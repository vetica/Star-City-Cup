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5A636E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B1F24"/>
      </patternFill>
    </fill>
    <fill>
      <patternFill patternType="solid">
        <fgColor rgb="00EE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" customWidth="1" min="3" max="3"/>
    <col width="9" customWidth="1" min="4" max="4"/>
    <col width="10" customWidth="1" min="5" max="5"/>
    <col width="3" customWidth="1" min="6" max="6"/>
    <col width="30" customWidth="1" min="7" max="7"/>
    <col width="10" customWidth="1" min="8" max="8"/>
    <col width="3" customWidth="1" min="9" max="9"/>
    <col width="36" customWidth="1" min="10" max="10"/>
    <col width="10" customWidth="1" min="11" max="11"/>
  </cols>
  <sheetData>
    <row r="1">
      <c r="A1" s="1" t="inlineStr">
        <is>
          <t>Points Calculator</t>
        </is>
      </c>
    </row>
    <row r="2">
      <c r="A2" s="2" t="inlineStr">
        <is>
          <t>Pick the event and enter how many players or teams finished. The table shows what each place earns.</t>
        </is>
      </c>
    </row>
    <row r="4">
      <c r="A4" s="3" t="inlineStr">
        <is>
          <t>Event</t>
        </is>
      </c>
      <c r="B4" s="4" t="inlineStr">
        <is>
          <t>Scramble League</t>
        </is>
      </c>
      <c r="J4" s="5" t="inlineStr">
        <is>
          <t>Point values</t>
        </is>
      </c>
      <c r="K4" s="5" t="inlineStr"/>
    </row>
    <row r="5">
      <c r="A5" s="3" t="inlineStr">
        <is>
          <t>Players or teams that finished</t>
        </is>
      </c>
      <c r="B5" s="4" t="n">
        <v>12</v>
      </c>
      <c r="J5" s="2" t="inlineStr">
        <is>
          <t>Same as the tracker's Points tab</t>
        </is>
      </c>
    </row>
    <row r="6">
      <c r="J6" t="inlineStr">
        <is>
          <t>Club Championship winner</t>
        </is>
      </c>
      <c r="K6" s="6" t="n">
        <v>1000</v>
      </c>
    </row>
    <row r="7">
      <c r="A7" t="inlineStr">
        <is>
          <t>Winner's points</t>
        </is>
      </c>
      <c r="B7" s="6">
        <f>VLOOKUP($B$4&amp;" winner",$J$6:$K$10,2,FALSE)</f>
        <v/>
      </c>
      <c r="J7" t="inlineStr">
        <is>
          <t>Major winner</t>
        </is>
      </c>
      <c r="K7" s="6" t="n">
        <v>600</v>
      </c>
    </row>
    <row r="8">
      <c r="A8" t="inlineStr">
        <is>
          <t>Small field</t>
        </is>
      </c>
      <c r="B8" s="6">
        <f>IF(AND($B$4="OHW",$B$5&lt;$K$12),"Half points",IF($B$4="OHW","Full points",""))</f>
        <v/>
      </c>
      <c r="J8" t="inlineStr">
        <is>
          <t>Scramble League winner</t>
        </is>
      </c>
      <c r="K8" s="6" t="n">
        <v>300</v>
      </c>
    </row>
    <row r="9">
      <c r="A9" t="inlineStr">
        <is>
          <t>Note</t>
        </is>
      </c>
      <c r="B9" s="7">
        <f>IF($B$4="Club Championship","Club Championship points are fixed. See the table on the right.",IF($B$4="OHW","Gross winner and net winner both get the 1st place points. Everyone else is paid by gross place.",IF($B$4="Major","Each division (Open and Senior) is its own field.","Every player on a team gets the team's points.")))</f>
        <v/>
      </c>
      <c r="J9" t="inlineStr">
        <is>
          <t>Tuesday Night League winner</t>
        </is>
      </c>
      <c r="K9" s="6" t="n">
        <v>200</v>
      </c>
    </row>
    <row r="10">
      <c r="J10" t="inlineStr">
        <is>
          <t>OHW winner</t>
        </is>
      </c>
      <c r="K10" s="6" t="n">
        <v>50</v>
      </c>
    </row>
    <row r="11">
      <c r="D11" s="5" t="inlineStr">
        <is>
          <t>Place</t>
        </is>
      </c>
      <c r="E11" s="5" t="inlineStr">
        <is>
          <t>Points</t>
        </is>
      </c>
      <c r="G11" s="5" t="inlineStr">
        <is>
          <t>Tied places</t>
        </is>
      </c>
      <c r="H11" s="5" t="inlineStr"/>
      <c r="J11" t="inlineStr">
        <is>
          <t>Last place share of winner's points</t>
        </is>
      </c>
      <c r="K11" s="6" t="n">
        <v>0.1</v>
      </c>
    </row>
    <row r="12">
      <c r="D12" s="6">
        <f>IF(OR($B$4="Club Championship",1&gt;$B$5),"",1)</f>
        <v/>
      </c>
      <c r="E12" s="8">
        <f>IF($D12="","",ROUND($B$7*IF($B$5&lt;=1,1,$K$11+(1-$K$11)*(($B$5-1)/($B$5-1))^3)*IF(AND($B$4="OHW",$B$5&lt;$K$12),$K$13,1),0))</f>
        <v/>
      </c>
      <c r="G12" t="inlineStr">
        <is>
          <t>First place they tied for</t>
        </is>
      </c>
      <c r="H12" s="4" t="n">
        <v>2</v>
      </c>
      <c r="J12" t="inlineStr">
        <is>
          <t>OHW small field: fewer than</t>
        </is>
      </c>
      <c r="K12" s="6" t="n">
        <v>6</v>
      </c>
    </row>
    <row r="13">
      <c r="D13" s="6">
        <f>IF(OR($B$4="Club Championship",2&gt;$B$5),"",2)</f>
        <v/>
      </c>
      <c r="E13" s="8">
        <f>IF($D13="","",ROUND($B$7*IF($B$5&lt;=1,1,$K$11+(1-$K$11)*(($B$5-2)/($B$5-1))^3)*IF(AND($B$4="OHW",$B$5&lt;$K$12),$K$13,1),0))</f>
        <v/>
      </c>
      <c r="G13" t="inlineStr">
        <is>
          <t>How many are tied</t>
        </is>
      </c>
      <c r="H13" s="4" t="n">
        <v>2</v>
      </c>
      <c r="J13" t="inlineStr">
        <is>
          <t>OHW small field multiplier</t>
        </is>
      </c>
      <c r="K13" s="6" t="n">
        <v>0.5</v>
      </c>
    </row>
    <row r="14">
      <c r="D14" s="6">
        <f>IF(OR($B$4="Club Championship",3&gt;$B$5),"",3)</f>
        <v/>
      </c>
      <c r="E14" s="8">
        <f>IF($D14="","",ROUND($B$7*IF($B$5&lt;=1,1,$K$11+(1-$K$11)*(($B$5-3)/($B$5-1))^3)*IF(AND($B$4="OHW",$B$5&lt;$K$12),$K$13,1),0))</f>
        <v/>
      </c>
      <c r="G14" t="inlineStr">
        <is>
          <t>Each tied player gets</t>
        </is>
      </c>
      <c r="H14" s="8">
        <f>IF(OR($B$4="Club Championship",$H$12&lt;1,$H$13&lt;1,$H$12+$H$13-1&gt;$B$5),"",ROUND($B$7*IF($B$5&lt;=1,1,$K$11+(1-$K$11)*((($B$5-$H$12)*(($B$5-$H$12)+1)/2)^2-((($B$5-$H$12-$H$13+1)-1)*($B$5-$H$12-$H$13+1)/2)^2)/($H$13*($B$5-1)^3))*IF(AND($B$4="OHW",$B$5&lt;$K$12),$K$13,1),0))</f>
        <v/>
      </c>
    </row>
    <row r="15">
      <c r="D15" s="6">
        <f>IF(OR($B$4="Club Championship",4&gt;$B$5),"",4)</f>
        <v/>
      </c>
      <c r="E15" s="8">
        <f>IF($D15="","",ROUND($B$7*IF($B$5&lt;=1,1,$K$11+(1-$K$11)*(($B$5-4)/($B$5-1))^3)*IF(AND($B$4="OHW",$B$5&lt;$K$12),$K$13,1),0))</f>
        <v/>
      </c>
      <c r="G15" s="2" t="inlineStr">
        <is>
          <t>Tied players split the points for the places they cover.</t>
        </is>
      </c>
    </row>
    <row r="16">
      <c r="D16" s="6">
        <f>IF(OR($B$4="Club Championship",5&gt;$B$5),"",5)</f>
        <v/>
      </c>
      <c r="E16" s="8">
        <f>IF($D16="","",ROUND($B$7*IF($B$5&lt;=1,1,$K$11+(1-$K$11)*(($B$5-5)/($B$5-1))^3)*IF(AND($B$4="OHW",$B$5&lt;$K$12),$K$13,1),0))</f>
        <v/>
      </c>
    </row>
    <row r="17">
      <c r="D17" s="6">
        <f>IF(OR($B$4="Club Championship",6&gt;$B$5),"",6)</f>
        <v/>
      </c>
      <c r="E17" s="8">
        <f>IF($D17="","",ROUND($B$7*IF($B$5&lt;=1,1,$K$11+(1-$K$11)*(($B$5-6)/($B$5-1))^3)*IF(AND($B$4="OHW",$B$5&lt;$K$12),$K$13,1),0))</f>
        <v/>
      </c>
    </row>
    <row r="18">
      <c r="D18" s="6">
        <f>IF(OR($B$4="Club Championship",7&gt;$B$5),"",7)</f>
        <v/>
      </c>
      <c r="E18" s="8">
        <f>IF($D18="","",ROUND($B$7*IF($B$5&lt;=1,1,$K$11+(1-$K$11)*(($B$5-7)/($B$5-1))^3)*IF(AND($B$4="OHW",$B$5&lt;$K$12),$K$13,1),0))</f>
        <v/>
      </c>
      <c r="G18" s="5" t="inlineStr">
        <is>
          <t>Club Championship</t>
        </is>
      </c>
      <c r="H18" s="5" t="inlineStr">
        <is>
          <t>Points</t>
        </is>
      </c>
    </row>
    <row r="19">
      <c r="D19" s="6">
        <f>IF(OR($B$4="Club Championship",8&gt;$B$5),"",8)</f>
        <v/>
      </c>
      <c r="E19" s="8">
        <f>IF($D19="","",ROUND($B$7*IF($B$5&lt;=1,1,$K$11+(1-$K$11)*(($B$5-8)/($B$5-1))^3)*IF(AND($B$4="OHW",$B$5&lt;$K$12),$K$13,1),0))</f>
        <v/>
      </c>
      <c r="G19" t="inlineStr">
        <is>
          <t>Champion</t>
        </is>
      </c>
      <c r="H19" s="6" t="n">
        <v>1000</v>
      </c>
    </row>
    <row r="20">
      <c r="D20" s="6">
        <f>IF(OR($B$4="Club Championship",9&gt;$B$5),"",9)</f>
        <v/>
      </c>
      <c r="E20" s="8">
        <f>IF($D20="","",ROUND($B$7*IF($B$5&lt;=1,1,$K$11+(1-$K$11)*(($B$5-9)/($B$5-1))^3)*IF(AND($B$4="OHW",$B$5&lt;$K$12),$K$13,1),0))</f>
        <v/>
      </c>
      <c r="G20" t="inlineStr">
        <is>
          <t>Runner-up</t>
        </is>
      </c>
      <c r="H20" s="6" t="n">
        <v>650</v>
      </c>
    </row>
    <row r="21">
      <c r="D21" s="6">
        <f>IF(OR($B$4="Club Championship",10&gt;$B$5),"",10)</f>
        <v/>
      </c>
      <c r="E21" s="8">
        <f>IF($D21="","",ROUND($B$7*IF($B$5&lt;=1,1,$K$11+(1-$K$11)*(($B$5-10)/($B$5-1))^3)*IF(AND($B$4="OHW",$B$5&lt;$K$12),$K$13,1),0))</f>
        <v/>
      </c>
      <c r="G21" t="inlineStr">
        <is>
          <t>Semifinal</t>
        </is>
      </c>
      <c r="H21" s="6" t="n">
        <v>450</v>
      </c>
    </row>
    <row r="22">
      <c r="D22" s="6">
        <f>IF(OR($B$4="Club Championship",11&gt;$B$5),"",11)</f>
        <v/>
      </c>
      <c r="E22" s="8">
        <f>IF($D22="","",ROUND($B$7*IF($B$5&lt;=1,1,$K$11+(1-$K$11)*(($B$5-11)/($B$5-1))^3)*IF(AND($B$4="OHW",$B$5&lt;$K$12),$K$13,1),0))</f>
        <v/>
      </c>
      <c r="G22" t="inlineStr">
        <is>
          <t>Quarterfinal</t>
        </is>
      </c>
      <c r="H22" s="6" t="n">
        <v>300</v>
      </c>
    </row>
    <row r="23">
      <c r="D23" s="6">
        <f>IF(OR($B$4="Club Championship",12&gt;$B$5),"",12)</f>
        <v/>
      </c>
      <c r="E23" s="8">
        <f>IF($D23="","",ROUND($B$7*IF($B$5&lt;=1,1,$K$11+(1-$K$11)*(($B$5-12)/($B$5-1))^3)*IF(AND($B$4="OHW",$B$5&lt;$K$12),$K$13,1),0))</f>
        <v/>
      </c>
      <c r="G23" t="inlineStr">
        <is>
          <t>Round of 16</t>
        </is>
      </c>
      <c r="H23" s="6" t="n">
        <v>200</v>
      </c>
    </row>
    <row r="24">
      <c r="D24" s="6">
        <f>IF(OR($B$4="Club Championship",13&gt;$B$5),"",13)</f>
        <v/>
      </c>
      <c r="E24" s="8">
        <f>IF($D24="","",ROUND($B$7*IF($B$5&lt;=1,1,$K$11+(1-$K$11)*(($B$5-13)/($B$5-1))^3)*IF(AND($B$4="OHW",$B$5&lt;$K$12),$K$13,1),0))</f>
        <v/>
      </c>
      <c r="G24" t="inlineStr">
        <is>
          <t>Qualifying rank 17 to 32</t>
        </is>
      </c>
      <c r="H24" s="6" t="n">
        <v>50</v>
      </c>
    </row>
    <row r="25">
      <c r="D25" s="6">
        <f>IF(OR($B$4="Club Championship",14&gt;$B$5),"",14)</f>
        <v/>
      </c>
      <c r="E25" s="8">
        <f>IF($D25="","",ROUND($B$7*IF($B$5&lt;=1,1,$K$11+(1-$K$11)*(($B$5-14)/($B$5-1))^3)*IF(AND($B$4="OHW",$B$5&lt;$K$12),$K$13,1),0))</f>
        <v/>
      </c>
      <c r="G25" t="inlineStr">
        <is>
          <t>Qualifying rank 33 and below</t>
        </is>
      </c>
      <c r="H25" s="6" t="n">
        <v>20</v>
      </c>
    </row>
    <row r="26">
      <c r="D26" s="6">
        <f>IF(OR($B$4="Club Championship",15&gt;$B$5),"",15)</f>
        <v/>
      </c>
      <c r="E26" s="8">
        <f>IF($D26="","",ROUND($B$7*IF($B$5&lt;=1,1,$K$11+(1-$K$11)*(($B$5-15)/($B$5-1))^3)*IF(AND($B$4="OHW",$B$5&lt;$K$12),$K$13,1),0))</f>
        <v/>
      </c>
    </row>
    <row r="27">
      <c r="D27" s="6">
        <f>IF(OR($B$4="Club Championship",16&gt;$B$5),"",16)</f>
        <v/>
      </c>
      <c r="E27" s="8">
        <f>IF($D27="","",ROUND($B$7*IF($B$5&lt;=1,1,$K$11+(1-$K$11)*(($B$5-16)/($B$5-1))^3)*IF(AND($B$4="OHW",$B$5&lt;$K$12),$K$13,1),0))</f>
        <v/>
      </c>
    </row>
    <row r="28">
      <c r="D28" s="6">
        <f>IF(OR($B$4="Club Championship",17&gt;$B$5),"",17)</f>
        <v/>
      </c>
      <c r="E28" s="8">
        <f>IF($D28="","",ROUND($B$7*IF($B$5&lt;=1,1,$K$11+(1-$K$11)*(($B$5-17)/($B$5-1))^3)*IF(AND($B$4="OHW",$B$5&lt;$K$12),$K$13,1),0))</f>
        <v/>
      </c>
    </row>
    <row r="29">
      <c r="D29" s="6">
        <f>IF(OR($B$4="Club Championship",18&gt;$B$5),"",18)</f>
        <v/>
      </c>
      <c r="E29" s="8">
        <f>IF($D29="","",ROUND($B$7*IF($B$5&lt;=1,1,$K$11+(1-$K$11)*(($B$5-18)/($B$5-1))^3)*IF(AND($B$4="OHW",$B$5&lt;$K$12),$K$13,1),0))</f>
        <v/>
      </c>
    </row>
    <row r="30">
      <c r="D30" s="6">
        <f>IF(OR($B$4="Club Championship",19&gt;$B$5),"",19)</f>
        <v/>
      </c>
      <c r="E30" s="8">
        <f>IF($D30="","",ROUND($B$7*IF($B$5&lt;=1,1,$K$11+(1-$K$11)*(($B$5-19)/($B$5-1))^3)*IF(AND($B$4="OHW",$B$5&lt;$K$12),$K$13,1),0))</f>
        <v/>
      </c>
    </row>
    <row r="31">
      <c r="D31" s="6">
        <f>IF(OR($B$4="Club Championship",20&gt;$B$5),"",20)</f>
        <v/>
      </c>
      <c r="E31" s="8">
        <f>IF($D31="","",ROUND($B$7*IF($B$5&lt;=1,1,$K$11+(1-$K$11)*(($B$5-20)/($B$5-1))^3)*IF(AND($B$4="OHW",$B$5&lt;$K$12),$K$13,1),0))</f>
        <v/>
      </c>
    </row>
    <row r="32">
      <c r="D32" s="6">
        <f>IF(OR($B$4="Club Championship",21&gt;$B$5),"",21)</f>
        <v/>
      </c>
      <c r="E32" s="8">
        <f>IF($D32="","",ROUND($B$7*IF($B$5&lt;=1,1,$K$11+(1-$K$11)*(($B$5-21)/($B$5-1))^3)*IF(AND($B$4="OHW",$B$5&lt;$K$12),$K$13,1),0))</f>
        <v/>
      </c>
    </row>
    <row r="33">
      <c r="D33" s="6">
        <f>IF(OR($B$4="Club Championship",22&gt;$B$5),"",22)</f>
        <v/>
      </c>
      <c r="E33" s="8">
        <f>IF($D33="","",ROUND($B$7*IF($B$5&lt;=1,1,$K$11+(1-$K$11)*(($B$5-22)/($B$5-1))^3)*IF(AND($B$4="OHW",$B$5&lt;$K$12),$K$13,1),0))</f>
        <v/>
      </c>
    </row>
    <row r="34">
      <c r="D34" s="6">
        <f>IF(OR($B$4="Club Championship",23&gt;$B$5),"",23)</f>
        <v/>
      </c>
      <c r="E34" s="8">
        <f>IF($D34="","",ROUND($B$7*IF($B$5&lt;=1,1,$K$11+(1-$K$11)*(($B$5-23)/($B$5-1))^3)*IF(AND($B$4="OHW",$B$5&lt;$K$12),$K$13,1),0))</f>
        <v/>
      </c>
    </row>
    <row r="35">
      <c r="D35" s="6">
        <f>IF(OR($B$4="Club Championship",24&gt;$B$5),"",24)</f>
        <v/>
      </c>
      <c r="E35" s="8">
        <f>IF($D35="","",ROUND($B$7*IF($B$5&lt;=1,1,$K$11+(1-$K$11)*(($B$5-24)/($B$5-1))^3)*IF(AND($B$4="OHW",$B$5&lt;$K$12),$K$13,1),0))</f>
        <v/>
      </c>
    </row>
    <row r="36">
      <c r="D36" s="6">
        <f>IF(OR($B$4="Club Championship",25&gt;$B$5),"",25)</f>
        <v/>
      </c>
      <c r="E36" s="8">
        <f>IF($D36="","",ROUND($B$7*IF($B$5&lt;=1,1,$K$11+(1-$K$11)*(($B$5-25)/($B$5-1))^3)*IF(AND($B$4="OHW",$B$5&lt;$K$12),$K$13,1),0))</f>
        <v/>
      </c>
    </row>
    <row r="37">
      <c r="D37" s="6">
        <f>IF(OR($B$4="Club Championship",26&gt;$B$5),"",26)</f>
        <v/>
      </c>
      <c r="E37" s="8">
        <f>IF($D37="","",ROUND($B$7*IF($B$5&lt;=1,1,$K$11+(1-$K$11)*(($B$5-26)/($B$5-1))^3)*IF(AND($B$4="OHW",$B$5&lt;$K$12),$K$13,1),0))</f>
        <v/>
      </c>
    </row>
    <row r="38">
      <c r="D38" s="6">
        <f>IF(OR($B$4="Club Championship",27&gt;$B$5),"",27)</f>
        <v/>
      </c>
      <c r="E38" s="8">
        <f>IF($D38="","",ROUND($B$7*IF($B$5&lt;=1,1,$K$11+(1-$K$11)*(($B$5-27)/($B$5-1))^3)*IF(AND($B$4="OHW",$B$5&lt;$K$12),$K$13,1),0))</f>
        <v/>
      </c>
    </row>
    <row r="39">
      <c r="D39" s="6">
        <f>IF(OR($B$4="Club Championship",28&gt;$B$5),"",28)</f>
        <v/>
      </c>
      <c r="E39" s="8">
        <f>IF($D39="","",ROUND($B$7*IF($B$5&lt;=1,1,$K$11+(1-$K$11)*(($B$5-28)/($B$5-1))^3)*IF(AND($B$4="OHW",$B$5&lt;$K$12),$K$13,1),0))</f>
        <v/>
      </c>
    </row>
    <row r="40">
      <c r="D40" s="6">
        <f>IF(OR($B$4="Club Championship",29&gt;$B$5),"",29)</f>
        <v/>
      </c>
      <c r="E40" s="8">
        <f>IF($D40="","",ROUND($B$7*IF($B$5&lt;=1,1,$K$11+(1-$K$11)*(($B$5-29)/($B$5-1))^3)*IF(AND($B$4="OHW",$B$5&lt;$K$12),$K$13,1),0))</f>
        <v/>
      </c>
    </row>
    <row r="41">
      <c r="D41" s="6">
        <f>IF(OR($B$4="Club Championship",30&gt;$B$5),"",30)</f>
        <v/>
      </c>
      <c r="E41" s="8">
        <f>IF($D41="","",ROUND($B$7*IF($B$5&lt;=1,1,$K$11+(1-$K$11)*(($B$5-30)/($B$5-1))^3)*IF(AND($B$4="OHW",$B$5&lt;$K$12),$K$13,1),0))</f>
        <v/>
      </c>
    </row>
    <row r="42">
      <c r="D42" s="6">
        <f>IF(OR($B$4="Club Championship",31&gt;$B$5),"",31)</f>
        <v/>
      </c>
      <c r="E42" s="8">
        <f>IF($D42="","",ROUND($B$7*IF($B$5&lt;=1,1,$K$11+(1-$K$11)*(($B$5-31)/($B$5-1))^3)*IF(AND($B$4="OHW",$B$5&lt;$K$12),$K$13,1),0))</f>
        <v/>
      </c>
    </row>
    <row r="43">
      <c r="D43" s="6">
        <f>IF(OR($B$4="Club Championship",32&gt;$B$5),"",32)</f>
        <v/>
      </c>
      <c r="E43" s="8">
        <f>IF($D43="","",ROUND($B$7*IF($B$5&lt;=1,1,$K$11+(1-$K$11)*(($B$5-32)/($B$5-1))^3)*IF(AND($B$4="OHW",$B$5&lt;$K$12),$K$13,1),0))</f>
        <v/>
      </c>
    </row>
    <row r="44">
      <c r="D44" s="6">
        <f>IF(OR($B$4="Club Championship",33&gt;$B$5),"",33)</f>
        <v/>
      </c>
      <c r="E44" s="8">
        <f>IF($D44="","",ROUND($B$7*IF($B$5&lt;=1,1,$K$11+(1-$K$11)*(($B$5-33)/($B$5-1))^3)*IF(AND($B$4="OHW",$B$5&lt;$K$12),$K$13,1),0))</f>
        <v/>
      </c>
    </row>
    <row r="45">
      <c r="D45" s="6">
        <f>IF(OR($B$4="Club Championship",34&gt;$B$5),"",34)</f>
        <v/>
      </c>
      <c r="E45" s="8">
        <f>IF($D45="","",ROUND($B$7*IF($B$5&lt;=1,1,$K$11+(1-$K$11)*(($B$5-34)/($B$5-1))^3)*IF(AND($B$4="OHW",$B$5&lt;$K$12),$K$13,1),0))</f>
        <v/>
      </c>
    </row>
    <row r="46">
      <c r="D46" s="6">
        <f>IF(OR($B$4="Club Championship",35&gt;$B$5),"",35)</f>
        <v/>
      </c>
      <c r="E46" s="8">
        <f>IF($D46="","",ROUND($B$7*IF($B$5&lt;=1,1,$K$11+(1-$K$11)*(($B$5-35)/($B$5-1))^3)*IF(AND($B$4="OHW",$B$5&lt;$K$12),$K$13,1),0))</f>
        <v/>
      </c>
    </row>
    <row r="47">
      <c r="D47" s="6">
        <f>IF(OR($B$4="Club Championship",36&gt;$B$5),"",36)</f>
        <v/>
      </c>
      <c r="E47" s="8">
        <f>IF($D47="","",ROUND($B$7*IF($B$5&lt;=1,1,$K$11+(1-$K$11)*(($B$5-36)/($B$5-1))^3)*IF(AND($B$4="OHW",$B$5&lt;$K$12),$K$13,1),0))</f>
        <v/>
      </c>
    </row>
    <row r="48">
      <c r="D48" s="6">
        <f>IF(OR($B$4="Club Championship",37&gt;$B$5),"",37)</f>
        <v/>
      </c>
      <c r="E48" s="8">
        <f>IF($D48="","",ROUND($B$7*IF($B$5&lt;=1,1,$K$11+(1-$K$11)*(($B$5-37)/($B$5-1))^3)*IF(AND($B$4="OHW",$B$5&lt;$K$12),$K$13,1),0))</f>
        <v/>
      </c>
    </row>
    <row r="49">
      <c r="D49" s="6">
        <f>IF(OR($B$4="Club Championship",38&gt;$B$5),"",38)</f>
        <v/>
      </c>
      <c r="E49" s="8">
        <f>IF($D49="","",ROUND($B$7*IF($B$5&lt;=1,1,$K$11+(1-$K$11)*(($B$5-38)/($B$5-1))^3)*IF(AND($B$4="OHW",$B$5&lt;$K$12),$K$13,1),0))</f>
        <v/>
      </c>
    </row>
    <row r="50">
      <c r="D50" s="6">
        <f>IF(OR($B$4="Club Championship",39&gt;$B$5),"",39)</f>
        <v/>
      </c>
      <c r="E50" s="8">
        <f>IF($D50="","",ROUND($B$7*IF($B$5&lt;=1,1,$K$11+(1-$K$11)*(($B$5-39)/($B$5-1))^3)*IF(AND($B$4="OHW",$B$5&lt;$K$12),$K$13,1),0))</f>
        <v/>
      </c>
    </row>
    <row r="51">
      <c r="D51" s="6">
        <f>IF(OR($B$4="Club Championship",40&gt;$B$5),"",40)</f>
        <v/>
      </c>
      <c r="E51" s="8">
        <f>IF($D51="","",ROUND($B$7*IF($B$5&lt;=1,1,$K$11+(1-$K$11)*(($B$5-40)/($B$5-1))^3)*IF(AND($B$4="OHW",$B$5&lt;$K$12),$K$13,1),0))</f>
        <v/>
      </c>
    </row>
  </sheetData>
  <dataValidations count="2">
    <dataValidation sqref="B4" showDropDown="0" showInputMessage="0" showErrorMessage="1" allowBlank="0" errorTitle="Not on the list" error="Pick an event from the list." type="list">
      <formula1>"Club Championship,Major,Scramble League,Tuesday Night League,OHW"</formula1>
    </dataValidation>
    <dataValidation sqref="B5" showDropDown="0" showInputMessage="0" showErrorMessage="1" allowBlank="0" errorTitle="Field size" error="Enter a whole number from 1 to 40." type="whole" operator="between">
      <formula1>1</formula1>
      <formula2>40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2026-10-20T17:34:09Z</dcterms:created>
  <dcterms:modified xmlns:dcterms="http://purl.org/dc/terms/" xmlns:xsi="http://www.w3.org/2001/XMLSchema-instance" xsi:type="dcterms:W3CDTF">2026-10-20T17:34:09Z</dcterms:modified>
</cp:coreProperties>
</file>