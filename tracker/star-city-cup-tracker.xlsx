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sheetId="1" state="visible" r:id="rId1"/>
    <sheet xmlns:r="http://schemas.openxmlformats.org/officeDocument/2006/relationships" name="Standings" sheetId="2" state="visible" r:id="rId2"/>
    <sheet xmlns:r="http://schemas.openxmlformats.org/officeDocument/2006/relationships" name="Last Week" sheetId="3" state="visible" r:id="rId3"/>
    <sheet xmlns:r="http://schemas.openxmlformats.org/officeDocument/2006/relationships" name="Players" sheetId="4" state="visible" r:id="rId4"/>
    <sheet xmlns:r="http://schemas.openxmlformats.org/officeDocument/2006/relationships" name="Club Championship" sheetId="5" state="visible" r:id="rId5"/>
    <sheet xmlns:r="http://schemas.openxmlformats.org/officeDocument/2006/relationships" name="Masters" sheetId="6" state="visible" r:id="rId6"/>
    <sheet xmlns:r="http://schemas.openxmlformats.org/officeDocument/2006/relationships" name="US Open" sheetId="7" state="visible" r:id="rId7"/>
    <sheet xmlns:r="http://schemas.openxmlformats.org/officeDocument/2006/relationships" name="The Open" sheetId="8" state="visible" r:id="rId8"/>
    <sheet xmlns:r="http://schemas.openxmlformats.org/officeDocument/2006/relationships" name="PGA Championship" sheetId="9" state="visible" r:id="rId9"/>
    <sheet xmlns:r="http://schemas.openxmlformats.org/officeDocument/2006/relationships" name="Scramble Leagues" sheetId="10" state="visible" r:id="rId10"/>
    <sheet xmlns:r="http://schemas.openxmlformats.org/officeDocument/2006/relationships" name="Tuesday Leagues" sheetId="11" state="visible" r:id="rId11"/>
    <sheet xmlns:r="http://schemas.openxmlformats.org/officeDocument/2006/relationships" name="OHW" sheetId="12" state="visible" r:id="rId12"/>
    <sheet xmlns:r="http://schemas.openxmlformats.org/officeDocument/2006/relationships" name="Points" sheetId="13" state="visible" r:id="rId13"/>
    <sheet xmlns:r="http://schemas.openxmlformats.org/officeDocument/2006/relationships" name="Points Calculator" sheetId="14" state="visible" r:id="rId14"/>
    <sheet xmlns:r="http://schemas.openxmlformats.org/officeDocument/2006/relationships" name="Web Feed" sheetId="15" state="visible" r:id="rId15"/>
  </sheets>
  <definedNames/>
  <calcPr calcId="124519" fullCalcOnLoad="1"/>
</workbook>
</file>

<file path=xl/styles.xml><?xml version="1.0" encoding="utf-8"?>
<styleSheet xmlns="http://schemas.openxmlformats.org/spreadsheetml/2006/main">
  <numFmts count="2">
    <numFmt numFmtId="164" formatCode="mmm d"/>
    <numFmt numFmtId="165" formatCode="yyyy-mm-dd"/>
  </numFmts>
  <fonts count="8">
    <font>
      <name val="Calibri"/>
      <family val="2"/>
      <color theme="1"/>
      <sz val="11"/>
      <scheme val="minor"/>
    </font>
    <font>
      <b val="1"/>
      <sz val="16"/>
    </font>
    <font>
      <i val="1"/>
      <color rgb="005A636E"/>
    </font>
    <font>
      <b val="1"/>
    </font>
    <font>
      <b val="1"/>
      <color rgb="00B42318"/>
    </font>
    <font>
      <b val="1"/>
      <color rgb="00FFFFFF"/>
    </font>
    <font>
      <b val="1"/>
      <color rgb="001B1F24"/>
      <sz val="12"/>
    </font>
    <font>
      <b val="1"/>
      <sz val="12"/>
    </font>
  </fonts>
  <fills count="7">
    <fill>
      <patternFill/>
    </fill>
    <fill>
      <patternFill patternType="gray125"/>
    </fill>
    <fill>
      <patternFill patternType="solid">
        <fgColor rgb="001B1F24"/>
      </patternFill>
    </fill>
    <fill>
      <patternFill patternType="solid">
        <fgColor rgb="005A636E"/>
      </patternFill>
    </fill>
    <fill>
      <patternFill patternType="solid">
        <fgColor rgb="00EEF0F2"/>
      </patternFill>
    </fill>
    <fill>
      <patternFill patternType="solid">
        <fgColor rgb="00D9E2EC"/>
      </patternFill>
    </fill>
    <fill>
      <patternFill patternType="solid">
        <fgColor rgb="00FFF4CC"/>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xf numFmtId="0" fontId="5" fillId="2" borderId="0" applyAlignment="1" pivotButton="0" quotePrefix="0" xfId="0">
      <alignment vertical="center" wrapText="1"/>
    </xf>
    <xf numFmtId="0" fontId="3" fillId="0" borderId="0" pivotButton="0" quotePrefix="0" xfId="0"/>
    <xf numFmtId="0" fontId="2" fillId="0" borderId="0" pivotButton="0" quotePrefix="0" xfId="0"/>
    <xf numFmtId="0" fontId="1" fillId="0" borderId="0" pivotButton="0" quotePrefix="0" xfId="0"/>
    <xf numFmtId="0" fontId="4" fillId="0" borderId="0" pivotButton="0" quotePrefix="0" xfId="0"/>
    <xf numFmtId="164" fontId="0" fillId="0" borderId="0" pivotButton="0" quotePrefix="0" xfId="0"/>
    <xf numFmtId="0" fontId="5" fillId="3" borderId="0" applyAlignment="1" pivotButton="0" quotePrefix="0" xfId="0">
      <alignment vertical="center" wrapText="1"/>
    </xf>
    <xf numFmtId="0" fontId="0" fillId="4" borderId="0" pivotButton="0" quotePrefix="0" xfId="0"/>
    <xf numFmtId="0" fontId="6" fillId="5" borderId="0" pivotButton="0" quotePrefix="0" xfId="0"/>
    <xf numFmtId="164" fontId="0" fillId="4" borderId="0" pivotButton="0" quotePrefix="0" xfId="0"/>
    <xf numFmtId="0" fontId="3" fillId="6" borderId="0" pivotButton="0" quotePrefix="0" xfId="0"/>
    <xf numFmtId="0" fontId="5" fillId="2" borderId="0" pivotButton="0" quotePrefix="0" xfId="0"/>
    <xf numFmtId="0" fontId="0" fillId="4" borderId="0" applyAlignment="1" pivotButton="0" quotePrefix="0" xfId="0">
      <alignment/>
    </xf>
    <xf numFmtId="0" fontId="3" fillId="4" borderId="0" pivotButton="0" quotePrefix="0" xfId="0"/>
    <xf numFmtId="165" fontId="0" fillId="0" borderId="0" pivotButton="0" quotePrefix="0" xfId="0"/>
  </cellXfs>
  <cellStyles count="1">
    <cellStyle name="Normal" xfId="0" builtinId="0" hidden="0"/>
  </cellStyles>
  <dxfs count="1">
    <dxf>
      <font>
        <b val="1"/>
        <color rgb="00B42318"/>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Star City Cup tracker</t>
        </is>
      </c>
    </row>
    <row r="2">
      <c r="A2" s="2" t="inlineStr">
        <is>
          <t>Fill in the white columns. Grey columns calculate themselves. Every tab has a Check column that says OK or tells you what to fix.</t>
        </is>
      </c>
    </row>
    <row r="3">
      <c r="A3" s="2" t="inlineStr">
        <is>
          <t>All scores are strokes. Lower scores rank higher. Players are picked from the Players tab, so add new players there first.</t>
        </is>
      </c>
    </row>
    <row r="4">
      <c r="A4" s="2" t="inlineStr"/>
    </row>
    <row r="5">
      <c r="A5" s="3" t="inlineStr">
        <is>
          <t>Each week</t>
        </is>
      </c>
    </row>
    <row r="6">
      <c r="A6" s="2" t="inlineStr">
        <is>
          <t>1. On the OHW tab, find this week's block, pick the players, enter their gross scores, and pick the gross and net winners.</t>
        </is>
      </c>
    </row>
    <row r="7">
      <c r="A7" s="2" t="inlineStr">
        <is>
          <t>2. Update any Major or Club Championship in progress with players' new best scores.</t>
        </is>
      </c>
    </row>
    <row r="8">
      <c r="A8" s="2" t="inlineStr">
        <is>
          <t>3. Enter any league seasons that finished.</t>
        </is>
      </c>
    </row>
    <row r="9">
      <c r="A9" s="2" t="inlineStr">
        <is>
          <t>Last Week fills itself: the first time a new week's OHW score is entered, the Star City Cup script saves the standings from before that week. (The script is installed once; see the setup guide.)</t>
        </is>
      </c>
    </row>
    <row r="10">
      <c r="A10" s="2" t="inlineStr"/>
    </row>
    <row r="11">
      <c r="A11" s="3" t="inlineStr">
        <is>
          <t>Tabs</t>
        </is>
      </c>
    </row>
    <row r="12">
      <c r="A12" s="2" t="inlineStr">
        <is>
          <t>Club Championship: one row per qualifier with their best qualifying score. Pick the bracket result for the top 16 as they're knocked out. Until then, top 16 players are projected at Round of 16 points.</t>
        </is>
      </c>
    </row>
    <row r="13">
      <c r="A13" s="2" t="inlineStr">
        <is>
          <t>Masters, US Open, The Open, PGA Championship: one row per player with their best score so far. When the Major ends, pick one Winner in each division (Open and Senior). The winner gets 600; anyone tied with the winner is scored from 2nd place down.</t>
        </is>
      </c>
    </row>
    <row r="14">
      <c r="A14" s="2" t="inlineStr">
        <is>
          <t>Status (Club Championship and Majors): Not started means no points yet. In progress means points are projected from the current leaderboard. Final means points are official, and the script locks the score column (you'll be warned before changing a locked score).</t>
        </is>
      </c>
    </row>
    <row r="15">
      <c r="A15" s="2" t="inlineStr">
        <is>
          <t>Scramble Leagues and Tuesday Leagues: one row per team when a season ends, with the final place. Tied teams get the same place.</t>
        </is>
      </c>
    </row>
    <row r="16">
      <c r="A16" s="2" t="inlineStr">
        <is>
          <t>OHW: one block per Wednesday of 2027. Use the - and + buttons in the left margin to collapse or expand weeks. Both winners get the full 50; everyone else is scored on their gross finish.</t>
        </is>
      </c>
    </row>
    <row r="17">
      <c r="A17" s="2" t="inlineStr">
        <is>
          <t>Players: every player once, spelled how you want it shown, with their division (Open or Senior; blank counts as Open).</t>
        </is>
      </c>
    </row>
    <row r="18">
      <c r="A18" s="2" t="inlineStr">
        <is>
          <t>Standings: Cup totals for review. Last Week: filled by the script. Points: the point values.</t>
        </is>
      </c>
    </row>
    <row r="19">
      <c r="A19" s="2" t="inlineStr">
        <is>
          <t>Web Feed: collects every tab for the web page. Don't edit it, rename it, or change its headings.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00"/>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10" customWidth="1" min="3" max="3"/>
    <col width="13" customWidth="1" min="4" max="4"/>
    <col width="9" customWidth="1" min="5" max="5"/>
    <col width="11" customWidth="1" min="6" max="6"/>
    <col width="12" customWidth="1" min="7" max="7"/>
    <col width="11" customWidth="1" min="8" max="8"/>
    <col width="11" customWidth="1" min="9" max="9"/>
    <col width="10" customWidth="1" min="10" max="10"/>
    <col width="7" customWidth="1" min="11" max="11"/>
  </cols>
  <sheetData>
    <row r="1" ht="30" customHeight="1">
      <c r="A1" s="4" t="inlineStr">
        <is>
          <t>Rank</t>
        </is>
      </c>
      <c r="B1" s="4" t="inlineStr">
        <is>
          <t>Player</t>
        </is>
      </c>
      <c r="C1" s="4" t="inlineStr">
        <is>
          <t>Cup Total</t>
        </is>
      </c>
      <c r="D1" s="4" t="inlineStr">
        <is>
          <t>Club Championship</t>
        </is>
      </c>
      <c r="E1" s="4" t="inlineStr">
        <is>
          <t>Majors</t>
        </is>
      </c>
      <c r="F1" s="4" t="inlineStr">
        <is>
          <t>Scramble League</t>
        </is>
      </c>
      <c r="G1" s="4" t="inlineStr">
        <is>
          <t>Tuesday Night League</t>
        </is>
      </c>
      <c r="H1" s="4" t="inlineStr">
        <is>
          <t>OHW (best 12)</t>
        </is>
      </c>
      <c r="I1" s="4" t="inlineStr">
        <is>
          <t>OHW weeks played</t>
        </is>
      </c>
      <c r="J1" s="4" t="inlineStr">
        <is>
          <t>Last Week Rank</t>
        </is>
      </c>
      <c r="K1" s="4" t="inlineStr">
        <is>
          <t>Move</t>
        </is>
      </c>
    </row>
    <row r="2">
      <c r="A2">
        <f>IF($B2="","",RANK($C2,$C$2:$C$500))</f>
        <v/>
      </c>
      <c r="B2">
        <f>IF(Players!$A2="","",Players!$A2)</f>
        <v/>
      </c>
      <c r="C2" s="5">
        <f>IF($B2="","",SUM(D2:H2))</f>
        <v/>
      </c>
      <c r="D2">
        <f>IF($B2="","",SUMIFS('Web Feed'!$O$2:$O$3015,'Web Feed'!$B$2:$B$3015,Points!$A$2,'Web Feed'!$F$2:$F$3015,$B2)+SUMIFS('Web Feed'!$O$2:$O$3015,'Web Feed'!$B$2:$B$3015,Points!$A$2,'Web Feed'!$G$2:$G$3015,$B2)+SUMIFS('Web Feed'!$O$2:$O$3015,'Web Feed'!$B$2:$B$3015,Points!$A$2,'Web Feed'!$H$2:$H$3015,$B2)+SUMIFS('Web Feed'!$O$2:$O$3015,'Web Feed'!$B$2:$B$3015,Points!$A$2,'Web Feed'!$I$2:$I$3015,$B2))</f>
        <v/>
      </c>
      <c r="E2">
        <f>IF($B2="","",SUMIFS('Web Feed'!$O$2:$O$3015,'Web Feed'!$B$2:$B$3015,Points!$A$3,'Web Feed'!$F$2:$F$3015,$B2)+SUMIFS('Web Feed'!$O$2:$O$3015,'Web Feed'!$B$2:$B$3015,Points!$A$3,'Web Feed'!$G$2:$G$3015,$B2)+SUMIFS('Web Feed'!$O$2:$O$3015,'Web Feed'!$B$2:$B$3015,Points!$A$3,'Web Feed'!$H$2:$H$3015,$B2)+SUMIFS('Web Feed'!$O$2:$O$3015,'Web Feed'!$B$2:$B$3015,Points!$A$3,'Web Feed'!$I$2:$I$3015,$B2))</f>
        <v/>
      </c>
      <c r="F2">
        <f>IF($B2="","",SUMIFS('Web Feed'!$O$2:$O$3015,'Web Feed'!$B$2:$B$3015,Points!$A$4,'Web Feed'!$F$2:$F$3015,$B2)+SUMIFS('Web Feed'!$O$2:$O$3015,'Web Feed'!$B$2:$B$3015,Points!$A$4,'Web Feed'!$G$2:$G$3015,$B2)+SUMIFS('Web Feed'!$O$2:$O$3015,'Web Feed'!$B$2:$B$3015,Points!$A$4,'Web Feed'!$H$2:$H$3015,$B2)+SUMIFS('Web Feed'!$O$2:$O$3015,'Web Feed'!$B$2:$B$3015,Points!$A$4,'Web Feed'!$I$2:$I$3015,$B2))</f>
        <v/>
      </c>
      <c r="G2">
        <f>IF($B2="","",SUMIFS('Web Feed'!$O$2:$O$3015,'Web Feed'!$B$2:$B$3015,Points!$A$5,'Web Feed'!$F$2:$F$3015,$B2)+SUMIFS('Web Feed'!$O$2:$O$3015,'Web Feed'!$B$2:$B$3015,Points!$A$5,'Web Feed'!$G$2:$G$3015,$B2)+SUMIFS('Web Feed'!$O$2:$O$3015,'Web Feed'!$B$2:$B$3015,Points!$A$5,'Web Feed'!$H$2:$H$3015,$B2)+SUMIFS('Web Feed'!$O$2:$O$3015,'Web Feed'!$B$2:$B$3015,Points!$A$5,'Web Feed'!$I$2:$I$3015,$B2))</f>
        <v/>
      </c>
      <c r="H2">
        <f>IF($B2="","",SUMIFS('Web Feed'!$O$2:$O$3015,'Web Feed'!$B$2:$B$3015,Points!$A$6,'Web Feed'!$F$2:$F$3015,$B2)+SUMIFS('Web Feed'!$O$2:$O$3015,'Web Feed'!$B$2:$B$3015,Points!$A$6,'Web Feed'!$G$2:$G$3015,$B2)+SUMIFS('Web Feed'!$O$2:$O$3015,'Web Feed'!$B$2:$B$3015,Points!$A$6,'Web Feed'!$H$2:$H$3015,$B2)+SUMIFS('Web Feed'!$O$2:$O$3015,'Web Feed'!$B$2:$B$3015,Points!$A$6,'Web Feed'!$I$2:$I$3015,$B2))</f>
        <v/>
      </c>
      <c r="I2">
        <f>IF($B2="","",COUNTIFS('Web Feed'!$B$2:$B$3015,"OHW",'Web Feed'!$F$2:$F$3015,$B2))</f>
        <v/>
      </c>
      <c r="J2">
        <f>IF($B2="","",IFERROR(INDEX('Last Week'!$A$2:$A$301,MATCH($B2,'Last Week'!$B$2:$B$301,0)),""))</f>
        <v/>
      </c>
      <c r="K2">
        <f>IF(OR($B2="",$J2=""),"",$J2-$A2)</f>
        <v/>
      </c>
    </row>
    <row r="3">
      <c r="A3">
        <f>IF($B3="","",RANK($C3,$C$2:$C$500))</f>
        <v/>
      </c>
      <c r="B3">
        <f>IF(Players!$A3="","",Players!$A3)</f>
        <v/>
      </c>
      <c r="C3" s="5">
        <f>IF($B3="","",SUM(D3:H3))</f>
        <v/>
      </c>
      <c r="D3">
        <f>IF($B3="","",SUMIFS('Web Feed'!$O$2:$O$3015,'Web Feed'!$B$2:$B$3015,Points!$A$2,'Web Feed'!$F$2:$F$3015,$B3)+SUMIFS('Web Feed'!$O$2:$O$3015,'Web Feed'!$B$2:$B$3015,Points!$A$2,'Web Feed'!$G$2:$G$3015,$B3)+SUMIFS('Web Feed'!$O$2:$O$3015,'Web Feed'!$B$2:$B$3015,Points!$A$2,'Web Feed'!$H$2:$H$3015,$B3)+SUMIFS('Web Feed'!$O$2:$O$3015,'Web Feed'!$B$2:$B$3015,Points!$A$2,'Web Feed'!$I$2:$I$3015,$B3))</f>
        <v/>
      </c>
      <c r="E3">
        <f>IF($B3="","",SUMIFS('Web Feed'!$O$2:$O$3015,'Web Feed'!$B$2:$B$3015,Points!$A$3,'Web Feed'!$F$2:$F$3015,$B3)+SUMIFS('Web Feed'!$O$2:$O$3015,'Web Feed'!$B$2:$B$3015,Points!$A$3,'Web Feed'!$G$2:$G$3015,$B3)+SUMIFS('Web Feed'!$O$2:$O$3015,'Web Feed'!$B$2:$B$3015,Points!$A$3,'Web Feed'!$H$2:$H$3015,$B3)+SUMIFS('Web Feed'!$O$2:$O$3015,'Web Feed'!$B$2:$B$3015,Points!$A$3,'Web Feed'!$I$2:$I$3015,$B3))</f>
        <v/>
      </c>
      <c r="F3">
        <f>IF($B3="","",SUMIFS('Web Feed'!$O$2:$O$3015,'Web Feed'!$B$2:$B$3015,Points!$A$4,'Web Feed'!$F$2:$F$3015,$B3)+SUMIFS('Web Feed'!$O$2:$O$3015,'Web Feed'!$B$2:$B$3015,Points!$A$4,'Web Feed'!$G$2:$G$3015,$B3)+SUMIFS('Web Feed'!$O$2:$O$3015,'Web Feed'!$B$2:$B$3015,Points!$A$4,'Web Feed'!$H$2:$H$3015,$B3)+SUMIFS('Web Feed'!$O$2:$O$3015,'Web Feed'!$B$2:$B$3015,Points!$A$4,'Web Feed'!$I$2:$I$3015,$B3))</f>
        <v/>
      </c>
      <c r="G3">
        <f>IF($B3="","",SUMIFS('Web Feed'!$O$2:$O$3015,'Web Feed'!$B$2:$B$3015,Points!$A$5,'Web Feed'!$F$2:$F$3015,$B3)+SUMIFS('Web Feed'!$O$2:$O$3015,'Web Feed'!$B$2:$B$3015,Points!$A$5,'Web Feed'!$G$2:$G$3015,$B3)+SUMIFS('Web Feed'!$O$2:$O$3015,'Web Feed'!$B$2:$B$3015,Points!$A$5,'Web Feed'!$H$2:$H$3015,$B3)+SUMIFS('Web Feed'!$O$2:$O$3015,'Web Feed'!$B$2:$B$3015,Points!$A$5,'Web Feed'!$I$2:$I$3015,$B3))</f>
        <v/>
      </c>
      <c r="H3">
        <f>IF($B3="","",SUMIFS('Web Feed'!$O$2:$O$3015,'Web Feed'!$B$2:$B$3015,Points!$A$6,'Web Feed'!$F$2:$F$3015,$B3)+SUMIFS('Web Feed'!$O$2:$O$3015,'Web Feed'!$B$2:$B$3015,Points!$A$6,'Web Feed'!$G$2:$G$3015,$B3)+SUMIFS('Web Feed'!$O$2:$O$3015,'Web Feed'!$B$2:$B$3015,Points!$A$6,'Web Feed'!$H$2:$H$3015,$B3)+SUMIFS('Web Feed'!$O$2:$O$3015,'Web Feed'!$B$2:$B$3015,Points!$A$6,'Web Feed'!$I$2:$I$3015,$B3))</f>
        <v/>
      </c>
      <c r="I3">
        <f>IF($B3="","",COUNTIFS('Web Feed'!$B$2:$B$3015,"OHW",'Web Feed'!$F$2:$F$3015,$B3))</f>
        <v/>
      </c>
      <c r="J3">
        <f>IF($B3="","",IFERROR(INDEX('Last Week'!$A$2:$A$301,MATCH($B3,'Last Week'!$B$2:$B$301,0)),""))</f>
        <v/>
      </c>
      <c r="K3">
        <f>IF(OR($B3="",$J3=""),"",$J3-$A3)</f>
        <v/>
      </c>
    </row>
    <row r="4">
      <c r="A4">
        <f>IF($B4="","",RANK($C4,$C$2:$C$500))</f>
        <v/>
      </c>
      <c r="B4">
        <f>IF(Players!$A4="","",Players!$A4)</f>
        <v/>
      </c>
      <c r="C4" s="5">
        <f>IF($B4="","",SUM(D4:H4))</f>
        <v/>
      </c>
      <c r="D4">
        <f>IF($B4="","",SUMIFS('Web Feed'!$O$2:$O$3015,'Web Feed'!$B$2:$B$3015,Points!$A$2,'Web Feed'!$F$2:$F$3015,$B4)+SUMIFS('Web Feed'!$O$2:$O$3015,'Web Feed'!$B$2:$B$3015,Points!$A$2,'Web Feed'!$G$2:$G$3015,$B4)+SUMIFS('Web Feed'!$O$2:$O$3015,'Web Feed'!$B$2:$B$3015,Points!$A$2,'Web Feed'!$H$2:$H$3015,$B4)+SUMIFS('Web Feed'!$O$2:$O$3015,'Web Feed'!$B$2:$B$3015,Points!$A$2,'Web Feed'!$I$2:$I$3015,$B4))</f>
        <v/>
      </c>
      <c r="E4">
        <f>IF($B4="","",SUMIFS('Web Feed'!$O$2:$O$3015,'Web Feed'!$B$2:$B$3015,Points!$A$3,'Web Feed'!$F$2:$F$3015,$B4)+SUMIFS('Web Feed'!$O$2:$O$3015,'Web Feed'!$B$2:$B$3015,Points!$A$3,'Web Feed'!$G$2:$G$3015,$B4)+SUMIFS('Web Feed'!$O$2:$O$3015,'Web Feed'!$B$2:$B$3015,Points!$A$3,'Web Feed'!$H$2:$H$3015,$B4)+SUMIFS('Web Feed'!$O$2:$O$3015,'Web Feed'!$B$2:$B$3015,Points!$A$3,'Web Feed'!$I$2:$I$3015,$B4))</f>
        <v/>
      </c>
      <c r="F4">
        <f>IF($B4="","",SUMIFS('Web Feed'!$O$2:$O$3015,'Web Feed'!$B$2:$B$3015,Points!$A$4,'Web Feed'!$F$2:$F$3015,$B4)+SUMIFS('Web Feed'!$O$2:$O$3015,'Web Feed'!$B$2:$B$3015,Points!$A$4,'Web Feed'!$G$2:$G$3015,$B4)+SUMIFS('Web Feed'!$O$2:$O$3015,'Web Feed'!$B$2:$B$3015,Points!$A$4,'Web Feed'!$H$2:$H$3015,$B4)+SUMIFS('Web Feed'!$O$2:$O$3015,'Web Feed'!$B$2:$B$3015,Points!$A$4,'Web Feed'!$I$2:$I$3015,$B4))</f>
        <v/>
      </c>
      <c r="G4">
        <f>IF($B4="","",SUMIFS('Web Feed'!$O$2:$O$3015,'Web Feed'!$B$2:$B$3015,Points!$A$5,'Web Feed'!$F$2:$F$3015,$B4)+SUMIFS('Web Feed'!$O$2:$O$3015,'Web Feed'!$B$2:$B$3015,Points!$A$5,'Web Feed'!$G$2:$G$3015,$B4)+SUMIFS('Web Feed'!$O$2:$O$3015,'Web Feed'!$B$2:$B$3015,Points!$A$5,'Web Feed'!$H$2:$H$3015,$B4)+SUMIFS('Web Feed'!$O$2:$O$3015,'Web Feed'!$B$2:$B$3015,Points!$A$5,'Web Feed'!$I$2:$I$3015,$B4))</f>
        <v/>
      </c>
      <c r="H4">
        <f>IF($B4="","",SUMIFS('Web Feed'!$O$2:$O$3015,'Web Feed'!$B$2:$B$3015,Points!$A$6,'Web Feed'!$F$2:$F$3015,$B4)+SUMIFS('Web Feed'!$O$2:$O$3015,'Web Feed'!$B$2:$B$3015,Points!$A$6,'Web Feed'!$G$2:$G$3015,$B4)+SUMIFS('Web Feed'!$O$2:$O$3015,'Web Feed'!$B$2:$B$3015,Points!$A$6,'Web Feed'!$H$2:$H$3015,$B4)+SUMIFS('Web Feed'!$O$2:$O$3015,'Web Feed'!$B$2:$B$3015,Points!$A$6,'Web Feed'!$I$2:$I$3015,$B4))</f>
        <v/>
      </c>
      <c r="I4">
        <f>IF($B4="","",COUNTIFS('Web Feed'!$B$2:$B$3015,"OHW",'Web Feed'!$F$2:$F$3015,$B4))</f>
        <v/>
      </c>
      <c r="J4">
        <f>IF($B4="","",IFERROR(INDEX('Last Week'!$A$2:$A$301,MATCH($B4,'Last Week'!$B$2:$B$301,0)),""))</f>
        <v/>
      </c>
      <c r="K4">
        <f>IF(OR($B4="",$J4=""),"",$J4-$A4)</f>
        <v/>
      </c>
    </row>
    <row r="5">
      <c r="A5">
        <f>IF($B5="","",RANK($C5,$C$2:$C$500))</f>
        <v/>
      </c>
      <c r="B5">
        <f>IF(Players!$A5="","",Players!$A5)</f>
        <v/>
      </c>
      <c r="C5" s="5">
        <f>IF($B5="","",SUM(D5:H5))</f>
        <v/>
      </c>
      <c r="D5">
        <f>IF($B5="","",SUMIFS('Web Feed'!$O$2:$O$3015,'Web Feed'!$B$2:$B$3015,Points!$A$2,'Web Feed'!$F$2:$F$3015,$B5)+SUMIFS('Web Feed'!$O$2:$O$3015,'Web Feed'!$B$2:$B$3015,Points!$A$2,'Web Feed'!$G$2:$G$3015,$B5)+SUMIFS('Web Feed'!$O$2:$O$3015,'Web Feed'!$B$2:$B$3015,Points!$A$2,'Web Feed'!$H$2:$H$3015,$B5)+SUMIFS('Web Feed'!$O$2:$O$3015,'Web Feed'!$B$2:$B$3015,Points!$A$2,'Web Feed'!$I$2:$I$3015,$B5))</f>
        <v/>
      </c>
      <c r="E5">
        <f>IF($B5="","",SUMIFS('Web Feed'!$O$2:$O$3015,'Web Feed'!$B$2:$B$3015,Points!$A$3,'Web Feed'!$F$2:$F$3015,$B5)+SUMIFS('Web Feed'!$O$2:$O$3015,'Web Feed'!$B$2:$B$3015,Points!$A$3,'Web Feed'!$G$2:$G$3015,$B5)+SUMIFS('Web Feed'!$O$2:$O$3015,'Web Feed'!$B$2:$B$3015,Points!$A$3,'Web Feed'!$H$2:$H$3015,$B5)+SUMIFS('Web Feed'!$O$2:$O$3015,'Web Feed'!$B$2:$B$3015,Points!$A$3,'Web Feed'!$I$2:$I$3015,$B5))</f>
        <v/>
      </c>
      <c r="F5">
        <f>IF($B5="","",SUMIFS('Web Feed'!$O$2:$O$3015,'Web Feed'!$B$2:$B$3015,Points!$A$4,'Web Feed'!$F$2:$F$3015,$B5)+SUMIFS('Web Feed'!$O$2:$O$3015,'Web Feed'!$B$2:$B$3015,Points!$A$4,'Web Feed'!$G$2:$G$3015,$B5)+SUMIFS('Web Feed'!$O$2:$O$3015,'Web Feed'!$B$2:$B$3015,Points!$A$4,'Web Feed'!$H$2:$H$3015,$B5)+SUMIFS('Web Feed'!$O$2:$O$3015,'Web Feed'!$B$2:$B$3015,Points!$A$4,'Web Feed'!$I$2:$I$3015,$B5))</f>
        <v/>
      </c>
      <c r="G5">
        <f>IF($B5="","",SUMIFS('Web Feed'!$O$2:$O$3015,'Web Feed'!$B$2:$B$3015,Points!$A$5,'Web Feed'!$F$2:$F$3015,$B5)+SUMIFS('Web Feed'!$O$2:$O$3015,'Web Feed'!$B$2:$B$3015,Points!$A$5,'Web Feed'!$G$2:$G$3015,$B5)+SUMIFS('Web Feed'!$O$2:$O$3015,'Web Feed'!$B$2:$B$3015,Points!$A$5,'Web Feed'!$H$2:$H$3015,$B5)+SUMIFS('Web Feed'!$O$2:$O$3015,'Web Feed'!$B$2:$B$3015,Points!$A$5,'Web Feed'!$I$2:$I$3015,$B5))</f>
        <v/>
      </c>
      <c r="H5">
        <f>IF($B5="","",SUMIFS('Web Feed'!$O$2:$O$3015,'Web Feed'!$B$2:$B$3015,Points!$A$6,'Web Feed'!$F$2:$F$3015,$B5)+SUMIFS('Web Feed'!$O$2:$O$3015,'Web Feed'!$B$2:$B$3015,Points!$A$6,'Web Feed'!$G$2:$G$3015,$B5)+SUMIFS('Web Feed'!$O$2:$O$3015,'Web Feed'!$B$2:$B$3015,Points!$A$6,'Web Feed'!$H$2:$H$3015,$B5)+SUMIFS('Web Feed'!$O$2:$O$3015,'Web Feed'!$B$2:$B$3015,Points!$A$6,'Web Feed'!$I$2:$I$3015,$B5))</f>
        <v/>
      </c>
      <c r="I5">
        <f>IF($B5="","",COUNTIFS('Web Feed'!$B$2:$B$3015,"OHW",'Web Feed'!$F$2:$F$3015,$B5))</f>
        <v/>
      </c>
      <c r="J5">
        <f>IF($B5="","",IFERROR(INDEX('Last Week'!$A$2:$A$301,MATCH($B5,'Last Week'!$B$2:$B$301,0)),""))</f>
        <v/>
      </c>
      <c r="K5">
        <f>IF(OR($B5="",$J5=""),"",$J5-$A5)</f>
        <v/>
      </c>
    </row>
    <row r="6">
      <c r="A6">
        <f>IF($B6="","",RANK($C6,$C$2:$C$500))</f>
        <v/>
      </c>
      <c r="B6">
        <f>IF(Players!$A6="","",Players!$A6)</f>
        <v/>
      </c>
      <c r="C6" s="5">
        <f>IF($B6="","",SUM(D6:H6))</f>
        <v/>
      </c>
      <c r="D6">
        <f>IF($B6="","",SUMIFS('Web Feed'!$O$2:$O$3015,'Web Feed'!$B$2:$B$3015,Points!$A$2,'Web Feed'!$F$2:$F$3015,$B6)+SUMIFS('Web Feed'!$O$2:$O$3015,'Web Feed'!$B$2:$B$3015,Points!$A$2,'Web Feed'!$G$2:$G$3015,$B6)+SUMIFS('Web Feed'!$O$2:$O$3015,'Web Feed'!$B$2:$B$3015,Points!$A$2,'Web Feed'!$H$2:$H$3015,$B6)+SUMIFS('Web Feed'!$O$2:$O$3015,'Web Feed'!$B$2:$B$3015,Points!$A$2,'Web Feed'!$I$2:$I$3015,$B6))</f>
        <v/>
      </c>
      <c r="E6">
        <f>IF($B6="","",SUMIFS('Web Feed'!$O$2:$O$3015,'Web Feed'!$B$2:$B$3015,Points!$A$3,'Web Feed'!$F$2:$F$3015,$B6)+SUMIFS('Web Feed'!$O$2:$O$3015,'Web Feed'!$B$2:$B$3015,Points!$A$3,'Web Feed'!$G$2:$G$3015,$B6)+SUMIFS('Web Feed'!$O$2:$O$3015,'Web Feed'!$B$2:$B$3015,Points!$A$3,'Web Feed'!$H$2:$H$3015,$B6)+SUMIFS('Web Feed'!$O$2:$O$3015,'Web Feed'!$B$2:$B$3015,Points!$A$3,'Web Feed'!$I$2:$I$3015,$B6))</f>
        <v/>
      </c>
      <c r="F6">
        <f>IF($B6="","",SUMIFS('Web Feed'!$O$2:$O$3015,'Web Feed'!$B$2:$B$3015,Points!$A$4,'Web Feed'!$F$2:$F$3015,$B6)+SUMIFS('Web Feed'!$O$2:$O$3015,'Web Feed'!$B$2:$B$3015,Points!$A$4,'Web Feed'!$G$2:$G$3015,$B6)+SUMIFS('Web Feed'!$O$2:$O$3015,'Web Feed'!$B$2:$B$3015,Points!$A$4,'Web Feed'!$H$2:$H$3015,$B6)+SUMIFS('Web Feed'!$O$2:$O$3015,'Web Feed'!$B$2:$B$3015,Points!$A$4,'Web Feed'!$I$2:$I$3015,$B6))</f>
        <v/>
      </c>
      <c r="G6">
        <f>IF($B6="","",SUMIFS('Web Feed'!$O$2:$O$3015,'Web Feed'!$B$2:$B$3015,Points!$A$5,'Web Feed'!$F$2:$F$3015,$B6)+SUMIFS('Web Feed'!$O$2:$O$3015,'Web Feed'!$B$2:$B$3015,Points!$A$5,'Web Feed'!$G$2:$G$3015,$B6)+SUMIFS('Web Feed'!$O$2:$O$3015,'Web Feed'!$B$2:$B$3015,Points!$A$5,'Web Feed'!$H$2:$H$3015,$B6)+SUMIFS('Web Feed'!$O$2:$O$3015,'Web Feed'!$B$2:$B$3015,Points!$A$5,'Web Feed'!$I$2:$I$3015,$B6))</f>
        <v/>
      </c>
      <c r="H6">
        <f>IF($B6="","",SUMIFS('Web Feed'!$O$2:$O$3015,'Web Feed'!$B$2:$B$3015,Points!$A$6,'Web Feed'!$F$2:$F$3015,$B6)+SUMIFS('Web Feed'!$O$2:$O$3015,'Web Feed'!$B$2:$B$3015,Points!$A$6,'Web Feed'!$G$2:$G$3015,$B6)+SUMIFS('Web Feed'!$O$2:$O$3015,'Web Feed'!$B$2:$B$3015,Points!$A$6,'Web Feed'!$H$2:$H$3015,$B6)+SUMIFS('Web Feed'!$O$2:$O$3015,'Web Feed'!$B$2:$B$3015,Points!$A$6,'Web Feed'!$I$2:$I$3015,$B6))</f>
        <v/>
      </c>
      <c r="I6">
        <f>IF($B6="","",COUNTIFS('Web Feed'!$B$2:$B$3015,"OHW",'Web Feed'!$F$2:$F$3015,$B6))</f>
        <v/>
      </c>
      <c r="J6">
        <f>IF($B6="","",IFERROR(INDEX('Last Week'!$A$2:$A$301,MATCH($B6,'Last Week'!$B$2:$B$301,0)),""))</f>
        <v/>
      </c>
      <c r="K6">
        <f>IF(OR($B6="",$J6=""),"",$J6-$A6)</f>
        <v/>
      </c>
    </row>
    <row r="7">
      <c r="A7">
        <f>IF($B7="","",RANK($C7,$C$2:$C$500))</f>
        <v/>
      </c>
      <c r="B7">
        <f>IF(Players!$A7="","",Players!$A7)</f>
        <v/>
      </c>
      <c r="C7" s="5">
        <f>IF($B7="","",SUM(D7:H7))</f>
        <v/>
      </c>
      <c r="D7">
        <f>IF($B7="","",SUMIFS('Web Feed'!$O$2:$O$3015,'Web Feed'!$B$2:$B$3015,Points!$A$2,'Web Feed'!$F$2:$F$3015,$B7)+SUMIFS('Web Feed'!$O$2:$O$3015,'Web Feed'!$B$2:$B$3015,Points!$A$2,'Web Feed'!$G$2:$G$3015,$B7)+SUMIFS('Web Feed'!$O$2:$O$3015,'Web Feed'!$B$2:$B$3015,Points!$A$2,'Web Feed'!$H$2:$H$3015,$B7)+SUMIFS('Web Feed'!$O$2:$O$3015,'Web Feed'!$B$2:$B$3015,Points!$A$2,'Web Feed'!$I$2:$I$3015,$B7))</f>
        <v/>
      </c>
      <c r="E7">
        <f>IF($B7="","",SUMIFS('Web Feed'!$O$2:$O$3015,'Web Feed'!$B$2:$B$3015,Points!$A$3,'Web Feed'!$F$2:$F$3015,$B7)+SUMIFS('Web Feed'!$O$2:$O$3015,'Web Feed'!$B$2:$B$3015,Points!$A$3,'Web Feed'!$G$2:$G$3015,$B7)+SUMIFS('Web Feed'!$O$2:$O$3015,'Web Feed'!$B$2:$B$3015,Points!$A$3,'Web Feed'!$H$2:$H$3015,$B7)+SUMIFS('Web Feed'!$O$2:$O$3015,'Web Feed'!$B$2:$B$3015,Points!$A$3,'Web Feed'!$I$2:$I$3015,$B7))</f>
        <v/>
      </c>
      <c r="F7">
        <f>IF($B7="","",SUMIFS('Web Feed'!$O$2:$O$3015,'Web Feed'!$B$2:$B$3015,Points!$A$4,'Web Feed'!$F$2:$F$3015,$B7)+SUMIFS('Web Feed'!$O$2:$O$3015,'Web Feed'!$B$2:$B$3015,Points!$A$4,'Web Feed'!$G$2:$G$3015,$B7)+SUMIFS('Web Feed'!$O$2:$O$3015,'Web Feed'!$B$2:$B$3015,Points!$A$4,'Web Feed'!$H$2:$H$3015,$B7)+SUMIFS('Web Feed'!$O$2:$O$3015,'Web Feed'!$B$2:$B$3015,Points!$A$4,'Web Feed'!$I$2:$I$3015,$B7))</f>
        <v/>
      </c>
      <c r="G7">
        <f>IF($B7="","",SUMIFS('Web Feed'!$O$2:$O$3015,'Web Feed'!$B$2:$B$3015,Points!$A$5,'Web Feed'!$F$2:$F$3015,$B7)+SUMIFS('Web Feed'!$O$2:$O$3015,'Web Feed'!$B$2:$B$3015,Points!$A$5,'Web Feed'!$G$2:$G$3015,$B7)+SUMIFS('Web Feed'!$O$2:$O$3015,'Web Feed'!$B$2:$B$3015,Points!$A$5,'Web Feed'!$H$2:$H$3015,$B7)+SUMIFS('Web Feed'!$O$2:$O$3015,'Web Feed'!$B$2:$B$3015,Points!$A$5,'Web Feed'!$I$2:$I$3015,$B7))</f>
        <v/>
      </c>
      <c r="H7">
        <f>IF($B7="","",SUMIFS('Web Feed'!$O$2:$O$3015,'Web Feed'!$B$2:$B$3015,Points!$A$6,'Web Feed'!$F$2:$F$3015,$B7)+SUMIFS('Web Feed'!$O$2:$O$3015,'Web Feed'!$B$2:$B$3015,Points!$A$6,'Web Feed'!$G$2:$G$3015,$B7)+SUMIFS('Web Feed'!$O$2:$O$3015,'Web Feed'!$B$2:$B$3015,Points!$A$6,'Web Feed'!$H$2:$H$3015,$B7)+SUMIFS('Web Feed'!$O$2:$O$3015,'Web Feed'!$B$2:$B$3015,Points!$A$6,'Web Feed'!$I$2:$I$3015,$B7))</f>
        <v/>
      </c>
      <c r="I7">
        <f>IF($B7="","",COUNTIFS('Web Feed'!$B$2:$B$3015,"OHW",'Web Feed'!$F$2:$F$3015,$B7))</f>
        <v/>
      </c>
      <c r="J7">
        <f>IF($B7="","",IFERROR(INDEX('Last Week'!$A$2:$A$301,MATCH($B7,'Last Week'!$B$2:$B$301,0)),""))</f>
        <v/>
      </c>
      <c r="K7">
        <f>IF(OR($B7="",$J7=""),"",$J7-$A7)</f>
        <v/>
      </c>
    </row>
    <row r="8">
      <c r="A8">
        <f>IF($B8="","",RANK($C8,$C$2:$C$500))</f>
        <v/>
      </c>
      <c r="B8">
        <f>IF(Players!$A8="","",Players!$A8)</f>
        <v/>
      </c>
      <c r="C8" s="5">
        <f>IF($B8="","",SUM(D8:H8))</f>
        <v/>
      </c>
      <c r="D8">
        <f>IF($B8="","",SUMIFS('Web Feed'!$O$2:$O$3015,'Web Feed'!$B$2:$B$3015,Points!$A$2,'Web Feed'!$F$2:$F$3015,$B8)+SUMIFS('Web Feed'!$O$2:$O$3015,'Web Feed'!$B$2:$B$3015,Points!$A$2,'Web Feed'!$G$2:$G$3015,$B8)+SUMIFS('Web Feed'!$O$2:$O$3015,'Web Feed'!$B$2:$B$3015,Points!$A$2,'Web Feed'!$H$2:$H$3015,$B8)+SUMIFS('Web Feed'!$O$2:$O$3015,'Web Feed'!$B$2:$B$3015,Points!$A$2,'Web Feed'!$I$2:$I$3015,$B8))</f>
        <v/>
      </c>
      <c r="E8">
        <f>IF($B8="","",SUMIFS('Web Feed'!$O$2:$O$3015,'Web Feed'!$B$2:$B$3015,Points!$A$3,'Web Feed'!$F$2:$F$3015,$B8)+SUMIFS('Web Feed'!$O$2:$O$3015,'Web Feed'!$B$2:$B$3015,Points!$A$3,'Web Feed'!$G$2:$G$3015,$B8)+SUMIFS('Web Feed'!$O$2:$O$3015,'Web Feed'!$B$2:$B$3015,Points!$A$3,'Web Feed'!$H$2:$H$3015,$B8)+SUMIFS('Web Feed'!$O$2:$O$3015,'Web Feed'!$B$2:$B$3015,Points!$A$3,'Web Feed'!$I$2:$I$3015,$B8))</f>
        <v/>
      </c>
      <c r="F8">
        <f>IF($B8="","",SUMIFS('Web Feed'!$O$2:$O$3015,'Web Feed'!$B$2:$B$3015,Points!$A$4,'Web Feed'!$F$2:$F$3015,$B8)+SUMIFS('Web Feed'!$O$2:$O$3015,'Web Feed'!$B$2:$B$3015,Points!$A$4,'Web Feed'!$G$2:$G$3015,$B8)+SUMIFS('Web Feed'!$O$2:$O$3015,'Web Feed'!$B$2:$B$3015,Points!$A$4,'Web Feed'!$H$2:$H$3015,$B8)+SUMIFS('Web Feed'!$O$2:$O$3015,'Web Feed'!$B$2:$B$3015,Points!$A$4,'Web Feed'!$I$2:$I$3015,$B8))</f>
        <v/>
      </c>
      <c r="G8">
        <f>IF($B8="","",SUMIFS('Web Feed'!$O$2:$O$3015,'Web Feed'!$B$2:$B$3015,Points!$A$5,'Web Feed'!$F$2:$F$3015,$B8)+SUMIFS('Web Feed'!$O$2:$O$3015,'Web Feed'!$B$2:$B$3015,Points!$A$5,'Web Feed'!$G$2:$G$3015,$B8)+SUMIFS('Web Feed'!$O$2:$O$3015,'Web Feed'!$B$2:$B$3015,Points!$A$5,'Web Feed'!$H$2:$H$3015,$B8)+SUMIFS('Web Feed'!$O$2:$O$3015,'Web Feed'!$B$2:$B$3015,Points!$A$5,'Web Feed'!$I$2:$I$3015,$B8))</f>
        <v/>
      </c>
      <c r="H8">
        <f>IF($B8="","",SUMIFS('Web Feed'!$O$2:$O$3015,'Web Feed'!$B$2:$B$3015,Points!$A$6,'Web Feed'!$F$2:$F$3015,$B8)+SUMIFS('Web Feed'!$O$2:$O$3015,'Web Feed'!$B$2:$B$3015,Points!$A$6,'Web Feed'!$G$2:$G$3015,$B8)+SUMIFS('Web Feed'!$O$2:$O$3015,'Web Feed'!$B$2:$B$3015,Points!$A$6,'Web Feed'!$H$2:$H$3015,$B8)+SUMIFS('Web Feed'!$O$2:$O$3015,'Web Feed'!$B$2:$B$3015,Points!$A$6,'Web Feed'!$I$2:$I$3015,$B8))</f>
        <v/>
      </c>
      <c r="I8">
        <f>IF($B8="","",COUNTIFS('Web Feed'!$B$2:$B$3015,"OHW",'Web Feed'!$F$2:$F$3015,$B8))</f>
        <v/>
      </c>
      <c r="J8">
        <f>IF($B8="","",IFERROR(INDEX('Last Week'!$A$2:$A$301,MATCH($B8,'Last Week'!$B$2:$B$301,0)),""))</f>
        <v/>
      </c>
      <c r="K8">
        <f>IF(OR($B8="",$J8=""),"",$J8-$A8)</f>
        <v/>
      </c>
    </row>
    <row r="9">
      <c r="A9">
        <f>IF($B9="","",RANK($C9,$C$2:$C$500))</f>
        <v/>
      </c>
      <c r="B9">
        <f>IF(Players!$A9="","",Players!$A9)</f>
        <v/>
      </c>
      <c r="C9" s="5">
        <f>IF($B9="","",SUM(D9:H9))</f>
        <v/>
      </c>
      <c r="D9">
        <f>IF($B9="","",SUMIFS('Web Feed'!$O$2:$O$3015,'Web Feed'!$B$2:$B$3015,Points!$A$2,'Web Feed'!$F$2:$F$3015,$B9)+SUMIFS('Web Feed'!$O$2:$O$3015,'Web Feed'!$B$2:$B$3015,Points!$A$2,'Web Feed'!$G$2:$G$3015,$B9)+SUMIFS('Web Feed'!$O$2:$O$3015,'Web Feed'!$B$2:$B$3015,Points!$A$2,'Web Feed'!$H$2:$H$3015,$B9)+SUMIFS('Web Feed'!$O$2:$O$3015,'Web Feed'!$B$2:$B$3015,Points!$A$2,'Web Feed'!$I$2:$I$3015,$B9))</f>
        <v/>
      </c>
      <c r="E9">
        <f>IF($B9="","",SUMIFS('Web Feed'!$O$2:$O$3015,'Web Feed'!$B$2:$B$3015,Points!$A$3,'Web Feed'!$F$2:$F$3015,$B9)+SUMIFS('Web Feed'!$O$2:$O$3015,'Web Feed'!$B$2:$B$3015,Points!$A$3,'Web Feed'!$G$2:$G$3015,$B9)+SUMIFS('Web Feed'!$O$2:$O$3015,'Web Feed'!$B$2:$B$3015,Points!$A$3,'Web Feed'!$H$2:$H$3015,$B9)+SUMIFS('Web Feed'!$O$2:$O$3015,'Web Feed'!$B$2:$B$3015,Points!$A$3,'Web Feed'!$I$2:$I$3015,$B9))</f>
        <v/>
      </c>
      <c r="F9">
        <f>IF($B9="","",SUMIFS('Web Feed'!$O$2:$O$3015,'Web Feed'!$B$2:$B$3015,Points!$A$4,'Web Feed'!$F$2:$F$3015,$B9)+SUMIFS('Web Feed'!$O$2:$O$3015,'Web Feed'!$B$2:$B$3015,Points!$A$4,'Web Feed'!$G$2:$G$3015,$B9)+SUMIFS('Web Feed'!$O$2:$O$3015,'Web Feed'!$B$2:$B$3015,Points!$A$4,'Web Feed'!$H$2:$H$3015,$B9)+SUMIFS('Web Feed'!$O$2:$O$3015,'Web Feed'!$B$2:$B$3015,Points!$A$4,'Web Feed'!$I$2:$I$3015,$B9))</f>
        <v/>
      </c>
      <c r="G9">
        <f>IF($B9="","",SUMIFS('Web Feed'!$O$2:$O$3015,'Web Feed'!$B$2:$B$3015,Points!$A$5,'Web Feed'!$F$2:$F$3015,$B9)+SUMIFS('Web Feed'!$O$2:$O$3015,'Web Feed'!$B$2:$B$3015,Points!$A$5,'Web Feed'!$G$2:$G$3015,$B9)+SUMIFS('Web Feed'!$O$2:$O$3015,'Web Feed'!$B$2:$B$3015,Points!$A$5,'Web Feed'!$H$2:$H$3015,$B9)+SUMIFS('Web Feed'!$O$2:$O$3015,'Web Feed'!$B$2:$B$3015,Points!$A$5,'Web Feed'!$I$2:$I$3015,$B9))</f>
        <v/>
      </c>
      <c r="H9">
        <f>IF($B9="","",SUMIFS('Web Feed'!$O$2:$O$3015,'Web Feed'!$B$2:$B$3015,Points!$A$6,'Web Feed'!$F$2:$F$3015,$B9)+SUMIFS('Web Feed'!$O$2:$O$3015,'Web Feed'!$B$2:$B$3015,Points!$A$6,'Web Feed'!$G$2:$G$3015,$B9)+SUMIFS('Web Feed'!$O$2:$O$3015,'Web Feed'!$B$2:$B$3015,Points!$A$6,'Web Feed'!$H$2:$H$3015,$B9)+SUMIFS('Web Feed'!$O$2:$O$3015,'Web Feed'!$B$2:$B$3015,Points!$A$6,'Web Feed'!$I$2:$I$3015,$B9))</f>
        <v/>
      </c>
      <c r="I9">
        <f>IF($B9="","",COUNTIFS('Web Feed'!$B$2:$B$3015,"OHW",'Web Feed'!$F$2:$F$3015,$B9))</f>
        <v/>
      </c>
      <c r="J9">
        <f>IF($B9="","",IFERROR(INDEX('Last Week'!$A$2:$A$301,MATCH($B9,'Last Week'!$B$2:$B$301,0)),""))</f>
        <v/>
      </c>
      <c r="K9">
        <f>IF(OR($B9="",$J9=""),"",$J9-$A9)</f>
        <v/>
      </c>
    </row>
    <row r="10">
      <c r="A10">
        <f>IF($B10="","",RANK($C10,$C$2:$C$500))</f>
        <v/>
      </c>
      <c r="B10">
        <f>IF(Players!$A10="","",Players!$A10)</f>
        <v/>
      </c>
      <c r="C10" s="5">
        <f>IF($B10="","",SUM(D10:H10))</f>
        <v/>
      </c>
      <c r="D10">
        <f>IF($B10="","",SUMIFS('Web Feed'!$O$2:$O$3015,'Web Feed'!$B$2:$B$3015,Points!$A$2,'Web Feed'!$F$2:$F$3015,$B10)+SUMIFS('Web Feed'!$O$2:$O$3015,'Web Feed'!$B$2:$B$3015,Points!$A$2,'Web Feed'!$G$2:$G$3015,$B10)+SUMIFS('Web Feed'!$O$2:$O$3015,'Web Feed'!$B$2:$B$3015,Points!$A$2,'Web Feed'!$H$2:$H$3015,$B10)+SUMIFS('Web Feed'!$O$2:$O$3015,'Web Feed'!$B$2:$B$3015,Points!$A$2,'Web Feed'!$I$2:$I$3015,$B10))</f>
        <v/>
      </c>
      <c r="E10">
        <f>IF($B10="","",SUMIFS('Web Feed'!$O$2:$O$3015,'Web Feed'!$B$2:$B$3015,Points!$A$3,'Web Feed'!$F$2:$F$3015,$B10)+SUMIFS('Web Feed'!$O$2:$O$3015,'Web Feed'!$B$2:$B$3015,Points!$A$3,'Web Feed'!$G$2:$G$3015,$B10)+SUMIFS('Web Feed'!$O$2:$O$3015,'Web Feed'!$B$2:$B$3015,Points!$A$3,'Web Feed'!$H$2:$H$3015,$B10)+SUMIFS('Web Feed'!$O$2:$O$3015,'Web Feed'!$B$2:$B$3015,Points!$A$3,'Web Feed'!$I$2:$I$3015,$B10))</f>
        <v/>
      </c>
      <c r="F10">
        <f>IF($B10="","",SUMIFS('Web Feed'!$O$2:$O$3015,'Web Feed'!$B$2:$B$3015,Points!$A$4,'Web Feed'!$F$2:$F$3015,$B10)+SUMIFS('Web Feed'!$O$2:$O$3015,'Web Feed'!$B$2:$B$3015,Points!$A$4,'Web Feed'!$G$2:$G$3015,$B10)+SUMIFS('Web Feed'!$O$2:$O$3015,'Web Feed'!$B$2:$B$3015,Points!$A$4,'Web Feed'!$H$2:$H$3015,$B10)+SUMIFS('Web Feed'!$O$2:$O$3015,'Web Feed'!$B$2:$B$3015,Points!$A$4,'Web Feed'!$I$2:$I$3015,$B10))</f>
        <v/>
      </c>
      <c r="G10">
        <f>IF($B10="","",SUMIFS('Web Feed'!$O$2:$O$3015,'Web Feed'!$B$2:$B$3015,Points!$A$5,'Web Feed'!$F$2:$F$3015,$B10)+SUMIFS('Web Feed'!$O$2:$O$3015,'Web Feed'!$B$2:$B$3015,Points!$A$5,'Web Feed'!$G$2:$G$3015,$B10)+SUMIFS('Web Feed'!$O$2:$O$3015,'Web Feed'!$B$2:$B$3015,Points!$A$5,'Web Feed'!$H$2:$H$3015,$B10)+SUMIFS('Web Feed'!$O$2:$O$3015,'Web Feed'!$B$2:$B$3015,Points!$A$5,'Web Feed'!$I$2:$I$3015,$B10))</f>
        <v/>
      </c>
      <c r="H10">
        <f>IF($B10="","",SUMIFS('Web Feed'!$O$2:$O$3015,'Web Feed'!$B$2:$B$3015,Points!$A$6,'Web Feed'!$F$2:$F$3015,$B10)+SUMIFS('Web Feed'!$O$2:$O$3015,'Web Feed'!$B$2:$B$3015,Points!$A$6,'Web Feed'!$G$2:$G$3015,$B10)+SUMIFS('Web Feed'!$O$2:$O$3015,'Web Feed'!$B$2:$B$3015,Points!$A$6,'Web Feed'!$H$2:$H$3015,$B10)+SUMIFS('Web Feed'!$O$2:$O$3015,'Web Feed'!$B$2:$B$3015,Points!$A$6,'Web Feed'!$I$2:$I$3015,$B10))</f>
        <v/>
      </c>
      <c r="I10">
        <f>IF($B10="","",COUNTIFS('Web Feed'!$B$2:$B$3015,"OHW",'Web Feed'!$F$2:$F$3015,$B10))</f>
        <v/>
      </c>
      <c r="J10">
        <f>IF($B10="","",IFERROR(INDEX('Last Week'!$A$2:$A$301,MATCH($B10,'Last Week'!$B$2:$B$301,0)),""))</f>
        <v/>
      </c>
      <c r="K10">
        <f>IF(OR($B10="",$J10=""),"",$J10-$A10)</f>
        <v/>
      </c>
    </row>
    <row r="11">
      <c r="A11">
        <f>IF($B11="","",RANK($C11,$C$2:$C$500))</f>
        <v/>
      </c>
      <c r="B11">
        <f>IF(Players!$A11="","",Players!$A11)</f>
        <v/>
      </c>
      <c r="C11" s="5">
        <f>IF($B11="","",SUM(D11:H11))</f>
        <v/>
      </c>
      <c r="D11">
        <f>IF($B11="","",SUMIFS('Web Feed'!$O$2:$O$3015,'Web Feed'!$B$2:$B$3015,Points!$A$2,'Web Feed'!$F$2:$F$3015,$B11)+SUMIFS('Web Feed'!$O$2:$O$3015,'Web Feed'!$B$2:$B$3015,Points!$A$2,'Web Feed'!$G$2:$G$3015,$B11)+SUMIFS('Web Feed'!$O$2:$O$3015,'Web Feed'!$B$2:$B$3015,Points!$A$2,'Web Feed'!$H$2:$H$3015,$B11)+SUMIFS('Web Feed'!$O$2:$O$3015,'Web Feed'!$B$2:$B$3015,Points!$A$2,'Web Feed'!$I$2:$I$3015,$B11))</f>
        <v/>
      </c>
      <c r="E11">
        <f>IF($B11="","",SUMIFS('Web Feed'!$O$2:$O$3015,'Web Feed'!$B$2:$B$3015,Points!$A$3,'Web Feed'!$F$2:$F$3015,$B11)+SUMIFS('Web Feed'!$O$2:$O$3015,'Web Feed'!$B$2:$B$3015,Points!$A$3,'Web Feed'!$G$2:$G$3015,$B11)+SUMIFS('Web Feed'!$O$2:$O$3015,'Web Feed'!$B$2:$B$3015,Points!$A$3,'Web Feed'!$H$2:$H$3015,$B11)+SUMIFS('Web Feed'!$O$2:$O$3015,'Web Feed'!$B$2:$B$3015,Points!$A$3,'Web Feed'!$I$2:$I$3015,$B11))</f>
        <v/>
      </c>
      <c r="F11">
        <f>IF($B11="","",SUMIFS('Web Feed'!$O$2:$O$3015,'Web Feed'!$B$2:$B$3015,Points!$A$4,'Web Feed'!$F$2:$F$3015,$B11)+SUMIFS('Web Feed'!$O$2:$O$3015,'Web Feed'!$B$2:$B$3015,Points!$A$4,'Web Feed'!$G$2:$G$3015,$B11)+SUMIFS('Web Feed'!$O$2:$O$3015,'Web Feed'!$B$2:$B$3015,Points!$A$4,'Web Feed'!$H$2:$H$3015,$B11)+SUMIFS('Web Feed'!$O$2:$O$3015,'Web Feed'!$B$2:$B$3015,Points!$A$4,'Web Feed'!$I$2:$I$3015,$B11))</f>
        <v/>
      </c>
      <c r="G11">
        <f>IF($B11="","",SUMIFS('Web Feed'!$O$2:$O$3015,'Web Feed'!$B$2:$B$3015,Points!$A$5,'Web Feed'!$F$2:$F$3015,$B11)+SUMIFS('Web Feed'!$O$2:$O$3015,'Web Feed'!$B$2:$B$3015,Points!$A$5,'Web Feed'!$G$2:$G$3015,$B11)+SUMIFS('Web Feed'!$O$2:$O$3015,'Web Feed'!$B$2:$B$3015,Points!$A$5,'Web Feed'!$H$2:$H$3015,$B11)+SUMIFS('Web Feed'!$O$2:$O$3015,'Web Feed'!$B$2:$B$3015,Points!$A$5,'Web Feed'!$I$2:$I$3015,$B11))</f>
        <v/>
      </c>
      <c r="H11">
        <f>IF($B11="","",SUMIFS('Web Feed'!$O$2:$O$3015,'Web Feed'!$B$2:$B$3015,Points!$A$6,'Web Feed'!$F$2:$F$3015,$B11)+SUMIFS('Web Feed'!$O$2:$O$3015,'Web Feed'!$B$2:$B$3015,Points!$A$6,'Web Feed'!$G$2:$G$3015,$B11)+SUMIFS('Web Feed'!$O$2:$O$3015,'Web Feed'!$B$2:$B$3015,Points!$A$6,'Web Feed'!$H$2:$H$3015,$B11)+SUMIFS('Web Feed'!$O$2:$O$3015,'Web Feed'!$B$2:$B$3015,Points!$A$6,'Web Feed'!$I$2:$I$3015,$B11))</f>
        <v/>
      </c>
      <c r="I11">
        <f>IF($B11="","",COUNTIFS('Web Feed'!$B$2:$B$3015,"OHW",'Web Feed'!$F$2:$F$3015,$B11))</f>
        <v/>
      </c>
      <c r="J11">
        <f>IF($B11="","",IFERROR(INDEX('Last Week'!$A$2:$A$301,MATCH($B11,'Last Week'!$B$2:$B$301,0)),""))</f>
        <v/>
      </c>
      <c r="K11">
        <f>IF(OR($B11="",$J11=""),"",$J11-$A11)</f>
        <v/>
      </c>
    </row>
    <row r="12">
      <c r="A12">
        <f>IF($B12="","",RANK($C12,$C$2:$C$500))</f>
        <v/>
      </c>
      <c r="B12">
        <f>IF(Players!$A12="","",Players!$A12)</f>
        <v/>
      </c>
      <c r="C12" s="5">
        <f>IF($B12="","",SUM(D12:H12))</f>
        <v/>
      </c>
      <c r="D12">
        <f>IF($B12="","",SUMIFS('Web Feed'!$O$2:$O$3015,'Web Feed'!$B$2:$B$3015,Points!$A$2,'Web Feed'!$F$2:$F$3015,$B12)+SUMIFS('Web Feed'!$O$2:$O$3015,'Web Feed'!$B$2:$B$3015,Points!$A$2,'Web Feed'!$G$2:$G$3015,$B12)+SUMIFS('Web Feed'!$O$2:$O$3015,'Web Feed'!$B$2:$B$3015,Points!$A$2,'Web Feed'!$H$2:$H$3015,$B12)+SUMIFS('Web Feed'!$O$2:$O$3015,'Web Feed'!$B$2:$B$3015,Points!$A$2,'Web Feed'!$I$2:$I$3015,$B12))</f>
        <v/>
      </c>
      <c r="E12">
        <f>IF($B12="","",SUMIFS('Web Feed'!$O$2:$O$3015,'Web Feed'!$B$2:$B$3015,Points!$A$3,'Web Feed'!$F$2:$F$3015,$B12)+SUMIFS('Web Feed'!$O$2:$O$3015,'Web Feed'!$B$2:$B$3015,Points!$A$3,'Web Feed'!$G$2:$G$3015,$B12)+SUMIFS('Web Feed'!$O$2:$O$3015,'Web Feed'!$B$2:$B$3015,Points!$A$3,'Web Feed'!$H$2:$H$3015,$B12)+SUMIFS('Web Feed'!$O$2:$O$3015,'Web Feed'!$B$2:$B$3015,Points!$A$3,'Web Feed'!$I$2:$I$3015,$B12))</f>
        <v/>
      </c>
      <c r="F12">
        <f>IF($B12="","",SUMIFS('Web Feed'!$O$2:$O$3015,'Web Feed'!$B$2:$B$3015,Points!$A$4,'Web Feed'!$F$2:$F$3015,$B12)+SUMIFS('Web Feed'!$O$2:$O$3015,'Web Feed'!$B$2:$B$3015,Points!$A$4,'Web Feed'!$G$2:$G$3015,$B12)+SUMIFS('Web Feed'!$O$2:$O$3015,'Web Feed'!$B$2:$B$3015,Points!$A$4,'Web Feed'!$H$2:$H$3015,$B12)+SUMIFS('Web Feed'!$O$2:$O$3015,'Web Feed'!$B$2:$B$3015,Points!$A$4,'Web Feed'!$I$2:$I$3015,$B12))</f>
        <v/>
      </c>
      <c r="G12">
        <f>IF($B12="","",SUMIFS('Web Feed'!$O$2:$O$3015,'Web Feed'!$B$2:$B$3015,Points!$A$5,'Web Feed'!$F$2:$F$3015,$B12)+SUMIFS('Web Feed'!$O$2:$O$3015,'Web Feed'!$B$2:$B$3015,Points!$A$5,'Web Feed'!$G$2:$G$3015,$B12)+SUMIFS('Web Feed'!$O$2:$O$3015,'Web Feed'!$B$2:$B$3015,Points!$A$5,'Web Feed'!$H$2:$H$3015,$B12)+SUMIFS('Web Feed'!$O$2:$O$3015,'Web Feed'!$B$2:$B$3015,Points!$A$5,'Web Feed'!$I$2:$I$3015,$B12))</f>
        <v/>
      </c>
      <c r="H12">
        <f>IF($B12="","",SUMIFS('Web Feed'!$O$2:$O$3015,'Web Feed'!$B$2:$B$3015,Points!$A$6,'Web Feed'!$F$2:$F$3015,$B12)+SUMIFS('Web Feed'!$O$2:$O$3015,'Web Feed'!$B$2:$B$3015,Points!$A$6,'Web Feed'!$G$2:$G$3015,$B12)+SUMIFS('Web Feed'!$O$2:$O$3015,'Web Feed'!$B$2:$B$3015,Points!$A$6,'Web Feed'!$H$2:$H$3015,$B12)+SUMIFS('Web Feed'!$O$2:$O$3015,'Web Feed'!$B$2:$B$3015,Points!$A$6,'Web Feed'!$I$2:$I$3015,$B12))</f>
        <v/>
      </c>
      <c r="I12">
        <f>IF($B12="","",COUNTIFS('Web Feed'!$B$2:$B$3015,"OHW",'Web Feed'!$F$2:$F$3015,$B12))</f>
        <v/>
      </c>
      <c r="J12">
        <f>IF($B12="","",IFERROR(INDEX('Last Week'!$A$2:$A$301,MATCH($B12,'Last Week'!$B$2:$B$301,0)),""))</f>
        <v/>
      </c>
      <c r="K12">
        <f>IF(OR($B12="",$J12=""),"",$J12-$A12)</f>
        <v/>
      </c>
    </row>
    <row r="13">
      <c r="A13">
        <f>IF($B13="","",RANK($C13,$C$2:$C$500))</f>
        <v/>
      </c>
      <c r="B13">
        <f>IF(Players!$A13="","",Players!$A13)</f>
        <v/>
      </c>
      <c r="C13" s="5">
        <f>IF($B13="","",SUM(D13:H13))</f>
        <v/>
      </c>
      <c r="D13">
        <f>IF($B13="","",SUMIFS('Web Feed'!$O$2:$O$3015,'Web Feed'!$B$2:$B$3015,Points!$A$2,'Web Feed'!$F$2:$F$3015,$B13)+SUMIFS('Web Feed'!$O$2:$O$3015,'Web Feed'!$B$2:$B$3015,Points!$A$2,'Web Feed'!$G$2:$G$3015,$B13)+SUMIFS('Web Feed'!$O$2:$O$3015,'Web Feed'!$B$2:$B$3015,Points!$A$2,'Web Feed'!$H$2:$H$3015,$B13)+SUMIFS('Web Feed'!$O$2:$O$3015,'Web Feed'!$B$2:$B$3015,Points!$A$2,'Web Feed'!$I$2:$I$3015,$B13))</f>
        <v/>
      </c>
      <c r="E13">
        <f>IF($B13="","",SUMIFS('Web Feed'!$O$2:$O$3015,'Web Feed'!$B$2:$B$3015,Points!$A$3,'Web Feed'!$F$2:$F$3015,$B13)+SUMIFS('Web Feed'!$O$2:$O$3015,'Web Feed'!$B$2:$B$3015,Points!$A$3,'Web Feed'!$G$2:$G$3015,$B13)+SUMIFS('Web Feed'!$O$2:$O$3015,'Web Feed'!$B$2:$B$3015,Points!$A$3,'Web Feed'!$H$2:$H$3015,$B13)+SUMIFS('Web Feed'!$O$2:$O$3015,'Web Feed'!$B$2:$B$3015,Points!$A$3,'Web Feed'!$I$2:$I$3015,$B13))</f>
        <v/>
      </c>
      <c r="F13">
        <f>IF($B13="","",SUMIFS('Web Feed'!$O$2:$O$3015,'Web Feed'!$B$2:$B$3015,Points!$A$4,'Web Feed'!$F$2:$F$3015,$B13)+SUMIFS('Web Feed'!$O$2:$O$3015,'Web Feed'!$B$2:$B$3015,Points!$A$4,'Web Feed'!$G$2:$G$3015,$B13)+SUMIFS('Web Feed'!$O$2:$O$3015,'Web Feed'!$B$2:$B$3015,Points!$A$4,'Web Feed'!$H$2:$H$3015,$B13)+SUMIFS('Web Feed'!$O$2:$O$3015,'Web Feed'!$B$2:$B$3015,Points!$A$4,'Web Feed'!$I$2:$I$3015,$B13))</f>
        <v/>
      </c>
      <c r="G13">
        <f>IF($B13="","",SUMIFS('Web Feed'!$O$2:$O$3015,'Web Feed'!$B$2:$B$3015,Points!$A$5,'Web Feed'!$F$2:$F$3015,$B13)+SUMIFS('Web Feed'!$O$2:$O$3015,'Web Feed'!$B$2:$B$3015,Points!$A$5,'Web Feed'!$G$2:$G$3015,$B13)+SUMIFS('Web Feed'!$O$2:$O$3015,'Web Feed'!$B$2:$B$3015,Points!$A$5,'Web Feed'!$H$2:$H$3015,$B13)+SUMIFS('Web Feed'!$O$2:$O$3015,'Web Feed'!$B$2:$B$3015,Points!$A$5,'Web Feed'!$I$2:$I$3015,$B13))</f>
        <v/>
      </c>
      <c r="H13">
        <f>IF($B13="","",SUMIFS('Web Feed'!$O$2:$O$3015,'Web Feed'!$B$2:$B$3015,Points!$A$6,'Web Feed'!$F$2:$F$3015,$B13)+SUMIFS('Web Feed'!$O$2:$O$3015,'Web Feed'!$B$2:$B$3015,Points!$A$6,'Web Feed'!$G$2:$G$3015,$B13)+SUMIFS('Web Feed'!$O$2:$O$3015,'Web Feed'!$B$2:$B$3015,Points!$A$6,'Web Feed'!$H$2:$H$3015,$B13)+SUMIFS('Web Feed'!$O$2:$O$3015,'Web Feed'!$B$2:$B$3015,Points!$A$6,'Web Feed'!$I$2:$I$3015,$B13))</f>
        <v/>
      </c>
      <c r="I13">
        <f>IF($B13="","",COUNTIFS('Web Feed'!$B$2:$B$3015,"OHW",'Web Feed'!$F$2:$F$3015,$B13))</f>
        <v/>
      </c>
      <c r="J13">
        <f>IF($B13="","",IFERROR(INDEX('Last Week'!$A$2:$A$301,MATCH($B13,'Last Week'!$B$2:$B$301,0)),""))</f>
        <v/>
      </c>
      <c r="K13">
        <f>IF(OR($B13="",$J13=""),"",$J13-$A13)</f>
        <v/>
      </c>
    </row>
    <row r="14">
      <c r="A14">
        <f>IF($B14="","",RANK($C14,$C$2:$C$500))</f>
        <v/>
      </c>
      <c r="B14">
        <f>IF(Players!$A14="","",Players!$A14)</f>
        <v/>
      </c>
      <c r="C14" s="5">
        <f>IF($B14="","",SUM(D14:H14))</f>
        <v/>
      </c>
      <c r="D14">
        <f>IF($B14="","",SUMIFS('Web Feed'!$O$2:$O$3015,'Web Feed'!$B$2:$B$3015,Points!$A$2,'Web Feed'!$F$2:$F$3015,$B14)+SUMIFS('Web Feed'!$O$2:$O$3015,'Web Feed'!$B$2:$B$3015,Points!$A$2,'Web Feed'!$G$2:$G$3015,$B14)+SUMIFS('Web Feed'!$O$2:$O$3015,'Web Feed'!$B$2:$B$3015,Points!$A$2,'Web Feed'!$H$2:$H$3015,$B14)+SUMIFS('Web Feed'!$O$2:$O$3015,'Web Feed'!$B$2:$B$3015,Points!$A$2,'Web Feed'!$I$2:$I$3015,$B14))</f>
        <v/>
      </c>
      <c r="E14">
        <f>IF($B14="","",SUMIFS('Web Feed'!$O$2:$O$3015,'Web Feed'!$B$2:$B$3015,Points!$A$3,'Web Feed'!$F$2:$F$3015,$B14)+SUMIFS('Web Feed'!$O$2:$O$3015,'Web Feed'!$B$2:$B$3015,Points!$A$3,'Web Feed'!$G$2:$G$3015,$B14)+SUMIFS('Web Feed'!$O$2:$O$3015,'Web Feed'!$B$2:$B$3015,Points!$A$3,'Web Feed'!$H$2:$H$3015,$B14)+SUMIFS('Web Feed'!$O$2:$O$3015,'Web Feed'!$B$2:$B$3015,Points!$A$3,'Web Feed'!$I$2:$I$3015,$B14))</f>
        <v/>
      </c>
      <c r="F14">
        <f>IF($B14="","",SUMIFS('Web Feed'!$O$2:$O$3015,'Web Feed'!$B$2:$B$3015,Points!$A$4,'Web Feed'!$F$2:$F$3015,$B14)+SUMIFS('Web Feed'!$O$2:$O$3015,'Web Feed'!$B$2:$B$3015,Points!$A$4,'Web Feed'!$G$2:$G$3015,$B14)+SUMIFS('Web Feed'!$O$2:$O$3015,'Web Feed'!$B$2:$B$3015,Points!$A$4,'Web Feed'!$H$2:$H$3015,$B14)+SUMIFS('Web Feed'!$O$2:$O$3015,'Web Feed'!$B$2:$B$3015,Points!$A$4,'Web Feed'!$I$2:$I$3015,$B14))</f>
        <v/>
      </c>
      <c r="G14">
        <f>IF($B14="","",SUMIFS('Web Feed'!$O$2:$O$3015,'Web Feed'!$B$2:$B$3015,Points!$A$5,'Web Feed'!$F$2:$F$3015,$B14)+SUMIFS('Web Feed'!$O$2:$O$3015,'Web Feed'!$B$2:$B$3015,Points!$A$5,'Web Feed'!$G$2:$G$3015,$B14)+SUMIFS('Web Feed'!$O$2:$O$3015,'Web Feed'!$B$2:$B$3015,Points!$A$5,'Web Feed'!$H$2:$H$3015,$B14)+SUMIFS('Web Feed'!$O$2:$O$3015,'Web Feed'!$B$2:$B$3015,Points!$A$5,'Web Feed'!$I$2:$I$3015,$B14))</f>
        <v/>
      </c>
      <c r="H14">
        <f>IF($B14="","",SUMIFS('Web Feed'!$O$2:$O$3015,'Web Feed'!$B$2:$B$3015,Points!$A$6,'Web Feed'!$F$2:$F$3015,$B14)+SUMIFS('Web Feed'!$O$2:$O$3015,'Web Feed'!$B$2:$B$3015,Points!$A$6,'Web Feed'!$G$2:$G$3015,$B14)+SUMIFS('Web Feed'!$O$2:$O$3015,'Web Feed'!$B$2:$B$3015,Points!$A$6,'Web Feed'!$H$2:$H$3015,$B14)+SUMIFS('Web Feed'!$O$2:$O$3015,'Web Feed'!$B$2:$B$3015,Points!$A$6,'Web Feed'!$I$2:$I$3015,$B14))</f>
        <v/>
      </c>
      <c r="I14">
        <f>IF($B14="","",COUNTIFS('Web Feed'!$B$2:$B$3015,"OHW",'Web Feed'!$F$2:$F$3015,$B14))</f>
        <v/>
      </c>
      <c r="J14">
        <f>IF($B14="","",IFERROR(INDEX('Last Week'!$A$2:$A$301,MATCH($B14,'Last Week'!$B$2:$B$301,0)),""))</f>
        <v/>
      </c>
      <c r="K14">
        <f>IF(OR($B14="",$J14=""),"",$J14-$A14)</f>
        <v/>
      </c>
    </row>
    <row r="15">
      <c r="A15">
        <f>IF($B15="","",RANK($C15,$C$2:$C$500))</f>
        <v/>
      </c>
      <c r="B15">
        <f>IF(Players!$A15="","",Players!$A15)</f>
        <v/>
      </c>
      <c r="C15" s="5">
        <f>IF($B15="","",SUM(D15:H15))</f>
        <v/>
      </c>
      <c r="D15">
        <f>IF($B15="","",SUMIFS('Web Feed'!$O$2:$O$3015,'Web Feed'!$B$2:$B$3015,Points!$A$2,'Web Feed'!$F$2:$F$3015,$B15)+SUMIFS('Web Feed'!$O$2:$O$3015,'Web Feed'!$B$2:$B$3015,Points!$A$2,'Web Feed'!$G$2:$G$3015,$B15)+SUMIFS('Web Feed'!$O$2:$O$3015,'Web Feed'!$B$2:$B$3015,Points!$A$2,'Web Feed'!$H$2:$H$3015,$B15)+SUMIFS('Web Feed'!$O$2:$O$3015,'Web Feed'!$B$2:$B$3015,Points!$A$2,'Web Feed'!$I$2:$I$3015,$B15))</f>
        <v/>
      </c>
      <c r="E15">
        <f>IF($B15="","",SUMIFS('Web Feed'!$O$2:$O$3015,'Web Feed'!$B$2:$B$3015,Points!$A$3,'Web Feed'!$F$2:$F$3015,$B15)+SUMIFS('Web Feed'!$O$2:$O$3015,'Web Feed'!$B$2:$B$3015,Points!$A$3,'Web Feed'!$G$2:$G$3015,$B15)+SUMIFS('Web Feed'!$O$2:$O$3015,'Web Feed'!$B$2:$B$3015,Points!$A$3,'Web Feed'!$H$2:$H$3015,$B15)+SUMIFS('Web Feed'!$O$2:$O$3015,'Web Feed'!$B$2:$B$3015,Points!$A$3,'Web Feed'!$I$2:$I$3015,$B15))</f>
        <v/>
      </c>
      <c r="F15">
        <f>IF($B15="","",SUMIFS('Web Feed'!$O$2:$O$3015,'Web Feed'!$B$2:$B$3015,Points!$A$4,'Web Feed'!$F$2:$F$3015,$B15)+SUMIFS('Web Feed'!$O$2:$O$3015,'Web Feed'!$B$2:$B$3015,Points!$A$4,'Web Feed'!$G$2:$G$3015,$B15)+SUMIFS('Web Feed'!$O$2:$O$3015,'Web Feed'!$B$2:$B$3015,Points!$A$4,'Web Feed'!$H$2:$H$3015,$B15)+SUMIFS('Web Feed'!$O$2:$O$3015,'Web Feed'!$B$2:$B$3015,Points!$A$4,'Web Feed'!$I$2:$I$3015,$B15))</f>
        <v/>
      </c>
      <c r="G15">
        <f>IF($B15="","",SUMIFS('Web Feed'!$O$2:$O$3015,'Web Feed'!$B$2:$B$3015,Points!$A$5,'Web Feed'!$F$2:$F$3015,$B15)+SUMIFS('Web Feed'!$O$2:$O$3015,'Web Feed'!$B$2:$B$3015,Points!$A$5,'Web Feed'!$G$2:$G$3015,$B15)+SUMIFS('Web Feed'!$O$2:$O$3015,'Web Feed'!$B$2:$B$3015,Points!$A$5,'Web Feed'!$H$2:$H$3015,$B15)+SUMIFS('Web Feed'!$O$2:$O$3015,'Web Feed'!$B$2:$B$3015,Points!$A$5,'Web Feed'!$I$2:$I$3015,$B15))</f>
        <v/>
      </c>
      <c r="H15">
        <f>IF($B15="","",SUMIFS('Web Feed'!$O$2:$O$3015,'Web Feed'!$B$2:$B$3015,Points!$A$6,'Web Feed'!$F$2:$F$3015,$B15)+SUMIFS('Web Feed'!$O$2:$O$3015,'Web Feed'!$B$2:$B$3015,Points!$A$6,'Web Feed'!$G$2:$G$3015,$B15)+SUMIFS('Web Feed'!$O$2:$O$3015,'Web Feed'!$B$2:$B$3015,Points!$A$6,'Web Feed'!$H$2:$H$3015,$B15)+SUMIFS('Web Feed'!$O$2:$O$3015,'Web Feed'!$B$2:$B$3015,Points!$A$6,'Web Feed'!$I$2:$I$3015,$B15))</f>
        <v/>
      </c>
      <c r="I15">
        <f>IF($B15="","",COUNTIFS('Web Feed'!$B$2:$B$3015,"OHW",'Web Feed'!$F$2:$F$3015,$B15))</f>
        <v/>
      </c>
      <c r="J15">
        <f>IF($B15="","",IFERROR(INDEX('Last Week'!$A$2:$A$301,MATCH($B15,'Last Week'!$B$2:$B$301,0)),""))</f>
        <v/>
      </c>
      <c r="K15">
        <f>IF(OR($B15="",$J15=""),"",$J15-$A15)</f>
        <v/>
      </c>
    </row>
    <row r="16">
      <c r="A16">
        <f>IF($B16="","",RANK($C16,$C$2:$C$500))</f>
        <v/>
      </c>
      <c r="B16">
        <f>IF(Players!$A16="","",Players!$A16)</f>
        <v/>
      </c>
      <c r="C16" s="5">
        <f>IF($B16="","",SUM(D16:H16))</f>
        <v/>
      </c>
      <c r="D16">
        <f>IF($B16="","",SUMIFS('Web Feed'!$O$2:$O$3015,'Web Feed'!$B$2:$B$3015,Points!$A$2,'Web Feed'!$F$2:$F$3015,$B16)+SUMIFS('Web Feed'!$O$2:$O$3015,'Web Feed'!$B$2:$B$3015,Points!$A$2,'Web Feed'!$G$2:$G$3015,$B16)+SUMIFS('Web Feed'!$O$2:$O$3015,'Web Feed'!$B$2:$B$3015,Points!$A$2,'Web Feed'!$H$2:$H$3015,$B16)+SUMIFS('Web Feed'!$O$2:$O$3015,'Web Feed'!$B$2:$B$3015,Points!$A$2,'Web Feed'!$I$2:$I$3015,$B16))</f>
        <v/>
      </c>
      <c r="E16">
        <f>IF($B16="","",SUMIFS('Web Feed'!$O$2:$O$3015,'Web Feed'!$B$2:$B$3015,Points!$A$3,'Web Feed'!$F$2:$F$3015,$B16)+SUMIFS('Web Feed'!$O$2:$O$3015,'Web Feed'!$B$2:$B$3015,Points!$A$3,'Web Feed'!$G$2:$G$3015,$B16)+SUMIFS('Web Feed'!$O$2:$O$3015,'Web Feed'!$B$2:$B$3015,Points!$A$3,'Web Feed'!$H$2:$H$3015,$B16)+SUMIFS('Web Feed'!$O$2:$O$3015,'Web Feed'!$B$2:$B$3015,Points!$A$3,'Web Feed'!$I$2:$I$3015,$B16))</f>
        <v/>
      </c>
      <c r="F16">
        <f>IF($B16="","",SUMIFS('Web Feed'!$O$2:$O$3015,'Web Feed'!$B$2:$B$3015,Points!$A$4,'Web Feed'!$F$2:$F$3015,$B16)+SUMIFS('Web Feed'!$O$2:$O$3015,'Web Feed'!$B$2:$B$3015,Points!$A$4,'Web Feed'!$G$2:$G$3015,$B16)+SUMIFS('Web Feed'!$O$2:$O$3015,'Web Feed'!$B$2:$B$3015,Points!$A$4,'Web Feed'!$H$2:$H$3015,$B16)+SUMIFS('Web Feed'!$O$2:$O$3015,'Web Feed'!$B$2:$B$3015,Points!$A$4,'Web Feed'!$I$2:$I$3015,$B16))</f>
        <v/>
      </c>
      <c r="G16">
        <f>IF($B16="","",SUMIFS('Web Feed'!$O$2:$O$3015,'Web Feed'!$B$2:$B$3015,Points!$A$5,'Web Feed'!$F$2:$F$3015,$B16)+SUMIFS('Web Feed'!$O$2:$O$3015,'Web Feed'!$B$2:$B$3015,Points!$A$5,'Web Feed'!$G$2:$G$3015,$B16)+SUMIFS('Web Feed'!$O$2:$O$3015,'Web Feed'!$B$2:$B$3015,Points!$A$5,'Web Feed'!$H$2:$H$3015,$B16)+SUMIFS('Web Feed'!$O$2:$O$3015,'Web Feed'!$B$2:$B$3015,Points!$A$5,'Web Feed'!$I$2:$I$3015,$B16))</f>
        <v/>
      </c>
      <c r="H16">
        <f>IF($B16="","",SUMIFS('Web Feed'!$O$2:$O$3015,'Web Feed'!$B$2:$B$3015,Points!$A$6,'Web Feed'!$F$2:$F$3015,$B16)+SUMIFS('Web Feed'!$O$2:$O$3015,'Web Feed'!$B$2:$B$3015,Points!$A$6,'Web Feed'!$G$2:$G$3015,$B16)+SUMIFS('Web Feed'!$O$2:$O$3015,'Web Feed'!$B$2:$B$3015,Points!$A$6,'Web Feed'!$H$2:$H$3015,$B16)+SUMIFS('Web Feed'!$O$2:$O$3015,'Web Feed'!$B$2:$B$3015,Points!$A$6,'Web Feed'!$I$2:$I$3015,$B16))</f>
        <v/>
      </c>
      <c r="I16">
        <f>IF($B16="","",COUNTIFS('Web Feed'!$B$2:$B$3015,"OHW",'Web Feed'!$F$2:$F$3015,$B16))</f>
        <v/>
      </c>
      <c r="J16">
        <f>IF($B16="","",IFERROR(INDEX('Last Week'!$A$2:$A$301,MATCH($B16,'Last Week'!$B$2:$B$301,0)),""))</f>
        <v/>
      </c>
      <c r="K16">
        <f>IF(OR($B16="",$J16=""),"",$J16-$A16)</f>
        <v/>
      </c>
    </row>
    <row r="17">
      <c r="A17">
        <f>IF($B17="","",RANK($C17,$C$2:$C$500))</f>
        <v/>
      </c>
      <c r="B17">
        <f>IF(Players!$A17="","",Players!$A17)</f>
        <v/>
      </c>
      <c r="C17" s="5">
        <f>IF($B17="","",SUM(D17:H17))</f>
        <v/>
      </c>
      <c r="D17">
        <f>IF($B17="","",SUMIFS('Web Feed'!$O$2:$O$3015,'Web Feed'!$B$2:$B$3015,Points!$A$2,'Web Feed'!$F$2:$F$3015,$B17)+SUMIFS('Web Feed'!$O$2:$O$3015,'Web Feed'!$B$2:$B$3015,Points!$A$2,'Web Feed'!$G$2:$G$3015,$B17)+SUMIFS('Web Feed'!$O$2:$O$3015,'Web Feed'!$B$2:$B$3015,Points!$A$2,'Web Feed'!$H$2:$H$3015,$B17)+SUMIFS('Web Feed'!$O$2:$O$3015,'Web Feed'!$B$2:$B$3015,Points!$A$2,'Web Feed'!$I$2:$I$3015,$B17))</f>
        <v/>
      </c>
      <c r="E17">
        <f>IF($B17="","",SUMIFS('Web Feed'!$O$2:$O$3015,'Web Feed'!$B$2:$B$3015,Points!$A$3,'Web Feed'!$F$2:$F$3015,$B17)+SUMIFS('Web Feed'!$O$2:$O$3015,'Web Feed'!$B$2:$B$3015,Points!$A$3,'Web Feed'!$G$2:$G$3015,$B17)+SUMIFS('Web Feed'!$O$2:$O$3015,'Web Feed'!$B$2:$B$3015,Points!$A$3,'Web Feed'!$H$2:$H$3015,$B17)+SUMIFS('Web Feed'!$O$2:$O$3015,'Web Feed'!$B$2:$B$3015,Points!$A$3,'Web Feed'!$I$2:$I$3015,$B17))</f>
        <v/>
      </c>
      <c r="F17">
        <f>IF($B17="","",SUMIFS('Web Feed'!$O$2:$O$3015,'Web Feed'!$B$2:$B$3015,Points!$A$4,'Web Feed'!$F$2:$F$3015,$B17)+SUMIFS('Web Feed'!$O$2:$O$3015,'Web Feed'!$B$2:$B$3015,Points!$A$4,'Web Feed'!$G$2:$G$3015,$B17)+SUMIFS('Web Feed'!$O$2:$O$3015,'Web Feed'!$B$2:$B$3015,Points!$A$4,'Web Feed'!$H$2:$H$3015,$B17)+SUMIFS('Web Feed'!$O$2:$O$3015,'Web Feed'!$B$2:$B$3015,Points!$A$4,'Web Feed'!$I$2:$I$3015,$B17))</f>
        <v/>
      </c>
      <c r="G17">
        <f>IF($B17="","",SUMIFS('Web Feed'!$O$2:$O$3015,'Web Feed'!$B$2:$B$3015,Points!$A$5,'Web Feed'!$F$2:$F$3015,$B17)+SUMIFS('Web Feed'!$O$2:$O$3015,'Web Feed'!$B$2:$B$3015,Points!$A$5,'Web Feed'!$G$2:$G$3015,$B17)+SUMIFS('Web Feed'!$O$2:$O$3015,'Web Feed'!$B$2:$B$3015,Points!$A$5,'Web Feed'!$H$2:$H$3015,$B17)+SUMIFS('Web Feed'!$O$2:$O$3015,'Web Feed'!$B$2:$B$3015,Points!$A$5,'Web Feed'!$I$2:$I$3015,$B17))</f>
        <v/>
      </c>
      <c r="H17">
        <f>IF($B17="","",SUMIFS('Web Feed'!$O$2:$O$3015,'Web Feed'!$B$2:$B$3015,Points!$A$6,'Web Feed'!$F$2:$F$3015,$B17)+SUMIFS('Web Feed'!$O$2:$O$3015,'Web Feed'!$B$2:$B$3015,Points!$A$6,'Web Feed'!$G$2:$G$3015,$B17)+SUMIFS('Web Feed'!$O$2:$O$3015,'Web Feed'!$B$2:$B$3015,Points!$A$6,'Web Feed'!$H$2:$H$3015,$B17)+SUMIFS('Web Feed'!$O$2:$O$3015,'Web Feed'!$B$2:$B$3015,Points!$A$6,'Web Feed'!$I$2:$I$3015,$B17))</f>
        <v/>
      </c>
      <c r="I17">
        <f>IF($B17="","",COUNTIFS('Web Feed'!$B$2:$B$3015,"OHW",'Web Feed'!$F$2:$F$3015,$B17))</f>
        <v/>
      </c>
      <c r="J17">
        <f>IF($B17="","",IFERROR(INDEX('Last Week'!$A$2:$A$301,MATCH($B17,'Last Week'!$B$2:$B$301,0)),""))</f>
        <v/>
      </c>
      <c r="K17">
        <f>IF(OR($B17="",$J17=""),"",$J17-$A17)</f>
        <v/>
      </c>
    </row>
    <row r="18">
      <c r="A18">
        <f>IF($B18="","",RANK($C18,$C$2:$C$500))</f>
        <v/>
      </c>
      <c r="B18">
        <f>IF(Players!$A18="","",Players!$A18)</f>
        <v/>
      </c>
      <c r="C18" s="5">
        <f>IF($B18="","",SUM(D18:H18))</f>
        <v/>
      </c>
      <c r="D18">
        <f>IF($B18="","",SUMIFS('Web Feed'!$O$2:$O$3015,'Web Feed'!$B$2:$B$3015,Points!$A$2,'Web Feed'!$F$2:$F$3015,$B18)+SUMIFS('Web Feed'!$O$2:$O$3015,'Web Feed'!$B$2:$B$3015,Points!$A$2,'Web Feed'!$G$2:$G$3015,$B18)+SUMIFS('Web Feed'!$O$2:$O$3015,'Web Feed'!$B$2:$B$3015,Points!$A$2,'Web Feed'!$H$2:$H$3015,$B18)+SUMIFS('Web Feed'!$O$2:$O$3015,'Web Feed'!$B$2:$B$3015,Points!$A$2,'Web Feed'!$I$2:$I$3015,$B18))</f>
        <v/>
      </c>
      <c r="E18">
        <f>IF($B18="","",SUMIFS('Web Feed'!$O$2:$O$3015,'Web Feed'!$B$2:$B$3015,Points!$A$3,'Web Feed'!$F$2:$F$3015,$B18)+SUMIFS('Web Feed'!$O$2:$O$3015,'Web Feed'!$B$2:$B$3015,Points!$A$3,'Web Feed'!$G$2:$G$3015,$B18)+SUMIFS('Web Feed'!$O$2:$O$3015,'Web Feed'!$B$2:$B$3015,Points!$A$3,'Web Feed'!$H$2:$H$3015,$B18)+SUMIFS('Web Feed'!$O$2:$O$3015,'Web Feed'!$B$2:$B$3015,Points!$A$3,'Web Feed'!$I$2:$I$3015,$B18))</f>
        <v/>
      </c>
      <c r="F18">
        <f>IF($B18="","",SUMIFS('Web Feed'!$O$2:$O$3015,'Web Feed'!$B$2:$B$3015,Points!$A$4,'Web Feed'!$F$2:$F$3015,$B18)+SUMIFS('Web Feed'!$O$2:$O$3015,'Web Feed'!$B$2:$B$3015,Points!$A$4,'Web Feed'!$G$2:$G$3015,$B18)+SUMIFS('Web Feed'!$O$2:$O$3015,'Web Feed'!$B$2:$B$3015,Points!$A$4,'Web Feed'!$H$2:$H$3015,$B18)+SUMIFS('Web Feed'!$O$2:$O$3015,'Web Feed'!$B$2:$B$3015,Points!$A$4,'Web Feed'!$I$2:$I$3015,$B18))</f>
        <v/>
      </c>
      <c r="G18">
        <f>IF($B18="","",SUMIFS('Web Feed'!$O$2:$O$3015,'Web Feed'!$B$2:$B$3015,Points!$A$5,'Web Feed'!$F$2:$F$3015,$B18)+SUMIFS('Web Feed'!$O$2:$O$3015,'Web Feed'!$B$2:$B$3015,Points!$A$5,'Web Feed'!$G$2:$G$3015,$B18)+SUMIFS('Web Feed'!$O$2:$O$3015,'Web Feed'!$B$2:$B$3015,Points!$A$5,'Web Feed'!$H$2:$H$3015,$B18)+SUMIFS('Web Feed'!$O$2:$O$3015,'Web Feed'!$B$2:$B$3015,Points!$A$5,'Web Feed'!$I$2:$I$3015,$B18))</f>
        <v/>
      </c>
      <c r="H18">
        <f>IF($B18="","",SUMIFS('Web Feed'!$O$2:$O$3015,'Web Feed'!$B$2:$B$3015,Points!$A$6,'Web Feed'!$F$2:$F$3015,$B18)+SUMIFS('Web Feed'!$O$2:$O$3015,'Web Feed'!$B$2:$B$3015,Points!$A$6,'Web Feed'!$G$2:$G$3015,$B18)+SUMIFS('Web Feed'!$O$2:$O$3015,'Web Feed'!$B$2:$B$3015,Points!$A$6,'Web Feed'!$H$2:$H$3015,$B18)+SUMIFS('Web Feed'!$O$2:$O$3015,'Web Feed'!$B$2:$B$3015,Points!$A$6,'Web Feed'!$I$2:$I$3015,$B18))</f>
        <v/>
      </c>
      <c r="I18">
        <f>IF($B18="","",COUNTIFS('Web Feed'!$B$2:$B$3015,"OHW",'Web Feed'!$F$2:$F$3015,$B18))</f>
        <v/>
      </c>
      <c r="J18">
        <f>IF($B18="","",IFERROR(INDEX('Last Week'!$A$2:$A$301,MATCH($B18,'Last Week'!$B$2:$B$301,0)),""))</f>
        <v/>
      </c>
      <c r="K18">
        <f>IF(OR($B18="",$J18=""),"",$J18-$A18)</f>
        <v/>
      </c>
    </row>
    <row r="19">
      <c r="A19">
        <f>IF($B19="","",RANK($C19,$C$2:$C$500))</f>
        <v/>
      </c>
      <c r="B19">
        <f>IF(Players!$A19="","",Players!$A19)</f>
        <v/>
      </c>
      <c r="C19" s="5">
        <f>IF($B19="","",SUM(D19:H19))</f>
        <v/>
      </c>
      <c r="D19">
        <f>IF($B19="","",SUMIFS('Web Feed'!$O$2:$O$3015,'Web Feed'!$B$2:$B$3015,Points!$A$2,'Web Feed'!$F$2:$F$3015,$B19)+SUMIFS('Web Feed'!$O$2:$O$3015,'Web Feed'!$B$2:$B$3015,Points!$A$2,'Web Feed'!$G$2:$G$3015,$B19)+SUMIFS('Web Feed'!$O$2:$O$3015,'Web Feed'!$B$2:$B$3015,Points!$A$2,'Web Feed'!$H$2:$H$3015,$B19)+SUMIFS('Web Feed'!$O$2:$O$3015,'Web Feed'!$B$2:$B$3015,Points!$A$2,'Web Feed'!$I$2:$I$3015,$B19))</f>
        <v/>
      </c>
      <c r="E19">
        <f>IF($B19="","",SUMIFS('Web Feed'!$O$2:$O$3015,'Web Feed'!$B$2:$B$3015,Points!$A$3,'Web Feed'!$F$2:$F$3015,$B19)+SUMIFS('Web Feed'!$O$2:$O$3015,'Web Feed'!$B$2:$B$3015,Points!$A$3,'Web Feed'!$G$2:$G$3015,$B19)+SUMIFS('Web Feed'!$O$2:$O$3015,'Web Feed'!$B$2:$B$3015,Points!$A$3,'Web Feed'!$H$2:$H$3015,$B19)+SUMIFS('Web Feed'!$O$2:$O$3015,'Web Feed'!$B$2:$B$3015,Points!$A$3,'Web Feed'!$I$2:$I$3015,$B19))</f>
        <v/>
      </c>
      <c r="F19">
        <f>IF($B19="","",SUMIFS('Web Feed'!$O$2:$O$3015,'Web Feed'!$B$2:$B$3015,Points!$A$4,'Web Feed'!$F$2:$F$3015,$B19)+SUMIFS('Web Feed'!$O$2:$O$3015,'Web Feed'!$B$2:$B$3015,Points!$A$4,'Web Feed'!$G$2:$G$3015,$B19)+SUMIFS('Web Feed'!$O$2:$O$3015,'Web Feed'!$B$2:$B$3015,Points!$A$4,'Web Feed'!$H$2:$H$3015,$B19)+SUMIFS('Web Feed'!$O$2:$O$3015,'Web Feed'!$B$2:$B$3015,Points!$A$4,'Web Feed'!$I$2:$I$3015,$B19))</f>
        <v/>
      </c>
      <c r="G19">
        <f>IF($B19="","",SUMIFS('Web Feed'!$O$2:$O$3015,'Web Feed'!$B$2:$B$3015,Points!$A$5,'Web Feed'!$F$2:$F$3015,$B19)+SUMIFS('Web Feed'!$O$2:$O$3015,'Web Feed'!$B$2:$B$3015,Points!$A$5,'Web Feed'!$G$2:$G$3015,$B19)+SUMIFS('Web Feed'!$O$2:$O$3015,'Web Feed'!$B$2:$B$3015,Points!$A$5,'Web Feed'!$H$2:$H$3015,$B19)+SUMIFS('Web Feed'!$O$2:$O$3015,'Web Feed'!$B$2:$B$3015,Points!$A$5,'Web Feed'!$I$2:$I$3015,$B19))</f>
        <v/>
      </c>
      <c r="H19">
        <f>IF($B19="","",SUMIFS('Web Feed'!$O$2:$O$3015,'Web Feed'!$B$2:$B$3015,Points!$A$6,'Web Feed'!$F$2:$F$3015,$B19)+SUMIFS('Web Feed'!$O$2:$O$3015,'Web Feed'!$B$2:$B$3015,Points!$A$6,'Web Feed'!$G$2:$G$3015,$B19)+SUMIFS('Web Feed'!$O$2:$O$3015,'Web Feed'!$B$2:$B$3015,Points!$A$6,'Web Feed'!$H$2:$H$3015,$B19)+SUMIFS('Web Feed'!$O$2:$O$3015,'Web Feed'!$B$2:$B$3015,Points!$A$6,'Web Feed'!$I$2:$I$3015,$B19))</f>
        <v/>
      </c>
      <c r="I19">
        <f>IF($B19="","",COUNTIFS('Web Feed'!$B$2:$B$3015,"OHW",'Web Feed'!$F$2:$F$3015,$B19))</f>
        <v/>
      </c>
      <c r="J19">
        <f>IF($B19="","",IFERROR(INDEX('Last Week'!$A$2:$A$301,MATCH($B19,'Last Week'!$B$2:$B$301,0)),""))</f>
        <v/>
      </c>
      <c r="K19">
        <f>IF(OR($B19="",$J19=""),"",$J19-$A19)</f>
        <v/>
      </c>
    </row>
    <row r="20">
      <c r="A20">
        <f>IF($B20="","",RANK($C20,$C$2:$C$500))</f>
        <v/>
      </c>
      <c r="B20">
        <f>IF(Players!$A20="","",Players!$A20)</f>
        <v/>
      </c>
      <c r="C20" s="5">
        <f>IF($B20="","",SUM(D20:H20))</f>
        <v/>
      </c>
      <c r="D20">
        <f>IF($B20="","",SUMIFS('Web Feed'!$O$2:$O$3015,'Web Feed'!$B$2:$B$3015,Points!$A$2,'Web Feed'!$F$2:$F$3015,$B20)+SUMIFS('Web Feed'!$O$2:$O$3015,'Web Feed'!$B$2:$B$3015,Points!$A$2,'Web Feed'!$G$2:$G$3015,$B20)+SUMIFS('Web Feed'!$O$2:$O$3015,'Web Feed'!$B$2:$B$3015,Points!$A$2,'Web Feed'!$H$2:$H$3015,$B20)+SUMIFS('Web Feed'!$O$2:$O$3015,'Web Feed'!$B$2:$B$3015,Points!$A$2,'Web Feed'!$I$2:$I$3015,$B20))</f>
        <v/>
      </c>
      <c r="E20">
        <f>IF($B20="","",SUMIFS('Web Feed'!$O$2:$O$3015,'Web Feed'!$B$2:$B$3015,Points!$A$3,'Web Feed'!$F$2:$F$3015,$B20)+SUMIFS('Web Feed'!$O$2:$O$3015,'Web Feed'!$B$2:$B$3015,Points!$A$3,'Web Feed'!$G$2:$G$3015,$B20)+SUMIFS('Web Feed'!$O$2:$O$3015,'Web Feed'!$B$2:$B$3015,Points!$A$3,'Web Feed'!$H$2:$H$3015,$B20)+SUMIFS('Web Feed'!$O$2:$O$3015,'Web Feed'!$B$2:$B$3015,Points!$A$3,'Web Feed'!$I$2:$I$3015,$B20))</f>
        <v/>
      </c>
      <c r="F20">
        <f>IF($B20="","",SUMIFS('Web Feed'!$O$2:$O$3015,'Web Feed'!$B$2:$B$3015,Points!$A$4,'Web Feed'!$F$2:$F$3015,$B20)+SUMIFS('Web Feed'!$O$2:$O$3015,'Web Feed'!$B$2:$B$3015,Points!$A$4,'Web Feed'!$G$2:$G$3015,$B20)+SUMIFS('Web Feed'!$O$2:$O$3015,'Web Feed'!$B$2:$B$3015,Points!$A$4,'Web Feed'!$H$2:$H$3015,$B20)+SUMIFS('Web Feed'!$O$2:$O$3015,'Web Feed'!$B$2:$B$3015,Points!$A$4,'Web Feed'!$I$2:$I$3015,$B20))</f>
        <v/>
      </c>
      <c r="G20">
        <f>IF($B20="","",SUMIFS('Web Feed'!$O$2:$O$3015,'Web Feed'!$B$2:$B$3015,Points!$A$5,'Web Feed'!$F$2:$F$3015,$B20)+SUMIFS('Web Feed'!$O$2:$O$3015,'Web Feed'!$B$2:$B$3015,Points!$A$5,'Web Feed'!$G$2:$G$3015,$B20)+SUMIFS('Web Feed'!$O$2:$O$3015,'Web Feed'!$B$2:$B$3015,Points!$A$5,'Web Feed'!$H$2:$H$3015,$B20)+SUMIFS('Web Feed'!$O$2:$O$3015,'Web Feed'!$B$2:$B$3015,Points!$A$5,'Web Feed'!$I$2:$I$3015,$B20))</f>
        <v/>
      </c>
      <c r="H20">
        <f>IF($B20="","",SUMIFS('Web Feed'!$O$2:$O$3015,'Web Feed'!$B$2:$B$3015,Points!$A$6,'Web Feed'!$F$2:$F$3015,$B20)+SUMIFS('Web Feed'!$O$2:$O$3015,'Web Feed'!$B$2:$B$3015,Points!$A$6,'Web Feed'!$G$2:$G$3015,$B20)+SUMIFS('Web Feed'!$O$2:$O$3015,'Web Feed'!$B$2:$B$3015,Points!$A$6,'Web Feed'!$H$2:$H$3015,$B20)+SUMIFS('Web Feed'!$O$2:$O$3015,'Web Feed'!$B$2:$B$3015,Points!$A$6,'Web Feed'!$I$2:$I$3015,$B20))</f>
        <v/>
      </c>
      <c r="I20">
        <f>IF($B20="","",COUNTIFS('Web Feed'!$B$2:$B$3015,"OHW",'Web Feed'!$F$2:$F$3015,$B20))</f>
        <v/>
      </c>
      <c r="J20">
        <f>IF($B20="","",IFERROR(INDEX('Last Week'!$A$2:$A$301,MATCH($B20,'Last Week'!$B$2:$B$301,0)),""))</f>
        <v/>
      </c>
      <c r="K20">
        <f>IF(OR($B20="",$J20=""),"",$J20-$A20)</f>
        <v/>
      </c>
    </row>
    <row r="21">
      <c r="A21">
        <f>IF($B21="","",RANK($C21,$C$2:$C$500))</f>
        <v/>
      </c>
      <c r="B21">
        <f>IF(Players!$A21="","",Players!$A21)</f>
        <v/>
      </c>
      <c r="C21" s="5">
        <f>IF($B21="","",SUM(D21:H21))</f>
        <v/>
      </c>
      <c r="D21">
        <f>IF($B21="","",SUMIFS('Web Feed'!$O$2:$O$3015,'Web Feed'!$B$2:$B$3015,Points!$A$2,'Web Feed'!$F$2:$F$3015,$B21)+SUMIFS('Web Feed'!$O$2:$O$3015,'Web Feed'!$B$2:$B$3015,Points!$A$2,'Web Feed'!$G$2:$G$3015,$B21)+SUMIFS('Web Feed'!$O$2:$O$3015,'Web Feed'!$B$2:$B$3015,Points!$A$2,'Web Feed'!$H$2:$H$3015,$B21)+SUMIFS('Web Feed'!$O$2:$O$3015,'Web Feed'!$B$2:$B$3015,Points!$A$2,'Web Feed'!$I$2:$I$3015,$B21))</f>
        <v/>
      </c>
      <c r="E21">
        <f>IF($B21="","",SUMIFS('Web Feed'!$O$2:$O$3015,'Web Feed'!$B$2:$B$3015,Points!$A$3,'Web Feed'!$F$2:$F$3015,$B21)+SUMIFS('Web Feed'!$O$2:$O$3015,'Web Feed'!$B$2:$B$3015,Points!$A$3,'Web Feed'!$G$2:$G$3015,$B21)+SUMIFS('Web Feed'!$O$2:$O$3015,'Web Feed'!$B$2:$B$3015,Points!$A$3,'Web Feed'!$H$2:$H$3015,$B21)+SUMIFS('Web Feed'!$O$2:$O$3015,'Web Feed'!$B$2:$B$3015,Points!$A$3,'Web Feed'!$I$2:$I$3015,$B21))</f>
        <v/>
      </c>
      <c r="F21">
        <f>IF($B21="","",SUMIFS('Web Feed'!$O$2:$O$3015,'Web Feed'!$B$2:$B$3015,Points!$A$4,'Web Feed'!$F$2:$F$3015,$B21)+SUMIFS('Web Feed'!$O$2:$O$3015,'Web Feed'!$B$2:$B$3015,Points!$A$4,'Web Feed'!$G$2:$G$3015,$B21)+SUMIFS('Web Feed'!$O$2:$O$3015,'Web Feed'!$B$2:$B$3015,Points!$A$4,'Web Feed'!$H$2:$H$3015,$B21)+SUMIFS('Web Feed'!$O$2:$O$3015,'Web Feed'!$B$2:$B$3015,Points!$A$4,'Web Feed'!$I$2:$I$3015,$B21))</f>
        <v/>
      </c>
      <c r="G21">
        <f>IF($B21="","",SUMIFS('Web Feed'!$O$2:$O$3015,'Web Feed'!$B$2:$B$3015,Points!$A$5,'Web Feed'!$F$2:$F$3015,$B21)+SUMIFS('Web Feed'!$O$2:$O$3015,'Web Feed'!$B$2:$B$3015,Points!$A$5,'Web Feed'!$G$2:$G$3015,$B21)+SUMIFS('Web Feed'!$O$2:$O$3015,'Web Feed'!$B$2:$B$3015,Points!$A$5,'Web Feed'!$H$2:$H$3015,$B21)+SUMIFS('Web Feed'!$O$2:$O$3015,'Web Feed'!$B$2:$B$3015,Points!$A$5,'Web Feed'!$I$2:$I$3015,$B21))</f>
        <v/>
      </c>
      <c r="H21">
        <f>IF($B21="","",SUMIFS('Web Feed'!$O$2:$O$3015,'Web Feed'!$B$2:$B$3015,Points!$A$6,'Web Feed'!$F$2:$F$3015,$B21)+SUMIFS('Web Feed'!$O$2:$O$3015,'Web Feed'!$B$2:$B$3015,Points!$A$6,'Web Feed'!$G$2:$G$3015,$B21)+SUMIFS('Web Feed'!$O$2:$O$3015,'Web Feed'!$B$2:$B$3015,Points!$A$6,'Web Feed'!$H$2:$H$3015,$B21)+SUMIFS('Web Feed'!$O$2:$O$3015,'Web Feed'!$B$2:$B$3015,Points!$A$6,'Web Feed'!$I$2:$I$3015,$B21))</f>
        <v/>
      </c>
      <c r="I21">
        <f>IF($B21="","",COUNTIFS('Web Feed'!$B$2:$B$3015,"OHW",'Web Feed'!$F$2:$F$3015,$B21))</f>
        <v/>
      </c>
      <c r="J21">
        <f>IF($B21="","",IFERROR(INDEX('Last Week'!$A$2:$A$301,MATCH($B21,'Last Week'!$B$2:$B$301,0)),""))</f>
        <v/>
      </c>
      <c r="K21">
        <f>IF(OR($B21="",$J21=""),"",$J21-$A21)</f>
        <v/>
      </c>
    </row>
    <row r="22">
      <c r="A22">
        <f>IF($B22="","",RANK($C22,$C$2:$C$500))</f>
        <v/>
      </c>
      <c r="B22">
        <f>IF(Players!$A22="","",Players!$A22)</f>
        <v/>
      </c>
      <c r="C22" s="5">
        <f>IF($B22="","",SUM(D22:H22))</f>
        <v/>
      </c>
      <c r="D22">
        <f>IF($B22="","",SUMIFS('Web Feed'!$O$2:$O$3015,'Web Feed'!$B$2:$B$3015,Points!$A$2,'Web Feed'!$F$2:$F$3015,$B22)+SUMIFS('Web Feed'!$O$2:$O$3015,'Web Feed'!$B$2:$B$3015,Points!$A$2,'Web Feed'!$G$2:$G$3015,$B22)+SUMIFS('Web Feed'!$O$2:$O$3015,'Web Feed'!$B$2:$B$3015,Points!$A$2,'Web Feed'!$H$2:$H$3015,$B22)+SUMIFS('Web Feed'!$O$2:$O$3015,'Web Feed'!$B$2:$B$3015,Points!$A$2,'Web Feed'!$I$2:$I$3015,$B22))</f>
        <v/>
      </c>
      <c r="E22">
        <f>IF($B22="","",SUMIFS('Web Feed'!$O$2:$O$3015,'Web Feed'!$B$2:$B$3015,Points!$A$3,'Web Feed'!$F$2:$F$3015,$B22)+SUMIFS('Web Feed'!$O$2:$O$3015,'Web Feed'!$B$2:$B$3015,Points!$A$3,'Web Feed'!$G$2:$G$3015,$B22)+SUMIFS('Web Feed'!$O$2:$O$3015,'Web Feed'!$B$2:$B$3015,Points!$A$3,'Web Feed'!$H$2:$H$3015,$B22)+SUMIFS('Web Feed'!$O$2:$O$3015,'Web Feed'!$B$2:$B$3015,Points!$A$3,'Web Feed'!$I$2:$I$3015,$B22))</f>
        <v/>
      </c>
      <c r="F22">
        <f>IF($B22="","",SUMIFS('Web Feed'!$O$2:$O$3015,'Web Feed'!$B$2:$B$3015,Points!$A$4,'Web Feed'!$F$2:$F$3015,$B22)+SUMIFS('Web Feed'!$O$2:$O$3015,'Web Feed'!$B$2:$B$3015,Points!$A$4,'Web Feed'!$G$2:$G$3015,$B22)+SUMIFS('Web Feed'!$O$2:$O$3015,'Web Feed'!$B$2:$B$3015,Points!$A$4,'Web Feed'!$H$2:$H$3015,$B22)+SUMIFS('Web Feed'!$O$2:$O$3015,'Web Feed'!$B$2:$B$3015,Points!$A$4,'Web Feed'!$I$2:$I$3015,$B22))</f>
        <v/>
      </c>
      <c r="G22">
        <f>IF($B22="","",SUMIFS('Web Feed'!$O$2:$O$3015,'Web Feed'!$B$2:$B$3015,Points!$A$5,'Web Feed'!$F$2:$F$3015,$B22)+SUMIFS('Web Feed'!$O$2:$O$3015,'Web Feed'!$B$2:$B$3015,Points!$A$5,'Web Feed'!$G$2:$G$3015,$B22)+SUMIFS('Web Feed'!$O$2:$O$3015,'Web Feed'!$B$2:$B$3015,Points!$A$5,'Web Feed'!$H$2:$H$3015,$B22)+SUMIFS('Web Feed'!$O$2:$O$3015,'Web Feed'!$B$2:$B$3015,Points!$A$5,'Web Feed'!$I$2:$I$3015,$B22))</f>
        <v/>
      </c>
      <c r="H22">
        <f>IF($B22="","",SUMIFS('Web Feed'!$O$2:$O$3015,'Web Feed'!$B$2:$B$3015,Points!$A$6,'Web Feed'!$F$2:$F$3015,$B22)+SUMIFS('Web Feed'!$O$2:$O$3015,'Web Feed'!$B$2:$B$3015,Points!$A$6,'Web Feed'!$G$2:$G$3015,$B22)+SUMIFS('Web Feed'!$O$2:$O$3015,'Web Feed'!$B$2:$B$3015,Points!$A$6,'Web Feed'!$H$2:$H$3015,$B22)+SUMIFS('Web Feed'!$O$2:$O$3015,'Web Feed'!$B$2:$B$3015,Points!$A$6,'Web Feed'!$I$2:$I$3015,$B22))</f>
        <v/>
      </c>
      <c r="I22">
        <f>IF($B22="","",COUNTIFS('Web Feed'!$B$2:$B$3015,"OHW",'Web Feed'!$F$2:$F$3015,$B22))</f>
        <v/>
      </c>
      <c r="J22">
        <f>IF($B22="","",IFERROR(INDEX('Last Week'!$A$2:$A$301,MATCH($B22,'Last Week'!$B$2:$B$301,0)),""))</f>
        <v/>
      </c>
      <c r="K22">
        <f>IF(OR($B22="",$J22=""),"",$J22-$A22)</f>
        <v/>
      </c>
    </row>
    <row r="23">
      <c r="A23">
        <f>IF($B23="","",RANK($C23,$C$2:$C$500))</f>
        <v/>
      </c>
      <c r="B23">
        <f>IF(Players!$A23="","",Players!$A23)</f>
        <v/>
      </c>
      <c r="C23" s="5">
        <f>IF($B23="","",SUM(D23:H23))</f>
        <v/>
      </c>
      <c r="D23">
        <f>IF($B23="","",SUMIFS('Web Feed'!$O$2:$O$3015,'Web Feed'!$B$2:$B$3015,Points!$A$2,'Web Feed'!$F$2:$F$3015,$B23)+SUMIFS('Web Feed'!$O$2:$O$3015,'Web Feed'!$B$2:$B$3015,Points!$A$2,'Web Feed'!$G$2:$G$3015,$B23)+SUMIFS('Web Feed'!$O$2:$O$3015,'Web Feed'!$B$2:$B$3015,Points!$A$2,'Web Feed'!$H$2:$H$3015,$B23)+SUMIFS('Web Feed'!$O$2:$O$3015,'Web Feed'!$B$2:$B$3015,Points!$A$2,'Web Feed'!$I$2:$I$3015,$B23))</f>
        <v/>
      </c>
      <c r="E23">
        <f>IF($B23="","",SUMIFS('Web Feed'!$O$2:$O$3015,'Web Feed'!$B$2:$B$3015,Points!$A$3,'Web Feed'!$F$2:$F$3015,$B23)+SUMIFS('Web Feed'!$O$2:$O$3015,'Web Feed'!$B$2:$B$3015,Points!$A$3,'Web Feed'!$G$2:$G$3015,$B23)+SUMIFS('Web Feed'!$O$2:$O$3015,'Web Feed'!$B$2:$B$3015,Points!$A$3,'Web Feed'!$H$2:$H$3015,$B23)+SUMIFS('Web Feed'!$O$2:$O$3015,'Web Feed'!$B$2:$B$3015,Points!$A$3,'Web Feed'!$I$2:$I$3015,$B23))</f>
        <v/>
      </c>
      <c r="F23">
        <f>IF($B23="","",SUMIFS('Web Feed'!$O$2:$O$3015,'Web Feed'!$B$2:$B$3015,Points!$A$4,'Web Feed'!$F$2:$F$3015,$B23)+SUMIFS('Web Feed'!$O$2:$O$3015,'Web Feed'!$B$2:$B$3015,Points!$A$4,'Web Feed'!$G$2:$G$3015,$B23)+SUMIFS('Web Feed'!$O$2:$O$3015,'Web Feed'!$B$2:$B$3015,Points!$A$4,'Web Feed'!$H$2:$H$3015,$B23)+SUMIFS('Web Feed'!$O$2:$O$3015,'Web Feed'!$B$2:$B$3015,Points!$A$4,'Web Feed'!$I$2:$I$3015,$B23))</f>
        <v/>
      </c>
      <c r="G23">
        <f>IF($B23="","",SUMIFS('Web Feed'!$O$2:$O$3015,'Web Feed'!$B$2:$B$3015,Points!$A$5,'Web Feed'!$F$2:$F$3015,$B23)+SUMIFS('Web Feed'!$O$2:$O$3015,'Web Feed'!$B$2:$B$3015,Points!$A$5,'Web Feed'!$G$2:$G$3015,$B23)+SUMIFS('Web Feed'!$O$2:$O$3015,'Web Feed'!$B$2:$B$3015,Points!$A$5,'Web Feed'!$H$2:$H$3015,$B23)+SUMIFS('Web Feed'!$O$2:$O$3015,'Web Feed'!$B$2:$B$3015,Points!$A$5,'Web Feed'!$I$2:$I$3015,$B23))</f>
        <v/>
      </c>
      <c r="H23">
        <f>IF($B23="","",SUMIFS('Web Feed'!$O$2:$O$3015,'Web Feed'!$B$2:$B$3015,Points!$A$6,'Web Feed'!$F$2:$F$3015,$B23)+SUMIFS('Web Feed'!$O$2:$O$3015,'Web Feed'!$B$2:$B$3015,Points!$A$6,'Web Feed'!$G$2:$G$3015,$B23)+SUMIFS('Web Feed'!$O$2:$O$3015,'Web Feed'!$B$2:$B$3015,Points!$A$6,'Web Feed'!$H$2:$H$3015,$B23)+SUMIFS('Web Feed'!$O$2:$O$3015,'Web Feed'!$B$2:$B$3015,Points!$A$6,'Web Feed'!$I$2:$I$3015,$B23))</f>
        <v/>
      </c>
      <c r="I23">
        <f>IF($B23="","",COUNTIFS('Web Feed'!$B$2:$B$3015,"OHW",'Web Feed'!$F$2:$F$3015,$B23))</f>
        <v/>
      </c>
      <c r="J23">
        <f>IF($B23="","",IFERROR(INDEX('Last Week'!$A$2:$A$301,MATCH($B23,'Last Week'!$B$2:$B$301,0)),""))</f>
        <v/>
      </c>
      <c r="K23">
        <f>IF(OR($B23="",$J23=""),"",$J23-$A23)</f>
        <v/>
      </c>
    </row>
    <row r="24">
      <c r="A24">
        <f>IF($B24="","",RANK($C24,$C$2:$C$500))</f>
        <v/>
      </c>
      <c r="B24">
        <f>IF(Players!$A24="","",Players!$A24)</f>
        <v/>
      </c>
      <c r="C24" s="5">
        <f>IF($B24="","",SUM(D24:H24))</f>
        <v/>
      </c>
      <c r="D24">
        <f>IF($B24="","",SUMIFS('Web Feed'!$O$2:$O$3015,'Web Feed'!$B$2:$B$3015,Points!$A$2,'Web Feed'!$F$2:$F$3015,$B24)+SUMIFS('Web Feed'!$O$2:$O$3015,'Web Feed'!$B$2:$B$3015,Points!$A$2,'Web Feed'!$G$2:$G$3015,$B24)+SUMIFS('Web Feed'!$O$2:$O$3015,'Web Feed'!$B$2:$B$3015,Points!$A$2,'Web Feed'!$H$2:$H$3015,$B24)+SUMIFS('Web Feed'!$O$2:$O$3015,'Web Feed'!$B$2:$B$3015,Points!$A$2,'Web Feed'!$I$2:$I$3015,$B24))</f>
        <v/>
      </c>
      <c r="E24">
        <f>IF($B24="","",SUMIFS('Web Feed'!$O$2:$O$3015,'Web Feed'!$B$2:$B$3015,Points!$A$3,'Web Feed'!$F$2:$F$3015,$B24)+SUMIFS('Web Feed'!$O$2:$O$3015,'Web Feed'!$B$2:$B$3015,Points!$A$3,'Web Feed'!$G$2:$G$3015,$B24)+SUMIFS('Web Feed'!$O$2:$O$3015,'Web Feed'!$B$2:$B$3015,Points!$A$3,'Web Feed'!$H$2:$H$3015,$B24)+SUMIFS('Web Feed'!$O$2:$O$3015,'Web Feed'!$B$2:$B$3015,Points!$A$3,'Web Feed'!$I$2:$I$3015,$B24))</f>
        <v/>
      </c>
      <c r="F24">
        <f>IF($B24="","",SUMIFS('Web Feed'!$O$2:$O$3015,'Web Feed'!$B$2:$B$3015,Points!$A$4,'Web Feed'!$F$2:$F$3015,$B24)+SUMIFS('Web Feed'!$O$2:$O$3015,'Web Feed'!$B$2:$B$3015,Points!$A$4,'Web Feed'!$G$2:$G$3015,$B24)+SUMIFS('Web Feed'!$O$2:$O$3015,'Web Feed'!$B$2:$B$3015,Points!$A$4,'Web Feed'!$H$2:$H$3015,$B24)+SUMIFS('Web Feed'!$O$2:$O$3015,'Web Feed'!$B$2:$B$3015,Points!$A$4,'Web Feed'!$I$2:$I$3015,$B24))</f>
        <v/>
      </c>
      <c r="G24">
        <f>IF($B24="","",SUMIFS('Web Feed'!$O$2:$O$3015,'Web Feed'!$B$2:$B$3015,Points!$A$5,'Web Feed'!$F$2:$F$3015,$B24)+SUMIFS('Web Feed'!$O$2:$O$3015,'Web Feed'!$B$2:$B$3015,Points!$A$5,'Web Feed'!$G$2:$G$3015,$B24)+SUMIFS('Web Feed'!$O$2:$O$3015,'Web Feed'!$B$2:$B$3015,Points!$A$5,'Web Feed'!$H$2:$H$3015,$B24)+SUMIFS('Web Feed'!$O$2:$O$3015,'Web Feed'!$B$2:$B$3015,Points!$A$5,'Web Feed'!$I$2:$I$3015,$B24))</f>
        <v/>
      </c>
      <c r="H24">
        <f>IF($B24="","",SUMIFS('Web Feed'!$O$2:$O$3015,'Web Feed'!$B$2:$B$3015,Points!$A$6,'Web Feed'!$F$2:$F$3015,$B24)+SUMIFS('Web Feed'!$O$2:$O$3015,'Web Feed'!$B$2:$B$3015,Points!$A$6,'Web Feed'!$G$2:$G$3015,$B24)+SUMIFS('Web Feed'!$O$2:$O$3015,'Web Feed'!$B$2:$B$3015,Points!$A$6,'Web Feed'!$H$2:$H$3015,$B24)+SUMIFS('Web Feed'!$O$2:$O$3015,'Web Feed'!$B$2:$B$3015,Points!$A$6,'Web Feed'!$I$2:$I$3015,$B24))</f>
        <v/>
      </c>
      <c r="I24">
        <f>IF($B24="","",COUNTIFS('Web Feed'!$B$2:$B$3015,"OHW",'Web Feed'!$F$2:$F$3015,$B24))</f>
        <v/>
      </c>
      <c r="J24">
        <f>IF($B24="","",IFERROR(INDEX('Last Week'!$A$2:$A$301,MATCH($B24,'Last Week'!$B$2:$B$301,0)),""))</f>
        <v/>
      </c>
      <c r="K24">
        <f>IF(OR($B24="",$J24=""),"",$J24-$A24)</f>
        <v/>
      </c>
    </row>
    <row r="25">
      <c r="A25">
        <f>IF($B25="","",RANK($C25,$C$2:$C$500))</f>
        <v/>
      </c>
      <c r="B25">
        <f>IF(Players!$A25="","",Players!$A25)</f>
        <v/>
      </c>
      <c r="C25" s="5">
        <f>IF($B25="","",SUM(D25:H25))</f>
        <v/>
      </c>
      <c r="D25">
        <f>IF($B25="","",SUMIFS('Web Feed'!$O$2:$O$3015,'Web Feed'!$B$2:$B$3015,Points!$A$2,'Web Feed'!$F$2:$F$3015,$B25)+SUMIFS('Web Feed'!$O$2:$O$3015,'Web Feed'!$B$2:$B$3015,Points!$A$2,'Web Feed'!$G$2:$G$3015,$B25)+SUMIFS('Web Feed'!$O$2:$O$3015,'Web Feed'!$B$2:$B$3015,Points!$A$2,'Web Feed'!$H$2:$H$3015,$B25)+SUMIFS('Web Feed'!$O$2:$O$3015,'Web Feed'!$B$2:$B$3015,Points!$A$2,'Web Feed'!$I$2:$I$3015,$B25))</f>
        <v/>
      </c>
      <c r="E25">
        <f>IF($B25="","",SUMIFS('Web Feed'!$O$2:$O$3015,'Web Feed'!$B$2:$B$3015,Points!$A$3,'Web Feed'!$F$2:$F$3015,$B25)+SUMIFS('Web Feed'!$O$2:$O$3015,'Web Feed'!$B$2:$B$3015,Points!$A$3,'Web Feed'!$G$2:$G$3015,$B25)+SUMIFS('Web Feed'!$O$2:$O$3015,'Web Feed'!$B$2:$B$3015,Points!$A$3,'Web Feed'!$H$2:$H$3015,$B25)+SUMIFS('Web Feed'!$O$2:$O$3015,'Web Feed'!$B$2:$B$3015,Points!$A$3,'Web Feed'!$I$2:$I$3015,$B25))</f>
        <v/>
      </c>
      <c r="F25">
        <f>IF($B25="","",SUMIFS('Web Feed'!$O$2:$O$3015,'Web Feed'!$B$2:$B$3015,Points!$A$4,'Web Feed'!$F$2:$F$3015,$B25)+SUMIFS('Web Feed'!$O$2:$O$3015,'Web Feed'!$B$2:$B$3015,Points!$A$4,'Web Feed'!$G$2:$G$3015,$B25)+SUMIFS('Web Feed'!$O$2:$O$3015,'Web Feed'!$B$2:$B$3015,Points!$A$4,'Web Feed'!$H$2:$H$3015,$B25)+SUMIFS('Web Feed'!$O$2:$O$3015,'Web Feed'!$B$2:$B$3015,Points!$A$4,'Web Feed'!$I$2:$I$3015,$B25))</f>
        <v/>
      </c>
      <c r="G25">
        <f>IF($B25="","",SUMIFS('Web Feed'!$O$2:$O$3015,'Web Feed'!$B$2:$B$3015,Points!$A$5,'Web Feed'!$F$2:$F$3015,$B25)+SUMIFS('Web Feed'!$O$2:$O$3015,'Web Feed'!$B$2:$B$3015,Points!$A$5,'Web Feed'!$G$2:$G$3015,$B25)+SUMIFS('Web Feed'!$O$2:$O$3015,'Web Feed'!$B$2:$B$3015,Points!$A$5,'Web Feed'!$H$2:$H$3015,$B25)+SUMIFS('Web Feed'!$O$2:$O$3015,'Web Feed'!$B$2:$B$3015,Points!$A$5,'Web Feed'!$I$2:$I$3015,$B25))</f>
        <v/>
      </c>
      <c r="H25">
        <f>IF($B25="","",SUMIFS('Web Feed'!$O$2:$O$3015,'Web Feed'!$B$2:$B$3015,Points!$A$6,'Web Feed'!$F$2:$F$3015,$B25)+SUMIFS('Web Feed'!$O$2:$O$3015,'Web Feed'!$B$2:$B$3015,Points!$A$6,'Web Feed'!$G$2:$G$3015,$B25)+SUMIFS('Web Feed'!$O$2:$O$3015,'Web Feed'!$B$2:$B$3015,Points!$A$6,'Web Feed'!$H$2:$H$3015,$B25)+SUMIFS('Web Feed'!$O$2:$O$3015,'Web Feed'!$B$2:$B$3015,Points!$A$6,'Web Feed'!$I$2:$I$3015,$B25))</f>
        <v/>
      </c>
      <c r="I25">
        <f>IF($B25="","",COUNTIFS('Web Feed'!$B$2:$B$3015,"OHW",'Web Feed'!$F$2:$F$3015,$B25))</f>
        <v/>
      </c>
      <c r="J25">
        <f>IF($B25="","",IFERROR(INDEX('Last Week'!$A$2:$A$301,MATCH($B25,'Last Week'!$B$2:$B$301,0)),""))</f>
        <v/>
      </c>
      <c r="K25">
        <f>IF(OR($B25="",$J25=""),"",$J25-$A25)</f>
        <v/>
      </c>
    </row>
    <row r="26">
      <c r="A26">
        <f>IF($B26="","",RANK($C26,$C$2:$C$500))</f>
        <v/>
      </c>
      <c r="B26">
        <f>IF(Players!$A26="","",Players!$A26)</f>
        <v/>
      </c>
      <c r="C26" s="5">
        <f>IF($B26="","",SUM(D26:H26))</f>
        <v/>
      </c>
      <c r="D26">
        <f>IF($B26="","",SUMIFS('Web Feed'!$O$2:$O$3015,'Web Feed'!$B$2:$B$3015,Points!$A$2,'Web Feed'!$F$2:$F$3015,$B26)+SUMIFS('Web Feed'!$O$2:$O$3015,'Web Feed'!$B$2:$B$3015,Points!$A$2,'Web Feed'!$G$2:$G$3015,$B26)+SUMIFS('Web Feed'!$O$2:$O$3015,'Web Feed'!$B$2:$B$3015,Points!$A$2,'Web Feed'!$H$2:$H$3015,$B26)+SUMIFS('Web Feed'!$O$2:$O$3015,'Web Feed'!$B$2:$B$3015,Points!$A$2,'Web Feed'!$I$2:$I$3015,$B26))</f>
        <v/>
      </c>
      <c r="E26">
        <f>IF($B26="","",SUMIFS('Web Feed'!$O$2:$O$3015,'Web Feed'!$B$2:$B$3015,Points!$A$3,'Web Feed'!$F$2:$F$3015,$B26)+SUMIFS('Web Feed'!$O$2:$O$3015,'Web Feed'!$B$2:$B$3015,Points!$A$3,'Web Feed'!$G$2:$G$3015,$B26)+SUMIFS('Web Feed'!$O$2:$O$3015,'Web Feed'!$B$2:$B$3015,Points!$A$3,'Web Feed'!$H$2:$H$3015,$B26)+SUMIFS('Web Feed'!$O$2:$O$3015,'Web Feed'!$B$2:$B$3015,Points!$A$3,'Web Feed'!$I$2:$I$3015,$B26))</f>
        <v/>
      </c>
      <c r="F26">
        <f>IF($B26="","",SUMIFS('Web Feed'!$O$2:$O$3015,'Web Feed'!$B$2:$B$3015,Points!$A$4,'Web Feed'!$F$2:$F$3015,$B26)+SUMIFS('Web Feed'!$O$2:$O$3015,'Web Feed'!$B$2:$B$3015,Points!$A$4,'Web Feed'!$G$2:$G$3015,$B26)+SUMIFS('Web Feed'!$O$2:$O$3015,'Web Feed'!$B$2:$B$3015,Points!$A$4,'Web Feed'!$H$2:$H$3015,$B26)+SUMIFS('Web Feed'!$O$2:$O$3015,'Web Feed'!$B$2:$B$3015,Points!$A$4,'Web Feed'!$I$2:$I$3015,$B26))</f>
        <v/>
      </c>
      <c r="G26">
        <f>IF($B26="","",SUMIFS('Web Feed'!$O$2:$O$3015,'Web Feed'!$B$2:$B$3015,Points!$A$5,'Web Feed'!$F$2:$F$3015,$B26)+SUMIFS('Web Feed'!$O$2:$O$3015,'Web Feed'!$B$2:$B$3015,Points!$A$5,'Web Feed'!$G$2:$G$3015,$B26)+SUMIFS('Web Feed'!$O$2:$O$3015,'Web Feed'!$B$2:$B$3015,Points!$A$5,'Web Feed'!$H$2:$H$3015,$B26)+SUMIFS('Web Feed'!$O$2:$O$3015,'Web Feed'!$B$2:$B$3015,Points!$A$5,'Web Feed'!$I$2:$I$3015,$B26))</f>
        <v/>
      </c>
      <c r="H26">
        <f>IF($B26="","",SUMIFS('Web Feed'!$O$2:$O$3015,'Web Feed'!$B$2:$B$3015,Points!$A$6,'Web Feed'!$F$2:$F$3015,$B26)+SUMIFS('Web Feed'!$O$2:$O$3015,'Web Feed'!$B$2:$B$3015,Points!$A$6,'Web Feed'!$G$2:$G$3015,$B26)+SUMIFS('Web Feed'!$O$2:$O$3015,'Web Feed'!$B$2:$B$3015,Points!$A$6,'Web Feed'!$H$2:$H$3015,$B26)+SUMIFS('Web Feed'!$O$2:$O$3015,'Web Feed'!$B$2:$B$3015,Points!$A$6,'Web Feed'!$I$2:$I$3015,$B26))</f>
        <v/>
      </c>
      <c r="I26">
        <f>IF($B26="","",COUNTIFS('Web Feed'!$B$2:$B$3015,"OHW",'Web Feed'!$F$2:$F$3015,$B26))</f>
        <v/>
      </c>
      <c r="J26">
        <f>IF($B26="","",IFERROR(INDEX('Last Week'!$A$2:$A$301,MATCH($B26,'Last Week'!$B$2:$B$301,0)),""))</f>
        <v/>
      </c>
      <c r="K26">
        <f>IF(OR($B26="",$J26=""),"",$J26-$A26)</f>
        <v/>
      </c>
    </row>
    <row r="27">
      <c r="A27">
        <f>IF($B27="","",RANK($C27,$C$2:$C$500))</f>
        <v/>
      </c>
      <c r="B27">
        <f>IF(Players!$A27="","",Players!$A27)</f>
        <v/>
      </c>
      <c r="C27" s="5">
        <f>IF($B27="","",SUM(D27:H27))</f>
        <v/>
      </c>
      <c r="D27">
        <f>IF($B27="","",SUMIFS('Web Feed'!$O$2:$O$3015,'Web Feed'!$B$2:$B$3015,Points!$A$2,'Web Feed'!$F$2:$F$3015,$B27)+SUMIFS('Web Feed'!$O$2:$O$3015,'Web Feed'!$B$2:$B$3015,Points!$A$2,'Web Feed'!$G$2:$G$3015,$B27)+SUMIFS('Web Feed'!$O$2:$O$3015,'Web Feed'!$B$2:$B$3015,Points!$A$2,'Web Feed'!$H$2:$H$3015,$B27)+SUMIFS('Web Feed'!$O$2:$O$3015,'Web Feed'!$B$2:$B$3015,Points!$A$2,'Web Feed'!$I$2:$I$3015,$B27))</f>
        <v/>
      </c>
      <c r="E27">
        <f>IF($B27="","",SUMIFS('Web Feed'!$O$2:$O$3015,'Web Feed'!$B$2:$B$3015,Points!$A$3,'Web Feed'!$F$2:$F$3015,$B27)+SUMIFS('Web Feed'!$O$2:$O$3015,'Web Feed'!$B$2:$B$3015,Points!$A$3,'Web Feed'!$G$2:$G$3015,$B27)+SUMIFS('Web Feed'!$O$2:$O$3015,'Web Feed'!$B$2:$B$3015,Points!$A$3,'Web Feed'!$H$2:$H$3015,$B27)+SUMIFS('Web Feed'!$O$2:$O$3015,'Web Feed'!$B$2:$B$3015,Points!$A$3,'Web Feed'!$I$2:$I$3015,$B27))</f>
        <v/>
      </c>
      <c r="F27">
        <f>IF($B27="","",SUMIFS('Web Feed'!$O$2:$O$3015,'Web Feed'!$B$2:$B$3015,Points!$A$4,'Web Feed'!$F$2:$F$3015,$B27)+SUMIFS('Web Feed'!$O$2:$O$3015,'Web Feed'!$B$2:$B$3015,Points!$A$4,'Web Feed'!$G$2:$G$3015,$B27)+SUMIFS('Web Feed'!$O$2:$O$3015,'Web Feed'!$B$2:$B$3015,Points!$A$4,'Web Feed'!$H$2:$H$3015,$B27)+SUMIFS('Web Feed'!$O$2:$O$3015,'Web Feed'!$B$2:$B$3015,Points!$A$4,'Web Feed'!$I$2:$I$3015,$B27))</f>
        <v/>
      </c>
      <c r="G27">
        <f>IF($B27="","",SUMIFS('Web Feed'!$O$2:$O$3015,'Web Feed'!$B$2:$B$3015,Points!$A$5,'Web Feed'!$F$2:$F$3015,$B27)+SUMIFS('Web Feed'!$O$2:$O$3015,'Web Feed'!$B$2:$B$3015,Points!$A$5,'Web Feed'!$G$2:$G$3015,$B27)+SUMIFS('Web Feed'!$O$2:$O$3015,'Web Feed'!$B$2:$B$3015,Points!$A$5,'Web Feed'!$H$2:$H$3015,$B27)+SUMIFS('Web Feed'!$O$2:$O$3015,'Web Feed'!$B$2:$B$3015,Points!$A$5,'Web Feed'!$I$2:$I$3015,$B27))</f>
        <v/>
      </c>
      <c r="H27">
        <f>IF($B27="","",SUMIFS('Web Feed'!$O$2:$O$3015,'Web Feed'!$B$2:$B$3015,Points!$A$6,'Web Feed'!$F$2:$F$3015,$B27)+SUMIFS('Web Feed'!$O$2:$O$3015,'Web Feed'!$B$2:$B$3015,Points!$A$6,'Web Feed'!$G$2:$G$3015,$B27)+SUMIFS('Web Feed'!$O$2:$O$3015,'Web Feed'!$B$2:$B$3015,Points!$A$6,'Web Feed'!$H$2:$H$3015,$B27)+SUMIFS('Web Feed'!$O$2:$O$3015,'Web Feed'!$B$2:$B$3015,Points!$A$6,'Web Feed'!$I$2:$I$3015,$B27))</f>
        <v/>
      </c>
      <c r="I27">
        <f>IF($B27="","",COUNTIFS('Web Feed'!$B$2:$B$3015,"OHW",'Web Feed'!$F$2:$F$3015,$B27))</f>
        <v/>
      </c>
      <c r="J27">
        <f>IF($B27="","",IFERROR(INDEX('Last Week'!$A$2:$A$301,MATCH($B27,'Last Week'!$B$2:$B$301,0)),""))</f>
        <v/>
      </c>
      <c r="K27">
        <f>IF(OR($B27="",$J27=""),"",$J27-$A27)</f>
        <v/>
      </c>
    </row>
    <row r="28">
      <c r="A28">
        <f>IF($B28="","",RANK($C28,$C$2:$C$500))</f>
        <v/>
      </c>
      <c r="B28">
        <f>IF(Players!$A28="","",Players!$A28)</f>
        <v/>
      </c>
      <c r="C28" s="5">
        <f>IF($B28="","",SUM(D28:H28))</f>
        <v/>
      </c>
      <c r="D28">
        <f>IF($B28="","",SUMIFS('Web Feed'!$O$2:$O$3015,'Web Feed'!$B$2:$B$3015,Points!$A$2,'Web Feed'!$F$2:$F$3015,$B28)+SUMIFS('Web Feed'!$O$2:$O$3015,'Web Feed'!$B$2:$B$3015,Points!$A$2,'Web Feed'!$G$2:$G$3015,$B28)+SUMIFS('Web Feed'!$O$2:$O$3015,'Web Feed'!$B$2:$B$3015,Points!$A$2,'Web Feed'!$H$2:$H$3015,$B28)+SUMIFS('Web Feed'!$O$2:$O$3015,'Web Feed'!$B$2:$B$3015,Points!$A$2,'Web Feed'!$I$2:$I$3015,$B28))</f>
        <v/>
      </c>
      <c r="E28">
        <f>IF($B28="","",SUMIFS('Web Feed'!$O$2:$O$3015,'Web Feed'!$B$2:$B$3015,Points!$A$3,'Web Feed'!$F$2:$F$3015,$B28)+SUMIFS('Web Feed'!$O$2:$O$3015,'Web Feed'!$B$2:$B$3015,Points!$A$3,'Web Feed'!$G$2:$G$3015,$B28)+SUMIFS('Web Feed'!$O$2:$O$3015,'Web Feed'!$B$2:$B$3015,Points!$A$3,'Web Feed'!$H$2:$H$3015,$B28)+SUMIFS('Web Feed'!$O$2:$O$3015,'Web Feed'!$B$2:$B$3015,Points!$A$3,'Web Feed'!$I$2:$I$3015,$B28))</f>
        <v/>
      </c>
      <c r="F28">
        <f>IF($B28="","",SUMIFS('Web Feed'!$O$2:$O$3015,'Web Feed'!$B$2:$B$3015,Points!$A$4,'Web Feed'!$F$2:$F$3015,$B28)+SUMIFS('Web Feed'!$O$2:$O$3015,'Web Feed'!$B$2:$B$3015,Points!$A$4,'Web Feed'!$G$2:$G$3015,$B28)+SUMIFS('Web Feed'!$O$2:$O$3015,'Web Feed'!$B$2:$B$3015,Points!$A$4,'Web Feed'!$H$2:$H$3015,$B28)+SUMIFS('Web Feed'!$O$2:$O$3015,'Web Feed'!$B$2:$B$3015,Points!$A$4,'Web Feed'!$I$2:$I$3015,$B28))</f>
        <v/>
      </c>
      <c r="G28">
        <f>IF($B28="","",SUMIFS('Web Feed'!$O$2:$O$3015,'Web Feed'!$B$2:$B$3015,Points!$A$5,'Web Feed'!$F$2:$F$3015,$B28)+SUMIFS('Web Feed'!$O$2:$O$3015,'Web Feed'!$B$2:$B$3015,Points!$A$5,'Web Feed'!$G$2:$G$3015,$B28)+SUMIFS('Web Feed'!$O$2:$O$3015,'Web Feed'!$B$2:$B$3015,Points!$A$5,'Web Feed'!$H$2:$H$3015,$B28)+SUMIFS('Web Feed'!$O$2:$O$3015,'Web Feed'!$B$2:$B$3015,Points!$A$5,'Web Feed'!$I$2:$I$3015,$B28))</f>
        <v/>
      </c>
      <c r="H28">
        <f>IF($B28="","",SUMIFS('Web Feed'!$O$2:$O$3015,'Web Feed'!$B$2:$B$3015,Points!$A$6,'Web Feed'!$F$2:$F$3015,$B28)+SUMIFS('Web Feed'!$O$2:$O$3015,'Web Feed'!$B$2:$B$3015,Points!$A$6,'Web Feed'!$G$2:$G$3015,$B28)+SUMIFS('Web Feed'!$O$2:$O$3015,'Web Feed'!$B$2:$B$3015,Points!$A$6,'Web Feed'!$H$2:$H$3015,$B28)+SUMIFS('Web Feed'!$O$2:$O$3015,'Web Feed'!$B$2:$B$3015,Points!$A$6,'Web Feed'!$I$2:$I$3015,$B28))</f>
        <v/>
      </c>
      <c r="I28">
        <f>IF($B28="","",COUNTIFS('Web Feed'!$B$2:$B$3015,"OHW",'Web Feed'!$F$2:$F$3015,$B28))</f>
        <v/>
      </c>
      <c r="J28">
        <f>IF($B28="","",IFERROR(INDEX('Last Week'!$A$2:$A$301,MATCH($B28,'Last Week'!$B$2:$B$301,0)),""))</f>
        <v/>
      </c>
      <c r="K28">
        <f>IF(OR($B28="",$J28=""),"",$J28-$A28)</f>
        <v/>
      </c>
    </row>
    <row r="29">
      <c r="A29">
        <f>IF($B29="","",RANK($C29,$C$2:$C$500))</f>
        <v/>
      </c>
      <c r="B29">
        <f>IF(Players!$A29="","",Players!$A29)</f>
        <v/>
      </c>
      <c r="C29" s="5">
        <f>IF($B29="","",SUM(D29:H29))</f>
        <v/>
      </c>
      <c r="D29">
        <f>IF($B29="","",SUMIFS('Web Feed'!$O$2:$O$3015,'Web Feed'!$B$2:$B$3015,Points!$A$2,'Web Feed'!$F$2:$F$3015,$B29)+SUMIFS('Web Feed'!$O$2:$O$3015,'Web Feed'!$B$2:$B$3015,Points!$A$2,'Web Feed'!$G$2:$G$3015,$B29)+SUMIFS('Web Feed'!$O$2:$O$3015,'Web Feed'!$B$2:$B$3015,Points!$A$2,'Web Feed'!$H$2:$H$3015,$B29)+SUMIFS('Web Feed'!$O$2:$O$3015,'Web Feed'!$B$2:$B$3015,Points!$A$2,'Web Feed'!$I$2:$I$3015,$B29))</f>
        <v/>
      </c>
      <c r="E29">
        <f>IF($B29="","",SUMIFS('Web Feed'!$O$2:$O$3015,'Web Feed'!$B$2:$B$3015,Points!$A$3,'Web Feed'!$F$2:$F$3015,$B29)+SUMIFS('Web Feed'!$O$2:$O$3015,'Web Feed'!$B$2:$B$3015,Points!$A$3,'Web Feed'!$G$2:$G$3015,$B29)+SUMIFS('Web Feed'!$O$2:$O$3015,'Web Feed'!$B$2:$B$3015,Points!$A$3,'Web Feed'!$H$2:$H$3015,$B29)+SUMIFS('Web Feed'!$O$2:$O$3015,'Web Feed'!$B$2:$B$3015,Points!$A$3,'Web Feed'!$I$2:$I$3015,$B29))</f>
        <v/>
      </c>
      <c r="F29">
        <f>IF($B29="","",SUMIFS('Web Feed'!$O$2:$O$3015,'Web Feed'!$B$2:$B$3015,Points!$A$4,'Web Feed'!$F$2:$F$3015,$B29)+SUMIFS('Web Feed'!$O$2:$O$3015,'Web Feed'!$B$2:$B$3015,Points!$A$4,'Web Feed'!$G$2:$G$3015,$B29)+SUMIFS('Web Feed'!$O$2:$O$3015,'Web Feed'!$B$2:$B$3015,Points!$A$4,'Web Feed'!$H$2:$H$3015,$B29)+SUMIFS('Web Feed'!$O$2:$O$3015,'Web Feed'!$B$2:$B$3015,Points!$A$4,'Web Feed'!$I$2:$I$3015,$B29))</f>
        <v/>
      </c>
      <c r="G29">
        <f>IF($B29="","",SUMIFS('Web Feed'!$O$2:$O$3015,'Web Feed'!$B$2:$B$3015,Points!$A$5,'Web Feed'!$F$2:$F$3015,$B29)+SUMIFS('Web Feed'!$O$2:$O$3015,'Web Feed'!$B$2:$B$3015,Points!$A$5,'Web Feed'!$G$2:$G$3015,$B29)+SUMIFS('Web Feed'!$O$2:$O$3015,'Web Feed'!$B$2:$B$3015,Points!$A$5,'Web Feed'!$H$2:$H$3015,$B29)+SUMIFS('Web Feed'!$O$2:$O$3015,'Web Feed'!$B$2:$B$3015,Points!$A$5,'Web Feed'!$I$2:$I$3015,$B29))</f>
        <v/>
      </c>
      <c r="H29">
        <f>IF($B29="","",SUMIFS('Web Feed'!$O$2:$O$3015,'Web Feed'!$B$2:$B$3015,Points!$A$6,'Web Feed'!$F$2:$F$3015,$B29)+SUMIFS('Web Feed'!$O$2:$O$3015,'Web Feed'!$B$2:$B$3015,Points!$A$6,'Web Feed'!$G$2:$G$3015,$B29)+SUMIFS('Web Feed'!$O$2:$O$3015,'Web Feed'!$B$2:$B$3015,Points!$A$6,'Web Feed'!$H$2:$H$3015,$B29)+SUMIFS('Web Feed'!$O$2:$O$3015,'Web Feed'!$B$2:$B$3015,Points!$A$6,'Web Feed'!$I$2:$I$3015,$B29))</f>
        <v/>
      </c>
      <c r="I29">
        <f>IF($B29="","",COUNTIFS('Web Feed'!$B$2:$B$3015,"OHW",'Web Feed'!$F$2:$F$3015,$B29))</f>
        <v/>
      </c>
      <c r="J29">
        <f>IF($B29="","",IFERROR(INDEX('Last Week'!$A$2:$A$301,MATCH($B29,'Last Week'!$B$2:$B$301,0)),""))</f>
        <v/>
      </c>
      <c r="K29">
        <f>IF(OR($B29="",$J29=""),"",$J29-$A29)</f>
        <v/>
      </c>
    </row>
    <row r="30">
      <c r="A30">
        <f>IF($B30="","",RANK($C30,$C$2:$C$500))</f>
        <v/>
      </c>
      <c r="B30">
        <f>IF(Players!$A30="","",Players!$A30)</f>
        <v/>
      </c>
      <c r="C30" s="5">
        <f>IF($B30="","",SUM(D30:H30))</f>
        <v/>
      </c>
      <c r="D30">
        <f>IF($B30="","",SUMIFS('Web Feed'!$O$2:$O$3015,'Web Feed'!$B$2:$B$3015,Points!$A$2,'Web Feed'!$F$2:$F$3015,$B30)+SUMIFS('Web Feed'!$O$2:$O$3015,'Web Feed'!$B$2:$B$3015,Points!$A$2,'Web Feed'!$G$2:$G$3015,$B30)+SUMIFS('Web Feed'!$O$2:$O$3015,'Web Feed'!$B$2:$B$3015,Points!$A$2,'Web Feed'!$H$2:$H$3015,$B30)+SUMIFS('Web Feed'!$O$2:$O$3015,'Web Feed'!$B$2:$B$3015,Points!$A$2,'Web Feed'!$I$2:$I$3015,$B30))</f>
        <v/>
      </c>
      <c r="E30">
        <f>IF($B30="","",SUMIFS('Web Feed'!$O$2:$O$3015,'Web Feed'!$B$2:$B$3015,Points!$A$3,'Web Feed'!$F$2:$F$3015,$B30)+SUMIFS('Web Feed'!$O$2:$O$3015,'Web Feed'!$B$2:$B$3015,Points!$A$3,'Web Feed'!$G$2:$G$3015,$B30)+SUMIFS('Web Feed'!$O$2:$O$3015,'Web Feed'!$B$2:$B$3015,Points!$A$3,'Web Feed'!$H$2:$H$3015,$B30)+SUMIFS('Web Feed'!$O$2:$O$3015,'Web Feed'!$B$2:$B$3015,Points!$A$3,'Web Feed'!$I$2:$I$3015,$B30))</f>
        <v/>
      </c>
      <c r="F30">
        <f>IF($B30="","",SUMIFS('Web Feed'!$O$2:$O$3015,'Web Feed'!$B$2:$B$3015,Points!$A$4,'Web Feed'!$F$2:$F$3015,$B30)+SUMIFS('Web Feed'!$O$2:$O$3015,'Web Feed'!$B$2:$B$3015,Points!$A$4,'Web Feed'!$G$2:$G$3015,$B30)+SUMIFS('Web Feed'!$O$2:$O$3015,'Web Feed'!$B$2:$B$3015,Points!$A$4,'Web Feed'!$H$2:$H$3015,$B30)+SUMIFS('Web Feed'!$O$2:$O$3015,'Web Feed'!$B$2:$B$3015,Points!$A$4,'Web Feed'!$I$2:$I$3015,$B30))</f>
        <v/>
      </c>
      <c r="G30">
        <f>IF($B30="","",SUMIFS('Web Feed'!$O$2:$O$3015,'Web Feed'!$B$2:$B$3015,Points!$A$5,'Web Feed'!$F$2:$F$3015,$B30)+SUMIFS('Web Feed'!$O$2:$O$3015,'Web Feed'!$B$2:$B$3015,Points!$A$5,'Web Feed'!$G$2:$G$3015,$B30)+SUMIFS('Web Feed'!$O$2:$O$3015,'Web Feed'!$B$2:$B$3015,Points!$A$5,'Web Feed'!$H$2:$H$3015,$B30)+SUMIFS('Web Feed'!$O$2:$O$3015,'Web Feed'!$B$2:$B$3015,Points!$A$5,'Web Feed'!$I$2:$I$3015,$B30))</f>
        <v/>
      </c>
      <c r="H30">
        <f>IF($B30="","",SUMIFS('Web Feed'!$O$2:$O$3015,'Web Feed'!$B$2:$B$3015,Points!$A$6,'Web Feed'!$F$2:$F$3015,$B30)+SUMIFS('Web Feed'!$O$2:$O$3015,'Web Feed'!$B$2:$B$3015,Points!$A$6,'Web Feed'!$G$2:$G$3015,$B30)+SUMIFS('Web Feed'!$O$2:$O$3015,'Web Feed'!$B$2:$B$3015,Points!$A$6,'Web Feed'!$H$2:$H$3015,$B30)+SUMIFS('Web Feed'!$O$2:$O$3015,'Web Feed'!$B$2:$B$3015,Points!$A$6,'Web Feed'!$I$2:$I$3015,$B30))</f>
        <v/>
      </c>
      <c r="I30">
        <f>IF($B30="","",COUNTIFS('Web Feed'!$B$2:$B$3015,"OHW",'Web Feed'!$F$2:$F$3015,$B30))</f>
        <v/>
      </c>
      <c r="J30">
        <f>IF($B30="","",IFERROR(INDEX('Last Week'!$A$2:$A$301,MATCH($B30,'Last Week'!$B$2:$B$301,0)),""))</f>
        <v/>
      </c>
      <c r="K30">
        <f>IF(OR($B30="",$J30=""),"",$J30-$A30)</f>
        <v/>
      </c>
    </row>
    <row r="31">
      <c r="A31">
        <f>IF($B31="","",RANK($C31,$C$2:$C$500))</f>
        <v/>
      </c>
      <c r="B31">
        <f>IF(Players!$A31="","",Players!$A31)</f>
        <v/>
      </c>
      <c r="C31" s="5">
        <f>IF($B31="","",SUM(D31:H31))</f>
        <v/>
      </c>
      <c r="D31">
        <f>IF($B31="","",SUMIFS('Web Feed'!$O$2:$O$3015,'Web Feed'!$B$2:$B$3015,Points!$A$2,'Web Feed'!$F$2:$F$3015,$B31)+SUMIFS('Web Feed'!$O$2:$O$3015,'Web Feed'!$B$2:$B$3015,Points!$A$2,'Web Feed'!$G$2:$G$3015,$B31)+SUMIFS('Web Feed'!$O$2:$O$3015,'Web Feed'!$B$2:$B$3015,Points!$A$2,'Web Feed'!$H$2:$H$3015,$B31)+SUMIFS('Web Feed'!$O$2:$O$3015,'Web Feed'!$B$2:$B$3015,Points!$A$2,'Web Feed'!$I$2:$I$3015,$B31))</f>
        <v/>
      </c>
      <c r="E31">
        <f>IF($B31="","",SUMIFS('Web Feed'!$O$2:$O$3015,'Web Feed'!$B$2:$B$3015,Points!$A$3,'Web Feed'!$F$2:$F$3015,$B31)+SUMIFS('Web Feed'!$O$2:$O$3015,'Web Feed'!$B$2:$B$3015,Points!$A$3,'Web Feed'!$G$2:$G$3015,$B31)+SUMIFS('Web Feed'!$O$2:$O$3015,'Web Feed'!$B$2:$B$3015,Points!$A$3,'Web Feed'!$H$2:$H$3015,$B31)+SUMIFS('Web Feed'!$O$2:$O$3015,'Web Feed'!$B$2:$B$3015,Points!$A$3,'Web Feed'!$I$2:$I$3015,$B31))</f>
        <v/>
      </c>
      <c r="F31">
        <f>IF($B31="","",SUMIFS('Web Feed'!$O$2:$O$3015,'Web Feed'!$B$2:$B$3015,Points!$A$4,'Web Feed'!$F$2:$F$3015,$B31)+SUMIFS('Web Feed'!$O$2:$O$3015,'Web Feed'!$B$2:$B$3015,Points!$A$4,'Web Feed'!$G$2:$G$3015,$B31)+SUMIFS('Web Feed'!$O$2:$O$3015,'Web Feed'!$B$2:$B$3015,Points!$A$4,'Web Feed'!$H$2:$H$3015,$B31)+SUMIFS('Web Feed'!$O$2:$O$3015,'Web Feed'!$B$2:$B$3015,Points!$A$4,'Web Feed'!$I$2:$I$3015,$B31))</f>
        <v/>
      </c>
      <c r="G31">
        <f>IF($B31="","",SUMIFS('Web Feed'!$O$2:$O$3015,'Web Feed'!$B$2:$B$3015,Points!$A$5,'Web Feed'!$F$2:$F$3015,$B31)+SUMIFS('Web Feed'!$O$2:$O$3015,'Web Feed'!$B$2:$B$3015,Points!$A$5,'Web Feed'!$G$2:$G$3015,$B31)+SUMIFS('Web Feed'!$O$2:$O$3015,'Web Feed'!$B$2:$B$3015,Points!$A$5,'Web Feed'!$H$2:$H$3015,$B31)+SUMIFS('Web Feed'!$O$2:$O$3015,'Web Feed'!$B$2:$B$3015,Points!$A$5,'Web Feed'!$I$2:$I$3015,$B31))</f>
        <v/>
      </c>
      <c r="H31">
        <f>IF($B31="","",SUMIFS('Web Feed'!$O$2:$O$3015,'Web Feed'!$B$2:$B$3015,Points!$A$6,'Web Feed'!$F$2:$F$3015,$B31)+SUMIFS('Web Feed'!$O$2:$O$3015,'Web Feed'!$B$2:$B$3015,Points!$A$6,'Web Feed'!$G$2:$G$3015,$B31)+SUMIFS('Web Feed'!$O$2:$O$3015,'Web Feed'!$B$2:$B$3015,Points!$A$6,'Web Feed'!$H$2:$H$3015,$B31)+SUMIFS('Web Feed'!$O$2:$O$3015,'Web Feed'!$B$2:$B$3015,Points!$A$6,'Web Feed'!$I$2:$I$3015,$B31))</f>
        <v/>
      </c>
      <c r="I31">
        <f>IF($B31="","",COUNTIFS('Web Feed'!$B$2:$B$3015,"OHW",'Web Feed'!$F$2:$F$3015,$B31))</f>
        <v/>
      </c>
      <c r="J31">
        <f>IF($B31="","",IFERROR(INDEX('Last Week'!$A$2:$A$301,MATCH($B31,'Last Week'!$B$2:$B$301,0)),""))</f>
        <v/>
      </c>
      <c r="K31">
        <f>IF(OR($B31="",$J31=""),"",$J31-$A31)</f>
        <v/>
      </c>
    </row>
    <row r="32">
      <c r="A32">
        <f>IF($B32="","",RANK($C32,$C$2:$C$500))</f>
        <v/>
      </c>
      <c r="B32">
        <f>IF(Players!$A32="","",Players!$A32)</f>
        <v/>
      </c>
      <c r="C32" s="5">
        <f>IF($B32="","",SUM(D32:H32))</f>
        <v/>
      </c>
      <c r="D32">
        <f>IF($B32="","",SUMIFS('Web Feed'!$O$2:$O$3015,'Web Feed'!$B$2:$B$3015,Points!$A$2,'Web Feed'!$F$2:$F$3015,$B32)+SUMIFS('Web Feed'!$O$2:$O$3015,'Web Feed'!$B$2:$B$3015,Points!$A$2,'Web Feed'!$G$2:$G$3015,$B32)+SUMIFS('Web Feed'!$O$2:$O$3015,'Web Feed'!$B$2:$B$3015,Points!$A$2,'Web Feed'!$H$2:$H$3015,$B32)+SUMIFS('Web Feed'!$O$2:$O$3015,'Web Feed'!$B$2:$B$3015,Points!$A$2,'Web Feed'!$I$2:$I$3015,$B32))</f>
        <v/>
      </c>
      <c r="E32">
        <f>IF($B32="","",SUMIFS('Web Feed'!$O$2:$O$3015,'Web Feed'!$B$2:$B$3015,Points!$A$3,'Web Feed'!$F$2:$F$3015,$B32)+SUMIFS('Web Feed'!$O$2:$O$3015,'Web Feed'!$B$2:$B$3015,Points!$A$3,'Web Feed'!$G$2:$G$3015,$B32)+SUMIFS('Web Feed'!$O$2:$O$3015,'Web Feed'!$B$2:$B$3015,Points!$A$3,'Web Feed'!$H$2:$H$3015,$B32)+SUMIFS('Web Feed'!$O$2:$O$3015,'Web Feed'!$B$2:$B$3015,Points!$A$3,'Web Feed'!$I$2:$I$3015,$B32))</f>
        <v/>
      </c>
      <c r="F32">
        <f>IF($B32="","",SUMIFS('Web Feed'!$O$2:$O$3015,'Web Feed'!$B$2:$B$3015,Points!$A$4,'Web Feed'!$F$2:$F$3015,$B32)+SUMIFS('Web Feed'!$O$2:$O$3015,'Web Feed'!$B$2:$B$3015,Points!$A$4,'Web Feed'!$G$2:$G$3015,$B32)+SUMIFS('Web Feed'!$O$2:$O$3015,'Web Feed'!$B$2:$B$3015,Points!$A$4,'Web Feed'!$H$2:$H$3015,$B32)+SUMIFS('Web Feed'!$O$2:$O$3015,'Web Feed'!$B$2:$B$3015,Points!$A$4,'Web Feed'!$I$2:$I$3015,$B32))</f>
        <v/>
      </c>
      <c r="G32">
        <f>IF($B32="","",SUMIFS('Web Feed'!$O$2:$O$3015,'Web Feed'!$B$2:$B$3015,Points!$A$5,'Web Feed'!$F$2:$F$3015,$B32)+SUMIFS('Web Feed'!$O$2:$O$3015,'Web Feed'!$B$2:$B$3015,Points!$A$5,'Web Feed'!$G$2:$G$3015,$B32)+SUMIFS('Web Feed'!$O$2:$O$3015,'Web Feed'!$B$2:$B$3015,Points!$A$5,'Web Feed'!$H$2:$H$3015,$B32)+SUMIFS('Web Feed'!$O$2:$O$3015,'Web Feed'!$B$2:$B$3015,Points!$A$5,'Web Feed'!$I$2:$I$3015,$B32))</f>
        <v/>
      </c>
      <c r="H32">
        <f>IF($B32="","",SUMIFS('Web Feed'!$O$2:$O$3015,'Web Feed'!$B$2:$B$3015,Points!$A$6,'Web Feed'!$F$2:$F$3015,$B32)+SUMIFS('Web Feed'!$O$2:$O$3015,'Web Feed'!$B$2:$B$3015,Points!$A$6,'Web Feed'!$G$2:$G$3015,$B32)+SUMIFS('Web Feed'!$O$2:$O$3015,'Web Feed'!$B$2:$B$3015,Points!$A$6,'Web Feed'!$H$2:$H$3015,$B32)+SUMIFS('Web Feed'!$O$2:$O$3015,'Web Feed'!$B$2:$B$3015,Points!$A$6,'Web Feed'!$I$2:$I$3015,$B32))</f>
        <v/>
      </c>
      <c r="I32">
        <f>IF($B32="","",COUNTIFS('Web Feed'!$B$2:$B$3015,"OHW",'Web Feed'!$F$2:$F$3015,$B32))</f>
        <v/>
      </c>
      <c r="J32">
        <f>IF($B32="","",IFERROR(INDEX('Last Week'!$A$2:$A$301,MATCH($B32,'Last Week'!$B$2:$B$301,0)),""))</f>
        <v/>
      </c>
      <c r="K32">
        <f>IF(OR($B32="",$J32=""),"",$J32-$A32)</f>
        <v/>
      </c>
    </row>
    <row r="33">
      <c r="A33">
        <f>IF($B33="","",RANK($C33,$C$2:$C$500))</f>
        <v/>
      </c>
      <c r="B33">
        <f>IF(Players!$A33="","",Players!$A33)</f>
        <v/>
      </c>
      <c r="C33" s="5">
        <f>IF($B33="","",SUM(D33:H33))</f>
        <v/>
      </c>
      <c r="D33">
        <f>IF($B33="","",SUMIFS('Web Feed'!$O$2:$O$3015,'Web Feed'!$B$2:$B$3015,Points!$A$2,'Web Feed'!$F$2:$F$3015,$B33)+SUMIFS('Web Feed'!$O$2:$O$3015,'Web Feed'!$B$2:$B$3015,Points!$A$2,'Web Feed'!$G$2:$G$3015,$B33)+SUMIFS('Web Feed'!$O$2:$O$3015,'Web Feed'!$B$2:$B$3015,Points!$A$2,'Web Feed'!$H$2:$H$3015,$B33)+SUMIFS('Web Feed'!$O$2:$O$3015,'Web Feed'!$B$2:$B$3015,Points!$A$2,'Web Feed'!$I$2:$I$3015,$B33))</f>
        <v/>
      </c>
      <c r="E33">
        <f>IF($B33="","",SUMIFS('Web Feed'!$O$2:$O$3015,'Web Feed'!$B$2:$B$3015,Points!$A$3,'Web Feed'!$F$2:$F$3015,$B33)+SUMIFS('Web Feed'!$O$2:$O$3015,'Web Feed'!$B$2:$B$3015,Points!$A$3,'Web Feed'!$G$2:$G$3015,$B33)+SUMIFS('Web Feed'!$O$2:$O$3015,'Web Feed'!$B$2:$B$3015,Points!$A$3,'Web Feed'!$H$2:$H$3015,$B33)+SUMIFS('Web Feed'!$O$2:$O$3015,'Web Feed'!$B$2:$B$3015,Points!$A$3,'Web Feed'!$I$2:$I$3015,$B33))</f>
        <v/>
      </c>
      <c r="F33">
        <f>IF($B33="","",SUMIFS('Web Feed'!$O$2:$O$3015,'Web Feed'!$B$2:$B$3015,Points!$A$4,'Web Feed'!$F$2:$F$3015,$B33)+SUMIFS('Web Feed'!$O$2:$O$3015,'Web Feed'!$B$2:$B$3015,Points!$A$4,'Web Feed'!$G$2:$G$3015,$B33)+SUMIFS('Web Feed'!$O$2:$O$3015,'Web Feed'!$B$2:$B$3015,Points!$A$4,'Web Feed'!$H$2:$H$3015,$B33)+SUMIFS('Web Feed'!$O$2:$O$3015,'Web Feed'!$B$2:$B$3015,Points!$A$4,'Web Feed'!$I$2:$I$3015,$B33))</f>
        <v/>
      </c>
      <c r="G33">
        <f>IF($B33="","",SUMIFS('Web Feed'!$O$2:$O$3015,'Web Feed'!$B$2:$B$3015,Points!$A$5,'Web Feed'!$F$2:$F$3015,$B33)+SUMIFS('Web Feed'!$O$2:$O$3015,'Web Feed'!$B$2:$B$3015,Points!$A$5,'Web Feed'!$G$2:$G$3015,$B33)+SUMIFS('Web Feed'!$O$2:$O$3015,'Web Feed'!$B$2:$B$3015,Points!$A$5,'Web Feed'!$H$2:$H$3015,$B33)+SUMIFS('Web Feed'!$O$2:$O$3015,'Web Feed'!$B$2:$B$3015,Points!$A$5,'Web Feed'!$I$2:$I$3015,$B33))</f>
        <v/>
      </c>
      <c r="H33">
        <f>IF($B33="","",SUMIFS('Web Feed'!$O$2:$O$3015,'Web Feed'!$B$2:$B$3015,Points!$A$6,'Web Feed'!$F$2:$F$3015,$B33)+SUMIFS('Web Feed'!$O$2:$O$3015,'Web Feed'!$B$2:$B$3015,Points!$A$6,'Web Feed'!$G$2:$G$3015,$B33)+SUMIFS('Web Feed'!$O$2:$O$3015,'Web Feed'!$B$2:$B$3015,Points!$A$6,'Web Feed'!$H$2:$H$3015,$B33)+SUMIFS('Web Feed'!$O$2:$O$3015,'Web Feed'!$B$2:$B$3015,Points!$A$6,'Web Feed'!$I$2:$I$3015,$B33))</f>
        <v/>
      </c>
      <c r="I33">
        <f>IF($B33="","",COUNTIFS('Web Feed'!$B$2:$B$3015,"OHW",'Web Feed'!$F$2:$F$3015,$B33))</f>
        <v/>
      </c>
      <c r="J33">
        <f>IF($B33="","",IFERROR(INDEX('Last Week'!$A$2:$A$301,MATCH($B33,'Last Week'!$B$2:$B$301,0)),""))</f>
        <v/>
      </c>
      <c r="K33">
        <f>IF(OR($B33="",$J33=""),"",$J33-$A33)</f>
        <v/>
      </c>
    </row>
    <row r="34">
      <c r="A34">
        <f>IF($B34="","",RANK($C34,$C$2:$C$500))</f>
        <v/>
      </c>
      <c r="B34">
        <f>IF(Players!$A34="","",Players!$A34)</f>
        <v/>
      </c>
      <c r="C34" s="5">
        <f>IF($B34="","",SUM(D34:H34))</f>
        <v/>
      </c>
      <c r="D34">
        <f>IF($B34="","",SUMIFS('Web Feed'!$O$2:$O$3015,'Web Feed'!$B$2:$B$3015,Points!$A$2,'Web Feed'!$F$2:$F$3015,$B34)+SUMIFS('Web Feed'!$O$2:$O$3015,'Web Feed'!$B$2:$B$3015,Points!$A$2,'Web Feed'!$G$2:$G$3015,$B34)+SUMIFS('Web Feed'!$O$2:$O$3015,'Web Feed'!$B$2:$B$3015,Points!$A$2,'Web Feed'!$H$2:$H$3015,$B34)+SUMIFS('Web Feed'!$O$2:$O$3015,'Web Feed'!$B$2:$B$3015,Points!$A$2,'Web Feed'!$I$2:$I$3015,$B34))</f>
        <v/>
      </c>
      <c r="E34">
        <f>IF($B34="","",SUMIFS('Web Feed'!$O$2:$O$3015,'Web Feed'!$B$2:$B$3015,Points!$A$3,'Web Feed'!$F$2:$F$3015,$B34)+SUMIFS('Web Feed'!$O$2:$O$3015,'Web Feed'!$B$2:$B$3015,Points!$A$3,'Web Feed'!$G$2:$G$3015,$B34)+SUMIFS('Web Feed'!$O$2:$O$3015,'Web Feed'!$B$2:$B$3015,Points!$A$3,'Web Feed'!$H$2:$H$3015,$B34)+SUMIFS('Web Feed'!$O$2:$O$3015,'Web Feed'!$B$2:$B$3015,Points!$A$3,'Web Feed'!$I$2:$I$3015,$B34))</f>
        <v/>
      </c>
      <c r="F34">
        <f>IF($B34="","",SUMIFS('Web Feed'!$O$2:$O$3015,'Web Feed'!$B$2:$B$3015,Points!$A$4,'Web Feed'!$F$2:$F$3015,$B34)+SUMIFS('Web Feed'!$O$2:$O$3015,'Web Feed'!$B$2:$B$3015,Points!$A$4,'Web Feed'!$G$2:$G$3015,$B34)+SUMIFS('Web Feed'!$O$2:$O$3015,'Web Feed'!$B$2:$B$3015,Points!$A$4,'Web Feed'!$H$2:$H$3015,$B34)+SUMIFS('Web Feed'!$O$2:$O$3015,'Web Feed'!$B$2:$B$3015,Points!$A$4,'Web Feed'!$I$2:$I$3015,$B34))</f>
        <v/>
      </c>
      <c r="G34">
        <f>IF($B34="","",SUMIFS('Web Feed'!$O$2:$O$3015,'Web Feed'!$B$2:$B$3015,Points!$A$5,'Web Feed'!$F$2:$F$3015,$B34)+SUMIFS('Web Feed'!$O$2:$O$3015,'Web Feed'!$B$2:$B$3015,Points!$A$5,'Web Feed'!$G$2:$G$3015,$B34)+SUMIFS('Web Feed'!$O$2:$O$3015,'Web Feed'!$B$2:$B$3015,Points!$A$5,'Web Feed'!$H$2:$H$3015,$B34)+SUMIFS('Web Feed'!$O$2:$O$3015,'Web Feed'!$B$2:$B$3015,Points!$A$5,'Web Feed'!$I$2:$I$3015,$B34))</f>
        <v/>
      </c>
      <c r="H34">
        <f>IF($B34="","",SUMIFS('Web Feed'!$O$2:$O$3015,'Web Feed'!$B$2:$B$3015,Points!$A$6,'Web Feed'!$F$2:$F$3015,$B34)+SUMIFS('Web Feed'!$O$2:$O$3015,'Web Feed'!$B$2:$B$3015,Points!$A$6,'Web Feed'!$G$2:$G$3015,$B34)+SUMIFS('Web Feed'!$O$2:$O$3015,'Web Feed'!$B$2:$B$3015,Points!$A$6,'Web Feed'!$H$2:$H$3015,$B34)+SUMIFS('Web Feed'!$O$2:$O$3015,'Web Feed'!$B$2:$B$3015,Points!$A$6,'Web Feed'!$I$2:$I$3015,$B34))</f>
        <v/>
      </c>
      <c r="I34">
        <f>IF($B34="","",COUNTIFS('Web Feed'!$B$2:$B$3015,"OHW",'Web Feed'!$F$2:$F$3015,$B34))</f>
        <v/>
      </c>
      <c r="J34">
        <f>IF($B34="","",IFERROR(INDEX('Last Week'!$A$2:$A$301,MATCH($B34,'Last Week'!$B$2:$B$301,0)),""))</f>
        <v/>
      </c>
      <c r="K34">
        <f>IF(OR($B34="",$J34=""),"",$J34-$A34)</f>
        <v/>
      </c>
    </row>
    <row r="35">
      <c r="A35">
        <f>IF($B35="","",RANK($C35,$C$2:$C$500))</f>
        <v/>
      </c>
      <c r="B35">
        <f>IF(Players!$A35="","",Players!$A35)</f>
        <v/>
      </c>
      <c r="C35" s="5">
        <f>IF($B35="","",SUM(D35:H35))</f>
        <v/>
      </c>
      <c r="D35">
        <f>IF($B35="","",SUMIFS('Web Feed'!$O$2:$O$3015,'Web Feed'!$B$2:$B$3015,Points!$A$2,'Web Feed'!$F$2:$F$3015,$B35)+SUMIFS('Web Feed'!$O$2:$O$3015,'Web Feed'!$B$2:$B$3015,Points!$A$2,'Web Feed'!$G$2:$G$3015,$B35)+SUMIFS('Web Feed'!$O$2:$O$3015,'Web Feed'!$B$2:$B$3015,Points!$A$2,'Web Feed'!$H$2:$H$3015,$B35)+SUMIFS('Web Feed'!$O$2:$O$3015,'Web Feed'!$B$2:$B$3015,Points!$A$2,'Web Feed'!$I$2:$I$3015,$B35))</f>
        <v/>
      </c>
      <c r="E35">
        <f>IF($B35="","",SUMIFS('Web Feed'!$O$2:$O$3015,'Web Feed'!$B$2:$B$3015,Points!$A$3,'Web Feed'!$F$2:$F$3015,$B35)+SUMIFS('Web Feed'!$O$2:$O$3015,'Web Feed'!$B$2:$B$3015,Points!$A$3,'Web Feed'!$G$2:$G$3015,$B35)+SUMIFS('Web Feed'!$O$2:$O$3015,'Web Feed'!$B$2:$B$3015,Points!$A$3,'Web Feed'!$H$2:$H$3015,$B35)+SUMIFS('Web Feed'!$O$2:$O$3015,'Web Feed'!$B$2:$B$3015,Points!$A$3,'Web Feed'!$I$2:$I$3015,$B35))</f>
        <v/>
      </c>
      <c r="F35">
        <f>IF($B35="","",SUMIFS('Web Feed'!$O$2:$O$3015,'Web Feed'!$B$2:$B$3015,Points!$A$4,'Web Feed'!$F$2:$F$3015,$B35)+SUMIFS('Web Feed'!$O$2:$O$3015,'Web Feed'!$B$2:$B$3015,Points!$A$4,'Web Feed'!$G$2:$G$3015,$B35)+SUMIFS('Web Feed'!$O$2:$O$3015,'Web Feed'!$B$2:$B$3015,Points!$A$4,'Web Feed'!$H$2:$H$3015,$B35)+SUMIFS('Web Feed'!$O$2:$O$3015,'Web Feed'!$B$2:$B$3015,Points!$A$4,'Web Feed'!$I$2:$I$3015,$B35))</f>
        <v/>
      </c>
      <c r="G35">
        <f>IF($B35="","",SUMIFS('Web Feed'!$O$2:$O$3015,'Web Feed'!$B$2:$B$3015,Points!$A$5,'Web Feed'!$F$2:$F$3015,$B35)+SUMIFS('Web Feed'!$O$2:$O$3015,'Web Feed'!$B$2:$B$3015,Points!$A$5,'Web Feed'!$G$2:$G$3015,$B35)+SUMIFS('Web Feed'!$O$2:$O$3015,'Web Feed'!$B$2:$B$3015,Points!$A$5,'Web Feed'!$H$2:$H$3015,$B35)+SUMIFS('Web Feed'!$O$2:$O$3015,'Web Feed'!$B$2:$B$3015,Points!$A$5,'Web Feed'!$I$2:$I$3015,$B35))</f>
        <v/>
      </c>
      <c r="H35">
        <f>IF($B35="","",SUMIFS('Web Feed'!$O$2:$O$3015,'Web Feed'!$B$2:$B$3015,Points!$A$6,'Web Feed'!$F$2:$F$3015,$B35)+SUMIFS('Web Feed'!$O$2:$O$3015,'Web Feed'!$B$2:$B$3015,Points!$A$6,'Web Feed'!$G$2:$G$3015,$B35)+SUMIFS('Web Feed'!$O$2:$O$3015,'Web Feed'!$B$2:$B$3015,Points!$A$6,'Web Feed'!$H$2:$H$3015,$B35)+SUMIFS('Web Feed'!$O$2:$O$3015,'Web Feed'!$B$2:$B$3015,Points!$A$6,'Web Feed'!$I$2:$I$3015,$B35))</f>
        <v/>
      </c>
      <c r="I35">
        <f>IF($B35="","",COUNTIFS('Web Feed'!$B$2:$B$3015,"OHW",'Web Feed'!$F$2:$F$3015,$B35))</f>
        <v/>
      </c>
      <c r="J35">
        <f>IF($B35="","",IFERROR(INDEX('Last Week'!$A$2:$A$301,MATCH($B35,'Last Week'!$B$2:$B$301,0)),""))</f>
        <v/>
      </c>
      <c r="K35">
        <f>IF(OR($B35="",$J35=""),"",$J35-$A35)</f>
        <v/>
      </c>
    </row>
    <row r="36">
      <c r="A36">
        <f>IF($B36="","",RANK($C36,$C$2:$C$500))</f>
        <v/>
      </c>
      <c r="B36">
        <f>IF(Players!$A36="","",Players!$A36)</f>
        <v/>
      </c>
      <c r="C36" s="5">
        <f>IF($B36="","",SUM(D36:H36))</f>
        <v/>
      </c>
      <c r="D36">
        <f>IF($B36="","",SUMIFS('Web Feed'!$O$2:$O$3015,'Web Feed'!$B$2:$B$3015,Points!$A$2,'Web Feed'!$F$2:$F$3015,$B36)+SUMIFS('Web Feed'!$O$2:$O$3015,'Web Feed'!$B$2:$B$3015,Points!$A$2,'Web Feed'!$G$2:$G$3015,$B36)+SUMIFS('Web Feed'!$O$2:$O$3015,'Web Feed'!$B$2:$B$3015,Points!$A$2,'Web Feed'!$H$2:$H$3015,$B36)+SUMIFS('Web Feed'!$O$2:$O$3015,'Web Feed'!$B$2:$B$3015,Points!$A$2,'Web Feed'!$I$2:$I$3015,$B36))</f>
        <v/>
      </c>
      <c r="E36">
        <f>IF($B36="","",SUMIFS('Web Feed'!$O$2:$O$3015,'Web Feed'!$B$2:$B$3015,Points!$A$3,'Web Feed'!$F$2:$F$3015,$B36)+SUMIFS('Web Feed'!$O$2:$O$3015,'Web Feed'!$B$2:$B$3015,Points!$A$3,'Web Feed'!$G$2:$G$3015,$B36)+SUMIFS('Web Feed'!$O$2:$O$3015,'Web Feed'!$B$2:$B$3015,Points!$A$3,'Web Feed'!$H$2:$H$3015,$B36)+SUMIFS('Web Feed'!$O$2:$O$3015,'Web Feed'!$B$2:$B$3015,Points!$A$3,'Web Feed'!$I$2:$I$3015,$B36))</f>
        <v/>
      </c>
      <c r="F36">
        <f>IF($B36="","",SUMIFS('Web Feed'!$O$2:$O$3015,'Web Feed'!$B$2:$B$3015,Points!$A$4,'Web Feed'!$F$2:$F$3015,$B36)+SUMIFS('Web Feed'!$O$2:$O$3015,'Web Feed'!$B$2:$B$3015,Points!$A$4,'Web Feed'!$G$2:$G$3015,$B36)+SUMIFS('Web Feed'!$O$2:$O$3015,'Web Feed'!$B$2:$B$3015,Points!$A$4,'Web Feed'!$H$2:$H$3015,$B36)+SUMIFS('Web Feed'!$O$2:$O$3015,'Web Feed'!$B$2:$B$3015,Points!$A$4,'Web Feed'!$I$2:$I$3015,$B36))</f>
        <v/>
      </c>
      <c r="G36">
        <f>IF($B36="","",SUMIFS('Web Feed'!$O$2:$O$3015,'Web Feed'!$B$2:$B$3015,Points!$A$5,'Web Feed'!$F$2:$F$3015,$B36)+SUMIFS('Web Feed'!$O$2:$O$3015,'Web Feed'!$B$2:$B$3015,Points!$A$5,'Web Feed'!$G$2:$G$3015,$B36)+SUMIFS('Web Feed'!$O$2:$O$3015,'Web Feed'!$B$2:$B$3015,Points!$A$5,'Web Feed'!$H$2:$H$3015,$B36)+SUMIFS('Web Feed'!$O$2:$O$3015,'Web Feed'!$B$2:$B$3015,Points!$A$5,'Web Feed'!$I$2:$I$3015,$B36))</f>
        <v/>
      </c>
      <c r="H36">
        <f>IF($B36="","",SUMIFS('Web Feed'!$O$2:$O$3015,'Web Feed'!$B$2:$B$3015,Points!$A$6,'Web Feed'!$F$2:$F$3015,$B36)+SUMIFS('Web Feed'!$O$2:$O$3015,'Web Feed'!$B$2:$B$3015,Points!$A$6,'Web Feed'!$G$2:$G$3015,$B36)+SUMIFS('Web Feed'!$O$2:$O$3015,'Web Feed'!$B$2:$B$3015,Points!$A$6,'Web Feed'!$H$2:$H$3015,$B36)+SUMIFS('Web Feed'!$O$2:$O$3015,'Web Feed'!$B$2:$B$3015,Points!$A$6,'Web Feed'!$I$2:$I$3015,$B36))</f>
        <v/>
      </c>
      <c r="I36">
        <f>IF($B36="","",COUNTIFS('Web Feed'!$B$2:$B$3015,"OHW",'Web Feed'!$F$2:$F$3015,$B36))</f>
        <v/>
      </c>
      <c r="J36">
        <f>IF($B36="","",IFERROR(INDEX('Last Week'!$A$2:$A$301,MATCH($B36,'Last Week'!$B$2:$B$301,0)),""))</f>
        <v/>
      </c>
      <c r="K36">
        <f>IF(OR($B36="",$J36=""),"",$J36-$A36)</f>
        <v/>
      </c>
    </row>
    <row r="37">
      <c r="A37">
        <f>IF($B37="","",RANK($C37,$C$2:$C$500))</f>
        <v/>
      </c>
      <c r="B37">
        <f>IF(Players!$A37="","",Players!$A37)</f>
        <v/>
      </c>
      <c r="C37" s="5">
        <f>IF($B37="","",SUM(D37:H37))</f>
        <v/>
      </c>
      <c r="D37">
        <f>IF($B37="","",SUMIFS('Web Feed'!$O$2:$O$3015,'Web Feed'!$B$2:$B$3015,Points!$A$2,'Web Feed'!$F$2:$F$3015,$B37)+SUMIFS('Web Feed'!$O$2:$O$3015,'Web Feed'!$B$2:$B$3015,Points!$A$2,'Web Feed'!$G$2:$G$3015,$B37)+SUMIFS('Web Feed'!$O$2:$O$3015,'Web Feed'!$B$2:$B$3015,Points!$A$2,'Web Feed'!$H$2:$H$3015,$B37)+SUMIFS('Web Feed'!$O$2:$O$3015,'Web Feed'!$B$2:$B$3015,Points!$A$2,'Web Feed'!$I$2:$I$3015,$B37))</f>
        <v/>
      </c>
      <c r="E37">
        <f>IF($B37="","",SUMIFS('Web Feed'!$O$2:$O$3015,'Web Feed'!$B$2:$B$3015,Points!$A$3,'Web Feed'!$F$2:$F$3015,$B37)+SUMIFS('Web Feed'!$O$2:$O$3015,'Web Feed'!$B$2:$B$3015,Points!$A$3,'Web Feed'!$G$2:$G$3015,$B37)+SUMIFS('Web Feed'!$O$2:$O$3015,'Web Feed'!$B$2:$B$3015,Points!$A$3,'Web Feed'!$H$2:$H$3015,$B37)+SUMIFS('Web Feed'!$O$2:$O$3015,'Web Feed'!$B$2:$B$3015,Points!$A$3,'Web Feed'!$I$2:$I$3015,$B37))</f>
        <v/>
      </c>
      <c r="F37">
        <f>IF($B37="","",SUMIFS('Web Feed'!$O$2:$O$3015,'Web Feed'!$B$2:$B$3015,Points!$A$4,'Web Feed'!$F$2:$F$3015,$B37)+SUMIFS('Web Feed'!$O$2:$O$3015,'Web Feed'!$B$2:$B$3015,Points!$A$4,'Web Feed'!$G$2:$G$3015,$B37)+SUMIFS('Web Feed'!$O$2:$O$3015,'Web Feed'!$B$2:$B$3015,Points!$A$4,'Web Feed'!$H$2:$H$3015,$B37)+SUMIFS('Web Feed'!$O$2:$O$3015,'Web Feed'!$B$2:$B$3015,Points!$A$4,'Web Feed'!$I$2:$I$3015,$B37))</f>
        <v/>
      </c>
      <c r="G37">
        <f>IF($B37="","",SUMIFS('Web Feed'!$O$2:$O$3015,'Web Feed'!$B$2:$B$3015,Points!$A$5,'Web Feed'!$F$2:$F$3015,$B37)+SUMIFS('Web Feed'!$O$2:$O$3015,'Web Feed'!$B$2:$B$3015,Points!$A$5,'Web Feed'!$G$2:$G$3015,$B37)+SUMIFS('Web Feed'!$O$2:$O$3015,'Web Feed'!$B$2:$B$3015,Points!$A$5,'Web Feed'!$H$2:$H$3015,$B37)+SUMIFS('Web Feed'!$O$2:$O$3015,'Web Feed'!$B$2:$B$3015,Points!$A$5,'Web Feed'!$I$2:$I$3015,$B37))</f>
        <v/>
      </c>
      <c r="H37">
        <f>IF($B37="","",SUMIFS('Web Feed'!$O$2:$O$3015,'Web Feed'!$B$2:$B$3015,Points!$A$6,'Web Feed'!$F$2:$F$3015,$B37)+SUMIFS('Web Feed'!$O$2:$O$3015,'Web Feed'!$B$2:$B$3015,Points!$A$6,'Web Feed'!$G$2:$G$3015,$B37)+SUMIFS('Web Feed'!$O$2:$O$3015,'Web Feed'!$B$2:$B$3015,Points!$A$6,'Web Feed'!$H$2:$H$3015,$B37)+SUMIFS('Web Feed'!$O$2:$O$3015,'Web Feed'!$B$2:$B$3015,Points!$A$6,'Web Feed'!$I$2:$I$3015,$B37))</f>
        <v/>
      </c>
      <c r="I37">
        <f>IF($B37="","",COUNTIFS('Web Feed'!$B$2:$B$3015,"OHW",'Web Feed'!$F$2:$F$3015,$B37))</f>
        <v/>
      </c>
      <c r="J37">
        <f>IF($B37="","",IFERROR(INDEX('Last Week'!$A$2:$A$301,MATCH($B37,'Last Week'!$B$2:$B$301,0)),""))</f>
        <v/>
      </c>
      <c r="K37">
        <f>IF(OR($B37="",$J37=""),"",$J37-$A37)</f>
        <v/>
      </c>
    </row>
    <row r="38">
      <c r="A38">
        <f>IF($B38="","",RANK($C38,$C$2:$C$500))</f>
        <v/>
      </c>
      <c r="B38">
        <f>IF(Players!$A38="","",Players!$A38)</f>
        <v/>
      </c>
      <c r="C38" s="5">
        <f>IF($B38="","",SUM(D38:H38))</f>
        <v/>
      </c>
      <c r="D38">
        <f>IF($B38="","",SUMIFS('Web Feed'!$O$2:$O$3015,'Web Feed'!$B$2:$B$3015,Points!$A$2,'Web Feed'!$F$2:$F$3015,$B38)+SUMIFS('Web Feed'!$O$2:$O$3015,'Web Feed'!$B$2:$B$3015,Points!$A$2,'Web Feed'!$G$2:$G$3015,$B38)+SUMIFS('Web Feed'!$O$2:$O$3015,'Web Feed'!$B$2:$B$3015,Points!$A$2,'Web Feed'!$H$2:$H$3015,$B38)+SUMIFS('Web Feed'!$O$2:$O$3015,'Web Feed'!$B$2:$B$3015,Points!$A$2,'Web Feed'!$I$2:$I$3015,$B38))</f>
        <v/>
      </c>
      <c r="E38">
        <f>IF($B38="","",SUMIFS('Web Feed'!$O$2:$O$3015,'Web Feed'!$B$2:$B$3015,Points!$A$3,'Web Feed'!$F$2:$F$3015,$B38)+SUMIFS('Web Feed'!$O$2:$O$3015,'Web Feed'!$B$2:$B$3015,Points!$A$3,'Web Feed'!$G$2:$G$3015,$B38)+SUMIFS('Web Feed'!$O$2:$O$3015,'Web Feed'!$B$2:$B$3015,Points!$A$3,'Web Feed'!$H$2:$H$3015,$B38)+SUMIFS('Web Feed'!$O$2:$O$3015,'Web Feed'!$B$2:$B$3015,Points!$A$3,'Web Feed'!$I$2:$I$3015,$B38))</f>
        <v/>
      </c>
      <c r="F38">
        <f>IF($B38="","",SUMIFS('Web Feed'!$O$2:$O$3015,'Web Feed'!$B$2:$B$3015,Points!$A$4,'Web Feed'!$F$2:$F$3015,$B38)+SUMIFS('Web Feed'!$O$2:$O$3015,'Web Feed'!$B$2:$B$3015,Points!$A$4,'Web Feed'!$G$2:$G$3015,$B38)+SUMIFS('Web Feed'!$O$2:$O$3015,'Web Feed'!$B$2:$B$3015,Points!$A$4,'Web Feed'!$H$2:$H$3015,$B38)+SUMIFS('Web Feed'!$O$2:$O$3015,'Web Feed'!$B$2:$B$3015,Points!$A$4,'Web Feed'!$I$2:$I$3015,$B38))</f>
        <v/>
      </c>
      <c r="G38">
        <f>IF($B38="","",SUMIFS('Web Feed'!$O$2:$O$3015,'Web Feed'!$B$2:$B$3015,Points!$A$5,'Web Feed'!$F$2:$F$3015,$B38)+SUMIFS('Web Feed'!$O$2:$O$3015,'Web Feed'!$B$2:$B$3015,Points!$A$5,'Web Feed'!$G$2:$G$3015,$B38)+SUMIFS('Web Feed'!$O$2:$O$3015,'Web Feed'!$B$2:$B$3015,Points!$A$5,'Web Feed'!$H$2:$H$3015,$B38)+SUMIFS('Web Feed'!$O$2:$O$3015,'Web Feed'!$B$2:$B$3015,Points!$A$5,'Web Feed'!$I$2:$I$3015,$B38))</f>
        <v/>
      </c>
      <c r="H38">
        <f>IF($B38="","",SUMIFS('Web Feed'!$O$2:$O$3015,'Web Feed'!$B$2:$B$3015,Points!$A$6,'Web Feed'!$F$2:$F$3015,$B38)+SUMIFS('Web Feed'!$O$2:$O$3015,'Web Feed'!$B$2:$B$3015,Points!$A$6,'Web Feed'!$G$2:$G$3015,$B38)+SUMIFS('Web Feed'!$O$2:$O$3015,'Web Feed'!$B$2:$B$3015,Points!$A$6,'Web Feed'!$H$2:$H$3015,$B38)+SUMIFS('Web Feed'!$O$2:$O$3015,'Web Feed'!$B$2:$B$3015,Points!$A$6,'Web Feed'!$I$2:$I$3015,$B38))</f>
        <v/>
      </c>
      <c r="I38">
        <f>IF($B38="","",COUNTIFS('Web Feed'!$B$2:$B$3015,"OHW",'Web Feed'!$F$2:$F$3015,$B38))</f>
        <v/>
      </c>
      <c r="J38">
        <f>IF($B38="","",IFERROR(INDEX('Last Week'!$A$2:$A$301,MATCH($B38,'Last Week'!$B$2:$B$301,0)),""))</f>
        <v/>
      </c>
      <c r="K38">
        <f>IF(OR($B38="",$J38=""),"",$J38-$A38)</f>
        <v/>
      </c>
    </row>
    <row r="39">
      <c r="A39">
        <f>IF($B39="","",RANK($C39,$C$2:$C$500))</f>
        <v/>
      </c>
      <c r="B39">
        <f>IF(Players!$A39="","",Players!$A39)</f>
        <v/>
      </c>
      <c r="C39" s="5">
        <f>IF($B39="","",SUM(D39:H39))</f>
        <v/>
      </c>
      <c r="D39">
        <f>IF($B39="","",SUMIFS('Web Feed'!$O$2:$O$3015,'Web Feed'!$B$2:$B$3015,Points!$A$2,'Web Feed'!$F$2:$F$3015,$B39)+SUMIFS('Web Feed'!$O$2:$O$3015,'Web Feed'!$B$2:$B$3015,Points!$A$2,'Web Feed'!$G$2:$G$3015,$B39)+SUMIFS('Web Feed'!$O$2:$O$3015,'Web Feed'!$B$2:$B$3015,Points!$A$2,'Web Feed'!$H$2:$H$3015,$B39)+SUMIFS('Web Feed'!$O$2:$O$3015,'Web Feed'!$B$2:$B$3015,Points!$A$2,'Web Feed'!$I$2:$I$3015,$B39))</f>
        <v/>
      </c>
      <c r="E39">
        <f>IF($B39="","",SUMIFS('Web Feed'!$O$2:$O$3015,'Web Feed'!$B$2:$B$3015,Points!$A$3,'Web Feed'!$F$2:$F$3015,$B39)+SUMIFS('Web Feed'!$O$2:$O$3015,'Web Feed'!$B$2:$B$3015,Points!$A$3,'Web Feed'!$G$2:$G$3015,$B39)+SUMIFS('Web Feed'!$O$2:$O$3015,'Web Feed'!$B$2:$B$3015,Points!$A$3,'Web Feed'!$H$2:$H$3015,$B39)+SUMIFS('Web Feed'!$O$2:$O$3015,'Web Feed'!$B$2:$B$3015,Points!$A$3,'Web Feed'!$I$2:$I$3015,$B39))</f>
        <v/>
      </c>
      <c r="F39">
        <f>IF($B39="","",SUMIFS('Web Feed'!$O$2:$O$3015,'Web Feed'!$B$2:$B$3015,Points!$A$4,'Web Feed'!$F$2:$F$3015,$B39)+SUMIFS('Web Feed'!$O$2:$O$3015,'Web Feed'!$B$2:$B$3015,Points!$A$4,'Web Feed'!$G$2:$G$3015,$B39)+SUMIFS('Web Feed'!$O$2:$O$3015,'Web Feed'!$B$2:$B$3015,Points!$A$4,'Web Feed'!$H$2:$H$3015,$B39)+SUMIFS('Web Feed'!$O$2:$O$3015,'Web Feed'!$B$2:$B$3015,Points!$A$4,'Web Feed'!$I$2:$I$3015,$B39))</f>
        <v/>
      </c>
      <c r="G39">
        <f>IF($B39="","",SUMIFS('Web Feed'!$O$2:$O$3015,'Web Feed'!$B$2:$B$3015,Points!$A$5,'Web Feed'!$F$2:$F$3015,$B39)+SUMIFS('Web Feed'!$O$2:$O$3015,'Web Feed'!$B$2:$B$3015,Points!$A$5,'Web Feed'!$G$2:$G$3015,$B39)+SUMIFS('Web Feed'!$O$2:$O$3015,'Web Feed'!$B$2:$B$3015,Points!$A$5,'Web Feed'!$H$2:$H$3015,$B39)+SUMIFS('Web Feed'!$O$2:$O$3015,'Web Feed'!$B$2:$B$3015,Points!$A$5,'Web Feed'!$I$2:$I$3015,$B39))</f>
        <v/>
      </c>
      <c r="H39">
        <f>IF($B39="","",SUMIFS('Web Feed'!$O$2:$O$3015,'Web Feed'!$B$2:$B$3015,Points!$A$6,'Web Feed'!$F$2:$F$3015,$B39)+SUMIFS('Web Feed'!$O$2:$O$3015,'Web Feed'!$B$2:$B$3015,Points!$A$6,'Web Feed'!$G$2:$G$3015,$B39)+SUMIFS('Web Feed'!$O$2:$O$3015,'Web Feed'!$B$2:$B$3015,Points!$A$6,'Web Feed'!$H$2:$H$3015,$B39)+SUMIFS('Web Feed'!$O$2:$O$3015,'Web Feed'!$B$2:$B$3015,Points!$A$6,'Web Feed'!$I$2:$I$3015,$B39))</f>
        <v/>
      </c>
      <c r="I39">
        <f>IF($B39="","",COUNTIFS('Web Feed'!$B$2:$B$3015,"OHW",'Web Feed'!$F$2:$F$3015,$B39))</f>
        <v/>
      </c>
      <c r="J39">
        <f>IF($B39="","",IFERROR(INDEX('Last Week'!$A$2:$A$301,MATCH($B39,'Last Week'!$B$2:$B$301,0)),""))</f>
        <v/>
      </c>
      <c r="K39">
        <f>IF(OR($B39="",$J39=""),"",$J39-$A39)</f>
        <v/>
      </c>
    </row>
    <row r="40">
      <c r="A40">
        <f>IF($B40="","",RANK($C40,$C$2:$C$500))</f>
        <v/>
      </c>
      <c r="B40">
        <f>IF(Players!$A40="","",Players!$A40)</f>
        <v/>
      </c>
      <c r="C40" s="5">
        <f>IF($B40="","",SUM(D40:H40))</f>
        <v/>
      </c>
      <c r="D40">
        <f>IF($B40="","",SUMIFS('Web Feed'!$O$2:$O$3015,'Web Feed'!$B$2:$B$3015,Points!$A$2,'Web Feed'!$F$2:$F$3015,$B40)+SUMIFS('Web Feed'!$O$2:$O$3015,'Web Feed'!$B$2:$B$3015,Points!$A$2,'Web Feed'!$G$2:$G$3015,$B40)+SUMIFS('Web Feed'!$O$2:$O$3015,'Web Feed'!$B$2:$B$3015,Points!$A$2,'Web Feed'!$H$2:$H$3015,$B40)+SUMIFS('Web Feed'!$O$2:$O$3015,'Web Feed'!$B$2:$B$3015,Points!$A$2,'Web Feed'!$I$2:$I$3015,$B40))</f>
        <v/>
      </c>
      <c r="E40">
        <f>IF($B40="","",SUMIFS('Web Feed'!$O$2:$O$3015,'Web Feed'!$B$2:$B$3015,Points!$A$3,'Web Feed'!$F$2:$F$3015,$B40)+SUMIFS('Web Feed'!$O$2:$O$3015,'Web Feed'!$B$2:$B$3015,Points!$A$3,'Web Feed'!$G$2:$G$3015,$B40)+SUMIFS('Web Feed'!$O$2:$O$3015,'Web Feed'!$B$2:$B$3015,Points!$A$3,'Web Feed'!$H$2:$H$3015,$B40)+SUMIFS('Web Feed'!$O$2:$O$3015,'Web Feed'!$B$2:$B$3015,Points!$A$3,'Web Feed'!$I$2:$I$3015,$B40))</f>
        <v/>
      </c>
      <c r="F40">
        <f>IF($B40="","",SUMIFS('Web Feed'!$O$2:$O$3015,'Web Feed'!$B$2:$B$3015,Points!$A$4,'Web Feed'!$F$2:$F$3015,$B40)+SUMIFS('Web Feed'!$O$2:$O$3015,'Web Feed'!$B$2:$B$3015,Points!$A$4,'Web Feed'!$G$2:$G$3015,$B40)+SUMIFS('Web Feed'!$O$2:$O$3015,'Web Feed'!$B$2:$B$3015,Points!$A$4,'Web Feed'!$H$2:$H$3015,$B40)+SUMIFS('Web Feed'!$O$2:$O$3015,'Web Feed'!$B$2:$B$3015,Points!$A$4,'Web Feed'!$I$2:$I$3015,$B40))</f>
        <v/>
      </c>
      <c r="G40">
        <f>IF($B40="","",SUMIFS('Web Feed'!$O$2:$O$3015,'Web Feed'!$B$2:$B$3015,Points!$A$5,'Web Feed'!$F$2:$F$3015,$B40)+SUMIFS('Web Feed'!$O$2:$O$3015,'Web Feed'!$B$2:$B$3015,Points!$A$5,'Web Feed'!$G$2:$G$3015,$B40)+SUMIFS('Web Feed'!$O$2:$O$3015,'Web Feed'!$B$2:$B$3015,Points!$A$5,'Web Feed'!$H$2:$H$3015,$B40)+SUMIFS('Web Feed'!$O$2:$O$3015,'Web Feed'!$B$2:$B$3015,Points!$A$5,'Web Feed'!$I$2:$I$3015,$B40))</f>
        <v/>
      </c>
      <c r="H40">
        <f>IF($B40="","",SUMIFS('Web Feed'!$O$2:$O$3015,'Web Feed'!$B$2:$B$3015,Points!$A$6,'Web Feed'!$F$2:$F$3015,$B40)+SUMIFS('Web Feed'!$O$2:$O$3015,'Web Feed'!$B$2:$B$3015,Points!$A$6,'Web Feed'!$G$2:$G$3015,$B40)+SUMIFS('Web Feed'!$O$2:$O$3015,'Web Feed'!$B$2:$B$3015,Points!$A$6,'Web Feed'!$H$2:$H$3015,$B40)+SUMIFS('Web Feed'!$O$2:$O$3015,'Web Feed'!$B$2:$B$3015,Points!$A$6,'Web Feed'!$I$2:$I$3015,$B40))</f>
        <v/>
      </c>
      <c r="I40">
        <f>IF($B40="","",COUNTIFS('Web Feed'!$B$2:$B$3015,"OHW",'Web Feed'!$F$2:$F$3015,$B40))</f>
        <v/>
      </c>
      <c r="J40">
        <f>IF($B40="","",IFERROR(INDEX('Last Week'!$A$2:$A$301,MATCH($B40,'Last Week'!$B$2:$B$301,0)),""))</f>
        <v/>
      </c>
      <c r="K40">
        <f>IF(OR($B40="",$J40=""),"",$J40-$A40)</f>
        <v/>
      </c>
    </row>
    <row r="41">
      <c r="A41">
        <f>IF($B41="","",RANK($C41,$C$2:$C$500))</f>
        <v/>
      </c>
      <c r="B41">
        <f>IF(Players!$A41="","",Players!$A41)</f>
        <v/>
      </c>
      <c r="C41" s="5">
        <f>IF($B41="","",SUM(D41:H41))</f>
        <v/>
      </c>
      <c r="D41">
        <f>IF($B41="","",SUMIFS('Web Feed'!$O$2:$O$3015,'Web Feed'!$B$2:$B$3015,Points!$A$2,'Web Feed'!$F$2:$F$3015,$B41)+SUMIFS('Web Feed'!$O$2:$O$3015,'Web Feed'!$B$2:$B$3015,Points!$A$2,'Web Feed'!$G$2:$G$3015,$B41)+SUMIFS('Web Feed'!$O$2:$O$3015,'Web Feed'!$B$2:$B$3015,Points!$A$2,'Web Feed'!$H$2:$H$3015,$B41)+SUMIFS('Web Feed'!$O$2:$O$3015,'Web Feed'!$B$2:$B$3015,Points!$A$2,'Web Feed'!$I$2:$I$3015,$B41))</f>
        <v/>
      </c>
      <c r="E41">
        <f>IF($B41="","",SUMIFS('Web Feed'!$O$2:$O$3015,'Web Feed'!$B$2:$B$3015,Points!$A$3,'Web Feed'!$F$2:$F$3015,$B41)+SUMIFS('Web Feed'!$O$2:$O$3015,'Web Feed'!$B$2:$B$3015,Points!$A$3,'Web Feed'!$G$2:$G$3015,$B41)+SUMIFS('Web Feed'!$O$2:$O$3015,'Web Feed'!$B$2:$B$3015,Points!$A$3,'Web Feed'!$H$2:$H$3015,$B41)+SUMIFS('Web Feed'!$O$2:$O$3015,'Web Feed'!$B$2:$B$3015,Points!$A$3,'Web Feed'!$I$2:$I$3015,$B41))</f>
        <v/>
      </c>
      <c r="F41">
        <f>IF($B41="","",SUMIFS('Web Feed'!$O$2:$O$3015,'Web Feed'!$B$2:$B$3015,Points!$A$4,'Web Feed'!$F$2:$F$3015,$B41)+SUMIFS('Web Feed'!$O$2:$O$3015,'Web Feed'!$B$2:$B$3015,Points!$A$4,'Web Feed'!$G$2:$G$3015,$B41)+SUMIFS('Web Feed'!$O$2:$O$3015,'Web Feed'!$B$2:$B$3015,Points!$A$4,'Web Feed'!$H$2:$H$3015,$B41)+SUMIFS('Web Feed'!$O$2:$O$3015,'Web Feed'!$B$2:$B$3015,Points!$A$4,'Web Feed'!$I$2:$I$3015,$B41))</f>
        <v/>
      </c>
      <c r="G41">
        <f>IF($B41="","",SUMIFS('Web Feed'!$O$2:$O$3015,'Web Feed'!$B$2:$B$3015,Points!$A$5,'Web Feed'!$F$2:$F$3015,$B41)+SUMIFS('Web Feed'!$O$2:$O$3015,'Web Feed'!$B$2:$B$3015,Points!$A$5,'Web Feed'!$G$2:$G$3015,$B41)+SUMIFS('Web Feed'!$O$2:$O$3015,'Web Feed'!$B$2:$B$3015,Points!$A$5,'Web Feed'!$H$2:$H$3015,$B41)+SUMIFS('Web Feed'!$O$2:$O$3015,'Web Feed'!$B$2:$B$3015,Points!$A$5,'Web Feed'!$I$2:$I$3015,$B41))</f>
        <v/>
      </c>
      <c r="H41">
        <f>IF($B41="","",SUMIFS('Web Feed'!$O$2:$O$3015,'Web Feed'!$B$2:$B$3015,Points!$A$6,'Web Feed'!$F$2:$F$3015,$B41)+SUMIFS('Web Feed'!$O$2:$O$3015,'Web Feed'!$B$2:$B$3015,Points!$A$6,'Web Feed'!$G$2:$G$3015,$B41)+SUMIFS('Web Feed'!$O$2:$O$3015,'Web Feed'!$B$2:$B$3015,Points!$A$6,'Web Feed'!$H$2:$H$3015,$B41)+SUMIFS('Web Feed'!$O$2:$O$3015,'Web Feed'!$B$2:$B$3015,Points!$A$6,'Web Feed'!$I$2:$I$3015,$B41))</f>
        <v/>
      </c>
      <c r="I41">
        <f>IF($B41="","",COUNTIFS('Web Feed'!$B$2:$B$3015,"OHW",'Web Feed'!$F$2:$F$3015,$B41))</f>
        <v/>
      </c>
      <c r="J41">
        <f>IF($B41="","",IFERROR(INDEX('Last Week'!$A$2:$A$301,MATCH($B41,'Last Week'!$B$2:$B$301,0)),""))</f>
        <v/>
      </c>
      <c r="K41">
        <f>IF(OR($B41="",$J41=""),"",$J41-$A41)</f>
        <v/>
      </c>
    </row>
    <row r="42">
      <c r="A42">
        <f>IF($B42="","",RANK($C42,$C$2:$C$500))</f>
        <v/>
      </c>
      <c r="B42">
        <f>IF(Players!$A42="","",Players!$A42)</f>
        <v/>
      </c>
      <c r="C42" s="5">
        <f>IF($B42="","",SUM(D42:H42))</f>
        <v/>
      </c>
      <c r="D42">
        <f>IF($B42="","",SUMIFS('Web Feed'!$O$2:$O$3015,'Web Feed'!$B$2:$B$3015,Points!$A$2,'Web Feed'!$F$2:$F$3015,$B42)+SUMIFS('Web Feed'!$O$2:$O$3015,'Web Feed'!$B$2:$B$3015,Points!$A$2,'Web Feed'!$G$2:$G$3015,$B42)+SUMIFS('Web Feed'!$O$2:$O$3015,'Web Feed'!$B$2:$B$3015,Points!$A$2,'Web Feed'!$H$2:$H$3015,$B42)+SUMIFS('Web Feed'!$O$2:$O$3015,'Web Feed'!$B$2:$B$3015,Points!$A$2,'Web Feed'!$I$2:$I$3015,$B42))</f>
        <v/>
      </c>
      <c r="E42">
        <f>IF($B42="","",SUMIFS('Web Feed'!$O$2:$O$3015,'Web Feed'!$B$2:$B$3015,Points!$A$3,'Web Feed'!$F$2:$F$3015,$B42)+SUMIFS('Web Feed'!$O$2:$O$3015,'Web Feed'!$B$2:$B$3015,Points!$A$3,'Web Feed'!$G$2:$G$3015,$B42)+SUMIFS('Web Feed'!$O$2:$O$3015,'Web Feed'!$B$2:$B$3015,Points!$A$3,'Web Feed'!$H$2:$H$3015,$B42)+SUMIFS('Web Feed'!$O$2:$O$3015,'Web Feed'!$B$2:$B$3015,Points!$A$3,'Web Feed'!$I$2:$I$3015,$B42))</f>
        <v/>
      </c>
      <c r="F42">
        <f>IF($B42="","",SUMIFS('Web Feed'!$O$2:$O$3015,'Web Feed'!$B$2:$B$3015,Points!$A$4,'Web Feed'!$F$2:$F$3015,$B42)+SUMIFS('Web Feed'!$O$2:$O$3015,'Web Feed'!$B$2:$B$3015,Points!$A$4,'Web Feed'!$G$2:$G$3015,$B42)+SUMIFS('Web Feed'!$O$2:$O$3015,'Web Feed'!$B$2:$B$3015,Points!$A$4,'Web Feed'!$H$2:$H$3015,$B42)+SUMIFS('Web Feed'!$O$2:$O$3015,'Web Feed'!$B$2:$B$3015,Points!$A$4,'Web Feed'!$I$2:$I$3015,$B42))</f>
        <v/>
      </c>
      <c r="G42">
        <f>IF($B42="","",SUMIFS('Web Feed'!$O$2:$O$3015,'Web Feed'!$B$2:$B$3015,Points!$A$5,'Web Feed'!$F$2:$F$3015,$B42)+SUMIFS('Web Feed'!$O$2:$O$3015,'Web Feed'!$B$2:$B$3015,Points!$A$5,'Web Feed'!$G$2:$G$3015,$B42)+SUMIFS('Web Feed'!$O$2:$O$3015,'Web Feed'!$B$2:$B$3015,Points!$A$5,'Web Feed'!$H$2:$H$3015,$B42)+SUMIFS('Web Feed'!$O$2:$O$3015,'Web Feed'!$B$2:$B$3015,Points!$A$5,'Web Feed'!$I$2:$I$3015,$B42))</f>
        <v/>
      </c>
      <c r="H42">
        <f>IF($B42="","",SUMIFS('Web Feed'!$O$2:$O$3015,'Web Feed'!$B$2:$B$3015,Points!$A$6,'Web Feed'!$F$2:$F$3015,$B42)+SUMIFS('Web Feed'!$O$2:$O$3015,'Web Feed'!$B$2:$B$3015,Points!$A$6,'Web Feed'!$G$2:$G$3015,$B42)+SUMIFS('Web Feed'!$O$2:$O$3015,'Web Feed'!$B$2:$B$3015,Points!$A$6,'Web Feed'!$H$2:$H$3015,$B42)+SUMIFS('Web Feed'!$O$2:$O$3015,'Web Feed'!$B$2:$B$3015,Points!$A$6,'Web Feed'!$I$2:$I$3015,$B42))</f>
        <v/>
      </c>
      <c r="I42">
        <f>IF($B42="","",COUNTIFS('Web Feed'!$B$2:$B$3015,"OHW",'Web Feed'!$F$2:$F$3015,$B42))</f>
        <v/>
      </c>
      <c r="J42">
        <f>IF($B42="","",IFERROR(INDEX('Last Week'!$A$2:$A$301,MATCH($B42,'Last Week'!$B$2:$B$301,0)),""))</f>
        <v/>
      </c>
      <c r="K42">
        <f>IF(OR($B42="",$J42=""),"",$J42-$A42)</f>
        <v/>
      </c>
    </row>
    <row r="43">
      <c r="A43">
        <f>IF($B43="","",RANK($C43,$C$2:$C$500))</f>
        <v/>
      </c>
      <c r="B43">
        <f>IF(Players!$A43="","",Players!$A43)</f>
        <v/>
      </c>
      <c r="C43" s="5">
        <f>IF($B43="","",SUM(D43:H43))</f>
        <v/>
      </c>
      <c r="D43">
        <f>IF($B43="","",SUMIFS('Web Feed'!$O$2:$O$3015,'Web Feed'!$B$2:$B$3015,Points!$A$2,'Web Feed'!$F$2:$F$3015,$B43)+SUMIFS('Web Feed'!$O$2:$O$3015,'Web Feed'!$B$2:$B$3015,Points!$A$2,'Web Feed'!$G$2:$G$3015,$B43)+SUMIFS('Web Feed'!$O$2:$O$3015,'Web Feed'!$B$2:$B$3015,Points!$A$2,'Web Feed'!$H$2:$H$3015,$B43)+SUMIFS('Web Feed'!$O$2:$O$3015,'Web Feed'!$B$2:$B$3015,Points!$A$2,'Web Feed'!$I$2:$I$3015,$B43))</f>
        <v/>
      </c>
      <c r="E43">
        <f>IF($B43="","",SUMIFS('Web Feed'!$O$2:$O$3015,'Web Feed'!$B$2:$B$3015,Points!$A$3,'Web Feed'!$F$2:$F$3015,$B43)+SUMIFS('Web Feed'!$O$2:$O$3015,'Web Feed'!$B$2:$B$3015,Points!$A$3,'Web Feed'!$G$2:$G$3015,$B43)+SUMIFS('Web Feed'!$O$2:$O$3015,'Web Feed'!$B$2:$B$3015,Points!$A$3,'Web Feed'!$H$2:$H$3015,$B43)+SUMIFS('Web Feed'!$O$2:$O$3015,'Web Feed'!$B$2:$B$3015,Points!$A$3,'Web Feed'!$I$2:$I$3015,$B43))</f>
        <v/>
      </c>
      <c r="F43">
        <f>IF($B43="","",SUMIFS('Web Feed'!$O$2:$O$3015,'Web Feed'!$B$2:$B$3015,Points!$A$4,'Web Feed'!$F$2:$F$3015,$B43)+SUMIFS('Web Feed'!$O$2:$O$3015,'Web Feed'!$B$2:$B$3015,Points!$A$4,'Web Feed'!$G$2:$G$3015,$B43)+SUMIFS('Web Feed'!$O$2:$O$3015,'Web Feed'!$B$2:$B$3015,Points!$A$4,'Web Feed'!$H$2:$H$3015,$B43)+SUMIFS('Web Feed'!$O$2:$O$3015,'Web Feed'!$B$2:$B$3015,Points!$A$4,'Web Feed'!$I$2:$I$3015,$B43))</f>
        <v/>
      </c>
      <c r="G43">
        <f>IF($B43="","",SUMIFS('Web Feed'!$O$2:$O$3015,'Web Feed'!$B$2:$B$3015,Points!$A$5,'Web Feed'!$F$2:$F$3015,$B43)+SUMIFS('Web Feed'!$O$2:$O$3015,'Web Feed'!$B$2:$B$3015,Points!$A$5,'Web Feed'!$G$2:$G$3015,$B43)+SUMIFS('Web Feed'!$O$2:$O$3015,'Web Feed'!$B$2:$B$3015,Points!$A$5,'Web Feed'!$H$2:$H$3015,$B43)+SUMIFS('Web Feed'!$O$2:$O$3015,'Web Feed'!$B$2:$B$3015,Points!$A$5,'Web Feed'!$I$2:$I$3015,$B43))</f>
        <v/>
      </c>
      <c r="H43">
        <f>IF($B43="","",SUMIFS('Web Feed'!$O$2:$O$3015,'Web Feed'!$B$2:$B$3015,Points!$A$6,'Web Feed'!$F$2:$F$3015,$B43)+SUMIFS('Web Feed'!$O$2:$O$3015,'Web Feed'!$B$2:$B$3015,Points!$A$6,'Web Feed'!$G$2:$G$3015,$B43)+SUMIFS('Web Feed'!$O$2:$O$3015,'Web Feed'!$B$2:$B$3015,Points!$A$6,'Web Feed'!$H$2:$H$3015,$B43)+SUMIFS('Web Feed'!$O$2:$O$3015,'Web Feed'!$B$2:$B$3015,Points!$A$6,'Web Feed'!$I$2:$I$3015,$B43))</f>
        <v/>
      </c>
      <c r="I43">
        <f>IF($B43="","",COUNTIFS('Web Feed'!$B$2:$B$3015,"OHW",'Web Feed'!$F$2:$F$3015,$B43))</f>
        <v/>
      </c>
      <c r="J43">
        <f>IF($B43="","",IFERROR(INDEX('Last Week'!$A$2:$A$301,MATCH($B43,'Last Week'!$B$2:$B$301,0)),""))</f>
        <v/>
      </c>
      <c r="K43">
        <f>IF(OR($B43="",$J43=""),"",$J43-$A43)</f>
        <v/>
      </c>
    </row>
    <row r="44">
      <c r="A44">
        <f>IF($B44="","",RANK($C44,$C$2:$C$500))</f>
        <v/>
      </c>
      <c r="B44">
        <f>IF(Players!$A44="","",Players!$A44)</f>
        <v/>
      </c>
      <c r="C44" s="5">
        <f>IF($B44="","",SUM(D44:H44))</f>
        <v/>
      </c>
      <c r="D44">
        <f>IF($B44="","",SUMIFS('Web Feed'!$O$2:$O$3015,'Web Feed'!$B$2:$B$3015,Points!$A$2,'Web Feed'!$F$2:$F$3015,$B44)+SUMIFS('Web Feed'!$O$2:$O$3015,'Web Feed'!$B$2:$B$3015,Points!$A$2,'Web Feed'!$G$2:$G$3015,$B44)+SUMIFS('Web Feed'!$O$2:$O$3015,'Web Feed'!$B$2:$B$3015,Points!$A$2,'Web Feed'!$H$2:$H$3015,$B44)+SUMIFS('Web Feed'!$O$2:$O$3015,'Web Feed'!$B$2:$B$3015,Points!$A$2,'Web Feed'!$I$2:$I$3015,$B44))</f>
        <v/>
      </c>
      <c r="E44">
        <f>IF($B44="","",SUMIFS('Web Feed'!$O$2:$O$3015,'Web Feed'!$B$2:$B$3015,Points!$A$3,'Web Feed'!$F$2:$F$3015,$B44)+SUMIFS('Web Feed'!$O$2:$O$3015,'Web Feed'!$B$2:$B$3015,Points!$A$3,'Web Feed'!$G$2:$G$3015,$B44)+SUMIFS('Web Feed'!$O$2:$O$3015,'Web Feed'!$B$2:$B$3015,Points!$A$3,'Web Feed'!$H$2:$H$3015,$B44)+SUMIFS('Web Feed'!$O$2:$O$3015,'Web Feed'!$B$2:$B$3015,Points!$A$3,'Web Feed'!$I$2:$I$3015,$B44))</f>
        <v/>
      </c>
      <c r="F44">
        <f>IF($B44="","",SUMIFS('Web Feed'!$O$2:$O$3015,'Web Feed'!$B$2:$B$3015,Points!$A$4,'Web Feed'!$F$2:$F$3015,$B44)+SUMIFS('Web Feed'!$O$2:$O$3015,'Web Feed'!$B$2:$B$3015,Points!$A$4,'Web Feed'!$G$2:$G$3015,$B44)+SUMIFS('Web Feed'!$O$2:$O$3015,'Web Feed'!$B$2:$B$3015,Points!$A$4,'Web Feed'!$H$2:$H$3015,$B44)+SUMIFS('Web Feed'!$O$2:$O$3015,'Web Feed'!$B$2:$B$3015,Points!$A$4,'Web Feed'!$I$2:$I$3015,$B44))</f>
        <v/>
      </c>
      <c r="G44">
        <f>IF($B44="","",SUMIFS('Web Feed'!$O$2:$O$3015,'Web Feed'!$B$2:$B$3015,Points!$A$5,'Web Feed'!$F$2:$F$3015,$B44)+SUMIFS('Web Feed'!$O$2:$O$3015,'Web Feed'!$B$2:$B$3015,Points!$A$5,'Web Feed'!$G$2:$G$3015,$B44)+SUMIFS('Web Feed'!$O$2:$O$3015,'Web Feed'!$B$2:$B$3015,Points!$A$5,'Web Feed'!$H$2:$H$3015,$B44)+SUMIFS('Web Feed'!$O$2:$O$3015,'Web Feed'!$B$2:$B$3015,Points!$A$5,'Web Feed'!$I$2:$I$3015,$B44))</f>
        <v/>
      </c>
      <c r="H44">
        <f>IF($B44="","",SUMIFS('Web Feed'!$O$2:$O$3015,'Web Feed'!$B$2:$B$3015,Points!$A$6,'Web Feed'!$F$2:$F$3015,$B44)+SUMIFS('Web Feed'!$O$2:$O$3015,'Web Feed'!$B$2:$B$3015,Points!$A$6,'Web Feed'!$G$2:$G$3015,$B44)+SUMIFS('Web Feed'!$O$2:$O$3015,'Web Feed'!$B$2:$B$3015,Points!$A$6,'Web Feed'!$H$2:$H$3015,$B44)+SUMIFS('Web Feed'!$O$2:$O$3015,'Web Feed'!$B$2:$B$3015,Points!$A$6,'Web Feed'!$I$2:$I$3015,$B44))</f>
        <v/>
      </c>
      <c r="I44">
        <f>IF($B44="","",COUNTIFS('Web Feed'!$B$2:$B$3015,"OHW",'Web Feed'!$F$2:$F$3015,$B44))</f>
        <v/>
      </c>
      <c r="J44">
        <f>IF($B44="","",IFERROR(INDEX('Last Week'!$A$2:$A$301,MATCH($B44,'Last Week'!$B$2:$B$301,0)),""))</f>
        <v/>
      </c>
      <c r="K44">
        <f>IF(OR($B44="",$J44=""),"",$J44-$A44)</f>
        <v/>
      </c>
    </row>
    <row r="45">
      <c r="A45">
        <f>IF($B45="","",RANK($C45,$C$2:$C$500))</f>
        <v/>
      </c>
      <c r="B45">
        <f>IF(Players!$A45="","",Players!$A45)</f>
        <v/>
      </c>
      <c r="C45" s="5">
        <f>IF($B45="","",SUM(D45:H45))</f>
        <v/>
      </c>
      <c r="D45">
        <f>IF($B45="","",SUMIFS('Web Feed'!$O$2:$O$3015,'Web Feed'!$B$2:$B$3015,Points!$A$2,'Web Feed'!$F$2:$F$3015,$B45)+SUMIFS('Web Feed'!$O$2:$O$3015,'Web Feed'!$B$2:$B$3015,Points!$A$2,'Web Feed'!$G$2:$G$3015,$B45)+SUMIFS('Web Feed'!$O$2:$O$3015,'Web Feed'!$B$2:$B$3015,Points!$A$2,'Web Feed'!$H$2:$H$3015,$B45)+SUMIFS('Web Feed'!$O$2:$O$3015,'Web Feed'!$B$2:$B$3015,Points!$A$2,'Web Feed'!$I$2:$I$3015,$B45))</f>
        <v/>
      </c>
      <c r="E45">
        <f>IF($B45="","",SUMIFS('Web Feed'!$O$2:$O$3015,'Web Feed'!$B$2:$B$3015,Points!$A$3,'Web Feed'!$F$2:$F$3015,$B45)+SUMIFS('Web Feed'!$O$2:$O$3015,'Web Feed'!$B$2:$B$3015,Points!$A$3,'Web Feed'!$G$2:$G$3015,$B45)+SUMIFS('Web Feed'!$O$2:$O$3015,'Web Feed'!$B$2:$B$3015,Points!$A$3,'Web Feed'!$H$2:$H$3015,$B45)+SUMIFS('Web Feed'!$O$2:$O$3015,'Web Feed'!$B$2:$B$3015,Points!$A$3,'Web Feed'!$I$2:$I$3015,$B45))</f>
        <v/>
      </c>
      <c r="F45">
        <f>IF($B45="","",SUMIFS('Web Feed'!$O$2:$O$3015,'Web Feed'!$B$2:$B$3015,Points!$A$4,'Web Feed'!$F$2:$F$3015,$B45)+SUMIFS('Web Feed'!$O$2:$O$3015,'Web Feed'!$B$2:$B$3015,Points!$A$4,'Web Feed'!$G$2:$G$3015,$B45)+SUMIFS('Web Feed'!$O$2:$O$3015,'Web Feed'!$B$2:$B$3015,Points!$A$4,'Web Feed'!$H$2:$H$3015,$B45)+SUMIFS('Web Feed'!$O$2:$O$3015,'Web Feed'!$B$2:$B$3015,Points!$A$4,'Web Feed'!$I$2:$I$3015,$B45))</f>
        <v/>
      </c>
      <c r="G45">
        <f>IF($B45="","",SUMIFS('Web Feed'!$O$2:$O$3015,'Web Feed'!$B$2:$B$3015,Points!$A$5,'Web Feed'!$F$2:$F$3015,$B45)+SUMIFS('Web Feed'!$O$2:$O$3015,'Web Feed'!$B$2:$B$3015,Points!$A$5,'Web Feed'!$G$2:$G$3015,$B45)+SUMIFS('Web Feed'!$O$2:$O$3015,'Web Feed'!$B$2:$B$3015,Points!$A$5,'Web Feed'!$H$2:$H$3015,$B45)+SUMIFS('Web Feed'!$O$2:$O$3015,'Web Feed'!$B$2:$B$3015,Points!$A$5,'Web Feed'!$I$2:$I$3015,$B45))</f>
        <v/>
      </c>
      <c r="H45">
        <f>IF($B45="","",SUMIFS('Web Feed'!$O$2:$O$3015,'Web Feed'!$B$2:$B$3015,Points!$A$6,'Web Feed'!$F$2:$F$3015,$B45)+SUMIFS('Web Feed'!$O$2:$O$3015,'Web Feed'!$B$2:$B$3015,Points!$A$6,'Web Feed'!$G$2:$G$3015,$B45)+SUMIFS('Web Feed'!$O$2:$O$3015,'Web Feed'!$B$2:$B$3015,Points!$A$6,'Web Feed'!$H$2:$H$3015,$B45)+SUMIFS('Web Feed'!$O$2:$O$3015,'Web Feed'!$B$2:$B$3015,Points!$A$6,'Web Feed'!$I$2:$I$3015,$B45))</f>
        <v/>
      </c>
      <c r="I45">
        <f>IF($B45="","",COUNTIFS('Web Feed'!$B$2:$B$3015,"OHW",'Web Feed'!$F$2:$F$3015,$B45))</f>
        <v/>
      </c>
      <c r="J45">
        <f>IF($B45="","",IFERROR(INDEX('Last Week'!$A$2:$A$301,MATCH($B45,'Last Week'!$B$2:$B$301,0)),""))</f>
        <v/>
      </c>
      <c r="K45">
        <f>IF(OR($B45="",$J45=""),"",$J45-$A45)</f>
        <v/>
      </c>
    </row>
    <row r="46">
      <c r="A46">
        <f>IF($B46="","",RANK($C46,$C$2:$C$500))</f>
        <v/>
      </c>
      <c r="B46">
        <f>IF(Players!$A46="","",Players!$A46)</f>
        <v/>
      </c>
      <c r="C46" s="5">
        <f>IF($B46="","",SUM(D46:H46))</f>
        <v/>
      </c>
      <c r="D46">
        <f>IF($B46="","",SUMIFS('Web Feed'!$O$2:$O$3015,'Web Feed'!$B$2:$B$3015,Points!$A$2,'Web Feed'!$F$2:$F$3015,$B46)+SUMIFS('Web Feed'!$O$2:$O$3015,'Web Feed'!$B$2:$B$3015,Points!$A$2,'Web Feed'!$G$2:$G$3015,$B46)+SUMIFS('Web Feed'!$O$2:$O$3015,'Web Feed'!$B$2:$B$3015,Points!$A$2,'Web Feed'!$H$2:$H$3015,$B46)+SUMIFS('Web Feed'!$O$2:$O$3015,'Web Feed'!$B$2:$B$3015,Points!$A$2,'Web Feed'!$I$2:$I$3015,$B46))</f>
        <v/>
      </c>
      <c r="E46">
        <f>IF($B46="","",SUMIFS('Web Feed'!$O$2:$O$3015,'Web Feed'!$B$2:$B$3015,Points!$A$3,'Web Feed'!$F$2:$F$3015,$B46)+SUMIFS('Web Feed'!$O$2:$O$3015,'Web Feed'!$B$2:$B$3015,Points!$A$3,'Web Feed'!$G$2:$G$3015,$B46)+SUMIFS('Web Feed'!$O$2:$O$3015,'Web Feed'!$B$2:$B$3015,Points!$A$3,'Web Feed'!$H$2:$H$3015,$B46)+SUMIFS('Web Feed'!$O$2:$O$3015,'Web Feed'!$B$2:$B$3015,Points!$A$3,'Web Feed'!$I$2:$I$3015,$B46))</f>
        <v/>
      </c>
      <c r="F46">
        <f>IF($B46="","",SUMIFS('Web Feed'!$O$2:$O$3015,'Web Feed'!$B$2:$B$3015,Points!$A$4,'Web Feed'!$F$2:$F$3015,$B46)+SUMIFS('Web Feed'!$O$2:$O$3015,'Web Feed'!$B$2:$B$3015,Points!$A$4,'Web Feed'!$G$2:$G$3015,$B46)+SUMIFS('Web Feed'!$O$2:$O$3015,'Web Feed'!$B$2:$B$3015,Points!$A$4,'Web Feed'!$H$2:$H$3015,$B46)+SUMIFS('Web Feed'!$O$2:$O$3015,'Web Feed'!$B$2:$B$3015,Points!$A$4,'Web Feed'!$I$2:$I$3015,$B46))</f>
        <v/>
      </c>
      <c r="G46">
        <f>IF($B46="","",SUMIFS('Web Feed'!$O$2:$O$3015,'Web Feed'!$B$2:$B$3015,Points!$A$5,'Web Feed'!$F$2:$F$3015,$B46)+SUMIFS('Web Feed'!$O$2:$O$3015,'Web Feed'!$B$2:$B$3015,Points!$A$5,'Web Feed'!$G$2:$G$3015,$B46)+SUMIFS('Web Feed'!$O$2:$O$3015,'Web Feed'!$B$2:$B$3015,Points!$A$5,'Web Feed'!$H$2:$H$3015,$B46)+SUMIFS('Web Feed'!$O$2:$O$3015,'Web Feed'!$B$2:$B$3015,Points!$A$5,'Web Feed'!$I$2:$I$3015,$B46))</f>
        <v/>
      </c>
      <c r="H46">
        <f>IF($B46="","",SUMIFS('Web Feed'!$O$2:$O$3015,'Web Feed'!$B$2:$B$3015,Points!$A$6,'Web Feed'!$F$2:$F$3015,$B46)+SUMIFS('Web Feed'!$O$2:$O$3015,'Web Feed'!$B$2:$B$3015,Points!$A$6,'Web Feed'!$G$2:$G$3015,$B46)+SUMIFS('Web Feed'!$O$2:$O$3015,'Web Feed'!$B$2:$B$3015,Points!$A$6,'Web Feed'!$H$2:$H$3015,$B46)+SUMIFS('Web Feed'!$O$2:$O$3015,'Web Feed'!$B$2:$B$3015,Points!$A$6,'Web Feed'!$I$2:$I$3015,$B46))</f>
        <v/>
      </c>
      <c r="I46">
        <f>IF($B46="","",COUNTIFS('Web Feed'!$B$2:$B$3015,"OHW",'Web Feed'!$F$2:$F$3015,$B46))</f>
        <v/>
      </c>
      <c r="J46">
        <f>IF($B46="","",IFERROR(INDEX('Last Week'!$A$2:$A$301,MATCH($B46,'Last Week'!$B$2:$B$301,0)),""))</f>
        <v/>
      </c>
      <c r="K46">
        <f>IF(OR($B46="",$J46=""),"",$J46-$A46)</f>
        <v/>
      </c>
    </row>
    <row r="47">
      <c r="A47">
        <f>IF($B47="","",RANK($C47,$C$2:$C$500))</f>
        <v/>
      </c>
      <c r="B47">
        <f>IF(Players!$A47="","",Players!$A47)</f>
        <v/>
      </c>
      <c r="C47" s="5">
        <f>IF($B47="","",SUM(D47:H47))</f>
        <v/>
      </c>
      <c r="D47">
        <f>IF($B47="","",SUMIFS('Web Feed'!$O$2:$O$3015,'Web Feed'!$B$2:$B$3015,Points!$A$2,'Web Feed'!$F$2:$F$3015,$B47)+SUMIFS('Web Feed'!$O$2:$O$3015,'Web Feed'!$B$2:$B$3015,Points!$A$2,'Web Feed'!$G$2:$G$3015,$B47)+SUMIFS('Web Feed'!$O$2:$O$3015,'Web Feed'!$B$2:$B$3015,Points!$A$2,'Web Feed'!$H$2:$H$3015,$B47)+SUMIFS('Web Feed'!$O$2:$O$3015,'Web Feed'!$B$2:$B$3015,Points!$A$2,'Web Feed'!$I$2:$I$3015,$B47))</f>
        <v/>
      </c>
      <c r="E47">
        <f>IF($B47="","",SUMIFS('Web Feed'!$O$2:$O$3015,'Web Feed'!$B$2:$B$3015,Points!$A$3,'Web Feed'!$F$2:$F$3015,$B47)+SUMIFS('Web Feed'!$O$2:$O$3015,'Web Feed'!$B$2:$B$3015,Points!$A$3,'Web Feed'!$G$2:$G$3015,$B47)+SUMIFS('Web Feed'!$O$2:$O$3015,'Web Feed'!$B$2:$B$3015,Points!$A$3,'Web Feed'!$H$2:$H$3015,$B47)+SUMIFS('Web Feed'!$O$2:$O$3015,'Web Feed'!$B$2:$B$3015,Points!$A$3,'Web Feed'!$I$2:$I$3015,$B47))</f>
        <v/>
      </c>
      <c r="F47">
        <f>IF($B47="","",SUMIFS('Web Feed'!$O$2:$O$3015,'Web Feed'!$B$2:$B$3015,Points!$A$4,'Web Feed'!$F$2:$F$3015,$B47)+SUMIFS('Web Feed'!$O$2:$O$3015,'Web Feed'!$B$2:$B$3015,Points!$A$4,'Web Feed'!$G$2:$G$3015,$B47)+SUMIFS('Web Feed'!$O$2:$O$3015,'Web Feed'!$B$2:$B$3015,Points!$A$4,'Web Feed'!$H$2:$H$3015,$B47)+SUMIFS('Web Feed'!$O$2:$O$3015,'Web Feed'!$B$2:$B$3015,Points!$A$4,'Web Feed'!$I$2:$I$3015,$B47))</f>
        <v/>
      </c>
      <c r="G47">
        <f>IF($B47="","",SUMIFS('Web Feed'!$O$2:$O$3015,'Web Feed'!$B$2:$B$3015,Points!$A$5,'Web Feed'!$F$2:$F$3015,$B47)+SUMIFS('Web Feed'!$O$2:$O$3015,'Web Feed'!$B$2:$B$3015,Points!$A$5,'Web Feed'!$G$2:$G$3015,$B47)+SUMIFS('Web Feed'!$O$2:$O$3015,'Web Feed'!$B$2:$B$3015,Points!$A$5,'Web Feed'!$H$2:$H$3015,$B47)+SUMIFS('Web Feed'!$O$2:$O$3015,'Web Feed'!$B$2:$B$3015,Points!$A$5,'Web Feed'!$I$2:$I$3015,$B47))</f>
        <v/>
      </c>
      <c r="H47">
        <f>IF($B47="","",SUMIFS('Web Feed'!$O$2:$O$3015,'Web Feed'!$B$2:$B$3015,Points!$A$6,'Web Feed'!$F$2:$F$3015,$B47)+SUMIFS('Web Feed'!$O$2:$O$3015,'Web Feed'!$B$2:$B$3015,Points!$A$6,'Web Feed'!$G$2:$G$3015,$B47)+SUMIFS('Web Feed'!$O$2:$O$3015,'Web Feed'!$B$2:$B$3015,Points!$A$6,'Web Feed'!$H$2:$H$3015,$B47)+SUMIFS('Web Feed'!$O$2:$O$3015,'Web Feed'!$B$2:$B$3015,Points!$A$6,'Web Feed'!$I$2:$I$3015,$B47))</f>
        <v/>
      </c>
      <c r="I47">
        <f>IF($B47="","",COUNTIFS('Web Feed'!$B$2:$B$3015,"OHW",'Web Feed'!$F$2:$F$3015,$B47))</f>
        <v/>
      </c>
      <c r="J47">
        <f>IF($B47="","",IFERROR(INDEX('Last Week'!$A$2:$A$301,MATCH($B47,'Last Week'!$B$2:$B$301,0)),""))</f>
        <v/>
      </c>
      <c r="K47">
        <f>IF(OR($B47="",$J47=""),"",$J47-$A47)</f>
        <v/>
      </c>
    </row>
    <row r="48">
      <c r="A48">
        <f>IF($B48="","",RANK($C48,$C$2:$C$500))</f>
        <v/>
      </c>
      <c r="B48">
        <f>IF(Players!$A48="","",Players!$A48)</f>
        <v/>
      </c>
      <c r="C48" s="5">
        <f>IF($B48="","",SUM(D48:H48))</f>
        <v/>
      </c>
      <c r="D48">
        <f>IF($B48="","",SUMIFS('Web Feed'!$O$2:$O$3015,'Web Feed'!$B$2:$B$3015,Points!$A$2,'Web Feed'!$F$2:$F$3015,$B48)+SUMIFS('Web Feed'!$O$2:$O$3015,'Web Feed'!$B$2:$B$3015,Points!$A$2,'Web Feed'!$G$2:$G$3015,$B48)+SUMIFS('Web Feed'!$O$2:$O$3015,'Web Feed'!$B$2:$B$3015,Points!$A$2,'Web Feed'!$H$2:$H$3015,$B48)+SUMIFS('Web Feed'!$O$2:$O$3015,'Web Feed'!$B$2:$B$3015,Points!$A$2,'Web Feed'!$I$2:$I$3015,$B48))</f>
        <v/>
      </c>
      <c r="E48">
        <f>IF($B48="","",SUMIFS('Web Feed'!$O$2:$O$3015,'Web Feed'!$B$2:$B$3015,Points!$A$3,'Web Feed'!$F$2:$F$3015,$B48)+SUMIFS('Web Feed'!$O$2:$O$3015,'Web Feed'!$B$2:$B$3015,Points!$A$3,'Web Feed'!$G$2:$G$3015,$B48)+SUMIFS('Web Feed'!$O$2:$O$3015,'Web Feed'!$B$2:$B$3015,Points!$A$3,'Web Feed'!$H$2:$H$3015,$B48)+SUMIFS('Web Feed'!$O$2:$O$3015,'Web Feed'!$B$2:$B$3015,Points!$A$3,'Web Feed'!$I$2:$I$3015,$B48))</f>
        <v/>
      </c>
      <c r="F48">
        <f>IF($B48="","",SUMIFS('Web Feed'!$O$2:$O$3015,'Web Feed'!$B$2:$B$3015,Points!$A$4,'Web Feed'!$F$2:$F$3015,$B48)+SUMIFS('Web Feed'!$O$2:$O$3015,'Web Feed'!$B$2:$B$3015,Points!$A$4,'Web Feed'!$G$2:$G$3015,$B48)+SUMIFS('Web Feed'!$O$2:$O$3015,'Web Feed'!$B$2:$B$3015,Points!$A$4,'Web Feed'!$H$2:$H$3015,$B48)+SUMIFS('Web Feed'!$O$2:$O$3015,'Web Feed'!$B$2:$B$3015,Points!$A$4,'Web Feed'!$I$2:$I$3015,$B48))</f>
        <v/>
      </c>
      <c r="G48">
        <f>IF($B48="","",SUMIFS('Web Feed'!$O$2:$O$3015,'Web Feed'!$B$2:$B$3015,Points!$A$5,'Web Feed'!$F$2:$F$3015,$B48)+SUMIFS('Web Feed'!$O$2:$O$3015,'Web Feed'!$B$2:$B$3015,Points!$A$5,'Web Feed'!$G$2:$G$3015,$B48)+SUMIFS('Web Feed'!$O$2:$O$3015,'Web Feed'!$B$2:$B$3015,Points!$A$5,'Web Feed'!$H$2:$H$3015,$B48)+SUMIFS('Web Feed'!$O$2:$O$3015,'Web Feed'!$B$2:$B$3015,Points!$A$5,'Web Feed'!$I$2:$I$3015,$B48))</f>
        <v/>
      </c>
      <c r="H48">
        <f>IF($B48="","",SUMIFS('Web Feed'!$O$2:$O$3015,'Web Feed'!$B$2:$B$3015,Points!$A$6,'Web Feed'!$F$2:$F$3015,$B48)+SUMIFS('Web Feed'!$O$2:$O$3015,'Web Feed'!$B$2:$B$3015,Points!$A$6,'Web Feed'!$G$2:$G$3015,$B48)+SUMIFS('Web Feed'!$O$2:$O$3015,'Web Feed'!$B$2:$B$3015,Points!$A$6,'Web Feed'!$H$2:$H$3015,$B48)+SUMIFS('Web Feed'!$O$2:$O$3015,'Web Feed'!$B$2:$B$3015,Points!$A$6,'Web Feed'!$I$2:$I$3015,$B48))</f>
        <v/>
      </c>
      <c r="I48">
        <f>IF($B48="","",COUNTIFS('Web Feed'!$B$2:$B$3015,"OHW",'Web Feed'!$F$2:$F$3015,$B48))</f>
        <v/>
      </c>
      <c r="J48">
        <f>IF($B48="","",IFERROR(INDEX('Last Week'!$A$2:$A$301,MATCH($B48,'Last Week'!$B$2:$B$301,0)),""))</f>
        <v/>
      </c>
      <c r="K48">
        <f>IF(OR($B48="",$J48=""),"",$J48-$A48)</f>
        <v/>
      </c>
    </row>
    <row r="49">
      <c r="A49">
        <f>IF($B49="","",RANK($C49,$C$2:$C$500))</f>
        <v/>
      </c>
      <c r="B49">
        <f>IF(Players!$A49="","",Players!$A49)</f>
        <v/>
      </c>
      <c r="C49" s="5">
        <f>IF($B49="","",SUM(D49:H49))</f>
        <v/>
      </c>
      <c r="D49">
        <f>IF($B49="","",SUMIFS('Web Feed'!$O$2:$O$3015,'Web Feed'!$B$2:$B$3015,Points!$A$2,'Web Feed'!$F$2:$F$3015,$B49)+SUMIFS('Web Feed'!$O$2:$O$3015,'Web Feed'!$B$2:$B$3015,Points!$A$2,'Web Feed'!$G$2:$G$3015,$B49)+SUMIFS('Web Feed'!$O$2:$O$3015,'Web Feed'!$B$2:$B$3015,Points!$A$2,'Web Feed'!$H$2:$H$3015,$B49)+SUMIFS('Web Feed'!$O$2:$O$3015,'Web Feed'!$B$2:$B$3015,Points!$A$2,'Web Feed'!$I$2:$I$3015,$B49))</f>
        <v/>
      </c>
      <c r="E49">
        <f>IF($B49="","",SUMIFS('Web Feed'!$O$2:$O$3015,'Web Feed'!$B$2:$B$3015,Points!$A$3,'Web Feed'!$F$2:$F$3015,$B49)+SUMIFS('Web Feed'!$O$2:$O$3015,'Web Feed'!$B$2:$B$3015,Points!$A$3,'Web Feed'!$G$2:$G$3015,$B49)+SUMIFS('Web Feed'!$O$2:$O$3015,'Web Feed'!$B$2:$B$3015,Points!$A$3,'Web Feed'!$H$2:$H$3015,$B49)+SUMIFS('Web Feed'!$O$2:$O$3015,'Web Feed'!$B$2:$B$3015,Points!$A$3,'Web Feed'!$I$2:$I$3015,$B49))</f>
        <v/>
      </c>
      <c r="F49">
        <f>IF($B49="","",SUMIFS('Web Feed'!$O$2:$O$3015,'Web Feed'!$B$2:$B$3015,Points!$A$4,'Web Feed'!$F$2:$F$3015,$B49)+SUMIFS('Web Feed'!$O$2:$O$3015,'Web Feed'!$B$2:$B$3015,Points!$A$4,'Web Feed'!$G$2:$G$3015,$B49)+SUMIFS('Web Feed'!$O$2:$O$3015,'Web Feed'!$B$2:$B$3015,Points!$A$4,'Web Feed'!$H$2:$H$3015,$B49)+SUMIFS('Web Feed'!$O$2:$O$3015,'Web Feed'!$B$2:$B$3015,Points!$A$4,'Web Feed'!$I$2:$I$3015,$B49))</f>
        <v/>
      </c>
      <c r="G49">
        <f>IF($B49="","",SUMIFS('Web Feed'!$O$2:$O$3015,'Web Feed'!$B$2:$B$3015,Points!$A$5,'Web Feed'!$F$2:$F$3015,$B49)+SUMIFS('Web Feed'!$O$2:$O$3015,'Web Feed'!$B$2:$B$3015,Points!$A$5,'Web Feed'!$G$2:$G$3015,$B49)+SUMIFS('Web Feed'!$O$2:$O$3015,'Web Feed'!$B$2:$B$3015,Points!$A$5,'Web Feed'!$H$2:$H$3015,$B49)+SUMIFS('Web Feed'!$O$2:$O$3015,'Web Feed'!$B$2:$B$3015,Points!$A$5,'Web Feed'!$I$2:$I$3015,$B49))</f>
        <v/>
      </c>
      <c r="H49">
        <f>IF($B49="","",SUMIFS('Web Feed'!$O$2:$O$3015,'Web Feed'!$B$2:$B$3015,Points!$A$6,'Web Feed'!$F$2:$F$3015,$B49)+SUMIFS('Web Feed'!$O$2:$O$3015,'Web Feed'!$B$2:$B$3015,Points!$A$6,'Web Feed'!$G$2:$G$3015,$B49)+SUMIFS('Web Feed'!$O$2:$O$3015,'Web Feed'!$B$2:$B$3015,Points!$A$6,'Web Feed'!$H$2:$H$3015,$B49)+SUMIFS('Web Feed'!$O$2:$O$3015,'Web Feed'!$B$2:$B$3015,Points!$A$6,'Web Feed'!$I$2:$I$3015,$B49))</f>
        <v/>
      </c>
      <c r="I49">
        <f>IF($B49="","",COUNTIFS('Web Feed'!$B$2:$B$3015,"OHW",'Web Feed'!$F$2:$F$3015,$B49))</f>
        <v/>
      </c>
      <c r="J49">
        <f>IF($B49="","",IFERROR(INDEX('Last Week'!$A$2:$A$301,MATCH($B49,'Last Week'!$B$2:$B$301,0)),""))</f>
        <v/>
      </c>
      <c r="K49">
        <f>IF(OR($B49="",$J49=""),"",$J49-$A49)</f>
        <v/>
      </c>
    </row>
    <row r="50">
      <c r="A50">
        <f>IF($B50="","",RANK($C50,$C$2:$C$500))</f>
        <v/>
      </c>
      <c r="B50">
        <f>IF(Players!$A50="","",Players!$A50)</f>
        <v/>
      </c>
      <c r="C50" s="5">
        <f>IF($B50="","",SUM(D50:H50))</f>
        <v/>
      </c>
      <c r="D50">
        <f>IF($B50="","",SUMIFS('Web Feed'!$O$2:$O$3015,'Web Feed'!$B$2:$B$3015,Points!$A$2,'Web Feed'!$F$2:$F$3015,$B50)+SUMIFS('Web Feed'!$O$2:$O$3015,'Web Feed'!$B$2:$B$3015,Points!$A$2,'Web Feed'!$G$2:$G$3015,$B50)+SUMIFS('Web Feed'!$O$2:$O$3015,'Web Feed'!$B$2:$B$3015,Points!$A$2,'Web Feed'!$H$2:$H$3015,$B50)+SUMIFS('Web Feed'!$O$2:$O$3015,'Web Feed'!$B$2:$B$3015,Points!$A$2,'Web Feed'!$I$2:$I$3015,$B50))</f>
        <v/>
      </c>
      <c r="E50">
        <f>IF($B50="","",SUMIFS('Web Feed'!$O$2:$O$3015,'Web Feed'!$B$2:$B$3015,Points!$A$3,'Web Feed'!$F$2:$F$3015,$B50)+SUMIFS('Web Feed'!$O$2:$O$3015,'Web Feed'!$B$2:$B$3015,Points!$A$3,'Web Feed'!$G$2:$G$3015,$B50)+SUMIFS('Web Feed'!$O$2:$O$3015,'Web Feed'!$B$2:$B$3015,Points!$A$3,'Web Feed'!$H$2:$H$3015,$B50)+SUMIFS('Web Feed'!$O$2:$O$3015,'Web Feed'!$B$2:$B$3015,Points!$A$3,'Web Feed'!$I$2:$I$3015,$B50))</f>
        <v/>
      </c>
      <c r="F50">
        <f>IF($B50="","",SUMIFS('Web Feed'!$O$2:$O$3015,'Web Feed'!$B$2:$B$3015,Points!$A$4,'Web Feed'!$F$2:$F$3015,$B50)+SUMIFS('Web Feed'!$O$2:$O$3015,'Web Feed'!$B$2:$B$3015,Points!$A$4,'Web Feed'!$G$2:$G$3015,$B50)+SUMIFS('Web Feed'!$O$2:$O$3015,'Web Feed'!$B$2:$B$3015,Points!$A$4,'Web Feed'!$H$2:$H$3015,$B50)+SUMIFS('Web Feed'!$O$2:$O$3015,'Web Feed'!$B$2:$B$3015,Points!$A$4,'Web Feed'!$I$2:$I$3015,$B50))</f>
        <v/>
      </c>
      <c r="G50">
        <f>IF($B50="","",SUMIFS('Web Feed'!$O$2:$O$3015,'Web Feed'!$B$2:$B$3015,Points!$A$5,'Web Feed'!$F$2:$F$3015,$B50)+SUMIFS('Web Feed'!$O$2:$O$3015,'Web Feed'!$B$2:$B$3015,Points!$A$5,'Web Feed'!$G$2:$G$3015,$B50)+SUMIFS('Web Feed'!$O$2:$O$3015,'Web Feed'!$B$2:$B$3015,Points!$A$5,'Web Feed'!$H$2:$H$3015,$B50)+SUMIFS('Web Feed'!$O$2:$O$3015,'Web Feed'!$B$2:$B$3015,Points!$A$5,'Web Feed'!$I$2:$I$3015,$B50))</f>
        <v/>
      </c>
      <c r="H50">
        <f>IF($B50="","",SUMIFS('Web Feed'!$O$2:$O$3015,'Web Feed'!$B$2:$B$3015,Points!$A$6,'Web Feed'!$F$2:$F$3015,$B50)+SUMIFS('Web Feed'!$O$2:$O$3015,'Web Feed'!$B$2:$B$3015,Points!$A$6,'Web Feed'!$G$2:$G$3015,$B50)+SUMIFS('Web Feed'!$O$2:$O$3015,'Web Feed'!$B$2:$B$3015,Points!$A$6,'Web Feed'!$H$2:$H$3015,$B50)+SUMIFS('Web Feed'!$O$2:$O$3015,'Web Feed'!$B$2:$B$3015,Points!$A$6,'Web Feed'!$I$2:$I$3015,$B50))</f>
        <v/>
      </c>
      <c r="I50">
        <f>IF($B50="","",COUNTIFS('Web Feed'!$B$2:$B$3015,"OHW",'Web Feed'!$F$2:$F$3015,$B50))</f>
        <v/>
      </c>
      <c r="J50">
        <f>IF($B50="","",IFERROR(INDEX('Last Week'!$A$2:$A$301,MATCH($B50,'Last Week'!$B$2:$B$301,0)),""))</f>
        <v/>
      </c>
      <c r="K50">
        <f>IF(OR($B50="",$J50=""),"",$J50-$A50)</f>
        <v/>
      </c>
    </row>
    <row r="51">
      <c r="A51">
        <f>IF($B51="","",RANK($C51,$C$2:$C$500))</f>
        <v/>
      </c>
      <c r="B51">
        <f>IF(Players!$A51="","",Players!$A51)</f>
        <v/>
      </c>
      <c r="C51" s="5">
        <f>IF($B51="","",SUM(D51:H51))</f>
        <v/>
      </c>
      <c r="D51">
        <f>IF($B51="","",SUMIFS('Web Feed'!$O$2:$O$3015,'Web Feed'!$B$2:$B$3015,Points!$A$2,'Web Feed'!$F$2:$F$3015,$B51)+SUMIFS('Web Feed'!$O$2:$O$3015,'Web Feed'!$B$2:$B$3015,Points!$A$2,'Web Feed'!$G$2:$G$3015,$B51)+SUMIFS('Web Feed'!$O$2:$O$3015,'Web Feed'!$B$2:$B$3015,Points!$A$2,'Web Feed'!$H$2:$H$3015,$B51)+SUMIFS('Web Feed'!$O$2:$O$3015,'Web Feed'!$B$2:$B$3015,Points!$A$2,'Web Feed'!$I$2:$I$3015,$B51))</f>
        <v/>
      </c>
      <c r="E51">
        <f>IF($B51="","",SUMIFS('Web Feed'!$O$2:$O$3015,'Web Feed'!$B$2:$B$3015,Points!$A$3,'Web Feed'!$F$2:$F$3015,$B51)+SUMIFS('Web Feed'!$O$2:$O$3015,'Web Feed'!$B$2:$B$3015,Points!$A$3,'Web Feed'!$G$2:$G$3015,$B51)+SUMIFS('Web Feed'!$O$2:$O$3015,'Web Feed'!$B$2:$B$3015,Points!$A$3,'Web Feed'!$H$2:$H$3015,$B51)+SUMIFS('Web Feed'!$O$2:$O$3015,'Web Feed'!$B$2:$B$3015,Points!$A$3,'Web Feed'!$I$2:$I$3015,$B51))</f>
        <v/>
      </c>
      <c r="F51">
        <f>IF($B51="","",SUMIFS('Web Feed'!$O$2:$O$3015,'Web Feed'!$B$2:$B$3015,Points!$A$4,'Web Feed'!$F$2:$F$3015,$B51)+SUMIFS('Web Feed'!$O$2:$O$3015,'Web Feed'!$B$2:$B$3015,Points!$A$4,'Web Feed'!$G$2:$G$3015,$B51)+SUMIFS('Web Feed'!$O$2:$O$3015,'Web Feed'!$B$2:$B$3015,Points!$A$4,'Web Feed'!$H$2:$H$3015,$B51)+SUMIFS('Web Feed'!$O$2:$O$3015,'Web Feed'!$B$2:$B$3015,Points!$A$4,'Web Feed'!$I$2:$I$3015,$B51))</f>
        <v/>
      </c>
      <c r="G51">
        <f>IF($B51="","",SUMIFS('Web Feed'!$O$2:$O$3015,'Web Feed'!$B$2:$B$3015,Points!$A$5,'Web Feed'!$F$2:$F$3015,$B51)+SUMIFS('Web Feed'!$O$2:$O$3015,'Web Feed'!$B$2:$B$3015,Points!$A$5,'Web Feed'!$G$2:$G$3015,$B51)+SUMIFS('Web Feed'!$O$2:$O$3015,'Web Feed'!$B$2:$B$3015,Points!$A$5,'Web Feed'!$H$2:$H$3015,$B51)+SUMIFS('Web Feed'!$O$2:$O$3015,'Web Feed'!$B$2:$B$3015,Points!$A$5,'Web Feed'!$I$2:$I$3015,$B51))</f>
        <v/>
      </c>
      <c r="H51">
        <f>IF($B51="","",SUMIFS('Web Feed'!$O$2:$O$3015,'Web Feed'!$B$2:$B$3015,Points!$A$6,'Web Feed'!$F$2:$F$3015,$B51)+SUMIFS('Web Feed'!$O$2:$O$3015,'Web Feed'!$B$2:$B$3015,Points!$A$6,'Web Feed'!$G$2:$G$3015,$B51)+SUMIFS('Web Feed'!$O$2:$O$3015,'Web Feed'!$B$2:$B$3015,Points!$A$6,'Web Feed'!$H$2:$H$3015,$B51)+SUMIFS('Web Feed'!$O$2:$O$3015,'Web Feed'!$B$2:$B$3015,Points!$A$6,'Web Feed'!$I$2:$I$3015,$B51))</f>
        <v/>
      </c>
      <c r="I51">
        <f>IF($B51="","",COUNTIFS('Web Feed'!$B$2:$B$3015,"OHW",'Web Feed'!$F$2:$F$3015,$B51))</f>
        <v/>
      </c>
      <c r="J51">
        <f>IF($B51="","",IFERROR(INDEX('Last Week'!$A$2:$A$301,MATCH($B51,'Last Week'!$B$2:$B$301,0)),""))</f>
        <v/>
      </c>
      <c r="K51">
        <f>IF(OR($B51="",$J51=""),"",$J51-$A51)</f>
        <v/>
      </c>
    </row>
    <row r="52">
      <c r="A52">
        <f>IF($B52="","",RANK($C52,$C$2:$C$500))</f>
        <v/>
      </c>
      <c r="B52">
        <f>IF(Players!$A52="","",Players!$A52)</f>
        <v/>
      </c>
      <c r="C52" s="5">
        <f>IF($B52="","",SUM(D52:H52))</f>
        <v/>
      </c>
      <c r="D52">
        <f>IF($B52="","",SUMIFS('Web Feed'!$O$2:$O$3015,'Web Feed'!$B$2:$B$3015,Points!$A$2,'Web Feed'!$F$2:$F$3015,$B52)+SUMIFS('Web Feed'!$O$2:$O$3015,'Web Feed'!$B$2:$B$3015,Points!$A$2,'Web Feed'!$G$2:$G$3015,$B52)+SUMIFS('Web Feed'!$O$2:$O$3015,'Web Feed'!$B$2:$B$3015,Points!$A$2,'Web Feed'!$H$2:$H$3015,$B52)+SUMIFS('Web Feed'!$O$2:$O$3015,'Web Feed'!$B$2:$B$3015,Points!$A$2,'Web Feed'!$I$2:$I$3015,$B52))</f>
        <v/>
      </c>
      <c r="E52">
        <f>IF($B52="","",SUMIFS('Web Feed'!$O$2:$O$3015,'Web Feed'!$B$2:$B$3015,Points!$A$3,'Web Feed'!$F$2:$F$3015,$B52)+SUMIFS('Web Feed'!$O$2:$O$3015,'Web Feed'!$B$2:$B$3015,Points!$A$3,'Web Feed'!$G$2:$G$3015,$B52)+SUMIFS('Web Feed'!$O$2:$O$3015,'Web Feed'!$B$2:$B$3015,Points!$A$3,'Web Feed'!$H$2:$H$3015,$B52)+SUMIFS('Web Feed'!$O$2:$O$3015,'Web Feed'!$B$2:$B$3015,Points!$A$3,'Web Feed'!$I$2:$I$3015,$B52))</f>
        <v/>
      </c>
      <c r="F52">
        <f>IF($B52="","",SUMIFS('Web Feed'!$O$2:$O$3015,'Web Feed'!$B$2:$B$3015,Points!$A$4,'Web Feed'!$F$2:$F$3015,$B52)+SUMIFS('Web Feed'!$O$2:$O$3015,'Web Feed'!$B$2:$B$3015,Points!$A$4,'Web Feed'!$G$2:$G$3015,$B52)+SUMIFS('Web Feed'!$O$2:$O$3015,'Web Feed'!$B$2:$B$3015,Points!$A$4,'Web Feed'!$H$2:$H$3015,$B52)+SUMIFS('Web Feed'!$O$2:$O$3015,'Web Feed'!$B$2:$B$3015,Points!$A$4,'Web Feed'!$I$2:$I$3015,$B52))</f>
        <v/>
      </c>
      <c r="G52">
        <f>IF($B52="","",SUMIFS('Web Feed'!$O$2:$O$3015,'Web Feed'!$B$2:$B$3015,Points!$A$5,'Web Feed'!$F$2:$F$3015,$B52)+SUMIFS('Web Feed'!$O$2:$O$3015,'Web Feed'!$B$2:$B$3015,Points!$A$5,'Web Feed'!$G$2:$G$3015,$B52)+SUMIFS('Web Feed'!$O$2:$O$3015,'Web Feed'!$B$2:$B$3015,Points!$A$5,'Web Feed'!$H$2:$H$3015,$B52)+SUMIFS('Web Feed'!$O$2:$O$3015,'Web Feed'!$B$2:$B$3015,Points!$A$5,'Web Feed'!$I$2:$I$3015,$B52))</f>
        <v/>
      </c>
      <c r="H52">
        <f>IF($B52="","",SUMIFS('Web Feed'!$O$2:$O$3015,'Web Feed'!$B$2:$B$3015,Points!$A$6,'Web Feed'!$F$2:$F$3015,$B52)+SUMIFS('Web Feed'!$O$2:$O$3015,'Web Feed'!$B$2:$B$3015,Points!$A$6,'Web Feed'!$G$2:$G$3015,$B52)+SUMIFS('Web Feed'!$O$2:$O$3015,'Web Feed'!$B$2:$B$3015,Points!$A$6,'Web Feed'!$H$2:$H$3015,$B52)+SUMIFS('Web Feed'!$O$2:$O$3015,'Web Feed'!$B$2:$B$3015,Points!$A$6,'Web Feed'!$I$2:$I$3015,$B52))</f>
        <v/>
      </c>
      <c r="I52">
        <f>IF($B52="","",COUNTIFS('Web Feed'!$B$2:$B$3015,"OHW",'Web Feed'!$F$2:$F$3015,$B52))</f>
        <v/>
      </c>
      <c r="J52">
        <f>IF($B52="","",IFERROR(INDEX('Last Week'!$A$2:$A$301,MATCH($B52,'Last Week'!$B$2:$B$301,0)),""))</f>
        <v/>
      </c>
      <c r="K52">
        <f>IF(OR($B52="",$J52=""),"",$J52-$A52)</f>
        <v/>
      </c>
    </row>
    <row r="53">
      <c r="A53">
        <f>IF($B53="","",RANK($C53,$C$2:$C$500))</f>
        <v/>
      </c>
      <c r="B53">
        <f>IF(Players!$A53="","",Players!$A53)</f>
        <v/>
      </c>
      <c r="C53" s="5">
        <f>IF($B53="","",SUM(D53:H53))</f>
        <v/>
      </c>
      <c r="D53">
        <f>IF($B53="","",SUMIFS('Web Feed'!$O$2:$O$3015,'Web Feed'!$B$2:$B$3015,Points!$A$2,'Web Feed'!$F$2:$F$3015,$B53)+SUMIFS('Web Feed'!$O$2:$O$3015,'Web Feed'!$B$2:$B$3015,Points!$A$2,'Web Feed'!$G$2:$G$3015,$B53)+SUMIFS('Web Feed'!$O$2:$O$3015,'Web Feed'!$B$2:$B$3015,Points!$A$2,'Web Feed'!$H$2:$H$3015,$B53)+SUMIFS('Web Feed'!$O$2:$O$3015,'Web Feed'!$B$2:$B$3015,Points!$A$2,'Web Feed'!$I$2:$I$3015,$B53))</f>
        <v/>
      </c>
      <c r="E53">
        <f>IF($B53="","",SUMIFS('Web Feed'!$O$2:$O$3015,'Web Feed'!$B$2:$B$3015,Points!$A$3,'Web Feed'!$F$2:$F$3015,$B53)+SUMIFS('Web Feed'!$O$2:$O$3015,'Web Feed'!$B$2:$B$3015,Points!$A$3,'Web Feed'!$G$2:$G$3015,$B53)+SUMIFS('Web Feed'!$O$2:$O$3015,'Web Feed'!$B$2:$B$3015,Points!$A$3,'Web Feed'!$H$2:$H$3015,$B53)+SUMIFS('Web Feed'!$O$2:$O$3015,'Web Feed'!$B$2:$B$3015,Points!$A$3,'Web Feed'!$I$2:$I$3015,$B53))</f>
        <v/>
      </c>
      <c r="F53">
        <f>IF($B53="","",SUMIFS('Web Feed'!$O$2:$O$3015,'Web Feed'!$B$2:$B$3015,Points!$A$4,'Web Feed'!$F$2:$F$3015,$B53)+SUMIFS('Web Feed'!$O$2:$O$3015,'Web Feed'!$B$2:$B$3015,Points!$A$4,'Web Feed'!$G$2:$G$3015,$B53)+SUMIFS('Web Feed'!$O$2:$O$3015,'Web Feed'!$B$2:$B$3015,Points!$A$4,'Web Feed'!$H$2:$H$3015,$B53)+SUMIFS('Web Feed'!$O$2:$O$3015,'Web Feed'!$B$2:$B$3015,Points!$A$4,'Web Feed'!$I$2:$I$3015,$B53))</f>
        <v/>
      </c>
      <c r="G53">
        <f>IF($B53="","",SUMIFS('Web Feed'!$O$2:$O$3015,'Web Feed'!$B$2:$B$3015,Points!$A$5,'Web Feed'!$F$2:$F$3015,$B53)+SUMIFS('Web Feed'!$O$2:$O$3015,'Web Feed'!$B$2:$B$3015,Points!$A$5,'Web Feed'!$G$2:$G$3015,$B53)+SUMIFS('Web Feed'!$O$2:$O$3015,'Web Feed'!$B$2:$B$3015,Points!$A$5,'Web Feed'!$H$2:$H$3015,$B53)+SUMIFS('Web Feed'!$O$2:$O$3015,'Web Feed'!$B$2:$B$3015,Points!$A$5,'Web Feed'!$I$2:$I$3015,$B53))</f>
        <v/>
      </c>
      <c r="H53">
        <f>IF($B53="","",SUMIFS('Web Feed'!$O$2:$O$3015,'Web Feed'!$B$2:$B$3015,Points!$A$6,'Web Feed'!$F$2:$F$3015,$B53)+SUMIFS('Web Feed'!$O$2:$O$3015,'Web Feed'!$B$2:$B$3015,Points!$A$6,'Web Feed'!$G$2:$G$3015,$B53)+SUMIFS('Web Feed'!$O$2:$O$3015,'Web Feed'!$B$2:$B$3015,Points!$A$6,'Web Feed'!$H$2:$H$3015,$B53)+SUMIFS('Web Feed'!$O$2:$O$3015,'Web Feed'!$B$2:$B$3015,Points!$A$6,'Web Feed'!$I$2:$I$3015,$B53))</f>
        <v/>
      </c>
      <c r="I53">
        <f>IF($B53="","",COUNTIFS('Web Feed'!$B$2:$B$3015,"OHW",'Web Feed'!$F$2:$F$3015,$B53))</f>
        <v/>
      </c>
      <c r="J53">
        <f>IF($B53="","",IFERROR(INDEX('Last Week'!$A$2:$A$301,MATCH($B53,'Last Week'!$B$2:$B$301,0)),""))</f>
        <v/>
      </c>
      <c r="K53">
        <f>IF(OR($B53="",$J53=""),"",$J53-$A53)</f>
        <v/>
      </c>
    </row>
    <row r="54">
      <c r="A54">
        <f>IF($B54="","",RANK($C54,$C$2:$C$500))</f>
        <v/>
      </c>
      <c r="B54">
        <f>IF(Players!$A54="","",Players!$A54)</f>
        <v/>
      </c>
      <c r="C54" s="5">
        <f>IF($B54="","",SUM(D54:H54))</f>
        <v/>
      </c>
      <c r="D54">
        <f>IF($B54="","",SUMIFS('Web Feed'!$O$2:$O$3015,'Web Feed'!$B$2:$B$3015,Points!$A$2,'Web Feed'!$F$2:$F$3015,$B54)+SUMIFS('Web Feed'!$O$2:$O$3015,'Web Feed'!$B$2:$B$3015,Points!$A$2,'Web Feed'!$G$2:$G$3015,$B54)+SUMIFS('Web Feed'!$O$2:$O$3015,'Web Feed'!$B$2:$B$3015,Points!$A$2,'Web Feed'!$H$2:$H$3015,$B54)+SUMIFS('Web Feed'!$O$2:$O$3015,'Web Feed'!$B$2:$B$3015,Points!$A$2,'Web Feed'!$I$2:$I$3015,$B54))</f>
        <v/>
      </c>
      <c r="E54">
        <f>IF($B54="","",SUMIFS('Web Feed'!$O$2:$O$3015,'Web Feed'!$B$2:$B$3015,Points!$A$3,'Web Feed'!$F$2:$F$3015,$B54)+SUMIFS('Web Feed'!$O$2:$O$3015,'Web Feed'!$B$2:$B$3015,Points!$A$3,'Web Feed'!$G$2:$G$3015,$B54)+SUMIFS('Web Feed'!$O$2:$O$3015,'Web Feed'!$B$2:$B$3015,Points!$A$3,'Web Feed'!$H$2:$H$3015,$B54)+SUMIFS('Web Feed'!$O$2:$O$3015,'Web Feed'!$B$2:$B$3015,Points!$A$3,'Web Feed'!$I$2:$I$3015,$B54))</f>
        <v/>
      </c>
      <c r="F54">
        <f>IF($B54="","",SUMIFS('Web Feed'!$O$2:$O$3015,'Web Feed'!$B$2:$B$3015,Points!$A$4,'Web Feed'!$F$2:$F$3015,$B54)+SUMIFS('Web Feed'!$O$2:$O$3015,'Web Feed'!$B$2:$B$3015,Points!$A$4,'Web Feed'!$G$2:$G$3015,$B54)+SUMIFS('Web Feed'!$O$2:$O$3015,'Web Feed'!$B$2:$B$3015,Points!$A$4,'Web Feed'!$H$2:$H$3015,$B54)+SUMIFS('Web Feed'!$O$2:$O$3015,'Web Feed'!$B$2:$B$3015,Points!$A$4,'Web Feed'!$I$2:$I$3015,$B54))</f>
        <v/>
      </c>
      <c r="G54">
        <f>IF($B54="","",SUMIFS('Web Feed'!$O$2:$O$3015,'Web Feed'!$B$2:$B$3015,Points!$A$5,'Web Feed'!$F$2:$F$3015,$B54)+SUMIFS('Web Feed'!$O$2:$O$3015,'Web Feed'!$B$2:$B$3015,Points!$A$5,'Web Feed'!$G$2:$G$3015,$B54)+SUMIFS('Web Feed'!$O$2:$O$3015,'Web Feed'!$B$2:$B$3015,Points!$A$5,'Web Feed'!$H$2:$H$3015,$B54)+SUMIFS('Web Feed'!$O$2:$O$3015,'Web Feed'!$B$2:$B$3015,Points!$A$5,'Web Feed'!$I$2:$I$3015,$B54))</f>
        <v/>
      </c>
      <c r="H54">
        <f>IF($B54="","",SUMIFS('Web Feed'!$O$2:$O$3015,'Web Feed'!$B$2:$B$3015,Points!$A$6,'Web Feed'!$F$2:$F$3015,$B54)+SUMIFS('Web Feed'!$O$2:$O$3015,'Web Feed'!$B$2:$B$3015,Points!$A$6,'Web Feed'!$G$2:$G$3015,$B54)+SUMIFS('Web Feed'!$O$2:$O$3015,'Web Feed'!$B$2:$B$3015,Points!$A$6,'Web Feed'!$H$2:$H$3015,$B54)+SUMIFS('Web Feed'!$O$2:$O$3015,'Web Feed'!$B$2:$B$3015,Points!$A$6,'Web Feed'!$I$2:$I$3015,$B54))</f>
        <v/>
      </c>
      <c r="I54">
        <f>IF($B54="","",COUNTIFS('Web Feed'!$B$2:$B$3015,"OHW",'Web Feed'!$F$2:$F$3015,$B54))</f>
        <v/>
      </c>
      <c r="J54">
        <f>IF($B54="","",IFERROR(INDEX('Last Week'!$A$2:$A$301,MATCH($B54,'Last Week'!$B$2:$B$301,0)),""))</f>
        <v/>
      </c>
      <c r="K54">
        <f>IF(OR($B54="",$J54=""),"",$J54-$A54)</f>
        <v/>
      </c>
    </row>
    <row r="55">
      <c r="A55">
        <f>IF($B55="","",RANK($C55,$C$2:$C$500))</f>
        <v/>
      </c>
      <c r="B55">
        <f>IF(Players!$A55="","",Players!$A55)</f>
        <v/>
      </c>
      <c r="C55" s="5">
        <f>IF($B55="","",SUM(D55:H55))</f>
        <v/>
      </c>
      <c r="D55">
        <f>IF($B55="","",SUMIFS('Web Feed'!$O$2:$O$3015,'Web Feed'!$B$2:$B$3015,Points!$A$2,'Web Feed'!$F$2:$F$3015,$B55)+SUMIFS('Web Feed'!$O$2:$O$3015,'Web Feed'!$B$2:$B$3015,Points!$A$2,'Web Feed'!$G$2:$G$3015,$B55)+SUMIFS('Web Feed'!$O$2:$O$3015,'Web Feed'!$B$2:$B$3015,Points!$A$2,'Web Feed'!$H$2:$H$3015,$B55)+SUMIFS('Web Feed'!$O$2:$O$3015,'Web Feed'!$B$2:$B$3015,Points!$A$2,'Web Feed'!$I$2:$I$3015,$B55))</f>
        <v/>
      </c>
      <c r="E55">
        <f>IF($B55="","",SUMIFS('Web Feed'!$O$2:$O$3015,'Web Feed'!$B$2:$B$3015,Points!$A$3,'Web Feed'!$F$2:$F$3015,$B55)+SUMIFS('Web Feed'!$O$2:$O$3015,'Web Feed'!$B$2:$B$3015,Points!$A$3,'Web Feed'!$G$2:$G$3015,$B55)+SUMIFS('Web Feed'!$O$2:$O$3015,'Web Feed'!$B$2:$B$3015,Points!$A$3,'Web Feed'!$H$2:$H$3015,$B55)+SUMIFS('Web Feed'!$O$2:$O$3015,'Web Feed'!$B$2:$B$3015,Points!$A$3,'Web Feed'!$I$2:$I$3015,$B55))</f>
        <v/>
      </c>
      <c r="F55">
        <f>IF($B55="","",SUMIFS('Web Feed'!$O$2:$O$3015,'Web Feed'!$B$2:$B$3015,Points!$A$4,'Web Feed'!$F$2:$F$3015,$B55)+SUMIFS('Web Feed'!$O$2:$O$3015,'Web Feed'!$B$2:$B$3015,Points!$A$4,'Web Feed'!$G$2:$G$3015,$B55)+SUMIFS('Web Feed'!$O$2:$O$3015,'Web Feed'!$B$2:$B$3015,Points!$A$4,'Web Feed'!$H$2:$H$3015,$B55)+SUMIFS('Web Feed'!$O$2:$O$3015,'Web Feed'!$B$2:$B$3015,Points!$A$4,'Web Feed'!$I$2:$I$3015,$B55))</f>
        <v/>
      </c>
      <c r="G55">
        <f>IF($B55="","",SUMIFS('Web Feed'!$O$2:$O$3015,'Web Feed'!$B$2:$B$3015,Points!$A$5,'Web Feed'!$F$2:$F$3015,$B55)+SUMIFS('Web Feed'!$O$2:$O$3015,'Web Feed'!$B$2:$B$3015,Points!$A$5,'Web Feed'!$G$2:$G$3015,$B55)+SUMIFS('Web Feed'!$O$2:$O$3015,'Web Feed'!$B$2:$B$3015,Points!$A$5,'Web Feed'!$H$2:$H$3015,$B55)+SUMIFS('Web Feed'!$O$2:$O$3015,'Web Feed'!$B$2:$B$3015,Points!$A$5,'Web Feed'!$I$2:$I$3015,$B55))</f>
        <v/>
      </c>
      <c r="H55">
        <f>IF($B55="","",SUMIFS('Web Feed'!$O$2:$O$3015,'Web Feed'!$B$2:$B$3015,Points!$A$6,'Web Feed'!$F$2:$F$3015,$B55)+SUMIFS('Web Feed'!$O$2:$O$3015,'Web Feed'!$B$2:$B$3015,Points!$A$6,'Web Feed'!$G$2:$G$3015,$B55)+SUMIFS('Web Feed'!$O$2:$O$3015,'Web Feed'!$B$2:$B$3015,Points!$A$6,'Web Feed'!$H$2:$H$3015,$B55)+SUMIFS('Web Feed'!$O$2:$O$3015,'Web Feed'!$B$2:$B$3015,Points!$A$6,'Web Feed'!$I$2:$I$3015,$B55))</f>
        <v/>
      </c>
      <c r="I55">
        <f>IF($B55="","",COUNTIFS('Web Feed'!$B$2:$B$3015,"OHW",'Web Feed'!$F$2:$F$3015,$B55))</f>
        <v/>
      </c>
      <c r="J55">
        <f>IF($B55="","",IFERROR(INDEX('Last Week'!$A$2:$A$301,MATCH($B55,'Last Week'!$B$2:$B$301,0)),""))</f>
        <v/>
      </c>
      <c r="K55">
        <f>IF(OR($B55="",$J55=""),"",$J55-$A55)</f>
        <v/>
      </c>
    </row>
    <row r="56">
      <c r="A56">
        <f>IF($B56="","",RANK($C56,$C$2:$C$500))</f>
        <v/>
      </c>
      <c r="B56">
        <f>IF(Players!$A56="","",Players!$A56)</f>
        <v/>
      </c>
      <c r="C56" s="5">
        <f>IF($B56="","",SUM(D56:H56))</f>
        <v/>
      </c>
      <c r="D56">
        <f>IF($B56="","",SUMIFS('Web Feed'!$O$2:$O$3015,'Web Feed'!$B$2:$B$3015,Points!$A$2,'Web Feed'!$F$2:$F$3015,$B56)+SUMIFS('Web Feed'!$O$2:$O$3015,'Web Feed'!$B$2:$B$3015,Points!$A$2,'Web Feed'!$G$2:$G$3015,$B56)+SUMIFS('Web Feed'!$O$2:$O$3015,'Web Feed'!$B$2:$B$3015,Points!$A$2,'Web Feed'!$H$2:$H$3015,$B56)+SUMIFS('Web Feed'!$O$2:$O$3015,'Web Feed'!$B$2:$B$3015,Points!$A$2,'Web Feed'!$I$2:$I$3015,$B56))</f>
        <v/>
      </c>
      <c r="E56">
        <f>IF($B56="","",SUMIFS('Web Feed'!$O$2:$O$3015,'Web Feed'!$B$2:$B$3015,Points!$A$3,'Web Feed'!$F$2:$F$3015,$B56)+SUMIFS('Web Feed'!$O$2:$O$3015,'Web Feed'!$B$2:$B$3015,Points!$A$3,'Web Feed'!$G$2:$G$3015,$B56)+SUMIFS('Web Feed'!$O$2:$O$3015,'Web Feed'!$B$2:$B$3015,Points!$A$3,'Web Feed'!$H$2:$H$3015,$B56)+SUMIFS('Web Feed'!$O$2:$O$3015,'Web Feed'!$B$2:$B$3015,Points!$A$3,'Web Feed'!$I$2:$I$3015,$B56))</f>
        <v/>
      </c>
      <c r="F56">
        <f>IF($B56="","",SUMIFS('Web Feed'!$O$2:$O$3015,'Web Feed'!$B$2:$B$3015,Points!$A$4,'Web Feed'!$F$2:$F$3015,$B56)+SUMIFS('Web Feed'!$O$2:$O$3015,'Web Feed'!$B$2:$B$3015,Points!$A$4,'Web Feed'!$G$2:$G$3015,$B56)+SUMIFS('Web Feed'!$O$2:$O$3015,'Web Feed'!$B$2:$B$3015,Points!$A$4,'Web Feed'!$H$2:$H$3015,$B56)+SUMIFS('Web Feed'!$O$2:$O$3015,'Web Feed'!$B$2:$B$3015,Points!$A$4,'Web Feed'!$I$2:$I$3015,$B56))</f>
        <v/>
      </c>
      <c r="G56">
        <f>IF($B56="","",SUMIFS('Web Feed'!$O$2:$O$3015,'Web Feed'!$B$2:$B$3015,Points!$A$5,'Web Feed'!$F$2:$F$3015,$B56)+SUMIFS('Web Feed'!$O$2:$O$3015,'Web Feed'!$B$2:$B$3015,Points!$A$5,'Web Feed'!$G$2:$G$3015,$B56)+SUMIFS('Web Feed'!$O$2:$O$3015,'Web Feed'!$B$2:$B$3015,Points!$A$5,'Web Feed'!$H$2:$H$3015,$B56)+SUMIFS('Web Feed'!$O$2:$O$3015,'Web Feed'!$B$2:$B$3015,Points!$A$5,'Web Feed'!$I$2:$I$3015,$B56))</f>
        <v/>
      </c>
      <c r="H56">
        <f>IF($B56="","",SUMIFS('Web Feed'!$O$2:$O$3015,'Web Feed'!$B$2:$B$3015,Points!$A$6,'Web Feed'!$F$2:$F$3015,$B56)+SUMIFS('Web Feed'!$O$2:$O$3015,'Web Feed'!$B$2:$B$3015,Points!$A$6,'Web Feed'!$G$2:$G$3015,$B56)+SUMIFS('Web Feed'!$O$2:$O$3015,'Web Feed'!$B$2:$B$3015,Points!$A$6,'Web Feed'!$H$2:$H$3015,$B56)+SUMIFS('Web Feed'!$O$2:$O$3015,'Web Feed'!$B$2:$B$3015,Points!$A$6,'Web Feed'!$I$2:$I$3015,$B56))</f>
        <v/>
      </c>
      <c r="I56">
        <f>IF($B56="","",COUNTIFS('Web Feed'!$B$2:$B$3015,"OHW",'Web Feed'!$F$2:$F$3015,$B56))</f>
        <v/>
      </c>
      <c r="J56">
        <f>IF($B56="","",IFERROR(INDEX('Last Week'!$A$2:$A$301,MATCH($B56,'Last Week'!$B$2:$B$301,0)),""))</f>
        <v/>
      </c>
      <c r="K56">
        <f>IF(OR($B56="",$J56=""),"",$J56-$A56)</f>
        <v/>
      </c>
    </row>
    <row r="57">
      <c r="A57">
        <f>IF($B57="","",RANK($C57,$C$2:$C$500))</f>
        <v/>
      </c>
      <c r="B57">
        <f>IF(Players!$A57="","",Players!$A57)</f>
        <v/>
      </c>
      <c r="C57" s="5">
        <f>IF($B57="","",SUM(D57:H57))</f>
        <v/>
      </c>
      <c r="D57">
        <f>IF($B57="","",SUMIFS('Web Feed'!$O$2:$O$3015,'Web Feed'!$B$2:$B$3015,Points!$A$2,'Web Feed'!$F$2:$F$3015,$B57)+SUMIFS('Web Feed'!$O$2:$O$3015,'Web Feed'!$B$2:$B$3015,Points!$A$2,'Web Feed'!$G$2:$G$3015,$B57)+SUMIFS('Web Feed'!$O$2:$O$3015,'Web Feed'!$B$2:$B$3015,Points!$A$2,'Web Feed'!$H$2:$H$3015,$B57)+SUMIFS('Web Feed'!$O$2:$O$3015,'Web Feed'!$B$2:$B$3015,Points!$A$2,'Web Feed'!$I$2:$I$3015,$B57))</f>
        <v/>
      </c>
      <c r="E57">
        <f>IF($B57="","",SUMIFS('Web Feed'!$O$2:$O$3015,'Web Feed'!$B$2:$B$3015,Points!$A$3,'Web Feed'!$F$2:$F$3015,$B57)+SUMIFS('Web Feed'!$O$2:$O$3015,'Web Feed'!$B$2:$B$3015,Points!$A$3,'Web Feed'!$G$2:$G$3015,$B57)+SUMIFS('Web Feed'!$O$2:$O$3015,'Web Feed'!$B$2:$B$3015,Points!$A$3,'Web Feed'!$H$2:$H$3015,$B57)+SUMIFS('Web Feed'!$O$2:$O$3015,'Web Feed'!$B$2:$B$3015,Points!$A$3,'Web Feed'!$I$2:$I$3015,$B57))</f>
        <v/>
      </c>
      <c r="F57">
        <f>IF($B57="","",SUMIFS('Web Feed'!$O$2:$O$3015,'Web Feed'!$B$2:$B$3015,Points!$A$4,'Web Feed'!$F$2:$F$3015,$B57)+SUMIFS('Web Feed'!$O$2:$O$3015,'Web Feed'!$B$2:$B$3015,Points!$A$4,'Web Feed'!$G$2:$G$3015,$B57)+SUMIFS('Web Feed'!$O$2:$O$3015,'Web Feed'!$B$2:$B$3015,Points!$A$4,'Web Feed'!$H$2:$H$3015,$B57)+SUMIFS('Web Feed'!$O$2:$O$3015,'Web Feed'!$B$2:$B$3015,Points!$A$4,'Web Feed'!$I$2:$I$3015,$B57))</f>
        <v/>
      </c>
      <c r="G57">
        <f>IF($B57="","",SUMIFS('Web Feed'!$O$2:$O$3015,'Web Feed'!$B$2:$B$3015,Points!$A$5,'Web Feed'!$F$2:$F$3015,$B57)+SUMIFS('Web Feed'!$O$2:$O$3015,'Web Feed'!$B$2:$B$3015,Points!$A$5,'Web Feed'!$G$2:$G$3015,$B57)+SUMIFS('Web Feed'!$O$2:$O$3015,'Web Feed'!$B$2:$B$3015,Points!$A$5,'Web Feed'!$H$2:$H$3015,$B57)+SUMIFS('Web Feed'!$O$2:$O$3015,'Web Feed'!$B$2:$B$3015,Points!$A$5,'Web Feed'!$I$2:$I$3015,$B57))</f>
        <v/>
      </c>
      <c r="H57">
        <f>IF($B57="","",SUMIFS('Web Feed'!$O$2:$O$3015,'Web Feed'!$B$2:$B$3015,Points!$A$6,'Web Feed'!$F$2:$F$3015,$B57)+SUMIFS('Web Feed'!$O$2:$O$3015,'Web Feed'!$B$2:$B$3015,Points!$A$6,'Web Feed'!$G$2:$G$3015,$B57)+SUMIFS('Web Feed'!$O$2:$O$3015,'Web Feed'!$B$2:$B$3015,Points!$A$6,'Web Feed'!$H$2:$H$3015,$B57)+SUMIFS('Web Feed'!$O$2:$O$3015,'Web Feed'!$B$2:$B$3015,Points!$A$6,'Web Feed'!$I$2:$I$3015,$B57))</f>
        <v/>
      </c>
      <c r="I57">
        <f>IF($B57="","",COUNTIFS('Web Feed'!$B$2:$B$3015,"OHW",'Web Feed'!$F$2:$F$3015,$B57))</f>
        <v/>
      </c>
      <c r="J57">
        <f>IF($B57="","",IFERROR(INDEX('Last Week'!$A$2:$A$301,MATCH($B57,'Last Week'!$B$2:$B$301,0)),""))</f>
        <v/>
      </c>
      <c r="K57">
        <f>IF(OR($B57="",$J57=""),"",$J57-$A57)</f>
        <v/>
      </c>
    </row>
    <row r="58">
      <c r="A58">
        <f>IF($B58="","",RANK($C58,$C$2:$C$500))</f>
        <v/>
      </c>
      <c r="B58">
        <f>IF(Players!$A58="","",Players!$A58)</f>
        <v/>
      </c>
      <c r="C58" s="5">
        <f>IF($B58="","",SUM(D58:H58))</f>
        <v/>
      </c>
      <c r="D58">
        <f>IF($B58="","",SUMIFS('Web Feed'!$O$2:$O$3015,'Web Feed'!$B$2:$B$3015,Points!$A$2,'Web Feed'!$F$2:$F$3015,$B58)+SUMIFS('Web Feed'!$O$2:$O$3015,'Web Feed'!$B$2:$B$3015,Points!$A$2,'Web Feed'!$G$2:$G$3015,$B58)+SUMIFS('Web Feed'!$O$2:$O$3015,'Web Feed'!$B$2:$B$3015,Points!$A$2,'Web Feed'!$H$2:$H$3015,$B58)+SUMIFS('Web Feed'!$O$2:$O$3015,'Web Feed'!$B$2:$B$3015,Points!$A$2,'Web Feed'!$I$2:$I$3015,$B58))</f>
        <v/>
      </c>
      <c r="E58">
        <f>IF($B58="","",SUMIFS('Web Feed'!$O$2:$O$3015,'Web Feed'!$B$2:$B$3015,Points!$A$3,'Web Feed'!$F$2:$F$3015,$B58)+SUMIFS('Web Feed'!$O$2:$O$3015,'Web Feed'!$B$2:$B$3015,Points!$A$3,'Web Feed'!$G$2:$G$3015,$B58)+SUMIFS('Web Feed'!$O$2:$O$3015,'Web Feed'!$B$2:$B$3015,Points!$A$3,'Web Feed'!$H$2:$H$3015,$B58)+SUMIFS('Web Feed'!$O$2:$O$3015,'Web Feed'!$B$2:$B$3015,Points!$A$3,'Web Feed'!$I$2:$I$3015,$B58))</f>
        <v/>
      </c>
      <c r="F58">
        <f>IF($B58="","",SUMIFS('Web Feed'!$O$2:$O$3015,'Web Feed'!$B$2:$B$3015,Points!$A$4,'Web Feed'!$F$2:$F$3015,$B58)+SUMIFS('Web Feed'!$O$2:$O$3015,'Web Feed'!$B$2:$B$3015,Points!$A$4,'Web Feed'!$G$2:$G$3015,$B58)+SUMIFS('Web Feed'!$O$2:$O$3015,'Web Feed'!$B$2:$B$3015,Points!$A$4,'Web Feed'!$H$2:$H$3015,$B58)+SUMIFS('Web Feed'!$O$2:$O$3015,'Web Feed'!$B$2:$B$3015,Points!$A$4,'Web Feed'!$I$2:$I$3015,$B58))</f>
        <v/>
      </c>
      <c r="G58">
        <f>IF($B58="","",SUMIFS('Web Feed'!$O$2:$O$3015,'Web Feed'!$B$2:$B$3015,Points!$A$5,'Web Feed'!$F$2:$F$3015,$B58)+SUMIFS('Web Feed'!$O$2:$O$3015,'Web Feed'!$B$2:$B$3015,Points!$A$5,'Web Feed'!$G$2:$G$3015,$B58)+SUMIFS('Web Feed'!$O$2:$O$3015,'Web Feed'!$B$2:$B$3015,Points!$A$5,'Web Feed'!$H$2:$H$3015,$B58)+SUMIFS('Web Feed'!$O$2:$O$3015,'Web Feed'!$B$2:$B$3015,Points!$A$5,'Web Feed'!$I$2:$I$3015,$B58))</f>
        <v/>
      </c>
      <c r="H58">
        <f>IF($B58="","",SUMIFS('Web Feed'!$O$2:$O$3015,'Web Feed'!$B$2:$B$3015,Points!$A$6,'Web Feed'!$F$2:$F$3015,$B58)+SUMIFS('Web Feed'!$O$2:$O$3015,'Web Feed'!$B$2:$B$3015,Points!$A$6,'Web Feed'!$G$2:$G$3015,$B58)+SUMIFS('Web Feed'!$O$2:$O$3015,'Web Feed'!$B$2:$B$3015,Points!$A$6,'Web Feed'!$H$2:$H$3015,$B58)+SUMIFS('Web Feed'!$O$2:$O$3015,'Web Feed'!$B$2:$B$3015,Points!$A$6,'Web Feed'!$I$2:$I$3015,$B58))</f>
        <v/>
      </c>
      <c r="I58">
        <f>IF($B58="","",COUNTIFS('Web Feed'!$B$2:$B$3015,"OHW",'Web Feed'!$F$2:$F$3015,$B58))</f>
        <v/>
      </c>
      <c r="J58">
        <f>IF($B58="","",IFERROR(INDEX('Last Week'!$A$2:$A$301,MATCH($B58,'Last Week'!$B$2:$B$301,0)),""))</f>
        <v/>
      </c>
      <c r="K58">
        <f>IF(OR($B58="",$J58=""),"",$J58-$A58)</f>
        <v/>
      </c>
    </row>
    <row r="59">
      <c r="A59">
        <f>IF($B59="","",RANK($C59,$C$2:$C$500))</f>
        <v/>
      </c>
      <c r="B59">
        <f>IF(Players!$A59="","",Players!$A59)</f>
        <v/>
      </c>
      <c r="C59" s="5">
        <f>IF($B59="","",SUM(D59:H59))</f>
        <v/>
      </c>
      <c r="D59">
        <f>IF($B59="","",SUMIFS('Web Feed'!$O$2:$O$3015,'Web Feed'!$B$2:$B$3015,Points!$A$2,'Web Feed'!$F$2:$F$3015,$B59)+SUMIFS('Web Feed'!$O$2:$O$3015,'Web Feed'!$B$2:$B$3015,Points!$A$2,'Web Feed'!$G$2:$G$3015,$B59)+SUMIFS('Web Feed'!$O$2:$O$3015,'Web Feed'!$B$2:$B$3015,Points!$A$2,'Web Feed'!$H$2:$H$3015,$B59)+SUMIFS('Web Feed'!$O$2:$O$3015,'Web Feed'!$B$2:$B$3015,Points!$A$2,'Web Feed'!$I$2:$I$3015,$B59))</f>
        <v/>
      </c>
      <c r="E59">
        <f>IF($B59="","",SUMIFS('Web Feed'!$O$2:$O$3015,'Web Feed'!$B$2:$B$3015,Points!$A$3,'Web Feed'!$F$2:$F$3015,$B59)+SUMIFS('Web Feed'!$O$2:$O$3015,'Web Feed'!$B$2:$B$3015,Points!$A$3,'Web Feed'!$G$2:$G$3015,$B59)+SUMIFS('Web Feed'!$O$2:$O$3015,'Web Feed'!$B$2:$B$3015,Points!$A$3,'Web Feed'!$H$2:$H$3015,$B59)+SUMIFS('Web Feed'!$O$2:$O$3015,'Web Feed'!$B$2:$B$3015,Points!$A$3,'Web Feed'!$I$2:$I$3015,$B59))</f>
        <v/>
      </c>
      <c r="F59">
        <f>IF($B59="","",SUMIFS('Web Feed'!$O$2:$O$3015,'Web Feed'!$B$2:$B$3015,Points!$A$4,'Web Feed'!$F$2:$F$3015,$B59)+SUMIFS('Web Feed'!$O$2:$O$3015,'Web Feed'!$B$2:$B$3015,Points!$A$4,'Web Feed'!$G$2:$G$3015,$B59)+SUMIFS('Web Feed'!$O$2:$O$3015,'Web Feed'!$B$2:$B$3015,Points!$A$4,'Web Feed'!$H$2:$H$3015,$B59)+SUMIFS('Web Feed'!$O$2:$O$3015,'Web Feed'!$B$2:$B$3015,Points!$A$4,'Web Feed'!$I$2:$I$3015,$B59))</f>
        <v/>
      </c>
      <c r="G59">
        <f>IF($B59="","",SUMIFS('Web Feed'!$O$2:$O$3015,'Web Feed'!$B$2:$B$3015,Points!$A$5,'Web Feed'!$F$2:$F$3015,$B59)+SUMIFS('Web Feed'!$O$2:$O$3015,'Web Feed'!$B$2:$B$3015,Points!$A$5,'Web Feed'!$G$2:$G$3015,$B59)+SUMIFS('Web Feed'!$O$2:$O$3015,'Web Feed'!$B$2:$B$3015,Points!$A$5,'Web Feed'!$H$2:$H$3015,$B59)+SUMIFS('Web Feed'!$O$2:$O$3015,'Web Feed'!$B$2:$B$3015,Points!$A$5,'Web Feed'!$I$2:$I$3015,$B59))</f>
        <v/>
      </c>
      <c r="H59">
        <f>IF($B59="","",SUMIFS('Web Feed'!$O$2:$O$3015,'Web Feed'!$B$2:$B$3015,Points!$A$6,'Web Feed'!$F$2:$F$3015,$B59)+SUMIFS('Web Feed'!$O$2:$O$3015,'Web Feed'!$B$2:$B$3015,Points!$A$6,'Web Feed'!$G$2:$G$3015,$B59)+SUMIFS('Web Feed'!$O$2:$O$3015,'Web Feed'!$B$2:$B$3015,Points!$A$6,'Web Feed'!$H$2:$H$3015,$B59)+SUMIFS('Web Feed'!$O$2:$O$3015,'Web Feed'!$B$2:$B$3015,Points!$A$6,'Web Feed'!$I$2:$I$3015,$B59))</f>
        <v/>
      </c>
      <c r="I59">
        <f>IF($B59="","",COUNTIFS('Web Feed'!$B$2:$B$3015,"OHW",'Web Feed'!$F$2:$F$3015,$B59))</f>
        <v/>
      </c>
      <c r="J59">
        <f>IF($B59="","",IFERROR(INDEX('Last Week'!$A$2:$A$301,MATCH($B59,'Last Week'!$B$2:$B$301,0)),""))</f>
        <v/>
      </c>
      <c r="K59">
        <f>IF(OR($B59="",$J59=""),"",$J59-$A59)</f>
        <v/>
      </c>
    </row>
    <row r="60">
      <c r="A60">
        <f>IF($B60="","",RANK($C60,$C$2:$C$500))</f>
        <v/>
      </c>
      <c r="B60">
        <f>IF(Players!$A60="","",Players!$A60)</f>
        <v/>
      </c>
      <c r="C60" s="5">
        <f>IF($B60="","",SUM(D60:H60))</f>
        <v/>
      </c>
      <c r="D60">
        <f>IF($B60="","",SUMIFS('Web Feed'!$O$2:$O$3015,'Web Feed'!$B$2:$B$3015,Points!$A$2,'Web Feed'!$F$2:$F$3015,$B60)+SUMIFS('Web Feed'!$O$2:$O$3015,'Web Feed'!$B$2:$B$3015,Points!$A$2,'Web Feed'!$G$2:$G$3015,$B60)+SUMIFS('Web Feed'!$O$2:$O$3015,'Web Feed'!$B$2:$B$3015,Points!$A$2,'Web Feed'!$H$2:$H$3015,$B60)+SUMIFS('Web Feed'!$O$2:$O$3015,'Web Feed'!$B$2:$B$3015,Points!$A$2,'Web Feed'!$I$2:$I$3015,$B60))</f>
        <v/>
      </c>
      <c r="E60">
        <f>IF($B60="","",SUMIFS('Web Feed'!$O$2:$O$3015,'Web Feed'!$B$2:$B$3015,Points!$A$3,'Web Feed'!$F$2:$F$3015,$B60)+SUMIFS('Web Feed'!$O$2:$O$3015,'Web Feed'!$B$2:$B$3015,Points!$A$3,'Web Feed'!$G$2:$G$3015,$B60)+SUMIFS('Web Feed'!$O$2:$O$3015,'Web Feed'!$B$2:$B$3015,Points!$A$3,'Web Feed'!$H$2:$H$3015,$B60)+SUMIFS('Web Feed'!$O$2:$O$3015,'Web Feed'!$B$2:$B$3015,Points!$A$3,'Web Feed'!$I$2:$I$3015,$B60))</f>
        <v/>
      </c>
      <c r="F60">
        <f>IF($B60="","",SUMIFS('Web Feed'!$O$2:$O$3015,'Web Feed'!$B$2:$B$3015,Points!$A$4,'Web Feed'!$F$2:$F$3015,$B60)+SUMIFS('Web Feed'!$O$2:$O$3015,'Web Feed'!$B$2:$B$3015,Points!$A$4,'Web Feed'!$G$2:$G$3015,$B60)+SUMIFS('Web Feed'!$O$2:$O$3015,'Web Feed'!$B$2:$B$3015,Points!$A$4,'Web Feed'!$H$2:$H$3015,$B60)+SUMIFS('Web Feed'!$O$2:$O$3015,'Web Feed'!$B$2:$B$3015,Points!$A$4,'Web Feed'!$I$2:$I$3015,$B60))</f>
        <v/>
      </c>
      <c r="G60">
        <f>IF($B60="","",SUMIFS('Web Feed'!$O$2:$O$3015,'Web Feed'!$B$2:$B$3015,Points!$A$5,'Web Feed'!$F$2:$F$3015,$B60)+SUMIFS('Web Feed'!$O$2:$O$3015,'Web Feed'!$B$2:$B$3015,Points!$A$5,'Web Feed'!$G$2:$G$3015,$B60)+SUMIFS('Web Feed'!$O$2:$O$3015,'Web Feed'!$B$2:$B$3015,Points!$A$5,'Web Feed'!$H$2:$H$3015,$B60)+SUMIFS('Web Feed'!$O$2:$O$3015,'Web Feed'!$B$2:$B$3015,Points!$A$5,'Web Feed'!$I$2:$I$3015,$B60))</f>
        <v/>
      </c>
      <c r="H60">
        <f>IF($B60="","",SUMIFS('Web Feed'!$O$2:$O$3015,'Web Feed'!$B$2:$B$3015,Points!$A$6,'Web Feed'!$F$2:$F$3015,$B60)+SUMIFS('Web Feed'!$O$2:$O$3015,'Web Feed'!$B$2:$B$3015,Points!$A$6,'Web Feed'!$G$2:$G$3015,$B60)+SUMIFS('Web Feed'!$O$2:$O$3015,'Web Feed'!$B$2:$B$3015,Points!$A$6,'Web Feed'!$H$2:$H$3015,$B60)+SUMIFS('Web Feed'!$O$2:$O$3015,'Web Feed'!$B$2:$B$3015,Points!$A$6,'Web Feed'!$I$2:$I$3015,$B60))</f>
        <v/>
      </c>
      <c r="I60">
        <f>IF($B60="","",COUNTIFS('Web Feed'!$B$2:$B$3015,"OHW",'Web Feed'!$F$2:$F$3015,$B60))</f>
        <v/>
      </c>
      <c r="J60">
        <f>IF($B60="","",IFERROR(INDEX('Last Week'!$A$2:$A$301,MATCH($B60,'Last Week'!$B$2:$B$301,0)),""))</f>
        <v/>
      </c>
      <c r="K60">
        <f>IF(OR($B60="",$J60=""),"",$J60-$A60)</f>
        <v/>
      </c>
    </row>
    <row r="61">
      <c r="A61">
        <f>IF($B61="","",RANK($C61,$C$2:$C$500))</f>
        <v/>
      </c>
      <c r="B61">
        <f>IF(Players!$A61="","",Players!$A61)</f>
        <v/>
      </c>
      <c r="C61" s="5">
        <f>IF($B61="","",SUM(D61:H61))</f>
        <v/>
      </c>
      <c r="D61">
        <f>IF($B61="","",SUMIFS('Web Feed'!$O$2:$O$3015,'Web Feed'!$B$2:$B$3015,Points!$A$2,'Web Feed'!$F$2:$F$3015,$B61)+SUMIFS('Web Feed'!$O$2:$O$3015,'Web Feed'!$B$2:$B$3015,Points!$A$2,'Web Feed'!$G$2:$G$3015,$B61)+SUMIFS('Web Feed'!$O$2:$O$3015,'Web Feed'!$B$2:$B$3015,Points!$A$2,'Web Feed'!$H$2:$H$3015,$B61)+SUMIFS('Web Feed'!$O$2:$O$3015,'Web Feed'!$B$2:$B$3015,Points!$A$2,'Web Feed'!$I$2:$I$3015,$B61))</f>
        <v/>
      </c>
      <c r="E61">
        <f>IF($B61="","",SUMIFS('Web Feed'!$O$2:$O$3015,'Web Feed'!$B$2:$B$3015,Points!$A$3,'Web Feed'!$F$2:$F$3015,$B61)+SUMIFS('Web Feed'!$O$2:$O$3015,'Web Feed'!$B$2:$B$3015,Points!$A$3,'Web Feed'!$G$2:$G$3015,$B61)+SUMIFS('Web Feed'!$O$2:$O$3015,'Web Feed'!$B$2:$B$3015,Points!$A$3,'Web Feed'!$H$2:$H$3015,$B61)+SUMIFS('Web Feed'!$O$2:$O$3015,'Web Feed'!$B$2:$B$3015,Points!$A$3,'Web Feed'!$I$2:$I$3015,$B61))</f>
        <v/>
      </c>
      <c r="F61">
        <f>IF($B61="","",SUMIFS('Web Feed'!$O$2:$O$3015,'Web Feed'!$B$2:$B$3015,Points!$A$4,'Web Feed'!$F$2:$F$3015,$B61)+SUMIFS('Web Feed'!$O$2:$O$3015,'Web Feed'!$B$2:$B$3015,Points!$A$4,'Web Feed'!$G$2:$G$3015,$B61)+SUMIFS('Web Feed'!$O$2:$O$3015,'Web Feed'!$B$2:$B$3015,Points!$A$4,'Web Feed'!$H$2:$H$3015,$B61)+SUMIFS('Web Feed'!$O$2:$O$3015,'Web Feed'!$B$2:$B$3015,Points!$A$4,'Web Feed'!$I$2:$I$3015,$B61))</f>
        <v/>
      </c>
      <c r="G61">
        <f>IF($B61="","",SUMIFS('Web Feed'!$O$2:$O$3015,'Web Feed'!$B$2:$B$3015,Points!$A$5,'Web Feed'!$F$2:$F$3015,$B61)+SUMIFS('Web Feed'!$O$2:$O$3015,'Web Feed'!$B$2:$B$3015,Points!$A$5,'Web Feed'!$G$2:$G$3015,$B61)+SUMIFS('Web Feed'!$O$2:$O$3015,'Web Feed'!$B$2:$B$3015,Points!$A$5,'Web Feed'!$H$2:$H$3015,$B61)+SUMIFS('Web Feed'!$O$2:$O$3015,'Web Feed'!$B$2:$B$3015,Points!$A$5,'Web Feed'!$I$2:$I$3015,$B61))</f>
        <v/>
      </c>
      <c r="H61">
        <f>IF($B61="","",SUMIFS('Web Feed'!$O$2:$O$3015,'Web Feed'!$B$2:$B$3015,Points!$A$6,'Web Feed'!$F$2:$F$3015,$B61)+SUMIFS('Web Feed'!$O$2:$O$3015,'Web Feed'!$B$2:$B$3015,Points!$A$6,'Web Feed'!$G$2:$G$3015,$B61)+SUMIFS('Web Feed'!$O$2:$O$3015,'Web Feed'!$B$2:$B$3015,Points!$A$6,'Web Feed'!$H$2:$H$3015,$B61)+SUMIFS('Web Feed'!$O$2:$O$3015,'Web Feed'!$B$2:$B$3015,Points!$A$6,'Web Feed'!$I$2:$I$3015,$B61))</f>
        <v/>
      </c>
      <c r="I61">
        <f>IF($B61="","",COUNTIFS('Web Feed'!$B$2:$B$3015,"OHW",'Web Feed'!$F$2:$F$3015,$B61))</f>
        <v/>
      </c>
      <c r="J61">
        <f>IF($B61="","",IFERROR(INDEX('Last Week'!$A$2:$A$301,MATCH($B61,'Last Week'!$B$2:$B$301,0)),""))</f>
        <v/>
      </c>
      <c r="K61">
        <f>IF(OR($B61="",$J61=""),"",$J61-$A61)</f>
        <v/>
      </c>
    </row>
    <row r="62">
      <c r="A62">
        <f>IF($B62="","",RANK($C62,$C$2:$C$500))</f>
        <v/>
      </c>
      <c r="B62">
        <f>IF(Players!$A62="","",Players!$A62)</f>
        <v/>
      </c>
      <c r="C62" s="5">
        <f>IF($B62="","",SUM(D62:H62))</f>
        <v/>
      </c>
      <c r="D62">
        <f>IF($B62="","",SUMIFS('Web Feed'!$O$2:$O$3015,'Web Feed'!$B$2:$B$3015,Points!$A$2,'Web Feed'!$F$2:$F$3015,$B62)+SUMIFS('Web Feed'!$O$2:$O$3015,'Web Feed'!$B$2:$B$3015,Points!$A$2,'Web Feed'!$G$2:$G$3015,$B62)+SUMIFS('Web Feed'!$O$2:$O$3015,'Web Feed'!$B$2:$B$3015,Points!$A$2,'Web Feed'!$H$2:$H$3015,$B62)+SUMIFS('Web Feed'!$O$2:$O$3015,'Web Feed'!$B$2:$B$3015,Points!$A$2,'Web Feed'!$I$2:$I$3015,$B62))</f>
        <v/>
      </c>
      <c r="E62">
        <f>IF($B62="","",SUMIFS('Web Feed'!$O$2:$O$3015,'Web Feed'!$B$2:$B$3015,Points!$A$3,'Web Feed'!$F$2:$F$3015,$B62)+SUMIFS('Web Feed'!$O$2:$O$3015,'Web Feed'!$B$2:$B$3015,Points!$A$3,'Web Feed'!$G$2:$G$3015,$B62)+SUMIFS('Web Feed'!$O$2:$O$3015,'Web Feed'!$B$2:$B$3015,Points!$A$3,'Web Feed'!$H$2:$H$3015,$B62)+SUMIFS('Web Feed'!$O$2:$O$3015,'Web Feed'!$B$2:$B$3015,Points!$A$3,'Web Feed'!$I$2:$I$3015,$B62))</f>
        <v/>
      </c>
      <c r="F62">
        <f>IF($B62="","",SUMIFS('Web Feed'!$O$2:$O$3015,'Web Feed'!$B$2:$B$3015,Points!$A$4,'Web Feed'!$F$2:$F$3015,$B62)+SUMIFS('Web Feed'!$O$2:$O$3015,'Web Feed'!$B$2:$B$3015,Points!$A$4,'Web Feed'!$G$2:$G$3015,$B62)+SUMIFS('Web Feed'!$O$2:$O$3015,'Web Feed'!$B$2:$B$3015,Points!$A$4,'Web Feed'!$H$2:$H$3015,$B62)+SUMIFS('Web Feed'!$O$2:$O$3015,'Web Feed'!$B$2:$B$3015,Points!$A$4,'Web Feed'!$I$2:$I$3015,$B62))</f>
        <v/>
      </c>
      <c r="G62">
        <f>IF($B62="","",SUMIFS('Web Feed'!$O$2:$O$3015,'Web Feed'!$B$2:$B$3015,Points!$A$5,'Web Feed'!$F$2:$F$3015,$B62)+SUMIFS('Web Feed'!$O$2:$O$3015,'Web Feed'!$B$2:$B$3015,Points!$A$5,'Web Feed'!$G$2:$G$3015,$B62)+SUMIFS('Web Feed'!$O$2:$O$3015,'Web Feed'!$B$2:$B$3015,Points!$A$5,'Web Feed'!$H$2:$H$3015,$B62)+SUMIFS('Web Feed'!$O$2:$O$3015,'Web Feed'!$B$2:$B$3015,Points!$A$5,'Web Feed'!$I$2:$I$3015,$B62))</f>
        <v/>
      </c>
      <c r="H62">
        <f>IF($B62="","",SUMIFS('Web Feed'!$O$2:$O$3015,'Web Feed'!$B$2:$B$3015,Points!$A$6,'Web Feed'!$F$2:$F$3015,$B62)+SUMIFS('Web Feed'!$O$2:$O$3015,'Web Feed'!$B$2:$B$3015,Points!$A$6,'Web Feed'!$G$2:$G$3015,$B62)+SUMIFS('Web Feed'!$O$2:$O$3015,'Web Feed'!$B$2:$B$3015,Points!$A$6,'Web Feed'!$H$2:$H$3015,$B62)+SUMIFS('Web Feed'!$O$2:$O$3015,'Web Feed'!$B$2:$B$3015,Points!$A$6,'Web Feed'!$I$2:$I$3015,$B62))</f>
        <v/>
      </c>
      <c r="I62">
        <f>IF($B62="","",COUNTIFS('Web Feed'!$B$2:$B$3015,"OHW",'Web Feed'!$F$2:$F$3015,$B62))</f>
        <v/>
      </c>
      <c r="J62">
        <f>IF($B62="","",IFERROR(INDEX('Last Week'!$A$2:$A$301,MATCH($B62,'Last Week'!$B$2:$B$301,0)),""))</f>
        <v/>
      </c>
      <c r="K62">
        <f>IF(OR($B62="",$J62=""),"",$J62-$A62)</f>
        <v/>
      </c>
    </row>
    <row r="63">
      <c r="A63">
        <f>IF($B63="","",RANK($C63,$C$2:$C$500))</f>
        <v/>
      </c>
      <c r="B63">
        <f>IF(Players!$A63="","",Players!$A63)</f>
        <v/>
      </c>
      <c r="C63" s="5">
        <f>IF($B63="","",SUM(D63:H63))</f>
        <v/>
      </c>
      <c r="D63">
        <f>IF($B63="","",SUMIFS('Web Feed'!$O$2:$O$3015,'Web Feed'!$B$2:$B$3015,Points!$A$2,'Web Feed'!$F$2:$F$3015,$B63)+SUMIFS('Web Feed'!$O$2:$O$3015,'Web Feed'!$B$2:$B$3015,Points!$A$2,'Web Feed'!$G$2:$G$3015,$B63)+SUMIFS('Web Feed'!$O$2:$O$3015,'Web Feed'!$B$2:$B$3015,Points!$A$2,'Web Feed'!$H$2:$H$3015,$B63)+SUMIFS('Web Feed'!$O$2:$O$3015,'Web Feed'!$B$2:$B$3015,Points!$A$2,'Web Feed'!$I$2:$I$3015,$B63))</f>
        <v/>
      </c>
      <c r="E63">
        <f>IF($B63="","",SUMIFS('Web Feed'!$O$2:$O$3015,'Web Feed'!$B$2:$B$3015,Points!$A$3,'Web Feed'!$F$2:$F$3015,$B63)+SUMIFS('Web Feed'!$O$2:$O$3015,'Web Feed'!$B$2:$B$3015,Points!$A$3,'Web Feed'!$G$2:$G$3015,$B63)+SUMIFS('Web Feed'!$O$2:$O$3015,'Web Feed'!$B$2:$B$3015,Points!$A$3,'Web Feed'!$H$2:$H$3015,$B63)+SUMIFS('Web Feed'!$O$2:$O$3015,'Web Feed'!$B$2:$B$3015,Points!$A$3,'Web Feed'!$I$2:$I$3015,$B63))</f>
        <v/>
      </c>
      <c r="F63">
        <f>IF($B63="","",SUMIFS('Web Feed'!$O$2:$O$3015,'Web Feed'!$B$2:$B$3015,Points!$A$4,'Web Feed'!$F$2:$F$3015,$B63)+SUMIFS('Web Feed'!$O$2:$O$3015,'Web Feed'!$B$2:$B$3015,Points!$A$4,'Web Feed'!$G$2:$G$3015,$B63)+SUMIFS('Web Feed'!$O$2:$O$3015,'Web Feed'!$B$2:$B$3015,Points!$A$4,'Web Feed'!$H$2:$H$3015,$B63)+SUMIFS('Web Feed'!$O$2:$O$3015,'Web Feed'!$B$2:$B$3015,Points!$A$4,'Web Feed'!$I$2:$I$3015,$B63))</f>
        <v/>
      </c>
      <c r="G63">
        <f>IF($B63="","",SUMIFS('Web Feed'!$O$2:$O$3015,'Web Feed'!$B$2:$B$3015,Points!$A$5,'Web Feed'!$F$2:$F$3015,$B63)+SUMIFS('Web Feed'!$O$2:$O$3015,'Web Feed'!$B$2:$B$3015,Points!$A$5,'Web Feed'!$G$2:$G$3015,$B63)+SUMIFS('Web Feed'!$O$2:$O$3015,'Web Feed'!$B$2:$B$3015,Points!$A$5,'Web Feed'!$H$2:$H$3015,$B63)+SUMIFS('Web Feed'!$O$2:$O$3015,'Web Feed'!$B$2:$B$3015,Points!$A$5,'Web Feed'!$I$2:$I$3015,$B63))</f>
        <v/>
      </c>
      <c r="H63">
        <f>IF($B63="","",SUMIFS('Web Feed'!$O$2:$O$3015,'Web Feed'!$B$2:$B$3015,Points!$A$6,'Web Feed'!$F$2:$F$3015,$B63)+SUMIFS('Web Feed'!$O$2:$O$3015,'Web Feed'!$B$2:$B$3015,Points!$A$6,'Web Feed'!$G$2:$G$3015,$B63)+SUMIFS('Web Feed'!$O$2:$O$3015,'Web Feed'!$B$2:$B$3015,Points!$A$6,'Web Feed'!$H$2:$H$3015,$B63)+SUMIFS('Web Feed'!$O$2:$O$3015,'Web Feed'!$B$2:$B$3015,Points!$A$6,'Web Feed'!$I$2:$I$3015,$B63))</f>
        <v/>
      </c>
      <c r="I63">
        <f>IF($B63="","",COUNTIFS('Web Feed'!$B$2:$B$3015,"OHW",'Web Feed'!$F$2:$F$3015,$B63))</f>
        <v/>
      </c>
      <c r="J63">
        <f>IF($B63="","",IFERROR(INDEX('Last Week'!$A$2:$A$301,MATCH($B63,'Last Week'!$B$2:$B$301,0)),""))</f>
        <v/>
      </c>
      <c r="K63">
        <f>IF(OR($B63="",$J63=""),"",$J63-$A63)</f>
        <v/>
      </c>
    </row>
    <row r="64">
      <c r="A64">
        <f>IF($B64="","",RANK($C64,$C$2:$C$500))</f>
        <v/>
      </c>
      <c r="B64">
        <f>IF(Players!$A64="","",Players!$A64)</f>
        <v/>
      </c>
      <c r="C64" s="5">
        <f>IF($B64="","",SUM(D64:H64))</f>
        <v/>
      </c>
      <c r="D64">
        <f>IF($B64="","",SUMIFS('Web Feed'!$O$2:$O$3015,'Web Feed'!$B$2:$B$3015,Points!$A$2,'Web Feed'!$F$2:$F$3015,$B64)+SUMIFS('Web Feed'!$O$2:$O$3015,'Web Feed'!$B$2:$B$3015,Points!$A$2,'Web Feed'!$G$2:$G$3015,$B64)+SUMIFS('Web Feed'!$O$2:$O$3015,'Web Feed'!$B$2:$B$3015,Points!$A$2,'Web Feed'!$H$2:$H$3015,$B64)+SUMIFS('Web Feed'!$O$2:$O$3015,'Web Feed'!$B$2:$B$3015,Points!$A$2,'Web Feed'!$I$2:$I$3015,$B64))</f>
        <v/>
      </c>
      <c r="E64">
        <f>IF($B64="","",SUMIFS('Web Feed'!$O$2:$O$3015,'Web Feed'!$B$2:$B$3015,Points!$A$3,'Web Feed'!$F$2:$F$3015,$B64)+SUMIFS('Web Feed'!$O$2:$O$3015,'Web Feed'!$B$2:$B$3015,Points!$A$3,'Web Feed'!$G$2:$G$3015,$B64)+SUMIFS('Web Feed'!$O$2:$O$3015,'Web Feed'!$B$2:$B$3015,Points!$A$3,'Web Feed'!$H$2:$H$3015,$B64)+SUMIFS('Web Feed'!$O$2:$O$3015,'Web Feed'!$B$2:$B$3015,Points!$A$3,'Web Feed'!$I$2:$I$3015,$B64))</f>
        <v/>
      </c>
      <c r="F64">
        <f>IF($B64="","",SUMIFS('Web Feed'!$O$2:$O$3015,'Web Feed'!$B$2:$B$3015,Points!$A$4,'Web Feed'!$F$2:$F$3015,$B64)+SUMIFS('Web Feed'!$O$2:$O$3015,'Web Feed'!$B$2:$B$3015,Points!$A$4,'Web Feed'!$G$2:$G$3015,$B64)+SUMIFS('Web Feed'!$O$2:$O$3015,'Web Feed'!$B$2:$B$3015,Points!$A$4,'Web Feed'!$H$2:$H$3015,$B64)+SUMIFS('Web Feed'!$O$2:$O$3015,'Web Feed'!$B$2:$B$3015,Points!$A$4,'Web Feed'!$I$2:$I$3015,$B64))</f>
        <v/>
      </c>
      <c r="G64">
        <f>IF($B64="","",SUMIFS('Web Feed'!$O$2:$O$3015,'Web Feed'!$B$2:$B$3015,Points!$A$5,'Web Feed'!$F$2:$F$3015,$B64)+SUMIFS('Web Feed'!$O$2:$O$3015,'Web Feed'!$B$2:$B$3015,Points!$A$5,'Web Feed'!$G$2:$G$3015,$B64)+SUMIFS('Web Feed'!$O$2:$O$3015,'Web Feed'!$B$2:$B$3015,Points!$A$5,'Web Feed'!$H$2:$H$3015,$B64)+SUMIFS('Web Feed'!$O$2:$O$3015,'Web Feed'!$B$2:$B$3015,Points!$A$5,'Web Feed'!$I$2:$I$3015,$B64))</f>
        <v/>
      </c>
      <c r="H64">
        <f>IF($B64="","",SUMIFS('Web Feed'!$O$2:$O$3015,'Web Feed'!$B$2:$B$3015,Points!$A$6,'Web Feed'!$F$2:$F$3015,$B64)+SUMIFS('Web Feed'!$O$2:$O$3015,'Web Feed'!$B$2:$B$3015,Points!$A$6,'Web Feed'!$G$2:$G$3015,$B64)+SUMIFS('Web Feed'!$O$2:$O$3015,'Web Feed'!$B$2:$B$3015,Points!$A$6,'Web Feed'!$H$2:$H$3015,$B64)+SUMIFS('Web Feed'!$O$2:$O$3015,'Web Feed'!$B$2:$B$3015,Points!$A$6,'Web Feed'!$I$2:$I$3015,$B64))</f>
        <v/>
      </c>
      <c r="I64">
        <f>IF($B64="","",COUNTIFS('Web Feed'!$B$2:$B$3015,"OHW",'Web Feed'!$F$2:$F$3015,$B64))</f>
        <v/>
      </c>
      <c r="J64">
        <f>IF($B64="","",IFERROR(INDEX('Last Week'!$A$2:$A$301,MATCH($B64,'Last Week'!$B$2:$B$301,0)),""))</f>
        <v/>
      </c>
      <c r="K64">
        <f>IF(OR($B64="",$J64=""),"",$J64-$A64)</f>
        <v/>
      </c>
    </row>
    <row r="65">
      <c r="A65">
        <f>IF($B65="","",RANK($C65,$C$2:$C$500))</f>
        <v/>
      </c>
      <c r="B65">
        <f>IF(Players!$A65="","",Players!$A65)</f>
        <v/>
      </c>
      <c r="C65" s="5">
        <f>IF($B65="","",SUM(D65:H65))</f>
        <v/>
      </c>
      <c r="D65">
        <f>IF($B65="","",SUMIFS('Web Feed'!$O$2:$O$3015,'Web Feed'!$B$2:$B$3015,Points!$A$2,'Web Feed'!$F$2:$F$3015,$B65)+SUMIFS('Web Feed'!$O$2:$O$3015,'Web Feed'!$B$2:$B$3015,Points!$A$2,'Web Feed'!$G$2:$G$3015,$B65)+SUMIFS('Web Feed'!$O$2:$O$3015,'Web Feed'!$B$2:$B$3015,Points!$A$2,'Web Feed'!$H$2:$H$3015,$B65)+SUMIFS('Web Feed'!$O$2:$O$3015,'Web Feed'!$B$2:$B$3015,Points!$A$2,'Web Feed'!$I$2:$I$3015,$B65))</f>
        <v/>
      </c>
      <c r="E65">
        <f>IF($B65="","",SUMIFS('Web Feed'!$O$2:$O$3015,'Web Feed'!$B$2:$B$3015,Points!$A$3,'Web Feed'!$F$2:$F$3015,$B65)+SUMIFS('Web Feed'!$O$2:$O$3015,'Web Feed'!$B$2:$B$3015,Points!$A$3,'Web Feed'!$G$2:$G$3015,$B65)+SUMIFS('Web Feed'!$O$2:$O$3015,'Web Feed'!$B$2:$B$3015,Points!$A$3,'Web Feed'!$H$2:$H$3015,$B65)+SUMIFS('Web Feed'!$O$2:$O$3015,'Web Feed'!$B$2:$B$3015,Points!$A$3,'Web Feed'!$I$2:$I$3015,$B65))</f>
        <v/>
      </c>
      <c r="F65">
        <f>IF($B65="","",SUMIFS('Web Feed'!$O$2:$O$3015,'Web Feed'!$B$2:$B$3015,Points!$A$4,'Web Feed'!$F$2:$F$3015,$B65)+SUMIFS('Web Feed'!$O$2:$O$3015,'Web Feed'!$B$2:$B$3015,Points!$A$4,'Web Feed'!$G$2:$G$3015,$B65)+SUMIFS('Web Feed'!$O$2:$O$3015,'Web Feed'!$B$2:$B$3015,Points!$A$4,'Web Feed'!$H$2:$H$3015,$B65)+SUMIFS('Web Feed'!$O$2:$O$3015,'Web Feed'!$B$2:$B$3015,Points!$A$4,'Web Feed'!$I$2:$I$3015,$B65))</f>
        <v/>
      </c>
      <c r="G65">
        <f>IF($B65="","",SUMIFS('Web Feed'!$O$2:$O$3015,'Web Feed'!$B$2:$B$3015,Points!$A$5,'Web Feed'!$F$2:$F$3015,$B65)+SUMIFS('Web Feed'!$O$2:$O$3015,'Web Feed'!$B$2:$B$3015,Points!$A$5,'Web Feed'!$G$2:$G$3015,$B65)+SUMIFS('Web Feed'!$O$2:$O$3015,'Web Feed'!$B$2:$B$3015,Points!$A$5,'Web Feed'!$H$2:$H$3015,$B65)+SUMIFS('Web Feed'!$O$2:$O$3015,'Web Feed'!$B$2:$B$3015,Points!$A$5,'Web Feed'!$I$2:$I$3015,$B65))</f>
        <v/>
      </c>
      <c r="H65">
        <f>IF($B65="","",SUMIFS('Web Feed'!$O$2:$O$3015,'Web Feed'!$B$2:$B$3015,Points!$A$6,'Web Feed'!$F$2:$F$3015,$B65)+SUMIFS('Web Feed'!$O$2:$O$3015,'Web Feed'!$B$2:$B$3015,Points!$A$6,'Web Feed'!$G$2:$G$3015,$B65)+SUMIFS('Web Feed'!$O$2:$O$3015,'Web Feed'!$B$2:$B$3015,Points!$A$6,'Web Feed'!$H$2:$H$3015,$B65)+SUMIFS('Web Feed'!$O$2:$O$3015,'Web Feed'!$B$2:$B$3015,Points!$A$6,'Web Feed'!$I$2:$I$3015,$B65))</f>
        <v/>
      </c>
      <c r="I65">
        <f>IF($B65="","",COUNTIFS('Web Feed'!$B$2:$B$3015,"OHW",'Web Feed'!$F$2:$F$3015,$B65))</f>
        <v/>
      </c>
      <c r="J65">
        <f>IF($B65="","",IFERROR(INDEX('Last Week'!$A$2:$A$301,MATCH($B65,'Last Week'!$B$2:$B$301,0)),""))</f>
        <v/>
      </c>
      <c r="K65">
        <f>IF(OR($B65="",$J65=""),"",$J65-$A65)</f>
        <v/>
      </c>
    </row>
    <row r="66">
      <c r="A66">
        <f>IF($B66="","",RANK($C66,$C$2:$C$500))</f>
        <v/>
      </c>
      <c r="B66">
        <f>IF(Players!$A66="","",Players!$A66)</f>
        <v/>
      </c>
      <c r="C66" s="5">
        <f>IF($B66="","",SUM(D66:H66))</f>
        <v/>
      </c>
      <c r="D66">
        <f>IF($B66="","",SUMIFS('Web Feed'!$O$2:$O$3015,'Web Feed'!$B$2:$B$3015,Points!$A$2,'Web Feed'!$F$2:$F$3015,$B66)+SUMIFS('Web Feed'!$O$2:$O$3015,'Web Feed'!$B$2:$B$3015,Points!$A$2,'Web Feed'!$G$2:$G$3015,$B66)+SUMIFS('Web Feed'!$O$2:$O$3015,'Web Feed'!$B$2:$B$3015,Points!$A$2,'Web Feed'!$H$2:$H$3015,$B66)+SUMIFS('Web Feed'!$O$2:$O$3015,'Web Feed'!$B$2:$B$3015,Points!$A$2,'Web Feed'!$I$2:$I$3015,$B66))</f>
        <v/>
      </c>
      <c r="E66">
        <f>IF($B66="","",SUMIFS('Web Feed'!$O$2:$O$3015,'Web Feed'!$B$2:$B$3015,Points!$A$3,'Web Feed'!$F$2:$F$3015,$B66)+SUMIFS('Web Feed'!$O$2:$O$3015,'Web Feed'!$B$2:$B$3015,Points!$A$3,'Web Feed'!$G$2:$G$3015,$B66)+SUMIFS('Web Feed'!$O$2:$O$3015,'Web Feed'!$B$2:$B$3015,Points!$A$3,'Web Feed'!$H$2:$H$3015,$B66)+SUMIFS('Web Feed'!$O$2:$O$3015,'Web Feed'!$B$2:$B$3015,Points!$A$3,'Web Feed'!$I$2:$I$3015,$B66))</f>
        <v/>
      </c>
      <c r="F66">
        <f>IF($B66="","",SUMIFS('Web Feed'!$O$2:$O$3015,'Web Feed'!$B$2:$B$3015,Points!$A$4,'Web Feed'!$F$2:$F$3015,$B66)+SUMIFS('Web Feed'!$O$2:$O$3015,'Web Feed'!$B$2:$B$3015,Points!$A$4,'Web Feed'!$G$2:$G$3015,$B66)+SUMIFS('Web Feed'!$O$2:$O$3015,'Web Feed'!$B$2:$B$3015,Points!$A$4,'Web Feed'!$H$2:$H$3015,$B66)+SUMIFS('Web Feed'!$O$2:$O$3015,'Web Feed'!$B$2:$B$3015,Points!$A$4,'Web Feed'!$I$2:$I$3015,$B66))</f>
        <v/>
      </c>
      <c r="G66">
        <f>IF($B66="","",SUMIFS('Web Feed'!$O$2:$O$3015,'Web Feed'!$B$2:$B$3015,Points!$A$5,'Web Feed'!$F$2:$F$3015,$B66)+SUMIFS('Web Feed'!$O$2:$O$3015,'Web Feed'!$B$2:$B$3015,Points!$A$5,'Web Feed'!$G$2:$G$3015,$B66)+SUMIFS('Web Feed'!$O$2:$O$3015,'Web Feed'!$B$2:$B$3015,Points!$A$5,'Web Feed'!$H$2:$H$3015,$B66)+SUMIFS('Web Feed'!$O$2:$O$3015,'Web Feed'!$B$2:$B$3015,Points!$A$5,'Web Feed'!$I$2:$I$3015,$B66))</f>
        <v/>
      </c>
      <c r="H66">
        <f>IF($B66="","",SUMIFS('Web Feed'!$O$2:$O$3015,'Web Feed'!$B$2:$B$3015,Points!$A$6,'Web Feed'!$F$2:$F$3015,$B66)+SUMIFS('Web Feed'!$O$2:$O$3015,'Web Feed'!$B$2:$B$3015,Points!$A$6,'Web Feed'!$G$2:$G$3015,$B66)+SUMIFS('Web Feed'!$O$2:$O$3015,'Web Feed'!$B$2:$B$3015,Points!$A$6,'Web Feed'!$H$2:$H$3015,$B66)+SUMIFS('Web Feed'!$O$2:$O$3015,'Web Feed'!$B$2:$B$3015,Points!$A$6,'Web Feed'!$I$2:$I$3015,$B66))</f>
        <v/>
      </c>
      <c r="I66">
        <f>IF($B66="","",COUNTIFS('Web Feed'!$B$2:$B$3015,"OHW",'Web Feed'!$F$2:$F$3015,$B66))</f>
        <v/>
      </c>
      <c r="J66">
        <f>IF($B66="","",IFERROR(INDEX('Last Week'!$A$2:$A$301,MATCH($B66,'Last Week'!$B$2:$B$301,0)),""))</f>
        <v/>
      </c>
      <c r="K66">
        <f>IF(OR($B66="",$J66=""),"",$J66-$A66)</f>
        <v/>
      </c>
    </row>
    <row r="67">
      <c r="A67">
        <f>IF($B67="","",RANK($C67,$C$2:$C$500))</f>
        <v/>
      </c>
      <c r="B67">
        <f>IF(Players!$A67="","",Players!$A67)</f>
        <v/>
      </c>
      <c r="C67" s="5">
        <f>IF($B67="","",SUM(D67:H67))</f>
        <v/>
      </c>
      <c r="D67">
        <f>IF($B67="","",SUMIFS('Web Feed'!$O$2:$O$3015,'Web Feed'!$B$2:$B$3015,Points!$A$2,'Web Feed'!$F$2:$F$3015,$B67)+SUMIFS('Web Feed'!$O$2:$O$3015,'Web Feed'!$B$2:$B$3015,Points!$A$2,'Web Feed'!$G$2:$G$3015,$B67)+SUMIFS('Web Feed'!$O$2:$O$3015,'Web Feed'!$B$2:$B$3015,Points!$A$2,'Web Feed'!$H$2:$H$3015,$B67)+SUMIFS('Web Feed'!$O$2:$O$3015,'Web Feed'!$B$2:$B$3015,Points!$A$2,'Web Feed'!$I$2:$I$3015,$B67))</f>
        <v/>
      </c>
      <c r="E67">
        <f>IF($B67="","",SUMIFS('Web Feed'!$O$2:$O$3015,'Web Feed'!$B$2:$B$3015,Points!$A$3,'Web Feed'!$F$2:$F$3015,$B67)+SUMIFS('Web Feed'!$O$2:$O$3015,'Web Feed'!$B$2:$B$3015,Points!$A$3,'Web Feed'!$G$2:$G$3015,$B67)+SUMIFS('Web Feed'!$O$2:$O$3015,'Web Feed'!$B$2:$B$3015,Points!$A$3,'Web Feed'!$H$2:$H$3015,$B67)+SUMIFS('Web Feed'!$O$2:$O$3015,'Web Feed'!$B$2:$B$3015,Points!$A$3,'Web Feed'!$I$2:$I$3015,$B67))</f>
        <v/>
      </c>
      <c r="F67">
        <f>IF($B67="","",SUMIFS('Web Feed'!$O$2:$O$3015,'Web Feed'!$B$2:$B$3015,Points!$A$4,'Web Feed'!$F$2:$F$3015,$B67)+SUMIFS('Web Feed'!$O$2:$O$3015,'Web Feed'!$B$2:$B$3015,Points!$A$4,'Web Feed'!$G$2:$G$3015,$B67)+SUMIFS('Web Feed'!$O$2:$O$3015,'Web Feed'!$B$2:$B$3015,Points!$A$4,'Web Feed'!$H$2:$H$3015,$B67)+SUMIFS('Web Feed'!$O$2:$O$3015,'Web Feed'!$B$2:$B$3015,Points!$A$4,'Web Feed'!$I$2:$I$3015,$B67))</f>
        <v/>
      </c>
      <c r="G67">
        <f>IF($B67="","",SUMIFS('Web Feed'!$O$2:$O$3015,'Web Feed'!$B$2:$B$3015,Points!$A$5,'Web Feed'!$F$2:$F$3015,$B67)+SUMIFS('Web Feed'!$O$2:$O$3015,'Web Feed'!$B$2:$B$3015,Points!$A$5,'Web Feed'!$G$2:$G$3015,$B67)+SUMIFS('Web Feed'!$O$2:$O$3015,'Web Feed'!$B$2:$B$3015,Points!$A$5,'Web Feed'!$H$2:$H$3015,$B67)+SUMIFS('Web Feed'!$O$2:$O$3015,'Web Feed'!$B$2:$B$3015,Points!$A$5,'Web Feed'!$I$2:$I$3015,$B67))</f>
        <v/>
      </c>
      <c r="H67">
        <f>IF($B67="","",SUMIFS('Web Feed'!$O$2:$O$3015,'Web Feed'!$B$2:$B$3015,Points!$A$6,'Web Feed'!$F$2:$F$3015,$B67)+SUMIFS('Web Feed'!$O$2:$O$3015,'Web Feed'!$B$2:$B$3015,Points!$A$6,'Web Feed'!$G$2:$G$3015,$B67)+SUMIFS('Web Feed'!$O$2:$O$3015,'Web Feed'!$B$2:$B$3015,Points!$A$6,'Web Feed'!$H$2:$H$3015,$B67)+SUMIFS('Web Feed'!$O$2:$O$3015,'Web Feed'!$B$2:$B$3015,Points!$A$6,'Web Feed'!$I$2:$I$3015,$B67))</f>
        <v/>
      </c>
      <c r="I67">
        <f>IF($B67="","",COUNTIFS('Web Feed'!$B$2:$B$3015,"OHW",'Web Feed'!$F$2:$F$3015,$B67))</f>
        <v/>
      </c>
      <c r="J67">
        <f>IF($B67="","",IFERROR(INDEX('Last Week'!$A$2:$A$301,MATCH($B67,'Last Week'!$B$2:$B$301,0)),""))</f>
        <v/>
      </c>
      <c r="K67">
        <f>IF(OR($B67="",$J67=""),"",$J67-$A67)</f>
        <v/>
      </c>
    </row>
    <row r="68">
      <c r="A68">
        <f>IF($B68="","",RANK($C68,$C$2:$C$500))</f>
        <v/>
      </c>
      <c r="B68">
        <f>IF(Players!$A68="","",Players!$A68)</f>
        <v/>
      </c>
      <c r="C68" s="5">
        <f>IF($B68="","",SUM(D68:H68))</f>
        <v/>
      </c>
      <c r="D68">
        <f>IF($B68="","",SUMIFS('Web Feed'!$O$2:$O$3015,'Web Feed'!$B$2:$B$3015,Points!$A$2,'Web Feed'!$F$2:$F$3015,$B68)+SUMIFS('Web Feed'!$O$2:$O$3015,'Web Feed'!$B$2:$B$3015,Points!$A$2,'Web Feed'!$G$2:$G$3015,$B68)+SUMIFS('Web Feed'!$O$2:$O$3015,'Web Feed'!$B$2:$B$3015,Points!$A$2,'Web Feed'!$H$2:$H$3015,$B68)+SUMIFS('Web Feed'!$O$2:$O$3015,'Web Feed'!$B$2:$B$3015,Points!$A$2,'Web Feed'!$I$2:$I$3015,$B68))</f>
        <v/>
      </c>
      <c r="E68">
        <f>IF($B68="","",SUMIFS('Web Feed'!$O$2:$O$3015,'Web Feed'!$B$2:$B$3015,Points!$A$3,'Web Feed'!$F$2:$F$3015,$B68)+SUMIFS('Web Feed'!$O$2:$O$3015,'Web Feed'!$B$2:$B$3015,Points!$A$3,'Web Feed'!$G$2:$G$3015,$B68)+SUMIFS('Web Feed'!$O$2:$O$3015,'Web Feed'!$B$2:$B$3015,Points!$A$3,'Web Feed'!$H$2:$H$3015,$B68)+SUMIFS('Web Feed'!$O$2:$O$3015,'Web Feed'!$B$2:$B$3015,Points!$A$3,'Web Feed'!$I$2:$I$3015,$B68))</f>
        <v/>
      </c>
      <c r="F68">
        <f>IF($B68="","",SUMIFS('Web Feed'!$O$2:$O$3015,'Web Feed'!$B$2:$B$3015,Points!$A$4,'Web Feed'!$F$2:$F$3015,$B68)+SUMIFS('Web Feed'!$O$2:$O$3015,'Web Feed'!$B$2:$B$3015,Points!$A$4,'Web Feed'!$G$2:$G$3015,$B68)+SUMIFS('Web Feed'!$O$2:$O$3015,'Web Feed'!$B$2:$B$3015,Points!$A$4,'Web Feed'!$H$2:$H$3015,$B68)+SUMIFS('Web Feed'!$O$2:$O$3015,'Web Feed'!$B$2:$B$3015,Points!$A$4,'Web Feed'!$I$2:$I$3015,$B68))</f>
        <v/>
      </c>
      <c r="G68">
        <f>IF($B68="","",SUMIFS('Web Feed'!$O$2:$O$3015,'Web Feed'!$B$2:$B$3015,Points!$A$5,'Web Feed'!$F$2:$F$3015,$B68)+SUMIFS('Web Feed'!$O$2:$O$3015,'Web Feed'!$B$2:$B$3015,Points!$A$5,'Web Feed'!$G$2:$G$3015,$B68)+SUMIFS('Web Feed'!$O$2:$O$3015,'Web Feed'!$B$2:$B$3015,Points!$A$5,'Web Feed'!$H$2:$H$3015,$B68)+SUMIFS('Web Feed'!$O$2:$O$3015,'Web Feed'!$B$2:$B$3015,Points!$A$5,'Web Feed'!$I$2:$I$3015,$B68))</f>
        <v/>
      </c>
      <c r="H68">
        <f>IF($B68="","",SUMIFS('Web Feed'!$O$2:$O$3015,'Web Feed'!$B$2:$B$3015,Points!$A$6,'Web Feed'!$F$2:$F$3015,$B68)+SUMIFS('Web Feed'!$O$2:$O$3015,'Web Feed'!$B$2:$B$3015,Points!$A$6,'Web Feed'!$G$2:$G$3015,$B68)+SUMIFS('Web Feed'!$O$2:$O$3015,'Web Feed'!$B$2:$B$3015,Points!$A$6,'Web Feed'!$H$2:$H$3015,$B68)+SUMIFS('Web Feed'!$O$2:$O$3015,'Web Feed'!$B$2:$B$3015,Points!$A$6,'Web Feed'!$I$2:$I$3015,$B68))</f>
        <v/>
      </c>
      <c r="I68">
        <f>IF($B68="","",COUNTIFS('Web Feed'!$B$2:$B$3015,"OHW",'Web Feed'!$F$2:$F$3015,$B68))</f>
        <v/>
      </c>
      <c r="J68">
        <f>IF($B68="","",IFERROR(INDEX('Last Week'!$A$2:$A$301,MATCH($B68,'Last Week'!$B$2:$B$301,0)),""))</f>
        <v/>
      </c>
      <c r="K68">
        <f>IF(OR($B68="",$J68=""),"",$J68-$A68)</f>
        <v/>
      </c>
    </row>
    <row r="69">
      <c r="A69">
        <f>IF($B69="","",RANK($C69,$C$2:$C$500))</f>
        <v/>
      </c>
      <c r="B69">
        <f>IF(Players!$A69="","",Players!$A69)</f>
        <v/>
      </c>
      <c r="C69" s="5">
        <f>IF($B69="","",SUM(D69:H69))</f>
        <v/>
      </c>
      <c r="D69">
        <f>IF($B69="","",SUMIFS('Web Feed'!$O$2:$O$3015,'Web Feed'!$B$2:$B$3015,Points!$A$2,'Web Feed'!$F$2:$F$3015,$B69)+SUMIFS('Web Feed'!$O$2:$O$3015,'Web Feed'!$B$2:$B$3015,Points!$A$2,'Web Feed'!$G$2:$G$3015,$B69)+SUMIFS('Web Feed'!$O$2:$O$3015,'Web Feed'!$B$2:$B$3015,Points!$A$2,'Web Feed'!$H$2:$H$3015,$B69)+SUMIFS('Web Feed'!$O$2:$O$3015,'Web Feed'!$B$2:$B$3015,Points!$A$2,'Web Feed'!$I$2:$I$3015,$B69))</f>
        <v/>
      </c>
      <c r="E69">
        <f>IF($B69="","",SUMIFS('Web Feed'!$O$2:$O$3015,'Web Feed'!$B$2:$B$3015,Points!$A$3,'Web Feed'!$F$2:$F$3015,$B69)+SUMIFS('Web Feed'!$O$2:$O$3015,'Web Feed'!$B$2:$B$3015,Points!$A$3,'Web Feed'!$G$2:$G$3015,$B69)+SUMIFS('Web Feed'!$O$2:$O$3015,'Web Feed'!$B$2:$B$3015,Points!$A$3,'Web Feed'!$H$2:$H$3015,$B69)+SUMIFS('Web Feed'!$O$2:$O$3015,'Web Feed'!$B$2:$B$3015,Points!$A$3,'Web Feed'!$I$2:$I$3015,$B69))</f>
        <v/>
      </c>
      <c r="F69">
        <f>IF($B69="","",SUMIFS('Web Feed'!$O$2:$O$3015,'Web Feed'!$B$2:$B$3015,Points!$A$4,'Web Feed'!$F$2:$F$3015,$B69)+SUMIFS('Web Feed'!$O$2:$O$3015,'Web Feed'!$B$2:$B$3015,Points!$A$4,'Web Feed'!$G$2:$G$3015,$B69)+SUMIFS('Web Feed'!$O$2:$O$3015,'Web Feed'!$B$2:$B$3015,Points!$A$4,'Web Feed'!$H$2:$H$3015,$B69)+SUMIFS('Web Feed'!$O$2:$O$3015,'Web Feed'!$B$2:$B$3015,Points!$A$4,'Web Feed'!$I$2:$I$3015,$B69))</f>
        <v/>
      </c>
      <c r="G69">
        <f>IF($B69="","",SUMIFS('Web Feed'!$O$2:$O$3015,'Web Feed'!$B$2:$B$3015,Points!$A$5,'Web Feed'!$F$2:$F$3015,$B69)+SUMIFS('Web Feed'!$O$2:$O$3015,'Web Feed'!$B$2:$B$3015,Points!$A$5,'Web Feed'!$G$2:$G$3015,$B69)+SUMIFS('Web Feed'!$O$2:$O$3015,'Web Feed'!$B$2:$B$3015,Points!$A$5,'Web Feed'!$H$2:$H$3015,$B69)+SUMIFS('Web Feed'!$O$2:$O$3015,'Web Feed'!$B$2:$B$3015,Points!$A$5,'Web Feed'!$I$2:$I$3015,$B69))</f>
        <v/>
      </c>
      <c r="H69">
        <f>IF($B69="","",SUMIFS('Web Feed'!$O$2:$O$3015,'Web Feed'!$B$2:$B$3015,Points!$A$6,'Web Feed'!$F$2:$F$3015,$B69)+SUMIFS('Web Feed'!$O$2:$O$3015,'Web Feed'!$B$2:$B$3015,Points!$A$6,'Web Feed'!$G$2:$G$3015,$B69)+SUMIFS('Web Feed'!$O$2:$O$3015,'Web Feed'!$B$2:$B$3015,Points!$A$6,'Web Feed'!$H$2:$H$3015,$B69)+SUMIFS('Web Feed'!$O$2:$O$3015,'Web Feed'!$B$2:$B$3015,Points!$A$6,'Web Feed'!$I$2:$I$3015,$B69))</f>
        <v/>
      </c>
      <c r="I69">
        <f>IF($B69="","",COUNTIFS('Web Feed'!$B$2:$B$3015,"OHW",'Web Feed'!$F$2:$F$3015,$B69))</f>
        <v/>
      </c>
      <c r="J69">
        <f>IF($B69="","",IFERROR(INDEX('Last Week'!$A$2:$A$301,MATCH($B69,'Last Week'!$B$2:$B$301,0)),""))</f>
        <v/>
      </c>
      <c r="K69">
        <f>IF(OR($B69="",$J69=""),"",$J69-$A69)</f>
        <v/>
      </c>
    </row>
    <row r="70">
      <c r="A70">
        <f>IF($B70="","",RANK($C70,$C$2:$C$500))</f>
        <v/>
      </c>
      <c r="B70">
        <f>IF(Players!$A70="","",Players!$A70)</f>
        <v/>
      </c>
      <c r="C70" s="5">
        <f>IF($B70="","",SUM(D70:H70))</f>
        <v/>
      </c>
      <c r="D70">
        <f>IF($B70="","",SUMIFS('Web Feed'!$O$2:$O$3015,'Web Feed'!$B$2:$B$3015,Points!$A$2,'Web Feed'!$F$2:$F$3015,$B70)+SUMIFS('Web Feed'!$O$2:$O$3015,'Web Feed'!$B$2:$B$3015,Points!$A$2,'Web Feed'!$G$2:$G$3015,$B70)+SUMIFS('Web Feed'!$O$2:$O$3015,'Web Feed'!$B$2:$B$3015,Points!$A$2,'Web Feed'!$H$2:$H$3015,$B70)+SUMIFS('Web Feed'!$O$2:$O$3015,'Web Feed'!$B$2:$B$3015,Points!$A$2,'Web Feed'!$I$2:$I$3015,$B70))</f>
        <v/>
      </c>
      <c r="E70">
        <f>IF($B70="","",SUMIFS('Web Feed'!$O$2:$O$3015,'Web Feed'!$B$2:$B$3015,Points!$A$3,'Web Feed'!$F$2:$F$3015,$B70)+SUMIFS('Web Feed'!$O$2:$O$3015,'Web Feed'!$B$2:$B$3015,Points!$A$3,'Web Feed'!$G$2:$G$3015,$B70)+SUMIFS('Web Feed'!$O$2:$O$3015,'Web Feed'!$B$2:$B$3015,Points!$A$3,'Web Feed'!$H$2:$H$3015,$B70)+SUMIFS('Web Feed'!$O$2:$O$3015,'Web Feed'!$B$2:$B$3015,Points!$A$3,'Web Feed'!$I$2:$I$3015,$B70))</f>
        <v/>
      </c>
      <c r="F70">
        <f>IF($B70="","",SUMIFS('Web Feed'!$O$2:$O$3015,'Web Feed'!$B$2:$B$3015,Points!$A$4,'Web Feed'!$F$2:$F$3015,$B70)+SUMIFS('Web Feed'!$O$2:$O$3015,'Web Feed'!$B$2:$B$3015,Points!$A$4,'Web Feed'!$G$2:$G$3015,$B70)+SUMIFS('Web Feed'!$O$2:$O$3015,'Web Feed'!$B$2:$B$3015,Points!$A$4,'Web Feed'!$H$2:$H$3015,$B70)+SUMIFS('Web Feed'!$O$2:$O$3015,'Web Feed'!$B$2:$B$3015,Points!$A$4,'Web Feed'!$I$2:$I$3015,$B70))</f>
        <v/>
      </c>
      <c r="G70">
        <f>IF($B70="","",SUMIFS('Web Feed'!$O$2:$O$3015,'Web Feed'!$B$2:$B$3015,Points!$A$5,'Web Feed'!$F$2:$F$3015,$B70)+SUMIFS('Web Feed'!$O$2:$O$3015,'Web Feed'!$B$2:$B$3015,Points!$A$5,'Web Feed'!$G$2:$G$3015,$B70)+SUMIFS('Web Feed'!$O$2:$O$3015,'Web Feed'!$B$2:$B$3015,Points!$A$5,'Web Feed'!$H$2:$H$3015,$B70)+SUMIFS('Web Feed'!$O$2:$O$3015,'Web Feed'!$B$2:$B$3015,Points!$A$5,'Web Feed'!$I$2:$I$3015,$B70))</f>
        <v/>
      </c>
      <c r="H70">
        <f>IF($B70="","",SUMIFS('Web Feed'!$O$2:$O$3015,'Web Feed'!$B$2:$B$3015,Points!$A$6,'Web Feed'!$F$2:$F$3015,$B70)+SUMIFS('Web Feed'!$O$2:$O$3015,'Web Feed'!$B$2:$B$3015,Points!$A$6,'Web Feed'!$G$2:$G$3015,$B70)+SUMIFS('Web Feed'!$O$2:$O$3015,'Web Feed'!$B$2:$B$3015,Points!$A$6,'Web Feed'!$H$2:$H$3015,$B70)+SUMIFS('Web Feed'!$O$2:$O$3015,'Web Feed'!$B$2:$B$3015,Points!$A$6,'Web Feed'!$I$2:$I$3015,$B70))</f>
        <v/>
      </c>
      <c r="I70">
        <f>IF($B70="","",COUNTIFS('Web Feed'!$B$2:$B$3015,"OHW",'Web Feed'!$F$2:$F$3015,$B70))</f>
        <v/>
      </c>
      <c r="J70">
        <f>IF($B70="","",IFERROR(INDEX('Last Week'!$A$2:$A$301,MATCH($B70,'Last Week'!$B$2:$B$301,0)),""))</f>
        <v/>
      </c>
      <c r="K70">
        <f>IF(OR($B70="",$J70=""),"",$J70-$A70)</f>
        <v/>
      </c>
    </row>
    <row r="71">
      <c r="A71">
        <f>IF($B71="","",RANK($C71,$C$2:$C$500))</f>
        <v/>
      </c>
      <c r="B71">
        <f>IF(Players!$A71="","",Players!$A71)</f>
        <v/>
      </c>
      <c r="C71" s="5">
        <f>IF($B71="","",SUM(D71:H71))</f>
        <v/>
      </c>
      <c r="D71">
        <f>IF($B71="","",SUMIFS('Web Feed'!$O$2:$O$3015,'Web Feed'!$B$2:$B$3015,Points!$A$2,'Web Feed'!$F$2:$F$3015,$B71)+SUMIFS('Web Feed'!$O$2:$O$3015,'Web Feed'!$B$2:$B$3015,Points!$A$2,'Web Feed'!$G$2:$G$3015,$B71)+SUMIFS('Web Feed'!$O$2:$O$3015,'Web Feed'!$B$2:$B$3015,Points!$A$2,'Web Feed'!$H$2:$H$3015,$B71)+SUMIFS('Web Feed'!$O$2:$O$3015,'Web Feed'!$B$2:$B$3015,Points!$A$2,'Web Feed'!$I$2:$I$3015,$B71))</f>
        <v/>
      </c>
      <c r="E71">
        <f>IF($B71="","",SUMIFS('Web Feed'!$O$2:$O$3015,'Web Feed'!$B$2:$B$3015,Points!$A$3,'Web Feed'!$F$2:$F$3015,$B71)+SUMIFS('Web Feed'!$O$2:$O$3015,'Web Feed'!$B$2:$B$3015,Points!$A$3,'Web Feed'!$G$2:$G$3015,$B71)+SUMIFS('Web Feed'!$O$2:$O$3015,'Web Feed'!$B$2:$B$3015,Points!$A$3,'Web Feed'!$H$2:$H$3015,$B71)+SUMIFS('Web Feed'!$O$2:$O$3015,'Web Feed'!$B$2:$B$3015,Points!$A$3,'Web Feed'!$I$2:$I$3015,$B71))</f>
        <v/>
      </c>
      <c r="F71">
        <f>IF($B71="","",SUMIFS('Web Feed'!$O$2:$O$3015,'Web Feed'!$B$2:$B$3015,Points!$A$4,'Web Feed'!$F$2:$F$3015,$B71)+SUMIFS('Web Feed'!$O$2:$O$3015,'Web Feed'!$B$2:$B$3015,Points!$A$4,'Web Feed'!$G$2:$G$3015,$B71)+SUMIFS('Web Feed'!$O$2:$O$3015,'Web Feed'!$B$2:$B$3015,Points!$A$4,'Web Feed'!$H$2:$H$3015,$B71)+SUMIFS('Web Feed'!$O$2:$O$3015,'Web Feed'!$B$2:$B$3015,Points!$A$4,'Web Feed'!$I$2:$I$3015,$B71))</f>
        <v/>
      </c>
      <c r="G71">
        <f>IF($B71="","",SUMIFS('Web Feed'!$O$2:$O$3015,'Web Feed'!$B$2:$B$3015,Points!$A$5,'Web Feed'!$F$2:$F$3015,$B71)+SUMIFS('Web Feed'!$O$2:$O$3015,'Web Feed'!$B$2:$B$3015,Points!$A$5,'Web Feed'!$G$2:$G$3015,$B71)+SUMIFS('Web Feed'!$O$2:$O$3015,'Web Feed'!$B$2:$B$3015,Points!$A$5,'Web Feed'!$H$2:$H$3015,$B71)+SUMIFS('Web Feed'!$O$2:$O$3015,'Web Feed'!$B$2:$B$3015,Points!$A$5,'Web Feed'!$I$2:$I$3015,$B71))</f>
        <v/>
      </c>
      <c r="H71">
        <f>IF($B71="","",SUMIFS('Web Feed'!$O$2:$O$3015,'Web Feed'!$B$2:$B$3015,Points!$A$6,'Web Feed'!$F$2:$F$3015,$B71)+SUMIFS('Web Feed'!$O$2:$O$3015,'Web Feed'!$B$2:$B$3015,Points!$A$6,'Web Feed'!$G$2:$G$3015,$B71)+SUMIFS('Web Feed'!$O$2:$O$3015,'Web Feed'!$B$2:$B$3015,Points!$A$6,'Web Feed'!$H$2:$H$3015,$B71)+SUMIFS('Web Feed'!$O$2:$O$3015,'Web Feed'!$B$2:$B$3015,Points!$A$6,'Web Feed'!$I$2:$I$3015,$B71))</f>
        <v/>
      </c>
      <c r="I71">
        <f>IF($B71="","",COUNTIFS('Web Feed'!$B$2:$B$3015,"OHW",'Web Feed'!$F$2:$F$3015,$B71))</f>
        <v/>
      </c>
      <c r="J71">
        <f>IF($B71="","",IFERROR(INDEX('Last Week'!$A$2:$A$301,MATCH($B71,'Last Week'!$B$2:$B$301,0)),""))</f>
        <v/>
      </c>
      <c r="K71">
        <f>IF(OR($B71="",$J71=""),"",$J71-$A71)</f>
        <v/>
      </c>
    </row>
    <row r="72">
      <c r="A72">
        <f>IF($B72="","",RANK($C72,$C$2:$C$500))</f>
        <v/>
      </c>
      <c r="B72">
        <f>IF(Players!$A72="","",Players!$A72)</f>
        <v/>
      </c>
      <c r="C72" s="5">
        <f>IF($B72="","",SUM(D72:H72))</f>
        <v/>
      </c>
      <c r="D72">
        <f>IF($B72="","",SUMIFS('Web Feed'!$O$2:$O$3015,'Web Feed'!$B$2:$B$3015,Points!$A$2,'Web Feed'!$F$2:$F$3015,$B72)+SUMIFS('Web Feed'!$O$2:$O$3015,'Web Feed'!$B$2:$B$3015,Points!$A$2,'Web Feed'!$G$2:$G$3015,$B72)+SUMIFS('Web Feed'!$O$2:$O$3015,'Web Feed'!$B$2:$B$3015,Points!$A$2,'Web Feed'!$H$2:$H$3015,$B72)+SUMIFS('Web Feed'!$O$2:$O$3015,'Web Feed'!$B$2:$B$3015,Points!$A$2,'Web Feed'!$I$2:$I$3015,$B72))</f>
        <v/>
      </c>
      <c r="E72">
        <f>IF($B72="","",SUMIFS('Web Feed'!$O$2:$O$3015,'Web Feed'!$B$2:$B$3015,Points!$A$3,'Web Feed'!$F$2:$F$3015,$B72)+SUMIFS('Web Feed'!$O$2:$O$3015,'Web Feed'!$B$2:$B$3015,Points!$A$3,'Web Feed'!$G$2:$G$3015,$B72)+SUMIFS('Web Feed'!$O$2:$O$3015,'Web Feed'!$B$2:$B$3015,Points!$A$3,'Web Feed'!$H$2:$H$3015,$B72)+SUMIFS('Web Feed'!$O$2:$O$3015,'Web Feed'!$B$2:$B$3015,Points!$A$3,'Web Feed'!$I$2:$I$3015,$B72))</f>
        <v/>
      </c>
      <c r="F72">
        <f>IF($B72="","",SUMIFS('Web Feed'!$O$2:$O$3015,'Web Feed'!$B$2:$B$3015,Points!$A$4,'Web Feed'!$F$2:$F$3015,$B72)+SUMIFS('Web Feed'!$O$2:$O$3015,'Web Feed'!$B$2:$B$3015,Points!$A$4,'Web Feed'!$G$2:$G$3015,$B72)+SUMIFS('Web Feed'!$O$2:$O$3015,'Web Feed'!$B$2:$B$3015,Points!$A$4,'Web Feed'!$H$2:$H$3015,$B72)+SUMIFS('Web Feed'!$O$2:$O$3015,'Web Feed'!$B$2:$B$3015,Points!$A$4,'Web Feed'!$I$2:$I$3015,$B72))</f>
        <v/>
      </c>
      <c r="G72">
        <f>IF($B72="","",SUMIFS('Web Feed'!$O$2:$O$3015,'Web Feed'!$B$2:$B$3015,Points!$A$5,'Web Feed'!$F$2:$F$3015,$B72)+SUMIFS('Web Feed'!$O$2:$O$3015,'Web Feed'!$B$2:$B$3015,Points!$A$5,'Web Feed'!$G$2:$G$3015,$B72)+SUMIFS('Web Feed'!$O$2:$O$3015,'Web Feed'!$B$2:$B$3015,Points!$A$5,'Web Feed'!$H$2:$H$3015,$B72)+SUMIFS('Web Feed'!$O$2:$O$3015,'Web Feed'!$B$2:$B$3015,Points!$A$5,'Web Feed'!$I$2:$I$3015,$B72))</f>
        <v/>
      </c>
      <c r="H72">
        <f>IF($B72="","",SUMIFS('Web Feed'!$O$2:$O$3015,'Web Feed'!$B$2:$B$3015,Points!$A$6,'Web Feed'!$F$2:$F$3015,$B72)+SUMIFS('Web Feed'!$O$2:$O$3015,'Web Feed'!$B$2:$B$3015,Points!$A$6,'Web Feed'!$G$2:$G$3015,$B72)+SUMIFS('Web Feed'!$O$2:$O$3015,'Web Feed'!$B$2:$B$3015,Points!$A$6,'Web Feed'!$H$2:$H$3015,$B72)+SUMIFS('Web Feed'!$O$2:$O$3015,'Web Feed'!$B$2:$B$3015,Points!$A$6,'Web Feed'!$I$2:$I$3015,$B72))</f>
        <v/>
      </c>
      <c r="I72">
        <f>IF($B72="","",COUNTIFS('Web Feed'!$B$2:$B$3015,"OHW",'Web Feed'!$F$2:$F$3015,$B72))</f>
        <v/>
      </c>
      <c r="J72">
        <f>IF($B72="","",IFERROR(INDEX('Last Week'!$A$2:$A$301,MATCH($B72,'Last Week'!$B$2:$B$301,0)),""))</f>
        <v/>
      </c>
      <c r="K72">
        <f>IF(OR($B72="",$J72=""),"",$J72-$A72)</f>
        <v/>
      </c>
    </row>
    <row r="73">
      <c r="A73">
        <f>IF($B73="","",RANK($C73,$C$2:$C$500))</f>
        <v/>
      </c>
      <c r="B73">
        <f>IF(Players!$A73="","",Players!$A73)</f>
        <v/>
      </c>
      <c r="C73" s="5">
        <f>IF($B73="","",SUM(D73:H73))</f>
        <v/>
      </c>
      <c r="D73">
        <f>IF($B73="","",SUMIFS('Web Feed'!$O$2:$O$3015,'Web Feed'!$B$2:$B$3015,Points!$A$2,'Web Feed'!$F$2:$F$3015,$B73)+SUMIFS('Web Feed'!$O$2:$O$3015,'Web Feed'!$B$2:$B$3015,Points!$A$2,'Web Feed'!$G$2:$G$3015,$B73)+SUMIFS('Web Feed'!$O$2:$O$3015,'Web Feed'!$B$2:$B$3015,Points!$A$2,'Web Feed'!$H$2:$H$3015,$B73)+SUMIFS('Web Feed'!$O$2:$O$3015,'Web Feed'!$B$2:$B$3015,Points!$A$2,'Web Feed'!$I$2:$I$3015,$B73))</f>
        <v/>
      </c>
      <c r="E73">
        <f>IF($B73="","",SUMIFS('Web Feed'!$O$2:$O$3015,'Web Feed'!$B$2:$B$3015,Points!$A$3,'Web Feed'!$F$2:$F$3015,$B73)+SUMIFS('Web Feed'!$O$2:$O$3015,'Web Feed'!$B$2:$B$3015,Points!$A$3,'Web Feed'!$G$2:$G$3015,$B73)+SUMIFS('Web Feed'!$O$2:$O$3015,'Web Feed'!$B$2:$B$3015,Points!$A$3,'Web Feed'!$H$2:$H$3015,$B73)+SUMIFS('Web Feed'!$O$2:$O$3015,'Web Feed'!$B$2:$B$3015,Points!$A$3,'Web Feed'!$I$2:$I$3015,$B73))</f>
        <v/>
      </c>
      <c r="F73">
        <f>IF($B73="","",SUMIFS('Web Feed'!$O$2:$O$3015,'Web Feed'!$B$2:$B$3015,Points!$A$4,'Web Feed'!$F$2:$F$3015,$B73)+SUMIFS('Web Feed'!$O$2:$O$3015,'Web Feed'!$B$2:$B$3015,Points!$A$4,'Web Feed'!$G$2:$G$3015,$B73)+SUMIFS('Web Feed'!$O$2:$O$3015,'Web Feed'!$B$2:$B$3015,Points!$A$4,'Web Feed'!$H$2:$H$3015,$B73)+SUMIFS('Web Feed'!$O$2:$O$3015,'Web Feed'!$B$2:$B$3015,Points!$A$4,'Web Feed'!$I$2:$I$3015,$B73))</f>
        <v/>
      </c>
      <c r="G73">
        <f>IF($B73="","",SUMIFS('Web Feed'!$O$2:$O$3015,'Web Feed'!$B$2:$B$3015,Points!$A$5,'Web Feed'!$F$2:$F$3015,$B73)+SUMIFS('Web Feed'!$O$2:$O$3015,'Web Feed'!$B$2:$B$3015,Points!$A$5,'Web Feed'!$G$2:$G$3015,$B73)+SUMIFS('Web Feed'!$O$2:$O$3015,'Web Feed'!$B$2:$B$3015,Points!$A$5,'Web Feed'!$H$2:$H$3015,$B73)+SUMIFS('Web Feed'!$O$2:$O$3015,'Web Feed'!$B$2:$B$3015,Points!$A$5,'Web Feed'!$I$2:$I$3015,$B73))</f>
        <v/>
      </c>
      <c r="H73">
        <f>IF($B73="","",SUMIFS('Web Feed'!$O$2:$O$3015,'Web Feed'!$B$2:$B$3015,Points!$A$6,'Web Feed'!$F$2:$F$3015,$B73)+SUMIFS('Web Feed'!$O$2:$O$3015,'Web Feed'!$B$2:$B$3015,Points!$A$6,'Web Feed'!$G$2:$G$3015,$B73)+SUMIFS('Web Feed'!$O$2:$O$3015,'Web Feed'!$B$2:$B$3015,Points!$A$6,'Web Feed'!$H$2:$H$3015,$B73)+SUMIFS('Web Feed'!$O$2:$O$3015,'Web Feed'!$B$2:$B$3015,Points!$A$6,'Web Feed'!$I$2:$I$3015,$B73))</f>
        <v/>
      </c>
      <c r="I73">
        <f>IF($B73="","",COUNTIFS('Web Feed'!$B$2:$B$3015,"OHW",'Web Feed'!$F$2:$F$3015,$B73))</f>
        <v/>
      </c>
      <c r="J73">
        <f>IF($B73="","",IFERROR(INDEX('Last Week'!$A$2:$A$301,MATCH($B73,'Last Week'!$B$2:$B$301,0)),""))</f>
        <v/>
      </c>
      <c r="K73">
        <f>IF(OR($B73="",$J73=""),"",$J73-$A73)</f>
        <v/>
      </c>
    </row>
    <row r="74">
      <c r="A74">
        <f>IF($B74="","",RANK($C74,$C$2:$C$500))</f>
        <v/>
      </c>
      <c r="B74">
        <f>IF(Players!$A74="","",Players!$A74)</f>
        <v/>
      </c>
      <c r="C74" s="5">
        <f>IF($B74="","",SUM(D74:H74))</f>
        <v/>
      </c>
      <c r="D74">
        <f>IF($B74="","",SUMIFS('Web Feed'!$O$2:$O$3015,'Web Feed'!$B$2:$B$3015,Points!$A$2,'Web Feed'!$F$2:$F$3015,$B74)+SUMIFS('Web Feed'!$O$2:$O$3015,'Web Feed'!$B$2:$B$3015,Points!$A$2,'Web Feed'!$G$2:$G$3015,$B74)+SUMIFS('Web Feed'!$O$2:$O$3015,'Web Feed'!$B$2:$B$3015,Points!$A$2,'Web Feed'!$H$2:$H$3015,$B74)+SUMIFS('Web Feed'!$O$2:$O$3015,'Web Feed'!$B$2:$B$3015,Points!$A$2,'Web Feed'!$I$2:$I$3015,$B74))</f>
        <v/>
      </c>
      <c r="E74">
        <f>IF($B74="","",SUMIFS('Web Feed'!$O$2:$O$3015,'Web Feed'!$B$2:$B$3015,Points!$A$3,'Web Feed'!$F$2:$F$3015,$B74)+SUMIFS('Web Feed'!$O$2:$O$3015,'Web Feed'!$B$2:$B$3015,Points!$A$3,'Web Feed'!$G$2:$G$3015,$B74)+SUMIFS('Web Feed'!$O$2:$O$3015,'Web Feed'!$B$2:$B$3015,Points!$A$3,'Web Feed'!$H$2:$H$3015,$B74)+SUMIFS('Web Feed'!$O$2:$O$3015,'Web Feed'!$B$2:$B$3015,Points!$A$3,'Web Feed'!$I$2:$I$3015,$B74))</f>
        <v/>
      </c>
      <c r="F74">
        <f>IF($B74="","",SUMIFS('Web Feed'!$O$2:$O$3015,'Web Feed'!$B$2:$B$3015,Points!$A$4,'Web Feed'!$F$2:$F$3015,$B74)+SUMIFS('Web Feed'!$O$2:$O$3015,'Web Feed'!$B$2:$B$3015,Points!$A$4,'Web Feed'!$G$2:$G$3015,$B74)+SUMIFS('Web Feed'!$O$2:$O$3015,'Web Feed'!$B$2:$B$3015,Points!$A$4,'Web Feed'!$H$2:$H$3015,$B74)+SUMIFS('Web Feed'!$O$2:$O$3015,'Web Feed'!$B$2:$B$3015,Points!$A$4,'Web Feed'!$I$2:$I$3015,$B74))</f>
        <v/>
      </c>
      <c r="G74">
        <f>IF($B74="","",SUMIFS('Web Feed'!$O$2:$O$3015,'Web Feed'!$B$2:$B$3015,Points!$A$5,'Web Feed'!$F$2:$F$3015,$B74)+SUMIFS('Web Feed'!$O$2:$O$3015,'Web Feed'!$B$2:$B$3015,Points!$A$5,'Web Feed'!$G$2:$G$3015,$B74)+SUMIFS('Web Feed'!$O$2:$O$3015,'Web Feed'!$B$2:$B$3015,Points!$A$5,'Web Feed'!$H$2:$H$3015,$B74)+SUMIFS('Web Feed'!$O$2:$O$3015,'Web Feed'!$B$2:$B$3015,Points!$A$5,'Web Feed'!$I$2:$I$3015,$B74))</f>
        <v/>
      </c>
      <c r="H74">
        <f>IF($B74="","",SUMIFS('Web Feed'!$O$2:$O$3015,'Web Feed'!$B$2:$B$3015,Points!$A$6,'Web Feed'!$F$2:$F$3015,$B74)+SUMIFS('Web Feed'!$O$2:$O$3015,'Web Feed'!$B$2:$B$3015,Points!$A$6,'Web Feed'!$G$2:$G$3015,$B74)+SUMIFS('Web Feed'!$O$2:$O$3015,'Web Feed'!$B$2:$B$3015,Points!$A$6,'Web Feed'!$H$2:$H$3015,$B74)+SUMIFS('Web Feed'!$O$2:$O$3015,'Web Feed'!$B$2:$B$3015,Points!$A$6,'Web Feed'!$I$2:$I$3015,$B74))</f>
        <v/>
      </c>
      <c r="I74">
        <f>IF($B74="","",COUNTIFS('Web Feed'!$B$2:$B$3015,"OHW",'Web Feed'!$F$2:$F$3015,$B74))</f>
        <v/>
      </c>
      <c r="J74">
        <f>IF($B74="","",IFERROR(INDEX('Last Week'!$A$2:$A$301,MATCH($B74,'Last Week'!$B$2:$B$301,0)),""))</f>
        <v/>
      </c>
      <c r="K74">
        <f>IF(OR($B74="",$J74=""),"",$J74-$A74)</f>
        <v/>
      </c>
    </row>
    <row r="75">
      <c r="A75">
        <f>IF($B75="","",RANK($C75,$C$2:$C$500))</f>
        <v/>
      </c>
      <c r="B75">
        <f>IF(Players!$A75="","",Players!$A75)</f>
        <v/>
      </c>
      <c r="C75" s="5">
        <f>IF($B75="","",SUM(D75:H75))</f>
        <v/>
      </c>
      <c r="D75">
        <f>IF($B75="","",SUMIFS('Web Feed'!$O$2:$O$3015,'Web Feed'!$B$2:$B$3015,Points!$A$2,'Web Feed'!$F$2:$F$3015,$B75)+SUMIFS('Web Feed'!$O$2:$O$3015,'Web Feed'!$B$2:$B$3015,Points!$A$2,'Web Feed'!$G$2:$G$3015,$B75)+SUMIFS('Web Feed'!$O$2:$O$3015,'Web Feed'!$B$2:$B$3015,Points!$A$2,'Web Feed'!$H$2:$H$3015,$B75)+SUMIFS('Web Feed'!$O$2:$O$3015,'Web Feed'!$B$2:$B$3015,Points!$A$2,'Web Feed'!$I$2:$I$3015,$B75))</f>
        <v/>
      </c>
      <c r="E75">
        <f>IF($B75="","",SUMIFS('Web Feed'!$O$2:$O$3015,'Web Feed'!$B$2:$B$3015,Points!$A$3,'Web Feed'!$F$2:$F$3015,$B75)+SUMIFS('Web Feed'!$O$2:$O$3015,'Web Feed'!$B$2:$B$3015,Points!$A$3,'Web Feed'!$G$2:$G$3015,$B75)+SUMIFS('Web Feed'!$O$2:$O$3015,'Web Feed'!$B$2:$B$3015,Points!$A$3,'Web Feed'!$H$2:$H$3015,$B75)+SUMIFS('Web Feed'!$O$2:$O$3015,'Web Feed'!$B$2:$B$3015,Points!$A$3,'Web Feed'!$I$2:$I$3015,$B75))</f>
        <v/>
      </c>
      <c r="F75">
        <f>IF($B75="","",SUMIFS('Web Feed'!$O$2:$O$3015,'Web Feed'!$B$2:$B$3015,Points!$A$4,'Web Feed'!$F$2:$F$3015,$B75)+SUMIFS('Web Feed'!$O$2:$O$3015,'Web Feed'!$B$2:$B$3015,Points!$A$4,'Web Feed'!$G$2:$G$3015,$B75)+SUMIFS('Web Feed'!$O$2:$O$3015,'Web Feed'!$B$2:$B$3015,Points!$A$4,'Web Feed'!$H$2:$H$3015,$B75)+SUMIFS('Web Feed'!$O$2:$O$3015,'Web Feed'!$B$2:$B$3015,Points!$A$4,'Web Feed'!$I$2:$I$3015,$B75))</f>
        <v/>
      </c>
      <c r="G75">
        <f>IF($B75="","",SUMIFS('Web Feed'!$O$2:$O$3015,'Web Feed'!$B$2:$B$3015,Points!$A$5,'Web Feed'!$F$2:$F$3015,$B75)+SUMIFS('Web Feed'!$O$2:$O$3015,'Web Feed'!$B$2:$B$3015,Points!$A$5,'Web Feed'!$G$2:$G$3015,$B75)+SUMIFS('Web Feed'!$O$2:$O$3015,'Web Feed'!$B$2:$B$3015,Points!$A$5,'Web Feed'!$H$2:$H$3015,$B75)+SUMIFS('Web Feed'!$O$2:$O$3015,'Web Feed'!$B$2:$B$3015,Points!$A$5,'Web Feed'!$I$2:$I$3015,$B75))</f>
        <v/>
      </c>
      <c r="H75">
        <f>IF($B75="","",SUMIFS('Web Feed'!$O$2:$O$3015,'Web Feed'!$B$2:$B$3015,Points!$A$6,'Web Feed'!$F$2:$F$3015,$B75)+SUMIFS('Web Feed'!$O$2:$O$3015,'Web Feed'!$B$2:$B$3015,Points!$A$6,'Web Feed'!$G$2:$G$3015,$B75)+SUMIFS('Web Feed'!$O$2:$O$3015,'Web Feed'!$B$2:$B$3015,Points!$A$6,'Web Feed'!$H$2:$H$3015,$B75)+SUMIFS('Web Feed'!$O$2:$O$3015,'Web Feed'!$B$2:$B$3015,Points!$A$6,'Web Feed'!$I$2:$I$3015,$B75))</f>
        <v/>
      </c>
      <c r="I75">
        <f>IF($B75="","",COUNTIFS('Web Feed'!$B$2:$B$3015,"OHW",'Web Feed'!$F$2:$F$3015,$B75))</f>
        <v/>
      </c>
      <c r="J75">
        <f>IF($B75="","",IFERROR(INDEX('Last Week'!$A$2:$A$301,MATCH($B75,'Last Week'!$B$2:$B$301,0)),""))</f>
        <v/>
      </c>
      <c r="K75">
        <f>IF(OR($B75="",$J75=""),"",$J75-$A75)</f>
        <v/>
      </c>
    </row>
    <row r="76">
      <c r="A76">
        <f>IF($B76="","",RANK($C76,$C$2:$C$500))</f>
        <v/>
      </c>
      <c r="B76">
        <f>IF(Players!$A76="","",Players!$A76)</f>
        <v/>
      </c>
      <c r="C76" s="5">
        <f>IF($B76="","",SUM(D76:H76))</f>
        <v/>
      </c>
      <c r="D76">
        <f>IF($B76="","",SUMIFS('Web Feed'!$O$2:$O$3015,'Web Feed'!$B$2:$B$3015,Points!$A$2,'Web Feed'!$F$2:$F$3015,$B76)+SUMIFS('Web Feed'!$O$2:$O$3015,'Web Feed'!$B$2:$B$3015,Points!$A$2,'Web Feed'!$G$2:$G$3015,$B76)+SUMIFS('Web Feed'!$O$2:$O$3015,'Web Feed'!$B$2:$B$3015,Points!$A$2,'Web Feed'!$H$2:$H$3015,$B76)+SUMIFS('Web Feed'!$O$2:$O$3015,'Web Feed'!$B$2:$B$3015,Points!$A$2,'Web Feed'!$I$2:$I$3015,$B76))</f>
        <v/>
      </c>
      <c r="E76">
        <f>IF($B76="","",SUMIFS('Web Feed'!$O$2:$O$3015,'Web Feed'!$B$2:$B$3015,Points!$A$3,'Web Feed'!$F$2:$F$3015,$B76)+SUMIFS('Web Feed'!$O$2:$O$3015,'Web Feed'!$B$2:$B$3015,Points!$A$3,'Web Feed'!$G$2:$G$3015,$B76)+SUMIFS('Web Feed'!$O$2:$O$3015,'Web Feed'!$B$2:$B$3015,Points!$A$3,'Web Feed'!$H$2:$H$3015,$B76)+SUMIFS('Web Feed'!$O$2:$O$3015,'Web Feed'!$B$2:$B$3015,Points!$A$3,'Web Feed'!$I$2:$I$3015,$B76))</f>
        <v/>
      </c>
      <c r="F76">
        <f>IF($B76="","",SUMIFS('Web Feed'!$O$2:$O$3015,'Web Feed'!$B$2:$B$3015,Points!$A$4,'Web Feed'!$F$2:$F$3015,$B76)+SUMIFS('Web Feed'!$O$2:$O$3015,'Web Feed'!$B$2:$B$3015,Points!$A$4,'Web Feed'!$G$2:$G$3015,$B76)+SUMIFS('Web Feed'!$O$2:$O$3015,'Web Feed'!$B$2:$B$3015,Points!$A$4,'Web Feed'!$H$2:$H$3015,$B76)+SUMIFS('Web Feed'!$O$2:$O$3015,'Web Feed'!$B$2:$B$3015,Points!$A$4,'Web Feed'!$I$2:$I$3015,$B76))</f>
        <v/>
      </c>
      <c r="G76">
        <f>IF($B76="","",SUMIFS('Web Feed'!$O$2:$O$3015,'Web Feed'!$B$2:$B$3015,Points!$A$5,'Web Feed'!$F$2:$F$3015,$B76)+SUMIFS('Web Feed'!$O$2:$O$3015,'Web Feed'!$B$2:$B$3015,Points!$A$5,'Web Feed'!$G$2:$G$3015,$B76)+SUMIFS('Web Feed'!$O$2:$O$3015,'Web Feed'!$B$2:$B$3015,Points!$A$5,'Web Feed'!$H$2:$H$3015,$B76)+SUMIFS('Web Feed'!$O$2:$O$3015,'Web Feed'!$B$2:$B$3015,Points!$A$5,'Web Feed'!$I$2:$I$3015,$B76))</f>
        <v/>
      </c>
      <c r="H76">
        <f>IF($B76="","",SUMIFS('Web Feed'!$O$2:$O$3015,'Web Feed'!$B$2:$B$3015,Points!$A$6,'Web Feed'!$F$2:$F$3015,$B76)+SUMIFS('Web Feed'!$O$2:$O$3015,'Web Feed'!$B$2:$B$3015,Points!$A$6,'Web Feed'!$G$2:$G$3015,$B76)+SUMIFS('Web Feed'!$O$2:$O$3015,'Web Feed'!$B$2:$B$3015,Points!$A$6,'Web Feed'!$H$2:$H$3015,$B76)+SUMIFS('Web Feed'!$O$2:$O$3015,'Web Feed'!$B$2:$B$3015,Points!$A$6,'Web Feed'!$I$2:$I$3015,$B76))</f>
        <v/>
      </c>
      <c r="I76">
        <f>IF($B76="","",COUNTIFS('Web Feed'!$B$2:$B$3015,"OHW",'Web Feed'!$F$2:$F$3015,$B76))</f>
        <v/>
      </c>
      <c r="J76">
        <f>IF($B76="","",IFERROR(INDEX('Last Week'!$A$2:$A$301,MATCH($B76,'Last Week'!$B$2:$B$301,0)),""))</f>
        <v/>
      </c>
      <c r="K76">
        <f>IF(OR($B76="",$J76=""),"",$J76-$A76)</f>
        <v/>
      </c>
    </row>
    <row r="77">
      <c r="A77">
        <f>IF($B77="","",RANK($C77,$C$2:$C$500))</f>
        <v/>
      </c>
      <c r="B77">
        <f>IF(Players!$A77="","",Players!$A77)</f>
        <v/>
      </c>
      <c r="C77" s="5">
        <f>IF($B77="","",SUM(D77:H77))</f>
        <v/>
      </c>
      <c r="D77">
        <f>IF($B77="","",SUMIFS('Web Feed'!$O$2:$O$3015,'Web Feed'!$B$2:$B$3015,Points!$A$2,'Web Feed'!$F$2:$F$3015,$B77)+SUMIFS('Web Feed'!$O$2:$O$3015,'Web Feed'!$B$2:$B$3015,Points!$A$2,'Web Feed'!$G$2:$G$3015,$B77)+SUMIFS('Web Feed'!$O$2:$O$3015,'Web Feed'!$B$2:$B$3015,Points!$A$2,'Web Feed'!$H$2:$H$3015,$B77)+SUMIFS('Web Feed'!$O$2:$O$3015,'Web Feed'!$B$2:$B$3015,Points!$A$2,'Web Feed'!$I$2:$I$3015,$B77))</f>
        <v/>
      </c>
      <c r="E77">
        <f>IF($B77="","",SUMIFS('Web Feed'!$O$2:$O$3015,'Web Feed'!$B$2:$B$3015,Points!$A$3,'Web Feed'!$F$2:$F$3015,$B77)+SUMIFS('Web Feed'!$O$2:$O$3015,'Web Feed'!$B$2:$B$3015,Points!$A$3,'Web Feed'!$G$2:$G$3015,$B77)+SUMIFS('Web Feed'!$O$2:$O$3015,'Web Feed'!$B$2:$B$3015,Points!$A$3,'Web Feed'!$H$2:$H$3015,$B77)+SUMIFS('Web Feed'!$O$2:$O$3015,'Web Feed'!$B$2:$B$3015,Points!$A$3,'Web Feed'!$I$2:$I$3015,$B77))</f>
        <v/>
      </c>
      <c r="F77">
        <f>IF($B77="","",SUMIFS('Web Feed'!$O$2:$O$3015,'Web Feed'!$B$2:$B$3015,Points!$A$4,'Web Feed'!$F$2:$F$3015,$B77)+SUMIFS('Web Feed'!$O$2:$O$3015,'Web Feed'!$B$2:$B$3015,Points!$A$4,'Web Feed'!$G$2:$G$3015,$B77)+SUMIFS('Web Feed'!$O$2:$O$3015,'Web Feed'!$B$2:$B$3015,Points!$A$4,'Web Feed'!$H$2:$H$3015,$B77)+SUMIFS('Web Feed'!$O$2:$O$3015,'Web Feed'!$B$2:$B$3015,Points!$A$4,'Web Feed'!$I$2:$I$3015,$B77))</f>
        <v/>
      </c>
      <c r="G77">
        <f>IF($B77="","",SUMIFS('Web Feed'!$O$2:$O$3015,'Web Feed'!$B$2:$B$3015,Points!$A$5,'Web Feed'!$F$2:$F$3015,$B77)+SUMIFS('Web Feed'!$O$2:$O$3015,'Web Feed'!$B$2:$B$3015,Points!$A$5,'Web Feed'!$G$2:$G$3015,$B77)+SUMIFS('Web Feed'!$O$2:$O$3015,'Web Feed'!$B$2:$B$3015,Points!$A$5,'Web Feed'!$H$2:$H$3015,$B77)+SUMIFS('Web Feed'!$O$2:$O$3015,'Web Feed'!$B$2:$B$3015,Points!$A$5,'Web Feed'!$I$2:$I$3015,$B77))</f>
        <v/>
      </c>
      <c r="H77">
        <f>IF($B77="","",SUMIFS('Web Feed'!$O$2:$O$3015,'Web Feed'!$B$2:$B$3015,Points!$A$6,'Web Feed'!$F$2:$F$3015,$B77)+SUMIFS('Web Feed'!$O$2:$O$3015,'Web Feed'!$B$2:$B$3015,Points!$A$6,'Web Feed'!$G$2:$G$3015,$B77)+SUMIFS('Web Feed'!$O$2:$O$3015,'Web Feed'!$B$2:$B$3015,Points!$A$6,'Web Feed'!$H$2:$H$3015,$B77)+SUMIFS('Web Feed'!$O$2:$O$3015,'Web Feed'!$B$2:$B$3015,Points!$A$6,'Web Feed'!$I$2:$I$3015,$B77))</f>
        <v/>
      </c>
      <c r="I77">
        <f>IF($B77="","",COUNTIFS('Web Feed'!$B$2:$B$3015,"OHW",'Web Feed'!$F$2:$F$3015,$B77))</f>
        <v/>
      </c>
      <c r="J77">
        <f>IF($B77="","",IFERROR(INDEX('Last Week'!$A$2:$A$301,MATCH($B77,'Last Week'!$B$2:$B$301,0)),""))</f>
        <v/>
      </c>
      <c r="K77">
        <f>IF(OR($B77="",$J77=""),"",$J77-$A77)</f>
        <v/>
      </c>
    </row>
    <row r="78">
      <c r="A78">
        <f>IF($B78="","",RANK($C78,$C$2:$C$500))</f>
        <v/>
      </c>
      <c r="B78">
        <f>IF(Players!$A78="","",Players!$A78)</f>
        <v/>
      </c>
      <c r="C78" s="5">
        <f>IF($B78="","",SUM(D78:H78))</f>
        <v/>
      </c>
      <c r="D78">
        <f>IF($B78="","",SUMIFS('Web Feed'!$O$2:$O$3015,'Web Feed'!$B$2:$B$3015,Points!$A$2,'Web Feed'!$F$2:$F$3015,$B78)+SUMIFS('Web Feed'!$O$2:$O$3015,'Web Feed'!$B$2:$B$3015,Points!$A$2,'Web Feed'!$G$2:$G$3015,$B78)+SUMIFS('Web Feed'!$O$2:$O$3015,'Web Feed'!$B$2:$B$3015,Points!$A$2,'Web Feed'!$H$2:$H$3015,$B78)+SUMIFS('Web Feed'!$O$2:$O$3015,'Web Feed'!$B$2:$B$3015,Points!$A$2,'Web Feed'!$I$2:$I$3015,$B78))</f>
        <v/>
      </c>
      <c r="E78">
        <f>IF($B78="","",SUMIFS('Web Feed'!$O$2:$O$3015,'Web Feed'!$B$2:$B$3015,Points!$A$3,'Web Feed'!$F$2:$F$3015,$B78)+SUMIFS('Web Feed'!$O$2:$O$3015,'Web Feed'!$B$2:$B$3015,Points!$A$3,'Web Feed'!$G$2:$G$3015,$B78)+SUMIFS('Web Feed'!$O$2:$O$3015,'Web Feed'!$B$2:$B$3015,Points!$A$3,'Web Feed'!$H$2:$H$3015,$B78)+SUMIFS('Web Feed'!$O$2:$O$3015,'Web Feed'!$B$2:$B$3015,Points!$A$3,'Web Feed'!$I$2:$I$3015,$B78))</f>
        <v/>
      </c>
      <c r="F78">
        <f>IF($B78="","",SUMIFS('Web Feed'!$O$2:$O$3015,'Web Feed'!$B$2:$B$3015,Points!$A$4,'Web Feed'!$F$2:$F$3015,$B78)+SUMIFS('Web Feed'!$O$2:$O$3015,'Web Feed'!$B$2:$B$3015,Points!$A$4,'Web Feed'!$G$2:$G$3015,$B78)+SUMIFS('Web Feed'!$O$2:$O$3015,'Web Feed'!$B$2:$B$3015,Points!$A$4,'Web Feed'!$H$2:$H$3015,$B78)+SUMIFS('Web Feed'!$O$2:$O$3015,'Web Feed'!$B$2:$B$3015,Points!$A$4,'Web Feed'!$I$2:$I$3015,$B78))</f>
        <v/>
      </c>
      <c r="G78">
        <f>IF($B78="","",SUMIFS('Web Feed'!$O$2:$O$3015,'Web Feed'!$B$2:$B$3015,Points!$A$5,'Web Feed'!$F$2:$F$3015,$B78)+SUMIFS('Web Feed'!$O$2:$O$3015,'Web Feed'!$B$2:$B$3015,Points!$A$5,'Web Feed'!$G$2:$G$3015,$B78)+SUMIFS('Web Feed'!$O$2:$O$3015,'Web Feed'!$B$2:$B$3015,Points!$A$5,'Web Feed'!$H$2:$H$3015,$B78)+SUMIFS('Web Feed'!$O$2:$O$3015,'Web Feed'!$B$2:$B$3015,Points!$A$5,'Web Feed'!$I$2:$I$3015,$B78))</f>
        <v/>
      </c>
      <c r="H78">
        <f>IF($B78="","",SUMIFS('Web Feed'!$O$2:$O$3015,'Web Feed'!$B$2:$B$3015,Points!$A$6,'Web Feed'!$F$2:$F$3015,$B78)+SUMIFS('Web Feed'!$O$2:$O$3015,'Web Feed'!$B$2:$B$3015,Points!$A$6,'Web Feed'!$G$2:$G$3015,$B78)+SUMIFS('Web Feed'!$O$2:$O$3015,'Web Feed'!$B$2:$B$3015,Points!$A$6,'Web Feed'!$H$2:$H$3015,$B78)+SUMIFS('Web Feed'!$O$2:$O$3015,'Web Feed'!$B$2:$B$3015,Points!$A$6,'Web Feed'!$I$2:$I$3015,$B78))</f>
        <v/>
      </c>
      <c r="I78">
        <f>IF($B78="","",COUNTIFS('Web Feed'!$B$2:$B$3015,"OHW",'Web Feed'!$F$2:$F$3015,$B78))</f>
        <v/>
      </c>
      <c r="J78">
        <f>IF($B78="","",IFERROR(INDEX('Last Week'!$A$2:$A$301,MATCH($B78,'Last Week'!$B$2:$B$301,0)),""))</f>
        <v/>
      </c>
      <c r="K78">
        <f>IF(OR($B78="",$J78=""),"",$J78-$A78)</f>
        <v/>
      </c>
    </row>
    <row r="79">
      <c r="A79">
        <f>IF($B79="","",RANK($C79,$C$2:$C$500))</f>
        <v/>
      </c>
      <c r="B79">
        <f>IF(Players!$A79="","",Players!$A79)</f>
        <v/>
      </c>
      <c r="C79" s="5">
        <f>IF($B79="","",SUM(D79:H79))</f>
        <v/>
      </c>
      <c r="D79">
        <f>IF($B79="","",SUMIFS('Web Feed'!$O$2:$O$3015,'Web Feed'!$B$2:$B$3015,Points!$A$2,'Web Feed'!$F$2:$F$3015,$B79)+SUMIFS('Web Feed'!$O$2:$O$3015,'Web Feed'!$B$2:$B$3015,Points!$A$2,'Web Feed'!$G$2:$G$3015,$B79)+SUMIFS('Web Feed'!$O$2:$O$3015,'Web Feed'!$B$2:$B$3015,Points!$A$2,'Web Feed'!$H$2:$H$3015,$B79)+SUMIFS('Web Feed'!$O$2:$O$3015,'Web Feed'!$B$2:$B$3015,Points!$A$2,'Web Feed'!$I$2:$I$3015,$B79))</f>
        <v/>
      </c>
      <c r="E79">
        <f>IF($B79="","",SUMIFS('Web Feed'!$O$2:$O$3015,'Web Feed'!$B$2:$B$3015,Points!$A$3,'Web Feed'!$F$2:$F$3015,$B79)+SUMIFS('Web Feed'!$O$2:$O$3015,'Web Feed'!$B$2:$B$3015,Points!$A$3,'Web Feed'!$G$2:$G$3015,$B79)+SUMIFS('Web Feed'!$O$2:$O$3015,'Web Feed'!$B$2:$B$3015,Points!$A$3,'Web Feed'!$H$2:$H$3015,$B79)+SUMIFS('Web Feed'!$O$2:$O$3015,'Web Feed'!$B$2:$B$3015,Points!$A$3,'Web Feed'!$I$2:$I$3015,$B79))</f>
        <v/>
      </c>
      <c r="F79">
        <f>IF($B79="","",SUMIFS('Web Feed'!$O$2:$O$3015,'Web Feed'!$B$2:$B$3015,Points!$A$4,'Web Feed'!$F$2:$F$3015,$B79)+SUMIFS('Web Feed'!$O$2:$O$3015,'Web Feed'!$B$2:$B$3015,Points!$A$4,'Web Feed'!$G$2:$G$3015,$B79)+SUMIFS('Web Feed'!$O$2:$O$3015,'Web Feed'!$B$2:$B$3015,Points!$A$4,'Web Feed'!$H$2:$H$3015,$B79)+SUMIFS('Web Feed'!$O$2:$O$3015,'Web Feed'!$B$2:$B$3015,Points!$A$4,'Web Feed'!$I$2:$I$3015,$B79))</f>
        <v/>
      </c>
      <c r="G79">
        <f>IF($B79="","",SUMIFS('Web Feed'!$O$2:$O$3015,'Web Feed'!$B$2:$B$3015,Points!$A$5,'Web Feed'!$F$2:$F$3015,$B79)+SUMIFS('Web Feed'!$O$2:$O$3015,'Web Feed'!$B$2:$B$3015,Points!$A$5,'Web Feed'!$G$2:$G$3015,$B79)+SUMIFS('Web Feed'!$O$2:$O$3015,'Web Feed'!$B$2:$B$3015,Points!$A$5,'Web Feed'!$H$2:$H$3015,$B79)+SUMIFS('Web Feed'!$O$2:$O$3015,'Web Feed'!$B$2:$B$3015,Points!$A$5,'Web Feed'!$I$2:$I$3015,$B79))</f>
        <v/>
      </c>
      <c r="H79">
        <f>IF($B79="","",SUMIFS('Web Feed'!$O$2:$O$3015,'Web Feed'!$B$2:$B$3015,Points!$A$6,'Web Feed'!$F$2:$F$3015,$B79)+SUMIFS('Web Feed'!$O$2:$O$3015,'Web Feed'!$B$2:$B$3015,Points!$A$6,'Web Feed'!$G$2:$G$3015,$B79)+SUMIFS('Web Feed'!$O$2:$O$3015,'Web Feed'!$B$2:$B$3015,Points!$A$6,'Web Feed'!$H$2:$H$3015,$B79)+SUMIFS('Web Feed'!$O$2:$O$3015,'Web Feed'!$B$2:$B$3015,Points!$A$6,'Web Feed'!$I$2:$I$3015,$B79))</f>
        <v/>
      </c>
      <c r="I79">
        <f>IF($B79="","",COUNTIFS('Web Feed'!$B$2:$B$3015,"OHW",'Web Feed'!$F$2:$F$3015,$B79))</f>
        <v/>
      </c>
      <c r="J79">
        <f>IF($B79="","",IFERROR(INDEX('Last Week'!$A$2:$A$301,MATCH($B79,'Last Week'!$B$2:$B$301,0)),""))</f>
        <v/>
      </c>
      <c r="K79">
        <f>IF(OR($B79="",$J79=""),"",$J79-$A79)</f>
        <v/>
      </c>
    </row>
    <row r="80">
      <c r="A80">
        <f>IF($B80="","",RANK($C80,$C$2:$C$500))</f>
        <v/>
      </c>
      <c r="B80">
        <f>IF(Players!$A80="","",Players!$A80)</f>
        <v/>
      </c>
      <c r="C80" s="5">
        <f>IF($B80="","",SUM(D80:H80))</f>
        <v/>
      </c>
      <c r="D80">
        <f>IF($B80="","",SUMIFS('Web Feed'!$O$2:$O$3015,'Web Feed'!$B$2:$B$3015,Points!$A$2,'Web Feed'!$F$2:$F$3015,$B80)+SUMIFS('Web Feed'!$O$2:$O$3015,'Web Feed'!$B$2:$B$3015,Points!$A$2,'Web Feed'!$G$2:$G$3015,$B80)+SUMIFS('Web Feed'!$O$2:$O$3015,'Web Feed'!$B$2:$B$3015,Points!$A$2,'Web Feed'!$H$2:$H$3015,$B80)+SUMIFS('Web Feed'!$O$2:$O$3015,'Web Feed'!$B$2:$B$3015,Points!$A$2,'Web Feed'!$I$2:$I$3015,$B80))</f>
        <v/>
      </c>
      <c r="E80">
        <f>IF($B80="","",SUMIFS('Web Feed'!$O$2:$O$3015,'Web Feed'!$B$2:$B$3015,Points!$A$3,'Web Feed'!$F$2:$F$3015,$B80)+SUMIFS('Web Feed'!$O$2:$O$3015,'Web Feed'!$B$2:$B$3015,Points!$A$3,'Web Feed'!$G$2:$G$3015,$B80)+SUMIFS('Web Feed'!$O$2:$O$3015,'Web Feed'!$B$2:$B$3015,Points!$A$3,'Web Feed'!$H$2:$H$3015,$B80)+SUMIFS('Web Feed'!$O$2:$O$3015,'Web Feed'!$B$2:$B$3015,Points!$A$3,'Web Feed'!$I$2:$I$3015,$B80))</f>
        <v/>
      </c>
      <c r="F80">
        <f>IF($B80="","",SUMIFS('Web Feed'!$O$2:$O$3015,'Web Feed'!$B$2:$B$3015,Points!$A$4,'Web Feed'!$F$2:$F$3015,$B80)+SUMIFS('Web Feed'!$O$2:$O$3015,'Web Feed'!$B$2:$B$3015,Points!$A$4,'Web Feed'!$G$2:$G$3015,$B80)+SUMIFS('Web Feed'!$O$2:$O$3015,'Web Feed'!$B$2:$B$3015,Points!$A$4,'Web Feed'!$H$2:$H$3015,$B80)+SUMIFS('Web Feed'!$O$2:$O$3015,'Web Feed'!$B$2:$B$3015,Points!$A$4,'Web Feed'!$I$2:$I$3015,$B80))</f>
        <v/>
      </c>
      <c r="G80">
        <f>IF($B80="","",SUMIFS('Web Feed'!$O$2:$O$3015,'Web Feed'!$B$2:$B$3015,Points!$A$5,'Web Feed'!$F$2:$F$3015,$B80)+SUMIFS('Web Feed'!$O$2:$O$3015,'Web Feed'!$B$2:$B$3015,Points!$A$5,'Web Feed'!$G$2:$G$3015,$B80)+SUMIFS('Web Feed'!$O$2:$O$3015,'Web Feed'!$B$2:$B$3015,Points!$A$5,'Web Feed'!$H$2:$H$3015,$B80)+SUMIFS('Web Feed'!$O$2:$O$3015,'Web Feed'!$B$2:$B$3015,Points!$A$5,'Web Feed'!$I$2:$I$3015,$B80))</f>
        <v/>
      </c>
      <c r="H80">
        <f>IF($B80="","",SUMIFS('Web Feed'!$O$2:$O$3015,'Web Feed'!$B$2:$B$3015,Points!$A$6,'Web Feed'!$F$2:$F$3015,$B80)+SUMIFS('Web Feed'!$O$2:$O$3015,'Web Feed'!$B$2:$B$3015,Points!$A$6,'Web Feed'!$G$2:$G$3015,$B80)+SUMIFS('Web Feed'!$O$2:$O$3015,'Web Feed'!$B$2:$B$3015,Points!$A$6,'Web Feed'!$H$2:$H$3015,$B80)+SUMIFS('Web Feed'!$O$2:$O$3015,'Web Feed'!$B$2:$B$3015,Points!$A$6,'Web Feed'!$I$2:$I$3015,$B80))</f>
        <v/>
      </c>
      <c r="I80">
        <f>IF($B80="","",COUNTIFS('Web Feed'!$B$2:$B$3015,"OHW",'Web Feed'!$F$2:$F$3015,$B80))</f>
        <v/>
      </c>
      <c r="J80">
        <f>IF($B80="","",IFERROR(INDEX('Last Week'!$A$2:$A$301,MATCH($B80,'Last Week'!$B$2:$B$301,0)),""))</f>
        <v/>
      </c>
      <c r="K80">
        <f>IF(OR($B80="",$J80=""),"",$J80-$A80)</f>
        <v/>
      </c>
    </row>
    <row r="81">
      <c r="A81">
        <f>IF($B81="","",RANK($C81,$C$2:$C$500))</f>
        <v/>
      </c>
      <c r="B81">
        <f>IF(Players!$A81="","",Players!$A81)</f>
        <v/>
      </c>
      <c r="C81" s="5">
        <f>IF($B81="","",SUM(D81:H81))</f>
        <v/>
      </c>
      <c r="D81">
        <f>IF($B81="","",SUMIFS('Web Feed'!$O$2:$O$3015,'Web Feed'!$B$2:$B$3015,Points!$A$2,'Web Feed'!$F$2:$F$3015,$B81)+SUMIFS('Web Feed'!$O$2:$O$3015,'Web Feed'!$B$2:$B$3015,Points!$A$2,'Web Feed'!$G$2:$G$3015,$B81)+SUMIFS('Web Feed'!$O$2:$O$3015,'Web Feed'!$B$2:$B$3015,Points!$A$2,'Web Feed'!$H$2:$H$3015,$B81)+SUMIFS('Web Feed'!$O$2:$O$3015,'Web Feed'!$B$2:$B$3015,Points!$A$2,'Web Feed'!$I$2:$I$3015,$B81))</f>
        <v/>
      </c>
      <c r="E81">
        <f>IF($B81="","",SUMIFS('Web Feed'!$O$2:$O$3015,'Web Feed'!$B$2:$B$3015,Points!$A$3,'Web Feed'!$F$2:$F$3015,$B81)+SUMIFS('Web Feed'!$O$2:$O$3015,'Web Feed'!$B$2:$B$3015,Points!$A$3,'Web Feed'!$G$2:$G$3015,$B81)+SUMIFS('Web Feed'!$O$2:$O$3015,'Web Feed'!$B$2:$B$3015,Points!$A$3,'Web Feed'!$H$2:$H$3015,$B81)+SUMIFS('Web Feed'!$O$2:$O$3015,'Web Feed'!$B$2:$B$3015,Points!$A$3,'Web Feed'!$I$2:$I$3015,$B81))</f>
        <v/>
      </c>
      <c r="F81">
        <f>IF($B81="","",SUMIFS('Web Feed'!$O$2:$O$3015,'Web Feed'!$B$2:$B$3015,Points!$A$4,'Web Feed'!$F$2:$F$3015,$B81)+SUMIFS('Web Feed'!$O$2:$O$3015,'Web Feed'!$B$2:$B$3015,Points!$A$4,'Web Feed'!$G$2:$G$3015,$B81)+SUMIFS('Web Feed'!$O$2:$O$3015,'Web Feed'!$B$2:$B$3015,Points!$A$4,'Web Feed'!$H$2:$H$3015,$B81)+SUMIFS('Web Feed'!$O$2:$O$3015,'Web Feed'!$B$2:$B$3015,Points!$A$4,'Web Feed'!$I$2:$I$3015,$B81))</f>
        <v/>
      </c>
      <c r="G81">
        <f>IF($B81="","",SUMIFS('Web Feed'!$O$2:$O$3015,'Web Feed'!$B$2:$B$3015,Points!$A$5,'Web Feed'!$F$2:$F$3015,$B81)+SUMIFS('Web Feed'!$O$2:$O$3015,'Web Feed'!$B$2:$B$3015,Points!$A$5,'Web Feed'!$G$2:$G$3015,$B81)+SUMIFS('Web Feed'!$O$2:$O$3015,'Web Feed'!$B$2:$B$3015,Points!$A$5,'Web Feed'!$H$2:$H$3015,$B81)+SUMIFS('Web Feed'!$O$2:$O$3015,'Web Feed'!$B$2:$B$3015,Points!$A$5,'Web Feed'!$I$2:$I$3015,$B81))</f>
        <v/>
      </c>
      <c r="H81">
        <f>IF($B81="","",SUMIFS('Web Feed'!$O$2:$O$3015,'Web Feed'!$B$2:$B$3015,Points!$A$6,'Web Feed'!$F$2:$F$3015,$B81)+SUMIFS('Web Feed'!$O$2:$O$3015,'Web Feed'!$B$2:$B$3015,Points!$A$6,'Web Feed'!$G$2:$G$3015,$B81)+SUMIFS('Web Feed'!$O$2:$O$3015,'Web Feed'!$B$2:$B$3015,Points!$A$6,'Web Feed'!$H$2:$H$3015,$B81)+SUMIFS('Web Feed'!$O$2:$O$3015,'Web Feed'!$B$2:$B$3015,Points!$A$6,'Web Feed'!$I$2:$I$3015,$B81))</f>
        <v/>
      </c>
      <c r="I81">
        <f>IF($B81="","",COUNTIFS('Web Feed'!$B$2:$B$3015,"OHW",'Web Feed'!$F$2:$F$3015,$B81))</f>
        <v/>
      </c>
      <c r="J81">
        <f>IF($B81="","",IFERROR(INDEX('Last Week'!$A$2:$A$301,MATCH($B81,'Last Week'!$B$2:$B$301,0)),""))</f>
        <v/>
      </c>
      <c r="K81">
        <f>IF(OR($B81="",$J81=""),"",$J81-$A81)</f>
        <v/>
      </c>
    </row>
    <row r="82">
      <c r="A82">
        <f>IF($B82="","",RANK($C82,$C$2:$C$500))</f>
        <v/>
      </c>
      <c r="B82">
        <f>IF(Players!$A82="","",Players!$A82)</f>
        <v/>
      </c>
      <c r="C82" s="5">
        <f>IF($B82="","",SUM(D82:H82))</f>
        <v/>
      </c>
      <c r="D82">
        <f>IF($B82="","",SUMIFS('Web Feed'!$O$2:$O$3015,'Web Feed'!$B$2:$B$3015,Points!$A$2,'Web Feed'!$F$2:$F$3015,$B82)+SUMIFS('Web Feed'!$O$2:$O$3015,'Web Feed'!$B$2:$B$3015,Points!$A$2,'Web Feed'!$G$2:$G$3015,$B82)+SUMIFS('Web Feed'!$O$2:$O$3015,'Web Feed'!$B$2:$B$3015,Points!$A$2,'Web Feed'!$H$2:$H$3015,$B82)+SUMIFS('Web Feed'!$O$2:$O$3015,'Web Feed'!$B$2:$B$3015,Points!$A$2,'Web Feed'!$I$2:$I$3015,$B82))</f>
        <v/>
      </c>
      <c r="E82">
        <f>IF($B82="","",SUMIFS('Web Feed'!$O$2:$O$3015,'Web Feed'!$B$2:$B$3015,Points!$A$3,'Web Feed'!$F$2:$F$3015,$B82)+SUMIFS('Web Feed'!$O$2:$O$3015,'Web Feed'!$B$2:$B$3015,Points!$A$3,'Web Feed'!$G$2:$G$3015,$B82)+SUMIFS('Web Feed'!$O$2:$O$3015,'Web Feed'!$B$2:$B$3015,Points!$A$3,'Web Feed'!$H$2:$H$3015,$B82)+SUMIFS('Web Feed'!$O$2:$O$3015,'Web Feed'!$B$2:$B$3015,Points!$A$3,'Web Feed'!$I$2:$I$3015,$B82))</f>
        <v/>
      </c>
      <c r="F82">
        <f>IF($B82="","",SUMIFS('Web Feed'!$O$2:$O$3015,'Web Feed'!$B$2:$B$3015,Points!$A$4,'Web Feed'!$F$2:$F$3015,$B82)+SUMIFS('Web Feed'!$O$2:$O$3015,'Web Feed'!$B$2:$B$3015,Points!$A$4,'Web Feed'!$G$2:$G$3015,$B82)+SUMIFS('Web Feed'!$O$2:$O$3015,'Web Feed'!$B$2:$B$3015,Points!$A$4,'Web Feed'!$H$2:$H$3015,$B82)+SUMIFS('Web Feed'!$O$2:$O$3015,'Web Feed'!$B$2:$B$3015,Points!$A$4,'Web Feed'!$I$2:$I$3015,$B82))</f>
        <v/>
      </c>
      <c r="G82">
        <f>IF($B82="","",SUMIFS('Web Feed'!$O$2:$O$3015,'Web Feed'!$B$2:$B$3015,Points!$A$5,'Web Feed'!$F$2:$F$3015,$B82)+SUMIFS('Web Feed'!$O$2:$O$3015,'Web Feed'!$B$2:$B$3015,Points!$A$5,'Web Feed'!$G$2:$G$3015,$B82)+SUMIFS('Web Feed'!$O$2:$O$3015,'Web Feed'!$B$2:$B$3015,Points!$A$5,'Web Feed'!$H$2:$H$3015,$B82)+SUMIFS('Web Feed'!$O$2:$O$3015,'Web Feed'!$B$2:$B$3015,Points!$A$5,'Web Feed'!$I$2:$I$3015,$B82))</f>
        <v/>
      </c>
      <c r="H82">
        <f>IF($B82="","",SUMIFS('Web Feed'!$O$2:$O$3015,'Web Feed'!$B$2:$B$3015,Points!$A$6,'Web Feed'!$F$2:$F$3015,$B82)+SUMIFS('Web Feed'!$O$2:$O$3015,'Web Feed'!$B$2:$B$3015,Points!$A$6,'Web Feed'!$G$2:$G$3015,$B82)+SUMIFS('Web Feed'!$O$2:$O$3015,'Web Feed'!$B$2:$B$3015,Points!$A$6,'Web Feed'!$H$2:$H$3015,$B82)+SUMIFS('Web Feed'!$O$2:$O$3015,'Web Feed'!$B$2:$B$3015,Points!$A$6,'Web Feed'!$I$2:$I$3015,$B82))</f>
        <v/>
      </c>
      <c r="I82">
        <f>IF($B82="","",COUNTIFS('Web Feed'!$B$2:$B$3015,"OHW",'Web Feed'!$F$2:$F$3015,$B82))</f>
        <v/>
      </c>
      <c r="J82">
        <f>IF($B82="","",IFERROR(INDEX('Last Week'!$A$2:$A$301,MATCH($B82,'Last Week'!$B$2:$B$301,0)),""))</f>
        <v/>
      </c>
      <c r="K82">
        <f>IF(OR($B82="",$J82=""),"",$J82-$A82)</f>
        <v/>
      </c>
    </row>
    <row r="83">
      <c r="A83">
        <f>IF($B83="","",RANK($C83,$C$2:$C$500))</f>
        <v/>
      </c>
      <c r="B83">
        <f>IF(Players!$A83="","",Players!$A83)</f>
        <v/>
      </c>
      <c r="C83" s="5">
        <f>IF($B83="","",SUM(D83:H83))</f>
        <v/>
      </c>
      <c r="D83">
        <f>IF($B83="","",SUMIFS('Web Feed'!$O$2:$O$3015,'Web Feed'!$B$2:$B$3015,Points!$A$2,'Web Feed'!$F$2:$F$3015,$B83)+SUMIFS('Web Feed'!$O$2:$O$3015,'Web Feed'!$B$2:$B$3015,Points!$A$2,'Web Feed'!$G$2:$G$3015,$B83)+SUMIFS('Web Feed'!$O$2:$O$3015,'Web Feed'!$B$2:$B$3015,Points!$A$2,'Web Feed'!$H$2:$H$3015,$B83)+SUMIFS('Web Feed'!$O$2:$O$3015,'Web Feed'!$B$2:$B$3015,Points!$A$2,'Web Feed'!$I$2:$I$3015,$B83))</f>
        <v/>
      </c>
      <c r="E83">
        <f>IF($B83="","",SUMIFS('Web Feed'!$O$2:$O$3015,'Web Feed'!$B$2:$B$3015,Points!$A$3,'Web Feed'!$F$2:$F$3015,$B83)+SUMIFS('Web Feed'!$O$2:$O$3015,'Web Feed'!$B$2:$B$3015,Points!$A$3,'Web Feed'!$G$2:$G$3015,$B83)+SUMIFS('Web Feed'!$O$2:$O$3015,'Web Feed'!$B$2:$B$3015,Points!$A$3,'Web Feed'!$H$2:$H$3015,$B83)+SUMIFS('Web Feed'!$O$2:$O$3015,'Web Feed'!$B$2:$B$3015,Points!$A$3,'Web Feed'!$I$2:$I$3015,$B83))</f>
        <v/>
      </c>
      <c r="F83">
        <f>IF($B83="","",SUMIFS('Web Feed'!$O$2:$O$3015,'Web Feed'!$B$2:$B$3015,Points!$A$4,'Web Feed'!$F$2:$F$3015,$B83)+SUMIFS('Web Feed'!$O$2:$O$3015,'Web Feed'!$B$2:$B$3015,Points!$A$4,'Web Feed'!$G$2:$G$3015,$B83)+SUMIFS('Web Feed'!$O$2:$O$3015,'Web Feed'!$B$2:$B$3015,Points!$A$4,'Web Feed'!$H$2:$H$3015,$B83)+SUMIFS('Web Feed'!$O$2:$O$3015,'Web Feed'!$B$2:$B$3015,Points!$A$4,'Web Feed'!$I$2:$I$3015,$B83))</f>
        <v/>
      </c>
      <c r="G83">
        <f>IF($B83="","",SUMIFS('Web Feed'!$O$2:$O$3015,'Web Feed'!$B$2:$B$3015,Points!$A$5,'Web Feed'!$F$2:$F$3015,$B83)+SUMIFS('Web Feed'!$O$2:$O$3015,'Web Feed'!$B$2:$B$3015,Points!$A$5,'Web Feed'!$G$2:$G$3015,$B83)+SUMIFS('Web Feed'!$O$2:$O$3015,'Web Feed'!$B$2:$B$3015,Points!$A$5,'Web Feed'!$H$2:$H$3015,$B83)+SUMIFS('Web Feed'!$O$2:$O$3015,'Web Feed'!$B$2:$B$3015,Points!$A$5,'Web Feed'!$I$2:$I$3015,$B83))</f>
        <v/>
      </c>
      <c r="H83">
        <f>IF($B83="","",SUMIFS('Web Feed'!$O$2:$O$3015,'Web Feed'!$B$2:$B$3015,Points!$A$6,'Web Feed'!$F$2:$F$3015,$B83)+SUMIFS('Web Feed'!$O$2:$O$3015,'Web Feed'!$B$2:$B$3015,Points!$A$6,'Web Feed'!$G$2:$G$3015,$B83)+SUMIFS('Web Feed'!$O$2:$O$3015,'Web Feed'!$B$2:$B$3015,Points!$A$6,'Web Feed'!$H$2:$H$3015,$B83)+SUMIFS('Web Feed'!$O$2:$O$3015,'Web Feed'!$B$2:$B$3015,Points!$A$6,'Web Feed'!$I$2:$I$3015,$B83))</f>
        <v/>
      </c>
      <c r="I83">
        <f>IF($B83="","",COUNTIFS('Web Feed'!$B$2:$B$3015,"OHW",'Web Feed'!$F$2:$F$3015,$B83))</f>
        <v/>
      </c>
      <c r="J83">
        <f>IF($B83="","",IFERROR(INDEX('Last Week'!$A$2:$A$301,MATCH($B83,'Last Week'!$B$2:$B$301,0)),""))</f>
        <v/>
      </c>
      <c r="K83">
        <f>IF(OR($B83="",$J83=""),"",$J83-$A83)</f>
        <v/>
      </c>
    </row>
    <row r="84">
      <c r="A84">
        <f>IF($B84="","",RANK($C84,$C$2:$C$500))</f>
        <v/>
      </c>
      <c r="B84">
        <f>IF(Players!$A84="","",Players!$A84)</f>
        <v/>
      </c>
      <c r="C84" s="5">
        <f>IF($B84="","",SUM(D84:H84))</f>
        <v/>
      </c>
      <c r="D84">
        <f>IF($B84="","",SUMIFS('Web Feed'!$O$2:$O$3015,'Web Feed'!$B$2:$B$3015,Points!$A$2,'Web Feed'!$F$2:$F$3015,$B84)+SUMIFS('Web Feed'!$O$2:$O$3015,'Web Feed'!$B$2:$B$3015,Points!$A$2,'Web Feed'!$G$2:$G$3015,$B84)+SUMIFS('Web Feed'!$O$2:$O$3015,'Web Feed'!$B$2:$B$3015,Points!$A$2,'Web Feed'!$H$2:$H$3015,$B84)+SUMIFS('Web Feed'!$O$2:$O$3015,'Web Feed'!$B$2:$B$3015,Points!$A$2,'Web Feed'!$I$2:$I$3015,$B84))</f>
        <v/>
      </c>
      <c r="E84">
        <f>IF($B84="","",SUMIFS('Web Feed'!$O$2:$O$3015,'Web Feed'!$B$2:$B$3015,Points!$A$3,'Web Feed'!$F$2:$F$3015,$B84)+SUMIFS('Web Feed'!$O$2:$O$3015,'Web Feed'!$B$2:$B$3015,Points!$A$3,'Web Feed'!$G$2:$G$3015,$B84)+SUMIFS('Web Feed'!$O$2:$O$3015,'Web Feed'!$B$2:$B$3015,Points!$A$3,'Web Feed'!$H$2:$H$3015,$B84)+SUMIFS('Web Feed'!$O$2:$O$3015,'Web Feed'!$B$2:$B$3015,Points!$A$3,'Web Feed'!$I$2:$I$3015,$B84))</f>
        <v/>
      </c>
      <c r="F84">
        <f>IF($B84="","",SUMIFS('Web Feed'!$O$2:$O$3015,'Web Feed'!$B$2:$B$3015,Points!$A$4,'Web Feed'!$F$2:$F$3015,$B84)+SUMIFS('Web Feed'!$O$2:$O$3015,'Web Feed'!$B$2:$B$3015,Points!$A$4,'Web Feed'!$G$2:$G$3015,$B84)+SUMIFS('Web Feed'!$O$2:$O$3015,'Web Feed'!$B$2:$B$3015,Points!$A$4,'Web Feed'!$H$2:$H$3015,$B84)+SUMIFS('Web Feed'!$O$2:$O$3015,'Web Feed'!$B$2:$B$3015,Points!$A$4,'Web Feed'!$I$2:$I$3015,$B84))</f>
        <v/>
      </c>
      <c r="G84">
        <f>IF($B84="","",SUMIFS('Web Feed'!$O$2:$O$3015,'Web Feed'!$B$2:$B$3015,Points!$A$5,'Web Feed'!$F$2:$F$3015,$B84)+SUMIFS('Web Feed'!$O$2:$O$3015,'Web Feed'!$B$2:$B$3015,Points!$A$5,'Web Feed'!$G$2:$G$3015,$B84)+SUMIFS('Web Feed'!$O$2:$O$3015,'Web Feed'!$B$2:$B$3015,Points!$A$5,'Web Feed'!$H$2:$H$3015,$B84)+SUMIFS('Web Feed'!$O$2:$O$3015,'Web Feed'!$B$2:$B$3015,Points!$A$5,'Web Feed'!$I$2:$I$3015,$B84))</f>
        <v/>
      </c>
      <c r="H84">
        <f>IF($B84="","",SUMIFS('Web Feed'!$O$2:$O$3015,'Web Feed'!$B$2:$B$3015,Points!$A$6,'Web Feed'!$F$2:$F$3015,$B84)+SUMIFS('Web Feed'!$O$2:$O$3015,'Web Feed'!$B$2:$B$3015,Points!$A$6,'Web Feed'!$G$2:$G$3015,$B84)+SUMIFS('Web Feed'!$O$2:$O$3015,'Web Feed'!$B$2:$B$3015,Points!$A$6,'Web Feed'!$H$2:$H$3015,$B84)+SUMIFS('Web Feed'!$O$2:$O$3015,'Web Feed'!$B$2:$B$3015,Points!$A$6,'Web Feed'!$I$2:$I$3015,$B84))</f>
        <v/>
      </c>
      <c r="I84">
        <f>IF($B84="","",COUNTIFS('Web Feed'!$B$2:$B$3015,"OHW",'Web Feed'!$F$2:$F$3015,$B84))</f>
        <v/>
      </c>
      <c r="J84">
        <f>IF($B84="","",IFERROR(INDEX('Last Week'!$A$2:$A$301,MATCH($B84,'Last Week'!$B$2:$B$301,0)),""))</f>
        <v/>
      </c>
      <c r="K84">
        <f>IF(OR($B84="",$J84=""),"",$J84-$A84)</f>
        <v/>
      </c>
    </row>
    <row r="85">
      <c r="A85">
        <f>IF($B85="","",RANK($C85,$C$2:$C$500))</f>
        <v/>
      </c>
      <c r="B85">
        <f>IF(Players!$A85="","",Players!$A85)</f>
        <v/>
      </c>
      <c r="C85" s="5">
        <f>IF($B85="","",SUM(D85:H85))</f>
        <v/>
      </c>
      <c r="D85">
        <f>IF($B85="","",SUMIFS('Web Feed'!$O$2:$O$3015,'Web Feed'!$B$2:$B$3015,Points!$A$2,'Web Feed'!$F$2:$F$3015,$B85)+SUMIFS('Web Feed'!$O$2:$O$3015,'Web Feed'!$B$2:$B$3015,Points!$A$2,'Web Feed'!$G$2:$G$3015,$B85)+SUMIFS('Web Feed'!$O$2:$O$3015,'Web Feed'!$B$2:$B$3015,Points!$A$2,'Web Feed'!$H$2:$H$3015,$B85)+SUMIFS('Web Feed'!$O$2:$O$3015,'Web Feed'!$B$2:$B$3015,Points!$A$2,'Web Feed'!$I$2:$I$3015,$B85))</f>
        <v/>
      </c>
      <c r="E85">
        <f>IF($B85="","",SUMIFS('Web Feed'!$O$2:$O$3015,'Web Feed'!$B$2:$B$3015,Points!$A$3,'Web Feed'!$F$2:$F$3015,$B85)+SUMIFS('Web Feed'!$O$2:$O$3015,'Web Feed'!$B$2:$B$3015,Points!$A$3,'Web Feed'!$G$2:$G$3015,$B85)+SUMIFS('Web Feed'!$O$2:$O$3015,'Web Feed'!$B$2:$B$3015,Points!$A$3,'Web Feed'!$H$2:$H$3015,$B85)+SUMIFS('Web Feed'!$O$2:$O$3015,'Web Feed'!$B$2:$B$3015,Points!$A$3,'Web Feed'!$I$2:$I$3015,$B85))</f>
        <v/>
      </c>
      <c r="F85">
        <f>IF($B85="","",SUMIFS('Web Feed'!$O$2:$O$3015,'Web Feed'!$B$2:$B$3015,Points!$A$4,'Web Feed'!$F$2:$F$3015,$B85)+SUMIFS('Web Feed'!$O$2:$O$3015,'Web Feed'!$B$2:$B$3015,Points!$A$4,'Web Feed'!$G$2:$G$3015,$B85)+SUMIFS('Web Feed'!$O$2:$O$3015,'Web Feed'!$B$2:$B$3015,Points!$A$4,'Web Feed'!$H$2:$H$3015,$B85)+SUMIFS('Web Feed'!$O$2:$O$3015,'Web Feed'!$B$2:$B$3015,Points!$A$4,'Web Feed'!$I$2:$I$3015,$B85))</f>
        <v/>
      </c>
      <c r="G85">
        <f>IF($B85="","",SUMIFS('Web Feed'!$O$2:$O$3015,'Web Feed'!$B$2:$B$3015,Points!$A$5,'Web Feed'!$F$2:$F$3015,$B85)+SUMIFS('Web Feed'!$O$2:$O$3015,'Web Feed'!$B$2:$B$3015,Points!$A$5,'Web Feed'!$G$2:$G$3015,$B85)+SUMIFS('Web Feed'!$O$2:$O$3015,'Web Feed'!$B$2:$B$3015,Points!$A$5,'Web Feed'!$H$2:$H$3015,$B85)+SUMIFS('Web Feed'!$O$2:$O$3015,'Web Feed'!$B$2:$B$3015,Points!$A$5,'Web Feed'!$I$2:$I$3015,$B85))</f>
        <v/>
      </c>
      <c r="H85">
        <f>IF($B85="","",SUMIFS('Web Feed'!$O$2:$O$3015,'Web Feed'!$B$2:$B$3015,Points!$A$6,'Web Feed'!$F$2:$F$3015,$B85)+SUMIFS('Web Feed'!$O$2:$O$3015,'Web Feed'!$B$2:$B$3015,Points!$A$6,'Web Feed'!$G$2:$G$3015,$B85)+SUMIFS('Web Feed'!$O$2:$O$3015,'Web Feed'!$B$2:$B$3015,Points!$A$6,'Web Feed'!$H$2:$H$3015,$B85)+SUMIFS('Web Feed'!$O$2:$O$3015,'Web Feed'!$B$2:$B$3015,Points!$A$6,'Web Feed'!$I$2:$I$3015,$B85))</f>
        <v/>
      </c>
      <c r="I85">
        <f>IF($B85="","",COUNTIFS('Web Feed'!$B$2:$B$3015,"OHW",'Web Feed'!$F$2:$F$3015,$B85))</f>
        <v/>
      </c>
      <c r="J85">
        <f>IF($B85="","",IFERROR(INDEX('Last Week'!$A$2:$A$301,MATCH($B85,'Last Week'!$B$2:$B$301,0)),""))</f>
        <v/>
      </c>
      <c r="K85">
        <f>IF(OR($B85="",$J85=""),"",$J85-$A85)</f>
        <v/>
      </c>
    </row>
    <row r="86">
      <c r="A86">
        <f>IF($B86="","",RANK($C86,$C$2:$C$500))</f>
        <v/>
      </c>
      <c r="B86">
        <f>IF(Players!$A86="","",Players!$A86)</f>
        <v/>
      </c>
      <c r="C86" s="5">
        <f>IF($B86="","",SUM(D86:H86))</f>
        <v/>
      </c>
      <c r="D86">
        <f>IF($B86="","",SUMIFS('Web Feed'!$O$2:$O$3015,'Web Feed'!$B$2:$B$3015,Points!$A$2,'Web Feed'!$F$2:$F$3015,$B86)+SUMIFS('Web Feed'!$O$2:$O$3015,'Web Feed'!$B$2:$B$3015,Points!$A$2,'Web Feed'!$G$2:$G$3015,$B86)+SUMIFS('Web Feed'!$O$2:$O$3015,'Web Feed'!$B$2:$B$3015,Points!$A$2,'Web Feed'!$H$2:$H$3015,$B86)+SUMIFS('Web Feed'!$O$2:$O$3015,'Web Feed'!$B$2:$B$3015,Points!$A$2,'Web Feed'!$I$2:$I$3015,$B86))</f>
        <v/>
      </c>
      <c r="E86">
        <f>IF($B86="","",SUMIFS('Web Feed'!$O$2:$O$3015,'Web Feed'!$B$2:$B$3015,Points!$A$3,'Web Feed'!$F$2:$F$3015,$B86)+SUMIFS('Web Feed'!$O$2:$O$3015,'Web Feed'!$B$2:$B$3015,Points!$A$3,'Web Feed'!$G$2:$G$3015,$B86)+SUMIFS('Web Feed'!$O$2:$O$3015,'Web Feed'!$B$2:$B$3015,Points!$A$3,'Web Feed'!$H$2:$H$3015,$B86)+SUMIFS('Web Feed'!$O$2:$O$3015,'Web Feed'!$B$2:$B$3015,Points!$A$3,'Web Feed'!$I$2:$I$3015,$B86))</f>
        <v/>
      </c>
      <c r="F86">
        <f>IF($B86="","",SUMIFS('Web Feed'!$O$2:$O$3015,'Web Feed'!$B$2:$B$3015,Points!$A$4,'Web Feed'!$F$2:$F$3015,$B86)+SUMIFS('Web Feed'!$O$2:$O$3015,'Web Feed'!$B$2:$B$3015,Points!$A$4,'Web Feed'!$G$2:$G$3015,$B86)+SUMIFS('Web Feed'!$O$2:$O$3015,'Web Feed'!$B$2:$B$3015,Points!$A$4,'Web Feed'!$H$2:$H$3015,$B86)+SUMIFS('Web Feed'!$O$2:$O$3015,'Web Feed'!$B$2:$B$3015,Points!$A$4,'Web Feed'!$I$2:$I$3015,$B86))</f>
        <v/>
      </c>
      <c r="G86">
        <f>IF($B86="","",SUMIFS('Web Feed'!$O$2:$O$3015,'Web Feed'!$B$2:$B$3015,Points!$A$5,'Web Feed'!$F$2:$F$3015,$B86)+SUMIFS('Web Feed'!$O$2:$O$3015,'Web Feed'!$B$2:$B$3015,Points!$A$5,'Web Feed'!$G$2:$G$3015,$B86)+SUMIFS('Web Feed'!$O$2:$O$3015,'Web Feed'!$B$2:$B$3015,Points!$A$5,'Web Feed'!$H$2:$H$3015,$B86)+SUMIFS('Web Feed'!$O$2:$O$3015,'Web Feed'!$B$2:$B$3015,Points!$A$5,'Web Feed'!$I$2:$I$3015,$B86))</f>
        <v/>
      </c>
      <c r="H86">
        <f>IF($B86="","",SUMIFS('Web Feed'!$O$2:$O$3015,'Web Feed'!$B$2:$B$3015,Points!$A$6,'Web Feed'!$F$2:$F$3015,$B86)+SUMIFS('Web Feed'!$O$2:$O$3015,'Web Feed'!$B$2:$B$3015,Points!$A$6,'Web Feed'!$G$2:$G$3015,$B86)+SUMIFS('Web Feed'!$O$2:$O$3015,'Web Feed'!$B$2:$B$3015,Points!$A$6,'Web Feed'!$H$2:$H$3015,$B86)+SUMIFS('Web Feed'!$O$2:$O$3015,'Web Feed'!$B$2:$B$3015,Points!$A$6,'Web Feed'!$I$2:$I$3015,$B86))</f>
        <v/>
      </c>
      <c r="I86">
        <f>IF($B86="","",COUNTIFS('Web Feed'!$B$2:$B$3015,"OHW",'Web Feed'!$F$2:$F$3015,$B86))</f>
        <v/>
      </c>
      <c r="J86">
        <f>IF($B86="","",IFERROR(INDEX('Last Week'!$A$2:$A$301,MATCH($B86,'Last Week'!$B$2:$B$301,0)),""))</f>
        <v/>
      </c>
      <c r="K86">
        <f>IF(OR($B86="",$J86=""),"",$J86-$A86)</f>
        <v/>
      </c>
    </row>
    <row r="87">
      <c r="A87">
        <f>IF($B87="","",RANK($C87,$C$2:$C$500))</f>
        <v/>
      </c>
      <c r="B87">
        <f>IF(Players!$A87="","",Players!$A87)</f>
        <v/>
      </c>
      <c r="C87" s="5">
        <f>IF($B87="","",SUM(D87:H87))</f>
        <v/>
      </c>
      <c r="D87">
        <f>IF($B87="","",SUMIFS('Web Feed'!$O$2:$O$3015,'Web Feed'!$B$2:$B$3015,Points!$A$2,'Web Feed'!$F$2:$F$3015,$B87)+SUMIFS('Web Feed'!$O$2:$O$3015,'Web Feed'!$B$2:$B$3015,Points!$A$2,'Web Feed'!$G$2:$G$3015,$B87)+SUMIFS('Web Feed'!$O$2:$O$3015,'Web Feed'!$B$2:$B$3015,Points!$A$2,'Web Feed'!$H$2:$H$3015,$B87)+SUMIFS('Web Feed'!$O$2:$O$3015,'Web Feed'!$B$2:$B$3015,Points!$A$2,'Web Feed'!$I$2:$I$3015,$B87))</f>
        <v/>
      </c>
      <c r="E87">
        <f>IF($B87="","",SUMIFS('Web Feed'!$O$2:$O$3015,'Web Feed'!$B$2:$B$3015,Points!$A$3,'Web Feed'!$F$2:$F$3015,$B87)+SUMIFS('Web Feed'!$O$2:$O$3015,'Web Feed'!$B$2:$B$3015,Points!$A$3,'Web Feed'!$G$2:$G$3015,$B87)+SUMIFS('Web Feed'!$O$2:$O$3015,'Web Feed'!$B$2:$B$3015,Points!$A$3,'Web Feed'!$H$2:$H$3015,$B87)+SUMIFS('Web Feed'!$O$2:$O$3015,'Web Feed'!$B$2:$B$3015,Points!$A$3,'Web Feed'!$I$2:$I$3015,$B87))</f>
        <v/>
      </c>
      <c r="F87">
        <f>IF($B87="","",SUMIFS('Web Feed'!$O$2:$O$3015,'Web Feed'!$B$2:$B$3015,Points!$A$4,'Web Feed'!$F$2:$F$3015,$B87)+SUMIFS('Web Feed'!$O$2:$O$3015,'Web Feed'!$B$2:$B$3015,Points!$A$4,'Web Feed'!$G$2:$G$3015,$B87)+SUMIFS('Web Feed'!$O$2:$O$3015,'Web Feed'!$B$2:$B$3015,Points!$A$4,'Web Feed'!$H$2:$H$3015,$B87)+SUMIFS('Web Feed'!$O$2:$O$3015,'Web Feed'!$B$2:$B$3015,Points!$A$4,'Web Feed'!$I$2:$I$3015,$B87))</f>
        <v/>
      </c>
      <c r="G87">
        <f>IF($B87="","",SUMIFS('Web Feed'!$O$2:$O$3015,'Web Feed'!$B$2:$B$3015,Points!$A$5,'Web Feed'!$F$2:$F$3015,$B87)+SUMIFS('Web Feed'!$O$2:$O$3015,'Web Feed'!$B$2:$B$3015,Points!$A$5,'Web Feed'!$G$2:$G$3015,$B87)+SUMIFS('Web Feed'!$O$2:$O$3015,'Web Feed'!$B$2:$B$3015,Points!$A$5,'Web Feed'!$H$2:$H$3015,$B87)+SUMIFS('Web Feed'!$O$2:$O$3015,'Web Feed'!$B$2:$B$3015,Points!$A$5,'Web Feed'!$I$2:$I$3015,$B87))</f>
        <v/>
      </c>
      <c r="H87">
        <f>IF($B87="","",SUMIFS('Web Feed'!$O$2:$O$3015,'Web Feed'!$B$2:$B$3015,Points!$A$6,'Web Feed'!$F$2:$F$3015,$B87)+SUMIFS('Web Feed'!$O$2:$O$3015,'Web Feed'!$B$2:$B$3015,Points!$A$6,'Web Feed'!$G$2:$G$3015,$B87)+SUMIFS('Web Feed'!$O$2:$O$3015,'Web Feed'!$B$2:$B$3015,Points!$A$6,'Web Feed'!$H$2:$H$3015,$B87)+SUMIFS('Web Feed'!$O$2:$O$3015,'Web Feed'!$B$2:$B$3015,Points!$A$6,'Web Feed'!$I$2:$I$3015,$B87))</f>
        <v/>
      </c>
      <c r="I87">
        <f>IF($B87="","",COUNTIFS('Web Feed'!$B$2:$B$3015,"OHW",'Web Feed'!$F$2:$F$3015,$B87))</f>
        <v/>
      </c>
      <c r="J87">
        <f>IF($B87="","",IFERROR(INDEX('Last Week'!$A$2:$A$301,MATCH($B87,'Last Week'!$B$2:$B$301,0)),""))</f>
        <v/>
      </c>
      <c r="K87">
        <f>IF(OR($B87="",$J87=""),"",$J87-$A87)</f>
        <v/>
      </c>
    </row>
    <row r="88">
      <c r="A88">
        <f>IF($B88="","",RANK($C88,$C$2:$C$500))</f>
        <v/>
      </c>
      <c r="B88">
        <f>IF(Players!$A88="","",Players!$A88)</f>
        <v/>
      </c>
      <c r="C88" s="5">
        <f>IF($B88="","",SUM(D88:H88))</f>
        <v/>
      </c>
      <c r="D88">
        <f>IF($B88="","",SUMIFS('Web Feed'!$O$2:$O$3015,'Web Feed'!$B$2:$B$3015,Points!$A$2,'Web Feed'!$F$2:$F$3015,$B88)+SUMIFS('Web Feed'!$O$2:$O$3015,'Web Feed'!$B$2:$B$3015,Points!$A$2,'Web Feed'!$G$2:$G$3015,$B88)+SUMIFS('Web Feed'!$O$2:$O$3015,'Web Feed'!$B$2:$B$3015,Points!$A$2,'Web Feed'!$H$2:$H$3015,$B88)+SUMIFS('Web Feed'!$O$2:$O$3015,'Web Feed'!$B$2:$B$3015,Points!$A$2,'Web Feed'!$I$2:$I$3015,$B88))</f>
        <v/>
      </c>
      <c r="E88">
        <f>IF($B88="","",SUMIFS('Web Feed'!$O$2:$O$3015,'Web Feed'!$B$2:$B$3015,Points!$A$3,'Web Feed'!$F$2:$F$3015,$B88)+SUMIFS('Web Feed'!$O$2:$O$3015,'Web Feed'!$B$2:$B$3015,Points!$A$3,'Web Feed'!$G$2:$G$3015,$B88)+SUMIFS('Web Feed'!$O$2:$O$3015,'Web Feed'!$B$2:$B$3015,Points!$A$3,'Web Feed'!$H$2:$H$3015,$B88)+SUMIFS('Web Feed'!$O$2:$O$3015,'Web Feed'!$B$2:$B$3015,Points!$A$3,'Web Feed'!$I$2:$I$3015,$B88))</f>
        <v/>
      </c>
      <c r="F88">
        <f>IF($B88="","",SUMIFS('Web Feed'!$O$2:$O$3015,'Web Feed'!$B$2:$B$3015,Points!$A$4,'Web Feed'!$F$2:$F$3015,$B88)+SUMIFS('Web Feed'!$O$2:$O$3015,'Web Feed'!$B$2:$B$3015,Points!$A$4,'Web Feed'!$G$2:$G$3015,$B88)+SUMIFS('Web Feed'!$O$2:$O$3015,'Web Feed'!$B$2:$B$3015,Points!$A$4,'Web Feed'!$H$2:$H$3015,$B88)+SUMIFS('Web Feed'!$O$2:$O$3015,'Web Feed'!$B$2:$B$3015,Points!$A$4,'Web Feed'!$I$2:$I$3015,$B88))</f>
        <v/>
      </c>
      <c r="G88">
        <f>IF($B88="","",SUMIFS('Web Feed'!$O$2:$O$3015,'Web Feed'!$B$2:$B$3015,Points!$A$5,'Web Feed'!$F$2:$F$3015,$B88)+SUMIFS('Web Feed'!$O$2:$O$3015,'Web Feed'!$B$2:$B$3015,Points!$A$5,'Web Feed'!$G$2:$G$3015,$B88)+SUMIFS('Web Feed'!$O$2:$O$3015,'Web Feed'!$B$2:$B$3015,Points!$A$5,'Web Feed'!$H$2:$H$3015,$B88)+SUMIFS('Web Feed'!$O$2:$O$3015,'Web Feed'!$B$2:$B$3015,Points!$A$5,'Web Feed'!$I$2:$I$3015,$B88))</f>
        <v/>
      </c>
      <c r="H88">
        <f>IF($B88="","",SUMIFS('Web Feed'!$O$2:$O$3015,'Web Feed'!$B$2:$B$3015,Points!$A$6,'Web Feed'!$F$2:$F$3015,$B88)+SUMIFS('Web Feed'!$O$2:$O$3015,'Web Feed'!$B$2:$B$3015,Points!$A$6,'Web Feed'!$G$2:$G$3015,$B88)+SUMIFS('Web Feed'!$O$2:$O$3015,'Web Feed'!$B$2:$B$3015,Points!$A$6,'Web Feed'!$H$2:$H$3015,$B88)+SUMIFS('Web Feed'!$O$2:$O$3015,'Web Feed'!$B$2:$B$3015,Points!$A$6,'Web Feed'!$I$2:$I$3015,$B88))</f>
        <v/>
      </c>
      <c r="I88">
        <f>IF($B88="","",COUNTIFS('Web Feed'!$B$2:$B$3015,"OHW",'Web Feed'!$F$2:$F$3015,$B88))</f>
        <v/>
      </c>
      <c r="J88">
        <f>IF($B88="","",IFERROR(INDEX('Last Week'!$A$2:$A$301,MATCH($B88,'Last Week'!$B$2:$B$301,0)),""))</f>
        <v/>
      </c>
      <c r="K88">
        <f>IF(OR($B88="",$J88=""),"",$J88-$A88)</f>
        <v/>
      </c>
    </row>
    <row r="89">
      <c r="A89">
        <f>IF($B89="","",RANK($C89,$C$2:$C$500))</f>
        <v/>
      </c>
      <c r="B89">
        <f>IF(Players!$A89="","",Players!$A89)</f>
        <v/>
      </c>
      <c r="C89" s="5">
        <f>IF($B89="","",SUM(D89:H89))</f>
        <v/>
      </c>
      <c r="D89">
        <f>IF($B89="","",SUMIFS('Web Feed'!$O$2:$O$3015,'Web Feed'!$B$2:$B$3015,Points!$A$2,'Web Feed'!$F$2:$F$3015,$B89)+SUMIFS('Web Feed'!$O$2:$O$3015,'Web Feed'!$B$2:$B$3015,Points!$A$2,'Web Feed'!$G$2:$G$3015,$B89)+SUMIFS('Web Feed'!$O$2:$O$3015,'Web Feed'!$B$2:$B$3015,Points!$A$2,'Web Feed'!$H$2:$H$3015,$B89)+SUMIFS('Web Feed'!$O$2:$O$3015,'Web Feed'!$B$2:$B$3015,Points!$A$2,'Web Feed'!$I$2:$I$3015,$B89))</f>
        <v/>
      </c>
      <c r="E89">
        <f>IF($B89="","",SUMIFS('Web Feed'!$O$2:$O$3015,'Web Feed'!$B$2:$B$3015,Points!$A$3,'Web Feed'!$F$2:$F$3015,$B89)+SUMIFS('Web Feed'!$O$2:$O$3015,'Web Feed'!$B$2:$B$3015,Points!$A$3,'Web Feed'!$G$2:$G$3015,$B89)+SUMIFS('Web Feed'!$O$2:$O$3015,'Web Feed'!$B$2:$B$3015,Points!$A$3,'Web Feed'!$H$2:$H$3015,$B89)+SUMIFS('Web Feed'!$O$2:$O$3015,'Web Feed'!$B$2:$B$3015,Points!$A$3,'Web Feed'!$I$2:$I$3015,$B89))</f>
        <v/>
      </c>
      <c r="F89">
        <f>IF($B89="","",SUMIFS('Web Feed'!$O$2:$O$3015,'Web Feed'!$B$2:$B$3015,Points!$A$4,'Web Feed'!$F$2:$F$3015,$B89)+SUMIFS('Web Feed'!$O$2:$O$3015,'Web Feed'!$B$2:$B$3015,Points!$A$4,'Web Feed'!$G$2:$G$3015,$B89)+SUMIFS('Web Feed'!$O$2:$O$3015,'Web Feed'!$B$2:$B$3015,Points!$A$4,'Web Feed'!$H$2:$H$3015,$B89)+SUMIFS('Web Feed'!$O$2:$O$3015,'Web Feed'!$B$2:$B$3015,Points!$A$4,'Web Feed'!$I$2:$I$3015,$B89))</f>
        <v/>
      </c>
      <c r="G89">
        <f>IF($B89="","",SUMIFS('Web Feed'!$O$2:$O$3015,'Web Feed'!$B$2:$B$3015,Points!$A$5,'Web Feed'!$F$2:$F$3015,$B89)+SUMIFS('Web Feed'!$O$2:$O$3015,'Web Feed'!$B$2:$B$3015,Points!$A$5,'Web Feed'!$G$2:$G$3015,$B89)+SUMIFS('Web Feed'!$O$2:$O$3015,'Web Feed'!$B$2:$B$3015,Points!$A$5,'Web Feed'!$H$2:$H$3015,$B89)+SUMIFS('Web Feed'!$O$2:$O$3015,'Web Feed'!$B$2:$B$3015,Points!$A$5,'Web Feed'!$I$2:$I$3015,$B89))</f>
        <v/>
      </c>
      <c r="H89">
        <f>IF($B89="","",SUMIFS('Web Feed'!$O$2:$O$3015,'Web Feed'!$B$2:$B$3015,Points!$A$6,'Web Feed'!$F$2:$F$3015,$B89)+SUMIFS('Web Feed'!$O$2:$O$3015,'Web Feed'!$B$2:$B$3015,Points!$A$6,'Web Feed'!$G$2:$G$3015,$B89)+SUMIFS('Web Feed'!$O$2:$O$3015,'Web Feed'!$B$2:$B$3015,Points!$A$6,'Web Feed'!$H$2:$H$3015,$B89)+SUMIFS('Web Feed'!$O$2:$O$3015,'Web Feed'!$B$2:$B$3015,Points!$A$6,'Web Feed'!$I$2:$I$3015,$B89))</f>
        <v/>
      </c>
      <c r="I89">
        <f>IF($B89="","",COUNTIFS('Web Feed'!$B$2:$B$3015,"OHW",'Web Feed'!$F$2:$F$3015,$B89))</f>
        <v/>
      </c>
      <c r="J89">
        <f>IF($B89="","",IFERROR(INDEX('Last Week'!$A$2:$A$301,MATCH($B89,'Last Week'!$B$2:$B$301,0)),""))</f>
        <v/>
      </c>
      <c r="K89">
        <f>IF(OR($B89="",$J89=""),"",$J89-$A89)</f>
        <v/>
      </c>
    </row>
    <row r="90">
      <c r="A90">
        <f>IF($B90="","",RANK($C90,$C$2:$C$500))</f>
        <v/>
      </c>
      <c r="B90">
        <f>IF(Players!$A90="","",Players!$A90)</f>
        <v/>
      </c>
      <c r="C90" s="5">
        <f>IF($B90="","",SUM(D90:H90))</f>
        <v/>
      </c>
      <c r="D90">
        <f>IF($B90="","",SUMIFS('Web Feed'!$O$2:$O$3015,'Web Feed'!$B$2:$B$3015,Points!$A$2,'Web Feed'!$F$2:$F$3015,$B90)+SUMIFS('Web Feed'!$O$2:$O$3015,'Web Feed'!$B$2:$B$3015,Points!$A$2,'Web Feed'!$G$2:$G$3015,$B90)+SUMIFS('Web Feed'!$O$2:$O$3015,'Web Feed'!$B$2:$B$3015,Points!$A$2,'Web Feed'!$H$2:$H$3015,$B90)+SUMIFS('Web Feed'!$O$2:$O$3015,'Web Feed'!$B$2:$B$3015,Points!$A$2,'Web Feed'!$I$2:$I$3015,$B90))</f>
        <v/>
      </c>
      <c r="E90">
        <f>IF($B90="","",SUMIFS('Web Feed'!$O$2:$O$3015,'Web Feed'!$B$2:$B$3015,Points!$A$3,'Web Feed'!$F$2:$F$3015,$B90)+SUMIFS('Web Feed'!$O$2:$O$3015,'Web Feed'!$B$2:$B$3015,Points!$A$3,'Web Feed'!$G$2:$G$3015,$B90)+SUMIFS('Web Feed'!$O$2:$O$3015,'Web Feed'!$B$2:$B$3015,Points!$A$3,'Web Feed'!$H$2:$H$3015,$B90)+SUMIFS('Web Feed'!$O$2:$O$3015,'Web Feed'!$B$2:$B$3015,Points!$A$3,'Web Feed'!$I$2:$I$3015,$B90))</f>
        <v/>
      </c>
      <c r="F90">
        <f>IF($B90="","",SUMIFS('Web Feed'!$O$2:$O$3015,'Web Feed'!$B$2:$B$3015,Points!$A$4,'Web Feed'!$F$2:$F$3015,$B90)+SUMIFS('Web Feed'!$O$2:$O$3015,'Web Feed'!$B$2:$B$3015,Points!$A$4,'Web Feed'!$G$2:$G$3015,$B90)+SUMIFS('Web Feed'!$O$2:$O$3015,'Web Feed'!$B$2:$B$3015,Points!$A$4,'Web Feed'!$H$2:$H$3015,$B90)+SUMIFS('Web Feed'!$O$2:$O$3015,'Web Feed'!$B$2:$B$3015,Points!$A$4,'Web Feed'!$I$2:$I$3015,$B90))</f>
        <v/>
      </c>
      <c r="G90">
        <f>IF($B90="","",SUMIFS('Web Feed'!$O$2:$O$3015,'Web Feed'!$B$2:$B$3015,Points!$A$5,'Web Feed'!$F$2:$F$3015,$B90)+SUMIFS('Web Feed'!$O$2:$O$3015,'Web Feed'!$B$2:$B$3015,Points!$A$5,'Web Feed'!$G$2:$G$3015,$B90)+SUMIFS('Web Feed'!$O$2:$O$3015,'Web Feed'!$B$2:$B$3015,Points!$A$5,'Web Feed'!$H$2:$H$3015,$B90)+SUMIFS('Web Feed'!$O$2:$O$3015,'Web Feed'!$B$2:$B$3015,Points!$A$5,'Web Feed'!$I$2:$I$3015,$B90))</f>
        <v/>
      </c>
      <c r="H90">
        <f>IF($B90="","",SUMIFS('Web Feed'!$O$2:$O$3015,'Web Feed'!$B$2:$B$3015,Points!$A$6,'Web Feed'!$F$2:$F$3015,$B90)+SUMIFS('Web Feed'!$O$2:$O$3015,'Web Feed'!$B$2:$B$3015,Points!$A$6,'Web Feed'!$G$2:$G$3015,$B90)+SUMIFS('Web Feed'!$O$2:$O$3015,'Web Feed'!$B$2:$B$3015,Points!$A$6,'Web Feed'!$H$2:$H$3015,$B90)+SUMIFS('Web Feed'!$O$2:$O$3015,'Web Feed'!$B$2:$B$3015,Points!$A$6,'Web Feed'!$I$2:$I$3015,$B90))</f>
        <v/>
      </c>
      <c r="I90">
        <f>IF($B90="","",COUNTIFS('Web Feed'!$B$2:$B$3015,"OHW",'Web Feed'!$F$2:$F$3015,$B90))</f>
        <v/>
      </c>
      <c r="J90">
        <f>IF($B90="","",IFERROR(INDEX('Last Week'!$A$2:$A$301,MATCH($B90,'Last Week'!$B$2:$B$301,0)),""))</f>
        <v/>
      </c>
      <c r="K90">
        <f>IF(OR($B90="",$J90=""),"",$J90-$A90)</f>
        <v/>
      </c>
    </row>
    <row r="91">
      <c r="A91">
        <f>IF($B91="","",RANK($C91,$C$2:$C$500))</f>
        <v/>
      </c>
      <c r="B91">
        <f>IF(Players!$A91="","",Players!$A91)</f>
        <v/>
      </c>
      <c r="C91" s="5">
        <f>IF($B91="","",SUM(D91:H91))</f>
        <v/>
      </c>
      <c r="D91">
        <f>IF($B91="","",SUMIFS('Web Feed'!$O$2:$O$3015,'Web Feed'!$B$2:$B$3015,Points!$A$2,'Web Feed'!$F$2:$F$3015,$B91)+SUMIFS('Web Feed'!$O$2:$O$3015,'Web Feed'!$B$2:$B$3015,Points!$A$2,'Web Feed'!$G$2:$G$3015,$B91)+SUMIFS('Web Feed'!$O$2:$O$3015,'Web Feed'!$B$2:$B$3015,Points!$A$2,'Web Feed'!$H$2:$H$3015,$B91)+SUMIFS('Web Feed'!$O$2:$O$3015,'Web Feed'!$B$2:$B$3015,Points!$A$2,'Web Feed'!$I$2:$I$3015,$B91))</f>
        <v/>
      </c>
      <c r="E91">
        <f>IF($B91="","",SUMIFS('Web Feed'!$O$2:$O$3015,'Web Feed'!$B$2:$B$3015,Points!$A$3,'Web Feed'!$F$2:$F$3015,$B91)+SUMIFS('Web Feed'!$O$2:$O$3015,'Web Feed'!$B$2:$B$3015,Points!$A$3,'Web Feed'!$G$2:$G$3015,$B91)+SUMIFS('Web Feed'!$O$2:$O$3015,'Web Feed'!$B$2:$B$3015,Points!$A$3,'Web Feed'!$H$2:$H$3015,$B91)+SUMIFS('Web Feed'!$O$2:$O$3015,'Web Feed'!$B$2:$B$3015,Points!$A$3,'Web Feed'!$I$2:$I$3015,$B91))</f>
        <v/>
      </c>
      <c r="F91">
        <f>IF($B91="","",SUMIFS('Web Feed'!$O$2:$O$3015,'Web Feed'!$B$2:$B$3015,Points!$A$4,'Web Feed'!$F$2:$F$3015,$B91)+SUMIFS('Web Feed'!$O$2:$O$3015,'Web Feed'!$B$2:$B$3015,Points!$A$4,'Web Feed'!$G$2:$G$3015,$B91)+SUMIFS('Web Feed'!$O$2:$O$3015,'Web Feed'!$B$2:$B$3015,Points!$A$4,'Web Feed'!$H$2:$H$3015,$B91)+SUMIFS('Web Feed'!$O$2:$O$3015,'Web Feed'!$B$2:$B$3015,Points!$A$4,'Web Feed'!$I$2:$I$3015,$B91))</f>
        <v/>
      </c>
      <c r="G91">
        <f>IF($B91="","",SUMIFS('Web Feed'!$O$2:$O$3015,'Web Feed'!$B$2:$B$3015,Points!$A$5,'Web Feed'!$F$2:$F$3015,$B91)+SUMIFS('Web Feed'!$O$2:$O$3015,'Web Feed'!$B$2:$B$3015,Points!$A$5,'Web Feed'!$G$2:$G$3015,$B91)+SUMIFS('Web Feed'!$O$2:$O$3015,'Web Feed'!$B$2:$B$3015,Points!$A$5,'Web Feed'!$H$2:$H$3015,$B91)+SUMIFS('Web Feed'!$O$2:$O$3015,'Web Feed'!$B$2:$B$3015,Points!$A$5,'Web Feed'!$I$2:$I$3015,$B91))</f>
        <v/>
      </c>
      <c r="H91">
        <f>IF($B91="","",SUMIFS('Web Feed'!$O$2:$O$3015,'Web Feed'!$B$2:$B$3015,Points!$A$6,'Web Feed'!$F$2:$F$3015,$B91)+SUMIFS('Web Feed'!$O$2:$O$3015,'Web Feed'!$B$2:$B$3015,Points!$A$6,'Web Feed'!$G$2:$G$3015,$B91)+SUMIFS('Web Feed'!$O$2:$O$3015,'Web Feed'!$B$2:$B$3015,Points!$A$6,'Web Feed'!$H$2:$H$3015,$B91)+SUMIFS('Web Feed'!$O$2:$O$3015,'Web Feed'!$B$2:$B$3015,Points!$A$6,'Web Feed'!$I$2:$I$3015,$B91))</f>
        <v/>
      </c>
      <c r="I91">
        <f>IF($B91="","",COUNTIFS('Web Feed'!$B$2:$B$3015,"OHW",'Web Feed'!$F$2:$F$3015,$B91))</f>
        <v/>
      </c>
      <c r="J91">
        <f>IF($B91="","",IFERROR(INDEX('Last Week'!$A$2:$A$301,MATCH($B91,'Last Week'!$B$2:$B$301,0)),""))</f>
        <v/>
      </c>
      <c r="K91">
        <f>IF(OR($B91="",$J91=""),"",$J91-$A91)</f>
        <v/>
      </c>
    </row>
    <row r="92">
      <c r="A92">
        <f>IF($B92="","",RANK($C92,$C$2:$C$500))</f>
        <v/>
      </c>
      <c r="B92">
        <f>IF(Players!$A92="","",Players!$A92)</f>
        <v/>
      </c>
      <c r="C92" s="5">
        <f>IF($B92="","",SUM(D92:H92))</f>
        <v/>
      </c>
      <c r="D92">
        <f>IF($B92="","",SUMIFS('Web Feed'!$O$2:$O$3015,'Web Feed'!$B$2:$B$3015,Points!$A$2,'Web Feed'!$F$2:$F$3015,$B92)+SUMIFS('Web Feed'!$O$2:$O$3015,'Web Feed'!$B$2:$B$3015,Points!$A$2,'Web Feed'!$G$2:$G$3015,$B92)+SUMIFS('Web Feed'!$O$2:$O$3015,'Web Feed'!$B$2:$B$3015,Points!$A$2,'Web Feed'!$H$2:$H$3015,$B92)+SUMIFS('Web Feed'!$O$2:$O$3015,'Web Feed'!$B$2:$B$3015,Points!$A$2,'Web Feed'!$I$2:$I$3015,$B92))</f>
        <v/>
      </c>
      <c r="E92">
        <f>IF($B92="","",SUMIFS('Web Feed'!$O$2:$O$3015,'Web Feed'!$B$2:$B$3015,Points!$A$3,'Web Feed'!$F$2:$F$3015,$B92)+SUMIFS('Web Feed'!$O$2:$O$3015,'Web Feed'!$B$2:$B$3015,Points!$A$3,'Web Feed'!$G$2:$G$3015,$B92)+SUMIFS('Web Feed'!$O$2:$O$3015,'Web Feed'!$B$2:$B$3015,Points!$A$3,'Web Feed'!$H$2:$H$3015,$B92)+SUMIFS('Web Feed'!$O$2:$O$3015,'Web Feed'!$B$2:$B$3015,Points!$A$3,'Web Feed'!$I$2:$I$3015,$B92))</f>
        <v/>
      </c>
      <c r="F92">
        <f>IF($B92="","",SUMIFS('Web Feed'!$O$2:$O$3015,'Web Feed'!$B$2:$B$3015,Points!$A$4,'Web Feed'!$F$2:$F$3015,$B92)+SUMIFS('Web Feed'!$O$2:$O$3015,'Web Feed'!$B$2:$B$3015,Points!$A$4,'Web Feed'!$G$2:$G$3015,$B92)+SUMIFS('Web Feed'!$O$2:$O$3015,'Web Feed'!$B$2:$B$3015,Points!$A$4,'Web Feed'!$H$2:$H$3015,$B92)+SUMIFS('Web Feed'!$O$2:$O$3015,'Web Feed'!$B$2:$B$3015,Points!$A$4,'Web Feed'!$I$2:$I$3015,$B92))</f>
        <v/>
      </c>
      <c r="G92">
        <f>IF($B92="","",SUMIFS('Web Feed'!$O$2:$O$3015,'Web Feed'!$B$2:$B$3015,Points!$A$5,'Web Feed'!$F$2:$F$3015,$B92)+SUMIFS('Web Feed'!$O$2:$O$3015,'Web Feed'!$B$2:$B$3015,Points!$A$5,'Web Feed'!$G$2:$G$3015,$B92)+SUMIFS('Web Feed'!$O$2:$O$3015,'Web Feed'!$B$2:$B$3015,Points!$A$5,'Web Feed'!$H$2:$H$3015,$B92)+SUMIFS('Web Feed'!$O$2:$O$3015,'Web Feed'!$B$2:$B$3015,Points!$A$5,'Web Feed'!$I$2:$I$3015,$B92))</f>
        <v/>
      </c>
      <c r="H92">
        <f>IF($B92="","",SUMIFS('Web Feed'!$O$2:$O$3015,'Web Feed'!$B$2:$B$3015,Points!$A$6,'Web Feed'!$F$2:$F$3015,$B92)+SUMIFS('Web Feed'!$O$2:$O$3015,'Web Feed'!$B$2:$B$3015,Points!$A$6,'Web Feed'!$G$2:$G$3015,$B92)+SUMIFS('Web Feed'!$O$2:$O$3015,'Web Feed'!$B$2:$B$3015,Points!$A$6,'Web Feed'!$H$2:$H$3015,$B92)+SUMIFS('Web Feed'!$O$2:$O$3015,'Web Feed'!$B$2:$B$3015,Points!$A$6,'Web Feed'!$I$2:$I$3015,$B92))</f>
        <v/>
      </c>
      <c r="I92">
        <f>IF($B92="","",COUNTIFS('Web Feed'!$B$2:$B$3015,"OHW",'Web Feed'!$F$2:$F$3015,$B92))</f>
        <v/>
      </c>
      <c r="J92">
        <f>IF($B92="","",IFERROR(INDEX('Last Week'!$A$2:$A$301,MATCH($B92,'Last Week'!$B$2:$B$301,0)),""))</f>
        <v/>
      </c>
      <c r="K92">
        <f>IF(OR($B92="",$J92=""),"",$J92-$A92)</f>
        <v/>
      </c>
    </row>
    <row r="93">
      <c r="A93">
        <f>IF($B93="","",RANK($C93,$C$2:$C$500))</f>
        <v/>
      </c>
      <c r="B93">
        <f>IF(Players!$A93="","",Players!$A93)</f>
        <v/>
      </c>
      <c r="C93" s="5">
        <f>IF($B93="","",SUM(D93:H93))</f>
        <v/>
      </c>
      <c r="D93">
        <f>IF($B93="","",SUMIFS('Web Feed'!$O$2:$O$3015,'Web Feed'!$B$2:$B$3015,Points!$A$2,'Web Feed'!$F$2:$F$3015,$B93)+SUMIFS('Web Feed'!$O$2:$O$3015,'Web Feed'!$B$2:$B$3015,Points!$A$2,'Web Feed'!$G$2:$G$3015,$B93)+SUMIFS('Web Feed'!$O$2:$O$3015,'Web Feed'!$B$2:$B$3015,Points!$A$2,'Web Feed'!$H$2:$H$3015,$B93)+SUMIFS('Web Feed'!$O$2:$O$3015,'Web Feed'!$B$2:$B$3015,Points!$A$2,'Web Feed'!$I$2:$I$3015,$B93))</f>
        <v/>
      </c>
      <c r="E93">
        <f>IF($B93="","",SUMIFS('Web Feed'!$O$2:$O$3015,'Web Feed'!$B$2:$B$3015,Points!$A$3,'Web Feed'!$F$2:$F$3015,$B93)+SUMIFS('Web Feed'!$O$2:$O$3015,'Web Feed'!$B$2:$B$3015,Points!$A$3,'Web Feed'!$G$2:$G$3015,$B93)+SUMIFS('Web Feed'!$O$2:$O$3015,'Web Feed'!$B$2:$B$3015,Points!$A$3,'Web Feed'!$H$2:$H$3015,$B93)+SUMIFS('Web Feed'!$O$2:$O$3015,'Web Feed'!$B$2:$B$3015,Points!$A$3,'Web Feed'!$I$2:$I$3015,$B93))</f>
        <v/>
      </c>
      <c r="F93">
        <f>IF($B93="","",SUMIFS('Web Feed'!$O$2:$O$3015,'Web Feed'!$B$2:$B$3015,Points!$A$4,'Web Feed'!$F$2:$F$3015,$B93)+SUMIFS('Web Feed'!$O$2:$O$3015,'Web Feed'!$B$2:$B$3015,Points!$A$4,'Web Feed'!$G$2:$G$3015,$B93)+SUMIFS('Web Feed'!$O$2:$O$3015,'Web Feed'!$B$2:$B$3015,Points!$A$4,'Web Feed'!$H$2:$H$3015,$B93)+SUMIFS('Web Feed'!$O$2:$O$3015,'Web Feed'!$B$2:$B$3015,Points!$A$4,'Web Feed'!$I$2:$I$3015,$B93))</f>
        <v/>
      </c>
      <c r="G93">
        <f>IF($B93="","",SUMIFS('Web Feed'!$O$2:$O$3015,'Web Feed'!$B$2:$B$3015,Points!$A$5,'Web Feed'!$F$2:$F$3015,$B93)+SUMIFS('Web Feed'!$O$2:$O$3015,'Web Feed'!$B$2:$B$3015,Points!$A$5,'Web Feed'!$G$2:$G$3015,$B93)+SUMIFS('Web Feed'!$O$2:$O$3015,'Web Feed'!$B$2:$B$3015,Points!$A$5,'Web Feed'!$H$2:$H$3015,$B93)+SUMIFS('Web Feed'!$O$2:$O$3015,'Web Feed'!$B$2:$B$3015,Points!$A$5,'Web Feed'!$I$2:$I$3015,$B93))</f>
        <v/>
      </c>
      <c r="H93">
        <f>IF($B93="","",SUMIFS('Web Feed'!$O$2:$O$3015,'Web Feed'!$B$2:$B$3015,Points!$A$6,'Web Feed'!$F$2:$F$3015,$B93)+SUMIFS('Web Feed'!$O$2:$O$3015,'Web Feed'!$B$2:$B$3015,Points!$A$6,'Web Feed'!$G$2:$G$3015,$B93)+SUMIFS('Web Feed'!$O$2:$O$3015,'Web Feed'!$B$2:$B$3015,Points!$A$6,'Web Feed'!$H$2:$H$3015,$B93)+SUMIFS('Web Feed'!$O$2:$O$3015,'Web Feed'!$B$2:$B$3015,Points!$A$6,'Web Feed'!$I$2:$I$3015,$B93))</f>
        <v/>
      </c>
      <c r="I93">
        <f>IF($B93="","",COUNTIFS('Web Feed'!$B$2:$B$3015,"OHW",'Web Feed'!$F$2:$F$3015,$B93))</f>
        <v/>
      </c>
      <c r="J93">
        <f>IF($B93="","",IFERROR(INDEX('Last Week'!$A$2:$A$301,MATCH($B93,'Last Week'!$B$2:$B$301,0)),""))</f>
        <v/>
      </c>
      <c r="K93">
        <f>IF(OR($B93="",$J93=""),"",$J93-$A93)</f>
        <v/>
      </c>
    </row>
    <row r="94">
      <c r="A94">
        <f>IF($B94="","",RANK($C94,$C$2:$C$500))</f>
        <v/>
      </c>
      <c r="B94">
        <f>IF(Players!$A94="","",Players!$A94)</f>
        <v/>
      </c>
      <c r="C94" s="5">
        <f>IF($B94="","",SUM(D94:H94))</f>
        <v/>
      </c>
      <c r="D94">
        <f>IF($B94="","",SUMIFS('Web Feed'!$O$2:$O$3015,'Web Feed'!$B$2:$B$3015,Points!$A$2,'Web Feed'!$F$2:$F$3015,$B94)+SUMIFS('Web Feed'!$O$2:$O$3015,'Web Feed'!$B$2:$B$3015,Points!$A$2,'Web Feed'!$G$2:$G$3015,$B94)+SUMIFS('Web Feed'!$O$2:$O$3015,'Web Feed'!$B$2:$B$3015,Points!$A$2,'Web Feed'!$H$2:$H$3015,$B94)+SUMIFS('Web Feed'!$O$2:$O$3015,'Web Feed'!$B$2:$B$3015,Points!$A$2,'Web Feed'!$I$2:$I$3015,$B94))</f>
        <v/>
      </c>
      <c r="E94">
        <f>IF($B94="","",SUMIFS('Web Feed'!$O$2:$O$3015,'Web Feed'!$B$2:$B$3015,Points!$A$3,'Web Feed'!$F$2:$F$3015,$B94)+SUMIFS('Web Feed'!$O$2:$O$3015,'Web Feed'!$B$2:$B$3015,Points!$A$3,'Web Feed'!$G$2:$G$3015,$B94)+SUMIFS('Web Feed'!$O$2:$O$3015,'Web Feed'!$B$2:$B$3015,Points!$A$3,'Web Feed'!$H$2:$H$3015,$B94)+SUMIFS('Web Feed'!$O$2:$O$3015,'Web Feed'!$B$2:$B$3015,Points!$A$3,'Web Feed'!$I$2:$I$3015,$B94))</f>
        <v/>
      </c>
      <c r="F94">
        <f>IF($B94="","",SUMIFS('Web Feed'!$O$2:$O$3015,'Web Feed'!$B$2:$B$3015,Points!$A$4,'Web Feed'!$F$2:$F$3015,$B94)+SUMIFS('Web Feed'!$O$2:$O$3015,'Web Feed'!$B$2:$B$3015,Points!$A$4,'Web Feed'!$G$2:$G$3015,$B94)+SUMIFS('Web Feed'!$O$2:$O$3015,'Web Feed'!$B$2:$B$3015,Points!$A$4,'Web Feed'!$H$2:$H$3015,$B94)+SUMIFS('Web Feed'!$O$2:$O$3015,'Web Feed'!$B$2:$B$3015,Points!$A$4,'Web Feed'!$I$2:$I$3015,$B94))</f>
        <v/>
      </c>
      <c r="G94">
        <f>IF($B94="","",SUMIFS('Web Feed'!$O$2:$O$3015,'Web Feed'!$B$2:$B$3015,Points!$A$5,'Web Feed'!$F$2:$F$3015,$B94)+SUMIFS('Web Feed'!$O$2:$O$3015,'Web Feed'!$B$2:$B$3015,Points!$A$5,'Web Feed'!$G$2:$G$3015,$B94)+SUMIFS('Web Feed'!$O$2:$O$3015,'Web Feed'!$B$2:$B$3015,Points!$A$5,'Web Feed'!$H$2:$H$3015,$B94)+SUMIFS('Web Feed'!$O$2:$O$3015,'Web Feed'!$B$2:$B$3015,Points!$A$5,'Web Feed'!$I$2:$I$3015,$B94))</f>
        <v/>
      </c>
      <c r="H94">
        <f>IF($B94="","",SUMIFS('Web Feed'!$O$2:$O$3015,'Web Feed'!$B$2:$B$3015,Points!$A$6,'Web Feed'!$F$2:$F$3015,$B94)+SUMIFS('Web Feed'!$O$2:$O$3015,'Web Feed'!$B$2:$B$3015,Points!$A$6,'Web Feed'!$G$2:$G$3015,$B94)+SUMIFS('Web Feed'!$O$2:$O$3015,'Web Feed'!$B$2:$B$3015,Points!$A$6,'Web Feed'!$H$2:$H$3015,$B94)+SUMIFS('Web Feed'!$O$2:$O$3015,'Web Feed'!$B$2:$B$3015,Points!$A$6,'Web Feed'!$I$2:$I$3015,$B94))</f>
        <v/>
      </c>
      <c r="I94">
        <f>IF($B94="","",COUNTIFS('Web Feed'!$B$2:$B$3015,"OHW",'Web Feed'!$F$2:$F$3015,$B94))</f>
        <v/>
      </c>
      <c r="J94">
        <f>IF($B94="","",IFERROR(INDEX('Last Week'!$A$2:$A$301,MATCH($B94,'Last Week'!$B$2:$B$301,0)),""))</f>
        <v/>
      </c>
      <c r="K94">
        <f>IF(OR($B94="",$J94=""),"",$J94-$A94)</f>
        <v/>
      </c>
    </row>
    <row r="95">
      <c r="A95">
        <f>IF($B95="","",RANK($C95,$C$2:$C$500))</f>
        <v/>
      </c>
      <c r="B95">
        <f>IF(Players!$A95="","",Players!$A95)</f>
        <v/>
      </c>
      <c r="C95" s="5">
        <f>IF($B95="","",SUM(D95:H95))</f>
        <v/>
      </c>
      <c r="D95">
        <f>IF($B95="","",SUMIFS('Web Feed'!$O$2:$O$3015,'Web Feed'!$B$2:$B$3015,Points!$A$2,'Web Feed'!$F$2:$F$3015,$B95)+SUMIFS('Web Feed'!$O$2:$O$3015,'Web Feed'!$B$2:$B$3015,Points!$A$2,'Web Feed'!$G$2:$G$3015,$B95)+SUMIFS('Web Feed'!$O$2:$O$3015,'Web Feed'!$B$2:$B$3015,Points!$A$2,'Web Feed'!$H$2:$H$3015,$B95)+SUMIFS('Web Feed'!$O$2:$O$3015,'Web Feed'!$B$2:$B$3015,Points!$A$2,'Web Feed'!$I$2:$I$3015,$B95))</f>
        <v/>
      </c>
      <c r="E95">
        <f>IF($B95="","",SUMIFS('Web Feed'!$O$2:$O$3015,'Web Feed'!$B$2:$B$3015,Points!$A$3,'Web Feed'!$F$2:$F$3015,$B95)+SUMIFS('Web Feed'!$O$2:$O$3015,'Web Feed'!$B$2:$B$3015,Points!$A$3,'Web Feed'!$G$2:$G$3015,$B95)+SUMIFS('Web Feed'!$O$2:$O$3015,'Web Feed'!$B$2:$B$3015,Points!$A$3,'Web Feed'!$H$2:$H$3015,$B95)+SUMIFS('Web Feed'!$O$2:$O$3015,'Web Feed'!$B$2:$B$3015,Points!$A$3,'Web Feed'!$I$2:$I$3015,$B95))</f>
        <v/>
      </c>
      <c r="F95">
        <f>IF($B95="","",SUMIFS('Web Feed'!$O$2:$O$3015,'Web Feed'!$B$2:$B$3015,Points!$A$4,'Web Feed'!$F$2:$F$3015,$B95)+SUMIFS('Web Feed'!$O$2:$O$3015,'Web Feed'!$B$2:$B$3015,Points!$A$4,'Web Feed'!$G$2:$G$3015,$B95)+SUMIFS('Web Feed'!$O$2:$O$3015,'Web Feed'!$B$2:$B$3015,Points!$A$4,'Web Feed'!$H$2:$H$3015,$B95)+SUMIFS('Web Feed'!$O$2:$O$3015,'Web Feed'!$B$2:$B$3015,Points!$A$4,'Web Feed'!$I$2:$I$3015,$B95))</f>
        <v/>
      </c>
      <c r="G95">
        <f>IF($B95="","",SUMIFS('Web Feed'!$O$2:$O$3015,'Web Feed'!$B$2:$B$3015,Points!$A$5,'Web Feed'!$F$2:$F$3015,$B95)+SUMIFS('Web Feed'!$O$2:$O$3015,'Web Feed'!$B$2:$B$3015,Points!$A$5,'Web Feed'!$G$2:$G$3015,$B95)+SUMIFS('Web Feed'!$O$2:$O$3015,'Web Feed'!$B$2:$B$3015,Points!$A$5,'Web Feed'!$H$2:$H$3015,$B95)+SUMIFS('Web Feed'!$O$2:$O$3015,'Web Feed'!$B$2:$B$3015,Points!$A$5,'Web Feed'!$I$2:$I$3015,$B95))</f>
        <v/>
      </c>
      <c r="H95">
        <f>IF($B95="","",SUMIFS('Web Feed'!$O$2:$O$3015,'Web Feed'!$B$2:$B$3015,Points!$A$6,'Web Feed'!$F$2:$F$3015,$B95)+SUMIFS('Web Feed'!$O$2:$O$3015,'Web Feed'!$B$2:$B$3015,Points!$A$6,'Web Feed'!$G$2:$G$3015,$B95)+SUMIFS('Web Feed'!$O$2:$O$3015,'Web Feed'!$B$2:$B$3015,Points!$A$6,'Web Feed'!$H$2:$H$3015,$B95)+SUMIFS('Web Feed'!$O$2:$O$3015,'Web Feed'!$B$2:$B$3015,Points!$A$6,'Web Feed'!$I$2:$I$3015,$B95))</f>
        <v/>
      </c>
      <c r="I95">
        <f>IF($B95="","",COUNTIFS('Web Feed'!$B$2:$B$3015,"OHW",'Web Feed'!$F$2:$F$3015,$B95))</f>
        <v/>
      </c>
      <c r="J95">
        <f>IF($B95="","",IFERROR(INDEX('Last Week'!$A$2:$A$301,MATCH($B95,'Last Week'!$B$2:$B$301,0)),""))</f>
        <v/>
      </c>
      <c r="K95">
        <f>IF(OR($B95="",$J95=""),"",$J95-$A95)</f>
        <v/>
      </c>
    </row>
    <row r="96">
      <c r="A96">
        <f>IF($B96="","",RANK($C96,$C$2:$C$500))</f>
        <v/>
      </c>
      <c r="B96">
        <f>IF(Players!$A96="","",Players!$A96)</f>
        <v/>
      </c>
      <c r="C96" s="5">
        <f>IF($B96="","",SUM(D96:H96))</f>
        <v/>
      </c>
      <c r="D96">
        <f>IF($B96="","",SUMIFS('Web Feed'!$O$2:$O$3015,'Web Feed'!$B$2:$B$3015,Points!$A$2,'Web Feed'!$F$2:$F$3015,$B96)+SUMIFS('Web Feed'!$O$2:$O$3015,'Web Feed'!$B$2:$B$3015,Points!$A$2,'Web Feed'!$G$2:$G$3015,$B96)+SUMIFS('Web Feed'!$O$2:$O$3015,'Web Feed'!$B$2:$B$3015,Points!$A$2,'Web Feed'!$H$2:$H$3015,$B96)+SUMIFS('Web Feed'!$O$2:$O$3015,'Web Feed'!$B$2:$B$3015,Points!$A$2,'Web Feed'!$I$2:$I$3015,$B96))</f>
        <v/>
      </c>
      <c r="E96">
        <f>IF($B96="","",SUMIFS('Web Feed'!$O$2:$O$3015,'Web Feed'!$B$2:$B$3015,Points!$A$3,'Web Feed'!$F$2:$F$3015,$B96)+SUMIFS('Web Feed'!$O$2:$O$3015,'Web Feed'!$B$2:$B$3015,Points!$A$3,'Web Feed'!$G$2:$G$3015,$B96)+SUMIFS('Web Feed'!$O$2:$O$3015,'Web Feed'!$B$2:$B$3015,Points!$A$3,'Web Feed'!$H$2:$H$3015,$B96)+SUMIFS('Web Feed'!$O$2:$O$3015,'Web Feed'!$B$2:$B$3015,Points!$A$3,'Web Feed'!$I$2:$I$3015,$B96))</f>
        <v/>
      </c>
      <c r="F96">
        <f>IF($B96="","",SUMIFS('Web Feed'!$O$2:$O$3015,'Web Feed'!$B$2:$B$3015,Points!$A$4,'Web Feed'!$F$2:$F$3015,$B96)+SUMIFS('Web Feed'!$O$2:$O$3015,'Web Feed'!$B$2:$B$3015,Points!$A$4,'Web Feed'!$G$2:$G$3015,$B96)+SUMIFS('Web Feed'!$O$2:$O$3015,'Web Feed'!$B$2:$B$3015,Points!$A$4,'Web Feed'!$H$2:$H$3015,$B96)+SUMIFS('Web Feed'!$O$2:$O$3015,'Web Feed'!$B$2:$B$3015,Points!$A$4,'Web Feed'!$I$2:$I$3015,$B96))</f>
        <v/>
      </c>
      <c r="G96">
        <f>IF($B96="","",SUMIFS('Web Feed'!$O$2:$O$3015,'Web Feed'!$B$2:$B$3015,Points!$A$5,'Web Feed'!$F$2:$F$3015,$B96)+SUMIFS('Web Feed'!$O$2:$O$3015,'Web Feed'!$B$2:$B$3015,Points!$A$5,'Web Feed'!$G$2:$G$3015,$B96)+SUMIFS('Web Feed'!$O$2:$O$3015,'Web Feed'!$B$2:$B$3015,Points!$A$5,'Web Feed'!$H$2:$H$3015,$B96)+SUMIFS('Web Feed'!$O$2:$O$3015,'Web Feed'!$B$2:$B$3015,Points!$A$5,'Web Feed'!$I$2:$I$3015,$B96))</f>
        <v/>
      </c>
      <c r="H96">
        <f>IF($B96="","",SUMIFS('Web Feed'!$O$2:$O$3015,'Web Feed'!$B$2:$B$3015,Points!$A$6,'Web Feed'!$F$2:$F$3015,$B96)+SUMIFS('Web Feed'!$O$2:$O$3015,'Web Feed'!$B$2:$B$3015,Points!$A$6,'Web Feed'!$G$2:$G$3015,$B96)+SUMIFS('Web Feed'!$O$2:$O$3015,'Web Feed'!$B$2:$B$3015,Points!$A$6,'Web Feed'!$H$2:$H$3015,$B96)+SUMIFS('Web Feed'!$O$2:$O$3015,'Web Feed'!$B$2:$B$3015,Points!$A$6,'Web Feed'!$I$2:$I$3015,$B96))</f>
        <v/>
      </c>
      <c r="I96">
        <f>IF($B96="","",COUNTIFS('Web Feed'!$B$2:$B$3015,"OHW",'Web Feed'!$F$2:$F$3015,$B96))</f>
        <v/>
      </c>
      <c r="J96">
        <f>IF($B96="","",IFERROR(INDEX('Last Week'!$A$2:$A$301,MATCH($B96,'Last Week'!$B$2:$B$301,0)),""))</f>
        <v/>
      </c>
      <c r="K96">
        <f>IF(OR($B96="",$J96=""),"",$J96-$A96)</f>
        <v/>
      </c>
    </row>
    <row r="97">
      <c r="A97">
        <f>IF($B97="","",RANK($C97,$C$2:$C$500))</f>
        <v/>
      </c>
      <c r="B97">
        <f>IF(Players!$A97="","",Players!$A97)</f>
        <v/>
      </c>
      <c r="C97" s="5">
        <f>IF($B97="","",SUM(D97:H97))</f>
        <v/>
      </c>
      <c r="D97">
        <f>IF($B97="","",SUMIFS('Web Feed'!$O$2:$O$3015,'Web Feed'!$B$2:$B$3015,Points!$A$2,'Web Feed'!$F$2:$F$3015,$B97)+SUMIFS('Web Feed'!$O$2:$O$3015,'Web Feed'!$B$2:$B$3015,Points!$A$2,'Web Feed'!$G$2:$G$3015,$B97)+SUMIFS('Web Feed'!$O$2:$O$3015,'Web Feed'!$B$2:$B$3015,Points!$A$2,'Web Feed'!$H$2:$H$3015,$B97)+SUMIFS('Web Feed'!$O$2:$O$3015,'Web Feed'!$B$2:$B$3015,Points!$A$2,'Web Feed'!$I$2:$I$3015,$B97))</f>
        <v/>
      </c>
      <c r="E97">
        <f>IF($B97="","",SUMIFS('Web Feed'!$O$2:$O$3015,'Web Feed'!$B$2:$B$3015,Points!$A$3,'Web Feed'!$F$2:$F$3015,$B97)+SUMIFS('Web Feed'!$O$2:$O$3015,'Web Feed'!$B$2:$B$3015,Points!$A$3,'Web Feed'!$G$2:$G$3015,$B97)+SUMIFS('Web Feed'!$O$2:$O$3015,'Web Feed'!$B$2:$B$3015,Points!$A$3,'Web Feed'!$H$2:$H$3015,$B97)+SUMIFS('Web Feed'!$O$2:$O$3015,'Web Feed'!$B$2:$B$3015,Points!$A$3,'Web Feed'!$I$2:$I$3015,$B97))</f>
        <v/>
      </c>
      <c r="F97">
        <f>IF($B97="","",SUMIFS('Web Feed'!$O$2:$O$3015,'Web Feed'!$B$2:$B$3015,Points!$A$4,'Web Feed'!$F$2:$F$3015,$B97)+SUMIFS('Web Feed'!$O$2:$O$3015,'Web Feed'!$B$2:$B$3015,Points!$A$4,'Web Feed'!$G$2:$G$3015,$B97)+SUMIFS('Web Feed'!$O$2:$O$3015,'Web Feed'!$B$2:$B$3015,Points!$A$4,'Web Feed'!$H$2:$H$3015,$B97)+SUMIFS('Web Feed'!$O$2:$O$3015,'Web Feed'!$B$2:$B$3015,Points!$A$4,'Web Feed'!$I$2:$I$3015,$B97))</f>
        <v/>
      </c>
      <c r="G97">
        <f>IF($B97="","",SUMIFS('Web Feed'!$O$2:$O$3015,'Web Feed'!$B$2:$B$3015,Points!$A$5,'Web Feed'!$F$2:$F$3015,$B97)+SUMIFS('Web Feed'!$O$2:$O$3015,'Web Feed'!$B$2:$B$3015,Points!$A$5,'Web Feed'!$G$2:$G$3015,$B97)+SUMIFS('Web Feed'!$O$2:$O$3015,'Web Feed'!$B$2:$B$3015,Points!$A$5,'Web Feed'!$H$2:$H$3015,$B97)+SUMIFS('Web Feed'!$O$2:$O$3015,'Web Feed'!$B$2:$B$3015,Points!$A$5,'Web Feed'!$I$2:$I$3015,$B97))</f>
        <v/>
      </c>
      <c r="H97">
        <f>IF($B97="","",SUMIFS('Web Feed'!$O$2:$O$3015,'Web Feed'!$B$2:$B$3015,Points!$A$6,'Web Feed'!$F$2:$F$3015,$B97)+SUMIFS('Web Feed'!$O$2:$O$3015,'Web Feed'!$B$2:$B$3015,Points!$A$6,'Web Feed'!$G$2:$G$3015,$B97)+SUMIFS('Web Feed'!$O$2:$O$3015,'Web Feed'!$B$2:$B$3015,Points!$A$6,'Web Feed'!$H$2:$H$3015,$B97)+SUMIFS('Web Feed'!$O$2:$O$3015,'Web Feed'!$B$2:$B$3015,Points!$A$6,'Web Feed'!$I$2:$I$3015,$B97))</f>
        <v/>
      </c>
      <c r="I97">
        <f>IF($B97="","",COUNTIFS('Web Feed'!$B$2:$B$3015,"OHW",'Web Feed'!$F$2:$F$3015,$B97))</f>
        <v/>
      </c>
      <c r="J97">
        <f>IF($B97="","",IFERROR(INDEX('Last Week'!$A$2:$A$301,MATCH($B97,'Last Week'!$B$2:$B$301,0)),""))</f>
        <v/>
      </c>
      <c r="K97">
        <f>IF(OR($B97="",$J97=""),"",$J97-$A97)</f>
        <v/>
      </c>
    </row>
    <row r="98">
      <c r="A98">
        <f>IF($B98="","",RANK($C98,$C$2:$C$500))</f>
        <v/>
      </c>
      <c r="B98">
        <f>IF(Players!$A98="","",Players!$A98)</f>
        <v/>
      </c>
      <c r="C98" s="5">
        <f>IF($B98="","",SUM(D98:H98))</f>
        <v/>
      </c>
      <c r="D98">
        <f>IF($B98="","",SUMIFS('Web Feed'!$O$2:$O$3015,'Web Feed'!$B$2:$B$3015,Points!$A$2,'Web Feed'!$F$2:$F$3015,$B98)+SUMIFS('Web Feed'!$O$2:$O$3015,'Web Feed'!$B$2:$B$3015,Points!$A$2,'Web Feed'!$G$2:$G$3015,$B98)+SUMIFS('Web Feed'!$O$2:$O$3015,'Web Feed'!$B$2:$B$3015,Points!$A$2,'Web Feed'!$H$2:$H$3015,$B98)+SUMIFS('Web Feed'!$O$2:$O$3015,'Web Feed'!$B$2:$B$3015,Points!$A$2,'Web Feed'!$I$2:$I$3015,$B98))</f>
        <v/>
      </c>
      <c r="E98">
        <f>IF($B98="","",SUMIFS('Web Feed'!$O$2:$O$3015,'Web Feed'!$B$2:$B$3015,Points!$A$3,'Web Feed'!$F$2:$F$3015,$B98)+SUMIFS('Web Feed'!$O$2:$O$3015,'Web Feed'!$B$2:$B$3015,Points!$A$3,'Web Feed'!$G$2:$G$3015,$B98)+SUMIFS('Web Feed'!$O$2:$O$3015,'Web Feed'!$B$2:$B$3015,Points!$A$3,'Web Feed'!$H$2:$H$3015,$B98)+SUMIFS('Web Feed'!$O$2:$O$3015,'Web Feed'!$B$2:$B$3015,Points!$A$3,'Web Feed'!$I$2:$I$3015,$B98))</f>
        <v/>
      </c>
      <c r="F98">
        <f>IF($B98="","",SUMIFS('Web Feed'!$O$2:$O$3015,'Web Feed'!$B$2:$B$3015,Points!$A$4,'Web Feed'!$F$2:$F$3015,$B98)+SUMIFS('Web Feed'!$O$2:$O$3015,'Web Feed'!$B$2:$B$3015,Points!$A$4,'Web Feed'!$G$2:$G$3015,$B98)+SUMIFS('Web Feed'!$O$2:$O$3015,'Web Feed'!$B$2:$B$3015,Points!$A$4,'Web Feed'!$H$2:$H$3015,$B98)+SUMIFS('Web Feed'!$O$2:$O$3015,'Web Feed'!$B$2:$B$3015,Points!$A$4,'Web Feed'!$I$2:$I$3015,$B98))</f>
        <v/>
      </c>
      <c r="G98">
        <f>IF($B98="","",SUMIFS('Web Feed'!$O$2:$O$3015,'Web Feed'!$B$2:$B$3015,Points!$A$5,'Web Feed'!$F$2:$F$3015,$B98)+SUMIFS('Web Feed'!$O$2:$O$3015,'Web Feed'!$B$2:$B$3015,Points!$A$5,'Web Feed'!$G$2:$G$3015,$B98)+SUMIFS('Web Feed'!$O$2:$O$3015,'Web Feed'!$B$2:$B$3015,Points!$A$5,'Web Feed'!$H$2:$H$3015,$B98)+SUMIFS('Web Feed'!$O$2:$O$3015,'Web Feed'!$B$2:$B$3015,Points!$A$5,'Web Feed'!$I$2:$I$3015,$B98))</f>
        <v/>
      </c>
      <c r="H98">
        <f>IF($B98="","",SUMIFS('Web Feed'!$O$2:$O$3015,'Web Feed'!$B$2:$B$3015,Points!$A$6,'Web Feed'!$F$2:$F$3015,$B98)+SUMIFS('Web Feed'!$O$2:$O$3015,'Web Feed'!$B$2:$B$3015,Points!$A$6,'Web Feed'!$G$2:$G$3015,$B98)+SUMIFS('Web Feed'!$O$2:$O$3015,'Web Feed'!$B$2:$B$3015,Points!$A$6,'Web Feed'!$H$2:$H$3015,$B98)+SUMIFS('Web Feed'!$O$2:$O$3015,'Web Feed'!$B$2:$B$3015,Points!$A$6,'Web Feed'!$I$2:$I$3015,$B98))</f>
        <v/>
      </c>
      <c r="I98">
        <f>IF($B98="","",COUNTIFS('Web Feed'!$B$2:$B$3015,"OHW",'Web Feed'!$F$2:$F$3015,$B98))</f>
        <v/>
      </c>
      <c r="J98">
        <f>IF($B98="","",IFERROR(INDEX('Last Week'!$A$2:$A$301,MATCH($B98,'Last Week'!$B$2:$B$301,0)),""))</f>
        <v/>
      </c>
      <c r="K98">
        <f>IF(OR($B98="",$J98=""),"",$J98-$A98)</f>
        <v/>
      </c>
    </row>
    <row r="99">
      <c r="A99">
        <f>IF($B99="","",RANK($C99,$C$2:$C$500))</f>
        <v/>
      </c>
      <c r="B99">
        <f>IF(Players!$A99="","",Players!$A99)</f>
        <v/>
      </c>
      <c r="C99" s="5">
        <f>IF($B99="","",SUM(D99:H99))</f>
        <v/>
      </c>
      <c r="D99">
        <f>IF($B99="","",SUMIFS('Web Feed'!$O$2:$O$3015,'Web Feed'!$B$2:$B$3015,Points!$A$2,'Web Feed'!$F$2:$F$3015,$B99)+SUMIFS('Web Feed'!$O$2:$O$3015,'Web Feed'!$B$2:$B$3015,Points!$A$2,'Web Feed'!$G$2:$G$3015,$B99)+SUMIFS('Web Feed'!$O$2:$O$3015,'Web Feed'!$B$2:$B$3015,Points!$A$2,'Web Feed'!$H$2:$H$3015,$B99)+SUMIFS('Web Feed'!$O$2:$O$3015,'Web Feed'!$B$2:$B$3015,Points!$A$2,'Web Feed'!$I$2:$I$3015,$B99))</f>
        <v/>
      </c>
      <c r="E99">
        <f>IF($B99="","",SUMIFS('Web Feed'!$O$2:$O$3015,'Web Feed'!$B$2:$B$3015,Points!$A$3,'Web Feed'!$F$2:$F$3015,$B99)+SUMIFS('Web Feed'!$O$2:$O$3015,'Web Feed'!$B$2:$B$3015,Points!$A$3,'Web Feed'!$G$2:$G$3015,$B99)+SUMIFS('Web Feed'!$O$2:$O$3015,'Web Feed'!$B$2:$B$3015,Points!$A$3,'Web Feed'!$H$2:$H$3015,$B99)+SUMIFS('Web Feed'!$O$2:$O$3015,'Web Feed'!$B$2:$B$3015,Points!$A$3,'Web Feed'!$I$2:$I$3015,$B99))</f>
        <v/>
      </c>
      <c r="F99">
        <f>IF($B99="","",SUMIFS('Web Feed'!$O$2:$O$3015,'Web Feed'!$B$2:$B$3015,Points!$A$4,'Web Feed'!$F$2:$F$3015,$B99)+SUMIFS('Web Feed'!$O$2:$O$3015,'Web Feed'!$B$2:$B$3015,Points!$A$4,'Web Feed'!$G$2:$G$3015,$B99)+SUMIFS('Web Feed'!$O$2:$O$3015,'Web Feed'!$B$2:$B$3015,Points!$A$4,'Web Feed'!$H$2:$H$3015,$B99)+SUMIFS('Web Feed'!$O$2:$O$3015,'Web Feed'!$B$2:$B$3015,Points!$A$4,'Web Feed'!$I$2:$I$3015,$B99))</f>
        <v/>
      </c>
      <c r="G99">
        <f>IF($B99="","",SUMIFS('Web Feed'!$O$2:$O$3015,'Web Feed'!$B$2:$B$3015,Points!$A$5,'Web Feed'!$F$2:$F$3015,$B99)+SUMIFS('Web Feed'!$O$2:$O$3015,'Web Feed'!$B$2:$B$3015,Points!$A$5,'Web Feed'!$G$2:$G$3015,$B99)+SUMIFS('Web Feed'!$O$2:$O$3015,'Web Feed'!$B$2:$B$3015,Points!$A$5,'Web Feed'!$H$2:$H$3015,$B99)+SUMIFS('Web Feed'!$O$2:$O$3015,'Web Feed'!$B$2:$B$3015,Points!$A$5,'Web Feed'!$I$2:$I$3015,$B99))</f>
        <v/>
      </c>
      <c r="H99">
        <f>IF($B99="","",SUMIFS('Web Feed'!$O$2:$O$3015,'Web Feed'!$B$2:$B$3015,Points!$A$6,'Web Feed'!$F$2:$F$3015,$B99)+SUMIFS('Web Feed'!$O$2:$O$3015,'Web Feed'!$B$2:$B$3015,Points!$A$6,'Web Feed'!$G$2:$G$3015,$B99)+SUMIFS('Web Feed'!$O$2:$O$3015,'Web Feed'!$B$2:$B$3015,Points!$A$6,'Web Feed'!$H$2:$H$3015,$B99)+SUMIFS('Web Feed'!$O$2:$O$3015,'Web Feed'!$B$2:$B$3015,Points!$A$6,'Web Feed'!$I$2:$I$3015,$B99))</f>
        <v/>
      </c>
      <c r="I99">
        <f>IF($B99="","",COUNTIFS('Web Feed'!$B$2:$B$3015,"OHW",'Web Feed'!$F$2:$F$3015,$B99))</f>
        <v/>
      </c>
      <c r="J99">
        <f>IF($B99="","",IFERROR(INDEX('Last Week'!$A$2:$A$301,MATCH($B99,'Last Week'!$B$2:$B$301,0)),""))</f>
        <v/>
      </c>
      <c r="K99">
        <f>IF(OR($B99="",$J99=""),"",$J99-$A99)</f>
        <v/>
      </c>
    </row>
    <row r="100">
      <c r="A100">
        <f>IF($B100="","",RANK($C100,$C$2:$C$500))</f>
        <v/>
      </c>
      <c r="B100">
        <f>IF(Players!$A100="","",Players!$A100)</f>
        <v/>
      </c>
      <c r="C100" s="5">
        <f>IF($B100="","",SUM(D100:H100))</f>
        <v/>
      </c>
      <c r="D100">
        <f>IF($B100="","",SUMIFS('Web Feed'!$O$2:$O$3015,'Web Feed'!$B$2:$B$3015,Points!$A$2,'Web Feed'!$F$2:$F$3015,$B100)+SUMIFS('Web Feed'!$O$2:$O$3015,'Web Feed'!$B$2:$B$3015,Points!$A$2,'Web Feed'!$G$2:$G$3015,$B100)+SUMIFS('Web Feed'!$O$2:$O$3015,'Web Feed'!$B$2:$B$3015,Points!$A$2,'Web Feed'!$H$2:$H$3015,$B100)+SUMIFS('Web Feed'!$O$2:$O$3015,'Web Feed'!$B$2:$B$3015,Points!$A$2,'Web Feed'!$I$2:$I$3015,$B100))</f>
        <v/>
      </c>
      <c r="E100">
        <f>IF($B100="","",SUMIFS('Web Feed'!$O$2:$O$3015,'Web Feed'!$B$2:$B$3015,Points!$A$3,'Web Feed'!$F$2:$F$3015,$B100)+SUMIFS('Web Feed'!$O$2:$O$3015,'Web Feed'!$B$2:$B$3015,Points!$A$3,'Web Feed'!$G$2:$G$3015,$B100)+SUMIFS('Web Feed'!$O$2:$O$3015,'Web Feed'!$B$2:$B$3015,Points!$A$3,'Web Feed'!$H$2:$H$3015,$B100)+SUMIFS('Web Feed'!$O$2:$O$3015,'Web Feed'!$B$2:$B$3015,Points!$A$3,'Web Feed'!$I$2:$I$3015,$B100))</f>
        <v/>
      </c>
      <c r="F100">
        <f>IF($B100="","",SUMIFS('Web Feed'!$O$2:$O$3015,'Web Feed'!$B$2:$B$3015,Points!$A$4,'Web Feed'!$F$2:$F$3015,$B100)+SUMIFS('Web Feed'!$O$2:$O$3015,'Web Feed'!$B$2:$B$3015,Points!$A$4,'Web Feed'!$G$2:$G$3015,$B100)+SUMIFS('Web Feed'!$O$2:$O$3015,'Web Feed'!$B$2:$B$3015,Points!$A$4,'Web Feed'!$H$2:$H$3015,$B100)+SUMIFS('Web Feed'!$O$2:$O$3015,'Web Feed'!$B$2:$B$3015,Points!$A$4,'Web Feed'!$I$2:$I$3015,$B100))</f>
        <v/>
      </c>
      <c r="G100">
        <f>IF($B100="","",SUMIFS('Web Feed'!$O$2:$O$3015,'Web Feed'!$B$2:$B$3015,Points!$A$5,'Web Feed'!$F$2:$F$3015,$B100)+SUMIFS('Web Feed'!$O$2:$O$3015,'Web Feed'!$B$2:$B$3015,Points!$A$5,'Web Feed'!$G$2:$G$3015,$B100)+SUMIFS('Web Feed'!$O$2:$O$3015,'Web Feed'!$B$2:$B$3015,Points!$A$5,'Web Feed'!$H$2:$H$3015,$B100)+SUMIFS('Web Feed'!$O$2:$O$3015,'Web Feed'!$B$2:$B$3015,Points!$A$5,'Web Feed'!$I$2:$I$3015,$B100))</f>
        <v/>
      </c>
      <c r="H100">
        <f>IF($B100="","",SUMIFS('Web Feed'!$O$2:$O$3015,'Web Feed'!$B$2:$B$3015,Points!$A$6,'Web Feed'!$F$2:$F$3015,$B100)+SUMIFS('Web Feed'!$O$2:$O$3015,'Web Feed'!$B$2:$B$3015,Points!$A$6,'Web Feed'!$G$2:$G$3015,$B100)+SUMIFS('Web Feed'!$O$2:$O$3015,'Web Feed'!$B$2:$B$3015,Points!$A$6,'Web Feed'!$H$2:$H$3015,$B100)+SUMIFS('Web Feed'!$O$2:$O$3015,'Web Feed'!$B$2:$B$3015,Points!$A$6,'Web Feed'!$I$2:$I$3015,$B100))</f>
        <v/>
      </c>
      <c r="I100">
        <f>IF($B100="","",COUNTIFS('Web Feed'!$B$2:$B$3015,"OHW",'Web Feed'!$F$2:$F$3015,$B100))</f>
        <v/>
      </c>
      <c r="J100">
        <f>IF($B100="","",IFERROR(INDEX('Last Week'!$A$2:$A$301,MATCH($B100,'Last Week'!$B$2:$B$301,0)),""))</f>
        <v/>
      </c>
      <c r="K100">
        <f>IF(OR($B100="",$J100=""),"",$J100-$A100)</f>
        <v/>
      </c>
    </row>
    <row r="101">
      <c r="A101">
        <f>IF($B101="","",RANK($C101,$C$2:$C$500))</f>
        <v/>
      </c>
      <c r="B101">
        <f>IF(Players!$A101="","",Players!$A101)</f>
        <v/>
      </c>
      <c r="C101" s="5">
        <f>IF($B101="","",SUM(D101:H101))</f>
        <v/>
      </c>
      <c r="D101">
        <f>IF($B101="","",SUMIFS('Web Feed'!$O$2:$O$3015,'Web Feed'!$B$2:$B$3015,Points!$A$2,'Web Feed'!$F$2:$F$3015,$B101)+SUMIFS('Web Feed'!$O$2:$O$3015,'Web Feed'!$B$2:$B$3015,Points!$A$2,'Web Feed'!$G$2:$G$3015,$B101)+SUMIFS('Web Feed'!$O$2:$O$3015,'Web Feed'!$B$2:$B$3015,Points!$A$2,'Web Feed'!$H$2:$H$3015,$B101)+SUMIFS('Web Feed'!$O$2:$O$3015,'Web Feed'!$B$2:$B$3015,Points!$A$2,'Web Feed'!$I$2:$I$3015,$B101))</f>
        <v/>
      </c>
      <c r="E101">
        <f>IF($B101="","",SUMIFS('Web Feed'!$O$2:$O$3015,'Web Feed'!$B$2:$B$3015,Points!$A$3,'Web Feed'!$F$2:$F$3015,$B101)+SUMIFS('Web Feed'!$O$2:$O$3015,'Web Feed'!$B$2:$B$3015,Points!$A$3,'Web Feed'!$G$2:$G$3015,$B101)+SUMIFS('Web Feed'!$O$2:$O$3015,'Web Feed'!$B$2:$B$3015,Points!$A$3,'Web Feed'!$H$2:$H$3015,$B101)+SUMIFS('Web Feed'!$O$2:$O$3015,'Web Feed'!$B$2:$B$3015,Points!$A$3,'Web Feed'!$I$2:$I$3015,$B101))</f>
        <v/>
      </c>
      <c r="F101">
        <f>IF($B101="","",SUMIFS('Web Feed'!$O$2:$O$3015,'Web Feed'!$B$2:$B$3015,Points!$A$4,'Web Feed'!$F$2:$F$3015,$B101)+SUMIFS('Web Feed'!$O$2:$O$3015,'Web Feed'!$B$2:$B$3015,Points!$A$4,'Web Feed'!$G$2:$G$3015,$B101)+SUMIFS('Web Feed'!$O$2:$O$3015,'Web Feed'!$B$2:$B$3015,Points!$A$4,'Web Feed'!$H$2:$H$3015,$B101)+SUMIFS('Web Feed'!$O$2:$O$3015,'Web Feed'!$B$2:$B$3015,Points!$A$4,'Web Feed'!$I$2:$I$3015,$B101))</f>
        <v/>
      </c>
      <c r="G101">
        <f>IF($B101="","",SUMIFS('Web Feed'!$O$2:$O$3015,'Web Feed'!$B$2:$B$3015,Points!$A$5,'Web Feed'!$F$2:$F$3015,$B101)+SUMIFS('Web Feed'!$O$2:$O$3015,'Web Feed'!$B$2:$B$3015,Points!$A$5,'Web Feed'!$G$2:$G$3015,$B101)+SUMIFS('Web Feed'!$O$2:$O$3015,'Web Feed'!$B$2:$B$3015,Points!$A$5,'Web Feed'!$H$2:$H$3015,$B101)+SUMIFS('Web Feed'!$O$2:$O$3015,'Web Feed'!$B$2:$B$3015,Points!$A$5,'Web Feed'!$I$2:$I$3015,$B101))</f>
        <v/>
      </c>
      <c r="H101">
        <f>IF($B101="","",SUMIFS('Web Feed'!$O$2:$O$3015,'Web Feed'!$B$2:$B$3015,Points!$A$6,'Web Feed'!$F$2:$F$3015,$B101)+SUMIFS('Web Feed'!$O$2:$O$3015,'Web Feed'!$B$2:$B$3015,Points!$A$6,'Web Feed'!$G$2:$G$3015,$B101)+SUMIFS('Web Feed'!$O$2:$O$3015,'Web Feed'!$B$2:$B$3015,Points!$A$6,'Web Feed'!$H$2:$H$3015,$B101)+SUMIFS('Web Feed'!$O$2:$O$3015,'Web Feed'!$B$2:$B$3015,Points!$A$6,'Web Feed'!$I$2:$I$3015,$B101))</f>
        <v/>
      </c>
      <c r="I101">
        <f>IF($B101="","",COUNTIFS('Web Feed'!$B$2:$B$3015,"OHW",'Web Feed'!$F$2:$F$3015,$B101))</f>
        <v/>
      </c>
      <c r="J101">
        <f>IF($B101="","",IFERROR(INDEX('Last Week'!$A$2:$A$301,MATCH($B101,'Last Week'!$B$2:$B$301,0)),""))</f>
        <v/>
      </c>
      <c r="K101">
        <f>IF(OR($B101="",$J101=""),"",$J101-$A101)</f>
        <v/>
      </c>
    </row>
    <row r="102">
      <c r="A102">
        <f>IF($B102="","",RANK($C102,$C$2:$C$500))</f>
        <v/>
      </c>
      <c r="B102">
        <f>IF(Players!$A102="","",Players!$A102)</f>
        <v/>
      </c>
      <c r="C102" s="5">
        <f>IF($B102="","",SUM(D102:H102))</f>
        <v/>
      </c>
      <c r="D102">
        <f>IF($B102="","",SUMIFS('Web Feed'!$O$2:$O$3015,'Web Feed'!$B$2:$B$3015,Points!$A$2,'Web Feed'!$F$2:$F$3015,$B102)+SUMIFS('Web Feed'!$O$2:$O$3015,'Web Feed'!$B$2:$B$3015,Points!$A$2,'Web Feed'!$G$2:$G$3015,$B102)+SUMIFS('Web Feed'!$O$2:$O$3015,'Web Feed'!$B$2:$B$3015,Points!$A$2,'Web Feed'!$H$2:$H$3015,$B102)+SUMIFS('Web Feed'!$O$2:$O$3015,'Web Feed'!$B$2:$B$3015,Points!$A$2,'Web Feed'!$I$2:$I$3015,$B102))</f>
        <v/>
      </c>
      <c r="E102">
        <f>IF($B102="","",SUMIFS('Web Feed'!$O$2:$O$3015,'Web Feed'!$B$2:$B$3015,Points!$A$3,'Web Feed'!$F$2:$F$3015,$B102)+SUMIFS('Web Feed'!$O$2:$O$3015,'Web Feed'!$B$2:$B$3015,Points!$A$3,'Web Feed'!$G$2:$G$3015,$B102)+SUMIFS('Web Feed'!$O$2:$O$3015,'Web Feed'!$B$2:$B$3015,Points!$A$3,'Web Feed'!$H$2:$H$3015,$B102)+SUMIFS('Web Feed'!$O$2:$O$3015,'Web Feed'!$B$2:$B$3015,Points!$A$3,'Web Feed'!$I$2:$I$3015,$B102))</f>
        <v/>
      </c>
      <c r="F102">
        <f>IF($B102="","",SUMIFS('Web Feed'!$O$2:$O$3015,'Web Feed'!$B$2:$B$3015,Points!$A$4,'Web Feed'!$F$2:$F$3015,$B102)+SUMIFS('Web Feed'!$O$2:$O$3015,'Web Feed'!$B$2:$B$3015,Points!$A$4,'Web Feed'!$G$2:$G$3015,$B102)+SUMIFS('Web Feed'!$O$2:$O$3015,'Web Feed'!$B$2:$B$3015,Points!$A$4,'Web Feed'!$H$2:$H$3015,$B102)+SUMIFS('Web Feed'!$O$2:$O$3015,'Web Feed'!$B$2:$B$3015,Points!$A$4,'Web Feed'!$I$2:$I$3015,$B102))</f>
        <v/>
      </c>
      <c r="G102">
        <f>IF($B102="","",SUMIFS('Web Feed'!$O$2:$O$3015,'Web Feed'!$B$2:$B$3015,Points!$A$5,'Web Feed'!$F$2:$F$3015,$B102)+SUMIFS('Web Feed'!$O$2:$O$3015,'Web Feed'!$B$2:$B$3015,Points!$A$5,'Web Feed'!$G$2:$G$3015,$B102)+SUMIFS('Web Feed'!$O$2:$O$3015,'Web Feed'!$B$2:$B$3015,Points!$A$5,'Web Feed'!$H$2:$H$3015,$B102)+SUMIFS('Web Feed'!$O$2:$O$3015,'Web Feed'!$B$2:$B$3015,Points!$A$5,'Web Feed'!$I$2:$I$3015,$B102))</f>
        <v/>
      </c>
      <c r="H102">
        <f>IF($B102="","",SUMIFS('Web Feed'!$O$2:$O$3015,'Web Feed'!$B$2:$B$3015,Points!$A$6,'Web Feed'!$F$2:$F$3015,$B102)+SUMIFS('Web Feed'!$O$2:$O$3015,'Web Feed'!$B$2:$B$3015,Points!$A$6,'Web Feed'!$G$2:$G$3015,$B102)+SUMIFS('Web Feed'!$O$2:$O$3015,'Web Feed'!$B$2:$B$3015,Points!$A$6,'Web Feed'!$H$2:$H$3015,$B102)+SUMIFS('Web Feed'!$O$2:$O$3015,'Web Feed'!$B$2:$B$3015,Points!$A$6,'Web Feed'!$I$2:$I$3015,$B102))</f>
        <v/>
      </c>
      <c r="I102">
        <f>IF($B102="","",COUNTIFS('Web Feed'!$B$2:$B$3015,"OHW",'Web Feed'!$F$2:$F$3015,$B102))</f>
        <v/>
      </c>
      <c r="J102">
        <f>IF($B102="","",IFERROR(INDEX('Last Week'!$A$2:$A$301,MATCH($B102,'Last Week'!$B$2:$B$301,0)),""))</f>
        <v/>
      </c>
      <c r="K102">
        <f>IF(OR($B102="",$J102=""),"",$J102-$A102)</f>
        <v/>
      </c>
    </row>
    <row r="103">
      <c r="A103">
        <f>IF($B103="","",RANK($C103,$C$2:$C$500))</f>
        <v/>
      </c>
      <c r="B103">
        <f>IF(Players!$A103="","",Players!$A103)</f>
        <v/>
      </c>
      <c r="C103" s="5">
        <f>IF($B103="","",SUM(D103:H103))</f>
        <v/>
      </c>
      <c r="D103">
        <f>IF($B103="","",SUMIFS('Web Feed'!$O$2:$O$3015,'Web Feed'!$B$2:$B$3015,Points!$A$2,'Web Feed'!$F$2:$F$3015,$B103)+SUMIFS('Web Feed'!$O$2:$O$3015,'Web Feed'!$B$2:$B$3015,Points!$A$2,'Web Feed'!$G$2:$G$3015,$B103)+SUMIFS('Web Feed'!$O$2:$O$3015,'Web Feed'!$B$2:$B$3015,Points!$A$2,'Web Feed'!$H$2:$H$3015,$B103)+SUMIFS('Web Feed'!$O$2:$O$3015,'Web Feed'!$B$2:$B$3015,Points!$A$2,'Web Feed'!$I$2:$I$3015,$B103))</f>
        <v/>
      </c>
      <c r="E103">
        <f>IF($B103="","",SUMIFS('Web Feed'!$O$2:$O$3015,'Web Feed'!$B$2:$B$3015,Points!$A$3,'Web Feed'!$F$2:$F$3015,$B103)+SUMIFS('Web Feed'!$O$2:$O$3015,'Web Feed'!$B$2:$B$3015,Points!$A$3,'Web Feed'!$G$2:$G$3015,$B103)+SUMIFS('Web Feed'!$O$2:$O$3015,'Web Feed'!$B$2:$B$3015,Points!$A$3,'Web Feed'!$H$2:$H$3015,$B103)+SUMIFS('Web Feed'!$O$2:$O$3015,'Web Feed'!$B$2:$B$3015,Points!$A$3,'Web Feed'!$I$2:$I$3015,$B103))</f>
        <v/>
      </c>
      <c r="F103">
        <f>IF($B103="","",SUMIFS('Web Feed'!$O$2:$O$3015,'Web Feed'!$B$2:$B$3015,Points!$A$4,'Web Feed'!$F$2:$F$3015,$B103)+SUMIFS('Web Feed'!$O$2:$O$3015,'Web Feed'!$B$2:$B$3015,Points!$A$4,'Web Feed'!$G$2:$G$3015,$B103)+SUMIFS('Web Feed'!$O$2:$O$3015,'Web Feed'!$B$2:$B$3015,Points!$A$4,'Web Feed'!$H$2:$H$3015,$B103)+SUMIFS('Web Feed'!$O$2:$O$3015,'Web Feed'!$B$2:$B$3015,Points!$A$4,'Web Feed'!$I$2:$I$3015,$B103))</f>
        <v/>
      </c>
      <c r="G103">
        <f>IF($B103="","",SUMIFS('Web Feed'!$O$2:$O$3015,'Web Feed'!$B$2:$B$3015,Points!$A$5,'Web Feed'!$F$2:$F$3015,$B103)+SUMIFS('Web Feed'!$O$2:$O$3015,'Web Feed'!$B$2:$B$3015,Points!$A$5,'Web Feed'!$G$2:$G$3015,$B103)+SUMIFS('Web Feed'!$O$2:$O$3015,'Web Feed'!$B$2:$B$3015,Points!$A$5,'Web Feed'!$H$2:$H$3015,$B103)+SUMIFS('Web Feed'!$O$2:$O$3015,'Web Feed'!$B$2:$B$3015,Points!$A$5,'Web Feed'!$I$2:$I$3015,$B103))</f>
        <v/>
      </c>
      <c r="H103">
        <f>IF($B103="","",SUMIFS('Web Feed'!$O$2:$O$3015,'Web Feed'!$B$2:$B$3015,Points!$A$6,'Web Feed'!$F$2:$F$3015,$B103)+SUMIFS('Web Feed'!$O$2:$O$3015,'Web Feed'!$B$2:$B$3015,Points!$A$6,'Web Feed'!$G$2:$G$3015,$B103)+SUMIFS('Web Feed'!$O$2:$O$3015,'Web Feed'!$B$2:$B$3015,Points!$A$6,'Web Feed'!$H$2:$H$3015,$B103)+SUMIFS('Web Feed'!$O$2:$O$3015,'Web Feed'!$B$2:$B$3015,Points!$A$6,'Web Feed'!$I$2:$I$3015,$B103))</f>
        <v/>
      </c>
      <c r="I103">
        <f>IF($B103="","",COUNTIFS('Web Feed'!$B$2:$B$3015,"OHW",'Web Feed'!$F$2:$F$3015,$B103))</f>
        <v/>
      </c>
      <c r="J103">
        <f>IF($B103="","",IFERROR(INDEX('Last Week'!$A$2:$A$301,MATCH($B103,'Last Week'!$B$2:$B$301,0)),""))</f>
        <v/>
      </c>
      <c r="K103">
        <f>IF(OR($B103="",$J103=""),"",$J103-$A103)</f>
        <v/>
      </c>
    </row>
    <row r="104">
      <c r="A104">
        <f>IF($B104="","",RANK($C104,$C$2:$C$500))</f>
        <v/>
      </c>
      <c r="B104">
        <f>IF(Players!$A104="","",Players!$A104)</f>
        <v/>
      </c>
      <c r="C104" s="5">
        <f>IF($B104="","",SUM(D104:H104))</f>
        <v/>
      </c>
      <c r="D104">
        <f>IF($B104="","",SUMIFS('Web Feed'!$O$2:$O$3015,'Web Feed'!$B$2:$B$3015,Points!$A$2,'Web Feed'!$F$2:$F$3015,$B104)+SUMIFS('Web Feed'!$O$2:$O$3015,'Web Feed'!$B$2:$B$3015,Points!$A$2,'Web Feed'!$G$2:$G$3015,$B104)+SUMIFS('Web Feed'!$O$2:$O$3015,'Web Feed'!$B$2:$B$3015,Points!$A$2,'Web Feed'!$H$2:$H$3015,$B104)+SUMIFS('Web Feed'!$O$2:$O$3015,'Web Feed'!$B$2:$B$3015,Points!$A$2,'Web Feed'!$I$2:$I$3015,$B104))</f>
        <v/>
      </c>
      <c r="E104">
        <f>IF($B104="","",SUMIFS('Web Feed'!$O$2:$O$3015,'Web Feed'!$B$2:$B$3015,Points!$A$3,'Web Feed'!$F$2:$F$3015,$B104)+SUMIFS('Web Feed'!$O$2:$O$3015,'Web Feed'!$B$2:$B$3015,Points!$A$3,'Web Feed'!$G$2:$G$3015,$B104)+SUMIFS('Web Feed'!$O$2:$O$3015,'Web Feed'!$B$2:$B$3015,Points!$A$3,'Web Feed'!$H$2:$H$3015,$B104)+SUMIFS('Web Feed'!$O$2:$O$3015,'Web Feed'!$B$2:$B$3015,Points!$A$3,'Web Feed'!$I$2:$I$3015,$B104))</f>
        <v/>
      </c>
      <c r="F104">
        <f>IF($B104="","",SUMIFS('Web Feed'!$O$2:$O$3015,'Web Feed'!$B$2:$B$3015,Points!$A$4,'Web Feed'!$F$2:$F$3015,$B104)+SUMIFS('Web Feed'!$O$2:$O$3015,'Web Feed'!$B$2:$B$3015,Points!$A$4,'Web Feed'!$G$2:$G$3015,$B104)+SUMIFS('Web Feed'!$O$2:$O$3015,'Web Feed'!$B$2:$B$3015,Points!$A$4,'Web Feed'!$H$2:$H$3015,$B104)+SUMIFS('Web Feed'!$O$2:$O$3015,'Web Feed'!$B$2:$B$3015,Points!$A$4,'Web Feed'!$I$2:$I$3015,$B104))</f>
        <v/>
      </c>
      <c r="G104">
        <f>IF($B104="","",SUMIFS('Web Feed'!$O$2:$O$3015,'Web Feed'!$B$2:$B$3015,Points!$A$5,'Web Feed'!$F$2:$F$3015,$B104)+SUMIFS('Web Feed'!$O$2:$O$3015,'Web Feed'!$B$2:$B$3015,Points!$A$5,'Web Feed'!$G$2:$G$3015,$B104)+SUMIFS('Web Feed'!$O$2:$O$3015,'Web Feed'!$B$2:$B$3015,Points!$A$5,'Web Feed'!$H$2:$H$3015,$B104)+SUMIFS('Web Feed'!$O$2:$O$3015,'Web Feed'!$B$2:$B$3015,Points!$A$5,'Web Feed'!$I$2:$I$3015,$B104))</f>
        <v/>
      </c>
      <c r="H104">
        <f>IF($B104="","",SUMIFS('Web Feed'!$O$2:$O$3015,'Web Feed'!$B$2:$B$3015,Points!$A$6,'Web Feed'!$F$2:$F$3015,$B104)+SUMIFS('Web Feed'!$O$2:$O$3015,'Web Feed'!$B$2:$B$3015,Points!$A$6,'Web Feed'!$G$2:$G$3015,$B104)+SUMIFS('Web Feed'!$O$2:$O$3015,'Web Feed'!$B$2:$B$3015,Points!$A$6,'Web Feed'!$H$2:$H$3015,$B104)+SUMIFS('Web Feed'!$O$2:$O$3015,'Web Feed'!$B$2:$B$3015,Points!$A$6,'Web Feed'!$I$2:$I$3015,$B104))</f>
        <v/>
      </c>
      <c r="I104">
        <f>IF($B104="","",COUNTIFS('Web Feed'!$B$2:$B$3015,"OHW",'Web Feed'!$F$2:$F$3015,$B104))</f>
        <v/>
      </c>
      <c r="J104">
        <f>IF($B104="","",IFERROR(INDEX('Last Week'!$A$2:$A$301,MATCH($B104,'Last Week'!$B$2:$B$301,0)),""))</f>
        <v/>
      </c>
      <c r="K104">
        <f>IF(OR($B104="",$J104=""),"",$J104-$A104)</f>
        <v/>
      </c>
    </row>
    <row r="105">
      <c r="A105">
        <f>IF($B105="","",RANK($C105,$C$2:$C$500))</f>
        <v/>
      </c>
      <c r="B105">
        <f>IF(Players!$A105="","",Players!$A105)</f>
        <v/>
      </c>
      <c r="C105" s="5">
        <f>IF($B105="","",SUM(D105:H105))</f>
        <v/>
      </c>
      <c r="D105">
        <f>IF($B105="","",SUMIFS('Web Feed'!$O$2:$O$3015,'Web Feed'!$B$2:$B$3015,Points!$A$2,'Web Feed'!$F$2:$F$3015,$B105)+SUMIFS('Web Feed'!$O$2:$O$3015,'Web Feed'!$B$2:$B$3015,Points!$A$2,'Web Feed'!$G$2:$G$3015,$B105)+SUMIFS('Web Feed'!$O$2:$O$3015,'Web Feed'!$B$2:$B$3015,Points!$A$2,'Web Feed'!$H$2:$H$3015,$B105)+SUMIFS('Web Feed'!$O$2:$O$3015,'Web Feed'!$B$2:$B$3015,Points!$A$2,'Web Feed'!$I$2:$I$3015,$B105))</f>
        <v/>
      </c>
      <c r="E105">
        <f>IF($B105="","",SUMIFS('Web Feed'!$O$2:$O$3015,'Web Feed'!$B$2:$B$3015,Points!$A$3,'Web Feed'!$F$2:$F$3015,$B105)+SUMIFS('Web Feed'!$O$2:$O$3015,'Web Feed'!$B$2:$B$3015,Points!$A$3,'Web Feed'!$G$2:$G$3015,$B105)+SUMIFS('Web Feed'!$O$2:$O$3015,'Web Feed'!$B$2:$B$3015,Points!$A$3,'Web Feed'!$H$2:$H$3015,$B105)+SUMIFS('Web Feed'!$O$2:$O$3015,'Web Feed'!$B$2:$B$3015,Points!$A$3,'Web Feed'!$I$2:$I$3015,$B105))</f>
        <v/>
      </c>
      <c r="F105">
        <f>IF($B105="","",SUMIFS('Web Feed'!$O$2:$O$3015,'Web Feed'!$B$2:$B$3015,Points!$A$4,'Web Feed'!$F$2:$F$3015,$B105)+SUMIFS('Web Feed'!$O$2:$O$3015,'Web Feed'!$B$2:$B$3015,Points!$A$4,'Web Feed'!$G$2:$G$3015,$B105)+SUMIFS('Web Feed'!$O$2:$O$3015,'Web Feed'!$B$2:$B$3015,Points!$A$4,'Web Feed'!$H$2:$H$3015,$B105)+SUMIFS('Web Feed'!$O$2:$O$3015,'Web Feed'!$B$2:$B$3015,Points!$A$4,'Web Feed'!$I$2:$I$3015,$B105))</f>
        <v/>
      </c>
      <c r="G105">
        <f>IF($B105="","",SUMIFS('Web Feed'!$O$2:$O$3015,'Web Feed'!$B$2:$B$3015,Points!$A$5,'Web Feed'!$F$2:$F$3015,$B105)+SUMIFS('Web Feed'!$O$2:$O$3015,'Web Feed'!$B$2:$B$3015,Points!$A$5,'Web Feed'!$G$2:$G$3015,$B105)+SUMIFS('Web Feed'!$O$2:$O$3015,'Web Feed'!$B$2:$B$3015,Points!$A$5,'Web Feed'!$H$2:$H$3015,$B105)+SUMIFS('Web Feed'!$O$2:$O$3015,'Web Feed'!$B$2:$B$3015,Points!$A$5,'Web Feed'!$I$2:$I$3015,$B105))</f>
        <v/>
      </c>
      <c r="H105">
        <f>IF($B105="","",SUMIFS('Web Feed'!$O$2:$O$3015,'Web Feed'!$B$2:$B$3015,Points!$A$6,'Web Feed'!$F$2:$F$3015,$B105)+SUMIFS('Web Feed'!$O$2:$O$3015,'Web Feed'!$B$2:$B$3015,Points!$A$6,'Web Feed'!$G$2:$G$3015,$B105)+SUMIFS('Web Feed'!$O$2:$O$3015,'Web Feed'!$B$2:$B$3015,Points!$A$6,'Web Feed'!$H$2:$H$3015,$B105)+SUMIFS('Web Feed'!$O$2:$O$3015,'Web Feed'!$B$2:$B$3015,Points!$A$6,'Web Feed'!$I$2:$I$3015,$B105))</f>
        <v/>
      </c>
      <c r="I105">
        <f>IF($B105="","",COUNTIFS('Web Feed'!$B$2:$B$3015,"OHW",'Web Feed'!$F$2:$F$3015,$B105))</f>
        <v/>
      </c>
      <c r="J105">
        <f>IF($B105="","",IFERROR(INDEX('Last Week'!$A$2:$A$301,MATCH($B105,'Last Week'!$B$2:$B$301,0)),""))</f>
        <v/>
      </c>
      <c r="K105">
        <f>IF(OR($B105="",$J105=""),"",$J105-$A105)</f>
        <v/>
      </c>
    </row>
    <row r="106">
      <c r="A106">
        <f>IF($B106="","",RANK($C106,$C$2:$C$500))</f>
        <v/>
      </c>
      <c r="B106">
        <f>IF(Players!$A106="","",Players!$A106)</f>
        <v/>
      </c>
      <c r="C106" s="5">
        <f>IF($B106="","",SUM(D106:H106))</f>
        <v/>
      </c>
      <c r="D106">
        <f>IF($B106="","",SUMIFS('Web Feed'!$O$2:$O$3015,'Web Feed'!$B$2:$B$3015,Points!$A$2,'Web Feed'!$F$2:$F$3015,$B106)+SUMIFS('Web Feed'!$O$2:$O$3015,'Web Feed'!$B$2:$B$3015,Points!$A$2,'Web Feed'!$G$2:$G$3015,$B106)+SUMIFS('Web Feed'!$O$2:$O$3015,'Web Feed'!$B$2:$B$3015,Points!$A$2,'Web Feed'!$H$2:$H$3015,$B106)+SUMIFS('Web Feed'!$O$2:$O$3015,'Web Feed'!$B$2:$B$3015,Points!$A$2,'Web Feed'!$I$2:$I$3015,$B106))</f>
        <v/>
      </c>
      <c r="E106">
        <f>IF($B106="","",SUMIFS('Web Feed'!$O$2:$O$3015,'Web Feed'!$B$2:$B$3015,Points!$A$3,'Web Feed'!$F$2:$F$3015,$B106)+SUMIFS('Web Feed'!$O$2:$O$3015,'Web Feed'!$B$2:$B$3015,Points!$A$3,'Web Feed'!$G$2:$G$3015,$B106)+SUMIFS('Web Feed'!$O$2:$O$3015,'Web Feed'!$B$2:$B$3015,Points!$A$3,'Web Feed'!$H$2:$H$3015,$B106)+SUMIFS('Web Feed'!$O$2:$O$3015,'Web Feed'!$B$2:$B$3015,Points!$A$3,'Web Feed'!$I$2:$I$3015,$B106))</f>
        <v/>
      </c>
      <c r="F106">
        <f>IF($B106="","",SUMIFS('Web Feed'!$O$2:$O$3015,'Web Feed'!$B$2:$B$3015,Points!$A$4,'Web Feed'!$F$2:$F$3015,$B106)+SUMIFS('Web Feed'!$O$2:$O$3015,'Web Feed'!$B$2:$B$3015,Points!$A$4,'Web Feed'!$G$2:$G$3015,$B106)+SUMIFS('Web Feed'!$O$2:$O$3015,'Web Feed'!$B$2:$B$3015,Points!$A$4,'Web Feed'!$H$2:$H$3015,$B106)+SUMIFS('Web Feed'!$O$2:$O$3015,'Web Feed'!$B$2:$B$3015,Points!$A$4,'Web Feed'!$I$2:$I$3015,$B106))</f>
        <v/>
      </c>
      <c r="G106">
        <f>IF($B106="","",SUMIFS('Web Feed'!$O$2:$O$3015,'Web Feed'!$B$2:$B$3015,Points!$A$5,'Web Feed'!$F$2:$F$3015,$B106)+SUMIFS('Web Feed'!$O$2:$O$3015,'Web Feed'!$B$2:$B$3015,Points!$A$5,'Web Feed'!$G$2:$G$3015,$B106)+SUMIFS('Web Feed'!$O$2:$O$3015,'Web Feed'!$B$2:$B$3015,Points!$A$5,'Web Feed'!$H$2:$H$3015,$B106)+SUMIFS('Web Feed'!$O$2:$O$3015,'Web Feed'!$B$2:$B$3015,Points!$A$5,'Web Feed'!$I$2:$I$3015,$B106))</f>
        <v/>
      </c>
      <c r="H106">
        <f>IF($B106="","",SUMIFS('Web Feed'!$O$2:$O$3015,'Web Feed'!$B$2:$B$3015,Points!$A$6,'Web Feed'!$F$2:$F$3015,$B106)+SUMIFS('Web Feed'!$O$2:$O$3015,'Web Feed'!$B$2:$B$3015,Points!$A$6,'Web Feed'!$G$2:$G$3015,$B106)+SUMIFS('Web Feed'!$O$2:$O$3015,'Web Feed'!$B$2:$B$3015,Points!$A$6,'Web Feed'!$H$2:$H$3015,$B106)+SUMIFS('Web Feed'!$O$2:$O$3015,'Web Feed'!$B$2:$B$3015,Points!$A$6,'Web Feed'!$I$2:$I$3015,$B106))</f>
        <v/>
      </c>
      <c r="I106">
        <f>IF($B106="","",COUNTIFS('Web Feed'!$B$2:$B$3015,"OHW",'Web Feed'!$F$2:$F$3015,$B106))</f>
        <v/>
      </c>
      <c r="J106">
        <f>IF($B106="","",IFERROR(INDEX('Last Week'!$A$2:$A$301,MATCH($B106,'Last Week'!$B$2:$B$301,0)),""))</f>
        <v/>
      </c>
      <c r="K106">
        <f>IF(OR($B106="",$J106=""),"",$J106-$A106)</f>
        <v/>
      </c>
    </row>
    <row r="107">
      <c r="A107">
        <f>IF($B107="","",RANK($C107,$C$2:$C$500))</f>
        <v/>
      </c>
      <c r="B107">
        <f>IF(Players!$A107="","",Players!$A107)</f>
        <v/>
      </c>
      <c r="C107" s="5">
        <f>IF($B107="","",SUM(D107:H107))</f>
        <v/>
      </c>
      <c r="D107">
        <f>IF($B107="","",SUMIFS('Web Feed'!$O$2:$O$3015,'Web Feed'!$B$2:$B$3015,Points!$A$2,'Web Feed'!$F$2:$F$3015,$B107)+SUMIFS('Web Feed'!$O$2:$O$3015,'Web Feed'!$B$2:$B$3015,Points!$A$2,'Web Feed'!$G$2:$G$3015,$B107)+SUMIFS('Web Feed'!$O$2:$O$3015,'Web Feed'!$B$2:$B$3015,Points!$A$2,'Web Feed'!$H$2:$H$3015,$B107)+SUMIFS('Web Feed'!$O$2:$O$3015,'Web Feed'!$B$2:$B$3015,Points!$A$2,'Web Feed'!$I$2:$I$3015,$B107))</f>
        <v/>
      </c>
      <c r="E107">
        <f>IF($B107="","",SUMIFS('Web Feed'!$O$2:$O$3015,'Web Feed'!$B$2:$B$3015,Points!$A$3,'Web Feed'!$F$2:$F$3015,$B107)+SUMIFS('Web Feed'!$O$2:$O$3015,'Web Feed'!$B$2:$B$3015,Points!$A$3,'Web Feed'!$G$2:$G$3015,$B107)+SUMIFS('Web Feed'!$O$2:$O$3015,'Web Feed'!$B$2:$B$3015,Points!$A$3,'Web Feed'!$H$2:$H$3015,$B107)+SUMIFS('Web Feed'!$O$2:$O$3015,'Web Feed'!$B$2:$B$3015,Points!$A$3,'Web Feed'!$I$2:$I$3015,$B107))</f>
        <v/>
      </c>
      <c r="F107">
        <f>IF($B107="","",SUMIFS('Web Feed'!$O$2:$O$3015,'Web Feed'!$B$2:$B$3015,Points!$A$4,'Web Feed'!$F$2:$F$3015,$B107)+SUMIFS('Web Feed'!$O$2:$O$3015,'Web Feed'!$B$2:$B$3015,Points!$A$4,'Web Feed'!$G$2:$G$3015,$B107)+SUMIFS('Web Feed'!$O$2:$O$3015,'Web Feed'!$B$2:$B$3015,Points!$A$4,'Web Feed'!$H$2:$H$3015,$B107)+SUMIFS('Web Feed'!$O$2:$O$3015,'Web Feed'!$B$2:$B$3015,Points!$A$4,'Web Feed'!$I$2:$I$3015,$B107))</f>
        <v/>
      </c>
      <c r="G107">
        <f>IF($B107="","",SUMIFS('Web Feed'!$O$2:$O$3015,'Web Feed'!$B$2:$B$3015,Points!$A$5,'Web Feed'!$F$2:$F$3015,$B107)+SUMIFS('Web Feed'!$O$2:$O$3015,'Web Feed'!$B$2:$B$3015,Points!$A$5,'Web Feed'!$G$2:$G$3015,$B107)+SUMIFS('Web Feed'!$O$2:$O$3015,'Web Feed'!$B$2:$B$3015,Points!$A$5,'Web Feed'!$H$2:$H$3015,$B107)+SUMIFS('Web Feed'!$O$2:$O$3015,'Web Feed'!$B$2:$B$3015,Points!$A$5,'Web Feed'!$I$2:$I$3015,$B107))</f>
        <v/>
      </c>
      <c r="H107">
        <f>IF($B107="","",SUMIFS('Web Feed'!$O$2:$O$3015,'Web Feed'!$B$2:$B$3015,Points!$A$6,'Web Feed'!$F$2:$F$3015,$B107)+SUMIFS('Web Feed'!$O$2:$O$3015,'Web Feed'!$B$2:$B$3015,Points!$A$6,'Web Feed'!$G$2:$G$3015,$B107)+SUMIFS('Web Feed'!$O$2:$O$3015,'Web Feed'!$B$2:$B$3015,Points!$A$6,'Web Feed'!$H$2:$H$3015,$B107)+SUMIFS('Web Feed'!$O$2:$O$3015,'Web Feed'!$B$2:$B$3015,Points!$A$6,'Web Feed'!$I$2:$I$3015,$B107))</f>
        <v/>
      </c>
      <c r="I107">
        <f>IF($B107="","",COUNTIFS('Web Feed'!$B$2:$B$3015,"OHW",'Web Feed'!$F$2:$F$3015,$B107))</f>
        <v/>
      </c>
      <c r="J107">
        <f>IF($B107="","",IFERROR(INDEX('Last Week'!$A$2:$A$301,MATCH($B107,'Last Week'!$B$2:$B$301,0)),""))</f>
        <v/>
      </c>
      <c r="K107">
        <f>IF(OR($B107="",$J107=""),"",$J107-$A107)</f>
        <v/>
      </c>
    </row>
    <row r="108">
      <c r="A108">
        <f>IF($B108="","",RANK($C108,$C$2:$C$500))</f>
        <v/>
      </c>
      <c r="B108">
        <f>IF(Players!$A108="","",Players!$A108)</f>
        <v/>
      </c>
      <c r="C108" s="5">
        <f>IF($B108="","",SUM(D108:H108))</f>
        <v/>
      </c>
      <c r="D108">
        <f>IF($B108="","",SUMIFS('Web Feed'!$O$2:$O$3015,'Web Feed'!$B$2:$B$3015,Points!$A$2,'Web Feed'!$F$2:$F$3015,$B108)+SUMIFS('Web Feed'!$O$2:$O$3015,'Web Feed'!$B$2:$B$3015,Points!$A$2,'Web Feed'!$G$2:$G$3015,$B108)+SUMIFS('Web Feed'!$O$2:$O$3015,'Web Feed'!$B$2:$B$3015,Points!$A$2,'Web Feed'!$H$2:$H$3015,$B108)+SUMIFS('Web Feed'!$O$2:$O$3015,'Web Feed'!$B$2:$B$3015,Points!$A$2,'Web Feed'!$I$2:$I$3015,$B108))</f>
        <v/>
      </c>
      <c r="E108">
        <f>IF($B108="","",SUMIFS('Web Feed'!$O$2:$O$3015,'Web Feed'!$B$2:$B$3015,Points!$A$3,'Web Feed'!$F$2:$F$3015,$B108)+SUMIFS('Web Feed'!$O$2:$O$3015,'Web Feed'!$B$2:$B$3015,Points!$A$3,'Web Feed'!$G$2:$G$3015,$B108)+SUMIFS('Web Feed'!$O$2:$O$3015,'Web Feed'!$B$2:$B$3015,Points!$A$3,'Web Feed'!$H$2:$H$3015,$B108)+SUMIFS('Web Feed'!$O$2:$O$3015,'Web Feed'!$B$2:$B$3015,Points!$A$3,'Web Feed'!$I$2:$I$3015,$B108))</f>
        <v/>
      </c>
      <c r="F108">
        <f>IF($B108="","",SUMIFS('Web Feed'!$O$2:$O$3015,'Web Feed'!$B$2:$B$3015,Points!$A$4,'Web Feed'!$F$2:$F$3015,$B108)+SUMIFS('Web Feed'!$O$2:$O$3015,'Web Feed'!$B$2:$B$3015,Points!$A$4,'Web Feed'!$G$2:$G$3015,$B108)+SUMIFS('Web Feed'!$O$2:$O$3015,'Web Feed'!$B$2:$B$3015,Points!$A$4,'Web Feed'!$H$2:$H$3015,$B108)+SUMIFS('Web Feed'!$O$2:$O$3015,'Web Feed'!$B$2:$B$3015,Points!$A$4,'Web Feed'!$I$2:$I$3015,$B108))</f>
        <v/>
      </c>
      <c r="G108">
        <f>IF($B108="","",SUMIFS('Web Feed'!$O$2:$O$3015,'Web Feed'!$B$2:$B$3015,Points!$A$5,'Web Feed'!$F$2:$F$3015,$B108)+SUMIFS('Web Feed'!$O$2:$O$3015,'Web Feed'!$B$2:$B$3015,Points!$A$5,'Web Feed'!$G$2:$G$3015,$B108)+SUMIFS('Web Feed'!$O$2:$O$3015,'Web Feed'!$B$2:$B$3015,Points!$A$5,'Web Feed'!$H$2:$H$3015,$B108)+SUMIFS('Web Feed'!$O$2:$O$3015,'Web Feed'!$B$2:$B$3015,Points!$A$5,'Web Feed'!$I$2:$I$3015,$B108))</f>
        <v/>
      </c>
      <c r="H108">
        <f>IF($B108="","",SUMIFS('Web Feed'!$O$2:$O$3015,'Web Feed'!$B$2:$B$3015,Points!$A$6,'Web Feed'!$F$2:$F$3015,$B108)+SUMIFS('Web Feed'!$O$2:$O$3015,'Web Feed'!$B$2:$B$3015,Points!$A$6,'Web Feed'!$G$2:$G$3015,$B108)+SUMIFS('Web Feed'!$O$2:$O$3015,'Web Feed'!$B$2:$B$3015,Points!$A$6,'Web Feed'!$H$2:$H$3015,$B108)+SUMIFS('Web Feed'!$O$2:$O$3015,'Web Feed'!$B$2:$B$3015,Points!$A$6,'Web Feed'!$I$2:$I$3015,$B108))</f>
        <v/>
      </c>
      <c r="I108">
        <f>IF($B108="","",COUNTIFS('Web Feed'!$B$2:$B$3015,"OHW",'Web Feed'!$F$2:$F$3015,$B108))</f>
        <v/>
      </c>
      <c r="J108">
        <f>IF($B108="","",IFERROR(INDEX('Last Week'!$A$2:$A$301,MATCH($B108,'Last Week'!$B$2:$B$301,0)),""))</f>
        <v/>
      </c>
      <c r="K108">
        <f>IF(OR($B108="",$J108=""),"",$J108-$A108)</f>
        <v/>
      </c>
    </row>
    <row r="109">
      <c r="A109">
        <f>IF($B109="","",RANK($C109,$C$2:$C$500))</f>
        <v/>
      </c>
      <c r="B109">
        <f>IF(Players!$A109="","",Players!$A109)</f>
        <v/>
      </c>
      <c r="C109" s="5">
        <f>IF($B109="","",SUM(D109:H109))</f>
        <v/>
      </c>
      <c r="D109">
        <f>IF($B109="","",SUMIFS('Web Feed'!$O$2:$O$3015,'Web Feed'!$B$2:$B$3015,Points!$A$2,'Web Feed'!$F$2:$F$3015,$B109)+SUMIFS('Web Feed'!$O$2:$O$3015,'Web Feed'!$B$2:$B$3015,Points!$A$2,'Web Feed'!$G$2:$G$3015,$B109)+SUMIFS('Web Feed'!$O$2:$O$3015,'Web Feed'!$B$2:$B$3015,Points!$A$2,'Web Feed'!$H$2:$H$3015,$B109)+SUMIFS('Web Feed'!$O$2:$O$3015,'Web Feed'!$B$2:$B$3015,Points!$A$2,'Web Feed'!$I$2:$I$3015,$B109))</f>
        <v/>
      </c>
      <c r="E109">
        <f>IF($B109="","",SUMIFS('Web Feed'!$O$2:$O$3015,'Web Feed'!$B$2:$B$3015,Points!$A$3,'Web Feed'!$F$2:$F$3015,$B109)+SUMIFS('Web Feed'!$O$2:$O$3015,'Web Feed'!$B$2:$B$3015,Points!$A$3,'Web Feed'!$G$2:$G$3015,$B109)+SUMIFS('Web Feed'!$O$2:$O$3015,'Web Feed'!$B$2:$B$3015,Points!$A$3,'Web Feed'!$H$2:$H$3015,$B109)+SUMIFS('Web Feed'!$O$2:$O$3015,'Web Feed'!$B$2:$B$3015,Points!$A$3,'Web Feed'!$I$2:$I$3015,$B109))</f>
        <v/>
      </c>
      <c r="F109">
        <f>IF($B109="","",SUMIFS('Web Feed'!$O$2:$O$3015,'Web Feed'!$B$2:$B$3015,Points!$A$4,'Web Feed'!$F$2:$F$3015,$B109)+SUMIFS('Web Feed'!$O$2:$O$3015,'Web Feed'!$B$2:$B$3015,Points!$A$4,'Web Feed'!$G$2:$G$3015,$B109)+SUMIFS('Web Feed'!$O$2:$O$3015,'Web Feed'!$B$2:$B$3015,Points!$A$4,'Web Feed'!$H$2:$H$3015,$B109)+SUMIFS('Web Feed'!$O$2:$O$3015,'Web Feed'!$B$2:$B$3015,Points!$A$4,'Web Feed'!$I$2:$I$3015,$B109))</f>
        <v/>
      </c>
      <c r="G109">
        <f>IF($B109="","",SUMIFS('Web Feed'!$O$2:$O$3015,'Web Feed'!$B$2:$B$3015,Points!$A$5,'Web Feed'!$F$2:$F$3015,$B109)+SUMIFS('Web Feed'!$O$2:$O$3015,'Web Feed'!$B$2:$B$3015,Points!$A$5,'Web Feed'!$G$2:$G$3015,$B109)+SUMIFS('Web Feed'!$O$2:$O$3015,'Web Feed'!$B$2:$B$3015,Points!$A$5,'Web Feed'!$H$2:$H$3015,$B109)+SUMIFS('Web Feed'!$O$2:$O$3015,'Web Feed'!$B$2:$B$3015,Points!$A$5,'Web Feed'!$I$2:$I$3015,$B109))</f>
        <v/>
      </c>
      <c r="H109">
        <f>IF($B109="","",SUMIFS('Web Feed'!$O$2:$O$3015,'Web Feed'!$B$2:$B$3015,Points!$A$6,'Web Feed'!$F$2:$F$3015,$B109)+SUMIFS('Web Feed'!$O$2:$O$3015,'Web Feed'!$B$2:$B$3015,Points!$A$6,'Web Feed'!$G$2:$G$3015,$B109)+SUMIFS('Web Feed'!$O$2:$O$3015,'Web Feed'!$B$2:$B$3015,Points!$A$6,'Web Feed'!$H$2:$H$3015,$B109)+SUMIFS('Web Feed'!$O$2:$O$3015,'Web Feed'!$B$2:$B$3015,Points!$A$6,'Web Feed'!$I$2:$I$3015,$B109))</f>
        <v/>
      </c>
      <c r="I109">
        <f>IF($B109="","",COUNTIFS('Web Feed'!$B$2:$B$3015,"OHW",'Web Feed'!$F$2:$F$3015,$B109))</f>
        <v/>
      </c>
      <c r="J109">
        <f>IF($B109="","",IFERROR(INDEX('Last Week'!$A$2:$A$301,MATCH($B109,'Last Week'!$B$2:$B$301,0)),""))</f>
        <v/>
      </c>
      <c r="K109">
        <f>IF(OR($B109="",$J109=""),"",$J109-$A109)</f>
        <v/>
      </c>
    </row>
    <row r="110">
      <c r="A110">
        <f>IF($B110="","",RANK($C110,$C$2:$C$500))</f>
        <v/>
      </c>
      <c r="B110">
        <f>IF(Players!$A110="","",Players!$A110)</f>
        <v/>
      </c>
      <c r="C110" s="5">
        <f>IF($B110="","",SUM(D110:H110))</f>
        <v/>
      </c>
      <c r="D110">
        <f>IF($B110="","",SUMIFS('Web Feed'!$O$2:$O$3015,'Web Feed'!$B$2:$B$3015,Points!$A$2,'Web Feed'!$F$2:$F$3015,$B110)+SUMIFS('Web Feed'!$O$2:$O$3015,'Web Feed'!$B$2:$B$3015,Points!$A$2,'Web Feed'!$G$2:$G$3015,$B110)+SUMIFS('Web Feed'!$O$2:$O$3015,'Web Feed'!$B$2:$B$3015,Points!$A$2,'Web Feed'!$H$2:$H$3015,$B110)+SUMIFS('Web Feed'!$O$2:$O$3015,'Web Feed'!$B$2:$B$3015,Points!$A$2,'Web Feed'!$I$2:$I$3015,$B110))</f>
        <v/>
      </c>
      <c r="E110">
        <f>IF($B110="","",SUMIFS('Web Feed'!$O$2:$O$3015,'Web Feed'!$B$2:$B$3015,Points!$A$3,'Web Feed'!$F$2:$F$3015,$B110)+SUMIFS('Web Feed'!$O$2:$O$3015,'Web Feed'!$B$2:$B$3015,Points!$A$3,'Web Feed'!$G$2:$G$3015,$B110)+SUMIFS('Web Feed'!$O$2:$O$3015,'Web Feed'!$B$2:$B$3015,Points!$A$3,'Web Feed'!$H$2:$H$3015,$B110)+SUMIFS('Web Feed'!$O$2:$O$3015,'Web Feed'!$B$2:$B$3015,Points!$A$3,'Web Feed'!$I$2:$I$3015,$B110))</f>
        <v/>
      </c>
      <c r="F110">
        <f>IF($B110="","",SUMIFS('Web Feed'!$O$2:$O$3015,'Web Feed'!$B$2:$B$3015,Points!$A$4,'Web Feed'!$F$2:$F$3015,$B110)+SUMIFS('Web Feed'!$O$2:$O$3015,'Web Feed'!$B$2:$B$3015,Points!$A$4,'Web Feed'!$G$2:$G$3015,$B110)+SUMIFS('Web Feed'!$O$2:$O$3015,'Web Feed'!$B$2:$B$3015,Points!$A$4,'Web Feed'!$H$2:$H$3015,$B110)+SUMIFS('Web Feed'!$O$2:$O$3015,'Web Feed'!$B$2:$B$3015,Points!$A$4,'Web Feed'!$I$2:$I$3015,$B110))</f>
        <v/>
      </c>
      <c r="G110">
        <f>IF($B110="","",SUMIFS('Web Feed'!$O$2:$O$3015,'Web Feed'!$B$2:$B$3015,Points!$A$5,'Web Feed'!$F$2:$F$3015,$B110)+SUMIFS('Web Feed'!$O$2:$O$3015,'Web Feed'!$B$2:$B$3015,Points!$A$5,'Web Feed'!$G$2:$G$3015,$B110)+SUMIFS('Web Feed'!$O$2:$O$3015,'Web Feed'!$B$2:$B$3015,Points!$A$5,'Web Feed'!$H$2:$H$3015,$B110)+SUMIFS('Web Feed'!$O$2:$O$3015,'Web Feed'!$B$2:$B$3015,Points!$A$5,'Web Feed'!$I$2:$I$3015,$B110))</f>
        <v/>
      </c>
      <c r="H110">
        <f>IF($B110="","",SUMIFS('Web Feed'!$O$2:$O$3015,'Web Feed'!$B$2:$B$3015,Points!$A$6,'Web Feed'!$F$2:$F$3015,$B110)+SUMIFS('Web Feed'!$O$2:$O$3015,'Web Feed'!$B$2:$B$3015,Points!$A$6,'Web Feed'!$G$2:$G$3015,$B110)+SUMIFS('Web Feed'!$O$2:$O$3015,'Web Feed'!$B$2:$B$3015,Points!$A$6,'Web Feed'!$H$2:$H$3015,$B110)+SUMIFS('Web Feed'!$O$2:$O$3015,'Web Feed'!$B$2:$B$3015,Points!$A$6,'Web Feed'!$I$2:$I$3015,$B110))</f>
        <v/>
      </c>
      <c r="I110">
        <f>IF($B110="","",COUNTIFS('Web Feed'!$B$2:$B$3015,"OHW",'Web Feed'!$F$2:$F$3015,$B110))</f>
        <v/>
      </c>
      <c r="J110">
        <f>IF($B110="","",IFERROR(INDEX('Last Week'!$A$2:$A$301,MATCH($B110,'Last Week'!$B$2:$B$301,0)),""))</f>
        <v/>
      </c>
      <c r="K110">
        <f>IF(OR($B110="",$J110=""),"",$J110-$A110)</f>
        <v/>
      </c>
    </row>
    <row r="111">
      <c r="A111">
        <f>IF($B111="","",RANK($C111,$C$2:$C$500))</f>
        <v/>
      </c>
      <c r="B111">
        <f>IF(Players!$A111="","",Players!$A111)</f>
        <v/>
      </c>
      <c r="C111" s="5">
        <f>IF($B111="","",SUM(D111:H111))</f>
        <v/>
      </c>
      <c r="D111">
        <f>IF($B111="","",SUMIFS('Web Feed'!$O$2:$O$3015,'Web Feed'!$B$2:$B$3015,Points!$A$2,'Web Feed'!$F$2:$F$3015,$B111)+SUMIFS('Web Feed'!$O$2:$O$3015,'Web Feed'!$B$2:$B$3015,Points!$A$2,'Web Feed'!$G$2:$G$3015,$B111)+SUMIFS('Web Feed'!$O$2:$O$3015,'Web Feed'!$B$2:$B$3015,Points!$A$2,'Web Feed'!$H$2:$H$3015,$B111)+SUMIFS('Web Feed'!$O$2:$O$3015,'Web Feed'!$B$2:$B$3015,Points!$A$2,'Web Feed'!$I$2:$I$3015,$B111))</f>
        <v/>
      </c>
      <c r="E111">
        <f>IF($B111="","",SUMIFS('Web Feed'!$O$2:$O$3015,'Web Feed'!$B$2:$B$3015,Points!$A$3,'Web Feed'!$F$2:$F$3015,$B111)+SUMIFS('Web Feed'!$O$2:$O$3015,'Web Feed'!$B$2:$B$3015,Points!$A$3,'Web Feed'!$G$2:$G$3015,$B111)+SUMIFS('Web Feed'!$O$2:$O$3015,'Web Feed'!$B$2:$B$3015,Points!$A$3,'Web Feed'!$H$2:$H$3015,$B111)+SUMIFS('Web Feed'!$O$2:$O$3015,'Web Feed'!$B$2:$B$3015,Points!$A$3,'Web Feed'!$I$2:$I$3015,$B111))</f>
        <v/>
      </c>
      <c r="F111">
        <f>IF($B111="","",SUMIFS('Web Feed'!$O$2:$O$3015,'Web Feed'!$B$2:$B$3015,Points!$A$4,'Web Feed'!$F$2:$F$3015,$B111)+SUMIFS('Web Feed'!$O$2:$O$3015,'Web Feed'!$B$2:$B$3015,Points!$A$4,'Web Feed'!$G$2:$G$3015,$B111)+SUMIFS('Web Feed'!$O$2:$O$3015,'Web Feed'!$B$2:$B$3015,Points!$A$4,'Web Feed'!$H$2:$H$3015,$B111)+SUMIFS('Web Feed'!$O$2:$O$3015,'Web Feed'!$B$2:$B$3015,Points!$A$4,'Web Feed'!$I$2:$I$3015,$B111))</f>
        <v/>
      </c>
      <c r="G111">
        <f>IF($B111="","",SUMIFS('Web Feed'!$O$2:$O$3015,'Web Feed'!$B$2:$B$3015,Points!$A$5,'Web Feed'!$F$2:$F$3015,$B111)+SUMIFS('Web Feed'!$O$2:$O$3015,'Web Feed'!$B$2:$B$3015,Points!$A$5,'Web Feed'!$G$2:$G$3015,$B111)+SUMIFS('Web Feed'!$O$2:$O$3015,'Web Feed'!$B$2:$B$3015,Points!$A$5,'Web Feed'!$H$2:$H$3015,$B111)+SUMIFS('Web Feed'!$O$2:$O$3015,'Web Feed'!$B$2:$B$3015,Points!$A$5,'Web Feed'!$I$2:$I$3015,$B111))</f>
        <v/>
      </c>
      <c r="H111">
        <f>IF($B111="","",SUMIFS('Web Feed'!$O$2:$O$3015,'Web Feed'!$B$2:$B$3015,Points!$A$6,'Web Feed'!$F$2:$F$3015,$B111)+SUMIFS('Web Feed'!$O$2:$O$3015,'Web Feed'!$B$2:$B$3015,Points!$A$6,'Web Feed'!$G$2:$G$3015,$B111)+SUMIFS('Web Feed'!$O$2:$O$3015,'Web Feed'!$B$2:$B$3015,Points!$A$6,'Web Feed'!$H$2:$H$3015,$B111)+SUMIFS('Web Feed'!$O$2:$O$3015,'Web Feed'!$B$2:$B$3015,Points!$A$6,'Web Feed'!$I$2:$I$3015,$B111))</f>
        <v/>
      </c>
      <c r="I111">
        <f>IF($B111="","",COUNTIFS('Web Feed'!$B$2:$B$3015,"OHW",'Web Feed'!$F$2:$F$3015,$B111))</f>
        <v/>
      </c>
      <c r="J111">
        <f>IF($B111="","",IFERROR(INDEX('Last Week'!$A$2:$A$301,MATCH($B111,'Last Week'!$B$2:$B$301,0)),""))</f>
        <v/>
      </c>
      <c r="K111">
        <f>IF(OR($B111="",$J111=""),"",$J111-$A111)</f>
        <v/>
      </c>
    </row>
    <row r="112">
      <c r="A112">
        <f>IF($B112="","",RANK($C112,$C$2:$C$500))</f>
        <v/>
      </c>
      <c r="B112">
        <f>IF(Players!$A112="","",Players!$A112)</f>
        <v/>
      </c>
      <c r="C112" s="5">
        <f>IF($B112="","",SUM(D112:H112))</f>
        <v/>
      </c>
      <c r="D112">
        <f>IF($B112="","",SUMIFS('Web Feed'!$O$2:$O$3015,'Web Feed'!$B$2:$B$3015,Points!$A$2,'Web Feed'!$F$2:$F$3015,$B112)+SUMIFS('Web Feed'!$O$2:$O$3015,'Web Feed'!$B$2:$B$3015,Points!$A$2,'Web Feed'!$G$2:$G$3015,$B112)+SUMIFS('Web Feed'!$O$2:$O$3015,'Web Feed'!$B$2:$B$3015,Points!$A$2,'Web Feed'!$H$2:$H$3015,$B112)+SUMIFS('Web Feed'!$O$2:$O$3015,'Web Feed'!$B$2:$B$3015,Points!$A$2,'Web Feed'!$I$2:$I$3015,$B112))</f>
        <v/>
      </c>
      <c r="E112">
        <f>IF($B112="","",SUMIFS('Web Feed'!$O$2:$O$3015,'Web Feed'!$B$2:$B$3015,Points!$A$3,'Web Feed'!$F$2:$F$3015,$B112)+SUMIFS('Web Feed'!$O$2:$O$3015,'Web Feed'!$B$2:$B$3015,Points!$A$3,'Web Feed'!$G$2:$G$3015,$B112)+SUMIFS('Web Feed'!$O$2:$O$3015,'Web Feed'!$B$2:$B$3015,Points!$A$3,'Web Feed'!$H$2:$H$3015,$B112)+SUMIFS('Web Feed'!$O$2:$O$3015,'Web Feed'!$B$2:$B$3015,Points!$A$3,'Web Feed'!$I$2:$I$3015,$B112))</f>
        <v/>
      </c>
      <c r="F112">
        <f>IF($B112="","",SUMIFS('Web Feed'!$O$2:$O$3015,'Web Feed'!$B$2:$B$3015,Points!$A$4,'Web Feed'!$F$2:$F$3015,$B112)+SUMIFS('Web Feed'!$O$2:$O$3015,'Web Feed'!$B$2:$B$3015,Points!$A$4,'Web Feed'!$G$2:$G$3015,$B112)+SUMIFS('Web Feed'!$O$2:$O$3015,'Web Feed'!$B$2:$B$3015,Points!$A$4,'Web Feed'!$H$2:$H$3015,$B112)+SUMIFS('Web Feed'!$O$2:$O$3015,'Web Feed'!$B$2:$B$3015,Points!$A$4,'Web Feed'!$I$2:$I$3015,$B112))</f>
        <v/>
      </c>
      <c r="G112">
        <f>IF($B112="","",SUMIFS('Web Feed'!$O$2:$O$3015,'Web Feed'!$B$2:$B$3015,Points!$A$5,'Web Feed'!$F$2:$F$3015,$B112)+SUMIFS('Web Feed'!$O$2:$O$3015,'Web Feed'!$B$2:$B$3015,Points!$A$5,'Web Feed'!$G$2:$G$3015,$B112)+SUMIFS('Web Feed'!$O$2:$O$3015,'Web Feed'!$B$2:$B$3015,Points!$A$5,'Web Feed'!$H$2:$H$3015,$B112)+SUMIFS('Web Feed'!$O$2:$O$3015,'Web Feed'!$B$2:$B$3015,Points!$A$5,'Web Feed'!$I$2:$I$3015,$B112))</f>
        <v/>
      </c>
      <c r="H112">
        <f>IF($B112="","",SUMIFS('Web Feed'!$O$2:$O$3015,'Web Feed'!$B$2:$B$3015,Points!$A$6,'Web Feed'!$F$2:$F$3015,$B112)+SUMIFS('Web Feed'!$O$2:$O$3015,'Web Feed'!$B$2:$B$3015,Points!$A$6,'Web Feed'!$G$2:$G$3015,$B112)+SUMIFS('Web Feed'!$O$2:$O$3015,'Web Feed'!$B$2:$B$3015,Points!$A$6,'Web Feed'!$H$2:$H$3015,$B112)+SUMIFS('Web Feed'!$O$2:$O$3015,'Web Feed'!$B$2:$B$3015,Points!$A$6,'Web Feed'!$I$2:$I$3015,$B112))</f>
        <v/>
      </c>
      <c r="I112">
        <f>IF($B112="","",COUNTIFS('Web Feed'!$B$2:$B$3015,"OHW",'Web Feed'!$F$2:$F$3015,$B112))</f>
        <v/>
      </c>
      <c r="J112">
        <f>IF($B112="","",IFERROR(INDEX('Last Week'!$A$2:$A$301,MATCH($B112,'Last Week'!$B$2:$B$301,0)),""))</f>
        <v/>
      </c>
      <c r="K112">
        <f>IF(OR($B112="",$J112=""),"",$J112-$A112)</f>
        <v/>
      </c>
    </row>
    <row r="113">
      <c r="A113">
        <f>IF($B113="","",RANK($C113,$C$2:$C$500))</f>
        <v/>
      </c>
      <c r="B113">
        <f>IF(Players!$A113="","",Players!$A113)</f>
        <v/>
      </c>
      <c r="C113" s="5">
        <f>IF($B113="","",SUM(D113:H113))</f>
        <v/>
      </c>
      <c r="D113">
        <f>IF($B113="","",SUMIFS('Web Feed'!$O$2:$O$3015,'Web Feed'!$B$2:$B$3015,Points!$A$2,'Web Feed'!$F$2:$F$3015,$B113)+SUMIFS('Web Feed'!$O$2:$O$3015,'Web Feed'!$B$2:$B$3015,Points!$A$2,'Web Feed'!$G$2:$G$3015,$B113)+SUMIFS('Web Feed'!$O$2:$O$3015,'Web Feed'!$B$2:$B$3015,Points!$A$2,'Web Feed'!$H$2:$H$3015,$B113)+SUMIFS('Web Feed'!$O$2:$O$3015,'Web Feed'!$B$2:$B$3015,Points!$A$2,'Web Feed'!$I$2:$I$3015,$B113))</f>
        <v/>
      </c>
      <c r="E113">
        <f>IF($B113="","",SUMIFS('Web Feed'!$O$2:$O$3015,'Web Feed'!$B$2:$B$3015,Points!$A$3,'Web Feed'!$F$2:$F$3015,$B113)+SUMIFS('Web Feed'!$O$2:$O$3015,'Web Feed'!$B$2:$B$3015,Points!$A$3,'Web Feed'!$G$2:$G$3015,$B113)+SUMIFS('Web Feed'!$O$2:$O$3015,'Web Feed'!$B$2:$B$3015,Points!$A$3,'Web Feed'!$H$2:$H$3015,$B113)+SUMIFS('Web Feed'!$O$2:$O$3015,'Web Feed'!$B$2:$B$3015,Points!$A$3,'Web Feed'!$I$2:$I$3015,$B113))</f>
        <v/>
      </c>
      <c r="F113">
        <f>IF($B113="","",SUMIFS('Web Feed'!$O$2:$O$3015,'Web Feed'!$B$2:$B$3015,Points!$A$4,'Web Feed'!$F$2:$F$3015,$B113)+SUMIFS('Web Feed'!$O$2:$O$3015,'Web Feed'!$B$2:$B$3015,Points!$A$4,'Web Feed'!$G$2:$G$3015,$B113)+SUMIFS('Web Feed'!$O$2:$O$3015,'Web Feed'!$B$2:$B$3015,Points!$A$4,'Web Feed'!$H$2:$H$3015,$B113)+SUMIFS('Web Feed'!$O$2:$O$3015,'Web Feed'!$B$2:$B$3015,Points!$A$4,'Web Feed'!$I$2:$I$3015,$B113))</f>
        <v/>
      </c>
      <c r="G113">
        <f>IF($B113="","",SUMIFS('Web Feed'!$O$2:$O$3015,'Web Feed'!$B$2:$B$3015,Points!$A$5,'Web Feed'!$F$2:$F$3015,$B113)+SUMIFS('Web Feed'!$O$2:$O$3015,'Web Feed'!$B$2:$B$3015,Points!$A$5,'Web Feed'!$G$2:$G$3015,$B113)+SUMIFS('Web Feed'!$O$2:$O$3015,'Web Feed'!$B$2:$B$3015,Points!$A$5,'Web Feed'!$H$2:$H$3015,$B113)+SUMIFS('Web Feed'!$O$2:$O$3015,'Web Feed'!$B$2:$B$3015,Points!$A$5,'Web Feed'!$I$2:$I$3015,$B113))</f>
        <v/>
      </c>
      <c r="H113">
        <f>IF($B113="","",SUMIFS('Web Feed'!$O$2:$O$3015,'Web Feed'!$B$2:$B$3015,Points!$A$6,'Web Feed'!$F$2:$F$3015,$B113)+SUMIFS('Web Feed'!$O$2:$O$3015,'Web Feed'!$B$2:$B$3015,Points!$A$6,'Web Feed'!$G$2:$G$3015,$B113)+SUMIFS('Web Feed'!$O$2:$O$3015,'Web Feed'!$B$2:$B$3015,Points!$A$6,'Web Feed'!$H$2:$H$3015,$B113)+SUMIFS('Web Feed'!$O$2:$O$3015,'Web Feed'!$B$2:$B$3015,Points!$A$6,'Web Feed'!$I$2:$I$3015,$B113))</f>
        <v/>
      </c>
      <c r="I113">
        <f>IF($B113="","",COUNTIFS('Web Feed'!$B$2:$B$3015,"OHW",'Web Feed'!$F$2:$F$3015,$B113))</f>
        <v/>
      </c>
      <c r="J113">
        <f>IF($B113="","",IFERROR(INDEX('Last Week'!$A$2:$A$301,MATCH($B113,'Last Week'!$B$2:$B$301,0)),""))</f>
        <v/>
      </c>
      <c r="K113">
        <f>IF(OR($B113="",$J113=""),"",$J113-$A113)</f>
        <v/>
      </c>
    </row>
    <row r="114">
      <c r="A114">
        <f>IF($B114="","",RANK($C114,$C$2:$C$500))</f>
        <v/>
      </c>
      <c r="B114">
        <f>IF(Players!$A114="","",Players!$A114)</f>
        <v/>
      </c>
      <c r="C114" s="5">
        <f>IF($B114="","",SUM(D114:H114))</f>
        <v/>
      </c>
      <c r="D114">
        <f>IF($B114="","",SUMIFS('Web Feed'!$O$2:$O$3015,'Web Feed'!$B$2:$B$3015,Points!$A$2,'Web Feed'!$F$2:$F$3015,$B114)+SUMIFS('Web Feed'!$O$2:$O$3015,'Web Feed'!$B$2:$B$3015,Points!$A$2,'Web Feed'!$G$2:$G$3015,$B114)+SUMIFS('Web Feed'!$O$2:$O$3015,'Web Feed'!$B$2:$B$3015,Points!$A$2,'Web Feed'!$H$2:$H$3015,$B114)+SUMIFS('Web Feed'!$O$2:$O$3015,'Web Feed'!$B$2:$B$3015,Points!$A$2,'Web Feed'!$I$2:$I$3015,$B114))</f>
        <v/>
      </c>
      <c r="E114">
        <f>IF($B114="","",SUMIFS('Web Feed'!$O$2:$O$3015,'Web Feed'!$B$2:$B$3015,Points!$A$3,'Web Feed'!$F$2:$F$3015,$B114)+SUMIFS('Web Feed'!$O$2:$O$3015,'Web Feed'!$B$2:$B$3015,Points!$A$3,'Web Feed'!$G$2:$G$3015,$B114)+SUMIFS('Web Feed'!$O$2:$O$3015,'Web Feed'!$B$2:$B$3015,Points!$A$3,'Web Feed'!$H$2:$H$3015,$B114)+SUMIFS('Web Feed'!$O$2:$O$3015,'Web Feed'!$B$2:$B$3015,Points!$A$3,'Web Feed'!$I$2:$I$3015,$B114))</f>
        <v/>
      </c>
      <c r="F114">
        <f>IF($B114="","",SUMIFS('Web Feed'!$O$2:$O$3015,'Web Feed'!$B$2:$B$3015,Points!$A$4,'Web Feed'!$F$2:$F$3015,$B114)+SUMIFS('Web Feed'!$O$2:$O$3015,'Web Feed'!$B$2:$B$3015,Points!$A$4,'Web Feed'!$G$2:$G$3015,$B114)+SUMIFS('Web Feed'!$O$2:$O$3015,'Web Feed'!$B$2:$B$3015,Points!$A$4,'Web Feed'!$H$2:$H$3015,$B114)+SUMIFS('Web Feed'!$O$2:$O$3015,'Web Feed'!$B$2:$B$3015,Points!$A$4,'Web Feed'!$I$2:$I$3015,$B114))</f>
        <v/>
      </c>
      <c r="G114">
        <f>IF($B114="","",SUMIFS('Web Feed'!$O$2:$O$3015,'Web Feed'!$B$2:$B$3015,Points!$A$5,'Web Feed'!$F$2:$F$3015,$B114)+SUMIFS('Web Feed'!$O$2:$O$3015,'Web Feed'!$B$2:$B$3015,Points!$A$5,'Web Feed'!$G$2:$G$3015,$B114)+SUMIFS('Web Feed'!$O$2:$O$3015,'Web Feed'!$B$2:$B$3015,Points!$A$5,'Web Feed'!$H$2:$H$3015,$B114)+SUMIFS('Web Feed'!$O$2:$O$3015,'Web Feed'!$B$2:$B$3015,Points!$A$5,'Web Feed'!$I$2:$I$3015,$B114))</f>
        <v/>
      </c>
      <c r="H114">
        <f>IF($B114="","",SUMIFS('Web Feed'!$O$2:$O$3015,'Web Feed'!$B$2:$B$3015,Points!$A$6,'Web Feed'!$F$2:$F$3015,$B114)+SUMIFS('Web Feed'!$O$2:$O$3015,'Web Feed'!$B$2:$B$3015,Points!$A$6,'Web Feed'!$G$2:$G$3015,$B114)+SUMIFS('Web Feed'!$O$2:$O$3015,'Web Feed'!$B$2:$B$3015,Points!$A$6,'Web Feed'!$H$2:$H$3015,$B114)+SUMIFS('Web Feed'!$O$2:$O$3015,'Web Feed'!$B$2:$B$3015,Points!$A$6,'Web Feed'!$I$2:$I$3015,$B114))</f>
        <v/>
      </c>
      <c r="I114">
        <f>IF($B114="","",COUNTIFS('Web Feed'!$B$2:$B$3015,"OHW",'Web Feed'!$F$2:$F$3015,$B114))</f>
        <v/>
      </c>
      <c r="J114">
        <f>IF($B114="","",IFERROR(INDEX('Last Week'!$A$2:$A$301,MATCH($B114,'Last Week'!$B$2:$B$301,0)),""))</f>
        <v/>
      </c>
      <c r="K114">
        <f>IF(OR($B114="",$J114=""),"",$J114-$A114)</f>
        <v/>
      </c>
    </row>
    <row r="115">
      <c r="A115">
        <f>IF($B115="","",RANK($C115,$C$2:$C$500))</f>
        <v/>
      </c>
      <c r="B115">
        <f>IF(Players!$A115="","",Players!$A115)</f>
        <v/>
      </c>
      <c r="C115" s="5">
        <f>IF($B115="","",SUM(D115:H115))</f>
        <v/>
      </c>
      <c r="D115">
        <f>IF($B115="","",SUMIFS('Web Feed'!$O$2:$O$3015,'Web Feed'!$B$2:$B$3015,Points!$A$2,'Web Feed'!$F$2:$F$3015,$B115)+SUMIFS('Web Feed'!$O$2:$O$3015,'Web Feed'!$B$2:$B$3015,Points!$A$2,'Web Feed'!$G$2:$G$3015,$B115)+SUMIFS('Web Feed'!$O$2:$O$3015,'Web Feed'!$B$2:$B$3015,Points!$A$2,'Web Feed'!$H$2:$H$3015,$B115)+SUMIFS('Web Feed'!$O$2:$O$3015,'Web Feed'!$B$2:$B$3015,Points!$A$2,'Web Feed'!$I$2:$I$3015,$B115))</f>
        <v/>
      </c>
      <c r="E115">
        <f>IF($B115="","",SUMIFS('Web Feed'!$O$2:$O$3015,'Web Feed'!$B$2:$B$3015,Points!$A$3,'Web Feed'!$F$2:$F$3015,$B115)+SUMIFS('Web Feed'!$O$2:$O$3015,'Web Feed'!$B$2:$B$3015,Points!$A$3,'Web Feed'!$G$2:$G$3015,$B115)+SUMIFS('Web Feed'!$O$2:$O$3015,'Web Feed'!$B$2:$B$3015,Points!$A$3,'Web Feed'!$H$2:$H$3015,$B115)+SUMIFS('Web Feed'!$O$2:$O$3015,'Web Feed'!$B$2:$B$3015,Points!$A$3,'Web Feed'!$I$2:$I$3015,$B115))</f>
        <v/>
      </c>
      <c r="F115">
        <f>IF($B115="","",SUMIFS('Web Feed'!$O$2:$O$3015,'Web Feed'!$B$2:$B$3015,Points!$A$4,'Web Feed'!$F$2:$F$3015,$B115)+SUMIFS('Web Feed'!$O$2:$O$3015,'Web Feed'!$B$2:$B$3015,Points!$A$4,'Web Feed'!$G$2:$G$3015,$B115)+SUMIFS('Web Feed'!$O$2:$O$3015,'Web Feed'!$B$2:$B$3015,Points!$A$4,'Web Feed'!$H$2:$H$3015,$B115)+SUMIFS('Web Feed'!$O$2:$O$3015,'Web Feed'!$B$2:$B$3015,Points!$A$4,'Web Feed'!$I$2:$I$3015,$B115))</f>
        <v/>
      </c>
      <c r="G115">
        <f>IF($B115="","",SUMIFS('Web Feed'!$O$2:$O$3015,'Web Feed'!$B$2:$B$3015,Points!$A$5,'Web Feed'!$F$2:$F$3015,$B115)+SUMIFS('Web Feed'!$O$2:$O$3015,'Web Feed'!$B$2:$B$3015,Points!$A$5,'Web Feed'!$G$2:$G$3015,$B115)+SUMIFS('Web Feed'!$O$2:$O$3015,'Web Feed'!$B$2:$B$3015,Points!$A$5,'Web Feed'!$H$2:$H$3015,$B115)+SUMIFS('Web Feed'!$O$2:$O$3015,'Web Feed'!$B$2:$B$3015,Points!$A$5,'Web Feed'!$I$2:$I$3015,$B115))</f>
        <v/>
      </c>
      <c r="H115">
        <f>IF($B115="","",SUMIFS('Web Feed'!$O$2:$O$3015,'Web Feed'!$B$2:$B$3015,Points!$A$6,'Web Feed'!$F$2:$F$3015,$B115)+SUMIFS('Web Feed'!$O$2:$O$3015,'Web Feed'!$B$2:$B$3015,Points!$A$6,'Web Feed'!$G$2:$G$3015,$B115)+SUMIFS('Web Feed'!$O$2:$O$3015,'Web Feed'!$B$2:$B$3015,Points!$A$6,'Web Feed'!$H$2:$H$3015,$B115)+SUMIFS('Web Feed'!$O$2:$O$3015,'Web Feed'!$B$2:$B$3015,Points!$A$6,'Web Feed'!$I$2:$I$3015,$B115))</f>
        <v/>
      </c>
      <c r="I115">
        <f>IF($B115="","",COUNTIFS('Web Feed'!$B$2:$B$3015,"OHW",'Web Feed'!$F$2:$F$3015,$B115))</f>
        <v/>
      </c>
      <c r="J115">
        <f>IF($B115="","",IFERROR(INDEX('Last Week'!$A$2:$A$301,MATCH($B115,'Last Week'!$B$2:$B$301,0)),""))</f>
        <v/>
      </c>
      <c r="K115">
        <f>IF(OR($B115="",$J115=""),"",$J115-$A115)</f>
        <v/>
      </c>
    </row>
    <row r="116">
      <c r="A116">
        <f>IF($B116="","",RANK($C116,$C$2:$C$500))</f>
        <v/>
      </c>
      <c r="B116">
        <f>IF(Players!$A116="","",Players!$A116)</f>
        <v/>
      </c>
      <c r="C116" s="5">
        <f>IF($B116="","",SUM(D116:H116))</f>
        <v/>
      </c>
      <c r="D116">
        <f>IF($B116="","",SUMIFS('Web Feed'!$O$2:$O$3015,'Web Feed'!$B$2:$B$3015,Points!$A$2,'Web Feed'!$F$2:$F$3015,$B116)+SUMIFS('Web Feed'!$O$2:$O$3015,'Web Feed'!$B$2:$B$3015,Points!$A$2,'Web Feed'!$G$2:$G$3015,$B116)+SUMIFS('Web Feed'!$O$2:$O$3015,'Web Feed'!$B$2:$B$3015,Points!$A$2,'Web Feed'!$H$2:$H$3015,$B116)+SUMIFS('Web Feed'!$O$2:$O$3015,'Web Feed'!$B$2:$B$3015,Points!$A$2,'Web Feed'!$I$2:$I$3015,$B116))</f>
        <v/>
      </c>
      <c r="E116">
        <f>IF($B116="","",SUMIFS('Web Feed'!$O$2:$O$3015,'Web Feed'!$B$2:$B$3015,Points!$A$3,'Web Feed'!$F$2:$F$3015,$B116)+SUMIFS('Web Feed'!$O$2:$O$3015,'Web Feed'!$B$2:$B$3015,Points!$A$3,'Web Feed'!$G$2:$G$3015,$B116)+SUMIFS('Web Feed'!$O$2:$O$3015,'Web Feed'!$B$2:$B$3015,Points!$A$3,'Web Feed'!$H$2:$H$3015,$B116)+SUMIFS('Web Feed'!$O$2:$O$3015,'Web Feed'!$B$2:$B$3015,Points!$A$3,'Web Feed'!$I$2:$I$3015,$B116))</f>
        <v/>
      </c>
      <c r="F116">
        <f>IF($B116="","",SUMIFS('Web Feed'!$O$2:$O$3015,'Web Feed'!$B$2:$B$3015,Points!$A$4,'Web Feed'!$F$2:$F$3015,$B116)+SUMIFS('Web Feed'!$O$2:$O$3015,'Web Feed'!$B$2:$B$3015,Points!$A$4,'Web Feed'!$G$2:$G$3015,$B116)+SUMIFS('Web Feed'!$O$2:$O$3015,'Web Feed'!$B$2:$B$3015,Points!$A$4,'Web Feed'!$H$2:$H$3015,$B116)+SUMIFS('Web Feed'!$O$2:$O$3015,'Web Feed'!$B$2:$B$3015,Points!$A$4,'Web Feed'!$I$2:$I$3015,$B116))</f>
        <v/>
      </c>
      <c r="G116">
        <f>IF($B116="","",SUMIFS('Web Feed'!$O$2:$O$3015,'Web Feed'!$B$2:$B$3015,Points!$A$5,'Web Feed'!$F$2:$F$3015,$B116)+SUMIFS('Web Feed'!$O$2:$O$3015,'Web Feed'!$B$2:$B$3015,Points!$A$5,'Web Feed'!$G$2:$G$3015,$B116)+SUMIFS('Web Feed'!$O$2:$O$3015,'Web Feed'!$B$2:$B$3015,Points!$A$5,'Web Feed'!$H$2:$H$3015,$B116)+SUMIFS('Web Feed'!$O$2:$O$3015,'Web Feed'!$B$2:$B$3015,Points!$A$5,'Web Feed'!$I$2:$I$3015,$B116))</f>
        <v/>
      </c>
      <c r="H116">
        <f>IF($B116="","",SUMIFS('Web Feed'!$O$2:$O$3015,'Web Feed'!$B$2:$B$3015,Points!$A$6,'Web Feed'!$F$2:$F$3015,$B116)+SUMIFS('Web Feed'!$O$2:$O$3015,'Web Feed'!$B$2:$B$3015,Points!$A$6,'Web Feed'!$G$2:$G$3015,$B116)+SUMIFS('Web Feed'!$O$2:$O$3015,'Web Feed'!$B$2:$B$3015,Points!$A$6,'Web Feed'!$H$2:$H$3015,$B116)+SUMIFS('Web Feed'!$O$2:$O$3015,'Web Feed'!$B$2:$B$3015,Points!$A$6,'Web Feed'!$I$2:$I$3015,$B116))</f>
        <v/>
      </c>
      <c r="I116">
        <f>IF($B116="","",COUNTIFS('Web Feed'!$B$2:$B$3015,"OHW",'Web Feed'!$F$2:$F$3015,$B116))</f>
        <v/>
      </c>
      <c r="J116">
        <f>IF($B116="","",IFERROR(INDEX('Last Week'!$A$2:$A$301,MATCH($B116,'Last Week'!$B$2:$B$301,0)),""))</f>
        <v/>
      </c>
      <c r="K116">
        <f>IF(OR($B116="",$J116=""),"",$J116-$A116)</f>
        <v/>
      </c>
    </row>
    <row r="117">
      <c r="A117">
        <f>IF($B117="","",RANK($C117,$C$2:$C$500))</f>
        <v/>
      </c>
      <c r="B117">
        <f>IF(Players!$A117="","",Players!$A117)</f>
        <v/>
      </c>
      <c r="C117" s="5">
        <f>IF($B117="","",SUM(D117:H117))</f>
        <v/>
      </c>
      <c r="D117">
        <f>IF($B117="","",SUMIFS('Web Feed'!$O$2:$O$3015,'Web Feed'!$B$2:$B$3015,Points!$A$2,'Web Feed'!$F$2:$F$3015,$B117)+SUMIFS('Web Feed'!$O$2:$O$3015,'Web Feed'!$B$2:$B$3015,Points!$A$2,'Web Feed'!$G$2:$G$3015,$B117)+SUMIFS('Web Feed'!$O$2:$O$3015,'Web Feed'!$B$2:$B$3015,Points!$A$2,'Web Feed'!$H$2:$H$3015,$B117)+SUMIFS('Web Feed'!$O$2:$O$3015,'Web Feed'!$B$2:$B$3015,Points!$A$2,'Web Feed'!$I$2:$I$3015,$B117))</f>
        <v/>
      </c>
      <c r="E117">
        <f>IF($B117="","",SUMIFS('Web Feed'!$O$2:$O$3015,'Web Feed'!$B$2:$B$3015,Points!$A$3,'Web Feed'!$F$2:$F$3015,$B117)+SUMIFS('Web Feed'!$O$2:$O$3015,'Web Feed'!$B$2:$B$3015,Points!$A$3,'Web Feed'!$G$2:$G$3015,$B117)+SUMIFS('Web Feed'!$O$2:$O$3015,'Web Feed'!$B$2:$B$3015,Points!$A$3,'Web Feed'!$H$2:$H$3015,$B117)+SUMIFS('Web Feed'!$O$2:$O$3015,'Web Feed'!$B$2:$B$3015,Points!$A$3,'Web Feed'!$I$2:$I$3015,$B117))</f>
        <v/>
      </c>
      <c r="F117">
        <f>IF($B117="","",SUMIFS('Web Feed'!$O$2:$O$3015,'Web Feed'!$B$2:$B$3015,Points!$A$4,'Web Feed'!$F$2:$F$3015,$B117)+SUMIFS('Web Feed'!$O$2:$O$3015,'Web Feed'!$B$2:$B$3015,Points!$A$4,'Web Feed'!$G$2:$G$3015,$B117)+SUMIFS('Web Feed'!$O$2:$O$3015,'Web Feed'!$B$2:$B$3015,Points!$A$4,'Web Feed'!$H$2:$H$3015,$B117)+SUMIFS('Web Feed'!$O$2:$O$3015,'Web Feed'!$B$2:$B$3015,Points!$A$4,'Web Feed'!$I$2:$I$3015,$B117))</f>
        <v/>
      </c>
      <c r="G117">
        <f>IF($B117="","",SUMIFS('Web Feed'!$O$2:$O$3015,'Web Feed'!$B$2:$B$3015,Points!$A$5,'Web Feed'!$F$2:$F$3015,$B117)+SUMIFS('Web Feed'!$O$2:$O$3015,'Web Feed'!$B$2:$B$3015,Points!$A$5,'Web Feed'!$G$2:$G$3015,$B117)+SUMIFS('Web Feed'!$O$2:$O$3015,'Web Feed'!$B$2:$B$3015,Points!$A$5,'Web Feed'!$H$2:$H$3015,$B117)+SUMIFS('Web Feed'!$O$2:$O$3015,'Web Feed'!$B$2:$B$3015,Points!$A$5,'Web Feed'!$I$2:$I$3015,$B117))</f>
        <v/>
      </c>
      <c r="H117">
        <f>IF($B117="","",SUMIFS('Web Feed'!$O$2:$O$3015,'Web Feed'!$B$2:$B$3015,Points!$A$6,'Web Feed'!$F$2:$F$3015,$B117)+SUMIFS('Web Feed'!$O$2:$O$3015,'Web Feed'!$B$2:$B$3015,Points!$A$6,'Web Feed'!$G$2:$G$3015,$B117)+SUMIFS('Web Feed'!$O$2:$O$3015,'Web Feed'!$B$2:$B$3015,Points!$A$6,'Web Feed'!$H$2:$H$3015,$B117)+SUMIFS('Web Feed'!$O$2:$O$3015,'Web Feed'!$B$2:$B$3015,Points!$A$6,'Web Feed'!$I$2:$I$3015,$B117))</f>
        <v/>
      </c>
      <c r="I117">
        <f>IF($B117="","",COUNTIFS('Web Feed'!$B$2:$B$3015,"OHW",'Web Feed'!$F$2:$F$3015,$B117))</f>
        <v/>
      </c>
      <c r="J117">
        <f>IF($B117="","",IFERROR(INDEX('Last Week'!$A$2:$A$301,MATCH($B117,'Last Week'!$B$2:$B$301,0)),""))</f>
        <v/>
      </c>
      <c r="K117">
        <f>IF(OR($B117="",$J117=""),"",$J117-$A117)</f>
        <v/>
      </c>
    </row>
    <row r="118">
      <c r="A118">
        <f>IF($B118="","",RANK($C118,$C$2:$C$500))</f>
        <v/>
      </c>
      <c r="B118">
        <f>IF(Players!$A118="","",Players!$A118)</f>
        <v/>
      </c>
      <c r="C118" s="5">
        <f>IF($B118="","",SUM(D118:H118))</f>
        <v/>
      </c>
      <c r="D118">
        <f>IF($B118="","",SUMIFS('Web Feed'!$O$2:$O$3015,'Web Feed'!$B$2:$B$3015,Points!$A$2,'Web Feed'!$F$2:$F$3015,$B118)+SUMIFS('Web Feed'!$O$2:$O$3015,'Web Feed'!$B$2:$B$3015,Points!$A$2,'Web Feed'!$G$2:$G$3015,$B118)+SUMIFS('Web Feed'!$O$2:$O$3015,'Web Feed'!$B$2:$B$3015,Points!$A$2,'Web Feed'!$H$2:$H$3015,$B118)+SUMIFS('Web Feed'!$O$2:$O$3015,'Web Feed'!$B$2:$B$3015,Points!$A$2,'Web Feed'!$I$2:$I$3015,$B118))</f>
        <v/>
      </c>
      <c r="E118">
        <f>IF($B118="","",SUMIFS('Web Feed'!$O$2:$O$3015,'Web Feed'!$B$2:$B$3015,Points!$A$3,'Web Feed'!$F$2:$F$3015,$B118)+SUMIFS('Web Feed'!$O$2:$O$3015,'Web Feed'!$B$2:$B$3015,Points!$A$3,'Web Feed'!$G$2:$G$3015,$B118)+SUMIFS('Web Feed'!$O$2:$O$3015,'Web Feed'!$B$2:$B$3015,Points!$A$3,'Web Feed'!$H$2:$H$3015,$B118)+SUMIFS('Web Feed'!$O$2:$O$3015,'Web Feed'!$B$2:$B$3015,Points!$A$3,'Web Feed'!$I$2:$I$3015,$B118))</f>
        <v/>
      </c>
      <c r="F118">
        <f>IF($B118="","",SUMIFS('Web Feed'!$O$2:$O$3015,'Web Feed'!$B$2:$B$3015,Points!$A$4,'Web Feed'!$F$2:$F$3015,$B118)+SUMIFS('Web Feed'!$O$2:$O$3015,'Web Feed'!$B$2:$B$3015,Points!$A$4,'Web Feed'!$G$2:$G$3015,$B118)+SUMIFS('Web Feed'!$O$2:$O$3015,'Web Feed'!$B$2:$B$3015,Points!$A$4,'Web Feed'!$H$2:$H$3015,$B118)+SUMIFS('Web Feed'!$O$2:$O$3015,'Web Feed'!$B$2:$B$3015,Points!$A$4,'Web Feed'!$I$2:$I$3015,$B118))</f>
        <v/>
      </c>
      <c r="G118">
        <f>IF($B118="","",SUMIFS('Web Feed'!$O$2:$O$3015,'Web Feed'!$B$2:$B$3015,Points!$A$5,'Web Feed'!$F$2:$F$3015,$B118)+SUMIFS('Web Feed'!$O$2:$O$3015,'Web Feed'!$B$2:$B$3015,Points!$A$5,'Web Feed'!$G$2:$G$3015,$B118)+SUMIFS('Web Feed'!$O$2:$O$3015,'Web Feed'!$B$2:$B$3015,Points!$A$5,'Web Feed'!$H$2:$H$3015,$B118)+SUMIFS('Web Feed'!$O$2:$O$3015,'Web Feed'!$B$2:$B$3015,Points!$A$5,'Web Feed'!$I$2:$I$3015,$B118))</f>
        <v/>
      </c>
      <c r="H118">
        <f>IF($B118="","",SUMIFS('Web Feed'!$O$2:$O$3015,'Web Feed'!$B$2:$B$3015,Points!$A$6,'Web Feed'!$F$2:$F$3015,$B118)+SUMIFS('Web Feed'!$O$2:$O$3015,'Web Feed'!$B$2:$B$3015,Points!$A$6,'Web Feed'!$G$2:$G$3015,$B118)+SUMIFS('Web Feed'!$O$2:$O$3015,'Web Feed'!$B$2:$B$3015,Points!$A$6,'Web Feed'!$H$2:$H$3015,$B118)+SUMIFS('Web Feed'!$O$2:$O$3015,'Web Feed'!$B$2:$B$3015,Points!$A$6,'Web Feed'!$I$2:$I$3015,$B118))</f>
        <v/>
      </c>
      <c r="I118">
        <f>IF($B118="","",COUNTIFS('Web Feed'!$B$2:$B$3015,"OHW",'Web Feed'!$F$2:$F$3015,$B118))</f>
        <v/>
      </c>
      <c r="J118">
        <f>IF($B118="","",IFERROR(INDEX('Last Week'!$A$2:$A$301,MATCH($B118,'Last Week'!$B$2:$B$301,0)),""))</f>
        <v/>
      </c>
      <c r="K118">
        <f>IF(OR($B118="",$J118=""),"",$J118-$A118)</f>
        <v/>
      </c>
    </row>
    <row r="119">
      <c r="A119">
        <f>IF($B119="","",RANK($C119,$C$2:$C$500))</f>
        <v/>
      </c>
      <c r="B119">
        <f>IF(Players!$A119="","",Players!$A119)</f>
        <v/>
      </c>
      <c r="C119" s="5">
        <f>IF($B119="","",SUM(D119:H119))</f>
        <v/>
      </c>
      <c r="D119">
        <f>IF($B119="","",SUMIFS('Web Feed'!$O$2:$O$3015,'Web Feed'!$B$2:$B$3015,Points!$A$2,'Web Feed'!$F$2:$F$3015,$B119)+SUMIFS('Web Feed'!$O$2:$O$3015,'Web Feed'!$B$2:$B$3015,Points!$A$2,'Web Feed'!$G$2:$G$3015,$B119)+SUMIFS('Web Feed'!$O$2:$O$3015,'Web Feed'!$B$2:$B$3015,Points!$A$2,'Web Feed'!$H$2:$H$3015,$B119)+SUMIFS('Web Feed'!$O$2:$O$3015,'Web Feed'!$B$2:$B$3015,Points!$A$2,'Web Feed'!$I$2:$I$3015,$B119))</f>
        <v/>
      </c>
      <c r="E119">
        <f>IF($B119="","",SUMIFS('Web Feed'!$O$2:$O$3015,'Web Feed'!$B$2:$B$3015,Points!$A$3,'Web Feed'!$F$2:$F$3015,$B119)+SUMIFS('Web Feed'!$O$2:$O$3015,'Web Feed'!$B$2:$B$3015,Points!$A$3,'Web Feed'!$G$2:$G$3015,$B119)+SUMIFS('Web Feed'!$O$2:$O$3015,'Web Feed'!$B$2:$B$3015,Points!$A$3,'Web Feed'!$H$2:$H$3015,$B119)+SUMIFS('Web Feed'!$O$2:$O$3015,'Web Feed'!$B$2:$B$3015,Points!$A$3,'Web Feed'!$I$2:$I$3015,$B119))</f>
        <v/>
      </c>
      <c r="F119">
        <f>IF($B119="","",SUMIFS('Web Feed'!$O$2:$O$3015,'Web Feed'!$B$2:$B$3015,Points!$A$4,'Web Feed'!$F$2:$F$3015,$B119)+SUMIFS('Web Feed'!$O$2:$O$3015,'Web Feed'!$B$2:$B$3015,Points!$A$4,'Web Feed'!$G$2:$G$3015,$B119)+SUMIFS('Web Feed'!$O$2:$O$3015,'Web Feed'!$B$2:$B$3015,Points!$A$4,'Web Feed'!$H$2:$H$3015,$B119)+SUMIFS('Web Feed'!$O$2:$O$3015,'Web Feed'!$B$2:$B$3015,Points!$A$4,'Web Feed'!$I$2:$I$3015,$B119))</f>
        <v/>
      </c>
      <c r="G119">
        <f>IF($B119="","",SUMIFS('Web Feed'!$O$2:$O$3015,'Web Feed'!$B$2:$B$3015,Points!$A$5,'Web Feed'!$F$2:$F$3015,$B119)+SUMIFS('Web Feed'!$O$2:$O$3015,'Web Feed'!$B$2:$B$3015,Points!$A$5,'Web Feed'!$G$2:$G$3015,$B119)+SUMIFS('Web Feed'!$O$2:$O$3015,'Web Feed'!$B$2:$B$3015,Points!$A$5,'Web Feed'!$H$2:$H$3015,$B119)+SUMIFS('Web Feed'!$O$2:$O$3015,'Web Feed'!$B$2:$B$3015,Points!$A$5,'Web Feed'!$I$2:$I$3015,$B119))</f>
        <v/>
      </c>
      <c r="H119">
        <f>IF($B119="","",SUMIFS('Web Feed'!$O$2:$O$3015,'Web Feed'!$B$2:$B$3015,Points!$A$6,'Web Feed'!$F$2:$F$3015,$B119)+SUMIFS('Web Feed'!$O$2:$O$3015,'Web Feed'!$B$2:$B$3015,Points!$A$6,'Web Feed'!$G$2:$G$3015,$B119)+SUMIFS('Web Feed'!$O$2:$O$3015,'Web Feed'!$B$2:$B$3015,Points!$A$6,'Web Feed'!$H$2:$H$3015,$B119)+SUMIFS('Web Feed'!$O$2:$O$3015,'Web Feed'!$B$2:$B$3015,Points!$A$6,'Web Feed'!$I$2:$I$3015,$B119))</f>
        <v/>
      </c>
      <c r="I119">
        <f>IF($B119="","",COUNTIFS('Web Feed'!$B$2:$B$3015,"OHW",'Web Feed'!$F$2:$F$3015,$B119))</f>
        <v/>
      </c>
      <c r="J119">
        <f>IF($B119="","",IFERROR(INDEX('Last Week'!$A$2:$A$301,MATCH($B119,'Last Week'!$B$2:$B$301,0)),""))</f>
        <v/>
      </c>
      <c r="K119">
        <f>IF(OR($B119="",$J119=""),"",$J119-$A119)</f>
        <v/>
      </c>
    </row>
    <row r="120">
      <c r="A120">
        <f>IF($B120="","",RANK($C120,$C$2:$C$500))</f>
        <v/>
      </c>
      <c r="B120">
        <f>IF(Players!$A120="","",Players!$A120)</f>
        <v/>
      </c>
      <c r="C120" s="5">
        <f>IF($B120="","",SUM(D120:H120))</f>
        <v/>
      </c>
      <c r="D120">
        <f>IF($B120="","",SUMIFS('Web Feed'!$O$2:$O$3015,'Web Feed'!$B$2:$B$3015,Points!$A$2,'Web Feed'!$F$2:$F$3015,$B120)+SUMIFS('Web Feed'!$O$2:$O$3015,'Web Feed'!$B$2:$B$3015,Points!$A$2,'Web Feed'!$G$2:$G$3015,$B120)+SUMIFS('Web Feed'!$O$2:$O$3015,'Web Feed'!$B$2:$B$3015,Points!$A$2,'Web Feed'!$H$2:$H$3015,$B120)+SUMIFS('Web Feed'!$O$2:$O$3015,'Web Feed'!$B$2:$B$3015,Points!$A$2,'Web Feed'!$I$2:$I$3015,$B120))</f>
        <v/>
      </c>
      <c r="E120">
        <f>IF($B120="","",SUMIFS('Web Feed'!$O$2:$O$3015,'Web Feed'!$B$2:$B$3015,Points!$A$3,'Web Feed'!$F$2:$F$3015,$B120)+SUMIFS('Web Feed'!$O$2:$O$3015,'Web Feed'!$B$2:$B$3015,Points!$A$3,'Web Feed'!$G$2:$G$3015,$B120)+SUMIFS('Web Feed'!$O$2:$O$3015,'Web Feed'!$B$2:$B$3015,Points!$A$3,'Web Feed'!$H$2:$H$3015,$B120)+SUMIFS('Web Feed'!$O$2:$O$3015,'Web Feed'!$B$2:$B$3015,Points!$A$3,'Web Feed'!$I$2:$I$3015,$B120))</f>
        <v/>
      </c>
      <c r="F120">
        <f>IF($B120="","",SUMIFS('Web Feed'!$O$2:$O$3015,'Web Feed'!$B$2:$B$3015,Points!$A$4,'Web Feed'!$F$2:$F$3015,$B120)+SUMIFS('Web Feed'!$O$2:$O$3015,'Web Feed'!$B$2:$B$3015,Points!$A$4,'Web Feed'!$G$2:$G$3015,$B120)+SUMIFS('Web Feed'!$O$2:$O$3015,'Web Feed'!$B$2:$B$3015,Points!$A$4,'Web Feed'!$H$2:$H$3015,$B120)+SUMIFS('Web Feed'!$O$2:$O$3015,'Web Feed'!$B$2:$B$3015,Points!$A$4,'Web Feed'!$I$2:$I$3015,$B120))</f>
        <v/>
      </c>
      <c r="G120">
        <f>IF($B120="","",SUMIFS('Web Feed'!$O$2:$O$3015,'Web Feed'!$B$2:$B$3015,Points!$A$5,'Web Feed'!$F$2:$F$3015,$B120)+SUMIFS('Web Feed'!$O$2:$O$3015,'Web Feed'!$B$2:$B$3015,Points!$A$5,'Web Feed'!$G$2:$G$3015,$B120)+SUMIFS('Web Feed'!$O$2:$O$3015,'Web Feed'!$B$2:$B$3015,Points!$A$5,'Web Feed'!$H$2:$H$3015,$B120)+SUMIFS('Web Feed'!$O$2:$O$3015,'Web Feed'!$B$2:$B$3015,Points!$A$5,'Web Feed'!$I$2:$I$3015,$B120))</f>
        <v/>
      </c>
      <c r="H120">
        <f>IF($B120="","",SUMIFS('Web Feed'!$O$2:$O$3015,'Web Feed'!$B$2:$B$3015,Points!$A$6,'Web Feed'!$F$2:$F$3015,$B120)+SUMIFS('Web Feed'!$O$2:$O$3015,'Web Feed'!$B$2:$B$3015,Points!$A$6,'Web Feed'!$G$2:$G$3015,$B120)+SUMIFS('Web Feed'!$O$2:$O$3015,'Web Feed'!$B$2:$B$3015,Points!$A$6,'Web Feed'!$H$2:$H$3015,$B120)+SUMIFS('Web Feed'!$O$2:$O$3015,'Web Feed'!$B$2:$B$3015,Points!$A$6,'Web Feed'!$I$2:$I$3015,$B120))</f>
        <v/>
      </c>
      <c r="I120">
        <f>IF($B120="","",COUNTIFS('Web Feed'!$B$2:$B$3015,"OHW",'Web Feed'!$F$2:$F$3015,$B120))</f>
        <v/>
      </c>
      <c r="J120">
        <f>IF($B120="","",IFERROR(INDEX('Last Week'!$A$2:$A$301,MATCH($B120,'Last Week'!$B$2:$B$301,0)),""))</f>
        <v/>
      </c>
      <c r="K120">
        <f>IF(OR($B120="",$J120=""),"",$J120-$A120)</f>
        <v/>
      </c>
    </row>
    <row r="121">
      <c r="A121">
        <f>IF($B121="","",RANK($C121,$C$2:$C$500))</f>
        <v/>
      </c>
      <c r="B121">
        <f>IF(Players!$A121="","",Players!$A121)</f>
        <v/>
      </c>
      <c r="C121" s="5">
        <f>IF($B121="","",SUM(D121:H121))</f>
        <v/>
      </c>
      <c r="D121">
        <f>IF($B121="","",SUMIFS('Web Feed'!$O$2:$O$3015,'Web Feed'!$B$2:$B$3015,Points!$A$2,'Web Feed'!$F$2:$F$3015,$B121)+SUMIFS('Web Feed'!$O$2:$O$3015,'Web Feed'!$B$2:$B$3015,Points!$A$2,'Web Feed'!$G$2:$G$3015,$B121)+SUMIFS('Web Feed'!$O$2:$O$3015,'Web Feed'!$B$2:$B$3015,Points!$A$2,'Web Feed'!$H$2:$H$3015,$B121)+SUMIFS('Web Feed'!$O$2:$O$3015,'Web Feed'!$B$2:$B$3015,Points!$A$2,'Web Feed'!$I$2:$I$3015,$B121))</f>
        <v/>
      </c>
      <c r="E121">
        <f>IF($B121="","",SUMIFS('Web Feed'!$O$2:$O$3015,'Web Feed'!$B$2:$B$3015,Points!$A$3,'Web Feed'!$F$2:$F$3015,$B121)+SUMIFS('Web Feed'!$O$2:$O$3015,'Web Feed'!$B$2:$B$3015,Points!$A$3,'Web Feed'!$G$2:$G$3015,$B121)+SUMIFS('Web Feed'!$O$2:$O$3015,'Web Feed'!$B$2:$B$3015,Points!$A$3,'Web Feed'!$H$2:$H$3015,$B121)+SUMIFS('Web Feed'!$O$2:$O$3015,'Web Feed'!$B$2:$B$3015,Points!$A$3,'Web Feed'!$I$2:$I$3015,$B121))</f>
        <v/>
      </c>
      <c r="F121">
        <f>IF($B121="","",SUMIFS('Web Feed'!$O$2:$O$3015,'Web Feed'!$B$2:$B$3015,Points!$A$4,'Web Feed'!$F$2:$F$3015,$B121)+SUMIFS('Web Feed'!$O$2:$O$3015,'Web Feed'!$B$2:$B$3015,Points!$A$4,'Web Feed'!$G$2:$G$3015,$B121)+SUMIFS('Web Feed'!$O$2:$O$3015,'Web Feed'!$B$2:$B$3015,Points!$A$4,'Web Feed'!$H$2:$H$3015,$B121)+SUMIFS('Web Feed'!$O$2:$O$3015,'Web Feed'!$B$2:$B$3015,Points!$A$4,'Web Feed'!$I$2:$I$3015,$B121))</f>
        <v/>
      </c>
      <c r="G121">
        <f>IF($B121="","",SUMIFS('Web Feed'!$O$2:$O$3015,'Web Feed'!$B$2:$B$3015,Points!$A$5,'Web Feed'!$F$2:$F$3015,$B121)+SUMIFS('Web Feed'!$O$2:$O$3015,'Web Feed'!$B$2:$B$3015,Points!$A$5,'Web Feed'!$G$2:$G$3015,$B121)+SUMIFS('Web Feed'!$O$2:$O$3015,'Web Feed'!$B$2:$B$3015,Points!$A$5,'Web Feed'!$H$2:$H$3015,$B121)+SUMIFS('Web Feed'!$O$2:$O$3015,'Web Feed'!$B$2:$B$3015,Points!$A$5,'Web Feed'!$I$2:$I$3015,$B121))</f>
        <v/>
      </c>
      <c r="H121">
        <f>IF($B121="","",SUMIFS('Web Feed'!$O$2:$O$3015,'Web Feed'!$B$2:$B$3015,Points!$A$6,'Web Feed'!$F$2:$F$3015,$B121)+SUMIFS('Web Feed'!$O$2:$O$3015,'Web Feed'!$B$2:$B$3015,Points!$A$6,'Web Feed'!$G$2:$G$3015,$B121)+SUMIFS('Web Feed'!$O$2:$O$3015,'Web Feed'!$B$2:$B$3015,Points!$A$6,'Web Feed'!$H$2:$H$3015,$B121)+SUMIFS('Web Feed'!$O$2:$O$3015,'Web Feed'!$B$2:$B$3015,Points!$A$6,'Web Feed'!$I$2:$I$3015,$B121))</f>
        <v/>
      </c>
      <c r="I121">
        <f>IF($B121="","",COUNTIFS('Web Feed'!$B$2:$B$3015,"OHW",'Web Feed'!$F$2:$F$3015,$B121))</f>
        <v/>
      </c>
      <c r="J121">
        <f>IF($B121="","",IFERROR(INDEX('Last Week'!$A$2:$A$301,MATCH($B121,'Last Week'!$B$2:$B$301,0)),""))</f>
        <v/>
      </c>
      <c r="K121">
        <f>IF(OR($B121="",$J121=""),"",$J121-$A121)</f>
        <v/>
      </c>
    </row>
    <row r="122">
      <c r="A122">
        <f>IF($B122="","",RANK($C122,$C$2:$C$500))</f>
        <v/>
      </c>
      <c r="B122">
        <f>IF(Players!$A122="","",Players!$A122)</f>
        <v/>
      </c>
      <c r="C122" s="5">
        <f>IF($B122="","",SUM(D122:H122))</f>
        <v/>
      </c>
      <c r="D122">
        <f>IF($B122="","",SUMIFS('Web Feed'!$O$2:$O$3015,'Web Feed'!$B$2:$B$3015,Points!$A$2,'Web Feed'!$F$2:$F$3015,$B122)+SUMIFS('Web Feed'!$O$2:$O$3015,'Web Feed'!$B$2:$B$3015,Points!$A$2,'Web Feed'!$G$2:$G$3015,$B122)+SUMIFS('Web Feed'!$O$2:$O$3015,'Web Feed'!$B$2:$B$3015,Points!$A$2,'Web Feed'!$H$2:$H$3015,$B122)+SUMIFS('Web Feed'!$O$2:$O$3015,'Web Feed'!$B$2:$B$3015,Points!$A$2,'Web Feed'!$I$2:$I$3015,$B122))</f>
        <v/>
      </c>
      <c r="E122">
        <f>IF($B122="","",SUMIFS('Web Feed'!$O$2:$O$3015,'Web Feed'!$B$2:$B$3015,Points!$A$3,'Web Feed'!$F$2:$F$3015,$B122)+SUMIFS('Web Feed'!$O$2:$O$3015,'Web Feed'!$B$2:$B$3015,Points!$A$3,'Web Feed'!$G$2:$G$3015,$B122)+SUMIFS('Web Feed'!$O$2:$O$3015,'Web Feed'!$B$2:$B$3015,Points!$A$3,'Web Feed'!$H$2:$H$3015,$B122)+SUMIFS('Web Feed'!$O$2:$O$3015,'Web Feed'!$B$2:$B$3015,Points!$A$3,'Web Feed'!$I$2:$I$3015,$B122))</f>
        <v/>
      </c>
      <c r="F122">
        <f>IF($B122="","",SUMIFS('Web Feed'!$O$2:$O$3015,'Web Feed'!$B$2:$B$3015,Points!$A$4,'Web Feed'!$F$2:$F$3015,$B122)+SUMIFS('Web Feed'!$O$2:$O$3015,'Web Feed'!$B$2:$B$3015,Points!$A$4,'Web Feed'!$G$2:$G$3015,$B122)+SUMIFS('Web Feed'!$O$2:$O$3015,'Web Feed'!$B$2:$B$3015,Points!$A$4,'Web Feed'!$H$2:$H$3015,$B122)+SUMIFS('Web Feed'!$O$2:$O$3015,'Web Feed'!$B$2:$B$3015,Points!$A$4,'Web Feed'!$I$2:$I$3015,$B122))</f>
        <v/>
      </c>
      <c r="G122">
        <f>IF($B122="","",SUMIFS('Web Feed'!$O$2:$O$3015,'Web Feed'!$B$2:$B$3015,Points!$A$5,'Web Feed'!$F$2:$F$3015,$B122)+SUMIFS('Web Feed'!$O$2:$O$3015,'Web Feed'!$B$2:$B$3015,Points!$A$5,'Web Feed'!$G$2:$G$3015,$B122)+SUMIFS('Web Feed'!$O$2:$O$3015,'Web Feed'!$B$2:$B$3015,Points!$A$5,'Web Feed'!$H$2:$H$3015,$B122)+SUMIFS('Web Feed'!$O$2:$O$3015,'Web Feed'!$B$2:$B$3015,Points!$A$5,'Web Feed'!$I$2:$I$3015,$B122))</f>
        <v/>
      </c>
      <c r="H122">
        <f>IF($B122="","",SUMIFS('Web Feed'!$O$2:$O$3015,'Web Feed'!$B$2:$B$3015,Points!$A$6,'Web Feed'!$F$2:$F$3015,$B122)+SUMIFS('Web Feed'!$O$2:$O$3015,'Web Feed'!$B$2:$B$3015,Points!$A$6,'Web Feed'!$G$2:$G$3015,$B122)+SUMIFS('Web Feed'!$O$2:$O$3015,'Web Feed'!$B$2:$B$3015,Points!$A$6,'Web Feed'!$H$2:$H$3015,$B122)+SUMIFS('Web Feed'!$O$2:$O$3015,'Web Feed'!$B$2:$B$3015,Points!$A$6,'Web Feed'!$I$2:$I$3015,$B122))</f>
        <v/>
      </c>
      <c r="I122">
        <f>IF($B122="","",COUNTIFS('Web Feed'!$B$2:$B$3015,"OHW",'Web Feed'!$F$2:$F$3015,$B122))</f>
        <v/>
      </c>
      <c r="J122">
        <f>IF($B122="","",IFERROR(INDEX('Last Week'!$A$2:$A$301,MATCH($B122,'Last Week'!$B$2:$B$301,0)),""))</f>
        <v/>
      </c>
      <c r="K122">
        <f>IF(OR($B122="",$J122=""),"",$J122-$A122)</f>
        <v/>
      </c>
    </row>
    <row r="123">
      <c r="A123">
        <f>IF($B123="","",RANK($C123,$C$2:$C$500))</f>
        <v/>
      </c>
      <c r="B123">
        <f>IF(Players!$A123="","",Players!$A123)</f>
        <v/>
      </c>
      <c r="C123" s="5">
        <f>IF($B123="","",SUM(D123:H123))</f>
        <v/>
      </c>
      <c r="D123">
        <f>IF($B123="","",SUMIFS('Web Feed'!$O$2:$O$3015,'Web Feed'!$B$2:$B$3015,Points!$A$2,'Web Feed'!$F$2:$F$3015,$B123)+SUMIFS('Web Feed'!$O$2:$O$3015,'Web Feed'!$B$2:$B$3015,Points!$A$2,'Web Feed'!$G$2:$G$3015,$B123)+SUMIFS('Web Feed'!$O$2:$O$3015,'Web Feed'!$B$2:$B$3015,Points!$A$2,'Web Feed'!$H$2:$H$3015,$B123)+SUMIFS('Web Feed'!$O$2:$O$3015,'Web Feed'!$B$2:$B$3015,Points!$A$2,'Web Feed'!$I$2:$I$3015,$B123))</f>
        <v/>
      </c>
      <c r="E123">
        <f>IF($B123="","",SUMIFS('Web Feed'!$O$2:$O$3015,'Web Feed'!$B$2:$B$3015,Points!$A$3,'Web Feed'!$F$2:$F$3015,$B123)+SUMIFS('Web Feed'!$O$2:$O$3015,'Web Feed'!$B$2:$B$3015,Points!$A$3,'Web Feed'!$G$2:$G$3015,$B123)+SUMIFS('Web Feed'!$O$2:$O$3015,'Web Feed'!$B$2:$B$3015,Points!$A$3,'Web Feed'!$H$2:$H$3015,$B123)+SUMIFS('Web Feed'!$O$2:$O$3015,'Web Feed'!$B$2:$B$3015,Points!$A$3,'Web Feed'!$I$2:$I$3015,$B123))</f>
        <v/>
      </c>
      <c r="F123">
        <f>IF($B123="","",SUMIFS('Web Feed'!$O$2:$O$3015,'Web Feed'!$B$2:$B$3015,Points!$A$4,'Web Feed'!$F$2:$F$3015,$B123)+SUMIFS('Web Feed'!$O$2:$O$3015,'Web Feed'!$B$2:$B$3015,Points!$A$4,'Web Feed'!$G$2:$G$3015,$B123)+SUMIFS('Web Feed'!$O$2:$O$3015,'Web Feed'!$B$2:$B$3015,Points!$A$4,'Web Feed'!$H$2:$H$3015,$B123)+SUMIFS('Web Feed'!$O$2:$O$3015,'Web Feed'!$B$2:$B$3015,Points!$A$4,'Web Feed'!$I$2:$I$3015,$B123))</f>
        <v/>
      </c>
      <c r="G123">
        <f>IF($B123="","",SUMIFS('Web Feed'!$O$2:$O$3015,'Web Feed'!$B$2:$B$3015,Points!$A$5,'Web Feed'!$F$2:$F$3015,$B123)+SUMIFS('Web Feed'!$O$2:$O$3015,'Web Feed'!$B$2:$B$3015,Points!$A$5,'Web Feed'!$G$2:$G$3015,$B123)+SUMIFS('Web Feed'!$O$2:$O$3015,'Web Feed'!$B$2:$B$3015,Points!$A$5,'Web Feed'!$H$2:$H$3015,$B123)+SUMIFS('Web Feed'!$O$2:$O$3015,'Web Feed'!$B$2:$B$3015,Points!$A$5,'Web Feed'!$I$2:$I$3015,$B123))</f>
        <v/>
      </c>
      <c r="H123">
        <f>IF($B123="","",SUMIFS('Web Feed'!$O$2:$O$3015,'Web Feed'!$B$2:$B$3015,Points!$A$6,'Web Feed'!$F$2:$F$3015,$B123)+SUMIFS('Web Feed'!$O$2:$O$3015,'Web Feed'!$B$2:$B$3015,Points!$A$6,'Web Feed'!$G$2:$G$3015,$B123)+SUMIFS('Web Feed'!$O$2:$O$3015,'Web Feed'!$B$2:$B$3015,Points!$A$6,'Web Feed'!$H$2:$H$3015,$B123)+SUMIFS('Web Feed'!$O$2:$O$3015,'Web Feed'!$B$2:$B$3015,Points!$A$6,'Web Feed'!$I$2:$I$3015,$B123))</f>
        <v/>
      </c>
      <c r="I123">
        <f>IF($B123="","",COUNTIFS('Web Feed'!$B$2:$B$3015,"OHW",'Web Feed'!$F$2:$F$3015,$B123))</f>
        <v/>
      </c>
      <c r="J123">
        <f>IF($B123="","",IFERROR(INDEX('Last Week'!$A$2:$A$301,MATCH($B123,'Last Week'!$B$2:$B$301,0)),""))</f>
        <v/>
      </c>
      <c r="K123">
        <f>IF(OR($B123="",$J123=""),"",$J123-$A123)</f>
        <v/>
      </c>
    </row>
    <row r="124">
      <c r="A124">
        <f>IF($B124="","",RANK($C124,$C$2:$C$500))</f>
        <v/>
      </c>
      <c r="B124">
        <f>IF(Players!$A124="","",Players!$A124)</f>
        <v/>
      </c>
      <c r="C124" s="5">
        <f>IF($B124="","",SUM(D124:H124))</f>
        <v/>
      </c>
      <c r="D124">
        <f>IF($B124="","",SUMIFS('Web Feed'!$O$2:$O$3015,'Web Feed'!$B$2:$B$3015,Points!$A$2,'Web Feed'!$F$2:$F$3015,$B124)+SUMIFS('Web Feed'!$O$2:$O$3015,'Web Feed'!$B$2:$B$3015,Points!$A$2,'Web Feed'!$G$2:$G$3015,$B124)+SUMIFS('Web Feed'!$O$2:$O$3015,'Web Feed'!$B$2:$B$3015,Points!$A$2,'Web Feed'!$H$2:$H$3015,$B124)+SUMIFS('Web Feed'!$O$2:$O$3015,'Web Feed'!$B$2:$B$3015,Points!$A$2,'Web Feed'!$I$2:$I$3015,$B124))</f>
        <v/>
      </c>
      <c r="E124">
        <f>IF($B124="","",SUMIFS('Web Feed'!$O$2:$O$3015,'Web Feed'!$B$2:$B$3015,Points!$A$3,'Web Feed'!$F$2:$F$3015,$B124)+SUMIFS('Web Feed'!$O$2:$O$3015,'Web Feed'!$B$2:$B$3015,Points!$A$3,'Web Feed'!$G$2:$G$3015,$B124)+SUMIFS('Web Feed'!$O$2:$O$3015,'Web Feed'!$B$2:$B$3015,Points!$A$3,'Web Feed'!$H$2:$H$3015,$B124)+SUMIFS('Web Feed'!$O$2:$O$3015,'Web Feed'!$B$2:$B$3015,Points!$A$3,'Web Feed'!$I$2:$I$3015,$B124))</f>
        <v/>
      </c>
      <c r="F124">
        <f>IF($B124="","",SUMIFS('Web Feed'!$O$2:$O$3015,'Web Feed'!$B$2:$B$3015,Points!$A$4,'Web Feed'!$F$2:$F$3015,$B124)+SUMIFS('Web Feed'!$O$2:$O$3015,'Web Feed'!$B$2:$B$3015,Points!$A$4,'Web Feed'!$G$2:$G$3015,$B124)+SUMIFS('Web Feed'!$O$2:$O$3015,'Web Feed'!$B$2:$B$3015,Points!$A$4,'Web Feed'!$H$2:$H$3015,$B124)+SUMIFS('Web Feed'!$O$2:$O$3015,'Web Feed'!$B$2:$B$3015,Points!$A$4,'Web Feed'!$I$2:$I$3015,$B124))</f>
        <v/>
      </c>
      <c r="G124">
        <f>IF($B124="","",SUMIFS('Web Feed'!$O$2:$O$3015,'Web Feed'!$B$2:$B$3015,Points!$A$5,'Web Feed'!$F$2:$F$3015,$B124)+SUMIFS('Web Feed'!$O$2:$O$3015,'Web Feed'!$B$2:$B$3015,Points!$A$5,'Web Feed'!$G$2:$G$3015,$B124)+SUMIFS('Web Feed'!$O$2:$O$3015,'Web Feed'!$B$2:$B$3015,Points!$A$5,'Web Feed'!$H$2:$H$3015,$B124)+SUMIFS('Web Feed'!$O$2:$O$3015,'Web Feed'!$B$2:$B$3015,Points!$A$5,'Web Feed'!$I$2:$I$3015,$B124))</f>
        <v/>
      </c>
      <c r="H124">
        <f>IF($B124="","",SUMIFS('Web Feed'!$O$2:$O$3015,'Web Feed'!$B$2:$B$3015,Points!$A$6,'Web Feed'!$F$2:$F$3015,$B124)+SUMIFS('Web Feed'!$O$2:$O$3015,'Web Feed'!$B$2:$B$3015,Points!$A$6,'Web Feed'!$G$2:$G$3015,$B124)+SUMIFS('Web Feed'!$O$2:$O$3015,'Web Feed'!$B$2:$B$3015,Points!$A$6,'Web Feed'!$H$2:$H$3015,$B124)+SUMIFS('Web Feed'!$O$2:$O$3015,'Web Feed'!$B$2:$B$3015,Points!$A$6,'Web Feed'!$I$2:$I$3015,$B124))</f>
        <v/>
      </c>
      <c r="I124">
        <f>IF($B124="","",COUNTIFS('Web Feed'!$B$2:$B$3015,"OHW",'Web Feed'!$F$2:$F$3015,$B124))</f>
        <v/>
      </c>
      <c r="J124">
        <f>IF($B124="","",IFERROR(INDEX('Last Week'!$A$2:$A$301,MATCH($B124,'Last Week'!$B$2:$B$301,0)),""))</f>
        <v/>
      </c>
      <c r="K124">
        <f>IF(OR($B124="",$J124=""),"",$J124-$A124)</f>
        <v/>
      </c>
    </row>
    <row r="125">
      <c r="A125">
        <f>IF($B125="","",RANK($C125,$C$2:$C$500))</f>
        <v/>
      </c>
      <c r="B125">
        <f>IF(Players!$A125="","",Players!$A125)</f>
        <v/>
      </c>
      <c r="C125" s="5">
        <f>IF($B125="","",SUM(D125:H125))</f>
        <v/>
      </c>
      <c r="D125">
        <f>IF($B125="","",SUMIFS('Web Feed'!$O$2:$O$3015,'Web Feed'!$B$2:$B$3015,Points!$A$2,'Web Feed'!$F$2:$F$3015,$B125)+SUMIFS('Web Feed'!$O$2:$O$3015,'Web Feed'!$B$2:$B$3015,Points!$A$2,'Web Feed'!$G$2:$G$3015,$B125)+SUMIFS('Web Feed'!$O$2:$O$3015,'Web Feed'!$B$2:$B$3015,Points!$A$2,'Web Feed'!$H$2:$H$3015,$B125)+SUMIFS('Web Feed'!$O$2:$O$3015,'Web Feed'!$B$2:$B$3015,Points!$A$2,'Web Feed'!$I$2:$I$3015,$B125))</f>
        <v/>
      </c>
      <c r="E125">
        <f>IF($B125="","",SUMIFS('Web Feed'!$O$2:$O$3015,'Web Feed'!$B$2:$B$3015,Points!$A$3,'Web Feed'!$F$2:$F$3015,$B125)+SUMIFS('Web Feed'!$O$2:$O$3015,'Web Feed'!$B$2:$B$3015,Points!$A$3,'Web Feed'!$G$2:$G$3015,$B125)+SUMIFS('Web Feed'!$O$2:$O$3015,'Web Feed'!$B$2:$B$3015,Points!$A$3,'Web Feed'!$H$2:$H$3015,$B125)+SUMIFS('Web Feed'!$O$2:$O$3015,'Web Feed'!$B$2:$B$3015,Points!$A$3,'Web Feed'!$I$2:$I$3015,$B125))</f>
        <v/>
      </c>
      <c r="F125">
        <f>IF($B125="","",SUMIFS('Web Feed'!$O$2:$O$3015,'Web Feed'!$B$2:$B$3015,Points!$A$4,'Web Feed'!$F$2:$F$3015,$B125)+SUMIFS('Web Feed'!$O$2:$O$3015,'Web Feed'!$B$2:$B$3015,Points!$A$4,'Web Feed'!$G$2:$G$3015,$B125)+SUMIFS('Web Feed'!$O$2:$O$3015,'Web Feed'!$B$2:$B$3015,Points!$A$4,'Web Feed'!$H$2:$H$3015,$B125)+SUMIFS('Web Feed'!$O$2:$O$3015,'Web Feed'!$B$2:$B$3015,Points!$A$4,'Web Feed'!$I$2:$I$3015,$B125))</f>
        <v/>
      </c>
      <c r="G125">
        <f>IF($B125="","",SUMIFS('Web Feed'!$O$2:$O$3015,'Web Feed'!$B$2:$B$3015,Points!$A$5,'Web Feed'!$F$2:$F$3015,$B125)+SUMIFS('Web Feed'!$O$2:$O$3015,'Web Feed'!$B$2:$B$3015,Points!$A$5,'Web Feed'!$G$2:$G$3015,$B125)+SUMIFS('Web Feed'!$O$2:$O$3015,'Web Feed'!$B$2:$B$3015,Points!$A$5,'Web Feed'!$H$2:$H$3015,$B125)+SUMIFS('Web Feed'!$O$2:$O$3015,'Web Feed'!$B$2:$B$3015,Points!$A$5,'Web Feed'!$I$2:$I$3015,$B125))</f>
        <v/>
      </c>
      <c r="H125">
        <f>IF($B125="","",SUMIFS('Web Feed'!$O$2:$O$3015,'Web Feed'!$B$2:$B$3015,Points!$A$6,'Web Feed'!$F$2:$F$3015,$B125)+SUMIFS('Web Feed'!$O$2:$O$3015,'Web Feed'!$B$2:$B$3015,Points!$A$6,'Web Feed'!$G$2:$G$3015,$B125)+SUMIFS('Web Feed'!$O$2:$O$3015,'Web Feed'!$B$2:$B$3015,Points!$A$6,'Web Feed'!$H$2:$H$3015,$B125)+SUMIFS('Web Feed'!$O$2:$O$3015,'Web Feed'!$B$2:$B$3015,Points!$A$6,'Web Feed'!$I$2:$I$3015,$B125))</f>
        <v/>
      </c>
      <c r="I125">
        <f>IF($B125="","",COUNTIFS('Web Feed'!$B$2:$B$3015,"OHW",'Web Feed'!$F$2:$F$3015,$B125))</f>
        <v/>
      </c>
      <c r="J125">
        <f>IF($B125="","",IFERROR(INDEX('Last Week'!$A$2:$A$301,MATCH($B125,'Last Week'!$B$2:$B$301,0)),""))</f>
        <v/>
      </c>
      <c r="K125">
        <f>IF(OR($B125="",$J125=""),"",$J125-$A125)</f>
        <v/>
      </c>
    </row>
    <row r="126">
      <c r="A126">
        <f>IF($B126="","",RANK($C126,$C$2:$C$500))</f>
        <v/>
      </c>
      <c r="B126">
        <f>IF(Players!$A126="","",Players!$A126)</f>
        <v/>
      </c>
      <c r="C126" s="5">
        <f>IF($B126="","",SUM(D126:H126))</f>
        <v/>
      </c>
      <c r="D126">
        <f>IF($B126="","",SUMIFS('Web Feed'!$O$2:$O$3015,'Web Feed'!$B$2:$B$3015,Points!$A$2,'Web Feed'!$F$2:$F$3015,$B126)+SUMIFS('Web Feed'!$O$2:$O$3015,'Web Feed'!$B$2:$B$3015,Points!$A$2,'Web Feed'!$G$2:$G$3015,$B126)+SUMIFS('Web Feed'!$O$2:$O$3015,'Web Feed'!$B$2:$B$3015,Points!$A$2,'Web Feed'!$H$2:$H$3015,$B126)+SUMIFS('Web Feed'!$O$2:$O$3015,'Web Feed'!$B$2:$B$3015,Points!$A$2,'Web Feed'!$I$2:$I$3015,$B126))</f>
        <v/>
      </c>
      <c r="E126">
        <f>IF($B126="","",SUMIFS('Web Feed'!$O$2:$O$3015,'Web Feed'!$B$2:$B$3015,Points!$A$3,'Web Feed'!$F$2:$F$3015,$B126)+SUMIFS('Web Feed'!$O$2:$O$3015,'Web Feed'!$B$2:$B$3015,Points!$A$3,'Web Feed'!$G$2:$G$3015,$B126)+SUMIFS('Web Feed'!$O$2:$O$3015,'Web Feed'!$B$2:$B$3015,Points!$A$3,'Web Feed'!$H$2:$H$3015,$B126)+SUMIFS('Web Feed'!$O$2:$O$3015,'Web Feed'!$B$2:$B$3015,Points!$A$3,'Web Feed'!$I$2:$I$3015,$B126))</f>
        <v/>
      </c>
      <c r="F126">
        <f>IF($B126="","",SUMIFS('Web Feed'!$O$2:$O$3015,'Web Feed'!$B$2:$B$3015,Points!$A$4,'Web Feed'!$F$2:$F$3015,$B126)+SUMIFS('Web Feed'!$O$2:$O$3015,'Web Feed'!$B$2:$B$3015,Points!$A$4,'Web Feed'!$G$2:$G$3015,$B126)+SUMIFS('Web Feed'!$O$2:$O$3015,'Web Feed'!$B$2:$B$3015,Points!$A$4,'Web Feed'!$H$2:$H$3015,$B126)+SUMIFS('Web Feed'!$O$2:$O$3015,'Web Feed'!$B$2:$B$3015,Points!$A$4,'Web Feed'!$I$2:$I$3015,$B126))</f>
        <v/>
      </c>
      <c r="G126">
        <f>IF($B126="","",SUMIFS('Web Feed'!$O$2:$O$3015,'Web Feed'!$B$2:$B$3015,Points!$A$5,'Web Feed'!$F$2:$F$3015,$B126)+SUMIFS('Web Feed'!$O$2:$O$3015,'Web Feed'!$B$2:$B$3015,Points!$A$5,'Web Feed'!$G$2:$G$3015,$B126)+SUMIFS('Web Feed'!$O$2:$O$3015,'Web Feed'!$B$2:$B$3015,Points!$A$5,'Web Feed'!$H$2:$H$3015,$B126)+SUMIFS('Web Feed'!$O$2:$O$3015,'Web Feed'!$B$2:$B$3015,Points!$A$5,'Web Feed'!$I$2:$I$3015,$B126))</f>
        <v/>
      </c>
      <c r="H126">
        <f>IF($B126="","",SUMIFS('Web Feed'!$O$2:$O$3015,'Web Feed'!$B$2:$B$3015,Points!$A$6,'Web Feed'!$F$2:$F$3015,$B126)+SUMIFS('Web Feed'!$O$2:$O$3015,'Web Feed'!$B$2:$B$3015,Points!$A$6,'Web Feed'!$G$2:$G$3015,$B126)+SUMIFS('Web Feed'!$O$2:$O$3015,'Web Feed'!$B$2:$B$3015,Points!$A$6,'Web Feed'!$H$2:$H$3015,$B126)+SUMIFS('Web Feed'!$O$2:$O$3015,'Web Feed'!$B$2:$B$3015,Points!$A$6,'Web Feed'!$I$2:$I$3015,$B126))</f>
        <v/>
      </c>
      <c r="I126">
        <f>IF($B126="","",COUNTIFS('Web Feed'!$B$2:$B$3015,"OHW",'Web Feed'!$F$2:$F$3015,$B126))</f>
        <v/>
      </c>
      <c r="J126">
        <f>IF($B126="","",IFERROR(INDEX('Last Week'!$A$2:$A$301,MATCH($B126,'Last Week'!$B$2:$B$301,0)),""))</f>
        <v/>
      </c>
      <c r="K126">
        <f>IF(OR($B126="",$J126=""),"",$J126-$A126)</f>
        <v/>
      </c>
    </row>
    <row r="127">
      <c r="A127">
        <f>IF($B127="","",RANK($C127,$C$2:$C$500))</f>
        <v/>
      </c>
      <c r="B127">
        <f>IF(Players!$A127="","",Players!$A127)</f>
        <v/>
      </c>
      <c r="C127" s="5">
        <f>IF($B127="","",SUM(D127:H127))</f>
        <v/>
      </c>
      <c r="D127">
        <f>IF($B127="","",SUMIFS('Web Feed'!$O$2:$O$3015,'Web Feed'!$B$2:$B$3015,Points!$A$2,'Web Feed'!$F$2:$F$3015,$B127)+SUMIFS('Web Feed'!$O$2:$O$3015,'Web Feed'!$B$2:$B$3015,Points!$A$2,'Web Feed'!$G$2:$G$3015,$B127)+SUMIFS('Web Feed'!$O$2:$O$3015,'Web Feed'!$B$2:$B$3015,Points!$A$2,'Web Feed'!$H$2:$H$3015,$B127)+SUMIFS('Web Feed'!$O$2:$O$3015,'Web Feed'!$B$2:$B$3015,Points!$A$2,'Web Feed'!$I$2:$I$3015,$B127))</f>
        <v/>
      </c>
      <c r="E127">
        <f>IF($B127="","",SUMIFS('Web Feed'!$O$2:$O$3015,'Web Feed'!$B$2:$B$3015,Points!$A$3,'Web Feed'!$F$2:$F$3015,$B127)+SUMIFS('Web Feed'!$O$2:$O$3015,'Web Feed'!$B$2:$B$3015,Points!$A$3,'Web Feed'!$G$2:$G$3015,$B127)+SUMIFS('Web Feed'!$O$2:$O$3015,'Web Feed'!$B$2:$B$3015,Points!$A$3,'Web Feed'!$H$2:$H$3015,$B127)+SUMIFS('Web Feed'!$O$2:$O$3015,'Web Feed'!$B$2:$B$3015,Points!$A$3,'Web Feed'!$I$2:$I$3015,$B127))</f>
        <v/>
      </c>
      <c r="F127">
        <f>IF($B127="","",SUMIFS('Web Feed'!$O$2:$O$3015,'Web Feed'!$B$2:$B$3015,Points!$A$4,'Web Feed'!$F$2:$F$3015,$B127)+SUMIFS('Web Feed'!$O$2:$O$3015,'Web Feed'!$B$2:$B$3015,Points!$A$4,'Web Feed'!$G$2:$G$3015,$B127)+SUMIFS('Web Feed'!$O$2:$O$3015,'Web Feed'!$B$2:$B$3015,Points!$A$4,'Web Feed'!$H$2:$H$3015,$B127)+SUMIFS('Web Feed'!$O$2:$O$3015,'Web Feed'!$B$2:$B$3015,Points!$A$4,'Web Feed'!$I$2:$I$3015,$B127))</f>
        <v/>
      </c>
      <c r="G127">
        <f>IF($B127="","",SUMIFS('Web Feed'!$O$2:$O$3015,'Web Feed'!$B$2:$B$3015,Points!$A$5,'Web Feed'!$F$2:$F$3015,$B127)+SUMIFS('Web Feed'!$O$2:$O$3015,'Web Feed'!$B$2:$B$3015,Points!$A$5,'Web Feed'!$G$2:$G$3015,$B127)+SUMIFS('Web Feed'!$O$2:$O$3015,'Web Feed'!$B$2:$B$3015,Points!$A$5,'Web Feed'!$H$2:$H$3015,$B127)+SUMIFS('Web Feed'!$O$2:$O$3015,'Web Feed'!$B$2:$B$3015,Points!$A$5,'Web Feed'!$I$2:$I$3015,$B127))</f>
        <v/>
      </c>
      <c r="H127">
        <f>IF($B127="","",SUMIFS('Web Feed'!$O$2:$O$3015,'Web Feed'!$B$2:$B$3015,Points!$A$6,'Web Feed'!$F$2:$F$3015,$B127)+SUMIFS('Web Feed'!$O$2:$O$3015,'Web Feed'!$B$2:$B$3015,Points!$A$6,'Web Feed'!$G$2:$G$3015,$B127)+SUMIFS('Web Feed'!$O$2:$O$3015,'Web Feed'!$B$2:$B$3015,Points!$A$6,'Web Feed'!$H$2:$H$3015,$B127)+SUMIFS('Web Feed'!$O$2:$O$3015,'Web Feed'!$B$2:$B$3015,Points!$A$6,'Web Feed'!$I$2:$I$3015,$B127))</f>
        <v/>
      </c>
      <c r="I127">
        <f>IF($B127="","",COUNTIFS('Web Feed'!$B$2:$B$3015,"OHW",'Web Feed'!$F$2:$F$3015,$B127))</f>
        <v/>
      </c>
      <c r="J127">
        <f>IF($B127="","",IFERROR(INDEX('Last Week'!$A$2:$A$301,MATCH($B127,'Last Week'!$B$2:$B$301,0)),""))</f>
        <v/>
      </c>
      <c r="K127">
        <f>IF(OR($B127="",$J127=""),"",$J127-$A127)</f>
        <v/>
      </c>
    </row>
    <row r="128">
      <c r="A128">
        <f>IF($B128="","",RANK($C128,$C$2:$C$500))</f>
        <v/>
      </c>
      <c r="B128">
        <f>IF(Players!$A128="","",Players!$A128)</f>
        <v/>
      </c>
      <c r="C128" s="5">
        <f>IF($B128="","",SUM(D128:H128))</f>
        <v/>
      </c>
      <c r="D128">
        <f>IF($B128="","",SUMIFS('Web Feed'!$O$2:$O$3015,'Web Feed'!$B$2:$B$3015,Points!$A$2,'Web Feed'!$F$2:$F$3015,$B128)+SUMIFS('Web Feed'!$O$2:$O$3015,'Web Feed'!$B$2:$B$3015,Points!$A$2,'Web Feed'!$G$2:$G$3015,$B128)+SUMIFS('Web Feed'!$O$2:$O$3015,'Web Feed'!$B$2:$B$3015,Points!$A$2,'Web Feed'!$H$2:$H$3015,$B128)+SUMIFS('Web Feed'!$O$2:$O$3015,'Web Feed'!$B$2:$B$3015,Points!$A$2,'Web Feed'!$I$2:$I$3015,$B128))</f>
        <v/>
      </c>
      <c r="E128">
        <f>IF($B128="","",SUMIFS('Web Feed'!$O$2:$O$3015,'Web Feed'!$B$2:$B$3015,Points!$A$3,'Web Feed'!$F$2:$F$3015,$B128)+SUMIFS('Web Feed'!$O$2:$O$3015,'Web Feed'!$B$2:$B$3015,Points!$A$3,'Web Feed'!$G$2:$G$3015,$B128)+SUMIFS('Web Feed'!$O$2:$O$3015,'Web Feed'!$B$2:$B$3015,Points!$A$3,'Web Feed'!$H$2:$H$3015,$B128)+SUMIFS('Web Feed'!$O$2:$O$3015,'Web Feed'!$B$2:$B$3015,Points!$A$3,'Web Feed'!$I$2:$I$3015,$B128))</f>
        <v/>
      </c>
      <c r="F128">
        <f>IF($B128="","",SUMIFS('Web Feed'!$O$2:$O$3015,'Web Feed'!$B$2:$B$3015,Points!$A$4,'Web Feed'!$F$2:$F$3015,$B128)+SUMIFS('Web Feed'!$O$2:$O$3015,'Web Feed'!$B$2:$B$3015,Points!$A$4,'Web Feed'!$G$2:$G$3015,$B128)+SUMIFS('Web Feed'!$O$2:$O$3015,'Web Feed'!$B$2:$B$3015,Points!$A$4,'Web Feed'!$H$2:$H$3015,$B128)+SUMIFS('Web Feed'!$O$2:$O$3015,'Web Feed'!$B$2:$B$3015,Points!$A$4,'Web Feed'!$I$2:$I$3015,$B128))</f>
        <v/>
      </c>
      <c r="G128">
        <f>IF($B128="","",SUMIFS('Web Feed'!$O$2:$O$3015,'Web Feed'!$B$2:$B$3015,Points!$A$5,'Web Feed'!$F$2:$F$3015,$B128)+SUMIFS('Web Feed'!$O$2:$O$3015,'Web Feed'!$B$2:$B$3015,Points!$A$5,'Web Feed'!$G$2:$G$3015,$B128)+SUMIFS('Web Feed'!$O$2:$O$3015,'Web Feed'!$B$2:$B$3015,Points!$A$5,'Web Feed'!$H$2:$H$3015,$B128)+SUMIFS('Web Feed'!$O$2:$O$3015,'Web Feed'!$B$2:$B$3015,Points!$A$5,'Web Feed'!$I$2:$I$3015,$B128))</f>
        <v/>
      </c>
      <c r="H128">
        <f>IF($B128="","",SUMIFS('Web Feed'!$O$2:$O$3015,'Web Feed'!$B$2:$B$3015,Points!$A$6,'Web Feed'!$F$2:$F$3015,$B128)+SUMIFS('Web Feed'!$O$2:$O$3015,'Web Feed'!$B$2:$B$3015,Points!$A$6,'Web Feed'!$G$2:$G$3015,$B128)+SUMIFS('Web Feed'!$O$2:$O$3015,'Web Feed'!$B$2:$B$3015,Points!$A$6,'Web Feed'!$H$2:$H$3015,$B128)+SUMIFS('Web Feed'!$O$2:$O$3015,'Web Feed'!$B$2:$B$3015,Points!$A$6,'Web Feed'!$I$2:$I$3015,$B128))</f>
        <v/>
      </c>
      <c r="I128">
        <f>IF($B128="","",COUNTIFS('Web Feed'!$B$2:$B$3015,"OHW",'Web Feed'!$F$2:$F$3015,$B128))</f>
        <v/>
      </c>
      <c r="J128">
        <f>IF($B128="","",IFERROR(INDEX('Last Week'!$A$2:$A$301,MATCH($B128,'Last Week'!$B$2:$B$301,0)),""))</f>
        <v/>
      </c>
      <c r="K128">
        <f>IF(OR($B128="",$J128=""),"",$J128-$A128)</f>
        <v/>
      </c>
    </row>
    <row r="129">
      <c r="A129">
        <f>IF($B129="","",RANK($C129,$C$2:$C$500))</f>
        <v/>
      </c>
      <c r="B129">
        <f>IF(Players!$A129="","",Players!$A129)</f>
        <v/>
      </c>
      <c r="C129" s="5">
        <f>IF($B129="","",SUM(D129:H129))</f>
        <v/>
      </c>
      <c r="D129">
        <f>IF($B129="","",SUMIFS('Web Feed'!$O$2:$O$3015,'Web Feed'!$B$2:$B$3015,Points!$A$2,'Web Feed'!$F$2:$F$3015,$B129)+SUMIFS('Web Feed'!$O$2:$O$3015,'Web Feed'!$B$2:$B$3015,Points!$A$2,'Web Feed'!$G$2:$G$3015,$B129)+SUMIFS('Web Feed'!$O$2:$O$3015,'Web Feed'!$B$2:$B$3015,Points!$A$2,'Web Feed'!$H$2:$H$3015,$B129)+SUMIFS('Web Feed'!$O$2:$O$3015,'Web Feed'!$B$2:$B$3015,Points!$A$2,'Web Feed'!$I$2:$I$3015,$B129))</f>
        <v/>
      </c>
      <c r="E129">
        <f>IF($B129="","",SUMIFS('Web Feed'!$O$2:$O$3015,'Web Feed'!$B$2:$B$3015,Points!$A$3,'Web Feed'!$F$2:$F$3015,$B129)+SUMIFS('Web Feed'!$O$2:$O$3015,'Web Feed'!$B$2:$B$3015,Points!$A$3,'Web Feed'!$G$2:$G$3015,$B129)+SUMIFS('Web Feed'!$O$2:$O$3015,'Web Feed'!$B$2:$B$3015,Points!$A$3,'Web Feed'!$H$2:$H$3015,$B129)+SUMIFS('Web Feed'!$O$2:$O$3015,'Web Feed'!$B$2:$B$3015,Points!$A$3,'Web Feed'!$I$2:$I$3015,$B129))</f>
        <v/>
      </c>
      <c r="F129">
        <f>IF($B129="","",SUMIFS('Web Feed'!$O$2:$O$3015,'Web Feed'!$B$2:$B$3015,Points!$A$4,'Web Feed'!$F$2:$F$3015,$B129)+SUMIFS('Web Feed'!$O$2:$O$3015,'Web Feed'!$B$2:$B$3015,Points!$A$4,'Web Feed'!$G$2:$G$3015,$B129)+SUMIFS('Web Feed'!$O$2:$O$3015,'Web Feed'!$B$2:$B$3015,Points!$A$4,'Web Feed'!$H$2:$H$3015,$B129)+SUMIFS('Web Feed'!$O$2:$O$3015,'Web Feed'!$B$2:$B$3015,Points!$A$4,'Web Feed'!$I$2:$I$3015,$B129))</f>
        <v/>
      </c>
      <c r="G129">
        <f>IF($B129="","",SUMIFS('Web Feed'!$O$2:$O$3015,'Web Feed'!$B$2:$B$3015,Points!$A$5,'Web Feed'!$F$2:$F$3015,$B129)+SUMIFS('Web Feed'!$O$2:$O$3015,'Web Feed'!$B$2:$B$3015,Points!$A$5,'Web Feed'!$G$2:$G$3015,$B129)+SUMIFS('Web Feed'!$O$2:$O$3015,'Web Feed'!$B$2:$B$3015,Points!$A$5,'Web Feed'!$H$2:$H$3015,$B129)+SUMIFS('Web Feed'!$O$2:$O$3015,'Web Feed'!$B$2:$B$3015,Points!$A$5,'Web Feed'!$I$2:$I$3015,$B129))</f>
        <v/>
      </c>
      <c r="H129">
        <f>IF($B129="","",SUMIFS('Web Feed'!$O$2:$O$3015,'Web Feed'!$B$2:$B$3015,Points!$A$6,'Web Feed'!$F$2:$F$3015,$B129)+SUMIFS('Web Feed'!$O$2:$O$3015,'Web Feed'!$B$2:$B$3015,Points!$A$6,'Web Feed'!$G$2:$G$3015,$B129)+SUMIFS('Web Feed'!$O$2:$O$3015,'Web Feed'!$B$2:$B$3015,Points!$A$6,'Web Feed'!$H$2:$H$3015,$B129)+SUMIFS('Web Feed'!$O$2:$O$3015,'Web Feed'!$B$2:$B$3015,Points!$A$6,'Web Feed'!$I$2:$I$3015,$B129))</f>
        <v/>
      </c>
      <c r="I129">
        <f>IF($B129="","",COUNTIFS('Web Feed'!$B$2:$B$3015,"OHW",'Web Feed'!$F$2:$F$3015,$B129))</f>
        <v/>
      </c>
      <c r="J129">
        <f>IF($B129="","",IFERROR(INDEX('Last Week'!$A$2:$A$301,MATCH($B129,'Last Week'!$B$2:$B$301,0)),""))</f>
        <v/>
      </c>
      <c r="K129">
        <f>IF(OR($B129="",$J129=""),"",$J129-$A129)</f>
        <v/>
      </c>
    </row>
    <row r="130">
      <c r="A130">
        <f>IF($B130="","",RANK($C130,$C$2:$C$500))</f>
        <v/>
      </c>
      <c r="B130">
        <f>IF(Players!$A130="","",Players!$A130)</f>
        <v/>
      </c>
      <c r="C130" s="5">
        <f>IF($B130="","",SUM(D130:H130))</f>
        <v/>
      </c>
      <c r="D130">
        <f>IF($B130="","",SUMIFS('Web Feed'!$O$2:$O$3015,'Web Feed'!$B$2:$B$3015,Points!$A$2,'Web Feed'!$F$2:$F$3015,$B130)+SUMIFS('Web Feed'!$O$2:$O$3015,'Web Feed'!$B$2:$B$3015,Points!$A$2,'Web Feed'!$G$2:$G$3015,$B130)+SUMIFS('Web Feed'!$O$2:$O$3015,'Web Feed'!$B$2:$B$3015,Points!$A$2,'Web Feed'!$H$2:$H$3015,$B130)+SUMIFS('Web Feed'!$O$2:$O$3015,'Web Feed'!$B$2:$B$3015,Points!$A$2,'Web Feed'!$I$2:$I$3015,$B130))</f>
        <v/>
      </c>
      <c r="E130">
        <f>IF($B130="","",SUMIFS('Web Feed'!$O$2:$O$3015,'Web Feed'!$B$2:$B$3015,Points!$A$3,'Web Feed'!$F$2:$F$3015,$B130)+SUMIFS('Web Feed'!$O$2:$O$3015,'Web Feed'!$B$2:$B$3015,Points!$A$3,'Web Feed'!$G$2:$G$3015,$B130)+SUMIFS('Web Feed'!$O$2:$O$3015,'Web Feed'!$B$2:$B$3015,Points!$A$3,'Web Feed'!$H$2:$H$3015,$B130)+SUMIFS('Web Feed'!$O$2:$O$3015,'Web Feed'!$B$2:$B$3015,Points!$A$3,'Web Feed'!$I$2:$I$3015,$B130))</f>
        <v/>
      </c>
      <c r="F130">
        <f>IF($B130="","",SUMIFS('Web Feed'!$O$2:$O$3015,'Web Feed'!$B$2:$B$3015,Points!$A$4,'Web Feed'!$F$2:$F$3015,$B130)+SUMIFS('Web Feed'!$O$2:$O$3015,'Web Feed'!$B$2:$B$3015,Points!$A$4,'Web Feed'!$G$2:$G$3015,$B130)+SUMIFS('Web Feed'!$O$2:$O$3015,'Web Feed'!$B$2:$B$3015,Points!$A$4,'Web Feed'!$H$2:$H$3015,$B130)+SUMIFS('Web Feed'!$O$2:$O$3015,'Web Feed'!$B$2:$B$3015,Points!$A$4,'Web Feed'!$I$2:$I$3015,$B130))</f>
        <v/>
      </c>
      <c r="G130">
        <f>IF($B130="","",SUMIFS('Web Feed'!$O$2:$O$3015,'Web Feed'!$B$2:$B$3015,Points!$A$5,'Web Feed'!$F$2:$F$3015,$B130)+SUMIFS('Web Feed'!$O$2:$O$3015,'Web Feed'!$B$2:$B$3015,Points!$A$5,'Web Feed'!$G$2:$G$3015,$B130)+SUMIFS('Web Feed'!$O$2:$O$3015,'Web Feed'!$B$2:$B$3015,Points!$A$5,'Web Feed'!$H$2:$H$3015,$B130)+SUMIFS('Web Feed'!$O$2:$O$3015,'Web Feed'!$B$2:$B$3015,Points!$A$5,'Web Feed'!$I$2:$I$3015,$B130))</f>
        <v/>
      </c>
      <c r="H130">
        <f>IF($B130="","",SUMIFS('Web Feed'!$O$2:$O$3015,'Web Feed'!$B$2:$B$3015,Points!$A$6,'Web Feed'!$F$2:$F$3015,$B130)+SUMIFS('Web Feed'!$O$2:$O$3015,'Web Feed'!$B$2:$B$3015,Points!$A$6,'Web Feed'!$G$2:$G$3015,$B130)+SUMIFS('Web Feed'!$O$2:$O$3015,'Web Feed'!$B$2:$B$3015,Points!$A$6,'Web Feed'!$H$2:$H$3015,$B130)+SUMIFS('Web Feed'!$O$2:$O$3015,'Web Feed'!$B$2:$B$3015,Points!$A$6,'Web Feed'!$I$2:$I$3015,$B130))</f>
        <v/>
      </c>
      <c r="I130">
        <f>IF($B130="","",COUNTIFS('Web Feed'!$B$2:$B$3015,"OHW",'Web Feed'!$F$2:$F$3015,$B130))</f>
        <v/>
      </c>
      <c r="J130">
        <f>IF($B130="","",IFERROR(INDEX('Last Week'!$A$2:$A$301,MATCH($B130,'Last Week'!$B$2:$B$301,0)),""))</f>
        <v/>
      </c>
      <c r="K130">
        <f>IF(OR($B130="",$J130=""),"",$J130-$A130)</f>
        <v/>
      </c>
    </row>
    <row r="131">
      <c r="A131">
        <f>IF($B131="","",RANK($C131,$C$2:$C$500))</f>
        <v/>
      </c>
      <c r="B131">
        <f>IF(Players!$A131="","",Players!$A131)</f>
        <v/>
      </c>
      <c r="C131" s="5">
        <f>IF($B131="","",SUM(D131:H131))</f>
        <v/>
      </c>
      <c r="D131">
        <f>IF($B131="","",SUMIFS('Web Feed'!$O$2:$O$3015,'Web Feed'!$B$2:$B$3015,Points!$A$2,'Web Feed'!$F$2:$F$3015,$B131)+SUMIFS('Web Feed'!$O$2:$O$3015,'Web Feed'!$B$2:$B$3015,Points!$A$2,'Web Feed'!$G$2:$G$3015,$B131)+SUMIFS('Web Feed'!$O$2:$O$3015,'Web Feed'!$B$2:$B$3015,Points!$A$2,'Web Feed'!$H$2:$H$3015,$B131)+SUMIFS('Web Feed'!$O$2:$O$3015,'Web Feed'!$B$2:$B$3015,Points!$A$2,'Web Feed'!$I$2:$I$3015,$B131))</f>
        <v/>
      </c>
      <c r="E131">
        <f>IF($B131="","",SUMIFS('Web Feed'!$O$2:$O$3015,'Web Feed'!$B$2:$B$3015,Points!$A$3,'Web Feed'!$F$2:$F$3015,$B131)+SUMIFS('Web Feed'!$O$2:$O$3015,'Web Feed'!$B$2:$B$3015,Points!$A$3,'Web Feed'!$G$2:$G$3015,$B131)+SUMIFS('Web Feed'!$O$2:$O$3015,'Web Feed'!$B$2:$B$3015,Points!$A$3,'Web Feed'!$H$2:$H$3015,$B131)+SUMIFS('Web Feed'!$O$2:$O$3015,'Web Feed'!$B$2:$B$3015,Points!$A$3,'Web Feed'!$I$2:$I$3015,$B131))</f>
        <v/>
      </c>
      <c r="F131">
        <f>IF($B131="","",SUMIFS('Web Feed'!$O$2:$O$3015,'Web Feed'!$B$2:$B$3015,Points!$A$4,'Web Feed'!$F$2:$F$3015,$B131)+SUMIFS('Web Feed'!$O$2:$O$3015,'Web Feed'!$B$2:$B$3015,Points!$A$4,'Web Feed'!$G$2:$G$3015,$B131)+SUMIFS('Web Feed'!$O$2:$O$3015,'Web Feed'!$B$2:$B$3015,Points!$A$4,'Web Feed'!$H$2:$H$3015,$B131)+SUMIFS('Web Feed'!$O$2:$O$3015,'Web Feed'!$B$2:$B$3015,Points!$A$4,'Web Feed'!$I$2:$I$3015,$B131))</f>
        <v/>
      </c>
      <c r="G131">
        <f>IF($B131="","",SUMIFS('Web Feed'!$O$2:$O$3015,'Web Feed'!$B$2:$B$3015,Points!$A$5,'Web Feed'!$F$2:$F$3015,$B131)+SUMIFS('Web Feed'!$O$2:$O$3015,'Web Feed'!$B$2:$B$3015,Points!$A$5,'Web Feed'!$G$2:$G$3015,$B131)+SUMIFS('Web Feed'!$O$2:$O$3015,'Web Feed'!$B$2:$B$3015,Points!$A$5,'Web Feed'!$H$2:$H$3015,$B131)+SUMIFS('Web Feed'!$O$2:$O$3015,'Web Feed'!$B$2:$B$3015,Points!$A$5,'Web Feed'!$I$2:$I$3015,$B131))</f>
        <v/>
      </c>
      <c r="H131">
        <f>IF($B131="","",SUMIFS('Web Feed'!$O$2:$O$3015,'Web Feed'!$B$2:$B$3015,Points!$A$6,'Web Feed'!$F$2:$F$3015,$B131)+SUMIFS('Web Feed'!$O$2:$O$3015,'Web Feed'!$B$2:$B$3015,Points!$A$6,'Web Feed'!$G$2:$G$3015,$B131)+SUMIFS('Web Feed'!$O$2:$O$3015,'Web Feed'!$B$2:$B$3015,Points!$A$6,'Web Feed'!$H$2:$H$3015,$B131)+SUMIFS('Web Feed'!$O$2:$O$3015,'Web Feed'!$B$2:$B$3015,Points!$A$6,'Web Feed'!$I$2:$I$3015,$B131))</f>
        <v/>
      </c>
      <c r="I131">
        <f>IF($B131="","",COUNTIFS('Web Feed'!$B$2:$B$3015,"OHW",'Web Feed'!$F$2:$F$3015,$B131))</f>
        <v/>
      </c>
      <c r="J131">
        <f>IF($B131="","",IFERROR(INDEX('Last Week'!$A$2:$A$301,MATCH($B131,'Last Week'!$B$2:$B$301,0)),""))</f>
        <v/>
      </c>
      <c r="K131">
        <f>IF(OR($B131="",$J131=""),"",$J131-$A131)</f>
        <v/>
      </c>
    </row>
    <row r="132">
      <c r="A132">
        <f>IF($B132="","",RANK($C132,$C$2:$C$500))</f>
        <v/>
      </c>
      <c r="B132">
        <f>IF(Players!$A132="","",Players!$A132)</f>
        <v/>
      </c>
      <c r="C132" s="5">
        <f>IF($B132="","",SUM(D132:H132))</f>
        <v/>
      </c>
      <c r="D132">
        <f>IF($B132="","",SUMIFS('Web Feed'!$O$2:$O$3015,'Web Feed'!$B$2:$B$3015,Points!$A$2,'Web Feed'!$F$2:$F$3015,$B132)+SUMIFS('Web Feed'!$O$2:$O$3015,'Web Feed'!$B$2:$B$3015,Points!$A$2,'Web Feed'!$G$2:$G$3015,$B132)+SUMIFS('Web Feed'!$O$2:$O$3015,'Web Feed'!$B$2:$B$3015,Points!$A$2,'Web Feed'!$H$2:$H$3015,$B132)+SUMIFS('Web Feed'!$O$2:$O$3015,'Web Feed'!$B$2:$B$3015,Points!$A$2,'Web Feed'!$I$2:$I$3015,$B132))</f>
        <v/>
      </c>
      <c r="E132">
        <f>IF($B132="","",SUMIFS('Web Feed'!$O$2:$O$3015,'Web Feed'!$B$2:$B$3015,Points!$A$3,'Web Feed'!$F$2:$F$3015,$B132)+SUMIFS('Web Feed'!$O$2:$O$3015,'Web Feed'!$B$2:$B$3015,Points!$A$3,'Web Feed'!$G$2:$G$3015,$B132)+SUMIFS('Web Feed'!$O$2:$O$3015,'Web Feed'!$B$2:$B$3015,Points!$A$3,'Web Feed'!$H$2:$H$3015,$B132)+SUMIFS('Web Feed'!$O$2:$O$3015,'Web Feed'!$B$2:$B$3015,Points!$A$3,'Web Feed'!$I$2:$I$3015,$B132))</f>
        <v/>
      </c>
      <c r="F132">
        <f>IF($B132="","",SUMIFS('Web Feed'!$O$2:$O$3015,'Web Feed'!$B$2:$B$3015,Points!$A$4,'Web Feed'!$F$2:$F$3015,$B132)+SUMIFS('Web Feed'!$O$2:$O$3015,'Web Feed'!$B$2:$B$3015,Points!$A$4,'Web Feed'!$G$2:$G$3015,$B132)+SUMIFS('Web Feed'!$O$2:$O$3015,'Web Feed'!$B$2:$B$3015,Points!$A$4,'Web Feed'!$H$2:$H$3015,$B132)+SUMIFS('Web Feed'!$O$2:$O$3015,'Web Feed'!$B$2:$B$3015,Points!$A$4,'Web Feed'!$I$2:$I$3015,$B132))</f>
        <v/>
      </c>
      <c r="G132">
        <f>IF($B132="","",SUMIFS('Web Feed'!$O$2:$O$3015,'Web Feed'!$B$2:$B$3015,Points!$A$5,'Web Feed'!$F$2:$F$3015,$B132)+SUMIFS('Web Feed'!$O$2:$O$3015,'Web Feed'!$B$2:$B$3015,Points!$A$5,'Web Feed'!$G$2:$G$3015,$B132)+SUMIFS('Web Feed'!$O$2:$O$3015,'Web Feed'!$B$2:$B$3015,Points!$A$5,'Web Feed'!$H$2:$H$3015,$B132)+SUMIFS('Web Feed'!$O$2:$O$3015,'Web Feed'!$B$2:$B$3015,Points!$A$5,'Web Feed'!$I$2:$I$3015,$B132))</f>
        <v/>
      </c>
      <c r="H132">
        <f>IF($B132="","",SUMIFS('Web Feed'!$O$2:$O$3015,'Web Feed'!$B$2:$B$3015,Points!$A$6,'Web Feed'!$F$2:$F$3015,$B132)+SUMIFS('Web Feed'!$O$2:$O$3015,'Web Feed'!$B$2:$B$3015,Points!$A$6,'Web Feed'!$G$2:$G$3015,$B132)+SUMIFS('Web Feed'!$O$2:$O$3015,'Web Feed'!$B$2:$B$3015,Points!$A$6,'Web Feed'!$H$2:$H$3015,$B132)+SUMIFS('Web Feed'!$O$2:$O$3015,'Web Feed'!$B$2:$B$3015,Points!$A$6,'Web Feed'!$I$2:$I$3015,$B132))</f>
        <v/>
      </c>
      <c r="I132">
        <f>IF($B132="","",COUNTIFS('Web Feed'!$B$2:$B$3015,"OHW",'Web Feed'!$F$2:$F$3015,$B132))</f>
        <v/>
      </c>
      <c r="J132">
        <f>IF($B132="","",IFERROR(INDEX('Last Week'!$A$2:$A$301,MATCH($B132,'Last Week'!$B$2:$B$301,0)),""))</f>
        <v/>
      </c>
      <c r="K132">
        <f>IF(OR($B132="",$J132=""),"",$J132-$A132)</f>
        <v/>
      </c>
    </row>
    <row r="133">
      <c r="A133">
        <f>IF($B133="","",RANK($C133,$C$2:$C$500))</f>
        <v/>
      </c>
      <c r="B133">
        <f>IF(Players!$A133="","",Players!$A133)</f>
        <v/>
      </c>
      <c r="C133" s="5">
        <f>IF($B133="","",SUM(D133:H133))</f>
        <v/>
      </c>
      <c r="D133">
        <f>IF($B133="","",SUMIFS('Web Feed'!$O$2:$O$3015,'Web Feed'!$B$2:$B$3015,Points!$A$2,'Web Feed'!$F$2:$F$3015,$B133)+SUMIFS('Web Feed'!$O$2:$O$3015,'Web Feed'!$B$2:$B$3015,Points!$A$2,'Web Feed'!$G$2:$G$3015,$B133)+SUMIFS('Web Feed'!$O$2:$O$3015,'Web Feed'!$B$2:$B$3015,Points!$A$2,'Web Feed'!$H$2:$H$3015,$B133)+SUMIFS('Web Feed'!$O$2:$O$3015,'Web Feed'!$B$2:$B$3015,Points!$A$2,'Web Feed'!$I$2:$I$3015,$B133))</f>
        <v/>
      </c>
      <c r="E133">
        <f>IF($B133="","",SUMIFS('Web Feed'!$O$2:$O$3015,'Web Feed'!$B$2:$B$3015,Points!$A$3,'Web Feed'!$F$2:$F$3015,$B133)+SUMIFS('Web Feed'!$O$2:$O$3015,'Web Feed'!$B$2:$B$3015,Points!$A$3,'Web Feed'!$G$2:$G$3015,$B133)+SUMIFS('Web Feed'!$O$2:$O$3015,'Web Feed'!$B$2:$B$3015,Points!$A$3,'Web Feed'!$H$2:$H$3015,$B133)+SUMIFS('Web Feed'!$O$2:$O$3015,'Web Feed'!$B$2:$B$3015,Points!$A$3,'Web Feed'!$I$2:$I$3015,$B133))</f>
        <v/>
      </c>
      <c r="F133">
        <f>IF($B133="","",SUMIFS('Web Feed'!$O$2:$O$3015,'Web Feed'!$B$2:$B$3015,Points!$A$4,'Web Feed'!$F$2:$F$3015,$B133)+SUMIFS('Web Feed'!$O$2:$O$3015,'Web Feed'!$B$2:$B$3015,Points!$A$4,'Web Feed'!$G$2:$G$3015,$B133)+SUMIFS('Web Feed'!$O$2:$O$3015,'Web Feed'!$B$2:$B$3015,Points!$A$4,'Web Feed'!$H$2:$H$3015,$B133)+SUMIFS('Web Feed'!$O$2:$O$3015,'Web Feed'!$B$2:$B$3015,Points!$A$4,'Web Feed'!$I$2:$I$3015,$B133))</f>
        <v/>
      </c>
      <c r="G133">
        <f>IF($B133="","",SUMIFS('Web Feed'!$O$2:$O$3015,'Web Feed'!$B$2:$B$3015,Points!$A$5,'Web Feed'!$F$2:$F$3015,$B133)+SUMIFS('Web Feed'!$O$2:$O$3015,'Web Feed'!$B$2:$B$3015,Points!$A$5,'Web Feed'!$G$2:$G$3015,$B133)+SUMIFS('Web Feed'!$O$2:$O$3015,'Web Feed'!$B$2:$B$3015,Points!$A$5,'Web Feed'!$H$2:$H$3015,$B133)+SUMIFS('Web Feed'!$O$2:$O$3015,'Web Feed'!$B$2:$B$3015,Points!$A$5,'Web Feed'!$I$2:$I$3015,$B133))</f>
        <v/>
      </c>
      <c r="H133">
        <f>IF($B133="","",SUMIFS('Web Feed'!$O$2:$O$3015,'Web Feed'!$B$2:$B$3015,Points!$A$6,'Web Feed'!$F$2:$F$3015,$B133)+SUMIFS('Web Feed'!$O$2:$O$3015,'Web Feed'!$B$2:$B$3015,Points!$A$6,'Web Feed'!$G$2:$G$3015,$B133)+SUMIFS('Web Feed'!$O$2:$O$3015,'Web Feed'!$B$2:$B$3015,Points!$A$6,'Web Feed'!$H$2:$H$3015,$B133)+SUMIFS('Web Feed'!$O$2:$O$3015,'Web Feed'!$B$2:$B$3015,Points!$A$6,'Web Feed'!$I$2:$I$3015,$B133))</f>
        <v/>
      </c>
      <c r="I133">
        <f>IF($B133="","",COUNTIFS('Web Feed'!$B$2:$B$3015,"OHW",'Web Feed'!$F$2:$F$3015,$B133))</f>
        <v/>
      </c>
      <c r="J133">
        <f>IF($B133="","",IFERROR(INDEX('Last Week'!$A$2:$A$301,MATCH($B133,'Last Week'!$B$2:$B$301,0)),""))</f>
        <v/>
      </c>
      <c r="K133">
        <f>IF(OR($B133="",$J133=""),"",$J133-$A133)</f>
        <v/>
      </c>
    </row>
    <row r="134">
      <c r="A134">
        <f>IF($B134="","",RANK($C134,$C$2:$C$500))</f>
        <v/>
      </c>
      <c r="B134">
        <f>IF(Players!$A134="","",Players!$A134)</f>
        <v/>
      </c>
      <c r="C134" s="5">
        <f>IF($B134="","",SUM(D134:H134))</f>
        <v/>
      </c>
      <c r="D134">
        <f>IF($B134="","",SUMIFS('Web Feed'!$O$2:$O$3015,'Web Feed'!$B$2:$B$3015,Points!$A$2,'Web Feed'!$F$2:$F$3015,$B134)+SUMIFS('Web Feed'!$O$2:$O$3015,'Web Feed'!$B$2:$B$3015,Points!$A$2,'Web Feed'!$G$2:$G$3015,$B134)+SUMIFS('Web Feed'!$O$2:$O$3015,'Web Feed'!$B$2:$B$3015,Points!$A$2,'Web Feed'!$H$2:$H$3015,$B134)+SUMIFS('Web Feed'!$O$2:$O$3015,'Web Feed'!$B$2:$B$3015,Points!$A$2,'Web Feed'!$I$2:$I$3015,$B134))</f>
        <v/>
      </c>
      <c r="E134">
        <f>IF($B134="","",SUMIFS('Web Feed'!$O$2:$O$3015,'Web Feed'!$B$2:$B$3015,Points!$A$3,'Web Feed'!$F$2:$F$3015,$B134)+SUMIFS('Web Feed'!$O$2:$O$3015,'Web Feed'!$B$2:$B$3015,Points!$A$3,'Web Feed'!$G$2:$G$3015,$B134)+SUMIFS('Web Feed'!$O$2:$O$3015,'Web Feed'!$B$2:$B$3015,Points!$A$3,'Web Feed'!$H$2:$H$3015,$B134)+SUMIFS('Web Feed'!$O$2:$O$3015,'Web Feed'!$B$2:$B$3015,Points!$A$3,'Web Feed'!$I$2:$I$3015,$B134))</f>
        <v/>
      </c>
      <c r="F134">
        <f>IF($B134="","",SUMIFS('Web Feed'!$O$2:$O$3015,'Web Feed'!$B$2:$B$3015,Points!$A$4,'Web Feed'!$F$2:$F$3015,$B134)+SUMIFS('Web Feed'!$O$2:$O$3015,'Web Feed'!$B$2:$B$3015,Points!$A$4,'Web Feed'!$G$2:$G$3015,$B134)+SUMIFS('Web Feed'!$O$2:$O$3015,'Web Feed'!$B$2:$B$3015,Points!$A$4,'Web Feed'!$H$2:$H$3015,$B134)+SUMIFS('Web Feed'!$O$2:$O$3015,'Web Feed'!$B$2:$B$3015,Points!$A$4,'Web Feed'!$I$2:$I$3015,$B134))</f>
        <v/>
      </c>
      <c r="G134">
        <f>IF($B134="","",SUMIFS('Web Feed'!$O$2:$O$3015,'Web Feed'!$B$2:$B$3015,Points!$A$5,'Web Feed'!$F$2:$F$3015,$B134)+SUMIFS('Web Feed'!$O$2:$O$3015,'Web Feed'!$B$2:$B$3015,Points!$A$5,'Web Feed'!$G$2:$G$3015,$B134)+SUMIFS('Web Feed'!$O$2:$O$3015,'Web Feed'!$B$2:$B$3015,Points!$A$5,'Web Feed'!$H$2:$H$3015,$B134)+SUMIFS('Web Feed'!$O$2:$O$3015,'Web Feed'!$B$2:$B$3015,Points!$A$5,'Web Feed'!$I$2:$I$3015,$B134))</f>
        <v/>
      </c>
      <c r="H134">
        <f>IF($B134="","",SUMIFS('Web Feed'!$O$2:$O$3015,'Web Feed'!$B$2:$B$3015,Points!$A$6,'Web Feed'!$F$2:$F$3015,$B134)+SUMIFS('Web Feed'!$O$2:$O$3015,'Web Feed'!$B$2:$B$3015,Points!$A$6,'Web Feed'!$G$2:$G$3015,$B134)+SUMIFS('Web Feed'!$O$2:$O$3015,'Web Feed'!$B$2:$B$3015,Points!$A$6,'Web Feed'!$H$2:$H$3015,$B134)+SUMIFS('Web Feed'!$O$2:$O$3015,'Web Feed'!$B$2:$B$3015,Points!$A$6,'Web Feed'!$I$2:$I$3015,$B134))</f>
        <v/>
      </c>
      <c r="I134">
        <f>IF($B134="","",COUNTIFS('Web Feed'!$B$2:$B$3015,"OHW",'Web Feed'!$F$2:$F$3015,$B134))</f>
        <v/>
      </c>
      <c r="J134">
        <f>IF($B134="","",IFERROR(INDEX('Last Week'!$A$2:$A$301,MATCH($B134,'Last Week'!$B$2:$B$301,0)),""))</f>
        <v/>
      </c>
      <c r="K134">
        <f>IF(OR($B134="",$J134=""),"",$J134-$A134)</f>
        <v/>
      </c>
    </row>
    <row r="135">
      <c r="A135">
        <f>IF($B135="","",RANK($C135,$C$2:$C$500))</f>
        <v/>
      </c>
      <c r="B135">
        <f>IF(Players!$A135="","",Players!$A135)</f>
        <v/>
      </c>
      <c r="C135" s="5">
        <f>IF($B135="","",SUM(D135:H135))</f>
        <v/>
      </c>
      <c r="D135">
        <f>IF($B135="","",SUMIFS('Web Feed'!$O$2:$O$3015,'Web Feed'!$B$2:$B$3015,Points!$A$2,'Web Feed'!$F$2:$F$3015,$B135)+SUMIFS('Web Feed'!$O$2:$O$3015,'Web Feed'!$B$2:$B$3015,Points!$A$2,'Web Feed'!$G$2:$G$3015,$B135)+SUMIFS('Web Feed'!$O$2:$O$3015,'Web Feed'!$B$2:$B$3015,Points!$A$2,'Web Feed'!$H$2:$H$3015,$B135)+SUMIFS('Web Feed'!$O$2:$O$3015,'Web Feed'!$B$2:$B$3015,Points!$A$2,'Web Feed'!$I$2:$I$3015,$B135))</f>
        <v/>
      </c>
      <c r="E135">
        <f>IF($B135="","",SUMIFS('Web Feed'!$O$2:$O$3015,'Web Feed'!$B$2:$B$3015,Points!$A$3,'Web Feed'!$F$2:$F$3015,$B135)+SUMIFS('Web Feed'!$O$2:$O$3015,'Web Feed'!$B$2:$B$3015,Points!$A$3,'Web Feed'!$G$2:$G$3015,$B135)+SUMIFS('Web Feed'!$O$2:$O$3015,'Web Feed'!$B$2:$B$3015,Points!$A$3,'Web Feed'!$H$2:$H$3015,$B135)+SUMIFS('Web Feed'!$O$2:$O$3015,'Web Feed'!$B$2:$B$3015,Points!$A$3,'Web Feed'!$I$2:$I$3015,$B135))</f>
        <v/>
      </c>
      <c r="F135">
        <f>IF($B135="","",SUMIFS('Web Feed'!$O$2:$O$3015,'Web Feed'!$B$2:$B$3015,Points!$A$4,'Web Feed'!$F$2:$F$3015,$B135)+SUMIFS('Web Feed'!$O$2:$O$3015,'Web Feed'!$B$2:$B$3015,Points!$A$4,'Web Feed'!$G$2:$G$3015,$B135)+SUMIFS('Web Feed'!$O$2:$O$3015,'Web Feed'!$B$2:$B$3015,Points!$A$4,'Web Feed'!$H$2:$H$3015,$B135)+SUMIFS('Web Feed'!$O$2:$O$3015,'Web Feed'!$B$2:$B$3015,Points!$A$4,'Web Feed'!$I$2:$I$3015,$B135))</f>
        <v/>
      </c>
      <c r="G135">
        <f>IF($B135="","",SUMIFS('Web Feed'!$O$2:$O$3015,'Web Feed'!$B$2:$B$3015,Points!$A$5,'Web Feed'!$F$2:$F$3015,$B135)+SUMIFS('Web Feed'!$O$2:$O$3015,'Web Feed'!$B$2:$B$3015,Points!$A$5,'Web Feed'!$G$2:$G$3015,$B135)+SUMIFS('Web Feed'!$O$2:$O$3015,'Web Feed'!$B$2:$B$3015,Points!$A$5,'Web Feed'!$H$2:$H$3015,$B135)+SUMIFS('Web Feed'!$O$2:$O$3015,'Web Feed'!$B$2:$B$3015,Points!$A$5,'Web Feed'!$I$2:$I$3015,$B135))</f>
        <v/>
      </c>
      <c r="H135">
        <f>IF($B135="","",SUMIFS('Web Feed'!$O$2:$O$3015,'Web Feed'!$B$2:$B$3015,Points!$A$6,'Web Feed'!$F$2:$F$3015,$B135)+SUMIFS('Web Feed'!$O$2:$O$3015,'Web Feed'!$B$2:$B$3015,Points!$A$6,'Web Feed'!$G$2:$G$3015,$B135)+SUMIFS('Web Feed'!$O$2:$O$3015,'Web Feed'!$B$2:$B$3015,Points!$A$6,'Web Feed'!$H$2:$H$3015,$B135)+SUMIFS('Web Feed'!$O$2:$O$3015,'Web Feed'!$B$2:$B$3015,Points!$A$6,'Web Feed'!$I$2:$I$3015,$B135))</f>
        <v/>
      </c>
      <c r="I135">
        <f>IF($B135="","",COUNTIFS('Web Feed'!$B$2:$B$3015,"OHW",'Web Feed'!$F$2:$F$3015,$B135))</f>
        <v/>
      </c>
      <c r="J135">
        <f>IF($B135="","",IFERROR(INDEX('Last Week'!$A$2:$A$301,MATCH($B135,'Last Week'!$B$2:$B$301,0)),""))</f>
        <v/>
      </c>
      <c r="K135">
        <f>IF(OR($B135="",$J135=""),"",$J135-$A135)</f>
        <v/>
      </c>
    </row>
    <row r="136">
      <c r="A136">
        <f>IF($B136="","",RANK($C136,$C$2:$C$500))</f>
        <v/>
      </c>
      <c r="B136">
        <f>IF(Players!$A136="","",Players!$A136)</f>
        <v/>
      </c>
      <c r="C136" s="5">
        <f>IF($B136="","",SUM(D136:H136))</f>
        <v/>
      </c>
      <c r="D136">
        <f>IF($B136="","",SUMIFS('Web Feed'!$O$2:$O$3015,'Web Feed'!$B$2:$B$3015,Points!$A$2,'Web Feed'!$F$2:$F$3015,$B136)+SUMIFS('Web Feed'!$O$2:$O$3015,'Web Feed'!$B$2:$B$3015,Points!$A$2,'Web Feed'!$G$2:$G$3015,$B136)+SUMIFS('Web Feed'!$O$2:$O$3015,'Web Feed'!$B$2:$B$3015,Points!$A$2,'Web Feed'!$H$2:$H$3015,$B136)+SUMIFS('Web Feed'!$O$2:$O$3015,'Web Feed'!$B$2:$B$3015,Points!$A$2,'Web Feed'!$I$2:$I$3015,$B136))</f>
        <v/>
      </c>
      <c r="E136">
        <f>IF($B136="","",SUMIFS('Web Feed'!$O$2:$O$3015,'Web Feed'!$B$2:$B$3015,Points!$A$3,'Web Feed'!$F$2:$F$3015,$B136)+SUMIFS('Web Feed'!$O$2:$O$3015,'Web Feed'!$B$2:$B$3015,Points!$A$3,'Web Feed'!$G$2:$G$3015,$B136)+SUMIFS('Web Feed'!$O$2:$O$3015,'Web Feed'!$B$2:$B$3015,Points!$A$3,'Web Feed'!$H$2:$H$3015,$B136)+SUMIFS('Web Feed'!$O$2:$O$3015,'Web Feed'!$B$2:$B$3015,Points!$A$3,'Web Feed'!$I$2:$I$3015,$B136))</f>
        <v/>
      </c>
      <c r="F136">
        <f>IF($B136="","",SUMIFS('Web Feed'!$O$2:$O$3015,'Web Feed'!$B$2:$B$3015,Points!$A$4,'Web Feed'!$F$2:$F$3015,$B136)+SUMIFS('Web Feed'!$O$2:$O$3015,'Web Feed'!$B$2:$B$3015,Points!$A$4,'Web Feed'!$G$2:$G$3015,$B136)+SUMIFS('Web Feed'!$O$2:$O$3015,'Web Feed'!$B$2:$B$3015,Points!$A$4,'Web Feed'!$H$2:$H$3015,$B136)+SUMIFS('Web Feed'!$O$2:$O$3015,'Web Feed'!$B$2:$B$3015,Points!$A$4,'Web Feed'!$I$2:$I$3015,$B136))</f>
        <v/>
      </c>
      <c r="G136">
        <f>IF($B136="","",SUMIFS('Web Feed'!$O$2:$O$3015,'Web Feed'!$B$2:$B$3015,Points!$A$5,'Web Feed'!$F$2:$F$3015,$B136)+SUMIFS('Web Feed'!$O$2:$O$3015,'Web Feed'!$B$2:$B$3015,Points!$A$5,'Web Feed'!$G$2:$G$3015,$B136)+SUMIFS('Web Feed'!$O$2:$O$3015,'Web Feed'!$B$2:$B$3015,Points!$A$5,'Web Feed'!$H$2:$H$3015,$B136)+SUMIFS('Web Feed'!$O$2:$O$3015,'Web Feed'!$B$2:$B$3015,Points!$A$5,'Web Feed'!$I$2:$I$3015,$B136))</f>
        <v/>
      </c>
      <c r="H136">
        <f>IF($B136="","",SUMIFS('Web Feed'!$O$2:$O$3015,'Web Feed'!$B$2:$B$3015,Points!$A$6,'Web Feed'!$F$2:$F$3015,$B136)+SUMIFS('Web Feed'!$O$2:$O$3015,'Web Feed'!$B$2:$B$3015,Points!$A$6,'Web Feed'!$G$2:$G$3015,$B136)+SUMIFS('Web Feed'!$O$2:$O$3015,'Web Feed'!$B$2:$B$3015,Points!$A$6,'Web Feed'!$H$2:$H$3015,$B136)+SUMIFS('Web Feed'!$O$2:$O$3015,'Web Feed'!$B$2:$B$3015,Points!$A$6,'Web Feed'!$I$2:$I$3015,$B136))</f>
        <v/>
      </c>
      <c r="I136">
        <f>IF($B136="","",COUNTIFS('Web Feed'!$B$2:$B$3015,"OHW",'Web Feed'!$F$2:$F$3015,$B136))</f>
        <v/>
      </c>
      <c r="J136">
        <f>IF($B136="","",IFERROR(INDEX('Last Week'!$A$2:$A$301,MATCH($B136,'Last Week'!$B$2:$B$301,0)),""))</f>
        <v/>
      </c>
      <c r="K136">
        <f>IF(OR($B136="",$J136=""),"",$J136-$A136)</f>
        <v/>
      </c>
    </row>
    <row r="137">
      <c r="A137">
        <f>IF($B137="","",RANK($C137,$C$2:$C$500))</f>
        <v/>
      </c>
      <c r="B137">
        <f>IF(Players!$A137="","",Players!$A137)</f>
        <v/>
      </c>
      <c r="C137" s="5">
        <f>IF($B137="","",SUM(D137:H137))</f>
        <v/>
      </c>
      <c r="D137">
        <f>IF($B137="","",SUMIFS('Web Feed'!$O$2:$O$3015,'Web Feed'!$B$2:$B$3015,Points!$A$2,'Web Feed'!$F$2:$F$3015,$B137)+SUMIFS('Web Feed'!$O$2:$O$3015,'Web Feed'!$B$2:$B$3015,Points!$A$2,'Web Feed'!$G$2:$G$3015,$B137)+SUMIFS('Web Feed'!$O$2:$O$3015,'Web Feed'!$B$2:$B$3015,Points!$A$2,'Web Feed'!$H$2:$H$3015,$B137)+SUMIFS('Web Feed'!$O$2:$O$3015,'Web Feed'!$B$2:$B$3015,Points!$A$2,'Web Feed'!$I$2:$I$3015,$B137))</f>
        <v/>
      </c>
      <c r="E137">
        <f>IF($B137="","",SUMIFS('Web Feed'!$O$2:$O$3015,'Web Feed'!$B$2:$B$3015,Points!$A$3,'Web Feed'!$F$2:$F$3015,$B137)+SUMIFS('Web Feed'!$O$2:$O$3015,'Web Feed'!$B$2:$B$3015,Points!$A$3,'Web Feed'!$G$2:$G$3015,$B137)+SUMIFS('Web Feed'!$O$2:$O$3015,'Web Feed'!$B$2:$B$3015,Points!$A$3,'Web Feed'!$H$2:$H$3015,$B137)+SUMIFS('Web Feed'!$O$2:$O$3015,'Web Feed'!$B$2:$B$3015,Points!$A$3,'Web Feed'!$I$2:$I$3015,$B137))</f>
        <v/>
      </c>
      <c r="F137">
        <f>IF($B137="","",SUMIFS('Web Feed'!$O$2:$O$3015,'Web Feed'!$B$2:$B$3015,Points!$A$4,'Web Feed'!$F$2:$F$3015,$B137)+SUMIFS('Web Feed'!$O$2:$O$3015,'Web Feed'!$B$2:$B$3015,Points!$A$4,'Web Feed'!$G$2:$G$3015,$B137)+SUMIFS('Web Feed'!$O$2:$O$3015,'Web Feed'!$B$2:$B$3015,Points!$A$4,'Web Feed'!$H$2:$H$3015,$B137)+SUMIFS('Web Feed'!$O$2:$O$3015,'Web Feed'!$B$2:$B$3015,Points!$A$4,'Web Feed'!$I$2:$I$3015,$B137))</f>
        <v/>
      </c>
      <c r="G137">
        <f>IF($B137="","",SUMIFS('Web Feed'!$O$2:$O$3015,'Web Feed'!$B$2:$B$3015,Points!$A$5,'Web Feed'!$F$2:$F$3015,$B137)+SUMIFS('Web Feed'!$O$2:$O$3015,'Web Feed'!$B$2:$B$3015,Points!$A$5,'Web Feed'!$G$2:$G$3015,$B137)+SUMIFS('Web Feed'!$O$2:$O$3015,'Web Feed'!$B$2:$B$3015,Points!$A$5,'Web Feed'!$H$2:$H$3015,$B137)+SUMIFS('Web Feed'!$O$2:$O$3015,'Web Feed'!$B$2:$B$3015,Points!$A$5,'Web Feed'!$I$2:$I$3015,$B137))</f>
        <v/>
      </c>
      <c r="H137">
        <f>IF($B137="","",SUMIFS('Web Feed'!$O$2:$O$3015,'Web Feed'!$B$2:$B$3015,Points!$A$6,'Web Feed'!$F$2:$F$3015,$B137)+SUMIFS('Web Feed'!$O$2:$O$3015,'Web Feed'!$B$2:$B$3015,Points!$A$6,'Web Feed'!$G$2:$G$3015,$B137)+SUMIFS('Web Feed'!$O$2:$O$3015,'Web Feed'!$B$2:$B$3015,Points!$A$6,'Web Feed'!$H$2:$H$3015,$B137)+SUMIFS('Web Feed'!$O$2:$O$3015,'Web Feed'!$B$2:$B$3015,Points!$A$6,'Web Feed'!$I$2:$I$3015,$B137))</f>
        <v/>
      </c>
      <c r="I137">
        <f>IF($B137="","",COUNTIFS('Web Feed'!$B$2:$B$3015,"OHW",'Web Feed'!$F$2:$F$3015,$B137))</f>
        <v/>
      </c>
      <c r="J137">
        <f>IF($B137="","",IFERROR(INDEX('Last Week'!$A$2:$A$301,MATCH($B137,'Last Week'!$B$2:$B$301,0)),""))</f>
        <v/>
      </c>
      <c r="K137">
        <f>IF(OR($B137="",$J137=""),"",$J137-$A137)</f>
        <v/>
      </c>
    </row>
    <row r="138">
      <c r="A138">
        <f>IF($B138="","",RANK($C138,$C$2:$C$500))</f>
        <v/>
      </c>
      <c r="B138">
        <f>IF(Players!$A138="","",Players!$A138)</f>
        <v/>
      </c>
      <c r="C138" s="5">
        <f>IF($B138="","",SUM(D138:H138))</f>
        <v/>
      </c>
      <c r="D138">
        <f>IF($B138="","",SUMIFS('Web Feed'!$O$2:$O$3015,'Web Feed'!$B$2:$B$3015,Points!$A$2,'Web Feed'!$F$2:$F$3015,$B138)+SUMIFS('Web Feed'!$O$2:$O$3015,'Web Feed'!$B$2:$B$3015,Points!$A$2,'Web Feed'!$G$2:$G$3015,$B138)+SUMIFS('Web Feed'!$O$2:$O$3015,'Web Feed'!$B$2:$B$3015,Points!$A$2,'Web Feed'!$H$2:$H$3015,$B138)+SUMIFS('Web Feed'!$O$2:$O$3015,'Web Feed'!$B$2:$B$3015,Points!$A$2,'Web Feed'!$I$2:$I$3015,$B138))</f>
        <v/>
      </c>
      <c r="E138">
        <f>IF($B138="","",SUMIFS('Web Feed'!$O$2:$O$3015,'Web Feed'!$B$2:$B$3015,Points!$A$3,'Web Feed'!$F$2:$F$3015,$B138)+SUMIFS('Web Feed'!$O$2:$O$3015,'Web Feed'!$B$2:$B$3015,Points!$A$3,'Web Feed'!$G$2:$G$3015,$B138)+SUMIFS('Web Feed'!$O$2:$O$3015,'Web Feed'!$B$2:$B$3015,Points!$A$3,'Web Feed'!$H$2:$H$3015,$B138)+SUMIFS('Web Feed'!$O$2:$O$3015,'Web Feed'!$B$2:$B$3015,Points!$A$3,'Web Feed'!$I$2:$I$3015,$B138))</f>
        <v/>
      </c>
      <c r="F138">
        <f>IF($B138="","",SUMIFS('Web Feed'!$O$2:$O$3015,'Web Feed'!$B$2:$B$3015,Points!$A$4,'Web Feed'!$F$2:$F$3015,$B138)+SUMIFS('Web Feed'!$O$2:$O$3015,'Web Feed'!$B$2:$B$3015,Points!$A$4,'Web Feed'!$G$2:$G$3015,$B138)+SUMIFS('Web Feed'!$O$2:$O$3015,'Web Feed'!$B$2:$B$3015,Points!$A$4,'Web Feed'!$H$2:$H$3015,$B138)+SUMIFS('Web Feed'!$O$2:$O$3015,'Web Feed'!$B$2:$B$3015,Points!$A$4,'Web Feed'!$I$2:$I$3015,$B138))</f>
        <v/>
      </c>
      <c r="G138">
        <f>IF($B138="","",SUMIFS('Web Feed'!$O$2:$O$3015,'Web Feed'!$B$2:$B$3015,Points!$A$5,'Web Feed'!$F$2:$F$3015,$B138)+SUMIFS('Web Feed'!$O$2:$O$3015,'Web Feed'!$B$2:$B$3015,Points!$A$5,'Web Feed'!$G$2:$G$3015,$B138)+SUMIFS('Web Feed'!$O$2:$O$3015,'Web Feed'!$B$2:$B$3015,Points!$A$5,'Web Feed'!$H$2:$H$3015,$B138)+SUMIFS('Web Feed'!$O$2:$O$3015,'Web Feed'!$B$2:$B$3015,Points!$A$5,'Web Feed'!$I$2:$I$3015,$B138))</f>
        <v/>
      </c>
      <c r="H138">
        <f>IF($B138="","",SUMIFS('Web Feed'!$O$2:$O$3015,'Web Feed'!$B$2:$B$3015,Points!$A$6,'Web Feed'!$F$2:$F$3015,$B138)+SUMIFS('Web Feed'!$O$2:$O$3015,'Web Feed'!$B$2:$B$3015,Points!$A$6,'Web Feed'!$G$2:$G$3015,$B138)+SUMIFS('Web Feed'!$O$2:$O$3015,'Web Feed'!$B$2:$B$3015,Points!$A$6,'Web Feed'!$H$2:$H$3015,$B138)+SUMIFS('Web Feed'!$O$2:$O$3015,'Web Feed'!$B$2:$B$3015,Points!$A$6,'Web Feed'!$I$2:$I$3015,$B138))</f>
        <v/>
      </c>
      <c r="I138">
        <f>IF($B138="","",COUNTIFS('Web Feed'!$B$2:$B$3015,"OHW",'Web Feed'!$F$2:$F$3015,$B138))</f>
        <v/>
      </c>
      <c r="J138">
        <f>IF($B138="","",IFERROR(INDEX('Last Week'!$A$2:$A$301,MATCH($B138,'Last Week'!$B$2:$B$301,0)),""))</f>
        <v/>
      </c>
      <c r="K138">
        <f>IF(OR($B138="",$J138=""),"",$J138-$A138)</f>
        <v/>
      </c>
    </row>
    <row r="139">
      <c r="A139">
        <f>IF($B139="","",RANK($C139,$C$2:$C$500))</f>
        <v/>
      </c>
      <c r="B139">
        <f>IF(Players!$A139="","",Players!$A139)</f>
        <v/>
      </c>
      <c r="C139" s="5">
        <f>IF($B139="","",SUM(D139:H139))</f>
        <v/>
      </c>
      <c r="D139">
        <f>IF($B139="","",SUMIFS('Web Feed'!$O$2:$O$3015,'Web Feed'!$B$2:$B$3015,Points!$A$2,'Web Feed'!$F$2:$F$3015,$B139)+SUMIFS('Web Feed'!$O$2:$O$3015,'Web Feed'!$B$2:$B$3015,Points!$A$2,'Web Feed'!$G$2:$G$3015,$B139)+SUMIFS('Web Feed'!$O$2:$O$3015,'Web Feed'!$B$2:$B$3015,Points!$A$2,'Web Feed'!$H$2:$H$3015,$B139)+SUMIFS('Web Feed'!$O$2:$O$3015,'Web Feed'!$B$2:$B$3015,Points!$A$2,'Web Feed'!$I$2:$I$3015,$B139))</f>
        <v/>
      </c>
      <c r="E139">
        <f>IF($B139="","",SUMIFS('Web Feed'!$O$2:$O$3015,'Web Feed'!$B$2:$B$3015,Points!$A$3,'Web Feed'!$F$2:$F$3015,$B139)+SUMIFS('Web Feed'!$O$2:$O$3015,'Web Feed'!$B$2:$B$3015,Points!$A$3,'Web Feed'!$G$2:$G$3015,$B139)+SUMIFS('Web Feed'!$O$2:$O$3015,'Web Feed'!$B$2:$B$3015,Points!$A$3,'Web Feed'!$H$2:$H$3015,$B139)+SUMIFS('Web Feed'!$O$2:$O$3015,'Web Feed'!$B$2:$B$3015,Points!$A$3,'Web Feed'!$I$2:$I$3015,$B139))</f>
        <v/>
      </c>
      <c r="F139">
        <f>IF($B139="","",SUMIFS('Web Feed'!$O$2:$O$3015,'Web Feed'!$B$2:$B$3015,Points!$A$4,'Web Feed'!$F$2:$F$3015,$B139)+SUMIFS('Web Feed'!$O$2:$O$3015,'Web Feed'!$B$2:$B$3015,Points!$A$4,'Web Feed'!$G$2:$G$3015,$B139)+SUMIFS('Web Feed'!$O$2:$O$3015,'Web Feed'!$B$2:$B$3015,Points!$A$4,'Web Feed'!$H$2:$H$3015,$B139)+SUMIFS('Web Feed'!$O$2:$O$3015,'Web Feed'!$B$2:$B$3015,Points!$A$4,'Web Feed'!$I$2:$I$3015,$B139))</f>
        <v/>
      </c>
      <c r="G139">
        <f>IF($B139="","",SUMIFS('Web Feed'!$O$2:$O$3015,'Web Feed'!$B$2:$B$3015,Points!$A$5,'Web Feed'!$F$2:$F$3015,$B139)+SUMIFS('Web Feed'!$O$2:$O$3015,'Web Feed'!$B$2:$B$3015,Points!$A$5,'Web Feed'!$G$2:$G$3015,$B139)+SUMIFS('Web Feed'!$O$2:$O$3015,'Web Feed'!$B$2:$B$3015,Points!$A$5,'Web Feed'!$H$2:$H$3015,$B139)+SUMIFS('Web Feed'!$O$2:$O$3015,'Web Feed'!$B$2:$B$3015,Points!$A$5,'Web Feed'!$I$2:$I$3015,$B139))</f>
        <v/>
      </c>
      <c r="H139">
        <f>IF($B139="","",SUMIFS('Web Feed'!$O$2:$O$3015,'Web Feed'!$B$2:$B$3015,Points!$A$6,'Web Feed'!$F$2:$F$3015,$B139)+SUMIFS('Web Feed'!$O$2:$O$3015,'Web Feed'!$B$2:$B$3015,Points!$A$6,'Web Feed'!$G$2:$G$3015,$B139)+SUMIFS('Web Feed'!$O$2:$O$3015,'Web Feed'!$B$2:$B$3015,Points!$A$6,'Web Feed'!$H$2:$H$3015,$B139)+SUMIFS('Web Feed'!$O$2:$O$3015,'Web Feed'!$B$2:$B$3015,Points!$A$6,'Web Feed'!$I$2:$I$3015,$B139))</f>
        <v/>
      </c>
      <c r="I139">
        <f>IF($B139="","",COUNTIFS('Web Feed'!$B$2:$B$3015,"OHW",'Web Feed'!$F$2:$F$3015,$B139))</f>
        <v/>
      </c>
      <c r="J139">
        <f>IF($B139="","",IFERROR(INDEX('Last Week'!$A$2:$A$301,MATCH($B139,'Last Week'!$B$2:$B$301,0)),""))</f>
        <v/>
      </c>
      <c r="K139">
        <f>IF(OR($B139="",$J139=""),"",$J139-$A139)</f>
        <v/>
      </c>
    </row>
    <row r="140">
      <c r="A140">
        <f>IF($B140="","",RANK($C140,$C$2:$C$500))</f>
        <v/>
      </c>
      <c r="B140">
        <f>IF(Players!$A140="","",Players!$A140)</f>
        <v/>
      </c>
      <c r="C140" s="5">
        <f>IF($B140="","",SUM(D140:H140))</f>
        <v/>
      </c>
      <c r="D140">
        <f>IF($B140="","",SUMIFS('Web Feed'!$O$2:$O$3015,'Web Feed'!$B$2:$B$3015,Points!$A$2,'Web Feed'!$F$2:$F$3015,$B140)+SUMIFS('Web Feed'!$O$2:$O$3015,'Web Feed'!$B$2:$B$3015,Points!$A$2,'Web Feed'!$G$2:$G$3015,$B140)+SUMIFS('Web Feed'!$O$2:$O$3015,'Web Feed'!$B$2:$B$3015,Points!$A$2,'Web Feed'!$H$2:$H$3015,$B140)+SUMIFS('Web Feed'!$O$2:$O$3015,'Web Feed'!$B$2:$B$3015,Points!$A$2,'Web Feed'!$I$2:$I$3015,$B140))</f>
        <v/>
      </c>
      <c r="E140">
        <f>IF($B140="","",SUMIFS('Web Feed'!$O$2:$O$3015,'Web Feed'!$B$2:$B$3015,Points!$A$3,'Web Feed'!$F$2:$F$3015,$B140)+SUMIFS('Web Feed'!$O$2:$O$3015,'Web Feed'!$B$2:$B$3015,Points!$A$3,'Web Feed'!$G$2:$G$3015,$B140)+SUMIFS('Web Feed'!$O$2:$O$3015,'Web Feed'!$B$2:$B$3015,Points!$A$3,'Web Feed'!$H$2:$H$3015,$B140)+SUMIFS('Web Feed'!$O$2:$O$3015,'Web Feed'!$B$2:$B$3015,Points!$A$3,'Web Feed'!$I$2:$I$3015,$B140))</f>
        <v/>
      </c>
      <c r="F140">
        <f>IF($B140="","",SUMIFS('Web Feed'!$O$2:$O$3015,'Web Feed'!$B$2:$B$3015,Points!$A$4,'Web Feed'!$F$2:$F$3015,$B140)+SUMIFS('Web Feed'!$O$2:$O$3015,'Web Feed'!$B$2:$B$3015,Points!$A$4,'Web Feed'!$G$2:$G$3015,$B140)+SUMIFS('Web Feed'!$O$2:$O$3015,'Web Feed'!$B$2:$B$3015,Points!$A$4,'Web Feed'!$H$2:$H$3015,$B140)+SUMIFS('Web Feed'!$O$2:$O$3015,'Web Feed'!$B$2:$B$3015,Points!$A$4,'Web Feed'!$I$2:$I$3015,$B140))</f>
        <v/>
      </c>
      <c r="G140">
        <f>IF($B140="","",SUMIFS('Web Feed'!$O$2:$O$3015,'Web Feed'!$B$2:$B$3015,Points!$A$5,'Web Feed'!$F$2:$F$3015,$B140)+SUMIFS('Web Feed'!$O$2:$O$3015,'Web Feed'!$B$2:$B$3015,Points!$A$5,'Web Feed'!$G$2:$G$3015,$B140)+SUMIFS('Web Feed'!$O$2:$O$3015,'Web Feed'!$B$2:$B$3015,Points!$A$5,'Web Feed'!$H$2:$H$3015,$B140)+SUMIFS('Web Feed'!$O$2:$O$3015,'Web Feed'!$B$2:$B$3015,Points!$A$5,'Web Feed'!$I$2:$I$3015,$B140))</f>
        <v/>
      </c>
      <c r="H140">
        <f>IF($B140="","",SUMIFS('Web Feed'!$O$2:$O$3015,'Web Feed'!$B$2:$B$3015,Points!$A$6,'Web Feed'!$F$2:$F$3015,$B140)+SUMIFS('Web Feed'!$O$2:$O$3015,'Web Feed'!$B$2:$B$3015,Points!$A$6,'Web Feed'!$G$2:$G$3015,$B140)+SUMIFS('Web Feed'!$O$2:$O$3015,'Web Feed'!$B$2:$B$3015,Points!$A$6,'Web Feed'!$H$2:$H$3015,$B140)+SUMIFS('Web Feed'!$O$2:$O$3015,'Web Feed'!$B$2:$B$3015,Points!$A$6,'Web Feed'!$I$2:$I$3015,$B140))</f>
        <v/>
      </c>
      <c r="I140">
        <f>IF($B140="","",COUNTIFS('Web Feed'!$B$2:$B$3015,"OHW",'Web Feed'!$F$2:$F$3015,$B140))</f>
        <v/>
      </c>
      <c r="J140">
        <f>IF($B140="","",IFERROR(INDEX('Last Week'!$A$2:$A$301,MATCH($B140,'Last Week'!$B$2:$B$301,0)),""))</f>
        <v/>
      </c>
      <c r="K140">
        <f>IF(OR($B140="",$J140=""),"",$J140-$A140)</f>
        <v/>
      </c>
    </row>
    <row r="141">
      <c r="A141">
        <f>IF($B141="","",RANK($C141,$C$2:$C$500))</f>
        <v/>
      </c>
      <c r="B141">
        <f>IF(Players!$A141="","",Players!$A141)</f>
        <v/>
      </c>
      <c r="C141" s="5">
        <f>IF($B141="","",SUM(D141:H141))</f>
        <v/>
      </c>
      <c r="D141">
        <f>IF($B141="","",SUMIFS('Web Feed'!$O$2:$O$3015,'Web Feed'!$B$2:$B$3015,Points!$A$2,'Web Feed'!$F$2:$F$3015,$B141)+SUMIFS('Web Feed'!$O$2:$O$3015,'Web Feed'!$B$2:$B$3015,Points!$A$2,'Web Feed'!$G$2:$G$3015,$B141)+SUMIFS('Web Feed'!$O$2:$O$3015,'Web Feed'!$B$2:$B$3015,Points!$A$2,'Web Feed'!$H$2:$H$3015,$B141)+SUMIFS('Web Feed'!$O$2:$O$3015,'Web Feed'!$B$2:$B$3015,Points!$A$2,'Web Feed'!$I$2:$I$3015,$B141))</f>
        <v/>
      </c>
      <c r="E141">
        <f>IF($B141="","",SUMIFS('Web Feed'!$O$2:$O$3015,'Web Feed'!$B$2:$B$3015,Points!$A$3,'Web Feed'!$F$2:$F$3015,$B141)+SUMIFS('Web Feed'!$O$2:$O$3015,'Web Feed'!$B$2:$B$3015,Points!$A$3,'Web Feed'!$G$2:$G$3015,$B141)+SUMIFS('Web Feed'!$O$2:$O$3015,'Web Feed'!$B$2:$B$3015,Points!$A$3,'Web Feed'!$H$2:$H$3015,$B141)+SUMIFS('Web Feed'!$O$2:$O$3015,'Web Feed'!$B$2:$B$3015,Points!$A$3,'Web Feed'!$I$2:$I$3015,$B141))</f>
        <v/>
      </c>
      <c r="F141">
        <f>IF($B141="","",SUMIFS('Web Feed'!$O$2:$O$3015,'Web Feed'!$B$2:$B$3015,Points!$A$4,'Web Feed'!$F$2:$F$3015,$B141)+SUMIFS('Web Feed'!$O$2:$O$3015,'Web Feed'!$B$2:$B$3015,Points!$A$4,'Web Feed'!$G$2:$G$3015,$B141)+SUMIFS('Web Feed'!$O$2:$O$3015,'Web Feed'!$B$2:$B$3015,Points!$A$4,'Web Feed'!$H$2:$H$3015,$B141)+SUMIFS('Web Feed'!$O$2:$O$3015,'Web Feed'!$B$2:$B$3015,Points!$A$4,'Web Feed'!$I$2:$I$3015,$B141))</f>
        <v/>
      </c>
      <c r="G141">
        <f>IF($B141="","",SUMIFS('Web Feed'!$O$2:$O$3015,'Web Feed'!$B$2:$B$3015,Points!$A$5,'Web Feed'!$F$2:$F$3015,$B141)+SUMIFS('Web Feed'!$O$2:$O$3015,'Web Feed'!$B$2:$B$3015,Points!$A$5,'Web Feed'!$G$2:$G$3015,$B141)+SUMIFS('Web Feed'!$O$2:$O$3015,'Web Feed'!$B$2:$B$3015,Points!$A$5,'Web Feed'!$H$2:$H$3015,$B141)+SUMIFS('Web Feed'!$O$2:$O$3015,'Web Feed'!$B$2:$B$3015,Points!$A$5,'Web Feed'!$I$2:$I$3015,$B141))</f>
        <v/>
      </c>
      <c r="H141">
        <f>IF($B141="","",SUMIFS('Web Feed'!$O$2:$O$3015,'Web Feed'!$B$2:$B$3015,Points!$A$6,'Web Feed'!$F$2:$F$3015,$B141)+SUMIFS('Web Feed'!$O$2:$O$3015,'Web Feed'!$B$2:$B$3015,Points!$A$6,'Web Feed'!$G$2:$G$3015,$B141)+SUMIFS('Web Feed'!$O$2:$O$3015,'Web Feed'!$B$2:$B$3015,Points!$A$6,'Web Feed'!$H$2:$H$3015,$B141)+SUMIFS('Web Feed'!$O$2:$O$3015,'Web Feed'!$B$2:$B$3015,Points!$A$6,'Web Feed'!$I$2:$I$3015,$B141))</f>
        <v/>
      </c>
      <c r="I141">
        <f>IF($B141="","",COUNTIFS('Web Feed'!$B$2:$B$3015,"OHW",'Web Feed'!$F$2:$F$3015,$B141))</f>
        <v/>
      </c>
      <c r="J141">
        <f>IF($B141="","",IFERROR(INDEX('Last Week'!$A$2:$A$301,MATCH($B141,'Last Week'!$B$2:$B$301,0)),""))</f>
        <v/>
      </c>
      <c r="K141">
        <f>IF(OR($B141="",$J141=""),"",$J141-$A141)</f>
        <v/>
      </c>
    </row>
    <row r="142">
      <c r="A142">
        <f>IF($B142="","",RANK($C142,$C$2:$C$500))</f>
        <v/>
      </c>
      <c r="B142">
        <f>IF(Players!$A142="","",Players!$A142)</f>
        <v/>
      </c>
      <c r="C142" s="5">
        <f>IF($B142="","",SUM(D142:H142))</f>
        <v/>
      </c>
      <c r="D142">
        <f>IF($B142="","",SUMIFS('Web Feed'!$O$2:$O$3015,'Web Feed'!$B$2:$B$3015,Points!$A$2,'Web Feed'!$F$2:$F$3015,$B142)+SUMIFS('Web Feed'!$O$2:$O$3015,'Web Feed'!$B$2:$B$3015,Points!$A$2,'Web Feed'!$G$2:$G$3015,$B142)+SUMIFS('Web Feed'!$O$2:$O$3015,'Web Feed'!$B$2:$B$3015,Points!$A$2,'Web Feed'!$H$2:$H$3015,$B142)+SUMIFS('Web Feed'!$O$2:$O$3015,'Web Feed'!$B$2:$B$3015,Points!$A$2,'Web Feed'!$I$2:$I$3015,$B142))</f>
        <v/>
      </c>
      <c r="E142">
        <f>IF($B142="","",SUMIFS('Web Feed'!$O$2:$O$3015,'Web Feed'!$B$2:$B$3015,Points!$A$3,'Web Feed'!$F$2:$F$3015,$B142)+SUMIFS('Web Feed'!$O$2:$O$3015,'Web Feed'!$B$2:$B$3015,Points!$A$3,'Web Feed'!$G$2:$G$3015,$B142)+SUMIFS('Web Feed'!$O$2:$O$3015,'Web Feed'!$B$2:$B$3015,Points!$A$3,'Web Feed'!$H$2:$H$3015,$B142)+SUMIFS('Web Feed'!$O$2:$O$3015,'Web Feed'!$B$2:$B$3015,Points!$A$3,'Web Feed'!$I$2:$I$3015,$B142))</f>
        <v/>
      </c>
      <c r="F142">
        <f>IF($B142="","",SUMIFS('Web Feed'!$O$2:$O$3015,'Web Feed'!$B$2:$B$3015,Points!$A$4,'Web Feed'!$F$2:$F$3015,$B142)+SUMIFS('Web Feed'!$O$2:$O$3015,'Web Feed'!$B$2:$B$3015,Points!$A$4,'Web Feed'!$G$2:$G$3015,$B142)+SUMIFS('Web Feed'!$O$2:$O$3015,'Web Feed'!$B$2:$B$3015,Points!$A$4,'Web Feed'!$H$2:$H$3015,$B142)+SUMIFS('Web Feed'!$O$2:$O$3015,'Web Feed'!$B$2:$B$3015,Points!$A$4,'Web Feed'!$I$2:$I$3015,$B142))</f>
        <v/>
      </c>
      <c r="G142">
        <f>IF($B142="","",SUMIFS('Web Feed'!$O$2:$O$3015,'Web Feed'!$B$2:$B$3015,Points!$A$5,'Web Feed'!$F$2:$F$3015,$B142)+SUMIFS('Web Feed'!$O$2:$O$3015,'Web Feed'!$B$2:$B$3015,Points!$A$5,'Web Feed'!$G$2:$G$3015,$B142)+SUMIFS('Web Feed'!$O$2:$O$3015,'Web Feed'!$B$2:$B$3015,Points!$A$5,'Web Feed'!$H$2:$H$3015,$B142)+SUMIFS('Web Feed'!$O$2:$O$3015,'Web Feed'!$B$2:$B$3015,Points!$A$5,'Web Feed'!$I$2:$I$3015,$B142))</f>
        <v/>
      </c>
      <c r="H142">
        <f>IF($B142="","",SUMIFS('Web Feed'!$O$2:$O$3015,'Web Feed'!$B$2:$B$3015,Points!$A$6,'Web Feed'!$F$2:$F$3015,$B142)+SUMIFS('Web Feed'!$O$2:$O$3015,'Web Feed'!$B$2:$B$3015,Points!$A$6,'Web Feed'!$G$2:$G$3015,$B142)+SUMIFS('Web Feed'!$O$2:$O$3015,'Web Feed'!$B$2:$B$3015,Points!$A$6,'Web Feed'!$H$2:$H$3015,$B142)+SUMIFS('Web Feed'!$O$2:$O$3015,'Web Feed'!$B$2:$B$3015,Points!$A$6,'Web Feed'!$I$2:$I$3015,$B142))</f>
        <v/>
      </c>
      <c r="I142">
        <f>IF($B142="","",COUNTIFS('Web Feed'!$B$2:$B$3015,"OHW",'Web Feed'!$F$2:$F$3015,$B142))</f>
        <v/>
      </c>
      <c r="J142">
        <f>IF($B142="","",IFERROR(INDEX('Last Week'!$A$2:$A$301,MATCH($B142,'Last Week'!$B$2:$B$301,0)),""))</f>
        <v/>
      </c>
      <c r="K142">
        <f>IF(OR($B142="",$J142=""),"",$J142-$A142)</f>
        <v/>
      </c>
    </row>
    <row r="143">
      <c r="A143">
        <f>IF($B143="","",RANK($C143,$C$2:$C$500))</f>
        <v/>
      </c>
      <c r="B143">
        <f>IF(Players!$A143="","",Players!$A143)</f>
        <v/>
      </c>
      <c r="C143" s="5">
        <f>IF($B143="","",SUM(D143:H143))</f>
        <v/>
      </c>
      <c r="D143">
        <f>IF($B143="","",SUMIFS('Web Feed'!$O$2:$O$3015,'Web Feed'!$B$2:$B$3015,Points!$A$2,'Web Feed'!$F$2:$F$3015,$B143)+SUMIFS('Web Feed'!$O$2:$O$3015,'Web Feed'!$B$2:$B$3015,Points!$A$2,'Web Feed'!$G$2:$G$3015,$B143)+SUMIFS('Web Feed'!$O$2:$O$3015,'Web Feed'!$B$2:$B$3015,Points!$A$2,'Web Feed'!$H$2:$H$3015,$B143)+SUMIFS('Web Feed'!$O$2:$O$3015,'Web Feed'!$B$2:$B$3015,Points!$A$2,'Web Feed'!$I$2:$I$3015,$B143))</f>
        <v/>
      </c>
      <c r="E143">
        <f>IF($B143="","",SUMIFS('Web Feed'!$O$2:$O$3015,'Web Feed'!$B$2:$B$3015,Points!$A$3,'Web Feed'!$F$2:$F$3015,$B143)+SUMIFS('Web Feed'!$O$2:$O$3015,'Web Feed'!$B$2:$B$3015,Points!$A$3,'Web Feed'!$G$2:$G$3015,$B143)+SUMIFS('Web Feed'!$O$2:$O$3015,'Web Feed'!$B$2:$B$3015,Points!$A$3,'Web Feed'!$H$2:$H$3015,$B143)+SUMIFS('Web Feed'!$O$2:$O$3015,'Web Feed'!$B$2:$B$3015,Points!$A$3,'Web Feed'!$I$2:$I$3015,$B143))</f>
        <v/>
      </c>
      <c r="F143">
        <f>IF($B143="","",SUMIFS('Web Feed'!$O$2:$O$3015,'Web Feed'!$B$2:$B$3015,Points!$A$4,'Web Feed'!$F$2:$F$3015,$B143)+SUMIFS('Web Feed'!$O$2:$O$3015,'Web Feed'!$B$2:$B$3015,Points!$A$4,'Web Feed'!$G$2:$G$3015,$B143)+SUMIFS('Web Feed'!$O$2:$O$3015,'Web Feed'!$B$2:$B$3015,Points!$A$4,'Web Feed'!$H$2:$H$3015,$B143)+SUMIFS('Web Feed'!$O$2:$O$3015,'Web Feed'!$B$2:$B$3015,Points!$A$4,'Web Feed'!$I$2:$I$3015,$B143))</f>
        <v/>
      </c>
      <c r="G143">
        <f>IF($B143="","",SUMIFS('Web Feed'!$O$2:$O$3015,'Web Feed'!$B$2:$B$3015,Points!$A$5,'Web Feed'!$F$2:$F$3015,$B143)+SUMIFS('Web Feed'!$O$2:$O$3015,'Web Feed'!$B$2:$B$3015,Points!$A$5,'Web Feed'!$G$2:$G$3015,$B143)+SUMIFS('Web Feed'!$O$2:$O$3015,'Web Feed'!$B$2:$B$3015,Points!$A$5,'Web Feed'!$H$2:$H$3015,$B143)+SUMIFS('Web Feed'!$O$2:$O$3015,'Web Feed'!$B$2:$B$3015,Points!$A$5,'Web Feed'!$I$2:$I$3015,$B143))</f>
        <v/>
      </c>
      <c r="H143">
        <f>IF($B143="","",SUMIFS('Web Feed'!$O$2:$O$3015,'Web Feed'!$B$2:$B$3015,Points!$A$6,'Web Feed'!$F$2:$F$3015,$B143)+SUMIFS('Web Feed'!$O$2:$O$3015,'Web Feed'!$B$2:$B$3015,Points!$A$6,'Web Feed'!$G$2:$G$3015,$B143)+SUMIFS('Web Feed'!$O$2:$O$3015,'Web Feed'!$B$2:$B$3015,Points!$A$6,'Web Feed'!$H$2:$H$3015,$B143)+SUMIFS('Web Feed'!$O$2:$O$3015,'Web Feed'!$B$2:$B$3015,Points!$A$6,'Web Feed'!$I$2:$I$3015,$B143))</f>
        <v/>
      </c>
      <c r="I143">
        <f>IF($B143="","",COUNTIFS('Web Feed'!$B$2:$B$3015,"OHW",'Web Feed'!$F$2:$F$3015,$B143))</f>
        <v/>
      </c>
      <c r="J143">
        <f>IF($B143="","",IFERROR(INDEX('Last Week'!$A$2:$A$301,MATCH($B143,'Last Week'!$B$2:$B$301,0)),""))</f>
        <v/>
      </c>
      <c r="K143">
        <f>IF(OR($B143="",$J143=""),"",$J143-$A143)</f>
        <v/>
      </c>
    </row>
    <row r="144">
      <c r="A144">
        <f>IF($B144="","",RANK($C144,$C$2:$C$500))</f>
        <v/>
      </c>
      <c r="B144">
        <f>IF(Players!$A144="","",Players!$A144)</f>
        <v/>
      </c>
      <c r="C144" s="5">
        <f>IF($B144="","",SUM(D144:H144))</f>
        <v/>
      </c>
      <c r="D144">
        <f>IF($B144="","",SUMIFS('Web Feed'!$O$2:$O$3015,'Web Feed'!$B$2:$B$3015,Points!$A$2,'Web Feed'!$F$2:$F$3015,$B144)+SUMIFS('Web Feed'!$O$2:$O$3015,'Web Feed'!$B$2:$B$3015,Points!$A$2,'Web Feed'!$G$2:$G$3015,$B144)+SUMIFS('Web Feed'!$O$2:$O$3015,'Web Feed'!$B$2:$B$3015,Points!$A$2,'Web Feed'!$H$2:$H$3015,$B144)+SUMIFS('Web Feed'!$O$2:$O$3015,'Web Feed'!$B$2:$B$3015,Points!$A$2,'Web Feed'!$I$2:$I$3015,$B144))</f>
        <v/>
      </c>
      <c r="E144">
        <f>IF($B144="","",SUMIFS('Web Feed'!$O$2:$O$3015,'Web Feed'!$B$2:$B$3015,Points!$A$3,'Web Feed'!$F$2:$F$3015,$B144)+SUMIFS('Web Feed'!$O$2:$O$3015,'Web Feed'!$B$2:$B$3015,Points!$A$3,'Web Feed'!$G$2:$G$3015,$B144)+SUMIFS('Web Feed'!$O$2:$O$3015,'Web Feed'!$B$2:$B$3015,Points!$A$3,'Web Feed'!$H$2:$H$3015,$B144)+SUMIFS('Web Feed'!$O$2:$O$3015,'Web Feed'!$B$2:$B$3015,Points!$A$3,'Web Feed'!$I$2:$I$3015,$B144))</f>
        <v/>
      </c>
      <c r="F144">
        <f>IF($B144="","",SUMIFS('Web Feed'!$O$2:$O$3015,'Web Feed'!$B$2:$B$3015,Points!$A$4,'Web Feed'!$F$2:$F$3015,$B144)+SUMIFS('Web Feed'!$O$2:$O$3015,'Web Feed'!$B$2:$B$3015,Points!$A$4,'Web Feed'!$G$2:$G$3015,$B144)+SUMIFS('Web Feed'!$O$2:$O$3015,'Web Feed'!$B$2:$B$3015,Points!$A$4,'Web Feed'!$H$2:$H$3015,$B144)+SUMIFS('Web Feed'!$O$2:$O$3015,'Web Feed'!$B$2:$B$3015,Points!$A$4,'Web Feed'!$I$2:$I$3015,$B144))</f>
        <v/>
      </c>
      <c r="G144">
        <f>IF($B144="","",SUMIFS('Web Feed'!$O$2:$O$3015,'Web Feed'!$B$2:$B$3015,Points!$A$5,'Web Feed'!$F$2:$F$3015,$B144)+SUMIFS('Web Feed'!$O$2:$O$3015,'Web Feed'!$B$2:$B$3015,Points!$A$5,'Web Feed'!$G$2:$G$3015,$B144)+SUMIFS('Web Feed'!$O$2:$O$3015,'Web Feed'!$B$2:$B$3015,Points!$A$5,'Web Feed'!$H$2:$H$3015,$B144)+SUMIFS('Web Feed'!$O$2:$O$3015,'Web Feed'!$B$2:$B$3015,Points!$A$5,'Web Feed'!$I$2:$I$3015,$B144))</f>
        <v/>
      </c>
      <c r="H144">
        <f>IF($B144="","",SUMIFS('Web Feed'!$O$2:$O$3015,'Web Feed'!$B$2:$B$3015,Points!$A$6,'Web Feed'!$F$2:$F$3015,$B144)+SUMIFS('Web Feed'!$O$2:$O$3015,'Web Feed'!$B$2:$B$3015,Points!$A$6,'Web Feed'!$G$2:$G$3015,$B144)+SUMIFS('Web Feed'!$O$2:$O$3015,'Web Feed'!$B$2:$B$3015,Points!$A$6,'Web Feed'!$H$2:$H$3015,$B144)+SUMIFS('Web Feed'!$O$2:$O$3015,'Web Feed'!$B$2:$B$3015,Points!$A$6,'Web Feed'!$I$2:$I$3015,$B144))</f>
        <v/>
      </c>
      <c r="I144">
        <f>IF($B144="","",COUNTIFS('Web Feed'!$B$2:$B$3015,"OHW",'Web Feed'!$F$2:$F$3015,$B144))</f>
        <v/>
      </c>
      <c r="J144">
        <f>IF($B144="","",IFERROR(INDEX('Last Week'!$A$2:$A$301,MATCH($B144,'Last Week'!$B$2:$B$301,0)),""))</f>
        <v/>
      </c>
      <c r="K144">
        <f>IF(OR($B144="",$J144=""),"",$J144-$A144)</f>
        <v/>
      </c>
    </row>
    <row r="145">
      <c r="A145">
        <f>IF($B145="","",RANK($C145,$C$2:$C$500))</f>
        <v/>
      </c>
      <c r="B145">
        <f>IF(Players!$A145="","",Players!$A145)</f>
        <v/>
      </c>
      <c r="C145" s="5">
        <f>IF($B145="","",SUM(D145:H145))</f>
        <v/>
      </c>
      <c r="D145">
        <f>IF($B145="","",SUMIFS('Web Feed'!$O$2:$O$3015,'Web Feed'!$B$2:$B$3015,Points!$A$2,'Web Feed'!$F$2:$F$3015,$B145)+SUMIFS('Web Feed'!$O$2:$O$3015,'Web Feed'!$B$2:$B$3015,Points!$A$2,'Web Feed'!$G$2:$G$3015,$B145)+SUMIFS('Web Feed'!$O$2:$O$3015,'Web Feed'!$B$2:$B$3015,Points!$A$2,'Web Feed'!$H$2:$H$3015,$B145)+SUMIFS('Web Feed'!$O$2:$O$3015,'Web Feed'!$B$2:$B$3015,Points!$A$2,'Web Feed'!$I$2:$I$3015,$B145))</f>
        <v/>
      </c>
      <c r="E145">
        <f>IF($B145="","",SUMIFS('Web Feed'!$O$2:$O$3015,'Web Feed'!$B$2:$B$3015,Points!$A$3,'Web Feed'!$F$2:$F$3015,$B145)+SUMIFS('Web Feed'!$O$2:$O$3015,'Web Feed'!$B$2:$B$3015,Points!$A$3,'Web Feed'!$G$2:$G$3015,$B145)+SUMIFS('Web Feed'!$O$2:$O$3015,'Web Feed'!$B$2:$B$3015,Points!$A$3,'Web Feed'!$H$2:$H$3015,$B145)+SUMIFS('Web Feed'!$O$2:$O$3015,'Web Feed'!$B$2:$B$3015,Points!$A$3,'Web Feed'!$I$2:$I$3015,$B145))</f>
        <v/>
      </c>
      <c r="F145">
        <f>IF($B145="","",SUMIFS('Web Feed'!$O$2:$O$3015,'Web Feed'!$B$2:$B$3015,Points!$A$4,'Web Feed'!$F$2:$F$3015,$B145)+SUMIFS('Web Feed'!$O$2:$O$3015,'Web Feed'!$B$2:$B$3015,Points!$A$4,'Web Feed'!$G$2:$G$3015,$B145)+SUMIFS('Web Feed'!$O$2:$O$3015,'Web Feed'!$B$2:$B$3015,Points!$A$4,'Web Feed'!$H$2:$H$3015,$B145)+SUMIFS('Web Feed'!$O$2:$O$3015,'Web Feed'!$B$2:$B$3015,Points!$A$4,'Web Feed'!$I$2:$I$3015,$B145))</f>
        <v/>
      </c>
      <c r="G145">
        <f>IF($B145="","",SUMIFS('Web Feed'!$O$2:$O$3015,'Web Feed'!$B$2:$B$3015,Points!$A$5,'Web Feed'!$F$2:$F$3015,$B145)+SUMIFS('Web Feed'!$O$2:$O$3015,'Web Feed'!$B$2:$B$3015,Points!$A$5,'Web Feed'!$G$2:$G$3015,$B145)+SUMIFS('Web Feed'!$O$2:$O$3015,'Web Feed'!$B$2:$B$3015,Points!$A$5,'Web Feed'!$H$2:$H$3015,$B145)+SUMIFS('Web Feed'!$O$2:$O$3015,'Web Feed'!$B$2:$B$3015,Points!$A$5,'Web Feed'!$I$2:$I$3015,$B145))</f>
        <v/>
      </c>
      <c r="H145">
        <f>IF($B145="","",SUMIFS('Web Feed'!$O$2:$O$3015,'Web Feed'!$B$2:$B$3015,Points!$A$6,'Web Feed'!$F$2:$F$3015,$B145)+SUMIFS('Web Feed'!$O$2:$O$3015,'Web Feed'!$B$2:$B$3015,Points!$A$6,'Web Feed'!$G$2:$G$3015,$B145)+SUMIFS('Web Feed'!$O$2:$O$3015,'Web Feed'!$B$2:$B$3015,Points!$A$6,'Web Feed'!$H$2:$H$3015,$B145)+SUMIFS('Web Feed'!$O$2:$O$3015,'Web Feed'!$B$2:$B$3015,Points!$A$6,'Web Feed'!$I$2:$I$3015,$B145))</f>
        <v/>
      </c>
      <c r="I145">
        <f>IF($B145="","",COUNTIFS('Web Feed'!$B$2:$B$3015,"OHW",'Web Feed'!$F$2:$F$3015,$B145))</f>
        <v/>
      </c>
      <c r="J145">
        <f>IF($B145="","",IFERROR(INDEX('Last Week'!$A$2:$A$301,MATCH($B145,'Last Week'!$B$2:$B$301,0)),""))</f>
        <v/>
      </c>
      <c r="K145">
        <f>IF(OR($B145="",$J145=""),"",$J145-$A145)</f>
        <v/>
      </c>
    </row>
    <row r="146">
      <c r="A146">
        <f>IF($B146="","",RANK($C146,$C$2:$C$500))</f>
        <v/>
      </c>
      <c r="B146">
        <f>IF(Players!$A146="","",Players!$A146)</f>
        <v/>
      </c>
      <c r="C146" s="5">
        <f>IF($B146="","",SUM(D146:H146))</f>
        <v/>
      </c>
      <c r="D146">
        <f>IF($B146="","",SUMIFS('Web Feed'!$O$2:$O$3015,'Web Feed'!$B$2:$B$3015,Points!$A$2,'Web Feed'!$F$2:$F$3015,$B146)+SUMIFS('Web Feed'!$O$2:$O$3015,'Web Feed'!$B$2:$B$3015,Points!$A$2,'Web Feed'!$G$2:$G$3015,$B146)+SUMIFS('Web Feed'!$O$2:$O$3015,'Web Feed'!$B$2:$B$3015,Points!$A$2,'Web Feed'!$H$2:$H$3015,$B146)+SUMIFS('Web Feed'!$O$2:$O$3015,'Web Feed'!$B$2:$B$3015,Points!$A$2,'Web Feed'!$I$2:$I$3015,$B146))</f>
        <v/>
      </c>
      <c r="E146">
        <f>IF($B146="","",SUMIFS('Web Feed'!$O$2:$O$3015,'Web Feed'!$B$2:$B$3015,Points!$A$3,'Web Feed'!$F$2:$F$3015,$B146)+SUMIFS('Web Feed'!$O$2:$O$3015,'Web Feed'!$B$2:$B$3015,Points!$A$3,'Web Feed'!$G$2:$G$3015,$B146)+SUMIFS('Web Feed'!$O$2:$O$3015,'Web Feed'!$B$2:$B$3015,Points!$A$3,'Web Feed'!$H$2:$H$3015,$B146)+SUMIFS('Web Feed'!$O$2:$O$3015,'Web Feed'!$B$2:$B$3015,Points!$A$3,'Web Feed'!$I$2:$I$3015,$B146))</f>
        <v/>
      </c>
      <c r="F146">
        <f>IF($B146="","",SUMIFS('Web Feed'!$O$2:$O$3015,'Web Feed'!$B$2:$B$3015,Points!$A$4,'Web Feed'!$F$2:$F$3015,$B146)+SUMIFS('Web Feed'!$O$2:$O$3015,'Web Feed'!$B$2:$B$3015,Points!$A$4,'Web Feed'!$G$2:$G$3015,$B146)+SUMIFS('Web Feed'!$O$2:$O$3015,'Web Feed'!$B$2:$B$3015,Points!$A$4,'Web Feed'!$H$2:$H$3015,$B146)+SUMIFS('Web Feed'!$O$2:$O$3015,'Web Feed'!$B$2:$B$3015,Points!$A$4,'Web Feed'!$I$2:$I$3015,$B146))</f>
        <v/>
      </c>
      <c r="G146">
        <f>IF($B146="","",SUMIFS('Web Feed'!$O$2:$O$3015,'Web Feed'!$B$2:$B$3015,Points!$A$5,'Web Feed'!$F$2:$F$3015,$B146)+SUMIFS('Web Feed'!$O$2:$O$3015,'Web Feed'!$B$2:$B$3015,Points!$A$5,'Web Feed'!$G$2:$G$3015,$B146)+SUMIFS('Web Feed'!$O$2:$O$3015,'Web Feed'!$B$2:$B$3015,Points!$A$5,'Web Feed'!$H$2:$H$3015,$B146)+SUMIFS('Web Feed'!$O$2:$O$3015,'Web Feed'!$B$2:$B$3015,Points!$A$5,'Web Feed'!$I$2:$I$3015,$B146))</f>
        <v/>
      </c>
      <c r="H146">
        <f>IF($B146="","",SUMIFS('Web Feed'!$O$2:$O$3015,'Web Feed'!$B$2:$B$3015,Points!$A$6,'Web Feed'!$F$2:$F$3015,$B146)+SUMIFS('Web Feed'!$O$2:$O$3015,'Web Feed'!$B$2:$B$3015,Points!$A$6,'Web Feed'!$G$2:$G$3015,$B146)+SUMIFS('Web Feed'!$O$2:$O$3015,'Web Feed'!$B$2:$B$3015,Points!$A$6,'Web Feed'!$H$2:$H$3015,$B146)+SUMIFS('Web Feed'!$O$2:$O$3015,'Web Feed'!$B$2:$B$3015,Points!$A$6,'Web Feed'!$I$2:$I$3015,$B146))</f>
        <v/>
      </c>
      <c r="I146">
        <f>IF($B146="","",COUNTIFS('Web Feed'!$B$2:$B$3015,"OHW",'Web Feed'!$F$2:$F$3015,$B146))</f>
        <v/>
      </c>
      <c r="J146">
        <f>IF($B146="","",IFERROR(INDEX('Last Week'!$A$2:$A$301,MATCH($B146,'Last Week'!$B$2:$B$301,0)),""))</f>
        <v/>
      </c>
      <c r="K146">
        <f>IF(OR($B146="",$J146=""),"",$J146-$A146)</f>
        <v/>
      </c>
    </row>
    <row r="147">
      <c r="A147">
        <f>IF($B147="","",RANK($C147,$C$2:$C$500))</f>
        <v/>
      </c>
      <c r="B147">
        <f>IF(Players!$A147="","",Players!$A147)</f>
        <v/>
      </c>
      <c r="C147" s="5">
        <f>IF($B147="","",SUM(D147:H147))</f>
        <v/>
      </c>
      <c r="D147">
        <f>IF($B147="","",SUMIFS('Web Feed'!$O$2:$O$3015,'Web Feed'!$B$2:$B$3015,Points!$A$2,'Web Feed'!$F$2:$F$3015,$B147)+SUMIFS('Web Feed'!$O$2:$O$3015,'Web Feed'!$B$2:$B$3015,Points!$A$2,'Web Feed'!$G$2:$G$3015,$B147)+SUMIFS('Web Feed'!$O$2:$O$3015,'Web Feed'!$B$2:$B$3015,Points!$A$2,'Web Feed'!$H$2:$H$3015,$B147)+SUMIFS('Web Feed'!$O$2:$O$3015,'Web Feed'!$B$2:$B$3015,Points!$A$2,'Web Feed'!$I$2:$I$3015,$B147))</f>
        <v/>
      </c>
      <c r="E147">
        <f>IF($B147="","",SUMIFS('Web Feed'!$O$2:$O$3015,'Web Feed'!$B$2:$B$3015,Points!$A$3,'Web Feed'!$F$2:$F$3015,$B147)+SUMIFS('Web Feed'!$O$2:$O$3015,'Web Feed'!$B$2:$B$3015,Points!$A$3,'Web Feed'!$G$2:$G$3015,$B147)+SUMIFS('Web Feed'!$O$2:$O$3015,'Web Feed'!$B$2:$B$3015,Points!$A$3,'Web Feed'!$H$2:$H$3015,$B147)+SUMIFS('Web Feed'!$O$2:$O$3015,'Web Feed'!$B$2:$B$3015,Points!$A$3,'Web Feed'!$I$2:$I$3015,$B147))</f>
        <v/>
      </c>
      <c r="F147">
        <f>IF($B147="","",SUMIFS('Web Feed'!$O$2:$O$3015,'Web Feed'!$B$2:$B$3015,Points!$A$4,'Web Feed'!$F$2:$F$3015,$B147)+SUMIFS('Web Feed'!$O$2:$O$3015,'Web Feed'!$B$2:$B$3015,Points!$A$4,'Web Feed'!$G$2:$G$3015,$B147)+SUMIFS('Web Feed'!$O$2:$O$3015,'Web Feed'!$B$2:$B$3015,Points!$A$4,'Web Feed'!$H$2:$H$3015,$B147)+SUMIFS('Web Feed'!$O$2:$O$3015,'Web Feed'!$B$2:$B$3015,Points!$A$4,'Web Feed'!$I$2:$I$3015,$B147))</f>
        <v/>
      </c>
      <c r="G147">
        <f>IF($B147="","",SUMIFS('Web Feed'!$O$2:$O$3015,'Web Feed'!$B$2:$B$3015,Points!$A$5,'Web Feed'!$F$2:$F$3015,$B147)+SUMIFS('Web Feed'!$O$2:$O$3015,'Web Feed'!$B$2:$B$3015,Points!$A$5,'Web Feed'!$G$2:$G$3015,$B147)+SUMIFS('Web Feed'!$O$2:$O$3015,'Web Feed'!$B$2:$B$3015,Points!$A$5,'Web Feed'!$H$2:$H$3015,$B147)+SUMIFS('Web Feed'!$O$2:$O$3015,'Web Feed'!$B$2:$B$3015,Points!$A$5,'Web Feed'!$I$2:$I$3015,$B147))</f>
        <v/>
      </c>
      <c r="H147">
        <f>IF($B147="","",SUMIFS('Web Feed'!$O$2:$O$3015,'Web Feed'!$B$2:$B$3015,Points!$A$6,'Web Feed'!$F$2:$F$3015,$B147)+SUMIFS('Web Feed'!$O$2:$O$3015,'Web Feed'!$B$2:$B$3015,Points!$A$6,'Web Feed'!$G$2:$G$3015,$B147)+SUMIFS('Web Feed'!$O$2:$O$3015,'Web Feed'!$B$2:$B$3015,Points!$A$6,'Web Feed'!$H$2:$H$3015,$B147)+SUMIFS('Web Feed'!$O$2:$O$3015,'Web Feed'!$B$2:$B$3015,Points!$A$6,'Web Feed'!$I$2:$I$3015,$B147))</f>
        <v/>
      </c>
      <c r="I147">
        <f>IF($B147="","",COUNTIFS('Web Feed'!$B$2:$B$3015,"OHW",'Web Feed'!$F$2:$F$3015,$B147))</f>
        <v/>
      </c>
      <c r="J147">
        <f>IF($B147="","",IFERROR(INDEX('Last Week'!$A$2:$A$301,MATCH($B147,'Last Week'!$B$2:$B$301,0)),""))</f>
        <v/>
      </c>
      <c r="K147">
        <f>IF(OR($B147="",$J147=""),"",$J147-$A147)</f>
        <v/>
      </c>
    </row>
    <row r="148">
      <c r="A148">
        <f>IF($B148="","",RANK($C148,$C$2:$C$500))</f>
        <v/>
      </c>
      <c r="B148">
        <f>IF(Players!$A148="","",Players!$A148)</f>
        <v/>
      </c>
      <c r="C148" s="5">
        <f>IF($B148="","",SUM(D148:H148))</f>
        <v/>
      </c>
      <c r="D148">
        <f>IF($B148="","",SUMIFS('Web Feed'!$O$2:$O$3015,'Web Feed'!$B$2:$B$3015,Points!$A$2,'Web Feed'!$F$2:$F$3015,$B148)+SUMIFS('Web Feed'!$O$2:$O$3015,'Web Feed'!$B$2:$B$3015,Points!$A$2,'Web Feed'!$G$2:$G$3015,$B148)+SUMIFS('Web Feed'!$O$2:$O$3015,'Web Feed'!$B$2:$B$3015,Points!$A$2,'Web Feed'!$H$2:$H$3015,$B148)+SUMIFS('Web Feed'!$O$2:$O$3015,'Web Feed'!$B$2:$B$3015,Points!$A$2,'Web Feed'!$I$2:$I$3015,$B148))</f>
        <v/>
      </c>
      <c r="E148">
        <f>IF($B148="","",SUMIFS('Web Feed'!$O$2:$O$3015,'Web Feed'!$B$2:$B$3015,Points!$A$3,'Web Feed'!$F$2:$F$3015,$B148)+SUMIFS('Web Feed'!$O$2:$O$3015,'Web Feed'!$B$2:$B$3015,Points!$A$3,'Web Feed'!$G$2:$G$3015,$B148)+SUMIFS('Web Feed'!$O$2:$O$3015,'Web Feed'!$B$2:$B$3015,Points!$A$3,'Web Feed'!$H$2:$H$3015,$B148)+SUMIFS('Web Feed'!$O$2:$O$3015,'Web Feed'!$B$2:$B$3015,Points!$A$3,'Web Feed'!$I$2:$I$3015,$B148))</f>
        <v/>
      </c>
      <c r="F148">
        <f>IF($B148="","",SUMIFS('Web Feed'!$O$2:$O$3015,'Web Feed'!$B$2:$B$3015,Points!$A$4,'Web Feed'!$F$2:$F$3015,$B148)+SUMIFS('Web Feed'!$O$2:$O$3015,'Web Feed'!$B$2:$B$3015,Points!$A$4,'Web Feed'!$G$2:$G$3015,$B148)+SUMIFS('Web Feed'!$O$2:$O$3015,'Web Feed'!$B$2:$B$3015,Points!$A$4,'Web Feed'!$H$2:$H$3015,$B148)+SUMIFS('Web Feed'!$O$2:$O$3015,'Web Feed'!$B$2:$B$3015,Points!$A$4,'Web Feed'!$I$2:$I$3015,$B148))</f>
        <v/>
      </c>
      <c r="G148">
        <f>IF($B148="","",SUMIFS('Web Feed'!$O$2:$O$3015,'Web Feed'!$B$2:$B$3015,Points!$A$5,'Web Feed'!$F$2:$F$3015,$B148)+SUMIFS('Web Feed'!$O$2:$O$3015,'Web Feed'!$B$2:$B$3015,Points!$A$5,'Web Feed'!$G$2:$G$3015,$B148)+SUMIFS('Web Feed'!$O$2:$O$3015,'Web Feed'!$B$2:$B$3015,Points!$A$5,'Web Feed'!$H$2:$H$3015,$B148)+SUMIFS('Web Feed'!$O$2:$O$3015,'Web Feed'!$B$2:$B$3015,Points!$A$5,'Web Feed'!$I$2:$I$3015,$B148))</f>
        <v/>
      </c>
      <c r="H148">
        <f>IF($B148="","",SUMIFS('Web Feed'!$O$2:$O$3015,'Web Feed'!$B$2:$B$3015,Points!$A$6,'Web Feed'!$F$2:$F$3015,$B148)+SUMIFS('Web Feed'!$O$2:$O$3015,'Web Feed'!$B$2:$B$3015,Points!$A$6,'Web Feed'!$G$2:$G$3015,$B148)+SUMIFS('Web Feed'!$O$2:$O$3015,'Web Feed'!$B$2:$B$3015,Points!$A$6,'Web Feed'!$H$2:$H$3015,$B148)+SUMIFS('Web Feed'!$O$2:$O$3015,'Web Feed'!$B$2:$B$3015,Points!$A$6,'Web Feed'!$I$2:$I$3015,$B148))</f>
        <v/>
      </c>
      <c r="I148">
        <f>IF($B148="","",COUNTIFS('Web Feed'!$B$2:$B$3015,"OHW",'Web Feed'!$F$2:$F$3015,$B148))</f>
        <v/>
      </c>
      <c r="J148">
        <f>IF($B148="","",IFERROR(INDEX('Last Week'!$A$2:$A$301,MATCH($B148,'Last Week'!$B$2:$B$301,0)),""))</f>
        <v/>
      </c>
      <c r="K148">
        <f>IF(OR($B148="",$J148=""),"",$J148-$A148)</f>
        <v/>
      </c>
    </row>
    <row r="149">
      <c r="A149">
        <f>IF($B149="","",RANK($C149,$C$2:$C$500))</f>
        <v/>
      </c>
      <c r="B149">
        <f>IF(Players!$A149="","",Players!$A149)</f>
        <v/>
      </c>
      <c r="C149" s="5">
        <f>IF($B149="","",SUM(D149:H149))</f>
        <v/>
      </c>
      <c r="D149">
        <f>IF($B149="","",SUMIFS('Web Feed'!$O$2:$O$3015,'Web Feed'!$B$2:$B$3015,Points!$A$2,'Web Feed'!$F$2:$F$3015,$B149)+SUMIFS('Web Feed'!$O$2:$O$3015,'Web Feed'!$B$2:$B$3015,Points!$A$2,'Web Feed'!$G$2:$G$3015,$B149)+SUMIFS('Web Feed'!$O$2:$O$3015,'Web Feed'!$B$2:$B$3015,Points!$A$2,'Web Feed'!$H$2:$H$3015,$B149)+SUMIFS('Web Feed'!$O$2:$O$3015,'Web Feed'!$B$2:$B$3015,Points!$A$2,'Web Feed'!$I$2:$I$3015,$B149))</f>
        <v/>
      </c>
      <c r="E149">
        <f>IF($B149="","",SUMIFS('Web Feed'!$O$2:$O$3015,'Web Feed'!$B$2:$B$3015,Points!$A$3,'Web Feed'!$F$2:$F$3015,$B149)+SUMIFS('Web Feed'!$O$2:$O$3015,'Web Feed'!$B$2:$B$3015,Points!$A$3,'Web Feed'!$G$2:$G$3015,$B149)+SUMIFS('Web Feed'!$O$2:$O$3015,'Web Feed'!$B$2:$B$3015,Points!$A$3,'Web Feed'!$H$2:$H$3015,$B149)+SUMIFS('Web Feed'!$O$2:$O$3015,'Web Feed'!$B$2:$B$3015,Points!$A$3,'Web Feed'!$I$2:$I$3015,$B149))</f>
        <v/>
      </c>
      <c r="F149">
        <f>IF($B149="","",SUMIFS('Web Feed'!$O$2:$O$3015,'Web Feed'!$B$2:$B$3015,Points!$A$4,'Web Feed'!$F$2:$F$3015,$B149)+SUMIFS('Web Feed'!$O$2:$O$3015,'Web Feed'!$B$2:$B$3015,Points!$A$4,'Web Feed'!$G$2:$G$3015,$B149)+SUMIFS('Web Feed'!$O$2:$O$3015,'Web Feed'!$B$2:$B$3015,Points!$A$4,'Web Feed'!$H$2:$H$3015,$B149)+SUMIFS('Web Feed'!$O$2:$O$3015,'Web Feed'!$B$2:$B$3015,Points!$A$4,'Web Feed'!$I$2:$I$3015,$B149))</f>
        <v/>
      </c>
      <c r="G149">
        <f>IF($B149="","",SUMIFS('Web Feed'!$O$2:$O$3015,'Web Feed'!$B$2:$B$3015,Points!$A$5,'Web Feed'!$F$2:$F$3015,$B149)+SUMIFS('Web Feed'!$O$2:$O$3015,'Web Feed'!$B$2:$B$3015,Points!$A$5,'Web Feed'!$G$2:$G$3015,$B149)+SUMIFS('Web Feed'!$O$2:$O$3015,'Web Feed'!$B$2:$B$3015,Points!$A$5,'Web Feed'!$H$2:$H$3015,$B149)+SUMIFS('Web Feed'!$O$2:$O$3015,'Web Feed'!$B$2:$B$3015,Points!$A$5,'Web Feed'!$I$2:$I$3015,$B149))</f>
        <v/>
      </c>
      <c r="H149">
        <f>IF($B149="","",SUMIFS('Web Feed'!$O$2:$O$3015,'Web Feed'!$B$2:$B$3015,Points!$A$6,'Web Feed'!$F$2:$F$3015,$B149)+SUMIFS('Web Feed'!$O$2:$O$3015,'Web Feed'!$B$2:$B$3015,Points!$A$6,'Web Feed'!$G$2:$G$3015,$B149)+SUMIFS('Web Feed'!$O$2:$O$3015,'Web Feed'!$B$2:$B$3015,Points!$A$6,'Web Feed'!$H$2:$H$3015,$B149)+SUMIFS('Web Feed'!$O$2:$O$3015,'Web Feed'!$B$2:$B$3015,Points!$A$6,'Web Feed'!$I$2:$I$3015,$B149))</f>
        <v/>
      </c>
      <c r="I149">
        <f>IF($B149="","",COUNTIFS('Web Feed'!$B$2:$B$3015,"OHW",'Web Feed'!$F$2:$F$3015,$B149))</f>
        <v/>
      </c>
      <c r="J149">
        <f>IF($B149="","",IFERROR(INDEX('Last Week'!$A$2:$A$301,MATCH($B149,'Last Week'!$B$2:$B$301,0)),""))</f>
        <v/>
      </c>
      <c r="K149">
        <f>IF(OR($B149="",$J149=""),"",$J149-$A149)</f>
        <v/>
      </c>
    </row>
    <row r="150">
      <c r="A150">
        <f>IF($B150="","",RANK($C150,$C$2:$C$500))</f>
        <v/>
      </c>
      <c r="B150">
        <f>IF(Players!$A150="","",Players!$A150)</f>
        <v/>
      </c>
      <c r="C150" s="5">
        <f>IF($B150="","",SUM(D150:H150))</f>
        <v/>
      </c>
      <c r="D150">
        <f>IF($B150="","",SUMIFS('Web Feed'!$O$2:$O$3015,'Web Feed'!$B$2:$B$3015,Points!$A$2,'Web Feed'!$F$2:$F$3015,$B150)+SUMIFS('Web Feed'!$O$2:$O$3015,'Web Feed'!$B$2:$B$3015,Points!$A$2,'Web Feed'!$G$2:$G$3015,$B150)+SUMIFS('Web Feed'!$O$2:$O$3015,'Web Feed'!$B$2:$B$3015,Points!$A$2,'Web Feed'!$H$2:$H$3015,$B150)+SUMIFS('Web Feed'!$O$2:$O$3015,'Web Feed'!$B$2:$B$3015,Points!$A$2,'Web Feed'!$I$2:$I$3015,$B150))</f>
        <v/>
      </c>
      <c r="E150">
        <f>IF($B150="","",SUMIFS('Web Feed'!$O$2:$O$3015,'Web Feed'!$B$2:$B$3015,Points!$A$3,'Web Feed'!$F$2:$F$3015,$B150)+SUMIFS('Web Feed'!$O$2:$O$3015,'Web Feed'!$B$2:$B$3015,Points!$A$3,'Web Feed'!$G$2:$G$3015,$B150)+SUMIFS('Web Feed'!$O$2:$O$3015,'Web Feed'!$B$2:$B$3015,Points!$A$3,'Web Feed'!$H$2:$H$3015,$B150)+SUMIFS('Web Feed'!$O$2:$O$3015,'Web Feed'!$B$2:$B$3015,Points!$A$3,'Web Feed'!$I$2:$I$3015,$B150))</f>
        <v/>
      </c>
      <c r="F150">
        <f>IF($B150="","",SUMIFS('Web Feed'!$O$2:$O$3015,'Web Feed'!$B$2:$B$3015,Points!$A$4,'Web Feed'!$F$2:$F$3015,$B150)+SUMIFS('Web Feed'!$O$2:$O$3015,'Web Feed'!$B$2:$B$3015,Points!$A$4,'Web Feed'!$G$2:$G$3015,$B150)+SUMIFS('Web Feed'!$O$2:$O$3015,'Web Feed'!$B$2:$B$3015,Points!$A$4,'Web Feed'!$H$2:$H$3015,$B150)+SUMIFS('Web Feed'!$O$2:$O$3015,'Web Feed'!$B$2:$B$3015,Points!$A$4,'Web Feed'!$I$2:$I$3015,$B150))</f>
        <v/>
      </c>
      <c r="G150">
        <f>IF($B150="","",SUMIFS('Web Feed'!$O$2:$O$3015,'Web Feed'!$B$2:$B$3015,Points!$A$5,'Web Feed'!$F$2:$F$3015,$B150)+SUMIFS('Web Feed'!$O$2:$O$3015,'Web Feed'!$B$2:$B$3015,Points!$A$5,'Web Feed'!$G$2:$G$3015,$B150)+SUMIFS('Web Feed'!$O$2:$O$3015,'Web Feed'!$B$2:$B$3015,Points!$A$5,'Web Feed'!$H$2:$H$3015,$B150)+SUMIFS('Web Feed'!$O$2:$O$3015,'Web Feed'!$B$2:$B$3015,Points!$A$5,'Web Feed'!$I$2:$I$3015,$B150))</f>
        <v/>
      </c>
      <c r="H150">
        <f>IF($B150="","",SUMIFS('Web Feed'!$O$2:$O$3015,'Web Feed'!$B$2:$B$3015,Points!$A$6,'Web Feed'!$F$2:$F$3015,$B150)+SUMIFS('Web Feed'!$O$2:$O$3015,'Web Feed'!$B$2:$B$3015,Points!$A$6,'Web Feed'!$G$2:$G$3015,$B150)+SUMIFS('Web Feed'!$O$2:$O$3015,'Web Feed'!$B$2:$B$3015,Points!$A$6,'Web Feed'!$H$2:$H$3015,$B150)+SUMIFS('Web Feed'!$O$2:$O$3015,'Web Feed'!$B$2:$B$3015,Points!$A$6,'Web Feed'!$I$2:$I$3015,$B150))</f>
        <v/>
      </c>
      <c r="I150">
        <f>IF($B150="","",COUNTIFS('Web Feed'!$B$2:$B$3015,"OHW",'Web Feed'!$F$2:$F$3015,$B150))</f>
        <v/>
      </c>
      <c r="J150">
        <f>IF($B150="","",IFERROR(INDEX('Last Week'!$A$2:$A$301,MATCH($B150,'Last Week'!$B$2:$B$301,0)),""))</f>
        <v/>
      </c>
      <c r="K150">
        <f>IF(OR($B150="",$J150=""),"",$J150-$A150)</f>
        <v/>
      </c>
    </row>
    <row r="151">
      <c r="A151">
        <f>IF($B151="","",RANK($C151,$C$2:$C$500))</f>
        <v/>
      </c>
      <c r="B151">
        <f>IF(Players!$A151="","",Players!$A151)</f>
        <v/>
      </c>
      <c r="C151" s="5">
        <f>IF($B151="","",SUM(D151:H151))</f>
        <v/>
      </c>
      <c r="D151">
        <f>IF($B151="","",SUMIFS('Web Feed'!$O$2:$O$3015,'Web Feed'!$B$2:$B$3015,Points!$A$2,'Web Feed'!$F$2:$F$3015,$B151)+SUMIFS('Web Feed'!$O$2:$O$3015,'Web Feed'!$B$2:$B$3015,Points!$A$2,'Web Feed'!$G$2:$G$3015,$B151)+SUMIFS('Web Feed'!$O$2:$O$3015,'Web Feed'!$B$2:$B$3015,Points!$A$2,'Web Feed'!$H$2:$H$3015,$B151)+SUMIFS('Web Feed'!$O$2:$O$3015,'Web Feed'!$B$2:$B$3015,Points!$A$2,'Web Feed'!$I$2:$I$3015,$B151))</f>
        <v/>
      </c>
      <c r="E151">
        <f>IF($B151="","",SUMIFS('Web Feed'!$O$2:$O$3015,'Web Feed'!$B$2:$B$3015,Points!$A$3,'Web Feed'!$F$2:$F$3015,$B151)+SUMIFS('Web Feed'!$O$2:$O$3015,'Web Feed'!$B$2:$B$3015,Points!$A$3,'Web Feed'!$G$2:$G$3015,$B151)+SUMIFS('Web Feed'!$O$2:$O$3015,'Web Feed'!$B$2:$B$3015,Points!$A$3,'Web Feed'!$H$2:$H$3015,$B151)+SUMIFS('Web Feed'!$O$2:$O$3015,'Web Feed'!$B$2:$B$3015,Points!$A$3,'Web Feed'!$I$2:$I$3015,$B151))</f>
        <v/>
      </c>
      <c r="F151">
        <f>IF($B151="","",SUMIFS('Web Feed'!$O$2:$O$3015,'Web Feed'!$B$2:$B$3015,Points!$A$4,'Web Feed'!$F$2:$F$3015,$B151)+SUMIFS('Web Feed'!$O$2:$O$3015,'Web Feed'!$B$2:$B$3015,Points!$A$4,'Web Feed'!$G$2:$G$3015,$B151)+SUMIFS('Web Feed'!$O$2:$O$3015,'Web Feed'!$B$2:$B$3015,Points!$A$4,'Web Feed'!$H$2:$H$3015,$B151)+SUMIFS('Web Feed'!$O$2:$O$3015,'Web Feed'!$B$2:$B$3015,Points!$A$4,'Web Feed'!$I$2:$I$3015,$B151))</f>
        <v/>
      </c>
      <c r="G151">
        <f>IF($B151="","",SUMIFS('Web Feed'!$O$2:$O$3015,'Web Feed'!$B$2:$B$3015,Points!$A$5,'Web Feed'!$F$2:$F$3015,$B151)+SUMIFS('Web Feed'!$O$2:$O$3015,'Web Feed'!$B$2:$B$3015,Points!$A$5,'Web Feed'!$G$2:$G$3015,$B151)+SUMIFS('Web Feed'!$O$2:$O$3015,'Web Feed'!$B$2:$B$3015,Points!$A$5,'Web Feed'!$H$2:$H$3015,$B151)+SUMIFS('Web Feed'!$O$2:$O$3015,'Web Feed'!$B$2:$B$3015,Points!$A$5,'Web Feed'!$I$2:$I$3015,$B151))</f>
        <v/>
      </c>
      <c r="H151">
        <f>IF($B151="","",SUMIFS('Web Feed'!$O$2:$O$3015,'Web Feed'!$B$2:$B$3015,Points!$A$6,'Web Feed'!$F$2:$F$3015,$B151)+SUMIFS('Web Feed'!$O$2:$O$3015,'Web Feed'!$B$2:$B$3015,Points!$A$6,'Web Feed'!$G$2:$G$3015,$B151)+SUMIFS('Web Feed'!$O$2:$O$3015,'Web Feed'!$B$2:$B$3015,Points!$A$6,'Web Feed'!$H$2:$H$3015,$B151)+SUMIFS('Web Feed'!$O$2:$O$3015,'Web Feed'!$B$2:$B$3015,Points!$A$6,'Web Feed'!$I$2:$I$3015,$B151))</f>
        <v/>
      </c>
      <c r="I151">
        <f>IF($B151="","",COUNTIFS('Web Feed'!$B$2:$B$3015,"OHW",'Web Feed'!$F$2:$F$3015,$B151))</f>
        <v/>
      </c>
      <c r="J151">
        <f>IF($B151="","",IFERROR(INDEX('Last Week'!$A$2:$A$301,MATCH($B151,'Last Week'!$B$2:$B$301,0)),""))</f>
        <v/>
      </c>
      <c r="K151">
        <f>IF(OR($B151="",$J151=""),"",$J151-$A151)</f>
        <v/>
      </c>
    </row>
    <row r="152">
      <c r="A152">
        <f>IF($B152="","",RANK($C152,$C$2:$C$500))</f>
        <v/>
      </c>
      <c r="B152">
        <f>IF(Players!$A152="","",Players!$A152)</f>
        <v/>
      </c>
      <c r="C152" s="5">
        <f>IF($B152="","",SUM(D152:H152))</f>
        <v/>
      </c>
      <c r="D152">
        <f>IF($B152="","",SUMIFS('Web Feed'!$O$2:$O$3015,'Web Feed'!$B$2:$B$3015,Points!$A$2,'Web Feed'!$F$2:$F$3015,$B152)+SUMIFS('Web Feed'!$O$2:$O$3015,'Web Feed'!$B$2:$B$3015,Points!$A$2,'Web Feed'!$G$2:$G$3015,$B152)+SUMIFS('Web Feed'!$O$2:$O$3015,'Web Feed'!$B$2:$B$3015,Points!$A$2,'Web Feed'!$H$2:$H$3015,$B152)+SUMIFS('Web Feed'!$O$2:$O$3015,'Web Feed'!$B$2:$B$3015,Points!$A$2,'Web Feed'!$I$2:$I$3015,$B152))</f>
        <v/>
      </c>
      <c r="E152">
        <f>IF($B152="","",SUMIFS('Web Feed'!$O$2:$O$3015,'Web Feed'!$B$2:$B$3015,Points!$A$3,'Web Feed'!$F$2:$F$3015,$B152)+SUMIFS('Web Feed'!$O$2:$O$3015,'Web Feed'!$B$2:$B$3015,Points!$A$3,'Web Feed'!$G$2:$G$3015,$B152)+SUMIFS('Web Feed'!$O$2:$O$3015,'Web Feed'!$B$2:$B$3015,Points!$A$3,'Web Feed'!$H$2:$H$3015,$B152)+SUMIFS('Web Feed'!$O$2:$O$3015,'Web Feed'!$B$2:$B$3015,Points!$A$3,'Web Feed'!$I$2:$I$3015,$B152))</f>
        <v/>
      </c>
      <c r="F152">
        <f>IF($B152="","",SUMIFS('Web Feed'!$O$2:$O$3015,'Web Feed'!$B$2:$B$3015,Points!$A$4,'Web Feed'!$F$2:$F$3015,$B152)+SUMIFS('Web Feed'!$O$2:$O$3015,'Web Feed'!$B$2:$B$3015,Points!$A$4,'Web Feed'!$G$2:$G$3015,$B152)+SUMIFS('Web Feed'!$O$2:$O$3015,'Web Feed'!$B$2:$B$3015,Points!$A$4,'Web Feed'!$H$2:$H$3015,$B152)+SUMIFS('Web Feed'!$O$2:$O$3015,'Web Feed'!$B$2:$B$3015,Points!$A$4,'Web Feed'!$I$2:$I$3015,$B152))</f>
        <v/>
      </c>
      <c r="G152">
        <f>IF($B152="","",SUMIFS('Web Feed'!$O$2:$O$3015,'Web Feed'!$B$2:$B$3015,Points!$A$5,'Web Feed'!$F$2:$F$3015,$B152)+SUMIFS('Web Feed'!$O$2:$O$3015,'Web Feed'!$B$2:$B$3015,Points!$A$5,'Web Feed'!$G$2:$G$3015,$B152)+SUMIFS('Web Feed'!$O$2:$O$3015,'Web Feed'!$B$2:$B$3015,Points!$A$5,'Web Feed'!$H$2:$H$3015,$B152)+SUMIFS('Web Feed'!$O$2:$O$3015,'Web Feed'!$B$2:$B$3015,Points!$A$5,'Web Feed'!$I$2:$I$3015,$B152))</f>
        <v/>
      </c>
      <c r="H152">
        <f>IF($B152="","",SUMIFS('Web Feed'!$O$2:$O$3015,'Web Feed'!$B$2:$B$3015,Points!$A$6,'Web Feed'!$F$2:$F$3015,$B152)+SUMIFS('Web Feed'!$O$2:$O$3015,'Web Feed'!$B$2:$B$3015,Points!$A$6,'Web Feed'!$G$2:$G$3015,$B152)+SUMIFS('Web Feed'!$O$2:$O$3015,'Web Feed'!$B$2:$B$3015,Points!$A$6,'Web Feed'!$H$2:$H$3015,$B152)+SUMIFS('Web Feed'!$O$2:$O$3015,'Web Feed'!$B$2:$B$3015,Points!$A$6,'Web Feed'!$I$2:$I$3015,$B152))</f>
        <v/>
      </c>
      <c r="I152">
        <f>IF($B152="","",COUNTIFS('Web Feed'!$B$2:$B$3015,"OHW",'Web Feed'!$F$2:$F$3015,$B152))</f>
        <v/>
      </c>
      <c r="J152">
        <f>IF($B152="","",IFERROR(INDEX('Last Week'!$A$2:$A$301,MATCH($B152,'Last Week'!$B$2:$B$301,0)),""))</f>
        <v/>
      </c>
      <c r="K152">
        <f>IF(OR($B152="",$J152=""),"",$J152-$A152)</f>
        <v/>
      </c>
    </row>
    <row r="153">
      <c r="A153">
        <f>IF($B153="","",RANK($C153,$C$2:$C$500))</f>
        <v/>
      </c>
      <c r="B153">
        <f>IF(Players!$A153="","",Players!$A153)</f>
        <v/>
      </c>
      <c r="C153" s="5">
        <f>IF($B153="","",SUM(D153:H153))</f>
        <v/>
      </c>
      <c r="D153">
        <f>IF($B153="","",SUMIFS('Web Feed'!$O$2:$O$3015,'Web Feed'!$B$2:$B$3015,Points!$A$2,'Web Feed'!$F$2:$F$3015,$B153)+SUMIFS('Web Feed'!$O$2:$O$3015,'Web Feed'!$B$2:$B$3015,Points!$A$2,'Web Feed'!$G$2:$G$3015,$B153)+SUMIFS('Web Feed'!$O$2:$O$3015,'Web Feed'!$B$2:$B$3015,Points!$A$2,'Web Feed'!$H$2:$H$3015,$B153)+SUMIFS('Web Feed'!$O$2:$O$3015,'Web Feed'!$B$2:$B$3015,Points!$A$2,'Web Feed'!$I$2:$I$3015,$B153))</f>
        <v/>
      </c>
      <c r="E153">
        <f>IF($B153="","",SUMIFS('Web Feed'!$O$2:$O$3015,'Web Feed'!$B$2:$B$3015,Points!$A$3,'Web Feed'!$F$2:$F$3015,$B153)+SUMIFS('Web Feed'!$O$2:$O$3015,'Web Feed'!$B$2:$B$3015,Points!$A$3,'Web Feed'!$G$2:$G$3015,$B153)+SUMIFS('Web Feed'!$O$2:$O$3015,'Web Feed'!$B$2:$B$3015,Points!$A$3,'Web Feed'!$H$2:$H$3015,$B153)+SUMIFS('Web Feed'!$O$2:$O$3015,'Web Feed'!$B$2:$B$3015,Points!$A$3,'Web Feed'!$I$2:$I$3015,$B153))</f>
        <v/>
      </c>
      <c r="F153">
        <f>IF($B153="","",SUMIFS('Web Feed'!$O$2:$O$3015,'Web Feed'!$B$2:$B$3015,Points!$A$4,'Web Feed'!$F$2:$F$3015,$B153)+SUMIFS('Web Feed'!$O$2:$O$3015,'Web Feed'!$B$2:$B$3015,Points!$A$4,'Web Feed'!$G$2:$G$3015,$B153)+SUMIFS('Web Feed'!$O$2:$O$3015,'Web Feed'!$B$2:$B$3015,Points!$A$4,'Web Feed'!$H$2:$H$3015,$B153)+SUMIFS('Web Feed'!$O$2:$O$3015,'Web Feed'!$B$2:$B$3015,Points!$A$4,'Web Feed'!$I$2:$I$3015,$B153))</f>
        <v/>
      </c>
      <c r="G153">
        <f>IF($B153="","",SUMIFS('Web Feed'!$O$2:$O$3015,'Web Feed'!$B$2:$B$3015,Points!$A$5,'Web Feed'!$F$2:$F$3015,$B153)+SUMIFS('Web Feed'!$O$2:$O$3015,'Web Feed'!$B$2:$B$3015,Points!$A$5,'Web Feed'!$G$2:$G$3015,$B153)+SUMIFS('Web Feed'!$O$2:$O$3015,'Web Feed'!$B$2:$B$3015,Points!$A$5,'Web Feed'!$H$2:$H$3015,$B153)+SUMIFS('Web Feed'!$O$2:$O$3015,'Web Feed'!$B$2:$B$3015,Points!$A$5,'Web Feed'!$I$2:$I$3015,$B153))</f>
        <v/>
      </c>
      <c r="H153">
        <f>IF($B153="","",SUMIFS('Web Feed'!$O$2:$O$3015,'Web Feed'!$B$2:$B$3015,Points!$A$6,'Web Feed'!$F$2:$F$3015,$B153)+SUMIFS('Web Feed'!$O$2:$O$3015,'Web Feed'!$B$2:$B$3015,Points!$A$6,'Web Feed'!$G$2:$G$3015,$B153)+SUMIFS('Web Feed'!$O$2:$O$3015,'Web Feed'!$B$2:$B$3015,Points!$A$6,'Web Feed'!$H$2:$H$3015,$B153)+SUMIFS('Web Feed'!$O$2:$O$3015,'Web Feed'!$B$2:$B$3015,Points!$A$6,'Web Feed'!$I$2:$I$3015,$B153))</f>
        <v/>
      </c>
      <c r="I153">
        <f>IF($B153="","",COUNTIFS('Web Feed'!$B$2:$B$3015,"OHW",'Web Feed'!$F$2:$F$3015,$B153))</f>
        <v/>
      </c>
      <c r="J153">
        <f>IF($B153="","",IFERROR(INDEX('Last Week'!$A$2:$A$301,MATCH($B153,'Last Week'!$B$2:$B$301,0)),""))</f>
        <v/>
      </c>
      <c r="K153">
        <f>IF(OR($B153="",$J153=""),"",$J153-$A153)</f>
        <v/>
      </c>
    </row>
    <row r="154">
      <c r="A154">
        <f>IF($B154="","",RANK($C154,$C$2:$C$500))</f>
        <v/>
      </c>
      <c r="B154">
        <f>IF(Players!$A154="","",Players!$A154)</f>
        <v/>
      </c>
      <c r="C154" s="5">
        <f>IF($B154="","",SUM(D154:H154))</f>
        <v/>
      </c>
      <c r="D154">
        <f>IF($B154="","",SUMIFS('Web Feed'!$O$2:$O$3015,'Web Feed'!$B$2:$B$3015,Points!$A$2,'Web Feed'!$F$2:$F$3015,$B154)+SUMIFS('Web Feed'!$O$2:$O$3015,'Web Feed'!$B$2:$B$3015,Points!$A$2,'Web Feed'!$G$2:$G$3015,$B154)+SUMIFS('Web Feed'!$O$2:$O$3015,'Web Feed'!$B$2:$B$3015,Points!$A$2,'Web Feed'!$H$2:$H$3015,$B154)+SUMIFS('Web Feed'!$O$2:$O$3015,'Web Feed'!$B$2:$B$3015,Points!$A$2,'Web Feed'!$I$2:$I$3015,$B154))</f>
        <v/>
      </c>
      <c r="E154">
        <f>IF($B154="","",SUMIFS('Web Feed'!$O$2:$O$3015,'Web Feed'!$B$2:$B$3015,Points!$A$3,'Web Feed'!$F$2:$F$3015,$B154)+SUMIFS('Web Feed'!$O$2:$O$3015,'Web Feed'!$B$2:$B$3015,Points!$A$3,'Web Feed'!$G$2:$G$3015,$B154)+SUMIFS('Web Feed'!$O$2:$O$3015,'Web Feed'!$B$2:$B$3015,Points!$A$3,'Web Feed'!$H$2:$H$3015,$B154)+SUMIFS('Web Feed'!$O$2:$O$3015,'Web Feed'!$B$2:$B$3015,Points!$A$3,'Web Feed'!$I$2:$I$3015,$B154))</f>
        <v/>
      </c>
      <c r="F154">
        <f>IF($B154="","",SUMIFS('Web Feed'!$O$2:$O$3015,'Web Feed'!$B$2:$B$3015,Points!$A$4,'Web Feed'!$F$2:$F$3015,$B154)+SUMIFS('Web Feed'!$O$2:$O$3015,'Web Feed'!$B$2:$B$3015,Points!$A$4,'Web Feed'!$G$2:$G$3015,$B154)+SUMIFS('Web Feed'!$O$2:$O$3015,'Web Feed'!$B$2:$B$3015,Points!$A$4,'Web Feed'!$H$2:$H$3015,$B154)+SUMIFS('Web Feed'!$O$2:$O$3015,'Web Feed'!$B$2:$B$3015,Points!$A$4,'Web Feed'!$I$2:$I$3015,$B154))</f>
        <v/>
      </c>
      <c r="G154">
        <f>IF($B154="","",SUMIFS('Web Feed'!$O$2:$O$3015,'Web Feed'!$B$2:$B$3015,Points!$A$5,'Web Feed'!$F$2:$F$3015,$B154)+SUMIFS('Web Feed'!$O$2:$O$3015,'Web Feed'!$B$2:$B$3015,Points!$A$5,'Web Feed'!$G$2:$G$3015,$B154)+SUMIFS('Web Feed'!$O$2:$O$3015,'Web Feed'!$B$2:$B$3015,Points!$A$5,'Web Feed'!$H$2:$H$3015,$B154)+SUMIFS('Web Feed'!$O$2:$O$3015,'Web Feed'!$B$2:$B$3015,Points!$A$5,'Web Feed'!$I$2:$I$3015,$B154))</f>
        <v/>
      </c>
      <c r="H154">
        <f>IF($B154="","",SUMIFS('Web Feed'!$O$2:$O$3015,'Web Feed'!$B$2:$B$3015,Points!$A$6,'Web Feed'!$F$2:$F$3015,$B154)+SUMIFS('Web Feed'!$O$2:$O$3015,'Web Feed'!$B$2:$B$3015,Points!$A$6,'Web Feed'!$G$2:$G$3015,$B154)+SUMIFS('Web Feed'!$O$2:$O$3015,'Web Feed'!$B$2:$B$3015,Points!$A$6,'Web Feed'!$H$2:$H$3015,$B154)+SUMIFS('Web Feed'!$O$2:$O$3015,'Web Feed'!$B$2:$B$3015,Points!$A$6,'Web Feed'!$I$2:$I$3015,$B154))</f>
        <v/>
      </c>
      <c r="I154">
        <f>IF($B154="","",COUNTIFS('Web Feed'!$B$2:$B$3015,"OHW",'Web Feed'!$F$2:$F$3015,$B154))</f>
        <v/>
      </c>
      <c r="J154">
        <f>IF($B154="","",IFERROR(INDEX('Last Week'!$A$2:$A$301,MATCH($B154,'Last Week'!$B$2:$B$301,0)),""))</f>
        <v/>
      </c>
      <c r="K154">
        <f>IF(OR($B154="",$J154=""),"",$J154-$A154)</f>
        <v/>
      </c>
    </row>
    <row r="155">
      <c r="A155">
        <f>IF($B155="","",RANK($C155,$C$2:$C$500))</f>
        <v/>
      </c>
      <c r="B155">
        <f>IF(Players!$A155="","",Players!$A155)</f>
        <v/>
      </c>
      <c r="C155" s="5">
        <f>IF($B155="","",SUM(D155:H155))</f>
        <v/>
      </c>
      <c r="D155">
        <f>IF($B155="","",SUMIFS('Web Feed'!$O$2:$O$3015,'Web Feed'!$B$2:$B$3015,Points!$A$2,'Web Feed'!$F$2:$F$3015,$B155)+SUMIFS('Web Feed'!$O$2:$O$3015,'Web Feed'!$B$2:$B$3015,Points!$A$2,'Web Feed'!$G$2:$G$3015,$B155)+SUMIFS('Web Feed'!$O$2:$O$3015,'Web Feed'!$B$2:$B$3015,Points!$A$2,'Web Feed'!$H$2:$H$3015,$B155)+SUMIFS('Web Feed'!$O$2:$O$3015,'Web Feed'!$B$2:$B$3015,Points!$A$2,'Web Feed'!$I$2:$I$3015,$B155))</f>
        <v/>
      </c>
      <c r="E155">
        <f>IF($B155="","",SUMIFS('Web Feed'!$O$2:$O$3015,'Web Feed'!$B$2:$B$3015,Points!$A$3,'Web Feed'!$F$2:$F$3015,$B155)+SUMIFS('Web Feed'!$O$2:$O$3015,'Web Feed'!$B$2:$B$3015,Points!$A$3,'Web Feed'!$G$2:$G$3015,$B155)+SUMIFS('Web Feed'!$O$2:$O$3015,'Web Feed'!$B$2:$B$3015,Points!$A$3,'Web Feed'!$H$2:$H$3015,$B155)+SUMIFS('Web Feed'!$O$2:$O$3015,'Web Feed'!$B$2:$B$3015,Points!$A$3,'Web Feed'!$I$2:$I$3015,$B155))</f>
        <v/>
      </c>
      <c r="F155">
        <f>IF($B155="","",SUMIFS('Web Feed'!$O$2:$O$3015,'Web Feed'!$B$2:$B$3015,Points!$A$4,'Web Feed'!$F$2:$F$3015,$B155)+SUMIFS('Web Feed'!$O$2:$O$3015,'Web Feed'!$B$2:$B$3015,Points!$A$4,'Web Feed'!$G$2:$G$3015,$B155)+SUMIFS('Web Feed'!$O$2:$O$3015,'Web Feed'!$B$2:$B$3015,Points!$A$4,'Web Feed'!$H$2:$H$3015,$B155)+SUMIFS('Web Feed'!$O$2:$O$3015,'Web Feed'!$B$2:$B$3015,Points!$A$4,'Web Feed'!$I$2:$I$3015,$B155))</f>
        <v/>
      </c>
      <c r="G155">
        <f>IF($B155="","",SUMIFS('Web Feed'!$O$2:$O$3015,'Web Feed'!$B$2:$B$3015,Points!$A$5,'Web Feed'!$F$2:$F$3015,$B155)+SUMIFS('Web Feed'!$O$2:$O$3015,'Web Feed'!$B$2:$B$3015,Points!$A$5,'Web Feed'!$G$2:$G$3015,$B155)+SUMIFS('Web Feed'!$O$2:$O$3015,'Web Feed'!$B$2:$B$3015,Points!$A$5,'Web Feed'!$H$2:$H$3015,$B155)+SUMIFS('Web Feed'!$O$2:$O$3015,'Web Feed'!$B$2:$B$3015,Points!$A$5,'Web Feed'!$I$2:$I$3015,$B155))</f>
        <v/>
      </c>
      <c r="H155">
        <f>IF($B155="","",SUMIFS('Web Feed'!$O$2:$O$3015,'Web Feed'!$B$2:$B$3015,Points!$A$6,'Web Feed'!$F$2:$F$3015,$B155)+SUMIFS('Web Feed'!$O$2:$O$3015,'Web Feed'!$B$2:$B$3015,Points!$A$6,'Web Feed'!$G$2:$G$3015,$B155)+SUMIFS('Web Feed'!$O$2:$O$3015,'Web Feed'!$B$2:$B$3015,Points!$A$6,'Web Feed'!$H$2:$H$3015,$B155)+SUMIFS('Web Feed'!$O$2:$O$3015,'Web Feed'!$B$2:$B$3015,Points!$A$6,'Web Feed'!$I$2:$I$3015,$B155))</f>
        <v/>
      </c>
      <c r="I155">
        <f>IF($B155="","",COUNTIFS('Web Feed'!$B$2:$B$3015,"OHW",'Web Feed'!$F$2:$F$3015,$B155))</f>
        <v/>
      </c>
      <c r="J155">
        <f>IF($B155="","",IFERROR(INDEX('Last Week'!$A$2:$A$301,MATCH($B155,'Last Week'!$B$2:$B$301,0)),""))</f>
        <v/>
      </c>
      <c r="K155">
        <f>IF(OR($B155="",$J155=""),"",$J155-$A155)</f>
        <v/>
      </c>
    </row>
    <row r="156">
      <c r="A156">
        <f>IF($B156="","",RANK($C156,$C$2:$C$500))</f>
        <v/>
      </c>
      <c r="B156">
        <f>IF(Players!$A156="","",Players!$A156)</f>
        <v/>
      </c>
      <c r="C156" s="5">
        <f>IF($B156="","",SUM(D156:H156))</f>
        <v/>
      </c>
      <c r="D156">
        <f>IF($B156="","",SUMIFS('Web Feed'!$O$2:$O$3015,'Web Feed'!$B$2:$B$3015,Points!$A$2,'Web Feed'!$F$2:$F$3015,$B156)+SUMIFS('Web Feed'!$O$2:$O$3015,'Web Feed'!$B$2:$B$3015,Points!$A$2,'Web Feed'!$G$2:$G$3015,$B156)+SUMIFS('Web Feed'!$O$2:$O$3015,'Web Feed'!$B$2:$B$3015,Points!$A$2,'Web Feed'!$H$2:$H$3015,$B156)+SUMIFS('Web Feed'!$O$2:$O$3015,'Web Feed'!$B$2:$B$3015,Points!$A$2,'Web Feed'!$I$2:$I$3015,$B156))</f>
        <v/>
      </c>
      <c r="E156">
        <f>IF($B156="","",SUMIFS('Web Feed'!$O$2:$O$3015,'Web Feed'!$B$2:$B$3015,Points!$A$3,'Web Feed'!$F$2:$F$3015,$B156)+SUMIFS('Web Feed'!$O$2:$O$3015,'Web Feed'!$B$2:$B$3015,Points!$A$3,'Web Feed'!$G$2:$G$3015,$B156)+SUMIFS('Web Feed'!$O$2:$O$3015,'Web Feed'!$B$2:$B$3015,Points!$A$3,'Web Feed'!$H$2:$H$3015,$B156)+SUMIFS('Web Feed'!$O$2:$O$3015,'Web Feed'!$B$2:$B$3015,Points!$A$3,'Web Feed'!$I$2:$I$3015,$B156))</f>
        <v/>
      </c>
      <c r="F156">
        <f>IF($B156="","",SUMIFS('Web Feed'!$O$2:$O$3015,'Web Feed'!$B$2:$B$3015,Points!$A$4,'Web Feed'!$F$2:$F$3015,$B156)+SUMIFS('Web Feed'!$O$2:$O$3015,'Web Feed'!$B$2:$B$3015,Points!$A$4,'Web Feed'!$G$2:$G$3015,$B156)+SUMIFS('Web Feed'!$O$2:$O$3015,'Web Feed'!$B$2:$B$3015,Points!$A$4,'Web Feed'!$H$2:$H$3015,$B156)+SUMIFS('Web Feed'!$O$2:$O$3015,'Web Feed'!$B$2:$B$3015,Points!$A$4,'Web Feed'!$I$2:$I$3015,$B156))</f>
        <v/>
      </c>
      <c r="G156">
        <f>IF($B156="","",SUMIFS('Web Feed'!$O$2:$O$3015,'Web Feed'!$B$2:$B$3015,Points!$A$5,'Web Feed'!$F$2:$F$3015,$B156)+SUMIFS('Web Feed'!$O$2:$O$3015,'Web Feed'!$B$2:$B$3015,Points!$A$5,'Web Feed'!$G$2:$G$3015,$B156)+SUMIFS('Web Feed'!$O$2:$O$3015,'Web Feed'!$B$2:$B$3015,Points!$A$5,'Web Feed'!$H$2:$H$3015,$B156)+SUMIFS('Web Feed'!$O$2:$O$3015,'Web Feed'!$B$2:$B$3015,Points!$A$5,'Web Feed'!$I$2:$I$3015,$B156))</f>
        <v/>
      </c>
      <c r="H156">
        <f>IF($B156="","",SUMIFS('Web Feed'!$O$2:$O$3015,'Web Feed'!$B$2:$B$3015,Points!$A$6,'Web Feed'!$F$2:$F$3015,$B156)+SUMIFS('Web Feed'!$O$2:$O$3015,'Web Feed'!$B$2:$B$3015,Points!$A$6,'Web Feed'!$G$2:$G$3015,$B156)+SUMIFS('Web Feed'!$O$2:$O$3015,'Web Feed'!$B$2:$B$3015,Points!$A$6,'Web Feed'!$H$2:$H$3015,$B156)+SUMIFS('Web Feed'!$O$2:$O$3015,'Web Feed'!$B$2:$B$3015,Points!$A$6,'Web Feed'!$I$2:$I$3015,$B156))</f>
        <v/>
      </c>
      <c r="I156">
        <f>IF($B156="","",COUNTIFS('Web Feed'!$B$2:$B$3015,"OHW",'Web Feed'!$F$2:$F$3015,$B156))</f>
        <v/>
      </c>
      <c r="J156">
        <f>IF($B156="","",IFERROR(INDEX('Last Week'!$A$2:$A$301,MATCH($B156,'Last Week'!$B$2:$B$301,0)),""))</f>
        <v/>
      </c>
      <c r="K156">
        <f>IF(OR($B156="",$J156=""),"",$J156-$A156)</f>
        <v/>
      </c>
    </row>
    <row r="157">
      <c r="A157">
        <f>IF($B157="","",RANK($C157,$C$2:$C$500))</f>
        <v/>
      </c>
      <c r="B157">
        <f>IF(Players!$A157="","",Players!$A157)</f>
        <v/>
      </c>
      <c r="C157" s="5">
        <f>IF($B157="","",SUM(D157:H157))</f>
        <v/>
      </c>
      <c r="D157">
        <f>IF($B157="","",SUMIFS('Web Feed'!$O$2:$O$3015,'Web Feed'!$B$2:$B$3015,Points!$A$2,'Web Feed'!$F$2:$F$3015,$B157)+SUMIFS('Web Feed'!$O$2:$O$3015,'Web Feed'!$B$2:$B$3015,Points!$A$2,'Web Feed'!$G$2:$G$3015,$B157)+SUMIFS('Web Feed'!$O$2:$O$3015,'Web Feed'!$B$2:$B$3015,Points!$A$2,'Web Feed'!$H$2:$H$3015,$B157)+SUMIFS('Web Feed'!$O$2:$O$3015,'Web Feed'!$B$2:$B$3015,Points!$A$2,'Web Feed'!$I$2:$I$3015,$B157))</f>
        <v/>
      </c>
      <c r="E157">
        <f>IF($B157="","",SUMIFS('Web Feed'!$O$2:$O$3015,'Web Feed'!$B$2:$B$3015,Points!$A$3,'Web Feed'!$F$2:$F$3015,$B157)+SUMIFS('Web Feed'!$O$2:$O$3015,'Web Feed'!$B$2:$B$3015,Points!$A$3,'Web Feed'!$G$2:$G$3015,$B157)+SUMIFS('Web Feed'!$O$2:$O$3015,'Web Feed'!$B$2:$B$3015,Points!$A$3,'Web Feed'!$H$2:$H$3015,$B157)+SUMIFS('Web Feed'!$O$2:$O$3015,'Web Feed'!$B$2:$B$3015,Points!$A$3,'Web Feed'!$I$2:$I$3015,$B157))</f>
        <v/>
      </c>
      <c r="F157">
        <f>IF($B157="","",SUMIFS('Web Feed'!$O$2:$O$3015,'Web Feed'!$B$2:$B$3015,Points!$A$4,'Web Feed'!$F$2:$F$3015,$B157)+SUMIFS('Web Feed'!$O$2:$O$3015,'Web Feed'!$B$2:$B$3015,Points!$A$4,'Web Feed'!$G$2:$G$3015,$B157)+SUMIFS('Web Feed'!$O$2:$O$3015,'Web Feed'!$B$2:$B$3015,Points!$A$4,'Web Feed'!$H$2:$H$3015,$B157)+SUMIFS('Web Feed'!$O$2:$O$3015,'Web Feed'!$B$2:$B$3015,Points!$A$4,'Web Feed'!$I$2:$I$3015,$B157))</f>
        <v/>
      </c>
      <c r="G157">
        <f>IF($B157="","",SUMIFS('Web Feed'!$O$2:$O$3015,'Web Feed'!$B$2:$B$3015,Points!$A$5,'Web Feed'!$F$2:$F$3015,$B157)+SUMIFS('Web Feed'!$O$2:$O$3015,'Web Feed'!$B$2:$B$3015,Points!$A$5,'Web Feed'!$G$2:$G$3015,$B157)+SUMIFS('Web Feed'!$O$2:$O$3015,'Web Feed'!$B$2:$B$3015,Points!$A$5,'Web Feed'!$H$2:$H$3015,$B157)+SUMIFS('Web Feed'!$O$2:$O$3015,'Web Feed'!$B$2:$B$3015,Points!$A$5,'Web Feed'!$I$2:$I$3015,$B157))</f>
        <v/>
      </c>
      <c r="H157">
        <f>IF($B157="","",SUMIFS('Web Feed'!$O$2:$O$3015,'Web Feed'!$B$2:$B$3015,Points!$A$6,'Web Feed'!$F$2:$F$3015,$B157)+SUMIFS('Web Feed'!$O$2:$O$3015,'Web Feed'!$B$2:$B$3015,Points!$A$6,'Web Feed'!$G$2:$G$3015,$B157)+SUMIFS('Web Feed'!$O$2:$O$3015,'Web Feed'!$B$2:$B$3015,Points!$A$6,'Web Feed'!$H$2:$H$3015,$B157)+SUMIFS('Web Feed'!$O$2:$O$3015,'Web Feed'!$B$2:$B$3015,Points!$A$6,'Web Feed'!$I$2:$I$3015,$B157))</f>
        <v/>
      </c>
      <c r="I157">
        <f>IF($B157="","",COUNTIFS('Web Feed'!$B$2:$B$3015,"OHW",'Web Feed'!$F$2:$F$3015,$B157))</f>
        <v/>
      </c>
      <c r="J157">
        <f>IF($B157="","",IFERROR(INDEX('Last Week'!$A$2:$A$301,MATCH($B157,'Last Week'!$B$2:$B$301,0)),""))</f>
        <v/>
      </c>
      <c r="K157">
        <f>IF(OR($B157="",$J157=""),"",$J157-$A157)</f>
        <v/>
      </c>
    </row>
    <row r="158">
      <c r="A158">
        <f>IF($B158="","",RANK($C158,$C$2:$C$500))</f>
        <v/>
      </c>
      <c r="B158">
        <f>IF(Players!$A158="","",Players!$A158)</f>
        <v/>
      </c>
      <c r="C158" s="5">
        <f>IF($B158="","",SUM(D158:H158))</f>
        <v/>
      </c>
      <c r="D158">
        <f>IF($B158="","",SUMIFS('Web Feed'!$O$2:$O$3015,'Web Feed'!$B$2:$B$3015,Points!$A$2,'Web Feed'!$F$2:$F$3015,$B158)+SUMIFS('Web Feed'!$O$2:$O$3015,'Web Feed'!$B$2:$B$3015,Points!$A$2,'Web Feed'!$G$2:$G$3015,$B158)+SUMIFS('Web Feed'!$O$2:$O$3015,'Web Feed'!$B$2:$B$3015,Points!$A$2,'Web Feed'!$H$2:$H$3015,$B158)+SUMIFS('Web Feed'!$O$2:$O$3015,'Web Feed'!$B$2:$B$3015,Points!$A$2,'Web Feed'!$I$2:$I$3015,$B158))</f>
        <v/>
      </c>
      <c r="E158">
        <f>IF($B158="","",SUMIFS('Web Feed'!$O$2:$O$3015,'Web Feed'!$B$2:$B$3015,Points!$A$3,'Web Feed'!$F$2:$F$3015,$B158)+SUMIFS('Web Feed'!$O$2:$O$3015,'Web Feed'!$B$2:$B$3015,Points!$A$3,'Web Feed'!$G$2:$G$3015,$B158)+SUMIFS('Web Feed'!$O$2:$O$3015,'Web Feed'!$B$2:$B$3015,Points!$A$3,'Web Feed'!$H$2:$H$3015,$B158)+SUMIFS('Web Feed'!$O$2:$O$3015,'Web Feed'!$B$2:$B$3015,Points!$A$3,'Web Feed'!$I$2:$I$3015,$B158))</f>
        <v/>
      </c>
      <c r="F158">
        <f>IF($B158="","",SUMIFS('Web Feed'!$O$2:$O$3015,'Web Feed'!$B$2:$B$3015,Points!$A$4,'Web Feed'!$F$2:$F$3015,$B158)+SUMIFS('Web Feed'!$O$2:$O$3015,'Web Feed'!$B$2:$B$3015,Points!$A$4,'Web Feed'!$G$2:$G$3015,$B158)+SUMIFS('Web Feed'!$O$2:$O$3015,'Web Feed'!$B$2:$B$3015,Points!$A$4,'Web Feed'!$H$2:$H$3015,$B158)+SUMIFS('Web Feed'!$O$2:$O$3015,'Web Feed'!$B$2:$B$3015,Points!$A$4,'Web Feed'!$I$2:$I$3015,$B158))</f>
        <v/>
      </c>
      <c r="G158">
        <f>IF($B158="","",SUMIFS('Web Feed'!$O$2:$O$3015,'Web Feed'!$B$2:$B$3015,Points!$A$5,'Web Feed'!$F$2:$F$3015,$B158)+SUMIFS('Web Feed'!$O$2:$O$3015,'Web Feed'!$B$2:$B$3015,Points!$A$5,'Web Feed'!$G$2:$G$3015,$B158)+SUMIFS('Web Feed'!$O$2:$O$3015,'Web Feed'!$B$2:$B$3015,Points!$A$5,'Web Feed'!$H$2:$H$3015,$B158)+SUMIFS('Web Feed'!$O$2:$O$3015,'Web Feed'!$B$2:$B$3015,Points!$A$5,'Web Feed'!$I$2:$I$3015,$B158))</f>
        <v/>
      </c>
      <c r="H158">
        <f>IF($B158="","",SUMIFS('Web Feed'!$O$2:$O$3015,'Web Feed'!$B$2:$B$3015,Points!$A$6,'Web Feed'!$F$2:$F$3015,$B158)+SUMIFS('Web Feed'!$O$2:$O$3015,'Web Feed'!$B$2:$B$3015,Points!$A$6,'Web Feed'!$G$2:$G$3015,$B158)+SUMIFS('Web Feed'!$O$2:$O$3015,'Web Feed'!$B$2:$B$3015,Points!$A$6,'Web Feed'!$H$2:$H$3015,$B158)+SUMIFS('Web Feed'!$O$2:$O$3015,'Web Feed'!$B$2:$B$3015,Points!$A$6,'Web Feed'!$I$2:$I$3015,$B158))</f>
        <v/>
      </c>
      <c r="I158">
        <f>IF($B158="","",COUNTIFS('Web Feed'!$B$2:$B$3015,"OHW",'Web Feed'!$F$2:$F$3015,$B158))</f>
        <v/>
      </c>
      <c r="J158">
        <f>IF($B158="","",IFERROR(INDEX('Last Week'!$A$2:$A$301,MATCH($B158,'Last Week'!$B$2:$B$301,0)),""))</f>
        <v/>
      </c>
      <c r="K158">
        <f>IF(OR($B158="",$J158=""),"",$J158-$A158)</f>
        <v/>
      </c>
    </row>
    <row r="159">
      <c r="A159">
        <f>IF($B159="","",RANK($C159,$C$2:$C$500))</f>
        <v/>
      </c>
      <c r="B159">
        <f>IF(Players!$A159="","",Players!$A159)</f>
        <v/>
      </c>
      <c r="C159" s="5">
        <f>IF($B159="","",SUM(D159:H159))</f>
        <v/>
      </c>
      <c r="D159">
        <f>IF($B159="","",SUMIFS('Web Feed'!$O$2:$O$3015,'Web Feed'!$B$2:$B$3015,Points!$A$2,'Web Feed'!$F$2:$F$3015,$B159)+SUMIFS('Web Feed'!$O$2:$O$3015,'Web Feed'!$B$2:$B$3015,Points!$A$2,'Web Feed'!$G$2:$G$3015,$B159)+SUMIFS('Web Feed'!$O$2:$O$3015,'Web Feed'!$B$2:$B$3015,Points!$A$2,'Web Feed'!$H$2:$H$3015,$B159)+SUMIFS('Web Feed'!$O$2:$O$3015,'Web Feed'!$B$2:$B$3015,Points!$A$2,'Web Feed'!$I$2:$I$3015,$B159))</f>
        <v/>
      </c>
      <c r="E159">
        <f>IF($B159="","",SUMIFS('Web Feed'!$O$2:$O$3015,'Web Feed'!$B$2:$B$3015,Points!$A$3,'Web Feed'!$F$2:$F$3015,$B159)+SUMIFS('Web Feed'!$O$2:$O$3015,'Web Feed'!$B$2:$B$3015,Points!$A$3,'Web Feed'!$G$2:$G$3015,$B159)+SUMIFS('Web Feed'!$O$2:$O$3015,'Web Feed'!$B$2:$B$3015,Points!$A$3,'Web Feed'!$H$2:$H$3015,$B159)+SUMIFS('Web Feed'!$O$2:$O$3015,'Web Feed'!$B$2:$B$3015,Points!$A$3,'Web Feed'!$I$2:$I$3015,$B159))</f>
        <v/>
      </c>
      <c r="F159">
        <f>IF($B159="","",SUMIFS('Web Feed'!$O$2:$O$3015,'Web Feed'!$B$2:$B$3015,Points!$A$4,'Web Feed'!$F$2:$F$3015,$B159)+SUMIFS('Web Feed'!$O$2:$O$3015,'Web Feed'!$B$2:$B$3015,Points!$A$4,'Web Feed'!$G$2:$G$3015,$B159)+SUMIFS('Web Feed'!$O$2:$O$3015,'Web Feed'!$B$2:$B$3015,Points!$A$4,'Web Feed'!$H$2:$H$3015,$B159)+SUMIFS('Web Feed'!$O$2:$O$3015,'Web Feed'!$B$2:$B$3015,Points!$A$4,'Web Feed'!$I$2:$I$3015,$B159))</f>
        <v/>
      </c>
      <c r="G159">
        <f>IF($B159="","",SUMIFS('Web Feed'!$O$2:$O$3015,'Web Feed'!$B$2:$B$3015,Points!$A$5,'Web Feed'!$F$2:$F$3015,$B159)+SUMIFS('Web Feed'!$O$2:$O$3015,'Web Feed'!$B$2:$B$3015,Points!$A$5,'Web Feed'!$G$2:$G$3015,$B159)+SUMIFS('Web Feed'!$O$2:$O$3015,'Web Feed'!$B$2:$B$3015,Points!$A$5,'Web Feed'!$H$2:$H$3015,$B159)+SUMIFS('Web Feed'!$O$2:$O$3015,'Web Feed'!$B$2:$B$3015,Points!$A$5,'Web Feed'!$I$2:$I$3015,$B159))</f>
        <v/>
      </c>
      <c r="H159">
        <f>IF($B159="","",SUMIFS('Web Feed'!$O$2:$O$3015,'Web Feed'!$B$2:$B$3015,Points!$A$6,'Web Feed'!$F$2:$F$3015,$B159)+SUMIFS('Web Feed'!$O$2:$O$3015,'Web Feed'!$B$2:$B$3015,Points!$A$6,'Web Feed'!$G$2:$G$3015,$B159)+SUMIFS('Web Feed'!$O$2:$O$3015,'Web Feed'!$B$2:$B$3015,Points!$A$6,'Web Feed'!$H$2:$H$3015,$B159)+SUMIFS('Web Feed'!$O$2:$O$3015,'Web Feed'!$B$2:$B$3015,Points!$A$6,'Web Feed'!$I$2:$I$3015,$B159))</f>
        <v/>
      </c>
      <c r="I159">
        <f>IF($B159="","",COUNTIFS('Web Feed'!$B$2:$B$3015,"OHW",'Web Feed'!$F$2:$F$3015,$B159))</f>
        <v/>
      </c>
      <c r="J159">
        <f>IF($B159="","",IFERROR(INDEX('Last Week'!$A$2:$A$301,MATCH($B159,'Last Week'!$B$2:$B$301,0)),""))</f>
        <v/>
      </c>
      <c r="K159">
        <f>IF(OR($B159="",$J159=""),"",$J159-$A159)</f>
        <v/>
      </c>
    </row>
    <row r="160">
      <c r="A160">
        <f>IF($B160="","",RANK($C160,$C$2:$C$500))</f>
        <v/>
      </c>
      <c r="B160">
        <f>IF(Players!$A160="","",Players!$A160)</f>
        <v/>
      </c>
      <c r="C160" s="5">
        <f>IF($B160="","",SUM(D160:H160))</f>
        <v/>
      </c>
      <c r="D160">
        <f>IF($B160="","",SUMIFS('Web Feed'!$O$2:$O$3015,'Web Feed'!$B$2:$B$3015,Points!$A$2,'Web Feed'!$F$2:$F$3015,$B160)+SUMIFS('Web Feed'!$O$2:$O$3015,'Web Feed'!$B$2:$B$3015,Points!$A$2,'Web Feed'!$G$2:$G$3015,$B160)+SUMIFS('Web Feed'!$O$2:$O$3015,'Web Feed'!$B$2:$B$3015,Points!$A$2,'Web Feed'!$H$2:$H$3015,$B160)+SUMIFS('Web Feed'!$O$2:$O$3015,'Web Feed'!$B$2:$B$3015,Points!$A$2,'Web Feed'!$I$2:$I$3015,$B160))</f>
        <v/>
      </c>
      <c r="E160">
        <f>IF($B160="","",SUMIFS('Web Feed'!$O$2:$O$3015,'Web Feed'!$B$2:$B$3015,Points!$A$3,'Web Feed'!$F$2:$F$3015,$B160)+SUMIFS('Web Feed'!$O$2:$O$3015,'Web Feed'!$B$2:$B$3015,Points!$A$3,'Web Feed'!$G$2:$G$3015,$B160)+SUMIFS('Web Feed'!$O$2:$O$3015,'Web Feed'!$B$2:$B$3015,Points!$A$3,'Web Feed'!$H$2:$H$3015,$B160)+SUMIFS('Web Feed'!$O$2:$O$3015,'Web Feed'!$B$2:$B$3015,Points!$A$3,'Web Feed'!$I$2:$I$3015,$B160))</f>
        <v/>
      </c>
      <c r="F160">
        <f>IF($B160="","",SUMIFS('Web Feed'!$O$2:$O$3015,'Web Feed'!$B$2:$B$3015,Points!$A$4,'Web Feed'!$F$2:$F$3015,$B160)+SUMIFS('Web Feed'!$O$2:$O$3015,'Web Feed'!$B$2:$B$3015,Points!$A$4,'Web Feed'!$G$2:$G$3015,$B160)+SUMIFS('Web Feed'!$O$2:$O$3015,'Web Feed'!$B$2:$B$3015,Points!$A$4,'Web Feed'!$H$2:$H$3015,$B160)+SUMIFS('Web Feed'!$O$2:$O$3015,'Web Feed'!$B$2:$B$3015,Points!$A$4,'Web Feed'!$I$2:$I$3015,$B160))</f>
        <v/>
      </c>
      <c r="G160">
        <f>IF($B160="","",SUMIFS('Web Feed'!$O$2:$O$3015,'Web Feed'!$B$2:$B$3015,Points!$A$5,'Web Feed'!$F$2:$F$3015,$B160)+SUMIFS('Web Feed'!$O$2:$O$3015,'Web Feed'!$B$2:$B$3015,Points!$A$5,'Web Feed'!$G$2:$G$3015,$B160)+SUMIFS('Web Feed'!$O$2:$O$3015,'Web Feed'!$B$2:$B$3015,Points!$A$5,'Web Feed'!$H$2:$H$3015,$B160)+SUMIFS('Web Feed'!$O$2:$O$3015,'Web Feed'!$B$2:$B$3015,Points!$A$5,'Web Feed'!$I$2:$I$3015,$B160))</f>
        <v/>
      </c>
      <c r="H160">
        <f>IF($B160="","",SUMIFS('Web Feed'!$O$2:$O$3015,'Web Feed'!$B$2:$B$3015,Points!$A$6,'Web Feed'!$F$2:$F$3015,$B160)+SUMIFS('Web Feed'!$O$2:$O$3015,'Web Feed'!$B$2:$B$3015,Points!$A$6,'Web Feed'!$G$2:$G$3015,$B160)+SUMIFS('Web Feed'!$O$2:$O$3015,'Web Feed'!$B$2:$B$3015,Points!$A$6,'Web Feed'!$H$2:$H$3015,$B160)+SUMIFS('Web Feed'!$O$2:$O$3015,'Web Feed'!$B$2:$B$3015,Points!$A$6,'Web Feed'!$I$2:$I$3015,$B160))</f>
        <v/>
      </c>
      <c r="I160">
        <f>IF($B160="","",COUNTIFS('Web Feed'!$B$2:$B$3015,"OHW",'Web Feed'!$F$2:$F$3015,$B160))</f>
        <v/>
      </c>
      <c r="J160">
        <f>IF($B160="","",IFERROR(INDEX('Last Week'!$A$2:$A$301,MATCH($B160,'Last Week'!$B$2:$B$301,0)),""))</f>
        <v/>
      </c>
      <c r="K160">
        <f>IF(OR($B160="",$J160=""),"",$J160-$A160)</f>
        <v/>
      </c>
    </row>
    <row r="161">
      <c r="A161">
        <f>IF($B161="","",RANK($C161,$C$2:$C$500))</f>
        <v/>
      </c>
      <c r="B161">
        <f>IF(Players!$A161="","",Players!$A161)</f>
        <v/>
      </c>
      <c r="C161" s="5">
        <f>IF($B161="","",SUM(D161:H161))</f>
        <v/>
      </c>
      <c r="D161">
        <f>IF($B161="","",SUMIFS('Web Feed'!$O$2:$O$3015,'Web Feed'!$B$2:$B$3015,Points!$A$2,'Web Feed'!$F$2:$F$3015,$B161)+SUMIFS('Web Feed'!$O$2:$O$3015,'Web Feed'!$B$2:$B$3015,Points!$A$2,'Web Feed'!$G$2:$G$3015,$B161)+SUMIFS('Web Feed'!$O$2:$O$3015,'Web Feed'!$B$2:$B$3015,Points!$A$2,'Web Feed'!$H$2:$H$3015,$B161)+SUMIFS('Web Feed'!$O$2:$O$3015,'Web Feed'!$B$2:$B$3015,Points!$A$2,'Web Feed'!$I$2:$I$3015,$B161))</f>
        <v/>
      </c>
      <c r="E161">
        <f>IF($B161="","",SUMIFS('Web Feed'!$O$2:$O$3015,'Web Feed'!$B$2:$B$3015,Points!$A$3,'Web Feed'!$F$2:$F$3015,$B161)+SUMIFS('Web Feed'!$O$2:$O$3015,'Web Feed'!$B$2:$B$3015,Points!$A$3,'Web Feed'!$G$2:$G$3015,$B161)+SUMIFS('Web Feed'!$O$2:$O$3015,'Web Feed'!$B$2:$B$3015,Points!$A$3,'Web Feed'!$H$2:$H$3015,$B161)+SUMIFS('Web Feed'!$O$2:$O$3015,'Web Feed'!$B$2:$B$3015,Points!$A$3,'Web Feed'!$I$2:$I$3015,$B161))</f>
        <v/>
      </c>
      <c r="F161">
        <f>IF($B161="","",SUMIFS('Web Feed'!$O$2:$O$3015,'Web Feed'!$B$2:$B$3015,Points!$A$4,'Web Feed'!$F$2:$F$3015,$B161)+SUMIFS('Web Feed'!$O$2:$O$3015,'Web Feed'!$B$2:$B$3015,Points!$A$4,'Web Feed'!$G$2:$G$3015,$B161)+SUMIFS('Web Feed'!$O$2:$O$3015,'Web Feed'!$B$2:$B$3015,Points!$A$4,'Web Feed'!$H$2:$H$3015,$B161)+SUMIFS('Web Feed'!$O$2:$O$3015,'Web Feed'!$B$2:$B$3015,Points!$A$4,'Web Feed'!$I$2:$I$3015,$B161))</f>
        <v/>
      </c>
      <c r="G161">
        <f>IF($B161="","",SUMIFS('Web Feed'!$O$2:$O$3015,'Web Feed'!$B$2:$B$3015,Points!$A$5,'Web Feed'!$F$2:$F$3015,$B161)+SUMIFS('Web Feed'!$O$2:$O$3015,'Web Feed'!$B$2:$B$3015,Points!$A$5,'Web Feed'!$G$2:$G$3015,$B161)+SUMIFS('Web Feed'!$O$2:$O$3015,'Web Feed'!$B$2:$B$3015,Points!$A$5,'Web Feed'!$H$2:$H$3015,$B161)+SUMIFS('Web Feed'!$O$2:$O$3015,'Web Feed'!$B$2:$B$3015,Points!$A$5,'Web Feed'!$I$2:$I$3015,$B161))</f>
        <v/>
      </c>
      <c r="H161">
        <f>IF($B161="","",SUMIFS('Web Feed'!$O$2:$O$3015,'Web Feed'!$B$2:$B$3015,Points!$A$6,'Web Feed'!$F$2:$F$3015,$B161)+SUMIFS('Web Feed'!$O$2:$O$3015,'Web Feed'!$B$2:$B$3015,Points!$A$6,'Web Feed'!$G$2:$G$3015,$B161)+SUMIFS('Web Feed'!$O$2:$O$3015,'Web Feed'!$B$2:$B$3015,Points!$A$6,'Web Feed'!$H$2:$H$3015,$B161)+SUMIFS('Web Feed'!$O$2:$O$3015,'Web Feed'!$B$2:$B$3015,Points!$A$6,'Web Feed'!$I$2:$I$3015,$B161))</f>
        <v/>
      </c>
      <c r="I161">
        <f>IF($B161="","",COUNTIFS('Web Feed'!$B$2:$B$3015,"OHW",'Web Feed'!$F$2:$F$3015,$B161))</f>
        <v/>
      </c>
      <c r="J161">
        <f>IF($B161="","",IFERROR(INDEX('Last Week'!$A$2:$A$301,MATCH($B161,'Last Week'!$B$2:$B$301,0)),""))</f>
        <v/>
      </c>
      <c r="K161">
        <f>IF(OR($B161="",$J161=""),"",$J161-$A161)</f>
        <v/>
      </c>
    </row>
    <row r="162">
      <c r="A162">
        <f>IF($B162="","",RANK($C162,$C$2:$C$500))</f>
        <v/>
      </c>
      <c r="B162">
        <f>IF(Players!$A162="","",Players!$A162)</f>
        <v/>
      </c>
      <c r="C162" s="5">
        <f>IF($B162="","",SUM(D162:H162))</f>
        <v/>
      </c>
      <c r="D162">
        <f>IF($B162="","",SUMIFS('Web Feed'!$O$2:$O$3015,'Web Feed'!$B$2:$B$3015,Points!$A$2,'Web Feed'!$F$2:$F$3015,$B162)+SUMIFS('Web Feed'!$O$2:$O$3015,'Web Feed'!$B$2:$B$3015,Points!$A$2,'Web Feed'!$G$2:$G$3015,$B162)+SUMIFS('Web Feed'!$O$2:$O$3015,'Web Feed'!$B$2:$B$3015,Points!$A$2,'Web Feed'!$H$2:$H$3015,$B162)+SUMIFS('Web Feed'!$O$2:$O$3015,'Web Feed'!$B$2:$B$3015,Points!$A$2,'Web Feed'!$I$2:$I$3015,$B162))</f>
        <v/>
      </c>
      <c r="E162">
        <f>IF($B162="","",SUMIFS('Web Feed'!$O$2:$O$3015,'Web Feed'!$B$2:$B$3015,Points!$A$3,'Web Feed'!$F$2:$F$3015,$B162)+SUMIFS('Web Feed'!$O$2:$O$3015,'Web Feed'!$B$2:$B$3015,Points!$A$3,'Web Feed'!$G$2:$G$3015,$B162)+SUMIFS('Web Feed'!$O$2:$O$3015,'Web Feed'!$B$2:$B$3015,Points!$A$3,'Web Feed'!$H$2:$H$3015,$B162)+SUMIFS('Web Feed'!$O$2:$O$3015,'Web Feed'!$B$2:$B$3015,Points!$A$3,'Web Feed'!$I$2:$I$3015,$B162))</f>
        <v/>
      </c>
      <c r="F162">
        <f>IF($B162="","",SUMIFS('Web Feed'!$O$2:$O$3015,'Web Feed'!$B$2:$B$3015,Points!$A$4,'Web Feed'!$F$2:$F$3015,$B162)+SUMIFS('Web Feed'!$O$2:$O$3015,'Web Feed'!$B$2:$B$3015,Points!$A$4,'Web Feed'!$G$2:$G$3015,$B162)+SUMIFS('Web Feed'!$O$2:$O$3015,'Web Feed'!$B$2:$B$3015,Points!$A$4,'Web Feed'!$H$2:$H$3015,$B162)+SUMIFS('Web Feed'!$O$2:$O$3015,'Web Feed'!$B$2:$B$3015,Points!$A$4,'Web Feed'!$I$2:$I$3015,$B162))</f>
        <v/>
      </c>
      <c r="G162">
        <f>IF($B162="","",SUMIFS('Web Feed'!$O$2:$O$3015,'Web Feed'!$B$2:$B$3015,Points!$A$5,'Web Feed'!$F$2:$F$3015,$B162)+SUMIFS('Web Feed'!$O$2:$O$3015,'Web Feed'!$B$2:$B$3015,Points!$A$5,'Web Feed'!$G$2:$G$3015,$B162)+SUMIFS('Web Feed'!$O$2:$O$3015,'Web Feed'!$B$2:$B$3015,Points!$A$5,'Web Feed'!$H$2:$H$3015,$B162)+SUMIFS('Web Feed'!$O$2:$O$3015,'Web Feed'!$B$2:$B$3015,Points!$A$5,'Web Feed'!$I$2:$I$3015,$B162))</f>
        <v/>
      </c>
      <c r="H162">
        <f>IF($B162="","",SUMIFS('Web Feed'!$O$2:$O$3015,'Web Feed'!$B$2:$B$3015,Points!$A$6,'Web Feed'!$F$2:$F$3015,$B162)+SUMIFS('Web Feed'!$O$2:$O$3015,'Web Feed'!$B$2:$B$3015,Points!$A$6,'Web Feed'!$G$2:$G$3015,$B162)+SUMIFS('Web Feed'!$O$2:$O$3015,'Web Feed'!$B$2:$B$3015,Points!$A$6,'Web Feed'!$H$2:$H$3015,$B162)+SUMIFS('Web Feed'!$O$2:$O$3015,'Web Feed'!$B$2:$B$3015,Points!$A$6,'Web Feed'!$I$2:$I$3015,$B162))</f>
        <v/>
      </c>
      <c r="I162">
        <f>IF($B162="","",COUNTIFS('Web Feed'!$B$2:$B$3015,"OHW",'Web Feed'!$F$2:$F$3015,$B162))</f>
        <v/>
      </c>
      <c r="J162">
        <f>IF($B162="","",IFERROR(INDEX('Last Week'!$A$2:$A$301,MATCH($B162,'Last Week'!$B$2:$B$301,0)),""))</f>
        <v/>
      </c>
      <c r="K162">
        <f>IF(OR($B162="",$J162=""),"",$J162-$A162)</f>
        <v/>
      </c>
    </row>
    <row r="163">
      <c r="A163">
        <f>IF($B163="","",RANK($C163,$C$2:$C$500))</f>
        <v/>
      </c>
      <c r="B163">
        <f>IF(Players!$A163="","",Players!$A163)</f>
        <v/>
      </c>
      <c r="C163" s="5">
        <f>IF($B163="","",SUM(D163:H163))</f>
        <v/>
      </c>
      <c r="D163">
        <f>IF($B163="","",SUMIFS('Web Feed'!$O$2:$O$3015,'Web Feed'!$B$2:$B$3015,Points!$A$2,'Web Feed'!$F$2:$F$3015,$B163)+SUMIFS('Web Feed'!$O$2:$O$3015,'Web Feed'!$B$2:$B$3015,Points!$A$2,'Web Feed'!$G$2:$G$3015,$B163)+SUMIFS('Web Feed'!$O$2:$O$3015,'Web Feed'!$B$2:$B$3015,Points!$A$2,'Web Feed'!$H$2:$H$3015,$B163)+SUMIFS('Web Feed'!$O$2:$O$3015,'Web Feed'!$B$2:$B$3015,Points!$A$2,'Web Feed'!$I$2:$I$3015,$B163))</f>
        <v/>
      </c>
      <c r="E163">
        <f>IF($B163="","",SUMIFS('Web Feed'!$O$2:$O$3015,'Web Feed'!$B$2:$B$3015,Points!$A$3,'Web Feed'!$F$2:$F$3015,$B163)+SUMIFS('Web Feed'!$O$2:$O$3015,'Web Feed'!$B$2:$B$3015,Points!$A$3,'Web Feed'!$G$2:$G$3015,$B163)+SUMIFS('Web Feed'!$O$2:$O$3015,'Web Feed'!$B$2:$B$3015,Points!$A$3,'Web Feed'!$H$2:$H$3015,$B163)+SUMIFS('Web Feed'!$O$2:$O$3015,'Web Feed'!$B$2:$B$3015,Points!$A$3,'Web Feed'!$I$2:$I$3015,$B163))</f>
        <v/>
      </c>
      <c r="F163">
        <f>IF($B163="","",SUMIFS('Web Feed'!$O$2:$O$3015,'Web Feed'!$B$2:$B$3015,Points!$A$4,'Web Feed'!$F$2:$F$3015,$B163)+SUMIFS('Web Feed'!$O$2:$O$3015,'Web Feed'!$B$2:$B$3015,Points!$A$4,'Web Feed'!$G$2:$G$3015,$B163)+SUMIFS('Web Feed'!$O$2:$O$3015,'Web Feed'!$B$2:$B$3015,Points!$A$4,'Web Feed'!$H$2:$H$3015,$B163)+SUMIFS('Web Feed'!$O$2:$O$3015,'Web Feed'!$B$2:$B$3015,Points!$A$4,'Web Feed'!$I$2:$I$3015,$B163))</f>
        <v/>
      </c>
      <c r="G163">
        <f>IF($B163="","",SUMIFS('Web Feed'!$O$2:$O$3015,'Web Feed'!$B$2:$B$3015,Points!$A$5,'Web Feed'!$F$2:$F$3015,$B163)+SUMIFS('Web Feed'!$O$2:$O$3015,'Web Feed'!$B$2:$B$3015,Points!$A$5,'Web Feed'!$G$2:$G$3015,$B163)+SUMIFS('Web Feed'!$O$2:$O$3015,'Web Feed'!$B$2:$B$3015,Points!$A$5,'Web Feed'!$H$2:$H$3015,$B163)+SUMIFS('Web Feed'!$O$2:$O$3015,'Web Feed'!$B$2:$B$3015,Points!$A$5,'Web Feed'!$I$2:$I$3015,$B163))</f>
        <v/>
      </c>
      <c r="H163">
        <f>IF($B163="","",SUMIFS('Web Feed'!$O$2:$O$3015,'Web Feed'!$B$2:$B$3015,Points!$A$6,'Web Feed'!$F$2:$F$3015,$B163)+SUMIFS('Web Feed'!$O$2:$O$3015,'Web Feed'!$B$2:$B$3015,Points!$A$6,'Web Feed'!$G$2:$G$3015,$B163)+SUMIFS('Web Feed'!$O$2:$O$3015,'Web Feed'!$B$2:$B$3015,Points!$A$6,'Web Feed'!$H$2:$H$3015,$B163)+SUMIFS('Web Feed'!$O$2:$O$3015,'Web Feed'!$B$2:$B$3015,Points!$A$6,'Web Feed'!$I$2:$I$3015,$B163))</f>
        <v/>
      </c>
      <c r="I163">
        <f>IF($B163="","",COUNTIFS('Web Feed'!$B$2:$B$3015,"OHW",'Web Feed'!$F$2:$F$3015,$B163))</f>
        <v/>
      </c>
      <c r="J163">
        <f>IF($B163="","",IFERROR(INDEX('Last Week'!$A$2:$A$301,MATCH($B163,'Last Week'!$B$2:$B$301,0)),""))</f>
        <v/>
      </c>
      <c r="K163">
        <f>IF(OR($B163="",$J163=""),"",$J163-$A163)</f>
        <v/>
      </c>
    </row>
    <row r="164">
      <c r="A164">
        <f>IF($B164="","",RANK($C164,$C$2:$C$500))</f>
        <v/>
      </c>
      <c r="B164">
        <f>IF(Players!$A164="","",Players!$A164)</f>
        <v/>
      </c>
      <c r="C164" s="5">
        <f>IF($B164="","",SUM(D164:H164))</f>
        <v/>
      </c>
      <c r="D164">
        <f>IF($B164="","",SUMIFS('Web Feed'!$O$2:$O$3015,'Web Feed'!$B$2:$B$3015,Points!$A$2,'Web Feed'!$F$2:$F$3015,$B164)+SUMIFS('Web Feed'!$O$2:$O$3015,'Web Feed'!$B$2:$B$3015,Points!$A$2,'Web Feed'!$G$2:$G$3015,$B164)+SUMIFS('Web Feed'!$O$2:$O$3015,'Web Feed'!$B$2:$B$3015,Points!$A$2,'Web Feed'!$H$2:$H$3015,$B164)+SUMIFS('Web Feed'!$O$2:$O$3015,'Web Feed'!$B$2:$B$3015,Points!$A$2,'Web Feed'!$I$2:$I$3015,$B164))</f>
        <v/>
      </c>
      <c r="E164">
        <f>IF($B164="","",SUMIFS('Web Feed'!$O$2:$O$3015,'Web Feed'!$B$2:$B$3015,Points!$A$3,'Web Feed'!$F$2:$F$3015,$B164)+SUMIFS('Web Feed'!$O$2:$O$3015,'Web Feed'!$B$2:$B$3015,Points!$A$3,'Web Feed'!$G$2:$G$3015,$B164)+SUMIFS('Web Feed'!$O$2:$O$3015,'Web Feed'!$B$2:$B$3015,Points!$A$3,'Web Feed'!$H$2:$H$3015,$B164)+SUMIFS('Web Feed'!$O$2:$O$3015,'Web Feed'!$B$2:$B$3015,Points!$A$3,'Web Feed'!$I$2:$I$3015,$B164))</f>
        <v/>
      </c>
      <c r="F164">
        <f>IF($B164="","",SUMIFS('Web Feed'!$O$2:$O$3015,'Web Feed'!$B$2:$B$3015,Points!$A$4,'Web Feed'!$F$2:$F$3015,$B164)+SUMIFS('Web Feed'!$O$2:$O$3015,'Web Feed'!$B$2:$B$3015,Points!$A$4,'Web Feed'!$G$2:$G$3015,$B164)+SUMIFS('Web Feed'!$O$2:$O$3015,'Web Feed'!$B$2:$B$3015,Points!$A$4,'Web Feed'!$H$2:$H$3015,$B164)+SUMIFS('Web Feed'!$O$2:$O$3015,'Web Feed'!$B$2:$B$3015,Points!$A$4,'Web Feed'!$I$2:$I$3015,$B164))</f>
        <v/>
      </c>
      <c r="G164">
        <f>IF($B164="","",SUMIFS('Web Feed'!$O$2:$O$3015,'Web Feed'!$B$2:$B$3015,Points!$A$5,'Web Feed'!$F$2:$F$3015,$B164)+SUMIFS('Web Feed'!$O$2:$O$3015,'Web Feed'!$B$2:$B$3015,Points!$A$5,'Web Feed'!$G$2:$G$3015,$B164)+SUMIFS('Web Feed'!$O$2:$O$3015,'Web Feed'!$B$2:$B$3015,Points!$A$5,'Web Feed'!$H$2:$H$3015,$B164)+SUMIFS('Web Feed'!$O$2:$O$3015,'Web Feed'!$B$2:$B$3015,Points!$A$5,'Web Feed'!$I$2:$I$3015,$B164))</f>
        <v/>
      </c>
      <c r="H164">
        <f>IF($B164="","",SUMIFS('Web Feed'!$O$2:$O$3015,'Web Feed'!$B$2:$B$3015,Points!$A$6,'Web Feed'!$F$2:$F$3015,$B164)+SUMIFS('Web Feed'!$O$2:$O$3015,'Web Feed'!$B$2:$B$3015,Points!$A$6,'Web Feed'!$G$2:$G$3015,$B164)+SUMIFS('Web Feed'!$O$2:$O$3015,'Web Feed'!$B$2:$B$3015,Points!$A$6,'Web Feed'!$H$2:$H$3015,$B164)+SUMIFS('Web Feed'!$O$2:$O$3015,'Web Feed'!$B$2:$B$3015,Points!$A$6,'Web Feed'!$I$2:$I$3015,$B164))</f>
        <v/>
      </c>
      <c r="I164">
        <f>IF($B164="","",COUNTIFS('Web Feed'!$B$2:$B$3015,"OHW",'Web Feed'!$F$2:$F$3015,$B164))</f>
        <v/>
      </c>
      <c r="J164">
        <f>IF($B164="","",IFERROR(INDEX('Last Week'!$A$2:$A$301,MATCH($B164,'Last Week'!$B$2:$B$301,0)),""))</f>
        <v/>
      </c>
      <c r="K164">
        <f>IF(OR($B164="",$J164=""),"",$J164-$A164)</f>
        <v/>
      </c>
    </row>
    <row r="165">
      <c r="A165">
        <f>IF($B165="","",RANK($C165,$C$2:$C$500))</f>
        <v/>
      </c>
      <c r="B165">
        <f>IF(Players!$A165="","",Players!$A165)</f>
        <v/>
      </c>
      <c r="C165" s="5">
        <f>IF($B165="","",SUM(D165:H165))</f>
        <v/>
      </c>
      <c r="D165">
        <f>IF($B165="","",SUMIFS('Web Feed'!$O$2:$O$3015,'Web Feed'!$B$2:$B$3015,Points!$A$2,'Web Feed'!$F$2:$F$3015,$B165)+SUMIFS('Web Feed'!$O$2:$O$3015,'Web Feed'!$B$2:$B$3015,Points!$A$2,'Web Feed'!$G$2:$G$3015,$B165)+SUMIFS('Web Feed'!$O$2:$O$3015,'Web Feed'!$B$2:$B$3015,Points!$A$2,'Web Feed'!$H$2:$H$3015,$B165)+SUMIFS('Web Feed'!$O$2:$O$3015,'Web Feed'!$B$2:$B$3015,Points!$A$2,'Web Feed'!$I$2:$I$3015,$B165))</f>
        <v/>
      </c>
      <c r="E165">
        <f>IF($B165="","",SUMIFS('Web Feed'!$O$2:$O$3015,'Web Feed'!$B$2:$B$3015,Points!$A$3,'Web Feed'!$F$2:$F$3015,$B165)+SUMIFS('Web Feed'!$O$2:$O$3015,'Web Feed'!$B$2:$B$3015,Points!$A$3,'Web Feed'!$G$2:$G$3015,$B165)+SUMIFS('Web Feed'!$O$2:$O$3015,'Web Feed'!$B$2:$B$3015,Points!$A$3,'Web Feed'!$H$2:$H$3015,$B165)+SUMIFS('Web Feed'!$O$2:$O$3015,'Web Feed'!$B$2:$B$3015,Points!$A$3,'Web Feed'!$I$2:$I$3015,$B165))</f>
        <v/>
      </c>
      <c r="F165">
        <f>IF($B165="","",SUMIFS('Web Feed'!$O$2:$O$3015,'Web Feed'!$B$2:$B$3015,Points!$A$4,'Web Feed'!$F$2:$F$3015,$B165)+SUMIFS('Web Feed'!$O$2:$O$3015,'Web Feed'!$B$2:$B$3015,Points!$A$4,'Web Feed'!$G$2:$G$3015,$B165)+SUMIFS('Web Feed'!$O$2:$O$3015,'Web Feed'!$B$2:$B$3015,Points!$A$4,'Web Feed'!$H$2:$H$3015,$B165)+SUMIFS('Web Feed'!$O$2:$O$3015,'Web Feed'!$B$2:$B$3015,Points!$A$4,'Web Feed'!$I$2:$I$3015,$B165))</f>
        <v/>
      </c>
      <c r="G165">
        <f>IF($B165="","",SUMIFS('Web Feed'!$O$2:$O$3015,'Web Feed'!$B$2:$B$3015,Points!$A$5,'Web Feed'!$F$2:$F$3015,$B165)+SUMIFS('Web Feed'!$O$2:$O$3015,'Web Feed'!$B$2:$B$3015,Points!$A$5,'Web Feed'!$G$2:$G$3015,$B165)+SUMIFS('Web Feed'!$O$2:$O$3015,'Web Feed'!$B$2:$B$3015,Points!$A$5,'Web Feed'!$H$2:$H$3015,$B165)+SUMIFS('Web Feed'!$O$2:$O$3015,'Web Feed'!$B$2:$B$3015,Points!$A$5,'Web Feed'!$I$2:$I$3015,$B165))</f>
        <v/>
      </c>
      <c r="H165">
        <f>IF($B165="","",SUMIFS('Web Feed'!$O$2:$O$3015,'Web Feed'!$B$2:$B$3015,Points!$A$6,'Web Feed'!$F$2:$F$3015,$B165)+SUMIFS('Web Feed'!$O$2:$O$3015,'Web Feed'!$B$2:$B$3015,Points!$A$6,'Web Feed'!$G$2:$G$3015,$B165)+SUMIFS('Web Feed'!$O$2:$O$3015,'Web Feed'!$B$2:$B$3015,Points!$A$6,'Web Feed'!$H$2:$H$3015,$B165)+SUMIFS('Web Feed'!$O$2:$O$3015,'Web Feed'!$B$2:$B$3015,Points!$A$6,'Web Feed'!$I$2:$I$3015,$B165))</f>
        <v/>
      </c>
      <c r="I165">
        <f>IF($B165="","",COUNTIFS('Web Feed'!$B$2:$B$3015,"OHW",'Web Feed'!$F$2:$F$3015,$B165))</f>
        <v/>
      </c>
      <c r="J165">
        <f>IF($B165="","",IFERROR(INDEX('Last Week'!$A$2:$A$301,MATCH($B165,'Last Week'!$B$2:$B$301,0)),""))</f>
        <v/>
      </c>
      <c r="K165">
        <f>IF(OR($B165="",$J165=""),"",$J165-$A165)</f>
        <v/>
      </c>
    </row>
    <row r="166">
      <c r="A166">
        <f>IF($B166="","",RANK($C166,$C$2:$C$500))</f>
        <v/>
      </c>
      <c r="B166">
        <f>IF(Players!$A166="","",Players!$A166)</f>
        <v/>
      </c>
      <c r="C166" s="5">
        <f>IF($B166="","",SUM(D166:H166))</f>
        <v/>
      </c>
      <c r="D166">
        <f>IF($B166="","",SUMIFS('Web Feed'!$O$2:$O$3015,'Web Feed'!$B$2:$B$3015,Points!$A$2,'Web Feed'!$F$2:$F$3015,$B166)+SUMIFS('Web Feed'!$O$2:$O$3015,'Web Feed'!$B$2:$B$3015,Points!$A$2,'Web Feed'!$G$2:$G$3015,$B166)+SUMIFS('Web Feed'!$O$2:$O$3015,'Web Feed'!$B$2:$B$3015,Points!$A$2,'Web Feed'!$H$2:$H$3015,$B166)+SUMIFS('Web Feed'!$O$2:$O$3015,'Web Feed'!$B$2:$B$3015,Points!$A$2,'Web Feed'!$I$2:$I$3015,$B166))</f>
        <v/>
      </c>
      <c r="E166">
        <f>IF($B166="","",SUMIFS('Web Feed'!$O$2:$O$3015,'Web Feed'!$B$2:$B$3015,Points!$A$3,'Web Feed'!$F$2:$F$3015,$B166)+SUMIFS('Web Feed'!$O$2:$O$3015,'Web Feed'!$B$2:$B$3015,Points!$A$3,'Web Feed'!$G$2:$G$3015,$B166)+SUMIFS('Web Feed'!$O$2:$O$3015,'Web Feed'!$B$2:$B$3015,Points!$A$3,'Web Feed'!$H$2:$H$3015,$B166)+SUMIFS('Web Feed'!$O$2:$O$3015,'Web Feed'!$B$2:$B$3015,Points!$A$3,'Web Feed'!$I$2:$I$3015,$B166))</f>
        <v/>
      </c>
      <c r="F166">
        <f>IF($B166="","",SUMIFS('Web Feed'!$O$2:$O$3015,'Web Feed'!$B$2:$B$3015,Points!$A$4,'Web Feed'!$F$2:$F$3015,$B166)+SUMIFS('Web Feed'!$O$2:$O$3015,'Web Feed'!$B$2:$B$3015,Points!$A$4,'Web Feed'!$G$2:$G$3015,$B166)+SUMIFS('Web Feed'!$O$2:$O$3015,'Web Feed'!$B$2:$B$3015,Points!$A$4,'Web Feed'!$H$2:$H$3015,$B166)+SUMIFS('Web Feed'!$O$2:$O$3015,'Web Feed'!$B$2:$B$3015,Points!$A$4,'Web Feed'!$I$2:$I$3015,$B166))</f>
        <v/>
      </c>
      <c r="G166">
        <f>IF($B166="","",SUMIFS('Web Feed'!$O$2:$O$3015,'Web Feed'!$B$2:$B$3015,Points!$A$5,'Web Feed'!$F$2:$F$3015,$B166)+SUMIFS('Web Feed'!$O$2:$O$3015,'Web Feed'!$B$2:$B$3015,Points!$A$5,'Web Feed'!$G$2:$G$3015,$B166)+SUMIFS('Web Feed'!$O$2:$O$3015,'Web Feed'!$B$2:$B$3015,Points!$A$5,'Web Feed'!$H$2:$H$3015,$B166)+SUMIFS('Web Feed'!$O$2:$O$3015,'Web Feed'!$B$2:$B$3015,Points!$A$5,'Web Feed'!$I$2:$I$3015,$B166))</f>
        <v/>
      </c>
      <c r="H166">
        <f>IF($B166="","",SUMIFS('Web Feed'!$O$2:$O$3015,'Web Feed'!$B$2:$B$3015,Points!$A$6,'Web Feed'!$F$2:$F$3015,$B166)+SUMIFS('Web Feed'!$O$2:$O$3015,'Web Feed'!$B$2:$B$3015,Points!$A$6,'Web Feed'!$G$2:$G$3015,$B166)+SUMIFS('Web Feed'!$O$2:$O$3015,'Web Feed'!$B$2:$B$3015,Points!$A$6,'Web Feed'!$H$2:$H$3015,$B166)+SUMIFS('Web Feed'!$O$2:$O$3015,'Web Feed'!$B$2:$B$3015,Points!$A$6,'Web Feed'!$I$2:$I$3015,$B166))</f>
        <v/>
      </c>
      <c r="I166">
        <f>IF($B166="","",COUNTIFS('Web Feed'!$B$2:$B$3015,"OHW",'Web Feed'!$F$2:$F$3015,$B166))</f>
        <v/>
      </c>
      <c r="J166">
        <f>IF($B166="","",IFERROR(INDEX('Last Week'!$A$2:$A$301,MATCH($B166,'Last Week'!$B$2:$B$301,0)),""))</f>
        <v/>
      </c>
      <c r="K166">
        <f>IF(OR($B166="",$J166=""),"",$J166-$A166)</f>
        <v/>
      </c>
    </row>
    <row r="167">
      <c r="A167">
        <f>IF($B167="","",RANK($C167,$C$2:$C$500))</f>
        <v/>
      </c>
      <c r="B167">
        <f>IF(Players!$A167="","",Players!$A167)</f>
        <v/>
      </c>
      <c r="C167" s="5">
        <f>IF($B167="","",SUM(D167:H167))</f>
        <v/>
      </c>
      <c r="D167">
        <f>IF($B167="","",SUMIFS('Web Feed'!$O$2:$O$3015,'Web Feed'!$B$2:$B$3015,Points!$A$2,'Web Feed'!$F$2:$F$3015,$B167)+SUMIFS('Web Feed'!$O$2:$O$3015,'Web Feed'!$B$2:$B$3015,Points!$A$2,'Web Feed'!$G$2:$G$3015,$B167)+SUMIFS('Web Feed'!$O$2:$O$3015,'Web Feed'!$B$2:$B$3015,Points!$A$2,'Web Feed'!$H$2:$H$3015,$B167)+SUMIFS('Web Feed'!$O$2:$O$3015,'Web Feed'!$B$2:$B$3015,Points!$A$2,'Web Feed'!$I$2:$I$3015,$B167))</f>
        <v/>
      </c>
      <c r="E167">
        <f>IF($B167="","",SUMIFS('Web Feed'!$O$2:$O$3015,'Web Feed'!$B$2:$B$3015,Points!$A$3,'Web Feed'!$F$2:$F$3015,$B167)+SUMIFS('Web Feed'!$O$2:$O$3015,'Web Feed'!$B$2:$B$3015,Points!$A$3,'Web Feed'!$G$2:$G$3015,$B167)+SUMIFS('Web Feed'!$O$2:$O$3015,'Web Feed'!$B$2:$B$3015,Points!$A$3,'Web Feed'!$H$2:$H$3015,$B167)+SUMIFS('Web Feed'!$O$2:$O$3015,'Web Feed'!$B$2:$B$3015,Points!$A$3,'Web Feed'!$I$2:$I$3015,$B167))</f>
        <v/>
      </c>
      <c r="F167">
        <f>IF($B167="","",SUMIFS('Web Feed'!$O$2:$O$3015,'Web Feed'!$B$2:$B$3015,Points!$A$4,'Web Feed'!$F$2:$F$3015,$B167)+SUMIFS('Web Feed'!$O$2:$O$3015,'Web Feed'!$B$2:$B$3015,Points!$A$4,'Web Feed'!$G$2:$G$3015,$B167)+SUMIFS('Web Feed'!$O$2:$O$3015,'Web Feed'!$B$2:$B$3015,Points!$A$4,'Web Feed'!$H$2:$H$3015,$B167)+SUMIFS('Web Feed'!$O$2:$O$3015,'Web Feed'!$B$2:$B$3015,Points!$A$4,'Web Feed'!$I$2:$I$3015,$B167))</f>
        <v/>
      </c>
      <c r="G167">
        <f>IF($B167="","",SUMIFS('Web Feed'!$O$2:$O$3015,'Web Feed'!$B$2:$B$3015,Points!$A$5,'Web Feed'!$F$2:$F$3015,$B167)+SUMIFS('Web Feed'!$O$2:$O$3015,'Web Feed'!$B$2:$B$3015,Points!$A$5,'Web Feed'!$G$2:$G$3015,$B167)+SUMIFS('Web Feed'!$O$2:$O$3015,'Web Feed'!$B$2:$B$3015,Points!$A$5,'Web Feed'!$H$2:$H$3015,$B167)+SUMIFS('Web Feed'!$O$2:$O$3015,'Web Feed'!$B$2:$B$3015,Points!$A$5,'Web Feed'!$I$2:$I$3015,$B167))</f>
        <v/>
      </c>
      <c r="H167">
        <f>IF($B167="","",SUMIFS('Web Feed'!$O$2:$O$3015,'Web Feed'!$B$2:$B$3015,Points!$A$6,'Web Feed'!$F$2:$F$3015,$B167)+SUMIFS('Web Feed'!$O$2:$O$3015,'Web Feed'!$B$2:$B$3015,Points!$A$6,'Web Feed'!$G$2:$G$3015,$B167)+SUMIFS('Web Feed'!$O$2:$O$3015,'Web Feed'!$B$2:$B$3015,Points!$A$6,'Web Feed'!$H$2:$H$3015,$B167)+SUMIFS('Web Feed'!$O$2:$O$3015,'Web Feed'!$B$2:$B$3015,Points!$A$6,'Web Feed'!$I$2:$I$3015,$B167))</f>
        <v/>
      </c>
      <c r="I167">
        <f>IF($B167="","",COUNTIFS('Web Feed'!$B$2:$B$3015,"OHW",'Web Feed'!$F$2:$F$3015,$B167))</f>
        <v/>
      </c>
      <c r="J167">
        <f>IF($B167="","",IFERROR(INDEX('Last Week'!$A$2:$A$301,MATCH($B167,'Last Week'!$B$2:$B$301,0)),""))</f>
        <v/>
      </c>
      <c r="K167">
        <f>IF(OR($B167="",$J167=""),"",$J167-$A167)</f>
        <v/>
      </c>
    </row>
    <row r="168">
      <c r="A168">
        <f>IF($B168="","",RANK($C168,$C$2:$C$500))</f>
        <v/>
      </c>
      <c r="B168">
        <f>IF(Players!$A168="","",Players!$A168)</f>
        <v/>
      </c>
      <c r="C168" s="5">
        <f>IF($B168="","",SUM(D168:H168))</f>
        <v/>
      </c>
      <c r="D168">
        <f>IF($B168="","",SUMIFS('Web Feed'!$O$2:$O$3015,'Web Feed'!$B$2:$B$3015,Points!$A$2,'Web Feed'!$F$2:$F$3015,$B168)+SUMIFS('Web Feed'!$O$2:$O$3015,'Web Feed'!$B$2:$B$3015,Points!$A$2,'Web Feed'!$G$2:$G$3015,$B168)+SUMIFS('Web Feed'!$O$2:$O$3015,'Web Feed'!$B$2:$B$3015,Points!$A$2,'Web Feed'!$H$2:$H$3015,$B168)+SUMIFS('Web Feed'!$O$2:$O$3015,'Web Feed'!$B$2:$B$3015,Points!$A$2,'Web Feed'!$I$2:$I$3015,$B168))</f>
        <v/>
      </c>
      <c r="E168">
        <f>IF($B168="","",SUMIFS('Web Feed'!$O$2:$O$3015,'Web Feed'!$B$2:$B$3015,Points!$A$3,'Web Feed'!$F$2:$F$3015,$B168)+SUMIFS('Web Feed'!$O$2:$O$3015,'Web Feed'!$B$2:$B$3015,Points!$A$3,'Web Feed'!$G$2:$G$3015,$B168)+SUMIFS('Web Feed'!$O$2:$O$3015,'Web Feed'!$B$2:$B$3015,Points!$A$3,'Web Feed'!$H$2:$H$3015,$B168)+SUMIFS('Web Feed'!$O$2:$O$3015,'Web Feed'!$B$2:$B$3015,Points!$A$3,'Web Feed'!$I$2:$I$3015,$B168))</f>
        <v/>
      </c>
      <c r="F168">
        <f>IF($B168="","",SUMIFS('Web Feed'!$O$2:$O$3015,'Web Feed'!$B$2:$B$3015,Points!$A$4,'Web Feed'!$F$2:$F$3015,$B168)+SUMIFS('Web Feed'!$O$2:$O$3015,'Web Feed'!$B$2:$B$3015,Points!$A$4,'Web Feed'!$G$2:$G$3015,$B168)+SUMIFS('Web Feed'!$O$2:$O$3015,'Web Feed'!$B$2:$B$3015,Points!$A$4,'Web Feed'!$H$2:$H$3015,$B168)+SUMIFS('Web Feed'!$O$2:$O$3015,'Web Feed'!$B$2:$B$3015,Points!$A$4,'Web Feed'!$I$2:$I$3015,$B168))</f>
        <v/>
      </c>
      <c r="G168">
        <f>IF($B168="","",SUMIFS('Web Feed'!$O$2:$O$3015,'Web Feed'!$B$2:$B$3015,Points!$A$5,'Web Feed'!$F$2:$F$3015,$B168)+SUMIFS('Web Feed'!$O$2:$O$3015,'Web Feed'!$B$2:$B$3015,Points!$A$5,'Web Feed'!$G$2:$G$3015,$B168)+SUMIFS('Web Feed'!$O$2:$O$3015,'Web Feed'!$B$2:$B$3015,Points!$A$5,'Web Feed'!$H$2:$H$3015,$B168)+SUMIFS('Web Feed'!$O$2:$O$3015,'Web Feed'!$B$2:$B$3015,Points!$A$5,'Web Feed'!$I$2:$I$3015,$B168))</f>
        <v/>
      </c>
      <c r="H168">
        <f>IF($B168="","",SUMIFS('Web Feed'!$O$2:$O$3015,'Web Feed'!$B$2:$B$3015,Points!$A$6,'Web Feed'!$F$2:$F$3015,$B168)+SUMIFS('Web Feed'!$O$2:$O$3015,'Web Feed'!$B$2:$B$3015,Points!$A$6,'Web Feed'!$G$2:$G$3015,$B168)+SUMIFS('Web Feed'!$O$2:$O$3015,'Web Feed'!$B$2:$B$3015,Points!$A$6,'Web Feed'!$H$2:$H$3015,$B168)+SUMIFS('Web Feed'!$O$2:$O$3015,'Web Feed'!$B$2:$B$3015,Points!$A$6,'Web Feed'!$I$2:$I$3015,$B168))</f>
        <v/>
      </c>
      <c r="I168">
        <f>IF($B168="","",COUNTIFS('Web Feed'!$B$2:$B$3015,"OHW",'Web Feed'!$F$2:$F$3015,$B168))</f>
        <v/>
      </c>
      <c r="J168">
        <f>IF($B168="","",IFERROR(INDEX('Last Week'!$A$2:$A$301,MATCH($B168,'Last Week'!$B$2:$B$301,0)),""))</f>
        <v/>
      </c>
      <c r="K168">
        <f>IF(OR($B168="",$J168=""),"",$J168-$A168)</f>
        <v/>
      </c>
    </row>
    <row r="169">
      <c r="A169">
        <f>IF($B169="","",RANK($C169,$C$2:$C$500))</f>
        <v/>
      </c>
      <c r="B169">
        <f>IF(Players!$A169="","",Players!$A169)</f>
        <v/>
      </c>
      <c r="C169" s="5">
        <f>IF($B169="","",SUM(D169:H169))</f>
        <v/>
      </c>
      <c r="D169">
        <f>IF($B169="","",SUMIFS('Web Feed'!$O$2:$O$3015,'Web Feed'!$B$2:$B$3015,Points!$A$2,'Web Feed'!$F$2:$F$3015,$B169)+SUMIFS('Web Feed'!$O$2:$O$3015,'Web Feed'!$B$2:$B$3015,Points!$A$2,'Web Feed'!$G$2:$G$3015,$B169)+SUMIFS('Web Feed'!$O$2:$O$3015,'Web Feed'!$B$2:$B$3015,Points!$A$2,'Web Feed'!$H$2:$H$3015,$B169)+SUMIFS('Web Feed'!$O$2:$O$3015,'Web Feed'!$B$2:$B$3015,Points!$A$2,'Web Feed'!$I$2:$I$3015,$B169))</f>
        <v/>
      </c>
      <c r="E169">
        <f>IF($B169="","",SUMIFS('Web Feed'!$O$2:$O$3015,'Web Feed'!$B$2:$B$3015,Points!$A$3,'Web Feed'!$F$2:$F$3015,$B169)+SUMIFS('Web Feed'!$O$2:$O$3015,'Web Feed'!$B$2:$B$3015,Points!$A$3,'Web Feed'!$G$2:$G$3015,$B169)+SUMIFS('Web Feed'!$O$2:$O$3015,'Web Feed'!$B$2:$B$3015,Points!$A$3,'Web Feed'!$H$2:$H$3015,$B169)+SUMIFS('Web Feed'!$O$2:$O$3015,'Web Feed'!$B$2:$B$3015,Points!$A$3,'Web Feed'!$I$2:$I$3015,$B169))</f>
        <v/>
      </c>
      <c r="F169">
        <f>IF($B169="","",SUMIFS('Web Feed'!$O$2:$O$3015,'Web Feed'!$B$2:$B$3015,Points!$A$4,'Web Feed'!$F$2:$F$3015,$B169)+SUMIFS('Web Feed'!$O$2:$O$3015,'Web Feed'!$B$2:$B$3015,Points!$A$4,'Web Feed'!$G$2:$G$3015,$B169)+SUMIFS('Web Feed'!$O$2:$O$3015,'Web Feed'!$B$2:$B$3015,Points!$A$4,'Web Feed'!$H$2:$H$3015,$B169)+SUMIFS('Web Feed'!$O$2:$O$3015,'Web Feed'!$B$2:$B$3015,Points!$A$4,'Web Feed'!$I$2:$I$3015,$B169))</f>
        <v/>
      </c>
      <c r="G169">
        <f>IF($B169="","",SUMIFS('Web Feed'!$O$2:$O$3015,'Web Feed'!$B$2:$B$3015,Points!$A$5,'Web Feed'!$F$2:$F$3015,$B169)+SUMIFS('Web Feed'!$O$2:$O$3015,'Web Feed'!$B$2:$B$3015,Points!$A$5,'Web Feed'!$G$2:$G$3015,$B169)+SUMIFS('Web Feed'!$O$2:$O$3015,'Web Feed'!$B$2:$B$3015,Points!$A$5,'Web Feed'!$H$2:$H$3015,$B169)+SUMIFS('Web Feed'!$O$2:$O$3015,'Web Feed'!$B$2:$B$3015,Points!$A$5,'Web Feed'!$I$2:$I$3015,$B169))</f>
        <v/>
      </c>
      <c r="H169">
        <f>IF($B169="","",SUMIFS('Web Feed'!$O$2:$O$3015,'Web Feed'!$B$2:$B$3015,Points!$A$6,'Web Feed'!$F$2:$F$3015,$B169)+SUMIFS('Web Feed'!$O$2:$O$3015,'Web Feed'!$B$2:$B$3015,Points!$A$6,'Web Feed'!$G$2:$G$3015,$B169)+SUMIFS('Web Feed'!$O$2:$O$3015,'Web Feed'!$B$2:$B$3015,Points!$A$6,'Web Feed'!$H$2:$H$3015,$B169)+SUMIFS('Web Feed'!$O$2:$O$3015,'Web Feed'!$B$2:$B$3015,Points!$A$6,'Web Feed'!$I$2:$I$3015,$B169))</f>
        <v/>
      </c>
      <c r="I169">
        <f>IF($B169="","",COUNTIFS('Web Feed'!$B$2:$B$3015,"OHW",'Web Feed'!$F$2:$F$3015,$B169))</f>
        <v/>
      </c>
      <c r="J169">
        <f>IF($B169="","",IFERROR(INDEX('Last Week'!$A$2:$A$301,MATCH($B169,'Last Week'!$B$2:$B$301,0)),""))</f>
        <v/>
      </c>
      <c r="K169">
        <f>IF(OR($B169="",$J169=""),"",$J169-$A169)</f>
        <v/>
      </c>
    </row>
    <row r="170">
      <c r="A170">
        <f>IF($B170="","",RANK($C170,$C$2:$C$500))</f>
        <v/>
      </c>
      <c r="B170">
        <f>IF(Players!$A170="","",Players!$A170)</f>
        <v/>
      </c>
      <c r="C170" s="5">
        <f>IF($B170="","",SUM(D170:H170))</f>
        <v/>
      </c>
      <c r="D170">
        <f>IF($B170="","",SUMIFS('Web Feed'!$O$2:$O$3015,'Web Feed'!$B$2:$B$3015,Points!$A$2,'Web Feed'!$F$2:$F$3015,$B170)+SUMIFS('Web Feed'!$O$2:$O$3015,'Web Feed'!$B$2:$B$3015,Points!$A$2,'Web Feed'!$G$2:$G$3015,$B170)+SUMIFS('Web Feed'!$O$2:$O$3015,'Web Feed'!$B$2:$B$3015,Points!$A$2,'Web Feed'!$H$2:$H$3015,$B170)+SUMIFS('Web Feed'!$O$2:$O$3015,'Web Feed'!$B$2:$B$3015,Points!$A$2,'Web Feed'!$I$2:$I$3015,$B170))</f>
        <v/>
      </c>
      <c r="E170">
        <f>IF($B170="","",SUMIFS('Web Feed'!$O$2:$O$3015,'Web Feed'!$B$2:$B$3015,Points!$A$3,'Web Feed'!$F$2:$F$3015,$B170)+SUMIFS('Web Feed'!$O$2:$O$3015,'Web Feed'!$B$2:$B$3015,Points!$A$3,'Web Feed'!$G$2:$G$3015,$B170)+SUMIFS('Web Feed'!$O$2:$O$3015,'Web Feed'!$B$2:$B$3015,Points!$A$3,'Web Feed'!$H$2:$H$3015,$B170)+SUMIFS('Web Feed'!$O$2:$O$3015,'Web Feed'!$B$2:$B$3015,Points!$A$3,'Web Feed'!$I$2:$I$3015,$B170))</f>
        <v/>
      </c>
      <c r="F170">
        <f>IF($B170="","",SUMIFS('Web Feed'!$O$2:$O$3015,'Web Feed'!$B$2:$B$3015,Points!$A$4,'Web Feed'!$F$2:$F$3015,$B170)+SUMIFS('Web Feed'!$O$2:$O$3015,'Web Feed'!$B$2:$B$3015,Points!$A$4,'Web Feed'!$G$2:$G$3015,$B170)+SUMIFS('Web Feed'!$O$2:$O$3015,'Web Feed'!$B$2:$B$3015,Points!$A$4,'Web Feed'!$H$2:$H$3015,$B170)+SUMIFS('Web Feed'!$O$2:$O$3015,'Web Feed'!$B$2:$B$3015,Points!$A$4,'Web Feed'!$I$2:$I$3015,$B170))</f>
        <v/>
      </c>
      <c r="G170">
        <f>IF($B170="","",SUMIFS('Web Feed'!$O$2:$O$3015,'Web Feed'!$B$2:$B$3015,Points!$A$5,'Web Feed'!$F$2:$F$3015,$B170)+SUMIFS('Web Feed'!$O$2:$O$3015,'Web Feed'!$B$2:$B$3015,Points!$A$5,'Web Feed'!$G$2:$G$3015,$B170)+SUMIFS('Web Feed'!$O$2:$O$3015,'Web Feed'!$B$2:$B$3015,Points!$A$5,'Web Feed'!$H$2:$H$3015,$B170)+SUMIFS('Web Feed'!$O$2:$O$3015,'Web Feed'!$B$2:$B$3015,Points!$A$5,'Web Feed'!$I$2:$I$3015,$B170))</f>
        <v/>
      </c>
      <c r="H170">
        <f>IF($B170="","",SUMIFS('Web Feed'!$O$2:$O$3015,'Web Feed'!$B$2:$B$3015,Points!$A$6,'Web Feed'!$F$2:$F$3015,$B170)+SUMIFS('Web Feed'!$O$2:$O$3015,'Web Feed'!$B$2:$B$3015,Points!$A$6,'Web Feed'!$G$2:$G$3015,$B170)+SUMIFS('Web Feed'!$O$2:$O$3015,'Web Feed'!$B$2:$B$3015,Points!$A$6,'Web Feed'!$H$2:$H$3015,$B170)+SUMIFS('Web Feed'!$O$2:$O$3015,'Web Feed'!$B$2:$B$3015,Points!$A$6,'Web Feed'!$I$2:$I$3015,$B170))</f>
        <v/>
      </c>
      <c r="I170">
        <f>IF($B170="","",COUNTIFS('Web Feed'!$B$2:$B$3015,"OHW",'Web Feed'!$F$2:$F$3015,$B170))</f>
        <v/>
      </c>
      <c r="J170">
        <f>IF($B170="","",IFERROR(INDEX('Last Week'!$A$2:$A$301,MATCH($B170,'Last Week'!$B$2:$B$301,0)),""))</f>
        <v/>
      </c>
      <c r="K170">
        <f>IF(OR($B170="",$J170=""),"",$J170-$A170)</f>
        <v/>
      </c>
    </row>
    <row r="171">
      <c r="A171">
        <f>IF($B171="","",RANK($C171,$C$2:$C$500))</f>
        <v/>
      </c>
      <c r="B171">
        <f>IF(Players!$A171="","",Players!$A171)</f>
        <v/>
      </c>
      <c r="C171" s="5">
        <f>IF($B171="","",SUM(D171:H171))</f>
        <v/>
      </c>
      <c r="D171">
        <f>IF($B171="","",SUMIFS('Web Feed'!$O$2:$O$3015,'Web Feed'!$B$2:$B$3015,Points!$A$2,'Web Feed'!$F$2:$F$3015,$B171)+SUMIFS('Web Feed'!$O$2:$O$3015,'Web Feed'!$B$2:$B$3015,Points!$A$2,'Web Feed'!$G$2:$G$3015,$B171)+SUMIFS('Web Feed'!$O$2:$O$3015,'Web Feed'!$B$2:$B$3015,Points!$A$2,'Web Feed'!$H$2:$H$3015,$B171)+SUMIFS('Web Feed'!$O$2:$O$3015,'Web Feed'!$B$2:$B$3015,Points!$A$2,'Web Feed'!$I$2:$I$3015,$B171))</f>
        <v/>
      </c>
      <c r="E171">
        <f>IF($B171="","",SUMIFS('Web Feed'!$O$2:$O$3015,'Web Feed'!$B$2:$B$3015,Points!$A$3,'Web Feed'!$F$2:$F$3015,$B171)+SUMIFS('Web Feed'!$O$2:$O$3015,'Web Feed'!$B$2:$B$3015,Points!$A$3,'Web Feed'!$G$2:$G$3015,$B171)+SUMIFS('Web Feed'!$O$2:$O$3015,'Web Feed'!$B$2:$B$3015,Points!$A$3,'Web Feed'!$H$2:$H$3015,$B171)+SUMIFS('Web Feed'!$O$2:$O$3015,'Web Feed'!$B$2:$B$3015,Points!$A$3,'Web Feed'!$I$2:$I$3015,$B171))</f>
        <v/>
      </c>
      <c r="F171">
        <f>IF($B171="","",SUMIFS('Web Feed'!$O$2:$O$3015,'Web Feed'!$B$2:$B$3015,Points!$A$4,'Web Feed'!$F$2:$F$3015,$B171)+SUMIFS('Web Feed'!$O$2:$O$3015,'Web Feed'!$B$2:$B$3015,Points!$A$4,'Web Feed'!$G$2:$G$3015,$B171)+SUMIFS('Web Feed'!$O$2:$O$3015,'Web Feed'!$B$2:$B$3015,Points!$A$4,'Web Feed'!$H$2:$H$3015,$B171)+SUMIFS('Web Feed'!$O$2:$O$3015,'Web Feed'!$B$2:$B$3015,Points!$A$4,'Web Feed'!$I$2:$I$3015,$B171))</f>
        <v/>
      </c>
      <c r="G171">
        <f>IF($B171="","",SUMIFS('Web Feed'!$O$2:$O$3015,'Web Feed'!$B$2:$B$3015,Points!$A$5,'Web Feed'!$F$2:$F$3015,$B171)+SUMIFS('Web Feed'!$O$2:$O$3015,'Web Feed'!$B$2:$B$3015,Points!$A$5,'Web Feed'!$G$2:$G$3015,$B171)+SUMIFS('Web Feed'!$O$2:$O$3015,'Web Feed'!$B$2:$B$3015,Points!$A$5,'Web Feed'!$H$2:$H$3015,$B171)+SUMIFS('Web Feed'!$O$2:$O$3015,'Web Feed'!$B$2:$B$3015,Points!$A$5,'Web Feed'!$I$2:$I$3015,$B171))</f>
        <v/>
      </c>
      <c r="H171">
        <f>IF($B171="","",SUMIFS('Web Feed'!$O$2:$O$3015,'Web Feed'!$B$2:$B$3015,Points!$A$6,'Web Feed'!$F$2:$F$3015,$B171)+SUMIFS('Web Feed'!$O$2:$O$3015,'Web Feed'!$B$2:$B$3015,Points!$A$6,'Web Feed'!$G$2:$G$3015,$B171)+SUMIFS('Web Feed'!$O$2:$O$3015,'Web Feed'!$B$2:$B$3015,Points!$A$6,'Web Feed'!$H$2:$H$3015,$B171)+SUMIFS('Web Feed'!$O$2:$O$3015,'Web Feed'!$B$2:$B$3015,Points!$A$6,'Web Feed'!$I$2:$I$3015,$B171))</f>
        <v/>
      </c>
      <c r="I171">
        <f>IF($B171="","",COUNTIFS('Web Feed'!$B$2:$B$3015,"OHW",'Web Feed'!$F$2:$F$3015,$B171))</f>
        <v/>
      </c>
      <c r="J171">
        <f>IF($B171="","",IFERROR(INDEX('Last Week'!$A$2:$A$301,MATCH($B171,'Last Week'!$B$2:$B$301,0)),""))</f>
        <v/>
      </c>
      <c r="K171">
        <f>IF(OR($B171="",$J171=""),"",$J171-$A171)</f>
        <v/>
      </c>
    </row>
    <row r="172">
      <c r="A172">
        <f>IF($B172="","",RANK($C172,$C$2:$C$500))</f>
        <v/>
      </c>
      <c r="B172">
        <f>IF(Players!$A172="","",Players!$A172)</f>
        <v/>
      </c>
      <c r="C172" s="5">
        <f>IF($B172="","",SUM(D172:H172))</f>
        <v/>
      </c>
      <c r="D172">
        <f>IF($B172="","",SUMIFS('Web Feed'!$O$2:$O$3015,'Web Feed'!$B$2:$B$3015,Points!$A$2,'Web Feed'!$F$2:$F$3015,$B172)+SUMIFS('Web Feed'!$O$2:$O$3015,'Web Feed'!$B$2:$B$3015,Points!$A$2,'Web Feed'!$G$2:$G$3015,$B172)+SUMIFS('Web Feed'!$O$2:$O$3015,'Web Feed'!$B$2:$B$3015,Points!$A$2,'Web Feed'!$H$2:$H$3015,$B172)+SUMIFS('Web Feed'!$O$2:$O$3015,'Web Feed'!$B$2:$B$3015,Points!$A$2,'Web Feed'!$I$2:$I$3015,$B172))</f>
        <v/>
      </c>
      <c r="E172">
        <f>IF($B172="","",SUMIFS('Web Feed'!$O$2:$O$3015,'Web Feed'!$B$2:$B$3015,Points!$A$3,'Web Feed'!$F$2:$F$3015,$B172)+SUMIFS('Web Feed'!$O$2:$O$3015,'Web Feed'!$B$2:$B$3015,Points!$A$3,'Web Feed'!$G$2:$G$3015,$B172)+SUMIFS('Web Feed'!$O$2:$O$3015,'Web Feed'!$B$2:$B$3015,Points!$A$3,'Web Feed'!$H$2:$H$3015,$B172)+SUMIFS('Web Feed'!$O$2:$O$3015,'Web Feed'!$B$2:$B$3015,Points!$A$3,'Web Feed'!$I$2:$I$3015,$B172))</f>
        <v/>
      </c>
      <c r="F172">
        <f>IF($B172="","",SUMIFS('Web Feed'!$O$2:$O$3015,'Web Feed'!$B$2:$B$3015,Points!$A$4,'Web Feed'!$F$2:$F$3015,$B172)+SUMIFS('Web Feed'!$O$2:$O$3015,'Web Feed'!$B$2:$B$3015,Points!$A$4,'Web Feed'!$G$2:$G$3015,$B172)+SUMIFS('Web Feed'!$O$2:$O$3015,'Web Feed'!$B$2:$B$3015,Points!$A$4,'Web Feed'!$H$2:$H$3015,$B172)+SUMIFS('Web Feed'!$O$2:$O$3015,'Web Feed'!$B$2:$B$3015,Points!$A$4,'Web Feed'!$I$2:$I$3015,$B172))</f>
        <v/>
      </c>
      <c r="G172">
        <f>IF($B172="","",SUMIFS('Web Feed'!$O$2:$O$3015,'Web Feed'!$B$2:$B$3015,Points!$A$5,'Web Feed'!$F$2:$F$3015,$B172)+SUMIFS('Web Feed'!$O$2:$O$3015,'Web Feed'!$B$2:$B$3015,Points!$A$5,'Web Feed'!$G$2:$G$3015,$B172)+SUMIFS('Web Feed'!$O$2:$O$3015,'Web Feed'!$B$2:$B$3015,Points!$A$5,'Web Feed'!$H$2:$H$3015,$B172)+SUMIFS('Web Feed'!$O$2:$O$3015,'Web Feed'!$B$2:$B$3015,Points!$A$5,'Web Feed'!$I$2:$I$3015,$B172))</f>
        <v/>
      </c>
      <c r="H172">
        <f>IF($B172="","",SUMIFS('Web Feed'!$O$2:$O$3015,'Web Feed'!$B$2:$B$3015,Points!$A$6,'Web Feed'!$F$2:$F$3015,$B172)+SUMIFS('Web Feed'!$O$2:$O$3015,'Web Feed'!$B$2:$B$3015,Points!$A$6,'Web Feed'!$G$2:$G$3015,$B172)+SUMIFS('Web Feed'!$O$2:$O$3015,'Web Feed'!$B$2:$B$3015,Points!$A$6,'Web Feed'!$H$2:$H$3015,$B172)+SUMIFS('Web Feed'!$O$2:$O$3015,'Web Feed'!$B$2:$B$3015,Points!$A$6,'Web Feed'!$I$2:$I$3015,$B172))</f>
        <v/>
      </c>
      <c r="I172">
        <f>IF($B172="","",COUNTIFS('Web Feed'!$B$2:$B$3015,"OHW",'Web Feed'!$F$2:$F$3015,$B172))</f>
        <v/>
      </c>
      <c r="J172">
        <f>IF($B172="","",IFERROR(INDEX('Last Week'!$A$2:$A$301,MATCH($B172,'Last Week'!$B$2:$B$301,0)),""))</f>
        <v/>
      </c>
      <c r="K172">
        <f>IF(OR($B172="",$J172=""),"",$J172-$A172)</f>
        <v/>
      </c>
    </row>
    <row r="173">
      <c r="A173">
        <f>IF($B173="","",RANK($C173,$C$2:$C$500))</f>
        <v/>
      </c>
      <c r="B173">
        <f>IF(Players!$A173="","",Players!$A173)</f>
        <v/>
      </c>
      <c r="C173" s="5">
        <f>IF($B173="","",SUM(D173:H173))</f>
        <v/>
      </c>
      <c r="D173">
        <f>IF($B173="","",SUMIFS('Web Feed'!$O$2:$O$3015,'Web Feed'!$B$2:$B$3015,Points!$A$2,'Web Feed'!$F$2:$F$3015,$B173)+SUMIFS('Web Feed'!$O$2:$O$3015,'Web Feed'!$B$2:$B$3015,Points!$A$2,'Web Feed'!$G$2:$G$3015,$B173)+SUMIFS('Web Feed'!$O$2:$O$3015,'Web Feed'!$B$2:$B$3015,Points!$A$2,'Web Feed'!$H$2:$H$3015,$B173)+SUMIFS('Web Feed'!$O$2:$O$3015,'Web Feed'!$B$2:$B$3015,Points!$A$2,'Web Feed'!$I$2:$I$3015,$B173))</f>
        <v/>
      </c>
      <c r="E173">
        <f>IF($B173="","",SUMIFS('Web Feed'!$O$2:$O$3015,'Web Feed'!$B$2:$B$3015,Points!$A$3,'Web Feed'!$F$2:$F$3015,$B173)+SUMIFS('Web Feed'!$O$2:$O$3015,'Web Feed'!$B$2:$B$3015,Points!$A$3,'Web Feed'!$G$2:$G$3015,$B173)+SUMIFS('Web Feed'!$O$2:$O$3015,'Web Feed'!$B$2:$B$3015,Points!$A$3,'Web Feed'!$H$2:$H$3015,$B173)+SUMIFS('Web Feed'!$O$2:$O$3015,'Web Feed'!$B$2:$B$3015,Points!$A$3,'Web Feed'!$I$2:$I$3015,$B173))</f>
        <v/>
      </c>
      <c r="F173">
        <f>IF($B173="","",SUMIFS('Web Feed'!$O$2:$O$3015,'Web Feed'!$B$2:$B$3015,Points!$A$4,'Web Feed'!$F$2:$F$3015,$B173)+SUMIFS('Web Feed'!$O$2:$O$3015,'Web Feed'!$B$2:$B$3015,Points!$A$4,'Web Feed'!$G$2:$G$3015,$B173)+SUMIFS('Web Feed'!$O$2:$O$3015,'Web Feed'!$B$2:$B$3015,Points!$A$4,'Web Feed'!$H$2:$H$3015,$B173)+SUMIFS('Web Feed'!$O$2:$O$3015,'Web Feed'!$B$2:$B$3015,Points!$A$4,'Web Feed'!$I$2:$I$3015,$B173))</f>
        <v/>
      </c>
      <c r="G173">
        <f>IF($B173="","",SUMIFS('Web Feed'!$O$2:$O$3015,'Web Feed'!$B$2:$B$3015,Points!$A$5,'Web Feed'!$F$2:$F$3015,$B173)+SUMIFS('Web Feed'!$O$2:$O$3015,'Web Feed'!$B$2:$B$3015,Points!$A$5,'Web Feed'!$G$2:$G$3015,$B173)+SUMIFS('Web Feed'!$O$2:$O$3015,'Web Feed'!$B$2:$B$3015,Points!$A$5,'Web Feed'!$H$2:$H$3015,$B173)+SUMIFS('Web Feed'!$O$2:$O$3015,'Web Feed'!$B$2:$B$3015,Points!$A$5,'Web Feed'!$I$2:$I$3015,$B173))</f>
        <v/>
      </c>
      <c r="H173">
        <f>IF($B173="","",SUMIFS('Web Feed'!$O$2:$O$3015,'Web Feed'!$B$2:$B$3015,Points!$A$6,'Web Feed'!$F$2:$F$3015,$B173)+SUMIFS('Web Feed'!$O$2:$O$3015,'Web Feed'!$B$2:$B$3015,Points!$A$6,'Web Feed'!$G$2:$G$3015,$B173)+SUMIFS('Web Feed'!$O$2:$O$3015,'Web Feed'!$B$2:$B$3015,Points!$A$6,'Web Feed'!$H$2:$H$3015,$B173)+SUMIFS('Web Feed'!$O$2:$O$3015,'Web Feed'!$B$2:$B$3015,Points!$A$6,'Web Feed'!$I$2:$I$3015,$B173))</f>
        <v/>
      </c>
      <c r="I173">
        <f>IF($B173="","",COUNTIFS('Web Feed'!$B$2:$B$3015,"OHW",'Web Feed'!$F$2:$F$3015,$B173))</f>
        <v/>
      </c>
      <c r="J173">
        <f>IF($B173="","",IFERROR(INDEX('Last Week'!$A$2:$A$301,MATCH($B173,'Last Week'!$B$2:$B$301,0)),""))</f>
        <v/>
      </c>
      <c r="K173">
        <f>IF(OR($B173="",$J173=""),"",$J173-$A173)</f>
        <v/>
      </c>
    </row>
    <row r="174">
      <c r="A174">
        <f>IF($B174="","",RANK($C174,$C$2:$C$500))</f>
        <v/>
      </c>
      <c r="B174">
        <f>IF(Players!$A174="","",Players!$A174)</f>
        <v/>
      </c>
      <c r="C174" s="5">
        <f>IF($B174="","",SUM(D174:H174))</f>
        <v/>
      </c>
      <c r="D174">
        <f>IF($B174="","",SUMIFS('Web Feed'!$O$2:$O$3015,'Web Feed'!$B$2:$B$3015,Points!$A$2,'Web Feed'!$F$2:$F$3015,$B174)+SUMIFS('Web Feed'!$O$2:$O$3015,'Web Feed'!$B$2:$B$3015,Points!$A$2,'Web Feed'!$G$2:$G$3015,$B174)+SUMIFS('Web Feed'!$O$2:$O$3015,'Web Feed'!$B$2:$B$3015,Points!$A$2,'Web Feed'!$H$2:$H$3015,$B174)+SUMIFS('Web Feed'!$O$2:$O$3015,'Web Feed'!$B$2:$B$3015,Points!$A$2,'Web Feed'!$I$2:$I$3015,$B174))</f>
        <v/>
      </c>
      <c r="E174">
        <f>IF($B174="","",SUMIFS('Web Feed'!$O$2:$O$3015,'Web Feed'!$B$2:$B$3015,Points!$A$3,'Web Feed'!$F$2:$F$3015,$B174)+SUMIFS('Web Feed'!$O$2:$O$3015,'Web Feed'!$B$2:$B$3015,Points!$A$3,'Web Feed'!$G$2:$G$3015,$B174)+SUMIFS('Web Feed'!$O$2:$O$3015,'Web Feed'!$B$2:$B$3015,Points!$A$3,'Web Feed'!$H$2:$H$3015,$B174)+SUMIFS('Web Feed'!$O$2:$O$3015,'Web Feed'!$B$2:$B$3015,Points!$A$3,'Web Feed'!$I$2:$I$3015,$B174))</f>
        <v/>
      </c>
      <c r="F174">
        <f>IF($B174="","",SUMIFS('Web Feed'!$O$2:$O$3015,'Web Feed'!$B$2:$B$3015,Points!$A$4,'Web Feed'!$F$2:$F$3015,$B174)+SUMIFS('Web Feed'!$O$2:$O$3015,'Web Feed'!$B$2:$B$3015,Points!$A$4,'Web Feed'!$G$2:$G$3015,$B174)+SUMIFS('Web Feed'!$O$2:$O$3015,'Web Feed'!$B$2:$B$3015,Points!$A$4,'Web Feed'!$H$2:$H$3015,$B174)+SUMIFS('Web Feed'!$O$2:$O$3015,'Web Feed'!$B$2:$B$3015,Points!$A$4,'Web Feed'!$I$2:$I$3015,$B174))</f>
        <v/>
      </c>
      <c r="G174">
        <f>IF($B174="","",SUMIFS('Web Feed'!$O$2:$O$3015,'Web Feed'!$B$2:$B$3015,Points!$A$5,'Web Feed'!$F$2:$F$3015,$B174)+SUMIFS('Web Feed'!$O$2:$O$3015,'Web Feed'!$B$2:$B$3015,Points!$A$5,'Web Feed'!$G$2:$G$3015,$B174)+SUMIFS('Web Feed'!$O$2:$O$3015,'Web Feed'!$B$2:$B$3015,Points!$A$5,'Web Feed'!$H$2:$H$3015,$B174)+SUMIFS('Web Feed'!$O$2:$O$3015,'Web Feed'!$B$2:$B$3015,Points!$A$5,'Web Feed'!$I$2:$I$3015,$B174))</f>
        <v/>
      </c>
      <c r="H174">
        <f>IF($B174="","",SUMIFS('Web Feed'!$O$2:$O$3015,'Web Feed'!$B$2:$B$3015,Points!$A$6,'Web Feed'!$F$2:$F$3015,$B174)+SUMIFS('Web Feed'!$O$2:$O$3015,'Web Feed'!$B$2:$B$3015,Points!$A$6,'Web Feed'!$G$2:$G$3015,$B174)+SUMIFS('Web Feed'!$O$2:$O$3015,'Web Feed'!$B$2:$B$3015,Points!$A$6,'Web Feed'!$H$2:$H$3015,$B174)+SUMIFS('Web Feed'!$O$2:$O$3015,'Web Feed'!$B$2:$B$3015,Points!$A$6,'Web Feed'!$I$2:$I$3015,$B174))</f>
        <v/>
      </c>
      <c r="I174">
        <f>IF($B174="","",COUNTIFS('Web Feed'!$B$2:$B$3015,"OHW",'Web Feed'!$F$2:$F$3015,$B174))</f>
        <v/>
      </c>
      <c r="J174">
        <f>IF($B174="","",IFERROR(INDEX('Last Week'!$A$2:$A$301,MATCH($B174,'Last Week'!$B$2:$B$301,0)),""))</f>
        <v/>
      </c>
      <c r="K174">
        <f>IF(OR($B174="",$J174=""),"",$J174-$A174)</f>
        <v/>
      </c>
    </row>
    <row r="175">
      <c r="A175">
        <f>IF($B175="","",RANK($C175,$C$2:$C$500))</f>
        <v/>
      </c>
      <c r="B175">
        <f>IF(Players!$A175="","",Players!$A175)</f>
        <v/>
      </c>
      <c r="C175" s="5">
        <f>IF($B175="","",SUM(D175:H175))</f>
        <v/>
      </c>
      <c r="D175">
        <f>IF($B175="","",SUMIFS('Web Feed'!$O$2:$O$3015,'Web Feed'!$B$2:$B$3015,Points!$A$2,'Web Feed'!$F$2:$F$3015,$B175)+SUMIFS('Web Feed'!$O$2:$O$3015,'Web Feed'!$B$2:$B$3015,Points!$A$2,'Web Feed'!$G$2:$G$3015,$B175)+SUMIFS('Web Feed'!$O$2:$O$3015,'Web Feed'!$B$2:$B$3015,Points!$A$2,'Web Feed'!$H$2:$H$3015,$B175)+SUMIFS('Web Feed'!$O$2:$O$3015,'Web Feed'!$B$2:$B$3015,Points!$A$2,'Web Feed'!$I$2:$I$3015,$B175))</f>
        <v/>
      </c>
      <c r="E175">
        <f>IF($B175="","",SUMIFS('Web Feed'!$O$2:$O$3015,'Web Feed'!$B$2:$B$3015,Points!$A$3,'Web Feed'!$F$2:$F$3015,$B175)+SUMIFS('Web Feed'!$O$2:$O$3015,'Web Feed'!$B$2:$B$3015,Points!$A$3,'Web Feed'!$G$2:$G$3015,$B175)+SUMIFS('Web Feed'!$O$2:$O$3015,'Web Feed'!$B$2:$B$3015,Points!$A$3,'Web Feed'!$H$2:$H$3015,$B175)+SUMIFS('Web Feed'!$O$2:$O$3015,'Web Feed'!$B$2:$B$3015,Points!$A$3,'Web Feed'!$I$2:$I$3015,$B175))</f>
        <v/>
      </c>
      <c r="F175">
        <f>IF($B175="","",SUMIFS('Web Feed'!$O$2:$O$3015,'Web Feed'!$B$2:$B$3015,Points!$A$4,'Web Feed'!$F$2:$F$3015,$B175)+SUMIFS('Web Feed'!$O$2:$O$3015,'Web Feed'!$B$2:$B$3015,Points!$A$4,'Web Feed'!$G$2:$G$3015,$B175)+SUMIFS('Web Feed'!$O$2:$O$3015,'Web Feed'!$B$2:$B$3015,Points!$A$4,'Web Feed'!$H$2:$H$3015,$B175)+SUMIFS('Web Feed'!$O$2:$O$3015,'Web Feed'!$B$2:$B$3015,Points!$A$4,'Web Feed'!$I$2:$I$3015,$B175))</f>
        <v/>
      </c>
      <c r="G175">
        <f>IF($B175="","",SUMIFS('Web Feed'!$O$2:$O$3015,'Web Feed'!$B$2:$B$3015,Points!$A$5,'Web Feed'!$F$2:$F$3015,$B175)+SUMIFS('Web Feed'!$O$2:$O$3015,'Web Feed'!$B$2:$B$3015,Points!$A$5,'Web Feed'!$G$2:$G$3015,$B175)+SUMIFS('Web Feed'!$O$2:$O$3015,'Web Feed'!$B$2:$B$3015,Points!$A$5,'Web Feed'!$H$2:$H$3015,$B175)+SUMIFS('Web Feed'!$O$2:$O$3015,'Web Feed'!$B$2:$B$3015,Points!$A$5,'Web Feed'!$I$2:$I$3015,$B175))</f>
        <v/>
      </c>
      <c r="H175">
        <f>IF($B175="","",SUMIFS('Web Feed'!$O$2:$O$3015,'Web Feed'!$B$2:$B$3015,Points!$A$6,'Web Feed'!$F$2:$F$3015,$B175)+SUMIFS('Web Feed'!$O$2:$O$3015,'Web Feed'!$B$2:$B$3015,Points!$A$6,'Web Feed'!$G$2:$G$3015,$B175)+SUMIFS('Web Feed'!$O$2:$O$3015,'Web Feed'!$B$2:$B$3015,Points!$A$6,'Web Feed'!$H$2:$H$3015,$B175)+SUMIFS('Web Feed'!$O$2:$O$3015,'Web Feed'!$B$2:$B$3015,Points!$A$6,'Web Feed'!$I$2:$I$3015,$B175))</f>
        <v/>
      </c>
      <c r="I175">
        <f>IF($B175="","",COUNTIFS('Web Feed'!$B$2:$B$3015,"OHW",'Web Feed'!$F$2:$F$3015,$B175))</f>
        <v/>
      </c>
      <c r="J175">
        <f>IF($B175="","",IFERROR(INDEX('Last Week'!$A$2:$A$301,MATCH($B175,'Last Week'!$B$2:$B$301,0)),""))</f>
        <v/>
      </c>
      <c r="K175">
        <f>IF(OR($B175="",$J175=""),"",$J175-$A175)</f>
        <v/>
      </c>
    </row>
    <row r="176">
      <c r="A176">
        <f>IF($B176="","",RANK($C176,$C$2:$C$500))</f>
        <v/>
      </c>
      <c r="B176">
        <f>IF(Players!$A176="","",Players!$A176)</f>
        <v/>
      </c>
      <c r="C176" s="5">
        <f>IF($B176="","",SUM(D176:H176))</f>
        <v/>
      </c>
      <c r="D176">
        <f>IF($B176="","",SUMIFS('Web Feed'!$O$2:$O$3015,'Web Feed'!$B$2:$B$3015,Points!$A$2,'Web Feed'!$F$2:$F$3015,$B176)+SUMIFS('Web Feed'!$O$2:$O$3015,'Web Feed'!$B$2:$B$3015,Points!$A$2,'Web Feed'!$G$2:$G$3015,$B176)+SUMIFS('Web Feed'!$O$2:$O$3015,'Web Feed'!$B$2:$B$3015,Points!$A$2,'Web Feed'!$H$2:$H$3015,$B176)+SUMIFS('Web Feed'!$O$2:$O$3015,'Web Feed'!$B$2:$B$3015,Points!$A$2,'Web Feed'!$I$2:$I$3015,$B176))</f>
        <v/>
      </c>
      <c r="E176">
        <f>IF($B176="","",SUMIFS('Web Feed'!$O$2:$O$3015,'Web Feed'!$B$2:$B$3015,Points!$A$3,'Web Feed'!$F$2:$F$3015,$B176)+SUMIFS('Web Feed'!$O$2:$O$3015,'Web Feed'!$B$2:$B$3015,Points!$A$3,'Web Feed'!$G$2:$G$3015,$B176)+SUMIFS('Web Feed'!$O$2:$O$3015,'Web Feed'!$B$2:$B$3015,Points!$A$3,'Web Feed'!$H$2:$H$3015,$B176)+SUMIFS('Web Feed'!$O$2:$O$3015,'Web Feed'!$B$2:$B$3015,Points!$A$3,'Web Feed'!$I$2:$I$3015,$B176))</f>
        <v/>
      </c>
      <c r="F176">
        <f>IF($B176="","",SUMIFS('Web Feed'!$O$2:$O$3015,'Web Feed'!$B$2:$B$3015,Points!$A$4,'Web Feed'!$F$2:$F$3015,$B176)+SUMIFS('Web Feed'!$O$2:$O$3015,'Web Feed'!$B$2:$B$3015,Points!$A$4,'Web Feed'!$G$2:$G$3015,$B176)+SUMIFS('Web Feed'!$O$2:$O$3015,'Web Feed'!$B$2:$B$3015,Points!$A$4,'Web Feed'!$H$2:$H$3015,$B176)+SUMIFS('Web Feed'!$O$2:$O$3015,'Web Feed'!$B$2:$B$3015,Points!$A$4,'Web Feed'!$I$2:$I$3015,$B176))</f>
        <v/>
      </c>
      <c r="G176">
        <f>IF($B176="","",SUMIFS('Web Feed'!$O$2:$O$3015,'Web Feed'!$B$2:$B$3015,Points!$A$5,'Web Feed'!$F$2:$F$3015,$B176)+SUMIFS('Web Feed'!$O$2:$O$3015,'Web Feed'!$B$2:$B$3015,Points!$A$5,'Web Feed'!$G$2:$G$3015,$B176)+SUMIFS('Web Feed'!$O$2:$O$3015,'Web Feed'!$B$2:$B$3015,Points!$A$5,'Web Feed'!$H$2:$H$3015,$B176)+SUMIFS('Web Feed'!$O$2:$O$3015,'Web Feed'!$B$2:$B$3015,Points!$A$5,'Web Feed'!$I$2:$I$3015,$B176))</f>
        <v/>
      </c>
      <c r="H176">
        <f>IF($B176="","",SUMIFS('Web Feed'!$O$2:$O$3015,'Web Feed'!$B$2:$B$3015,Points!$A$6,'Web Feed'!$F$2:$F$3015,$B176)+SUMIFS('Web Feed'!$O$2:$O$3015,'Web Feed'!$B$2:$B$3015,Points!$A$6,'Web Feed'!$G$2:$G$3015,$B176)+SUMIFS('Web Feed'!$O$2:$O$3015,'Web Feed'!$B$2:$B$3015,Points!$A$6,'Web Feed'!$H$2:$H$3015,$B176)+SUMIFS('Web Feed'!$O$2:$O$3015,'Web Feed'!$B$2:$B$3015,Points!$A$6,'Web Feed'!$I$2:$I$3015,$B176))</f>
        <v/>
      </c>
      <c r="I176">
        <f>IF($B176="","",COUNTIFS('Web Feed'!$B$2:$B$3015,"OHW",'Web Feed'!$F$2:$F$3015,$B176))</f>
        <v/>
      </c>
      <c r="J176">
        <f>IF($B176="","",IFERROR(INDEX('Last Week'!$A$2:$A$301,MATCH($B176,'Last Week'!$B$2:$B$301,0)),""))</f>
        <v/>
      </c>
      <c r="K176">
        <f>IF(OR($B176="",$J176=""),"",$J176-$A176)</f>
        <v/>
      </c>
    </row>
    <row r="177">
      <c r="A177">
        <f>IF($B177="","",RANK($C177,$C$2:$C$500))</f>
        <v/>
      </c>
      <c r="B177">
        <f>IF(Players!$A177="","",Players!$A177)</f>
        <v/>
      </c>
      <c r="C177" s="5">
        <f>IF($B177="","",SUM(D177:H177))</f>
        <v/>
      </c>
      <c r="D177">
        <f>IF($B177="","",SUMIFS('Web Feed'!$O$2:$O$3015,'Web Feed'!$B$2:$B$3015,Points!$A$2,'Web Feed'!$F$2:$F$3015,$B177)+SUMIFS('Web Feed'!$O$2:$O$3015,'Web Feed'!$B$2:$B$3015,Points!$A$2,'Web Feed'!$G$2:$G$3015,$B177)+SUMIFS('Web Feed'!$O$2:$O$3015,'Web Feed'!$B$2:$B$3015,Points!$A$2,'Web Feed'!$H$2:$H$3015,$B177)+SUMIFS('Web Feed'!$O$2:$O$3015,'Web Feed'!$B$2:$B$3015,Points!$A$2,'Web Feed'!$I$2:$I$3015,$B177))</f>
        <v/>
      </c>
      <c r="E177">
        <f>IF($B177="","",SUMIFS('Web Feed'!$O$2:$O$3015,'Web Feed'!$B$2:$B$3015,Points!$A$3,'Web Feed'!$F$2:$F$3015,$B177)+SUMIFS('Web Feed'!$O$2:$O$3015,'Web Feed'!$B$2:$B$3015,Points!$A$3,'Web Feed'!$G$2:$G$3015,$B177)+SUMIFS('Web Feed'!$O$2:$O$3015,'Web Feed'!$B$2:$B$3015,Points!$A$3,'Web Feed'!$H$2:$H$3015,$B177)+SUMIFS('Web Feed'!$O$2:$O$3015,'Web Feed'!$B$2:$B$3015,Points!$A$3,'Web Feed'!$I$2:$I$3015,$B177))</f>
        <v/>
      </c>
      <c r="F177">
        <f>IF($B177="","",SUMIFS('Web Feed'!$O$2:$O$3015,'Web Feed'!$B$2:$B$3015,Points!$A$4,'Web Feed'!$F$2:$F$3015,$B177)+SUMIFS('Web Feed'!$O$2:$O$3015,'Web Feed'!$B$2:$B$3015,Points!$A$4,'Web Feed'!$G$2:$G$3015,$B177)+SUMIFS('Web Feed'!$O$2:$O$3015,'Web Feed'!$B$2:$B$3015,Points!$A$4,'Web Feed'!$H$2:$H$3015,$B177)+SUMIFS('Web Feed'!$O$2:$O$3015,'Web Feed'!$B$2:$B$3015,Points!$A$4,'Web Feed'!$I$2:$I$3015,$B177))</f>
        <v/>
      </c>
      <c r="G177">
        <f>IF($B177="","",SUMIFS('Web Feed'!$O$2:$O$3015,'Web Feed'!$B$2:$B$3015,Points!$A$5,'Web Feed'!$F$2:$F$3015,$B177)+SUMIFS('Web Feed'!$O$2:$O$3015,'Web Feed'!$B$2:$B$3015,Points!$A$5,'Web Feed'!$G$2:$G$3015,$B177)+SUMIFS('Web Feed'!$O$2:$O$3015,'Web Feed'!$B$2:$B$3015,Points!$A$5,'Web Feed'!$H$2:$H$3015,$B177)+SUMIFS('Web Feed'!$O$2:$O$3015,'Web Feed'!$B$2:$B$3015,Points!$A$5,'Web Feed'!$I$2:$I$3015,$B177))</f>
        <v/>
      </c>
      <c r="H177">
        <f>IF($B177="","",SUMIFS('Web Feed'!$O$2:$O$3015,'Web Feed'!$B$2:$B$3015,Points!$A$6,'Web Feed'!$F$2:$F$3015,$B177)+SUMIFS('Web Feed'!$O$2:$O$3015,'Web Feed'!$B$2:$B$3015,Points!$A$6,'Web Feed'!$G$2:$G$3015,$B177)+SUMIFS('Web Feed'!$O$2:$O$3015,'Web Feed'!$B$2:$B$3015,Points!$A$6,'Web Feed'!$H$2:$H$3015,$B177)+SUMIFS('Web Feed'!$O$2:$O$3015,'Web Feed'!$B$2:$B$3015,Points!$A$6,'Web Feed'!$I$2:$I$3015,$B177))</f>
        <v/>
      </c>
      <c r="I177">
        <f>IF($B177="","",COUNTIFS('Web Feed'!$B$2:$B$3015,"OHW",'Web Feed'!$F$2:$F$3015,$B177))</f>
        <v/>
      </c>
      <c r="J177">
        <f>IF($B177="","",IFERROR(INDEX('Last Week'!$A$2:$A$301,MATCH($B177,'Last Week'!$B$2:$B$301,0)),""))</f>
        <v/>
      </c>
      <c r="K177">
        <f>IF(OR($B177="",$J177=""),"",$J177-$A177)</f>
        <v/>
      </c>
    </row>
    <row r="178">
      <c r="A178">
        <f>IF($B178="","",RANK($C178,$C$2:$C$500))</f>
        <v/>
      </c>
      <c r="B178">
        <f>IF(Players!$A178="","",Players!$A178)</f>
        <v/>
      </c>
      <c r="C178" s="5">
        <f>IF($B178="","",SUM(D178:H178))</f>
        <v/>
      </c>
      <c r="D178">
        <f>IF($B178="","",SUMIFS('Web Feed'!$O$2:$O$3015,'Web Feed'!$B$2:$B$3015,Points!$A$2,'Web Feed'!$F$2:$F$3015,$B178)+SUMIFS('Web Feed'!$O$2:$O$3015,'Web Feed'!$B$2:$B$3015,Points!$A$2,'Web Feed'!$G$2:$G$3015,$B178)+SUMIFS('Web Feed'!$O$2:$O$3015,'Web Feed'!$B$2:$B$3015,Points!$A$2,'Web Feed'!$H$2:$H$3015,$B178)+SUMIFS('Web Feed'!$O$2:$O$3015,'Web Feed'!$B$2:$B$3015,Points!$A$2,'Web Feed'!$I$2:$I$3015,$B178))</f>
        <v/>
      </c>
      <c r="E178">
        <f>IF($B178="","",SUMIFS('Web Feed'!$O$2:$O$3015,'Web Feed'!$B$2:$B$3015,Points!$A$3,'Web Feed'!$F$2:$F$3015,$B178)+SUMIFS('Web Feed'!$O$2:$O$3015,'Web Feed'!$B$2:$B$3015,Points!$A$3,'Web Feed'!$G$2:$G$3015,$B178)+SUMIFS('Web Feed'!$O$2:$O$3015,'Web Feed'!$B$2:$B$3015,Points!$A$3,'Web Feed'!$H$2:$H$3015,$B178)+SUMIFS('Web Feed'!$O$2:$O$3015,'Web Feed'!$B$2:$B$3015,Points!$A$3,'Web Feed'!$I$2:$I$3015,$B178))</f>
        <v/>
      </c>
      <c r="F178">
        <f>IF($B178="","",SUMIFS('Web Feed'!$O$2:$O$3015,'Web Feed'!$B$2:$B$3015,Points!$A$4,'Web Feed'!$F$2:$F$3015,$B178)+SUMIFS('Web Feed'!$O$2:$O$3015,'Web Feed'!$B$2:$B$3015,Points!$A$4,'Web Feed'!$G$2:$G$3015,$B178)+SUMIFS('Web Feed'!$O$2:$O$3015,'Web Feed'!$B$2:$B$3015,Points!$A$4,'Web Feed'!$H$2:$H$3015,$B178)+SUMIFS('Web Feed'!$O$2:$O$3015,'Web Feed'!$B$2:$B$3015,Points!$A$4,'Web Feed'!$I$2:$I$3015,$B178))</f>
        <v/>
      </c>
      <c r="G178">
        <f>IF($B178="","",SUMIFS('Web Feed'!$O$2:$O$3015,'Web Feed'!$B$2:$B$3015,Points!$A$5,'Web Feed'!$F$2:$F$3015,$B178)+SUMIFS('Web Feed'!$O$2:$O$3015,'Web Feed'!$B$2:$B$3015,Points!$A$5,'Web Feed'!$G$2:$G$3015,$B178)+SUMIFS('Web Feed'!$O$2:$O$3015,'Web Feed'!$B$2:$B$3015,Points!$A$5,'Web Feed'!$H$2:$H$3015,$B178)+SUMIFS('Web Feed'!$O$2:$O$3015,'Web Feed'!$B$2:$B$3015,Points!$A$5,'Web Feed'!$I$2:$I$3015,$B178))</f>
        <v/>
      </c>
      <c r="H178">
        <f>IF($B178="","",SUMIFS('Web Feed'!$O$2:$O$3015,'Web Feed'!$B$2:$B$3015,Points!$A$6,'Web Feed'!$F$2:$F$3015,$B178)+SUMIFS('Web Feed'!$O$2:$O$3015,'Web Feed'!$B$2:$B$3015,Points!$A$6,'Web Feed'!$G$2:$G$3015,$B178)+SUMIFS('Web Feed'!$O$2:$O$3015,'Web Feed'!$B$2:$B$3015,Points!$A$6,'Web Feed'!$H$2:$H$3015,$B178)+SUMIFS('Web Feed'!$O$2:$O$3015,'Web Feed'!$B$2:$B$3015,Points!$A$6,'Web Feed'!$I$2:$I$3015,$B178))</f>
        <v/>
      </c>
      <c r="I178">
        <f>IF($B178="","",COUNTIFS('Web Feed'!$B$2:$B$3015,"OHW",'Web Feed'!$F$2:$F$3015,$B178))</f>
        <v/>
      </c>
      <c r="J178">
        <f>IF($B178="","",IFERROR(INDEX('Last Week'!$A$2:$A$301,MATCH($B178,'Last Week'!$B$2:$B$301,0)),""))</f>
        <v/>
      </c>
      <c r="K178">
        <f>IF(OR($B178="",$J178=""),"",$J178-$A178)</f>
        <v/>
      </c>
    </row>
    <row r="179">
      <c r="A179">
        <f>IF($B179="","",RANK($C179,$C$2:$C$500))</f>
        <v/>
      </c>
      <c r="B179">
        <f>IF(Players!$A179="","",Players!$A179)</f>
        <v/>
      </c>
      <c r="C179" s="5">
        <f>IF($B179="","",SUM(D179:H179))</f>
        <v/>
      </c>
      <c r="D179">
        <f>IF($B179="","",SUMIFS('Web Feed'!$O$2:$O$3015,'Web Feed'!$B$2:$B$3015,Points!$A$2,'Web Feed'!$F$2:$F$3015,$B179)+SUMIFS('Web Feed'!$O$2:$O$3015,'Web Feed'!$B$2:$B$3015,Points!$A$2,'Web Feed'!$G$2:$G$3015,$B179)+SUMIFS('Web Feed'!$O$2:$O$3015,'Web Feed'!$B$2:$B$3015,Points!$A$2,'Web Feed'!$H$2:$H$3015,$B179)+SUMIFS('Web Feed'!$O$2:$O$3015,'Web Feed'!$B$2:$B$3015,Points!$A$2,'Web Feed'!$I$2:$I$3015,$B179))</f>
        <v/>
      </c>
      <c r="E179">
        <f>IF($B179="","",SUMIFS('Web Feed'!$O$2:$O$3015,'Web Feed'!$B$2:$B$3015,Points!$A$3,'Web Feed'!$F$2:$F$3015,$B179)+SUMIFS('Web Feed'!$O$2:$O$3015,'Web Feed'!$B$2:$B$3015,Points!$A$3,'Web Feed'!$G$2:$G$3015,$B179)+SUMIFS('Web Feed'!$O$2:$O$3015,'Web Feed'!$B$2:$B$3015,Points!$A$3,'Web Feed'!$H$2:$H$3015,$B179)+SUMIFS('Web Feed'!$O$2:$O$3015,'Web Feed'!$B$2:$B$3015,Points!$A$3,'Web Feed'!$I$2:$I$3015,$B179))</f>
        <v/>
      </c>
      <c r="F179">
        <f>IF($B179="","",SUMIFS('Web Feed'!$O$2:$O$3015,'Web Feed'!$B$2:$B$3015,Points!$A$4,'Web Feed'!$F$2:$F$3015,$B179)+SUMIFS('Web Feed'!$O$2:$O$3015,'Web Feed'!$B$2:$B$3015,Points!$A$4,'Web Feed'!$G$2:$G$3015,$B179)+SUMIFS('Web Feed'!$O$2:$O$3015,'Web Feed'!$B$2:$B$3015,Points!$A$4,'Web Feed'!$H$2:$H$3015,$B179)+SUMIFS('Web Feed'!$O$2:$O$3015,'Web Feed'!$B$2:$B$3015,Points!$A$4,'Web Feed'!$I$2:$I$3015,$B179))</f>
        <v/>
      </c>
      <c r="G179">
        <f>IF($B179="","",SUMIFS('Web Feed'!$O$2:$O$3015,'Web Feed'!$B$2:$B$3015,Points!$A$5,'Web Feed'!$F$2:$F$3015,$B179)+SUMIFS('Web Feed'!$O$2:$O$3015,'Web Feed'!$B$2:$B$3015,Points!$A$5,'Web Feed'!$G$2:$G$3015,$B179)+SUMIFS('Web Feed'!$O$2:$O$3015,'Web Feed'!$B$2:$B$3015,Points!$A$5,'Web Feed'!$H$2:$H$3015,$B179)+SUMIFS('Web Feed'!$O$2:$O$3015,'Web Feed'!$B$2:$B$3015,Points!$A$5,'Web Feed'!$I$2:$I$3015,$B179))</f>
        <v/>
      </c>
      <c r="H179">
        <f>IF($B179="","",SUMIFS('Web Feed'!$O$2:$O$3015,'Web Feed'!$B$2:$B$3015,Points!$A$6,'Web Feed'!$F$2:$F$3015,$B179)+SUMIFS('Web Feed'!$O$2:$O$3015,'Web Feed'!$B$2:$B$3015,Points!$A$6,'Web Feed'!$G$2:$G$3015,$B179)+SUMIFS('Web Feed'!$O$2:$O$3015,'Web Feed'!$B$2:$B$3015,Points!$A$6,'Web Feed'!$H$2:$H$3015,$B179)+SUMIFS('Web Feed'!$O$2:$O$3015,'Web Feed'!$B$2:$B$3015,Points!$A$6,'Web Feed'!$I$2:$I$3015,$B179))</f>
        <v/>
      </c>
      <c r="I179">
        <f>IF($B179="","",COUNTIFS('Web Feed'!$B$2:$B$3015,"OHW",'Web Feed'!$F$2:$F$3015,$B179))</f>
        <v/>
      </c>
      <c r="J179">
        <f>IF($B179="","",IFERROR(INDEX('Last Week'!$A$2:$A$301,MATCH($B179,'Last Week'!$B$2:$B$301,0)),""))</f>
        <v/>
      </c>
      <c r="K179">
        <f>IF(OR($B179="",$J179=""),"",$J179-$A179)</f>
        <v/>
      </c>
    </row>
    <row r="180">
      <c r="A180">
        <f>IF($B180="","",RANK($C180,$C$2:$C$500))</f>
        <v/>
      </c>
      <c r="B180">
        <f>IF(Players!$A180="","",Players!$A180)</f>
        <v/>
      </c>
      <c r="C180" s="5">
        <f>IF($B180="","",SUM(D180:H180))</f>
        <v/>
      </c>
      <c r="D180">
        <f>IF($B180="","",SUMIFS('Web Feed'!$O$2:$O$3015,'Web Feed'!$B$2:$B$3015,Points!$A$2,'Web Feed'!$F$2:$F$3015,$B180)+SUMIFS('Web Feed'!$O$2:$O$3015,'Web Feed'!$B$2:$B$3015,Points!$A$2,'Web Feed'!$G$2:$G$3015,$B180)+SUMIFS('Web Feed'!$O$2:$O$3015,'Web Feed'!$B$2:$B$3015,Points!$A$2,'Web Feed'!$H$2:$H$3015,$B180)+SUMIFS('Web Feed'!$O$2:$O$3015,'Web Feed'!$B$2:$B$3015,Points!$A$2,'Web Feed'!$I$2:$I$3015,$B180))</f>
        <v/>
      </c>
      <c r="E180">
        <f>IF($B180="","",SUMIFS('Web Feed'!$O$2:$O$3015,'Web Feed'!$B$2:$B$3015,Points!$A$3,'Web Feed'!$F$2:$F$3015,$B180)+SUMIFS('Web Feed'!$O$2:$O$3015,'Web Feed'!$B$2:$B$3015,Points!$A$3,'Web Feed'!$G$2:$G$3015,$B180)+SUMIFS('Web Feed'!$O$2:$O$3015,'Web Feed'!$B$2:$B$3015,Points!$A$3,'Web Feed'!$H$2:$H$3015,$B180)+SUMIFS('Web Feed'!$O$2:$O$3015,'Web Feed'!$B$2:$B$3015,Points!$A$3,'Web Feed'!$I$2:$I$3015,$B180))</f>
        <v/>
      </c>
      <c r="F180">
        <f>IF($B180="","",SUMIFS('Web Feed'!$O$2:$O$3015,'Web Feed'!$B$2:$B$3015,Points!$A$4,'Web Feed'!$F$2:$F$3015,$B180)+SUMIFS('Web Feed'!$O$2:$O$3015,'Web Feed'!$B$2:$B$3015,Points!$A$4,'Web Feed'!$G$2:$G$3015,$B180)+SUMIFS('Web Feed'!$O$2:$O$3015,'Web Feed'!$B$2:$B$3015,Points!$A$4,'Web Feed'!$H$2:$H$3015,$B180)+SUMIFS('Web Feed'!$O$2:$O$3015,'Web Feed'!$B$2:$B$3015,Points!$A$4,'Web Feed'!$I$2:$I$3015,$B180))</f>
        <v/>
      </c>
      <c r="G180">
        <f>IF($B180="","",SUMIFS('Web Feed'!$O$2:$O$3015,'Web Feed'!$B$2:$B$3015,Points!$A$5,'Web Feed'!$F$2:$F$3015,$B180)+SUMIFS('Web Feed'!$O$2:$O$3015,'Web Feed'!$B$2:$B$3015,Points!$A$5,'Web Feed'!$G$2:$G$3015,$B180)+SUMIFS('Web Feed'!$O$2:$O$3015,'Web Feed'!$B$2:$B$3015,Points!$A$5,'Web Feed'!$H$2:$H$3015,$B180)+SUMIFS('Web Feed'!$O$2:$O$3015,'Web Feed'!$B$2:$B$3015,Points!$A$5,'Web Feed'!$I$2:$I$3015,$B180))</f>
        <v/>
      </c>
      <c r="H180">
        <f>IF($B180="","",SUMIFS('Web Feed'!$O$2:$O$3015,'Web Feed'!$B$2:$B$3015,Points!$A$6,'Web Feed'!$F$2:$F$3015,$B180)+SUMIFS('Web Feed'!$O$2:$O$3015,'Web Feed'!$B$2:$B$3015,Points!$A$6,'Web Feed'!$G$2:$G$3015,$B180)+SUMIFS('Web Feed'!$O$2:$O$3015,'Web Feed'!$B$2:$B$3015,Points!$A$6,'Web Feed'!$H$2:$H$3015,$B180)+SUMIFS('Web Feed'!$O$2:$O$3015,'Web Feed'!$B$2:$B$3015,Points!$A$6,'Web Feed'!$I$2:$I$3015,$B180))</f>
        <v/>
      </c>
      <c r="I180">
        <f>IF($B180="","",COUNTIFS('Web Feed'!$B$2:$B$3015,"OHW",'Web Feed'!$F$2:$F$3015,$B180))</f>
        <v/>
      </c>
      <c r="J180">
        <f>IF($B180="","",IFERROR(INDEX('Last Week'!$A$2:$A$301,MATCH($B180,'Last Week'!$B$2:$B$301,0)),""))</f>
        <v/>
      </c>
      <c r="K180">
        <f>IF(OR($B180="",$J180=""),"",$J180-$A180)</f>
        <v/>
      </c>
    </row>
    <row r="181">
      <c r="A181">
        <f>IF($B181="","",RANK($C181,$C$2:$C$500))</f>
        <v/>
      </c>
      <c r="B181">
        <f>IF(Players!$A181="","",Players!$A181)</f>
        <v/>
      </c>
      <c r="C181" s="5">
        <f>IF($B181="","",SUM(D181:H181))</f>
        <v/>
      </c>
      <c r="D181">
        <f>IF($B181="","",SUMIFS('Web Feed'!$O$2:$O$3015,'Web Feed'!$B$2:$B$3015,Points!$A$2,'Web Feed'!$F$2:$F$3015,$B181)+SUMIFS('Web Feed'!$O$2:$O$3015,'Web Feed'!$B$2:$B$3015,Points!$A$2,'Web Feed'!$G$2:$G$3015,$B181)+SUMIFS('Web Feed'!$O$2:$O$3015,'Web Feed'!$B$2:$B$3015,Points!$A$2,'Web Feed'!$H$2:$H$3015,$B181)+SUMIFS('Web Feed'!$O$2:$O$3015,'Web Feed'!$B$2:$B$3015,Points!$A$2,'Web Feed'!$I$2:$I$3015,$B181))</f>
        <v/>
      </c>
      <c r="E181">
        <f>IF($B181="","",SUMIFS('Web Feed'!$O$2:$O$3015,'Web Feed'!$B$2:$B$3015,Points!$A$3,'Web Feed'!$F$2:$F$3015,$B181)+SUMIFS('Web Feed'!$O$2:$O$3015,'Web Feed'!$B$2:$B$3015,Points!$A$3,'Web Feed'!$G$2:$G$3015,$B181)+SUMIFS('Web Feed'!$O$2:$O$3015,'Web Feed'!$B$2:$B$3015,Points!$A$3,'Web Feed'!$H$2:$H$3015,$B181)+SUMIFS('Web Feed'!$O$2:$O$3015,'Web Feed'!$B$2:$B$3015,Points!$A$3,'Web Feed'!$I$2:$I$3015,$B181))</f>
        <v/>
      </c>
      <c r="F181">
        <f>IF($B181="","",SUMIFS('Web Feed'!$O$2:$O$3015,'Web Feed'!$B$2:$B$3015,Points!$A$4,'Web Feed'!$F$2:$F$3015,$B181)+SUMIFS('Web Feed'!$O$2:$O$3015,'Web Feed'!$B$2:$B$3015,Points!$A$4,'Web Feed'!$G$2:$G$3015,$B181)+SUMIFS('Web Feed'!$O$2:$O$3015,'Web Feed'!$B$2:$B$3015,Points!$A$4,'Web Feed'!$H$2:$H$3015,$B181)+SUMIFS('Web Feed'!$O$2:$O$3015,'Web Feed'!$B$2:$B$3015,Points!$A$4,'Web Feed'!$I$2:$I$3015,$B181))</f>
        <v/>
      </c>
      <c r="G181">
        <f>IF($B181="","",SUMIFS('Web Feed'!$O$2:$O$3015,'Web Feed'!$B$2:$B$3015,Points!$A$5,'Web Feed'!$F$2:$F$3015,$B181)+SUMIFS('Web Feed'!$O$2:$O$3015,'Web Feed'!$B$2:$B$3015,Points!$A$5,'Web Feed'!$G$2:$G$3015,$B181)+SUMIFS('Web Feed'!$O$2:$O$3015,'Web Feed'!$B$2:$B$3015,Points!$A$5,'Web Feed'!$H$2:$H$3015,$B181)+SUMIFS('Web Feed'!$O$2:$O$3015,'Web Feed'!$B$2:$B$3015,Points!$A$5,'Web Feed'!$I$2:$I$3015,$B181))</f>
        <v/>
      </c>
      <c r="H181">
        <f>IF($B181="","",SUMIFS('Web Feed'!$O$2:$O$3015,'Web Feed'!$B$2:$B$3015,Points!$A$6,'Web Feed'!$F$2:$F$3015,$B181)+SUMIFS('Web Feed'!$O$2:$O$3015,'Web Feed'!$B$2:$B$3015,Points!$A$6,'Web Feed'!$G$2:$G$3015,$B181)+SUMIFS('Web Feed'!$O$2:$O$3015,'Web Feed'!$B$2:$B$3015,Points!$A$6,'Web Feed'!$H$2:$H$3015,$B181)+SUMIFS('Web Feed'!$O$2:$O$3015,'Web Feed'!$B$2:$B$3015,Points!$A$6,'Web Feed'!$I$2:$I$3015,$B181))</f>
        <v/>
      </c>
      <c r="I181">
        <f>IF($B181="","",COUNTIFS('Web Feed'!$B$2:$B$3015,"OHW",'Web Feed'!$F$2:$F$3015,$B181))</f>
        <v/>
      </c>
      <c r="J181">
        <f>IF($B181="","",IFERROR(INDEX('Last Week'!$A$2:$A$301,MATCH($B181,'Last Week'!$B$2:$B$301,0)),""))</f>
        <v/>
      </c>
      <c r="K181">
        <f>IF(OR($B181="",$J181=""),"",$J181-$A181)</f>
        <v/>
      </c>
    </row>
    <row r="182">
      <c r="A182">
        <f>IF($B182="","",RANK($C182,$C$2:$C$500))</f>
        <v/>
      </c>
      <c r="B182">
        <f>IF(Players!$A182="","",Players!$A182)</f>
        <v/>
      </c>
      <c r="C182" s="5">
        <f>IF($B182="","",SUM(D182:H182))</f>
        <v/>
      </c>
      <c r="D182">
        <f>IF($B182="","",SUMIFS('Web Feed'!$O$2:$O$3015,'Web Feed'!$B$2:$B$3015,Points!$A$2,'Web Feed'!$F$2:$F$3015,$B182)+SUMIFS('Web Feed'!$O$2:$O$3015,'Web Feed'!$B$2:$B$3015,Points!$A$2,'Web Feed'!$G$2:$G$3015,$B182)+SUMIFS('Web Feed'!$O$2:$O$3015,'Web Feed'!$B$2:$B$3015,Points!$A$2,'Web Feed'!$H$2:$H$3015,$B182)+SUMIFS('Web Feed'!$O$2:$O$3015,'Web Feed'!$B$2:$B$3015,Points!$A$2,'Web Feed'!$I$2:$I$3015,$B182))</f>
        <v/>
      </c>
      <c r="E182">
        <f>IF($B182="","",SUMIFS('Web Feed'!$O$2:$O$3015,'Web Feed'!$B$2:$B$3015,Points!$A$3,'Web Feed'!$F$2:$F$3015,$B182)+SUMIFS('Web Feed'!$O$2:$O$3015,'Web Feed'!$B$2:$B$3015,Points!$A$3,'Web Feed'!$G$2:$G$3015,$B182)+SUMIFS('Web Feed'!$O$2:$O$3015,'Web Feed'!$B$2:$B$3015,Points!$A$3,'Web Feed'!$H$2:$H$3015,$B182)+SUMIFS('Web Feed'!$O$2:$O$3015,'Web Feed'!$B$2:$B$3015,Points!$A$3,'Web Feed'!$I$2:$I$3015,$B182))</f>
        <v/>
      </c>
      <c r="F182">
        <f>IF($B182="","",SUMIFS('Web Feed'!$O$2:$O$3015,'Web Feed'!$B$2:$B$3015,Points!$A$4,'Web Feed'!$F$2:$F$3015,$B182)+SUMIFS('Web Feed'!$O$2:$O$3015,'Web Feed'!$B$2:$B$3015,Points!$A$4,'Web Feed'!$G$2:$G$3015,$B182)+SUMIFS('Web Feed'!$O$2:$O$3015,'Web Feed'!$B$2:$B$3015,Points!$A$4,'Web Feed'!$H$2:$H$3015,$B182)+SUMIFS('Web Feed'!$O$2:$O$3015,'Web Feed'!$B$2:$B$3015,Points!$A$4,'Web Feed'!$I$2:$I$3015,$B182))</f>
        <v/>
      </c>
      <c r="G182">
        <f>IF($B182="","",SUMIFS('Web Feed'!$O$2:$O$3015,'Web Feed'!$B$2:$B$3015,Points!$A$5,'Web Feed'!$F$2:$F$3015,$B182)+SUMIFS('Web Feed'!$O$2:$O$3015,'Web Feed'!$B$2:$B$3015,Points!$A$5,'Web Feed'!$G$2:$G$3015,$B182)+SUMIFS('Web Feed'!$O$2:$O$3015,'Web Feed'!$B$2:$B$3015,Points!$A$5,'Web Feed'!$H$2:$H$3015,$B182)+SUMIFS('Web Feed'!$O$2:$O$3015,'Web Feed'!$B$2:$B$3015,Points!$A$5,'Web Feed'!$I$2:$I$3015,$B182))</f>
        <v/>
      </c>
      <c r="H182">
        <f>IF($B182="","",SUMIFS('Web Feed'!$O$2:$O$3015,'Web Feed'!$B$2:$B$3015,Points!$A$6,'Web Feed'!$F$2:$F$3015,$B182)+SUMIFS('Web Feed'!$O$2:$O$3015,'Web Feed'!$B$2:$B$3015,Points!$A$6,'Web Feed'!$G$2:$G$3015,$B182)+SUMIFS('Web Feed'!$O$2:$O$3015,'Web Feed'!$B$2:$B$3015,Points!$A$6,'Web Feed'!$H$2:$H$3015,$B182)+SUMIFS('Web Feed'!$O$2:$O$3015,'Web Feed'!$B$2:$B$3015,Points!$A$6,'Web Feed'!$I$2:$I$3015,$B182))</f>
        <v/>
      </c>
      <c r="I182">
        <f>IF($B182="","",COUNTIFS('Web Feed'!$B$2:$B$3015,"OHW",'Web Feed'!$F$2:$F$3015,$B182))</f>
        <v/>
      </c>
      <c r="J182">
        <f>IF($B182="","",IFERROR(INDEX('Last Week'!$A$2:$A$301,MATCH($B182,'Last Week'!$B$2:$B$301,0)),""))</f>
        <v/>
      </c>
      <c r="K182">
        <f>IF(OR($B182="",$J182=""),"",$J182-$A182)</f>
        <v/>
      </c>
    </row>
    <row r="183">
      <c r="A183">
        <f>IF($B183="","",RANK($C183,$C$2:$C$500))</f>
        <v/>
      </c>
      <c r="B183">
        <f>IF(Players!$A183="","",Players!$A183)</f>
        <v/>
      </c>
      <c r="C183" s="5">
        <f>IF($B183="","",SUM(D183:H183))</f>
        <v/>
      </c>
      <c r="D183">
        <f>IF($B183="","",SUMIFS('Web Feed'!$O$2:$O$3015,'Web Feed'!$B$2:$B$3015,Points!$A$2,'Web Feed'!$F$2:$F$3015,$B183)+SUMIFS('Web Feed'!$O$2:$O$3015,'Web Feed'!$B$2:$B$3015,Points!$A$2,'Web Feed'!$G$2:$G$3015,$B183)+SUMIFS('Web Feed'!$O$2:$O$3015,'Web Feed'!$B$2:$B$3015,Points!$A$2,'Web Feed'!$H$2:$H$3015,$B183)+SUMIFS('Web Feed'!$O$2:$O$3015,'Web Feed'!$B$2:$B$3015,Points!$A$2,'Web Feed'!$I$2:$I$3015,$B183))</f>
        <v/>
      </c>
      <c r="E183">
        <f>IF($B183="","",SUMIFS('Web Feed'!$O$2:$O$3015,'Web Feed'!$B$2:$B$3015,Points!$A$3,'Web Feed'!$F$2:$F$3015,$B183)+SUMIFS('Web Feed'!$O$2:$O$3015,'Web Feed'!$B$2:$B$3015,Points!$A$3,'Web Feed'!$G$2:$G$3015,$B183)+SUMIFS('Web Feed'!$O$2:$O$3015,'Web Feed'!$B$2:$B$3015,Points!$A$3,'Web Feed'!$H$2:$H$3015,$B183)+SUMIFS('Web Feed'!$O$2:$O$3015,'Web Feed'!$B$2:$B$3015,Points!$A$3,'Web Feed'!$I$2:$I$3015,$B183))</f>
        <v/>
      </c>
      <c r="F183">
        <f>IF($B183="","",SUMIFS('Web Feed'!$O$2:$O$3015,'Web Feed'!$B$2:$B$3015,Points!$A$4,'Web Feed'!$F$2:$F$3015,$B183)+SUMIFS('Web Feed'!$O$2:$O$3015,'Web Feed'!$B$2:$B$3015,Points!$A$4,'Web Feed'!$G$2:$G$3015,$B183)+SUMIFS('Web Feed'!$O$2:$O$3015,'Web Feed'!$B$2:$B$3015,Points!$A$4,'Web Feed'!$H$2:$H$3015,$B183)+SUMIFS('Web Feed'!$O$2:$O$3015,'Web Feed'!$B$2:$B$3015,Points!$A$4,'Web Feed'!$I$2:$I$3015,$B183))</f>
        <v/>
      </c>
      <c r="G183">
        <f>IF($B183="","",SUMIFS('Web Feed'!$O$2:$O$3015,'Web Feed'!$B$2:$B$3015,Points!$A$5,'Web Feed'!$F$2:$F$3015,$B183)+SUMIFS('Web Feed'!$O$2:$O$3015,'Web Feed'!$B$2:$B$3015,Points!$A$5,'Web Feed'!$G$2:$G$3015,$B183)+SUMIFS('Web Feed'!$O$2:$O$3015,'Web Feed'!$B$2:$B$3015,Points!$A$5,'Web Feed'!$H$2:$H$3015,$B183)+SUMIFS('Web Feed'!$O$2:$O$3015,'Web Feed'!$B$2:$B$3015,Points!$A$5,'Web Feed'!$I$2:$I$3015,$B183))</f>
        <v/>
      </c>
      <c r="H183">
        <f>IF($B183="","",SUMIFS('Web Feed'!$O$2:$O$3015,'Web Feed'!$B$2:$B$3015,Points!$A$6,'Web Feed'!$F$2:$F$3015,$B183)+SUMIFS('Web Feed'!$O$2:$O$3015,'Web Feed'!$B$2:$B$3015,Points!$A$6,'Web Feed'!$G$2:$G$3015,$B183)+SUMIFS('Web Feed'!$O$2:$O$3015,'Web Feed'!$B$2:$B$3015,Points!$A$6,'Web Feed'!$H$2:$H$3015,$B183)+SUMIFS('Web Feed'!$O$2:$O$3015,'Web Feed'!$B$2:$B$3015,Points!$A$6,'Web Feed'!$I$2:$I$3015,$B183))</f>
        <v/>
      </c>
      <c r="I183">
        <f>IF($B183="","",COUNTIFS('Web Feed'!$B$2:$B$3015,"OHW",'Web Feed'!$F$2:$F$3015,$B183))</f>
        <v/>
      </c>
      <c r="J183">
        <f>IF($B183="","",IFERROR(INDEX('Last Week'!$A$2:$A$301,MATCH($B183,'Last Week'!$B$2:$B$301,0)),""))</f>
        <v/>
      </c>
      <c r="K183">
        <f>IF(OR($B183="",$J183=""),"",$J183-$A183)</f>
        <v/>
      </c>
    </row>
    <row r="184">
      <c r="A184">
        <f>IF($B184="","",RANK($C184,$C$2:$C$500))</f>
        <v/>
      </c>
      <c r="B184">
        <f>IF(Players!$A184="","",Players!$A184)</f>
        <v/>
      </c>
      <c r="C184" s="5">
        <f>IF($B184="","",SUM(D184:H184))</f>
        <v/>
      </c>
      <c r="D184">
        <f>IF($B184="","",SUMIFS('Web Feed'!$O$2:$O$3015,'Web Feed'!$B$2:$B$3015,Points!$A$2,'Web Feed'!$F$2:$F$3015,$B184)+SUMIFS('Web Feed'!$O$2:$O$3015,'Web Feed'!$B$2:$B$3015,Points!$A$2,'Web Feed'!$G$2:$G$3015,$B184)+SUMIFS('Web Feed'!$O$2:$O$3015,'Web Feed'!$B$2:$B$3015,Points!$A$2,'Web Feed'!$H$2:$H$3015,$B184)+SUMIFS('Web Feed'!$O$2:$O$3015,'Web Feed'!$B$2:$B$3015,Points!$A$2,'Web Feed'!$I$2:$I$3015,$B184))</f>
        <v/>
      </c>
      <c r="E184">
        <f>IF($B184="","",SUMIFS('Web Feed'!$O$2:$O$3015,'Web Feed'!$B$2:$B$3015,Points!$A$3,'Web Feed'!$F$2:$F$3015,$B184)+SUMIFS('Web Feed'!$O$2:$O$3015,'Web Feed'!$B$2:$B$3015,Points!$A$3,'Web Feed'!$G$2:$G$3015,$B184)+SUMIFS('Web Feed'!$O$2:$O$3015,'Web Feed'!$B$2:$B$3015,Points!$A$3,'Web Feed'!$H$2:$H$3015,$B184)+SUMIFS('Web Feed'!$O$2:$O$3015,'Web Feed'!$B$2:$B$3015,Points!$A$3,'Web Feed'!$I$2:$I$3015,$B184))</f>
        <v/>
      </c>
      <c r="F184">
        <f>IF($B184="","",SUMIFS('Web Feed'!$O$2:$O$3015,'Web Feed'!$B$2:$B$3015,Points!$A$4,'Web Feed'!$F$2:$F$3015,$B184)+SUMIFS('Web Feed'!$O$2:$O$3015,'Web Feed'!$B$2:$B$3015,Points!$A$4,'Web Feed'!$G$2:$G$3015,$B184)+SUMIFS('Web Feed'!$O$2:$O$3015,'Web Feed'!$B$2:$B$3015,Points!$A$4,'Web Feed'!$H$2:$H$3015,$B184)+SUMIFS('Web Feed'!$O$2:$O$3015,'Web Feed'!$B$2:$B$3015,Points!$A$4,'Web Feed'!$I$2:$I$3015,$B184))</f>
        <v/>
      </c>
      <c r="G184">
        <f>IF($B184="","",SUMIFS('Web Feed'!$O$2:$O$3015,'Web Feed'!$B$2:$B$3015,Points!$A$5,'Web Feed'!$F$2:$F$3015,$B184)+SUMIFS('Web Feed'!$O$2:$O$3015,'Web Feed'!$B$2:$B$3015,Points!$A$5,'Web Feed'!$G$2:$G$3015,$B184)+SUMIFS('Web Feed'!$O$2:$O$3015,'Web Feed'!$B$2:$B$3015,Points!$A$5,'Web Feed'!$H$2:$H$3015,$B184)+SUMIFS('Web Feed'!$O$2:$O$3015,'Web Feed'!$B$2:$B$3015,Points!$A$5,'Web Feed'!$I$2:$I$3015,$B184))</f>
        <v/>
      </c>
      <c r="H184">
        <f>IF($B184="","",SUMIFS('Web Feed'!$O$2:$O$3015,'Web Feed'!$B$2:$B$3015,Points!$A$6,'Web Feed'!$F$2:$F$3015,$B184)+SUMIFS('Web Feed'!$O$2:$O$3015,'Web Feed'!$B$2:$B$3015,Points!$A$6,'Web Feed'!$G$2:$G$3015,$B184)+SUMIFS('Web Feed'!$O$2:$O$3015,'Web Feed'!$B$2:$B$3015,Points!$A$6,'Web Feed'!$H$2:$H$3015,$B184)+SUMIFS('Web Feed'!$O$2:$O$3015,'Web Feed'!$B$2:$B$3015,Points!$A$6,'Web Feed'!$I$2:$I$3015,$B184))</f>
        <v/>
      </c>
      <c r="I184">
        <f>IF($B184="","",COUNTIFS('Web Feed'!$B$2:$B$3015,"OHW",'Web Feed'!$F$2:$F$3015,$B184))</f>
        <v/>
      </c>
      <c r="J184">
        <f>IF($B184="","",IFERROR(INDEX('Last Week'!$A$2:$A$301,MATCH($B184,'Last Week'!$B$2:$B$301,0)),""))</f>
        <v/>
      </c>
      <c r="K184">
        <f>IF(OR($B184="",$J184=""),"",$J184-$A184)</f>
        <v/>
      </c>
    </row>
    <row r="185">
      <c r="A185">
        <f>IF($B185="","",RANK($C185,$C$2:$C$500))</f>
        <v/>
      </c>
      <c r="B185">
        <f>IF(Players!$A185="","",Players!$A185)</f>
        <v/>
      </c>
      <c r="C185" s="5">
        <f>IF($B185="","",SUM(D185:H185))</f>
        <v/>
      </c>
      <c r="D185">
        <f>IF($B185="","",SUMIFS('Web Feed'!$O$2:$O$3015,'Web Feed'!$B$2:$B$3015,Points!$A$2,'Web Feed'!$F$2:$F$3015,$B185)+SUMIFS('Web Feed'!$O$2:$O$3015,'Web Feed'!$B$2:$B$3015,Points!$A$2,'Web Feed'!$G$2:$G$3015,$B185)+SUMIFS('Web Feed'!$O$2:$O$3015,'Web Feed'!$B$2:$B$3015,Points!$A$2,'Web Feed'!$H$2:$H$3015,$B185)+SUMIFS('Web Feed'!$O$2:$O$3015,'Web Feed'!$B$2:$B$3015,Points!$A$2,'Web Feed'!$I$2:$I$3015,$B185))</f>
        <v/>
      </c>
      <c r="E185">
        <f>IF($B185="","",SUMIFS('Web Feed'!$O$2:$O$3015,'Web Feed'!$B$2:$B$3015,Points!$A$3,'Web Feed'!$F$2:$F$3015,$B185)+SUMIFS('Web Feed'!$O$2:$O$3015,'Web Feed'!$B$2:$B$3015,Points!$A$3,'Web Feed'!$G$2:$G$3015,$B185)+SUMIFS('Web Feed'!$O$2:$O$3015,'Web Feed'!$B$2:$B$3015,Points!$A$3,'Web Feed'!$H$2:$H$3015,$B185)+SUMIFS('Web Feed'!$O$2:$O$3015,'Web Feed'!$B$2:$B$3015,Points!$A$3,'Web Feed'!$I$2:$I$3015,$B185))</f>
        <v/>
      </c>
      <c r="F185">
        <f>IF($B185="","",SUMIFS('Web Feed'!$O$2:$O$3015,'Web Feed'!$B$2:$B$3015,Points!$A$4,'Web Feed'!$F$2:$F$3015,$B185)+SUMIFS('Web Feed'!$O$2:$O$3015,'Web Feed'!$B$2:$B$3015,Points!$A$4,'Web Feed'!$G$2:$G$3015,$B185)+SUMIFS('Web Feed'!$O$2:$O$3015,'Web Feed'!$B$2:$B$3015,Points!$A$4,'Web Feed'!$H$2:$H$3015,$B185)+SUMIFS('Web Feed'!$O$2:$O$3015,'Web Feed'!$B$2:$B$3015,Points!$A$4,'Web Feed'!$I$2:$I$3015,$B185))</f>
        <v/>
      </c>
      <c r="G185">
        <f>IF($B185="","",SUMIFS('Web Feed'!$O$2:$O$3015,'Web Feed'!$B$2:$B$3015,Points!$A$5,'Web Feed'!$F$2:$F$3015,$B185)+SUMIFS('Web Feed'!$O$2:$O$3015,'Web Feed'!$B$2:$B$3015,Points!$A$5,'Web Feed'!$G$2:$G$3015,$B185)+SUMIFS('Web Feed'!$O$2:$O$3015,'Web Feed'!$B$2:$B$3015,Points!$A$5,'Web Feed'!$H$2:$H$3015,$B185)+SUMIFS('Web Feed'!$O$2:$O$3015,'Web Feed'!$B$2:$B$3015,Points!$A$5,'Web Feed'!$I$2:$I$3015,$B185))</f>
        <v/>
      </c>
      <c r="H185">
        <f>IF($B185="","",SUMIFS('Web Feed'!$O$2:$O$3015,'Web Feed'!$B$2:$B$3015,Points!$A$6,'Web Feed'!$F$2:$F$3015,$B185)+SUMIFS('Web Feed'!$O$2:$O$3015,'Web Feed'!$B$2:$B$3015,Points!$A$6,'Web Feed'!$G$2:$G$3015,$B185)+SUMIFS('Web Feed'!$O$2:$O$3015,'Web Feed'!$B$2:$B$3015,Points!$A$6,'Web Feed'!$H$2:$H$3015,$B185)+SUMIFS('Web Feed'!$O$2:$O$3015,'Web Feed'!$B$2:$B$3015,Points!$A$6,'Web Feed'!$I$2:$I$3015,$B185))</f>
        <v/>
      </c>
      <c r="I185">
        <f>IF($B185="","",COUNTIFS('Web Feed'!$B$2:$B$3015,"OHW",'Web Feed'!$F$2:$F$3015,$B185))</f>
        <v/>
      </c>
      <c r="J185">
        <f>IF($B185="","",IFERROR(INDEX('Last Week'!$A$2:$A$301,MATCH($B185,'Last Week'!$B$2:$B$301,0)),""))</f>
        <v/>
      </c>
      <c r="K185">
        <f>IF(OR($B185="",$J185=""),"",$J185-$A185)</f>
        <v/>
      </c>
    </row>
    <row r="186">
      <c r="A186">
        <f>IF($B186="","",RANK($C186,$C$2:$C$500))</f>
        <v/>
      </c>
      <c r="B186">
        <f>IF(Players!$A186="","",Players!$A186)</f>
        <v/>
      </c>
      <c r="C186" s="5">
        <f>IF($B186="","",SUM(D186:H186))</f>
        <v/>
      </c>
      <c r="D186">
        <f>IF($B186="","",SUMIFS('Web Feed'!$O$2:$O$3015,'Web Feed'!$B$2:$B$3015,Points!$A$2,'Web Feed'!$F$2:$F$3015,$B186)+SUMIFS('Web Feed'!$O$2:$O$3015,'Web Feed'!$B$2:$B$3015,Points!$A$2,'Web Feed'!$G$2:$G$3015,$B186)+SUMIFS('Web Feed'!$O$2:$O$3015,'Web Feed'!$B$2:$B$3015,Points!$A$2,'Web Feed'!$H$2:$H$3015,$B186)+SUMIFS('Web Feed'!$O$2:$O$3015,'Web Feed'!$B$2:$B$3015,Points!$A$2,'Web Feed'!$I$2:$I$3015,$B186))</f>
        <v/>
      </c>
      <c r="E186">
        <f>IF($B186="","",SUMIFS('Web Feed'!$O$2:$O$3015,'Web Feed'!$B$2:$B$3015,Points!$A$3,'Web Feed'!$F$2:$F$3015,$B186)+SUMIFS('Web Feed'!$O$2:$O$3015,'Web Feed'!$B$2:$B$3015,Points!$A$3,'Web Feed'!$G$2:$G$3015,$B186)+SUMIFS('Web Feed'!$O$2:$O$3015,'Web Feed'!$B$2:$B$3015,Points!$A$3,'Web Feed'!$H$2:$H$3015,$B186)+SUMIFS('Web Feed'!$O$2:$O$3015,'Web Feed'!$B$2:$B$3015,Points!$A$3,'Web Feed'!$I$2:$I$3015,$B186))</f>
        <v/>
      </c>
      <c r="F186">
        <f>IF($B186="","",SUMIFS('Web Feed'!$O$2:$O$3015,'Web Feed'!$B$2:$B$3015,Points!$A$4,'Web Feed'!$F$2:$F$3015,$B186)+SUMIFS('Web Feed'!$O$2:$O$3015,'Web Feed'!$B$2:$B$3015,Points!$A$4,'Web Feed'!$G$2:$G$3015,$B186)+SUMIFS('Web Feed'!$O$2:$O$3015,'Web Feed'!$B$2:$B$3015,Points!$A$4,'Web Feed'!$H$2:$H$3015,$B186)+SUMIFS('Web Feed'!$O$2:$O$3015,'Web Feed'!$B$2:$B$3015,Points!$A$4,'Web Feed'!$I$2:$I$3015,$B186))</f>
        <v/>
      </c>
      <c r="G186">
        <f>IF($B186="","",SUMIFS('Web Feed'!$O$2:$O$3015,'Web Feed'!$B$2:$B$3015,Points!$A$5,'Web Feed'!$F$2:$F$3015,$B186)+SUMIFS('Web Feed'!$O$2:$O$3015,'Web Feed'!$B$2:$B$3015,Points!$A$5,'Web Feed'!$G$2:$G$3015,$B186)+SUMIFS('Web Feed'!$O$2:$O$3015,'Web Feed'!$B$2:$B$3015,Points!$A$5,'Web Feed'!$H$2:$H$3015,$B186)+SUMIFS('Web Feed'!$O$2:$O$3015,'Web Feed'!$B$2:$B$3015,Points!$A$5,'Web Feed'!$I$2:$I$3015,$B186))</f>
        <v/>
      </c>
      <c r="H186">
        <f>IF($B186="","",SUMIFS('Web Feed'!$O$2:$O$3015,'Web Feed'!$B$2:$B$3015,Points!$A$6,'Web Feed'!$F$2:$F$3015,$B186)+SUMIFS('Web Feed'!$O$2:$O$3015,'Web Feed'!$B$2:$B$3015,Points!$A$6,'Web Feed'!$G$2:$G$3015,$B186)+SUMIFS('Web Feed'!$O$2:$O$3015,'Web Feed'!$B$2:$B$3015,Points!$A$6,'Web Feed'!$H$2:$H$3015,$B186)+SUMIFS('Web Feed'!$O$2:$O$3015,'Web Feed'!$B$2:$B$3015,Points!$A$6,'Web Feed'!$I$2:$I$3015,$B186))</f>
        <v/>
      </c>
      <c r="I186">
        <f>IF($B186="","",COUNTIFS('Web Feed'!$B$2:$B$3015,"OHW",'Web Feed'!$F$2:$F$3015,$B186))</f>
        <v/>
      </c>
      <c r="J186">
        <f>IF($B186="","",IFERROR(INDEX('Last Week'!$A$2:$A$301,MATCH($B186,'Last Week'!$B$2:$B$301,0)),""))</f>
        <v/>
      </c>
      <c r="K186">
        <f>IF(OR($B186="",$J186=""),"",$J186-$A186)</f>
        <v/>
      </c>
    </row>
    <row r="187">
      <c r="A187">
        <f>IF($B187="","",RANK($C187,$C$2:$C$500))</f>
        <v/>
      </c>
      <c r="B187">
        <f>IF(Players!$A187="","",Players!$A187)</f>
        <v/>
      </c>
      <c r="C187" s="5">
        <f>IF($B187="","",SUM(D187:H187))</f>
        <v/>
      </c>
      <c r="D187">
        <f>IF($B187="","",SUMIFS('Web Feed'!$O$2:$O$3015,'Web Feed'!$B$2:$B$3015,Points!$A$2,'Web Feed'!$F$2:$F$3015,$B187)+SUMIFS('Web Feed'!$O$2:$O$3015,'Web Feed'!$B$2:$B$3015,Points!$A$2,'Web Feed'!$G$2:$G$3015,$B187)+SUMIFS('Web Feed'!$O$2:$O$3015,'Web Feed'!$B$2:$B$3015,Points!$A$2,'Web Feed'!$H$2:$H$3015,$B187)+SUMIFS('Web Feed'!$O$2:$O$3015,'Web Feed'!$B$2:$B$3015,Points!$A$2,'Web Feed'!$I$2:$I$3015,$B187))</f>
        <v/>
      </c>
      <c r="E187">
        <f>IF($B187="","",SUMIFS('Web Feed'!$O$2:$O$3015,'Web Feed'!$B$2:$B$3015,Points!$A$3,'Web Feed'!$F$2:$F$3015,$B187)+SUMIFS('Web Feed'!$O$2:$O$3015,'Web Feed'!$B$2:$B$3015,Points!$A$3,'Web Feed'!$G$2:$G$3015,$B187)+SUMIFS('Web Feed'!$O$2:$O$3015,'Web Feed'!$B$2:$B$3015,Points!$A$3,'Web Feed'!$H$2:$H$3015,$B187)+SUMIFS('Web Feed'!$O$2:$O$3015,'Web Feed'!$B$2:$B$3015,Points!$A$3,'Web Feed'!$I$2:$I$3015,$B187))</f>
        <v/>
      </c>
      <c r="F187">
        <f>IF($B187="","",SUMIFS('Web Feed'!$O$2:$O$3015,'Web Feed'!$B$2:$B$3015,Points!$A$4,'Web Feed'!$F$2:$F$3015,$B187)+SUMIFS('Web Feed'!$O$2:$O$3015,'Web Feed'!$B$2:$B$3015,Points!$A$4,'Web Feed'!$G$2:$G$3015,$B187)+SUMIFS('Web Feed'!$O$2:$O$3015,'Web Feed'!$B$2:$B$3015,Points!$A$4,'Web Feed'!$H$2:$H$3015,$B187)+SUMIFS('Web Feed'!$O$2:$O$3015,'Web Feed'!$B$2:$B$3015,Points!$A$4,'Web Feed'!$I$2:$I$3015,$B187))</f>
        <v/>
      </c>
      <c r="G187">
        <f>IF($B187="","",SUMIFS('Web Feed'!$O$2:$O$3015,'Web Feed'!$B$2:$B$3015,Points!$A$5,'Web Feed'!$F$2:$F$3015,$B187)+SUMIFS('Web Feed'!$O$2:$O$3015,'Web Feed'!$B$2:$B$3015,Points!$A$5,'Web Feed'!$G$2:$G$3015,$B187)+SUMIFS('Web Feed'!$O$2:$O$3015,'Web Feed'!$B$2:$B$3015,Points!$A$5,'Web Feed'!$H$2:$H$3015,$B187)+SUMIFS('Web Feed'!$O$2:$O$3015,'Web Feed'!$B$2:$B$3015,Points!$A$5,'Web Feed'!$I$2:$I$3015,$B187))</f>
        <v/>
      </c>
      <c r="H187">
        <f>IF($B187="","",SUMIFS('Web Feed'!$O$2:$O$3015,'Web Feed'!$B$2:$B$3015,Points!$A$6,'Web Feed'!$F$2:$F$3015,$B187)+SUMIFS('Web Feed'!$O$2:$O$3015,'Web Feed'!$B$2:$B$3015,Points!$A$6,'Web Feed'!$G$2:$G$3015,$B187)+SUMIFS('Web Feed'!$O$2:$O$3015,'Web Feed'!$B$2:$B$3015,Points!$A$6,'Web Feed'!$H$2:$H$3015,$B187)+SUMIFS('Web Feed'!$O$2:$O$3015,'Web Feed'!$B$2:$B$3015,Points!$A$6,'Web Feed'!$I$2:$I$3015,$B187))</f>
        <v/>
      </c>
      <c r="I187">
        <f>IF($B187="","",COUNTIFS('Web Feed'!$B$2:$B$3015,"OHW",'Web Feed'!$F$2:$F$3015,$B187))</f>
        <v/>
      </c>
      <c r="J187">
        <f>IF($B187="","",IFERROR(INDEX('Last Week'!$A$2:$A$301,MATCH($B187,'Last Week'!$B$2:$B$301,0)),""))</f>
        <v/>
      </c>
      <c r="K187">
        <f>IF(OR($B187="",$J187=""),"",$J187-$A187)</f>
        <v/>
      </c>
    </row>
    <row r="188">
      <c r="A188">
        <f>IF($B188="","",RANK($C188,$C$2:$C$500))</f>
        <v/>
      </c>
      <c r="B188">
        <f>IF(Players!$A188="","",Players!$A188)</f>
        <v/>
      </c>
      <c r="C188" s="5">
        <f>IF($B188="","",SUM(D188:H188))</f>
        <v/>
      </c>
      <c r="D188">
        <f>IF($B188="","",SUMIFS('Web Feed'!$O$2:$O$3015,'Web Feed'!$B$2:$B$3015,Points!$A$2,'Web Feed'!$F$2:$F$3015,$B188)+SUMIFS('Web Feed'!$O$2:$O$3015,'Web Feed'!$B$2:$B$3015,Points!$A$2,'Web Feed'!$G$2:$G$3015,$B188)+SUMIFS('Web Feed'!$O$2:$O$3015,'Web Feed'!$B$2:$B$3015,Points!$A$2,'Web Feed'!$H$2:$H$3015,$B188)+SUMIFS('Web Feed'!$O$2:$O$3015,'Web Feed'!$B$2:$B$3015,Points!$A$2,'Web Feed'!$I$2:$I$3015,$B188))</f>
        <v/>
      </c>
      <c r="E188">
        <f>IF($B188="","",SUMIFS('Web Feed'!$O$2:$O$3015,'Web Feed'!$B$2:$B$3015,Points!$A$3,'Web Feed'!$F$2:$F$3015,$B188)+SUMIFS('Web Feed'!$O$2:$O$3015,'Web Feed'!$B$2:$B$3015,Points!$A$3,'Web Feed'!$G$2:$G$3015,$B188)+SUMIFS('Web Feed'!$O$2:$O$3015,'Web Feed'!$B$2:$B$3015,Points!$A$3,'Web Feed'!$H$2:$H$3015,$B188)+SUMIFS('Web Feed'!$O$2:$O$3015,'Web Feed'!$B$2:$B$3015,Points!$A$3,'Web Feed'!$I$2:$I$3015,$B188))</f>
        <v/>
      </c>
      <c r="F188">
        <f>IF($B188="","",SUMIFS('Web Feed'!$O$2:$O$3015,'Web Feed'!$B$2:$B$3015,Points!$A$4,'Web Feed'!$F$2:$F$3015,$B188)+SUMIFS('Web Feed'!$O$2:$O$3015,'Web Feed'!$B$2:$B$3015,Points!$A$4,'Web Feed'!$G$2:$G$3015,$B188)+SUMIFS('Web Feed'!$O$2:$O$3015,'Web Feed'!$B$2:$B$3015,Points!$A$4,'Web Feed'!$H$2:$H$3015,$B188)+SUMIFS('Web Feed'!$O$2:$O$3015,'Web Feed'!$B$2:$B$3015,Points!$A$4,'Web Feed'!$I$2:$I$3015,$B188))</f>
        <v/>
      </c>
      <c r="G188">
        <f>IF($B188="","",SUMIFS('Web Feed'!$O$2:$O$3015,'Web Feed'!$B$2:$B$3015,Points!$A$5,'Web Feed'!$F$2:$F$3015,$B188)+SUMIFS('Web Feed'!$O$2:$O$3015,'Web Feed'!$B$2:$B$3015,Points!$A$5,'Web Feed'!$G$2:$G$3015,$B188)+SUMIFS('Web Feed'!$O$2:$O$3015,'Web Feed'!$B$2:$B$3015,Points!$A$5,'Web Feed'!$H$2:$H$3015,$B188)+SUMIFS('Web Feed'!$O$2:$O$3015,'Web Feed'!$B$2:$B$3015,Points!$A$5,'Web Feed'!$I$2:$I$3015,$B188))</f>
        <v/>
      </c>
      <c r="H188">
        <f>IF($B188="","",SUMIFS('Web Feed'!$O$2:$O$3015,'Web Feed'!$B$2:$B$3015,Points!$A$6,'Web Feed'!$F$2:$F$3015,$B188)+SUMIFS('Web Feed'!$O$2:$O$3015,'Web Feed'!$B$2:$B$3015,Points!$A$6,'Web Feed'!$G$2:$G$3015,$B188)+SUMIFS('Web Feed'!$O$2:$O$3015,'Web Feed'!$B$2:$B$3015,Points!$A$6,'Web Feed'!$H$2:$H$3015,$B188)+SUMIFS('Web Feed'!$O$2:$O$3015,'Web Feed'!$B$2:$B$3015,Points!$A$6,'Web Feed'!$I$2:$I$3015,$B188))</f>
        <v/>
      </c>
      <c r="I188">
        <f>IF($B188="","",COUNTIFS('Web Feed'!$B$2:$B$3015,"OHW",'Web Feed'!$F$2:$F$3015,$B188))</f>
        <v/>
      </c>
      <c r="J188">
        <f>IF($B188="","",IFERROR(INDEX('Last Week'!$A$2:$A$301,MATCH($B188,'Last Week'!$B$2:$B$301,0)),""))</f>
        <v/>
      </c>
      <c r="K188">
        <f>IF(OR($B188="",$J188=""),"",$J188-$A188)</f>
        <v/>
      </c>
    </row>
    <row r="189">
      <c r="A189">
        <f>IF($B189="","",RANK($C189,$C$2:$C$500))</f>
        <v/>
      </c>
      <c r="B189">
        <f>IF(Players!$A189="","",Players!$A189)</f>
        <v/>
      </c>
      <c r="C189" s="5">
        <f>IF($B189="","",SUM(D189:H189))</f>
        <v/>
      </c>
      <c r="D189">
        <f>IF($B189="","",SUMIFS('Web Feed'!$O$2:$O$3015,'Web Feed'!$B$2:$B$3015,Points!$A$2,'Web Feed'!$F$2:$F$3015,$B189)+SUMIFS('Web Feed'!$O$2:$O$3015,'Web Feed'!$B$2:$B$3015,Points!$A$2,'Web Feed'!$G$2:$G$3015,$B189)+SUMIFS('Web Feed'!$O$2:$O$3015,'Web Feed'!$B$2:$B$3015,Points!$A$2,'Web Feed'!$H$2:$H$3015,$B189)+SUMIFS('Web Feed'!$O$2:$O$3015,'Web Feed'!$B$2:$B$3015,Points!$A$2,'Web Feed'!$I$2:$I$3015,$B189))</f>
        <v/>
      </c>
      <c r="E189">
        <f>IF($B189="","",SUMIFS('Web Feed'!$O$2:$O$3015,'Web Feed'!$B$2:$B$3015,Points!$A$3,'Web Feed'!$F$2:$F$3015,$B189)+SUMIFS('Web Feed'!$O$2:$O$3015,'Web Feed'!$B$2:$B$3015,Points!$A$3,'Web Feed'!$G$2:$G$3015,$B189)+SUMIFS('Web Feed'!$O$2:$O$3015,'Web Feed'!$B$2:$B$3015,Points!$A$3,'Web Feed'!$H$2:$H$3015,$B189)+SUMIFS('Web Feed'!$O$2:$O$3015,'Web Feed'!$B$2:$B$3015,Points!$A$3,'Web Feed'!$I$2:$I$3015,$B189))</f>
        <v/>
      </c>
      <c r="F189">
        <f>IF($B189="","",SUMIFS('Web Feed'!$O$2:$O$3015,'Web Feed'!$B$2:$B$3015,Points!$A$4,'Web Feed'!$F$2:$F$3015,$B189)+SUMIFS('Web Feed'!$O$2:$O$3015,'Web Feed'!$B$2:$B$3015,Points!$A$4,'Web Feed'!$G$2:$G$3015,$B189)+SUMIFS('Web Feed'!$O$2:$O$3015,'Web Feed'!$B$2:$B$3015,Points!$A$4,'Web Feed'!$H$2:$H$3015,$B189)+SUMIFS('Web Feed'!$O$2:$O$3015,'Web Feed'!$B$2:$B$3015,Points!$A$4,'Web Feed'!$I$2:$I$3015,$B189))</f>
        <v/>
      </c>
      <c r="G189">
        <f>IF($B189="","",SUMIFS('Web Feed'!$O$2:$O$3015,'Web Feed'!$B$2:$B$3015,Points!$A$5,'Web Feed'!$F$2:$F$3015,$B189)+SUMIFS('Web Feed'!$O$2:$O$3015,'Web Feed'!$B$2:$B$3015,Points!$A$5,'Web Feed'!$G$2:$G$3015,$B189)+SUMIFS('Web Feed'!$O$2:$O$3015,'Web Feed'!$B$2:$B$3015,Points!$A$5,'Web Feed'!$H$2:$H$3015,$B189)+SUMIFS('Web Feed'!$O$2:$O$3015,'Web Feed'!$B$2:$B$3015,Points!$A$5,'Web Feed'!$I$2:$I$3015,$B189))</f>
        <v/>
      </c>
      <c r="H189">
        <f>IF($B189="","",SUMIFS('Web Feed'!$O$2:$O$3015,'Web Feed'!$B$2:$B$3015,Points!$A$6,'Web Feed'!$F$2:$F$3015,$B189)+SUMIFS('Web Feed'!$O$2:$O$3015,'Web Feed'!$B$2:$B$3015,Points!$A$6,'Web Feed'!$G$2:$G$3015,$B189)+SUMIFS('Web Feed'!$O$2:$O$3015,'Web Feed'!$B$2:$B$3015,Points!$A$6,'Web Feed'!$H$2:$H$3015,$B189)+SUMIFS('Web Feed'!$O$2:$O$3015,'Web Feed'!$B$2:$B$3015,Points!$A$6,'Web Feed'!$I$2:$I$3015,$B189))</f>
        <v/>
      </c>
      <c r="I189">
        <f>IF($B189="","",COUNTIFS('Web Feed'!$B$2:$B$3015,"OHW",'Web Feed'!$F$2:$F$3015,$B189))</f>
        <v/>
      </c>
      <c r="J189">
        <f>IF($B189="","",IFERROR(INDEX('Last Week'!$A$2:$A$301,MATCH($B189,'Last Week'!$B$2:$B$301,0)),""))</f>
        <v/>
      </c>
      <c r="K189">
        <f>IF(OR($B189="",$J189=""),"",$J189-$A189)</f>
        <v/>
      </c>
    </row>
    <row r="190">
      <c r="A190">
        <f>IF($B190="","",RANK($C190,$C$2:$C$500))</f>
        <v/>
      </c>
      <c r="B190">
        <f>IF(Players!$A190="","",Players!$A190)</f>
        <v/>
      </c>
      <c r="C190" s="5">
        <f>IF($B190="","",SUM(D190:H190))</f>
        <v/>
      </c>
      <c r="D190">
        <f>IF($B190="","",SUMIFS('Web Feed'!$O$2:$O$3015,'Web Feed'!$B$2:$B$3015,Points!$A$2,'Web Feed'!$F$2:$F$3015,$B190)+SUMIFS('Web Feed'!$O$2:$O$3015,'Web Feed'!$B$2:$B$3015,Points!$A$2,'Web Feed'!$G$2:$G$3015,$B190)+SUMIFS('Web Feed'!$O$2:$O$3015,'Web Feed'!$B$2:$B$3015,Points!$A$2,'Web Feed'!$H$2:$H$3015,$B190)+SUMIFS('Web Feed'!$O$2:$O$3015,'Web Feed'!$B$2:$B$3015,Points!$A$2,'Web Feed'!$I$2:$I$3015,$B190))</f>
        <v/>
      </c>
      <c r="E190">
        <f>IF($B190="","",SUMIFS('Web Feed'!$O$2:$O$3015,'Web Feed'!$B$2:$B$3015,Points!$A$3,'Web Feed'!$F$2:$F$3015,$B190)+SUMIFS('Web Feed'!$O$2:$O$3015,'Web Feed'!$B$2:$B$3015,Points!$A$3,'Web Feed'!$G$2:$G$3015,$B190)+SUMIFS('Web Feed'!$O$2:$O$3015,'Web Feed'!$B$2:$B$3015,Points!$A$3,'Web Feed'!$H$2:$H$3015,$B190)+SUMIFS('Web Feed'!$O$2:$O$3015,'Web Feed'!$B$2:$B$3015,Points!$A$3,'Web Feed'!$I$2:$I$3015,$B190))</f>
        <v/>
      </c>
      <c r="F190">
        <f>IF($B190="","",SUMIFS('Web Feed'!$O$2:$O$3015,'Web Feed'!$B$2:$B$3015,Points!$A$4,'Web Feed'!$F$2:$F$3015,$B190)+SUMIFS('Web Feed'!$O$2:$O$3015,'Web Feed'!$B$2:$B$3015,Points!$A$4,'Web Feed'!$G$2:$G$3015,$B190)+SUMIFS('Web Feed'!$O$2:$O$3015,'Web Feed'!$B$2:$B$3015,Points!$A$4,'Web Feed'!$H$2:$H$3015,$B190)+SUMIFS('Web Feed'!$O$2:$O$3015,'Web Feed'!$B$2:$B$3015,Points!$A$4,'Web Feed'!$I$2:$I$3015,$B190))</f>
        <v/>
      </c>
      <c r="G190">
        <f>IF($B190="","",SUMIFS('Web Feed'!$O$2:$O$3015,'Web Feed'!$B$2:$B$3015,Points!$A$5,'Web Feed'!$F$2:$F$3015,$B190)+SUMIFS('Web Feed'!$O$2:$O$3015,'Web Feed'!$B$2:$B$3015,Points!$A$5,'Web Feed'!$G$2:$G$3015,$B190)+SUMIFS('Web Feed'!$O$2:$O$3015,'Web Feed'!$B$2:$B$3015,Points!$A$5,'Web Feed'!$H$2:$H$3015,$B190)+SUMIFS('Web Feed'!$O$2:$O$3015,'Web Feed'!$B$2:$B$3015,Points!$A$5,'Web Feed'!$I$2:$I$3015,$B190))</f>
        <v/>
      </c>
      <c r="H190">
        <f>IF($B190="","",SUMIFS('Web Feed'!$O$2:$O$3015,'Web Feed'!$B$2:$B$3015,Points!$A$6,'Web Feed'!$F$2:$F$3015,$B190)+SUMIFS('Web Feed'!$O$2:$O$3015,'Web Feed'!$B$2:$B$3015,Points!$A$6,'Web Feed'!$G$2:$G$3015,$B190)+SUMIFS('Web Feed'!$O$2:$O$3015,'Web Feed'!$B$2:$B$3015,Points!$A$6,'Web Feed'!$H$2:$H$3015,$B190)+SUMIFS('Web Feed'!$O$2:$O$3015,'Web Feed'!$B$2:$B$3015,Points!$A$6,'Web Feed'!$I$2:$I$3015,$B190))</f>
        <v/>
      </c>
      <c r="I190">
        <f>IF($B190="","",COUNTIFS('Web Feed'!$B$2:$B$3015,"OHW",'Web Feed'!$F$2:$F$3015,$B190))</f>
        <v/>
      </c>
      <c r="J190">
        <f>IF($B190="","",IFERROR(INDEX('Last Week'!$A$2:$A$301,MATCH($B190,'Last Week'!$B$2:$B$301,0)),""))</f>
        <v/>
      </c>
      <c r="K190">
        <f>IF(OR($B190="",$J190=""),"",$J190-$A190)</f>
        <v/>
      </c>
    </row>
    <row r="191">
      <c r="A191">
        <f>IF($B191="","",RANK($C191,$C$2:$C$500))</f>
        <v/>
      </c>
      <c r="B191">
        <f>IF(Players!$A191="","",Players!$A191)</f>
        <v/>
      </c>
      <c r="C191" s="5">
        <f>IF($B191="","",SUM(D191:H191))</f>
        <v/>
      </c>
      <c r="D191">
        <f>IF($B191="","",SUMIFS('Web Feed'!$O$2:$O$3015,'Web Feed'!$B$2:$B$3015,Points!$A$2,'Web Feed'!$F$2:$F$3015,$B191)+SUMIFS('Web Feed'!$O$2:$O$3015,'Web Feed'!$B$2:$B$3015,Points!$A$2,'Web Feed'!$G$2:$G$3015,$B191)+SUMIFS('Web Feed'!$O$2:$O$3015,'Web Feed'!$B$2:$B$3015,Points!$A$2,'Web Feed'!$H$2:$H$3015,$B191)+SUMIFS('Web Feed'!$O$2:$O$3015,'Web Feed'!$B$2:$B$3015,Points!$A$2,'Web Feed'!$I$2:$I$3015,$B191))</f>
        <v/>
      </c>
      <c r="E191">
        <f>IF($B191="","",SUMIFS('Web Feed'!$O$2:$O$3015,'Web Feed'!$B$2:$B$3015,Points!$A$3,'Web Feed'!$F$2:$F$3015,$B191)+SUMIFS('Web Feed'!$O$2:$O$3015,'Web Feed'!$B$2:$B$3015,Points!$A$3,'Web Feed'!$G$2:$G$3015,$B191)+SUMIFS('Web Feed'!$O$2:$O$3015,'Web Feed'!$B$2:$B$3015,Points!$A$3,'Web Feed'!$H$2:$H$3015,$B191)+SUMIFS('Web Feed'!$O$2:$O$3015,'Web Feed'!$B$2:$B$3015,Points!$A$3,'Web Feed'!$I$2:$I$3015,$B191))</f>
        <v/>
      </c>
      <c r="F191">
        <f>IF($B191="","",SUMIFS('Web Feed'!$O$2:$O$3015,'Web Feed'!$B$2:$B$3015,Points!$A$4,'Web Feed'!$F$2:$F$3015,$B191)+SUMIFS('Web Feed'!$O$2:$O$3015,'Web Feed'!$B$2:$B$3015,Points!$A$4,'Web Feed'!$G$2:$G$3015,$B191)+SUMIFS('Web Feed'!$O$2:$O$3015,'Web Feed'!$B$2:$B$3015,Points!$A$4,'Web Feed'!$H$2:$H$3015,$B191)+SUMIFS('Web Feed'!$O$2:$O$3015,'Web Feed'!$B$2:$B$3015,Points!$A$4,'Web Feed'!$I$2:$I$3015,$B191))</f>
        <v/>
      </c>
      <c r="G191">
        <f>IF($B191="","",SUMIFS('Web Feed'!$O$2:$O$3015,'Web Feed'!$B$2:$B$3015,Points!$A$5,'Web Feed'!$F$2:$F$3015,$B191)+SUMIFS('Web Feed'!$O$2:$O$3015,'Web Feed'!$B$2:$B$3015,Points!$A$5,'Web Feed'!$G$2:$G$3015,$B191)+SUMIFS('Web Feed'!$O$2:$O$3015,'Web Feed'!$B$2:$B$3015,Points!$A$5,'Web Feed'!$H$2:$H$3015,$B191)+SUMIFS('Web Feed'!$O$2:$O$3015,'Web Feed'!$B$2:$B$3015,Points!$A$5,'Web Feed'!$I$2:$I$3015,$B191))</f>
        <v/>
      </c>
      <c r="H191">
        <f>IF($B191="","",SUMIFS('Web Feed'!$O$2:$O$3015,'Web Feed'!$B$2:$B$3015,Points!$A$6,'Web Feed'!$F$2:$F$3015,$B191)+SUMIFS('Web Feed'!$O$2:$O$3015,'Web Feed'!$B$2:$B$3015,Points!$A$6,'Web Feed'!$G$2:$G$3015,$B191)+SUMIFS('Web Feed'!$O$2:$O$3015,'Web Feed'!$B$2:$B$3015,Points!$A$6,'Web Feed'!$H$2:$H$3015,$B191)+SUMIFS('Web Feed'!$O$2:$O$3015,'Web Feed'!$B$2:$B$3015,Points!$A$6,'Web Feed'!$I$2:$I$3015,$B191))</f>
        <v/>
      </c>
      <c r="I191">
        <f>IF($B191="","",COUNTIFS('Web Feed'!$B$2:$B$3015,"OHW",'Web Feed'!$F$2:$F$3015,$B191))</f>
        <v/>
      </c>
      <c r="J191">
        <f>IF($B191="","",IFERROR(INDEX('Last Week'!$A$2:$A$301,MATCH($B191,'Last Week'!$B$2:$B$301,0)),""))</f>
        <v/>
      </c>
      <c r="K191">
        <f>IF(OR($B191="",$J191=""),"",$J191-$A191)</f>
        <v/>
      </c>
    </row>
    <row r="192">
      <c r="A192">
        <f>IF($B192="","",RANK($C192,$C$2:$C$500))</f>
        <v/>
      </c>
      <c r="B192">
        <f>IF(Players!$A192="","",Players!$A192)</f>
        <v/>
      </c>
      <c r="C192" s="5">
        <f>IF($B192="","",SUM(D192:H192))</f>
        <v/>
      </c>
      <c r="D192">
        <f>IF($B192="","",SUMIFS('Web Feed'!$O$2:$O$3015,'Web Feed'!$B$2:$B$3015,Points!$A$2,'Web Feed'!$F$2:$F$3015,$B192)+SUMIFS('Web Feed'!$O$2:$O$3015,'Web Feed'!$B$2:$B$3015,Points!$A$2,'Web Feed'!$G$2:$G$3015,$B192)+SUMIFS('Web Feed'!$O$2:$O$3015,'Web Feed'!$B$2:$B$3015,Points!$A$2,'Web Feed'!$H$2:$H$3015,$B192)+SUMIFS('Web Feed'!$O$2:$O$3015,'Web Feed'!$B$2:$B$3015,Points!$A$2,'Web Feed'!$I$2:$I$3015,$B192))</f>
        <v/>
      </c>
      <c r="E192">
        <f>IF($B192="","",SUMIFS('Web Feed'!$O$2:$O$3015,'Web Feed'!$B$2:$B$3015,Points!$A$3,'Web Feed'!$F$2:$F$3015,$B192)+SUMIFS('Web Feed'!$O$2:$O$3015,'Web Feed'!$B$2:$B$3015,Points!$A$3,'Web Feed'!$G$2:$G$3015,$B192)+SUMIFS('Web Feed'!$O$2:$O$3015,'Web Feed'!$B$2:$B$3015,Points!$A$3,'Web Feed'!$H$2:$H$3015,$B192)+SUMIFS('Web Feed'!$O$2:$O$3015,'Web Feed'!$B$2:$B$3015,Points!$A$3,'Web Feed'!$I$2:$I$3015,$B192))</f>
        <v/>
      </c>
      <c r="F192">
        <f>IF($B192="","",SUMIFS('Web Feed'!$O$2:$O$3015,'Web Feed'!$B$2:$B$3015,Points!$A$4,'Web Feed'!$F$2:$F$3015,$B192)+SUMIFS('Web Feed'!$O$2:$O$3015,'Web Feed'!$B$2:$B$3015,Points!$A$4,'Web Feed'!$G$2:$G$3015,$B192)+SUMIFS('Web Feed'!$O$2:$O$3015,'Web Feed'!$B$2:$B$3015,Points!$A$4,'Web Feed'!$H$2:$H$3015,$B192)+SUMIFS('Web Feed'!$O$2:$O$3015,'Web Feed'!$B$2:$B$3015,Points!$A$4,'Web Feed'!$I$2:$I$3015,$B192))</f>
        <v/>
      </c>
      <c r="G192">
        <f>IF($B192="","",SUMIFS('Web Feed'!$O$2:$O$3015,'Web Feed'!$B$2:$B$3015,Points!$A$5,'Web Feed'!$F$2:$F$3015,$B192)+SUMIFS('Web Feed'!$O$2:$O$3015,'Web Feed'!$B$2:$B$3015,Points!$A$5,'Web Feed'!$G$2:$G$3015,$B192)+SUMIFS('Web Feed'!$O$2:$O$3015,'Web Feed'!$B$2:$B$3015,Points!$A$5,'Web Feed'!$H$2:$H$3015,$B192)+SUMIFS('Web Feed'!$O$2:$O$3015,'Web Feed'!$B$2:$B$3015,Points!$A$5,'Web Feed'!$I$2:$I$3015,$B192))</f>
        <v/>
      </c>
      <c r="H192">
        <f>IF($B192="","",SUMIFS('Web Feed'!$O$2:$O$3015,'Web Feed'!$B$2:$B$3015,Points!$A$6,'Web Feed'!$F$2:$F$3015,$B192)+SUMIFS('Web Feed'!$O$2:$O$3015,'Web Feed'!$B$2:$B$3015,Points!$A$6,'Web Feed'!$G$2:$G$3015,$B192)+SUMIFS('Web Feed'!$O$2:$O$3015,'Web Feed'!$B$2:$B$3015,Points!$A$6,'Web Feed'!$H$2:$H$3015,$B192)+SUMIFS('Web Feed'!$O$2:$O$3015,'Web Feed'!$B$2:$B$3015,Points!$A$6,'Web Feed'!$I$2:$I$3015,$B192))</f>
        <v/>
      </c>
      <c r="I192">
        <f>IF($B192="","",COUNTIFS('Web Feed'!$B$2:$B$3015,"OHW",'Web Feed'!$F$2:$F$3015,$B192))</f>
        <v/>
      </c>
      <c r="J192">
        <f>IF($B192="","",IFERROR(INDEX('Last Week'!$A$2:$A$301,MATCH($B192,'Last Week'!$B$2:$B$301,0)),""))</f>
        <v/>
      </c>
      <c r="K192">
        <f>IF(OR($B192="",$J192=""),"",$J192-$A192)</f>
        <v/>
      </c>
    </row>
    <row r="193">
      <c r="A193">
        <f>IF($B193="","",RANK($C193,$C$2:$C$500))</f>
        <v/>
      </c>
      <c r="B193">
        <f>IF(Players!$A193="","",Players!$A193)</f>
        <v/>
      </c>
      <c r="C193" s="5">
        <f>IF($B193="","",SUM(D193:H193))</f>
        <v/>
      </c>
      <c r="D193">
        <f>IF($B193="","",SUMIFS('Web Feed'!$O$2:$O$3015,'Web Feed'!$B$2:$B$3015,Points!$A$2,'Web Feed'!$F$2:$F$3015,$B193)+SUMIFS('Web Feed'!$O$2:$O$3015,'Web Feed'!$B$2:$B$3015,Points!$A$2,'Web Feed'!$G$2:$G$3015,$B193)+SUMIFS('Web Feed'!$O$2:$O$3015,'Web Feed'!$B$2:$B$3015,Points!$A$2,'Web Feed'!$H$2:$H$3015,$B193)+SUMIFS('Web Feed'!$O$2:$O$3015,'Web Feed'!$B$2:$B$3015,Points!$A$2,'Web Feed'!$I$2:$I$3015,$B193))</f>
        <v/>
      </c>
      <c r="E193">
        <f>IF($B193="","",SUMIFS('Web Feed'!$O$2:$O$3015,'Web Feed'!$B$2:$B$3015,Points!$A$3,'Web Feed'!$F$2:$F$3015,$B193)+SUMIFS('Web Feed'!$O$2:$O$3015,'Web Feed'!$B$2:$B$3015,Points!$A$3,'Web Feed'!$G$2:$G$3015,$B193)+SUMIFS('Web Feed'!$O$2:$O$3015,'Web Feed'!$B$2:$B$3015,Points!$A$3,'Web Feed'!$H$2:$H$3015,$B193)+SUMIFS('Web Feed'!$O$2:$O$3015,'Web Feed'!$B$2:$B$3015,Points!$A$3,'Web Feed'!$I$2:$I$3015,$B193))</f>
        <v/>
      </c>
      <c r="F193">
        <f>IF($B193="","",SUMIFS('Web Feed'!$O$2:$O$3015,'Web Feed'!$B$2:$B$3015,Points!$A$4,'Web Feed'!$F$2:$F$3015,$B193)+SUMIFS('Web Feed'!$O$2:$O$3015,'Web Feed'!$B$2:$B$3015,Points!$A$4,'Web Feed'!$G$2:$G$3015,$B193)+SUMIFS('Web Feed'!$O$2:$O$3015,'Web Feed'!$B$2:$B$3015,Points!$A$4,'Web Feed'!$H$2:$H$3015,$B193)+SUMIFS('Web Feed'!$O$2:$O$3015,'Web Feed'!$B$2:$B$3015,Points!$A$4,'Web Feed'!$I$2:$I$3015,$B193))</f>
        <v/>
      </c>
      <c r="G193">
        <f>IF($B193="","",SUMIFS('Web Feed'!$O$2:$O$3015,'Web Feed'!$B$2:$B$3015,Points!$A$5,'Web Feed'!$F$2:$F$3015,$B193)+SUMIFS('Web Feed'!$O$2:$O$3015,'Web Feed'!$B$2:$B$3015,Points!$A$5,'Web Feed'!$G$2:$G$3015,$B193)+SUMIFS('Web Feed'!$O$2:$O$3015,'Web Feed'!$B$2:$B$3015,Points!$A$5,'Web Feed'!$H$2:$H$3015,$B193)+SUMIFS('Web Feed'!$O$2:$O$3015,'Web Feed'!$B$2:$B$3015,Points!$A$5,'Web Feed'!$I$2:$I$3015,$B193))</f>
        <v/>
      </c>
      <c r="H193">
        <f>IF($B193="","",SUMIFS('Web Feed'!$O$2:$O$3015,'Web Feed'!$B$2:$B$3015,Points!$A$6,'Web Feed'!$F$2:$F$3015,$B193)+SUMIFS('Web Feed'!$O$2:$O$3015,'Web Feed'!$B$2:$B$3015,Points!$A$6,'Web Feed'!$G$2:$G$3015,$B193)+SUMIFS('Web Feed'!$O$2:$O$3015,'Web Feed'!$B$2:$B$3015,Points!$A$6,'Web Feed'!$H$2:$H$3015,$B193)+SUMIFS('Web Feed'!$O$2:$O$3015,'Web Feed'!$B$2:$B$3015,Points!$A$6,'Web Feed'!$I$2:$I$3015,$B193))</f>
        <v/>
      </c>
      <c r="I193">
        <f>IF($B193="","",COUNTIFS('Web Feed'!$B$2:$B$3015,"OHW",'Web Feed'!$F$2:$F$3015,$B193))</f>
        <v/>
      </c>
      <c r="J193">
        <f>IF($B193="","",IFERROR(INDEX('Last Week'!$A$2:$A$301,MATCH($B193,'Last Week'!$B$2:$B$301,0)),""))</f>
        <v/>
      </c>
      <c r="K193">
        <f>IF(OR($B193="",$J193=""),"",$J193-$A193)</f>
        <v/>
      </c>
    </row>
    <row r="194">
      <c r="A194">
        <f>IF($B194="","",RANK($C194,$C$2:$C$500))</f>
        <v/>
      </c>
      <c r="B194">
        <f>IF(Players!$A194="","",Players!$A194)</f>
        <v/>
      </c>
      <c r="C194" s="5">
        <f>IF($B194="","",SUM(D194:H194))</f>
        <v/>
      </c>
      <c r="D194">
        <f>IF($B194="","",SUMIFS('Web Feed'!$O$2:$O$3015,'Web Feed'!$B$2:$B$3015,Points!$A$2,'Web Feed'!$F$2:$F$3015,$B194)+SUMIFS('Web Feed'!$O$2:$O$3015,'Web Feed'!$B$2:$B$3015,Points!$A$2,'Web Feed'!$G$2:$G$3015,$B194)+SUMIFS('Web Feed'!$O$2:$O$3015,'Web Feed'!$B$2:$B$3015,Points!$A$2,'Web Feed'!$H$2:$H$3015,$B194)+SUMIFS('Web Feed'!$O$2:$O$3015,'Web Feed'!$B$2:$B$3015,Points!$A$2,'Web Feed'!$I$2:$I$3015,$B194))</f>
        <v/>
      </c>
      <c r="E194">
        <f>IF($B194="","",SUMIFS('Web Feed'!$O$2:$O$3015,'Web Feed'!$B$2:$B$3015,Points!$A$3,'Web Feed'!$F$2:$F$3015,$B194)+SUMIFS('Web Feed'!$O$2:$O$3015,'Web Feed'!$B$2:$B$3015,Points!$A$3,'Web Feed'!$G$2:$G$3015,$B194)+SUMIFS('Web Feed'!$O$2:$O$3015,'Web Feed'!$B$2:$B$3015,Points!$A$3,'Web Feed'!$H$2:$H$3015,$B194)+SUMIFS('Web Feed'!$O$2:$O$3015,'Web Feed'!$B$2:$B$3015,Points!$A$3,'Web Feed'!$I$2:$I$3015,$B194))</f>
        <v/>
      </c>
      <c r="F194">
        <f>IF($B194="","",SUMIFS('Web Feed'!$O$2:$O$3015,'Web Feed'!$B$2:$B$3015,Points!$A$4,'Web Feed'!$F$2:$F$3015,$B194)+SUMIFS('Web Feed'!$O$2:$O$3015,'Web Feed'!$B$2:$B$3015,Points!$A$4,'Web Feed'!$G$2:$G$3015,$B194)+SUMIFS('Web Feed'!$O$2:$O$3015,'Web Feed'!$B$2:$B$3015,Points!$A$4,'Web Feed'!$H$2:$H$3015,$B194)+SUMIFS('Web Feed'!$O$2:$O$3015,'Web Feed'!$B$2:$B$3015,Points!$A$4,'Web Feed'!$I$2:$I$3015,$B194))</f>
        <v/>
      </c>
      <c r="G194">
        <f>IF($B194="","",SUMIFS('Web Feed'!$O$2:$O$3015,'Web Feed'!$B$2:$B$3015,Points!$A$5,'Web Feed'!$F$2:$F$3015,$B194)+SUMIFS('Web Feed'!$O$2:$O$3015,'Web Feed'!$B$2:$B$3015,Points!$A$5,'Web Feed'!$G$2:$G$3015,$B194)+SUMIFS('Web Feed'!$O$2:$O$3015,'Web Feed'!$B$2:$B$3015,Points!$A$5,'Web Feed'!$H$2:$H$3015,$B194)+SUMIFS('Web Feed'!$O$2:$O$3015,'Web Feed'!$B$2:$B$3015,Points!$A$5,'Web Feed'!$I$2:$I$3015,$B194))</f>
        <v/>
      </c>
      <c r="H194">
        <f>IF($B194="","",SUMIFS('Web Feed'!$O$2:$O$3015,'Web Feed'!$B$2:$B$3015,Points!$A$6,'Web Feed'!$F$2:$F$3015,$B194)+SUMIFS('Web Feed'!$O$2:$O$3015,'Web Feed'!$B$2:$B$3015,Points!$A$6,'Web Feed'!$G$2:$G$3015,$B194)+SUMIFS('Web Feed'!$O$2:$O$3015,'Web Feed'!$B$2:$B$3015,Points!$A$6,'Web Feed'!$H$2:$H$3015,$B194)+SUMIFS('Web Feed'!$O$2:$O$3015,'Web Feed'!$B$2:$B$3015,Points!$A$6,'Web Feed'!$I$2:$I$3015,$B194))</f>
        <v/>
      </c>
      <c r="I194">
        <f>IF($B194="","",COUNTIFS('Web Feed'!$B$2:$B$3015,"OHW",'Web Feed'!$F$2:$F$3015,$B194))</f>
        <v/>
      </c>
      <c r="J194">
        <f>IF($B194="","",IFERROR(INDEX('Last Week'!$A$2:$A$301,MATCH($B194,'Last Week'!$B$2:$B$301,0)),""))</f>
        <v/>
      </c>
      <c r="K194">
        <f>IF(OR($B194="",$J194=""),"",$J194-$A194)</f>
        <v/>
      </c>
    </row>
    <row r="195">
      <c r="A195">
        <f>IF($B195="","",RANK($C195,$C$2:$C$500))</f>
        <v/>
      </c>
      <c r="B195">
        <f>IF(Players!$A195="","",Players!$A195)</f>
        <v/>
      </c>
      <c r="C195" s="5">
        <f>IF($B195="","",SUM(D195:H195))</f>
        <v/>
      </c>
      <c r="D195">
        <f>IF($B195="","",SUMIFS('Web Feed'!$O$2:$O$3015,'Web Feed'!$B$2:$B$3015,Points!$A$2,'Web Feed'!$F$2:$F$3015,$B195)+SUMIFS('Web Feed'!$O$2:$O$3015,'Web Feed'!$B$2:$B$3015,Points!$A$2,'Web Feed'!$G$2:$G$3015,$B195)+SUMIFS('Web Feed'!$O$2:$O$3015,'Web Feed'!$B$2:$B$3015,Points!$A$2,'Web Feed'!$H$2:$H$3015,$B195)+SUMIFS('Web Feed'!$O$2:$O$3015,'Web Feed'!$B$2:$B$3015,Points!$A$2,'Web Feed'!$I$2:$I$3015,$B195))</f>
        <v/>
      </c>
      <c r="E195">
        <f>IF($B195="","",SUMIFS('Web Feed'!$O$2:$O$3015,'Web Feed'!$B$2:$B$3015,Points!$A$3,'Web Feed'!$F$2:$F$3015,$B195)+SUMIFS('Web Feed'!$O$2:$O$3015,'Web Feed'!$B$2:$B$3015,Points!$A$3,'Web Feed'!$G$2:$G$3015,$B195)+SUMIFS('Web Feed'!$O$2:$O$3015,'Web Feed'!$B$2:$B$3015,Points!$A$3,'Web Feed'!$H$2:$H$3015,$B195)+SUMIFS('Web Feed'!$O$2:$O$3015,'Web Feed'!$B$2:$B$3015,Points!$A$3,'Web Feed'!$I$2:$I$3015,$B195))</f>
        <v/>
      </c>
      <c r="F195">
        <f>IF($B195="","",SUMIFS('Web Feed'!$O$2:$O$3015,'Web Feed'!$B$2:$B$3015,Points!$A$4,'Web Feed'!$F$2:$F$3015,$B195)+SUMIFS('Web Feed'!$O$2:$O$3015,'Web Feed'!$B$2:$B$3015,Points!$A$4,'Web Feed'!$G$2:$G$3015,$B195)+SUMIFS('Web Feed'!$O$2:$O$3015,'Web Feed'!$B$2:$B$3015,Points!$A$4,'Web Feed'!$H$2:$H$3015,$B195)+SUMIFS('Web Feed'!$O$2:$O$3015,'Web Feed'!$B$2:$B$3015,Points!$A$4,'Web Feed'!$I$2:$I$3015,$B195))</f>
        <v/>
      </c>
      <c r="G195">
        <f>IF($B195="","",SUMIFS('Web Feed'!$O$2:$O$3015,'Web Feed'!$B$2:$B$3015,Points!$A$5,'Web Feed'!$F$2:$F$3015,$B195)+SUMIFS('Web Feed'!$O$2:$O$3015,'Web Feed'!$B$2:$B$3015,Points!$A$5,'Web Feed'!$G$2:$G$3015,$B195)+SUMIFS('Web Feed'!$O$2:$O$3015,'Web Feed'!$B$2:$B$3015,Points!$A$5,'Web Feed'!$H$2:$H$3015,$B195)+SUMIFS('Web Feed'!$O$2:$O$3015,'Web Feed'!$B$2:$B$3015,Points!$A$5,'Web Feed'!$I$2:$I$3015,$B195))</f>
        <v/>
      </c>
      <c r="H195">
        <f>IF($B195="","",SUMIFS('Web Feed'!$O$2:$O$3015,'Web Feed'!$B$2:$B$3015,Points!$A$6,'Web Feed'!$F$2:$F$3015,$B195)+SUMIFS('Web Feed'!$O$2:$O$3015,'Web Feed'!$B$2:$B$3015,Points!$A$6,'Web Feed'!$G$2:$G$3015,$B195)+SUMIFS('Web Feed'!$O$2:$O$3015,'Web Feed'!$B$2:$B$3015,Points!$A$6,'Web Feed'!$H$2:$H$3015,$B195)+SUMIFS('Web Feed'!$O$2:$O$3015,'Web Feed'!$B$2:$B$3015,Points!$A$6,'Web Feed'!$I$2:$I$3015,$B195))</f>
        <v/>
      </c>
      <c r="I195">
        <f>IF($B195="","",COUNTIFS('Web Feed'!$B$2:$B$3015,"OHW",'Web Feed'!$F$2:$F$3015,$B195))</f>
        <v/>
      </c>
      <c r="J195">
        <f>IF($B195="","",IFERROR(INDEX('Last Week'!$A$2:$A$301,MATCH($B195,'Last Week'!$B$2:$B$301,0)),""))</f>
        <v/>
      </c>
      <c r="K195">
        <f>IF(OR($B195="",$J195=""),"",$J195-$A195)</f>
        <v/>
      </c>
    </row>
    <row r="196">
      <c r="A196">
        <f>IF($B196="","",RANK($C196,$C$2:$C$500))</f>
        <v/>
      </c>
      <c r="B196">
        <f>IF(Players!$A196="","",Players!$A196)</f>
        <v/>
      </c>
      <c r="C196" s="5">
        <f>IF($B196="","",SUM(D196:H196))</f>
        <v/>
      </c>
      <c r="D196">
        <f>IF($B196="","",SUMIFS('Web Feed'!$O$2:$O$3015,'Web Feed'!$B$2:$B$3015,Points!$A$2,'Web Feed'!$F$2:$F$3015,$B196)+SUMIFS('Web Feed'!$O$2:$O$3015,'Web Feed'!$B$2:$B$3015,Points!$A$2,'Web Feed'!$G$2:$G$3015,$B196)+SUMIFS('Web Feed'!$O$2:$O$3015,'Web Feed'!$B$2:$B$3015,Points!$A$2,'Web Feed'!$H$2:$H$3015,$B196)+SUMIFS('Web Feed'!$O$2:$O$3015,'Web Feed'!$B$2:$B$3015,Points!$A$2,'Web Feed'!$I$2:$I$3015,$B196))</f>
        <v/>
      </c>
      <c r="E196">
        <f>IF($B196="","",SUMIFS('Web Feed'!$O$2:$O$3015,'Web Feed'!$B$2:$B$3015,Points!$A$3,'Web Feed'!$F$2:$F$3015,$B196)+SUMIFS('Web Feed'!$O$2:$O$3015,'Web Feed'!$B$2:$B$3015,Points!$A$3,'Web Feed'!$G$2:$G$3015,$B196)+SUMIFS('Web Feed'!$O$2:$O$3015,'Web Feed'!$B$2:$B$3015,Points!$A$3,'Web Feed'!$H$2:$H$3015,$B196)+SUMIFS('Web Feed'!$O$2:$O$3015,'Web Feed'!$B$2:$B$3015,Points!$A$3,'Web Feed'!$I$2:$I$3015,$B196))</f>
        <v/>
      </c>
      <c r="F196">
        <f>IF($B196="","",SUMIFS('Web Feed'!$O$2:$O$3015,'Web Feed'!$B$2:$B$3015,Points!$A$4,'Web Feed'!$F$2:$F$3015,$B196)+SUMIFS('Web Feed'!$O$2:$O$3015,'Web Feed'!$B$2:$B$3015,Points!$A$4,'Web Feed'!$G$2:$G$3015,$B196)+SUMIFS('Web Feed'!$O$2:$O$3015,'Web Feed'!$B$2:$B$3015,Points!$A$4,'Web Feed'!$H$2:$H$3015,$B196)+SUMIFS('Web Feed'!$O$2:$O$3015,'Web Feed'!$B$2:$B$3015,Points!$A$4,'Web Feed'!$I$2:$I$3015,$B196))</f>
        <v/>
      </c>
      <c r="G196">
        <f>IF($B196="","",SUMIFS('Web Feed'!$O$2:$O$3015,'Web Feed'!$B$2:$B$3015,Points!$A$5,'Web Feed'!$F$2:$F$3015,$B196)+SUMIFS('Web Feed'!$O$2:$O$3015,'Web Feed'!$B$2:$B$3015,Points!$A$5,'Web Feed'!$G$2:$G$3015,$B196)+SUMIFS('Web Feed'!$O$2:$O$3015,'Web Feed'!$B$2:$B$3015,Points!$A$5,'Web Feed'!$H$2:$H$3015,$B196)+SUMIFS('Web Feed'!$O$2:$O$3015,'Web Feed'!$B$2:$B$3015,Points!$A$5,'Web Feed'!$I$2:$I$3015,$B196))</f>
        <v/>
      </c>
      <c r="H196">
        <f>IF($B196="","",SUMIFS('Web Feed'!$O$2:$O$3015,'Web Feed'!$B$2:$B$3015,Points!$A$6,'Web Feed'!$F$2:$F$3015,$B196)+SUMIFS('Web Feed'!$O$2:$O$3015,'Web Feed'!$B$2:$B$3015,Points!$A$6,'Web Feed'!$G$2:$G$3015,$B196)+SUMIFS('Web Feed'!$O$2:$O$3015,'Web Feed'!$B$2:$B$3015,Points!$A$6,'Web Feed'!$H$2:$H$3015,$B196)+SUMIFS('Web Feed'!$O$2:$O$3015,'Web Feed'!$B$2:$B$3015,Points!$A$6,'Web Feed'!$I$2:$I$3015,$B196))</f>
        <v/>
      </c>
      <c r="I196">
        <f>IF($B196="","",COUNTIFS('Web Feed'!$B$2:$B$3015,"OHW",'Web Feed'!$F$2:$F$3015,$B196))</f>
        <v/>
      </c>
      <c r="J196">
        <f>IF($B196="","",IFERROR(INDEX('Last Week'!$A$2:$A$301,MATCH($B196,'Last Week'!$B$2:$B$301,0)),""))</f>
        <v/>
      </c>
      <c r="K196">
        <f>IF(OR($B196="",$J196=""),"",$J196-$A196)</f>
        <v/>
      </c>
    </row>
    <row r="197">
      <c r="A197">
        <f>IF($B197="","",RANK($C197,$C$2:$C$500))</f>
        <v/>
      </c>
      <c r="B197">
        <f>IF(Players!$A197="","",Players!$A197)</f>
        <v/>
      </c>
      <c r="C197" s="5">
        <f>IF($B197="","",SUM(D197:H197))</f>
        <v/>
      </c>
      <c r="D197">
        <f>IF($B197="","",SUMIFS('Web Feed'!$O$2:$O$3015,'Web Feed'!$B$2:$B$3015,Points!$A$2,'Web Feed'!$F$2:$F$3015,$B197)+SUMIFS('Web Feed'!$O$2:$O$3015,'Web Feed'!$B$2:$B$3015,Points!$A$2,'Web Feed'!$G$2:$G$3015,$B197)+SUMIFS('Web Feed'!$O$2:$O$3015,'Web Feed'!$B$2:$B$3015,Points!$A$2,'Web Feed'!$H$2:$H$3015,$B197)+SUMIFS('Web Feed'!$O$2:$O$3015,'Web Feed'!$B$2:$B$3015,Points!$A$2,'Web Feed'!$I$2:$I$3015,$B197))</f>
        <v/>
      </c>
      <c r="E197">
        <f>IF($B197="","",SUMIFS('Web Feed'!$O$2:$O$3015,'Web Feed'!$B$2:$B$3015,Points!$A$3,'Web Feed'!$F$2:$F$3015,$B197)+SUMIFS('Web Feed'!$O$2:$O$3015,'Web Feed'!$B$2:$B$3015,Points!$A$3,'Web Feed'!$G$2:$G$3015,$B197)+SUMIFS('Web Feed'!$O$2:$O$3015,'Web Feed'!$B$2:$B$3015,Points!$A$3,'Web Feed'!$H$2:$H$3015,$B197)+SUMIFS('Web Feed'!$O$2:$O$3015,'Web Feed'!$B$2:$B$3015,Points!$A$3,'Web Feed'!$I$2:$I$3015,$B197))</f>
        <v/>
      </c>
      <c r="F197">
        <f>IF($B197="","",SUMIFS('Web Feed'!$O$2:$O$3015,'Web Feed'!$B$2:$B$3015,Points!$A$4,'Web Feed'!$F$2:$F$3015,$B197)+SUMIFS('Web Feed'!$O$2:$O$3015,'Web Feed'!$B$2:$B$3015,Points!$A$4,'Web Feed'!$G$2:$G$3015,$B197)+SUMIFS('Web Feed'!$O$2:$O$3015,'Web Feed'!$B$2:$B$3015,Points!$A$4,'Web Feed'!$H$2:$H$3015,$B197)+SUMIFS('Web Feed'!$O$2:$O$3015,'Web Feed'!$B$2:$B$3015,Points!$A$4,'Web Feed'!$I$2:$I$3015,$B197))</f>
        <v/>
      </c>
      <c r="G197">
        <f>IF($B197="","",SUMIFS('Web Feed'!$O$2:$O$3015,'Web Feed'!$B$2:$B$3015,Points!$A$5,'Web Feed'!$F$2:$F$3015,$B197)+SUMIFS('Web Feed'!$O$2:$O$3015,'Web Feed'!$B$2:$B$3015,Points!$A$5,'Web Feed'!$G$2:$G$3015,$B197)+SUMIFS('Web Feed'!$O$2:$O$3015,'Web Feed'!$B$2:$B$3015,Points!$A$5,'Web Feed'!$H$2:$H$3015,$B197)+SUMIFS('Web Feed'!$O$2:$O$3015,'Web Feed'!$B$2:$B$3015,Points!$A$5,'Web Feed'!$I$2:$I$3015,$B197))</f>
        <v/>
      </c>
      <c r="H197">
        <f>IF($B197="","",SUMIFS('Web Feed'!$O$2:$O$3015,'Web Feed'!$B$2:$B$3015,Points!$A$6,'Web Feed'!$F$2:$F$3015,$B197)+SUMIFS('Web Feed'!$O$2:$O$3015,'Web Feed'!$B$2:$B$3015,Points!$A$6,'Web Feed'!$G$2:$G$3015,$B197)+SUMIFS('Web Feed'!$O$2:$O$3015,'Web Feed'!$B$2:$B$3015,Points!$A$6,'Web Feed'!$H$2:$H$3015,$B197)+SUMIFS('Web Feed'!$O$2:$O$3015,'Web Feed'!$B$2:$B$3015,Points!$A$6,'Web Feed'!$I$2:$I$3015,$B197))</f>
        <v/>
      </c>
      <c r="I197">
        <f>IF($B197="","",COUNTIFS('Web Feed'!$B$2:$B$3015,"OHW",'Web Feed'!$F$2:$F$3015,$B197))</f>
        <v/>
      </c>
      <c r="J197">
        <f>IF($B197="","",IFERROR(INDEX('Last Week'!$A$2:$A$301,MATCH($B197,'Last Week'!$B$2:$B$301,0)),""))</f>
        <v/>
      </c>
      <c r="K197">
        <f>IF(OR($B197="",$J197=""),"",$J197-$A197)</f>
        <v/>
      </c>
    </row>
    <row r="198">
      <c r="A198">
        <f>IF($B198="","",RANK($C198,$C$2:$C$500))</f>
        <v/>
      </c>
      <c r="B198">
        <f>IF(Players!$A198="","",Players!$A198)</f>
        <v/>
      </c>
      <c r="C198" s="5">
        <f>IF($B198="","",SUM(D198:H198))</f>
        <v/>
      </c>
      <c r="D198">
        <f>IF($B198="","",SUMIFS('Web Feed'!$O$2:$O$3015,'Web Feed'!$B$2:$B$3015,Points!$A$2,'Web Feed'!$F$2:$F$3015,$B198)+SUMIFS('Web Feed'!$O$2:$O$3015,'Web Feed'!$B$2:$B$3015,Points!$A$2,'Web Feed'!$G$2:$G$3015,$B198)+SUMIFS('Web Feed'!$O$2:$O$3015,'Web Feed'!$B$2:$B$3015,Points!$A$2,'Web Feed'!$H$2:$H$3015,$B198)+SUMIFS('Web Feed'!$O$2:$O$3015,'Web Feed'!$B$2:$B$3015,Points!$A$2,'Web Feed'!$I$2:$I$3015,$B198))</f>
        <v/>
      </c>
      <c r="E198">
        <f>IF($B198="","",SUMIFS('Web Feed'!$O$2:$O$3015,'Web Feed'!$B$2:$B$3015,Points!$A$3,'Web Feed'!$F$2:$F$3015,$B198)+SUMIFS('Web Feed'!$O$2:$O$3015,'Web Feed'!$B$2:$B$3015,Points!$A$3,'Web Feed'!$G$2:$G$3015,$B198)+SUMIFS('Web Feed'!$O$2:$O$3015,'Web Feed'!$B$2:$B$3015,Points!$A$3,'Web Feed'!$H$2:$H$3015,$B198)+SUMIFS('Web Feed'!$O$2:$O$3015,'Web Feed'!$B$2:$B$3015,Points!$A$3,'Web Feed'!$I$2:$I$3015,$B198))</f>
        <v/>
      </c>
      <c r="F198">
        <f>IF($B198="","",SUMIFS('Web Feed'!$O$2:$O$3015,'Web Feed'!$B$2:$B$3015,Points!$A$4,'Web Feed'!$F$2:$F$3015,$B198)+SUMIFS('Web Feed'!$O$2:$O$3015,'Web Feed'!$B$2:$B$3015,Points!$A$4,'Web Feed'!$G$2:$G$3015,$B198)+SUMIFS('Web Feed'!$O$2:$O$3015,'Web Feed'!$B$2:$B$3015,Points!$A$4,'Web Feed'!$H$2:$H$3015,$B198)+SUMIFS('Web Feed'!$O$2:$O$3015,'Web Feed'!$B$2:$B$3015,Points!$A$4,'Web Feed'!$I$2:$I$3015,$B198))</f>
        <v/>
      </c>
      <c r="G198">
        <f>IF($B198="","",SUMIFS('Web Feed'!$O$2:$O$3015,'Web Feed'!$B$2:$B$3015,Points!$A$5,'Web Feed'!$F$2:$F$3015,$B198)+SUMIFS('Web Feed'!$O$2:$O$3015,'Web Feed'!$B$2:$B$3015,Points!$A$5,'Web Feed'!$G$2:$G$3015,$B198)+SUMIFS('Web Feed'!$O$2:$O$3015,'Web Feed'!$B$2:$B$3015,Points!$A$5,'Web Feed'!$H$2:$H$3015,$B198)+SUMIFS('Web Feed'!$O$2:$O$3015,'Web Feed'!$B$2:$B$3015,Points!$A$5,'Web Feed'!$I$2:$I$3015,$B198))</f>
        <v/>
      </c>
      <c r="H198">
        <f>IF($B198="","",SUMIFS('Web Feed'!$O$2:$O$3015,'Web Feed'!$B$2:$B$3015,Points!$A$6,'Web Feed'!$F$2:$F$3015,$B198)+SUMIFS('Web Feed'!$O$2:$O$3015,'Web Feed'!$B$2:$B$3015,Points!$A$6,'Web Feed'!$G$2:$G$3015,$B198)+SUMIFS('Web Feed'!$O$2:$O$3015,'Web Feed'!$B$2:$B$3015,Points!$A$6,'Web Feed'!$H$2:$H$3015,$B198)+SUMIFS('Web Feed'!$O$2:$O$3015,'Web Feed'!$B$2:$B$3015,Points!$A$6,'Web Feed'!$I$2:$I$3015,$B198))</f>
        <v/>
      </c>
      <c r="I198">
        <f>IF($B198="","",COUNTIFS('Web Feed'!$B$2:$B$3015,"OHW",'Web Feed'!$F$2:$F$3015,$B198))</f>
        <v/>
      </c>
      <c r="J198">
        <f>IF($B198="","",IFERROR(INDEX('Last Week'!$A$2:$A$301,MATCH($B198,'Last Week'!$B$2:$B$301,0)),""))</f>
        <v/>
      </c>
      <c r="K198">
        <f>IF(OR($B198="",$J198=""),"",$J198-$A198)</f>
        <v/>
      </c>
    </row>
    <row r="199">
      <c r="A199">
        <f>IF($B199="","",RANK($C199,$C$2:$C$500))</f>
        <v/>
      </c>
      <c r="B199">
        <f>IF(Players!$A199="","",Players!$A199)</f>
        <v/>
      </c>
      <c r="C199" s="5">
        <f>IF($B199="","",SUM(D199:H199))</f>
        <v/>
      </c>
      <c r="D199">
        <f>IF($B199="","",SUMIFS('Web Feed'!$O$2:$O$3015,'Web Feed'!$B$2:$B$3015,Points!$A$2,'Web Feed'!$F$2:$F$3015,$B199)+SUMIFS('Web Feed'!$O$2:$O$3015,'Web Feed'!$B$2:$B$3015,Points!$A$2,'Web Feed'!$G$2:$G$3015,$B199)+SUMIFS('Web Feed'!$O$2:$O$3015,'Web Feed'!$B$2:$B$3015,Points!$A$2,'Web Feed'!$H$2:$H$3015,$B199)+SUMIFS('Web Feed'!$O$2:$O$3015,'Web Feed'!$B$2:$B$3015,Points!$A$2,'Web Feed'!$I$2:$I$3015,$B199))</f>
        <v/>
      </c>
      <c r="E199">
        <f>IF($B199="","",SUMIFS('Web Feed'!$O$2:$O$3015,'Web Feed'!$B$2:$B$3015,Points!$A$3,'Web Feed'!$F$2:$F$3015,$B199)+SUMIFS('Web Feed'!$O$2:$O$3015,'Web Feed'!$B$2:$B$3015,Points!$A$3,'Web Feed'!$G$2:$G$3015,$B199)+SUMIFS('Web Feed'!$O$2:$O$3015,'Web Feed'!$B$2:$B$3015,Points!$A$3,'Web Feed'!$H$2:$H$3015,$B199)+SUMIFS('Web Feed'!$O$2:$O$3015,'Web Feed'!$B$2:$B$3015,Points!$A$3,'Web Feed'!$I$2:$I$3015,$B199))</f>
        <v/>
      </c>
      <c r="F199">
        <f>IF($B199="","",SUMIFS('Web Feed'!$O$2:$O$3015,'Web Feed'!$B$2:$B$3015,Points!$A$4,'Web Feed'!$F$2:$F$3015,$B199)+SUMIFS('Web Feed'!$O$2:$O$3015,'Web Feed'!$B$2:$B$3015,Points!$A$4,'Web Feed'!$G$2:$G$3015,$B199)+SUMIFS('Web Feed'!$O$2:$O$3015,'Web Feed'!$B$2:$B$3015,Points!$A$4,'Web Feed'!$H$2:$H$3015,$B199)+SUMIFS('Web Feed'!$O$2:$O$3015,'Web Feed'!$B$2:$B$3015,Points!$A$4,'Web Feed'!$I$2:$I$3015,$B199))</f>
        <v/>
      </c>
      <c r="G199">
        <f>IF($B199="","",SUMIFS('Web Feed'!$O$2:$O$3015,'Web Feed'!$B$2:$B$3015,Points!$A$5,'Web Feed'!$F$2:$F$3015,$B199)+SUMIFS('Web Feed'!$O$2:$O$3015,'Web Feed'!$B$2:$B$3015,Points!$A$5,'Web Feed'!$G$2:$G$3015,$B199)+SUMIFS('Web Feed'!$O$2:$O$3015,'Web Feed'!$B$2:$B$3015,Points!$A$5,'Web Feed'!$H$2:$H$3015,$B199)+SUMIFS('Web Feed'!$O$2:$O$3015,'Web Feed'!$B$2:$B$3015,Points!$A$5,'Web Feed'!$I$2:$I$3015,$B199))</f>
        <v/>
      </c>
      <c r="H199">
        <f>IF($B199="","",SUMIFS('Web Feed'!$O$2:$O$3015,'Web Feed'!$B$2:$B$3015,Points!$A$6,'Web Feed'!$F$2:$F$3015,$B199)+SUMIFS('Web Feed'!$O$2:$O$3015,'Web Feed'!$B$2:$B$3015,Points!$A$6,'Web Feed'!$G$2:$G$3015,$B199)+SUMIFS('Web Feed'!$O$2:$O$3015,'Web Feed'!$B$2:$B$3015,Points!$A$6,'Web Feed'!$H$2:$H$3015,$B199)+SUMIFS('Web Feed'!$O$2:$O$3015,'Web Feed'!$B$2:$B$3015,Points!$A$6,'Web Feed'!$I$2:$I$3015,$B199))</f>
        <v/>
      </c>
      <c r="I199">
        <f>IF($B199="","",COUNTIFS('Web Feed'!$B$2:$B$3015,"OHW",'Web Feed'!$F$2:$F$3015,$B199))</f>
        <v/>
      </c>
      <c r="J199">
        <f>IF($B199="","",IFERROR(INDEX('Last Week'!$A$2:$A$301,MATCH($B199,'Last Week'!$B$2:$B$301,0)),""))</f>
        <v/>
      </c>
      <c r="K199">
        <f>IF(OR($B199="",$J199=""),"",$J199-$A199)</f>
        <v/>
      </c>
    </row>
    <row r="200">
      <c r="A200">
        <f>IF($B200="","",RANK($C200,$C$2:$C$500))</f>
        <v/>
      </c>
      <c r="B200">
        <f>IF(Players!$A200="","",Players!$A200)</f>
        <v/>
      </c>
      <c r="C200" s="5">
        <f>IF($B200="","",SUM(D200:H200))</f>
        <v/>
      </c>
      <c r="D200">
        <f>IF($B200="","",SUMIFS('Web Feed'!$O$2:$O$3015,'Web Feed'!$B$2:$B$3015,Points!$A$2,'Web Feed'!$F$2:$F$3015,$B200)+SUMIFS('Web Feed'!$O$2:$O$3015,'Web Feed'!$B$2:$B$3015,Points!$A$2,'Web Feed'!$G$2:$G$3015,$B200)+SUMIFS('Web Feed'!$O$2:$O$3015,'Web Feed'!$B$2:$B$3015,Points!$A$2,'Web Feed'!$H$2:$H$3015,$B200)+SUMIFS('Web Feed'!$O$2:$O$3015,'Web Feed'!$B$2:$B$3015,Points!$A$2,'Web Feed'!$I$2:$I$3015,$B200))</f>
        <v/>
      </c>
      <c r="E200">
        <f>IF($B200="","",SUMIFS('Web Feed'!$O$2:$O$3015,'Web Feed'!$B$2:$B$3015,Points!$A$3,'Web Feed'!$F$2:$F$3015,$B200)+SUMIFS('Web Feed'!$O$2:$O$3015,'Web Feed'!$B$2:$B$3015,Points!$A$3,'Web Feed'!$G$2:$G$3015,$B200)+SUMIFS('Web Feed'!$O$2:$O$3015,'Web Feed'!$B$2:$B$3015,Points!$A$3,'Web Feed'!$H$2:$H$3015,$B200)+SUMIFS('Web Feed'!$O$2:$O$3015,'Web Feed'!$B$2:$B$3015,Points!$A$3,'Web Feed'!$I$2:$I$3015,$B200))</f>
        <v/>
      </c>
      <c r="F200">
        <f>IF($B200="","",SUMIFS('Web Feed'!$O$2:$O$3015,'Web Feed'!$B$2:$B$3015,Points!$A$4,'Web Feed'!$F$2:$F$3015,$B200)+SUMIFS('Web Feed'!$O$2:$O$3015,'Web Feed'!$B$2:$B$3015,Points!$A$4,'Web Feed'!$G$2:$G$3015,$B200)+SUMIFS('Web Feed'!$O$2:$O$3015,'Web Feed'!$B$2:$B$3015,Points!$A$4,'Web Feed'!$H$2:$H$3015,$B200)+SUMIFS('Web Feed'!$O$2:$O$3015,'Web Feed'!$B$2:$B$3015,Points!$A$4,'Web Feed'!$I$2:$I$3015,$B200))</f>
        <v/>
      </c>
      <c r="G200">
        <f>IF($B200="","",SUMIFS('Web Feed'!$O$2:$O$3015,'Web Feed'!$B$2:$B$3015,Points!$A$5,'Web Feed'!$F$2:$F$3015,$B200)+SUMIFS('Web Feed'!$O$2:$O$3015,'Web Feed'!$B$2:$B$3015,Points!$A$5,'Web Feed'!$G$2:$G$3015,$B200)+SUMIFS('Web Feed'!$O$2:$O$3015,'Web Feed'!$B$2:$B$3015,Points!$A$5,'Web Feed'!$H$2:$H$3015,$B200)+SUMIFS('Web Feed'!$O$2:$O$3015,'Web Feed'!$B$2:$B$3015,Points!$A$5,'Web Feed'!$I$2:$I$3015,$B200))</f>
        <v/>
      </c>
      <c r="H200">
        <f>IF($B200="","",SUMIFS('Web Feed'!$O$2:$O$3015,'Web Feed'!$B$2:$B$3015,Points!$A$6,'Web Feed'!$F$2:$F$3015,$B200)+SUMIFS('Web Feed'!$O$2:$O$3015,'Web Feed'!$B$2:$B$3015,Points!$A$6,'Web Feed'!$G$2:$G$3015,$B200)+SUMIFS('Web Feed'!$O$2:$O$3015,'Web Feed'!$B$2:$B$3015,Points!$A$6,'Web Feed'!$H$2:$H$3015,$B200)+SUMIFS('Web Feed'!$O$2:$O$3015,'Web Feed'!$B$2:$B$3015,Points!$A$6,'Web Feed'!$I$2:$I$3015,$B200))</f>
        <v/>
      </c>
      <c r="I200">
        <f>IF($B200="","",COUNTIFS('Web Feed'!$B$2:$B$3015,"OHW",'Web Feed'!$F$2:$F$3015,$B200))</f>
        <v/>
      </c>
      <c r="J200">
        <f>IF($B200="","",IFERROR(INDEX('Last Week'!$A$2:$A$301,MATCH($B200,'Last Week'!$B$2:$B$301,0)),""))</f>
        <v/>
      </c>
      <c r="K200">
        <f>IF(OR($B200="",$J200=""),"",$J200-$A200)</f>
        <v/>
      </c>
    </row>
    <row r="201">
      <c r="A201">
        <f>IF($B201="","",RANK($C201,$C$2:$C$500))</f>
        <v/>
      </c>
      <c r="B201">
        <f>IF(Players!$A201="","",Players!$A201)</f>
        <v/>
      </c>
      <c r="C201" s="5">
        <f>IF($B201="","",SUM(D201:H201))</f>
        <v/>
      </c>
      <c r="D201">
        <f>IF($B201="","",SUMIFS('Web Feed'!$O$2:$O$3015,'Web Feed'!$B$2:$B$3015,Points!$A$2,'Web Feed'!$F$2:$F$3015,$B201)+SUMIFS('Web Feed'!$O$2:$O$3015,'Web Feed'!$B$2:$B$3015,Points!$A$2,'Web Feed'!$G$2:$G$3015,$B201)+SUMIFS('Web Feed'!$O$2:$O$3015,'Web Feed'!$B$2:$B$3015,Points!$A$2,'Web Feed'!$H$2:$H$3015,$B201)+SUMIFS('Web Feed'!$O$2:$O$3015,'Web Feed'!$B$2:$B$3015,Points!$A$2,'Web Feed'!$I$2:$I$3015,$B201))</f>
        <v/>
      </c>
      <c r="E201">
        <f>IF($B201="","",SUMIFS('Web Feed'!$O$2:$O$3015,'Web Feed'!$B$2:$B$3015,Points!$A$3,'Web Feed'!$F$2:$F$3015,$B201)+SUMIFS('Web Feed'!$O$2:$O$3015,'Web Feed'!$B$2:$B$3015,Points!$A$3,'Web Feed'!$G$2:$G$3015,$B201)+SUMIFS('Web Feed'!$O$2:$O$3015,'Web Feed'!$B$2:$B$3015,Points!$A$3,'Web Feed'!$H$2:$H$3015,$B201)+SUMIFS('Web Feed'!$O$2:$O$3015,'Web Feed'!$B$2:$B$3015,Points!$A$3,'Web Feed'!$I$2:$I$3015,$B201))</f>
        <v/>
      </c>
      <c r="F201">
        <f>IF($B201="","",SUMIFS('Web Feed'!$O$2:$O$3015,'Web Feed'!$B$2:$B$3015,Points!$A$4,'Web Feed'!$F$2:$F$3015,$B201)+SUMIFS('Web Feed'!$O$2:$O$3015,'Web Feed'!$B$2:$B$3015,Points!$A$4,'Web Feed'!$G$2:$G$3015,$B201)+SUMIFS('Web Feed'!$O$2:$O$3015,'Web Feed'!$B$2:$B$3015,Points!$A$4,'Web Feed'!$H$2:$H$3015,$B201)+SUMIFS('Web Feed'!$O$2:$O$3015,'Web Feed'!$B$2:$B$3015,Points!$A$4,'Web Feed'!$I$2:$I$3015,$B201))</f>
        <v/>
      </c>
      <c r="G201">
        <f>IF($B201="","",SUMIFS('Web Feed'!$O$2:$O$3015,'Web Feed'!$B$2:$B$3015,Points!$A$5,'Web Feed'!$F$2:$F$3015,$B201)+SUMIFS('Web Feed'!$O$2:$O$3015,'Web Feed'!$B$2:$B$3015,Points!$A$5,'Web Feed'!$G$2:$G$3015,$B201)+SUMIFS('Web Feed'!$O$2:$O$3015,'Web Feed'!$B$2:$B$3015,Points!$A$5,'Web Feed'!$H$2:$H$3015,$B201)+SUMIFS('Web Feed'!$O$2:$O$3015,'Web Feed'!$B$2:$B$3015,Points!$A$5,'Web Feed'!$I$2:$I$3015,$B201))</f>
        <v/>
      </c>
      <c r="H201">
        <f>IF($B201="","",SUMIFS('Web Feed'!$O$2:$O$3015,'Web Feed'!$B$2:$B$3015,Points!$A$6,'Web Feed'!$F$2:$F$3015,$B201)+SUMIFS('Web Feed'!$O$2:$O$3015,'Web Feed'!$B$2:$B$3015,Points!$A$6,'Web Feed'!$G$2:$G$3015,$B201)+SUMIFS('Web Feed'!$O$2:$O$3015,'Web Feed'!$B$2:$B$3015,Points!$A$6,'Web Feed'!$H$2:$H$3015,$B201)+SUMIFS('Web Feed'!$O$2:$O$3015,'Web Feed'!$B$2:$B$3015,Points!$A$6,'Web Feed'!$I$2:$I$3015,$B201))</f>
        <v/>
      </c>
      <c r="I201">
        <f>IF($B201="","",COUNTIFS('Web Feed'!$B$2:$B$3015,"OHW",'Web Feed'!$F$2:$F$3015,$B201))</f>
        <v/>
      </c>
      <c r="J201">
        <f>IF($B201="","",IFERROR(INDEX('Last Week'!$A$2:$A$301,MATCH($B201,'Last Week'!$B$2:$B$301,0)),""))</f>
        <v/>
      </c>
      <c r="K201">
        <f>IF(OR($B201="",$J201=""),"",$J201-$A201)</f>
        <v/>
      </c>
    </row>
    <row r="202">
      <c r="A202">
        <f>IF($B202="","",RANK($C202,$C$2:$C$500))</f>
        <v/>
      </c>
      <c r="B202">
        <f>IF(Players!$A202="","",Players!$A202)</f>
        <v/>
      </c>
      <c r="C202" s="5">
        <f>IF($B202="","",SUM(D202:H202))</f>
        <v/>
      </c>
      <c r="D202">
        <f>IF($B202="","",SUMIFS('Web Feed'!$O$2:$O$3015,'Web Feed'!$B$2:$B$3015,Points!$A$2,'Web Feed'!$F$2:$F$3015,$B202)+SUMIFS('Web Feed'!$O$2:$O$3015,'Web Feed'!$B$2:$B$3015,Points!$A$2,'Web Feed'!$G$2:$G$3015,$B202)+SUMIFS('Web Feed'!$O$2:$O$3015,'Web Feed'!$B$2:$B$3015,Points!$A$2,'Web Feed'!$H$2:$H$3015,$B202)+SUMIFS('Web Feed'!$O$2:$O$3015,'Web Feed'!$B$2:$B$3015,Points!$A$2,'Web Feed'!$I$2:$I$3015,$B202))</f>
        <v/>
      </c>
      <c r="E202">
        <f>IF($B202="","",SUMIFS('Web Feed'!$O$2:$O$3015,'Web Feed'!$B$2:$B$3015,Points!$A$3,'Web Feed'!$F$2:$F$3015,$B202)+SUMIFS('Web Feed'!$O$2:$O$3015,'Web Feed'!$B$2:$B$3015,Points!$A$3,'Web Feed'!$G$2:$G$3015,$B202)+SUMIFS('Web Feed'!$O$2:$O$3015,'Web Feed'!$B$2:$B$3015,Points!$A$3,'Web Feed'!$H$2:$H$3015,$B202)+SUMIFS('Web Feed'!$O$2:$O$3015,'Web Feed'!$B$2:$B$3015,Points!$A$3,'Web Feed'!$I$2:$I$3015,$B202))</f>
        <v/>
      </c>
      <c r="F202">
        <f>IF($B202="","",SUMIFS('Web Feed'!$O$2:$O$3015,'Web Feed'!$B$2:$B$3015,Points!$A$4,'Web Feed'!$F$2:$F$3015,$B202)+SUMIFS('Web Feed'!$O$2:$O$3015,'Web Feed'!$B$2:$B$3015,Points!$A$4,'Web Feed'!$G$2:$G$3015,$B202)+SUMIFS('Web Feed'!$O$2:$O$3015,'Web Feed'!$B$2:$B$3015,Points!$A$4,'Web Feed'!$H$2:$H$3015,$B202)+SUMIFS('Web Feed'!$O$2:$O$3015,'Web Feed'!$B$2:$B$3015,Points!$A$4,'Web Feed'!$I$2:$I$3015,$B202))</f>
        <v/>
      </c>
      <c r="G202">
        <f>IF($B202="","",SUMIFS('Web Feed'!$O$2:$O$3015,'Web Feed'!$B$2:$B$3015,Points!$A$5,'Web Feed'!$F$2:$F$3015,$B202)+SUMIFS('Web Feed'!$O$2:$O$3015,'Web Feed'!$B$2:$B$3015,Points!$A$5,'Web Feed'!$G$2:$G$3015,$B202)+SUMIFS('Web Feed'!$O$2:$O$3015,'Web Feed'!$B$2:$B$3015,Points!$A$5,'Web Feed'!$H$2:$H$3015,$B202)+SUMIFS('Web Feed'!$O$2:$O$3015,'Web Feed'!$B$2:$B$3015,Points!$A$5,'Web Feed'!$I$2:$I$3015,$B202))</f>
        <v/>
      </c>
      <c r="H202">
        <f>IF($B202="","",SUMIFS('Web Feed'!$O$2:$O$3015,'Web Feed'!$B$2:$B$3015,Points!$A$6,'Web Feed'!$F$2:$F$3015,$B202)+SUMIFS('Web Feed'!$O$2:$O$3015,'Web Feed'!$B$2:$B$3015,Points!$A$6,'Web Feed'!$G$2:$G$3015,$B202)+SUMIFS('Web Feed'!$O$2:$O$3015,'Web Feed'!$B$2:$B$3015,Points!$A$6,'Web Feed'!$H$2:$H$3015,$B202)+SUMIFS('Web Feed'!$O$2:$O$3015,'Web Feed'!$B$2:$B$3015,Points!$A$6,'Web Feed'!$I$2:$I$3015,$B202))</f>
        <v/>
      </c>
      <c r="I202">
        <f>IF($B202="","",COUNTIFS('Web Feed'!$B$2:$B$3015,"OHW",'Web Feed'!$F$2:$F$3015,$B202))</f>
        <v/>
      </c>
      <c r="J202">
        <f>IF($B202="","",IFERROR(INDEX('Last Week'!$A$2:$A$301,MATCH($B202,'Last Week'!$B$2:$B$301,0)),""))</f>
        <v/>
      </c>
      <c r="K202">
        <f>IF(OR($B202="",$J202=""),"",$J202-$A202)</f>
        <v/>
      </c>
    </row>
    <row r="203">
      <c r="A203">
        <f>IF($B203="","",RANK($C203,$C$2:$C$500))</f>
        <v/>
      </c>
      <c r="B203">
        <f>IF(Players!$A203="","",Players!$A203)</f>
        <v/>
      </c>
      <c r="C203" s="5">
        <f>IF($B203="","",SUM(D203:H203))</f>
        <v/>
      </c>
      <c r="D203">
        <f>IF($B203="","",SUMIFS('Web Feed'!$O$2:$O$3015,'Web Feed'!$B$2:$B$3015,Points!$A$2,'Web Feed'!$F$2:$F$3015,$B203)+SUMIFS('Web Feed'!$O$2:$O$3015,'Web Feed'!$B$2:$B$3015,Points!$A$2,'Web Feed'!$G$2:$G$3015,$B203)+SUMIFS('Web Feed'!$O$2:$O$3015,'Web Feed'!$B$2:$B$3015,Points!$A$2,'Web Feed'!$H$2:$H$3015,$B203)+SUMIFS('Web Feed'!$O$2:$O$3015,'Web Feed'!$B$2:$B$3015,Points!$A$2,'Web Feed'!$I$2:$I$3015,$B203))</f>
        <v/>
      </c>
      <c r="E203">
        <f>IF($B203="","",SUMIFS('Web Feed'!$O$2:$O$3015,'Web Feed'!$B$2:$B$3015,Points!$A$3,'Web Feed'!$F$2:$F$3015,$B203)+SUMIFS('Web Feed'!$O$2:$O$3015,'Web Feed'!$B$2:$B$3015,Points!$A$3,'Web Feed'!$G$2:$G$3015,$B203)+SUMIFS('Web Feed'!$O$2:$O$3015,'Web Feed'!$B$2:$B$3015,Points!$A$3,'Web Feed'!$H$2:$H$3015,$B203)+SUMIFS('Web Feed'!$O$2:$O$3015,'Web Feed'!$B$2:$B$3015,Points!$A$3,'Web Feed'!$I$2:$I$3015,$B203))</f>
        <v/>
      </c>
      <c r="F203">
        <f>IF($B203="","",SUMIFS('Web Feed'!$O$2:$O$3015,'Web Feed'!$B$2:$B$3015,Points!$A$4,'Web Feed'!$F$2:$F$3015,$B203)+SUMIFS('Web Feed'!$O$2:$O$3015,'Web Feed'!$B$2:$B$3015,Points!$A$4,'Web Feed'!$G$2:$G$3015,$B203)+SUMIFS('Web Feed'!$O$2:$O$3015,'Web Feed'!$B$2:$B$3015,Points!$A$4,'Web Feed'!$H$2:$H$3015,$B203)+SUMIFS('Web Feed'!$O$2:$O$3015,'Web Feed'!$B$2:$B$3015,Points!$A$4,'Web Feed'!$I$2:$I$3015,$B203))</f>
        <v/>
      </c>
      <c r="G203">
        <f>IF($B203="","",SUMIFS('Web Feed'!$O$2:$O$3015,'Web Feed'!$B$2:$B$3015,Points!$A$5,'Web Feed'!$F$2:$F$3015,$B203)+SUMIFS('Web Feed'!$O$2:$O$3015,'Web Feed'!$B$2:$B$3015,Points!$A$5,'Web Feed'!$G$2:$G$3015,$B203)+SUMIFS('Web Feed'!$O$2:$O$3015,'Web Feed'!$B$2:$B$3015,Points!$A$5,'Web Feed'!$H$2:$H$3015,$B203)+SUMIFS('Web Feed'!$O$2:$O$3015,'Web Feed'!$B$2:$B$3015,Points!$A$5,'Web Feed'!$I$2:$I$3015,$B203))</f>
        <v/>
      </c>
      <c r="H203">
        <f>IF($B203="","",SUMIFS('Web Feed'!$O$2:$O$3015,'Web Feed'!$B$2:$B$3015,Points!$A$6,'Web Feed'!$F$2:$F$3015,$B203)+SUMIFS('Web Feed'!$O$2:$O$3015,'Web Feed'!$B$2:$B$3015,Points!$A$6,'Web Feed'!$G$2:$G$3015,$B203)+SUMIFS('Web Feed'!$O$2:$O$3015,'Web Feed'!$B$2:$B$3015,Points!$A$6,'Web Feed'!$H$2:$H$3015,$B203)+SUMIFS('Web Feed'!$O$2:$O$3015,'Web Feed'!$B$2:$B$3015,Points!$A$6,'Web Feed'!$I$2:$I$3015,$B203))</f>
        <v/>
      </c>
      <c r="I203">
        <f>IF($B203="","",COUNTIFS('Web Feed'!$B$2:$B$3015,"OHW",'Web Feed'!$F$2:$F$3015,$B203))</f>
        <v/>
      </c>
      <c r="J203">
        <f>IF($B203="","",IFERROR(INDEX('Last Week'!$A$2:$A$301,MATCH($B203,'Last Week'!$B$2:$B$301,0)),""))</f>
        <v/>
      </c>
      <c r="K203">
        <f>IF(OR($B203="",$J203=""),"",$J203-$A203)</f>
        <v/>
      </c>
    </row>
    <row r="204">
      <c r="A204">
        <f>IF($B204="","",RANK($C204,$C$2:$C$500))</f>
        <v/>
      </c>
      <c r="B204">
        <f>IF(Players!$A204="","",Players!$A204)</f>
        <v/>
      </c>
      <c r="C204" s="5">
        <f>IF($B204="","",SUM(D204:H204))</f>
        <v/>
      </c>
      <c r="D204">
        <f>IF($B204="","",SUMIFS('Web Feed'!$O$2:$O$3015,'Web Feed'!$B$2:$B$3015,Points!$A$2,'Web Feed'!$F$2:$F$3015,$B204)+SUMIFS('Web Feed'!$O$2:$O$3015,'Web Feed'!$B$2:$B$3015,Points!$A$2,'Web Feed'!$G$2:$G$3015,$B204)+SUMIFS('Web Feed'!$O$2:$O$3015,'Web Feed'!$B$2:$B$3015,Points!$A$2,'Web Feed'!$H$2:$H$3015,$B204)+SUMIFS('Web Feed'!$O$2:$O$3015,'Web Feed'!$B$2:$B$3015,Points!$A$2,'Web Feed'!$I$2:$I$3015,$B204))</f>
        <v/>
      </c>
      <c r="E204">
        <f>IF($B204="","",SUMIFS('Web Feed'!$O$2:$O$3015,'Web Feed'!$B$2:$B$3015,Points!$A$3,'Web Feed'!$F$2:$F$3015,$B204)+SUMIFS('Web Feed'!$O$2:$O$3015,'Web Feed'!$B$2:$B$3015,Points!$A$3,'Web Feed'!$G$2:$G$3015,$B204)+SUMIFS('Web Feed'!$O$2:$O$3015,'Web Feed'!$B$2:$B$3015,Points!$A$3,'Web Feed'!$H$2:$H$3015,$B204)+SUMIFS('Web Feed'!$O$2:$O$3015,'Web Feed'!$B$2:$B$3015,Points!$A$3,'Web Feed'!$I$2:$I$3015,$B204))</f>
        <v/>
      </c>
      <c r="F204">
        <f>IF($B204="","",SUMIFS('Web Feed'!$O$2:$O$3015,'Web Feed'!$B$2:$B$3015,Points!$A$4,'Web Feed'!$F$2:$F$3015,$B204)+SUMIFS('Web Feed'!$O$2:$O$3015,'Web Feed'!$B$2:$B$3015,Points!$A$4,'Web Feed'!$G$2:$G$3015,$B204)+SUMIFS('Web Feed'!$O$2:$O$3015,'Web Feed'!$B$2:$B$3015,Points!$A$4,'Web Feed'!$H$2:$H$3015,$B204)+SUMIFS('Web Feed'!$O$2:$O$3015,'Web Feed'!$B$2:$B$3015,Points!$A$4,'Web Feed'!$I$2:$I$3015,$B204))</f>
        <v/>
      </c>
      <c r="G204">
        <f>IF($B204="","",SUMIFS('Web Feed'!$O$2:$O$3015,'Web Feed'!$B$2:$B$3015,Points!$A$5,'Web Feed'!$F$2:$F$3015,$B204)+SUMIFS('Web Feed'!$O$2:$O$3015,'Web Feed'!$B$2:$B$3015,Points!$A$5,'Web Feed'!$G$2:$G$3015,$B204)+SUMIFS('Web Feed'!$O$2:$O$3015,'Web Feed'!$B$2:$B$3015,Points!$A$5,'Web Feed'!$H$2:$H$3015,$B204)+SUMIFS('Web Feed'!$O$2:$O$3015,'Web Feed'!$B$2:$B$3015,Points!$A$5,'Web Feed'!$I$2:$I$3015,$B204))</f>
        <v/>
      </c>
      <c r="H204">
        <f>IF($B204="","",SUMIFS('Web Feed'!$O$2:$O$3015,'Web Feed'!$B$2:$B$3015,Points!$A$6,'Web Feed'!$F$2:$F$3015,$B204)+SUMIFS('Web Feed'!$O$2:$O$3015,'Web Feed'!$B$2:$B$3015,Points!$A$6,'Web Feed'!$G$2:$G$3015,$B204)+SUMIFS('Web Feed'!$O$2:$O$3015,'Web Feed'!$B$2:$B$3015,Points!$A$6,'Web Feed'!$H$2:$H$3015,$B204)+SUMIFS('Web Feed'!$O$2:$O$3015,'Web Feed'!$B$2:$B$3015,Points!$A$6,'Web Feed'!$I$2:$I$3015,$B204))</f>
        <v/>
      </c>
      <c r="I204">
        <f>IF($B204="","",COUNTIFS('Web Feed'!$B$2:$B$3015,"OHW",'Web Feed'!$F$2:$F$3015,$B204))</f>
        <v/>
      </c>
      <c r="J204">
        <f>IF($B204="","",IFERROR(INDEX('Last Week'!$A$2:$A$301,MATCH($B204,'Last Week'!$B$2:$B$301,0)),""))</f>
        <v/>
      </c>
      <c r="K204">
        <f>IF(OR($B204="",$J204=""),"",$J204-$A204)</f>
        <v/>
      </c>
    </row>
    <row r="205">
      <c r="A205">
        <f>IF($B205="","",RANK($C205,$C$2:$C$500))</f>
        <v/>
      </c>
      <c r="B205">
        <f>IF(Players!$A205="","",Players!$A205)</f>
        <v/>
      </c>
      <c r="C205" s="5">
        <f>IF($B205="","",SUM(D205:H205))</f>
        <v/>
      </c>
      <c r="D205">
        <f>IF($B205="","",SUMIFS('Web Feed'!$O$2:$O$3015,'Web Feed'!$B$2:$B$3015,Points!$A$2,'Web Feed'!$F$2:$F$3015,$B205)+SUMIFS('Web Feed'!$O$2:$O$3015,'Web Feed'!$B$2:$B$3015,Points!$A$2,'Web Feed'!$G$2:$G$3015,$B205)+SUMIFS('Web Feed'!$O$2:$O$3015,'Web Feed'!$B$2:$B$3015,Points!$A$2,'Web Feed'!$H$2:$H$3015,$B205)+SUMIFS('Web Feed'!$O$2:$O$3015,'Web Feed'!$B$2:$B$3015,Points!$A$2,'Web Feed'!$I$2:$I$3015,$B205))</f>
        <v/>
      </c>
      <c r="E205">
        <f>IF($B205="","",SUMIFS('Web Feed'!$O$2:$O$3015,'Web Feed'!$B$2:$B$3015,Points!$A$3,'Web Feed'!$F$2:$F$3015,$B205)+SUMIFS('Web Feed'!$O$2:$O$3015,'Web Feed'!$B$2:$B$3015,Points!$A$3,'Web Feed'!$G$2:$G$3015,$B205)+SUMIFS('Web Feed'!$O$2:$O$3015,'Web Feed'!$B$2:$B$3015,Points!$A$3,'Web Feed'!$H$2:$H$3015,$B205)+SUMIFS('Web Feed'!$O$2:$O$3015,'Web Feed'!$B$2:$B$3015,Points!$A$3,'Web Feed'!$I$2:$I$3015,$B205))</f>
        <v/>
      </c>
      <c r="F205">
        <f>IF($B205="","",SUMIFS('Web Feed'!$O$2:$O$3015,'Web Feed'!$B$2:$B$3015,Points!$A$4,'Web Feed'!$F$2:$F$3015,$B205)+SUMIFS('Web Feed'!$O$2:$O$3015,'Web Feed'!$B$2:$B$3015,Points!$A$4,'Web Feed'!$G$2:$G$3015,$B205)+SUMIFS('Web Feed'!$O$2:$O$3015,'Web Feed'!$B$2:$B$3015,Points!$A$4,'Web Feed'!$H$2:$H$3015,$B205)+SUMIFS('Web Feed'!$O$2:$O$3015,'Web Feed'!$B$2:$B$3015,Points!$A$4,'Web Feed'!$I$2:$I$3015,$B205))</f>
        <v/>
      </c>
      <c r="G205">
        <f>IF($B205="","",SUMIFS('Web Feed'!$O$2:$O$3015,'Web Feed'!$B$2:$B$3015,Points!$A$5,'Web Feed'!$F$2:$F$3015,$B205)+SUMIFS('Web Feed'!$O$2:$O$3015,'Web Feed'!$B$2:$B$3015,Points!$A$5,'Web Feed'!$G$2:$G$3015,$B205)+SUMIFS('Web Feed'!$O$2:$O$3015,'Web Feed'!$B$2:$B$3015,Points!$A$5,'Web Feed'!$H$2:$H$3015,$B205)+SUMIFS('Web Feed'!$O$2:$O$3015,'Web Feed'!$B$2:$B$3015,Points!$A$5,'Web Feed'!$I$2:$I$3015,$B205))</f>
        <v/>
      </c>
      <c r="H205">
        <f>IF($B205="","",SUMIFS('Web Feed'!$O$2:$O$3015,'Web Feed'!$B$2:$B$3015,Points!$A$6,'Web Feed'!$F$2:$F$3015,$B205)+SUMIFS('Web Feed'!$O$2:$O$3015,'Web Feed'!$B$2:$B$3015,Points!$A$6,'Web Feed'!$G$2:$G$3015,$B205)+SUMIFS('Web Feed'!$O$2:$O$3015,'Web Feed'!$B$2:$B$3015,Points!$A$6,'Web Feed'!$H$2:$H$3015,$B205)+SUMIFS('Web Feed'!$O$2:$O$3015,'Web Feed'!$B$2:$B$3015,Points!$A$6,'Web Feed'!$I$2:$I$3015,$B205))</f>
        <v/>
      </c>
      <c r="I205">
        <f>IF($B205="","",COUNTIFS('Web Feed'!$B$2:$B$3015,"OHW",'Web Feed'!$F$2:$F$3015,$B205))</f>
        <v/>
      </c>
      <c r="J205">
        <f>IF($B205="","",IFERROR(INDEX('Last Week'!$A$2:$A$301,MATCH($B205,'Last Week'!$B$2:$B$301,0)),""))</f>
        <v/>
      </c>
      <c r="K205">
        <f>IF(OR($B205="",$J205=""),"",$J205-$A205)</f>
        <v/>
      </c>
    </row>
    <row r="206">
      <c r="A206">
        <f>IF($B206="","",RANK($C206,$C$2:$C$500))</f>
        <v/>
      </c>
      <c r="B206">
        <f>IF(Players!$A206="","",Players!$A206)</f>
        <v/>
      </c>
      <c r="C206" s="5">
        <f>IF($B206="","",SUM(D206:H206))</f>
        <v/>
      </c>
      <c r="D206">
        <f>IF($B206="","",SUMIFS('Web Feed'!$O$2:$O$3015,'Web Feed'!$B$2:$B$3015,Points!$A$2,'Web Feed'!$F$2:$F$3015,$B206)+SUMIFS('Web Feed'!$O$2:$O$3015,'Web Feed'!$B$2:$B$3015,Points!$A$2,'Web Feed'!$G$2:$G$3015,$B206)+SUMIFS('Web Feed'!$O$2:$O$3015,'Web Feed'!$B$2:$B$3015,Points!$A$2,'Web Feed'!$H$2:$H$3015,$B206)+SUMIFS('Web Feed'!$O$2:$O$3015,'Web Feed'!$B$2:$B$3015,Points!$A$2,'Web Feed'!$I$2:$I$3015,$B206))</f>
        <v/>
      </c>
      <c r="E206">
        <f>IF($B206="","",SUMIFS('Web Feed'!$O$2:$O$3015,'Web Feed'!$B$2:$B$3015,Points!$A$3,'Web Feed'!$F$2:$F$3015,$B206)+SUMIFS('Web Feed'!$O$2:$O$3015,'Web Feed'!$B$2:$B$3015,Points!$A$3,'Web Feed'!$G$2:$G$3015,$B206)+SUMIFS('Web Feed'!$O$2:$O$3015,'Web Feed'!$B$2:$B$3015,Points!$A$3,'Web Feed'!$H$2:$H$3015,$B206)+SUMIFS('Web Feed'!$O$2:$O$3015,'Web Feed'!$B$2:$B$3015,Points!$A$3,'Web Feed'!$I$2:$I$3015,$B206))</f>
        <v/>
      </c>
      <c r="F206">
        <f>IF($B206="","",SUMIFS('Web Feed'!$O$2:$O$3015,'Web Feed'!$B$2:$B$3015,Points!$A$4,'Web Feed'!$F$2:$F$3015,$B206)+SUMIFS('Web Feed'!$O$2:$O$3015,'Web Feed'!$B$2:$B$3015,Points!$A$4,'Web Feed'!$G$2:$G$3015,$B206)+SUMIFS('Web Feed'!$O$2:$O$3015,'Web Feed'!$B$2:$B$3015,Points!$A$4,'Web Feed'!$H$2:$H$3015,$B206)+SUMIFS('Web Feed'!$O$2:$O$3015,'Web Feed'!$B$2:$B$3015,Points!$A$4,'Web Feed'!$I$2:$I$3015,$B206))</f>
        <v/>
      </c>
      <c r="G206">
        <f>IF($B206="","",SUMIFS('Web Feed'!$O$2:$O$3015,'Web Feed'!$B$2:$B$3015,Points!$A$5,'Web Feed'!$F$2:$F$3015,$B206)+SUMIFS('Web Feed'!$O$2:$O$3015,'Web Feed'!$B$2:$B$3015,Points!$A$5,'Web Feed'!$G$2:$G$3015,$B206)+SUMIFS('Web Feed'!$O$2:$O$3015,'Web Feed'!$B$2:$B$3015,Points!$A$5,'Web Feed'!$H$2:$H$3015,$B206)+SUMIFS('Web Feed'!$O$2:$O$3015,'Web Feed'!$B$2:$B$3015,Points!$A$5,'Web Feed'!$I$2:$I$3015,$B206))</f>
        <v/>
      </c>
      <c r="H206">
        <f>IF($B206="","",SUMIFS('Web Feed'!$O$2:$O$3015,'Web Feed'!$B$2:$B$3015,Points!$A$6,'Web Feed'!$F$2:$F$3015,$B206)+SUMIFS('Web Feed'!$O$2:$O$3015,'Web Feed'!$B$2:$B$3015,Points!$A$6,'Web Feed'!$G$2:$G$3015,$B206)+SUMIFS('Web Feed'!$O$2:$O$3015,'Web Feed'!$B$2:$B$3015,Points!$A$6,'Web Feed'!$H$2:$H$3015,$B206)+SUMIFS('Web Feed'!$O$2:$O$3015,'Web Feed'!$B$2:$B$3015,Points!$A$6,'Web Feed'!$I$2:$I$3015,$B206))</f>
        <v/>
      </c>
      <c r="I206">
        <f>IF($B206="","",COUNTIFS('Web Feed'!$B$2:$B$3015,"OHW",'Web Feed'!$F$2:$F$3015,$B206))</f>
        <v/>
      </c>
      <c r="J206">
        <f>IF($B206="","",IFERROR(INDEX('Last Week'!$A$2:$A$301,MATCH($B206,'Last Week'!$B$2:$B$301,0)),""))</f>
        <v/>
      </c>
      <c r="K206">
        <f>IF(OR($B206="",$J206=""),"",$J206-$A206)</f>
        <v/>
      </c>
    </row>
    <row r="207">
      <c r="A207">
        <f>IF($B207="","",RANK($C207,$C$2:$C$500))</f>
        <v/>
      </c>
      <c r="B207">
        <f>IF(Players!$A207="","",Players!$A207)</f>
        <v/>
      </c>
      <c r="C207" s="5">
        <f>IF($B207="","",SUM(D207:H207))</f>
        <v/>
      </c>
      <c r="D207">
        <f>IF($B207="","",SUMIFS('Web Feed'!$O$2:$O$3015,'Web Feed'!$B$2:$B$3015,Points!$A$2,'Web Feed'!$F$2:$F$3015,$B207)+SUMIFS('Web Feed'!$O$2:$O$3015,'Web Feed'!$B$2:$B$3015,Points!$A$2,'Web Feed'!$G$2:$G$3015,$B207)+SUMIFS('Web Feed'!$O$2:$O$3015,'Web Feed'!$B$2:$B$3015,Points!$A$2,'Web Feed'!$H$2:$H$3015,$B207)+SUMIFS('Web Feed'!$O$2:$O$3015,'Web Feed'!$B$2:$B$3015,Points!$A$2,'Web Feed'!$I$2:$I$3015,$B207))</f>
        <v/>
      </c>
      <c r="E207">
        <f>IF($B207="","",SUMIFS('Web Feed'!$O$2:$O$3015,'Web Feed'!$B$2:$B$3015,Points!$A$3,'Web Feed'!$F$2:$F$3015,$B207)+SUMIFS('Web Feed'!$O$2:$O$3015,'Web Feed'!$B$2:$B$3015,Points!$A$3,'Web Feed'!$G$2:$G$3015,$B207)+SUMIFS('Web Feed'!$O$2:$O$3015,'Web Feed'!$B$2:$B$3015,Points!$A$3,'Web Feed'!$H$2:$H$3015,$B207)+SUMIFS('Web Feed'!$O$2:$O$3015,'Web Feed'!$B$2:$B$3015,Points!$A$3,'Web Feed'!$I$2:$I$3015,$B207))</f>
        <v/>
      </c>
      <c r="F207">
        <f>IF($B207="","",SUMIFS('Web Feed'!$O$2:$O$3015,'Web Feed'!$B$2:$B$3015,Points!$A$4,'Web Feed'!$F$2:$F$3015,$B207)+SUMIFS('Web Feed'!$O$2:$O$3015,'Web Feed'!$B$2:$B$3015,Points!$A$4,'Web Feed'!$G$2:$G$3015,$B207)+SUMIFS('Web Feed'!$O$2:$O$3015,'Web Feed'!$B$2:$B$3015,Points!$A$4,'Web Feed'!$H$2:$H$3015,$B207)+SUMIFS('Web Feed'!$O$2:$O$3015,'Web Feed'!$B$2:$B$3015,Points!$A$4,'Web Feed'!$I$2:$I$3015,$B207))</f>
        <v/>
      </c>
      <c r="G207">
        <f>IF($B207="","",SUMIFS('Web Feed'!$O$2:$O$3015,'Web Feed'!$B$2:$B$3015,Points!$A$5,'Web Feed'!$F$2:$F$3015,$B207)+SUMIFS('Web Feed'!$O$2:$O$3015,'Web Feed'!$B$2:$B$3015,Points!$A$5,'Web Feed'!$G$2:$G$3015,$B207)+SUMIFS('Web Feed'!$O$2:$O$3015,'Web Feed'!$B$2:$B$3015,Points!$A$5,'Web Feed'!$H$2:$H$3015,$B207)+SUMIFS('Web Feed'!$O$2:$O$3015,'Web Feed'!$B$2:$B$3015,Points!$A$5,'Web Feed'!$I$2:$I$3015,$B207))</f>
        <v/>
      </c>
      <c r="H207">
        <f>IF($B207="","",SUMIFS('Web Feed'!$O$2:$O$3015,'Web Feed'!$B$2:$B$3015,Points!$A$6,'Web Feed'!$F$2:$F$3015,$B207)+SUMIFS('Web Feed'!$O$2:$O$3015,'Web Feed'!$B$2:$B$3015,Points!$A$6,'Web Feed'!$G$2:$G$3015,$B207)+SUMIFS('Web Feed'!$O$2:$O$3015,'Web Feed'!$B$2:$B$3015,Points!$A$6,'Web Feed'!$H$2:$H$3015,$B207)+SUMIFS('Web Feed'!$O$2:$O$3015,'Web Feed'!$B$2:$B$3015,Points!$A$6,'Web Feed'!$I$2:$I$3015,$B207))</f>
        <v/>
      </c>
      <c r="I207">
        <f>IF($B207="","",COUNTIFS('Web Feed'!$B$2:$B$3015,"OHW",'Web Feed'!$F$2:$F$3015,$B207))</f>
        <v/>
      </c>
      <c r="J207">
        <f>IF($B207="","",IFERROR(INDEX('Last Week'!$A$2:$A$301,MATCH($B207,'Last Week'!$B$2:$B$301,0)),""))</f>
        <v/>
      </c>
      <c r="K207">
        <f>IF(OR($B207="",$J207=""),"",$J207-$A207)</f>
        <v/>
      </c>
    </row>
    <row r="208">
      <c r="A208">
        <f>IF($B208="","",RANK($C208,$C$2:$C$500))</f>
        <v/>
      </c>
      <c r="B208">
        <f>IF(Players!$A208="","",Players!$A208)</f>
        <v/>
      </c>
      <c r="C208" s="5">
        <f>IF($B208="","",SUM(D208:H208))</f>
        <v/>
      </c>
      <c r="D208">
        <f>IF($B208="","",SUMIFS('Web Feed'!$O$2:$O$3015,'Web Feed'!$B$2:$B$3015,Points!$A$2,'Web Feed'!$F$2:$F$3015,$B208)+SUMIFS('Web Feed'!$O$2:$O$3015,'Web Feed'!$B$2:$B$3015,Points!$A$2,'Web Feed'!$G$2:$G$3015,$B208)+SUMIFS('Web Feed'!$O$2:$O$3015,'Web Feed'!$B$2:$B$3015,Points!$A$2,'Web Feed'!$H$2:$H$3015,$B208)+SUMIFS('Web Feed'!$O$2:$O$3015,'Web Feed'!$B$2:$B$3015,Points!$A$2,'Web Feed'!$I$2:$I$3015,$B208))</f>
        <v/>
      </c>
      <c r="E208">
        <f>IF($B208="","",SUMIFS('Web Feed'!$O$2:$O$3015,'Web Feed'!$B$2:$B$3015,Points!$A$3,'Web Feed'!$F$2:$F$3015,$B208)+SUMIFS('Web Feed'!$O$2:$O$3015,'Web Feed'!$B$2:$B$3015,Points!$A$3,'Web Feed'!$G$2:$G$3015,$B208)+SUMIFS('Web Feed'!$O$2:$O$3015,'Web Feed'!$B$2:$B$3015,Points!$A$3,'Web Feed'!$H$2:$H$3015,$B208)+SUMIFS('Web Feed'!$O$2:$O$3015,'Web Feed'!$B$2:$B$3015,Points!$A$3,'Web Feed'!$I$2:$I$3015,$B208))</f>
        <v/>
      </c>
      <c r="F208">
        <f>IF($B208="","",SUMIFS('Web Feed'!$O$2:$O$3015,'Web Feed'!$B$2:$B$3015,Points!$A$4,'Web Feed'!$F$2:$F$3015,$B208)+SUMIFS('Web Feed'!$O$2:$O$3015,'Web Feed'!$B$2:$B$3015,Points!$A$4,'Web Feed'!$G$2:$G$3015,$B208)+SUMIFS('Web Feed'!$O$2:$O$3015,'Web Feed'!$B$2:$B$3015,Points!$A$4,'Web Feed'!$H$2:$H$3015,$B208)+SUMIFS('Web Feed'!$O$2:$O$3015,'Web Feed'!$B$2:$B$3015,Points!$A$4,'Web Feed'!$I$2:$I$3015,$B208))</f>
        <v/>
      </c>
      <c r="G208">
        <f>IF($B208="","",SUMIFS('Web Feed'!$O$2:$O$3015,'Web Feed'!$B$2:$B$3015,Points!$A$5,'Web Feed'!$F$2:$F$3015,$B208)+SUMIFS('Web Feed'!$O$2:$O$3015,'Web Feed'!$B$2:$B$3015,Points!$A$5,'Web Feed'!$G$2:$G$3015,$B208)+SUMIFS('Web Feed'!$O$2:$O$3015,'Web Feed'!$B$2:$B$3015,Points!$A$5,'Web Feed'!$H$2:$H$3015,$B208)+SUMIFS('Web Feed'!$O$2:$O$3015,'Web Feed'!$B$2:$B$3015,Points!$A$5,'Web Feed'!$I$2:$I$3015,$B208))</f>
        <v/>
      </c>
      <c r="H208">
        <f>IF($B208="","",SUMIFS('Web Feed'!$O$2:$O$3015,'Web Feed'!$B$2:$B$3015,Points!$A$6,'Web Feed'!$F$2:$F$3015,$B208)+SUMIFS('Web Feed'!$O$2:$O$3015,'Web Feed'!$B$2:$B$3015,Points!$A$6,'Web Feed'!$G$2:$G$3015,$B208)+SUMIFS('Web Feed'!$O$2:$O$3015,'Web Feed'!$B$2:$B$3015,Points!$A$6,'Web Feed'!$H$2:$H$3015,$B208)+SUMIFS('Web Feed'!$O$2:$O$3015,'Web Feed'!$B$2:$B$3015,Points!$A$6,'Web Feed'!$I$2:$I$3015,$B208))</f>
        <v/>
      </c>
      <c r="I208">
        <f>IF($B208="","",COUNTIFS('Web Feed'!$B$2:$B$3015,"OHW",'Web Feed'!$F$2:$F$3015,$B208))</f>
        <v/>
      </c>
      <c r="J208">
        <f>IF($B208="","",IFERROR(INDEX('Last Week'!$A$2:$A$301,MATCH($B208,'Last Week'!$B$2:$B$301,0)),""))</f>
        <v/>
      </c>
      <c r="K208">
        <f>IF(OR($B208="",$J208=""),"",$J208-$A208)</f>
        <v/>
      </c>
    </row>
    <row r="209">
      <c r="A209">
        <f>IF($B209="","",RANK($C209,$C$2:$C$500))</f>
        <v/>
      </c>
      <c r="B209">
        <f>IF(Players!$A209="","",Players!$A209)</f>
        <v/>
      </c>
      <c r="C209" s="5">
        <f>IF($B209="","",SUM(D209:H209))</f>
        <v/>
      </c>
      <c r="D209">
        <f>IF($B209="","",SUMIFS('Web Feed'!$O$2:$O$3015,'Web Feed'!$B$2:$B$3015,Points!$A$2,'Web Feed'!$F$2:$F$3015,$B209)+SUMIFS('Web Feed'!$O$2:$O$3015,'Web Feed'!$B$2:$B$3015,Points!$A$2,'Web Feed'!$G$2:$G$3015,$B209)+SUMIFS('Web Feed'!$O$2:$O$3015,'Web Feed'!$B$2:$B$3015,Points!$A$2,'Web Feed'!$H$2:$H$3015,$B209)+SUMIFS('Web Feed'!$O$2:$O$3015,'Web Feed'!$B$2:$B$3015,Points!$A$2,'Web Feed'!$I$2:$I$3015,$B209))</f>
        <v/>
      </c>
      <c r="E209">
        <f>IF($B209="","",SUMIFS('Web Feed'!$O$2:$O$3015,'Web Feed'!$B$2:$B$3015,Points!$A$3,'Web Feed'!$F$2:$F$3015,$B209)+SUMIFS('Web Feed'!$O$2:$O$3015,'Web Feed'!$B$2:$B$3015,Points!$A$3,'Web Feed'!$G$2:$G$3015,$B209)+SUMIFS('Web Feed'!$O$2:$O$3015,'Web Feed'!$B$2:$B$3015,Points!$A$3,'Web Feed'!$H$2:$H$3015,$B209)+SUMIFS('Web Feed'!$O$2:$O$3015,'Web Feed'!$B$2:$B$3015,Points!$A$3,'Web Feed'!$I$2:$I$3015,$B209))</f>
        <v/>
      </c>
      <c r="F209">
        <f>IF($B209="","",SUMIFS('Web Feed'!$O$2:$O$3015,'Web Feed'!$B$2:$B$3015,Points!$A$4,'Web Feed'!$F$2:$F$3015,$B209)+SUMIFS('Web Feed'!$O$2:$O$3015,'Web Feed'!$B$2:$B$3015,Points!$A$4,'Web Feed'!$G$2:$G$3015,$B209)+SUMIFS('Web Feed'!$O$2:$O$3015,'Web Feed'!$B$2:$B$3015,Points!$A$4,'Web Feed'!$H$2:$H$3015,$B209)+SUMIFS('Web Feed'!$O$2:$O$3015,'Web Feed'!$B$2:$B$3015,Points!$A$4,'Web Feed'!$I$2:$I$3015,$B209))</f>
        <v/>
      </c>
      <c r="G209">
        <f>IF($B209="","",SUMIFS('Web Feed'!$O$2:$O$3015,'Web Feed'!$B$2:$B$3015,Points!$A$5,'Web Feed'!$F$2:$F$3015,$B209)+SUMIFS('Web Feed'!$O$2:$O$3015,'Web Feed'!$B$2:$B$3015,Points!$A$5,'Web Feed'!$G$2:$G$3015,$B209)+SUMIFS('Web Feed'!$O$2:$O$3015,'Web Feed'!$B$2:$B$3015,Points!$A$5,'Web Feed'!$H$2:$H$3015,$B209)+SUMIFS('Web Feed'!$O$2:$O$3015,'Web Feed'!$B$2:$B$3015,Points!$A$5,'Web Feed'!$I$2:$I$3015,$B209))</f>
        <v/>
      </c>
      <c r="H209">
        <f>IF($B209="","",SUMIFS('Web Feed'!$O$2:$O$3015,'Web Feed'!$B$2:$B$3015,Points!$A$6,'Web Feed'!$F$2:$F$3015,$B209)+SUMIFS('Web Feed'!$O$2:$O$3015,'Web Feed'!$B$2:$B$3015,Points!$A$6,'Web Feed'!$G$2:$G$3015,$B209)+SUMIFS('Web Feed'!$O$2:$O$3015,'Web Feed'!$B$2:$B$3015,Points!$A$6,'Web Feed'!$H$2:$H$3015,$B209)+SUMIFS('Web Feed'!$O$2:$O$3015,'Web Feed'!$B$2:$B$3015,Points!$A$6,'Web Feed'!$I$2:$I$3015,$B209))</f>
        <v/>
      </c>
      <c r="I209">
        <f>IF($B209="","",COUNTIFS('Web Feed'!$B$2:$B$3015,"OHW",'Web Feed'!$F$2:$F$3015,$B209))</f>
        <v/>
      </c>
      <c r="J209">
        <f>IF($B209="","",IFERROR(INDEX('Last Week'!$A$2:$A$301,MATCH($B209,'Last Week'!$B$2:$B$301,0)),""))</f>
        <v/>
      </c>
      <c r="K209">
        <f>IF(OR($B209="",$J209=""),"",$J209-$A209)</f>
        <v/>
      </c>
    </row>
    <row r="210">
      <c r="A210">
        <f>IF($B210="","",RANK($C210,$C$2:$C$500))</f>
        <v/>
      </c>
      <c r="B210">
        <f>IF(Players!$A210="","",Players!$A210)</f>
        <v/>
      </c>
      <c r="C210" s="5">
        <f>IF($B210="","",SUM(D210:H210))</f>
        <v/>
      </c>
      <c r="D210">
        <f>IF($B210="","",SUMIFS('Web Feed'!$O$2:$O$3015,'Web Feed'!$B$2:$B$3015,Points!$A$2,'Web Feed'!$F$2:$F$3015,$B210)+SUMIFS('Web Feed'!$O$2:$O$3015,'Web Feed'!$B$2:$B$3015,Points!$A$2,'Web Feed'!$G$2:$G$3015,$B210)+SUMIFS('Web Feed'!$O$2:$O$3015,'Web Feed'!$B$2:$B$3015,Points!$A$2,'Web Feed'!$H$2:$H$3015,$B210)+SUMIFS('Web Feed'!$O$2:$O$3015,'Web Feed'!$B$2:$B$3015,Points!$A$2,'Web Feed'!$I$2:$I$3015,$B210))</f>
        <v/>
      </c>
      <c r="E210">
        <f>IF($B210="","",SUMIFS('Web Feed'!$O$2:$O$3015,'Web Feed'!$B$2:$B$3015,Points!$A$3,'Web Feed'!$F$2:$F$3015,$B210)+SUMIFS('Web Feed'!$O$2:$O$3015,'Web Feed'!$B$2:$B$3015,Points!$A$3,'Web Feed'!$G$2:$G$3015,$B210)+SUMIFS('Web Feed'!$O$2:$O$3015,'Web Feed'!$B$2:$B$3015,Points!$A$3,'Web Feed'!$H$2:$H$3015,$B210)+SUMIFS('Web Feed'!$O$2:$O$3015,'Web Feed'!$B$2:$B$3015,Points!$A$3,'Web Feed'!$I$2:$I$3015,$B210))</f>
        <v/>
      </c>
      <c r="F210">
        <f>IF($B210="","",SUMIFS('Web Feed'!$O$2:$O$3015,'Web Feed'!$B$2:$B$3015,Points!$A$4,'Web Feed'!$F$2:$F$3015,$B210)+SUMIFS('Web Feed'!$O$2:$O$3015,'Web Feed'!$B$2:$B$3015,Points!$A$4,'Web Feed'!$G$2:$G$3015,$B210)+SUMIFS('Web Feed'!$O$2:$O$3015,'Web Feed'!$B$2:$B$3015,Points!$A$4,'Web Feed'!$H$2:$H$3015,$B210)+SUMIFS('Web Feed'!$O$2:$O$3015,'Web Feed'!$B$2:$B$3015,Points!$A$4,'Web Feed'!$I$2:$I$3015,$B210))</f>
        <v/>
      </c>
      <c r="G210">
        <f>IF($B210="","",SUMIFS('Web Feed'!$O$2:$O$3015,'Web Feed'!$B$2:$B$3015,Points!$A$5,'Web Feed'!$F$2:$F$3015,$B210)+SUMIFS('Web Feed'!$O$2:$O$3015,'Web Feed'!$B$2:$B$3015,Points!$A$5,'Web Feed'!$G$2:$G$3015,$B210)+SUMIFS('Web Feed'!$O$2:$O$3015,'Web Feed'!$B$2:$B$3015,Points!$A$5,'Web Feed'!$H$2:$H$3015,$B210)+SUMIFS('Web Feed'!$O$2:$O$3015,'Web Feed'!$B$2:$B$3015,Points!$A$5,'Web Feed'!$I$2:$I$3015,$B210))</f>
        <v/>
      </c>
      <c r="H210">
        <f>IF($B210="","",SUMIFS('Web Feed'!$O$2:$O$3015,'Web Feed'!$B$2:$B$3015,Points!$A$6,'Web Feed'!$F$2:$F$3015,$B210)+SUMIFS('Web Feed'!$O$2:$O$3015,'Web Feed'!$B$2:$B$3015,Points!$A$6,'Web Feed'!$G$2:$G$3015,$B210)+SUMIFS('Web Feed'!$O$2:$O$3015,'Web Feed'!$B$2:$B$3015,Points!$A$6,'Web Feed'!$H$2:$H$3015,$B210)+SUMIFS('Web Feed'!$O$2:$O$3015,'Web Feed'!$B$2:$B$3015,Points!$A$6,'Web Feed'!$I$2:$I$3015,$B210))</f>
        <v/>
      </c>
      <c r="I210">
        <f>IF($B210="","",COUNTIFS('Web Feed'!$B$2:$B$3015,"OHW",'Web Feed'!$F$2:$F$3015,$B210))</f>
        <v/>
      </c>
      <c r="J210">
        <f>IF($B210="","",IFERROR(INDEX('Last Week'!$A$2:$A$301,MATCH($B210,'Last Week'!$B$2:$B$301,0)),""))</f>
        <v/>
      </c>
      <c r="K210">
        <f>IF(OR($B210="",$J210=""),"",$J210-$A210)</f>
        <v/>
      </c>
    </row>
    <row r="211">
      <c r="A211">
        <f>IF($B211="","",RANK($C211,$C$2:$C$500))</f>
        <v/>
      </c>
      <c r="B211">
        <f>IF(Players!$A211="","",Players!$A211)</f>
        <v/>
      </c>
      <c r="C211" s="5">
        <f>IF($B211="","",SUM(D211:H211))</f>
        <v/>
      </c>
      <c r="D211">
        <f>IF($B211="","",SUMIFS('Web Feed'!$O$2:$O$3015,'Web Feed'!$B$2:$B$3015,Points!$A$2,'Web Feed'!$F$2:$F$3015,$B211)+SUMIFS('Web Feed'!$O$2:$O$3015,'Web Feed'!$B$2:$B$3015,Points!$A$2,'Web Feed'!$G$2:$G$3015,$B211)+SUMIFS('Web Feed'!$O$2:$O$3015,'Web Feed'!$B$2:$B$3015,Points!$A$2,'Web Feed'!$H$2:$H$3015,$B211)+SUMIFS('Web Feed'!$O$2:$O$3015,'Web Feed'!$B$2:$B$3015,Points!$A$2,'Web Feed'!$I$2:$I$3015,$B211))</f>
        <v/>
      </c>
      <c r="E211">
        <f>IF($B211="","",SUMIFS('Web Feed'!$O$2:$O$3015,'Web Feed'!$B$2:$B$3015,Points!$A$3,'Web Feed'!$F$2:$F$3015,$B211)+SUMIFS('Web Feed'!$O$2:$O$3015,'Web Feed'!$B$2:$B$3015,Points!$A$3,'Web Feed'!$G$2:$G$3015,$B211)+SUMIFS('Web Feed'!$O$2:$O$3015,'Web Feed'!$B$2:$B$3015,Points!$A$3,'Web Feed'!$H$2:$H$3015,$B211)+SUMIFS('Web Feed'!$O$2:$O$3015,'Web Feed'!$B$2:$B$3015,Points!$A$3,'Web Feed'!$I$2:$I$3015,$B211))</f>
        <v/>
      </c>
      <c r="F211">
        <f>IF($B211="","",SUMIFS('Web Feed'!$O$2:$O$3015,'Web Feed'!$B$2:$B$3015,Points!$A$4,'Web Feed'!$F$2:$F$3015,$B211)+SUMIFS('Web Feed'!$O$2:$O$3015,'Web Feed'!$B$2:$B$3015,Points!$A$4,'Web Feed'!$G$2:$G$3015,$B211)+SUMIFS('Web Feed'!$O$2:$O$3015,'Web Feed'!$B$2:$B$3015,Points!$A$4,'Web Feed'!$H$2:$H$3015,$B211)+SUMIFS('Web Feed'!$O$2:$O$3015,'Web Feed'!$B$2:$B$3015,Points!$A$4,'Web Feed'!$I$2:$I$3015,$B211))</f>
        <v/>
      </c>
      <c r="G211">
        <f>IF($B211="","",SUMIFS('Web Feed'!$O$2:$O$3015,'Web Feed'!$B$2:$B$3015,Points!$A$5,'Web Feed'!$F$2:$F$3015,$B211)+SUMIFS('Web Feed'!$O$2:$O$3015,'Web Feed'!$B$2:$B$3015,Points!$A$5,'Web Feed'!$G$2:$G$3015,$B211)+SUMIFS('Web Feed'!$O$2:$O$3015,'Web Feed'!$B$2:$B$3015,Points!$A$5,'Web Feed'!$H$2:$H$3015,$B211)+SUMIFS('Web Feed'!$O$2:$O$3015,'Web Feed'!$B$2:$B$3015,Points!$A$5,'Web Feed'!$I$2:$I$3015,$B211))</f>
        <v/>
      </c>
      <c r="H211">
        <f>IF($B211="","",SUMIFS('Web Feed'!$O$2:$O$3015,'Web Feed'!$B$2:$B$3015,Points!$A$6,'Web Feed'!$F$2:$F$3015,$B211)+SUMIFS('Web Feed'!$O$2:$O$3015,'Web Feed'!$B$2:$B$3015,Points!$A$6,'Web Feed'!$G$2:$G$3015,$B211)+SUMIFS('Web Feed'!$O$2:$O$3015,'Web Feed'!$B$2:$B$3015,Points!$A$6,'Web Feed'!$H$2:$H$3015,$B211)+SUMIFS('Web Feed'!$O$2:$O$3015,'Web Feed'!$B$2:$B$3015,Points!$A$6,'Web Feed'!$I$2:$I$3015,$B211))</f>
        <v/>
      </c>
      <c r="I211">
        <f>IF($B211="","",COUNTIFS('Web Feed'!$B$2:$B$3015,"OHW",'Web Feed'!$F$2:$F$3015,$B211))</f>
        <v/>
      </c>
      <c r="J211">
        <f>IF($B211="","",IFERROR(INDEX('Last Week'!$A$2:$A$301,MATCH($B211,'Last Week'!$B$2:$B$301,0)),""))</f>
        <v/>
      </c>
      <c r="K211">
        <f>IF(OR($B211="",$J211=""),"",$J211-$A211)</f>
        <v/>
      </c>
    </row>
    <row r="212">
      <c r="A212">
        <f>IF($B212="","",RANK($C212,$C$2:$C$500))</f>
        <v/>
      </c>
      <c r="B212">
        <f>IF(Players!$A212="","",Players!$A212)</f>
        <v/>
      </c>
      <c r="C212" s="5">
        <f>IF($B212="","",SUM(D212:H212))</f>
        <v/>
      </c>
      <c r="D212">
        <f>IF($B212="","",SUMIFS('Web Feed'!$O$2:$O$3015,'Web Feed'!$B$2:$B$3015,Points!$A$2,'Web Feed'!$F$2:$F$3015,$B212)+SUMIFS('Web Feed'!$O$2:$O$3015,'Web Feed'!$B$2:$B$3015,Points!$A$2,'Web Feed'!$G$2:$G$3015,$B212)+SUMIFS('Web Feed'!$O$2:$O$3015,'Web Feed'!$B$2:$B$3015,Points!$A$2,'Web Feed'!$H$2:$H$3015,$B212)+SUMIFS('Web Feed'!$O$2:$O$3015,'Web Feed'!$B$2:$B$3015,Points!$A$2,'Web Feed'!$I$2:$I$3015,$B212))</f>
        <v/>
      </c>
      <c r="E212">
        <f>IF($B212="","",SUMIFS('Web Feed'!$O$2:$O$3015,'Web Feed'!$B$2:$B$3015,Points!$A$3,'Web Feed'!$F$2:$F$3015,$B212)+SUMIFS('Web Feed'!$O$2:$O$3015,'Web Feed'!$B$2:$B$3015,Points!$A$3,'Web Feed'!$G$2:$G$3015,$B212)+SUMIFS('Web Feed'!$O$2:$O$3015,'Web Feed'!$B$2:$B$3015,Points!$A$3,'Web Feed'!$H$2:$H$3015,$B212)+SUMIFS('Web Feed'!$O$2:$O$3015,'Web Feed'!$B$2:$B$3015,Points!$A$3,'Web Feed'!$I$2:$I$3015,$B212))</f>
        <v/>
      </c>
      <c r="F212">
        <f>IF($B212="","",SUMIFS('Web Feed'!$O$2:$O$3015,'Web Feed'!$B$2:$B$3015,Points!$A$4,'Web Feed'!$F$2:$F$3015,$B212)+SUMIFS('Web Feed'!$O$2:$O$3015,'Web Feed'!$B$2:$B$3015,Points!$A$4,'Web Feed'!$G$2:$G$3015,$B212)+SUMIFS('Web Feed'!$O$2:$O$3015,'Web Feed'!$B$2:$B$3015,Points!$A$4,'Web Feed'!$H$2:$H$3015,$B212)+SUMIFS('Web Feed'!$O$2:$O$3015,'Web Feed'!$B$2:$B$3015,Points!$A$4,'Web Feed'!$I$2:$I$3015,$B212))</f>
        <v/>
      </c>
      <c r="G212">
        <f>IF($B212="","",SUMIFS('Web Feed'!$O$2:$O$3015,'Web Feed'!$B$2:$B$3015,Points!$A$5,'Web Feed'!$F$2:$F$3015,$B212)+SUMIFS('Web Feed'!$O$2:$O$3015,'Web Feed'!$B$2:$B$3015,Points!$A$5,'Web Feed'!$G$2:$G$3015,$B212)+SUMIFS('Web Feed'!$O$2:$O$3015,'Web Feed'!$B$2:$B$3015,Points!$A$5,'Web Feed'!$H$2:$H$3015,$B212)+SUMIFS('Web Feed'!$O$2:$O$3015,'Web Feed'!$B$2:$B$3015,Points!$A$5,'Web Feed'!$I$2:$I$3015,$B212))</f>
        <v/>
      </c>
      <c r="H212">
        <f>IF($B212="","",SUMIFS('Web Feed'!$O$2:$O$3015,'Web Feed'!$B$2:$B$3015,Points!$A$6,'Web Feed'!$F$2:$F$3015,$B212)+SUMIFS('Web Feed'!$O$2:$O$3015,'Web Feed'!$B$2:$B$3015,Points!$A$6,'Web Feed'!$G$2:$G$3015,$B212)+SUMIFS('Web Feed'!$O$2:$O$3015,'Web Feed'!$B$2:$B$3015,Points!$A$6,'Web Feed'!$H$2:$H$3015,$B212)+SUMIFS('Web Feed'!$O$2:$O$3015,'Web Feed'!$B$2:$B$3015,Points!$A$6,'Web Feed'!$I$2:$I$3015,$B212))</f>
        <v/>
      </c>
      <c r="I212">
        <f>IF($B212="","",COUNTIFS('Web Feed'!$B$2:$B$3015,"OHW",'Web Feed'!$F$2:$F$3015,$B212))</f>
        <v/>
      </c>
      <c r="J212">
        <f>IF($B212="","",IFERROR(INDEX('Last Week'!$A$2:$A$301,MATCH($B212,'Last Week'!$B$2:$B$301,0)),""))</f>
        <v/>
      </c>
      <c r="K212">
        <f>IF(OR($B212="",$J212=""),"",$J212-$A212)</f>
        <v/>
      </c>
    </row>
    <row r="213">
      <c r="A213">
        <f>IF($B213="","",RANK($C213,$C$2:$C$500))</f>
        <v/>
      </c>
      <c r="B213">
        <f>IF(Players!$A213="","",Players!$A213)</f>
        <v/>
      </c>
      <c r="C213" s="5">
        <f>IF($B213="","",SUM(D213:H213))</f>
        <v/>
      </c>
      <c r="D213">
        <f>IF($B213="","",SUMIFS('Web Feed'!$O$2:$O$3015,'Web Feed'!$B$2:$B$3015,Points!$A$2,'Web Feed'!$F$2:$F$3015,$B213)+SUMIFS('Web Feed'!$O$2:$O$3015,'Web Feed'!$B$2:$B$3015,Points!$A$2,'Web Feed'!$G$2:$G$3015,$B213)+SUMIFS('Web Feed'!$O$2:$O$3015,'Web Feed'!$B$2:$B$3015,Points!$A$2,'Web Feed'!$H$2:$H$3015,$B213)+SUMIFS('Web Feed'!$O$2:$O$3015,'Web Feed'!$B$2:$B$3015,Points!$A$2,'Web Feed'!$I$2:$I$3015,$B213))</f>
        <v/>
      </c>
      <c r="E213">
        <f>IF($B213="","",SUMIFS('Web Feed'!$O$2:$O$3015,'Web Feed'!$B$2:$B$3015,Points!$A$3,'Web Feed'!$F$2:$F$3015,$B213)+SUMIFS('Web Feed'!$O$2:$O$3015,'Web Feed'!$B$2:$B$3015,Points!$A$3,'Web Feed'!$G$2:$G$3015,$B213)+SUMIFS('Web Feed'!$O$2:$O$3015,'Web Feed'!$B$2:$B$3015,Points!$A$3,'Web Feed'!$H$2:$H$3015,$B213)+SUMIFS('Web Feed'!$O$2:$O$3015,'Web Feed'!$B$2:$B$3015,Points!$A$3,'Web Feed'!$I$2:$I$3015,$B213))</f>
        <v/>
      </c>
      <c r="F213">
        <f>IF($B213="","",SUMIFS('Web Feed'!$O$2:$O$3015,'Web Feed'!$B$2:$B$3015,Points!$A$4,'Web Feed'!$F$2:$F$3015,$B213)+SUMIFS('Web Feed'!$O$2:$O$3015,'Web Feed'!$B$2:$B$3015,Points!$A$4,'Web Feed'!$G$2:$G$3015,$B213)+SUMIFS('Web Feed'!$O$2:$O$3015,'Web Feed'!$B$2:$B$3015,Points!$A$4,'Web Feed'!$H$2:$H$3015,$B213)+SUMIFS('Web Feed'!$O$2:$O$3015,'Web Feed'!$B$2:$B$3015,Points!$A$4,'Web Feed'!$I$2:$I$3015,$B213))</f>
        <v/>
      </c>
      <c r="G213">
        <f>IF($B213="","",SUMIFS('Web Feed'!$O$2:$O$3015,'Web Feed'!$B$2:$B$3015,Points!$A$5,'Web Feed'!$F$2:$F$3015,$B213)+SUMIFS('Web Feed'!$O$2:$O$3015,'Web Feed'!$B$2:$B$3015,Points!$A$5,'Web Feed'!$G$2:$G$3015,$B213)+SUMIFS('Web Feed'!$O$2:$O$3015,'Web Feed'!$B$2:$B$3015,Points!$A$5,'Web Feed'!$H$2:$H$3015,$B213)+SUMIFS('Web Feed'!$O$2:$O$3015,'Web Feed'!$B$2:$B$3015,Points!$A$5,'Web Feed'!$I$2:$I$3015,$B213))</f>
        <v/>
      </c>
      <c r="H213">
        <f>IF($B213="","",SUMIFS('Web Feed'!$O$2:$O$3015,'Web Feed'!$B$2:$B$3015,Points!$A$6,'Web Feed'!$F$2:$F$3015,$B213)+SUMIFS('Web Feed'!$O$2:$O$3015,'Web Feed'!$B$2:$B$3015,Points!$A$6,'Web Feed'!$G$2:$G$3015,$B213)+SUMIFS('Web Feed'!$O$2:$O$3015,'Web Feed'!$B$2:$B$3015,Points!$A$6,'Web Feed'!$H$2:$H$3015,$B213)+SUMIFS('Web Feed'!$O$2:$O$3015,'Web Feed'!$B$2:$B$3015,Points!$A$6,'Web Feed'!$I$2:$I$3015,$B213))</f>
        <v/>
      </c>
      <c r="I213">
        <f>IF($B213="","",COUNTIFS('Web Feed'!$B$2:$B$3015,"OHW",'Web Feed'!$F$2:$F$3015,$B213))</f>
        <v/>
      </c>
      <c r="J213">
        <f>IF($B213="","",IFERROR(INDEX('Last Week'!$A$2:$A$301,MATCH($B213,'Last Week'!$B$2:$B$301,0)),""))</f>
        <v/>
      </c>
      <c r="K213">
        <f>IF(OR($B213="",$J213=""),"",$J213-$A213)</f>
        <v/>
      </c>
    </row>
    <row r="214">
      <c r="A214">
        <f>IF($B214="","",RANK($C214,$C$2:$C$500))</f>
        <v/>
      </c>
      <c r="B214">
        <f>IF(Players!$A214="","",Players!$A214)</f>
        <v/>
      </c>
      <c r="C214" s="5">
        <f>IF($B214="","",SUM(D214:H214))</f>
        <v/>
      </c>
      <c r="D214">
        <f>IF($B214="","",SUMIFS('Web Feed'!$O$2:$O$3015,'Web Feed'!$B$2:$B$3015,Points!$A$2,'Web Feed'!$F$2:$F$3015,$B214)+SUMIFS('Web Feed'!$O$2:$O$3015,'Web Feed'!$B$2:$B$3015,Points!$A$2,'Web Feed'!$G$2:$G$3015,$B214)+SUMIFS('Web Feed'!$O$2:$O$3015,'Web Feed'!$B$2:$B$3015,Points!$A$2,'Web Feed'!$H$2:$H$3015,$B214)+SUMIFS('Web Feed'!$O$2:$O$3015,'Web Feed'!$B$2:$B$3015,Points!$A$2,'Web Feed'!$I$2:$I$3015,$B214))</f>
        <v/>
      </c>
      <c r="E214">
        <f>IF($B214="","",SUMIFS('Web Feed'!$O$2:$O$3015,'Web Feed'!$B$2:$B$3015,Points!$A$3,'Web Feed'!$F$2:$F$3015,$B214)+SUMIFS('Web Feed'!$O$2:$O$3015,'Web Feed'!$B$2:$B$3015,Points!$A$3,'Web Feed'!$G$2:$G$3015,$B214)+SUMIFS('Web Feed'!$O$2:$O$3015,'Web Feed'!$B$2:$B$3015,Points!$A$3,'Web Feed'!$H$2:$H$3015,$B214)+SUMIFS('Web Feed'!$O$2:$O$3015,'Web Feed'!$B$2:$B$3015,Points!$A$3,'Web Feed'!$I$2:$I$3015,$B214))</f>
        <v/>
      </c>
      <c r="F214">
        <f>IF($B214="","",SUMIFS('Web Feed'!$O$2:$O$3015,'Web Feed'!$B$2:$B$3015,Points!$A$4,'Web Feed'!$F$2:$F$3015,$B214)+SUMIFS('Web Feed'!$O$2:$O$3015,'Web Feed'!$B$2:$B$3015,Points!$A$4,'Web Feed'!$G$2:$G$3015,$B214)+SUMIFS('Web Feed'!$O$2:$O$3015,'Web Feed'!$B$2:$B$3015,Points!$A$4,'Web Feed'!$H$2:$H$3015,$B214)+SUMIFS('Web Feed'!$O$2:$O$3015,'Web Feed'!$B$2:$B$3015,Points!$A$4,'Web Feed'!$I$2:$I$3015,$B214))</f>
        <v/>
      </c>
      <c r="G214">
        <f>IF($B214="","",SUMIFS('Web Feed'!$O$2:$O$3015,'Web Feed'!$B$2:$B$3015,Points!$A$5,'Web Feed'!$F$2:$F$3015,$B214)+SUMIFS('Web Feed'!$O$2:$O$3015,'Web Feed'!$B$2:$B$3015,Points!$A$5,'Web Feed'!$G$2:$G$3015,$B214)+SUMIFS('Web Feed'!$O$2:$O$3015,'Web Feed'!$B$2:$B$3015,Points!$A$5,'Web Feed'!$H$2:$H$3015,$B214)+SUMIFS('Web Feed'!$O$2:$O$3015,'Web Feed'!$B$2:$B$3015,Points!$A$5,'Web Feed'!$I$2:$I$3015,$B214))</f>
        <v/>
      </c>
      <c r="H214">
        <f>IF($B214="","",SUMIFS('Web Feed'!$O$2:$O$3015,'Web Feed'!$B$2:$B$3015,Points!$A$6,'Web Feed'!$F$2:$F$3015,$B214)+SUMIFS('Web Feed'!$O$2:$O$3015,'Web Feed'!$B$2:$B$3015,Points!$A$6,'Web Feed'!$G$2:$G$3015,$B214)+SUMIFS('Web Feed'!$O$2:$O$3015,'Web Feed'!$B$2:$B$3015,Points!$A$6,'Web Feed'!$H$2:$H$3015,$B214)+SUMIFS('Web Feed'!$O$2:$O$3015,'Web Feed'!$B$2:$B$3015,Points!$A$6,'Web Feed'!$I$2:$I$3015,$B214))</f>
        <v/>
      </c>
      <c r="I214">
        <f>IF($B214="","",COUNTIFS('Web Feed'!$B$2:$B$3015,"OHW",'Web Feed'!$F$2:$F$3015,$B214))</f>
        <v/>
      </c>
      <c r="J214">
        <f>IF($B214="","",IFERROR(INDEX('Last Week'!$A$2:$A$301,MATCH($B214,'Last Week'!$B$2:$B$301,0)),""))</f>
        <v/>
      </c>
      <c r="K214">
        <f>IF(OR($B214="",$J214=""),"",$J214-$A214)</f>
        <v/>
      </c>
    </row>
    <row r="215">
      <c r="A215">
        <f>IF($B215="","",RANK($C215,$C$2:$C$500))</f>
        <v/>
      </c>
      <c r="B215">
        <f>IF(Players!$A215="","",Players!$A215)</f>
        <v/>
      </c>
      <c r="C215" s="5">
        <f>IF($B215="","",SUM(D215:H215))</f>
        <v/>
      </c>
      <c r="D215">
        <f>IF($B215="","",SUMIFS('Web Feed'!$O$2:$O$3015,'Web Feed'!$B$2:$B$3015,Points!$A$2,'Web Feed'!$F$2:$F$3015,$B215)+SUMIFS('Web Feed'!$O$2:$O$3015,'Web Feed'!$B$2:$B$3015,Points!$A$2,'Web Feed'!$G$2:$G$3015,$B215)+SUMIFS('Web Feed'!$O$2:$O$3015,'Web Feed'!$B$2:$B$3015,Points!$A$2,'Web Feed'!$H$2:$H$3015,$B215)+SUMIFS('Web Feed'!$O$2:$O$3015,'Web Feed'!$B$2:$B$3015,Points!$A$2,'Web Feed'!$I$2:$I$3015,$B215))</f>
        <v/>
      </c>
      <c r="E215">
        <f>IF($B215="","",SUMIFS('Web Feed'!$O$2:$O$3015,'Web Feed'!$B$2:$B$3015,Points!$A$3,'Web Feed'!$F$2:$F$3015,$B215)+SUMIFS('Web Feed'!$O$2:$O$3015,'Web Feed'!$B$2:$B$3015,Points!$A$3,'Web Feed'!$G$2:$G$3015,$B215)+SUMIFS('Web Feed'!$O$2:$O$3015,'Web Feed'!$B$2:$B$3015,Points!$A$3,'Web Feed'!$H$2:$H$3015,$B215)+SUMIFS('Web Feed'!$O$2:$O$3015,'Web Feed'!$B$2:$B$3015,Points!$A$3,'Web Feed'!$I$2:$I$3015,$B215))</f>
        <v/>
      </c>
      <c r="F215">
        <f>IF($B215="","",SUMIFS('Web Feed'!$O$2:$O$3015,'Web Feed'!$B$2:$B$3015,Points!$A$4,'Web Feed'!$F$2:$F$3015,$B215)+SUMIFS('Web Feed'!$O$2:$O$3015,'Web Feed'!$B$2:$B$3015,Points!$A$4,'Web Feed'!$G$2:$G$3015,$B215)+SUMIFS('Web Feed'!$O$2:$O$3015,'Web Feed'!$B$2:$B$3015,Points!$A$4,'Web Feed'!$H$2:$H$3015,$B215)+SUMIFS('Web Feed'!$O$2:$O$3015,'Web Feed'!$B$2:$B$3015,Points!$A$4,'Web Feed'!$I$2:$I$3015,$B215))</f>
        <v/>
      </c>
      <c r="G215">
        <f>IF($B215="","",SUMIFS('Web Feed'!$O$2:$O$3015,'Web Feed'!$B$2:$B$3015,Points!$A$5,'Web Feed'!$F$2:$F$3015,$B215)+SUMIFS('Web Feed'!$O$2:$O$3015,'Web Feed'!$B$2:$B$3015,Points!$A$5,'Web Feed'!$G$2:$G$3015,$B215)+SUMIFS('Web Feed'!$O$2:$O$3015,'Web Feed'!$B$2:$B$3015,Points!$A$5,'Web Feed'!$H$2:$H$3015,$B215)+SUMIFS('Web Feed'!$O$2:$O$3015,'Web Feed'!$B$2:$B$3015,Points!$A$5,'Web Feed'!$I$2:$I$3015,$B215))</f>
        <v/>
      </c>
      <c r="H215">
        <f>IF($B215="","",SUMIFS('Web Feed'!$O$2:$O$3015,'Web Feed'!$B$2:$B$3015,Points!$A$6,'Web Feed'!$F$2:$F$3015,$B215)+SUMIFS('Web Feed'!$O$2:$O$3015,'Web Feed'!$B$2:$B$3015,Points!$A$6,'Web Feed'!$G$2:$G$3015,$B215)+SUMIFS('Web Feed'!$O$2:$O$3015,'Web Feed'!$B$2:$B$3015,Points!$A$6,'Web Feed'!$H$2:$H$3015,$B215)+SUMIFS('Web Feed'!$O$2:$O$3015,'Web Feed'!$B$2:$B$3015,Points!$A$6,'Web Feed'!$I$2:$I$3015,$B215))</f>
        <v/>
      </c>
      <c r="I215">
        <f>IF($B215="","",COUNTIFS('Web Feed'!$B$2:$B$3015,"OHW",'Web Feed'!$F$2:$F$3015,$B215))</f>
        <v/>
      </c>
      <c r="J215">
        <f>IF($B215="","",IFERROR(INDEX('Last Week'!$A$2:$A$301,MATCH($B215,'Last Week'!$B$2:$B$301,0)),""))</f>
        <v/>
      </c>
      <c r="K215">
        <f>IF(OR($B215="",$J215=""),"",$J215-$A215)</f>
        <v/>
      </c>
    </row>
    <row r="216">
      <c r="A216">
        <f>IF($B216="","",RANK($C216,$C$2:$C$500))</f>
        <v/>
      </c>
      <c r="B216">
        <f>IF(Players!$A216="","",Players!$A216)</f>
        <v/>
      </c>
      <c r="C216" s="5">
        <f>IF($B216="","",SUM(D216:H216))</f>
        <v/>
      </c>
      <c r="D216">
        <f>IF($B216="","",SUMIFS('Web Feed'!$O$2:$O$3015,'Web Feed'!$B$2:$B$3015,Points!$A$2,'Web Feed'!$F$2:$F$3015,$B216)+SUMIFS('Web Feed'!$O$2:$O$3015,'Web Feed'!$B$2:$B$3015,Points!$A$2,'Web Feed'!$G$2:$G$3015,$B216)+SUMIFS('Web Feed'!$O$2:$O$3015,'Web Feed'!$B$2:$B$3015,Points!$A$2,'Web Feed'!$H$2:$H$3015,$B216)+SUMIFS('Web Feed'!$O$2:$O$3015,'Web Feed'!$B$2:$B$3015,Points!$A$2,'Web Feed'!$I$2:$I$3015,$B216))</f>
        <v/>
      </c>
      <c r="E216">
        <f>IF($B216="","",SUMIFS('Web Feed'!$O$2:$O$3015,'Web Feed'!$B$2:$B$3015,Points!$A$3,'Web Feed'!$F$2:$F$3015,$B216)+SUMIFS('Web Feed'!$O$2:$O$3015,'Web Feed'!$B$2:$B$3015,Points!$A$3,'Web Feed'!$G$2:$G$3015,$B216)+SUMIFS('Web Feed'!$O$2:$O$3015,'Web Feed'!$B$2:$B$3015,Points!$A$3,'Web Feed'!$H$2:$H$3015,$B216)+SUMIFS('Web Feed'!$O$2:$O$3015,'Web Feed'!$B$2:$B$3015,Points!$A$3,'Web Feed'!$I$2:$I$3015,$B216))</f>
        <v/>
      </c>
      <c r="F216">
        <f>IF($B216="","",SUMIFS('Web Feed'!$O$2:$O$3015,'Web Feed'!$B$2:$B$3015,Points!$A$4,'Web Feed'!$F$2:$F$3015,$B216)+SUMIFS('Web Feed'!$O$2:$O$3015,'Web Feed'!$B$2:$B$3015,Points!$A$4,'Web Feed'!$G$2:$G$3015,$B216)+SUMIFS('Web Feed'!$O$2:$O$3015,'Web Feed'!$B$2:$B$3015,Points!$A$4,'Web Feed'!$H$2:$H$3015,$B216)+SUMIFS('Web Feed'!$O$2:$O$3015,'Web Feed'!$B$2:$B$3015,Points!$A$4,'Web Feed'!$I$2:$I$3015,$B216))</f>
        <v/>
      </c>
      <c r="G216">
        <f>IF($B216="","",SUMIFS('Web Feed'!$O$2:$O$3015,'Web Feed'!$B$2:$B$3015,Points!$A$5,'Web Feed'!$F$2:$F$3015,$B216)+SUMIFS('Web Feed'!$O$2:$O$3015,'Web Feed'!$B$2:$B$3015,Points!$A$5,'Web Feed'!$G$2:$G$3015,$B216)+SUMIFS('Web Feed'!$O$2:$O$3015,'Web Feed'!$B$2:$B$3015,Points!$A$5,'Web Feed'!$H$2:$H$3015,$B216)+SUMIFS('Web Feed'!$O$2:$O$3015,'Web Feed'!$B$2:$B$3015,Points!$A$5,'Web Feed'!$I$2:$I$3015,$B216))</f>
        <v/>
      </c>
      <c r="H216">
        <f>IF($B216="","",SUMIFS('Web Feed'!$O$2:$O$3015,'Web Feed'!$B$2:$B$3015,Points!$A$6,'Web Feed'!$F$2:$F$3015,$B216)+SUMIFS('Web Feed'!$O$2:$O$3015,'Web Feed'!$B$2:$B$3015,Points!$A$6,'Web Feed'!$G$2:$G$3015,$B216)+SUMIFS('Web Feed'!$O$2:$O$3015,'Web Feed'!$B$2:$B$3015,Points!$A$6,'Web Feed'!$H$2:$H$3015,$B216)+SUMIFS('Web Feed'!$O$2:$O$3015,'Web Feed'!$B$2:$B$3015,Points!$A$6,'Web Feed'!$I$2:$I$3015,$B216))</f>
        <v/>
      </c>
      <c r="I216">
        <f>IF($B216="","",COUNTIFS('Web Feed'!$B$2:$B$3015,"OHW",'Web Feed'!$F$2:$F$3015,$B216))</f>
        <v/>
      </c>
      <c r="J216">
        <f>IF($B216="","",IFERROR(INDEX('Last Week'!$A$2:$A$301,MATCH($B216,'Last Week'!$B$2:$B$301,0)),""))</f>
        <v/>
      </c>
      <c r="K216">
        <f>IF(OR($B216="",$J216=""),"",$J216-$A216)</f>
        <v/>
      </c>
    </row>
    <row r="217">
      <c r="A217">
        <f>IF($B217="","",RANK($C217,$C$2:$C$500))</f>
        <v/>
      </c>
      <c r="B217">
        <f>IF(Players!$A217="","",Players!$A217)</f>
        <v/>
      </c>
      <c r="C217" s="5">
        <f>IF($B217="","",SUM(D217:H217))</f>
        <v/>
      </c>
      <c r="D217">
        <f>IF($B217="","",SUMIFS('Web Feed'!$O$2:$O$3015,'Web Feed'!$B$2:$B$3015,Points!$A$2,'Web Feed'!$F$2:$F$3015,$B217)+SUMIFS('Web Feed'!$O$2:$O$3015,'Web Feed'!$B$2:$B$3015,Points!$A$2,'Web Feed'!$G$2:$G$3015,$B217)+SUMIFS('Web Feed'!$O$2:$O$3015,'Web Feed'!$B$2:$B$3015,Points!$A$2,'Web Feed'!$H$2:$H$3015,$B217)+SUMIFS('Web Feed'!$O$2:$O$3015,'Web Feed'!$B$2:$B$3015,Points!$A$2,'Web Feed'!$I$2:$I$3015,$B217))</f>
        <v/>
      </c>
      <c r="E217">
        <f>IF($B217="","",SUMIFS('Web Feed'!$O$2:$O$3015,'Web Feed'!$B$2:$B$3015,Points!$A$3,'Web Feed'!$F$2:$F$3015,$B217)+SUMIFS('Web Feed'!$O$2:$O$3015,'Web Feed'!$B$2:$B$3015,Points!$A$3,'Web Feed'!$G$2:$G$3015,$B217)+SUMIFS('Web Feed'!$O$2:$O$3015,'Web Feed'!$B$2:$B$3015,Points!$A$3,'Web Feed'!$H$2:$H$3015,$B217)+SUMIFS('Web Feed'!$O$2:$O$3015,'Web Feed'!$B$2:$B$3015,Points!$A$3,'Web Feed'!$I$2:$I$3015,$B217))</f>
        <v/>
      </c>
      <c r="F217">
        <f>IF($B217="","",SUMIFS('Web Feed'!$O$2:$O$3015,'Web Feed'!$B$2:$B$3015,Points!$A$4,'Web Feed'!$F$2:$F$3015,$B217)+SUMIFS('Web Feed'!$O$2:$O$3015,'Web Feed'!$B$2:$B$3015,Points!$A$4,'Web Feed'!$G$2:$G$3015,$B217)+SUMIFS('Web Feed'!$O$2:$O$3015,'Web Feed'!$B$2:$B$3015,Points!$A$4,'Web Feed'!$H$2:$H$3015,$B217)+SUMIFS('Web Feed'!$O$2:$O$3015,'Web Feed'!$B$2:$B$3015,Points!$A$4,'Web Feed'!$I$2:$I$3015,$B217))</f>
        <v/>
      </c>
      <c r="G217">
        <f>IF($B217="","",SUMIFS('Web Feed'!$O$2:$O$3015,'Web Feed'!$B$2:$B$3015,Points!$A$5,'Web Feed'!$F$2:$F$3015,$B217)+SUMIFS('Web Feed'!$O$2:$O$3015,'Web Feed'!$B$2:$B$3015,Points!$A$5,'Web Feed'!$G$2:$G$3015,$B217)+SUMIFS('Web Feed'!$O$2:$O$3015,'Web Feed'!$B$2:$B$3015,Points!$A$5,'Web Feed'!$H$2:$H$3015,$B217)+SUMIFS('Web Feed'!$O$2:$O$3015,'Web Feed'!$B$2:$B$3015,Points!$A$5,'Web Feed'!$I$2:$I$3015,$B217))</f>
        <v/>
      </c>
      <c r="H217">
        <f>IF($B217="","",SUMIFS('Web Feed'!$O$2:$O$3015,'Web Feed'!$B$2:$B$3015,Points!$A$6,'Web Feed'!$F$2:$F$3015,$B217)+SUMIFS('Web Feed'!$O$2:$O$3015,'Web Feed'!$B$2:$B$3015,Points!$A$6,'Web Feed'!$G$2:$G$3015,$B217)+SUMIFS('Web Feed'!$O$2:$O$3015,'Web Feed'!$B$2:$B$3015,Points!$A$6,'Web Feed'!$H$2:$H$3015,$B217)+SUMIFS('Web Feed'!$O$2:$O$3015,'Web Feed'!$B$2:$B$3015,Points!$A$6,'Web Feed'!$I$2:$I$3015,$B217))</f>
        <v/>
      </c>
      <c r="I217">
        <f>IF($B217="","",COUNTIFS('Web Feed'!$B$2:$B$3015,"OHW",'Web Feed'!$F$2:$F$3015,$B217))</f>
        <v/>
      </c>
      <c r="J217">
        <f>IF($B217="","",IFERROR(INDEX('Last Week'!$A$2:$A$301,MATCH($B217,'Last Week'!$B$2:$B$301,0)),""))</f>
        <v/>
      </c>
      <c r="K217">
        <f>IF(OR($B217="",$J217=""),"",$J217-$A217)</f>
        <v/>
      </c>
    </row>
    <row r="218">
      <c r="A218">
        <f>IF($B218="","",RANK($C218,$C$2:$C$500))</f>
        <v/>
      </c>
      <c r="B218">
        <f>IF(Players!$A218="","",Players!$A218)</f>
        <v/>
      </c>
      <c r="C218" s="5">
        <f>IF($B218="","",SUM(D218:H218))</f>
        <v/>
      </c>
      <c r="D218">
        <f>IF($B218="","",SUMIFS('Web Feed'!$O$2:$O$3015,'Web Feed'!$B$2:$B$3015,Points!$A$2,'Web Feed'!$F$2:$F$3015,$B218)+SUMIFS('Web Feed'!$O$2:$O$3015,'Web Feed'!$B$2:$B$3015,Points!$A$2,'Web Feed'!$G$2:$G$3015,$B218)+SUMIFS('Web Feed'!$O$2:$O$3015,'Web Feed'!$B$2:$B$3015,Points!$A$2,'Web Feed'!$H$2:$H$3015,$B218)+SUMIFS('Web Feed'!$O$2:$O$3015,'Web Feed'!$B$2:$B$3015,Points!$A$2,'Web Feed'!$I$2:$I$3015,$B218))</f>
        <v/>
      </c>
      <c r="E218">
        <f>IF($B218="","",SUMIFS('Web Feed'!$O$2:$O$3015,'Web Feed'!$B$2:$B$3015,Points!$A$3,'Web Feed'!$F$2:$F$3015,$B218)+SUMIFS('Web Feed'!$O$2:$O$3015,'Web Feed'!$B$2:$B$3015,Points!$A$3,'Web Feed'!$G$2:$G$3015,$B218)+SUMIFS('Web Feed'!$O$2:$O$3015,'Web Feed'!$B$2:$B$3015,Points!$A$3,'Web Feed'!$H$2:$H$3015,$B218)+SUMIFS('Web Feed'!$O$2:$O$3015,'Web Feed'!$B$2:$B$3015,Points!$A$3,'Web Feed'!$I$2:$I$3015,$B218))</f>
        <v/>
      </c>
      <c r="F218">
        <f>IF($B218="","",SUMIFS('Web Feed'!$O$2:$O$3015,'Web Feed'!$B$2:$B$3015,Points!$A$4,'Web Feed'!$F$2:$F$3015,$B218)+SUMIFS('Web Feed'!$O$2:$O$3015,'Web Feed'!$B$2:$B$3015,Points!$A$4,'Web Feed'!$G$2:$G$3015,$B218)+SUMIFS('Web Feed'!$O$2:$O$3015,'Web Feed'!$B$2:$B$3015,Points!$A$4,'Web Feed'!$H$2:$H$3015,$B218)+SUMIFS('Web Feed'!$O$2:$O$3015,'Web Feed'!$B$2:$B$3015,Points!$A$4,'Web Feed'!$I$2:$I$3015,$B218))</f>
        <v/>
      </c>
      <c r="G218">
        <f>IF($B218="","",SUMIFS('Web Feed'!$O$2:$O$3015,'Web Feed'!$B$2:$B$3015,Points!$A$5,'Web Feed'!$F$2:$F$3015,$B218)+SUMIFS('Web Feed'!$O$2:$O$3015,'Web Feed'!$B$2:$B$3015,Points!$A$5,'Web Feed'!$G$2:$G$3015,$B218)+SUMIFS('Web Feed'!$O$2:$O$3015,'Web Feed'!$B$2:$B$3015,Points!$A$5,'Web Feed'!$H$2:$H$3015,$B218)+SUMIFS('Web Feed'!$O$2:$O$3015,'Web Feed'!$B$2:$B$3015,Points!$A$5,'Web Feed'!$I$2:$I$3015,$B218))</f>
        <v/>
      </c>
      <c r="H218">
        <f>IF($B218="","",SUMIFS('Web Feed'!$O$2:$O$3015,'Web Feed'!$B$2:$B$3015,Points!$A$6,'Web Feed'!$F$2:$F$3015,$B218)+SUMIFS('Web Feed'!$O$2:$O$3015,'Web Feed'!$B$2:$B$3015,Points!$A$6,'Web Feed'!$G$2:$G$3015,$B218)+SUMIFS('Web Feed'!$O$2:$O$3015,'Web Feed'!$B$2:$B$3015,Points!$A$6,'Web Feed'!$H$2:$H$3015,$B218)+SUMIFS('Web Feed'!$O$2:$O$3015,'Web Feed'!$B$2:$B$3015,Points!$A$6,'Web Feed'!$I$2:$I$3015,$B218))</f>
        <v/>
      </c>
      <c r="I218">
        <f>IF($B218="","",COUNTIFS('Web Feed'!$B$2:$B$3015,"OHW",'Web Feed'!$F$2:$F$3015,$B218))</f>
        <v/>
      </c>
      <c r="J218">
        <f>IF($B218="","",IFERROR(INDEX('Last Week'!$A$2:$A$301,MATCH($B218,'Last Week'!$B$2:$B$301,0)),""))</f>
        <v/>
      </c>
      <c r="K218">
        <f>IF(OR($B218="",$J218=""),"",$J218-$A218)</f>
        <v/>
      </c>
    </row>
    <row r="219">
      <c r="A219">
        <f>IF($B219="","",RANK($C219,$C$2:$C$500))</f>
        <v/>
      </c>
      <c r="B219">
        <f>IF(Players!$A219="","",Players!$A219)</f>
        <v/>
      </c>
      <c r="C219" s="5">
        <f>IF($B219="","",SUM(D219:H219))</f>
        <v/>
      </c>
      <c r="D219">
        <f>IF($B219="","",SUMIFS('Web Feed'!$O$2:$O$3015,'Web Feed'!$B$2:$B$3015,Points!$A$2,'Web Feed'!$F$2:$F$3015,$B219)+SUMIFS('Web Feed'!$O$2:$O$3015,'Web Feed'!$B$2:$B$3015,Points!$A$2,'Web Feed'!$G$2:$G$3015,$B219)+SUMIFS('Web Feed'!$O$2:$O$3015,'Web Feed'!$B$2:$B$3015,Points!$A$2,'Web Feed'!$H$2:$H$3015,$B219)+SUMIFS('Web Feed'!$O$2:$O$3015,'Web Feed'!$B$2:$B$3015,Points!$A$2,'Web Feed'!$I$2:$I$3015,$B219))</f>
        <v/>
      </c>
      <c r="E219">
        <f>IF($B219="","",SUMIFS('Web Feed'!$O$2:$O$3015,'Web Feed'!$B$2:$B$3015,Points!$A$3,'Web Feed'!$F$2:$F$3015,$B219)+SUMIFS('Web Feed'!$O$2:$O$3015,'Web Feed'!$B$2:$B$3015,Points!$A$3,'Web Feed'!$G$2:$G$3015,$B219)+SUMIFS('Web Feed'!$O$2:$O$3015,'Web Feed'!$B$2:$B$3015,Points!$A$3,'Web Feed'!$H$2:$H$3015,$B219)+SUMIFS('Web Feed'!$O$2:$O$3015,'Web Feed'!$B$2:$B$3015,Points!$A$3,'Web Feed'!$I$2:$I$3015,$B219))</f>
        <v/>
      </c>
      <c r="F219">
        <f>IF($B219="","",SUMIFS('Web Feed'!$O$2:$O$3015,'Web Feed'!$B$2:$B$3015,Points!$A$4,'Web Feed'!$F$2:$F$3015,$B219)+SUMIFS('Web Feed'!$O$2:$O$3015,'Web Feed'!$B$2:$B$3015,Points!$A$4,'Web Feed'!$G$2:$G$3015,$B219)+SUMIFS('Web Feed'!$O$2:$O$3015,'Web Feed'!$B$2:$B$3015,Points!$A$4,'Web Feed'!$H$2:$H$3015,$B219)+SUMIFS('Web Feed'!$O$2:$O$3015,'Web Feed'!$B$2:$B$3015,Points!$A$4,'Web Feed'!$I$2:$I$3015,$B219))</f>
        <v/>
      </c>
      <c r="G219">
        <f>IF($B219="","",SUMIFS('Web Feed'!$O$2:$O$3015,'Web Feed'!$B$2:$B$3015,Points!$A$5,'Web Feed'!$F$2:$F$3015,$B219)+SUMIFS('Web Feed'!$O$2:$O$3015,'Web Feed'!$B$2:$B$3015,Points!$A$5,'Web Feed'!$G$2:$G$3015,$B219)+SUMIFS('Web Feed'!$O$2:$O$3015,'Web Feed'!$B$2:$B$3015,Points!$A$5,'Web Feed'!$H$2:$H$3015,$B219)+SUMIFS('Web Feed'!$O$2:$O$3015,'Web Feed'!$B$2:$B$3015,Points!$A$5,'Web Feed'!$I$2:$I$3015,$B219))</f>
        <v/>
      </c>
      <c r="H219">
        <f>IF($B219="","",SUMIFS('Web Feed'!$O$2:$O$3015,'Web Feed'!$B$2:$B$3015,Points!$A$6,'Web Feed'!$F$2:$F$3015,$B219)+SUMIFS('Web Feed'!$O$2:$O$3015,'Web Feed'!$B$2:$B$3015,Points!$A$6,'Web Feed'!$G$2:$G$3015,$B219)+SUMIFS('Web Feed'!$O$2:$O$3015,'Web Feed'!$B$2:$B$3015,Points!$A$6,'Web Feed'!$H$2:$H$3015,$B219)+SUMIFS('Web Feed'!$O$2:$O$3015,'Web Feed'!$B$2:$B$3015,Points!$A$6,'Web Feed'!$I$2:$I$3015,$B219))</f>
        <v/>
      </c>
      <c r="I219">
        <f>IF($B219="","",COUNTIFS('Web Feed'!$B$2:$B$3015,"OHW",'Web Feed'!$F$2:$F$3015,$B219))</f>
        <v/>
      </c>
      <c r="J219">
        <f>IF($B219="","",IFERROR(INDEX('Last Week'!$A$2:$A$301,MATCH($B219,'Last Week'!$B$2:$B$301,0)),""))</f>
        <v/>
      </c>
      <c r="K219">
        <f>IF(OR($B219="",$J219=""),"",$J219-$A219)</f>
        <v/>
      </c>
    </row>
    <row r="220">
      <c r="A220">
        <f>IF($B220="","",RANK($C220,$C$2:$C$500))</f>
        <v/>
      </c>
      <c r="B220">
        <f>IF(Players!$A220="","",Players!$A220)</f>
        <v/>
      </c>
      <c r="C220" s="5">
        <f>IF($B220="","",SUM(D220:H220))</f>
        <v/>
      </c>
      <c r="D220">
        <f>IF($B220="","",SUMIFS('Web Feed'!$O$2:$O$3015,'Web Feed'!$B$2:$B$3015,Points!$A$2,'Web Feed'!$F$2:$F$3015,$B220)+SUMIFS('Web Feed'!$O$2:$O$3015,'Web Feed'!$B$2:$B$3015,Points!$A$2,'Web Feed'!$G$2:$G$3015,$B220)+SUMIFS('Web Feed'!$O$2:$O$3015,'Web Feed'!$B$2:$B$3015,Points!$A$2,'Web Feed'!$H$2:$H$3015,$B220)+SUMIFS('Web Feed'!$O$2:$O$3015,'Web Feed'!$B$2:$B$3015,Points!$A$2,'Web Feed'!$I$2:$I$3015,$B220))</f>
        <v/>
      </c>
      <c r="E220">
        <f>IF($B220="","",SUMIFS('Web Feed'!$O$2:$O$3015,'Web Feed'!$B$2:$B$3015,Points!$A$3,'Web Feed'!$F$2:$F$3015,$B220)+SUMIFS('Web Feed'!$O$2:$O$3015,'Web Feed'!$B$2:$B$3015,Points!$A$3,'Web Feed'!$G$2:$G$3015,$B220)+SUMIFS('Web Feed'!$O$2:$O$3015,'Web Feed'!$B$2:$B$3015,Points!$A$3,'Web Feed'!$H$2:$H$3015,$B220)+SUMIFS('Web Feed'!$O$2:$O$3015,'Web Feed'!$B$2:$B$3015,Points!$A$3,'Web Feed'!$I$2:$I$3015,$B220))</f>
        <v/>
      </c>
      <c r="F220">
        <f>IF($B220="","",SUMIFS('Web Feed'!$O$2:$O$3015,'Web Feed'!$B$2:$B$3015,Points!$A$4,'Web Feed'!$F$2:$F$3015,$B220)+SUMIFS('Web Feed'!$O$2:$O$3015,'Web Feed'!$B$2:$B$3015,Points!$A$4,'Web Feed'!$G$2:$G$3015,$B220)+SUMIFS('Web Feed'!$O$2:$O$3015,'Web Feed'!$B$2:$B$3015,Points!$A$4,'Web Feed'!$H$2:$H$3015,$B220)+SUMIFS('Web Feed'!$O$2:$O$3015,'Web Feed'!$B$2:$B$3015,Points!$A$4,'Web Feed'!$I$2:$I$3015,$B220))</f>
        <v/>
      </c>
      <c r="G220">
        <f>IF($B220="","",SUMIFS('Web Feed'!$O$2:$O$3015,'Web Feed'!$B$2:$B$3015,Points!$A$5,'Web Feed'!$F$2:$F$3015,$B220)+SUMIFS('Web Feed'!$O$2:$O$3015,'Web Feed'!$B$2:$B$3015,Points!$A$5,'Web Feed'!$G$2:$G$3015,$B220)+SUMIFS('Web Feed'!$O$2:$O$3015,'Web Feed'!$B$2:$B$3015,Points!$A$5,'Web Feed'!$H$2:$H$3015,$B220)+SUMIFS('Web Feed'!$O$2:$O$3015,'Web Feed'!$B$2:$B$3015,Points!$A$5,'Web Feed'!$I$2:$I$3015,$B220))</f>
        <v/>
      </c>
      <c r="H220">
        <f>IF($B220="","",SUMIFS('Web Feed'!$O$2:$O$3015,'Web Feed'!$B$2:$B$3015,Points!$A$6,'Web Feed'!$F$2:$F$3015,$B220)+SUMIFS('Web Feed'!$O$2:$O$3015,'Web Feed'!$B$2:$B$3015,Points!$A$6,'Web Feed'!$G$2:$G$3015,$B220)+SUMIFS('Web Feed'!$O$2:$O$3015,'Web Feed'!$B$2:$B$3015,Points!$A$6,'Web Feed'!$H$2:$H$3015,$B220)+SUMIFS('Web Feed'!$O$2:$O$3015,'Web Feed'!$B$2:$B$3015,Points!$A$6,'Web Feed'!$I$2:$I$3015,$B220))</f>
        <v/>
      </c>
      <c r="I220">
        <f>IF($B220="","",COUNTIFS('Web Feed'!$B$2:$B$3015,"OHW",'Web Feed'!$F$2:$F$3015,$B220))</f>
        <v/>
      </c>
      <c r="J220">
        <f>IF($B220="","",IFERROR(INDEX('Last Week'!$A$2:$A$301,MATCH($B220,'Last Week'!$B$2:$B$301,0)),""))</f>
        <v/>
      </c>
      <c r="K220">
        <f>IF(OR($B220="",$J220=""),"",$J220-$A220)</f>
        <v/>
      </c>
    </row>
    <row r="221">
      <c r="A221">
        <f>IF($B221="","",RANK($C221,$C$2:$C$500))</f>
        <v/>
      </c>
      <c r="B221">
        <f>IF(Players!$A221="","",Players!$A221)</f>
        <v/>
      </c>
      <c r="C221" s="5">
        <f>IF($B221="","",SUM(D221:H221))</f>
        <v/>
      </c>
      <c r="D221">
        <f>IF($B221="","",SUMIFS('Web Feed'!$O$2:$O$3015,'Web Feed'!$B$2:$B$3015,Points!$A$2,'Web Feed'!$F$2:$F$3015,$B221)+SUMIFS('Web Feed'!$O$2:$O$3015,'Web Feed'!$B$2:$B$3015,Points!$A$2,'Web Feed'!$G$2:$G$3015,$B221)+SUMIFS('Web Feed'!$O$2:$O$3015,'Web Feed'!$B$2:$B$3015,Points!$A$2,'Web Feed'!$H$2:$H$3015,$B221)+SUMIFS('Web Feed'!$O$2:$O$3015,'Web Feed'!$B$2:$B$3015,Points!$A$2,'Web Feed'!$I$2:$I$3015,$B221))</f>
        <v/>
      </c>
      <c r="E221">
        <f>IF($B221="","",SUMIFS('Web Feed'!$O$2:$O$3015,'Web Feed'!$B$2:$B$3015,Points!$A$3,'Web Feed'!$F$2:$F$3015,$B221)+SUMIFS('Web Feed'!$O$2:$O$3015,'Web Feed'!$B$2:$B$3015,Points!$A$3,'Web Feed'!$G$2:$G$3015,$B221)+SUMIFS('Web Feed'!$O$2:$O$3015,'Web Feed'!$B$2:$B$3015,Points!$A$3,'Web Feed'!$H$2:$H$3015,$B221)+SUMIFS('Web Feed'!$O$2:$O$3015,'Web Feed'!$B$2:$B$3015,Points!$A$3,'Web Feed'!$I$2:$I$3015,$B221))</f>
        <v/>
      </c>
      <c r="F221">
        <f>IF($B221="","",SUMIFS('Web Feed'!$O$2:$O$3015,'Web Feed'!$B$2:$B$3015,Points!$A$4,'Web Feed'!$F$2:$F$3015,$B221)+SUMIFS('Web Feed'!$O$2:$O$3015,'Web Feed'!$B$2:$B$3015,Points!$A$4,'Web Feed'!$G$2:$G$3015,$B221)+SUMIFS('Web Feed'!$O$2:$O$3015,'Web Feed'!$B$2:$B$3015,Points!$A$4,'Web Feed'!$H$2:$H$3015,$B221)+SUMIFS('Web Feed'!$O$2:$O$3015,'Web Feed'!$B$2:$B$3015,Points!$A$4,'Web Feed'!$I$2:$I$3015,$B221))</f>
        <v/>
      </c>
      <c r="G221">
        <f>IF($B221="","",SUMIFS('Web Feed'!$O$2:$O$3015,'Web Feed'!$B$2:$B$3015,Points!$A$5,'Web Feed'!$F$2:$F$3015,$B221)+SUMIFS('Web Feed'!$O$2:$O$3015,'Web Feed'!$B$2:$B$3015,Points!$A$5,'Web Feed'!$G$2:$G$3015,$B221)+SUMIFS('Web Feed'!$O$2:$O$3015,'Web Feed'!$B$2:$B$3015,Points!$A$5,'Web Feed'!$H$2:$H$3015,$B221)+SUMIFS('Web Feed'!$O$2:$O$3015,'Web Feed'!$B$2:$B$3015,Points!$A$5,'Web Feed'!$I$2:$I$3015,$B221))</f>
        <v/>
      </c>
      <c r="H221">
        <f>IF($B221="","",SUMIFS('Web Feed'!$O$2:$O$3015,'Web Feed'!$B$2:$B$3015,Points!$A$6,'Web Feed'!$F$2:$F$3015,$B221)+SUMIFS('Web Feed'!$O$2:$O$3015,'Web Feed'!$B$2:$B$3015,Points!$A$6,'Web Feed'!$G$2:$G$3015,$B221)+SUMIFS('Web Feed'!$O$2:$O$3015,'Web Feed'!$B$2:$B$3015,Points!$A$6,'Web Feed'!$H$2:$H$3015,$B221)+SUMIFS('Web Feed'!$O$2:$O$3015,'Web Feed'!$B$2:$B$3015,Points!$A$6,'Web Feed'!$I$2:$I$3015,$B221))</f>
        <v/>
      </c>
      <c r="I221">
        <f>IF($B221="","",COUNTIFS('Web Feed'!$B$2:$B$3015,"OHW",'Web Feed'!$F$2:$F$3015,$B221))</f>
        <v/>
      </c>
      <c r="J221">
        <f>IF($B221="","",IFERROR(INDEX('Last Week'!$A$2:$A$301,MATCH($B221,'Last Week'!$B$2:$B$301,0)),""))</f>
        <v/>
      </c>
      <c r="K221">
        <f>IF(OR($B221="",$J221=""),"",$J221-$A221)</f>
        <v/>
      </c>
    </row>
    <row r="222">
      <c r="A222">
        <f>IF($B222="","",RANK($C222,$C$2:$C$500))</f>
        <v/>
      </c>
      <c r="B222">
        <f>IF(Players!$A222="","",Players!$A222)</f>
        <v/>
      </c>
      <c r="C222" s="5">
        <f>IF($B222="","",SUM(D222:H222))</f>
        <v/>
      </c>
      <c r="D222">
        <f>IF($B222="","",SUMIFS('Web Feed'!$O$2:$O$3015,'Web Feed'!$B$2:$B$3015,Points!$A$2,'Web Feed'!$F$2:$F$3015,$B222)+SUMIFS('Web Feed'!$O$2:$O$3015,'Web Feed'!$B$2:$B$3015,Points!$A$2,'Web Feed'!$G$2:$G$3015,$B222)+SUMIFS('Web Feed'!$O$2:$O$3015,'Web Feed'!$B$2:$B$3015,Points!$A$2,'Web Feed'!$H$2:$H$3015,$B222)+SUMIFS('Web Feed'!$O$2:$O$3015,'Web Feed'!$B$2:$B$3015,Points!$A$2,'Web Feed'!$I$2:$I$3015,$B222))</f>
        <v/>
      </c>
      <c r="E222">
        <f>IF($B222="","",SUMIFS('Web Feed'!$O$2:$O$3015,'Web Feed'!$B$2:$B$3015,Points!$A$3,'Web Feed'!$F$2:$F$3015,$B222)+SUMIFS('Web Feed'!$O$2:$O$3015,'Web Feed'!$B$2:$B$3015,Points!$A$3,'Web Feed'!$G$2:$G$3015,$B222)+SUMIFS('Web Feed'!$O$2:$O$3015,'Web Feed'!$B$2:$B$3015,Points!$A$3,'Web Feed'!$H$2:$H$3015,$B222)+SUMIFS('Web Feed'!$O$2:$O$3015,'Web Feed'!$B$2:$B$3015,Points!$A$3,'Web Feed'!$I$2:$I$3015,$B222))</f>
        <v/>
      </c>
      <c r="F222">
        <f>IF($B222="","",SUMIFS('Web Feed'!$O$2:$O$3015,'Web Feed'!$B$2:$B$3015,Points!$A$4,'Web Feed'!$F$2:$F$3015,$B222)+SUMIFS('Web Feed'!$O$2:$O$3015,'Web Feed'!$B$2:$B$3015,Points!$A$4,'Web Feed'!$G$2:$G$3015,$B222)+SUMIFS('Web Feed'!$O$2:$O$3015,'Web Feed'!$B$2:$B$3015,Points!$A$4,'Web Feed'!$H$2:$H$3015,$B222)+SUMIFS('Web Feed'!$O$2:$O$3015,'Web Feed'!$B$2:$B$3015,Points!$A$4,'Web Feed'!$I$2:$I$3015,$B222))</f>
        <v/>
      </c>
      <c r="G222">
        <f>IF($B222="","",SUMIFS('Web Feed'!$O$2:$O$3015,'Web Feed'!$B$2:$B$3015,Points!$A$5,'Web Feed'!$F$2:$F$3015,$B222)+SUMIFS('Web Feed'!$O$2:$O$3015,'Web Feed'!$B$2:$B$3015,Points!$A$5,'Web Feed'!$G$2:$G$3015,$B222)+SUMIFS('Web Feed'!$O$2:$O$3015,'Web Feed'!$B$2:$B$3015,Points!$A$5,'Web Feed'!$H$2:$H$3015,$B222)+SUMIFS('Web Feed'!$O$2:$O$3015,'Web Feed'!$B$2:$B$3015,Points!$A$5,'Web Feed'!$I$2:$I$3015,$B222))</f>
        <v/>
      </c>
      <c r="H222">
        <f>IF($B222="","",SUMIFS('Web Feed'!$O$2:$O$3015,'Web Feed'!$B$2:$B$3015,Points!$A$6,'Web Feed'!$F$2:$F$3015,$B222)+SUMIFS('Web Feed'!$O$2:$O$3015,'Web Feed'!$B$2:$B$3015,Points!$A$6,'Web Feed'!$G$2:$G$3015,$B222)+SUMIFS('Web Feed'!$O$2:$O$3015,'Web Feed'!$B$2:$B$3015,Points!$A$6,'Web Feed'!$H$2:$H$3015,$B222)+SUMIFS('Web Feed'!$O$2:$O$3015,'Web Feed'!$B$2:$B$3015,Points!$A$6,'Web Feed'!$I$2:$I$3015,$B222))</f>
        <v/>
      </c>
      <c r="I222">
        <f>IF($B222="","",COUNTIFS('Web Feed'!$B$2:$B$3015,"OHW",'Web Feed'!$F$2:$F$3015,$B222))</f>
        <v/>
      </c>
      <c r="J222">
        <f>IF($B222="","",IFERROR(INDEX('Last Week'!$A$2:$A$301,MATCH($B222,'Last Week'!$B$2:$B$301,0)),""))</f>
        <v/>
      </c>
      <c r="K222">
        <f>IF(OR($B222="",$J222=""),"",$J222-$A222)</f>
        <v/>
      </c>
    </row>
    <row r="223">
      <c r="A223">
        <f>IF($B223="","",RANK($C223,$C$2:$C$500))</f>
        <v/>
      </c>
      <c r="B223">
        <f>IF(Players!$A223="","",Players!$A223)</f>
        <v/>
      </c>
      <c r="C223" s="5">
        <f>IF($B223="","",SUM(D223:H223))</f>
        <v/>
      </c>
      <c r="D223">
        <f>IF($B223="","",SUMIFS('Web Feed'!$O$2:$O$3015,'Web Feed'!$B$2:$B$3015,Points!$A$2,'Web Feed'!$F$2:$F$3015,$B223)+SUMIFS('Web Feed'!$O$2:$O$3015,'Web Feed'!$B$2:$B$3015,Points!$A$2,'Web Feed'!$G$2:$G$3015,$B223)+SUMIFS('Web Feed'!$O$2:$O$3015,'Web Feed'!$B$2:$B$3015,Points!$A$2,'Web Feed'!$H$2:$H$3015,$B223)+SUMIFS('Web Feed'!$O$2:$O$3015,'Web Feed'!$B$2:$B$3015,Points!$A$2,'Web Feed'!$I$2:$I$3015,$B223))</f>
        <v/>
      </c>
      <c r="E223">
        <f>IF($B223="","",SUMIFS('Web Feed'!$O$2:$O$3015,'Web Feed'!$B$2:$B$3015,Points!$A$3,'Web Feed'!$F$2:$F$3015,$B223)+SUMIFS('Web Feed'!$O$2:$O$3015,'Web Feed'!$B$2:$B$3015,Points!$A$3,'Web Feed'!$G$2:$G$3015,$B223)+SUMIFS('Web Feed'!$O$2:$O$3015,'Web Feed'!$B$2:$B$3015,Points!$A$3,'Web Feed'!$H$2:$H$3015,$B223)+SUMIFS('Web Feed'!$O$2:$O$3015,'Web Feed'!$B$2:$B$3015,Points!$A$3,'Web Feed'!$I$2:$I$3015,$B223))</f>
        <v/>
      </c>
      <c r="F223">
        <f>IF($B223="","",SUMIFS('Web Feed'!$O$2:$O$3015,'Web Feed'!$B$2:$B$3015,Points!$A$4,'Web Feed'!$F$2:$F$3015,$B223)+SUMIFS('Web Feed'!$O$2:$O$3015,'Web Feed'!$B$2:$B$3015,Points!$A$4,'Web Feed'!$G$2:$G$3015,$B223)+SUMIFS('Web Feed'!$O$2:$O$3015,'Web Feed'!$B$2:$B$3015,Points!$A$4,'Web Feed'!$H$2:$H$3015,$B223)+SUMIFS('Web Feed'!$O$2:$O$3015,'Web Feed'!$B$2:$B$3015,Points!$A$4,'Web Feed'!$I$2:$I$3015,$B223))</f>
        <v/>
      </c>
      <c r="G223">
        <f>IF($B223="","",SUMIFS('Web Feed'!$O$2:$O$3015,'Web Feed'!$B$2:$B$3015,Points!$A$5,'Web Feed'!$F$2:$F$3015,$B223)+SUMIFS('Web Feed'!$O$2:$O$3015,'Web Feed'!$B$2:$B$3015,Points!$A$5,'Web Feed'!$G$2:$G$3015,$B223)+SUMIFS('Web Feed'!$O$2:$O$3015,'Web Feed'!$B$2:$B$3015,Points!$A$5,'Web Feed'!$H$2:$H$3015,$B223)+SUMIFS('Web Feed'!$O$2:$O$3015,'Web Feed'!$B$2:$B$3015,Points!$A$5,'Web Feed'!$I$2:$I$3015,$B223))</f>
        <v/>
      </c>
      <c r="H223">
        <f>IF($B223="","",SUMIFS('Web Feed'!$O$2:$O$3015,'Web Feed'!$B$2:$B$3015,Points!$A$6,'Web Feed'!$F$2:$F$3015,$B223)+SUMIFS('Web Feed'!$O$2:$O$3015,'Web Feed'!$B$2:$B$3015,Points!$A$6,'Web Feed'!$G$2:$G$3015,$B223)+SUMIFS('Web Feed'!$O$2:$O$3015,'Web Feed'!$B$2:$B$3015,Points!$A$6,'Web Feed'!$H$2:$H$3015,$B223)+SUMIFS('Web Feed'!$O$2:$O$3015,'Web Feed'!$B$2:$B$3015,Points!$A$6,'Web Feed'!$I$2:$I$3015,$B223))</f>
        <v/>
      </c>
      <c r="I223">
        <f>IF($B223="","",COUNTIFS('Web Feed'!$B$2:$B$3015,"OHW",'Web Feed'!$F$2:$F$3015,$B223))</f>
        <v/>
      </c>
      <c r="J223">
        <f>IF($B223="","",IFERROR(INDEX('Last Week'!$A$2:$A$301,MATCH($B223,'Last Week'!$B$2:$B$301,0)),""))</f>
        <v/>
      </c>
      <c r="K223">
        <f>IF(OR($B223="",$J223=""),"",$J223-$A223)</f>
        <v/>
      </c>
    </row>
    <row r="224">
      <c r="A224">
        <f>IF($B224="","",RANK($C224,$C$2:$C$500))</f>
        <v/>
      </c>
      <c r="B224">
        <f>IF(Players!$A224="","",Players!$A224)</f>
        <v/>
      </c>
      <c r="C224" s="5">
        <f>IF($B224="","",SUM(D224:H224))</f>
        <v/>
      </c>
      <c r="D224">
        <f>IF($B224="","",SUMIFS('Web Feed'!$O$2:$O$3015,'Web Feed'!$B$2:$B$3015,Points!$A$2,'Web Feed'!$F$2:$F$3015,$B224)+SUMIFS('Web Feed'!$O$2:$O$3015,'Web Feed'!$B$2:$B$3015,Points!$A$2,'Web Feed'!$G$2:$G$3015,$B224)+SUMIFS('Web Feed'!$O$2:$O$3015,'Web Feed'!$B$2:$B$3015,Points!$A$2,'Web Feed'!$H$2:$H$3015,$B224)+SUMIFS('Web Feed'!$O$2:$O$3015,'Web Feed'!$B$2:$B$3015,Points!$A$2,'Web Feed'!$I$2:$I$3015,$B224))</f>
        <v/>
      </c>
      <c r="E224">
        <f>IF($B224="","",SUMIFS('Web Feed'!$O$2:$O$3015,'Web Feed'!$B$2:$B$3015,Points!$A$3,'Web Feed'!$F$2:$F$3015,$B224)+SUMIFS('Web Feed'!$O$2:$O$3015,'Web Feed'!$B$2:$B$3015,Points!$A$3,'Web Feed'!$G$2:$G$3015,$B224)+SUMIFS('Web Feed'!$O$2:$O$3015,'Web Feed'!$B$2:$B$3015,Points!$A$3,'Web Feed'!$H$2:$H$3015,$B224)+SUMIFS('Web Feed'!$O$2:$O$3015,'Web Feed'!$B$2:$B$3015,Points!$A$3,'Web Feed'!$I$2:$I$3015,$B224))</f>
        <v/>
      </c>
      <c r="F224">
        <f>IF($B224="","",SUMIFS('Web Feed'!$O$2:$O$3015,'Web Feed'!$B$2:$B$3015,Points!$A$4,'Web Feed'!$F$2:$F$3015,$B224)+SUMIFS('Web Feed'!$O$2:$O$3015,'Web Feed'!$B$2:$B$3015,Points!$A$4,'Web Feed'!$G$2:$G$3015,$B224)+SUMIFS('Web Feed'!$O$2:$O$3015,'Web Feed'!$B$2:$B$3015,Points!$A$4,'Web Feed'!$H$2:$H$3015,$B224)+SUMIFS('Web Feed'!$O$2:$O$3015,'Web Feed'!$B$2:$B$3015,Points!$A$4,'Web Feed'!$I$2:$I$3015,$B224))</f>
        <v/>
      </c>
      <c r="G224">
        <f>IF($B224="","",SUMIFS('Web Feed'!$O$2:$O$3015,'Web Feed'!$B$2:$B$3015,Points!$A$5,'Web Feed'!$F$2:$F$3015,$B224)+SUMIFS('Web Feed'!$O$2:$O$3015,'Web Feed'!$B$2:$B$3015,Points!$A$5,'Web Feed'!$G$2:$G$3015,$B224)+SUMIFS('Web Feed'!$O$2:$O$3015,'Web Feed'!$B$2:$B$3015,Points!$A$5,'Web Feed'!$H$2:$H$3015,$B224)+SUMIFS('Web Feed'!$O$2:$O$3015,'Web Feed'!$B$2:$B$3015,Points!$A$5,'Web Feed'!$I$2:$I$3015,$B224))</f>
        <v/>
      </c>
      <c r="H224">
        <f>IF($B224="","",SUMIFS('Web Feed'!$O$2:$O$3015,'Web Feed'!$B$2:$B$3015,Points!$A$6,'Web Feed'!$F$2:$F$3015,$B224)+SUMIFS('Web Feed'!$O$2:$O$3015,'Web Feed'!$B$2:$B$3015,Points!$A$6,'Web Feed'!$G$2:$G$3015,$B224)+SUMIFS('Web Feed'!$O$2:$O$3015,'Web Feed'!$B$2:$B$3015,Points!$A$6,'Web Feed'!$H$2:$H$3015,$B224)+SUMIFS('Web Feed'!$O$2:$O$3015,'Web Feed'!$B$2:$B$3015,Points!$A$6,'Web Feed'!$I$2:$I$3015,$B224))</f>
        <v/>
      </c>
      <c r="I224">
        <f>IF($B224="","",COUNTIFS('Web Feed'!$B$2:$B$3015,"OHW",'Web Feed'!$F$2:$F$3015,$B224))</f>
        <v/>
      </c>
      <c r="J224">
        <f>IF($B224="","",IFERROR(INDEX('Last Week'!$A$2:$A$301,MATCH($B224,'Last Week'!$B$2:$B$301,0)),""))</f>
        <v/>
      </c>
      <c r="K224">
        <f>IF(OR($B224="",$J224=""),"",$J224-$A224)</f>
        <v/>
      </c>
    </row>
    <row r="225">
      <c r="A225">
        <f>IF($B225="","",RANK($C225,$C$2:$C$500))</f>
        <v/>
      </c>
      <c r="B225">
        <f>IF(Players!$A225="","",Players!$A225)</f>
        <v/>
      </c>
      <c r="C225" s="5">
        <f>IF($B225="","",SUM(D225:H225))</f>
        <v/>
      </c>
      <c r="D225">
        <f>IF($B225="","",SUMIFS('Web Feed'!$O$2:$O$3015,'Web Feed'!$B$2:$B$3015,Points!$A$2,'Web Feed'!$F$2:$F$3015,$B225)+SUMIFS('Web Feed'!$O$2:$O$3015,'Web Feed'!$B$2:$B$3015,Points!$A$2,'Web Feed'!$G$2:$G$3015,$B225)+SUMIFS('Web Feed'!$O$2:$O$3015,'Web Feed'!$B$2:$B$3015,Points!$A$2,'Web Feed'!$H$2:$H$3015,$B225)+SUMIFS('Web Feed'!$O$2:$O$3015,'Web Feed'!$B$2:$B$3015,Points!$A$2,'Web Feed'!$I$2:$I$3015,$B225))</f>
        <v/>
      </c>
      <c r="E225">
        <f>IF($B225="","",SUMIFS('Web Feed'!$O$2:$O$3015,'Web Feed'!$B$2:$B$3015,Points!$A$3,'Web Feed'!$F$2:$F$3015,$B225)+SUMIFS('Web Feed'!$O$2:$O$3015,'Web Feed'!$B$2:$B$3015,Points!$A$3,'Web Feed'!$G$2:$G$3015,$B225)+SUMIFS('Web Feed'!$O$2:$O$3015,'Web Feed'!$B$2:$B$3015,Points!$A$3,'Web Feed'!$H$2:$H$3015,$B225)+SUMIFS('Web Feed'!$O$2:$O$3015,'Web Feed'!$B$2:$B$3015,Points!$A$3,'Web Feed'!$I$2:$I$3015,$B225))</f>
        <v/>
      </c>
      <c r="F225">
        <f>IF($B225="","",SUMIFS('Web Feed'!$O$2:$O$3015,'Web Feed'!$B$2:$B$3015,Points!$A$4,'Web Feed'!$F$2:$F$3015,$B225)+SUMIFS('Web Feed'!$O$2:$O$3015,'Web Feed'!$B$2:$B$3015,Points!$A$4,'Web Feed'!$G$2:$G$3015,$B225)+SUMIFS('Web Feed'!$O$2:$O$3015,'Web Feed'!$B$2:$B$3015,Points!$A$4,'Web Feed'!$H$2:$H$3015,$B225)+SUMIFS('Web Feed'!$O$2:$O$3015,'Web Feed'!$B$2:$B$3015,Points!$A$4,'Web Feed'!$I$2:$I$3015,$B225))</f>
        <v/>
      </c>
      <c r="G225">
        <f>IF($B225="","",SUMIFS('Web Feed'!$O$2:$O$3015,'Web Feed'!$B$2:$B$3015,Points!$A$5,'Web Feed'!$F$2:$F$3015,$B225)+SUMIFS('Web Feed'!$O$2:$O$3015,'Web Feed'!$B$2:$B$3015,Points!$A$5,'Web Feed'!$G$2:$G$3015,$B225)+SUMIFS('Web Feed'!$O$2:$O$3015,'Web Feed'!$B$2:$B$3015,Points!$A$5,'Web Feed'!$H$2:$H$3015,$B225)+SUMIFS('Web Feed'!$O$2:$O$3015,'Web Feed'!$B$2:$B$3015,Points!$A$5,'Web Feed'!$I$2:$I$3015,$B225))</f>
        <v/>
      </c>
      <c r="H225">
        <f>IF($B225="","",SUMIFS('Web Feed'!$O$2:$O$3015,'Web Feed'!$B$2:$B$3015,Points!$A$6,'Web Feed'!$F$2:$F$3015,$B225)+SUMIFS('Web Feed'!$O$2:$O$3015,'Web Feed'!$B$2:$B$3015,Points!$A$6,'Web Feed'!$G$2:$G$3015,$B225)+SUMIFS('Web Feed'!$O$2:$O$3015,'Web Feed'!$B$2:$B$3015,Points!$A$6,'Web Feed'!$H$2:$H$3015,$B225)+SUMIFS('Web Feed'!$O$2:$O$3015,'Web Feed'!$B$2:$B$3015,Points!$A$6,'Web Feed'!$I$2:$I$3015,$B225))</f>
        <v/>
      </c>
      <c r="I225">
        <f>IF($B225="","",COUNTIFS('Web Feed'!$B$2:$B$3015,"OHW",'Web Feed'!$F$2:$F$3015,$B225))</f>
        <v/>
      </c>
      <c r="J225">
        <f>IF($B225="","",IFERROR(INDEX('Last Week'!$A$2:$A$301,MATCH($B225,'Last Week'!$B$2:$B$301,0)),""))</f>
        <v/>
      </c>
      <c r="K225">
        <f>IF(OR($B225="",$J225=""),"",$J225-$A225)</f>
        <v/>
      </c>
    </row>
    <row r="226">
      <c r="A226">
        <f>IF($B226="","",RANK($C226,$C$2:$C$500))</f>
        <v/>
      </c>
      <c r="B226">
        <f>IF(Players!$A226="","",Players!$A226)</f>
        <v/>
      </c>
      <c r="C226" s="5">
        <f>IF($B226="","",SUM(D226:H226))</f>
        <v/>
      </c>
      <c r="D226">
        <f>IF($B226="","",SUMIFS('Web Feed'!$O$2:$O$3015,'Web Feed'!$B$2:$B$3015,Points!$A$2,'Web Feed'!$F$2:$F$3015,$B226)+SUMIFS('Web Feed'!$O$2:$O$3015,'Web Feed'!$B$2:$B$3015,Points!$A$2,'Web Feed'!$G$2:$G$3015,$B226)+SUMIFS('Web Feed'!$O$2:$O$3015,'Web Feed'!$B$2:$B$3015,Points!$A$2,'Web Feed'!$H$2:$H$3015,$B226)+SUMIFS('Web Feed'!$O$2:$O$3015,'Web Feed'!$B$2:$B$3015,Points!$A$2,'Web Feed'!$I$2:$I$3015,$B226))</f>
        <v/>
      </c>
      <c r="E226">
        <f>IF($B226="","",SUMIFS('Web Feed'!$O$2:$O$3015,'Web Feed'!$B$2:$B$3015,Points!$A$3,'Web Feed'!$F$2:$F$3015,$B226)+SUMIFS('Web Feed'!$O$2:$O$3015,'Web Feed'!$B$2:$B$3015,Points!$A$3,'Web Feed'!$G$2:$G$3015,$B226)+SUMIFS('Web Feed'!$O$2:$O$3015,'Web Feed'!$B$2:$B$3015,Points!$A$3,'Web Feed'!$H$2:$H$3015,$B226)+SUMIFS('Web Feed'!$O$2:$O$3015,'Web Feed'!$B$2:$B$3015,Points!$A$3,'Web Feed'!$I$2:$I$3015,$B226))</f>
        <v/>
      </c>
      <c r="F226">
        <f>IF($B226="","",SUMIFS('Web Feed'!$O$2:$O$3015,'Web Feed'!$B$2:$B$3015,Points!$A$4,'Web Feed'!$F$2:$F$3015,$B226)+SUMIFS('Web Feed'!$O$2:$O$3015,'Web Feed'!$B$2:$B$3015,Points!$A$4,'Web Feed'!$G$2:$G$3015,$B226)+SUMIFS('Web Feed'!$O$2:$O$3015,'Web Feed'!$B$2:$B$3015,Points!$A$4,'Web Feed'!$H$2:$H$3015,$B226)+SUMIFS('Web Feed'!$O$2:$O$3015,'Web Feed'!$B$2:$B$3015,Points!$A$4,'Web Feed'!$I$2:$I$3015,$B226))</f>
        <v/>
      </c>
      <c r="G226">
        <f>IF($B226="","",SUMIFS('Web Feed'!$O$2:$O$3015,'Web Feed'!$B$2:$B$3015,Points!$A$5,'Web Feed'!$F$2:$F$3015,$B226)+SUMIFS('Web Feed'!$O$2:$O$3015,'Web Feed'!$B$2:$B$3015,Points!$A$5,'Web Feed'!$G$2:$G$3015,$B226)+SUMIFS('Web Feed'!$O$2:$O$3015,'Web Feed'!$B$2:$B$3015,Points!$A$5,'Web Feed'!$H$2:$H$3015,$B226)+SUMIFS('Web Feed'!$O$2:$O$3015,'Web Feed'!$B$2:$B$3015,Points!$A$5,'Web Feed'!$I$2:$I$3015,$B226))</f>
        <v/>
      </c>
      <c r="H226">
        <f>IF($B226="","",SUMIFS('Web Feed'!$O$2:$O$3015,'Web Feed'!$B$2:$B$3015,Points!$A$6,'Web Feed'!$F$2:$F$3015,$B226)+SUMIFS('Web Feed'!$O$2:$O$3015,'Web Feed'!$B$2:$B$3015,Points!$A$6,'Web Feed'!$G$2:$G$3015,$B226)+SUMIFS('Web Feed'!$O$2:$O$3015,'Web Feed'!$B$2:$B$3015,Points!$A$6,'Web Feed'!$H$2:$H$3015,$B226)+SUMIFS('Web Feed'!$O$2:$O$3015,'Web Feed'!$B$2:$B$3015,Points!$A$6,'Web Feed'!$I$2:$I$3015,$B226))</f>
        <v/>
      </c>
      <c r="I226">
        <f>IF($B226="","",COUNTIFS('Web Feed'!$B$2:$B$3015,"OHW",'Web Feed'!$F$2:$F$3015,$B226))</f>
        <v/>
      </c>
      <c r="J226">
        <f>IF($B226="","",IFERROR(INDEX('Last Week'!$A$2:$A$301,MATCH($B226,'Last Week'!$B$2:$B$301,0)),""))</f>
        <v/>
      </c>
      <c r="K226">
        <f>IF(OR($B226="",$J226=""),"",$J226-$A226)</f>
        <v/>
      </c>
    </row>
    <row r="227">
      <c r="A227">
        <f>IF($B227="","",RANK($C227,$C$2:$C$500))</f>
        <v/>
      </c>
      <c r="B227">
        <f>IF(Players!$A227="","",Players!$A227)</f>
        <v/>
      </c>
      <c r="C227" s="5">
        <f>IF($B227="","",SUM(D227:H227))</f>
        <v/>
      </c>
      <c r="D227">
        <f>IF($B227="","",SUMIFS('Web Feed'!$O$2:$O$3015,'Web Feed'!$B$2:$B$3015,Points!$A$2,'Web Feed'!$F$2:$F$3015,$B227)+SUMIFS('Web Feed'!$O$2:$O$3015,'Web Feed'!$B$2:$B$3015,Points!$A$2,'Web Feed'!$G$2:$G$3015,$B227)+SUMIFS('Web Feed'!$O$2:$O$3015,'Web Feed'!$B$2:$B$3015,Points!$A$2,'Web Feed'!$H$2:$H$3015,$B227)+SUMIFS('Web Feed'!$O$2:$O$3015,'Web Feed'!$B$2:$B$3015,Points!$A$2,'Web Feed'!$I$2:$I$3015,$B227))</f>
        <v/>
      </c>
      <c r="E227">
        <f>IF($B227="","",SUMIFS('Web Feed'!$O$2:$O$3015,'Web Feed'!$B$2:$B$3015,Points!$A$3,'Web Feed'!$F$2:$F$3015,$B227)+SUMIFS('Web Feed'!$O$2:$O$3015,'Web Feed'!$B$2:$B$3015,Points!$A$3,'Web Feed'!$G$2:$G$3015,$B227)+SUMIFS('Web Feed'!$O$2:$O$3015,'Web Feed'!$B$2:$B$3015,Points!$A$3,'Web Feed'!$H$2:$H$3015,$B227)+SUMIFS('Web Feed'!$O$2:$O$3015,'Web Feed'!$B$2:$B$3015,Points!$A$3,'Web Feed'!$I$2:$I$3015,$B227))</f>
        <v/>
      </c>
      <c r="F227">
        <f>IF($B227="","",SUMIFS('Web Feed'!$O$2:$O$3015,'Web Feed'!$B$2:$B$3015,Points!$A$4,'Web Feed'!$F$2:$F$3015,$B227)+SUMIFS('Web Feed'!$O$2:$O$3015,'Web Feed'!$B$2:$B$3015,Points!$A$4,'Web Feed'!$G$2:$G$3015,$B227)+SUMIFS('Web Feed'!$O$2:$O$3015,'Web Feed'!$B$2:$B$3015,Points!$A$4,'Web Feed'!$H$2:$H$3015,$B227)+SUMIFS('Web Feed'!$O$2:$O$3015,'Web Feed'!$B$2:$B$3015,Points!$A$4,'Web Feed'!$I$2:$I$3015,$B227))</f>
        <v/>
      </c>
      <c r="G227">
        <f>IF($B227="","",SUMIFS('Web Feed'!$O$2:$O$3015,'Web Feed'!$B$2:$B$3015,Points!$A$5,'Web Feed'!$F$2:$F$3015,$B227)+SUMIFS('Web Feed'!$O$2:$O$3015,'Web Feed'!$B$2:$B$3015,Points!$A$5,'Web Feed'!$G$2:$G$3015,$B227)+SUMIFS('Web Feed'!$O$2:$O$3015,'Web Feed'!$B$2:$B$3015,Points!$A$5,'Web Feed'!$H$2:$H$3015,$B227)+SUMIFS('Web Feed'!$O$2:$O$3015,'Web Feed'!$B$2:$B$3015,Points!$A$5,'Web Feed'!$I$2:$I$3015,$B227))</f>
        <v/>
      </c>
      <c r="H227">
        <f>IF($B227="","",SUMIFS('Web Feed'!$O$2:$O$3015,'Web Feed'!$B$2:$B$3015,Points!$A$6,'Web Feed'!$F$2:$F$3015,$B227)+SUMIFS('Web Feed'!$O$2:$O$3015,'Web Feed'!$B$2:$B$3015,Points!$A$6,'Web Feed'!$G$2:$G$3015,$B227)+SUMIFS('Web Feed'!$O$2:$O$3015,'Web Feed'!$B$2:$B$3015,Points!$A$6,'Web Feed'!$H$2:$H$3015,$B227)+SUMIFS('Web Feed'!$O$2:$O$3015,'Web Feed'!$B$2:$B$3015,Points!$A$6,'Web Feed'!$I$2:$I$3015,$B227))</f>
        <v/>
      </c>
      <c r="I227">
        <f>IF($B227="","",COUNTIFS('Web Feed'!$B$2:$B$3015,"OHW",'Web Feed'!$F$2:$F$3015,$B227))</f>
        <v/>
      </c>
      <c r="J227">
        <f>IF($B227="","",IFERROR(INDEX('Last Week'!$A$2:$A$301,MATCH($B227,'Last Week'!$B$2:$B$301,0)),""))</f>
        <v/>
      </c>
      <c r="K227">
        <f>IF(OR($B227="",$J227=""),"",$J227-$A227)</f>
        <v/>
      </c>
    </row>
    <row r="228">
      <c r="A228">
        <f>IF($B228="","",RANK($C228,$C$2:$C$500))</f>
        <v/>
      </c>
      <c r="B228">
        <f>IF(Players!$A228="","",Players!$A228)</f>
        <v/>
      </c>
      <c r="C228" s="5">
        <f>IF($B228="","",SUM(D228:H228))</f>
        <v/>
      </c>
      <c r="D228">
        <f>IF($B228="","",SUMIFS('Web Feed'!$O$2:$O$3015,'Web Feed'!$B$2:$B$3015,Points!$A$2,'Web Feed'!$F$2:$F$3015,$B228)+SUMIFS('Web Feed'!$O$2:$O$3015,'Web Feed'!$B$2:$B$3015,Points!$A$2,'Web Feed'!$G$2:$G$3015,$B228)+SUMIFS('Web Feed'!$O$2:$O$3015,'Web Feed'!$B$2:$B$3015,Points!$A$2,'Web Feed'!$H$2:$H$3015,$B228)+SUMIFS('Web Feed'!$O$2:$O$3015,'Web Feed'!$B$2:$B$3015,Points!$A$2,'Web Feed'!$I$2:$I$3015,$B228))</f>
        <v/>
      </c>
      <c r="E228">
        <f>IF($B228="","",SUMIFS('Web Feed'!$O$2:$O$3015,'Web Feed'!$B$2:$B$3015,Points!$A$3,'Web Feed'!$F$2:$F$3015,$B228)+SUMIFS('Web Feed'!$O$2:$O$3015,'Web Feed'!$B$2:$B$3015,Points!$A$3,'Web Feed'!$G$2:$G$3015,$B228)+SUMIFS('Web Feed'!$O$2:$O$3015,'Web Feed'!$B$2:$B$3015,Points!$A$3,'Web Feed'!$H$2:$H$3015,$B228)+SUMIFS('Web Feed'!$O$2:$O$3015,'Web Feed'!$B$2:$B$3015,Points!$A$3,'Web Feed'!$I$2:$I$3015,$B228))</f>
        <v/>
      </c>
      <c r="F228">
        <f>IF($B228="","",SUMIFS('Web Feed'!$O$2:$O$3015,'Web Feed'!$B$2:$B$3015,Points!$A$4,'Web Feed'!$F$2:$F$3015,$B228)+SUMIFS('Web Feed'!$O$2:$O$3015,'Web Feed'!$B$2:$B$3015,Points!$A$4,'Web Feed'!$G$2:$G$3015,$B228)+SUMIFS('Web Feed'!$O$2:$O$3015,'Web Feed'!$B$2:$B$3015,Points!$A$4,'Web Feed'!$H$2:$H$3015,$B228)+SUMIFS('Web Feed'!$O$2:$O$3015,'Web Feed'!$B$2:$B$3015,Points!$A$4,'Web Feed'!$I$2:$I$3015,$B228))</f>
        <v/>
      </c>
      <c r="G228">
        <f>IF($B228="","",SUMIFS('Web Feed'!$O$2:$O$3015,'Web Feed'!$B$2:$B$3015,Points!$A$5,'Web Feed'!$F$2:$F$3015,$B228)+SUMIFS('Web Feed'!$O$2:$O$3015,'Web Feed'!$B$2:$B$3015,Points!$A$5,'Web Feed'!$G$2:$G$3015,$B228)+SUMIFS('Web Feed'!$O$2:$O$3015,'Web Feed'!$B$2:$B$3015,Points!$A$5,'Web Feed'!$H$2:$H$3015,$B228)+SUMIFS('Web Feed'!$O$2:$O$3015,'Web Feed'!$B$2:$B$3015,Points!$A$5,'Web Feed'!$I$2:$I$3015,$B228))</f>
        <v/>
      </c>
      <c r="H228">
        <f>IF($B228="","",SUMIFS('Web Feed'!$O$2:$O$3015,'Web Feed'!$B$2:$B$3015,Points!$A$6,'Web Feed'!$F$2:$F$3015,$B228)+SUMIFS('Web Feed'!$O$2:$O$3015,'Web Feed'!$B$2:$B$3015,Points!$A$6,'Web Feed'!$G$2:$G$3015,$B228)+SUMIFS('Web Feed'!$O$2:$O$3015,'Web Feed'!$B$2:$B$3015,Points!$A$6,'Web Feed'!$H$2:$H$3015,$B228)+SUMIFS('Web Feed'!$O$2:$O$3015,'Web Feed'!$B$2:$B$3015,Points!$A$6,'Web Feed'!$I$2:$I$3015,$B228))</f>
        <v/>
      </c>
      <c r="I228">
        <f>IF($B228="","",COUNTIFS('Web Feed'!$B$2:$B$3015,"OHW",'Web Feed'!$F$2:$F$3015,$B228))</f>
        <v/>
      </c>
      <c r="J228">
        <f>IF($B228="","",IFERROR(INDEX('Last Week'!$A$2:$A$301,MATCH($B228,'Last Week'!$B$2:$B$301,0)),""))</f>
        <v/>
      </c>
      <c r="K228">
        <f>IF(OR($B228="",$J228=""),"",$J228-$A228)</f>
        <v/>
      </c>
    </row>
    <row r="229">
      <c r="A229">
        <f>IF($B229="","",RANK($C229,$C$2:$C$500))</f>
        <v/>
      </c>
      <c r="B229">
        <f>IF(Players!$A229="","",Players!$A229)</f>
        <v/>
      </c>
      <c r="C229" s="5">
        <f>IF($B229="","",SUM(D229:H229))</f>
        <v/>
      </c>
      <c r="D229">
        <f>IF($B229="","",SUMIFS('Web Feed'!$O$2:$O$3015,'Web Feed'!$B$2:$B$3015,Points!$A$2,'Web Feed'!$F$2:$F$3015,$B229)+SUMIFS('Web Feed'!$O$2:$O$3015,'Web Feed'!$B$2:$B$3015,Points!$A$2,'Web Feed'!$G$2:$G$3015,$B229)+SUMIFS('Web Feed'!$O$2:$O$3015,'Web Feed'!$B$2:$B$3015,Points!$A$2,'Web Feed'!$H$2:$H$3015,$B229)+SUMIFS('Web Feed'!$O$2:$O$3015,'Web Feed'!$B$2:$B$3015,Points!$A$2,'Web Feed'!$I$2:$I$3015,$B229))</f>
        <v/>
      </c>
      <c r="E229">
        <f>IF($B229="","",SUMIFS('Web Feed'!$O$2:$O$3015,'Web Feed'!$B$2:$B$3015,Points!$A$3,'Web Feed'!$F$2:$F$3015,$B229)+SUMIFS('Web Feed'!$O$2:$O$3015,'Web Feed'!$B$2:$B$3015,Points!$A$3,'Web Feed'!$G$2:$G$3015,$B229)+SUMIFS('Web Feed'!$O$2:$O$3015,'Web Feed'!$B$2:$B$3015,Points!$A$3,'Web Feed'!$H$2:$H$3015,$B229)+SUMIFS('Web Feed'!$O$2:$O$3015,'Web Feed'!$B$2:$B$3015,Points!$A$3,'Web Feed'!$I$2:$I$3015,$B229))</f>
        <v/>
      </c>
      <c r="F229">
        <f>IF($B229="","",SUMIFS('Web Feed'!$O$2:$O$3015,'Web Feed'!$B$2:$B$3015,Points!$A$4,'Web Feed'!$F$2:$F$3015,$B229)+SUMIFS('Web Feed'!$O$2:$O$3015,'Web Feed'!$B$2:$B$3015,Points!$A$4,'Web Feed'!$G$2:$G$3015,$B229)+SUMIFS('Web Feed'!$O$2:$O$3015,'Web Feed'!$B$2:$B$3015,Points!$A$4,'Web Feed'!$H$2:$H$3015,$B229)+SUMIFS('Web Feed'!$O$2:$O$3015,'Web Feed'!$B$2:$B$3015,Points!$A$4,'Web Feed'!$I$2:$I$3015,$B229))</f>
        <v/>
      </c>
      <c r="G229">
        <f>IF($B229="","",SUMIFS('Web Feed'!$O$2:$O$3015,'Web Feed'!$B$2:$B$3015,Points!$A$5,'Web Feed'!$F$2:$F$3015,$B229)+SUMIFS('Web Feed'!$O$2:$O$3015,'Web Feed'!$B$2:$B$3015,Points!$A$5,'Web Feed'!$G$2:$G$3015,$B229)+SUMIFS('Web Feed'!$O$2:$O$3015,'Web Feed'!$B$2:$B$3015,Points!$A$5,'Web Feed'!$H$2:$H$3015,$B229)+SUMIFS('Web Feed'!$O$2:$O$3015,'Web Feed'!$B$2:$B$3015,Points!$A$5,'Web Feed'!$I$2:$I$3015,$B229))</f>
        <v/>
      </c>
      <c r="H229">
        <f>IF($B229="","",SUMIFS('Web Feed'!$O$2:$O$3015,'Web Feed'!$B$2:$B$3015,Points!$A$6,'Web Feed'!$F$2:$F$3015,$B229)+SUMIFS('Web Feed'!$O$2:$O$3015,'Web Feed'!$B$2:$B$3015,Points!$A$6,'Web Feed'!$G$2:$G$3015,$B229)+SUMIFS('Web Feed'!$O$2:$O$3015,'Web Feed'!$B$2:$B$3015,Points!$A$6,'Web Feed'!$H$2:$H$3015,$B229)+SUMIFS('Web Feed'!$O$2:$O$3015,'Web Feed'!$B$2:$B$3015,Points!$A$6,'Web Feed'!$I$2:$I$3015,$B229))</f>
        <v/>
      </c>
      <c r="I229">
        <f>IF($B229="","",COUNTIFS('Web Feed'!$B$2:$B$3015,"OHW",'Web Feed'!$F$2:$F$3015,$B229))</f>
        <v/>
      </c>
      <c r="J229">
        <f>IF($B229="","",IFERROR(INDEX('Last Week'!$A$2:$A$301,MATCH($B229,'Last Week'!$B$2:$B$301,0)),""))</f>
        <v/>
      </c>
      <c r="K229">
        <f>IF(OR($B229="",$J229=""),"",$J229-$A229)</f>
        <v/>
      </c>
    </row>
    <row r="230">
      <c r="A230">
        <f>IF($B230="","",RANK($C230,$C$2:$C$500))</f>
        <v/>
      </c>
      <c r="B230">
        <f>IF(Players!$A230="","",Players!$A230)</f>
        <v/>
      </c>
      <c r="C230" s="5">
        <f>IF($B230="","",SUM(D230:H230))</f>
        <v/>
      </c>
      <c r="D230">
        <f>IF($B230="","",SUMIFS('Web Feed'!$O$2:$O$3015,'Web Feed'!$B$2:$B$3015,Points!$A$2,'Web Feed'!$F$2:$F$3015,$B230)+SUMIFS('Web Feed'!$O$2:$O$3015,'Web Feed'!$B$2:$B$3015,Points!$A$2,'Web Feed'!$G$2:$G$3015,$B230)+SUMIFS('Web Feed'!$O$2:$O$3015,'Web Feed'!$B$2:$B$3015,Points!$A$2,'Web Feed'!$H$2:$H$3015,$B230)+SUMIFS('Web Feed'!$O$2:$O$3015,'Web Feed'!$B$2:$B$3015,Points!$A$2,'Web Feed'!$I$2:$I$3015,$B230))</f>
        <v/>
      </c>
      <c r="E230">
        <f>IF($B230="","",SUMIFS('Web Feed'!$O$2:$O$3015,'Web Feed'!$B$2:$B$3015,Points!$A$3,'Web Feed'!$F$2:$F$3015,$B230)+SUMIFS('Web Feed'!$O$2:$O$3015,'Web Feed'!$B$2:$B$3015,Points!$A$3,'Web Feed'!$G$2:$G$3015,$B230)+SUMIFS('Web Feed'!$O$2:$O$3015,'Web Feed'!$B$2:$B$3015,Points!$A$3,'Web Feed'!$H$2:$H$3015,$B230)+SUMIFS('Web Feed'!$O$2:$O$3015,'Web Feed'!$B$2:$B$3015,Points!$A$3,'Web Feed'!$I$2:$I$3015,$B230))</f>
        <v/>
      </c>
      <c r="F230">
        <f>IF($B230="","",SUMIFS('Web Feed'!$O$2:$O$3015,'Web Feed'!$B$2:$B$3015,Points!$A$4,'Web Feed'!$F$2:$F$3015,$B230)+SUMIFS('Web Feed'!$O$2:$O$3015,'Web Feed'!$B$2:$B$3015,Points!$A$4,'Web Feed'!$G$2:$G$3015,$B230)+SUMIFS('Web Feed'!$O$2:$O$3015,'Web Feed'!$B$2:$B$3015,Points!$A$4,'Web Feed'!$H$2:$H$3015,$B230)+SUMIFS('Web Feed'!$O$2:$O$3015,'Web Feed'!$B$2:$B$3015,Points!$A$4,'Web Feed'!$I$2:$I$3015,$B230))</f>
        <v/>
      </c>
      <c r="G230">
        <f>IF($B230="","",SUMIFS('Web Feed'!$O$2:$O$3015,'Web Feed'!$B$2:$B$3015,Points!$A$5,'Web Feed'!$F$2:$F$3015,$B230)+SUMIFS('Web Feed'!$O$2:$O$3015,'Web Feed'!$B$2:$B$3015,Points!$A$5,'Web Feed'!$G$2:$G$3015,$B230)+SUMIFS('Web Feed'!$O$2:$O$3015,'Web Feed'!$B$2:$B$3015,Points!$A$5,'Web Feed'!$H$2:$H$3015,$B230)+SUMIFS('Web Feed'!$O$2:$O$3015,'Web Feed'!$B$2:$B$3015,Points!$A$5,'Web Feed'!$I$2:$I$3015,$B230))</f>
        <v/>
      </c>
      <c r="H230">
        <f>IF($B230="","",SUMIFS('Web Feed'!$O$2:$O$3015,'Web Feed'!$B$2:$B$3015,Points!$A$6,'Web Feed'!$F$2:$F$3015,$B230)+SUMIFS('Web Feed'!$O$2:$O$3015,'Web Feed'!$B$2:$B$3015,Points!$A$6,'Web Feed'!$G$2:$G$3015,$B230)+SUMIFS('Web Feed'!$O$2:$O$3015,'Web Feed'!$B$2:$B$3015,Points!$A$6,'Web Feed'!$H$2:$H$3015,$B230)+SUMIFS('Web Feed'!$O$2:$O$3015,'Web Feed'!$B$2:$B$3015,Points!$A$6,'Web Feed'!$I$2:$I$3015,$B230))</f>
        <v/>
      </c>
      <c r="I230">
        <f>IF($B230="","",COUNTIFS('Web Feed'!$B$2:$B$3015,"OHW",'Web Feed'!$F$2:$F$3015,$B230))</f>
        <v/>
      </c>
      <c r="J230">
        <f>IF($B230="","",IFERROR(INDEX('Last Week'!$A$2:$A$301,MATCH($B230,'Last Week'!$B$2:$B$301,0)),""))</f>
        <v/>
      </c>
      <c r="K230">
        <f>IF(OR($B230="",$J230=""),"",$J230-$A230)</f>
        <v/>
      </c>
    </row>
    <row r="231">
      <c r="A231">
        <f>IF($B231="","",RANK($C231,$C$2:$C$500))</f>
        <v/>
      </c>
      <c r="B231">
        <f>IF(Players!$A231="","",Players!$A231)</f>
        <v/>
      </c>
      <c r="C231" s="5">
        <f>IF($B231="","",SUM(D231:H231))</f>
        <v/>
      </c>
      <c r="D231">
        <f>IF($B231="","",SUMIFS('Web Feed'!$O$2:$O$3015,'Web Feed'!$B$2:$B$3015,Points!$A$2,'Web Feed'!$F$2:$F$3015,$B231)+SUMIFS('Web Feed'!$O$2:$O$3015,'Web Feed'!$B$2:$B$3015,Points!$A$2,'Web Feed'!$G$2:$G$3015,$B231)+SUMIFS('Web Feed'!$O$2:$O$3015,'Web Feed'!$B$2:$B$3015,Points!$A$2,'Web Feed'!$H$2:$H$3015,$B231)+SUMIFS('Web Feed'!$O$2:$O$3015,'Web Feed'!$B$2:$B$3015,Points!$A$2,'Web Feed'!$I$2:$I$3015,$B231))</f>
        <v/>
      </c>
      <c r="E231">
        <f>IF($B231="","",SUMIFS('Web Feed'!$O$2:$O$3015,'Web Feed'!$B$2:$B$3015,Points!$A$3,'Web Feed'!$F$2:$F$3015,$B231)+SUMIFS('Web Feed'!$O$2:$O$3015,'Web Feed'!$B$2:$B$3015,Points!$A$3,'Web Feed'!$G$2:$G$3015,$B231)+SUMIFS('Web Feed'!$O$2:$O$3015,'Web Feed'!$B$2:$B$3015,Points!$A$3,'Web Feed'!$H$2:$H$3015,$B231)+SUMIFS('Web Feed'!$O$2:$O$3015,'Web Feed'!$B$2:$B$3015,Points!$A$3,'Web Feed'!$I$2:$I$3015,$B231))</f>
        <v/>
      </c>
      <c r="F231">
        <f>IF($B231="","",SUMIFS('Web Feed'!$O$2:$O$3015,'Web Feed'!$B$2:$B$3015,Points!$A$4,'Web Feed'!$F$2:$F$3015,$B231)+SUMIFS('Web Feed'!$O$2:$O$3015,'Web Feed'!$B$2:$B$3015,Points!$A$4,'Web Feed'!$G$2:$G$3015,$B231)+SUMIFS('Web Feed'!$O$2:$O$3015,'Web Feed'!$B$2:$B$3015,Points!$A$4,'Web Feed'!$H$2:$H$3015,$B231)+SUMIFS('Web Feed'!$O$2:$O$3015,'Web Feed'!$B$2:$B$3015,Points!$A$4,'Web Feed'!$I$2:$I$3015,$B231))</f>
        <v/>
      </c>
      <c r="G231">
        <f>IF($B231="","",SUMIFS('Web Feed'!$O$2:$O$3015,'Web Feed'!$B$2:$B$3015,Points!$A$5,'Web Feed'!$F$2:$F$3015,$B231)+SUMIFS('Web Feed'!$O$2:$O$3015,'Web Feed'!$B$2:$B$3015,Points!$A$5,'Web Feed'!$G$2:$G$3015,$B231)+SUMIFS('Web Feed'!$O$2:$O$3015,'Web Feed'!$B$2:$B$3015,Points!$A$5,'Web Feed'!$H$2:$H$3015,$B231)+SUMIFS('Web Feed'!$O$2:$O$3015,'Web Feed'!$B$2:$B$3015,Points!$A$5,'Web Feed'!$I$2:$I$3015,$B231))</f>
        <v/>
      </c>
      <c r="H231">
        <f>IF($B231="","",SUMIFS('Web Feed'!$O$2:$O$3015,'Web Feed'!$B$2:$B$3015,Points!$A$6,'Web Feed'!$F$2:$F$3015,$B231)+SUMIFS('Web Feed'!$O$2:$O$3015,'Web Feed'!$B$2:$B$3015,Points!$A$6,'Web Feed'!$G$2:$G$3015,$B231)+SUMIFS('Web Feed'!$O$2:$O$3015,'Web Feed'!$B$2:$B$3015,Points!$A$6,'Web Feed'!$H$2:$H$3015,$B231)+SUMIFS('Web Feed'!$O$2:$O$3015,'Web Feed'!$B$2:$B$3015,Points!$A$6,'Web Feed'!$I$2:$I$3015,$B231))</f>
        <v/>
      </c>
      <c r="I231">
        <f>IF($B231="","",COUNTIFS('Web Feed'!$B$2:$B$3015,"OHW",'Web Feed'!$F$2:$F$3015,$B231))</f>
        <v/>
      </c>
      <c r="J231">
        <f>IF($B231="","",IFERROR(INDEX('Last Week'!$A$2:$A$301,MATCH($B231,'Last Week'!$B$2:$B$301,0)),""))</f>
        <v/>
      </c>
      <c r="K231">
        <f>IF(OR($B231="",$J231=""),"",$J231-$A231)</f>
        <v/>
      </c>
    </row>
    <row r="232">
      <c r="A232">
        <f>IF($B232="","",RANK($C232,$C$2:$C$500))</f>
        <v/>
      </c>
      <c r="B232">
        <f>IF(Players!$A232="","",Players!$A232)</f>
        <v/>
      </c>
      <c r="C232" s="5">
        <f>IF($B232="","",SUM(D232:H232))</f>
        <v/>
      </c>
      <c r="D232">
        <f>IF($B232="","",SUMIFS('Web Feed'!$O$2:$O$3015,'Web Feed'!$B$2:$B$3015,Points!$A$2,'Web Feed'!$F$2:$F$3015,$B232)+SUMIFS('Web Feed'!$O$2:$O$3015,'Web Feed'!$B$2:$B$3015,Points!$A$2,'Web Feed'!$G$2:$G$3015,$B232)+SUMIFS('Web Feed'!$O$2:$O$3015,'Web Feed'!$B$2:$B$3015,Points!$A$2,'Web Feed'!$H$2:$H$3015,$B232)+SUMIFS('Web Feed'!$O$2:$O$3015,'Web Feed'!$B$2:$B$3015,Points!$A$2,'Web Feed'!$I$2:$I$3015,$B232))</f>
        <v/>
      </c>
      <c r="E232">
        <f>IF($B232="","",SUMIFS('Web Feed'!$O$2:$O$3015,'Web Feed'!$B$2:$B$3015,Points!$A$3,'Web Feed'!$F$2:$F$3015,$B232)+SUMIFS('Web Feed'!$O$2:$O$3015,'Web Feed'!$B$2:$B$3015,Points!$A$3,'Web Feed'!$G$2:$G$3015,$B232)+SUMIFS('Web Feed'!$O$2:$O$3015,'Web Feed'!$B$2:$B$3015,Points!$A$3,'Web Feed'!$H$2:$H$3015,$B232)+SUMIFS('Web Feed'!$O$2:$O$3015,'Web Feed'!$B$2:$B$3015,Points!$A$3,'Web Feed'!$I$2:$I$3015,$B232))</f>
        <v/>
      </c>
      <c r="F232">
        <f>IF($B232="","",SUMIFS('Web Feed'!$O$2:$O$3015,'Web Feed'!$B$2:$B$3015,Points!$A$4,'Web Feed'!$F$2:$F$3015,$B232)+SUMIFS('Web Feed'!$O$2:$O$3015,'Web Feed'!$B$2:$B$3015,Points!$A$4,'Web Feed'!$G$2:$G$3015,$B232)+SUMIFS('Web Feed'!$O$2:$O$3015,'Web Feed'!$B$2:$B$3015,Points!$A$4,'Web Feed'!$H$2:$H$3015,$B232)+SUMIFS('Web Feed'!$O$2:$O$3015,'Web Feed'!$B$2:$B$3015,Points!$A$4,'Web Feed'!$I$2:$I$3015,$B232))</f>
        <v/>
      </c>
      <c r="G232">
        <f>IF($B232="","",SUMIFS('Web Feed'!$O$2:$O$3015,'Web Feed'!$B$2:$B$3015,Points!$A$5,'Web Feed'!$F$2:$F$3015,$B232)+SUMIFS('Web Feed'!$O$2:$O$3015,'Web Feed'!$B$2:$B$3015,Points!$A$5,'Web Feed'!$G$2:$G$3015,$B232)+SUMIFS('Web Feed'!$O$2:$O$3015,'Web Feed'!$B$2:$B$3015,Points!$A$5,'Web Feed'!$H$2:$H$3015,$B232)+SUMIFS('Web Feed'!$O$2:$O$3015,'Web Feed'!$B$2:$B$3015,Points!$A$5,'Web Feed'!$I$2:$I$3015,$B232))</f>
        <v/>
      </c>
      <c r="H232">
        <f>IF($B232="","",SUMIFS('Web Feed'!$O$2:$O$3015,'Web Feed'!$B$2:$B$3015,Points!$A$6,'Web Feed'!$F$2:$F$3015,$B232)+SUMIFS('Web Feed'!$O$2:$O$3015,'Web Feed'!$B$2:$B$3015,Points!$A$6,'Web Feed'!$G$2:$G$3015,$B232)+SUMIFS('Web Feed'!$O$2:$O$3015,'Web Feed'!$B$2:$B$3015,Points!$A$6,'Web Feed'!$H$2:$H$3015,$B232)+SUMIFS('Web Feed'!$O$2:$O$3015,'Web Feed'!$B$2:$B$3015,Points!$A$6,'Web Feed'!$I$2:$I$3015,$B232))</f>
        <v/>
      </c>
      <c r="I232">
        <f>IF($B232="","",COUNTIFS('Web Feed'!$B$2:$B$3015,"OHW",'Web Feed'!$F$2:$F$3015,$B232))</f>
        <v/>
      </c>
      <c r="J232">
        <f>IF($B232="","",IFERROR(INDEX('Last Week'!$A$2:$A$301,MATCH($B232,'Last Week'!$B$2:$B$301,0)),""))</f>
        <v/>
      </c>
      <c r="K232">
        <f>IF(OR($B232="",$J232=""),"",$J232-$A232)</f>
        <v/>
      </c>
    </row>
    <row r="233">
      <c r="A233">
        <f>IF($B233="","",RANK($C233,$C$2:$C$500))</f>
        <v/>
      </c>
      <c r="B233">
        <f>IF(Players!$A233="","",Players!$A233)</f>
        <v/>
      </c>
      <c r="C233" s="5">
        <f>IF($B233="","",SUM(D233:H233))</f>
        <v/>
      </c>
      <c r="D233">
        <f>IF($B233="","",SUMIFS('Web Feed'!$O$2:$O$3015,'Web Feed'!$B$2:$B$3015,Points!$A$2,'Web Feed'!$F$2:$F$3015,$B233)+SUMIFS('Web Feed'!$O$2:$O$3015,'Web Feed'!$B$2:$B$3015,Points!$A$2,'Web Feed'!$G$2:$G$3015,$B233)+SUMIFS('Web Feed'!$O$2:$O$3015,'Web Feed'!$B$2:$B$3015,Points!$A$2,'Web Feed'!$H$2:$H$3015,$B233)+SUMIFS('Web Feed'!$O$2:$O$3015,'Web Feed'!$B$2:$B$3015,Points!$A$2,'Web Feed'!$I$2:$I$3015,$B233))</f>
        <v/>
      </c>
      <c r="E233">
        <f>IF($B233="","",SUMIFS('Web Feed'!$O$2:$O$3015,'Web Feed'!$B$2:$B$3015,Points!$A$3,'Web Feed'!$F$2:$F$3015,$B233)+SUMIFS('Web Feed'!$O$2:$O$3015,'Web Feed'!$B$2:$B$3015,Points!$A$3,'Web Feed'!$G$2:$G$3015,$B233)+SUMIFS('Web Feed'!$O$2:$O$3015,'Web Feed'!$B$2:$B$3015,Points!$A$3,'Web Feed'!$H$2:$H$3015,$B233)+SUMIFS('Web Feed'!$O$2:$O$3015,'Web Feed'!$B$2:$B$3015,Points!$A$3,'Web Feed'!$I$2:$I$3015,$B233))</f>
        <v/>
      </c>
      <c r="F233">
        <f>IF($B233="","",SUMIFS('Web Feed'!$O$2:$O$3015,'Web Feed'!$B$2:$B$3015,Points!$A$4,'Web Feed'!$F$2:$F$3015,$B233)+SUMIFS('Web Feed'!$O$2:$O$3015,'Web Feed'!$B$2:$B$3015,Points!$A$4,'Web Feed'!$G$2:$G$3015,$B233)+SUMIFS('Web Feed'!$O$2:$O$3015,'Web Feed'!$B$2:$B$3015,Points!$A$4,'Web Feed'!$H$2:$H$3015,$B233)+SUMIFS('Web Feed'!$O$2:$O$3015,'Web Feed'!$B$2:$B$3015,Points!$A$4,'Web Feed'!$I$2:$I$3015,$B233))</f>
        <v/>
      </c>
      <c r="G233">
        <f>IF($B233="","",SUMIFS('Web Feed'!$O$2:$O$3015,'Web Feed'!$B$2:$B$3015,Points!$A$5,'Web Feed'!$F$2:$F$3015,$B233)+SUMIFS('Web Feed'!$O$2:$O$3015,'Web Feed'!$B$2:$B$3015,Points!$A$5,'Web Feed'!$G$2:$G$3015,$B233)+SUMIFS('Web Feed'!$O$2:$O$3015,'Web Feed'!$B$2:$B$3015,Points!$A$5,'Web Feed'!$H$2:$H$3015,$B233)+SUMIFS('Web Feed'!$O$2:$O$3015,'Web Feed'!$B$2:$B$3015,Points!$A$5,'Web Feed'!$I$2:$I$3015,$B233))</f>
        <v/>
      </c>
      <c r="H233">
        <f>IF($B233="","",SUMIFS('Web Feed'!$O$2:$O$3015,'Web Feed'!$B$2:$B$3015,Points!$A$6,'Web Feed'!$F$2:$F$3015,$B233)+SUMIFS('Web Feed'!$O$2:$O$3015,'Web Feed'!$B$2:$B$3015,Points!$A$6,'Web Feed'!$G$2:$G$3015,$B233)+SUMIFS('Web Feed'!$O$2:$O$3015,'Web Feed'!$B$2:$B$3015,Points!$A$6,'Web Feed'!$H$2:$H$3015,$B233)+SUMIFS('Web Feed'!$O$2:$O$3015,'Web Feed'!$B$2:$B$3015,Points!$A$6,'Web Feed'!$I$2:$I$3015,$B233))</f>
        <v/>
      </c>
      <c r="I233">
        <f>IF($B233="","",COUNTIFS('Web Feed'!$B$2:$B$3015,"OHW",'Web Feed'!$F$2:$F$3015,$B233))</f>
        <v/>
      </c>
      <c r="J233">
        <f>IF($B233="","",IFERROR(INDEX('Last Week'!$A$2:$A$301,MATCH($B233,'Last Week'!$B$2:$B$301,0)),""))</f>
        <v/>
      </c>
      <c r="K233">
        <f>IF(OR($B233="",$J233=""),"",$J233-$A233)</f>
        <v/>
      </c>
    </row>
    <row r="234">
      <c r="A234">
        <f>IF($B234="","",RANK($C234,$C$2:$C$500))</f>
        <v/>
      </c>
      <c r="B234">
        <f>IF(Players!$A234="","",Players!$A234)</f>
        <v/>
      </c>
      <c r="C234" s="5">
        <f>IF($B234="","",SUM(D234:H234))</f>
        <v/>
      </c>
      <c r="D234">
        <f>IF($B234="","",SUMIFS('Web Feed'!$O$2:$O$3015,'Web Feed'!$B$2:$B$3015,Points!$A$2,'Web Feed'!$F$2:$F$3015,$B234)+SUMIFS('Web Feed'!$O$2:$O$3015,'Web Feed'!$B$2:$B$3015,Points!$A$2,'Web Feed'!$G$2:$G$3015,$B234)+SUMIFS('Web Feed'!$O$2:$O$3015,'Web Feed'!$B$2:$B$3015,Points!$A$2,'Web Feed'!$H$2:$H$3015,$B234)+SUMIFS('Web Feed'!$O$2:$O$3015,'Web Feed'!$B$2:$B$3015,Points!$A$2,'Web Feed'!$I$2:$I$3015,$B234))</f>
        <v/>
      </c>
      <c r="E234">
        <f>IF($B234="","",SUMIFS('Web Feed'!$O$2:$O$3015,'Web Feed'!$B$2:$B$3015,Points!$A$3,'Web Feed'!$F$2:$F$3015,$B234)+SUMIFS('Web Feed'!$O$2:$O$3015,'Web Feed'!$B$2:$B$3015,Points!$A$3,'Web Feed'!$G$2:$G$3015,$B234)+SUMIFS('Web Feed'!$O$2:$O$3015,'Web Feed'!$B$2:$B$3015,Points!$A$3,'Web Feed'!$H$2:$H$3015,$B234)+SUMIFS('Web Feed'!$O$2:$O$3015,'Web Feed'!$B$2:$B$3015,Points!$A$3,'Web Feed'!$I$2:$I$3015,$B234))</f>
        <v/>
      </c>
      <c r="F234">
        <f>IF($B234="","",SUMIFS('Web Feed'!$O$2:$O$3015,'Web Feed'!$B$2:$B$3015,Points!$A$4,'Web Feed'!$F$2:$F$3015,$B234)+SUMIFS('Web Feed'!$O$2:$O$3015,'Web Feed'!$B$2:$B$3015,Points!$A$4,'Web Feed'!$G$2:$G$3015,$B234)+SUMIFS('Web Feed'!$O$2:$O$3015,'Web Feed'!$B$2:$B$3015,Points!$A$4,'Web Feed'!$H$2:$H$3015,$B234)+SUMIFS('Web Feed'!$O$2:$O$3015,'Web Feed'!$B$2:$B$3015,Points!$A$4,'Web Feed'!$I$2:$I$3015,$B234))</f>
        <v/>
      </c>
      <c r="G234">
        <f>IF($B234="","",SUMIFS('Web Feed'!$O$2:$O$3015,'Web Feed'!$B$2:$B$3015,Points!$A$5,'Web Feed'!$F$2:$F$3015,$B234)+SUMIFS('Web Feed'!$O$2:$O$3015,'Web Feed'!$B$2:$B$3015,Points!$A$5,'Web Feed'!$G$2:$G$3015,$B234)+SUMIFS('Web Feed'!$O$2:$O$3015,'Web Feed'!$B$2:$B$3015,Points!$A$5,'Web Feed'!$H$2:$H$3015,$B234)+SUMIFS('Web Feed'!$O$2:$O$3015,'Web Feed'!$B$2:$B$3015,Points!$A$5,'Web Feed'!$I$2:$I$3015,$B234))</f>
        <v/>
      </c>
      <c r="H234">
        <f>IF($B234="","",SUMIFS('Web Feed'!$O$2:$O$3015,'Web Feed'!$B$2:$B$3015,Points!$A$6,'Web Feed'!$F$2:$F$3015,$B234)+SUMIFS('Web Feed'!$O$2:$O$3015,'Web Feed'!$B$2:$B$3015,Points!$A$6,'Web Feed'!$G$2:$G$3015,$B234)+SUMIFS('Web Feed'!$O$2:$O$3015,'Web Feed'!$B$2:$B$3015,Points!$A$6,'Web Feed'!$H$2:$H$3015,$B234)+SUMIFS('Web Feed'!$O$2:$O$3015,'Web Feed'!$B$2:$B$3015,Points!$A$6,'Web Feed'!$I$2:$I$3015,$B234))</f>
        <v/>
      </c>
      <c r="I234">
        <f>IF($B234="","",COUNTIFS('Web Feed'!$B$2:$B$3015,"OHW",'Web Feed'!$F$2:$F$3015,$B234))</f>
        <v/>
      </c>
      <c r="J234">
        <f>IF($B234="","",IFERROR(INDEX('Last Week'!$A$2:$A$301,MATCH($B234,'Last Week'!$B$2:$B$301,0)),""))</f>
        <v/>
      </c>
      <c r="K234">
        <f>IF(OR($B234="",$J234=""),"",$J234-$A234)</f>
        <v/>
      </c>
    </row>
    <row r="235">
      <c r="A235">
        <f>IF($B235="","",RANK($C235,$C$2:$C$500))</f>
        <v/>
      </c>
      <c r="B235">
        <f>IF(Players!$A235="","",Players!$A235)</f>
        <v/>
      </c>
      <c r="C235" s="5">
        <f>IF($B235="","",SUM(D235:H235))</f>
        <v/>
      </c>
      <c r="D235">
        <f>IF($B235="","",SUMIFS('Web Feed'!$O$2:$O$3015,'Web Feed'!$B$2:$B$3015,Points!$A$2,'Web Feed'!$F$2:$F$3015,$B235)+SUMIFS('Web Feed'!$O$2:$O$3015,'Web Feed'!$B$2:$B$3015,Points!$A$2,'Web Feed'!$G$2:$G$3015,$B235)+SUMIFS('Web Feed'!$O$2:$O$3015,'Web Feed'!$B$2:$B$3015,Points!$A$2,'Web Feed'!$H$2:$H$3015,$B235)+SUMIFS('Web Feed'!$O$2:$O$3015,'Web Feed'!$B$2:$B$3015,Points!$A$2,'Web Feed'!$I$2:$I$3015,$B235))</f>
        <v/>
      </c>
      <c r="E235">
        <f>IF($B235="","",SUMIFS('Web Feed'!$O$2:$O$3015,'Web Feed'!$B$2:$B$3015,Points!$A$3,'Web Feed'!$F$2:$F$3015,$B235)+SUMIFS('Web Feed'!$O$2:$O$3015,'Web Feed'!$B$2:$B$3015,Points!$A$3,'Web Feed'!$G$2:$G$3015,$B235)+SUMIFS('Web Feed'!$O$2:$O$3015,'Web Feed'!$B$2:$B$3015,Points!$A$3,'Web Feed'!$H$2:$H$3015,$B235)+SUMIFS('Web Feed'!$O$2:$O$3015,'Web Feed'!$B$2:$B$3015,Points!$A$3,'Web Feed'!$I$2:$I$3015,$B235))</f>
        <v/>
      </c>
      <c r="F235">
        <f>IF($B235="","",SUMIFS('Web Feed'!$O$2:$O$3015,'Web Feed'!$B$2:$B$3015,Points!$A$4,'Web Feed'!$F$2:$F$3015,$B235)+SUMIFS('Web Feed'!$O$2:$O$3015,'Web Feed'!$B$2:$B$3015,Points!$A$4,'Web Feed'!$G$2:$G$3015,$B235)+SUMIFS('Web Feed'!$O$2:$O$3015,'Web Feed'!$B$2:$B$3015,Points!$A$4,'Web Feed'!$H$2:$H$3015,$B235)+SUMIFS('Web Feed'!$O$2:$O$3015,'Web Feed'!$B$2:$B$3015,Points!$A$4,'Web Feed'!$I$2:$I$3015,$B235))</f>
        <v/>
      </c>
      <c r="G235">
        <f>IF($B235="","",SUMIFS('Web Feed'!$O$2:$O$3015,'Web Feed'!$B$2:$B$3015,Points!$A$5,'Web Feed'!$F$2:$F$3015,$B235)+SUMIFS('Web Feed'!$O$2:$O$3015,'Web Feed'!$B$2:$B$3015,Points!$A$5,'Web Feed'!$G$2:$G$3015,$B235)+SUMIFS('Web Feed'!$O$2:$O$3015,'Web Feed'!$B$2:$B$3015,Points!$A$5,'Web Feed'!$H$2:$H$3015,$B235)+SUMIFS('Web Feed'!$O$2:$O$3015,'Web Feed'!$B$2:$B$3015,Points!$A$5,'Web Feed'!$I$2:$I$3015,$B235))</f>
        <v/>
      </c>
      <c r="H235">
        <f>IF($B235="","",SUMIFS('Web Feed'!$O$2:$O$3015,'Web Feed'!$B$2:$B$3015,Points!$A$6,'Web Feed'!$F$2:$F$3015,$B235)+SUMIFS('Web Feed'!$O$2:$O$3015,'Web Feed'!$B$2:$B$3015,Points!$A$6,'Web Feed'!$G$2:$G$3015,$B235)+SUMIFS('Web Feed'!$O$2:$O$3015,'Web Feed'!$B$2:$B$3015,Points!$A$6,'Web Feed'!$H$2:$H$3015,$B235)+SUMIFS('Web Feed'!$O$2:$O$3015,'Web Feed'!$B$2:$B$3015,Points!$A$6,'Web Feed'!$I$2:$I$3015,$B235))</f>
        <v/>
      </c>
      <c r="I235">
        <f>IF($B235="","",COUNTIFS('Web Feed'!$B$2:$B$3015,"OHW",'Web Feed'!$F$2:$F$3015,$B235))</f>
        <v/>
      </c>
      <c r="J235">
        <f>IF($B235="","",IFERROR(INDEX('Last Week'!$A$2:$A$301,MATCH($B235,'Last Week'!$B$2:$B$301,0)),""))</f>
        <v/>
      </c>
      <c r="K235">
        <f>IF(OR($B235="",$J235=""),"",$J235-$A235)</f>
        <v/>
      </c>
    </row>
    <row r="236">
      <c r="A236">
        <f>IF($B236="","",RANK($C236,$C$2:$C$500))</f>
        <v/>
      </c>
      <c r="B236">
        <f>IF(Players!$A236="","",Players!$A236)</f>
        <v/>
      </c>
      <c r="C236" s="5">
        <f>IF($B236="","",SUM(D236:H236))</f>
        <v/>
      </c>
      <c r="D236">
        <f>IF($B236="","",SUMIFS('Web Feed'!$O$2:$O$3015,'Web Feed'!$B$2:$B$3015,Points!$A$2,'Web Feed'!$F$2:$F$3015,$B236)+SUMIFS('Web Feed'!$O$2:$O$3015,'Web Feed'!$B$2:$B$3015,Points!$A$2,'Web Feed'!$G$2:$G$3015,$B236)+SUMIFS('Web Feed'!$O$2:$O$3015,'Web Feed'!$B$2:$B$3015,Points!$A$2,'Web Feed'!$H$2:$H$3015,$B236)+SUMIFS('Web Feed'!$O$2:$O$3015,'Web Feed'!$B$2:$B$3015,Points!$A$2,'Web Feed'!$I$2:$I$3015,$B236))</f>
        <v/>
      </c>
      <c r="E236">
        <f>IF($B236="","",SUMIFS('Web Feed'!$O$2:$O$3015,'Web Feed'!$B$2:$B$3015,Points!$A$3,'Web Feed'!$F$2:$F$3015,$B236)+SUMIFS('Web Feed'!$O$2:$O$3015,'Web Feed'!$B$2:$B$3015,Points!$A$3,'Web Feed'!$G$2:$G$3015,$B236)+SUMIFS('Web Feed'!$O$2:$O$3015,'Web Feed'!$B$2:$B$3015,Points!$A$3,'Web Feed'!$H$2:$H$3015,$B236)+SUMIFS('Web Feed'!$O$2:$O$3015,'Web Feed'!$B$2:$B$3015,Points!$A$3,'Web Feed'!$I$2:$I$3015,$B236))</f>
        <v/>
      </c>
      <c r="F236">
        <f>IF($B236="","",SUMIFS('Web Feed'!$O$2:$O$3015,'Web Feed'!$B$2:$B$3015,Points!$A$4,'Web Feed'!$F$2:$F$3015,$B236)+SUMIFS('Web Feed'!$O$2:$O$3015,'Web Feed'!$B$2:$B$3015,Points!$A$4,'Web Feed'!$G$2:$G$3015,$B236)+SUMIFS('Web Feed'!$O$2:$O$3015,'Web Feed'!$B$2:$B$3015,Points!$A$4,'Web Feed'!$H$2:$H$3015,$B236)+SUMIFS('Web Feed'!$O$2:$O$3015,'Web Feed'!$B$2:$B$3015,Points!$A$4,'Web Feed'!$I$2:$I$3015,$B236))</f>
        <v/>
      </c>
      <c r="G236">
        <f>IF($B236="","",SUMIFS('Web Feed'!$O$2:$O$3015,'Web Feed'!$B$2:$B$3015,Points!$A$5,'Web Feed'!$F$2:$F$3015,$B236)+SUMIFS('Web Feed'!$O$2:$O$3015,'Web Feed'!$B$2:$B$3015,Points!$A$5,'Web Feed'!$G$2:$G$3015,$B236)+SUMIFS('Web Feed'!$O$2:$O$3015,'Web Feed'!$B$2:$B$3015,Points!$A$5,'Web Feed'!$H$2:$H$3015,$B236)+SUMIFS('Web Feed'!$O$2:$O$3015,'Web Feed'!$B$2:$B$3015,Points!$A$5,'Web Feed'!$I$2:$I$3015,$B236))</f>
        <v/>
      </c>
      <c r="H236">
        <f>IF($B236="","",SUMIFS('Web Feed'!$O$2:$O$3015,'Web Feed'!$B$2:$B$3015,Points!$A$6,'Web Feed'!$F$2:$F$3015,$B236)+SUMIFS('Web Feed'!$O$2:$O$3015,'Web Feed'!$B$2:$B$3015,Points!$A$6,'Web Feed'!$G$2:$G$3015,$B236)+SUMIFS('Web Feed'!$O$2:$O$3015,'Web Feed'!$B$2:$B$3015,Points!$A$6,'Web Feed'!$H$2:$H$3015,$B236)+SUMIFS('Web Feed'!$O$2:$O$3015,'Web Feed'!$B$2:$B$3015,Points!$A$6,'Web Feed'!$I$2:$I$3015,$B236))</f>
        <v/>
      </c>
      <c r="I236">
        <f>IF($B236="","",COUNTIFS('Web Feed'!$B$2:$B$3015,"OHW",'Web Feed'!$F$2:$F$3015,$B236))</f>
        <v/>
      </c>
      <c r="J236">
        <f>IF($B236="","",IFERROR(INDEX('Last Week'!$A$2:$A$301,MATCH($B236,'Last Week'!$B$2:$B$301,0)),""))</f>
        <v/>
      </c>
      <c r="K236">
        <f>IF(OR($B236="",$J236=""),"",$J236-$A236)</f>
        <v/>
      </c>
    </row>
    <row r="237">
      <c r="A237">
        <f>IF($B237="","",RANK($C237,$C$2:$C$500))</f>
        <v/>
      </c>
      <c r="B237">
        <f>IF(Players!$A237="","",Players!$A237)</f>
        <v/>
      </c>
      <c r="C237" s="5">
        <f>IF($B237="","",SUM(D237:H237))</f>
        <v/>
      </c>
      <c r="D237">
        <f>IF($B237="","",SUMIFS('Web Feed'!$O$2:$O$3015,'Web Feed'!$B$2:$B$3015,Points!$A$2,'Web Feed'!$F$2:$F$3015,$B237)+SUMIFS('Web Feed'!$O$2:$O$3015,'Web Feed'!$B$2:$B$3015,Points!$A$2,'Web Feed'!$G$2:$G$3015,$B237)+SUMIFS('Web Feed'!$O$2:$O$3015,'Web Feed'!$B$2:$B$3015,Points!$A$2,'Web Feed'!$H$2:$H$3015,$B237)+SUMIFS('Web Feed'!$O$2:$O$3015,'Web Feed'!$B$2:$B$3015,Points!$A$2,'Web Feed'!$I$2:$I$3015,$B237))</f>
        <v/>
      </c>
      <c r="E237">
        <f>IF($B237="","",SUMIFS('Web Feed'!$O$2:$O$3015,'Web Feed'!$B$2:$B$3015,Points!$A$3,'Web Feed'!$F$2:$F$3015,$B237)+SUMIFS('Web Feed'!$O$2:$O$3015,'Web Feed'!$B$2:$B$3015,Points!$A$3,'Web Feed'!$G$2:$G$3015,$B237)+SUMIFS('Web Feed'!$O$2:$O$3015,'Web Feed'!$B$2:$B$3015,Points!$A$3,'Web Feed'!$H$2:$H$3015,$B237)+SUMIFS('Web Feed'!$O$2:$O$3015,'Web Feed'!$B$2:$B$3015,Points!$A$3,'Web Feed'!$I$2:$I$3015,$B237))</f>
        <v/>
      </c>
      <c r="F237">
        <f>IF($B237="","",SUMIFS('Web Feed'!$O$2:$O$3015,'Web Feed'!$B$2:$B$3015,Points!$A$4,'Web Feed'!$F$2:$F$3015,$B237)+SUMIFS('Web Feed'!$O$2:$O$3015,'Web Feed'!$B$2:$B$3015,Points!$A$4,'Web Feed'!$G$2:$G$3015,$B237)+SUMIFS('Web Feed'!$O$2:$O$3015,'Web Feed'!$B$2:$B$3015,Points!$A$4,'Web Feed'!$H$2:$H$3015,$B237)+SUMIFS('Web Feed'!$O$2:$O$3015,'Web Feed'!$B$2:$B$3015,Points!$A$4,'Web Feed'!$I$2:$I$3015,$B237))</f>
        <v/>
      </c>
      <c r="G237">
        <f>IF($B237="","",SUMIFS('Web Feed'!$O$2:$O$3015,'Web Feed'!$B$2:$B$3015,Points!$A$5,'Web Feed'!$F$2:$F$3015,$B237)+SUMIFS('Web Feed'!$O$2:$O$3015,'Web Feed'!$B$2:$B$3015,Points!$A$5,'Web Feed'!$G$2:$G$3015,$B237)+SUMIFS('Web Feed'!$O$2:$O$3015,'Web Feed'!$B$2:$B$3015,Points!$A$5,'Web Feed'!$H$2:$H$3015,$B237)+SUMIFS('Web Feed'!$O$2:$O$3015,'Web Feed'!$B$2:$B$3015,Points!$A$5,'Web Feed'!$I$2:$I$3015,$B237))</f>
        <v/>
      </c>
      <c r="H237">
        <f>IF($B237="","",SUMIFS('Web Feed'!$O$2:$O$3015,'Web Feed'!$B$2:$B$3015,Points!$A$6,'Web Feed'!$F$2:$F$3015,$B237)+SUMIFS('Web Feed'!$O$2:$O$3015,'Web Feed'!$B$2:$B$3015,Points!$A$6,'Web Feed'!$G$2:$G$3015,$B237)+SUMIFS('Web Feed'!$O$2:$O$3015,'Web Feed'!$B$2:$B$3015,Points!$A$6,'Web Feed'!$H$2:$H$3015,$B237)+SUMIFS('Web Feed'!$O$2:$O$3015,'Web Feed'!$B$2:$B$3015,Points!$A$6,'Web Feed'!$I$2:$I$3015,$B237))</f>
        <v/>
      </c>
      <c r="I237">
        <f>IF($B237="","",COUNTIFS('Web Feed'!$B$2:$B$3015,"OHW",'Web Feed'!$F$2:$F$3015,$B237))</f>
        <v/>
      </c>
      <c r="J237">
        <f>IF($B237="","",IFERROR(INDEX('Last Week'!$A$2:$A$301,MATCH($B237,'Last Week'!$B$2:$B$301,0)),""))</f>
        <v/>
      </c>
      <c r="K237">
        <f>IF(OR($B237="",$J237=""),"",$J237-$A237)</f>
        <v/>
      </c>
    </row>
    <row r="238">
      <c r="A238">
        <f>IF($B238="","",RANK($C238,$C$2:$C$500))</f>
        <v/>
      </c>
      <c r="B238">
        <f>IF(Players!$A238="","",Players!$A238)</f>
        <v/>
      </c>
      <c r="C238" s="5">
        <f>IF($B238="","",SUM(D238:H238))</f>
        <v/>
      </c>
      <c r="D238">
        <f>IF($B238="","",SUMIFS('Web Feed'!$O$2:$O$3015,'Web Feed'!$B$2:$B$3015,Points!$A$2,'Web Feed'!$F$2:$F$3015,$B238)+SUMIFS('Web Feed'!$O$2:$O$3015,'Web Feed'!$B$2:$B$3015,Points!$A$2,'Web Feed'!$G$2:$G$3015,$B238)+SUMIFS('Web Feed'!$O$2:$O$3015,'Web Feed'!$B$2:$B$3015,Points!$A$2,'Web Feed'!$H$2:$H$3015,$B238)+SUMIFS('Web Feed'!$O$2:$O$3015,'Web Feed'!$B$2:$B$3015,Points!$A$2,'Web Feed'!$I$2:$I$3015,$B238))</f>
        <v/>
      </c>
      <c r="E238">
        <f>IF($B238="","",SUMIFS('Web Feed'!$O$2:$O$3015,'Web Feed'!$B$2:$B$3015,Points!$A$3,'Web Feed'!$F$2:$F$3015,$B238)+SUMIFS('Web Feed'!$O$2:$O$3015,'Web Feed'!$B$2:$B$3015,Points!$A$3,'Web Feed'!$G$2:$G$3015,$B238)+SUMIFS('Web Feed'!$O$2:$O$3015,'Web Feed'!$B$2:$B$3015,Points!$A$3,'Web Feed'!$H$2:$H$3015,$B238)+SUMIFS('Web Feed'!$O$2:$O$3015,'Web Feed'!$B$2:$B$3015,Points!$A$3,'Web Feed'!$I$2:$I$3015,$B238))</f>
        <v/>
      </c>
      <c r="F238">
        <f>IF($B238="","",SUMIFS('Web Feed'!$O$2:$O$3015,'Web Feed'!$B$2:$B$3015,Points!$A$4,'Web Feed'!$F$2:$F$3015,$B238)+SUMIFS('Web Feed'!$O$2:$O$3015,'Web Feed'!$B$2:$B$3015,Points!$A$4,'Web Feed'!$G$2:$G$3015,$B238)+SUMIFS('Web Feed'!$O$2:$O$3015,'Web Feed'!$B$2:$B$3015,Points!$A$4,'Web Feed'!$H$2:$H$3015,$B238)+SUMIFS('Web Feed'!$O$2:$O$3015,'Web Feed'!$B$2:$B$3015,Points!$A$4,'Web Feed'!$I$2:$I$3015,$B238))</f>
        <v/>
      </c>
      <c r="G238">
        <f>IF($B238="","",SUMIFS('Web Feed'!$O$2:$O$3015,'Web Feed'!$B$2:$B$3015,Points!$A$5,'Web Feed'!$F$2:$F$3015,$B238)+SUMIFS('Web Feed'!$O$2:$O$3015,'Web Feed'!$B$2:$B$3015,Points!$A$5,'Web Feed'!$G$2:$G$3015,$B238)+SUMIFS('Web Feed'!$O$2:$O$3015,'Web Feed'!$B$2:$B$3015,Points!$A$5,'Web Feed'!$H$2:$H$3015,$B238)+SUMIFS('Web Feed'!$O$2:$O$3015,'Web Feed'!$B$2:$B$3015,Points!$A$5,'Web Feed'!$I$2:$I$3015,$B238))</f>
        <v/>
      </c>
      <c r="H238">
        <f>IF($B238="","",SUMIFS('Web Feed'!$O$2:$O$3015,'Web Feed'!$B$2:$B$3015,Points!$A$6,'Web Feed'!$F$2:$F$3015,$B238)+SUMIFS('Web Feed'!$O$2:$O$3015,'Web Feed'!$B$2:$B$3015,Points!$A$6,'Web Feed'!$G$2:$G$3015,$B238)+SUMIFS('Web Feed'!$O$2:$O$3015,'Web Feed'!$B$2:$B$3015,Points!$A$6,'Web Feed'!$H$2:$H$3015,$B238)+SUMIFS('Web Feed'!$O$2:$O$3015,'Web Feed'!$B$2:$B$3015,Points!$A$6,'Web Feed'!$I$2:$I$3015,$B238))</f>
        <v/>
      </c>
      <c r="I238">
        <f>IF($B238="","",COUNTIFS('Web Feed'!$B$2:$B$3015,"OHW",'Web Feed'!$F$2:$F$3015,$B238))</f>
        <v/>
      </c>
      <c r="J238">
        <f>IF($B238="","",IFERROR(INDEX('Last Week'!$A$2:$A$301,MATCH($B238,'Last Week'!$B$2:$B$301,0)),""))</f>
        <v/>
      </c>
      <c r="K238">
        <f>IF(OR($B238="",$J238=""),"",$J238-$A238)</f>
        <v/>
      </c>
    </row>
    <row r="239">
      <c r="A239">
        <f>IF($B239="","",RANK($C239,$C$2:$C$500))</f>
        <v/>
      </c>
      <c r="B239">
        <f>IF(Players!$A239="","",Players!$A239)</f>
        <v/>
      </c>
      <c r="C239" s="5">
        <f>IF($B239="","",SUM(D239:H239))</f>
        <v/>
      </c>
      <c r="D239">
        <f>IF($B239="","",SUMIFS('Web Feed'!$O$2:$O$3015,'Web Feed'!$B$2:$B$3015,Points!$A$2,'Web Feed'!$F$2:$F$3015,$B239)+SUMIFS('Web Feed'!$O$2:$O$3015,'Web Feed'!$B$2:$B$3015,Points!$A$2,'Web Feed'!$G$2:$G$3015,$B239)+SUMIFS('Web Feed'!$O$2:$O$3015,'Web Feed'!$B$2:$B$3015,Points!$A$2,'Web Feed'!$H$2:$H$3015,$B239)+SUMIFS('Web Feed'!$O$2:$O$3015,'Web Feed'!$B$2:$B$3015,Points!$A$2,'Web Feed'!$I$2:$I$3015,$B239))</f>
        <v/>
      </c>
      <c r="E239">
        <f>IF($B239="","",SUMIFS('Web Feed'!$O$2:$O$3015,'Web Feed'!$B$2:$B$3015,Points!$A$3,'Web Feed'!$F$2:$F$3015,$B239)+SUMIFS('Web Feed'!$O$2:$O$3015,'Web Feed'!$B$2:$B$3015,Points!$A$3,'Web Feed'!$G$2:$G$3015,$B239)+SUMIFS('Web Feed'!$O$2:$O$3015,'Web Feed'!$B$2:$B$3015,Points!$A$3,'Web Feed'!$H$2:$H$3015,$B239)+SUMIFS('Web Feed'!$O$2:$O$3015,'Web Feed'!$B$2:$B$3015,Points!$A$3,'Web Feed'!$I$2:$I$3015,$B239))</f>
        <v/>
      </c>
      <c r="F239">
        <f>IF($B239="","",SUMIFS('Web Feed'!$O$2:$O$3015,'Web Feed'!$B$2:$B$3015,Points!$A$4,'Web Feed'!$F$2:$F$3015,$B239)+SUMIFS('Web Feed'!$O$2:$O$3015,'Web Feed'!$B$2:$B$3015,Points!$A$4,'Web Feed'!$G$2:$G$3015,$B239)+SUMIFS('Web Feed'!$O$2:$O$3015,'Web Feed'!$B$2:$B$3015,Points!$A$4,'Web Feed'!$H$2:$H$3015,$B239)+SUMIFS('Web Feed'!$O$2:$O$3015,'Web Feed'!$B$2:$B$3015,Points!$A$4,'Web Feed'!$I$2:$I$3015,$B239))</f>
        <v/>
      </c>
      <c r="G239">
        <f>IF($B239="","",SUMIFS('Web Feed'!$O$2:$O$3015,'Web Feed'!$B$2:$B$3015,Points!$A$5,'Web Feed'!$F$2:$F$3015,$B239)+SUMIFS('Web Feed'!$O$2:$O$3015,'Web Feed'!$B$2:$B$3015,Points!$A$5,'Web Feed'!$G$2:$G$3015,$B239)+SUMIFS('Web Feed'!$O$2:$O$3015,'Web Feed'!$B$2:$B$3015,Points!$A$5,'Web Feed'!$H$2:$H$3015,$B239)+SUMIFS('Web Feed'!$O$2:$O$3015,'Web Feed'!$B$2:$B$3015,Points!$A$5,'Web Feed'!$I$2:$I$3015,$B239))</f>
        <v/>
      </c>
      <c r="H239">
        <f>IF($B239="","",SUMIFS('Web Feed'!$O$2:$O$3015,'Web Feed'!$B$2:$B$3015,Points!$A$6,'Web Feed'!$F$2:$F$3015,$B239)+SUMIFS('Web Feed'!$O$2:$O$3015,'Web Feed'!$B$2:$B$3015,Points!$A$6,'Web Feed'!$G$2:$G$3015,$B239)+SUMIFS('Web Feed'!$O$2:$O$3015,'Web Feed'!$B$2:$B$3015,Points!$A$6,'Web Feed'!$H$2:$H$3015,$B239)+SUMIFS('Web Feed'!$O$2:$O$3015,'Web Feed'!$B$2:$B$3015,Points!$A$6,'Web Feed'!$I$2:$I$3015,$B239))</f>
        <v/>
      </c>
      <c r="I239">
        <f>IF($B239="","",COUNTIFS('Web Feed'!$B$2:$B$3015,"OHW",'Web Feed'!$F$2:$F$3015,$B239))</f>
        <v/>
      </c>
      <c r="J239">
        <f>IF($B239="","",IFERROR(INDEX('Last Week'!$A$2:$A$301,MATCH($B239,'Last Week'!$B$2:$B$301,0)),""))</f>
        <v/>
      </c>
      <c r="K239">
        <f>IF(OR($B239="",$J239=""),"",$J239-$A239)</f>
        <v/>
      </c>
    </row>
    <row r="240">
      <c r="A240">
        <f>IF($B240="","",RANK($C240,$C$2:$C$500))</f>
        <v/>
      </c>
      <c r="B240">
        <f>IF(Players!$A240="","",Players!$A240)</f>
        <v/>
      </c>
      <c r="C240" s="5">
        <f>IF($B240="","",SUM(D240:H240))</f>
        <v/>
      </c>
      <c r="D240">
        <f>IF($B240="","",SUMIFS('Web Feed'!$O$2:$O$3015,'Web Feed'!$B$2:$B$3015,Points!$A$2,'Web Feed'!$F$2:$F$3015,$B240)+SUMIFS('Web Feed'!$O$2:$O$3015,'Web Feed'!$B$2:$B$3015,Points!$A$2,'Web Feed'!$G$2:$G$3015,$B240)+SUMIFS('Web Feed'!$O$2:$O$3015,'Web Feed'!$B$2:$B$3015,Points!$A$2,'Web Feed'!$H$2:$H$3015,$B240)+SUMIFS('Web Feed'!$O$2:$O$3015,'Web Feed'!$B$2:$B$3015,Points!$A$2,'Web Feed'!$I$2:$I$3015,$B240))</f>
        <v/>
      </c>
      <c r="E240">
        <f>IF($B240="","",SUMIFS('Web Feed'!$O$2:$O$3015,'Web Feed'!$B$2:$B$3015,Points!$A$3,'Web Feed'!$F$2:$F$3015,$B240)+SUMIFS('Web Feed'!$O$2:$O$3015,'Web Feed'!$B$2:$B$3015,Points!$A$3,'Web Feed'!$G$2:$G$3015,$B240)+SUMIFS('Web Feed'!$O$2:$O$3015,'Web Feed'!$B$2:$B$3015,Points!$A$3,'Web Feed'!$H$2:$H$3015,$B240)+SUMIFS('Web Feed'!$O$2:$O$3015,'Web Feed'!$B$2:$B$3015,Points!$A$3,'Web Feed'!$I$2:$I$3015,$B240))</f>
        <v/>
      </c>
      <c r="F240">
        <f>IF($B240="","",SUMIFS('Web Feed'!$O$2:$O$3015,'Web Feed'!$B$2:$B$3015,Points!$A$4,'Web Feed'!$F$2:$F$3015,$B240)+SUMIFS('Web Feed'!$O$2:$O$3015,'Web Feed'!$B$2:$B$3015,Points!$A$4,'Web Feed'!$G$2:$G$3015,$B240)+SUMIFS('Web Feed'!$O$2:$O$3015,'Web Feed'!$B$2:$B$3015,Points!$A$4,'Web Feed'!$H$2:$H$3015,$B240)+SUMIFS('Web Feed'!$O$2:$O$3015,'Web Feed'!$B$2:$B$3015,Points!$A$4,'Web Feed'!$I$2:$I$3015,$B240))</f>
        <v/>
      </c>
      <c r="G240">
        <f>IF($B240="","",SUMIFS('Web Feed'!$O$2:$O$3015,'Web Feed'!$B$2:$B$3015,Points!$A$5,'Web Feed'!$F$2:$F$3015,$B240)+SUMIFS('Web Feed'!$O$2:$O$3015,'Web Feed'!$B$2:$B$3015,Points!$A$5,'Web Feed'!$G$2:$G$3015,$B240)+SUMIFS('Web Feed'!$O$2:$O$3015,'Web Feed'!$B$2:$B$3015,Points!$A$5,'Web Feed'!$H$2:$H$3015,$B240)+SUMIFS('Web Feed'!$O$2:$O$3015,'Web Feed'!$B$2:$B$3015,Points!$A$5,'Web Feed'!$I$2:$I$3015,$B240))</f>
        <v/>
      </c>
      <c r="H240">
        <f>IF($B240="","",SUMIFS('Web Feed'!$O$2:$O$3015,'Web Feed'!$B$2:$B$3015,Points!$A$6,'Web Feed'!$F$2:$F$3015,$B240)+SUMIFS('Web Feed'!$O$2:$O$3015,'Web Feed'!$B$2:$B$3015,Points!$A$6,'Web Feed'!$G$2:$G$3015,$B240)+SUMIFS('Web Feed'!$O$2:$O$3015,'Web Feed'!$B$2:$B$3015,Points!$A$6,'Web Feed'!$H$2:$H$3015,$B240)+SUMIFS('Web Feed'!$O$2:$O$3015,'Web Feed'!$B$2:$B$3015,Points!$A$6,'Web Feed'!$I$2:$I$3015,$B240))</f>
        <v/>
      </c>
      <c r="I240">
        <f>IF($B240="","",COUNTIFS('Web Feed'!$B$2:$B$3015,"OHW",'Web Feed'!$F$2:$F$3015,$B240))</f>
        <v/>
      </c>
      <c r="J240">
        <f>IF($B240="","",IFERROR(INDEX('Last Week'!$A$2:$A$301,MATCH($B240,'Last Week'!$B$2:$B$301,0)),""))</f>
        <v/>
      </c>
      <c r="K240">
        <f>IF(OR($B240="",$J240=""),"",$J240-$A240)</f>
        <v/>
      </c>
    </row>
    <row r="241">
      <c r="A241">
        <f>IF($B241="","",RANK($C241,$C$2:$C$500))</f>
        <v/>
      </c>
      <c r="B241">
        <f>IF(Players!$A241="","",Players!$A241)</f>
        <v/>
      </c>
      <c r="C241" s="5">
        <f>IF($B241="","",SUM(D241:H241))</f>
        <v/>
      </c>
      <c r="D241">
        <f>IF($B241="","",SUMIFS('Web Feed'!$O$2:$O$3015,'Web Feed'!$B$2:$B$3015,Points!$A$2,'Web Feed'!$F$2:$F$3015,$B241)+SUMIFS('Web Feed'!$O$2:$O$3015,'Web Feed'!$B$2:$B$3015,Points!$A$2,'Web Feed'!$G$2:$G$3015,$B241)+SUMIFS('Web Feed'!$O$2:$O$3015,'Web Feed'!$B$2:$B$3015,Points!$A$2,'Web Feed'!$H$2:$H$3015,$B241)+SUMIFS('Web Feed'!$O$2:$O$3015,'Web Feed'!$B$2:$B$3015,Points!$A$2,'Web Feed'!$I$2:$I$3015,$B241))</f>
        <v/>
      </c>
      <c r="E241">
        <f>IF($B241="","",SUMIFS('Web Feed'!$O$2:$O$3015,'Web Feed'!$B$2:$B$3015,Points!$A$3,'Web Feed'!$F$2:$F$3015,$B241)+SUMIFS('Web Feed'!$O$2:$O$3015,'Web Feed'!$B$2:$B$3015,Points!$A$3,'Web Feed'!$G$2:$G$3015,$B241)+SUMIFS('Web Feed'!$O$2:$O$3015,'Web Feed'!$B$2:$B$3015,Points!$A$3,'Web Feed'!$H$2:$H$3015,$B241)+SUMIFS('Web Feed'!$O$2:$O$3015,'Web Feed'!$B$2:$B$3015,Points!$A$3,'Web Feed'!$I$2:$I$3015,$B241))</f>
        <v/>
      </c>
      <c r="F241">
        <f>IF($B241="","",SUMIFS('Web Feed'!$O$2:$O$3015,'Web Feed'!$B$2:$B$3015,Points!$A$4,'Web Feed'!$F$2:$F$3015,$B241)+SUMIFS('Web Feed'!$O$2:$O$3015,'Web Feed'!$B$2:$B$3015,Points!$A$4,'Web Feed'!$G$2:$G$3015,$B241)+SUMIFS('Web Feed'!$O$2:$O$3015,'Web Feed'!$B$2:$B$3015,Points!$A$4,'Web Feed'!$H$2:$H$3015,$B241)+SUMIFS('Web Feed'!$O$2:$O$3015,'Web Feed'!$B$2:$B$3015,Points!$A$4,'Web Feed'!$I$2:$I$3015,$B241))</f>
        <v/>
      </c>
      <c r="G241">
        <f>IF($B241="","",SUMIFS('Web Feed'!$O$2:$O$3015,'Web Feed'!$B$2:$B$3015,Points!$A$5,'Web Feed'!$F$2:$F$3015,$B241)+SUMIFS('Web Feed'!$O$2:$O$3015,'Web Feed'!$B$2:$B$3015,Points!$A$5,'Web Feed'!$G$2:$G$3015,$B241)+SUMIFS('Web Feed'!$O$2:$O$3015,'Web Feed'!$B$2:$B$3015,Points!$A$5,'Web Feed'!$H$2:$H$3015,$B241)+SUMIFS('Web Feed'!$O$2:$O$3015,'Web Feed'!$B$2:$B$3015,Points!$A$5,'Web Feed'!$I$2:$I$3015,$B241))</f>
        <v/>
      </c>
      <c r="H241">
        <f>IF($B241="","",SUMIFS('Web Feed'!$O$2:$O$3015,'Web Feed'!$B$2:$B$3015,Points!$A$6,'Web Feed'!$F$2:$F$3015,$B241)+SUMIFS('Web Feed'!$O$2:$O$3015,'Web Feed'!$B$2:$B$3015,Points!$A$6,'Web Feed'!$G$2:$G$3015,$B241)+SUMIFS('Web Feed'!$O$2:$O$3015,'Web Feed'!$B$2:$B$3015,Points!$A$6,'Web Feed'!$H$2:$H$3015,$B241)+SUMIFS('Web Feed'!$O$2:$O$3015,'Web Feed'!$B$2:$B$3015,Points!$A$6,'Web Feed'!$I$2:$I$3015,$B241))</f>
        <v/>
      </c>
      <c r="I241">
        <f>IF($B241="","",COUNTIFS('Web Feed'!$B$2:$B$3015,"OHW",'Web Feed'!$F$2:$F$3015,$B241))</f>
        <v/>
      </c>
      <c r="J241">
        <f>IF($B241="","",IFERROR(INDEX('Last Week'!$A$2:$A$301,MATCH($B241,'Last Week'!$B$2:$B$301,0)),""))</f>
        <v/>
      </c>
      <c r="K241">
        <f>IF(OR($B241="",$J241=""),"",$J241-$A241)</f>
        <v/>
      </c>
    </row>
    <row r="242">
      <c r="A242">
        <f>IF($B242="","",RANK($C242,$C$2:$C$500))</f>
        <v/>
      </c>
      <c r="B242">
        <f>IF(Players!$A242="","",Players!$A242)</f>
        <v/>
      </c>
      <c r="C242" s="5">
        <f>IF($B242="","",SUM(D242:H242))</f>
        <v/>
      </c>
      <c r="D242">
        <f>IF($B242="","",SUMIFS('Web Feed'!$O$2:$O$3015,'Web Feed'!$B$2:$B$3015,Points!$A$2,'Web Feed'!$F$2:$F$3015,$B242)+SUMIFS('Web Feed'!$O$2:$O$3015,'Web Feed'!$B$2:$B$3015,Points!$A$2,'Web Feed'!$G$2:$G$3015,$B242)+SUMIFS('Web Feed'!$O$2:$O$3015,'Web Feed'!$B$2:$B$3015,Points!$A$2,'Web Feed'!$H$2:$H$3015,$B242)+SUMIFS('Web Feed'!$O$2:$O$3015,'Web Feed'!$B$2:$B$3015,Points!$A$2,'Web Feed'!$I$2:$I$3015,$B242))</f>
        <v/>
      </c>
      <c r="E242">
        <f>IF($B242="","",SUMIFS('Web Feed'!$O$2:$O$3015,'Web Feed'!$B$2:$B$3015,Points!$A$3,'Web Feed'!$F$2:$F$3015,$B242)+SUMIFS('Web Feed'!$O$2:$O$3015,'Web Feed'!$B$2:$B$3015,Points!$A$3,'Web Feed'!$G$2:$G$3015,$B242)+SUMIFS('Web Feed'!$O$2:$O$3015,'Web Feed'!$B$2:$B$3015,Points!$A$3,'Web Feed'!$H$2:$H$3015,$B242)+SUMIFS('Web Feed'!$O$2:$O$3015,'Web Feed'!$B$2:$B$3015,Points!$A$3,'Web Feed'!$I$2:$I$3015,$B242))</f>
        <v/>
      </c>
      <c r="F242">
        <f>IF($B242="","",SUMIFS('Web Feed'!$O$2:$O$3015,'Web Feed'!$B$2:$B$3015,Points!$A$4,'Web Feed'!$F$2:$F$3015,$B242)+SUMIFS('Web Feed'!$O$2:$O$3015,'Web Feed'!$B$2:$B$3015,Points!$A$4,'Web Feed'!$G$2:$G$3015,$B242)+SUMIFS('Web Feed'!$O$2:$O$3015,'Web Feed'!$B$2:$B$3015,Points!$A$4,'Web Feed'!$H$2:$H$3015,$B242)+SUMIFS('Web Feed'!$O$2:$O$3015,'Web Feed'!$B$2:$B$3015,Points!$A$4,'Web Feed'!$I$2:$I$3015,$B242))</f>
        <v/>
      </c>
      <c r="G242">
        <f>IF($B242="","",SUMIFS('Web Feed'!$O$2:$O$3015,'Web Feed'!$B$2:$B$3015,Points!$A$5,'Web Feed'!$F$2:$F$3015,$B242)+SUMIFS('Web Feed'!$O$2:$O$3015,'Web Feed'!$B$2:$B$3015,Points!$A$5,'Web Feed'!$G$2:$G$3015,$B242)+SUMIFS('Web Feed'!$O$2:$O$3015,'Web Feed'!$B$2:$B$3015,Points!$A$5,'Web Feed'!$H$2:$H$3015,$B242)+SUMIFS('Web Feed'!$O$2:$O$3015,'Web Feed'!$B$2:$B$3015,Points!$A$5,'Web Feed'!$I$2:$I$3015,$B242))</f>
        <v/>
      </c>
      <c r="H242">
        <f>IF($B242="","",SUMIFS('Web Feed'!$O$2:$O$3015,'Web Feed'!$B$2:$B$3015,Points!$A$6,'Web Feed'!$F$2:$F$3015,$B242)+SUMIFS('Web Feed'!$O$2:$O$3015,'Web Feed'!$B$2:$B$3015,Points!$A$6,'Web Feed'!$G$2:$G$3015,$B242)+SUMIFS('Web Feed'!$O$2:$O$3015,'Web Feed'!$B$2:$B$3015,Points!$A$6,'Web Feed'!$H$2:$H$3015,$B242)+SUMIFS('Web Feed'!$O$2:$O$3015,'Web Feed'!$B$2:$B$3015,Points!$A$6,'Web Feed'!$I$2:$I$3015,$B242))</f>
        <v/>
      </c>
      <c r="I242">
        <f>IF($B242="","",COUNTIFS('Web Feed'!$B$2:$B$3015,"OHW",'Web Feed'!$F$2:$F$3015,$B242))</f>
        <v/>
      </c>
      <c r="J242">
        <f>IF($B242="","",IFERROR(INDEX('Last Week'!$A$2:$A$301,MATCH($B242,'Last Week'!$B$2:$B$301,0)),""))</f>
        <v/>
      </c>
      <c r="K242">
        <f>IF(OR($B242="",$J242=""),"",$J242-$A242)</f>
        <v/>
      </c>
    </row>
    <row r="243">
      <c r="A243">
        <f>IF($B243="","",RANK($C243,$C$2:$C$500))</f>
        <v/>
      </c>
      <c r="B243">
        <f>IF(Players!$A243="","",Players!$A243)</f>
        <v/>
      </c>
      <c r="C243" s="5">
        <f>IF($B243="","",SUM(D243:H243))</f>
        <v/>
      </c>
      <c r="D243">
        <f>IF($B243="","",SUMIFS('Web Feed'!$O$2:$O$3015,'Web Feed'!$B$2:$B$3015,Points!$A$2,'Web Feed'!$F$2:$F$3015,$B243)+SUMIFS('Web Feed'!$O$2:$O$3015,'Web Feed'!$B$2:$B$3015,Points!$A$2,'Web Feed'!$G$2:$G$3015,$B243)+SUMIFS('Web Feed'!$O$2:$O$3015,'Web Feed'!$B$2:$B$3015,Points!$A$2,'Web Feed'!$H$2:$H$3015,$B243)+SUMIFS('Web Feed'!$O$2:$O$3015,'Web Feed'!$B$2:$B$3015,Points!$A$2,'Web Feed'!$I$2:$I$3015,$B243))</f>
        <v/>
      </c>
      <c r="E243">
        <f>IF($B243="","",SUMIFS('Web Feed'!$O$2:$O$3015,'Web Feed'!$B$2:$B$3015,Points!$A$3,'Web Feed'!$F$2:$F$3015,$B243)+SUMIFS('Web Feed'!$O$2:$O$3015,'Web Feed'!$B$2:$B$3015,Points!$A$3,'Web Feed'!$G$2:$G$3015,$B243)+SUMIFS('Web Feed'!$O$2:$O$3015,'Web Feed'!$B$2:$B$3015,Points!$A$3,'Web Feed'!$H$2:$H$3015,$B243)+SUMIFS('Web Feed'!$O$2:$O$3015,'Web Feed'!$B$2:$B$3015,Points!$A$3,'Web Feed'!$I$2:$I$3015,$B243))</f>
        <v/>
      </c>
      <c r="F243">
        <f>IF($B243="","",SUMIFS('Web Feed'!$O$2:$O$3015,'Web Feed'!$B$2:$B$3015,Points!$A$4,'Web Feed'!$F$2:$F$3015,$B243)+SUMIFS('Web Feed'!$O$2:$O$3015,'Web Feed'!$B$2:$B$3015,Points!$A$4,'Web Feed'!$G$2:$G$3015,$B243)+SUMIFS('Web Feed'!$O$2:$O$3015,'Web Feed'!$B$2:$B$3015,Points!$A$4,'Web Feed'!$H$2:$H$3015,$B243)+SUMIFS('Web Feed'!$O$2:$O$3015,'Web Feed'!$B$2:$B$3015,Points!$A$4,'Web Feed'!$I$2:$I$3015,$B243))</f>
        <v/>
      </c>
      <c r="G243">
        <f>IF($B243="","",SUMIFS('Web Feed'!$O$2:$O$3015,'Web Feed'!$B$2:$B$3015,Points!$A$5,'Web Feed'!$F$2:$F$3015,$B243)+SUMIFS('Web Feed'!$O$2:$O$3015,'Web Feed'!$B$2:$B$3015,Points!$A$5,'Web Feed'!$G$2:$G$3015,$B243)+SUMIFS('Web Feed'!$O$2:$O$3015,'Web Feed'!$B$2:$B$3015,Points!$A$5,'Web Feed'!$H$2:$H$3015,$B243)+SUMIFS('Web Feed'!$O$2:$O$3015,'Web Feed'!$B$2:$B$3015,Points!$A$5,'Web Feed'!$I$2:$I$3015,$B243))</f>
        <v/>
      </c>
      <c r="H243">
        <f>IF($B243="","",SUMIFS('Web Feed'!$O$2:$O$3015,'Web Feed'!$B$2:$B$3015,Points!$A$6,'Web Feed'!$F$2:$F$3015,$B243)+SUMIFS('Web Feed'!$O$2:$O$3015,'Web Feed'!$B$2:$B$3015,Points!$A$6,'Web Feed'!$G$2:$G$3015,$B243)+SUMIFS('Web Feed'!$O$2:$O$3015,'Web Feed'!$B$2:$B$3015,Points!$A$6,'Web Feed'!$H$2:$H$3015,$B243)+SUMIFS('Web Feed'!$O$2:$O$3015,'Web Feed'!$B$2:$B$3015,Points!$A$6,'Web Feed'!$I$2:$I$3015,$B243))</f>
        <v/>
      </c>
      <c r="I243">
        <f>IF($B243="","",COUNTIFS('Web Feed'!$B$2:$B$3015,"OHW",'Web Feed'!$F$2:$F$3015,$B243))</f>
        <v/>
      </c>
      <c r="J243">
        <f>IF($B243="","",IFERROR(INDEX('Last Week'!$A$2:$A$301,MATCH($B243,'Last Week'!$B$2:$B$301,0)),""))</f>
        <v/>
      </c>
      <c r="K243">
        <f>IF(OR($B243="",$J243=""),"",$J243-$A243)</f>
        <v/>
      </c>
    </row>
    <row r="244">
      <c r="A244">
        <f>IF($B244="","",RANK($C244,$C$2:$C$500))</f>
        <v/>
      </c>
      <c r="B244">
        <f>IF(Players!$A244="","",Players!$A244)</f>
        <v/>
      </c>
      <c r="C244" s="5">
        <f>IF($B244="","",SUM(D244:H244))</f>
        <v/>
      </c>
      <c r="D244">
        <f>IF($B244="","",SUMIFS('Web Feed'!$O$2:$O$3015,'Web Feed'!$B$2:$B$3015,Points!$A$2,'Web Feed'!$F$2:$F$3015,$B244)+SUMIFS('Web Feed'!$O$2:$O$3015,'Web Feed'!$B$2:$B$3015,Points!$A$2,'Web Feed'!$G$2:$G$3015,$B244)+SUMIFS('Web Feed'!$O$2:$O$3015,'Web Feed'!$B$2:$B$3015,Points!$A$2,'Web Feed'!$H$2:$H$3015,$B244)+SUMIFS('Web Feed'!$O$2:$O$3015,'Web Feed'!$B$2:$B$3015,Points!$A$2,'Web Feed'!$I$2:$I$3015,$B244))</f>
        <v/>
      </c>
      <c r="E244">
        <f>IF($B244="","",SUMIFS('Web Feed'!$O$2:$O$3015,'Web Feed'!$B$2:$B$3015,Points!$A$3,'Web Feed'!$F$2:$F$3015,$B244)+SUMIFS('Web Feed'!$O$2:$O$3015,'Web Feed'!$B$2:$B$3015,Points!$A$3,'Web Feed'!$G$2:$G$3015,$B244)+SUMIFS('Web Feed'!$O$2:$O$3015,'Web Feed'!$B$2:$B$3015,Points!$A$3,'Web Feed'!$H$2:$H$3015,$B244)+SUMIFS('Web Feed'!$O$2:$O$3015,'Web Feed'!$B$2:$B$3015,Points!$A$3,'Web Feed'!$I$2:$I$3015,$B244))</f>
        <v/>
      </c>
      <c r="F244">
        <f>IF($B244="","",SUMIFS('Web Feed'!$O$2:$O$3015,'Web Feed'!$B$2:$B$3015,Points!$A$4,'Web Feed'!$F$2:$F$3015,$B244)+SUMIFS('Web Feed'!$O$2:$O$3015,'Web Feed'!$B$2:$B$3015,Points!$A$4,'Web Feed'!$G$2:$G$3015,$B244)+SUMIFS('Web Feed'!$O$2:$O$3015,'Web Feed'!$B$2:$B$3015,Points!$A$4,'Web Feed'!$H$2:$H$3015,$B244)+SUMIFS('Web Feed'!$O$2:$O$3015,'Web Feed'!$B$2:$B$3015,Points!$A$4,'Web Feed'!$I$2:$I$3015,$B244))</f>
        <v/>
      </c>
      <c r="G244">
        <f>IF($B244="","",SUMIFS('Web Feed'!$O$2:$O$3015,'Web Feed'!$B$2:$B$3015,Points!$A$5,'Web Feed'!$F$2:$F$3015,$B244)+SUMIFS('Web Feed'!$O$2:$O$3015,'Web Feed'!$B$2:$B$3015,Points!$A$5,'Web Feed'!$G$2:$G$3015,$B244)+SUMIFS('Web Feed'!$O$2:$O$3015,'Web Feed'!$B$2:$B$3015,Points!$A$5,'Web Feed'!$H$2:$H$3015,$B244)+SUMIFS('Web Feed'!$O$2:$O$3015,'Web Feed'!$B$2:$B$3015,Points!$A$5,'Web Feed'!$I$2:$I$3015,$B244))</f>
        <v/>
      </c>
      <c r="H244">
        <f>IF($B244="","",SUMIFS('Web Feed'!$O$2:$O$3015,'Web Feed'!$B$2:$B$3015,Points!$A$6,'Web Feed'!$F$2:$F$3015,$B244)+SUMIFS('Web Feed'!$O$2:$O$3015,'Web Feed'!$B$2:$B$3015,Points!$A$6,'Web Feed'!$G$2:$G$3015,$B244)+SUMIFS('Web Feed'!$O$2:$O$3015,'Web Feed'!$B$2:$B$3015,Points!$A$6,'Web Feed'!$H$2:$H$3015,$B244)+SUMIFS('Web Feed'!$O$2:$O$3015,'Web Feed'!$B$2:$B$3015,Points!$A$6,'Web Feed'!$I$2:$I$3015,$B244))</f>
        <v/>
      </c>
      <c r="I244">
        <f>IF($B244="","",COUNTIFS('Web Feed'!$B$2:$B$3015,"OHW",'Web Feed'!$F$2:$F$3015,$B244))</f>
        <v/>
      </c>
      <c r="J244">
        <f>IF($B244="","",IFERROR(INDEX('Last Week'!$A$2:$A$301,MATCH($B244,'Last Week'!$B$2:$B$301,0)),""))</f>
        <v/>
      </c>
      <c r="K244">
        <f>IF(OR($B244="",$J244=""),"",$J244-$A244)</f>
        <v/>
      </c>
    </row>
    <row r="245">
      <c r="A245">
        <f>IF($B245="","",RANK($C245,$C$2:$C$500))</f>
        <v/>
      </c>
      <c r="B245">
        <f>IF(Players!$A245="","",Players!$A245)</f>
        <v/>
      </c>
      <c r="C245" s="5">
        <f>IF($B245="","",SUM(D245:H245))</f>
        <v/>
      </c>
      <c r="D245">
        <f>IF($B245="","",SUMIFS('Web Feed'!$O$2:$O$3015,'Web Feed'!$B$2:$B$3015,Points!$A$2,'Web Feed'!$F$2:$F$3015,$B245)+SUMIFS('Web Feed'!$O$2:$O$3015,'Web Feed'!$B$2:$B$3015,Points!$A$2,'Web Feed'!$G$2:$G$3015,$B245)+SUMIFS('Web Feed'!$O$2:$O$3015,'Web Feed'!$B$2:$B$3015,Points!$A$2,'Web Feed'!$H$2:$H$3015,$B245)+SUMIFS('Web Feed'!$O$2:$O$3015,'Web Feed'!$B$2:$B$3015,Points!$A$2,'Web Feed'!$I$2:$I$3015,$B245))</f>
        <v/>
      </c>
      <c r="E245">
        <f>IF($B245="","",SUMIFS('Web Feed'!$O$2:$O$3015,'Web Feed'!$B$2:$B$3015,Points!$A$3,'Web Feed'!$F$2:$F$3015,$B245)+SUMIFS('Web Feed'!$O$2:$O$3015,'Web Feed'!$B$2:$B$3015,Points!$A$3,'Web Feed'!$G$2:$G$3015,$B245)+SUMIFS('Web Feed'!$O$2:$O$3015,'Web Feed'!$B$2:$B$3015,Points!$A$3,'Web Feed'!$H$2:$H$3015,$B245)+SUMIFS('Web Feed'!$O$2:$O$3015,'Web Feed'!$B$2:$B$3015,Points!$A$3,'Web Feed'!$I$2:$I$3015,$B245))</f>
        <v/>
      </c>
      <c r="F245">
        <f>IF($B245="","",SUMIFS('Web Feed'!$O$2:$O$3015,'Web Feed'!$B$2:$B$3015,Points!$A$4,'Web Feed'!$F$2:$F$3015,$B245)+SUMIFS('Web Feed'!$O$2:$O$3015,'Web Feed'!$B$2:$B$3015,Points!$A$4,'Web Feed'!$G$2:$G$3015,$B245)+SUMIFS('Web Feed'!$O$2:$O$3015,'Web Feed'!$B$2:$B$3015,Points!$A$4,'Web Feed'!$H$2:$H$3015,$B245)+SUMIFS('Web Feed'!$O$2:$O$3015,'Web Feed'!$B$2:$B$3015,Points!$A$4,'Web Feed'!$I$2:$I$3015,$B245))</f>
        <v/>
      </c>
      <c r="G245">
        <f>IF($B245="","",SUMIFS('Web Feed'!$O$2:$O$3015,'Web Feed'!$B$2:$B$3015,Points!$A$5,'Web Feed'!$F$2:$F$3015,$B245)+SUMIFS('Web Feed'!$O$2:$O$3015,'Web Feed'!$B$2:$B$3015,Points!$A$5,'Web Feed'!$G$2:$G$3015,$B245)+SUMIFS('Web Feed'!$O$2:$O$3015,'Web Feed'!$B$2:$B$3015,Points!$A$5,'Web Feed'!$H$2:$H$3015,$B245)+SUMIFS('Web Feed'!$O$2:$O$3015,'Web Feed'!$B$2:$B$3015,Points!$A$5,'Web Feed'!$I$2:$I$3015,$B245))</f>
        <v/>
      </c>
      <c r="H245">
        <f>IF($B245="","",SUMIFS('Web Feed'!$O$2:$O$3015,'Web Feed'!$B$2:$B$3015,Points!$A$6,'Web Feed'!$F$2:$F$3015,$B245)+SUMIFS('Web Feed'!$O$2:$O$3015,'Web Feed'!$B$2:$B$3015,Points!$A$6,'Web Feed'!$G$2:$G$3015,$B245)+SUMIFS('Web Feed'!$O$2:$O$3015,'Web Feed'!$B$2:$B$3015,Points!$A$6,'Web Feed'!$H$2:$H$3015,$B245)+SUMIFS('Web Feed'!$O$2:$O$3015,'Web Feed'!$B$2:$B$3015,Points!$A$6,'Web Feed'!$I$2:$I$3015,$B245))</f>
        <v/>
      </c>
      <c r="I245">
        <f>IF($B245="","",COUNTIFS('Web Feed'!$B$2:$B$3015,"OHW",'Web Feed'!$F$2:$F$3015,$B245))</f>
        <v/>
      </c>
      <c r="J245">
        <f>IF($B245="","",IFERROR(INDEX('Last Week'!$A$2:$A$301,MATCH($B245,'Last Week'!$B$2:$B$301,0)),""))</f>
        <v/>
      </c>
      <c r="K245">
        <f>IF(OR($B245="",$J245=""),"",$J245-$A245)</f>
        <v/>
      </c>
    </row>
    <row r="246">
      <c r="A246">
        <f>IF($B246="","",RANK($C246,$C$2:$C$500))</f>
        <v/>
      </c>
      <c r="B246">
        <f>IF(Players!$A246="","",Players!$A246)</f>
        <v/>
      </c>
      <c r="C246" s="5">
        <f>IF($B246="","",SUM(D246:H246))</f>
        <v/>
      </c>
      <c r="D246">
        <f>IF($B246="","",SUMIFS('Web Feed'!$O$2:$O$3015,'Web Feed'!$B$2:$B$3015,Points!$A$2,'Web Feed'!$F$2:$F$3015,$B246)+SUMIFS('Web Feed'!$O$2:$O$3015,'Web Feed'!$B$2:$B$3015,Points!$A$2,'Web Feed'!$G$2:$G$3015,$B246)+SUMIFS('Web Feed'!$O$2:$O$3015,'Web Feed'!$B$2:$B$3015,Points!$A$2,'Web Feed'!$H$2:$H$3015,$B246)+SUMIFS('Web Feed'!$O$2:$O$3015,'Web Feed'!$B$2:$B$3015,Points!$A$2,'Web Feed'!$I$2:$I$3015,$B246))</f>
        <v/>
      </c>
      <c r="E246">
        <f>IF($B246="","",SUMIFS('Web Feed'!$O$2:$O$3015,'Web Feed'!$B$2:$B$3015,Points!$A$3,'Web Feed'!$F$2:$F$3015,$B246)+SUMIFS('Web Feed'!$O$2:$O$3015,'Web Feed'!$B$2:$B$3015,Points!$A$3,'Web Feed'!$G$2:$G$3015,$B246)+SUMIFS('Web Feed'!$O$2:$O$3015,'Web Feed'!$B$2:$B$3015,Points!$A$3,'Web Feed'!$H$2:$H$3015,$B246)+SUMIFS('Web Feed'!$O$2:$O$3015,'Web Feed'!$B$2:$B$3015,Points!$A$3,'Web Feed'!$I$2:$I$3015,$B246))</f>
        <v/>
      </c>
      <c r="F246">
        <f>IF($B246="","",SUMIFS('Web Feed'!$O$2:$O$3015,'Web Feed'!$B$2:$B$3015,Points!$A$4,'Web Feed'!$F$2:$F$3015,$B246)+SUMIFS('Web Feed'!$O$2:$O$3015,'Web Feed'!$B$2:$B$3015,Points!$A$4,'Web Feed'!$G$2:$G$3015,$B246)+SUMIFS('Web Feed'!$O$2:$O$3015,'Web Feed'!$B$2:$B$3015,Points!$A$4,'Web Feed'!$H$2:$H$3015,$B246)+SUMIFS('Web Feed'!$O$2:$O$3015,'Web Feed'!$B$2:$B$3015,Points!$A$4,'Web Feed'!$I$2:$I$3015,$B246))</f>
        <v/>
      </c>
      <c r="G246">
        <f>IF($B246="","",SUMIFS('Web Feed'!$O$2:$O$3015,'Web Feed'!$B$2:$B$3015,Points!$A$5,'Web Feed'!$F$2:$F$3015,$B246)+SUMIFS('Web Feed'!$O$2:$O$3015,'Web Feed'!$B$2:$B$3015,Points!$A$5,'Web Feed'!$G$2:$G$3015,$B246)+SUMIFS('Web Feed'!$O$2:$O$3015,'Web Feed'!$B$2:$B$3015,Points!$A$5,'Web Feed'!$H$2:$H$3015,$B246)+SUMIFS('Web Feed'!$O$2:$O$3015,'Web Feed'!$B$2:$B$3015,Points!$A$5,'Web Feed'!$I$2:$I$3015,$B246))</f>
        <v/>
      </c>
      <c r="H246">
        <f>IF($B246="","",SUMIFS('Web Feed'!$O$2:$O$3015,'Web Feed'!$B$2:$B$3015,Points!$A$6,'Web Feed'!$F$2:$F$3015,$B246)+SUMIFS('Web Feed'!$O$2:$O$3015,'Web Feed'!$B$2:$B$3015,Points!$A$6,'Web Feed'!$G$2:$G$3015,$B246)+SUMIFS('Web Feed'!$O$2:$O$3015,'Web Feed'!$B$2:$B$3015,Points!$A$6,'Web Feed'!$H$2:$H$3015,$B246)+SUMIFS('Web Feed'!$O$2:$O$3015,'Web Feed'!$B$2:$B$3015,Points!$A$6,'Web Feed'!$I$2:$I$3015,$B246))</f>
        <v/>
      </c>
      <c r="I246">
        <f>IF($B246="","",COUNTIFS('Web Feed'!$B$2:$B$3015,"OHW",'Web Feed'!$F$2:$F$3015,$B246))</f>
        <v/>
      </c>
      <c r="J246">
        <f>IF($B246="","",IFERROR(INDEX('Last Week'!$A$2:$A$301,MATCH($B246,'Last Week'!$B$2:$B$301,0)),""))</f>
        <v/>
      </c>
      <c r="K246">
        <f>IF(OR($B246="",$J246=""),"",$J246-$A246)</f>
        <v/>
      </c>
    </row>
    <row r="247">
      <c r="A247">
        <f>IF($B247="","",RANK($C247,$C$2:$C$500))</f>
        <v/>
      </c>
      <c r="B247">
        <f>IF(Players!$A247="","",Players!$A247)</f>
        <v/>
      </c>
      <c r="C247" s="5">
        <f>IF($B247="","",SUM(D247:H247))</f>
        <v/>
      </c>
      <c r="D247">
        <f>IF($B247="","",SUMIFS('Web Feed'!$O$2:$O$3015,'Web Feed'!$B$2:$B$3015,Points!$A$2,'Web Feed'!$F$2:$F$3015,$B247)+SUMIFS('Web Feed'!$O$2:$O$3015,'Web Feed'!$B$2:$B$3015,Points!$A$2,'Web Feed'!$G$2:$G$3015,$B247)+SUMIFS('Web Feed'!$O$2:$O$3015,'Web Feed'!$B$2:$B$3015,Points!$A$2,'Web Feed'!$H$2:$H$3015,$B247)+SUMIFS('Web Feed'!$O$2:$O$3015,'Web Feed'!$B$2:$B$3015,Points!$A$2,'Web Feed'!$I$2:$I$3015,$B247))</f>
        <v/>
      </c>
      <c r="E247">
        <f>IF($B247="","",SUMIFS('Web Feed'!$O$2:$O$3015,'Web Feed'!$B$2:$B$3015,Points!$A$3,'Web Feed'!$F$2:$F$3015,$B247)+SUMIFS('Web Feed'!$O$2:$O$3015,'Web Feed'!$B$2:$B$3015,Points!$A$3,'Web Feed'!$G$2:$G$3015,$B247)+SUMIFS('Web Feed'!$O$2:$O$3015,'Web Feed'!$B$2:$B$3015,Points!$A$3,'Web Feed'!$H$2:$H$3015,$B247)+SUMIFS('Web Feed'!$O$2:$O$3015,'Web Feed'!$B$2:$B$3015,Points!$A$3,'Web Feed'!$I$2:$I$3015,$B247))</f>
        <v/>
      </c>
      <c r="F247">
        <f>IF($B247="","",SUMIFS('Web Feed'!$O$2:$O$3015,'Web Feed'!$B$2:$B$3015,Points!$A$4,'Web Feed'!$F$2:$F$3015,$B247)+SUMIFS('Web Feed'!$O$2:$O$3015,'Web Feed'!$B$2:$B$3015,Points!$A$4,'Web Feed'!$G$2:$G$3015,$B247)+SUMIFS('Web Feed'!$O$2:$O$3015,'Web Feed'!$B$2:$B$3015,Points!$A$4,'Web Feed'!$H$2:$H$3015,$B247)+SUMIFS('Web Feed'!$O$2:$O$3015,'Web Feed'!$B$2:$B$3015,Points!$A$4,'Web Feed'!$I$2:$I$3015,$B247))</f>
        <v/>
      </c>
      <c r="G247">
        <f>IF($B247="","",SUMIFS('Web Feed'!$O$2:$O$3015,'Web Feed'!$B$2:$B$3015,Points!$A$5,'Web Feed'!$F$2:$F$3015,$B247)+SUMIFS('Web Feed'!$O$2:$O$3015,'Web Feed'!$B$2:$B$3015,Points!$A$5,'Web Feed'!$G$2:$G$3015,$B247)+SUMIFS('Web Feed'!$O$2:$O$3015,'Web Feed'!$B$2:$B$3015,Points!$A$5,'Web Feed'!$H$2:$H$3015,$B247)+SUMIFS('Web Feed'!$O$2:$O$3015,'Web Feed'!$B$2:$B$3015,Points!$A$5,'Web Feed'!$I$2:$I$3015,$B247))</f>
        <v/>
      </c>
      <c r="H247">
        <f>IF($B247="","",SUMIFS('Web Feed'!$O$2:$O$3015,'Web Feed'!$B$2:$B$3015,Points!$A$6,'Web Feed'!$F$2:$F$3015,$B247)+SUMIFS('Web Feed'!$O$2:$O$3015,'Web Feed'!$B$2:$B$3015,Points!$A$6,'Web Feed'!$G$2:$G$3015,$B247)+SUMIFS('Web Feed'!$O$2:$O$3015,'Web Feed'!$B$2:$B$3015,Points!$A$6,'Web Feed'!$H$2:$H$3015,$B247)+SUMIFS('Web Feed'!$O$2:$O$3015,'Web Feed'!$B$2:$B$3015,Points!$A$6,'Web Feed'!$I$2:$I$3015,$B247))</f>
        <v/>
      </c>
      <c r="I247">
        <f>IF($B247="","",COUNTIFS('Web Feed'!$B$2:$B$3015,"OHW",'Web Feed'!$F$2:$F$3015,$B247))</f>
        <v/>
      </c>
      <c r="J247">
        <f>IF($B247="","",IFERROR(INDEX('Last Week'!$A$2:$A$301,MATCH($B247,'Last Week'!$B$2:$B$301,0)),""))</f>
        <v/>
      </c>
      <c r="K247">
        <f>IF(OR($B247="",$J247=""),"",$J247-$A247)</f>
        <v/>
      </c>
    </row>
    <row r="248">
      <c r="A248">
        <f>IF($B248="","",RANK($C248,$C$2:$C$500))</f>
        <v/>
      </c>
      <c r="B248">
        <f>IF(Players!$A248="","",Players!$A248)</f>
        <v/>
      </c>
      <c r="C248" s="5">
        <f>IF($B248="","",SUM(D248:H248))</f>
        <v/>
      </c>
      <c r="D248">
        <f>IF($B248="","",SUMIFS('Web Feed'!$O$2:$O$3015,'Web Feed'!$B$2:$B$3015,Points!$A$2,'Web Feed'!$F$2:$F$3015,$B248)+SUMIFS('Web Feed'!$O$2:$O$3015,'Web Feed'!$B$2:$B$3015,Points!$A$2,'Web Feed'!$G$2:$G$3015,$B248)+SUMIFS('Web Feed'!$O$2:$O$3015,'Web Feed'!$B$2:$B$3015,Points!$A$2,'Web Feed'!$H$2:$H$3015,$B248)+SUMIFS('Web Feed'!$O$2:$O$3015,'Web Feed'!$B$2:$B$3015,Points!$A$2,'Web Feed'!$I$2:$I$3015,$B248))</f>
        <v/>
      </c>
      <c r="E248">
        <f>IF($B248="","",SUMIFS('Web Feed'!$O$2:$O$3015,'Web Feed'!$B$2:$B$3015,Points!$A$3,'Web Feed'!$F$2:$F$3015,$B248)+SUMIFS('Web Feed'!$O$2:$O$3015,'Web Feed'!$B$2:$B$3015,Points!$A$3,'Web Feed'!$G$2:$G$3015,$B248)+SUMIFS('Web Feed'!$O$2:$O$3015,'Web Feed'!$B$2:$B$3015,Points!$A$3,'Web Feed'!$H$2:$H$3015,$B248)+SUMIFS('Web Feed'!$O$2:$O$3015,'Web Feed'!$B$2:$B$3015,Points!$A$3,'Web Feed'!$I$2:$I$3015,$B248))</f>
        <v/>
      </c>
      <c r="F248">
        <f>IF($B248="","",SUMIFS('Web Feed'!$O$2:$O$3015,'Web Feed'!$B$2:$B$3015,Points!$A$4,'Web Feed'!$F$2:$F$3015,$B248)+SUMIFS('Web Feed'!$O$2:$O$3015,'Web Feed'!$B$2:$B$3015,Points!$A$4,'Web Feed'!$G$2:$G$3015,$B248)+SUMIFS('Web Feed'!$O$2:$O$3015,'Web Feed'!$B$2:$B$3015,Points!$A$4,'Web Feed'!$H$2:$H$3015,$B248)+SUMIFS('Web Feed'!$O$2:$O$3015,'Web Feed'!$B$2:$B$3015,Points!$A$4,'Web Feed'!$I$2:$I$3015,$B248))</f>
        <v/>
      </c>
      <c r="G248">
        <f>IF($B248="","",SUMIFS('Web Feed'!$O$2:$O$3015,'Web Feed'!$B$2:$B$3015,Points!$A$5,'Web Feed'!$F$2:$F$3015,$B248)+SUMIFS('Web Feed'!$O$2:$O$3015,'Web Feed'!$B$2:$B$3015,Points!$A$5,'Web Feed'!$G$2:$G$3015,$B248)+SUMIFS('Web Feed'!$O$2:$O$3015,'Web Feed'!$B$2:$B$3015,Points!$A$5,'Web Feed'!$H$2:$H$3015,$B248)+SUMIFS('Web Feed'!$O$2:$O$3015,'Web Feed'!$B$2:$B$3015,Points!$A$5,'Web Feed'!$I$2:$I$3015,$B248))</f>
        <v/>
      </c>
      <c r="H248">
        <f>IF($B248="","",SUMIFS('Web Feed'!$O$2:$O$3015,'Web Feed'!$B$2:$B$3015,Points!$A$6,'Web Feed'!$F$2:$F$3015,$B248)+SUMIFS('Web Feed'!$O$2:$O$3015,'Web Feed'!$B$2:$B$3015,Points!$A$6,'Web Feed'!$G$2:$G$3015,$B248)+SUMIFS('Web Feed'!$O$2:$O$3015,'Web Feed'!$B$2:$B$3015,Points!$A$6,'Web Feed'!$H$2:$H$3015,$B248)+SUMIFS('Web Feed'!$O$2:$O$3015,'Web Feed'!$B$2:$B$3015,Points!$A$6,'Web Feed'!$I$2:$I$3015,$B248))</f>
        <v/>
      </c>
      <c r="I248">
        <f>IF($B248="","",COUNTIFS('Web Feed'!$B$2:$B$3015,"OHW",'Web Feed'!$F$2:$F$3015,$B248))</f>
        <v/>
      </c>
      <c r="J248">
        <f>IF($B248="","",IFERROR(INDEX('Last Week'!$A$2:$A$301,MATCH($B248,'Last Week'!$B$2:$B$301,0)),""))</f>
        <v/>
      </c>
      <c r="K248">
        <f>IF(OR($B248="",$J248=""),"",$J248-$A248)</f>
        <v/>
      </c>
    </row>
    <row r="249">
      <c r="A249">
        <f>IF($B249="","",RANK($C249,$C$2:$C$500))</f>
        <v/>
      </c>
      <c r="B249">
        <f>IF(Players!$A249="","",Players!$A249)</f>
        <v/>
      </c>
      <c r="C249" s="5">
        <f>IF($B249="","",SUM(D249:H249))</f>
        <v/>
      </c>
      <c r="D249">
        <f>IF($B249="","",SUMIFS('Web Feed'!$O$2:$O$3015,'Web Feed'!$B$2:$B$3015,Points!$A$2,'Web Feed'!$F$2:$F$3015,$B249)+SUMIFS('Web Feed'!$O$2:$O$3015,'Web Feed'!$B$2:$B$3015,Points!$A$2,'Web Feed'!$G$2:$G$3015,$B249)+SUMIFS('Web Feed'!$O$2:$O$3015,'Web Feed'!$B$2:$B$3015,Points!$A$2,'Web Feed'!$H$2:$H$3015,$B249)+SUMIFS('Web Feed'!$O$2:$O$3015,'Web Feed'!$B$2:$B$3015,Points!$A$2,'Web Feed'!$I$2:$I$3015,$B249))</f>
        <v/>
      </c>
      <c r="E249">
        <f>IF($B249="","",SUMIFS('Web Feed'!$O$2:$O$3015,'Web Feed'!$B$2:$B$3015,Points!$A$3,'Web Feed'!$F$2:$F$3015,$B249)+SUMIFS('Web Feed'!$O$2:$O$3015,'Web Feed'!$B$2:$B$3015,Points!$A$3,'Web Feed'!$G$2:$G$3015,$B249)+SUMIFS('Web Feed'!$O$2:$O$3015,'Web Feed'!$B$2:$B$3015,Points!$A$3,'Web Feed'!$H$2:$H$3015,$B249)+SUMIFS('Web Feed'!$O$2:$O$3015,'Web Feed'!$B$2:$B$3015,Points!$A$3,'Web Feed'!$I$2:$I$3015,$B249))</f>
        <v/>
      </c>
      <c r="F249">
        <f>IF($B249="","",SUMIFS('Web Feed'!$O$2:$O$3015,'Web Feed'!$B$2:$B$3015,Points!$A$4,'Web Feed'!$F$2:$F$3015,$B249)+SUMIFS('Web Feed'!$O$2:$O$3015,'Web Feed'!$B$2:$B$3015,Points!$A$4,'Web Feed'!$G$2:$G$3015,$B249)+SUMIFS('Web Feed'!$O$2:$O$3015,'Web Feed'!$B$2:$B$3015,Points!$A$4,'Web Feed'!$H$2:$H$3015,$B249)+SUMIFS('Web Feed'!$O$2:$O$3015,'Web Feed'!$B$2:$B$3015,Points!$A$4,'Web Feed'!$I$2:$I$3015,$B249))</f>
        <v/>
      </c>
      <c r="G249">
        <f>IF($B249="","",SUMIFS('Web Feed'!$O$2:$O$3015,'Web Feed'!$B$2:$B$3015,Points!$A$5,'Web Feed'!$F$2:$F$3015,$B249)+SUMIFS('Web Feed'!$O$2:$O$3015,'Web Feed'!$B$2:$B$3015,Points!$A$5,'Web Feed'!$G$2:$G$3015,$B249)+SUMIFS('Web Feed'!$O$2:$O$3015,'Web Feed'!$B$2:$B$3015,Points!$A$5,'Web Feed'!$H$2:$H$3015,$B249)+SUMIFS('Web Feed'!$O$2:$O$3015,'Web Feed'!$B$2:$B$3015,Points!$A$5,'Web Feed'!$I$2:$I$3015,$B249))</f>
        <v/>
      </c>
      <c r="H249">
        <f>IF($B249="","",SUMIFS('Web Feed'!$O$2:$O$3015,'Web Feed'!$B$2:$B$3015,Points!$A$6,'Web Feed'!$F$2:$F$3015,$B249)+SUMIFS('Web Feed'!$O$2:$O$3015,'Web Feed'!$B$2:$B$3015,Points!$A$6,'Web Feed'!$G$2:$G$3015,$B249)+SUMIFS('Web Feed'!$O$2:$O$3015,'Web Feed'!$B$2:$B$3015,Points!$A$6,'Web Feed'!$H$2:$H$3015,$B249)+SUMIFS('Web Feed'!$O$2:$O$3015,'Web Feed'!$B$2:$B$3015,Points!$A$6,'Web Feed'!$I$2:$I$3015,$B249))</f>
        <v/>
      </c>
      <c r="I249">
        <f>IF($B249="","",COUNTIFS('Web Feed'!$B$2:$B$3015,"OHW",'Web Feed'!$F$2:$F$3015,$B249))</f>
        <v/>
      </c>
      <c r="J249">
        <f>IF($B249="","",IFERROR(INDEX('Last Week'!$A$2:$A$301,MATCH($B249,'Last Week'!$B$2:$B$301,0)),""))</f>
        <v/>
      </c>
      <c r="K249">
        <f>IF(OR($B249="",$J249=""),"",$J249-$A249)</f>
        <v/>
      </c>
    </row>
    <row r="250">
      <c r="A250">
        <f>IF($B250="","",RANK($C250,$C$2:$C$500))</f>
        <v/>
      </c>
      <c r="B250">
        <f>IF(Players!$A250="","",Players!$A250)</f>
        <v/>
      </c>
      <c r="C250" s="5">
        <f>IF($B250="","",SUM(D250:H250))</f>
        <v/>
      </c>
      <c r="D250">
        <f>IF($B250="","",SUMIFS('Web Feed'!$O$2:$O$3015,'Web Feed'!$B$2:$B$3015,Points!$A$2,'Web Feed'!$F$2:$F$3015,$B250)+SUMIFS('Web Feed'!$O$2:$O$3015,'Web Feed'!$B$2:$B$3015,Points!$A$2,'Web Feed'!$G$2:$G$3015,$B250)+SUMIFS('Web Feed'!$O$2:$O$3015,'Web Feed'!$B$2:$B$3015,Points!$A$2,'Web Feed'!$H$2:$H$3015,$B250)+SUMIFS('Web Feed'!$O$2:$O$3015,'Web Feed'!$B$2:$B$3015,Points!$A$2,'Web Feed'!$I$2:$I$3015,$B250))</f>
        <v/>
      </c>
      <c r="E250">
        <f>IF($B250="","",SUMIFS('Web Feed'!$O$2:$O$3015,'Web Feed'!$B$2:$B$3015,Points!$A$3,'Web Feed'!$F$2:$F$3015,$B250)+SUMIFS('Web Feed'!$O$2:$O$3015,'Web Feed'!$B$2:$B$3015,Points!$A$3,'Web Feed'!$G$2:$G$3015,$B250)+SUMIFS('Web Feed'!$O$2:$O$3015,'Web Feed'!$B$2:$B$3015,Points!$A$3,'Web Feed'!$H$2:$H$3015,$B250)+SUMIFS('Web Feed'!$O$2:$O$3015,'Web Feed'!$B$2:$B$3015,Points!$A$3,'Web Feed'!$I$2:$I$3015,$B250))</f>
        <v/>
      </c>
      <c r="F250">
        <f>IF($B250="","",SUMIFS('Web Feed'!$O$2:$O$3015,'Web Feed'!$B$2:$B$3015,Points!$A$4,'Web Feed'!$F$2:$F$3015,$B250)+SUMIFS('Web Feed'!$O$2:$O$3015,'Web Feed'!$B$2:$B$3015,Points!$A$4,'Web Feed'!$G$2:$G$3015,$B250)+SUMIFS('Web Feed'!$O$2:$O$3015,'Web Feed'!$B$2:$B$3015,Points!$A$4,'Web Feed'!$H$2:$H$3015,$B250)+SUMIFS('Web Feed'!$O$2:$O$3015,'Web Feed'!$B$2:$B$3015,Points!$A$4,'Web Feed'!$I$2:$I$3015,$B250))</f>
        <v/>
      </c>
      <c r="G250">
        <f>IF($B250="","",SUMIFS('Web Feed'!$O$2:$O$3015,'Web Feed'!$B$2:$B$3015,Points!$A$5,'Web Feed'!$F$2:$F$3015,$B250)+SUMIFS('Web Feed'!$O$2:$O$3015,'Web Feed'!$B$2:$B$3015,Points!$A$5,'Web Feed'!$G$2:$G$3015,$B250)+SUMIFS('Web Feed'!$O$2:$O$3015,'Web Feed'!$B$2:$B$3015,Points!$A$5,'Web Feed'!$H$2:$H$3015,$B250)+SUMIFS('Web Feed'!$O$2:$O$3015,'Web Feed'!$B$2:$B$3015,Points!$A$5,'Web Feed'!$I$2:$I$3015,$B250))</f>
        <v/>
      </c>
      <c r="H250">
        <f>IF($B250="","",SUMIFS('Web Feed'!$O$2:$O$3015,'Web Feed'!$B$2:$B$3015,Points!$A$6,'Web Feed'!$F$2:$F$3015,$B250)+SUMIFS('Web Feed'!$O$2:$O$3015,'Web Feed'!$B$2:$B$3015,Points!$A$6,'Web Feed'!$G$2:$G$3015,$B250)+SUMIFS('Web Feed'!$O$2:$O$3015,'Web Feed'!$B$2:$B$3015,Points!$A$6,'Web Feed'!$H$2:$H$3015,$B250)+SUMIFS('Web Feed'!$O$2:$O$3015,'Web Feed'!$B$2:$B$3015,Points!$A$6,'Web Feed'!$I$2:$I$3015,$B250))</f>
        <v/>
      </c>
      <c r="I250">
        <f>IF($B250="","",COUNTIFS('Web Feed'!$B$2:$B$3015,"OHW",'Web Feed'!$F$2:$F$3015,$B250))</f>
        <v/>
      </c>
      <c r="J250">
        <f>IF($B250="","",IFERROR(INDEX('Last Week'!$A$2:$A$301,MATCH($B250,'Last Week'!$B$2:$B$301,0)),""))</f>
        <v/>
      </c>
      <c r="K250">
        <f>IF(OR($B250="",$J250=""),"",$J250-$A250)</f>
        <v/>
      </c>
    </row>
    <row r="251">
      <c r="A251">
        <f>IF($B251="","",RANK($C251,$C$2:$C$500))</f>
        <v/>
      </c>
      <c r="B251">
        <f>IF(Players!$A251="","",Players!$A251)</f>
        <v/>
      </c>
      <c r="C251" s="5">
        <f>IF($B251="","",SUM(D251:H251))</f>
        <v/>
      </c>
      <c r="D251">
        <f>IF($B251="","",SUMIFS('Web Feed'!$O$2:$O$3015,'Web Feed'!$B$2:$B$3015,Points!$A$2,'Web Feed'!$F$2:$F$3015,$B251)+SUMIFS('Web Feed'!$O$2:$O$3015,'Web Feed'!$B$2:$B$3015,Points!$A$2,'Web Feed'!$G$2:$G$3015,$B251)+SUMIFS('Web Feed'!$O$2:$O$3015,'Web Feed'!$B$2:$B$3015,Points!$A$2,'Web Feed'!$H$2:$H$3015,$B251)+SUMIFS('Web Feed'!$O$2:$O$3015,'Web Feed'!$B$2:$B$3015,Points!$A$2,'Web Feed'!$I$2:$I$3015,$B251))</f>
        <v/>
      </c>
      <c r="E251">
        <f>IF($B251="","",SUMIFS('Web Feed'!$O$2:$O$3015,'Web Feed'!$B$2:$B$3015,Points!$A$3,'Web Feed'!$F$2:$F$3015,$B251)+SUMIFS('Web Feed'!$O$2:$O$3015,'Web Feed'!$B$2:$B$3015,Points!$A$3,'Web Feed'!$G$2:$G$3015,$B251)+SUMIFS('Web Feed'!$O$2:$O$3015,'Web Feed'!$B$2:$B$3015,Points!$A$3,'Web Feed'!$H$2:$H$3015,$B251)+SUMIFS('Web Feed'!$O$2:$O$3015,'Web Feed'!$B$2:$B$3015,Points!$A$3,'Web Feed'!$I$2:$I$3015,$B251))</f>
        <v/>
      </c>
      <c r="F251">
        <f>IF($B251="","",SUMIFS('Web Feed'!$O$2:$O$3015,'Web Feed'!$B$2:$B$3015,Points!$A$4,'Web Feed'!$F$2:$F$3015,$B251)+SUMIFS('Web Feed'!$O$2:$O$3015,'Web Feed'!$B$2:$B$3015,Points!$A$4,'Web Feed'!$G$2:$G$3015,$B251)+SUMIFS('Web Feed'!$O$2:$O$3015,'Web Feed'!$B$2:$B$3015,Points!$A$4,'Web Feed'!$H$2:$H$3015,$B251)+SUMIFS('Web Feed'!$O$2:$O$3015,'Web Feed'!$B$2:$B$3015,Points!$A$4,'Web Feed'!$I$2:$I$3015,$B251))</f>
        <v/>
      </c>
      <c r="G251">
        <f>IF($B251="","",SUMIFS('Web Feed'!$O$2:$O$3015,'Web Feed'!$B$2:$B$3015,Points!$A$5,'Web Feed'!$F$2:$F$3015,$B251)+SUMIFS('Web Feed'!$O$2:$O$3015,'Web Feed'!$B$2:$B$3015,Points!$A$5,'Web Feed'!$G$2:$G$3015,$B251)+SUMIFS('Web Feed'!$O$2:$O$3015,'Web Feed'!$B$2:$B$3015,Points!$A$5,'Web Feed'!$H$2:$H$3015,$B251)+SUMIFS('Web Feed'!$O$2:$O$3015,'Web Feed'!$B$2:$B$3015,Points!$A$5,'Web Feed'!$I$2:$I$3015,$B251))</f>
        <v/>
      </c>
      <c r="H251">
        <f>IF($B251="","",SUMIFS('Web Feed'!$O$2:$O$3015,'Web Feed'!$B$2:$B$3015,Points!$A$6,'Web Feed'!$F$2:$F$3015,$B251)+SUMIFS('Web Feed'!$O$2:$O$3015,'Web Feed'!$B$2:$B$3015,Points!$A$6,'Web Feed'!$G$2:$G$3015,$B251)+SUMIFS('Web Feed'!$O$2:$O$3015,'Web Feed'!$B$2:$B$3015,Points!$A$6,'Web Feed'!$H$2:$H$3015,$B251)+SUMIFS('Web Feed'!$O$2:$O$3015,'Web Feed'!$B$2:$B$3015,Points!$A$6,'Web Feed'!$I$2:$I$3015,$B251))</f>
        <v/>
      </c>
      <c r="I251">
        <f>IF($B251="","",COUNTIFS('Web Feed'!$B$2:$B$3015,"OHW",'Web Feed'!$F$2:$F$3015,$B251))</f>
        <v/>
      </c>
      <c r="J251">
        <f>IF($B251="","",IFERROR(INDEX('Last Week'!$A$2:$A$301,MATCH($B251,'Last Week'!$B$2:$B$301,0)),""))</f>
        <v/>
      </c>
      <c r="K251">
        <f>IF(OR($B251="",$J251=""),"",$J251-$A251)</f>
        <v/>
      </c>
    </row>
    <row r="252">
      <c r="A252">
        <f>IF($B252="","",RANK($C252,$C$2:$C$500))</f>
        <v/>
      </c>
      <c r="B252">
        <f>IF(Players!$A252="","",Players!$A252)</f>
        <v/>
      </c>
      <c r="C252" s="5">
        <f>IF($B252="","",SUM(D252:H252))</f>
        <v/>
      </c>
      <c r="D252">
        <f>IF($B252="","",SUMIFS('Web Feed'!$O$2:$O$3015,'Web Feed'!$B$2:$B$3015,Points!$A$2,'Web Feed'!$F$2:$F$3015,$B252)+SUMIFS('Web Feed'!$O$2:$O$3015,'Web Feed'!$B$2:$B$3015,Points!$A$2,'Web Feed'!$G$2:$G$3015,$B252)+SUMIFS('Web Feed'!$O$2:$O$3015,'Web Feed'!$B$2:$B$3015,Points!$A$2,'Web Feed'!$H$2:$H$3015,$B252)+SUMIFS('Web Feed'!$O$2:$O$3015,'Web Feed'!$B$2:$B$3015,Points!$A$2,'Web Feed'!$I$2:$I$3015,$B252))</f>
        <v/>
      </c>
      <c r="E252">
        <f>IF($B252="","",SUMIFS('Web Feed'!$O$2:$O$3015,'Web Feed'!$B$2:$B$3015,Points!$A$3,'Web Feed'!$F$2:$F$3015,$B252)+SUMIFS('Web Feed'!$O$2:$O$3015,'Web Feed'!$B$2:$B$3015,Points!$A$3,'Web Feed'!$G$2:$G$3015,$B252)+SUMIFS('Web Feed'!$O$2:$O$3015,'Web Feed'!$B$2:$B$3015,Points!$A$3,'Web Feed'!$H$2:$H$3015,$B252)+SUMIFS('Web Feed'!$O$2:$O$3015,'Web Feed'!$B$2:$B$3015,Points!$A$3,'Web Feed'!$I$2:$I$3015,$B252))</f>
        <v/>
      </c>
      <c r="F252">
        <f>IF($B252="","",SUMIFS('Web Feed'!$O$2:$O$3015,'Web Feed'!$B$2:$B$3015,Points!$A$4,'Web Feed'!$F$2:$F$3015,$B252)+SUMIFS('Web Feed'!$O$2:$O$3015,'Web Feed'!$B$2:$B$3015,Points!$A$4,'Web Feed'!$G$2:$G$3015,$B252)+SUMIFS('Web Feed'!$O$2:$O$3015,'Web Feed'!$B$2:$B$3015,Points!$A$4,'Web Feed'!$H$2:$H$3015,$B252)+SUMIFS('Web Feed'!$O$2:$O$3015,'Web Feed'!$B$2:$B$3015,Points!$A$4,'Web Feed'!$I$2:$I$3015,$B252))</f>
        <v/>
      </c>
      <c r="G252">
        <f>IF($B252="","",SUMIFS('Web Feed'!$O$2:$O$3015,'Web Feed'!$B$2:$B$3015,Points!$A$5,'Web Feed'!$F$2:$F$3015,$B252)+SUMIFS('Web Feed'!$O$2:$O$3015,'Web Feed'!$B$2:$B$3015,Points!$A$5,'Web Feed'!$G$2:$G$3015,$B252)+SUMIFS('Web Feed'!$O$2:$O$3015,'Web Feed'!$B$2:$B$3015,Points!$A$5,'Web Feed'!$H$2:$H$3015,$B252)+SUMIFS('Web Feed'!$O$2:$O$3015,'Web Feed'!$B$2:$B$3015,Points!$A$5,'Web Feed'!$I$2:$I$3015,$B252))</f>
        <v/>
      </c>
      <c r="H252">
        <f>IF($B252="","",SUMIFS('Web Feed'!$O$2:$O$3015,'Web Feed'!$B$2:$B$3015,Points!$A$6,'Web Feed'!$F$2:$F$3015,$B252)+SUMIFS('Web Feed'!$O$2:$O$3015,'Web Feed'!$B$2:$B$3015,Points!$A$6,'Web Feed'!$G$2:$G$3015,$B252)+SUMIFS('Web Feed'!$O$2:$O$3015,'Web Feed'!$B$2:$B$3015,Points!$A$6,'Web Feed'!$H$2:$H$3015,$B252)+SUMIFS('Web Feed'!$O$2:$O$3015,'Web Feed'!$B$2:$B$3015,Points!$A$6,'Web Feed'!$I$2:$I$3015,$B252))</f>
        <v/>
      </c>
      <c r="I252">
        <f>IF($B252="","",COUNTIFS('Web Feed'!$B$2:$B$3015,"OHW",'Web Feed'!$F$2:$F$3015,$B252))</f>
        <v/>
      </c>
      <c r="J252">
        <f>IF($B252="","",IFERROR(INDEX('Last Week'!$A$2:$A$301,MATCH($B252,'Last Week'!$B$2:$B$301,0)),""))</f>
        <v/>
      </c>
      <c r="K252">
        <f>IF(OR($B252="",$J252=""),"",$J252-$A252)</f>
        <v/>
      </c>
    </row>
    <row r="253">
      <c r="A253">
        <f>IF($B253="","",RANK($C253,$C$2:$C$500))</f>
        <v/>
      </c>
      <c r="B253">
        <f>IF(Players!$A253="","",Players!$A253)</f>
        <v/>
      </c>
      <c r="C253" s="5">
        <f>IF($B253="","",SUM(D253:H253))</f>
        <v/>
      </c>
      <c r="D253">
        <f>IF($B253="","",SUMIFS('Web Feed'!$O$2:$O$3015,'Web Feed'!$B$2:$B$3015,Points!$A$2,'Web Feed'!$F$2:$F$3015,$B253)+SUMIFS('Web Feed'!$O$2:$O$3015,'Web Feed'!$B$2:$B$3015,Points!$A$2,'Web Feed'!$G$2:$G$3015,$B253)+SUMIFS('Web Feed'!$O$2:$O$3015,'Web Feed'!$B$2:$B$3015,Points!$A$2,'Web Feed'!$H$2:$H$3015,$B253)+SUMIFS('Web Feed'!$O$2:$O$3015,'Web Feed'!$B$2:$B$3015,Points!$A$2,'Web Feed'!$I$2:$I$3015,$B253))</f>
        <v/>
      </c>
      <c r="E253">
        <f>IF($B253="","",SUMIFS('Web Feed'!$O$2:$O$3015,'Web Feed'!$B$2:$B$3015,Points!$A$3,'Web Feed'!$F$2:$F$3015,$B253)+SUMIFS('Web Feed'!$O$2:$O$3015,'Web Feed'!$B$2:$B$3015,Points!$A$3,'Web Feed'!$G$2:$G$3015,$B253)+SUMIFS('Web Feed'!$O$2:$O$3015,'Web Feed'!$B$2:$B$3015,Points!$A$3,'Web Feed'!$H$2:$H$3015,$B253)+SUMIFS('Web Feed'!$O$2:$O$3015,'Web Feed'!$B$2:$B$3015,Points!$A$3,'Web Feed'!$I$2:$I$3015,$B253))</f>
        <v/>
      </c>
      <c r="F253">
        <f>IF($B253="","",SUMIFS('Web Feed'!$O$2:$O$3015,'Web Feed'!$B$2:$B$3015,Points!$A$4,'Web Feed'!$F$2:$F$3015,$B253)+SUMIFS('Web Feed'!$O$2:$O$3015,'Web Feed'!$B$2:$B$3015,Points!$A$4,'Web Feed'!$G$2:$G$3015,$B253)+SUMIFS('Web Feed'!$O$2:$O$3015,'Web Feed'!$B$2:$B$3015,Points!$A$4,'Web Feed'!$H$2:$H$3015,$B253)+SUMIFS('Web Feed'!$O$2:$O$3015,'Web Feed'!$B$2:$B$3015,Points!$A$4,'Web Feed'!$I$2:$I$3015,$B253))</f>
        <v/>
      </c>
      <c r="G253">
        <f>IF($B253="","",SUMIFS('Web Feed'!$O$2:$O$3015,'Web Feed'!$B$2:$B$3015,Points!$A$5,'Web Feed'!$F$2:$F$3015,$B253)+SUMIFS('Web Feed'!$O$2:$O$3015,'Web Feed'!$B$2:$B$3015,Points!$A$5,'Web Feed'!$G$2:$G$3015,$B253)+SUMIFS('Web Feed'!$O$2:$O$3015,'Web Feed'!$B$2:$B$3015,Points!$A$5,'Web Feed'!$H$2:$H$3015,$B253)+SUMIFS('Web Feed'!$O$2:$O$3015,'Web Feed'!$B$2:$B$3015,Points!$A$5,'Web Feed'!$I$2:$I$3015,$B253))</f>
        <v/>
      </c>
      <c r="H253">
        <f>IF($B253="","",SUMIFS('Web Feed'!$O$2:$O$3015,'Web Feed'!$B$2:$B$3015,Points!$A$6,'Web Feed'!$F$2:$F$3015,$B253)+SUMIFS('Web Feed'!$O$2:$O$3015,'Web Feed'!$B$2:$B$3015,Points!$A$6,'Web Feed'!$G$2:$G$3015,$B253)+SUMIFS('Web Feed'!$O$2:$O$3015,'Web Feed'!$B$2:$B$3015,Points!$A$6,'Web Feed'!$H$2:$H$3015,$B253)+SUMIFS('Web Feed'!$O$2:$O$3015,'Web Feed'!$B$2:$B$3015,Points!$A$6,'Web Feed'!$I$2:$I$3015,$B253))</f>
        <v/>
      </c>
      <c r="I253">
        <f>IF($B253="","",COUNTIFS('Web Feed'!$B$2:$B$3015,"OHW",'Web Feed'!$F$2:$F$3015,$B253))</f>
        <v/>
      </c>
      <c r="J253">
        <f>IF($B253="","",IFERROR(INDEX('Last Week'!$A$2:$A$301,MATCH($B253,'Last Week'!$B$2:$B$301,0)),""))</f>
        <v/>
      </c>
      <c r="K253">
        <f>IF(OR($B253="",$J253=""),"",$J253-$A253)</f>
        <v/>
      </c>
    </row>
    <row r="254">
      <c r="A254">
        <f>IF($B254="","",RANK($C254,$C$2:$C$500))</f>
        <v/>
      </c>
      <c r="B254">
        <f>IF(Players!$A254="","",Players!$A254)</f>
        <v/>
      </c>
      <c r="C254" s="5">
        <f>IF($B254="","",SUM(D254:H254))</f>
        <v/>
      </c>
      <c r="D254">
        <f>IF($B254="","",SUMIFS('Web Feed'!$O$2:$O$3015,'Web Feed'!$B$2:$B$3015,Points!$A$2,'Web Feed'!$F$2:$F$3015,$B254)+SUMIFS('Web Feed'!$O$2:$O$3015,'Web Feed'!$B$2:$B$3015,Points!$A$2,'Web Feed'!$G$2:$G$3015,$B254)+SUMIFS('Web Feed'!$O$2:$O$3015,'Web Feed'!$B$2:$B$3015,Points!$A$2,'Web Feed'!$H$2:$H$3015,$B254)+SUMIFS('Web Feed'!$O$2:$O$3015,'Web Feed'!$B$2:$B$3015,Points!$A$2,'Web Feed'!$I$2:$I$3015,$B254))</f>
        <v/>
      </c>
      <c r="E254">
        <f>IF($B254="","",SUMIFS('Web Feed'!$O$2:$O$3015,'Web Feed'!$B$2:$B$3015,Points!$A$3,'Web Feed'!$F$2:$F$3015,$B254)+SUMIFS('Web Feed'!$O$2:$O$3015,'Web Feed'!$B$2:$B$3015,Points!$A$3,'Web Feed'!$G$2:$G$3015,$B254)+SUMIFS('Web Feed'!$O$2:$O$3015,'Web Feed'!$B$2:$B$3015,Points!$A$3,'Web Feed'!$H$2:$H$3015,$B254)+SUMIFS('Web Feed'!$O$2:$O$3015,'Web Feed'!$B$2:$B$3015,Points!$A$3,'Web Feed'!$I$2:$I$3015,$B254))</f>
        <v/>
      </c>
      <c r="F254">
        <f>IF($B254="","",SUMIFS('Web Feed'!$O$2:$O$3015,'Web Feed'!$B$2:$B$3015,Points!$A$4,'Web Feed'!$F$2:$F$3015,$B254)+SUMIFS('Web Feed'!$O$2:$O$3015,'Web Feed'!$B$2:$B$3015,Points!$A$4,'Web Feed'!$G$2:$G$3015,$B254)+SUMIFS('Web Feed'!$O$2:$O$3015,'Web Feed'!$B$2:$B$3015,Points!$A$4,'Web Feed'!$H$2:$H$3015,$B254)+SUMIFS('Web Feed'!$O$2:$O$3015,'Web Feed'!$B$2:$B$3015,Points!$A$4,'Web Feed'!$I$2:$I$3015,$B254))</f>
        <v/>
      </c>
      <c r="G254">
        <f>IF($B254="","",SUMIFS('Web Feed'!$O$2:$O$3015,'Web Feed'!$B$2:$B$3015,Points!$A$5,'Web Feed'!$F$2:$F$3015,$B254)+SUMIFS('Web Feed'!$O$2:$O$3015,'Web Feed'!$B$2:$B$3015,Points!$A$5,'Web Feed'!$G$2:$G$3015,$B254)+SUMIFS('Web Feed'!$O$2:$O$3015,'Web Feed'!$B$2:$B$3015,Points!$A$5,'Web Feed'!$H$2:$H$3015,$B254)+SUMIFS('Web Feed'!$O$2:$O$3015,'Web Feed'!$B$2:$B$3015,Points!$A$5,'Web Feed'!$I$2:$I$3015,$B254))</f>
        <v/>
      </c>
      <c r="H254">
        <f>IF($B254="","",SUMIFS('Web Feed'!$O$2:$O$3015,'Web Feed'!$B$2:$B$3015,Points!$A$6,'Web Feed'!$F$2:$F$3015,$B254)+SUMIFS('Web Feed'!$O$2:$O$3015,'Web Feed'!$B$2:$B$3015,Points!$A$6,'Web Feed'!$G$2:$G$3015,$B254)+SUMIFS('Web Feed'!$O$2:$O$3015,'Web Feed'!$B$2:$B$3015,Points!$A$6,'Web Feed'!$H$2:$H$3015,$B254)+SUMIFS('Web Feed'!$O$2:$O$3015,'Web Feed'!$B$2:$B$3015,Points!$A$6,'Web Feed'!$I$2:$I$3015,$B254))</f>
        <v/>
      </c>
      <c r="I254">
        <f>IF($B254="","",COUNTIFS('Web Feed'!$B$2:$B$3015,"OHW",'Web Feed'!$F$2:$F$3015,$B254))</f>
        <v/>
      </c>
      <c r="J254">
        <f>IF($B254="","",IFERROR(INDEX('Last Week'!$A$2:$A$301,MATCH($B254,'Last Week'!$B$2:$B$301,0)),""))</f>
        <v/>
      </c>
      <c r="K254">
        <f>IF(OR($B254="",$J254=""),"",$J254-$A254)</f>
        <v/>
      </c>
    </row>
    <row r="255">
      <c r="A255">
        <f>IF($B255="","",RANK($C255,$C$2:$C$500))</f>
        <v/>
      </c>
      <c r="B255">
        <f>IF(Players!$A255="","",Players!$A255)</f>
        <v/>
      </c>
      <c r="C255" s="5">
        <f>IF($B255="","",SUM(D255:H255))</f>
        <v/>
      </c>
      <c r="D255">
        <f>IF($B255="","",SUMIFS('Web Feed'!$O$2:$O$3015,'Web Feed'!$B$2:$B$3015,Points!$A$2,'Web Feed'!$F$2:$F$3015,$B255)+SUMIFS('Web Feed'!$O$2:$O$3015,'Web Feed'!$B$2:$B$3015,Points!$A$2,'Web Feed'!$G$2:$G$3015,$B255)+SUMIFS('Web Feed'!$O$2:$O$3015,'Web Feed'!$B$2:$B$3015,Points!$A$2,'Web Feed'!$H$2:$H$3015,$B255)+SUMIFS('Web Feed'!$O$2:$O$3015,'Web Feed'!$B$2:$B$3015,Points!$A$2,'Web Feed'!$I$2:$I$3015,$B255))</f>
        <v/>
      </c>
      <c r="E255">
        <f>IF($B255="","",SUMIFS('Web Feed'!$O$2:$O$3015,'Web Feed'!$B$2:$B$3015,Points!$A$3,'Web Feed'!$F$2:$F$3015,$B255)+SUMIFS('Web Feed'!$O$2:$O$3015,'Web Feed'!$B$2:$B$3015,Points!$A$3,'Web Feed'!$G$2:$G$3015,$B255)+SUMIFS('Web Feed'!$O$2:$O$3015,'Web Feed'!$B$2:$B$3015,Points!$A$3,'Web Feed'!$H$2:$H$3015,$B255)+SUMIFS('Web Feed'!$O$2:$O$3015,'Web Feed'!$B$2:$B$3015,Points!$A$3,'Web Feed'!$I$2:$I$3015,$B255))</f>
        <v/>
      </c>
      <c r="F255">
        <f>IF($B255="","",SUMIFS('Web Feed'!$O$2:$O$3015,'Web Feed'!$B$2:$B$3015,Points!$A$4,'Web Feed'!$F$2:$F$3015,$B255)+SUMIFS('Web Feed'!$O$2:$O$3015,'Web Feed'!$B$2:$B$3015,Points!$A$4,'Web Feed'!$G$2:$G$3015,$B255)+SUMIFS('Web Feed'!$O$2:$O$3015,'Web Feed'!$B$2:$B$3015,Points!$A$4,'Web Feed'!$H$2:$H$3015,$B255)+SUMIFS('Web Feed'!$O$2:$O$3015,'Web Feed'!$B$2:$B$3015,Points!$A$4,'Web Feed'!$I$2:$I$3015,$B255))</f>
        <v/>
      </c>
      <c r="G255">
        <f>IF($B255="","",SUMIFS('Web Feed'!$O$2:$O$3015,'Web Feed'!$B$2:$B$3015,Points!$A$5,'Web Feed'!$F$2:$F$3015,$B255)+SUMIFS('Web Feed'!$O$2:$O$3015,'Web Feed'!$B$2:$B$3015,Points!$A$5,'Web Feed'!$G$2:$G$3015,$B255)+SUMIFS('Web Feed'!$O$2:$O$3015,'Web Feed'!$B$2:$B$3015,Points!$A$5,'Web Feed'!$H$2:$H$3015,$B255)+SUMIFS('Web Feed'!$O$2:$O$3015,'Web Feed'!$B$2:$B$3015,Points!$A$5,'Web Feed'!$I$2:$I$3015,$B255))</f>
        <v/>
      </c>
      <c r="H255">
        <f>IF($B255="","",SUMIFS('Web Feed'!$O$2:$O$3015,'Web Feed'!$B$2:$B$3015,Points!$A$6,'Web Feed'!$F$2:$F$3015,$B255)+SUMIFS('Web Feed'!$O$2:$O$3015,'Web Feed'!$B$2:$B$3015,Points!$A$6,'Web Feed'!$G$2:$G$3015,$B255)+SUMIFS('Web Feed'!$O$2:$O$3015,'Web Feed'!$B$2:$B$3015,Points!$A$6,'Web Feed'!$H$2:$H$3015,$B255)+SUMIFS('Web Feed'!$O$2:$O$3015,'Web Feed'!$B$2:$B$3015,Points!$A$6,'Web Feed'!$I$2:$I$3015,$B255))</f>
        <v/>
      </c>
      <c r="I255">
        <f>IF($B255="","",COUNTIFS('Web Feed'!$B$2:$B$3015,"OHW",'Web Feed'!$F$2:$F$3015,$B255))</f>
        <v/>
      </c>
      <c r="J255">
        <f>IF($B255="","",IFERROR(INDEX('Last Week'!$A$2:$A$301,MATCH($B255,'Last Week'!$B$2:$B$301,0)),""))</f>
        <v/>
      </c>
      <c r="K255">
        <f>IF(OR($B255="",$J255=""),"",$J255-$A255)</f>
        <v/>
      </c>
    </row>
    <row r="256">
      <c r="A256">
        <f>IF($B256="","",RANK($C256,$C$2:$C$500))</f>
        <v/>
      </c>
      <c r="B256">
        <f>IF(Players!$A256="","",Players!$A256)</f>
        <v/>
      </c>
      <c r="C256" s="5">
        <f>IF($B256="","",SUM(D256:H256))</f>
        <v/>
      </c>
      <c r="D256">
        <f>IF($B256="","",SUMIFS('Web Feed'!$O$2:$O$3015,'Web Feed'!$B$2:$B$3015,Points!$A$2,'Web Feed'!$F$2:$F$3015,$B256)+SUMIFS('Web Feed'!$O$2:$O$3015,'Web Feed'!$B$2:$B$3015,Points!$A$2,'Web Feed'!$G$2:$G$3015,$B256)+SUMIFS('Web Feed'!$O$2:$O$3015,'Web Feed'!$B$2:$B$3015,Points!$A$2,'Web Feed'!$H$2:$H$3015,$B256)+SUMIFS('Web Feed'!$O$2:$O$3015,'Web Feed'!$B$2:$B$3015,Points!$A$2,'Web Feed'!$I$2:$I$3015,$B256))</f>
        <v/>
      </c>
      <c r="E256">
        <f>IF($B256="","",SUMIFS('Web Feed'!$O$2:$O$3015,'Web Feed'!$B$2:$B$3015,Points!$A$3,'Web Feed'!$F$2:$F$3015,$B256)+SUMIFS('Web Feed'!$O$2:$O$3015,'Web Feed'!$B$2:$B$3015,Points!$A$3,'Web Feed'!$G$2:$G$3015,$B256)+SUMIFS('Web Feed'!$O$2:$O$3015,'Web Feed'!$B$2:$B$3015,Points!$A$3,'Web Feed'!$H$2:$H$3015,$B256)+SUMIFS('Web Feed'!$O$2:$O$3015,'Web Feed'!$B$2:$B$3015,Points!$A$3,'Web Feed'!$I$2:$I$3015,$B256))</f>
        <v/>
      </c>
      <c r="F256">
        <f>IF($B256="","",SUMIFS('Web Feed'!$O$2:$O$3015,'Web Feed'!$B$2:$B$3015,Points!$A$4,'Web Feed'!$F$2:$F$3015,$B256)+SUMIFS('Web Feed'!$O$2:$O$3015,'Web Feed'!$B$2:$B$3015,Points!$A$4,'Web Feed'!$G$2:$G$3015,$B256)+SUMIFS('Web Feed'!$O$2:$O$3015,'Web Feed'!$B$2:$B$3015,Points!$A$4,'Web Feed'!$H$2:$H$3015,$B256)+SUMIFS('Web Feed'!$O$2:$O$3015,'Web Feed'!$B$2:$B$3015,Points!$A$4,'Web Feed'!$I$2:$I$3015,$B256))</f>
        <v/>
      </c>
      <c r="G256">
        <f>IF($B256="","",SUMIFS('Web Feed'!$O$2:$O$3015,'Web Feed'!$B$2:$B$3015,Points!$A$5,'Web Feed'!$F$2:$F$3015,$B256)+SUMIFS('Web Feed'!$O$2:$O$3015,'Web Feed'!$B$2:$B$3015,Points!$A$5,'Web Feed'!$G$2:$G$3015,$B256)+SUMIFS('Web Feed'!$O$2:$O$3015,'Web Feed'!$B$2:$B$3015,Points!$A$5,'Web Feed'!$H$2:$H$3015,$B256)+SUMIFS('Web Feed'!$O$2:$O$3015,'Web Feed'!$B$2:$B$3015,Points!$A$5,'Web Feed'!$I$2:$I$3015,$B256))</f>
        <v/>
      </c>
      <c r="H256">
        <f>IF($B256="","",SUMIFS('Web Feed'!$O$2:$O$3015,'Web Feed'!$B$2:$B$3015,Points!$A$6,'Web Feed'!$F$2:$F$3015,$B256)+SUMIFS('Web Feed'!$O$2:$O$3015,'Web Feed'!$B$2:$B$3015,Points!$A$6,'Web Feed'!$G$2:$G$3015,$B256)+SUMIFS('Web Feed'!$O$2:$O$3015,'Web Feed'!$B$2:$B$3015,Points!$A$6,'Web Feed'!$H$2:$H$3015,$B256)+SUMIFS('Web Feed'!$O$2:$O$3015,'Web Feed'!$B$2:$B$3015,Points!$A$6,'Web Feed'!$I$2:$I$3015,$B256))</f>
        <v/>
      </c>
      <c r="I256">
        <f>IF($B256="","",COUNTIFS('Web Feed'!$B$2:$B$3015,"OHW",'Web Feed'!$F$2:$F$3015,$B256))</f>
        <v/>
      </c>
      <c r="J256">
        <f>IF($B256="","",IFERROR(INDEX('Last Week'!$A$2:$A$301,MATCH($B256,'Last Week'!$B$2:$B$301,0)),""))</f>
        <v/>
      </c>
      <c r="K256">
        <f>IF(OR($B256="",$J256=""),"",$J256-$A256)</f>
        <v/>
      </c>
    </row>
    <row r="257">
      <c r="A257">
        <f>IF($B257="","",RANK($C257,$C$2:$C$500))</f>
        <v/>
      </c>
      <c r="B257">
        <f>IF(Players!$A257="","",Players!$A257)</f>
        <v/>
      </c>
      <c r="C257" s="5">
        <f>IF($B257="","",SUM(D257:H257))</f>
        <v/>
      </c>
      <c r="D257">
        <f>IF($B257="","",SUMIFS('Web Feed'!$O$2:$O$3015,'Web Feed'!$B$2:$B$3015,Points!$A$2,'Web Feed'!$F$2:$F$3015,$B257)+SUMIFS('Web Feed'!$O$2:$O$3015,'Web Feed'!$B$2:$B$3015,Points!$A$2,'Web Feed'!$G$2:$G$3015,$B257)+SUMIFS('Web Feed'!$O$2:$O$3015,'Web Feed'!$B$2:$B$3015,Points!$A$2,'Web Feed'!$H$2:$H$3015,$B257)+SUMIFS('Web Feed'!$O$2:$O$3015,'Web Feed'!$B$2:$B$3015,Points!$A$2,'Web Feed'!$I$2:$I$3015,$B257))</f>
        <v/>
      </c>
      <c r="E257">
        <f>IF($B257="","",SUMIFS('Web Feed'!$O$2:$O$3015,'Web Feed'!$B$2:$B$3015,Points!$A$3,'Web Feed'!$F$2:$F$3015,$B257)+SUMIFS('Web Feed'!$O$2:$O$3015,'Web Feed'!$B$2:$B$3015,Points!$A$3,'Web Feed'!$G$2:$G$3015,$B257)+SUMIFS('Web Feed'!$O$2:$O$3015,'Web Feed'!$B$2:$B$3015,Points!$A$3,'Web Feed'!$H$2:$H$3015,$B257)+SUMIFS('Web Feed'!$O$2:$O$3015,'Web Feed'!$B$2:$B$3015,Points!$A$3,'Web Feed'!$I$2:$I$3015,$B257))</f>
        <v/>
      </c>
      <c r="F257">
        <f>IF($B257="","",SUMIFS('Web Feed'!$O$2:$O$3015,'Web Feed'!$B$2:$B$3015,Points!$A$4,'Web Feed'!$F$2:$F$3015,$B257)+SUMIFS('Web Feed'!$O$2:$O$3015,'Web Feed'!$B$2:$B$3015,Points!$A$4,'Web Feed'!$G$2:$G$3015,$B257)+SUMIFS('Web Feed'!$O$2:$O$3015,'Web Feed'!$B$2:$B$3015,Points!$A$4,'Web Feed'!$H$2:$H$3015,$B257)+SUMIFS('Web Feed'!$O$2:$O$3015,'Web Feed'!$B$2:$B$3015,Points!$A$4,'Web Feed'!$I$2:$I$3015,$B257))</f>
        <v/>
      </c>
      <c r="G257">
        <f>IF($B257="","",SUMIFS('Web Feed'!$O$2:$O$3015,'Web Feed'!$B$2:$B$3015,Points!$A$5,'Web Feed'!$F$2:$F$3015,$B257)+SUMIFS('Web Feed'!$O$2:$O$3015,'Web Feed'!$B$2:$B$3015,Points!$A$5,'Web Feed'!$G$2:$G$3015,$B257)+SUMIFS('Web Feed'!$O$2:$O$3015,'Web Feed'!$B$2:$B$3015,Points!$A$5,'Web Feed'!$H$2:$H$3015,$B257)+SUMIFS('Web Feed'!$O$2:$O$3015,'Web Feed'!$B$2:$B$3015,Points!$A$5,'Web Feed'!$I$2:$I$3015,$B257))</f>
        <v/>
      </c>
      <c r="H257">
        <f>IF($B257="","",SUMIFS('Web Feed'!$O$2:$O$3015,'Web Feed'!$B$2:$B$3015,Points!$A$6,'Web Feed'!$F$2:$F$3015,$B257)+SUMIFS('Web Feed'!$O$2:$O$3015,'Web Feed'!$B$2:$B$3015,Points!$A$6,'Web Feed'!$G$2:$G$3015,$B257)+SUMIFS('Web Feed'!$O$2:$O$3015,'Web Feed'!$B$2:$B$3015,Points!$A$6,'Web Feed'!$H$2:$H$3015,$B257)+SUMIFS('Web Feed'!$O$2:$O$3015,'Web Feed'!$B$2:$B$3015,Points!$A$6,'Web Feed'!$I$2:$I$3015,$B257))</f>
        <v/>
      </c>
      <c r="I257">
        <f>IF($B257="","",COUNTIFS('Web Feed'!$B$2:$B$3015,"OHW",'Web Feed'!$F$2:$F$3015,$B257))</f>
        <v/>
      </c>
      <c r="J257">
        <f>IF($B257="","",IFERROR(INDEX('Last Week'!$A$2:$A$301,MATCH($B257,'Last Week'!$B$2:$B$301,0)),""))</f>
        <v/>
      </c>
      <c r="K257">
        <f>IF(OR($B257="",$J257=""),"",$J257-$A257)</f>
        <v/>
      </c>
    </row>
    <row r="258">
      <c r="A258">
        <f>IF($B258="","",RANK($C258,$C$2:$C$500))</f>
        <v/>
      </c>
      <c r="B258">
        <f>IF(Players!$A258="","",Players!$A258)</f>
        <v/>
      </c>
      <c r="C258" s="5">
        <f>IF($B258="","",SUM(D258:H258))</f>
        <v/>
      </c>
      <c r="D258">
        <f>IF($B258="","",SUMIFS('Web Feed'!$O$2:$O$3015,'Web Feed'!$B$2:$B$3015,Points!$A$2,'Web Feed'!$F$2:$F$3015,$B258)+SUMIFS('Web Feed'!$O$2:$O$3015,'Web Feed'!$B$2:$B$3015,Points!$A$2,'Web Feed'!$G$2:$G$3015,$B258)+SUMIFS('Web Feed'!$O$2:$O$3015,'Web Feed'!$B$2:$B$3015,Points!$A$2,'Web Feed'!$H$2:$H$3015,$B258)+SUMIFS('Web Feed'!$O$2:$O$3015,'Web Feed'!$B$2:$B$3015,Points!$A$2,'Web Feed'!$I$2:$I$3015,$B258))</f>
        <v/>
      </c>
      <c r="E258">
        <f>IF($B258="","",SUMIFS('Web Feed'!$O$2:$O$3015,'Web Feed'!$B$2:$B$3015,Points!$A$3,'Web Feed'!$F$2:$F$3015,$B258)+SUMIFS('Web Feed'!$O$2:$O$3015,'Web Feed'!$B$2:$B$3015,Points!$A$3,'Web Feed'!$G$2:$G$3015,$B258)+SUMIFS('Web Feed'!$O$2:$O$3015,'Web Feed'!$B$2:$B$3015,Points!$A$3,'Web Feed'!$H$2:$H$3015,$B258)+SUMIFS('Web Feed'!$O$2:$O$3015,'Web Feed'!$B$2:$B$3015,Points!$A$3,'Web Feed'!$I$2:$I$3015,$B258))</f>
        <v/>
      </c>
      <c r="F258">
        <f>IF($B258="","",SUMIFS('Web Feed'!$O$2:$O$3015,'Web Feed'!$B$2:$B$3015,Points!$A$4,'Web Feed'!$F$2:$F$3015,$B258)+SUMIFS('Web Feed'!$O$2:$O$3015,'Web Feed'!$B$2:$B$3015,Points!$A$4,'Web Feed'!$G$2:$G$3015,$B258)+SUMIFS('Web Feed'!$O$2:$O$3015,'Web Feed'!$B$2:$B$3015,Points!$A$4,'Web Feed'!$H$2:$H$3015,$B258)+SUMIFS('Web Feed'!$O$2:$O$3015,'Web Feed'!$B$2:$B$3015,Points!$A$4,'Web Feed'!$I$2:$I$3015,$B258))</f>
        <v/>
      </c>
      <c r="G258">
        <f>IF($B258="","",SUMIFS('Web Feed'!$O$2:$O$3015,'Web Feed'!$B$2:$B$3015,Points!$A$5,'Web Feed'!$F$2:$F$3015,$B258)+SUMIFS('Web Feed'!$O$2:$O$3015,'Web Feed'!$B$2:$B$3015,Points!$A$5,'Web Feed'!$G$2:$G$3015,$B258)+SUMIFS('Web Feed'!$O$2:$O$3015,'Web Feed'!$B$2:$B$3015,Points!$A$5,'Web Feed'!$H$2:$H$3015,$B258)+SUMIFS('Web Feed'!$O$2:$O$3015,'Web Feed'!$B$2:$B$3015,Points!$A$5,'Web Feed'!$I$2:$I$3015,$B258))</f>
        <v/>
      </c>
      <c r="H258">
        <f>IF($B258="","",SUMIFS('Web Feed'!$O$2:$O$3015,'Web Feed'!$B$2:$B$3015,Points!$A$6,'Web Feed'!$F$2:$F$3015,$B258)+SUMIFS('Web Feed'!$O$2:$O$3015,'Web Feed'!$B$2:$B$3015,Points!$A$6,'Web Feed'!$G$2:$G$3015,$B258)+SUMIFS('Web Feed'!$O$2:$O$3015,'Web Feed'!$B$2:$B$3015,Points!$A$6,'Web Feed'!$H$2:$H$3015,$B258)+SUMIFS('Web Feed'!$O$2:$O$3015,'Web Feed'!$B$2:$B$3015,Points!$A$6,'Web Feed'!$I$2:$I$3015,$B258))</f>
        <v/>
      </c>
      <c r="I258">
        <f>IF($B258="","",COUNTIFS('Web Feed'!$B$2:$B$3015,"OHW",'Web Feed'!$F$2:$F$3015,$B258))</f>
        <v/>
      </c>
      <c r="J258">
        <f>IF($B258="","",IFERROR(INDEX('Last Week'!$A$2:$A$301,MATCH($B258,'Last Week'!$B$2:$B$301,0)),""))</f>
        <v/>
      </c>
      <c r="K258">
        <f>IF(OR($B258="",$J258=""),"",$J258-$A258)</f>
        <v/>
      </c>
    </row>
    <row r="259">
      <c r="A259">
        <f>IF($B259="","",RANK($C259,$C$2:$C$500))</f>
        <v/>
      </c>
      <c r="B259">
        <f>IF(Players!$A259="","",Players!$A259)</f>
        <v/>
      </c>
      <c r="C259" s="5">
        <f>IF($B259="","",SUM(D259:H259))</f>
        <v/>
      </c>
      <c r="D259">
        <f>IF($B259="","",SUMIFS('Web Feed'!$O$2:$O$3015,'Web Feed'!$B$2:$B$3015,Points!$A$2,'Web Feed'!$F$2:$F$3015,$B259)+SUMIFS('Web Feed'!$O$2:$O$3015,'Web Feed'!$B$2:$B$3015,Points!$A$2,'Web Feed'!$G$2:$G$3015,$B259)+SUMIFS('Web Feed'!$O$2:$O$3015,'Web Feed'!$B$2:$B$3015,Points!$A$2,'Web Feed'!$H$2:$H$3015,$B259)+SUMIFS('Web Feed'!$O$2:$O$3015,'Web Feed'!$B$2:$B$3015,Points!$A$2,'Web Feed'!$I$2:$I$3015,$B259))</f>
        <v/>
      </c>
      <c r="E259">
        <f>IF($B259="","",SUMIFS('Web Feed'!$O$2:$O$3015,'Web Feed'!$B$2:$B$3015,Points!$A$3,'Web Feed'!$F$2:$F$3015,$B259)+SUMIFS('Web Feed'!$O$2:$O$3015,'Web Feed'!$B$2:$B$3015,Points!$A$3,'Web Feed'!$G$2:$G$3015,$B259)+SUMIFS('Web Feed'!$O$2:$O$3015,'Web Feed'!$B$2:$B$3015,Points!$A$3,'Web Feed'!$H$2:$H$3015,$B259)+SUMIFS('Web Feed'!$O$2:$O$3015,'Web Feed'!$B$2:$B$3015,Points!$A$3,'Web Feed'!$I$2:$I$3015,$B259))</f>
        <v/>
      </c>
      <c r="F259">
        <f>IF($B259="","",SUMIFS('Web Feed'!$O$2:$O$3015,'Web Feed'!$B$2:$B$3015,Points!$A$4,'Web Feed'!$F$2:$F$3015,$B259)+SUMIFS('Web Feed'!$O$2:$O$3015,'Web Feed'!$B$2:$B$3015,Points!$A$4,'Web Feed'!$G$2:$G$3015,$B259)+SUMIFS('Web Feed'!$O$2:$O$3015,'Web Feed'!$B$2:$B$3015,Points!$A$4,'Web Feed'!$H$2:$H$3015,$B259)+SUMIFS('Web Feed'!$O$2:$O$3015,'Web Feed'!$B$2:$B$3015,Points!$A$4,'Web Feed'!$I$2:$I$3015,$B259))</f>
        <v/>
      </c>
      <c r="G259">
        <f>IF($B259="","",SUMIFS('Web Feed'!$O$2:$O$3015,'Web Feed'!$B$2:$B$3015,Points!$A$5,'Web Feed'!$F$2:$F$3015,$B259)+SUMIFS('Web Feed'!$O$2:$O$3015,'Web Feed'!$B$2:$B$3015,Points!$A$5,'Web Feed'!$G$2:$G$3015,$B259)+SUMIFS('Web Feed'!$O$2:$O$3015,'Web Feed'!$B$2:$B$3015,Points!$A$5,'Web Feed'!$H$2:$H$3015,$B259)+SUMIFS('Web Feed'!$O$2:$O$3015,'Web Feed'!$B$2:$B$3015,Points!$A$5,'Web Feed'!$I$2:$I$3015,$B259))</f>
        <v/>
      </c>
      <c r="H259">
        <f>IF($B259="","",SUMIFS('Web Feed'!$O$2:$O$3015,'Web Feed'!$B$2:$B$3015,Points!$A$6,'Web Feed'!$F$2:$F$3015,$B259)+SUMIFS('Web Feed'!$O$2:$O$3015,'Web Feed'!$B$2:$B$3015,Points!$A$6,'Web Feed'!$G$2:$G$3015,$B259)+SUMIFS('Web Feed'!$O$2:$O$3015,'Web Feed'!$B$2:$B$3015,Points!$A$6,'Web Feed'!$H$2:$H$3015,$B259)+SUMIFS('Web Feed'!$O$2:$O$3015,'Web Feed'!$B$2:$B$3015,Points!$A$6,'Web Feed'!$I$2:$I$3015,$B259))</f>
        <v/>
      </c>
      <c r="I259">
        <f>IF($B259="","",COUNTIFS('Web Feed'!$B$2:$B$3015,"OHW",'Web Feed'!$F$2:$F$3015,$B259))</f>
        <v/>
      </c>
      <c r="J259">
        <f>IF($B259="","",IFERROR(INDEX('Last Week'!$A$2:$A$301,MATCH($B259,'Last Week'!$B$2:$B$301,0)),""))</f>
        <v/>
      </c>
      <c r="K259">
        <f>IF(OR($B259="",$J259=""),"",$J259-$A259)</f>
        <v/>
      </c>
    </row>
    <row r="260">
      <c r="A260">
        <f>IF($B260="","",RANK($C260,$C$2:$C$500))</f>
        <v/>
      </c>
      <c r="B260">
        <f>IF(Players!$A260="","",Players!$A260)</f>
        <v/>
      </c>
      <c r="C260" s="5">
        <f>IF($B260="","",SUM(D260:H260))</f>
        <v/>
      </c>
      <c r="D260">
        <f>IF($B260="","",SUMIFS('Web Feed'!$O$2:$O$3015,'Web Feed'!$B$2:$B$3015,Points!$A$2,'Web Feed'!$F$2:$F$3015,$B260)+SUMIFS('Web Feed'!$O$2:$O$3015,'Web Feed'!$B$2:$B$3015,Points!$A$2,'Web Feed'!$G$2:$G$3015,$B260)+SUMIFS('Web Feed'!$O$2:$O$3015,'Web Feed'!$B$2:$B$3015,Points!$A$2,'Web Feed'!$H$2:$H$3015,$B260)+SUMIFS('Web Feed'!$O$2:$O$3015,'Web Feed'!$B$2:$B$3015,Points!$A$2,'Web Feed'!$I$2:$I$3015,$B260))</f>
        <v/>
      </c>
      <c r="E260">
        <f>IF($B260="","",SUMIFS('Web Feed'!$O$2:$O$3015,'Web Feed'!$B$2:$B$3015,Points!$A$3,'Web Feed'!$F$2:$F$3015,$B260)+SUMIFS('Web Feed'!$O$2:$O$3015,'Web Feed'!$B$2:$B$3015,Points!$A$3,'Web Feed'!$G$2:$G$3015,$B260)+SUMIFS('Web Feed'!$O$2:$O$3015,'Web Feed'!$B$2:$B$3015,Points!$A$3,'Web Feed'!$H$2:$H$3015,$B260)+SUMIFS('Web Feed'!$O$2:$O$3015,'Web Feed'!$B$2:$B$3015,Points!$A$3,'Web Feed'!$I$2:$I$3015,$B260))</f>
        <v/>
      </c>
      <c r="F260">
        <f>IF($B260="","",SUMIFS('Web Feed'!$O$2:$O$3015,'Web Feed'!$B$2:$B$3015,Points!$A$4,'Web Feed'!$F$2:$F$3015,$B260)+SUMIFS('Web Feed'!$O$2:$O$3015,'Web Feed'!$B$2:$B$3015,Points!$A$4,'Web Feed'!$G$2:$G$3015,$B260)+SUMIFS('Web Feed'!$O$2:$O$3015,'Web Feed'!$B$2:$B$3015,Points!$A$4,'Web Feed'!$H$2:$H$3015,$B260)+SUMIFS('Web Feed'!$O$2:$O$3015,'Web Feed'!$B$2:$B$3015,Points!$A$4,'Web Feed'!$I$2:$I$3015,$B260))</f>
        <v/>
      </c>
      <c r="G260">
        <f>IF($B260="","",SUMIFS('Web Feed'!$O$2:$O$3015,'Web Feed'!$B$2:$B$3015,Points!$A$5,'Web Feed'!$F$2:$F$3015,$B260)+SUMIFS('Web Feed'!$O$2:$O$3015,'Web Feed'!$B$2:$B$3015,Points!$A$5,'Web Feed'!$G$2:$G$3015,$B260)+SUMIFS('Web Feed'!$O$2:$O$3015,'Web Feed'!$B$2:$B$3015,Points!$A$5,'Web Feed'!$H$2:$H$3015,$B260)+SUMIFS('Web Feed'!$O$2:$O$3015,'Web Feed'!$B$2:$B$3015,Points!$A$5,'Web Feed'!$I$2:$I$3015,$B260))</f>
        <v/>
      </c>
      <c r="H260">
        <f>IF($B260="","",SUMIFS('Web Feed'!$O$2:$O$3015,'Web Feed'!$B$2:$B$3015,Points!$A$6,'Web Feed'!$F$2:$F$3015,$B260)+SUMIFS('Web Feed'!$O$2:$O$3015,'Web Feed'!$B$2:$B$3015,Points!$A$6,'Web Feed'!$G$2:$G$3015,$B260)+SUMIFS('Web Feed'!$O$2:$O$3015,'Web Feed'!$B$2:$B$3015,Points!$A$6,'Web Feed'!$H$2:$H$3015,$B260)+SUMIFS('Web Feed'!$O$2:$O$3015,'Web Feed'!$B$2:$B$3015,Points!$A$6,'Web Feed'!$I$2:$I$3015,$B260))</f>
        <v/>
      </c>
      <c r="I260">
        <f>IF($B260="","",COUNTIFS('Web Feed'!$B$2:$B$3015,"OHW",'Web Feed'!$F$2:$F$3015,$B260))</f>
        <v/>
      </c>
      <c r="J260">
        <f>IF($B260="","",IFERROR(INDEX('Last Week'!$A$2:$A$301,MATCH($B260,'Last Week'!$B$2:$B$301,0)),""))</f>
        <v/>
      </c>
      <c r="K260">
        <f>IF(OR($B260="",$J260=""),"",$J260-$A260)</f>
        <v/>
      </c>
    </row>
    <row r="261">
      <c r="A261">
        <f>IF($B261="","",RANK($C261,$C$2:$C$500))</f>
        <v/>
      </c>
      <c r="B261">
        <f>IF(Players!$A261="","",Players!$A261)</f>
        <v/>
      </c>
      <c r="C261" s="5">
        <f>IF($B261="","",SUM(D261:H261))</f>
        <v/>
      </c>
      <c r="D261">
        <f>IF($B261="","",SUMIFS('Web Feed'!$O$2:$O$3015,'Web Feed'!$B$2:$B$3015,Points!$A$2,'Web Feed'!$F$2:$F$3015,$B261)+SUMIFS('Web Feed'!$O$2:$O$3015,'Web Feed'!$B$2:$B$3015,Points!$A$2,'Web Feed'!$G$2:$G$3015,$B261)+SUMIFS('Web Feed'!$O$2:$O$3015,'Web Feed'!$B$2:$B$3015,Points!$A$2,'Web Feed'!$H$2:$H$3015,$B261)+SUMIFS('Web Feed'!$O$2:$O$3015,'Web Feed'!$B$2:$B$3015,Points!$A$2,'Web Feed'!$I$2:$I$3015,$B261))</f>
        <v/>
      </c>
      <c r="E261">
        <f>IF($B261="","",SUMIFS('Web Feed'!$O$2:$O$3015,'Web Feed'!$B$2:$B$3015,Points!$A$3,'Web Feed'!$F$2:$F$3015,$B261)+SUMIFS('Web Feed'!$O$2:$O$3015,'Web Feed'!$B$2:$B$3015,Points!$A$3,'Web Feed'!$G$2:$G$3015,$B261)+SUMIFS('Web Feed'!$O$2:$O$3015,'Web Feed'!$B$2:$B$3015,Points!$A$3,'Web Feed'!$H$2:$H$3015,$B261)+SUMIFS('Web Feed'!$O$2:$O$3015,'Web Feed'!$B$2:$B$3015,Points!$A$3,'Web Feed'!$I$2:$I$3015,$B261))</f>
        <v/>
      </c>
      <c r="F261">
        <f>IF($B261="","",SUMIFS('Web Feed'!$O$2:$O$3015,'Web Feed'!$B$2:$B$3015,Points!$A$4,'Web Feed'!$F$2:$F$3015,$B261)+SUMIFS('Web Feed'!$O$2:$O$3015,'Web Feed'!$B$2:$B$3015,Points!$A$4,'Web Feed'!$G$2:$G$3015,$B261)+SUMIFS('Web Feed'!$O$2:$O$3015,'Web Feed'!$B$2:$B$3015,Points!$A$4,'Web Feed'!$H$2:$H$3015,$B261)+SUMIFS('Web Feed'!$O$2:$O$3015,'Web Feed'!$B$2:$B$3015,Points!$A$4,'Web Feed'!$I$2:$I$3015,$B261))</f>
        <v/>
      </c>
      <c r="G261">
        <f>IF($B261="","",SUMIFS('Web Feed'!$O$2:$O$3015,'Web Feed'!$B$2:$B$3015,Points!$A$5,'Web Feed'!$F$2:$F$3015,$B261)+SUMIFS('Web Feed'!$O$2:$O$3015,'Web Feed'!$B$2:$B$3015,Points!$A$5,'Web Feed'!$G$2:$G$3015,$B261)+SUMIFS('Web Feed'!$O$2:$O$3015,'Web Feed'!$B$2:$B$3015,Points!$A$5,'Web Feed'!$H$2:$H$3015,$B261)+SUMIFS('Web Feed'!$O$2:$O$3015,'Web Feed'!$B$2:$B$3015,Points!$A$5,'Web Feed'!$I$2:$I$3015,$B261))</f>
        <v/>
      </c>
      <c r="H261">
        <f>IF($B261="","",SUMIFS('Web Feed'!$O$2:$O$3015,'Web Feed'!$B$2:$B$3015,Points!$A$6,'Web Feed'!$F$2:$F$3015,$B261)+SUMIFS('Web Feed'!$O$2:$O$3015,'Web Feed'!$B$2:$B$3015,Points!$A$6,'Web Feed'!$G$2:$G$3015,$B261)+SUMIFS('Web Feed'!$O$2:$O$3015,'Web Feed'!$B$2:$B$3015,Points!$A$6,'Web Feed'!$H$2:$H$3015,$B261)+SUMIFS('Web Feed'!$O$2:$O$3015,'Web Feed'!$B$2:$B$3015,Points!$A$6,'Web Feed'!$I$2:$I$3015,$B261))</f>
        <v/>
      </c>
      <c r="I261">
        <f>IF($B261="","",COUNTIFS('Web Feed'!$B$2:$B$3015,"OHW",'Web Feed'!$F$2:$F$3015,$B261))</f>
        <v/>
      </c>
      <c r="J261">
        <f>IF($B261="","",IFERROR(INDEX('Last Week'!$A$2:$A$301,MATCH($B261,'Last Week'!$B$2:$B$301,0)),""))</f>
        <v/>
      </c>
      <c r="K261">
        <f>IF(OR($B261="",$J261=""),"",$J261-$A261)</f>
        <v/>
      </c>
    </row>
    <row r="262">
      <c r="A262">
        <f>IF($B262="","",RANK($C262,$C$2:$C$500))</f>
        <v/>
      </c>
      <c r="B262">
        <f>IF(Players!$A262="","",Players!$A262)</f>
        <v/>
      </c>
      <c r="C262" s="5">
        <f>IF($B262="","",SUM(D262:H262))</f>
        <v/>
      </c>
      <c r="D262">
        <f>IF($B262="","",SUMIFS('Web Feed'!$O$2:$O$3015,'Web Feed'!$B$2:$B$3015,Points!$A$2,'Web Feed'!$F$2:$F$3015,$B262)+SUMIFS('Web Feed'!$O$2:$O$3015,'Web Feed'!$B$2:$B$3015,Points!$A$2,'Web Feed'!$G$2:$G$3015,$B262)+SUMIFS('Web Feed'!$O$2:$O$3015,'Web Feed'!$B$2:$B$3015,Points!$A$2,'Web Feed'!$H$2:$H$3015,$B262)+SUMIFS('Web Feed'!$O$2:$O$3015,'Web Feed'!$B$2:$B$3015,Points!$A$2,'Web Feed'!$I$2:$I$3015,$B262))</f>
        <v/>
      </c>
      <c r="E262">
        <f>IF($B262="","",SUMIFS('Web Feed'!$O$2:$O$3015,'Web Feed'!$B$2:$B$3015,Points!$A$3,'Web Feed'!$F$2:$F$3015,$B262)+SUMIFS('Web Feed'!$O$2:$O$3015,'Web Feed'!$B$2:$B$3015,Points!$A$3,'Web Feed'!$G$2:$G$3015,$B262)+SUMIFS('Web Feed'!$O$2:$O$3015,'Web Feed'!$B$2:$B$3015,Points!$A$3,'Web Feed'!$H$2:$H$3015,$B262)+SUMIFS('Web Feed'!$O$2:$O$3015,'Web Feed'!$B$2:$B$3015,Points!$A$3,'Web Feed'!$I$2:$I$3015,$B262))</f>
        <v/>
      </c>
      <c r="F262">
        <f>IF($B262="","",SUMIFS('Web Feed'!$O$2:$O$3015,'Web Feed'!$B$2:$B$3015,Points!$A$4,'Web Feed'!$F$2:$F$3015,$B262)+SUMIFS('Web Feed'!$O$2:$O$3015,'Web Feed'!$B$2:$B$3015,Points!$A$4,'Web Feed'!$G$2:$G$3015,$B262)+SUMIFS('Web Feed'!$O$2:$O$3015,'Web Feed'!$B$2:$B$3015,Points!$A$4,'Web Feed'!$H$2:$H$3015,$B262)+SUMIFS('Web Feed'!$O$2:$O$3015,'Web Feed'!$B$2:$B$3015,Points!$A$4,'Web Feed'!$I$2:$I$3015,$B262))</f>
        <v/>
      </c>
      <c r="G262">
        <f>IF($B262="","",SUMIFS('Web Feed'!$O$2:$O$3015,'Web Feed'!$B$2:$B$3015,Points!$A$5,'Web Feed'!$F$2:$F$3015,$B262)+SUMIFS('Web Feed'!$O$2:$O$3015,'Web Feed'!$B$2:$B$3015,Points!$A$5,'Web Feed'!$G$2:$G$3015,$B262)+SUMIFS('Web Feed'!$O$2:$O$3015,'Web Feed'!$B$2:$B$3015,Points!$A$5,'Web Feed'!$H$2:$H$3015,$B262)+SUMIFS('Web Feed'!$O$2:$O$3015,'Web Feed'!$B$2:$B$3015,Points!$A$5,'Web Feed'!$I$2:$I$3015,$B262))</f>
        <v/>
      </c>
      <c r="H262">
        <f>IF($B262="","",SUMIFS('Web Feed'!$O$2:$O$3015,'Web Feed'!$B$2:$B$3015,Points!$A$6,'Web Feed'!$F$2:$F$3015,$B262)+SUMIFS('Web Feed'!$O$2:$O$3015,'Web Feed'!$B$2:$B$3015,Points!$A$6,'Web Feed'!$G$2:$G$3015,$B262)+SUMIFS('Web Feed'!$O$2:$O$3015,'Web Feed'!$B$2:$B$3015,Points!$A$6,'Web Feed'!$H$2:$H$3015,$B262)+SUMIFS('Web Feed'!$O$2:$O$3015,'Web Feed'!$B$2:$B$3015,Points!$A$6,'Web Feed'!$I$2:$I$3015,$B262))</f>
        <v/>
      </c>
      <c r="I262">
        <f>IF($B262="","",COUNTIFS('Web Feed'!$B$2:$B$3015,"OHW",'Web Feed'!$F$2:$F$3015,$B262))</f>
        <v/>
      </c>
      <c r="J262">
        <f>IF($B262="","",IFERROR(INDEX('Last Week'!$A$2:$A$301,MATCH($B262,'Last Week'!$B$2:$B$301,0)),""))</f>
        <v/>
      </c>
      <c r="K262">
        <f>IF(OR($B262="",$J262=""),"",$J262-$A262)</f>
        <v/>
      </c>
    </row>
    <row r="263">
      <c r="A263">
        <f>IF($B263="","",RANK($C263,$C$2:$C$500))</f>
        <v/>
      </c>
      <c r="B263">
        <f>IF(Players!$A263="","",Players!$A263)</f>
        <v/>
      </c>
      <c r="C263" s="5">
        <f>IF($B263="","",SUM(D263:H263))</f>
        <v/>
      </c>
      <c r="D263">
        <f>IF($B263="","",SUMIFS('Web Feed'!$O$2:$O$3015,'Web Feed'!$B$2:$B$3015,Points!$A$2,'Web Feed'!$F$2:$F$3015,$B263)+SUMIFS('Web Feed'!$O$2:$O$3015,'Web Feed'!$B$2:$B$3015,Points!$A$2,'Web Feed'!$G$2:$G$3015,$B263)+SUMIFS('Web Feed'!$O$2:$O$3015,'Web Feed'!$B$2:$B$3015,Points!$A$2,'Web Feed'!$H$2:$H$3015,$B263)+SUMIFS('Web Feed'!$O$2:$O$3015,'Web Feed'!$B$2:$B$3015,Points!$A$2,'Web Feed'!$I$2:$I$3015,$B263))</f>
        <v/>
      </c>
      <c r="E263">
        <f>IF($B263="","",SUMIFS('Web Feed'!$O$2:$O$3015,'Web Feed'!$B$2:$B$3015,Points!$A$3,'Web Feed'!$F$2:$F$3015,$B263)+SUMIFS('Web Feed'!$O$2:$O$3015,'Web Feed'!$B$2:$B$3015,Points!$A$3,'Web Feed'!$G$2:$G$3015,$B263)+SUMIFS('Web Feed'!$O$2:$O$3015,'Web Feed'!$B$2:$B$3015,Points!$A$3,'Web Feed'!$H$2:$H$3015,$B263)+SUMIFS('Web Feed'!$O$2:$O$3015,'Web Feed'!$B$2:$B$3015,Points!$A$3,'Web Feed'!$I$2:$I$3015,$B263))</f>
        <v/>
      </c>
      <c r="F263">
        <f>IF($B263="","",SUMIFS('Web Feed'!$O$2:$O$3015,'Web Feed'!$B$2:$B$3015,Points!$A$4,'Web Feed'!$F$2:$F$3015,$B263)+SUMIFS('Web Feed'!$O$2:$O$3015,'Web Feed'!$B$2:$B$3015,Points!$A$4,'Web Feed'!$G$2:$G$3015,$B263)+SUMIFS('Web Feed'!$O$2:$O$3015,'Web Feed'!$B$2:$B$3015,Points!$A$4,'Web Feed'!$H$2:$H$3015,$B263)+SUMIFS('Web Feed'!$O$2:$O$3015,'Web Feed'!$B$2:$B$3015,Points!$A$4,'Web Feed'!$I$2:$I$3015,$B263))</f>
        <v/>
      </c>
      <c r="G263">
        <f>IF($B263="","",SUMIFS('Web Feed'!$O$2:$O$3015,'Web Feed'!$B$2:$B$3015,Points!$A$5,'Web Feed'!$F$2:$F$3015,$B263)+SUMIFS('Web Feed'!$O$2:$O$3015,'Web Feed'!$B$2:$B$3015,Points!$A$5,'Web Feed'!$G$2:$G$3015,$B263)+SUMIFS('Web Feed'!$O$2:$O$3015,'Web Feed'!$B$2:$B$3015,Points!$A$5,'Web Feed'!$H$2:$H$3015,$B263)+SUMIFS('Web Feed'!$O$2:$O$3015,'Web Feed'!$B$2:$B$3015,Points!$A$5,'Web Feed'!$I$2:$I$3015,$B263))</f>
        <v/>
      </c>
      <c r="H263">
        <f>IF($B263="","",SUMIFS('Web Feed'!$O$2:$O$3015,'Web Feed'!$B$2:$B$3015,Points!$A$6,'Web Feed'!$F$2:$F$3015,$B263)+SUMIFS('Web Feed'!$O$2:$O$3015,'Web Feed'!$B$2:$B$3015,Points!$A$6,'Web Feed'!$G$2:$G$3015,$B263)+SUMIFS('Web Feed'!$O$2:$O$3015,'Web Feed'!$B$2:$B$3015,Points!$A$6,'Web Feed'!$H$2:$H$3015,$B263)+SUMIFS('Web Feed'!$O$2:$O$3015,'Web Feed'!$B$2:$B$3015,Points!$A$6,'Web Feed'!$I$2:$I$3015,$B263))</f>
        <v/>
      </c>
      <c r="I263">
        <f>IF($B263="","",COUNTIFS('Web Feed'!$B$2:$B$3015,"OHW",'Web Feed'!$F$2:$F$3015,$B263))</f>
        <v/>
      </c>
      <c r="J263">
        <f>IF($B263="","",IFERROR(INDEX('Last Week'!$A$2:$A$301,MATCH($B263,'Last Week'!$B$2:$B$301,0)),""))</f>
        <v/>
      </c>
      <c r="K263">
        <f>IF(OR($B263="",$J263=""),"",$J263-$A263)</f>
        <v/>
      </c>
    </row>
    <row r="264">
      <c r="A264">
        <f>IF($B264="","",RANK($C264,$C$2:$C$500))</f>
        <v/>
      </c>
      <c r="B264">
        <f>IF(Players!$A264="","",Players!$A264)</f>
        <v/>
      </c>
      <c r="C264" s="5">
        <f>IF($B264="","",SUM(D264:H264))</f>
        <v/>
      </c>
      <c r="D264">
        <f>IF($B264="","",SUMIFS('Web Feed'!$O$2:$O$3015,'Web Feed'!$B$2:$B$3015,Points!$A$2,'Web Feed'!$F$2:$F$3015,$B264)+SUMIFS('Web Feed'!$O$2:$O$3015,'Web Feed'!$B$2:$B$3015,Points!$A$2,'Web Feed'!$G$2:$G$3015,$B264)+SUMIFS('Web Feed'!$O$2:$O$3015,'Web Feed'!$B$2:$B$3015,Points!$A$2,'Web Feed'!$H$2:$H$3015,$B264)+SUMIFS('Web Feed'!$O$2:$O$3015,'Web Feed'!$B$2:$B$3015,Points!$A$2,'Web Feed'!$I$2:$I$3015,$B264))</f>
        <v/>
      </c>
      <c r="E264">
        <f>IF($B264="","",SUMIFS('Web Feed'!$O$2:$O$3015,'Web Feed'!$B$2:$B$3015,Points!$A$3,'Web Feed'!$F$2:$F$3015,$B264)+SUMIFS('Web Feed'!$O$2:$O$3015,'Web Feed'!$B$2:$B$3015,Points!$A$3,'Web Feed'!$G$2:$G$3015,$B264)+SUMIFS('Web Feed'!$O$2:$O$3015,'Web Feed'!$B$2:$B$3015,Points!$A$3,'Web Feed'!$H$2:$H$3015,$B264)+SUMIFS('Web Feed'!$O$2:$O$3015,'Web Feed'!$B$2:$B$3015,Points!$A$3,'Web Feed'!$I$2:$I$3015,$B264))</f>
        <v/>
      </c>
      <c r="F264">
        <f>IF($B264="","",SUMIFS('Web Feed'!$O$2:$O$3015,'Web Feed'!$B$2:$B$3015,Points!$A$4,'Web Feed'!$F$2:$F$3015,$B264)+SUMIFS('Web Feed'!$O$2:$O$3015,'Web Feed'!$B$2:$B$3015,Points!$A$4,'Web Feed'!$G$2:$G$3015,$B264)+SUMIFS('Web Feed'!$O$2:$O$3015,'Web Feed'!$B$2:$B$3015,Points!$A$4,'Web Feed'!$H$2:$H$3015,$B264)+SUMIFS('Web Feed'!$O$2:$O$3015,'Web Feed'!$B$2:$B$3015,Points!$A$4,'Web Feed'!$I$2:$I$3015,$B264))</f>
        <v/>
      </c>
      <c r="G264">
        <f>IF($B264="","",SUMIFS('Web Feed'!$O$2:$O$3015,'Web Feed'!$B$2:$B$3015,Points!$A$5,'Web Feed'!$F$2:$F$3015,$B264)+SUMIFS('Web Feed'!$O$2:$O$3015,'Web Feed'!$B$2:$B$3015,Points!$A$5,'Web Feed'!$G$2:$G$3015,$B264)+SUMIFS('Web Feed'!$O$2:$O$3015,'Web Feed'!$B$2:$B$3015,Points!$A$5,'Web Feed'!$H$2:$H$3015,$B264)+SUMIFS('Web Feed'!$O$2:$O$3015,'Web Feed'!$B$2:$B$3015,Points!$A$5,'Web Feed'!$I$2:$I$3015,$B264))</f>
        <v/>
      </c>
      <c r="H264">
        <f>IF($B264="","",SUMIFS('Web Feed'!$O$2:$O$3015,'Web Feed'!$B$2:$B$3015,Points!$A$6,'Web Feed'!$F$2:$F$3015,$B264)+SUMIFS('Web Feed'!$O$2:$O$3015,'Web Feed'!$B$2:$B$3015,Points!$A$6,'Web Feed'!$G$2:$G$3015,$B264)+SUMIFS('Web Feed'!$O$2:$O$3015,'Web Feed'!$B$2:$B$3015,Points!$A$6,'Web Feed'!$H$2:$H$3015,$B264)+SUMIFS('Web Feed'!$O$2:$O$3015,'Web Feed'!$B$2:$B$3015,Points!$A$6,'Web Feed'!$I$2:$I$3015,$B264))</f>
        <v/>
      </c>
      <c r="I264">
        <f>IF($B264="","",COUNTIFS('Web Feed'!$B$2:$B$3015,"OHW",'Web Feed'!$F$2:$F$3015,$B264))</f>
        <v/>
      </c>
      <c r="J264">
        <f>IF($B264="","",IFERROR(INDEX('Last Week'!$A$2:$A$301,MATCH($B264,'Last Week'!$B$2:$B$301,0)),""))</f>
        <v/>
      </c>
      <c r="K264">
        <f>IF(OR($B264="",$J264=""),"",$J264-$A264)</f>
        <v/>
      </c>
    </row>
    <row r="265">
      <c r="A265">
        <f>IF($B265="","",RANK($C265,$C$2:$C$500))</f>
        <v/>
      </c>
      <c r="B265">
        <f>IF(Players!$A265="","",Players!$A265)</f>
        <v/>
      </c>
      <c r="C265" s="5">
        <f>IF($B265="","",SUM(D265:H265))</f>
        <v/>
      </c>
      <c r="D265">
        <f>IF($B265="","",SUMIFS('Web Feed'!$O$2:$O$3015,'Web Feed'!$B$2:$B$3015,Points!$A$2,'Web Feed'!$F$2:$F$3015,$B265)+SUMIFS('Web Feed'!$O$2:$O$3015,'Web Feed'!$B$2:$B$3015,Points!$A$2,'Web Feed'!$G$2:$G$3015,$B265)+SUMIFS('Web Feed'!$O$2:$O$3015,'Web Feed'!$B$2:$B$3015,Points!$A$2,'Web Feed'!$H$2:$H$3015,$B265)+SUMIFS('Web Feed'!$O$2:$O$3015,'Web Feed'!$B$2:$B$3015,Points!$A$2,'Web Feed'!$I$2:$I$3015,$B265))</f>
        <v/>
      </c>
      <c r="E265">
        <f>IF($B265="","",SUMIFS('Web Feed'!$O$2:$O$3015,'Web Feed'!$B$2:$B$3015,Points!$A$3,'Web Feed'!$F$2:$F$3015,$B265)+SUMIFS('Web Feed'!$O$2:$O$3015,'Web Feed'!$B$2:$B$3015,Points!$A$3,'Web Feed'!$G$2:$G$3015,$B265)+SUMIFS('Web Feed'!$O$2:$O$3015,'Web Feed'!$B$2:$B$3015,Points!$A$3,'Web Feed'!$H$2:$H$3015,$B265)+SUMIFS('Web Feed'!$O$2:$O$3015,'Web Feed'!$B$2:$B$3015,Points!$A$3,'Web Feed'!$I$2:$I$3015,$B265))</f>
        <v/>
      </c>
      <c r="F265">
        <f>IF($B265="","",SUMIFS('Web Feed'!$O$2:$O$3015,'Web Feed'!$B$2:$B$3015,Points!$A$4,'Web Feed'!$F$2:$F$3015,$B265)+SUMIFS('Web Feed'!$O$2:$O$3015,'Web Feed'!$B$2:$B$3015,Points!$A$4,'Web Feed'!$G$2:$G$3015,$B265)+SUMIFS('Web Feed'!$O$2:$O$3015,'Web Feed'!$B$2:$B$3015,Points!$A$4,'Web Feed'!$H$2:$H$3015,$B265)+SUMIFS('Web Feed'!$O$2:$O$3015,'Web Feed'!$B$2:$B$3015,Points!$A$4,'Web Feed'!$I$2:$I$3015,$B265))</f>
        <v/>
      </c>
      <c r="G265">
        <f>IF($B265="","",SUMIFS('Web Feed'!$O$2:$O$3015,'Web Feed'!$B$2:$B$3015,Points!$A$5,'Web Feed'!$F$2:$F$3015,$B265)+SUMIFS('Web Feed'!$O$2:$O$3015,'Web Feed'!$B$2:$B$3015,Points!$A$5,'Web Feed'!$G$2:$G$3015,$B265)+SUMIFS('Web Feed'!$O$2:$O$3015,'Web Feed'!$B$2:$B$3015,Points!$A$5,'Web Feed'!$H$2:$H$3015,$B265)+SUMIFS('Web Feed'!$O$2:$O$3015,'Web Feed'!$B$2:$B$3015,Points!$A$5,'Web Feed'!$I$2:$I$3015,$B265))</f>
        <v/>
      </c>
      <c r="H265">
        <f>IF($B265="","",SUMIFS('Web Feed'!$O$2:$O$3015,'Web Feed'!$B$2:$B$3015,Points!$A$6,'Web Feed'!$F$2:$F$3015,$B265)+SUMIFS('Web Feed'!$O$2:$O$3015,'Web Feed'!$B$2:$B$3015,Points!$A$6,'Web Feed'!$G$2:$G$3015,$B265)+SUMIFS('Web Feed'!$O$2:$O$3015,'Web Feed'!$B$2:$B$3015,Points!$A$6,'Web Feed'!$H$2:$H$3015,$B265)+SUMIFS('Web Feed'!$O$2:$O$3015,'Web Feed'!$B$2:$B$3015,Points!$A$6,'Web Feed'!$I$2:$I$3015,$B265))</f>
        <v/>
      </c>
      <c r="I265">
        <f>IF($B265="","",COUNTIFS('Web Feed'!$B$2:$B$3015,"OHW",'Web Feed'!$F$2:$F$3015,$B265))</f>
        <v/>
      </c>
      <c r="J265">
        <f>IF($B265="","",IFERROR(INDEX('Last Week'!$A$2:$A$301,MATCH($B265,'Last Week'!$B$2:$B$301,0)),""))</f>
        <v/>
      </c>
      <c r="K265">
        <f>IF(OR($B265="",$J265=""),"",$J265-$A265)</f>
        <v/>
      </c>
    </row>
    <row r="266">
      <c r="A266">
        <f>IF($B266="","",RANK($C266,$C$2:$C$500))</f>
        <v/>
      </c>
      <c r="B266">
        <f>IF(Players!$A266="","",Players!$A266)</f>
        <v/>
      </c>
      <c r="C266" s="5">
        <f>IF($B266="","",SUM(D266:H266))</f>
        <v/>
      </c>
      <c r="D266">
        <f>IF($B266="","",SUMIFS('Web Feed'!$O$2:$O$3015,'Web Feed'!$B$2:$B$3015,Points!$A$2,'Web Feed'!$F$2:$F$3015,$B266)+SUMIFS('Web Feed'!$O$2:$O$3015,'Web Feed'!$B$2:$B$3015,Points!$A$2,'Web Feed'!$G$2:$G$3015,$B266)+SUMIFS('Web Feed'!$O$2:$O$3015,'Web Feed'!$B$2:$B$3015,Points!$A$2,'Web Feed'!$H$2:$H$3015,$B266)+SUMIFS('Web Feed'!$O$2:$O$3015,'Web Feed'!$B$2:$B$3015,Points!$A$2,'Web Feed'!$I$2:$I$3015,$B266))</f>
        <v/>
      </c>
      <c r="E266">
        <f>IF($B266="","",SUMIFS('Web Feed'!$O$2:$O$3015,'Web Feed'!$B$2:$B$3015,Points!$A$3,'Web Feed'!$F$2:$F$3015,$B266)+SUMIFS('Web Feed'!$O$2:$O$3015,'Web Feed'!$B$2:$B$3015,Points!$A$3,'Web Feed'!$G$2:$G$3015,$B266)+SUMIFS('Web Feed'!$O$2:$O$3015,'Web Feed'!$B$2:$B$3015,Points!$A$3,'Web Feed'!$H$2:$H$3015,$B266)+SUMIFS('Web Feed'!$O$2:$O$3015,'Web Feed'!$B$2:$B$3015,Points!$A$3,'Web Feed'!$I$2:$I$3015,$B266))</f>
        <v/>
      </c>
      <c r="F266">
        <f>IF($B266="","",SUMIFS('Web Feed'!$O$2:$O$3015,'Web Feed'!$B$2:$B$3015,Points!$A$4,'Web Feed'!$F$2:$F$3015,$B266)+SUMIFS('Web Feed'!$O$2:$O$3015,'Web Feed'!$B$2:$B$3015,Points!$A$4,'Web Feed'!$G$2:$G$3015,$B266)+SUMIFS('Web Feed'!$O$2:$O$3015,'Web Feed'!$B$2:$B$3015,Points!$A$4,'Web Feed'!$H$2:$H$3015,$B266)+SUMIFS('Web Feed'!$O$2:$O$3015,'Web Feed'!$B$2:$B$3015,Points!$A$4,'Web Feed'!$I$2:$I$3015,$B266))</f>
        <v/>
      </c>
      <c r="G266">
        <f>IF($B266="","",SUMIFS('Web Feed'!$O$2:$O$3015,'Web Feed'!$B$2:$B$3015,Points!$A$5,'Web Feed'!$F$2:$F$3015,$B266)+SUMIFS('Web Feed'!$O$2:$O$3015,'Web Feed'!$B$2:$B$3015,Points!$A$5,'Web Feed'!$G$2:$G$3015,$B266)+SUMIFS('Web Feed'!$O$2:$O$3015,'Web Feed'!$B$2:$B$3015,Points!$A$5,'Web Feed'!$H$2:$H$3015,$B266)+SUMIFS('Web Feed'!$O$2:$O$3015,'Web Feed'!$B$2:$B$3015,Points!$A$5,'Web Feed'!$I$2:$I$3015,$B266))</f>
        <v/>
      </c>
      <c r="H266">
        <f>IF($B266="","",SUMIFS('Web Feed'!$O$2:$O$3015,'Web Feed'!$B$2:$B$3015,Points!$A$6,'Web Feed'!$F$2:$F$3015,$B266)+SUMIFS('Web Feed'!$O$2:$O$3015,'Web Feed'!$B$2:$B$3015,Points!$A$6,'Web Feed'!$G$2:$G$3015,$B266)+SUMIFS('Web Feed'!$O$2:$O$3015,'Web Feed'!$B$2:$B$3015,Points!$A$6,'Web Feed'!$H$2:$H$3015,$B266)+SUMIFS('Web Feed'!$O$2:$O$3015,'Web Feed'!$B$2:$B$3015,Points!$A$6,'Web Feed'!$I$2:$I$3015,$B266))</f>
        <v/>
      </c>
      <c r="I266">
        <f>IF($B266="","",COUNTIFS('Web Feed'!$B$2:$B$3015,"OHW",'Web Feed'!$F$2:$F$3015,$B266))</f>
        <v/>
      </c>
      <c r="J266">
        <f>IF($B266="","",IFERROR(INDEX('Last Week'!$A$2:$A$301,MATCH($B266,'Last Week'!$B$2:$B$301,0)),""))</f>
        <v/>
      </c>
      <c r="K266">
        <f>IF(OR($B266="",$J266=""),"",$J266-$A266)</f>
        <v/>
      </c>
    </row>
    <row r="267">
      <c r="A267">
        <f>IF($B267="","",RANK($C267,$C$2:$C$500))</f>
        <v/>
      </c>
      <c r="B267">
        <f>IF(Players!$A267="","",Players!$A267)</f>
        <v/>
      </c>
      <c r="C267" s="5">
        <f>IF($B267="","",SUM(D267:H267))</f>
        <v/>
      </c>
      <c r="D267">
        <f>IF($B267="","",SUMIFS('Web Feed'!$O$2:$O$3015,'Web Feed'!$B$2:$B$3015,Points!$A$2,'Web Feed'!$F$2:$F$3015,$B267)+SUMIFS('Web Feed'!$O$2:$O$3015,'Web Feed'!$B$2:$B$3015,Points!$A$2,'Web Feed'!$G$2:$G$3015,$B267)+SUMIFS('Web Feed'!$O$2:$O$3015,'Web Feed'!$B$2:$B$3015,Points!$A$2,'Web Feed'!$H$2:$H$3015,$B267)+SUMIFS('Web Feed'!$O$2:$O$3015,'Web Feed'!$B$2:$B$3015,Points!$A$2,'Web Feed'!$I$2:$I$3015,$B267))</f>
        <v/>
      </c>
      <c r="E267">
        <f>IF($B267="","",SUMIFS('Web Feed'!$O$2:$O$3015,'Web Feed'!$B$2:$B$3015,Points!$A$3,'Web Feed'!$F$2:$F$3015,$B267)+SUMIFS('Web Feed'!$O$2:$O$3015,'Web Feed'!$B$2:$B$3015,Points!$A$3,'Web Feed'!$G$2:$G$3015,$B267)+SUMIFS('Web Feed'!$O$2:$O$3015,'Web Feed'!$B$2:$B$3015,Points!$A$3,'Web Feed'!$H$2:$H$3015,$B267)+SUMIFS('Web Feed'!$O$2:$O$3015,'Web Feed'!$B$2:$B$3015,Points!$A$3,'Web Feed'!$I$2:$I$3015,$B267))</f>
        <v/>
      </c>
      <c r="F267">
        <f>IF($B267="","",SUMIFS('Web Feed'!$O$2:$O$3015,'Web Feed'!$B$2:$B$3015,Points!$A$4,'Web Feed'!$F$2:$F$3015,$B267)+SUMIFS('Web Feed'!$O$2:$O$3015,'Web Feed'!$B$2:$B$3015,Points!$A$4,'Web Feed'!$G$2:$G$3015,$B267)+SUMIFS('Web Feed'!$O$2:$O$3015,'Web Feed'!$B$2:$B$3015,Points!$A$4,'Web Feed'!$H$2:$H$3015,$B267)+SUMIFS('Web Feed'!$O$2:$O$3015,'Web Feed'!$B$2:$B$3015,Points!$A$4,'Web Feed'!$I$2:$I$3015,$B267))</f>
        <v/>
      </c>
      <c r="G267">
        <f>IF($B267="","",SUMIFS('Web Feed'!$O$2:$O$3015,'Web Feed'!$B$2:$B$3015,Points!$A$5,'Web Feed'!$F$2:$F$3015,$B267)+SUMIFS('Web Feed'!$O$2:$O$3015,'Web Feed'!$B$2:$B$3015,Points!$A$5,'Web Feed'!$G$2:$G$3015,$B267)+SUMIFS('Web Feed'!$O$2:$O$3015,'Web Feed'!$B$2:$B$3015,Points!$A$5,'Web Feed'!$H$2:$H$3015,$B267)+SUMIFS('Web Feed'!$O$2:$O$3015,'Web Feed'!$B$2:$B$3015,Points!$A$5,'Web Feed'!$I$2:$I$3015,$B267))</f>
        <v/>
      </c>
      <c r="H267">
        <f>IF($B267="","",SUMIFS('Web Feed'!$O$2:$O$3015,'Web Feed'!$B$2:$B$3015,Points!$A$6,'Web Feed'!$F$2:$F$3015,$B267)+SUMIFS('Web Feed'!$O$2:$O$3015,'Web Feed'!$B$2:$B$3015,Points!$A$6,'Web Feed'!$G$2:$G$3015,$B267)+SUMIFS('Web Feed'!$O$2:$O$3015,'Web Feed'!$B$2:$B$3015,Points!$A$6,'Web Feed'!$H$2:$H$3015,$B267)+SUMIFS('Web Feed'!$O$2:$O$3015,'Web Feed'!$B$2:$B$3015,Points!$A$6,'Web Feed'!$I$2:$I$3015,$B267))</f>
        <v/>
      </c>
      <c r="I267">
        <f>IF($B267="","",COUNTIFS('Web Feed'!$B$2:$B$3015,"OHW",'Web Feed'!$F$2:$F$3015,$B267))</f>
        <v/>
      </c>
      <c r="J267">
        <f>IF($B267="","",IFERROR(INDEX('Last Week'!$A$2:$A$301,MATCH($B267,'Last Week'!$B$2:$B$301,0)),""))</f>
        <v/>
      </c>
      <c r="K267">
        <f>IF(OR($B267="",$J267=""),"",$J267-$A267)</f>
        <v/>
      </c>
    </row>
    <row r="268">
      <c r="A268">
        <f>IF($B268="","",RANK($C268,$C$2:$C$500))</f>
        <v/>
      </c>
      <c r="B268">
        <f>IF(Players!$A268="","",Players!$A268)</f>
        <v/>
      </c>
      <c r="C268" s="5">
        <f>IF($B268="","",SUM(D268:H268))</f>
        <v/>
      </c>
      <c r="D268">
        <f>IF($B268="","",SUMIFS('Web Feed'!$O$2:$O$3015,'Web Feed'!$B$2:$B$3015,Points!$A$2,'Web Feed'!$F$2:$F$3015,$B268)+SUMIFS('Web Feed'!$O$2:$O$3015,'Web Feed'!$B$2:$B$3015,Points!$A$2,'Web Feed'!$G$2:$G$3015,$B268)+SUMIFS('Web Feed'!$O$2:$O$3015,'Web Feed'!$B$2:$B$3015,Points!$A$2,'Web Feed'!$H$2:$H$3015,$B268)+SUMIFS('Web Feed'!$O$2:$O$3015,'Web Feed'!$B$2:$B$3015,Points!$A$2,'Web Feed'!$I$2:$I$3015,$B268))</f>
        <v/>
      </c>
      <c r="E268">
        <f>IF($B268="","",SUMIFS('Web Feed'!$O$2:$O$3015,'Web Feed'!$B$2:$B$3015,Points!$A$3,'Web Feed'!$F$2:$F$3015,$B268)+SUMIFS('Web Feed'!$O$2:$O$3015,'Web Feed'!$B$2:$B$3015,Points!$A$3,'Web Feed'!$G$2:$G$3015,$B268)+SUMIFS('Web Feed'!$O$2:$O$3015,'Web Feed'!$B$2:$B$3015,Points!$A$3,'Web Feed'!$H$2:$H$3015,$B268)+SUMIFS('Web Feed'!$O$2:$O$3015,'Web Feed'!$B$2:$B$3015,Points!$A$3,'Web Feed'!$I$2:$I$3015,$B268))</f>
        <v/>
      </c>
      <c r="F268">
        <f>IF($B268="","",SUMIFS('Web Feed'!$O$2:$O$3015,'Web Feed'!$B$2:$B$3015,Points!$A$4,'Web Feed'!$F$2:$F$3015,$B268)+SUMIFS('Web Feed'!$O$2:$O$3015,'Web Feed'!$B$2:$B$3015,Points!$A$4,'Web Feed'!$G$2:$G$3015,$B268)+SUMIFS('Web Feed'!$O$2:$O$3015,'Web Feed'!$B$2:$B$3015,Points!$A$4,'Web Feed'!$H$2:$H$3015,$B268)+SUMIFS('Web Feed'!$O$2:$O$3015,'Web Feed'!$B$2:$B$3015,Points!$A$4,'Web Feed'!$I$2:$I$3015,$B268))</f>
        <v/>
      </c>
      <c r="G268">
        <f>IF($B268="","",SUMIFS('Web Feed'!$O$2:$O$3015,'Web Feed'!$B$2:$B$3015,Points!$A$5,'Web Feed'!$F$2:$F$3015,$B268)+SUMIFS('Web Feed'!$O$2:$O$3015,'Web Feed'!$B$2:$B$3015,Points!$A$5,'Web Feed'!$G$2:$G$3015,$B268)+SUMIFS('Web Feed'!$O$2:$O$3015,'Web Feed'!$B$2:$B$3015,Points!$A$5,'Web Feed'!$H$2:$H$3015,$B268)+SUMIFS('Web Feed'!$O$2:$O$3015,'Web Feed'!$B$2:$B$3015,Points!$A$5,'Web Feed'!$I$2:$I$3015,$B268))</f>
        <v/>
      </c>
      <c r="H268">
        <f>IF($B268="","",SUMIFS('Web Feed'!$O$2:$O$3015,'Web Feed'!$B$2:$B$3015,Points!$A$6,'Web Feed'!$F$2:$F$3015,$B268)+SUMIFS('Web Feed'!$O$2:$O$3015,'Web Feed'!$B$2:$B$3015,Points!$A$6,'Web Feed'!$G$2:$G$3015,$B268)+SUMIFS('Web Feed'!$O$2:$O$3015,'Web Feed'!$B$2:$B$3015,Points!$A$6,'Web Feed'!$H$2:$H$3015,$B268)+SUMIFS('Web Feed'!$O$2:$O$3015,'Web Feed'!$B$2:$B$3015,Points!$A$6,'Web Feed'!$I$2:$I$3015,$B268))</f>
        <v/>
      </c>
      <c r="I268">
        <f>IF($B268="","",COUNTIFS('Web Feed'!$B$2:$B$3015,"OHW",'Web Feed'!$F$2:$F$3015,$B268))</f>
        <v/>
      </c>
      <c r="J268">
        <f>IF($B268="","",IFERROR(INDEX('Last Week'!$A$2:$A$301,MATCH($B268,'Last Week'!$B$2:$B$301,0)),""))</f>
        <v/>
      </c>
      <c r="K268">
        <f>IF(OR($B268="",$J268=""),"",$J268-$A268)</f>
        <v/>
      </c>
    </row>
    <row r="269">
      <c r="A269">
        <f>IF($B269="","",RANK($C269,$C$2:$C$500))</f>
        <v/>
      </c>
      <c r="B269">
        <f>IF(Players!$A269="","",Players!$A269)</f>
        <v/>
      </c>
      <c r="C269" s="5">
        <f>IF($B269="","",SUM(D269:H269))</f>
        <v/>
      </c>
      <c r="D269">
        <f>IF($B269="","",SUMIFS('Web Feed'!$O$2:$O$3015,'Web Feed'!$B$2:$B$3015,Points!$A$2,'Web Feed'!$F$2:$F$3015,$B269)+SUMIFS('Web Feed'!$O$2:$O$3015,'Web Feed'!$B$2:$B$3015,Points!$A$2,'Web Feed'!$G$2:$G$3015,$B269)+SUMIFS('Web Feed'!$O$2:$O$3015,'Web Feed'!$B$2:$B$3015,Points!$A$2,'Web Feed'!$H$2:$H$3015,$B269)+SUMIFS('Web Feed'!$O$2:$O$3015,'Web Feed'!$B$2:$B$3015,Points!$A$2,'Web Feed'!$I$2:$I$3015,$B269))</f>
        <v/>
      </c>
      <c r="E269">
        <f>IF($B269="","",SUMIFS('Web Feed'!$O$2:$O$3015,'Web Feed'!$B$2:$B$3015,Points!$A$3,'Web Feed'!$F$2:$F$3015,$B269)+SUMIFS('Web Feed'!$O$2:$O$3015,'Web Feed'!$B$2:$B$3015,Points!$A$3,'Web Feed'!$G$2:$G$3015,$B269)+SUMIFS('Web Feed'!$O$2:$O$3015,'Web Feed'!$B$2:$B$3015,Points!$A$3,'Web Feed'!$H$2:$H$3015,$B269)+SUMIFS('Web Feed'!$O$2:$O$3015,'Web Feed'!$B$2:$B$3015,Points!$A$3,'Web Feed'!$I$2:$I$3015,$B269))</f>
        <v/>
      </c>
      <c r="F269">
        <f>IF($B269="","",SUMIFS('Web Feed'!$O$2:$O$3015,'Web Feed'!$B$2:$B$3015,Points!$A$4,'Web Feed'!$F$2:$F$3015,$B269)+SUMIFS('Web Feed'!$O$2:$O$3015,'Web Feed'!$B$2:$B$3015,Points!$A$4,'Web Feed'!$G$2:$G$3015,$B269)+SUMIFS('Web Feed'!$O$2:$O$3015,'Web Feed'!$B$2:$B$3015,Points!$A$4,'Web Feed'!$H$2:$H$3015,$B269)+SUMIFS('Web Feed'!$O$2:$O$3015,'Web Feed'!$B$2:$B$3015,Points!$A$4,'Web Feed'!$I$2:$I$3015,$B269))</f>
        <v/>
      </c>
      <c r="G269">
        <f>IF($B269="","",SUMIFS('Web Feed'!$O$2:$O$3015,'Web Feed'!$B$2:$B$3015,Points!$A$5,'Web Feed'!$F$2:$F$3015,$B269)+SUMIFS('Web Feed'!$O$2:$O$3015,'Web Feed'!$B$2:$B$3015,Points!$A$5,'Web Feed'!$G$2:$G$3015,$B269)+SUMIFS('Web Feed'!$O$2:$O$3015,'Web Feed'!$B$2:$B$3015,Points!$A$5,'Web Feed'!$H$2:$H$3015,$B269)+SUMIFS('Web Feed'!$O$2:$O$3015,'Web Feed'!$B$2:$B$3015,Points!$A$5,'Web Feed'!$I$2:$I$3015,$B269))</f>
        <v/>
      </c>
      <c r="H269">
        <f>IF($B269="","",SUMIFS('Web Feed'!$O$2:$O$3015,'Web Feed'!$B$2:$B$3015,Points!$A$6,'Web Feed'!$F$2:$F$3015,$B269)+SUMIFS('Web Feed'!$O$2:$O$3015,'Web Feed'!$B$2:$B$3015,Points!$A$6,'Web Feed'!$G$2:$G$3015,$B269)+SUMIFS('Web Feed'!$O$2:$O$3015,'Web Feed'!$B$2:$B$3015,Points!$A$6,'Web Feed'!$H$2:$H$3015,$B269)+SUMIFS('Web Feed'!$O$2:$O$3015,'Web Feed'!$B$2:$B$3015,Points!$A$6,'Web Feed'!$I$2:$I$3015,$B269))</f>
        <v/>
      </c>
      <c r="I269">
        <f>IF($B269="","",COUNTIFS('Web Feed'!$B$2:$B$3015,"OHW",'Web Feed'!$F$2:$F$3015,$B269))</f>
        <v/>
      </c>
      <c r="J269">
        <f>IF($B269="","",IFERROR(INDEX('Last Week'!$A$2:$A$301,MATCH($B269,'Last Week'!$B$2:$B$301,0)),""))</f>
        <v/>
      </c>
      <c r="K269">
        <f>IF(OR($B269="",$J269=""),"",$J269-$A269)</f>
        <v/>
      </c>
    </row>
    <row r="270">
      <c r="A270">
        <f>IF($B270="","",RANK($C270,$C$2:$C$500))</f>
        <v/>
      </c>
      <c r="B270">
        <f>IF(Players!$A270="","",Players!$A270)</f>
        <v/>
      </c>
      <c r="C270" s="5">
        <f>IF($B270="","",SUM(D270:H270))</f>
        <v/>
      </c>
      <c r="D270">
        <f>IF($B270="","",SUMIFS('Web Feed'!$O$2:$O$3015,'Web Feed'!$B$2:$B$3015,Points!$A$2,'Web Feed'!$F$2:$F$3015,$B270)+SUMIFS('Web Feed'!$O$2:$O$3015,'Web Feed'!$B$2:$B$3015,Points!$A$2,'Web Feed'!$G$2:$G$3015,$B270)+SUMIFS('Web Feed'!$O$2:$O$3015,'Web Feed'!$B$2:$B$3015,Points!$A$2,'Web Feed'!$H$2:$H$3015,$B270)+SUMIFS('Web Feed'!$O$2:$O$3015,'Web Feed'!$B$2:$B$3015,Points!$A$2,'Web Feed'!$I$2:$I$3015,$B270))</f>
        <v/>
      </c>
      <c r="E270">
        <f>IF($B270="","",SUMIFS('Web Feed'!$O$2:$O$3015,'Web Feed'!$B$2:$B$3015,Points!$A$3,'Web Feed'!$F$2:$F$3015,$B270)+SUMIFS('Web Feed'!$O$2:$O$3015,'Web Feed'!$B$2:$B$3015,Points!$A$3,'Web Feed'!$G$2:$G$3015,$B270)+SUMIFS('Web Feed'!$O$2:$O$3015,'Web Feed'!$B$2:$B$3015,Points!$A$3,'Web Feed'!$H$2:$H$3015,$B270)+SUMIFS('Web Feed'!$O$2:$O$3015,'Web Feed'!$B$2:$B$3015,Points!$A$3,'Web Feed'!$I$2:$I$3015,$B270))</f>
        <v/>
      </c>
      <c r="F270">
        <f>IF($B270="","",SUMIFS('Web Feed'!$O$2:$O$3015,'Web Feed'!$B$2:$B$3015,Points!$A$4,'Web Feed'!$F$2:$F$3015,$B270)+SUMIFS('Web Feed'!$O$2:$O$3015,'Web Feed'!$B$2:$B$3015,Points!$A$4,'Web Feed'!$G$2:$G$3015,$B270)+SUMIFS('Web Feed'!$O$2:$O$3015,'Web Feed'!$B$2:$B$3015,Points!$A$4,'Web Feed'!$H$2:$H$3015,$B270)+SUMIFS('Web Feed'!$O$2:$O$3015,'Web Feed'!$B$2:$B$3015,Points!$A$4,'Web Feed'!$I$2:$I$3015,$B270))</f>
        <v/>
      </c>
      <c r="G270">
        <f>IF($B270="","",SUMIFS('Web Feed'!$O$2:$O$3015,'Web Feed'!$B$2:$B$3015,Points!$A$5,'Web Feed'!$F$2:$F$3015,$B270)+SUMIFS('Web Feed'!$O$2:$O$3015,'Web Feed'!$B$2:$B$3015,Points!$A$5,'Web Feed'!$G$2:$G$3015,$B270)+SUMIFS('Web Feed'!$O$2:$O$3015,'Web Feed'!$B$2:$B$3015,Points!$A$5,'Web Feed'!$H$2:$H$3015,$B270)+SUMIFS('Web Feed'!$O$2:$O$3015,'Web Feed'!$B$2:$B$3015,Points!$A$5,'Web Feed'!$I$2:$I$3015,$B270))</f>
        <v/>
      </c>
      <c r="H270">
        <f>IF($B270="","",SUMIFS('Web Feed'!$O$2:$O$3015,'Web Feed'!$B$2:$B$3015,Points!$A$6,'Web Feed'!$F$2:$F$3015,$B270)+SUMIFS('Web Feed'!$O$2:$O$3015,'Web Feed'!$B$2:$B$3015,Points!$A$6,'Web Feed'!$G$2:$G$3015,$B270)+SUMIFS('Web Feed'!$O$2:$O$3015,'Web Feed'!$B$2:$B$3015,Points!$A$6,'Web Feed'!$H$2:$H$3015,$B270)+SUMIFS('Web Feed'!$O$2:$O$3015,'Web Feed'!$B$2:$B$3015,Points!$A$6,'Web Feed'!$I$2:$I$3015,$B270))</f>
        <v/>
      </c>
      <c r="I270">
        <f>IF($B270="","",COUNTIFS('Web Feed'!$B$2:$B$3015,"OHW",'Web Feed'!$F$2:$F$3015,$B270))</f>
        <v/>
      </c>
      <c r="J270">
        <f>IF($B270="","",IFERROR(INDEX('Last Week'!$A$2:$A$301,MATCH($B270,'Last Week'!$B$2:$B$301,0)),""))</f>
        <v/>
      </c>
      <c r="K270">
        <f>IF(OR($B270="",$J270=""),"",$J270-$A270)</f>
        <v/>
      </c>
    </row>
    <row r="271">
      <c r="A271">
        <f>IF($B271="","",RANK($C271,$C$2:$C$500))</f>
        <v/>
      </c>
      <c r="B271">
        <f>IF(Players!$A271="","",Players!$A271)</f>
        <v/>
      </c>
      <c r="C271" s="5">
        <f>IF($B271="","",SUM(D271:H271))</f>
        <v/>
      </c>
      <c r="D271">
        <f>IF($B271="","",SUMIFS('Web Feed'!$O$2:$O$3015,'Web Feed'!$B$2:$B$3015,Points!$A$2,'Web Feed'!$F$2:$F$3015,$B271)+SUMIFS('Web Feed'!$O$2:$O$3015,'Web Feed'!$B$2:$B$3015,Points!$A$2,'Web Feed'!$G$2:$G$3015,$B271)+SUMIFS('Web Feed'!$O$2:$O$3015,'Web Feed'!$B$2:$B$3015,Points!$A$2,'Web Feed'!$H$2:$H$3015,$B271)+SUMIFS('Web Feed'!$O$2:$O$3015,'Web Feed'!$B$2:$B$3015,Points!$A$2,'Web Feed'!$I$2:$I$3015,$B271))</f>
        <v/>
      </c>
      <c r="E271">
        <f>IF($B271="","",SUMIFS('Web Feed'!$O$2:$O$3015,'Web Feed'!$B$2:$B$3015,Points!$A$3,'Web Feed'!$F$2:$F$3015,$B271)+SUMIFS('Web Feed'!$O$2:$O$3015,'Web Feed'!$B$2:$B$3015,Points!$A$3,'Web Feed'!$G$2:$G$3015,$B271)+SUMIFS('Web Feed'!$O$2:$O$3015,'Web Feed'!$B$2:$B$3015,Points!$A$3,'Web Feed'!$H$2:$H$3015,$B271)+SUMIFS('Web Feed'!$O$2:$O$3015,'Web Feed'!$B$2:$B$3015,Points!$A$3,'Web Feed'!$I$2:$I$3015,$B271))</f>
        <v/>
      </c>
      <c r="F271">
        <f>IF($B271="","",SUMIFS('Web Feed'!$O$2:$O$3015,'Web Feed'!$B$2:$B$3015,Points!$A$4,'Web Feed'!$F$2:$F$3015,$B271)+SUMIFS('Web Feed'!$O$2:$O$3015,'Web Feed'!$B$2:$B$3015,Points!$A$4,'Web Feed'!$G$2:$G$3015,$B271)+SUMIFS('Web Feed'!$O$2:$O$3015,'Web Feed'!$B$2:$B$3015,Points!$A$4,'Web Feed'!$H$2:$H$3015,$B271)+SUMIFS('Web Feed'!$O$2:$O$3015,'Web Feed'!$B$2:$B$3015,Points!$A$4,'Web Feed'!$I$2:$I$3015,$B271))</f>
        <v/>
      </c>
      <c r="G271">
        <f>IF($B271="","",SUMIFS('Web Feed'!$O$2:$O$3015,'Web Feed'!$B$2:$B$3015,Points!$A$5,'Web Feed'!$F$2:$F$3015,$B271)+SUMIFS('Web Feed'!$O$2:$O$3015,'Web Feed'!$B$2:$B$3015,Points!$A$5,'Web Feed'!$G$2:$G$3015,$B271)+SUMIFS('Web Feed'!$O$2:$O$3015,'Web Feed'!$B$2:$B$3015,Points!$A$5,'Web Feed'!$H$2:$H$3015,$B271)+SUMIFS('Web Feed'!$O$2:$O$3015,'Web Feed'!$B$2:$B$3015,Points!$A$5,'Web Feed'!$I$2:$I$3015,$B271))</f>
        <v/>
      </c>
      <c r="H271">
        <f>IF($B271="","",SUMIFS('Web Feed'!$O$2:$O$3015,'Web Feed'!$B$2:$B$3015,Points!$A$6,'Web Feed'!$F$2:$F$3015,$B271)+SUMIFS('Web Feed'!$O$2:$O$3015,'Web Feed'!$B$2:$B$3015,Points!$A$6,'Web Feed'!$G$2:$G$3015,$B271)+SUMIFS('Web Feed'!$O$2:$O$3015,'Web Feed'!$B$2:$B$3015,Points!$A$6,'Web Feed'!$H$2:$H$3015,$B271)+SUMIFS('Web Feed'!$O$2:$O$3015,'Web Feed'!$B$2:$B$3015,Points!$A$6,'Web Feed'!$I$2:$I$3015,$B271))</f>
        <v/>
      </c>
      <c r="I271">
        <f>IF($B271="","",COUNTIFS('Web Feed'!$B$2:$B$3015,"OHW",'Web Feed'!$F$2:$F$3015,$B271))</f>
        <v/>
      </c>
      <c r="J271">
        <f>IF($B271="","",IFERROR(INDEX('Last Week'!$A$2:$A$301,MATCH($B271,'Last Week'!$B$2:$B$301,0)),""))</f>
        <v/>
      </c>
      <c r="K271">
        <f>IF(OR($B271="",$J271=""),"",$J271-$A271)</f>
        <v/>
      </c>
    </row>
    <row r="272">
      <c r="A272">
        <f>IF($B272="","",RANK($C272,$C$2:$C$500))</f>
        <v/>
      </c>
      <c r="B272">
        <f>IF(Players!$A272="","",Players!$A272)</f>
        <v/>
      </c>
      <c r="C272" s="5">
        <f>IF($B272="","",SUM(D272:H272))</f>
        <v/>
      </c>
      <c r="D272">
        <f>IF($B272="","",SUMIFS('Web Feed'!$O$2:$O$3015,'Web Feed'!$B$2:$B$3015,Points!$A$2,'Web Feed'!$F$2:$F$3015,$B272)+SUMIFS('Web Feed'!$O$2:$O$3015,'Web Feed'!$B$2:$B$3015,Points!$A$2,'Web Feed'!$G$2:$G$3015,$B272)+SUMIFS('Web Feed'!$O$2:$O$3015,'Web Feed'!$B$2:$B$3015,Points!$A$2,'Web Feed'!$H$2:$H$3015,$B272)+SUMIFS('Web Feed'!$O$2:$O$3015,'Web Feed'!$B$2:$B$3015,Points!$A$2,'Web Feed'!$I$2:$I$3015,$B272))</f>
        <v/>
      </c>
      <c r="E272">
        <f>IF($B272="","",SUMIFS('Web Feed'!$O$2:$O$3015,'Web Feed'!$B$2:$B$3015,Points!$A$3,'Web Feed'!$F$2:$F$3015,$B272)+SUMIFS('Web Feed'!$O$2:$O$3015,'Web Feed'!$B$2:$B$3015,Points!$A$3,'Web Feed'!$G$2:$G$3015,$B272)+SUMIFS('Web Feed'!$O$2:$O$3015,'Web Feed'!$B$2:$B$3015,Points!$A$3,'Web Feed'!$H$2:$H$3015,$B272)+SUMIFS('Web Feed'!$O$2:$O$3015,'Web Feed'!$B$2:$B$3015,Points!$A$3,'Web Feed'!$I$2:$I$3015,$B272))</f>
        <v/>
      </c>
      <c r="F272">
        <f>IF($B272="","",SUMIFS('Web Feed'!$O$2:$O$3015,'Web Feed'!$B$2:$B$3015,Points!$A$4,'Web Feed'!$F$2:$F$3015,$B272)+SUMIFS('Web Feed'!$O$2:$O$3015,'Web Feed'!$B$2:$B$3015,Points!$A$4,'Web Feed'!$G$2:$G$3015,$B272)+SUMIFS('Web Feed'!$O$2:$O$3015,'Web Feed'!$B$2:$B$3015,Points!$A$4,'Web Feed'!$H$2:$H$3015,$B272)+SUMIFS('Web Feed'!$O$2:$O$3015,'Web Feed'!$B$2:$B$3015,Points!$A$4,'Web Feed'!$I$2:$I$3015,$B272))</f>
        <v/>
      </c>
      <c r="G272">
        <f>IF($B272="","",SUMIFS('Web Feed'!$O$2:$O$3015,'Web Feed'!$B$2:$B$3015,Points!$A$5,'Web Feed'!$F$2:$F$3015,$B272)+SUMIFS('Web Feed'!$O$2:$O$3015,'Web Feed'!$B$2:$B$3015,Points!$A$5,'Web Feed'!$G$2:$G$3015,$B272)+SUMIFS('Web Feed'!$O$2:$O$3015,'Web Feed'!$B$2:$B$3015,Points!$A$5,'Web Feed'!$H$2:$H$3015,$B272)+SUMIFS('Web Feed'!$O$2:$O$3015,'Web Feed'!$B$2:$B$3015,Points!$A$5,'Web Feed'!$I$2:$I$3015,$B272))</f>
        <v/>
      </c>
      <c r="H272">
        <f>IF($B272="","",SUMIFS('Web Feed'!$O$2:$O$3015,'Web Feed'!$B$2:$B$3015,Points!$A$6,'Web Feed'!$F$2:$F$3015,$B272)+SUMIFS('Web Feed'!$O$2:$O$3015,'Web Feed'!$B$2:$B$3015,Points!$A$6,'Web Feed'!$G$2:$G$3015,$B272)+SUMIFS('Web Feed'!$O$2:$O$3015,'Web Feed'!$B$2:$B$3015,Points!$A$6,'Web Feed'!$H$2:$H$3015,$B272)+SUMIFS('Web Feed'!$O$2:$O$3015,'Web Feed'!$B$2:$B$3015,Points!$A$6,'Web Feed'!$I$2:$I$3015,$B272))</f>
        <v/>
      </c>
      <c r="I272">
        <f>IF($B272="","",COUNTIFS('Web Feed'!$B$2:$B$3015,"OHW",'Web Feed'!$F$2:$F$3015,$B272))</f>
        <v/>
      </c>
      <c r="J272">
        <f>IF($B272="","",IFERROR(INDEX('Last Week'!$A$2:$A$301,MATCH($B272,'Last Week'!$B$2:$B$301,0)),""))</f>
        <v/>
      </c>
      <c r="K272">
        <f>IF(OR($B272="",$J272=""),"",$J272-$A272)</f>
        <v/>
      </c>
    </row>
    <row r="273">
      <c r="A273">
        <f>IF($B273="","",RANK($C273,$C$2:$C$500))</f>
        <v/>
      </c>
      <c r="B273">
        <f>IF(Players!$A273="","",Players!$A273)</f>
        <v/>
      </c>
      <c r="C273" s="5">
        <f>IF($B273="","",SUM(D273:H273))</f>
        <v/>
      </c>
      <c r="D273">
        <f>IF($B273="","",SUMIFS('Web Feed'!$O$2:$O$3015,'Web Feed'!$B$2:$B$3015,Points!$A$2,'Web Feed'!$F$2:$F$3015,$B273)+SUMIFS('Web Feed'!$O$2:$O$3015,'Web Feed'!$B$2:$B$3015,Points!$A$2,'Web Feed'!$G$2:$G$3015,$B273)+SUMIFS('Web Feed'!$O$2:$O$3015,'Web Feed'!$B$2:$B$3015,Points!$A$2,'Web Feed'!$H$2:$H$3015,$B273)+SUMIFS('Web Feed'!$O$2:$O$3015,'Web Feed'!$B$2:$B$3015,Points!$A$2,'Web Feed'!$I$2:$I$3015,$B273))</f>
        <v/>
      </c>
      <c r="E273">
        <f>IF($B273="","",SUMIFS('Web Feed'!$O$2:$O$3015,'Web Feed'!$B$2:$B$3015,Points!$A$3,'Web Feed'!$F$2:$F$3015,$B273)+SUMIFS('Web Feed'!$O$2:$O$3015,'Web Feed'!$B$2:$B$3015,Points!$A$3,'Web Feed'!$G$2:$G$3015,$B273)+SUMIFS('Web Feed'!$O$2:$O$3015,'Web Feed'!$B$2:$B$3015,Points!$A$3,'Web Feed'!$H$2:$H$3015,$B273)+SUMIFS('Web Feed'!$O$2:$O$3015,'Web Feed'!$B$2:$B$3015,Points!$A$3,'Web Feed'!$I$2:$I$3015,$B273))</f>
        <v/>
      </c>
      <c r="F273">
        <f>IF($B273="","",SUMIFS('Web Feed'!$O$2:$O$3015,'Web Feed'!$B$2:$B$3015,Points!$A$4,'Web Feed'!$F$2:$F$3015,$B273)+SUMIFS('Web Feed'!$O$2:$O$3015,'Web Feed'!$B$2:$B$3015,Points!$A$4,'Web Feed'!$G$2:$G$3015,$B273)+SUMIFS('Web Feed'!$O$2:$O$3015,'Web Feed'!$B$2:$B$3015,Points!$A$4,'Web Feed'!$H$2:$H$3015,$B273)+SUMIFS('Web Feed'!$O$2:$O$3015,'Web Feed'!$B$2:$B$3015,Points!$A$4,'Web Feed'!$I$2:$I$3015,$B273))</f>
        <v/>
      </c>
      <c r="G273">
        <f>IF($B273="","",SUMIFS('Web Feed'!$O$2:$O$3015,'Web Feed'!$B$2:$B$3015,Points!$A$5,'Web Feed'!$F$2:$F$3015,$B273)+SUMIFS('Web Feed'!$O$2:$O$3015,'Web Feed'!$B$2:$B$3015,Points!$A$5,'Web Feed'!$G$2:$G$3015,$B273)+SUMIFS('Web Feed'!$O$2:$O$3015,'Web Feed'!$B$2:$B$3015,Points!$A$5,'Web Feed'!$H$2:$H$3015,$B273)+SUMIFS('Web Feed'!$O$2:$O$3015,'Web Feed'!$B$2:$B$3015,Points!$A$5,'Web Feed'!$I$2:$I$3015,$B273))</f>
        <v/>
      </c>
      <c r="H273">
        <f>IF($B273="","",SUMIFS('Web Feed'!$O$2:$O$3015,'Web Feed'!$B$2:$B$3015,Points!$A$6,'Web Feed'!$F$2:$F$3015,$B273)+SUMIFS('Web Feed'!$O$2:$O$3015,'Web Feed'!$B$2:$B$3015,Points!$A$6,'Web Feed'!$G$2:$G$3015,$B273)+SUMIFS('Web Feed'!$O$2:$O$3015,'Web Feed'!$B$2:$B$3015,Points!$A$6,'Web Feed'!$H$2:$H$3015,$B273)+SUMIFS('Web Feed'!$O$2:$O$3015,'Web Feed'!$B$2:$B$3015,Points!$A$6,'Web Feed'!$I$2:$I$3015,$B273))</f>
        <v/>
      </c>
      <c r="I273">
        <f>IF($B273="","",COUNTIFS('Web Feed'!$B$2:$B$3015,"OHW",'Web Feed'!$F$2:$F$3015,$B273))</f>
        <v/>
      </c>
      <c r="J273">
        <f>IF($B273="","",IFERROR(INDEX('Last Week'!$A$2:$A$301,MATCH($B273,'Last Week'!$B$2:$B$301,0)),""))</f>
        <v/>
      </c>
      <c r="K273">
        <f>IF(OR($B273="",$J273=""),"",$J273-$A273)</f>
        <v/>
      </c>
    </row>
    <row r="274">
      <c r="A274">
        <f>IF($B274="","",RANK($C274,$C$2:$C$500))</f>
        <v/>
      </c>
      <c r="B274">
        <f>IF(Players!$A274="","",Players!$A274)</f>
        <v/>
      </c>
      <c r="C274" s="5">
        <f>IF($B274="","",SUM(D274:H274))</f>
        <v/>
      </c>
      <c r="D274">
        <f>IF($B274="","",SUMIFS('Web Feed'!$O$2:$O$3015,'Web Feed'!$B$2:$B$3015,Points!$A$2,'Web Feed'!$F$2:$F$3015,$B274)+SUMIFS('Web Feed'!$O$2:$O$3015,'Web Feed'!$B$2:$B$3015,Points!$A$2,'Web Feed'!$G$2:$G$3015,$B274)+SUMIFS('Web Feed'!$O$2:$O$3015,'Web Feed'!$B$2:$B$3015,Points!$A$2,'Web Feed'!$H$2:$H$3015,$B274)+SUMIFS('Web Feed'!$O$2:$O$3015,'Web Feed'!$B$2:$B$3015,Points!$A$2,'Web Feed'!$I$2:$I$3015,$B274))</f>
        <v/>
      </c>
      <c r="E274">
        <f>IF($B274="","",SUMIFS('Web Feed'!$O$2:$O$3015,'Web Feed'!$B$2:$B$3015,Points!$A$3,'Web Feed'!$F$2:$F$3015,$B274)+SUMIFS('Web Feed'!$O$2:$O$3015,'Web Feed'!$B$2:$B$3015,Points!$A$3,'Web Feed'!$G$2:$G$3015,$B274)+SUMIFS('Web Feed'!$O$2:$O$3015,'Web Feed'!$B$2:$B$3015,Points!$A$3,'Web Feed'!$H$2:$H$3015,$B274)+SUMIFS('Web Feed'!$O$2:$O$3015,'Web Feed'!$B$2:$B$3015,Points!$A$3,'Web Feed'!$I$2:$I$3015,$B274))</f>
        <v/>
      </c>
      <c r="F274">
        <f>IF($B274="","",SUMIFS('Web Feed'!$O$2:$O$3015,'Web Feed'!$B$2:$B$3015,Points!$A$4,'Web Feed'!$F$2:$F$3015,$B274)+SUMIFS('Web Feed'!$O$2:$O$3015,'Web Feed'!$B$2:$B$3015,Points!$A$4,'Web Feed'!$G$2:$G$3015,$B274)+SUMIFS('Web Feed'!$O$2:$O$3015,'Web Feed'!$B$2:$B$3015,Points!$A$4,'Web Feed'!$H$2:$H$3015,$B274)+SUMIFS('Web Feed'!$O$2:$O$3015,'Web Feed'!$B$2:$B$3015,Points!$A$4,'Web Feed'!$I$2:$I$3015,$B274))</f>
        <v/>
      </c>
      <c r="G274">
        <f>IF($B274="","",SUMIFS('Web Feed'!$O$2:$O$3015,'Web Feed'!$B$2:$B$3015,Points!$A$5,'Web Feed'!$F$2:$F$3015,$B274)+SUMIFS('Web Feed'!$O$2:$O$3015,'Web Feed'!$B$2:$B$3015,Points!$A$5,'Web Feed'!$G$2:$G$3015,$B274)+SUMIFS('Web Feed'!$O$2:$O$3015,'Web Feed'!$B$2:$B$3015,Points!$A$5,'Web Feed'!$H$2:$H$3015,$B274)+SUMIFS('Web Feed'!$O$2:$O$3015,'Web Feed'!$B$2:$B$3015,Points!$A$5,'Web Feed'!$I$2:$I$3015,$B274))</f>
        <v/>
      </c>
      <c r="H274">
        <f>IF($B274="","",SUMIFS('Web Feed'!$O$2:$O$3015,'Web Feed'!$B$2:$B$3015,Points!$A$6,'Web Feed'!$F$2:$F$3015,$B274)+SUMIFS('Web Feed'!$O$2:$O$3015,'Web Feed'!$B$2:$B$3015,Points!$A$6,'Web Feed'!$G$2:$G$3015,$B274)+SUMIFS('Web Feed'!$O$2:$O$3015,'Web Feed'!$B$2:$B$3015,Points!$A$6,'Web Feed'!$H$2:$H$3015,$B274)+SUMIFS('Web Feed'!$O$2:$O$3015,'Web Feed'!$B$2:$B$3015,Points!$A$6,'Web Feed'!$I$2:$I$3015,$B274))</f>
        <v/>
      </c>
      <c r="I274">
        <f>IF($B274="","",COUNTIFS('Web Feed'!$B$2:$B$3015,"OHW",'Web Feed'!$F$2:$F$3015,$B274))</f>
        <v/>
      </c>
      <c r="J274">
        <f>IF($B274="","",IFERROR(INDEX('Last Week'!$A$2:$A$301,MATCH($B274,'Last Week'!$B$2:$B$301,0)),""))</f>
        <v/>
      </c>
      <c r="K274">
        <f>IF(OR($B274="",$J274=""),"",$J274-$A274)</f>
        <v/>
      </c>
    </row>
    <row r="275">
      <c r="A275">
        <f>IF($B275="","",RANK($C275,$C$2:$C$500))</f>
        <v/>
      </c>
      <c r="B275">
        <f>IF(Players!$A275="","",Players!$A275)</f>
        <v/>
      </c>
      <c r="C275" s="5">
        <f>IF($B275="","",SUM(D275:H275))</f>
        <v/>
      </c>
      <c r="D275">
        <f>IF($B275="","",SUMIFS('Web Feed'!$O$2:$O$3015,'Web Feed'!$B$2:$B$3015,Points!$A$2,'Web Feed'!$F$2:$F$3015,$B275)+SUMIFS('Web Feed'!$O$2:$O$3015,'Web Feed'!$B$2:$B$3015,Points!$A$2,'Web Feed'!$G$2:$G$3015,$B275)+SUMIFS('Web Feed'!$O$2:$O$3015,'Web Feed'!$B$2:$B$3015,Points!$A$2,'Web Feed'!$H$2:$H$3015,$B275)+SUMIFS('Web Feed'!$O$2:$O$3015,'Web Feed'!$B$2:$B$3015,Points!$A$2,'Web Feed'!$I$2:$I$3015,$B275))</f>
        <v/>
      </c>
      <c r="E275">
        <f>IF($B275="","",SUMIFS('Web Feed'!$O$2:$O$3015,'Web Feed'!$B$2:$B$3015,Points!$A$3,'Web Feed'!$F$2:$F$3015,$B275)+SUMIFS('Web Feed'!$O$2:$O$3015,'Web Feed'!$B$2:$B$3015,Points!$A$3,'Web Feed'!$G$2:$G$3015,$B275)+SUMIFS('Web Feed'!$O$2:$O$3015,'Web Feed'!$B$2:$B$3015,Points!$A$3,'Web Feed'!$H$2:$H$3015,$B275)+SUMIFS('Web Feed'!$O$2:$O$3015,'Web Feed'!$B$2:$B$3015,Points!$A$3,'Web Feed'!$I$2:$I$3015,$B275))</f>
        <v/>
      </c>
      <c r="F275">
        <f>IF($B275="","",SUMIFS('Web Feed'!$O$2:$O$3015,'Web Feed'!$B$2:$B$3015,Points!$A$4,'Web Feed'!$F$2:$F$3015,$B275)+SUMIFS('Web Feed'!$O$2:$O$3015,'Web Feed'!$B$2:$B$3015,Points!$A$4,'Web Feed'!$G$2:$G$3015,$B275)+SUMIFS('Web Feed'!$O$2:$O$3015,'Web Feed'!$B$2:$B$3015,Points!$A$4,'Web Feed'!$H$2:$H$3015,$B275)+SUMIFS('Web Feed'!$O$2:$O$3015,'Web Feed'!$B$2:$B$3015,Points!$A$4,'Web Feed'!$I$2:$I$3015,$B275))</f>
        <v/>
      </c>
      <c r="G275">
        <f>IF($B275="","",SUMIFS('Web Feed'!$O$2:$O$3015,'Web Feed'!$B$2:$B$3015,Points!$A$5,'Web Feed'!$F$2:$F$3015,$B275)+SUMIFS('Web Feed'!$O$2:$O$3015,'Web Feed'!$B$2:$B$3015,Points!$A$5,'Web Feed'!$G$2:$G$3015,$B275)+SUMIFS('Web Feed'!$O$2:$O$3015,'Web Feed'!$B$2:$B$3015,Points!$A$5,'Web Feed'!$H$2:$H$3015,$B275)+SUMIFS('Web Feed'!$O$2:$O$3015,'Web Feed'!$B$2:$B$3015,Points!$A$5,'Web Feed'!$I$2:$I$3015,$B275))</f>
        <v/>
      </c>
      <c r="H275">
        <f>IF($B275="","",SUMIFS('Web Feed'!$O$2:$O$3015,'Web Feed'!$B$2:$B$3015,Points!$A$6,'Web Feed'!$F$2:$F$3015,$B275)+SUMIFS('Web Feed'!$O$2:$O$3015,'Web Feed'!$B$2:$B$3015,Points!$A$6,'Web Feed'!$G$2:$G$3015,$B275)+SUMIFS('Web Feed'!$O$2:$O$3015,'Web Feed'!$B$2:$B$3015,Points!$A$6,'Web Feed'!$H$2:$H$3015,$B275)+SUMIFS('Web Feed'!$O$2:$O$3015,'Web Feed'!$B$2:$B$3015,Points!$A$6,'Web Feed'!$I$2:$I$3015,$B275))</f>
        <v/>
      </c>
      <c r="I275">
        <f>IF($B275="","",COUNTIFS('Web Feed'!$B$2:$B$3015,"OHW",'Web Feed'!$F$2:$F$3015,$B275))</f>
        <v/>
      </c>
      <c r="J275">
        <f>IF($B275="","",IFERROR(INDEX('Last Week'!$A$2:$A$301,MATCH($B275,'Last Week'!$B$2:$B$301,0)),""))</f>
        <v/>
      </c>
      <c r="K275">
        <f>IF(OR($B275="",$J275=""),"",$J275-$A275)</f>
        <v/>
      </c>
    </row>
    <row r="276">
      <c r="A276">
        <f>IF($B276="","",RANK($C276,$C$2:$C$500))</f>
        <v/>
      </c>
      <c r="B276">
        <f>IF(Players!$A276="","",Players!$A276)</f>
        <v/>
      </c>
      <c r="C276" s="5">
        <f>IF($B276="","",SUM(D276:H276))</f>
        <v/>
      </c>
      <c r="D276">
        <f>IF($B276="","",SUMIFS('Web Feed'!$O$2:$O$3015,'Web Feed'!$B$2:$B$3015,Points!$A$2,'Web Feed'!$F$2:$F$3015,$B276)+SUMIFS('Web Feed'!$O$2:$O$3015,'Web Feed'!$B$2:$B$3015,Points!$A$2,'Web Feed'!$G$2:$G$3015,$B276)+SUMIFS('Web Feed'!$O$2:$O$3015,'Web Feed'!$B$2:$B$3015,Points!$A$2,'Web Feed'!$H$2:$H$3015,$B276)+SUMIFS('Web Feed'!$O$2:$O$3015,'Web Feed'!$B$2:$B$3015,Points!$A$2,'Web Feed'!$I$2:$I$3015,$B276))</f>
        <v/>
      </c>
      <c r="E276">
        <f>IF($B276="","",SUMIFS('Web Feed'!$O$2:$O$3015,'Web Feed'!$B$2:$B$3015,Points!$A$3,'Web Feed'!$F$2:$F$3015,$B276)+SUMIFS('Web Feed'!$O$2:$O$3015,'Web Feed'!$B$2:$B$3015,Points!$A$3,'Web Feed'!$G$2:$G$3015,$B276)+SUMIFS('Web Feed'!$O$2:$O$3015,'Web Feed'!$B$2:$B$3015,Points!$A$3,'Web Feed'!$H$2:$H$3015,$B276)+SUMIFS('Web Feed'!$O$2:$O$3015,'Web Feed'!$B$2:$B$3015,Points!$A$3,'Web Feed'!$I$2:$I$3015,$B276))</f>
        <v/>
      </c>
      <c r="F276">
        <f>IF($B276="","",SUMIFS('Web Feed'!$O$2:$O$3015,'Web Feed'!$B$2:$B$3015,Points!$A$4,'Web Feed'!$F$2:$F$3015,$B276)+SUMIFS('Web Feed'!$O$2:$O$3015,'Web Feed'!$B$2:$B$3015,Points!$A$4,'Web Feed'!$G$2:$G$3015,$B276)+SUMIFS('Web Feed'!$O$2:$O$3015,'Web Feed'!$B$2:$B$3015,Points!$A$4,'Web Feed'!$H$2:$H$3015,$B276)+SUMIFS('Web Feed'!$O$2:$O$3015,'Web Feed'!$B$2:$B$3015,Points!$A$4,'Web Feed'!$I$2:$I$3015,$B276))</f>
        <v/>
      </c>
      <c r="G276">
        <f>IF($B276="","",SUMIFS('Web Feed'!$O$2:$O$3015,'Web Feed'!$B$2:$B$3015,Points!$A$5,'Web Feed'!$F$2:$F$3015,$B276)+SUMIFS('Web Feed'!$O$2:$O$3015,'Web Feed'!$B$2:$B$3015,Points!$A$5,'Web Feed'!$G$2:$G$3015,$B276)+SUMIFS('Web Feed'!$O$2:$O$3015,'Web Feed'!$B$2:$B$3015,Points!$A$5,'Web Feed'!$H$2:$H$3015,$B276)+SUMIFS('Web Feed'!$O$2:$O$3015,'Web Feed'!$B$2:$B$3015,Points!$A$5,'Web Feed'!$I$2:$I$3015,$B276))</f>
        <v/>
      </c>
      <c r="H276">
        <f>IF($B276="","",SUMIFS('Web Feed'!$O$2:$O$3015,'Web Feed'!$B$2:$B$3015,Points!$A$6,'Web Feed'!$F$2:$F$3015,$B276)+SUMIFS('Web Feed'!$O$2:$O$3015,'Web Feed'!$B$2:$B$3015,Points!$A$6,'Web Feed'!$G$2:$G$3015,$B276)+SUMIFS('Web Feed'!$O$2:$O$3015,'Web Feed'!$B$2:$B$3015,Points!$A$6,'Web Feed'!$H$2:$H$3015,$B276)+SUMIFS('Web Feed'!$O$2:$O$3015,'Web Feed'!$B$2:$B$3015,Points!$A$6,'Web Feed'!$I$2:$I$3015,$B276))</f>
        <v/>
      </c>
      <c r="I276">
        <f>IF($B276="","",COUNTIFS('Web Feed'!$B$2:$B$3015,"OHW",'Web Feed'!$F$2:$F$3015,$B276))</f>
        <v/>
      </c>
      <c r="J276">
        <f>IF($B276="","",IFERROR(INDEX('Last Week'!$A$2:$A$301,MATCH($B276,'Last Week'!$B$2:$B$301,0)),""))</f>
        <v/>
      </c>
      <c r="K276">
        <f>IF(OR($B276="",$J276=""),"",$J276-$A276)</f>
        <v/>
      </c>
    </row>
    <row r="277">
      <c r="A277">
        <f>IF($B277="","",RANK($C277,$C$2:$C$500))</f>
        <v/>
      </c>
      <c r="B277">
        <f>IF(Players!$A277="","",Players!$A277)</f>
        <v/>
      </c>
      <c r="C277" s="5">
        <f>IF($B277="","",SUM(D277:H277))</f>
        <v/>
      </c>
      <c r="D277">
        <f>IF($B277="","",SUMIFS('Web Feed'!$O$2:$O$3015,'Web Feed'!$B$2:$B$3015,Points!$A$2,'Web Feed'!$F$2:$F$3015,$B277)+SUMIFS('Web Feed'!$O$2:$O$3015,'Web Feed'!$B$2:$B$3015,Points!$A$2,'Web Feed'!$G$2:$G$3015,$B277)+SUMIFS('Web Feed'!$O$2:$O$3015,'Web Feed'!$B$2:$B$3015,Points!$A$2,'Web Feed'!$H$2:$H$3015,$B277)+SUMIFS('Web Feed'!$O$2:$O$3015,'Web Feed'!$B$2:$B$3015,Points!$A$2,'Web Feed'!$I$2:$I$3015,$B277))</f>
        <v/>
      </c>
      <c r="E277">
        <f>IF($B277="","",SUMIFS('Web Feed'!$O$2:$O$3015,'Web Feed'!$B$2:$B$3015,Points!$A$3,'Web Feed'!$F$2:$F$3015,$B277)+SUMIFS('Web Feed'!$O$2:$O$3015,'Web Feed'!$B$2:$B$3015,Points!$A$3,'Web Feed'!$G$2:$G$3015,$B277)+SUMIFS('Web Feed'!$O$2:$O$3015,'Web Feed'!$B$2:$B$3015,Points!$A$3,'Web Feed'!$H$2:$H$3015,$B277)+SUMIFS('Web Feed'!$O$2:$O$3015,'Web Feed'!$B$2:$B$3015,Points!$A$3,'Web Feed'!$I$2:$I$3015,$B277))</f>
        <v/>
      </c>
      <c r="F277">
        <f>IF($B277="","",SUMIFS('Web Feed'!$O$2:$O$3015,'Web Feed'!$B$2:$B$3015,Points!$A$4,'Web Feed'!$F$2:$F$3015,$B277)+SUMIFS('Web Feed'!$O$2:$O$3015,'Web Feed'!$B$2:$B$3015,Points!$A$4,'Web Feed'!$G$2:$G$3015,$B277)+SUMIFS('Web Feed'!$O$2:$O$3015,'Web Feed'!$B$2:$B$3015,Points!$A$4,'Web Feed'!$H$2:$H$3015,$B277)+SUMIFS('Web Feed'!$O$2:$O$3015,'Web Feed'!$B$2:$B$3015,Points!$A$4,'Web Feed'!$I$2:$I$3015,$B277))</f>
        <v/>
      </c>
      <c r="G277">
        <f>IF($B277="","",SUMIFS('Web Feed'!$O$2:$O$3015,'Web Feed'!$B$2:$B$3015,Points!$A$5,'Web Feed'!$F$2:$F$3015,$B277)+SUMIFS('Web Feed'!$O$2:$O$3015,'Web Feed'!$B$2:$B$3015,Points!$A$5,'Web Feed'!$G$2:$G$3015,$B277)+SUMIFS('Web Feed'!$O$2:$O$3015,'Web Feed'!$B$2:$B$3015,Points!$A$5,'Web Feed'!$H$2:$H$3015,$B277)+SUMIFS('Web Feed'!$O$2:$O$3015,'Web Feed'!$B$2:$B$3015,Points!$A$5,'Web Feed'!$I$2:$I$3015,$B277))</f>
        <v/>
      </c>
      <c r="H277">
        <f>IF($B277="","",SUMIFS('Web Feed'!$O$2:$O$3015,'Web Feed'!$B$2:$B$3015,Points!$A$6,'Web Feed'!$F$2:$F$3015,$B277)+SUMIFS('Web Feed'!$O$2:$O$3015,'Web Feed'!$B$2:$B$3015,Points!$A$6,'Web Feed'!$G$2:$G$3015,$B277)+SUMIFS('Web Feed'!$O$2:$O$3015,'Web Feed'!$B$2:$B$3015,Points!$A$6,'Web Feed'!$H$2:$H$3015,$B277)+SUMIFS('Web Feed'!$O$2:$O$3015,'Web Feed'!$B$2:$B$3015,Points!$A$6,'Web Feed'!$I$2:$I$3015,$B277))</f>
        <v/>
      </c>
      <c r="I277">
        <f>IF($B277="","",COUNTIFS('Web Feed'!$B$2:$B$3015,"OHW",'Web Feed'!$F$2:$F$3015,$B277))</f>
        <v/>
      </c>
      <c r="J277">
        <f>IF($B277="","",IFERROR(INDEX('Last Week'!$A$2:$A$301,MATCH($B277,'Last Week'!$B$2:$B$301,0)),""))</f>
        <v/>
      </c>
      <c r="K277">
        <f>IF(OR($B277="",$J277=""),"",$J277-$A277)</f>
        <v/>
      </c>
    </row>
    <row r="278">
      <c r="A278">
        <f>IF($B278="","",RANK($C278,$C$2:$C$500))</f>
        <v/>
      </c>
      <c r="B278">
        <f>IF(Players!$A278="","",Players!$A278)</f>
        <v/>
      </c>
      <c r="C278" s="5">
        <f>IF($B278="","",SUM(D278:H278))</f>
        <v/>
      </c>
      <c r="D278">
        <f>IF($B278="","",SUMIFS('Web Feed'!$O$2:$O$3015,'Web Feed'!$B$2:$B$3015,Points!$A$2,'Web Feed'!$F$2:$F$3015,$B278)+SUMIFS('Web Feed'!$O$2:$O$3015,'Web Feed'!$B$2:$B$3015,Points!$A$2,'Web Feed'!$G$2:$G$3015,$B278)+SUMIFS('Web Feed'!$O$2:$O$3015,'Web Feed'!$B$2:$B$3015,Points!$A$2,'Web Feed'!$H$2:$H$3015,$B278)+SUMIFS('Web Feed'!$O$2:$O$3015,'Web Feed'!$B$2:$B$3015,Points!$A$2,'Web Feed'!$I$2:$I$3015,$B278))</f>
        <v/>
      </c>
      <c r="E278">
        <f>IF($B278="","",SUMIFS('Web Feed'!$O$2:$O$3015,'Web Feed'!$B$2:$B$3015,Points!$A$3,'Web Feed'!$F$2:$F$3015,$B278)+SUMIFS('Web Feed'!$O$2:$O$3015,'Web Feed'!$B$2:$B$3015,Points!$A$3,'Web Feed'!$G$2:$G$3015,$B278)+SUMIFS('Web Feed'!$O$2:$O$3015,'Web Feed'!$B$2:$B$3015,Points!$A$3,'Web Feed'!$H$2:$H$3015,$B278)+SUMIFS('Web Feed'!$O$2:$O$3015,'Web Feed'!$B$2:$B$3015,Points!$A$3,'Web Feed'!$I$2:$I$3015,$B278))</f>
        <v/>
      </c>
      <c r="F278">
        <f>IF($B278="","",SUMIFS('Web Feed'!$O$2:$O$3015,'Web Feed'!$B$2:$B$3015,Points!$A$4,'Web Feed'!$F$2:$F$3015,$B278)+SUMIFS('Web Feed'!$O$2:$O$3015,'Web Feed'!$B$2:$B$3015,Points!$A$4,'Web Feed'!$G$2:$G$3015,$B278)+SUMIFS('Web Feed'!$O$2:$O$3015,'Web Feed'!$B$2:$B$3015,Points!$A$4,'Web Feed'!$H$2:$H$3015,$B278)+SUMIFS('Web Feed'!$O$2:$O$3015,'Web Feed'!$B$2:$B$3015,Points!$A$4,'Web Feed'!$I$2:$I$3015,$B278))</f>
        <v/>
      </c>
      <c r="G278">
        <f>IF($B278="","",SUMIFS('Web Feed'!$O$2:$O$3015,'Web Feed'!$B$2:$B$3015,Points!$A$5,'Web Feed'!$F$2:$F$3015,$B278)+SUMIFS('Web Feed'!$O$2:$O$3015,'Web Feed'!$B$2:$B$3015,Points!$A$5,'Web Feed'!$G$2:$G$3015,$B278)+SUMIFS('Web Feed'!$O$2:$O$3015,'Web Feed'!$B$2:$B$3015,Points!$A$5,'Web Feed'!$H$2:$H$3015,$B278)+SUMIFS('Web Feed'!$O$2:$O$3015,'Web Feed'!$B$2:$B$3015,Points!$A$5,'Web Feed'!$I$2:$I$3015,$B278))</f>
        <v/>
      </c>
      <c r="H278">
        <f>IF($B278="","",SUMIFS('Web Feed'!$O$2:$O$3015,'Web Feed'!$B$2:$B$3015,Points!$A$6,'Web Feed'!$F$2:$F$3015,$B278)+SUMIFS('Web Feed'!$O$2:$O$3015,'Web Feed'!$B$2:$B$3015,Points!$A$6,'Web Feed'!$G$2:$G$3015,$B278)+SUMIFS('Web Feed'!$O$2:$O$3015,'Web Feed'!$B$2:$B$3015,Points!$A$6,'Web Feed'!$H$2:$H$3015,$B278)+SUMIFS('Web Feed'!$O$2:$O$3015,'Web Feed'!$B$2:$B$3015,Points!$A$6,'Web Feed'!$I$2:$I$3015,$B278))</f>
        <v/>
      </c>
      <c r="I278">
        <f>IF($B278="","",COUNTIFS('Web Feed'!$B$2:$B$3015,"OHW",'Web Feed'!$F$2:$F$3015,$B278))</f>
        <v/>
      </c>
      <c r="J278">
        <f>IF($B278="","",IFERROR(INDEX('Last Week'!$A$2:$A$301,MATCH($B278,'Last Week'!$B$2:$B$301,0)),""))</f>
        <v/>
      </c>
      <c r="K278">
        <f>IF(OR($B278="",$J278=""),"",$J278-$A278)</f>
        <v/>
      </c>
    </row>
    <row r="279">
      <c r="A279">
        <f>IF($B279="","",RANK($C279,$C$2:$C$500))</f>
        <v/>
      </c>
      <c r="B279">
        <f>IF(Players!$A279="","",Players!$A279)</f>
        <v/>
      </c>
      <c r="C279" s="5">
        <f>IF($B279="","",SUM(D279:H279))</f>
        <v/>
      </c>
      <c r="D279">
        <f>IF($B279="","",SUMIFS('Web Feed'!$O$2:$O$3015,'Web Feed'!$B$2:$B$3015,Points!$A$2,'Web Feed'!$F$2:$F$3015,$B279)+SUMIFS('Web Feed'!$O$2:$O$3015,'Web Feed'!$B$2:$B$3015,Points!$A$2,'Web Feed'!$G$2:$G$3015,$B279)+SUMIFS('Web Feed'!$O$2:$O$3015,'Web Feed'!$B$2:$B$3015,Points!$A$2,'Web Feed'!$H$2:$H$3015,$B279)+SUMIFS('Web Feed'!$O$2:$O$3015,'Web Feed'!$B$2:$B$3015,Points!$A$2,'Web Feed'!$I$2:$I$3015,$B279))</f>
        <v/>
      </c>
      <c r="E279">
        <f>IF($B279="","",SUMIFS('Web Feed'!$O$2:$O$3015,'Web Feed'!$B$2:$B$3015,Points!$A$3,'Web Feed'!$F$2:$F$3015,$B279)+SUMIFS('Web Feed'!$O$2:$O$3015,'Web Feed'!$B$2:$B$3015,Points!$A$3,'Web Feed'!$G$2:$G$3015,$B279)+SUMIFS('Web Feed'!$O$2:$O$3015,'Web Feed'!$B$2:$B$3015,Points!$A$3,'Web Feed'!$H$2:$H$3015,$B279)+SUMIFS('Web Feed'!$O$2:$O$3015,'Web Feed'!$B$2:$B$3015,Points!$A$3,'Web Feed'!$I$2:$I$3015,$B279))</f>
        <v/>
      </c>
      <c r="F279">
        <f>IF($B279="","",SUMIFS('Web Feed'!$O$2:$O$3015,'Web Feed'!$B$2:$B$3015,Points!$A$4,'Web Feed'!$F$2:$F$3015,$B279)+SUMIFS('Web Feed'!$O$2:$O$3015,'Web Feed'!$B$2:$B$3015,Points!$A$4,'Web Feed'!$G$2:$G$3015,$B279)+SUMIFS('Web Feed'!$O$2:$O$3015,'Web Feed'!$B$2:$B$3015,Points!$A$4,'Web Feed'!$H$2:$H$3015,$B279)+SUMIFS('Web Feed'!$O$2:$O$3015,'Web Feed'!$B$2:$B$3015,Points!$A$4,'Web Feed'!$I$2:$I$3015,$B279))</f>
        <v/>
      </c>
      <c r="G279">
        <f>IF($B279="","",SUMIFS('Web Feed'!$O$2:$O$3015,'Web Feed'!$B$2:$B$3015,Points!$A$5,'Web Feed'!$F$2:$F$3015,$B279)+SUMIFS('Web Feed'!$O$2:$O$3015,'Web Feed'!$B$2:$B$3015,Points!$A$5,'Web Feed'!$G$2:$G$3015,$B279)+SUMIFS('Web Feed'!$O$2:$O$3015,'Web Feed'!$B$2:$B$3015,Points!$A$5,'Web Feed'!$H$2:$H$3015,$B279)+SUMIFS('Web Feed'!$O$2:$O$3015,'Web Feed'!$B$2:$B$3015,Points!$A$5,'Web Feed'!$I$2:$I$3015,$B279))</f>
        <v/>
      </c>
      <c r="H279">
        <f>IF($B279="","",SUMIFS('Web Feed'!$O$2:$O$3015,'Web Feed'!$B$2:$B$3015,Points!$A$6,'Web Feed'!$F$2:$F$3015,$B279)+SUMIFS('Web Feed'!$O$2:$O$3015,'Web Feed'!$B$2:$B$3015,Points!$A$6,'Web Feed'!$G$2:$G$3015,$B279)+SUMIFS('Web Feed'!$O$2:$O$3015,'Web Feed'!$B$2:$B$3015,Points!$A$6,'Web Feed'!$H$2:$H$3015,$B279)+SUMIFS('Web Feed'!$O$2:$O$3015,'Web Feed'!$B$2:$B$3015,Points!$A$6,'Web Feed'!$I$2:$I$3015,$B279))</f>
        <v/>
      </c>
      <c r="I279">
        <f>IF($B279="","",COUNTIFS('Web Feed'!$B$2:$B$3015,"OHW",'Web Feed'!$F$2:$F$3015,$B279))</f>
        <v/>
      </c>
      <c r="J279">
        <f>IF($B279="","",IFERROR(INDEX('Last Week'!$A$2:$A$301,MATCH($B279,'Last Week'!$B$2:$B$301,0)),""))</f>
        <v/>
      </c>
      <c r="K279">
        <f>IF(OR($B279="",$J279=""),"",$J279-$A279)</f>
        <v/>
      </c>
    </row>
    <row r="280">
      <c r="A280">
        <f>IF($B280="","",RANK($C280,$C$2:$C$500))</f>
        <v/>
      </c>
      <c r="B280">
        <f>IF(Players!$A280="","",Players!$A280)</f>
        <v/>
      </c>
      <c r="C280" s="5">
        <f>IF($B280="","",SUM(D280:H280))</f>
        <v/>
      </c>
      <c r="D280">
        <f>IF($B280="","",SUMIFS('Web Feed'!$O$2:$O$3015,'Web Feed'!$B$2:$B$3015,Points!$A$2,'Web Feed'!$F$2:$F$3015,$B280)+SUMIFS('Web Feed'!$O$2:$O$3015,'Web Feed'!$B$2:$B$3015,Points!$A$2,'Web Feed'!$G$2:$G$3015,$B280)+SUMIFS('Web Feed'!$O$2:$O$3015,'Web Feed'!$B$2:$B$3015,Points!$A$2,'Web Feed'!$H$2:$H$3015,$B280)+SUMIFS('Web Feed'!$O$2:$O$3015,'Web Feed'!$B$2:$B$3015,Points!$A$2,'Web Feed'!$I$2:$I$3015,$B280))</f>
        <v/>
      </c>
      <c r="E280">
        <f>IF($B280="","",SUMIFS('Web Feed'!$O$2:$O$3015,'Web Feed'!$B$2:$B$3015,Points!$A$3,'Web Feed'!$F$2:$F$3015,$B280)+SUMIFS('Web Feed'!$O$2:$O$3015,'Web Feed'!$B$2:$B$3015,Points!$A$3,'Web Feed'!$G$2:$G$3015,$B280)+SUMIFS('Web Feed'!$O$2:$O$3015,'Web Feed'!$B$2:$B$3015,Points!$A$3,'Web Feed'!$H$2:$H$3015,$B280)+SUMIFS('Web Feed'!$O$2:$O$3015,'Web Feed'!$B$2:$B$3015,Points!$A$3,'Web Feed'!$I$2:$I$3015,$B280))</f>
        <v/>
      </c>
      <c r="F280">
        <f>IF($B280="","",SUMIFS('Web Feed'!$O$2:$O$3015,'Web Feed'!$B$2:$B$3015,Points!$A$4,'Web Feed'!$F$2:$F$3015,$B280)+SUMIFS('Web Feed'!$O$2:$O$3015,'Web Feed'!$B$2:$B$3015,Points!$A$4,'Web Feed'!$G$2:$G$3015,$B280)+SUMIFS('Web Feed'!$O$2:$O$3015,'Web Feed'!$B$2:$B$3015,Points!$A$4,'Web Feed'!$H$2:$H$3015,$B280)+SUMIFS('Web Feed'!$O$2:$O$3015,'Web Feed'!$B$2:$B$3015,Points!$A$4,'Web Feed'!$I$2:$I$3015,$B280))</f>
        <v/>
      </c>
      <c r="G280">
        <f>IF($B280="","",SUMIFS('Web Feed'!$O$2:$O$3015,'Web Feed'!$B$2:$B$3015,Points!$A$5,'Web Feed'!$F$2:$F$3015,$B280)+SUMIFS('Web Feed'!$O$2:$O$3015,'Web Feed'!$B$2:$B$3015,Points!$A$5,'Web Feed'!$G$2:$G$3015,$B280)+SUMIFS('Web Feed'!$O$2:$O$3015,'Web Feed'!$B$2:$B$3015,Points!$A$5,'Web Feed'!$H$2:$H$3015,$B280)+SUMIFS('Web Feed'!$O$2:$O$3015,'Web Feed'!$B$2:$B$3015,Points!$A$5,'Web Feed'!$I$2:$I$3015,$B280))</f>
        <v/>
      </c>
      <c r="H280">
        <f>IF($B280="","",SUMIFS('Web Feed'!$O$2:$O$3015,'Web Feed'!$B$2:$B$3015,Points!$A$6,'Web Feed'!$F$2:$F$3015,$B280)+SUMIFS('Web Feed'!$O$2:$O$3015,'Web Feed'!$B$2:$B$3015,Points!$A$6,'Web Feed'!$G$2:$G$3015,$B280)+SUMIFS('Web Feed'!$O$2:$O$3015,'Web Feed'!$B$2:$B$3015,Points!$A$6,'Web Feed'!$H$2:$H$3015,$B280)+SUMIFS('Web Feed'!$O$2:$O$3015,'Web Feed'!$B$2:$B$3015,Points!$A$6,'Web Feed'!$I$2:$I$3015,$B280))</f>
        <v/>
      </c>
      <c r="I280">
        <f>IF($B280="","",COUNTIFS('Web Feed'!$B$2:$B$3015,"OHW",'Web Feed'!$F$2:$F$3015,$B280))</f>
        <v/>
      </c>
      <c r="J280">
        <f>IF($B280="","",IFERROR(INDEX('Last Week'!$A$2:$A$301,MATCH($B280,'Last Week'!$B$2:$B$301,0)),""))</f>
        <v/>
      </c>
      <c r="K280">
        <f>IF(OR($B280="",$J280=""),"",$J280-$A280)</f>
        <v/>
      </c>
    </row>
    <row r="281">
      <c r="A281">
        <f>IF($B281="","",RANK($C281,$C$2:$C$500))</f>
        <v/>
      </c>
      <c r="B281">
        <f>IF(Players!$A281="","",Players!$A281)</f>
        <v/>
      </c>
      <c r="C281" s="5">
        <f>IF($B281="","",SUM(D281:H281))</f>
        <v/>
      </c>
      <c r="D281">
        <f>IF($B281="","",SUMIFS('Web Feed'!$O$2:$O$3015,'Web Feed'!$B$2:$B$3015,Points!$A$2,'Web Feed'!$F$2:$F$3015,$B281)+SUMIFS('Web Feed'!$O$2:$O$3015,'Web Feed'!$B$2:$B$3015,Points!$A$2,'Web Feed'!$G$2:$G$3015,$B281)+SUMIFS('Web Feed'!$O$2:$O$3015,'Web Feed'!$B$2:$B$3015,Points!$A$2,'Web Feed'!$H$2:$H$3015,$B281)+SUMIFS('Web Feed'!$O$2:$O$3015,'Web Feed'!$B$2:$B$3015,Points!$A$2,'Web Feed'!$I$2:$I$3015,$B281))</f>
        <v/>
      </c>
      <c r="E281">
        <f>IF($B281="","",SUMIFS('Web Feed'!$O$2:$O$3015,'Web Feed'!$B$2:$B$3015,Points!$A$3,'Web Feed'!$F$2:$F$3015,$B281)+SUMIFS('Web Feed'!$O$2:$O$3015,'Web Feed'!$B$2:$B$3015,Points!$A$3,'Web Feed'!$G$2:$G$3015,$B281)+SUMIFS('Web Feed'!$O$2:$O$3015,'Web Feed'!$B$2:$B$3015,Points!$A$3,'Web Feed'!$H$2:$H$3015,$B281)+SUMIFS('Web Feed'!$O$2:$O$3015,'Web Feed'!$B$2:$B$3015,Points!$A$3,'Web Feed'!$I$2:$I$3015,$B281))</f>
        <v/>
      </c>
      <c r="F281">
        <f>IF($B281="","",SUMIFS('Web Feed'!$O$2:$O$3015,'Web Feed'!$B$2:$B$3015,Points!$A$4,'Web Feed'!$F$2:$F$3015,$B281)+SUMIFS('Web Feed'!$O$2:$O$3015,'Web Feed'!$B$2:$B$3015,Points!$A$4,'Web Feed'!$G$2:$G$3015,$B281)+SUMIFS('Web Feed'!$O$2:$O$3015,'Web Feed'!$B$2:$B$3015,Points!$A$4,'Web Feed'!$H$2:$H$3015,$B281)+SUMIFS('Web Feed'!$O$2:$O$3015,'Web Feed'!$B$2:$B$3015,Points!$A$4,'Web Feed'!$I$2:$I$3015,$B281))</f>
        <v/>
      </c>
      <c r="G281">
        <f>IF($B281="","",SUMIFS('Web Feed'!$O$2:$O$3015,'Web Feed'!$B$2:$B$3015,Points!$A$5,'Web Feed'!$F$2:$F$3015,$B281)+SUMIFS('Web Feed'!$O$2:$O$3015,'Web Feed'!$B$2:$B$3015,Points!$A$5,'Web Feed'!$G$2:$G$3015,$B281)+SUMIFS('Web Feed'!$O$2:$O$3015,'Web Feed'!$B$2:$B$3015,Points!$A$5,'Web Feed'!$H$2:$H$3015,$B281)+SUMIFS('Web Feed'!$O$2:$O$3015,'Web Feed'!$B$2:$B$3015,Points!$A$5,'Web Feed'!$I$2:$I$3015,$B281))</f>
        <v/>
      </c>
      <c r="H281">
        <f>IF($B281="","",SUMIFS('Web Feed'!$O$2:$O$3015,'Web Feed'!$B$2:$B$3015,Points!$A$6,'Web Feed'!$F$2:$F$3015,$B281)+SUMIFS('Web Feed'!$O$2:$O$3015,'Web Feed'!$B$2:$B$3015,Points!$A$6,'Web Feed'!$G$2:$G$3015,$B281)+SUMIFS('Web Feed'!$O$2:$O$3015,'Web Feed'!$B$2:$B$3015,Points!$A$6,'Web Feed'!$H$2:$H$3015,$B281)+SUMIFS('Web Feed'!$O$2:$O$3015,'Web Feed'!$B$2:$B$3015,Points!$A$6,'Web Feed'!$I$2:$I$3015,$B281))</f>
        <v/>
      </c>
      <c r="I281">
        <f>IF($B281="","",COUNTIFS('Web Feed'!$B$2:$B$3015,"OHW",'Web Feed'!$F$2:$F$3015,$B281))</f>
        <v/>
      </c>
      <c r="J281">
        <f>IF($B281="","",IFERROR(INDEX('Last Week'!$A$2:$A$301,MATCH($B281,'Last Week'!$B$2:$B$301,0)),""))</f>
        <v/>
      </c>
      <c r="K281">
        <f>IF(OR($B281="",$J281=""),"",$J281-$A281)</f>
        <v/>
      </c>
    </row>
    <row r="282">
      <c r="A282">
        <f>IF($B282="","",RANK($C282,$C$2:$C$500))</f>
        <v/>
      </c>
      <c r="B282">
        <f>IF(Players!$A282="","",Players!$A282)</f>
        <v/>
      </c>
      <c r="C282" s="5">
        <f>IF($B282="","",SUM(D282:H282))</f>
        <v/>
      </c>
      <c r="D282">
        <f>IF($B282="","",SUMIFS('Web Feed'!$O$2:$O$3015,'Web Feed'!$B$2:$B$3015,Points!$A$2,'Web Feed'!$F$2:$F$3015,$B282)+SUMIFS('Web Feed'!$O$2:$O$3015,'Web Feed'!$B$2:$B$3015,Points!$A$2,'Web Feed'!$G$2:$G$3015,$B282)+SUMIFS('Web Feed'!$O$2:$O$3015,'Web Feed'!$B$2:$B$3015,Points!$A$2,'Web Feed'!$H$2:$H$3015,$B282)+SUMIFS('Web Feed'!$O$2:$O$3015,'Web Feed'!$B$2:$B$3015,Points!$A$2,'Web Feed'!$I$2:$I$3015,$B282))</f>
        <v/>
      </c>
      <c r="E282">
        <f>IF($B282="","",SUMIFS('Web Feed'!$O$2:$O$3015,'Web Feed'!$B$2:$B$3015,Points!$A$3,'Web Feed'!$F$2:$F$3015,$B282)+SUMIFS('Web Feed'!$O$2:$O$3015,'Web Feed'!$B$2:$B$3015,Points!$A$3,'Web Feed'!$G$2:$G$3015,$B282)+SUMIFS('Web Feed'!$O$2:$O$3015,'Web Feed'!$B$2:$B$3015,Points!$A$3,'Web Feed'!$H$2:$H$3015,$B282)+SUMIFS('Web Feed'!$O$2:$O$3015,'Web Feed'!$B$2:$B$3015,Points!$A$3,'Web Feed'!$I$2:$I$3015,$B282))</f>
        <v/>
      </c>
      <c r="F282">
        <f>IF($B282="","",SUMIFS('Web Feed'!$O$2:$O$3015,'Web Feed'!$B$2:$B$3015,Points!$A$4,'Web Feed'!$F$2:$F$3015,$B282)+SUMIFS('Web Feed'!$O$2:$O$3015,'Web Feed'!$B$2:$B$3015,Points!$A$4,'Web Feed'!$G$2:$G$3015,$B282)+SUMIFS('Web Feed'!$O$2:$O$3015,'Web Feed'!$B$2:$B$3015,Points!$A$4,'Web Feed'!$H$2:$H$3015,$B282)+SUMIFS('Web Feed'!$O$2:$O$3015,'Web Feed'!$B$2:$B$3015,Points!$A$4,'Web Feed'!$I$2:$I$3015,$B282))</f>
        <v/>
      </c>
      <c r="G282">
        <f>IF($B282="","",SUMIFS('Web Feed'!$O$2:$O$3015,'Web Feed'!$B$2:$B$3015,Points!$A$5,'Web Feed'!$F$2:$F$3015,$B282)+SUMIFS('Web Feed'!$O$2:$O$3015,'Web Feed'!$B$2:$B$3015,Points!$A$5,'Web Feed'!$G$2:$G$3015,$B282)+SUMIFS('Web Feed'!$O$2:$O$3015,'Web Feed'!$B$2:$B$3015,Points!$A$5,'Web Feed'!$H$2:$H$3015,$B282)+SUMIFS('Web Feed'!$O$2:$O$3015,'Web Feed'!$B$2:$B$3015,Points!$A$5,'Web Feed'!$I$2:$I$3015,$B282))</f>
        <v/>
      </c>
      <c r="H282">
        <f>IF($B282="","",SUMIFS('Web Feed'!$O$2:$O$3015,'Web Feed'!$B$2:$B$3015,Points!$A$6,'Web Feed'!$F$2:$F$3015,$B282)+SUMIFS('Web Feed'!$O$2:$O$3015,'Web Feed'!$B$2:$B$3015,Points!$A$6,'Web Feed'!$G$2:$G$3015,$B282)+SUMIFS('Web Feed'!$O$2:$O$3015,'Web Feed'!$B$2:$B$3015,Points!$A$6,'Web Feed'!$H$2:$H$3015,$B282)+SUMIFS('Web Feed'!$O$2:$O$3015,'Web Feed'!$B$2:$B$3015,Points!$A$6,'Web Feed'!$I$2:$I$3015,$B282))</f>
        <v/>
      </c>
      <c r="I282">
        <f>IF($B282="","",COUNTIFS('Web Feed'!$B$2:$B$3015,"OHW",'Web Feed'!$F$2:$F$3015,$B282))</f>
        <v/>
      </c>
      <c r="J282">
        <f>IF($B282="","",IFERROR(INDEX('Last Week'!$A$2:$A$301,MATCH($B282,'Last Week'!$B$2:$B$301,0)),""))</f>
        <v/>
      </c>
      <c r="K282">
        <f>IF(OR($B282="",$J282=""),"",$J282-$A282)</f>
        <v/>
      </c>
    </row>
    <row r="283">
      <c r="A283">
        <f>IF($B283="","",RANK($C283,$C$2:$C$500))</f>
        <v/>
      </c>
      <c r="B283">
        <f>IF(Players!$A283="","",Players!$A283)</f>
        <v/>
      </c>
      <c r="C283" s="5">
        <f>IF($B283="","",SUM(D283:H283))</f>
        <v/>
      </c>
      <c r="D283">
        <f>IF($B283="","",SUMIFS('Web Feed'!$O$2:$O$3015,'Web Feed'!$B$2:$B$3015,Points!$A$2,'Web Feed'!$F$2:$F$3015,$B283)+SUMIFS('Web Feed'!$O$2:$O$3015,'Web Feed'!$B$2:$B$3015,Points!$A$2,'Web Feed'!$G$2:$G$3015,$B283)+SUMIFS('Web Feed'!$O$2:$O$3015,'Web Feed'!$B$2:$B$3015,Points!$A$2,'Web Feed'!$H$2:$H$3015,$B283)+SUMIFS('Web Feed'!$O$2:$O$3015,'Web Feed'!$B$2:$B$3015,Points!$A$2,'Web Feed'!$I$2:$I$3015,$B283))</f>
        <v/>
      </c>
      <c r="E283">
        <f>IF($B283="","",SUMIFS('Web Feed'!$O$2:$O$3015,'Web Feed'!$B$2:$B$3015,Points!$A$3,'Web Feed'!$F$2:$F$3015,$B283)+SUMIFS('Web Feed'!$O$2:$O$3015,'Web Feed'!$B$2:$B$3015,Points!$A$3,'Web Feed'!$G$2:$G$3015,$B283)+SUMIFS('Web Feed'!$O$2:$O$3015,'Web Feed'!$B$2:$B$3015,Points!$A$3,'Web Feed'!$H$2:$H$3015,$B283)+SUMIFS('Web Feed'!$O$2:$O$3015,'Web Feed'!$B$2:$B$3015,Points!$A$3,'Web Feed'!$I$2:$I$3015,$B283))</f>
        <v/>
      </c>
      <c r="F283">
        <f>IF($B283="","",SUMIFS('Web Feed'!$O$2:$O$3015,'Web Feed'!$B$2:$B$3015,Points!$A$4,'Web Feed'!$F$2:$F$3015,$B283)+SUMIFS('Web Feed'!$O$2:$O$3015,'Web Feed'!$B$2:$B$3015,Points!$A$4,'Web Feed'!$G$2:$G$3015,$B283)+SUMIFS('Web Feed'!$O$2:$O$3015,'Web Feed'!$B$2:$B$3015,Points!$A$4,'Web Feed'!$H$2:$H$3015,$B283)+SUMIFS('Web Feed'!$O$2:$O$3015,'Web Feed'!$B$2:$B$3015,Points!$A$4,'Web Feed'!$I$2:$I$3015,$B283))</f>
        <v/>
      </c>
      <c r="G283">
        <f>IF($B283="","",SUMIFS('Web Feed'!$O$2:$O$3015,'Web Feed'!$B$2:$B$3015,Points!$A$5,'Web Feed'!$F$2:$F$3015,$B283)+SUMIFS('Web Feed'!$O$2:$O$3015,'Web Feed'!$B$2:$B$3015,Points!$A$5,'Web Feed'!$G$2:$G$3015,$B283)+SUMIFS('Web Feed'!$O$2:$O$3015,'Web Feed'!$B$2:$B$3015,Points!$A$5,'Web Feed'!$H$2:$H$3015,$B283)+SUMIFS('Web Feed'!$O$2:$O$3015,'Web Feed'!$B$2:$B$3015,Points!$A$5,'Web Feed'!$I$2:$I$3015,$B283))</f>
        <v/>
      </c>
      <c r="H283">
        <f>IF($B283="","",SUMIFS('Web Feed'!$O$2:$O$3015,'Web Feed'!$B$2:$B$3015,Points!$A$6,'Web Feed'!$F$2:$F$3015,$B283)+SUMIFS('Web Feed'!$O$2:$O$3015,'Web Feed'!$B$2:$B$3015,Points!$A$6,'Web Feed'!$G$2:$G$3015,$B283)+SUMIFS('Web Feed'!$O$2:$O$3015,'Web Feed'!$B$2:$B$3015,Points!$A$6,'Web Feed'!$H$2:$H$3015,$B283)+SUMIFS('Web Feed'!$O$2:$O$3015,'Web Feed'!$B$2:$B$3015,Points!$A$6,'Web Feed'!$I$2:$I$3015,$B283))</f>
        <v/>
      </c>
      <c r="I283">
        <f>IF($B283="","",COUNTIFS('Web Feed'!$B$2:$B$3015,"OHW",'Web Feed'!$F$2:$F$3015,$B283))</f>
        <v/>
      </c>
      <c r="J283">
        <f>IF($B283="","",IFERROR(INDEX('Last Week'!$A$2:$A$301,MATCH($B283,'Last Week'!$B$2:$B$301,0)),""))</f>
        <v/>
      </c>
      <c r="K283">
        <f>IF(OR($B283="",$J283=""),"",$J283-$A283)</f>
        <v/>
      </c>
    </row>
    <row r="284">
      <c r="A284">
        <f>IF($B284="","",RANK($C284,$C$2:$C$500))</f>
        <v/>
      </c>
      <c r="B284">
        <f>IF(Players!$A284="","",Players!$A284)</f>
        <v/>
      </c>
      <c r="C284" s="5">
        <f>IF($B284="","",SUM(D284:H284))</f>
        <v/>
      </c>
      <c r="D284">
        <f>IF($B284="","",SUMIFS('Web Feed'!$O$2:$O$3015,'Web Feed'!$B$2:$B$3015,Points!$A$2,'Web Feed'!$F$2:$F$3015,$B284)+SUMIFS('Web Feed'!$O$2:$O$3015,'Web Feed'!$B$2:$B$3015,Points!$A$2,'Web Feed'!$G$2:$G$3015,$B284)+SUMIFS('Web Feed'!$O$2:$O$3015,'Web Feed'!$B$2:$B$3015,Points!$A$2,'Web Feed'!$H$2:$H$3015,$B284)+SUMIFS('Web Feed'!$O$2:$O$3015,'Web Feed'!$B$2:$B$3015,Points!$A$2,'Web Feed'!$I$2:$I$3015,$B284))</f>
        <v/>
      </c>
      <c r="E284">
        <f>IF($B284="","",SUMIFS('Web Feed'!$O$2:$O$3015,'Web Feed'!$B$2:$B$3015,Points!$A$3,'Web Feed'!$F$2:$F$3015,$B284)+SUMIFS('Web Feed'!$O$2:$O$3015,'Web Feed'!$B$2:$B$3015,Points!$A$3,'Web Feed'!$G$2:$G$3015,$B284)+SUMIFS('Web Feed'!$O$2:$O$3015,'Web Feed'!$B$2:$B$3015,Points!$A$3,'Web Feed'!$H$2:$H$3015,$B284)+SUMIFS('Web Feed'!$O$2:$O$3015,'Web Feed'!$B$2:$B$3015,Points!$A$3,'Web Feed'!$I$2:$I$3015,$B284))</f>
        <v/>
      </c>
      <c r="F284">
        <f>IF($B284="","",SUMIFS('Web Feed'!$O$2:$O$3015,'Web Feed'!$B$2:$B$3015,Points!$A$4,'Web Feed'!$F$2:$F$3015,$B284)+SUMIFS('Web Feed'!$O$2:$O$3015,'Web Feed'!$B$2:$B$3015,Points!$A$4,'Web Feed'!$G$2:$G$3015,$B284)+SUMIFS('Web Feed'!$O$2:$O$3015,'Web Feed'!$B$2:$B$3015,Points!$A$4,'Web Feed'!$H$2:$H$3015,$B284)+SUMIFS('Web Feed'!$O$2:$O$3015,'Web Feed'!$B$2:$B$3015,Points!$A$4,'Web Feed'!$I$2:$I$3015,$B284))</f>
        <v/>
      </c>
      <c r="G284">
        <f>IF($B284="","",SUMIFS('Web Feed'!$O$2:$O$3015,'Web Feed'!$B$2:$B$3015,Points!$A$5,'Web Feed'!$F$2:$F$3015,$B284)+SUMIFS('Web Feed'!$O$2:$O$3015,'Web Feed'!$B$2:$B$3015,Points!$A$5,'Web Feed'!$G$2:$G$3015,$B284)+SUMIFS('Web Feed'!$O$2:$O$3015,'Web Feed'!$B$2:$B$3015,Points!$A$5,'Web Feed'!$H$2:$H$3015,$B284)+SUMIFS('Web Feed'!$O$2:$O$3015,'Web Feed'!$B$2:$B$3015,Points!$A$5,'Web Feed'!$I$2:$I$3015,$B284))</f>
        <v/>
      </c>
      <c r="H284">
        <f>IF($B284="","",SUMIFS('Web Feed'!$O$2:$O$3015,'Web Feed'!$B$2:$B$3015,Points!$A$6,'Web Feed'!$F$2:$F$3015,$B284)+SUMIFS('Web Feed'!$O$2:$O$3015,'Web Feed'!$B$2:$B$3015,Points!$A$6,'Web Feed'!$G$2:$G$3015,$B284)+SUMIFS('Web Feed'!$O$2:$O$3015,'Web Feed'!$B$2:$B$3015,Points!$A$6,'Web Feed'!$H$2:$H$3015,$B284)+SUMIFS('Web Feed'!$O$2:$O$3015,'Web Feed'!$B$2:$B$3015,Points!$A$6,'Web Feed'!$I$2:$I$3015,$B284))</f>
        <v/>
      </c>
      <c r="I284">
        <f>IF($B284="","",COUNTIFS('Web Feed'!$B$2:$B$3015,"OHW",'Web Feed'!$F$2:$F$3015,$B284))</f>
        <v/>
      </c>
      <c r="J284">
        <f>IF($B284="","",IFERROR(INDEX('Last Week'!$A$2:$A$301,MATCH($B284,'Last Week'!$B$2:$B$301,0)),""))</f>
        <v/>
      </c>
      <c r="K284">
        <f>IF(OR($B284="",$J284=""),"",$J284-$A284)</f>
        <v/>
      </c>
    </row>
    <row r="285">
      <c r="A285">
        <f>IF($B285="","",RANK($C285,$C$2:$C$500))</f>
        <v/>
      </c>
      <c r="B285">
        <f>IF(Players!$A285="","",Players!$A285)</f>
        <v/>
      </c>
      <c r="C285" s="5">
        <f>IF($B285="","",SUM(D285:H285))</f>
        <v/>
      </c>
      <c r="D285">
        <f>IF($B285="","",SUMIFS('Web Feed'!$O$2:$O$3015,'Web Feed'!$B$2:$B$3015,Points!$A$2,'Web Feed'!$F$2:$F$3015,$B285)+SUMIFS('Web Feed'!$O$2:$O$3015,'Web Feed'!$B$2:$B$3015,Points!$A$2,'Web Feed'!$G$2:$G$3015,$B285)+SUMIFS('Web Feed'!$O$2:$O$3015,'Web Feed'!$B$2:$B$3015,Points!$A$2,'Web Feed'!$H$2:$H$3015,$B285)+SUMIFS('Web Feed'!$O$2:$O$3015,'Web Feed'!$B$2:$B$3015,Points!$A$2,'Web Feed'!$I$2:$I$3015,$B285))</f>
        <v/>
      </c>
      <c r="E285">
        <f>IF($B285="","",SUMIFS('Web Feed'!$O$2:$O$3015,'Web Feed'!$B$2:$B$3015,Points!$A$3,'Web Feed'!$F$2:$F$3015,$B285)+SUMIFS('Web Feed'!$O$2:$O$3015,'Web Feed'!$B$2:$B$3015,Points!$A$3,'Web Feed'!$G$2:$G$3015,$B285)+SUMIFS('Web Feed'!$O$2:$O$3015,'Web Feed'!$B$2:$B$3015,Points!$A$3,'Web Feed'!$H$2:$H$3015,$B285)+SUMIFS('Web Feed'!$O$2:$O$3015,'Web Feed'!$B$2:$B$3015,Points!$A$3,'Web Feed'!$I$2:$I$3015,$B285))</f>
        <v/>
      </c>
      <c r="F285">
        <f>IF($B285="","",SUMIFS('Web Feed'!$O$2:$O$3015,'Web Feed'!$B$2:$B$3015,Points!$A$4,'Web Feed'!$F$2:$F$3015,$B285)+SUMIFS('Web Feed'!$O$2:$O$3015,'Web Feed'!$B$2:$B$3015,Points!$A$4,'Web Feed'!$G$2:$G$3015,$B285)+SUMIFS('Web Feed'!$O$2:$O$3015,'Web Feed'!$B$2:$B$3015,Points!$A$4,'Web Feed'!$H$2:$H$3015,$B285)+SUMIFS('Web Feed'!$O$2:$O$3015,'Web Feed'!$B$2:$B$3015,Points!$A$4,'Web Feed'!$I$2:$I$3015,$B285))</f>
        <v/>
      </c>
      <c r="G285">
        <f>IF($B285="","",SUMIFS('Web Feed'!$O$2:$O$3015,'Web Feed'!$B$2:$B$3015,Points!$A$5,'Web Feed'!$F$2:$F$3015,$B285)+SUMIFS('Web Feed'!$O$2:$O$3015,'Web Feed'!$B$2:$B$3015,Points!$A$5,'Web Feed'!$G$2:$G$3015,$B285)+SUMIFS('Web Feed'!$O$2:$O$3015,'Web Feed'!$B$2:$B$3015,Points!$A$5,'Web Feed'!$H$2:$H$3015,$B285)+SUMIFS('Web Feed'!$O$2:$O$3015,'Web Feed'!$B$2:$B$3015,Points!$A$5,'Web Feed'!$I$2:$I$3015,$B285))</f>
        <v/>
      </c>
      <c r="H285">
        <f>IF($B285="","",SUMIFS('Web Feed'!$O$2:$O$3015,'Web Feed'!$B$2:$B$3015,Points!$A$6,'Web Feed'!$F$2:$F$3015,$B285)+SUMIFS('Web Feed'!$O$2:$O$3015,'Web Feed'!$B$2:$B$3015,Points!$A$6,'Web Feed'!$G$2:$G$3015,$B285)+SUMIFS('Web Feed'!$O$2:$O$3015,'Web Feed'!$B$2:$B$3015,Points!$A$6,'Web Feed'!$H$2:$H$3015,$B285)+SUMIFS('Web Feed'!$O$2:$O$3015,'Web Feed'!$B$2:$B$3015,Points!$A$6,'Web Feed'!$I$2:$I$3015,$B285))</f>
        <v/>
      </c>
      <c r="I285">
        <f>IF($B285="","",COUNTIFS('Web Feed'!$B$2:$B$3015,"OHW",'Web Feed'!$F$2:$F$3015,$B285))</f>
        <v/>
      </c>
      <c r="J285">
        <f>IF($B285="","",IFERROR(INDEX('Last Week'!$A$2:$A$301,MATCH($B285,'Last Week'!$B$2:$B$301,0)),""))</f>
        <v/>
      </c>
      <c r="K285">
        <f>IF(OR($B285="",$J285=""),"",$J285-$A285)</f>
        <v/>
      </c>
    </row>
    <row r="286">
      <c r="A286">
        <f>IF($B286="","",RANK($C286,$C$2:$C$500))</f>
        <v/>
      </c>
      <c r="B286">
        <f>IF(Players!$A286="","",Players!$A286)</f>
        <v/>
      </c>
      <c r="C286" s="5">
        <f>IF($B286="","",SUM(D286:H286))</f>
        <v/>
      </c>
      <c r="D286">
        <f>IF($B286="","",SUMIFS('Web Feed'!$O$2:$O$3015,'Web Feed'!$B$2:$B$3015,Points!$A$2,'Web Feed'!$F$2:$F$3015,$B286)+SUMIFS('Web Feed'!$O$2:$O$3015,'Web Feed'!$B$2:$B$3015,Points!$A$2,'Web Feed'!$G$2:$G$3015,$B286)+SUMIFS('Web Feed'!$O$2:$O$3015,'Web Feed'!$B$2:$B$3015,Points!$A$2,'Web Feed'!$H$2:$H$3015,$B286)+SUMIFS('Web Feed'!$O$2:$O$3015,'Web Feed'!$B$2:$B$3015,Points!$A$2,'Web Feed'!$I$2:$I$3015,$B286))</f>
        <v/>
      </c>
      <c r="E286">
        <f>IF($B286="","",SUMIFS('Web Feed'!$O$2:$O$3015,'Web Feed'!$B$2:$B$3015,Points!$A$3,'Web Feed'!$F$2:$F$3015,$B286)+SUMIFS('Web Feed'!$O$2:$O$3015,'Web Feed'!$B$2:$B$3015,Points!$A$3,'Web Feed'!$G$2:$G$3015,$B286)+SUMIFS('Web Feed'!$O$2:$O$3015,'Web Feed'!$B$2:$B$3015,Points!$A$3,'Web Feed'!$H$2:$H$3015,$B286)+SUMIFS('Web Feed'!$O$2:$O$3015,'Web Feed'!$B$2:$B$3015,Points!$A$3,'Web Feed'!$I$2:$I$3015,$B286))</f>
        <v/>
      </c>
      <c r="F286">
        <f>IF($B286="","",SUMIFS('Web Feed'!$O$2:$O$3015,'Web Feed'!$B$2:$B$3015,Points!$A$4,'Web Feed'!$F$2:$F$3015,$B286)+SUMIFS('Web Feed'!$O$2:$O$3015,'Web Feed'!$B$2:$B$3015,Points!$A$4,'Web Feed'!$G$2:$G$3015,$B286)+SUMIFS('Web Feed'!$O$2:$O$3015,'Web Feed'!$B$2:$B$3015,Points!$A$4,'Web Feed'!$H$2:$H$3015,$B286)+SUMIFS('Web Feed'!$O$2:$O$3015,'Web Feed'!$B$2:$B$3015,Points!$A$4,'Web Feed'!$I$2:$I$3015,$B286))</f>
        <v/>
      </c>
      <c r="G286">
        <f>IF($B286="","",SUMIFS('Web Feed'!$O$2:$O$3015,'Web Feed'!$B$2:$B$3015,Points!$A$5,'Web Feed'!$F$2:$F$3015,$B286)+SUMIFS('Web Feed'!$O$2:$O$3015,'Web Feed'!$B$2:$B$3015,Points!$A$5,'Web Feed'!$G$2:$G$3015,$B286)+SUMIFS('Web Feed'!$O$2:$O$3015,'Web Feed'!$B$2:$B$3015,Points!$A$5,'Web Feed'!$H$2:$H$3015,$B286)+SUMIFS('Web Feed'!$O$2:$O$3015,'Web Feed'!$B$2:$B$3015,Points!$A$5,'Web Feed'!$I$2:$I$3015,$B286))</f>
        <v/>
      </c>
      <c r="H286">
        <f>IF($B286="","",SUMIFS('Web Feed'!$O$2:$O$3015,'Web Feed'!$B$2:$B$3015,Points!$A$6,'Web Feed'!$F$2:$F$3015,$B286)+SUMIFS('Web Feed'!$O$2:$O$3015,'Web Feed'!$B$2:$B$3015,Points!$A$6,'Web Feed'!$G$2:$G$3015,$B286)+SUMIFS('Web Feed'!$O$2:$O$3015,'Web Feed'!$B$2:$B$3015,Points!$A$6,'Web Feed'!$H$2:$H$3015,$B286)+SUMIFS('Web Feed'!$O$2:$O$3015,'Web Feed'!$B$2:$B$3015,Points!$A$6,'Web Feed'!$I$2:$I$3015,$B286))</f>
        <v/>
      </c>
      <c r="I286">
        <f>IF($B286="","",COUNTIFS('Web Feed'!$B$2:$B$3015,"OHW",'Web Feed'!$F$2:$F$3015,$B286))</f>
        <v/>
      </c>
      <c r="J286">
        <f>IF($B286="","",IFERROR(INDEX('Last Week'!$A$2:$A$301,MATCH($B286,'Last Week'!$B$2:$B$301,0)),""))</f>
        <v/>
      </c>
      <c r="K286">
        <f>IF(OR($B286="",$J286=""),"",$J286-$A286)</f>
        <v/>
      </c>
    </row>
    <row r="287">
      <c r="A287">
        <f>IF($B287="","",RANK($C287,$C$2:$C$500))</f>
        <v/>
      </c>
      <c r="B287">
        <f>IF(Players!$A287="","",Players!$A287)</f>
        <v/>
      </c>
      <c r="C287" s="5">
        <f>IF($B287="","",SUM(D287:H287))</f>
        <v/>
      </c>
      <c r="D287">
        <f>IF($B287="","",SUMIFS('Web Feed'!$O$2:$O$3015,'Web Feed'!$B$2:$B$3015,Points!$A$2,'Web Feed'!$F$2:$F$3015,$B287)+SUMIFS('Web Feed'!$O$2:$O$3015,'Web Feed'!$B$2:$B$3015,Points!$A$2,'Web Feed'!$G$2:$G$3015,$B287)+SUMIFS('Web Feed'!$O$2:$O$3015,'Web Feed'!$B$2:$B$3015,Points!$A$2,'Web Feed'!$H$2:$H$3015,$B287)+SUMIFS('Web Feed'!$O$2:$O$3015,'Web Feed'!$B$2:$B$3015,Points!$A$2,'Web Feed'!$I$2:$I$3015,$B287))</f>
        <v/>
      </c>
      <c r="E287">
        <f>IF($B287="","",SUMIFS('Web Feed'!$O$2:$O$3015,'Web Feed'!$B$2:$B$3015,Points!$A$3,'Web Feed'!$F$2:$F$3015,$B287)+SUMIFS('Web Feed'!$O$2:$O$3015,'Web Feed'!$B$2:$B$3015,Points!$A$3,'Web Feed'!$G$2:$G$3015,$B287)+SUMIFS('Web Feed'!$O$2:$O$3015,'Web Feed'!$B$2:$B$3015,Points!$A$3,'Web Feed'!$H$2:$H$3015,$B287)+SUMIFS('Web Feed'!$O$2:$O$3015,'Web Feed'!$B$2:$B$3015,Points!$A$3,'Web Feed'!$I$2:$I$3015,$B287))</f>
        <v/>
      </c>
      <c r="F287">
        <f>IF($B287="","",SUMIFS('Web Feed'!$O$2:$O$3015,'Web Feed'!$B$2:$B$3015,Points!$A$4,'Web Feed'!$F$2:$F$3015,$B287)+SUMIFS('Web Feed'!$O$2:$O$3015,'Web Feed'!$B$2:$B$3015,Points!$A$4,'Web Feed'!$G$2:$G$3015,$B287)+SUMIFS('Web Feed'!$O$2:$O$3015,'Web Feed'!$B$2:$B$3015,Points!$A$4,'Web Feed'!$H$2:$H$3015,$B287)+SUMIFS('Web Feed'!$O$2:$O$3015,'Web Feed'!$B$2:$B$3015,Points!$A$4,'Web Feed'!$I$2:$I$3015,$B287))</f>
        <v/>
      </c>
      <c r="G287">
        <f>IF($B287="","",SUMIFS('Web Feed'!$O$2:$O$3015,'Web Feed'!$B$2:$B$3015,Points!$A$5,'Web Feed'!$F$2:$F$3015,$B287)+SUMIFS('Web Feed'!$O$2:$O$3015,'Web Feed'!$B$2:$B$3015,Points!$A$5,'Web Feed'!$G$2:$G$3015,$B287)+SUMIFS('Web Feed'!$O$2:$O$3015,'Web Feed'!$B$2:$B$3015,Points!$A$5,'Web Feed'!$H$2:$H$3015,$B287)+SUMIFS('Web Feed'!$O$2:$O$3015,'Web Feed'!$B$2:$B$3015,Points!$A$5,'Web Feed'!$I$2:$I$3015,$B287))</f>
        <v/>
      </c>
      <c r="H287">
        <f>IF($B287="","",SUMIFS('Web Feed'!$O$2:$O$3015,'Web Feed'!$B$2:$B$3015,Points!$A$6,'Web Feed'!$F$2:$F$3015,$B287)+SUMIFS('Web Feed'!$O$2:$O$3015,'Web Feed'!$B$2:$B$3015,Points!$A$6,'Web Feed'!$G$2:$G$3015,$B287)+SUMIFS('Web Feed'!$O$2:$O$3015,'Web Feed'!$B$2:$B$3015,Points!$A$6,'Web Feed'!$H$2:$H$3015,$B287)+SUMIFS('Web Feed'!$O$2:$O$3015,'Web Feed'!$B$2:$B$3015,Points!$A$6,'Web Feed'!$I$2:$I$3015,$B287))</f>
        <v/>
      </c>
      <c r="I287">
        <f>IF($B287="","",COUNTIFS('Web Feed'!$B$2:$B$3015,"OHW",'Web Feed'!$F$2:$F$3015,$B287))</f>
        <v/>
      </c>
      <c r="J287">
        <f>IF($B287="","",IFERROR(INDEX('Last Week'!$A$2:$A$301,MATCH($B287,'Last Week'!$B$2:$B$301,0)),""))</f>
        <v/>
      </c>
      <c r="K287">
        <f>IF(OR($B287="",$J287=""),"",$J287-$A287)</f>
        <v/>
      </c>
    </row>
    <row r="288">
      <c r="A288">
        <f>IF($B288="","",RANK($C288,$C$2:$C$500))</f>
        <v/>
      </c>
      <c r="B288">
        <f>IF(Players!$A288="","",Players!$A288)</f>
        <v/>
      </c>
      <c r="C288" s="5">
        <f>IF($B288="","",SUM(D288:H288))</f>
        <v/>
      </c>
      <c r="D288">
        <f>IF($B288="","",SUMIFS('Web Feed'!$O$2:$O$3015,'Web Feed'!$B$2:$B$3015,Points!$A$2,'Web Feed'!$F$2:$F$3015,$B288)+SUMIFS('Web Feed'!$O$2:$O$3015,'Web Feed'!$B$2:$B$3015,Points!$A$2,'Web Feed'!$G$2:$G$3015,$B288)+SUMIFS('Web Feed'!$O$2:$O$3015,'Web Feed'!$B$2:$B$3015,Points!$A$2,'Web Feed'!$H$2:$H$3015,$B288)+SUMIFS('Web Feed'!$O$2:$O$3015,'Web Feed'!$B$2:$B$3015,Points!$A$2,'Web Feed'!$I$2:$I$3015,$B288))</f>
        <v/>
      </c>
      <c r="E288">
        <f>IF($B288="","",SUMIFS('Web Feed'!$O$2:$O$3015,'Web Feed'!$B$2:$B$3015,Points!$A$3,'Web Feed'!$F$2:$F$3015,$B288)+SUMIFS('Web Feed'!$O$2:$O$3015,'Web Feed'!$B$2:$B$3015,Points!$A$3,'Web Feed'!$G$2:$G$3015,$B288)+SUMIFS('Web Feed'!$O$2:$O$3015,'Web Feed'!$B$2:$B$3015,Points!$A$3,'Web Feed'!$H$2:$H$3015,$B288)+SUMIFS('Web Feed'!$O$2:$O$3015,'Web Feed'!$B$2:$B$3015,Points!$A$3,'Web Feed'!$I$2:$I$3015,$B288))</f>
        <v/>
      </c>
      <c r="F288">
        <f>IF($B288="","",SUMIFS('Web Feed'!$O$2:$O$3015,'Web Feed'!$B$2:$B$3015,Points!$A$4,'Web Feed'!$F$2:$F$3015,$B288)+SUMIFS('Web Feed'!$O$2:$O$3015,'Web Feed'!$B$2:$B$3015,Points!$A$4,'Web Feed'!$G$2:$G$3015,$B288)+SUMIFS('Web Feed'!$O$2:$O$3015,'Web Feed'!$B$2:$B$3015,Points!$A$4,'Web Feed'!$H$2:$H$3015,$B288)+SUMIFS('Web Feed'!$O$2:$O$3015,'Web Feed'!$B$2:$B$3015,Points!$A$4,'Web Feed'!$I$2:$I$3015,$B288))</f>
        <v/>
      </c>
      <c r="G288">
        <f>IF($B288="","",SUMIFS('Web Feed'!$O$2:$O$3015,'Web Feed'!$B$2:$B$3015,Points!$A$5,'Web Feed'!$F$2:$F$3015,$B288)+SUMIFS('Web Feed'!$O$2:$O$3015,'Web Feed'!$B$2:$B$3015,Points!$A$5,'Web Feed'!$G$2:$G$3015,$B288)+SUMIFS('Web Feed'!$O$2:$O$3015,'Web Feed'!$B$2:$B$3015,Points!$A$5,'Web Feed'!$H$2:$H$3015,$B288)+SUMIFS('Web Feed'!$O$2:$O$3015,'Web Feed'!$B$2:$B$3015,Points!$A$5,'Web Feed'!$I$2:$I$3015,$B288))</f>
        <v/>
      </c>
      <c r="H288">
        <f>IF($B288="","",SUMIFS('Web Feed'!$O$2:$O$3015,'Web Feed'!$B$2:$B$3015,Points!$A$6,'Web Feed'!$F$2:$F$3015,$B288)+SUMIFS('Web Feed'!$O$2:$O$3015,'Web Feed'!$B$2:$B$3015,Points!$A$6,'Web Feed'!$G$2:$G$3015,$B288)+SUMIFS('Web Feed'!$O$2:$O$3015,'Web Feed'!$B$2:$B$3015,Points!$A$6,'Web Feed'!$H$2:$H$3015,$B288)+SUMIFS('Web Feed'!$O$2:$O$3015,'Web Feed'!$B$2:$B$3015,Points!$A$6,'Web Feed'!$I$2:$I$3015,$B288))</f>
        <v/>
      </c>
      <c r="I288">
        <f>IF($B288="","",COUNTIFS('Web Feed'!$B$2:$B$3015,"OHW",'Web Feed'!$F$2:$F$3015,$B288))</f>
        <v/>
      </c>
      <c r="J288">
        <f>IF($B288="","",IFERROR(INDEX('Last Week'!$A$2:$A$301,MATCH($B288,'Last Week'!$B$2:$B$301,0)),""))</f>
        <v/>
      </c>
      <c r="K288">
        <f>IF(OR($B288="",$J288=""),"",$J288-$A288)</f>
        <v/>
      </c>
    </row>
    <row r="289">
      <c r="A289">
        <f>IF($B289="","",RANK($C289,$C$2:$C$500))</f>
        <v/>
      </c>
      <c r="B289">
        <f>IF(Players!$A289="","",Players!$A289)</f>
        <v/>
      </c>
      <c r="C289" s="5">
        <f>IF($B289="","",SUM(D289:H289))</f>
        <v/>
      </c>
      <c r="D289">
        <f>IF($B289="","",SUMIFS('Web Feed'!$O$2:$O$3015,'Web Feed'!$B$2:$B$3015,Points!$A$2,'Web Feed'!$F$2:$F$3015,$B289)+SUMIFS('Web Feed'!$O$2:$O$3015,'Web Feed'!$B$2:$B$3015,Points!$A$2,'Web Feed'!$G$2:$G$3015,$B289)+SUMIFS('Web Feed'!$O$2:$O$3015,'Web Feed'!$B$2:$B$3015,Points!$A$2,'Web Feed'!$H$2:$H$3015,$B289)+SUMIFS('Web Feed'!$O$2:$O$3015,'Web Feed'!$B$2:$B$3015,Points!$A$2,'Web Feed'!$I$2:$I$3015,$B289))</f>
        <v/>
      </c>
      <c r="E289">
        <f>IF($B289="","",SUMIFS('Web Feed'!$O$2:$O$3015,'Web Feed'!$B$2:$B$3015,Points!$A$3,'Web Feed'!$F$2:$F$3015,$B289)+SUMIFS('Web Feed'!$O$2:$O$3015,'Web Feed'!$B$2:$B$3015,Points!$A$3,'Web Feed'!$G$2:$G$3015,$B289)+SUMIFS('Web Feed'!$O$2:$O$3015,'Web Feed'!$B$2:$B$3015,Points!$A$3,'Web Feed'!$H$2:$H$3015,$B289)+SUMIFS('Web Feed'!$O$2:$O$3015,'Web Feed'!$B$2:$B$3015,Points!$A$3,'Web Feed'!$I$2:$I$3015,$B289))</f>
        <v/>
      </c>
      <c r="F289">
        <f>IF($B289="","",SUMIFS('Web Feed'!$O$2:$O$3015,'Web Feed'!$B$2:$B$3015,Points!$A$4,'Web Feed'!$F$2:$F$3015,$B289)+SUMIFS('Web Feed'!$O$2:$O$3015,'Web Feed'!$B$2:$B$3015,Points!$A$4,'Web Feed'!$G$2:$G$3015,$B289)+SUMIFS('Web Feed'!$O$2:$O$3015,'Web Feed'!$B$2:$B$3015,Points!$A$4,'Web Feed'!$H$2:$H$3015,$B289)+SUMIFS('Web Feed'!$O$2:$O$3015,'Web Feed'!$B$2:$B$3015,Points!$A$4,'Web Feed'!$I$2:$I$3015,$B289))</f>
        <v/>
      </c>
      <c r="G289">
        <f>IF($B289="","",SUMIFS('Web Feed'!$O$2:$O$3015,'Web Feed'!$B$2:$B$3015,Points!$A$5,'Web Feed'!$F$2:$F$3015,$B289)+SUMIFS('Web Feed'!$O$2:$O$3015,'Web Feed'!$B$2:$B$3015,Points!$A$5,'Web Feed'!$G$2:$G$3015,$B289)+SUMIFS('Web Feed'!$O$2:$O$3015,'Web Feed'!$B$2:$B$3015,Points!$A$5,'Web Feed'!$H$2:$H$3015,$B289)+SUMIFS('Web Feed'!$O$2:$O$3015,'Web Feed'!$B$2:$B$3015,Points!$A$5,'Web Feed'!$I$2:$I$3015,$B289))</f>
        <v/>
      </c>
      <c r="H289">
        <f>IF($B289="","",SUMIFS('Web Feed'!$O$2:$O$3015,'Web Feed'!$B$2:$B$3015,Points!$A$6,'Web Feed'!$F$2:$F$3015,$B289)+SUMIFS('Web Feed'!$O$2:$O$3015,'Web Feed'!$B$2:$B$3015,Points!$A$6,'Web Feed'!$G$2:$G$3015,$B289)+SUMIFS('Web Feed'!$O$2:$O$3015,'Web Feed'!$B$2:$B$3015,Points!$A$6,'Web Feed'!$H$2:$H$3015,$B289)+SUMIFS('Web Feed'!$O$2:$O$3015,'Web Feed'!$B$2:$B$3015,Points!$A$6,'Web Feed'!$I$2:$I$3015,$B289))</f>
        <v/>
      </c>
      <c r="I289">
        <f>IF($B289="","",COUNTIFS('Web Feed'!$B$2:$B$3015,"OHW",'Web Feed'!$F$2:$F$3015,$B289))</f>
        <v/>
      </c>
      <c r="J289">
        <f>IF($B289="","",IFERROR(INDEX('Last Week'!$A$2:$A$301,MATCH($B289,'Last Week'!$B$2:$B$301,0)),""))</f>
        <v/>
      </c>
      <c r="K289">
        <f>IF(OR($B289="",$J289=""),"",$J289-$A289)</f>
        <v/>
      </c>
    </row>
    <row r="290">
      <c r="A290">
        <f>IF($B290="","",RANK($C290,$C$2:$C$500))</f>
        <v/>
      </c>
      <c r="B290">
        <f>IF(Players!$A290="","",Players!$A290)</f>
        <v/>
      </c>
      <c r="C290" s="5">
        <f>IF($B290="","",SUM(D290:H290))</f>
        <v/>
      </c>
      <c r="D290">
        <f>IF($B290="","",SUMIFS('Web Feed'!$O$2:$O$3015,'Web Feed'!$B$2:$B$3015,Points!$A$2,'Web Feed'!$F$2:$F$3015,$B290)+SUMIFS('Web Feed'!$O$2:$O$3015,'Web Feed'!$B$2:$B$3015,Points!$A$2,'Web Feed'!$G$2:$G$3015,$B290)+SUMIFS('Web Feed'!$O$2:$O$3015,'Web Feed'!$B$2:$B$3015,Points!$A$2,'Web Feed'!$H$2:$H$3015,$B290)+SUMIFS('Web Feed'!$O$2:$O$3015,'Web Feed'!$B$2:$B$3015,Points!$A$2,'Web Feed'!$I$2:$I$3015,$B290))</f>
        <v/>
      </c>
      <c r="E290">
        <f>IF($B290="","",SUMIFS('Web Feed'!$O$2:$O$3015,'Web Feed'!$B$2:$B$3015,Points!$A$3,'Web Feed'!$F$2:$F$3015,$B290)+SUMIFS('Web Feed'!$O$2:$O$3015,'Web Feed'!$B$2:$B$3015,Points!$A$3,'Web Feed'!$G$2:$G$3015,$B290)+SUMIFS('Web Feed'!$O$2:$O$3015,'Web Feed'!$B$2:$B$3015,Points!$A$3,'Web Feed'!$H$2:$H$3015,$B290)+SUMIFS('Web Feed'!$O$2:$O$3015,'Web Feed'!$B$2:$B$3015,Points!$A$3,'Web Feed'!$I$2:$I$3015,$B290))</f>
        <v/>
      </c>
      <c r="F290">
        <f>IF($B290="","",SUMIFS('Web Feed'!$O$2:$O$3015,'Web Feed'!$B$2:$B$3015,Points!$A$4,'Web Feed'!$F$2:$F$3015,$B290)+SUMIFS('Web Feed'!$O$2:$O$3015,'Web Feed'!$B$2:$B$3015,Points!$A$4,'Web Feed'!$G$2:$G$3015,$B290)+SUMIFS('Web Feed'!$O$2:$O$3015,'Web Feed'!$B$2:$B$3015,Points!$A$4,'Web Feed'!$H$2:$H$3015,$B290)+SUMIFS('Web Feed'!$O$2:$O$3015,'Web Feed'!$B$2:$B$3015,Points!$A$4,'Web Feed'!$I$2:$I$3015,$B290))</f>
        <v/>
      </c>
      <c r="G290">
        <f>IF($B290="","",SUMIFS('Web Feed'!$O$2:$O$3015,'Web Feed'!$B$2:$B$3015,Points!$A$5,'Web Feed'!$F$2:$F$3015,$B290)+SUMIFS('Web Feed'!$O$2:$O$3015,'Web Feed'!$B$2:$B$3015,Points!$A$5,'Web Feed'!$G$2:$G$3015,$B290)+SUMIFS('Web Feed'!$O$2:$O$3015,'Web Feed'!$B$2:$B$3015,Points!$A$5,'Web Feed'!$H$2:$H$3015,$B290)+SUMIFS('Web Feed'!$O$2:$O$3015,'Web Feed'!$B$2:$B$3015,Points!$A$5,'Web Feed'!$I$2:$I$3015,$B290))</f>
        <v/>
      </c>
      <c r="H290">
        <f>IF($B290="","",SUMIFS('Web Feed'!$O$2:$O$3015,'Web Feed'!$B$2:$B$3015,Points!$A$6,'Web Feed'!$F$2:$F$3015,$B290)+SUMIFS('Web Feed'!$O$2:$O$3015,'Web Feed'!$B$2:$B$3015,Points!$A$6,'Web Feed'!$G$2:$G$3015,$B290)+SUMIFS('Web Feed'!$O$2:$O$3015,'Web Feed'!$B$2:$B$3015,Points!$A$6,'Web Feed'!$H$2:$H$3015,$B290)+SUMIFS('Web Feed'!$O$2:$O$3015,'Web Feed'!$B$2:$B$3015,Points!$A$6,'Web Feed'!$I$2:$I$3015,$B290))</f>
        <v/>
      </c>
      <c r="I290">
        <f>IF($B290="","",COUNTIFS('Web Feed'!$B$2:$B$3015,"OHW",'Web Feed'!$F$2:$F$3015,$B290))</f>
        <v/>
      </c>
      <c r="J290">
        <f>IF($B290="","",IFERROR(INDEX('Last Week'!$A$2:$A$301,MATCH($B290,'Last Week'!$B$2:$B$301,0)),""))</f>
        <v/>
      </c>
      <c r="K290">
        <f>IF(OR($B290="",$J290=""),"",$J290-$A290)</f>
        <v/>
      </c>
    </row>
    <row r="291">
      <c r="A291">
        <f>IF($B291="","",RANK($C291,$C$2:$C$500))</f>
        <v/>
      </c>
      <c r="B291">
        <f>IF(Players!$A291="","",Players!$A291)</f>
        <v/>
      </c>
      <c r="C291" s="5">
        <f>IF($B291="","",SUM(D291:H291))</f>
        <v/>
      </c>
      <c r="D291">
        <f>IF($B291="","",SUMIFS('Web Feed'!$O$2:$O$3015,'Web Feed'!$B$2:$B$3015,Points!$A$2,'Web Feed'!$F$2:$F$3015,$B291)+SUMIFS('Web Feed'!$O$2:$O$3015,'Web Feed'!$B$2:$B$3015,Points!$A$2,'Web Feed'!$G$2:$G$3015,$B291)+SUMIFS('Web Feed'!$O$2:$O$3015,'Web Feed'!$B$2:$B$3015,Points!$A$2,'Web Feed'!$H$2:$H$3015,$B291)+SUMIFS('Web Feed'!$O$2:$O$3015,'Web Feed'!$B$2:$B$3015,Points!$A$2,'Web Feed'!$I$2:$I$3015,$B291))</f>
        <v/>
      </c>
      <c r="E291">
        <f>IF($B291="","",SUMIFS('Web Feed'!$O$2:$O$3015,'Web Feed'!$B$2:$B$3015,Points!$A$3,'Web Feed'!$F$2:$F$3015,$B291)+SUMIFS('Web Feed'!$O$2:$O$3015,'Web Feed'!$B$2:$B$3015,Points!$A$3,'Web Feed'!$G$2:$G$3015,$B291)+SUMIFS('Web Feed'!$O$2:$O$3015,'Web Feed'!$B$2:$B$3015,Points!$A$3,'Web Feed'!$H$2:$H$3015,$B291)+SUMIFS('Web Feed'!$O$2:$O$3015,'Web Feed'!$B$2:$B$3015,Points!$A$3,'Web Feed'!$I$2:$I$3015,$B291))</f>
        <v/>
      </c>
      <c r="F291">
        <f>IF($B291="","",SUMIFS('Web Feed'!$O$2:$O$3015,'Web Feed'!$B$2:$B$3015,Points!$A$4,'Web Feed'!$F$2:$F$3015,$B291)+SUMIFS('Web Feed'!$O$2:$O$3015,'Web Feed'!$B$2:$B$3015,Points!$A$4,'Web Feed'!$G$2:$G$3015,$B291)+SUMIFS('Web Feed'!$O$2:$O$3015,'Web Feed'!$B$2:$B$3015,Points!$A$4,'Web Feed'!$H$2:$H$3015,$B291)+SUMIFS('Web Feed'!$O$2:$O$3015,'Web Feed'!$B$2:$B$3015,Points!$A$4,'Web Feed'!$I$2:$I$3015,$B291))</f>
        <v/>
      </c>
      <c r="G291">
        <f>IF($B291="","",SUMIFS('Web Feed'!$O$2:$O$3015,'Web Feed'!$B$2:$B$3015,Points!$A$5,'Web Feed'!$F$2:$F$3015,$B291)+SUMIFS('Web Feed'!$O$2:$O$3015,'Web Feed'!$B$2:$B$3015,Points!$A$5,'Web Feed'!$G$2:$G$3015,$B291)+SUMIFS('Web Feed'!$O$2:$O$3015,'Web Feed'!$B$2:$B$3015,Points!$A$5,'Web Feed'!$H$2:$H$3015,$B291)+SUMIFS('Web Feed'!$O$2:$O$3015,'Web Feed'!$B$2:$B$3015,Points!$A$5,'Web Feed'!$I$2:$I$3015,$B291))</f>
        <v/>
      </c>
      <c r="H291">
        <f>IF($B291="","",SUMIFS('Web Feed'!$O$2:$O$3015,'Web Feed'!$B$2:$B$3015,Points!$A$6,'Web Feed'!$F$2:$F$3015,$B291)+SUMIFS('Web Feed'!$O$2:$O$3015,'Web Feed'!$B$2:$B$3015,Points!$A$6,'Web Feed'!$G$2:$G$3015,$B291)+SUMIFS('Web Feed'!$O$2:$O$3015,'Web Feed'!$B$2:$B$3015,Points!$A$6,'Web Feed'!$H$2:$H$3015,$B291)+SUMIFS('Web Feed'!$O$2:$O$3015,'Web Feed'!$B$2:$B$3015,Points!$A$6,'Web Feed'!$I$2:$I$3015,$B291))</f>
        <v/>
      </c>
      <c r="I291">
        <f>IF($B291="","",COUNTIFS('Web Feed'!$B$2:$B$3015,"OHW",'Web Feed'!$F$2:$F$3015,$B291))</f>
        <v/>
      </c>
      <c r="J291">
        <f>IF($B291="","",IFERROR(INDEX('Last Week'!$A$2:$A$301,MATCH($B291,'Last Week'!$B$2:$B$301,0)),""))</f>
        <v/>
      </c>
      <c r="K291">
        <f>IF(OR($B291="",$J291=""),"",$J291-$A291)</f>
        <v/>
      </c>
    </row>
    <row r="292">
      <c r="A292">
        <f>IF($B292="","",RANK($C292,$C$2:$C$500))</f>
        <v/>
      </c>
      <c r="B292">
        <f>IF(Players!$A292="","",Players!$A292)</f>
        <v/>
      </c>
      <c r="C292" s="5">
        <f>IF($B292="","",SUM(D292:H292))</f>
        <v/>
      </c>
      <c r="D292">
        <f>IF($B292="","",SUMIFS('Web Feed'!$O$2:$O$3015,'Web Feed'!$B$2:$B$3015,Points!$A$2,'Web Feed'!$F$2:$F$3015,$B292)+SUMIFS('Web Feed'!$O$2:$O$3015,'Web Feed'!$B$2:$B$3015,Points!$A$2,'Web Feed'!$G$2:$G$3015,$B292)+SUMIFS('Web Feed'!$O$2:$O$3015,'Web Feed'!$B$2:$B$3015,Points!$A$2,'Web Feed'!$H$2:$H$3015,$B292)+SUMIFS('Web Feed'!$O$2:$O$3015,'Web Feed'!$B$2:$B$3015,Points!$A$2,'Web Feed'!$I$2:$I$3015,$B292))</f>
        <v/>
      </c>
      <c r="E292">
        <f>IF($B292="","",SUMIFS('Web Feed'!$O$2:$O$3015,'Web Feed'!$B$2:$B$3015,Points!$A$3,'Web Feed'!$F$2:$F$3015,$B292)+SUMIFS('Web Feed'!$O$2:$O$3015,'Web Feed'!$B$2:$B$3015,Points!$A$3,'Web Feed'!$G$2:$G$3015,$B292)+SUMIFS('Web Feed'!$O$2:$O$3015,'Web Feed'!$B$2:$B$3015,Points!$A$3,'Web Feed'!$H$2:$H$3015,$B292)+SUMIFS('Web Feed'!$O$2:$O$3015,'Web Feed'!$B$2:$B$3015,Points!$A$3,'Web Feed'!$I$2:$I$3015,$B292))</f>
        <v/>
      </c>
      <c r="F292">
        <f>IF($B292="","",SUMIFS('Web Feed'!$O$2:$O$3015,'Web Feed'!$B$2:$B$3015,Points!$A$4,'Web Feed'!$F$2:$F$3015,$B292)+SUMIFS('Web Feed'!$O$2:$O$3015,'Web Feed'!$B$2:$B$3015,Points!$A$4,'Web Feed'!$G$2:$G$3015,$B292)+SUMIFS('Web Feed'!$O$2:$O$3015,'Web Feed'!$B$2:$B$3015,Points!$A$4,'Web Feed'!$H$2:$H$3015,$B292)+SUMIFS('Web Feed'!$O$2:$O$3015,'Web Feed'!$B$2:$B$3015,Points!$A$4,'Web Feed'!$I$2:$I$3015,$B292))</f>
        <v/>
      </c>
      <c r="G292">
        <f>IF($B292="","",SUMIFS('Web Feed'!$O$2:$O$3015,'Web Feed'!$B$2:$B$3015,Points!$A$5,'Web Feed'!$F$2:$F$3015,$B292)+SUMIFS('Web Feed'!$O$2:$O$3015,'Web Feed'!$B$2:$B$3015,Points!$A$5,'Web Feed'!$G$2:$G$3015,$B292)+SUMIFS('Web Feed'!$O$2:$O$3015,'Web Feed'!$B$2:$B$3015,Points!$A$5,'Web Feed'!$H$2:$H$3015,$B292)+SUMIFS('Web Feed'!$O$2:$O$3015,'Web Feed'!$B$2:$B$3015,Points!$A$5,'Web Feed'!$I$2:$I$3015,$B292))</f>
        <v/>
      </c>
      <c r="H292">
        <f>IF($B292="","",SUMIFS('Web Feed'!$O$2:$O$3015,'Web Feed'!$B$2:$B$3015,Points!$A$6,'Web Feed'!$F$2:$F$3015,$B292)+SUMIFS('Web Feed'!$O$2:$O$3015,'Web Feed'!$B$2:$B$3015,Points!$A$6,'Web Feed'!$G$2:$G$3015,$B292)+SUMIFS('Web Feed'!$O$2:$O$3015,'Web Feed'!$B$2:$B$3015,Points!$A$6,'Web Feed'!$H$2:$H$3015,$B292)+SUMIFS('Web Feed'!$O$2:$O$3015,'Web Feed'!$B$2:$B$3015,Points!$A$6,'Web Feed'!$I$2:$I$3015,$B292))</f>
        <v/>
      </c>
      <c r="I292">
        <f>IF($B292="","",COUNTIFS('Web Feed'!$B$2:$B$3015,"OHW",'Web Feed'!$F$2:$F$3015,$B292))</f>
        <v/>
      </c>
      <c r="J292">
        <f>IF($B292="","",IFERROR(INDEX('Last Week'!$A$2:$A$301,MATCH($B292,'Last Week'!$B$2:$B$301,0)),""))</f>
        <v/>
      </c>
      <c r="K292">
        <f>IF(OR($B292="",$J292=""),"",$J292-$A292)</f>
        <v/>
      </c>
    </row>
    <row r="293">
      <c r="A293">
        <f>IF($B293="","",RANK($C293,$C$2:$C$500))</f>
        <v/>
      </c>
      <c r="B293">
        <f>IF(Players!$A293="","",Players!$A293)</f>
        <v/>
      </c>
      <c r="C293" s="5">
        <f>IF($B293="","",SUM(D293:H293))</f>
        <v/>
      </c>
      <c r="D293">
        <f>IF($B293="","",SUMIFS('Web Feed'!$O$2:$O$3015,'Web Feed'!$B$2:$B$3015,Points!$A$2,'Web Feed'!$F$2:$F$3015,$B293)+SUMIFS('Web Feed'!$O$2:$O$3015,'Web Feed'!$B$2:$B$3015,Points!$A$2,'Web Feed'!$G$2:$G$3015,$B293)+SUMIFS('Web Feed'!$O$2:$O$3015,'Web Feed'!$B$2:$B$3015,Points!$A$2,'Web Feed'!$H$2:$H$3015,$B293)+SUMIFS('Web Feed'!$O$2:$O$3015,'Web Feed'!$B$2:$B$3015,Points!$A$2,'Web Feed'!$I$2:$I$3015,$B293))</f>
        <v/>
      </c>
      <c r="E293">
        <f>IF($B293="","",SUMIFS('Web Feed'!$O$2:$O$3015,'Web Feed'!$B$2:$B$3015,Points!$A$3,'Web Feed'!$F$2:$F$3015,$B293)+SUMIFS('Web Feed'!$O$2:$O$3015,'Web Feed'!$B$2:$B$3015,Points!$A$3,'Web Feed'!$G$2:$G$3015,$B293)+SUMIFS('Web Feed'!$O$2:$O$3015,'Web Feed'!$B$2:$B$3015,Points!$A$3,'Web Feed'!$H$2:$H$3015,$B293)+SUMIFS('Web Feed'!$O$2:$O$3015,'Web Feed'!$B$2:$B$3015,Points!$A$3,'Web Feed'!$I$2:$I$3015,$B293))</f>
        <v/>
      </c>
      <c r="F293">
        <f>IF($B293="","",SUMIFS('Web Feed'!$O$2:$O$3015,'Web Feed'!$B$2:$B$3015,Points!$A$4,'Web Feed'!$F$2:$F$3015,$B293)+SUMIFS('Web Feed'!$O$2:$O$3015,'Web Feed'!$B$2:$B$3015,Points!$A$4,'Web Feed'!$G$2:$G$3015,$B293)+SUMIFS('Web Feed'!$O$2:$O$3015,'Web Feed'!$B$2:$B$3015,Points!$A$4,'Web Feed'!$H$2:$H$3015,$B293)+SUMIFS('Web Feed'!$O$2:$O$3015,'Web Feed'!$B$2:$B$3015,Points!$A$4,'Web Feed'!$I$2:$I$3015,$B293))</f>
        <v/>
      </c>
      <c r="G293">
        <f>IF($B293="","",SUMIFS('Web Feed'!$O$2:$O$3015,'Web Feed'!$B$2:$B$3015,Points!$A$5,'Web Feed'!$F$2:$F$3015,$B293)+SUMIFS('Web Feed'!$O$2:$O$3015,'Web Feed'!$B$2:$B$3015,Points!$A$5,'Web Feed'!$G$2:$G$3015,$B293)+SUMIFS('Web Feed'!$O$2:$O$3015,'Web Feed'!$B$2:$B$3015,Points!$A$5,'Web Feed'!$H$2:$H$3015,$B293)+SUMIFS('Web Feed'!$O$2:$O$3015,'Web Feed'!$B$2:$B$3015,Points!$A$5,'Web Feed'!$I$2:$I$3015,$B293))</f>
        <v/>
      </c>
      <c r="H293">
        <f>IF($B293="","",SUMIFS('Web Feed'!$O$2:$O$3015,'Web Feed'!$B$2:$B$3015,Points!$A$6,'Web Feed'!$F$2:$F$3015,$B293)+SUMIFS('Web Feed'!$O$2:$O$3015,'Web Feed'!$B$2:$B$3015,Points!$A$6,'Web Feed'!$G$2:$G$3015,$B293)+SUMIFS('Web Feed'!$O$2:$O$3015,'Web Feed'!$B$2:$B$3015,Points!$A$6,'Web Feed'!$H$2:$H$3015,$B293)+SUMIFS('Web Feed'!$O$2:$O$3015,'Web Feed'!$B$2:$B$3015,Points!$A$6,'Web Feed'!$I$2:$I$3015,$B293))</f>
        <v/>
      </c>
      <c r="I293">
        <f>IF($B293="","",COUNTIFS('Web Feed'!$B$2:$B$3015,"OHW",'Web Feed'!$F$2:$F$3015,$B293))</f>
        <v/>
      </c>
      <c r="J293">
        <f>IF($B293="","",IFERROR(INDEX('Last Week'!$A$2:$A$301,MATCH($B293,'Last Week'!$B$2:$B$301,0)),""))</f>
        <v/>
      </c>
      <c r="K293">
        <f>IF(OR($B293="",$J293=""),"",$J293-$A293)</f>
        <v/>
      </c>
    </row>
    <row r="294">
      <c r="A294">
        <f>IF($B294="","",RANK($C294,$C$2:$C$500))</f>
        <v/>
      </c>
      <c r="B294">
        <f>IF(Players!$A294="","",Players!$A294)</f>
        <v/>
      </c>
      <c r="C294" s="5">
        <f>IF($B294="","",SUM(D294:H294))</f>
        <v/>
      </c>
      <c r="D294">
        <f>IF($B294="","",SUMIFS('Web Feed'!$O$2:$O$3015,'Web Feed'!$B$2:$B$3015,Points!$A$2,'Web Feed'!$F$2:$F$3015,$B294)+SUMIFS('Web Feed'!$O$2:$O$3015,'Web Feed'!$B$2:$B$3015,Points!$A$2,'Web Feed'!$G$2:$G$3015,$B294)+SUMIFS('Web Feed'!$O$2:$O$3015,'Web Feed'!$B$2:$B$3015,Points!$A$2,'Web Feed'!$H$2:$H$3015,$B294)+SUMIFS('Web Feed'!$O$2:$O$3015,'Web Feed'!$B$2:$B$3015,Points!$A$2,'Web Feed'!$I$2:$I$3015,$B294))</f>
        <v/>
      </c>
      <c r="E294">
        <f>IF($B294="","",SUMIFS('Web Feed'!$O$2:$O$3015,'Web Feed'!$B$2:$B$3015,Points!$A$3,'Web Feed'!$F$2:$F$3015,$B294)+SUMIFS('Web Feed'!$O$2:$O$3015,'Web Feed'!$B$2:$B$3015,Points!$A$3,'Web Feed'!$G$2:$G$3015,$B294)+SUMIFS('Web Feed'!$O$2:$O$3015,'Web Feed'!$B$2:$B$3015,Points!$A$3,'Web Feed'!$H$2:$H$3015,$B294)+SUMIFS('Web Feed'!$O$2:$O$3015,'Web Feed'!$B$2:$B$3015,Points!$A$3,'Web Feed'!$I$2:$I$3015,$B294))</f>
        <v/>
      </c>
      <c r="F294">
        <f>IF($B294="","",SUMIFS('Web Feed'!$O$2:$O$3015,'Web Feed'!$B$2:$B$3015,Points!$A$4,'Web Feed'!$F$2:$F$3015,$B294)+SUMIFS('Web Feed'!$O$2:$O$3015,'Web Feed'!$B$2:$B$3015,Points!$A$4,'Web Feed'!$G$2:$G$3015,$B294)+SUMIFS('Web Feed'!$O$2:$O$3015,'Web Feed'!$B$2:$B$3015,Points!$A$4,'Web Feed'!$H$2:$H$3015,$B294)+SUMIFS('Web Feed'!$O$2:$O$3015,'Web Feed'!$B$2:$B$3015,Points!$A$4,'Web Feed'!$I$2:$I$3015,$B294))</f>
        <v/>
      </c>
      <c r="G294">
        <f>IF($B294="","",SUMIFS('Web Feed'!$O$2:$O$3015,'Web Feed'!$B$2:$B$3015,Points!$A$5,'Web Feed'!$F$2:$F$3015,$B294)+SUMIFS('Web Feed'!$O$2:$O$3015,'Web Feed'!$B$2:$B$3015,Points!$A$5,'Web Feed'!$G$2:$G$3015,$B294)+SUMIFS('Web Feed'!$O$2:$O$3015,'Web Feed'!$B$2:$B$3015,Points!$A$5,'Web Feed'!$H$2:$H$3015,$B294)+SUMIFS('Web Feed'!$O$2:$O$3015,'Web Feed'!$B$2:$B$3015,Points!$A$5,'Web Feed'!$I$2:$I$3015,$B294))</f>
        <v/>
      </c>
      <c r="H294">
        <f>IF($B294="","",SUMIFS('Web Feed'!$O$2:$O$3015,'Web Feed'!$B$2:$B$3015,Points!$A$6,'Web Feed'!$F$2:$F$3015,$B294)+SUMIFS('Web Feed'!$O$2:$O$3015,'Web Feed'!$B$2:$B$3015,Points!$A$6,'Web Feed'!$G$2:$G$3015,$B294)+SUMIFS('Web Feed'!$O$2:$O$3015,'Web Feed'!$B$2:$B$3015,Points!$A$6,'Web Feed'!$H$2:$H$3015,$B294)+SUMIFS('Web Feed'!$O$2:$O$3015,'Web Feed'!$B$2:$B$3015,Points!$A$6,'Web Feed'!$I$2:$I$3015,$B294))</f>
        <v/>
      </c>
      <c r="I294">
        <f>IF($B294="","",COUNTIFS('Web Feed'!$B$2:$B$3015,"OHW",'Web Feed'!$F$2:$F$3015,$B294))</f>
        <v/>
      </c>
      <c r="J294">
        <f>IF($B294="","",IFERROR(INDEX('Last Week'!$A$2:$A$301,MATCH($B294,'Last Week'!$B$2:$B$301,0)),""))</f>
        <v/>
      </c>
      <c r="K294">
        <f>IF(OR($B294="",$J294=""),"",$J294-$A294)</f>
        <v/>
      </c>
    </row>
    <row r="295">
      <c r="A295">
        <f>IF($B295="","",RANK($C295,$C$2:$C$500))</f>
        <v/>
      </c>
      <c r="B295">
        <f>IF(Players!$A295="","",Players!$A295)</f>
        <v/>
      </c>
      <c r="C295" s="5">
        <f>IF($B295="","",SUM(D295:H295))</f>
        <v/>
      </c>
      <c r="D295">
        <f>IF($B295="","",SUMIFS('Web Feed'!$O$2:$O$3015,'Web Feed'!$B$2:$B$3015,Points!$A$2,'Web Feed'!$F$2:$F$3015,$B295)+SUMIFS('Web Feed'!$O$2:$O$3015,'Web Feed'!$B$2:$B$3015,Points!$A$2,'Web Feed'!$G$2:$G$3015,$B295)+SUMIFS('Web Feed'!$O$2:$O$3015,'Web Feed'!$B$2:$B$3015,Points!$A$2,'Web Feed'!$H$2:$H$3015,$B295)+SUMIFS('Web Feed'!$O$2:$O$3015,'Web Feed'!$B$2:$B$3015,Points!$A$2,'Web Feed'!$I$2:$I$3015,$B295))</f>
        <v/>
      </c>
      <c r="E295">
        <f>IF($B295="","",SUMIFS('Web Feed'!$O$2:$O$3015,'Web Feed'!$B$2:$B$3015,Points!$A$3,'Web Feed'!$F$2:$F$3015,$B295)+SUMIFS('Web Feed'!$O$2:$O$3015,'Web Feed'!$B$2:$B$3015,Points!$A$3,'Web Feed'!$G$2:$G$3015,$B295)+SUMIFS('Web Feed'!$O$2:$O$3015,'Web Feed'!$B$2:$B$3015,Points!$A$3,'Web Feed'!$H$2:$H$3015,$B295)+SUMIFS('Web Feed'!$O$2:$O$3015,'Web Feed'!$B$2:$B$3015,Points!$A$3,'Web Feed'!$I$2:$I$3015,$B295))</f>
        <v/>
      </c>
      <c r="F295">
        <f>IF($B295="","",SUMIFS('Web Feed'!$O$2:$O$3015,'Web Feed'!$B$2:$B$3015,Points!$A$4,'Web Feed'!$F$2:$F$3015,$B295)+SUMIFS('Web Feed'!$O$2:$O$3015,'Web Feed'!$B$2:$B$3015,Points!$A$4,'Web Feed'!$G$2:$G$3015,$B295)+SUMIFS('Web Feed'!$O$2:$O$3015,'Web Feed'!$B$2:$B$3015,Points!$A$4,'Web Feed'!$H$2:$H$3015,$B295)+SUMIFS('Web Feed'!$O$2:$O$3015,'Web Feed'!$B$2:$B$3015,Points!$A$4,'Web Feed'!$I$2:$I$3015,$B295))</f>
        <v/>
      </c>
      <c r="G295">
        <f>IF($B295="","",SUMIFS('Web Feed'!$O$2:$O$3015,'Web Feed'!$B$2:$B$3015,Points!$A$5,'Web Feed'!$F$2:$F$3015,$B295)+SUMIFS('Web Feed'!$O$2:$O$3015,'Web Feed'!$B$2:$B$3015,Points!$A$5,'Web Feed'!$G$2:$G$3015,$B295)+SUMIFS('Web Feed'!$O$2:$O$3015,'Web Feed'!$B$2:$B$3015,Points!$A$5,'Web Feed'!$H$2:$H$3015,$B295)+SUMIFS('Web Feed'!$O$2:$O$3015,'Web Feed'!$B$2:$B$3015,Points!$A$5,'Web Feed'!$I$2:$I$3015,$B295))</f>
        <v/>
      </c>
      <c r="H295">
        <f>IF($B295="","",SUMIFS('Web Feed'!$O$2:$O$3015,'Web Feed'!$B$2:$B$3015,Points!$A$6,'Web Feed'!$F$2:$F$3015,$B295)+SUMIFS('Web Feed'!$O$2:$O$3015,'Web Feed'!$B$2:$B$3015,Points!$A$6,'Web Feed'!$G$2:$G$3015,$B295)+SUMIFS('Web Feed'!$O$2:$O$3015,'Web Feed'!$B$2:$B$3015,Points!$A$6,'Web Feed'!$H$2:$H$3015,$B295)+SUMIFS('Web Feed'!$O$2:$O$3015,'Web Feed'!$B$2:$B$3015,Points!$A$6,'Web Feed'!$I$2:$I$3015,$B295))</f>
        <v/>
      </c>
      <c r="I295">
        <f>IF($B295="","",COUNTIFS('Web Feed'!$B$2:$B$3015,"OHW",'Web Feed'!$F$2:$F$3015,$B295))</f>
        <v/>
      </c>
      <c r="J295">
        <f>IF($B295="","",IFERROR(INDEX('Last Week'!$A$2:$A$301,MATCH($B295,'Last Week'!$B$2:$B$301,0)),""))</f>
        <v/>
      </c>
      <c r="K295">
        <f>IF(OR($B295="",$J295=""),"",$J295-$A295)</f>
        <v/>
      </c>
    </row>
    <row r="296">
      <c r="A296">
        <f>IF($B296="","",RANK($C296,$C$2:$C$500))</f>
        <v/>
      </c>
      <c r="B296">
        <f>IF(Players!$A296="","",Players!$A296)</f>
        <v/>
      </c>
      <c r="C296" s="5">
        <f>IF($B296="","",SUM(D296:H296))</f>
        <v/>
      </c>
      <c r="D296">
        <f>IF($B296="","",SUMIFS('Web Feed'!$O$2:$O$3015,'Web Feed'!$B$2:$B$3015,Points!$A$2,'Web Feed'!$F$2:$F$3015,$B296)+SUMIFS('Web Feed'!$O$2:$O$3015,'Web Feed'!$B$2:$B$3015,Points!$A$2,'Web Feed'!$G$2:$G$3015,$B296)+SUMIFS('Web Feed'!$O$2:$O$3015,'Web Feed'!$B$2:$B$3015,Points!$A$2,'Web Feed'!$H$2:$H$3015,$B296)+SUMIFS('Web Feed'!$O$2:$O$3015,'Web Feed'!$B$2:$B$3015,Points!$A$2,'Web Feed'!$I$2:$I$3015,$B296))</f>
        <v/>
      </c>
      <c r="E296">
        <f>IF($B296="","",SUMIFS('Web Feed'!$O$2:$O$3015,'Web Feed'!$B$2:$B$3015,Points!$A$3,'Web Feed'!$F$2:$F$3015,$B296)+SUMIFS('Web Feed'!$O$2:$O$3015,'Web Feed'!$B$2:$B$3015,Points!$A$3,'Web Feed'!$G$2:$G$3015,$B296)+SUMIFS('Web Feed'!$O$2:$O$3015,'Web Feed'!$B$2:$B$3015,Points!$A$3,'Web Feed'!$H$2:$H$3015,$B296)+SUMIFS('Web Feed'!$O$2:$O$3015,'Web Feed'!$B$2:$B$3015,Points!$A$3,'Web Feed'!$I$2:$I$3015,$B296))</f>
        <v/>
      </c>
      <c r="F296">
        <f>IF($B296="","",SUMIFS('Web Feed'!$O$2:$O$3015,'Web Feed'!$B$2:$B$3015,Points!$A$4,'Web Feed'!$F$2:$F$3015,$B296)+SUMIFS('Web Feed'!$O$2:$O$3015,'Web Feed'!$B$2:$B$3015,Points!$A$4,'Web Feed'!$G$2:$G$3015,$B296)+SUMIFS('Web Feed'!$O$2:$O$3015,'Web Feed'!$B$2:$B$3015,Points!$A$4,'Web Feed'!$H$2:$H$3015,$B296)+SUMIFS('Web Feed'!$O$2:$O$3015,'Web Feed'!$B$2:$B$3015,Points!$A$4,'Web Feed'!$I$2:$I$3015,$B296))</f>
        <v/>
      </c>
      <c r="G296">
        <f>IF($B296="","",SUMIFS('Web Feed'!$O$2:$O$3015,'Web Feed'!$B$2:$B$3015,Points!$A$5,'Web Feed'!$F$2:$F$3015,$B296)+SUMIFS('Web Feed'!$O$2:$O$3015,'Web Feed'!$B$2:$B$3015,Points!$A$5,'Web Feed'!$G$2:$G$3015,$B296)+SUMIFS('Web Feed'!$O$2:$O$3015,'Web Feed'!$B$2:$B$3015,Points!$A$5,'Web Feed'!$H$2:$H$3015,$B296)+SUMIFS('Web Feed'!$O$2:$O$3015,'Web Feed'!$B$2:$B$3015,Points!$A$5,'Web Feed'!$I$2:$I$3015,$B296))</f>
        <v/>
      </c>
      <c r="H296">
        <f>IF($B296="","",SUMIFS('Web Feed'!$O$2:$O$3015,'Web Feed'!$B$2:$B$3015,Points!$A$6,'Web Feed'!$F$2:$F$3015,$B296)+SUMIFS('Web Feed'!$O$2:$O$3015,'Web Feed'!$B$2:$B$3015,Points!$A$6,'Web Feed'!$G$2:$G$3015,$B296)+SUMIFS('Web Feed'!$O$2:$O$3015,'Web Feed'!$B$2:$B$3015,Points!$A$6,'Web Feed'!$H$2:$H$3015,$B296)+SUMIFS('Web Feed'!$O$2:$O$3015,'Web Feed'!$B$2:$B$3015,Points!$A$6,'Web Feed'!$I$2:$I$3015,$B296))</f>
        <v/>
      </c>
      <c r="I296">
        <f>IF($B296="","",COUNTIFS('Web Feed'!$B$2:$B$3015,"OHW",'Web Feed'!$F$2:$F$3015,$B296))</f>
        <v/>
      </c>
      <c r="J296">
        <f>IF($B296="","",IFERROR(INDEX('Last Week'!$A$2:$A$301,MATCH($B296,'Last Week'!$B$2:$B$301,0)),""))</f>
        <v/>
      </c>
      <c r="K296">
        <f>IF(OR($B296="",$J296=""),"",$J296-$A296)</f>
        <v/>
      </c>
    </row>
    <row r="297">
      <c r="A297">
        <f>IF($B297="","",RANK($C297,$C$2:$C$500))</f>
        <v/>
      </c>
      <c r="B297">
        <f>IF(Players!$A297="","",Players!$A297)</f>
        <v/>
      </c>
      <c r="C297" s="5">
        <f>IF($B297="","",SUM(D297:H297))</f>
        <v/>
      </c>
      <c r="D297">
        <f>IF($B297="","",SUMIFS('Web Feed'!$O$2:$O$3015,'Web Feed'!$B$2:$B$3015,Points!$A$2,'Web Feed'!$F$2:$F$3015,$B297)+SUMIFS('Web Feed'!$O$2:$O$3015,'Web Feed'!$B$2:$B$3015,Points!$A$2,'Web Feed'!$G$2:$G$3015,$B297)+SUMIFS('Web Feed'!$O$2:$O$3015,'Web Feed'!$B$2:$B$3015,Points!$A$2,'Web Feed'!$H$2:$H$3015,$B297)+SUMIFS('Web Feed'!$O$2:$O$3015,'Web Feed'!$B$2:$B$3015,Points!$A$2,'Web Feed'!$I$2:$I$3015,$B297))</f>
        <v/>
      </c>
      <c r="E297">
        <f>IF($B297="","",SUMIFS('Web Feed'!$O$2:$O$3015,'Web Feed'!$B$2:$B$3015,Points!$A$3,'Web Feed'!$F$2:$F$3015,$B297)+SUMIFS('Web Feed'!$O$2:$O$3015,'Web Feed'!$B$2:$B$3015,Points!$A$3,'Web Feed'!$G$2:$G$3015,$B297)+SUMIFS('Web Feed'!$O$2:$O$3015,'Web Feed'!$B$2:$B$3015,Points!$A$3,'Web Feed'!$H$2:$H$3015,$B297)+SUMIFS('Web Feed'!$O$2:$O$3015,'Web Feed'!$B$2:$B$3015,Points!$A$3,'Web Feed'!$I$2:$I$3015,$B297))</f>
        <v/>
      </c>
      <c r="F297">
        <f>IF($B297="","",SUMIFS('Web Feed'!$O$2:$O$3015,'Web Feed'!$B$2:$B$3015,Points!$A$4,'Web Feed'!$F$2:$F$3015,$B297)+SUMIFS('Web Feed'!$O$2:$O$3015,'Web Feed'!$B$2:$B$3015,Points!$A$4,'Web Feed'!$G$2:$G$3015,$B297)+SUMIFS('Web Feed'!$O$2:$O$3015,'Web Feed'!$B$2:$B$3015,Points!$A$4,'Web Feed'!$H$2:$H$3015,$B297)+SUMIFS('Web Feed'!$O$2:$O$3015,'Web Feed'!$B$2:$B$3015,Points!$A$4,'Web Feed'!$I$2:$I$3015,$B297))</f>
        <v/>
      </c>
      <c r="G297">
        <f>IF($B297="","",SUMIFS('Web Feed'!$O$2:$O$3015,'Web Feed'!$B$2:$B$3015,Points!$A$5,'Web Feed'!$F$2:$F$3015,$B297)+SUMIFS('Web Feed'!$O$2:$O$3015,'Web Feed'!$B$2:$B$3015,Points!$A$5,'Web Feed'!$G$2:$G$3015,$B297)+SUMIFS('Web Feed'!$O$2:$O$3015,'Web Feed'!$B$2:$B$3015,Points!$A$5,'Web Feed'!$H$2:$H$3015,$B297)+SUMIFS('Web Feed'!$O$2:$O$3015,'Web Feed'!$B$2:$B$3015,Points!$A$5,'Web Feed'!$I$2:$I$3015,$B297))</f>
        <v/>
      </c>
      <c r="H297">
        <f>IF($B297="","",SUMIFS('Web Feed'!$O$2:$O$3015,'Web Feed'!$B$2:$B$3015,Points!$A$6,'Web Feed'!$F$2:$F$3015,$B297)+SUMIFS('Web Feed'!$O$2:$O$3015,'Web Feed'!$B$2:$B$3015,Points!$A$6,'Web Feed'!$G$2:$G$3015,$B297)+SUMIFS('Web Feed'!$O$2:$O$3015,'Web Feed'!$B$2:$B$3015,Points!$A$6,'Web Feed'!$H$2:$H$3015,$B297)+SUMIFS('Web Feed'!$O$2:$O$3015,'Web Feed'!$B$2:$B$3015,Points!$A$6,'Web Feed'!$I$2:$I$3015,$B297))</f>
        <v/>
      </c>
      <c r="I297">
        <f>IF($B297="","",COUNTIFS('Web Feed'!$B$2:$B$3015,"OHW",'Web Feed'!$F$2:$F$3015,$B297))</f>
        <v/>
      </c>
      <c r="J297">
        <f>IF($B297="","",IFERROR(INDEX('Last Week'!$A$2:$A$301,MATCH($B297,'Last Week'!$B$2:$B$301,0)),""))</f>
        <v/>
      </c>
      <c r="K297">
        <f>IF(OR($B297="",$J297=""),"",$J297-$A297)</f>
        <v/>
      </c>
    </row>
    <row r="298">
      <c r="A298">
        <f>IF($B298="","",RANK($C298,$C$2:$C$500))</f>
        <v/>
      </c>
      <c r="B298">
        <f>IF(Players!$A298="","",Players!$A298)</f>
        <v/>
      </c>
      <c r="C298" s="5">
        <f>IF($B298="","",SUM(D298:H298))</f>
        <v/>
      </c>
      <c r="D298">
        <f>IF($B298="","",SUMIFS('Web Feed'!$O$2:$O$3015,'Web Feed'!$B$2:$B$3015,Points!$A$2,'Web Feed'!$F$2:$F$3015,$B298)+SUMIFS('Web Feed'!$O$2:$O$3015,'Web Feed'!$B$2:$B$3015,Points!$A$2,'Web Feed'!$G$2:$G$3015,$B298)+SUMIFS('Web Feed'!$O$2:$O$3015,'Web Feed'!$B$2:$B$3015,Points!$A$2,'Web Feed'!$H$2:$H$3015,$B298)+SUMIFS('Web Feed'!$O$2:$O$3015,'Web Feed'!$B$2:$B$3015,Points!$A$2,'Web Feed'!$I$2:$I$3015,$B298))</f>
        <v/>
      </c>
      <c r="E298">
        <f>IF($B298="","",SUMIFS('Web Feed'!$O$2:$O$3015,'Web Feed'!$B$2:$B$3015,Points!$A$3,'Web Feed'!$F$2:$F$3015,$B298)+SUMIFS('Web Feed'!$O$2:$O$3015,'Web Feed'!$B$2:$B$3015,Points!$A$3,'Web Feed'!$G$2:$G$3015,$B298)+SUMIFS('Web Feed'!$O$2:$O$3015,'Web Feed'!$B$2:$B$3015,Points!$A$3,'Web Feed'!$H$2:$H$3015,$B298)+SUMIFS('Web Feed'!$O$2:$O$3015,'Web Feed'!$B$2:$B$3015,Points!$A$3,'Web Feed'!$I$2:$I$3015,$B298))</f>
        <v/>
      </c>
      <c r="F298">
        <f>IF($B298="","",SUMIFS('Web Feed'!$O$2:$O$3015,'Web Feed'!$B$2:$B$3015,Points!$A$4,'Web Feed'!$F$2:$F$3015,$B298)+SUMIFS('Web Feed'!$O$2:$O$3015,'Web Feed'!$B$2:$B$3015,Points!$A$4,'Web Feed'!$G$2:$G$3015,$B298)+SUMIFS('Web Feed'!$O$2:$O$3015,'Web Feed'!$B$2:$B$3015,Points!$A$4,'Web Feed'!$H$2:$H$3015,$B298)+SUMIFS('Web Feed'!$O$2:$O$3015,'Web Feed'!$B$2:$B$3015,Points!$A$4,'Web Feed'!$I$2:$I$3015,$B298))</f>
        <v/>
      </c>
      <c r="G298">
        <f>IF($B298="","",SUMIFS('Web Feed'!$O$2:$O$3015,'Web Feed'!$B$2:$B$3015,Points!$A$5,'Web Feed'!$F$2:$F$3015,$B298)+SUMIFS('Web Feed'!$O$2:$O$3015,'Web Feed'!$B$2:$B$3015,Points!$A$5,'Web Feed'!$G$2:$G$3015,$B298)+SUMIFS('Web Feed'!$O$2:$O$3015,'Web Feed'!$B$2:$B$3015,Points!$A$5,'Web Feed'!$H$2:$H$3015,$B298)+SUMIFS('Web Feed'!$O$2:$O$3015,'Web Feed'!$B$2:$B$3015,Points!$A$5,'Web Feed'!$I$2:$I$3015,$B298))</f>
        <v/>
      </c>
      <c r="H298">
        <f>IF($B298="","",SUMIFS('Web Feed'!$O$2:$O$3015,'Web Feed'!$B$2:$B$3015,Points!$A$6,'Web Feed'!$F$2:$F$3015,$B298)+SUMIFS('Web Feed'!$O$2:$O$3015,'Web Feed'!$B$2:$B$3015,Points!$A$6,'Web Feed'!$G$2:$G$3015,$B298)+SUMIFS('Web Feed'!$O$2:$O$3015,'Web Feed'!$B$2:$B$3015,Points!$A$6,'Web Feed'!$H$2:$H$3015,$B298)+SUMIFS('Web Feed'!$O$2:$O$3015,'Web Feed'!$B$2:$B$3015,Points!$A$6,'Web Feed'!$I$2:$I$3015,$B298))</f>
        <v/>
      </c>
      <c r="I298">
        <f>IF($B298="","",COUNTIFS('Web Feed'!$B$2:$B$3015,"OHW",'Web Feed'!$F$2:$F$3015,$B298))</f>
        <v/>
      </c>
      <c r="J298">
        <f>IF($B298="","",IFERROR(INDEX('Last Week'!$A$2:$A$301,MATCH($B298,'Last Week'!$B$2:$B$301,0)),""))</f>
        <v/>
      </c>
      <c r="K298">
        <f>IF(OR($B298="",$J298=""),"",$J298-$A298)</f>
        <v/>
      </c>
    </row>
    <row r="299">
      <c r="A299">
        <f>IF($B299="","",RANK($C299,$C$2:$C$500))</f>
        <v/>
      </c>
      <c r="B299">
        <f>IF(Players!$A299="","",Players!$A299)</f>
        <v/>
      </c>
      <c r="C299" s="5">
        <f>IF($B299="","",SUM(D299:H299))</f>
        <v/>
      </c>
      <c r="D299">
        <f>IF($B299="","",SUMIFS('Web Feed'!$O$2:$O$3015,'Web Feed'!$B$2:$B$3015,Points!$A$2,'Web Feed'!$F$2:$F$3015,$B299)+SUMIFS('Web Feed'!$O$2:$O$3015,'Web Feed'!$B$2:$B$3015,Points!$A$2,'Web Feed'!$G$2:$G$3015,$B299)+SUMIFS('Web Feed'!$O$2:$O$3015,'Web Feed'!$B$2:$B$3015,Points!$A$2,'Web Feed'!$H$2:$H$3015,$B299)+SUMIFS('Web Feed'!$O$2:$O$3015,'Web Feed'!$B$2:$B$3015,Points!$A$2,'Web Feed'!$I$2:$I$3015,$B299))</f>
        <v/>
      </c>
      <c r="E299">
        <f>IF($B299="","",SUMIFS('Web Feed'!$O$2:$O$3015,'Web Feed'!$B$2:$B$3015,Points!$A$3,'Web Feed'!$F$2:$F$3015,$B299)+SUMIFS('Web Feed'!$O$2:$O$3015,'Web Feed'!$B$2:$B$3015,Points!$A$3,'Web Feed'!$G$2:$G$3015,$B299)+SUMIFS('Web Feed'!$O$2:$O$3015,'Web Feed'!$B$2:$B$3015,Points!$A$3,'Web Feed'!$H$2:$H$3015,$B299)+SUMIFS('Web Feed'!$O$2:$O$3015,'Web Feed'!$B$2:$B$3015,Points!$A$3,'Web Feed'!$I$2:$I$3015,$B299))</f>
        <v/>
      </c>
      <c r="F299">
        <f>IF($B299="","",SUMIFS('Web Feed'!$O$2:$O$3015,'Web Feed'!$B$2:$B$3015,Points!$A$4,'Web Feed'!$F$2:$F$3015,$B299)+SUMIFS('Web Feed'!$O$2:$O$3015,'Web Feed'!$B$2:$B$3015,Points!$A$4,'Web Feed'!$G$2:$G$3015,$B299)+SUMIFS('Web Feed'!$O$2:$O$3015,'Web Feed'!$B$2:$B$3015,Points!$A$4,'Web Feed'!$H$2:$H$3015,$B299)+SUMIFS('Web Feed'!$O$2:$O$3015,'Web Feed'!$B$2:$B$3015,Points!$A$4,'Web Feed'!$I$2:$I$3015,$B299))</f>
        <v/>
      </c>
      <c r="G299">
        <f>IF($B299="","",SUMIFS('Web Feed'!$O$2:$O$3015,'Web Feed'!$B$2:$B$3015,Points!$A$5,'Web Feed'!$F$2:$F$3015,$B299)+SUMIFS('Web Feed'!$O$2:$O$3015,'Web Feed'!$B$2:$B$3015,Points!$A$5,'Web Feed'!$G$2:$G$3015,$B299)+SUMIFS('Web Feed'!$O$2:$O$3015,'Web Feed'!$B$2:$B$3015,Points!$A$5,'Web Feed'!$H$2:$H$3015,$B299)+SUMIFS('Web Feed'!$O$2:$O$3015,'Web Feed'!$B$2:$B$3015,Points!$A$5,'Web Feed'!$I$2:$I$3015,$B299))</f>
        <v/>
      </c>
      <c r="H299">
        <f>IF($B299="","",SUMIFS('Web Feed'!$O$2:$O$3015,'Web Feed'!$B$2:$B$3015,Points!$A$6,'Web Feed'!$F$2:$F$3015,$B299)+SUMIFS('Web Feed'!$O$2:$O$3015,'Web Feed'!$B$2:$B$3015,Points!$A$6,'Web Feed'!$G$2:$G$3015,$B299)+SUMIFS('Web Feed'!$O$2:$O$3015,'Web Feed'!$B$2:$B$3015,Points!$A$6,'Web Feed'!$H$2:$H$3015,$B299)+SUMIFS('Web Feed'!$O$2:$O$3015,'Web Feed'!$B$2:$B$3015,Points!$A$6,'Web Feed'!$I$2:$I$3015,$B299))</f>
        <v/>
      </c>
      <c r="I299">
        <f>IF($B299="","",COUNTIFS('Web Feed'!$B$2:$B$3015,"OHW",'Web Feed'!$F$2:$F$3015,$B299))</f>
        <v/>
      </c>
      <c r="J299">
        <f>IF($B299="","",IFERROR(INDEX('Last Week'!$A$2:$A$301,MATCH($B299,'Last Week'!$B$2:$B$301,0)),""))</f>
        <v/>
      </c>
      <c r="K299">
        <f>IF(OR($B299="",$J299=""),"",$J299-$A299)</f>
        <v/>
      </c>
    </row>
    <row r="300">
      <c r="A300">
        <f>IF($B300="","",RANK($C300,$C$2:$C$500))</f>
        <v/>
      </c>
      <c r="B300">
        <f>IF(Players!$A300="","",Players!$A300)</f>
        <v/>
      </c>
      <c r="C300" s="5">
        <f>IF($B300="","",SUM(D300:H300))</f>
        <v/>
      </c>
      <c r="D300">
        <f>IF($B300="","",SUMIFS('Web Feed'!$O$2:$O$3015,'Web Feed'!$B$2:$B$3015,Points!$A$2,'Web Feed'!$F$2:$F$3015,$B300)+SUMIFS('Web Feed'!$O$2:$O$3015,'Web Feed'!$B$2:$B$3015,Points!$A$2,'Web Feed'!$G$2:$G$3015,$B300)+SUMIFS('Web Feed'!$O$2:$O$3015,'Web Feed'!$B$2:$B$3015,Points!$A$2,'Web Feed'!$H$2:$H$3015,$B300)+SUMIFS('Web Feed'!$O$2:$O$3015,'Web Feed'!$B$2:$B$3015,Points!$A$2,'Web Feed'!$I$2:$I$3015,$B300))</f>
        <v/>
      </c>
      <c r="E300">
        <f>IF($B300="","",SUMIFS('Web Feed'!$O$2:$O$3015,'Web Feed'!$B$2:$B$3015,Points!$A$3,'Web Feed'!$F$2:$F$3015,$B300)+SUMIFS('Web Feed'!$O$2:$O$3015,'Web Feed'!$B$2:$B$3015,Points!$A$3,'Web Feed'!$G$2:$G$3015,$B300)+SUMIFS('Web Feed'!$O$2:$O$3015,'Web Feed'!$B$2:$B$3015,Points!$A$3,'Web Feed'!$H$2:$H$3015,$B300)+SUMIFS('Web Feed'!$O$2:$O$3015,'Web Feed'!$B$2:$B$3015,Points!$A$3,'Web Feed'!$I$2:$I$3015,$B300))</f>
        <v/>
      </c>
      <c r="F300">
        <f>IF($B300="","",SUMIFS('Web Feed'!$O$2:$O$3015,'Web Feed'!$B$2:$B$3015,Points!$A$4,'Web Feed'!$F$2:$F$3015,$B300)+SUMIFS('Web Feed'!$O$2:$O$3015,'Web Feed'!$B$2:$B$3015,Points!$A$4,'Web Feed'!$G$2:$G$3015,$B300)+SUMIFS('Web Feed'!$O$2:$O$3015,'Web Feed'!$B$2:$B$3015,Points!$A$4,'Web Feed'!$H$2:$H$3015,$B300)+SUMIFS('Web Feed'!$O$2:$O$3015,'Web Feed'!$B$2:$B$3015,Points!$A$4,'Web Feed'!$I$2:$I$3015,$B300))</f>
        <v/>
      </c>
      <c r="G300">
        <f>IF($B300="","",SUMIFS('Web Feed'!$O$2:$O$3015,'Web Feed'!$B$2:$B$3015,Points!$A$5,'Web Feed'!$F$2:$F$3015,$B300)+SUMIFS('Web Feed'!$O$2:$O$3015,'Web Feed'!$B$2:$B$3015,Points!$A$5,'Web Feed'!$G$2:$G$3015,$B300)+SUMIFS('Web Feed'!$O$2:$O$3015,'Web Feed'!$B$2:$B$3015,Points!$A$5,'Web Feed'!$H$2:$H$3015,$B300)+SUMIFS('Web Feed'!$O$2:$O$3015,'Web Feed'!$B$2:$B$3015,Points!$A$5,'Web Feed'!$I$2:$I$3015,$B300))</f>
        <v/>
      </c>
      <c r="H300">
        <f>IF($B300="","",SUMIFS('Web Feed'!$O$2:$O$3015,'Web Feed'!$B$2:$B$3015,Points!$A$6,'Web Feed'!$F$2:$F$3015,$B300)+SUMIFS('Web Feed'!$O$2:$O$3015,'Web Feed'!$B$2:$B$3015,Points!$A$6,'Web Feed'!$G$2:$G$3015,$B300)+SUMIFS('Web Feed'!$O$2:$O$3015,'Web Feed'!$B$2:$B$3015,Points!$A$6,'Web Feed'!$H$2:$H$3015,$B300)+SUMIFS('Web Feed'!$O$2:$O$3015,'Web Feed'!$B$2:$B$3015,Points!$A$6,'Web Feed'!$I$2:$I$3015,$B300))</f>
        <v/>
      </c>
      <c r="I300">
        <f>IF($B300="","",COUNTIFS('Web Feed'!$B$2:$B$3015,"OHW",'Web Feed'!$F$2:$F$3015,$B300))</f>
        <v/>
      </c>
      <c r="J300">
        <f>IF($B300="","",IFERROR(INDEX('Last Week'!$A$2:$A$301,MATCH($B300,'Last Week'!$B$2:$B$301,0)),""))</f>
        <v/>
      </c>
      <c r="K300">
        <f>IF(OR($B300="",$J300=""),"",$J300-$A300)</f>
        <v/>
      </c>
    </row>
    <row r="301">
      <c r="A301">
        <f>IF($B301="","",RANK($C301,$C$2:$C$500))</f>
        <v/>
      </c>
      <c r="B301">
        <f>IF(Players!$A301="","",Players!$A301)</f>
        <v/>
      </c>
      <c r="C301" s="5">
        <f>IF($B301="","",SUM(D301:H301))</f>
        <v/>
      </c>
      <c r="D301">
        <f>IF($B301="","",SUMIFS('Web Feed'!$O$2:$O$3015,'Web Feed'!$B$2:$B$3015,Points!$A$2,'Web Feed'!$F$2:$F$3015,$B301)+SUMIFS('Web Feed'!$O$2:$O$3015,'Web Feed'!$B$2:$B$3015,Points!$A$2,'Web Feed'!$G$2:$G$3015,$B301)+SUMIFS('Web Feed'!$O$2:$O$3015,'Web Feed'!$B$2:$B$3015,Points!$A$2,'Web Feed'!$H$2:$H$3015,$B301)+SUMIFS('Web Feed'!$O$2:$O$3015,'Web Feed'!$B$2:$B$3015,Points!$A$2,'Web Feed'!$I$2:$I$3015,$B301))</f>
        <v/>
      </c>
      <c r="E301">
        <f>IF($B301="","",SUMIFS('Web Feed'!$O$2:$O$3015,'Web Feed'!$B$2:$B$3015,Points!$A$3,'Web Feed'!$F$2:$F$3015,$B301)+SUMIFS('Web Feed'!$O$2:$O$3015,'Web Feed'!$B$2:$B$3015,Points!$A$3,'Web Feed'!$G$2:$G$3015,$B301)+SUMIFS('Web Feed'!$O$2:$O$3015,'Web Feed'!$B$2:$B$3015,Points!$A$3,'Web Feed'!$H$2:$H$3015,$B301)+SUMIFS('Web Feed'!$O$2:$O$3015,'Web Feed'!$B$2:$B$3015,Points!$A$3,'Web Feed'!$I$2:$I$3015,$B301))</f>
        <v/>
      </c>
      <c r="F301">
        <f>IF($B301="","",SUMIFS('Web Feed'!$O$2:$O$3015,'Web Feed'!$B$2:$B$3015,Points!$A$4,'Web Feed'!$F$2:$F$3015,$B301)+SUMIFS('Web Feed'!$O$2:$O$3015,'Web Feed'!$B$2:$B$3015,Points!$A$4,'Web Feed'!$G$2:$G$3015,$B301)+SUMIFS('Web Feed'!$O$2:$O$3015,'Web Feed'!$B$2:$B$3015,Points!$A$4,'Web Feed'!$H$2:$H$3015,$B301)+SUMIFS('Web Feed'!$O$2:$O$3015,'Web Feed'!$B$2:$B$3015,Points!$A$4,'Web Feed'!$I$2:$I$3015,$B301))</f>
        <v/>
      </c>
      <c r="G301">
        <f>IF($B301="","",SUMIFS('Web Feed'!$O$2:$O$3015,'Web Feed'!$B$2:$B$3015,Points!$A$5,'Web Feed'!$F$2:$F$3015,$B301)+SUMIFS('Web Feed'!$O$2:$O$3015,'Web Feed'!$B$2:$B$3015,Points!$A$5,'Web Feed'!$G$2:$G$3015,$B301)+SUMIFS('Web Feed'!$O$2:$O$3015,'Web Feed'!$B$2:$B$3015,Points!$A$5,'Web Feed'!$H$2:$H$3015,$B301)+SUMIFS('Web Feed'!$O$2:$O$3015,'Web Feed'!$B$2:$B$3015,Points!$A$5,'Web Feed'!$I$2:$I$3015,$B301))</f>
        <v/>
      </c>
      <c r="H301">
        <f>IF($B301="","",SUMIFS('Web Feed'!$O$2:$O$3015,'Web Feed'!$B$2:$B$3015,Points!$A$6,'Web Feed'!$F$2:$F$3015,$B301)+SUMIFS('Web Feed'!$O$2:$O$3015,'Web Feed'!$B$2:$B$3015,Points!$A$6,'Web Feed'!$G$2:$G$3015,$B301)+SUMIFS('Web Feed'!$O$2:$O$3015,'Web Feed'!$B$2:$B$3015,Points!$A$6,'Web Feed'!$H$2:$H$3015,$B301)+SUMIFS('Web Feed'!$O$2:$O$3015,'Web Feed'!$B$2:$B$3015,Points!$A$6,'Web Feed'!$I$2:$I$3015,$B301))</f>
        <v/>
      </c>
      <c r="I301">
        <f>IF($B301="","",COUNTIFS('Web Feed'!$B$2:$B$3015,"OHW",'Web Feed'!$F$2:$F$3015,$B301))</f>
        <v/>
      </c>
      <c r="J301">
        <f>IF($B301="","",IFERROR(INDEX('Last Week'!$A$2:$A$301,MATCH($B301,'Last Week'!$B$2:$B$301,0)),""))</f>
        <v/>
      </c>
      <c r="K301">
        <f>IF(OR($B301="",$J301=""),"",$J301-$A301)</f>
        <v/>
      </c>
    </row>
    <row r="302">
      <c r="A302">
        <f>IF($B302="","",RANK($C302,$C$2:$C$500))</f>
        <v/>
      </c>
      <c r="B302">
        <f>IF(Players!$A302="","",Players!$A302)</f>
        <v/>
      </c>
      <c r="C302" s="5">
        <f>IF($B302="","",SUM(D302:H302))</f>
        <v/>
      </c>
      <c r="D302">
        <f>IF($B302="","",SUMIFS('Web Feed'!$O$2:$O$3015,'Web Feed'!$B$2:$B$3015,Points!$A$2,'Web Feed'!$F$2:$F$3015,$B302)+SUMIFS('Web Feed'!$O$2:$O$3015,'Web Feed'!$B$2:$B$3015,Points!$A$2,'Web Feed'!$G$2:$G$3015,$B302)+SUMIFS('Web Feed'!$O$2:$O$3015,'Web Feed'!$B$2:$B$3015,Points!$A$2,'Web Feed'!$H$2:$H$3015,$B302)+SUMIFS('Web Feed'!$O$2:$O$3015,'Web Feed'!$B$2:$B$3015,Points!$A$2,'Web Feed'!$I$2:$I$3015,$B302))</f>
        <v/>
      </c>
      <c r="E302">
        <f>IF($B302="","",SUMIFS('Web Feed'!$O$2:$O$3015,'Web Feed'!$B$2:$B$3015,Points!$A$3,'Web Feed'!$F$2:$F$3015,$B302)+SUMIFS('Web Feed'!$O$2:$O$3015,'Web Feed'!$B$2:$B$3015,Points!$A$3,'Web Feed'!$G$2:$G$3015,$B302)+SUMIFS('Web Feed'!$O$2:$O$3015,'Web Feed'!$B$2:$B$3015,Points!$A$3,'Web Feed'!$H$2:$H$3015,$B302)+SUMIFS('Web Feed'!$O$2:$O$3015,'Web Feed'!$B$2:$B$3015,Points!$A$3,'Web Feed'!$I$2:$I$3015,$B302))</f>
        <v/>
      </c>
      <c r="F302">
        <f>IF($B302="","",SUMIFS('Web Feed'!$O$2:$O$3015,'Web Feed'!$B$2:$B$3015,Points!$A$4,'Web Feed'!$F$2:$F$3015,$B302)+SUMIFS('Web Feed'!$O$2:$O$3015,'Web Feed'!$B$2:$B$3015,Points!$A$4,'Web Feed'!$G$2:$G$3015,$B302)+SUMIFS('Web Feed'!$O$2:$O$3015,'Web Feed'!$B$2:$B$3015,Points!$A$4,'Web Feed'!$H$2:$H$3015,$B302)+SUMIFS('Web Feed'!$O$2:$O$3015,'Web Feed'!$B$2:$B$3015,Points!$A$4,'Web Feed'!$I$2:$I$3015,$B302))</f>
        <v/>
      </c>
      <c r="G302">
        <f>IF($B302="","",SUMIFS('Web Feed'!$O$2:$O$3015,'Web Feed'!$B$2:$B$3015,Points!$A$5,'Web Feed'!$F$2:$F$3015,$B302)+SUMIFS('Web Feed'!$O$2:$O$3015,'Web Feed'!$B$2:$B$3015,Points!$A$5,'Web Feed'!$G$2:$G$3015,$B302)+SUMIFS('Web Feed'!$O$2:$O$3015,'Web Feed'!$B$2:$B$3015,Points!$A$5,'Web Feed'!$H$2:$H$3015,$B302)+SUMIFS('Web Feed'!$O$2:$O$3015,'Web Feed'!$B$2:$B$3015,Points!$A$5,'Web Feed'!$I$2:$I$3015,$B302))</f>
        <v/>
      </c>
      <c r="H302">
        <f>IF($B302="","",SUMIFS('Web Feed'!$O$2:$O$3015,'Web Feed'!$B$2:$B$3015,Points!$A$6,'Web Feed'!$F$2:$F$3015,$B302)+SUMIFS('Web Feed'!$O$2:$O$3015,'Web Feed'!$B$2:$B$3015,Points!$A$6,'Web Feed'!$G$2:$G$3015,$B302)+SUMIFS('Web Feed'!$O$2:$O$3015,'Web Feed'!$B$2:$B$3015,Points!$A$6,'Web Feed'!$H$2:$H$3015,$B302)+SUMIFS('Web Feed'!$O$2:$O$3015,'Web Feed'!$B$2:$B$3015,Points!$A$6,'Web Feed'!$I$2:$I$3015,$B302))</f>
        <v/>
      </c>
      <c r="I302">
        <f>IF($B302="","",COUNTIFS('Web Feed'!$B$2:$B$3015,"OHW",'Web Feed'!$F$2:$F$3015,$B302))</f>
        <v/>
      </c>
      <c r="J302">
        <f>IF($B302="","",IFERROR(INDEX('Last Week'!$A$2:$A$301,MATCH($B302,'Last Week'!$B$2:$B$301,0)),""))</f>
        <v/>
      </c>
      <c r="K302">
        <f>IF(OR($B302="",$J302=""),"",$J302-$A302)</f>
        <v/>
      </c>
    </row>
    <row r="303">
      <c r="A303">
        <f>IF($B303="","",RANK($C303,$C$2:$C$500))</f>
        <v/>
      </c>
      <c r="B303">
        <f>IF(Players!$A303="","",Players!$A303)</f>
        <v/>
      </c>
      <c r="C303" s="5">
        <f>IF($B303="","",SUM(D303:H303))</f>
        <v/>
      </c>
      <c r="D303">
        <f>IF($B303="","",SUMIFS('Web Feed'!$O$2:$O$3015,'Web Feed'!$B$2:$B$3015,Points!$A$2,'Web Feed'!$F$2:$F$3015,$B303)+SUMIFS('Web Feed'!$O$2:$O$3015,'Web Feed'!$B$2:$B$3015,Points!$A$2,'Web Feed'!$G$2:$G$3015,$B303)+SUMIFS('Web Feed'!$O$2:$O$3015,'Web Feed'!$B$2:$B$3015,Points!$A$2,'Web Feed'!$H$2:$H$3015,$B303)+SUMIFS('Web Feed'!$O$2:$O$3015,'Web Feed'!$B$2:$B$3015,Points!$A$2,'Web Feed'!$I$2:$I$3015,$B303))</f>
        <v/>
      </c>
      <c r="E303">
        <f>IF($B303="","",SUMIFS('Web Feed'!$O$2:$O$3015,'Web Feed'!$B$2:$B$3015,Points!$A$3,'Web Feed'!$F$2:$F$3015,$B303)+SUMIFS('Web Feed'!$O$2:$O$3015,'Web Feed'!$B$2:$B$3015,Points!$A$3,'Web Feed'!$G$2:$G$3015,$B303)+SUMIFS('Web Feed'!$O$2:$O$3015,'Web Feed'!$B$2:$B$3015,Points!$A$3,'Web Feed'!$H$2:$H$3015,$B303)+SUMIFS('Web Feed'!$O$2:$O$3015,'Web Feed'!$B$2:$B$3015,Points!$A$3,'Web Feed'!$I$2:$I$3015,$B303))</f>
        <v/>
      </c>
      <c r="F303">
        <f>IF($B303="","",SUMIFS('Web Feed'!$O$2:$O$3015,'Web Feed'!$B$2:$B$3015,Points!$A$4,'Web Feed'!$F$2:$F$3015,$B303)+SUMIFS('Web Feed'!$O$2:$O$3015,'Web Feed'!$B$2:$B$3015,Points!$A$4,'Web Feed'!$G$2:$G$3015,$B303)+SUMIFS('Web Feed'!$O$2:$O$3015,'Web Feed'!$B$2:$B$3015,Points!$A$4,'Web Feed'!$H$2:$H$3015,$B303)+SUMIFS('Web Feed'!$O$2:$O$3015,'Web Feed'!$B$2:$B$3015,Points!$A$4,'Web Feed'!$I$2:$I$3015,$B303))</f>
        <v/>
      </c>
      <c r="G303">
        <f>IF($B303="","",SUMIFS('Web Feed'!$O$2:$O$3015,'Web Feed'!$B$2:$B$3015,Points!$A$5,'Web Feed'!$F$2:$F$3015,$B303)+SUMIFS('Web Feed'!$O$2:$O$3015,'Web Feed'!$B$2:$B$3015,Points!$A$5,'Web Feed'!$G$2:$G$3015,$B303)+SUMIFS('Web Feed'!$O$2:$O$3015,'Web Feed'!$B$2:$B$3015,Points!$A$5,'Web Feed'!$H$2:$H$3015,$B303)+SUMIFS('Web Feed'!$O$2:$O$3015,'Web Feed'!$B$2:$B$3015,Points!$A$5,'Web Feed'!$I$2:$I$3015,$B303))</f>
        <v/>
      </c>
      <c r="H303">
        <f>IF($B303="","",SUMIFS('Web Feed'!$O$2:$O$3015,'Web Feed'!$B$2:$B$3015,Points!$A$6,'Web Feed'!$F$2:$F$3015,$B303)+SUMIFS('Web Feed'!$O$2:$O$3015,'Web Feed'!$B$2:$B$3015,Points!$A$6,'Web Feed'!$G$2:$G$3015,$B303)+SUMIFS('Web Feed'!$O$2:$O$3015,'Web Feed'!$B$2:$B$3015,Points!$A$6,'Web Feed'!$H$2:$H$3015,$B303)+SUMIFS('Web Feed'!$O$2:$O$3015,'Web Feed'!$B$2:$B$3015,Points!$A$6,'Web Feed'!$I$2:$I$3015,$B303))</f>
        <v/>
      </c>
      <c r="I303">
        <f>IF($B303="","",COUNTIFS('Web Feed'!$B$2:$B$3015,"OHW",'Web Feed'!$F$2:$F$3015,$B303))</f>
        <v/>
      </c>
      <c r="J303">
        <f>IF($B303="","",IFERROR(INDEX('Last Week'!$A$2:$A$301,MATCH($B303,'Last Week'!$B$2:$B$301,0)),""))</f>
        <v/>
      </c>
      <c r="K303">
        <f>IF(OR($B303="",$J303=""),"",$J303-$A303)</f>
        <v/>
      </c>
    </row>
    <row r="304">
      <c r="A304">
        <f>IF($B304="","",RANK($C304,$C$2:$C$500))</f>
        <v/>
      </c>
      <c r="B304">
        <f>IF(Players!$A304="","",Players!$A304)</f>
        <v/>
      </c>
      <c r="C304" s="5">
        <f>IF($B304="","",SUM(D304:H304))</f>
        <v/>
      </c>
      <c r="D304">
        <f>IF($B304="","",SUMIFS('Web Feed'!$O$2:$O$3015,'Web Feed'!$B$2:$B$3015,Points!$A$2,'Web Feed'!$F$2:$F$3015,$B304)+SUMIFS('Web Feed'!$O$2:$O$3015,'Web Feed'!$B$2:$B$3015,Points!$A$2,'Web Feed'!$G$2:$G$3015,$B304)+SUMIFS('Web Feed'!$O$2:$O$3015,'Web Feed'!$B$2:$B$3015,Points!$A$2,'Web Feed'!$H$2:$H$3015,$B304)+SUMIFS('Web Feed'!$O$2:$O$3015,'Web Feed'!$B$2:$B$3015,Points!$A$2,'Web Feed'!$I$2:$I$3015,$B304))</f>
        <v/>
      </c>
      <c r="E304">
        <f>IF($B304="","",SUMIFS('Web Feed'!$O$2:$O$3015,'Web Feed'!$B$2:$B$3015,Points!$A$3,'Web Feed'!$F$2:$F$3015,$B304)+SUMIFS('Web Feed'!$O$2:$O$3015,'Web Feed'!$B$2:$B$3015,Points!$A$3,'Web Feed'!$G$2:$G$3015,$B304)+SUMIFS('Web Feed'!$O$2:$O$3015,'Web Feed'!$B$2:$B$3015,Points!$A$3,'Web Feed'!$H$2:$H$3015,$B304)+SUMIFS('Web Feed'!$O$2:$O$3015,'Web Feed'!$B$2:$B$3015,Points!$A$3,'Web Feed'!$I$2:$I$3015,$B304))</f>
        <v/>
      </c>
      <c r="F304">
        <f>IF($B304="","",SUMIFS('Web Feed'!$O$2:$O$3015,'Web Feed'!$B$2:$B$3015,Points!$A$4,'Web Feed'!$F$2:$F$3015,$B304)+SUMIFS('Web Feed'!$O$2:$O$3015,'Web Feed'!$B$2:$B$3015,Points!$A$4,'Web Feed'!$G$2:$G$3015,$B304)+SUMIFS('Web Feed'!$O$2:$O$3015,'Web Feed'!$B$2:$B$3015,Points!$A$4,'Web Feed'!$H$2:$H$3015,$B304)+SUMIFS('Web Feed'!$O$2:$O$3015,'Web Feed'!$B$2:$B$3015,Points!$A$4,'Web Feed'!$I$2:$I$3015,$B304))</f>
        <v/>
      </c>
      <c r="G304">
        <f>IF($B304="","",SUMIFS('Web Feed'!$O$2:$O$3015,'Web Feed'!$B$2:$B$3015,Points!$A$5,'Web Feed'!$F$2:$F$3015,$B304)+SUMIFS('Web Feed'!$O$2:$O$3015,'Web Feed'!$B$2:$B$3015,Points!$A$5,'Web Feed'!$G$2:$G$3015,$B304)+SUMIFS('Web Feed'!$O$2:$O$3015,'Web Feed'!$B$2:$B$3015,Points!$A$5,'Web Feed'!$H$2:$H$3015,$B304)+SUMIFS('Web Feed'!$O$2:$O$3015,'Web Feed'!$B$2:$B$3015,Points!$A$5,'Web Feed'!$I$2:$I$3015,$B304))</f>
        <v/>
      </c>
      <c r="H304">
        <f>IF($B304="","",SUMIFS('Web Feed'!$O$2:$O$3015,'Web Feed'!$B$2:$B$3015,Points!$A$6,'Web Feed'!$F$2:$F$3015,$B304)+SUMIFS('Web Feed'!$O$2:$O$3015,'Web Feed'!$B$2:$B$3015,Points!$A$6,'Web Feed'!$G$2:$G$3015,$B304)+SUMIFS('Web Feed'!$O$2:$O$3015,'Web Feed'!$B$2:$B$3015,Points!$A$6,'Web Feed'!$H$2:$H$3015,$B304)+SUMIFS('Web Feed'!$O$2:$O$3015,'Web Feed'!$B$2:$B$3015,Points!$A$6,'Web Feed'!$I$2:$I$3015,$B304))</f>
        <v/>
      </c>
      <c r="I304">
        <f>IF($B304="","",COUNTIFS('Web Feed'!$B$2:$B$3015,"OHW",'Web Feed'!$F$2:$F$3015,$B304))</f>
        <v/>
      </c>
      <c r="J304">
        <f>IF($B304="","",IFERROR(INDEX('Last Week'!$A$2:$A$301,MATCH($B304,'Last Week'!$B$2:$B$301,0)),""))</f>
        <v/>
      </c>
      <c r="K304">
        <f>IF(OR($B304="",$J304=""),"",$J304-$A304)</f>
        <v/>
      </c>
    </row>
    <row r="305">
      <c r="A305">
        <f>IF($B305="","",RANK($C305,$C$2:$C$500))</f>
        <v/>
      </c>
      <c r="B305">
        <f>IF(Players!$A305="","",Players!$A305)</f>
        <v/>
      </c>
      <c r="C305" s="5">
        <f>IF($B305="","",SUM(D305:H305))</f>
        <v/>
      </c>
      <c r="D305">
        <f>IF($B305="","",SUMIFS('Web Feed'!$O$2:$O$3015,'Web Feed'!$B$2:$B$3015,Points!$A$2,'Web Feed'!$F$2:$F$3015,$B305)+SUMIFS('Web Feed'!$O$2:$O$3015,'Web Feed'!$B$2:$B$3015,Points!$A$2,'Web Feed'!$G$2:$G$3015,$B305)+SUMIFS('Web Feed'!$O$2:$O$3015,'Web Feed'!$B$2:$B$3015,Points!$A$2,'Web Feed'!$H$2:$H$3015,$B305)+SUMIFS('Web Feed'!$O$2:$O$3015,'Web Feed'!$B$2:$B$3015,Points!$A$2,'Web Feed'!$I$2:$I$3015,$B305))</f>
        <v/>
      </c>
      <c r="E305">
        <f>IF($B305="","",SUMIFS('Web Feed'!$O$2:$O$3015,'Web Feed'!$B$2:$B$3015,Points!$A$3,'Web Feed'!$F$2:$F$3015,$B305)+SUMIFS('Web Feed'!$O$2:$O$3015,'Web Feed'!$B$2:$B$3015,Points!$A$3,'Web Feed'!$G$2:$G$3015,$B305)+SUMIFS('Web Feed'!$O$2:$O$3015,'Web Feed'!$B$2:$B$3015,Points!$A$3,'Web Feed'!$H$2:$H$3015,$B305)+SUMIFS('Web Feed'!$O$2:$O$3015,'Web Feed'!$B$2:$B$3015,Points!$A$3,'Web Feed'!$I$2:$I$3015,$B305))</f>
        <v/>
      </c>
      <c r="F305">
        <f>IF($B305="","",SUMIFS('Web Feed'!$O$2:$O$3015,'Web Feed'!$B$2:$B$3015,Points!$A$4,'Web Feed'!$F$2:$F$3015,$B305)+SUMIFS('Web Feed'!$O$2:$O$3015,'Web Feed'!$B$2:$B$3015,Points!$A$4,'Web Feed'!$G$2:$G$3015,$B305)+SUMIFS('Web Feed'!$O$2:$O$3015,'Web Feed'!$B$2:$B$3015,Points!$A$4,'Web Feed'!$H$2:$H$3015,$B305)+SUMIFS('Web Feed'!$O$2:$O$3015,'Web Feed'!$B$2:$B$3015,Points!$A$4,'Web Feed'!$I$2:$I$3015,$B305))</f>
        <v/>
      </c>
      <c r="G305">
        <f>IF($B305="","",SUMIFS('Web Feed'!$O$2:$O$3015,'Web Feed'!$B$2:$B$3015,Points!$A$5,'Web Feed'!$F$2:$F$3015,$B305)+SUMIFS('Web Feed'!$O$2:$O$3015,'Web Feed'!$B$2:$B$3015,Points!$A$5,'Web Feed'!$G$2:$G$3015,$B305)+SUMIFS('Web Feed'!$O$2:$O$3015,'Web Feed'!$B$2:$B$3015,Points!$A$5,'Web Feed'!$H$2:$H$3015,$B305)+SUMIFS('Web Feed'!$O$2:$O$3015,'Web Feed'!$B$2:$B$3015,Points!$A$5,'Web Feed'!$I$2:$I$3015,$B305))</f>
        <v/>
      </c>
      <c r="H305">
        <f>IF($B305="","",SUMIFS('Web Feed'!$O$2:$O$3015,'Web Feed'!$B$2:$B$3015,Points!$A$6,'Web Feed'!$F$2:$F$3015,$B305)+SUMIFS('Web Feed'!$O$2:$O$3015,'Web Feed'!$B$2:$B$3015,Points!$A$6,'Web Feed'!$G$2:$G$3015,$B305)+SUMIFS('Web Feed'!$O$2:$O$3015,'Web Feed'!$B$2:$B$3015,Points!$A$6,'Web Feed'!$H$2:$H$3015,$B305)+SUMIFS('Web Feed'!$O$2:$O$3015,'Web Feed'!$B$2:$B$3015,Points!$A$6,'Web Feed'!$I$2:$I$3015,$B305))</f>
        <v/>
      </c>
      <c r="I305">
        <f>IF($B305="","",COUNTIFS('Web Feed'!$B$2:$B$3015,"OHW",'Web Feed'!$F$2:$F$3015,$B305))</f>
        <v/>
      </c>
      <c r="J305">
        <f>IF($B305="","",IFERROR(INDEX('Last Week'!$A$2:$A$301,MATCH($B305,'Last Week'!$B$2:$B$301,0)),""))</f>
        <v/>
      </c>
      <c r="K305">
        <f>IF(OR($B305="",$J305=""),"",$J305-$A305)</f>
        <v/>
      </c>
    </row>
    <row r="306">
      <c r="A306">
        <f>IF($B306="","",RANK($C306,$C$2:$C$500))</f>
        <v/>
      </c>
      <c r="B306">
        <f>IF(Players!$A306="","",Players!$A306)</f>
        <v/>
      </c>
      <c r="C306" s="5">
        <f>IF($B306="","",SUM(D306:H306))</f>
        <v/>
      </c>
      <c r="D306">
        <f>IF($B306="","",SUMIFS('Web Feed'!$O$2:$O$3015,'Web Feed'!$B$2:$B$3015,Points!$A$2,'Web Feed'!$F$2:$F$3015,$B306)+SUMIFS('Web Feed'!$O$2:$O$3015,'Web Feed'!$B$2:$B$3015,Points!$A$2,'Web Feed'!$G$2:$G$3015,$B306)+SUMIFS('Web Feed'!$O$2:$O$3015,'Web Feed'!$B$2:$B$3015,Points!$A$2,'Web Feed'!$H$2:$H$3015,$B306)+SUMIFS('Web Feed'!$O$2:$O$3015,'Web Feed'!$B$2:$B$3015,Points!$A$2,'Web Feed'!$I$2:$I$3015,$B306))</f>
        <v/>
      </c>
      <c r="E306">
        <f>IF($B306="","",SUMIFS('Web Feed'!$O$2:$O$3015,'Web Feed'!$B$2:$B$3015,Points!$A$3,'Web Feed'!$F$2:$F$3015,$B306)+SUMIFS('Web Feed'!$O$2:$O$3015,'Web Feed'!$B$2:$B$3015,Points!$A$3,'Web Feed'!$G$2:$G$3015,$B306)+SUMIFS('Web Feed'!$O$2:$O$3015,'Web Feed'!$B$2:$B$3015,Points!$A$3,'Web Feed'!$H$2:$H$3015,$B306)+SUMIFS('Web Feed'!$O$2:$O$3015,'Web Feed'!$B$2:$B$3015,Points!$A$3,'Web Feed'!$I$2:$I$3015,$B306))</f>
        <v/>
      </c>
      <c r="F306">
        <f>IF($B306="","",SUMIFS('Web Feed'!$O$2:$O$3015,'Web Feed'!$B$2:$B$3015,Points!$A$4,'Web Feed'!$F$2:$F$3015,$B306)+SUMIFS('Web Feed'!$O$2:$O$3015,'Web Feed'!$B$2:$B$3015,Points!$A$4,'Web Feed'!$G$2:$G$3015,$B306)+SUMIFS('Web Feed'!$O$2:$O$3015,'Web Feed'!$B$2:$B$3015,Points!$A$4,'Web Feed'!$H$2:$H$3015,$B306)+SUMIFS('Web Feed'!$O$2:$O$3015,'Web Feed'!$B$2:$B$3015,Points!$A$4,'Web Feed'!$I$2:$I$3015,$B306))</f>
        <v/>
      </c>
      <c r="G306">
        <f>IF($B306="","",SUMIFS('Web Feed'!$O$2:$O$3015,'Web Feed'!$B$2:$B$3015,Points!$A$5,'Web Feed'!$F$2:$F$3015,$B306)+SUMIFS('Web Feed'!$O$2:$O$3015,'Web Feed'!$B$2:$B$3015,Points!$A$5,'Web Feed'!$G$2:$G$3015,$B306)+SUMIFS('Web Feed'!$O$2:$O$3015,'Web Feed'!$B$2:$B$3015,Points!$A$5,'Web Feed'!$H$2:$H$3015,$B306)+SUMIFS('Web Feed'!$O$2:$O$3015,'Web Feed'!$B$2:$B$3015,Points!$A$5,'Web Feed'!$I$2:$I$3015,$B306))</f>
        <v/>
      </c>
      <c r="H306">
        <f>IF($B306="","",SUMIFS('Web Feed'!$O$2:$O$3015,'Web Feed'!$B$2:$B$3015,Points!$A$6,'Web Feed'!$F$2:$F$3015,$B306)+SUMIFS('Web Feed'!$O$2:$O$3015,'Web Feed'!$B$2:$B$3015,Points!$A$6,'Web Feed'!$G$2:$G$3015,$B306)+SUMIFS('Web Feed'!$O$2:$O$3015,'Web Feed'!$B$2:$B$3015,Points!$A$6,'Web Feed'!$H$2:$H$3015,$B306)+SUMIFS('Web Feed'!$O$2:$O$3015,'Web Feed'!$B$2:$B$3015,Points!$A$6,'Web Feed'!$I$2:$I$3015,$B306))</f>
        <v/>
      </c>
      <c r="I306">
        <f>IF($B306="","",COUNTIFS('Web Feed'!$B$2:$B$3015,"OHW",'Web Feed'!$F$2:$F$3015,$B306))</f>
        <v/>
      </c>
      <c r="J306">
        <f>IF($B306="","",IFERROR(INDEX('Last Week'!$A$2:$A$301,MATCH($B306,'Last Week'!$B$2:$B$301,0)),""))</f>
        <v/>
      </c>
      <c r="K306">
        <f>IF(OR($B306="",$J306=""),"",$J306-$A306)</f>
        <v/>
      </c>
    </row>
    <row r="307">
      <c r="A307">
        <f>IF($B307="","",RANK($C307,$C$2:$C$500))</f>
        <v/>
      </c>
      <c r="B307">
        <f>IF(Players!$A307="","",Players!$A307)</f>
        <v/>
      </c>
      <c r="C307" s="5">
        <f>IF($B307="","",SUM(D307:H307))</f>
        <v/>
      </c>
      <c r="D307">
        <f>IF($B307="","",SUMIFS('Web Feed'!$O$2:$O$3015,'Web Feed'!$B$2:$B$3015,Points!$A$2,'Web Feed'!$F$2:$F$3015,$B307)+SUMIFS('Web Feed'!$O$2:$O$3015,'Web Feed'!$B$2:$B$3015,Points!$A$2,'Web Feed'!$G$2:$G$3015,$B307)+SUMIFS('Web Feed'!$O$2:$O$3015,'Web Feed'!$B$2:$B$3015,Points!$A$2,'Web Feed'!$H$2:$H$3015,$B307)+SUMIFS('Web Feed'!$O$2:$O$3015,'Web Feed'!$B$2:$B$3015,Points!$A$2,'Web Feed'!$I$2:$I$3015,$B307))</f>
        <v/>
      </c>
      <c r="E307">
        <f>IF($B307="","",SUMIFS('Web Feed'!$O$2:$O$3015,'Web Feed'!$B$2:$B$3015,Points!$A$3,'Web Feed'!$F$2:$F$3015,$B307)+SUMIFS('Web Feed'!$O$2:$O$3015,'Web Feed'!$B$2:$B$3015,Points!$A$3,'Web Feed'!$G$2:$G$3015,$B307)+SUMIFS('Web Feed'!$O$2:$O$3015,'Web Feed'!$B$2:$B$3015,Points!$A$3,'Web Feed'!$H$2:$H$3015,$B307)+SUMIFS('Web Feed'!$O$2:$O$3015,'Web Feed'!$B$2:$B$3015,Points!$A$3,'Web Feed'!$I$2:$I$3015,$B307))</f>
        <v/>
      </c>
      <c r="F307">
        <f>IF($B307="","",SUMIFS('Web Feed'!$O$2:$O$3015,'Web Feed'!$B$2:$B$3015,Points!$A$4,'Web Feed'!$F$2:$F$3015,$B307)+SUMIFS('Web Feed'!$O$2:$O$3015,'Web Feed'!$B$2:$B$3015,Points!$A$4,'Web Feed'!$G$2:$G$3015,$B307)+SUMIFS('Web Feed'!$O$2:$O$3015,'Web Feed'!$B$2:$B$3015,Points!$A$4,'Web Feed'!$H$2:$H$3015,$B307)+SUMIFS('Web Feed'!$O$2:$O$3015,'Web Feed'!$B$2:$B$3015,Points!$A$4,'Web Feed'!$I$2:$I$3015,$B307))</f>
        <v/>
      </c>
      <c r="G307">
        <f>IF($B307="","",SUMIFS('Web Feed'!$O$2:$O$3015,'Web Feed'!$B$2:$B$3015,Points!$A$5,'Web Feed'!$F$2:$F$3015,$B307)+SUMIFS('Web Feed'!$O$2:$O$3015,'Web Feed'!$B$2:$B$3015,Points!$A$5,'Web Feed'!$G$2:$G$3015,$B307)+SUMIFS('Web Feed'!$O$2:$O$3015,'Web Feed'!$B$2:$B$3015,Points!$A$5,'Web Feed'!$H$2:$H$3015,$B307)+SUMIFS('Web Feed'!$O$2:$O$3015,'Web Feed'!$B$2:$B$3015,Points!$A$5,'Web Feed'!$I$2:$I$3015,$B307))</f>
        <v/>
      </c>
      <c r="H307">
        <f>IF($B307="","",SUMIFS('Web Feed'!$O$2:$O$3015,'Web Feed'!$B$2:$B$3015,Points!$A$6,'Web Feed'!$F$2:$F$3015,$B307)+SUMIFS('Web Feed'!$O$2:$O$3015,'Web Feed'!$B$2:$B$3015,Points!$A$6,'Web Feed'!$G$2:$G$3015,$B307)+SUMIFS('Web Feed'!$O$2:$O$3015,'Web Feed'!$B$2:$B$3015,Points!$A$6,'Web Feed'!$H$2:$H$3015,$B307)+SUMIFS('Web Feed'!$O$2:$O$3015,'Web Feed'!$B$2:$B$3015,Points!$A$6,'Web Feed'!$I$2:$I$3015,$B307))</f>
        <v/>
      </c>
      <c r="I307">
        <f>IF($B307="","",COUNTIFS('Web Feed'!$B$2:$B$3015,"OHW",'Web Feed'!$F$2:$F$3015,$B307))</f>
        <v/>
      </c>
      <c r="J307">
        <f>IF($B307="","",IFERROR(INDEX('Last Week'!$A$2:$A$301,MATCH($B307,'Last Week'!$B$2:$B$301,0)),""))</f>
        <v/>
      </c>
      <c r="K307">
        <f>IF(OR($B307="",$J307=""),"",$J307-$A307)</f>
        <v/>
      </c>
    </row>
    <row r="308">
      <c r="A308">
        <f>IF($B308="","",RANK($C308,$C$2:$C$500))</f>
        <v/>
      </c>
      <c r="B308">
        <f>IF(Players!$A308="","",Players!$A308)</f>
        <v/>
      </c>
      <c r="C308" s="5">
        <f>IF($B308="","",SUM(D308:H308))</f>
        <v/>
      </c>
      <c r="D308">
        <f>IF($B308="","",SUMIFS('Web Feed'!$O$2:$O$3015,'Web Feed'!$B$2:$B$3015,Points!$A$2,'Web Feed'!$F$2:$F$3015,$B308)+SUMIFS('Web Feed'!$O$2:$O$3015,'Web Feed'!$B$2:$B$3015,Points!$A$2,'Web Feed'!$G$2:$G$3015,$B308)+SUMIFS('Web Feed'!$O$2:$O$3015,'Web Feed'!$B$2:$B$3015,Points!$A$2,'Web Feed'!$H$2:$H$3015,$B308)+SUMIFS('Web Feed'!$O$2:$O$3015,'Web Feed'!$B$2:$B$3015,Points!$A$2,'Web Feed'!$I$2:$I$3015,$B308))</f>
        <v/>
      </c>
      <c r="E308">
        <f>IF($B308="","",SUMIFS('Web Feed'!$O$2:$O$3015,'Web Feed'!$B$2:$B$3015,Points!$A$3,'Web Feed'!$F$2:$F$3015,$B308)+SUMIFS('Web Feed'!$O$2:$O$3015,'Web Feed'!$B$2:$B$3015,Points!$A$3,'Web Feed'!$G$2:$G$3015,$B308)+SUMIFS('Web Feed'!$O$2:$O$3015,'Web Feed'!$B$2:$B$3015,Points!$A$3,'Web Feed'!$H$2:$H$3015,$B308)+SUMIFS('Web Feed'!$O$2:$O$3015,'Web Feed'!$B$2:$B$3015,Points!$A$3,'Web Feed'!$I$2:$I$3015,$B308))</f>
        <v/>
      </c>
      <c r="F308">
        <f>IF($B308="","",SUMIFS('Web Feed'!$O$2:$O$3015,'Web Feed'!$B$2:$B$3015,Points!$A$4,'Web Feed'!$F$2:$F$3015,$B308)+SUMIFS('Web Feed'!$O$2:$O$3015,'Web Feed'!$B$2:$B$3015,Points!$A$4,'Web Feed'!$G$2:$G$3015,$B308)+SUMIFS('Web Feed'!$O$2:$O$3015,'Web Feed'!$B$2:$B$3015,Points!$A$4,'Web Feed'!$H$2:$H$3015,$B308)+SUMIFS('Web Feed'!$O$2:$O$3015,'Web Feed'!$B$2:$B$3015,Points!$A$4,'Web Feed'!$I$2:$I$3015,$B308))</f>
        <v/>
      </c>
      <c r="G308">
        <f>IF($B308="","",SUMIFS('Web Feed'!$O$2:$O$3015,'Web Feed'!$B$2:$B$3015,Points!$A$5,'Web Feed'!$F$2:$F$3015,$B308)+SUMIFS('Web Feed'!$O$2:$O$3015,'Web Feed'!$B$2:$B$3015,Points!$A$5,'Web Feed'!$G$2:$G$3015,$B308)+SUMIFS('Web Feed'!$O$2:$O$3015,'Web Feed'!$B$2:$B$3015,Points!$A$5,'Web Feed'!$H$2:$H$3015,$B308)+SUMIFS('Web Feed'!$O$2:$O$3015,'Web Feed'!$B$2:$B$3015,Points!$A$5,'Web Feed'!$I$2:$I$3015,$B308))</f>
        <v/>
      </c>
      <c r="H308">
        <f>IF($B308="","",SUMIFS('Web Feed'!$O$2:$O$3015,'Web Feed'!$B$2:$B$3015,Points!$A$6,'Web Feed'!$F$2:$F$3015,$B308)+SUMIFS('Web Feed'!$O$2:$O$3015,'Web Feed'!$B$2:$B$3015,Points!$A$6,'Web Feed'!$G$2:$G$3015,$B308)+SUMIFS('Web Feed'!$O$2:$O$3015,'Web Feed'!$B$2:$B$3015,Points!$A$6,'Web Feed'!$H$2:$H$3015,$B308)+SUMIFS('Web Feed'!$O$2:$O$3015,'Web Feed'!$B$2:$B$3015,Points!$A$6,'Web Feed'!$I$2:$I$3015,$B308))</f>
        <v/>
      </c>
      <c r="I308">
        <f>IF($B308="","",COUNTIFS('Web Feed'!$B$2:$B$3015,"OHW",'Web Feed'!$F$2:$F$3015,$B308))</f>
        <v/>
      </c>
      <c r="J308">
        <f>IF($B308="","",IFERROR(INDEX('Last Week'!$A$2:$A$301,MATCH($B308,'Last Week'!$B$2:$B$301,0)),""))</f>
        <v/>
      </c>
      <c r="K308">
        <f>IF(OR($B308="",$J308=""),"",$J308-$A308)</f>
        <v/>
      </c>
    </row>
    <row r="309">
      <c r="A309">
        <f>IF($B309="","",RANK($C309,$C$2:$C$500))</f>
        <v/>
      </c>
      <c r="B309">
        <f>IF(Players!$A309="","",Players!$A309)</f>
        <v/>
      </c>
      <c r="C309" s="5">
        <f>IF($B309="","",SUM(D309:H309))</f>
        <v/>
      </c>
      <c r="D309">
        <f>IF($B309="","",SUMIFS('Web Feed'!$O$2:$O$3015,'Web Feed'!$B$2:$B$3015,Points!$A$2,'Web Feed'!$F$2:$F$3015,$B309)+SUMIFS('Web Feed'!$O$2:$O$3015,'Web Feed'!$B$2:$B$3015,Points!$A$2,'Web Feed'!$G$2:$G$3015,$B309)+SUMIFS('Web Feed'!$O$2:$O$3015,'Web Feed'!$B$2:$B$3015,Points!$A$2,'Web Feed'!$H$2:$H$3015,$B309)+SUMIFS('Web Feed'!$O$2:$O$3015,'Web Feed'!$B$2:$B$3015,Points!$A$2,'Web Feed'!$I$2:$I$3015,$B309))</f>
        <v/>
      </c>
      <c r="E309">
        <f>IF($B309="","",SUMIFS('Web Feed'!$O$2:$O$3015,'Web Feed'!$B$2:$B$3015,Points!$A$3,'Web Feed'!$F$2:$F$3015,$B309)+SUMIFS('Web Feed'!$O$2:$O$3015,'Web Feed'!$B$2:$B$3015,Points!$A$3,'Web Feed'!$G$2:$G$3015,$B309)+SUMIFS('Web Feed'!$O$2:$O$3015,'Web Feed'!$B$2:$B$3015,Points!$A$3,'Web Feed'!$H$2:$H$3015,$B309)+SUMIFS('Web Feed'!$O$2:$O$3015,'Web Feed'!$B$2:$B$3015,Points!$A$3,'Web Feed'!$I$2:$I$3015,$B309))</f>
        <v/>
      </c>
      <c r="F309">
        <f>IF($B309="","",SUMIFS('Web Feed'!$O$2:$O$3015,'Web Feed'!$B$2:$B$3015,Points!$A$4,'Web Feed'!$F$2:$F$3015,$B309)+SUMIFS('Web Feed'!$O$2:$O$3015,'Web Feed'!$B$2:$B$3015,Points!$A$4,'Web Feed'!$G$2:$G$3015,$B309)+SUMIFS('Web Feed'!$O$2:$O$3015,'Web Feed'!$B$2:$B$3015,Points!$A$4,'Web Feed'!$H$2:$H$3015,$B309)+SUMIFS('Web Feed'!$O$2:$O$3015,'Web Feed'!$B$2:$B$3015,Points!$A$4,'Web Feed'!$I$2:$I$3015,$B309))</f>
        <v/>
      </c>
      <c r="G309">
        <f>IF($B309="","",SUMIFS('Web Feed'!$O$2:$O$3015,'Web Feed'!$B$2:$B$3015,Points!$A$5,'Web Feed'!$F$2:$F$3015,$B309)+SUMIFS('Web Feed'!$O$2:$O$3015,'Web Feed'!$B$2:$B$3015,Points!$A$5,'Web Feed'!$G$2:$G$3015,$B309)+SUMIFS('Web Feed'!$O$2:$O$3015,'Web Feed'!$B$2:$B$3015,Points!$A$5,'Web Feed'!$H$2:$H$3015,$B309)+SUMIFS('Web Feed'!$O$2:$O$3015,'Web Feed'!$B$2:$B$3015,Points!$A$5,'Web Feed'!$I$2:$I$3015,$B309))</f>
        <v/>
      </c>
      <c r="H309">
        <f>IF($B309="","",SUMIFS('Web Feed'!$O$2:$O$3015,'Web Feed'!$B$2:$B$3015,Points!$A$6,'Web Feed'!$F$2:$F$3015,$B309)+SUMIFS('Web Feed'!$O$2:$O$3015,'Web Feed'!$B$2:$B$3015,Points!$A$6,'Web Feed'!$G$2:$G$3015,$B309)+SUMIFS('Web Feed'!$O$2:$O$3015,'Web Feed'!$B$2:$B$3015,Points!$A$6,'Web Feed'!$H$2:$H$3015,$B309)+SUMIFS('Web Feed'!$O$2:$O$3015,'Web Feed'!$B$2:$B$3015,Points!$A$6,'Web Feed'!$I$2:$I$3015,$B309))</f>
        <v/>
      </c>
      <c r="I309">
        <f>IF($B309="","",COUNTIFS('Web Feed'!$B$2:$B$3015,"OHW",'Web Feed'!$F$2:$F$3015,$B309))</f>
        <v/>
      </c>
      <c r="J309">
        <f>IF($B309="","",IFERROR(INDEX('Last Week'!$A$2:$A$301,MATCH($B309,'Last Week'!$B$2:$B$301,0)),""))</f>
        <v/>
      </c>
      <c r="K309">
        <f>IF(OR($B309="",$J309=""),"",$J309-$A309)</f>
        <v/>
      </c>
    </row>
    <row r="310">
      <c r="A310">
        <f>IF($B310="","",RANK($C310,$C$2:$C$500))</f>
        <v/>
      </c>
      <c r="B310">
        <f>IF(Players!$A310="","",Players!$A310)</f>
        <v/>
      </c>
      <c r="C310" s="5">
        <f>IF($B310="","",SUM(D310:H310))</f>
        <v/>
      </c>
      <c r="D310">
        <f>IF($B310="","",SUMIFS('Web Feed'!$O$2:$O$3015,'Web Feed'!$B$2:$B$3015,Points!$A$2,'Web Feed'!$F$2:$F$3015,$B310)+SUMIFS('Web Feed'!$O$2:$O$3015,'Web Feed'!$B$2:$B$3015,Points!$A$2,'Web Feed'!$G$2:$G$3015,$B310)+SUMIFS('Web Feed'!$O$2:$O$3015,'Web Feed'!$B$2:$B$3015,Points!$A$2,'Web Feed'!$H$2:$H$3015,$B310)+SUMIFS('Web Feed'!$O$2:$O$3015,'Web Feed'!$B$2:$B$3015,Points!$A$2,'Web Feed'!$I$2:$I$3015,$B310))</f>
        <v/>
      </c>
      <c r="E310">
        <f>IF($B310="","",SUMIFS('Web Feed'!$O$2:$O$3015,'Web Feed'!$B$2:$B$3015,Points!$A$3,'Web Feed'!$F$2:$F$3015,$B310)+SUMIFS('Web Feed'!$O$2:$O$3015,'Web Feed'!$B$2:$B$3015,Points!$A$3,'Web Feed'!$G$2:$G$3015,$B310)+SUMIFS('Web Feed'!$O$2:$O$3015,'Web Feed'!$B$2:$B$3015,Points!$A$3,'Web Feed'!$H$2:$H$3015,$B310)+SUMIFS('Web Feed'!$O$2:$O$3015,'Web Feed'!$B$2:$B$3015,Points!$A$3,'Web Feed'!$I$2:$I$3015,$B310))</f>
        <v/>
      </c>
      <c r="F310">
        <f>IF($B310="","",SUMIFS('Web Feed'!$O$2:$O$3015,'Web Feed'!$B$2:$B$3015,Points!$A$4,'Web Feed'!$F$2:$F$3015,$B310)+SUMIFS('Web Feed'!$O$2:$O$3015,'Web Feed'!$B$2:$B$3015,Points!$A$4,'Web Feed'!$G$2:$G$3015,$B310)+SUMIFS('Web Feed'!$O$2:$O$3015,'Web Feed'!$B$2:$B$3015,Points!$A$4,'Web Feed'!$H$2:$H$3015,$B310)+SUMIFS('Web Feed'!$O$2:$O$3015,'Web Feed'!$B$2:$B$3015,Points!$A$4,'Web Feed'!$I$2:$I$3015,$B310))</f>
        <v/>
      </c>
      <c r="G310">
        <f>IF($B310="","",SUMIFS('Web Feed'!$O$2:$O$3015,'Web Feed'!$B$2:$B$3015,Points!$A$5,'Web Feed'!$F$2:$F$3015,$B310)+SUMIFS('Web Feed'!$O$2:$O$3015,'Web Feed'!$B$2:$B$3015,Points!$A$5,'Web Feed'!$G$2:$G$3015,$B310)+SUMIFS('Web Feed'!$O$2:$O$3015,'Web Feed'!$B$2:$B$3015,Points!$A$5,'Web Feed'!$H$2:$H$3015,$B310)+SUMIFS('Web Feed'!$O$2:$O$3015,'Web Feed'!$B$2:$B$3015,Points!$A$5,'Web Feed'!$I$2:$I$3015,$B310))</f>
        <v/>
      </c>
      <c r="H310">
        <f>IF($B310="","",SUMIFS('Web Feed'!$O$2:$O$3015,'Web Feed'!$B$2:$B$3015,Points!$A$6,'Web Feed'!$F$2:$F$3015,$B310)+SUMIFS('Web Feed'!$O$2:$O$3015,'Web Feed'!$B$2:$B$3015,Points!$A$6,'Web Feed'!$G$2:$G$3015,$B310)+SUMIFS('Web Feed'!$O$2:$O$3015,'Web Feed'!$B$2:$B$3015,Points!$A$6,'Web Feed'!$H$2:$H$3015,$B310)+SUMIFS('Web Feed'!$O$2:$O$3015,'Web Feed'!$B$2:$B$3015,Points!$A$6,'Web Feed'!$I$2:$I$3015,$B310))</f>
        <v/>
      </c>
      <c r="I310">
        <f>IF($B310="","",COUNTIFS('Web Feed'!$B$2:$B$3015,"OHW",'Web Feed'!$F$2:$F$3015,$B310))</f>
        <v/>
      </c>
      <c r="J310">
        <f>IF($B310="","",IFERROR(INDEX('Last Week'!$A$2:$A$301,MATCH($B310,'Last Week'!$B$2:$B$301,0)),""))</f>
        <v/>
      </c>
      <c r="K310">
        <f>IF(OR($B310="",$J310=""),"",$J310-$A310)</f>
        <v/>
      </c>
    </row>
    <row r="311">
      <c r="A311">
        <f>IF($B311="","",RANK($C311,$C$2:$C$500))</f>
        <v/>
      </c>
      <c r="B311">
        <f>IF(Players!$A311="","",Players!$A311)</f>
        <v/>
      </c>
      <c r="C311" s="5">
        <f>IF($B311="","",SUM(D311:H311))</f>
        <v/>
      </c>
      <c r="D311">
        <f>IF($B311="","",SUMIFS('Web Feed'!$O$2:$O$3015,'Web Feed'!$B$2:$B$3015,Points!$A$2,'Web Feed'!$F$2:$F$3015,$B311)+SUMIFS('Web Feed'!$O$2:$O$3015,'Web Feed'!$B$2:$B$3015,Points!$A$2,'Web Feed'!$G$2:$G$3015,$B311)+SUMIFS('Web Feed'!$O$2:$O$3015,'Web Feed'!$B$2:$B$3015,Points!$A$2,'Web Feed'!$H$2:$H$3015,$B311)+SUMIFS('Web Feed'!$O$2:$O$3015,'Web Feed'!$B$2:$B$3015,Points!$A$2,'Web Feed'!$I$2:$I$3015,$B311))</f>
        <v/>
      </c>
      <c r="E311">
        <f>IF($B311="","",SUMIFS('Web Feed'!$O$2:$O$3015,'Web Feed'!$B$2:$B$3015,Points!$A$3,'Web Feed'!$F$2:$F$3015,$B311)+SUMIFS('Web Feed'!$O$2:$O$3015,'Web Feed'!$B$2:$B$3015,Points!$A$3,'Web Feed'!$G$2:$G$3015,$B311)+SUMIFS('Web Feed'!$O$2:$O$3015,'Web Feed'!$B$2:$B$3015,Points!$A$3,'Web Feed'!$H$2:$H$3015,$B311)+SUMIFS('Web Feed'!$O$2:$O$3015,'Web Feed'!$B$2:$B$3015,Points!$A$3,'Web Feed'!$I$2:$I$3015,$B311))</f>
        <v/>
      </c>
      <c r="F311">
        <f>IF($B311="","",SUMIFS('Web Feed'!$O$2:$O$3015,'Web Feed'!$B$2:$B$3015,Points!$A$4,'Web Feed'!$F$2:$F$3015,$B311)+SUMIFS('Web Feed'!$O$2:$O$3015,'Web Feed'!$B$2:$B$3015,Points!$A$4,'Web Feed'!$G$2:$G$3015,$B311)+SUMIFS('Web Feed'!$O$2:$O$3015,'Web Feed'!$B$2:$B$3015,Points!$A$4,'Web Feed'!$H$2:$H$3015,$B311)+SUMIFS('Web Feed'!$O$2:$O$3015,'Web Feed'!$B$2:$B$3015,Points!$A$4,'Web Feed'!$I$2:$I$3015,$B311))</f>
        <v/>
      </c>
      <c r="G311">
        <f>IF($B311="","",SUMIFS('Web Feed'!$O$2:$O$3015,'Web Feed'!$B$2:$B$3015,Points!$A$5,'Web Feed'!$F$2:$F$3015,$B311)+SUMIFS('Web Feed'!$O$2:$O$3015,'Web Feed'!$B$2:$B$3015,Points!$A$5,'Web Feed'!$G$2:$G$3015,$B311)+SUMIFS('Web Feed'!$O$2:$O$3015,'Web Feed'!$B$2:$B$3015,Points!$A$5,'Web Feed'!$H$2:$H$3015,$B311)+SUMIFS('Web Feed'!$O$2:$O$3015,'Web Feed'!$B$2:$B$3015,Points!$A$5,'Web Feed'!$I$2:$I$3015,$B311))</f>
        <v/>
      </c>
      <c r="H311">
        <f>IF($B311="","",SUMIFS('Web Feed'!$O$2:$O$3015,'Web Feed'!$B$2:$B$3015,Points!$A$6,'Web Feed'!$F$2:$F$3015,$B311)+SUMIFS('Web Feed'!$O$2:$O$3015,'Web Feed'!$B$2:$B$3015,Points!$A$6,'Web Feed'!$G$2:$G$3015,$B311)+SUMIFS('Web Feed'!$O$2:$O$3015,'Web Feed'!$B$2:$B$3015,Points!$A$6,'Web Feed'!$H$2:$H$3015,$B311)+SUMIFS('Web Feed'!$O$2:$O$3015,'Web Feed'!$B$2:$B$3015,Points!$A$6,'Web Feed'!$I$2:$I$3015,$B311))</f>
        <v/>
      </c>
      <c r="I311">
        <f>IF($B311="","",COUNTIFS('Web Feed'!$B$2:$B$3015,"OHW",'Web Feed'!$F$2:$F$3015,$B311))</f>
        <v/>
      </c>
      <c r="J311">
        <f>IF($B311="","",IFERROR(INDEX('Last Week'!$A$2:$A$301,MATCH($B311,'Last Week'!$B$2:$B$301,0)),""))</f>
        <v/>
      </c>
      <c r="K311">
        <f>IF(OR($B311="",$J311=""),"",$J311-$A311)</f>
        <v/>
      </c>
    </row>
    <row r="312">
      <c r="A312">
        <f>IF($B312="","",RANK($C312,$C$2:$C$500))</f>
        <v/>
      </c>
      <c r="B312">
        <f>IF(Players!$A312="","",Players!$A312)</f>
        <v/>
      </c>
      <c r="C312" s="5">
        <f>IF($B312="","",SUM(D312:H312))</f>
        <v/>
      </c>
      <c r="D312">
        <f>IF($B312="","",SUMIFS('Web Feed'!$O$2:$O$3015,'Web Feed'!$B$2:$B$3015,Points!$A$2,'Web Feed'!$F$2:$F$3015,$B312)+SUMIFS('Web Feed'!$O$2:$O$3015,'Web Feed'!$B$2:$B$3015,Points!$A$2,'Web Feed'!$G$2:$G$3015,$B312)+SUMIFS('Web Feed'!$O$2:$O$3015,'Web Feed'!$B$2:$B$3015,Points!$A$2,'Web Feed'!$H$2:$H$3015,$B312)+SUMIFS('Web Feed'!$O$2:$O$3015,'Web Feed'!$B$2:$B$3015,Points!$A$2,'Web Feed'!$I$2:$I$3015,$B312))</f>
        <v/>
      </c>
      <c r="E312">
        <f>IF($B312="","",SUMIFS('Web Feed'!$O$2:$O$3015,'Web Feed'!$B$2:$B$3015,Points!$A$3,'Web Feed'!$F$2:$F$3015,$B312)+SUMIFS('Web Feed'!$O$2:$O$3015,'Web Feed'!$B$2:$B$3015,Points!$A$3,'Web Feed'!$G$2:$G$3015,$B312)+SUMIFS('Web Feed'!$O$2:$O$3015,'Web Feed'!$B$2:$B$3015,Points!$A$3,'Web Feed'!$H$2:$H$3015,$B312)+SUMIFS('Web Feed'!$O$2:$O$3015,'Web Feed'!$B$2:$B$3015,Points!$A$3,'Web Feed'!$I$2:$I$3015,$B312))</f>
        <v/>
      </c>
      <c r="F312">
        <f>IF($B312="","",SUMIFS('Web Feed'!$O$2:$O$3015,'Web Feed'!$B$2:$B$3015,Points!$A$4,'Web Feed'!$F$2:$F$3015,$B312)+SUMIFS('Web Feed'!$O$2:$O$3015,'Web Feed'!$B$2:$B$3015,Points!$A$4,'Web Feed'!$G$2:$G$3015,$B312)+SUMIFS('Web Feed'!$O$2:$O$3015,'Web Feed'!$B$2:$B$3015,Points!$A$4,'Web Feed'!$H$2:$H$3015,$B312)+SUMIFS('Web Feed'!$O$2:$O$3015,'Web Feed'!$B$2:$B$3015,Points!$A$4,'Web Feed'!$I$2:$I$3015,$B312))</f>
        <v/>
      </c>
      <c r="G312">
        <f>IF($B312="","",SUMIFS('Web Feed'!$O$2:$O$3015,'Web Feed'!$B$2:$B$3015,Points!$A$5,'Web Feed'!$F$2:$F$3015,$B312)+SUMIFS('Web Feed'!$O$2:$O$3015,'Web Feed'!$B$2:$B$3015,Points!$A$5,'Web Feed'!$G$2:$G$3015,$B312)+SUMIFS('Web Feed'!$O$2:$O$3015,'Web Feed'!$B$2:$B$3015,Points!$A$5,'Web Feed'!$H$2:$H$3015,$B312)+SUMIFS('Web Feed'!$O$2:$O$3015,'Web Feed'!$B$2:$B$3015,Points!$A$5,'Web Feed'!$I$2:$I$3015,$B312))</f>
        <v/>
      </c>
      <c r="H312">
        <f>IF($B312="","",SUMIFS('Web Feed'!$O$2:$O$3015,'Web Feed'!$B$2:$B$3015,Points!$A$6,'Web Feed'!$F$2:$F$3015,$B312)+SUMIFS('Web Feed'!$O$2:$O$3015,'Web Feed'!$B$2:$B$3015,Points!$A$6,'Web Feed'!$G$2:$G$3015,$B312)+SUMIFS('Web Feed'!$O$2:$O$3015,'Web Feed'!$B$2:$B$3015,Points!$A$6,'Web Feed'!$H$2:$H$3015,$B312)+SUMIFS('Web Feed'!$O$2:$O$3015,'Web Feed'!$B$2:$B$3015,Points!$A$6,'Web Feed'!$I$2:$I$3015,$B312))</f>
        <v/>
      </c>
      <c r="I312">
        <f>IF($B312="","",COUNTIFS('Web Feed'!$B$2:$B$3015,"OHW",'Web Feed'!$F$2:$F$3015,$B312))</f>
        <v/>
      </c>
      <c r="J312">
        <f>IF($B312="","",IFERROR(INDEX('Last Week'!$A$2:$A$301,MATCH($B312,'Last Week'!$B$2:$B$301,0)),""))</f>
        <v/>
      </c>
      <c r="K312">
        <f>IF(OR($B312="",$J312=""),"",$J312-$A312)</f>
        <v/>
      </c>
    </row>
    <row r="313">
      <c r="A313">
        <f>IF($B313="","",RANK($C313,$C$2:$C$500))</f>
        <v/>
      </c>
      <c r="B313">
        <f>IF(Players!$A313="","",Players!$A313)</f>
        <v/>
      </c>
      <c r="C313" s="5">
        <f>IF($B313="","",SUM(D313:H313))</f>
        <v/>
      </c>
      <c r="D313">
        <f>IF($B313="","",SUMIFS('Web Feed'!$O$2:$O$3015,'Web Feed'!$B$2:$B$3015,Points!$A$2,'Web Feed'!$F$2:$F$3015,$B313)+SUMIFS('Web Feed'!$O$2:$O$3015,'Web Feed'!$B$2:$B$3015,Points!$A$2,'Web Feed'!$G$2:$G$3015,$B313)+SUMIFS('Web Feed'!$O$2:$O$3015,'Web Feed'!$B$2:$B$3015,Points!$A$2,'Web Feed'!$H$2:$H$3015,$B313)+SUMIFS('Web Feed'!$O$2:$O$3015,'Web Feed'!$B$2:$B$3015,Points!$A$2,'Web Feed'!$I$2:$I$3015,$B313))</f>
        <v/>
      </c>
      <c r="E313">
        <f>IF($B313="","",SUMIFS('Web Feed'!$O$2:$O$3015,'Web Feed'!$B$2:$B$3015,Points!$A$3,'Web Feed'!$F$2:$F$3015,$B313)+SUMIFS('Web Feed'!$O$2:$O$3015,'Web Feed'!$B$2:$B$3015,Points!$A$3,'Web Feed'!$G$2:$G$3015,$B313)+SUMIFS('Web Feed'!$O$2:$O$3015,'Web Feed'!$B$2:$B$3015,Points!$A$3,'Web Feed'!$H$2:$H$3015,$B313)+SUMIFS('Web Feed'!$O$2:$O$3015,'Web Feed'!$B$2:$B$3015,Points!$A$3,'Web Feed'!$I$2:$I$3015,$B313))</f>
        <v/>
      </c>
      <c r="F313">
        <f>IF($B313="","",SUMIFS('Web Feed'!$O$2:$O$3015,'Web Feed'!$B$2:$B$3015,Points!$A$4,'Web Feed'!$F$2:$F$3015,$B313)+SUMIFS('Web Feed'!$O$2:$O$3015,'Web Feed'!$B$2:$B$3015,Points!$A$4,'Web Feed'!$G$2:$G$3015,$B313)+SUMIFS('Web Feed'!$O$2:$O$3015,'Web Feed'!$B$2:$B$3015,Points!$A$4,'Web Feed'!$H$2:$H$3015,$B313)+SUMIFS('Web Feed'!$O$2:$O$3015,'Web Feed'!$B$2:$B$3015,Points!$A$4,'Web Feed'!$I$2:$I$3015,$B313))</f>
        <v/>
      </c>
      <c r="G313">
        <f>IF($B313="","",SUMIFS('Web Feed'!$O$2:$O$3015,'Web Feed'!$B$2:$B$3015,Points!$A$5,'Web Feed'!$F$2:$F$3015,$B313)+SUMIFS('Web Feed'!$O$2:$O$3015,'Web Feed'!$B$2:$B$3015,Points!$A$5,'Web Feed'!$G$2:$G$3015,$B313)+SUMIFS('Web Feed'!$O$2:$O$3015,'Web Feed'!$B$2:$B$3015,Points!$A$5,'Web Feed'!$H$2:$H$3015,$B313)+SUMIFS('Web Feed'!$O$2:$O$3015,'Web Feed'!$B$2:$B$3015,Points!$A$5,'Web Feed'!$I$2:$I$3015,$B313))</f>
        <v/>
      </c>
      <c r="H313">
        <f>IF($B313="","",SUMIFS('Web Feed'!$O$2:$O$3015,'Web Feed'!$B$2:$B$3015,Points!$A$6,'Web Feed'!$F$2:$F$3015,$B313)+SUMIFS('Web Feed'!$O$2:$O$3015,'Web Feed'!$B$2:$B$3015,Points!$A$6,'Web Feed'!$G$2:$G$3015,$B313)+SUMIFS('Web Feed'!$O$2:$O$3015,'Web Feed'!$B$2:$B$3015,Points!$A$6,'Web Feed'!$H$2:$H$3015,$B313)+SUMIFS('Web Feed'!$O$2:$O$3015,'Web Feed'!$B$2:$B$3015,Points!$A$6,'Web Feed'!$I$2:$I$3015,$B313))</f>
        <v/>
      </c>
      <c r="I313">
        <f>IF($B313="","",COUNTIFS('Web Feed'!$B$2:$B$3015,"OHW",'Web Feed'!$F$2:$F$3015,$B313))</f>
        <v/>
      </c>
      <c r="J313">
        <f>IF($B313="","",IFERROR(INDEX('Last Week'!$A$2:$A$301,MATCH($B313,'Last Week'!$B$2:$B$301,0)),""))</f>
        <v/>
      </c>
      <c r="K313">
        <f>IF(OR($B313="",$J313=""),"",$J313-$A313)</f>
        <v/>
      </c>
    </row>
    <row r="314">
      <c r="A314">
        <f>IF($B314="","",RANK($C314,$C$2:$C$500))</f>
        <v/>
      </c>
      <c r="B314">
        <f>IF(Players!$A314="","",Players!$A314)</f>
        <v/>
      </c>
      <c r="C314" s="5">
        <f>IF($B314="","",SUM(D314:H314))</f>
        <v/>
      </c>
      <c r="D314">
        <f>IF($B314="","",SUMIFS('Web Feed'!$O$2:$O$3015,'Web Feed'!$B$2:$B$3015,Points!$A$2,'Web Feed'!$F$2:$F$3015,$B314)+SUMIFS('Web Feed'!$O$2:$O$3015,'Web Feed'!$B$2:$B$3015,Points!$A$2,'Web Feed'!$G$2:$G$3015,$B314)+SUMIFS('Web Feed'!$O$2:$O$3015,'Web Feed'!$B$2:$B$3015,Points!$A$2,'Web Feed'!$H$2:$H$3015,$B314)+SUMIFS('Web Feed'!$O$2:$O$3015,'Web Feed'!$B$2:$B$3015,Points!$A$2,'Web Feed'!$I$2:$I$3015,$B314))</f>
        <v/>
      </c>
      <c r="E314">
        <f>IF($B314="","",SUMIFS('Web Feed'!$O$2:$O$3015,'Web Feed'!$B$2:$B$3015,Points!$A$3,'Web Feed'!$F$2:$F$3015,$B314)+SUMIFS('Web Feed'!$O$2:$O$3015,'Web Feed'!$B$2:$B$3015,Points!$A$3,'Web Feed'!$G$2:$G$3015,$B314)+SUMIFS('Web Feed'!$O$2:$O$3015,'Web Feed'!$B$2:$B$3015,Points!$A$3,'Web Feed'!$H$2:$H$3015,$B314)+SUMIFS('Web Feed'!$O$2:$O$3015,'Web Feed'!$B$2:$B$3015,Points!$A$3,'Web Feed'!$I$2:$I$3015,$B314))</f>
        <v/>
      </c>
      <c r="F314">
        <f>IF($B314="","",SUMIFS('Web Feed'!$O$2:$O$3015,'Web Feed'!$B$2:$B$3015,Points!$A$4,'Web Feed'!$F$2:$F$3015,$B314)+SUMIFS('Web Feed'!$O$2:$O$3015,'Web Feed'!$B$2:$B$3015,Points!$A$4,'Web Feed'!$G$2:$G$3015,$B314)+SUMIFS('Web Feed'!$O$2:$O$3015,'Web Feed'!$B$2:$B$3015,Points!$A$4,'Web Feed'!$H$2:$H$3015,$B314)+SUMIFS('Web Feed'!$O$2:$O$3015,'Web Feed'!$B$2:$B$3015,Points!$A$4,'Web Feed'!$I$2:$I$3015,$B314))</f>
        <v/>
      </c>
      <c r="G314">
        <f>IF($B314="","",SUMIFS('Web Feed'!$O$2:$O$3015,'Web Feed'!$B$2:$B$3015,Points!$A$5,'Web Feed'!$F$2:$F$3015,$B314)+SUMIFS('Web Feed'!$O$2:$O$3015,'Web Feed'!$B$2:$B$3015,Points!$A$5,'Web Feed'!$G$2:$G$3015,$B314)+SUMIFS('Web Feed'!$O$2:$O$3015,'Web Feed'!$B$2:$B$3015,Points!$A$5,'Web Feed'!$H$2:$H$3015,$B314)+SUMIFS('Web Feed'!$O$2:$O$3015,'Web Feed'!$B$2:$B$3015,Points!$A$5,'Web Feed'!$I$2:$I$3015,$B314))</f>
        <v/>
      </c>
      <c r="H314">
        <f>IF($B314="","",SUMIFS('Web Feed'!$O$2:$O$3015,'Web Feed'!$B$2:$B$3015,Points!$A$6,'Web Feed'!$F$2:$F$3015,$B314)+SUMIFS('Web Feed'!$O$2:$O$3015,'Web Feed'!$B$2:$B$3015,Points!$A$6,'Web Feed'!$G$2:$G$3015,$B314)+SUMIFS('Web Feed'!$O$2:$O$3015,'Web Feed'!$B$2:$B$3015,Points!$A$6,'Web Feed'!$H$2:$H$3015,$B314)+SUMIFS('Web Feed'!$O$2:$O$3015,'Web Feed'!$B$2:$B$3015,Points!$A$6,'Web Feed'!$I$2:$I$3015,$B314))</f>
        <v/>
      </c>
      <c r="I314">
        <f>IF($B314="","",COUNTIFS('Web Feed'!$B$2:$B$3015,"OHW",'Web Feed'!$F$2:$F$3015,$B314))</f>
        <v/>
      </c>
      <c r="J314">
        <f>IF($B314="","",IFERROR(INDEX('Last Week'!$A$2:$A$301,MATCH($B314,'Last Week'!$B$2:$B$301,0)),""))</f>
        <v/>
      </c>
      <c r="K314">
        <f>IF(OR($B314="",$J314=""),"",$J314-$A314)</f>
        <v/>
      </c>
    </row>
    <row r="315">
      <c r="A315">
        <f>IF($B315="","",RANK($C315,$C$2:$C$500))</f>
        <v/>
      </c>
      <c r="B315">
        <f>IF(Players!$A315="","",Players!$A315)</f>
        <v/>
      </c>
      <c r="C315" s="5">
        <f>IF($B315="","",SUM(D315:H315))</f>
        <v/>
      </c>
      <c r="D315">
        <f>IF($B315="","",SUMIFS('Web Feed'!$O$2:$O$3015,'Web Feed'!$B$2:$B$3015,Points!$A$2,'Web Feed'!$F$2:$F$3015,$B315)+SUMIFS('Web Feed'!$O$2:$O$3015,'Web Feed'!$B$2:$B$3015,Points!$A$2,'Web Feed'!$G$2:$G$3015,$B315)+SUMIFS('Web Feed'!$O$2:$O$3015,'Web Feed'!$B$2:$B$3015,Points!$A$2,'Web Feed'!$H$2:$H$3015,$B315)+SUMIFS('Web Feed'!$O$2:$O$3015,'Web Feed'!$B$2:$B$3015,Points!$A$2,'Web Feed'!$I$2:$I$3015,$B315))</f>
        <v/>
      </c>
      <c r="E315">
        <f>IF($B315="","",SUMIFS('Web Feed'!$O$2:$O$3015,'Web Feed'!$B$2:$B$3015,Points!$A$3,'Web Feed'!$F$2:$F$3015,$B315)+SUMIFS('Web Feed'!$O$2:$O$3015,'Web Feed'!$B$2:$B$3015,Points!$A$3,'Web Feed'!$G$2:$G$3015,$B315)+SUMIFS('Web Feed'!$O$2:$O$3015,'Web Feed'!$B$2:$B$3015,Points!$A$3,'Web Feed'!$H$2:$H$3015,$B315)+SUMIFS('Web Feed'!$O$2:$O$3015,'Web Feed'!$B$2:$B$3015,Points!$A$3,'Web Feed'!$I$2:$I$3015,$B315))</f>
        <v/>
      </c>
      <c r="F315">
        <f>IF($B315="","",SUMIFS('Web Feed'!$O$2:$O$3015,'Web Feed'!$B$2:$B$3015,Points!$A$4,'Web Feed'!$F$2:$F$3015,$B315)+SUMIFS('Web Feed'!$O$2:$O$3015,'Web Feed'!$B$2:$B$3015,Points!$A$4,'Web Feed'!$G$2:$G$3015,$B315)+SUMIFS('Web Feed'!$O$2:$O$3015,'Web Feed'!$B$2:$B$3015,Points!$A$4,'Web Feed'!$H$2:$H$3015,$B315)+SUMIFS('Web Feed'!$O$2:$O$3015,'Web Feed'!$B$2:$B$3015,Points!$A$4,'Web Feed'!$I$2:$I$3015,$B315))</f>
        <v/>
      </c>
      <c r="G315">
        <f>IF($B315="","",SUMIFS('Web Feed'!$O$2:$O$3015,'Web Feed'!$B$2:$B$3015,Points!$A$5,'Web Feed'!$F$2:$F$3015,$B315)+SUMIFS('Web Feed'!$O$2:$O$3015,'Web Feed'!$B$2:$B$3015,Points!$A$5,'Web Feed'!$G$2:$G$3015,$B315)+SUMIFS('Web Feed'!$O$2:$O$3015,'Web Feed'!$B$2:$B$3015,Points!$A$5,'Web Feed'!$H$2:$H$3015,$B315)+SUMIFS('Web Feed'!$O$2:$O$3015,'Web Feed'!$B$2:$B$3015,Points!$A$5,'Web Feed'!$I$2:$I$3015,$B315))</f>
        <v/>
      </c>
      <c r="H315">
        <f>IF($B315="","",SUMIFS('Web Feed'!$O$2:$O$3015,'Web Feed'!$B$2:$B$3015,Points!$A$6,'Web Feed'!$F$2:$F$3015,$B315)+SUMIFS('Web Feed'!$O$2:$O$3015,'Web Feed'!$B$2:$B$3015,Points!$A$6,'Web Feed'!$G$2:$G$3015,$B315)+SUMIFS('Web Feed'!$O$2:$O$3015,'Web Feed'!$B$2:$B$3015,Points!$A$6,'Web Feed'!$H$2:$H$3015,$B315)+SUMIFS('Web Feed'!$O$2:$O$3015,'Web Feed'!$B$2:$B$3015,Points!$A$6,'Web Feed'!$I$2:$I$3015,$B315))</f>
        <v/>
      </c>
      <c r="I315">
        <f>IF($B315="","",COUNTIFS('Web Feed'!$B$2:$B$3015,"OHW",'Web Feed'!$F$2:$F$3015,$B315))</f>
        <v/>
      </c>
      <c r="J315">
        <f>IF($B315="","",IFERROR(INDEX('Last Week'!$A$2:$A$301,MATCH($B315,'Last Week'!$B$2:$B$301,0)),""))</f>
        <v/>
      </c>
      <c r="K315">
        <f>IF(OR($B315="",$J315=""),"",$J315-$A315)</f>
        <v/>
      </c>
    </row>
    <row r="316">
      <c r="A316">
        <f>IF($B316="","",RANK($C316,$C$2:$C$500))</f>
        <v/>
      </c>
      <c r="B316">
        <f>IF(Players!$A316="","",Players!$A316)</f>
        <v/>
      </c>
      <c r="C316" s="5">
        <f>IF($B316="","",SUM(D316:H316))</f>
        <v/>
      </c>
      <c r="D316">
        <f>IF($B316="","",SUMIFS('Web Feed'!$O$2:$O$3015,'Web Feed'!$B$2:$B$3015,Points!$A$2,'Web Feed'!$F$2:$F$3015,$B316)+SUMIFS('Web Feed'!$O$2:$O$3015,'Web Feed'!$B$2:$B$3015,Points!$A$2,'Web Feed'!$G$2:$G$3015,$B316)+SUMIFS('Web Feed'!$O$2:$O$3015,'Web Feed'!$B$2:$B$3015,Points!$A$2,'Web Feed'!$H$2:$H$3015,$B316)+SUMIFS('Web Feed'!$O$2:$O$3015,'Web Feed'!$B$2:$B$3015,Points!$A$2,'Web Feed'!$I$2:$I$3015,$B316))</f>
        <v/>
      </c>
      <c r="E316">
        <f>IF($B316="","",SUMIFS('Web Feed'!$O$2:$O$3015,'Web Feed'!$B$2:$B$3015,Points!$A$3,'Web Feed'!$F$2:$F$3015,$B316)+SUMIFS('Web Feed'!$O$2:$O$3015,'Web Feed'!$B$2:$B$3015,Points!$A$3,'Web Feed'!$G$2:$G$3015,$B316)+SUMIFS('Web Feed'!$O$2:$O$3015,'Web Feed'!$B$2:$B$3015,Points!$A$3,'Web Feed'!$H$2:$H$3015,$B316)+SUMIFS('Web Feed'!$O$2:$O$3015,'Web Feed'!$B$2:$B$3015,Points!$A$3,'Web Feed'!$I$2:$I$3015,$B316))</f>
        <v/>
      </c>
      <c r="F316">
        <f>IF($B316="","",SUMIFS('Web Feed'!$O$2:$O$3015,'Web Feed'!$B$2:$B$3015,Points!$A$4,'Web Feed'!$F$2:$F$3015,$B316)+SUMIFS('Web Feed'!$O$2:$O$3015,'Web Feed'!$B$2:$B$3015,Points!$A$4,'Web Feed'!$G$2:$G$3015,$B316)+SUMIFS('Web Feed'!$O$2:$O$3015,'Web Feed'!$B$2:$B$3015,Points!$A$4,'Web Feed'!$H$2:$H$3015,$B316)+SUMIFS('Web Feed'!$O$2:$O$3015,'Web Feed'!$B$2:$B$3015,Points!$A$4,'Web Feed'!$I$2:$I$3015,$B316))</f>
        <v/>
      </c>
      <c r="G316">
        <f>IF($B316="","",SUMIFS('Web Feed'!$O$2:$O$3015,'Web Feed'!$B$2:$B$3015,Points!$A$5,'Web Feed'!$F$2:$F$3015,$B316)+SUMIFS('Web Feed'!$O$2:$O$3015,'Web Feed'!$B$2:$B$3015,Points!$A$5,'Web Feed'!$G$2:$G$3015,$B316)+SUMIFS('Web Feed'!$O$2:$O$3015,'Web Feed'!$B$2:$B$3015,Points!$A$5,'Web Feed'!$H$2:$H$3015,$B316)+SUMIFS('Web Feed'!$O$2:$O$3015,'Web Feed'!$B$2:$B$3015,Points!$A$5,'Web Feed'!$I$2:$I$3015,$B316))</f>
        <v/>
      </c>
      <c r="H316">
        <f>IF($B316="","",SUMIFS('Web Feed'!$O$2:$O$3015,'Web Feed'!$B$2:$B$3015,Points!$A$6,'Web Feed'!$F$2:$F$3015,$B316)+SUMIFS('Web Feed'!$O$2:$O$3015,'Web Feed'!$B$2:$B$3015,Points!$A$6,'Web Feed'!$G$2:$G$3015,$B316)+SUMIFS('Web Feed'!$O$2:$O$3015,'Web Feed'!$B$2:$B$3015,Points!$A$6,'Web Feed'!$H$2:$H$3015,$B316)+SUMIFS('Web Feed'!$O$2:$O$3015,'Web Feed'!$B$2:$B$3015,Points!$A$6,'Web Feed'!$I$2:$I$3015,$B316))</f>
        <v/>
      </c>
      <c r="I316">
        <f>IF($B316="","",COUNTIFS('Web Feed'!$B$2:$B$3015,"OHW",'Web Feed'!$F$2:$F$3015,$B316))</f>
        <v/>
      </c>
      <c r="J316">
        <f>IF($B316="","",IFERROR(INDEX('Last Week'!$A$2:$A$301,MATCH($B316,'Last Week'!$B$2:$B$301,0)),""))</f>
        <v/>
      </c>
      <c r="K316">
        <f>IF(OR($B316="",$J316=""),"",$J316-$A316)</f>
        <v/>
      </c>
    </row>
    <row r="317">
      <c r="A317">
        <f>IF($B317="","",RANK($C317,$C$2:$C$500))</f>
        <v/>
      </c>
      <c r="B317">
        <f>IF(Players!$A317="","",Players!$A317)</f>
        <v/>
      </c>
      <c r="C317" s="5">
        <f>IF($B317="","",SUM(D317:H317))</f>
        <v/>
      </c>
      <c r="D317">
        <f>IF($B317="","",SUMIFS('Web Feed'!$O$2:$O$3015,'Web Feed'!$B$2:$B$3015,Points!$A$2,'Web Feed'!$F$2:$F$3015,$B317)+SUMIFS('Web Feed'!$O$2:$O$3015,'Web Feed'!$B$2:$B$3015,Points!$A$2,'Web Feed'!$G$2:$G$3015,$B317)+SUMIFS('Web Feed'!$O$2:$O$3015,'Web Feed'!$B$2:$B$3015,Points!$A$2,'Web Feed'!$H$2:$H$3015,$B317)+SUMIFS('Web Feed'!$O$2:$O$3015,'Web Feed'!$B$2:$B$3015,Points!$A$2,'Web Feed'!$I$2:$I$3015,$B317))</f>
        <v/>
      </c>
      <c r="E317">
        <f>IF($B317="","",SUMIFS('Web Feed'!$O$2:$O$3015,'Web Feed'!$B$2:$B$3015,Points!$A$3,'Web Feed'!$F$2:$F$3015,$B317)+SUMIFS('Web Feed'!$O$2:$O$3015,'Web Feed'!$B$2:$B$3015,Points!$A$3,'Web Feed'!$G$2:$G$3015,$B317)+SUMIFS('Web Feed'!$O$2:$O$3015,'Web Feed'!$B$2:$B$3015,Points!$A$3,'Web Feed'!$H$2:$H$3015,$B317)+SUMIFS('Web Feed'!$O$2:$O$3015,'Web Feed'!$B$2:$B$3015,Points!$A$3,'Web Feed'!$I$2:$I$3015,$B317))</f>
        <v/>
      </c>
      <c r="F317">
        <f>IF($B317="","",SUMIFS('Web Feed'!$O$2:$O$3015,'Web Feed'!$B$2:$B$3015,Points!$A$4,'Web Feed'!$F$2:$F$3015,$B317)+SUMIFS('Web Feed'!$O$2:$O$3015,'Web Feed'!$B$2:$B$3015,Points!$A$4,'Web Feed'!$G$2:$G$3015,$B317)+SUMIFS('Web Feed'!$O$2:$O$3015,'Web Feed'!$B$2:$B$3015,Points!$A$4,'Web Feed'!$H$2:$H$3015,$B317)+SUMIFS('Web Feed'!$O$2:$O$3015,'Web Feed'!$B$2:$B$3015,Points!$A$4,'Web Feed'!$I$2:$I$3015,$B317))</f>
        <v/>
      </c>
      <c r="G317">
        <f>IF($B317="","",SUMIFS('Web Feed'!$O$2:$O$3015,'Web Feed'!$B$2:$B$3015,Points!$A$5,'Web Feed'!$F$2:$F$3015,$B317)+SUMIFS('Web Feed'!$O$2:$O$3015,'Web Feed'!$B$2:$B$3015,Points!$A$5,'Web Feed'!$G$2:$G$3015,$B317)+SUMIFS('Web Feed'!$O$2:$O$3015,'Web Feed'!$B$2:$B$3015,Points!$A$5,'Web Feed'!$H$2:$H$3015,$B317)+SUMIFS('Web Feed'!$O$2:$O$3015,'Web Feed'!$B$2:$B$3015,Points!$A$5,'Web Feed'!$I$2:$I$3015,$B317))</f>
        <v/>
      </c>
      <c r="H317">
        <f>IF($B317="","",SUMIFS('Web Feed'!$O$2:$O$3015,'Web Feed'!$B$2:$B$3015,Points!$A$6,'Web Feed'!$F$2:$F$3015,$B317)+SUMIFS('Web Feed'!$O$2:$O$3015,'Web Feed'!$B$2:$B$3015,Points!$A$6,'Web Feed'!$G$2:$G$3015,$B317)+SUMIFS('Web Feed'!$O$2:$O$3015,'Web Feed'!$B$2:$B$3015,Points!$A$6,'Web Feed'!$H$2:$H$3015,$B317)+SUMIFS('Web Feed'!$O$2:$O$3015,'Web Feed'!$B$2:$B$3015,Points!$A$6,'Web Feed'!$I$2:$I$3015,$B317))</f>
        <v/>
      </c>
      <c r="I317">
        <f>IF($B317="","",COUNTIFS('Web Feed'!$B$2:$B$3015,"OHW",'Web Feed'!$F$2:$F$3015,$B317))</f>
        <v/>
      </c>
      <c r="J317">
        <f>IF($B317="","",IFERROR(INDEX('Last Week'!$A$2:$A$301,MATCH($B317,'Last Week'!$B$2:$B$301,0)),""))</f>
        <v/>
      </c>
      <c r="K317">
        <f>IF(OR($B317="",$J317=""),"",$J317-$A317)</f>
        <v/>
      </c>
    </row>
    <row r="318">
      <c r="A318">
        <f>IF($B318="","",RANK($C318,$C$2:$C$500))</f>
        <v/>
      </c>
      <c r="B318">
        <f>IF(Players!$A318="","",Players!$A318)</f>
        <v/>
      </c>
      <c r="C318" s="5">
        <f>IF($B318="","",SUM(D318:H318))</f>
        <v/>
      </c>
      <c r="D318">
        <f>IF($B318="","",SUMIFS('Web Feed'!$O$2:$O$3015,'Web Feed'!$B$2:$B$3015,Points!$A$2,'Web Feed'!$F$2:$F$3015,$B318)+SUMIFS('Web Feed'!$O$2:$O$3015,'Web Feed'!$B$2:$B$3015,Points!$A$2,'Web Feed'!$G$2:$G$3015,$B318)+SUMIFS('Web Feed'!$O$2:$O$3015,'Web Feed'!$B$2:$B$3015,Points!$A$2,'Web Feed'!$H$2:$H$3015,$B318)+SUMIFS('Web Feed'!$O$2:$O$3015,'Web Feed'!$B$2:$B$3015,Points!$A$2,'Web Feed'!$I$2:$I$3015,$B318))</f>
        <v/>
      </c>
      <c r="E318">
        <f>IF($B318="","",SUMIFS('Web Feed'!$O$2:$O$3015,'Web Feed'!$B$2:$B$3015,Points!$A$3,'Web Feed'!$F$2:$F$3015,$B318)+SUMIFS('Web Feed'!$O$2:$O$3015,'Web Feed'!$B$2:$B$3015,Points!$A$3,'Web Feed'!$G$2:$G$3015,$B318)+SUMIFS('Web Feed'!$O$2:$O$3015,'Web Feed'!$B$2:$B$3015,Points!$A$3,'Web Feed'!$H$2:$H$3015,$B318)+SUMIFS('Web Feed'!$O$2:$O$3015,'Web Feed'!$B$2:$B$3015,Points!$A$3,'Web Feed'!$I$2:$I$3015,$B318))</f>
        <v/>
      </c>
      <c r="F318">
        <f>IF($B318="","",SUMIFS('Web Feed'!$O$2:$O$3015,'Web Feed'!$B$2:$B$3015,Points!$A$4,'Web Feed'!$F$2:$F$3015,$B318)+SUMIFS('Web Feed'!$O$2:$O$3015,'Web Feed'!$B$2:$B$3015,Points!$A$4,'Web Feed'!$G$2:$G$3015,$B318)+SUMIFS('Web Feed'!$O$2:$O$3015,'Web Feed'!$B$2:$B$3015,Points!$A$4,'Web Feed'!$H$2:$H$3015,$B318)+SUMIFS('Web Feed'!$O$2:$O$3015,'Web Feed'!$B$2:$B$3015,Points!$A$4,'Web Feed'!$I$2:$I$3015,$B318))</f>
        <v/>
      </c>
      <c r="G318">
        <f>IF($B318="","",SUMIFS('Web Feed'!$O$2:$O$3015,'Web Feed'!$B$2:$B$3015,Points!$A$5,'Web Feed'!$F$2:$F$3015,$B318)+SUMIFS('Web Feed'!$O$2:$O$3015,'Web Feed'!$B$2:$B$3015,Points!$A$5,'Web Feed'!$G$2:$G$3015,$B318)+SUMIFS('Web Feed'!$O$2:$O$3015,'Web Feed'!$B$2:$B$3015,Points!$A$5,'Web Feed'!$H$2:$H$3015,$B318)+SUMIFS('Web Feed'!$O$2:$O$3015,'Web Feed'!$B$2:$B$3015,Points!$A$5,'Web Feed'!$I$2:$I$3015,$B318))</f>
        <v/>
      </c>
      <c r="H318">
        <f>IF($B318="","",SUMIFS('Web Feed'!$O$2:$O$3015,'Web Feed'!$B$2:$B$3015,Points!$A$6,'Web Feed'!$F$2:$F$3015,$B318)+SUMIFS('Web Feed'!$O$2:$O$3015,'Web Feed'!$B$2:$B$3015,Points!$A$6,'Web Feed'!$G$2:$G$3015,$B318)+SUMIFS('Web Feed'!$O$2:$O$3015,'Web Feed'!$B$2:$B$3015,Points!$A$6,'Web Feed'!$H$2:$H$3015,$B318)+SUMIFS('Web Feed'!$O$2:$O$3015,'Web Feed'!$B$2:$B$3015,Points!$A$6,'Web Feed'!$I$2:$I$3015,$B318))</f>
        <v/>
      </c>
      <c r="I318">
        <f>IF($B318="","",COUNTIFS('Web Feed'!$B$2:$B$3015,"OHW",'Web Feed'!$F$2:$F$3015,$B318))</f>
        <v/>
      </c>
      <c r="J318">
        <f>IF($B318="","",IFERROR(INDEX('Last Week'!$A$2:$A$301,MATCH($B318,'Last Week'!$B$2:$B$301,0)),""))</f>
        <v/>
      </c>
      <c r="K318">
        <f>IF(OR($B318="",$J318=""),"",$J318-$A318)</f>
        <v/>
      </c>
    </row>
    <row r="319">
      <c r="A319">
        <f>IF($B319="","",RANK($C319,$C$2:$C$500))</f>
        <v/>
      </c>
      <c r="B319">
        <f>IF(Players!$A319="","",Players!$A319)</f>
        <v/>
      </c>
      <c r="C319" s="5">
        <f>IF($B319="","",SUM(D319:H319))</f>
        <v/>
      </c>
      <c r="D319">
        <f>IF($B319="","",SUMIFS('Web Feed'!$O$2:$O$3015,'Web Feed'!$B$2:$B$3015,Points!$A$2,'Web Feed'!$F$2:$F$3015,$B319)+SUMIFS('Web Feed'!$O$2:$O$3015,'Web Feed'!$B$2:$B$3015,Points!$A$2,'Web Feed'!$G$2:$G$3015,$B319)+SUMIFS('Web Feed'!$O$2:$O$3015,'Web Feed'!$B$2:$B$3015,Points!$A$2,'Web Feed'!$H$2:$H$3015,$B319)+SUMIFS('Web Feed'!$O$2:$O$3015,'Web Feed'!$B$2:$B$3015,Points!$A$2,'Web Feed'!$I$2:$I$3015,$B319))</f>
        <v/>
      </c>
      <c r="E319">
        <f>IF($B319="","",SUMIFS('Web Feed'!$O$2:$O$3015,'Web Feed'!$B$2:$B$3015,Points!$A$3,'Web Feed'!$F$2:$F$3015,$B319)+SUMIFS('Web Feed'!$O$2:$O$3015,'Web Feed'!$B$2:$B$3015,Points!$A$3,'Web Feed'!$G$2:$G$3015,$B319)+SUMIFS('Web Feed'!$O$2:$O$3015,'Web Feed'!$B$2:$B$3015,Points!$A$3,'Web Feed'!$H$2:$H$3015,$B319)+SUMIFS('Web Feed'!$O$2:$O$3015,'Web Feed'!$B$2:$B$3015,Points!$A$3,'Web Feed'!$I$2:$I$3015,$B319))</f>
        <v/>
      </c>
      <c r="F319">
        <f>IF($B319="","",SUMIFS('Web Feed'!$O$2:$O$3015,'Web Feed'!$B$2:$B$3015,Points!$A$4,'Web Feed'!$F$2:$F$3015,$B319)+SUMIFS('Web Feed'!$O$2:$O$3015,'Web Feed'!$B$2:$B$3015,Points!$A$4,'Web Feed'!$G$2:$G$3015,$B319)+SUMIFS('Web Feed'!$O$2:$O$3015,'Web Feed'!$B$2:$B$3015,Points!$A$4,'Web Feed'!$H$2:$H$3015,$B319)+SUMIFS('Web Feed'!$O$2:$O$3015,'Web Feed'!$B$2:$B$3015,Points!$A$4,'Web Feed'!$I$2:$I$3015,$B319))</f>
        <v/>
      </c>
      <c r="G319">
        <f>IF($B319="","",SUMIFS('Web Feed'!$O$2:$O$3015,'Web Feed'!$B$2:$B$3015,Points!$A$5,'Web Feed'!$F$2:$F$3015,$B319)+SUMIFS('Web Feed'!$O$2:$O$3015,'Web Feed'!$B$2:$B$3015,Points!$A$5,'Web Feed'!$G$2:$G$3015,$B319)+SUMIFS('Web Feed'!$O$2:$O$3015,'Web Feed'!$B$2:$B$3015,Points!$A$5,'Web Feed'!$H$2:$H$3015,$B319)+SUMIFS('Web Feed'!$O$2:$O$3015,'Web Feed'!$B$2:$B$3015,Points!$A$5,'Web Feed'!$I$2:$I$3015,$B319))</f>
        <v/>
      </c>
      <c r="H319">
        <f>IF($B319="","",SUMIFS('Web Feed'!$O$2:$O$3015,'Web Feed'!$B$2:$B$3015,Points!$A$6,'Web Feed'!$F$2:$F$3015,$B319)+SUMIFS('Web Feed'!$O$2:$O$3015,'Web Feed'!$B$2:$B$3015,Points!$A$6,'Web Feed'!$G$2:$G$3015,$B319)+SUMIFS('Web Feed'!$O$2:$O$3015,'Web Feed'!$B$2:$B$3015,Points!$A$6,'Web Feed'!$H$2:$H$3015,$B319)+SUMIFS('Web Feed'!$O$2:$O$3015,'Web Feed'!$B$2:$B$3015,Points!$A$6,'Web Feed'!$I$2:$I$3015,$B319))</f>
        <v/>
      </c>
      <c r="I319">
        <f>IF($B319="","",COUNTIFS('Web Feed'!$B$2:$B$3015,"OHW",'Web Feed'!$F$2:$F$3015,$B319))</f>
        <v/>
      </c>
      <c r="J319">
        <f>IF($B319="","",IFERROR(INDEX('Last Week'!$A$2:$A$301,MATCH($B319,'Last Week'!$B$2:$B$301,0)),""))</f>
        <v/>
      </c>
      <c r="K319">
        <f>IF(OR($B319="",$J319=""),"",$J319-$A319)</f>
        <v/>
      </c>
    </row>
    <row r="320">
      <c r="A320">
        <f>IF($B320="","",RANK($C320,$C$2:$C$500))</f>
        <v/>
      </c>
      <c r="B320">
        <f>IF(Players!$A320="","",Players!$A320)</f>
        <v/>
      </c>
      <c r="C320" s="5">
        <f>IF($B320="","",SUM(D320:H320))</f>
        <v/>
      </c>
      <c r="D320">
        <f>IF($B320="","",SUMIFS('Web Feed'!$O$2:$O$3015,'Web Feed'!$B$2:$B$3015,Points!$A$2,'Web Feed'!$F$2:$F$3015,$B320)+SUMIFS('Web Feed'!$O$2:$O$3015,'Web Feed'!$B$2:$B$3015,Points!$A$2,'Web Feed'!$G$2:$G$3015,$B320)+SUMIFS('Web Feed'!$O$2:$O$3015,'Web Feed'!$B$2:$B$3015,Points!$A$2,'Web Feed'!$H$2:$H$3015,$B320)+SUMIFS('Web Feed'!$O$2:$O$3015,'Web Feed'!$B$2:$B$3015,Points!$A$2,'Web Feed'!$I$2:$I$3015,$B320))</f>
        <v/>
      </c>
      <c r="E320">
        <f>IF($B320="","",SUMIFS('Web Feed'!$O$2:$O$3015,'Web Feed'!$B$2:$B$3015,Points!$A$3,'Web Feed'!$F$2:$F$3015,$B320)+SUMIFS('Web Feed'!$O$2:$O$3015,'Web Feed'!$B$2:$B$3015,Points!$A$3,'Web Feed'!$G$2:$G$3015,$B320)+SUMIFS('Web Feed'!$O$2:$O$3015,'Web Feed'!$B$2:$B$3015,Points!$A$3,'Web Feed'!$H$2:$H$3015,$B320)+SUMIFS('Web Feed'!$O$2:$O$3015,'Web Feed'!$B$2:$B$3015,Points!$A$3,'Web Feed'!$I$2:$I$3015,$B320))</f>
        <v/>
      </c>
      <c r="F320">
        <f>IF($B320="","",SUMIFS('Web Feed'!$O$2:$O$3015,'Web Feed'!$B$2:$B$3015,Points!$A$4,'Web Feed'!$F$2:$F$3015,$B320)+SUMIFS('Web Feed'!$O$2:$O$3015,'Web Feed'!$B$2:$B$3015,Points!$A$4,'Web Feed'!$G$2:$G$3015,$B320)+SUMIFS('Web Feed'!$O$2:$O$3015,'Web Feed'!$B$2:$B$3015,Points!$A$4,'Web Feed'!$H$2:$H$3015,$B320)+SUMIFS('Web Feed'!$O$2:$O$3015,'Web Feed'!$B$2:$B$3015,Points!$A$4,'Web Feed'!$I$2:$I$3015,$B320))</f>
        <v/>
      </c>
      <c r="G320">
        <f>IF($B320="","",SUMIFS('Web Feed'!$O$2:$O$3015,'Web Feed'!$B$2:$B$3015,Points!$A$5,'Web Feed'!$F$2:$F$3015,$B320)+SUMIFS('Web Feed'!$O$2:$O$3015,'Web Feed'!$B$2:$B$3015,Points!$A$5,'Web Feed'!$G$2:$G$3015,$B320)+SUMIFS('Web Feed'!$O$2:$O$3015,'Web Feed'!$B$2:$B$3015,Points!$A$5,'Web Feed'!$H$2:$H$3015,$B320)+SUMIFS('Web Feed'!$O$2:$O$3015,'Web Feed'!$B$2:$B$3015,Points!$A$5,'Web Feed'!$I$2:$I$3015,$B320))</f>
        <v/>
      </c>
      <c r="H320">
        <f>IF($B320="","",SUMIFS('Web Feed'!$O$2:$O$3015,'Web Feed'!$B$2:$B$3015,Points!$A$6,'Web Feed'!$F$2:$F$3015,$B320)+SUMIFS('Web Feed'!$O$2:$O$3015,'Web Feed'!$B$2:$B$3015,Points!$A$6,'Web Feed'!$G$2:$G$3015,$B320)+SUMIFS('Web Feed'!$O$2:$O$3015,'Web Feed'!$B$2:$B$3015,Points!$A$6,'Web Feed'!$H$2:$H$3015,$B320)+SUMIFS('Web Feed'!$O$2:$O$3015,'Web Feed'!$B$2:$B$3015,Points!$A$6,'Web Feed'!$I$2:$I$3015,$B320))</f>
        <v/>
      </c>
      <c r="I320">
        <f>IF($B320="","",COUNTIFS('Web Feed'!$B$2:$B$3015,"OHW",'Web Feed'!$F$2:$F$3015,$B320))</f>
        <v/>
      </c>
      <c r="J320">
        <f>IF($B320="","",IFERROR(INDEX('Last Week'!$A$2:$A$301,MATCH($B320,'Last Week'!$B$2:$B$301,0)),""))</f>
        <v/>
      </c>
      <c r="K320">
        <f>IF(OR($B320="",$J320=""),"",$J320-$A320)</f>
        <v/>
      </c>
    </row>
    <row r="321">
      <c r="A321">
        <f>IF($B321="","",RANK($C321,$C$2:$C$500))</f>
        <v/>
      </c>
      <c r="B321">
        <f>IF(Players!$A321="","",Players!$A321)</f>
        <v/>
      </c>
      <c r="C321" s="5">
        <f>IF($B321="","",SUM(D321:H321))</f>
        <v/>
      </c>
      <c r="D321">
        <f>IF($B321="","",SUMIFS('Web Feed'!$O$2:$O$3015,'Web Feed'!$B$2:$B$3015,Points!$A$2,'Web Feed'!$F$2:$F$3015,$B321)+SUMIFS('Web Feed'!$O$2:$O$3015,'Web Feed'!$B$2:$B$3015,Points!$A$2,'Web Feed'!$G$2:$G$3015,$B321)+SUMIFS('Web Feed'!$O$2:$O$3015,'Web Feed'!$B$2:$B$3015,Points!$A$2,'Web Feed'!$H$2:$H$3015,$B321)+SUMIFS('Web Feed'!$O$2:$O$3015,'Web Feed'!$B$2:$B$3015,Points!$A$2,'Web Feed'!$I$2:$I$3015,$B321))</f>
        <v/>
      </c>
      <c r="E321">
        <f>IF($B321="","",SUMIFS('Web Feed'!$O$2:$O$3015,'Web Feed'!$B$2:$B$3015,Points!$A$3,'Web Feed'!$F$2:$F$3015,$B321)+SUMIFS('Web Feed'!$O$2:$O$3015,'Web Feed'!$B$2:$B$3015,Points!$A$3,'Web Feed'!$G$2:$G$3015,$B321)+SUMIFS('Web Feed'!$O$2:$O$3015,'Web Feed'!$B$2:$B$3015,Points!$A$3,'Web Feed'!$H$2:$H$3015,$B321)+SUMIFS('Web Feed'!$O$2:$O$3015,'Web Feed'!$B$2:$B$3015,Points!$A$3,'Web Feed'!$I$2:$I$3015,$B321))</f>
        <v/>
      </c>
      <c r="F321">
        <f>IF($B321="","",SUMIFS('Web Feed'!$O$2:$O$3015,'Web Feed'!$B$2:$B$3015,Points!$A$4,'Web Feed'!$F$2:$F$3015,$B321)+SUMIFS('Web Feed'!$O$2:$O$3015,'Web Feed'!$B$2:$B$3015,Points!$A$4,'Web Feed'!$G$2:$G$3015,$B321)+SUMIFS('Web Feed'!$O$2:$O$3015,'Web Feed'!$B$2:$B$3015,Points!$A$4,'Web Feed'!$H$2:$H$3015,$B321)+SUMIFS('Web Feed'!$O$2:$O$3015,'Web Feed'!$B$2:$B$3015,Points!$A$4,'Web Feed'!$I$2:$I$3015,$B321))</f>
        <v/>
      </c>
      <c r="G321">
        <f>IF($B321="","",SUMIFS('Web Feed'!$O$2:$O$3015,'Web Feed'!$B$2:$B$3015,Points!$A$5,'Web Feed'!$F$2:$F$3015,$B321)+SUMIFS('Web Feed'!$O$2:$O$3015,'Web Feed'!$B$2:$B$3015,Points!$A$5,'Web Feed'!$G$2:$G$3015,$B321)+SUMIFS('Web Feed'!$O$2:$O$3015,'Web Feed'!$B$2:$B$3015,Points!$A$5,'Web Feed'!$H$2:$H$3015,$B321)+SUMIFS('Web Feed'!$O$2:$O$3015,'Web Feed'!$B$2:$B$3015,Points!$A$5,'Web Feed'!$I$2:$I$3015,$B321))</f>
        <v/>
      </c>
      <c r="H321">
        <f>IF($B321="","",SUMIFS('Web Feed'!$O$2:$O$3015,'Web Feed'!$B$2:$B$3015,Points!$A$6,'Web Feed'!$F$2:$F$3015,$B321)+SUMIFS('Web Feed'!$O$2:$O$3015,'Web Feed'!$B$2:$B$3015,Points!$A$6,'Web Feed'!$G$2:$G$3015,$B321)+SUMIFS('Web Feed'!$O$2:$O$3015,'Web Feed'!$B$2:$B$3015,Points!$A$6,'Web Feed'!$H$2:$H$3015,$B321)+SUMIFS('Web Feed'!$O$2:$O$3015,'Web Feed'!$B$2:$B$3015,Points!$A$6,'Web Feed'!$I$2:$I$3015,$B321))</f>
        <v/>
      </c>
      <c r="I321">
        <f>IF($B321="","",COUNTIFS('Web Feed'!$B$2:$B$3015,"OHW",'Web Feed'!$F$2:$F$3015,$B321))</f>
        <v/>
      </c>
      <c r="J321">
        <f>IF($B321="","",IFERROR(INDEX('Last Week'!$A$2:$A$301,MATCH($B321,'Last Week'!$B$2:$B$301,0)),""))</f>
        <v/>
      </c>
      <c r="K321">
        <f>IF(OR($B321="",$J321=""),"",$J321-$A321)</f>
        <v/>
      </c>
    </row>
    <row r="322">
      <c r="A322">
        <f>IF($B322="","",RANK($C322,$C$2:$C$500))</f>
        <v/>
      </c>
      <c r="B322">
        <f>IF(Players!$A322="","",Players!$A322)</f>
        <v/>
      </c>
      <c r="C322" s="5">
        <f>IF($B322="","",SUM(D322:H322))</f>
        <v/>
      </c>
      <c r="D322">
        <f>IF($B322="","",SUMIFS('Web Feed'!$O$2:$O$3015,'Web Feed'!$B$2:$B$3015,Points!$A$2,'Web Feed'!$F$2:$F$3015,$B322)+SUMIFS('Web Feed'!$O$2:$O$3015,'Web Feed'!$B$2:$B$3015,Points!$A$2,'Web Feed'!$G$2:$G$3015,$B322)+SUMIFS('Web Feed'!$O$2:$O$3015,'Web Feed'!$B$2:$B$3015,Points!$A$2,'Web Feed'!$H$2:$H$3015,$B322)+SUMIFS('Web Feed'!$O$2:$O$3015,'Web Feed'!$B$2:$B$3015,Points!$A$2,'Web Feed'!$I$2:$I$3015,$B322))</f>
        <v/>
      </c>
      <c r="E322">
        <f>IF($B322="","",SUMIFS('Web Feed'!$O$2:$O$3015,'Web Feed'!$B$2:$B$3015,Points!$A$3,'Web Feed'!$F$2:$F$3015,$B322)+SUMIFS('Web Feed'!$O$2:$O$3015,'Web Feed'!$B$2:$B$3015,Points!$A$3,'Web Feed'!$G$2:$G$3015,$B322)+SUMIFS('Web Feed'!$O$2:$O$3015,'Web Feed'!$B$2:$B$3015,Points!$A$3,'Web Feed'!$H$2:$H$3015,$B322)+SUMIFS('Web Feed'!$O$2:$O$3015,'Web Feed'!$B$2:$B$3015,Points!$A$3,'Web Feed'!$I$2:$I$3015,$B322))</f>
        <v/>
      </c>
      <c r="F322">
        <f>IF($B322="","",SUMIFS('Web Feed'!$O$2:$O$3015,'Web Feed'!$B$2:$B$3015,Points!$A$4,'Web Feed'!$F$2:$F$3015,$B322)+SUMIFS('Web Feed'!$O$2:$O$3015,'Web Feed'!$B$2:$B$3015,Points!$A$4,'Web Feed'!$G$2:$G$3015,$B322)+SUMIFS('Web Feed'!$O$2:$O$3015,'Web Feed'!$B$2:$B$3015,Points!$A$4,'Web Feed'!$H$2:$H$3015,$B322)+SUMIFS('Web Feed'!$O$2:$O$3015,'Web Feed'!$B$2:$B$3015,Points!$A$4,'Web Feed'!$I$2:$I$3015,$B322))</f>
        <v/>
      </c>
      <c r="G322">
        <f>IF($B322="","",SUMIFS('Web Feed'!$O$2:$O$3015,'Web Feed'!$B$2:$B$3015,Points!$A$5,'Web Feed'!$F$2:$F$3015,$B322)+SUMIFS('Web Feed'!$O$2:$O$3015,'Web Feed'!$B$2:$B$3015,Points!$A$5,'Web Feed'!$G$2:$G$3015,$B322)+SUMIFS('Web Feed'!$O$2:$O$3015,'Web Feed'!$B$2:$B$3015,Points!$A$5,'Web Feed'!$H$2:$H$3015,$B322)+SUMIFS('Web Feed'!$O$2:$O$3015,'Web Feed'!$B$2:$B$3015,Points!$A$5,'Web Feed'!$I$2:$I$3015,$B322))</f>
        <v/>
      </c>
      <c r="H322">
        <f>IF($B322="","",SUMIFS('Web Feed'!$O$2:$O$3015,'Web Feed'!$B$2:$B$3015,Points!$A$6,'Web Feed'!$F$2:$F$3015,$B322)+SUMIFS('Web Feed'!$O$2:$O$3015,'Web Feed'!$B$2:$B$3015,Points!$A$6,'Web Feed'!$G$2:$G$3015,$B322)+SUMIFS('Web Feed'!$O$2:$O$3015,'Web Feed'!$B$2:$B$3015,Points!$A$6,'Web Feed'!$H$2:$H$3015,$B322)+SUMIFS('Web Feed'!$O$2:$O$3015,'Web Feed'!$B$2:$B$3015,Points!$A$6,'Web Feed'!$I$2:$I$3015,$B322))</f>
        <v/>
      </c>
      <c r="I322">
        <f>IF($B322="","",COUNTIFS('Web Feed'!$B$2:$B$3015,"OHW",'Web Feed'!$F$2:$F$3015,$B322))</f>
        <v/>
      </c>
      <c r="J322">
        <f>IF($B322="","",IFERROR(INDEX('Last Week'!$A$2:$A$301,MATCH($B322,'Last Week'!$B$2:$B$301,0)),""))</f>
        <v/>
      </c>
      <c r="K322">
        <f>IF(OR($B322="",$J322=""),"",$J322-$A322)</f>
        <v/>
      </c>
    </row>
    <row r="323">
      <c r="A323">
        <f>IF($B323="","",RANK($C323,$C$2:$C$500))</f>
        <v/>
      </c>
      <c r="B323">
        <f>IF(Players!$A323="","",Players!$A323)</f>
        <v/>
      </c>
      <c r="C323" s="5">
        <f>IF($B323="","",SUM(D323:H323))</f>
        <v/>
      </c>
      <c r="D323">
        <f>IF($B323="","",SUMIFS('Web Feed'!$O$2:$O$3015,'Web Feed'!$B$2:$B$3015,Points!$A$2,'Web Feed'!$F$2:$F$3015,$B323)+SUMIFS('Web Feed'!$O$2:$O$3015,'Web Feed'!$B$2:$B$3015,Points!$A$2,'Web Feed'!$G$2:$G$3015,$B323)+SUMIFS('Web Feed'!$O$2:$O$3015,'Web Feed'!$B$2:$B$3015,Points!$A$2,'Web Feed'!$H$2:$H$3015,$B323)+SUMIFS('Web Feed'!$O$2:$O$3015,'Web Feed'!$B$2:$B$3015,Points!$A$2,'Web Feed'!$I$2:$I$3015,$B323))</f>
        <v/>
      </c>
      <c r="E323">
        <f>IF($B323="","",SUMIFS('Web Feed'!$O$2:$O$3015,'Web Feed'!$B$2:$B$3015,Points!$A$3,'Web Feed'!$F$2:$F$3015,$B323)+SUMIFS('Web Feed'!$O$2:$O$3015,'Web Feed'!$B$2:$B$3015,Points!$A$3,'Web Feed'!$G$2:$G$3015,$B323)+SUMIFS('Web Feed'!$O$2:$O$3015,'Web Feed'!$B$2:$B$3015,Points!$A$3,'Web Feed'!$H$2:$H$3015,$B323)+SUMIFS('Web Feed'!$O$2:$O$3015,'Web Feed'!$B$2:$B$3015,Points!$A$3,'Web Feed'!$I$2:$I$3015,$B323))</f>
        <v/>
      </c>
      <c r="F323">
        <f>IF($B323="","",SUMIFS('Web Feed'!$O$2:$O$3015,'Web Feed'!$B$2:$B$3015,Points!$A$4,'Web Feed'!$F$2:$F$3015,$B323)+SUMIFS('Web Feed'!$O$2:$O$3015,'Web Feed'!$B$2:$B$3015,Points!$A$4,'Web Feed'!$G$2:$G$3015,$B323)+SUMIFS('Web Feed'!$O$2:$O$3015,'Web Feed'!$B$2:$B$3015,Points!$A$4,'Web Feed'!$H$2:$H$3015,$B323)+SUMIFS('Web Feed'!$O$2:$O$3015,'Web Feed'!$B$2:$B$3015,Points!$A$4,'Web Feed'!$I$2:$I$3015,$B323))</f>
        <v/>
      </c>
      <c r="G323">
        <f>IF($B323="","",SUMIFS('Web Feed'!$O$2:$O$3015,'Web Feed'!$B$2:$B$3015,Points!$A$5,'Web Feed'!$F$2:$F$3015,$B323)+SUMIFS('Web Feed'!$O$2:$O$3015,'Web Feed'!$B$2:$B$3015,Points!$A$5,'Web Feed'!$G$2:$G$3015,$B323)+SUMIFS('Web Feed'!$O$2:$O$3015,'Web Feed'!$B$2:$B$3015,Points!$A$5,'Web Feed'!$H$2:$H$3015,$B323)+SUMIFS('Web Feed'!$O$2:$O$3015,'Web Feed'!$B$2:$B$3015,Points!$A$5,'Web Feed'!$I$2:$I$3015,$B323))</f>
        <v/>
      </c>
      <c r="H323">
        <f>IF($B323="","",SUMIFS('Web Feed'!$O$2:$O$3015,'Web Feed'!$B$2:$B$3015,Points!$A$6,'Web Feed'!$F$2:$F$3015,$B323)+SUMIFS('Web Feed'!$O$2:$O$3015,'Web Feed'!$B$2:$B$3015,Points!$A$6,'Web Feed'!$G$2:$G$3015,$B323)+SUMIFS('Web Feed'!$O$2:$O$3015,'Web Feed'!$B$2:$B$3015,Points!$A$6,'Web Feed'!$H$2:$H$3015,$B323)+SUMIFS('Web Feed'!$O$2:$O$3015,'Web Feed'!$B$2:$B$3015,Points!$A$6,'Web Feed'!$I$2:$I$3015,$B323))</f>
        <v/>
      </c>
      <c r="I323">
        <f>IF($B323="","",COUNTIFS('Web Feed'!$B$2:$B$3015,"OHW",'Web Feed'!$F$2:$F$3015,$B323))</f>
        <v/>
      </c>
      <c r="J323">
        <f>IF($B323="","",IFERROR(INDEX('Last Week'!$A$2:$A$301,MATCH($B323,'Last Week'!$B$2:$B$301,0)),""))</f>
        <v/>
      </c>
      <c r="K323">
        <f>IF(OR($B323="",$J323=""),"",$J323-$A323)</f>
        <v/>
      </c>
    </row>
    <row r="324">
      <c r="A324">
        <f>IF($B324="","",RANK($C324,$C$2:$C$500))</f>
        <v/>
      </c>
      <c r="B324">
        <f>IF(Players!$A324="","",Players!$A324)</f>
        <v/>
      </c>
      <c r="C324" s="5">
        <f>IF($B324="","",SUM(D324:H324))</f>
        <v/>
      </c>
      <c r="D324">
        <f>IF($B324="","",SUMIFS('Web Feed'!$O$2:$O$3015,'Web Feed'!$B$2:$B$3015,Points!$A$2,'Web Feed'!$F$2:$F$3015,$B324)+SUMIFS('Web Feed'!$O$2:$O$3015,'Web Feed'!$B$2:$B$3015,Points!$A$2,'Web Feed'!$G$2:$G$3015,$B324)+SUMIFS('Web Feed'!$O$2:$O$3015,'Web Feed'!$B$2:$B$3015,Points!$A$2,'Web Feed'!$H$2:$H$3015,$B324)+SUMIFS('Web Feed'!$O$2:$O$3015,'Web Feed'!$B$2:$B$3015,Points!$A$2,'Web Feed'!$I$2:$I$3015,$B324))</f>
        <v/>
      </c>
      <c r="E324">
        <f>IF($B324="","",SUMIFS('Web Feed'!$O$2:$O$3015,'Web Feed'!$B$2:$B$3015,Points!$A$3,'Web Feed'!$F$2:$F$3015,$B324)+SUMIFS('Web Feed'!$O$2:$O$3015,'Web Feed'!$B$2:$B$3015,Points!$A$3,'Web Feed'!$G$2:$G$3015,$B324)+SUMIFS('Web Feed'!$O$2:$O$3015,'Web Feed'!$B$2:$B$3015,Points!$A$3,'Web Feed'!$H$2:$H$3015,$B324)+SUMIFS('Web Feed'!$O$2:$O$3015,'Web Feed'!$B$2:$B$3015,Points!$A$3,'Web Feed'!$I$2:$I$3015,$B324))</f>
        <v/>
      </c>
      <c r="F324">
        <f>IF($B324="","",SUMIFS('Web Feed'!$O$2:$O$3015,'Web Feed'!$B$2:$B$3015,Points!$A$4,'Web Feed'!$F$2:$F$3015,$B324)+SUMIFS('Web Feed'!$O$2:$O$3015,'Web Feed'!$B$2:$B$3015,Points!$A$4,'Web Feed'!$G$2:$G$3015,$B324)+SUMIFS('Web Feed'!$O$2:$O$3015,'Web Feed'!$B$2:$B$3015,Points!$A$4,'Web Feed'!$H$2:$H$3015,$B324)+SUMIFS('Web Feed'!$O$2:$O$3015,'Web Feed'!$B$2:$B$3015,Points!$A$4,'Web Feed'!$I$2:$I$3015,$B324))</f>
        <v/>
      </c>
      <c r="G324">
        <f>IF($B324="","",SUMIFS('Web Feed'!$O$2:$O$3015,'Web Feed'!$B$2:$B$3015,Points!$A$5,'Web Feed'!$F$2:$F$3015,$B324)+SUMIFS('Web Feed'!$O$2:$O$3015,'Web Feed'!$B$2:$B$3015,Points!$A$5,'Web Feed'!$G$2:$G$3015,$B324)+SUMIFS('Web Feed'!$O$2:$O$3015,'Web Feed'!$B$2:$B$3015,Points!$A$5,'Web Feed'!$H$2:$H$3015,$B324)+SUMIFS('Web Feed'!$O$2:$O$3015,'Web Feed'!$B$2:$B$3015,Points!$A$5,'Web Feed'!$I$2:$I$3015,$B324))</f>
        <v/>
      </c>
      <c r="H324">
        <f>IF($B324="","",SUMIFS('Web Feed'!$O$2:$O$3015,'Web Feed'!$B$2:$B$3015,Points!$A$6,'Web Feed'!$F$2:$F$3015,$B324)+SUMIFS('Web Feed'!$O$2:$O$3015,'Web Feed'!$B$2:$B$3015,Points!$A$6,'Web Feed'!$G$2:$G$3015,$B324)+SUMIFS('Web Feed'!$O$2:$O$3015,'Web Feed'!$B$2:$B$3015,Points!$A$6,'Web Feed'!$H$2:$H$3015,$B324)+SUMIFS('Web Feed'!$O$2:$O$3015,'Web Feed'!$B$2:$B$3015,Points!$A$6,'Web Feed'!$I$2:$I$3015,$B324))</f>
        <v/>
      </c>
      <c r="I324">
        <f>IF($B324="","",COUNTIFS('Web Feed'!$B$2:$B$3015,"OHW",'Web Feed'!$F$2:$F$3015,$B324))</f>
        <v/>
      </c>
      <c r="J324">
        <f>IF($B324="","",IFERROR(INDEX('Last Week'!$A$2:$A$301,MATCH($B324,'Last Week'!$B$2:$B$301,0)),""))</f>
        <v/>
      </c>
      <c r="K324">
        <f>IF(OR($B324="",$J324=""),"",$J324-$A324)</f>
        <v/>
      </c>
    </row>
    <row r="325">
      <c r="A325">
        <f>IF($B325="","",RANK($C325,$C$2:$C$500))</f>
        <v/>
      </c>
      <c r="B325">
        <f>IF(Players!$A325="","",Players!$A325)</f>
        <v/>
      </c>
      <c r="C325" s="5">
        <f>IF($B325="","",SUM(D325:H325))</f>
        <v/>
      </c>
      <c r="D325">
        <f>IF($B325="","",SUMIFS('Web Feed'!$O$2:$O$3015,'Web Feed'!$B$2:$B$3015,Points!$A$2,'Web Feed'!$F$2:$F$3015,$B325)+SUMIFS('Web Feed'!$O$2:$O$3015,'Web Feed'!$B$2:$B$3015,Points!$A$2,'Web Feed'!$G$2:$G$3015,$B325)+SUMIFS('Web Feed'!$O$2:$O$3015,'Web Feed'!$B$2:$B$3015,Points!$A$2,'Web Feed'!$H$2:$H$3015,$B325)+SUMIFS('Web Feed'!$O$2:$O$3015,'Web Feed'!$B$2:$B$3015,Points!$A$2,'Web Feed'!$I$2:$I$3015,$B325))</f>
        <v/>
      </c>
      <c r="E325">
        <f>IF($B325="","",SUMIFS('Web Feed'!$O$2:$O$3015,'Web Feed'!$B$2:$B$3015,Points!$A$3,'Web Feed'!$F$2:$F$3015,$B325)+SUMIFS('Web Feed'!$O$2:$O$3015,'Web Feed'!$B$2:$B$3015,Points!$A$3,'Web Feed'!$G$2:$G$3015,$B325)+SUMIFS('Web Feed'!$O$2:$O$3015,'Web Feed'!$B$2:$B$3015,Points!$A$3,'Web Feed'!$H$2:$H$3015,$B325)+SUMIFS('Web Feed'!$O$2:$O$3015,'Web Feed'!$B$2:$B$3015,Points!$A$3,'Web Feed'!$I$2:$I$3015,$B325))</f>
        <v/>
      </c>
      <c r="F325">
        <f>IF($B325="","",SUMIFS('Web Feed'!$O$2:$O$3015,'Web Feed'!$B$2:$B$3015,Points!$A$4,'Web Feed'!$F$2:$F$3015,$B325)+SUMIFS('Web Feed'!$O$2:$O$3015,'Web Feed'!$B$2:$B$3015,Points!$A$4,'Web Feed'!$G$2:$G$3015,$B325)+SUMIFS('Web Feed'!$O$2:$O$3015,'Web Feed'!$B$2:$B$3015,Points!$A$4,'Web Feed'!$H$2:$H$3015,$B325)+SUMIFS('Web Feed'!$O$2:$O$3015,'Web Feed'!$B$2:$B$3015,Points!$A$4,'Web Feed'!$I$2:$I$3015,$B325))</f>
        <v/>
      </c>
      <c r="G325">
        <f>IF($B325="","",SUMIFS('Web Feed'!$O$2:$O$3015,'Web Feed'!$B$2:$B$3015,Points!$A$5,'Web Feed'!$F$2:$F$3015,$B325)+SUMIFS('Web Feed'!$O$2:$O$3015,'Web Feed'!$B$2:$B$3015,Points!$A$5,'Web Feed'!$G$2:$G$3015,$B325)+SUMIFS('Web Feed'!$O$2:$O$3015,'Web Feed'!$B$2:$B$3015,Points!$A$5,'Web Feed'!$H$2:$H$3015,$B325)+SUMIFS('Web Feed'!$O$2:$O$3015,'Web Feed'!$B$2:$B$3015,Points!$A$5,'Web Feed'!$I$2:$I$3015,$B325))</f>
        <v/>
      </c>
      <c r="H325">
        <f>IF($B325="","",SUMIFS('Web Feed'!$O$2:$O$3015,'Web Feed'!$B$2:$B$3015,Points!$A$6,'Web Feed'!$F$2:$F$3015,$B325)+SUMIFS('Web Feed'!$O$2:$O$3015,'Web Feed'!$B$2:$B$3015,Points!$A$6,'Web Feed'!$G$2:$G$3015,$B325)+SUMIFS('Web Feed'!$O$2:$O$3015,'Web Feed'!$B$2:$B$3015,Points!$A$6,'Web Feed'!$H$2:$H$3015,$B325)+SUMIFS('Web Feed'!$O$2:$O$3015,'Web Feed'!$B$2:$B$3015,Points!$A$6,'Web Feed'!$I$2:$I$3015,$B325))</f>
        <v/>
      </c>
      <c r="I325">
        <f>IF($B325="","",COUNTIFS('Web Feed'!$B$2:$B$3015,"OHW",'Web Feed'!$F$2:$F$3015,$B325))</f>
        <v/>
      </c>
      <c r="J325">
        <f>IF($B325="","",IFERROR(INDEX('Last Week'!$A$2:$A$301,MATCH($B325,'Last Week'!$B$2:$B$301,0)),""))</f>
        <v/>
      </c>
      <c r="K325">
        <f>IF(OR($B325="",$J325=""),"",$J325-$A325)</f>
        <v/>
      </c>
    </row>
    <row r="326">
      <c r="A326">
        <f>IF($B326="","",RANK($C326,$C$2:$C$500))</f>
        <v/>
      </c>
      <c r="B326">
        <f>IF(Players!$A326="","",Players!$A326)</f>
        <v/>
      </c>
      <c r="C326" s="5">
        <f>IF($B326="","",SUM(D326:H326))</f>
        <v/>
      </c>
      <c r="D326">
        <f>IF($B326="","",SUMIFS('Web Feed'!$O$2:$O$3015,'Web Feed'!$B$2:$B$3015,Points!$A$2,'Web Feed'!$F$2:$F$3015,$B326)+SUMIFS('Web Feed'!$O$2:$O$3015,'Web Feed'!$B$2:$B$3015,Points!$A$2,'Web Feed'!$G$2:$G$3015,$B326)+SUMIFS('Web Feed'!$O$2:$O$3015,'Web Feed'!$B$2:$B$3015,Points!$A$2,'Web Feed'!$H$2:$H$3015,$B326)+SUMIFS('Web Feed'!$O$2:$O$3015,'Web Feed'!$B$2:$B$3015,Points!$A$2,'Web Feed'!$I$2:$I$3015,$B326))</f>
        <v/>
      </c>
      <c r="E326">
        <f>IF($B326="","",SUMIFS('Web Feed'!$O$2:$O$3015,'Web Feed'!$B$2:$B$3015,Points!$A$3,'Web Feed'!$F$2:$F$3015,$B326)+SUMIFS('Web Feed'!$O$2:$O$3015,'Web Feed'!$B$2:$B$3015,Points!$A$3,'Web Feed'!$G$2:$G$3015,$B326)+SUMIFS('Web Feed'!$O$2:$O$3015,'Web Feed'!$B$2:$B$3015,Points!$A$3,'Web Feed'!$H$2:$H$3015,$B326)+SUMIFS('Web Feed'!$O$2:$O$3015,'Web Feed'!$B$2:$B$3015,Points!$A$3,'Web Feed'!$I$2:$I$3015,$B326))</f>
        <v/>
      </c>
      <c r="F326">
        <f>IF($B326="","",SUMIFS('Web Feed'!$O$2:$O$3015,'Web Feed'!$B$2:$B$3015,Points!$A$4,'Web Feed'!$F$2:$F$3015,$B326)+SUMIFS('Web Feed'!$O$2:$O$3015,'Web Feed'!$B$2:$B$3015,Points!$A$4,'Web Feed'!$G$2:$G$3015,$B326)+SUMIFS('Web Feed'!$O$2:$O$3015,'Web Feed'!$B$2:$B$3015,Points!$A$4,'Web Feed'!$H$2:$H$3015,$B326)+SUMIFS('Web Feed'!$O$2:$O$3015,'Web Feed'!$B$2:$B$3015,Points!$A$4,'Web Feed'!$I$2:$I$3015,$B326))</f>
        <v/>
      </c>
      <c r="G326">
        <f>IF($B326="","",SUMIFS('Web Feed'!$O$2:$O$3015,'Web Feed'!$B$2:$B$3015,Points!$A$5,'Web Feed'!$F$2:$F$3015,$B326)+SUMIFS('Web Feed'!$O$2:$O$3015,'Web Feed'!$B$2:$B$3015,Points!$A$5,'Web Feed'!$G$2:$G$3015,$B326)+SUMIFS('Web Feed'!$O$2:$O$3015,'Web Feed'!$B$2:$B$3015,Points!$A$5,'Web Feed'!$H$2:$H$3015,$B326)+SUMIFS('Web Feed'!$O$2:$O$3015,'Web Feed'!$B$2:$B$3015,Points!$A$5,'Web Feed'!$I$2:$I$3015,$B326))</f>
        <v/>
      </c>
      <c r="H326">
        <f>IF($B326="","",SUMIFS('Web Feed'!$O$2:$O$3015,'Web Feed'!$B$2:$B$3015,Points!$A$6,'Web Feed'!$F$2:$F$3015,$B326)+SUMIFS('Web Feed'!$O$2:$O$3015,'Web Feed'!$B$2:$B$3015,Points!$A$6,'Web Feed'!$G$2:$G$3015,$B326)+SUMIFS('Web Feed'!$O$2:$O$3015,'Web Feed'!$B$2:$B$3015,Points!$A$6,'Web Feed'!$H$2:$H$3015,$B326)+SUMIFS('Web Feed'!$O$2:$O$3015,'Web Feed'!$B$2:$B$3015,Points!$A$6,'Web Feed'!$I$2:$I$3015,$B326))</f>
        <v/>
      </c>
      <c r="I326">
        <f>IF($B326="","",COUNTIFS('Web Feed'!$B$2:$B$3015,"OHW",'Web Feed'!$F$2:$F$3015,$B326))</f>
        <v/>
      </c>
      <c r="J326">
        <f>IF($B326="","",IFERROR(INDEX('Last Week'!$A$2:$A$301,MATCH($B326,'Last Week'!$B$2:$B$301,0)),""))</f>
        <v/>
      </c>
      <c r="K326">
        <f>IF(OR($B326="",$J326=""),"",$J326-$A326)</f>
        <v/>
      </c>
    </row>
    <row r="327">
      <c r="A327">
        <f>IF($B327="","",RANK($C327,$C$2:$C$500))</f>
        <v/>
      </c>
      <c r="B327">
        <f>IF(Players!$A327="","",Players!$A327)</f>
        <v/>
      </c>
      <c r="C327" s="5">
        <f>IF($B327="","",SUM(D327:H327))</f>
        <v/>
      </c>
      <c r="D327">
        <f>IF($B327="","",SUMIFS('Web Feed'!$O$2:$O$3015,'Web Feed'!$B$2:$B$3015,Points!$A$2,'Web Feed'!$F$2:$F$3015,$B327)+SUMIFS('Web Feed'!$O$2:$O$3015,'Web Feed'!$B$2:$B$3015,Points!$A$2,'Web Feed'!$G$2:$G$3015,$B327)+SUMIFS('Web Feed'!$O$2:$O$3015,'Web Feed'!$B$2:$B$3015,Points!$A$2,'Web Feed'!$H$2:$H$3015,$B327)+SUMIFS('Web Feed'!$O$2:$O$3015,'Web Feed'!$B$2:$B$3015,Points!$A$2,'Web Feed'!$I$2:$I$3015,$B327))</f>
        <v/>
      </c>
      <c r="E327">
        <f>IF($B327="","",SUMIFS('Web Feed'!$O$2:$O$3015,'Web Feed'!$B$2:$B$3015,Points!$A$3,'Web Feed'!$F$2:$F$3015,$B327)+SUMIFS('Web Feed'!$O$2:$O$3015,'Web Feed'!$B$2:$B$3015,Points!$A$3,'Web Feed'!$G$2:$G$3015,$B327)+SUMIFS('Web Feed'!$O$2:$O$3015,'Web Feed'!$B$2:$B$3015,Points!$A$3,'Web Feed'!$H$2:$H$3015,$B327)+SUMIFS('Web Feed'!$O$2:$O$3015,'Web Feed'!$B$2:$B$3015,Points!$A$3,'Web Feed'!$I$2:$I$3015,$B327))</f>
        <v/>
      </c>
      <c r="F327">
        <f>IF($B327="","",SUMIFS('Web Feed'!$O$2:$O$3015,'Web Feed'!$B$2:$B$3015,Points!$A$4,'Web Feed'!$F$2:$F$3015,$B327)+SUMIFS('Web Feed'!$O$2:$O$3015,'Web Feed'!$B$2:$B$3015,Points!$A$4,'Web Feed'!$G$2:$G$3015,$B327)+SUMIFS('Web Feed'!$O$2:$O$3015,'Web Feed'!$B$2:$B$3015,Points!$A$4,'Web Feed'!$H$2:$H$3015,$B327)+SUMIFS('Web Feed'!$O$2:$O$3015,'Web Feed'!$B$2:$B$3015,Points!$A$4,'Web Feed'!$I$2:$I$3015,$B327))</f>
        <v/>
      </c>
      <c r="G327">
        <f>IF($B327="","",SUMIFS('Web Feed'!$O$2:$O$3015,'Web Feed'!$B$2:$B$3015,Points!$A$5,'Web Feed'!$F$2:$F$3015,$B327)+SUMIFS('Web Feed'!$O$2:$O$3015,'Web Feed'!$B$2:$B$3015,Points!$A$5,'Web Feed'!$G$2:$G$3015,$B327)+SUMIFS('Web Feed'!$O$2:$O$3015,'Web Feed'!$B$2:$B$3015,Points!$A$5,'Web Feed'!$H$2:$H$3015,$B327)+SUMIFS('Web Feed'!$O$2:$O$3015,'Web Feed'!$B$2:$B$3015,Points!$A$5,'Web Feed'!$I$2:$I$3015,$B327))</f>
        <v/>
      </c>
      <c r="H327">
        <f>IF($B327="","",SUMIFS('Web Feed'!$O$2:$O$3015,'Web Feed'!$B$2:$B$3015,Points!$A$6,'Web Feed'!$F$2:$F$3015,$B327)+SUMIFS('Web Feed'!$O$2:$O$3015,'Web Feed'!$B$2:$B$3015,Points!$A$6,'Web Feed'!$G$2:$G$3015,$B327)+SUMIFS('Web Feed'!$O$2:$O$3015,'Web Feed'!$B$2:$B$3015,Points!$A$6,'Web Feed'!$H$2:$H$3015,$B327)+SUMIFS('Web Feed'!$O$2:$O$3015,'Web Feed'!$B$2:$B$3015,Points!$A$6,'Web Feed'!$I$2:$I$3015,$B327))</f>
        <v/>
      </c>
      <c r="I327">
        <f>IF($B327="","",COUNTIFS('Web Feed'!$B$2:$B$3015,"OHW",'Web Feed'!$F$2:$F$3015,$B327))</f>
        <v/>
      </c>
      <c r="J327">
        <f>IF($B327="","",IFERROR(INDEX('Last Week'!$A$2:$A$301,MATCH($B327,'Last Week'!$B$2:$B$301,0)),""))</f>
        <v/>
      </c>
      <c r="K327">
        <f>IF(OR($B327="",$J327=""),"",$J327-$A327)</f>
        <v/>
      </c>
    </row>
    <row r="328">
      <c r="A328">
        <f>IF($B328="","",RANK($C328,$C$2:$C$500))</f>
        <v/>
      </c>
      <c r="B328">
        <f>IF(Players!$A328="","",Players!$A328)</f>
        <v/>
      </c>
      <c r="C328" s="5">
        <f>IF($B328="","",SUM(D328:H328))</f>
        <v/>
      </c>
      <c r="D328">
        <f>IF($B328="","",SUMIFS('Web Feed'!$O$2:$O$3015,'Web Feed'!$B$2:$B$3015,Points!$A$2,'Web Feed'!$F$2:$F$3015,$B328)+SUMIFS('Web Feed'!$O$2:$O$3015,'Web Feed'!$B$2:$B$3015,Points!$A$2,'Web Feed'!$G$2:$G$3015,$B328)+SUMIFS('Web Feed'!$O$2:$O$3015,'Web Feed'!$B$2:$B$3015,Points!$A$2,'Web Feed'!$H$2:$H$3015,$B328)+SUMIFS('Web Feed'!$O$2:$O$3015,'Web Feed'!$B$2:$B$3015,Points!$A$2,'Web Feed'!$I$2:$I$3015,$B328))</f>
        <v/>
      </c>
      <c r="E328">
        <f>IF($B328="","",SUMIFS('Web Feed'!$O$2:$O$3015,'Web Feed'!$B$2:$B$3015,Points!$A$3,'Web Feed'!$F$2:$F$3015,$B328)+SUMIFS('Web Feed'!$O$2:$O$3015,'Web Feed'!$B$2:$B$3015,Points!$A$3,'Web Feed'!$G$2:$G$3015,$B328)+SUMIFS('Web Feed'!$O$2:$O$3015,'Web Feed'!$B$2:$B$3015,Points!$A$3,'Web Feed'!$H$2:$H$3015,$B328)+SUMIFS('Web Feed'!$O$2:$O$3015,'Web Feed'!$B$2:$B$3015,Points!$A$3,'Web Feed'!$I$2:$I$3015,$B328))</f>
        <v/>
      </c>
      <c r="F328">
        <f>IF($B328="","",SUMIFS('Web Feed'!$O$2:$O$3015,'Web Feed'!$B$2:$B$3015,Points!$A$4,'Web Feed'!$F$2:$F$3015,$B328)+SUMIFS('Web Feed'!$O$2:$O$3015,'Web Feed'!$B$2:$B$3015,Points!$A$4,'Web Feed'!$G$2:$G$3015,$B328)+SUMIFS('Web Feed'!$O$2:$O$3015,'Web Feed'!$B$2:$B$3015,Points!$A$4,'Web Feed'!$H$2:$H$3015,$B328)+SUMIFS('Web Feed'!$O$2:$O$3015,'Web Feed'!$B$2:$B$3015,Points!$A$4,'Web Feed'!$I$2:$I$3015,$B328))</f>
        <v/>
      </c>
      <c r="G328">
        <f>IF($B328="","",SUMIFS('Web Feed'!$O$2:$O$3015,'Web Feed'!$B$2:$B$3015,Points!$A$5,'Web Feed'!$F$2:$F$3015,$B328)+SUMIFS('Web Feed'!$O$2:$O$3015,'Web Feed'!$B$2:$B$3015,Points!$A$5,'Web Feed'!$G$2:$G$3015,$B328)+SUMIFS('Web Feed'!$O$2:$O$3015,'Web Feed'!$B$2:$B$3015,Points!$A$5,'Web Feed'!$H$2:$H$3015,$B328)+SUMIFS('Web Feed'!$O$2:$O$3015,'Web Feed'!$B$2:$B$3015,Points!$A$5,'Web Feed'!$I$2:$I$3015,$B328))</f>
        <v/>
      </c>
      <c r="H328">
        <f>IF($B328="","",SUMIFS('Web Feed'!$O$2:$O$3015,'Web Feed'!$B$2:$B$3015,Points!$A$6,'Web Feed'!$F$2:$F$3015,$B328)+SUMIFS('Web Feed'!$O$2:$O$3015,'Web Feed'!$B$2:$B$3015,Points!$A$6,'Web Feed'!$G$2:$G$3015,$B328)+SUMIFS('Web Feed'!$O$2:$O$3015,'Web Feed'!$B$2:$B$3015,Points!$A$6,'Web Feed'!$H$2:$H$3015,$B328)+SUMIFS('Web Feed'!$O$2:$O$3015,'Web Feed'!$B$2:$B$3015,Points!$A$6,'Web Feed'!$I$2:$I$3015,$B328))</f>
        <v/>
      </c>
      <c r="I328">
        <f>IF($B328="","",COUNTIFS('Web Feed'!$B$2:$B$3015,"OHW",'Web Feed'!$F$2:$F$3015,$B328))</f>
        <v/>
      </c>
      <c r="J328">
        <f>IF($B328="","",IFERROR(INDEX('Last Week'!$A$2:$A$301,MATCH($B328,'Last Week'!$B$2:$B$301,0)),""))</f>
        <v/>
      </c>
      <c r="K328">
        <f>IF(OR($B328="",$J328=""),"",$J328-$A328)</f>
        <v/>
      </c>
    </row>
    <row r="329">
      <c r="A329">
        <f>IF($B329="","",RANK($C329,$C$2:$C$500))</f>
        <v/>
      </c>
      <c r="B329">
        <f>IF(Players!$A329="","",Players!$A329)</f>
        <v/>
      </c>
      <c r="C329" s="5">
        <f>IF($B329="","",SUM(D329:H329))</f>
        <v/>
      </c>
      <c r="D329">
        <f>IF($B329="","",SUMIFS('Web Feed'!$O$2:$O$3015,'Web Feed'!$B$2:$B$3015,Points!$A$2,'Web Feed'!$F$2:$F$3015,$B329)+SUMIFS('Web Feed'!$O$2:$O$3015,'Web Feed'!$B$2:$B$3015,Points!$A$2,'Web Feed'!$G$2:$G$3015,$B329)+SUMIFS('Web Feed'!$O$2:$O$3015,'Web Feed'!$B$2:$B$3015,Points!$A$2,'Web Feed'!$H$2:$H$3015,$B329)+SUMIFS('Web Feed'!$O$2:$O$3015,'Web Feed'!$B$2:$B$3015,Points!$A$2,'Web Feed'!$I$2:$I$3015,$B329))</f>
        <v/>
      </c>
      <c r="E329">
        <f>IF($B329="","",SUMIFS('Web Feed'!$O$2:$O$3015,'Web Feed'!$B$2:$B$3015,Points!$A$3,'Web Feed'!$F$2:$F$3015,$B329)+SUMIFS('Web Feed'!$O$2:$O$3015,'Web Feed'!$B$2:$B$3015,Points!$A$3,'Web Feed'!$G$2:$G$3015,$B329)+SUMIFS('Web Feed'!$O$2:$O$3015,'Web Feed'!$B$2:$B$3015,Points!$A$3,'Web Feed'!$H$2:$H$3015,$B329)+SUMIFS('Web Feed'!$O$2:$O$3015,'Web Feed'!$B$2:$B$3015,Points!$A$3,'Web Feed'!$I$2:$I$3015,$B329))</f>
        <v/>
      </c>
      <c r="F329">
        <f>IF($B329="","",SUMIFS('Web Feed'!$O$2:$O$3015,'Web Feed'!$B$2:$B$3015,Points!$A$4,'Web Feed'!$F$2:$F$3015,$B329)+SUMIFS('Web Feed'!$O$2:$O$3015,'Web Feed'!$B$2:$B$3015,Points!$A$4,'Web Feed'!$G$2:$G$3015,$B329)+SUMIFS('Web Feed'!$O$2:$O$3015,'Web Feed'!$B$2:$B$3015,Points!$A$4,'Web Feed'!$H$2:$H$3015,$B329)+SUMIFS('Web Feed'!$O$2:$O$3015,'Web Feed'!$B$2:$B$3015,Points!$A$4,'Web Feed'!$I$2:$I$3015,$B329))</f>
        <v/>
      </c>
      <c r="G329">
        <f>IF($B329="","",SUMIFS('Web Feed'!$O$2:$O$3015,'Web Feed'!$B$2:$B$3015,Points!$A$5,'Web Feed'!$F$2:$F$3015,$B329)+SUMIFS('Web Feed'!$O$2:$O$3015,'Web Feed'!$B$2:$B$3015,Points!$A$5,'Web Feed'!$G$2:$G$3015,$B329)+SUMIFS('Web Feed'!$O$2:$O$3015,'Web Feed'!$B$2:$B$3015,Points!$A$5,'Web Feed'!$H$2:$H$3015,$B329)+SUMIFS('Web Feed'!$O$2:$O$3015,'Web Feed'!$B$2:$B$3015,Points!$A$5,'Web Feed'!$I$2:$I$3015,$B329))</f>
        <v/>
      </c>
      <c r="H329">
        <f>IF($B329="","",SUMIFS('Web Feed'!$O$2:$O$3015,'Web Feed'!$B$2:$B$3015,Points!$A$6,'Web Feed'!$F$2:$F$3015,$B329)+SUMIFS('Web Feed'!$O$2:$O$3015,'Web Feed'!$B$2:$B$3015,Points!$A$6,'Web Feed'!$G$2:$G$3015,$B329)+SUMIFS('Web Feed'!$O$2:$O$3015,'Web Feed'!$B$2:$B$3015,Points!$A$6,'Web Feed'!$H$2:$H$3015,$B329)+SUMIFS('Web Feed'!$O$2:$O$3015,'Web Feed'!$B$2:$B$3015,Points!$A$6,'Web Feed'!$I$2:$I$3015,$B329))</f>
        <v/>
      </c>
      <c r="I329">
        <f>IF($B329="","",COUNTIFS('Web Feed'!$B$2:$B$3015,"OHW",'Web Feed'!$F$2:$F$3015,$B329))</f>
        <v/>
      </c>
      <c r="J329">
        <f>IF($B329="","",IFERROR(INDEX('Last Week'!$A$2:$A$301,MATCH($B329,'Last Week'!$B$2:$B$301,0)),""))</f>
        <v/>
      </c>
      <c r="K329">
        <f>IF(OR($B329="",$J329=""),"",$J329-$A329)</f>
        <v/>
      </c>
    </row>
    <row r="330">
      <c r="A330">
        <f>IF($B330="","",RANK($C330,$C$2:$C$500))</f>
        <v/>
      </c>
      <c r="B330">
        <f>IF(Players!$A330="","",Players!$A330)</f>
        <v/>
      </c>
      <c r="C330" s="5">
        <f>IF($B330="","",SUM(D330:H330))</f>
        <v/>
      </c>
      <c r="D330">
        <f>IF($B330="","",SUMIFS('Web Feed'!$O$2:$O$3015,'Web Feed'!$B$2:$B$3015,Points!$A$2,'Web Feed'!$F$2:$F$3015,$B330)+SUMIFS('Web Feed'!$O$2:$O$3015,'Web Feed'!$B$2:$B$3015,Points!$A$2,'Web Feed'!$G$2:$G$3015,$B330)+SUMIFS('Web Feed'!$O$2:$O$3015,'Web Feed'!$B$2:$B$3015,Points!$A$2,'Web Feed'!$H$2:$H$3015,$B330)+SUMIFS('Web Feed'!$O$2:$O$3015,'Web Feed'!$B$2:$B$3015,Points!$A$2,'Web Feed'!$I$2:$I$3015,$B330))</f>
        <v/>
      </c>
      <c r="E330">
        <f>IF($B330="","",SUMIFS('Web Feed'!$O$2:$O$3015,'Web Feed'!$B$2:$B$3015,Points!$A$3,'Web Feed'!$F$2:$F$3015,$B330)+SUMIFS('Web Feed'!$O$2:$O$3015,'Web Feed'!$B$2:$B$3015,Points!$A$3,'Web Feed'!$G$2:$G$3015,$B330)+SUMIFS('Web Feed'!$O$2:$O$3015,'Web Feed'!$B$2:$B$3015,Points!$A$3,'Web Feed'!$H$2:$H$3015,$B330)+SUMIFS('Web Feed'!$O$2:$O$3015,'Web Feed'!$B$2:$B$3015,Points!$A$3,'Web Feed'!$I$2:$I$3015,$B330))</f>
        <v/>
      </c>
      <c r="F330">
        <f>IF($B330="","",SUMIFS('Web Feed'!$O$2:$O$3015,'Web Feed'!$B$2:$B$3015,Points!$A$4,'Web Feed'!$F$2:$F$3015,$B330)+SUMIFS('Web Feed'!$O$2:$O$3015,'Web Feed'!$B$2:$B$3015,Points!$A$4,'Web Feed'!$G$2:$G$3015,$B330)+SUMIFS('Web Feed'!$O$2:$O$3015,'Web Feed'!$B$2:$B$3015,Points!$A$4,'Web Feed'!$H$2:$H$3015,$B330)+SUMIFS('Web Feed'!$O$2:$O$3015,'Web Feed'!$B$2:$B$3015,Points!$A$4,'Web Feed'!$I$2:$I$3015,$B330))</f>
        <v/>
      </c>
      <c r="G330">
        <f>IF($B330="","",SUMIFS('Web Feed'!$O$2:$O$3015,'Web Feed'!$B$2:$B$3015,Points!$A$5,'Web Feed'!$F$2:$F$3015,$B330)+SUMIFS('Web Feed'!$O$2:$O$3015,'Web Feed'!$B$2:$B$3015,Points!$A$5,'Web Feed'!$G$2:$G$3015,$B330)+SUMIFS('Web Feed'!$O$2:$O$3015,'Web Feed'!$B$2:$B$3015,Points!$A$5,'Web Feed'!$H$2:$H$3015,$B330)+SUMIFS('Web Feed'!$O$2:$O$3015,'Web Feed'!$B$2:$B$3015,Points!$A$5,'Web Feed'!$I$2:$I$3015,$B330))</f>
        <v/>
      </c>
      <c r="H330">
        <f>IF($B330="","",SUMIFS('Web Feed'!$O$2:$O$3015,'Web Feed'!$B$2:$B$3015,Points!$A$6,'Web Feed'!$F$2:$F$3015,$B330)+SUMIFS('Web Feed'!$O$2:$O$3015,'Web Feed'!$B$2:$B$3015,Points!$A$6,'Web Feed'!$G$2:$G$3015,$B330)+SUMIFS('Web Feed'!$O$2:$O$3015,'Web Feed'!$B$2:$B$3015,Points!$A$6,'Web Feed'!$H$2:$H$3015,$B330)+SUMIFS('Web Feed'!$O$2:$O$3015,'Web Feed'!$B$2:$B$3015,Points!$A$6,'Web Feed'!$I$2:$I$3015,$B330))</f>
        <v/>
      </c>
      <c r="I330">
        <f>IF($B330="","",COUNTIFS('Web Feed'!$B$2:$B$3015,"OHW",'Web Feed'!$F$2:$F$3015,$B330))</f>
        <v/>
      </c>
      <c r="J330">
        <f>IF($B330="","",IFERROR(INDEX('Last Week'!$A$2:$A$301,MATCH($B330,'Last Week'!$B$2:$B$301,0)),""))</f>
        <v/>
      </c>
      <c r="K330">
        <f>IF(OR($B330="",$J330=""),"",$J330-$A330)</f>
        <v/>
      </c>
    </row>
    <row r="331">
      <c r="A331">
        <f>IF($B331="","",RANK($C331,$C$2:$C$500))</f>
        <v/>
      </c>
      <c r="B331">
        <f>IF(Players!$A331="","",Players!$A331)</f>
        <v/>
      </c>
      <c r="C331" s="5">
        <f>IF($B331="","",SUM(D331:H331))</f>
        <v/>
      </c>
      <c r="D331">
        <f>IF($B331="","",SUMIFS('Web Feed'!$O$2:$O$3015,'Web Feed'!$B$2:$B$3015,Points!$A$2,'Web Feed'!$F$2:$F$3015,$B331)+SUMIFS('Web Feed'!$O$2:$O$3015,'Web Feed'!$B$2:$B$3015,Points!$A$2,'Web Feed'!$G$2:$G$3015,$B331)+SUMIFS('Web Feed'!$O$2:$O$3015,'Web Feed'!$B$2:$B$3015,Points!$A$2,'Web Feed'!$H$2:$H$3015,$B331)+SUMIFS('Web Feed'!$O$2:$O$3015,'Web Feed'!$B$2:$B$3015,Points!$A$2,'Web Feed'!$I$2:$I$3015,$B331))</f>
        <v/>
      </c>
      <c r="E331">
        <f>IF($B331="","",SUMIFS('Web Feed'!$O$2:$O$3015,'Web Feed'!$B$2:$B$3015,Points!$A$3,'Web Feed'!$F$2:$F$3015,$B331)+SUMIFS('Web Feed'!$O$2:$O$3015,'Web Feed'!$B$2:$B$3015,Points!$A$3,'Web Feed'!$G$2:$G$3015,$B331)+SUMIFS('Web Feed'!$O$2:$O$3015,'Web Feed'!$B$2:$B$3015,Points!$A$3,'Web Feed'!$H$2:$H$3015,$B331)+SUMIFS('Web Feed'!$O$2:$O$3015,'Web Feed'!$B$2:$B$3015,Points!$A$3,'Web Feed'!$I$2:$I$3015,$B331))</f>
        <v/>
      </c>
      <c r="F331">
        <f>IF($B331="","",SUMIFS('Web Feed'!$O$2:$O$3015,'Web Feed'!$B$2:$B$3015,Points!$A$4,'Web Feed'!$F$2:$F$3015,$B331)+SUMIFS('Web Feed'!$O$2:$O$3015,'Web Feed'!$B$2:$B$3015,Points!$A$4,'Web Feed'!$G$2:$G$3015,$B331)+SUMIFS('Web Feed'!$O$2:$O$3015,'Web Feed'!$B$2:$B$3015,Points!$A$4,'Web Feed'!$H$2:$H$3015,$B331)+SUMIFS('Web Feed'!$O$2:$O$3015,'Web Feed'!$B$2:$B$3015,Points!$A$4,'Web Feed'!$I$2:$I$3015,$B331))</f>
        <v/>
      </c>
      <c r="G331">
        <f>IF($B331="","",SUMIFS('Web Feed'!$O$2:$O$3015,'Web Feed'!$B$2:$B$3015,Points!$A$5,'Web Feed'!$F$2:$F$3015,$B331)+SUMIFS('Web Feed'!$O$2:$O$3015,'Web Feed'!$B$2:$B$3015,Points!$A$5,'Web Feed'!$G$2:$G$3015,$B331)+SUMIFS('Web Feed'!$O$2:$O$3015,'Web Feed'!$B$2:$B$3015,Points!$A$5,'Web Feed'!$H$2:$H$3015,$B331)+SUMIFS('Web Feed'!$O$2:$O$3015,'Web Feed'!$B$2:$B$3015,Points!$A$5,'Web Feed'!$I$2:$I$3015,$B331))</f>
        <v/>
      </c>
      <c r="H331">
        <f>IF($B331="","",SUMIFS('Web Feed'!$O$2:$O$3015,'Web Feed'!$B$2:$B$3015,Points!$A$6,'Web Feed'!$F$2:$F$3015,$B331)+SUMIFS('Web Feed'!$O$2:$O$3015,'Web Feed'!$B$2:$B$3015,Points!$A$6,'Web Feed'!$G$2:$G$3015,$B331)+SUMIFS('Web Feed'!$O$2:$O$3015,'Web Feed'!$B$2:$B$3015,Points!$A$6,'Web Feed'!$H$2:$H$3015,$B331)+SUMIFS('Web Feed'!$O$2:$O$3015,'Web Feed'!$B$2:$B$3015,Points!$A$6,'Web Feed'!$I$2:$I$3015,$B331))</f>
        <v/>
      </c>
      <c r="I331">
        <f>IF($B331="","",COUNTIFS('Web Feed'!$B$2:$B$3015,"OHW",'Web Feed'!$F$2:$F$3015,$B331))</f>
        <v/>
      </c>
      <c r="J331">
        <f>IF($B331="","",IFERROR(INDEX('Last Week'!$A$2:$A$301,MATCH($B331,'Last Week'!$B$2:$B$301,0)),""))</f>
        <v/>
      </c>
      <c r="K331">
        <f>IF(OR($B331="",$J331=""),"",$J331-$A331)</f>
        <v/>
      </c>
    </row>
    <row r="332">
      <c r="A332">
        <f>IF($B332="","",RANK($C332,$C$2:$C$500))</f>
        <v/>
      </c>
      <c r="B332">
        <f>IF(Players!$A332="","",Players!$A332)</f>
        <v/>
      </c>
      <c r="C332" s="5">
        <f>IF($B332="","",SUM(D332:H332))</f>
        <v/>
      </c>
      <c r="D332">
        <f>IF($B332="","",SUMIFS('Web Feed'!$O$2:$O$3015,'Web Feed'!$B$2:$B$3015,Points!$A$2,'Web Feed'!$F$2:$F$3015,$B332)+SUMIFS('Web Feed'!$O$2:$O$3015,'Web Feed'!$B$2:$B$3015,Points!$A$2,'Web Feed'!$G$2:$G$3015,$B332)+SUMIFS('Web Feed'!$O$2:$O$3015,'Web Feed'!$B$2:$B$3015,Points!$A$2,'Web Feed'!$H$2:$H$3015,$B332)+SUMIFS('Web Feed'!$O$2:$O$3015,'Web Feed'!$B$2:$B$3015,Points!$A$2,'Web Feed'!$I$2:$I$3015,$B332))</f>
        <v/>
      </c>
      <c r="E332">
        <f>IF($B332="","",SUMIFS('Web Feed'!$O$2:$O$3015,'Web Feed'!$B$2:$B$3015,Points!$A$3,'Web Feed'!$F$2:$F$3015,$B332)+SUMIFS('Web Feed'!$O$2:$O$3015,'Web Feed'!$B$2:$B$3015,Points!$A$3,'Web Feed'!$G$2:$G$3015,$B332)+SUMIFS('Web Feed'!$O$2:$O$3015,'Web Feed'!$B$2:$B$3015,Points!$A$3,'Web Feed'!$H$2:$H$3015,$B332)+SUMIFS('Web Feed'!$O$2:$O$3015,'Web Feed'!$B$2:$B$3015,Points!$A$3,'Web Feed'!$I$2:$I$3015,$B332))</f>
        <v/>
      </c>
      <c r="F332">
        <f>IF($B332="","",SUMIFS('Web Feed'!$O$2:$O$3015,'Web Feed'!$B$2:$B$3015,Points!$A$4,'Web Feed'!$F$2:$F$3015,$B332)+SUMIFS('Web Feed'!$O$2:$O$3015,'Web Feed'!$B$2:$B$3015,Points!$A$4,'Web Feed'!$G$2:$G$3015,$B332)+SUMIFS('Web Feed'!$O$2:$O$3015,'Web Feed'!$B$2:$B$3015,Points!$A$4,'Web Feed'!$H$2:$H$3015,$B332)+SUMIFS('Web Feed'!$O$2:$O$3015,'Web Feed'!$B$2:$B$3015,Points!$A$4,'Web Feed'!$I$2:$I$3015,$B332))</f>
        <v/>
      </c>
      <c r="G332">
        <f>IF($B332="","",SUMIFS('Web Feed'!$O$2:$O$3015,'Web Feed'!$B$2:$B$3015,Points!$A$5,'Web Feed'!$F$2:$F$3015,$B332)+SUMIFS('Web Feed'!$O$2:$O$3015,'Web Feed'!$B$2:$B$3015,Points!$A$5,'Web Feed'!$G$2:$G$3015,$B332)+SUMIFS('Web Feed'!$O$2:$O$3015,'Web Feed'!$B$2:$B$3015,Points!$A$5,'Web Feed'!$H$2:$H$3015,$B332)+SUMIFS('Web Feed'!$O$2:$O$3015,'Web Feed'!$B$2:$B$3015,Points!$A$5,'Web Feed'!$I$2:$I$3015,$B332))</f>
        <v/>
      </c>
      <c r="H332">
        <f>IF($B332="","",SUMIFS('Web Feed'!$O$2:$O$3015,'Web Feed'!$B$2:$B$3015,Points!$A$6,'Web Feed'!$F$2:$F$3015,$B332)+SUMIFS('Web Feed'!$O$2:$O$3015,'Web Feed'!$B$2:$B$3015,Points!$A$6,'Web Feed'!$G$2:$G$3015,$B332)+SUMIFS('Web Feed'!$O$2:$O$3015,'Web Feed'!$B$2:$B$3015,Points!$A$6,'Web Feed'!$H$2:$H$3015,$B332)+SUMIFS('Web Feed'!$O$2:$O$3015,'Web Feed'!$B$2:$B$3015,Points!$A$6,'Web Feed'!$I$2:$I$3015,$B332))</f>
        <v/>
      </c>
      <c r="I332">
        <f>IF($B332="","",COUNTIFS('Web Feed'!$B$2:$B$3015,"OHW",'Web Feed'!$F$2:$F$3015,$B332))</f>
        <v/>
      </c>
      <c r="J332">
        <f>IF($B332="","",IFERROR(INDEX('Last Week'!$A$2:$A$301,MATCH($B332,'Last Week'!$B$2:$B$301,0)),""))</f>
        <v/>
      </c>
      <c r="K332">
        <f>IF(OR($B332="",$J332=""),"",$J332-$A332)</f>
        <v/>
      </c>
    </row>
    <row r="333">
      <c r="A333">
        <f>IF($B333="","",RANK($C333,$C$2:$C$500))</f>
        <v/>
      </c>
      <c r="B333">
        <f>IF(Players!$A333="","",Players!$A333)</f>
        <v/>
      </c>
      <c r="C333" s="5">
        <f>IF($B333="","",SUM(D333:H333))</f>
        <v/>
      </c>
      <c r="D333">
        <f>IF($B333="","",SUMIFS('Web Feed'!$O$2:$O$3015,'Web Feed'!$B$2:$B$3015,Points!$A$2,'Web Feed'!$F$2:$F$3015,$B333)+SUMIFS('Web Feed'!$O$2:$O$3015,'Web Feed'!$B$2:$B$3015,Points!$A$2,'Web Feed'!$G$2:$G$3015,$B333)+SUMIFS('Web Feed'!$O$2:$O$3015,'Web Feed'!$B$2:$B$3015,Points!$A$2,'Web Feed'!$H$2:$H$3015,$B333)+SUMIFS('Web Feed'!$O$2:$O$3015,'Web Feed'!$B$2:$B$3015,Points!$A$2,'Web Feed'!$I$2:$I$3015,$B333))</f>
        <v/>
      </c>
      <c r="E333">
        <f>IF($B333="","",SUMIFS('Web Feed'!$O$2:$O$3015,'Web Feed'!$B$2:$B$3015,Points!$A$3,'Web Feed'!$F$2:$F$3015,$B333)+SUMIFS('Web Feed'!$O$2:$O$3015,'Web Feed'!$B$2:$B$3015,Points!$A$3,'Web Feed'!$G$2:$G$3015,$B333)+SUMIFS('Web Feed'!$O$2:$O$3015,'Web Feed'!$B$2:$B$3015,Points!$A$3,'Web Feed'!$H$2:$H$3015,$B333)+SUMIFS('Web Feed'!$O$2:$O$3015,'Web Feed'!$B$2:$B$3015,Points!$A$3,'Web Feed'!$I$2:$I$3015,$B333))</f>
        <v/>
      </c>
      <c r="F333">
        <f>IF($B333="","",SUMIFS('Web Feed'!$O$2:$O$3015,'Web Feed'!$B$2:$B$3015,Points!$A$4,'Web Feed'!$F$2:$F$3015,$B333)+SUMIFS('Web Feed'!$O$2:$O$3015,'Web Feed'!$B$2:$B$3015,Points!$A$4,'Web Feed'!$G$2:$G$3015,$B333)+SUMIFS('Web Feed'!$O$2:$O$3015,'Web Feed'!$B$2:$B$3015,Points!$A$4,'Web Feed'!$H$2:$H$3015,$B333)+SUMIFS('Web Feed'!$O$2:$O$3015,'Web Feed'!$B$2:$B$3015,Points!$A$4,'Web Feed'!$I$2:$I$3015,$B333))</f>
        <v/>
      </c>
      <c r="G333">
        <f>IF($B333="","",SUMIFS('Web Feed'!$O$2:$O$3015,'Web Feed'!$B$2:$B$3015,Points!$A$5,'Web Feed'!$F$2:$F$3015,$B333)+SUMIFS('Web Feed'!$O$2:$O$3015,'Web Feed'!$B$2:$B$3015,Points!$A$5,'Web Feed'!$G$2:$G$3015,$B333)+SUMIFS('Web Feed'!$O$2:$O$3015,'Web Feed'!$B$2:$B$3015,Points!$A$5,'Web Feed'!$H$2:$H$3015,$B333)+SUMIFS('Web Feed'!$O$2:$O$3015,'Web Feed'!$B$2:$B$3015,Points!$A$5,'Web Feed'!$I$2:$I$3015,$B333))</f>
        <v/>
      </c>
      <c r="H333">
        <f>IF($B333="","",SUMIFS('Web Feed'!$O$2:$O$3015,'Web Feed'!$B$2:$B$3015,Points!$A$6,'Web Feed'!$F$2:$F$3015,$B333)+SUMIFS('Web Feed'!$O$2:$O$3015,'Web Feed'!$B$2:$B$3015,Points!$A$6,'Web Feed'!$G$2:$G$3015,$B333)+SUMIFS('Web Feed'!$O$2:$O$3015,'Web Feed'!$B$2:$B$3015,Points!$A$6,'Web Feed'!$H$2:$H$3015,$B333)+SUMIFS('Web Feed'!$O$2:$O$3015,'Web Feed'!$B$2:$B$3015,Points!$A$6,'Web Feed'!$I$2:$I$3015,$B333))</f>
        <v/>
      </c>
      <c r="I333">
        <f>IF($B333="","",COUNTIFS('Web Feed'!$B$2:$B$3015,"OHW",'Web Feed'!$F$2:$F$3015,$B333))</f>
        <v/>
      </c>
      <c r="J333">
        <f>IF($B333="","",IFERROR(INDEX('Last Week'!$A$2:$A$301,MATCH($B333,'Last Week'!$B$2:$B$301,0)),""))</f>
        <v/>
      </c>
      <c r="K333">
        <f>IF(OR($B333="",$J333=""),"",$J333-$A333)</f>
        <v/>
      </c>
    </row>
    <row r="334">
      <c r="A334">
        <f>IF($B334="","",RANK($C334,$C$2:$C$500))</f>
        <v/>
      </c>
      <c r="B334">
        <f>IF(Players!$A334="","",Players!$A334)</f>
        <v/>
      </c>
      <c r="C334" s="5">
        <f>IF($B334="","",SUM(D334:H334))</f>
        <v/>
      </c>
      <c r="D334">
        <f>IF($B334="","",SUMIFS('Web Feed'!$O$2:$O$3015,'Web Feed'!$B$2:$B$3015,Points!$A$2,'Web Feed'!$F$2:$F$3015,$B334)+SUMIFS('Web Feed'!$O$2:$O$3015,'Web Feed'!$B$2:$B$3015,Points!$A$2,'Web Feed'!$G$2:$G$3015,$B334)+SUMIFS('Web Feed'!$O$2:$O$3015,'Web Feed'!$B$2:$B$3015,Points!$A$2,'Web Feed'!$H$2:$H$3015,$B334)+SUMIFS('Web Feed'!$O$2:$O$3015,'Web Feed'!$B$2:$B$3015,Points!$A$2,'Web Feed'!$I$2:$I$3015,$B334))</f>
        <v/>
      </c>
      <c r="E334">
        <f>IF($B334="","",SUMIFS('Web Feed'!$O$2:$O$3015,'Web Feed'!$B$2:$B$3015,Points!$A$3,'Web Feed'!$F$2:$F$3015,$B334)+SUMIFS('Web Feed'!$O$2:$O$3015,'Web Feed'!$B$2:$B$3015,Points!$A$3,'Web Feed'!$G$2:$G$3015,$B334)+SUMIFS('Web Feed'!$O$2:$O$3015,'Web Feed'!$B$2:$B$3015,Points!$A$3,'Web Feed'!$H$2:$H$3015,$B334)+SUMIFS('Web Feed'!$O$2:$O$3015,'Web Feed'!$B$2:$B$3015,Points!$A$3,'Web Feed'!$I$2:$I$3015,$B334))</f>
        <v/>
      </c>
      <c r="F334">
        <f>IF($B334="","",SUMIFS('Web Feed'!$O$2:$O$3015,'Web Feed'!$B$2:$B$3015,Points!$A$4,'Web Feed'!$F$2:$F$3015,$B334)+SUMIFS('Web Feed'!$O$2:$O$3015,'Web Feed'!$B$2:$B$3015,Points!$A$4,'Web Feed'!$G$2:$G$3015,$B334)+SUMIFS('Web Feed'!$O$2:$O$3015,'Web Feed'!$B$2:$B$3015,Points!$A$4,'Web Feed'!$H$2:$H$3015,$B334)+SUMIFS('Web Feed'!$O$2:$O$3015,'Web Feed'!$B$2:$B$3015,Points!$A$4,'Web Feed'!$I$2:$I$3015,$B334))</f>
        <v/>
      </c>
      <c r="G334">
        <f>IF($B334="","",SUMIFS('Web Feed'!$O$2:$O$3015,'Web Feed'!$B$2:$B$3015,Points!$A$5,'Web Feed'!$F$2:$F$3015,$B334)+SUMIFS('Web Feed'!$O$2:$O$3015,'Web Feed'!$B$2:$B$3015,Points!$A$5,'Web Feed'!$G$2:$G$3015,$B334)+SUMIFS('Web Feed'!$O$2:$O$3015,'Web Feed'!$B$2:$B$3015,Points!$A$5,'Web Feed'!$H$2:$H$3015,$B334)+SUMIFS('Web Feed'!$O$2:$O$3015,'Web Feed'!$B$2:$B$3015,Points!$A$5,'Web Feed'!$I$2:$I$3015,$B334))</f>
        <v/>
      </c>
      <c r="H334">
        <f>IF($B334="","",SUMIFS('Web Feed'!$O$2:$O$3015,'Web Feed'!$B$2:$B$3015,Points!$A$6,'Web Feed'!$F$2:$F$3015,$B334)+SUMIFS('Web Feed'!$O$2:$O$3015,'Web Feed'!$B$2:$B$3015,Points!$A$6,'Web Feed'!$G$2:$G$3015,$B334)+SUMIFS('Web Feed'!$O$2:$O$3015,'Web Feed'!$B$2:$B$3015,Points!$A$6,'Web Feed'!$H$2:$H$3015,$B334)+SUMIFS('Web Feed'!$O$2:$O$3015,'Web Feed'!$B$2:$B$3015,Points!$A$6,'Web Feed'!$I$2:$I$3015,$B334))</f>
        <v/>
      </c>
      <c r="I334">
        <f>IF($B334="","",COUNTIFS('Web Feed'!$B$2:$B$3015,"OHW",'Web Feed'!$F$2:$F$3015,$B334))</f>
        <v/>
      </c>
      <c r="J334">
        <f>IF($B334="","",IFERROR(INDEX('Last Week'!$A$2:$A$301,MATCH($B334,'Last Week'!$B$2:$B$301,0)),""))</f>
        <v/>
      </c>
      <c r="K334">
        <f>IF(OR($B334="",$J334=""),"",$J334-$A334)</f>
        <v/>
      </c>
    </row>
    <row r="335">
      <c r="A335">
        <f>IF($B335="","",RANK($C335,$C$2:$C$500))</f>
        <v/>
      </c>
      <c r="B335">
        <f>IF(Players!$A335="","",Players!$A335)</f>
        <v/>
      </c>
      <c r="C335" s="5">
        <f>IF($B335="","",SUM(D335:H335))</f>
        <v/>
      </c>
      <c r="D335">
        <f>IF($B335="","",SUMIFS('Web Feed'!$O$2:$O$3015,'Web Feed'!$B$2:$B$3015,Points!$A$2,'Web Feed'!$F$2:$F$3015,$B335)+SUMIFS('Web Feed'!$O$2:$O$3015,'Web Feed'!$B$2:$B$3015,Points!$A$2,'Web Feed'!$G$2:$G$3015,$B335)+SUMIFS('Web Feed'!$O$2:$O$3015,'Web Feed'!$B$2:$B$3015,Points!$A$2,'Web Feed'!$H$2:$H$3015,$B335)+SUMIFS('Web Feed'!$O$2:$O$3015,'Web Feed'!$B$2:$B$3015,Points!$A$2,'Web Feed'!$I$2:$I$3015,$B335))</f>
        <v/>
      </c>
      <c r="E335">
        <f>IF($B335="","",SUMIFS('Web Feed'!$O$2:$O$3015,'Web Feed'!$B$2:$B$3015,Points!$A$3,'Web Feed'!$F$2:$F$3015,$B335)+SUMIFS('Web Feed'!$O$2:$O$3015,'Web Feed'!$B$2:$B$3015,Points!$A$3,'Web Feed'!$G$2:$G$3015,$B335)+SUMIFS('Web Feed'!$O$2:$O$3015,'Web Feed'!$B$2:$B$3015,Points!$A$3,'Web Feed'!$H$2:$H$3015,$B335)+SUMIFS('Web Feed'!$O$2:$O$3015,'Web Feed'!$B$2:$B$3015,Points!$A$3,'Web Feed'!$I$2:$I$3015,$B335))</f>
        <v/>
      </c>
      <c r="F335">
        <f>IF($B335="","",SUMIFS('Web Feed'!$O$2:$O$3015,'Web Feed'!$B$2:$B$3015,Points!$A$4,'Web Feed'!$F$2:$F$3015,$B335)+SUMIFS('Web Feed'!$O$2:$O$3015,'Web Feed'!$B$2:$B$3015,Points!$A$4,'Web Feed'!$G$2:$G$3015,$B335)+SUMIFS('Web Feed'!$O$2:$O$3015,'Web Feed'!$B$2:$B$3015,Points!$A$4,'Web Feed'!$H$2:$H$3015,$B335)+SUMIFS('Web Feed'!$O$2:$O$3015,'Web Feed'!$B$2:$B$3015,Points!$A$4,'Web Feed'!$I$2:$I$3015,$B335))</f>
        <v/>
      </c>
      <c r="G335">
        <f>IF($B335="","",SUMIFS('Web Feed'!$O$2:$O$3015,'Web Feed'!$B$2:$B$3015,Points!$A$5,'Web Feed'!$F$2:$F$3015,$B335)+SUMIFS('Web Feed'!$O$2:$O$3015,'Web Feed'!$B$2:$B$3015,Points!$A$5,'Web Feed'!$G$2:$G$3015,$B335)+SUMIFS('Web Feed'!$O$2:$O$3015,'Web Feed'!$B$2:$B$3015,Points!$A$5,'Web Feed'!$H$2:$H$3015,$B335)+SUMIFS('Web Feed'!$O$2:$O$3015,'Web Feed'!$B$2:$B$3015,Points!$A$5,'Web Feed'!$I$2:$I$3015,$B335))</f>
        <v/>
      </c>
      <c r="H335">
        <f>IF($B335="","",SUMIFS('Web Feed'!$O$2:$O$3015,'Web Feed'!$B$2:$B$3015,Points!$A$6,'Web Feed'!$F$2:$F$3015,$B335)+SUMIFS('Web Feed'!$O$2:$O$3015,'Web Feed'!$B$2:$B$3015,Points!$A$6,'Web Feed'!$G$2:$G$3015,$B335)+SUMIFS('Web Feed'!$O$2:$O$3015,'Web Feed'!$B$2:$B$3015,Points!$A$6,'Web Feed'!$H$2:$H$3015,$B335)+SUMIFS('Web Feed'!$O$2:$O$3015,'Web Feed'!$B$2:$B$3015,Points!$A$6,'Web Feed'!$I$2:$I$3015,$B335))</f>
        <v/>
      </c>
      <c r="I335">
        <f>IF($B335="","",COUNTIFS('Web Feed'!$B$2:$B$3015,"OHW",'Web Feed'!$F$2:$F$3015,$B335))</f>
        <v/>
      </c>
      <c r="J335">
        <f>IF($B335="","",IFERROR(INDEX('Last Week'!$A$2:$A$301,MATCH($B335,'Last Week'!$B$2:$B$301,0)),""))</f>
        <v/>
      </c>
      <c r="K335">
        <f>IF(OR($B335="",$J335=""),"",$J335-$A335)</f>
        <v/>
      </c>
    </row>
    <row r="336">
      <c r="A336">
        <f>IF($B336="","",RANK($C336,$C$2:$C$500))</f>
        <v/>
      </c>
      <c r="B336">
        <f>IF(Players!$A336="","",Players!$A336)</f>
        <v/>
      </c>
      <c r="C336" s="5">
        <f>IF($B336="","",SUM(D336:H336))</f>
        <v/>
      </c>
      <c r="D336">
        <f>IF($B336="","",SUMIFS('Web Feed'!$O$2:$O$3015,'Web Feed'!$B$2:$B$3015,Points!$A$2,'Web Feed'!$F$2:$F$3015,$B336)+SUMIFS('Web Feed'!$O$2:$O$3015,'Web Feed'!$B$2:$B$3015,Points!$A$2,'Web Feed'!$G$2:$G$3015,$B336)+SUMIFS('Web Feed'!$O$2:$O$3015,'Web Feed'!$B$2:$B$3015,Points!$A$2,'Web Feed'!$H$2:$H$3015,$B336)+SUMIFS('Web Feed'!$O$2:$O$3015,'Web Feed'!$B$2:$B$3015,Points!$A$2,'Web Feed'!$I$2:$I$3015,$B336))</f>
        <v/>
      </c>
      <c r="E336">
        <f>IF($B336="","",SUMIFS('Web Feed'!$O$2:$O$3015,'Web Feed'!$B$2:$B$3015,Points!$A$3,'Web Feed'!$F$2:$F$3015,$B336)+SUMIFS('Web Feed'!$O$2:$O$3015,'Web Feed'!$B$2:$B$3015,Points!$A$3,'Web Feed'!$G$2:$G$3015,$B336)+SUMIFS('Web Feed'!$O$2:$O$3015,'Web Feed'!$B$2:$B$3015,Points!$A$3,'Web Feed'!$H$2:$H$3015,$B336)+SUMIFS('Web Feed'!$O$2:$O$3015,'Web Feed'!$B$2:$B$3015,Points!$A$3,'Web Feed'!$I$2:$I$3015,$B336))</f>
        <v/>
      </c>
      <c r="F336">
        <f>IF($B336="","",SUMIFS('Web Feed'!$O$2:$O$3015,'Web Feed'!$B$2:$B$3015,Points!$A$4,'Web Feed'!$F$2:$F$3015,$B336)+SUMIFS('Web Feed'!$O$2:$O$3015,'Web Feed'!$B$2:$B$3015,Points!$A$4,'Web Feed'!$G$2:$G$3015,$B336)+SUMIFS('Web Feed'!$O$2:$O$3015,'Web Feed'!$B$2:$B$3015,Points!$A$4,'Web Feed'!$H$2:$H$3015,$B336)+SUMIFS('Web Feed'!$O$2:$O$3015,'Web Feed'!$B$2:$B$3015,Points!$A$4,'Web Feed'!$I$2:$I$3015,$B336))</f>
        <v/>
      </c>
      <c r="G336">
        <f>IF($B336="","",SUMIFS('Web Feed'!$O$2:$O$3015,'Web Feed'!$B$2:$B$3015,Points!$A$5,'Web Feed'!$F$2:$F$3015,$B336)+SUMIFS('Web Feed'!$O$2:$O$3015,'Web Feed'!$B$2:$B$3015,Points!$A$5,'Web Feed'!$G$2:$G$3015,$B336)+SUMIFS('Web Feed'!$O$2:$O$3015,'Web Feed'!$B$2:$B$3015,Points!$A$5,'Web Feed'!$H$2:$H$3015,$B336)+SUMIFS('Web Feed'!$O$2:$O$3015,'Web Feed'!$B$2:$B$3015,Points!$A$5,'Web Feed'!$I$2:$I$3015,$B336))</f>
        <v/>
      </c>
      <c r="H336">
        <f>IF($B336="","",SUMIFS('Web Feed'!$O$2:$O$3015,'Web Feed'!$B$2:$B$3015,Points!$A$6,'Web Feed'!$F$2:$F$3015,$B336)+SUMIFS('Web Feed'!$O$2:$O$3015,'Web Feed'!$B$2:$B$3015,Points!$A$6,'Web Feed'!$G$2:$G$3015,$B336)+SUMIFS('Web Feed'!$O$2:$O$3015,'Web Feed'!$B$2:$B$3015,Points!$A$6,'Web Feed'!$H$2:$H$3015,$B336)+SUMIFS('Web Feed'!$O$2:$O$3015,'Web Feed'!$B$2:$B$3015,Points!$A$6,'Web Feed'!$I$2:$I$3015,$B336))</f>
        <v/>
      </c>
      <c r="I336">
        <f>IF($B336="","",COUNTIFS('Web Feed'!$B$2:$B$3015,"OHW",'Web Feed'!$F$2:$F$3015,$B336))</f>
        <v/>
      </c>
      <c r="J336">
        <f>IF($B336="","",IFERROR(INDEX('Last Week'!$A$2:$A$301,MATCH($B336,'Last Week'!$B$2:$B$301,0)),""))</f>
        <v/>
      </c>
      <c r="K336">
        <f>IF(OR($B336="",$J336=""),"",$J336-$A336)</f>
        <v/>
      </c>
    </row>
    <row r="337">
      <c r="A337">
        <f>IF($B337="","",RANK($C337,$C$2:$C$500))</f>
        <v/>
      </c>
      <c r="B337">
        <f>IF(Players!$A337="","",Players!$A337)</f>
        <v/>
      </c>
      <c r="C337" s="5">
        <f>IF($B337="","",SUM(D337:H337))</f>
        <v/>
      </c>
      <c r="D337">
        <f>IF($B337="","",SUMIFS('Web Feed'!$O$2:$O$3015,'Web Feed'!$B$2:$B$3015,Points!$A$2,'Web Feed'!$F$2:$F$3015,$B337)+SUMIFS('Web Feed'!$O$2:$O$3015,'Web Feed'!$B$2:$B$3015,Points!$A$2,'Web Feed'!$G$2:$G$3015,$B337)+SUMIFS('Web Feed'!$O$2:$O$3015,'Web Feed'!$B$2:$B$3015,Points!$A$2,'Web Feed'!$H$2:$H$3015,$B337)+SUMIFS('Web Feed'!$O$2:$O$3015,'Web Feed'!$B$2:$B$3015,Points!$A$2,'Web Feed'!$I$2:$I$3015,$B337))</f>
        <v/>
      </c>
      <c r="E337">
        <f>IF($B337="","",SUMIFS('Web Feed'!$O$2:$O$3015,'Web Feed'!$B$2:$B$3015,Points!$A$3,'Web Feed'!$F$2:$F$3015,$B337)+SUMIFS('Web Feed'!$O$2:$O$3015,'Web Feed'!$B$2:$B$3015,Points!$A$3,'Web Feed'!$G$2:$G$3015,$B337)+SUMIFS('Web Feed'!$O$2:$O$3015,'Web Feed'!$B$2:$B$3015,Points!$A$3,'Web Feed'!$H$2:$H$3015,$B337)+SUMIFS('Web Feed'!$O$2:$O$3015,'Web Feed'!$B$2:$B$3015,Points!$A$3,'Web Feed'!$I$2:$I$3015,$B337))</f>
        <v/>
      </c>
      <c r="F337">
        <f>IF($B337="","",SUMIFS('Web Feed'!$O$2:$O$3015,'Web Feed'!$B$2:$B$3015,Points!$A$4,'Web Feed'!$F$2:$F$3015,$B337)+SUMIFS('Web Feed'!$O$2:$O$3015,'Web Feed'!$B$2:$B$3015,Points!$A$4,'Web Feed'!$G$2:$G$3015,$B337)+SUMIFS('Web Feed'!$O$2:$O$3015,'Web Feed'!$B$2:$B$3015,Points!$A$4,'Web Feed'!$H$2:$H$3015,$B337)+SUMIFS('Web Feed'!$O$2:$O$3015,'Web Feed'!$B$2:$B$3015,Points!$A$4,'Web Feed'!$I$2:$I$3015,$B337))</f>
        <v/>
      </c>
      <c r="G337">
        <f>IF($B337="","",SUMIFS('Web Feed'!$O$2:$O$3015,'Web Feed'!$B$2:$B$3015,Points!$A$5,'Web Feed'!$F$2:$F$3015,$B337)+SUMIFS('Web Feed'!$O$2:$O$3015,'Web Feed'!$B$2:$B$3015,Points!$A$5,'Web Feed'!$G$2:$G$3015,$B337)+SUMIFS('Web Feed'!$O$2:$O$3015,'Web Feed'!$B$2:$B$3015,Points!$A$5,'Web Feed'!$H$2:$H$3015,$B337)+SUMIFS('Web Feed'!$O$2:$O$3015,'Web Feed'!$B$2:$B$3015,Points!$A$5,'Web Feed'!$I$2:$I$3015,$B337))</f>
        <v/>
      </c>
      <c r="H337">
        <f>IF($B337="","",SUMIFS('Web Feed'!$O$2:$O$3015,'Web Feed'!$B$2:$B$3015,Points!$A$6,'Web Feed'!$F$2:$F$3015,$B337)+SUMIFS('Web Feed'!$O$2:$O$3015,'Web Feed'!$B$2:$B$3015,Points!$A$6,'Web Feed'!$G$2:$G$3015,$B337)+SUMIFS('Web Feed'!$O$2:$O$3015,'Web Feed'!$B$2:$B$3015,Points!$A$6,'Web Feed'!$H$2:$H$3015,$B337)+SUMIFS('Web Feed'!$O$2:$O$3015,'Web Feed'!$B$2:$B$3015,Points!$A$6,'Web Feed'!$I$2:$I$3015,$B337))</f>
        <v/>
      </c>
      <c r="I337">
        <f>IF($B337="","",COUNTIFS('Web Feed'!$B$2:$B$3015,"OHW",'Web Feed'!$F$2:$F$3015,$B337))</f>
        <v/>
      </c>
      <c r="J337">
        <f>IF($B337="","",IFERROR(INDEX('Last Week'!$A$2:$A$301,MATCH($B337,'Last Week'!$B$2:$B$301,0)),""))</f>
        <v/>
      </c>
      <c r="K337">
        <f>IF(OR($B337="",$J337=""),"",$J337-$A337)</f>
        <v/>
      </c>
    </row>
    <row r="338">
      <c r="A338">
        <f>IF($B338="","",RANK($C338,$C$2:$C$500))</f>
        <v/>
      </c>
      <c r="B338">
        <f>IF(Players!$A338="","",Players!$A338)</f>
        <v/>
      </c>
      <c r="C338" s="5">
        <f>IF($B338="","",SUM(D338:H338))</f>
        <v/>
      </c>
      <c r="D338">
        <f>IF($B338="","",SUMIFS('Web Feed'!$O$2:$O$3015,'Web Feed'!$B$2:$B$3015,Points!$A$2,'Web Feed'!$F$2:$F$3015,$B338)+SUMIFS('Web Feed'!$O$2:$O$3015,'Web Feed'!$B$2:$B$3015,Points!$A$2,'Web Feed'!$G$2:$G$3015,$B338)+SUMIFS('Web Feed'!$O$2:$O$3015,'Web Feed'!$B$2:$B$3015,Points!$A$2,'Web Feed'!$H$2:$H$3015,$B338)+SUMIFS('Web Feed'!$O$2:$O$3015,'Web Feed'!$B$2:$B$3015,Points!$A$2,'Web Feed'!$I$2:$I$3015,$B338))</f>
        <v/>
      </c>
      <c r="E338">
        <f>IF($B338="","",SUMIFS('Web Feed'!$O$2:$O$3015,'Web Feed'!$B$2:$B$3015,Points!$A$3,'Web Feed'!$F$2:$F$3015,$B338)+SUMIFS('Web Feed'!$O$2:$O$3015,'Web Feed'!$B$2:$B$3015,Points!$A$3,'Web Feed'!$G$2:$G$3015,$B338)+SUMIFS('Web Feed'!$O$2:$O$3015,'Web Feed'!$B$2:$B$3015,Points!$A$3,'Web Feed'!$H$2:$H$3015,$B338)+SUMIFS('Web Feed'!$O$2:$O$3015,'Web Feed'!$B$2:$B$3015,Points!$A$3,'Web Feed'!$I$2:$I$3015,$B338))</f>
        <v/>
      </c>
      <c r="F338">
        <f>IF($B338="","",SUMIFS('Web Feed'!$O$2:$O$3015,'Web Feed'!$B$2:$B$3015,Points!$A$4,'Web Feed'!$F$2:$F$3015,$B338)+SUMIFS('Web Feed'!$O$2:$O$3015,'Web Feed'!$B$2:$B$3015,Points!$A$4,'Web Feed'!$G$2:$G$3015,$B338)+SUMIFS('Web Feed'!$O$2:$O$3015,'Web Feed'!$B$2:$B$3015,Points!$A$4,'Web Feed'!$H$2:$H$3015,$B338)+SUMIFS('Web Feed'!$O$2:$O$3015,'Web Feed'!$B$2:$B$3015,Points!$A$4,'Web Feed'!$I$2:$I$3015,$B338))</f>
        <v/>
      </c>
      <c r="G338">
        <f>IF($B338="","",SUMIFS('Web Feed'!$O$2:$O$3015,'Web Feed'!$B$2:$B$3015,Points!$A$5,'Web Feed'!$F$2:$F$3015,$B338)+SUMIFS('Web Feed'!$O$2:$O$3015,'Web Feed'!$B$2:$B$3015,Points!$A$5,'Web Feed'!$G$2:$G$3015,$B338)+SUMIFS('Web Feed'!$O$2:$O$3015,'Web Feed'!$B$2:$B$3015,Points!$A$5,'Web Feed'!$H$2:$H$3015,$B338)+SUMIFS('Web Feed'!$O$2:$O$3015,'Web Feed'!$B$2:$B$3015,Points!$A$5,'Web Feed'!$I$2:$I$3015,$B338))</f>
        <v/>
      </c>
      <c r="H338">
        <f>IF($B338="","",SUMIFS('Web Feed'!$O$2:$O$3015,'Web Feed'!$B$2:$B$3015,Points!$A$6,'Web Feed'!$F$2:$F$3015,$B338)+SUMIFS('Web Feed'!$O$2:$O$3015,'Web Feed'!$B$2:$B$3015,Points!$A$6,'Web Feed'!$G$2:$G$3015,$B338)+SUMIFS('Web Feed'!$O$2:$O$3015,'Web Feed'!$B$2:$B$3015,Points!$A$6,'Web Feed'!$H$2:$H$3015,$B338)+SUMIFS('Web Feed'!$O$2:$O$3015,'Web Feed'!$B$2:$B$3015,Points!$A$6,'Web Feed'!$I$2:$I$3015,$B338))</f>
        <v/>
      </c>
      <c r="I338">
        <f>IF($B338="","",COUNTIFS('Web Feed'!$B$2:$B$3015,"OHW",'Web Feed'!$F$2:$F$3015,$B338))</f>
        <v/>
      </c>
      <c r="J338">
        <f>IF($B338="","",IFERROR(INDEX('Last Week'!$A$2:$A$301,MATCH($B338,'Last Week'!$B$2:$B$301,0)),""))</f>
        <v/>
      </c>
      <c r="K338">
        <f>IF(OR($B338="",$J338=""),"",$J338-$A338)</f>
        <v/>
      </c>
    </row>
    <row r="339">
      <c r="A339">
        <f>IF($B339="","",RANK($C339,$C$2:$C$500))</f>
        <v/>
      </c>
      <c r="B339">
        <f>IF(Players!$A339="","",Players!$A339)</f>
        <v/>
      </c>
      <c r="C339" s="5">
        <f>IF($B339="","",SUM(D339:H339))</f>
        <v/>
      </c>
      <c r="D339">
        <f>IF($B339="","",SUMIFS('Web Feed'!$O$2:$O$3015,'Web Feed'!$B$2:$B$3015,Points!$A$2,'Web Feed'!$F$2:$F$3015,$B339)+SUMIFS('Web Feed'!$O$2:$O$3015,'Web Feed'!$B$2:$B$3015,Points!$A$2,'Web Feed'!$G$2:$G$3015,$B339)+SUMIFS('Web Feed'!$O$2:$O$3015,'Web Feed'!$B$2:$B$3015,Points!$A$2,'Web Feed'!$H$2:$H$3015,$B339)+SUMIFS('Web Feed'!$O$2:$O$3015,'Web Feed'!$B$2:$B$3015,Points!$A$2,'Web Feed'!$I$2:$I$3015,$B339))</f>
        <v/>
      </c>
      <c r="E339">
        <f>IF($B339="","",SUMIFS('Web Feed'!$O$2:$O$3015,'Web Feed'!$B$2:$B$3015,Points!$A$3,'Web Feed'!$F$2:$F$3015,$B339)+SUMIFS('Web Feed'!$O$2:$O$3015,'Web Feed'!$B$2:$B$3015,Points!$A$3,'Web Feed'!$G$2:$G$3015,$B339)+SUMIFS('Web Feed'!$O$2:$O$3015,'Web Feed'!$B$2:$B$3015,Points!$A$3,'Web Feed'!$H$2:$H$3015,$B339)+SUMIFS('Web Feed'!$O$2:$O$3015,'Web Feed'!$B$2:$B$3015,Points!$A$3,'Web Feed'!$I$2:$I$3015,$B339))</f>
        <v/>
      </c>
      <c r="F339">
        <f>IF($B339="","",SUMIFS('Web Feed'!$O$2:$O$3015,'Web Feed'!$B$2:$B$3015,Points!$A$4,'Web Feed'!$F$2:$F$3015,$B339)+SUMIFS('Web Feed'!$O$2:$O$3015,'Web Feed'!$B$2:$B$3015,Points!$A$4,'Web Feed'!$G$2:$G$3015,$B339)+SUMIFS('Web Feed'!$O$2:$O$3015,'Web Feed'!$B$2:$B$3015,Points!$A$4,'Web Feed'!$H$2:$H$3015,$B339)+SUMIFS('Web Feed'!$O$2:$O$3015,'Web Feed'!$B$2:$B$3015,Points!$A$4,'Web Feed'!$I$2:$I$3015,$B339))</f>
        <v/>
      </c>
      <c r="G339">
        <f>IF($B339="","",SUMIFS('Web Feed'!$O$2:$O$3015,'Web Feed'!$B$2:$B$3015,Points!$A$5,'Web Feed'!$F$2:$F$3015,$B339)+SUMIFS('Web Feed'!$O$2:$O$3015,'Web Feed'!$B$2:$B$3015,Points!$A$5,'Web Feed'!$G$2:$G$3015,$B339)+SUMIFS('Web Feed'!$O$2:$O$3015,'Web Feed'!$B$2:$B$3015,Points!$A$5,'Web Feed'!$H$2:$H$3015,$B339)+SUMIFS('Web Feed'!$O$2:$O$3015,'Web Feed'!$B$2:$B$3015,Points!$A$5,'Web Feed'!$I$2:$I$3015,$B339))</f>
        <v/>
      </c>
      <c r="H339">
        <f>IF($B339="","",SUMIFS('Web Feed'!$O$2:$O$3015,'Web Feed'!$B$2:$B$3015,Points!$A$6,'Web Feed'!$F$2:$F$3015,$B339)+SUMIFS('Web Feed'!$O$2:$O$3015,'Web Feed'!$B$2:$B$3015,Points!$A$6,'Web Feed'!$G$2:$G$3015,$B339)+SUMIFS('Web Feed'!$O$2:$O$3015,'Web Feed'!$B$2:$B$3015,Points!$A$6,'Web Feed'!$H$2:$H$3015,$B339)+SUMIFS('Web Feed'!$O$2:$O$3015,'Web Feed'!$B$2:$B$3015,Points!$A$6,'Web Feed'!$I$2:$I$3015,$B339))</f>
        <v/>
      </c>
      <c r="I339">
        <f>IF($B339="","",COUNTIFS('Web Feed'!$B$2:$B$3015,"OHW",'Web Feed'!$F$2:$F$3015,$B339))</f>
        <v/>
      </c>
      <c r="J339">
        <f>IF($B339="","",IFERROR(INDEX('Last Week'!$A$2:$A$301,MATCH($B339,'Last Week'!$B$2:$B$301,0)),""))</f>
        <v/>
      </c>
      <c r="K339">
        <f>IF(OR($B339="",$J339=""),"",$J339-$A339)</f>
        <v/>
      </c>
    </row>
    <row r="340">
      <c r="A340">
        <f>IF($B340="","",RANK($C340,$C$2:$C$500))</f>
        <v/>
      </c>
      <c r="B340">
        <f>IF(Players!$A340="","",Players!$A340)</f>
        <v/>
      </c>
      <c r="C340" s="5">
        <f>IF($B340="","",SUM(D340:H340))</f>
        <v/>
      </c>
      <c r="D340">
        <f>IF($B340="","",SUMIFS('Web Feed'!$O$2:$O$3015,'Web Feed'!$B$2:$B$3015,Points!$A$2,'Web Feed'!$F$2:$F$3015,$B340)+SUMIFS('Web Feed'!$O$2:$O$3015,'Web Feed'!$B$2:$B$3015,Points!$A$2,'Web Feed'!$G$2:$G$3015,$B340)+SUMIFS('Web Feed'!$O$2:$O$3015,'Web Feed'!$B$2:$B$3015,Points!$A$2,'Web Feed'!$H$2:$H$3015,$B340)+SUMIFS('Web Feed'!$O$2:$O$3015,'Web Feed'!$B$2:$B$3015,Points!$A$2,'Web Feed'!$I$2:$I$3015,$B340))</f>
        <v/>
      </c>
      <c r="E340">
        <f>IF($B340="","",SUMIFS('Web Feed'!$O$2:$O$3015,'Web Feed'!$B$2:$B$3015,Points!$A$3,'Web Feed'!$F$2:$F$3015,$B340)+SUMIFS('Web Feed'!$O$2:$O$3015,'Web Feed'!$B$2:$B$3015,Points!$A$3,'Web Feed'!$G$2:$G$3015,$B340)+SUMIFS('Web Feed'!$O$2:$O$3015,'Web Feed'!$B$2:$B$3015,Points!$A$3,'Web Feed'!$H$2:$H$3015,$B340)+SUMIFS('Web Feed'!$O$2:$O$3015,'Web Feed'!$B$2:$B$3015,Points!$A$3,'Web Feed'!$I$2:$I$3015,$B340))</f>
        <v/>
      </c>
      <c r="F340">
        <f>IF($B340="","",SUMIFS('Web Feed'!$O$2:$O$3015,'Web Feed'!$B$2:$B$3015,Points!$A$4,'Web Feed'!$F$2:$F$3015,$B340)+SUMIFS('Web Feed'!$O$2:$O$3015,'Web Feed'!$B$2:$B$3015,Points!$A$4,'Web Feed'!$G$2:$G$3015,$B340)+SUMIFS('Web Feed'!$O$2:$O$3015,'Web Feed'!$B$2:$B$3015,Points!$A$4,'Web Feed'!$H$2:$H$3015,$B340)+SUMIFS('Web Feed'!$O$2:$O$3015,'Web Feed'!$B$2:$B$3015,Points!$A$4,'Web Feed'!$I$2:$I$3015,$B340))</f>
        <v/>
      </c>
      <c r="G340">
        <f>IF($B340="","",SUMIFS('Web Feed'!$O$2:$O$3015,'Web Feed'!$B$2:$B$3015,Points!$A$5,'Web Feed'!$F$2:$F$3015,$B340)+SUMIFS('Web Feed'!$O$2:$O$3015,'Web Feed'!$B$2:$B$3015,Points!$A$5,'Web Feed'!$G$2:$G$3015,$B340)+SUMIFS('Web Feed'!$O$2:$O$3015,'Web Feed'!$B$2:$B$3015,Points!$A$5,'Web Feed'!$H$2:$H$3015,$B340)+SUMIFS('Web Feed'!$O$2:$O$3015,'Web Feed'!$B$2:$B$3015,Points!$A$5,'Web Feed'!$I$2:$I$3015,$B340))</f>
        <v/>
      </c>
      <c r="H340">
        <f>IF($B340="","",SUMIFS('Web Feed'!$O$2:$O$3015,'Web Feed'!$B$2:$B$3015,Points!$A$6,'Web Feed'!$F$2:$F$3015,$B340)+SUMIFS('Web Feed'!$O$2:$O$3015,'Web Feed'!$B$2:$B$3015,Points!$A$6,'Web Feed'!$G$2:$G$3015,$B340)+SUMIFS('Web Feed'!$O$2:$O$3015,'Web Feed'!$B$2:$B$3015,Points!$A$6,'Web Feed'!$H$2:$H$3015,$B340)+SUMIFS('Web Feed'!$O$2:$O$3015,'Web Feed'!$B$2:$B$3015,Points!$A$6,'Web Feed'!$I$2:$I$3015,$B340))</f>
        <v/>
      </c>
      <c r="I340">
        <f>IF($B340="","",COUNTIFS('Web Feed'!$B$2:$B$3015,"OHW",'Web Feed'!$F$2:$F$3015,$B340))</f>
        <v/>
      </c>
      <c r="J340">
        <f>IF($B340="","",IFERROR(INDEX('Last Week'!$A$2:$A$301,MATCH($B340,'Last Week'!$B$2:$B$301,0)),""))</f>
        <v/>
      </c>
      <c r="K340">
        <f>IF(OR($B340="",$J340=""),"",$J340-$A340)</f>
        <v/>
      </c>
    </row>
    <row r="341">
      <c r="A341">
        <f>IF($B341="","",RANK($C341,$C$2:$C$500))</f>
        <v/>
      </c>
      <c r="B341">
        <f>IF(Players!$A341="","",Players!$A341)</f>
        <v/>
      </c>
      <c r="C341" s="5">
        <f>IF($B341="","",SUM(D341:H341))</f>
        <v/>
      </c>
      <c r="D341">
        <f>IF($B341="","",SUMIFS('Web Feed'!$O$2:$O$3015,'Web Feed'!$B$2:$B$3015,Points!$A$2,'Web Feed'!$F$2:$F$3015,$B341)+SUMIFS('Web Feed'!$O$2:$O$3015,'Web Feed'!$B$2:$B$3015,Points!$A$2,'Web Feed'!$G$2:$G$3015,$B341)+SUMIFS('Web Feed'!$O$2:$O$3015,'Web Feed'!$B$2:$B$3015,Points!$A$2,'Web Feed'!$H$2:$H$3015,$B341)+SUMIFS('Web Feed'!$O$2:$O$3015,'Web Feed'!$B$2:$B$3015,Points!$A$2,'Web Feed'!$I$2:$I$3015,$B341))</f>
        <v/>
      </c>
      <c r="E341">
        <f>IF($B341="","",SUMIFS('Web Feed'!$O$2:$O$3015,'Web Feed'!$B$2:$B$3015,Points!$A$3,'Web Feed'!$F$2:$F$3015,$B341)+SUMIFS('Web Feed'!$O$2:$O$3015,'Web Feed'!$B$2:$B$3015,Points!$A$3,'Web Feed'!$G$2:$G$3015,$B341)+SUMIFS('Web Feed'!$O$2:$O$3015,'Web Feed'!$B$2:$B$3015,Points!$A$3,'Web Feed'!$H$2:$H$3015,$B341)+SUMIFS('Web Feed'!$O$2:$O$3015,'Web Feed'!$B$2:$B$3015,Points!$A$3,'Web Feed'!$I$2:$I$3015,$B341))</f>
        <v/>
      </c>
      <c r="F341">
        <f>IF($B341="","",SUMIFS('Web Feed'!$O$2:$O$3015,'Web Feed'!$B$2:$B$3015,Points!$A$4,'Web Feed'!$F$2:$F$3015,$B341)+SUMIFS('Web Feed'!$O$2:$O$3015,'Web Feed'!$B$2:$B$3015,Points!$A$4,'Web Feed'!$G$2:$G$3015,$B341)+SUMIFS('Web Feed'!$O$2:$O$3015,'Web Feed'!$B$2:$B$3015,Points!$A$4,'Web Feed'!$H$2:$H$3015,$B341)+SUMIFS('Web Feed'!$O$2:$O$3015,'Web Feed'!$B$2:$B$3015,Points!$A$4,'Web Feed'!$I$2:$I$3015,$B341))</f>
        <v/>
      </c>
      <c r="G341">
        <f>IF($B341="","",SUMIFS('Web Feed'!$O$2:$O$3015,'Web Feed'!$B$2:$B$3015,Points!$A$5,'Web Feed'!$F$2:$F$3015,$B341)+SUMIFS('Web Feed'!$O$2:$O$3015,'Web Feed'!$B$2:$B$3015,Points!$A$5,'Web Feed'!$G$2:$G$3015,$B341)+SUMIFS('Web Feed'!$O$2:$O$3015,'Web Feed'!$B$2:$B$3015,Points!$A$5,'Web Feed'!$H$2:$H$3015,$B341)+SUMIFS('Web Feed'!$O$2:$O$3015,'Web Feed'!$B$2:$B$3015,Points!$A$5,'Web Feed'!$I$2:$I$3015,$B341))</f>
        <v/>
      </c>
      <c r="H341">
        <f>IF($B341="","",SUMIFS('Web Feed'!$O$2:$O$3015,'Web Feed'!$B$2:$B$3015,Points!$A$6,'Web Feed'!$F$2:$F$3015,$B341)+SUMIFS('Web Feed'!$O$2:$O$3015,'Web Feed'!$B$2:$B$3015,Points!$A$6,'Web Feed'!$G$2:$G$3015,$B341)+SUMIFS('Web Feed'!$O$2:$O$3015,'Web Feed'!$B$2:$B$3015,Points!$A$6,'Web Feed'!$H$2:$H$3015,$B341)+SUMIFS('Web Feed'!$O$2:$O$3015,'Web Feed'!$B$2:$B$3015,Points!$A$6,'Web Feed'!$I$2:$I$3015,$B341))</f>
        <v/>
      </c>
      <c r="I341">
        <f>IF($B341="","",COUNTIFS('Web Feed'!$B$2:$B$3015,"OHW",'Web Feed'!$F$2:$F$3015,$B341))</f>
        <v/>
      </c>
      <c r="J341">
        <f>IF($B341="","",IFERROR(INDEX('Last Week'!$A$2:$A$301,MATCH($B341,'Last Week'!$B$2:$B$301,0)),""))</f>
        <v/>
      </c>
      <c r="K341">
        <f>IF(OR($B341="",$J341=""),"",$J341-$A341)</f>
        <v/>
      </c>
    </row>
    <row r="342">
      <c r="A342">
        <f>IF($B342="","",RANK($C342,$C$2:$C$500))</f>
        <v/>
      </c>
      <c r="B342">
        <f>IF(Players!$A342="","",Players!$A342)</f>
        <v/>
      </c>
      <c r="C342" s="5">
        <f>IF($B342="","",SUM(D342:H342))</f>
        <v/>
      </c>
      <c r="D342">
        <f>IF($B342="","",SUMIFS('Web Feed'!$O$2:$O$3015,'Web Feed'!$B$2:$B$3015,Points!$A$2,'Web Feed'!$F$2:$F$3015,$B342)+SUMIFS('Web Feed'!$O$2:$O$3015,'Web Feed'!$B$2:$B$3015,Points!$A$2,'Web Feed'!$G$2:$G$3015,$B342)+SUMIFS('Web Feed'!$O$2:$O$3015,'Web Feed'!$B$2:$B$3015,Points!$A$2,'Web Feed'!$H$2:$H$3015,$B342)+SUMIFS('Web Feed'!$O$2:$O$3015,'Web Feed'!$B$2:$B$3015,Points!$A$2,'Web Feed'!$I$2:$I$3015,$B342))</f>
        <v/>
      </c>
      <c r="E342">
        <f>IF($B342="","",SUMIFS('Web Feed'!$O$2:$O$3015,'Web Feed'!$B$2:$B$3015,Points!$A$3,'Web Feed'!$F$2:$F$3015,$B342)+SUMIFS('Web Feed'!$O$2:$O$3015,'Web Feed'!$B$2:$B$3015,Points!$A$3,'Web Feed'!$G$2:$G$3015,$B342)+SUMIFS('Web Feed'!$O$2:$O$3015,'Web Feed'!$B$2:$B$3015,Points!$A$3,'Web Feed'!$H$2:$H$3015,$B342)+SUMIFS('Web Feed'!$O$2:$O$3015,'Web Feed'!$B$2:$B$3015,Points!$A$3,'Web Feed'!$I$2:$I$3015,$B342))</f>
        <v/>
      </c>
      <c r="F342">
        <f>IF($B342="","",SUMIFS('Web Feed'!$O$2:$O$3015,'Web Feed'!$B$2:$B$3015,Points!$A$4,'Web Feed'!$F$2:$F$3015,$B342)+SUMIFS('Web Feed'!$O$2:$O$3015,'Web Feed'!$B$2:$B$3015,Points!$A$4,'Web Feed'!$G$2:$G$3015,$B342)+SUMIFS('Web Feed'!$O$2:$O$3015,'Web Feed'!$B$2:$B$3015,Points!$A$4,'Web Feed'!$H$2:$H$3015,$B342)+SUMIFS('Web Feed'!$O$2:$O$3015,'Web Feed'!$B$2:$B$3015,Points!$A$4,'Web Feed'!$I$2:$I$3015,$B342))</f>
        <v/>
      </c>
      <c r="G342">
        <f>IF($B342="","",SUMIFS('Web Feed'!$O$2:$O$3015,'Web Feed'!$B$2:$B$3015,Points!$A$5,'Web Feed'!$F$2:$F$3015,$B342)+SUMIFS('Web Feed'!$O$2:$O$3015,'Web Feed'!$B$2:$B$3015,Points!$A$5,'Web Feed'!$G$2:$G$3015,$B342)+SUMIFS('Web Feed'!$O$2:$O$3015,'Web Feed'!$B$2:$B$3015,Points!$A$5,'Web Feed'!$H$2:$H$3015,$B342)+SUMIFS('Web Feed'!$O$2:$O$3015,'Web Feed'!$B$2:$B$3015,Points!$A$5,'Web Feed'!$I$2:$I$3015,$B342))</f>
        <v/>
      </c>
      <c r="H342">
        <f>IF($B342="","",SUMIFS('Web Feed'!$O$2:$O$3015,'Web Feed'!$B$2:$B$3015,Points!$A$6,'Web Feed'!$F$2:$F$3015,$B342)+SUMIFS('Web Feed'!$O$2:$O$3015,'Web Feed'!$B$2:$B$3015,Points!$A$6,'Web Feed'!$G$2:$G$3015,$B342)+SUMIFS('Web Feed'!$O$2:$O$3015,'Web Feed'!$B$2:$B$3015,Points!$A$6,'Web Feed'!$H$2:$H$3015,$B342)+SUMIFS('Web Feed'!$O$2:$O$3015,'Web Feed'!$B$2:$B$3015,Points!$A$6,'Web Feed'!$I$2:$I$3015,$B342))</f>
        <v/>
      </c>
      <c r="I342">
        <f>IF($B342="","",COUNTIFS('Web Feed'!$B$2:$B$3015,"OHW",'Web Feed'!$F$2:$F$3015,$B342))</f>
        <v/>
      </c>
      <c r="J342">
        <f>IF($B342="","",IFERROR(INDEX('Last Week'!$A$2:$A$301,MATCH($B342,'Last Week'!$B$2:$B$301,0)),""))</f>
        <v/>
      </c>
      <c r="K342">
        <f>IF(OR($B342="",$J342=""),"",$J342-$A342)</f>
        <v/>
      </c>
    </row>
    <row r="343">
      <c r="A343">
        <f>IF($B343="","",RANK($C343,$C$2:$C$500))</f>
        <v/>
      </c>
      <c r="B343">
        <f>IF(Players!$A343="","",Players!$A343)</f>
        <v/>
      </c>
      <c r="C343" s="5">
        <f>IF($B343="","",SUM(D343:H343))</f>
        <v/>
      </c>
      <c r="D343">
        <f>IF($B343="","",SUMIFS('Web Feed'!$O$2:$O$3015,'Web Feed'!$B$2:$B$3015,Points!$A$2,'Web Feed'!$F$2:$F$3015,$B343)+SUMIFS('Web Feed'!$O$2:$O$3015,'Web Feed'!$B$2:$B$3015,Points!$A$2,'Web Feed'!$G$2:$G$3015,$B343)+SUMIFS('Web Feed'!$O$2:$O$3015,'Web Feed'!$B$2:$B$3015,Points!$A$2,'Web Feed'!$H$2:$H$3015,$B343)+SUMIFS('Web Feed'!$O$2:$O$3015,'Web Feed'!$B$2:$B$3015,Points!$A$2,'Web Feed'!$I$2:$I$3015,$B343))</f>
        <v/>
      </c>
      <c r="E343">
        <f>IF($B343="","",SUMIFS('Web Feed'!$O$2:$O$3015,'Web Feed'!$B$2:$B$3015,Points!$A$3,'Web Feed'!$F$2:$F$3015,$B343)+SUMIFS('Web Feed'!$O$2:$O$3015,'Web Feed'!$B$2:$B$3015,Points!$A$3,'Web Feed'!$G$2:$G$3015,$B343)+SUMIFS('Web Feed'!$O$2:$O$3015,'Web Feed'!$B$2:$B$3015,Points!$A$3,'Web Feed'!$H$2:$H$3015,$B343)+SUMIFS('Web Feed'!$O$2:$O$3015,'Web Feed'!$B$2:$B$3015,Points!$A$3,'Web Feed'!$I$2:$I$3015,$B343))</f>
        <v/>
      </c>
      <c r="F343">
        <f>IF($B343="","",SUMIFS('Web Feed'!$O$2:$O$3015,'Web Feed'!$B$2:$B$3015,Points!$A$4,'Web Feed'!$F$2:$F$3015,$B343)+SUMIFS('Web Feed'!$O$2:$O$3015,'Web Feed'!$B$2:$B$3015,Points!$A$4,'Web Feed'!$G$2:$G$3015,$B343)+SUMIFS('Web Feed'!$O$2:$O$3015,'Web Feed'!$B$2:$B$3015,Points!$A$4,'Web Feed'!$H$2:$H$3015,$B343)+SUMIFS('Web Feed'!$O$2:$O$3015,'Web Feed'!$B$2:$B$3015,Points!$A$4,'Web Feed'!$I$2:$I$3015,$B343))</f>
        <v/>
      </c>
      <c r="G343">
        <f>IF($B343="","",SUMIFS('Web Feed'!$O$2:$O$3015,'Web Feed'!$B$2:$B$3015,Points!$A$5,'Web Feed'!$F$2:$F$3015,$B343)+SUMIFS('Web Feed'!$O$2:$O$3015,'Web Feed'!$B$2:$B$3015,Points!$A$5,'Web Feed'!$G$2:$G$3015,$B343)+SUMIFS('Web Feed'!$O$2:$O$3015,'Web Feed'!$B$2:$B$3015,Points!$A$5,'Web Feed'!$H$2:$H$3015,$B343)+SUMIFS('Web Feed'!$O$2:$O$3015,'Web Feed'!$B$2:$B$3015,Points!$A$5,'Web Feed'!$I$2:$I$3015,$B343))</f>
        <v/>
      </c>
      <c r="H343">
        <f>IF($B343="","",SUMIFS('Web Feed'!$O$2:$O$3015,'Web Feed'!$B$2:$B$3015,Points!$A$6,'Web Feed'!$F$2:$F$3015,$B343)+SUMIFS('Web Feed'!$O$2:$O$3015,'Web Feed'!$B$2:$B$3015,Points!$A$6,'Web Feed'!$G$2:$G$3015,$B343)+SUMIFS('Web Feed'!$O$2:$O$3015,'Web Feed'!$B$2:$B$3015,Points!$A$6,'Web Feed'!$H$2:$H$3015,$B343)+SUMIFS('Web Feed'!$O$2:$O$3015,'Web Feed'!$B$2:$B$3015,Points!$A$6,'Web Feed'!$I$2:$I$3015,$B343))</f>
        <v/>
      </c>
      <c r="I343">
        <f>IF($B343="","",COUNTIFS('Web Feed'!$B$2:$B$3015,"OHW",'Web Feed'!$F$2:$F$3015,$B343))</f>
        <v/>
      </c>
      <c r="J343">
        <f>IF($B343="","",IFERROR(INDEX('Last Week'!$A$2:$A$301,MATCH($B343,'Last Week'!$B$2:$B$301,0)),""))</f>
        <v/>
      </c>
      <c r="K343">
        <f>IF(OR($B343="",$J343=""),"",$J343-$A343)</f>
        <v/>
      </c>
    </row>
    <row r="344">
      <c r="A344">
        <f>IF($B344="","",RANK($C344,$C$2:$C$500))</f>
        <v/>
      </c>
      <c r="B344">
        <f>IF(Players!$A344="","",Players!$A344)</f>
        <v/>
      </c>
      <c r="C344" s="5">
        <f>IF($B344="","",SUM(D344:H344))</f>
        <v/>
      </c>
      <c r="D344">
        <f>IF($B344="","",SUMIFS('Web Feed'!$O$2:$O$3015,'Web Feed'!$B$2:$B$3015,Points!$A$2,'Web Feed'!$F$2:$F$3015,$B344)+SUMIFS('Web Feed'!$O$2:$O$3015,'Web Feed'!$B$2:$B$3015,Points!$A$2,'Web Feed'!$G$2:$G$3015,$B344)+SUMIFS('Web Feed'!$O$2:$O$3015,'Web Feed'!$B$2:$B$3015,Points!$A$2,'Web Feed'!$H$2:$H$3015,$B344)+SUMIFS('Web Feed'!$O$2:$O$3015,'Web Feed'!$B$2:$B$3015,Points!$A$2,'Web Feed'!$I$2:$I$3015,$B344))</f>
        <v/>
      </c>
      <c r="E344">
        <f>IF($B344="","",SUMIFS('Web Feed'!$O$2:$O$3015,'Web Feed'!$B$2:$B$3015,Points!$A$3,'Web Feed'!$F$2:$F$3015,$B344)+SUMIFS('Web Feed'!$O$2:$O$3015,'Web Feed'!$B$2:$B$3015,Points!$A$3,'Web Feed'!$G$2:$G$3015,$B344)+SUMIFS('Web Feed'!$O$2:$O$3015,'Web Feed'!$B$2:$B$3015,Points!$A$3,'Web Feed'!$H$2:$H$3015,$B344)+SUMIFS('Web Feed'!$O$2:$O$3015,'Web Feed'!$B$2:$B$3015,Points!$A$3,'Web Feed'!$I$2:$I$3015,$B344))</f>
        <v/>
      </c>
      <c r="F344">
        <f>IF($B344="","",SUMIFS('Web Feed'!$O$2:$O$3015,'Web Feed'!$B$2:$B$3015,Points!$A$4,'Web Feed'!$F$2:$F$3015,$B344)+SUMIFS('Web Feed'!$O$2:$O$3015,'Web Feed'!$B$2:$B$3015,Points!$A$4,'Web Feed'!$G$2:$G$3015,$B344)+SUMIFS('Web Feed'!$O$2:$O$3015,'Web Feed'!$B$2:$B$3015,Points!$A$4,'Web Feed'!$H$2:$H$3015,$B344)+SUMIFS('Web Feed'!$O$2:$O$3015,'Web Feed'!$B$2:$B$3015,Points!$A$4,'Web Feed'!$I$2:$I$3015,$B344))</f>
        <v/>
      </c>
      <c r="G344">
        <f>IF($B344="","",SUMIFS('Web Feed'!$O$2:$O$3015,'Web Feed'!$B$2:$B$3015,Points!$A$5,'Web Feed'!$F$2:$F$3015,$B344)+SUMIFS('Web Feed'!$O$2:$O$3015,'Web Feed'!$B$2:$B$3015,Points!$A$5,'Web Feed'!$G$2:$G$3015,$B344)+SUMIFS('Web Feed'!$O$2:$O$3015,'Web Feed'!$B$2:$B$3015,Points!$A$5,'Web Feed'!$H$2:$H$3015,$B344)+SUMIFS('Web Feed'!$O$2:$O$3015,'Web Feed'!$B$2:$B$3015,Points!$A$5,'Web Feed'!$I$2:$I$3015,$B344))</f>
        <v/>
      </c>
      <c r="H344">
        <f>IF($B344="","",SUMIFS('Web Feed'!$O$2:$O$3015,'Web Feed'!$B$2:$B$3015,Points!$A$6,'Web Feed'!$F$2:$F$3015,$B344)+SUMIFS('Web Feed'!$O$2:$O$3015,'Web Feed'!$B$2:$B$3015,Points!$A$6,'Web Feed'!$G$2:$G$3015,$B344)+SUMIFS('Web Feed'!$O$2:$O$3015,'Web Feed'!$B$2:$B$3015,Points!$A$6,'Web Feed'!$H$2:$H$3015,$B344)+SUMIFS('Web Feed'!$O$2:$O$3015,'Web Feed'!$B$2:$B$3015,Points!$A$6,'Web Feed'!$I$2:$I$3015,$B344))</f>
        <v/>
      </c>
      <c r="I344">
        <f>IF($B344="","",COUNTIFS('Web Feed'!$B$2:$B$3015,"OHW",'Web Feed'!$F$2:$F$3015,$B344))</f>
        <v/>
      </c>
      <c r="J344">
        <f>IF($B344="","",IFERROR(INDEX('Last Week'!$A$2:$A$301,MATCH($B344,'Last Week'!$B$2:$B$301,0)),""))</f>
        <v/>
      </c>
      <c r="K344">
        <f>IF(OR($B344="",$J344=""),"",$J344-$A344)</f>
        <v/>
      </c>
    </row>
    <row r="345">
      <c r="A345">
        <f>IF($B345="","",RANK($C345,$C$2:$C$500))</f>
        <v/>
      </c>
      <c r="B345">
        <f>IF(Players!$A345="","",Players!$A345)</f>
        <v/>
      </c>
      <c r="C345" s="5">
        <f>IF($B345="","",SUM(D345:H345))</f>
        <v/>
      </c>
      <c r="D345">
        <f>IF($B345="","",SUMIFS('Web Feed'!$O$2:$O$3015,'Web Feed'!$B$2:$B$3015,Points!$A$2,'Web Feed'!$F$2:$F$3015,$B345)+SUMIFS('Web Feed'!$O$2:$O$3015,'Web Feed'!$B$2:$B$3015,Points!$A$2,'Web Feed'!$G$2:$G$3015,$B345)+SUMIFS('Web Feed'!$O$2:$O$3015,'Web Feed'!$B$2:$B$3015,Points!$A$2,'Web Feed'!$H$2:$H$3015,$B345)+SUMIFS('Web Feed'!$O$2:$O$3015,'Web Feed'!$B$2:$B$3015,Points!$A$2,'Web Feed'!$I$2:$I$3015,$B345))</f>
        <v/>
      </c>
      <c r="E345">
        <f>IF($B345="","",SUMIFS('Web Feed'!$O$2:$O$3015,'Web Feed'!$B$2:$B$3015,Points!$A$3,'Web Feed'!$F$2:$F$3015,$B345)+SUMIFS('Web Feed'!$O$2:$O$3015,'Web Feed'!$B$2:$B$3015,Points!$A$3,'Web Feed'!$G$2:$G$3015,$B345)+SUMIFS('Web Feed'!$O$2:$O$3015,'Web Feed'!$B$2:$B$3015,Points!$A$3,'Web Feed'!$H$2:$H$3015,$B345)+SUMIFS('Web Feed'!$O$2:$O$3015,'Web Feed'!$B$2:$B$3015,Points!$A$3,'Web Feed'!$I$2:$I$3015,$B345))</f>
        <v/>
      </c>
      <c r="F345">
        <f>IF($B345="","",SUMIFS('Web Feed'!$O$2:$O$3015,'Web Feed'!$B$2:$B$3015,Points!$A$4,'Web Feed'!$F$2:$F$3015,$B345)+SUMIFS('Web Feed'!$O$2:$O$3015,'Web Feed'!$B$2:$B$3015,Points!$A$4,'Web Feed'!$G$2:$G$3015,$B345)+SUMIFS('Web Feed'!$O$2:$O$3015,'Web Feed'!$B$2:$B$3015,Points!$A$4,'Web Feed'!$H$2:$H$3015,$B345)+SUMIFS('Web Feed'!$O$2:$O$3015,'Web Feed'!$B$2:$B$3015,Points!$A$4,'Web Feed'!$I$2:$I$3015,$B345))</f>
        <v/>
      </c>
      <c r="G345">
        <f>IF($B345="","",SUMIFS('Web Feed'!$O$2:$O$3015,'Web Feed'!$B$2:$B$3015,Points!$A$5,'Web Feed'!$F$2:$F$3015,$B345)+SUMIFS('Web Feed'!$O$2:$O$3015,'Web Feed'!$B$2:$B$3015,Points!$A$5,'Web Feed'!$G$2:$G$3015,$B345)+SUMIFS('Web Feed'!$O$2:$O$3015,'Web Feed'!$B$2:$B$3015,Points!$A$5,'Web Feed'!$H$2:$H$3015,$B345)+SUMIFS('Web Feed'!$O$2:$O$3015,'Web Feed'!$B$2:$B$3015,Points!$A$5,'Web Feed'!$I$2:$I$3015,$B345))</f>
        <v/>
      </c>
      <c r="H345">
        <f>IF($B345="","",SUMIFS('Web Feed'!$O$2:$O$3015,'Web Feed'!$B$2:$B$3015,Points!$A$6,'Web Feed'!$F$2:$F$3015,$B345)+SUMIFS('Web Feed'!$O$2:$O$3015,'Web Feed'!$B$2:$B$3015,Points!$A$6,'Web Feed'!$G$2:$G$3015,$B345)+SUMIFS('Web Feed'!$O$2:$O$3015,'Web Feed'!$B$2:$B$3015,Points!$A$6,'Web Feed'!$H$2:$H$3015,$B345)+SUMIFS('Web Feed'!$O$2:$O$3015,'Web Feed'!$B$2:$B$3015,Points!$A$6,'Web Feed'!$I$2:$I$3015,$B345))</f>
        <v/>
      </c>
      <c r="I345">
        <f>IF($B345="","",COUNTIFS('Web Feed'!$B$2:$B$3015,"OHW",'Web Feed'!$F$2:$F$3015,$B345))</f>
        <v/>
      </c>
      <c r="J345">
        <f>IF($B345="","",IFERROR(INDEX('Last Week'!$A$2:$A$301,MATCH($B345,'Last Week'!$B$2:$B$301,0)),""))</f>
        <v/>
      </c>
      <c r="K345">
        <f>IF(OR($B345="",$J345=""),"",$J345-$A345)</f>
        <v/>
      </c>
    </row>
    <row r="346">
      <c r="A346">
        <f>IF($B346="","",RANK($C346,$C$2:$C$500))</f>
        <v/>
      </c>
      <c r="B346">
        <f>IF(Players!$A346="","",Players!$A346)</f>
        <v/>
      </c>
      <c r="C346" s="5">
        <f>IF($B346="","",SUM(D346:H346))</f>
        <v/>
      </c>
      <c r="D346">
        <f>IF($B346="","",SUMIFS('Web Feed'!$O$2:$O$3015,'Web Feed'!$B$2:$B$3015,Points!$A$2,'Web Feed'!$F$2:$F$3015,$B346)+SUMIFS('Web Feed'!$O$2:$O$3015,'Web Feed'!$B$2:$B$3015,Points!$A$2,'Web Feed'!$G$2:$G$3015,$B346)+SUMIFS('Web Feed'!$O$2:$O$3015,'Web Feed'!$B$2:$B$3015,Points!$A$2,'Web Feed'!$H$2:$H$3015,$B346)+SUMIFS('Web Feed'!$O$2:$O$3015,'Web Feed'!$B$2:$B$3015,Points!$A$2,'Web Feed'!$I$2:$I$3015,$B346))</f>
        <v/>
      </c>
      <c r="E346">
        <f>IF($B346="","",SUMIFS('Web Feed'!$O$2:$O$3015,'Web Feed'!$B$2:$B$3015,Points!$A$3,'Web Feed'!$F$2:$F$3015,$B346)+SUMIFS('Web Feed'!$O$2:$O$3015,'Web Feed'!$B$2:$B$3015,Points!$A$3,'Web Feed'!$G$2:$G$3015,$B346)+SUMIFS('Web Feed'!$O$2:$O$3015,'Web Feed'!$B$2:$B$3015,Points!$A$3,'Web Feed'!$H$2:$H$3015,$B346)+SUMIFS('Web Feed'!$O$2:$O$3015,'Web Feed'!$B$2:$B$3015,Points!$A$3,'Web Feed'!$I$2:$I$3015,$B346))</f>
        <v/>
      </c>
      <c r="F346">
        <f>IF($B346="","",SUMIFS('Web Feed'!$O$2:$O$3015,'Web Feed'!$B$2:$B$3015,Points!$A$4,'Web Feed'!$F$2:$F$3015,$B346)+SUMIFS('Web Feed'!$O$2:$O$3015,'Web Feed'!$B$2:$B$3015,Points!$A$4,'Web Feed'!$G$2:$G$3015,$B346)+SUMIFS('Web Feed'!$O$2:$O$3015,'Web Feed'!$B$2:$B$3015,Points!$A$4,'Web Feed'!$H$2:$H$3015,$B346)+SUMIFS('Web Feed'!$O$2:$O$3015,'Web Feed'!$B$2:$B$3015,Points!$A$4,'Web Feed'!$I$2:$I$3015,$B346))</f>
        <v/>
      </c>
      <c r="G346">
        <f>IF($B346="","",SUMIFS('Web Feed'!$O$2:$O$3015,'Web Feed'!$B$2:$B$3015,Points!$A$5,'Web Feed'!$F$2:$F$3015,$B346)+SUMIFS('Web Feed'!$O$2:$O$3015,'Web Feed'!$B$2:$B$3015,Points!$A$5,'Web Feed'!$G$2:$G$3015,$B346)+SUMIFS('Web Feed'!$O$2:$O$3015,'Web Feed'!$B$2:$B$3015,Points!$A$5,'Web Feed'!$H$2:$H$3015,$B346)+SUMIFS('Web Feed'!$O$2:$O$3015,'Web Feed'!$B$2:$B$3015,Points!$A$5,'Web Feed'!$I$2:$I$3015,$B346))</f>
        <v/>
      </c>
      <c r="H346">
        <f>IF($B346="","",SUMIFS('Web Feed'!$O$2:$O$3015,'Web Feed'!$B$2:$B$3015,Points!$A$6,'Web Feed'!$F$2:$F$3015,$B346)+SUMIFS('Web Feed'!$O$2:$O$3015,'Web Feed'!$B$2:$B$3015,Points!$A$6,'Web Feed'!$G$2:$G$3015,$B346)+SUMIFS('Web Feed'!$O$2:$O$3015,'Web Feed'!$B$2:$B$3015,Points!$A$6,'Web Feed'!$H$2:$H$3015,$B346)+SUMIFS('Web Feed'!$O$2:$O$3015,'Web Feed'!$B$2:$B$3015,Points!$A$6,'Web Feed'!$I$2:$I$3015,$B346))</f>
        <v/>
      </c>
      <c r="I346">
        <f>IF($B346="","",COUNTIFS('Web Feed'!$B$2:$B$3015,"OHW",'Web Feed'!$F$2:$F$3015,$B346))</f>
        <v/>
      </c>
      <c r="J346">
        <f>IF($B346="","",IFERROR(INDEX('Last Week'!$A$2:$A$301,MATCH($B346,'Last Week'!$B$2:$B$301,0)),""))</f>
        <v/>
      </c>
      <c r="K346">
        <f>IF(OR($B346="",$J346=""),"",$J346-$A346)</f>
        <v/>
      </c>
    </row>
    <row r="347">
      <c r="A347">
        <f>IF($B347="","",RANK($C347,$C$2:$C$500))</f>
        <v/>
      </c>
      <c r="B347">
        <f>IF(Players!$A347="","",Players!$A347)</f>
        <v/>
      </c>
      <c r="C347" s="5">
        <f>IF($B347="","",SUM(D347:H347))</f>
        <v/>
      </c>
      <c r="D347">
        <f>IF($B347="","",SUMIFS('Web Feed'!$O$2:$O$3015,'Web Feed'!$B$2:$B$3015,Points!$A$2,'Web Feed'!$F$2:$F$3015,$B347)+SUMIFS('Web Feed'!$O$2:$O$3015,'Web Feed'!$B$2:$B$3015,Points!$A$2,'Web Feed'!$G$2:$G$3015,$B347)+SUMIFS('Web Feed'!$O$2:$O$3015,'Web Feed'!$B$2:$B$3015,Points!$A$2,'Web Feed'!$H$2:$H$3015,$B347)+SUMIFS('Web Feed'!$O$2:$O$3015,'Web Feed'!$B$2:$B$3015,Points!$A$2,'Web Feed'!$I$2:$I$3015,$B347))</f>
        <v/>
      </c>
      <c r="E347">
        <f>IF($B347="","",SUMIFS('Web Feed'!$O$2:$O$3015,'Web Feed'!$B$2:$B$3015,Points!$A$3,'Web Feed'!$F$2:$F$3015,$B347)+SUMIFS('Web Feed'!$O$2:$O$3015,'Web Feed'!$B$2:$B$3015,Points!$A$3,'Web Feed'!$G$2:$G$3015,$B347)+SUMIFS('Web Feed'!$O$2:$O$3015,'Web Feed'!$B$2:$B$3015,Points!$A$3,'Web Feed'!$H$2:$H$3015,$B347)+SUMIFS('Web Feed'!$O$2:$O$3015,'Web Feed'!$B$2:$B$3015,Points!$A$3,'Web Feed'!$I$2:$I$3015,$B347))</f>
        <v/>
      </c>
      <c r="F347">
        <f>IF($B347="","",SUMIFS('Web Feed'!$O$2:$O$3015,'Web Feed'!$B$2:$B$3015,Points!$A$4,'Web Feed'!$F$2:$F$3015,$B347)+SUMIFS('Web Feed'!$O$2:$O$3015,'Web Feed'!$B$2:$B$3015,Points!$A$4,'Web Feed'!$G$2:$G$3015,$B347)+SUMIFS('Web Feed'!$O$2:$O$3015,'Web Feed'!$B$2:$B$3015,Points!$A$4,'Web Feed'!$H$2:$H$3015,$B347)+SUMIFS('Web Feed'!$O$2:$O$3015,'Web Feed'!$B$2:$B$3015,Points!$A$4,'Web Feed'!$I$2:$I$3015,$B347))</f>
        <v/>
      </c>
      <c r="G347">
        <f>IF($B347="","",SUMIFS('Web Feed'!$O$2:$O$3015,'Web Feed'!$B$2:$B$3015,Points!$A$5,'Web Feed'!$F$2:$F$3015,$B347)+SUMIFS('Web Feed'!$O$2:$O$3015,'Web Feed'!$B$2:$B$3015,Points!$A$5,'Web Feed'!$G$2:$G$3015,$B347)+SUMIFS('Web Feed'!$O$2:$O$3015,'Web Feed'!$B$2:$B$3015,Points!$A$5,'Web Feed'!$H$2:$H$3015,$B347)+SUMIFS('Web Feed'!$O$2:$O$3015,'Web Feed'!$B$2:$B$3015,Points!$A$5,'Web Feed'!$I$2:$I$3015,$B347))</f>
        <v/>
      </c>
      <c r="H347">
        <f>IF($B347="","",SUMIFS('Web Feed'!$O$2:$O$3015,'Web Feed'!$B$2:$B$3015,Points!$A$6,'Web Feed'!$F$2:$F$3015,$B347)+SUMIFS('Web Feed'!$O$2:$O$3015,'Web Feed'!$B$2:$B$3015,Points!$A$6,'Web Feed'!$G$2:$G$3015,$B347)+SUMIFS('Web Feed'!$O$2:$O$3015,'Web Feed'!$B$2:$B$3015,Points!$A$6,'Web Feed'!$H$2:$H$3015,$B347)+SUMIFS('Web Feed'!$O$2:$O$3015,'Web Feed'!$B$2:$B$3015,Points!$A$6,'Web Feed'!$I$2:$I$3015,$B347))</f>
        <v/>
      </c>
      <c r="I347">
        <f>IF($B347="","",COUNTIFS('Web Feed'!$B$2:$B$3015,"OHW",'Web Feed'!$F$2:$F$3015,$B347))</f>
        <v/>
      </c>
      <c r="J347">
        <f>IF($B347="","",IFERROR(INDEX('Last Week'!$A$2:$A$301,MATCH($B347,'Last Week'!$B$2:$B$301,0)),""))</f>
        <v/>
      </c>
      <c r="K347">
        <f>IF(OR($B347="",$J347=""),"",$J347-$A347)</f>
        <v/>
      </c>
    </row>
    <row r="348">
      <c r="A348">
        <f>IF($B348="","",RANK($C348,$C$2:$C$500))</f>
        <v/>
      </c>
      <c r="B348">
        <f>IF(Players!$A348="","",Players!$A348)</f>
        <v/>
      </c>
      <c r="C348" s="5">
        <f>IF($B348="","",SUM(D348:H348))</f>
        <v/>
      </c>
      <c r="D348">
        <f>IF($B348="","",SUMIFS('Web Feed'!$O$2:$O$3015,'Web Feed'!$B$2:$B$3015,Points!$A$2,'Web Feed'!$F$2:$F$3015,$B348)+SUMIFS('Web Feed'!$O$2:$O$3015,'Web Feed'!$B$2:$B$3015,Points!$A$2,'Web Feed'!$G$2:$G$3015,$B348)+SUMIFS('Web Feed'!$O$2:$O$3015,'Web Feed'!$B$2:$B$3015,Points!$A$2,'Web Feed'!$H$2:$H$3015,$B348)+SUMIFS('Web Feed'!$O$2:$O$3015,'Web Feed'!$B$2:$B$3015,Points!$A$2,'Web Feed'!$I$2:$I$3015,$B348))</f>
        <v/>
      </c>
      <c r="E348">
        <f>IF($B348="","",SUMIFS('Web Feed'!$O$2:$O$3015,'Web Feed'!$B$2:$B$3015,Points!$A$3,'Web Feed'!$F$2:$F$3015,$B348)+SUMIFS('Web Feed'!$O$2:$O$3015,'Web Feed'!$B$2:$B$3015,Points!$A$3,'Web Feed'!$G$2:$G$3015,$B348)+SUMIFS('Web Feed'!$O$2:$O$3015,'Web Feed'!$B$2:$B$3015,Points!$A$3,'Web Feed'!$H$2:$H$3015,$B348)+SUMIFS('Web Feed'!$O$2:$O$3015,'Web Feed'!$B$2:$B$3015,Points!$A$3,'Web Feed'!$I$2:$I$3015,$B348))</f>
        <v/>
      </c>
      <c r="F348">
        <f>IF($B348="","",SUMIFS('Web Feed'!$O$2:$O$3015,'Web Feed'!$B$2:$B$3015,Points!$A$4,'Web Feed'!$F$2:$F$3015,$B348)+SUMIFS('Web Feed'!$O$2:$O$3015,'Web Feed'!$B$2:$B$3015,Points!$A$4,'Web Feed'!$G$2:$G$3015,$B348)+SUMIFS('Web Feed'!$O$2:$O$3015,'Web Feed'!$B$2:$B$3015,Points!$A$4,'Web Feed'!$H$2:$H$3015,$B348)+SUMIFS('Web Feed'!$O$2:$O$3015,'Web Feed'!$B$2:$B$3015,Points!$A$4,'Web Feed'!$I$2:$I$3015,$B348))</f>
        <v/>
      </c>
      <c r="G348">
        <f>IF($B348="","",SUMIFS('Web Feed'!$O$2:$O$3015,'Web Feed'!$B$2:$B$3015,Points!$A$5,'Web Feed'!$F$2:$F$3015,$B348)+SUMIFS('Web Feed'!$O$2:$O$3015,'Web Feed'!$B$2:$B$3015,Points!$A$5,'Web Feed'!$G$2:$G$3015,$B348)+SUMIFS('Web Feed'!$O$2:$O$3015,'Web Feed'!$B$2:$B$3015,Points!$A$5,'Web Feed'!$H$2:$H$3015,$B348)+SUMIFS('Web Feed'!$O$2:$O$3015,'Web Feed'!$B$2:$B$3015,Points!$A$5,'Web Feed'!$I$2:$I$3015,$B348))</f>
        <v/>
      </c>
      <c r="H348">
        <f>IF($B348="","",SUMIFS('Web Feed'!$O$2:$O$3015,'Web Feed'!$B$2:$B$3015,Points!$A$6,'Web Feed'!$F$2:$F$3015,$B348)+SUMIFS('Web Feed'!$O$2:$O$3015,'Web Feed'!$B$2:$B$3015,Points!$A$6,'Web Feed'!$G$2:$G$3015,$B348)+SUMIFS('Web Feed'!$O$2:$O$3015,'Web Feed'!$B$2:$B$3015,Points!$A$6,'Web Feed'!$H$2:$H$3015,$B348)+SUMIFS('Web Feed'!$O$2:$O$3015,'Web Feed'!$B$2:$B$3015,Points!$A$6,'Web Feed'!$I$2:$I$3015,$B348))</f>
        <v/>
      </c>
      <c r="I348">
        <f>IF($B348="","",COUNTIFS('Web Feed'!$B$2:$B$3015,"OHW",'Web Feed'!$F$2:$F$3015,$B348))</f>
        <v/>
      </c>
      <c r="J348">
        <f>IF($B348="","",IFERROR(INDEX('Last Week'!$A$2:$A$301,MATCH($B348,'Last Week'!$B$2:$B$301,0)),""))</f>
        <v/>
      </c>
      <c r="K348">
        <f>IF(OR($B348="",$J348=""),"",$J348-$A348)</f>
        <v/>
      </c>
    </row>
    <row r="349">
      <c r="A349">
        <f>IF($B349="","",RANK($C349,$C$2:$C$500))</f>
        <v/>
      </c>
      <c r="B349">
        <f>IF(Players!$A349="","",Players!$A349)</f>
        <v/>
      </c>
      <c r="C349" s="5">
        <f>IF($B349="","",SUM(D349:H349))</f>
        <v/>
      </c>
      <c r="D349">
        <f>IF($B349="","",SUMIFS('Web Feed'!$O$2:$O$3015,'Web Feed'!$B$2:$B$3015,Points!$A$2,'Web Feed'!$F$2:$F$3015,$B349)+SUMIFS('Web Feed'!$O$2:$O$3015,'Web Feed'!$B$2:$B$3015,Points!$A$2,'Web Feed'!$G$2:$G$3015,$B349)+SUMIFS('Web Feed'!$O$2:$O$3015,'Web Feed'!$B$2:$B$3015,Points!$A$2,'Web Feed'!$H$2:$H$3015,$B349)+SUMIFS('Web Feed'!$O$2:$O$3015,'Web Feed'!$B$2:$B$3015,Points!$A$2,'Web Feed'!$I$2:$I$3015,$B349))</f>
        <v/>
      </c>
      <c r="E349">
        <f>IF($B349="","",SUMIFS('Web Feed'!$O$2:$O$3015,'Web Feed'!$B$2:$B$3015,Points!$A$3,'Web Feed'!$F$2:$F$3015,$B349)+SUMIFS('Web Feed'!$O$2:$O$3015,'Web Feed'!$B$2:$B$3015,Points!$A$3,'Web Feed'!$G$2:$G$3015,$B349)+SUMIFS('Web Feed'!$O$2:$O$3015,'Web Feed'!$B$2:$B$3015,Points!$A$3,'Web Feed'!$H$2:$H$3015,$B349)+SUMIFS('Web Feed'!$O$2:$O$3015,'Web Feed'!$B$2:$B$3015,Points!$A$3,'Web Feed'!$I$2:$I$3015,$B349))</f>
        <v/>
      </c>
      <c r="F349">
        <f>IF($B349="","",SUMIFS('Web Feed'!$O$2:$O$3015,'Web Feed'!$B$2:$B$3015,Points!$A$4,'Web Feed'!$F$2:$F$3015,$B349)+SUMIFS('Web Feed'!$O$2:$O$3015,'Web Feed'!$B$2:$B$3015,Points!$A$4,'Web Feed'!$G$2:$G$3015,$B349)+SUMIFS('Web Feed'!$O$2:$O$3015,'Web Feed'!$B$2:$B$3015,Points!$A$4,'Web Feed'!$H$2:$H$3015,$B349)+SUMIFS('Web Feed'!$O$2:$O$3015,'Web Feed'!$B$2:$B$3015,Points!$A$4,'Web Feed'!$I$2:$I$3015,$B349))</f>
        <v/>
      </c>
      <c r="G349">
        <f>IF($B349="","",SUMIFS('Web Feed'!$O$2:$O$3015,'Web Feed'!$B$2:$B$3015,Points!$A$5,'Web Feed'!$F$2:$F$3015,$B349)+SUMIFS('Web Feed'!$O$2:$O$3015,'Web Feed'!$B$2:$B$3015,Points!$A$5,'Web Feed'!$G$2:$G$3015,$B349)+SUMIFS('Web Feed'!$O$2:$O$3015,'Web Feed'!$B$2:$B$3015,Points!$A$5,'Web Feed'!$H$2:$H$3015,$B349)+SUMIFS('Web Feed'!$O$2:$O$3015,'Web Feed'!$B$2:$B$3015,Points!$A$5,'Web Feed'!$I$2:$I$3015,$B349))</f>
        <v/>
      </c>
      <c r="H349">
        <f>IF($B349="","",SUMIFS('Web Feed'!$O$2:$O$3015,'Web Feed'!$B$2:$B$3015,Points!$A$6,'Web Feed'!$F$2:$F$3015,$B349)+SUMIFS('Web Feed'!$O$2:$O$3015,'Web Feed'!$B$2:$B$3015,Points!$A$6,'Web Feed'!$G$2:$G$3015,$B349)+SUMIFS('Web Feed'!$O$2:$O$3015,'Web Feed'!$B$2:$B$3015,Points!$A$6,'Web Feed'!$H$2:$H$3015,$B349)+SUMIFS('Web Feed'!$O$2:$O$3015,'Web Feed'!$B$2:$B$3015,Points!$A$6,'Web Feed'!$I$2:$I$3015,$B349))</f>
        <v/>
      </c>
      <c r="I349">
        <f>IF($B349="","",COUNTIFS('Web Feed'!$B$2:$B$3015,"OHW",'Web Feed'!$F$2:$F$3015,$B349))</f>
        <v/>
      </c>
      <c r="J349">
        <f>IF($B349="","",IFERROR(INDEX('Last Week'!$A$2:$A$301,MATCH($B349,'Last Week'!$B$2:$B$301,0)),""))</f>
        <v/>
      </c>
      <c r="K349">
        <f>IF(OR($B349="",$J349=""),"",$J349-$A349)</f>
        <v/>
      </c>
    </row>
    <row r="350">
      <c r="A350">
        <f>IF($B350="","",RANK($C350,$C$2:$C$500))</f>
        <v/>
      </c>
      <c r="B350">
        <f>IF(Players!$A350="","",Players!$A350)</f>
        <v/>
      </c>
      <c r="C350" s="5">
        <f>IF($B350="","",SUM(D350:H350))</f>
        <v/>
      </c>
      <c r="D350">
        <f>IF($B350="","",SUMIFS('Web Feed'!$O$2:$O$3015,'Web Feed'!$B$2:$B$3015,Points!$A$2,'Web Feed'!$F$2:$F$3015,$B350)+SUMIFS('Web Feed'!$O$2:$O$3015,'Web Feed'!$B$2:$B$3015,Points!$A$2,'Web Feed'!$G$2:$G$3015,$B350)+SUMIFS('Web Feed'!$O$2:$O$3015,'Web Feed'!$B$2:$B$3015,Points!$A$2,'Web Feed'!$H$2:$H$3015,$B350)+SUMIFS('Web Feed'!$O$2:$O$3015,'Web Feed'!$B$2:$B$3015,Points!$A$2,'Web Feed'!$I$2:$I$3015,$B350))</f>
        <v/>
      </c>
      <c r="E350">
        <f>IF($B350="","",SUMIFS('Web Feed'!$O$2:$O$3015,'Web Feed'!$B$2:$B$3015,Points!$A$3,'Web Feed'!$F$2:$F$3015,$B350)+SUMIFS('Web Feed'!$O$2:$O$3015,'Web Feed'!$B$2:$B$3015,Points!$A$3,'Web Feed'!$G$2:$G$3015,$B350)+SUMIFS('Web Feed'!$O$2:$O$3015,'Web Feed'!$B$2:$B$3015,Points!$A$3,'Web Feed'!$H$2:$H$3015,$B350)+SUMIFS('Web Feed'!$O$2:$O$3015,'Web Feed'!$B$2:$B$3015,Points!$A$3,'Web Feed'!$I$2:$I$3015,$B350))</f>
        <v/>
      </c>
      <c r="F350">
        <f>IF($B350="","",SUMIFS('Web Feed'!$O$2:$O$3015,'Web Feed'!$B$2:$B$3015,Points!$A$4,'Web Feed'!$F$2:$F$3015,$B350)+SUMIFS('Web Feed'!$O$2:$O$3015,'Web Feed'!$B$2:$B$3015,Points!$A$4,'Web Feed'!$G$2:$G$3015,$B350)+SUMIFS('Web Feed'!$O$2:$O$3015,'Web Feed'!$B$2:$B$3015,Points!$A$4,'Web Feed'!$H$2:$H$3015,$B350)+SUMIFS('Web Feed'!$O$2:$O$3015,'Web Feed'!$B$2:$B$3015,Points!$A$4,'Web Feed'!$I$2:$I$3015,$B350))</f>
        <v/>
      </c>
      <c r="G350">
        <f>IF($B350="","",SUMIFS('Web Feed'!$O$2:$O$3015,'Web Feed'!$B$2:$B$3015,Points!$A$5,'Web Feed'!$F$2:$F$3015,$B350)+SUMIFS('Web Feed'!$O$2:$O$3015,'Web Feed'!$B$2:$B$3015,Points!$A$5,'Web Feed'!$G$2:$G$3015,$B350)+SUMIFS('Web Feed'!$O$2:$O$3015,'Web Feed'!$B$2:$B$3015,Points!$A$5,'Web Feed'!$H$2:$H$3015,$B350)+SUMIFS('Web Feed'!$O$2:$O$3015,'Web Feed'!$B$2:$B$3015,Points!$A$5,'Web Feed'!$I$2:$I$3015,$B350))</f>
        <v/>
      </c>
      <c r="H350">
        <f>IF($B350="","",SUMIFS('Web Feed'!$O$2:$O$3015,'Web Feed'!$B$2:$B$3015,Points!$A$6,'Web Feed'!$F$2:$F$3015,$B350)+SUMIFS('Web Feed'!$O$2:$O$3015,'Web Feed'!$B$2:$B$3015,Points!$A$6,'Web Feed'!$G$2:$G$3015,$B350)+SUMIFS('Web Feed'!$O$2:$O$3015,'Web Feed'!$B$2:$B$3015,Points!$A$6,'Web Feed'!$H$2:$H$3015,$B350)+SUMIFS('Web Feed'!$O$2:$O$3015,'Web Feed'!$B$2:$B$3015,Points!$A$6,'Web Feed'!$I$2:$I$3015,$B350))</f>
        <v/>
      </c>
      <c r="I350">
        <f>IF($B350="","",COUNTIFS('Web Feed'!$B$2:$B$3015,"OHW",'Web Feed'!$F$2:$F$3015,$B350))</f>
        <v/>
      </c>
      <c r="J350">
        <f>IF($B350="","",IFERROR(INDEX('Last Week'!$A$2:$A$301,MATCH($B350,'Last Week'!$B$2:$B$301,0)),""))</f>
        <v/>
      </c>
      <c r="K350">
        <f>IF(OR($B350="",$J350=""),"",$J350-$A350)</f>
        <v/>
      </c>
    </row>
    <row r="351">
      <c r="A351">
        <f>IF($B351="","",RANK($C351,$C$2:$C$500))</f>
        <v/>
      </c>
      <c r="B351">
        <f>IF(Players!$A351="","",Players!$A351)</f>
        <v/>
      </c>
      <c r="C351" s="5">
        <f>IF($B351="","",SUM(D351:H351))</f>
        <v/>
      </c>
      <c r="D351">
        <f>IF($B351="","",SUMIFS('Web Feed'!$O$2:$O$3015,'Web Feed'!$B$2:$B$3015,Points!$A$2,'Web Feed'!$F$2:$F$3015,$B351)+SUMIFS('Web Feed'!$O$2:$O$3015,'Web Feed'!$B$2:$B$3015,Points!$A$2,'Web Feed'!$G$2:$G$3015,$B351)+SUMIFS('Web Feed'!$O$2:$O$3015,'Web Feed'!$B$2:$B$3015,Points!$A$2,'Web Feed'!$H$2:$H$3015,$B351)+SUMIFS('Web Feed'!$O$2:$O$3015,'Web Feed'!$B$2:$B$3015,Points!$A$2,'Web Feed'!$I$2:$I$3015,$B351))</f>
        <v/>
      </c>
      <c r="E351">
        <f>IF($B351="","",SUMIFS('Web Feed'!$O$2:$O$3015,'Web Feed'!$B$2:$B$3015,Points!$A$3,'Web Feed'!$F$2:$F$3015,$B351)+SUMIFS('Web Feed'!$O$2:$O$3015,'Web Feed'!$B$2:$B$3015,Points!$A$3,'Web Feed'!$G$2:$G$3015,$B351)+SUMIFS('Web Feed'!$O$2:$O$3015,'Web Feed'!$B$2:$B$3015,Points!$A$3,'Web Feed'!$H$2:$H$3015,$B351)+SUMIFS('Web Feed'!$O$2:$O$3015,'Web Feed'!$B$2:$B$3015,Points!$A$3,'Web Feed'!$I$2:$I$3015,$B351))</f>
        <v/>
      </c>
      <c r="F351">
        <f>IF($B351="","",SUMIFS('Web Feed'!$O$2:$O$3015,'Web Feed'!$B$2:$B$3015,Points!$A$4,'Web Feed'!$F$2:$F$3015,$B351)+SUMIFS('Web Feed'!$O$2:$O$3015,'Web Feed'!$B$2:$B$3015,Points!$A$4,'Web Feed'!$G$2:$G$3015,$B351)+SUMIFS('Web Feed'!$O$2:$O$3015,'Web Feed'!$B$2:$B$3015,Points!$A$4,'Web Feed'!$H$2:$H$3015,$B351)+SUMIFS('Web Feed'!$O$2:$O$3015,'Web Feed'!$B$2:$B$3015,Points!$A$4,'Web Feed'!$I$2:$I$3015,$B351))</f>
        <v/>
      </c>
      <c r="G351">
        <f>IF($B351="","",SUMIFS('Web Feed'!$O$2:$O$3015,'Web Feed'!$B$2:$B$3015,Points!$A$5,'Web Feed'!$F$2:$F$3015,$B351)+SUMIFS('Web Feed'!$O$2:$O$3015,'Web Feed'!$B$2:$B$3015,Points!$A$5,'Web Feed'!$G$2:$G$3015,$B351)+SUMIFS('Web Feed'!$O$2:$O$3015,'Web Feed'!$B$2:$B$3015,Points!$A$5,'Web Feed'!$H$2:$H$3015,$B351)+SUMIFS('Web Feed'!$O$2:$O$3015,'Web Feed'!$B$2:$B$3015,Points!$A$5,'Web Feed'!$I$2:$I$3015,$B351))</f>
        <v/>
      </c>
      <c r="H351">
        <f>IF($B351="","",SUMIFS('Web Feed'!$O$2:$O$3015,'Web Feed'!$B$2:$B$3015,Points!$A$6,'Web Feed'!$F$2:$F$3015,$B351)+SUMIFS('Web Feed'!$O$2:$O$3015,'Web Feed'!$B$2:$B$3015,Points!$A$6,'Web Feed'!$G$2:$G$3015,$B351)+SUMIFS('Web Feed'!$O$2:$O$3015,'Web Feed'!$B$2:$B$3015,Points!$A$6,'Web Feed'!$H$2:$H$3015,$B351)+SUMIFS('Web Feed'!$O$2:$O$3015,'Web Feed'!$B$2:$B$3015,Points!$A$6,'Web Feed'!$I$2:$I$3015,$B351))</f>
        <v/>
      </c>
      <c r="I351">
        <f>IF($B351="","",COUNTIFS('Web Feed'!$B$2:$B$3015,"OHW",'Web Feed'!$F$2:$F$3015,$B351))</f>
        <v/>
      </c>
      <c r="J351">
        <f>IF($B351="","",IFERROR(INDEX('Last Week'!$A$2:$A$301,MATCH($B351,'Last Week'!$B$2:$B$301,0)),""))</f>
        <v/>
      </c>
      <c r="K351">
        <f>IF(OR($B351="",$J351=""),"",$J351-$A351)</f>
        <v/>
      </c>
    </row>
    <row r="352">
      <c r="A352">
        <f>IF($B352="","",RANK($C352,$C$2:$C$500))</f>
        <v/>
      </c>
      <c r="B352">
        <f>IF(Players!$A352="","",Players!$A352)</f>
        <v/>
      </c>
      <c r="C352" s="5">
        <f>IF($B352="","",SUM(D352:H352))</f>
        <v/>
      </c>
      <c r="D352">
        <f>IF($B352="","",SUMIFS('Web Feed'!$O$2:$O$3015,'Web Feed'!$B$2:$B$3015,Points!$A$2,'Web Feed'!$F$2:$F$3015,$B352)+SUMIFS('Web Feed'!$O$2:$O$3015,'Web Feed'!$B$2:$B$3015,Points!$A$2,'Web Feed'!$G$2:$G$3015,$B352)+SUMIFS('Web Feed'!$O$2:$O$3015,'Web Feed'!$B$2:$B$3015,Points!$A$2,'Web Feed'!$H$2:$H$3015,$B352)+SUMIFS('Web Feed'!$O$2:$O$3015,'Web Feed'!$B$2:$B$3015,Points!$A$2,'Web Feed'!$I$2:$I$3015,$B352))</f>
        <v/>
      </c>
      <c r="E352">
        <f>IF($B352="","",SUMIFS('Web Feed'!$O$2:$O$3015,'Web Feed'!$B$2:$B$3015,Points!$A$3,'Web Feed'!$F$2:$F$3015,$B352)+SUMIFS('Web Feed'!$O$2:$O$3015,'Web Feed'!$B$2:$B$3015,Points!$A$3,'Web Feed'!$G$2:$G$3015,$B352)+SUMIFS('Web Feed'!$O$2:$O$3015,'Web Feed'!$B$2:$B$3015,Points!$A$3,'Web Feed'!$H$2:$H$3015,$B352)+SUMIFS('Web Feed'!$O$2:$O$3015,'Web Feed'!$B$2:$B$3015,Points!$A$3,'Web Feed'!$I$2:$I$3015,$B352))</f>
        <v/>
      </c>
      <c r="F352">
        <f>IF($B352="","",SUMIFS('Web Feed'!$O$2:$O$3015,'Web Feed'!$B$2:$B$3015,Points!$A$4,'Web Feed'!$F$2:$F$3015,$B352)+SUMIFS('Web Feed'!$O$2:$O$3015,'Web Feed'!$B$2:$B$3015,Points!$A$4,'Web Feed'!$G$2:$G$3015,$B352)+SUMIFS('Web Feed'!$O$2:$O$3015,'Web Feed'!$B$2:$B$3015,Points!$A$4,'Web Feed'!$H$2:$H$3015,$B352)+SUMIFS('Web Feed'!$O$2:$O$3015,'Web Feed'!$B$2:$B$3015,Points!$A$4,'Web Feed'!$I$2:$I$3015,$B352))</f>
        <v/>
      </c>
      <c r="G352">
        <f>IF($B352="","",SUMIFS('Web Feed'!$O$2:$O$3015,'Web Feed'!$B$2:$B$3015,Points!$A$5,'Web Feed'!$F$2:$F$3015,$B352)+SUMIFS('Web Feed'!$O$2:$O$3015,'Web Feed'!$B$2:$B$3015,Points!$A$5,'Web Feed'!$G$2:$G$3015,$B352)+SUMIFS('Web Feed'!$O$2:$O$3015,'Web Feed'!$B$2:$B$3015,Points!$A$5,'Web Feed'!$H$2:$H$3015,$B352)+SUMIFS('Web Feed'!$O$2:$O$3015,'Web Feed'!$B$2:$B$3015,Points!$A$5,'Web Feed'!$I$2:$I$3015,$B352))</f>
        <v/>
      </c>
      <c r="H352">
        <f>IF($B352="","",SUMIFS('Web Feed'!$O$2:$O$3015,'Web Feed'!$B$2:$B$3015,Points!$A$6,'Web Feed'!$F$2:$F$3015,$B352)+SUMIFS('Web Feed'!$O$2:$O$3015,'Web Feed'!$B$2:$B$3015,Points!$A$6,'Web Feed'!$G$2:$G$3015,$B352)+SUMIFS('Web Feed'!$O$2:$O$3015,'Web Feed'!$B$2:$B$3015,Points!$A$6,'Web Feed'!$H$2:$H$3015,$B352)+SUMIFS('Web Feed'!$O$2:$O$3015,'Web Feed'!$B$2:$B$3015,Points!$A$6,'Web Feed'!$I$2:$I$3015,$B352))</f>
        <v/>
      </c>
      <c r="I352">
        <f>IF($B352="","",COUNTIFS('Web Feed'!$B$2:$B$3015,"OHW",'Web Feed'!$F$2:$F$3015,$B352))</f>
        <v/>
      </c>
      <c r="J352">
        <f>IF($B352="","",IFERROR(INDEX('Last Week'!$A$2:$A$301,MATCH($B352,'Last Week'!$B$2:$B$301,0)),""))</f>
        <v/>
      </c>
      <c r="K352">
        <f>IF(OR($B352="",$J352=""),"",$J352-$A352)</f>
        <v/>
      </c>
    </row>
    <row r="353">
      <c r="A353">
        <f>IF($B353="","",RANK($C353,$C$2:$C$500))</f>
        <v/>
      </c>
      <c r="B353">
        <f>IF(Players!$A353="","",Players!$A353)</f>
        <v/>
      </c>
      <c r="C353" s="5">
        <f>IF($B353="","",SUM(D353:H353))</f>
        <v/>
      </c>
      <c r="D353">
        <f>IF($B353="","",SUMIFS('Web Feed'!$O$2:$O$3015,'Web Feed'!$B$2:$B$3015,Points!$A$2,'Web Feed'!$F$2:$F$3015,$B353)+SUMIFS('Web Feed'!$O$2:$O$3015,'Web Feed'!$B$2:$B$3015,Points!$A$2,'Web Feed'!$G$2:$G$3015,$B353)+SUMIFS('Web Feed'!$O$2:$O$3015,'Web Feed'!$B$2:$B$3015,Points!$A$2,'Web Feed'!$H$2:$H$3015,$B353)+SUMIFS('Web Feed'!$O$2:$O$3015,'Web Feed'!$B$2:$B$3015,Points!$A$2,'Web Feed'!$I$2:$I$3015,$B353))</f>
        <v/>
      </c>
      <c r="E353">
        <f>IF($B353="","",SUMIFS('Web Feed'!$O$2:$O$3015,'Web Feed'!$B$2:$B$3015,Points!$A$3,'Web Feed'!$F$2:$F$3015,$B353)+SUMIFS('Web Feed'!$O$2:$O$3015,'Web Feed'!$B$2:$B$3015,Points!$A$3,'Web Feed'!$G$2:$G$3015,$B353)+SUMIFS('Web Feed'!$O$2:$O$3015,'Web Feed'!$B$2:$B$3015,Points!$A$3,'Web Feed'!$H$2:$H$3015,$B353)+SUMIFS('Web Feed'!$O$2:$O$3015,'Web Feed'!$B$2:$B$3015,Points!$A$3,'Web Feed'!$I$2:$I$3015,$B353))</f>
        <v/>
      </c>
      <c r="F353">
        <f>IF($B353="","",SUMIFS('Web Feed'!$O$2:$O$3015,'Web Feed'!$B$2:$B$3015,Points!$A$4,'Web Feed'!$F$2:$F$3015,$B353)+SUMIFS('Web Feed'!$O$2:$O$3015,'Web Feed'!$B$2:$B$3015,Points!$A$4,'Web Feed'!$G$2:$G$3015,$B353)+SUMIFS('Web Feed'!$O$2:$O$3015,'Web Feed'!$B$2:$B$3015,Points!$A$4,'Web Feed'!$H$2:$H$3015,$B353)+SUMIFS('Web Feed'!$O$2:$O$3015,'Web Feed'!$B$2:$B$3015,Points!$A$4,'Web Feed'!$I$2:$I$3015,$B353))</f>
        <v/>
      </c>
      <c r="G353">
        <f>IF($B353="","",SUMIFS('Web Feed'!$O$2:$O$3015,'Web Feed'!$B$2:$B$3015,Points!$A$5,'Web Feed'!$F$2:$F$3015,$B353)+SUMIFS('Web Feed'!$O$2:$O$3015,'Web Feed'!$B$2:$B$3015,Points!$A$5,'Web Feed'!$G$2:$G$3015,$B353)+SUMIFS('Web Feed'!$O$2:$O$3015,'Web Feed'!$B$2:$B$3015,Points!$A$5,'Web Feed'!$H$2:$H$3015,$B353)+SUMIFS('Web Feed'!$O$2:$O$3015,'Web Feed'!$B$2:$B$3015,Points!$A$5,'Web Feed'!$I$2:$I$3015,$B353))</f>
        <v/>
      </c>
      <c r="H353">
        <f>IF($B353="","",SUMIFS('Web Feed'!$O$2:$O$3015,'Web Feed'!$B$2:$B$3015,Points!$A$6,'Web Feed'!$F$2:$F$3015,$B353)+SUMIFS('Web Feed'!$O$2:$O$3015,'Web Feed'!$B$2:$B$3015,Points!$A$6,'Web Feed'!$G$2:$G$3015,$B353)+SUMIFS('Web Feed'!$O$2:$O$3015,'Web Feed'!$B$2:$B$3015,Points!$A$6,'Web Feed'!$H$2:$H$3015,$B353)+SUMIFS('Web Feed'!$O$2:$O$3015,'Web Feed'!$B$2:$B$3015,Points!$A$6,'Web Feed'!$I$2:$I$3015,$B353))</f>
        <v/>
      </c>
      <c r="I353">
        <f>IF($B353="","",COUNTIFS('Web Feed'!$B$2:$B$3015,"OHW",'Web Feed'!$F$2:$F$3015,$B353))</f>
        <v/>
      </c>
      <c r="J353">
        <f>IF($B353="","",IFERROR(INDEX('Last Week'!$A$2:$A$301,MATCH($B353,'Last Week'!$B$2:$B$301,0)),""))</f>
        <v/>
      </c>
      <c r="K353">
        <f>IF(OR($B353="",$J353=""),"",$J353-$A353)</f>
        <v/>
      </c>
    </row>
    <row r="354">
      <c r="A354">
        <f>IF($B354="","",RANK($C354,$C$2:$C$500))</f>
        <v/>
      </c>
      <c r="B354">
        <f>IF(Players!$A354="","",Players!$A354)</f>
        <v/>
      </c>
      <c r="C354" s="5">
        <f>IF($B354="","",SUM(D354:H354))</f>
        <v/>
      </c>
      <c r="D354">
        <f>IF($B354="","",SUMIFS('Web Feed'!$O$2:$O$3015,'Web Feed'!$B$2:$B$3015,Points!$A$2,'Web Feed'!$F$2:$F$3015,$B354)+SUMIFS('Web Feed'!$O$2:$O$3015,'Web Feed'!$B$2:$B$3015,Points!$A$2,'Web Feed'!$G$2:$G$3015,$B354)+SUMIFS('Web Feed'!$O$2:$O$3015,'Web Feed'!$B$2:$B$3015,Points!$A$2,'Web Feed'!$H$2:$H$3015,$B354)+SUMIFS('Web Feed'!$O$2:$O$3015,'Web Feed'!$B$2:$B$3015,Points!$A$2,'Web Feed'!$I$2:$I$3015,$B354))</f>
        <v/>
      </c>
      <c r="E354">
        <f>IF($B354="","",SUMIFS('Web Feed'!$O$2:$O$3015,'Web Feed'!$B$2:$B$3015,Points!$A$3,'Web Feed'!$F$2:$F$3015,$B354)+SUMIFS('Web Feed'!$O$2:$O$3015,'Web Feed'!$B$2:$B$3015,Points!$A$3,'Web Feed'!$G$2:$G$3015,$B354)+SUMIFS('Web Feed'!$O$2:$O$3015,'Web Feed'!$B$2:$B$3015,Points!$A$3,'Web Feed'!$H$2:$H$3015,$B354)+SUMIFS('Web Feed'!$O$2:$O$3015,'Web Feed'!$B$2:$B$3015,Points!$A$3,'Web Feed'!$I$2:$I$3015,$B354))</f>
        <v/>
      </c>
      <c r="F354">
        <f>IF($B354="","",SUMIFS('Web Feed'!$O$2:$O$3015,'Web Feed'!$B$2:$B$3015,Points!$A$4,'Web Feed'!$F$2:$F$3015,$B354)+SUMIFS('Web Feed'!$O$2:$O$3015,'Web Feed'!$B$2:$B$3015,Points!$A$4,'Web Feed'!$G$2:$G$3015,$B354)+SUMIFS('Web Feed'!$O$2:$O$3015,'Web Feed'!$B$2:$B$3015,Points!$A$4,'Web Feed'!$H$2:$H$3015,$B354)+SUMIFS('Web Feed'!$O$2:$O$3015,'Web Feed'!$B$2:$B$3015,Points!$A$4,'Web Feed'!$I$2:$I$3015,$B354))</f>
        <v/>
      </c>
      <c r="G354">
        <f>IF($B354="","",SUMIFS('Web Feed'!$O$2:$O$3015,'Web Feed'!$B$2:$B$3015,Points!$A$5,'Web Feed'!$F$2:$F$3015,$B354)+SUMIFS('Web Feed'!$O$2:$O$3015,'Web Feed'!$B$2:$B$3015,Points!$A$5,'Web Feed'!$G$2:$G$3015,$B354)+SUMIFS('Web Feed'!$O$2:$O$3015,'Web Feed'!$B$2:$B$3015,Points!$A$5,'Web Feed'!$H$2:$H$3015,$B354)+SUMIFS('Web Feed'!$O$2:$O$3015,'Web Feed'!$B$2:$B$3015,Points!$A$5,'Web Feed'!$I$2:$I$3015,$B354))</f>
        <v/>
      </c>
      <c r="H354">
        <f>IF($B354="","",SUMIFS('Web Feed'!$O$2:$O$3015,'Web Feed'!$B$2:$B$3015,Points!$A$6,'Web Feed'!$F$2:$F$3015,$B354)+SUMIFS('Web Feed'!$O$2:$O$3015,'Web Feed'!$B$2:$B$3015,Points!$A$6,'Web Feed'!$G$2:$G$3015,$B354)+SUMIFS('Web Feed'!$O$2:$O$3015,'Web Feed'!$B$2:$B$3015,Points!$A$6,'Web Feed'!$H$2:$H$3015,$B354)+SUMIFS('Web Feed'!$O$2:$O$3015,'Web Feed'!$B$2:$B$3015,Points!$A$6,'Web Feed'!$I$2:$I$3015,$B354))</f>
        <v/>
      </c>
      <c r="I354">
        <f>IF($B354="","",COUNTIFS('Web Feed'!$B$2:$B$3015,"OHW",'Web Feed'!$F$2:$F$3015,$B354))</f>
        <v/>
      </c>
      <c r="J354">
        <f>IF($B354="","",IFERROR(INDEX('Last Week'!$A$2:$A$301,MATCH($B354,'Last Week'!$B$2:$B$301,0)),""))</f>
        <v/>
      </c>
      <c r="K354">
        <f>IF(OR($B354="",$J354=""),"",$J354-$A354)</f>
        <v/>
      </c>
    </row>
    <row r="355">
      <c r="A355">
        <f>IF($B355="","",RANK($C355,$C$2:$C$500))</f>
        <v/>
      </c>
      <c r="B355">
        <f>IF(Players!$A355="","",Players!$A355)</f>
        <v/>
      </c>
      <c r="C355" s="5">
        <f>IF($B355="","",SUM(D355:H355))</f>
        <v/>
      </c>
      <c r="D355">
        <f>IF($B355="","",SUMIFS('Web Feed'!$O$2:$O$3015,'Web Feed'!$B$2:$B$3015,Points!$A$2,'Web Feed'!$F$2:$F$3015,$B355)+SUMIFS('Web Feed'!$O$2:$O$3015,'Web Feed'!$B$2:$B$3015,Points!$A$2,'Web Feed'!$G$2:$G$3015,$B355)+SUMIFS('Web Feed'!$O$2:$O$3015,'Web Feed'!$B$2:$B$3015,Points!$A$2,'Web Feed'!$H$2:$H$3015,$B355)+SUMIFS('Web Feed'!$O$2:$O$3015,'Web Feed'!$B$2:$B$3015,Points!$A$2,'Web Feed'!$I$2:$I$3015,$B355))</f>
        <v/>
      </c>
      <c r="E355">
        <f>IF($B355="","",SUMIFS('Web Feed'!$O$2:$O$3015,'Web Feed'!$B$2:$B$3015,Points!$A$3,'Web Feed'!$F$2:$F$3015,$B355)+SUMIFS('Web Feed'!$O$2:$O$3015,'Web Feed'!$B$2:$B$3015,Points!$A$3,'Web Feed'!$G$2:$G$3015,$B355)+SUMIFS('Web Feed'!$O$2:$O$3015,'Web Feed'!$B$2:$B$3015,Points!$A$3,'Web Feed'!$H$2:$H$3015,$B355)+SUMIFS('Web Feed'!$O$2:$O$3015,'Web Feed'!$B$2:$B$3015,Points!$A$3,'Web Feed'!$I$2:$I$3015,$B355))</f>
        <v/>
      </c>
      <c r="F355">
        <f>IF($B355="","",SUMIFS('Web Feed'!$O$2:$O$3015,'Web Feed'!$B$2:$B$3015,Points!$A$4,'Web Feed'!$F$2:$F$3015,$B355)+SUMIFS('Web Feed'!$O$2:$O$3015,'Web Feed'!$B$2:$B$3015,Points!$A$4,'Web Feed'!$G$2:$G$3015,$B355)+SUMIFS('Web Feed'!$O$2:$O$3015,'Web Feed'!$B$2:$B$3015,Points!$A$4,'Web Feed'!$H$2:$H$3015,$B355)+SUMIFS('Web Feed'!$O$2:$O$3015,'Web Feed'!$B$2:$B$3015,Points!$A$4,'Web Feed'!$I$2:$I$3015,$B355))</f>
        <v/>
      </c>
      <c r="G355">
        <f>IF($B355="","",SUMIFS('Web Feed'!$O$2:$O$3015,'Web Feed'!$B$2:$B$3015,Points!$A$5,'Web Feed'!$F$2:$F$3015,$B355)+SUMIFS('Web Feed'!$O$2:$O$3015,'Web Feed'!$B$2:$B$3015,Points!$A$5,'Web Feed'!$G$2:$G$3015,$B355)+SUMIFS('Web Feed'!$O$2:$O$3015,'Web Feed'!$B$2:$B$3015,Points!$A$5,'Web Feed'!$H$2:$H$3015,$B355)+SUMIFS('Web Feed'!$O$2:$O$3015,'Web Feed'!$B$2:$B$3015,Points!$A$5,'Web Feed'!$I$2:$I$3015,$B355))</f>
        <v/>
      </c>
      <c r="H355">
        <f>IF($B355="","",SUMIFS('Web Feed'!$O$2:$O$3015,'Web Feed'!$B$2:$B$3015,Points!$A$6,'Web Feed'!$F$2:$F$3015,$B355)+SUMIFS('Web Feed'!$O$2:$O$3015,'Web Feed'!$B$2:$B$3015,Points!$A$6,'Web Feed'!$G$2:$G$3015,$B355)+SUMIFS('Web Feed'!$O$2:$O$3015,'Web Feed'!$B$2:$B$3015,Points!$A$6,'Web Feed'!$H$2:$H$3015,$B355)+SUMIFS('Web Feed'!$O$2:$O$3015,'Web Feed'!$B$2:$B$3015,Points!$A$6,'Web Feed'!$I$2:$I$3015,$B355))</f>
        <v/>
      </c>
      <c r="I355">
        <f>IF($B355="","",COUNTIFS('Web Feed'!$B$2:$B$3015,"OHW",'Web Feed'!$F$2:$F$3015,$B355))</f>
        <v/>
      </c>
      <c r="J355">
        <f>IF($B355="","",IFERROR(INDEX('Last Week'!$A$2:$A$301,MATCH($B355,'Last Week'!$B$2:$B$301,0)),""))</f>
        <v/>
      </c>
      <c r="K355">
        <f>IF(OR($B355="",$J355=""),"",$J355-$A355)</f>
        <v/>
      </c>
    </row>
    <row r="356">
      <c r="A356">
        <f>IF($B356="","",RANK($C356,$C$2:$C$500))</f>
        <v/>
      </c>
      <c r="B356">
        <f>IF(Players!$A356="","",Players!$A356)</f>
        <v/>
      </c>
      <c r="C356" s="5">
        <f>IF($B356="","",SUM(D356:H356))</f>
        <v/>
      </c>
      <c r="D356">
        <f>IF($B356="","",SUMIFS('Web Feed'!$O$2:$O$3015,'Web Feed'!$B$2:$B$3015,Points!$A$2,'Web Feed'!$F$2:$F$3015,$B356)+SUMIFS('Web Feed'!$O$2:$O$3015,'Web Feed'!$B$2:$B$3015,Points!$A$2,'Web Feed'!$G$2:$G$3015,$B356)+SUMIFS('Web Feed'!$O$2:$O$3015,'Web Feed'!$B$2:$B$3015,Points!$A$2,'Web Feed'!$H$2:$H$3015,$B356)+SUMIFS('Web Feed'!$O$2:$O$3015,'Web Feed'!$B$2:$B$3015,Points!$A$2,'Web Feed'!$I$2:$I$3015,$B356))</f>
        <v/>
      </c>
      <c r="E356">
        <f>IF($B356="","",SUMIFS('Web Feed'!$O$2:$O$3015,'Web Feed'!$B$2:$B$3015,Points!$A$3,'Web Feed'!$F$2:$F$3015,$B356)+SUMIFS('Web Feed'!$O$2:$O$3015,'Web Feed'!$B$2:$B$3015,Points!$A$3,'Web Feed'!$G$2:$G$3015,$B356)+SUMIFS('Web Feed'!$O$2:$O$3015,'Web Feed'!$B$2:$B$3015,Points!$A$3,'Web Feed'!$H$2:$H$3015,$B356)+SUMIFS('Web Feed'!$O$2:$O$3015,'Web Feed'!$B$2:$B$3015,Points!$A$3,'Web Feed'!$I$2:$I$3015,$B356))</f>
        <v/>
      </c>
      <c r="F356">
        <f>IF($B356="","",SUMIFS('Web Feed'!$O$2:$O$3015,'Web Feed'!$B$2:$B$3015,Points!$A$4,'Web Feed'!$F$2:$F$3015,$B356)+SUMIFS('Web Feed'!$O$2:$O$3015,'Web Feed'!$B$2:$B$3015,Points!$A$4,'Web Feed'!$G$2:$G$3015,$B356)+SUMIFS('Web Feed'!$O$2:$O$3015,'Web Feed'!$B$2:$B$3015,Points!$A$4,'Web Feed'!$H$2:$H$3015,$B356)+SUMIFS('Web Feed'!$O$2:$O$3015,'Web Feed'!$B$2:$B$3015,Points!$A$4,'Web Feed'!$I$2:$I$3015,$B356))</f>
        <v/>
      </c>
      <c r="G356">
        <f>IF($B356="","",SUMIFS('Web Feed'!$O$2:$O$3015,'Web Feed'!$B$2:$B$3015,Points!$A$5,'Web Feed'!$F$2:$F$3015,$B356)+SUMIFS('Web Feed'!$O$2:$O$3015,'Web Feed'!$B$2:$B$3015,Points!$A$5,'Web Feed'!$G$2:$G$3015,$B356)+SUMIFS('Web Feed'!$O$2:$O$3015,'Web Feed'!$B$2:$B$3015,Points!$A$5,'Web Feed'!$H$2:$H$3015,$B356)+SUMIFS('Web Feed'!$O$2:$O$3015,'Web Feed'!$B$2:$B$3015,Points!$A$5,'Web Feed'!$I$2:$I$3015,$B356))</f>
        <v/>
      </c>
      <c r="H356">
        <f>IF($B356="","",SUMIFS('Web Feed'!$O$2:$O$3015,'Web Feed'!$B$2:$B$3015,Points!$A$6,'Web Feed'!$F$2:$F$3015,$B356)+SUMIFS('Web Feed'!$O$2:$O$3015,'Web Feed'!$B$2:$B$3015,Points!$A$6,'Web Feed'!$G$2:$G$3015,$B356)+SUMIFS('Web Feed'!$O$2:$O$3015,'Web Feed'!$B$2:$B$3015,Points!$A$6,'Web Feed'!$H$2:$H$3015,$B356)+SUMIFS('Web Feed'!$O$2:$O$3015,'Web Feed'!$B$2:$B$3015,Points!$A$6,'Web Feed'!$I$2:$I$3015,$B356))</f>
        <v/>
      </c>
      <c r="I356">
        <f>IF($B356="","",COUNTIFS('Web Feed'!$B$2:$B$3015,"OHW",'Web Feed'!$F$2:$F$3015,$B356))</f>
        <v/>
      </c>
      <c r="J356">
        <f>IF($B356="","",IFERROR(INDEX('Last Week'!$A$2:$A$301,MATCH($B356,'Last Week'!$B$2:$B$301,0)),""))</f>
        <v/>
      </c>
      <c r="K356">
        <f>IF(OR($B356="",$J356=""),"",$J356-$A356)</f>
        <v/>
      </c>
    </row>
    <row r="357">
      <c r="A357">
        <f>IF($B357="","",RANK($C357,$C$2:$C$500))</f>
        <v/>
      </c>
      <c r="B357">
        <f>IF(Players!$A357="","",Players!$A357)</f>
        <v/>
      </c>
      <c r="C357" s="5">
        <f>IF($B357="","",SUM(D357:H357))</f>
        <v/>
      </c>
      <c r="D357">
        <f>IF($B357="","",SUMIFS('Web Feed'!$O$2:$O$3015,'Web Feed'!$B$2:$B$3015,Points!$A$2,'Web Feed'!$F$2:$F$3015,$B357)+SUMIFS('Web Feed'!$O$2:$O$3015,'Web Feed'!$B$2:$B$3015,Points!$A$2,'Web Feed'!$G$2:$G$3015,$B357)+SUMIFS('Web Feed'!$O$2:$O$3015,'Web Feed'!$B$2:$B$3015,Points!$A$2,'Web Feed'!$H$2:$H$3015,$B357)+SUMIFS('Web Feed'!$O$2:$O$3015,'Web Feed'!$B$2:$B$3015,Points!$A$2,'Web Feed'!$I$2:$I$3015,$B357))</f>
        <v/>
      </c>
      <c r="E357">
        <f>IF($B357="","",SUMIFS('Web Feed'!$O$2:$O$3015,'Web Feed'!$B$2:$B$3015,Points!$A$3,'Web Feed'!$F$2:$F$3015,$B357)+SUMIFS('Web Feed'!$O$2:$O$3015,'Web Feed'!$B$2:$B$3015,Points!$A$3,'Web Feed'!$G$2:$G$3015,$B357)+SUMIFS('Web Feed'!$O$2:$O$3015,'Web Feed'!$B$2:$B$3015,Points!$A$3,'Web Feed'!$H$2:$H$3015,$B357)+SUMIFS('Web Feed'!$O$2:$O$3015,'Web Feed'!$B$2:$B$3015,Points!$A$3,'Web Feed'!$I$2:$I$3015,$B357))</f>
        <v/>
      </c>
      <c r="F357">
        <f>IF($B357="","",SUMIFS('Web Feed'!$O$2:$O$3015,'Web Feed'!$B$2:$B$3015,Points!$A$4,'Web Feed'!$F$2:$F$3015,$B357)+SUMIFS('Web Feed'!$O$2:$O$3015,'Web Feed'!$B$2:$B$3015,Points!$A$4,'Web Feed'!$G$2:$G$3015,$B357)+SUMIFS('Web Feed'!$O$2:$O$3015,'Web Feed'!$B$2:$B$3015,Points!$A$4,'Web Feed'!$H$2:$H$3015,$B357)+SUMIFS('Web Feed'!$O$2:$O$3015,'Web Feed'!$B$2:$B$3015,Points!$A$4,'Web Feed'!$I$2:$I$3015,$B357))</f>
        <v/>
      </c>
      <c r="G357">
        <f>IF($B357="","",SUMIFS('Web Feed'!$O$2:$O$3015,'Web Feed'!$B$2:$B$3015,Points!$A$5,'Web Feed'!$F$2:$F$3015,$B357)+SUMIFS('Web Feed'!$O$2:$O$3015,'Web Feed'!$B$2:$B$3015,Points!$A$5,'Web Feed'!$G$2:$G$3015,$B357)+SUMIFS('Web Feed'!$O$2:$O$3015,'Web Feed'!$B$2:$B$3015,Points!$A$5,'Web Feed'!$H$2:$H$3015,$B357)+SUMIFS('Web Feed'!$O$2:$O$3015,'Web Feed'!$B$2:$B$3015,Points!$A$5,'Web Feed'!$I$2:$I$3015,$B357))</f>
        <v/>
      </c>
      <c r="H357">
        <f>IF($B357="","",SUMIFS('Web Feed'!$O$2:$O$3015,'Web Feed'!$B$2:$B$3015,Points!$A$6,'Web Feed'!$F$2:$F$3015,$B357)+SUMIFS('Web Feed'!$O$2:$O$3015,'Web Feed'!$B$2:$B$3015,Points!$A$6,'Web Feed'!$G$2:$G$3015,$B357)+SUMIFS('Web Feed'!$O$2:$O$3015,'Web Feed'!$B$2:$B$3015,Points!$A$6,'Web Feed'!$H$2:$H$3015,$B357)+SUMIFS('Web Feed'!$O$2:$O$3015,'Web Feed'!$B$2:$B$3015,Points!$A$6,'Web Feed'!$I$2:$I$3015,$B357))</f>
        <v/>
      </c>
      <c r="I357">
        <f>IF($B357="","",COUNTIFS('Web Feed'!$B$2:$B$3015,"OHW",'Web Feed'!$F$2:$F$3015,$B357))</f>
        <v/>
      </c>
      <c r="J357">
        <f>IF($B357="","",IFERROR(INDEX('Last Week'!$A$2:$A$301,MATCH($B357,'Last Week'!$B$2:$B$301,0)),""))</f>
        <v/>
      </c>
      <c r="K357">
        <f>IF(OR($B357="",$J357=""),"",$J357-$A357)</f>
        <v/>
      </c>
    </row>
    <row r="358">
      <c r="A358">
        <f>IF($B358="","",RANK($C358,$C$2:$C$500))</f>
        <v/>
      </c>
      <c r="B358">
        <f>IF(Players!$A358="","",Players!$A358)</f>
        <v/>
      </c>
      <c r="C358" s="5">
        <f>IF($B358="","",SUM(D358:H358))</f>
        <v/>
      </c>
      <c r="D358">
        <f>IF($B358="","",SUMIFS('Web Feed'!$O$2:$O$3015,'Web Feed'!$B$2:$B$3015,Points!$A$2,'Web Feed'!$F$2:$F$3015,$B358)+SUMIFS('Web Feed'!$O$2:$O$3015,'Web Feed'!$B$2:$B$3015,Points!$A$2,'Web Feed'!$G$2:$G$3015,$B358)+SUMIFS('Web Feed'!$O$2:$O$3015,'Web Feed'!$B$2:$B$3015,Points!$A$2,'Web Feed'!$H$2:$H$3015,$B358)+SUMIFS('Web Feed'!$O$2:$O$3015,'Web Feed'!$B$2:$B$3015,Points!$A$2,'Web Feed'!$I$2:$I$3015,$B358))</f>
        <v/>
      </c>
      <c r="E358">
        <f>IF($B358="","",SUMIFS('Web Feed'!$O$2:$O$3015,'Web Feed'!$B$2:$B$3015,Points!$A$3,'Web Feed'!$F$2:$F$3015,$B358)+SUMIFS('Web Feed'!$O$2:$O$3015,'Web Feed'!$B$2:$B$3015,Points!$A$3,'Web Feed'!$G$2:$G$3015,$B358)+SUMIFS('Web Feed'!$O$2:$O$3015,'Web Feed'!$B$2:$B$3015,Points!$A$3,'Web Feed'!$H$2:$H$3015,$B358)+SUMIFS('Web Feed'!$O$2:$O$3015,'Web Feed'!$B$2:$B$3015,Points!$A$3,'Web Feed'!$I$2:$I$3015,$B358))</f>
        <v/>
      </c>
      <c r="F358">
        <f>IF($B358="","",SUMIFS('Web Feed'!$O$2:$O$3015,'Web Feed'!$B$2:$B$3015,Points!$A$4,'Web Feed'!$F$2:$F$3015,$B358)+SUMIFS('Web Feed'!$O$2:$O$3015,'Web Feed'!$B$2:$B$3015,Points!$A$4,'Web Feed'!$G$2:$G$3015,$B358)+SUMIFS('Web Feed'!$O$2:$O$3015,'Web Feed'!$B$2:$B$3015,Points!$A$4,'Web Feed'!$H$2:$H$3015,$B358)+SUMIFS('Web Feed'!$O$2:$O$3015,'Web Feed'!$B$2:$B$3015,Points!$A$4,'Web Feed'!$I$2:$I$3015,$B358))</f>
        <v/>
      </c>
      <c r="G358">
        <f>IF($B358="","",SUMIFS('Web Feed'!$O$2:$O$3015,'Web Feed'!$B$2:$B$3015,Points!$A$5,'Web Feed'!$F$2:$F$3015,$B358)+SUMIFS('Web Feed'!$O$2:$O$3015,'Web Feed'!$B$2:$B$3015,Points!$A$5,'Web Feed'!$G$2:$G$3015,$B358)+SUMIFS('Web Feed'!$O$2:$O$3015,'Web Feed'!$B$2:$B$3015,Points!$A$5,'Web Feed'!$H$2:$H$3015,$B358)+SUMIFS('Web Feed'!$O$2:$O$3015,'Web Feed'!$B$2:$B$3015,Points!$A$5,'Web Feed'!$I$2:$I$3015,$B358))</f>
        <v/>
      </c>
      <c r="H358">
        <f>IF($B358="","",SUMIFS('Web Feed'!$O$2:$O$3015,'Web Feed'!$B$2:$B$3015,Points!$A$6,'Web Feed'!$F$2:$F$3015,$B358)+SUMIFS('Web Feed'!$O$2:$O$3015,'Web Feed'!$B$2:$B$3015,Points!$A$6,'Web Feed'!$G$2:$G$3015,$B358)+SUMIFS('Web Feed'!$O$2:$O$3015,'Web Feed'!$B$2:$B$3015,Points!$A$6,'Web Feed'!$H$2:$H$3015,$B358)+SUMIFS('Web Feed'!$O$2:$O$3015,'Web Feed'!$B$2:$B$3015,Points!$A$6,'Web Feed'!$I$2:$I$3015,$B358))</f>
        <v/>
      </c>
      <c r="I358">
        <f>IF($B358="","",COUNTIFS('Web Feed'!$B$2:$B$3015,"OHW",'Web Feed'!$F$2:$F$3015,$B358))</f>
        <v/>
      </c>
      <c r="J358">
        <f>IF($B358="","",IFERROR(INDEX('Last Week'!$A$2:$A$301,MATCH($B358,'Last Week'!$B$2:$B$301,0)),""))</f>
        <v/>
      </c>
      <c r="K358">
        <f>IF(OR($B358="",$J358=""),"",$J358-$A358)</f>
        <v/>
      </c>
    </row>
    <row r="359">
      <c r="A359">
        <f>IF($B359="","",RANK($C359,$C$2:$C$500))</f>
        <v/>
      </c>
      <c r="B359">
        <f>IF(Players!$A359="","",Players!$A359)</f>
        <v/>
      </c>
      <c r="C359" s="5">
        <f>IF($B359="","",SUM(D359:H359))</f>
        <v/>
      </c>
      <c r="D359">
        <f>IF($B359="","",SUMIFS('Web Feed'!$O$2:$O$3015,'Web Feed'!$B$2:$B$3015,Points!$A$2,'Web Feed'!$F$2:$F$3015,$B359)+SUMIFS('Web Feed'!$O$2:$O$3015,'Web Feed'!$B$2:$B$3015,Points!$A$2,'Web Feed'!$G$2:$G$3015,$B359)+SUMIFS('Web Feed'!$O$2:$O$3015,'Web Feed'!$B$2:$B$3015,Points!$A$2,'Web Feed'!$H$2:$H$3015,$B359)+SUMIFS('Web Feed'!$O$2:$O$3015,'Web Feed'!$B$2:$B$3015,Points!$A$2,'Web Feed'!$I$2:$I$3015,$B359))</f>
        <v/>
      </c>
      <c r="E359">
        <f>IF($B359="","",SUMIFS('Web Feed'!$O$2:$O$3015,'Web Feed'!$B$2:$B$3015,Points!$A$3,'Web Feed'!$F$2:$F$3015,$B359)+SUMIFS('Web Feed'!$O$2:$O$3015,'Web Feed'!$B$2:$B$3015,Points!$A$3,'Web Feed'!$G$2:$G$3015,$B359)+SUMIFS('Web Feed'!$O$2:$O$3015,'Web Feed'!$B$2:$B$3015,Points!$A$3,'Web Feed'!$H$2:$H$3015,$B359)+SUMIFS('Web Feed'!$O$2:$O$3015,'Web Feed'!$B$2:$B$3015,Points!$A$3,'Web Feed'!$I$2:$I$3015,$B359))</f>
        <v/>
      </c>
      <c r="F359">
        <f>IF($B359="","",SUMIFS('Web Feed'!$O$2:$O$3015,'Web Feed'!$B$2:$B$3015,Points!$A$4,'Web Feed'!$F$2:$F$3015,$B359)+SUMIFS('Web Feed'!$O$2:$O$3015,'Web Feed'!$B$2:$B$3015,Points!$A$4,'Web Feed'!$G$2:$G$3015,$B359)+SUMIFS('Web Feed'!$O$2:$O$3015,'Web Feed'!$B$2:$B$3015,Points!$A$4,'Web Feed'!$H$2:$H$3015,$B359)+SUMIFS('Web Feed'!$O$2:$O$3015,'Web Feed'!$B$2:$B$3015,Points!$A$4,'Web Feed'!$I$2:$I$3015,$B359))</f>
        <v/>
      </c>
      <c r="G359">
        <f>IF($B359="","",SUMIFS('Web Feed'!$O$2:$O$3015,'Web Feed'!$B$2:$B$3015,Points!$A$5,'Web Feed'!$F$2:$F$3015,$B359)+SUMIFS('Web Feed'!$O$2:$O$3015,'Web Feed'!$B$2:$B$3015,Points!$A$5,'Web Feed'!$G$2:$G$3015,$B359)+SUMIFS('Web Feed'!$O$2:$O$3015,'Web Feed'!$B$2:$B$3015,Points!$A$5,'Web Feed'!$H$2:$H$3015,$B359)+SUMIFS('Web Feed'!$O$2:$O$3015,'Web Feed'!$B$2:$B$3015,Points!$A$5,'Web Feed'!$I$2:$I$3015,$B359))</f>
        <v/>
      </c>
      <c r="H359">
        <f>IF($B359="","",SUMIFS('Web Feed'!$O$2:$O$3015,'Web Feed'!$B$2:$B$3015,Points!$A$6,'Web Feed'!$F$2:$F$3015,$B359)+SUMIFS('Web Feed'!$O$2:$O$3015,'Web Feed'!$B$2:$B$3015,Points!$A$6,'Web Feed'!$G$2:$G$3015,$B359)+SUMIFS('Web Feed'!$O$2:$O$3015,'Web Feed'!$B$2:$B$3015,Points!$A$6,'Web Feed'!$H$2:$H$3015,$B359)+SUMIFS('Web Feed'!$O$2:$O$3015,'Web Feed'!$B$2:$B$3015,Points!$A$6,'Web Feed'!$I$2:$I$3015,$B359))</f>
        <v/>
      </c>
      <c r="I359">
        <f>IF($B359="","",COUNTIFS('Web Feed'!$B$2:$B$3015,"OHW",'Web Feed'!$F$2:$F$3015,$B359))</f>
        <v/>
      </c>
      <c r="J359">
        <f>IF($B359="","",IFERROR(INDEX('Last Week'!$A$2:$A$301,MATCH($B359,'Last Week'!$B$2:$B$301,0)),""))</f>
        <v/>
      </c>
      <c r="K359">
        <f>IF(OR($B359="",$J359=""),"",$J359-$A359)</f>
        <v/>
      </c>
    </row>
    <row r="360">
      <c r="A360">
        <f>IF($B360="","",RANK($C360,$C$2:$C$500))</f>
        <v/>
      </c>
      <c r="B360">
        <f>IF(Players!$A360="","",Players!$A360)</f>
        <v/>
      </c>
      <c r="C360" s="5">
        <f>IF($B360="","",SUM(D360:H360))</f>
        <v/>
      </c>
      <c r="D360">
        <f>IF($B360="","",SUMIFS('Web Feed'!$O$2:$O$3015,'Web Feed'!$B$2:$B$3015,Points!$A$2,'Web Feed'!$F$2:$F$3015,$B360)+SUMIFS('Web Feed'!$O$2:$O$3015,'Web Feed'!$B$2:$B$3015,Points!$A$2,'Web Feed'!$G$2:$G$3015,$B360)+SUMIFS('Web Feed'!$O$2:$O$3015,'Web Feed'!$B$2:$B$3015,Points!$A$2,'Web Feed'!$H$2:$H$3015,$B360)+SUMIFS('Web Feed'!$O$2:$O$3015,'Web Feed'!$B$2:$B$3015,Points!$A$2,'Web Feed'!$I$2:$I$3015,$B360))</f>
        <v/>
      </c>
      <c r="E360">
        <f>IF($B360="","",SUMIFS('Web Feed'!$O$2:$O$3015,'Web Feed'!$B$2:$B$3015,Points!$A$3,'Web Feed'!$F$2:$F$3015,$B360)+SUMIFS('Web Feed'!$O$2:$O$3015,'Web Feed'!$B$2:$B$3015,Points!$A$3,'Web Feed'!$G$2:$G$3015,$B360)+SUMIFS('Web Feed'!$O$2:$O$3015,'Web Feed'!$B$2:$B$3015,Points!$A$3,'Web Feed'!$H$2:$H$3015,$B360)+SUMIFS('Web Feed'!$O$2:$O$3015,'Web Feed'!$B$2:$B$3015,Points!$A$3,'Web Feed'!$I$2:$I$3015,$B360))</f>
        <v/>
      </c>
      <c r="F360">
        <f>IF($B360="","",SUMIFS('Web Feed'!$O$2:$O$3015,'Web Feed'!$B$2:$B$3015,Points!$A$4,'Web Feed'!$F$2:$F$3015,$B360)+SUMIFS('Web Feed'!$O$2:$O$3015,'Web Feed'!$B$2:$B$3015,Points!$A$4,'Web Feed'!$G$2:$G$3015,$B360)+SUMIFS('Web Feed'!$O$2:$O$3015,'Web Feed'!$B$2:$B$3015,Points!$A$4,'Web Feed'!$H$2:$H$3015,$B360)+SUMIFS('Web Feed'!$O$2:$O$3015,'Web Feed'!$B$2:$B$3015,Points!$A$4,'Web Feed'!$I$2:$I$3015,$B360))</f>
        <v/>
      </c>
      <c r="G360">
        <f>IF($B360="","",SUMIFS('Web Feed'!$O$2:$O$3015,'Web Feed'!$B$2:$B$3015,Points!$A$5,'Web Feed'!$F$2:$F$3015,$B360)+SUMIFS('Web Feed'!$O$2:$O$3015,'Web Feed'!$B$2:$B$3015,Points!$A$5,'Web Feed'!$G$2:$G$3015,$B360)+SUMIFS('Web Feed'!$O$2:$O$3015,'Web Feed'!$B$2:$B$3015,Points!$A$5,'Web Feed'!$H$2:$H$3015,$B360)+SUMIFS('Web Feed'!$O$2:$O$3015,'Web Feed'!$B$2:$B$3015,Points!$A$5,'Web Feed'!$I$2:$I$3015,$B360))</f>
        <v/>
      </c>
      <c r="H360">
        <f>IF($B360="","",SUMIFS('Web Feed'!$O$2:$O$3015,'Web Feed'!$B$2:$B$3015,Points!$A$6,'Web Feed'!$F$2:$F$3015,$B360)+SUMIFS('Web Feed'!$O$2:$O$3015,'Web Feed'!$B$2:$B$3015,Points!$A$6,'Web Feed'!$G$2:$G$3015,$B360)+SUMIFS('Web Feed'!$O$2:$O$3015,'Web Feed'!$B$2:$B$3015,Points!$A$6,'Web Feed'!$H$2:$H$3015,$B360)+SUMIFS('Web Feed'!$O$2:$O$3015,'Web Feed'!$B$2:$B$3015,Points!$A$6,'Web Feed'!$I$2:$I$3015,$B360))</f>
        <v/>
      </c>
      <c r="I360">
        <f>IF($B360="","",COUNTIFS('Web Feed'!$B$2:$B$3015,"OHW",'Web Feed'!$F$2:$F$3015,$B360))</f>
        <v/>
      </c>
      <c r="J360">
        <f>IF($B360="","",IFERROR(INDEX('Last Week'!$A$2:$A$301,MATCH($B360,'Last Week'!$B$2:$B$301,0)),""))</f>
        <v/>
      </c>
      <c r="K360">
        <f>IF(OR($B360="",$J360=""),"",$J360-$A360)</f>
        <v/>
      </c>
    </row>
    <row r="361">
      <c r="A361">
        <f>IF($B361="","",RANK($C361,$C$2:$C$500))</f>
        <v/>
      </c>
      <c r="B361">
        <f>IF(Players!$A361="","",Players!$A361)</f>
        <v/>
      </c>
      <c r="C361" s="5">
        <f>IF($B361="","",SUM(D361:H361))</f>
        <v/>
      </c>
      <c r="D361">
        <f>IF($B361="","",SUMIFS('Web Feed'!$O$2:$O$3015,'Web Feed'!$B$2:$B$3015,Points!$A$2,'Web Feed'!$F$2:$F$3015,$B361)+SUMIFS('Web Feed'!$O$2:$O$3015,'Web Feed'!$B$2:$B$3015,Points!$A$2,'Web Feed'!$G$2:$G$3015,$B361)+SUMIFS('Web Feed'!$O$2:$O$3015,'Web Feed'!$B$2:$B$3015,Points!$A$2,'Web Feed'!$H$2:$H$3015,$B361)+SUMIFS('Web Feed'!$O$2:$O$3015,'Web Feed'!$B$2:$B$3015,Points!$A$2,'Web Feed'!$I$2:$I$3015,$B361))</f>
        <v/>
      </c>
      <c r="E361">
        <f>IF($B361="","",SUMIFS('Web Feed'!$O$2:$O$3015,'Web Feed'!$B$2:$B$3015,Points!$A$3,'Web Feed'!$F$2:$F$3015,$B361)+SUMIFS('Web Feed'!$O$2:$O$3015,'Web Feed'!$B$2:$B$3015,Points!$A$3,'Web Feed'!$G$2:$G$3015,$B361)+SUMIFS('Web Feed'!$O$2:$O$3015,'Web Feed'!$B$2:$B$3015,Points!$A$3,'Web Feed'!$H$2:$H$3015,$B361)+SUMIFS('Web Feed'!$O$2:$O$3015,'Web Feed'!$B$2:$B$3015,Points!$A$3,'Web Feed'!$I$2:$I$3015,$B361))</f>
        <v/>
      </c>
      <c r="F361">
        <f>IF($B361="","",SUMIFS('Web Feed'!$O$2:$O$3015,'Web Feed'!$B$2:$B$3015,Points!$A$4,'Web Feed'!$F$2:$F$3015,$B361)+SUMIFS('Web Feed'!$O$2:$O$3015,'Web Feed'!$B$2:$B$3015,Points!$A$4,'Web Feed'!$G$2:$G$3015,$B361)+SUMIFS('Web Feed'!$O$2:$O$3015,'Web Feed'!$B$2:$B$3015,Points!$A$4,'Web Feed'!$H$2:$H$3015,$B361)+SUMIFS('Web Feed'!$O$2:$O$3015,'Web Feed'!$B$2:$B$3015,Points!$A$4,'Web Feed'!$I$2:$I$3015,$B361))</f>
        <v/>
      </c>
      <c r="G361">
        <f>IF($B361="","",SUMIFS('Web Feed'!$O$2:$O$3015,'Web Feed'!$B$2:$B$3015,Points!$A$5,'Web Feed'!$F$2:$F$3015,$B361)+SUMIFS('Web Feed'!$O$2:$O$3015,'Web Feed'!$B$2:$B$3015,Points!$A$5,'Web Feed'!$G$2:$G$3015,$B361)+SUMIFS('Web Feed'!$O$2:$O$3015,'Web Feed'!$B$2:$B$3015,Points!$A$5,'Web Feed'!$H$2:$H$3015,$B361)+SUMIFS('Web Feed'!$O$2:$O$3015,'Web Feed'!$B$2:$B$3015,Points!$A$5,'Web Feed'!$I$2:$I$3015,$B361))</f>
        <v/>
      </c>
      <c r="H361">
        <f>IF($B361="","",SUMIFS('Web Feed'!$O$2:$O$3015,'Web Feed'!$B$2:$B$3015,Points!$A$6,'Web Feed'!$F$2:$F$3015,$B361)+SUMIFS('Web Feed'!$O$2:$O$3015,'Web Feed'!$B$2:$B$3015,Points!$A$6,'Web Feed'!$G$2:$G$3015,$B361)+SUMIFS('Web Feed'!$O$2:$O$3015,'Web Feed'!$B$2:$B$3015,Points!$A$6,'Web Feed'!$H$2:$H$3015,$B361)+SUMIFS('Web Feed'!$O$2:$O$3015,'Web Feed'!$B$2:$B$3015,Points!$A$6,'Web Feed'!$I$2:$I$3015,$B361))</f>
        <v/>
      </c>
      <c r="I361">
        <f>IF($B361="","",COUNTIFS('Web Feed'!$B$2:$B$3015,"OHW",'Web Feed'!$F$2:$F$3015,$B361))</f>
        <v/>
      </c>
      <c r="J361">
        <f>IF($B361="","",IFERROR(INDEX('Last Week'!$A$2:$A$301,MATCH($B361,'Last Week'!$B$2:$B$301,0)),""))</f>
        <v/>
      </c>
      <c r="K361">
        <f>IF(OR($B361="",$J361=""),"",$J361-$A361)</f>
        <v/>
      </c>
    </row>
    <row r="362">
      <c r="A362">
        <f>IF($B362="","",RANK($C362,$C$2:$C$500))</f>
        <v/>
      </c>
      <c r="B362">
        <f>IF(Players!$A362="","",Players!$A362)</f>
        <v/>
      </c>
      <c r="C362" s="5">
        <f>IF($B362="","",SUM(D362:H362))</f>
        <v/>
      </c>
      <c r="D362">
        <f>IF($B362="","",SUMIFS('Web Feed'!$O$2:$O$3015,'Web Feed'!$B$2:$B$3015,Points!$A$2,'Web Feed'!$F$2:$F$3015,$B362)+SUMIFS('Web Feed'!$O$2:$O$3015,'Web Feed'!$B$2:$B$3015,Points!$A$2,'Web Feed'!$G$2:$G$3015,$B362)+SUMIFS('Web Feed'!$O$2:$O$3015,'Web Feed'!$B$2:$B$3015,Points!$A$2,'Web Feed'!$H$2:$H$3015,$B362)+SUMIFS('Web Feed'!$O$2:$O$3015,'Web Feed'!$B$2:$B$3015,Points!$A$2,'Web Feed'!$I$2:$I$3015,$B362))</f>
        <v/>
      </c>
      <c r="E362">
        <f>IF($B362="","",SUMIFS('Web Feed'!$O$2:$O$3015,'Web Feed'!$B$2:$B$3015,Points!$A$3,'Web Feed'!$F$2:$F$3015,$B362)+SUMIFS('Web Feed'!$O$2:$O$3015,'Web Feed'!$B$2:$B$3015,Points!$A$3,'Web Feed'!$G$2:$G$3015,$B362)+SUMIFS('Web Feed'!$O$2:$O$3015,'Web Feed'!$B$2:$B$3015,Points!$A$3,'Web Feed'!$H$2:$H$3015,$B362)+SUMIFS('Web Feed'!$O$2:$O$3015,'Web Feed'!$B$2:$B$3015,Points!$A$3,'Web Feed'!$I$2:$I$3015,$B362))</f>
        <v/>
      </c>
      <c r="F362">
        <f>IF($B362="","",SUMIFS('Web Feed'!$O$2:$O$3015,'Web Feed'!$B$2:$B$3015,Points!$A$4,'Web Feed'!$F$2:$F$3015,$B362)+SUMIFS('Web Feed'!$O$2:$O$3015,'Web Feed'!$B$2:$B$3015,Points!$A$4,'Web Feed'!$G$2:$G$3015,$B362)+SUMIFS('Web Feed'!$O$2:$O$3015,'Web Feed'!$B$2:$B$3015,Points!$A$4,'Web Feed'!$H$2:$H$3015,$B362)+SUMIFS('Web Feed'!$O$2:$O$3015,'Web Feed'!$B$2:$B$3015,Points!$A$4,'Web Feed'!$I$2:$I$3015,$B362))</f>
        <v/>
      </c>
      <c r="G362">
        <f>IF($B362="","",SUMIFS('Web Feed'!$O$2:$O$3015,'Web Feed'!$B$2:$B$3015,Points!$A$5,'Web Feed'!$F$2:$F$3015,$B362)+SUMIFS('Web Feed'!$O$2:$O$3015,'Web Feed'!$B$2:$B$3015,Points!$A$5,'Web Feed'!$G$2:$G$3015,$B362)+SUMIFS('Web Feed'!$O$2:$O$3015,'Web Feed'!$B$2:$B$3015,Points!$A$5,'Web Feed'!$H$2:$H$3015,$B362)+SUMIFS('Web Feed'!$O$2:$O$3015,'Web Feed'!$B$2:$B$3015,Points!$A$5,'Web Feed'!$I$2:$I$3015,$B362))</f>
        <v/>
      </c>
      <c r="H362">
        <f>IF($B362="","",SUMIFS('Web Feed'!$O$2:$O$3015,'Web Feed'!$B$2:$B$3015,Points!$A$6,'Web Feed'!$F$2:$F$3015,$B362)+SUMIFS('Web Feed'!$O$2:$O$3015,'Web Feed'!$B$2:$B$3015,Points!$A$6,'Web Feed'!$G$2:$G$3015,$B362)+SUMIFS('Web Feed'!$O$2:$O$3015,'Web Feed'!$B$2:$B$3015,Points!$A$6,'Web Feed'!$H$2:$H$3015,$B362)+SUMIFS('Web Feed'!$O$2:$O$3015,'Web Feed'!$B$2:$B$3015,Points!$A$6,'Web Feed'!$I$2:$I$3015,$B362))</f>
        <v/>
      </c>
      <c r="I362">
        <f>IF($B362="","",COUNTIFS('Web Feed'!$B$2:$B$3015,"OHW",'Web Feed'!$F$2:$F$3015,$B362))</f>
        <v/>
      </c>
      <c r="J362">
        <f>IF($B362="","",IFERROR(INDEX('Last Week'!$A$2:$A$301,MATCH($B362,'Last Week'!$B$2:$B$301,0)),""))</f>
        <v/>
      </c>
      <c r="K362">
        <f>IF(OR($B362="",$J362=""),"",$J362-$A362)</f>
        <v/>
      </c>
    </row>
    <row r="363">
      <c r="A363">
        <f>IF($B363="","",RANK($C363,$C$2:$C$500))</f>
        <v/>
      </c>
      <c r="B363">
        <f>IF(Players!$A363="","",Players!$A363)</f>
        <v/>
      </c>
      <c r="C363" s="5">
        <f>IF($B363="","",SUM(D363:H363))</f>
        <v/>
      </c>
      <c r="D363">
        <f>IF($B363="","",SUMIFS('Web Feed'!$O$2:$O$3015,'Web Feed'!$B$2:$B$3015,Points!$A$2,'Web Feed'!$F$2:$F$3015,$B363)+SUMIFS('Web Feed'!$O$2:$O$3015,'Web Feed'!$B$2:$B$3015,Points!$A$2,'Web Feed'!$G$2:$G$3015,$B363)+SUMIFS('Web Feed'!$O$2:$O$3015,'Web Feed'!$B$2:$B$3015,Points!$A$2,'Web Feed'!$H$2:$H$3015,$B363)+SUMIFS('Web Feed'!$O$2:$O$3015,'Web Feed'!$B$2:$B$3015,Points!$A$2,'Web Feed'!$I$2:$I$3015,$B363))</f>
        <v/>
      </c>
      <c r="E363">
        <f>IF($B363="","",SUMIFS('Web Feed'!$O$2:$O$3015,'Web Feed'!$B$2:$B$3015,Points!$A$3,'Web Feed'!$F$2:$F$3015,$B363)+SUMIFS('Web Feed'!$O$2:$O$3015,'Web Feed'!$B$2:$B$3015,Points!$A$3,'Web Feed'!$G$2:$G$3015,$B363)+SUMIFS('Web Feed'!$O$2:$O$3015,'Web Feed'!$B$2:$B$3015,Points!$A$3,'Web Feed'!$H$2:$H$3015,$B363)+SUMIFS('Web Feed'!$O$2:$O$3015,'Web Feed'!$B$2:$B$3015,Points!$A$3,'Web Feed'!$I$2:$I$3015,$B363))</f>
        <v/>
      </c>
      <c r="F363">
        <f>IF($B363="","",SUMIFS('Web Feed'!$O$2:$O$3015,'Web Feed'!$B$2:$B$3015,Points!$A$4,'Web Feed'!$F$2:$F$3015,$B363)+SUMIFS('Web Feed'!$O$2:$O$3015,'Web Feed'!$B$2:$B$3015,Points!$A$4,'Web Feed'!$G$2:$G$3015,$B363)+SUMIFS('Web Feed'!$O$2:$O$3015,'Web Feed'!$B$2:$B$3015,Points!$A$4,'Web Feed'!$H$2:$H$3015,$B363)+SUMIFS('Web Feed'!$O$2:$O$3015,'Web Feed'!$B$2:$B$3015,Points!$A$4,'Web Feed'!$I$2:$I$3015,$B363))</f>
        <v/>
      </c>
      <c r="G363">
        <f>IF($B363="","",SUMIFS('Web Feed'!$O$2:$O$3015,'Web Feed'!$B$2:$B$3015,Points!$A$5,'Web Feed'!$F$2:$F$3015,$B363)+SUMIFS('Web Feed'!$O$2:$O$3015,'Web Feed'!$B$2:$B$3015,Points!$A$5,'Web Feed'!$G$2:$G$3015,$B363)+SUMIFS('Web Feed'!$O$2:$O$3015,'Web Feed'!$B$2:$B$3015,Points!$A$5,'Web Feed'!$H$2:$H$3015,$B363)+SUMIFS('Web Feed'!$O$2:$O$3015,'Web Feed'!$B$2:$B$3015,Points!$A$5,'Web Feed'!$I$2:$I$3015,$B363))</f>
        <v/>
      </c>
      <c r="H363">
        <f>IF($B363="","",SUMIFS('Web Feed'!$O$2:$O$3015,'Web Feed'!$B$2:$B$3015,Points!$A$6,'Web Feed'!$F$2:$F$3015,$B363)+SUMIFS('Web Feed'!$O$2:$O$3015,'Web Feed'!$B$2:$B$3015,Points!$A$6,'Web Feed'!$G$2:$G$3015,$B363)+SUMIFS('Web Feed'!$O$2:$O$3015,'Web Feed'!$B$2:$B$3015,Points!$A$6,'Web Feed'!$H$2:$H$3015,$B363)+SUMIFS('Web Feed'!$O$2:$O$3015,'Web Feed'!$B$2:$B$3015,Points!$A$6,'Web Feed'!$I$2:$I$3015,$B363))</f>
        <v/>
      </c>
      <c r="I363">
        <f>IF($B363="","",COUNTIFS('Web Feed'!$B$2:$B$3015,"OHW",'Web Feed'!$F$2:$F$3015,$B363))</f>
        <v/>
      </c>
      <c r="J363">
        <f>IF($B363="","",IFERROR(INDEX('Last Week'!$A$2:$A$301,MATCH($B363,'Last Week'!$B$2:$B$301,0)),""))</f>
        <v/>
      </c>
      <c r="K363">
        <f>IF(OR($B363="",$J363=""),"",$J363-$A363)</f>
        <v/>
      </c>
    </row>
    <row r="364">
      <c r="A364">
        <f>IF($B364="","",RANK($C364,$C$2:$C$500))</f>
        <v/>
      </c>
      <c r="B364">
        <f>IF(Players!$A364="","",Players!$A364)</f>
        <v/>
      </c>
      <c r="C364" s="5">
        <f>IF($B364="","",SUM(D364:H364))</f>
        <v/>
      </c>
      <c r="D364">
        <f>IF($B364="","",SUMIFS('Web Feed'!$O$2:$O$3015,'Web Feed'!$B$2:$B$3015,Points!$A$2,'Web Feed'!$F$2:$F$3015,$B364)+SUMIFS('Web Feed'!$O$2:$O$3015,'Web Feed'!$B$2:$B$3015,Points!$A$2,'Web Feed'!$G$2:$G$3015,$B364)+SUMIFS('Web Feed'!$O$2:$O$3015,'Web Feed'!$B$2:$B$3015,Points!$A$2,'Web Feed'!$H$2:$H$3015,$B364)+SUMIFS('Web Feed'!$O$2:$O$3015,'Web Feed'!$B$2:$B$3015,Points!$A$2,'Web Feed'!$I$2:$I$3015,$B364))</f>
        <v/>
      </c>
      <c r="E364">
        <f>IF($B364="","",SUMIFS('Web Feed'!$O$2:$O$3015,'Web Feed'!$B$2:$B$3015,Points!$A$3,'Web Feed'!$F$2:$F$3015,$B364)+SUMIFS('Web Feed'!$O$2:$O$3015,'Web Feed'!$B$2:$B$3015,Points!$A$3,'Web Feed'!$G$2:$G$3015,$B364)+SUMIFS('Web Feed'!$O$2:$O$3015,'Web Feed'!$B$2:$B$3015,Points!$A$3,'Web Feed'!$H$2:$H$3015,$B364)+SUMIFS('Web Feed'!$O$2:$O$3015,'Web Feed'!$B$2:$B$3015,Points!$A$3,'Web Feed'!$I$2:$I$3015,$B364))</f>
        <v/>
      </c>
      <c r="F364">
        <f>IF($B364="","",SUMIFS('Web Feed'!$O$2:$O$3015,'Web Feed'!$B$2:$B$3015,Points!$A$4,'Web Feed'!$F$2:$F$3015,$B364)+SUMIFS('Web Feed'!$O$2:$O$3015,'Web Feed'!$B$2:$B$3015,Points!$A$4,'Web Feed'!$G$2:$G$3015,$B364)+SUMIFS('Web Feed'!$O$2:$O$3015,'Web Feed'!$B$2:$B$3015,Points!$A$4,'Web Feed'!$H$2:$H$3015,$B364)+SUMIFS('Web Feed'!$O$2:$O$3015,'Web Feed'!$B$2:$B$3015,Points!$A$4,'Web Feed'!$I$2:$I$3015,$B364))</f>
        <v/>
      </c>
      <c r="G364">
        <f>IF($B364="","",SUMIFS('Web Feed'!$O$2:$O$3015,'Web Feed'!$B$2:$B$3015,Points!$A$5,'Web Feed'!$F$2:$F$3015,$B364)+SUMIFS('Web Feed'!$O$2:$O$3015,'Web Feed'!$B$2:$B$3015,Points!$A$5,'Web Feed'!$G$2:$G$3015,$B364)+SUMIFS('Web Feed'!$O$2:$O$3015,'Web Feed'!$B$2:$B$3015,Points!$A$5,'Web Feed'!$H$2:$H$3015,$B364)+SUMIFS('Web Feed'!$O$2:$O$3015,'Web Feed'!$B$2:$B$3015,Points!$A$5,'Web Feed'!$I$2:$I$3015,$B364))</f>
        <v/>
      </c>
      <c r="H364">
        <f>IF($B364="","",SUMIFS('Web Feed'!$O$2:$O$3015,'Web Feed'!$B$2:$B$3015,Points!$A$6,'Web Feed'!$F$2:$F$3015,$B364)+SUMIFS('Web Feed'!$O$2:$O$3015,'Web Feed'!$B$2:$B$3015,Points!$A$6,'Web Feed'!$G$2:$G$3015,$B364)+SUMIFS('Web Feed'!$O$2:$O$3015,'Web Feed'!$B$2:$B$3015,Points!$A$6,'Web Feed'!$H$2:$H$3015,$B364)+SUMIFS('Web Feed'!$O$2:$O$3015,'Web Feed'!$B$2:$B$3015,Points!$A$6,'Web Feed'!$I$2:$I$3015,$B364))</f>
        <v/>
      </c>
      <c r="I364">
        <f>IF($B364="","",COUNTIFS('Web Feed'!$B$2:$B$3015,"OHW",'Web Feed'!$F$2:$F$3015,$B364))</f>
        <v/>
      </c>
      <c r="J364">
        <f>IF($B364="","",IFERROR(INDEX('Last Week'!$A$2:$A$301,MATCH($B364,'Last Week'!$B$2:$B$301,0)),""))</f>
        <v/>
      </c>
      <c r="K364">
        <f>IF(OR($B364="",$J364=""),"",$J364-$A364)</f>
        <v/>
      </c>
    </row>
    <row r="365">
      <c r="A365">
        <f>IF($B365="","",RANK($C365,$C$2:$C$500))</f>
        <v/>
      </c>
      <c r="B365">
        <f>IF(Players!$A365="","",Players!$A365)</f>
        <v/>
      </c>
      <c r="C365" s="5">
        <f>IF($B365="","",SUM(D365:H365))</f>
        <v/>
      </c>
      <c r="D365">
        <f>IF($B365="","",SUMIFS('Web Feed'!$O$2:$O$3015,'Web Feed'!$B$2:$B$3015,Points!$A$2,'Web Feed'!$F$2:$F$3015,$B365)+SUMIFS('Web Feed'!$O$2:$O$3015,'Web Feed'!$B$2:$B$3015,Points!$A$2,'Web Feed'!$G$2:$G$3015,$B365)+SUMIFS('Web Feed'!$O$2:$O$3015,'Web Feed'!$B$2:$B$3015,Points!$A$2,'Web Feed'!$H$2:$H$3015,$B365)+SUMIFS('Web Feed'!$O$2:$O$3015,'Web Feed'!$B$2:$B$3015,Points!$A$2,'Web Feed'!$I$2:$I$3015,$B365))</f>
        <v/>
      </c>
      <c r="E365">
        <f>IF($B365="","",SUMIFS('Web Feed'!$O$2:$O$3015,'Web Feed'!$B$2:$B$3015,Points!$A$3,'Web Feed'!$F$2:$F$3015,$B365)+SUMIFS('Web Feed'!$O$2:$O$3015,'Web Feed'!$B$2:$B$3015,Points!$A$3,'Web Feed'!$G$2:$G$3015,$B365)+SUMIFS('Web Feed'!$O$2:$O$3015,'Web Feed'!$B$2:$B$3015,Points!$A$3,'Web Feed'!$H$2:$H$3015,$B365)+SUMIFS('Web Feed'!$O$2:$O$3015,'Web Feed'!$B$2:$B$3015,Points!$A$3,'Web Feed'!$I$2:$I$3015,$B365))</f>
        <v/>
      </c>
      <c r="F365">
        <f>IF($B365="","",SUMIFS('Web Feed'!$O$2:$O$3015,'Web Feed'!$B$2:$B$3015,Points!$A$4,'Web Feed'!$F$2:$F$3015,$B365)+SUMIFS('Web Feed'!$O$2:$O$3015,'Web Feed'!$B$2:$B$3015,Points!$A$4,'Web Feed'!$G$2:$G$3015,$B365)+SUMIFS('Web Feed'!$O$2:$O$3015,'Web Feed'!$B$2:$B$3015,Points!$A$4,'Web Feed'!$H$2:$H$3015,$B365)+SUMIFS('Web Feed'!$O$2:$O$3015,'Web Feed'!$B$2:$B$3015,Points!$A$4,'Web Feed'!$I$2:$I$3015,$B365))</f>
        <v/>
      </c>
      <c r="G365">
        <f>IF($B365="","",SUMIFS('Web Feed'!$O$2:$O$3015,'Web Feed'!$B$2:$B$3015,Points!$A$5,'Web Feed'!$F$2:$F$3015,$B365)+SUMIFS('Web Feed'!$O$2:$O$3015,'Web Feed'!$B$2:$B$3015,Points!$A$5,'Web Feed'!$G$2:$G$3015,$B365)+SUMIFS('Web Feed'!$O$2:$O$3015,'Web Feed'!$B$2:$B$3015,Points!$A$5,'Web Feed'!$H$2:$H$3015,$B365)+SUMIFS('Web Feed'!$O$2:$O$3015,'Web Feed'!$B$2:$B$3015,Points!$A$5,'Web Feed'!$I$2:$I$3015,$B365))</f>
        <v/>
      </c>
      <c r="H365">
        <f>IF($B365="","",SUMIFS('Web Feed'!$O$2:$O$3015,'Web Feed'!$B$2:$B$3015,Points!$A$6,'Web Feed'!$F$2:$F$3015,$B365)+SUMIFS('Web Feed'!$O$2:$O$3015,'Web Feed'!$B$2:$B$3015,Points!$A$6,'Web Feed'!$G$2:$G$3015,$B365)+SUMIFS('Web Feed'!$O$2:$O$3015,'Web Feed'!$B$2:$B$3015,Points!$A$6,'Web Feed'!$H$2:$H$3015,$B365)+SUMIFS('Web Feed'!$O$2:$O$3015,'Web Feed'!$B$2:$B$3015,Points!$A$6,'Web Feed'!$I$2:$I$3015,$B365))</f>
        <v/>
      </c>
      <c r="I365">
        <f>IF($B365="","",COUNTIFS('Web Feed'!$B$2:$B$3015,"OHW",'Web Feed'!$F$2:$F$3015,$B365))</f>
        <v/>
      </c>
      <c r="J365">
        <f>IF($B365="","",IFERROR(INDEX('Last Week'!$A$2:$A$301,MATCH($B365,'Last Week'!$B$2:$B$301,0)),""))</f>
        <v/>
      </c>
      <c r="K365">
        <f>IF(OR($B365="",$J365=""),"",$J365-$A365)</f>
        <v/>
      </c>
    </row>
    <row r="366">
      <c r="A366">
        <f>IF($B366="","",RANK($C366,$C$2:$C$500))</f>
        <v/>
      </c>
      <c r="B366">
        <f>IF(Players!$A366="","",Players!$A366)</f>
        <v/>
      </c>
      <c r="C366" s="5">
        <f>IF($B366="","",SUM(D366:H366))</f>
        <v/>
      </c>
      <c r="D366">
        <f>IF($B366="","",SUMIFS('Web Feed'!$O$2:$O$3015,'Web Feed'!$B$2:$B$3015,Points!$A$2,'Web Feed'!$F$2:$F$3015,$B366)+SUMIFS('Web Feed'!$O$2:$O$3015,'Web Feed'!$B$2:$B$3015,Points!$A$2,'Web Feed'!$G$2:$G$3015,$B366)+SUMIFS('Web Feed'!$O$2:$O$3015,'Web Feed'!$B$2:$B$3015,Points!$A$2,'Web Feed'!$H$2:$H$3015,$B366)+SUMIFS('Web Feed'!$O$2:$O$3015,'Web Feed'!$B$2:$B$3015,Points!$A$2,'Web Feed'!$I$2:$I$3015,$B366))</f>
        <v/>
      </c>
      <c r="E366">
        <f>IF($B366="","",SUMIFS('Web Feed'!$O$2:$O$3015,'Web Feed'!$B$2:$B$3015,Points!$A$3,'Web Feed'!$F$2:$F$3015,$B366)+SUMIFS('Web Feed'!$O$2:$O$3015,'Web Feed'!$B$2:$B$3015,Points!$A$3,'Web Feed'!$G$2:$G$3015,$B366)+SUMIFS('Web Feed'!$O$2:$O$3015,'Web Feed'!$B$2:$B$3015,Points!$A$3,'Web Feed'!$H$2:$H$3015,$B366)+SUMIFS('Web Feed'!$O$2:$O$3015,'Web Feed'!$B$2:$B$3015,Points!$A$3,'Web Feed'!$I$2:$I$3015,$B366))</f>
        <v/>
      </c>
      <c r="F366">
        <f>IF($B366="","",SUMIFS('Web Feed'!$O$2:$O$3015,'Web Feed'!$B$2:$B$3015,Points!$A$4,'Web Feed'!$F$2:$F$3015,$B366)+SUMIFS('Web Feed'!$O$2:$O$3015,'Web Feed'!$B$2:$B$3015,Points!$A$4,'Web Feed'!$G$2:$G$3015,$B366)+SUMIFS('Web Feed'!$O$2:$O$3015,'Web Feed'!$B$2:$B$3015,Points!$A$4,'Web Feed'!$H$2:$H$3015,$B366)+SUMIFS('Web Feed'!$O$2:$O$3015,'Web Feed'!$B$2:$B$3015,Points!$A$4,'Web Feed'!$I$2:$I$3015,$B366))</f>
        <v/>
      </c>
      <c r="G366">
        <f>IF($B366="","",SUMIFS('Web Feed'!$O$2:$O$3015,'Web Feed'!$B$2:$B$3015,Points!$A$5,'Web Feed'!$F$2:$F$3015,$B366)+SUMIFS('Web Feed'!$O$2:$O$3015,'Web Feed'!$B$2:$B$3015,Points!$A$5,'Web Feed'!$G$2:$G$3015,$B366)+SUMIFS('Web Feed'!$O$2:$O$3015,'Web Feed'!$B$2:$B$3015,Points!$A$5,'Web Feed'!$H$2:$H$3015,$B366)+SUMIFS('Web Feed'!$O$2:$O$3015,'Web Feed'!$B$2:$B$3015,Points!$A$5,'Web Feed'!$I$2:$I$3015,$B366))</f>
        <v/>
      </c>
      <c r="H366">
        <f>IF($B366="","",SUMIFS('Web Feed'!$O$2:$O$3015,'Web Feed'!$B$2:$B$3015,Points!$A$6,'Web Feed'!$F$2:$F$3015,$B366)+SUMIFS('Web Feed'!$O$2:$O$3015,'Web Feed'!$B$2:$B$3015,Points!$A$6,'Web Feed'!$G$2:$G$3015,$B366)+SUMIFS('Web Feed'!$O$2:$O$3015,'Web Feed'!$B$2:$B$3015,Points!$A$6,'Web Feed'!$H$2:$H$3015,$B366)+SUMIFS('Web Feed'!$O$2:$O$3015,'Web Feed'!$B$2:$B$3015,Points!$A$6,'Web Feed'!$I$2:$I$3015,$B366))</f>
        <v/>
      </c>
      <c r="I366">
        <f>IF($B366="","",COUNTIFS('Web Feed'!$B$2:$B$3015,"OHW",'Web Feed'!$F$2:$F$3015,$B366))</f>
        <v/>
      </c>
      <c r="J366">
        <f>IF($B366="","",IFERROR(INDEX('Last Week'!$A$2:$A$301,MATCH($B366,'Last Week'!$B$2:$B$301,0)),""))</f>
        <v/>
      </c>
      <c r="K366">
        <f>IF(OR($B366="",$J366=""),"",$J366-$A366)</f>
        <v/>
      </c>
    </row>
    <row r="367">
      <c r="A367">
        <f>IF($B367="","",RANK($C367,$C$2:$C$500))</f>
        <v/>
      </c>
      <c r="B367">
        <f>IF(Players!$A367="","",Players!$A367)</f>
        <v/>
      </c>
      <c r="C367" s="5">
        <f>IF($B367="","",SUM(D367:H367))</f>
        <v/>
      </c>
      <c r="D367">
        <f>IF($B367="","",SUMIFS('Web Feed'!$O$2:$O$3015,'Web Feed'!$B$2:$B$3015,Points!$A$2,'Web Feed'!$F$2:$F$3015,$B367)+SUMIFS('Web Feed'!$O$2:$O$3015,'Web Feed'!$B$2:$B$3015,Points!$A$2,'Web Feed'!$G$2:$G$3015,$B367)+SUMIFS('Web Feed'!$O$2:$O$3015,'Web Feed'!$B$2:$B$3015,Points!$A$2,'Web Feed'!$H$2:$H$3015,$B367)+SUMIFS('Web Feed'!$O$2:$O$3015,'Web Feed'!$B$2:$B$3015,Points!$A$2,'Web Feed'!$I$2:$I$3015,$B367))</f>
        <v/>
      </c>
      <c r="E367">
        <f>IF($B367="","",SUMIFS('Web Feed'!$O$2:$O$3015,'Web Feed'!$B$2:$B$3015,Points!$A$3,'Web Feed'!$F$2:$F$3015,$B367)+SUMIFS('Web Feed'!$O$2:$O$3015,'Web Feed'!$B$2:$B$3015,Points!$A$3,'Web Feed'!$G$2:$G$3015,$B367)+SUMIFS('Web Feed'!$O$2:$O$3015,'Web Feed'!$B$2:$B$3015,Points!$A$3,'Web Feed'!$H$2:$H$3015,$B367)+SUMIFS('Web Feed'!$O$2:$O$3015,'Web Feed'!$B$2:$B$3015,Points!$A$3,'Web Feed'!$I$2:$I$3015,$B367))</f>
        <v/>
      </c>
      <c r="F367">
        <f>IF($B367="","",SUMIFS('Web Feed'!$O$2:$O$3015,'Web Feed'!$B$2:$B$3015,Points!$A$4,'Web Feed'!$F$2:$F$3015,$B367)+SUMIFS('Web Feed'!$O$2:$O$3015,'Web Feed'!$B$2:$B$3015,Points!$A$4,'Web Feed'!$G$2:$G$3015,$B367)+SUMIFS('Web Feed'!$O$2:$O$3015,'Web Feed'!$B$2:$B$3015,Points!$A$4,'Web Feed'!$H$2:$H$3015,$B367)+SUMIFS('Web Feed'!$O$2:$O$3015,'Web Feed'!$B$2:$B$3015,Points!$A$4,'Web Feed'!$I$2:$I$3015,$B367))</f>
        <v/>
      </c>
      <c r="G367">
        <f>IF($B367="","",SUMIFS('Web Feed'!$O$2:$O$3015,'Web Feed'!$B$2:$B$3015,Points!$A$5,'Web Feed'!$F$2:$F$3015,$B367)+SUMIFS('Web Feed'!$O$2:$O$3015,'Web Feed'!$B$2:$B$3015,Points!$A$5,'Web Feed'!$G$2:$G$3015,$B367)+SUMIFS('Web Feed'!$O$2:$O$3015,'Web Feed'!$B$2:$B$3015,Points!$A$5,'Web Feed'!$H$2:$H$3015,$B367)+SUMIFS('Web Feed'!$O$2:$O$3015,'Web Feed'!$B$2:$B$3015,Points!$A$5,'Web Feed'!$I$2:$I$3015,$B367))</f>
        <v/>
      </c>
      <c r="H367">
        <f>IF($B367="","",SUMIFS('Web Feed'!$O$2:$O$3015,'Web Feed'!$B$2:$B$3015,Points!$A$6,'Web Feed'!$F$2:$F$3015,$B367)+SUMIFS('Web Feed'!$O$2:$O$3015,'Web Feed'!$B$2:$B$3015,Points!$A$6,'Web Feed'!$G$2:$G$3015,$B367)+SUMIFS('Web Feed'!$O$2:$O$3015,'Web Feed'!$B$2:$B$3015,Points!$A$6,'Web Feed'!$H$2:$H$3015,$B367)+SUMIFS('Web Feed'!$O$2:$O$3015,'Web Feed'!$B$2:$B$3015,Points!$A$6,'Web Feed'!$I$2:$I$3015,$B367))</f>
        <v/>
      </c>
      <c r="I367">
        <f>IF($B367="","",COUNTIFS('Web Feed'!$B$2:$B$3015,"OHW",'Web Feed'!$F$2:$F$3015,$B367))</f>
        <v/>
      </c>
      <c r="J367">
        <f>IF($B367="","",IFERROR(INDEX('Last Week'!$A$2:$A$301,MATCH($B367,'Last Week'!$B$2:$B$301,0)),""))</f>
        <v/>
      </c>
      <c r="K367">
        <f>IF(OR($B367="",$J367=""),"",$J367-$A367)</f>
        <v/>
      </c>
    </row>
    <row r="368">
      <c r="A368">
        <f>IF($B368="","",RANK($C368,$C$2:$C$500))</f>
        <v/>
      </c>
      <c r="B368">
        <f>IF(Players!$A368="","",Players!$A368)</f>
        <v/>
      </c>
      <c r="C368" s="5">
        <f>IF($B368="","",SUM(D368:H368))</f>
        <v/>
      </c>
      <c r="D368">
        <f>IF($B368="","",SUMIFS('Web Feed'!$O$2:$O$3015,'Web Feed'!$B$2:$B$3015,Points!$A$2,'Web Feed'!$F$2:$F$3015,$B368)+SUMIFS('Web Feed'!$O$2:$O$3015,'Web Feed'!$B$2:$B$3015,Points!$A$2,'Web Feed'!$G$2:$G$3015,$B368)+SUMIFS('Web Feed'!$O$2:$O$3015,'Web Feed'!$B$2:$B$3015,Points!$A$2,'Web Feed'!$H$2:$H$3015,$B368)+SUMIFS('Web Feed'!$O$2:$O$3015,'Web Feed'!$B$2:$B$3015,Points!$A$2,'Web Feed'!$I$2:$I$3015,$B368))</f>
        <v/>
      </c>
      <c r="E368">
        <f>IF($B368="","",SUMIFS('Web Feed'!$O$2:$O$3015,'Web Feed'!$B$2:$B$3015,Points!$A$3,'Web Feed'!$F$2:$F$3015,$B368)+SUMIFS('Web Feed'!$O$2:$O$3015,'Web Feed'!$B$2:$B$3015,Points!$A$3,'Web Feed'!$G$2:$G$3015,$B368)+SUMIFS('Web Feed'!$O$2:$O$3015,'Web Feed'!$B$2:$B$3015,Points!$A$3,'Web Feed'!$H$2:$H$3015,$B368)+SUMIFS('Web Feed'!$O$2:$O$3015,'Web Feed'!$B$2:$B$3015,Points!$A$3,'Web Feed'!$I$2:$I$3015,$B368))</f>
        <v/>
      </c>
      <c r="F368">
        <f>IF($B368="","",SUMIFS('Web Feed'!$O$2:$O$3015,'Web Feed'!$B$2:$B$3015,Points!$A$4,'Web Feed'!$F$2:$F$3015,$B368)+SUMIFS('Web Feed'!$O$2:$O$3015,'Web Feed'!$B$2:$B$3015,Points!$A$4,'Web Feed'!$G$2:$G$3015,$B368)+SUMIFS('Web Feed'!$O$2:$O$3015,'Web Feed'!$B$2:$B$3015,Points!$A$4,'Web Feed'!$H$2:$H$3015,$B368)+SUMIFS('Web Feed'!$O$2:$O$3015,'Web Feed'!$B$2:$B$3015,Points!$A$4,'Web Feed'!$I$2:$I$3015,$B368))</f>
        <v/>
      </c>
      <c r="G368">
        <f>IF($B368="","",SUMIFS('Web Feed'!$O$2:$O$3015,'Web Feed'!$B$2:$B$3015,Points!$A$5,'Web Feed'!$F$2:$F$3015,$B368)+SUMIFS('Web Feed'!$O$2:$O$3015,'Web Feed'!$B$2:$B$3015,Points!$A$5,'Web Feed'!$G$2:$G$3015,$B368)+SUMIFS('Web Feed'!$O$2:$O$3015,'Web Feed'!$B$2:$B$3015,Points!$A$5,'Web Feed'!$H$2:$H$3015,$B368)+SUMIFS('Web Feed'!$O$2:$O$3015,'Web Feed'!$B$2:$B$3015,Points!$A$5,'Web Feed'!$I$2:$I$3015,$B368))</f>
        <v/>
      </c>
      <c r="H368">
        <f>IF($B368="","",SUMIFS('Web Feed'!$O$2:$O$3015,'Web Feed'!$B$2:$B$3015,Points!$A$6,'Web Feed'!$F$2:$F$3015,$B368)+SUMIFS('Web Feed'!$O$2:$O$3015,'Web Feed'!$B$2:$B$3015,Points!$A$6,'Web Feed'!$G$2:$G$3015,$B368)+SUMIFS('Web Feed'!$O$2:$O$3015,'Web Feed'!$B$2:$B$3015,Points!$A$6,'Web Feed'!$H$2:$H$3015,$B368)+SUMIFS('Web Feed'!$O$2:$O$3015,'Web Feed'!$B$2:$B$3015,Points!$A$6,'Web Feed'!$I$2:$I$3015,$B368))</f>
        <v/>
      </c>
      <c r="I368">
        <f>IF($B368="","",COUNTIFS('Web Feed'!$B$2:$B$3015,"OHW",'Web Feed'!$F$2:$F$3015,$B368))</f>
        <v/>
      </c>
      <c r="J368">
        <f>IF($B368="","",IFERROR(INDEX('Last Week'!$A$2:$A$301,MATCH($B368,'Last Week'!$B$2:$B$301,0)),""))</f>
        <v/>
      </c>
      <c r="K368">
        <f>IF(OR($B368="",$J368=""),"",$J368-$A368)</f>
        <v/>
      </c>
    </row>
    <row r="369">
      <c r="A369">
        <f>IF($B369="","",RANK($C369,$C$2:$C$500))</f>
        <v/>
      </c>
      <c r="B369">
        <f>IF(Players!$A369="","",Players!$A369)</f>
        <v/>
      </c>
      <c r="C369" s="5">
        <f>IF($B369="","",SUM(D369:H369))</f>
        <v/>
      </c>
      <c r="D369">
        <f>IF($B369="","",SUMIFS('Web Feed'!$O$2:$O$3015,'Web Feed'!$B$2:$B$3015,Points!$A$2,'Web Feed'!$F$2:$F$3015,$B369)+SUMIFS('Web Feed'!$O$2:$O$3015,'Web Feed'!$B$2:$B$3015,Points!$A$2,'Web Feed'!$G$2:$G$3015,$B369)+SUMIFS('Web Feed'!$O$2:$O$3015,'Web Feed'!$B$2:$B$3015,Points!$A$2,'Web Feed'!$H$2:$H$3015,$B369)+SUMIFS('Web Feed'!$O$2:$O$3015,'Web Feed'!$B$2:$B$3015,Points!$A$2,'Web Feed'!$I$2:$I$3015,$B369))</f>
        <v/>
      </c>
      <c r="E369">
        <f>IF($B369="","",SUMIFS('Web Feed'!$O$2:$O$3015,'Web Feed'!$B$2:$B$3015,Points!$A$3,'Web Feed'!$F$2:$F$3015,$B369)+SUMIFS('Web Feed'!$O$2:$O$3015,'Web Feed'!$B$2:$B$3015,Points!$A$3,'Web Feed'!$G$2:$G$3015,$B369)+SUMIFS('Web Feed'!$O$2:$O$3015,'Web Feed'!$B$2:$B$3015,Points!$A$3,'Web Feed'!$H$2:$H$3015,$B369)+SUMIFS('Web Feed'!$O$2:$O$3015,'Web Feed'!$B$2:$B$3015,Points!$A$3,'Web Feed'!$I$2:$I$3015,$B369))</f>
        <v/>
      </c>
      <c r="F369">
        <f>IF($B369="","",SUMIFS('Web Feed'!$O$2:$O$3015,'Web Feed'!$B$2:$B$3015,Points!$A$4,'Web Feed'!$F$2:$F$3015,$B369)+SUMIFS('Web Feed'!$O$2:$O$3015,'Web Feed'!$B$2:$B$3015,Points!$A$4,'Web Feed'!$G$2:$G$3015,$B369)+SUMIFS('Web Feed'!$O$2:$O$3015,'Web Feed'!$B$2:$B$3015,Points!$A$4,'Web Feed'!$H$2:$H$3015,$B369)+SUMIFS('Web Feed'!$O$2:$O$3015,'Web Feed'!$B$2:$B$3015,Points!$A$4,'Web Feed'!$I$2:$I$3015,$B369))</f>
        <v/>
      </c>
      <c r="G369">
        <f>IF($B369="","",SUMIFS('Web Feed'!$O$2:$O$3015,'Web Feed'!$B$2:$B$3015,Points!$A$5,'Web Feed'!$F$2:$F$3015,$B369)+SUMIFS('Web Feed'!$O$2:$O$3015,'Web Feed'!$B$2:$B$3015,Points!$A$5,'Web Feed'!$G$2:$G$3015,$B369)+SUMIFS('Web Feed'!$O$2:$O$3015,'Web Feed'!$B$2:$B$3015,Points!$A$5,'Web Feed'!$H$2:$H$3015,$B369)+SUMIFS('Web Feed'!$O$2:$O$3015,'Web Feed'!$B$2:$B$3015,Points!$A$5,'Web Feed'!$I$2:$I$3015,$B369))</f>
        <v/>
      </c>
      <c r="H369">
        <f>IF($B369="","",SUMIFS('Web Feed'!$O$2:$O$3015,'Web Feed'!$B$2:$B$3015,Points!$A$6,'Web Feed'!$F$2:$F$3015,$B369)+SUMIFS('Web Feed'!$O$2:$O$3015,'Web Feed'!$B$2:$B$3015,Points!$A$6,'Web Feed'!$G$2:$G$3015,$B369)+SUMIFS('Web Feed'!$O$2:$O$3015,'Web Feed'!$B$2:$B$3015,Points!$A$6,'Web Feed'!$H$2:$H$3015,$B369)+SUMIFS('Web Feed'!$O$2:$O$3015,'Web Feed'!$B$2:$B$3015,Points!$A$6,'Web Feed'!$I$2:$I$3015,$B369))</f>
        <v/>
      </c>
      <c r="I369">
        <f>IF($B369="","",COUNTIFS('Web Feed'!$B$2:$B$3015,"OHW",'Web Feed'!$F$2:$F$3015,$B369))</f>
        <v/>
      </c>
      <c r="J369">
        <f>IF($B369="","",IFERROR(INDEX('Last Week'!$A$2:$A$301,MATCH($B369,'Last Week'!$B$2:$B$301,0)),""))</f>
        <v/>
      </c>
      <c r="K369">
        <f>IF(OR($B369="",$J369=""),"",$J369-$A369)</f>
        <v/>
      </c>
    </row>
    <row r="370">
      <c r="A370">
        <f>IF($B370="","",RANK($C370,$C$2:$C$500))</f>
        <v/>
      </c>
      <c r="B370">
        <f>IF(Players!$A370="","",Players!$A370)</f>
        <v/>
      </c>
      <c r="C370" s="5">
        <f>IF($B370="","",SUM(D370:H370))</f>
        <v/>
      </c>
      <c r="D370">
        <f>IF($B370="","",SUMIFS('Web Feed'!$O$2:$O$3015,'Web Feed'!$B$2:$B$3015,Points!$A$2,'Web Feed'!$F$2:$F$3015,$B370)+SUMIFS('Web Feed'!$O$2:$O$3015,'Web Feed'!$B$2:$B$3015,Points!$A$2,'Web Feed'!$G$2:$G$3015,$B370)+SUMIFS('Web Feed'!$O$2:$O$3015,'Web Feed'!$B$2:$B$3015,Points!$A$2,'Web Feed'!$H$2:$H$3015,$B370)+SUMIFS('Web Feed'!$O$2:$O$3015,'Web Feed'!$B$2:$B$3015,Points!$A$2,'Web Feed'!$I$2:$I$3015,$B370))</f>
        <v/>
      </c>
      <c r="E370">
        <f>IF($B370="","",SUMIFS('Web Feed'!$O$2:$O$3015,'Web Feed'!$B$2:$B$3015,Points!$A$3,'Web Feed'!$F$2:$F$3015,$B370)+SUMIFS('Web Feed'!$O$2:$O$3015,'Web Feed'!$B$2:$B$3015,Points!$A$3,'Web Feed'!$G$2:$G$3015,$B370)+SUMIFS('Web Feed'!$O$2:$O$3015,'Web Feed'!$B$2:$B$3015,Points!$A$3,'Web Feed'!$H$2:$H$3015,$B370)+SUMIFS('Web Feed'!$O$2:$O$3015,'Web Feed'!$B$2:$B$3015,Points!$A$3,'Web Feed'!$I$2:$I$3015,$B370))</f>
        <v/>
      </c>
      <c r="F370">
        <f>IF($B370="","",SUMIFS('Web Feed'!$O$2:$O$3015,'Web Feed'!$B$2:$B$3015,Points!$A$4,'Web Feed'!$F$2:$F$3015,$B370)+SUMIFS('Web Feed'!$O$2:$O$3015,'Web Feed'!$B$2:$B$3015,Points!$A$4,'Web Feed'!$G$2:$G$3015,$B370)+SUMIFS('Web Feed'!$O$2:$O$3015,'Web Feed'!$B$2:$B$3015,Points!$A$4,'Web Feed'!$H$2:$H$3015,$B370)+SUMIFS('Web Feed'!$O$2:$O$3015,'Web Feed'!$B$2:$B$3015,Points!$A$4,'Web Feed'!$I$2:$I$3015,$B370))</f>
        <v/>
      </c>
      <c r="G370">
        <f>IF($B370="","",SUMIFS('Web Feed'!$O$2:$O$3015,'Web Feed'!$B$2:$B$3015,Points!$A$5,'Web Feed'!$F$2:$F$3015,$B370)+SUMIFS('Web Feed'!$O$2:$O$3015,'Web Feed'!$B$2:$B$3015,Points!$A$5,'Web Feed'!$G$2:$G$3015,$B370)+SUMIFS('Web Feed'!$O$2:$O$3015,'Web Feed'!$B$2:$B$3015,Points!$A$5,'Web Feed'!$H$2:$H$3015,$B370)+SUMIFS('Web Feed'!$O$2:$O$3015,'Web Feed'!$B$2:$B$3015,Points!$A$5,'Web Feed'!$I$2:$I$3015,$B370))</f>
        <v/>
      </c>
      <c r="H370">
        <f>IF($B370="","",SUMIFS('Web Feed'!$O$2:$O$3015,'Web Feed'!$B$2:$B$3015,Points!$A$6,'Web Feed'!$F$2:$F$3015,$B370)+SUMIFS('Web Feed'!$O$2:$O$3015,'Web Feed'!$B$2:$B$3015,Points!$A$6,'Web Feed'!$G$2:$G$3015,$B370)+SUMIFS('Web Feed'!$O$2:$O$3015,'Web Feed'!$B$2:$B$3015,Points!$A$6,'Web Feed'!$H$2:$H$3015,$B370)+SUMIFS('Web Feed'!$O$2:$O$3015,'Web Feed'!$B$2:$B$3015,Points!$A$6,'Web Feed'!$I$2:$I$3015,$B370))</f>
        <v/>
      </c>
      <c r="I370">
        <f>IF($B370="","",COUNTIFS('Web Feed'!$B$2:$B$3015,"OHW",'Web Feed'!$F$2:$F$3015,$B370))</f>
        <v/>
      </c>
      <c r="J370">
        <f>IF($B370="","",IFERROR(INDEX('Last Week'!$A$2:$A$301,MATCH($B370,'Last Week'!$B$2:$B$301,0)),""))</f>
        <v/>
      </c>
      <c r="K370">
        <f>IF(OR($B370="",$J370=""),"",$J370-$A370)</f>
        <v/>
      </c>
    </row>
    <row r="371">
      <c r="A371">
        <f>IF($B371="","",RANK($C371,$C$2:$C$500))</f>
        <v/>
      </c>
      <c r="B371">
        <f>IF(Players!$A371="","",Players!$A371)</f>
        <v/>
      </c>
      <c r="C371" s="5">
        <f>IF($B371="","",SUM(D371:H371))</f>
        <v/>
      </c>
      <c r="D371">
        <f>IF($B371="","",SUMIFS('Web Feed'!$O$2:$O$3015,'Web Feed'!$B$2:$B$3015,Points!$A$2,'Web Feed'!$F$2:$F$3015,$B371)+SUMIFS('Web Feed'!$O$2:$O$3015,'Web Feed'!$B$2:$B$3015,Points!$A$2,'Web Feed'!$G$2:$G$3015,$B371)+SUMIFS('Web Feed'!$O$2:$O$3015,'Web Feed'!$B$2:$B$3015,Points!$A$2,'Web Feed'!$H$2:$H$3015,$B371)+SUMIFS('Web Feed'!$O$2:$O$3015,'Web Feed'!$B$2:$B$3015,Points!$A$2,'Web Feed'!$I$2:$I$3015,$B371))</f>
        <v/>
      </c>
      <c r="E371">
        <f>IF($B371="","",SUMIFS('Web Feed'!$O$2:$O$3015,'Web Feed'!$B$2:$B$3015,Points!$A$3,'Web Feed'!$F$2:$F$3015,$B371)+SUMIFS('Web Feed'!$O$2:$O$3015,'Web Feed'!$B$2:$B$3015,Points!$A$3,'Web Feed'!$G$2:$G$3015,$B371)+SUMIFS('Web Feed'!$O$2:$O$3015,'Web Feed'!$B$2:$B$3015,Points!$A$3,'Web Feed'!$H$2:$H$3015,$B371)+SUMIFS('Web Feed'!$O$2:$O$3015,'Web Feed'!$B$2:$B$3015,Points!$A$3,'Web Feed'!$I$2:$I$3015,$B371))</f>
        <v/>
      </c>
      <c r="F371">
        <f>IF($B371="","",SUMIFS('Web Feed'!$O$2:$O$3015,'Web Feed'!$B$2:$B$3015,Points!$A$4,'Web Feed'!$F$2:$F$3015,$B371)+SUMIFS('Web Feed'!$O$2:$O$3015,'Web Feed'!$B$2:$B$3015,Points!$A$4,'Web Feed'!$G$2:$G$3015,$B371)+SUMIFS('Web Feed'!$O$2:$O$3015,'Web Feed'!$B$2:$B$3015,Points!$A$4,'Web Feed'!$H$2:$H$3015,$B371)+SUMIFS('Web Feed'!$O$2:$O$3015,'Web Feed'!$B$2:$B$3015,Points!$A$4,'Web Feed'!$I$2:$I$3015,$B371))</f>
        <v/>
      </c>
      <c r="G371">
        <f>IF($B371="","",SUMIFS('Web Feed'!$O$2:$O$3015,'Web Feed'!$B$2:$B$3015,Points!$A$5,'Web Feed'!$F$2:$F$3015,$B371)+SUMIFS('Web Feed'!$O$2:$O$3015,'Web Feed'!$B$2:$B$3015,Points!$A$5,'Web Feed'!$G$2:$G$3015,$B371)+SUMIFS('Web Feed'!$O$2:$O$3015,'Web Feed'!$B$2:$B$3015,Points!$A$5,'Web Feed'!$H$2:$H$3015,$B371)+SUMIFS('Web Feed'!$O$2:$O$3015,'Web Feed'!$B$2:$B$3015,Points!$A$5,'Web Feed'!$I$2:$I$3015,$B371))</f>
        <v/>
      </c>
      <c r="H371">
        <f>IF($B371="","",SUMIFS('Web Feed'!$O$2:$O$3015,'Web Feed'!$B$2:$B$3015,Points!$A$6,'Web Feed'!$F$2:$F$3015,$B371)+SUMIFS('Web Feed'!$O$2:$O$3015,'Web Feed'!$B$2:$B$3015,Points!$A$6,'Web Feed'!$G$2:$G$3015,$B371)+SUMIFS('Web Feed'!$O$2:$O$3015,'Web Feed'!$B$2:$B$3015,Points!$A$6,'Web Feed'!$H$2:$H$3015,$B371)+SUMIFS('Web Feed'!$O$2:$O$3015,'Web Feed'!$B$2:$B$3015,Points!$A$6,'Web Feed'!$I$2:$I$3015,$B371))</f>
        <v/>
      </c>
      <c r="I371">
        <f>IF($B371="","",COUNTIFS('Web Feed'!$B$2:$B$3015,"OHW",'Web Feed'!$F$2:$F$3015,$B371))</f>
        <v/>
      </c>
      <c r="J371">
        <f>IF($B371="","",IFERROR(INDEX('Last Week'!$A$2:$A$301,MATCH($B371,'Last Week'!$B$2:$B$301,0)),""))</f>
        <v/>
      </c>
      <c r="K371">
        <f>IF(OR($B371="",$J371=""),"",$J371-$A371)</f>
        <v/>
      </c>
    </row>
    <row r="372">
      <c r="A372">
        <f>IF($B372="","",RANK($C372,$C$2:$C$500))</f>
        <v/>
      </c>
      <c r="B372">
        <f>IF(Players!$A372="","",Players!$A372)</f>
        <v/>
      </c>
      <c r="C372" s="5">
        <f>IF($B372="","",SUM(D372:H372))</f>
        <v/>
      </c>
      <c r="D372">
        <f>IF($B372="","",SUMIFS('Web Feed'!$O$2:$O$3015,'Web Feed'!$B$2:$B$3015,Points!$A$2,'Web Feed'!$F$2:$F$3015,$B372)+SUMIFS('Web Feed'!$O$2:$O$3015,'Web Feed'!$B$2:$B$3015,Points!$A$2,'Web Feed'!$G$2:$G$3015,$B372)+SUMIFS('Web Feed'!$O$2:$O$3015,'Web Feed'!$B$2:$B$3015,Points!$A$2,'Web Feed'!$H$2:$H$3015,$B372)+SUMIFS('Web Feed'!$O$2:$O$3015,'Web Feed'!$B$2:$B$3015,Points!$A$2,'Web Feed'!$I$2:$I$3015,$B372))</f>
        <v/>
      </c>
      <c r="E372">
        <f>IF($B372="","",SUMIFS('Web Feed'!$O$2:$O$3015,'Web Feed'!$B$2:$B$3015,Points!$A$3,'Web Feed'!$F$2:$F$3015,$B372)+SUMIFS('Web Feed'!$O$2:$O$3015,'Web Feed'!$B$2:$B$3015,Points!$A$3,'Web Feed'!$G$2:$G$3015,$B372)+SUMIFS('Web Feed'!$O$2:$O$3015,'Web Feed'!$B$2:$B$3015,Points!$A$3,'Web Feed'!$H$2:$H$3015,$B372)+SUMIFS('Web Feed'!$O$2:$O$3015,'Web Feed'!$B$2:$B$3015,Points!$A$3,'Web Feed'!$I$2:$I$3015,$B372))</f>
        <v/>
      </c>
      <c r="F372">
        <f>IF($B372="","",SUMIFS('Web Feed'!$O$2:$O$3015,'Web Feed'!$B$2:$B$3015,Points!$A$4,'Web Feed'!$F$2:$F$3015,$B372)+SUMIFS('Web Feed'!$O$2:$O$3015,'Web Feed'!$B$2:$B$3015,Points!$A$4,'Web Feed'!$G$2:$G$3015,$B372)+SUMIFS('Web Feed'!$O$2:$O$3015,'Web Feed'!$B$2:$B$3015,Points!$A$4,'Web Feed'!$H$2:$H$3015,$B372)+SUMIFS('Web Feed'!$O$2:$O$3015,'Web Feed'!$B$2:$B$3015,Points!$A$4,'Web Feed'!$I$2:$I$3015,$B372))</f>
        <v/>
      </c>
      <c r="G372">
        <f>IF($B372="","",SUMIFS('Web Feed'!$O$2:$O$3015,'Web Feed'!$B$2:$B$3015,Points!$A$5,'Web Feed'!$F$2:$F$3015,$B372)+SUMIFS('Web Feed'!$O$2:$O$3015,'Web Feed'!$B$2:$B$3015,Points!$A$5,'Web Feed'!$G$2:$G$3015,$B372)+SUMIFS('Web Feed'!$O$2:$O$3015,'Web Feed'!$B$2:$B$3015,Points!$A$5,'Web Feed'!$H$2:$H$3015,$B372)+SUMIFS('Web Feed'!$O$2:$O$3015,'Web Feed'!$B$2:$B$3015,Points!$A$5,'Web Feed'!$I$2:$I$3015,$B372))</f>
        <v/>
      </c>
      <c r="H372">
        <f>IF($B372="","",SUMIFS('Web Feed'!$O$2:$O$3015,'Web Feed'!$B$2:$B$3015,Points!$A$6,'Web Feed'!$F$2:$F$3015,$B372)+SUMIFS('Web Feed'!$O$2:$O$3015,'Web Feed'!$B$2:$B$3015,Points!$A$6,'Web Feed'!$G$2:$G$3015,$B372)+SUMIFS('Web Feed'!$O$2:$O$3015,'Web Feed'!$B$2:$B$3015,Points!$A$6,'Web Feed'!$H$2:$H$3015,$B372)+SUMIFS('Web Feed'!$O$2:$O$3015,'Web Feed'!$B$2:$B$3015,Points!$A$6,'Web Feed'!$I$2:$I$3015,$B372))</f>
        <v/>
      </c>
      <c r="I372">
        <f>IF($B372="","",COUNTIFS('Web Feed'!$B$2:$B$3015,"OHW",'Web Feed'!$F$2:$F$3015,$B372))</f>
        <v/>
      </c>
      <c r="J372">
        <f>IF($B372="","",IFERROR(INDEX('Last Week'!$A$2:$A$301,MATCH($B372,'Last Week'!$B$2:$B$301,0)),""))</f>
        <v/>
      </c>
      <c r="K372">
        <f>IF(OR($B372="",$J372=""),"",$J372-$A372)</f>
        <v/>
      </c>
    </row>
    <row r="373">
      <c r="A373">
        <f>IF($B373="","",RANK($C373,$C$2:$C$500))</f>
        <v/>
      </c>
      <c r="B373">
        <f>IF(Players!$A373="","",Players!$A373)</f>
        <v/>
      </c>
      <c r="C373" s="5">
        <f>IF($B373="","",SUM(D373:H373))</f>
        <v/>
      </c>
      <c r="D373">
        <f>IF($B373="","",SUMIFS('Web Feed'!$O$2:$O$3015,'Web Feed'!$B$2:$B$3015,Points!$A$2,'Web Feed'!$F$2:$F$3015,$B373)+SUMIFS('Web Feed'!$O$2:$O$3015,'Web Feed'!$B$2:$B$3015,Points!$A$2,'Web Feed'!$G$2:$G$3015,$B373)+SUMIFS('Web Feed'!$O$2:$O$3015,'Web Feed'!$B$2:$B$3015,Points!$A$2,'Web Feed'!$H$2:$H$3015,$B373)+SUMIFS('Web Feed'!$O$2:$O$3015,'Web Feed'!$B$2:$B$3015,Points!$A$2,'Web Feed'!$I$2:$I$3015,$B373))</f>
        <v/>
      </c>
      <c r="E373">
        <f>IF($B373="","",SUMIFS('Web Feed'!$O$2:$O$3015,'Web Feed'!$B$2:$B$3015,Points!$A$3,'Web Feed'!$F$2:$F$3015,$B373)+SUMIFS('Web Feed'!$O$2:$O$3015,'Web Feed'!$B$2:$B$3015,Points!$A$3,'Web Feed'!$G$2:$G$3015,$B373)+SUMIFS('Web Feed'!$O$2:$O$3015,'Web Feed'!$B$2:$B$3015,Points!$A$3,'Web Feed'!$H$2:$H$3015,$B373)+SUMIFS('Web Feed'!$O$2:$O$3015,'Web Feed'!$B$2:$B$3015,Points!$A$3,'Web Feed'!$I$2:$I$3015,$B373))</f>
        <v/>
      </c>
      <c r="F373">
        <f>IF($B373="","",SUMIFS('Web Feed'!$O$2:$O$3015,'Web Feed'!$B$2:$B$3015,Points!$A$4,'Web Feed'!$F$2:$F$3015,$B373)+SUMIFS('Web Feed'!$O$2:$O$3015,'Web Feed'!$B$2:$B$3015,Points!$A$4,'Web Feed'!$G$2:$G$3015,$B373)+SUMIFS('Web Feed'!$O$2:$O$3015,'Web Feed'!$B$2:$B$3015,Points!$A$4,'Web Feed'!$H$2:$H$3015,$B373)+SUMIFS('Web Feed'!$O$2:$O$3015,'Web Feed'!$B$2:$B$3015,Points!$A$4,'Web Feed'!$I$2:$I$3015,$B373))</f>
        <v/>
      </c>
      <c r="G373">
        <f>IF($B373="","",SUMIFS('Web Feed'!$O$2:$O$3015,'Web Feed'!$B$2:$B$3015,Points!$A$5,'Web Feed'!$F$2:$F$3015,$B373)+SUMIFS('Web Feed'!$O$2:$O$3015,'Web Feed'!$B$2:$B$3015,Points!$A$5,'Web Feed'!$G$2:$G$3015,$B373)+SUMIFS('Web Feed'!$O$2:$O$3015,'Web Feed'!$B$2:$B$3015,Points!$A$5,'Web Feed'!$H$2:$H$3015,$B373)+SUMIFS('Web Feed'!$O$2:$O$3015,'Web Feed'!$B$2:$B$3015,Points!$A$5,'Web Feed'!$I$2:$I$3015,$B373))</f>
        <v/>
      </c>
      <c r="H373">
        <f>IF($B373="","",SUMIFS('Web Feed'!$O$2:$O$3015,'Web Feed'!$B$2:$B$3015,Points!$A$6,'Web Feed'!$F$2:$F$3015,$B373)+SUMIFS('Web Feed'!$O$2:$O$3015,'Web Feed'!$B$2:$B$3015,Points!$A$6,'Web Feed'!$G$2:$G$3015,$B373)+SUMIFS('Web Feed'!$O$2:$O$3015,'Web Feed'!$B$2:$B$3015,Points!$A$6,'Web Feed'!$H$2:$H$3015,$B373)+SUMIFS('Web Feed'!$O$2:$O$3015,'Web Feed'!$B$2:$B$3015,Points!$A$6,'Web Feed'!$I$2:$I$3015,$B373))</f>
        <v/>
      </c>
      <c r="I373">
        <f>IF($B373="","",COUNTIFS('Web Feed'!$B$2:$B$3015,"OHW",'Web Feed'!$F$2:$F$3015,$B373))</f>
        <v/>
      </c>
      <c r="J373">
        <f>IF($B373="","",IFERROR(INDEX('Last Week'!$A$2:$A$301,MATCH($B373,'Last Week'!$B$2:$B$301,0)),""))</f>
        <v/>
      </c>
      <c r="K373">
        <f>IF(OR($B373="",$J373=""),"",$J373-$A373)</f>
        <v/>
      </c>
    </row>
    <row r="374">
      <c r="A374">
        <f>IF($B374="","",RANK($C374,$C$2:$C$500))</f>
        <v/>
      </c>
      <c r="B374">
        <f>IF(Players!$A374="","",Players!$A374)</f>
        <v/>
      </c>
      <c r="C374" s="5">
        <f>IF($B374="","",SUM(D374:H374))</f>
        <v/>
      </c>
      <c r="D374">
        <f>IF($B374="","",SUMIFS('Web Feed'!$O$2:$O$3015,'Web Feed'!$B$2:$B$3015,Points!$A$2,'Web Feed'!$F$2:$F$3015,$B374)+SUMIFS('Web Feed'!$O$2:$O$3015,'Web Feed'!$B$2:$B$3015,Points!$A$2,'Web Feed'!$G$2:$G$3015,$B374)+SUMIFS('Web Feed'!$O$2:$O$3015,'Web Feed'!$B$2:$B$3015,Points!$A$2,'Web Feed'!$H$2:$H$3015,$B374)+SUMIFS('Web Feed'!$O$2:$O$3015,'Web Feed'!$B$2:$B$3015,Points!$A$2,'Web Feed'!$I$2:$I$3015,$B374))</f>
        <v/>
      </c>
      <c r="E374">
        <f>IF($B374="","",SUMIFS('Web Feed'!$O$2:$O$3015,'Web Feed'!$B$2:$B$3015,Points!$A$3,'Web Feed'!$F$2:$F$3015,$B374)+SUMIFS('Web Feed'!$O$2:$O$3015,'Web Feed'!$B$2:$B$3015,Points!$A$3,'Web Feed'!$G$2:$G$3015,$B374)+SUMIFS('Web Feed'!$O$2:$O$3015,'Web Feed'!$B$2:$B$3015,Points!$A$3,'Web Feed'!$H$2:$H$3015,$B374)+SUMIFS('Web Feed'!$O$2:$O$3015,'Web Feed'!$B$2:$B$3015,Points!$A$3,'Web Feed'!$I$2:$I$3015,$B374))</f>
        <v/>
      </c>
      <c r="F374">
        <f>IF($B374="","",SUMIFS('Web Feed'!$O$2:$O$3015,'Web Feed'!$B$2:$B$3015,Points!$A$4,'Web Feed'!$F$2:$F$3015,$B374)+SUMIFS('Web Feed'!$O$2:$O$3015,'Web Feed'!$B$2:$B$3015,Points!$A$4,'Web Feed'!$G$2:$G$3015,$B374)+SUMIFS('Web Feed'!$O$2:$O$3015,'Web Feed'!$B$2:$B$3015,Points!$A$4,'Web Feed'!$H$2:$H$3015,$B374)+SUMIFS('Web Feed'!$O$2:$O$3015,'Web Feed'!$B$2:$B$3015,Points!$A$4,'Web Feed'!$I$2:$I$3015,$B374))</f>
        <v/>
      </c>
      <c r="G374">
        <f>IF($B374="","",SUMIFS('Web Feed'!$O$2:$O$3015,'Web Feed'!$B$2:$B$3015,Points!$A$5,'Web Feed'!$F$2:$F$3015,$B374)+SUMIFS('Web Feed'!$O$2:$O$3015,'Web Feed'!$B$2:$B$3015,Points!$A$5,'Web Feed'!$G$2:$G$3015,$B374)+SUMIFS('Web Feed'!$O$2:$O$3015,'Web Feed'!$B$2:$B$3015,Points!$A$5,'Web Feed'!$H$2:$H$3015,$B374)+SUMIFS('Web Feed'!$O$2:$O$3015,'Web Feed'!$B$2:$B$3015,Points!$A$5,'Web Feed'!$I$2:$I$3015,$B374))</f>
        <v/>
      </c>
      <c r="H374">
        <f>IF($B374="","",SUMIFS('Web Feed'!$O$2:$O$3015,'Web Feed'!$B$2:$B$3015,Points!$A$6,'Web Feed'!$F$2:$F$3015,$B374)+SUMIFS('Web Feed'!$O$2:$O$3015,'Web Feed'!$B$2:$B$3015,Points!$A$6,'Web Feed'!$G$2:$G$3015,$B374)+SUMIFS('Web Feed'!$O$2:$O$3015,'Web Feed'!$B$2:$B$3015,Points!$A$6,'Web Feed'!$H$2:$H$3015,$B374)+SUMIFS('Web Feed'!$O$2:$O$3015,'Web Feed'!$B$2:$B$3015,Points!$A$6,'Web Feed'!$I$2:$I$3015,$B374))</f>
        <v/>
      </c>
      <c r="I374">
        <f>IF($B374="","",COUNTIFS('Web Feed'!$B$2:$B$3015,"OHW",'Web Feed'!$F$2:$F$3015,$B374))</f>
        <v/>
      </c>
      <c r="J374">
        <f>IF($B374="","",IFERROR(INDEX('Last Week'!$A$2:$A$301,MATCH($B374,'Last Week'!$B$2:$B$301,0)),""))</f>
        <v/>
      </c>
      <c r="K374">
        <f>IF(OR($B374="",$J374=""),"",$J374-$A374)</f>
        <v/>
      </c>
    </row>
    <row r="375">
      <c r="A375">
        <f>IF($B375="","",RANK($C375,$C$2:$C$500))</f>
        <v/>
      </c>
      <c r="B375">
        <f>IF(Players!$A375="","",Players!$A375)</f>
        <v/>
      </c>
      <c r="C375" s="5">
        <f>IF($B375="","",SUM(D375:H375))</f>
        <v/>
      </c>
      <c r="D375">
        <f>IF($B375="","",SUMIFS('Web Feed'!$O$2:$O$3015,'Web Feed'!$B$2:$B$3015,Points!$A$2,'Web Feed'!$F$2:$F$3015,$B375)+SUMIFS('Web Feed'!$O$2:$O$3015,'Web Feed'!$B$2:$B$3015,Points!$A$2,'Web Feed'!$G$2:$G$3015,$B375)+SUMIFS('Web Feed'!$O$2:$O$3015,'Web Feed'!$B$2:$B$3015,Points!$A$2,'Web Feed'!$H$2:$H$3015,$B375)+SUMIFS('Web Feed'!$O$2:$O$3015,'Web Feed'!$B$2:$B$3015,Points!$A$2,'Web Feed'!$I$2:$I$3015,$B375))</f>
        <v/>
      </c>
      <c r="E375">
        <f>IF($B375="","",SUMIFS('Web Feed'!$O$2:$O$3015,'Web Feed'!$B$2:$B$3015,Points!$A$3,'Web Feed'!$F$2:$F$3015,$B375)+SUMIFS('Web Feed'!$O$2:$O$3015,'Web Feed'!$B$2:$B$3015,Points!$A$3,'Web Feed'!$G$2:$G$3015,$B375)+SUMIFS('Web Feed'!$O$2:$O$3015,'Web Feed'!$B$2:$B$3015,Points!$A$3,'Web Feed'!$H$2:$H$3015,$B375)+SUMIFS('Web Feed'!$O$2:$O$3015,'Web Feed'!$B$2:$B$3015,Points!$A$3,'Web Feed'!$I$2:$I$3015,$B375))</f>
        <v/>
      </c>
      <c r="F375">
        <f>IF($B375="","",SUMIFS('Web Feed'!$O$2:$O$3015,'Web Feed'!$B$2:$B$3015,Points!$A$4,'Web Feed'!$F$2:$F$3015,$B375)+SUMIFS('Web Feed'!$O$2:$O$3015,'Web Feed'!$B$2:$B$3015,Points!$A$4,'Web Feed'!$G$2:$G$3015,$B375)+SUMIFS('Web Feed'!$O$2:$O$3015,'Web Feed'!$B$2:$B$3015,Points!$A$4,'Web Feed'!$H$2:$H$3015,$B375)+SUMIFS('Web Feed'!$O$2:$O$3015,'Web Feed'!$B$2:$B$3015,Points!$A$4,'Web Feed'!$I$2:$I$3015,$B375))</f>
        <v/>
      </c>
      <c r="G375">
        <f>IF($B375="","",SUMIFS('Web Feed'!$O$2:$O$3015,'Web Feed'!$B$2:$B$3015,Points!$A$5,'Web Feed'!$F$2:$F$3015,$B375)+SUMIFS('Web Feed'!$O$2:$O$3015,'Web Feed'!$B$2:$B$3015,Points!$A$5,'Web Feed'!$G$2:$G$3015,$B375)+SUMIFS('Web Feed'!$O$2:$O$3015,'Web Feed'!$B$2:$B$3015,Points!$A$5,'Web Feed'!$H$2:$H$3015,$B375)+SUMIFS('Web Feed'!$O$2:$O$3015,'Web Feed'!$B$2:$B$3015,Points!$A$5,'Web Feed'!$I$2:$I$3015,$B375))</f>
        <v/>
      </c>
      <c r="H375">
        <f>IF($B375="","",SUMIFS('Web Feed'!$O$2:$O$3015,'Web Feed'!$B$2:$B$3015,Points!$A$6,'Web Feed'!$F$2:$F$3015,$B375)+SUMIFS('Web Feed'!$O$2:$O$3015,'Web Feed'!$B$2:$B$3015,Points!$A$6,'Web Feed'!$G$2:$G$3015,$B375)+SUMIFS('Web Feed'!$O$2:$O$3015,'Web Feed'!$B$2:$B$3015,Points!$A$6,'Web Feed'!$H$2:$H$3015,$B375)+SUMIFS('Web Feed'!$O$2:$O$3015,'Web Feed'!$B$2:$B$3015,Points!$A$6,'Web Feed'!$I$2:$I$3015,$B375))</f>
        <v/>
      </c>
      <c r="I375">
        <f>IF($B375="","",COUNTIFS('Web Feed'!$B$2:$B$3015,"OHW",'Web Feed'!$F$2:$F$3015,$B375))</f>
        <v/>
      </c>
      <c r="J375">
        <f>IF($B375="","",IFERROR(INDEX('Last Week'!$A$2:$A$301,MATCH($B375,'Last Week'!$B$2:$B$301,0)),""))</f>
        <v/>
      </c>
      <c r="K375">
        <f>IF(OR($B375="",$J375=""),"",$J375-$A375)</f>
        <v/>
      </c>
    </row>
    <row r="376">
      <c r="A376">
        <f>IF($B376="","",RANK($C376,$C$2:$C$500))</f>
        <v/>
      </c>
      <c r="B376">
        <f>IF(Players!$A376="","",Players!$A376)</f>
        <v/>
      </c>
      <c r="C376" s="5">
        <f>IF($B376="","",SUM(D376:H376))</f>
        <v/>
      </c>
      <c r="D376">
        <f>IF($B376="","",SUMIFS('Web Feed'!$O$2:$O$3015,'Web Feed'!$B$2:$B$3015,Points!$A$2,'Web Feed'!$F$2:$F$3015,$B376)+SUMIFS('Web Feed'!$O$2:$O$3015,'Web Feed'!$B$2:$B$3015,Points!$A$2,'Web Feed'!$G$2:$G$3015,$B376)+SUMIFS('Web Feed'!$O$2:$O$3015,'Web Feed'!$B$2:$B$3015,Points!$A$2,'Web Feed'!$H$2:$H$3015,$B376)+SUMIFS('Web Feed'!$O$2:$O$3015,'Web Feed'!$B$2:$B$3015,Points!$A$2,'Web Feed'!$I$2:$I$3015,$B376))</f>
        <v/>
      </c>
      <c r="E376">
        <f>IF($B376="","",SUMIFS('Web Feed'!$O$2:$O$3015,'Web Feed'!$B$2:$B$3015,Points!$A$3,'Web Feed'!$F$2:$F$3015,$B376)+SUMIFS('Web Feed'!$O$2:$O$3015,'Web Feed'!$B$2:$B$3015,Points!$A$3,'Web Feed'!$G$2:$G$3015,$B376)+SUMIFS('Web Feed'!$O$2:$O$3015,'Web Feed'!$B$2:$B$3015,Points!$A$3,'Web Feed'!$H$2:$H$3015,$B376)+SUMIFS('Web Feed'!$O$2:$O$3015,'Web Feed'!$B$2:$B$3015,Points!$A$3,'Web Feed'!$I$2:$I$3015,$B376))</f>
        <v/>
      </c>
      <c r="F376">
        <f>IF($B376="","",SUMIFS('Web Feed'!$O$2:$O$3015,'Web Feed'!$B$2:$B$3015,Points!$A$4,'Web Feed'!$F$2:$F$3015,$B376)+SUMIFS('Web Feed'!$O$2:$O$3015,'Web Feed'!$B$2:$B$3015,Points!$A$4,'Web Feed'!$G$2:$G$3015,$B376)+SUMIFS('Web Feed'!$O$2:$O$3015,'Web Feed'!$B$2:$B$3015,Points!$A$4,'Web Feed'!$H$2:$H$3015,$B376)+SUMIFS('Web Feed'!$O$2:$O$3015,'Web Feed'!$B$2:$B$3015,Points!$A$4,'Web Feed'!$I$2:$I$3015,$B376))</f>
        <v/>
      </c>
      <c r="G376">
        <f>IF($B376="","",SUMIFS('Web Feed'!$O$2:$O$3015,'Web Feed'!$B$2:$B$3015,Points!$A$5,'Web Feed'!$F$2:$F$3015,$B376)+SUMIFS('Web Feed'!$O$2:$O$3015,'Web Feed'!$B$2:$B$3015,Points!$A$5,'Web Feed'!$G$2:$G$3015,$B376)+SUMIFS('Web Feed'!$O$2:$O$3015,'Web Feed'!$B$2:$B$3015,Points!$A$5,'Web Feed'!$H$2:$H$3015,$B376)+SUMIFS('Web Feed'!$O$2:$O$3015,'Web Feed'!$B$2:$B$3015,Points!$A$5,'Web Feed'!$I$2:$I$3015,$B376))</f>
        <v/>
      </c>
      <c r="H376">
        <f>IF($B376="","",SUMIFS('Web Feed'!$O$2:$O$3015,'Web Feed'!$B$2:$B$3015,Points!$A$6,'Web Feed'!$F$2:$F$3015,$B376)+SUMIFS('Web Feed'!$O$2:$O$3015,'Web Feed'!$B$2:$B$3015,Points!$A$6,'Web Feed'!$G$2:$G$3015,$B376)+SUMIFS('Web Feed'!$O$2:$O$3015,'Web Feed'!$B$2:$B$3015,Points!$A$6,'Web Feed'!$H$2:$H$3015,$B376)+SUMIFS('Web Feed'!$O$2:$O$3015,'Web Feed'!$B$2:$B$3015,Points!$A$6,'Web Feed'!$I$2:$I$3015,$B376))</f>
        <v/>
      </c>
      <c r="I376">
        <f>IF($B376="","",COUNTIFS('Web Feed'!$B$2:$B$3015,"OHW",'Web Feed'!$F$2:$F$3015,$B376))</f>
        <v/>
      </c>
      <c r="J376">
        <f>IF($B376="","",IFERROR(INDEX('Last Week'!$A$2:$A$301,MATCH($B376,'Last Week'!$B$2:$B$301,0)),""))</f>
        <v/>
      </c>
      <c r="K376">
        <f>IF(OR($B376="",$J376=""),"",$J376-$A376)</f>
        <v/>
      </c>
    </row>
    <row r="377">
      <c r="A377">
        <f>IF($B377="","",RANK($C377,$C$2:$C$500))</f>
        <v/>
      </c>
      <c r="B377">
        <f>IF(Players!$A377="","",Players!$A377)</f>
        <v/>
      </c>
      <c r="C377" s="5">
        <f>IF($B377="","",SUM(D377:H377))</f>
        <v/>
      </c>
      <c r="D377">
        <f>IF($B377="","",SUMIFS('Web Feed'!$O$2:$O$3015,'Web Feed'!$B$2:$B$3015,Points!$A$2,'Web Feed'!$F$2:$F$3015,$B377)+SUMIFS('Web Feed'!$O$2:$O$3015,'Web Feed'!$B$2:$B$3015,Points!$A$2,'Web Feed'!$G$2:$G$3015,$B377)+SUMIFS('Web Feed'!$O$2:$O$3015,'Web Feed'!$B$2:$B$3015,Points!$A$2,'Web Feed'!$H$2:$H$3015,$B377)+SUMIFS('Web Feed'!$O$2:$O$3015,'Web Feed'!$B$2:$B$3015,Points!$A$2,'Web Feed'!$I$2:$I$3015,$B377))</f>
        <v/>
      </c>
      <c r="E377">
        <f>IF($B377="","",SUMIFS('Web Feed'!$O$2:$O$3015,'Web Feed'!$B$2:$B$3015,Points!$A$3,'Web Feed'!$F$2:$F$3015,$B377)+SUMIFS('Web Feed'!$O$2:$O$3015,'Web Feed'!$B$2:$B$3015,Points!$A$3,'Web Feed'!$G$2:$G$3015,$B377)+SUMIFS('Web Feed'!$O$2:$O$3015,'Web Feed'!$B$2:$B$3015,Points!$A$3,'Web Feed'!$H$2:$H$3015,$B377)+SUMIFS('Web Feed'!$O$2:$O$3015,'Web Feed'!$B$2:$B$3015,Points!$A$3,'Web Feed'!$I$2:$I$3015,$B377))</f>
        <v/>
      </c>
      <c r="F377">
        <f>IF($B377="","",SUMIFS('Web Feed'!$O$2:$O$3015,'Web Feed'!$B$2:$B$3015,Points!$A$4,'Web Feed'!$F$2:$F$3015,$B377)+SUMIFS('Web Feed'!$O$2:$O$3015,'Web Feed'!$B$2:$B$3015,Points!$A$4,'Web Feed'!$G$2:$G$3015,$B377)+SUMIFS('Web Feed'!$O$2:$O$3015,'Web Feed'!$B$2:$B$3015,Points!$A$4,'Web Feed'!$H$2:$H$3015,$B377)+SUMIFS('Web Feed'!$O$2:$O$3015,'Web Feed'!$B$2:$B$3015,Points!$A$4,'Web Feed'!$I$2:$I$3015,$B377))</f>
        <v/>
      </c>
      <c r="G377">
        <f>IF($B377="","",SUMIFS('Web Feed'!$O$2:$O$3015,'Web Feed'!$B$2:$B$3015,Points!$A$5,'Web Feed'!$F$2:$F$3015,$B377)+SUMIFS('Web Feed'!$O$2:$O$3015,'Web Feed'!$B$2:$B$3015,Points!$A$5,'Web Feed'!$G$2:$G$3015,$B377)+SUMIFS('Web Feed'!$O$2:$O$3015,'Web Feed'!$B$2:$B$3015,Points!$A$5,'Web Feed'!$H$2:$H$3015,$B377)+SUMIFS('Web Feed'!$O$2:$O$3015,'Web Feed'!$B$2:$B$3015,Points!$A$5,'Web Feed'!$I$2:$I$3015,$B377))</f>
        <v/>
      </c>
      <c r="H377">
        <f>IF($B377="","",SUMIFS('Web Feed'!$O$2:$O$3015,'Web Feed'!$B$2:$B$3015,Points!$A$6,'Web Feed'!$F$2:$F$3015,$B377)+SUMIFS('Web Feed'!$O$2:$O$3015,'Web Feed'!$B$2:$B$3015,Points!$A$6,'Web Feed'!$G$2:$G$3015,$B377)+SUMIFS('Web Feed'!$O$2:$O$3015,'Web Feed'!$B$2:$B$3015,Points!$A$6,'Web Feed'!$H$2:$H$3015,$B377)+SUMIFS('Web Feed'!$O$2:$O$3015,'Web Feed'!$B$2:$B$3015,Points!$A$6,'Web Feed'!$I$2:$I$3015,$B377))</f>
        <v/>
      </c>
      <c r="I377">
        <f>IF($B377="","",COUNTIFS('Web Feed'!$B$2:$B$3015,"OHW",'Web Feed'!$F$2:$F$3015,$B377))</f>
        <v/>
      </c>
      <c r="J377">
        <f>IF($B377="","",IFERROR(INDEX('Last Week'!$A$2:$A$301,MATCH($B377,'Last Week'!$B$2:$B$301,0)),""))</f>
        <v/>
      </c>
      <c r="K377">
        <f>IF(OR($B377="",$J377=""),"",$J377-$A377)</f>
        <v/>
      </c>
    </row>
    <row r="378">
      <c r="A378">
        <f>IF($B378="","",RANK($C378,$C$2:$C$500))</f>
        <v/>
      </c>
      <c r="B378">
        <f>IF(Players!$A378="","",Players!$A378)</f>
        <v/>
      </c>
      <c r="C378" s="5">
        <f>IF($B378="","",SUM(D378:H378))</f>
        <v/>
      </c>
      <c r="D378">
        <f>IF($B378="","",SUMIFS('Web Feed'!$O$2:$O$3015,'Web Feed'!$B$2:$B$3015,Points!$A$2,'Web Feed'!$F$2:$F$3015,$B378)+SUMIFS('Web Feed'!$O$2:$O$3015,'Web Feed'!$B$2:$B$3015,Points!$A$2,'Web Feed'!$G$2:$G$3015,$B378)+SUMIFS('Web Feed'!$O$2:$O$3015,'Web Feed'!$B$2:$B$3015,Points!$A$2,'Web Feed'!$H$2:$H$3015,$B378)+SUMIFS('Web Feed'!$O$2:$O$3015,'Web Feed'!$B$2:$B$3015,Points!$A$2,'Web Feed'!$I$2:$I$3015,$B378))</f>
        <v/>
      </c>
      <c r="E378">
        <f>IF($B378="","",SUMIFS('Web Feed'!$O$2:$O$3015,'Web Feed'!$B$2:$B$3015,Points!$A$3,'Web Feed'!$F$2:$F$3015,$B378)+SUMIFS('Web Feed'!$O$2:$O$3015,'Web Feed'!$B$2:$B$3015,Points!$A$3,'Web Feed'!$G$2:$G$3015,$B378)+SUMIFS('Web Feed'!$O$2:$O$3015,'Web Feed'!$B$2:$B$3015,Points!$A$3,'Web Feed'!$H$2:$H$3015,$B378)+SUMIFS('Web Feed'!$O$2:$O$3015,'Web Feed'!$B$2:$B$3015,Points!$A$3,'Web Feed'!$I$2:$I$3015,$B378))</f>
        <v/>
      </c>
      <c r="F378">
        <f>IF($B378="","",SUMIFS('Web Feed'!$O$2:$O$3015,'Web Feed'!$B$2:$B$3015,Points!$A$4,'Web Feed'!$F$2:$F$3015,$B378)+SUMIFS('Web Feed'!$O$2:$O$3015,'Web Feed'!$B$2:$B$3015,Points!$A$4,'Web Feed'!$G$2:$G$3015,$B378)+SUMIFS('Web Feed'!$O$2:$O$3015,'Web Feed'!$B$2:$B$3015,Points!$A$4,'Web Feed'!$H$2:$H$3015,$B378)+SUMIFS('Web Feed'!$O$2:$O$3015,'Web Feed'!$B$2:$B$3015,Points!$A$4,'Web Feed'!$I$2:$I$3015,$B378))</f>
        <v/>
      </c>
      <c r="G378">
        <f>IF($B378="","",SUMIFS('Web Feed'!$O$2:$O$3015,'Web Feed'!$B$2:$B$3015,Points!$A$5,'Web Feed'!$F$2:$F$3015,$B378)+SUMIFS('Web Feed'!$O$2:$O$3015,'Web Feed'!$B$2:$B$3015,Points!$A$5,'Web Feed'!$G$2:$G$3015,$B378)+SUMIFS('Web Feed'!$O$2:$O$3015,'Web Feed'!$B$2:$B$3015,Points!$A$5,'Web Feed'!$H$2:$H$3015,$B378)+SUMIFS('Web Feed'!$O$2:$O$3015,'Web Feed'!$B$2:$B$3015,Points!$A$5,'Web Feed'!$I$2:$I$3015,$B378))</f>
        <v/>
      </c>
      <c r="H378">
        <f>IF($B378="","",SUMIFS('Web Feed'!$O$2:$O$3015,'Web Feed'!$B$2:$B$3015,Points!$A$6,'Web Feed'!$F$2:$F$3015,$B378)+SUMIFS('Web Feed'!$O$2:$O$3015,'Web Feed'!$B$2:$B$3015,Points!$A$6,'Web Feed'!$G$2:$G$3015,$B378)+SUMIFS('Web Feed'!$O$2:$O$3015,'Web Feed'!$B$2:$B$3015,Points!$A$6,'Web Feed'!$H$2:$H$3015,$B378)+SUMIFS('Web Feed'!$O$2:$O$3015,'Web Feed'!$B$2:$B$3015,Points!$A$6,'Web Feed'!$I$2:$I$3015,$B378))</f>
        <v/>
      </c>
      <c r="I378">
        <f>IF($B378="","",COUNTIFS('Web Feed'!$B$2:$B$3015,"OHW",'Web Feed'!$F$2:$F$3015,$B378))</f>
        <v/>
      </c>
      <c r="J378">
        <f>IF($B378="","",IFERROR(INDEX('Last Week'!$A$2:$A$301,MATCH($B378,'Last Week'!$B$2:$B$301,0)),""))</f>
        <v/>
      </c>
      <c r="K378">
        <f>IF(OR($B378="",$J378=""),"",$J378-$A378)</f>
        <v/>
      </c>
    </row>
    <row r="379">
      <c r="A379">
        <f>IF($B379="","",RANK($C379,$C$2:$C$500))</f>
        <v/>
      </c>
      <c r="B379">
        <f>IF(Players!$A379="","",Players!$A379)</f>
        <v/>
      </c>
      <c r="C379" s="5">
        <f>IF($B379="","",SUM(D379:H379))</f>
        <v/>
      </c>
      <c r="D379">
        <f>IF($B379="","",SUMIFS('Web Feed'!$O$2:$O$3015,'Web Feed'!$B$2:$B$3015,Points!$A$2,'Web Feed'!$F$2:$F$3015,$B379)+SUMIFS('Web Feed'!$O$2:$O$3015,'Web Feed'!$B$2:$B$3015,Points!$A$2,'Web Feed'!$G$2:$G$3015,$B379)+SUMIFS('Web Feed'!$O$2:$O$3015,'Web Feed'!$B$2:$B$3015,Points!$A$2,'Web Feed'!$H$2:$H$3015,$B379)+SUMIFS('Web Feed'!$O$2:$O$3015,'Web Feed'!$B$2:$B$3015,Points!$A$2,'Web Feed'!$I$2:$I$3015,$B379))</f>
        <v/>
      </c>
      <c r="E379">
        <f>IF($B379="","",SUMIFS('Web Feed'!$O$2:$O$3015,'Web Feed'!$B$2:$B$3015,Points!$A$3,'Web Feed'!$F$2:$F$3015,$B379)+SUMIFS('Web Feed'!$O$2:$O$3015,'Web Feed'!$B$2:$B$3015,Points!$A$3,'Web Feed'!$G$2:$G$3015,$B379)+SUMIFS('Web Feed'!$O$2:$O$3015,'Web Feed'!$B$2:$B$3015,Points!$A$3,'Web Feed'!$H$2:$H$3015,$B379)+SUMIFS('Web Feed'!$O$2:$O$3015,'Web Feed'!$B$2:$B$3015,Points!$A$3,'Web Feed'!$I$2:$I$3015,$B379))</f>
        <v/>
      </c>
      <c r="F379">
        <f>IF($B379="","",SUMIFS('Web Feed'!$O$2:$O$3015,'Web Feed'!$B$2:$B$3015,Points!$A$4,'Web Feed'!$F$2:$F$3015,$B379)+SUMIFS('Web Feed'!$O$2:$O$3015,'Web Feed'!$B$2:$B$3015,Points!$A$4,'Web Feed'!$G$2:$G$3015,$B379)+SUMIFS('Web Feed'!$O$2:$O$3015,'Web Feed'!$B$2:$B$3015,Points!$A$4,'Web Feed'!$H$2:$H$3015,$B379)+SUMIFS('Web Feed'!$O$2:$O$3015,'Web Feed'!$B$2:$B$3015,Points!$A$4,'Web Feed'!$I$2:$I$3015,$B379))</f>
        <v/>
      </c>
      <c r="G379">
        <f>IF($B379="","",SUMIFS('Web Feed'!$O$2:$O$3015,'Web Feed'!$B$2:$B$3015,Points!$A$5,'Web Feed'!$F$2:$F$3015,$B379)+SUMIFS('Web Feed'!$O$2:$O$3015,'Web Feed'!$B$2:$B$3015,Points!$A$5,'Web Feed'!$G$2:$G$3015,$B379)+SUMIFS('Web Feed'!$O$2:$O$3015,'Web Feed'!$B$2:$B$3015,Points!$A$5,'Web Feed'!$H$2:$H$3015,$B379)+SUMIFS('Web Feed'!$O$2:$O$3015,'Web Feed'!$B$2:$B$3015,Points!$A$5,'Web Feed'!$I$2:$I$3015,$B379))</f>
        <v/>
      </c>
      <c r="H379">
        <f>IF($B379="","",SUMIFS('Web Feed'!$O$2:$O$3015,'Web Feed'!$B$2:$B$3015,Points!$A$6,'Web Feed'!$F$2:$F$3015,$B379)+SUMIFS('Web Feed'!$O$2:$O$3015,'Web Feed'!$B$2:$B$3015,Points!$A$6,'Web Feed'!$G$2:$G$3015,$B379)+SUMIFS('Web Feed'!$O$2:$O$3015,'Web Feed'!$B$2:$B$3015,Points!$A$6,'Web Feed'!$H$2:$H$3015,$B379)+SUMIFS('Web Feed'!$O$2:$O$3015,'Web Feed'!$B$2:$B$3015,Points!$A$6,'Web Feed'!$I$2:$I$3015,$B379))</f>
        <v/>
      </c>
      <c r="I379">
        <f>IF($B379="","",COUNTIFS('Web Feed'!$B$2:$B$3015,"OHW",'Web Feed'!$F$2:$F$3015,$B379))</f>
        <v/>
      </c>
      <c r="J379">
        <f>IF($B379="","",IFERROR(INDEX('Last Week'!$A$2:$A$301,MATCH($B379,'Last Week'!$B$2:$B$301,0)),""))</f>
        <v/>
      </c>
      <c r="K379">
        <f>IF(OR($B379="",$J379=""),"",$J379-$A379)</f>
        <v/>
      </c>
    </row>
    <row r="380">
      <c r="A380">
        <f>IF($B380="","",RANK($C380,$C$2:$C$500))</f>
        <v/>
      </c>
      <c r="B380">
        <f>IF(Players!$A380="","",Players!$A380)</f>
        <v/>
      </c>
      <c r="C380" s="5">
        <f>IF($B380="","",SUM(D380:H380))</f>
        <v/>
      </c>
      <c r="D380">
        <f>IF($B380="","",SUMIFS('Web Feed'!$O$2:$O$3015,'Web Feed'!$B$2:$B$3015,Points!$A$2,'Web Feed'!$F$2:$F$3015,$B380)+SUMIFS('Web Feed'!$O$2:$O$3015,'Web Feed'!$B$2:$B$3015,Points!$A$2,'Web Feed'!$G$2:$G$3015,$B380)+SUMIFS('Web Feed'!$O$2:$O$3015,'Web Feed'!$B$2:$B$3015,Points!$A$2,'Web Feed'!$H$2:$H$3015,$B380)+SUMIFS('Web Feed'!$O$2:$O$3015,'Web Feed'!$B$2:$B$3015,Points!$A$2,'Web Feed'!$I$2:$I$3015,$B380))</f>
        <v/>
      </c>
      <c r="E380">
        <f>IF($B380="","",SUMIFS('Web Feed'!$O$2:$O$3015,'Web Feed'!$B$2:$B$3015,Points!$A$3,'Web Feed'!$F$2:$F$3015,$B380)+SUMIFS('Web Feed'!$O$2:$O$3015,'Web Feed'!$B$2:$B$3015,Points!$A$3,'Web Feed'!$G$2:$G$3015,$B380)+SUMIFS('Web Feed'!$O$2:$O$3015,'Web Feed'!$B$2:$B$3015,Points!$A$3,'Web Feed'!$H$2:$H$3015,$B380)+SUMIFS('Web Feed'!$O$2:$O$3015,'Web Feed'!$B$2:$B$3015,Points!$A$3,'Web Feed'!$I$2:$I$3015,$B380))</f>
        <v/>
      </c>
      <c r="F380">
        <f>IF($B380="","",SUMIFS('Web Feed'!$O$2:$O$3015,'Web Feed'!$B$2:$B$3015,Points!$A$4,'Web Feed'!$F$2:$F$3015,$B380)+SUMIFS('Web Feed'!$O$2:$O$3015,'Web Feed'!$B$2:$B$3015,Points!$A$4,'Web Feed'!$G$2:$G$3015,$B380)+SUMIFS('Web Feed'!$O$2:$O$3015,'Web Feed'!$B$2:$B$3015,Points!$A$4,'Web Feed'!$H$2:$H$3015,$B380)+SUMIFS('Web Feed'!$O$2:$O$3015,'Web Feed'!$B$2:$B$3015,Points!$A$4,'Web Feed'!$I$2:$I$3015,$B380))</f>
        <v/>
      </c>
      <c r="G380">
        <f>IF($B380="","",SUMIFS('Web Feed'!$O$2:$O$3015,'Web Feed'!$B$2:$B$3015,Points!$A$5,'Web Feed'!$F$2:$F$3015,$B380)+SUMIFS('Web Feed'!$O$2:$O$3015,'Web Feed'!$B$2:$B$3015,Points!$A$5,'Web Feed'!$G$2:$G$3015,$B380)+SUMIFS('Web Feed'!$O$2:$O$3015,'Web Feed'!$B$2:$B$3015,Points!$A$5,'Web Feed'!$H$2:$H$3015,$B380)+SUMIFS('Web Feed'!$O$2:$O$3015,'Web Feed'!$B$2:$B$3015,Points!$A$5,'Web Feed'!$I$2:$I$3015,$B380))</f>
        <v/>
      </c>
      <c r="H380">
        <f>IF($B380="","",SUMIFS('Web Feed'!$O$2:$O$3015,'Web Feed'!$B$2:$B$3015,Points!$A$6,'Web Feed'!$F$2:$F$3015,$B380)+SUMIFS('Web Feed'!$O$2:$O$3015,'Web Feed'!$B$2:$B$3015,Points!$A$6,'Web Feed'!$G$2:$G$3015,$B380)+SUMIFS('Web Feed'!$O$2:$O$3015,'Web Feed'!$B$2:$B$3015,Points!$A$6,'Web Feed'!$H$2:$H$3015,$B380)+SUMIFS('Web Feed'!$O$2:$O$3015,'Web Feed'!$B$2:$B$3015,Points!$A$6,'Web Feed'!$I$2:$I$3015,$B380))</f>
        <v/>
      </c>
      <c r="I380">
        <f>IF($B380="","",COUNTIFS('Web Feed'!$B$2:$B$3015,"OHW",'Web Feed'!$F$2:$F$3015,$B380))</f>
        <v/>
      </c>
      <c r="J380">
        <f>IF($B380="","",IFERROR(INDEX('Last Week'!$A$2:$A$301,MATCH($B380,'Last Week'!$B$2:$B$301,0)),""))</f>
        <v/>
      </c>
      <c r="K380">
        <f>IF(OR($B380="",$J380=""),"",$J380-$A380)</f>
        <v/>
      </c>
    </row>
    <row r="381">
      <c r="A381">
        <f>IF($B381="","",RANK($C381,$C$2:$C$500))</f>
        <v/>
      </c>
      <c r="B381">
        <f>IF(Players!$A381="","",Players!$A381)</f>
        <v/>
      </c>
      <c r="C381" s="5">
        <f>IF($B381="","",SUM(D381:H381))</f>
        <v/>
      </c>
      <c r="D381">
        <f>IF($B381="","",SUMIFS('Web Feed'!$O$2:$O$3015,'Web Feed'!$B$2:$B$3015,Points!$A$2,'Web Feed'!$F$2:$F$3015,$B381)+SUMIFS('Web Feed'!$O$2:$O$3015,'Web Feed'!$B$2:$B$3015,Points!$A$2,'Web Feed'!$G$2:$G$3015,$B381)+SUMIFS('Web Feed'!$O$2:$O$3015,'Web Feed'!$B$2:$B$3015,Points!$A$2,'Web Feed'!$H$2:$H$3015,$B381)+SUMIFS('Web Feed'!$O$2:$O$3015,'Web Feed'!$B$2:$B$3015,Points!$A$2,'Web Feed'!$I$2:$I$3015,$B381))</f>
        <v/>
      </c>
      <c r="E381">
        <f>IF($B381="","",SUMIFS('Web Feed'!$O$2:$O$3015,'Web Feed'!$B$2:$B$3015,Points!$A$3,'Web Feed'!$F$2:$F$3015,$B381)+SUMIFS('Web Feed'!$O$2:$O$3015,'Web Feed'!$B$2:$B$3015,Points!$A$3,'Web Feed'!$G$2:$G$3015,$B381)+SUMIFS('Web Feed'!$O$2:$O$3015,'Web Feed'!$B$2:$B$3015,Points!$A$3,'Web Feed'!$H$2:$H$3015,$B381)+SUMIFS('Web Feed'!$O$2:$O$3015,'Web Feed'!$B$2:$B$3015,Points!$A$3,'Web Feed'!$I$2:$I$3015,$B381))</f>
        <v/>
      </c>
      <c r="F381">
        <f>IF($B381="","",SUMIFS('Web Feed'!$O$2:$O$3015,'Web Feed'!$B$2:$B$3015,Points!$A$4,'Web Feed'!$F$2:$F$3015,$B381)+SUMIFS('Web Feed'!$O$2:$O$3015,'Web Feed'!$B$2:$B$3015,Points!$A$4,'Web Feed'!$G$2:$G$3015,$B381)+SUMIFS('Web Feed'!$O$2:$O$3015,'Web Feed'!$B$2:$B$3015,Points!$A$4,'Web Feed'!$H$2:$H$3015,$B381)+SUMIFS('Web Feed'!$O$2:$O$3015,'Web Feed'!$B$2:$B$3015,Points!$A$4,'Web Feed'!$I$2:$I$3015,$B381))</f>
        <v/>
      </c>
      <c r="G381">
        <f>IF($B381="","",SUMIFS('Web Feed'!$O$2:$O$3015,'Web Feed'!$B$2:$B$3015,Points!$A$5,'Web Feed'!$F$2:$F$3015,$B381)+SUMIFS('Web Feed'!$O$2:$O$3015,'Web Feed'!$B$2:$B$3015,Points!$A$5,'Web Feed'!$G$2:$G$3015,$B381)+SUMIFS('Web Feed'!$O$2:$O$3015,'Web Feed'!$B$2:$B$3015,Points!$A$5,'Web Feed'!$H$2:$H$3015,$B381)+SUMIFS('Web Feed'!$O$2:$O$3015,'Web Feed'!$B$2:$B$3015,Points!$A$5,'Web Feed'!$I$2:$I$3015,$B381))</f>
        <v/>
      </c>
      <c r="H381">
        <f>IF($B381="","",SUMIFS('Web Feed'!$O$2:$O$3015,'Web Feed'!$B$2:$B$3015,Points!$A$6,'Web Feed'!$F$2:$F$3015,$B381)+SUMIFS('Web Feed'!$O$2:$O$3015,'Web Feed'!$B$2:$B$3015,Points!$A$6,'Web Feed'!$G$2:$G$3015,$B381)+SUMIFS('Web Feed'!$O$2:$O$3015,'Web Feed'!$B$2:$B$3015,Points!$A$6,'Web Feed'!$H$2:$H$3015,$B381)+SUMIFS('Web Feed'!$O$2:$O$3015,'Web Feed'!$B$2:$B$3015,Points!$A$6,'Web Feed'!$I$2:$I$3015,$B381))</f>
        <v/>
      </c>
      <c r="I381">
        <f>IF($B381="","",COUNTIFS('Web Feed'!$B$2:$B$3015,"OHW",'Web Feed'!$F$2:$F$3015,$B381))</f>
        <v/>
      </c>
      <c r="J381">
        <f>IF($B381="","",IFERROR(INDEX('Last Week'!$A$2:$A$301,MATCH($B381,'Last Week'!$B$2:$B$301,0)),""))</f>
        <v/>
      </c>
      <c r="K381">
        <f>IF(OR($B381="",$J381=""),"",$J381-$A381)</f>
        <v/>
      </c>
    </row>
    <row r="382">
      <c r="A382">
        <f>IF($B382="","",RANK($C382,$C$2:$C$500))</f>
        <v/>
      </c>
      <c r="B382">
        <f>IF(Players!$A382="","",Players!$A382)</f>
        <v/>
      </c>
      <c r="C382" s="5">
        <f>IF($B382="","",SUM(D382:H382))</f>
        <v/>
      </c>
      <c r="D382">
        <f>IF($B382="","",SUMIFS('Web Feed'!$O$2:$O$3015,'Web Feed'!$B$2:$B$3015,Points!$A$2,'Web Feed'!$F$2:$F$3015,$B382)+SUMIFS('Web Feed'!$O$2:$O$3015,'Web Feed'!$B$2:$B$3015,Points!$A$2,'Web Feed'!$G$2:$G$3015,$B382)+SUMIFS('Web Feed'!$O$2:$O$3015,'Web Feed'!$B$2:$B$3015,Points!$A$2,'Web Feed'!$H$2:$H$3015,$B382)+SUMIFS('Web Feed'!$O$2:$O$3015,'Web Feed'!$B$2:$B$3015,Points!$A$2,'Web Feed'!$I$2:$I$3015,$B382))</f>
        <v/>
      </c>
      <c r="E382">
        <f>IF($B382="","",SUMIFS('Web Feed'!$O$2:$O$3015,'Web Feed'!$B$2:$B$3015,Points!$A$3,'Web Feed'!$F$2:$F$3015,$B382)+SUMIFS('Web Feed'!$O$2:$O$3015,'Web Feed'!$B$2:$B$3015,Points!$A$3,'Web Feed'!$G$2:$G$3015,$B382)+SUMIFS('Web Feed'!$O$2:$O$3015,'Web Feed'!$B$2:$B$3015,Points!$A$3,'Web Feed'!$H$2:$H$3015,$B382)+SUMIFS('Web Feed'!$O$2:$O$3015,'Web Feed'!$B$2:$B$3015,Points!$A$3,'Web Feed'!$I$2:$I$3015,$B382))</f>
        <v/>
      </c>
      <c r="F382">
        <f>IF($B382="","",SUMIFS('Web Feed'!$O$2:$O$3015,'Web Feed'!$B$2:$B$3015,Points!$A$4,'Web Feed'!$F$2:$F$3015,$B382)+SUMIFS('Web Feed'!$O$2:$O$3015,'Web Feed'!$B$2:$B$3015,Points!$A$4,'Web Feed'!$G$2:$G$3015,$B382)+SUMIFS('Web Feed'!$O$2:$O$3015,'Web Feed'!$B$2:$B$3015,Points!$A$4,'Web Feed'!$H$2:$H$3015,$B382)+SUMIFS('Web Feed'!$O$2:$O$3015,'Web Feed'!$B$2:$B$3015,Points!$A$4,'Web Feed'!$I$2:$I$3015,$B382))</f>
        <v/>
      </c>
      <c r="G382">
        <f>IF($B382="","",SUMIFS('Web Feed'!$O$2:$O$3015,'Web Feed'!$B$2:$B$3015,Points!$A$5,'Web Feed'!$F$2:$F$3015,$B382)+SUMIFS('Web Feed'!$O$2:$O$3015,'Web Feed'!$B$2:$B$3015,Points!$A$5,'Web Feed'!$G$2:$G$3015,$B382)+SUMIFS('Web Feed'!$O$2:$O$3015,'Web Feed'!$B$2:$B$3015,Points!$A$5,'Web Feed'!$H$2:$H$3015,$B382)+SUMIFS('Web Feed'!$O$2:$O$3015,'Web Feed'!$B$2:$B$3015,Points!$A$5,'Web Feed'!$I$2:$I$3015,$B382))</f>
        <v/>
      </c>
      <c r="H382">
        <f>IF($B382="","",SUMIFS('Web Feed'!$O$2:$O$3015,'Web Feed'!$B$2:$B$3015,Points!$A$6,'Web Feed'!$F$2:$F$3015,$B382)+SUMIFS('Web Feed'!$O$2:$O$3015,'Web Feed'!$B$2:$B$3015,Points!$A$6,'Web Feed'!$G$2:$G$3015,$B382)+SUMIFS('Web Feed'!$O$2:$O$3015,'Web Feed'!$B$2:$B$3015,Points!$A$6,'Web Feed'!$H$2:$H$3015,$B382)+SUMIFS('Web Feed'!$O$2:$O$3015,'Web Feed'!$B$2:$B$3015,Points!$A$6,'Web Feed'!$I$2:$I$3015,$B382))</f>
        <v/>
      </c>
      <c r="I382">
        <f>IF($B382="","",COUNTIFS('Web Feed'!$B$2:$B$3015,"OHW",'Web Feed'!$F$2:$F$3015,$B382))</f>
        <v/>
      </c>
      <c r="J382">
        <f>IF($B382="","",IFERROR(INDEX('Last Week'!$A$2:$A$301,MATCH($B382,'Last Week'!$B$2:$B$301,0)),""))</f>
        <v/>
      </c>
      <c r="K382">
        <f>IF(OR($B382="",$J382=""),"",$J382-$A382)</f>
        <v/>
      </c>
    </row>
    <row r="383">
      <c r="A383">
        <f>IF($B383="","",RANK($C383,$C$2:$C$500))</f>
        <v/>
      </c>
      <c r="B383">
        <f>IF(Players!$A383="","",Players!$A383)</f>
        <v/>
      </c>
      <c r="C383" s="5">
        <f>IF($B383="","",SUM(D383:H383))</f>
        <v/>
      </c>
      <c r="D383">
        <f>IF($B383="","",SUMIFS('Web Feed'!$O$2:$O$3015,'Web Feed'!$B$2:$B$3015,Points!$A$2,'Web Feed'!$F$2:$F$3015,$B383)+SUMIFS('Web Feed'!$O$2:$O$3015,'Web Feed'!$B$2:$B$3015,Points!$A$2,'Web Feed'!$G$2:$G$3015,$B383)+SUMIFS('Web Feed'!$O$2:$O$3015,'Web Feed'!$B$2:$B$3015,Points!$A$2,'Web Feed'!$H$2:$H$3015,$B383)+SUMIFS('Web Feed'!$O$2:$O$3015,'Web Feed'!$B$2:$B$3015,Points!$A$2,'Web Feed'!$I$2:$I$3015,$B383))</f>
        <v/>
      </c>
      <c r="E383">
        <f>IF($B383="","",SUMIFS('Web Feed'!$O$2:$O$3015,'Web Feed'!$B$2:$B$3015,Points!$A$3,'Web Feed'!$F$2:$F$3015,$B383)+SUMIFS('Web Feed'!$O$2:$O$3015,'Web Feed'!$B$2:$B$3015,Points!$A$3,'Web Feed'!$G$2:$G$3015,$B383)+SUMIFS('Web Feed'!$O$2:$O$3015,'Web Feed'!$B$2:$B$3015,Points!$A$3,'Web Feed'!$H$2:$H$3015,$B383)+SUMIFS('Web Feed'!$O$2:$O$3015,'Web Feed'!$B$2:$B$3015,Points!$A$3,'Web Feed'!$I$2:$I$3015,$B383))</f>
        <v/>
      </c>
      <c r="F383">
        <f>IF($B383="","",SUMIFS('Web Feed'!$O$2:$O$3015,'Web Feed'!$B$2:$B$3015,Points!$A$4,'Web Feed'!$F$2:$F$3015,$B383)+SUMIFS('Web Feed'!$O$2:$O$3015,'Web Feed'!$B$2:$B$3015,Points!$A$4,'Web Feed'!$G$2:$G$3015,$B383)+SUMIFS('Web Feed'!$O$2:$O$3015,'Web Feed'!$B$2:$B$3015,Points!$A$4,'Web Feed'!$H$2:$H$3015,$B383)+SUMIFS('Web Feed'!$O$2:$O$3015,'Web Feed'!$B$2:$B$3015,Points!$A$4,'Web Feed'!$I$2:$I$3015,$B383))</f>
        <v/>
      </c>
      <c r="G383">
        <f>IF($B383="","",SUMIFS('Web Feed'!$O$2:$O$3015,'Web Feed'!$B$2:$B$3015,Points!$A$5,'Web Feed'!$F$2:$F$3015,$B383)+SUMIFS('Web Feed'!$O$2:$O$3015,'Web Feed'!$B$2:$B$3015,Points!$A$5,'Web Feed'!$G$2:$G$3015,$B383)+SUMIFS('Web Feed'!$O$2:$O$3015,'Web Feed'!$B$2:$B$3015,Points!$A$5,'Web Feed'!$H$2:$H$3015,$B383)+SUMIFS('Web Feed'!$O$2:$O$3015,'Web Feed'!$B$2:$B$3015,Points!$A$5,'Web Feed'!$I$2:$I$3015,$B383))</f>
        <v/>
      </c>
      <c r="H383">
        <f>IF($B383="","",SUMIFS('Web Feed'!$O$2:$O$3015,'Web Feed'!$B$2:$B$3015,Points!$A$6,'Web Feed'!$F$2:$F$3015,$B383)+SUMIFS('Web Feed'!$O$2:$O$3015,'Web Feed'!$B$2:$B$3015,Points!$A$6,'Web Feed'!$G$2:$G$3015,$B383)+SUMIFS('Web Feed'!$O$2:$O$3015,'Web Feed'!$B$2:$B$3015,Points!$A$6,'Web Feed'!$H$2:$H$3015,$B383)+SUMIFS('Web Feed'!$O$2:$O$3015,'Web Feed'!$B$2:$B$3015,Points!$A$6,'Web Feed'!$I$2:$I$3015,$B383))</f>
        <v/>
      </c>
      <c r="I383">
        <f>IF($B383="","",COUNTIFS('Web Feed'!$B$2:$B$3015,"OHW",'Web Feed'!$F$2:$F$3015,$B383))</f>
        <v/>
      </c>
      <c r="J383">
        <f>IF($B383="","",IFERROR(INDEX('Last Week'!$A$2:$A$301,MATCH($B383,'Last Week'!$B$2:$B$301,0)),""))</f>
        <v/>
      </c>
      <c r="K383">
        <f>IF(OR($B383="",$J383=""),"",$J383-$A383)</f>
        <v/>
      </c>
    </row>
    <row r="384">
      <c r="A384">
        <f>IF($B384="","",RANK($C384,$C$2:$C$500))</f>
        <v/>
      </c>
      <c r="B384">
        <f>IF(Players!$A384="","",Players!$A384)</f>
        <v/>
      </c>
      <c r="C384" s="5">
        <f>IF($B384="","",SUM(D384:H384))</f>
        <v/>
      </c>
      <c r="D384">
        <f>IF($B384="","",SUMIFS('Web Feed'!$O$2:$O$3015,'Web Feed'!$B$2:$B$3015,Points!$A$2,'Web Feed'!$F$2:$F$3015,$B384)+SUMIFS('Web Feed'!$O$2:$O$3015,'Web Feed'!$B$2:$B$3015,Points!$A$2,'Web Feed'!$G$2:$G$3015,$B384)+SUMIFS('Web Feed'!$O$2:$O$3015,'Web Feed'!$B$2:$B$3015,Points!$A$2,'Web Feed'!$H$2:$H$3015,$B384)+SUMIFS('Web Feed'!$O$2:$O$3015,'Web Feed'!$B$2:$B$3015,Points!$A$2,'Web Feed'!$I$2:$I$3015,$B384))</f>
        <v/>
      </c>
      <c r="E384">
        <f>IF($B384="","",SUMIFS('Web Feed'!$O$2:$O$3015,'Web Feed'!$B$2:$B$3015,Points!$A$3,'Web Feed'!$F$2:$F$3015,$B384)+SUMIFS('Web Feed'!$O$2:$O$3015,'Web Feed'!$B$2:$B$3015,Points!$A$3,'Web Feed'!$G$2:$G$3015,$B384)+SUMIFS('Web Feed'!$O$2:$O$3015,'Web Feed'!$B$2:$B$3015,Points!$A$3,'Web Feed'!$H$2:$H$3015,$B384)+SUMIFS('Web Feed'!$O$2:$O$3015,'Web Feed'!$B$2:$B$3015,Points!$A$3,'Web Feed'!$I$2:$I$3015,$B384))</f>
        <v/>
      </c>
      <c r="F384">
        <f>IF($B384="","",SUMIFS('Web Feed'!$O$2:$O$3015,'Web Feed'!$B$2:$B$3015,Points!$A$4,'Web Feed'!$F$2:$F$3015,$B384)+SUMIFS('Web Feed'!$O$2:$O$3015,'Web Feed'!$B$2:$B$3015,Points!$A$4,'Web Feed'!$G$2:$G$3015,$B384)+SUMIFS('Web Feed'!$O$2:$O$3015,'Web Feed'!$B$2:$B$3015,Points!$A$4,'Web Feed'!$H$2:$H$3015,$B384)+SUMIFS('Web Feed'!$O$2:$O$3015,'Web Feed'!$B$2:$B$3015,Points!$A$4,'Web Feed'!$I$2:$I$3015,$B384))</f>
        <v/>
      </c>
      <c r="G384">
        <f>IF($B384="","",SUMIFS('Web Feed'!$O$2:$O$3015,'Web Feed'!$B$2:$B$3015,Points!$A$5,'Web Feed'!$F$2:$F$3015,$B384)+SUMIFS('Web Feed'!$O$2:$O$3015,'Web Feed'!$B$2:$B$3015,Points!$A$5,'Web Feed'!$G$2:$G$3015,$B384)+SUMIFS('Web Feed'!$O$2:$O$3015,'Web Feed'!$B$2:$B$3015,Points!$A$5,'Web Feed'!$H$2:$H$3015,$B384)+SUMIFS('Web Feed'!$O$2:$O$3015,'Web Feed'!$B$2:$B$3015,Points!$A$5,'Web Feed'!$I$2:$I$3015,$B384))</f>
        <v/>
      </c>
      <c r="H384">
        <f>IF($B384="","",SUMIFS('Web Feed'!$O$2:$O$3015,'Web Feed'!$B$2:$B$3015,Points!$A$6,'Web Feed'!$F$2:$F$3015,$B384)+SUMIFS('Web Feed'!$O$2:$O$3015,'Web Feed'!$B$2:$B$3015,Points!$A$6,'Web Feed'!$G$2:$G$3015,$B384)+SUMIFS('Web Feed'!$O$2:$O$3015,'Web Feed'!$B$2:$B$3015,Points!$A$6,'Web Feed'!$H$2:$H$3015,$B384)+SUMIFS('Web Feed'!$O$2:$O$3015,'Web Feed'!$B$2:$B$3015,Points!$A$6,'Web Feed'!$I$2:$I$3015,$B384))</f>
        <v/>
      </c>
      <c r="I384">
        <f>IF($B384="","",COUNTIFS('Web Feed'!$B$2:$B$3015,"OHW",'Web Feed'!$F$2:$F$3015,$B384))</f>
        <v/>
      </c>
      <c r="J384">
        <f>IF($B384="","",IFERROR(INDEX('Last Week'!$A$2:$A$301,MATCH($B384,'Last Week'!$B$2:$B$301,0)),""))</f>
        <v/>
      </c>
      <c r="K384">
        <f>IF(OR($B384="",$J384=""),"",$J384-$A384)</f>
        <v/>
      </c>
    </row>
    <row r="385">
      <c r="A385">
        <f>IF($B385="","",RANK($C385,$C$2:$C$500))</f>
        <v/>
      </c>
      <c r="B385">
        <f>IF(Players!$A385="","",Players!$A385)</f>
        <v/>
      </c>
      <c r="C385" s="5">
        <f>IF($B385="","",SUM(D385:H385))</f>
        <v/>
      </c>
      <c r="D385">
        <f>IF($B385="","",SUMIFS('Web Feed'!$O$2:$O$3015,'Web Feed'!$B$2:$B$3015,Points!$A$2,'Web Feed'!$F$2:$F$3015,$B385)+SUMIFS('Web Feed'!$O$2:$O$3015,'Web Feed'!$B$2:$B$3015,Points!$A$2,'Web Feed'!$G$2:$G$3015,$B385)+SUMIFS('Web Feed'!$O$2:$O$3015,'Web Feed'!$B$2:$B$3015,Points!$A$2,'Web Feed'!$H$2:$H$3015,$B385)+SUMIFS('Web Feed'!$O$2:$O$3015,'Web Feed'!$B$2:$B$3015,Points!$A$2,'Web Feed'!$I$2:$I$3015,$B385))</f>
        <v/>
      </c>
      <c r="E385">
        <f>IF($B385="","",SUMIFS('Web Feed'!$O$2:$O$3015,'Web Feed'!$B$2:$B$3015,Points!$A$3,'Web Feed'!$F$2:$F$3015,$B385)+SUMIFS('Web Feed'!$O$2:$O$3015,'Web Feed'!$B$2:$B$3015,Points!$A$3,'Web Feed'!$G$2:$G$3015,$B385)+SUMIFS('Web Feed'!$O$2:$O$3015,'Web Feed'!$B$2:$B$3015,Points!$A$3,'Web Feed'!$H$2:$H$3015,$B385)+SUMIFS('Web Feed'!$O$2:$O$3015,'Web Feed'!$B$2:$B$3015,Points!$A$3,'Web Feed'!$I$2:$I$3015,$B385))</f>
        <v/>
      </c>
      <c r="F385">
        <f>IF($B385="","",SUMIFS('Web Feed'!$O$2:$O$3015,'Web Feed'!$B$2:$B$3015,Points!$A$4,'Web Feed'!$F$2:$F$3015,$B385)+SUMIFS('Web Feed'!$O$2:$O$3015,'Web Feed'!$B$2:$B$3015,Points!$A$4,'Web Feed'!$G$2:$G$3015,$B385)+SUMIFS('Web Feed'!$O$2:$O$3015,'Web Feed'!$B$2:$B$3015,Points!$A$4,'Web Feed'!$H$2:$H$3015,$B385)+SUMIFS('Web Feed'!$O$2:$O$3015,'Web Feed'!$B$2:$B$3015,Points!$A$4,'Web Feed'!$I$2:$I$3015,$B385))</f>
        <v/>
      </c>
      <c r="G385">
        <f>IF($B385="","",SUMIFS('Web Feed'!$O$2:$O$3015,'Web Feed'!$B$2:$B$3015,Points!$A$5,'Web Feed'!$F$2:$F$3015,$B385)+SUMIFS('Web Feed'!$O$2:$O$3015,'Web Feed'!$B$2:$B$3015,Points!$A$5,'Web Feed'!$G$2:$G$3015,$B385)+SUMIFS('Web Feed'!$O$2:$O$3015,'Web Feed'!$B$2:$B$3015,Points!$A$5,'Web Feed'!$H$2:$H$3015,$B385)+SUMIFS('Web Feed'!$O$2:$O$3015,'Web Feed'!$B$2:$B$3015,Points!$A$5,'Web Feed'!$I$2:$I$3015,$B385))</f>
        <v/>
      </c>
      <c r="H385">
        <f>IF($B385="","",SUMIFS('Web Feed'!$O$2:$O$3015,'Web Feed'!$B$2:$B$3015,Points!$A$6,'Web Feed'!$F$2:$F$3015,$B385)+SUMIFS('Web Feed'!$O$2:$O$3015,'Web Feed'!$B$2:$B$3015,Points!$A$6,'Web Feed'!$G$2:$G$3015,$B385)+SUMIFS('Web Feed'!$O$2:$O$3015,'Web Feed'!$B$2:$B$3015,Points!$A$6,'Web Feed'!$H$2:$H$3015,$B385)+SUMIFS('Web Feed'!$O$2:$O$3015,'Web Feed'!$B$2:$B$3015,Points!$A$6,'Web Feed'!$I$2:$I$3015,$B385))</f>
        <v/>
      </c>
      <c r="I385">
        <f>IF($B385="","",COUNTIFS('Web Feed'!$B$2:$B$3015,"OHW",'Web Feed'!$F$2:$F$3015,$B385))</f>
        <v/>
      </c>
      <c r="J385">
        <f>IF($B385="","",IFERROR(INDEX('Last Week'!$A$2:$A$301,MATCH($B385,'Last Week'!$B$2:$B$301,0)),""))</f>
        <v/>
      </c>
      <c r="K385">
        <f>IF(OR($B385="",$J385=""),"",$J385-$A385)</f>
        <v/>
      </c>
    </row>
    <row r="386">
      <c r="A386">
        <f>IF($B386="","",RANK($C386,$C$2:$C$500))</f>
        <v/>
      </c>
      <c r="B386">
        <f>IF(Players!$A386="","",Players!$A386)</f>
        <v/>
      </c>
      <c r="C386" s="5">
        <f>IF($B386="","",SUM(D386:H386))</f>
        <v/>
      </c>
      <c r="D386">
        <f>IF($B386="","",SUMIFS('Web Feed'!$O$2:$O$3015,'Web Feed'!$B$2:$B$3015,Points!$A$2,'Web Feed'!$F$2:$F$3015,$B386)+SUMIFS('Web Feed'!$O$2:$O$3015,'Web Feed'!$B$2:$B$3015,Points!$A$2,'Web Feed'!$G$2:$G$3015,$B386)+SUMIFS('Web Feed'!$O$2:$O$3015,'Web Feed'!$B$2:$B$3015,Points!$A$2,'Web Feed'!$H$2:$H$3015,$B386)+SUMIFS('Web Feed'!$O$2:$O$3015,'Web Feed'!$B$2:$B$3015,Points!$A$2,'Web Feed'!$I$2:$I$3015,$B386))</f>
        <v/>
      </c>
      <c r="E386">
        <f>IF($B386="","",SUMIFS('Web Feed'!$O$2:$O$3015,'Web Feed'!$B$2:$B$3015,Points!$A$3,'Web Feed'!$F$2:$F$3015,$B386)+SUMIFS('Web Feed'!$O$2:$O$3015,'Web Feed'!$B$2:$B$3015,Points!$A$3,'Web Feed'!$G$2:$G$3015,$B386)+SUMIFS('Web Feed'!$O$2:$O$3015,'Web Feed'!$B$2:$B$3015,Points!$A$3,'Web Feed'!$H$2:$H$3015,$B386)+SUMIFS('Web Feed'!$O$2:$O$3015,'Web Feed'!$B$2:$B$3015,Points!$A$3,'Web Feed'!$I$2:$I$3015,$B386))</f>
        <v/>
      </c>
      <c r="F386">
        <f>IF($B386="","",SUMIFS('Web Feed'!$O$2:$O$3015,'Web Feed'!$B$2:$B$3015,Points!$A$4,'Web Feed'!$F$2:$F$3015,$B386)+SUMIFS('Web Feed'!$O$2:$O$3015,'Web Feed'!$B$2:$B$3015,Points!$A$4,'Web Feed'!$G$2:$G$3015,$B386)+SUMIFS('Web Feed'!$O$2:$O$3015,'Web Feed'!$B$2:$B$3015,Points!$A$4,'Web Feed'!$H$2:$H$3015,$B386)+SUMIFS('Web Feed'!$O$2:$O$3015,'Web Feed'!$B$2:$B$3015,Points!$A$4,'Web Feed'!$I$2:$I$3015,$B386))</f>
        <v/>
      </c>
      <c r="G386">
        <f>IF($B386="","",SUMIFS('Web Feed'!$O$2:$O$3015,'Web Feed'!$B$2:$B$3015,Points!$A$5,'Web Feed'!$F$2:$F$3015,$B386)+SUMIFS('Web Feed'!$O$2:$O$3015,'Web Feed'!$B$2:$B$3015,Points!$A$5,'Web Feed'!$G$2:$G$3015,$B386)+SUMIFS('Web Feed'!$O$2:$O$3015,'Web Feed'!$B$2:$B$3015,Points!$A$5,'Web Feed'!$H$2:$H$3015,$B386)+SUMIFS('Web Feed'!$O$2:$O$3015,'Web Feed'!$B$2:$B$3015,Points!$A$5,'Web Feed'!$I$2:$I$3015,$B386))</f>
        <v/>
      </c>
      <c r="H386">
        <f>IF($B386="","",SUMIFS('Web Feed'!$O$2:$O$3015,'Web Feed'!$B$2:$B$3015,Points!$A$6,'Web Feed'!$F$2:$F$3015,$B386)+SUMIFS('Web Feed'!$O$2:$O$3015,'Web Feed'!$B$2:$B$3015,Points!$A$6,'Web Feed'!$G$2:$G$3015,$B386)+SUMIFS('Web Feed'!$O$2:$O$3015,'Web Feed'!$B$2:$B$3015,Points!$A$6,'Web Feed'!$H$2:$H$3015,$B386)+SUMIFS('Web Feed'!$O$2:$O$3015,'Web Feed'!$B$2:$B$3015,Points!$A$6,'Web Feed'!$I$2:$I$3015,$B386))</f>
        <v/>
      </c>
      <c r="I386">
        <f>IF($B386="","",COUNTIFS('Web Feed'!$B$2:$B$3015,"OHW",'Web Feed'!$F$2:$F$3015,$B386))</f>
        <v/>
      </c>
      <c r="J386">
        <f>IF($B386="","",IFERROR(INDEX('Last Week'!$A$2:$A$301,MATCH($B386,'Last Week'!$B$2:$B$301,0)),""))</f>
        <v/>
      </c>
      <c r="K386">
        <f>IF(OR($B386="",$J386=""),"",$J386-$A386)</f>
        <v/>
      </c>
    </row>
    <row r="387">
      <c r="A387">
        <f>IF($B387="","",RANK($C387,$C$2:$C$500))</f>
        <v/>
      </c>
      <c r="B387">
        <f>IF(Players!$A387="","",Players!$A387)</f>
        <v/>
      </c>
      <c r="C387" s="5">
        <f>IF($B387="","",SUM(D387:H387))</f>
        <v/>
      </c>
      <c r="D387">
        <f>IF($B387="","",SUMIFS('Web Feed'!$O$2:$O$3015,'Web Feed'!$B$2:$B$3015,Points!$A$2,'Web Feed'!$F$2:$F$3015,$B387)+SUMIFS('Web Feed'!$O$2:$O$3015,'Web Feed'!$B$2:$B$3015,Points!$A$2,'Web Feed'!$G$2:$G$3015,$B387)+SUMIFS('Web Feed'!$O$2:$O$3015,'Web Feed'!$B$2:$B$3015,Points!$A$2,'Web Feed'!$H$2:$H$3015,$B387)+SUMIFS('Web Feed'!$O$2:$O$3015,'Web Feed'!$B$2:$B$3015,Points!$A$2,'Web Feed'!$I$2:$I$3015,$B387))</f>
        <v/>
      </c>
      <c r="E387">
        <f>IF($B387="","",SUMIFS('Web Feed'!$O$2:$O$3015,'Web Feed'!$B$2:$B$3015,Points!$A$3,'Web Feed'!$F$2:$F$3015,$B387)+SUMIFS('Web Feed'!$O$2:$O$3015,'Web Feed'!$B$2:$B$3015,Points!$A$3,'Web Feed'!$G$2:$G$3015,$B387)+SUMIFS('Web Feed'!$O$2:$O$3015,'Web Feed'!$B$2:$B$3015,Points!$A$3,'Web Feed'!$H$2:$H$3015,$B387)+SUMIFS('Web Feed'!$O$2:$O$3015,'Web Feed'!$B$2:$B$3015,Points!$A$3,'Web Feed'!$I$2:$I$3015,$B387))</f>
        <v/>
      </c>
      <c r="F387">
        <f>IF($B387="","",SUMIFS('Web Feed'!$O$2:$O$3015,'Web Feed'!$B$2:$B$3015,Points!$A$4,'Web Feed'!$F$2:$F$3015,$B387)+SUMIFS('Web Feed'!$O$2:$O$3015,'Web Feed'!$B$2:$B$3015,Points!$A$4,'Web Feed'!$G$2:$G$3015,$B387)+SUMIFS('Web Feed'!$O$2:$O$3015,'Web Feed'!$B$2:$B$3015,Points!$A$4,'Web Feed'!$H$2:$H$3015,$B387)+SUMIFS('Web Feed'!$O$2:$O$3015,'Web Feed'!$B$2:$B$3015,Points!$A$4,'Web Feed'!$I$2:$I$3015,$B387))</f>
        <v/>
      </c>
      <c r="G387">
        <f>IF($B387="","",SUMIFS('Web Feed'!$O$2:$O$3015,'Web Feed'!$B$2:$B$3015,Points!$A$5,'Web Feed'!$F$2:$F$3015,$B387)+SUMIFS('Web Feed'!$O$2:$O$3015,'Web Feed'!$B$2:$B$3015,Points!$A$5,'Web Feed'!$G$2:$G$3015,$B387)+SUMIFS('Web Feed'!$O$2:$O$3015,'Web Feed'!$B$2:$B$3015,Points!$A$5,'Web Feed'!$H$2:$H$3015,$B387)+SUMIFS('Web Feed'!$O$2:$O$3015,'Web Feed'!$B$2:$B$3015,Points!$A$5,'Web Feed'!$I$2:$I$3015,$B387))</f>
        <v/>
      </c>
      <c r="H387">
        <f>IF($B387="","",SUMIFS('Web Feed'!$O$2:$O$3015,'Web Feed'!$B$2:$B$3015,Points!$A$6,'Web Feed'!$F$2:$F$3015,$B387)+SUMIFS('Web Feed'!$O$2:$O$3015,'Web Feed'!$B$2:$B$3015,Points!$A$6,'Web Feed'!$G$2:$G$3015,$B387)+SUMIFS('Web Feed'!$O$2:$O$3015,'Web Feed'!$B$2:$B$3015,Points!$A$6,'Web Feed'!$H$2:$H$3015,$B387)+SUMIFS('Web Feed'!$O$2:$O$3015,'Web Feed'!$B$2:$B$3015,Points!$A$6,'Web Feed'!$I$2:$I$3015,$B387))</f>
        <v/>
      </c>
      <c r="I387">
        <f>IF($B387="","",COUNTIFS('Web Feed'!$B$2:$B$3015,"OHW",'Web Feed'!$F$2:$F$3015,$B387))</f>
        <v/>
      </c>
      <c r="J387">
        <f>IF($B387="","",IFERROR(INDEX('Last Week'!$A$2:$A$301,MATCH($B387,'Last Week'!$B$2:$B$301,0)),""))</f>
        <v/>
      </c>
      <c r="K387">
        <f>IF(OR($B387="",$J387=""),"",$J387-$A387)</f>
        <v/>
      </c>
    </row>
    <row r="388">
      <c r="A388">
        <f>IF($B388="","",RANK($C388,$C$2:$C$500))</f>
        <v/>
      </c>
      <c r="B388">
        <f>IF(Players!$A388="","",Players!$A388)</f>
        <v/>
      </c>
      <c r="C388" s="5">
        <f>IF($B388="","",SUM(D388:H388))</f>
        <v/>
      </c>
      <c r="D388">
        <f>IF($B388="","",SUMIFS('Web Feed'!$O$2:$O$3015,'Web Feed'!$B$2:$B$3015,Points!$A$2,'Web Feed'!$F$2:$F$3015,$B388)+SUMIFS('Web Feed'!$O$2:$O$3015,'Web Feed'!$B$2:$B$3015,Points!$A$2,'Web Feed'!$G$2:$G$3015,$B388)+SUMIFS('Web Feed'!$O$2:$O$3015,'Web Feed'!$B$2:$B$3015,Points!$A$2,'Web Feed'!$H$2:$H$3015,$B388)+SUMIFS('Web Feed'!$O$2:$O$3015,'Web Feed'!$B$2:$B$3015,Points!$A$2,'Web Feed'!$I$2:$I$3015,$B388))</f>
        <v/>
      </c>
      <c r="E388">
        <f>IF($B388="","",SUMIFS('Web Feed'!$O$2:$O$3015,'Web Feed'!$B$2:$B$3015,Points!$A$3,'Web Feed'!$F$2:$F$3015,$B388)+SUMIFS('Web Feed'!$O$2:$O$3015,'Web Feed'!$B$2:$B$3015,Points!$A$3,'Web Feed'!$G$2:$G$3015,$B388)+SUMIFS('Web Feed'!$O$2:$O$3015,'Web Feed'!$B$2:$B$3015,Points!$A$3,'Web Feed'!$H$2:$H$3015,$B388)+SUMIFS('Web Feed'!$O$2:$O$3015,'Web Feed'!$B$2:$B$3015,Points!$A$3,'Web Feed'!$I$2:$I$3015,$B388))</f>
        <v/>
      </c>
      <c r="F388">
        <f>IF($B388="","",SUMIFS('Web Feed'!$O$2:$O$3015,'Web Feed'!$B$2:$B$3015,Points!$A$4,'Web Feed'!$F$2:$F$3015,$B388)+SUMIFS('Web Feed'!$O$2:$O$3015,'Web Feed'!$B$2:$B$3015,Points!$A$4,'Web Feed'!$G$2:$G$3015,$B388)+SUMIFS('Web Feed'!$O$2:$O$3015,'Web Feed'!$B$2:$B$3015,Points!$A$4,'Web Feed'!$H$2:$H$3015,$B388)+SUMIFS('Web Feed'!$O$2:$O$3015,'Web Feed'!$B$2:$B$3015,Points!$A$4,'Web Feed'!$I$2:$I$3015,$B388))</f>
        <v/>
      </c>
      <c r="G388">
        <f>IF($B388="","",SUMIFS('Web Feed'!$O$2:$O$3015,'Web Feed'!$B$2:$B$3015,Points!$A$5,'Web Feed'!$F$2:$F$3015,$B388)+SUMIFS('Web Feed'!$O$2:$O$3015,'Web Feed'!$B$2:$B$3015,Points!$A$5,'Web Feed'!$G$2:$G$3015,$B388)+SUMIFS('Web Feed'!$O$2:$O$3015,'Web Feed'!$B$2:$B$3015,Points!$A$5,'Web Feed'!$H$2:$H$3015,$B388)+SUMIFS('Web Feed'!$O$2:$O$3015,'Web Feed'!$B$2:$B$3015,Points!$A$5,'Web Feed'!$I$2:$I$3015,$B388))</f>
        <v/>
      </c>
      <c r="H388">
        <f>IF($B388="","",SUMIFS('Web Feed'!$O$2:$O$3015,'Web Feed'!$B$2:$B$3015,Points!$A$6,'Web Feed'!$F$2:$F$3015,$B388)+SUMIFS('Web Feed'!$O$2:$O$3015,'Web Feed'!$B$2:$B$3015,Points!$A$6,'Web Feed'!$G$2:$G$3015,$B388)+SUMIFS('Web Feed'!$O$2:$O$3015,'Web Feed'!$B$2:$B$3015,Points!$A$6,'Web Feed'!$H$2:$H$3015,$B388)+SUMIFS('Web Feed'!$O$2:$O$3015,'Web Feed'!$B$2:$B$3015,Points!$A$6,'Web Feed'!$I$2:$I$3015,$B388))</f>
        <v/>
      </c>
      <c r="I388">
        <f>IF($B388="","",COUNTIFS('Web Feed'!$B$2:$B$3015,"OHW",'Web Feed'!$F$2:$F$3015,$B388))</f>
        <v/>
      </c>
      <c r="J388">
        <f>IF($B388="","",IFERROR(INDEX('Last Week'!$A$2:$A$301,MATCH($B388,'Last Week'!$B$2:$B$301,0)),""))</f>
        <v/>
      </c>
      <c r="K388">
        <f>IF(OR($B388="",$J388=""),"",$J388-$A388)</f>
        <v/>
      </c>
    </row>
    <row r="389">
      <c r="A389">
        <f>IF($B389="","",RANK($C389,$C$2:$C$500))</f>
        <v/>
      </c>
      <c r="B389">
        <f>IF(Players!$A389="","",Players!$A389)</f>
        <v/>
      </c>
      <c r="C389" s="5">
        <f>IF($B389="","",SUM(D389:H389))</f>
        <v/>
      </c>
      <c r="D389">
        <f>IF($B389="","",SUMIFS('Web Feed'!$O$2:$O$3015,'Web Feed'!$B$2:$B$3015,Points!$A$2,'Web Feed'!$F$2:$F$3015,$B389)+SUMIFS('Web Feed'!$O$2:$O$3015,'Web Feed'!$B$2:$B$3015,Points!$A$2,'Web Feed'!$G$2:$G$3015,$B389)+SUMIFS('Web Feed'!$O$2:$O$3015,'Web Feed'!$B$2:$B$3015,Points!$A$2,'Web Feed'!$H$2:$H$3015,$B389)+SUMIFS('Web Feed'!$O$2:$O$3015,'Web Feed'!$B$2:$B$3015,Points!$A$2,'Web Feed'!$I$2:$I$3015,$B389))</f>
        <v/>
      </c>
      <c r="E389">
        <f>IF($B389="","",SUMIFS('Web Feed'!$O$2:$O$3015,'Web Feed'!$B$2:$B$3015,Points!$A$3,'Web Feed'!$F$2:$F$3015,$B389)+SUMIFS('Web Feed'!$O$2:$O$3015,'Web Feed'!$B$2:$B$3015,Points!$A$3,'Web Feed'!$G$2:$G$3015,$B389)+SUMIFS('Web Feed'!$O$2:$O$3015,'Web Feed'!$B$2:$B$3015,Points!$A$3,'Web Feed'!$H$2:$H$3015,$B389)+SUMIFS('Web Feed'!$O$2:$O$3015,'Web Feed'!$B$2:$B$3015,Points!$A$3,'Web Feed'!$I$2:$I$3015,$B389))</f>
        <v/>
      </c>
      <c r="F389">
        <f>IF($B389="","",SUMIFS('Web Feed'!$O$2:$O$3015,'Web Feed'!$B$2:$B$3015,Points!$A$4,'Web Feed'!$F$2:$F$3015,$B389)+SUMIFS('Web Feed'!$O$2:$O$3015,'Web Feed'!$B$2:$B$3015,Points!$A$4,'Web Feed'!$G$2:$G$3015,$B389)+SUMIFS('Web Feed'!$O$2:$O$3015,'Web Feed'!$B$2:$B$3015,Points!$A$4,'Web Feed'!$H$2:$H$3015,$B389)+SUMIFS('Web Feed'!$O$2:$O$3015,'Web Feed'!$B$2:$B$3015,Points!$A$4,'Web Feed'!$I$2:$I$3015,$B389))</f>
        <v/>
      </c>
      <c r="G389">
        <f>IF($B389="","",SUMIFS('Web Feed'!$O$2:$O$3015,'Web Feed'!$B$2:$B$3015,Points!$A$5,'Web Feed'!$F$2:$F$3015,$B389)+SUMIFS('Web Feed'!$O$2:$O$3015,'Web Feed'!$B$2:$B$3015,Points!$A$5,'Web Feed'!$G$2:$G$3015,$B389)+SUMIFS('Web Feed'!$O$2:$O$3015,'Web Feed'!$B$2:$B$3015,Points!$A$5,'Web Feed'!$H$2:$H$3015,$B389)+SUMIFS('Web Feed'!$O$2:$O$3015,'Web Feed'!$B$2:$B$3015,Points!$A$5,'Web Feed'!$I$2:$I$3015,$B389))</f>
        <v/>
      </c>
      <c r="H389">
        <f>IF($B389="","",SUMIFS('Web Feed'!$O$2:$O$3015,'Web Feed'!$B$2:$B$3015,Points!$A$6,'Web Feed'!$F$2:$F$3015,$B389)+SUMIFS('Web Feed'!$O$2:$O$3015,'Web Feed'!$B$2:$B$3015,Points!$A$6,'Web Feed'!$G$2:$G$3015,$B389)+SUMIFS('Web Feed'!$O$2:$O$3015,'Web Feed'!$B$2:$B$3015,Points!$A$6,'Web Feed'!$H$2:$H$3015,$B389)+SUMIFS('Web Feed'!$O$2:$O$3015,'Web Feed'!$B$2:$B$3015,Points!$A$6,'Web Feed'!$I$2:$I$3015,$B389))</f>
        <v/>
      </c>
      <c r="I389">
        <f>IF($B389="","",COUNTIFS('Web Feed'!$B$2:$B$3015,"OHW",'Web Feed'!$F$2:$F$3015,$B389))</f>
        <v/>
      </c>
      <c r="J389">
        <f>IF($B389="","",IFERROR(INDEX('Last Week'!$A$2:$A$301,MATCH($B389,'Last Week'!$B$2:$B$301,0)),""))</f>
        <v/>
      </c>
      <c r="K389">
        <f>IF(OR($B389="",$J389=""),"",$J389-$A389)</f>
        <v/>
      </c>
    </row>
    <row r="390">
      <c r="A390">
        <f>IF($B390="","",RANK($C390,$C$2:$C$500))</f>
        <v/>
      </c>
      <c r="B390">
        <f>IF(Players!$A390="","",Players!$A390)</f>
        <v/>
      </c>
      <c r="C390" s="5">
        <f>IF($B390="","",SUM(D390:H390))</f>
        <v/>
      </c>
      <c r="D390">
        <f>IF($B390="","",SUMIFS('Web Feed'!$O$2:$O$3015,'Web Feed'!$B$2:$B$3015,Points!$A$2,'Web Feed'!$F$2:$F$3015,$B390)+SUMIFS('Web Feed'!$O$2:$O$3015,'Web Feed'!$B$2:$B$3015,Points!$A$2,'Web Feed'!$G$2:$G$3015,$B390)+SUMIFS('Web Feed'!$O$2:$O$3015,'Web Feed'!$B$2:$B$3015,Points!$A$2,'Web Feed'!$H$2:$H$3015,$B390)+SUMIFS('Web Feed'!$O$2:$O$3015,'Web Feed'!$B$2:$B$3015,Points!$A$2,'Web Feed'!$I$2:$I$3015,$B390))</f>
        <v/>
      </c>
      <c r="E390">
        <f>IF($B390="","",SUMIFS('Web Feed'!$O$2:$O$3015,'Web Feed'!$B$2:$B$3015,Points!$A$3,'Web Feed'!$F$2:$F$3015,$B390)+SUMIFS('Web Feed'!$O$2:$O$3015,'Web Feed'!$B$2:$B$3015,Points!$A$3,'Web Feed'!$G$2:$G$3015,$B390)+SUMIFS('Web Feed'!$O$2:$O$3015,'Web Feed'!$B$2:$B$3015,Points!$A$3,'Web Feed'!$H$2:$H$3015,$B390)+SUMIFS('Web Feed'!$O$2:$O$3015,'Web Feed'!$B$2:$B$3015,Points!$A$3,'Web Feed'!$I$2:$I$3015,$B390))</f>
        <v/>
      </c>
      <c r="F390">
        <f>IF($B390="","",SUMIFS('Web Feed'!$O$2:$O$3015,'Web Feed'!$B$2:$B$3015,Points!$A$4,'Web Feed'!$F$2:$F$3015,$B390)+SUMIFS('Web Feed'!$O$2:$O$3015,'Web Feed'!$B$2:$B$3015,Points!$A$4,'Web Feed'!$G$2:$G$3015,$B390)+SUMIFS('Web Feed'!$O$2:$O$3015,'Web Feed'!$B$2:$B$3015,Points!$A$4,'Web Feed'!$H$2:$H$3015,$B390)+SUMIFS('Web Feed'!$O$2:$O$3015,'Web Feed'!$B$2:$B$3015,Points!$A$4,'Web Feed'!$I$2:$I$3015,$B390))</f>
        <v/>
      </c>
      <c r="G390">
        <f>IF($B390="","",SUMIFS('Web Feed'!$O$2:$O$3015,'Web Feed'!$B$2:$B$3015,Points!$A$5,'Web Feed'!$F$2:$F$3015,$B390)+SUMIFS('Web Feed'!$O$2:$O$3015,'Web Feed'!$B$2:$B$3015,Points!$A$5,'Web Feed'!$G$2:$G$3015,$B390)+SUMIFS('Web Feed'!$O$2:$O$3015,'Web Feed'!$B$2:$B$3015,Points!$A$5,'Web Feed'!$H$2:$H$3015,$B390)+SUMIFS('Web Feed'!$O$2:$O$3015,'Web Feed'!$B$2:$B$3015,Points!$A$5,'Web Feed'!$I$2:$I$3015,$B390))</f>
        <v/>
      </c>
      <c r="H390">
        <f>IF($B390="","",SUMIFS('Web Feed'!$O$2:$O$3015,'Web Feed'!$B$2:$B$3015,Points!$A$6,'Web Feed'!$F$2:$F$3015,$B390)+SUMIFS('Web Feed'!$O$2:$O$3015,'Web Feed'!$B$2:$B$3015,Points!$A$6,'Web Feed'!$G$2:$G$3015,$B390)+SUMIFS('Web Feed'!$O$2:$O$3015,'Web Feed'!$B$2:$B$3015,Points!$A$6,'Web Feed'!$H$2:$H$3015,$B390)+SUMIFS('Web Feed'!$O$2:$O$3015,'Web Feed'!$B$2:$B$3015,Points!$A$6,'Web Feed'!$I$2:$I$3015,$B390))</f>
        <v/>
      </c>
      <c r="I390">
        <f>IF($B390="","",COUNTIFS('Web Feed'!$B$2:$B$3015,"OHW",'Web Feed'!$F$2:$F$3015,$B390))</f>
        <v/>
      </c>
      <c r="J390">
        <f>IF($B390="","",IFERROR(INDEX('Last Week'!$A$2:$A$301,MATCH($B390,'Last Week'!$B$2:$B$301,0)),""))</f>
        <v/>
      </c>
      <c r="K390">
        <f>IF(OR($B390="",$J390=""),"",$J390-$A390)</f>
        <v/>
      </c>
    </row>
    <row r="391">
      <c r="A391">
        <f>IF($B391="","",RANK($C391,$C$2:$C$500))</f>
        <v/>
      </c>
      <c r="B391">
        <f>IF(Players!$A391="","",Players!$A391)</f>
        <v/>
      </c>
      <c r="C391" s="5">
        <f>IF($B391="","",SUM(D391:H391))</f>
        <v/>
      </c>
      <c r="D391">
        <f>IF($B391="","",SUMIFS('Web Feed'!$O$2:$O$3015,'Web Feed'!$B$2:$B$3015,Points!$A$2,'Web Feed'!$F$2:$F$3015,$B391)+SUMIFS('Web Feed'!$O$2:$O$3015,'Web Feed'!$B$2:$B$3015,Points!$A$2,'Web Feed'!$G$2:$G$3015,$B391)+SUMIFS('Web Feed'!$O$2:$O$3015,'Web Feed'!$B$2:$B$3015,Points!$A$2,'Web Feed'!$H$2:$H$3015,$B391)+SUMIFS('Web Feed'!$O$2:$O$3015,'Web Feed'!$B$2:$B$3015,Points!$A$2,'Web Feed'!$I$2:$I$3015,$B391))</f>
        <v/>
      </c>
      <c r="E391">
        <f>IF($B391="","",SUMIFS('Web Feed'!$O$2:$O$3015,'Web Feed'!$B$2:$B$3015,Points!$A$3,'Web Feed'!$F$2:$F$3015,$B391)+SUMIFS('Web Feed'!$O$2:$O$3015,'Web Feed'!$B$2:$B$3015,Points!$A$3,'Web Feed'!$G$2:$G$3015,$B391)+SUMIFS('Web Feed'!$O$2:$O$3015,'Web Feed'!$B$2:$B$3015,Points!$A$3,'Web Feed'!$H$2:$H$3015,$B391)+SUMIFS('Web Feed'!$O$2:$O$3015,'Web Feed'!$B$2:$B$3015,Points!$A$3,'Web Feed'!$I$2:$I$3015,$B391))</f>
        <v/>
      </c>
      <c r="F391">
        <f>IF($B391="","",SUMIFS('Web Feed'!$O$2:$O$3015,'Web Feed'!$B$2:$B$3015,Points!$A$4,'Web Feed'!$F$2:$F$3015,$B391)+SUMIFS('Web Feed'!$O$2:$O$3015,'Web Feed'!$B$2:$B$3015,Points!$A$4,'Web Feed'!$G$2:$G$3015,$B391)+SUMIFS('Web Feed'!$O$2:$O$3015,'Web Feed'!$B$2:$B$3015,Points!$A$4,'Web Feed'!$H$2:$H$3015,$B391)+SUMIFS('Web Feed'!$O$2:$O$3015,'Web Feed'!$B$2:$B$3015,Points!$A$4,'Web Feed'!$I$2:$I$3015,$B391))</f>
        <v/>
      </c>
      <c r="G391">
        <f>IF($B391="","",SUMIFS('Web Feed'!$O$2:$O$3015,'Web Feed'!$B$2:$B$3015,Points!$A$5,'Web Feed'!$F$2:$F$3015,$B391)+SUMIFS('Web Feed'!$O$2:$O$3015,'Web Feed'!$B$2:$B$3015,Points!$A$5,'Web Feed'!$G$2:$G$3015,$B391)+SUMIFS('Web Feed'!$O$2:$O$3015,'Web Feed'!$B$2:$B$3015,Points!$A$5,'Web Feed'!$H$2:$H$3015,$B391)+SUMIFS('Web Feed'!$O$2:$O$3015,'Web Feed'!$B$2:$B$3015,Points!$A$5,'Web Feed'!$I$2:$I$3015,$B391))</f>
        <v/>
      </c>
      <c r="H391">
        <f>IF($B391="","",SUMIFS('Web Feed'!$O$2:$O$3015,'Web Feed'!$B$2:$B$3015,Points!$A$6,'Web Feed'!$F$2:$F$3015,$B391)+SUMIFS('Web Feed'!$O$2:$O$3015,'Web Feed'!$B$2:$B$3015,Points!$A$6,'Web Feed'!$G$2:$G$3015,$B391)+SUMIFS('Web Feed'!$O$2:$O$3015,'Web Feed'!$B$2:$B$3015,Points!$A$6,'Web Feed'!$H$2:$H$3015,$B391)+SUMIFS('Web Feed'!$O$2:$O$3015,'Web Feed'!$B$2:$B$3015,Points!$A$6,'Web Feed'!$I$2:$I$3015,$B391))</f>
        <v/>
      </c>
      <c r="I391">
        <f>IF($B391="","",COUNTIFS('Web Feed'!$B$2:$B$3015,"OHW",'Web Feed'!$F$2:$F$3015,$B391))</f>
        <v/>
      </c>
      <c r="J391">
        <f>IF($B391="","",IFERROR(INDEX('Last Week'!$A$2:$A$301,MATCH($B391,'Last Week'!$B$2:$B$301,0)),""))</f>
        <v/>
      </c>
      <c r="K391">
        <f>IF(OR($B391="",$J391=""),"",$J391-$A391)</f>
        <v/>
      </c>
    </row>
    <row r="392">
      <c r="A392">
        <f>IF($B392="","",RANK($C392,$C$2:$C$500))</f>
        <v/>
      </c>
      <c r="B392">
        <f>IF(Players!$A392="","",Players!$A392)</f>
        <v/>
      </c>
      <c r="C392" s="5">
        <f>IF($B392="","",SUM(D392:H392))</f>
        <v/>
      </c>
      <c r="D392">
        <f>IF($B392="","",SUMIFS('Web Feed'!$O$2:$O$3015,'Web Feed'!$B$2:$B$3015,Points!$A$2,'Web Feed'!$F$2:$F$3015,$B392)+SUMIFS('Web Feed'!$O$2:$O$3015,'Web Feed'!$B$2:$B$3015,Points!$A$2,'Web Feed'!$G$2:$G$3015,$B392)+SUMIFS('Web Feed'!$O$2:$O$3015,'Web Feed'!$B$2:$B$3015,Points!$A$2,'Web Feed'!$H$2:$H$3015,$B392)+SUMIFS('Web Feed'!$O$2:$O$3015,'Web Feed'!$B$2:$B$3015,Points!$A$2,'Web Feed'!$I$2:$I$3015,$B392))</f>
        <v/>
      </c>
      <c r="E392">
        <f>IF($B392="","",SUMIFS('Web Feed'!$O$2:$O$3015,'Web Feed'!$B$2:$B$3015,Points!$A$3,'Web Feed'!$F$2:$F$3015,$B392)+SUMIFS('Web Feed'!$O$2:$O$3015,'Web Feed'!$B$2:$B$3015,Points!$A$3,'Web Feed'!$G$2:$G$3015,$B392)+SUMIFS('Web Feed'!$O$2:$O$3015,'Web Feed'!$B$2:$B$3015,Points!$A$3,'Web Feed'!$H$2:$H$3015,$B392)+SUMIFS('Web Feed'!$O$2:$O$3015,'Web Feed'!$B$2:$B$3015,Points!$A$3,'Web Feed'!$I$2:$I$3015,$B392))</f>
        <v/>
      </c>
      <c r="F392">
        <f>IF($B392="","",SUMIFS('Web Feed'!$O$2:$O$3015,'Web Feed'!$B$2:$B$3015,Points!$A$4,'Web Feed'!$F$2:$F$3015,$B392)+SUMIFS('Web Feed'!$O$2:$O$3015,'Web Feed'!$B$2:$B$3015,Points!$A$4,'Web Feed'!$G$2:$G$3015,$B392)+SUMIFS('Web Feed'!$O$2:$O$3015,'Web Feed'!$B$2:$B$3015,Points!$A$4,'Web Feed'!$H$2:$H$3015,$B392)+SUMIFS('Web Feed'!$O$2:$O$3015,'Web Feed'!$B$2:$B$3015,Points!$A$4,'Web Feed'!$I$2:$I$3015,$B392))</f>
        <v/>
      </c>
      <c r="G392">
        <f>IF($B392="","",SUMIFS('Web Feed'!$O$2:$O$3015,'Web Feed'!$B$2:$B$3015,Points!$A$5,'Web Feed'!$F$2:$F$3015,$B392)+SUMIFS('Web Feed'!$O$2:$O$3015,'Web Feed'!$B$2:$B$3015,Points!$A$5,'Web Feed'!$G$2:$G$3015,$B392)+SUMIFS('Web Feed'!$O$2:$O$3015,'Web Feed'!$B$2:$B$3015,Points!$A$5,'Web Feed'!$H$2:$H$3015,$B392)+SUMIFS('Web Feed'!$O$2:$O$3015,'Web Feed'!$B$2:$B$3015,Points!$A$5,'Web Feed'!$I$2:$I$3015,$B392))</f>
        <v/>
      </c>
      <c r="H392">
        <f>IF($B392="","",SUMIFS('Web Feed'!$O$2:$O$3015,'Web Feed'!$B$2:$B$3015,Points!$A$6,'Web Feed'!$F$2:$F$3015,$B392)+SUMIFS('Web Feed'!$O$2:$O$3015,'Web Feed'!$B$2:$B$3015,Points!$A$6,'Web Feed'!$G$2:$G$3015,$B392)+SUMIFS('Web Feed'!$O$2:$O$3015,'Web Feed'!$B$2:$B$3015,Points!$A$6,'Web Feed'!$H$2:$H$3015,$B392)+SUMIFS('Web Feed'!$O$2:$O$3015,'Web Feed'!$B$2:$B$3015,Points!$A$6,'Web Feed'!$I$2:$I$3015,$B392))</f>
        <v/>
      </c>
      <c r="I392">
        <f>IF($B392="","",COUNTIFS('Web Feed'!$B$2:$B$3015,"OHW",'Web Feed'!$F$2:$F$3015,$B392))</f>
        <v/>
      </c>
      <c r="J392">
        <f>IF($B392="","",IFERROR(INDEX('Last Week'!$A$2:$A$301,MATCH($B392,'Last Week'!$B$2:$B$301,0)),""))</f>
        <v/>
      </c>
      <c r="K392">
        <f>IF(OR($B392="",$J392=""),"",$J392-$A392)</f>
        <v/>
      </c>
    </row>
    <row r="393">
      <c r="A393">
        <f>IF($B393="","",RANK($C393,$C$2:$C$500))</f>
        <v/>
      </c>
      <c r="B393">
        <f>IF(Players!$A393="","",Players!$A393)</f>
        <v/>
      </c>
      <c r="C393" s="5">
        <f>IF($B393="","",SUM(D393:H393))</f>
        <v/>
      </c>
      <c r="D393">
        <f>IF($B393="","",SUMIFS('Web Feed'!$O$2:$O$3015,'Web Feed'!$B$2:$B$3015,Points!$A$2,'Web Feed'!$F$2:$F$3015,$B393)+SUMIFS('Web Feed'!$O$2:$O$3015,'Web Feed'!$B$2:$B$3015,Points!$A$2,'Web Feed'!$G$2:$G$3015,$B393)+SUMIFS('Web Feed'!$O$2:$O$3015,'Web Feed'!$B$2:$B$3015,Points!$A$2,'Web Feed'!$H$2:$H$3015,$B393)+SUMIFS('Web Feed'!$O$2:$O$3015,'Web Feed'!$B$2:$B$3015,Points!$A$2,'Web Feed'!$I$2:$I$3015,$B393))</f>
        <v/>
      </c>
      <c r="E393">
        <f>IF($B393="","",SUMIFS('Web Feed'!$O$2:$O$3015,'Web Feed'!$B$2:$B$3015,Points!$A$3,'Web Feed'!$F$2:$F$3015,$B393)+SUMIFS('Web Feed'!$O$2:$O$3015,'Web Feed'!$B$2:$B$3015,Points!$A$3,'Web Feed'!$G$2:$G$3015,$B393)+SUMIFS('Web Feed'!$O$2:$O$3015,'Web Feed'!$B$2:$B$3015,Points!$A$3,'Web Feed'!$H$2:$H$3015,$B393)+SUMIFS('Web Feed'!$O$2:$O$3015,'Web Feed'!$B$2:$B$3015,Points!$A$3,'Web Feed'!$I$2:$I$3015,$B393))</f>
        <v/>
      </c>
      <c r="F393">
        <f>IF($B393="","",SUMIFS('Web Feed'!$O$2:$O$3015,'Web Feed'!$B$2:$B$3015,Points!$A$4,'Web Feed'!$F$2:$F$3015,$B393)+SUMIFS('Web Feed'!$O$2:$O$3015,'Web Feed'!$B$2:$B$3015,Points!$A$4,'Web Feed'!$G$2:$G$3015,$B393)+SUMIFS('Web Feed'!$O$2:$O$3015,'Web Feed'!$B$2:$B$3015,Points!$A$4,'Web Feed'!$H$2:$H$3015,$B393)+SUMIFS('Web Feed'!$O$2:$O$3015,'Web Feed'!$B$2:$B$3015,Points!$A$4,'Web Feed'!$I$2:$I$3015,$B393))</f>
        <v/>
      </c>
      <c r="G393">
        <f>IF($B393="","",SUMIFS('Web Feed'!$O$2:$O$3015,'Web Feed'!$B$2:$B$3015,Points!$A$5,'Web Feed'!$F$2:$F$3015,$B393)+SUMIFS('Web Feed'!$O$2:$O$3015,'Web Feed'!$B$2:$B$3015,Points!$A$5,'Web Feed'!$G$2:$G$3015,$B393)+SUMIFS('Web Feed'!$O$2:$O$3015,'Web Feed'!$B$2:$B$3015,Points!$A$5,'Web Feed'!$H$2:$H$3015,$B393)+SUMIFS('Web Feed'!$O$2:$O$3015,'Web Feed'!$B$2:$B$3015,Points!$A$5,'Web Feed'!$I$2:$I$3015,$B393))</f>
        <v/>
      </c>
      <c r="H393">
        <f>IF($B393="","",SUMIFS('Web Feed'!$O$2:$O$3015,'Web Feed'!$B$2:$B$3015,Points!$A$6,'Web Feed'!$F$2:$F$3015,$B393)+SUMIFS('Web Feed'!$O$2:$O$3015,'Web Feed'!$B$2:$B$3015,Points!$A$6,'Web Feed'!$G$2:$G$3015,$B393)+SUMIFS('Web Feed'!$O$2:$O$3015,'Web Feed'!$B$2:$B$3015,Points!$A$6,'Web Feed'!$H$2:$H$3015,$B393)+SUMIFS('Web Feed'!$O$2:$O$3015,'Web Feed'!$B$2:$B$3015,Points!$A$6,'Web Feed'!$I$2:$I$3015,$B393))</f>
        <v/>
      </c>
      <c r="I393">
        <f>IF($B393="","",COUNTIFS('Web Feed'!$B$2:$B$3015,"OHW",'Web Feed'!$F$2:$F$3015,$B393))</f>
        <v/>
      </c>
      <c r="J393">
        <f>IF($B393="","",IFERROR(INDEX('Last Week'!$A$2:$A$301,MATCH($B393,'Last Week'!$B$2:$B$301,0)),""))</f>
        <v/>
      </c>
      <c r="K393">
        <f>IF(OR($B393="",$J393=""),"",$J393-$A393)</f>
        <v/>
      </c>
    </row>
    <row r="394">
      <c r="A394">
        <f>IF($B394="","",RANK($C394,$C$2:$C$500))</f>
        <v/>
      </c>
      <c r="B394">
        <f>IF(Players!$A394="","",Players!$A394)</f>
        <v/>
      </c>
      <c r="C394" s="5">
        <f>IF($B394="","",SUM(D394:H394))</f>
        <v/>
      </c>
      <c r="D394">
        <f>IF($B394="","",SUMIFS('Web Feed'!$O$2:$O$3015,'Web Feed'!$B$2:$B$3015,Points!$A$2,'Web Feed'!$F$2:$F$3015,$B394)+SUMIFS('Web Feed'!$O$2:$O$3015,'Web Feed'!$B$2:$B$3015,Points!$A$2,'Web Feed'!$G$2:$G$3015,$B394)+SUMIFS('Web Feed'!$O$2:$O$3015,'Web Feed'!$B$2:$B$3015,Points!$A$2,'Web Feed'!$H$2:$H$3015,$B394)+SUMIFS('Web Feed'!$O$2:$O$3015,'Web Feed'!$B$2:$B$3015,Points!$A$2,'Web Feed'!$I$2:$I$3015,$B394))</f>
        <v/>
      </c>
      <c r="E394">
        <f>IF($B394="","",SUMIFS('Web Feed'!$O$2:$O$3015,'Web Feed'!$B$2:$B$3015,Points!$A$3,'Web Feed'!$F$2:$F$3015,$B394)+SUMIFS('Web Feed'!$O$2:$O$3015,'Web Feed'!$B$2:$B$3015,Points!$A$3,'Web Feed'!$G$2:$G$3015,$B394)+SUMIFS('Web Feed'!$O$2:$O$3015,'Web Feed'!$B$2:$B$3015,Points!$A$3,'Web Feed'!$H$2:$H$3015,$B394)+SUMIFS('Web Feed'!$O$2:$O$3015,'Web Feed'!$B$2:$B$3015,Points!$A$3,'Web Feed'!$I$2:$I$3015,$B394))</f>
        <v/>
      </c>
      <c r="F394">
        <f>IF($B394="","",SUMIFS('Web Feed'!$O$2:$O$3015,'Web Feed'!$B$2:$B$3015,Points!$A$4,'Web Feed'!$F$2:$F$3015,$B394)+SUMIFS('Web Feed'!$O$2:$O$3015,'Web Feed'!$B$2:$B$3015,Points!$A$4,'Web Feed'!$G$2:$G$3015,$B394)+SUMIFS('Web Feed'!$O$2:$O$3015,'Web Feed'!$B$2:$B$3015,Points!$A$4,'Web Feed'!$H$2:$H$3015,$B394)+SUMIFS('Web Feed'!$O$2:$O$3015,'Web Feed'!$B$2:$B$3015,Points!$A$4,'Web Feed'!$I$2:$I$3015,$B394))</f>
        <v/>
      </c>
      <c r="G394">
        <f>IF($B394="","",SUMIFS('Web Feed'!$O$2:$O$3015,'Web Feed'!$B$2:$B$3015,Points!$A$5,'Web Feed'!$F$2:$F$3015,$B394)+SUMIFS('Web Feed'!$O$2:$O$3015,'Web Feed'!$B$2:$B$3015,Points!$A$5,'Web Feed'!$G$2:$G$3015,$B394)+SUMIFS('Web Feed'!$O$2:$O$3015,'Web Feed'!$B$2:$B$3015,Points!$A$5,'Web Feed'!$H$2:$H$3015,$B394)+SUMIFS('Web Feed'!$O$2:$O$3015,'Web Feed'!$B$2:$B$3015,Points!$A$5,'Web Feed'!$I$2:$I$3015,$B394))</f>
        <v/>
      </c>
      <c r="H394">
        <f>IF($B394="","",SUMIFS('Web Feed'!$O$2:$O$3015,'Web Feed'!$B$2:$B$3015,Points!$A$6,'Web Feed'!$F$2:$F$3015,$B394)+SUMIFS('Web Feed'!$O$2:$O$3015,'Web Feed'!$B$2:$B$3015,Points!$A$6,'Web Feed'!$G$2:$G$3015,$B394)+SUMIFS('Web Feed'!$O$2:$O$3015,'Web Feed'!$B$2:$B$3015,Points!$A$6,'Web Feed'!$H$2:$H$3015,$B394)+SUMIFS('Web Feed'!$O$2:$O$3015,'Web Feed'!$B$2:$B$3015,Points!$A$6,'Web Feed'!$I$2:$I$3015,$B394))</f>
        <v/>
      </c>
      <c r="I394">
        <f>IF($B394="","",COUNTIFS('Web Feed'!$B$2:$B$3015,"OHW",'Web Feed'!$F$2:$F$3015,$B394))</f>
        <v/>
      </c>
      <c r="J394">
        <f>IF($B394="","",IFERROR(INDEX('Last Week'!$A$2:$A$301,MATCH($B394,'Last Week'!$B$2:$B$301,0)),""))</f>
        <v/>
      </c>
      <c r="K394">
        <f>IF(OR($B394="",$J394=""),"",$J394-$A394)</f>
        <v/>
      </c>
    </row>
    <row r="395">
      <c r="A395">
        <f>IF($B395="","",RANK($C395,$C$2:$C$500))</f>
        <v/>
      </c>
      <c r="B395">
        <f>IF(Players!$A395="","",Players!$A395)</f>
        <v/>
      </c>
      <c r="C395" s="5">
        <f>IF($B395="","",SUM(D395:H395))</f>
        <v/>
      </c>
      <c r="D395">
        <f>IF($B395="","",SUMIFS('Web Feed'!$O$2:$O$3015,'Web Feed'!$B$2:$B$3015,Points!$A$2,'Web Feed'!$F$2:$F$3015,$B395)+SUMIFS('Web Feed'!$O$2:$O$3015,'Web Feed'!$B$2:$B$3015,Points!$A$2,'Web Feed'!$G$2:$G$3015,$B395)+SUMIFS('Web Feed'!$O$2:$O$3015,'Web Feed'!$B$2:$B$3015,Points!$A$2,'Web Feed'!$H$2:$H$3015,$B395)+SUMIFS('Web Feed'!$O$2:$O$3015,'Web Feed'!$B$2:$B$3015,Points!$A$2,'Web Feed'!$I$2:$I$3015,$B395))</f>
        <v/>
      </c>
      <c r="E395">
        <f>IF($B395="","",SUMIFS('Web Feed'!$O$2:$O$3015,'Web Feed'!$B$2:$B$3015,Points!$A$3,'Web Feed'!$F$2:$F$3015,$B395)+SUMIFS('Web Feed'!$O$2:$O$3015,'Web Feed'!$B$2:$B$3015,Points!$A$3,'Web Feed'!$G$2:$G$3015,$B395)+SUMIFS('Web Feed'!$O$2:$O$3015,'Web Feed'!$B$2:$B$3015,Points!$A$3,'Web Feed'!$H$2:$H$3015,$B395)+SUMIFS('Web Feed'!$O$2:$O$3015,'Web Feed'!$B$2:$B$3015,Points!$A$3,'Web Feed'!$I$2:$I$3015,$B395))</f>
        <v/>
      </c>
      <c r="F395">
        <f>IF($B395="","",SUMIFS('Web Feed'!$O$2:$O$3015,'Web Feed'!$B$2:$B$3015,Points!$A$4,'Web Feed'!$F$2:$F$3015,$B395)+SUMIFS('Web Feed'!$O$2:$O$3015,'Web Feed'!$B$2:$B$3015,Points!$A$4,'Web Feed'!$G$2:$G$3015,$B395)+SUMIFS('Web Feed'!$O$2:$O$3015,'Web Feed'!$B$2:$B$3015,Points!$A$4,'Web Feed'!$H$2:$H$3015,$B395)+SUMIFS('Web Feed'!$O$2:$O$3015,'Web Feed'!$B$2:$B$3015,Points!$A$4,'Web Feed'!$I$2:$I$3015,$B395))</f>
        <v/>
      </c>
      <c r="G395">
        <f>IF($B395="","",SUMIFS('Web Feed'!$O$2:$O$3015,'Web Feed'!$B$2:$B$3015,Points!$A$5,'Web Feed'!$F$2:$F$3015,$B395)+SUMIFS('Web Feed'!$O$2:$O$3015,'Web Feed'!$B$2:$B$3015,Points!$A$5,'Web Feed'!$G$2:$G$3015,$B395)+SUMIFS('Web Feed'!$O$2:$O$3015,'Web Feed'!$B$2:$B$3015,Points!$A$5,'Web Feed'!$H$2:$H$3015,$B395)+SUMIFS('Web Feed'!$O$2:$O$3015,'Web Feed'!$B$2:$B$3015,Points!$A$5,'Web Feed'!$I$2:$I$3015,$B395))</f>
        <v/>
      </c>
      <c r="H395">
        <f>IF($B395="","",SUMIFS('Web Feed'!$O$2:$O$3015,'Web Feed'!$B$2:$B$3015,Points!$A$6,'Web Feed'!$F$2:$F$3015,$B395)+SUMIFS('Web Feed'!$O$2:$O$3015,'Web Feed'!$B$2:$B$3015,Points!$A$6,'Web Feed'!$G$2:$G$3015,$B395)+SUMIFS('Web Feed'!$O$2:$O$3015,'Web Feed'!$B$2:$B$3015,Points!$A$6,'Web Feed'!$H$2:$H$3015,$B395)+SUMIFS('Web Feed'!$O$2:$O$3015,'Web Feed'!$B$2:$B$3015,Points!$A$6,'Web Feed'!$I$2:$I$3015,$B395))</f>
        <v/>
      </c>
      <c r="I395">
        <f>IF($B395="","",COUNTIFS('Web Feed'!$B$2:$B$3015,"OHW",'Web Feed'!$F$2:$F$3015,$B395))</f>
        <v/>
      </c>
      <c r="J395">
        <f>IF($B395="","",IFERROR(INDEX('Last Week'!$A$2:$A$301,MATCH($B395,'Last Week'!$B$2:$B$301,0)),""))</f>
        <v/>
      </c>
      <c r="K395">
        <f>IF(OR($B395="",$J395=""),"",$J395-$A395)</f>
        <v/>
      </c>
    </row>
    <row r="396">
      <c r="A396">
        <f>IF($B396="","",RANK($C396,$C$2:$C$500))</f>
        <v/>
      </c>
      <c r="B396">
        <f>IF(Players!$A396="","",Players!$A396)</f>
        <v/>
      </c>
      <c r="C396" s="5">
        <f>IF($B396="","",SUM(D396:H396))</f>
        <v/>
      </c>
      <c r="D396">
        <f>IF($B396="","",SUMIFS('Web Feed'!$O$2:$O$3015,'Web Feed'!$B$2:$B$3015,Points!$A$2,'Web Feed'!$F$2:$F$3015,$B396)+SUMIFS('Web Feed'!$O$2:$O$3015,'Web Feed'!$B$2:$B$3015,Points!$A$2,'Web Feed'!$G$2:$G$3015,$B396)+SUMIFS('Web Feed'!$O$2:$O$3015,'Web Feed'!$B$2:$B$3015,Points!$A$2,'Web Feed'!$H$2:$H$3015,$B396)+SUMIFS('Web Feed'!$O$2:$O$3015,'Web Feed'!$B$2:$B$3015,Points!$A$2,'Web Feed'!$I$2:$I$3015,$B396))</f>
        <v/>
      </c>
      <c r="E396">
        <f>IF($B396="","",SUMIFS('Web Feed'!$O$2:$O$3015,'Web Feed'!$B$2:$B$3015,Points!$A$3,'Web Feed'!$F$2:$F$3015,$B396)+SUMIFS('Web Feed'!$O$2:$O$3015,'Web Feed'!$B$2:$B$3015,Points!$A$3,'Web Feed'!$G$2:$G$3015,$B396)+SUMIFS('Web Feed'!$O$2:$O$3015,'Web Feed'!$B$2:$B$3015,Points!$A$3,'Web Feed'!$H$2:$H$3015,$B396)+SUMIFS('Web Feed'!$O$2:$O$3015,'Web Feed'!$B$2:$B$3015,Points!$A$3,'Web Feed'!$I$2:$I$3015,$B396))</f>
        <v/>
      </c>
      <c r="F396">
        <f>IF($B396="","",SUMIFS('Web Feed'!$O$2:$O$3015,'Web Feed'!$B$2:$B$3015,Points!$A$4,'Web Feed'!$F$2:$F$3015,$B396)+SUMIFS('Web Feed'!$O$2:$O$3015,'Web Feed'!$B$2:$B$3015,Points!$A$4,'Web Feed'!$G$2:$G$3015,$B396)+SUMIFS('Web Feed'!$O$2:$O$3015,'Web Feed'!$B$2:$B$3015,Points!$A$4,'Web Feed'!$H$2:$H$3015,$B396)+SUMIFS('Web Feed'!$O$2:$O$3015,'Web Feed'!$B$2:$B$3015,Points!$A$4,'Web Feed'!$I$2:$I$3015,$B396))</f>
        <v/>
      </c>
      <c r="G396">
        <f>IF($B396="","",SUMIFS('Web Feed'!$O$2:$O$3015,'Web Feed'!$B$2:$B$3015,Points!$A$5,'Web Feed'!$F$2:$F$3015,$B396)+SUMIFS('Web Feed'!$O$2:$O$3015,'Web Feed'!$B$2:$B$3015,Points!$A$5,'Web Feed'!$G$2:$G$3015,$B396)+SUMIFS('Web Feed'!$O$2:$O$3015,'Web Feed'!$B$2:$B$3015,Points!$A$5,'Web Feed'!$H$2:$H$3015,$B396)+SUMIFS('Web Feed'!$O$2:$O$3015,'Web Feed'!$B$2:$B$3015,Points!$A$5,'Web Feed'!$I$2:$I$3015,$B396))</f>
        <v/>
      </c>
      <c r="H396">
        <f>IF($B396="","",SUMIFS('Web Feed'!$O$2:$O$3015,'Web Feed'!$B$2:$B$3015,Points!$A$6,'Web Feed'!$F$2:$F$3015,$B396)+SUMIFS('Web Feed'!$O$2:$O$3015,'Web Feed'!$B$2:$B$3015,Points!$A$6,'Web Feed'!$G$2:$G$3015,$B396)+SUMIFS('Web Feed'!$O$2:$O$3015,'Web Feed'!$B$2:$B$3015,Points!$A$6,'Web Feed'!$H$2:$H$3015,$B396)+SUMIFS('Web Feed'!$O$2:$O$3015,'Web Feed'!$B$2:$B$3015,Points!$A$6,'Web Feed'!$I$2:$I$3015,$B396))</f>
        <v/>
      </c>
      <c r="I396">
        <f>IF($B396="","",COUNTIFS('Web Feed'!$B$2:$B$3015,"OHW",'Web Feed'!$F$2:$F$3015,$B396))</f>
        <v/>
      </c>
      <c r="J396">
        <f>IF($B396="","",IFERROR(INDEX('Last Week'!$A$2:$A$301,MATCH($B396,'Last Week'!$B$2:$B$301,0)),""))</f>
        <v/>
      </c>
      <c r="K396">
        <f>IF(OR($B396="",$J396=""),"",$J396-$A396)</f>
        <v/>
      </c>
    </row>
    <row r="397">
      <c r="A397">
        <f>IF($B397="","",RANK($C397,$C$2:$C$500))</f>
        <v/>
      </c>
      <c r="B397">
        <f>IF(Players!$A397="","",Players!$A397)</f>
        <v/>
      </c>
      <c r="C397" s="5">
        <f>IF($B397="","",SUM(D397:H397))</f>
        <v/>
      </c>
      <c r="D397">
        <f>IF($B397="","",SUMIFS('Web Feed'!$O$2:$O$3015,'Web Feed'!$B$2:$B$3015,Points!$A$2,'Web Feed'!$F$2:$F$3015,$B397)+SUMIFS('Web Feed'!$O$2:$O$3015,'Web Feed'!$B$2:$B$3015,Points!$A$2,'Web Feed'!$G$2:$G$3015,$B397)+SUMIFS('Web Feed'!$O$2:$O$3015,'Web Feed'!$B$2:$B$3015,Points!$A$2,'Web Feed'!$H$2:$H$3015,$B397)+SUMIFS('Web Feed'!$O$2:$O$3015,'Web Feed'!$B$2:$B$3015,Points!$A$2,'Web Feed'!$I$2:$I$3015,$B397))</f>
        <v/>
      </c>
      <c r="E397">
        <f>IF($B397="","",SUMIFS('Web Feed'!$O$2:$O$3015,'Web Feed'!$B$2:$B$3015,Points!$A$3,'Web Feed'!$F$2:$F$3015,$B397)+SUMIFS('Web Feed'!$O$2:$O$3015,'Web Feed'!$B$2:$B$3015,Points!$A$3,'Web Feed'!$G$2:$G$3015,$B397)+SUMIFS('Web Feed'!$O$2:$O$3015,'Web Feed'!$B$2:$B$3015,Points!$A$3,'Web Feed'!$H$2:$H$3015,$B397)+SUMIFS('Web Feed'!$O$2:$O$3015,'Web Feed'!$B$2:$B$3015,Points!$A$3,'Web Feed'!$I$2:$I$3015,$B397))</f>
        <v/>
      </c>
      <c r="F397">
        <f>IF($B397="","",SUMIFS('Web Feed'!$O$2:$O$3015,'Web Feed'!$B$2:$B$3015,Points!$A$4,'Web Feed'!$F$2:$F$3015,$B397)+SUMIFS('Web Feed'!$O$2:$O$3015,'Web Feed'!$B$2:$B$3015,Points!$A$4,'Web Feed'!$G$2:$G$3015,$B397)+SUMIFS('Web Feed'!$O$2:$O$3015,'Web Feed'!$B$2:$B$3015,Points!$A$4,'Web Feed'!$H$2:$H$3015,$B397)+SUMIFS('Web Feed'!$O$2:$O$3015,'Web Feed'!$B$2:$B$3015,Points!$A$4,'Web Feed'!$I$2:$I$3015,$B397))</f>
        <v/>
      </c>
      <c r="G397">
        <f>IF($B397="","",SUMIFS('Web Feed'!$O$2:$O$3015,'Web Feed'!$B$2:$B$3015,Points!$A$5,'Web Feed'!$F$2:$F$3015,$B397)+SUMIFS('Web Feed'!$O$2:$O$3015,'Web Feed'!$B$2:$B$3015,Points!$A$5,'Web Feed'!$G$2:$G$3015,$B397)+SUMIFS('Web Feed'!$O$2:$O$3015,'Web Feed'!$B$2:$B$3015,Points!$A$5,'Web Feed'!$H$2:$H$3015,$B397)+SUMIFS('Web Feed'!$O$2:$O$3015,'Web Feed'!$B$2:$B$3015,Points!$A$5,'Web Feed'!$I$2:$I$3015,$B397))</f>
        <v/>
      </c>
      <c r="H397">
        <f>IF($B397="","",SUMIFS('Web Feed'!$O$2:$O$3015,'Web Feed'!$B$2:$B$3015,Points!$A$6,'Web Feed'!$F$2:$F$3015,$B397)+SUMIFS('Web Feed'!$O$2:$O$3015,'Web Feed'!$B$2:$B$3015,Points!$A$6,'Web Feed'!$G$2:$G$3015,$B397)+SUMIFS('Web Feed'!$O$2:$O$3015,'Web Feed'!$B$2:$B$3015,Points!$A$6,'Web Feed'!$H$2:$H$3015,$B397)+SUMIFS('Web Feed'!$O$2:$O$3015,'Web Feed'!$B$2:$B$3015,Points!$A$6,'Web Feed'!$I$2:$I$3015,$B397))</f>
        <v/>
      </c>
      <c r="I397">
        <f>IF($B397="","",COUNTIFS('Web Feed'!$B$2:$B$3015,"OHW",'Web Feed'!$F$2:$F$3015,$B397))</f>
        <v/>
      </c>
      <c r="J397">
        <f>IF($B397="","",IFERROR(INDEX('Last Week'!$A$2:$A$301,MATCH($B397,'Last Week'!$B$2:$B$301,0)),""))</f>
        <v/>
      </c>
      <c r="K397">
        <f>IF(OR($B397="",$J397=""),"",$J397-$A397)</f>
        <v/>
      </c>
    </row>
    <row r="398">
      <c r="A398">
        <f>IF($B398="","",RANK($C398,$C$2:$C$500))</f>
        <v/>
      </c>
      <c r="B398">
        <f>IF(Players!$A398="","",Players!$A398)</f>
        <v/>
      </c>
      <c r="C398" s="5">
        <f>IF($B398="","",SUM(D398:H398))</f>
        <v/>
      </c>
      <c r="D398">
        <f>IF($B398="","",SUMIFS('Web Feed'!$O$2:$O$3015,'Web Feed'!$B$2:$B$3015,Points!$A$2,'Web Feed'!$F$2:$F$3015,$B398)+SUMIFS('Web Feed'!$O$2:$O$3015,'Web Feed'!$B$2:$B$3015,Points!$A$2,'Web Feed'!$G$2:$G$3015,$B398)+SUMIFS('Web Feed'!$O$2:$O$3015,'Web Feed'!$B$2:$B$3015,Points!$A$2,'Web Feed'!$H$2:$H$3015,$B398)+SUMIFS('Web Feed'!$O$2:$O$3015,'Web Feed'!$B$2:$B$3015,Points!$A$2,'Web Feed'!$I$2:$I$3015,$B398))</f>
        <v/>
      </c>
      <c r="E398">
        <f>IF($B398="","",SUMIFS('Web Feed'!$O$2:$O$3015,'Web Feed'!$B$2:$B$3015,Points!$A$3,'Web Feed'!$F$2:$F$3015,$B398)+SUMIFS('Web Feed'!$O$2:$O$3015,'Web Feed'!$B$2:$B$3015,Points!$A$3,'Web Feed'!$G$2:$G$3015,$B398)+SUMIFS('Web Feed'!$O$2:$O$3015,'Web Feed'!$B$2:$B$3015,Points!$A$3,'Web Feed'!$H$2:$H$3015,$B398)+SUMIFS('Web Feed'!$O$2:$O$3015,'Web Feed'!$B$2:$B$3015,Points!$A$3,'Web Feed'!$I$2:$I$3015,$B398))</f>
        <v/>
      </c>
      <c r="F398">
        <f>IF($B398="","",SUMIFS('Web Feed'!$O$2:$O$3015,'Web Feed'!$B$2:$B$3015,Points!$A$4,'Web Feed'!$F$2:$F$3015,$B398)+SUMIFS('Web Feed'!$O$2:$O$3015,'Web Feed'!$B$2:$B$3015,Points!$A$4,'Web Feed'!$G$2:$G$3015,$B398)+SUMIFS('Web Feed'!$O$2:$O$3015,'Web Feed'!$B$2:$B$3015,Points!$A$4,'Web Feed'!$H$2:$H$3015,$B398)+SUMIFS('Web Feed'!$O$2:$O$3015,'Web Feed'!$B$2:$B$3015,Points!$A$4,'Web Feed'!$I$2:$I$3015,$B398))</f>
        <v/>
      </c>
      <c r="G398">
        <f>IF($B398="","",SUMIFS('Web Feed'!$O$2:$O$3015,'Web Feed'!$B$2:$B$3015,Points!$A$5,'Web Feed'!$F$2:$F$3015,$B398)+SUMIFS('Web Feed'!$O$2:$O$3015,'Web Feed'!$B$2:$B$3015,Points!$A$5,'Web Feed'!$G$2:$G$3015,$B398)+SUMIFS('Web Feed'!$O$2:$O$3015,'Web Feed'!$B$2:$B$3015,Points!$A$5,'Web Feed'!$H$2:$H$3015,$B398)+SUMIFS('Web Feed'!$O$2:$O$3015,'Web Feed'!$B$2:$B$3015,Points!$A$5,'Web Feed'!$I$2:$I$3015,$B398))</f>
        <v/>
      </c>
      <c r="H398">
        <f>IF($B398="","",SUMIFS('Web Feed'!$O$2:$O$3015,'Web Feed'!$B$2:$B$3015,Points!$A$6,'Web Feed'!$F$2:$F$3015,$B398)+SUMIFS('Web Feed'!$O$2:$O$3015,'Web Feed'!$B$2:$B$3015,Points!$A$6,'Web Feed'!$G$2:$G$3015,$B398)+SUMIFS('Web Feed'!$O$2:$O$3015,'Web Feed'!$B$2:$B$3015,Points!$A$6,'Web Feed'!$H$2:$H$3015,$B398)+SUMIFS('Web Feed'!$O$2:$O$3015,'Web Feed'!$B$2:$B$3015,Points!$A$6,'Web Feed'!$I$2:$I$3015,$B398))</f>
        <v/>
      </c>
      <c r="I398">
        <f>IF($B398="","",COUNTIFS('Web Feed'!$B$2:$B$3015,"OHW",'Web Feed'!$F$2:$F$3015,$B398))</f>
        <v/>
      </c>
      <c r="J398">
        <f>IF($B398="","",IFERROR(INDEX('Last Week'!$A$2:$A$301,MATCH($B398,'Last Week'!$B$2:$B$301,0)),""))</f>
        <v/>
      </c>
      <c r="K398">
        <f>IF(OR($B398="",$J398=""),"",$J398-$A398)</f>
        <v/>
      </c>
    </row>
    <row r="399">
      <c r="A399">
        <f>IF($B399="","",RANK($C399,$C$2:$C$500))</f>
        <v/>
      </c>
      <c r="B399">
        <f>IF(Players!$A399="","",Players!$A399)</f>
        <v/>
      </c>
      <c r="C399" s="5">
        <f>IF($B399="","",SUM(D399:H399))</f>
        <v/>
      </c>
      <c r="D399">
        <f>IF($B399="","",SUMIFS('Web Feed'!$O$2:$O$3015,'Web Feed'!$B$2:$B$3015,Points!$A$2,'Web Feed'!$F$2:$F$3015,$B399)+SUMIFS('Web Feed'!$O$2:$O$3015,'Web Feed'!$B$2:$B$3015,Points!$A$2,'Web Feed'!$G$2:$G$3015,$B399)+SUMIFS('Web Feed'!$O$2:$O$3015,'Web Feed'!$B$2:$B$3015,Points!$A$2,'Web Feed'!$H$2:$H$3015,$B399)+SUMIFS('Web Feed'!$O$2:$O$3015,'Web Feed'!$B$2:$B$3015,Points!$A$2,'Web Feed'!$I$2:$I$3015,$B399))</f>
        <v/>
      </c>
      <c r="E399">
        <f>IF($B399="","",SUMIFS('Web Feed'!$O$2:$O$3015,'Web Feed'!$B$2:$B$3015,Points!$A$3,'Web Feed'!$F$2:$F$3015,$B399)+SUMIFS('Web Feed'!$O$2:$O$3015,'Web Feed'!$B$2:$B$3015,Points!$A$3,'Web Feed'!$G$2:$G$3015,$B399)+SUMIFS('Web Feed'!$O$2:$O$3015,'Web Feed'!$B$2:$B$3015,Points!$A$3,'Web Feed'!$H$2:$H$3015,$B399)+SUMIFS('Web Feed'!$O$2:$O$3015,'Web Feed'!$B$2:$B$3015,Points!$A$3,'Web Feed'!$I$2:$I$3015,$B399))</f>
        <v/>
      </c>
      <c r="F399">
        <f>IF($B399="","",SUMIFS('Web Feed'!$O$2:$O$3015,'Web Feed'!$B$2:$B$3015,Points!$A$4,'Web Feed'!$F$2:$F$3015,$B399)+SUMIFS('Web Feed'!$O$2:$O$3015,'Web Feed'!$B$2:$B$3015,Points!$A$4,'Web Feed'!$G$2:$G$3015,$B399)+SUMIFS('Web Feed'!$O$2:$O$3015,'Web Feed'!$B$2:$B$3015,Points!$A$4,'Web Feed'!$H$2:$H$3015,$B399)+SUMIFS('Web Feed'!$O$2:$O$3015,'Web Feed'!$B$2:$B$3015,Points!$A$4,'Web Feed'!$I$2:$I$3015,$B399))</f>
        <v/>
      </c>
      <c r="G399">
        <f>IF($B399="","",SUMIFS('Web Feed'!$O$2:$O$3015,'Web Feed'!$B$2:$B$3015,Points!$A$5,'Web Feed'!$F$2:$F$3015,$B399)+SUMIFS('Web Feed'!$O$2:$O$3015,'Web Feed'!$B$2:$B$3015,Points!$A$5,'Web Feed'!$G$2:$G$3015,$B399)+SUMIFS('Web Feed'!$O$2:$O$3015,'Web Feed'!$B$2:$B$3015,Points!$A$5,'Web Feed'!$H$2:$H$3015,$B399)+SUMIFS('Web Feed'!$O$2:$O$3015,'Web Feed'!$B$2:$B$3015,Points!$A$5,'Web Feed'!$I$2:$I$3015,$B399))</f>
        <v/>
      </c>
      <c r="H399">
        <f>IF($B399="","",SUMIFS('Web Feed'!$O$2:$O$3015,'Web Feed'!$B$2:$B$3015,Points!$A$6,'Web Feed'!$F$2:$F$3015,$B399)+SUMIFS('Web Feed'!$O$2:$O$3015,'Web Feed'!$B$2:$B$3015,Points!$A$6,'Web Feed'!$G$2:$G$3015,$B399)+SUMIFS('Web Feed'!$O$2:$O$3015,'Web Feed'!$B$2:$B$3015,Points!$A$6,'Web Feed'!$H$2:$H$3015,$B399)+SUMIFS('Web Feed'!$O$2:$O$3015,'Web Feed'!$B$2:$B$3015,Points!$A$6,'Web Feed'!$I$2:$I$3015,$B399))</f>
        <v/>
      </c>
      <c r="I399">
        <f>IF($B399="","",COUNTIFS('Web Feed'!$B$2:$B$3015,"OHW",'Web Feed'!$F$2:$F$3015,$B399))</f>
        <v/>
      </c>
      <c r="J399">
        <f>IF($B399="","",IFERROR(INDEX('Last Week'!$A$2:$A$301,MATCH($B399,'Last Week'!$B$2:$B$301,0)),""))</f>
        <v/>
      </c>
      <c r="K399">
        <f>IF(OR($B399="",$J399=""),"",$J399-$A399)</f>
        <v/>
      </c>
    </row>
    <row r="400">
      <c r="A400">
        <f>IF($B400="","",RANK($C400,$C$2:$C$500))</f>
        <v/>
      </c>
      <c r="B400">
        <f>IF(Players!$A400="","",Players!$A400)</f>
        <v/>
      </c>
      <c r="C400" s="5">
        <f>IF($B400="","",SUM(D400:H400))</f>
        <v/>
      </c>
      <c r="D400">
        <f>IF($B400="","",SUMIFS('Web Feed'!$O$2:$O$3015,'Web Feed'!$B$2:$B$3015,Points!$A$2,'Web Feed'!$F$2:$F$3015,$B400)+SUMIFS('Web Feed'!$O$2:$O$3015,'Web Feed'!$B$2:$B$3015,Points!$A$2,'Web Feed'!$G$2:$G$3015,$B400)+SUMIFS('Web Feed'!$O$2:$O$3015,'Web Feed'!$B$2:$B$3015,Points!$A$2,'Web Feed'!$H$2:$H$3015,$B400)+SUMIFS('Web Feed'!$O$2:$O$3015,'Web Feed'!$B$2:$B$3015,Points!$A$2,'Web Feed'!$I$2:$I$3015,$B400))</f>
        <v/>
      </c>
      <c r="E400">
        <f>IF($B400="","",SUMIFS('Web Feed'!$O$2:$O$3015,'Web Feed'!$B$2:$B$3015,Points!$A$3,'Web Feed'!$F$2:$F$3015,$B400)+SUMIFS('Web Feed'!$O$2:$O$3015,'Web Feed'!$B$2:$B$3015,Points!$A$3,'Web Feed'!$G$2:$G$3015,$B400)+SUMIFS('Web Feed'!$O$2:$O$3015,'Web Feed'!$B$2:$B$3015,Points!$A$3,'Web Feed'!$H$2:$H$3015,$B400)+SUMIFS('Web Feed'!$O$2:$O$3015,'Web Feed'!$B$2:$B$3015,Points!$A$3,'Web Feed'!$I$2:$I$3015,$B400))</f>
        <v/>
      </c>
      <c r="F400">
        <f>IF($B400="","",SUMIFS('Web Feed'!$O$2:$O$3015,'Web Feed'!$B$2:$B$3015,Points!$A$4,'Web Feed'!$F$2:$F$3015,$B400)+SUMIFS('Web Feed'!$O$2:$O$3015,'Web Feed'!$B$2:$B$3015,Points!$A$4,'Web Feed'!$G$2:$G$3015,$B400)+SUMIFS('Web Feed'!$O$2:$O$3015,'Web Feed'!$B$2:$B$3015,Points!$A$4,'Web Feed'!$H$2:$H$3015,$B400)+SUMIFS('Web Feed'!$O$2:$O$3015,'Web Feed'!$B$2:$B$3015,Points!$A$4,'Web Feed'!$I$2:$I$3015,$B400))</f>
        <v/>
      </c>
      <c r="G400">
        <f>IF($B400="","",SUMIFS('Web Feed'!$O$2:$O$3015,'Web Feed'!$B$2:$B$3015,Points!$A$5,'Web Feed'!$F$2:$F$3015,$B400)+SUMIFS('Web Feed'!$O$2:$O$3015,'Web Feed'!$B$2:$B$3015,Points!$A$5,'Web Feed'!$G$2:$G$3015,$B400)+SUMIFS('Web Feed'!$O$2:$O$3015,'Web Feed'!$B$2:$B$3015,Points!$A$5,'Web Feed'!$H$2:$H$3015,$B400)+SUMIFS('Web Feed'!$O$2:$O$3015,'Web Feed'!$B$2:$B$3015,Points!$A$5,'Web Feed'!$I$2:$I$3015,$B400))</f>
        <v/>
      </c>
      <c r="H400">
        <f>IF($B400="","",SUMIFS('Web Feed'!$O$2:$O$3015,'Web Feed'!$B$2:$B$3015,Points!$A$6,'Web Feed'!$F$2:$F$3015,$B400)+SUMIFS('Web Feed'!$O$2:$O$3015,'Web Feed'!$B$2:$B$3015,Points!$A$6,'Web Feed'!$G$2:$G$3015,$B400)+SUMIFS('Web Feed'!$O$2:$O$3015,'Web Feed'!$B$2:$B$3015,Points!$A$6,'Web Feed'!$H$2:$H$3015,$B400)+SUMIFS('Web Feed'!$O$2:$O$3015,'Web Feed'!$B$2:$B$3015,Points!$A$6,'Web Feed'!$I$2:$I$3015,$B400))</f>
        <v/>
      </c>
      <c r="I400">
        <f>IF($B400="","",COUNTIFS('Web Feed'!$B$2:$B$3015,"OHW",'Web Feed'!$F$2:$F$3015,$B400))</f>
        <v/>
      </c>
      <c r="J400">
        <f>IF($B400="","",IFERROR(INDEX('Last Week'!$A$2:$A$301,MATCH($B400,'Last Week'!$B$2:$B$301,0)),""))</f>
        <v/>
      </c>
      <c r="K400">
        <f>IF(OR($B400="",$J400=""),"",$J400-$A400)</f>
        <v/>
      </c>
    </row>
    <row r="401">
      <c r="A401">
        <f>IF($B401="","",RANK($C401,$C$2:$C$500))</f>
        <v/>
      </c>
      <c r="B401">
        <f>IF(Players!$A401="","",Players!$A401)</f>
        <v/>
      </c>
      <c r="C401" s="5">
        <f>IF($B401="","",SUM(D401:H401))</f>
        <v/>
      </c>
      <c r="D401">
        <f>IF($B401="","",SUMIFS('Web Feed'!$O$2:$O$3015,'Web Feed'!$B$2:$B$3015,Points!$A$2,'Web Feed'!$F$2:$F$3015,$B401)+SUMIFS('Web Feed'!$O$2:$O$3015,'Web Feed'!$B$2:$B$3015,Points!$A$2,'Web Feed'!$G$2:$G$3015,$B401)+SUMIFS('Web Feed'!$O$2:$O$3015,'Web Feed'!$B$2:$B$3015,Points!$A$2,'Web Feed'!$H$2:$H$3015,$B401)+SUMIFS('Web Feed'!$O$2:$O$3015,'Web Feed'!$B$2:$B$3015,Points!$A$2,'Web Feed'!$I$2:$I$3015,$B401))</f>
        <v/>
      </c>
      <c r="E401">
        <f>IF($B401="","",SUMIFS('Web Feed'!$O$2:$O$3015,'Web Feed'!$B$2:$B$3015,Points!$A$3,'Web Feed'!$F$2:$F$3015,$B401)+SUMIFS('Web Feed'!$O$2:$O$3015,'Web Feed'!$B$2:$B$3015,Points!$A$3,'Web Feed'!$G$2:$G$3015,$B401)+SUMIFS('Web Feed'!$O$2:$O$3015,'Web Feed'!$B$2:$B$3015,Points!$A$3,'Web Feed'!$H$2:$H$3015,$B401)+SUMIFS('Web Feed'!$O$2:$O$3015,'Web Feed'!$B$2:$B$3015,Points!$A$3,'Web Feed'!$I$2:$I$3015,$B401))</f>
        <v/>
      </c>
      <c r="F401">
        <f>IF($B401="","",SUMIFS('Web Feed'!$O$2:$O$3015,'Web Feed'!$B$2:$B$3015,Points!$A$4,'Web Feed'!$F$2:$F$3015,$B401)+SUMIFS('Web Feed'!$O$2:$O$3015,'Web Feed'!$B$2:$B$3015,Points!$A$4,'Web Feed'!$G$2:$G$3015,$B401)+SUMIFS('Web Feed'!$O$2:$O$3015,'Web Feed'!$B$2:$B$3015,Points!$A$4,'Web Feed'!$H$2:$H$3015,$B401)+SUMIFS('Web Feed'!$O$2:$O$3015,'Web Feed'!$B$2:$B$3015,Points!$A$4,'Web Feed'!$I$2:$I$3015,$B401))</f>
        <v/>
      </c>
      <c r="G401">
        <f>IF($B401="","",SUMIFS('Web Feed'!$O$2:$O$3015,'Web Feed'!$B$2:$B$3015,Points!$A$5,'Web Feed'!$F$2:$F$3015,$B401)+SUMIFS('Web Feed'!$O$2:$O$3015,'Web Feed'!$B$2:$B$3015,Points!$A$5,'Web Feed'!$G$2:$G$3015,$B401)+SUMIFS('Web Feed'!$O$2:$O$3015,'Web Feed'!$B$2:$B$3015,Points!$A$5,'Web Feed'!$H$2:$H$3015,$B401)+SUMIFS('Web Feed'!$O$2:$O$3015,'Web Feed'!$B$2:$B$3015,Points!$A$5,'Web Feed'!$I$2:$I$3015,$B401))</f>
        <v/>
      </c>
      <c r="H401">
        <f>IF($B401="","",SUMIFS('Web Feed'!$O$2:$O$3015,'Web Feed'!$B$2:$B$3015,Points!$A$6,'Web Feed'!$F$2:$F$3015,$B401)+SUMIFS('Web Feed'!$O$2:$O$3015,'Web Feed'!$B$2:$B$3015,Points!$A$6,'Web Feed'!$G$2:$G$3015,$B401)+SUMIFS('Web Feed'!$O$2:$O$3015,'Web Feed'!$B$2:$B$3015,Points!$A$6,'Web Feed'!$H$2:$H$3015,$B401)+SUMIFS('Web Feed'!$O$2:$O$3015,'Web Feed'!$B$2:$B$3015,Points!$A$6,'Web Feed'!$I$2:$I$3015,$B401))</f>
        <v/>
      </c>
      <c r="I401">
        <f>IF($B401="","",COUNTIFS('Web Feed'!$B$2:$B$3015,"OHW",'Web Feed'!$F$2:$F$3015,$B401))</f>
        <v/>
      </c>
      <c r="J401">
        <f>IF($B401="","",IFERROR(INDEX('Last Week'!$A$2:$A$301,MATCH($B401,'Last Week'!$B$2:$B$301,0)),""))</f>
        <v/>
      </c>
      <c r="K401">
        <f>IF(OR($B401="",$J401=""),"",$J401-$A401)</f>
        <v/>
      </c>
    </row>
    <row r="402">
      <c r="A402">
        <f>IF($B402="","",RANK($C402,$C$2:$C$500))</f>
        <v/>
      </c>
      <c r="B402">
        <f>IF(Players!$A402="","",Players!$A402)</f>
        <v/>
      </c>
      <c r="C402" s="5">
        <f>IF($B402="","",SUM(D402:H402))</f>
        <v/>
      </c>
      <c r="D402">
        <f>IF($B402="","",SUMIFS('Web Feed'!$O$2:$O$3015,'Web Feed'!$B$2:$B$3015,Points!$A$2,'Web Feed'!$F$2:$F$3015,$B402)+SUMIFS('Web Feed'!$O$2:$O$3015,'Web Feed'!$B$2:$B$3015,Points!$A$2,'Web Feed'!$G$2:$G$3015,$B402)+SUMIFS('Web Feed'!$O$2:$O$3015,'Web Feed'!$B$2:$B$3015,Points!$A$2,'Web Feed'!$H$2:$H$3015,$B402)+SUMIFS('Web Feed'!$O$2:$O$3015,'Web Feed'!$B$2:$B$3015,Points!$A$2,'Web Feed'!$I$2:$I$3015,$B402))</f>
        <v/>
      </c>
      <c r="E402">
        <f>IF($B402="","",SUMIFS('Web Feed'!$O$2:$O$3015,'Web Feed'!$B$2:$B$3015,Points!$A$3,'Web Feed'!$F$2:$F$3015,$B402)+SUMIFS('Web Feed'!$O$2:$O$3015,'Web Feed'!$B$2:$B$3015,Points!$A$3,'Web Feed'!$G$2:$G$3015,$B402)+SUMIFS('Web Feed'!$O$2:$O$3015,'Web Feed'!$B$2:$B$3015,Points!$A$3,'Web Feed'!$H$2:$H$3015,$B402)+SUMIFS('Web Feed'!$O$2:$O$3015,'Web Feed'!$B$2:$B$3015,Points!$A$3,'Web Feed'!$I$2:$I$3015,$B402))</f>
        <v/>
      </c>
      <c r="F402">
        <f>IF($B402="","",SUMIFS('Web Feed'!$O$2:$O$3015,'Web Feed'!$B$2:$B$3015,Points!$A$4,'Web Feed'!$F$2:$F$3015,$B402)+SUMIFS('Web Feed'!$O$2:$O$3015,'Web Feed'!$B$2:$B$3015,Points!$A$4,'Web Feed'!$G$2:$G$3015,$B402)+SUMIFS('Web Feed'!$O$2:$O$3015,'Web Feed'!$B$2:$B$3015,Points!$A$4,'Web Feed'!$H$2:$H$3015,$B402)+SUMIFS('Web Feed'!$O$2:$O$3015,'Web Feed'!$B$2:$B$3015,Points!$A$4,'Web Feed'!$I$2:$I$3015,$B402))</f>
        <v/>
      </c>
      <c r="G402">
        <f>IF($B402="","",SUMIFS('Web Feed'!$O$2:$O$3015,'Web Feed'!$B$2:$B$3015,Points!$A$5,'Web Feed'!$F$2:$F$3015,$B402)+SUMIFS('Web Feed'!$O$2:$O$3015,'Web Feed'!$B$2:$B$3015,Points!$A$5,'Web Feed'!$G$2:$G$3015,$B402)+SUMIFS('Web Feed'!$O$2:$O$3015,'Web Feed'!$B$2:$B$3015,Points!$A$5,'Web Feed'!$H$2:$H$3015,$B402)+SUMIFS('Web Feed'!$O$2:$O$3015,'Web Feed'!$B$2:$B$3015,Points!$A$5,'Web Feed'!$I$2:$I$3015,$B402))</f>
        <v/>
      </c>
      <c r="H402">
        <f>IF($B402="","",SUMIFS('Web Feed'!$O$2:$O$3015,'Web Feed'!$B$2:$B$3015,Points!$A$6,'Web Feed'!$F$2:$F$3015,$B402)+SUMIFS('Web Feed'!$O$2:$O$3015,'Web Feed'!$B$2:$B$3015,Points!$A$6,'Web Feed'!$G$2:$G$3015,$B402)+SUMIFS('Web Feed'!$O$2:$O$3015,'Web Feed'!$B$2:$B$3015,Points!$A$6,'Web Feed'!$H$2:$H$3015,$B402)+SUMIFS('Web Feed'!$O$2:$O$3015,'Web Feed'!$B$2:$B$3015,Points!$A$6,'Web Feed'!$I$2:$I$3015,$B402))</f>
        <v/>
      </c>
      <c r="I402">
        <f>IF($B402="","",COUNTIFS('Web Feed'!$B$2:$B$3015,"OHW",'Web Feed'!$F$2:$F$3015,$B402))</f>
        <v/>
      </c>
      <c r="J402">
        <f>IF($B402="","",IFERROR(INDEX('Last Week'!$A$2:$A$301,MATCH($B402,'Last Week'!$B$2:$B$301,0)),""))</f>
        <v/>
      </c>
      <c r="K402">
        <f>IF(OR($B402="",$J402=""),"",$J402-$A402)</f>
        <v/>
      </c>
    </row>
    <row r="403">
      <c r="A403">
        <f>IF($B403="","",RANK($C403,$C$2:$C$500))</f>
        <v/>
      </c>
      <c r="B403">
        <f>IF(Players!$A403="","",Players!$A403)</f>
        <v/>
      </c>
      <c r="C403" s="5">
        <f>IF($B403="","",SUM(D403:H403))</f>
        <v/>
      </c>
      <c r="D403">
        <f>IF($B403="","",SUMIFS('Web Feed'!$O$2:$O$3015,'Web Feed'!$B$2:$B$3015,Points!$A$2,'Web Feed'!$F$2:$F$3015,$B403)+SUMIFS('Web Feed'!$O$2:$O$3015,'Web Feed'!$B$2:$B$3015,Points!$A$2,'Web Feed'!$G$2:$G$3015,$B403)+SUMIFS('Web Feed'!$O$2:$O$3015,'Web Feed'!$B$2:$B$3015,Points!$A$2,'Web Feed'!$H$2:$H$3015,$B403)+SUMIFS('Web Feed'!$O$2:$O$3015,'Web Feed'!$B$2:$B$3015,Points!$A$2,'Web Feed'!$I$2:$I$3015,$B403))</f>
        <v/>
      </c>
      <c r="E403">
        <f>IF($B403="","",SUMIFS('Web Feed'!$O$2:$O$3015,'Web Feed'!$B$2:$B$3015,Points!$A$3,'Web Feed'!$F$2:$F$3015,$B403)+SUMIFS('Web Feed'!$O$2:$O$3015,'Web Feed'!$B$2:$B$3015,Points!$A$3,'Web Feed'!$G$2:$G$3015,$B403)+SUMIFS('Web Feed'!$O$2:$O$3015,'Web Feed'!$B$2:$B$3015,Points!$A$3,'Web Feed'!$H$2:$H$3015,$B403)+SUMIFS('Web Feed'!$O$2:$O$3015,'Web Feed'!$B$2:$B$3015,Points!$A$3,'Web Feed'!$I$2:$I$3015,$B403))</f>
        <v/>
      </c>
      <c r="F403">
        <f>IF($B403="","",SUMIFS('Web Feed'!$O$2:$O$3015,'Web Feed'!$B$2:$B$3015,Points!$A$4,'Web Feed'!$F$2:$F$3015,$B403)+SUMIFS('Web Feed'!$O$2:$O$3015,'Web Feed'!$B$2:$B$3015,Points!$A$4,'Web Feed'!$G$2:$G$3015,$B403)+SUMIFS('Web Feed'!$O$2:$O$3015,'Web Feed'!$B$2:$B$3015,Points!$A$4,'Web Feed'!$H$2:$H$3015,$B403)+SUMIFS('Web Feed'!$O$2:$O$3015,'Web Feed'!$B$2:$B$3015,Points!$A$4,'Web Feed'!$I$2:$I$3015,$B403))</f>
        <v/>
      </c>
      <c r="G403">
        <f>IF($B403="","",SUMIFS('Web Feed'!$O$2:$O$3015,'Web Feed'!$B$2:$B$3015,Points!$A$5,'Web Feed'!$F$2:$F$3015,$B403)+SUMIFS('Web Feed'!$O$2:$O$3015,'Web Feed'!$B$2:$B$3015,Points!$A$5,'Web Feed'!$G$2:$G$3015,$B403)+SUMIFS('Web Feed'!$O$2:$O$3015,'Web Feed'!$B$2:$B$3015,Points!$A$5,'Web Feed'!$H$2:$H$3015,$B403)+SUMIFS('Web Feed'!$O$2:$O$3015,'Web Feed'!$B$2:$B$3015,Points!$A$5,'Web Feed'!$I$2:$I$3015,$B403))</f>
        <v/>
      </c>
      <c r="H403">
        <f>IF($B403="","",SUMIFS('Web Feed'!$O$2:$O$3015,'Web Feed'!$B$2:$B$3015,Points!$A$6,'Web Feed'!$F$2:$F$3015,$B403)+SUMIFS('Web Feed'!$O$2:$O$3015,'Web Feed'!$B$2:$B$3015,Points!$A$6,'Web Feed'!$G$2:$G$3015,$B403)+SUMIFS('Web Feed'!$O$2:$O$3015,'Web Feed'!$B$2:$B$3015,Points!$A$6,'Web Feed'!$H$2:$H$3015,$B403)+SUMIFS('Web Feed'!$O$2:$O$3015,'Web Feed'!$B$2:$B$3015,Points!$A$6,'Web Feed'!$I$2:$I$3015,$B403))</f>
        <v/>
      </c>
      <c r="I403">
        <f>IF($B403="","",COUNTIFS('Web Feed'!$B$2:$B$3015,"OHW",'Web Feed'!$F$2:$F$3015,$B403))</f>
        <v/>
      </c>
      <c r="J403">
        <f>IF($B403="","",IFERROR(INDEX('Last Week'!$A$2:$A$301,MATCH($B403,'Last Week'!$B$2:$B$301,0)),""))</f>
        <v/>
      </c>
      <c r="K403">
        <f>IF(OR($B403="",$J403=""),"",$J403-$A403)</f>
        <v/>
      </c>
    </row>
    <row r="404">
      <c r="A404">
        <f>IF($B404="","",RANK($C404,$C$2:$C$500))</f>
        <v/>
      </c>
      <c r="B404">
        <f>IF(Players!$A404="","",Players!$A404)</f>
        <v/>
      </c>
      <c r="C404" s="5">
        <f>IF($B404="","",SUM(D404:H404))</f>
        <v/>
      </c>
      <c r="D404">
        <f>IF($B404="","",SUMIFS('Web Feed'!$O$2:$O$3015,'Web Feed'!$B$2:$B$3015,Points!$A$2,'Web Feed'!$F$2:$F$3015,$B404)+SUMIFS('Web Feed'!$O$2:$O$3015,'Web Feed'!$B$2:$B$3015,Points!$A$2,'Web Feed'!$G$2:$G$3015,$B404)+SUMIFS('Web Feed'!$O$2:$O$3015,'Web Feed'!$B$2:$B$3015,Points!$A$2,'Web Feed'!$H$2:$H$3015,$B404)+SUMIFS('Web Feed'!$O$2:$O$3015,'Web Feed'!$B$2:$B$3015,Points!$A$2,'Web Feed'!$I$2:$I$3015,$B404))</f>
        <v/>
      </c>
      <c r="E404">
        <f>IF($B404="","",SUMIFS('Web Feed'!$O$2:$O$3015,'Web Feed'!$B$2:$B$3015,Points!$A$3,'Web Feed'!$F$2:$F$3015,$B404)+SUMIFS('Web Feed'!$O$2:$O$3015,'Web Feed'!$B$2:$B$3015,Points!$A$3,'Web Feed'!$G$2:$G$3015,$B404)+SUMIFS('Web Feed'!$O$2:$O$3015,'Web Feed'!$B$2:$B$3015,Points!$A$3,'Web Feed'!$H$2:$H$3015,$B404)+SUMIFS('Web Feed'!$O$2:$O$3015,'Web Feed'!$B$2:$B$3015,Points!$A$3,'Web Feed'!$I$2:$I$3015,$B404))</f>
        <v/>
      </c>
      <c r="F404">
        <f>IF($B404="","",SUMIFS('Web Feed'!$O$2:$O$3015,'Web Feed'!$B$2:$B$3015,Points!$A$4,'Web Feed'!$F$2:$F$3015,$B404)+SUMIFS('Web Feed'!$O$2:$O$3015,'Web Feed'!$B$2:$B$3015,Points!$A$4,'Web Feed'!$G$2:$G$3015,$B404)+SUMIFS('Web Feed'!$O$2:$O$3015,'Web Feed'!$B$2:$B$3015,Points!$A$4,'Web Feed'!$H$2:$H$3015,$B404)+SUMIFS('Web Feed'!$O$2:$O$3015,'Web Feed'!$B$2:$B$3015,Points!$A$4,'Web Feed'!$I$2:$I$3015,$B404))</f>
        <v/>
      </c>
      <c r="G404">
        <f>IF($B404="","",SUMIFS('Web Feed'!$O$2:$O$3015,'Web Feed'!$B$2:$B$3015,Points!$A$5,'Web Feed'!$F$2:$F$3015,$B404)+SUMIFS('Web Feed'!$O$2:$O$3015,'Web Feed'!$B$2:$B$3015,Points!$A$5,'Web Feed'!$G$2:$G$3015,$B404)+SUMIFS('Web Feed'!$O$2:$O$3015,'Web Feed'!$B$2:$B$3015,Points!$A$5,'Web Feed'!$H$2:$H$3015,$B404)+SUMIFS('Web Feed'!$O$2:$O$3015,'Web Feed'!$B$2:$B$3015,Points!$A$5,'Web Feed'!$I$2:$I$3015,$B404))</f>
        <v/>
      </c>
      <c r="H404">
        <f>IF($B404="","",SUMIFS('Web Feed'!$O$2:$O$3015,'Web Feed'!$B$2:$B$3015,Points!$A$6,'Web Feed'!$F$2:$F$3015,$B404)+SUMIFS('Web Feed'!$O$2:$O$3015,'Web Feed'!$B$2:$B$3015,Points!$A$6,'Web Feed'!$G$2:$G$3015,$B404)+SUMIFS('Web Feed'!$O$2:$O$3015,'Web Feed'!$B$2:$B$3015,Points!$A$6,'Web Feed'!$H$2:$H$3015,$B404)+SUMIFS('Web Feed'!$O$2:$O$3015,'Web Feed'!$B$2:$B$3015,Points!$A$6,'Web Feed'!$I$2:$I$3015,$B404))</f>
        <v/>
      </c>
      <c r="I404">
        <f>IF($B404="","",COUNTIFS('Web Feed'!$B$2:$B$3015,"OHW",'Web Feed'!$F$2:$F$3015,$B404))</f>
        <v/>
      </c>
      <c r="J404">
        <f>IF($B404="","",IFERROR(INDEX('Last Week'!$A$2:$A$301,MATCH($B404,'Last Week'!$B$2:$B$301,0)),""))</f>
        <v/>
      </c>
      <c r="K404">
        <f>IF(OR($B404="",$J404=""),"",$J404-$A404)</f>
        <v/>
      </c>
    </row>
    <row r="405">
      <c r="A405">
        <f>IF($B405="","",RANK($C405,$C$2:$C$500))</f>
        <v/>
      </c>
      <c r="B405">
        <f>IF(Players!$A405="","",Players!$A405)</f>
        <v/>
      </c>
      <c r="C405" s="5">
        <f>IF($B405="","",SUM(D405:H405))</f>
        <v/>
      </c>
      <c r="D405">
        <f>IF($B405="","",SUMIFS('Web Feed'!$O$2:$O$3015,'Web Feed'!$B$2:$B$3015,Points!$A$2,'Web Feed'!$F$2:$F$3015,$B405)+SUMIFS('Web Feed'!$O$2:$O$3015,'Web Feed'!$B$2:$B$3015,Points!$A$2,'Web Feed'!$G$2:$G$3015,$B405)+SUMIFS('Web Feed'!$O$2:$O$3015,'Web Feed'!$B$2:$B$3015,Points!$A$2,'Web Feed'!$H$2:$H$3015,$B405)+SUMIFS('Web Feed'!$O$2:$O$3015,'Web Feed'!$B$2:$B$3015,Points!$A$2,'Web Feed'!$I$2:$I$3015,$B405))</f>
        <v/>
      </c>
      <c r="E405">
        <f>IF($B405="","",SUMIFS('Web Feed'!$O$2:$O$3015,'Web Feed'!$B$2:$B$3015,Points!$A$3,'Web Feed'!$F$2:$F$3015,$B405)+SUMIFS('Web Feed'!$O$2:$O$3015,'Web Feed'!$B$2:$B$3015,Points!$A$3,'Web Feed'!$G$2:$G$3015,$B405)+SUMIFS('Web Feed'!$O$2:$O$3015,'Web Feed'!$B$2:$B$3015,Points!$A$3,'Web Feed'!$H$2:$H$3015,$B405)+SUMIFS('Web Feed'!$O$2:$O$3015,'Web Feed'!$B$2:$B$3015,Points!$A$3,'Web Feed'!$I$2:$I$3015,$B405))</f>
        <v/>
      </c>
      <c r="F405">
        <f>IF($B405="","",SUMIFS('Web Feed'!$O$2:$O$3015,'Web Feed'!$B$2:$B$3015,Points!$A$4,'Web Feed'!$F$2:$F$3015,$B405)+SUMIFS('Web Feed'!$O$2:$O$3015,'Web Feed'!$B$2:$B$3015,Points!$A$4,'Web Feed'!$G$2:$G$3015,$B405)+SUMIFS('Web Feed'!$O$2:$O$3015,'Web Feed'!$B$2:$B$3015,Points!$A$4,'Web Feed'!$H$2:$H$3015,$B405)+SUMIFS('Web Feed'!$O$2:$O$3015,'Web Feed'!$B$2:$B$3015,Points!$A$4,'Web Feed'!$I$2:$I$3015,$B405))</f>
        <v/>
      </c>
      <c r="G405">
        <f>IF($B405="","",SUMIFS('Web Feed'!$O$2:$O$3015,'Web Feed'!$B$2:$B$3015,Points!$A$5,'Web Feed'!$F$2:$F$3015,$B405)+SUMIFS('Web Feed'!$O$2:$O$3015,'Web Feed'!$B$2:$B$3015,Points!$A$5,'Web Feed'!$G$2:$G$3015,$B405)+SUMIFS('Web Feed'!$O$2:$O$3015,'Web Feed'!$B$2:$B$3015,Points!$A$5,'Web Feed'!$H$2:$H$3015,$B405)+SUMIFS('Web Feed'!$O$2:$O$3015,'Web Feed'!$B$2:$B$3015,Points!$A$5,'Web Feed'!$I$2:$I$3015,$B405))</f>
        <v/>
      </c>
      <c r="H405">
        <f>IF($B405="","",SUMIFS('Web Feed'!$O$2:$O$3015,'Web Feed'!$B$2:$B$3015,Points!$A$6,'Web Feed'!$F$2:$F$3015,$B405)+SUMIFS('Web Feed'!$O$2:$O$3015,'Web Feed'!$B$2:$B$3015,Points!$A$6,'Web Feed'!$G$2:$G$3015,$B405)+SUMIFS('Web Feed'!$O$2:$O$3015,'Web Feed'!$B$2:$B$3015,Points!$A$6,'Web Feed'!$H$2:$H$3015,$B405)+SUMIFS('Web Feed'!$O$2:$O$3015,'Web Feed'!$B$2:$B$3015,Points!$A$6,'Web Feed'!$I$2:$I$3015,$B405))</f>
        <v/>
      </c>
      <c r="I405">
        <f>IF($B405="","",COUNTIFS('Web Feed'!$B$2:$B$3015,"OHW",'Web Feed'!$F$2:$F$3015,$B405))</f>
        <v/>
      </c>
      <c r="J405">
        <f>IF($B405="","",IFERROR(INDEX('Last Week'!$A$2:$A$301,MATCH($B405,'Last Week'!$B$2:$B$301,0)),""))</f>
        <v/>
      </c>
      <c r="K405">
        <f>IF(OR($B405="",$J405=""),"",$J405-$A405)</f>
        <v/>
      </c>
    </row>
    <row r="406">
      <c r="A406">
        <f>IF($B406="","",RANK($C406,$C$2:$C$500))</f>
        <v/>
      </c>
      <c r="B406">
        <f>IF(Players!$A406="","",Players!$A406)</f>
        <v/>
      </c>
      <c r="C406" s="5">
        <f>IF($B406="","",SUM(D406:H406))</f>
        <v/>
      </c>
      <c r="D406">
        <f>IF($B406="","",SUMIFS('Web Feed'!$O$2:$O$3015,'Web Feed'!$B$2:$B$3015,Points!$A$2,'Web Feed'!$F$2:$F$3015,$B406)+SUMIFS('Web Feed'!$O$2:$O$3015,'Web Feed'!$B$2:$B$3015,Points!$A$2,'Web Feed'!$G$2:$G$3015,$B406)+SUMIFS('Web Feed'!$O$2:$O$3015,'Web Feed'!$B$2:$B$3015,Points!$A$2,'Web Feed'!$H$2:$H$3015,$B406)+SUMIFS('Web Feed'!$O$2:$O$3015,'Web Feed'!$B$2:$B$3015,Points!$A$2,'Web Feed'!$I$2:$I$3015,$B406))</f>
        <v/>
      </c>
      <c r="E406">
        <f>IF($B406="","",SUMIFS('Web Feed'!$O$2:$O$3015,'Web Feed'!$B$2:$B$3015,Points!$A$3,'Web Feed'!$F$2:$F$3015,$B406)+SUMIFS('Web Feed'!$O$2:$O$3015,'Web Feed'!$B$2:$B$3015,Points!$A$3,'Web Feed'!$G$2:$G$3015,$B406)+SUMIFS('Web Feed'!$O$2:$O$3015,'Web Feed'!$B$2:$B$3015,Points!$A$3,'Web Feed'!$H$2:$H$3015,$B406)+SUMIFS('Web Feed'!$O$2:$O$3015,'Web Feed'!$B$2:$B$3015,Points!$A$3,'Web Feed'!$I$2:$I$3015,$B406))</f>
        <v/>
      </c>
      <c r="F406">
        <f>IF($B406="","",SUMIFS('Web Feed'!$O$2:$O$3015,'Web Feed'!$B$2:$B$3015,Points!$A$4,'Web Feed'!$F$2:$F$3015,$B406)+SUMIFS('Web Feed'!$O$2:$O$3015,'Web Feed'!$B$2:$B$3015,Points!$A$4,'Web Feed'!$G$2:$G$3015,$B406)+SUMIFS('Web Feed'!$O$2:$O$3015,'Web Feed'!$B$2:$B$3015,Points!$A$4,'Web Feed'!$H$2:$H$3015,$B406)+SUMIFS('Web Feed'!$O$2:$O$3015,'Web Feed'!$B$2:$B$3015,Points!$A$4,'Web Feed'!$I$2:$I$3015,$B406))</f>
        <v/>
      </c>
      <c r="G406">
        <f>IF($B406="","",SUMIFS('Web Feed'!$O$2:$O$3015,'Web Feed'!$B$2:$B$3015,Points!$A$5,'Web Feed'!$F$2:$F$3015,$B406)+SUMIFS('Web Feed'!$O$2:$O$3015,'Web Feed'!$B$2:$B$3015,Points!$A$5,'Web Feed'!$G$2:$G$3015,$B406)+SUMIFS('Web Feed'!$O$2:$O$3015,'Web Feed'!$B$2:$B$3015,Points!$A$5,'Web Feed'!$H$2:$H$3015,$B406)+SUMIFS('Web Feed'!$O$2:$O$3015,'Web Feed'!$B$2:$B$3015,Points!$A$5,'Web Feed'!$I$2:$I$3015,$B406))</f>
        <v/>
      </c>
      <c r="H406">
        <f>IF($B406="","",SUMIFS('Web Feed'!$O$2:$O$3015,'Web Feed'!$B$2:$B$3015,Points!$A$6,'Web Feed'!$F$2:$F$3015,$B406)+SUMIFS('Web Feed'!$O$2:$O$3015,'Web Feed'!$B$2:$B$3015,Points!$A$6,'Web Feed'!$G$2:$G$3015,$B406)+SUMIFS('Web Feed'!$O$2:$O$3015,'Web Feed'!$B$2:$B$3015,Points!$A$6,'Web Feed'!$H$2:$H$3015,$B406)+SUMIFS('Web Feed'!$O$2:$O$3015,'Web Feed'!$B$2:$B$3015,Points!$A$6,'Web Feed'!$I$2:$I$3015,$B406))</f>
        <v/>
      </c>
      <c r="I406">
        <f>IF($B406="","",COUNTIFS('Web Feed'!$B$2:$B$3015,"OHW",'Web Feed'!$F$2:$F$3015,$B406))</f>
        <v/>
      </c>
      <c r="J406">
        <f>IF($B406="","",IFERROR(INDEX('Last Week'!$A$2:$A$301,MATCH($B406,'Last Week'!$B$2:$B$301,0)),""))</f>
        <v/>
      </c>
      <c r="K406">
        <f>IF(OR($B406="",$J406=""),"",$J406-$A406)</f>
        <v/>
      </c>
    </row>
    <row r="407">
      <c r="A407">
        <f>IF($B407="","",RANK($C407,$C$2:$C$500))</f>
        <v/>
      </c>
      <c r="B407">
        <f>IF(Players!$A407="","",Players!$A407)</f>
        <v/>
      </c>
      <c r="C407" s="5">
        <f>IF($B407="","",SUM(D407:H407))</f>
        <v/>
      </c>
      <c r="D407">
        <f>IF($B407="","",SUMIFS('Web Feed'!$O$2:$O$3015,'Web Feed'!$B$2:$B$3015,Points!$A$2,'Web Feed'!$F$2:$F$3015,$B407)+SUMIFS('Web Feed'!$O$2:$O$3015,'Web Feed'!$B$2:$B$3015,Points!$A$2,'Web Feed'!$G$2:$G$3015,$B407)+SUMIFS('Web Feed'!$O$2:$O$3015,'Web Feed'!$B$2:$B$3015,Points!$A$2,'Web Feed'!$H$2:$H$3015,$B407)+SUMIFS('Web Feed'!$O$2:$O$3015,'Web Feed'!$B$2:$B$3015,Points!$A$2,'Web Feed'!$I$2:$I$3015,$B407))</f>
        <v/>
      </c>
      <c r="E407">
        <f>IF($B407="","",SUMIFS('Web Feed'!$O$2:$O$3015,'Web Feed'!$B$2:$B$3015,Points!$A$3,'Web Feed'!$F$2:$F$3015,$B407)+SUMIFS('Web Feed'!$O$2:$O$3015,'Web Feed'!$B$2:$B$3015,Points!$A$3,'Web Feed'!$G$2:$G$3015,$B407)+SUMIFS('Web Feed'!$O$2:$O$3015,'Web Feed'!$B$2:$B$3015,Points!$A$3,'Web Feed'!$H$2:$H$3015,$B407)+SUMIFS('Web Feed'!$O$2:$O$3015,'Web Feed'!$B$2:$B$3015,Points!$A$3,'Web Feed'!$I$2:$I$3015,$B407))</f>
        <v/>
      </c>
      <c r="F407">
        <f>IF($B407="","",SUMIFS('Web Feed'!$O$2:$O$3015,'Web Feed'!$B$2:$B$3015,Points!$A$4,'Web Feed'!$F$2:$F$3015,$B407)+SUMIFS('Web Feed'!$O$2:$O$3015,'Web Feed'!$B$2:$B$3015,Points!$A$4,'Web Feed'!$G$2:$G$3015,$B407)+SUMIFS('Web Feed'!$O$2:$O$3015,'Web Feed'!$B$2:$B$3015,Points!$A$4,'Web Feed'!$H$2:$H$3015,$B407)+SUMIFS('Web Feed'!$O$2:$O$3015,'Web Feed'!$B$2:$B$3015,Points!$A$4,'Web Feed'!$I$2:$I$3015,$B407))</f>
        <v/>
      </c>
      <c r="G407">
        <f>IF($B407="","",SUMIFS('Web Feed'!$O$2:$O$3015,'Web Feed'!$B$2:$B$3015,Points!$A$5,'Web Feed'!$F$2:$F$3015,$B407)+SUMIFS('Web Feed'!$O$2:$O$3015,'Web Feed'!$B$2:$B$3015,Points!$A$5,'Web Feed'!$G$2:$G$3015,$B407)+SUMIFS('Web Feed'!$O$2:$O$3015,'Web Feed'!$B$2:$B$3015,Points!$A$5,'Web Feed'!$H$2:$H$3015,$B407)+SUMIFS('Web Feed'!$O$2:$O$3015,'Web Feed'!$B$2:$B$3015,Points!$A$5,'Web Feed'!$I$2:$I$3015,$B407))</f>
        <v/>
      </c>
      <c r="H407">
        <f>IF($B407="","",SUMIFS('Web Feed'!$O$2:$O$3015,'Web Feed'!$B$2:$B$3015,Points!$A$6,'Web Feed'!$F$2:$F$3015,$B407)+SUMIFS('Web Feed'!$O$2:$O$3015,'Web Feed'!$B$2:$B$3015,Points!$A$6,'Web Feed'!$G$2:$G$3015,$B407)+SUMIFS('Web Feed'!$O$2:$O$3015,'Web Feed'!$B$2:$B$3015,Points!$A$6,'Web Feed'!$H$2:$H$3015,$B407)+SUMIFS('Web Feed'!$O$2:$O$3015,'Web Feed'!$B$2:$B$3015,Points!$A$6,'Web Feed'!$I$2:$I$3015,$B407))</f>
        <v/>
      </c>
      <c r="I407">
        <f>IF($B407="","",COUNTIFS('Web Feed'!$B$2:$B$3015,"OHW",'Web Feed'!$F$2:$F$3015,$B407))</f>
        <v/>
      </c>
      <c r="J407">
        <f>IF($B407="","",IFERROR(INDEX('Last Week'!$A$2:$A$301,MATCH($B407,'Last Week'!$B$2:$B$301,0)),""))</f>
        <v/>
      </c>
      <c r="K407">
        <f>IF(OR($B407="",$J407=""),"",$J407-$A407)</f>
        <v/>
      </c>
    </row>
    <row r="408">
      <c r="A408">
        <f>IF($B408="","",RANK($C408,$C$2:$C$500))</f>
        <v/>
      </c>
      <c r="B408">
        <f>IF(Players!$A408="","",Players!$A408)</f>
        <v/>
      </c>
      <c r="C408" s="5">
        <f>IF($B408="","",SUM(D408:H408))</f>
        <v/>
      </c>
      <c r="D408">
        <f>IF($B408="","",SUMIFS('Web Feed'!$O$2:$O$3015,'Web Feed'!$B$2:$B$3015,Points!$A$2,'Web Feed'!$F$2:$F$3015,$B408)+SUMIFS('Web Feed'!$O$2:$O$3015,'Web Feed'!$B$2:$B$3015,Points!$A$2,'Web Feed'!$G$2:$G$3015,$B408)+SUMIFS('Web Feed'!$O$2:$O$3015,'Web Feed'!$B$2:$B$3015,Points!$A$2,'Web Feed'!$H$2:$H$3015,$B408)+SUMIFS('Web Feed'!$O$2:$O$3015,'Web Feed'!$B$2:$B$3015,Points!$A$2,'Web Feed'!$I$2:$I$3015,$B408))</f>
        <v/>
      </c>
      <c r="E408">
        <f>IF($B408="","",SUMIFS('Web Feed'!$O$2:$O$3015,'Web Feed'!$B$2:$B$3015,Points!$A$3,'Web Feed'!$F$2:$F$3015,$B408)+SUMIFS('Web Feed'!$O$2:$O$3015,'Web Feed'!$B$2:$B$3015,Points!$A$3,'Web Feed'!$G$2:$G$3015,$B408)+SUMIFS('Web Feed'!$O$2:$O$3015,'Web Feed'!$B$2:$B$3015,Points!$A$3,'Web Feed'!$H$2:$H$3015,$B408)+SUMIFS('Web Feed'!$O$2:$O$3015,'Web Feed'!$B$2:$B$3015,Points!$A$3,'Web Feed'!$I$2:$I$3015,$B408))</f>
        <v/>
      </c>
      <c r="F408">
        <f>IF($B408="","",SUMIFS('Web Feed'!$O$2:$O$3015,'Web Feed'!$B$2:$B$3015,Points!$A$4,'Web Feed'!$F$2:$F$3015,$B408)+SUMIFS('Web Feed'!$O$2:$O$3015,'Web Feed'!$B$2:$B$3015,Points!$A$4,'Web Feed'!$G$2:$G$3015,$B408)+SUMIFS('Web Feed'!$O$2:$O$3015,'Web Feed'!$B$2:$B$3015,Points!$A$4,'Web Feed'!$H$2:$H$3015,$B408)+SUMIFS('Web Feed'!$O$2:$O$3015,'Web Feed'!$B$2:$B$3015,Points!$A$4,'Web Feed'!$I$2:$I$3015,$B408))</f>
        <v/>
      </c>
      <c r="G408">
        <f>IF($B408="","",SUMIFS('Web Feed'!$O$2:$O$3015,'Web Feed'!$B$2:$B$3015,Points!$A$5,'Web Feed'!$F$2:$F$3015,$B408)+SUMIFS('Web Feed'!$O$2:$O$3015,'Web Feed'!$B$2:$B$3015,Points!$A$5,'Web Feed'!$G$2:$G$3015,$B408)+SUMIFS('Web Feed'!$O$2:$O$3015,'Web Feed'!$B$2:$B$3015,Points!$A$5,'Web Feed'!$H$2:$H$3015,$B408)+SUMIFS('Web Feed'!$O$2:$O$3015,'Web Feed'!$B$2:$B$3015,Points!$A$5,'Web Feed'!$I$2:$I$3015,$B408))</f>
        <v/>
      </c>
      <c r="H408">
        <f>IF($B408="","",SUMIFS('Web Feed'!$O$2:$O$3015,'Web Feed'!$B$2:$B$3015,Points!$A$6,'Web Feed'!$F$2:$F$3015,$B408)+SUMIFS('Web Feed'!$O$2:$O$3015,'Web Feed'!$B$2:$B$3015,Points!$A$6,'Web Feed'!$G$2:$G$3015,$B408)+SUMIFS('Web Feed'!$O$2:$O$3015,'Web Feed'!$B$2:$B$3015,Points!$A$6,'Web Feed'!$H$2:$H$3015,$B408)+SUMIFS('Web Feed'!$O$2:$O$3015,'Web Feed'!$B$2:$B$3015,Points!$A$6,'Web Feed'!$I$2:$I$3015,$B408))</f>
        <v/>
      </c>
      <c r="I408">
        <f>IF($B408="","",COUNTIFS('Web Feed'!$B$2:$B$3015,"OHW",'Web Feed'!$F$2:$F$3015,$B408))</f>
        <v/>
      </c>
      <c r="J408">
        <f>IF($B408="","",IFERROR(INDEX('Last Week'!$A$2:$A$301,MATCH($B408,'Last Week'!$B$2:$B$301,0)),""))</f>
        <v/>
      </c>
      <c r="K408">
        <f>IF(OR($B408="",$J408=""),"",$J408-$A408)</f>
        <v/>
      </c>
    </row>
    <row r="409">
      <c r="A409">
        <f>IF($B409="","",RANK($C409,$C$2:$C$500))</f>
        <v/>
      </c>
      <c r="B409">
        <f>IF(Players!$A409="","",Players!$A409)</f>
        <v/>
      </c>
      <c r="C409" s="5">
        <f>IF($B409="","",SUM(D409:H409))</f>
        <v/>
      </c>
      <c r="D409">
        <f>IF($B409="","",SUMIFS('Web Feed'!$O$2:$O$3015,'Web Feed'!$B$2:$B$3015,Points!$A$2,'Web Feed'!$F$2:$F$3015,$B409)+SUMIFS('Web Feed'!$O$2:$O$3015,'Web Feed'!$B$2:$B$3015,Points!$A$2,'Web Feed'!$G$2:$G$3015,$B409)+SUMIFS('Web Feed'!$O$2:$O$3015,'Web Feed'!$B$2:$B$3015,Points!$A$2,'Web Feed'!$H$2:$H$3015,$B409)+SUMIFS('Web Feed'!$O$2:$O$3015,'Web Feed'!$B$2:$B$3015,Points!$A$2,'Web Feed'!$I$2:$I$3015,$B409))</f>
        <v/>
      </c>
      <c r="E409">
        <f>IF($B409="","",SUMIFS('Web Feed'!$O$2:$O$3015,'Web Feed'!$B$2:$B$3015,Points!$A$3,'Web Feed'!$F$2:$F$3015,$B409)+SUMIFS('Web Feed'!$O$2:$O$3015,'Web Feed'!$B$2:$B$3015,Points!$A$3,'Web Feed'!$G$2:$G$3015,$B409)+SUMIFS('Web Feed'!$O$2:$O$3015,'Web Feed'!$B$2:$B$3015,Points!$A$3,'Web Feed'!$H$2:$H$3015,$B409)+SUMIFS('Web Feed'!$O$2:$O$3015,'Web Feed'!$B$2:$B$3015,Points!$A$3,'Web Feed'!$I$2:$I$3015,$B409))</f>
        <v/>
      </c>
      <c r="F409">
        <f>IF($B409="","",SUMIFS('Web Feed'!$O$2:$O$3015,'Web Feed'!$B$2:$B$3015,Points!$A$4,'Web Feed'!$F$2:$F$3015,$B409)+SUMIFS('Web Feed'!$O$2:$O$3015,'Web Feed'!$B$2:$B$3015,Points!$A$4,'Web Feed'!$G$2:$G$3015,$B409)+SUMIFS('Web Feed'!$O$2:$O$3015,'Web Feed'!$B$2:$B$3015,Points!$A$4,'Web Feed'!$H$2:$H$3015,$B409)+SUMIFS('Web Feed'!$O$2:$O$3015,'Web Feed'!$B$2:$B$3015,Points!$A$4,'Web Feed'!$I$2:$I$3015,$B409))</f>
        <v/>
      </c>
      <c r="G409">
        <f>IF($B409="","",SUMIFS('Web Feed'!$O$2:$O$3015,'Web Feed'!$B$2:$B$3015,Points!$A$5,'Web Feed'!$F$2:$F$3015,$B409)+SUMIFS('Web Feed'!$O$2:$O$3015,'Web Feed'!$B$2:$B$3015,Points!$A$5,'Web Feed'!$G$2:$G$3015,$B409)+SUMIFS('Web Feed'!$O$2:$O$3015,'Web Feed'!$B$2:$B$3015,Points!$A$5,'Web Feed'!$H$2:$H$3015,$B409)+SUMIFS('Web Feed'!$O$2:$O$3015,'Web Feed'!$B$2:$B$3015,Points!$A$5,'Web Feed'!$I$2:$I$3015,$B409))</f>
        <v/>
      </c>
      <c r="H409">
        <f>IF($B409="","",SUMIFS('Web Feed'!$O$2:$O$3015,'Web Feed'!$B$2:$B$3015,Points!$A$6,'Web Feed'!$F$2:$F$3015,$B409)+SUMIFS('Web Feed'!$O$2:$O$3015,'Web Feed'!$B$2:$B$3015,Points!$A$6,'Web Feed'!$G$2:$G$3015,$B409)+SUMIFS('Web Feed'!$O$2:$O$3015,'Web Feed'!$B$2:$B$3015,Points!$A$6,'Web Feed'!$H$2:$H$3015,$B409)+SUMIFS('Web Feed'!$O$2:$O$3015,'Web Feed'!$B$2:$B$3015,Points!$A$6,'Web Feed'!$I$2:$I$3015,$B409))</f>
        <v/>
      </c>
      <c r="I409">
        <f>IF($B409="","",COUNTIFS('Web Feed'!$B$2:$B$3015,"OHW",'Web Feed'!$F$2:$F$3015,$B409))</f>
        <v/>
      </c>
      <c r="J409">
        <f>IF($B409="","",IFERROR(INDEX('Last Week'!$A$2:$A$301,MATCH($B409,'Last Week'!$B$2:$B$301,0)),""))</f>
        <v/>
      </c>
      <c r="K409">
        <f>IF(OR($B409="",$J409=""),"",$J409-$A409)</f>
        <v/>
      </c>
    </row>
    <row r="410">
      <c r="A410">
        <f>IF($B410="","",RANK($C410,$C$2:$C$500))</f>
        <v/>
      </c>
      <c r="B410">
        <f>IF(Players!$A410="","",Players!$A410)</f>
        <v/>
      </c>
      <c r="C410" s="5">
        <f>IF($B410="","",SUM(D410:H410))</f>
        <v/>
      </c>
      <c r="D410">
        <f>IF($B410="","",SUMIFS('Web Feed'!$O$2:$O$3015,'Web Feed'!$B$2:$B$3015,Points!$A$2,'Web Feed'!$F$2:$F$3015,$B410)+SUMIFS('Web Feed'!$O$2:$O$3015,'Web Feed'!$B$2:$B$3015,Points!$A$2,'Web Feed'!$G$2:$G$3015,$B410)+SUMIFS('Web Feed'!$O$2:$O$3015,'Web Feed'!$B$2:$B$3015,Points!$A$2,'Web Feed'!$H$2:$H$3015,$B410)+SUMIFS('Web Feed'!$O$2:$O$3015,'Web Feed'!$B$2:$B$3015,Points!$A$2,'Web Feed'!$I$2:$I$3015,$B410))</f>
        <v/>
      </c>
      <c r="E410">
        <f>IF($B410="","",SUMIFS('Web Feed'!$O$2:$O$3015,'Web Feed'!$B$2:$B$3015,Points!$A$3,'Web Feed'!$F$2:$F$3015,$B410)+SUMIFS('Web Feed'!$O$2:$O$3015,'Web Feed'!$B$2:$B$3015,Points!$A$3,'Web Feed'!$G$2:$G$3015,$B410)+SUMIFS('Web Feed'!$O$2:$O$3015,'Web Feed'!$B$2:$B$3015,Points!$A$3,'Web Feed'!$H$2:$H$3015,$B410)+SUMIFS('Web Feed'!$O$2:$O$3015,'Web Feed'!$B$2:$B$3015,Points!$A$3,'Web Feed'!$I$2:$I$3015,$B410))</f>
        <v/>
      </c>
      <c r="F410">
        <f>IF($B410="","",SUMIFS('Web Feed'!$O$2:$O$3015,'Web Feed'!$B$2:$B$3015,Points!$A$4,'Web Feed'!$F$2:$F$3015,$B410)+SUMIFS('Web Feed'!$O$2:$O$3015,'Web Feed'!$B$2:$B$3015,Points!$A$4,'Web Feed'!$G$2:$G$3015,$B410)+SUMIFS('Web Feed'!$O$2:$O$3015,'Web Feed'!$B$2:$B$3015,Points!$A$4,'Web Feed'!$H$2:$H$3015,$B410)+SUMIFS('Web Feed'!$O$2:$O$3015,'Web Feed'!$B$2:$B$3015,Points!$A$4,'Web Feed'!$I$2:$I$3015,$B410))</f>
        <v/>
      </c>
      <c r="G410">
        <f>IF($B410="","",SUMIFS('Web Feed'!$O$2:$O$3015,'Web Feed'!$B$2:$B$3015,Points!$A$5,'Web Feed'!$F$2:$F$3015,$B410)+SUMIFS('Web Feed'!$O$2:$O$3015,'Web Feed'!$B$2:$B$3015,Points!$A$5,'Web Feed'!$G$2:$G$3015,$B410)+SUMIFS('Web Feed'!$O$2:$O$3015,'Web Feed'!$B$2:$B$3015,Points!$A$5,'Web Feed'!$H$2:$H$3015,$B410)+SUMIFS('Web Feed'!$O$2:$O$3015,'Web Feed'!$B$2:$B$3015,Points!$A$5,'Web Feed'!$I$2:$I$3015,$B410))</f>
        <v/>
      </c>
      <c r="H410">
        <f>IF($B410="","",SUMIFS('Web Feed'!$O$2:$O$3015,'Web Feed'!$B$2:$B$3015,Points!$A$6,'Web Feed'!$F$2:$F$3015,$B410)+SUMIFS('Web Feed'!$O$2:$O$3015,'Web Feed'!$B$2:$B$3015,Points!$A$6,'Web Feed'!$G$2:$G$3015,$B410)+SUMIFS('Web Feed'!$O$2:$O$3015,'Web Feed'!$B$2:$B$3015,Points!$A$6,'Web Feed'!$H$2:$H$3015,$B410)+SUMIFS('Web Feed'!$O$2:$O$3015,'Web Feed'!$B$2:$B$3015,Points!$A$6,'Web Feed'!$I$2:$I$3015,$B410))</f>
        <v/>
      </c>
      <c r="I410">
        <f>IF($B410="","",COUNTIFS('Web Feed'!$B$2:$B$3015,"OHW",'Web Feed'!$F$2:$F$3015,$B410))</f>
        <v/>
      </c>
      <c r="J410">
        <f>IF($B410="","",IFERROR(INDEX('Last Week'!$A$2:$A$301,MATCH($B410,'Last Week'!$B$2:$B$301,0)),""))</f>
        <v/>
      </c>
      <c r="K410">
        <f>IF(OR($B410="",$J410=""),"",$J410-$A410)</f>
        <v/>
      </c>
    </row>
    <row r="411">
      <c r="A411">
        <f>IF($B411="","",RANK($C411,$C$2:$C$500))</f>
        <v/>
      </c>
      <c r="B411">
        <f>IF(Players!$A411="","",Players!$A411)</f>
        <v/>
      </c>
      <c r="C411" s="5">
        <f>IF($B411="","",SUM(D411:H411))</f>
        <v/>
      </c>
      <c r="D411">
        <f>IF($B411="","",SUMIFS('Web Feed'!$O$2:$O$3015,'Web Feed'!$B$2:$B$3015,Points!$A$2,'Web Feed'!$F$2:$F$3015,$B411)+SUMIFS('Web Feed'!$O$2:$O$3015,'Web Feed'!$B$2:$B$3015,Points!$A$2,'Web Feed'!$G$2:$G$3015,$B411)+SUMIFS('Web Feed'!$O$2:$O$3015,'Web Feed'!$B$2:$B$3015,Points!$A$2,'Web Feed'!$H$2:$H$3015,$B411)+SUMIFS('Web Feed'!$O$2:$O$3015,'Web Feed'!$B$2:$B$3015,Points!$A$2,'Web Feed'!$I$2:$I$3015,$B411))</f>
        <v/>
      </c>
      <c r="E411">
        <f>IF($B411="","",SUMIFS('Web Feed'!$O$2:$O$3015,'Web Feed'!$B$2:$B$3015,Points!$A$3,'Web Feed'!$F$2:$F$3015,$B411)+SUMIFS('Web Feed'!$O$2:$O$3015,'Web Feed'!$B$2:$B$3015,Points!$A$3,'Web Feed'!$G$2:$G$3015,$B411)+SUMIFS('Web Feed'!$O$2:$O$3015,'Web Feed'!$B$2:$B$3015,Points!$A$3,'Web Feed'!$H$2:$H$3015,$B411)+SUMIFS('Web Feed'!$O$2:$O$3015,'Web Feed'!$B$2:$B$3015,Points!$A$3,'Web Feed'!$I$2:$I$3015,$B411))</f>
        <v/>
      </c>
      <c r="F411">
        <f>IF($B411="","",SUMIFS('Web Feed'!$O$2:$O$3015,'Web Feed'!$B$2:$B$3015,Points!$A$4,'Web Feed'!$F$2:$F$3015,$B411)+SUMIFS('Web Feed'!$O$2:$O$3015,'Web Feed'!$B$2:$B$3015,Points!$A$4,'Web Feed'!$G$2:$G$3015,$B411)+SUMIFS('Web Feed'!$O$2:$O$3015,'Web Feed'!$B$2:$B$3015,Points!$A$4,'Web Feed'!$H$2:$H$3015,$B411)+SUMIFS('Web Feed'!$O$2:$O$3015,'Web Feed'!$B$2:$B$3015,Points!$A$4,'Web Feed'!$I$2:$I$3015,$B411))</f>
        <v/>
      </c>
      <c r="G411">
        <f>IF($B411="","",SUMIFS('Web Feed'!$O$2:$O$3015,'Web Feed'!$B$2:$B$3015,Points!$A$5,'Web Feed'!$F$2:$F$3015,$B411)+SUMIFS('Web Feed'!$O$2:$O$3015,'Web Feed'!$B$2:$B$3015,Points!$A$5,'Web Feed'!$G$2:$G$3015,$B411)+SUMIFS('Web Feed'!$O$2:$O$3015,'Web Feed'!$B$2:$B$3015,Points!$A$5,'Web Feed'!$H$2:$H$3015,$B411)+SUMIFS('Web Feed'!$O$2:$O$3015,'Web Feed'!$B$2:$B$3015,Points!$A$5,'Web Feed'!$I$2:$I$3015,$B411))</f>
        <v/>
      </c>
      <c r="H411">
        <f>IF($B411="","",SUMIFS('Web Feed'!$O$2:$O$3015,'Web Feed'!$B$2:$B$3015,Points!$A$6,'Web Feed'!$F$2:$F$3015,$B411)+SUMIFS('Web Feed'!$O$2:$O$3015,'Web Feed'!$B$2:$B$3015,Points!$A$6,'Web Feed'!$G$2:$G$3015,$B411)+SUMIFS('Web Feed'!$O$2:$O$3015,'Web Feed'!$B$2:$B$3015,Points!$A$6,'Web Feed'!$H$2:$H$3015,$B411)+SUMIFS('Web Feed'!$O$2:$O$3015,'Web Feed'!$B$2:$B$3015,Points!$A$6,'Web Feed'!$I$2:$I$3015,$B411))</f>
        <v/>
      </c>
      <c r="I411">
        <f>IF($B411="","",COUNTIFS('Web Feed'!$B$2:$B$3015,"OHW",'Web Feed'!$F$2:$F$3015,$B411))</f>
        <v/>
      </c>
      <c r="J411">
        <f>IF($B411="","",IFERROR(INDEX('Last Week'!$A$2:$A$301,MATCH($B411,'Last Week'!$B$2:$B$301,0)),""))</f>
        <v/>
      </c>
      <c r="K411">
        <f>IF(OR($B411="",$J411=""),"",$J411-$A411)</f>
        <v/>
      </c>
    </row>
    <row r="412">
      <c r="A412">
        <f>IF($B412="","",RANK($C412,$C$2:$C$500))</f>
        <v/>
      </c>
      <c r="B412">
        <f>IF(Players!$A412="","",Players!$A412)</f>
        <v/>
      </c>
      <c r="C412" s="5">
        <f>IF($B412="","",SUM(D412:H412))</f>
        <v/>
      </c>
      <c r="D412">
        <f>IF($B412="","",SUMIFS('Web Feed'!$O$2:$O$3015,'Web Feed'!$B$2:$B$3015,Points!$A$2,'Web Feed'!$F$2:$F$3015,$B412)+SUMIFS('Web Feed'!$O$2:$O$3015,'Web Feed'!$B$2:$B$3015,Points!$A$2,'Web Feed'!$G$2:$G$3015,$B412)+SUMIFS('Web Feed'!$O$2:$O$3015,'Web Feed'!$B$2:$B$3015,Points!$A$2,'Web Feed'!$H$2:$H$3015,$B412)+SUMIFS('Web Feed'!$O$2:$O$3015,'Web Feed'!$B$2:$B$3015,Points!$A$2,'Web Feed'!$I$2:$I$3015,$B412))</f>
        <v/>
      </c>
      <c r="E412">
        <f>IF($B412="","",SUMIFS('Web Feed'!$O$2:$O$3015,'Web Feed'!$B$2:$B$3015,Points!$A$3,'Web Feed'!$F$2:$F$3015,$B412)+SUMIFS('Web Feed'!$O$2:$O$3015,'Web Feed'!$B$2:$B$3015,Points!$A$3,'Web Feed'!$G$2:$G$3015,$B412)+SUMIFS('Web Feed'!$O$2:$O$3015,'Web Feed'!$B$2:$B$3015,Points!$A$3,'Web Feed'!$H$2:$H$3015,$B412)+SUMIFS('Web Feed'!$O$2:$O$3015,'Web Feed'!$B$2:$B$3015,Points!$A$3,'Web Feed'!$I$2:$I$3015,$B412))</f>
        <v/>
      </c>
      <c r="F412">
        <f>IF($B412="","",SUMIFS('Web Feed'!$O$2:$O$3015,'Web Feed'!$B$2:$B$3015,Points!$A$4,'Web Feed'!$F$2:$F$3015,$B412)+SUMIFS('Web Feed'!$O$2:$O$3015,'Web Feed'!$B$2:$B$3015,Points!$A$4,'Web Feed'!$G$2:$G$3015,$B412)+SUMIFS('Web Feed'!$O$2:$O$3015,'Web Feed'!$B$2:$B$3015,Points!$A$4,'Web Feed'!$H$2:$H$3015,$B412)+SUMIFS('Web Feed'!$O$2:$O$3015,'Web Feed'!$B$2:$B$3015,Points!$A$4,'Web Feed'!$I$2:$I$3015,$B412))</f>
        <v/>
      </c>
      <c r="G412">
        <f>IF($B412="","",SUMIFS('Web Feed'!$O$2:$O$3015,'Web Feed'!$B$2:$B$3015,Points!$A$5,'Web Feed'!$F$2:$F$3015,$B412)+SUMIFS('Web Feed'!$O$2:$O$3015,'Web Feed'!$B$2:$B$3015,Points!$A$5,'Web Feed'!$G$2:$G$3015,$B412)+SUMIFS('Web Feed'!$O$2:$O$3015,'Web Feed'!$B$2:$B$3015,Points!$A$5,'Web Feed'!$H$2:$H$3015,$B412)+SUMIFS('Web Feed'!$O$2:$O$3015,'Web Feed'!$B$2:$B$3015,Points!$A$5,'Web Feed'!$I$2:$I$3015,$B412))</f>
        <v/>
      </c>
      <c r="H412">
        <f>IF($B412="","",SUMIFS('Web Feed'!$O$2:$O$3015,'Web Feed'!$B$2:$B$3015,Points!$A$6,'Web Feed'!$F$2:$F$3015,$B412)+SUMIFS('Web Feed'!$O$2:$O$3015,'Web Feed'!$B$2:$B$3015,Points!$A$6,'Web Feed'!$G$2:$G$3015,$B412)+SUMIFS('Web Feed'!$O$2:$O$3015,'Web Feed'!$B$2:$B$3015,Points!$A$6,'Web Feed'!$H$2:$H$3015,$B412)+SUMIFS('Web Feed'!$O$2:$O$3015,'Web Feed'!$B$2:$B$3015,Points!$A$6,'Web Feed'!$I$2:$I$3015,$B412))</f>
        <v/>
      </c>
      <c r="I412">
        <f>IF($B412="","",COUNTIFS('Web Feed'!$B$2:$B$3015,"OHW",'Web Feed'!$F$2:$F$3015,$B412))</f>
        <v/>
      </c>
      <c r="J412">
        <f>IF($B412="","",IFERROR(INDEX('Last Week'!$A$2:$A$301,MATCH($B412,'Last Week'!$B$2:$B$301,0)),""))</f>
        <v/>
      </c>
      <c r="K412">
        <f>IF(OR($B412="",$J412=""),"",$J412-$A412)</f>
        <v/>
      </c>
    </row>
    <row r="413">
      <c r="A413">
        <f>IF($B413="","",RANK($C413,$C$2:$C$500))</f>
        <v/>
      </c>
      <c r="B413">
        <f>IF(Players!$A413="","",Players!$A413)</f>
        <v/>
      </c>
      <c r="C413" s="5">
        <f>IF($B413="","",SUM(D413:H413))</f>
        <v/>
      </c>
      <c r="D413">
        <f>IF($B413="","",SUMIFS('Web Feed'!$O$2:$O$3015,'Web Feed'!$B$2:$B$3015,Points!$A$2,'Web Feed'!$F$2:$F$3015,$B413)+SUMIFS('Web Feed'!$O$2:$O$3015,'Web Feed'!$B$2:$B$3015,Points!$A$2,'Web Feed'!$G$2:$G$3015,$B413)+SUMIFS('Web Feed'!$O$2:$O$3015,'Web Feed'!$B$2:$B$3015,Points!$A$2,'Web Feed'!$H$2:$H$3015,$B413)+SUMIFS('Web Feed'!$O$2:$O$3015,'Web Feed'!$B$2:$B$3015,Points!$A$2,'Web Feed'!$I$2:$I$3015,$B413))</f>
        <v/>
      </c>
      <c r="E413">
        <f>IF($B413="","",SUMIFS('Web Feed'!$O$2:$O$3015,'Web Feed'!$B$2:$B$3015,Points!$A$3,'Web Feed'!$F$2:$F$3015,$B413)+SUMIFS('Web Feed'!$O$2:$O$3015,'Web Feed'!$B$2:$B$3015,Points!$A$3,'Web Feed'!$G$2:$G$3015,$B413)+SUMIFS('Web Feed'!$O$2:$O$3015,'Web Feed'!$B$2:$B$3015,Points!$A$3,'Web Feed'!$H$2:$H$3015,$B413)+SUMIFS('Web Feed'!$O$2:$O$3015,'Web Feed'!$B$2:$B$3015,Points!$A$3,'Web Feed'!$I$2:$I$3015,$B413))</f>
        <v/>
      </c>
      <c r="F413">
        <f>IF($B413="","",SUMIFS('Web Feed'!$O$2:$O$3015,'Web Feed'!$B$2:$B$3015,Points!$A$4,'Web Feed'!$F$2:$F$3015,$B413)+SUMIFS('Web Feed'!$O$2:$O$3015,'Web Feed'!$B$2:$B$3015,Points!$A$4,'Web Feed'!$G$2:$G$3015,$B413)+SUMIFS('Web Feed'!$O$2:$O$3015,'Web Feed'!$B$2:$B$3015,Points!$A$4,'Web Feed'!$H$2:$H$3015,$B413)+SUMIFS('Web Feed'!$O$2:$O$3015,'Web Feed'!$B$2:$B$3015,Points!$A$4,'Web Feed'!$I$2:$I$3015,$B413))</f>
        <v/>
      </c>
      <c r="G413">
        <f>IF($B413="","",SUMIFS('Web Feed'!$O$2:$O$3015,'Web Feed'!$B$2:$B$3015,Points!$A$5,'Web Feed'!$F$2:$F$3015,$B413)+SUMIFS('Web Feed'!$O$2:$O$3015,'Web Feed'!$B$2:$B$3015,Points!$A$5,'Web Feed'!$G$2:$G$3015,$B413)+SUMIFS('Web Feed'!$O$2:$O$3015,'Web Feed'!$B$2:$B$3015,Points!$A$5,'Web Feed'!$H$2:$H$3015,$B413)+SUMIFS('Web Feed'!$O$2:$O$3015,'Web Feed'!$B$2:$B$3015,Points!$A$5,'Web Feed'!$I$2:$I$3015,$B413))</f>
        <v/>
      </c>
      <c r="H413">
        <f>IF($B413="","",SUMIFS('Web Feed'!$O$2:$O$3015,'Web Feed'!$B$2:$B$3015,Points!$A$6,'Web Feed'!$F$2:$F$3015,$B413)+SUMIFS('Web Feed'!$O$2:$O$3015,'Web Feed'!$B$2:$B$3015,Points!$A$6,'Web Feed'!$G$2:$G$3015,$B413)+SUMIFS('Web Feed'!$O$2:$O$3015,'Web Feed'!$B$2:$B$3015,Points!$A$6,'Web Feed'!$H$2:$H$3015,$B413)+SUMIFS('Web Feed'!$O$2:$O$3015,'Web Feed'!$B$2:$B$3015,Points!$A$6,'Web Feed'!$I$2:$I$3015,$B413))</f>
        <v/>
      </c>
      <c r="I413">
        <f>IF($B413="","",COUNTIFS('Web Feed'!$B$2:$B$3015,"OHW",'Web Feed'!$F$2:$F$3015,$B413))</f>
        <v/>
      </c>
      <c r="J413">
        <f>IF($B413="","",IFERROR(INDEX('Last Week'!$A$2:$A$301,MATCH($B413,'Last Week'!$B$2:$B$301,0)),""))</f>
        <v/>
      </c>
      <c r="K413">
        <f>IF(OR($B413="",$J413=""),"",$J413-$A413)</f>
        <v/>
      </c>
    </row>
    <row r="414">
      <c r="A414">
        <f>IF($B414="","",RANK($C414,$C$2:$C$500))</f>
        <v/>
      </c>
      <c r="B414">
        <f>IF(Players!$A414="","",Players!$A414)</f>
        <v/>
      </c>
      <c r="C414" s="5">
        <f>IF($B414="","",SUM(D414:H414))</f>
        <v/>
      </c>
      <c r="D414">
        <f>IF($B414="","",SUMIFS('Web Feed'!$O$2:$O$3015,'Web Feed'!$B$2:$B$3015,Points!$A$2,'Web Feed'!$F$2:$F$3015,$B414)+SUMIFS('Web Feed'!$O$2:$O$3015,'Web Feed'!$B$2:$B$3015,Points!$A$2,'Web Feed'!$G$2:$G$3015,$B414)+SUMIFS('Web Feed'!$O$2:$O$3015,'Web Feed'!$B$2:$B$3015,Points!$A$2,'Web Feed'!$H$2:$H$3015,$B414)+SUMIFS('Web Feed'!$O$2:$O$3015,'Web Feed'!$B$2:$B$3015,Points!$A$2,'Web Feed'!$I$2:$I$3015,$B414))</f>
        <v/>
      </c>
      <c r="E414">
        <f>IF($B414="","",SUMIFS('Web Feed'!$O$2:$O$3015,'Web Feed'!$B$2:$B$3015,Points!$A$3,'Web Feed'!$F$2:$F$3015,$B414)+SUMIFS('Web Feed'!$O$2:$O$3015,'Web Feed'!$B$2:$B$3015,Points!$A$3,'Web Feed'!$G$2:$G$3015,$B414)+SUMIFS('Web Feed'!$O$2:$O$3015,'Web Feed'!$B$2:$B$3015,Points!$A$3,'Web Feed'!$H$2:$H$3015,$B414)+SUMIFS('Web Feed'!$O$2:$O$3015,'Web Feed'!$B$2:$B$3015,Points!$A$3,'Web Feed'!$I$2:$I$3015,$B414))</f>
        <v/>
      </c>
      <c r="F414">
        <f>IF($B414="","",SUMIFS('Web Feed'!$O$2:$O$3015,'Web Feed'!$B$2:$B$3015,Points!$A$4,'Web Feed'!$F$2:$F$3015,$B414)+SUMIFS('Web Feed'!$O$2:$O$3015,'Web Feed'!$B$2:$B$3015,Points!$A$4,'Web Feed'!$G$2:$G$3015,$B414)+SUMIFS('Web Feed'!$O$2:$O$3015,'Web Feed'!$B$2:$B$3015,Points!$A$4,'Web Feed'!$H$2:$H$3015,$B414)+SUMIFS('Web Feed'!$O$2:$O$3015,'Web Feed'!$B$2:$B$3015,Points!$A$4,'Web Feed'!$I$2:$I$3015,$B414))</f>
        <v/>
      </c>
      <c r="G414">
        <f>IF($B414="","",SUMIFS('Web Feed'!$O$2:$O$3015,'Web Feed'!$B$2:$B$3015,Points!$A$5,'Web Feed'!$F$2:$F$3015,$B414)+SUMIFS('Web Feed'!$O$2:$O$3015,'Web Feed'!$B$2:$B$3015,Points!$A$5,'Web Feed'!$G$2:$G$3015,$B414)+SUMIFS('Web Feed'!$O$2:$O$3015,'Web Feed'!$B$2:$B$3015,Points!$A$5,'Web Feed'!$H$2:$H$3015,$B414)+SUMIFS('Web Feed'!$O$2:$O$3015,'Web Feed'!$B$2:$B$3015,Points!$A$5,'Web Feed'!$I$2:$I$3015,$B414))</f>
        <v/>
      </c>
      <c r="H414">
        <f>IF($B414="","",SUMIFS('Web Feed'!$O$2:$O$3015,'Web Feed'!$B$2:$B$3015,Points!$A$6,'Web Feed'!$F$2:$F$3015,$B414)+SUMIFS('Web Feed'!$O$2:$O$3015,'Web Feed'!$B$2:$B$3015,Points!$A$6,'Web Feed'!$G$2:$G$3015,$B414)+SUMIFS('Web Feed'!$O$2:$O$3015,'Web Feed'!$B$2:$B$3015,Points!$A$6,'Web Feed'!$H$2:$H$3015,$B414)+SUMIFS('Web Feed'!$O$2:$O$3015,'Web Feed'!$B$2:$B$3015,Points!$A$6,'Web Feed'!$I$2:$I$3015,$B414))</f>
        <v/>
      </c>
      <c r="I414">
        <f>IF($B414="","",COUNTIFS('Web Feed'!$B$2:$B$3015,"OHW",'Web Feed'!$F$2:$F$3015,$B414))</f>
        <v/>
      </c>
      <c r="J414">
        <f>IF($B414="","",IFERROR(INDEX('Last Week'!$A$2:$A$301,MATCH($B414,'Last Week'!$B$2:$B$301,0)),""))</f>
        <v/>
      </c>
      <c r="K414">
        <f>IF(OR($B414="",$J414=""),"",$J414-$A414)</f>
        <v/>
      </c>
    </row>
    <row r="415">
      <c r="A415">
        <f>IF($B415="","",RANK($C415,$C$2:$C$500))</f>
        <v/>
      </c>
      <c r="B415">
        <f>IF(Players!$A415="","",Players!$A415)</f>
        <v/>
      </c>
      <c r="C415" s="5">
        <f>IF($B415="","",SUM(D415:H415))</f>
        <v/>
      </c>
      <c r="D415">
        <f>IF($B415="","",SUMIFS('Web Feed'!$O$2:$O$3015,'Web Feed'!$B$2:$B$3015,Points!$A$2,'Web Feed'!$F$2:$F$3015,$B415)+SUMIFS('Web Feed'!$O$2:$O$3015,'Web Feed'!$B$2:$B$3015,Points!$A$2,'Web Feed'!$G$2:$G$3015,$B415)+SUMIFS('Web Feed'!$O$2:$O$3015,'Web Feed'!$B$2:$B$3015,Points!$A$2,'Web Feed'!$H$2:$H$3015,$B415)+SUMIFS('Web Feed'!$O$2:$O$3015,'Web Feed'!$B$2:$B$3015,Points!$A$2,'Web Feed'!$I$2:$I$3015,$B415))</f>
        <v/>
      </c>
      <c r="E415">
        <f>IF($B415="","",SUMIFS('Web Feed'!$O$2:$O$3015,'Web Feed'!$B$2:$B$3015,Points!$A$3,'Web Feed'!$F$2:$F$3015,$B415)+SUMIFS('Web Feed'!$O$2:$O$3015,'Web Feed'!$B$2:$B$3015,Points!$A$3,'Web Feed'!$G$2:$G$3015,$B415)+SUMIFS('Web Feed'!$O$2:$O$3015,'Web Feed'!$B$2:$B$3015,Points!$A$3,'Web Feed'!$H$2:$H$3015,$B415)+SUMIFS('Web Feed'!$O$2:$O$3015,'Web Feed'!$B$2:$B$3015,Points!$A$3,'Web Feed'!$I$2:$I$3015,$B415))</f>
        <v/>
      </c>
      <c r="F415">
        <f>IF($B415="","",SUMIFS('Web Feed'!$O$2:$O$3015,'Web Feed'!$B$2:$B$3015,Points!$A$4,'Web Feed'!$F$2:$F$3015,$B415)+SUMIFS('Web Feed'!$O$2:$O$3015,'Web Feed'!$B$2:$B$3015,Points!$A$4,'Web Feed'!$G$2:$G$3015,$B415)+SUMIFS('Web Feed'!$O$2:$O$3015,'Web Feed'!$B$2:$B$3015,Points!$A$4,'Web Feed'!$H$2:$H$3015,$B415)+SUMIFS('Web Feed'!$O$2:$O$3015,'Web Feed'!$B$2:$B$3015,Points!$A$4,'Web Feed'!$I$2:$I$3015,$B415))</f>
        <v/>
      </c>
      <c r="G415">
        <f>IF($B415="","",SUMIFS('Web Feed'!$O$2:$O$3015,'Web Feed'!$B$2:$B$3015,Points!$A$5,'Web Feed'!$F$2:$F$3015,$B415)+SUMIFS('Web Feed'!$O$2:$O$3015,'Web Feed'!$B$2:$B$3015,Points!$A$5,'Web Feed'!$G$2:$G$3015,$B415)+SUMIFS('Web Feed'!$O$2:$O$3015,'Web Feed'!$B$2:$B$3015,Points!$A$5,'Web Feed'!$H$2:$H$3015,$B415)+SUMIFS('Web Feed'!$O$2:$O$3015,'Web Feed'!$B$2:$B$3015,Points!$A$5,'Web Feed'!$I$2:$I$3015,$B415))</f>
        <v/>
      </c>
      <c r="H415">
        <f>IF($B415="","",SUMIFS('Web Feed'!$O$2:$O$3015,'Web Feed'!$B$2:$B$3015,Points!$A$6,'Web Feed'!$F$2:$F$3015,$B415)+SUMIFS('Web Feed'!$O$2:$O$3015,'Web Feed'!$B$2:$B$3015,Points!$A$6,'Web Feed'!$G$2:$G$3015,$B415)+SUMIFS('Web Feed'!$O$2:$O$3015,'Web Feed'!$B$2:$B$3015,Points!$A$6,'Web Feed'!$H$2:$H$3015,$B415)+SUMIFS('Web Feed'!$O$2:$O$3015,'Web Feed'!$B$2:$B$3015,Points!$A$6,'Web Feed'!$I$2:$I$3015,$B415))</f>
        <v/>
      </c>
      <c r="I415">
        <f>IF($B415="","",COUNTIFS('Web Feed'!$B$2:$B$3015,"OHW",'Web Feed'!$F$2:$F$3015,$B415))</f>
        <v/>
      </c>
      <c r="J415">
        <f>IF($B415="","",IFERROR(INDEX('Last Week'!$A$2:$A$301,MATCH($B415,'Last Week'!$B$2:$B$301,0)),""))</f>
        <v/>
      </c>
      <c r="K415">
        <f>IF(OR($B415="",$J415=""),"",$J415-$A415)</f>
        <v/>
      </c>
    </row>
    <row r="416">
      <c r="A416">
        <f>IF($B416="","",RANK($C416,$C$2:$C$500))</f>
        <v/>
      </c>
      <c r="B416">
        <f>IF(Players!$A416="","",Players!$A416)</f>
        <v/>
      </c>
      <c r="C416" s="5">
        <f>IF($B416="","",SUM(D416:H416))</f>
        <v/>
      </c>
      <c r="D416">
        <f>IF($B416="","",SUMIFS('Web Feed'!$O$2:$O$3015,'Web Feed'!$B$2:$B$3015,Points!$A$2,'Web Feed'!$F$2:$F$3015,$B416)+SUMIFS('Web Feed'!$O$2:$O$3015,'Web Feed'!$B$2:$B$3015,Points!$A$2,'Web Feed'!$G$2:$G$3015,$B416)+SUMIFS('Web Feed'!$O$2:$O$3015,'Web Feed'!$B$2:$B$3015,Points!$A$2,'Web Feed'!$H$2:$H$3015,$B416)+SUMIFS('Web Feed'!$O$2:$O$3015,'Web Feed'!$B$2:$B$3015,Points!$A$2,'Web Feed'!$I$2:$I$3015,$B416))</f>
        <v/>
      </c>
      <c r="E416">
        <f>IF($B416="","",SUMIFS('Web Feed'!$O$2:$O$3015,'Web Feed'!$B$2:$B$3015,Points!$A$3,'Web Feed'!$F$2:$F$3015,$B416)+SUMIFS('Web Feed'!$O$2:$O$3015,'Web Feed'!$B$2:$B$3015,Points!$A$3,'Web Feed'!$G$2:$G$3015,$B416)+SUMIFS('Web Feed'!$O$2:$O$3015,'Web Feed'!$B$2:$B$3015,Points!$A$3,'Web Feed'!$H$2:$H$3015,$B416)+SUMIFS('Web Feed'!$O$2:$O$3015,'Web Feed'!$B$2:$B$3015,Points!$A$3,'Web Feed'!$I$2:$I$3015,$B416))</f>
        <v/>
      </c>
      <c r="F416">
        <f>IF($B416="","",SUMIFS('Web Feed'!$O$2:$O$3015,'Web Feed'!$B$2:$B$3015,Points!$A$4,'Web Feed'!$F$2:$F$3015,$B416)+SUMIFS('Web Feed'!$O$2:$O$3015,'Web Feed'!$B$2:$B$3015,Points!$A$4,'Web Feed'!$G$2:$G$3015,$B416)+SUMIFS('Web Feed'!$O$2:$O$3015,'Web Feed'!$B$2:$B$3015,Points!$A$4,'Web Feed'!$H$2:$H$3015,$B416)+SUMIFS('Web Feed'!$O$2:$O$3015,'Web Feed'!$B$2:$B$3015,Points!$A$4,'Web Feed'!$I$2:$I$3015,$B416))</f>
        <v/>
      </c>
      <c r="G416">
        <f>IF($B416="","",SUMIFS('Web Feed'!$O$2:$O$3015,'Web Feed'!$B$2:$B$3015,Points!$A$5,'Web Feed'!$F$2:$F$3015,$B416)+SUMIFS('Web Feed'!$O$2:$O$3015,'Web Feed'!$B$2:$B$3015,Points!$A$5,'Web Feed'!$G$2:$G$3015,$B416)+SUMIFS('Web Feed'!$O$2:$O$3015,'Web Feed'!$B$2:$B$3015,Points!$A$5,'Web Feed'!$H$2:$H$3015,$B416)+SUMIFS('Web Feed'!$O$2:$O$3015,'Web Feed'!$B$2:$B$3015,Points!$A$5,'Web Feed'!$I$2:$I$3015,$B416))</f>
        <v/>
      </c>
      <c r="H416">
        <f>IF($B416="","",SUMIFS('Web Feed'!$O$2:$O$3015,'Web Feed'!$B$2:$B$3015,Points!$A$6,'Web Feed'!$F$2:$F$3015,$B416)+SUMIFS('Web Feed'!$O$2:$O$3015,'Web Feed'!$B$2:$B$3015,Points!$A$6,'Web Feed'!$G$2:$G$3015,$B416)+SUMIFS('Web Feed'!$O$2:$O$3015,'Web Feed'!$B$2:$B$3015,Points!$A$6,'Web Feed'!$H$2:$H$3015,$B416)+SUMIFS('Web Feed'!$O$2:$O$3015,'Web Feed'!$B$2:$B$3015,Points!$A$6,'Web Feed'!$I$2:$I$3015,$B416))</f>
        <v/>
      </c>
      <c r="I416">
        <f>IF($B416="","",COUNTIFS('Web Feed'!$B$2:$B$3015,"OHW",'Web Feed'!$F$2:$F$3015,$B416))</f>
        <v/>
      </c>
      <c r="J416">
        <f>IF($B416="","",IFERROR(INDEX('Last Week'!$A$2:$A$301,MATCH($B416,'Last Week'!$B$2:$B$301,0)),""))</f>
        <v/>
      </c>
      <c r="K416">
        <f>IF(OR($B416="",$J416=""),"",$J416-$A416)</f>
        <v/>
      </c>
    </row>
    <row r="417">
      <c r="A417">
        <f>IF($B417="","",RANK($C417,$C$2:$C$500))</f>
        <v/>
      </c>
      <c r="B417">
        <f>IF(Players!$A417="","",Players!$A417)</f>
        <v/>
      </c>
      <c r="C417" s="5">
        <f>IF($B417="","",SUM(D417:H417))</f>
        <v/>
      </c>
      <c r="D417">
        <f>IF($B417="","",SUMIFS('Web Feed'!$O$2:$O$3015,'Web Feed'!$B$2:$B$3015,Points!$A$2,'Web Feed'!$F$2:$F$3015,$B417)+SUMIFS('Web Feed'!$O$2:$O$3015,'Web Feed'!$B$2:$B$3015,Points!$A$2,'Web Feed'!$G$2:$G$3015,$B417)+SUMIFS('Web Feed'!$O$2:$O$3015,'Web Feed'!$B$2:$B$3015,Points!$A$2,'Web Feed'!$H$2:$H$3015,$B417)+SUMIFS('Web Feed'!$O$2:$O$3015,'Web Feed'!$B$2:$B$3015,Points!$A$2,'Web Feed'!$I$2:$I$3015,$B417))</f>
        <v/>
      </c>
      <c r="E417">
        <f>IF($B417="","",SUMIFS('Web Feed'!$O$2:$O$3015,'Web Feed'!$B$2:$B$3015,Points!$A$3,'Web Feed'!$F$2:$F$3015,$B417)+SUMIFS('Web Feed'!$O$2:$O$3015,'Web Feed'!$B$2:$B$3015,Points!$A$3,'Web Feed'!$G$2:$G$3015,$B417)+SUMIFS('Web Feed'!$O$2:$O$3015,'Web Feed'!$B$2:$B$3015,Points!$A$3,'Web Feed'!$H$2:$H$3015,$B417)+SUMIFS('Web Feed'!$O$2:$O$3015,'Web Feed'!$B$2:$B$3015,Points!$A$3,'Web Feed'!$I$2:$I$3015,$B417))</f>
        <v/>
      </c>
      <c r="F417">
        <f>IF($B417="","",SUMIFS('Web Feed'!$O$2:$O$3015,'Web Feed'!$B$2:$B$3015,Points!$A$4,'Web Feed'!$F$2:$F$3015,$B417)+SUMIFS('Web Feed'!$O$2:$O$3015,'Web Feed'!$B$2:$B$3015,Points!$A$4,'Web Feed'!$G$2:$G$3015,$B417)+SUMIFS('Web Feed'!$O$2:$O$3015,'Web Feed'!$B$2:$B$3015,Points!$A$4,'Web Feed'!$H$2:$H$3015,$B417)+SUMIFS('Web Feed'!$O$2:$O$3015,'Web Feed'!$B$2:$B$3015,Points!$A$4,'Web Feed'!$I$2:$I$3015,$B417))</f>
        <v/>
      </c>
      <c r="G417">
        <f>IF($B417="","",SUMIFS('Web Feed'!$O$2:$O$3015,'Web Feed'!$B$2:$B$3015,Points!$A$5,'Web Feed'!$F$2:$F$3015,$B417)+SUMIFS('Web Feed'!$O$2:$O$3015,'Web Feed'!$B$2:$B$3015,Points!$A$5,'Web Feed'!$G$2:$G$3015,$B417)+SUMIFS('Web Feed'!$O$2:$O$3015,'Web Feed'!$B$2:$B$3015,Points!$A$5,'Web Feed'!$H$2:$H$3015,$B417)+SUMIFS('Web Feed'!$O$2:$O$3015,'Web Feed'!$B$2:$B$3015,Points!$A$5,'Web Feed'!$I$2:$I$3015,$B417))</f>
        <v/>
      </c>
      <c r="H417">
        <f>IF($B417="","",SUMIFS('Web Feed'!$O$2:$O$3015,'Web Feed'!$B$2:$B$3015,Points!$A$6,'Web Feed'!$F$2:$F$3015,$B417)+SUMIFS('Web Feed'!$O$2:$O$3015,'Web Feed'!$B$2:$B$3015,Points!$A$6,'Web Feed'!$G$2:$G$3015,$B417)+SUMIFS('Web Feed'!$O$2:$O$3015,'Web Feed'!$B$2:$B$3015,Points!$A$6,'Web Feed'!$H$2:$H$3015,$B417)+SUMIFS('Web Feed'!$O$2:$O$3015,'Web Feed'!$B$2:$B$3015,Points!$A$6,'Web Feed'!$I$2:$I$3015,$B417))</f>
        <v/>
      </c>
      <c r="I417">
        <f>IF($B417="","",COUNTIFS('Web Feed'!$B$2:$B$3015,"OHW",'Web Feed'!$F$2:$F$3015,$B417))</f>
        <v/>
      </c>
      <c r="J417">
        <f>IF($B417="","",IFERROR(INDEX('Last Week'!$A$2:$A$301,MATCH($B417,'Last Week'!$B$2:$B$301,0)),""))</f>
        <v/>
      </c>
      <c r="K417">
        <f>IF(OR($B417="",$J417=""),"",$J417-$A417)</f>
        <v/>
      </c>
    </row>
    <row r="418">
      <c r="A418">
        <f>IF($B418="","",RANK($C418,$C$2:$C$500))</f>
        <v/>
      </c>
      <c r="B418">
        <f>IF(Players!$A418="","",Players!$A418)</f>
        <v/>
      </c>
      <c r="C418" s="5">
        <f>IF($B418="","",SUM(D418:H418))</f>
        <v/>
      </c>
      <c r="D418">
        <f>IF($B418="","",SUMIFS('Web Feed'!$O$2:$O$3015,'Web Feed'!$B$2:$B$3015,Points!$A$2,'Web Feed'!$F$2:$F$3015,$B418)+SUMIFS('Web Feed'!$O$2:$O$3015,'Web Feed'!$B$2:$B$3015,Points!$A$2,'Web Feed'!$G$2:$G$3015,$B418)+SUMIFS('Web Feed'!$O$2:$O$3015,'Web Feed'!$B$2:$B$3015,Points!$A$2,'Web Feed'!$H$2:$H$3015,$B418)+SUMIFS('Web Feed'!$O$2:$O$3015,'Web Feed'!$B$2:$B$3015,Points!$A$2,'Web Feed'!$I$2:$I$3015,$B418))</f>
        <v/>
      </c>
      <c r="E418">
        <f>IF($B418="","",SUMIFS('Web Feed'!$O$2:$O$3015,'Web Feed'!$B$2:$B$3015,Points!$A$3,'Web Feed'!$F$2:$F$3015,$B418)+SUMIFS('Web Feed'!$O$2:$O$3015,'Web Feed'!$B$2:$B$3015,Points!$A$3,'Web Feed'!$G$2:$G$3015,$B418)+SUMIFS('Web Feed'!$O$2:$O$3015,'Web Feed'!$B$2:$B$3015,Points!$A$3,'Web Feed'!$H$2:$H$3015,$B418)+SUMIFS('Web Feed'!$O$2:$O$3015,'Web Feed'!$B$2:$B$3015,Points!$A$3,'Web Feed'!$I$2:$I$3015,$B418))</f>
        <v/>
      </c>
      <c r="F418">
        <f>IF($B418="","",SUMIFS('Web Feed'!$O$2:$O$3015,'Web Feed'!$B$2:$B$3015,Points!$A$4,'Web Feed'!$F$2:$F$3015,$B418)+SUMIFS('Web Feed'!$O$2:$O$3015,'Web Feed'!$B$2:$B$3015,Points!$A$4,'Web Feed'!$G$2:$G$3015,$B418)+SUMIFS('Web Feed'!$O$2:$O$3015,'Web Feed'!$B$2:$B$3015,Points!$A$4,'Web Feed'!$H$2:$H$3015,$B418)+SUMIFS('Web Feed'!$O$2:$O$3015,'Web Feed'!$B$2:$B$3015,Points!$A$4,'Web Feed'!$I$2:$I$3015,$B418))</f>
        <v/>
      </c>
      <c r="G418">
        <f>IF($B418="","",SUMIFS('Web Feed'!$O$2:$O$3015,'Web Feed'!$B$2:$B$3015,Points!$A$5,'Web Feed'!$F$2:$F$3015,$B418)+SUMIFS('Web Feed'!$O$2:$O$3015,'Web Feed'!$B$2:$B$3015,Points!$A$5,'Web Feed'!$G$2:$G$3015,$B418)+SUMIFS('Web Feed'!$O$2:$O$3015,'Web Feed'!$B$2:$B$3015,Points!$A$5,'Web Feed'!$H$2:$H$3015,$B418)+SUMIFS('Web Feed'!$O$2:$O$3015,'Web Feed'!$B$2:$B$3015,Points!$A$5,'Web Feed'!$I$2:$I$3015,$B418))</f>
        <v/>
      </c>
      <c r="H418">
        <f>IF($B418="","",SUMIFS('Web Feed'!$O$2:$O$3015,'Web Feed'!$B$2:$B$3015,Points!$A$6,'Web Feed'!$F$2:$F$3015,$B418)+SUMIFS('Web Feed'!$O$2:$O$3015,'Web Feed'!$B$2:$B$3015,Points!$A$6,'Web Feed'!$G$2:$G$3015,$B418)+SUMIFS('Web Feed'!$O$2:$O$3015,'Web Feed'!$B$2:$B$3015,Points!$A$6,'Web Feed'!$H$2:$H$3015,$B418)+SUMIFS('Web Feed'!$O$2:$O$3015,'Web Feed'!$B$2:$B$3015,Points!$A$6,'Web Feed'!$I$2:$I$3015,$B418))</f>
        <v/>
      </c>
      <c r="I418">
        <f>IF($B418="","",COUNTIFS('Web Feed'!$B$2:$B$3015,"OHW",'Web Feed'!$F$2:$F$3015,$B418))</f>
        <v/>
      </c>
      <c r="J418">
        <f>IF($B418="","",IFERROR(INDEX('Last Week'!$A$2:$A$301,MATCH($B418,'Last Week'!$B$2:$B$301,0)),""))</f>
        <v/>
      </c>
      <c r="K418">
        <f>IF(OR($B418="",$J418=""),"",$J418-$A418)</f>
        <v/>
      </c>
    </row>
    <row r="419">
      <c r="A419">
        <f>IF($B419="","",RANK($C419,$C$2:$C$500))</f>
        <v/>
      </c>
      <c r="B419">
        <f>IF(Players!$A419="","",Players!$A419)</f>
        <v/>
      </c>
      <c r="C419" s="5">
        <f>IF($B419="","",SUM(D419:H419))</f>
        <v/>
      </c>
      <c r="D419">
        <f>IF($B419="","",SUMIFS('Web Feed'!$O$2:$O$3015,'Web Feed'!$B$2:$B$3015,Points!$A$2,'Web Feed'!$F$2:$F$3015,$B419)+SUMIFS('Web Feed'!$O$2:$O$3015,'Web Feed'!$B$2:$B$3015,Points!$A$2,'Web Feed'!$G$2:$G$3015,$B419)+SUMIFS('Web Feed'!$O$2:$O$3015,'Web Feed'!$B$2:$B$3015,Points!$A$2,'Web Feed'!$H$2:$H$3015,$B419)+SUMIFS('Web Feed'!$O$2:$O$3015,'Web Feed'!$B$2:$B$3015,Points!$A$2,'Web Feed'!$I$2:$I$3015,$B419))</f>
        <v/>
      </c>
      <c r="E419">
        <f>IF($B419="","",SUMIFS('Web Feed'!$O$2:$O$3015,'Web Feed'!$B$2:$B$3015,Points!$A$3,'Web Feed'!$F$2:$F$3015,$B419)+SUMIFS('Web Feed'!$O$2:$O$3015,'Web Feed'!$B$2:$B$3015,Points!$A$3,'Web Feed'!$G$2:$G$3015,$B419)+SUMIFS('Web Feed'!$O$2:$O$3015,'Web Feed'!$B$2:$B$3015,Points!$A$3,'Web Feed'!$H$2:$H$3015,$B419)+SUMIFS('Web Feed'!$O$2:$O$3015,'Web Feed'!$B$2:$B$3015,Points!$A$3,'Web Feed'!$I$2:$I$3015,$B419))</f>
        <v/>
      </c>
      <c r="F419">
        <f>IF($B419="","",SUMIFS('Web Feed'!$O$2:$O$3015,'Web Feed'!$B$2:$B$3015,Points!$A$4,'Web Feed'!$F$2:$F$3015,$B419)+SUMIFS('Web Feed'!$O$2:$O$3015,'Web Feed'!$B$2:$B$3015,Points!$A$4,'Web Feed'!$G$2:$G$3015,$B419)+SUMIFS('Web Feed'!$O$2:$O$3015,'Web Feed'!$B$2:$B$3015,Points!$A$4,'Web Feed'!$H$2:$H$3015,$B419)+SUMIFS('Web Feed'!$O$2:$O$3015,'Web Feed'!$B$2:$B$3015,Points!$A$4,'Web Feed'!$I$2:$I$3015,$B419))</f>
        <v/>
      </c>
      <c r="G419">
        <f>IF($B419="","",SUMIFS('Web Feed'!$O$2:$O$3015,'Web Feed'!$B$2:$B$3015,Points!$A$5,'Web Feed'!$F$2:$F$3015,$B419)+SUMIFS('Web Feed'!$O$2:$O$3015,'Web Feed'!$B$2:$B$3015,Points!$A$5,'Web Feed'!$G$2:$G$3015,$B419)+SUMIFS('Web Feed'!$O$2:$O$3015,'Web Feed'!$B$2:$B$3015,Points!$A$5,'Web Feed'!$H$2:$H$3015,$B419)+SUMIFS('Web Feed'!$O$2:$O$3015,'Web Feed'!$B$2:$B$3015,Points!$A$5,'Web Feed'!$I$2:$I$3015,$B419))</f>
        <v/>
      </c>
      <c r="H419">
        <f>IF($B419="","",SUMIFS('Web Feed'!$O$2:$O$3015,'Web Feed'!$B$2:$B$3015,Points!$A$6,'Web Feed'!$F$2:$F$3015,$B419)+SUMIFS('Web Feed'!$O$2:$O$3015,'Web Feed'!$B$2:$B$3015,Points!$A$6,'Web Feed'!$G$2:$G$3015,$B419)+SUMIFS('Web Feed'!$O$2:$O$3015,'Web Feed'!$B$2:$B$3015,Points!$A$6,'Web Feed'!$H$2:$H$3015,$B419)+SUMIFS('Web Feed'!$O$2:$O$3015,'Web Feed'!$B$2:$B$3015,Points!$A$6,'Web Feed'!$I$2:$I$3015,$B419))</f>
        <v/>
      </c>
      <c r="I419">
        <f>IF($B419="","",COUNTIFS('Web Feed'!$B$2:$B$3015,"OHW",'Web Feed'!$F$2:$F$3015,$B419))</f>
        <v/>
      </c>
      <c r="J419">
        <f>IF($B419="","",IFERROR(INDEX('Last Week'!$A$2:$A$301,MATCH($B419,'Last Week'!$B$2:$B$301,0)),""))</f>
        <v/>
      </c>
      <c r="K419">
        <f>IF(OR($B419="",$J419=""),"",$J419-$A419)</f>
        <v/>
      </c>
    </row>
    <row r="420">
      <c r="A420">
        <f>IF($B420="","",RANK($C420,$C$2:$C$500))</f>
        <v/>
      </c>
      <c r="B420">
        <f>IF(Players!$A420="","",Players!$A420)</f>
        <v/>
      </c>
      <c r="C420" s="5">
        <f>IF($B420="","",SUM(D420:H420))</f>
        <v/>
      </c>
      <c r="D420">
        <f>IF($B420="","",SUMIFS('Web Feed'!$O$2:$O$3015,'Web Feed'!$B$2:$B$3015,Points!$A$2,'Web Feed'!$F$2:$F$3015,$B420)+SUMIFS('Web Feed'!$O$2:$O$3015,'Web Feed'!$B$2:$B$3015,Points!$A$2,'Web Feed'!$G$2:$G$3015,$B420)+SUMIFS('Web Feed'!$O$2:$O$3015,'Web Feed'!$B$2:$B$3015,Points!$A$2,'Web Feed'!$H$2:$H$3015,$B420)+SUMIFS('Web Feed'!$O$2:$O$3015,'Web Feed'!$B$2:$B$3015,Points!$A$2,'Web Feed'!$I$2:$I$3015,$B420))</f>
        <v/>
      </c>
      <c r="E420">
        <f>IF($B420="","",SUMIFS('Web Feed'!$O$2:$O$3015,'Web Feed'!$B$2:$B$3015,Points!$A$3,'Web Feed'!$F$2:$F$3015,$B420)+SUMIFS('Web Feed'!$O$2:$O$3015,'Web Feed'!$B$2:$B$3015,Points!$A$3,'Web Feed'!$G$2:$G$3015,$B420)+SUMIFS('Web Feed'!$O$2:$O$3015,'Web Feed'!$B$2:$B$3015,Points!$A$3,'Web Feed'!$H$2:$H$3015,$B420)+SUMIFS('Web Feed'!$O$2:$O$3015,'Web Feed'!$B$2:$B$3015,Points!$A$3,'Web Feed'!$I$2:$I$3015,$B420))</f>
        <v/>
      </c>
      <c r="F420">
        <f>IF($B420="","",SUMIFS('Web Feed'!$O$2:$O$3015,'Web Feed'!$B$2:$B$3015,Points!$A$4,'Web Feed'!$F$2:$F$3015,$B420)+SUMIFS('Web Feed'!$O$2:$O$3015,'Web Feed'!$B$2:$B$3015,Points!$A$4,'Web Feed'!$G$2:$G$3015,$B420)+SUMIFS('Web Feed'!$O$2:$O$3015,'Web Feed'!$B$2:$B$3015,Points!$A$4,'Web Feed'!$H$2:$H$3015,$B420)+SUMIFS('Web Feed'!$O$2:$O$3015,'Web Feed'!$B$2:$B$3015,Points!$A$4,'Web Feed'!$I$2:$I$3015,$B420))</f>
        <v/>
      </c>
      <c r="G420">
        <f>IF($B420="","",SUMIFS('Web Feed'!$O$2:$O$3015,'Web Feed'!$B$2:$B$3015,Points!$A$5,'Web Feed'!$F$2:$F$3015,$B420)+SUMIFS('Web Feed'!$O$2:$O$3015,'Web Feed'!$B$2:$B$3015,Points!$A$5,'Web Feed'!$G$2:$G$3015,$B420)+SUMIFS('Web Feed'!$O$2:$O$3015,'Web Feed'!$B$2:$B$3015,Points!$A$5,'Web Feed'!$H$2:$H$3015,$B420)+SUMIFS('Web Feed'!$O$2:$O$3015,'Web Feed'!$B$2:$B$3015,Points!$A$5,'Web Feed'!$I$2:$I$3015,$B420))</f>
        <v/>
      </c>
      <c r="H420">
        <f>IF($B420="","",SUMIFS('Web Feed'!$O$2:$O$3015,'Web Feed'!$B$2:$B$3015,Points!$A$6,'Web Feed'!$F$2:$F$3015,$B420)+SUMIFS('Web Feed'!$O$2:$O$3015,'Web Feed'!$B$2:$B$3015,Points!$A$6,'Web Feed'!$G$2:$G$3015,$B420)+SUMIFS('Web Feed'!$O$2:$O$3015,'Web Feed'!$B$2:$B$3015,Points!$A$6,'Web Feed'!$H$2:$H$3015,$B420)+SUMIFS('Web Feed'!$O$2:$O$3015,'Web Feed'!$B$2:$B$3015,Points!$A$6,'Web Feed'!$I$2:$I$3015,$B420))</f>
        <v/>
      </c>
      <c r="I420">
        <f>IF($B420="","",COUNTIFS('Web Feed'!$B$2:$B$3015,"OHW",'Web Feed'!$F$2:$F$3015,$B420))</f>
        <v/>
      </c>
      <c r="J420">
        <f>IF($B420="","",IFERROR(INDEX('Last Week'!$A$2:$A$301,MATCH($B420,'Last Week'!$B$2:$B$301,0)),""))</f>
        <v/>
      </c>
      <c r="K420">
        <f>IF(OR($B420="",$J420=""),"",$J420-$A420)</f>
        <v/>
      </c>
    </row>
    <row r="421">
      <c r="A421">
        <f>IF($B421="","",RANK($C421,$C$2:$C$500))</f>
        <v/>
      </c>
      <c r="B421">
        <f>IF(Players!$A421="","",Players!$A421)</f>
        <v/>
      </c>
      <c r="C421" s="5">
        <f>IF($B421="","",SUM(D421:H421))</f>
        <v/>
      </c>
      <c r="D421">
        <f>IF($B421="","",SUMIFS('Web Feed'!$O$2:$O$3015,'Web Feed'!$B$2:$B$3015,Points!$A$2,'Web Feed'!$F$2:$F$3015,$B421)+SUMIFS('Web Feed'!$O$2:$O$3015,'Web Feed'!$B$2:$B$3015,Points!$A$2,'Web Feed'!$G$2:$G$3015,$B421)+SUMIFS('Web Feed'!$O$2:$O$3015,'Web Feed'!$B$2:$B$3015,Points!$A$2,'Web Feed'!$H$2:$H$3015,$B421)+SUMIFS('Web Feed'!$O$2:$O$3015,'Web Feed'!$B$2:$B$3015,Points!$A$2,'Web Feed'!$I$2:$I$3015,$B421))</f>
        <v/>
      </c>
      <c r="E421">
        <f>IF($B421="","",SUMIFS('Web Feed'!$O$2:$O$3015,'Web Feed'!$B$2:$B$3015,Points!$A$3,'Web Feed'!$F$2:$F$3015,$B421)+SUMIFS('Web Feed'!$O$2:$O$3015,'Web Feed'!$B$2:$B$3015,Points!$A$3,'Web Feed'!$G$2:$G$3015,$B421)+SUMIFS('Web Feed'!$O$2:$O$3015,'Web Feed'!$B$2:$B$3015,Points!$A$3,'Web Feed'!$H$2:$H$3015,$B421)+SUMIFS('Web Feed'!$O$2:$O$3015,'Web Feed'!$B$2:$B$3015,Points!$A$3,'Web Feed'!$I$2:$I$3015,$B421))</f>
        <v/>
      </c>
      <c r="F421">
        <f>IF($B421="","",SUMIFS('Web Feed'!$O$2:$O$3015,'Web Feed'!$B$2:$B$3015,Points!$A$4,'Web Feed'!$F$2:$F$3015,$B421)+SUMIFS('Web Feed'!$O$2:$O$3015,'Web Feed'!$B$2:$B$3015,Points!$A$4,'Web Feed'!$G$2:$G$3015,$B421)+SUMIFS('Web Feed'!$O$2:$O$3015,'Web Feed'!$B$2:$B$3015,Points!$A$4,'Web Feed'!$H$2:$H$3015,$B421)+SUMIFS('Web Feed'!$O$2:$O$3015,'Web Feed'!$B$2:$B$3015,Points!$A$4,'Web Feed'!$I$2:$I$3015,$B421))</f>
        <v/>
      </c>
      <c r="G421">
        <f>IF($B421="","",SUMIFS('Web Feed'!$O$2:$O$3015,'Web Feed'!$B$2:$B$3015,Points!$A$5,'Web Feed'!$F$2:$F$3015,$B421)+SUMIFS('Web Feed'!$O$2:$O$3015,'Web Feed'!$B$2:$B$3015,Points!$A$5,'Web Feed'!$G$2:$G$3015,$B421)+SUMIFS('Web Feed'!$O$2:$O$3015,'Web Feed'!$B$2:$B$3015,Points!$A$5,'Web Feed'!$H$2:$H$3015,$B421)+SUMIFS('Web Feed'!$O$2:$O$3015,'Web Feed'!$B$2:$B$3015,Points!$A$5,'Web Feed'!$I$2:$I$3015,$B421))</f>
        <v/>
      </c>
      <c r="H421">
        <f>IF($B421="","",SUMIFS('Web Feed'!$O$2:$O$3015,'Web Feed'!$B$2:$B$3015,Points!$A$6,'Web Feed'!$F$2:$F$3015,$B421)+SUMIFS('Web Feed'!$O$2:$O$3015,'Web Feed'!$B$2:$B$3015,Points!$A$6,'Web Feed'!$G$2:$G$3015,$B421)+SUMIFS('Web Feed'!$O$2:$O$3015,'Web Feed'!$B$2:$B$3015,Points!$A$6,'Web Feed'!$H$2:$H$3015,$B421)+SUMIFS('Web Feed'!$O$2:$O$3015,'Web Feed'!$B$2:$B$3015,Points!$A$6,'Web Feed'!$I$2:$I$3015,$B421))</f>
        <v/>
      </c>
      <c r="I421">
        <f>IF($B421="","",COUNTIFS('Web Feed'!$B$2:$B$3015,"OHW",'Web Feed'!$F$2:$F$3015,$B421))</f>
        <v/>
      </c>
      <c r="J421">
        <f>IF($B421="","",IFERROR(INDEX('Last Week'!$A$2:$A$301,MATCH($B421,'Last Week'!$B$2:$B$301,0)),""))</f>
        <v/>
      </c>
      <c r="K421">
        <f>IF(OR($B421="",$J421=""),"",$J421-$A421)</f>
        <v/>
      </c>
    </row>
    <row r="422">
      <c r="A422">
        <f>IF($B422="","",RANK($C422,$C$2:$C$500))</f>
        <v/>
      </c>
      <c r="B422">
        <f>IF(Players!$A422="","",Players!$A422)</f>
        <v/>
      </c>
      <c r="C422" s="5">
        <f>IF($B422="","",SUM(D422:H422))</f>
        <v/>
      </c>
      <c r="D422">
        <f>IF($B422="","",SUMIFS('Web Feed'!$O$2:$O$3015,'Web Feed'!$B$2:$B$3015,Points!$A$2,'Web Feed'!$F$2:$F$3015,$B422)+SUMIFS('Web Feed'!$O$2:$O$3015,'Web Feed'!$B$2:$B$3015,Points!$A$2,'Web Feed'!$G$2:$G$3015,$B422)+SUMIFS('Web Feed'!$O$2:$O$3015,'Web Feed'!$B$2:$B$3015,Points!$A$2,'Web Feed'!$H$2:$H$3015,$B422)+SUMIFS('Web Feed'!$O$2:$O$3015,'Web Feed'!$B$2:$B$3015,Points!$A$2,'Web Feed'!$I$2:$I$3015,$B422))</f>
        <v/>
      </c>
      <c r="E422">
        <f>IF($B422="","",SUMIFS('Web Feed'!$O$2:$O$3015,'Web Feed'!$B$2:$B$3015,Points!$A$3,'Web Feed'!$F$2:$F$3015,$B422)+SUMIFS('Web Feed'!$O$2:$O$3015,'Web Feed'!$B$2:$B$3015,Points!$A$3,'Web Feed'!$G$2:$G$3015,$B422)+SUMIFS('Web Feed'!$O$2:$O$3015,'Web Feed'!$B$2:$B$3015,Points!$A$3,'Web Feed'!$H$2:$H$3015,$B422)+SUMIFS('Web Feed'!$O$2:$O$3015,'Web Feed'!$B$2:$B$3015,Points!$A$3,'Web Feed'!$I$2:$I$3015,$B422))</f>
        <v/>
      </c>
      <c r="F422">
        <f>IF($B422="","",SUMIFS('Web Feed'!$O$2:$O$3015,'Web Feed'!$B$2:$B$3015,Points!$A$4,'Web Feed'!$F$2:$F$3015,$B422)+SUMIFS('Web Feed'!$O$2:$O$3015,'Web Feed'!$B$2:$B$3015,Points!$A$4,'Web Feed'!$G$2:$G$3015,$B422)+SUMIFS('Web Feed'!$O$2:$O$3015,'Web Feed'!$B$2:$B$3015,Points!$A$4,'Web Feed'!$H$2:$H$3015,$B422)+SUMIFS('Web Feed'!$O$2:$O$3015,'Web Feed'!$B$2:$B$3015,Points!$A$4,'Web Feed'!$I$2:$I$3015,$B422))</f>
        <v/>
      </c>
      <c r="G422">
        <f>IF($B422="","",SUMIFS('Web Feed'!$O$2:$O$3015,'Web Feed'!$B$2:$B$3015,Points!$A$5,'Web Feed'!$F$2:$F$3015,$B422)+SUMIFS('Web Feed'!$O$2:$O$3015,'Web Feed'!$B$2:$B$3015,Points!$A$5,'Web Feed'!$G$2:$G$3015,$B422)+SUMIFS('Web Feed'!$O$2:$O$3015,'Web Feed'!$B$2:$B$3015,Points!$A$5,'Web Feed'!$H$2:$H$3015,$B422)+SUMIFS('Web Feed'!$O$2:$O$3015,'Web Feed'!$B$2:$B$3015,Points!$A$5,'Web Feed'!$I$2:$I$3015,$B422))</f>
        <v/>
      </c>
      <c r="H422">
        <f>IF($B422="","",SUMIFS('Web Feed'!$O$2:$O$3015,'Web Feed'!$B$2:$B$3015,Points!$A$6,'Web Feed'!$F$2:$F$3015,$B422)+SUMIFS('Web Feed'!$O$2:$O$3015,'Web Feed'!$B$2:$B$3015,Points!$A$6,'Web Feed'!$G$2:$G$3015,$B422)+SUMIFS('Web Feed'!$O$2:$O$3015,'Web Feed'!$B$2:$B$3015,Points!$A$6,'Web Feed'!$H$2:$H$3015,$B422)+SUMIFS('Web Feed'!$O$2:$O$3015,'Web Feed'!$B$2:$B$3015,Points!$A$6,'Web Feed'!$I$2:$I$3015,$B422))</f>
        <v/>
      </c>
      <c r="I422">
        <f>IF($B422="","",COUNTIFS('Web Feed'!$B$2:$B$3015,"OHW",'Web Feed'!$F$2:$F$3015,$B422))</f>
        <v/>
      </c>
      <c r="J422">
        <f>IF($B422="","",IFERROR(INDEX('Last Week'!$A$2:$A$301,MATCH($B422,'Last Week'!$B$2:$B$301,0)),""))</f>
        <v/>
      </c>
      <c r="K422">
        <f>IF(OR($B422="",$J422=""),"",$J422-$A422)</f>
        <v/>
      </c>
    </row>
    <row r="423">
      <c r="A423">
        <f>IF($B423="","",RANK($C423,$C$2:$C$500))</f>
        <v/>
      </c>
      <c r="B423">
        <f>IF(Players!$A423="","",Players!$A423)</f>
        <v/>
      </c>
      <c r="C423" s="5">
        <f>IF($B423="","",SUM(D423:H423))</f>
        <v/>
      </c>
      <c r="D423">
        <f>IF($B423="","",SUMIFS('Web Feed'!$O$2:$O$3015,'Web Feed'!$B$2:$B$3015,Points!$A$2,'Web Feed'!$F$2:$F$3015,$B423)+SUMIFS('Web Feed'!$O$2:$O$3015,'Web Feed'!$B$2:$B$3015,Points!$A$2,'Web Feed'!$G$2:$G$3015,$B423)+SUMIFS('Web Feed'!$O$2:$O$3015,'Web Feed'!$B$2:$B$3015,Points!$A$2,'Web Feed'!$H$2:$H$3015,$B423)+SUMIFS('Web Feed'!$O$2:$O$3015,'Web Feed'!$B$2:$B$3015,Points!$A$2,'Web Feed'!$I$2:$I$3015,$B423))</f>
        <v/>
      </c>
      <c r="E423">
        <f>IF($B423="","",SUMIFS('Web Feed'!$O$2:$O$3015,'Web Feed'!$B$2:$B$3015,Points!$A$3,'Web Feed'!$F$2:$F$3015,$B423)+SUMIFS('Web Feed'!$O$2:$O$3015,'Web Feed'!$B$2:$B$3015,Points!$A$3,'Web Feed'!$G$2:$G$3015,$B423)+SUMIFS('Web Feed'!$O$2:$O$3015,'Web Feed'!$B$2:$B$3015,Points!$A$3,'Web Feed'!$H$2:$H$3015,$B423)+SUMIFS('Web Feed'!$O$2:$O$3015,'Web Feed'!$B$2:$B$3015,Points!$A$3,'Web Feed'!$I$2:$I$3015,$B423))</f>
        <v/>
      </c>
      <c r="F423">
        <f>IF($B423="","",SUMIFS('Web Feed'!$O$2:$O$3015,'Web Feed'!$B$2:$B$3015,Points!$A$4,'Web Feed'!$F$2:$F$3015,$B423)+SUMIFS('Web Feed'!$O$2:$O$3015,'Web Feed'!$B$2:$B$3015,Points!$A$4,'Web Feed'!$G$2:$G$3015,$B423)+SUMIFS('Web Feed'!$O$2:$O$3015,'Web Feed'!$B$2:$B$3015,Points!$A$4,'Web Feed'!$H$2:$H$3015,$B423)+SUMIFS('Web Feed'!$O$2:$O$3015,'Web Feed'!$B$2:$B$3015,Points!$A$4,'Web Feed'!$I$2:$I$3015,$B423))</f>
        <v/>
      </c>
      <c r="G423">
        <f>IF($B423="","",SUMIFS('Web Feed'!$O$2:$O$3015,'Web Feed'!$B$2:$B$3015,Points!$A$5,'Web Feed'!$F$2:$F$3015,$B423)+SUMIFS('Web Feed'!$O$2:$O$3015,'Web Feed'!$B$2:$B$3015,Points!$A$5,'Web Feed'!$G$2:$G$3015,$B423)+SUMIFS('Web Feed'!$O$2:$O$3015,'Web Feed'!$B$2:$B$3015,Points!$A$5,'Web Feed'!$H$2:$H$3015,$B423)+SUMIFS('Web Feed'!$O$2:$O$3015,'Web Feed'!$B$2:$B$3015,Points!$A$5,'Web Feed'!$I$2:$I$3015,$B423))</f>
        <v/>
      </c>
      <c r="H423">
        <f>IF($B423="","",SUMIFS('Web Feed'!$O$2:$O$3015,'Web Feed'!$B$2:$B$3015,Points!$A$6,'Web Feed'!$F$2:$F$3015,$B423)+SUMIFS('Web Feed'!$O$2:$O$3015,'Web Feed'!$B$2:$B$3015,Points!$A$6,'Web Feed'!$G$2:$G$3015,$B423)+SUMIFS('Web Feed'!$O$2:$O$3015,'Web Feed'!$B$2:$B$3015,Points!$A$6,'Web Feed'!$H$2:$H$3015,$B423)+SUMIFS('Web Feed'!$O$2:$O$3015,'Web Feed'!$B$2:$B$3015,Points!$A$6,'Web Feed'!$I$2:$I$3015,$B423))</f>
        <v/>
      </c>
      <c r="I423">
        <f>IF($B423="","",COUNTIFS('Web Feed'!$B$2:$B$3015,"OHW",'Web Feed'!$F$2:$F$3015,$B423))</f>
        <v/>
      </c>
      <c r="J423">
        <f>IF($B423="","",IFERROR(INDEX('Last Week'!$A$2:$A$301,MATCH($B423,'Last Week'!$B$2:$B$301,0)),""))</f>
        <v/>
      </c>
      <c r="K423">
        <f>IF(OR($B423="",$J423=""),"",$J423-$A423)</f>
        <v/>
      </c>
    </row>
    <row r="424">
      <c r="A424">
        <f>IF($B424="","",RANK($C424,$C$2:$C$500))</f>
        <v/>
      </c>
      <c r="B424">
        <f>IF(Players!$A424="","",Players!$A424)</f>
        <v/>
      </c>
      <c r="C424" s="5">
        <f>IF($B424="","",SUM(D424:H424))</f>
        <v/>
      </c>
      <c r="D424">
        <f>IF($B424="","",SUMIFS('Web Feed'!$O$2:$O$3015,'Web Feed'!$B$2:$B$3015,Points!$A$2,'Web Feed'!$F$2:$F$3015,$B424)+SUMIFS('Web Feed'!$O$2:$O$3015,'Web Feed'!$B$2:$B$3015,Points!$A$2,'Web Feed'!$G$2:$G$3015,$B424)+SUMIFS('Web Feed'!$O$2:$O$3015,'Web Feed'!$B$2:$B$3015,Points!$A$2,'Web Feed'!$H$2:$H$3015,$B424)+SUMIFS('Web Feed'!$O$2:$O$3015,'Web Feed'!$B$2:$B$3015,Points!$A$2,'Web Feed'!$I$2:$I$3015,$B424))</f>
        <v/>
      </c>
      <c r="E424">
        <f>IF($B424="","",SUMIFS('Web Feed'!$O$2:$O$3015,'Web Feed'!$B$2:$B$3015,Points!$A$3,'Web Feed'!$F$2:$F$3015,$B424)+SUMIFS('Web Feed'!$O$2:$O$3015,'Web Feed'!$B$2:$B$3015,Points!$A$3,'Web Feed'!$G$2:$G$3015,$B424)+SUMIFS('Web Feed'!$O$2:$O$3015,'Web Feed'!$B$2:$B$3015,Points!$A$3,'Web Feed'!$H$2:$H$3015,$B424)+SUMIFS('Web Feed'!$O$2:$O$3015,'Web Feed'!$B$2:$B$3015,Points!$A$3,'Web Feed'!$I$2:$I$3015,$B424))</f>
        <v/>
      </c>
      <c r="F424">
        <f>IF($B424="","",SUMIFS('Web Feed'!$O$2:$O$3015,'Web Feed'!$B$2:$B$3015,Points!$A$4,'Web Feed'!$F$2:$F$3015,$B424)+SUMIFS('Web Feed'!$O$2:$O$3015,'Web Feed'!$B$2:$B$3015,Points!$A$4,'Web Feed'!$G$2:$G$3015,$B424)+SUMIFS('Web Feed'!$O$2:$O$3015,'Web Feed'!$B$2:$B$3015,Points!$A$4,'Web Feed'!$H$2:$H$3015,$B424)+SUMIFS('Web Feed'!$O$2:$O$3015,'Web Feed'!$B$2:$B$3015,Points!$A$4,'Web Feed'!$I$2:$I$3015,$B424))</f>
        <v/>
      </c>
      <c r="G424">
        <f>IF($B424="","",SUMIFS('Web Feed'!$O$2:$O$3015,'Web Feed'!$B$2:$B$3015,Points!$A$5,'Web Feed'!$F$2:$F$3015,$B424)+SUMIFS('Web Feed'!$O$2:$O$3015,'Web Feed'!$B$2:$B$3015,Points!$A$5,'Web Feed'!$G$2:$G$3015,$B424)+SUMIFS('Web Feed'!$O$2:$O$3015,'Web Feed'!$B$2:$B$3015,Points!$A$5,'Web Feed'!$H$2:$H$3015,$B424)+SUMIFS('Web Feed'!$O$2:$O$3015,'Web Feed'!$B$2:$B$3015,Points!$A$5,'Web Feed'!$I$2:$I$3015,$B424))</f>
        <v/>
      </c>
      <c r="H424">
        <f>IF($B424="","",SUMIFS('Web Feed'!$O$2:$O$3015,'Web Feed'!$B$2:$B$3015,Points!$A$6,'Web Feed'!$F$2:$F$3015,$B424)+SUMIFS('Web Feed'!$O$2:$O$3015,'Web Feed'!$B$2:$B$3015,Points!$A$6,'Web Feed'!$G$2:$G$3015,$B424)+SUMIFS('Web Feed'!$O$2:$O$3015,'Web Feed'!$B$2:$B$3015,Points!$A$6,'Web Feed'!$H$2:$H$3015,$B424)+SUMIFS('Web Feed'!$O$2:$O$3015,'Web Feed'!$B$2:$B$3015,Points!$A$6,'Web Feed'!$I$2:$I$3015,$B424))</f>
        <v/>
      </c>
      <c r="I424">
        <f>IF($B424="","",COUNTIFS('Web Feed'!$B$2:$B$3015,"OHW",'Web Feed'!$F$2:$F$3015,$B424))</f>
        <v/>
      </c>
      <c r="J424">
        <f>IF($B424="","",IFERROR(INDEX('Last Week'!$A$2:$A$301,MATCH($B424,'Last Week'!$B$2:$B$301,0)),""))</f>
        <v/>
      </c>
      <c r="K424">
        <f>IF(OR($B424="",$J424=""),"",$J424-$A424)</f>
        <v/>
      </c>
    </row>
    <row r="425">
      <c r="A425">
        <f>IF($B425="","",RANK($C425,$C$2:$C$500))</f>
        <v/>
      </c>
      <c r="B425">
        <f>IF(Players!$A425="","",Players!$A425)</f>
        <v/>
      </c>
      <c r="C425" s="5">
        <f>IF($B425="","",SUM(D425:H425))</f>
        <v/>
      </c>
      <c r="D425">
        <f>IF($B425="","",SUMIFS('Web Feed'!$O$2:$O$3015,'Web Feed'!$B$2:$B$3015,Points!$A$2,'Web Feed'!$F$2:$F$3015,$B425)+SUMIFS('Web Feed'!$O$2:$O$3015,'Web Feed'!$B$2:$B$3015,Points!$A$2,'Web Feed'!$G$2:$G$3015,$B425)+SUMIFS('Web Feed'!$O$2:$O$3015,'Web Feed'!$B$2:$B$3015,Points!$A$2,'Web Feed'!$H$2:$H$3015,$B425)+SUMIFS('Web Feed'!$O$2:$O$3015,'Web Feed'!$B$2:$B$3015,Points!$A$2,'Web Feed'!$I$2:$I$3015,$B425))</f>
        <v/>
      </c>
      <c r="E425">
        <f>IF($B425="","",SUMIFS('Web Feed'!$O$2:$O$3015,'Web Feed'!$B$2:$B$3015,Points!$A$3,'Web Feed'!$F$2:$F$3015,$B425)+SUMIFS('Web Feed'!$O$2:$O$3015,'Web Feed'!$B$2:$B$3015,Points!$A$3,'Web Feed'!$G$2:$G$3015,$B425)+SUMIFS('Web Feed'!$O$2:$O$3015,'Web Feed'!$B$2:$B$3015,Points!$A$3,'Web Feed'!$H$2:$H$3015,$B425)+SUMIFS('Web Feed'!$O$2:$O$3015,'Web Feed'!$B$2:$B$3015,Points!$A$3,'Web Feed'!$I$2:$I$3015,$B425))</f>
        <v/>
      </c>
      <c r="F425">
        <f>IF($B425="","",SUMIFS('Web Feed'!$O$2:$O$3015,'Web Feed'!$B$2:$B$3015,Points!$A$4,'Web Feed'!$F$2:$F$3015,$B425)+SUMIFS('Web Feed'!$O$2:$O$3015,'Web Feed'!$B$2:$B$3015,Points!$A$4,'Web Feed'!$G$2:$G$3015,$B425)+SUMIFS('Web Feed'!$O$2:$O$3015,'Web Feed'!$B$2:$B$3015,Points!$A$4,'Web Feed'!$H$2:$H$3015,$B425)+SUMIFS('Web Feed'!$O$2:$O$3015,'Web Feed'!$B$2:$B$3015,Points!$A$4,'Web Feed'!$I$2:$I$3015,$B425))</f>
        <v/>
      </c>
      <c r="G425">
        <f>IF($B425="","",SUMIFS('Web Feed'!$O$2:$O$3015,'Web Feed'!$B$2:$B$3015,Points!$A$5,'Web Feed'!$F$2:$F$3015,$B425)+SUMIFS('Web Feed'!$O$2:$O$3015,'Web Feed'!$B$2:$B$3015,Points!$A$5,'Web Feed'!$G$2:$G$3015,$B425)+SUMIFS('Web Feed'!$O$2:$O$3015,'Web Feed'!$B$2:$B$3015,Points!$A$5,'Web Feed'!$H$2:$H$3015,$B425)+SUMIFS('Web Feed'!$O$2:$O$3015,'Web Feed'!$B$2:$B$3015,Points!$A$5,'Web Feed'!$I$2:$I$3015,$B425))</f>
        <v/>
      </c>
      <c r="H425">
        <f>IF($B425="","",SUMIFS('Web Feed'!$O$2:$O$3015,'Web Feed'!$B$2:$B$3015,Points!$A$6,'Web Feed'!$F$2:$F$3015,$B425)+SUMIFS('Web Feed'!$O$2:$O$3015,'Web Feed'!$B$2:$B$3015,Points!$A$6,'Web Feed'!$G$2:$G$3015,$B425)+SUMIFS('Web Feed'!$O$2:$O$3015,'Web Feed'!$B$2:$B$3015,Points!$A$6,'Web Feed'!$H$2:$H$3015,$B425)+SUMIFS('Web Feed'!$O$2:$O$3015,'Web Feed'!$B$2:$B$3015,Points!$A$6,'Web Feed'!$I$2:$I$3015,$B425))</f>
        <v/>
      </c>
      <c r="I425">
        <f>IF($B425="","",COUNTIFS('Web Feed'!$B$2:$B$3015,"OHW",'Web Feed'!$F$2:$F$3015,$B425))</f>
        <v/>
      </c>
      <c r="J425">
        <f>IF($B425="","",IFERROR(INDEX('Last Week'!$A$2:$A$301,MATCH($B425,'Last Week'!$B$2:$B$301,0)),""))</f>
        <v/>
      </c>
      <c r="K425">
        <f>IF(OR($B425="",$J425=""),"",$J425-$A425)</f>
        <v/>
      </c>
    </row>
    <row r="426">
      <c r="A426">
        <f>IF($B426="","",RANK($C426,$C$2:$C$500))</f>
        <v/>
      </c>
      <c r="B426">
        <f>IF(Players!$A426="","",Players!$A426)</f>
        <v/>
      </c>
      <c r="C426" s="5">
        <f>IF($B426="","",SUM(D426:H426))</f>
        <v/>
      </c>
      <c r="D426">
        <f>IF($B426="","",SUMIFS('Web Feed'!$O$2:$O$3015,'Web Feed'!$B$2:$B$3015,Points!$A$2,'Web Feed'!$F$2:$F$3015,$B426)+SUMIFS('Web Feed'!$O$2:$O$3015,'Web Feed'!$B$2:$B$3015,Points!$A$2,'Web Feed'!$G$2:$G$3015,$B426)+SUMIFS('Web Feed'!$O$2:$O$3015,'Web Feed'!$B$2:$B$3015,Points!$A$2,'Web Feed'!$H$2:$H$3015,$B426)+SUMIFS('Web Feed'!$O$2:$O$3015,'Web Feed'!$B$2:$B$3015,Points!$A$2,'Web Feed'!$I$2:$I$3015,$B426))</f>
        <v/>
      </c>
      <c r="E426">
        <f>IF($B426="","",SUMIFS('Web Feed'!$O$2:$O$3015,'Web Feed'!$B$2:$B$3015,Points!$A$3,'Web Feed'!$F$2:$F$3015,$B426)+SUMIFS('Web Feed'!$O$2:$O$3015,'Web Feed'!$B$2:$B$3015,Points!$A$3,'Web Feed'!$G$2:$G$3015,$B426)+SUMIFS('Web Feed'!$O$2:$O$3015,'Web Feed'!$B$2:$B$3015,Points!$A$3,'Web Feed'!$H$2:$H$3015,$B426)+SUMIFS('Web Feed'!$O$2:$O$3015,'Web Feed'!$B$2:$B$3015,Points!$A$3,'Web Feed'!$I$2:$I$3015,$B426))</f>
        <v/>
      </c>
      <c r="F426">
        <f>IF($B426="","",SUMIFS('Web Feed'!$O$2:$O$3015,'Web Feed'!$B$2:$B$3015,Points!$A$4,'Web Feed'!$F$2:$F$3015,$B426)+SUMIFS('Web Feed'!$O$2:$O$3015,'Web Feed'!$B$2:$B$3015,Points!$A$4,'Web Feed'!$G$2:$G$3015,$B426)+SUMIFS('Web Feed'!$O$2:$O$3015,'Web Feed'!$B$2:$B$3015,Points!$A$4,'Web Feed'!$H$2:$H$3015,$B426)+SUMIFS('Web Feed'!$O$2:$O$3015,'Web Feed'!$B$2:$B$3015,Points!$A$4,'Web Feed'!$I$2:$I$3015,$B426))</f>
        <v/>
      </c>
      <c r="G426">
        <f>IF($B426="","",SUMIFS('Web Feed'!$O$2:$O$3015,'Web Feed'!$B$2:$B$3015,Points!$A$5,'Web Feed'!$F$2:$F$3015,$B426)+SUMIFS('Web Feed'!$O$2:$O$3015,'Web Feed'!$B$2:$B$3015,Points!$A$5,'Web Feed'!$G$2:$G$3015,$B426)+SUMIFS('Web Feed'!$O$2:$O$3015,'Web Feed'!$B$2:$B$3015,Points!$A$5,'Web Feed'!$H$2:$H$3015,$B426)+SUMIFS('Web Feed'!$O$2:$O$3015,'Web Feed'!$B$2:$B$3015,Points!$A$5,'Web Feed'!$I$2:$I$3015,$B426))</f>
        <v/>
      </c>
      <c r="H426">
        <f>IF($B426="","",SUMIFS('Web Feed'!$O$2:$O$3015,'Web Feed'!$B$2:$B$3015,Points!$A$6,'Web Feed'!$F$2:$F$3015,$B426)+SUMIFS('Web Feed'!$O$2:$O$3015,'Web Feed'!$B$2:$B$3015,Points!$A$6,'Web Feed'!$G$2:$G$3015,$B426)+SUMIFS('Web Feed'!$O$2:$O$3015,'Web Feed'!$B$2:$B$3015,Points!$A$6,'Web Feed'!$H$2:$H$3015,$B426)+SUMIFS('Web Feed'!$O$2:$O$3015,'Web Feed'!$B$2:$B$3015,Points!$A$6,'Web Feed'!$I$2:$I$3015,$B426))</f>
        <v/>
      </c>
      <c r="I426">
        <f>IF($B426="","",COUNTIFS('Web Feed'!$B$2:$B$3015,"OHW",'Web Feed'!$F$2:$F$3015,$B426))</f>
        <v/>
      </c>
      <c r="J426">
        <f>IF($B426="","",IFERROR(INDEX('Last Week'!$A$2:$A$301,MATCH($B426,'Last Week'!$B$2:$B$301,0)),""))</f>
        <v/>
      </c>
      <c r="K426">
        <f>IF(OR($B426="",$J426=""),"",$J426-$A426)</f>
        <v/>
      </c>
    </row>
    <row r="427">
      <c r="A427">
        <f>IF($B427="","",RANK($C427,$C$2:$C$500))</f>
        <v/>
      </c>
      <c r="B427">
        <f>IF(Players!$A427="","",Players!$A427)</f>
        <v/>
      </c>
      <c r="C427" s="5">
        <f>IF($B427="","",SUM(D427:H427))</f>
        <v/>
      </c>
      <c r="D427">
        <f>IF($B427="","",SUMIFS('Web Feed'!$O$2:$O$3015,'Web Feed'!$B$2:$B$3015,Points!$A$2,'Web Feed'!$F$2:$F$3015,$B427)+SUMIFS('Web Feed'!$O$2:$O$3015,'Web Feed'!$B$2:$B$3015,Points!$A$2,'Web Feed'!$G$2:$G$3015,$B427)+SUMIFS('Web Feed'!$O$2:$O$3015,'Web Feed'!$B$2:$B$3015,Points!$A$2,'Web Feed'!$H$2:$H$3015,$B427)+SUMIFS('Web Feed'!$O$2:$O$3015,'Web Feed'!$B$2:$B$3015,Points!$A$2,'Web Feed'!$I$2:$I$3015,$B427))</f>
        <v/>
      </c>
      <c r="E427">
        <f>IF($B427="","",SUMIFS('Web Feed'!$O$2:$O$3015,'Web Feed'!$B$2:$B$3015,Points!$A$3,'Web Feed'!$F$2:$F$3015,$B427)+SUMIFS('Web Feed'!$O$2:$O$3015,'Web Feed'!$B$2:$B$3015,Points!$A$3,'Web Feed'!$G$2:$G$3015,$B427)+SUMIFS('Web Feed'!$O$2:$O$3015,'Web Feed'!$B$2:$B$3015,Points!$A$3,'Web Feed'!$H$2:$H$3015,$B427)+SUMIFS('Web Feed'!$O$2:$O$3015,'Web Feed'!$B$2:$B$3015,Points!$A$3,'Web Feed'!$I$2:$I$3015,$B427))</f>
        <v/>
      </c>
      <c r="F427">
        <f>IF($B427="","",SUMIFS('Web Feed'!$O$2:$O$3015,'Web Feed'!$B$2:$B$3015,Points!$A$4,'Web Feed'!$F$2:$F$3015,$B427)+SUMIFS('Web Feed'!$O$2:$O$3015,'Web Feed'!$B$2:$B$3015,Points!$A$4,'Web Feed'!$G$2:$G$3015,$B427)+SUMIFS('Web Feed'!$O$2:$O$3015,'Web Feed'!$B$2:$B$3015,Points!$A$4,'Web Feed'!$H$2:$H$3015,$B427)+SUMIFS('Web Feed'!$O$2:$O$3015,'Web Feed'!$B$2:$B$3015,Points!$A$4,'Web Feed'!$I$2:$I$3015,$B427))</f>
        <v/>
      </c>
      <c r="G427">
        <f>IF($B427="","",SUMIFS('Web Feed'!$O$2:$O$3015,'Web Feed'!$B$2:$B$3015,Points!$A$5,'Web Feed'!$F$2:$F$3015,$B427)+SUMIFS('Web Feed'!$O$2:$O$3015,'Web Feed'!$B$2:$B$3015,Points!$A$5,'Web Feed'!$G$2:$G$3015,$B427)+SUMIFS('Web Feed'!$O$2:$O$3015,'Web Feed'!$B$2:$B$3015,Points!$A$5,'Web Feed'!$H$2:$H$3015,$B427)+SUMIFS('Web Feed'!$O$2:$O$3015,'Web Feed'!$B$2:$B$3015,Points!$A$5,'Web Feed'!$I$2:$I$3015,$B427))</f>
        <v/>
      </c>
      <c r="H427">
        <f>IF($B427="","",SUMIFS('Web Feed'!$O$2:$O$3015,'Web Feed'!$B$2:$B$3015,Points!$A$6,'Web Feed'!$F$2:$F$3015,$B427)+SUMIFS('Web Feed'!$O$2:$O$3015,'Web Feed'!$B$2:$B$3015,Points!$A$6,'Web Feed'!$G$2:$G$3015,$B427)+SUMIFS('Web Feed'!$O$2:$O$3015,'Web Feed'!$B$2:$B$3015,Points!$A$6,'Web Feed'!$H$2:$H$3015,$B427)+SUMIFS('Web Feed'!$O$2:$O$3015,'Web Feed'!$B$2:$B$3015,Points!$A$6,'Web Feed'!$I$2:$I$3015,$B427))</f>
        <v/>
      </c>
      <c r="I427">
        <f>IF($B427="","",COUNTIFS('Web Feed'!$B$2:$B$3015,"OHW",'Web Feed'!$F$2:$F$3015,$B427))</f>
        <v/>
      </c>
      <c r="J427">
        <f>IF($B427="","",IFERROR(INDEX('Last Week'!$A$2:$A$301,MATCH($B427,'Last Week'!$B$2:$B$301,0)),""))</f>
        <v/>
      </c>
      <c r="K427">
        <f>IF(OR($B427="",$J427=""),"",$J427-$A427)</f>
        <v/>
      </c>
    </row>
    <row r="428">
      <c r="A428">
        <f>IF($B428="","",RANK($C428,$C$2:$C$500))</f>
        <v/>
      </c>
      <c r="B428">
        <f>IF(Players!$A428="","",Players!$A428)</f>
        <v/>
      </c>
      <c r="C428" s="5">
        <f>IF($B428="","",SUM(D428:H428))</f>
        <v/>
      </c>
      <c r="D428">
        <f>IF($B428="","",SUMIFS('Web Feed'!$O$2:$O$3015,'Web Feed'!$B$2:$B$3015,Points!$A$2,'Web Feed'!$F$2:$F$3015,$B428)+SUMIFS('Web Feed'!$O$2:$O$3015,'Web Feed'!$B$2:$B$3015,Points!$A$2,'Web Feed'!$G$2:$G$3015,$B428)+SUMIFS('Web Feed'!$O$2:$O$3015,'Web Feed'!$B$2:$B$3015,Points!$A$2,'Web Feed'!$H$2:$H$3015,$B428)+SUMIFS('Web Feed'!$O$2:$O$3015,'Web Feed'!$B$2:$B$3015,Points!$A$2,'Web Feed'!$I$2:$I$3015,$B428))</f>
        <v/>
      </c>
      <c r="E428">
        <f>IF($B428="","",SUMIFS('Web Feed'!$O$2:$O$3015,'Web Feed'!$B$2:$B$3015,Points!$A$3,'Web Feed'!$F$2:$F$3015,$B428)+SUMIFS('Web Feed'!$O$2:$O$3015,'Web Feed'!$B$2:$B$3015,Points!$A$3,'Web Feed'!$G$2:$G$3015,$B428)+SUMIFS('Web Feed'!$O$2:$O$3015,'Web Feed'!$B$2:$B$3015,Points!$A$3,'Web Feed'!$H$2:$H$3015,$B428)+SUMIFS('Web Feed'!$O$2:$O$3015,'Web Feed'!$B$2:$B$3015,Points!$A$3,'Web Feed'!$I$2:$I$3015,$B428))</f>
        <v/>
      </c>
      <c r="F428">
        <f>IF($B428="","",SUMIFS('Web Feed'!$O$2:$O$3015,'Web Feed'!$B$2:$B$3015,Points!$A$4,'Web Feed'!$F$2:$F$3015,$B428)+SUMIFS('Web Feed'!$O$2:$O$3015,'Web Feed'!$B$2:$B$3015,Points!$A$4,'Web Feed'!$G$2:$G$3015,$B428)+SUMIFS('Web Feed'!$O$2:$O$3015,'Web Feed'!$B$2:$B$3015,Points!$A$4,'Web Feed'!$H$2:$H$3015,$B428)+SUMIFS('Web Feed'!$O$2:$O$3015,'Web Feed'!$B$2:$B$3015,Points!$A$4,'Web Feed'!$I$2:$I$3015,$B428))</f>
        <v/>
      </c>
      <c r="G428">
        <f>IF($B428="","",SUMIFS('Web Feed'!$O$2:$O$3015,'Web Feed'!$B$2:$B$3015,Points!$A$5,'Web Feed'!$F$2:$F$3015,$B428)+SUMIFS('Web Feed'!$O$2:$O$3015,'Web Feed'!$B$2:$B$3015,Points!$A$5,'Web Feed'!$G$2:$G$3015,$B428)+SUMIFS('Web Feed'!$O$2:$O$3015,'Web Feed'!$B$2:$B$3015,Points!$A$5,'Web Feed'!$H$2:$H$3015,$B428)+SUMIFS('Web Feed'!$O$2:$O$3015,'Web Feed'!$B$2:$B$3015,Points!$A$5,'Web Feed'!$I$2:$I$3015,$B428))</f>
        <v/>
      </c>
      <c r="H428">
        <f>IF($B428="","",SUMIFS('Web Feed'!$O$2:$O$3015,'Web Feed'!$B$2:$B$3015,Points!$A$6,'Web Feed'!$F$2:$F$3015,$B428)+SUMIFS('Web Feed'!$O$2:$O$3015,'Web Feed'!$B$2:$B$3015,Points!$A$6,'Web Feed'!$G$2:$G$3015,$B428)+SUMIFS('Web Feed'!$O$2:$O$3015,'Web Feed'!$B$2:$B$3015,Points!$A$6,'Web Feed'!$H$2:$H$3015,$B428)+SUMIFS('Web Feed'!$O$2:$O$3015,'Web Feed'!$B$2:$B$3015,Points!$A$6,'Web Feed'!$I$2:$I$3015,$B428))</f>
        <v/>
      </c>
      <c r="I428">
        <f>IF($B428="","",COUNTIFS('Web Feed'!$B$2:$B$3015,"OHW",'Web Feed'!$F$2:$F$3015,$B428))</f>
        <v/>
      </c>
      <c r="J428">
        <f>IF($B428="","",IFERROR(INDEX('Last Week'!$A$2:$A$301,MATCH($B428,'Last Week'!$B$2:$B$301,0)),""))</f>
        <v/>
      </c>
      <c r="K428">
        <f>IF(OR($B428="",$J428=""),"",$J428-$A428)</f>
        <v/>
      </c>
    </row>
    <row r="429">
      <c r="A429">
        <f>IF($B429="","",RANK($C429,$C$2:$C$500))</f>
        <v/>
      </c>
      <c r="B429">
        <f>IF(Players!$A429="","",Players!$A429)</f>
        <v/>
      </c>
      <c r="C429" s="5">
        <f>IF($B429="","",SUM(D429:H429))</f>
        <v/>
      </c>
      <c r="D429">
        <f>IF($B429="","",SUMIFS('Web Feed'!$O$2:$O$3015,'Web Feed'!$B$2:$B$3015,Points!$A$2,'Web Feed'!$F$2:$F$3015,$B429)+SUMIFS('Web Feed'!$O$2:$O$3015,'Web Feed'!$B$2:$B$3015,Points!$A$2,'Web Feed'!$G$2:$G$3015,$B429)+SUMIFS('Web Feed'!$O$2:$O$3015,'Web Feed'!$B$2:$B$3015,Points!$A$2,'Web Feed'!$H$2:$H$3015,$B429)+SUMIFS('Web Feed'!$O$2:$O$3015,'Web Feed'!$B$2:$B$3015,Points!$A$2,'Web Feed'!$I$2:$I$3015,$B429))</f>
        <v/>
      </c>
      <c r="E429">
        <f>IF($B429="","",SUMIFS('Web Feed'!$O$2:$O$3015,'Web Feed'!$B$2:$B$3015,Points!$A$3,'Web Feed'!$F$2:$F$3015,$B429)+SUMIFS('Web Feed'!$O$2:$O$3015,'Web Feed'!$B$2:$B$3015,Points!$A$3,'Web Feed'!$G$2:$G$3015,$B429)+SUMIFS('Web Feed'!$O$2:$O$3015,'Web Feed'!$B$2:$B$3015,Points!$A$3,'Web Feed'!$H$2:$H$3015,$B429)+SUMIFS('Web Feed'!$O$2:$O$3015,'Web Feed'!$B$2:$B$3015,Points!$A$3,'Web Feed'!$I$2:$I$3015,$B429))</f>
        <v/>
      </c>
      <c r="F429">
        <f>IF($B429="","",SUMIFS('Web Feed'!$O$2:$O$3015,'Web Feed'!$B$2:$B$3015,Points!$A$4,'Web Feed'!$F$2:$F$3015,$B429)+SUMIFS('Web Feed'!$O$2:$O$3015,'Web Feed'!$B$2:$B$3015,Points!$A$4,'Web Feed'!$G$2:$G$3015,$B429)+SUMIFS('Web Feed'!$O$2:$O$3015,'Web Feed'!$B$2:$B$3015,Points!$A$4,'Web Feed'!$H$2:$H$3015,$B429)+SUMIFS('Web Feed'!$O$2:$O$3015,'Web Feed'!$B$2:$B$3015,Points!$A$4,'Web Feed'!$I$2:$I$3015,$B429))</f>
        <v/>
      </c>
      <c r="G429">
        <f>IF($B429="","",SUMIFS('Web Feed'!$O$2:$O$3015,'Web Feed'!$B$2:$B$3015,Points!$A$5,'Web Feed'!$F$2:$F$3015,$B429)+SUMIFS('Web Feed'!$O$2:$O$3015,'Web Feed'!$B$2:$B$3015,Points!$A$5,'Web Feed'!$G$2:$G$3015,$B429)+SUMIFS('Web Feed'!$O$2:$O$3015,'Web Feed'!$B$2:$B$3015,Points!$A$5,'Web Feed'!$H$2:$H$3015,$B429)+SUMIFS('Web Feed'!$O$2:$O$3015,'Web Feed'!$B$2:$B$3015,Points!$A$5,'Web Feed'!$I$2:$I$3015,$B429))</f>
        <v/>
      </c>
      <c r="H429">
        <f>IF($B429="","",SUMIFS('Web Feed'!$O$2:$O$3015,'Web Feed'!$B$2:$B$3015,Points!$A$6,'Web Feed'!$F$2:$F$3015,$B429)+SUMIFS('Web Feed'!$O$2:$O$3015,'Web Feed'!$B$2:$B$3015,Points!$A$6,'Web Feed'!$G$2:$G$3015,$B429)+SUMIFS('Web Feed'!$O$2:$O$3015,'Web Feed'!$B$2:$B$3015,Points!$A$6,'Web Feed'!$H$2:$H$3015,$B429)+SUMIFS('Web Feed'!$O$2:$O$3015,'Web Feed'!$B$2:$B$3015,Points!$A$6,'Web Feed'!$I$2:$I$3015,$B429))</f>
        <v/>
      </c>
      <c r="I429">
        <f>IF($B429="","",COUNTIFS('Web Feed'!$B$2:$B$3015,"OHW",'Web Feed'!$F$2:$F$3015,$B429))</f>
        <v/>
      </c>
      <c r="J429">
        <f>IF($B429="","",IFERROR(INDEX('Last Week'!$A$2:$A$301,MATCH($B429,'Last Week'!$B$2:$B$301,0)),""))</f>
        <v/>
      </c>
      <c r="K429">
        <f>IF(OR($B429="",$J429=""),"",$J429-$A429)</f>
        <v/>
      </c>
    </row>
    <row r="430">
      <c r="A430">
        <f>IF($B430="","",RANK($C430,$C$2:$C$500))</f>
        <v/>
      </c>
      <c r="B430">
        <f>IF(Players!$A430="","",Players!$A430)</f>
        <v/>
      </c>
      <c r="C430" s="5">
        <f>IF($B430="","",SUM(D430:H430))</f>
        <v/>
      </c>
      <c r="D430">
        <f>IF($B430="","",SUMIFS('Web Feed'!$O$2:$O$3015,'Web Feed'!$B$2:$B$3015,Points!$A$2,'Web Feed'!$F$2:$F$3015,$B430)+SUMIFS('Web Feed'!$O$2:$O$3015,'Web Feed'!$B$2:$B$3015,Points!$A$2,'Web Feed'!$G$2:$G$3015,$B430)+SUMIFS('Web Feed'!$O$2:$O$3015,'Web Feed'!$B$2:$B$3015,Points!$A$2,'Web Feed'!$H$2:$H$3015,$B430)+SUMIFS('Web Feed'!$O$2:$O$3015,'Web Feed'!$B$2:$B$3015,Points!$A$2,'Web Feed'!$I$2:$I$3015,$B430))</f>
        <v/>
      </c>
      <c r="E430">
        <f>IF($B430="","",SUMIFS('Web Feed'!$O$2:$O$3015,'Web Feed'!$B$2:$B$3015,Points!$A$3,'Web Feed'!$F$2:$F$3015,$B430)+SUMIFS('Web Feed'!$O$2:$O$3015,'Web Feed'!$B$2:$B$3015,Points!$A$3,'Web Feed'!$G$2:$G$3015,$B430)+SUMIFS('Web Feed'!$O$2:$O$3015,'Web Feed'!$B$2:$B$3015,Points!$A$3,'Web Feed'!$H$2:$H$3015,$B430)+SUMIFS('Web Feed'!$O$2:$O$3015,'Web Feed'!$B$2:$B$3015,Points!$A$3,'Web Feed'!$I$2:$I$3015,$B430))</f>
        <v/>
      </c>
      <c r="F430">
        <f>IF($B430="","",SUMIFS('Web Feed'!$O$2:$O$3015,'Web Feed'!$B$2:$B$3015,Points!$A$4,'Web Feed'!$F$2:$F$3015,$B430)+SUMIFS('Web Feed'!$O$2:$O$3015,'Web Feed'!$B$2:$B$3015,Points!$A$4,'Web Feed'!$G$2:$G$3015,$B430)+SUMIFS('Web Feed'!$O$2:$O$3015,'Web Feed'!$B$2:$B$3015,Points!$A$4,'Web Feed'!$H$2:$H$3015,$B430)+SUMIFS('Web Feed'!$O$2:$O$3015,'Web Feed'!$B$2:$B$3015,Points!$A$4,'Web Feed'!$I$2:$I$3015,$B430))</f>
        <v/>
      </c>
      <c r="G430">
        <f>IF($B430="","",SUMIFS('Web Feed'!$O$2:$O$3015,'Web Feed'!$B$2:$B$3015,Points!$A$5,'Web Feed'!$F$2:$F$3015,$B430)+SUMIFS('Web Feed'!$O$2:$O$3015,'Web Feed'!$B$2:$B$3015,Points!$A$5,'Web Feed'!$G$2:$G$3015,$B430)+SUMIFS('Web Feed'!$O$2:$O$3015,'Web Feed'!$B$2:$B$3015,Points!$A$5,'Web Feed'!$H$2:$H$3015,$B430)+SUMIFS('Web Feed'!$O$2:$O$3015,'Web Feed'!$B$2:$B$3015,Points!$A$5,'Web Feed'!$I$2:$I$3015,$B430))</f>
        <v/>
      </c>
      <c r="H430">
        <f>IF($B430="","",SUMIFS('Web Feed'!$O$2:$O$3015,'Web Feed'!$B$2:$B$3015,Points!$A$6,'Web Feed'!$F$2:$F$3015,$B430)+SUMIFS('Web Feed'!$O$2:$O$3015,'Web Feed'!$B$2:$B$3015,Points!$A$6,'Web Feed'!$G$2:$G$3015,$B430)+SUMIFS('Web Feed'!$O$2:$O$3015,'Web Feed'!$B$2:$B$3015,Points!$A$6,'Web Feed'!$H$2:$H$3015,$B430)+SUMIFS('Web Feed'!$O$2:$O$3015,'Web Feed'!$B$2:$B$3015,Points!$A$6,'Web Feed'!$I$2:$I$3015,$B430))</f>
        <v/>
      </c>
      <c r="I430">
        <f>IF($B430="","",COUNTIFS('Web Feed'!$B$2:$B$3015,"OHW",'Web Feed'!$F$2:$F$3015,$B430))</f>
        <v/>
      </c>
      <c r="J430">
        <f>IF($B430="","",IFERROR(INDEX('Last Week'!$A$2:$A$301,MATCH($B430,'Last Week'!$B$2:$B$301,0)),""))</f>
        <v/>
      </c>
      <c r="K430">
        <f>IF(OR($B430="",$J430=""),"",$J430-$A430)</f>
        <v/>
      </c>
    </row>
    <row r="431">
      <c r="A431">
        <f>IF($B431="","",RANK($C431,$C$2:$C$500))</f>
        <v/>
      </c>
      <c r="B431">
        <f>IF(Players!$A431="","",Players!$A431)</f>
        <v/>
      </c>
      <c r="C431" s="5">
        <f>IF($B431="","",SUM(D431:H431))</f>
        <v/>
      </c>
      <c r="D431">
        <f>IF($B431="","",SUMIFS('Web Feed'!$O$2:$O$3015,'Web Feed'!$B$2:$B$3015,Points!$A$2,'Web Feed'!$F$2:$F$3015,$B431)+SUMIFS('Web Feed'!$O$2:$O$3015,'Web Feed'!$B$2:$B$3015,Points!$A$2,'Web Feed'!$G$2:$G$3015,$B431)+SUMIFS('Web Feed'!$O$2:$O$3015,'Web Feed'!$B$2:$B$3015,Points!$A$2,'Web Feed'!$H$2:$H$3015,$B431)+SUMIFS('Web Feed'!$O$2:$O$3015,'Web Feed'!$B$2:$B$3015,Points!$A$2,'Web Feed'!$I$2:$I$3015,$B431))</f>
        <v/>
      </c>
      <c r="E431">
        <f>IF($B431="","",SUMIFS('Web Feed'!$O$2:$O$3015,'Web Feed'!$B$2:$B$3015,Points!$A$3,'Web Feed'!$F$2:$F$3015,$B431)+SUMIFS('Web Feed'!$O$2:$O$3015,'Web Feed'!$B$2:$B$3015,Points!$A$3,'Web Feed'!$G$2:$G$3015,$B431)+SUMIFS('Web Feed'!$O$2:$O$3015,'Web Feed'!$B$2:$B$3015,Points!$A$3,'Web Feed'!$H$2:$H$3015,$B431)+SUMIFS('Web Feed'!$O$2:$O$3015,'Web Feed'!$B$2:$B$3015,Points!$A$3,'Web Feed'!$I$2:$I$3015,$B431))</f>
        <v/>
      </c>
      <c r="F431">
        <f>IF($B431="","",SUMIFS('Web Feed'!$O$2:$O$3015,'Web Feed'!$B$2:$B$3015,Points!$A$4,'Web Feed'!$F$2:$F$3015,$B431)+SUMIFS('Web Feed'!$O$2:$O$3015,'Web Feed'!$B$2:$B$3015,Points!$A$4,'Web Feed'!$G$2:$G$3015,$B431)+SUMIFS('Web Feed'!$O$2:$O$3015,'Web Feed'!$B$2:$B$3015,Points!$A$4,'Web Feed'!$H$2:$H$3015,$B431)+SUMIFS('Web Feed'!$O$2:$O$3015,'Web Feed'!$B$2:$B$3015,Points!$A$4,'Web Feed'!$I$2:$I$3015,$B431))</f>
        <v/>
      </c>
      <c r="G431">
        <f>IF($B431="","",SUMIFS('Web Feed'!$O$2:$O$3015,'Web Feed'!$B$2:$B$3015,Points!$A$5,'Web Feed'!$F$2:$F$3015,$B431)+SUMIFS('Web Feed'!$O$2:$O$3015,'Web Feed'!$B$2:$B$3015,Points!$A$5,'Web Feed'!$G$2:$G$3015,$B431)+SUMIFS('Web Feed'!$O$2:$O$3015,'Web Feed'!$B$2:$B$3015,Points!$A$5,'Web Feed'!$H$2:$H$3015,$B431)+SUMIFS('Web Feed'!$O$2:$O$3015,'Web Feed'!$B$2:$B$3015,Points!$A$5,'Web Feed'!$I$2:$I$3015,$B431))</f>
        <v/>
      </c>
      <c r="H431">
        <f>IF($B431="","",SUMIFS('Web Feed'!$O$2:$O$3015,'Web Feed'!$B$2:$B$3015,Points!$A$6,'Web Feed'!$F$2:$F$3015,$B431)+SUMIFS('Web Feed'!$O$2:$O$3015,'Web Feed'!$B$2:$B$3015,Points!$A$6,'Web Feed'!$G$2:$G$3015,$B431)+SUMIFS('Web Feed'!$O$2:$O$3015,'Web Feed'!$B$2:$B$3015,Points!$A$6,'Web Feed'!$H$2:$H$3015,$B431)+SUMIFS('Web Feed'!$O$2:$O$3015,'Web Feed'!$B$2:$B$3015,Points!$A$6,'Web Feed'!$I$2:$I$3015,$B431))</f>
        <v/>
      </c>
      <c r="I431">
        <f>IF($B431="","",COUNTIFS('Web Feed'!$B$2:$B$3015,"OHW",'Web Feed'!$F$2:$F$3015,$B431))</f>
        <v/>
      </c>
      <c r="J431">
        <f>IF($B431="","",IFERROR(INDEX('Last Week'!$A$2:$A$301,MATCH($B431,'Last Week'!$B$2:$B$301,0)),""))</f>
        <v/>
      </c>
      <c r="K431">
        <f>IF(OR($B431="",$J431=""),"",$J431-$A431)</f>
        <v/>
      </c>
    </row>
    <row r="432">
      <c r="A432">
        <f>IF($B432="","",RANK($C432,$C$2:$C$500))</f>
        <v/>
      </c>
      <c r="B432">
        <f>IF(Players!$A432="","",Players!$A432)</f>
        <v/>
      </c>
      <c r="C432" s="5">
        <f>IF($B432="","",SUM(D432:H432))</f>
        <v/>
      </c>
      <c r="D432">
        <f>IF($B432="","",SUMIFS('Web Feed'!$O$2:$O$3015,'Web Feed'!$B$2:$B$3015,Points!$A$2,'Web Feed'!$F$2:$F$3015,$B432)+SUMIFS('Web Feed'!$O$2:$O$3015,'Web Feed'!$B$2:$B$3015,Points!$A$2,'Web Feed'!$G$2:$G$3015,$B432)+SUMIFS('Web Feed'!$O$2:$O$3015,'Web Feed'!$B$2:$B$3015,Points!$A$2,'Web Feed'!$H$2:$H$3015,$B432)+SUMIFS('Web Feed'!$O$2:$O$3015,'Web Feed'!$B$2:$B$3015,Points!$A$2,'Web Feed'!$I$2:$I$3015,$B432))</f>
        <v/>
      </c>
      <c r="E432">
        <f>IF($B432="","",SUMIFS('Web Feed'!$O$2:$O$3015,'Web Feed'!$B$2:$B$3015,Points!$A$3,'Web Feed'!$F$2:$F$3015,$B432)+SUMIFS('Web Feed'!$O$2:$O$3015,'Web Feed'!$B$2:$B$3015,Points!$A$3,'Web Feed'!$G$2:$G$3015,$B432)+SUMIFS('Web Feed'!$O$2:$O$3015,'Web Feed'!$B$2:$B$3015,Points!$A$3,'Web Feed'!$H$2:$H$3015,$B432)+SUMIFS('Web Feed'!$O$2:$O$3015,'Web Feed'!$B$2:$B$3015,Points!$A$3,'Web Feed'!$I$2:$I$3015,$B432))</f>
        <v/>
      </c>
      <c r="F432">
        <f>IF($B432="","",SUMIFS('Web Feed'!$O$2:$O$3015,'Web Feed'!$B$2:$B$3015,Points!$A$4,'Web Feed'!$F$2:$F$3015,$B432)+SUMIFS('Web Feed'!$O$2:$O$3015,'Web Feed'!$B$2:$B$3015,Points!$A$4,'Web Feed'!$G$2:$G$3015,$B432)+SUMIFS('Web Feed'!$O$2:$O$3015,'Web Feed'!$B$2:$B$3015,Points!$A$4,'Web Feed'!$H$2:$H$3015,$B432)+SUMIFS('Web Feed'!$O$2:$O$3015,'Web Feed'!$B$2:$B$3015,Points!$A$4,'Web Feed'!$I$2:$I$3015,$B432))</f>
        <v/>
      </c>
      <c r="G432">
        <f>IF($B432="","",SUMIFS('Web Feed'!$O$2:$O$3015,'Web Feed'!$B$2:$B$3015,Points!$A$5,'Web Feed'!$F$2:$F$3015,$B432)+SUMIFS('Web Feed'!$O$2:$O$3015,'Web Feed'!$B$2:$B$3015,Points!$A$5,'Web Feed'!$G$2:$G$3015,$B432)+SUMIFS('Web Feed'!$O$2:$O$3015,'Web Feed'!$B$2:$B$3015,Points!$A$5,'Web Feed'!$H$2:$H$3015,$B432)+SUMIFS('Web Feed'!$O$2:$O$3015,'Web Feed'!$B$2:$B$3015,Points!$A$5,'Web Feed'!$I$2:$I$3015,$B432))</f>
        <v/>
      </c>
      <c r="H432">
        <f>IF($B432="","",SUMIFS('Web Feed'!$O$2:$O$3015,'Web Feed'!$B$2:$B$3015,Points!$A$6,'Web Feed'!$F$2:$F$3015,$B432)+SUMIFS('Web Feed'!$O$2:$O$3015,'Web Feed'!$B$2:$B$3015,Points!$A$6,'Web Feed'!$G$2:$G$3015,$B432)+SUMIFS('Web Feed'!$O$2:$O$3015,'Web Feed'!$B$2:$B$3015,Points!$A$6,'Web Feed'!$H$2:$H$3015,$B432)+SUMIFS('Web Feed'!$O$2:$O$3015,'Web Feed'!$B$2:$B$3015,Points!$A$6,'Web Feed'!$I$2:$I$3015,$B432))</f>
        <v/>
      </c>
      <c r="I432">
        <f>IF($B432="","",COUNTIFS('Web Feed'!$B$2:$B$3015,"OHW",'Web Feed'!$F$2:$F$3015,$B432))</f>
        <v/>
      </c>
      <c r="J432">
        <f>IF($B432="","",IFERROR(INDEX('Last Week'!$A$2:$A$301,MATCH($B432,'Last Week'!$B$2:$B$301,0)),""))</f>
        <v/>
      </c>
      <c r="K432">
        <f>IF(OR($B432="",$J432=""),"",$J432-$A432)</f>
        <v/>
      </c>
    </row>
    <row r="433">
      <c r="A433">
        <f>IF($B433="","",RANK($C433,$C$2:$C$500))</f>
        <v/>
      </c>
      <c r="B433">
        <f>IF(Players!$A433="","",Players!$A433)</f>
        <v/>
      </c>
      <c r="C433" s="5">
        <f>IF($B433="","",SUM(D433:H433))</f>
        <v/>
      </c>
      <c r="D433">
        <f>IF($B433="","",SUMIFS('Web Feed'!$O$2:$O$3015,'Web Feed'!$B$2:$B$3015,Points!$A$2,'Web Feed'!$F$2:$F$3015,$B433)+SUMIFS('Web Feed'!$O$2:$O$3015,'Web Feed'!$B$2:$B$3015,Points!$A$2,'Web Feed'!$G$2:$G$3015,$B433)+SUMIFS('Web Feed'!$O$2:$O$3015,'Web Feed'!$B$2:$B$3015,Points!$A$2,'Web Feed'!$H$2:$H$3015,$B433)+SUMIFS('Web Feed'!$O$2:$O$3015,'Web Feed'!$B$2:$B$3015,Points!$A$2,'Web Feed'!$I$2:$I$3015,$B433))</f>
        <v/>
      </c>
      <c r="E433">
        <f>IF($B433="","",SUMIFS('Web Feed'!$O$2:$O$3015,'Web Feed'!$B$2:$B$3015,Points!$A$3,'Web Feed'!$F$2:$F$3015,$B433)+SUMIFS('Web Feed'!$O$2:$O$3015,'Web Feed'!$B$2:$B$3015,Points!$A$3,'Web Feed'!$G$2:$G$3015,$B433)+SUMIFS('Web Feed'!$O$2:$O$3015,'Web Feed'!$B$2:$B$3015,Points!$A$3,'Web Feed'!$H$2:$H$3015,$B433)+SUMIFS('Web Feed'!$O$2:$O$3015,'Web Feed'!$B$2:$B$3015,Points!$A$3,'Web Feed'!$I$2:$I$3015,$B433))</f>
        <v/>
      </c>
      <c r="F433">
        <f>IF($B433="","",SUMIFS('Web Feed'!$O$2:$O$3015,'Web Feed'!$B$2:$B$3015,Points!$A$4,'Web Feed'!$F$2:$F$3015,$B433)+SUMIFS('Web Feed'!$O$2:$O$3015,'Web Feed'!$B$2:$B$3015,Points!$A$4,'Web Feed'!$G$2:$G$3015,$B433)+SUMIFS('Web Feed'!$O$2:$O$3015,'Web Feed'!$B$2:$B$3015,Points!$A$4,'Web Feed'!$H$2:$H$3015,$B433)+SUMIFS('Web Feed'!$O$2:$O$3015,'Web Feed'!$B$2:$B$3015,Points!$A$4,'Web Feed'!$I$2:$I$3015,$B433))</f>
        <v/>
      </c>
      <c r="G433">
        <f>IF($B433="","",SUMIFS('Web Feed'!$O$2:$O$3015,'Web Feed'!$B$2:$B$3015,Points!$A$5,'Web Feed'!$F$2:$F$3015,$B433)+SUMIFS('Web Feed'!$O$2:$O$3015,'Web Feed'!$B$2:$B$3015,Points!$A$5,'Web Feed'!$G$2:$G$3015,$B433)+SUMIFS('Web Feed'!$O$2:$O$3015,'Web Feed'!$B$2:$B$3015,Points!$A$5,'Web Feed'!$H$2:$H$3015,$B433)+SUMIFS('Web Feed'!$O$2:$O$3015,'Web Feed'!$B$2:$B$3015,Points!$A$5,'Web Feed'!$I$2:$I$3015,$B433))</f>
        <v/>
      </c>
      <c r="H433">
        <f>IF($B433="","",SUMIFS('Web Feed'!$O$2:$O$3015,'Web Feed'!$B$2:$B$3015,Points!$A$6,'Web Feed'!$F$2:$F$3015,$B433)+SUMIFS('Web Feed'!$O$2:$O$3015,'Web Feed'!$B$2:$B$3015,Points!$A$6,'Web Feed'!$G$2:$G$3015,$B433)+SUMIFS('Web Feed'!$O$2:$O$3015,'Web Feed'!$B$2:$B$3015,Points!$A$6,'Web Feed'!$H$2:$H$3015,$B433)+SUMIFS('Web Feed'!$O$2:$O$3015,'Web Feed'!$B$2:$B$3015,Points!$A$6,'Web Feed'!$I$2:$I$3015,$B433))</f>
        <v/>
      </c>
      <c r="I433">
        <f>IF($B433="","",COUNTIFS('Web Feed'!$B$2:$B$3015,"OHW",'Web Feed'!$F$2:$F$3015,$B433))</f>
        <v/>
      </c>
      <c r="J433">
        <f>IF($B433="","",IFERROR(INDEX('Last Week'!$A$2:$A$301,MATCH($B433,'Last Week'!$B$2:$B$301,0)),""))</f>
        <v/>
      </c>
      <c r="K433">
        <f>IF(OR($B433="",$J433=""),"",$J433-$A433)</f>
        <v/>
      </c>
    </row>
    <row r="434">
      <c r="A434">
        <f>IF($B434="","",RANK($C434,$C$2:$C$500))</f>
        <v/>
      </c>
      <c r="B434">
        <f>IF(Players!$A434="","",Players!$A434)</f>
        <v/>
      </c>
      <c r="C434" s="5">
        <f>IF($B434="","",SUM(D434:H434))</f>
        <v/>
      </c>
      <c r="D434">
        <f>IF($B434="","",SUMIFS('Web Feed'!$O$2:$O$3015,'Web Feed'!$B$2:$B$3015,Points!$A$2,'Web Feed'!$F$2:$F$3015,$B434)+SUMIFS('Web Feed'!$O$2:$O$3015,'Web Feed'!$B$2:$B$3015,Points!$A$2,'Web Feed'!$G$2:$G$3015,$B434)+SUMIFS('Web Feed'!$O$2:$O$3015,'Web Feed'!$B$2:$B$3015,Points!$A$2,'Web Feed'!$H$2:$H$3015,$B434)+SUMIFS('Web Feed'!$O$2:$O$3015,'Web Feed'!$B$2:$B$3015,Points!$A$2,'Web Feed'!$I$2:$I$3015,$B434))</f>
        <v/>
      </c>
      <c r="E434">
        <f>IF($B434="","",SUMIFS('Web Feed'!$O$2:$O$3015,'Web Feed'!$B$2:$B$3015,Points!$A$3,'Web Feed'!$F$2:$F$3015,$B434)+SUMIFS('Web Feed'!$O$2:$O$3015,'Web Feed'!$B$2:$B$3015,Points!$A$3,'Web Feed'!$G$2:$G$3015,$B434)+SUMIFS('Web Feed'!$O$2:$O$3015,'Web Feed'!$B$2:$B$3015,Points!$A$3,'Web Feed'!$H$2:$H$3015,$B434)+SUMIFS('Web Feed'!$O$2:$O$3015,'Web Feed'!$B$2:$B$3015,Points!$A$3,'Web Feed'!$I$2:$I$3015,$B434))</f>
        <v/>
      </c>
      <c r="F434">
        <f>IF($B434="","",SUMIFS('Web Feed'!$O$2:$O$3015,'Web Feed'!$B$2:$B$3015,Points!$A$4,'Web Feed'!$F$2:$F$3015,$B434)+SUMIFS('Web Feed'!$O$2:$O$3015,'Web Feed'!$B$2:$B$3015,Points!$A$4,'Web Feed'!$G$2:$G$3015,$B434)+SUMIFS('Web Feed'!$O$2:$O$3015,'Web Feed'!$B$2:$B$3015,Points!$A$4,'Web Feed'!$H$2:$H$3015,$B434)+SUMIFS('Web Feed'!$O$2:$O$3015,'Web Feed'!$B$2:$B$3015,Points!$A$4,'Web Feed'!$I$2:$I$3015,$B434))</f>
        <v/>
      </c>
      <c r="G434">
        <f>IF($B434="","",SUMIFS('Web Feed'!$O$2:$O$3015,'Web Feed'!$B$2:$B$3015,Points!$A$5,'Web Feed'!$F$2:$F$3015,$B434)+SUMIFS('Web Feed'!$O$2:$O$3015,'Web Feed'!$B$2:$B$3015,Points!$A$5,'Web Feed'!$G$2:$G$3015,$B434)+SUMIFS('Web Feed'!$O$2:$O$3015,'Web Feed'!$B$2:$B$3015,Points!$A$5,'Web Feed'!$H$2:$H$3015,$B434)+SUMIFS('Web Feed'!$O$2:$O$3015,'Web Feed'!$B$2:$B$3015,Points!$A$5,'Web Feed'!$I$2:$I$3015,$B434))</f>
        <v/>
      </c>
      <c r="H434">
        <f>IF($B434="","",SUMIFS('Web Feed'!$O$2:$O$3015,'Web Feed'!$B$2:$B$3015,Points!$A$6,'Web Feed'!$F$2:$F$3015,$B434)+SUMIFS('Web Feed'!$O$2:$O$3015,'Web Feed'!$B$2:$B$3015,Points!$A$6,'Web Feed'!$G$2:$G$3015,$B434)+SUMIFS('Web Feed'!$O$2:$O$3015,'Web Feed'!$B$2:$B$3015,Points!$A$6,'Web Feed'!$H$2:$H$3015,$B434)+SUMIFS('Web Feed'!$O$2:$O$3015,'Web Feed'!$B$2:$B$3015,Points!$A$6,'Web Feed'!$I$2:$I$3015,$B434))</f>
        <v/>
      </c>
      <c r="I434">
        <f>IF($B434="","",COUNTIFS('Web Feed'!$B$2:$B$3015,"OHW",'Web Feed'!$F$2:$F$3015,$B434))</f>
        <v/>
      </c>
      <c r="J434">
        <f>IF($B434="","",IFERROR(INDEX('Last Week'!$A$2:$A$301,MATCH($B434,'Last Week'!$B$2:$B$301,0)),""))</f>
        <v/>
      </c>
      <c r="K434">
        <f>IF(OR($B434="",$J434=""),"",$J434-$A434)</f>
        <v/>
      </c>
    </row>
    <row r="435">
      <c r="A435">
        <f>IF($B435="","",RANK($C435,$C$2:$C$500))</f>
        <v/>
      </c>
      <c r="B435">
        <f>IF(Players!$A435="","",Players!$A435)</f>
        <v/>
      </c>
      <c r="C435" s="5">
        <f>IF($B435="","",SUM(D435:H435))</f>
        <v/>
      </c>
      <c r="D435">
        <f>IF($B435="","",SUMIFS('Web Feed'!$O$2:$O$3015,'Web Feed'!$B$2:$B$3015,Points!$A$2,'Web Feed'!$F$2:$F$3015,$B435)+SUMIFS('Web Feed'!$O$2:$O$3015,'Web Feed'!$B$2:$B$3015,Points!$A$2,'Web Feed'!$G$2:$G$3015,$B435)+SUMIFS('Web Feed'!$O$2:$O$3015,'Web Feed'!$B$2:$B$3015,Points!$A$2,'Web Feed'!$H$2:$H$3015,$B435)+SUMIFS('Web Feed'!$O$2:$O$3015,'Web Feed'!$B$2:$B$3015,Points!$A$2,'Web Feed'!$I$2:$I$3015,$B435))</f>
        <v/>
      </c>
      <c r="E435">
        <f>IF($B435="","",SUMIFS('Web Feed'!$O$2:$O$3015,'Web Feed'!$B$2:$B$3015,Points!$A$3,'Web Feed'!$F$2:$F$3015,$B435)+SUMIFS('Web Feed'!$O$2:$O$3015,'Web Feed'!$B$2:$B$3015,Points!$A$3,'Web Feed'!$G$2:$G$3015,$B435)+SUMIFS('Web Feed'!$O$2:$O$3015,'Web Feed'!$B$2:$B$3015,Points!$A$3,'Web Feed'!$H$2:$H$3015,$B435)+SUMIFS('Web Feed'!$O$2:$O$3015,'Web Feed'!$B$2:$B$3015,Points!$A$3,'Web Feed'!$I$2:$I$3015,$B435))</f>
        <v/>
      </c>
      <c r="F435">
        <f>IF($B435="","",SUMIFS('Web Feed'!$O$2:$O$3015,'Web Feed'!$B$2:$B$3015,Points!$A$4,'Web Feed'!$F$2:$F$3015,$B435)+SUMIFS('Web Feed'!$O$2:$O$3015,'Web Feed'!$B$2:$B$3015,Points!$A$4,'Web Feed'!$G$2:$G$3015,$B435)+SUMIFS('Web Feed'!$O$2:$O$3015,'Web Feed'!$B$2:$B$3015,Points!$A$4,'Web Feed'!$H$2:$H$3015,$B435)+SUMIFS('Web Feed'!$O$2:$O$3015,'Web Feed'!$B$2:$B$3015,Points!$A$4,'Web Feed'!$I$2:$I$3015,$B435))</f>
        <v/>
      </c>
      <c r="G435">
        <f>IF($B435="","",SUMIFS('Web Feed'!$O$2:$O$3015,'Web Feed'!$B$2:$B$3015,Points!$A$5,'Web Feed'!$F$2:$F$3015,$B435)+SUMIFS('Web Feed'!$O$2:$O$3015,'Web Feed'!$B$2:$B$3015,Points!$A$5,'Web Feed'!$G$2:$G$3015,$B435)+SUMIFS('Web Feed'!$O$2:$O$3015,'Web Feed'!$B$2:$B$3015,Points!$A$5,'Web Feed'!$H$2:$H$3015,$B435)+SUMIFS('Web Feed'!$O$2:$O$3015,'Web Feed'!$B$2:$B$3015,Points!$A$5,'Web Feed'!$I$2:$I$3015,$B435))</f>
        <v/>
      </c>
      <c r="H435">
        <f>IF($B435="","",SUMIFS('Web Feed'!$O$2:$O$3015,'Web Feed'!$B$2:$B$3015,Points!$A$6,'Web Feed'!$F$2:$F$3015,$B435)+SUMIFS('Web Feed'!$O$2:$O$3015,'Web Feed'!$B$2:$B$3015,Points!$A$6,'Web Feed'!$G$2:$G$3015,$B435)+SUMIFS('Web Feed'!$O$2:$O$3015,'Web Feed'!$B$2:$B$3015,Points!$A$6,'Web Feed'!$H$2:$H$3015,$B435)+SUMIFS('Web Feed'!$O$2:$O$3015,'Web Feed'!$B$2:$B$3015,Points!$A$6,'Web Feed'!$I$2:$I$3015,$B435))</f>
        <v/>
      </c>
      <c r="I435">
        <f>IF($B435="","",COUNTIFS('Web Feed'!$B$2:$B$3015,"OHW",'Web Feed'!$F$2:$F$3015,$B435))</f>
        <v/>
      </c>
      <c r="J435">
        <f>IF($B435="","",IFERROR(INDEX('Last Week'!$A$2:$A$301,MATCH($B435,'Last Week'!$B$2:$B$301,0)),""))</f>
        <v/>
      </c>
      <c r="K435">
        <f>IF(OR($B435="",$J435=""),"",$J435-$A435)</f>
        <v/>
      </c>
    </row>
    <row r="436">
      <c r="A436">
        <f>IF($B436="","",RANK($C436,$C$2:$C$500))</f>
        <v/>
      </c>
      <c r="B436">
        <f>IF(Players!$A436="","",Players!$A436)</f>
        <v/>
      </c>
      <c r="C436" s="5">
        <f>IF($B436="","",SUM(D436:H436))</f>
        <v/>
      </c>
      <c r="D436">
        <f>IF($B436="","",SUMIFS('Web Feed'!$O$2:$O$3015,'Web Feed'!$B$2:$B$3015,Points!$A$2,'Web Feed'!$F$2:$F$3015,$B436)+SUMIFS('Web Feed'!$O$2:$O$3015,'Web Feed'!$B$2:$B$3015,Points!$A$2,'Web Feed'!$G$2:$G$3015,$B436)+SUMIFS('Web Feed'!$O$2:$O$3015,'Web Feed'!$B$2:$B$3015,Points!$A$2,'Web Feed'!$H$2:$H$3015,$B436)+SUMIFS('Web Feed'!$O$2:$O$3015,'Web Feed'!$B$2:$B$3015,Points!$A$2,'Web Feed'!$I$2:$I$3015,$B436))</f>
        <v/>
      </c>
      <c r="E436">
        <f>IF($B436="","",SUMIFS('Web Feed'!$O$2:$O$3015,'Web Feed'!$B$2:$B$3015,Points!$A$3,'Web Feed'!$F$2:$F$3015,$B436)+SUMIFS('Web Feed'!$O$2:$O$3015,'Web Feed'!$B$2:$B$3015,Points!$A$3,'Web Feed'!$G$2:$G$3015,$B436)+SUMIFS('Web Feed'!$O$2:$O$3015,'Web Feed'!$B$2:$B$3015,Points!$A$3,'Web Feed'!$H$2:$H$3015,$B436)+SUMIFS('Web Feed'!$O$2:$O$3015,'Web Feed'!$B$2:$B$3015,Points!$A$3,'Web Feed'!$I$2:$I$3015,$B436))</f>
        <v/>
      </c>
      <c r="F436">
        <f>IF($B436="","",SUMIFS('Web Feed'!$O$2:$O$3015,'Web Feed'!$B$2:$B$3015,Points!$A$4,'Web Feed'!$F$2:$F$3015,$B436)+SUMIFS('Web Feed'!$O$2:$O$3015,'Web Feed'!$B$2:$B$3015,Points!$A$4,'Web Feed'!$G$2:$G$3015,$B436)+SUMIFS('Web Feed'!$O$2:$O$3015,'Web Feed'!$B$2:$B$3015,Points!$A$4,'Web Feed'!$H$2:$H$3015,$B436)+SUMIFS('Web Feed'!$O$2:$O$3015,'Web Feed'!$B$2:$B$3015,Points!$A$4,'Web Feed'!$I$2:$I$3015,$B436))</f>
        <v/>
      </c>
      <c r="G436">
        <f>IF($B436="","",SUMIFS('Web Feed'!$O$2:$O$3015,'Web Feed'!$B$2:$B$3015,Points!$A$5,'Web Feed'!$F$2:$F$3015,$B436)+SUMIFS('Web Feed'!$O$2:$O$3015,'Web Feed'!$B$2:$B$3015,Points!$A$5,'Web Feed'!$G$2:$G$3015,$B436)+SUMIFS('Web Feed'!$O$2:$O$3015,'Web Feed'!$B$2:$B$3015,Points!$A$5,'Web Feed'!$H$2:$H$3015,$B436)+SUMIFS('Web Feed'!$O$2:$O$3015,'Web Feed'!$B$2:$B$3015,Points!$A$5,'Web Feed'!$I$2:$I$3015,$B436))</f>
        <v/>
      </c>
      <c r="H436">
        <f>IF($B436="","",SUMIFS('Web Feed'!$O$2:$O$3015,'Web Feed'!$B$2:$B$3015,Points!$A$6,'Web Feed'!$F$2:$F$3015,$B436)+SUMIFS('Web Feed'!$O$2:$O$3015,'Web Feed'!$B$2:$B$3015,Points!$A$6,'Web Feed'!$G$2:$G$3015,$B436)+SUMIFS('Web Feed'!$O$2:$O$3015,'Web Feed'!$B$2:$B$3015,Points!$A$6,'Web Feed'!$H$2:$H$3015,$B436)+SUMIFS('Web Feed'!$O$2:$O$3015,'Web Feed'!$B$2:$B$3015,Points!$A$6,'Web Feed'!$I$2:$I$3015,$B436))</f>
        <v/>
      </c>
      <c r="I436">
        <f>IF($B436="","",COUNTIFS('Web Feed'!$B$2:$B$3015,"OHW",'Web Feed'!$F$2:$F$3015,$B436))</f>
        <v/>
      </c>
      <c r="J436">
        <f>IF($B436="","",IFERROR(INDEX('Last Week'!$A$2:$A$301,MATCH($B436,'Last Week'!$B$2:$B$301,0)),""))</f>
        <v/>
      </c>
      <c r="K436">
        <f>IF(OR($B436="",$J436=""),"",$J436-$A436)</f>
        <v/>
      </c>
    </row>
    <row r="437">
      <c r="A437">
        <f>IF($B437="","",RANK($C437,$C$2:$C$500))</f>
        <v/>
      </c>
      <c r="B437">
        <f>IF(Players!$A437="","",Players!$A437)</f>
        <v/>
      </c>
      <c r="C437" s="5">
        <f>IF($B437="","",SUM(D437:H437))</f>
        <v/>
      </c>
      <c r="D437">
        <f>IF($B437="","",SUMIFS('Web Feed'!$O$2:$O$3015,'Web Feed'!$B$2:$B$3015,Points!$A$2,'Web Feed'!$F$2:$F$3015,$B437)+SUMIFS('Web Feed'!$O$2:$O$3015,'Web Feed'!$B$2:$B$3015,Points!$A$2,'Web Feed'!$G$2:$G$3015,$B437)+SUMIFS('Web Feed'!$O$2:$O$3015,'Web Feed'!$B$2:$B$3015,Points!$A$2,'Web Feed'!$H$2:$H$3015,$B437)+SUMIFS('Web Feed'!$O$2:$O$3015,'Web Feed'!$B$2:$B$3015,Points!$A$2,'Web Feed'!$I$2:$I$3015,$B437))</f>
        <v/>
      </c>
      <c r="E437">
        <f>IF($B437="","",SUMIFS('Web Feed'!$O$2:$O$3015,'Web Feed'!$B$2:$B$3015,Points!$A$3,'Web Feed'!$F$2:$F$3015,$B437)+SUMIFS('Web Feed'!$O$2:$O$3015,'Web Feed'!$B$2:$B$3015,Points!$A$3,'Web Feed'!$G$2:$G$3015,$B437)+SUMIFS('Web Feed'!$O$2:$O$3015,'Web Feed'!$B$2:$B$3015,Points!$A$3,'Web Feed'!$H$2:$H$3015,$B437)+SUMIFS('Web Feed'!$O$2:$O$3015,'Web Feed'!$B$2:$B$3015,Points!$A$3,'Web Feed'!$I$2:$I$3015,$B437))</f>
        <v/>
      </c>
      <c r="F437">
        <f>IF($B437="","",SUMIFS('Web Feed'!$O$2:$O$3015,'Web Feed'!$B$2:$B$3015,Points!$A$4,'Web Feed'!$F$2:$F$3015,$B437)+SUMIFS('Web Feed'!$O$2:$O$3015,'Web Feed'!$B$2:$B$3015,Points!$A$4,'Web Feed'!$G$2:$G$3015,$B437)+SUMIFS('Web Feed'!$O$2:$O$3015,'Web Feed'!$B$2:$B$3015,Points!$A$4,'Web Feed'!$H$2:$H$3015,$B437)+SUMIFS('Web Feed'!$O$2:$O$3015,'Web Feed'!$B$2:$B$3015,Points!$A$4,'Web Feed'!$I$2:$I$3015,$B437))</f>
        <v/>
      </c>
      <c r="G437">
        <f>IF($B437="","",SUMIFS('Web Feed'!$O$2:$O$3015,'Web Feed'!$B$2:$B$3015,Points!$A$5,'Web Feed'!$F$2:$F$3015,$B437)+SUMIFS('Web Feed'!$O$2:$O$3015,'Web Feed'!$B$2:$B$3015,Points!$A$5,'Web Feed'!$G$2:$G$3015,$B437)+SUMIFS('Web Feed'!$O$2:$O$3015,'Web Feed'!$B$2:$B$3015,Points!$A$5,'Web Feed'!$H$2:$H$3015,$B437)+SUMIFS('Web Feed'!$O$2:$O$3015,'Web Feed'!$B$2:$B$3015,Points!$A$5,'Web Feed'!$I$2:$I$3015,$B437))</f>
        <v/>
      </c>
      <c r="H437">
        <f>IF($B437="","",SUMIFS('Web Feed'!$O$2:$O$3015,'Web Feed'!$B$2:$B$3015,Points!$A$6,'Web Feed'!$F$2:$F$3015,$B437)+SUMIFS('Web Feed'!$O$2:$O$3015,'Web Feed'!$B$2:$B$3015,Points!$A$6,'Web Feed'!$G$2:$G$3015,$B437)+SUMIFS('Web Feed'!$O$2:$O$3015,'Web Feed'!$B$2:$B$3015,Points!$A$6,'Web Feed'!$H$2:$H$3015,$B437)+SUMIFS('Web Feed'!$O$2:$O$3015,'Web Feed'!$B$2:$B$3015,Points!$A$6,'Web Feed'!$I$2:$I$3015,$B437))</f>
        <v/>
      </c>
      <c r="I437">
        <f>IF($B437="","",COUNTIFS('Web Feed'!$B$2:$B$3015,"OHW",'Web Feed'!$F$2:$F$3015,$B437))</f>
        <v/>
      </c>
      <c r="J437">
        <f>IF($B437="","",IFERROR(INDEX('Last Week'!$A$2:$A$301,MATCH($B437,'Last Week'!$B$2:$B$301,0)),""))</f>
        <v/>
      </c>
      <c r="K437">
        <f>IF(OR($B437="",$J437=""),"",$J437-$A437)</f>
        <v/>
      </c>
    </row>
    <row r="438">
      <c r="A438">
        <f>IF($B438="","",RANK($C438,$C$2:$C$500))</f>
        <v/>
      </c>
      <c r="B438">
        <f>IF(Players!$A438="","",Players!$A438)</f>
        <v/>
      </c>
      <c r="C438" s="5">
        <f>IF($B438="","",SUM(D438:H438))</f>
        <v/>
      </c>
      <c r="D438">
        <f>IF($B438="","",SUMIFS('Web Feed'!$O$2:$O$3015,'Web Feed'!$B$2:$B$3015,Points!$A$2,'Web Feed'!$F$2:$F$3015,$B438)+SUMIFS('Web Feed'!$O$2:$O$3015,'Web Feed'!$B$2:$B$3015,Points!$A$2,'Web Feed'!$G$2:$G$3015,$B438)+SUMIFS('Web Feed'!$O$2:$O$3015,'Web Feed'!$B$2:$B$3015,Points!$A$2,'Web Feed'!$H$2:$H$3015,$B438)+SUMIFS('Web Feed'!$O$2:$O$3015,'Web Feed'!$B$2:$B$3015,Points!$A$2,'Web Feed'!$I$2:$I$3015,$B438))</f>
        <v/>
      </c>
      <c r="E438">
        <f>IF($B438="","",SUMIFS('Web Feed'!$O$2:$O$3015,'Web Feed'!$B$2:$B$3015,Points!$A$3,'Web Feed'!$F$2:$F$3015,$B438)+SUMIFS('Web Feed'!$O$2:$O$3015,'Web Feed'!$B$2:$B$3015,Points!$A$3,'Web Feed'!$G$2:$G$3015,$B438)+SUMIFS('Web Feed'!$O$2:$O$3015,'Web Feed'!$B$2:$B$3015,Points!$A$3,'Web Feed'!$H$2:$H$3015,$B438)+SUMIFS('Web Feed'!$O$2:$O$3015,'Web Feed'!$B$2:$B$3015,Points!$A$3,'Web Feed'!$I$2:$I$3015,$B438))</f>
        <v/>
      </c>
      <c r="F438">
        <f>IF($B438="","",SUMIFS('Web Feed'!$O$2:$O$3015,'Web Feed'!$B$2:$B$3015,Points!$A$4,'Web Feed'!$F$2:$F$3015,$B438)+SUMIFS('Web Feed'!$O$2:$O$3015,'Web Feed'!$B$2:$B$3015,Points!$A$4,'Web Feed'!$G$2:$G$3015,$B438)+SUMIFS('Web Feed'!$O$2:$O$3015,'Web Feed'!$B$2:$B$3015,Points!$A$4,'Web Feed'!$H$2:$H$3015,$B438)+SUMIFS('Web Feed'!$O$2:$O$3015,'Web Feed'!$B$2:$B$3015,Points!$A$4,'Web Feed'!$I$2:$I$3015,$B438))</f>
        <v/>
      </c>
      <c r="G438">
        <f>IF($B438="","",SUMIFS('Web Feed'!$O$2:$O$3015,'Web Feed'!$B$2:$B$3015,Points!$A$5,'Web Feed'!$F$2:$F$3015,$B438)+SUMIFS('Web Feed'!$O$2:$O$3015,'Web Feed'!$B$2:$B$3015,Points!$A$5,'Web Feed'!$G$2:$G$3015,$B438)+SUMIFS('Web Feed'!$O$2:$O$3015,'Web Feed'!$B$2:$B$3015,Points!$A$5,'Web Feed'!$H$2:$H$3015,$B438)+SUMIFS('Web Feed'!$O$2:$O$3015,'Web Feed'!$B$2:$B$3015,Points!$A$5,'Web Feed'!$I$2:$I$3015,$B438))</f>
        <v/>
      </c>
      <c r="H438">
        <f>IF($B438="","",SUMIFS('Web Feed'!$O$2:$O$3015,'Web Feed'!$B$2:$B$3015,Points!$A$6,'Web Feed'!$F$2:$F$3015,$B438)+SUMIFS('Web Feed'!$O$2:$O$3015,'Web Feed'!$B$2:$B$3015,Points!$A$6,'Web Feed'!$G$2:$G$3015,$B438)+SUMIFS('Web Feed'!$O$2:$O$3015,'Web Feed'!$B$2:$B$3015,Points!$A$6,'Web Feed'!$H$2:$H$3015,$B438)+SUMIFS('Web Feed'!$O$2:$O$3015,'Web Feed'!$B$2:$B$3015,Points!$A$6,'Web Feed'!$I$2:$I$3015,$B438))</f>
        <v/>
      </c>
      <c r="I438">
        <f>IF($B438="","",COUNTIFS('Web Feed'!$B$2:$B$3015,"OHW",'Web Feed'!$F$2:$F$3015,$B438))</f>
        <v/>
      </c>
      <c r="J438">
        <f>IF($B438="","",IFERROR(INDEX('Last Week'!$A$2:$A$301,MATCH($B438,'Last Week'!$B$2:$B$301,0)),""))</f>
        <v/>
      </c>
      <c r="K438">
        <f>IF(OR($B438="",$J438=""),"",$J438-$A438)</f>
        <v/>
      </c>
    </row>
    <row r="439">
      <c r="A439">
        <f>IF($B439="","",RANK($C439,$C$2:$C$500))</f>
        <v/>
      </c>
      <c r="B439">
        <f>IF(Players!$A439="","",Players!$A439)</f>
        <v/>
      </c>
      <c r="C439" s="5">
        <f>IF($B439="","",SUM(D439:H439))</f>
        <v/>
      </c>
      <c r="D439">
        <f>IF($B439="","",SUMIFS('Web Feed'!$O$2:$O$3015,'Web Feed'!$B$2:$B$3015,Points!$A$2,'Web Feed'!$F$2:$F$3015,$B439)+SUMIFS('Web Feed'!$O$2:$O$3015,'Web Feed'!$B$2:$B$3015,Points!$A$2,'Web Feed'!$G$2:$G$3015,$B439)+SUMIFS('Web Feed'!$O$2:$O$3015,'Web Feed'!$B$2:$B$3015,Points!$A$2,'Web Feed'!$H$2:$H$3015,$B439)+SUMIFS('Web Feed'!$O$2:$O$3015,'Web Feed'!$B$2:$B$3015,Points!$A$2,'Web Feed'!$I$2:$I$3015,$B439))</f>
        <v/>
      </c>
      <c r="E439">
        <f>IF($B439="","",SUMIFS('Web Feed'!$O$2:$O$3015,'Web Feed'!$B$2:$B$3015,Points!$A$3,'Web Feed'!$F$2:$F$3015,$B439)+SUMIFS('Web Feed'!$O$2:$O$3015,'Web Feed'!$B$2:$B$3015,Points!$A$3,'Web Feed'!$G$2:$G$3015,$B439)+SUMIFS('Web Feed'!$O$2:$O$3015,'Web Feed'!$B$2:$B$3015,Points!$A$3,'Web Feed'!$H$2:$H$3015,$B439)+SUMIFS('Web Feed'!$O$2:$O$3015,'Web Feed'!$B$2:$B$3015,Points!$A$3,'Web Feed'!$I$2:$I$3015,$B439))</f>
        <v/>
      </c>
      <c r="F439">
        <f>IF($B439="","",SUMIFS('Web Feed'!$O$2:$O$3015,'Web Feed'!$B$2:$B$3015,Points!$A$4,'Web Feed'!$F$2:$F$3015,$B439)+SUMIFS('Web Feed'!$O$2:$O$3015,'Web Feed'!$B$2:$B$3015,Points!$A$4,'Web Feed'!$G$2:$G$3015,$B439)+SUMIFS('Web Feed'!$O$2:$O$3015,'Web Feed'!$B$2:$B$3015,Points!$A$4,'Web Feed'!$H$2:$H$3015,$B439)+SUMIFS('Web Feed'!$O$2:$O$3015,'Web Feed'!$B$2:$B$3015,Points!$A$4,'Web Feed'!$I$2:$I$3015,$B439))</f>
        <v/>
      </c>
      <c r="G439">
        <f>IF($B439="","",SUMIFS('Web Feed'!$O$2:$O$3015,'Web Feed'!$B$2:$B$3015,Points!$A$5,'Web Feed'!$F$2:$F$3015,$B439)+SUMIFS('Web Feed'!$O$2:$O$3015,'Web Feed'!$B$2:$B$3015,Points!$A$5,'Web Feed'!$G$2:$G$3015,$B439)+SUMIFS('Web Feed'!$O$2:$O$3015,'Web Feed'!$B$2:$B$3015,Points!$A$5,'Web Feed'!$H$2:$H$3015,$B439)+SUMIFS('Web Feed'!$O$2:$O$3015,'Web Feed'!$B$2:$B$3015,Points!$A$5,'Web Feed'!$I$2:$I$3015,$B439))</f>
        <v/>
      </c>
      <c r="H439">
        <f>IF($B439="","",SUMIFS('Web Feed'!$O$2:$O$3015,'Web Feed'!$B$2:$B$3015,Points!$A$6,'Web Feed'!$F$2:$F$3015,$B439)+SUMIFS('Web Feed'!$O$2:$O$3015,'Web Feed'!$B$2:$B$3015,Points!$A$6,'Web Feed'!$G$2:$G$3015,$B439)+SUMIFS('Web Feed'!$O$2:$O$3015,'Web Feed'!$B$2:$B$3015,Points!$A$6,'Web Feed'!$H$2:$H$3015,$B439)+SUMIFS('Web Feed'!$O$2:$O$3015,'Web Feed'!$B$2:$B$3015,Points!$A$6,'Web Feed'!$I$2:$I$3015,$B439))</f>
        <v/>
      </c>
      <c r="I439">
        <f>IF($B439="","",COUNTIFS('Web Feed'!$B$2:$B$3015,"OHW",'Web Feed'!$F$2:$F$3015,$B439))</f>
        <v/>
      </c>
      <c r="J439">
        <f>IF($B439="","",IFERROR(INDEX('Last Week'!$A$2:$A$301,MATCH($B439,'Last Week'!$B$2:$B$301,0)),""))</f>
        <v/>
      </c>
      <c r="K439">
        <f>IF(OR($B439="",$J439=""),"",$J439-$A439)</f>
        <v/>
      </c>
    </row>
    <row r="440">
      <c r="A440">
        <f>IF($B440="","",RANK($C440,$C$2:$C$500))</f>
        <v/>
      </c>
      <c r="B440">
        <f>IF(Players!$A440="","",Players!$A440)</f>
        <v/>
      </c>
      <c r="C440" s="5">
        <f>IF($B440="","",SUM(D440:H440))</f>
        <v/>
      </c>
      <c r="D440">
        <f>IF($B440="","",SUMIFS('Web Feed'!$O$2:$O$3015,'Web Feed'!$B$2:$B$3015,Points!$A$2,'Web Feed'!$F$2:$F$3015,$B440)+SUMIFS('Web Feed'!$O$2:$O$3015,'Web Feed'!$B$2:$B$3015,Points!$A$2,'Web Feed'!$G$2:$G$3015,$B440)+SUMIFS('Web Feed'!$O$2:$O$3015,'Web Feed'!$B$2:$B$3015,Points!$A$2,'Web Feed'!$H$2:$H$3015,$B440)+SUMIFS('Web Feed'!$O$2:$O$3015,'Web Feed'!$B$2:$B$3015,Points!$A$2,'Web Feed'!$I$2:$I$3015,$B440))</f>
        <v/>
      </c>
      <c r="E440">
        <f>IF($B440="","",SUMIFS('Web Feed'!$O$2:$O$3015,'Web Feed'!$B$2:$B$3015,Points!$A$3,'Web Feed'!$F$2:$F$3015,$B440)+SUMIFS('Web Feed'!$O$2:$O$3015,'Web Feed'!$B$2:$B$3015,Points!$A$3,'Web Feed'!$G$2:$G$3015,$B440)+SUMIFS('Web Feed'!$O$2:$O$3015,'Web Feed'!$B$2:$B$3015,Points!$A$3,'Web Feed'!$H$2:$H$3015,$B440)+SUMIFS('Web Feed'!$O$2:$O$3015,'Web Feed'!$B$2:$B$3015,Points!$A$3,'Web Feed'!$I$2:$I$3015,$B440))</f>
        <v/>
      </c>
      <c r="F440">
        <f>IF($B440="","",SUMIFS('Web Feed'!$O$2:$O$3015,'Web Feed'!$B$2:$B$3015,Points!$A$4,'Web Feed'!$F$2:$F$3015,$B440)+SUMIFS('Web Feed'!$O$2:$O$3015,'Web Feed'!$B$2:$B$3015,Points!$A$4,'Web Feed'!$G$2:$G$3015,$B440)+SUMIFS('Web Feed'!$O$2:$O$3015,'Web Feed'!$B$2:$B$3015,Points!$A$4,'Web Feed'!$H$2:$H$3015,$B440)+SUMIFS('Web Feed'!$O$2:$O$3015,'Web Feed'!$B$2:$B$3015,Points!$A$4,'Web Feed'!$I$2:$I$3015,$B440))</f>
        <v/>
      </c>
      <c r="G440">
        <f>IF($B440="","",SUMIFS('Web Feed'!$O$2:$O$3015,'Web Feed'!$B$2:$B$3015,Points!$A$5,'Web Feed'!$F$2:$F$3015,$B440)+SUMIFS('Web Feed'!$O$2:$O$3015,'Web Feed'!$B$2:$B$3015,Points!$A$5,'Web Feed'!$G$2:$G$3015,$B440)+SUMIFS('Web Feed'!$O$2:$O$3015,'Web Feed'!$B$2:$B$3015,Points!$A$5,'Web Feed'!$H$2:$H$3015,$B440)+SUMIFS('Web Feed'!$O$2:$O$3015,'Web Feed'!$B$2:$B$3015,Points!$A$5,'Web Feed'!$I$2:$I$3015,$B440))</f>
        <v/>
      </c>
      <c r="H440">
        <f>IF($B440="","",SUMIFS('Web Feed'!$O$2:$O$3015,'Web Feed'!$B$2:$B$3015,Points!$A$6,'Web Feed'!$F$2:$F$3015,$B440)+SUMIFS('Web Feed'!$O$2:$O$3015,'Web Feed'!$B$2:$B$3015,Points!$A$6,'Web Feed'!$G$2:$G$3015,$B440)+SUMIFS('Web Feed'!$O$2:$O$3015,'Web Feed'!$B$2:$B$3015,Points!$A$6,'Web Feed'!$H$2:$H$3015,$B440)+SUMIFS('Web Feed'!$O$2:$O$3015,'Web Feed'!$B$2:$B$3015,Points!$A$6,'Web Feed'!$I$2:$I$3015,$B440))</f>
        <v/>
      </c>
      <c r="I440">
        <f>IF($B440="","",COUNTIFS('Web Feed'!$B$2:$B$3015,"OHW",'Web Feed'!$F$2:$F$3015,$B440))</f>
        <v/>
      </c>
      <c r="J440">
        <f>IF($B440="","",IFERROR(INDEX('Last Week'!$A$2:$A$301,MATCH($B440,'Last Week'!$B$2:$B$301,0)),""))</f>
        <v/>
      </c>
      <c r="K440">
        <f>IF(OR($B440="",$J440=""),"",$J440-$A440)</f>
        <v/>
      </c>
    </row>
    <row r="441">
      <c r="A441">
        <f>IF($B441="","",RANK($C441,$C$2:$C$500))</f>
        <v/>
      </c>
      <c r="B441">
        <f>IF(Players!$A441="","",Players!$A441)</f>
        <v/>
      </c>
      <c r="C441" s="5">
        <f>IF($B441="","",SUM(D441:H441))</f>
        <v/>
      </c>
      <c r="D441">
        <f>IF($B441="","",SUMIFS('Web Feed'!$O$2:$O$3015,'Web Feed'!$B$2:$B$3015,Points!$A$2,'Web Feed'!$F$2:$F$3015,$B441)+SUMIFS('Web Feed'!$O$2:$O$3015,'Web Feed'!$B$2:$B$3015,Points!$A$2,'Web Feed'!$G$2:$G$3015,$B441)+SUMIFS('Web Feed'!$O$2:$O$3015,'Web Feed'!$B$2:$B$3015,Points!$A$2,'Web Feed'!$H$2:$H$3015,$B441)+SUMIFS('Web Feed'!$O$2:$O$3015,'Web Feed'!$B$2:$B$3015,Points!$A$2,'Web Feed'!$I$2:$I$3015,$B441))</f>
        <v/>
      </c>
      <c r="E441">
        <f>IF($B441="","",SUMIFS('Web Feed'!$O$2:$O$3015,'Web Feed'!$B$2:$B$3015,Points!$A$3,'Web Feed'!$F$2:$F$3015,$B441)+SUMIFS('Web Feed'!$O$2:$O$3015,'Web Feed'!$B$2:$B$3015,Points!$A$3,'Web Feed'!$G$2:$G$3015,$B441)+SUMIFS('Web Feed'!$O$2:$O$3015,'Web Feed'!$B$2:$B$3015,Points!$A$3,'Web Feed'!$H$2:$H$3015,$B441)+SUMIFS('Web Feed'!$O$2:$O$3015,'Web Feed'!$B$2:$B$3015,Points!$A$3,'Web Feed'!$I$2:$I$3015,$B441))</f>
        <v/>
      </c>
      <c r="F441">
        <f>IF($B441="","",SUMIFS('Web Feed'!$O$2:$O$3015,'Web Feed'!$B$2:$B$3015,Points!$A$4,'Web Feed'!$F$2:$F$3015,$B441)+SUMIFS('Web Feed'!$O$2:$O$3015,'Web Feed'!$B$2:$B$3015,Points!$A$4,'Web Feed'!$G$2:$G$3015,$B441)+SUMIFS('Web Feed'!$O$2:$O$3015,'Web Feed'!$B$2:$B$3015,Points!$A$4,'Web Feed'!$H$2:$H$3015,$B441)+SUMIFS('Web Feed'!$O$2:$O$3015,'Web Feed'!$B$2:$B$3015,Points!$A$4,'Web Feed'!$I$2:$I$3015,$B441))</f>
        <v/>
      </c>
      <c r="G441">
        <f>IF($B441="","",SUMIFS('Web Feed'!$O$2:$O$3015,'Web Feed'!$B$2:$B$3015,Points!$A$5,'Web Feed'!$F$2:$F$3015,$B441)+SUMIFS('Web Feed'!$O$2:$O$3015,'Web Feed'!$B$2:$B$3015,Points!$A$5,'Web Feed'!$G$2:$G$3015,$B441)+SUMIFS('Web Feed'!$O$2:$O$3015,'Web Feed'!$B$2:$B$3015,Points!$A$5,'Web Feed'!$H$2:$H$3015,$B441)+SUMIFS('Web Feed'!$O$2:$O$3015,'Web Feed'!$B$2:$B$3015,Points!$A$5,'Web Feed'!$I$2:$I$3015,$B441))</f>
        <v/>
      </c>
      <c r="H441">
        <f>IF($B441="","",SUMIFS('Web Feed'!$O$2:$O$3015,'Web Feed'!$B$2:$B$3015,Points!$A$6,'Web Feed'!$F$2:$F$3015,$B441)+SUMIFS('Web Feed'!$O$2:$O$3015,'Web Feed'!$B$2:$B$3015,Points!$A$6,'Web Feed'!$G$2:$G$3015,$B441)+SUMIFS('Web Feed'!$O$2:$O$3015,'Web Feed'!$B$2:$B$3015,Points!$A$6,'Web Feed'!$H$2:$H$3015,$B441)+SUMIFS('Web Feed'!$O$2:$O$3015,'Web Feed'!$B$2:$B$3015,Points!$A$6,'Web Feed'!$I$2:$I$3015,$B441))</f>
        <v/>
      </c>
      <c r="I441">
        <f>IF($B441="","",COUNTIFS('Web Feed'!$B$2:$B$3015,"OHW",'Web Feed'!$F$2:$F$3015,$B441))</f>
        <v/>
      </c>
      <c r="J441">
        <f>IF($B441="","",IFERROR(INDEX('Last Week'!$A$2:$A$301,MATCH($B441,'Last Week'!$B$2:$B$301,0)),""))</f>
        <v/>
      </c>
      <c r="K441">
        <f>IF(OR($B441="",$J441=""),"",$J441-$A441)</f>
        <v/>
      </c>
    </row>
    <row r="442">
      <c r="A442">
        <f>IF($B442="","",RANK($C442,$C$2:$C$500))</f>
        <v/>
      </c>
      <c r="B442">
        <f>IF(Players!$A442="","",Players!$A442)</f>
        <v/>
      </c>
      <c r="C442" s="5">
        <f>IF($B442="","",SUM(D442:H442))</f>
        <v/>
      </c>
      <c r="D442">
        <f>IF($B442="","",SUMIFS('Web Feed'!$O$2:$O$3015,'Web Feed'!$B$2:$B$3015,Points!$A$2,'Web Feed'!$F$2:$F$3015,$B442)+SUMIFS('Web Feed'!$O$2:$O$3015,'Web Feed'!$B$2:$B$3015,Points!$A$2,'Web Feed'!$G$2:$G$3015,$B442)+SUMIFS('Web Feed'!$O$2:$O$3015,'Web Feed'!$B$2:$B$3015,Points!$A$2,'Web Feed'!$H$2:$H$3015,$B442)+SUMIFS('Web Feed'!$O$2:$O$3015,'Web Feed'!$B$2:$B$3015,Points!$A$2,'Web Feed'!$I$2:$I$3015,$B442))</f>
        <v/>
      </c>
      <c r="E442">
        <f>IF($B442="","",SUMIFS('Web Feed'!$O$2:$O$3015,'Web Feed'!$B$2:$B$3015,Points!$A$3,'Web Feed'!$F$2:$F$3015,$B442)+SUMIFS('Web Feed'!$O$2:$O$3015,'Web Feed'!$B$2:$B$3015,Points!$A$3,'Web Feed'!$G$2:$G$3015,$B442)+SUMIFS('Web Feed'!$O$2:$O$3015,'Web Feed'!$B$2:$B$3015,Points!$A$3,'Web Feed'!$H$2:$H$3015,$B442)+SUMIFS('Web Feed'!$O$2:$O$3015,'Web Feed'!$B$2:$B$3015,Points!$A$3,'Web Feed'!$I$2:$I$3015,$B442))</f>
        <v/>
      </c>
      <c r="F442">
        <f>IF($B442="","",SUMIFS('Web Feed'!$O$2:$O$3015,'Web Feed'!$B$2:$B$3015,Points!$A$4,'Web Feed'!$F$2:$F$3015,$B442)+SUMIFS('Web Feed'!$O$2:$O$3015,'Web Feed'!$B$2:$B$3015,Points!$A$4,'Web Feed'!$G$2:$G$3015,$B442)+SUMIFS('Web Feed'!$O$2:$O$3015,'Web Feed'!$B$2:$B$3015,Points!$A$4,'Web Feed'!$H$2:$H$3015,$B442)+SUMIFS('Web Feed'!$O$2:$O$3015,'Web Feed'!$B$2:$B$3015,Points!$A$4,'Web Feed'!$I$2:$I$3015,$B442))</f>
        <v/>
      </c>
      <c r="G442">
        <f>IF($B442="","",SUMIFS('Web Feed'!$O$2:$O$3015,'Web Feed'!$B$2:$B$3015,Points!$A$5,'Web Feed'!$F$2:$F$3015,$B442)+SUMIFS('Web Feed'!$O$2:$O$3015,'Web Feed'!$B$2:$B$3015,Points!$A$5,'Web Feed'!$G$2:$G$3015,$B442)+SUMIFS('Web Feed'!$O$2:$O$3015,'Web Feed'!$B$2:$B$3015,Points!$A$5,'Web Feed'!$H$2:$H$3015,$B442)+SUMIFS('Web Feed'!$O$2:$O$3015,'Web Feed'!$B$2:$B$3015,Points!$A$5,'Web Feed'!$I$2:$I$3015,$B442))</f>
        <v/>
      </c>
      <c r="H442">
        <f>IF($B442="","",SUMIFS('Web Feed'!$O$2:$O$3015,'Web Feed'!$B$2:$B$3015,Points!$A$6,'Web Feed'!$F$2:$F$3015,$B442)+SUMIFS('Web Feed'!$O$2:$O$3015,'Web Feed'!$B$2:$B$3015,Points!$A$6,'Web Feed'!$G$2:$G$3015,$B442)+SUMIFS('Web Feed'!$O$2:$O$3015,'Web Feed'!$B$2:$B$3015,Points!$A$6,'Web Feed'!$H$2:$H$3015,$B442)+SUMIFS('Web Feed'!$O$2:$O$3015,'Web Feed'!$B$2:$B$3015,Points!$A$6,'Web Feed'!$I$2:$I$3015,$B442))</f>
        <v/>
      </c>
      <c r="I442">
        <f>IF($B442="","",COUNTIFS('Web Feed'!$B$2:$B$3015,"OHW",'Web Feed'!$F$2:$F$3015,$B442))</f>
        <v/>
      </c>
      <c r="J442">
        <f>IF($B442="","",IFERROR(INDEX('Last Week'!$A$2:$A$301,MATCH($B442,'Last Week'!$B$2:$B$301,0)),""))</f>
        <v/>
      </c>
      <c r="K442">
        <f>IF(OR($B442="",$J442=""),"",$J442-$A442)</f>
        <v/>
      </c>
    </row>
    <row r="443">
      <c r="A443">
        <f>IF($B443="","",RANK($C443,$C$2:$C$500))</f>
        <v/>
      </c>
      <c r="B443">
        <f>IF(Players!$A443="","",Players!$A443)</f>
        <v/>
      </c>
      <c r="C443" s="5">
        <f>IF($B443="","",SUM(D443:H443))</f>
        <v/>
      </c>
      <c r="D443">
        <f>IF($B443="","",SUMIFS('Web Feed'!$O$2:$O$3015,'Web Feed'!$B$2:$B$3015,Points!$A$2,'Web Feed'!$F$2:$F$3015,$B443)+SUMIFS('Web Feed'!$O$2:$O$3015,'Web Feed'!$B$2:$B$3015,Points!$A$2,'Web Feed'!$G$2:$G$3015,$B443)+SUMIFS('Web Feed'!$O$2:$O$3015,'Web Feed'!$B$2:$B$3015,Points!$A$2,'Web Feed'!$H$2:$H$3015,$B443)+SUMIFS('Web Feed'!$O$2:$O$3015,'Web Feed'!$B$2:$B$3015,Points!$A$2,'Web Feed'!$I$2:$I$3015,$B443))</f>
        <v/>
      </c>
      <c r="E443">
        <f>IF($B443="","",SUMIFS('Web Feed'!$O$2:$O$3015,'Web Feed'!$B$2:$B$3015,Points!$A$3,'Web Feed'!$F$2:$F$3015,$B443)+SUMIFS('Web Feed'!$O$2:$O$3015,'Web Feed'!$B$2:$B$3015,Points!$A$3,'Web Feed'!$G$2:$G$3015,$B443)+SUMIFS('Web Feed'!$O$2:$O$3015,'Web Feed'!$B$2:$B$3015,Points!$A$3,'Web Feed'!$H$2:$H$3015,$B443)+SUMIFS('Web Feed'!$O$2:$O$3015,'Web Feed'!$B$2:$B$3015,Points!$A$3,'Web Feed'!$I$2:$I$3015,$B443))</f>
        <v/>
      </c>
      <c r="F443">
        <f>IF($B443="","",SUMIFS('Web Feed'!$O$2:$O$3015,'Web Feed'!$B$2:$B$3015,Points!$A$4,'Web Feed'!$F$2:$F$3015,$B443)+SUMIFS('Web Feed'!$O$2:$O$3015,'Web Feed'!$B$2:$B$3015,Points!$A$4,'Web Feed'!$G$2:$G$3015,$B443)+SUMIFS('Web Feed'!$O$2:$O$3015,'Web Feed'!$B$2:$B$3015,Points!$A$4,'Web Feed'!$H$2:$H$3015,$B443)+SUMIFS('Web Feed'!$O$2:$O$3015,'Web Feed'!$B$2:$B$3015,Points!$A$4,'Web Feed'!$I$2:$I$3015,$B443))</f>
        <v/>
      </c>
      <c r="G443">
        <f>IF($B443="","",SUMIFS('Web Feed'!$O$2:$O$3015,'Web Feed'!$B$2:$B$3015,Points!$A$5,'Web Feed'!$F$2:$F$3015,$B443)+SUMIFS('Web Feed'!$O$2:$O$3015,'Web Feed'!$B$2:$B$3015,Points!$A$5,'Web Feed'!$G$2:$G$3015,$B443)+SUMIFS('Web Feed'!$O$2:$O$3015,'Web Feed'!$B$2:$B$3015,Points!$A$5,'Web Feed'!$H$2:$H$3015,$B443)+SUMIFS('Web Feed'!$O$2:$O$3015,'Web Feed'!$B$2:$B$3015,Points!$A$5,'Web Feed'!$I$2:$I$3015,$B443))</f>
        <v/>
      </c>
      <c r="H443">
        <f>IF($B443="","",SUMIFS('Web Feed'!$O$2:$O$3015,'Web Feed'!$B$2:$B$3015,Points!$A$6,'Web Feed'!$F$2:$F$3015,$B443)+SUMIFS('Web Feed'!$O$2:$O$3015,'Web Feed'!$B$2:$B$3015,Points!$A$6,'Web Feed'!$G$2:$G$3015,$B443)+SUMIFS('Web Feed'!$O$2:$O$3015,'Web Feed'!$B$2:$B$3015,Points!$A$6,'Web Feed'!$H$2:$H$3015,$B443)+SUMIFS('Web Feed'!$O$2:$O$3015,'Web Feed'!$B$2:$B$3015,Points!$A$6,'Web Feed'!$I$2:$I$3015,$B443))</f>
        <v/>
      </c>
      <c r="I443">
        <f>IF($B443="","",COUNTIFS('Web Feed'!$B$2:$B$3015,"OHW",'Web Feed'!$F$2:$F$3015,$B443))</f>
        <v/>
      </c>
      <c r="J443">
        <f>IF($B443="","",IFERROR(INDEX('Last Week'!$A$2:$A$301,MATCH($B443,'Last Week'!$B$2:$B$301,0)),""))</f>
        <v/>
      </c>
      <c r="K443">
        <f>IF(OR($B443="",$J443=""),"",$J443-$A443)</f>
        <v/>
      </c>
    </row>
    <row r="444">
      <c r="A444">
        <f>IF($B444="","",RANK($C444,$C$2:$C$500))</f>
        <v/>
      </c>
      <c r="B444">
        <f>IF(Players!$A444="","",Players!$A444)</f>
        <v/>
      </c>
      <c r="C444" s="5">
        <f>IF($B444="","",SUM(D444:H444))</f>
        <v/>
      </c>
      <c r="D444">
        <f>IF($B444="","",SUMIFS('Web Feed'!$O$2:$O$3015,'Web Feed'!$B$2:$B$3015,Points!$A$2,'Web Feed'!$F$2:$F$3015,$B444)+SUMIFS('Web Feed'!$O$2:$O$3015,'Web Feed'!$B$2:$B$3015,Points!$A$2,'Web Feed'!$G$2:$G$3015,$B444)+SUMIFS('Web Feed'!$O$2:$O$3015,'Web Feed'!$B$2:$B$3015,Points!$A$2,'Web Feed'!$H$2:$H$3015,$B444)+SUMIFS('Web Feed'!$O$2:$O$3015,'Web Feed'!$B$2:$B$3015,Points!$A$2,'Web Feed'!$I$2:$I$3015,$B444))</f>
        <v/>
      </c>
      <c r="E444">
        <f>IF($B444="","",SUMIFS('Web Feed'!$O$2:$O$3015,'Web Feed'!$B$2:$B$3015,Points!$A$3,'Web Feed'!$F$2:$F$3015,$B444)+SUMIFS('Web Feed'!$O$2:$O$3015,'Web Feed'!$B$2:$B$3015,Points!$A$3,'Web Feed'!$G$2:$G$3015,$B444)+SUMIFS('Web Feed'!$O$2:$O$3015,'Web Feed'!$B$2:$B$3015,Points!$A$3,'Web Feed'!$H$2:$H$3015,$B444)+SUMIFS('Web Feed'!$O$2:$O$3015,'Web Feed'!$B$2:$B$3015,Points!$A$3,'Web Feed'!$I$2:$I$3015,$B444))</f>
        <v/>
      </c>
      <c r="F444">
        <f>IF($B444="","",SUMIFS('Web Feed'!$O$2:$O$3015,'Web Feed'!$B$2:$B$3015,Points!$A$4,'Web Feed'!$F$2:$F$3015,$B444)+SUMIFS('Web Feed'!$O$2:$O$3015,'Web Feed'!$B$2:$B$3015,Points!$A$4,'Web Feed'!$G$2:$G$3015,$B444)+SUMIFS('Web Feed'!$O$2:$O$3015,'Web Feed'!$B$2:$B$3015,Points!$A$4,'Web Feed'!$H$2:$H$3015,$B444)+SUMIFS('Web Feed'!$O$2:$O$3015,'Web Feed'!$B$2:$B$3015,Points!$A$4,'Web Feed'!$I$2:$I$3015,$B444))</f>
        <v/>
      </c>
      <c r="G444">
        <f>IF($B444="","",SUMIFS('Web Feed'!$O$2:$O$3015,'Web Feed'!$B$2:$B$3015,Points!$A$5,'Web Feed'!$F$2:$F$3015,$B444)+SUMIFS('Web Feed'!$O$2:$O$3015,'Web Feed'!$B$2:$B$3015,Points!$A$5,'Web Feed'!$G$2:$G$3015,$B444)+SUMIFS('Web Feed'!$O$2:$O$3015,'Web Feed'!$B$2:$B$3015,Points!$A$5,'Web Feed'!$H$2:$H$3015,$B444)+SUMIFS('Web Feed'!$O$2:$O$3015,'Web Feed'!$B$2:$B$3015,Points!$A$5,'Web Feed'!$I$2:$I$3015,$B444))</f>
        <v/>
      </c>
      <c r="H444">
        <f>IF($B444="","",SUMIFS('Web Feed'!$O$2:$O$3015,'Web Feed'!$B$2:$B$3015,Points!$A$6,'Web Feed'!$F$2:$F$3015,$B444)+SUMIFS('Web Feed'!$O$2:$O$3015,'Web Feed'!$B$2:$B$3015,Points!$A$6,'Web Feed'!$G$2:$G$3015,$B444)+SUMIFS('Web Feed'!$O$2:$O$3015,'Web Feed'!$B$2:$B$3015,Points!$A$6,'Web Feed'!$H$2:$H$3015,$B444)+SUMIFS('Web Feed'!$O$2:$O$3015,'Web Feed'!$B$2:$B$3015,Points!$A$6,'Web Feed'!$I$2:$I$3015,$B444))</f>
        <v/>
      </c>
      <c r="I444">
        <f>IF($B444="","",COUNTIFS('Web Feed'!$B$2:$B$3015,"OHW",'Web Feed'!$F$2:$F$3015,$B444))</f>
        <v/>
      </c>
      <c r="J444">
        <f>IF($B444="","",IFERROR(INDEX('Last Week'!$A$2:$A$301,MATCH($B444,'Last Week'!$B$2:$B$301,0)),""))</f>
        <v/>
      </c>
      <c r="K444">
        <f>IF(OR($B444="",$J444=""),"",$J444-$A444)</f>
        <v/>
      </c>
    </row>
    <row r="445">
      <c r="A445">
        <f>IF($B445="","",RANK($C445,$C$2:$C$500))</f>
        <v/>
      </c>
      <c r="B445">
        <f>IF(Players!$A445="","",Players!$A445)</f>
        <v/>
      </c>
      <c r="C445" s="5">
        <f>IF($B445="","",SUM(D445:H445))</f>
        <v/>
      </c>
      <c r="D445">
        <f>IF($B445="","",SUMIFS('Web Feed'!$O$2:$O$3015,'Web Feed'!$B$2:$B$3015,Points!$A$2,'Web Feed'!$F$2:$F$3015,$B445)+SUMIFS('Web Feed'!$O$2:$O$3015,'Web Feed'!$B$2:$B$3015,Points!$A$2,'Web Feed'!$G$2:$G$3015,$B445)+SUMIFS('Web Feed'!$O$2:$O$3015,'Web Feed'!$B$2:$B$3015,Points!$A$2,'Web Feed'!$H$2:$H$3015,$B445)+SUMIFS('Web Feed'!$O$2:$O$3015,'Web Feed'!$B$2:$B$3015,Points!$A$2,'Web Feed'!$I$2:$I$3015,$B445))</f>
        <v/>
      </c>
      <c r="E445">
        <f>IF($B445="","",SUMIFS('Web Feed'!$O$2:$O$3015,'Web Feed'!$B$2:$B$3015,Points!$A$3,'Web Feed'!$F$2:$F$3015,$B445)+SUMIFS('Web Feed'!$O$2:$O$3015,'Web Feed'!$B$2:$B$3015,Points!$A$3,'Web Feed'!$G$2:$G$3015,$B445)+SUMIFS('Web Feed'!$O$2:$O$3015,'Web Feed'!$B$2:$B$3015,Points!$A$3,'Web Feed'!$H$2:$H$3015,$B445)+SUMIFS('Web Feed'!$O$2:$O$3015,'Web Feed'!$B$2:$B$3015,Points!$A$3,'Web Feed'!$I$2:$I$3015,$B445))</f>
        <v/>
      </c>
      <c r="F445">
        <f>IF($B445="","",SUMIFS('Web Feed'!$O$2:$O$3015,'Web Feed'!$B$2:$B$3015,Points!$A$4,'Web Feed'!$F$2:$F$3015,$B445)+SUMIFS('Web Feed'!$O$2:$O$3015,'Web Feed'!$B$2:$B$3015,Points!$A$4,'Web Feed'!$G$2:$G$3015,$B445)+SUMIFS('Web Feed'!$O$2:$O$3015,'Web Feed'!$B$2:$B$3015,Points!$A$4,'Web Feed'!$H$2:$H$3015,$B445)+SUMIFS('Web Feed'!$O$2:$O$3015,'Web Feed'!$B$2:$B$3015,Points!$A$4,'Web Feed'!$I$2:$I$3015,$B445))</f>
        <v/>
      </c>
      <c r="G445">
        <f>IF($B445="","",SUMIFS('Web Feed'!$O$2:$O$3015,'Web Feed'!$B$2:$B$3015,Points!$A$5,'Web Feed'!$F$2:$F$3015,$B445)+SUMIFS('Web Feed'!$O$2:$O$3015,'Web Feed'!$B$2:$B$3015,Points!$A$5,'Web Feed'!$G$2:$G$3015,$B445)+SUMIFS('Web Feed'!$O$2:$O$3015,'Web Feed'!$B$2:$B$3015,Points!$A$5,'Web Feed'!$H$2:$H$3015,$B445)+SUMIFS('Web Feed'!$O$2:$O$3015,'Web Feed'!$B$2:$B$3015,Points!$A$5,'Web Feed'!$I$2:$I$3015,$B445))</f>
        <v/>
      </c>
      <c r="H445">
        <f>IF($B445="","",SUMIFS('Web Feed'!$O$2:$O$3015,'Web Feed'!$B$2:$B$3015,Points!$A$6,'Web Feed'!$F$2:$F$3015,$B445)+SUMIFS('Web Feed'!$O$2:$O$3015,'Web Feed'!$B$2:$B$3015,Points!$A$6,'Web Feed'!$G$2:$G$3015,$B445)+SUMIFS('Web Feed'!$O$2:$O$3015,'Web Feed'!$B$2:$B$3015,Points!$A$6,'Web Feed'!$H$2:$H$3015,$B445)+SUMIFS('Web Feed'!$O$2:$O$3015,'Web Feed'!$B$2:$B$3015,Points!$A$6,'Web Feed'!$I$2:$I$3015,$B445))</f>
        <v/>
      </c>
      <c r="I445">
        <f>IF($B445="","",COUNTIFS('Web Feed'!$B$2:$B$3015,"OHW",'Web Feed'!$F$2:$F$3015,$B445))</f>
        <v/>
      </c>
      <c r="J445">
        <f>IF($B445="","",IFERROR(INDEX('Last Week'!$A$2:$A$301,MATCH($B445,'Last Week'!$B$2:$B$301,0)),""))</f>
        <v/>
      </c>
      <c r="K445">
        <f>IF(OR($B445="",$J445=""),"",$J445-$A445)</f>
        <v/>
      </c>
    </row>
    <row r="446">
      <c r="A446">
        <f>IF($B446="","",RANK($C446,$C$2:$C$500))</f>
        <v/>
      </c>
      <c r="B446">
        <f>IF(Players!$A446="","",Players!$A446)</f>
        <v/>
      </c>
      <c r="C446" s="5">
        <f>IF($B446="","",SUM(D446:H446))</f>
        <v/>
      </c>
      <c r="D446">
        <f>IF($B446="","",SUMIFS('Web Feed'!$O$2:$O$3015,'Web Feed'!$B$2:$B$3015,Points!$A$2,'Web Feed'!$F$2:$F$3015,$B446)+SUMIFS('Web Feed'!$O$2:$O$3015,'Web Feed'!$B$2:$B$3015,Points!$A$2,'Web Feed'!$G$2:$G$3015,$B446)+SUMIFS('Web Feed'!$O$2:$O$3015,'Web Feed'!$B$2:$B$3015,Points!$A$2,'Web Feed'!$H$2:$H$3015,$B446)+SUMIFS('Web Feed'!$O$2:$O$3015,'Web Feed'!$B$2:$B$3015,Points!$A$2,'Web Feed'!$I$2:$I$3015,$B446))</f>
        <v/>
      </c>
      <c r="E446">
        <f>IF($B446="","",SUMIFS('Web Feed'!$O$2:$O$3015,'Web Feed'!$B$2:$B$3015,Points!$A$3,'Web Feed'!$F$2:$F$3015,$B446)+SUMIFS('Web Feed'!$O$2:$O$3015,'Web Feed'!$B$2:$B$3015,Points!$A$3,'Web Feed'!$G$2:$G$3015,$B446)+SUMIFS('Web Feed'!$O$2:$O$3015,'Web Feed'!$B$2:$B$3015,Points!$A$3,'Web Feed'!$H$2:$H$3015,$B446)+SUMIFS('Web Feed'!$O$2:$O$3015,'Web Feed'!$B$2:$B$3015,Points!$A$3,'Web Feed'!$I$2:$I$3015,$B446))</f>
        <v/>
      </c>
      <c r="F446">
        <f>IF($B446="","",SUMIFS('Web Feed'!$O$2:$O$3015,'Web Feed'!$B$2:$B$3015,Points!$A$4,'Web Feed'!$F$2:$F$3015,$B446)+SUMIFS('Web Feed'!$O$2:$O$3015,'Web Feed'!$B$2:$B$3015,Points!$A$4,'Web Feed'!$G$2:$G$3015,$B446)+SUMIFS('Web Feed'!$O$2:$O$3015,'Web Feed'!$B$2:$B$3015,Points!$A$4,'Web Feed'!$H$2:$H$3015,$B446)+SUMIFS('Web Feed'!$O$2:$O$3015,'Web Feed'!$B$2:$B$3015,Points!$A$4,'Web Feed'!$I$2:$I$3015,$B446))</f>
        <v/>
      </c>
      <c r="G446">
        <f>IF($B446="","",SUMIFS('Web Feed'!$O$2:$O$3015,'Web Feed'!$B$2:$B$3015,Points!$A$5,'Web Feed'!$F$2:$F$3015,$B446)+SUMIFS('Web Feed'!$O$2:$O$3015,'Web Feed'!$B$2:$B$3015,Points!$A$5,'Web Feed'!$G$2:$G$3015,$B446)+SUMIFS('Web Feed'!$O$2:$O$3015,'Web Feed'!$B$2:$B$3015,Points!$A$5,'Web Feed'!$H$2:$H$3015,$B446)+SUMIFS('Web Feed'!$O$2:$O$3015,'Web Feed'!$B$2:$B$3015,Points!$A$5,'Web Feed'!$I$2:$I$3015,$B446))</f>
        <v/>
      </c>
      <c r="H446">
        <f>IF($B446="","",SUMIFS('Web Feed'!$O$2:$O$3015,'Web Feed'!$B$2:$B$3015,Points!$A$6,'Web Feed'!$F$2:$F$3015,$B446)+SUMIFS('Web Feed'!$O$2:$O$3015,'Web Feed'!$B$2:$B$3015,Points!$A$6,'Web Feed'!$G$2:$G$3015,$B446)+SUMIFS('Web Feed'!$O$2:$O$3015,'Web Feed'!$B$2:$B$3015,Points!$A$6,'Web Feed'!$H$2:$H$3015,$B446)+SUMIFS('Web Feed'!$O$2:$O$3015,'Web Feed'!$B$2:$B$3015,Points!$A$6,'Web Feed'!$I$2:$I$3015,$B446))</f>
        <v/>
      </c>
      <c r="I446">
        <f>IF($B446="","",COUNTIFS('Web Feed'!$B$2:$B$3015,"OHW",'Web Feed'!$F$2:$F$3015,$B446))</f>
        <v/>
      </c>
      <c r="J446">
        <f>IF($B446="","",IFERROR(INDEX('Last Week'!$A$2:$A$301,MATCH($B446,'Last Week'!$B$2:$B$301,0)),""))</f>
        <v/>
      </c>
      <c r="K446">
        <f>IF(OR($B446="",$J446=""),"",$J446-$A446)</f>
        <v/>
      </c>
    </row>
    <row r="447">
      <c r="A447">
        <f>IF($B447="","",RANK($C447,$C$2:$C$500))</f>
        <v/>
      </c>
      <c r="B447">
        <f>IF(Players!$A447="","",Players!$A447)</f>
        <v/>
      </c>
      <c r="C447" s="5">
        <f>IF($B447="","",SUM(D447:H447))</f>
        <v/>
      </c>
      <c r="D447">
        <f>IF($B447="","",SUMIFS('Web Feed'!$O$2:$O$3015,'Web Feed'!$B$2:$B$3015,Points!$A$2,'Web Feed'!$F$2:$F$3015,$B447)+SUMIFS('Web Feed'!$O$2:$O$3015,'Web Feed'!$B$2:$B$3015,Points!$A$2,'Web Feed'!$G$2:$G$3015,$B447)+SUMIFS('Web Feed'!$O$2:$O$3015,'Web Feed'!$B$2:$B$3015,Points!$A$2,'Web Feed'!$H$2:$H$3015,$B447)+SUMIFS('Web Feed'!$O$2:$O$3015,'Web Feed'!$B$2:$B$3015,Points!$A$2,'Web Feed'!$I$2:$I$3015,$B447))</f>
        <v/>
      </c>
      <c r="E447">
        <f>IF($B447="","",SUMIFS('Web Feed'!$O$2:$O$3015,'Web Feed'!$B$2:$B$3015,Points!$A$3,'Web Feed'!$F$2:$F$3015,$B447)+SUMIFS('Web Feed'!$O$2:$O$3015,'Web Feed'!$B$2:$B$3015,Points!$A$3,'Web Feed'!$G$2:$G$3015,$B447)+SUMIFS('Web Feed'!$O$2:$O$3015,'Web Feed'!$B$2:$B$3015,Points!$A$3,'Web Feed'!$H$2:$H$3015,$B447)+SUMIFS('Web Feed'!$O$2:$O$3015,'Web Feed'!$B$2:$B$3015,Points!$A$3,'Web Feed'!$I$2:$I$3015,$B447))</f>
        <v/>
      </c>
      <c r="F447">
        <f>IF($B447="","",SUMIFS('Web Feed'!$O$2:$O$3015,'Web Feed'!$B$2:$B$3015,Points!$A$4,'Web Feed'!$F$2:$F$3015,$B447)+SUMIFS('Web Feed'!$O$2:$O$3015,'Web Feed'!$B$2:$B$3015,Points!$A$4,'Web Feed'!$G$2:$G$3015,$B447)+SUMIFS('Web Feed'!$O$2:$O$3015,'Web Feed'!$B$2:$B$3015,Points!$A$4,'Web Feed'!$H$2:$H$3015,$B447)+SUMIFS('Web Feed'!$O$2:$O$3015,'Web Feed'!$B$2:$B$3015,Points!$A$4,'Web Feed'!$I$2:$I$3015,$B447))</f>
        <v/>
      </c>
      <c r="G447">
        <f>IF($B447="","",SUMIFS('Web Feed'!$O$2:$O$3015,'Web Feed'!$B$2:$B$3015,Points!$A$5,'Web Feed'!$F$2:$F$3015,$B447)+SUMIFS('Web Feed'!$O$2:$O$3015,'Web Feed'!$B$2:$B$3015,Points!$A$5,'Web Feed'!$G$2:$G$3015,$B447)+SUMIFS('Web Feed'!$O$2:$O$3015,'Web Feed'!$B$2:$B$3015,Points!$A$5,'Web Feed'!$H$2:$H$3015,$B447)+SUMIFS('Web Feed'!$O$2:$O$3015,'Web Feed'!$B$2:$B$3015,Points!$A$5,'Web Feed'!$I$2:$I$3015,$B447))</f>
        <v/>
      </c>
      <c r="H447">
        <f>IF($B447="","",SUMIFS('Web Feed'!$O$2:$O$3015,'Web Feed'!$B$2:$B$3015,Points!$A$6,'Web Feed'!$F$2:$F$3015,$B447)+SUMIFS('Web Feed'!$O$2:$O$3015,'Web Feed'!$B$2:$B$3015,Points!$A$6,'Web Feed'!$G$2:$G$3015,$B447)+SUMIFS('Web Feed'!$O$2:$O$3015,'Web Feed'!$B$2:$B$3015,Points!$A$6,'Web Feed'!$H$2:$H$3015,$B447)+SUMIFS('Web Feed'!$O$2:$O$3015,'Web Feed'!$B$2:$B$3015,Points!$A$6,'Web Feed'!$I$2:$I$3015,$B447))</f>
        <v/>
      </c>
      <c r="I447">
        <f>IF($B447="","",COUNTIFS('Web Feed'!$B$2:$B$3015,"OHW",'Web Feed'!$F$2:$F$3015,$B447))</f>
        <v/>
      </c>
      <c r="J447">
        <f>IF($B447="","",IFERROR(INDEX('Last Week'!$A$2:$A$301,MATCH($B447,'Last Week'!$B$2:$B$301,0)),""))</f>
        <v/>
      </c>
      <c r="K447">
        <f>IF(OR($B447="",$J447=""),"",$J447-$A447)</f>
        <v/>
      </c>
    </row>
    <row r="448">
      <c r="A448">
        <f>IF($B448="","",RANK($C448,$C$2:$C$500))</f>
        <v/>
      </c>
      <c r="B448">
        <f>IF(Players!$A448="","",Players!$A448)</f>
        <v/>
      </c>
      <c r="C448" s="5">
        <f>IF($B448="","",SUM(D448:H448))</f>
        <v/>
      </c>
      <c r="D448">
        <f>IF($B448="","",SUMIFS('Web Feed'!$O$2:$O$3015,'Web Feed'!$B$2:$B$3015,Points!$A$2,'Web Feed'!$F$2:$F$3015,$B448)+SUMIFS('Web Feed'!$O$2:$O$3015,'Web Feed'!$B$2:$B$3015,Points!$A$2,'Web Feed'!$G$2:$G$3015,$B448)+SUMIFS('Web Feed'!$O$2:$O$3015,'Web Feed'!$B$2:$B$3015,Points!$A$2,'Web Feed'!$H$2:$H$3015,$B448)+SUMIFS('Web Feed'!$O$2:$O$3015,'Web Feed'!$B$2:$B$3015,Points!$A$2,'Web Feed'!$I$2:$I$3015,$B448))</f>
        <v/>
      </c>
      <c r="E448">
        <f>IF($B448="","",SUMIFS('Web Feed'!$O$2:$O$3015,'Web Feed'!$B$2:$B$3015,Points!$A$3,'Web Feed'!$F$2:$F$3015,$B448)+SUMIFS('Web Feed'!$O$2:$O$3015,'Web Feed'!$B$2:$B$3015,Points!$A$3,'Web Feed'!$G$2:$G$3015,$B448)+SUMIFS('Web Feed'!$O$2:$O$3015,'Web Feed'!$B$2:$B$3015,Points!$A$3,'Web Feed'!$H$2:$H$3015,$B448)+SUMIFS('Web Feed'!$O$2:$O$3015,'Web Feed'!$B$2:$B$3015,Points!$A$3,'Web Feed'!$I$2:$I$3015,$B448))</f>
        <v/>
      </c>
      <c r="F448">
        <f>IF($B448="","",SUMIFS('Web Feed'!$O$2:$O$3015,'Web Feed'!$B$2:$B$3015,Points!$A$4,'Web Feed'!$F$2:$F$3015,$B448)+SUMIFS('Web Feed'!$O$2:$O$3015,'Web Feed'!$B$2:$B$3015,Points!$A$4,'Web Feed'!$G$2:$G$3015,$B448)+SUMIFS('Web Feed'!$O$2:$O$3015,'Web Feed'!$B$2:$B$3015,Points!$A$4,'Web Feed'!$H$2:$H$3015,$B448)+SUMIFS('Web Feed'!$O$2:$O$3015,'Web Feed'!$B$2:$B$3015,Points!$A$4,'Web Feed'!$I$2:$I$3015,$B448))</f>
        <v/>
      </c>
      <c r="G448">
        <f>IF($B448="","",SUMIFS('Web Feed'!$O$2:$O$3015,'Web Feed'!$B$2:$B$3015,Points!$A$5,'Web Feed'!$F$2:$F$3015,$B448)+SUMIFS('Web Feed'!$O$2:$O$3015,'Web Feed'!$B$2:$B$3015,Points!$A$5,'Web Feed'!$G$2:$G$3015,$B448)+SUMIFS('Web Feed'!$O$2:$O$3015,'Web Feed'!$B$2:$B$3015,Points!$A$5,'Web Feed'!$H$2:$H$3015,$B448)+SUMIFS('Web Feed'!$O$2:$O$3015,'Web Feed'!$B$2:$B$3015,Points!$A$5,'Web Feed'!$I$2:$I$3015,$B448))</f>
        <v/>
      </c>
      <c r="H448">
        <f>IF($B448="","",SUMIFS('Web Feed'!$O$2:$O$3015,'Web Feed'!$B$2:$B$3015,Points!$A$6,'Web Feed'!$F$2:$F$3015,$B448)+SUMIFS('Web Feed'!$O$2:$O$3015,'Web Feed'!$B$2:$B$3015,Points!$A$6,'Web Feed'!$G$2:$G$3015,$B448)+SUMIFS('Web Feed'!$O$2:$O$3015,'Web Feed'!$B$2:$B$3015,Points!$A$6,'Web Feed'!$H$2:$H$3015,$B448)+SUMIFS('Web Feed'!$O$2:$O$3015,'Web Feed'!$B$2:$B$3015,Points!$A$6,'Web Feed'!$I$2:$I$3015,$B448))</f>
        <v/>
      </c>
      <c r="I448">
        <f>IF($B448="","",COUNTIFS('Web Feed'!$B$2:$B$3015,"OHW",'Web Feed'!$F$2:$F$3015,$B448))</f>
        <v/>
      </c>
      <c r="J448">
        <f>IF($B448="","",IFERROR(INDEX('Last Week'!$A$2:$A$301,MATCH($B448,'Last Week'!$B$2:$B$301,0)),""))</f>
        <v/>
      </c>
      <c r="K448">
        <f>IF(OR($B448="",$J448=""),"",$J448-$A448)</f>
        <v/>
      </c>
    </row>
    <row r="449">
      <c r="A449">
        <f>IF($B449="","",RANK($C449,$C$2:$C$500))</f>
        <v/>
      </c>
      <c r="B449">
        <f>IF(Players!$A449="","",Players!$A449)</f>
        <v/>
      </c>
      <c r="C449" s="5">
        <f>IF($B449="","",SUM(D449:H449))</f>
        <v/>
      </c>
      <c r="D449">
        <f>IF($B449="","",SUMIFS('Web Feed'!$O$2:$O$3015,'Web Feed'!$B$2:$B$3015,Points!$A$2,'Web Feed'!$F$2:$F$3015,$B449)+SUMIFS('Web Feed'!$O$2:$O$3015,'Web Feed'!$B$2:$B$3015,Points!$A$2,'Web Feed'!$G$2:$G$3015,$B449)+SUMIFS('Web Feed'!$O$2:$O$3015,'Web Feed'!$B$2:$B$3015,Points!$A$2,'Web Feed'!$H$2:$H$3015,$B449)+SUMIFS('Web Feed'!$O$2:$O$3015,'Web Feed'!$B$2:$B$3015,Points!$A$2,'Web Feed'!$I$2:$I$3015,$B449))</f>
        <v/>
      </c>
      <c r="E449">
        <f>IF($B449="","",SUMIFS('Web Feed'!$O$2:$O$3015,'Web Feed'!$B$2:$B$3015,Points!$A$3,'Web Feed'!$F$2:$F$3015,$B449)+SUMIFS('Web Feed'!$O$2:$O$3015,'Web Feed'!$B$2:$B$3015,Points!$A$3,'Web Feed'!$G$2:$G$3015,$B449)+SUMIFS('Web Feed'!$O$2:$O$3015,'Web Feed'!$B$2:$B$3015,Points!$A$3,'Web Feed'!$H$2:$H$3015,$B449)+SUMIFS('Web Feed'!$O$2:$O$3015,'Web Feed'!$B$2:$B$3015,Points!$A$3,'Web Feed'!$I$2:$I$3015,$B449))</f>
        <v/>
      </c>
      <c r="F449">
        <f>IF($B449="","",SUMIFS('Web Feed'!$O$2:$O$3015,'Web Feed'!$B$2:$B$3015,Points!$A$4,'Web Feed'!$F$2:$F$3015,$B449)+SUMIFS('Web Feed'!$O$2:$O$3015,'Web Feed'!$B$2:$B$3015,Points!$A$4,'Web Feed'!$G$2:$G$3015,$B449)+SUMIFS('Web Feed'!$O$2:$O$3015,'Web Feed'!$B$2:$B$3015,Points!$A$4,'Web Feed'!$H$2:$H$3015,$B449)+SUMIFS('Web Feed'!$O$2:$O$3015,'Web Feed'!$B$2:$B$3015,Points!$A$4,'Web Feed'!$I$2:$I$3015,$B449))</f>
        <v/>
      </c>
      <c r="G449">
        <f>IF($B449="","",SUMIFS('Web Feed'!$O$2:$O$3015,'Web Feed'!$B$2:$B$3015,Points!$A$5,'Web Feed'!$F$2:$F$3015,$B449)+SUMIFS('Web Feed'!$O$2:$O$3015,'Web Feed'!$B$2:$B$3015,Points!$A$5,'Web Feed'!$G$2:$G$3015,$B449)+SUMIFS('Web Feed'!$O$2:$O$3015,'Web Feed'!$B$2:$B$3015,Points!$A$5,'Web Feed'!$H$2:$H$3015,$B449)+SUMIFS('Web Feed'!$O$2:$O$3015,'Web Feed'!$B$2:$B$3015,Points!$A$5,'Web Feed'!$I$2:$I$3015,$B449))</f>
        <v/>
      </c>
      <c r="H449">
        <f>IF($B449="","",SUMIFS('Web Feed'!$O$2:$O$3015,'Web Feed'!$B$2:$B$3015,Points!$A$6,'Web Feed'!$F$2:$F$3015,$B449)+SUMIFS('Web Feed'!$O$2:$O$3015,'Web Feed'!$B$2:$B$3015,Points!$A$6,'Web Feed'!$G$2:$G$3015,$B449)+SUMIFS('Web Feed'!$O$2:$O$3015,'Web Feed'!$B$2:$B$3015,Points!$A$6,'Web Feed'!$H$2:$H$3015,$B449)+SUMIFS('Web Feed'!$O$2:$O$3015,'Web Feed'!$B$2:$B$3015,Points!$A$6,'Web Feed'!$I$2:$I$3015,$B449))</f>
        <v/>
      </c>
      <c r="I449">
        <f>IF($B449="","",COUNTIFS('Web Feed'!$B$2:$B$3015,"OHW",'Web Feed'!$F$2:$F$3015,$B449))</f>
        <v/>
      </c>
      <c r="J449">
        <f>IF($B449="","",IFERROR(INDEX('Last Week'!$A$2:$A$301,MATCH($B449,'Last Week'!$B$2:$B$301,0)),""))</f>
        <v/>
      </c>
      <c r="K449">
        <f>IF(OR($B449="",$J449=""),"",$J449-$A449)</f>
        <v/>
      </c>
    </row>
    <row r="450">
      <c r="A450">
        <f>IF($B450="","",RANK($C450,$C$2:$C$500))</f>
        <v/>
      </c>
      <c r="B450">
        <f>IF(Players!$A450="","",Players!$A450)</f>
        <v/>
      </c>
      <c r="C450" s="5">
        <f>IF($B450="","",SUM(D450:H450))</f>
        <v/>
      </c>
      <c r="D450">
        <f>IF($B450="","",SUMIFS('Web Feed'!$O$2:$O$3015,'Web Feed'!$B$2:$B$3015,Points!$A$2,'Web Feed'!$F$2:$F$3015,$B450)+SUMIFS('Web Feed'!$O$2:$O$3015,'Web Feed'!$B$2:$B$3015,Points!$A$2,'Web Feed'!$G$2:$G$3015,$B450)+SUMIFS('Web Feed'!$O$2:$O$3015,'Web Feed'!$B$2:$B$3015,Points!$A$2,'Web Feed'!$H$2:$H$3015,$B450)+SUMIFS('Web Feed'!$O$2:$O$3015,'Web Feed'!$B$2:$B$3015,Points!$A$2,'Web Feed'!$I$2:$I$3015,$B450))</f>
        <v/>
      </c>
      <c r="E450">
        <f>IF($B450="","",SUMIFS('Web Feed'!$O$2:$O$3015,'Web Feed'!$B$2:$B$3015,Points!$A$3,'Web Feed'!$F$2:$F$3015,$B450)+SUMIFS('Web Feed'!$O$2:$O$3015,'Web Feed'!$B$2:$B$3015,Points!$A$3,'Web Feed'!$G$2:$G$3015,$B450)+SUMIFS('Web Feed'!$O$2:$O$3015,'Web Feed'!$B$2:$B$3015,Points!$A$3,'Web Feed'!$H$2:$H$3015,$B450)+SUMIFS('Web Feed'!$O$2:$O$3015,'Web Feed'!$B$2:$B$3015,Points!$A$3,'Web Feed'!$I$2:$I$3015,$B450))</f>
        <v/>
      </c>
      <c r="F450">
        <f>IF($B450="","",SUMIFS('Web Feed'!$O$2:$O$3015,'Web Feed'!$B$2:$B$3015,Points!$A$4,'Web Feed'!$F$2:$F$3015,$B450)+SUMIFS('Web Feed'!$O$2:$O$3015,'Web Feed'!$B$2:$B$3015,Points!$A$4,'Web Feed'!$G$2:$G$3015,$B450)+SUMIFS('Web Feed'!$O$2:$O$3015,'Web Feed'!$B$2:$B$3015,Points!$A$4,'Web Feed'!$H$2:$H$3015,$B450)+SUMIFS('Web Feed'!$O$2:$O$3015,'Web Feed'!$B$2:$B$3015,Points!$A$4,'Web Feed'!$I$2:$I$3015,$B450))</f>
        <v/>
      </c>
      <c r="G450">
        <f>IF($B450="","",SUMIFS('Web Feed'!$O$2:$O$3015,'Web Feed'!$B$2:$B$3015,Points!$A$5,'Web Feed'!$F$2:$F$3015,$B450)+SUMIFS('Web Feed'!$O$2:$O$3015,'Web Feed'!$B$2:$B$3015,Points!$A$5,'Web Feed'!$G$2:$G$3015,$B450)+SUMIFS('Web Feed'!$O$2:$O$3015,'Web Feed'!$B$2:$B$3015,Points!$A$5,'Web Feed'!$H$2:$H$3015,$B450)+SUMIFS('Web Feed'!$O$2:$O$3015,'Web Feed'!$B$2:$B$3015,Points!$A$5,'Web Feed'!$I$2:$I$3015,$B450))</f>
        <v/>
      </c>
      <c r="H450">
        <f>IF($B450="","",SUMIFS('Web Feed'!$O$2:$O$3015,'Web Feed'!$B$2:$B$3015,Points!$A$6,'Web Feed'!$F$2:$F$3015,$B450)+SUMIFS('Web Feed'!$O$2:$O$3015,'Web Feed'!$B$2:$B$3015,Points!$A$6,'Web Feed'!$G$2:$G$3015,$B450)+SUMIFS('Web Feed'!$O$2:$O$3015,'Web Feed'!$B$2:$B$3015,Points!$A$6,'Web Feed'!$H$2:$H$3015,$B450)+SUMIFS('Web Feed'!$O$2:$O$3015,'Web Feed'!$B$2:$B$3015,Points!$A$6,'Web Feed'!$I$2:$I$3015,$B450))</f>
        <v/>
      </c>
      <c r="I450">
        <f>IF($B450="","",COUNTIFS('Web Feed'!$B$2:$B$3015,"OHW",'Web Feed'!$F$2:$F$3015,$B450))</f>
        <v/>
      </c>
      <c r="J450">
        <f>IF($B450="","",IFERROR(INDEX('Last Week'!$A$2:$A$301,MATCH($B450,'Last Week'!$B$2:$B$301,0)),""))</f>
        <v/>
      </c>
      <c r="K450">
        <f>IF(OR($B450="",$J450=""),"",$J450-$A450)</f>
        <v/>
      </c>
    </row>
    <row r="451">
      <c r="A451">
        <f>IF($B451="","",RANK($C451,$C$2:$C$500))</f>
        <v/>
      </c>
      <c r="B451">
        <f>IF(Players!$A451="","",Players!$A451)</f>
        <v/>
      </c>
      <c r="C451" s="5">
        <f>IF($B451="","",SUM(D451:H451))</f>
        <v/>
      </c>
      <c r="D451">
        <f>IF($B451="","",SUMIFS('Web Feed'!$O$2:$O$3015,'Web Feed'!$B$2:$B$3015,Points!$A$2,'Web Feed'!$F$2:$F$3015,$B451)+SUMIFS('Web Feed'!$O$2:$O$3015,'Web Feed'!$B$2:$B$3015,Points!$A$2,'Web Feed'!$G$2:$G$3015,$B451)+SUMIFS('Web Feed'!$O$2:$O$3015,'Web Feed'!$B$2:$B$3015,Points!$A$2,'Web Feed'!$H$2:$H$3015,$B451)+SUMIFS('Web Feed'!$O$2:$O$3015,'Web Feed'!$B$2:$B$3015,Points!$A$2,'Web Feed'!$I$2:$I$3015,$B451))</f>
        <v/>
      </c>
      <c r="E451">
        <f>IF($B451="","",SUMIFS('Web Feed'!$O$2:$O$3015,'Web Feed'!$B$2:$B$3015,Points!$A$3,'Web Feed'!$F$2:$F$3015,$B451)+SUMIFS('Web Feed'!$O$2:$O$3015,'Web Feed'!$B$2:$B$3015,Points!$A$3,'Web Feed'!$G$2:$G$3015,$B451)+SUMIFS('Web Feed'!$O$2:$O$3015,'Web Feed'!$B$2:$B$3015,Points!$A$3,'Web Feed'!$H$2:$H$3015,$B451)+SUMIFS('Web Feed'!$O$2:$O$3015,'Web Feed'!$B$2:$B$3015,Points!$A$3,'Web Feed'!$I$2:$I$3015,$B451))</f>
        <v/>
      </c>
      <c r="F451">
        <f>IF($B451="","",SUMIFS('Web Feed'!$O$2:$O$3015,'Web Feed'!$B$2:$B$3015,Points!$A$4,'Web Feed'!$F$2:$F$3015,$B451)+SUMIFS('Web Feed'!$O$2:$O$3015,'Web Feed'!$B$2:$B$3015,Points!$A$4,'Web Feed'!$G$2:$G$3015,$B451)+SUMIFS('Web Feed'!$O$2:$O$3015,'Web Feed'!$B$2:$B$3015,Points!$A$4,'Web Feed'!$H$2:$H$3015,$B451)+SUMIFS('Web Feed'!$O$2:$O$3015,'Web Feed'!$B$2:$B$3015,Points!$A$4,'Web Feed'!$I$2:$I$3015,$B451))</f>
        <v/>
      </c>
      <c r="G451">
        <f>IF($B451="","",SUMIFS('Web Feed'!$O$2:$O$3015,'Web Feed'!$B$2:$B$3015,Points!$A$5,'Web Feed'!$F$2:$F$3015,$B451)+SUMIFS('Web Feed'!$O$2:$O$3015,'Web Feed'!$B$2:$B$3015,Points!$A$5,'Web Feed'!$G$2:$G$3015,$B451)+SUMIFS('Web Feed'!$O$2:$O$3015,'Web Feed'!$B$2:$B$3015,Points!$A$5,'Web Feed'!$H$2:$H$3015,$B451)+SUMIFS('Web Feed'!$O$2:$O$3015,'Web Feed'!$B$2:$B$3015,Points!$A$5,'Web Feed'!$I$2:$I$3015,$B451))</f>
        <v/>
      </c>
      <c r="H451">
        <f>IF($B451="","",SUMIFS('Web Feed'!$O$2:$O$3015,'Web Feed'!$B$2:$B$3015,Points!$A$6,'Web Feed'!$F$2:$F$3015,$B451)+SUMIFS('Web Feed'!$O$2:$O$3015,'Web Feed'!$B$2:$B$3015,Points!$A$6,'Web Feed'!$G$2:$G$3015,$B451)+SUMIFS('Web Feed'!$O$2:$O$3015,'Web Feed'!$B$2:$B$3015,Points!$A$6,'Web Feed'!$H$2:$H$3015,$B451)+SUMIFS('Web Feed'!$O$2:$O$3015,'Web Feed'!$B$2:$B$3015,Points!$A$6,'Web Feed'!$I$2:$I$3015,$B451))</f>
        <v/>
      </c>
      <c r="I451">
        <f>IF($B451="","",COUNTIFS('Web Feed'!$B$2:$B$3015,"OHW",'Web Feed'!$F$2:$F$3015,$B451))</f>
        <v/>
      </c>
      <c r="J451">
        <f>IF($B451="","",IFERROR(INDEX('Last Week'!$A$2:$A$301,MATCH($B451,'Last Week'!$B$2:$B$301,0)),""))</f>
        <v/>
      </c>
      <c r="K451">
        <f>IF(OR($B451="",$J451=""),"",$J451-$A451)</f>
        <v/>
      </c>
    </row>
    <row r="452">
      <c r="A452">
        <f>IF($B452="","",RANK($C452,$C$2:$C$500))</f>
        <v/>
      </c>
      <c r="B452">
        <f>IF(Players!$A452="","",Players!$A452)</f>
        <v/>
      </c>
      <c r="C452" s="5">
        <f>IF($B452="","",SUM(D452:H452))</f>
        <v/>
      </c>
      <c r="D452">
        <f>IF($B452="","",SUMIFS('Web Feed'!$O$2:$O$3015,'Web Feed'!$B$2:$B$3015,Points!$A$2,'Web Feed'!$F$2:$F$3015,$B452)+SUMIFS('Web Feed'!$O$2:$O$3015,'Web Feed'!$B$2:$B$3015,Points!$A$2,'Web Feed'!$G$2:$G$3015,$B452)+SUMIFS('Web Feed'!$O$2:$O$3015,'Web Feed'!$B$2:$B$3015,Points!$A$2,'Web Feed'!$H$2:$H$3015,$B452)+SUMIFS('Web Feed'!$O$2:$O$3015,'Web Feed'!$B$2:$B$3015,Points!$A$2,'Web Feed'!$I$2:$I$3015,$B452))</f>
        <v/>
      </c>
      <c r="E452">
        <f>IF($B452="","",SUMIFS('Web Feed'!$O$2:$O$3015,'Web Feed'!$B$2:$B$3015,Points!$A$3,'Web Feed'!$F$2:$F$3015,$B452)+SUMIFS('Web Feed'!$O$2:$O$3015,'Web Feed'!$B$2:$B$3015,Points!$A$3,'Web Feed'!$G$2:$G$3015,$B452)+SUMIFS('Web Feed'!$O$2:$O$3015,'Web Feed'!$B$2:$B$3015,Points!$A$3,'Web Feed'!$H$2:$H$3015,$B452)+SUMIFS('Web Feed'!$O$2:$O$3015,'Web Feed'!$B$2:$B$3015,Points!$A$3,'Web Feed'!$I$2:$I$3015,$B452))</f>
        <v/>
      </c>
      <c r="F452">
        <f>IF($B452="","",SUMIFS('Web Feed'!$O$2:$O$3015,'Web Feed'!$B$2:$B$3015,Points!$A$4,'Web Feed'!$F$2:$F$3015,$B452)+SUMIFS('Web Feed'!$O$2:$O$3015,'Web Feed'!$B$2:$B$3015,Points!$A$4,'Web Feed'!$G$2:$G$3015,$B452)+SUMIFS('Web Feed'!$O$2:$O$3015,'Web Feed'!$B$2:$B$3015,Points!$A$4,'Web Feed'!$H$2:$H$3015,$B452)+SUMIFS('Web Feed'!$O$2:$O$3015,'Web Feed'!$B$2:$B$3015,Points!$A$4,'Web Feed'!$I$2:$I$3015,$B452))</f>
        <v/>
      </c>
      <c r="G452">
        <f>IF($B452="","",SUMIFS('Web Feed'!$O$2:$O$3015,'Web Feed'!$B$2:$B$3015,Points!$A$5,'Web Feed'!$F$2:$F$3015,$B452)+SUMIFS('Web Feed'!$O$2:$O$3015,'Web Feed'!$B$2:$B$3015,Points!$A$5,'Web Feed'!$G$2:$G$3015,$B452)+SUMIFS('Web Feed'!$O$2:$O$3015,'Web Feed'!$B$2:$B$3015,Points!$A$5,'Web Feed'!$H$2:$H$3015,$B452)+SUMIFS('Web Feed'!$O$2:$O$3015,'Web Feed'!$B$2:$B$3015,Points!$A$5,'Web Feed'!$I$2:$I$3015,$B452))</f>
        <v/>
      </c>
      <c r="H452">
        <f>IF($B452="","",SUMIFS('Web Feed'!$O$2:$O$3015,'Web Feed'!$B$2:$B$3015,Points!$A$6,'Web Feed'!$F$2:$F$3015,$B452)+SUMIFS('Web Feed'!$O$2:$O$3015,'Web Feed'!$B$2:$B$3015,Points!$A$6,'Web Feed'!$G$2:$G$3015,$B452)+SUMIFS('Web Feed'!$O$2:$O$3015,'Web Feed'!$B$2:$B$3015,Points!$A$6,'Web Feed'!$H$2:$H$3015,$B452)+SUMIFS('Web Feed'!$O$2:$O$3015,'Web Feed'!$B$2:$B$3015,Points!$A$6,'Web Feed'!$I$2:$I$3015,$B452))</f>
        <v/>
      </c>
      <c r="I452">
        <f>IF($B452="","",COUNTIFS('Web Feed'!$B$2:$B$3015,"OHW",'Web Feed'!$F$2:$F$3015,$B452))</f>
        <v/>
      </c>
      <c r="J452">
        <f>IF($B452="","",IFERROR(INDEX('Last Week'!$A$2:$A$301,MATCH($B452,'Last Week'!$B$2:$B$301,0)),""))</f>
        <v/>
      </c>
      <c r="K452">
        <f>IF(OR($B452="",$J452=""),"",$J452-$A452)</f>
        <v/>
      </c>
    </row>
    <row r="453">
      <c r="A453">
        <f>IF($B453="","",RANK($C453,$C$2:$C$500))</f>
        <v/>
      </c>
      <c r="B453">
        <f>IF(Players!$A453="","",Players!$A453)</f>
        <v/>
      </c>
      <c r="C453" s="5">
        <f>IF($B453="","",SUM(D453:H453))</f>
        <v/>
      </c>
      <c r="D453">
        <f>IF($B453="","",SUMIFS('Web Feed'!$O$2:$O$3015,'Web Feed'!$B$2:$B$3015,Points!$A$2,'Web Feed'!$F$2:$F$3015,$B453)+SUMIFS('Web Feed'!$O$2:$O$3015,'Web Feed'!$B$2:$B$3015,Points!$A$2,'Web Feed'!$G$2:$G$3015,$B453)+SUMIFS('Web Feed'!$O$2:$O$3015,'Web Feed'!$B$2:$B$3015,Points!$A$2,'Web Feed'!$H$2:$H$3015,$B453)+SUMIFS('Web Feed'!$O$2:$O$3015,'Web Feed'!$B$2:$B$3015,Points!$A$2,'Web Feed'!$I$2:$I$3015,$B453))</f>
        <v/>
      </c>
      <c r="E453">
        <f>IF($B453="","",SUMIFS('Web Feed'!$O$2:$O$3015,'Web Feed'!$B$2:$B$3015,Points!$A$3,'Web Feed'!$F$2:$F$3015,$B453)+SUMIFS('Web Feed'!$O$2:$O$3015,'Web Feed'!$B$2:$B$3015,Points!$A$3,'Web Feed'!$G$2:$G$3015,$B453)+SUMIFS('Web Feed'!$O$2:$O$3015,'Web Feed'!$B$2:$B$3015,Points!$A$3,'Web Feed'!$H$2:$H$3015,$B453)+SUMIFS('Web Feed'!$O$2:$O$3015,'Web Feed'!$B$2:$B$3015,Points!$A$3,'Web Feed'!$I$2:$I$3015,$B453))</f>
        <v/>
      </c>
      <c r="F453">
        <f>IF($B453="","",SUMIFS('Web Feed'!$O$2:$O$3015,'Web Feed'!$B$2:$B$3015,Points!$A$4,'Web Feed'!$F$2:$F$3015,$B453)+SUMIFS('Web Feed'!$O$2:$O$3015,'Web Feed'!$B$2:$B$3015,Points!$A$4,'Web Feed'!$G$2:$G$3015,$B453)+SUMIFS('Web Feed'!$O$2:$O$3015,'Web Feed'!$B$2:$B$3015,Points!$A$4,'Web Feed'!$H$2:$H$3015,$B453)+SUMIFS('Web Feed'!$O$2:$O$3015,'Web Feed'!$B$2:$B$3015,Points!$A$4,'Web Feed'!$I$2:$I$3015,$B453))</f>
        <v/>
      </c>
      <c r="G453">
        <f>IF($B453="","",SUMIFS('Web Feed'!$O$2:$O$3015,'Web Feed'!$B$2:$B$3015,Points!$A$5,'Web Feed'!$F$2:$F$3015,$B453)+SUMIFS('Web Feed'!$O$2:$O$3015,'Web Feed'!$B$2:$B$3015,Points!$A$5,'Web Feed'!$G$2:$G$3015,$B453)+SUMIFS('Web Feed'!$O$2:$O$3015,'Web Feed'!$B$2:$B$3015,Points!$A$5,'Web Feed'!$H$2:$H$3015,$B453)+SUMIFS('Web Feed'!$O$2:$O$3015,'Web Feed'!$B$2:$B$3015,Points!$A$5,'Web Feed'!$I$2:$I$3015,$B453))</f>
        <v/>
      </c>
      <c r="H453">
        <f>IF($B453="","",SUMIFS('Web Feed'!$O$2:$O$3015,'Web Feed'!$B$2:$B$3015,Points!$A$6,'Web Feed'!$F$2:$F$3015,$B453)+SUMIFS('Web Feed'!$O$2:$O$3015,'Web Feed'!$B$2:$B$3015,Points!$A$6,'Web Feed'!$G$2:$G$3015,$B453)+SUMIFS('Web Feed'!$O$2:$O$3015,'Web Feed'!$B$2:$B$3015,Points!$A$6,'Web Feed'!$H$2:$H$3015,$B453)+SUMIFS('Web Feed'!$O$2:$O$3015,'Web Feed'!$B$2:$B$3015,Points!$A$6,'Web Feed'!$I$2:$I$3015,$B453))</f>
        <v/>
      </c>
      <c r="I453">
        <f>IF($B453="","",COUNTIFS('Web Feed'!$B$2:$B$3015,"OHW",'Web Feed'!$F$2:$F$3015,$B453))</f>
        <v/>
      </c>
      <c r="J453">
        <f>IF($B453="","",IFERROR(INDEX('Last Week'!$A$2:$A$301,MATCH($B453,'Last Week'!$B$2:$B$301,0)),""))</f>
        <v/>
      </c>
      <c r="K453">
        <f>IF(OR($B453="",$J453=""),"",$J453-$A453)</f>
        <v/>
      </c>
    </row>
    <row r="454">
      <c r="A454">
        <f>IF($B454="","",RANK($C454,$C$2:$C$500))</f>
        <v/>
      </c>
      <c r="B454">
        <f>IF(Players!$A454="","",Players!$A454)</f>
        <v/>
      </c>
      <c r="C454" s="5">
        <f>IF($B454="","",SUM(D454:H454))</f>
        <v/>
      </c>
      <c r="D454">
        <f>IF($B454="","",SUMIFS('Web Feed'!$O$2:$O$3015,'Web Feed'!$B$2:$B$3015,Points!$A$2,'Web Feed'!$F$2:$F$3015,$B454)+SUMIFS('Web Feed'!$O$2:$O$3015,'Web Feed'!$B$2:$B$3015,Points!$A$2,'Web Feed'!$G$2:$G$3015,$B454)+SUMIFS('Web Feed'!$O$2:$O$3015,'Web Feed'!$B$2:$B$3015,Points!$A$2,'Web Feed'!$H$2:$H$3015,$B454)+SUMIFS('Web Feed'!$O$2:$O$3015,'Web Feed'!$B$2:$B$3015,Points!$A$2,'Web Feed'!$I$2:$I$3015,$B454))</f>
        <v/>
      </c>
      <c r="E454">
        <f>IF($B454="","",SUMIFS('Web Feed'!$O$2:$O$3015,'Web Feed'!$B$2:$B$3015,Points!$A$3,'Web Feed'!$F$2:$F$3015,$B454)+SUMIFS('Web Feed'!$O$2:$O$3015,'Web Feed'!$B$2:$B$3015,Points!$A$3,'Web Feed'!$G$2:$G$3015,$B454)+SUMIFS('Web Feed'!$O$2:$O$3015,'Web Feed'!$B$2:$B$3015,Points!$A$3,'Web Feed'!$H$2:$H$3015,$B454)+SUMIFS('Web Feed'!$O$2:$O$3015,'Web Feed'!$B$2:$B$3015,Points!$A$3,'Web Feed'!$I$2:$I$3015,$B454))</f>
        <v/>
      </c>
      <c r="F454">
        <f>IF($B454="","",SUMIFS('Web Feed'!$O$2:$O$3015,'Web Feed'!$B$2:$B$3015,Points!$A$4,'Web Feed'!$F$2:$F$3015,$B454)+SUMIFS('Web Feed'!$O$2:$O$3015,'Web Feed'!$B$2:$B$3015,Points!$A$4,'Web Feed'!$G$2:$G$3015,$B454)+SUMIFS('Web Feed'!$O$2:$O$3015,'Web Feed'!$B$2:$B$3015,Points!$A$4,'Web Feed'!$H$2:$H$3015,$B454)+SUMIFS('Web Feed'!$O$2:$O$3015,'Web Feed'!$B$2:$B$3015,Points!$A$4,'Web Feed'!$I$2:$I$3015,$B454))</f>
        <v/>
      </c>
      <c r="G454">
        <f>IF($B454="","",SUMIFS('Web Feed'!$O$2:$O$3015,'Web Feed'!$B$2:$B$3015,Points!$A$5,'Web Feed'!$F$2:$F$3015,$B454)+SUMIFS('Web Feed'!$O$2:$O$3015,'Web Feed'!$B$2:$B$3015,Points!$A$5,'Web Feed'!$G$2:$G$3015,$B454)+SUMIFS('Web Feed'!$O$2:$O$3015,'Web Feed'!$B$2:$B$3015,Points!$A$5,'Web Feed'!$H$2:$H$3015,$B454)+SUMIFS('Web Feed'!$O$2:$O$3015,'Web Feed'!$B$2:$B$3015,Points!$A$5,'Web Feed'!$I$2:$I$3015,$B454))</f>
        <v/>
      </c>
      <c r="H454">
        <f>IF($B454="","",SUMIFS('Web Feed'!$O$2:$O$3015,'Web Feed'!$B$2:$B$3015,Points!$A$6,'Web Feed'!$F$2:$F$3015,$B454)+SUMIFS('Web Feed'!$O$2:$O$3015,'Web Feed'!$B$2:$B$3015,Points!$A$6,'Web Feed'!$G$2:$G$3015,$B454)+SUMIFS('Web Feed'!$O$2:$O$3015,'Web Feed'!$B$2:$B$3015,Points!$A$6,'Web Feed'!$H$2:$H$3015,$B454)+SUMIFS('Web Feed'!$O$2:$O$3015,'Web Feed'!$B$2:$B$3015,Points!$A$6,'Web Feed'!$I$2:$I$3015,$B454))</f>
        <v/>
      </c>
      <c r="I454">
        <f>IF($B454="","",COUNTIFS('Web Feed'!$B$2:$B$3015,"OHW",'Web Feed'!$F$2:$F$3015,$B454))</f>
        <v/>
      </c>
      <c r="J454">
        <f>IF($B454="","",IFERROR(INDEX('Last Week'!$A$2:$A$301,MATCH($B454,'Last Week'!$B$2:$B$301,0)),""))</f>
        <v/>
      </c>
      <c r="K454">
        <f>IF(OR($B454="",$J454=""),"",$J454-$A454)</f>
        <v/>
      </c>
    </row>
    <row r="455">
      <c r="A455">
        <f>IF($B455="","",RANK($C455,$C$2:$C$500))</f>
        <v/>
      </c>
      <c r="B455">
        <f>IF(Players!$A455="","",Players!$A455)</f>
        <v/>
      </c>
      <c r="C455" s="5">
        <f>IF($B455="","",SUM(D455:H455))</f>
        <v/>
      </c>
      <c r="D455">
        <f>IF($B455="","",SUMIFS('Web Feed'!$O$2:$O$3015,'Web Feed'!$B$2:$B$3015,Points!$A$2,'Web Feed'!$F$2:$F$3015,$B455)+SUMIFS('Web Feed'!$O$2:$O$3015,'Web Feed'!$B$2:$B$3015,Points!$A$2,'Web Feed'!$G$2:$G$3015,$B455)+SUMIFS('Web Feed'!$O$2:$O$3015,'Web Feed'!$B$2:$B$3015,Points!$A$2,'Web Feed'!$H$2:$H$3015,$B455)+SUMIFS('Web Feed'!$O$2:$O$3015,'Web Feed'!$B$2:$B$3015,Points!$A$2,'Web Feed'!$I$2:$I$3015,$B455))</f>
        <v/>
      </c>
      <c r="E455">
        <f>IF($B455="","",SUMIFS('Web Feed'!$O$2:$O$3015,'Web Feed'!$B$2:$B$3015,Points!$A$3,'Web Feed'!$F$2:$F$3015,$B455)+SUMIFS('Web Feed'!$O$2:$O$3015,'Web Feed'!$B$2:$B$3015,Points!$A$3,'Web Feed'!$G$2:$G$3015,$B455)+SUMIFS('Web Feed'!$O$2:$O$3015,'Web Feed'!$B$2:$B$3015,Points!$A$3,'Web Feed'!$H$2:$H$3015,$B455)+SUMIFS('Web Feed'!$O$2:$O$3015,'Web Feed'!$B$2:$B$3015,Points!$A$3,'Web Feed'!$I$2:$I$3015,$B455))</f>
        <v/>
      </c>
      <c r="F455">
        <f>IF($B455="","",SUMIFS('Web Feed'!$O$2:$O$3015,'Web Feed'!$B$2:$B$3015,Points!$A$4,'Web Feed'!$F$2:$F$3015,$B455)+SUMIFS('Web Feed'!$O$2:$O$3015,'Web Feed'!$B$2:$B$3015,Points!$A$4,'Web Feed'!$G$2:$G$3015,$B455)+SUMIFS('Web Feed'!$O$2:$O$3015,'Web Feed'!$B$2:$B$3015,Points!$A$4,'Web Feed'!$H$2:$H$3015,$B455)+SUMIFS('Web Feed'!$O$2:$O$3015,'Web Feed'!$B$2:$B$3015,Points!$A$4,'Web Feed'!$I$2:$I$3015,$B455))</f>
        <v/>
      </c>
      <c r="G455">
        <f>IF($B455="","",SUMIFS('Web Feed'!$O$2:$O$3015,'Web Feed'!$B$2:$B$3015,Points!$A$5,'Web Feed'!$F$2:$F$3015,$B455)+SUMIFS('Web Feed'!$O$2:$O$3015,'Web Feed'!$B$2:$B$3015,Points!$A$5,'Web Feed'!$G$2:$G$3015,$B455)+SUMIFS('Web Feed'!$O$2:$O$3015,'Web Feed'!$B$2:$B$3015,Points!$A$5,'Web Feed'!$H$2:$H$3015,$B455)+SUMIFS('Web Feed'!$O$2:$O$3015,'Web Feed'!$B$2:$B$3015,Points!$A$5,'Web Feed'!$I$2:$I$3015,$B455))</f>
        <v/>
      </c>
      <c r="H455">
        <f>IF($B455="","",SUMIFS('Web Feed'!$O$2:$O$3015,'Web Feed'!$B$2:$B$3015,Points!$A$6,'Web Feed'!$F$2:$F$3015,$B455)+SUMIFS('Web Feed'!$O$2:$O$3015,'Web Feed'!$B$2:$B$3015,Points!$A$6,'Web Feed'!$G$2:$G$3015,$B455)+SUMIFS('Web Feed'!$O$2:$O$3015,'Web Feed'!$B$2:$B$3015,Points!$A$6,'Web Feed'!$H$2:$H$3015,$B455)+SUMIFS('Web Feed'!$O$2:$O$3015,'Web Feed'!$B$2:$B$3015,Points!$A$6,'Web Feed'!$I$2:$I$3015,$B455))</f>
        <v/>
      </c>
      <c r="I455">
        <f>IF($B455="","",COUNTIFS('Web Feed'!$B$2:$B$3015,"OHW",'Web Feed'!$F$2:$F$3015,$B455))</f>
        <v/>
      </c>
      <c r="J455">
        <f>IF($B455="","",IFERROR(INDEX('Last Week'!$A$2:$A$301,MATCH($B455,'Last Week'!$B$2:$B$301,0)),""))</f>
        <v/>
      </c>
      <c r="K455">
        <f>IF(OR($B455="",$J455=""),"",$J455-$A455)</f>
        <v/>
      </c>
    </row>
    <row r="456">
      <c r="A456">
        <f>IF($B456="","",RANK($C456,$C$2:$C$500))</f>
        <v/>
      </c>
      <c r="B456">
        <f>IF(Players!$A456="","",Players!$A456)</f>
        <v/>
      </c>
      <c r="C456" s="5">
        <f>IF($B456="","",SUM(D456:H456))</f>
        <v/>
      </c>
      <c r="D456">
        <f>IF($B456="","",SUMIFS('Web Feed'!$O$2:$O$3015,'Web Feed'!$B$2:$B$3015,Points!$A$2,'Web Feed'!$F$2:$F$3015,$B456)+SUMIFS('Web Feed'!$O$2:$O$3015,'Web Feed'!$B$2:$B$3015,Points!$A$2,'Web Feed'!$G$2:$G$3015,$B456)+SUMIFS('Web Feed'!$O$2:$O$3015,'Web Feed'!$B$2:$B$3015,Points!$A$2,'Web Feed'!$H$2:$H$3015,$B456)+SUMIFS('Web Feed'!$O$2:$O$3015,'Web Feed'!$B$2:$B$3015,Points!$A$2,'Web Feed'!$I$2:$I$3015,$B456))</f>
        <v/>
      </c>
      <c r="E456">
        <f>IF($B456="","",SUMIFS('Web Feed'!$O$2:$O$3015,'Web Feed'!$B$2:$B$3015,Points!$A$3,'Web Feed'!$F$2:$F$3015,$B456)+SUMIFS('Web Feed'!$O$2:$O$3015,'Web Feed'!$B$2:$B$3015,Points!$A$3,'Web Feed'!$G$2:$G$3015,$B456)+SUMIFS('Web Feed'!$O$2:$O$3015,'Web Feed'!$B$2:$B$3015,Points!$A$3,'Web Feed'!$H$2:$H$3015,$B456)+SUMIFS('Web Feed'!$O$2:$O$3015,'Web Feed'!$B$2:$B$3015,Points!$A$3,'Web Feed'!$I$2:$I$3015,$B456))</f>
        <v/>
      </c>
      <c r="F456">
        <f>IF($B456="","",SUMIFS('Web Feed'!$O$2:$O$3015,'Web Feed'!$B$2:$B$3015,Points!$A$4,'Web Feed'!$F$2:$F$3015,$B456)+SUMIFS('Web Feed'!$O$2:$O$3015,'Web Feed'!$B$2:$B$3015,Points!$A$4,'Web Feed'!$G$2:$G$3015,$B456)+SUMIFS('Web Feed'!$O$2:$O$3015,'Web Feed'!$B$2:$B$3015,Points!$A$4,'Web Feed'!$H$2:$H$3015,$B456)+SUMIFS('Web Feed'!$O$2:$O$3015,'Web Feed'!$B$2:$B$3015,Points!$A$4,'Web Feed'!$I$2:$I$3015,$B456))</f>
        <v/>
      </c>
      <c r="G456">
        <f>IF($B456="","",SUMIFS('Web Feed'!$O$2:$O$3015,'Web Feed'!$B$2:$B$3015,Points!$A$5,'Web Feed'!$F$2:$F$3015,$B456)+SUMIFS('Web Feed'!$O$2:$O$3015,'Web Feed'!$B$2:$B$3015,Points!$A$5,'Web Feed'!$G$2:$G$3015,$B456)+SUMIFS('Web Feed'!$O$2:$O$3015,'Web Feed'!$B$2:$B$3015,Points!$A$5,'Web Feed'!$H$2:$H$3015,$B456)+SUMIFS('Web Feed'!$O$2:$O$3015,'Web Feed'!$B$2:$B$3015,Points!$A$5,'Web Feed'!$I$2:$I$3015,$B456))</f>
        <v/>
      </c>
      <c r="H456">
        <f>IF($B456="","",SUMIFS('Web Feed'!$O$2:$O$3015,'Web Feed'!$B$2:$B$3015,Points!$A$6,'Web Feed'!$F$2:$F$3015,$B456)+SUMIFS('Web Feed'!$O$2:$O$3015,'Web Feed'!$B$2:$B$3015,Points!$A$6,'Web Feed'!$G$2:$G$3015,$B456)+SUMIFS('Web Feed'!$O$2:$O$3015,'Web Feed'!$B$2:$B$3015,Points!$A$6,'Web Feed'!$H$2:$H$3015,$B456)+SUMIFS('Web Feed'!$O$2:$O$3015,'Web Feed'!$B$2:$B$3015,Points!$A$6,'Web Feed'!$I$2:$I$3015,$B456))</f>
        <v/>
      </c>
      <c r="I456">
        <f>IF($B456="","",COUNTIFS('Web Feed'!$B$2:$B$3015,"OHW",'Web Feed'!$F$2:$F$3015,$B456))</f>
        <v/>
      </c>
      <c r="J456">
        <f>IF($B456="","",IFERROR(INDEX('Last Week'!$A$2:$A$301,MATCH($B456,'Last Week'!$B$2:$B$301,0)),""))</f>
        <v/>
      </c>
      <c r="K456">
        <f>IF(OR($B456="",$J456=""),"",$J456-$A456)</f>
        <v/>
      </c>
    </row>
    <row r="457">
      <c r="A457">
        <f>IF($B457="","",RANK($C457,$C$2:$C$500))</f>
        <v/>
      </c>
      <c r="B457">
        <f>IF(Players!$A457="","",Players!$A457)</f>
        <v/>
      </c>
      <c r="C457" s="5">
        <f>IF($B457="","",SUM(D457:H457))</f>
        <v/>
      </c>
      <c r="D457">
        <f>IF($B457="","",SUMIFS('Web Feed'!$O$2:$O$3015,'Web Feed'!$B$2:$B$3015,Points!$A$2,'Web Feed'!$F$2:$F$3015,$B457)+SUMIFS('Web Feed'!$O$2:$O$3015,'Web Feed'!$B$2:$B$3015,Points!$A$2,'Web Feed'!$G$2:$G$3015,$B457)+SUMIFS('Web Feed'!$O$2:$O$3015,'Web Feed'!$B$2:$B$3015,Points!$A$2,'Web Feed'!$H$2:$H$3015,$B457)+SUMIFS('Web Feed'!$O$2:$O$3015,'Web Feed'!$B$2:$B$3015,Points!$A$2,'Web Feed'!$I$2:$I$3015,$B457))</f>
        <v/>
      </c>
      <c r="E457">
        <f>IF($B457="","",SUMIFS('Web Feed'!$O$2:$O$3015,'Web Feed'!$B$2:$B$3015,Points!$A$3,'Web Feed'!$F$2:$F$3015,$B457)+SUMIFS('Web Feed'!$O$2:$O$3015,'Web Feed'!$B$2:$B$3015,Points!$A$3,'Web Feed'!$G$2:$G$3015,$B457)+SUMIFS('Web Feed'!$O$2:$O$3015,'Web Feed'!$B$2:$B$3015,Points!$A$3,'Web Feed'!$H$2:$H$3015,$B457)+SUMIFS('Web Feed'!$O$2:$O$3015,'Web Feed'!$B$2:$B$3015,Points!$A$3,'Web Feed'!$I$2:$I$3015,$B457))</f>
        <v/>
      </c>
      <c r="F457">
        <f>IF($B457="","",SUMIFS('Web Feed'!$O$2:$O$3015,'Web Feed'!$B$2:$B$3015,Points!$A$4,'Web Feed'!$F$2:$F$3015,$B457)+SUMIFS('Web Feed'!$O$2:$O$3015,'Web Feed'!$B$2:$B$3015,Points!$A$4,'Web Feed'!$G$2:$G$3015,$B457)+SUMIFS('Web Feed'!$O$2:$O$3015,'Web Feed'!$B$2:$B$3015,Points!$A$4,'Web Feed'!$H$2:$H$3015,$B457)+SUMIFS('Web Feed'!$O$2:$O$3015,'Web Feed'!$B$2:$B$3015,Points!$A$4,'Web Feed'!$I$2:$I$3015,$B457))</f>
        <v/>
      </c>
      <c r="G457">
        <f>IF($B457="","",SUMIFS('Web Feed'!$O$2:$O$3015,'Web Feed'!$B$2:$B$3015,Points!$A$5,'Web Feed'!$F$2:$F$3015,$B457)+SUMIFS('Web Feed'!$O$2:$O$3015,'Web Feed'!$B$2:$B$3015,Points!$A$5,'Web Feed'!$G$2:$G$3015,$B457)+SUMIFS('Web Feed'!$O$2:$O$3015,'Web Feed'!$B$2:$B$3015,Points!$A$5,'Web Feed'!$H$2:$H$3015,$B457)+SUMIFS('Web Feed'!$O$2:$O$3015,'Web Feed'!$B$2:$B$3015,Points!$A$5,'Web Feed'!$I$2:$I$3015,$B457))</f>
        <v/>
      </c>
      <c r="H457">
        <f>IF($B457="","",SUMIFS('Web Feed'!$O$2:$O$3015,'Web Feed'!$B$2:$B$3015,Points!$A$6,'Web Feed'!$F$2:$F$3015,$B457)+SUMIFS('Web Feed'!$O$2:$O$3015,'Web Feed'!$B$2:$B$3015,Points!$A$6,'Web Feed'!$G$2:$G$3015,$B457)+SUMIFS('Web Feed'!$O$2:$O$3015,'Web Feed'!$B$2:$B$3015,Points!$A$6,'Web Feed'!$H$2:$H$3015,$B457)+SUMIFS('Web Feed'!$O$2:$O$3015,'Web Feed'!$B$2:$B$3015,Points!$A$6,'Web Feed'!$I$2:$I$3015,$B457))</f>
        <v/>
      </c>
      <c r="I457">
        <f>IF($B457="","",COUNTIFS('Web Feed'!$B$2:$B$3015,"OHW",'Web Feed'!$F$2:$F$3015,$B457))</f>
        <v/>
      </c>
      <c r="J457">
        <f>IF($B457="","",IFERROR(INDEX('Last Week'!$A$2:$A$301,MATCH($B457,'Last Week'!$B$2:$B$301,0)),""))</f>
        <v/>
      </c>
      <c r="K457">
        <f>IF(OR($B457="",$J457=""),"",$J457-$A457)</f>
        <v/>
      </c>
    </row>
    <row r="458">
      <c r="A458">
        <f>IF($B458="","",RANK($C458,$C$2:$C$500))</f>
        <v/>
      </c>
      <c r="B458">
        <f>IF(Players!$A458="","",Players!$A458)</f>
        <v/>
      </c>
      <c r="C458" s="5">
        <f>IF($B458="","",SUM(D458:H458))</f>
        <v/>
      </c>
      <c r="D458">
        <f>IF($B458="","",SUMIFS('Web Feed'!$O$2:$O$3015,'Web Feed'!$B$2:$B$3015,Points!$A$2,'Web Feed'!$F$2:$F$3015,$B458)+SUMIFS('Web Feed'!$O$2:$O$3015,'Web Feed'!$B$2:$B$3015,Points!$A$2,'Web Feed'!$G$2:$G$3015,$B458)+SUMIFS('Web Feed'!$O$2:$O$3015,'Web Feed'!$B$2:$B$3015,Points!$A$2,'Web Feed'!$H$2:$H$3015,$B458)+SUMIFS('Web Feed'!$O$2:$O$3015,'Web Feed'!$B$2:$B$3015,Points!$A$2,'Web Feed'!$I$2:$I$3015,$B458))</f>
        <v/>
      </c>
      <c r="E458">
        <f>IF($B458="","",SUMIFS('Web Feed'!$O$2:$O$3015,'Web Feed'!$B$2:$B$3015,Points!$A$3,'Web Feed'!$F$2:$F$3015,$B458)+SUMIFS('Web Feed'!$O$2:$O$3015,'Web Feed'!$B$2:$B$3015,Points!$A$3,'Web Feed'!$G$2:$G$3015,$B458)+SUMIFS('Web Feed'!$O$2:$O$3015,'Web Feed'!$B$2:$B$3015,Points!$A$3,'Web Feed'!$H$2:$H$3015,$B458)+SUMIFS('Web Feed'!$O$2:$O$3015,'Web Feed'!$B$2:$B$3015,Points!$A$3,'Web Feed'!$I$2:$I$3015,$B458))</f>
        <v/>
      </c>
      <c r="F458">
        <f>IF($B458="","",SUMIFS('Web Feed'!$O$2:$O$3015,'Web Feed'!$B$2:$B$3015,Points!$A$4,'Web Feed'!$F$2:$F$3015,$B458)+SUMIFS('Web Feed'!$O$2:$O$3015,'Web Feed'!$B$2:$B$3015,Points!$A$4,'Web Feed'!$G$2:$G$3015,$B458)+SUMIFS('Web Feed'!$O$2:$O$3015,'Web Feed'!$B$2:$B$3015,Points!$A$4,'Web Feed'!$H$2:$H$3015,$B458)+SUMIFS('Web Feed'!$O$2:$O$3015,'Web Feed'!$B$2:$B$3015,Points!$A$4,'Web Feed'!$I$2:$I$3015,$B458))</f>
        <v/>
      </c>
      <c r="G458">
        <f>IF($B458="","",SUMIFS('Web Feed'!$O$2:$O$3015,'Web Feed'!$B$2:$B$3015,Points!$A$5,'Web Feed'!$F$2:$F$3015,$B458)+SUMIFS('Web Feed'!$O$2:$O$3015,'Web Feed'!$B$2:$B$3015,Points!$A$5,'Web Feed'!$G$2:$G$3015,$B458)+SUMIFS('Web Feed'!$O$2:$O$3015,'Web Feed'!$B$2:$B$3015,Points!$A$5,'Web Feed'!$H$2:$H$3015,$B458)+SUMIFS('Web Feed'!$O$2:$O$3015,'Web Feed'!$B$2:$B$3015,Points!$A$5,'Web Feed'!$I$2:$I$3015,$B458))</f>
        <v/>
      </c>
      <c r="H458">
        <f>IF($B458="","",SUMIFS('Web Feed'!$O$2:$O$3015,'Web Feed'!$B$2:$B$3015,Points!$A$6,'Web Feed'!$F$2:$F$3015,$B458)+SUMIFS('Web Feed'!$O$2:$O$3015,'Web Feed'!$B$2:$B$3015,Points!$A$6,'Web Feed'!$G$2:$G$3015,$B458)+SUMIFS('Web Feed'!$O$2:$O$3015,'Web Feed'!$B$2:$B$3015,Points!$A$6,'Web Feed'!$H$2:$H$3015,$B458)+SUMIFS('Web Feed'!$O$2:$O$3015,'Web Feed'!$B$2:$B$3015,Points!$A$6,'Web Feed'!$I$2:$I$3015,$B458))</f>
        <v/>
      </c>
      <c r="I458">
        <f>IF($B458="","",COUNTIFS('Web Feed'!$B$2:$B$3015,"OHW",'Web Feed'!$F$2:$F$3015,$B458))</f>
        <v/>
      </c>
      <c r="J458">
        <f>IF($B458="","",IFERROR(INDEX('Last Week'!$A$2:$A$301,MATCH($B458,'Last Week'!$B$2:$B$301,0)),""))</f>
        <v/>
      </c>
      <c r="K458">
        <f>IF(OR($B458="",$J458=""),"",$J458-$A458)</f>
        <v/>
      </c>
    </row>
    <row r="459">
      <c r="A459">
        <f>IF($B459="","",RANK($C459,$C$2:$C$500))</f>
        <v/>
      </c>
      <c r="B459">
        <f>IF(Players!$A459="","",Players!$A459)</f>
        <v/>
      </c>
      <c r="C459" s="5">
        <f>IF($B459="","",SUM(D459:H459))</f>
        <v/>
      </c>
      <c r="D459">
        <f>IF($B459="","",SUMIFS('Web Feed'!$O$2:$O$3015,'Web Feed'!$B$2:$B$3015,Points!$A$2,'Web Feed'!$F$2:$F$3015,$B459)+SUMIFS('Web Feed'!$O$2:$O$3015,'Web Feed'!$B$2:$B$3015,Points!$A$2,'Web Feed'!$G$2:$G$3015,$B459)+SUMIFS('Web Feed'!$O$2:$O$3015,'Web Feed'!$B$2:$B$3015,Points!$A$2,'Web Feed'!$H$2:$H$3015,$B459)+SUMIFS('Web Feed'!$O$2:$O$3015,'Web Feed'!$B$2:$B$3015,Points!$A$2,'Web Feed'!$I$2:$I$3015,$B459))</f>
        <v/>
      </c>
      <c r="E459">
        <f>IF($B459="","",SUMIFS('Web Feed'!$O$2:$O$3015,'Web Feed'!$B$2:$B$3015,Points!$A$3,'Web Feed'!$F$2:$F$3015,$B459)+SUMIFS('Web Feed'!$O$2:$O$3015,'Web Feed'!$B$2:$B$3015,Points!$A$3,'Web Feed'!$G$2:$G$3015,$B459)+SUMIFS('Web Feed'!$O$2:$O$3015,'Web Feed'!$B$2:$B$3015,Points!$A$3,'Web Feed'!$H$2:$H$3015,$B459)+SUMIFS('Web Feed'!$O$2:$O$3015,'Web Feed'!$B$2:$B$3015,Points!$A$3,'Web Feed'!$I$2:$I$3015,$B459))</f>
        <v/>
      </c>
      <c r="F459">
        <f>IF($B459="","",SUMIFS('Web Feed'!$O$2:$O$3015,'Web Feed'!$B$2:$B$3015,Points!$A$4,'Web Feed'!$F$2:$F$3015,$B459)+SUMIFS('Web Feed'!$O$2:$O$3015,'Web Feed'!$B$2:$B$3015,Points!$A$4,'Web Feed'!$G$2:$G$3015,$B459)+SUMIFS('Web Feed'!$O$2:$O$3015,'Web Feed'!$B$2:$B$3015,Points!$A$4,'Web Feed'!$H$2:$H$3015,$B459)+SUMIFS('Web Feed'!$O$2:$O$3015,'Web Feed'!$B$2:$B$3015,Points!$A$4,'Web Feed'!$I$2:$I$3015,$B459))</f>
        <v/>
      </c>
      <c r="G459">
        <f>IF($B459="","",SUMIFS('Web Feed'!$O$2:$O$3015,'Web Feed'!$B$2:$B$3015,Points!$A$5,'Web Feed'!$F$2:$F$3015,$B459)+SUMIFS('Web Feed'!$O$2:$O$3015,'Web Feed'!$B$2:$B$3015,Points!$A$5,'Web Feed'!$G$2:$G$3015,$B459)+SUMIFS('Web Feed'!$O$2:$O$3015,'Web Feed'!$B$2:$B$3015,Points!$A$5,'Web Feed'!$H$2:$H$3015,$B459)+SUMIFS('Web Feed'!$O$2:$O$3015,'Web Feed'!$B$2:$B$3015,Points!$A$5,'Web Feed'!$I$2:$I$3015,$B459))</f>
        <v/>
      </c>
      <c r="H459">
        <f>IF($B459="","",SUMIFS('Web Feed'!$O$2:$O$3015,'Web Feed'!$B$2:$B$3015,Points!$A$6,'Web Feed'!$F$2:$F$3015,$B459)+SUMIFS('Web Feed'!$O$2:$O$3015,'Web Feed'!$B$2:$B$3015,Points!$A$6,'Web Feed'!$G$2:$G$3015,$B459)+SUMIFS('Web Feed'!$O$2:$O$3015,'Web Feed'!$B$2:$B$3015,Points!$A$6,'Web Feed'!$H$2:$H$3015,$B459)+SUMIFS('Web Feed'!$O$2:$O$3015,'Web Feed'!$B$2:$B$3015,Points!$A$6,'Web Feed'!$I$2:$I$3015,$B459))</f>
        <v/>
      </c>
      <c r="I459">
        <f>IF($B459="","",COUNTIFS('Web Feed'!$B$2:$B$3015,"OHW",'Web Feed'!$F$2:$F$3015,$B459))</f>
        <v/>
      </c>
      <c r="J459">
        <f>IF($B459="","",IFERROR(INDEX('Last Week'!$A$2:$A$301,MATCH($B459,'Last Week'!$B$2:$B$301,0)),""))</f>
        <v/>
      </c>
      <c r="K459">
        <f>IF(OR($B459="",$J459=""),"",$J459-$A459)</f>
        <v/>
      </c>
    </row>
    <row r="460">
      <c r="A460">
        <f>IF($B460="","",RANK($C460,$C$2:$C$500))</f>
        <v/>
      </c>
      <c r="B460">
        <f>IF(Players!$A460="","",Players!$A460)</f>
        <v/>
      </c>
      <c r="C460" s="5">
        <f>IF($B460="","",SUM(D460:H460))</f>
        <v/>
      </c>
      <c r="D460">
        <f>IF($B460="","",SUMIFS('Web Feed'!$O$2:$O$3015,'Web Feed'!$B$2:$B$3015,Points!$A$2,'Web Feed'!$F$2:$F$3015,$B460)+SUMIFS('Web Feed'!$O$2:$O$3015,'Web Feed'!$B$2:$B$3015,Points!$A$2,'Web Feed'!$G$2:$G$3015,$B460)+SUMIFS('Web Feed'!$O$2:$O$3015,'Web Feed'!$B$2:$B$3015,Points!$A$2,'Web Feed'!$H$2:$H$3015,$B460)+SUMIFS('Web Feed'!$O$2:$O$3015,'Web Feed'!$B$2:$B$3015,Points!$A$2,'Web Feed'!$I$2:$I$3015,$B460))</f>
        <v/>
      </c>
      <c r="E460">
        <f>IF($B460="","",SUMIFS('Web Feed'!$O$2:$O$3015,'Web Feed'!$B$2:$B$3015,Points!$A$3,'Web Feed'!$F$2:$F$3015,$B460)+SUMIFS('Web Feed'!$O$2:$O$3015,'Web Feed'!$B$2:$B$3015,Points!$A$3,'Web Feed'!$G$2:$G$3015,$B460)+SUMIFS('Web Feed'!$O$2:$O$3015,'Web Feed'!$B$2:$B$3015,Points!$A$3,'Web Feed'!$H$2:$H$3015,$B460)+SUMIFS('Web Feed'!$O$2:$O$3015,'Web Feed'!$B$2:$B$3015,Points!$A$3,'Web Feed'!$I$2:$I$3015,$B460))</f>
        <v/>
      </c>
      <c r="F460">
        <f>IF($B460="","",SUMIFS('Web Feed'!$O$2:$O$3015,'Web Feed'!$B$2:$B$3015,Points!$A$4,'Web Feed'!$F$2:$F$3015,$B460)+SUMIFS('Web Feed'!$O$2:$O$3015,'Web Feed'!$B$2:$B$3015,Points!$A$4,'Web Feed'!$G$2:$G$3015,$B460)+SUMIFS('Web Feed'!$O$2:$O$3015,'Web Feed'!$B$2:$B$3015,Points!$A$4,'Web Feed'!$H$2:$H$3015,$B460)+SUMIFS('Web Feed'!$O$2:$O$3015,'Web Feed'!$B$2:$B$3015,Points!$A$4,'Web Feed'!$I$2:$I$3015,$B460))</f>
        <v/>
      </c>
      <c r="G460">
        <f>IF($B460="","",SUMIFS('Web Feed'!$O$2:$O$3015,'Web Feed'!$B$2:$B$3015,Points!$A$5,'Web Feed'!$F$2:$F$3015,$B460)+SUMIFS('Web Feed'!$O$2:$O$3015,'Web Feed'!$B$2:$B$3015,Points!$A$5,'Web Feed'!$G$2:$G$3015,$B460)+SUMIFS('Web Feed'!$O$2:$O$3015,'Web Feed'!$B$2:$B$3015,Points!$A$5,'Web Feed'!$H$2:$H$3015,$B460)+SUMIFS('Web Feed'!$O$2:$O$3015,'Web Feed'!$B$2:$B$3015,Points!$A$5,'Web Feed'!$I$2:$I$3015,$B460))</f>
        <v/>
      </c>
      <c r="H460">
        <f>IF($B460="","",SUMIFS('Web Feed'!$O$2:$O$3015,'Web Feed'!$B$2:$B$3015,Points!$A$6,'Web Feed'!$F$2:$F$3015,$B460)+SUMIFS('Web Feed'!$O$2:$O$3015,'Web Feed'!$B$2:$B$3015,Points!$A$6,'Web Feed'!$G$2:$G$3015,$B460)+SUMIFS('Web Feed'!$O$2:$O$3015,'Web Feed'!$B$2:$B$3015,Points!$A$6,'Web Feed'!$H$2:$H$3015,$B460)+SUMIFS('Web Feed'!$O$2:$O$3015,'Web Feed'!$B$2:$B$3015,Points!$A$6,'Web Feed'!$I$2:$I$3015,$B460))</f>
        <v/>
      </c>
      <c r="I460">
        <f>IF($B460="","",COUNTIFS('Web Feed'!$B$2:$B$3015,"OHW",'Web Feed'!$F$2:$F$3015,$B460))</f>
        <v/>
      </c>
      <c r="J460">
        <f>IF($B460="","",IFERROR(INDEX('Last Week'!$A$2:$A$301,MATCH($B460,'Last Week'!$B$2:$B$301,0)),""))</f>
        <v/>
      </c>
      <c r="K460">
        <f>IF(OR($B460="",$J460=""),"",$J460-$A460)</f>
        <v/>
      </c>
    </row>
    <row r="461">
      <c r="A461">
        <f>IF($B461="","",RANK($C461,$C$2:$C$500))</f>
        <v/>
      </c>
      <c r="B461">
        <f>IF(Players!$A461="","",Players!$A461)</f>
        <v/>
      </c>
      <c r="C461" s="5">
        <f>IF($B461="","",SUM(D461:H461))</f>
        <v/>
      </c>
      <c r="D461">
        <f>IF($B461="","",SUMIFS('Web Feed'!$O$2:$O$3015,'Web Feed'!$B$2:$B$3015,Points!$A$2,'Web Feed'!$F$2:$F$3015,$B461)+SUMIFS('Web Feed'!$O$2:$O$3015,'Web Feed'!$B$2:$B$3015,Points!$A$2,'Web Feed'!$G$2:$G$3015,$B461)+SUMIFS('Web Feed'!$O$2:$O$3015,'Web Feed'!$B$2:$B$3015,Points!$A$2,'Web Feed'!$H$2:$H$3015,$B461)+SUMIFS('Web Feed'!$O$2:$O$3015,'Web Feed'!$B$2:$B$3015,Points!$A$2,'Web Feed'!$I$2:$I$3015,$B461))</f>
        <v/>
      </c>
      <c r="E461">
        <f>IF($B461="","",SUMIFS('Web Feed'!$O$2:$O$3015,'Web Feed'!$B$2:$B$3015,Points!$A$3,'Web Feed'!$F$2:$F$3015,$B461)+SUMIFS('Web Feed'!$O$2:$O$3015,'Web Feed'!$B$2:$B$3015,Points!$A$3,'Web Feed'!$G$2:$G$3015,$B461)+SUMIFS('Web Feed'!$O$2:$O$3015,'Web Feed'!$B$2:$B$3015,Points!$A$3,'Web Feed'!$H$2:$H$3015,$B461)+SUMIFS('Web Feed'!$O$2:$O$3015,'Web Feed'!$B$2:$B$3015,Points!$A$3,'Web Feed'!$I$2:$I$3015,$B461))</f>
        <v/>
      </c>
      <c r="F461">
        <f>IF($B461="","",SUMIFS('Web Feed'!$O$2:$O$3015,'Web Feed'!$B$2:$B$3015,Points!$A$4,'Web Feed'!$F$2:$F$3015,$B461)+SUMIFS('Web Feed'!$O$2:$O$3015,'Web Feed'!$B$2:$B$3015,Points!$A$4,'Web Feed'!$G$2:$G$3015,$B461)+SUMIFS('Web Feed'!$O$2:$O$3015,'Web Feed'!$B$2:$B$3015,Points!$A$4,'Web Feed'!$H$2:$H$3015,$B461)+SUMIFS('Web Feed'!$O$2:$O$3015,'Web Feed'!$B$2:$B$3015,Points!$A$4,'Web Feed'!$I$2:$I$3015,$B461))</f>
        <v/>
      </c>
      <c r="G461">
        <f>IF($B461="","",SUMIFS('Web Feed'!$O$2:$O$3015,'Web Feed'!$B$2:$B$3015,Points!$A$5,'Web Feed'!$F$2:$F$3015,$B461)+SUMIFS('Web Feed'!$O$2:$O$3015,'Web Feed'!$B$2:$B$3015,Points!$A$5,'Web Feed'!$G$2:$G$3015,$B461)+SUMIFS('Web Feed'!$O$2:$O$3015,'Web Feed'!$B$2:$B$3015,Points!$A$5,'Web Feed'!$H$2:$H$3015,$B461)+SUMIFS('Web Feed'!$O$2:$O$3015,'Web Feed'!$B$2:$B$3015,Points!$A$5,'Web Feed'!$I$2:$I$3015,$B461))</f>
        <v/>
      </c>
      <c r="H461">
        <f>IF($B461="","",SUMIFS('Web Feed'!$O$2:$O$3015,'Web Feed'!$B$2:$B$3015,Points!$A$6,'Web Feed'!$F$2:$F$3015,$B461)+SUMIFS('Web Feed'!$O$2:$O$3015,'Web Feed'!$B$2:$B$3015,Points!$A$6,'Web Feed'!$G$2:$G$3015,$B461)+SUMIFS('Web Feed'!$O$2:$O$3015,'Web Feed'!$B$2:$B$3015,Points!$A$6,'Web Feed'!$H$2:$H$3015,$B461)+SUMIFS('Web Feed'!$O$2:$O$3015,'Web Feed'!$B$2:$B$3015,Points!$A$6,'Web Feed'!$I$2:$I$3015,$B461))</f>
        <v/>
      </c>
      <c r="I461">
        <f>IF($B461="","",COUNTIFS('Web Feed'!$B$2:$B$3015,"OHW",'Web Feed'!$F$2:$F$3015,$B461))</f>
        <v/>
      </c>
      <c r="J461">
        <f>IF($B461="","",IFERROR(INDEX('Last Week'!$A$2:$A$301,MATCH($B461,'Last Week'!$B$2:$B$301,0)),""))</f>
        <v/>
      </c>
      <c r="K461">
        <f>IF(OR($B461="",$J461=""),"",$J461-$A461)</f>
        <v/>
      </c>
    </row>
    <row r="462">
      <c r="A462">
        <f>IF($B462="","",RANK($C462,$C$2:$C$500))</f>
        <v/>
      </c>
      <c r="B462">
        <f>IF(Players!$A462="","",Players!$A462)</f>
        <v/>
      </c>
      <c r="C462" s="5">
        <f>IF($B462="","",SUM(D462:H462))</f>
        <v/>
      </c>
      <c r="D462">
        <f>IF($B462="","",SUMIFS('Web Feed'!$O$2:$O$3015,'Web Feed'!$B$2:$B$3015,Points!$A$2,'Web Feed'!$F$2:$F$3015,$B462)+SUMIFS('Web Feed'!$O$2:$O$3015,'Web Feed'!$B$2:$B$3015,Points!$A$2,'Web Feed'!$G$2:$G$3015,$B462)+SUMIFS('Web Feed'!$O$2:$O$3015,'Web Feed'!$B$2:$B$3015,Points!$A$2,'Web Feed'!$H$2:$H$3015,$B462)+SUMIFS('Web Feed'!$O$2:$O$3015,'Web Feed'!$B$2:$B$3015,Points!$A$2,'Web Feed'!$I$2:$I$3015,$B462))</f>
        <v/>
      </c>
      <c r="E462">
        <f>IF($B462="","",SUMIFS('Web Feed'!$O$2:$O$3015,'Web Feed'!$B$2:$B$3015,Points!$A$3,'Web Feed'!$F$2:$F$3015,$B462)+SUMIFS('Web Feed'!$O$2:$O$3015,'Web Feed'!$B$2:$B$3015,Points!$A$3,'Web Feed'!$G$2:$G$3015,$B462)+SUMIFS('Web Feed'!$O$2:$O$3015,'Web Feed'!$B$2:$B$3015,Points!$A$3,'Web Feed'!$H$2:$H$3015,$B462)+SUMIFS('Web Feed'!$O$2:$O$3015,'Web Feed'!$B$2:$B$3015,Points!$A$3,'Web Feed'!$I$2:$I$3015,$B462))</f>
        <v/>
      </c>
      <c r="F462">
        <f>IF($B462="","",SUMIFS('Web Feed'!$O$2:$O$3015,'Web Feed'!$B$2:$B$3015,Points!$A$4,'Web Feed'!$F$2:$F$3015,$B462)+SUMIFS('Web Feed'!$O$2:$O$3015,'Web Feed'!$B$2:$B$3015,Points!$A$4,'Web Feed'!$G$2:$G$3015,$B462)+SUMIFS('Web Feed'!$O$2:$O$3015,'Web Feed'!$B$2:$B$3015,Points!$A$4,'Web Feed'!$H$2:$H$3015,$B462)+SUMIFS('Web Feed'!$O$2:$O$3015,'Web Feed'!$B$2:$B$3015,Points!$A$4,'Web Feed'!$I$2:$I$3015,$B462))</f>
        <v/>
      </c>
      <c r="G462">
        <f>IF($B462="","",SUMIFS('Web Feed'!$O$2:$O$3015,'Web Feed'!$B$2:$B$3015,Points!$A$5,'Web Feed'!$F$2:$F$3015,$B462)+SUMIFS('Web Feed'!$O$2:$O$3015,'Web Feed'!$B$2:$B$3015,Points!$A$5,'Web Feed'!$G$2:$G$3015,$B462)+SUMIFS('Web Feed'!$O$2:$O$3015,'Web Feed'!$B$2:$B$3015,Points!$A$5,'Web Feed'!$H$2:$H$3015,$B462)+SUMIFS('Web Feed'!$O$2:$O$3015,'Web Feed'!$B$2:$B$3015,Points!$A$5,'Web Feed'!$I$2:$I$3015,$B462))</f>
        <v/>
      </c>
      <c r="H462">
        <f>IF($B462="","",SUMIFS('Web Feed'!$O$2:$O$3015,'Web Feed'!$B$2:$B$3015,Points!$A$6,'Web Feed'!$F$2:$F$3015,$B462)+SUMIFS('Web Feed'!$O$2:$O$3015,'Web Feed'!$B$2:$B$3015,Points!$A$6,'Web Feed'!$G$2:$G$3015,$B462)+SUMIFS('Web Feed'!$O$2:$O$3015,'Web Feed'!$B$2:$B$3015,Points!$A$6,'Web Feed'!$H$2:$H$3015,$B462)+SUMIFS('Web Feed'!$O$2:$O$3015,'Web Feed'!$B$2:$B$3015,Points!$A$6,'Web Feed'!$I$2:$I$3015,$B462))</f>
        <v/>
      </c>
      <c r="I462">
        <f>IF($B462="","",COUNTIFS('Web Feed'!$B$2:$B$3015,"OHW",'Web Feed'!$F$2:$F$3015,$B462))</f>
        <v/>
      </c>
      <c r="J462">
        <f>IF($B462="","",IFERROR(INDEX('Last Week'!$A$2:$A$301,MATCH($B462,'Last Week'!$B$2:$B$301,0)),""))</f>
        <v/>
      </c>
      <c r="K462">
        <f>IF(OR($B462="",$J462=""),"",$J462-$A462)</f>
        <v/>
      </c>
    </row>
    <row r="463">
      <c r="A463">
        <f>IF($B463="","",RANK($C463,$C$2:$C$500))</f>
        <v/>
      </c>
      <c r="B463">
        <f>IF(Players!$A463="","",Players!$A463)</f>
        <v/>
      </c>
      <c r="C463" s="5">
        <f>IF($B463="","",SUM(D463:H463))</f>
        <v/>
      </c>
      <c r="D463">
        <f>IF($B463="","",SUMIFS('Web Feed'!$O$2:$O$3015,'Web Feed'!$B$2:$B$3015,Points!$A$2,'Web Feed'!$F$2:$F$3015,$B463)+SUMIFS('Web Feed'!$O$2:$O$3015,'Web Feed'!$B$2:$B$3015,Points!$A$2,'Web Feed'!$G$2:$G$3015,$B463)+SUMIFS('Web Feed'!$O$2:$O$3015,'Web Feed'!$B$2:$B$3015,Points!$A$2,'Web Feed'!$H$2:$H$3015,$B463)+SUMIFS('Web Feed'!$O$2:$O$3015,'Web Feed'!$B$2:$B$3015,Points!$A$2,'Web Feed'!$I$2:$I$3015,$B463))</f>
        <v/>
      </c>
      <c r="E463">
        <f>IF($B463="","",SUMIFS('Web Feed'!$O$2:$O$3015,'Web Feed'!$B$2:$B$3015,Points!$A$3,'Web Feed'!$F$2:$F$3015,$B463)+SUMIFS('Web Feed'!$O$2:$O$3015,'Web Feed'!$B$2:$B$3015,Points!$A$3,'Web Feed'!$G$2:$G$3015,$B463)+SUMIFS('Web Feed'!$O$2:$O$3015,'Web Feed'!$B$2:$B$3015,Points!$A$3,'Web Feed'!$H$2:$H$3015,$B463)+SUMIFS('Web Feed'!$O$2:$O$3015,'Web Feed'!$B$2:$B$3015,Points!$A$3,'Web Feed'!$I$2:$I$3015,$B463))</f>
        <v/>
      </c>
      <c r="F463">
        <f>IF($B463="","",SUMIFS('Web Feed'!$O$2:$O$3015,'Web Feed'!$B$2:$B$3015,Points!$A$4,'Web Feed'!$F$2:$F$3015,$B463)+SUMIFS('Web Feed'!$O$2:$O$3015,'Web Feed'!$B$2:$B$3015,Points!$A$4,'Web Feed'!$G$2:$G$3015,$B463)+SUMIFS('Web Feed'!$O$2:$O$3015,'Web Feed'!$B$2:$B$3015,Points!$A$4,'Web Feed'!$H$2:$H$3015,$B463)+SUMIFS('Web Feed'!$O$2:$O$3015,'Web Feed'!$B$2:$B$3015,Points!$A$4,'Web Feed'!$I$2:$I$3015,$B463))</f>
        <v/>
      </c>
      <c r="G463">
        <f>IF($B463="","",SUMIFS('Web Feed'!$O$2:$O$3015,'Web Feed'!$B$2:$B$3015,Points!$A$5,'Web Feed'!$F$2:$F$3015,$B463)+SUMIFS('Web Feed'!$O$2:$O$3015,'Web Feed'!$B$2:$B$3015,Points!$A$5,'Web Feed'!$G$2:$G$3015,$B463)+SUMIFS('Web Feed'!$O$2:$O$3015,'Web Feed'!$B$2:$B$3015,Points!$A$5,'Web Feed'!$H$2:$H$3015,$B463)+SUMIFS('Web Feed'!$O$2:$O$3015,'Web Feed'!$B$2:$B$3015,Points!$A$5,'Web Feed'!$I$2:$I$3015,$B463))</f>
        <v/>
      </c>
      <c r="H463">
        <f>IF($B463="","",SUMIFS('Web Feed'!$O$2:$O$3015,'Web Feed'!$B$2:$B$3015,Points!$A$6,'Web Feed'!$F$2:$F$3015,$B463)+SUMIFS('Web Feed'!$O$2:$O$3015,'Web Feed'!$B$2:$B$3015,Points!$A$6,'Web Feed'!$G$2:$G$3015,$B463)+SUMIFS('Web Feed'!$O$2:$O$3015,'Web Feed'!$B$2:$B$3015,Points!$A$6,'Web Feed'!$H$2:$H$3015,$B463)+SUMIFS('Web Feed'!$O$2:$O$3015,'Web Feed'!$B$2:$B$3015,Points!$A$6,'Web Feed'!$I$2:$I$3015,$B463))</f>
        <v/>
      </c>
      <c r="I463">
        <f>IF($B463="","",COUNTIFS('Web Feed'!$B$2:$B$3015,"OHW",'Web Feed'!$F$2:$F$3015,$B463))</f>
        <v/>
      </c>
      <c r="J463">
        <f>IF($B463="","",IFERROR(INDEX('Last Week'!$A$2:$A$301,MATCH($B463,'Last Week'!$B$2:$B$301,0)),""))</f>
        <v/>
      </c>
      <c r="K463">
        <f>IF(OR($B463="",$J463=""),"",$J463-$A463)</f>
        <v/>
      </c>
    </row>
    <row r="464">
      <c r="A464">
        <f>IF($B464="","",RANK($C464,$C$2:$C$500))</f>
        <v/>
      </c>
      <c r="B464">
        <f>IF(Players!$A464="","",Players!$A464)</f>
        <v/>
      </c>
      <c r="C464" s="5">
        <f>IF($B464="","",SUM(D464:H464))</f>
        <v/>
      </c>
      <c r="D464">
        <f>IF($B464="","",SUMIFS('Web Feed'!$O$2:$O$3015,'Web Feed'!$B$2:$B$3015,Points!$A$2,'Web Feed'!$F$2:$F$3015,$B464)+SUMIFS('Web Feed'!$O$2:$O$3015,'Web Feed'!$B$2:$B$3015,Points!$A$2,'Web Feed'!$G$2:$G$3015,$B464)+SUMIFS('Web Feed'!$O$2:$O$3015,'Web Feed'!$B$2:$B$3015,Points!$A$2,'Web Feed'!$H$2:$H$3015,$B464)+SUMIFS('Web Feed'!$O$2:$O$3015,'Web Feed'!$B$2:$B$3015,Points!$A$2,'Web Feed'!$I$2:$I$3015,$B464))</f>
        <v/>
      </c>
      <c r="E464">
        <f>IF($B464="","",SUMIFS('Web Feed'!$O$2:$O$3015,'Web Feed'!$B$2:$B$3015,Points!$A$3,'Web Feed'!$F$2:$F$3015,$B464)+SUMIFS('Web Feed'!$O$2:$O$3015,'Web Feed'!$B$2:$B$3015,Points!$A$3,'Web Feed'!$G$2:$G$3015,$B464)+SUMIFS('Web Feed'!$O$2:$O$3015,'Web Feed'!$B$2:$B$3015,Points!$A$3,'Web Feed'!$H$2:$H$3015,$B464)+SUMIFS('Web Feed'!$O$2:$O$3015,'Web Feed'!$B$2:$B$3015,Points!$A$3,'Web Feed'!$I$2:$I$3015,$B464))</f>
        <v/>
      </c>
      <c r="F464">
        <f>IF($B464="","",SUMIFS('Web Feed'!$O$2:$O$3015,'Web Feed'!$B$2:$B$3015,Points!$A$4,'Web Feed'!$F$2:$F$3015,$B464)+SUMIFS('Web Feed'!$O$2:$O$3015,'Web Feed'!$B$2:$B$3015,Points!$A$4,'Web Feed'!$G$2:$G$3015,$B464)+SUMIFS('Web Feed'!$O$2:$O$3015,'Web Feed'!$B$2:$B$3015,Points!$A$4,'Web Feed'!$H$2:$H$3015,$B464)+SUMIFS('Web Feed'!$O$2:$O$3015,'Web Feed'!$B$2:$B$3015,Points!$A$4,'Web Feed'!$I$2:$I$3015,$B464))</f>
        <v/>
      </c>
      <c r="G464">
        <f>IF($B464="","",SUMIFS('Web Feed'!$O$2:$O$3015,'Web Feed'!$B$2:$B$3015,Points!$A$5,'Web Feed'!$F$2:$F$3015,$B464)+SUMIFS('Web Feed'!$O$2:$O$3015,'Web Feed'!$B$2:$B$3015,Points!$A$5,'Web Feed'!$G$2:$G$3015,$B464)+SUMIFS('Web Feed'!$O$2:$O$3015,'Web Feed'!$B$2:$B$3015,Points!$A$5,'Web Feed'!$H$2:$H$3015,$B464)+SUMIFS('Web Feed'!$O$2:$O$3015,'Web Feed'!$B$2:$B$3015,Points!$A$5,'Web Feed'!$I$2:$I$3015,$B464))</f>
        <v/>
      </c>
      <c r="H464">
        <f>IF($B464="","",SUMIFS('Web Feed'!$O$2:$O$3015,'Web Feed'!$B$2:$B$3015,Points!$A$6,'Web Feed'!$F$2:$F$3015,$B464)+SUMIFS('Web Feed'!$O$2:$O$3015,'Web Feed'!$B$2:$B$3015,Points!$A$6,'Web Feed'!$G$2:$G$3015,$B464)+SUMIFS('Web Feed'!$O$2:$O$3015,'Web Feed'!$B$2:$B$3015,Points!$A$6,'Web Feed'!$H$2:$H$3015,$B464)+SUMIFS('Web Feed'!$O$2:$O$3015,'Web Feed'!$B$2:$B$3015,Points!$A$6,'Web Feed'!$I$2:$I$3015,$B464))</f>
        <v/>
      </c>
      <c r="I464">
        <f>IF($B464="","",COUNTIFS('Web Feed'!$B$2:$B$3015,"OHW",'Web Feed'!$F$2:$F$3015,$B464))</f>
        <v/>
      </c>
      <c r="J464">
        <f>IF($B464="","",IFERROR(INDEX('Last Week'!$A$2:$A$301,MATCH($B464,'Last Week'!$B$2:$B$301,0)),""))</f>
        <v/>
      </c>
      <c r="K464">
        <f>IF(OR($B464="",$J464=""),"",$J464-$A464)</f>
        <v/>
      </c>
    </row>
    <row r="465">
      <c r="A465">
        <f>IF($B465="","",RANK($C465,$C$2:$C$500))</f>
        <v/>
      </c>
      <c r="B465">
        <f>IF(Players!$A465="","",Players!$A465)</f>
        <v/>
      </c>
      <c r="C465" s="5">
        <f>IF($B465="","",SUM(D465:H465))</f>
        <v/>
      </c>
      <c r="D465">
        <f>IF($B465="","",SUMIFS('Web Feed'!$O$2:$O$3015,'Web Feed'!$B$2:$B$3015,Points!$A$2,'Web Feed'!$F$2:$F$3015,$B465)+SUMIFS('Web Feed'!$O$2:$O$3015,'Web Feed'!$B$2:$B$3015,Points!$A$2,'Web Feed'!$G$2:$G$3015,$B465)+SUMIFS('Web Feed'!$O$2:$O$3015,'Web Feed'!$B$2:$B$3015,Points!$A$2,'Web Feed'!$H$2:$H$3015,$B465)+SUMIFS('Web Feed'!$O$2:$O$3015,'Web Feed'!$B$2:$B$3015,Points!$A$2,'Web Feed'!$I$2:$I$3015,$B465))</f>
        <v/>
      </c>
      <c r="E465">
        <f>IF($B465="","",SUMIFS('Web Feed'!$O$2:$O$3015,'Web Feed'!$B$2:$B$3015,Points!$A$3,'Web Feed'!$F$2:$F$3015,$B465)+SUMIFS('Web Feed'!$O$2:$O$3015,'Web Feed'!$B$2:$B$3015,Points!$A$3,'Web Feed'!$G$2:$G$3015,$B465)+SUMIFS('Web Feed'!$O$2:$O$3015,'Web Feed'!$B$2:$B$3015,Points!$A$3,'Web Feed'!$H$2:$H$3015,$B465)+SUMIFS('Web Feed'!$O$2:$O$3015,'Web Feed'!$B$2:$B$3015,Points!$A$3,'Web Feed'!$I$2:$I$3015,$B465))</f>
        <v/>
      </c>
      <c r="F465">
        <f>IF($B465="","",SUMIFS('Web Feed'!$O$2:$O$3015,'Web Feed'!$B$2:$B$3015,Points!$A$4,'Web Feed'!$F$2:$F$3015,$B465)+SUMIFS('Web Feed'!$O$2:$O$3015,'Web Feed'!$B$2:$B$3015,Points!$A$4,'Web Feed'!$G$2:$G$3015,$B465)+SUMIFS('Web Feed'!$O$2:$O$3015,'Web Feed'!$B$2:$B$3015,Points!$A$4,'Web Feed'!$H$2:$H$3015,$B465)+SUMIFS('Web Feed'!$O$2:$O$3015,'Web Feed'!$B$2:$B$3015,Points!$A$4,'Web Feed'!$I$2:$I$3015,$B465))</f>
        <v/>
      </c>
      <c r="G465">
        <f>IF($B465="","",SUMIFS('Web Feed'!$O$2:$O$3015,'Web Feed'!$B$2:$B$3015,Points!$A$5,'Web Feed'!$F$2:$F$3015,$B465)+SUMIFS('Web Feed'!$O$2:$O$3015,'Web Feed'!$B$2:$B$3015,Points!$A$5,'Web Feed'!$G$2:$G$3015,$B465)+SUMIFS('Web Feed'!$O$2:$O$3015,'Web Feed'!$B$2:$B$3015,Points!$A$5,'Web Feed'!$H$2:$H$3015,$B465)+SUMIFS('Web Feed'!$O$2:$O$3015,'Web Feed'!$B$2:$B$3015,Points!$A$5,'Web Feed'!$I$2:$I$3015,$B465))</f>
        <v/>
      </c>
      <c r="H465">
        <f>IF($B465="","",SUMIFS('Web Feed'!$O$2:$O$3015,'Web Feed'!$B$2:$B$3015,Points!$A$6,'Web Feed'!$F$2:$F$3015,$B465)+SUMIFS('Web Feed'!$O$2:$O$3015,'Web Feed'!$B$2:$B$3015,Points!$A$6,'Web Feed'!$G$2:$G$3015,$B465)+SUMIFS('Web Feed'!$O$2:$O$3015,'Web Feed'!$B$2:$B$3015,Points!$A$6,'Web Feed'!$H$2:$H$3015,$B465)+SUMIFS('Web Feed'!$O$2:$O$3015,'Web Feed'!$B$2:$B$3015,Points!$A$6,'Web Feed'!$I$2:$I$3015,$B465))</f>
        <v/>
      </c>
      <c r="I465">
        <f>IF($B465="","",COUNTIFS('Web Feed'!$B$2:$B$3015,"OHW",'Web Feed'!$F$2:$F$3015,$B465))</f>
        <v/>
      </c>
      <c r="J465">
        <f>IF($B465="","",IFERROR(INDEX('Last Week'!$A$2:$A$301,MATCH($B465,'Last Week'!$B$2:$B$301,0)),""))</f>
        <v/>
      </c>
      <c r="K465">
        <f>IF(OR($B465="",$J465=""),"",$J465-$A465)</f>
        <v/>
      </c>
    </row>
    <row r="466">
      <c r="A466">
        <f>IF($B466="","",RANK($C466,$C$2:$C$500))</f>
        <v/>
      </c>
      <c r="B466">
        <f>IF(Players!$A466="","",Players!$A466)</f>
        <v/>
      </c>
      <c r="C466" s="5">
        <f>IF($B466="","",SUM(D466:H466))</f>
        <v/>
      </c>
      <c r="D466">
        <f>IF($B466="","",SUMIFS('Web Feed'!$O$2:$O$3015,'Web Feed'!$B$2:$B$3015,Points!$A$2,'Web Feed'!$F$2:$F$3015,$B466)+SUMIFS('Web Feed'!$O$2:$O$3015,'Web Feed'!$B$2:$B$3015,Points!$A$2,'Web Feed'!$G$2:$G$3015,$B466)+SUMIFS('Web Feed'!$O$2:$O$3015,'Web Feed'!$B$2:$B$3015,Points!$A$2,'Web Feed'!$H$2:$H$3015,$B466)+SUMIFS('Web Feed'!$O$2:$O$3015,'Web Feed'!$B$2:$B$3015,Points!$A$2,'Web Feed'!$I$2:$I$3015,$B466))</f>
        <v/>
      </c>
      <c r="E466">
        <f>IF($B466="","",SUMIFS('Web Feed'!$O$2:$O$3015,'Web Feed'!$B$2:$B$3015,Points!$A$3,'Web Feed'!$F$2:$F$3015,$B466)+SUMIFS('Web Feed'!$O$2:$O$3015,'Web Feed'!$B$2:$B$3015,Points!$A$3,'Web Feed'!$G$2:$G$3015,$B466)+SUMIFS('Web Feed'!$O$2:$O$3015,'Web Feed'!$B$2:$B$3015,Points!$A$3,'Web Feed'!$H$2:$H$3015,$B466)+SUMIFS('Web Feed'!$O$2:$O$3015,'Web Feed'!$B$2:$B$3015,Points!$A$3,'Web Feed'!$I$2:$I$3015,$B466))</f>
        <v/>
      </c>
      <c r="F466">
        <f>IF($B466="","",SUMIFS('Web Feed'!$O$2:$O$3015,'Web Feed'!$B$2:$B$3015,Points!$A$4,'Web Feed'!$F$2:$F$3015,$B466)+SUMIFS('Web Feed'!$O$2:$O$3015,'Web Feed'!$B$2:$B$3015,Points!$A$4,'Web Feed'!$G$2:$G$3015,$B466)+SUMIFS('Web Feed'!$O$2:$O$3015,'Web Feed'!$B$2:$B$3015,Points!$A$4,'Web Feed'!$H$2:$H$3015,$B466)+SUMIFS('Web Feed'!$O$2:$O$3015,'Web Feed'!$B$2:$B$3015,Points!$A$4,'Web Feed'!$I$2:$I$3015,$B466))</f>
        <v/>
      </c>
      <c r="G466">
        <f>IF($B466="","",SUMIFS('Web Feed'!$O$2:$O$3015,'Web Feed'!$B$2:$B$3015,Points!$A$5,'Web Feed'!$F$2:$F$3015,$B466)+SUMIFS('Web Feed'!$O$2:$O$3015,'Web Feed'!$B$2:$B$3015,Points!$A$5,'Web Feed'!$G$2:$G$3015,$B466)+SUMIFS('Web Feed'!$O$2:$O$3015,'Web Feed'!$B$2:$B$3015,Points!$A$5,'Web Feed'!$H$2:$H$3015,$B466)+SUMIFS('Web Feed'!$O$2:$O$3015,'Web Feed'!$B$2:$B$3015,Points!$A$5,'Web Feed'!$I$2:$I$3015,$B466))</f>
        <v/>
      </c>
      <c r="H466">
        <f>IF($B466="","",SUMIFS('Web Feed'!$O$2:$O$3015,'Web Feed'!$B$2:$B$3015,Points!$A$6,'Web Feed'!$F$2:$F$3015,$B466)+SUMIFS('Web Feed'!$O$2:$O$3015,'Web Feed'!$B$2:$B$3015,Points!$A$6,'Web Feed'!$G$2:$G$3015,$B466)+SUMIFS('Web Feed'!$O$2:$O$3015,'Web Feed'!$B$2:$B$3015,Points!$A$6,'Web Feed'!$H$2:$H$3015,$B466)+SUMIFS('Web Feed'!$O$2:$O$3015,'Web Feed'!$B$2:$B$3015,Points!$A$6,'Web Feed'!$I$2:$I$3015,$B466))</f>
        <v/>
      </c>
      <c r="I466">
        <f>IF($B466="","",COUNTIFS('Web Feed'!$B$2:$B$3015,"OHW",'Web Feed'!$F$2:$F$3015,$B466))</f>
        <v/>
      </c>
      <c r="J466">
        <f>IF($B466="","",IFERROR(INDEX('Last Week'!$A$2:$A$301,MATCH($B466,'Last Week'!$B$2:$B$301,0)),""))</f>
        <v/>
      </c>
      <c r="K466">
        <f>IF(OR($B466="",$J466=""),"",$J466-$A466)</f>
        <v/>
      </c>
    </row>
    <row r="467">
      <c r="A467">
        <f>IF($B467="","",RANK($C467,$C$2:$C$500))</f>
        <v/>
      </c>
      <c r="B467">
        <f>IF(Players!$A467="","",Players!$A467)</f>
        <v/>
      </c>
      <c r="C467" s="5">
        <f>IF($B467="","",SUM(D467:H467))</f>
        <v/>
      </c>
      <c r="D467">
        <f>IF($B467="","",SUMIFS('Web Feed'!$O$2:$O$3015,'Web Feed'!$B$2:$B$3015,Points!$A$2,'Web Feed'!$F$2:$F$3015,$B467)+SUMIFS('Web Feed'!$O$2:$O$3015,'Web Feed'!$B$2:$B$3015,Points!$A$2,'Web Feed'!$G$2:$G$3015,$B467)+SUMIFS('Web Feed'!$O$2:$O$3015,'Web Feed'!$B$2:$B$3015,Points!$A$2,'Web Feed'!$H$2:$H$3015,$B467)+SUMIFS('Web Feed'!$O$2:$O$3015,'Web Feed'!$B$2:$B$3015,Points!$A$2,'Web Feed'!$I$2:$I$3015,$B467))</f>
        <v/>
      </c>
      <c r="E467">
        <f>IF($B467="","",SUMIFS('Web Feed'!$O$2:$O$3015,'Web Feed'!$B$2:$B$3015,Points!$A$3,'Web Feed'!$F$2:$F$3015,$B467)+SUMIFS('Web Feed'!$O$2:$O$3015,'Web Feed'!$B$2:$B$3015,Points!$A$3,'Web Feed'!$G$2:$G$3015,$B467)+SUMIFS('Web Feed'!$O$2:$O$3015,'Web Feed'!$B$2:$B$3015,Points!$A$3,'Web Feed'!$H$2:$H$3015,$B467)+SUMIFS('Web Feed'!$O$2:$O$3015,'Web Feed'!$B$2:$B$3015,Points!$A$3,'Web Feed'!$I$2:$I$3015,$B467))</f>
        <v/>
      </c>
      <c r="F467">
        <f>IF($B467="","",SUMIFS('Web Feed'!$O$2:$O$3015,'Web Feed'!$B$2:$B$3015,Points!$A$4,'Web Feed'!$F$2:$F$3015,$B467)+SUMIFS('Web Feed'!$O$2:$O$3015,'Web Feed'!$B$2:$B$3015,Points!$A$4,'Web Feed'!$G$2:$G$3015,$B467)+SUMIFS('Web Feed'!$O$2:$O$3015,'Web Feed'!$B$2:$B$3015,Points!$A$4,'Web Feed'!$H$2:$H$3015,$B467)+SUMIFS('Web Feed'!$O$2:$O$3015,'Web Feed'!$B$2:$B$3015,Points!$A$4,'Web Feed'!$I$2:$I$3015,$B467))</f>
        <v/>
      </c>
      <c r="G467">
        <f>IF($B467="","",SUMIFS('Web Feed'!$O$2:$O$3015,'Web Feed'!$B$2:$B$3015,Points!$A$5,'Web Feed'!$F$2:$F$3015,$B467)+SUMIFS('Web Feed'!$O$2:$O$3015,'Web Feed'!$B$2:$B$3015,Points!$A$5,'Web Feed'!$G$2:$G$3015,$B467)+SUMIFS('Web Feed'!$O$2:$O$3015,'Web Feed'!$B$2:$B$3015,Points!$A$5,'Web Feed'!$H$2:$H$3015,$B467)+SUMIFS('Web Feed'!$O$2:$O$3015,'Web Feed'!$B$2:$B$3015,Points!$A$5,'Web Feed'!$I$2:$I$3015,$B467))</f>
        <v/>
      </c>
      <c r="H467">
        <f>IF($B467="","",SUMIFS('Web Feed'!$O$2:$O$3015,'Web Feed'!$B$2:$B$3015,Points!$A$6,'Web Feed'!$F$2:$F$3015,$B467)+SUMIFS('Web Feed'!$O$2:$O$3015,'Web Feed'!$B$2:$B$3015,Points!$A$6,'Web Feed'!$G$2:$G$3015,$B467)+SUMIFS('Web Feed'!$O$2:$O$3015,'Web Feed'!$B$2:$B$3015,Points!$A$6,'Web Feed'!$H$2:$H$3015,$B467)+SUMIFS('Web Feed'!$O$2:$O$3015,'Web Feed'!$B$2:$B$3015,Points!$A$6,'Web Feed'!$I$2:$I$3015,$B467))</f>
        <v/>
      </c>
      <c r="I467">
        <f>IF($B467="","",COUNTIFS('Web Feed'!$B$2:$B$3015,"OHW",'Web Feed'!$F$2:$F$3015,$B467))</f>
        <v/>
      </c>
      <c r="J467">
        <f>IF($B467="","",IFERROR(INDEX('Last Week'!$A$2:$A$301,MATCH($B467,'Last Week'!$B$2:$B$301,0)),""))</f>
        <v/>
      </c>
      <c r="K467">
        <f>IF(OR($B467="",$J467=""),"",$J467-$A467)</f>
        <v/>
      </c>
    </row>
    <row r="468">
      <c r="A468">
        <f>IF($B468="","",RANK($C468,$C$2:$C$500))</f>
        <v/>
      </c>
      <c r="B468">
        <f>IF(Players!$A468="","",Players!$A468)</f>
        <v/>
      </c>
      <c r="C468" s="5">
        <f>IF($B468="","",SUM(D468:H468))</f>
        <v/>
      </c>
      <c r="D468">
        <f>IF($B468="","",SUMIFS('Web Feed'!$O$2:$O$3015,'Web Feed'!$B$2:$B$3015,Points!$A$2,'Web Feed'!$F$2:$F$3015,$B468)+SUMIFS('Web Feed'!$O$2:$O$3015,'Web Feed'!$B$2:$B$3015,Points!$A$2,'Web Feed'!$G$2:$G$3015,$B468)+SUMIFS('Web Feed'!$O$2:$O$3015,'Web Feed'!$B$2:$B$3015,Points!$A$2,'Web Feed'!$H$2:$H$3015,$B468)+SUMIFS('Web Feed'!$O$2:$O$3015,'Web Feed'!$B$2:$B$3015,Points!$A$2,'Web Feed'!$I$2:$I$3015,$B468))</f>
        <v/>
      </c>
      <c r="E468">
        <f>IF($B468="","",SUMIFS('Web Feed'!$O$2:$O$3015,'Web Feed'!$B$2:$B$3015,Points!$A$3,'Web Feed'!$F$2:$F$3015,$B468)+SUMIFS('Web Feed'!$O$2:$O$3015,'Web Feed'!$B$2:$B$3015,Points!$A$3,'Web Feed'!$G$2:$G$3015,$B468)+SUMIFS('Web Feed'!$O$2:$O$3015,'Web Feed'!$B$2:$B$3015,Points!$A$3,'Web Feed'!$H$2:$H$3015,$B468)+SUMIFS('Web Feed'!$O$2:$O$3015,'Web Feed'!$B$2:$B$3015,Points!$A$3,'Web Feed'!$I$2:$I$3015,$B468))</f>
        <v/>
      </c>
      <c r="F468">
        <f>IF($B468="","",SUMIFS('Web Feed'!$O$2:$O$3015,'Web Feed'!$B$2:$B$3015,Points!$A$4,'Web Feed'!$F$2:$F$3015,$B468)+SUMIFS('Web Feed'!$O$2:$O$3015,'Web Feed'!$B$2:$B$3015,Points!$A$4,'Web Feed'!$G$2:$G$3015,$B468)+SUMIFS('Web Feed'!$O$2:$O$3015,'Web Feed'!$B$2:$B$3015,Points!$A$4,'Web Feed'!$H$2:$H$3015,$B468)+SUMIFS('Web Feed'!$O$2:$O$3015,'Web Feed'!$B$2:$B$3015,Points!$A$4,'Web Feed'!$I$2:$I$3015,$B468))</f>
        <v/>
      </c>
      <c r="G468">
        <f>IF($B468="","",SUMIFS('Web Feed'!$O$2:$O$3015,'Web Feed'!$B$2:$B$3015,Points!$A$5,'Web Feed'!$F$2:$F$3015,$B468)+SUMIFS('Web Feed'!$O$2:$O$3015,'Web Feed'!$B$2:$B$3015,Points!$A$5,'Web Feed'!$G$2:$G$3015,$B468)+SUMIFS('Web Feed'!$O$2:$O$3015,'Web Feed'!$B$2:$B$3015,Points!$A$5,'Web Feed'!$H$2:$H$3015,$B468)+SUMIFS('Web Feed'!$O$2:$O$3015,'Web Feed'!$B$2:$B$3015,Points!$A$5,'Web Feed'!$I$2:$I$3015,$B468))</f>
        <v/>
      </c>
      <c r="H468">
        <f>IF($B468="","",SUMIFS('Web Feed'!$O$2:$O$3015,'Web Feed'!$B$2:$B$3015,Points!$A$6,'Web Feed'!$F$2:$F$3015,$B468)+SUMIFS('Web Feed'!$O$2:$O$3015,'Web Feed'!$B$2:$B$3015,Points!$A$6,'Web Feed'!$G$2:$G$3015,$B468)+SUMIFS('Web Feed'!$O$2:$O$3015,'Web Feed'!$B$2:$B$3015,Points!$A$6,'Web Feed'!$H$2:$H$3015,$B468)+SUMIFS('Web Feed'!$O$2:$O$3015,'Web Feed'!$B$2:$B$3015,Points!$A$6,'Web Feed'!$I$2:$I$3015,$B468))</f>
        <v/>
      </c>
      <c r="I468">
        <f>IF($B468="","",COUNTIFS('Web Feed'!$B$2:$B$3015,"OHW",'Web Feed'!$F$2:$F$3015,$B468))</f>
        <v/>
      </c>
      <c r="J468">
        <f>IF($B468="","",IFERROR(INDEX('Last Week'!$A$2:$A$301,MATCH($B468,'Last Week'!$B$2:$B$301,0)),""))</f>
        <v/>
      </c>
      <c r="K468">
        <f>IF(OR($B468="",$J468=""),"",$J468-$A468)</f>
        <v/>
      </c>
    </row>
    <row r="469">
      <c r="A469">
        <f>IF($B469="","",RANK($C469,$C$2:$C$500))</f>
        <v/>
      </c>
      <c r="B469">
        <f>IF(Players!$A469="","",Players!$A469)</f>
        <v/>
      </c>
      <c r="C469" s="5">
        <f>IF($B469="","",SUM(D469:H469))</f>
        <v/>
      </c>
      <c r="D469">
        <f>IF($B469="","",SUMIFS('Web Feed'!$O$2:$O$3015,'Web Feed'!$B$2:$B$3015,Points!$A$2,'Web Feed'!$F$2:$F$3015,$B469)+SUMIFS('Web Feed'!$O$2:$O$3015,'Web Feed'!$B$2:$B$3015,Points!$A$2,'Web Feed'!$G$2:$G$3015,$B469)+SUMIFS('Web Feed'!$O$2:$O$3015,'Web Feed'!$B$2:$B$3015,Points!$A$2,'Web Feed'!$H$2:$H$3015,$B469)+SUMIFS('Web Feed'!$O$2:$O$3015,'Web Feed'!$B$2:$B$3015,Points!$A$2,'Web Feed'!$I$2:$I$3015,$B469))</f>
        <v/>
      </c>
      <c r="E469">
        <f>IF($B469="","",SUMIFS('Web Feed'!$O$2:$O$3015,'Web Feed'!$B$2:$B$3015,Points!$A$3,'Web Feed'!$F$2:$F$3015,$B469)+SUMIFS('Web Feed'!$O$2:$O$3015,'Web Feed'!$B$2:$B$3015,Points!$A$3,'Web Feed'!$G$2:$G$3015,$B469)+SUMIFS('Web Feed'!$O$2:$O$3015,'Web Feed'!$B$2:$B$3015,Points!$A$3,'Web Feed'!$H$2:$H$3015,$B469)+SUMIFS('Web Feed'!$O$2:$O$3015,'Web Feed'!$B$2:$B$3015,Points!$A$3,'Web Feed'!$I$2:$I$3015,$B469))</f>
        <v/>
      </c>
      <c r="F469">
        <f>IF($B469="","",SUMIFS('Web Feed'!$O$2:$O$3015,'Web Feed'!$B$2:$B$3015,Points!$A$4,'Web Feed'!$F$2:$F$3015,$B469)+SUMIFS('Web Feed'!$O$2:$O$3015,'Web Feed'!$B$2:$B$3015,Points!$A$4,'Web Feed'!$G$2:$G$3015,$B469)+SUMIFS('Web Feed'!$O$2:$O$3015,'Web Feed'!$B$2:$B$3015,Points!$A$4,'Web Feed'!$H$2:$H$3015,$B469)+SUMIFS('Web Feed'!$O$2:$O$3015,'Web Feed'!$B$2:$B$3015,Points!$A$4,'Web Feed'!$I$2:$I$3015,$B469))</f>
        <v/>
      </c>
      <c r="G469">
        <f>IF($B469="","",SUMIFS('Web Feed'!$O$2:$O$3015,'Web Feed'!$B$2:$B$3015,Points!$A$5,'Web Feed'!$F$2:$F$3015,$B469)+SUMIFS('Web Feed'!$O$2:$O$3015,'Web Feed'!$B$2:$B$3015,Points!$A$5,'Web Feed'!$G$2:$G$3015,$B469)+SUMIFS('Web Feed'!$O$2:$O$3015,'Web Feed'!$B$2:$B$3015,Points!$A$5,'Web Feed'!$H$2:$H$3015,$B469)+SUMIFS('Web Feed'!$O$2:$O$3015,'Web Feed'!$B$2:$B$3015,Points!$A$5,'Web Feed'!$I$2:$I$3015,$B469))</f>
        <v/>
      </c>
      <c r="H469">
        <f>IF($B469="","",SUMIFS('Web Feed'!$O$2:$O$3015,'Web Feed'!$B$2:$B$3015,Points!$A$6,'Web Feed'!$F$2:$F$3015,$B469)+SUMIFS('Web Feed'!$O$2:$O$3015,'Web Feed'!$B$2:$B$3015,Points!$A$6,'Web Feed'!$G$2:$G$3015,$B469)+SUMIFS('Web Feed'!$O$2:$O$3015,'Web Feed'!$B$2:$B$3015,Points!$A$6,'Web Feed'!$H$2:$H$3015,$B469)+SUMIFS('Web Feed'!$O$2:$O$3015,'Web Feed'!$B$2:$B$3015,Points!$A$6,'Web Feed'!$I$2:$I$3015,$B469))</f>
        <v/>
      </c>
      <c r="I469">
        <f>IF($B469="","",COUNTIFS('Web Feed'!$B$2:$B$3015,"OHW",'Web Feed'!$F$2:$F$3015,$B469))</f>
        <v/>
      </c>
      <c r="J469">
        <f>IF($B469="","",IFERROR(INDEX('Last Week'!$A$2:$A$301,MATCH($B469,'Last Week'!$B$2:$B$301,0)),""))</f>
        <v/>
      </c>
      <c r="K469">
        <f>IF(OR($B469="",$J469=""),"",$J469-$A469)</f>
        <v/>
      </c>
    </row>
    <row r="470">
      <c r="A470">
        <f>IF($B470="","",RANK($C470,$C$2:$C$500))</f>
        <v/>
      </c>
      <c r="B470">
        <f>IF(Players!$A470="","",Players!$A470)</f>
        <v/>
      </c>
      <c r="C470" s="5">
        <f>IF($B470="","",SUM(D470:H470))</f>
        <v/>
      </c>
      <c r="D470">
        <f>IF($B470="","",SUMIFS('Web Feed'!$O$2:$O$3015,'Web Feed'!$B$2:$B$3015,Points!$A$2,'Web Feed'!$F$2:$F$3015,$B470)+SUMIFS('Web Feed'!$O$2:$O$3015,'Web Feed'!$B$2:$B$3015,Points!$A$2,'Web Feed'!$G$2:$G$3015,$B470)+SUMIFS('Web Feed'!$O$2:$O$3015,'Web Feed'!$B$2:$B$3015,Points!$A$2,'Web Feed'!$H$2:$H$3015,$B470)+SUMIFS('Web Feed'!$O$2:$O$3015,'Web Feed'!$B$2:$B$3015,Points!$A$2,'Web Feed'!$I$2:$I$3015,$B470))</f>
        <v/>
      </c>
      <c r="E470">
        <f>IF($B470="","",SUMIFS('Web Feed'!$O$2:$O$3015,'Web Feed'!$B$2:$B$3015,Points!$A$3,'Web Feed'!$F$2:$F$3015,$B470)+SUMIFS('Web Feed'!$O$2:$O$3015,'Web Feed'!$B$2:$B$3015,Points!$A$3,'Web Feed'!$G$2:$G$3015,$B470)+SUMIFS('Web Feed'!$O$2:$O$3015,'Web Feed'!$B$2:$B$3015,Points!$A$3,'Web Feed'!$H$2:$H$3015,$B470)+SUMIFS('Web Feed'!$O$2:$O$3015,'Web Feed'!$B$2:$B$3015,Points!$A$3,'Web Feed'!$I$2:$I$3015,$B470))</f>
        <v/>
      </c>
      <c r="F470">
        <f>IF($B470="","",SUMIFS('Web Feed'!$O$2:$O$3015,'Web Feed'!$B$2:$B$3015,Points!$A$4,'Web Feed'!$F$2:$F$3015,$B470)+SUMIFS('Web Feed'!$O$2:$O$3015,'Web Feed'!$B$2:$B$3015,Points!$A$4,'Web Feed'!$G$2:$G$3015,$B470)+SUMIFS('Web Feed'!$O$2:$O$3015,'Web Feed'!$B$2:$B$3015,Points!$A$4,'Web Feed'!$H$2:$H$3015,$B470)+SUMIFS('Web Feed'!$O$2:$O$3015,'Web Feed'!$B$2:$B$3015,Points!$A$4,'Web Feed'!$I$2:$I$3015,$B470))</f>
        <v/>
      </c>
      <c r="G470">
        <f>IF($B470="","",SUMIFS('Web Feed'!$O$2:$O$3015,'Web Feed'!$B$2:$B$3015,Points!$A$5,'Web Feed'!$F$2:$F$3015,$B470)+SUMIFS('Web Feed'!$O$2:$O$3015,'Web Feed'!$B$2:$B$3015,Points!$A$5,'Web Feed'!$G$2:$G$3015,$B470)+SUMIFS('Web Feed'!$O$2:$O$3015,'Web Feed'!$B$2:$B$3015,Points!$A$5,'Web Feed'!$H$2:$H$3015,$B470)+SUMIFS('Web Feed'!$O$2:$O$3015,'Web Feed'!$B$2:$B$3015,Points!$A$5,'Web Feed'!$I$2:$I$3015,$B470))</f>
        <v/>
      </c>
      <c r="H470">
        <f>IF($B470="","",SUMIFS('Web Feed'!$O$2:$O$3015,'Web Feed'!$B$2:$B$3015,Points!$A$6,'Web Feed'!$F$2:$F$3015,$B470)+SUMIFS('Web Feed'!$O$2:$O$3015,'Web Feed'!$B$2:$B$3015,Points!$A$6,'Web Feed'!$G$2:$G$3015,$B470)+SUMIFS('Web Feed'!$O$2:$O$3015,'Web Feed'!$B$2:$B$3015,Points!$A$6,'Web Feed'!$H$2:$H$3015,$B470)+SUMIFS('Web Feed'!$O$2:$O$3015,'Web Feed'!$B$2:$B$3015,Points!$A$6,'Web Feed'!$I$2:$I$3015,$B470))</f>
        <v/>
      </c>
      <c r="I470">
        <f>IF($B470="","",COUNTIFS('Web Feed'!$B$2:$B$3015,"OHW",'Web Feed'!$F$2:$F$3015,$B470))</f>
        <v/>
      </c>
      <c r="J470">
        <f>IF($B470="","",IFERROR(INDEX('Last Week'!$A$2:$A$301,MATCH($B470,'Last Week'!$B$2:$B$301,0)),""))</f>
        <v/>
      </c>
      <c r="K470">
        <f>IF(OR($B470="",$J470=""),"",$J470-$A470)</f>
        <v/>
      </c>
    </row>
    <row r="471">
      <c r="A471">
        <f>IF($B471="","",RANK($C471,$C$2:$C$500))</f>
        <v/>
      </c>
      <c r="B471">
        <f>IF(Players!$A471="","",Players!$A471)</f>
        <v/>
      </c>
      <c r="C471" s="5">
        <f>IF($B471="","",SUM(D471:H471))</f>
        <v/>
      </c>
      <c r="D471">
        <f>IF($B471="","",SUMIFS('Web Feed'!$O$2:$O$3015,'Web Feed'!$B$2:$B$3015,Points!$A$2,'Web Feed'!$F$2:$F$3015,$B471)+SUMIFS('Web Feed'!$O$2:$O$3015,'Web Feed'!$B$2:$B$3015,Points!$A$2,'Web Feed'!$G$2:$G$3015,$B471)+SUMIFS('Web Feed'!$O$2:$O$3015,'Web Feed'!$B$2:$B$3015,Points!$A$2,'Web Feed'!$H$2:$H$3015,$B471)+SUMIFS('Web Feed'!$O$2:$O$3015,'Web Feed'!$B$2:$B$3015,Points!$A$2,'Web Feed'!$I$2:$I$3015,$B471))</f>
        <v/>
      </c>
      <c r="E471">
        <f>IF($B471="","",SUMIFS('Web Feed'!$O$2:$O$3015,'Web Feed'!$B$2:$B$3015,Points!$A$3,'Web Feed'!$F$2:$F$3015,$B471)+SUMIFS('Web Feed'!$O$2:$O$3015,'Web Feed'!$B$2:$B$3015,Points!$A$3,'Web Feed'!$G$2:$G$3015,$B471)+SUMIFS('Web Feed'!$O$2:$O$3015,'Web Feed'!$B$2:$B$3015,Points!$A$3,'Web Feed'!$H$2:$H$3015,$B471)+SUMIFS('Web Feed'!$O$2:$O$3015,'Web Feed'!$B$2:$B$3015,Points!$A$3,'Web Feed'!$I$2:$I$3015,$B471))</f>
        <v/>
      </c>
      <c r="F471">
        <f>IF($B471="","",SUMIFS('Web Feed'!$O$2:$O$3015,'Web Feed'!$B$2:$B$3015,Points!$A$4,'Web Feed'!$F$2:$F$3015,$B471)+SUMIFS('Web Feed'!$O$2:$O$3015,'Web Feed'!$B$2:$B$3015,Points!$A$4,'Web Feed'!$G$2:$G$3015,$B471)+SUMIFS('Web Feed'!$O$2:$O$3015,'Web Feed'!$B$2:$B$3015,Points!$A$4,'Web Feed'!$H$2:$H$3015,$B471)+SUMIFS('Web Feed'!$O$2:$O$3015,'Web Feed'!$B$2:$B$3015,Points!$A$4,'Web Feed'!$I$2:$I$3015,$B471))</f>
        <v/>
      </c>
      <c r="G471">
        <f>IF($B471="","",SUMIFS('Web Feed'!$O$2:$O$3015,'Web Feed'!$B$2:$B$3015,Points!$A$5,'Web Feed'!$F$2:$F$3015,$B471)+SUMIFS('Web Feed'!$O$2:$O$3015,'Web Feed'!$B$2:$B$3015,Points!$A$5,'Web Feed'!$G$2:$G$3015,$B471)+SUMIFS('Web Feed'!$O$2:$O$3015,'Web Feed'!$B$2:$B$3015,Points!$A$5,'Web Feed'!$H$2:$H$3015,$B471)+SUMIFS('Web Feed'!$O$2:$O$3015,'Web Feed'!$B$2:$B$3015,Points!$A$5,'Web Feed'!$I$2:$I$3015,$B471))</f>
        <v/>
      </c>
      <c r="H471">
        <f>IF($B471="","",SUMIFS('Web Feed'!$O$2:$O$3015,'Web Feed'!$B$2:$B$3015,Points!$A$6,'Web Feed'!$F$2:$F$3015,$B471)+SUMIFS('Web Feed'!$O$2:$O$3015,'Web Feed'!$B$2:$B$3015,Points!$A$6,'Web Feed'!$G$2:$G$3015,$B471)+SUMIFS('Web Feed'!$O$2:$O$3015,'Web Feed'!$B$2:$B$3015,Points!$A$6,'Web Feed'!$H$2:$H$3015,$B471)+SUMIFS('Web Feed'!$O$2:$O$3015,'Web Feed'!$B$2:$B$3015,Points!$A$6,'Web Feed'!$I$2:$I$3015,$B471))</f>
        <v/>
      </c>
      <c r="I471">
        <f>IF($B471="","",COUNTIFS('Web Feed'!$B$2:$B$3015,"OHW",'Web Feed'!$F$2:$F$3015,$B471))</f>
        <v/>
      </c>
      <c r="J471">
        <f>IF($B471="","",IFERROR(INDEX('Last Week'!$A$2:$A$301,MATCH($B471,'Last Week'!$B$2:$B$301,0)),""))</f>
        <v/>
      </c>
      <c r="K471">
        <f>IF(OR($B471="",$J471=""),"",$J471-$A471)</f>
        <v/>
      </c>
    </row>
    <row r="472">
      <c r="A472">
        <f>IF($B472="","",RANK($C472,$C$2:$C$500))</f>
        <v/>
      </c>
      <c r="B472">
        <f>IF(Players!$A472="","",Players!$A472)</f>
        <v/>
      </c>
      <c r="C472" s="5">
        <f>IF($B472="","",SUM(D472:H472))</f>
        <v/>
      </c>
      <c r="D472">
        <f>IF($B472="","",SUMIFS('Web Feed'!$O$2:$O$3015,'Web Feed'!$B$2:$B$3015,Points!$A$2,'Web Feed'!$F$2:$F$3015,$B472)+SUMIFS('Web Feed'!$O$2:$O$3015,'Web Feed'!$B$2:$B$3015,Points!$A$2,'Web Feed'!$G$2:$G$3015,$B472)+SUMIFS('Web Feed'!$O$2:$O$3015,'Web Feed'!$B$2:$B$3015,Points!$A$2,'Web Feed'!$H$2:$H$3015,$B472)+SUMIFS('Web Feed'!$O$2:$O$3015,'Web Feed'!$B$2:$B$3015,Points!$A$2,'Web Feed'!$I$2:$I$3015,$B472))</f>
        <v/>
      </c>
      <c r="E472">
        <f>IF($B472="","",SUMIFS('Web Feed'!$O$2:$O$3015,'Web Feed'!$B$2:$B$3015,Points!$A$3,'Web Feed'!$F$2:$F$3015,$B472)+SUMIFS('Web Feed'!$O$2:$O$3015,'Web Feed'!$B$2:$B$3015,Points!$A$3,'Web Feed'!$G$2:$G$3015,$B472)+SUMIFS('Web Feed'!$O$2:$O$3015,'Web Feed'!$B$2:$B$3015,Points!$A$3,'Web Feed'!$H$2:$H$3015,$B472)+SUMIFS('Web Feed'!$O$2:$O$3015,'Web Feed'!$B$2:$B$3015,Points!$A$3,'Web Feed'!$I$2:$I$3015,$B472))</f>
        <v/>
      </c>
      <c r="F472">
        <f>IF($B472="","",SUMIFS('Web Feed'!$O$2:$O$3015,'Web Feed'!$B$2:$B$3015,Points!$A$4,'Web Feed'!$F$2:$F$3015,$B472)+SUMIFS('Web Feed'!$O$2:$O$3015,'Web Feed'!$B$2:$B$3015,Points!$A$4,'Web Feed'!$G$2:$G$3015,$B472)+SUMIFS('Web Feed'!$O$2:$O$3015,'Web Feed'!$B$2:$B$3015,Points!$A$4,'Web Feed'!$H$2:$H$3015,$B472)+SUMIFS('Web Feed'!$O$2:$O$3015,'Web Feed'!$B$2:$B$3015,Points!$A$4,'Web Feed'!$I$2:$I$3015,$B472))</f>
        <v/>
      </c>
      <c r="G472">
        <f>IF($B472="","",SUMIFS('Web Feed'!$O$2:$O$3015,'Web Feed'!$B$2:$B$3015,Points!$A$5,'Web Feed'!$F$2:$F$3015,$B472)+SUMIFS('Web Feed'!$O$2:$O$3015,'Web Feed'!$B$2:$B$3015,Points!$A$5,'Web Feed'!$G$2:$G$3015,$B472)+SUMIFS('Web Feed'!$O$2:$O$3015,'Web Feed'!$B$2:$B$3015,Points!$A$5,'Web Feed'!$H$2:$H$3015,$B472)+SUMIFS('Web Feed'!$O$2:$O$3015,'Web Feed'!$B$2:$B$3015,Points!$A$5,'Web Feed'!$I$2:$I$3015,$B472))</f>
        <v/>
      </c>
      <c r="H472">
        <f>IF($B472="","",SUMIFS('Web Feed'!$O$2:$O$3015,'Web Feed'!$B$2:$B$3015,Points!$A$6,'Web Feed'!$F$2:$F$3015,$B472)+SUMIFS('Web Feed'!$O$2:$O$3015,'Web Feed'!$B$2:$B$3015,Points!$A$6,'Web Feed'!$G$2:$G$3015,$B472)+SUMIFS('Web Feed'!$O$2:$O$3015,'Web Feed'!$B$2:$B$3015,Points!$A$6,'Web Feed'!$H$2:$H$3015,$B472)+SUMIFS('Web Feed'!$O$2:$O$3015,'Web Feed'!$B$2:$B$3015,Points!$A$6,'Web Feed'!$I$2:$I$3015,$B472))</f>
        <v/>
      </c>
      <c r="I472">
        <f>IF($B472="","",COUNTIFS('Web Feed'!$B$2:$B$3015,"OHW",'Web Feed'!$F$2:$F$3015,$B472))</f>
        <v/>
      </c>
      <c r="J472">
        <f>IF($B472="","",IFERROR(INDEX('Last Week'!$A$2:$A$301,MATCH($B472,'Last Week'!$B$2:$B$301,0)),""))</f>
        <v/>
      </c>
      <c r="K472">
        <f>IF(OR($B472="",$J472=""),"",$J472-$A472)</f>
        <v/>
      </c>
    </row>
    <row r="473">
      <c r="A473">
        <f>IF($B473="","",RANK($C473,$C$2:$C$500))</f>
        <v/>
      </c>
      <c r="B473">
        <f>IF(Players!$A473="","",Players!$A473)</f>
        <v/>
      </c>
      <c r="C473" s="5">
        <f>IF($B473="","",SUM(D473:H473))</f>
        <v/>
      </c>
      <c r="D473">
        <f>IF($B473="","",SUMIFS('Web Feed'!$O$2:$O$3015,'Web Feed'!$B$2:$B$3015,Points!$A$2,'Web Feed'!$F$2:$F$3015,$B473)+SUMIFS('Web Feed'!$O$2:$O$3015,'Web Feed'!$B$2:$B$3015,Points!$A$2,'Web Feed'!$G$2:$G$3015,$B473)+SUMIFS('Web Feed'!$O$2:$O$3015,'Web Feed'!$B$2:$B$3015,Points!$A$2,'Web Feed'!$H$2:$H$3015,$B473)+SUMIFS('Web Feed'!$O$2:$O$3015,'Web Feed'!$B$2:$B$3015,Points!$A$2,'Web Feed'!$I$2:$I$3015,$B473))</f>
        <v/>
      </c>
      <c r="E473">
        <f>IF($B473="","",SUMIFS('Web Feed'!$O$2:$O$3015,'Web Feed'!$B$2:$B$3015,Points!$A$3,'Web Feed'!$F$2:$F$3015,$B473)+SUMIFS('Web Feed'!$O$2:$O$3015,'Web Feed'!$B$2:$B$3015,Points!$A$3,'Web Feed'!$G$2:$G$3015,$B473)+SUMIFS('Web Feed'!$O$2:$O$3015,'Web Feed'!$B$2:$B$3015,Points!$A$3,'Web Feed'!$H$2:$H$3015,$B473)+SUMIFS('Web Feed'!$O$2:$O$3015,'Web Feed'!$B$2:$B$3015,Points!$A$3,'Web Feed'!$I$2:$I$3015,$B473))</f>
        <v/>
      </c>
      <c r="F473">
        <f>IF($B473="","",SUMIFS('Web Feed'!$O$2:$O$3015,'Web Feed'!$B$2:$B$3015,Points!$A$4,'Web Feed'!$F$2:$F$3015,$B473)+SUMIFS('Web Feed'!$O$2:$O$3015,'Web Feed'!$B$2:$B$3015,Points!$A$4,'Web Feed'!$G$2:$G$3015,$B473)+SUMIFS('Web Feed'!$O$2:$O$3015,'Web Feed'!$B$2:$B$3015,Points!$A$4,'Web Feed'!$H$2:$H$3015,$B473)+SUMIFS('Web Feed'!$O$2:$O$3015,'Web Feed'!$B$2:$B$3015,Points!$A$4,'Web Feed'!$I$2:$I$3015,$B473))</f>
        <v/>
      </c>
      <c r="G473">
        <f>IF($B473="","",SUMIFS('Web Feed'!$O$2:$O$3015,'Web Feed'!$B$2:$B$3015,Points!$A$5,'Web Feed'!$F$2:$F$3015,$B473)+SUMIFS('Web Feed'!$O$2:$O$3015,'Web Feed'!$B$2:$B$3015,Points!$A$5,'Web Feed'!$G$2:$G$3015,$B473)+SUMIFS('Web Feed'!$O$2:$O$3015,'Web Feed'!$B$2:$B$3015,Points!$A$5,'Web Feed'!$H$2:$H$3015,$B473)+SUMIFS('Web Feed'!$O$2:$O$3015,'Web Feed'!$B$2:$B$3015,Points!$A$5,'Web Feed'!$I$2:$I$3015,$B473))</f>
        <v/>
      </c>
      <c r="H473">
        <f>IF($B473="","",SUMIFS('Web Feed'!$O$2:$O$3015,'Web Feed'!$B$2:$B$3015,Points!$A$6,'Web Feed'!$F$2:$F$3015,$B473)+SUMIFS('Web Feed'!$O$2:$O$3015,'Web Feed'!$B$2:$B$3015,Points!$A$6,'Web Feed'!$G$2:$G$3015,$B473)+SUMIFS('Web Feed'!$O$2:$O$3015,'Web Feed'!$B$2:$B$3015,Points!$A$6,'Web Feed'!$H$2:$H$3015,$B473)+SUMIFS('Web Feed'!$O$2:$O$3015,'Web Feed'!$B$2:$B$3015,Points!$A$6,'Web Feed'!$I$2:$I$3015,$B473))</f>
        <v/>
      </c>
      <c r="I473">
        <f>IF($B473="","",COUNTIFS('Web Feed'!$B$2:$B$3015,"OHW",'Web Feed'!$F$2:$F$3015,$B473))</f>
        <v/>
      </c>
      <c r="J473">
        <f>IF($B473="","",IFERROR(INDEX('Last Week'!$A$2:$A$301,MATCH($B473,'Last Week'!$B$2:$B$301,0)),""))</f>
        <v/>
      </c>
      <c r="K473">
        <f>IF(OR($B473="",$J473=""),"",$J473-$A473)</f>
        <v/>
      </c>
    </row>
    <row r="474">
      <c r="A474">
        <f>IF($B474="","",RANK($C474,$C$2:$C$500))</f>
        <v/>
      </c>
      <c r="B474">
        <f>IF(Players!$A474="","",Players!$A474)</f>
        <v/>
      </c>
      <c r="C474" s="5">
        <f>IF($B474="","",SUM(D474:H474))</f>
        <v/>
      </c>
      <c r="D474">
        <f>IF($B474="","",SUMIFS('Web Feed'!$O$2:$O$3015,'Web Feed'!$B$2:$B$3015,Points!$A$2,'Web Feed'!$F$2:$F$3015,$B474)+SUMIFS('Web Feed'!$O$2:$O$3015,'Web Feed'!$B$2:$B$3015,Points!$A$2,'Web Feed'!$G$2:$G$3015,$B474)+SUMIFS('Web Feed'!$O$2:$O$3015,'Web Feed'!$B$2:$B$3015,Points!$A$2,'Web Feed'!$H$2:$H$3015,$B474)+SUMIFS('Web Feed'!$O$2:$O$3015,'Web Feed'!$B$2:$B$3015,Points!$A$2,'Web Feed'!$I$2:$I$3015,$B474))</f>
        <v/>
      </c>
      <c r="E474">
        <f>IF($B474="","",SUMIFS('Web Feed'!$O$2:$O$3015,'Web Feed'!$B$2:$B$3015,Points!$A$3,'Web Feed'!$F$2:$F$3015,$B474)+SUMIFS('Web Feed'!$O$2:$O$3015,'Web Feed'!$B$2:$B$3015,Points!$A$3,'Web Feed'!$G$2:$G$3015,$B474)+SUMIFS('Web Feed'!$O$2:$O$3015,'Web Feed'!$B$2:$B$3015,Points!$A$3,'Web Feed'!$H$2:$H$3015,$B474)+SUMIFS('Web Feed'!$O$2:$O$3015,'Web Feed'!$B$2:$B$3015,Points!$A$3,'Web Feed'!$I$2:$I$3015,$B474))</f>
        <v/>
      </c>
      <c r="F474">
        <f>IF($B474="","",SUMIFS('Web Feed'!$O$2:$O$3015,'Web Feed'!$B$2:$B$3015,Points!$A$4,'Web Feed'!$F$2:$F$3015,$B474)+SUMIFS('Web Feed'!$O$2:$O$3015,'Web Feed'!$B$2:$B$3015,Points!$A$4,'Web Feed'!$G$2:$G$3015,$B474)+SUMIFS('Web Feed'!$O$2:$O$3015,'Web Feed'!$B$2:$B$3015,Points!$A$4,'Web Feed'!$H$2:$H$3015,$B474)+SUMIFS('Web Feed'!$O$2:$O$3015,'Web Feed'!$B$2:$B$3015,Points!$A$4,'Web Feed'!$I$2:$I$3015,$B474))</f>
        <v/>
      </c>
      <c r="G474">
        <f>IF($B474="","",SUMIFS('Web Feed'!$O$2:$O$3015,'Web Feed'!$B$2:$B$3015,Points!$A$5,'Web Feed'!$F$2:$F$3015,$B474)+SUMIFS('Web Feed'!$O$2:$O$3015,'Web Feed'!$B$2:$B$3015,Points!$A$5,'Web Feed'!$G$2:$G$3015,$B474)+SUMIFS('Web Feed'!$O$2:$O$3015,'Web Feed'!$B$2:$B$3015,Points!$A$5,'Web Feed'!$H$2:$H$3015,$B474)+SUMIFS('Web Feed'!$O$2:$O$3015,'Web Feed'!$B$2:$B$3015,Points!$A$5,'Web Feed'!$I$2:$I$3015,$B474))</f>
        <v/>
      </c>
      <c r="H474">
        <f>IF($B474="","",SUMIFS('Web Feed'!$O$2:$O$3015,'Web Feed'!$B$2:$B$3015,Points!$A$6,'Web Feed'!$F$2:$F$3015,$B474)+SUMIFS('Web Feed'!$O$2:$O$3015,'Web Feed'!$B$2:$B$3015,Points!$A$6,'Web Feed'!$G$2:$G$3015,$B474)+SUMIFS('Web Feed'!$O$2:$O$3015,'Web Feed'!$B$2:$B$3015,Points!$A$6,'Web Feed'!$H$2:$H$3015,$B474)+SUMIFS('Web Feed'!$O$2:$O$3015,'Web Feed'!$B$2:$B$3015,Points!$A$6,'Web Feed'!$I$2:$I$3015,$B474))</f>
        <v/>
      </c>
      <c r="I474">
        <f>IF($B474="","",COUNTIFS('Web Feed'!$B$2:$B$3015,"OHW",'Web Feed'!$F$2:$F$3015,$B474))</f>
        <v/>
      </c>
      <c r="J474">
        <f>IF($B474="","",IFERROR(INDEX('Last Week'!$A$2:$A$301,MATCH($B474,'Last Week'!$B$2:$B$301,0)),""))</f>
        <v/>
      </c>
      <c r="K474">
        <f>IF(OR($B474="",$J474=""),"",$J474-$A474)</f>
        <v/>
      </c>
    </row>
    <row r="475">
      <c r="A475">
        <f>IF($B475="","",RANK($C475,$C$2:$C$500))</f>
        <v/>
      </c>
      <c r="B475">
        <f>IF(Players!$A475="","",Players!$A475)</f>
        <v/>
      </c>
      <c r="C475" s="5">
        <f>IF($B475="","",SUM(D475:H475))</f>
        <v/>
      </c>
      <c r="D475">
        <f>IF($B475="","",SUMIFS('Web Feed'!$O$2:$O$3015,'Web Feed'!$B$2:$B$3015,Points!$A$2,'Web Feed'!$F$2:$F$3015,$B475)+SUMIFS('Web Feed'!$O$2:$O$3015,'Web Feed'!$B$2:$B$3015,Points!$A$2,'Web Feed'!$G$2:$G$3015,$B475)+SUMIFS('Web Feed'!$O$2:$O$3015,'Web Feed'!$B$2:$B$3015,Points!$A$2,'Web Feed'!$H$2:$H$3015,$B475)+SUMIFS('Web Feed'!$O$2:$O$3015,'Web Feed'!$B$2:$B$3015,Points!$A$2,'Web Feed'!$I$2:$I$3015,$B475))</f>
        <v/>
      </c>
      <c r="E475">
        <f>IF($B475="","",SUMIFS('Web Feed'!$O$2:$O$3015,'Web Feed'!$B$2:$B$3015,Points!$A$3,'Web Feed'!$F$2:$F$3015,$B475)+SUMIFS('Web Feed'!$O$2:$O$3015,'Web Feed'!$B$2:$B$3015,Points!$A$3,'Web Feed'!$G$2:$G$3015,$B475)+SUMIFS('Web Feed'!$O$2:$O$3015,'Web Feed'!$B$2:$B$3015,Points!$A$3,'Web Feed'!$H$2:$H$3015,$B475)+SUMIFS('Web Feed'!$O$2:$O$3015,'Web Feed'!$B$2:$B$3015,Points!$A$3,'Web Feed'!$I$2:$I$3015,$B475))</f>
        <v/>
      </c>
      <c r="F475">
        <f>IF($B475="","",SUMIFS('Web Feed'!$O$2:$O$3015,'Web Feed'!$B$2:$B$3015,Points!$A$4,'Web Feed'!$F$2:$F$3015,$B475)+SUMIFS('Web Feed'!$O$2:$O$3015,'Web Feed'!$B$2:$B$3015,Points!$A$4,'Web Feed'!$G$2:$G$3015,$B475)+SUMIFS('Web Feed'!$O$2:$O$3015,'Web Feed'!$B$2:$B$3015,Points!$A$4,'Web Feed'!$H$2:$H$3015,$B475)+SUMIFS('Web Feed'!$O$2:$O$3015,'Web Feed'!$B$2:$B$3015,Points!$A$4,'Web Feed'!$I$2:$I$3015,$B475))</f>
        <v/>
      </c>
      <c r="G475">
        <f>IF($B475="","",SUMIFS('Web Feed'!$O$2:$O$3015,'Web Feed'!$B$2:$B$3015,Points!$A$5,'Web Feed'!$F$2:$F$3015,$B475)+SUMIFS('Web Feed'!$O$2:$O$3015,'Web Feed'!$B$2:$B$3015,Points!$A$5,'Web Feed'!$G$2:$G$3015,$B475)+SUMIFS('Web Feed'!$O$2:$O$3015,'Web Feed'!$B$2:$B$3015,Points!$A$5,'Web Feed'!$H$2:$H$3015,$B475)+SUMIFS('Web Feed'!$O$2:$O$3015,'Web Feed'!$B$2:$B$3015,Points!$A$5,'Web Feed'!$I$2:$I$3015,$B475))</f>
        <v/>
      </c>
      <c r="H475">
        <f>IF($B475="","",SUMIFS('Web Feed'!$O$2:$O$3015,'Web Feed'!$B$2:$B$3015,Points!$A$6,'Web Feed'!$F$2:$F$3015,$B475)+SUMIFS('Web Feed'!$O$2:$O$3015,'Web Feed'!$B$2:$B$3015,Points!$A$6,'Web Feed'!$G$2:$G$3015,$B475)+SUMIFS('Web Feed'!$O$2:$O$3015,'Web Feed'!$B$2:$B$3015,Points!$A$6,'Web Feed'!$H$2:$H$3015,$B475)+SUMIFS('Web Feed'!$O$2:$O$3015,'Web Feed'!$B$2:$B$3015,Points!$A$6,'Web Feed'!$I$2:$I$3015,$B475))</f>
        <v/>
      </c>
      <c r="I475">
        <f>IF($B475="","",COUNTIFS('Web Feed'!$B$2:$B$3015,"OHW",'Web Feed'!$F$2:$F$3015,$B475))</f>
        <v/>
      </c>
      <c r="J475">
        <f>IF($B475="","",IFERROR(INDEX('Last Week'!$A$2:$A$301,MATCH($B475,'Last Week'!$B$2:$B$301,0)),""))</f>
        <v/>
      </c>
      <c r="K475">
        <f>IF(OR($B475="",$J475=""),"",$J475-$A475)</f>
        <v/>
      </c>
    </row>
    <row r="476">
      <c r="A476">
        <f>IF($B476="","",RANK($C476,$C$2:$C$500))</f>
        <v/>
      </c>
      <c r="B476">
        <f>IF(Players!$A476="","",Players!$A476)</f>
        <v/>
      </c>
      <c r="C476" s="5">
        <f>IF($B476="","",SUM(D476:H476))</f>
        <v/>
      </c>
      <c r="D476">
        <f>IF($B476="","",SUMIFS('Web Feed'!$O$2:$O$3015,'Web Feed'!$B$2:$B$3015,Points!$A$2,'Web Feed'!$F$2:$F$3015,$B476)+SUMIFS('Web Feed'!$O$2:$O$3015,'Web Feed'!$B$2:$B$3015,Points!$A$2,'Web Feed'!$G$2:$G$3015,$B476)+SUMIFS('Web Feed'!$O$2:$O$3015,'Web Feed'!$B$2:$B$3015,Points!$A$2,'Web Feed'!$H$2:$H$3015,$B476)+SUMIFS('Web Feed'!$O$2:$O$3015,'Web Feed'!$B$2:$B$3015,Points!$A$2,'Web Feed'!$I$2:$I$3015,$B476))</f>
        <v/>
      </c>
      <c r="E476">
        <f>IF($B476="","",SUMIFS('Web Feed'!$O$2:$O$3015,'Web Feed'!$B$2:$B$3015,Points!$A$3,'Web Feed'!$F$2:$F$3015,$B476)+SUMIFS('Web Feed'!$O$2:$O$3015,'Web Feed'!$B$2:$B$3015,Points!$A$3,'Web Feed'!$G$2:$G$3015,$B476)+SUMIFS('Web Feed'!$O$2:$O$3015,'Web Feed'!$B$2:$B$3015,Points!$A$3,'Web Feed'!$H$2:$H$3015,$B476)+SUMIFS('Web Feed'!$O$2:$O$3015,'Web Feed'!$B$2:$B$3015,Points!$A$3,'Web Feed'!$I$2:$I$3015,$B476))</f>
        <v/>
      </c>
      <c r="F476">
        <f>IF($B476="","",SUMIFS('Web Feed'!$O$2:$O$3015,'Web Feed'!$B$2:$B$3015,Points!$A$4,'Web Feed'!$F$2:$F$3015,$B476)+SUMIFS('Web Feed'!$O$2:$O$3015,'Web Feed'!$B$2:$B$3015,Points!$A$4,'Web Feed'!$G$2:$G$3015,$B476)+SUMIFS('Web Feed'!$O$2:$O$3015,'Web Feed'!$B$2:$B$3015,Points!$A$4,'Web Feed'!$H$2:$H$3015,$B476)+SUMIFS('Web Feed'!$O$2:$O$3015,'Web Feed'!$B$2:$B$3015,Points!$A$4,'Web Feed'!$I$2:$I$3015,$B476))</f>
        <v/>
      </c>
      <c r="G476">
        <f>IF($B476="","",SUMIFS('Web Feed'!$O$2:$O$3015,'Web Feed'!$B$2:$B$3015,Points!$A$5,'Web Feed'!$F$2:$F$3015,$B476)+SUMIFS('Web Feed'!$O$2:$O$3015,'Web Feed'!$B$2:$B$3015,Points!$A$5,'Web Feed'!$G$2:$G$3015,$B476)+SUMIFS('Web Feed'!$O$2:$O$3015,'Web Feed'!$B$2:$B$3015,Points!$A$5,'Web Feed'!$H$2:$H$3015,$B476)+SUMIFS('Web Feed'!$O$2:$O$3015,'Web Feed'!$B$2:$B$3015,Points!$A$5,'Web Feed'!$I$2:$I$3015,$B476))</f>
        <v/>
      </c>
      <c r="H476">
        <f>IF($B476="","",SUMIFS('Web Feed'!$O$2:$O$3015,'Web Feed'!$B$2:$B$3015,Points!$A$6,'Web Feed'!$F$2:$F$3015,$B476)+SUMIFS('Web Feed'!$O$2:$O$3015,'Web Feed'!$B$2:$B$3015,Points!$A$6,'Web Feed'!$G$2:$G$3015,$B476)+SUMIFS('Web Feed'!$O$2:$O$3015,'Web Feed'!$B$2:$B$3015,Points!$A$6,'Web Feed'!$H$2:$H$3015,$B476)+SUMIFS('Web Feed'!$O$2:$O$3015,'Web Feed'!$B$2:$B$3015,Points!$A$6,'Web Feed'!$I$2:$I$3015,$B476))</f>
        <v/>
      </c>
      <c r="I476">
        <f>IF($B476="","",COUNTIFS('Web Feed'!$B$2:$B$3015,"OHW",'Web Feed'!$F$2:$F$3015,$B476))</f>
        <v/>
      </c>
      <c r="J476">
        <f>IF($B476="","",IFERROR(INDEX('Last Week'!$A$2:$A$301,MATCH($B476,'Last Week'!$B$2:$B$301,0)),""))</f>
        <v/>
      </c>
      <c r="K476">
        <f>IF(OR($B476="",$J476=""),"",$J476-$A476)</f>
        <v/>
      </c>
    </row>
    <row r="477">
      <c r="A477">
        <f>IF($B477="","",RANK($C477,$C$2:$C$500))</f>
        <v/>
      </c>
      <c r="B477">
        <f>IF(Players!$A477="","",Players!$A477)</f>
        <v/>
      </c>
      <c r="C477" s="5">
        <f>IF($B477="","",SUM(D477:H477))</f>
        <v/>
      </c>
      <c r="D477">
        <f>IF($B477="","",SUMIFS('Web Feed'!$O$2:$O$3015,'Web Feed'!$B$2:$B$3015,Points!$A$2,'Web Feed'!$F$2:$F$3015,$B477)+SUMIFS('Web Feed'!$O$2:$O$3015,'Web Feed'!$B$2:$B$3015,Points!$A$2,'Web Feed'!$G$2:$G$3015,$B477)+SUMIFS('Web Feed'!$O$2:$O$3015,'Web Feed'!$B$2:$B$3015,Points!$A$2,'Web Feed'!$H$2:$H$3015,$B477)+SUMIFS('Web Feed'!$O$2:$O$3015,'Web Feed'!$B$2:$B$3015,Points!$A$2,'Web Feed'!$I$2:$I$3015,$B477))</f>
        <v/>
      </c>
      <c r="E477">
        <f>IF($B477="","",SUMIFS('Web Feed'!$O$2:$O$3015,'Web Feed'!$B$2:$B$3015,Points!$A$3,'Web Feed'!$F$2:$F$3015,$B477)+SUMIFS('Web Feed'!$O$2:$O$3015,'Web Feed'!$B$2:$B$3015,Points!$A$3,'Web Feed'!$G$2:$G$3015,$B477)+SUMIFS('Web Feed'!$O$2:$O$3015,'Web Feed'!$B$2:$B$3015,Points!$A$3,'Web Feed'!$H$2:$H$3015,$B477)+SUMIFS('Web Feed'!$O$2:$O$3015,'Web Feed'!$B$2:$B$3015,Points!$A$3,'Web Feed'!$I$2:$I$3015,$B477))</f>
        <v/>
      </c>
      <c r="F477">
        <f>IF($B477="","",SUMIFS('Web Feed'!$O$2:$O$3015,'Web Feed'!$B$2:$B$3015,Points!$A$4,'Web Feed'!$F$2:$F$3015,$B477)+SUMIFS('Web Feed'!$O$2:$O$3015,'Web Feed'!$B$2:$B$3015,Points!$A$4,'Web Feed'!$G$2:$G$3015,$B477)+SUMIFS('Web Feed'!$O$2:$O$3015,'Web Feed'!$B$2:$B$3015,Points!$A$4,'Web Feed'!$H$2:$H$3015,$B477)+SUMIFS('Web Feed'!$O$2:$O$3015,'Web Feed'!$B$2:$B$3015,Points!$A$4,'Web Feed'!$I$2:$I$3015,$B477))</f>
        <v/>
      </c>
      <c r="G477">
        <f>IF($B477="","",SUMIFS('Web Feed'!$O$2:$O$3015,'Web Feed'!$B$2:$B$3015,Points!$A$5,'Web Feed'!$F$2:$F$3015,$B477)+SUMIFS('Web Feed'!$O$2:$O$3015,'Web Feed'!$B$2:$B$3015,Points!$A$5,'Web Feed'!$G$2:$G$3015,$B477)+SUMIFS('Web Feed'!$O$2:$O$3015,'Web Feed'!$B$2:$B$3015,Points!$A$5,'Web Feed'!$H$2:$H$3015,$B477)+SUMIFS('Web Feed'!$O$2:$O$3015,'Web Feed'!$B$2:$B$3015,Points!$A$5,'Web Feed'!$I$2:$I$3015,$B477))</f>
        <v/>
      </c>
      <c r="H477">
        <f>IF($B477="","",SUMIFS('Web Feed'!$O$2:$O$3015,'Web Feed'!$B$2:$B$3015,Points!$A$6,'Web Feed'!$F$2:$F$3015,$B477)+SUMIFS('Web Feed'!$O$2:$O$3015,'Web Feed'!$B$2:$B$3015,Points!$A$6,'Web Feed'!$G$2:$G$3015,$B477)+SUMIFS('Web Feed'!$O$2:$O$3015,'Web Feed'!$B$2:$B$3015,Points!$A$6,'Web Feed'!$H$2:$H$3015,$B477)+SUMIFS('Web Feed'!$O$2:$O$3015,'Web Feed'!$B$2:$B$3015,Points!$A$6,'Web Feed'!$I$2:$I$3015,$B477))</f>
        <v/>
      </c>
      <c r="I477">
        <f>IF($B477="","",COUNTIFS('Web Feed'!$B$2:$B$3015,"OHW",'Web Feed'!$F$2:$F$3015,$B477))</f>
        <v/>
      </c>
      <c r="J477">
        <f>IF($B477="","",IFERROR(INDEX('Last Week'!$A$2:$A$301,MATCH($B477,'Last Week'!$B$2:$B$301,0)),""))</f>
        <v/>
      </c>
      <c r="K477">
        <f>IF(OR($B477="",$J477=""),"",$J477-$A477)</f>
        <v/>
      </c>
    </row>
    <row r="478">
      <c r="A478">
        <f>IF($B478="","",RANK($C478,$C$2:$C$500))</f>
        <v/>
      </c>
      <c r="B478">
        <f>IF(Players!$A478="","",Players!$A478)</f>
        <v/>
      </c>
      <c r="C478" s="5">
        <f>IF($B478="","",SUM(D478:H478))</f>
        <v/>
      </c>
      <c r="D478">
        <f>IF($B478="","",SUMIFS('Web Feed'!$O$2:$O$3015,'Web Feed'!$B$2:$B$3015,Points!$A$2,'Web Feed'!$F$2:$F$3015,$B478)+SUMIFS('Web Feed'!$O$2:$O$3015,'Web Feed'!$B$2:$B$3015,Points!$A$2,'Web Feed'!$G$2:$G$3015,$B478)+SUMIFS('Web Feed'!$O$2:$O$3015,'Web Feed'!$B$2:$B$3015,Points!$A$2,'Web Feed'!$H$2:$H$3015,$B478)+SUMIFS('Web Feed'!$O$2:$O$3015,'Web Feed'!$B$2:$B$3015,Points!$A$2,'Web Feed'!$I$2:$I$3015,$B478))</f>
        <v/>
      </c>
      <c r="E478">
        <f>IF($B478="","",SUMIFS('Web Feed'!$O$2:$O$3015,'Web Feed'!$B$2:$B$3015,Points!$A$3,'Web Feed'!$F$2:$F$3015,$B478)+SUMIFS('Web Feed'!$O$2:$O$3015,'Web Feed'!$B$2:$B$3015,Points!$A$3,'Web Feed'!$G$2:$G$3015,$B478)+SUMIFS('Web Feed'!$O$2:$O$3015,'Web Feed'!$B$2:$B$3015,Points!$A$3,'Web Feed'!$H$2:$H$3015,$B478)+SUMIFS('Web Feed'!$O$2:$O$3015,'Web Feed'!$B$2:$B$3015,Points!$A$3,'Web Feed'!$I$2:$I$3015,$B478))</f>
        <v/>
      </c>
      <c r="F478">
        <f>IF($B478="","",SUMIFS('Web Feed'!$O$2:$O$3015,'Web Feed'!$B$2:$B$3015,Points!$A$4,'Web Feed'!$F$2:$F$3015,$B478)+SUMIFS('Web Feed'!$O$2:$O$3015,'Web Feed'!$B$2:$B$3015,Points!$A$4,'Web Feed'!$G$2:$G$3015,$B478)+SUMIFS('Web Feed'!$O$2:$O$3015,'Web Feed'!$B$2:$B$3015,Points!$A$4,'Web Feed'!$H$2:$H$3015,$B478)+SUMIFS('Web Feed'!$O$2:$O$3015,'Web Feed'!$B$2:$B$3015,Points!$A$4,'Web Feed'!$I$2:$I$3015,$B478))</f>
        <v/>
      </c>
      <c r="G478">
        <f>IF($B478="","",SUMIFS('Web Feed'!$O$2:$O$3015,'Web Feed'!$B$2:$B$3015,Points!$A$5,'Web Feed'!$F$2:$F$3015,$B478)+SUMIFS('Web Feed'!$O$2:$O$3015,'Web Feed'!$B$2:$B$3015,Points!$A$5,'Web Feed'!$G$2:$G$3015,$B478)+SUMIFS('Web Feed'!$O$2:$O$3015,'Web Feed'!$B$2:$B$3015,Points!$A$5,'Web Feed'!$H$2:$H$3015,$B478)+SUMIFS('Web Feed'!$O$2:$O$3015,'Web Feed'!$B$2:$B$3015,Points!$A$5,'Web Feed'!$I$2:$I$3015,$B478))</f>
        <v/>
      </c>
      <c r="H478">
        <f>IF($B478="","",SUMIFS('Web Feed'!$O$2:$O$3015,'Web Feed'!$B$2:$B$3015,Points!$A$6,'Web Feed'!$F$2:$F$3015,$B478)+SUMIFS('Web Feed'!$O$2:$O$3015,'Web Feed'!$B$2:$B$3015,Points!$A$6,'Web Feed'!$G$2:$G$3015,$B478)+SUMIFS('Web Feed'!$O$2:$O$3015,'Web Feed'!$B$2:$B$3015,Points!$A$6,'Web Feed'!$H$2:$H$3015,$B478)+SUMIFS('Web Feed'!$O$2:$O$3015,'Web Feed'!$B$2:$B$3015,Points!$A$6,'Web Feed'!$I$2:$I$3015,$B478))</f>
        <v/>
      </c>
      <c r="I478">
        <f>IF($B478="","",COUNTIFS('Web Feed'!$B$2:$B$3015,"OHW",'Web Feed'!$F$2:$F$3015,$B478))</f>
        <v/>
      </c>
      <c r="J478">
        <f>IF($B478="","",IFERROR(INDEX('Last Week'!$A$2:$A$301,MATCH($B478,'Last Week'!$B$2:$B$301,0)),""))</f>
        <v/>
      </c>
      <c r="K478">
        <f>IF(OR($B478="",$J478=""),"",$J478-$A478)</f>
        <v/>
      </c>
    </row>
    <row r="479">
      <c r="A479">
        <f>IF($B479="","",RANK($C479,$C$2:$C$500))</f>
        <v/>
      </c>
      <c r="B479">
        <f>IF(Players!$A479="","",Players!$A479)</f>
        <v/>
      </c>
      <c r="C479" s="5">
        <f>IF($B479="","",SUM(D479:H479))</f>
        <v/>
      </c>
      <c r="D479">
        <f>IF($B479="","",SUMIFS('Web Feed'!$O$2:$O$3015,'Web Feed'!$B$2:$B$3015,Points!$A$2,'Web Feed'!$F$2:$F$3015,$B479)+SUMIFS('Web Feed'!$O$2:$O$3015,'Web Feed'!$B$2:$B$3015,Points!$A$2,'Web Feed'!$G$2:$G$3015,$B479)+SUMIFS('Web Feed'!$O$2:$O$3015,'Web Feed'!$B$2:$B$3015,Points!$A$2,'Web Feed'!$H$2:$H$3015,$B479)+SUMIFS('Web Feed'!$O$2:$O$3015,'Web Feed'!$B$2:$B$3015,Points!$A$2,'Web Feed'!$I$2:$I$3015,$B479))</f>
        <v/>
      </c>
      <c r="E479">
        <f>IF($B479="","",SUMIFS('Web Feed'!$O$2:$O$3015,'Web Feed'!$B$2:$B$3015,Points!$A$3,'Web Feed'!$F$2:$F$3015,$B479)+SUMIFS('Web Feed'!$O$2:$O$3015,'Web Feed'!$B$2:$B$3015,Points!$A$3,'Web Feed'!$G$2:$G$3015,$B479)+SUMIFS('Web Feed'!$O$2:$O$3015,'Web Feed'!$B$2:$B$3015,Points!$A$3,'Web Feed'!$H$2:$H$3015,$B479)+SUMIFS('Web Feed'!$O$2:$O$3015,'Web Feed'!$B$2:$B$3015,Points!$A$3,'Web Feed'!$I$2:$I$3015,$B479))</f>
        <v/>
      </c>
      <c r="F479">
        <f>IF($B479="","",SUMIFS('Web Feed'!$O$2:$O$3015,'Web Feed'!$B$2:$B$3015,Points!$A$4,'Web Feed'!$F$2:$F$3015,$B479)+SUMIFS('Web Feed'!$O$2:$O$3015,'Web Feed'!$B$2:$B$3015,Points!$A$4,'Web Feed'!$G$2:$G$3015,$B479)+SUMIFS('Web Feed'!$O$2:$O$3015,'Web Feed'!$B$2:$B$3015,Points!$A$4,'Web Feed'!$H$2:$H$3015,$B479)+SUMIFS('Web Feed'!$O$2:$O$3015,'Web Feed'!$B$2:$B$3015,Points!$A$4,'Web Feed'!$I$2:$I$3015,$B479))</f>
        <v/>
      </c>
      <c r="G479">
        <f>IF($B479="","",SUMIFS('Web Feed'!$O$2:$O$3015,'Web Feed'!$B$2:$B$3015,Points!$A$5,'Web Feed'!$F$2:$F$3015,$B479)+SUMIFS('Web Feed'!$O$2:$O$3015,'Web Feed'!$B$2:$B$3015,Points!$A$5,'Web Feed'!$G$2:$G$3015,$B479)+SUMIFS('Web Feed'!$O$2:$O$3015,'Web Feed'!$B$2:$B$3015,Points!$A$5,'Web Feed'!$H$2:$H$3015,$B479)+SUMIFS('Web Feed'!$O$2:$O$3015,'Web Feed'!$B$2:$B$3015,Points!$A$5,'Web Feed'!$I$2:$I$3015,$B479))</f>
        <v/>
      </c>
      <c r="H479">
        <f>IF($B479="","",SUMIFS('Web Feed'!$O$2:$O$3015,'Web Feed'!$B$2:$B$3015,Points!$A$6,'Web Feed'!$F$2:$F$3015,$B479)+SUMIFS('Web Feed'!$O$2:$O$3015,'Web Feed'!$B$2:$B$3015,Points!$A$6,'Web Feed'!$G$2:$G$3015,$B479)+SUMIFS('Web Feed'!$O$2:$O$3015,'Web Feed'!$B$2:$B$3015,Points!$A$6,'Web Feed'!$H$2:$H$3015,$B479)+SUMIFS('Web Feed'!$O$2:$O$3015,'Web Feed'!$B$2:$B$3015,Points!$A$6,'Web Feed'!$I$2:$I$3015,$B479))</f>
        <v/>
      </c>
      <c r="I479">
        <f>IF($B479="","",COUNTIFS('Web Feed'!$B$2:$B$3015,"OHW",'Web Feed'!$F$2:$F$3015,$B479))</f>
        <v/>
      </c>
      <c r="J479">
        <f>IF($B479="","",IFERROR(INDEX('Last Week'!$A$2:$A$301,MATCH($B479,'Last Week'!$B$2:$B$301,0)),""))</f>
        <v/>
      </c>
      <c r="K479">
        <f>IF(OR($B479="",$J479=""),"",$J479-$A479)</f>
        <v/>
      </c>
    </row>
    <row r="480">
      <c r="A480">
        <f>IF($B480="","",RANK($C480,$C$2:$C$500))</f>
        <v/>
      </c>
      <c r="B480">
        <f>IF(Players!$A480="","",Players!$A480)</f>
        <v/>
      </c>
      <c r="C480" s="5">
        <f>IF($B480="","",SUM(D480:H480))</f>
        <v/>
      </c>
      <c r="D480">
        <f>IF($B480="","",SUMIFS('Web Feed'!$O$2:$O$3015,'Web Feed'!$B$2:$B$3015,Points!$A$2,'Web Feed'!$F$2:$F$3015,$B480)+SUMIFS('Web Feed'!$O$2:$O$3015,'Web Feed'!$B$2:$B$3015,Points!$A$2,'Web Feed'!$G$2:$G$3015,$B480)+SUMIFS('Web Feed'!$O$2:$O$3015,'Web Feed'!$B$2:$B$3015,Points!$A$2,'Web Feed'!$H$2:$H$3015,$B480)+SUMIFS('Web Feed'!$O$2:$O$3015,'Web Feed'!$B$2:$B$3015,Points!$A$2,'Web Feed'!$I$2:$I$3015,$B480))</f>
        <v/>
      </c>
      <c r="E480">
        <f>IF($B480="","",SUMIFS('Web Feed'!$O$2:$O$3015,'Web Feed'!$B$2:$B$3015,Points!$A$3,'Web Feed'!$F$2:$F$3015,$B480)+SUMIFS('Web Feed'!$O$2:$O$3015,'Web Feed'!$B$2:$B$3015,Points!$A$3,'Web Feed'!$G$2:$G$3015,$B480)+SUMIFS('Web Feed'!$O$2:$O$3015,'Web Feed'!$B$2:$B$3015,Points!$A$3,'Web Feed'!$H$2:$H$3015,$B480)+SUMIFS('Web Feed'!$O$2:$O$3015,'Web Feed'!$B$2:$B$3015,Points!$A$3,'Web Feed'!$I$2:$I$3015,$B480))</f>
        <v/>
      </c>
      <c r="F480">
        <f>IF($B480="","",SUMIFS('Web Feed'!$O$2:$O$3015,'Web Feed'!$B$2:$B$3015,Points!$A$4,'Web Feed'!$F$2:$F$3015,$B480)+SUMIFS('Web Feed'!$O$2:$O$3015,'Web Feed'!$B$2:$B$3015,Points!$A$4,'Web Feed'!$G$2:$G$3015,$B480)+SUMIFS('Web Feed'!$O$2:$O$3015,'Web Feed'!$B$2:$B$3015,Points!$A$4,'Web Feed'!$H$2:$H$3015,$B480)+SUMIFS('Web Feed'!$O$2:$O$3015,'Web Feed'!$B$2:$B$3015,Points!$A$4,'Web Feed'!$I$2:$I$3015,$B480))</f>
        <v/>
      </c>
      <c r="G480">
        <f>IF($B480="","",SUMIFS('Web Feed'!$O$2:$O$3015,'Web Feed'!$B$2:$B$3015,Points!$A$5,'Web Feed'!$F$2:$F$3015,$B480)+SUMIFS('Web Feed'!$O$2:$O$3015,'Web Feed'!$B$2:$B$3015,Points!$A$5,'Web Feed'!$G$2:$G$3015,$B480)+SUMIFS('Web Feed'!$O$2:$O$3015,'Web Feed'!$B$2:$B$3015,Points!$A$5,'Web Feed'!$H$2:$H$3015,$B480)+SUMIFS('Web Feed'!$O$2:$O$3015,'Web Feed'!$B$2:$B$3015,Points!$A$5,'Web Feed'!$I$2:$I$3015,$B480))</f>
        <v/>
      </c>
      <c r="H480">
        <f>IF($B480="","",SUMIFS('Web Feed'!$O$2:$O$3015,'Web Feed'!$B$2:$B$3015,Points!$A$6,'Web Feed'!$F$2:$F$3015,$B480)+SUMIFS('Web Feed'!$O$2:$O$3015,'Web Feed'!$B$2:$B$3015,Points!$A$6,'Web Feed'!$G$2:$G$3015,$B480)+SUMIFS('Web Feed'!$O$2:$O$3015,'Web Feed'!$B$2:$B$3015,Points!$A$6,'Web Feed'!$H$2:$H$3015,$B480)+SUMIFS('Web Feed'!$O$2:$O$3015,'Web Feed'!$B$2:$B$3015,Points!$A$6,'Web Feed'!$I$2:$I$3015,$B480))</f>
        <v/>
      </c>
      <c r="I480">
        <f>IF($B480="","",COUNTIFS('Web Feed'!$B$2:$B$3015,"OHW",'Web Feed'!$F$2:$F$3015,$B480))</f>
        <v/>
      </c>
      <c r="J480">
        <f>IF($B480="","",IFERROR(INDEX('Last Week'!$A$2:$A$301,MATCH($B480,'Last Week'!$B$2:$B$301,0)),""))</f>
        <v/>
      </c>
      <c r="K480">
        <f>IF(OR($B480="",$J480=""),"",$J480-$A480)</f>
        <v/>
      </c>
    </row>
    <row r="481">
      <c r="A481">
        <f>IF($B481="","",RANK($C481,$C$2:$C$500))</f>
        <v/>
      </c>
      <c r="B481">
        <f>IF(Players!$A481="","",Players!$A481)</f>
        <v/>
      </c>
      <c r="C481" s="5">
        <f>IF($B481="","",SUM(D481:H481))</f>
        <v/>
      </c>
      <c r="D481">
        <f>IF($B481="","",SUMIFS('Web Feed'!$O$2:$O$3015,'Web Feed'!$B$2:$B$3015,Points!$A$2,'Web Feed'!$F$2:$F$3015,$B481)+SUMIFS('Web Feed'!$O$2:$O$3015,'Web Feed'!$B$2:$B$3015,Points!$A$2,'Web Feed'!$G$2:$G$3015,$B481)+SUMIFS('Web Feed'!$O$2:$O$3015,'Web Feed'!$B$2:$B$3015,Points!$A$2,'Web Feed'!$H$2:$H$3015,$B481)+SUMIFS('Web Feed'!$O$2:$O$3015,'Web Feed'!$B$2:$B$3015,Points!$A$2,'Web Feed'!$I$2:$I$3015,$B481))</f>
        <v/>
      </c>
      <c r="E481">
        <f>IF($B481="","",SUMIFS('Web Feed'!$O$2:$O$3015,'Web Feed'!$B$2:$B$3015,Points!$A$3,'Web Feed'!$F$2:$F$3015,$B481)+SUMIFS('Web Feed'!$O$2:$O$3015,'Web Feed'!$B$2:$B$3015,Points!$A$3,'Web Feed'!$G$2:$G$3015,$B481)+SUMIFS('Web Feed'!$O$2:$O$3015,'Web Feed'!$B$2:$B$3015,Points!$A$3,'Web Feed'!$H$2:$H$3015,$B481)+SUMIFS('Web Feed'!$O$2:$O$3015,'Web Feed'!$B$2:$B$3015,Points!$A$3,'Web Feed'!$I$2:$I$3015,$B481))</f>
        <v/>
      </c>
      <c r="F481">
        <f>IF($B481="","",SUMIFS('Web Feed'!$O$2:$O$3015,'Web Feed'!$B$2:$B$3015,Points!$A$4,'Web Feed'!$F$2:$F$3015,$B481)+SUMIFS('Web Feed'!$O$2:$O$3015,'Web Feed'!$B$2:$B$3015,Points!$A$4,'Web Feed'!$G$2:$G$3015,$B481)+SUMIFS('Web Feed'!$O$2:$O$3015,'Web Feed'!$B$2:$B$3015,Points!$A$4,'Web Feed'!$H$2:$H$3015,$B481)+SUMIFS('Web Feed'!$O$2:$O$3015,'Web Feed'!$B$2:$B$3015,Points!$A$4,'Web Feed'!$I$2:$I$3015,$B481))</f>
        <v/>
      </c>
      <c r="G481">
        <f>IF($B481="","",SUMIFS('Web Feed'!$O$2:$O$3015,'Web Feed'!$B$2:$B$3015,Points!$A$5,'Web Feed'!$F$2:$F$3015,$B481)+SUMIFS('Web Feed'!$O$2:$O$3015,'Web Feed'!$B$2:$B$3015,Points!$A$5,'Web Feed'!$G$2:$G$3015,$B481)+SUMIFS('Web Feed'!$O$2:$O$3015,'Web Feed'!$B$2:$B$3015,Points!$A$5,'Web Feed'!$H$2:$H$3015,$B481)+SUMIFS('Web Feed'!$O$2:$O$3015,'Web Feed'!$B$2:$B$3015,Points!$A$5,'Web Feed'!$I$2:$I$3015,$B481))</f>
        <v/>
      </c>
      <c r="H481">
        <f>IF($B481="","",SUMIFS('Web Feed'!$O$2:$O$3015,'Web Feed'!$B$2:$B$3015,Points!$A$6,'Web Feed'!$F$2:$F$3015,$B481)+SUMIFS('Web Feed'!$O$2:$O$3015,'Web Feed'!$B$2:$B$3015,Points!$A$6,'Web Feed'!$G$2:$G$3015,$B481)+SUMIFS('Web Feed'!$O$2:$O$3015,'Web Feed'!$B$2:$B$3015,Points!$A$6,'Web Feed'!$H$2:$H$3015,$B481)+SUMIFS('Web Feed'!$O$2:$O$3015,'Web Feed'!$B$2:$B$3015,Points!$A$6,'Web Feed'!$I$2:$I$3015,$B481))</f>
        <v/>
      </c>
      <c r="I481">
        <f>IF($B481="","",COUNTIFS('Web Feed'!$B$2:$B$3015,"OHW",'Web Feed'!$F$2:$F$3015,$B481))</f>
        <v/>
      </c>
      <c r="J481">
        <f>IF($B481="","",IFERROR(INDEX('Last Week'!$A$2:$A$301,MATCH($B481,'Last Week'!$B$2:$B$301,0)),""))</f>
        <v/>
      </c>
      <c r="K481">
        <f>IF(OR($B481="",$J481=""),"",$J481-$A481)</f>
        <v/>
      </c>
    </row>
    <row r="482">
      <c r="A482">
        <f>IF($B482="","",RANK($C482,$C$2:$C$500))</f>
        <v/>
      </c>
      <c r="B482">
        <f>IF(Players!$A482="","",Players!$A482)</f>
        <v/>
      </c>
      <c r="C482" s="5">
        <f>IF($B482="","",SUM(D482:H482))</f>
        <v/>
      </c>
      <c r="D482">
        <f>IF($B482="","",SUMIFS('Web Feed'!$O$2:$O$3015,'Web Feed'!$B$2:$B$3015,Points!$A$2,'Web Feed'!$F$2:$F$3015,$B482)+SUMIFS('Web Feed'!$O$2:$O$3015,'Web Feed'!$B$2:$B$3015,Points!$A$2,'Web Feed'!$G$2:$G$3015,$B482)+SUMIFS('Web Feed'!$O$2:$O$3015,'Web Feed'!$B$2:$B$3015,Points!$A$2,'Web Feed'!$H$2:$H$3015,$B482)+SUMIFS('Web Feed'!$O$2:$O$3015,'Web Feed'!$B$2:$B$3015,Points!$A$2,'Web Feed'!$I$2:$I$3015,$B482))</f>
        <v/>
      </c>
      <c r="E482">
        <f>IF($B482="","",SUMIFS('Web Feed'!$O$2:$O$3015,'Web Feed'!$B$2:$B$3015,Points!$A$3,'Web Feed'!$F$2:$F$3015,$B482)+SUMIFS('Web Feed'!$O$2:$O$3015,'Web Feed'!$B$2:$B$3015,Points!$A$3,'Web Feed'!$G$2:$G$3015,$B482)+SUMIFS('Web Feed'!$O$2:$O$3015,'Web Feed'!$B$2:$B$3015,Points!$A$3,'Web Feed'!$H$2:$H$3015,$B482)+SUMIFS('Web Feed'!$O$2:$O$3015,'Web Feed'!$B$2:$B$3015,Points!$A$3,'Web Feed'!$I$2:$I$3015,$B482))</f>
        <v/>
      </c>
      <c r="F482">
        <f>IF($B482="","",SUMIFS('Web Feed'!$O$2:$O$3015,'Web Feed'!$B$2:$B$3015,Points!$A$4,'Web Feed'!$F$2:$F$3015,$B482)+SUMIFS('Web Feed'!$O$2:$O$3015,'Web Feed'!$B$2:$B$3015,Points!$A$4,'Web Feed'!$G$2:$G$3015,$B482)+SUMIFS('Web Feed'!$O$2:$O$3015,'Web Feed'!$B$2:$B$3015,Points!$A$4,'Web Feed'!$H$2:$H$3015,$B482)+SUMIFS('Web Feed'!$O$2:$O$3015,'Web Feed'!$B$2:$B$3015,Points!$A$4,'Web Feed'!$I$2:$I$3015,$B482))</f>
        <v/>
      </c>
      <c r="G482">
        <f>IF($B482="","",SUMIFS('Web Feed'!$O$2:$O$3015,'Web Feed'!$B$2:$B$3015,Points!$A$5,'Web Feed'!$F$2:$F$3015,$B482)+SUMIFS('Web Feed'!$O$2:$O$3015,'Web Feed'!$B$2:$B$3015,Points!$A$5,'Web Feed'!$G$2:$G$3015,$B482)+SUMIFS('Web Feed'!$O$2:$O$3015,'Web Feed'!$B$2:$B$3015,Points!$A$5,'Web Feed'!$H$2:$H$3015,$B482)+SUMIFS('Web Feed'!$O$2:$O$3015,'Web Feed'!$B$2:$B$3015,Points!$A$5,'Web Feed'!$I$2:$I$3015,$B482))</f>
        <v/>
      </c>
      <c r="H482">
        <f>IF($B482="","",SUMIFS('Web Feed'!$O$2:$O$3015,'Web Feed'!$B$2:$B$3015,Points!$A$6,'Web Feed'!$F$2:$F$3015,$B482)+SUMIFS('Web Feed'!$O$2:$O$3015,'Web Feed'!$B$2:$B$3015,Points!$A$6,'Web Feed'!$G$2:$G$3015,$B482)+SUMIFS('Web Feed'!$O$2:$O$3015,'Web Feed'!$B$2:$B$3015,Points!$A$6,'Web Feed'!$H$2:$H$3015,$B482)+SUMIFS('Web Feed'!$O$2:$O$3015,'Web Feed'!$B$2:$B$3015,Points!$A$6,'Web Feed'!$I$2:$I$3015,$B482))</f>
        <v/>
      </c>
      <c r="I482">
        <f>IF($B482="","",COUNTIFS('Web Feed'!$B$2:$B$3015,"OHW",'Web Feed'!$F$2:$F$3015,$B482))</f>
        <v/>
      </c>
      <c r="J482">
        <f>IF($B482="","",IFERROR(INDEX('Last Week'!$A$2:$A$301,MATCH($B482,'Last Week'!$B$2:$B$301,0)),""))</f>
        <v/>
      </c>
      <c r="K482">
        <f>IF(OR($B482="",$J482=""),"",$J482-$A482)</f>
        <v/>
      </c>
    </row>
    <row r="483">
      <c r="A483">
        <f>IF($B483="","",RANK($C483,$C$2:$C$500))</f>
        <v/>
      </c>
      <c r="B483">
        <f>IF(Players!$A483="","",Players!$A483)</f>
        <v/>
      </c>
      <c r="C483" s="5">
        <f>IF($B483="","",SUM(D483:H483))</f>
        <v/>
      </c>
      <c r="D483">
        <f>IF($B483="","",SUMIFS('Web Feed'!$O$2:$O$3015,'Web Feed'!$B$2:$B$3015,Points!$A$2,'Web Feed'!$F$2:$F$3015,$B483)+SUMIFS('Web Feed'!$O$2:$O$3015,'Web Feed'!$B$2:$B$3015,Points!$A$2,'Web Feed'!$G$2:$G$3015,$B483)+SUMIFS('Web Feed'!$O$2:$O$3015,'Web Feed'!$B$2:$B$3015,Points!$A$2,'Web Feed'!$H$2:$H$3015,$B483)+SUMIFS('Web Feed'!$O$2:$O$3015,'Web Feed'!$B$2:$B$3015,Points!$A$2,'Web Feed'!$I$2:$I$3015,$B483))</f>
        <v/>
      </c>
      <c r="E483">
        <f>IF($B483="","",SUMIFS('Web Feed'!$O$2:$O$3015,'Web Feed'!$B$2:$B$3015,Points!$A$3,'Web Feed'!$F$2:$F$3015,$B483)+SUMIFS('Web Feed'!$O$2:$O$3015,'Web Feed'!$B$2:$B$3015,Points!$A$3,'Web Feed'!$G$2:$G$3015,$B483)+SUMIFS('Web Feed'!$O$2:$O$3015,'Web Feed'!$B$2:$B$3015,Points!$A$3,'Web Feed'!$H$2:$H$3015,$B483)+SUMIFS('Web Feed'!$O$2:$O$3015,'Web Feed'!$B$2:$B$3015,Points!$A$3,'Web Feed'!$I$2:$I$3015,$B483))</f>
        <v/>
      </c>
      <c r="F483">
        <f>IF($B483="","",SUMIFS('Web Feed'!$O$2:$O$3015,'Web Feed'!$B$2:$B$3015,Points!$A$4,'Web Feed'!$F$2:$F$3015,$B483)+SUMIFS('Web Feed'!$O$2:$O$3015,'Web Feed'!$B$2:$B$3015,Points!$A$4,'Web Feed'!$G$2:$G$3015,$B483)+SUMIFS('Web Feed'!$O$2:$O$3015,'Web Feed'!$B$2:$B$3015,Points!$A$4,'Web Feed'!$H$2:$H$3015,$B483)+SUMIFS('Web Feed'!$O$2:$O$3015,'Web Feed'!$B$2:$B$3015,Points!$A$4,'Web Feed'!$I$2:$I$3015,$B483))</f>
        <v/>
      </c>
      <c r="G483">
        <f>IF($B483="","",SUMIFS('Web Feed'!$O$2:$O$3015,'Web Feed'!$B$2:$B$3015,Points!$A$5,'Web Feed'!$F$2:$F$3015,$B483)+SUMIFS('Web Feed'!$O$2:$O$3015,'Web Feed'!$B$2:$B$3015,Points!$A$5,'Web Feed'!$G$2:$G$3015,$B483)+SUMIFS('Web Feed'!$O$2:$O$3015,'Web Feed'!$B$2:$B$3015,Points!$A$5,'Web Feed'!$H$2:$H$3015,$B483)+SUMIFS('Web Feed'!$O$2:$O$3015,'Web Feed'!$B$2:$B$3015,Points!$A$5,'Web Feed'!$I$2:$I$3015,$B483))</f>
        <v/>
      </c>
      <c r="H483">
        <f>IF($B483="","",SUMIFS('Web Feed'!$O$2:$O$3015,'Web Feed'!$B$2:$B$3015,Points!$A$6,'Web Feed'!$F$2:$F$3015,$B483)+SUMIFS('Web Feed'!$O$2:$O$3015,'Web Feed'!$B$2:$B$3015,Points!$A$6,'Web Feed'!$G$2:$G$3015,$B483)+SUMIFS('Web Feed'!$O$2:$O$3015,'Web Feed'!$B$2:$B$3015,Points!$A$6,'Web Feed'!$H$2:$H$3015,$B483)+SUMIFS('Web Feed'!$O$2:$O$3015,'Web Feed'!$B$2:$B$3015,Points!$A$6,'Web Feed'!$I$2:$I$3015,$B483))</f>
        <v/>
      </c>
      <c r="I483">
        <f>IF($B483="","",COUNTIFS('Web Feed'!$B$2:$B$3015,"OHW",'Web Feed'!$F$2:$F$3015,$B483))</f>
        <v/>
      </c>
      <c r="J483">
        <f>IF($B483="","",IFERROR(INDEX('Last Week'!$A$2:$A$301,MATCH($B483,'Last Week'!$B$2:$B$301,0)),""))</f>
        <v/>
      </c>
      <c r="K483">
        <f>IF(OR($B483="",$J483=""),"",$J483-$A483)</f>
        <v/>
      </c>
    </row>
    <row r="484">
      <c r="A484">
        <f>IF($B484="","",RANK($C484,$C$2:$C$500))</f>
        <v/>
      </c>
      <c r="B484">
        <f>IF(Players!$A484="","",Players!$A484)</f>
        <v/>
      </c>
      <c r="C484" s="5">
        <f>IF($B484="","",SUM(D484:H484))</f>
        <v/>
      </c>
      <c r="D484">
        <f>IF($B484="","",SUMIFS('Web Feed'!$O$2:$O$3015,'Web Feed'!$B$2:$B$3015,Points!$A$2,'Web Feed'!$F$2:$F$3015,$B484)+SUMIFS('Web Feed'!$O$2:$O$3015,'Web Feed'!$B$2:$B$3015,Points!$A$2,'Web Feed'!$G$2:$G$3015,$B484)+SUMIFS('Web Feed'!$O$2:$O$3015,'Web Feed'!$B$2:$B$3015,Points!$A$2,'Web Feed'!$H$2:$H$3015,$B484)+SUMIFS('Web Feed'!$O$2:$O$3015,'Web Feed'!$B$2:$B$3015,Points!$A$2,'Web Feed'!$I$2:$I$3015,$B484))</f>
        <v/>
      </c>
      <c r="E484">
        <f>IF($B484="","",SUMIFS('Web Feed'!$O$2:$O$3015,'Web Feed'!$B$2:$B$3015,Points!$A$3,'Web Feed'!$F$2:$F$3015,$B484)+SUMIFS('Web Feed'!$O$2:$O$3015,'Web Feed'!$B$2:$B$3015,Points!$A$3,'Web Feed'!$G$2:$G$3015,$B484)+SUMIFS('Web Feed'!$O$2:$O$3015,'Web Feed'!$B$2:$B$3015,Points!$A$3,'Web Feed'!$H$2:$H$3015,$B484)+SUMIFS('Web Feed'!$O$2:$O$3015,'Web Feed'!$B$2:$B$3015,Points!$A$3,'Web Feed'!$I$2:$I$3015,$B484))</f>
        <v/>
      </c>
      <c r="F484">
        <f>IF($B484="","",SUMIFS('Web Feed'!$O$2:$O$3015,'Web Feed'!$B$2:$B$3015,Points!$A$4,'Web Feed'!$F$2:$F$3015,$B484)+SUMIFS('Web Feed'!$O$2:$O$3015,'Web Feed'!$B$2:$B$3015,Points!$A$4,'Web Feed'!$G$2:$G$3015,$B484)+SUMIFS('Web Feed'!$O$2:$O$3015,'Web Feed'!$B$2:$B$3015,Points!$A$4,'Web Feed'!$H$2:$H$3015,$B484)+SUMIFS('Web Feed'!$O$2:$O$3015,'Web Feed'!$B$2:$B$3015,Points!$A$4,'Web Feed'!$I$2:$I$3015,$B484))</f>
        <v/>
      </c>
      <c r="G484">
        <f>IF($B484="","",SUMIFS('Web Feed'!$O$2:$O$3015,'Web Feed'!$B$2:$B$3015,Points!$A$5,'Web Feed'!$F$2:$F$3015,$B484)+SUMIFS('Web Feed'!$O$2:$O$3015,'Web Feed'!$B$2:$B$3015,Points!$A$5,'Web Feed'!$G$2:$G$3015,$B484)+SUMIFS('Web Feed'!$O$2:$O$3015,'Web Feed'!$B$2:$B$3015,Points!$A$5,'Web Feed'!$H$2:$H$3015,$B484)+SUMIFS('Web Feed'!$O$2:$O$3015,'Web Feed'!$B$2:$B$3015,Points!$A$5,'Web Feed'!$I$2:$I$3015,$B484))</f>
        <v/>
      </c>
      <c r="H484">
        <f>IF($B484="","",SUMIFS('Web Feed'!$O$2:$O$3015,'Web Feed'!$B$2:$B$3015,Points!$A$6,'Web Feed'!$F$2:$F$3015,$B484)+SUMIFS('Web Feed'!$O$2:$O$3015,'Web Feed'!$B$2:$B$3015,Points!$A$6,'Web Feed'!$G$2:$G$3015,$B484)+SUMIFS('Web Feed'!$O$2:$O$3015,'Web Feed'!$B$2:$B$3015,Points!$A$6,'Web Feed'!$H$2:$H$3015,$B484)+SUMIFS('Web Feed'!$O$2:$O$3015,'Web Feed'!$B$2:$B$3015,Points!$A$6,'Web Feed'!$I$2:$I$3015,$B484))</f>
        <v/>
      </c>
      <c r="I484">
        <f>IF($B484="","",COUNTIFS('Web Feed'!$B$2:$B$3015,"OHW",'Web Feed'!$F$2:$F$3015,$B484))</f>
        <v/>
      </c>
      <c r="J484">
        <f>IF($B484="","",IFERROR(INDEX('Last Week'!$A$2:$A$301,MATCH($B484,'Last Week'!$B$2:$B$301,0)),""))</f>
        <v/>
      </c>
      <c r="K484">
        <f>IF(OR($B484="",$J484=""),"",$J484-$A484)</f>
        <v/>
      </c>
    </row>
    <row r="485">
      <c r="A485">
        <f>IF($B485="","",RANK($C485,$C$2:$C$500))</f>
        <v/>
      </c>
      <c r="B485">
        <f>IF(Players!$A485="","",Players!$A485)</f>
        <v/>
      </c>
      <c r="C485" s="5">
        <f>IF($B485="","",SUM(D485:H485))</f>
        <v/>
      </c>
      <c r="D485">
        <f>IF($B485="","",SUMIFS('Web Feed'!$O$2:$O$3015,'Web Feed'!$B$2:$B$3015,Points!$A$2,'Web Feed'!$F$2:$F$3015,$B485)+SUMIFS('Web Feed'!$O$2:$O$3015,'Web Feed'!$B$2:$B$3015,Points!$A$2,'Web Feed'!$G$2:$G$3015,$B485)+SUMIFS('Web Feed'!$O$2:$O$3015,'Web Feed'!$B$2:$B$3015,Points!$A$2,'Web Feed'!$H$2:$H$3015,$B485)+SUMIFS('Web Feed'!$O$2:$O$3015,'Web Feed'!$B$2:$B$3015,Points!$A$2,'Web Feed'!$I$2:$I$3015,$B485))</f>
        <v/>
      </c>
      <c r="E485">
        <f>IF($B485="","",SUMIFS('Web Feed'!$O$2:$O$3015,'Web Feed'!$B$2:$B$3015,Points!$A$3,'Web Feed'!$F$2:$F$3015,$B485)+SUMIFS('Web Feed'!$O$2:$O$3015,'Web Feed'!$B$2:$B$3015,Points!$A$3,'Web Feed'!$G$2:$G$3015,$B485)+SUMIFS('Web Feed'!$O$2:$O$3015,'Web Feed'!$B$2:$B$3015,Points!$A$3,'Web Feed'!$H$2:$H$3015,$B485)+SUMIFS('Web Feed'!$O$2:$O$3015,'Web Feed'!$B$2:$B$3015,Points!$A$3,'Web Feed'!$I$2:$I$3015,$B485))</f>
        <v/>
      </c>
      <c r="F485">
        <f>IF($B485="","",SUMIFS('Web Feed'!$O$2:$O$3015,'Web Feed'!$B$2:$B$3015,Points!$A$4,'Web Feed'!$F$2:$F$3015,$B485)+SUMIFS('Web Feed'!$O$2:$O$3015,'Web Feed'!$B$2:$B$3015,Points!$A$4,'Web Feed'!$G$2:$G$3015,$B485)+SUMIFS('Web Feed'!$O$2:$O$3015,'Web Feed'!$B$2:$B$3015,Points!$A$4,'Web Feed'!$H$2:$H$3015,$B485)+SUMIFS('Web Feed'!$O$2:$O$3015,'Web Feed'!$B$2:$B$3015,Points!$A$4,'Web Feed'!$I$2:$I$3015,$B485))</f>
        <v/>
      </c>
      <c r="G485">
        <f>IF($B485="","",SUMIFS('Web Feed'!$O$2:$O$3015,'Web Feed'!$B$2:$B$3015,Points!$A$5,'Web Feed'!$F$2:$F$3015,$B485)+SUMIFS('Web Feed'!$O$2:$O$3015,'Web Feed'!$B$2:$B$3015,Points!$A$5,'Web Feed'!$G$2:$G$3015,$B485)+SUMIFS('Web Feed'!$O$2:$O$3015,'Web Feed'!$B$2:$B$3015,Points!$A$5,'Web Feed'!$H$2:$H$3015,$B485)+SUMIFS('Web Feed'!$O$2:$O$3015,'Web Feed'!$B$2:$B$3015,Points!$A$5,'Web Feed'!$I$2:$I$3015,$B485))</f>
        <v/>
      </c>
      <c r="H485">
        <f>IF($B485="","",SUMIFS('Web Feed'!$O$2:$O$3015,'Web Feed'!$B$2:$B$3015,Points!$A$6,'Web Feed'!$F$2:$F$3015,$B485)+SUMIFS('Web Feed'!$O$2:$O$3015,'Web Feed'!$B$2:$B$3015,Points!$A$6,'Web Feed'!$G$2:$G$3015,$B485)+SUMIFS('Web Feed'!$O$2:$O$3015,'Web Feed'!$B$2:$B$3015,Points!$A$6,'Web Feed'!$H$2:$H$3015,$B485)+SUMIFS('Web Feed'!$O$2:$O$3015,'Web Feed'!$B$2:$B$3015,Points!$A$6,'Web Feed'!$I$2:$I$3015,$B485))</f>
        <v/>
      </c>
      <c r="I485">
        <f>IF($B485="","",COUNTIFS('Web Feed'!$B$2:$B$3015,"OHW",'Web Feed'!$F$2:$F$3015,$B485))</f>
        <v/>
      </c>
      <c r="J485">
        <f>IF($B485="","",IFERROR(INDEX('Last Week'!$A$2:$A$301,MATCH($B485,'Last Week'!$B$2:$B$301,0)),""))</f>
        <v/>
      </c>
      <c r="K485">
        <f>IF(OR($B485="",$J485=""),"",$J485-$A485)</f>
        <v/>
      </c>
    </row>
    <row r="486">
      <c r="A486">
        <f>IF($B486="","",RANK($C486,$C$2:$C$500))</f>
        <v/>
      </c>
      <c r="B486">
        <f>IF(Players!$A486="","",Players!$A486)</f>
        <v/>
      </c>
      <c r="C486" s="5">
        <f>IF($B486="","",SUM(D486:H486))</f>
        <v/>
      </c>
      <c r="D486">
        <f>IF($B486="","",SUMIFS('Web Feed'!$O$2:$O$3015,'Web Feed'!$B$2:$B$3015,Points!$A$2,'Web Feed'!$F$2:$F$3015,$B486)+SUMIFS('Web Feed'!$O$2:$O$3015,'Web Feed'!$B$2:$B$3015,Points!$A$2,'Web Feed'!$G$2:$G$3015,$B486)+SUMIFS('Web Feed'!$O$2:$O$3015,'Web Feed'!$B$2:$B$3015,Points!$A$2,'Web Feed'!$H$2:$H$3015,$B486)+SUMIFS('Web Feed'!$O$2:$O$3015,'Web Feed'!$B$2:$B$3015,Points!$A$2,'Web Feed'!$I$2:$I$3015,$B486))</f>
        <v/>
      </c>
      <c r="E486">
        <f>IF($B486="","",SUMIFS('Web Feed'!$O$2:$O$3015,'Web Feed'!$B$2:$B$3015,Points!$A$3,'Web Feed'!$F$2:$F$3015,$B486)+SUMIFS('Web Feed'!$O$2:$O$3015,'Web Feed'!$B$2:$B$3015,Points!$A$3,'Web Feed'!$G$2:$G$3015,$B486)+SUMIFS('Web Feed'!$O$2:$O$3015,'Web Feed'!$B$2:$B$3015,Points!$A$3,'Web Feed'!$H$2:$H$3015,$B486)+SUMIFS('Web Feed'!$O$2:$O$3015,'Web Feed'!$B$2:$B$3015,Points!$A$3,'Web Feed'!$I$2:$I$3015,$B486))</f>
        <v/>
      </c>
      <c r="F486">
        <f>IF($B486="","",SUMIFS('Web Feed'!$O$2:$O$3015,'Web Feed'!$B$2:$B$3015,Points!$A$4,'Web Feed'!$F$2:$F$3015,$B486)+SUMIFS('Web Feed'!$O$2:$O$3015,'Web Feed'!$B$2:$B$3015,Points!$A$4,'Web Feed'!$G$2:$G$3015,$B486)+SUMIFS('Web Feed'!$O$2:$O$3015,'Web Feed'!$B$2:$B$3015,Points!$A$4,'Web Feed'!$H$2:$H$3015,$B486)+SUMIFS('Web Feed'!$O$2:$O$3015,'Web Feed'!$B$2:$B$3015,Points!$A$4,'Web Feed'!$I$2:$I$3015,$B486))</f>
        <v/>
      </c>
      <c r="G486">
        <f>IF($B486="","",SUMIFS('Web Feed'!$O$2:$O$3015,'Web Feed'!$B$2:$B$3015,Points!$A$5,'Web Feed'!$F$2:$F$3015,$B486)+SUMIFS('Web Feed'!$O$2:$O$3015,'Web Feed'!$B$2:$B$3015,Points!$A$5,'Web Feed'!$G$2:$G$3015,$B486)+SUMIFS('Web Feed'!$O$2:$O$3015,'Web Feed'!$B$2:$B$3015,Points!$A$5,'Web Feed'!$H$2:$H$3015,$B486)+SUMIFS('Web Feed'!$O$2:$O$3015,'Web Feed'!$B$2:$B$3015,Points!$A$5,'Web Feed'!$I$2:$I$3015,$B486))</f>
        <v/>
      </c>
      <c r="H486">
        <f>IF($B486="","",SUMIFS('Web Feed'!$O$2:$O$3015,'Web Feed'!$B$2:$B$3015,Points!$A$6,'Web Feed'!$F$2:$F$3015,$B486)+SUMIFS('Web Feed'!$O$2:$O$3015,'Web Feed'!$B$2:$B$3015,Points!$A$6,'Web Feed'!$G$2:$G$3015,$B486)+SUMIFS('Web Feed'!$O$2:$O$3015,'Web Feed'!$B$2:$B$3015,Points!$A$6,'Web Feed'!$H$2:$H$3015,$B486)+SUMIFS('Web Feed'!$O$2:$O$3015,'Web Feed'!$B$2:$B$3015,Points!$A$6,'Web Feed'!$I$2:$I$3015,$B486))</f>
        <v/>
      </c>
      <c r="I486">
        <f>IF($B486="","",COUNTIFS('Web Feed'!$B$2:$B$3015,"OHW",'Web Feed'!$F$2:$F$3015,$B486))</f>
        <v/>
      </c>
      <c r="J486">
        <f>IF($B486="","",IFERROR(INDEX('Last Week'!$A$2:$A$301,MATCH($B486,'Last Week'!$B$2:$B$301,0)),""))</f>
        <v/>
      </c>
      <c r="K486">
        <f>IF(OR($B486="",$J486=""),"",$J486-$A486)</f>
        <v/>
      </c>
    </row>
    <row r="487">
      <c r="A487">
        <f>IF($B487="","",RANK($C487,$C$2:$C$500))</f>
        <v/>
      </c>
      <c r="B487">
        <f>IF(Players!$A487="","",Players!$A487)</f>
        <v/>
      </c>
      <c r="C487" s="5">
        <f>IF($B487="","",SUM(D487:H487))</f>
        <v/>
      </c>
      <c r="D487">
        <f>IF($B487="","",SUMIFS('Web Feed'!$O$2:$O$3015,'Web Feed'!$B$2:$B$3015,Points!$A$2,'Web Feed'!$F$2:$F$3015,$B487)+SUMIFS('Web Feed'!$O$2:$O$3015,'Web Feed'!$B$2:$B$3015,Points!$A$2,'Web Feed'!$G$2:$G$3015,$B487)+SUMIFS('Web Feed'!$O$2:$O$3015,'Web Feed'!$B$2:$B$3015,Points!$A$2,'Web Feed'!$H$2:$H$3015,$B487)+SUMIFS('Web Feed'!$O$2:$O$3015,'Web Feed'!$B$2:$B$3015,Points!$A$2,'Web Feed'!$I$2:$I$3015,$B487))</f>
        <v/>
      </c>
      <c r="E487">
        <f>IF($B487="","",SUMIFS('Web Feed'!$O$2:$O$3015,'Web Feed'!$B$2:$B$3015,Points!$A$3,'Web Feed'!$F$2:$F$3015,$B487)+SUMIFS('Web Feed'!$O$2:$O$3015,'Web Feed'!$B$2:$B$3015,Points!$A$3,'Web Feed'!$G$2:$G$3015,$B487)+SUMIFS('Web Feed'!$O$2:$O$3015,'Web Feed'!$B$2:$B$3015,Points!$A$3,'Web Feed'!$H$2:$H$3015,$B487)+SUMIFS('Web Feed'!$O$2:$O$3015,'Web Feed'!$B$2:$B$3015,Points!$A$3,'Web Feed'!$I$2:$I$3015,$B487))</f>
        <v/>
      </c>
      <c r="F487">
        <f>IF($B487="","",SUMIFS('Web Feed'!$O$2:$O$3015,'Web Feed'!$B$2:$B$3015,Points!$A$4,'Web Feed'!$F$2:$F$3015,$B487)+SUMIFS('Web Feed'!$O$2:$O$3015,'Web Feed'!$B$2:$B$3015,Points!$A$4,'Web Feed'!$G$2:$G$3015,$B487)+SUMIFS('Web Feed'!$O$2:$O$3015,'Web Feed'!$B$2:$B$3015,Points!$A$4,'Web Feed'!$H$2:$H$3015,$B487)+SUMIFS('Web Feed'!$O$2:$O$3015,'Web Feed'!$B$2:$B$3015,Points!$A$4,'Web Feed'!$I$2:$I$3015,$B487))</f>
        <v/>
      </c>
      <c r="G487">
        <f>IF($B487="","",SUMIFS('Web Feed'!$O$2:$O$3015,'Web Feed'!$B$2:$B$3015,Points!$A$5,'Web Feed'!$F$2:$F$3015,$B487)+SUMIFS('Web Feed'!$O$2:$O$3015,'Web Feed'!$B$2:$B$3015,Points!$A$5,'Web Feed'!$G$2:$G$3015,$B487)+SUMIFS('Web Feed'!$O$2:$O$3015,'Web Feed'!$B$2:$B$3015,Points!$A$5,'Web Feed'!$H$2:$H$3015,$B487)+SUMIFS('Web Feed'!$O$2:$O$3015,'Web Feed'!$B$2:$B$3015,Points!$A$5,'Web Feed'!$I$2:$I$3015,$B487))</f>
        <v/>
      </c>
      <c r="H487">
        <f>IF($B487="","",SUMIFS('Web Feed'!$O$2:$O$3015,'Web Feed'!$B$2:$B$3015,Points!$A$6,'Web Feed'!$F$2:$F$3015,$B487)+SUMIFS('Web Feed'!$O$2:$O$3015,'Web Feed'!$B$2:$B$3015,Points!$A$6,'Web Feed'!$G$2:$G$3015,$B487)+SUMIFS('Web Feed'!$O$2:$O$3015,'Web Feed'!$B$2:$B$3015,Points!$A$6,'Web Feed'!$H$2:$H$3015,$B487)+SUMIFS('Web Feed'!$O$2:$O$3015,'Web Feed'!$B$2:$B$3015,Points!$A$6,'Web Feed'!$I$2:$I$3015,$B487))</f>
        <v/>
      </c>
      <c r="I487">
        <f>IF($B487="","",COUNTIFS('Web Feed'!$B$2:$B$3015,"OHW",'Web Feed'!$F$2:$F$3015,$B487))</f>
        <v/>
      </c>
      <c r="J487">
        <f>IF($B487="","",IFERROR(INDEX('Last Week'!$A$2:$A$301,MATCH($B487,'Last Week'!$B$2:$B$301,0)),""))</f>
        <v/>
      </c>
      <c r="K487">
        <f>IF(OR($B487="",$J487=""),"",$J487-$A487)</f>
        <v/>
      </c>
    </row>
    <row r="488">
      <c r="A488">
        <f>IF($B488="","",RANK($C488,$C$2:$C$500))</f>
        <v/>
      </c>
      <c r="B488">
        <f>IF(Players!$A488="","",Players!$A488)</f>
        <v/>
      </c>
      <c r="C488" s="5">
        <f>IF($B488="","",SUM(D488:H488))</f>
        <v/>
      </c>
      <c r="D488">
        <f>IF($B488="","",SUMIFS('Web Feed'!$O$2:$O$3015,'Web Feed'!$B$2:$B$3015,Points!$A$2,'Web Feed'!$F$2:$F$3015,$B488)+SUMIFS('Web Feed'!$O$2:$O$3015,'Web Feed'!$B$2:$B$3015,Points!$A$2,'Web Feed'!$G$2:$G$3015,$B488)+SUMIFS('Web Feed'!$O$2:$O$3015,'Web Feed'!$B$2:$B$3015,Points!$A$2,'Web Feed'!$H$2:$H$3015,$B488)+SUMIFS('Web Feed'!$O$2:$O$3015,'Web Feed'!$B$2:$B$3015,Points!$A$2,'Web Feed'!$I$2:$I$3015,$B488))</f>
        <v/>
      </c>
      <c r="E488">
        <f>IF($B488="","",SUMIFS('Web Feed'!$O$2:$O$3015,'Web Feed'!$B$2:$B$3015,Points!$A$3,'Web Feed'!$F$2:$F$3015,$B488)+SUMIFS('Web Feed'!$O$2:$O$3015,'Web Feed'!$B$2:$B$3015,Points!$A$3,'Web Feed'!$G$2:$G$3015,$B488)+SUMIFS('Web Feed'!$O$2:$O$3015,'Web Feed'!$B$2:$B$3015,Points!$A$3,'Web Feed'!$H$2:$H$3015,$B488)+SUMIFS('Web Feed'!$O$2:$O$3015,'Web Feed'!$B$2:$B$3015,Points!$A$3,'Web Feed'!$I$2:$I$3015,$B488))</f>
        <v/>
      </c>
      <c r="F488">
        <f>IF($B488="","",SUMIFS('Web Feed'!$O$2:$O$3015,'Web Feed'!$B$2:$B$3015,Points!$A$4,'Web Feed'!$F$2:$F$3015,$B488)+SUMIFS('Web Feed'!$O$2:$O$3015,'Web Feed'!$B$2:$B$3015,Points!$A$4,'Web Feed'!$G$2:$G$3015,$B488)+SUMIFS('Web Feed'!$O$2:$O$3015,'Web Feed'!$B$2:$B$3015,Points!$A$4,'Web Feed'!$H$2:$H$3015,$B488)+SUMIFS('Web Feed'!$O$2:$O$3015,'Web Feed'!$B$2:$B$3015,Points!$A$4,'Web Feed'!$I$2:$I$3015,$B488))</f>
        <v/>
      </c>
      <c r="G488">
        <f>IF($B488="","",SUMIFS('Web Feed'!$O$2:$O$3015,'Web Feed'!$B$2:$B$3015,Points!$A$5,'Web Feed'!$F$2:$F$3015,$B488)+SUMIFS('Web Feed'!$O$2:$O$3015,'Web Feed'!$B$2:$B$3015,Points!$A$5,'Web Feed'!$G$2:$G$3015,$B488)+SUMIFS('Web Feed'!$O$2:$O$3015,'Web Feed'!$B$2:$B$3015,Points!$A$5,'Web Feed'!$H$2:$H$3015,$B488)+SUMIFS('Web Feed'!$O$2:$O$3015,'Web Feed'!$B$2:$B$3015,Points!$A$5,'Web Feed'!$I$2:$I$3015,$B488))</f>
        <v/>
      </c>
      <c r="H488">
        <f>IF($B488="","",SUMIFS('Web Feed'!$O$2:$O$3015,'Web Feed'!$B$2:$B$3015,Points!$A$6,'Web Feed'!$F$2:$F$3015,$B488)+SUMIFS('Web Feed'!$O$2:$O$3015,'Web Feed'!$B$2:$B$3015,Points!$A$6,'Web Feed'!$G$2:$G$3015,$B488)+SUMIFS('Web Feed'!$O$2:$O$3015,'Web Feed'!$B$2:$B$3015,Points!$A$6,'Web Feed'!$H$2:$H$3015,$B488)+SUMIFS('Web Feed'!$O$2:$O$3015,'Web Feed'!$B$2:$B$3015,Points!$A$6,'Web Feed'!$I$2:$I$3015,$B488))</f>
        <v/>
      </c>
      <c r="I488">
        <f>IF($B488="","",COUNTIFS('Web Feed'!$B$2:$B$3015,"OHW",'Web Feed'!$F$2:$F$3015,$B488))</f>
        <v/>
      </c>
      <c r="J488">
        <f>IF($B488="","",IFERROR(INDEX('Last Week'!$A$2:$A$301,MATCH($B488,'Last Week'!$B$2:$B$301,0)),""))</f>
        <v/>
      </c>
      <c r="K488">
        <f>IF(OR($B488="",$J488=""),"",$J488-$A488)</f>
        <v/>
      </c>
    </row>
    <row r="489">
      <c r="A489">
        <f>IF($B489="","",RANK($C489,$C$2:$C$500))</f>
        <v/>
      </c>
      <c r="B489">
        <f>IF(Players!$A489="","",Players!$A489)</f>
        <v/>
      </c>
      <c r="C489" s="5">
        <f>IF($B489="","",SUM(D489:H489))</f>
        <v/>
      </c>
      <c r="D489">
        <f>IF($B489="","",SUMIFS('Web Feed'!$O$2:$O$3015,'Web Feed'!$B$2:$B$3015,Points!$A$2,'Web Feed'!$F$2:$F$3015,$B489)+SUMIFS('Web Feed'!$O$2:$O$3015,'Web Feed'!$B$2:$B$3015,Points!$A$2,'Web Feed'!$G$2:$G$3015,$B489)+SUMIFS('Web Feed'!$O$2:$O$3015,'Web Feed'!$B$2:$B$3015,Points!$A$2,'Web Feed'!$H$2:$H$3015,$B489)+SUMIFS('Web Feed'!$O$2:$O$3015,'Web Feed'!$B$2:$B$3015,Points!$A$2,'Web Feed'!$I$2:$I$3015,$B489))</f>
        <v/>
      </c>
      <c r="E489">
        <f>IF($B489="","",SUMIFS('Web Feed'!$O$2:$O$3015,'Web Feed'!$B$2:$B$3015,Points!$A$3,'Web Feed'!$F$2:$F$3015,$B489)+SUMIFS('Web Feed'!$O$2:$O$3015,'Web Feed'!$B$2:$B$3015,Points!$A$3,'Web Feed'!$G$2:$G$3015,$B489)+SUMIFS('Web Feed'!$O$2:$O$3015,'Web Feed'!$B$2:$B$3015,Points!$A$3,'Web Feed'!$H$2:$H$3015,$B489)+SUMIFS('Web Feed'!$O$2:$O$3015,'Web Feed'!$B$2:$B$3015,Points!$A$3,'Web Feed'!$I$2:$I$3015,$B489))</f>
        <v/>
      </c>
      <c r="F489">
        <f>IF($B489="","",SUMIFS('Web Feed'!$O$2:$O$3015,'Web Feed'!$B$2:$B$3015,Points!$A$4,'Web Feed'!$F$2:$F$3015,$B489)+SUMIFS('Web Feed'!$O$2:$O$3015,'Web Feed'!$B$2:$B$3015,Points!$A$4,'Web Feed'!$G$2:$G$3015,$B489)+SUMIFS('Web Feed'!$O$2:$O$3015,'Web Feed'!$B$2:$B$3015,Points!$A$4,'Web Feed'!$H$2:$H$3015,$B489)+SUMIFS('Web Feed'!$O$2:$O$3015,'Web Feed'!$B$2:$B$3015,Points!$A$4,'Web Feed'!$I$2:$I$3015,$B489))</f>
        <v/>
      </c>
      <c r="G489">
        <f>IF($B489="","",SUMIFS('Web Feed'!$O$2:$O$3015,'Web Feed'!$B$2:$B$3015,Points!$A$5,'Web Feed'!$F$2:$F$3015,$B489)+SUMIFS('Web Feed'!$O$2:$O$3015,'Web Feed'!$B$2:$B$3015,Points!$A$5,'Web Feed'!$G$2:$G$3015,$B489)+SUMIFS('Web Feed'!$O$2:$O$3015,'Web Feed'!$B$2:$B$3015,Points!$A$5,'Web Feed'!$H$2:$H$3015,$B489)+SUMIFS('Web Feed'!$O$2:$O$3015,'Web Feed'!$B$2:$B$3015,Points!$A$5,'Web Feed'!$I$2:$I$3015,$B489))</f>
        <v/>
      </c>
      <c r="H489">
        <f>IF($B489="","",SUMIFS('Web Feed'!$O$2:$O$3015,'Web Feed'!$B$2:$B$3015,Points!$A$6,'Web Feed'!$F$2:$F$3015,$B489)+SUMIFS('Web Feed'!$O$2:$O$3015,'Web Feed'!$B$2:$B$3015,Points!$A$6,'Web Feed'!$G$2:$G$3015,$B489)+SUMIFS('Web Feed'!$O$2:$O$3015,'Web Feed'!$B$2:$B$3015,Points!$A$6,'Web Feed'!$H$2:$H$3015,$B489)+SUMIFS('Web Feed'!$O$2:$O$3015,'Web Feed'!$B$2:$B$3015,Points!$A$6,'Web Feed'!$I$2:$I$3015,$B489))</f>
        <v/>
      </c>
      <c r="I489">
        <f>IF($B489="","",COUNTIFS('Web Feed'!$B$2:$B$3015,"OHW",'Web Feed'!$F$2:$F$3015,$B489))</f>
        <v/>
      </c>
      <c r="J489">
        <f>IF($B489="","",IFERROR(INDEX('Last Week'!$A$2:$A$301,MATCH($B489,'Last Week'!$B$2:$B$301,0)),""))</f>
        <v/>
      </c>
      <c r="K489">
        <f>IF(OR($B489="",$J489=""),"",$J489-$A489)</f>
        <v/>
      </c>
    </row>
    <row r="490">
      <c r="A490">
        <f>IF($B490="","",RANK($C490,$C$2:$C$500))</f>
        <v/>
      </c>
      <c r="B490">
        <f>IF(Players!$A490="","",Players!$A490)</f>
        <v/>
      </c>
      <c r="C490" s="5">
        <f>IF($B490="","",SUM(D490:H490))</f>
        <v/>
      </c>
      <c r="D490">
        <f>IF($B490="","",SUMIFS('Web Feed'!$O$2:$O$3015,'Web Feed'!$B$2:$B$3015,Points!$A$2,'Web Feed'!$F$2:$F$3015,$B490)+SUMIFS('Web Feed'!$O$2:$O$3015,'Web Feed'!$B$2:$B$3015,Points!$A$2,'Web Feed'!$G$2:$G$3015,$B490)+SUMIFS('Web Feed'!$O$2:$O$3015,'Web Feed'!$B$2:$B$3015,Points!$A$2,'Web Feed'!$H$2:$H$3015,$B490)+SUMIFS('Web Feed'!$O$2:$O$3015,'Web Feed'!$B$2:$B$3015,Points!$A$2,'Web Feed'!$I$2:$I$3015,$B490))</f>
        <v/>
      </c>
      <c r="E490">
        <f>IF($B490="","",SUMIFS('Web Feed'!$O$2:$O$3015,'Web Feed'!$B$2:$B$3015,Points!$A$3,'Web Feed'!$F$2:$F$3015,$B490)+SUMIFS('Web Feed'!$O$2:$O$3015,'Web Feed'!$B$2:$B$3015,Points!$A$3,'Web Feed'!$G$2:$G$3015,$B490)+SUMIFS('Web Feed'!$O$2:$O$3015,'Web Feed'!$B$2:$B$3015,Points!$A$3,'Web Feed'!$H$2:$H$3015,$B490)+SUMIFS('Web Feed'!$O$2:$O$3015,'Web Feed'!$B$2:$B$3015,Points!$A$3,'Web Feed'!$I$2:$I$3015,$B490))</f>
        <v/>
      </c>
      <c r="F490">
        <f>IF($B490="","",SUMIFS('Web Feed'!$O$2:$O$3015,'Web Feed'!$B$2:$B$3015,Points!$A$4,'Web Feed'!$F$2:$F$3015,$B490)+SUMIFS('Web Feed'!$O$2:$O$3015,'Web Feed'!$B$2:$B$3015,Points!$A$4,'Web Feed'!$G$2:$G$3015,$B490)+SUMIFS('Web Feed'!$O$2:$O$3015,'Web Feed'!$B$2:$B$3015,Points!$A$4,'Web Feed'!$H$2:$H$3015,$B490)+SUMIFS('Web Feed'!$O$2:$O$3015,'Web Feed'!$B$2:$B$3015,Points!$A$4,'Web Feed'!$I$2:$I$3015,$B490))</f>
        <v/>
      </c>
      <c r="G490">
        <f>IF($B490="","",SUMIFS('Web Feed'!$O$2:$O$3015,'Web Feed'!$B$2:$B$3015,Points!$A$5,'Web Feed'!$F$2:$F$3015,$B490)+SUMIFS('Web Feed'!$O$2:$O$3015,'Web Feed'!$B$2:$B$3015,Points!$A$5,'Web Feed'!$G$2:$G$3015,$B490)+SUMIFS('Web Feed'!$O$2:$O$3015,'Web Feed'!$B$2:$B$3015,Points!$A$5,'Web Feed'!$H$2:$H$3015,$B490)+SUMIFS('Web Feed'!$O$2:$O$3015,'Web Feed'!$B$2:$B$3015,Points!$A$5,'Web Feed'!$I$2:$I$3015,$B490))</f>
        <v/>
      </c>
      <c r="H490">
        <f>IF($B490="","",SUMIFS('Web Feed'!$O$2:$O$3015,'Web Feed'!$B$2:$B$3015,Points!$A$6,'Web Feed'!$F$2:$F$3015,$B490)+SUMIFS('Web Feed'!$O$2:$O$3015,'Web Feed'!$B$2:$B$3015,Points!$A$6,'Web Feed'!$G$2:$G$3015,$B490)+SUMIFS('Web Feed'!$O$2:$O$3015,'Web Feed'!$B$2:$B$3015,Points!$A$6,'Web Feed'!$H$2:$H$3015,$B490)+SUMIFS('Web Feed'!$O$2:$O$3015,'Web Feed'!$B$2:$B$3015,Points!$A$6,'Web Feed'!$I$2:$I$3015,$B490))</f>
        <v/>
      </c>
      <c r="I490">
        <f>IF($B490="","",COUNTIFS('Web Feed'!$B$2:$B$3015,"OHW",'Web Feed'!$F$2:$F$3015,$B490))</f>
        <v/>
      </c>
      <c r="J490">
        <f>IF($B490="","",IFERROR(INDEX('Last Week'!$A$2:$A$301,MATCH($B490,'Last Week'!$B$2:$B$301,0)),""))</f>
        <v/>
      </c>
      <c r="K490">
        <f>IF(OR($B490="",$J490=""),"",$J490-$A490)</f>
        <v/>
      </c>
    </row>
    <row r="491">
      <c r="A491">
        <f>IF($B491="","",RANK($C491,$C$2:$C$500))</f>
        <v/>
      </c>
      <c r="B491">
        <f>IF(Players!$A491="","",Players!$A491)</f>
        <v/>
      </c>
      <c r="C491" s="5">
        <f>IF($B491="","",SUM(D491:H491))</f>
        <v/>
      </c>
      <c r="D491">
        <f>IF($B491="","",SUMIFS('Web Feed'!$O$2:$O$3015,'Web Feed'!$B$2:$B$3015,Points!$A$2,'Web Feed'!$F$2:$F$3015,$B491)+SUMIFS('Web Feed'!$O$2:$O$3015,'Web Feed'!$B$2:$B$3015,Points!$A$2,'Web Feed'!$G$2:$G$3015,$B491)+SUMIFS('Web Feed'!$O$2:$O$3015,'Web Feed'!$B$2:$B$3015,Points!$A$2,'Web Feed'!$H$2:$H$3015,$B491)+SUMIFS('Web Feed'!$O$2:$O$3015,'Web Feed'!$B$2:$B$3015,Points!$A$2,'Web Feed'!$I$2:$I$3015,$B491))</f>
        <v/>
      </c>
      <c r="E491">
        <f>IF($B491="","",SUMIFS('Web Feed'!$O$2:$O$3015,'Web Feed'!$B$2:$B$3015,Points!$A$3,'Web Feed'!$F$2:$F$3015,$B491)+SUMIFS('Web Feed'!$O$2:$O$3015,'Web Feed'!$B$2:$B$3015,Points!$A$3,'Web Feed'!$G$2:$G$3015,$B491)+SUMIFS('Web Feed'!$O$2:$O$3015,'Web Feed'!$B$2:$B$3015,Points!$A$3,'Web Feed'!$H$2:$H$3015,$B491)+SUMIFS('Web Feed'!$O$2:$O$3015,'Web Feed'!$B$2:$B$3015,Points!$A$3,'Web Feed'!$I$2:$I$3015,$B491))</f>
        <v/>
      </c>
      <c r="F491">
        <f>IF($B491="","",SUMIFS('Web Feed'!$O$2:$O$3015,'Web Feed'!$B$2:$B$3015,Points!$A$4,'Web Feed'!$F$2:$F$3015,$B491)+SUMIFS('Web Feed'!$O$2:$O$3015,'Web Feed'!$B$2:$B$3015,Points!$A$4,'Web Feed'!$G$2:$G$3015,$B491)+SUMIFS('Web Feed'!$O$2:$O$3015,'Web Feed'!$B$2:$B$3015,Points!$A$4,'Web Feed'!$H$2:$H$3015,$B491)+SUMIFS('Web Feed'!$O$2:$O$3015,'Web Feed'!$B$2:$B$3015,Points!$A$4,'Web Feed'!$I$2:$I$3015,$B491))</f>
        <v/>
      </c>
      <c r="G491">
        <f>IF($B491="","",SUMIFS('Web Feed'!$O$2:$O$3015,'Web Feed'!$B$2:$B$3015,Points!$A$5,'Web Feed'!$F$2:$F$3015,$B491)+SUMIFS('Web Feed'!$O$2:$O$3015,'Web Feed'!$B$2:$B$3015,Points!$A$5,'Web Feed'!$G$2:$G$3015,$B491)+SUMIFS('Web Feed'!$O$2:$O$3015,'Web Feed'!$B$2:$B$3015,Points!$A$5,'Web Feed'!$H$2:$H$3015,$B491)+SUMIFS('Web Feed'!$O$2:$O$3015,'Web Feed'!$B$2:$B$3015,Points!$A$5,'Web Feed'!$I$2:$I$3015,$B491))</f>
        <v/>
      </c>
      <c r="H491">
        <f>IF($B491="","",SUMIFS('Web Feed'!$O$2:$O$3015,'Web Feed'!$B$2:$B$3015,Points!$A$6,'Web Feed'!$F$2:$F$3015,$B491)+SUMIFS('Web Feed'!$O$2:$O$3015,'Web Feed'!$B$2:$B$3015,Points!$A$6,'Web Feed'!$G$2:$G$3015,$B491)+SUMIFS('Web Feed'!$O$2:$O$3015,'Web Feed'!$B$2:$B$3015,Points!$A$6,'Web Feed'!$H$2:$H$3015,$B491)+SUMIFS('Web Feed'!$O$2:$O$3015,'Web Feed'!$B$2:$B$3015,Points!$A$6,'Web Feed'!$I$2:$I$3015,$B491))</f>
        <v/>
      </c>
      <c r="I491">
        <f>IF($B491="","",COUNTIFS('Web Feed'!$B$2:$B$3015,"OHW",'Web Feed'!$F$2:$F$3015,$B491))</f>
        <v/>
      </c>
      <c r="J491">
        <f>IF($B491="","",IFERROR(INDEX('Last Week'!$A$2:$A$301,MATCH($B491,'Last Week'!$B$2:$B$301,0)),""))</f>
        <v/>
      </c>
      <c r="K491">
        <f>IF(OR($B491="",$J491=""),"",$J491-$A491)</f>
        <v/>
      </c>
    </row>
    <row r="492">
      <c r="A492">
        <f>IF($B492="","",RANK($C492,$C$2:$C$500))</f>
        <v/>
      </c>
      <c r="B492">
        <f>IF(Players!$A492="","",Players!$A492)</f>
        <v/>
      </c>
      <c r="C492" s="5">
        <f>IF($B492="","",SUM(D492:H492))</f>
        <v/>
      </c>
      <c r="D492">
        <f>IF($B492="","",SUMIFS('Web Feed'!$O$2:$O$3015,'Web Feed'!$B$2:$B$3015,Points!$A$2,'Web Feed'!$F$2:$F$3015,$B492)+SUMIFS('Web Feed'!$O$2:$O$3015,'Web Feed'!$B$2:$B$3015,Points!$A$2,'Web Feed'!$G$2:$G$3015,$B492)+SUMIFS('Web Feed'!$O$2:$O$3015,'Web Feed'!$B$2:$B$3015,Points!$A$2,'Web Feed'!$H$2:$H$3015,$B492)+SUMIFS('Web Feed'!$O$2:$O$3015,'Web Feed'!$B$2:$B$3015,Points!$A$2,'Web Feed'!$I$2:$I$3015,$B492))</f>
        <v/>
      </c>
      <c r="E492">
        <f>IF($B492="","",SUMIFS('Web Feed'!$O$2:$O$3015,'Web Feed'!$B$2:$B$3015,Points!$A$3,'Web Feed'!$F$2:$F$3015,$B492)+SUMIFS('Web Feed'!$O$2:$O$3015,'Web Feed'!$B$2:$B$3015,Points!$A$3,'Web Feed'!$G$2:$G$3015,$B492)+SUMIFS('Web Feed'!$O$2:$O$3015,'Web Feed'!$B$2:$B$3015,Points!$A$3,'Web Feed'!$H$2:$H$3015,$B492)+SUMIFS('Web Feed'!$O$2:$O$3015,'Web Feed'!$B$2:$B$3015,Points!$A$3,'Web Feed'!$I$2:$I$3015,$B492))</f>
        <v/>
      </c>
      <c r="F492">
        <f>IF($B492="","",SUMIFS('Web Feed'!$O$2:$O$3015,'Web Feed'!$B$2:$B$3015,Points!$A$4,'Web Feed'!$F$2:$F$3015,$B492)+SUMIFS('Web Feed'!$O$2:$O$3015,'Web Feed'!$B$2:$B$3015,Points!$A$4,'Web Feed'!$G$2:$G$3015,$B492)+SUMIFS('Web Feed'!$O$2:$O$3015,'Web Feed'!$B$2:$B$3015,Points!$A$4,'Web Feed'!$H$2:$H$3015,$B492)+SUMIFS('Web Feed'!$O$2:$O$3015,'Web Feed'!$B$2:$B$3015,Points!$A$4,'Web Feed'!$I$2:$I$3015,$B492))</f>
        <v/>
      </c>
      <c r="G492">
        <f>IF($B492="","",SUMIFS('Web Feed'!$O$2:$O$3015,'Web Feed'!$B$2:$B$3015,Points!$A$5,'Web Feed'!$F$2:$F$3015,$B492)+SUMIFS('Web Feed'!$O$2:$O$3015,'Web Feed'!$B$2:$B$3015,Points!$A$5,'Web Feed'!$G$2:$G$3015,$B492)+SUMIFS('Web Feed'!$O$2:$O$3015,'Web Feed'!$B$2:$B$3015,Points!$A$5,'Web Feed'!$H$2:$H$3015,$B492)+SUMIFS('Web Feed'!$O$2:$O$3015,'Web Feed'!$B$2:$B$3015,Points!$A$5,'Web Feed'!$I$2:$I$3015,$B492))</f>
        <v/>
      </c>
      <c r="H492">
        <f>IF($B492="","",SUMIFS('Web Feed'!$O$2:$O$3015,'Web Feed'!$B$2:$B$3015,Points!$A$6,'Web Feed'!$F$2:$F$3015,$B492)+SUMIFS('Web Feed'!$O$2:$O$3015,'Web Feed'!$B$2:$B$3015,Points!$A$6,'Web Feed'!$G$2:$G$3015,$B492)+SUMIFS('Web Feed'!$O$2:$O$3015,'Web Feed'!$B$2:$B$3015,Points!$A$6,'Web Feed'!$H$2:$H$3015,$B492)+SUMIFS('Web Feed'!$O$2:$O$3015,'Web Feed'!$B$2:$B$3015,Points!$A$6,'Web Feed'!$I$2:$I$3015,$B492))</f>
        <v/>
      </c>
      <c r="I492">
        <f>IF($B492="","",COUNTIFS('Web Feed'!$B$2:$B$3015,"OHW",'Web Feed'!$F$2:$F$3015,$B492))</f>
        <v/>
      </c>
      <c r="J492">
        <f>IF($B492="","",IFERROR(INDEX('Last Week'!$A$2:$A$301,MATCH($B492,'Last Week'!$B$2:$B$301,0)),""))</f>
        <v/>
      </c>
      <c r="K492">
        <f>IF(OR($B492="",$J492=""),"",$J492-$A492)</f>
        <v/>
      </c>
    </row>
    <row r="493">
      <c r="A493">
        <f>IF($B493="","",RANK($C493,$C$2:$C$500))</f>
        <v/>
      </c>
      <c r="B493">
        <f>IF(Players!$A493="","",Players!$A493)</f>
        <v/>
      </c>
      <c r="C493" s="5">
        <f>IF($B493="","",SUM(D493:H493))</f>
        <v/>
      </c>
      <c r="D493">
        <f>IF($B493="","",SUMIFS('Web Feed'!$O$2:$O$3015,'Web Feed'!$B$2:$B$3015,Points!$A$2,'Web Feed'!$F$2:$F$3015,$B493)+SUMIFS('Web Feed'!$O$2:$O$3015,'Web Feed'!$B$2:$B$3015,Points!$A$2,'Web Feed'!$G$2:$G$3015,$B493)+SUMIFS('Web Feed'!$O$2:$O$3015,'Web Feed'!$B$2:$B$3015,Points!$A$2,'Web Feed'!$H$2:$H$3015,$B493)+SUMIFS('Web Feed'!$O$2:$O$3015,'Web Feed'!$B$2:$B$3015,Points!$A$2,'Web Feed'!$I$2:$I$3015,$B493))</f>
        <v/>
      </c>
      <c r="E493">
        <f>IF($B493="","",SUMIFS('Web Feed'!$O$2:$O$3015,'Web Feed'!$B$2:$B$3015,Points!$A$3,'Web Feed'!$F$2:$F$3015,$B493)+SUMIFS('Web Feed'!$O$2:$O$3015,'Web Feed'!$B$2:$B$3015,Points!$A$3,'Web Feed'!$G$2:$G$3015,$B493)+SUMIFS('Web Feed'!$O$2:$O$3015,'Web Feed'!$B$2:$B$3015,Points!$A$3,'Web Feed'!$H$2:$H$3015,$B493)+SUMIFS('Web Feed'!$O$2:$O$3015,'Web Feed'!$B$2:$B$3015,Points!$A$3,'Web Feed'!$I$2:$I$3015,$B493))</f>
        <v/>
      </c>
      <c r="F493">
        <f>IF($B493="","",SUMIFS('Web Feed'!$O$2:$O$3015,'Web Feed'!$B$2:$B$3015,Points!$A$4,'Web Feed'!$F$2:$F$3015,$B493)+SUMIFS('Web Feed'!$O$2:$O$3015,'Web Feed'!$B$2:$B$3015,Points!$A$4,'Web Feed'!$G$2:$G$3015,$B493)+SUMIFS('Web Feed'!$O$2:$O$3015,'Web Feed'!$B$2:$B$3015,Points!$A$4,'Web Feed'!$H$2:$H$3015,$B493)+SUMIFS('Web Feed'!$O$2:$O$3015,'Web Feed'!$B$2:$B$3015,Points!$A$4,'Web Feed'!$I$2:$I$3015,$B493))</f>
        <v/>
      </c>
      <c r="G493">
        <f>IF($B493="","",SUMIFS('Web Feed'!$O$2:$O$3015,'Web Feed'!$B$2:$B$3015,Points!$A$5,'Web Feed'!$F$2:$F$3015,$B493)+SUMIFS('Web Feed'!$O$2:$O$3015,'Web Feed'!$B$2:$B$3015,Points!$A$5,'Web Feed'!$G$2:$G$3015,$B493)+SUMIFS('Web Feed'!$O$2:$O$3015,'Web Feed'!$B$2:$B$3015,Points!$A$5,'Web Feed'!$H$2:$H$3015,$B493)+SUMIFS('Web Feed'!$O$2:$O$3015,'Web Feed'!$B$2:$B$3015,Points!$A$5,'Web Feed'!$I$2:$I$3015,$B493))</f>
        <v/>
      </c>
      <c r="H493">
        <f>IF($B493="","",SUMIFS('Web Feed'!$O$2:$O$3015,'Web Feed'!$B$2:$B$3015,Points!$A$6,'Web Feed'!$F$2:$F$3015,$B493)+SUMIFS('Web Feed'!$O$2:$O$3015,'Web Feed'!$B$2:$B$3015,Points!$A$6,'Web Feed'!$G$2:$G$3015,$B493)+SUMIFS('Web Feed'!$O$2:$O$3015,'Web Feed'!$B$2:$B$3015,Points!$A$6,'Web Feed'!$H$2:$H$3015,$B493)+SUMIFS('Web Feed'!$O$2:$O$3015,'Web Feed'!$B$2:$B$3015,Points!$A$6,'Web Feed'!$I$2:$I$3015,$B493))</f>
        <v/>
      </c>
      <c r="I493">
        <f>IF($B493="","",COUNTIFS('Web Feed'!$B$2:$B$3015,"OHW",'Web Feed'!$F$2:$F$3015,$B493))</f>
        <v/>
      </c>
      <c r="J493">
        <f>IF($B493="","",IFERROR(INDEX('Last Week'!$A$2:$A$301,MATCH($B493,'Last Week'!$B$2:$B$301,0)),""))</f>
        <v/>
      </c>
      <c r="K493">
        <f>IF(OR($B493="",$J493=""),"",$J493-$A493)</f>
        <v/>
      </c>
    </row>
    <row r="494">
      <c r="A494">
        <f>IF($B494="","",RANK($C494,$C$2:$C$500))</f>
        <v/>
      </c>
      <c r="B494">
        <f>IF(Players!$A494="","",Players!$A494)</f>
        <v/>
      </c>
      <c r="C494" s="5">
        <f>IF($B494="","",SUM(D494:H494))</f>
        <v/>
      </c>
      <c r="D494">
        <f>IF($B494="","",SUMIFS('Web Feed'!$O$2:$O$3015,'Web Feed'!$B$2:$B$3015,Points!$A$2,'Web Feed'!$F$2:$F$3015,$B494)+SUMIFS('Web Feed'!$O$2:$O$3015,'Web Feed'!$B$2:$B$3015,Points!$A$2,'Web Feed'!$G$2:$G$3015,$B494)+SUMIFS('Web Feed'!$O$2:$O$3015,'Web Feed'!$B$2:$B$3015,Points!$A$2,'Web Feed'!$H$2:$H$3015,$B494)+SUMIFS('Web Feed'!$O$2:$O$3015,'Web Feed'!$B$2:$B$3015,Points!$A$2,'Web Feed'!$I$2:$I$3015,$B494))</f>
        <v/>
      </c>
      <c r="E494">
        <f>IF($B494="","",SUMIFS('Web Feed'!$O$2:$O$3015,'Web Feed'!$B$2:$B$3015,Points!$A$3,'Web Feed'!$F$2:$F$3015,$B494)+SUMIFS('Web Feed'!$O$2:$O$3015,'Web Feed'!$B$2:$B$3015,Points!$A$3,'Web Feed'!$G$2:$G$3015,$B494)+SUMIFS('Web Feed'!$O$2:$O$3015,'Web Feed'!$B$2:$B$3015,Points!$A$3,'Web Feed'!$H$2:$H$3015,$B494)+SUMIFS('Web Feed'!$O$2:$O$3015,'Web Feed'!$B$2:$B$3015,Points!$A$3,'Web Feed'!$I$2:$I$3015,$B494))</f>
        <v/>
      </c>
      <c r="F494">
        <f>IF($B494="","",SUMIFS('Web Feed'!$O$2:$O$3015,'Web Feed'!$B$2:$B$3015,Points!$A$4,'Web Feed'!$F$2:$F$3015,$B494)+SUMIFS('Web Feed'!$O$2:$O$3015,'Web Feed'!$B$2:$B$3015,Points!$A$4,'Web Feed'!$G$2:$G$3015,$B494)+SUMIFS('Web Feed'!$O$2:$O$3015,'Web Feed'!$B$2:$B$3015,Points!$A$4,'Web Feed'!$H$2:$H$3015,$B494)+SUMIFS('Web Feed'!$O$2:$O$3015,'Web Feed'!$B$2:$B$3015,Points!$A$4,'Web Feed'!$I$2:$I$3015,$B494))</f>
        <v/>
      </c>
      <c r="G494">
        <f>IF($B494="","",SUMIFS('Web Feed'!$O$2:$O$3015,'Web Feed'!$B$2:$B$3015,Points!$A$5,'Web Feed'!$F$2:$F$3015,$B494)+SUMIFS('Web Feed'!$O$2:$O$3015,'Web Feed'!$B$2:$B$3015,Points!$A$5,'Web Feed'!$G$2:$G$3015,$B494)+SUMIFS('Web Feed'!$O$2:$O$3015,'Web Feed'!$B$2:$B$3015,Points!$A$5,'Web Feed'!$H$2:$H$3015,$B494)+SUMIFS('Web Feed'!$O$2:$O$3015,'Web Feed'!$B$2:$B$3015,Points!$A$5,'Web Feed'!$I$2:$I$3015,$B494))</f>
        <v/>
      </c>
      <c r="H494">
        <f>IF($B494="","",SUMIFS('Web Feed'!$O$2:$O$3015,'Web Feed'!$B$2:$B$3015,Points!$A$6,'Web Feed'!$F$2:$F$3015,$B494)+SUMIFS('Web Feed'!$O$2:$O$3015,'Web Feed'!$B$2:$B$3015,Points!$A$6,'Web Feed'!$G$2:$G$3015,$B494)+SUMIFS('Web Feed'!$O$2:$O$3015,'Web Feed'!$B$2:$B$3015,Points!$A$6,'Web Feed'!$H$2:$H$3015,$B494)+SUMIFS('Web Feed'!$O$2:$O$3015,'Web Feed'!$B$2:$B$3015,Points!$A$6,'Web Feed'!$I$2:$I$3015,$B494))</f>
        <v/>
      </c>
      <c r="I494">
        <f>IF($B494="","",COUNTIFS('Web Feed'!$B$2:$B$3015,"OHW",'Web Feed'!$F$2:$F$3015,$B494))</f>
        <v/>
      </c>
      <c r="J494">
        <f>IF($B494="","",IFERROR(INDEX('Last Week'!$A$2:$A$301,MATCH($B494,'Last Week'!$B$2:$B$301,0)),""))</f>
        <v/>
      </c>
      <c r="K494">
        <f>IF(OR($B494="",$J494=""),"",$J494-$A494)</f>
        <v/>
      </c>
    </row>
    <row r="495">
      <c r="A495">
        <f>IF($B495="","",RANK($C495,$C$2:$C$500))</f>
        <v/>
      </c>
      <c r="B495">
        <f>IF(Players!$A495="","",Players!$A495)</f>
        <v/>
      </c>
      <c r="C495" s="5">
        <f>IF($B495="","",SUM(D495:H495))</f>
        <v/>
      </c>
      <c r="D495">
        <f>IF($B495="","",SUMIFS('Web Feed'!$O$2:$O$3015,'Web Feed'!$B$2:$B$3015,Points!$A$2,'Web Feed'!$F$2:$F$3015,$B495)+SUMIFS('Web Feed'!$O$2:$O$3015,'Web Feed'!$B$2:$B$3015,Points!$A$2,'Web Feed'!$G$2:$G$3015,$B495)+SUMIFS('Web Feed'!$O$2:$O$3015,'Web Feed'!$B$2:$B$3015,Points!$A$2,'Web Feed'!$H$2:$H$3015,$B495)+SUMIFS('Web Feed'!$O$2:$O$3015,'Web Feed'!$B$2:$B$3015,Points!$A$2,'Web Feed'!$I$2:$I$3015,$B495))</f>
        <v/>
      </c>
      <c r="E495">
        <f>IF($B495="","",SUMIFS('Web Feed'!$O$2:$O$3015,'Web Feed'!$B$2:$B$3015,Points!$A$3,'Web Feed'!$F$2:$F$3015,$B495)+SUMIFS('Web Feed'!$O$2:$O$3015,'Web Feed'!$B$2:$B$3015,Points!$A$3,'Web Feed'!$G$2:$G$3015,$B495)+SUMIFS('Web Feed'!$O$2:$O$3015,'Web Feed'!$B$2:$B$3015,Points!$A$3,'Web Feed'!$H$2:$H$3015,$B495)+SUMIFS('Web Feed'!$O$2:$O$3015,'Web Feed'!$B$2:$B$3015,Points!$A$3,'Web Feed'!$I$2:$I$3015,$B495))</f>
        <v/>
      </c>
      <c r="F495">
        <f>IF($B495="","",SUMIFS('Web Feed'!$O$2:$O$3015,'Web Feed'!$B$2:$B$3015,Points!$A$4,'Web Feed'!$F$2:$F$3015,$B495)+SUMIFS('Web Feed'!$O$2:$O$3015,'Web Feed'!$B$2:$B$3015,Points!$A$4,'Web Feed'!$G$2:$G$3015,$B495)+SUMIFS('Web Feed'!$O$2:$O$3015,'Web Feed'!$B$2:$B$3015,Points!$A$4,'Web Feed'!$H$2:$H$3015,$B495)+SUMIFS('Web Feed'!$O$2:$O$3015,'Web Feed'!$B$2:$B$3015,Points!$A$4,'Web Feed'!$I$2:$I$3015,$B495))</f>
        <v/>
      </c>
      <c r="G495">
        <f>IF($B495="","",SUMIFS('Web Feed'!$O$2:$O$3015,'Web Feed'!$B$2:$B$3015,Points!$A$5,'Web Feed'!$F$2:$F$3015,$B495)+SUMIFS('Web Feed'!$O$2:$O$3015,'Web Feed'!$B$2:$B$3015,Points!$A$5,'Web Feed'!$G$2:$G$3015,$B495)+SUMIFS('Web Feed'!$O$2:$O$3015,'Web Feed'!$B$2:$B$3015,Points!$A$5,'Web Feed'!$H$2:$H$3015,$B495)+SUMIFS('Web Feed'!$O$2:$O$3015,'Web Feed'!$B$2:$B$3015,Points!$A$5,'Web Feed'!$I$2:$I$3015,$B495))</f>
        <v/>
      </c>
      <c r="H495">
        <f>IF($B495="","",SUMIFS('Web Feed'!$O$2:$O$3015,'Web Feed'!$B$2:$B$3015,Points!$A$6,'Web Feed'!$F$2:$F$3015,$B495)+SUMIFS('Web Feed'!$O$2:$O$3015,'Web Feed'!$B$2:$B$3015,Points!$A$6,'Web Feed'!$G$2:$G$3015,$B495)+SUMIFS('Web Feed'!$O$2:$O$3015,'Web Feed'!$B$2:$B$3015,Points!$A$6,'Web Feed'!$H$2:$H$3015,$B495)+SUMIFS('Web Feed'!$O$2:$O$3015,'Web Feed'!$B$2:$B$3015,Points!$A$6,'Web Feed'!$I$2:$I$3015,$B495))</f>
        <v/>
      </c>
      <c r="I495">
        <f>IF($B495="","",COUNTIFS('Web Feed'!$B$2:$B$3015,"OHW",'Web Feed'!$F$2:$F$3015,$B495))</f>
        <v/>
      </c>
      <c r="J495">
        <f>IF($B495="","",IFERROR(INDEX('Last Week'!$A$2:$A$301,MATCH($B495,'Last Week'!$B$2:$B$301,0)),""))</f>
        <v/>
      </c>
      <c r="K495">
        <f>IF(OR($B495="",$J495=""),"",$J495-$A495)</f>
        <v/>
      </c>
    </row>
    <row r="496">
      <c r="A496">
        <f>IF($B496="","",RANK($C496,$C$2:$C$500))</f>
        <v/>
      </c>
      <c r="B496">
        <f>IF(Players!$A496="","",Players!$A496)</f>
        <v/>
      </c>
      <c r="C496" s="5">
        <f>IF($B496="","",SUM(D496:H496))</f>
        <v/>
      </c>
      <c r="D496">
        <f>IF($B496="","",SUMIFS('Web Feed'!$O$2:$O$3015,'Web Feed'!$B$2:$B$3015,Points!$A$2,'Web Feed'!$F$2:$F$3015,$B496)+SUMIFS('Web Feed'!$O$2:$O$3015,'Web Feed'!$B$2:$B$3015,Points!$A$2,'Web Feed'!$G$2:$G$3015,$B496)+SUMIFS('Web Feed'!$O$2:$O$3015,'Web Feed'!$B$2:$B$3015,Points!$A$2,'Web Feed'!$H$2:$H$3015,$B496)+SUMIFS('Web Feed'!$O$2:$O$3015,'Web Feed'!$B$2:$B$3015,Points!$A$2,'Web Feed'!$I$2:$I$3015,$B496))</f>
        <v/>
      </c>
      <c r="E496">
        <f>IF($B496="","",SUMIFS('Web Feed'!$O$2:$O$3015,'Web Feed'!$B$2:$B$3015,Points!$A$3,'Web Feed'!$F$2:$F$3015,$B496)+SUMIFS('Web Feed'!$O$2:$O$3015,'Web Feed'!$B$2:$B$3015,Points!$A$3,'Web Feed'!$G$2:$G$3015,$B496)+SUMIFS('Web Feed'!$O$2:$O$3015,'Web Feed'!$B$2:$B$3015,Points!$A$3,'Web Feed'!$H$2:$H$3015,$B496)+SUMIFS('Web Feed'!$O$2:$O$3015,'Web Feed'!$B$2:$B$3015,Points!$A$3,'Web Feed'!$I$2:$I$3015,$B496))</f>
        <v/>
      </c>
      <c r="F496">
        <f>IF($B496="","",SUMIFS('Web Feed'!$O$2:$O$3015,'Web Feed'!$B$2:$B$3015,Points!$A$4,'Web Feed'!$F$2:$F$3015,$B496)+SUMIFS('Web Feed'!$O$2:$O$3015,'Web Feed'!$B$2:$B$3015,Points!$A$4,'Web Feed'!$G$2:$G$3015,$B496)+SUMIFS('Web Feed'!$O$2:$O$3015,'Web Feed'!$B$2:$B$3015,Points!$A$4,'Web Feed'!$H$2:$H$3015,$B496)+SUMIFS('Web Feed'!$O$2:$O$3015,'Web Feed'!$B$2:$B$3015,Points!$A$4,'Web Feed'!$I$2:$I$3015,$B496))</f>
        <v/>
      </c>
      <c r="G496">
        <f>IF($B496="","",SUMIFS('Web Feed'!$O$2:$O$3015,'Web Feed'!$B$2:$B$3015,Points!$A$5,'Web Feed'!$F$2:$F$3015,$B496)+SUMIFS('Web Feed'!$O$2:$O$3015,'Web Feed'!$B$2:$B$3015,Points!$A$5,'Web Feed'!$G$2:$G$3015,$B496)+SUMIFS('Web Feed'!$O$2:$O$3015,'Web Feed'!$B$2:$B$3015,Points!$A$5,'Web Feed'!$H$2:$H$3015,$B496)+SUMIFS('Web Feed'!$O$2:$O$3015,'Web Feed'!$B$2:$B$3015,Points!$A$5,'Web Feed'!$I$2:$I$3015,$B496))</f>
        <v/>
      </c>
      <c r="H496">
        <f>IF($B496="","",SUMIFS('Web Feed'!$O$2:$O$3015,'Web Feed'!$B$2:$B$3015,Points!$A$6,'Web Feed'!$F$2:$F$3015,$B496)+SUMIFS('Web Feed'!$O$2:$O$3015,'Web Feed'!$B$2:$B$3015,Points!$A$6,'Web Feed'!$G$2:$G$3015,$B496)+SUMIFS('Web Feed'!$O$2:$O$3015,'Web Feed'!$B$2:$B$3015,Points!$A$6,'Web Feed'!$H$2:$H$3015,$B496)+SUMIFS('Web Feed'!$O$2:$O$3015,'Web Feed'!$B$2:$B$3015,Points!$A$6,'Web Feed'!$I$2:$I$3015,$B496))</f>
        <v/>
      </c>
      <c r="I496">
        <f>IF($B496="","",COUNTIFS('Web Feed'!$B$2:$B$3015,"OHW",'Web Feed'!$F$2:$F$3015,$B496))</f>
        <v/>
      </c>
      <c r="J496">
        <f>IF($B496="","",IFERROR(INDEX('Last Week'!$A$2:$A$301,MATCH($B496,'Last Week'!$B$2:$B$301,0)),""))</f>
        <v/>
      </c>
      <c r="K496">
        <f>IF(OR($B496="",$J496=""),"",$J496-$A496)</f>
        <v/>
      </c>
    </row>
    <row r="497">
      <c r="A497">
        <f>IF($B497="","",RANK($C497,$C$2:$C$500))</f>
        <v/>
      </c>
      <c r="B497">
        <f>IF(Players!$A497="","",Players!$A497)</f>
        <v/>
      </c>
      <c r="C497" s="5">
        <f>IF($B497="","",SUM(D497:H497))</f>
        <v/>
      </c>
      <c r="D497">
        <f>IF($B497="","",SUMIFS('Web Feed'!$O$2:$O$3015,'Web Feed'!$B$2:$B$3015,Points!$A$2,'Web Feed'!$F$2:$F$3015,$B497)+SUMIFS('Web Feed'!$O$2:$O$3015,'Web Feed'!$B$2:$B$3015,Points!$A$2,'Web Feed'!$G$2:$G$3015,$B497)+SUMIFS('Web Feed'!$O$2:$O$3015,'Web Feed'!$B$2:$B$3015,Points!$A$2,'Web Feed'!$H$2:$H$3015,$B497)+SUMIFS('Web Feed'!$O$2:$O$3015,'Web Feed'!$B$2:$B$3015,Points!$A$2,'Web Feed'!$I$2:$I$3015,$B497))</f>
        <v/>
      </c>
      <c r="E497">
        <f>IF($B497="","",SUMIFS('Web Feed'!$O$2:$O$3015,'Web Feed'!$B$2:$B$3015,Points!$A$3,'Web Feed'!$F$2:$F$3015,$B497)+SUMIFS('Web Feed'!$O$2:$O$3015,'Web Feed'!$B$2:$B$3015,Points!$A$3,'Web Feed'!$G$2:$G$3015,$B497)+SUMIFS('Web Feed'!$O$2:$O$3015,'Web Feed'!$B$2:$B$3015,Points!$A$3,'Web Feed'!$H$2:$H$3015,$B497)+SUMIFS('Web Feed'!$O$2:$O$3015,'Web Feed'!$B$2:$B$3015,Points!$A$3,'Web Feed'!$I$2:$I$3015,$B497))</f>
        <v/>
      </c>
      <c r="F497">
        <f>IF($B497="","",SUMIFS('Web Feed'!$O$2:$O$3015,'Web Feed'!$B$2:$B$3015,Points!$A$4,'Web Feed'!$F$2:$F$3015,$B497)+SUMIFS('Web Feed'!$O$2:$O$3015,'Web Feed'!$B$2:$B$3015,Points!$A$4,'Web Feed'!$G$2:$G$3015,$B497)+SUMIFS('Web Feed'!$O$2:$O$3015,'Web Feed'!$B$2:$B$3015,Points!$A$4,'Web Feed'!$H$2:$H$3015,$B497)+SUMIFS('Web Feed'!$O$2:$O$3015,'Web Feed'!$B$2:$B$3015,Points!$A$4,'Web Feed'!$I$2:$I$3015,$B497))</f>
        <v/>
      </c>
      <c r="G497">
        <f>IF($B497="","",SUMIFS('Web Feed'!$O$2:$O$3015,'Web Feed'!$B$2:$B$3015,Points!$A$5,'Web Feed'!$F$2:$F$3015,$B497)+SUMIFS('Web Feed'!$O$2:$O$3015,'Web Feed'!$B$2:$B$3015,Points!$A$5,'Web Feed'!$G$2:$G$3015,$B497)+SUMIFS('Web Feed'!$O$2:$O$3015,'Web Feed'!$B$2:$B$3015,Points!$A$5,'Web Feed'!$H$2:$H$3015,$B497)+SUMIFS('Web Feed'!$O$2:$O$3015,'Web Feed'!$B$2:$B$3015,Points!$A$5,'Web Feed'!$I$2:$I$3015,$B497))</f>
        <v/>
      </c>
      <c r="H497">
        <f>IF($B497="","",SUMIFS('Web Feed'!$O$2:$O$3015,'Web Feed'!$B$2:$B$3015,Points!$A$6,'Web Feed'!$F$2:$F$3015,$B497)+SUMIFS('Web Feed'!$O$2:$O$3015,'Web Feed'!$B$2:$B$3015,Points!$A$6,'Web Feed'!$G$2:$G$3015,$B497)+SUMIFS('Web Feed'!$O$2:$O$3015,'Web Feed'!$B$2:$B$3015,Points!$A$6,'Web Feed'!$H$2:$H$3015,$B497)+SUMIFS('Web Feed'!$O$2:$O$3015,'Web Feed'!$B$2:$B$3015,Points!$A$6,'Web Feed'!$I$2:$I$3015,$B497))</f>
        <v/>
      </c>
      <c r="I497">
        <f>IF($B497="","",COUNTIFS('Web Feed'!$B$2:$B$3015,"OHW",'Web Feed'!$F$2:$F$3015,$B497))</f>
        <v/>
      </c>
      <c r="J497">
        <f>IF($B497="","",IFERROR(INDEX('Last Week'!$A$2:$A$301,MATCH($B497,'Last Week'!$B$2:$B$301,0)),""))</f>
        <v/>
      </c>
      <c r="K497">
        <f>IF(OR($B497="",$J497=""),"",$J497-$A497)</f>
        <v/>
      </c>
    </row>
    <row r="498">
      <c r="A498">
        <f>IF($B498="","",RANK($C498,$C$2:$C$500))</f>
        <v/>
      </c>
      <c r="B498">
        <f>IF(Players!$A498="","",Players!$A498)</f>
        <v/>
      </c>
      <c r="C498" s="5">
        <f>IF($B498="","",SUM(D498:H498))</f>
        <v/>
      </c>
      <c r="D498">
        <f>IF($B498="","",SUMIFS('Web Feed'!$O$2:$O$3015,'Web Feed'!$B$2:$B$3015,Points!$A$2,'Web Feed'!$F$2:$F$3015,$B498)+SUMIFS('Web Feed'!$O$2:$O$3015,'Web Feed'!$B$2:$B$3015,Points!$A$2,'Web Feed'!$G$2:$G$3015,$B498)+SUMIFS('Web Feed'!$O$2:$O$3015,'Web Feed'!$B$2:$B$3015,Points!$A$2,'Web Feed'!$H$2:$H$3015,$B498)+SUMIFS('Web Feed'!$O$2:$O$3015,'Web Feed'!$B$2:$B$3015,Points!$A$2,'Web Feed'!$I$2:$I$3015,$B498))</f>
        <v/>
      </c>
      <c r="E498">
        <f>IF($B498="","",SUMIFS('Web Feed'!$O$2:$O$3015,'Web Feed'!$B$2:$B$3015,Points!$A$3,'Web Feed'!$F$2:$F$3015,$B498)+SUMIFS('Web Feed'!$O$2:$O$3015,'Web Feed'!$B$2:$B$3015,Points!$A$3,'Web Feed'!$G$2:$G$3015,$B498)+SUMIFS('Web Feed'!$O$2:$O$3015,'Web Feed'!$B$2:$B$3015,Points!$A$3,'Web Feed'!$H$2:$H$3015,$B498)+SUMIFS('Web Feed'!$O$2:$O$3015,'Web Feed'!$B$2:$B$3015,Points!$A$3,'Web Feed'!$I$2:$I$3015,$B498))</f>
        <v/>
      </c>
      <c r="F498">
        <f>IF($B498="","",SUMIFS('Web Feed'!$O$2:$O$3015,'Web Feed'!$B$2:$B$3015,Points!$A$4,'Web Feed'!$F$2:$F$3015,$B498)+SUMIFS('Web Feed'!$O$2:$O$3015,'Web Feed'!$B$2:$B$3015,Points!$A$4,'Web Feed'!$G$2:$G$3015,$B498)+SUMIFS('Web Feed'!$O$2:$O$3015,'Web Feed'!$B$2:$B$3015,Points!$A$4,'Web Feed'!$H$2:$H$3015,$B498)+SUMIFS('Web Feed'!$O$2:$O$3015,'Web Feed'!$B$2:$B$3015,Points!$A$4,'Web Feed'!$I$2:$I$3015,$B498))</f>
        <v/>
      </c>
      <c r="G498">
        <f>IF($B498="","",SUMIFS('Web Feed'!$O$2:$O$3015,'Web Feed'!$B$2:$B$3015,Points!$A$5,'Web Feed'!$F$2:$F$3015,$B498)+SUMIFS('Web Feed'!$O$2:$O$3015,'Web Feed'!$B$2:$B$3015,Points!$A$5,'Web Feed'!$G$2:$G$3015,$B498)+SUMIFS('Web Feed'!$O$2:$O$3015,'Web Feed'!$B$2:$B$3015,Points!$A$5,'Web Feed'!$H$2:$H$3015,$B498)+SUMIFS('Web Feed'!$O$2:$O$3015,'Web Feed'!$B$2:$B$3015,Points!$A$5,'Web Feed'!$I$2:$I$3015,$B498))</f>
        <v/>
      </c>
      <c r="H498">
        <f>IF($B498="","",SUMIFS('Web Feed'!$O$2:$O$3015,'Web Feed'!$B$2:$B$3015,Points!$A$6,'Web Feed'!$F$2:$F$3015,$B498)+SUMIFS('Web Feed'!$O$2:$O$3015,'Web Feed'!$B$2:$B$3015,Points!$A$6,'Web Feed'!$G$2:$G$3015,$B498)+SUMIFS('Web Feed'!$O$2:$O$3015,'Web Feed'!$B$2:$B$3015,Points!$A$6,'Web Feed'!$H$2:$H$3015,$B498)+SUMIFS('Web Feed'!$O$2:$O$3015,'Web Feed'!$B$2:$B$3015,Points!$A$6,'Web Feed'!$I$2:$I$3015,$B498))</f>
        <v/>
      </c>
      <c r="I498">
        <f>IF($B498="","",COUNTIFS('Web Feed'!$B$2:$B$3015,"OHW",'Web Feed'!$F$2:$F$3015,$B498))</f>
        <v/>
      </c>
      <c r="J498">
        <f>IF($B498="","",IFERROR(INDEX('Last Week'!$A$2:$A$301,MATCH($B498,'Last Week'!$B$2:$B$301,0)),""))</f>
        <v/>
      </c>
      <c r="K498">
        <f>IF(OR($B498="",$J498=""),"",$J498-$A498)</f>
        <v/>
      </c>
    </row>
    <row r="499">
      <c r="A499">
        <f>IF($B499="","",RANK($C499,$C$2:$C$500))</f>
        <v/>
      </c>
      <c r="B499">
        <f>IF(Players!$A499="","",Players!$A499)</f>
        <v/>
      </c>
      <c r="C499" s="5">
        <f>IF($B499="","",SUM(D499:H499))</f>
        <v/>
      </c>
      <c r="D499">
        <f>IF($B499="","",SUMIFS('Web Feed'!$O$2:$O$3015,'Web Feed'!$B$2:$B$3015,Points!$A$2,'Web Feed'!$F$2:$F$3015,$B499)+SUMIFS('Web Feed'!$O$2:$O$3015,'Web Feed'!$B$2:$B$3015,Points!$A$2,'Web Feed'!$G$2:$G$3015,$B499)+SUMIFS('Web Feed'!$O$2:$O$3015,'Web Feed'!$B$2:$B$3015,Points!$A$2,'Web Feed'!$H$2:$H$3015,$B499)+SUMIFS('Web Feed'!$O$2:$O$3015,'Web Feed'!$B$2:$B$3015,Points!$A$2,'Web Feed'!$I$2:$I$3015,$B499))</f>
        <v/>
      </c>
      <c r="E499">
        <f>IF($B499="","",SUMIFS('Web Feed'!$O$2:$O$3015,'Web Feed'!$B$2:$B$3015,Points!$A$3,'Web Feed'!$F$2:$F$3015,$B499)+SUMIFS('Web Feed'!$O$2:$O$3015,'Web Feed'!$B$2:$B$3015,Points!$A$3,'Web Feed'!$G$2:$G$3015,$B499)+SUMIFS('Web Feed'!$O$2:$O$3015,'Web Feed'!$B$2:$B$3015,Points!$A$3,'Web Feed'!$H$2:$H$3015,$B499)+SUMIFS('Web Feed'!$O$2:$O$3015,'Web Feed'!$B$2:$B$3015,Points!$A$3,'Web Feed'!$I$2:$I$3015,$B499))</f>
        <v/>
      </c>
      <c r="F499">
        <f>IF($B499="","",SUMIFS('Web Feed'!$O$2:$O$3015,'Web Feed'!$B$2:$B$3015,Points!$A$4,'Web Feed'!$F$2:$F$3015,$B499)+SUMIFS('Web Feed'!$O$2:$O$3015,'Web Feed'!$B$2:$B$3015,Points!$A$4,'Web Feed'!$G$2:$G$3015,$B499)+SUMIFS('Web Feed'!$O$2:$O$3015,'Web Feed'!$B$2:$B$3015,Points!$A$4,'Web Feed'!$H$2:$H$3015,$B499)+SUMIFS('Web Feed'!$O$2:$O$3015,'Web Feed'!$B$2:$B$3015,Points!$A$4,'Web Feed'!$I$2:$I$3015,$B499))</f>
        <v/>
      </c>
      <c r="G499">
        <f>IF($B499="","",SUMIFS('Web Feed'!$O$2:$O$3015,'Web Feed'!$B$2:$B$3015,Points!$A$5,'Web Feed'!$F$2:$F$3015,$B499)+SUMIFS('Web Feed'!$O$2:$O$3015,'Web Feed'!$B$2:$B$3015,Points!$A$5,'Web Feed'!$G$2:$G$3015,$B499)+SUMIFS('Web Feed'!$O$2:$O$3015,'Web Feed'!$B$2:$B$3015,Points!$A$5,'Web Feed'!$H$2:$H$3015,$B499)+SUMIFS('Web Feed'!$O$2:$O$3015,'Web Feed'!$B$2:$B$3015,Points!$A$5,'Web Feed'!$I$2:$I$3015,$B499))</f>
        <v/>
      </c>
      <c r="H499">
        <f>IF($B499="","",SUMIFS('Web Feed'!$O$2:$O$3015,'Web Feed'!$B$2:$B$3015,Points!$A$6,'Web Feed'!$F$2:$F$3015,$B499)+SUMIFS('Web Feed'!$O$2:$O$3015,'Web Feed'!$B$2:$B$3015,Points!$A$6,'Web Feed'!$G$2:$G$3015,$B499)+SUMIFS('Web Feed'!$O$2:$O$3015,'Web Feed'!$B$2:$B$3015,Points!$A$6,'Web Feed'!$H$2:$H$3015,$B499)+SUMIFS('Web Feed'!$O$2:$O$3015,'Web Feed'!$B$2:$B$3015,Points!$A$6,'Web Feed'!$I$2:$I$3015,$B499))</f>
        <v/>
      </c>
      <c r="I499">
        <f>IF($B499="","",COUNTIFS('Web Feed'!$B$2:$B$3015,"OHW",'Web Feed'!$F$2:$F$3015,$B499))</f>
        <v/>
      </c>
      <c r="J499">
        <f>IF($B499="","",IFERROR(INDEX('Last Week'!$A$2:$A$301,MATCH($B499,'Last Week'!$B$2:$B$301,0)),""))</f>
        <v/>
      </c>
      <c r="K499">
        <f>IF(OR($B499="",$J499=""),"",$J499-$A499)</f>
        <v/>
      </c>
    </row>
    <row r="500">
      <c r="A500">
        <f>IF($B500="","",RANK($C500,$C$2:$C$500))</f>
        <v/>
      </c>
      <c r="B500">
        <f>IF(Players!$A500="","",Players!$A500)</f>
        <v/>
      </c>
      <c r="C500" s="5">
        <f>IF($B500="","",SUM(D500:H500))</f>
        <v/>
      </c>
      <c r="D500">
        <f>IF($B500="","",SUMIFS('Web Feed'!$O$2:$O$3015,'Web Feed'!$B$2:$B$3015,Points!$A$2,'Web Feed'!$F$2:$F$3015,$B500)+SUMIFS('Web Feed'!$O$2:$O$3015,'Web Feed'!$B$2:$B$3015,Points!$A$2,'Web Feed'!$G$2:$G$3015,$B500)+SUMIFS('Web Feed'!$O$2:$O$3015,'Web Feed'!$B$2:$B$3015,Points!$A$2,'Web Feed'!$H$2:$H$3015,$B500)+SUMIFS('Web Feed'!$O$2:$O$3015,'Web Feed'!$B$2:$B$3015,Points!$A$2,'Web Feed'!$I$2:$I$3015,$B500))</f>
        <v/>
      </c>
      <c r="E500">
        <f>IF($B500="","",SUMIFS('Web Feed'!$O$2:$O$3015,'Web Feed'!$B$2:$B$3015,Points!$A$3,'Web Feed'!$F$2:$F$3015,$B500)+SUMIFS('Web Feed'!$O$2:$O$3015,'Web Feed'!$B$2:$B$3015,Points!$A$3,'Web Feed'!$G$2:$G$3015,$B500)+SUMIFS('Web Feed'!$O$2:$O$3015,'Web Feed'!$B$2:$B$3015,Points!$A$3,'Web Feed'!$H$2:$H$3015,$B500)+SUMIFS('Web Feed'!$O$2:$O$3015,'Web Feed'!$B$2:$B$3015,Points!$A$3,'Web Feed'!$I$2:$I$3015,$B500))</f>
        <v/>
      </c>
      <c r="F500">
        <f>IF($B500="","",SUMIFS('Web Feed'!$O$2:$O$3015,'Web Feed'!$B$2:$B$3015,Points!$A$4,'Web Feed'!$F$2:$F$3015,$B500)+SUMIFS('Web Feed'!$O$2:$O$3015,'Web Feed'!$B$2:$B$3015,Points!$A$4,'Web Feed'!$G$2:$G$3015,$B500)+SUMIFS('Web Feed'!$O$2:$O$3015,'Web Feed'!$B$2:$B$3015,Points!$A$4,'Web Feed'!$H$2:$H$3015,$B500)+SUMIFS('Web Feed'!$O$2:$O$3015,'Web Feed'!$B$2:$B$3015,Points!$A$4,'Web Feed'!$I$2:$I$3015,$B500))</f>
        <v/>
      </c>
      <c r="G500">
        <f>IF($B500="","",SUMIFS('Web Feed'!$O$2:$O$3015,'Web Feed'!$B$2:$B$3015,Points!$A$5,'Web Feed'!$F$2:$F$3015,$B500)+SUMIFS('Web Feed'!$O$2:$O$3015,'Web Feed'!$B$2:$B$3015,Points!$A$5,'Web Feed'!$G$2:$G$3015,$B500)+SUMIFS('Web Feed'!$O$2:$O$3015,'Web Feed'!$B$2:$B$3015,Points!$A$5,'Web Feed'!$H$2:$H$3015,$B500)+SUMIFS('Web Feed'!$O$2:$O$3015,'Web Feed'!$B$2:$B$3015,Points!$A$5,'Web Feed'!$I$2:$I$3015,$B500))</f>
        <v/>
      </c>
      <c r="H500">
        <f>IF($B500="","",SUMIFS('Web Feed'!$O$2:$O$3015,'Web Feed'!$B$2:$B$3015,Points!$A$6,'Web Feed'!$F$2:$F$3015,$B500)+SUMIFS('Web Feed'!$O$2:$O$3015,'Web Feed'!$B$2:$B$3015,Points!$A$6,'Web Feed'!$G$2:$G$3015,$B500)+SUMIFS('Web Feed'!$O$2:$O$3015,'Web Feed'!$B$2:$B$3015,Points!$A$6,'Web Feed'!$H$2:$H$3015,$B500)+SUMIFS('Web Feed'!$O$2:$O$3015,'Web Feed'!$B$2:$B$3015,Points!$A$6,'Web Feed'!$I$2:$I$3015,$B500))</f>
        <v/>
      </c>
      <c r="I500">
        <f>IF($B500="","",COUNTIFS('Web Feed'!$B$2:$B$3015,"OHW",'Web Feed'!$F$2:$F$3015,$B500))</f>
        <v/>
      </c>
      <c r="J500">
        <f>IF($B500="","",IFERROR(INDEX('Last Week'!$A$2:$A$301,MATCH($B500,'Last Week'!$B$2:$B$301,0)),""))</f>
        <v/>
      </c>
      <c r="K500">
        <f>IF(OR($B500="",$J500=""),"",$J500-$A500)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10" customWidth="1" min="3" max="3"/>
  </cols>
  <sheetData>
    <row r="1" ht="30" customHeight="1">
      <c r="A1" s="4" t="inlineStr">
        <is>
          <t>Rank</t>
        </is>
      </c>
      <c r="B1" s="4" t="inlineStr">
        <is>
          <t>Player</t>
        </is>
      </c>
      <c r="C1" s="4" t="inlineStr">
        <is>
          <t>Cup Total</t>
        </is>
      </c>
      <c r="E1" s="6" t="inlineStr">
        <is>
          <t>Filled by the Star City Cup script when a new OHW week starts. No need to edit.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s>
  <sheetData>
    <row r="1" ht="30" customHeight="1">
      <c r="A1" s="4" t="inlineStr">
        <is>
          <t>Player</t>
        </is>
      </c>
      <c r="B1" s="4" t="inlineStr">
        <is>
          <t>Division (Open or Senior)</t>
        </is>
      </c>
    </row>
  </sheetData>
  <dataValidations count="1">
    <dataValidation sqref="B2:B500" showDropDown="0" showInputMessage="0" showErrorMessage="1" allowBlank="1" errorTitle="Not on the list" error="Pick a value from the list." type="list">
      <formula1>"Open,Senior"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5"/>
  <sheetViews>
    <sheetView workbookViewId="0">
      <pane ySplit="5" topLeftCell="A6" activePane="bottomLeft" state="frozen"/>
      <selection pane="bottomLeft" activeCell="A1" sqref="A1"/>
    </sheetView>
  </sheetViews>
  <sheetFormatPr baseColWidth="8" defaultRowHeight="15"/>
  <cols>
    <col width="24" customWidth="1" min="1" max="1"/>
    <col width="16" customWidth="1" min="2" max="2"/>
    <col width="18" customWidth="1" min="3" max="3"/>
    <col width="11" customWidth="1" min="4" max="4"/>
    <col width="8" customWidth="1" min="5" max="5"/>
    <col width="9" customWidth="1" min="6" max="6"/>
    <col width="11" customWidth="1" min="7" max="7"/>
    <col width="40" customWidth="1" min="8" max="8"/>
  </cols>
  <sheetData>
    <row r="1">
      <c r="A1" s="7" t="inlineStr">
        <is>
          <t>Club Championship</t>
        </is>
      </c>
      <c r="D1" s="6" t="inlineStr">
        <is>
          <t>One row per player. Enter their best qualifying score; add the bracket result for the top 16.</t>
        </is>
      </c>
    </row>
    <row r="2">
      <c r="A2" s="5" t="inlineStr">
        <is>
          <t>Status</t>
        </is>
      </c>
      <c r="B2" s="8" t="inlineStr">
        <is>
          <t>Not started</t>
        </is>
      </c>
      <c r="C2" s="6" t="inlineStr">
        <is>
          <t>In progress: points are projected from the leaderboard. Final: points are official and the scores lock.</t>
        </is>
      </c>
    </row>
    <row r="3">
      <c r="A3" s="5" t="inlineStr">
        <is>
          <t>End date</t>
        </is>
      </c>
      <c r="B3" s="9" t="n"/>
    </row>
    <row r="5" ht="30" customHeight="1">
      <c r="A5" s="4" t="inlineStr">
        <is>
          <t>Player</t>
        </is>
      </c>
      <c r="B5" s="4" t="inlineStr">
        <is>
          <t>Best Qualifying Score (strokes)</t>
        </is>
      </c>
      <c r="C5" s="4" t="inlineStr">
        <is>
          <t>Bracket Result (top 16)</t>
        </is>
      </c>
      <c r="D5" s="10" t="inlineStr">
        <is>
          <t>Qualifying Rank</t>
        </is>
      </c>
      <c r="E5" s="10" t="inlineStr">
        <is>
          <t>Field</t>
        </is>
      </c>
      <c r="F5" s="10" t="inlineStr">
        <is>
          <t>Points</t>
        </is>
      </c>
      <c r="G5" s="10" t="inlineStr">
        <is>
          <t>Status</t>
        </is>
      </c>
      <c r="H5" s="10" t="inlineStr">
        <is>
          <t>Check</t>
        </is>
      </c>
    </row>
    <row r="6">
      <c r="D6" s="11">
        <f>IF(OR($A6="",NOT(ISNUMBER($B6))),"",COUNTIF($B$6:$B$155,"&lt;"&amp;$B6)+1)</f>
        <v/>
      </c>
      <c r="E6" s="11">
        <f>IF($A6="","",COUNT($B$6:$B$155))</f>
        <v/>
      </c>
      <c r="F6" s="11">
        <f>IF(OR($A6="",$B$2="Not started"),"",IF($C6&lt;&gt;"",IFERROR(VLOOKUP($C6,Points!$D$2:$E$6,2,FALSE),""),IF(NOT(ISNUMBER($B6)),"",IF($D6&lt;=16,Points!$E$6,IF($D6&lt;=32,Points!$H$2,Points!$H$3)))))</f>
        <v/>
      </c>
      <c r="G6" s="11">
        <f>IF($A6="","",IF($B$2="Final","Final",IF($B$2="In progress","Projected","Not started")))</f>
        <v/>
      </c>
      <c r="H6" s="11">
        <f>IF($A6="","",IF(COUNTIF(Players!$A$2:$A$500,$A6)=0,"Player is not on the Players tab",IF(COUNTIF($A$6:$A$155,$A6)&gt;1,"Player is listed twice",IF($B$2="Not started","Set Status to In progress to count points",IF(AND($C6="",NOT(ISNUMBER($B6))),"Enter a qualifying score",IF(AND($C6&lt;&gt;"",ISNUMBER($D6),N($D6)&gt;16),"Bracket result for a player ranked below 16th",IF(AND($B$2="Final",$C6="",N($D6)&lt;=16),"Top 16: enter the bracket result","OK")))))))</f>
        <v/>
      </c>
    </row>
    <row r="7">
      <c r="D7" s="11">
        <f>IF(OR($A7="",NOT(ISNUMBER($B7))),"",COUNTIF($B$6:$B$155,"&lt;"&amp;$B7)+1)</f>
        <v/>
      </c>
      <c r="E7" s="11">
        <f>IF($A7="","",COUNT($B$6:$B$155))</f>
        <v/>
      </c>
      <c r="F7" s="11">
        <f>IF(OR($A7="",$B$2="Not started"),"",IF($C7&lt;&gt;"",IFERROR(VLOOKUP($C7,Points!$D$2:$E$6,2,FALSE),""),IF(NOT(ISNUMBER($B7)),"",IF($D7&lt;=16,Points!$E$6,IF($D7&lt;=32,Points!$H$2,Points!$H$3)))))</f>
        <v/>
      </c>
      <c r="G7" s="11">
        <f>IF($A7="","",IF($B$2="Final","Final",IF($B$2="In progress","Projected","Not started")))</f>
        <v/>
      </c>
      <c r="H7" s="11">
        <f>IF($A7="","",IF(COUNTIF(Players!$A$2:$A$500,$A7)=0,"Player is not on the Players tab",IF(COUNTIF($A$6:$A$155,$A7)&gt;1,"Player is listed twice",IF($B$2="Not started","Set Status to In progress to count points",IF(AND($C7="",NOT(ISNUMBER($B7))),"Enter a qualifying score",IF(AND($C7&lt;&gt;"",ISNUMBER($D7),N($D7)&gt;16),"Bracket result for a player ranked below 16th",IF(AND($B$2="Final",$C7="",N($D7)&lt;=16),"Top 16: enter the bracket result","OK")))))))</f>
        <v/>
      </c>
    </row>
    <row r="8">
      <c r="D8" s="11">
        <f>IF(OR($A8="",NOT(ISNUMBER($B8))),"",COUNTIF($B$6:$B$155,"&lt;"&amp;$B8)+1)</f>
        <v/>
      </c>
      <c r="E8" s="11">
        <f>IF($A8="","",COUNT($B$6:$B$155))</f>
        <v/>
      </c>
      <c r="F8" s="11">
        <f>IF(OR($A8="",$B$2="Not started"),"",IF($C8&lt;&gt;"",IFERROR(VLOOKUP($C8,Points!$D$2:$E$6,2,FALSE),""),IF(NOT(ISNUMBER($B8)),"",IF($D8&lt;=16,Points!$E$6,IF($D8&lt;=32,Points!$H$2,Points!$H$3)))))</f>
        <v/>
      </c>
      <c r="G8" s="11">
        <f>IF($A8="","",IF($B$2="Final","Final",IF($B$2="In progress","Projected","Not started")))</f>
        <v/>
      </c>
      <c r="H8" s="11">
        <f>IF($A8="","",IF(COUNTIF(Players!$A$2:$A$500,$A8)=0,"Player is not on the Players tab",IF(COUNTIF($A$6:$A$155,$A8)&gt;1,"Player is listed twice",IF($B$2="Not started","Set Status to In progress to count points",IF(AND($C8="",NOT(ISNUMBER($B8))),"Enter a qualifying score",IF(AND($C8&lt;&gt;"",ISNUMBER($D8),N($D8)&gt;16),"Bracket result for a player ranked below 16th",IF(AND($B$2="Final",$C8="",N($D8)&lt;=16),"Top 16: enter the bracket result","OK")))))))</f>
        <v/>
      </c>
    </row>
    <row r="9">
      <c r="D9" s="11">
        <f>IF(OR($A9="",NOT(ISNUMBER($B9))),"",COUNTIF($B$6:$B$155,"&lt;"&amp;$B9)+1)</f>
        <v/>
      </c>
      <c r="E9" s="11">
        <f>IF($A9="","",COUNT($B$6:$B$155))</f>
        <v/>
      </c>
      <c r="F9" s="11">
        <f>IF(OR($A9="",$B$2="Not started"),"",IF($C9&lt;&gt;"",IFERROR(VLOOKUP($C9,Points!$D$2:$E$6,2,FALSE),""),IF(NOT(ISNUMBER($B9)),"",IF($D9&lt;=16,Points!$E$6,IF($D9&lt;=32,Points!$H$2,Points!$H$3)))))</f>
        <v/>
      </c>
      <c r="G9" s="11">
        <f>IF($A9="","",IF($B$2="Final","Final",IF($B$2="In progress","Projected","Not started")))</f>
        <v/>
      </c>
      <c r="H9" s="11">
        <f>IF($A9="","",IF(COUNTIF(Players!$A$2:$A$500,$A9)=0,"Player is not on the Players tab",IF(COUNTIF($A$6:$A$155,$A9)&gt;1,"Player is listed twice",IF($B$2="Not started","Set Status to In progress to count points",IF(AND($C9="",NOT(ISNUMBER($B9))),"Enter a qualifying score",IF(AND($C9&lt;&gt;"",ISNUMBER($D9),N($D9)&gt;16),"Bracket result for a player ranked below 16th",IF(AND($B$2="Final",$C9="",N($D9)&lt;=16),"Top 16: enter the bracket result","OK")))))))</f>
        <v/>
      </c>
    </row>
    <row r="10">
      <c r="D10" s="11">
        <f>IF(OR($A10="",NOT(ISNUMBER($B10))),"",COUNTIF($B$6:$B$155,"&lt;"&amp;$B10)+1)</f>
        <v/>
      </c>
      <c r="E10" s="11">
        <f>IF($A10="","",COUNT($B$6:$B$155))</f>
        <v/>
      </c>
      <c r="F10" s="11">
        <f>IF(OR($A10="",$B$2="Not started"),"",IF($C10&lt;&gt;"",IFERROR(VLOOKUP($C10,Points!$D$2:$E$6,2,FALSE),""),IF(NOT(ISNUMBER($B10)),"",IF($D10&lt;=16,Points!$E$6,IF($D10&lt;=32,Points!$H$2,Points!$H$3)))))</f>
        <v/>
      </c>
      <c r="G10" s="11">
        <f>IF($A10="","",IF($B$2="Final","Final",IF($B$2="In progress","Projected","Not started")))</f>
        <v/>
      </c>
      <c r="H10" s="11">
        <f>IF($A10="","",IF(COUNTIF(Players!$A$2:$A$500,$A10)=0,"Player is not on the Players tab",IF(COUNTIF($A$6:$A$155,$A10)&gt;1,"Player is listed twice",IF($B$2="Not started","Set Status to In progress to count points",IF(AND($C10="",NOT(ISNUMBER($B10))),"Enter a qualifying score",IF(AND($C10&lt;&gt;"",ISNUMBER($D10),N($D10)&gt;16),"Bracket result for a player ranked below 16th",IF(AND($B$2="Final",$C10="",N($D10)&lt;=16),"Top 16: enter the bracket result","OK")))))))</f>
        <v/>
      </c>
    </row>
    <row r="11">
      <c r="D11" s="11">
        <f>IF(OR($A11="",NOT(ISNUMBER($B11))),"",COUNTIF($B$6:$B$155,"&lt;"&amp;$B11)+1)</f>
        <v/>
      </c>
      <c r="E11" s="11">
        <f>IF($A11="","",COUNT($B$6:$B$155))</f>
        <v/>
      </c>
      <c r="F11" s="11">
        <f>IF(OR($A11="",$B$2="Not started"),"",IF($C11&lt;&gt;"",IFERROR(VLOOKUP($C11,Points!$D$2:$E$6,2,FALSE),""),IF(NOT(ISNUMBER($B11)),"",IF($D11&lt;=16,Points!$E$6,IF($D11&lt;=32,Points!$H$2,Points!$H$3)))))</f>
        <v/>
      </c>
      <c r="G11" s="11">
        <f>IF($A11="","",IF($B$2="Final","Final",IF($B$2="In progress","Projected","Not started")))</f>
        <v/>
      </c>
      <c r="H11" s="11">
        <f>IF($A11="","",IF(COUNTIF(Players!$A$2:$A$500,$A11)=0,"Player is not on the Players tab",IF(COUNTIF($A$6:$A$155,$A11)&gt;1,"Player is listed twice",IF($B$2="Not started","Set Status to In progress to count points",IF(AND($C11="",NOT(ISNUMBER($B11))),"Enter a qualifying score",IF(AND($C11&lt;&gt;"",ISNUMBER($D11),N($D11)&gt;16),"Bracket result for a player ranked below 16th",IF(AND($B$2="Final",$C11="",N($D11)&lt;=16),"Top 16: enter the bracket result","OK")))))))</f>
        <v/>
      </c>
    </row>
    <row r="12">
      <c r="D12" s="11">
        <f>IF(OR($A12="",NOT(ISNUMBER($B12))),"",COUNTIF($B$6:$B$155,"&lt;"&amp;$B12)+1)</f>
        <v/>
      </c>
      <c r="E12" s="11">
        <f>IF($A12="","",COUNT($B$6:$B$155))</f>
        <v/>
      </c>
      <c r="F12" s="11">
        <f>IF(OR($A12="",$B$2="Not started"),"",IF($C12&lt;&gt;"",IFERROR(VLOOKUP($C12,Points!$D$2:$E$6,2,FALSE),""),IF(NOT(ISNUMBER($B12)),"",IF($D12&lt;=16,Points!$E$6,IF($D12&lt;=32,Points!$H$2,Points!$H$3)))))</f>
        <v/>
      </c>
      <c r="G12" s="11">
        <f>IF($A12="","",IF($B$2="Final","Final",IF($B$2="In progress","Projected","Not started")))</f>
        <v/>
      </c>
      <c r="H12" s="11">
        <f>IF($A12="","",IF(COUNTIF(Players!$A$2:$A$500,$A12)=0,"Player is not on the Players tab",IF(COUNTIF($A$6:$A$155,$A12)&gt;1,"Player is listed twice",IF($B$2="Not started","Set Status to In progress to count points",IF(AND($C12="",NOT(ISNUMBER($B12))),"Enter a qualifying score",IF(AND($C12&lt;&gt;"",ISNUMBER($D12),N($D12)&gt;16),"Bracket result for a player ranked below 16th",IF(AND($B$2="Final",$C12="",N($D12)&lt;=16),"Top 16: enter the bracket result","OK")))))))</f>
        <v/>
      </c>
    </row>
    <row r="13">
      <c r="D13" s="11">
        <f>IF(OR($A13="",NOT(ISNUMBER($B13))),"",COUNTIF($B$6:$B$155,"&lt;"&amp;$B13)+1)</f>
        <v/>
      </c>
      <c r="E13" s="11">
        <f>IF($A13="","",COUNT($B$6:$B$155))</f>
        <v/>
      </c>
      <c r="F13" s="11">
        <f>IF(OR($A13="",$B$2="Not started"),"",IF($C13&lt;&gt;"",IFERROR(VLOOKUP($C13,Points!$D$2:$E$6,2,FALSE),""),IF(NOT(ISNUMBER($B13)),"",IF($D13&lt;=16,Points!$E$6,IF($D13&lt;=32,Points!$H$2,Points!$H$3)))))</f>
        <v/>
      </c>
      <c r="G13" s="11">
        <f>IF($A13="","",IF($B$2="Final","Final",IF($B$2="In progress","Projected","Not started")))</f>
        <v/>
      </c>
      <c r="H13" s="11">
        <f>IF($A13="","",IF(COUNTIF(Players!$A$2:$A$500,$A13)=0,"Player is not on the Players tab",IF(COUNTIF($A$6:$A$155,$A13)&gt;1,"Player is listed twice",IF($B$2="Not started","Set Status to In progress to count points",IF(AND($C13="",NOT(ISNUMBER($B13))),"Enter a qualifying score",IF(AND($C13&lt;&gt;"",ISNUMBER($D13),N($D13)&gt;16),"Bracket result for a player ranked below 16th",IF(AND($B$2="Final",$C13="",N($D13)&lt;=16),"Top 16: enter the bracket result","OK")))))))</f>
        <v/>
      </c>
    </row>
    <row r="14">
      <c r="D14" s="11">
        <f>IF(OR($A14="",NOT(ISNUMBER($B14))),"",COUNTIF($B$6:$B$155,"&lt;"&amp;$B14)+1)</f>
        <v/>
      </c>
      <c r="E14" s="11">
        <f>IF($A14="","",COUNT($B$6:$B$155))</f>
        <v/>
      </c>
      <c r="F14" s="11">
        <f>IF(OR($A14="",$B$2="Not started"),"",IF($C14&lt;&gt;"",IFERROR(VLOOKUP($C14,Points!$D$2:$E$6,2,FALSE),""),IF(NOT(ISNUMBER($B14)),"",IF($D14&lt;=16,Points!$E$6,IF($D14&lt;=32,Points!$H$2,Points!$H$3)))))</f>
        <v/>
      </c>
      <c r="G14" s="11">
        <f>IF($A14="","",IF($B$2="Final","Final",IF($B$2="In progress","Projected","Not started")))</f>
        <v/>
      </c>
      <c r="H14" s="11">
        <f>IF($A14="","",IF(COUNTIF(Players!$A$2:$A$500,$A14)=0,"Player is not on the Players tab",IF(COUNTIF($A$6:$A$155,$A14)&gt;1,"Player is listed twice",IF($B$2="Not started","Set Status to In progress to count points",IF(AND($C14="",NOT(ISNUMBER($B14))),"Enter a qualifying score",IF(AND($C14&lt;&gt;"",ISNUMBER($D14),N($D14)&gt;16),"Bracket result for a player ranked below 16th",IF(AND($B$2="Final",$C14="",N($D14)&lt;=16),"Top 16: enter the bracket result","OK")))))))</f>
        <v/>
      </c>
    </row>
    <row r="15">
      <c r="D15" s="11">
        <f>IF(OR($A15="",NOT(ISNUMBER($B15))),"",COUNTIF($B$6:$B$155,"&lt;"&amp;$B15)+1)</f>
        <v/>
      </c>
      <c r="E15" s="11">
        <f>IF($A15="","",COUNT($B$6:$B$155))</f>
        <v/>
      </c>
      <c r="F15" s="11">
        <f>IF(OR($A15="",$B$2="Not started"),"",IF($C15&lt;&gt;"",IFERROR(VLOOKUP($C15,Points!$D$2:$E$6,2,FALSE),""),IF(NOT(ISNUMBER($B15)),"",IF($D15&lt;=16,Points!$E$6,IF($D15&lt;=32,Points!$H$2,Points!$H$3)))))</f>
        <v/>
      </c>
      <c r="G15" s="11">
        <f>IF($A15="","",IF($B$2="Final","Final",IF($B$2="In progress","Projected","Not started")))</f>
        <v/>
      </c>
      <c r="H15" s="11">
        <f>IF($A15="","",IF(COUNTIF(Players!$A$2:$A$500,$A15)=0,"Player is not on the Players tab",IF(COUNTIF($A$6:$A$155,$A15)&gt;1,"Player is listed twice",IF($B$2="Not started","Set Status to In progress to count points",IF(AND($C15="",NOT(ISNUMBER($B15))),"Enter a qualifying score",IF(AND($C15&lt;&gt;"",ISNUMBER($D15),N($D15)&gt;16),"Bracket result for a player ranked below 16th",IF(AND($B$2="Final",$C15="",N($D15)&lt;=16),"Top 16: enter the bracket result","OK")))))))</f>
        <v/>
      </c>
    </row>
    <row r="16">
      <c r="D16" s="11">
        <f>IF(OR($A16="",NOT(ISNUMBER($B16))),"",COUNTIF($B$6:$B$155,"&lt;"&amp;$B16)+1)</f>
        <v/>
      </c>
      <c r="E16" s="11">
        <f>IF($A16="","",COUNT($B$6:$B$155))</f>
        <v/>
      </c>
      <c r="F16" s="11">
        <f>IF(OR($A16="",$B$2="Not started"),"",IF($C16&lt;&gt;"",IFERROR(VLOOKUP($C16,Points!$D$2:$E$6,2,FALSE),""),IF(NOT(ISNUMBER($B16)),"",IF($D16&lt;=16,Points!$E$6,IF($D16&lt;=32,Points!$H$2,Points!$H$3)))))</f>
        <v/>
      </c>
      <c r="G16" s="11">
        <f>IF($A16="","",IF($B$2="Final","Final",IF($B$2="In progress","Projected","Not started")))</f>
        <v/>
      </c>
      <c r="H16" s="11">
        <f>IF($A16="","",IF(COUNTIF(Players!$A$2:$A$500,$A16)=0,"Player is not on the Players tab",IF(COUNTIF($A$6:$A$155,$A16)&gt;1,"Player is listed twice",IF($B$2="Not started","Set Status to In progress to count points",IF(AND($C16="",NOT(ISNUMBER($B16))),"Enter a qualifying score",IF(AND($C16&lt;&gt;"",ISNUMBER($D16),N($D16)&gt;16),"Bracket result for a player ranked below 16th",IF(AND($B$2="Final",$C16="",N($D16)&lt;=16),"Top 16: enter the bracket result","OK")))))))</f>
        <v/>
      </c>
    </row>
    <row r="17">
      <c r="D17" s="11">
        <f>IF(OR($A17="",NOT(ISNUMBER($B17))),"",COUNTIF($B$6:$B$155,"&lt;"&amp;$B17)+1)</f>
        <v/>
      </c>
      <c r="E17" s="11">
        <f>IF($A17="","",COUNT($B$6:$B$155))</f>
        <v/>
      </c>
      <c r="F17" s="11">
        <f>IF(OR($A17="",$B$2="Not started"),"",IF($C17&lt;&gt;"",IFERROR(VLOOKUP($C17,Points!$D$2:$E$6,2,FALSE),""),IF(NOT(ISNUMBER($B17)),"",IF($D17&lt;=16,Points!$E$6,IF($D17&lt;=32,Points!$H$2,Points!$H$3)))))</f>
        <v/>
      </c>
      <c r="G17" s="11">
        <f>IF($A17="","",IF($B$2="Final","Final",IF($B$2="In progress","Projected","Not started")))</f>
        <v/>
      </c>
      <c r="H17" s="11">
        <f>IF($A17="","",IF(COUNTIF(Players!$A$2:$A$500,$A17)=0,"Player is not on the Players tab",IF(COUNTIF($A$6:$A$155,$A17)&gt;1,"Player is listed twice",IF($B$2="Not started","Set Status to In progress to count points",IF(AND($C17="",NOT(ISNUMBER($B17))),"Enter a qualifying score",IF(AND($C17&lt;&gt;"",ISNUMBER($D17),N($D17)&gt;16),"Bracket result for a player ranked below 16th",IF(AND($B$2="Final",$C17="",N($D17)&lt;=16),"Top 16: enter the bracket result","OK")))))))</f>
        <v/>
      </c>
    </row>
    <row r="18">
      <c r="D18" s="11">
        <f>IF(OR($A18="",NOT(ISNUMBER($B18))),"",COUNTIF($B$6:$B$155,"&lt;"&amp;$B18)+1)</f>
        <v/>
      </c>
      <c r="E18" s="11">
        <f>IF($A18="","",COUNT($B$6:$B$155))</f>
        <v/>
      </c>
      <c r="F18" s="11">
        <f>IF(OR($A18="",$B$2="Not started"),"",IF($C18&lt;&gt;"",IFERROR(VLOOKUP($C18,Points!$D$2:$E$6,2,FALSE),""),IF(NOT(ISNUMBER($B18)),"",IF($D18&lt;=16,Points!$E$6,IF($D18&lt;=32,Points!$H$2,Points!$H$3)))))</f>
        <v/>
      </c>
      <c r="G18" s="11">
        <f>IF($A18="","",IF($B$2="Final","Final",IF($B$2="In progress","Projected","Not started")))</f>
        <v/>
      </c>
      <c r="H18" s="11">
        <f>IF($A18="","",IF(COUNTIF(Players!$A$2:$A$500,$A18)=0,"Player is not on the Players tab",IF(COUNTIF($A$6:$A$155,$A18)&gt;1,"Player is listed twice",IF($B$2="Not started","Set Status to In progress to count points",IF(AND($C18="",NOT(ISNUMBER($B18))),"Enter a qualifying score",IF(AND($C18&lt;&gt;"",ISNUMBER($D18),N($D18)&gt;16),"Bracket result for a player ranked below 16th",IF(AND($B$2="Final",$C18="",N($D18)&lt;=16),"Top 16: enter the bracket result","OK")))))))</f>
        <v/>
      </c>
    </row>
    <row r="19">
      <c r="D19" s="11">
        <f>IF(OR($A19="",NOT(ISNUMBER($B19))),"",COUNTIF($B$6:$B$155,"&lt;"&amp;$B19)+1)</f>
        <v/>
      </c>
      <c r="E19" s="11">
        <f>IF($A19="","",COUNT($B$6:$B$155))</f>
        <v/>
      </c>
      <c r="F19" s="11">
        <f>IF(OR($A19="",$B$2="Not started"),"",IF($C19&lt;&gt;"",IFERROR(VLOOKUP($C19,Points!$D$2:$E$6,2,FALSE),""),IF(NOT(ISNUMBER($B19)),"",IF($D19&lt;=16,Points!$E$6,IF($D19&lt;=32,Points!$H$2,Points!$H$3)))))</f>
        <v/>
      </c>
      <c r="G19" s="11">
        <f>IF($A19="","",IF($B$2="Final","Final",IF($B$2="In progress","Projected","Not started")))</f>
        <v/>
      </c>
      <c r="H19" s="11">
        <f>IF($A19="","",IF(COUNTIF(Players!$A$2:$A$500,$A19)=0,"Player is not on the Players tab",IF(COUNTIF($A$6:$A$155,$A19)&gt;1,"Player is listed twice",IF($B$2="Not started","Set Status to In progress to count points",IF(AND($C19="",NOT(ISNUMBER($B19))),"Enter a qualifying score",IF(AND($C19&lt;&gt;"",ISNUMBER($D19),N($D19)&gt;16),"Bracket result for a player ranked below 16th",IF(AND($B$2="Final",$C19="",N($D19)&lt;=16),"Top 16: enter the bracket result","OK")))))))</f>
        <v/>
      </c>
    </row>
    <row r="20">
      <c r="D20" s="11">
        <f>IF(OR($A20="",NOT(ISNUMBER($B20))),"",COUNTIF($B$6:$B$155,"&lt;"&amp;$B20)+1)</f>
        <v/>
      </c>
      <c r="E20" s="11">
        <f>IF($A20="","",COUNT($B$6:$B$155))</f>
        <v/>
      </c>
      <c r="F20" s="11">
        <f>IF(OR($A20="",$B$2="Not started"),"",IF($C20&lt;&gt;"",IFERROR(VLOOKUP($C20,Points!$D$2:$E$6,2,FALSE),""),IF(NOT(ISNUMBER($B20)),"",IF($D20&lt;=16,Points!$E$6,IF($D20&lt;=32,Points!$H$2,Points!$H$3)))))</f>
        <v/>
      </c>
      <c r="G20" s="11">
        <f>IF($A20="","",IF($B$2="Final","Final",IF($B$2="In progress","Projected","Not started")))</f>
        <v/>
      </c>
      <c r="H20" s="11">
        <f>IF($A20="","",IF(COUNTIF(Players!$A$2:$A$500,$A20)=0,"Player is not on the Players tab",IF(COUNTIF($A$6:$A$155,$A20)&gt;1,"Player is listed twice",IF($B$2="Not started","Set Status to In progress to count points",IF(AND($C20="",NOT(ISNUMBER($B20))),"Enter a qualifying score",IF(AND($C20&lt;&gt;"",ISNUMBER($D20),N($D20)&gt;16),"Bracket result for a player ranked below 16th",IF(AND($B$2="Final",$C20="",N($D20)&lt;=16),"Top 16: enter the bracket result","OK")))))))</f>
        <v/>
      </c>
    </row>
    <row r="21">
      <c r="D21" s="11">
        <f>IF(OR($A21="",NOT(ISNUMBER($B21))),"",COUNTIF($B$6:$B$155,"&lt;"&amp;$B21)+1)</f>
        <v/>
      </c>
      <c r="E21" s="11">
        <f>IF($A21="","",COUNT($B$6:$B$155))</f>
        <v/>
      </c>
      <c r="F21" s="11">
        <f>IF(OR($A21="",$B$2="Not started"),"",IF($C21&lt;&gt;"",IFERROR(VLOOKUP($C21,Points!$D$2:$E$6,2,FALSE),""),IF(NOT(ISNUMBER($B21)),"",IF($D21&lt;=16,Points!$E$6,IF($D21&lt;=32,Points!$H$2,Points!$H$3)))))</f>
        <v/>
      </c>
      <c r="G21" s="11">
        <f>IF($A21="","",IF($B$2="Final","Final",IF($B$2="In progress","Projected","Not started")))</f>
        <v/>
      </c>
      <c r="H21" s="11">
        <f>IF($A21="","",IF(COUNTIF(Players!$A$2:$A$500,$A21)=0,"Player is not on the Players tab",IF(COUNTIF($A$6:$A$155,$A21)&gt;1,"Player is listed twice",IF($B$2="Not started","Set Status to In progress to count points",IF(AND($C21="",NOT(ISNUMBER($B21))),"Enter a qualifying score",IF(AND($C21&lt;&gt;"",ISNUMBER($D21),N($D21)&gt;16),"Bracket result for a player ranked below 16th",IF(AND($B$2="Final",$C21="",N($D21)&lt;=16),"Top 16: enter the bracket result","OK")))))))</f>
        <v/>
      </c>
    </row>
    <row r="22">
      <c r="D22" s="11">
        <f>IF(OR($A22="",NOT(ISNUMBER($B22))),"",COUNTIF($B$6:$B$155,"&lt;"&amp;$B22)+1)</f>
        <v/>
      </c>
      <c r="E22" s="11">
        <f>IF($A22="","",COUNT($B$6:$B$155))</f>
        <v/>
      </c>
      <c r="F22" s="11">
        <f>IF(OR($A22="",$B$2="Not started"),"",IF($C22&lt;&gt;"",IFERROR(VLOOKUP($C22,Points!$D$2:$E$6,2,FALSE),""),IF(NOT(ISNUMBER($B22)),"",IF($D22&lt;=16,Points!$E$6,IF($D22&lt;=32,Points!$H$2,Points!$H$3)))))</f>
        <v/>
      </c>
      <c r="G22" s="11">
        <f>IF($A22="","",IF($B$2="Final","Final",IF($B$2="In progress","Projected","Not started")))</f>
        <v/>
      </c>
      <c r="H22" s="11">
        <f>IF($A22="","",IF(COUNTIF(Players!$A$2:$A$500,$A22)=0,"Player is not on the Players tab",IF(COUNTIF($A$6:$A$155,$A22)&gt;1,"Player is listed twice",IF($B$2="Not started","Set Status to In progress to count points",IF(AND($C22="",NOT(ISNUMBER($B22))),"Enter a qualifying score",IF(AND($C22&lt;&gt;"",ISNUMBER($D22),N($D22)&gt;16),"Bracket result for a player ranked below 16th",IF(AND($B$2="Final",$C22="",N($D22)&lt;=16),"Top 16: enter the bracket result","OK")))))))</f>
        <v/>
      </c>
    </row>
    <row r="23">
      <c r="D23" s="11">
        <f>IF(OR($A23="",NOT(ISNUMBER($B23))),"",COUNTIF($B$6:$B$155,"&lt;"&amp;$B23)+1)</f>
        <v/>
      </c>
      <c r="E23" s="11">
        <f>IF($A23="","",COUNT($B$6:$B$155))</f>
        <v/>
      </c>
      <c r="F23" s="11">
        <f>IF(OR($A23="",$B$2="Not started"),"",IF($C23&lt;&gt;"",IFERROR(VLOOKUP($C23,Points!$D$2:$E$6,2,FALSE),""),IF(NOT(ISNUMBER($B23)),"",IF($D23&lt;=16,Points!$E$6,IF($D23&lt;=32,Points!$H$2,Points!$H$3)))))</f>
        <v/>
      </c>
      <c r="G23" s="11">
        <f>IF($A23="","",IF($B$2="Final","Final",IF($B$2="In progress","Projected","Not started")))</f>
        <v/>
      </c>
      <c r="H23" s="11">
        <f>IF($A23="","",IF(COUNTIF(Players!$A$2:$A$500,$A23)=0,"Player is not on the Players tab",IF(COUNTIF($A$6:$A$155,$A23)&gt;1,"Player is listed twice",IF($B$2="Not started","Set Status to In progress to count points",IF(AND($C23="",NOT(ISNUMBER($B23))),"Enter a qualifying score",IF(AND($C23&lt;&gt;"",ISNUMBER($D23),N($D23)&gt;16),"Bracket result for a player ranked below 16th",IF(AND($B$2="Final",$C23="",N($D23)&lt;=16),"Top 16: enter the bracket result","OK")))))))</f>
        <v/>
      </c>
    </row>
    <row r="24">
      <c r="D24" s="11">
        <f>IF(OR($A24="",NOT(ISNUMBER($B24))),"",COUNTIF($B$6:$B$155,"&lt;"&amp;$B24)+1)</f>
        <v/>
      </c>
      <c r="E24" s="11">
        <f>IF($A24="","",COUNT($B$6:$B$155))</f>
        <v/>
      </c>
      <c r="F24" s="11">
        <f>IF(OR($A24="",$B$2="Not started"),"",IF($C24&lt;&gt;"",IFERROR(VLOOKUP($C24,Points!$D$2:$E$6,2,FALSE),""),IF(NOT(ISNUMBER($B24)),"",IF($D24&lt;=16,Points!$E$6,IF($D24&lt;=32,Points!$H$2,Points!$H$3)))))</f>
        <v/>
      </c>
      <c r="G24" s="11">
        <f>IF($A24="","",IF($B$2="Final","Final",IF($B$2="In progress","Projected","Not started")))</f>
        <v/>
      </c>
      <c r="H24" s="11">
        <f>IF($A24="","",IF(COUNTIF(Players!$A$2:$A$500,$A24)=0,"Player is not on the Players tab",IF(COUNTIF($A$6:$A$155,$A24)&gt;1,"Player is listed twice",IF($B$2="Not started","Set Status to In progress to count points",IF(AND($C24="",NOT(ISNUMBER($B24))),"Enter a qualifying score",IF(AND($C24&lt;&gt;"",ISNUMBER($D24),N($D24)&gt;16),"Bracket result for a player ranked below 16th",IF(AND($B$2="Final",$C24="",N($D24)&lt;=16),"Top 16: enter the bracket result","OK")))))))</f>
        <v/>
      </c>
    </row>
    <row r="25">
      <c r="D25" s="11">
        <f>IF(OR($A25="",NOT(ISNUMBER($B25))),"",COUNTIF($B$6:$B$155,"&lt;"&amp;$B25)+1)</f>
        <v/>
      </c>
      <c r="E25" s="11">
        <f>IF($A25="","",COUNT($B$6:$B$155))</f>
        <v/>
      </c>
      <c r="F25" s="11">
        <f>IF(OR($A25="",$B$2="Not started"),"",IF($C25&lt;&gt;"",IFERROR(VLOOKUP($C25,Points!$D$2:$E$6,2,FALSE),""),IF(NOT(ISNUMBER($B25)),"",IF($D25&lt;=16,Points!$E$6,IF($D25&lt;=32,Points!$H$2,Points!$H$3)))))</f>
        <v/>
      </c>
      <c r="G25" s="11">
        <f>IF($A25="","",IF($B$2="Final","Final",IF($B$2="In progress","Projected","Not started")))</f>
        <v/>
      </c>
      <c r="H25" s="11">
        <f>IF($A25="","",IF(COUNTIF(Players!$A$2:$A$500,$A25)=0,"Player is not on the Players tab",IF(COUNTIF($A$6:$A$155,$A25)&gt;1,"Player is listed twice",IF($B$2="Not started","Set Status to In progress to count points",IF(AND($C25="",NOT(ISNUMBER($B25))),"Enter a qualifying score",IF(AND($C25&lt;&gt;"",ISNUMBER($D25),N($D25)&gt;16),"Bracket result for a player ranked below 16th",IF(AND($B$2="Final",$C25="",N($D25)&lt;=16),"Top 16: enter the bracket result","OK")))))))</f>
        <v/>
      </c>
    </row>
    <row r="26">
      <c r="D26" s="11">
        <f>IF(OR($A26="",NOT(ISNUMBER($B26))),"",COUNTIF($B$6:$B$155,"&lt;"&amp;$B26)+1)</f>
        <v/>
      </c>
      <c r="E26" s="11">
        <f>IF($A26="","",COUNT($B$6:$B$155))</f>
        <v/>
      </c>
      <c r="F26" s="11">
        <f>IF(OR($A26="",$B$2="Not started"),"",IF($C26&lt;&gt;"",IFERROR(VLOOKUP($C26,Points!$D$2:$E$6,2,FALSE),""),IF(NOT(ISNUMBER($B26)),"",IF($D26&lt;=16,Points!$E$6,IF($D26&lt;=32,Points!$H$2,Points!$H$3)))))</f>
        <v/>
      </c>
      <c r="G26" s="11">
        <f>IF($A26="","",IF($B$2="Final","Final",IF($B$2="In progress","Projected","Not started")))</f>
        <v/>
      </c>
      <c r="H26" s="11">
        <f>IF($A26="","",IF(COUNTIF(Players!$A$2:$A$500,$A26)=0,"Player is not on the Players tab",IF(COUNTIF($A$6:$A$155,$A26)&gt;1,"Player is listed twice",IF($B$2="Not started","Set Status to In progress to count points",IF(AND($C26="",NOT(ISNUMBER($B26))),"Enter a qualifying score",IF(AND($C26&lt;&gt;"",ISNUMBER($D26),N($D26)&gt;16),"Bracket result for a player ranked below 16th",IF(AND($B$2="Final",$C26="",N($D26)&lt;=16),"Top 16: enter the bracket result","OK")))))))</f>
        <v/>
      </c>
    </row>
    <row r="27">
      <c r="D27" s="11">
        <f>IF(OR($A27="",NOT(ISNUMBER($B27))),"",COUNTIF($B$6:$B$155,"&lt;"&amp;$B27)+1)</f>
        <v/>
      </c>
      <c r="E27" s="11">
        <f>IF($A27="","",COUNT($B$6:$B$155))</f>
        <v/>
      </c>
      <c r="F27" s="11">
        <f>IF(OR($A27="",$B$2="Not started"),"",IF($C27&lt;&gt;"",IFERROR(VLOOKUP($C27,Points!$D$2:$E$6,2,FALSE),""),IF(NOT(ISNUMBER($B27)),"",IF($D27&lt;=16,Points!$E$6,IF($D27&lt;=32,Points!$H$2,Points!$H$3)))))</f>
        <v/>
      </c>
      <c r="G27" s="11">
        <f>IF($A27="","",IF($B$2="Final","Final",IF($B$2="In progress","Projected","Not started")))</f>
        <v/>
      </c>
      <c r="H27" s="11">
        <f>IF($A27="","",IF(COUNTIF(Players!$A$2:$A$500,$A27)=0,"Player is not on the Players tab",IF(COUNTIF($A$6:$A$155,$A27)&gt;1,"Player is listed twice",IF($B$2="Not started","Set Status to In progress to count points",IF(AND($C27="",NOT(ISNUMBER($B27))),"Enter a qualifying score",IF(AND($C27&lt;&gt;"",ISNUMBER($D27),N($D27)&gt;16),"Bracket result for a player ranked below 16th",IF(AND($B$2="Final",$C27="",N($D27)&lt;=16),"Top 16: enter the bracket result","OK")))))))</f>
        <v/>
      </c>
    </row>
    <row r="28">
      <c r="D28" s="11">
        <f>IF(OR($A28="",NOT(ISNUMBER($B28))),"",COUNTIF($B$6:$B$155,"&lt;"&amp;$B28)+1)</f>
        <v/>
      </c>
      <c r="E28" s="11">
        <f>IF($A28="","",COUNT($B$6:$B$155))</f>
        <v/>
      </c>
      <c r="F28" s="11">
        <f>IF(OR($A28="",$B$2="Not started"),"",IF($C28&lt;&gt;"",IFERROR(VLOOKUP($C28,Points!$D$2:$E$6,2,FALSE),""),IF(NOT(ISNUMBER($B28)),"",IF($D28&lt;=16,Points!$E$6,IF($D28&lt;=32,Points!$H$2,Points!$H$3)))))</f>
        <v/>
      </c>
      <c r="G28" s="11">
        <f>IF($A28="","",IF($B$2="Final","Final",IF($B$2="In progress","Projected","Not started")))</f>
        <v/>
      </c>
      <c r="H28" s="11">
        <f>IF($A28="","",IF(COUNTIF(Players!$A$2:$A$500,$A28)=0,"Player is not on the Players tab",IF(COUNTIF($A$6:$A$155,$A28)&gt;1,"Player is listed twice",IF($B$2="Not started","Set Status to In progress to count points",IF(AND($C28="",NOT(ISNUMBER($B28))),"Enter a qualifying score",IF(AND($C28&lt;&gt;"",ISNUMBER($D28),N($D28)&gt;16),"Bracket result for a player ranked below 16th",IF(AND($B$2="Final",$C28="",N($D28)&lt;=16),"Top 16: enter the bracket result","OK")))))))</f>
        <v/>
      </c>
    </row>
    <row r="29">
      <c r="D29" s="11">
        <f>IF(OR($A29="",NOT(ISNUMBER($B29))),"",COUNTIF($B$6:$B$155,"&lt;"&amp;$B29)+1)</f>
        <v/>
      </c>
      <c r="E29" s="11">
        <f>IF($A29="","",COUNT($B$6:$B$155))</f>
        <v/>
      </c>
      <c r="F29" s="11">
        <f>IF(OR($A29="",$B$2="Not started"),"",IF($C29&lt;&gt;"",IFERROR(VLOOKUP($C29,Points!$D$2:$E$6,2,FALSE),""),IF(NOT(ISNUMBER($B29)),"",IF($D29&lt;=16,Points!$E$6,IF($D29&lt;=32,Points!$H$2,Points!$H$3)))))</f>
        <v/>
      </c>
      <c r="G29" s="11">
        <f>IF($A29="","",IF($B$2="Final","Final",IF($B$2="In progress","Projected","Not started")))</f>
        <v/>
      </c>
      <c r="H29" s="11">
        <f>IF($A29="","",IF(COUNTIF(Players!$A$2:$A$500,$A29)=0,"Player is not on the Players tab",IF(COUNTIF($A$6:$A$155,$A29)&gt;1,"Player is listed twice",IF($B$2="Not started","Set Status to In progress to count points",IF(AND($C29="",NOT(ISNUMBER($B29))),"Enter a qualifying score",IF(AND($C29&lt;&gt;"",ISNUMBER($D29),N($D29)&gt;16),"Bracket result for a player ranked below 16th",IF(AND($B$2="Final",$C29="",N($D29)&lt;=16),"Top 16: enter the bracket result","OK")))))))</f>
        <v/>
      </c>
    </row>
    <row r="30">
      <c r="D30" s="11">
        <f>IF(OR($A30="",NOT(ISNUMBER($B30))),"",COUNTIF($B$6:$B$155,"&lt;"&amp;$B30)+1)</f>
        <v/>
      </c>
      <c r="E30" s="11">
        <f>IF($A30="","",COUNT($B$6:$B$155))</f>
        <v/>
      </c>
      <c r="F30" s="11">
        <f>IF(OR($A30="",$B$2="Not started"),"",IF($C30&lt;&gt;"",IFERROR(VLOOKUP($C30,Points!$D$2:$E$6,2,FALSE),""),IF(NOT(ISNUMBER($B30)),"",IF($D30&lt;=16,Points!$E$6,IF($D30&lt;=32,Points!$H$2,Points!$H$3)))))</f>
        <v/>
      </c>
      <c r="G30" s="11">
        <f>IF($A30="","",IF($B$2="Final","Final",IF($B$2="In progress","Projected","Not started")))</f>
        <v/>
      </c>
      <c r="H30" s="11">
        <f>IF($A30="","",IF(COUNTIF(Players!$A$2:$A$500,$A30)=0,"Player is not on the Players tab",IF(COUNTIF($A$6:$A$155,$A30)&gt;1,"Player is listed twice",IF($B$2="Not started","Set Status to In progress to count points",IF(AND($C30="",NOT(ISNUMBER($B30))),"Enter a qualifying score",IF(AND($C30&lt;&gt;"",ISNUMBER($D30),N($D30)&gt;16),"Bracket result for a player ranked below 16th",IF(AND($B$2="Final",$C30="",N($D30)&lt;=16),"Top 16: enter the bracket result","OK")))))))</f>
        <v/>
      </c>
    </row>
    <row r="31">
      <c r="D31" s="11">
        <f>IF(OR($A31="",NOT(ISNUMBER($B31))),"",COUNTIF($B$6:$B$155,"&lt;"&amp;$B31)+1)</f>
        <v/>
      </c>
      <c r="E31" s="11">
        <f>IF($A31="","",COUNT($B$6:$B$155))</f>
        <v/>
      </c>
      <c r="F31" s="11">
        <f>IF(OR($A31="",$B$2="Not started"),"",IF($C31&lt;&gt;"",IFERROR(VLOOKUP($C31,Points!$D$2:$E$6,2,FALSE),""),IF(NOT(ISNUMBER($B31)),"",IF($D31&lt;=16,Points!$E$6,IF($D31&lt;=32,Points!$H$2,Points!$H$3)))))</f>
        <v/>
      </c>
      <c r="G31" s="11">
        <f>IF($A31="","",IF($B$2="Final","Final",IF($B$2="In progress","Projected","Not started")))</f>
        <v/>
      </c>
      <c r="H31" s="11">
        <f>IF($A31="","",IF(COUNTIF(Players!$A$2:$A$500,$A31)=0,"Player is not on the Players tab",IF(COUNTIF($A$6:$A$155,$A31)&gt;1,"Player is listed twice",IF($B$2="Not started","Set Status to In progress to count points",IF(AND($C31="",NOT(ISNUMBER($B31))),"Enter a qualifying score",IF(AND($C31&lt;&gt;"",ISNUMBER($D31),N($D31)&gt;16),"Bracket result for a player ranked below 16th",IF(AND($B$2="Final",$C31="",N($D31)&lt;=16),"Top 16: enter the bracket result","OK")))))))</f>
        <v/>
      </c>
    </row>
    <row r="32">
      <c r="D32" s="11">
        <f>IF(OR($A32="",NOT(ISNUMBER($B32))),"",COUNTIF($B$6:$B$155,"&lt;"&amp;$B32)+1)</f>
        <v/>
      </c>
      <c r="E32" s="11">
        <f>IF($A32="","",COUNT($B$6:$B$155))</f>
        <v/>
      </c>
      <c r="F32" s="11">
        <f>IF(OR($A32="",$B$2="Not started"),"",IF($C32&lt;&gt;"",IFERROR(VLOOKUP($C32,Points!$D$2:$E$6,2,FALSE),""),IF(NOT(ISNUMBER($B32)),"",IF($D32&lt;=16,Points!$E$6,IF($D32&lt;=32,Points!$H$2,Points!$H$3)))))</f>
        <v/>
      </c>
      <c r="G32" s="11">
        <f>IF($A32="","",IF($B$2="Final","Final",IF($B$2="In progress","Projected","Not started")))</f>
        <v/>
      </c>
      <c r="H32" s="11">
        <f>IF($A32="","",IF(COUNTIF(Players!$A$2:$A$500,$A32)=0,"Player is not on the Players tab",IF(COUNTIF($A$6:$A$155,$A32)&gt;1,"Player is listed twice",IF($B$2="Not started","Set Status to In progress to count points",IF(AND($C32="",NOT(ISNUMBER($B32))),"Enter a qualifying score",IF(AND($C32&lt;&gt;"",ISNUMBER($D32),N($D32)&gt;16),"Bracket result for a player ranked below 16th",IF(AND($B$2="Final",$C32="",N($D32)&lt;=16),"Top 16: enter the bracket result","OK")))))))</f>
        <v/>
      </c>
    </row>
    <row r="33">
      <c r="D33" s="11">
        <f>IF(OR($A33="",NOT(ISNUMBER($B33))),"",COUNTIF($B$6:$B$155,"&lt;"&amp;$B33)+1)</f>
        <v/>
      </c>
      <c r="E33" s="11">
        <f>IF($A33="","",COUNT($B$6:$B$155))</f>
        <v/>
      </c>
      <c r="F33" s="11">
        <f>IF(OR($A33="",$B$2="Not started"),"",IF($C33&lt;&gt;"",IFERROR(VLOOKUP($C33,Points!$D$2:$E$6,2,FALSE),""),IF(NOT(ISNUMBER($B33)),"",IF($D33&lt;=16,Points!$E$6,IF($D33&lt;=32,Points!$H$2,Points!$H$3)))))</f>
        <v/>
      </c>
      <c r="G33" s="11">
        <f>IF($A33="","",IF($B$2="Final","Final",IF($B$2="In progress","Projected","Not started")))</f>
        <v/>
      </c>
      <c r="H33" s="11">
        <f>IF($A33="","",IF(COUNTIF(Players!$A$2:$A$500,$A33)=0,"Player is not on the Players tab",IF(COUNTIF($A$6:$A$155,$A33)&gt;1,"Player is listed twice",IF($B$2="Not started","Set Status to In progress to count points",IF(AND($C33="",NOT(ISNUMBER($B33))),"Enter a qualifying score",IF(AND($C33&lt;&gt;"",ISNUMBER($D33),N($D33)&gt;16),"Bracket result for a player ranked below 16th",IF(AND($B$2="Final",$C33="",N($D33)&lt;=16),"Top 16: enter the bracket result","OK")))))))</f>
        <v/>
      </c>
    </row>
    <row r="34">
      <c r="D34" s="11">
        <f>IF(OR($A34="",NOT(ISNUMBER($B34))),"",COUNTIF($B$6:$B$155,"&lt;"&amp;$B34)+1)</f>
        <v/>
      </c>
      <c r="E34" s="11">
        <f>IF($A34="","",COUNT($B$6:$B$155))</f>
        <v/>
      </c>
      <c r="F34" s="11">
        <f>IF(OR($A34="",$B$2="Not started"),"",IF($C34&lt;&gt;"",IFERROR(VLOOKUP($C34,Points!$D$2:$E$6,2,FALSE),""),IF(NOT(ISNUMBER($B34)),"",IF($D34&lt;=16,Points!$E$6,IF($D34&lt;=32,Points!$H$2,Points!$H$3)))))</f>
        <v/>
      </c>
      <c r="G34" s="11">
        <f>IF($A34="","",IF($B$2="Final","Final",IF($B$2="In progress","Projected","Not started")))</f>
        <v/>
      </c>
      <c r="H34" s="11">
        <f>IF($A34="","",IF(COUNTIF(Players!$A$2:$A$500,$A34)=0,"Player is not on the Players tab",IF(COUNTIF($A$6:$A$155,$A34)&gt;1,"Player is listed twice",IF($B$2="Not started","Set Status to In progress to count points",IF(AND($C34="",NOT(ISNUMBER($B34))),"Enter a qualifying score",IF(AND($C34&lt;&gt;"",ISNUMBER($D34),N($D34)&gt;16),"Bracket result for a player ranked below 16th",IF(AND($B$2="Final",$C34="",N($D34)&lt;=16),"Top 16: enter the bracket result","OK")))))))</f>
        <v/>
      </c>
    </row>
    <row r="35">
      <c r="D35" s="11">
        <f>IF(OR($A35="",NOT(ISNUMBER($B35))),"",COUNTIF($B$6:$B$155,"&lt;"&amp;$B35)+1)</f>
        <v/>
      </c>
      <c r="E35" s="11">
        <f>IF($A35="","",COUNT($B$6:$B$155))</f>
        <v/>
      </c>
      <c r="F35" s="11">
        <f>IF(OR($A35="",$B$2="Not started"),"",IF($C35&lt;&gt;"",IFERROR(VLOOKUP($C35,Points!$D$2:$E$6,2,FALSE),""),IF(NOT(ISNUMBER($B35)),"",IF($D35&lt;=16,Points!$E$6,IF($D35&lt;=32,Points!$H$2,Points!$H$3)))))</f>
        <v/>
      </c>
      <c r="G35" s="11">
        <f>IF($A35="","",IF($B$2="Final","Final",IF($B$2="In progress","Projected","Not started")))</f>
        <v/>
      </c>
      <c r="H35" s="11">
        <f>IF($A35="","",IF(COUNTIF(Players!$A$2:$A$500,$A35)=0,"Player is not on the Players tab",IF(COUNTIF($A$6:$A$155,$A35)&gt;1,"Player is listed twice",IF($B$2="Not started","Set Status to In progress to count points",IF(AND($C35="",NOT(ISNUMBER($B35))),"Enter a qualifying score",IF(AND($C35&lt;&gt;"",ISNUMBER($D35),N($D35)&gt;16),"Bracket result for a player ranked below 16th",IF(AND($B$2="Final",$C35="",N($D35)&lt;=16),"Top 16: enter the bracket result","OK")))))))</f>
        <v/>
      </c>
    </row>
    <row r="36">
      <c r="D36" s="11">
        <f>IF(OR($A36="",NOT(ISNUMBER($B36))),"",COUNTIF($B$6:$B$155,"&lt;"&amp;$B36)+1)</f>
        <v/>
      </c>
      <c r="E36" s="11">
        <f>IF($A36="","",COUNT($B$6:$B$155))</f>
        <v/>
      </c>
      <c r="F36" s="11">
        <f>IF(OR($A36="",$B$2="Not started"),"",IF($C36&lt;&gt;"",IFERROR(VLOOKUP($C36,Points!$D$2:$E$6,2,FALSE),""),IF(NOT(ISNUMBER($B36)),"",IF($D36&lt;=16,Points!$E$6,IF($D36&lt;=32,Points!$H$2,Points!$H$3)))))</f>
        <v/>
      </c>
      <c r="G36" s="11">
        <f>IF($A36="","",IF($B$2="Final","Final",IF($B$2="In progress","Projected","Not started")))</f>
        <v/>
      </c>
      <c r="H36" s="11">
        <f>IF($A36="","",IF(COUNTIF(Players!$A$2:$A$500,$A36)=0,"Player is not on the Players tab",IF(COUNTIF($A$6:$A$155,$A36)&gt;1,"Player is listed twice",IF($B$2="Not started","Set Status to In progress to count points",IF(AND($C36="",NOT(ISNUMBER($B36))),"Enter a qualifying score",IF(AND($C36&lt;&gt;"",ISNUMBER($D36),N($D36)&gt;16),"Bracket result for a player ranked below 16th",IF(AND($B$2="Final",$C36="",N($D36)&lt;=16),"Top 16: enter the bracket result","OK")))))))</f>
        <v/>
      </c>
    </row>
    <row r="37">
      <c r="D37" s="11">
        <f>IF(OR($A37="",NOT(ISNUMBER($B37))),"",COUNTIF($B$6:$B$155,"&lt;"&amp;$B37)+1)</f>
        <v/>
      </c>
      <c r="E37" s="11">
        <f>IF($A37="","",COUNT($B$6:$B$155))</f>
        <v/>
      </c>
      <c r="F37" s="11">
        <f>IF(OR($A37="",$B$2="Not started"),"",IF($C37&lt;&gt;"",IFERROR(VLOOKUP($C37,Points!$D$2:$E$6,2,FALSE),""),IF(NOT(ISNUMBER($B37)),"",IF($D37&lt;=16,Points!$E$6,IF($D37&lt;=32,Points!$H$2,Points!$H$3)))))</f>
        <v/>
      </c>
      <c r="G37" s="11">
        <f>IF($A37="","",IF($B$2="Final","Final",IF($B$2="In progress","Projected","Not started")))</f>
        <v/>
      </c>
      <c r="H37" s="11">
        <f>IF($A37="","",IF(COUNTIF(Players!$A$2:$A$500,$A37)=0,"Player is not on the Players tab",IF(COUNTIF($A$6:$A$155,$A37)&gt;1,"Player is listed twice",IF($B$2="Not started","Set Status to In progress to count points",IF(AND($C37="",NOT(ISNUMBER($B37))),"Enter a qualifying score",IF(AND($C37&lt;&gt;"",ISNUMBER($D37),N($D37)&gt;16),"Bracket result for a player ranked below 16th",IF(AND($B$2="Final",$C37="",N($D37)&lt;=16),"Top 16: enter the bracket result","OK")))))))</f>
        <v/>
      </c>
    </row>
    <row r="38">
      <c r="D38" s="11">
        <f>IF(OR($A38="",NOT(ISNUMBER($B38))),"",COUNTIF($B$6:$B$155,"&lt;"&amp;$B38)+1)</f>
        <v/>
      </c>
      <c r="E38" s="11">
        <f>IF($A38="","",COUNT($B$6:$B$155))</f>
        <v/>
      </c>
      <c r="F38" s="11">
        <f>IF(OR($A38="",$B$2="Not started"),"",IF($C38&lt;&gt;"",IFERROR(VLOOKUP($C38,Points!$D$2:$E$6,2,FALSE),""),IF(NOT(ISNUMBER($B38)),"",IF($D38&lt;=16,Points!$E$6,IF($D38&lt;=32,Points!$H$2,Points!$H$3)))))</f>
        <v/>
      </c>
      <c r="G38" s="11">
        <f>IF($A38="","",IF($B$2="Final","Final",IF($B$2="In progress","Projected","Not started")))</f>
        <v/>
      </c>
      <c r="H38" s="11">
        <f>IF($A38="","",IF(COUNTIF(Players!$A$2:$A$500,$A38)=0,"Player is not on the Players tab",IF(COUNTIF($A$6:$A$155,$A38)&gt;1,"Player is listed twice",IF($B$2="Not started","Set Status to In progress to count points",IF(AND($C38="",NOT(ISNUMBER($B38))),"Enter a qualifying score",IF(AND($C38&lt;&gt;"",ISNUMBER($D38),N($D38)&gt;16),"Bracket result for a player ranked below 16th",IF(AND($B$2="Final",$C38="",N($D38)&lt;=16),"Top 16: enter the bracket result","OK")))))))</f>
        <v/>
      </c>
    </row>
    <row r="39">
      <c r="D39" s="11">
        <f>IF(OR($A39="",NOT(ISNUMBER($B39))),"",COUNTIF($B$6:$B$155,"&lt;"&amp;$B39)+1)</f>
        <v/>
      </c>
      <c r="E39" s="11">
        <f>IF($A39="","",COUNT($B$6:$B$155))</f>
        <v/>
      </c>
      <c r="F39" s="11">
        <f>IF(OR($A39="",$B$2="Not started"),"",IF($C39&lt;&gt;"",IFERROR(VLOOKUP($C39,Points!$D$2:$E$6,2,FALSE),""),IF(NOT(ISNUMBER($B39)),"",IF($D39&lt;=16,Points!$E$6,IF($D39&lt;=32,Points!$H$2,Points!$H$3)))))</f>
        <v/>
      </c>
      <c r="G39" s="11">
        <f>IF($A39="","",IF($B$2="Final","Final",IF($B$2="In progress","Projected","Not started")))</f>
        <v/>
      </c>
      <c r="H39" s="11">
        <f>IF($A39="","",IF(COUNTIF(Players!$A$2:$A$500,$A39)=0,"Player is not on the Players tab",IF(COUNTIF($A$6:$A$155,$A39)&gt;1,"Player is listed twice",IF($B$2="Not started","Set Status to In progress to count points",IF(AND($C39="",NOT(ISNUMBER($B39))),"Enter a qualifying score",IF(AND($C39&lt;&gt;"",ISNUMBER($D39),N($D39)&gt;16),"Bracket result for a player ranked below 16th",IF(AND($B$2="Final",$C39="",N($D39)&lt;=16),"Top 16: enter the bracket result","OK")))))))</f>
        <v/>
      </c>
    </row>
    <row r="40">
      <c r="D40" s="11">
        <f>IF(OR($A40="",NOT(ISNUMBER($B40))),"",COUNTIF($B$6:$B$155,"&lt;"&amp;$B40)+1)</f>
        <v/>
      </c>
      <c r="E40" s="11">
        <f>IF($A40="","",COUNT($B$6:$B$155))</f>
        <v/>
      </c>
      <c r="F40" s="11">
        <f>IF(OR($A40="",$B$2="Not started"),"",IF($C40&lt;&gt;"",IFERROR(VLOOKUP($C40,Points!$D$2:$E$6,2,FALSE),""),IF(NOT(ISNUMBER($B40)),"",IF($D40&lt;=16,Points!$E$6,IF($D40&lt;=32,Points!$H$2,Points!$H$3)))))</f>
        <v/>
      </c>
      <c r="G40" s="11">
        <f>IF($A40="","",IF($B$2="Final","Final",IF($B$2="In progress","Projected","Not started")))</f>
        <v/>
      </c>
      <c r="H40" s="11">
        <f>IF($A40="","",IF(COUNTIF(Players!$A$2:$A$500,$A40)=0,"Player is not on the Players tab",IF(COUNTIF($A$6:$A$155,$A40)&gt;1,"Player is listed twice",IF($B$2="Not started","Set Status to In progress to count points",IF(AND($C40="",NOT(ISNUMBER($B40))),"Enter a qualifying score",IF(AND($C40&lt;&gt;"",ISNUMBER($D40),N($D40)&gt;16),"Bracket result for a player ranked below 16th",IF(AND($B$2="Final",$C40="",N($D40)&lt;=16),"Top 16: enter the bracket result","OK")))))))</f>
        <v/>
      </c>
    </row>
    <row r="41">
      <c r="D41" s="11">
        <f>IF(OR($A41="",NOT(ISNUMBER($B41))),"",COUNTIF($B$6:$B$155,"&lt;"&amp;$B41)+1)</f>
        <v/>
      </c>
      <c r="E41" s="11">
        <f>IF($A41="","",COUNT($B$6:$B$155))</f>
        <v/>
      </c>
      <c r="F41" s="11">
        <f>IF(OR($A41="",$B$2="Not started"),"",IF($C41&lt;&gt;"",IFERROR(VLOOKUP($C41,Points!$D$2:$E$6,2,FALSE),""),IF(NOT(ISNUMBER($B41)),"",IF($D41&lt;=16,Points!$E$6,IF($D41&lt;=32,Points!$H$2,Points!$H$3)))))</f>
        <v/>
      </c>
      <c r="G41" s="11">
        <f>IF($A41="","",IF($B$2="Final","Final",IF($B$2="In progress","Projected","Not started")))</f>
        <v/>
      </c>
      <c r="H41" s="11">
        <f>IF($A41="","",IF(COUNTIF(Players!$A$2:$A$500,$A41)=0,"Player is not on the Players tab",IF(COUNTIF($A$6:$A$155,$A41)&gt;1,"Player is listed twice",IF($B$2="Not started","Set Status to In progress to count points",IF(AND($C41="",NOT(ISNUMBER($B41))),"Enter a qualifying score",IF(AND($C41&lt;&gt;"",ISNUMBER($D41),N($D41)&gt;16),"Bracket result for a player ranked below 16th",IF(AND($B$2="Final",$C41="",N($D41)&lt;=16),"Top 16: enter the bracket result","OK")))))))</f>
        <v/>
      </c>
    </row>
    <row r="42">
      <c r="D42" s="11">
        <f>IF(OR($A42="",NOT(ISNUMBER($B42))),"",COUNTIF($B$6:$B$155,"&lt;"&amp;$B42)+1)</f>
        <v/>
      </c>
      <c r="E42" s="11">
        <f>IF($A42="","",COUNT($B$6:$B$155))</f>
        <v/>
      </c>
      <c r="F42" s="11">
        <f>IF(OR($A42="",$B$2="Not started"),"",IF($C42&lt;&gt;"",IFERROR(VLOOKUP($C42,Points!$D$2:$E$6,2,FALSE),""),IF(NOT(ISNUMBER($B42)),"",IF($D42&lt;=16,Points!$E$6,IF($D42&lt;=32,Points!$H$2,Points!$H$3)))))</f>
        <v/>
      </c>
      <c r="G42" s="11">
        <f>IF($A42="","",IF($B$2="Final","Final",IF($B$2="In progress","Projected","Not started")))</f>
        <v/>
      </c>
      <c r="H42" s="11">
        <f>IF($A42="","",IF(COUNTIF(Players!$A$2:$A$500,$A42)=0,"Player is not on the Players tab",IF(COUNTIF($A$6:$A$155,$A42)&gt;1,"Player is listed twice",IF($B$2="Not started","Set Status to In progress to count points",IF(AND($C42="",NOT(ISNUMBER($B42))),"Enter a qualifying score",IF(AND($C42&lt;&gt;"",ISNUMBER($D42),N($D42)&gt;16),"Bracket result for a player ranked below 16th",IF(AND($B$2="Final",$C42="",N($D42)&lt;=16),"Top 16: enter the bracket result","OK")))))))</f>
        <v/>
      </c>
    </row>
    <row r="43">
      <c r="D43" s="11">
        <f>IF(OR($A43="",NOT(ISNUMBER($B43))),"",COUNTIF($B$6:$B$155,"&lt;"&amp;$B43)+1)</f>
        <v/>
      </c>
      <c r="E43" s="11">
        <f>IF($A43="","",COUNT($B$6:$B$155))</f>
        <v/>
      </c>
      <c r="F43" s="11">
        <f>IF(OR($A43="",$B$2="Not started"),"",IF($C43&lt;&gt;"",IFERROR(VLOOKUP($C43,Points!$D$2:$E$6,2,FALSE),""),IF(NOT(ISNUMBER($B43)),"",IF($D43&lt;=16,Points!$E$6,IF($D43&lt;=32,Points!$H$2,Points!$H$3)))))</f>
        <v/>
      </c>
      <c r="G43" s="11">
        <f>IF($A43="","",IF($B$2="Final","Final",IF($B$2="In progress","Projected","Not started")))</f>
        <v/>
      </c>
      <c r="H43" s="11">
        <f>IF($A43="","",IF(COUNTIF(Players!$A$2:$A$500,$A43)=0,"Player is not on the Players tab",IF(COUNTIF($A$6:$A$155,$A43)&gt;1,"Player is listed twice",IF($B$2="Not started","Set Status to In progress to count points",IF(AND($C43="",NOT(ISNUMBER($B43))),"Enter a qualifying score",IF(AND($C43&lt;&gt;"",ISNUMBER($D43),N($D43)&gt;16),"Bracket result for a player ranked below 16th",IF(AND($B$2="Final",$C43="",N($D43)&lt;=16),"Top 16: enter the bracket result","OK")))))))</f>
        <v/>
      </c>
    </row>
    <row r="44">
      <c r="D44" s="11">
        <f>IF(OR($A44="",NOT(ISNUMBER($B44))),"",COUNTIF($B$6:$B$155,"&lt;"&amp;$B44)+1)</f>
        <v/>
      </c>
      <c r="E44" s="11">
        <f>IF($A44="","",COUNT($B$6:$B$155))</f>
        <v/>
      </c>
      <c r="F44" s="11">
        <f>IF(OR($A44="",$B$2="Not started"),"",IF($C44&lt;&gt;"",IFERROR(VLOOKUP($C44,Points!$D$2:$E$6,2,FALSE),""),IF(NOT(ISNUMBER($B44)),"",IF($D44&lt;=16,Points!$E$6,IF($D44&lt;=32,Points!$H$2,Points!$H$3)))))</f>
        <v/>
      </c>
      <c r="G44" s="11">
        <f>IF($A44="","",IF($B$2="Final","Final",IF($B$2="In progress","Projected","Not started")))</f>
        <v/>
      </c>
      <c r="H44" s="11">
        <f>IF($A44="","",IF(COUNTIF(Players!$A$2:$A$500,$A44)=0,"Player is not on the Players tab",IF(COUNTIF($A$6:$A$155,$A44)&gt;1,"Player is listed twice",IF($B$2="Not started","Set Status to In progress to count points",IF(AND($C44="",NOT(ISNUMBER($B44))),"Enter a qualifying score",IF(AND($C44&lt;&gt;"",ISNUMBER($D44),N($D44)&gt;16),"Bracket result for a player ranked below 16th",IF(AND($B$2="Final",$C44="",N($D44)&lt;=16),"Top 16: enter the bracket result","OK")))))))</f>
        <v/>
      </c>
    </row>
    <row r="45">
      <c r="D45" s="11">
        <f>IF(OR($A45="",NOT(ISNUMBER($B45))),"",COUNTIF($B$6:$B$155,"&lt;"&amp;$B45)+1)</f>
        <v/>
      </c>
      <c r="E45" s="11">
        <f>IF($A45="","",COUNT($B$6:$B$155))</f>
        <v/>
      </c>
      <c r="F45" s="11">
        <f>IF(OR($A45="",$B$2="Not started"),"",IF($C45&lt;&gt;"",IFERROR(VLOOKUP($C45,Points!$D$2:$E$6,2,FALSE),""),IF(NOT(ISNUMBER($B45)),"",IF($D45&lt;=16,Points!$E$6,IF($D45&lt;=32,Points!$H$2,Points!$H$3)))))</f>
        <v/>
      </c>
      <c r="G45" s="11">
        <f>IF($A45="","",IF($B$2="Final","Final",IF($B$2="In progress","Projected","Not started")))</f>
        <v/>
      </c>
      <c r="H45" s="11">
        <f>IF($A45="","",IF(COUNTIF(Players!$A$2:$A$500,$A45)=0,"Player is not on the Players tab",IF(COUNTIF($A$6:$A$155,$A45)&gt;1,"Player is listed twice",IF($B$2="Not started","Set Status to In progress to count points",IF(AND($C45="",NOT(ISNUMBER($B45))),"Enter a qualifying score",IF(AND($C45&lt;&gt;"",ISNUMBER($D45),N($D45)&gt;16),"Bracket result for a player ranked below 16th",IF(AND($B$2="Final",$C45="",N($D45)&lt;=16),"Top 16: enter the bracket result","OK")))))))</f>
        <v/>
      </c>
    </row>
    <row r="46">
      <c r="D46" s="11">
        <f>IF(OR($A46="",NOT(ISNUMBER($B46))),"",COUNTIF($B$6:$B$155,"&lt;"&amp;$B46)+1)</f>
        <v/>
      </c>
      <c r="E46" s="11">
        <f>IF($A46="","",COUNT($B$6:$B$155))</f>
        <v/>
      </c>
      <c r="F46" s="11">
        <f>IF(OR($A46="",$B$2="Not started"),"",IF($C46&lt;&gt;"",IFERROR(VLOOKUP($C46,Points!$D$2:$E$6,2,FALSE),""),IF(NOT(ISNUMBER($B46)),"",IF($D46&lt;=16,Points!$E$6,IF($D46&lt;=32,Points!$H$2,Points!$H$3)))))</f>
        <v/>
      </c>
      <c r="G46" s="11">
        <f>IF($A46="","",IF($B$2="Final","Final",IF($B$2="In progress","Projected","Not started")))</f>
        <v/>
      </c>
      <c r="H46" s="11">
        <f>IF($A46="","",IF(COUNTIF(Players!$A$2:$A$500,$A46)=0,"Player is not on the Players tab",IF(COUNTIF($A$6:$A$155,$A46)&gt;1,"Player is listed twice",IF($B$2="Not started","Set Status to In progress to count points",IF(AND($C46="",NOT(ISNUMBER($B46))),"Enter a qualifying score",IF(AND($C46&lt;&gt;"",ISNUMBER($D46),N($D46)&gt;16),"Bracket result for a player ranked below 16th",IF(AND($B$2="Final",$C46="",N($D46)&lt;=16),"Top 16: enter the bracket result","OK")))))))</f>
        <v/>
      </c>
    </row>
    <row r="47">
      <c r="D47" s="11">
        <f>IF(OR($A47="",NOT(ISNUMBER($B47))),"",COUNTIF($B$6:$B$155,"&lt;"&amp;$B47)+1)</f>
        <v/>
      </c>
      <c r="E47" s="11">
        <f>IF($A47="","",COUNT($B$6:$B$155))</f>
        <v/>
      </c>
      <c r="F47" s="11">
        <f>IF(OR($A47="",$B$2="Not started"),"",IF($C47&lt;&gt;"",IFERROR(VLOOKUP($C47,Points!$D$2:$E$6,2,FALSE),""),IF(NOT(ISNUMBER($B47)),"",IF($D47&lt;=16,Points!$E$6,IF($D47&lt;=32,Points!$H$2,Points!$H$3)))))</f>
        <v/>
      </c>
      <c r="G47" s="11">
        <f>IF($A47="","",IF($B$2="Final","Final",IF($B$2="In progress","Projected","Not started")))</f>
        <v/>
      </c>
      <c r="H47" s="11">
        <f>IF($A47="","",IF(COUNTIF(Players!$A$2:$A$500,$A47)=0,"Player is not on the Players tab",IF(COUNTIF($A$6:$A$155,$A47)&gt;1,"Player is listed twice",IF($B$2="Not started","Set Status to In progress to count points",IF(AND($C47="",NOT(ISNUMBER($B47))),"Enter a qualifying score",IF(AND($C47&lt;&gt;"",ISNUMBER($D47),N($D47)&gt;16),"Bracket result for a player ranked below 16th",IF(AND($B$2="Final",$C47="",N($D47)&lt;=16),"Top 16: enter the bracket result","OK")))))))</f>
        <v/>
      </c>
    </row>
    <row r="48">
      <c r="D48" s="11">
        <f>IF(OR($A48="",NOT(ISNUMBER($B48))),"",COUNTIF($B$6:$B$155,"&lt;"&amp;$B48)+1)</f>
        <v/>
      </c>
      <c r="E48" s="11">
        <f>IF($A48="","",COUNT($B$6:$B$155))</f>
        <v/>
      </c>
      <c r="F48" s="11">
        <f>IF(OR($A48="",$B$2="Not started"),"",IF($C48&lt;&gt;"",IFERROR(VLOOKUP($C48,Points!$D$2:$E$6,2,FALSE),""),IF(NOT(ISNUMBER($B48)),"",IF($D48&lt;=16,Points!$E$6,IF($D48&lt;=32,Points!$H$2,Points!$H$3)))))</f>
        <v/>
      </c>
      <c r="G48" s="11">
        <f>IF($A48="","",IF($B$2="Final","Final",IF($B$2="In progress","Projected","Not started")))</f>
        <v/>
      </c>
      <c r="H48" s="11">
        <f>IF($A48="","",IF(COUNTIF(Players!$A$2:$A$500,$A48)=0,"Player is not on the Players tab",IF(COUNTIF($A$6:$A$155,$A48)&gt;1,"Player is listed twice",IF($B$2="Not started","Set Status to In progress to count points",IF(AND($C48="",NOT(ISNUMBER($B48))),"Enter a qualifying score",IF(AND($C48&lt;&gt;"",ISNUMBER($D48),N($D48)&gt;16),"Bracket result for a player ranked below 16th",IF(AND($B$2="Final",$C48="",N($D48)&lt;=16),"Top 16: enter the bracket result","OK")))))))</f>
        <v/>
      </c>
    </row>
    <row r="49">
      <c r="D49" s="11">
        <f>IF(OR($A49="",NOT(ISNUMBER($B49))),"",COUNTIF($B$6:$B$155,"&lt;"&amp;$B49)+1)</f>
        <v/>
      </c>
      <c r="E49" s="11">
        <f>IF($A49="","",COUNT($B$6:$B$155))</f>
        <v/>
      </c>
      <c r="F49" s="11">
        <f>IF(OR($A49="",$B$2="Not started"),"",IF($C49&lt;&gt;"",IFERROR(VLOOKUP($C49,Points!$D$2:$E$6,2,FALSE),""),IF(NOT(ISNUMBER($B49)),"",IF($D49&lt;=16,Points!$E$6,IF($D49&lt;=32,Points!$H$2,Points!$H$3)))))</f>
        <v/>
      </c>
      <c r="G49" s="11">
        <f>IF($A49="","",IF($B$2="Final","Final",IF($B$2="In progress","Projected","Not started")))</f>
        <v/>
      </c>
      <c r="H49" s="11">
        <f>IF($A49="","",IF(COUNTIF(Players!$A$2:$A$500,$A49)=0,"Player is not on the Players tab",IF(COUNTIF($A$6:$A$155,$A49)&gt;1,"Player is listed twice",IF($B$2="Not started","Set Status to In progress to count points",IF(AND($C49="",NOT(ISNUMBER($B49))),"Enter a qualifying score",IF(AND($C49&lt;&gt;"",ISNUMBER($D49),N($D49)&gt;16),"Bracket result for a player ranked below 16th",IF(AND($B$2="Final",$C49="",N($D49)&lt;=16),"Top 16: enter the bracket result","OK")))))))</f>
        <v/>
      </c>
    </row>
    <row r="50">
      <c r="D50" s="11">
        <f>IF(OR($A50="",NOT(ISNUMBER($B50))),"",COUNTIF($B$6:$B$155,"&lt;"&amp;$B50)+1)</f>
        <v/>
      </c>
      <c r="E50" s="11">
        <f>IF($A50="","",COUNT($B$6:$B$155))</f>
        <v/>
      </c>
      <c r="F50" s="11">
        <f>IF(OR($A50="",$B$2="Not started"),"",IF($C50&lt;&gt;"",IFERROR(VLOOKUP($C50,Points!$D$2:$E$6,2,FALSE),""),IF(NOT(ISNUMBER($B50)),"",IF($D50&lt;=16,Points!$E$6,IF($D50&lt;=32,Points!$H$2,Points!$H$3)))))</f>
        <v/>
      </c>
      <c r="G50" s="11">
        <f>IF($A50="","",IF($B$2="Final","Final",IF($B$2="In progress","Projected","Not started")))</f>
        <v/>
      </c>
      <c r="H50" s="11">
        <f>IF($A50="","",IF(COUNTIF(Players!$A$2:$A$500,$A50)=0,"Player is not on the Players tab",IF(COUNTIF($A$6:$A$155,$A50)&gt;1,"Player is listed twice",IF($B$2="Not started","Set Status to In progress to count points",IF(AND($C50="",NOT(ISNUMBER($B50))),"Enter a qualifying score",IF(AND($C50&lt;&gt;"",ISNUMBER($D50),N($D50)&gt;16),"Bracket result for a player ranked below 16th",IF(AND($B$2="Final",$C50="",N($D50)&lt;=16),"Top 16: enter the bracket result","OK")))))))</f>
        <v/>
      </c>
    </row>
    <row r="51">
      <c r="D51" s="11">
        <f>IF(OR($A51="",NOT(ISNUMBER($B51))),"",COUNTIF($B$6:$B$155,"&lt;"&amp;$B51)+1)</f>
        <v/>
      </c>
      <c r="E51" s="11">
        <f>IF($A51="","",COUNT($B$6:$B$155))</f>
        <v/>
      </c>
      <c r="F51" s="11">
        <f>IF(OR($A51="",$B$2="Not started"),"",IF($C51&lt;&gt;"",IFERROR(VLOOKUP($C51,Points!$D$2:$E$6,2,FALSE),""),IF(NOT(ISNUMBER($B51)),"",IF($D51&lt;=16,Points!$E$6,IF($D51&lt;=32,Points!$H$2,Points!$H$3)))))</f>
        <v/>
      </c>
      <c r="G51" s="11">
        <f>IF($A51="","",IF($B$2="Final","Final",IF($B$2="In progress","Projected","Not started")))</f>
        <v/>
      </c>
      <c r="H51" s="11">
        <f>IF($A51="","",IF(COUNTIF(Players!$A$2:$A$500,$A51)=0,"Player is not on the Players tab",IF(COUNTIF($A$6:$A$155,$A51)&gt;1,"Player is listed twice",IF($B$2="Not started","Set Status to In progress to count points",IF(AND($C51="",NOT(ISNUMBER($B51))),"Enter a qualifying score",IF(AND($C51&lt;&gt;"",ISNUMBER($D51),N($D51)&gt;16),"Bracket result for a player ranked below 16th",IF(AND($B$2="Final",$C51="",N($D51)&lt;=16),"Top 16: enter the bracket result","OK")))))))</f>
        <v/>
      </c>
    </row>
    <row r="52">
      <c r="D52" s="11">
        <f>IF(OR($A52="",NOT(ISNUMBER($B52))),"",COUNTIF($B$6:$B$155,"&lt;"&amp;$B52)+1)</f>
        <v/>
      </c>
      <c r="E52" s="11">
        <f>IF($A52="","",COUNT($B$6:$B$155))</f>
        <v/>
      </c>
      <c r="F52" s="11">
        <f>IF(OR($A52="",$B$2="Not started"),"",IF($C52&lt;&gt;"",IFERROR(VLOOKUP($C52,Points!$D$2:$E$6,2,FALSE),""),IF(NOT(ISNUMBER($B52)),"",IF($D52&lt;=16,Points!$E$6,IF($D52&lt;=32,Points!$H$2,Points!$H$3)))))</f>
        <v/>
      </c>
      <c r="G52" s="11">
        <f>IF($A52="","",IF($B$2="Final","Final",IF($B$2="In progress","Projected","Not started")))</f>
        <v/>
      </c>
      <c r="H52" s="11">
        <f>IF($A52="","",IF(COUNTIF(Players!$A$2:$A$500,$A52)=0,"Player is not on the Players tab",IF(COUNTIF($A$6:$A$155,$A52)&gt;1,"Player is listed twice",IF($B$2="Not started","Set Status to In progress to count points",IF(AND($C52="",NOT(ISNUMBER($B52))),"Enter a qualifying score",IF(AND($C52&lt;&gt;"",ISNUMBER($D52),N($D52)&gt;16),"Bracket result for a player ranked below 16th",IF(AND($B$2="Final",$C52="",N($D52)&lt;=16),"Top 16: enter the bracket result","OK")))))))</f>
        <v/>
      </c>
    </row>
    <row r="53">
      <c r="D53" s="11">
        <f>IF(OR($A53="",NOT(ISNUMBER($B53))),"",COUNTIF($B$6:$B$155,"&lt;"&amp;$B53)+1)</f>
        <v/>
      </c>
      <c r="E53" s="11">
        <f>IF($A53="","",COUNT($B$6:$B$155))</f>
        <v/>
      </c>
      <c r="F53" s="11">
        <f>IF(OR($A53="",$B$2="Not started"),"",IF($C53&lt;&gt;"",IFERROR(VLOOKUP($C53,Points!$D$2:$E$6,2,FALSE),""),IF(NOT(ISNUMBER($B53)),"",IF($D53&lt;=16,Points!$E$6,IF($D53&lt;=32,Points!$H$2,Points!$H$3)))))</f>
        <v/>
      </c>
      <c r="G53" s="11">
        <f>IF($A53="","",IF($B$2="Final","Final",IF($B$2="In progress","Projected","Not started")))</f>
        <v/>
      </c>
      <c r="H53" s="11">
        <f>IF($A53="","",IF(COUNTIF(Players!$A$2:$A$500,$A53)=0,"Player is not on the Players tab",IF(COUNTIF($A$6:$A$155,$A53)&gt;1,"Player is listed twice",IF($B$2="Not started","Set Status to In progress to count points",IF(AND($C53="",NOT(ISNUMBER($B53))),"Enter a qualifying score",IF(AND($C53&lt;&gt;"",ISNUMBER($D53),N($D53)&gt;16),"Bracket result for a player ranked below 16th",IF(AND($B$2="Final",$C53="",N($D53)&lt;=16),"Top 16: enter the bracket result","OK")))))))</f>
        <v/>
      </c>
    </row>
    <row r="54">
      <c r="D54" s="11">
        <f>IF(OR($A54="",NOT(ISNUMBER($B54))),"",COUNTIF($B$6:$B$155,"&lt;"&amp;$B54)+1)</f>
        <v/>
      </c>
      <c r="E54" s="11">
        <f>IF($A54="","",COUNT($B$6:$B$155))</f>
        <v/>
      </c>
      <c r="F54" s="11">
        <f>IF(OR($A54="",$B$2="Not started"),"",IF($C54&lt;&gt;"",IFERROR(VLOOKUP($C54,Points!$D$2:$E$6,2,FALSE),""),IF(NOT(ISNUMBER($B54)),"",IF($D54&lt;=16,Points!$E$6,IF($D54&lt;=32,Points!$H$2,Points!$H$3)))))</f>
        <v/>
      </c>
      <c r="G54" s="11">
        <f>IF($A54="","",IF($B$2="Final","Final",IF($B$2="In progress","Projected","Not started")))</f>
        <v/>
      </c>
      <c r="H54" s="11">
        <f>IF($A54="","",IF(COUNTIF(Players!$A$2:$A$500,$A54)=0,"Player is not on the Players tab",IF(COUNTIF($A$6:$A$155,$A54)&gt;1,"Player is listed twice",IF($B$2="Not started","Set Status to In progress to count points",IF(AND($C54="",NOT(ISNUMBER($B54))),"Enter a qualifying score",IF(AND($C54&lt;&gt;"",ISNUMBER($D54),N($D54)&gt;16),"Bracket result for a player ranked below 16th",IF(AND($B$2="Final",$C54="",N($D54)&lt;=16),"Top 16: enter the bracket result","OK")))))))</f>
        <v/>
      </c>
    </row>
    <row r="55">
      <c r="D55" s="11">
        <f>IF(OR($A55="",NOT(ISNUMBER($B55))),"",COUNTIF($B$6:$B$155,"&lt;"&amp;$B55)+1)</f>
        <v/>
      </c>
      <c r="E55" s="11">
        <f>IF($A55="","",COUNT($B$6:$B$155))</f>
        <v/>
      </c>
      <c r="F55" s="11">
        <f>IF(OR($A55="",$B$2="Not started"),"",IF($C55&lt;&gt;"",IFERROR(VLOOKUP($C55,Points!$D$2:$E$6,2,FALSE),""),IF(NOT(ISNUMBER($B55)),"",IF($D55&lt;=16,Points!$E$6,IF($D55&lt;=32,Points!$H$2,Points!$H$3)))))</f>
        <v/>
      </c>
      <c r="G55" s="11">
        <f>IF($A55="","",IF($B$2="Final","Final",IF($B$2="In progress","Projected","Not started")))</f>
        <v/>
      </c>
      <c r="H55" s="11">
        <f>IF($A55="","",IF(COUNTIF(Players!$A$2:$A$500,$A55)=0,"Player is not on the Players tab",IF(COUNTIF($A$6:$A$155,$A55)&gt;1,"Player is listed twice",IF($B$2="Not started","Set Status to In progress to count points",IF(AND($C55="",NOT(ISNUMBER($B55))),"Enter a qualifying score",IF(AND($C55&lt;&gt;"",ISNUMBER($D55),N($D55)&gt;16),"Bracket result for a player ranked below 16th",IF(AND($B$2="Final",$C55="",N($D55)&lt;=16),"Top 16: enter the bracket result","OK")))))))</f>
        <v/>
      </c>
    </row>
    <row r="56">
      <c r="D56" s="11">
        <f>IF(OR($A56="",NOT(ISNUMBER($B56))),"",COUNTIF($B$6:$B$155,"&lt;"&amp;$B56)+1)</f>
        <v/>
      </c>
      <c r="E56" s="11">
        <f>IF($A56="","",COUNT($B$6:$B$155))</f>
        <v/>
      </c>
      <c r="F56" s="11">
        <f>IF(OR($A56="",$B$2="Not started"),"",IF($C56&lt;&gt;"",IFERROR(VLOOKUP($C56,Points!$D$2:$E$6,2,FALSE),""),IF(NOT(ISNUMBER($B56)),"",IF($D56&lt;=16,Points!$E$6,IF($D56&lt;=32,Points!$H$2,Points!$H$3)))))</f>
        <v/>
      </c>
      <c r="G56" s="11">
        <f>IF($A56="","",IF($B$2="Final","Final",IF($B$2="In progress","Projected","Not started")))</f>
        <v/>
      </c>
      <c r="H56" s="11">
        <f>IF($A56="","",IF(COUNTIF(Players!$A$2:$A$500,$A56)=0,"Player is not on the Players tab",IF(COUNTIF($A$6:$A$155,$A56)&gt;1,"Player is listed twice",IF($B$2="Not started","Set Status to In progress to count points",IF(AND($C56="",NOT(ISNUMBER($B56))),"Enter a qualifying score",IF(AND($C56&lt;&gt;"",ISNUMBER($D56),N($D56)&gt;16),"Bracket result for a player ranked below 16th",IF(AND($B$2="Final",$C56="",N($D56)&lt;=16),"Top 16: enter the bracket result","OK")))))))</f>
        <v/>
      </c>
    </row>
    <row r="57">
      <c r="D57" s="11">
        <f>IF(OR($A57="",NOT(ISNUMBER($B57))),"",COUNTIF($B$6:$B$155,"&lt;"&amp;$B57)+1)</f>
        <v/>
      </c>
      <c r="E57" s="11">
        <f>IF($A57="","",COUNT($B$6:$B$155))</f>
        <v/>
      </c>
      <c r="F57" s="11">
        <f>IF(OR($A57="",$B$2="Not started"),"",IF($C57&lt;&gt;"",IFERROR(VLOOKUP($C57,Points!$D$2:$E$6,2,FALSE),""),IF(NOT(ISNUMBER($B57)),"",IF($D57&lt;=16,Points!$E$6,IF($D57&lt;=32,Points!$H$2,Points!$H$3)))))</f>
        <v/>
      </c>
      <c r="G57" s="11">
        <f>IF($A57="","",IF($B$2="Final","Final",IF($B$2="In progress","Projected","Not started")))</f>
        <v/>
      </c>
      <c r="H57" s="11">
        <f>IF($A57="","",IF(COUNTIF(Players!$A$2:$A$500,$A57)=0,"Player is not on the Players tab",IF(COUNTIF($A$6:$A$155,$A57)&gt;1,"Player is listed twice",IF($B$2="Not started","Set Status to In progress to count points",IF(AND($C57="",NOT(ISNUMBER($B57))),"Enter a qualifying score",IF(AND($C57&lt;&gt;"",ISNUMBER($D57),N($D57)&gt;16),"Bracket result for a player ranked below 16th",IF(AND($B$2="Final",$C57="",N($D57)&lt;=16),"Top 16: enter the bracket result","OK")))))))</f>
        <v/>
      </c>
    </row>
    <row r="58">
      <c r="D58" s="11">
        <f>IF(OR($A58="",NOT(ISNUMBER($B58))),"",COUNTIF($B$6:$B$155,"&lt;"&amp;$B58)+1)</f>
        <v/>
      </c>
      <c r="E58" s="11">
        <f>IF($A58="","",COUNT($B$6:$B$155))</f>
        <v/>
      </c>
      <c r="F58" s="11">
        <f>IF(OR($A58="",$B$2="Not started"),"",IF($C58&lt;&gt;"",IFERROR(VLOOKUP($C58,Points!$D$2:$E$6,2,FALSE),""),IF(NOT(ISNUMBER($B58)),"",IF($D58&lt;=16,Points!$E$6,IF($D58&lt;=32,Points!$H$2,Points!$H$3)))))</f>
        <v/>
      </c>
      <c r="G58" s="11">
        <f>IF($A58="","",IF($B$2="Final","Final",IF($B$2="In progress","Projected","Not started")))</f>
        <v/>
      </c>
      <c r="H58" s="11">
        <f>IF($A58="","",IF(COUNTIF(Players!$A$2:$A$500,$A58)=0,"Player is not on the Players tab",IF(COUNTIF($A$6:$A$155,$A58)&gt;1,"Player is listed twice",IF($B$2="Not started","Set Status to In progress to count points",IF(AND($C58="",NOT(ISNUMBER($B58))),"Enter a qualifying score",IF(AND($C58&lt;&gt;"",ISNUMBER($D58),N($D58)&gt;16),"Bracket result for a player ranked below 16th",IF(AND($B$2="Final",$C58="",N($D58)&lt;=16),"Top 16: enter the bracket result","OK")))))))</f>
        <v/>
      </c>
    </row>
    <row r="59">
      <c r="D59" s="11">
        <f>IF(OR($A59="",NOT(ISNUMBER($B59))),"",COUNTIF($B$6:$B$155,"&lt;"&amp;$B59)+1)</f>
        <v/>
      </c>
      <c r="E59" s="11">
        <f>IF($A59="","",COUNT($B$6:$B$155))</f>
        <v/>
      </c>
      <c r="F59" s="11">
        <f>IF(OR($A59="",$B$2="Not started"),"",IF($C59&lt;&gt;"",IFERROR(VLOOKUP($C59,Points!$D$2:$E$6,2,FALSE),""),IF(NOT(ISNUMBER($B59)),"",IF($D59&lt;=16,Points!$E$6,IF($D59&lt;=32,Points!$H$2,Points!$H$3)))))</f>
        <v/>
      </c>
      <c r="G59" s="11">
        <f>IF($A59="","",IF($B$2="Final","Final",IF($B$2="In progress","Projected","Not started")))</f>
        <v/>
      </c>
      <c r="H59" s="11">
        <f>IF($A59="","",IF(COUNTIF(Players!$A$2:$A$500,$A59)=0,"Player is not on the Players tab",IF(COUNTIF($A$6:$A$155,$A59)&gt;1,"Player is listed twice",IF($B$2="Not started","Set Status to In progress to count points",IF(AND($C59="",NOT(ISNUMBER($B59))),"Enter a qualifying score",IF(AND($C59&lt;&gt;"",ISNUMBER($D59),N($D59)&gt;16),"Bracket result for a player ranked below 16th",IF(AND($B$2="Final",$C59="",N($D59)&lt;=16),"Top 16: enter the bracket result","OK")))))))</f>
        <v/>
      </c>
    </row>
    <row r="60">
      <c r="D60" s="11">
        <f>IF(OR($A60="",NOT(ISNUMBER($B60))),"",COUNTIF($B$6:$B$155,"&lt;"&amp;$B60)+1)</f>
        <v/>
      </c>
      <c r="E60" s="11">
        <f>IF($A60="","",COUNT($B$6:$B$155))</f>
        <v/>
      </c>
      <c r="F60" s="11">
        <f>IF(OR($A60="",$B$2="Not started"),"",IF($C60&lt;&gt;"",IFERROR(VLOOKUP($C60,Points!$D$2:$E$6,2,FALSE),""),IF(NOT(ISNUMBER($B60)),"",IF($D60&lt;=16,Points!$E$6,IF($D60&lt;=32,Points!$H$2,Points!$H$3)))))</f>
        <v/>
      </c>
      <c r="G60" s="11">
        <f>IF($A60="","",IF($B$2="Final","Final",IF($B$2="In progress","Projected","Not started")))</f>
        <v/>
      </c>
      <c r="H60" s="11">
        <f>IF($A60="","",IF(COUNTIF(Players!$A$2:$A$500,$A60)=0,"Player is not on the Players tab",IF(COUNTIF($A$6:$A$155,$A60)&gt;1,"Player is listed twice",IF($B$2="Not started","Set Status to In progress to count points",IF(AND($C60="",NOT(ISNUMBER($B60))),"Enter a qualifying score",IF(AND($C60&lt;&gt;"",ISNUMBER($D60),N($D60)&gt;16),"Bracket result for a player ranked below 16th",IF(AND($B$2="Final",$C60="",N($D60)&lt;=16),"Top 16: enter the bracket result","OK")))))))</f>
        <v/>
      </c>
    </row>
    <row r="61">
      <c r="D61" s="11">
        <f>IF(OR($A61="",NOT(ISNUMBER($B61))),"",COUNTIF($B$6:$B$155,"&lt;"&amp;$B61)+1)</f>
        <v/>
      </c>
      <c r="E61" s="11">
        <f>IF($A61="","",COUNT($B$6:$B$155))</f>
        <v/>
      </c>
      <c r="F61" s="11">
        <f>IF(OR($A61="",$B$2="Not started"),"",IF($C61&lt;&gt;"",IFERROR(VLOOKUP($C61,Points!$D$2:$E$6,2,FALSE),""),IF(NOT(ISNUMBER($B61)),"",IF($D61&lt;=16,Points!$E$6,IF($D61&lt;=32,Points!$H$2,Points!$H$3)))))</f>
        <v/>
      </c>
      <c r="G61" s="11">
        <f>IF($A61="","",IF($B$2="Final","Final",IF($B$2="In progress","Projected","Not started")))</f>
        <v/>
      </c>
      <c r="H61" s="11">
        <f>IF($A61="","",IF(COUNTIF(Players!$A$2:$A$500,$A61)=0,"Player is not on the Players tab",IF(COUNTIF($A$6:$A$155,$A61)&gt;1,"Player is listed twice",IF($B$2="Not started","Set Status to In progress to count points",IF(AND($C61="",NOT(ISNUMBER($B61))),"Enter a qualifying score",IF(AND($C61&lt;&gt;"",ISNUMBER($D61),N($D61)&gt;16),"Bracket result for a player ranked below 16th",IF(AND($B$2="Final",$C61="",N($D61)&lt;=16),"Top 16: enter the bracket result","OK")))))))</f>
        <v/>
      </c>
    </row>
    <row r="62">
      <c r="D62" s="11">
        <f>IF(OR($A62="",NOT(ISNUMBER($B62))),"",COUNTIF($B$6:$B$155,"&lt;"&amp;$B62)+1)</f>
        <v/>
      </c>
      <c r="E62" s="11">
        <f>IF($A62="","",COUNT($B$6:$B$155))</f>
        <v/>
      </c>
      <c r="F62" s="11">
        <f>IF(OR($A62="",$B$2="Not started"),"",IF($C62&lt;&gt;"",IFERROR(VLOOKUP($C62,Points!$D$2:$E$6,2,FALSE),""),IF(NOT(ISNUMBER($B62)),"",IF($D62&lt;=16,Points!$E$6,IF($D62&lt;=32,Points!$H$2,Points!$H$3)))))</f>
        <v/>
      </c>
      <c r="G62" s="11">
        <f>IF($A62="","",IF($B$2="Final","Final",IF($B$2="In progress","Projected","Not started")))</f>
        <v/>
      </c>
      <c r="H62" s="11">
        <f>IF($A62="","",IF(COUNTIF(Players!$A$2:$A$500,$A62)=0,"Player is not on the Players tab",IF(COUNTIF($A$6:$A$155,$A62)&gt;1,"Player is listed twice",IF($B$2="Not started","Set Status to In progress to count points",IF(AND($C62="",NOT(ISNUMBER($B62))),"Enter a qualifying score",IF(AND($C62&lt;&gt;"",ISNUMBER($D62),N($D62)&gt;16),"Bracket result for a player ranked below 16th",IF(AND($B$2="Final",$C62="",N($D62)&lt;=16),"Top 16: enter the bracket result","OK")))))))</f>
        <v/>
      </c>
    </row>
    <row r="63">
      <c r="D63" s="11">
        <f>IF(OR($A63="",NOT(ISNUMBER($B63))),"",COUNTIF($B$6:$B$155,"&lt;"&amp;$B63)+1)</f>
        <v/>
      </c>
      <c r="E63" s="11">
        <f>IF($A63="","",COUNT($B$6:$B$155))</f>
        <v/>
      </c>
      <c r="F63" s="11">
        <f>IF(OR($A63="",$B$2="Not started"),"",IF($C63&lt;&gt;"",IFERROR(VLOOKUP($C63,Points!$D$2:$E$6,2,FALSE),""),IF(NOT(ISNUMBER($B63)),"",IF($D63&lt;=16,Points!$E$6,IF($D63&lt;=32,Points!$H$2,Points!$H$3)))))</f>
        <v/>
      </c>
      <c r="G63" s="11">
        <f>IF($A63="","",IF($B$2="Final","Final",IF($B$2="In progress","Projected","Not started")))</f>
        <v/>
      </c>
      <c r="H63" s="11">
        <f>IF($A63="","",IF(COUNTIF(Players!$A$2:$A$500,$A63)=0,"Player is not on the Players tab",IF(COUNTIF($A$6:$A$155,$A63)&gt;1,"Player is listed twice",IF($B$2="Not started","Set Status to In progress to count points",IF(AND($C63="",NOT(ISNUMBER($B63))),"Enter a qualifying score",IF(AND($C63&lt;&gt;"",ISNUMBER($D63),N($D63)&gt;16),"Bracket result for a player ranked below 16th",IF(AND($B$2="Final",$C63="",N($D63)&lt;=16),"Top 16: enter the bracket result","OK")))))))</f>
        <v/>
      </c>
    </row>
    <row r="64">
      <c r="D64" s="11">
        <f>IF(OR($A64="",NOT(ISNUMBER($B64))),"",COUNTIF($B$6:$B$155,"&lt;"&amp;$B64)+1)</f>
        <v/>
      </c>
      <c r="E64" s="11">
        <f>IF($A64="","",COUNT($B$6:$B$155))</f>
        <v/>
      </c>
      <c r="F64" s="11">
        <f>IF(OR($A64="",$B$2="Not started"),"",IF($C64&lt;&gt;"",IFERROR(VLOOKUP($C64,Points!$D$2:$E$6,2,FALSE),""),IF(NOT(ISNUMBER($B64)),"",IF($D64&lt;=16,Points!$E$6,IF($D64&lt;=32,Points!$H$2,Points!$H$3)))))</f>
        <v/>
      </c>
      <c r="G64" s="11">
        <f>IF($A64="","",IF($B$2="Final","Final",IF($B$2="In progress","Projected","Not started")))</f>
        <v/>
      </c>
      <c r="H64" s="11">
        <f>IF($A64="","",IF(COUNTIF(Players!$A$2:$A$500,$A64)=0,"Player is not on the Players tab",IF(COUNTIF($A$6:$A$155,$A64)&gt;1,"Player is listed twice",IF($B$2="Not started","Set Status to In progress to count points",IF(AND($C64="",NOT(ISNUMBER($B64))),"Enter a qualifying score",IF(AND($C64&lt;&gt;"",ISNUMBER($D64),N($D64)&gt;16),"Bracket result for a player ranked below 16th",IF(AND($B$2="Final",$C64="",N($D64)&lt;=16),"Top 16: enter the bracket result","OK")))))))</f>
        <v/>
      </c>
    </row>
    <row r="65">
      <c r="D65" s="11">
        <f>IF(OR($A65="",NOT(ISNUMBER($B65))),"",COUNTIF($B$6:$B$155,"&lt;"&amp;$B65)+1)</f>
        <v/>
      </c>
      <c r="E65" s="11">
        <f>IF($A65="","",COUNT($B$6:$B$155))</f>
        <v/>
      </c>
      <c r="F65" s="11">
        <f>IF(OR($A65="",$B$2="Not started"),"",IF($C65&lt;&gt;"",IFERROR(VLOOKUP($C65,Points!$D$2:$E$6,2,FALSE),""),IF(NOT(ISNUMBER($B65)),"",IF($D65&lt;=16,Points!$E$6,IF($D65&lt;=32,Points!$H$2,Points!$H$3)))))</f>
        <v/>
      </c>
      <c r="G65" s="11">
        <f>IF($A65="","",IF($B$2="Final","Final",IF($B$2="In progress","Projected","Not started")))</f>
        <v/>
      </c>
      <c r="H65" s="11">
        <f>IF($A65="","",IF(COUNTIF(Players!$A$2:$A$500,$A65)=0,"Player is not on the Players tab",IF(COUNTIF($A$6:$A$155,$A65)&gt;1,"Player is listed twice",IF($B$2="Not started","Set Status to In progress to count points",IF(AND($C65="",NOT(ISNUMBER($B65))),"Enter a qualifying score",IF(AND($C65&lt;&gt;"",ISNUMBER($D65),N($D65)&gt;16),"Bracket result for a player ranked below 16th",IF(AND($B$2="Final",$C65="",N($D65)&lt;=16),"Top 16: enter the bracket result","OK")))))))</f>
        <v/>
      </c>
    </row>
    <row r="66">
      <c r="D66" s="11">
        <f>IF(OR($A66="",NOT(ISNUMBER($B66))),"",COUNTIF($B$6:$B$155,"&lt;"&amp;$B66)+1)</f>
        <v/>
      </c>
      <c r="E66" s="11">
        <f>IF($A66="","",COUNT($B$6:$B$155))</f>
        <v/>
      </c>
      <c r="F66" s="11">
        <f>IF(OR($A66="",$B$2="Not started"),"",IF($C66&lt;&gt;"",IFERROR(VLOOKUP($C66,Points!$D$2:$E$6,2,FALSE),""),IF(NOT(ISNUMBER($B66)),"",IF($D66&lt;=16,Points!$E$6,IF($D66&lt;=32,Points!$H$2,Points!$H$3)))))</f>
        <v/>
      </c>
      <c r="G66" s="11">
        <f>IF($A66="","",IF($B$2="Final","Final",IF($B$2="In progress","Projected","Not started")))</f>
        <v/>
      </c>
      <c r="H66" s="11">
        <f>IF($A66="","",IF(COUNTIF(Players!$A$2:$A$500,$A66)=0,"Player is not on the Players tab",IF(COUNTIF($A$6:$A$155,$A66)&gt;1,"Player is listed twice",IF($B$2="Not started","Set Status to In progress to count points",IF(AND($C66="",NOT(ISNUMBER($B66))),"Enter a qualifying score",IF(AND($C66&lt;&gt;"",ISNUMBER($D66),N($D66)&gt;16),"Bracket result for a player ranked below 16th",IF(AND($B$2="Final",$C66="",N($D66)&lt;=16),"Top 16: enter the bracket result","OK")))))))</f>
        <v/>
      </c>
    </row>
    <row r="67">
      <c r="D67" s="11">
        <f>IF(OR($A67="",NOT(ISNUMBER($B67))),"",COUNTIF($B$6:$B$155,"&lt;"&amp;$B67)+1)</f>
        <v/>
      </c>
      <c r="E67" s="11">
        <f>IF($A67="","",COUNT($B$6:$B$155))</f>
        <v/>
      </c>
      <c r="F67" s="11">
        <f>IF(OR($A67="",$B$2="Not started"),"",IF($C67&lt;&gt;"",IFERROR(VLOOKUP($C67,Points!$D$2:$E$6,2,FALSE),""),IF(NOT(ISNUMBER($B67)),"",IF($D67&lt;=16,Points!$E$6,IF($D67&lt;=32,Points!$H$2,Points!$H$3)))))</f>
        <v/>
      </c>
      <c r="G67" s="11">
        <f>IF($A67="","",IF($B$2="Final","Final",IF($B$2="In progress","Projected","Not started")))</f>
        <v/>
      </c>
      <c r="H67" s="11">
        <f>IF($A67="","",IF(COUNTIF(Players!$A$2:$A$500,$A67)=0,"Player is not on the Players tab",IF(COUNTIF($A$6:$A$155,$A67)&gt;1,"Player is listed twice",IF($B$2="Not started","Set Status to In progress to count points",IF(AND($C67="",NOT(ISNUMBER($B67))),"Enter a qualifying score",IF(AND($C67&lt;&gt;"",ISNUMBER($D67),N($D67)&gt;16),"Bracket result for a player ranked below 16th",IF(AND($B$2="Final",$C67="",N($D67)&lt;=16),"Top 16: enter the bracket result","OK")))))))</f>
        <v/>
      </c>
    </row>
    <row r="68">
      <c r="D68" s="11">
        <f>IF(OR($A68="",NOT(ISNUMBER($B68))),"",COUNTIF($B$6:$B$155,"&lt;"&amp;$B68)+1)</f>
        <v/>
      </c>
      <c r="E68" s="11">
        <f>IF($A68="","",COUNT($B$6:$B$155))</f>
        <v/>
      </c>
      <c r="F68" s="11">
        <f>IF(OR($A68="",$B$2="Not started"),"",IF($C68&lt;&gt;"",IFERROR(VLOOKUP($C68,Points!$D$2:$E$6,2,FALSE),""),IF(NOT(ISNUMBER($B68)),"",IF($D68&lt;=16,Points!$E$6,IF($D68&lt;=32,Points!$H$2,Points!$H$3)))))</f>
        <v/>
      </c>
      <c r="G68" s="11">
        <f>IF($A68="","",IF($B$2="Final","Final",IF($B$2="In progress","Projected","Not started")))</f>
        <v/>
      </c>
      <c r="H68" s="11">
        <f>IF($A68="","",IF(COUNTIF(Players!$A$2:$A$500,$A68)=0,"Player is not on the Players tab",IF(COUNTIF($A$6:$A$155,$A68)&gt;1,"Player is listed twice",IF($B$2="Not started","Set Status to In progress to count points",IF(AND($C68="",NOT(ISNUMBER($B68))),"Enter a qualifying score",IF(AND($C68&lt;&gt;"",ISNUMBER($D68),N($D68)&gt;16),"Bracket result for a player ranked below 16th",IF(AND($B$2="Final",$C68="",N($D68)&lt;=16),"Top 16: enter the bracket result","OK")))))))</f>
        <v/>
      </c>
    </row>
    <row r="69">
      <c r="D69" s="11">
        <f>IF(OR($A69="",NOT(ISNUMBER($B69))),"",COUNTIF($B$6:$B$155,"&lt;"&amp;$B69)+1)</f>
        <v/>
      </c>
      <c r="E69" s="11">
        <f>IF($A69="","",COUNT($B$6:$B$155))</f>
        <v/>
      </c>
      <c r="F69" s="11">
        <f>IF(OR($A69="",$B$2="Not started"),"",IF($C69&lt;&gt;"",IFERROR(VLOOKUP($C69,Points!$D$2:$E$6,2,FALSE),""),IF(NOT(ISNUMBER($B69)),"",IF($D69&lt;=16,Points!$E$6,IF($D69&lt;=32,Points!$H$2,Points!$H$3)))))</f>
        <v/>
      </c>
      <c r="G69" s="11">
        <f>IF($A69="","",IF($B$2="Final","Final",IF($B$2="In progress","Projected","Not started")))</f>
        <v/>
      </c>
      <c r="H69" s="11">
        <f>IF($A69="","",IF(COUNTIF(Players!$A$2:$A$500,$A69)=0,"Player is not on the Players tab",IF(COUNTIF($A$6:$A$155,$A69)&gt;1,"Player is listed twice",IF($B$2="Not started","Set Status to In progress to count points",IF(AND($C69="",NOT(ISNUMBER($B69))),"Enter a qualifying score",IF(AND($C69&lt;&gt;"",ISNUMBER($D69),N($D69)&gt;16),"Bracket result for a player ranked below 16th",IF(AND($B$2="Final",$C69="",N($D69)&lt;=16),"Top 16: enter the bracket result","OK")))))))</f>
        <v/>
      </c>
    </row>
    <row r="70">
      <c r="D70" s="11">
        <f>IF(OR($A70="",NOT(ISNUMBER($B70))),"",COUNTIF($B$6:$B$155,"&lt;"&amp;$B70)+1)</f>
        <v/>
      </c>
      <c r="E70" s="11">
        <f>IF($A70="","",COUNT($B$6:$B$155))</f>
        <v/>
      </c>
      <c r="F70" s="11">
        <f>IF(OR($A70="",$B$2="Not started"),"",IF($C70&lt;&gt;"",IFERROR(VLOOKUP($C70,Points!$D$2:$E$6,2,FALSE),""),IF(NOT(ISNUMBER($B70)),"",IF($D70&lt;=16,Points!$E$6,IF($D70&lt;=32,Points!$H$2,Points!$H$3)))))</f>
        <v/>
      </c>
      <c r="G70" s="11">
        <f>IF($A70="","",IF($B$2="Final","Final",IF($B$2="In progress","Projected","Not started")))</f>
        <v/>
      </c>
      <c r="H70" s="11">
        <f>IF($A70="","",IF(COUNTIF(Players!$A$2:$A$500,$A70)=0,"Player is not on the Players tab",IF(COUNTIF($A$6:$A$155,$A70)&gt;1,"Player is listed twice",IF($B$2="Not started","Set Status to In progress to count points",IF(AND($C70="",NOT(ISNUMBER($B70))),"Enter a qualifying score",IF(AND($C70&lt;&gt;"",ISNUMBER($D70),N($D70)&gt;16),"Bracket result for a player ranked below 16th",IF(AND($B$2="Final",$C70="",N($D70)&lt;=16),"Top 16: enter the bracket result","OK")))))))</f>
        <v/>
      </c>
    </row>
    <row r="71">
      <c r="D71" s="11">
        <f>IF(OR($A71="",NOT(ISNUMBER($B71))),"",COUNTIF($B$6:$B$155,"&lt;"&amp;$B71)+1)</f>
        <v/>
      </c>
      <c r="E71" s="11">
        <f>IF($A71="","",COUNT($B$6:$B$155))</f>
        <v/>
      </c>
      <c r="F71" s="11">
        <f>IF(OR($A71="",$B$2="Not started"),"",IF($C71&lt;&gt;"",IFERROR(VLOOKUP($C71,Points!$D$2:$E$6,2,FALSE),""),IF(NOT(ISNUMBER($B71)),"",IF($D71&lt;=16,Points!$E$6,IF($D71&lt;=32,Points!$H$2,Points!$H$3)))))</f>
        <v/>
      </c>
      <c r="G71" s="11">
        <f>IF($A71="","",IF($B$2="Final","Final",IF($B$2="In progress","Projected","Not started")))</f>
        <v/>
      </c>
      <c r="H71" s="11">
        <f>IF($A71="","",IF(COUNTIF(Players!$A$2:$A$500,$A71)=0,"Player is not on the Players tab",IF(COUNTIF($A$6:$A$155,$A71)&gt;1,"Player is listed twice",IF($B$2="Not started","Set Status to In progress to count points",IF(AND($C71="",NOT(ISNUMBER($B71))),"Enter a qualifying score",IF(AND($C71&lt;&gt;"",ISNUMBER($D71),N($D71)&gt;16),"Bracket result for a player ranked below 16th",IF(AND($B$2="Final",$C71="",N($D71)&lt;=16),"Top 16: enter the bracket result","OK")))))))</f>
        <v/>
      </c>
    </row>
    <row r="72">
      <c r="D72" s="11">
        <f>IF(OR($A72="",NOT(ISNUMBER($B72))),"",COUNTIF($B$6:$B$155,"&lt;"&amp;$B72)+1)</f>
        <v/>
      </c>
      <c r="E72" s="11">
        <f>IF($A72="","",COUNT($B$6:$B$155))</f>
        <v/>
      </c>
      <c r="F72" s="11">
        <f>IF(OR($A72="",$B$2="Not started"),"",IF($C72&lt;&gt;"",IFERROR(VLOOKUP($C72,Points!$D$2:$E$6,2,FALSE),""),IF(NOT(ISNUMBER($B72)),"",IF($D72&lt;=16,Points!$E$6,IF($D72&lt;=32,Points!$H$2,Points!$H$3)))))</f>
        <v/>
      </c>
      <c r="G72" s="11">
        <f>IF($A72="","",IF($B$2="Final","Final",IF($B$2="In progress","Projected","Not started")))</f>
        <v/>
      </c>
      <c r="H72" s="11">
        <f>IF($A72="","",IF(COUNTIF(Players!$A$2:$A$500,$A72)=0,"Player is not on the Players tab",IF(COUNTIF($A$6:$A$155,$A72)&gt;1,"Player is listed twice",IF($B$2="Not started","Set Status to In progress to count points",IF(AND($C72="",NOT(ISNUMBER($B72))),"Enter a qualifying score",IF(AND($C72&lt;&gt;"",ISNUMBER($D72),N($D72)&gt;16),"Bracket result for a player ranked below 16th",IF(AND($B$2="Final",$C72="",N($D72)&lt;=16),"Top 16: enter the bracket result","OK")))))))</f>
        <v/>
      </c>
    </row>
    <row r="73">
      <c r="D73" s="11">
        <f>IF(OR($A73="",NOT(ISNUMBER($B73))),"",COUNTIF($B$6:$B$155,"&lt;"&amp;$B73)+1)</f>
        <v/>
      </c>
      <c r="E73" s="11">
        <f>IF($A73="","",COUNT($B$6:$B$155))</f>
        <v/>
      </c>
      <c r="F73" s="11">
        <f>IF(OR($A73="",$B$2="Not started"),"",IF($C73&lt;&gt;"",IFERROR(VLOOKUP($C73,Points!$D$2:$E$6,2,FALSE),""),IF(NOT(ISNUMBER($B73)),"",IF($D73&lt;=16,Points!$E$6,IF($D73&lt;=32,Points!$H$2,Points!$H$3)))))</f>
        <v/>
      </c>
      <c r="G73" s="11">
        <f>IF($A73="","",IF($B$2="Final","Final",IF($B$2="In progress","Projected","Not started")))</f>
        <v/>
      </c>
      <c r="H73" s="11">
        <f>IF($A73="","",IF(COUNTIF(Players!$A$2:$A$500,$A73)=0,"Player is not on the Players tab",IF(COUNTIF($A$6:$A$155,$A73)&gt;1,"Player is listed twice",IF($B$2="Not started","Set Status to In progress to count points",IF(AND($C73="",NOT(ISNUMBER($B73))),"Enter a qualifying score",IF(AND($C73&lt;&gt;"",ISNUMBER($D73),N($D73)&gt;16),"Bracket result for a player ranked below 16th",IF(AND($B$2="Final",$C73="",N($D73)&lt;=16),"Top 16: enter the bracket result","OK")))))))</f>
        <v/>
      </c>
    </row>
    <row r="74">
      <c r="D74" s="11">
        <f>IF(OR($A74="",NOT(ISNUMBER($B74))),"",COUNTIF($B$6:$B$155,"&lt;"&amp;$B74)+1)</f>
        <v/>
      </c>
      <c r="E74" s="11">
        <f>IF($A74="","",COUNT($B$6:$B$155))</f>
        <v/>
      </c>
      <c r="F74" s="11">
        <f>IF(OR($A74="",$B$2="Not started"),"",IF($C74&lt;&gt;"",IFERROR(VLOOKUP($C74,Points!$D$2:$E$6,2,FALSE),""),IF(NOT(ISNUMBER($B74)),"",IF($D74&lt;=16,Points!$E$6,IF($D74&lt;=32,Points!$H$2,Points!$H$3)))))</f>
        <v/>
      </c>
      <c r="G74" s="11">
        <f>IF($A74="","",IF($B$2="Final","Final",IF($B$2="In progress","Projected","Not started")))</f>
        <v/>
      </c>
      <c r="H74" s="11">
        <f>IF($A74="","",IF(COUNTIF(Players!$A$2:$A$500,$A74)=0,"Player is not on the Players tab",IF(COUNTIF($A$6:$A$155,$A74)&gt;1,"Player is listed twice",IF($B$2="Not started","Set Status to In progress to count points",IF(AND($C74="",NOT(ISNUMBER($B74))),"Enter a qualifying score",IF(AND($C74&lt;&gt;"",ISNUMBER($D74),N($D74)&gt;16),"Bracket result for a player ranked below 16th",IF(AND($B$2="Final",$C74="",N($D74)&lt;=16),"Top 16: enter the bracket result","OK")))))))</f>
        <v/>
      </c>
    </row>
    <row r="75">
      <c r="D75" s="11">
        <f>IF(OR($A75="",NOT(ISNUMBER($B75))),"",COUNTIF($B$6:$B$155,"&lt;"&amp;$B75)+1)</f>
        <v/>
      </c>
      <c r="E75" s="11">
        <f>IF($A75="","",COUNT($B$6:$B$155))</f>
        <v/>
      </c>
      <c r="F75" s="11">
        <f>IF(OR($A75="",$B$2="Not started"),"",IF($C75&lt;&gt;"",IFERROR(VLOOKUP($C75,Points!$D$2:$E$6,2,FALSE),""),IF(NOT(ISNUMBER($B75)),"",IF($D75&lt;=16,Points!$E$6,IF($D75&lt;=32,Points!$H$2,Points!$H$3)))))</f>
        <v/>
      </c>
      <c r="G75" s="11">
        <f>IF($A75="","",IF($B$2="Final","Final",IF($B$2="In progress","Projected","Not started")))</f>
        <v/>
      </c>
      <c r="H75" s="11">
        <f>IF($A75="","",IF(COUNTIF(Players!$A$2:$A$500,$A75)=0,"Player is not on the Players tab",IF(COUNTIF($A$6:$A$155,$A75)&gt;1,"Player is listed twice",IF($B$2="Not started","Set Status to In progress to count points",IF(AND($C75="",NOT(ISNUMBER($B75))),"Enter a qualifying score",IF(AND($C75&lt;&gt;"",ISNUMBER($D75),N($D75)&gt;16),"Bracket result for a player ranked below 16th",IF(AND($B$2="Final",$C75="",N($D75)&lt;=16),"Top 16: enter the bracket result","OK")))))))</f>
        <v/>
      </c>
    </row>
    <row r="76">
      <c r="D76" s="11">
        <f>IF(OR($A76="",NOT(ISNUMBER($B76))),"",COUNTIF($B$6:$B$155,"&lt;"&amp;$B76)+1)</f>
        <v/>
      </c>
      <c r="E76" s="11">
        <f>IF($A76="","",COUNT($B$6:$B$155))</f>
        <v/>
      </c>
      <c r="F76" s="11">
        <f>IF(OR($A76="",$B$2="Not started"),"",IF($C76&lt;&gt;"",IFERROR(VLOOKUP($C76,Points!$D$2:$E$6,2,FALSE),""),IF(NOT(ISNUMBER($B76)),"",IF($D76&lt;=16,Points!$E$6,IF($D76&lt;=32,Points!$H$2,Points!$H$3)))))</f>
        <v/>
      </c>
      <c r="G76" s="11">
        <f>IF($A76="","",IF($B$2="Final","Final",IF($B$2="In progress","Projected","Not started")))</f>
        <v/>
      </c>
      <c r="H76" s="11">
        <f>IF($A76="","",IF(COUNTIF(Players!$A$2:$A$500,$A76)=0,"Player is not on the Players tab",IF(COUNTIF($A$6:$A$155,$A76)&gt;1,"Player is listed twice",IF($B$2="Not started","Set Status to In progress to count points",IF(AND($C76="",NOT(ISNUMBER($B76))),"Enter a qualifying score",IF(AND($C76&lt;&gt;"",ISNUMBER($D76),N($D76)&gt;16),"Bracket result for a player ranked below 16th",IF(AND($B$2="Final",$C76="",N($D76)&lt;=16),"Top 16: enter the bracket result","OK")))))))</f>
        <v/>
      </c>
    </row>
    <row r="77">
      <c r="D77" s="11">
        <f>IF(OR($A77="",NOT(ISNUMBER($B77))),"",COUNTIF($B$6:$B$155,"&lt;"&amp;$B77)+1)</f>
        <v/>
      </c>
      <c r="E77" s="11">
        <f>IF($A77="","",COUNT($B$6:$B$155))</f>
        <v/>
      </c>
      <c r="F77" s="11">
        <f>IF(OR($A77="",$B$2="Not started"),"",IF($C77&lt;&gt;"",IFERROR(VLOOKUP($C77,Points!$D$2:$E$6,2,FALSE),""),IF(NOT(ISNUMBER($B77)),"",IF($D77&lt;=16,Points!$E$6,IF($D77&lt;=32,Points!$H$2,Points!$H$3)))))</f>
        <v/>
      </c>
      <c r="G77" s="11">
        <f>IF($A77="","",IF($B$2="Final","Final",IF($B$2="In progress","Projected","Not started")))</f>
        <v/>
      </c>
      <c r="H77" s="11">
        <f>IF($A77="","",IF(COUNTIF(Players!$A$2:$A$500,$A77)=0,"Player is not on the Players tab",IF(COUNTIF($A$6:$A$155,$A77)&gt;1,"Player is listed twice",IF($B$2="Not started","Set Status to In progress to count points",IF(AND($C77="",NOT(ISNUMBER($B77))),"Enter a qualifying score",IF(AND($C77&lt;&gt;"",ISNUMBER($D77),N($D77)&gt;16),"Bracket result for a player ranked below 16th",IF(AND($B$2="Final",$C77="",N($D77)&lt;=16),"Top 16: enter the bracket result","OK")))))))</f>
        <v/>
      </c>
    </row>
    <row r="78">
      <c r="D78" s="11">
        <f>IF(OR($A78="",NOT(ISNUMBER($B78))),"",COUNTIF($B$6:$B$155,"&lt;"&amp;$B78)+1)</f>
        <v/>
      </c>
      <c r="E78" s="11">
        <f>IF($A78="","",COUNT($B$6:$B$155))</f>
        <v/>
      </c>
      <c r="F78" s="11">
        <f>IF(OR($A78="",$B$2="Not started"),"",IF($C78&lt;&gt;"",IFERROR(VLOOKUP($C78,Points!$D$2:$E$6,2,FALSE),""),IF(NOT(ISNUMBER($B78)),"",IF($D78&lt;=16,Points!$E$6,IF($D78&lt;=32,Points!$H$2,Points!$H$3)))))</f>
        <v/>
      </c>
      <c r="G78" s="11">
        <f>IF($A78="","",IF($B$2="Final","Final",IF($B$2="In progress","Projected","Not started")))</f>
        <v/>
      </c>
      <c r="H78" s="11">
        <f>IF($A78="","",IF(COUNTIF(Players!$A$2:$A$500,$A78)=0,"Player is not on the Players tab",IF(COUNTIF($A$6:$A$155,$A78)&gt;1,"Player is listed twice",IF($B$2="Not started","Set Status to In progress to count points",IF(AND($C78="",NOT(ISNUMBER($B78))),"Enter a qualifying score",IF(AND($C78&lt;&gt;"",ISNUMBER($D78),N($D78)&gt;16),"Bracket result for a player ranked below 16th",IF(AND($B$2="Final",$C78="",N($D78)&lt;=16),"Top 16: enter the bracket result","OK")))))))</f>
        <v/>
      </c>
    </row>
    <row r="79">
      <c r="D79" s="11">
        <f>IF(OR($A79="",NOT(ISNUMBER($B79))),"",COUNTIF($B$6:$B$155,"&lt;"&amp;$B79)+1)</f>
        <v/>
      </c>
      <c r="E79" s="11">
        <f>IF($A79="","",COUNT($B$6:$B$155))</f>
        <v/>
      </c>
      <c r="F79" s="11">
        <f>IF(OR($A79="",$B$2="Not started"),"",IF($C79&lt;&gt;"",IFERROR(VLOOKUP($C79,Points!$D$2:$E$6,2,FALSE),""),IF(NOT(ISNUMBER($B79)),"",IF($D79&lt;=16,Points!$E$6,IF($D79&lt;=32,Points!$H$2,Points!$H$3)))))</f>
        <v/>
      </c>
      <c r="G79" s="11">
        <f>IF($A79="","",IF($B$2="Final","Final",IF($B$2="In progress","Projected","Not started")))</f>
        <v/>
      </c>
      <c r="H79" s="11">
        <f>IF($A79="","",IF(COUNTIF(Players!$A$2:$A$500,$A79)=0,"Player is not on the Players tab",IF(COUNTIF($A$6:$A$155,$A79)&gt;1,"Player is listed twice",IF($B$2="Not started","Set Status to In progress to count points",IF(AND($C79="",NOT(ISNUMBER($B79))),"Enter a qualifying score",IF(AND($C79&lt;&gt;"",ISNUMBER($D79),N($D79)&gt;16),"Bracket result for a player ranked below 16th",IF(AND($B$2="Final",$C79="",N($D79)&lt;=16),"Top 16: enter the bracket result","OK")))))))</f>
        <v/>
      </c>
    </row>
    <row r="80">
      <c r="D80" s="11">
        <f>IF(OR($A80="",NOT(ISNUMBER($B80))),"",COUNTIF($B$6:$B$155,"&lt;"&amp;$B80)+1)</f>
        <v/>
      </c>
      <c r="E80" s="11">
        <f>IF($A80="","",COUNT($B$6:$B$155))</f>
        <v/>
      </c>
      <c r="F80" s="11">
        <f>IF(OR($A80="",$B$2="Not started"),"",IF($C80&lt;&gt;"",IFERROR(VLOOKUP($C80,Points!$D$2:$E$6,2,FALSE),""),IF(NOT(ISNUMBER($B80)),"",IF($D80&lt;=16,Points!$E$6,IF($D80&lt;=32,Points!$H$2,Points!$H$3)))))</f>
        <v/>
      </c>
      <c r="G80" s="11">
        <f>IF($A80="","",IF($B$2="Final","Final",IF($B$2="In progress","Projected","Not started")))</f>
        <v/>
      </c>
      <c r="H80" s="11">
        <f>IF($A80="","",IF(COUNTIF(Players!$A$2:$A$500,$A80)=0,"Player is not on the Players tab",IF(COUNTIF($A$6:$A$155,$A80)&gt;1,"Player is listed twice",IF($B$2="Not started","Set Status to In progress to count points",IF(AND($C80="",NOT(ISNUMBER($B80))),"Enter a qualifying score",IF(AND($C80&lt;&gt;"",ISNUMBER($D80),N($D80)&gt;16),"Bracket result for a player ranked below 16th",IF(AND($B$2="Final",$C80="",N($D80)&lt;=16),"Top 16: enter the bracket result","OK")))))))</f>
        <v/>
      </c>
    </row>
    <row r="81">
      <c r="D81" s="11">
        <f>IF(OR($A81="",NOT(ISNUMBER($B81))),"",COUNTIF($B$6:$B$155,"&lt;"&amp;$B81)+1)</f>
        <v/>
      </c>
      <c r="E81" s="11">
        <f>IF($A81="","",COUNT($B$6:$B$155))</f>
        <v/>
      </c>
      <c r="F81" s="11">
        <f>IF(OR($A81="",$B$2="Not started"),"",IF($C81&lt;&gt;"",IFERROR(VLOOKUP($C81,Points!$D$2:$E$6,2,FALSE),""),IF(NOT(ISNUMBER($B81)),"",IF($D81&lt;=16,Points!$E$6,IF($D81&lt;=32,Points!$H$2,Points!$H$3)))))</f>
        <v/>
      </c>
      <c r="G81" s="11">
        <f>IF($A81="","",IF($B$2="Final","Final",IF($B$2="In progress","Projected","Not started")))</f>
        <v/>
      </c>
      <c r="H81" s="11">
        <f>IF($A81="","",IF(COUNTIF(Players!$A$2:$A$500,$A81)=0,"Player is not on the Players tab",IF(COUNTIF($A$6:$A$155,$A81)&gt;1,"Player is listed twice",IF($B$2="Not started","Set Status to In progress to count points",IF(AND($C81="",NOT(ISNUMBER($B81))),"Enter a qualifying score",IF(AND($C81&lt;&gt;"",ISNUMBER($D81),N($D81)&gt;16),"Bracket result for a player ranked below 16th",IF(AND($B$2="Final",$C81="",N($D81)&lt;=16),"Top 16: enter the bracket result","OK")))))))</f>
        <v/>
      </c>
    </row>
    <row r="82">
      <c r="D82" s="11">
        <f>IF(OR($A82="",NOT(ISNUMBER($B82))),"",COUNTIF($B$6:$B$155,"&lt;"&amp;$B82)+1)</f>
        <v/>
      </c>
      <c r="E82" s="11">
        <f>IF($A82="","",COUNT($B$6:$B$155))</f>
        <v/>
      </c>
      <c r="F82" s="11">
        <f>IF(OR($A82="",$B$2="Not started"),"",IF($C82&lt;&gt;"",IFERROR(VLOOKUP($C82,Points!$D$2:$E$6,2,FALSE),""),IF(NOT(ISNUMBER($B82)),"",IF($D82&lt;=16,Points!$E$6,IF($D82&lt;=32,Points!$H$2,Points!$H$3)))))</f>
        <v/>
      </c>
      <c r="G82" s="11">
        <f>IF($A82="","",IF($B$2="Final","Final",IF($B$2="In progress","Projected","Not started")))</f>
        <v/>
      </c>
      <c r="H82" s="11">
        <f>IF($A82="","",IF(COUNTIF(Players!$A$2:$A$500,$A82)=0,"Player is not on the Players tab",IF(COUNTIF($A$6:$A$155,$A82)&gt;1,"Player is listed twice",IF($B$2="Not started","Set Status to In progress to count points",IF(AND($C82="",NOT(ISNUMBER($B82))),"Enter a qualifying score",IF(AND($C82&lt;&gt;"",ISNUMBER($D82),N($D82)&gt;16),"Bracket result for a player ranked below 16th",IF(AND($B$2="Final",$C82="",N($D82)&lt;=16),"Top 16: enter the bracket result","OK")))))))</f>
        <v/>
      </c>
    </row>
    <row r="83">
      <c r="D83" s="11">
        <f>IF(OR($A83="",NOT(ISNUMBER($B83))),"",COUNTIF($B$6:$B$155,"&lt;"&amp;$B83)+1)</f>
        <v/>
      </c>
      <c r="E83" s="11">
        <f>IF($A83="","",COUNT($B$6:$B$155))</f>
        <v/>
      </c>
      <c r="F83" s="11">
        <f>IF(OR($A83="",$B$2="Not started"),"",IF($C83&lt;&gt;"",IFERROR(VLOOKUP($C83,Points!$D$2:$E$6,2,FALSE),""),IF(NOT(ISNUMBER($B83)),"",IF($D83&lt;=16,Points!$E$6,IF($D83&lt;=32,Points!$H$2,Points!$H$3)))))</f>
        <v/>
      </c>
      <c r="G83" s="11">
        <f>IF($A83="","",IF($B$2="Final","Final",IF($B$2="In progress","Projected","Not started")))</f>
        <v/>
      </c>
      <c r="H83" s="11">
        <f>IF($A83="","",IF(COUNTIF(Players!$A$2:$A$500,$A83)=0,"Player is not on the Players tab",IF(COUNTIF($A$6:$A$155,$A83)&gt;1,"Player is listed twice",IF($B$2="Not started","Set Status to In progress to count points",IF(AND($C83="",NOT(ISNUMBER($B83))),"Enter a qualifying score",IF(AND($C83&lt;&gt;"",ISNUMBER($D83),N($D83)&gt;16),"Bracket result for a player ranked below 16th",IF(AND($B$2="Final",$C83="",N($D83)&lt;=16),"Top 16: enter the bracket result","OK")))))))</f>
        <v/>
      </c>
    </row>
    <row r="84">
      <c r="D84" s="11">
        <f>IF(OR($A84="",NOT(ISNUMBER($B84))),"",COUNTIF($B$6:$B$155,"&lt;"&amp;$B84)+1)</f>
        <v/>
      </c>
      <c r="E84" s="11">
        <f>IF($A84="","",COUNT($B$6:$B$155))</f>
        <v/>
      </c>
      <c r="F84" s="11">
        <f>IF(OR($A84="",$B$2="Not started"),"",IF($C84&lt;&gt;"",IFERROR(VLOOKUP($C84,Points!$D$2:$E$6,2,FALSE),""),IF(NOT(ISNUMBER($B84)),"",IF($D84&lt;=16,Points!$E$6,IF($D84&lt;=32,Points!$H$2,Points!$H$3)))))</f>
        <v/>
      </c>
      <c r="G84" s="11">
        <f>IF($A84="","",IF($B$2="Final","Final",IF($B$2="In progress","Projected","Not started")))</f>
        <v/>
      </c>
      <c r="H84" s="11">
        <f>IF($A84="","",IF(COUNTIF(Players!$A$2:$A$500,$A84)=0,"Player is not on the Players tab",IF(COUNTIF($A$6:$A$155,$A84)&gt;1,"Player is listed twice",IF($B$2="Not started","Set Status to In progress to count points",IF(AND($C84="",NOT(ISNUMBER($B84))),"Enter a qualifying score",IF(AND($C84&lt;&gt;"",ISNUMBER($D84),N($D84)&gt;16),"Bracket result for a player ranked below 16th",IF(AND($B$2="Final",$C84="",N($D84)&lt;=16),"Top 16: enter the bracket result","OK")))))))</f>
        <v/>
      </c>
    </row>
    <row r="85">
      <c r="D85" s="11">
        <f>IF(OR($A85="",NOT(ISNUMBER($B85))),"",COUNTIF($B$6:$B$155,"&lt;"&amp;$B85)+1)</f>
        <v/>
      </c>
      <c r="E85" s="11">
        <f>IF($A85="","",COUNT($B$6:$B$155))</f>
        <v/>
      </c>
      <c r="F85" s="11">
        <f>IF(OR($A85="",$B$2="Not started"),"",IF($C85&lt;&gt;"",IFERROR(VLOOKUP($C85,Points!$D$2:$E$6,2,FALSE),""),IF(NOT(ISNUMBER($B85)),"",IF($D85&lt;=16,Points!$E$6,IF($D85&lt;=32,Points!$H$2,Points!$H$3)))))</f>
        <v/>
      </c>
      <c r="G85" s="11">
        <f>IF($A85="","",IF($B$2="Final","Final",IF($B$2="In progress","Projected","Not started")))</f>
        <v/>
      </c>
      <c r="H85" s="11">
        <f>IF($A85="","",IF(COUNTIF(Players!$A$2:$A$500,$A85)=0,"Player is not on the Players tab",IF(COUNTIF($A$6:$A$155,$A85)&gt;1,"Player is listed twice",IF($B$2="Not started","Set Status to In progress to count points",IF(AND($C85="",NOT(ISNUMBER($B85))),"Enter a qualifying score",IF(AND($C85&lt;&gt;"",ISNUMBER($D85),N($D85)&gt;16),"Bracket result for a player ranked below 16th",IF(AND($B$2="Final",$C85="",N($D85)&lt;=16),"Top 16: enter the bracket result","OK")))))))</f>
        <v/>
      </c>
    </row>
    <row r="86">
      <c r="D86" s="11">
        <f>IF(OR($A86="",NOT(ISNUMBER($B86))),"",COUNTIF($B$6:$B$155,"&lt;"&amp;$B86)+1)</f>
        <v/>
      </c>
      <c r="E86" s="11">
        <f>IF($A86="","",COUNT($B$6:$B$155))</f>
        <v/>
      </c>
      <c r="F86" s="11">
        <f>IF(OR($A86="",$B$2="Not started"),"",IF($C86&lt;&gt;"",IFERROR(VLOOKUP($C86,Points!$D$2:$E$6,2,FALSE),""),IF(NOT(ISNUMBER($B86)),"",IF($D86&lt;=16,Points!$E$6,IF($D86&lt;=32,Points!$H$2,Points!$H$3)))))</f>
        <v/>
      </c>
      <c r="G86" s="11">
        <f>IF($A86="","",IF($B$2="Final","Final",IF($B$2="In progress","Projected","Not started")))</f>
        <v/>
      </c>
      <c r="H86" s="11">
        <f>IF($A86="","",IF(COUNTIF(Players!$A$2:$A$500,$A86)=0,"Player is not on the Players tab",IF(COUNTIF($A$6:$A$155,$A86)&gt;1,"Player is listed twice",IF($B$2="Not started","Set Status to In progress to count points",IF(AND($C86="",NOT(ISNUMBER($B86))),"Enter a qualifying score",IF(AND($C86&lt;&gt;"",ISNUMBER($D86),N($D86)&gt;16),"Bracket result for a player ranked below 16th",IF(AND($B$2="Final",$C86="",N($D86)&lt;=16),"Top 16: enter the bracket result","OK")))))))</f>
        <v/>
      </c>
    </row>
    <row r="87">
      <c r="D87" s="11">
        <f>IF(OR($A87="",NOT(ISNUMBER($B87))),"",COUNTIF($B$6:$B$155,"&lt;"&amp;$B87)+1)</f>
        <v/>
      </c>
      <c r="E87" s="11">
        <f>IF($A87="","",COUNT($B$6:$B$155))</f>
        <v/>
      </c>
      <c r="F87" s="11">
        <f>IF(OR($A87="",$B$2="Not started"),"",IF($C87&lt;&gt;"",IFERROR(VLOOKUP($C87,Points!$D$2:$E$6,2,FALSE),""),IF(NOT(ISNUMBER($B87)),"",IF($D87&lt;=16,Points!$E$6,IF($D87&lt;=32,Points!$H$2,Points!$H$3)))))</f>
        <v/>
      </c>
      <c r="G87" s="11">
        <f>IF($A87="","",IF($B$2="Final","Final",IF($B$2="In progress","Projected","Not started")))</f>
        <v/>
      </c>
      <c r="H87" s="11">
        <f>IF($A87="","",IF(COUNTIF(Players!$A$2:$A$500,$A87)=0,"Player is not on the Players tab",IF(COUNTIF($A$6:$A$155,$A87)&gt;1,"Player is listed twice",IF($B$2="Not started","Set Status to In progress to count points",IF(AND($C87="",NOT(ISNUMBER($B87))),"Enter a qualifying score",IF(AND($C87&lt;&gt;"",ISNUMBER($D87),N($D87)&gt;16),"Bracket result for a player ranked below 16th",IF(AND($B$2="Final",$C87="",N($D87)&lt;=16),"Top 16: enter the bracket result","OK")))))))</f>
        <v/>
      </c>
    </row>
    <row r="88">
      <c r="D88" s="11">
        <f>IF(OR($A88="",NOT(ISNUMBER($B88))),"",COUNTIF($B$6:$B$155,"&lt;"&amp;$B88)+1)</f>
        <v/>
      </c>
      <c r="E88" s="11">
        <f>IF($A88="","",COUNT($B$6:$B$155))</f>
        <v/>
      </c>
      <c r="F88" s="11">
        <f>IF(OR($A88="",$B$2="Not started"),"",IF($C88&lt;&gt;"",IFERROR(VLOOKUP($C88,Points!$D$2:$E$6,2,FALSE),""),IF(NOT(ISNUMBER($B88)),"",IF($D88&lt;=16,Points!$E$6,IF($D88&lt;=32,Points!$H$2,Points!$H$3)))))</f>
        <v/>
      </c>
      <c r="G88" s="11">
        <f>IF($A88="","",IF($B$2="Final","Final",IF($B$2="In progress","Projected","Not started")))</f>
        <v/>
      </c>
      <c r="H88" s="11">
        <f>IF($A88="","",IF(COUNTIF(Players!$A$2:$A$500,$A88)=0,"Player is not on the Players tab",IF(COUNTIF($A$6:$A$155,$A88)&gt;1,"Player is listed twice",IF($B$2="Not started","Set Status to In progress to count points",IF(AND($C88="",NOT(ISNUMBER($B88))),"Enter a qualifying score",IF(AND($C88&lt;&gt;"",ISNUMBER($D88),N($D88)&gt;16),"Bracket result for a player ranked below 16th",IF(AND($B$2="Final",$C88="",N($D88)&lt;=16),"Top 16: enter the bracket result","OK")))))))</f>
        <v/>
      </c>
    </row>
    <row r="89">
      <c r="D89" s="11">
        <f>IF(OR($A89="",NOT(ISNUMBER($B89))),"",COUNTIF($B$6:$B$155,"&lt;"&amp;$B89)+1)</f>
        <v/>
      </c>
      <c r="E89" s="11">
        <f>IF($A89="","",COUNT($B$6:$B$155))</f>
        <v/>
      </c>
      <c r="F89" s="11">
        <f>IF(OR($A89="",$B$2="Not started"),"",IF($C89&lt;&gt;"",IFERROR(VLOOKUP($C89,Points!$D$2:$E$6,2,FALSE),""),IF(NOT(ISNUMBER($B89)),"",IF($D89&lt;=16,Points!$E$6,IF($D89&lt;=32,Points!$H$2,Points!$H$3)))))</f>
        <v/>
      </c>
      <c r="G89" s="11">
        <f>IF($A89="","",IF($B$2="Final","Final",IF($B$2="In progress","Projected","Not started")))</f>
        <v/>
      </c>
      <c r="H89" s="11">
        <f>IF($A89="","",IF(COUNTIF(Players!$A$2:$A$500,$A89)=0,"Player is not on the Players tab",IF(COUNTIF($A$6:$A$155,$A89)&gt;1,"Player is listed twice",IF($B$2="Not started","Set Status to In progress to count points",IF(AND($C89="",NOT(ISNUMBER($B89))),"Enter a qualifying score",IF(AND($C89&lt;&gt;"",ISNUMBER($D89),N($D89)&gt;16),"Bracket result for a player ranked below 16th",IF(AND($B$2="Final",$C89="",N($D89)&lt;=16),"Top 16: enter the bracket result","OK")))))))</f>
        <v/>
      </c>
    </row>
    <row r="90">
      <c r="D90" s="11">
        <f>IF(OR($A90="",NOT(ISNUMBER($B90))),"",COUNTIF($B$6:$B$155,"&lt;"&amp;$B90)+1)</f>
        <v/>
      </c>
      <c r="E90" s="11">
        <f>IF($A90="","",COUNT($B$6:$B$155))</f>
        <v/>
      </c>
      <c r="F90" s="11">
        <f>IF(OR($A90="",$B$2="Not started"),"",IF($C90&lt;&gt;"",IFERROR(VLOOKUP($C90,Points!$D$2:$E$6,2,FALSE),""),IF(NOT(ISNUMBER($B90)),"",IF($D90&lt;=16,Points!$E$6,IF($D90&lt;=32,Points!$H$2,Points!$H$3)))))</f>
        <v/>
      </c>
      <c r="G90" s="11">
        <f>IF($A90="","",IF($B$2="Final","Final",IF($B$2="In progress","Projected","Not started")))</f>
        <v/>
      </c>
      <c r="H90" s="11">
        <f>IF($A90="","",IF(COUNTIF(Players!$A$2:$A$500,$A90)=0,"Player is not on the Players tab",IF(COUNTIF($A$6:$A$155,$A90)&gt;1,"Player is listed twice",IF($B$2="Not started","Set Status to In progress to count points",IF(AND($C90="",NOT(ISNUMBER($B90))),"Enter a qualifying score",IF(AND($C90&lt;&gt;"",ISNUMBER($D90),N($D90)&gt;16),"Bracket result for a player ranked below 16th",IF(AND($B$2="Final",$C90="",N($D90)&lt;=16),"Top 16: enter the bracket result","OK")))))))</f>
        <v/>
      </c>
    </row>
    <row r="91">
      <c r="D91" s="11">
        <f>IF(OR($A91="",NOT(ISNUMBER($B91))),"",COUNTIF($B$6:$B$155,"&lt;"&amp;$B91)+1)</f>
        <v/>
      </c>
      <c r="E91" s="11">
        <f>IF($A91="","",COUNT($B$6:$B$155))</f>
        <v/>
      </c>
      <c r="F91" s="11">
        <f>IF(OR($A91="",$B$2="Not started"),"",IF($C91&lt;&gt;"",IFERROR(VLOOKUP($C91,Points!$D$2:$E$6,2,FALSE),""),IF(NOT(ISNUMBER($B91)),"",IF($D91&lt;=16,Points!$E$6,IF($D91&lt;=32,Points!$H$2,Points!$H$3)))))</f>
        <v/>
      </c>
      <c r="G91" s="11">
        <f>IF($A91="","",IF($B$2="Final","Final",IF($B$2="In progress","Projected","Not started")))</f>
        <v/>
      </c>
      <c r="H91" s="11">
        <f>IF($A91="","",IF(COUNTIF(Players!$A$2:$A$500,$A91)=0,"Player is not on the Players tab",IF(COUNTIF($A$6:$A$155,$A91)&gt;1,"Player is listed twice",IF($B$2="Not started","Set Status to In progress to count points",IF(AND($C91="",NOT(ISNUMBER($B91))),"Enter a qualifying score",IF(AND($C91&lt;&gt;"",ISNUMBER($D91),N($D91)&gt;16),"Bracket result for a player ranked below 16th",IF(AND($B$2="Final",$C91="",N($D91)&lt;=16),"Top 16: enter the bracket result","OK")))))))</f>
        <v/>
      </c>
    </row>
    <row r="92">
      <c r="D92" s="11">
        <f>IF(OR($A92="",NOT(ISNUMBER($B92))),"",COUNTIF($B$6:$B$155,"&lt;"&amp;$B92)+1)</f>
        <v/>
      </c>
      <c r="E92" s="11">
        <f>IF($A92="","",COUNT($B$6:$B$155))</f>
        <v/>
      </c>
      <c r="F92" s="11">
        <f>IF(OR($A92="",$B$2="Not started"),"",IF($C92&lt;&gt;"",IFERROR(VLOOKUP($C92,Points!$D$2:$E$6,2,FALSE),""),IF(NOT(ISNUMBER($B92)),"",IF($D92&lt;=16,Points!$E$6,IF($D92&lt;=32,Points!$H$2,Points!$H$3)))))</f>
        <v/>
      </c>
      <c r="G92" s="11">
        <f>IF($A92="","",IF($B$2="Final","Final",IF($B$2="In progress","Projected","Not started")))</f>
        <v/>
      </c>
      <c r="H92" s="11">
        <f>IF($A92="","",IF(COUNTIF(Players!$A$2:$A$500,$A92)=0,"Player is not on the Players tab",IF(COUNTIF($A$6:$A$155,$A92)&gt;1,"Player is listed twice",IF($B$2="Not started","Set Status to In progress to count points",IF(AND($C92="",NOT(ISNUMBER($B92))),"Enter a qualifying score",IF(AND($C92&lt;&gt;"",ISNUMBER($D92),N($D92)&gt;16),"Bracket result for a player ranked below 16th",IF(AND($B$2="Final",$C92="",N($D92)&lt;=16),"Top 16: enter the bracket result","OK")))))))</f>
        <v/>
      </c>
    </row>
    <row r="93">
      <c r="D93" s="11">
        <f>IF(OR($A93="",NOT(ISNUMBER($B93))),"",COUNTIF($B$6:$B$155,"&lt;"&amp;$B93)+1)</f>
        <v/>
      </c>
      <c r="E93" s="11">
        <f>IF($A93="","",COUNT($B$6:$B$155))</f>
        <v/>
      </c>
      <c r="F93" s="11">
        <f>IF(OR($A93="",$B$2="Not started"),"",IF($C93&lt;&gt;"",IFERROR(VLOOKUP($C93,Points!$D$2:$E$6,2,FALSE),""),IF(NOT(ISNUMBER($B93)),"",IF($D93&lt;=16,Points!$E$6,IF($D93&lt;=32,Points!$H$2,Points!$H$3)))))</f>
        <v/>
      </c>
      <c r="G93" s="11">
        <f>IF($A93="","",IF($B$2="Final","Final",IF($B$2="In progress","Projected","Not started")))</f>
        <v/>
      </c>
      <c r="H93" s="11">
        <f>IF($A93="","",IF(COUNTIF(Players!$A$2:$A$500,$A93)=0,"Player is not on the Players tab",IF(COUNTIF($A$6:$A$155,$A93)&gt;1,"Player is listed twice",IF($B$2="Not started","Set Status to In progress to count points",IF(AND($C93="",NOT(ISNUMBER($B93))),"Enter a qualifying score",IF(AND($C93&lt;&gt;"",ISNUMBER($D93),N($D93)&gt;16),"Bracket result for a player ranked below 16th",IF(AND($B$2="Final",$C93="",N($D93)&lt;=16),"Top 16: enter the bracket result","OK")))))))</f>
        <v/>
      </c>
    </row>
    <row r="94">
      <c r="D94" s="11">
        <f>IF(OR($A94="",NOT(ISNUMBER($B94))),"",COUNTIF($B$6:$B$155,"&lt;"&amp;$B94)+1)</f>
        <v/>
      </c>
      <c r="E94" s="11">
        <f>IF($A94="","",COUNT($B$6:$B$155))</f>
        <v/>
      </c>
      <c r="F94" s="11">
        <f>IF(OR($A94="",$B$2="Not started"),"",IF($C94&lt;&gt;"",IFERROR(VLOOKUP($C94,Points!$D$2:$E$6,2,FALSE),""),IF(NOT(ISNUMBER($B94)),"",IF($D94&lt;=16,Points!$E$6,IF($D94&lt;=32,Points!$H$2,Points!$H$3)))))</f>
        <v/>
      </c>
      <c r="G94" s="11">
        <f>IF($A94="","",IF($B$2="Final","Final",IF($B$2="In progress","Projected","Not started")))</f>
        <v/>
      </c>
      <c r="H94" s="11">
        <f>IF($A94="","",IF(COUNTIF(Players!$A$2:$A$500,$A94)=0,"Player is not on the Players tab",IF(COUNTIF($A$6:$A$155,$A94)&gt;1,"Player is listed twice",IF($B$2="Not started","Set Status to In progress to count points",IF(AND($C94="",NOT(ISNUMBER($B94))),"Enter a qualifying score",IF(AND($C94&lt;&gt;"",ISNUMBER($D94),N($D94)&gt;16),"Bracket result for a player ranked below 16th",IF(AND($B$2="Final",$C94="",N($D94)&lt;=16),"Top 16: enter the bracket result","OK")))))))</f>
        <v/>
      </c>
    </row>
    <row r="95">
      <c r="D95" s="11">
        <f>IF(OR($A95="",NOT(ISNUMBER($B95))),"",COUNTIF($B$6:$B$155,"&lt;"&amp;$B95)+1)</f>
        <v/>
      </c>
      <c r="E95" s="11">
        <f>IF($A95="","",COUNT($B$6:$B$155))</f>
        <v/>
      </c>
      <c r="F95" s="11">
        <f>IF(OR($A95="",$B$2="Not started"),"",IF($C95&lt;&gt;"",IFERROR(VLOOKUP($C95,Points!$D$2:$E$6,2,FALSE),""),IF(NOT(ISNUMBER($B95)),"",IF($D95&lt;=16,Points!$E$6,IF($D95&lt;=32,Points!$H$2,Points!$H$3)))))</f>
        <v/>
      </c>
      <c r="G95" s="11">
        <f>IF($A95="","",IF($B$2="Final","Final",IF($B$2="In progress","Projected","Not started")))</f>
        <v/>
      </c>
      <c r="H95" s="11">
        <f>IF($A95="","",IF(COUNTIF(Players!$A$2:$A$500,$A95)=0,"Player is not on the Players tab",IF(COUNTIF($A$6:$A$155,$A95)&gt;1,"Player is listed twice",IF($B$2="Not started","Set Status to In progress to count points",IF(AND($C95="",NOT(ISNUMBER($B95))),"Enter a qualifying score",IF(AND($C95&lt;&gt;"",ISNUMBER($D95),N($D95)&gt;16),"Bracket result for a player ranked below 16th",IF(AND($B$2="Final",$C95="",N($D95)&lt;=16),"Top 16: enter the bracket result","OK")))))))</f>
        <v/>
      </c>
    </row>
    <row r="96">
      <c r="D96" s="11">
        <f>IF(OR($A96="",NOT(ISNUMBER($B96))),"",COUNTIF($B$6:$B$155,"&lt;"&amp;$B96)+1)</f>
        <v/>
      </c>
      <c r="E96" s="11">
        <f>IF($A96="","",COUNT($B$6:$B$155))</f>
        <v/>
      </c>
      <c r="F96" s="11">
        <f>IF(OR($A96="",$B$2="Not started"),"",IF($C96&lt;&gt;"",IFERROR(VLOOKUP($C96,Points!$D$2:$E$6,2,FALSE),""),IF(NOT(ISNUMBER($B96)),"",IF($D96&lt;=16,Points!$E$6,IF($D96&lt;=32,Points!$H$2,Points!$H$3)))))</f>
        <v/>
      </c>
      <c r="G96" s="11">
        <f>IF($A96="","",IF($B$2="Final","Final",IF($B$2="In progress","Projected","Not started")))</f>
        <v/>
      </c>
      <c r="H96" s="11">
        <f>IF($A96="","",IF(COUNTIF(Players!$A$2:$A$500,$A96)=0,"Player is not on the Players tab",IF(COUNTIF($A$6:$A$155,$A96)&gt;1,"Player is listed twice",IF($B$2="Not started","Set Status to In progress to count points",IF(AND($C96="",NOT(ISNUMBER($B96))),"Enter a qualifying score",IF(AND($C96&lt;&gt;"",ISNUMBER($D96),N($D96)&gt;16),"Bracket result for a player ranked below 16th",IF(AND($B$2="Final",$C96="",N($D96)&lt;=16),"Top 16: enter the bracket result","OK")))))))</f>
        <v/>
      </c>
    </row>
    <row r="97">
      <c r="D97" s="11">
        <f>IF(OR($A97="",NOT(ISNUMBER($B97))),"",COUNTIF($B$6:$B$155,"&lt;"&amp;$B97)+1)</f>
        <v/>
      </c>
      <c r="E97" s="11">
        <f>IF($A97="","",COUNT($B$6:$B$155))</f>
        <v/>
      </c>
      <c r="F97" s="11">
        <f>IF(OR($A97="",$B$2="Not started"),"",IF($C97&lt;&gt;"",IFERROR(VLOOKUP($C97,Points!$D$2:$E$6,2,FALSE),""),IF(NOT(ISNUMBER($B97)),"",IF($D97&lt;=16,Points!$E$6,IF($D97&lt;=32,Points!$H$2,Points!$H$3)))))</f>
        <v/>
      </c>
      <c r="G97" s="11">
        <f>IF($A97="","",IF($B$2="Final","Final",IF($B$2="In progress","Projected","Not started")))</f>
        <v/>
      </c>
      <c r="H97" s="11">
        <f>IF($A97="","",IF(COUNTIF(Players!$A$2:$A$500,$A97)=0,"Player is not on the Players tab",IF(COUNTIF($A$6:$A$155,$A97)&gt;1,"Player is listed twice",IF($B$2="Not started","Set Status to In progress to count points",IF(AND($C97="",NOT(ISNUMBER($B97))),"Enter a qualifying score",IF(AND($C97&lt;&gt;"",ISNUMBER($D97),N($D97)&gt;16),"Bracket result for a player ranked below 16th",IF(AND($B$2="Final",$C97="",N($D97)&lt;=16),"Top 16: enter the bracket result","OK")))))))</f>
        <v/>
      </c>
    </row>
    <row r="98">
      <c r="D98" s="11">
        <f>IF(OR($A98="",NOT(ISNUMBER($B98))),"",COUNTIF($B$6:$B$155,"&lt;"&amp;$B98)+1)</f>
        <v/>
      </c>
      <c r="E98" s="11">
        <f>IF($A98="","",COUNT($B$6:$B$155))</f>
        <v/>
      </c>
      <c r="F98" s="11">
        <f>IF(OR($A98="",$B$2="Not started"),"",IF($C98&lt;&gt;"",IFERROR(VLOOKUP($C98,Points!$D$2:$E$6,2,FALSE),""),IF(NOT(ISNUMBER($B98)),"",IF($D98&lt;=16,Points!$E$6,IF($D98&lt;=32,Points!$H$2,Points!$H$3)))))</f>
        <v/>
      </c>
      <c r="G98" s="11">
        <f>IF($A98="","",IF($B$2="Final","Final",IF($B$2="In progress","Projected","Not started")))</f>
        <v/>
      </c>
      <c r="H98" s="11">
        <f>IF($A98="","",IF(COUNTIF(Players!$A$2:$A$500,$A98)=0,"Player is not on the Players tab",IF(COUNTIF($A$6:$A$155,$A98)&gt;1,"Player is listed twice",IF($B$2="Not started","Set Status to In progress to count points",IF(AND($C98="",NOT(ISNUMBER($B98))),"Enter a qualifying score",IF(AND($C98&lt;&gt;"",ISNUMBER($D98),N($D98)&gt;16),"Bracket result for a player ranked below 16th",IF(AND($B$2="Final",$C98="",N($D98)&lt;=16),"Top 16: enter the bracket result","OK")))))))</f>
        <v/>
      </c>
    </row>
    <row r="99">
      <c r="D99" s="11">
        <f>IF(OR($A99="",NOT(ISNUMBER($B99))),"",COUNTIF($B$6:$B$155,"&lt;"&amp;$B99)+1)</f>
        <v/>
      </c>
      <c r="E99" s="11">
        <f>IF($A99="","",COUNT($B$6:$B$155))</f>
        <v/>
      </c>
      <c r="F99" s="11">
        <f>IF(OR($A99="",$B$2="Not started"),"",IF($C99&lt;&gt;"",IFERROR(VLOOKUP($C99,Points!$D$2:$E$6,2,FALSE),""),IF(NOT(ISNUMBER($B99)),"",IF($D99&lt;=16,Points!$E$6,IF($D99&lt;=32,Points!$H$2,Points!$H$3)))))</f>
        <v/>
      </c>
      <c r="G99" s="11">
        <f>IF($A99="","",IF($B$2="Final","Final",IF($B$2="In progress","Projected","Not started")))</f>
        <v/>
      </c>
      <c r="H99" s="11">
        <f>IF($A99="","",IF(COUNTIF(Players!$A$2:$A$500,$A99)=0,"Player is not on the Players tab",IF(COUNTIF($A$6:$A$155,$A99)&gt;1,"Player is listed twice",IF($B$2="Not started","Set Status to In progress to count points",IF(AND($C99="",NOT(ISNUMBER($B99))),"Enter a qualifying score",IF(AND($C99&lt;&gt;"",ISNUMBER($D99),N($D99)&gt;16),"Bracket result for a player ranked below 16th",IF(AND($B$2="Final",$C99="",N($D99)&lt;=16),"Top 16: enter the bracket result","OK")))))))</f>
        <v/>
      </c>
    </row>
    <row r="100">
      <c r="D100" s="11">
        <f>IF(OR($A100="",NOT(ISNUMBER($B100))),"",COUNTIF($B$6:$B$155,"&lt;"&amp;$B100)+1)</f>
        <v/>
      </c>
      <c r="E100" s="11">
        <f>IF($A100="","",COUNT($B$6:$B$155))</f>
        <v/>
      </c>
      <c r="F100" s="11">
        <f>IF(OR($A100="",$B$2="Not started"),"",IF($C100&lt;&gt;"",IFERROR(VLOOKUP($C100,Points!$D$2:$E$6,2,FALSE),""),IF(NOT(ISNUMBER($B100)),"",IF($D100&lt;=16,Points!$E$6,IF($D100&lt;=32,Points!$H$2,Points!$H$3)))))</f>
        <v/>
      </c>
      <c r="G100" s="11">
        <f>IF($A100="","",IF($B$2="Final","Final",IF($B$2="In progress","Projected","Not started")))</f>
        <v/>
      </c>
      <c r="H100" s="11">
        <f>IF($A100="","",IF(COUNTIF(Players!$A$2:$A$500,$A100)=0,"Player is not on the Players tab",IF(COUNTIF($A$6:$A$155,$A100)&gt;1,"Player is listed twice",IF($B$2="Not started","Set Status to In progress to count points",IF(AND($C100="",NOT(ISNUMBER($B100))),"Enter a qualifying score",IF(AND($C100&lt;&gt;"",ISNUMBER($D100),N($D100)&gt;16),"Bracket result for a player ranked below 16th",IF(AND($B$2="Final",$C100="",N($D100)&lt;=16),"Top 16: enter the bracket result","OK")))))))</f>
        <v/>
      </c>
    </row>
    <row r="101">
      <c r="D101" s="11">
        <f>IF(OR($A101="",NOT(ISNUMBER($B101))),"",COUNTIF($B$6:$B$155,"&lt;"&amp;$B101)+1)</f>
        <v/>
      </c>
      <c r="E101" s="11">
        <f>IF($A101="","",COUNT($B$6:$B$155))</f>
        <v/>
      </c>
      <c r="F101" s="11">
        <f>IF(OR($A101="",$B$2="Not started"),"",IF($C101&lt;&gt;"",IFERROR(VLOOKUP($C101,Points!$D$2:$E$6,2,FALSE),""),IF(NOT(ISNUMBER($B101)),"",IF($D101&lt;=16,Points!$E$6,IF($D101&lt;=32,Points!$H$2,Points!$H$3)))))</f>
        <v/>
      </c>
      <c r="G101" s="11">
        <f>IF($A101="","",IF($B$2="Final","Final",IF($B$2="In progress","Projected","Not started")))</f>
        <v/>
      </c>
      <c r="H101" s="11">
        <f>IF($A101="","",IF(COUNTIF(Players!$A$2:$A$500,$A101)=0,"Player is not on the Players tab",IF(COUNTIF($A$6:$A$155,$A101)&gt;1,"Player is listed twice",IF($B$2="Not started","Set Status to In progress to count points",IF(AND($C101="",NOT(ISNUMBER($B101))),"Enter a qualifying score",IF(AND($C101&lt;&gt;"",ISNUMBER($D101),N($D101)&gt;16),"Bracket result for a player ranked below 16th",IF(AND($B$2="Final",$C101="",N($D101)&lt;=16),"Top 16: enter the bracket result","OK")))))))</f>
        <v/>
      </c>
    </row>
    <row r="102">
      <c r="D102" s="11">
        <f>IF(OR($A102="",NOT(ISNUMBER($B102))),"",COUNTIF($B$6:$B$155,"&lt;"&amp;$B102)+1)</f>
        <v/>
      </c>
      <c r="E102" s="11">
        <f>IF($A102="","",COUNT($B$6:$B$155))</f>
        <v/>
      </c>
      <c r="F102" s="11">
        <f>IF(OR($A102="",$B$2="Not started"),"",IF($C102&lt;&gt;"",IFERROR(VLOOKUP($C102,Points!$D$2:$E$6,2,FALSE),""),IF(NOT(ISNUMBER($B102)),"",IF($D102&lt;=16,Points!$E$6,IF($D102&lt;=32,Points!$H$2,Points!$H$3)))))</f>
        <v/>
      </c>
      <c r="G102" s="11">
        <f>IF($A102="","",IF($B$2="Final","Final",IF($B$2="In progress","Projected","Not started")))</f>
        <v/>
      </c>
      <c r="H102" s="11">
        <f>IF($A102="","",IF(COUNTIF(Players!$A$2:$A$500,$A102)=0,"Player is not on the Players tab",IF(COUNTIF($A$6:$A$155,$A102)&gt;1,"Player is listed twice",IF($B$2="Not started","Set Status to In progress to count points",IF(AND($C102="",NOT(ISNUMBER($B102))),"Enter a qualifying score",IF(AND($C102&lt;&gt;"",ISNUMBER($D102),N($D102)&gt;16),"Bracket result for a player ranked below 16th",IF(AND($B$2="Final",$C102="",N($D102)&lt;=16),"Top 16: enter the bracket result","OK")))))))</f>
        <v/>
      </c>
    </row>
    <row r="103">
      <c r="D103" s="11">
        <f>IF(OR($A103="",NOT(ISNUMBER($B103))),"",COUNTIF($B$6:$B$155,"&lt;"&amp;$B103)+1)</f>
        <v/>
      </c>
      <c r="E103" s="11">
        <f>IF($A103="","",COUNT($B$6:$B$155))</f>
        <v/>
      </c>
      <c r="F103" s="11">
        <f>IF(OR($A103="",$B$2="Not started"),"",IF($C103&lt;&gt;"",IFERROR(VLOOKUP($C103,Points!$D$2:$E$6,2,FALSE),""),IF(NOT(ISNUMBER($B103)),"",IF($D103&lt;=16,Points!$E$6,IF($D103&lt;=32,Points!$H$2,Points!$H$3)))))</f>
        <v/>
      </c>
      <c r="G103" s="11">
        <f>IF($A103="","",IF($B$2="Final","Final",IF($B$2="In progress","Projected","Not started")))</f>
        <v/>
      </c>
      <c r="H103" s="11">
        <f>IF($A103="","",IF(COUNTIF(Players!$A$2:$A$500,$A103)=0,"Player is not on the Players tab",IF(COUNTIF($A$6:$A$155,$A103)&gt;1,"Player is listed twice",IF($B$2="Not started","Set Status to In progress to count points",IF(AND($C103="",NOT(ISNUMBER($B103))),"Enter a qualifying score",IF(AND($C103&lt;&gt;"",ISNUMBER($D103),N($D103)&gt;16),"Bracket result for a player ranked below 16th",IF(AND($B$2="Final",$C103="",N($D103)&lt;=16),"Top 16: enter the bracket result","OK")))))))</f>
        <v/>
      </c>
    </row>
    <row r="104">
      <c r="D104" s="11">
        <f>IF(OR($A104="",NOT(ISNUMBER($B104))),"",COUNTIF($B$6:$B$155,"&lt;"&amp;$B104)+1)</f>
        <v/>
      </c>
      <c r="E104" s="11">
        <f>IF($A104="","",COUNT($B$6:$B$155))</f>
        <v/>
      </c>
      <c r="F104" s="11">
        <f>IF(OR($A104="",$B$2="Not started"),"",IF($C104&lt;&gt;"",IFERROR(VLOOKUP($C104,Points!$D$2:$E$6,2,FALSE),""),IF(NOT(ISNUMBER($B104)),"",IF($D104&lt;=16,Points!$E$6,IF($D104&lt;=32,Points!$H$2,Points!$H$3)))))</f>
        <v/>
      </c>
      <c r="G104" s="11">
        <f>IF($A104="","",IF($B$2="Final","Final",IF($B$2="In progress","Projected","Not started")))</f>
        <v/>
      </c>
      <c r="H104" s="11">
        <f>IF($A104="","",IF(COUNTIF(Players!$A$2:$A$500,$A104)=0,"Player is not on the Players tab",IF(COUNTIF($A$6:$A$155,$A104)&gt;1,"Player is listed twice",IF($B$2="Not started","Set Status to In progress to count points",IF(AND($C104="",NOT(ISNUMBER($B104))),"Enter a qualifying score",IF(AND($C104&lt;&gt;"",ISNUMBER($D104),N($D104)&gt;16),"Bracket result for a player ranked below 16th",IF(AND($B$2="Final",$C104="",N($D104)&lt;=16),"Top 16: enter the bracket result","OK")))))))</f>
        <v/>
      </c>
    </row>
    <row r="105">
      <c r="D105" s="11">
        <f>IF(OR($A105="",NOT(ISNUMBER($B105))),"",COUNTIF($B$6:$B$155,"&lt;"&amp;$B105)+1)</f>
        <v/>
      </c>
      <c r="E105" s="11">
        <f>IF($A105="","",COUNT($B$6:$B$155))</f>
        <v/>
      </c>
      <c r="F105" s="11">
        <f>IF(OR($A105="",$B$2="Not started"),"",IF($C105&lt;&gt;"",IFERROR(VLOOKUP($C105,Points!$D$2:$E$6,2,FALSE),""),IF(NOT(ISNUMBER($B105)),"",IF($D105&lt;=16,Points!$E$6,IF($D105&lt;=32,Points!$H$2,Points!$H$3)))))</f>
        <v/>
      </c>
      <c r="G105" s="11">
        <f>IF($A105="","",IF($B$2="Final","Final",IF($B$2="In progress","Projected","Not started")))</f>
        <v/>
      </c>
      <c r="H105" s="11">
        <f>IF($A105="","",IF(COUNTIF(Players!$A$2:$A$500,$A105)=0,"Player is not on the Players tab",IF(COUNTIF($A$6:$A$155,$A105)&gt;1,"Player is listed twice",IF($B$2="Not started","Set Status to In progress to count points",IF(AND($C105="",NOT(ISNUMBER($B105))),"Enter a qualifying score",IF(AND($C105&lt;&gt;"",ISNUMBER($D105),N($D105)&gt;16),"Bracket result for a player ranked below 16th",IF(AND($B$2="Final",$C105="",N($D105)&lt;=16),"Top 16: enter the bracket result","OK")))))))</f>
        <v/>
      </c>
    </row>
    <row r="106">
      <c r="D106" s="11">
        <f>IF(OR($A106="",NOT(ISNUMBER($B106))),"",COUNTIF($B$6:$B$155,"&lt;"&amp;$B106)+1)</f>
        <v/>
      </c>
      <c r="E106" s="11">
        <f>IF($A106="","",COUNT($B$6:$B$155))</f>
        <v/>
      </c>
      <c r="F106" s="11">
        <f>IF(OR($A106="",$B$2="Not started"),"",IF($C106&lt;&gt;"",IFERROR(VLOOKUP($C106,Points!$D$2:$E$6,2,FALSE),""),IF(NOT(ISNUMBER($B106)),"",IF($D106&lt;=16,Points!$E$6,IF($D106&lt;=32,Points!$H$2,Points!$H$3)))))</f>
        <v/>
      </c>
      <c r="G106" s="11">
        <f>IF($A106="","",IF($B$2="Final","Final",IF($B$2="In progress","Projected","Not started")))</f>
        <v/>
      </c>
      <c r="H106" s="11">
        <f>IF($A106="","",IF(COUNTIF(Players!$A$2:$A$500,$A106)=0,"Player is not on the Players tab",IF(COUNTIF($A$6:$A$155,$A106)&gt;1,"Player is listed twice",IF($B$2="Not started","Set Status to In progress to count points",IF(AND($C106="",NOT(ISNUMBER($B106))),"Enter a qualifying score",IF(AND($C106&lt;&gt;"",ISNUMBER($D106),N($D106)&gt;16),"Bracket result for a player ranked below 16th",IF(AND($B$2="Final",$C106="",N($D106)&lt;=16),"Top 16: enter the bracket result","OK")))))))</f>
        <v/>
      </c>
    </row>
    <row r="107">
      <c r="D107" s="11">
        <f>IF(OR($A107="",NOT(ISNUMBER($B107))),"",COUNTIF($B$6:$B$155,"&lt;"&amp;$B107)+1)</f>
        <v/>
      </c>
      <c r="E107" s="11">
        <f>IF($A107="","",COUNT($B$6:$B$155))</f>
        <v/>
      </c>
      <c r="F107" s="11">
        <f>IF(OR($A107="",$B$2="Not started"),"",IF($C107&lt;&gt;"",IFERROR(VLOOKUP($C107,Points!$D$2:$E$6,2,FALSE),""),IF(NOT(ISNUMBER($B107)),"",IF($D107&lt;=16,Points!$E$6,IF($D107&lt;=32,Points!$H$2,Points!$H$3)))))</f>
        <v/>
      </c>
      <c r="G107" s="11">
        <f>IF($A107="","",IF($B$2="Final","Final",IF($B$2="In progress","Projected","Not started")))</f>
        <v/>
      </c>
      <c r="H107" s="11">
        <f>IF($A107="","",IF(COUNTIF(Players!$A$2:$A$500,$A107)=0,"Player is not on the Players tab",IF(COUNTIF($A$6:$A$155,$A107)&gt;1,"Player is listed twice",IF($B$2="Not started","Set Status to In progress to count points",IF(AND($C107="",NOT(ISNUMBER($B107))),"Enter a qualifying score",IF(AND($C107&lt;&gt;"",ISNUMBER($D107),N($D107)&gt;16),"Bracket result for a player ranked below 16th",IF(AND($B$2="Final",$C107="",N($D107)&lt;=16),"Top 16: enter the bracket result","OK")))))))</f>
        <v/>
      </c>
    </row>
    <row r="108">
      <c r="D108" s="11">
        <f>IF(OR($A108="",NOT(ISNUMBER($B108))),"",COUNTIF($B$6:$B$155,"&lt;"&amp;$B108)+1)</f>
        <v/>
      </c>
      <c r="E108" s="11">
        <f>IF($A108="","",COUNT($B$6:$B$155))</f>
        <v/>
      </c>
      <c r="F108" s="11">
        <f>IF(OR($A108="",$B$2="Not started"),"",IF($C108&lt;&gt;"",IFERROR(VLOOKUP($C108,Points!$D$2:$E$6,2,FALSE),""),IF(NOT(ISNUMBER($B108)),"",IF($D108&lt;=16,Points!$E$6,IF($D108&lt;=32,Points!$H$2,Points!$H$3)))))</f>
        <v/>
      </c>
      <c r="G108" s="11">
        <f>IF($A108="","",IF($B$2="Final","Final",IF($B$2="In progress","Projected","Not started")))</f>
        <v/>
      </c>
      <c r="H108" s="11">
        <f>IF($A108="","",IF(COUNTIF(Players!$A$2:$A$500,$A108)=0,"Player is not on the Players tab",IF(COUNTIF($A$6:$A$155,$A108)&gt;1,"Player is listed twice",IF($B$2="Not started","Set Status to In progress to count points",IF(AND($C108="",NOT(ISNUMBER($B108))),"Enter a qualifying score",IF(AND($C108&lt;&gt;"",ISNUMBER($D108),N($D108)&gt;16),"Bracket result for a player ranked below 16th",IF(AND($B$2="Final",$C108="",N($D108)&lt;=16),"Top 16: enter the bracket result","OK")))))))</f>
        <v/>
      </c>
    </row>
    <row r="109">
      <c r="D109" s="11">
        <f>IF(OR($A109="",NOT(ISNUMBER($B109))),"",COUNTIF($B$6:$B$155,"&lt;"&amp;$B109)+1)</f>
        <v/>
      </c>
      <c r="E109" s="11">
        <f>IF($A109="","",COUNT($B$6:$B$155))</f>
        <v/>
      </c>
      <c r="F109" s="11">
        <f>IF(OR($A109="",$B$2="Not started"),"",IF($C109&lt;&gt;"",IFERROR(VLOOKUP($C109,Points!$D$2:$E$6,2,FALSE),""),IF(NOT(ISNUMBER($B109)),"",IF($D109&lt;=16,Points!$E$6,IF($D109&lt;=32,Points!$H$2,Points!$H$3)))))</f>
        <v/>
      </c>
      <c r="G109" s="11">
        <f>IF($A109="","",IF($B$2="Final","Final",IF($B$2="In progress","Projected","Not started")))</f>
        <v/>
      </c>
      <c r="H109" s="11">
        <f>IF($A109="","",IF(COUNTIF(Players!$A$2:$A$500,$A109)=0,"Player is not on the Players tab",IF(COUNTIF($A$6:$A$155,$A109)&gt;1,"Player is listed twice",IF($B$2="Not started","Set Status to In progress to count points",IF(AND($C109="",NOT(ISNUMBER($B109))),"Enter a qualifying score",IF(AND($C109&lt;&gt;"",ISNUMBER($D109),N($D109)&gt;16),"Bracket result for a player ranked below 16th",IF(AND($B$2="Final",$C109="",N($D109)&lt;=16),"Top 16: enter the bracket result","OK")))))))</f>
        <v/>
      </c>
    </row>
    <row r="110">
      <c r="D110" s="11">
        <f>IF(OR($A110="",NOT(ISNUMBER($B110))),"",COUNTIF($B$6:$B$155,"&lt;"&amp;$B110)+1)</f>
        <v/>
      </c>
      <c r="E110" s="11">
        <f>IF($A110="","",COUNT($B$6:$B$155))</f>
        <v/>
      </c>
      <c r="F110" s="11">
        <f>IF(OR($A110="",$B$2="Not started"),"",IF($C110&lt;&gt;"",IFERROR(VLOOKUP($C110,Points!$D$2:$E$6,2,FALSE),""),IF(NOT(ISNUMBER($B110)),"",IF($D110&lt;=16,Points!$E$6,IF($D110&lt;=32,Points!$H$2,Points!$H$3)))))</f>
        <v/>
      </c>
      <c r="G110" s="11">
        <f>IF($A110="","",IF($B$2="Final","Final",IF($B$2="In progress","Projected","Not started")))</f>
        <v/>
      </c>
      <c r="H110" s="11">
        <f>IF($A110="","",IF(COUNTIF(Players!$A$2:$A$500,$A110)=0,"Player is not on the Players tab",IF(COUNTIF($A$6:$A$155,$A110)&gt;1,"Player is listed twice",IF($B$2="Not started","Set Status to In progress to count points",IF(AND($C110="",NOT(ISNUMBER($B110))),"Enter a qualifying score",IF(AND($C110&lt;&gt;"",ISNUMBER($D110),N($D110)&gt;16),"Bracket result for a player ranked below 16th",IF(AND($B$2="Final",$C110="",N($D110)&lt;=16),"Top 16: enter the bracket result","OK")))))))</f>
        <v/>
      </c>
    </row>
    <row r="111">
      <c r="D111" s="11">
        <f>IF(OR($A111="",NOT(ISNUMBER($B111))),"",COUNTIF($B$6:$B$155,"&lt;"&amp;$B111)+1)</f>
        <v/>
      </c>
      <c r="E111" s="11">
        <f>IF($A111="","",COUNT($B$6:$B$155))</f>
        <v/>
      </c>
      <c r="F111" s="11">
        <f>IF(OR($A111="",$B$2="Not started"),"",IF($C111&lt;&gt;"",IFERROR(VLOOKUP($C111,Points!$D$2:$E$6,2,FALSE),""),IF(NOT(ISNUMBER($B111)),"",IF($D111&lt;=16,Points!$E$6,IF($D111&lt;=32,Points!$H$2,Points!$H$3)))))</f>
        <v/>
      </c>
      <c r="G111" s="11">
        <f>IF($A111="","",IF($B$2="Final","Final",IF($B$2="In progress","Projected","Not started")))</f>
        <v/>
      </c>
      <c r="H111" s="11">
        <f>IF($A111="","",IF(COUNTIF(Players!$A$2:$A$500,$A111)=0,"Player is not on the Players tab",IF(COUNTIF($A$6:$A$155,$A111)&gt;1,"Player is listed twice",IF($B$2="Not started","Set Status to In progress to count points",IF(AND($C111="",NOT(ISNUMBER($B111))),"Enter a qualifying score",IF(AND($C111&lt;&gt;"",ISNUMBER($D111),N($D111)&gt;16),"Bracket result for a player ranked below 16th",IF(AND($B$2="Final",$C111="",N($D111)&lt;=16),"Top 16: enter the bracket result","OK")))))))</f>
        <v/>
      </c>
    </row>
    <row r="112">
      <c r="D112" s="11">
        <f>IF(OR($A112="",NOT(ISNUMBER($B112))),"",COUNTIF($B$6:$B$155,"&lt;"&amp;$B112)+1)</f>
        <v/>
      </c>
      <c r="E112" s="11">
        <f>IF($A112="","",COUNT($B$6:$B$155))</f>
        <v/>
      </c>
      <c r="F112" s="11">
        <f>IF(OR($A112="",$B$2="Not started"),"",IF($C112&lt;&gt;"",IFERROR(VLOOKUP($C112,Points!$D$2:$E$6,2,FALSE),""),IF(NOT(ISNUMBER($B112)),"",IF($D112&lt;=16,Points!$E$6,IF($D112&lt;=32,Points!$H$2,Points!$H$3)))))</f>
        <v/>
      </c>
      <c r="G112" s="11">
        <f>IF($A112="","",IF($B$2="Final","Final",IF($B$2="In progress","Projected","Not started")))</f>
        <v/>
      </c>
      <c r="H112" s="11">
        <f>IF($A112="","",IF(COUNTIF(Players!$A$2:$A$500,$A112)=0,"Player is not on the Players tab",IF(COUNTIF($A$6:$A$155,$A112)&gt;1,"Player is listed twice",IF($B$2="Not started","Set Status to In progress to count points",IF(AND($C112="",NOT(ISNUMBER($B112))),"Enter a qualifying score",IF(AND($C112&lt;&gt;"",ISNUMBER($D112),N($D112)&gt;16),"Bracket result for a player ranked below 16th",IF(AND($B$2="Final",$C112="",N($D112)&lt;=16),"Top 16: enter the bracket result","OK")))))))</f>
        <v/>
      </c>
    </row>
    <row r="113">
      <c r="D113" s="11">
        <f>IF(OR($A113="",NOT(ISNUMBER($B113))),"",COUNTIF($B$6:$B$155,"&lt;"&amp;$B113)+1)</f>
        <v/>
      </c>
      <c r="E113" s="11">
        <f>IF($A113="","",COUNT($B$6:$B$155))</f>
        <v/>
      </c>
      <c r="F113" s="11">
        <f>IF(OR($A113="",$B$2="Not started"),"",IF($C113&lt;&gt;"",IFERROR(VLOOKUP($C113,Points!$D$2:$E$6,2,FALSE),""),IF(NOT(ISNUMBER($B113)),"",IF($D113&lt;=16,Points!$E$6,IF($D113&lt;=32,Points!$H$2,Points!$H$3)))))</f>
        <v/>
      </c>
      <c r="G113" s="11">
        <f>IF($A113="","",IF($B$2="Final","Final",IF($B$2="In progress","Projected","Not started")))</f>
        <v/>
      </c>
      <c r="H113" s="11">
        <f>IF($A113="","",IF(COUNTIF(Players!$A$2:$A$500,$A113)=0,"Player is not on the Players tab",IF(COUNTIF($A$6:$A$155,$A113)&gt;1,"Player is listed twice",IF($B$2="Not started","Set Status to In progress to count points",IF(AND($C113="",NOT(ISNUMBER($B113))),"Enter a qualifying score",IF(AND($C113&lt;&gt;"",ISNUMBER($D113),N($D113)&gt;16),"Bracket result for a player ranked below 16th",IF(AND($B$2="Final",$C113="",N($D113)&lt;=16),"Top 16: enter the bracket result","OK")))))))</f>
        <v/>
      </c>
    </row>
    <row r="114">
      <c r="D114" s="11">
        <f>IF(OR($A114="",NOT(ISNUMBER($B114))),"",COUNTIF($B$6:$B$155,"&lt;"&amp;$B114)+1)</f>
        <v/>
      </c>
      <c r="E114" s="11">
        <f>IF($A114="","",COUNT($B$6:$B$155))</f>
        <v/>
      </c>
      <c r="F114" s="11">
        <f>IF(OR($A114="",$B$2="Not started"),"",IF($C114&lt;&gt;"",IFERROR(VLOOKUP($C114,Points!$D$2:$E$6,2,FALSE),""),IF(NOT(ISNUMBER($B114)),"",IF($D114&lt;=16,Points!$E$6,IF($D114&lt;=32,Points!$H$2,Points!$H$3)))))</f>
        <v/>
      </c>
      <c r="G114" s="11">
        <f>IF($A114="","",IF($B$2="Final","Final",IF($B$2="In progress","Projected","Not started")))</f>
        <v/>
      </c>
      <c r="H114" s="11">
        <f>IF($A114="","",IF(COUNTIF(Players!$A$2:$A$500,$A114)=0,"Player is not on the Players tab",IF(COUNTIF($A$6:$A$155,$A114)&gt;1,"Player is listed twice",IF($B$2="Not started","Set Status to In progress to count points",IF(AND($C114="",NOT(ISNUMBER($B114))),"Enter a qualifying score",IF(AND($C114&lt;&gt;"",ISNUMBER($D114),N($D114)&gt;16),"Bracket result for a player ranked below 16th",IF(AND($B$2="Final",$C114="",N($D114)&lt;=16),"Top 16: enter the bracket result","OK")))))))</f>
        <v/>
      </c>
    </row>
    <row r="115">
      <c r="D115" s="11">
        <f>IF(OR($A115="",NOT(ISNUMBER($B115))),"",COUNTIF($B$6:$B$155,"&lt;"&amp;$B115)+1)</f>
        <v/>
      </c>
      <c r="E115" s="11">
        <f>IF($A115="","",COUNT($B$6:$B$155))</f>
        <v/>
      </c>
      <c r="F115" s="11">
        <f>IF(OR($A115="",$B$2="Not started"),"",IF($C115&lt;&gt;"",IFERROR(VLOOKUP($C115,Points!$D$2:$E$6,2,FALSE),""),IF(NOT(ISNUMBER($B115)),"",IF($D115&lt;=16,Points!$E$6,IF($D115&lt;=32,Points!$H$2,Points!$H$3)))))</f>
        <v/>
      </c>
      <c r="G115" s="11">
        <f>IF($A115="","",IF($B$2="Final","Final",IF($B$2="In progress","Projected","Not started")))</f>
        <v/>
      </c>
      <c r="H115" s="11">
        <f>IF($A115="","",IF(COUNTIF(Players!$A$2:$A$500,$A115)=0,"Player is not on the Players tab",IF(COUNTIF($A$6:$A$155,$A115)&gt;1,"Player is listed twice",IF($B$2="Not started","Set Status to In progress to count points",IF(AND($C115="",NOT(ISNUMBER($B115))),"Enter a qualifying score",IF(AND($C115&lt;&gt;"",ISNUMBER($D115),N($D115)&gt;16),"Bracket result for a player ranked below 16th",IF(AND($B$2="Final",$C115="",N($D115)&lt;=16),"Top 16: enter the bracket result","OK")))))))</f>
        <v/>
      </c>
    </row>
    <row r="116">
      <c r="D116" s="11">
        <f>IF(OR($A116="",NOT(ISNUMBER($B116))),"",COUNTIF($B$6:$B$155,"&lt;"&amp;$B116)+1)</f>
        <v/>
      </c>
      <c r="E116" s="11">
        <f>IF($A116="","",COUNT($B$6:$B$155))</f>
        <v/>
      </c>
      <c r="F116" s="11">
        <f>IF(OR($A116="",$B$2="Not started"),"",IF($C116&lt;&gt;"",IFERROR(VLOOKUP($C116,Points!$D$2:$E$6,2,FALSE),""),IF(NOT(ISNUMBER($B116)),"",IF($D116&lt;=16,Points!$E$6,IF($D116&lt;=32,Points!$H$2,Points!$H$3)))))</f>
        <v/>
      </c>
      <c r="G116" s="11">
        <f>IF($A116="","",IF($B$2="Final","Final",IF($B$2="In progress","Projected","Not started")))</f>
        <v/>
      </c>
      <c r="H116" s="11">
        <f>IF($A116="","",IF(COUNTIF(Players!$A$2:$A$500,$A116)=0,"Player is not on the Players tab",IF(COUNTIF($A$6:$A$155,$A116)&gt;1,"Player is listed twice",IF($B$2="Not started","Set Status to In progress to count points",IF(AND($C116="",NOT(ISNUMBER($B116))),"Enter a qualifying score",IF(AND($C116&lt;&gt;"",ISNUMBER($D116),N($D116)&gt;16),"Bracket result for a player ranked below 16th",IF(AND($B$2="Final",$C116="",N($D116)&lt;=16),"Top 16: enter the bracket result","OK")))))))</f>
        <v/>
      </c>
    </row>
    <row r="117">
      <c r="D117" s="11">
        <f>IF(OR($A117="",NOT(ISNUMBER($B117))),"",COUNTIF($B$6:$B$155,"&lt;"&amp;$B117)+1)</f>
        <v/>
      </c>
      <c r="E117" s="11">
        <f>IF($A117="","",COUNT($B$6:$B$155))</f>
        <v/>
      </c>
      <c r="F117" s="11">
        <f>IF(OR($A117="",$B$2="Not started"),"",IF($C117&lt;&gt;"",IFERROR(VLOOKUP($C117,Points!$D$2:$E$6,2,FALSE),""),IF(NOT(ISNUMBER($B117)),"",IF($D117&lt;=16,Points!$E$6,IF($D117&lt;=32,Points!$H$2,Points!$H$3)))))</f>
        <v/>
      </c>
      <c r="G117" s="11">
        <f>IF($A117="","",IF($B$2="Final","Final",IF($B$2="In progress","Projected","Not started")))</f>
        <v/>
      </c>
      <c r="H117" s="11">
        <f>IF($A117="","",IF(COUNTIF(Players!$A$2:$A$500,$A117)=0,"Player is not on the Players tab",IF(COUNTIF($A$6:$A$155,$A117)&gt;1,"Player is listed twice",IF($B$2="Not started","Set Status to In progress to count points",IF(AND($C117="",NOT(ISNUMBER($B117))),"Enter a qualifying score",IF(AND($C117&lt;&gt;"",ISNUMBER($D117),N($D117)&gt;16),"Bracket result for a player ranked below 16th",IF(AND($B$2="Final",$C117="",N($D117)&lt;=16),"Top 16: enter the bracket result","OK")))))))</f>
        <v/>
      </c>
    </row>
    <row r="118">
      <c r="D118" s="11">
        <f>IF(OR($A118="",NOT(ISNUMBER($B118))),"",COUNTIF($B$6:$B$155,"&lt;"&amp;$B118)+1)</f>
        <v/>
      </c>
      <c r="E118" s="11">
        <f>IF($A118="","",COUNT($B$6:$B$155))</f>
        <v/>
      </c>
      <c r="F118" s="11">
        <f>IF(OR($A118="",$B$2="Not started"),"",IF($C118&lt;&gt;"",IFERROR(VLOOKUP($C118,Points!$D$2:$E$6,2,FALSE),""),IF(NOT(ISNUMBER($B118)),"",IF($D118&lt;=16,Points!$E$6,IF($D118&lt;=32,Points!$H$2,Points!$H$3)))))</f>
        <v/>
      </c>
      <c r="G118" s="11">
        <f>IF($A118="","",IF($B$2="Final","Final",IF($B$2="In progress","Projected","Not started")))</f>
        <v/>
      </c>
      <c r="H118" s="11">
        <f>IF($A118="","",IF(COUNTIF(Players!$A$2:$A$500,$A118)=0,"Player is not on the Players tab",IF(COUNTIF($A$6:$A$155,$A118)&gt;1,"Player is listed twice",IF($B$2="Not started","Set Status to In progress to count points",IF(AND($C118="",NOT(ISNUMBER($B118))),"Enter a qualifying score",IF(AND($C118&lt;&gt;"",ISNUMBER($D118),N($D118)&gt;16),"Bracket result for a player ranked below 16th",IF(AND($B$2="Final",$C118="",N($D118)&lt;=16),"Top 16: enter the bracket result","OK")))))))</f>
        <v/>
      </c>
    </row>
    <row r="119">
      <c r="D119" s="11">
        <f>IF(OR($A119="",NOT(ISNUMBER($B119))),"",COUNTIF($B$6:$B$155,"&lt;"&amp;$B119)+1)</f>
        <v/>
      </c>
      <c r="E119" s="11">
        <f>IF($A119="","",COUNT($B$6:$B$155))</f>
        <v/>
      </c>
      <c r="F119" s="11">
        <f>IF(OR($A119="",$B$2="Not started"),"",IF($C119&lt;&gt;"",IFERROR(VLOOKUP($C119,Points!$D$2:$E$6,2,FALSE),""),IF(NOT(ISNUMBER($B119)),"",IF($D119&lt;=16,Points!$E$6,IF($D119&lt;=32,Points!$H$2,Points!$H$3)))))</f>
        <v/>
      </c>
      <c r="G119" s="11">
        <f>IF($A119="","",IF($B$2="Final","Final",IF($B$2="In progress","Projected","Not started")))</f>
        <v/>
      </c>
      <c r="H119" s="11">
        <f>IF($A119="","",IF(COUNTIF(Players!$A$2:$A$500,$A119)=0,"Player is not on the Players tab",IF(COUNTIF($A$6:$A$155,$A119)&gt;1,"Player is listed twice",IF($B$2="Not started","Set Status to In progress to count points",IF(AND($C119="",NOT(ISNUMBER($B119))),"Enter a qualifying score",IF(AND($C119&lt;&gt;"",ISNUMBER($D119),N($D119)&gt;16),"Bracket result for a player ranked below 16th",IF(AND($B$2="Final",$C119="",N($D119)&lt;=16),"Top 16: enter the bracket result","OK")))))))</f>
        <v/>
      </c>
    </row>
    <row r="120">
      <c r="D120" s="11">
        <f>IF(OR($A120="",NOT(ISNUMBER($B120))),"",COUNTIF($B$6:$B$155,"&lt;"&amp;$B120)+1)</f>
        <v/>
      </c>
      <c r="E120" s="11">
        <f>IF($A120="","",COUNT($B$6:$B$155))</f>
        <v/>
      </c>
      <c r="F120" s="11">
        <f>IF(OR($A120="",$B$2="Not started"),"",IF($C120&lt;&gt;"",IFERROR(VLOOKUP($C120,Points!$D$2:$E$6,2,FALSE),""),IF(NOT(ISNUMBER($B120)),"",IF($D120&lt;=16,Points!$E$6,IF($D120&lt;=32,Points!$H$2,Points!$H$3)))))</f>
        <v/>
      </c>
      <c r="G120" s="11">
        <f>IF($A120="","",IF($B$2="Final","Final",IF($B$2="In progress","Projected","Not started")))</f>
        <v/>
      </c>
      <c r="H120" s="11">
        <f>IF($A120="","",IF(COUNTIF(Players!$A$2:$A$500,$A120)=0,"Player is not on the Players tab",IF(COUNTIF($A$6:$A$155,$A120)&gt;1,"Player is listed twice",IF($B$2="Not started","Set Status to In progress to count points",IF(AND($C120="",NOT(ISNUMBER($B120))),"Enter a qualifying score",IF(AND($C120&lt;&gt;"",ISNUMBER($D120),N($D120)&gt;16),"Bracket result for a player ranked below 16th",IF(AND($B$2="Final",$C120="",N($D120)&lt;=16),"Top 16: enter the bracket result","OK")))))))</f>
        <v/>
      </c>
    </row>
    <row r="121">
      <c r="D121" s="11">
        <f>IF(OR($A121="",NOT(ISNUMBER($B121))),"",COUNTIF($B$6:$B$155,"&lt;"&amp;$B121)+1)</f>
        <v/>
      </c>
      <c r="E121" s="11">
        <f>IF($A121="","",COUNT($B$6:$B$155))</f>
        <v/>
      </c>
      <c r="F121" s="11">
        <f>IF(OR($A121="",$B$2="Not started"),"",IF($C121&lt;&gt;"",IFERROR(VLOOKUP($C121,Points!$D$2:$E$6,2,FALSE),""),IF(NOT(ISNUMBER($B121)),"",IF($D121&lt;=16,Points!$E$6,IF($D121&lt;=32,Points!$H$2,Points!$H$3)))))</f>
        <v/>
      </c>
      <c r="G121" s="11">
        <f>IF($A121="","",IF($B$2="Final","Final",IF($B$2="In progress","Projected","Not started")))</f>
        <v/>
      </c>
      <c r="H121" s="11">
        <f>IF($A121="","",IF(COUNTIF(Players!$A$2:$A$500,$A121)=0,"Player is not on the Players tab",IF(COUNTIF($A$6:$A$155,$A121)&gt;1,"Player is listed twice",IF($B$2="Not started","Set Status to In progress to count points",IF(AND($C121="",NOT(ISNUMBER($B121))),"Enter a qualifying score",IF(AND($C121&lt;&gt;"",ISNUMBER($D121),N($D121)&gt;16),"Bracket result for a player ranked below 16th",IF(AND($B$2="Final",$C121="",N($D121)&lt;=16),"Top 16: enter the bracket result","OK")))))))</f>
        <v/>
      </c>
    </row>
    <row r="122">
      <c r="D122" s="11">
        <f>IF(OR($A122="",NOT(ISNUMBER($B122))),"",COUNTIF($B$6:$B$155,"&lt;"&amp;$B122)+1)</f>
        <v/>
      </c>
      <c r="E122" s="11">
        <f>IF($A122="","",COUNT($B$6:$B$155))</f>
        <v/>
      </c>
      <c r="F122" s="11">
        <f>IF(OR($A122="",$B$2="Not started"),"",IF($C122&lt;&gt;"",IFERROR(VLOOKUP($C122,Points!$D$2:$E$6,2,FALSE),""),IF(NOT(ISNUMBER($B122)),"",IF($D122&lt;=16,Points!$E$6,IF($D122&lt;=32,Points!$H$2,Points!$H$3)))))</f>
        <v/>
      </c>
      <c r="G122" s="11">
        <f>IF($A122="","",IF($B$2="Final","Final",IF($B$2="In progress","Projected","Not started")))</f>
        <v/>
      </c>
      <c r="H122" s="11">
        <f>IF($A122="","",IF(COUNTIF(Players!$A$2:$A$500,$A122)=0,"Player is not on the Players tab",IF(COUNTIF($A$6:$A$155,$A122)&gt;1,"Player is listed twice",IF($B$2="Not started","Set Status to In progress to count points",IF(AND($C122="",NOT(ISNUMBER($B122))),"Enter a qualifying score",IF(AND($C122&lt;&gt;"",ISNUMBER($D122),N($D122)&gt;16),"Bracket result for a player ranked below 16th",IF(AND($B$2="Final",$C122="",N($D122)&lt;=16),"Top 16: enter the bracket result","OK")))))))</f>
        <v/>
      </c>
    </row>
    <row r="123">
      <c r="D123" s="11">
        <f>IF(OR($A123="",NOT(ISNUMBER($B123))),"",COUNTIF($B$6:$B$155,"&lt;"&amp;$B123)+1)</f>
        <v/>
      </c>
      <c r="E123" s="11">
        <f>IF($A123="","",COUNT($B$6:$B$155))</f>
        <v/>
      </c>
      <c r="F123" s="11">
        <f>IF(OR($A123="",$B$2="Not started"),"",IF($C123&lt;&gt;"",IFERROR(VLOOKUP($C123,Points!$D$2:$E$6,2,FALSE),""),IF(NOT(ISNUMBER($B123)),"",IF($D123&lt;=16,Points!$E$6,IF($D123&lt;=32,Points!$H$2,Points!$H$3)))))</f>
        <v/>
      </c>
      <c r="G123" s="11">
        <f>IF($A123="","",IF($B$2="Final","Final",IF($B$2="In progress","Projected","Not started")))</f>
        <v/>
      </c>
      <c r="H123" s="11">
        <f>IF($A123="","",IF(COUNTIF(Players!$A$2:$A$500,$A123)=0,"Player is not on the Players tab",IF(COUNTIF($A$6:$A$155,$A123)&gt;1,"Player is listed twice",IF($B$2="Not started","Set Status to In progress to count points",IF(AND($C123="",NOT(ISNUMBER($B123))),"Enter a qualifying score",IF(AND($C123&lt;&gt;"",ISNUMBER($D123),N($D123)&gt;16),"Bracket result for a player ranked below 16th",IF(AND($B$2="Final",$C123="",N($D123)&lt;=16),"Top 16: enter the bracket result","OK")))))))</f>
        <v/>
      </c>
    </row>
    <row r="124">
      <c r="D124" s="11">
        <f>IF(OR($A124="",NOT(ISNUMBER($B124))),"",COUNTIF($B$6:$B$155,"&lt;"&amp;$B124)+1)</f>
        <v/>
      </c>
      <c r="E124" s="11">
        <f>IF($A124="","",COUNT($B$6:$B$155))</f>
        <v/>
      </c>
      <c r="F124" s="11">
        <f>IF(OR($A124="",$B$2="Not started"),"",IF($C124&lt;&gt;"",IFERROR(VLOOKUP($C124,Points!$D$2:$E$6,2,FALSE),""),IF(NOT(ISNUMBER($B124)),"",IF($D124&lt;=16,Points!$E$6,IF($D124&lt;=32,Points!$H$2,Points!$H$3)))))</f>
        <v/>
      </c>
      <c r="G124" s="11">
        <f>IF($A124="","",IF($B$2="Final","Final",IF($B$2="In progress","Projected","Not started")))</f>
        <v/>
      </c>
      <c r="H124" s="11">
        <f>IF($A124="","",IF(COUNTIF(Players!$A$2:$A$500,$A124)=0,"Player is not on the Players tab",IF(COUNTIF($A$6:$A$155,$A124)&gt;1,"Player is listed twice",IF($B$2="Not started","Set Status to In progress to count points",IF(AND($C124="",NOT(ISNUMBER($B124))),"Enter a qualifying score",IF(AND($C124&lt;&gt;"",ISNUMBER($D124),N($D124)&gt;16),"Bracket result for a player ranked below 16th",IF(AND($B$2="Final",$C124="",N($D124)&lt;=16),"Top 16: enter the bracket result","OK")))))))</f>
        <v/>
      </c>
    </row>
    <row r="125">
      <c r="D125" s="11">
        <f>IF(OR($A125="",NOT(ISNUMBER($B125))),"",COUNTIF($B$6:$B$155,"&lt;"&amp;$B125)+1)</f>
        <v/>
      </c>
      <c r="E125" s="11">
        <f>IF($A125="","",COUNT($B$6:$B$155))</f>
        <v/>
      </c>
      <c r="F125" s="11">
        <f>IF(OR($A125="",$B$2="Not started"),"",IF($C125&lt;&gt;"",IFERROR(VLOOKUP($C125,Points!$D$2:$E$6,2,FALSE),""),IF(NOT(ISNUMBER($B125)),"",IF($D125&lt;=16,Points!$E$6,IF($D125&lt;=32,Points!$H$2,Points!$H$3)))))</f>
        <v/>
      </c>
      <c r="G125" s="11">
        <f>IF($A125="","",IF($B$2="Final","Final",IF($B$2="In progress","Projected","Not started")))</f>
        <v/>
      </c>
      <c r="H125" s="11">
        <f>IF($A125="","",IF(COUNTIF(Players!$A$2:$A$500,$A125)=0,"Player is not on the Players tab",IF(COUNTIF($A$6:$A$155,$A125)&gt;1,"Player is listed twice",IF($B$2="Not started","Set Status to In progress to count points",IF(AND($C125="",NOT(ISNUMBER($B125))),"Enter a qualifying score",IF(AND($C125&lt;&gt;"",ISNUMBER($D125),N($D125)&gt;16),"Bracket result for a player ranked below 16th",IF(AND($B$2="Final",$C125="",N($D125)&lt;=16),"Top 16: enter the bracket result","OK")))))))</f>
        <v/>
      </c>
    </row>
    <row r="126">
      <c r="D126" s="11">
        <f>IF(OR($A126="",NOT(ISNUMBER($B126))),"",COUNTIF($B$6:$B$155,"&lt;"&amp;$B126)+1)</f>
        <v/>
      </c>
      <c r="E126" s="11">
        <f>IF($A126="","",COUNT($B$6:$B$155))</f>
        <v/>
      </c>
      <c r="F126" s="11">
        <f>IF(OR($A126="",$B$2="Not started"),"",IF($C126&lt;&gt;"",IFERROR(VLOOKUP($C126,Points!$D$2:$E$6,2,FALSE),""),IF(NOT(ISNUMBER($B126)),"",IF($D126&lt;=16,Points!$E$6,IF($D126&lt;=32,Points!$H$2,Points!$H$3)))))</f>
        <v/>
      </c>
      <c r="G126" s="11">
        <f>IF($A126="","",IF($B$2="Final","Final",IF($B$2="In progress","Projected","Not started")))</f>
        <v/>
      </c>
      <c r="H126" s="11">
        <f>IF($A126="","",IF(COUNTIF(Players!$A$2:$A$500,$A126)=0,"Player is not on the Players tab",IF(COUNTIF($A$6:$A$155,$A126)&gt;1,"Player is listed twice",IF($B$2="Not started","Set Status to In progress to count points",IF(AND($C126="",NOT(ISNUMBER($B126))),"Enter a qualifying score",IF(AND($C126&lt;&gt;"",ISNUMBER($D126),N($D126)&gt;16),"Bracket result for a player ranked below 16th",IF(AND($B$2="Final",$C126="",N($D126)&lt;=16),"Top 16: enter the bracket result","OK")))))))</f>
        <v/>
      </c>
    </row>
    <row r="127">
      <c r="D127" s="11">
        <f>IF(OR($A127="",NOT(ISNUMBER($B127))),"",COUNTIF($B$6:$B$155,"&lt;"&amp;$B127)+1)</f>
        <v/>
      </c>
      <c r="E127" s="11">
        <f>IF($A127="","",COUNT($B$6:$B$155))</f>
        <v/>
      </c>
      <c r="F127" s="11">
        <f>IF(OR($A127="",$B$2="Not started"),"",IF($C127&lt;&gt;"",IFERROR(VLOOKUP($C127,Points!$D$2:$E$6,2,FALSE),""),IF(NOT(ISNUMBER($B127)),"",IF($D127&lt;=16,Points!$E$6,IF($D127&lt;=32,Points!$H$2,Points!$H$3)))))</f>
        <v/>
      </c>
      <c r="G127" s="11">
        <f>IF($A127="","",IF($B$2="Final","Final",IF($B$2="In progress","Projected","Not started")))</f>
        <v/>
      </c>
      <c r="H127" s="11">
        <f>IF($A127="","",IF(COUNTIF(Players!$A$2:$A$500,$A127)=0,"Player is not on the Players tab",IF(COUNTIF($A$6:$A$155,$A127)&gt;1,"Player is listed twice",IF($B$2="Not started","Set Status to In progress to count points",IF(AND($C127="",NOT(ISNUMBER($B127))),"Enter a qualifying score",IF(AND($C127&lt;&gt;"",ISNUMBER($D127),N($D127)&gt;16),"Bracket result for a player ranked below 16th",IF(AND($B$2="Final",$C127="",N($D127)&lt;=16),"Top 16: enter the bracket result","OK")))))))</f>
        <v/>
      </c>
    </row>
    <row r="128">
      <c r="D128" s="11">
        <f>IF(OR($A128="",NOT(ISNUMBER($B128))),"",COUNTIF($B$6:$B$155,"&lt;"&amp;$B128)+1)</f>
        <v/>
      </c>
      <c r="E128" s="11">
        <f>IF($A128="","",COUNT($B$6:$B$155))</f>
        <v/>
      </c>
      <c r="F128" s="11">
        <f>IF(OR($A128="",$B$2="Not started"),"",IF($C128&lt;&gt;"",IFERROR(VLOOKUP($C128,Points!$D$2:$E$6,2,FALSE),""),IF(NOT(ISNUMBER($B128)),"",IF($D128&lt;=16,Points!$E$6,IF($D128&lt;=32,Points!$H$2,Points!$H$3)))))</f>
        <v/>
      </c>
      <c r="G128" s="11">
        <f>IF($A128="","",IF($B$2="Final","Final",IF($B$2="In progress","Projected","Not started")))</f>
        <v/>
      </c>
      <c r="H128" s="11">
        <f>IF($A128="","",IF(COUNTIF(Players!$A$2:$A$500,$A128)=0,"Player is not on the Players tab",IF(COUNTIF($A$6:$A$155,$A128)&gt;1,"Player is listed twice",IF($B$2="Not started","Set Status to In progress to count points",IF(AND($C128="",NOT(ISNUMBER($B128))),"Enter a qualifying score",IF(AND($C128&lt;&gt;"",ISNUMBER($D128),N($D128)&gt;16),"Bracket result for a player ranked below 16th",IF(AND($B$2="Final",$C128="",N($D128)&lt;=16),"Top 16: enter the bracket result","OK")))))))</f>
        <v/>
      </c>
    </row>
    <row r="129">
      <c r="D129" s="11">
        <f>IF(OR($A129="",NOT(ISNUMBER($B129))),"",COUNTIF($B$6:$B$155,"&lt;"&amp;$B129)+1)</f>
        <v/>
      </c>
      <c r="E129" s="11">
        <f>IF($A129="","",COUNT($B$6:$B$155))</f>
        <v/>
      </c>
      <c r="F129" s="11">
        <f>IF(OR($A129="",$B$2="Not started"),"",IF($C129&lt;&gt;"",IFERROR(VLOOKUP($C129,Points!$D$2:$E$6,2,FALSE),""),IF(NOT(ISNUMBER($B129)),"",IF($D129&lt;=16,Points!$E$6,IF($D129&lt;=32,Points!$H$2,Points!$H$3)))))</f>
        <v/>
      </c>
      <c r="G129" s="11">
        <f>IF($A129="","",IF($B$2="Final","Final",IF($B$2="In progress","Projected","Not started")))</f>
        <v/>
      </c>
      <c r="H129" s="11">
        <f>IF($A129="","",IF(COUNTIF(Players!$A$2:$A$500,$A129)=0,"Player is not on the Players tab",IF(COUNTIF($A$6:$A$155,$A129)&gt;1,"Player is listed twice",IF($B$2="Not started","Set Status to In progress to count points",IF(AND($C129="",NOT(ISNUMBER($B129))),"Enter a qualifying score",IF(AND($C129&lt;&gt;"",ISNUMBER($D129),N($D129)&gt;16),"Bracket result for a player ranked below 16th",IF(AND($B$2="Final",$C129="",N($D129)&lt;=16),"Top 16: enter the bracket result","OK")))))))</f>
        <v/>
      </c>
    </row>
    <row r="130">
      <c r="D130" s="11">
        <f>IF(OR($A130="",NOT(ISNUMBER($B130))),"",COUNTIF($B$6:$B$155,"&lt;"&amp;$B130)+1)</f>
        <v/>
      </c>
      <c r="E130" s="11">
        <f>IF($A130="","",COUNT($B$6:$B$155))</f>
        <v/>
      </c>
      <c r="F130" s="11">
        <f>IF(OR($A130="",$B$2="Not started"),"",IF($C130&lt;&gt;"",IFERROR(VLOOKUP($C130,Points!$D$2:$E$6,2,FALSE),""),IF(NOT(ISNUMBER($B130)),"",IF($D130&lt;=16,Points!$E$6,IF($D130&lt;=32,Points!$H$2,Points!$H$3)))))</f>
        <v/>
      </c>
      <c r="G130" s="11">
        <f>IF($A130="","",IF($B$2="Final","Final",IF($B$2="In progress","Projected","Not started")))</f>
        <v/>
      </c>
      <c r="H130" s="11">
        <f>IF($A130="","",IF(COUNTIF(Players!$A$2:$A$500,$A130)=0,"Player is not on the Players tab",IF(COUNTIF($A$6:$A$155,$A130)&gt;1,"Player is listed twice",IF($B$2="Not started","Set Status to In progress to count points",IF(AND($C130="",NOT(ISNUMBER($B130))),"Enter a qualifying score",IF(AND($C130&lt;&gt;"",ISNUMBER($D130),N($D130)&gt;16),"Bracket result for a player ranked below 16th",IF(AND($B$2="Final",$C130="",N($D130)&lt;=16),"Top 16: enter the bracket result","OK")))))))</f>
        <v/>
      </c>
    </row>
    <row r="131">
      <c r="D131" s="11">
        <f>IF(OR($A131="",NOT(ISNUMBER($B131))),"",COUNTIF($B$6:$B$155,"&lt;"&amp;$B131)+1)</f>
        <v/>
      </c>
      <c r="E131" s="11">
        <f>IF($A131="","",COUNT($B$6:$B$155))</f>
        <v/>
      </c>
      <c r="F131" s="11">
        <f>IF(OR($A131="",$B$2="Not started"),"",IF($C131&lt;&gt;"",IFERROR(VLOOKUP($C131,Points!$D$2:$E$6,2,FALSE),""),IF(NOT(ISNUMBER($B131)),"",IF($D131&lt;=16,Points!$E$6,IF($D131&lt;=32,Points!$H$2,Points!$H$3)))))</f>
        <v/>
      </c>
      <c r="G131" s="11">
        <f>IF($A131="","",IF($B$2="Final","Final",IF($B$2="In progress","Projected","Not started")))</f>
        <v/>
      </c>
      <c r="H131" s="11">
        <f>IF($A131="","",IF(COUNTIF(Players!$A$2:$A$500,$A131)=0,"Player is not on the Players tab",IF(COUNTIF($A$6:$A$155,$A131)&gt;1,"Player is listed twice",IF($B$2="Not started","Set Status to In progress to count points",IF(AND($C131="",NOT(ISNUMBER($B131))),"Enter a qualifying score",IF(AND($C131&lt;&gt;"",ISNUMBER($D131),N($D131)&gt;16),"Bracket result for a player ranked below 16th",IF(AND($B$2="Final",$C131="",N($D131)&lt;=16),"Top 16: enter the bracket result","OK")))))))</f>
        <v/>
      </c>
    </row>
    <row r="132">
      <c r="D132" s="11">
        <f>IF(OR($A132="",NOT(ISNUMBER($B132))),"",COUNTIF($B$6:$B$155,"&lt;"&amp;$B132)+1)</f>
        <v/>
      </c>
      <c r="E132" s="11">
        <f>IF($A132="","",COUNT($B$6:$B$155))</f>
        <v/>
      </c>
      <c r="F132" s="11">
        <f>IF(OR($A132="",$B$2="Not started"),"",IF($C132&lt;&gt;"",IFERROR(VLOOKUP($C132,Points!$D$2:$E$6,2,FALSE),""),IF(NOT(ISNUMBER($B132)),"",IF($D132&lt;=16,Points!$E$6,IF($D132&lt;=32,Points!$H$2,Points!$H$3)))))</f>
        <v/>
      </c>
      <c r="G132" s="11">
        <f>IF($A132="","",IF($B$2="Final","Final",IF($B$2="In progress","Projected","Not started")))</f>
        <v/>
      </c>
      <c r="H132" s="11">
        <f>IF($A132="","",IF(COUNTIF(Players!$A$2:$A$500,$A132)=0,"Player is not on the Players tab",IF(COUNTIF($A$6:$A$155,$A132)&gt;1,"Player is listed twice",IF($B$2="Not started","Set Status to In progress to count points",IF(AND($C132="",NOT(ISNUMBER($B132))),"Enter a qualifying score",IF(AND($C132&lt;&gt;"",ISNUMBER($D132),N($D132)&gt;16),"Bracket result for a player ranked below 16th",IF(AND($B$2="Final",$C132="",N($D132)&lt;=16),"Top 16: enter the bracket result","OK")))))))</f>
        <v/>
      </c>
    </row>
    <row r="133">
      <c r="D133" s="11">
        <f>IF(OR($A133="",NOT(ISNUMBER($B133))),"",COUNTIF($B$6:$B$155,"&lt;"&amp;$B133)+1)</f>
        <v/>
      </c>
      <c r="E133" s="11">
        <f>IF($A133="","",COUNT($B$6:$B$155))</f>
        <v/>
      </c>
      <c r="F133" s="11">
        <f>IF(OR($A133="",$B$2="Not started"),"",IF($C133&lt;&gt;"",IFERROR(VLOOKUP($C133,Points!$D$2:$E$6,2,FALSE),""),IF(NOT(ISNUMBER($B133)),"",IF($D133&lt;=16,Points!$E$6,IF($D133&lt;=32,Points!$H$2,Points!$H$3)))))</f>
        <v/>
      </c>
      <c r="G133" s="11">
        <f>IF($A133="","",IF($B$2="Final","Final",IF($B$2="In progress","Projected","Not started")))</f>
        <v/>
      </c>
      <c r="H133" s="11">
        <f>IF($A133="","",IF(COUNTIF(Players!$A$2:$A$500,$A133)=0,"Player is not on the Players tab",IF(COUNTIF($A$6:$A$155,$A133)&gt;1,"Player is listed twice",IF($B$2="Not started","Set Status to In progress to count points",IF(AND($C133="",NOT(ISNUMBER($B133))),"Enter a qualifying score",IF(AND($C133&lt;&gt;"",ISNUMBER($D133),N($D133)&gt;16),"Bracket result for a player ranked below 16th",IF(AND($B$2="Final",$C133="",N($D133)&lt;=16),"Top 16: enter the bracket result","OK")))))))</f>
        <v/>
      </c>
    </row>
    <row r="134">
      <c r="D134" s="11">
        <f>IF(OR($A134="",NOT(ISNUMBER($B134))),"",COUNTIF($B$6:$B$155,"&lt;"&amp;$B134)+1)</f>
        <v/>
      </c>
      <c r="E134" s="11">
        <f>IF($A134="","",COUNT($B$6:$B$155))</f>
        <v/>
      </c>
      <c r="F134" s="11">
        <f>IF(OR($A134="",$B$2="Not started"),"",IF($C134&lt;&gt;"",IFERROR(VLOOKUP($C134,Points!$D$2:$E$6,2,FALSE),""),IF(NOT(ISNUMBER($B134)),"",IF($D134&lt;=16,Points!$E$6,IF($D134&lt;=32,Points!$H$2,Points!$H$3)))))</f>
        <v/>
      </c>
      <c r="G134" s="11">
        <f>IF($A134="","",IF($B$2="Final","Final",IF($B$2="In progress","Projected","Not started")))</f>
        <v/>
      </c>
      <c r="H134" s="11">
        <f>IF($A134="","",IF(COUNTIF(Players!$A$2:$A$500,$A134)=0,"Player is not on the Players tab",IF(COUNTIF($A$6:$A$155,$A134)&gt;1,"Player is listed twice",IF($B$2="Not started","Set Status to In progress to count points",IF(AND($C134="",NOT(ISNUMBER($B134))),"Enter a qualifying score",IF(AND($C134&lt;&gt;"",ISNUMBER($D134),N($D134)&gt;16),"Bracket result for a player ranked below 16th",IF(AND($B$2="Final",$C134="",N($D134)&lt;=16),"Top 16: enter the bracket result","OK")))))))</f>
        <v/>
      </c>
    </row>
    <row r="135">
      <c r="D135" s="11">
        <f>IF(OR($A135="",NOT(ISNUMBER($B135))),"",COUNTIF($B$6:$B$155,"&lt;"&amp;$B135)+1)</f>
        <v/>
      </c>
      <c r="E135" s="11">
        <f>IF($A135="","",COUNT($B$6:$B$155))</f>
        <v/>
      </c>
      <c r="F135" s="11">
        <f>IF(OR($A135="",$B$2="Not started"),"",IF($C135&lt;&gt;"",IFERROR(VLOOKUP($C135,Points!$D$2:$E$6,2,FALSE),""),IF(NOT(ISNUMBER($B135)),"",IF($D135&lt;=16,Points!$E$6,IF($D135&lt;=32,Points!$H$2,Points!$H$3)))))</f>
        <v/>
      </c>
      <c r="G135" s="11">
        <f>IF($A135="","",IF($B$2="Final","Final",IF($B$2="In progress","Projected","Not started")))</f>
        <v/>
      </c>
      <c r="H135" s="11">
        <f>IF($A135="","",IF(COUNTIF(Players!$A$2:$A$500,$A135)=0,"Player is not on the Players tab",IF(COUNTIF($A$6:$A$155,$A135)&gt;1,"Player is listed twice",IF($B$2="Not started","Set Status to In progress to count points",IF(AND($C135="",NOT(ISNUMBER($B135))),"Enter a qualifying score",IF(AND($C135&lt;&gt;"",ISNUMBER($D135),N($D135)&gt;16),"Bracket result for a player ranked below 16th",IF(AND($B$2="Final",$C135="",N($D135)&lt;=16),"Top 16: enter the bracket result","OK")))))))</f>
        <v/>
      </c>
    </row>
    <row r="136">
      <c r="D136" s="11">
        <f>IF(OR($A136="",NOT(ISNUMBER($B136))),"",COUNTIF($B$6:$B$155,"&lt;"&amp;$B136)+1)</f>
        <v/>
      </c>
      <c r="E136" s="11">
        <f>IF($A136="","",COUNT($B$6:$B$155))</f>
        <v/>
      </c>
      <c r="F136" s="11">
        <f>IF(OR($A136="",$B$2="Not started"),"",IF($C136&lt;&gt;"",IFERROR(VLOOKUP($C136,Points!$D$2:$E$6,2,FALSE),""),IF(NOT(ISNUMBER($B136)),"",IF($D136&lt;=16,Points!$E$6,IF($D136&lt;=32,Points!$H$2,Points!$H$3)))))</f>
        <v/>
      </c>
      <c r="G136" s="11">
        <f>IF($A136="","",IF($B$2="Final","Final",IF($B$2="In progress","Projected","Not started")))</f>
        <v/>
      </c>
      <c r="H136" s="11">
        <f>IF($A136="","",IF(COUNTIF(Players!$A$2:$A$500,$A136)=0,"Player is not on the Players tab",IF(COUNTIF($A$6:$A$155,$A136)&gt;1,"Player is listed twice",IF($B$2="Not started","Set Status to In progress to count points",IF(AND($C136="",NOT(ISNUMBER($B136))),"Enter a qualifying score",IF(AND($C136&lt;&gt;"",ISNUMBER($D136),N($D136)&gt;16),"Bracket result for a player ranked below 16th",IF(AND($B$2="Final",$C136="",N($D136)&lt;=16),"Top 16: enter the bracket result","OK")))))))</f>
        <v/>
      </c>
    </row>
    <row r="137">
      <c r="D137" s="11">
        <f>IF(OR($A137="",NOT(ISNUMBER($B137))),"",COUNTIF($B$6:$B$155,"&lt;"&amp;$B137)+1)</f>
        <v/>
      </c>
      <c r="E137" s="11">
        <f>IF($A137="","",COUNT($B$6:$B$155))</f>
        <v/>
      </c>
      <c r="F137" s="11">
        <f>IF(OR($A137="",$B$2="Not started"),"",IF($C137&lt;&gt;"",IFERROR(VLOOKUP($C137,Points!$D$2:$E$6,2,FALSE),""),IF(NOT(ISNUMBER($B137)),"",IF($D137&lt;=16,Points!$E$6,IF($D137&lt;=32,Points!$H$2,Points!$H$3)))))</f>
        <v/>
      </c>
      <c r="G137" s="11">
        <f>IF($A137="","",IF($B$2="Final","Final",IF($B$2="In progress","Projected","Not started")))</f>
        <v/>
      </c>
      <c r="H137" s="11">
        <f>IF($A137="","",IF(COUNTIF(Players!$A$2:$A$500,$A137)=0,"Player is not on the Players tab",IF(COUNTIF($A$6:$A$155,$A137)&gt;1,"Player is listed twice",IF($B$2="Not started","Set Status to In progress to count points",IF(AND($C137="",NOT(ISNUMBER($B137))),"Enter a qualifying score",IF(AND($C137&lt;&gt;"",ISNUMBER($D137),N($D137)&gt;16),"Bracket result for a player ranked below 16th",IF(AND($B$2="Final",$C137="",N($D137)&lt;=16),"Top 16: enter the bracket result","OK")))))))</f>
        <v/>
      </c>
    </row>
    <row r="138">
      <c r="D138" s="11">
        <f>IF(OR($A138="",NOT(ISNUMBER($B138))),"",COUNTIF($B$6:$B$155,"&lt;"&amp;$B138)+1)</f>
        <v/>
      </c>
      <c r="E138" s="11">
        <f>IF($A138="","",COUNT($B$6:$B$155))</f>
        <v/>
      </c>
      <c r="F138" s="11">
        <f>IF(OR($A138="",$B$2="Not started"),"",IF($C138&lt;&gt;"",IFERROR(VLOOKUP($C138,Points!$D$2:$E$6,2,FALSE),""),IF(NOT(ISNUMBER($B138)),"",IF($D138&lt;=16,Points!$E$6,IF($D138&lt;=32,Points!$H$2,Points!$H$3)))))</f>
        <v/>
      </c>
      <c r="G138" s="11">
        <f>IF($A138="","",IF($B$2="Final","Final",IF($B$2="In progress","Projected","Not started")))</f>
        <v/>
      </c>
      <c r="H138" s="11">
        <f>IF($A138="","",IF(COUNTIF(Players!$A$2:$A$500,$A138)=0,"Player is not on the Players tab",IF(COUNTIF($A$6:$A$155,$A138)&gt;1,"Player is listed twice",IF($B$2="Not started","Set Status to In progress to count points",IF(AND($C138="",NOT(ISNUMBER($B138))),"Enter a qualifying score",IF(AND($C138&lt;&gt;"",ISNUMBER($D138),N($D138)&gt;16),"Bracket result for a player ranked below 16th",IF(AND($B$2="Final",$C138="",N($D138)&lt;=16),"Top 16: enter the bracket result","OK")))))))</f>
        <v/>
      </c>
    </row>
    <row r="139">
      <c r="D139" s="11">
        <f>IF(OR($A139="",NOT(ISNUMBER($B139))),"",COUNTIF($B$6:$B$155,"&lt;"&amp;$B139)+1)</f>
        <v/>
      </c>
      <c r="E139" s="11">
        <f>IF($A139="","",COUNT($B$6:$B$155))</f>
        <v/>
      </c>
      <c r="F139" s="11">
        <f>IF(OR($A139="",$B$2="Not started"),"",IF($C139&lt;&gt;"",IFERROR(VLOOKUP($C139,Points!$D$2:$E$6,2,FALSE),""),IF(NOT(ISNUMBER($B139)),"",IF($D139&lt;=16,Points!$E$6,IF($D139&lt;=32,Points!$H$2,Points!$H$3)))))</f>
        <v/>
      </c>
      <c r="G139" s="11">
        <f>IF($A139="","",IF($B$2="Final","Final",IF($B$2="In progress","Projected","Not started")))</f>
        <v/>
      </c>
      <c r="H139" s="11">
        <f>IF($A139="","",IF(COUNTIF(Players!$A$2:$A$500,$A139)=0,"Player is not on the Players tab",IF(COUNTIF($A$6:$A$155,$A139)&gt;1,"Player is listed twice",IF($B$2="Not started","Set Status to In progress to count points",IF(AND($C139="",NOT(ISNUMBER($B139))),"Enter a qualifying score",IF(AND($C139&lt;&gt;"",ISNUMBER($D139),N($D139)&gt;16),"Bracket result for a player ranked below 16th",IF(AND($B$2="Final",$C139="",N($D139)&lt;=16),"Top 16: enter the bracket result","OK")))))))</f>
        <v/>
      </c>
    </row>
    <row r="140">
      <c r="D140" s="11">
        <f>IF(OR($A140="",NOT(ISNUMBER($B140))),"",COUNTIF($B$6:$B$155,"&lt;"&amp;$B140)+1)</f>
        <v/>
      </c>
      <c r="E140" s="11">
        <f>IF($A140="","",COUNT($B$6:$B$155))</f>
        <v/>
      </c>
      <c r="F140" s="11">
        <f>IF(OR($A140="",$B$2="Not started"),"",IF($C140&lt;&gt;"",IFERROR(VLOOKUP($C140,Points!$D$2:$E$6,2,FALSE),""),IF(NOT(ISNUMBER($B140)),"",IF($D140&lt;=16,Points!$E$6,IF($D140&lt;=32,Points!$H$2,Points!$H$3)))))</f>
        <v/>
      </c>
      <c r="G140" s="11">
        <f>IF($A140="","",IF($B$2="Final","Final",IF($B$2="In progress","Projected","Not started")))</f>
        <v/>
      </c>
      <c r="H140" s="11">
        <f>IF($A140="","",IF(COUNTIF(Players!$A$2:$A$500,$A140)=0,"Player is not on the Players tab",IF(COUNTIF($A$6:$A$155,$A140)&gt;1,"Player is listed twice",IF($B$2="Not started","Set Status to In progress to count points",IF(AND($C140="",NOT(ISNUMBER($B140))),"Enter a qualifying score",IF(AND($C140&lt;&gt;"",ISNUMBER($D140),N($D140)&gt;16),"Bracket result for a player ranked below 16th",IF(AND($B$2="Final",$C140="",N($D140)&lt;=16),"Top 16: enter the bracket result","OK")))))))</f>
        <v/>
      </c>
    </row>
    <row r="141">
      <c r="D141" s="11">
        <f>IF(OR($A141="",NOT(ISNUMBER($B141))),"",COUNTIF($B$6:$B$155,"&lt;"&amp;$B141)+1)</f>
        <v/>
      </c>
      <c r="E141" s="11">
        <f>IF($A141="","",COUNT($B$6:$B$155))</f>
        <v/>
      </c>
      <c r="F141" s="11">
        <f>IF(OR($A141="",$B$2="Not started"),"",IF($C141&lt;&gt;"",IFERROR(VLOOKUP($C141,Points!$D$2:$E$6,2,FALSE),""),IF(NOT(ISNUMBER($B141)),"",IF($D141&lt;=16,Points!$E$6,IF($D141&lt;=32,Points!$H$2,Points!$H$3)))))</f>
        <v/>
      </c>
      <c r="G141" s="11">
        <f>IF($A141="","",IF($B$2="Final","Final",IF($B$2="In progress","Projected","Not started")))</f>
        <v/>
      </c>
      <c r="H141" s="11">
        <f>IF($A141="","",IF(COUNTIF(Players!$A$2:$A$500,$A141)=0,"Player is not on the Players tab",IF(COUNTIF($A$6:$A$155,$A141)&gt;1,"Player is listed twice",IF($B$2="Not started","Set Status to In progress to count points",IF(AND($C141="",NOT(ISNUMBER($B141))),"Enter a qualifying score",IF(AND($C141&lt;&gt;"",ISNUMBER($D141),N($D141)&gt;16),"Bracket result for a player ranked below 16th",IF(AND($B$2="Final",$C141="",N($D141)&lt;=16),"Top 16: enter the bracket result","OK")))))))</f>
        <v/>
      </c>
    </row>
    <row r="142">
      <c r="D142" s="11">
        <f>IF(OR($A142="",NOT(ISNUMBER($B142))),"",COUNTIF($B$6:$B$155,"&lt;"&amp;$B142)+1)</f>
        <v/>
      </c>
      <c r="E142" s="11">
        <f>IF($A142="","",COUNT($B$6:$B$155))</f>
        <v/>
      </c>
      <c r="F142" s="11">
        <f>IF(OR($A142="",$B$2="Not started"),"",IF($C142&lt;&gt;"",IFERROR(VLOOKUP($C142,Points!$D$2:$E$6,2,FALSE),""),IF(NOT(ISNUMBER($B142)),"",IF($D142&lt;=16,Points!$E$6,IF($D142&lt;=32,Points!$H$2,Points!$H$3)))))</f>
        <v/>
      </c>
      <c r="G142" s="11">
        <f>IF($A142="","",IF($B$2="Final","Final",IF($B$2="In progress","Projected","Not started")))</f>
        <v/>
      </c>
      <c r="H142" s="11">
        <f>IF($A142="","",IF(COUNTIF(Players!$A$2:$A$500,$A142)=0,"Player is not on the Players tab",IF(COUNTIF($A$6:$A$155,$A142)&gt;1,"Player is listed twice",IF($B$2="Not started","Set Status to In progress to count points",IF(AND($C142="",NOT(ISNUMBER($B142))),"Enter a qualifying score",IF(AND($C142&lt;&gt;"",ISNUMBER($D142),N($D142)&gt;16),"Bracket result for a player ranked below 16th",IF(AND($B$2="Final",$C142="",N($D142)&lt;=16),"Top 16: enter the bracket result","OK")))))))</f>
        <v/>
      </c>
    </row>
    <row r="143">
      <c r="D143" s="11">
        <f>IF(OR($A143="",NOT(ISNUMBER($B143))),"",COUNTIF($B$6:$B$155,"&lt;"&amp;$B143)+1)</f>
        <v/>
      </c>
      <c r="E143" s="11">
        <f>IF($A143="","",COUNT($B$6:$B$155))</f>
        <v/>
      </c>
      <c r="F143" s="11">
        <f>IF(OR($A143="",$B$2="Not started"),"",IF($C143&lt;&gt;"",IFERROR(VLOOKUP($C143,Points!$D$2:$E$6,2,FALSE),""),IF(NOT(ISNUMBER($B143)),"",IF($D143&lt;=16,Points!$E$6,IF($D143&lt;=32,Points!$H$2,Points!$H$3)))))</f>
        <v/>
      </c>
      <c r="G143" s="11">
        <f>IF($A143="","",IF($B$2="Final","Final",IF($B$2="In progress","Projected","Not started")))</f>
        <v/>
      </c>
      <c r="H143" s="11">
        <f>IF($A143="","",IF(COUNTIF(Players!$A$2:$A$500,$A143)=0,"Player is not on the Players tab",IF(COUNTIF($A$6:$A$155,$A143)&gt;1,"Player is listed twice",IF($B$2="Not started","Set Status to In progress to count points",IF(AND($C143="",NOT(ISNUMBER($B143))),"Enter a qualifying score",IF(AND($C143&lt;&gt;"",ISNUMBER($D143),N($D143)&gt;16),"Bracket result for a player ranked below 16th",IF(AND($B$2="Final",$C143="",N($D143)&lt;=16),"Top 16: enter the bracket result","OK")))))))</f>
        <v/>
      </c>
    </row>
    <row r="144">
      <c r="D144" s="11">
        <f>IF(OR($A144="",NOT(ISNUMBER($B144))),"",COUNTIF($B$6:$B$155,"&lt;"&amp;$B144)+1)</f>
        <v/>
      </c>
      <c r="E144" s="11">
        <f>IF($A144="","",COUNT($B$6:$B$155))</f>
        <v/>
      </c>
      <c r="F144" s="11">
        <f>IF(OR($A144="",$B$2="Not started"),"",IF($C144&lt;&gt;"",IFERROR(VLOOKUP($C144,Points!$D$2:$E$6,2,FALSE),""),IF(NOT(ISNUMBER($B144)),"",IF($D144&lt;=16,Points!$E$6,IF($D144&lt;=32,Points!$H$2,Points!$H$3)))))</f>
        <v/>
      </c>
      <c r="G144" s="11">
        <f>IF($A144="","",IF($B$2="Final","Final",IF($B$2="In progress","Projected","Not started")))</f>
        <v/>
      </c>
      <c r="H144" s="11">
        <f>IF($A144="","",IF(COUNTIF(Players!$A$2:$A$500,$A144)=0,"Player is not on the Players tab",IF(COUNTIF($A$6:$A$155,$A144)&gt;1,"Player is listed twice",IF($B$2="Not started","Set Status to In progress to count points",IF(AND($C144="",NOT(ISNUMBER($B144))),"Enter a qualifying score",IF(AND($C144&lt;&gt;"",ISNUMBER($D144),N($D144)&gt;16),"Bracket result for a player ranked below 16th",IF(AND($B$2="Final",$C144="",N($D144)&lt;=16),"Top 16: enter the bracket result","OK")))))))</f>
        <v/>
      </c>
    </row>
    <row r="145">
      <c r="D145" s="11">
        <f>IF(OR($A145="",NOT(ISNUMBER($B145))),"",COUNTIF($B$6:$B$155,"&lt;"&amp;$B145)+1)</f>
        <v/>
      </c>
      <c r="E145" s="11">
        <f>IF($A145="","",COUNT($B$6:$B$155))</f>
        <v/>
      </c>
      <c r="F145" s="11">
        <f>IF(OR($A145="",$B$2="Not started"),"",IF($C145&lt;&gt;"",IFERROR(VLOOKUP($C145,Points!$D$2:$E$6,2,FALSE),""),IF(NOT(ISNUMBER($B145)),"",IF($D145&lt;=16,Points!$E$6,IF($D145&lt;=32,Points!$H$2,Points!$H$3)))))</f>
        <v/>
      </c>
      <c r="G145" s="11">
        <f>IF($A145="","",IF($B$2="Final","Final",IF($B$2="In progress","Projected","Not started")))</f>
        <v/>
      </c>
      <c r="H145" s="11">
        <f>IF($A145="","",IF(COUNTIF(Players!$A$2:$A$500,$A145)=0,"Player is not on the Players tab",IF(COUNTIF($A$6:$A$155,$A145)&gt;1,"Player is listed twice",IF($B$2="Not started","Set Status to In progress to count points",IF(AND($C145="",NOT(ISNUMBER($B145))),"Enter a qualifying score",IF(AND($C145&lt;&gt;"",ISNUMBER($D145),N($D145)&gt;16),"Bracket result for a player ranked below 16th",IF(AND($B$2="Final",$C145="",N($D145)&lt;=16),"Top 16: enter the bracket result","OK")))))))</f>
        <v/>
      </c>
    </row>
    <row r="146">
      <c r="D146" s="11">
        <f>IF(OR($A146="",NOT(ISNUMBER($B146))),"",COUNTIF($B$6:$B$155,"&lt;"&amp;$B146)+1)</f>
        <v/>
      </c>
      <c r="E146" s="11">
        <f>IF($A146="","",COUNT($B$6:$B$155))</f>
        <v/>
      </c>
      <c r="F146" s="11">
        <f>IF(OR($A146="",$B$2="Not started"),"",IF($C146&lt;&gt;"",IFERROR(VLOOKUP($C146,Points!$D$2:$E$6,2,FALSE),""),IF(NOT(ISNUMBER($B146)),"",IF($D146&lt;=16,Points!$E$6,IF($D146&lt;=32,Points!$H$2,Points!$H$3)))))</f>
        <v/>
      </c>
      <c r="G146" s="11">
        <f>IF($A146="","",IF($B$2="Final","Final",IF($B$2="In progress","Projected","Not started")))</f>
        <v/>
      </c>
      <c r="H146" s="11">
        <f>IF($A146="","",IF(COUNTIF(Players!$A$2:$A$500,$A146)=0,"Player is not on the Players tab",IF(COUNTIF($A$6:$A$155,$A146)&gt;1,"Player is listed twice",IF($B$2="Not started","Set Status to In progress to count points",IF(AND($C146="",NOT(ISNUMBER($B146))),"Enter a qualifying score",IF(AND($C146&lt;&gt;"",ISNUMBER($D146),N($D146)&gt;16),"Bracket result for a player ranked below 16th",IF(AND($B$2="Final",$C146="",N($D146)&lt;=16),"Top 16: enter the bracket result","OK")))))))</f>
        <v/>
      </c>
    </row>
    <row r="147">
      <c r="D147" s="11">
        <f>IF(OR($A147="",NOT(ISNUMBER($B147))),"",COUNTIF($B$6:$B$155,"&lt;"&amp;$B147)+1)</f>
        <v/>
      </c>
      <c r="E147" s="11">
        <f>IF($A147="","",COUNT($B$6:$B$155))</f>
        <v/>
      </c>
      <c r="F147" s="11">
        <f>IF(OR($A147="",$B$2="Not started"),"",IF($C147&lt;&gt;"",IFERROR(VLOOKUP($C147,Points!$D$2:$E$6,2,FALSE),""),IF(NOT(ISNUMBER($B147)),"",IF($D147&lt;=16,Points!$E$6,IF($D147&lt;=32,Points!$H$2,Points!$H$3)))))</f>
        <v/>
      </c>
      <c r="G147" s="11">
        <f>IF($A147="","",IF($B$2="Final","Final",IF($B$2="In progress","Projected","Not started")))</f>
        <v/>
      </c>
      <c r="H147" s="11">
        <f>IF($A147="","",IF(COUNTIF(Players!$A$2:$A$500,$A147)=0,"Player is not on the Players tab",IF(COUNTIF($A$6:$A$155,$A147)&gt;1,"Player is listed twice",IF($B$2="Not started","Set Status to In progress to count points",IF(AND($C147="",NOT(ISNUMBER($B147))),"Enter a qualifying score",IF(AND($C147&lt;&gt;"",ISNUMBER($D147),N($D147)&gt;16),"Bracket result for a player ranked below 16th",IF(AND($B$2="Final",$C147="",N($D147)&lt;=16),"Top 16: enter the bracket result","OK")))))))</f>
        <v/>
      </c>
    </row>
    <row r="148">
      <c r="D148" s="11">
        <f>IF(OR($A148="",NOT(ISNUMBER($B148))),"",COUNTIF($B$6:$B$155,"&lt;"&amp;$B148)+1)</f>
        <v/>
      </c>
      <c r="E148" s="11">
        <f>IF($A148="","",COUNT($B$6:$B$155))</f>
        <v/>
      </c>
      <c r="F148" s="11">
        <f>IF(OR($A148="",$B$2="Not started"),"",IF($C148&lt;&gt;"",IFERROR(VLOOKUP($C148,Points!$D$2:$E$6,2,FALSE),""),IF(NOT(ISNUMBER($B148)),"",IF($D148&lt;=16,Points!$E$6,IF($D148&lt;=32,Points!$H$2,Points!$H$3)))))</f>
        <v/>
      </c>
      <c r="G148" s="11">
        <f>IF($A148="","",IF($B$2="Final","Final",IF($B$2="In progress","Projected","Not started")))</f>
        <v/>
      </c>
      <c r="H148" s="11">
        <f>IF($A148="","",IF(COUNTIF(Players!$A$2:$A$500,$A148)=0,"Player is not on the Players tab",IF(COUNTIF($A$6:$A$155,$A148)&gt;1,"Player is listed twice",IF($B$2="Not started","Set Status to In progress to count points",IF(AND($C148="",NOT(ISNUMBER($B148))),"Enter a qualifying score",IF(AND($C148&lt;&gt;"",ISNUMBER($D148),N($D148)&gt;16),"Bracket result for a player ranked below 16th",IF(AND($B$2="Final",$C148="",N($D148)&lt;=16),"Top 16: enter the bracket result","OK")))))))</f>
        <v/>
      </c>
    </row>
    <row r="149">
      <c r="D149" s="11">
        <f>IF(OR($A149="",NOT(ISNUMBER($B149))),"",COUNTIF($B$6:$B$155,"&lt;"&amp;$B149)+1)</f>
        <v/>
      </c>
      <c r="E149" s="11">
        <f>IF($A149="","",COUNT($B$6:$B$155))</f>
        <v/>
      </c>
      <c r="F149" s="11">
        <f>IF(OR($A149="",$B$2="Not started"),"",IF($C149&lt;&gt;"",IFERROR(VLOOKUP($C149,Points!$D$2:$E$6,2,FALSE),""),IF(NOT(ISNUMBER($B149)),"",IF($D149&lt;=16,Points!$E$6,IF($D149&lt;=32,Points!$H$2,Points!$H$3)))))</f>
        <v/>
      </c>
      <c r="G149" s="11">
        <f>IF($A149="","",IF($B$2="Final","Final",IF($B$2="In progress","Projected","Not started")))</f>
        <v/>
      </c>
      <c r="H149" s="11">
        <f>IF($A149="","",IF(COUNTIF(Players!$A$2:$A$500,$A149)=0,"Player is not on the Players tab",IF(COUNTIF($A$6:$A$155,$A149)&gt;1,"Player is listed twice",IF($B$2="Not started","Set Status to In progress to count points",IF(AND($C149="",NOT(ISNUMBER($B149))),"Enter a qualifying score",IF(AND($C149&lt;&gt;"",ISNUMBER($D149),N($D149)&gt;16),"Bracket result for a player ranked below 16th",IF(AND($B$2="Final",$C149="",N($D149)&lt;=16),"Top 16: enter the bracket result","OK")))))))</f>
        <v/>
      </c>
    </row>
    <row r="150">
      <c r="D150" s="11">
        <f>IF(OR($A150="",NOT(ISNUMBER($B150))),"",COUNTIF($B$6:$B$155,"&lt;"&amp;$B150)+1)</f>
        <v/>
      </c>
      <c r="E150" s="11">
        <f>IF($A150="","",COUNT($B$6:$B$155))</f>
        <v/>
      </c>
      <c r="F150" s="11">
        <f>IF(OR($A150="",$B$2="Not started"),"",IF($C150&lt;&gt;"",IFERROR(VLOOKUP($C150,Points!$D$2:$E$6,2,FALSE),""),IF(NOT(ISNUMBER($B150)),"",IF($D150&lt;=16,Points!$E$6,IF($D150&lt;=32,Points!$H$2,Points!$H$3)))))</f>
        <v/>
      </c>
      <c r="G150" s="11">
        <f>IF($A150="","",IF($B$2="Final","Final",IF($B$2="In progress","Projected","Not started")))</f>
        <v/>
      </c>
      <c r="H150" s="11">
        <f>IF($A150="","",IF(COUNTIF(Players!$A$2:$A$500,$A150)=0,"Player is not on the Players tab",IF(COUNTIF($A$6:$A$155,$A150)&gt;1,"Player is listed twice",IF($B$2="Not started","Set Status to In progress to count points",IF(AND($C150="",NOT(ISNUMBER($B150))),"Enter a qualifying score",IF(AND($C150&lt;&gt;"",ISNUMBER($D150),N($D150)&gt;16),"Bracket result for a player ranked below 16th",IF(AND($B$2="Final",$C150="",N($D150)&lt;=16),"Top 16: enter the bracket result","OK")))))))</f>
        <v/>
      </c>
    </row>
    <row r="151">
      <c r="D151" s="11">
        <f>IF(OR($A151="",NOT(ISNUMBER($B151))),"",COUNTIF($B$6:$B$155,"&lt;"&amp;$B151)+1)</f>
        <v/>
      </c>
      <c r="E151" s="11">
        <f>IF($A151="","",COUNT($B$6:$B$155))</f>
        <v/>
      </c>
      <c r="F151" s="11">
        <f>IF(OR($A151="",$B$2="Not started"),"",IF($C151&lt;&gt;"",IFERROR(VLOOKUP($C151,Points!$D$2:$E$6,2,FALSE),""),IF(NOT(ISNUMBER($B151)),"",IF($D151&lt;=16,Points!$E$6,IF($D151&lt;=32,Points!$H$2,Points!$H$3)))))</f>
        <v/>
      </c>
      <c r="G151" s="11">
        <f>IF($A151="","",IF($B$2="Final","Final",IF($B$2="In progress","Projected","Not started")))</f>
        <v/>
      </c>
      <c r="H151" s="11">
        <f>IF($A151="","",IF(COUNTIF(Players!$A$2:$A$500,$A151)=0,"Player is not on the Players tab",IF(COUNTIF($A$6:$A$155,$A151)&gt;1,"Player is listed twice",IF($B$2="Not started","Set Status to In progress to count points",IF(AND($C151="",NOT(ISNUMBER($B151))),"Enter a qualifying score",IF(AND($C151&lt;&gt;"",ISNUMBER($D151),N($D151)&gt;16),"Bracket result for a player ranked below 16th",IF(AND($B$2="Final",$C151="",N($D151)&lt;=16),"Top 16: enter the bracket result","OK")))))))</f>
        <v/>
      </c>
    </row>
    <row r="152">
      <c r="D152" s="11">
        <f>IF(OR($A152="",NOT(ISNUMBER($B152))),"",COUNTIF($B$6:$B$155,"&lt;"&amp;$B152)+1)</f>
        <v/>
      </c>
      <c r="E152" s="11">
        <f>IF($A152="","",COUNT($B$6:$B$155))</f>
        <v/>
      </c>
      <c r="F152" s="11">
        <f>IF(OR($A152="",$B$2="Not started"),"",IF($C152&lt;&gt;"",IFERROR(VLOOKUP($C152,Points!$D$2:$E$6,2,FALSE),""),IF(NOT(ISNUMBER($B152)),"",IF($D152&lt;=16,Points!$E$6,IF($D152&lt;=32,Points!$H$2,Points!$H$3)))))</f>
        <v/>
      </c>
      <c r="G152" s="11">
        <f>IF($A152="","",IF($B$2="Final","Final",IF($B$2="In progress","Projected","Not started")))</f>
        <v/>
      </c>
      <c r="H152" s="11">
        <f>IF($A152="","",IF(COUNTIF(Players!$A$2:$A$500,$A152)=0,"Player is not on the Players tab",IF(COUNTIF($A$6:$A$155,$A152)&gt;1,"Player is listed twice",IF($B$2="Not started","Set Status to In progress to count points",IF(AND($C152="",NOT(ISNUMBER($B152))),"Enter a qualifying score",IF(AND($C152&lt;&gt;"",ISNUMBER($D152),N($D152)&gt;16),"Bracket result for a player ranked below 16th",IF(AND($B$2="Final",$C152="",N($D152)&lt;=16),"Top 16: enter the bracket result","OK")))))))</f>
        <v/>
      </c>
    </row>
    <row r="153">
      <c r="D153" s="11">
        <f>IF(OR($A153="",NOT(ISNUMBER($B153))),"",COUNTIF($B$6:$B$155,"&lt;"&amp;$B153)+1)</f>
        <v/>
      </c>
      <c r="E153" s="11">
        <f>IF($A153="","",COUNT($B$6:$B$155))</f>
        <v/>
      </c>
      <c r="F153" s="11">
        <f>IF(OR($A153="",$B$2="Not started"),"",IF($C153&lt;&gt;"",IFERROR(VLOOKUP($C153,Points!$D$2:$E$6,2,FALSE),""),IF(NOT(ISNUMBER($B153)),"",IF($D153&lt;=16,Points!$E$6,IF($D153&lt;=32,Points!$H$2,Points!$H$3)))))</f>
        <v/>
      </c>
      <c r="G153" s="11">
        <f>IF($A153="","",IF($B$2="Final","Final",IF($B$2="In progress","Projected","Not started")))</f>
        <v/>
      </c>
      <c r="H153" s="11">
        <f>IF($A153="","",IF(COUNTIF(Players!$A$2:$A$500,$A153)=0,"Player is not on the Players tab",IF(COUNTIF($A$6:$A$155,$A153)&gt;1,"Player is listed twice",IF($B$2="Not started","Set Status to In progress to count points",IF(AND($C153="",NOT(ISNUMBER($B153))),"Enter a qualifying score",IF(AND($C153&lt;&gt;"",ISNUMBER($D153),N($D153)&gt;16),"Bracket result for a player ranked below 16th",IF(AND($B$2="Final",$C153="",N($D153)&lt;=16),"Top 16: enter the bracket result","OK")))))))</f>
        <v/>
      </c>
    </row>
    <row r="154">
      <c r="D154" s="11">
        <f>IF(OR($A154="",NOT(ISNUMBER($B154))),"",COUNTIF($B$6:$B$155,"&lt;"&amp;$B154)+1)</f>
        <v/>
      </c>
      <c r="E154" s="11">
        <f>IF($A154="","",COUNT($B$6:$B$155))</f>
        <v/>
      </c>
      <c r="F154" s="11">
        <f>IF(OR($A154="",$B$2="Not started"),"",IF($C154&lt;&gt;"",IFERROR(VLOOKUP($C154,Points!$D$2:$E$6,2,FALSE),""),IF(NOT(ISNUMBER($B154)),"",IF($D154&lt;=16,Points!$E$6,IF($D154&lt;=32,Points!$H$2,Points!$H$3)))))</f>
        <v/>
      </c>
      <c r="G154" s="11">
        <f>IF($A154="","",IF($B$2="Final","Final",IF($B$2="In progress","Projected","Not started")))</f>
        <v/>
      </c>
      <c r="H154" s="11">
        <f>IF($A154="","",IF(COUNTIF(Players!$A$2:$A$500,$A154)=0,"Player is not on the Players tab",IF(COUNTIF($A$6:$A$155,$A154)&gt;1,"Player is listed twice",IF($B$2="Not started","Set Status to In progress to count points",IF(AND($C154="",NOT(ISNUMBER($B154))),"Enter a qualifying score",IF(AND($C154&lt;&gt;"",ISNUMBER($D154),N($D154)&gt;16),"Bracket result for a player ranked below 16th",IF(AND($B$2="Final",$C154="",N($D154)&lt;=16),"Top 16: enter the bracket result","OK")))))))</f>
        <v/>
      </c>
    </row>
    <row r="155">
      <c r="D155" s="11">
        <f>IF(OR($A155="",NOT(ISNUMBER($B155))),"",COUNTIF($B$6:$B$155,"&lt;"&amp;$B155)+1)</f>
        <v/>
      </c>
      <c r="E155" s="11">
        <f>IF($A155="","",COUNT($B$6:$B$155))</f>
        <v/>
      </c>
      <c r="F155" s="11">
        <f>IF(OR($A155="",$B$2="Not started"),"",IF($C155&lt;&gt;"",IFERROR(VLOOKUP($C155,Points!$D$2:$E$6,2,FALSE),""),IF(NOT(ISNUMBER($B155)),"",IF($D155&lt;=16,Points!$E$6,IF($D155&lt;=32,Points!$H$2,Points!$H$3)))))</f>
        <v/>
      </c>
      <c r="G155" s="11">
        <f>IF($A155="","",IF($B$2="Final","Final",IF($B$2="In progress","Projected","Not started")))</f>
        <v/>
      </c>
      <c r="H155" s="11">
        <f>IF($A155="","",IF(COUNTIF(Players!$A$2:$A$500,$A155)=0,"Player is not on the Players tab",IF(COUNTIF($A$6:$A$155,$A155)&gt;1,"Player is listed twice",IF($B$2="Not started","Set Status to In progress to count points",IF(AND($C155="",NOT(ISNUMBER($B155))),"Enter a qualifying score",IF(AND($C155&lt;&gt;"",ISNUMBER($D155),N($D155)&gt;16),"Bracket result for a player ranked below 16th",IF(AND($B$2="Final",$C155="",N($D155)&lt;=16),"Top 16: enter the bracket result","OK")))))))</f>
        <v/>
      </c>
    </row>
  </sheetData>
  <conditionalFormatting sqref="H6:H155">
    <cfRule type="expression" priority="1" dxfId="0">
      <formula>AND($H6&lt;&gt;"",$H6&lt;&gt;"OK")</formula>
    </cfRule>
  </conditionalFormatting>
  <dataValidations count="4">
    <dataValidation sqref="B2" showDropDown="0" showInputMessage="0" showErrorMessage="1" allowBlank="1" errorTitle="Not on the list" error="Pick a value from the list." type="list">
      <formula1>"Not started,In progress,Final"</formula1>
    </dataValidation>
    <dataValidation sqref="A6:A155" showDropDown="0" showInputMessage="0" showErrorMessage="1" allowBlank="1" errorTitle="Not on the list" error="Pick a player from the list. New players go on the Players tab first." type="list">
      <formula1>Players!$A$2:$A$500</formula1>
    </dataValidation>
    <dataValidation sqref="C6:C155" showDropDown="0" showInputMessage="0" showErrorMessage="1" allowBlank="1" errorTitle="Not on the list" error="Pick the bracket result from the list." type="list">
      <formula1>Points!$D$2:$D$6</formula1>
    </dataValidation>
    <dataValidation sqref="B6:B155" showDropDown="0" showInputMessage="0" showErrorMessage="1" allowBlank="1" errorTitle="Strokes only" error="Enter the score in strokes, for example 72." type="whole" operator="between">
      <formula1>1</formula1>
      <formula2>200</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6"/>
  <sheetViews>
    <sheetView workbookViewId="0">
      <pane ySplit="6" topLeftCell="A7" activePane="bottomLeft" state="frozen"/>
      <selection pane="bottomLeft" activeCell="A1" sqref="A1"/>
    </sheetView>
  </sheetViews>
  <sheetFormatPr baseColWidth="8" defaultRowHeight="15"/>
  <cols>
    <col width="24" customWidth="1" min="1" max="1"/>
    <col width="12" customWidth="1" min="2" max="2"/>
    <col width="10" customWidth="1" min="3" max="3"/>
    <col width="10" customWidth="1" min="4" max="4"/>
    <col width="8" customWidth="1" min="5" max="5"/>
    <col width="8" customWidth="1" min="6" max="6"/>
    <col width="9" customWidth="1" min="7" max="7"/>
    <col width="11" customWidth="1" min="8" max="8"/>
    <col width="40" customWidth="1" min="9" max="9"/>
    <col hidden="1" width="6" customWidth="1" min="10" max="10"/>
  </cols>
  <sheetData>
    <row r="1">
      <c r="A1" s="7" t="inlineStr">
        <is>
          <t>Masters</t>
        </is>
      </c>
      <c r="D1" s="6" t="inlineStr">
        <is>
          <t>One row per player. Enter their best score so far in strokes; type over it when they beat it.</t>
        </is>
      </c>
    </row>
    <row r="2">
      <c r="A2" s="5" t="inlineStr">
        <is>
          <t>Status</t>
        </is>
      </c>
      <c r="B2" s="8" t="inlineStr">
        <is>
          <t>Not started</t>
        </is>
      </c>
      <c r="C2" s="6" t="inlineStr">
        <is>
          <t>In progress: points are projected from the leaderboard. Final: points are official and the scores lock.</t>
        </is>
      </c>
    </row>
    <row r="3">
      <c r="A3" s="5" t="inlineStr">
        <is>
          <t>End date</t>
        </is>
      </c>
      <c r="B3" s="9" t="n"/>
    </row>
    <row r="4">
      <c r="A4" s="6" t="inlineStr">
        <is>
          <t>Division comes from the Players tab. Open and Senior are ranked separately. Pick one Winner per division; anyone tied with the winner is scored from 2nd place down.</t>
        </is>
      </c>
    </row>
    <row r="6" ht="30" customHeight="1">
      <c r="A6" s="4" t="inlineStr">
        <is>
          <t>Player</t>
        </is>
      </c>
      <c r="B6" s="4" t="inlineStr">
        <is>
          <t>Best Score (strokes)</t>
        </is>
      </c>
      <c r="C6" s="4" t="inlineStr">
        <is>
          <t>Winner</t>
        </is>
      </c>
      <c r="D6" s="10" t="inlineStr">
        <is>
          <t>Division</t>
        </is>
      </c>
      <c r="E6" s="10" t="inlineStr">
        <is>
          <t>Rank</t>
        </is>
      </c>
      <c r="F6" s="10" t="inlineStr">
        <is>
          <t>Field</t>
        </is>
      </c>
      <c r="G6" s="10" t="inlineStr">
        <is>
          <t>Points</t>
        </is>
      </c>
      <c r="H6" s="10" t="inlineStr">
        <is>
          <t>Status</t>
        </is>
      </c>
      <c r="I6" s="10" t="inlineStr">
        <is>
          <t>Check</t>
        </is>
      </c>
      <c r="J6" s="10" t="inlineStr">
        <is>
          <t>Tied</t>
        </is>
      </c>
    </row>
    <row r="7">
      <c r="D7" s="11">
        <f>IF($A7="","",IFERROR(IF(VLOOKUP($A7,Players!$A$2:$B$500,2,FALSE)="","Open",VLOOKUP($A7,Players!$A$2:$B$500,2,FALSE)),"Open"))</f>
        <v/>
      </c>
      <c r="E7" s="11">
        <f>IF(OR($A7="",NOT(ISNUMBER($B7))),"",IF($C7="Winner",1,COUNTIFS($D$7:$D$156,$D7,$B$7:$B$156,"&lt;"&amp;$B7)+1+IF(AND(NOT($C7="Winner"),COUNTIFS($D$7:$D$156,$D7,$C$7:$C$156,"Winner",$B$7:$B$156,$B7)&gt;0),1,0)))</f>
        <v/>
      </c>
      <c r="F7" s="11">
        <f>IF(OR($A7="",NOT(ISNUMBER($B7))),"",COUNTIFS($D$7:$D$156,$D7,$B$7:$B$156,"&gt;0"))</f>
        <v/>
      </c>
      <c r="G7" s="11">
        <f>IF(OR(OR($A7="",NOT(ISNUMBER($B7))),$B$2="Not started"),"",IF($C7="Winner",Points!$B$3,ROUND(Points!$B$3*IF($F7&lt;=1,1,Points!$H$7+(1-Points!$H$7)*((($F7-$E7)*(($F7-$E7)+1)/2)^2-((($F7-$E7-$J7+1)-1)*($F7-$E7-$J7+1)/2)^2)/($J7*($F7-1)^3)),0)))</f>
        <v/>
      </c>
      <c r="H7" s="11">
        <f>IF($A7="","",IF($B$2="Final","Final",IF($B$2="In progress","Projected","Not started")))</f>
        <v/>
      </c>
      <c r="I7" s="11">
        <f>IF($A7="","",IF(COUNTIF(Players!$A$2:$A$500,$A7)=0,"Player is not on the Players tab",IF(COUNTIF($A$7:$A$156,$A7)&gt;1,"Player is listed twice",IF(NOT(ISNUMBER($B7)),"Enter a score",IF(COUNTIFS($D$7:$D$156,$D7,$C$7:$C$156,"Winner")&gt;1,"More than one "&amp;$D7&amp;" winner picked",IF(AND($C7="Winner",COUNTIFS($D$7:$D$156,$D7,$B$7:$B$156,"&lt;"&amp;$B7)&gt;0),"The winner doesn't have the best "&amp;$D7&amp;" score",IF(AND($B$2="Final",COUNTIFS($D$7:$D$156,$D7,$C$7:$C$156,"Winner")=0),"Final: pick the "&amp;$D7&amp;" winner",IF($B$2="Not started","Set Status to In progress to count points","OK"))))))))</f>
        <v/>
      </c>
      <c r="J7" s="11">
        <f>IF(OR($A7="",NOT(ISNUMBER($B7))),"",IF($C7="Winner",1,COUNTIFS($D$7:$D$156,$D7,$B$7:$B$156,$B7)-IF(AND(NOT($C7="Winner"),COUNTIFS($D$7:$D$156,$D7,$C$7:$C$156,"Winner",$B$7:$B$156,$B7)&gt;0),1,0)))</f>
        <v/>
      </c>
    </row>
    <row r="8">
      <c r="D8" s="11">
        <f>IF($A8="","",IFERROR(IF(VLOOKUP($A8,Players!$A$2:$B$500,2,FALSE)="","Open",VLOOKUP($A8,Players!$A$2:$B$500,2,FALSE)),"Open"))</f>
        <v/>
      </c>
      <c r="E8" s="11">
        <f>IF(OR($A8="",NOT(ISNUMBER($B8))),"",IF($C8="Winner",1,COUNTIFS($D$7:$D$156,$D8,$B$7:$B$156,"&lt;"&amp;$B8)+1+IF(AND(NOT($C8="Winner"),COUNTIFS($D$7:$D$156,$D8,$C$7:$C$156,"Winner",$B$7:$B$156,$B8)&gt;0),1,0)))</f>
        <v/>
      </c>
      <c r="F8" s="11">
        <f>IF(OR($A8="",NOT(ISNUMBER($B8))),"",COUNTIFS($D$7:$D$156,$D8,$B$7:$B$156,"&gt;0"))</f>
        <v/>
      </c>
      <c r="G8" s="11">
        <f>IF(OR(OR($A8="",NOT(ISNUMBER($B8))),$B$2="Not started"),"",IF($C8="Winner",Points!$B$3,ROUND(Points!$B$3*IF($F8&lt;=1,1,Points!$H$7+(1-Points!$H$7)*((($F8-$E8)*(($F8-$E8)+1)/2)^2-((($F8-$E8-$J8+1)-1)*($F8-$E8-$J8+1)/2)^2)/($J8*($F8-1)^3)),0)))</f>
        <v/>
      </c>
      <c r="H8" s="11">
        <f>IF($A8="","",IF($B$2="Final","Final",IF($B$2="In progress","Projected","Not started")))</f>
        <v/>
      </c>
      <c r="I8" s="11">
        <f>IF($A8="","",IF(COUNTIF(Players!$A$2:$A$500,$A8)=0,"Player is not on the Players tab",IF(COUNTIF($A$7:$A$156,$A8)&gt;1,"Player is listed twice",IF(NOT(ISNUMBER($B8)),"Enter a score",IF(COUNTIFS($D$7:$D$156,$D8,$C$7:$C$156,"Winner")&gt;1,"More than one "&amp;$D8&amp;" winner picked",IF(AND($C8="Winner",COUNTIFS($D$7:$D$156,$D8,$B$7:$B$156,"&lt;"&amp;$B8)&gt;0),"The winner doesn't have the best "&amp;$D8&amp;" score",IF(AND($B$2="Final",COUNTIFS($D$7:$D$156,$D8,$C$7:$C$156,"Winner")=0),"Final: pick the "&amp;$D8&amp;" winner",IF($B$2="Not started","Set Status to In progress to count points","OK"))))))))</f>
        <v/>
      </c>
      <c r="J8" s="11">
        <f>IF(OR($A8="",NOT(ISNUMBER($B8))),"",IF($C8="Winner",1,COUNTIFS($D$7:$D$156,$D8,$B$7:$B$156,$B8)-IF(AND(NOT($C8="Winner"),COUNTIFS($D$7:$D$156,$D8,$C$7:$C$156,"Winner",$B$7:$B$156,$B8)&gt;0),1,0)))</f>
        <v/>
      </c>
    </row>
    <row r="9">
      <c r="D9" s="11">
        <f>IF($A9="","",IFERROR(IF(VLOOKUP($A9,Players!$A$2:$B$500,2,FALSE)="","Open",VLOOKUP($A9,Players!$A$2:$B$500,2,FALSE)),"Open"))</f>
        <v/>
      </c>
      <c r="E9" s="11">
        <f>IF(OR($A9="",NOT(ISNUMBER($B9))),"",IF($C9="Winner",1,COUNTIFS($D$7:$D$156,$D9,$B$7:$B$156,"&lt;"&amp;$B9)+1+IF(AND(NOT($C9="Winner"),COUNTIFS($D$7:$D$156,$D9,$C$7:$C$156,"Winner",$B$7:$B$156,$B9)&gt;0),1,0)))</f>
        <v/>
      </c>
      <c r="F9" s="11">
        <f>IF(OR($A9="",NOT(ISNUMBER($B9))),"",COUNTIFS($D$7:$D$156,$D9,$B$7:$B$156,"&gt;0"))</f>
        <v/>
      </c>
      <c r="G9" s="11">
        <f>IF(OR(OR($A9="",NOT(ISNUMBER($B9))),$B$2="Not started"),"",IF($C9="Winner",Points!$B$3,ROUND(Points!$B$3*IF($F9&lt;=1,1,Points!$H$7+(1-Points!$H$7)*((($F9-$E9)*(($F9-$E9)+1)/2)^2-((($F9-$E9-$J9+1)-1)*($F9-$E9-$J9+1)/2)^2)/($J9*($F9-1)^3)),0)))</f>
        <v/>
      </c>
      <c r="H9" s="11">
        <f>IF($A9="","",IF($B$2="Final","Final",IF($B$2="In progress","Projected","Not started")))</f>
        <v/>
      </c>
      <c r="I9" s="11">
        <f>IF($A9="","",IF(COUNTIF(Players!$A$2:$A$500,$A9)=0,"Player is not on the Players tab",IF(COUNTIF($A$7:$A$156,$A9)&gt;1,"Player is listed twice",IF(NOT(ISNUMBER($B9)),"Enter a score",IF(COUNTIFS($D$7:$D$156,$D9,$C$7:$C$156,"Winner")&gt;1,"More than one "&amp;$D9&amp;" winner picked",IF(AND($C9="Winner",COUNTIFS($D$7:$D$156,$D9,$B$7:$B$156,"&lt;"&amp;$B9)&gt;0),"The winner doesn't have the best "&amp;$D9&amp;" score",IF(AND($B$2="Final",COUNTIFS($D$7:$D$156,$D9,$C$7:$C$156,"Winner")=0),"Final: pick the "&amp;$D9&amp;" winner",IF($B$2="Not started","Set Status to In progress to count points","OK"))))))))</f>
        <v/>
      </c>
      <c r="J9" s="11">
        <f>IF(OR($A9="",NOT(ISNUMBER($B9))),"",IF($C9="Winner",1,COUNTIFS($D$7:$D$156,$D9,$B$7:$B$156,$B9)-IF(AND(NOT($C9="Winner"),COUNTIFS($D$7:$D$156,$D9,$C$7:$C$156,"Winner",$B$7:$B$156,$B9)&gt;0),1,0)))</f>
        <v/>
      </c>
    </row>
    <row r="10">
      <c r="D10" s="11">
        <f>IF($A10="","",IFERROR(IF(VLOOKUP($A10,Players!$A$2:$B$500,2,FALSE)="","Open",VLOOKUP($A10,Players!$A$2:$B$500,2,FALSE)),"Open"))</f>
        <v/>
      </c>
      <c r="E10" s="11">
        <f>IF(OR($A10="",NOT(ISNUMBER($B10))),"",IF($C10="Winner",1,COUNTIFS($D$7:$D$156,$D10,$B$7:$B$156,"&lt;"&amp;$B10)+1+IF(AND(NOT($C10="Winner"),COUNTIFS($D$7:$D$156,$D10,$C$7:$C$156,"Winner",$B$7:$B$156,$B10)&gt;0),1,0)))</f>
        <v/>
      </c>
      <c r="F10" s="11">
        <f>IF(OR($A10="",NOT(ISNUMBER($B10))),"",COUNTIFS($D$7:$D$156,$D10,$B$7:$B$156,"&gt;0"))</f>
        <v/>
      </c>
      <c r="G10" s="11">
        <f>IF(OR(OR($A10="",NOT(ISNUMBER($B10))),$B$2="Not started"),"",IF($C10="Winner",Points!$B$3,ROUND(Points!$B$3*IF($F10&lt;=1,1,Points!$H$7+(1-Points!$H$7)*((($F10-$E10)*(($F10-$E10)+1)/2)^2-((($F10-$E10-$J10+1)-1)*($F10-$E10-$J10+1)/2)^2)/($J10*($F10-1)^3)),0)))</f>
        <v/>
      </c>
      <c r="H10" s="11">
        <f>IF($A10="","",IF($B$2="Final","Final",IF($B$2="In progress","Projected","Not started")))</f>
        <v/>
      </c>
      <c r="I10" s="11">
        <f>IF($A10="","",IF(COUNTIF(Players!$A$2:$A$500,$A10)=0,"Player is not on the Players tab",IF(COUNTIF($A$7:$A$156,$A10)&gt;1,"Player is listed twice",IF(NOT(ISNUMBER($B10)),"Enter a score",IF(COUNTIFS($D$7:$D$156,$D10,$C$7:$C$156,"Winner")&gt;1,"More than one "&amp;$D10&amp;" winner picked",IF(AND($C10="Winner",COUNTIFS($D$7:$D$156,$D10,$B$7:$B$156,"&lt;"&amp;$B10)&gt;0),"The winner doesn't have the best "&amp;$D10&amp;" score",IF(AND($B$2="Final",COUNTIFS($D$7:$D$156,$D10,$C$7:$C$156,"Winner")=0),"Final: pick the "&amp;$D10&amp;" winner",IF($B$2="Not started","Set Status to In progress to count points","OK"))))))))</f>
        <v/>
      </c>
      <c r="J10" s="11">
        <f>IF(OR($A10="",NOT(ISNUMBER($B10))),"",IF($C10="Winner",1,COUNTIFS($D$7:$D$156,$D10,$B$7:$B$156,$B10)-IF(AND(NOT($C10="Winner"),COUNTIFS($D$7:$D$156,$D10,$C$7:$C$156,"Winner",$B$7:$B$156,$B10)&gt;0),1,0)))</f>
        <v/>
      </c>
    </row>
    <row r="11">
      <c r="D11" s="11">
        <f>IF($A11="","",IFERROR(IF(VLOOKUP($A11,Players!$A$2:$B$500,2,FALSE)="","Open",VLOOKUP($A11,Players!$A$2:$B$500,2,FALSE)),"Open"))</f>
        <v/>
      </c>
      <c r="E11" s="11">
        <f>IF(OR($A11="",NOT(ISNUMBER($B11))),"",IF($C11="Winner",1,COUNTIFS($D$7:$D$156,$D11,$B$7:$B$156,"&lt;"&amp;$B11)+1+IF(AND(NOT($C11="Winner"),COUNTIFS($D$7:$D$156,$D11,$C$7:$C$156,"Winner",$B$7:$B$156,$B11)&gt;0),1,0)))</f>
        <v/>
      </c>
      <c r="F11" s="11">
        <f>IF(OR($A11="",NOT(ISNUMBER($B11))),"",COUNTIFS($D$7:$D$156,$D11,$B$7:$B$156,"&gt;0"))</f>
        <v/>
      </c>
      <c r="G11" s="11">
        <f>IF(OR(OR($A11="",NOT(ISNUMBER($B11))),$B$2="Not started"),"",IF($C11="Winner",Points!$B$3,ROUND(Points!$B$3*IF($F11&lt;=1,1,Points!$H$7+(1-Points!$H$7)*((($F11-$E11)*(($F11-$E11)+1)/2)^2-((($F11-$E11-$J11+1)-1)*($F11-$E11-$J11+1)/2)^2)/($J11*($F11-1)^3)),0)))</f>
        <v/>
      </c>
      <c r="H11" s="11">
        <f>IF($A11="","",IF($B$2="Final","Final",IF($B$2="In progress","Projected","Not started")))</f>
        <v/>
      </c>
      <c r="I11" s="11">
        <f>IF($A11="","",IF(COUNTIF(Players!$A$2:$A$500,$A11)=0,"Player is not on the Players tab",IF(COUNTIF($A$7:$A$156,$A11)&gt;1,"Player is listed twice",IF(NOT(ISNUMBER($B11)),"Enter a score",IF(COUNTIFS($D$7:$D$156,$D11,$C$7:$C$156,"Winner")&gt;1,"More than one "&amp;$D11&amp;" winner picked",IF(AND($C11="Winner",COUNTIFS($D$7:$D$156,$D11,$B$7:$B$156,"&lt;"&amp;$B11)&gt;0),"The winner doesn't have the best "&amp;$D11&amp;" score",IF(AND($B$2="Final",COUNTIFS($D$7:$D$156,$D11,$C$7:$C$156,"Winner")=0),"Final: pick the "&amp;$D11&amp;" winner",IF($B$2="Not started","Set Status to In progress to count points","OK"))))))))</f>
        <v/>
      </c>
      <c r="J11" s="11">
        <f>IF(OR($A11="",NOT(ISNUMBER($B11))),"",IF($C11="Winner",1,COUNTIFS($D$7:$D$156,$D11,$B$7:$B$156,$B11)-IF(AND(NOT($C11="Winner"),COUNTIFS($D$7:$D$156,$D11,$C$7:$C$156,"Winner",$B$7:$B$156,$B11)&gt;0),1,0)))</f>
        <v/>
      </c>
    </row>
    <row r="12">
      <c r="D12" s="11">
        <f>IF($A12="","",IFERROR(IF(VLOOKUP($A12,Players!$A$2:$B$500,2,FALSE)="","Open",VLOOKUP($A12,Players!$A$2:$B$500,2,FALSE)),"Open"))</f>
        <v/>
      </c>
      <c r="E12" s="11">
        <f>IF(OR($A12="",NOT(ISNUMBER($B12))),"",IF($C12="Winner",1,COUNTIFS($D$7:$D$156,$D12,$B$7:$B$156,"&lt;"&amp;$B12)+1+IF(AND(NOT($C12="Winner"),COUNTIFS($D$7:$D$156,$D12,$C$7:$C$156,"Winner",$B$7:$B$156,$B12)&gt;0),1,0)))</f>
        <v/>
      </c>
      <c r="F12" s="11">
        <f>IF(OR($A12="",NOT(ISNUMBER($B12))),"",COUNTIFS($D$7:$D$156,$D12,$B$7:$B$156,"&gt;0"))</f>
        <v/>
      </c>
      <c r="G12" s="11">
        <f>IF(OR(OR($A12="",NOT(ISNUMBER($B12))),$B$2="Not started"),"",IF($C12="Winner",Points!$B$3,ROUND(Points!$B$3*IF($F12&lt;=1,1,Points!$H$7+(1-Points!$H$7)*((($F12-$E12)*(($F12-$E12)+1)/2)^2-((($F12-$E12-$J12+1)-1)*($F12-$E12-$J12+1)/2)^2)/($J12*($F12-1)^3)),0)))</f>
        <v/>
      </c>
      <c r="H12" s="11">
        <f>IF($A12="","",IF($B$2="Final","Final",IF($B$2="In progress","Projected","Not started")))</f>
        <v/>
      </c>
      <c r="I12" s="11">
        <f>IF($A12="","",IF(COUNTIF(Players!$A$2:$A$500,$A12)=0,"Player is not on the Players tab",IF(COUNTIF($A$7:$A$156,$A12)&gt;1,"Player is listed twice",IF(NOT(ISNUMBER($B12)),"Enter a score",IF(COUNTIFS($D$7:$D$156,$D12,$C$7:$C$156,"Winner")&gt;1,"More than one "&amp;$D12&amp;" winner picked",IF(AND($C12="Winner",COUNTIFS($D$7:$D$156,$D12,$B$7:$B$156,"&lt;"&amp;$B12)&gt;0),"The winner doesn't have the best "&amp;$D12&amp;" score",IF(AND($B$2="Final",COUNTIFS($D$7:$D$156,$D12,$C$7:$C$156,"Winner")=0),"Final: pick the "&amp;$D12&amp;" winner",IF($B$2="Not started","Set Status to In progress to count points","OK"))))))))</f>
        <v/>
      </c>
      <c r="J12" s="11">
        <f>IF(OR($A12="",NOT(ISNUMBER($B12))),"",IF($C12="Winner",1,COUNTIFS($D$7:$D$156,$D12,$B$7:$B$156,$B12)-IF(AND(NOT($C12="Winner"),COUNTIFS($D$7:$D$156,$D12,$C$7:$C$156,"Winner",$B$7:$B$156,$B12)&gt;0),1,0)))</f>
        <v/>
      </c>
    </row>
    <row r="13">
      <c r="D13" s="11">
        <f>IF($A13="","",IFERROR(IF(VLOOKUP($A13,Players!$A$2:$B$500,2,FALSE)="","Open",VLOOKUP($A13,Players!$A$2:$B$500,2,FALSE)),"Open"))</f>
        <v/>
      </c>
      <c r="E13" s="11">
        <f>IF(OR($A13="",NOT(ISNUMBER($B13))),"",IF($C13="Winner",1,COUNTIFS($D$7:$D$156,$D13,$B$7:$B$156,"&lt;"&amp;$B13)+1+IF(AND(NOT($C13="Winner"),COUNTIFS($D$7:$D$156,$D13,$C$7:$C$156,"Winner",$B$7:$B$156,$B13)&gt;0),1,0)))</f>
        <v/>
      </c>
      <c r="F13" s="11">
        <f>IF(OR($A13="",NOT(ISNUMBER($B13))),"",COUNTIFS($D$7:$D$156,$D13,$B$7:$B$156,"&gt;0"))</f>
        <v/>
      </c>
      <c r="G13" s="11">
        <f>IF(OR(OR($A13="",NOT(ISNUMBER($B13))),$B$2="Not started"),"",IF($C13="Winner",Points!$B$3,ROUND(Points!$B$3*IF($F13&lt;=1,1,Points!$H$7+(1-Points!$H$7)*((($F13-$E13)*(($F13-$E13)+1)/2)^2-((($F13-$E13-$J13+1)-1)*($F13-$E13-$J13+1)/2)^2)/($J13*($F13-1)^3)),0)))</f>
        <v/>
      </c>
      <c r="H13" s="11">
        <f>IF($A13="","",IF($B$2="Final","Final",IF($B$2="In progress","Projected","Not started")))</f>
        <v/>
      </c>
      <c r="I13" s="11">
        <f>IF($A13="","",IF(COUNTIF(Players!$A$2:$A$500,$A13)=0,"Player is not on the Players tab",IF(COUNTIF($A$7:$A$156,$A13)&gt;1,"Player is listed twice",IF(NOT(ISNUMBER($B13)),"Enter a score",IF(COUNTIFS($D$7:$D$156,$D13,$C$7:$C$156,"Winner")&gt;1,"More than one "&amp;$D13&amp;" winner picked",IF(AND($C13="Winner",COUNTIFS($D$7:$D$156,$D13,$B$7:$B$156,"&lt;"&amp;$B13)&gt;0),"The winner doesn't have the best "&amp;$D13&amp;" score",IF(AND($B$2="Final",COUNTIFS($D$7:$D$156,$D13,$C$7:$C$156,"Winner")=0),"Final: pick the "&amp;$D13&amp;" winner",IF($B$2="Not started","Set Status to In progress to count points","OK"))))))))</f>
        <v/>
      </c>
      <c r="J13" s="11">
        <f>IF(OR($A13="",NOT(ISNUMBER($B13))),"",IF($C13="Winner",1,COUNTIFS($D$7:$D$156,$D13,$B$7:$B$156,$B13)-IF(AND(NOT($C13="Winner"),COUNTIFS($D$7:$D$156,$D13,$C$7:$C$156,"Winner",$B$7:$B$156,$B13)&gt;0),1,0)))</f>
        <v/>
      </c>
    </row>
    <row r="14">
      <c r="D14" s="11">
        <f>IF($A14="","",IFERROR(IF(VLOOKUP($A14,Players!$A$2:$B$500,2,FALSE)="","Open",VLOOKUP($A14,Players!$A$2:$B$500,2,FALSE)),"Open"))</f>
        <v/>
      </c>
      <c r="E14" s="11">
        <f>IF(OR($A14="",NOT(ISNUMBER($B14))),"",IF($C14="Winner",1,COUNTIFS($D$7:$D$156,$D14,$B$7:$B$156,"&lt;"&amp;$B14)+1+IF(AND(NOT($C14="Winner"),COUNTIFS($D$7:$D$156,$D14,$C$7:$C$156,"Winner",$B$7:$B$156,$B14)&gt;0),1,0)))</f>
        <v/>
      </c>
      <c r="F14" s="11">
        <f>IF(OR($A14="",NOT(ISNUMBER($B14))),"",COUNTIFS($D$7:$D$156,$D14,$B$7:$B$156,"&gt;0"))</f>
        <v/>
      </c>
      <c r="G14" s="11">
        <f>IF(OR(OR($A14="",NOT(ISNUMBER($B14))),$B$2="Not started"),"",IF($C14="Winner",Points!$B$3,ROUND(Points!$B$3*IF($F14&lt;=1,1,Points!$H$7+(1-Points!$H$7)*((($F14-$E14)*(($F14-$E14)+1)/2)^2-((($F14-$E14-$J14+1)-1)*($F14-$E14-$J14+1)/2)^2)/($J14*($F14-1)^3)),0)))</f>
        <v/>
      </c>
      <c r="H14" s="11">
        <f>IF($A14="","",IF($B$2="Final","Final",IF($B$2="In progress","Projected","Not started")))</f>
        <v/>
      </c>
      <c r="I14" s="11">
        <f>IF($A14="","",IF(COUNTIF(Players!$A$2:$A$500,$A14)=0,"Player is not on the Players tab",IF(COUNTIF($A$7:$A$156,$A14)&gt;1,"Player is listed twice",IF(NOT(ISNUMBER($B14)),"Enter a score",IF(COUNTIFS($D$7:$D$156,$D14,$C$7:$C$156,"Winner")&gt;1,"More than one "&amp;$D14&amp;" winner picked",IF(AND($C14="Winner",COUNTIFS($D$7:$D$156,$D14,$B$7:$B$156,"&lt;"&amp;$B14)&gt;0),"The winner doesn't have the best "&amp;$D14&amp;" score",IF(AND($B$2="Final",COUNTIFS($D$7:$D$156,$D14,$C$7:$C$156,"Winner")=0),"Final: pick the "&amp;$D14&amp;" winner",IF($B$2="Not started","Set Status to In progress to count points","OK"))))))))</f>
        <v/>
      </c>
      <c r="J14" s="11">
        <f>IF(OR($A14="",NOT(ISNUMBER($B14))),"",IF($C14="Winner",1,COUNTIFS($D$7:$D$156,$D14,$B$7:$B$156,$B14)-IF(AND(NOT($C14="Winner"),COUNTIFS($D$7:$D$156,$D14,$C$7:$C$156,"Winner",$B$7:$B$156,$B14)&gt;0),1,0)))</f>
        <v/>
      </c>
    </row>
    <row r="15">
      <c r="D15" s="11">
        <f>IF($A15="","",IFERROR(IF(VLOOKUP($A15,Players!$A$2:$B$500,2,FALSE)="","Open",VLOOKUP($A15,Players!$A$2:$B$500,2,FALSE)),"Open"))</f>
        <v/>
      </c>
      <c r="E15" s="11">
        <f>IF(OR($A15="",NOT(ISNUMBER($B15))),"",IF($C15="Winner",1,COUNTIFS($D$7:$D$156,$D15,$B$7:$B$156,"&lt;"&amp;$B15)+1+IF(AND(NOT($C15="Winner"),COUNTIFS($D$7:$D$156,$D15,$C$7:$C$156,"Winner",$B$7:$B$156,$B15)&gt;0),1,0)))</f>
        <v/>
      </c>
      <c r="F15" s="11">
        <f>IF(OR($A15="",NOT(ISNUMBER($B15))),"",COUNTIFS($D$7:$D$156,$D15,$B$7:$B$156,"&gt;0"))</f>
        <v/>
      </c>
      <c r="G15" s="11">
        <f>IF(OR(OR($A15="",NOT(ISNUMBER($B15))),$B$2="Not started"),"",IF($C15="Winner",Points!$B$3,ROUND(Points!$B$3*IF($F15&lt;=1,1,Points!$H$7+(1-Points!$H$7)*((($F15-$E15)*(($F15-$E15)+1)/2)^2-((($F15-$E15-$J15+1)-1)*($F15-$E15-$J15+1)/2)^2)/($J15*($F15-1)^3)),0)))</f>
        <v/>
      </c>
      <c r="H15" s="11">
        <f>IF($A15="","",IF($B$2="Final","Final",IF($B$2="In progress","Projected","Not started")))</f>
        <v/>
      </c>
      <c r="I15" s="11">
        <f>IF($A15="","",IF(COUNTIF(Players!$A$2:$A$500,$A15)=0,"Player is not on the Players tab",IF(COUNTIF($A$7:$A$156,$A15)&gt;1,"Player is listed twice",IF(NOT(ISNUMBER($B15)),"Enter a score",IF(COUNTIFS($D$7:$D$156,$D15,$C$7:$C$156,"Winner")&gt;1,"More than one "&amp;$D15&amp;" winner picked",IF(AND($C15="Winner",COUNTIFS($D$7:$D$156,$D15,$B$7:$B$156,"&lt;"&amp;$B15)&gt;0),"The winner doesn't have the best "&amp;$D15&amp;" score",IF(AND($B$2="Final",COUNTIFS($D$7:$D$156,$D15,$C$7:$C$156,"Winner")=0),"Final: pick the "&amp;$D15&amp;" winner",IF($B$2="Not started","Set Status to In progress to count points","OK"))))))))</f>
        <v/>
      </c>
      <c r="J15" s="11">
        <f>IF(OR($A15="",NOT(ISNUMBER($B15))),"",IF($C15="Winner",1,COUNTIFS($D$7:$D$156,$D15,$B$7:$B$156,$B15)-IF(AND(NOT($C15="Winner"),COUNTIFS($D$7:$D$156,$D15,$C$7:$C$156,"Winner",$B$7:$B$156,$B15)&gt;0),1,0)))</f>
        <v/>
      </c>
    </row>
    <row r="16">
      <c r="D16" s="11">
        <f>IF($A16="","",IFERROR(IF(VLOOKUP($A16,Players!$A$2:$B$500,2,FALSE)="","Open",VLOOKUP($A16,Players!$A$2:$B$500,2,FALSE)),"Open"))</f>
        <v/>
      </c>
      <c r="E16" s="11">
        <f>IF(OR($A16="",NOT(ISNUMBER($B16))),"",IF($C16="Winner",1,COUNTIFS($D$7:$D$156,$D16,$B$7:$B$156,"&lt;"&amp;$B16)+1+IF(AND(NOT($C16="Winner"),COUNTIFS($D$7:$D$156,$D16,$C$7:$C$156,"Winner",$B$7:$B$156,$B16)&gt;0),1,0)))</f>
        <v/>
      </c>
      <c r="F16" s="11">
        <f>IF(OR($A16="",NOT(ISNUMBER($B16))),"",COUNTIFS($D$7:$D$156,$D16,$B$7:$B$156,"&gt;0"))</f>
        <v/>
      </c>
      <c r="G16" s="11">
        <f>IF(OR(OR($A16="",NOT(ISNUMBER($B16))),$B$2="Not started"),"",IF($C16="Winner",Points!$B$3,ROUND(Points!$B$3*IF($F16&lt;=1,1,Points!$H$7+(1-Points!$H$7)*((($F16-$E16)*(($F16-$E16)+1)/2)^2-((($F16-$E16-$J16+1)-1)*($F16-$E16-$J16+1)/2)^2)/($J16*($F16-1)^3)),0)))</f>
        <v/>
      </c>
      <c r="H16" s="11">
        <f>IF($A16="","",IF($B$2="Final","Final",IF($B$2="In progress","Projected","Not started")))</f>
        <v/>
      </c>
      <c r="I16" s="11">
        <f>IF($A16="","",IF(COUNTIF(Players!$A$2:$A$500,$A16)=0,"Player is not on the Players tab",IF(COUNTIF($A$7:$A$156,$A16)&gt;1,"Player is listed twice",IF(NOT(ISNUMBER($B16)),"Enter a score",IF(COUNTIFS($D$7:$D$156,$D16,$C$7:$C$156,"Winner")&gt;1,"More than one "&amp;$D16&amp;" winner picked",IF(AND($C16="Winner",COUNTIFS($D$7:$D$156,$D16,$B$7:$B$156,"&lt;"&amp;$B16)&gt;0),"The winner doesn't have the best "&amp;$D16&amp;" score",IF(AND($B$2="Final",COUNTIFS($D$7:$D$156,$D16,$C$7:$C$156,"Winner")=0),"Final: pick the "&amp;$D16&amp;" winner",IF($B$2="Not started","Set Status to In progress to count points","OK"))))))))</f>
        <v/>
      </c>
      <c r="J16" s="11">
        <f>IF(OR($A16="",NOT(ISNUMBER($B16))),"",IF($C16="Winner",1,COUNTIFS($D$7:$D$156,$D16,$B$7:$B$156,$B16)-IF(AND(NOT($C16="Winner"),COUNTIFS($D$7:$D$156,$D16,$C$7:$C$156,"Winner",$B$7:$B$156,$B16)&gt;0),1,0)))</f>
        <v/>
      </c>
    </row>
    <row r="17">
      <c r="D17" s="11">
        <f>IF($A17="","",IFERROR(IF(VLOOKUP($A17,Players!$A$2:$B$500,2,FALSE)="","Open",VLOOKUP($A17,Players!$A$2:$B$500,2,FALSE)),"Open"))</f>
        <v/>
      </c>
      <c r="E17" s="11">
        <f>IF(OR($A17="",NOT(ISNUMBER($B17))),"",IF($C17="Winner",1,COUNTIFS($D$7:$D$156,$D17,$B$7:$B$156,"&lt;"&amp;$B17)+1+IF(AND(NOT($C17="Winner"),COUNTIFS($D$7:$D$156,$D17,$C$7:$C$156,"Winner",$B$7:$B$156,$B17)&gt;0),1,0)))</f>
        <v/>
      </c>
      <c r="F17" s="11">
        <f>IF(OR($A17="",NOT(ISNUMBER($B17))),"",COUNTIFS($D$7:$D$156,$D17,$B$7:$B$156,"&gt;0"))</f>
        <v/>
      </c>
      <c r="G17" s="11">
        <f>IF(OR(OR($A17="",NOT(ISNUMBER($B17))),$B$2="Not started"),"",IF($C17="Winner",Points!$B$3,ROUND(Points!$B$3*IF($F17&lt;=1,1,Points!$H$7+(1-Points!$H$7)*((($F17-$E17)*(($F17-$E17)+1)/2)^2-((($F17-$E17-$J17+1)-1)*($F17-$E17-$J17+1)/2)^2)/($J17*($F17-1)^3)),0)))</f>
        <v/>
      </c>
      <c r="H17" s="11">
        <f>IF($A17="","",IF($B$2="Final","Final",IF($B$2="In progress","Projected","Not started")))</f>
        <v/>
      </c>
      <c r="I17" s="11">
        <f>IF($A17="","",IF(COUNTIF(Players!$A$2:$A$500,$A17)=0,"Player is not on the Players tab",IF(COUNTIF($A$7:$A$156,$A17)&gt;1,"Player is listed twice",IF(NOT(ISNUMBER($B17)),"Enter a score",IF(COUNTIFS($D$7:$D$156,$D17,$C$7:$C$156,"Winner")&gt;1,"More than one "&amp;$D17&amp;" winner picked",IF(AND($C17="Winner",COUNTIFS($D$7:$D$156,$D17,$B$7:$B$156,"&lt;"&amp;$B17)&gt;0),"The winner doesn't have the best "&amp;$D17&amp;" score",IF(AND($B$2="Final",COUNTIFS($D$7:$D$156,$D17,$C$7:$C$156,"Winner")=0),"Final: pick the "&amp;$D17&amp;" winner",IF($B$2="Not started","Set Status to In progress to count points","OK"))))))))</f>
        <v/>
      </c>
      <c r="J17" s="11">
        <f>IF(OR($A17="",NOT(ISNUMBER($B17))),"",IF($C17="Winner",1,COUNTIFS($D$7:$D$156,$D17,$B$7:$B$156,$B17)-IF(AND(NOT($C17="Winner"),COUNTIFS($D$7:$D$156,$D17,$C$7:$C$156,"Winner",$B$7:$B$156,$B17)&gt;0),1,0)))</f>
        <v/>
      </c>
    </row>
    <row r="18">
      <c r="D18" s="11">
        <f>IF($A18="","",IFERROR(IF(VLOOKUP($A18,Players!$A$2:$B$500,2,FALSE)="","Open",VLOOKUP($A18,Players!$A$2:$B$500,2,FALSE)),"Open"))</f>
        <v/>
      </c>
      <c r="E18" s="11">
        <f>IF(OR($A18="",NOT(ISNUMBER($B18))),"",IF($C18="Winner",1,COUNTIFS($D$7:$D$156,$D18,$B$7:$B$156,"&lt;"&amp;$B18)+1+IF(AND(NOT($C18="Winner"),COUNTIFS($D$7:$D$156,$D18,$C$7:$C$156,"Winner",$B$7:$B$156,$B18)&gt;0),1,0)))</f>
        <v/>
      </c>
      <c r="F18" s="11">
        <f>IF(OR($A18="",NOT(ISNUMBER($B18))),"",COUNTIFS($D$7:$D$156,$D18,$B$7:$B$156,"&gt;0"))</f>
        <v/>
      </c>
      <c r="G18" s="11">
        <f>IF(OR(OR($A18="",NOT(ISNUMBER($B18))),$B$2="Not started"),"",IF($C18="Winner",Points!$B$3,ROUND(Points!$B$3*IF($F18&lt;=1,1,Points!$H$7+(1-Points!$H$7)*((($F18-$E18)*(($F18-$E18)+1)/2)^2-((($F18-$E18-$J18+1)-1)*($F18-$E18-$J18+1)/2)^2)/($J18*($F18-1)^3)),0)))</f>
        <v/>
      </c>
      <c r="H18" s="11">
        <f>IF($A18="","",IF($B$2="Final","Final",IF($B$2="In progress","Projected","Not started")))</f>
        <v/>
      </c>
      <c r="I18" s="11">
        <f>IF($A18="","",IF(COUNTIF(Players!$A$2:$A$500,$A18)=0,"Player is not on the Players tab",IF(COUNTIF($A$7:$A$156,$A18)&gt;1,"Player is listed twice",IF(NOT(ISNUMBER($B18)),"Enter a score",IF(COUNTIFS($D$7:$D$156,$D18,$C$7:$C$156,"Winner")&gt;1,"More than one "&amp;$D18&amp;" winner picked",IF(AND($C18="Winner",COUNTIFS($D$7:$D$156,$D18,$B$7:$B$156,"&lt;"&amp;$B18)&gt;0),"The winner doesn't have the best "&amp;$D18&amp;" score",IF(AND($B$2="Final",COUNTIFS($D$7:$D$156,$D18,$C$7:$C$156,"Winner")=0),"Final: pick the "&amp;$D18&amp;" winner",IF($B$2="Not started","Set Status to In progress to count points","OK"))))))))</f>
        <v/>
      </c>
      <c r="J18" s="11">
        <f>IF(OR($A18="",NOT(ISNUMBER($B18))),"",IF($C18="Winner",1,COUNTIFS($D$7:$D$156,$D18,$B$7:$B$156,$B18)-IF(AND(NOT($C18="Winner"),COUNTIFS($D$7:$D$156,$D18,$C$7:$C$156,"Winner",$B$7:$B$156,$B18)&gt;0),1,0)))</f>
        <v/>
      </c>
    </row>
    <row r="19">
      <c r="D19" s="11">
        <f>IF($A19="","",IFERROR(IF(VLOOKUP($A19,Players!$A$2:$B$500,2,FALSE)="","Open",VLOOKUP($A19,Players!$A$2:$B$500,2,FALSE)),"Open"))</f>
        <v/>
      </c>
      <c r="E19" s="11">
        <f>IF(OR($A19="",NOT(ISNUMBER($B19))),"",IF($C19="Winner",1,COUNTIFS($D$7:$D$156,$D19,$B$7:$B$156,"&lt;"&amp;$B19)+1+IF(AND(NOT($C19="Winner"),COUNTIFS($D$7:$D$156,$D19,$C$7:$C$156,"Winner",$B$7:$B$156,$B19)&gt;0),1,0)))</f>
        <v/>
      </c>
      <c r="F19" s="11">
        <f>IF(OR($A19="",NOT(ISNUMBER($B19))),"",COUNTIFS($D$7:$D$156,$D19,$B$7:$B$156,"&gt;0"))</f>
        <v/>
      </c>
      <c r="G19" s="11">
        <f>IF(OR(OR($A19="",NOT(ISNUMBER($B19))),$B$2="Not started"),"",IF($C19="Winner",Points!$B$3,ROUND(Points!$B$3*IF($F19&lt;=1,1,Points!$H$7+(1-Points!$H$7)*((($F19-$E19)*(($F19-$E19)+1)/2)^2-((($F19-$E19-$J19+1)-1)*($F19-$E19-$J19+1)/2)^2)/($J19*($F19-1)^3)),0)))</f>
        <v/>
      </c>
      <c r="H19" s="11">
        <f>IF($A19="","",IF($B$2="Final","Final",IF($B$2="In progress","Projected","Not started")))</f>
        <v/>
      </c>
      <c r="I19" s="11">
        <f>IF($A19="","",IF(COUNTIF(Players!$A$2:$A$500,$A19)=0,"Player is not on the Players tab",IF(COUNTIF($A$7:$A$156,$A19)&gt;1,"Player is listed twice",IF(NOT(ISNUMBER($B19)),"Enter a score",IF(COUNTIFS($D$7:$D$156,$D19,$C$7:$C$156,"Winner")&gt;1,"More than one "&amp;$D19&amp;" winner picked",IF(AND($C19="Winner",COUNTIFS($D$7:$D$156,$D19,$B$7:$B$156,"&lt;"&amp;$B19)&gt;0),"The winner doesn't have the best "&amp;$D19&amp;" score",IF(AND($B$2="Final",COUNTIFS($D$7:$D$156,$D19,$C$7:$C$156,"Winner")=0),"Final: pick the "&amp;$D19&amp;" winner",IF($B$2="Not started","Set Status to In progress to count points","OK"))))))))</f>
        <v/>
      </c>
      <c r="J19" s="11">
        <f>IF(OR($A19="",NOT(ISNUMBER($B19))),"",IF($C19="Winner",1,COUNTIFS($D$7:$D$156,$D19,$B$7:$B$156,$B19)-IF(AND(NOT($C19="Winner"),COUNTIFS($D$7:$D$156,$D19,$C$7:$C$156,"Winner",$B$7:$B$156,$B19)&gt;0),1,0)))</f>
        <v/>
      </c>
    </row>
    <row r="20">
      <c r="D20" s="11">
        <f>IF($A20="","",IFERROR(IF(VLOOKUP($A20,Players!$A$2:$B$500,2,FALSE)="","Open",VLOOKUP($A20,Players!$A$2:$B$500,2,FALSE)),"Open"))</f>
        <v/>
      </c>
      <c r="E20" s="11">
        <f>IF(OR($A20="",NOT(ISNUMBER($B20))),"",IF($C20="Winner",1,COUNTIFS($D$7:$D$156,$D20,$B$7:$B$156,"&lt;"&amp;$B20)+1+IF(AND(NOT($C20="Winner"),COUNTIFS($D$7:$D$156,$D20,$C$7:$C$156,"Winner",$B$7:$B$156,$B20)&gt;0),1,0)))</f>
        <v/>
      </c>
      <c r="F20" s="11">
        <f>IF(OR($A20="",NOT(ISNUMBER($B20))),"",COUNTIFS($D$7:$D$156,$D20,$B$7:$B$156,"&gt;0"))</f>
        <v/>
      </c>
      <c r="G20" s="11">
        <f>IF(OR(OR($A20="",NOT(ISNUMBER($B20))),$B$2="Not started"),"",IF($C20="Winner",Points!$B$3,ROUND(Points!$B$3*IF($F20&lt;=1,1,Points!$H$7+(1-Points!$H$7)*((($F20-$E20)*(($F20-$E20)+1)/2)^2-((($F20-$E20-$J20+1)-1)*($F20-$E20-$J20+1)/2)^2)/($J20*($F20-1)^3)),0)))</f>
        <v/>
      </c>
      <c r="H20" s="11">
        <f>IF($A20="","",IF($B$2="Final","Final",IF($B$2="In progress","Projected","Not started")))</f>
        <v/>
      </c>
      <c r="I20" s="11">
        <f>IF($A20="","",IF(COUNTIF(Players!$A$2:$A$500,$A20)=0,"Player is not on the Players tab",IF(COUNTIF($A$7:$A$156,$A20)&gt;1,"Player is listed twice",IF(NOT(ISNUMBER($B20)),"Enter a score",IF(COUNTIFS($D$7:$D$156,$D20,$C$7:$C$156,"Winner")&gt;1,"More than one "&amp;$D20&amp;" winner picked",IF(AND($C20="Winner",COUNTIFS($D$7:$D$156,$D20,$B$7:$B$156,"&lt;"&amp;$B20)&gt;0),"The winner doesn't have the best "&amp;$D20&amp;" score",IF(AND($B$2="Final",COUNTIFS($D$7:$D$156,$D20,$C$7:$C$156,"Winner")=0),"Final: pick the "&amp;$D20&amp;" winner",IF($B$2="Not started","Set Status to In progress to count points","OK"))))))))</f>
        <v/>
      </c>
      <c r="J20" s="11">
        <f>IF(OR($A20="",NOT(ISNUMBER($B20))),"",IF($C20="Winner",1,COUNTIFS($D$7:$D$156,$D20,$B$7:$B$156,$B20)-IF(AND(NOT($C20="Winner"),COUNTIFS($D$7:$D$156,$D20,$C$7:$C$156,"Winner",$B$7:$B$156,$B20)&gt;0),1,0)))</f>
        <v/>
      </c>
    </row>
    <row r="21">
      <c r="D21" s="11">
        <f>IF($A21="","",IFERROR(IF(VLOOKUP($A21,Players!$A$2:$B$500,2,FALSE)="","Open",VLOOKUP($A21,Players!$A$2:$B$500,2,FALSE)),"Open"))</f>
        <v/>
      </c>
      <c r="E21" s="11">
        <f>IF(OR($A21="",NOT(ISNUMBER($B21))),"",IF($C21="Winner",1,COUNTIFS($D$7:$D$156,$D21,$B$7:$B$156,"&lt;"&amp;$B21)+1+IF(AND(NOT($C21="Winner"),COUNTIFS($D$7:$D$156,$D21,$C$7:$C$156,"Winner",$B$7:$B$156,$B21)&gt;0),1,0)))</f>
        <v/>
      </c>
      <c r="F21" s="11">
        <f>IF(OR($A21="",NOT(ISNUMBER($B21))),"",COUNTIFS($D$7:$D$156,$D21,$B$7:$B$156,"&gt;0"))</f>
        <v/>
      </c>
      <c r="G21" s="11">
        <f>IF(OR(OR($A21="",NOT(ISNUMBER($B21))),$B$2="Not started"),"",IF($C21="Winner",Points!$B$3,ROUND(Points!$B$3*IF($F21&lt;=1,1,Points!$H$7+(1-Points!$H$7)*((($F21-$E21)*(($F21-$E21)+1)/2)^2-((($F21-$E21-$J21+1)-1)*($F21-$E21-$J21+1)/2)^2)/($J21*($F21-1)^3)),0)))</f>
        <v/>
      </c>
      <c r="H21" s="11">
        <f>IF($A21="","",IF($B$2="Final","Final",IF($B$2="In progress","Projected","Not started")))</f>
        <v/>
      </c>
      <c r="I21" s="11">
        <f>IF($A21="","",IF(COUNTIF(Players!$A$2:$A$500,$A21)=0,"Player is not on the Players tab",IF(COUNTIF($A$7:$A$156,$A21)&gt;1,"Player is listed twice",IF(NOT(ISNUMBER($B21)),"Enter a score",IF(COUNTIFS($D$7:$D$156,$D21,$C$7:$C$156,"Winner")&gt;1,"More than one "&amp;$D21&amp;" winner picked",IF(AND($C21="Winner",COUNTIFS($D$7:$D$156,$D21,$B$7:$B$156,"&lt;"&amp;$B21)&gt;0),"The winner doesn't have the best "&amp;$D21&amp;" score",IF(AND($B$2="Final",COUNTIFS($D$7:$D$156,$D21,$C$7:$C$156,"Winner")=0),"Final: pick the "&amp;$D21&amp;" winner",IF($B$2="Not started","Set Status to In progress to count points","OK"))))))))</f>
        <v/>
      </c>
      <c r="J21" s="11">
        <f>IF(OR($A21="",NOT(ISNUMBER($B21))),"",IF($C21="Winner",1,COUNTIFS($D$7:$D$156,$D21,$B$7:$B$156,$B21)-IF(AND(NOT($C21="Winner"),COUNTIFS($D$7:$D$156,$D21,$C$7:$C$156,"Winner",$B$7:$B$156,$B21)&gt;0),1,0)))</f>
        <v/>
      </c>
    </row>
    <row r="22">
      <c r="D22" s="11">
        <f>IF($A22="","",IFERROR(IF(VLOOKUP($A22,Players!$A$2:$B$500,2,FALSE)="","Open",VLOOKUP($A22,Players!$A$2:$B$500,2,FALSE)),"Open"))</f>
        <v/>
      </c>
      <c r="E22" s="11">
        <f>IF(OR($A22="",NOT(ISNUMBER($B22))),"",IF($C22="Winner",1,COUNTIFS($D$7:$D$156,$D22,$B$7:$B$156,"&lt;"&amp;$B22)+1+IF(AND(NOT($C22="Winner"),COUNTIFS($D$7:$D$156,$D22,$C$7:$C$156,"Winner",$B$7:$B$156,$B22)&gt;0),1,0)))</f>
        <v/>
      </c>
      <c r="F22" s="11">
        <f>IF(OR($A22="",NOT(ISNUMBER($B22))),"",COUNTIFS($D$7:$D$156,$D22,$B$7:$B$156,"&gt;0"))</f>
        <v/>
      </c>
      <c r="G22" s="11">
        <f>IF(OR(OR($A22="",NOT(ISNUMBER($B22))),$B$2="Not started"),"",IF($C22="Winner",Points!$B$3,ROUND(Points!$B$3*IF($F22&lt;=1,1,Points!$H$7+(1-Points!$H$7)*((($F22-$E22)*(($F22-$E22)+1)/2)^2-((($F22-$E22-$J22+1)-1)*($F22-$E22-$J22+1)/2)^2)/($J22*($F22-1)^3)),0)))</f>
        <v/>
      </c>
      <c r="H22" s="11">
        <f>IF($A22="","",IF($B$2="Final","Final",IF($B$2="In progress","Projected","Not started")))</f>
        <v/>
      </c>
      <c r="I22" s="11">
        <f>IF($A22="","",IF(COUNTIF(Players!$A$2:$A$500,$A22)=0,"Player is not on the Players tab",IF(COUNTIF($A$7:$A$156,$A22)&gt;1,"Player is listed twice",IF(NOT(ISNUMBER($B22)),"Enter a score",IF(COUNTIFS($D$7:$D$156,$D22,$C$7:$C$156,"Winner")&gt;1,"More than one "&amp;$D22&amp;" winner picked",IF(AND($C22="Winner",COUNTIFS($D$7:$D$156,$D22,$B$7:$B$156,"&lt;"&amp;$B22)&gt;0),"The winner doesn't have the best "&amp;$D22&amp;" score",IF(AND($B$2="Final",COUNTIFS($D$7:$D$156,$D22,$C$7:$C$156,"Winner")=0),"Final: pick the "&amp;$D22&amp;" winner",IF($B$2="Not started","Set Status to In progress to count points","OK"))))))))</f>
        <v/>
      </c>
      <c r="J22" s="11">
        <f>IF(OR($A22="",NOT(ISNUMBER($B22))),"",IF($C22="Winner",1,COUNTIFS($D$7:$D$156,$D22,$B$7:$B$156,$B22)-IF(AND(NOT($C22="Winner"),COUNTIFS($D$7:$D$156,$D22,$C$7:$C$156,"Winner",$B$7:$B$156,$B22)&gt;0),1,0)))</f>
        <v/>
      </c>
    </row>
    <row r="23">
      <c r="D23" s="11">
        <f>IF($A23="","",IFERROR(IF(VLOOKUP($A23,Players!$A$2:$B$500,2,FALSE)="","Open",VLOOKUP($A23,Players!$A$2:$B$500,2,FALSE)),"Open"))</f>
        <v/>
      </c>
      <c r="E23" s="11">
        <f>IF(OR($A23="",NOT(ISNUMBER($B23))),"",IF($C23="Winner",1,COUNTIFS($D$7:$D$156,$D23,$B$7:$B$156,"&lt;"&amp;$B23)+1+IF(AND(NOT($C23="Winner"),COUNTIFS($D$7:$D$156,$D23,$C$7:$C$156,"Winner",$B$7:$B$156,$B23)&gt;0),1,0)))</f>
        <v/>
      </c>
      <c r="F23" s="11">
        <f>IF(OR($A23="",NOT(ISNUMBER($B23))),"",COUNTIFS($D$7:$D$156,$D23,$B$7:$B$156,"&gt;0"))</f>
        <v/>
      </c>
      <c r="G23" s="11">
        <f>IF(OR(OR($A23="",NOT(ISNUMBER($B23))),$B$2="Not started"),"",IF($C23="Winner",Points!$B$3,ROUND(Points!$B$3*IF($F23&lt;=1,1,Points!$H$7+(1-Points!$H$7)*((($F23-$E23)*(($F23-$E23)+1)/2)^2-((($F23-$E23-$J23+1)-1)*($F23-$E23-$J23+1)/2)^2)/($J23*($F23-1)^3)),0)))</f>
        <v/>
      </c>
      <c r="H23" s="11">
        <f>IF($A23="","",IF($B$2="Final","Final",IF($B$2="In progress","Projected","Not started")))</f>
        <v/>
      </c>
      <c r="I23" s="11">
        <f>IF($A23="","",IF(COUNTIF(Players!$A$2:$A$500,$A23)=0,"Player is not on the Players tab",IF(COUNTIF($A$7:$A$156,$A23)&gt;1,"Player is listed twice",IF(NOT(ISNUMBER($B23)),"Enter a score",IF(COUNTIFS($D$7:$D$156,$D23,$C$7:$C$156,"Winner")&gt;1,"More than one "&amp;$D23&amp;" winner picked",IF(AND($C23="Winner",COUNTIFS($D$7:$D$156,$D23,$B$7:$B$156,"&lt;"&amp;$B23)&gt;0),"The winner doesn't have the best "&amp;$D23&amp;" score",IF(AND($B$2="Final",COUNTIFS($D$7:$D$156,$D23,$C$7:$C$156,"Winner")=0),"Final: pick the "&amp;$D23&amp;" winner",IF($B$2="Not started","Set Status to In progress to count points","OK"))))))))</f>
        <v/>
      </c>
      <c r="J23" s="11">
        <f>IF(OR($A23="",NOT(ISNUMBER($B23))),"",IF($C23="Winner",1,COUNTIFS($D$7:$D$156,$D23,$B$7:$B$156,$B23)-IF(AND(NOT($C23="Winner"),COUNTIFS($D$7:$D$156,$D23,$C$7:$C$156,"Winner",$B$7:$B$156,$B23)&gt;0),1,0)))</f>
        <v/>
      </c>
    </row>
    <row r="24">
      <c r="D24" s="11">
        <f>IF($A24="","",IFERROR(IF(VLOOKUP($A24,Players!$A$2:$B$500,2,FALSE)="","Open",VLOOKUP($A24,Players!$A$2:$B$500,2,FALSE)),"Open"))</f>
        <v/>
      </c>
      <c r="E24" s="11">
        <f>IF(OR($A24="",NOT(ISNUMBER($B24))),"",IF($C24="Winner",1,COUNTIFS($D$7:$D$156,$D24,$B$7:$B$156,"&lt;"&amp;$B24)+1+IF(AND(NOT($C24="Winner"),COUNTIFS($D$7:$D$156,$D24,$C$7:$C$156,"Winner",$B$7:$B$156,$B24)&gt;0),1,0)))</f>
        <v/>
      </c>
      <c r="F24" s="11">
        <f>IF(OR($A24="",NOT(ISNUMBER($B24))),"",COUNTIFS($D$7:$D$156,$D24,$B$7:$B$156,"&gt;0"))</f>
        <v/>
      </c>
      <c r="G24" s="11">
        <f>IF(OR(OR($A24="",NOT(ISNUMBER($B24))),$B$2="Not started"),"",IF($C24="Winner",Points!$B$3,ROUND(Points!$B$3*IF($F24&lt;=1,1,Points!$H$7+(1-Points!$H$7)*((($F24-$E24)*(($F24-$E24)+1)/2)^2-((($F24-$E24-$J24+1)-1)*($F24-$E24-$J24+1)/2)^2)/($J24*($F24-1)^3)),0)))</f>
        <v/>
      </c>
      <c r="H24" s="11">
        <f>IF($A24="","",IF($B$2="Final","Final",IF($B$2="In progress","Projected","Not started")))</f>
        <v/>
      </c>
      <c r="I24" s="11">
        <f>IF($A24="","",IF(COUNTIF(Players!$A$2:$A$500,$A24)=0,"Player is not on the Players tab",IF(COUNTIF($A$7:$A$156,$A24)&gt;1,"Player is listed twice",IF(NOT(ISNUMBER($B24)),"Enter a score",IF(COUNTIFS($D$7:$D$156,$D24,$C$7:$C$156,"Winner")&gt;1,"More than one "&amp;$D24&amp;" winner picked",IF(AND($C24="Winner",COUNTIFS($D$7:$D$156,$D24,$B$7:$B$156,"&lt;"&amp;$B24)&gt;0),"The winner doesn't have the best "&amp;$D24&amp;" score",IF(AND($B$2="Final",COUNTIFS($D$7:$D$156,$D24,$C$7:$C$156,"Winner")=0),"Final: pick the "&amp;$D24&amp;" winner",IF($B$2="Not started","Set Status to In progress to count points","OK"))))))))</f>
        <v/>
      </c>
      <c r="J24" s="11">
        <f>IF(OR($A24="",NOT(ISNUMBER($B24))),"",IF($C24="Winner",1,COUNTIFS($D$7:$D$156,$D24,$B$7:$B$156,$B24)-IF(AND(NOT($C24="Winner"),COUNTIFS($D$7:$D$156,$D24,$C$7:$C$156,"Winner",$B$7:$B$156,$B24)&gt;0),1,0)))</f>
        <v/>
      </c>
    </row>
    <row r="25">
      <c r="D25" s="11">
        <f>IF($A25="","",IFERROR(IF(VLOOKUP($A25,Players!$A$2:$B$500,2,FALSE)="","Open",VLOOKUP($A25,Players!$A$2:$B$500,2,FALSE)),"Open"))</f>
        <v/>
      </c>
      <c r="E25" s="11">
        <f>IF(OR($A25="",NOT(ISNUMBER($B25))),"",IF($C25="Winner",1,COUNTIFS($D$7:$D$156,$D25,$B$7:$B$156,"&lt;"&amp;$B25)+1+IF(AND(NOT($C25="Winner"),COUNTIFS($D$7:$D$156,$D25,$C$7:$C$156,"Winner",$B$7:$B$156,$B25)&gt;0),1,0)))</f>
        <v/>
      </c>
      <c r="F25" s="11">
        <f>IF(OR($A25="",NOT(ISNUMBER($B25))),"",COUNTIFS($D$7:$D$156,$D25,$B$7:$B$156,"&gt;0"))</f>
        <v/>
      </c>
      <c r="G25" s="11">
        <f>IF(OR(OR($A25="",NOT(ISNUMBER($B25))),$B$2="Not started"),"",IF($C25="Winner",Points!$B$3,ROUND(Points!$B$3*IF($F25&lt;=1,1,Points!$H$7+(1-Points!$H$7)*((($F25-$E25)*(($F25-$E25)+1)/2)^2-((($F25-$E25-$J25+1)-1)*($F25-$E25-$J25+1)/2)^2)/($J25*($F25-1)^3)),0)))</f>
        <v/>
      </c>
      <c r="H25" s="11">
        <f>IF($A25="","",IF($B$2="Final","Final",IF($B$2="In progress","Projected","Not started")))</f>
        <v/>
      </c>
      <c r="I25" s="11">
        <f>IF($A25="","",IF(COUNTIF(Players!$A$2:$A$500,$A25)=0,"Player is not on the Players tab",IF(COUNTIF($A$7:$A$156,$A25)&gt;1,"Player is listed twice",IF(NOT(ISNUMBER($B25)),"Enter a score",IF(COUNTIFS($D$7:$D$156,$D25,$C$7:$C$156,"Winner")&gt;1,"More than one "&amp;$D25&amp;" winner picked",IF(AND($C25="Winner",COUNTIFS($D$7:$D$156,$D25,$B$7:$B$156,"&lt;"&amp;$B25)&gt;0),"The winner doesn't have the best "&amp;$D25&amp;" score",IF(AND($B$2="Final",COUNTIFS($D$7:$D$156,$D25,$C$7:$C$156,"Winner")=0),"Final: pick the "&amp;$D25&amp;" winner",IF($B$2="Not started","Set Status to In progress to count points","OK"))))))))</f>
        <v/>
      </c>
      <c r="J25" s="11">
        <f>IF(OR($A25="",NOT(ISNUMBER($B25))),"",IF($C25="Winner",1,COUNTIFS($D$7:$D$156,$D25,$B$7:$B$156,$B25)-IF(AND(NOT($C25="Winner"),COUNTIFS($D$7:$D$156,$D25,$C$7:$C$156,"Winner",$B$7:$B$156,$B25)&gt;0),1,0)))</f>
        <v/>
      </c>
    </row>
    <row r="26">
      <c r="D26" s="11">
        <f>IF($A26="","",IFERROR(IF(VLOOKUP($A26,Players!$A$2:$B$500,2,FALSE)="","Open",VLOOKUP($A26,Players!$A$2:$B$500,2,FALSE)),"Open"))</f>
        <v/>
      </c>
      <c r="E26" s="11">
        <f>IF(OR($A26="",NOT(ISNUMBER($B26))),"",IF($C26="Winner",1,COUNTIFS($D$7:$D$156,$D26,$B$7:$B$156,"&lt;"&amp;$B26)+1+IF(AND(NOT($C26="Winner"),COUNTIFS($D$7:$D$156,$D26,$C$7:$C$156,"Winner",$B$7:$B$156,$B26)&gt;0),1,0)))</f>
        <v/>
      </c>
      <c r="F26" s="11">
        <f>IF(OR($A26="",NOT(ISNUMBER($B26))),"",COUNTIFS($D$7:$D$156,$D26,$B$7:$B$156,"&gt;0"))</f>
        <v/>
      </c>
      <c r="G26" s="11">
        <f>IF(OR(OR($A26="",NOT(ISNUMBER($B26))),$B$2="Not started"),"",IF($C26="Winner",Points!$B$3,ROUND(Points!$B$3*IF($F26&lt;=1,1,Points!$H$7+(1-Points!$H$7)*((($F26-$E26)*(($F26-$E26)+1)/2)^2-((($F26-$E26-$J26+1)-1)*($F26-$E26-$J26+1)/2)^2)/($J26*($F26-1)^3)),0)))</f>
        <v/>
      </c>
      <c r="H26" s="11">
        <f>IF($A26="","",IF($B$2="Final","Final",IF($B$2="In progress","Projected","Not started")))</f>
        <v/>
      </c>
      <c r="I26" s="11">
        <f>IF($A26="","",IF(COUNTIF(Players!$A$2:$A$500,$A26)=0,"Player is not on the Players tab",IF(COUNTIF($A$7:$A$156,$A26)&gt;1,"Player is listed twice",IF(NOT(ISNUMBER($B26)),"Enter a score",IF(COUNTIFS($D$7:$D$156,$D26,$C$7:$C$156,"Winner")&gt;1,"More than one "&amp;$D26&amp;" winner picked",IF(AND($C26="Winner",COUNTIFS($D$7:$D$156,$D26,$B$7:$B$156,"&lt;"&amp;$B26)&gt;0),"The winner doesn't have the best "&amp;$D26&amp;" score",IF(AND($B$2="Final",COUNTIFS($D$7:$D$156,$D26,$C$7:$C$156,"Winner")=0),"Final: pick the "&amp;$D26&amp;" winner",IF($B$2="Not started","Set Status to In progress to count points","OK"))))))))</f>
        <v/>
      </c>
      <c r="J26" s="11">
        <f>IF(OR($A26="",NOT(ISNUMBER($B26))),"",IF($C26="Winner",1,COUNTIFS($D$7:$D$156,$D26,$B$7:$B$156,$B26)-IF(AND(NOT($C26="Winner"),COUNTIFS($D$7:$D$156,$D26,$C$7:$C$156,"Winner",$B$7:$B$156,$B26)&gt;0),1,0)))</f>
        <v/>
      </c>
    </row>
    <row r="27">
      <c r="D27" s="11">
        <f>IF($A27="","",IFERROR(IF(VLOOKUP($A27,Players!$A$2:$B$500,2,FALSE)="","Open",VLOOKUP($A27,Players!$A$2:$B$500,2,FALSE)),"Open"))</f>
        <v/>
      </c>
      <c r="E27" s="11">
        <f>IF(OR($A27="",NOT(ISNUMBER($B27))),"",IF($C27="Winner",1,COUNTIFS($D$7:$D$156,$D27,$B$7:$B$156,"&lt;"&amp;$B27)+1+IF(AND(NOT($C27="Winner"),COUNTIFS($D$7:$D$156,$D27,$C$7:$C$156,"Winner",$B$7:$B$156,$B27)&gt;0),1,0)))</f>
        <v/>
      </c>
      <c r="F27" s="11">
        <f>IF(OR($A27="",NOT(ISNUMBER($B27))),"",COUNTIFS($D$7:$D$156,$D27,$B$7:$B$156,"&gt;0"))</f>
        <v/>
      </c>
      <c r="G27" s="11">
        <f>IF(OR(OR($A27="",NOT(ISNUMBER($B27))),$B$2="Not started"),"",IF($C27="Winner",Points!$B$3,ROUND(Points!$B$3*IF($F27&lt;=1,1,Points!$H$7+(1-Points!$H$7)*((($F27-$E27)*(($F27-$E27)+1)/2)^2-((($F27-$E27-$J27+1)-1)*($F27-$E27-$J27+1)/2)^2)/($J27*($F27-1)^3)),0)))</f>
        <v/>
      </c>
      <c r="H27" s="11">
        <f>IF($A27="","",IF($B$2="Final","Final",IF($B$2="In progress","Projected","Not started")))</f>
        <v/>
      </c>
      <c r="I27" s="11">
        <f>IF($A27="","",IF(COUNTIF(Players!$A$2:$A$500,$A27)=0,"Player is not on the Players tab",IF(COUNTIF($A$7:$A$156,$A27)&gt;1,"Player is listed twice",IF(NOT(ISNUMBER($B27)),"Enter a score",IF(COUNTIFS($D$7:$D$156,$D27,$C$7:$C$156,"Winner")&gt;1,"More than one "&amp;$D27&amp;" winner picked",IF(AND($C27="Winner",COUNTIFS($D$7:$D$156,$D27,$B$7:$B$156,"&lt;"&amp;$B27)&gt;0),"The winner doesn't have the best "&amp;$D27&amp;" score",IF(AND($B$2="Final",COUNTIFS($D$7:$D$156,$D27,$C$7:$C$156,"Winner")=0),"Final: pick the "&amp;$D27&amp;" winner",IF($B$2="Not started","Set Status to In progress to count points","OK"))))))))</f>
        <v/>
      </c>
      <c r="J27" s="11">
        <f>IF(OR($A27="",NOT(ISNUMBER($B27))),"",IF($C27="Winner",1,COUNTIFS($D$7:$D$156,$D27,$B$7:$B$156,$B27)-IF(AND(NOT($C27="Winner"),COUNTIFS($D$7:$D$156,$D27,$C$7:$C$156,"Winner",$B$7:$B$156,$B27)&gt;0),1,0)))</f>
        <v/>
      </c>
    </row>
    <row r="28">
      <c r="D28" s="11">
        <f>IF($A28="","",IFERROR(IF(VLOOKUP($A28,Players!$A$2:$B$500,2,FALSE)="","Open",VLOOKUP($A28,Players!$A$2:$B$500,2,FALSE)),"Open"))</f>
        <v/>
      </c>
      <c r="E28" s="11">
        <f>IF(OR($A28="",NOT(ISNUMBER($B28))),"",IF($C28="Winner",1,COUNTIFS($D$7:$D$156,$D28,$B$7:$B$156,"&lt;"&amp;$B28)+1+IF(AND(NOT($C28="Winner"),COUNTIFS($D$7:$D$156,$D28,$C$7:$C$156,"Winner",$B$7:$B$156,$B28)&gt;0),1,0)))</f>
        <v/>
      </c>
      <c r="F28" s="11">
        <f>IF(OR($A28="",NOT(ISNUMBER($B28))),"",COUNTIFS($D$7:$D$156,$D28,$B$7:$B$156,"&gt;0"))</f>
        <v/>
      </c>
      <c r="G28" s="11">
        <f>IF(OR(OR($A28="",NOT(ISNUMBER($B28))),$B$2="Not started"),"",IF($C28="Winner",Points!$B$3,ROUND(Points!$B$3*IF($F28&lt;=1,1,Points!$H$7+(1-Points!$H$7)*((($F28-$E28)*(($F28-$E28)+1)/2)^2-((($F28-$E28-$J28+1)-1)*($F28-$E28-$J28+1)/2)^2)/($J28*($F28-1)^3)),0)))</f>
        <v/>
      </c>
      <c r="H28" s="11">
        <f>IF($A28="","",IF($B$2="Final","Final",IF($B$2="In progress","Projected","Not started")))</f>
        <v/>
      </c>
      <c r="I28" s="11">
        <f>IF($A28="","",IF(COUNTIF(Players!$A$2:$A$500,$A28)=0,"Player is not on the Players tab",IF(COUNTIF($A$7:$A$156,$A28)&gt;1,"Player is listed twice",IF(NOT(ISNUMBER($B28)),"Enter a score",IF(COUNTIFS($D$7:$D$156,$D28,$C$7:$C$156,"Winner")&gt;1,"More than one "&amp;$D28&amp;" winner picked",IF(AND($C28="Winner",COUNTIFS($D$7:$D$156,$D28,$B$7:$B$156,"&lt;"&amp;$B28)&gt;0),"The winner doesn't have the best "&amp;$D28&amp;" score",IF(AND($B$2="Final",COUNTIFS($D$7:$D$156,$D28,$C$7:$C$156,"Winner")=0),"Final: pick the "&amp;$D28&amp;" winner",IF($B$2="Not started","Set Status to In progress to count points","OK"))))))))</f>
        <v/>
      </c>
      <c r="J28" s="11">
        <f>IF(OR($A28="",NOT(ISNUMBER($B28))),"",IF($C28="Winner",1,COUNTIFS($D$7:$D$156,$D28,$B$7:$B$156,$B28)-IF(AND(NOT($C28="Winner"),COUNTIFS($D$7:$D$156,$D28,$C$7:$C$156,"Winner",$B$7:$B$156,$B28)&gt;0),1,0)))</f>
        <v/>
      </c>
    </row>
    <row r="29">
      <c r="D29" s="11">
        <f>IF($A29="","",IFERROR(IF(VLOOKUP($A29,Players!$A$2:$B$500,2,FALSE)="","Open",VLOOKUP($A29,Players!$A$2:$B$500,2,FALSE)),"Open"))</f>
        <v/>
      </c>
      <c r="E29" s="11">
        <f>IF(OR($A29="",NOT(ISNUMBER($B29))),"",IF($C29="Winner",1,COUNTIFS($D$7:$D$156,$D29,$B$7:$B$156,"&lt;"&amp;$B29)+1+IF(AND(NOT($C29="Winner"),COUNTIFS($D$7:$D$156,$D29,$C$7:$C$156,"Winner",$B$7:$B$156,$B29)&gt;0),1,0)))</f>
        <v/>
      </c>
      <c r="F29" s="11">
        <f>IF(OR($A29="",NOT(ISNUMBER($B29))),"",COUNTIFS($D$7:$D$156,$D29,$B$7:$B$156,"&gt;0"))</f>
        <v/>
      </c>
      <c r="G29" s="11">
        <f>IF(OR(OR($A29="",NOT(ISNUMBER($B29))),$B$2="Not started"),"",IF($C29="Winner",Points!$B$3,ROUND(Points!$B$3*IF($F29&lt;=1,1,Points!$H$7+(1-Points!$H$7)*((($F29-$E29)*(($F29-$E29)+1)/2)^2-((($F29-$E29-$J29+1)-1)*($F29-$E29-$J29+1)/2)^2)/($J29*($F29-1)^3)),0)))</f>
        <v/>
      </c>
      <c r="H29" s="11">
        <f>IF($A29="","",IF($B$2="Final","Final",IF($B$2="In progress","Projected","Not started")))</f>
        <v/>
      </c>
      <c r="I29" s="11">
        <f>IF($A29="","",IF(COUNTIF(Players!$A$2:$A$500,$A29)=0,"Player is not on the Players tab",IF(COUNTIF($A$7:$A$156,$A29)&gt;1,"Player is listed twice",IF(NOT(ISNUMBER($B29)),"Enter a score",IF(COUNTIFS($D$7:$D$156,$D29,$C$7:$C$156,"Winner")&gt;1,"More than one "&amp;$D29&amp;" winner picked",IF(AND($C29="Winner",COUNTIFS($D$7:$D$156,$D29,$B$7:$B$156,"&lt;"&amp;$B29)&gt;0),"The winner doesn't have the best "&amp;$D29&amp;" score",IF(AND($B$2="Final",COUNTIFS($D$7:$D$156,$D29,$C$7:$C$156,"Winner")=0),"Final: pick the "&amp;$D29&amp;" winner",IF($B$2="Not started","Set Status to In progress to count points","OK"))))))))</f>
        <v/>
      </c>
      <c r="J29" s="11">
        <f>IF(OR($A29="",NOT(ISNUMBER($B29))),"",IF($C29="Winner",1,COUNTIFS($D$7:$D$156,$D29,$B$7:$B$156,$B29)-IF(AND(NOT($C29="Winner"),COUNTIFS($D$7:$D$156,$D29,$C$7:$C$156,"Winner",$B$7:$B$156,$B29)&gt;0),1,0)))</f>
        <v/>
      </c>
    </row>
    <row r="30">
      <c r="D30" s="11">
        <f>IF($A30="","",IFERROR(IF(VLOOKUP($A30,Players!$A$2:$B$500,2,FALSE)="","Open",VLOOKUP($A30,Players!$A$2:$B$500,2,FALSE)),"Open"))</f>
        <v/>
      </c>
      <c r="E30" s="11">
        <f>IF(OR($A30="",NOT(ISNUMBER($B30))),"",IF($C30="Winner",1,COUNTIFS($D$7:$D$156,$D30,$B$7:$B$156,"&lt;"&amp;$B30)+1+IF(AND(NOT($C30="Winner"),COUNTIFS($D$7:$D$156,$D30,$C$7:$C$156,"Winner",$B$7:$B$156,$B30)&gt;0),1,0)))</f>
        <v/>
      </c>
      <c r="F30" s="11">
        <f>IF(OR($A30="",NOT(ISNUMBER($B30))),"",COUNTIFS($D$7:$D$156,$D30,$B$7:$B$156,"&gt;0"))</f>
        <v/>
      </c>
      <c r="G30" s="11">
        <f>IF(OR(OR($A30="",NOT(ISNUMBER($B30))),$B$2="Not started"),"",IF($C30="Winner",Points!$B$3,ROUND(Points!$B$3*IF($F30&lt;=1,1,Points!$H$7+(1-Points!$H$7)*((($F30-$E30)*(($F30-$E30)+1)/2)^2-((($F30-$E30-$J30+1)-1)*($F30-$E30-$J30+1)/2)^2)/($J30*($F30-1)^3)),0)))</f>
        <v/>
      </c>
      <c r="H30" s="11">
        <f>IF($A30="","",IF($B$2="Final","Final",IF($B$2="In progress","Projected","Not started")))</f>
        <v/>
      </c>
      <c r="I30" s="11">
        <f>IF($A30="","",IF(COUNTIF(Players!$A$2:$A$500,$A30)=0,"Player is not on the Players tab",IF(COUNTIF($A$7:$A$156,$A30)&gt;1,"Player is listed twice",IF(NOT(ISNUMBER($B30)),"Enter a score",IF(COUNTIFS($D$7:$D$156,$D30,$C$7:$C$156,"Winner")&gt;1,"More than one "&amp;$D30&amp;" winner picked",IF(AND($C30="Winner",COUNTIFS($D$7:$D$156,$D30,$B$7:$B$156,"&lt;"&amp;$B30)&gt;0),"The winner doesn't have the best "&amp;$D30&amp;" score",IF(AND($B$2="Final",COUNTIFS($D$7:$D$156,$D30,$C$7:$C$156,"Winner")=0),"Final: pick the "&amp;$D30&amp;" winner",IF($B$2="Not started","Set Status to In progress to count points","OK"))))))))</f>
        <v/>
      </c>
      <c r="J30" s="11">
        <f>IF(OR($A30="",NOT(ISNUMBER($B30))),"",IF($C30="Winner",1,COUNTIFS($D$7:$D$156,$D30,$B$7:$B$156,$B30)-IF(AND(NOT($C30="Winner"),COUNTIFS($D$7:$D$156,$D30,$C$7:$C$156,"Winner",$B$7:$B$156,$B30)&gt;0),1,0)))</f>
        <v/>
      </c>
    </row>
    <row r="31">
      <c r="D31" s="11">
        <f>IF($A31="","",IFERROR(IF(VLOOKUP($A31,Players!$A$2:$B$500,2,FALSE)="","Open",VLOOKUP($A31,Players!$A$2:$B$500,2,FALSE)),"Open"))</f>
        <v/>
      </c>
      <c r="E31" s="11">
        <f>IF(OR($A31="",NOT(ISNUMBER($B31))),"",IF($C31="Winner",1,COUNTIFS($D$7:$D$156,$D31,$B$7:$B$156,"&lt;"&amp;$B31)+1+IF(AND(NOT($C31="Winner"),COUNTIFS($D$7:$D$156,$D31,$C$7:$C$156,"Winner",$B$7:$B$156,$B31)&gt;0),1,0)))</f>
        <v/>
      </c>
      <c r="F31" s="11">
        <f>IF(OR($A31="",NOT(ISNUMBER($B31))),"",COUNTIFS($D$7:$D$156,$D31,$B$7:$B$156,"&gt;0"))</f>
        <v/>
      </c>
      <c r="G31" s="11">
        <f>IF(OR(OR($A31="",NOT(ISNUMBER($B31))),$B$2="Not started"),"",IF($C31="Winner",Points!$B$3,ROUND(Points!$B$3*IF($F31&lt;=1,1,Points!$H$7+(1-Points!$H$7)*((($F31-$E31)*(($F31-$E31)+1)/2)^2-((($F31-$E31-$J31+1)-1)*($F31-$E31-$J31+1)/2)^2)/($J31*($F31-1)^3)),0)))</f>
        <v/>
      </c>
      <c r="H31" s="11">
        <f>IF($A31="","",IF($B$2="Final","Final",IF($B$2="In progress","Projected","Not started")))</f>
        <v/>
      </c>
      <c r="I31" s="11">
        <f>IF($A31="","",IF(COUNTIF(Players!$A$2:$A$500,$A31)=0,"Player is not on the Players tab",IF(COUNTIF($A$7:$A$156,$A31)&gt;1,"Player is listed twice",IF(NOT(ISNUMBER($B31)),"Enter a score",IF(COUNTIFS($D$7:$D$156,$D31,$C$7:$C$156,"Winner")&gt;1,"More than one "&amp;$D31&amp;" winner picked",IF(AND($C31="Winner",COUNTIFS($D$7:$D$156,$D31,$B$7:$B$156,"&lt;"&amp;$B31)&gt;0),"The winner doesn't have the best "&amp;$D31&amp;" score",IF(AND($B$2="Final",COUNTIFS($D$7:$D$156,$D31,$C$7:$C$156,"Winner")=0),"Final: pick the "&amp;$D31&amp;" winner",IF($B$2="Not started","Set Status to In progress to count points","OK"))))))))</f>
        <v/>
      </c>
      <c r="J31" s="11">
        <f>IF(OR($A31="",NOT(ISNUMBER($B31))),"",IF($C31="Winner",1,COUNTIFS($D$7:$D$156,$D31,$B$7:$B$156,$B31)-IF(AND(NOT($C31="Winner"),COUNTIFS($D$7:$D$156,$D31,$C$7:$C$156,"Winner",$B$7:$B$156,$B31)&gt;0),1,0)))</f>
        <v/>
      </c>
    </row>
    <row r="32">
      <c r="D32" s="11">
        <f>IF($A32="","",IFERROR(IF(VLOOKUP($A32,Players!$A$2:$B$500,2,FALSE)="","Open",VLOOKUP($A32,Players!$A$2:$B$500,2,FALSE)),"Open"))</f>
        <v/>
      </c>
      <c r="E32" s="11">
        <f>IF(OR($A32="",NOT(ISNUMBER($B32))),"",IF($C32="Winner",1,COUNTIFS($D$7:$D$156,$D32,$B$7:$B$156,"&lt;"&amp;$B32)+1+IF(AND(NOT($C32="Winner"),COUNTIFS($D$7:$D$156,$D32,$C$7:$C$156,"Winner",$B$7:$B$156,$B32)&gt;0),1,0)))</f>
        <v/>
      </c>
      <c r="F32" s="11">
        <f>IF(OR($A32="",NOT(ISNUMBER($B32))),"",COUNTIFS($D$7:$D$156,$D32,$B$7:$B$156,"&gt;0"))</f>
        <v/>
      </c>
      <c r="G32" s="11">
        <f>IF(OR(OR($A32="",NOT(ISNUMBER($B32))),$B$2="Not started"),"",IF($C32="Winner",Points!$B$3,ROUND(Points!$B$3*IF($F32&lt;=1,1,Points!$H$7+(1-Points!$H$7)*((($F32-$E32)*(($F32-$E32)+1)/2)^2-((($F32-$E32-$J32+1)-1)*($F32-$E32-$J32+1)/2)^2)/($J32*($F32-1)^3)),0)))</f>
        <v/>
      </c>
      <c r="H32" s="11">
        <f>IF($A32="","",IF($B$2="Final","Final",IF($B$2="In progress","Projected","Not started")))</f>
        <v/>
      </c>
      <c r="I32" s="11">
        <f>IF($A32="","",IF(COUNTIF(Players!$A$2:$A$500,$A32)=0,"Player is not on the Players tab",IF(COUNTIF($A$7:$A$156,$A32)&gt;1,"Player is listed twice",IF(NOT(ISNUMBER($B32)),"Enter a score",IF(COUNTIFS($D$7:$D$156,$D32,$C$7:$C$156,"Winner")&gt;1,"More than one "&amp;$D32&amp;" winner picked",IF(AND($C32="Winner",COUNTIFS($D$7:$D$156,$D32,$B$7:$B$156,"&lt;"&amp;$B32)&gt;0),"The winner doesn't have the best "&amp;$D32&amp;" score",IF(AND($B$2="Final",COUNTIFS($D$7:$D$156,$D32,$C$7:$C$156,"Winner")=0),"Final: pick the "&amp;$D32&amp;" winner",IF($B$2="Not started","Set Status to In progress to count points","OK"))))))))</f>
        <v/>
      </c>
      <c r="J32" s="11">
        <f>IF(OR($A32="",NOT(ISNUMBER($B32))),"",IF($C32="Winner",1,COUNTIFS($D$7:$D$156,$D32,$B$7:$B$156,$B32)-IF(AND(NOT($C32="Winner"),COUNTIFS($D$7:$D$156,$D32,$C$7:$C$156,"Winner",$B$7:$B$156,$B32)&gt;0),1,0)))</f>
        <v/>
      </c>
    </row>
    <row r="33">
      <c r="D33" s="11">
        <f>IF($A33="","",IFERROR(IF(VLOOKUP($A33,Players!$A$2:$B$500,2,FALSE)="","Open",VLOOKUP($A33,Players!$A$2:$B$500,2,FALSE)),"Open"))</f>
        <v/>
      </c>
      <c r="E33" s="11">
        <f>IF(OR($A33="",NOT(ISNUMBER($B33))),"",IF($C33="Winner",1,COUNTIFS($D$7:$D$156,$D33,$B$7:$B$156,"&lt;"&amp;$B33)+1+IF(AND(NOT($C33="Winner"),COUNTIFS($D$7:$D$156,$D33,$C$7:$C$156,"Winner",$B$7:$B$156,$B33)&gt;0),1,0)))</f>
        <v/>
      </c>
      <c r="F33" s="11">
        <f>IF(OR($A33="",NOT(ISNUMBER($B33))),"",COUNTIFS($D$7:$D$156,$D33,$B$7:$B$156,"&gt;0"))</f>
        <v/>
      </c>
      <c r="G33" s="11">
        <f>IF(OR(OR($A33="",NOT(ISNUMBER($B33))),$B$2="Not started"),"",IF($C33="Winner",Points!$B$3,ROUND(Points!$B$3*IF($F33&lt;=1,1,Points!$H$7+(1-Points!$H$7)*((($F33-$E33)*(($F33-$E33)+1)/2)^2-((($F33-$E33-$J33+1)-1)*($F33-$E33-$J33+1)/2)^2)/($J33*($F33-1)^3)),0)))</f>
        <v/>
      </c>
      <c r="H33" s="11">
        <f>IF($A33="","",IF($B$2="Final","Final",IF($B$2="In progress","Projected","Not started")))</f>
        <v/>
      </c>
      <c r="I33" s="11">
        <f>IF($A33="","",IF(COUNTIF(Players!$A$2:$A$500,$A33)=0,"Player is not on the Players tab",IF(COUNTIF($A$7:$A$156,$A33)&gt;1,"Player is listed twice",IF(NOT(ISNUMBER($B33)),"Enter a score",IF(COUNTIFS($D$7:$D$156,$D33,$C$7:$C$156,"Winner")&gt;1,"More than one "&amp;$D33&amp;" winner picked",IF(AND($C33="Winner",COUNTIFS($D$7:$D$156,$D33,$B$7:$B$156,"&lt;"&amp;$B33)&gt;0),"The winner doesn't have the best "&amp;$D33&amp;" score",IF(AND($B$2="Final",COUNTIFS($D$7:$D$156,$D33,$C$7:$C$156,"Winner")=0),"Final: pick the "&amp;$D33&amp;" winner",IF($B$2="Not started","Set Status to In progress to count points","OK"))))))))</f>
        <v/>
      </c>
      <c r="J33" s="11">
        <f>IF(OR($A33="",NOT(ISNUMBER($B33))),"",IF($C33="Winner",1,COUNTIFS($D$7:$D$156,$D33,$B$7:$B$156,$B33)-IF(AND(NOT($C33="Winner"),COUNTIFS($D$7:$D$156,$D33,$C$7:$C$156,"Winner",$B$7:$B$156,$B33)&gt;0),1,0)))</f>
        <v/>
      </c>
    </row>
    <row r="34">
      <c r="D34" s="11">
        <f>IF($A34="","",IFERROR(IF(VLOOKUP($A34,Players!$A$2:$B$500,2,FALSE)="","Open",VLOOKUP($A34,Players!$A$2:$B$500,2,FALSE)),"Open"))</f>
        <v/>
      </c>
      <c r="E34" s="11">
        <f>IF(OR($A34="",NOT(ISNUMBER($B34))),"",IF($C34="Winner",1,COUNTIFS($D$7:$D$156,$D34,$B$7:$B$156,"&lt;"&amp;$B34)+1+IF(AND(NOT($C34="Winner"),COUNTIFS($D$7:$D$156,$D34,$C$7:$C$156,"Winner",$B$7:$B$156,$B34)&gt;0),1,0)))</f>
        <v/>
      </c>
      <c r="F34" s="11">
        <f>IF(OR($A34="",NOT(ISNUMBER($B34))),"",COUNTIFS($D$7:$D$156,$D34,$B$7:$B$156,"&gt;0"))</f>
        <v/>
      </c>
      <c r="G34" s="11">
        <f>IF(OR(OR($A34="",NOT(ISNUMBER($B34))),$B$2="Not started"),"",IF($C34="Winner",Points!$B$3,ROUND(Points!$B$3*IF($F34&lt;=1,1,Points!$H$7+(1-Points!$H$7)*((($F34-$E34)*(($F34-$E34)+1)/2)^2-((($F34-$E34-$J34+1)-1)*($F34-$E34-$J34+1)/2)^2)/($J34*($F34-1)^3)),0)))</f>
        <v/>
      </c>
      <c r="H34" s="11">
        <f>IF($A34="","",IF($B$2="Final","Final",IF($B$2="In progress","Projected","Not started")))</f>
        <v/>
      </c>
      <c r="I34" s="11">
        <f>IF($A34="","",IF(COUNTIF(Players!$A$2:$A$500,$A34)=0,"Player is not on the Players tab",IF(COUNTIF($A$7:$A$156,$A34)&gt;1,"Player is listed twice",IF(NOT(ISNUMBER($B34)),"Enter a score",IF(COUNTIFS($D$7:$D$156,$D34,$C$7:$C$156,"Winner")&gt;1,"More than one "&amp;$D34&amp;" winner picked",IF(AND($C34="Winner",COUNTIFS($D$7:$D$156,$D34,$B$7:$B$156,"&lt;"&amp;$B34)&gt;0),"The winner doesn't have the best "&amp;$D34&amp;" score",IF(AND($B$2="Final",COUNTIFS($D$7:$D$156,$D34,$C$7:$C$156,"Winner")=0),"Final: pick the "&amp;$D34&amp;" winner",IF($B$2="Not started","Set Status to In progress to count points","OK"))))))))</f>
        <v/>
      </c>
      <c r="J34" s="11">
        <f>IF(OR($A34="",NOT(ISNUMBER($B34))),"",IF($C34="Winner",1,COUNTIFS($D$7:$D$156,$D34,$B$7:$B$156,$B34)-IF(AND(NOT($C34="Winner"),COUNTIFS($D$7:$D$156,$D34,$C$7:$C$156,"Winner",$B$7:$B$156,$B34)&gt;0),1,0)))</f>
        <v/>
      </c>
    </row>
    <row r="35">
      <c r="D35" s="11">
        <f>IF($A35="","",IFERROR(IF(VLOOKUP($A35,Players!$A$2:$B$500,2,FALSE)="","Open",VLOOKUP($A35,Players!$A$2:$B$500,2,FALSE)),"Open"))</f>
        <v/>
      </c>
      <c r="E35" s="11">
        <f>IF(OR($A35="",NOT(ISNUMBER($B35))),"",IF($C35="Winner",1,COUNTIFS($D$7:$D$156,$D35,$B$7:$B$156,"&lt;"&amp;$B35)+1+IF(AND(NOT($C35="Winner"),COUNTIFS($D$7:$D$156,$D35,$C$7:$C$156,"Winner",$B$7:$B$156,$B35)&gt;0),1,0)))</f>
        <v/>
      </c>
      <c r="F35" s="11">
        <f>IF(OR($A35="",NOT(ISNUMBER($B35))),"",COUNTIFS($D$7:$D$156,$D35,$B$7:$B$156,"&gt;0"))</f>
        <v/>
      </c>
      <c r="G35" s="11">
        <f>IF(OR(OR($A35="",NOT(ISNUMBER($B35))),$B$2="Not started"),"",IF($C35="Winner",Points!$B$3,ROUND(Points!$B$3*IF($F35&lt;=1,1,Points!$H$7+(1-Points!$H$7)*((($F35-$E35)*(($F35-$E35)+1)/2)^2-((($F35-$E35-$J35+1)-1)*($F35-$E35-$J35+1)/2)^2)/($J35*($F35-1)^3)),0)))</f>
        <v/>
      </c>
      <c r="H35" s="11">
        <f>IF($A35="","",IF($B$2="Final","Final",IF($B$2="In progress","Projected","Not started")))</f>
        <v/>
      </c>
      <c r="I35" s="11">
        <f>IF($A35="","",IF(COUNTIF(Players!$A$2:$A$500,$A35)=0,"Player is not on the Players tab",IF(COUNTIF($A$7:$A$156,$A35)&gt;1,"Player is listed twice",IF(NOT(ISNUMBER($B35)),"Enter a score",IF(COUNTIFS($D$7:$D$156,$D35,$C$7:$C$156,"Winner")&gt;1,"More than one "&amp;$D35&amp;" winner picked",IF(AND($C35="Winner",COUNTIFS($D$7:$D$156,$D35,$B$7:$B$156,"&lt;"&amp;$B35)&gt;0),"The winner doesn't have the best "&amp;$D35&amp;" score",IF(AND($B$2="Final",COUNTIFS($D$7:$D$156,$D35,$C$7:$C$156,"Winner")=0),"Final: pick the "&amp;$D35&amp;" winner",IF($B$2="Not started","Set Status to In progress to count points","OK"))))))))</f>
        <v/>
      </c>
      <c r="J35" s="11">
        <f>IF(OR($A35="",NOT(ISNUMBER($B35))),"",IF($C35="Winner",1,COUNTIFS($D$7:$D$156,$D35,$B$7:$B$156,$B35)-IF(AND(NOT($C35="Winner"),COUNTIFS($D$7:$D$156,$D35,$C$7:$C$156,"Winner",$B$7:$B$156,$B35)&gt;0),1,0)))</f>
        <v/>
      </c>
    </row>
    <row r="36">
      <c r="D36" s="11">
        <f>IF($A36="","",IFERROR(IF(VLOOKUP($A36,Players!$A$2:$B$500,2,FALSE)="","Open",VLOOKUP($A36,Players!$A$2:$B$500,2,FALSE)),"Open"))</f>
        <v/>
      </c>
      <c r="E36" s="11">
        <f>IF(OR($A36="",NOT(ISNUMBER($B36))),"",IF($C36="Winner",1,COUNTIFS($D$7:$D$156,$D36,$B$7:$B$156,"&lt;"&amp;$B36)+1+IF(AND(NOT($C36="Winner"),COUNTIFS($D$7:$D$156,$D36,$C$7:$C$156,"Winner",$B$7:$B$156,$B36)&gt;0),1,0)))</f>
        <v/>
      </c>
      <c r="F36" s="11">
        <f>IF(OR($A36="",NOT(ISNUMBER($B36))),"",COUNTIFS($D$7:$D$156,$D36,$B$7:$B$156,"&gt;0"))</f>
        <v/>
      </c>
      <c r="G36" s="11">
        <f>IF(OR(OR($A36="",NOT(ISNUMBER($B36))),$B$2="Not started"),"",IF($C36="Winner",Points!$B$3,ROUND(Points!$B$3*IF($F36&lt;=1,1,Points!$H$7+(1-Points!$H$7)*((($F36-$E36)*(($F36-$E36)+1)/2)^2-((($F36-$E36-$J36+1)-1)*($F36-$E36-$J36+1)/2)^2)/($J36*($F36-1)^3)),0)))</f>
        <v/>
      </c>
      <c r="H36" s="11">
        <f>IF($A36="","",IF($B$2="Final","Final",IF($B$2="In progress","Projected","Not started")))</f>
        <v/>
      </c>
      <c r="I36" s="11">
        <f>IF($A36="","",IF(COUNTIF(Players!$A$2:$A$500,$A36)=0,"Player is not on the Players tab",IF(COUNTIF($A$7:$A$156,$A36)&gt;1,"Player is listed twice",IF(NOT(ISNUMBER($B36)),"Enter a score",IF(COUNTIFS($D$7:$D$156,$D36,$C$7:$C$156,"Winner")&gt;1,"More than one "&amp;$D36&amp;" winner picked",IF(AND($C36="Winner",COUNTIFS($D$7:$D$156,$D36,$B$7:$B$156,"&lt;"&amp;$B36)&gt;0),"The winner doesn't have the best "&amp;$D36&amp;" score",IF(AND($B$2="Final",COUNTIFS($D$7:$D$156,$D36,$C$7:$C$156,"Winner")=0),"Final: pick the "&amp;$D36&amp;" winner",IF($B$2="Not started","Set Status to In progress to count points","OK"))))))))</f>
        <v/>
      </c>
      <c r="J36" s="11">
        <f>IF(OR($A36="",NOT(ISNUMBER($B36))),"",IF($C36="Winner",1,COUNTIFS($D$7:$D$156,$D36,$B$7:$B$156,$B36)-IF(AND(NOT($C36="Winner"),COUNTIFS($D$7:$D$156,$D36,$C$7:$C$156,"Winner",$B$7:$B$156,$B36)&gt;0),1,0)))</f>
        <v/>
      </c>
    </row>
    <row r="37">
      <c r="D37" s="11">
        <f>IF($A37="","",IFERROR(IF(VLOOKUP($A37,Players!$A$2:$B$500,2,FALSE)="","Open",VLOOKUP($A37,Players!$A$2:$B$500,2,FALSE)),"Open"))</f>
        <v/>
      </c>
      <c r="E37" s="11">
        <f>IF(OR($A37="",NOT(ISNUMBER($B37))),"",IF($C37="Winner",1,COUNTIFS($D$7:$D$156,$D37,$B$7:$B$156,"&lt;"&amp;$B37)+1+IF(AND(NOT($C37="Winner"),COUNTIFS($D$7:$D$156,$D37,$C$7:$C$156,"Winner",$B$7:$B$156,$B37)&gt;0),1,0)))</f>
        <v/>
      </c>
      <c r="F37" s="11">
        <f>IF(OR($A37="",NOT(ISNUMBER($B37))),"",COUNTIFS($D$7:$D$156,$D37,$B$7:$B$156,"&gt;0"))</f>
        <v/>
      </c>
      <c r="G37" s="11">
        <f>IF(OR(OR($A37="",NOT(ISNUMBER($B37))),$B$2="Not started"),"",IF($C37="Winner",Points!$B$3,ROUND(Points!$B$3*IF($F37&lt;=1,1,Points!$H$7+(1-Points!$H$7)*((($F37-$E37)*(($F37-$E37)+1)/2)^2-((($F37-$E37-$J37+1)-1)*($F37-$E37-$J37+1)/2)^2)/($J37*($F37-1)^3)),0)))</f>
        <v/>
      </c>
      <c r="H37" s="11">
        <f>IF($A37="","",IF($B$2="Final","Final",IF($B$2="In progress","Projected","Not started")))</f>
        <v/>
      </c>
      <c r="I37" s="11">
        <f>IF($A37="","",IF(COUNTIF(Players!$A$2:$A$500,$A37)=0,"Player is not on the Players tab",IF(COUNTIF($A$7:$A$156,$A37)&gt;1,"Player is listed twice",IF(NOT(ISNUMBER($B37)),"Enter a score",IF(COUNTIFS($D$7:$D$156,$D37,$C$7:$C$156,"Winner")&gt;1,"More than one "&amp;$D37&amp;" winner picked",IF(AND($C37="Winner",COUNTIFS($D$7:$D$156,$D37,$B$7:$B$156,"&lt;"&amp;$B37)&gt;0),"The winner doesn't have the best "&amp;$D37&amp;" score",IF(AND($B$2="Final",COUNTIFS($D$7:$D$156,$D37,$C$7:$C$156,"Winner")=0),"Final: pick the "&amp;$D37&amp;" winner",IF($B$2="Not started","Set Status to In progress to count points","OK"))))))))</f>
        <v/>
      </c>
      <c r="J37" s="11">
        <f>IF(OR($A37="",NOT(ISNUMBER($B37))),"",IF($C37="Winner",1,COUNTIFS($D$7:$D$156,$D37,$B$7:$B$156,$B37)-IF(AND(NOT($C37="Winner"),COUNTIFS($D$7:$D$156,$D37,$C$7:$C$156,"Winner",$B$7:$B$156,$B37)&gt;0),1,0)))</f>
        <v/>
      </c>
    </row>
    <row r="38">
      <c r="D38" s="11">
        <f>IF($A38="","",IFERROR(IF(VLOOKUP($A38,Players!$A$2:$B$500,2,FALSE)="","Open",VLOOKUP($A38,Players!$A$2:$B$500,2,FALSE)),"Open"))</f>
        <v/>
      </c>
      <c r="E38" s="11">
        <f>IF(OR($A38="",NOT(ISNUMBER($B38))),"",IF($C38="Winner",1,COUNTIFS($D$7:$D$156,$D38,$B$7:$B$156,"&lt;"&amp;$B38)+1+IF(AND(NOT($C38="Winner"),COUNTIFS($D$7:$D$156,$D38,$C$7:$C$156,"Winner",$B$7:$B$156,$B38)&gt;0),1,0)))</f>
        <v/>
      </c>
      <c r="F38" s="11">
        <f>IF(OR($A38="",NOT(ISNUMBER($B38))),"",COUNTIFS($D$7:$D$156,$D38,$B$7:$B$156,"&gt;0"))</f>
        <v/>
      </c>
      <c r="G38" s="11">
        <f>IF(OR(OR($A38="",NOT(ISNUMBER($B38))),$B$2="Not started"),"",IF($C38="Winner",Points!$B$3,ROUND(Points!$B$3*IF($F38&lt;=1,1,Points!$H$7+(1-Points!$H$7)*((($F38-$E38)*(($F38-$E38)+1)/2)^2-((($F38-$E38-$J38+1)-1)*($F38-$E38-$J38+1)/2)^2)/($J38*($F38-1)^3)),0)))</f>
        <v/>
      </c>
      <c r="H38" s="11">
        <f>IF($A38="","",IF($B$2="Final","Final",IF($B$2="In progress","Projected","Not started")))</f>
        <v/>
      </c>
      <c r="I38" s="11">
        <f>IF($A38="","",IF(COUNTIF(Players!$A$2:$A$500,$A38)=0,"Player is not on the Players tab",IF(COUNTIF($A$7:$A$156,$A38)&gt;1,"Player is listed twice",IF(NOT(ISNUMBER($B38)),"Enter a score",IF(COUNTIFS($D$7:$D$156,$D38,$C$7:$C$156,"Winner")&gt;1,"More than one "&amp;$D38&amp;" winner picked",IF(AND($C38="Winner",COUNTIFS($D$7:$D$156,$D38,$B$7:$B$156,"&lt;"&amp;$B38)&gt;0),"The winner doesn't have the best "&amp;$D38&amp;" score",IF(AND($B$2="Final",COUNTIFS($D$7:$D$156,$D38,$C$7:$C$156,"Winner")=0),"Final: pick the "&amp;$D38&amp;" winner",IF($B$2="Not started","Set Status to In progress to count points","OK"))))))))</f>
        <v/>
      </c>
      <c r="J38" s="11">
        <f>IF(OR($A38="",NOT(ISNUMBER($B38))),"",IF($C38="Winner",1,COUNTIFS($D$7:$D$156,$D38,$B$7:$B$156,$B38)-IF(AND(NOT($C38="Winner"),COUNTIFS($D$7:$D$156,$D38,$C$7:$C$156,"Winner",$B$7:$B$156,$B38)&gt;0),1,0)))</f>
        <v/>
      </c>
    </row>
    <row r="39">
      <c r="D39" s="11">
        <f>IF($A39="","",IFERROR(IF(VLOOKUP($A39,Players!$A$2:$B$500,2,FALSE)="","Open",VLOOKUP($A39,Players!$A$2:$B$500,2,FALSE)),"Open"))</f>
        <v/>
      </c>
      <c r="E39" s="11">
        <f>IF(OR($A39="",NOT(ISNUMBER($B39))),"",IF($C39="Winner",1,COUNTIFS($D$7:$D$156,$D39,$B$7:$B$156,"&lt;"&amp;$B39)+1+IF(AND(NOT($C39="Winner"),COUNTIFS($D$7:$D$156,$D39,$C$7:$C$156,"Winner",$B$7:$B$156,$B39)&gt;0),1,0)))</f>
        <v/>
      </c>
      <c r="F39" s="11">
        <f>IF(OR($A39="",NOT(ISNUMBER($B39))),"",COUNTIFS($D$7:$D$156,$D39,$B$7:$B$156,"&gt;0"))</f>
        <v/>
      </c>
      <c r="G39" s="11">
        <f>IF(OR(OR($A39="",NOT(ISNUMBER($B39))),$B$2="Not started"),"",IF($C39="Winner",Points!$B$3,ROUND(Points!$B$3*IF($F39&lt;=1,1,Points!$H$7+(1-Points!$H$7)*((($F39-$E39)*(($F39-$E39)+1)/2)^2-((($F39-$E39-$J39+1)-1)*($F39-$E39-$J39+1)/2)^2)/($J39*($F39-1)^3)),0)))</f>
        <v/>
      </c>
      <c r="H39" s="11">
        <f>IF($A39="","",IF($B$2="Final","Final",IF($B$2="In progress","Projected","Not started")))</f>
        <v/>
      </c>
      <c r="I39" s="11">
        <f>IF($A39="","",IF(COUNTIF(Players!$A$2:$A$500,$A39)=0,"Player is not on the Players tab",IF(COUNTIF($A$7:$A$156,$A39)&gt;1,"Player is listed twice",IF(NOT(ISNUMBER($B39)),"Enter a score",IF(COUNTIFS($D$7:$D$156,$D39,$C$7:$C$156,"Winner")&gt;1,"More than one "&amp;$D39&amp;" winner picked",IF(AND($C39="Winner",COUNTIFS($D$7:$D$156,$D39,$B$7:$B$156,"&lt;"&amp;$B39)&gt;0),"The winner doesn't have the best "&amp;$D39&amp;" score",IF(AND($B$2="Final",COUNTIFS($D$7:$D$156,$D39,$C$7:$C$156,"Winner")=0),"Final: pick the "&amp;$D39&amp;" winner",IF($B$2="Not started","Set Status to In progress to count points","OK"))))))))</f>
        <v/>
      </c>
      <c r="J39" s="11">
        <f>IF(OR($A39="",NOT(ISNUMBER($B39))),"",IF($C39="Winner",1,COUNTIFS($D$7:$D$156,$D39,$B$7:$B$156,$B39)-IF(AND(NOT($C39="Winner"),COUNTIFS($D$7:$D$156,$D39,$C$7:$C$156,"Winner",$B$7:$B$156,$B39)&gt;0),1,0)))</f>
        <v/>
      </c>
    </row>
    <row r="40">
      <c r="D40" s="11">
        <f>IF($A40="","",IFERROR(IF(VLOOKUP($A40,Players!$A$2:$B$500,2,FALSE)="","Open",VLOOKUP($A40,Players!$A$2:$B$500,2,FALSE)),"Open"))</f>
        <v/>
      </c>
      <c r="E40" s="11">
        <f>IF(OR($A40="",NOT(ISNUMBER($B40))),"",IF($C40="Winner",1,COUNTIFS($D$7:$D$156,$D40,$B$7:$B$156,"&lt;"&amp;$B40)+1+IF(AND(NOT($C40="Winner"),COUNTIFS($D$7:$D$156,$D40,$C$7:$C$156,"Winner",$B$7:$B$156,$B40)&gt;0),1,0)))</f>
        <v/>
      </c>
      <c r="F40" s="11">
        <f>IF(OR($A40="",NOT(ISNUMBER($B40))),"",COUNTIFS($D$7:$D$156,$D40,$B$7:$B$156,"&gt;0"))</f>
        <v/>
      </c>
      <c r="G40" s="11">
        <f>IF(OR(OR($A40="",NOT(ISNUMBER($B40))),$B$2="Not started"),"",IF($C40="Winner",Points!$B$3,ROUND(Points!$B$3*IF($F40&lt;=1,1,Points!$H$7+(1-Points!$H$7)*((($F40-$E40)*(($F40-$E40)+1)/2)^2-((($F40-$E40-$J40+1)-1)*($F40-$E40-$J40+1)/2)^2)/($J40*($F40-1)^3)),0)))</f>
        <v/>
      </c>
      <c r="H40" s="11">
        <f>IF($A40="","",IF($B$2="Final","Final",IF($B$2="In progress","Projected","Not started")))</f>
        <v/>
      </c>
      <c r="I40" s="11">
        <f>IF($A40="","",IF(COUNTIF(Players!$A$2:$A$500,$A40)=0,"Player is not on the Players tab",IF(COUNTIF($A$7:$A$156,$A40)&gt;1,"Player is listed twice",IF(NOT(ISNUMBER($B40)),"Enter a score",IF(COUNTIFS($D$7:$D$156,$D40,$C$7:$C$156,"Winner")&gt;1,"More than one "&amp;$D40&amp;" winner picked",IF(AND($C40="Winner",COUNTIFS($D$7:$D$156,$D40,$B$7:$B$156,"&lt;"&amp;$B40)&gt;0),"The winner doesn't have the best "&amp;$D40&amp;" score",IF(AND($B$2="Final",COUNTIFS($D$7:$D$156,$D40,$C$7:$C$156,"Winner")=0),"Final: pick the "&amp;$D40&amp;" winner",IF($B$2="Not started","Set Status to In progress to count points","OK"))))))))</f>
        <v/>
      </c>
      <c r="J40" s="11">
        <f>IF(OR($A40="",NOT(ISNUMBER($B40))),"",IF($C40="Winner",1,COUNTIFS($D$7:$D$156,$D40,$B$7:$B$156,$B40)-IF(AND(NOT($C40="Winner"),COUNTIFS($D$7:$D$156,$D40,$C$7:$C$156,"Winner",$B$7:$B$156,$B40)&gt;0),1,0)))</f>
        <v/>
      </c>
    </row>
    <row r="41">
      <c r="D41" s="11">
        <f>IF($A41="","",IFERROR(IF(VLOOKUP($A41,Players!$A$2:$B$500,2,FALSE)="","Open",VLOOKUP($A41,Players!$A$2:$B$500,2,FALSE)),"Open"))</f>
        <v/>
      </c>
      <c r="E41" s="11">
        <f>IF(OR($A41="",NOT(ISNUMBER($B41))),"",IF($C41="Winner",1,COUNTIFS($D$7:$D$156,$D41,$B$7:$B$156,"&lt;"&amp;$B41)+1+IF(AND(NOT($C41="Winner"),COUNTIFS($D$7:$D$156,$D41,$C$7:$C$156,"Winner",$B$7:$B$156,$B41)&gt;0),1,0)))</f>
        <v/>
      </c>
      <c r="F41" s="11">
        <f>IF(OR($A41="",NOT(ISNUMBER($B41))),"",COUNTIFS($D$7:$D$156,$D41,$B$7:$B$156,"&gt;0"))</f>
        <v/>
      </c>
      <c r="G41" s="11">
        <f>IF(OR(OR($A41="",NOT(ISNUMBER($B41))),$B$2="Not started"),"",IF($C41="Winner",Points!$B$3,ROUND(Points!$B$3*IF($F41&lt;=1,1,Points!$H$7+(1-Points!$H$7)*((($F41-$E41)*(($F41-$E41)+1)/2)^2-((($F41-$E41-$J41+1)-1)*($F41-$E41-$J41+1)/2)^2)/($J41*($F41-1)^3)),0)))</f>
        <v/>
      </c>
      <c r="H41" s="11">
        <f>IF($A41="","",IF($B$2="Final","Final",IF($B$2="In progress","Projected","Not started")))</f>
        <v/>
      </c>
      <c r="I41" s="11">
        <f>IF($A41="","",IF(COUNTIF(Players!$A$2:$A$500,$A41)=0,"Player is not on the Players tab",IF(COUNTIF($A$7:$A$156,$A41)&gt;1,"Player is listed twice",IF(NOT(ISNUMBER($B41)),"Enter a score",IF(COUNTIFS($D$7:$D$156,$D41,$C$7:$C$156,"Winner")&gt;1,"More than one "&amp;$D41&amp;" winner picked",IF(AND($C41="Winner",COUNTIFS($D$7:$D$156,$D41,$B$7:$B$156,"&lt;"&amp;$B41)&gt;0),"The winner doesn't have the best "&amp;$D41&amp;" score",IF(AND($B$2="Final",COUNTIFS($D$7:$D$156,$D41,$C$7:$C$156,"Winner")=0),"Final: pick the "&amp;$D41&amp;" winner",IF($B$2="Not started","Set Status to In progress to count points","OK"))))))))</f>
        <v/>
      </c>
      <c r="J41" s="11">
        <f>IF(OR($A41="",NOT(ISNUMBER($B41))),"",IF($C41="Winner",1,COUNTIFS($D$7:$D$156,$D41,$B$7:$B$156,$B41)-IF(AND(NOT($C41="Winner"),COUNTIFS($D$7:$D$156,$D41,$C$7:$C$156,"Winner",$B$7:$B$156,$B41)&gt;0),1,0)))</f>
        <v/>
      </c>
    </row>
    <row r="42">
      <c r="D42" s="11">
        <f>IF($A42="","",IFERROR(IF(VLOOKUP($A42,Players!$A$2:$B$500,2,FALSE)="","Open",VLOOKUP($A42,Players!$A$2:$B$500,2,FALSE)),"Open"))</f>
        <v/>
      </c>
      <c r="E42" s="11">
        <f>IF(OR($A42="",NOT(ISNUMBER($B42))),"",IF($C42="Winner",1,COUNTIFS($D$7:$D$156,$D42,$B$7:$B$156,"&lt;"&amp;$B42)+1+IF(AND(NOT($C42="Winner"),COUNTIFS($D$7:$D$156,$D42,$C$7:$C$156,"Winner",$B$7:$B$156,$B42)&gt;0),1,0)))</f>
        <v/>
      </c>
      <c r="F42" s="11">
        <f>IF(OR($A42="",NOT(ISNUMBER($B42))),"",COUNTIFS($D$7:$D$156,$D42,$B$7:$B$156,"&gt;0"))</f>
        <v/>
      </c>
      <c r="G42" s="11">
        <f>IF(OR(OR($A42="",NOT(ISNUMBER($B42))),$B$2="Not started"),"",IF($C42="Winner",Points!$B$3,ROUND(Points!$B$3*IF($F42&lt;=1,1,Points!$H$7+(1-Points!$H$7)*((($F42-$E42)*(($F42-$E42)+1)/2)^2-((($F42-$E42-$J42+1)-1)*($F42-$E42-$J42+1)/2)^2)/($J42*($F42-1)^3)),0)))</f>
        <v/>
      </c>
      <c r="H42" s="11">
        <f>IF($A42="","",IF($B$2="Final","Final",IF($B$2="In progress","Projected","Not started")))</f>
        <v/>
      </c>
      <c r="I42" s="11">
        <f>IF($A42="","",IF(COUNTIF(Players!$A$2:$A$500,$A42)=0,"Player is not on the Players tab",IF(COUNTIF($A$7:$A$156,$A42)&gt;1,"Player is listed twice",IF(NOT(ISNUMBER($B42)),"Enter a score",IF(COUNTIFS($D$7:$D$156,$D42,$C$7:$C$156,"Winner")&gt;1,"More than one "&amp;$D42&amp;" winner picked",IF(AND($C42="Winner",COUNTIFS($D$7:$D$156,$D42,$B$7:$B$156,"&lt;"&amp;$B42)&gt;0),"The winner doesn't have the best "&amp;$D42&amp;" score",IF(AND($B$2="Final",COUNTIFS($D$7:$D$156,$D42,$C$7:$C$156,"Winner")=0),"Final: pick the "&amp;$D42&amp;" winner",IF($B$2="Not started","Set Status to In progress to count points","OK"))))))))</f>
        <v/>
      </c>
      <c r="J42" s="11">
        <f>IF(OR($A42="",NOT(ISNUMBER($B42))),"",IF($C42="Winner",1,COUNTIFS($D$7:$D$156,$D42,$B$7:$B$156,$B42)-IF(AND(NOT($C42="Winner"),COUNTIFS($D$7:$D$156,$D42,$C$7:$C$156,"Winner",$B$7:$B$156,$B42)&gt;0),1,0)))</f>
        <v/>
      </c>
    </row>
    <row r="43">
      <c r="D43" s="11">
        <f>IF($A43="","",IFERROR(IF(VLOOKUP($A43,Players!$A$2:$B$500,2,FALSE)="","Open",VLOOKUP($A43,Players!$A$2:$B$500,2,FALSE)),"Open"))</f>
        <v/>
      </c>
      <c r="E43" s="11">
        <f>IF(OR($A43="",NOT(ISNUMBER($B43))),"",IF($C43="Winner",1,COUNTIFS($D$7:$D$156,$D43,$B$7:$B$156,"&lt;"&amp;$B43)+1+IF(AND(NOT($C43="Winner"),COUNTIFS($D$7:$D$156,$D43,$C$7:$C$156,"Winner",$B$7:$B$156,$B43)&gt;0),1,0)))</f>
        <v/>
      </c>
      <c r="F43" s="11">
        <f>IF(OR($A43="",NOT(ISNUMBER($B43))),"",COUNTIFS($D$7:$D$156,$D43,$B$7:$B$156,"&gt;0"))</f>
        <v/>
      </c>
      <c r="G43" s="11">
        <f>IF(OR(OR($A43="",NOT(ISNUMBER($B43))),$B$2="Not started"),"",IF($C43="Winner",Points!$B$3,ROUND(Points!$B$3*IF($F43&lt;=1,1,Points!$H$7+(1-Points!$H$7)*((($F43-$E43)*(($F43-$E43)+1)/2)^2-((($F43-$E43-$J43+1)-1)*($F43-$E43-$J43+1)/2)^2)/($J43*($F43-1)^3)),0)))</f>
        <v/>
      </c>
      <c r="H43" s="11">
        <f>IF($A43="","",IF($B$2="Final","Final",IF($B$2="In progress","Projected","Not started")))</f>
        <v/>
      </c>
      <c r="I43" s="11">
        <f>IF($A43="","",IF(COUNTIF(Players!$A$2:$A$500,$A43)=0,"Player is not on the Players tab",IF(COUNTIF($A$7:$A$156,$A43)&gt;1,"Player is listed twice",IF(NOT(ISNUMBER($B43)),"Enter a score",IF(COUNTIFS($D$7:$D$156,$D43,$C$7:$C$156,"Winner")&gt;1,"More than one "&amp;$D43&amp;" winner picked",IF(AND($C43="Winner",COUNTIFS($D$7:$D$156,$D43,$B$7:$B$156,"&lt;"&amp;$B43)&gt;0),"The winner doesn't have the best "&amp;$D43&amp;" score",IF(AND($B$2="Final",COUNTIFS($D$7:$D$156,$D43,$C$7:$C$156,"Winner")=0),"Final: pick the "&amp;$D43&amp;" winner",IF($B$2="Not started","Set Status to In progress to count points","OK"))))))))</f>
        <v/>
      </c>
      <c r="J43" s="11">
        <f>IF(OR($A43="",NOT(ISNUMBER($B43))),"",IF($C43="Winner",1,COUNTIFS($D$7:$D$156,$D43,$B$7:$B$156,$B43)-IF(AND(NOT($C43="Winner"),COUNTIFS($D$7:$D$156,$D43,$C$7:$C$156,"Winner",$B$7:$B$156,$B43)&gt;0),1,0)))</f>
        <v/>
      </c>
    </row>
    <row r="44">
      <c r="D44" s="11">
        <f>IF($A44="","",IFERROR(IF(VLOOKUP($A44,Players!$A$2:$B$500,2,FALSE)="","Open",VLOOKUP($A44,Players!$A$2:$B$500,2,FALSE)),"Open"))</f>
        <v/>
      </c>
      <c r="E44" s="11">
        <f>IF(OR($A44="",NOT(ISNUMBER($B44))),"",IF($C44="Winner",1,COUNTIFS($D$7:$D$156,$D44,$B$7:$B$156,"&lt;"&amp;$B44)+1+IF(AND(NOT($C44="Winner"),COUNTIFS($D$7:$D$156,$D44,$C$7:$C$156,"Winner",$B$7:$B$156,$B44)&gt;0),1,0)))</f>
        <v/>
      </c>
      <c r="F44" s="11">
        <f>IF(OR($A44="",NOT(ISNUMBER($B44))),"",COUNTIFS($D$7:$D$156,$D44,$B$7:$B$156,"&gt;0"))</f>
        <v/>
      </c>
      <c r="G44" s="11">
        <f>IF(OR(OR($A44="",NOT(ISNUMBER($B44))),$B$2="Not started"),"",IF($C44="Winner",Points!$B$3,ROUND(Points!$B$3*IF($F44&lt;=1,1,Points!$H$7+(1-Points!$H$7)*((($F44-$E44)*(($F44-$E44)+1)/2)^2-((($F44-$E44-$J44+1)-1)*($F44-$E44-$J44+1)/2)^2)/($J44*($F44-1)^3)),0)))</f>
        <v/>
      </c>
      <c r="H44" s="11">
        <f>IF($A44="","",IF($B$2="Final","Final",IF($B$2="In progress","Projected","Not started")))</f>
        <v/>
      </c>
      <c r="I44" s="11">
        <f>IF($A44="","",IF(COUNTIF(Players!$A$2:$A$500,$A44)=0,"Player is not on the Players tab",IF(COUNTIF($A$7:$A$156,$A44)&gt;1,"Player is listed twice",IF(NOT(ISNUMBER($B44)),"Enter a score",IF(COUNTIFS($D$7:$D$156,$D44,$C$7:$C$156,"Winner")&gt;1,"More than one "&amp;$D44&amp;" winner picked",IF(AND($C44="Winner",COUNTIFS($D$7:$D$156,$D44,$B$7:$B$156,"&lt;"&amp;$B44)&gt;0),"The winner doesn't have the best "&amp;$D44&amp;" score",IF(AND($B$2="Final",COUNTIFS($D$7:$D$156,$D44,$C$7:$C$156,"Winner")=0),"Final: pick the "&amp;$D44&amp;" winner",IF($B$2="Not started","Set Status to In progress to count points","OK"))))))))</f>
        <v/>
      </c>
      <c r="J44" s="11">
        <f>IF(OR($A44="",NOT(ISNUMBER($B44))),"",IF($C44="Winner",1,COUNTIFS($D$7:$D$156,$D44,$B$7:$B$156,$B44)-IF(AND(NOT($C44="Winner"),COUNTIFS($D$7:$D$156,$D44,$C$7:$C$156,"Winner",$B$7:$B$156,$B44)&gt;0),1,0)))</f>
        <v/>
      </c>
    </row>
    <row r="45">
      <c r="D45" s="11">
        <f>IF($A45="","",IFERROR(IF(VLOOKUP($A45,Players!$A$2:$B$500,2,FALSE)="","Open",VLOOKUP($A45,Players!$A$2:$B$500,2,FALSE)),"Open"))</f>
        <v/>
      </c>
      <c r="E45" s="11">
        <f>IF(OR($A45="",NOT(ISNUMBER($B45))),"",IF($C45="Winner",1,COUNTIFS($D$7:$D$156,$D45,$B$7:$B$156,"&lt;"&amp;$B45)+1+IF(AND(NOT($C45="Winner"),COUNTIFS($D$7:$D$156,$D45,$C$7:$C$156,"Winner",$B$7:$B$156,$B45)&gt;0),1,0)))</f>
        <v/>
      </c>
      <c r="F45" s="11">
        <f>IF(OR($A45="",NOT(ISNUMBER($B45))),"",COUNTIFS($D$7:$D$156,$D45,$B$7:$B$156,"&gt;0"))</f>
        <v/>
      </c>
      <c r="G45" s="11">
        <f>IF(OR(OR($A45="",NOT(ISNUMBER($B45))),$B$2="Not started"),"",IF($C45="Winner",Points!$B$3,ROUND(Points!$B$3*IF($F45&lt;=1,1,Points!$H$7+(1-Points!$H$7)*((($F45-$E45)*(($F45-$E45)+1)/2)^2-((($F45-$E45-$J45+1)-1)*($F45-$E45-$J45+1)/2)^2)/($J45*($F45-1)^3)),0)))</f>
        <v/>
      </c>
      <c r="H45" s="11">
        <f>IF($A45="","",IF($B$2="Final","Final",IF($B$2="In progress","Projected","Not started")))</f>
        <v/>
      </c>
      <c r="I45" s="11">
        <f>IF($A45="","",IF(COUNTIF(Players!$A$2:$A$500,$A45)=0,"Player is not on the Players tab",IF(COUNTIF($A$7:$A$156,$A45)&gt;1,"Player is listed twice",IF(NOT(ISNUMBER($B45)),"Enter a score",IF(COUNTIFS($D$7:$D$156,$D45,$C$7:$C$156,"Winner")&gt;1,"More than one "&amp;$D45&amp;" winner picked",IF(AND($C45="Winner",COUNTIFS($D$7:$D$156,$D45,$B$7:$B$156,"&lt;"&amp;$B45)&gt;0),"The winner doesn't have the best "&amp;$D45&amp;" score",IF(AND($B$2="Final",COUNTIFS($D$7:$D$156,$D45,$C$7:$C$156,"Winner")=0),"Final: pick the "&amp;$D45&amp;" winner",IF($B$2="Not started","Set Status to In progress to count points","OK"))))))))</f>
        <v/>
      </c>
      <c r="J45" s="11">
        <f>IF(OR($A45="",NOT(ISNUMBER($B45))),"",IF($C45="Winner",1,COUNTIFS($D$7:$D$156,$D45,$B$7:$B$156,$B45)-IF(AND(NOT($C45="Winner"),COUNTIFS($D$7:$D$156,$D45,$C$7:$C$156,"Winner",$B$7:$B$156,$B45)&gt;0),1,0)))</f>
        <v/>
      </c>
    </row>
    <row r="46">
      <c r="D46" s="11">
        <f>IF($A46="","",IFERROR(IF(VLOOKUP($A46,Players!$A$2:$B$500,2,FALSE)="","Open",VLOOKUP($A46,Players!$A$2:$B$500,2,FALSE)),"Open"))</f>
        <v/>
      </c>
      <c r="E46" s="11">
        <f>IF(OR($A46="",NOT(ISNUMBER($B46))),"",IF($C46="Winner",1,COUNTIFS($D$7:$D$156,$D46,$B$7:$B$156,"&lt;"&amp;$B46)+1+IF(AND(NOT($C46="Winner"),COUNTIFS($D$7:$D$156,$D46,$C$7:$C$156,"Winner",$B$7:$B$156,$B46)&gt;0),1,0)))</f>
        <v/>
      </c>
      <c r="F46" s="11">
        <f>IF(OR($A46="",NOT(ISNUMBER($B46))),"",COUNTIFS($D$7:$D$156,$D46,$B$7:$B$156,"&gt;0"))</f>
        <v/>
      </c>
      <c r="G46" s="11">
        <f>IF(OR(OR($A46="",NOT(ISNUMBER($B46))),$B$2="Not started"),"",IF($C46="Winner",Points!$B$3,ROUND(Points!$B$3*IF($F46&lt;=1,1,Points!$H$7+(1-Points!$H$7)*((($F46-$E46)*(($F46-$E46)+1)/2)^2-((($F46-$E46-$J46+1)-1)*($F46-$E46-$J46+1)/2)^2)/($J46*($F46-1)^3)),0)))</f>
        <v/>
      </c>
      <c r="H46" s="11">
        <f>IF($A46="","",IF($B$2="Final","Final",IF($B$2="In progress","Projected","Not started")))</f>
        <v/>
      </c>
      <c r="I46" s="11">
        <f>IF($A46="","",IF(COUNTIF(Players!$A$2:$A$500,$A46)=0,"Player is not on the Players tab",IF(COUNTIF($A$7:$A$156,$A46)&gt;1,"Player is listed twice",IF(NOT(ISNUMBER($B46)),"Enter a score",IF(COUNTIFS($D$7:$D$156,$D46,$C$7:$C$156,"Winner")&gt;1,"More than one "&amp;$D46&amp;" winner picked",IF(AND($C46="Winner",COUNTIFS($D$7:$D$156,$D46,$B$7:$B$156,"&lt;"&amp;$B46)&gt;0),"The winner doesn't have the best "&amp;$D46&amp;" score",IF(AND($B$2="Final",COUNTIFS($D$7:$D$156,$D46,$C$7:$C$156,"Winner")=0),"Final: pick the "&amp;$D46&amp;" winner",IF($B$2="Not started","Set Status to In progress to count points","OK"))))))))</f>
        <v/>
      </c>
      <c r="J46" s="11">
        <f>IF(OR($A46="",NOT(ISNUMBER($B46))),"",IF($C46="Winner",1,COUNTIFS($D$7:$D$156,$D46,$B$7:$B$156,$B46)-IF(AND(NOT($C46="Winner"),COUNTIFS($D$7:$D$156,$D46,$C$7:$C$156,"Winner",$B$7:$B$156,$B46)&gt;0),1,0)))</f>
        <v/>
      </c>
    </row>
    <row r="47">
      <c r="D47" s="11">
        <f>IF($A47="","",IFERROR(IF(VLOOKUP($A47,Players!$A$2:$B$500,2,FALSE)="","Open",VLOOKUP($A47,Players!$A$2:$B$500,2,FALSE)),"Open"))</f>
        <v/>
      </c>
      <c r="E47" s="11">
        <f>IF(OR($A47="",NOT(ISNUMBER($B47))),"",IF($C47="Winner",1,COUNTIFS($D$7:$D$156,$D47,$B$7:$B$156,"&lt;"&amp;$B47)+1+IF(AND(NOT($C47="Winner"),COUNTIFS($D$7:$D$156,$D47,$C$7:$C$156,"Winner",$B$7:$B$156,$B47)&gt;0),1,0)))</f>
        <v/>
      </c>
      <c r="F47" s="11">
        <f>IF(OR($A47="",NOT(ISNUMBER($B47))),"",COUNTIFS($D$7:$D$156,$D47,$B$7:$B$156,"&gt;0"))</f>
        <v/>
      </c>
      <c r="G47" s="11">
        <f>IF(OR(OR($A47="",NOT(ISNUMBER($B47))),$B$2="Not started"),"",IF($C47="Winner",Points!$B$3,ROUND(Points!$B$3*IF($F47&lt;=1,1,Points!$H$7+(1-Points!$H$7)*((($F47-$E47)*(($F47-$E47)+1)/2)^2-((($F47-$E47-$J47+1)-1)*($F47-$E47-$J47+1)/2)^2)/($J47*($F47-1)^3)),0)))</f>
        <v/>
      </c>
      <c r="H47" s="11">
        <f>IF($A47="","",IF($B$2="Final","Final",IF($B$2="In progress","Projected","Not started")))</f>
        <v/>
      </c>
      <c r="I47" s="11">
        <f>IF($A47="","",IF(COUNTIF(Players!$A$2:$A$500,$A47)=0,"Player is not on the Players tab",IF(COUNTIF($A$7:$A$156,$A47)&gt;1,"Player is listed twice",IF(NOT(ISNUMBER($B47)),"Enter a score",IF(COUNTIFS($D$7:$D$156,$D47,$C$7:$C$156,"Winner")&gt;1,"More than one "&amp;$D47&amp;" winner picked",IF(AND($C47="Winner",COUNTIFS($D$7:$D$156,$D47,$B$7:$B$156,"&lt;"&amp;$B47)&gt;0),"The winner doesn't have the best "&amp;$D47&amp;" score",IF(AND($B$2="Final",COUNTIFS($D$7:$D$156,$D47,$C$7:$C$156,"Winner")=0),"Final: pick the "&amp;$D47&amp;" winner",IF($B$2="Not started","Set Status to In progress to count points","OK"))))))))</f>
        <v/>
      </c>
      <c r="J47" s="11">
        <f>IF(OR($A47="",NOT(ISNUMBER($B47))),"",IF($C47="Winner",1,COUNTIFS($D$7:$D$156,$D47,$B$7:$B$156,$B47)-IF(AND(NOT($C47="Winner"),COUNTIFS($D$7:$D$156,$D47,$C$7:$C$156,"Winner",$B$7:$B$156,$B47)&gt;0),1,0)))</f>
        <v/>
      </c>
    </row>
    <row r="48">
      <c r="D48" s="11">
        <f>IF($A48="","",IFERROR(IF(VLOOKUP($A48,Players!$A$2:$B$500,2,FALSE)="","Open",VLOOKUP($A48,Players!$A$2:$B$500,2,FALSE)),"Open"))</f>
        <v/>
      </c>
      <c r="E48" s="11">
        <f>IF(OR($A48="",NOT(ISNUMBER($B48))),"",IF($C48="Winner",1,COUNTIFS($D$7:$D$156,$D48,$B$7:$B$156,"&lt;"&amp;$B48)+1+IF(AND(NOT($C48="Winner"),COUNTIFS($D$7:$D$156,$D48,$C$7:$C$156,"Winner",$B$7:$B$156,$B48)&gt;0),1,0)))</f>
        <v/>
      </c>
      <c r="F48" s="11">
        <f>IF(OR($A48="",NOT(ISNUMBER($B48))),"",COUNTIFS($D$7:$D$156,$D48,$B$7:$B$156,"&gt;0"))</f>
        <v/>
      </c>
      <c r="G48" s="11">
        <f>IF(OR(OR($A48="",NOT(ISNUMBER($B48))),$B$2="Not started"),"",IF($C48="Winner",Points!$B$3,ROUND(Points!$B$3*IF($F48&lt;=1,1,Points!$H$7+(1-Points!$H$7)*((($F48-$E48)*(($F48-$E48)+1)/2)^2-((($F48-$E48-$J48+1)-1)*($F48-$E48-$J48+1)/2)^2)/($J48*($F48-1)^3)),0)))</f>
        <v/>
      </c>
      <c r="H48" s="11">
        <f>IF($A48="","",IF($B$2="Final","Final",IF($B$2="In progress","Projected","Not started")))</f>
        <v/>
      </c>
      <c r="I48" s="11">
        <f>IF($A48="","",IF(COUNTIF(Players!$A$2:$A$500,$A48)=0,"Player is not on the Players tab",IF(COUNTIF($A$7:$A$156,$A48)&gt;1,"Player is listed twice",IF(NOT(ISNUMBER($B48)),"Enter a score",IF(COUNTIFS($D$7:$D$156,$D48,$C$7:$C$156,"Winner")&gt;1,"More than one "&amp;$D48&amp;" winner picked",IF(AND($C48="Winner",COUNTIFS($D$7:$D$156,$D48,$B$7:$B$156,"&lt;"&amp;$B48)&gt;0),"The winner doesn't have the best "&amp;$D48&amp;" score",IF(AND($B$2="Final",COUNTIFS($D$7:$D$156,$D48,$C$7:$C$156,"Winner")=0),"Final: pick the "&amp;$D48&amp;" winner",IF($B$2="Not started","Set Status to In progress to count points","OK"))))))))</f>
        <v/>
      </c>
      <c r="J48" s="11">
        <f>IF(OR($A48="",NOT(ISNUMBER($B48))),"",IF($C48="Winner",1,COUNTIFS($D$7:$D$156,$D48,$B$7:$B$156,$B48)-IF(AND(NOT($C48="Winner"),COUNTIFS($D$7:$D$156,$D48,$C$7:$C$156,"Winner",$B$7:$B$156,$B48)&gt;0),1,0)))</f>
        <v/>
      </c>
    </row>
    <row r="49">
      <c r="D49" s="11">
        <f>IF($A49="","",IFERROR(IF(VLOOKUP($A49,Players!$A$2:$B$500,2,FALSE)="","Open",VLOOKUP($A49,Players!$A$2:$B$500,2,FALSE)),"Open"))</f>
        <v/>
      </c>
      <c r="E49" s="11">
        <f>IF(OR($A49="",NOT(ISNUMBER($B49))),"",IF($C49="Winner",1,COUNTIFS($D$7:$D$156,$D49,$B$7:$B$156,"&lt;"&amp;$B49)+1+IF(AND(NOT($C49="Winner"),COUNTIFS($D$7:$D$156,$D49,$C$7:$C$156,"Winner",$B$7:$B$156,$B49)&gt;0),1,0)))</f>
        <v/>
      </c>
      <c r="F49" s="11">
        <f>IF(OR($A49="",NOT(ISNUMBER($B49))),"",COUNTIFS($D$7:$D$156,$D49,$B$7:$B$156,"&gt;0"))</f>
        <v/>
      </c>
      <c r="G49" s="11">
        <f>IF(OR(OR($A49="",NOT(ISNUMBER($B49))),$B$2="Not started"),"",IF($C49="Winner",Points!$B$3,ROUND(Points!$B$3*IF($F49&lt;=1,1,Points!$H$7+(1-Points!$H$7)*((($F49-$E49)*(($F49-$E49)+1)/2)^2-((($F49-$E49-$J49+1)-1)*($F49-$E49-$J49+1)/2)^2)/($J49*($F49-1)^3)),0)))</f>
        <v/>
      </c>
      <c r="H49" s="11">
        <f>IF($A49="","",IF($B$2="Final","Final",IF($B$2="In progress","Projected","Not started")))</f>
        <v/>
      </c>
      <c r="I49" s="11">
        <f>IF($A49="","",IF(COUNTIF(Players!$A$2:$A$500,$A49)=0,"Player is not on the Players tab",IF(COUNTIF($A$7:$A$156,$A49)&gt;1,"Player is listed twice",IF(NOT(ISNUMBER($B49)),"Enter a score",IF(COUNTIFS($D$7:$D$156,$D49,$C$7:$C$156,"Winner")&gt;1,"More than one "&amp;$D49&amp;" winner picked",IF(AND($C49="Winner",COUNTIFS($D$7:$D$156,$D49,$B$7:$B$156,"&lt;"&amp;$B49)&gt;0),"The winner doesn't have the best "&amp;$D49&amp;" score",IF(AND($B$2="Final",COUNTIFS($D$7:$D$156,$D49,$C$7:$C$156,"Winner")=0),"Final: pick the "&amp;$D49&amp;" winner",IF($B$2="Not started","Set Status to In progress to count points","OK"))))))))</f>
        <v/>
      </c>
      <c r="J49" s="11">
        <f>IF(OR($A49="",NOT(ISNUMBER($B49))),"",IF($C49="Winner",1,COUNTIFS($D$7:$D$156,$D49,$B$7:$B$156,$B49)-IF(AND(NOT($C49="Winner"),COUNTIFS($D$7:$D$156,$D49,$C$7:$C$156,"Winner",$B$7:$B$156,$B49)&gt;0),1,0)))</f>
        <v/>
      </c>
    </row>
    <row r="50">
      <c r="D50" s="11">
        <f>IF($A50="","",IFERROR(IF(VLOOKUP($A50,Players!$A$2:$B$500,2,FALSE)="","Open",VLOOKUP($A50,Players!$A$2:$B$500,2,FALSE)),"Open"))</f>
        <v/>
      </c>
      <c r="E50" s="11">
        <f>IF(OR($A50="",NOT(ISNUMBER($B50))),"",IF($C50="Winner",1,COUNTIFS($D$7:$D$156,$D50,$B$7:$B$156,"&lt;"&amp;$B50)+1+IF(AND(NOT($C50="Winner"),COUNTIFS($D$7:$D$156,$D50,$C$7:$C$156,"Winner",$B$7:$B$156,$B50)&gt;0),1,0)))</f>
        <v/>
      </c>
      <c r="F50" s="11">
        <f>IF(OR($A50="",NOT(ISNUMBER($B50))),"",COUNTIFS($D$7:$D$156,$D50,$B$7:$B$156,"&gt;0"))</f>
        <v/>
      </c>
      <c r="G50" s="11">
        <f>IF(OR(OR($A50="",NOT(ISNUMBER($B50))),$B$2="Not started"),"",IF($C50="Winner",Points!$B$3,ROUND(Points!$B$3*IF($F50&lt;=1,1,Points!$H$7+(1-Points!$H$7)*((($F50-$E50)*(($F50-$E50)+1)/2)^2-((($F50-$E50-$J50+1)-1)*($F50-$E50-$J50+1)/2)^2)/($J50*($F50-1)^3)),0)))</f>
        <v/>
      </c>
      <c r="H50" s="11">
        <f>IF($A50="","",IF($B$2="Final","Final",IF($B$2="In progress","Projected","Not started")))</f>
        <v/>
      </c>
      <c r="I50" s="11">
        <f>IF($A50="","",IF(COUNTIF(Players!$A$2:$A$500,$A50)=0,"Player is not on the Players tab",IF(COUNTIF($A$7:$A$156,$A50)&gt;1,"Player is listed twice",IF(NOT(ISNUMBER($B50)),"Enter a score",IF(COUNTIFS($D$7:$D$156,$D50,$C$7:$C$156,"Winner")&gt;1,"More than one "&amp;$D50&amp;" winner picked",IF(AND($C50="Winner",COUNTIFS($D$7:$D$156,$D50,$B$7:$B$156,"&lt;"&amp;$B50)&gt;0),"The winner doesn't have the best "&amp;$D50&amp;" score",IF(AND($B$2="Final",COUNTIFS($D$7:$D$156,$D50,$C$7:$C$156,"Winner")=0),"Final: pick the "&amp;$D50&amp;" winner",IF($B$2="Not started","Set Status to In progress to count points","OK"))))))))</f>
        <v/>
      </c>
      <c r="J50" s="11">
        <f>IF(OR($A50="",NOT(ISNUMBER($B50))),"",IF($C50="Winner",1,COUNTIFS($D$7:$D$156,$D50,$B$7:$B$156,$B50)-IF(AND(NOT($C50="Winner"),COUNTIFS($D$7:$D$156,$D50,$C$7:$C$156,"Winner",$B$7:$B$156,$B50)&gt;0),1,0)))</f>
        <v/>
      </c>
    </row>
    <row r="51">
      <c r="D51" s="11">
        <f>IF($A51="","",IFERROR(IF(VLOOKUP($A51,Players!$A$2:$B$500,2,FALSE)="","Open",VLOOKUP($A51,Players!$A$2:$B$500,2,FALSE)),"Open"))</f>
        <v/>
      </c>
      <c r="E51" s="11">
        <f>IF(OR($A51="",NOT(ISNUMBER($B51))),"",IF($C51="Winner",1,COUNTIFS($D$7:$D$156,$D51,$B$7:$B$156,"&lt;"&amp;$B51)+1+IF(AND(NOT($C51="Winner"),COUNTIFS($D$7:$D$156,$D51,$C$7:$C$156,"Winner",$B$7:$B$156,$B51)&gt;0),1,0)))</f>
        <v/>
      </c>
      <c r="F51" s="11">
        <f>IF(OR($A51="",NOT(ISNUMBER($B51))),"",COUNTIFS($D$7:$D$156,$D51,$B$7:$B$156,"&gt;0"))</f>
        <v/>
      </c>
      <c r="G51" s="11">
        <f>IF(OR(OR($A51="",NOT(ISNUMBER($B51))),$B$2="Not started"),"",IF($C51="Winner",Points!$B$3,ROUND(Points!$B$3*IF($F51&lt;=1,1,Points!$H$7+(1-Points!$H$7)*((($F51-$E51)*(($F51-$E51)+1)/2)^2-((($F51-$E51-$J51+1)-1)*($F51-$E51-$J51+1)/2)^2)/($J51*($F51-1)^3)),0)))</f>
        <v/>
      </c>
      <c r="H51" s="11">
        <f>IF($A51="","",IF($B$2="Final","Final",IF($B$2="In progress","Projected","Not started")))</f>
        <v/>
      </c>
      <c r="I51" s="11">
        <f>IF($A51="","",IF(COUNTIF(Players!$A$2:$A$500,$A51)=0,"Player is not on the Players tab",IF(COUNTIF($A$7:$A$156,$A51)&gt;1,"Player is listed twice",IF(NOT(ISNUMBER($B51)),"Enter a score",IF(COUNTIFS($D$7:$D$156,$D51,$C$7:$C$156,"Winner")&gt;1,"More than one "&amp;$D51&amp;" winner picked",IF(AND($C51="Winner",COUNTIFS($D$7:$D$156,$D51,$B$7:$B$156,"&lt;"&amp;$B51)&gt;0),"The winner doesn't have the best "&amp;$D51&amp;" score",IF(AND($B$2="Final",COUNTIFS($D$7:$D$156,$D51,$C$7:$C$156,"Winner")=0),"Final: pick the "&amp;$D51&amp;" winner",IF($B$2="Not started","Set Status to In progress to count points","OK"))))))))</f>
        <v/>
      </c>
      <c r="J51" s="11">
        <f>IF(OR($A51="",NOT(ISNUMBER($B51))),"",IF($C51="Winner",1,COUNTIFS($D$7:$D$156,$D51,$B$7:$B$156,$B51)-IF(AND(NOT($C51="Winner"),COUNTIFS($D$7:$D$156,$D51,$C$7:$C$156,"Winner",$B$7:$B$156,$B51)&gt;0),1,0)))</f>
        <v/>
      </c>
    </row>
    <row r="52">
      <c r="D52" s="11">
        <f>IF($A52="","",IFERROR(IF(VLOOKUP($A52,Players!$A$2:$B$500,2,FALSE)="","Open",VLOOKUP($A52,Players!$A$2:$B$500,2,FALSE)),"Open"))</f>
        <v/>
      </c>
      <c r="E52" s="11">
        <f>IF(OR($A52="",NOT(ISNUMBER($B52))),"",IF($C52="Winner",1,COUNTIFS($D$7:$D$156,$D52,$B$7:$B$156,"&lt;"&amp;$B52)+1+IF(AND(NOT($C52="Winner"),COUNTIFS($D$7:$D$156,$D52,$C$7:$C$156,"Winner",$B$7:$B$156,$B52)&gt;0),1,0)))</f>
        <v/>
      </c>
      <c r="F52" s="11">
        <f>IF(OR($A52="",NOT(ISNUMBER($B52))),"",COUNTIFS($D$7:$D$156,$D52,$B$7:$B$156,"&gt;0"))</f>
        <v/>
      </c>
      <c r="G52" s="11">
        <f>IF(OR(OR($A52="",NOT(ISNUMBER($B52))),$B$2="Not started"),"",IF($C52="Winner",Points!$B$3,ROUND(Points!$B$3*IF($F52&lt;=1,1,Points!$H$7+(1-Points!$H$7)*((($F52-$E52)*(($F52-$E52)+1)/2)^2-((($F52-$E52-$J52+1)-1)*($F52-$E52-$J52+1)/2)^2)/($J52*($F52-1)^3)),0)))</f>
        <v/>
      </c>
      <c r="H52" s="11">
        <f>IF($A52="","",IF($B$2="Final","Final",IF($B$2="In progress","Projected","Not started")))</f>
        <v/>
      </c>
      <c r="I52" s="11">
        <f>IF($A52="","",IF(COUNTIF(Players!$A$2:$A$500,$A52)=0,"Player is not on the Players tab",IF(COUNTIF($A$7:$A$156,$A52)&gt;1,"Player is listed twice",IF(NOT(ISNUMBER($B52)),"Enter a score",IF(COUNTIFS($D$7:$D$156,$D52,$C$7:$C$156,"Winner")&gt;1,"More than one "&amp;$D52&amp;" winner picked",IF(AND($C52="Winner",COUNTIFS($D$7:$D$156,$D52,$B$7:$B$156,"&lt;"&amp;$B52)&gt;0),"The winner doesn't have the best "&amp;$D52&amp;" score",IF(AND($B$2="Final",COUNTIFS($D$7:$D$156,$D52,$C$7:$C$156,"Winner")=0),"Final: pick the "&amp;$D52&amp;" winner",IF($B$2="Not started","Set Status to In progress to count points","OK"))))))))</f>
        <v/>
      </c>
      <c r="J52" s="11">
        <f>IF(OR($A52="",NOT(ISNUMBER($B52))),"",IF($C52="Winner",1,COUNTIFS($D$7:$D$156,$D52,$B$7:$B$156,$B52)-IF(AND(NOT($C52="Winner"),COUNTIFS($D$7:$D$156,$D52,$C$7:$C$156,"Winner",$B$7:$B$156,$B52)&gt;0),1,0)))</f>
        <v/>
      </c>
    </row>
    <row r="53">
      <c r="D53" s="11">
        <f>IF($A53="","",IFERROR(IF(VLOOKUP($A53,Players!$A$2:$B$500,2,FALSE)="","Open",VLOOKUP($A53,Players!$A$2:$B$500,2,FALSE)),"Open"))</f>
        <v/>
      </c>
      <c r="E53" s="11">
        <f>IF(OR($A53="",NOT(ISNUMBER($B53))),"",IF($C53="Winner",1,COUNTIFS($D$7:$D$156,$D53,$B$7:$B$156,"&lt;"&amp;$B53)+1+IF(AND(NOT($C53="Winner"),COUNTIFS($D$7:$D$156,$D53,$C$7:$C$156,"Winner",$B$7:$B$156,$B53)&gt;0),1,0)))</f>
        <v/>
      </c>
      <c r="F53" s="11">
        <f>IF(OR($A53="",NOT(ISNUMBER($B53))),"",COUNTIFS($D$7:$D$156,$D53,$B$7:$B$156,"&gt;0"))</f>
        <v/>
      </c>
      <c r="G53" s="11">
        <f>IF(OR(OR($A53="",NOT(ISNUMBER($B53))),$B$2="Not started"),"",IF($C53="Winner",Points!$B$3,ROUND(Points!$B$3*IF($F53&lt;=1,1,Points!$H$7+(1-Points!$H$7)*((($F53-$E53)*(($F53-$E53)+1)/2)^2-((($F53-$E53-$J53+1)-1)*($F53-$E53-$J53+1)/2)^2)/($J53*($F53-1)^3)),0)))</f>
        <v/>
      </c>
      <c r="H53" s="11">
        <f>IF($A53="","",IF($B$2="Final","Final",IF($B$2="In progress","Projected","Not started")))</f>
        <v/>
      </c>
      <c r="I53" s="11">
        <f>IF($A53="","",IF(COUNTIF(Players!$A$2:$A$500,$A53)=0,"Player is not on the Players tab",IF(COUNTIF($A$7:$A$156,$A53)&gt;1,"Player is listed twice",IF(NOT(ISNUMBER($B53)),"Enter a score",IF(COUNTIFS($D$7:$D$156,$D53,$C$7:$C$156,"Winner")&gt;1,"More than one "&amp;$D53&amp;" winner picked",IF(AND($C53="Winner",COUNTIFS($D$7:$D$156,$D53,$B$7:$B$156,"&lt;"&amp;$B53)&gt;0),"The winner doesn't have the best "&amp;$D53&amp;" score",IF(AND($B$2="Final",COUNTIFS($D$7:$D$156,$D53,$C$7:$C$156,"Winner")=0),"Final: pick the "&amp;$D53&amp;" winner",IF($B$2="Not started","Set Status to In progress to count points","OK"))))))))</f>
        <v/>
      </c>
      <c r="J53" s="11">
        <f>IF(OR($A53="",NOT(ISNUMBER($B53))),"",IF($C53="Winner",1,COUNTIFS($D$7:$D$156,$D53,$B$7:$B$156,$B53)-IF(AND(NOT($C53="Winner"),COUNTIFS($D$7:$D$156,$D53,$C$7:$C$156,"Winner",$B$7:$B$156,$B53)&gt;0),1,0)))</f>
        <v/>
      </c>
    </row>
    <row r="54">
      <c r="D54" s="11">
        <f>IF($A54="","",IFERROR(IF(VLOOKUP($A54,Players!$A$2:$B$500,2,FALSE)="","Open",VLOOKUP($A54,Players!$A$2:$B$500,2,FALSE)),"Open"))</f>
        <v/>
      </c>
      <c r="E54" s="11">
        <f>IF(OR($A54="",NOT(ISNUMBER($B54))),"",IF($C54="Winner",1,COUNTIFS($D$7:$D$156,$D54,$B$7:$B$156,"&lt;"&amp;$B54)+1+IF(AND(NOT($C54="Winner"),COUNTIFS($D$7:$D$156,$D54,$C$7:$C$156,"Winner",$B$7:$B$156,$B54)&gt;0),1,0)))</f>
        <v/>
      </c>
      <c r="F54" s="11">
        <f>IF(OR($A54="",NOT(ISNUMBER($B54))),"",COUNTIFS($D$7:$D$156,$D54,$B$7:$B$156,"&gt;0"))</f>
        <v/>
      </c>
      <c r="G54" s="11">
        <f>IF(OR(OR($A54="",NOT(ISNUMBER($B54))),$B$2="Not started"),"",IF($C54="Winner",Points!$B$3,ROUND(Points!$B$3*IF($F54&lt;=1,1,Points!$H$7+(1-Points!$H$7)*((($F54-$E54)*(($F54-$E54)+1)/2)^2-((($F54-$E54-$J54+1)-1)*($F54-$E54-$J54+1)/2)^2)/($J54*($F54-1)^3)),0)))</f>
        <v/>
      </c>
      <c r="H54" s="11">
        <f>IF($A54="","",IF($B$2="Final","Final",IF($B$2="In progress","Projected","Not started")))</f>
        <v/>
      </c>
      <c r="I54" s="11">
        <f>IF($A54="","",IF(COUNTIF(Players!$A$2:$A$500,$A54)=0,"Player is not on the Players tab",IF(COUNTIF($A$7:$A$156,$A54)&gt;1,"Player is listed twice",IF(NOT(ISNUMBER($B54)),"Enter a score",IF(COUNTIFS($D$7:$D$156,$D54,$C$7:$C$156,"Winner")&gt;1,"More than one "&amp;$D54&amp;" winner picked",IF(AND($C54="Winner",COUNTIFS($D$7:$D$156,$D54,$B$7:$B$156,"&lt;"&amp;$B54)&gt;0),"The winner doesn't have the best "&amp;$D54&amp;" score",IF(AND($B$2="Final",COUNTIFS($D$7:$D$156,$D54,$C$7:$C$156,"Winner")=0),"Final: pick the "&amp;$D54&amp;" winner",IF($B$2="Not started","Set Status to In progress to count points","OK"))))))))</f>
        <v/>
      </c>
      <c r="J54" s="11">
        <f>IF(OR($A54="",NOT(ISNUMBER($B54))),"",IF($C54="Winner",1,COUNTIFS($D$7:$D$156,$D54,$B$7:$B$156,$B54)-IF(AND(NOT($C54="Winner"),COUNTIFS($D$7:$D$156,$D54,$C$7:$C$156,"Winner",$B$7:$B$156,$B54)&gt;0),1,0)))</f>
        <v/>
      </c>
    </row>
    <row r="55">
      <c r="D55" s="11">
        <f>IF($A55="","",IFERROR(IF(VLOOKUP($A55,Players!$A$2:$B$500,2,FALSE)="","Open",VLOOKUP($A55,Players!$A$2:$B$500,2,FALSE)),"Open"))</f>
        <v/>
      </c>
      <c r="E55" s="11">
        <f>IF(OR($A55="",NOT(ISNUMBER($B55))),"",IF($C55="Winner",1,COUNTIFS($D$7:$D$156,$D55,$B$7:$B$156,"&lt;"&amp;$B55)+1+IF(AND(NOT($C55="Winner"),COUNTIFS($D$7:$D$156,$D55,$C$7:$C$156,"Winner",$B$7:$B$156,$B55)&gt;0),1,0)))</f>
        <v/>
      </c>
      <c r="F55" s="11">
        <f>IF(OR($A55="",NOT(ISNUMBER($B55))),"",COUNTIFS($D$7:$D$156,$D55,$B$7:$B$156,"&gt;0"))</f>
        <v/>
      </c>
      <c r="G55" s="11">
        <f>IF(OR(OR($A55="",NOT(ISNUMBER($B55))),$B$2="Not started"),"",IF($C55="Winner",Points!$B$3,ROUND(Points!$B$3*IF($F55&lt;=1,1,Points!$H$7+(1-Points!$H$7)*((($F55-$E55)*(($F55-$E55)+1)/2)^2-((($F55-$E55-$J55+1)-1)*($F55-$E55-$J55+1)/2)^2)/($J55*($F55-1)^3)),0)))</f>
        <v/>
      </c>
      <c r="H55" s="11">
        <f>IF($A55="","",IF($B$2="Final","Final",IF($B$2="In progress","Projected","Not started")))</f>
        <v/>
      </c>
      <c r="I55" s="11">
        <f>IF($A55="","",IF(COUNTIF(Players!$A$2:$A$500,$A55)=0,"Player is not on the Players tab",IF(COUNTIF($A$7:$A$156,$A55)&gt;1,"Player is listed twice",IF(NOT(ISNUMBER($B55)),"Enter a score",IF(COUNTIFS($D$7:$D$156,$D55,$C$7:$C$156,"Winner")&gt;1,"More than one "&amp;$D55&amp;" winner picked",IF(AND($C55="Winner",COUNTIFS($D$7:$D$156,$D55,$B$7:$B$156,"&lt;"&amp;$B55)&gt;0),"The winner doesn't have the best "&amp;$D55&amp;" score",IF(AND($B$2="Final",COUNTIFS($D$7:$D$156,$D55,$C$7:$C$156,"Winner")=0),"Final: pick the "&amp;$D55&amp;" winner",IF($B$2="Not started","Set Status to In progress to count points","OK"))))))))</f>
        <v/>
      </c>
      <c r="J55" s="11">
        <f>IF(OR($A55="",NOT(ISNUMBER($B55))),"",IF($C55="Winner",1,COUNTIFS($D$7:$D$156,$D55,$B$7:$B$156,$B55)-IF(AND(NOT($C55="Winner"),COUNTIFS($D$7:$D$156,$D55,$C$7:$C$156,"Winner",$B$7:$B$156,$B55)&gt;0),1,0)))</f>
        <v/>
      </c>
    </row>
    <row r="56">
      <c r="D56" s="11">
        <f>IF($A56="","",IFERROR(IF(VLOOKUP($A56,Players!$A$2:$B$500,2,FALSE)="","Open",VLOOKUP($A56,Players!$A$2:$B$500,2,FALSE)),"Open"))</f>
        <v/>
      </c>
      <c r="E56" s="11">
        <f>IF(OR($A56="",NOT(ISNUMBER($B56))),"",IF($C56="Winner",1,COUNTIFS($D$7:$D$156,$D56,$B$7:$B$156,"&lt;"&amp;$B56)+1+IF(AND(NOT($C56="Winner"),COUNTIFS($D$7:$D$156,$D56,$C$7:$C$156,"Winner",$B$7:$B$156,$B56)&gt;0),1,0)))</f>
        <v/>
      </c>
      <c r="F56" s="11">
        <f>IF(OR($A56="",NOT(ISNUMBER($B56))),"",COUNTIFS($D$7:$D$156,$D56,$B$7:$B$156,"&gt;0"))</f>
        <v/>
      </c>
      <c r="G56" s="11">
        <f>IF(OR(OR($A56="",NOT(ISNUMBER($B56))),$B$2="Not started"),"",IF($C56="Winner",Points!$B$3,ROUND(Points!$B$3*IF($F56&lt;=1,1,Points!$H$7+(1-Points!$H$7)*((($F56-$E56)*(($F56-$E56)+1)/2)^2-((($F56-$E56-$J56+1)-1)*($F56-$E56-$J56+1)/2)^2)/($J56*($F56-1)^3)),0)))</f>
        <v/>
      </c>
      <c r="H56" s="11">
        <f>IF($A56="","",IF($B$2="Final","Final",IF($B$2="In progress","Projected","Not started")))</f>
        <v/>
      </c>
      <c r="I56" s="11">
        <f>IF($A56="","",IF(COUNTIF(Players!$A$2:$A$500,$A56)=0,"Player is not on the Players tab",IF(COUNTIF($A$7:$A$156,$A56)&gt;1,"Player is listed twice",IF(NOT(ISNUMBER($B56)),"Enter a score",IF(COUNTIFS($D$7:$D$156,$D56,$C$7:$C$156,"Winner")&gt;1,"More than one "&amp;$D56&amp;" winner picked",IF(AND($C56="Winner",COUNTIFS($D$7:$D$156,$D56,$B$7:$B$156,"&lt;"&amp;$B56)&gt;0),"The winner doesn't have the best "&amp;$D56&amp;" score",IF(AND($B$2="Final",COUNTIFS($D$7:$D$156,$D56,$C$7:$C$156,"Winner")=0),"Final: pick the "&amp;$D56&amp;" winner",IF($B$2="Not started","Set Status to In progress to count points","OK"))))))))</f>
        <v/>
      </c>
      <c r="J56" s="11">
        <f>IF(OR($A56="",NOT(ISNUMBER($B56))),"",IF($C56="Winner",1,COUNTIFS($D$7:$D$156,$D56,$B$7:$B$156,$B56)-IF(AND(NOT($C56="Winner"),COUNTIFS($D$7:$D$156,$D56,$C$7:$C$156,"Winner",$B$7:$B$156,$B56)&gt;0),1,0)))</f>
        <v/>
      </c>
    </row>
    <row r="57">
      <c r="D57" s="11">
        <f>IF($A57="","",IFERROR(IF(VLOOKUP($A57,Players!$A$2:$B$500,2,FALSE)="","Open",VLOOKUP($A57,Players!$A$2:$B$500,2,FALSE)),"Open"))</f>
        <v/>
      </c>
      <c r="E57" s="11">
        <f>IF(OR($A57="",NOT(ISNUMBER($B57))),"",IF($C57="Winner",1,COUNTIFS($D$7:$D$156,$D57,$B$7:$B$156,"&lt;"&amp;$B57)+1+IF(AND(NOT($C57="Winner"),COUNTIFS($D$7:$D$156,$D57,$C$7:$C$156,"Winner",$B$7:$B$156,$B57)&gt;0),1,0)))</f>
        <v/>
      </c>
      <c r="F57" s="11">
        <f>IF(OR($A57="",NOT(ISNUMBER($B57))),"",COUNTIFS($D$7:$D$156,$D57,$B$7:$B$156,"&gt;0"))</f>
        <v/>
      </c>
      <c r="G57" s="11">
        <f>IF(OR(OR($A57="",NOT(ISNUMBER($B57))),$B$2="Not started"),"",IF($C57="Winner",Points!$B$3,ROUND(Points!$B$3*IF($F57&lt;=1,1,Points!$H$7+(1-Points!$H$7)*((($F57-$E57)*(($F57-$E57)+1)/2)^2-((($F57-$E57-$J57+1)-1)*($F57-$E57-$J57+1)/2)^2)/($J57*($F57-1)^3)),0)))</f>
        <v/>
      </c>
      <c r="H57" s="11">
        <f>IF($A57="","",IF($B$2="Final","Final",IF($B$2="In progress","Projected","Not started")))</f>
        <v/>
      </c>
      <c r="I57" s="11">
        <f>IF($A57="","",IF(COUNTIF(Players!$A$2:$A$500,$A57)=0,"Player is not on the Players tab",IF(COUNTIF($A$7:$A$156,$A57)&gt;1,"Player is listed twice",IF(NOT(ISNUMBER($B57)),"Enter a score",IF(COUNTIFS($D$7:$D$156,$D57,$C$7:$C$156,"Winner")&gt;1,"More than one "&amp;$D57&amp;" winner picked",IF(AND($C57="Winner",COUNTIFS($D$7:$D$156,$D57,$B$7:$B$156,"&lt;"&amp;$B57)&gt;0),"The winner doesn't have the best "&amp;$D57&amp;" score",IF(AND($B$2="Final",COUNTIFS($D$7:$D$156,$D57,$C$7:$C$156,"Winner")=0),"Final: pick the "&amp;$D57&amp;" winner",IF($B$2="Not started","Set Status to In progress to count points","OK"))))))))</f>
        <v/>
      </c>
      <c r="J57" s="11">
        <f>IF(OR($A57="",NOT(ISNUMBER($B57))),"",IF($C57="Winner",1,COUNTIFS($D$7:$D$156,$D57,$B$7:$B$156,$B57)-IF(AND(NOT($C57="Winner"),COUNTIFS($D$7:$D$156,$D57,$C$7:$C$156,"Winner",$B$7:$B$156,$B57)&gt;0),1,0)))</f>
        <v/>
      </c>
    </row>
    <row r="58">
      <c r="D58" s="11">
        <f>IF($A58="","",IFERROR(IF(VLOOKUP($A58,Players!$A$2:$B$500,2,FALSE)="","Open",VLOOKUP($A58,Players!$A$2:$B$500,2,FALSE)),"Open"))</f>
        <v/>
      </c>
      <c r="E58" s="11">
        <f>IF(OR($A58="",NOT(ISNUMBER($B58))),"",IF($C58="Winner",1,COUNTIFS($D$7:$D$156,$D58,$B$7:$B$156,"&lt;"&amp;$B58)+1+IF(AND(NOT($C58="Winner"),COUNTIFS($D$7:$D$156,$D58,$C$7:$C$156,"Winner",$B$7:$B$156,$B58)&gt;0),1,0)))</f>
        <v/>
      </c>
      <c r="F58" s="11">
        <f>IF(OR($A58="",NOT(ISNUMBER($B58))),"",COUNTIFS($D$7:$D$156,$D58,$B$7:$B$156,"&gt;0"))</f>
        <v/>
      </c>
      <c r="G58" s="11">
        <f>IF(OR(OR($A58="",NOT(ISNUMBER($B58))),$B$2="Not started"),"",IF($C58="Winner",Points!$B$3,ROUND(Points!$B$3*IF($F58&lt;=1,1,Points!$H$7+(1-Points!$H$7)*((($F58-$E58)*(($F58-$E58)+1)/2)^2-((($F58-$E58-$J58+1)-1)*($F58-$E58-$J58+1)/2)^2)/($J58*($F58-1)^3)),0)))</f>
        <v/>
      </c>
      <c r="H58" s="11">
        <f>IF($A58="","",IF($B$2="Final","Final",IF($B$2="In progress","Projected","Not started")))</f>
        <v/>
      </c>
      <c r="I58" s="11">
        <f>IF($A58="","",IF(COUNTIF(Players!$A$2:$A$500,$A58)=0,"Player is not on the Players tab",IF(COUNTIF($A$7:$A$156,$A58)&gt;1,"Player is listed twice",IF(NOT(ISNUMBER($B58)),"Enter a score",IF(COUNTIFS($D$7:$D$156,$D58,$C$7:$C$156,"Winner")&gt;1,"More than one "&amp;$D58&amp;" winner picked",IF(AND($C58="Winner",COUNTIFS($D$7:$D$156,$D58,$B$7:$B$156,"&lt;"&amp;$B58)&gt;0),"The winner doesn't have the best "&amp;$D58&amp;" score",IF(AND($B$2="Final",COUNTIFS($D$7:$D$156,$D58,$C$7:$C$156,"Winner")=0),"Final: pick the "&amp;$D58&amp;" winner",IF($B$2="Not started","Set Status to In progress to count points","OK"))))))))</f>
        <v/>
      </c>
      <c r="J58" s="11">
        <f>IF(OR($A58="",NOT(ISNUMBER($B58))),"",IF($C58="Winner",1,COUNTIFS($D$7:$D$156,$D58,$B$7:$B$156,$B58)-IF(AND(NOT($C58="Winner"),COUNTIFS($D$7:$D$156,$D58,$C$7:$C$156,"Winner",$B$7:$B$156,$B58)&gt;0),1,0)))</f>
        <v/>
      </c>
    </row>
    <row r="59">
      <c r="D59" s="11">
        <f>IF($A59="","",IFERROR(IF(VLOOKUP($A59,Players!$A$2:$B$500,2,FALSE)="","Open",VLOOKUP($A59,Players!$A$2:$B$500,2,FALSE)),"Open"))</f>
        <v/>
      </c>
      <c r="E59" s="11">
        <f>IF(OR($A59="",NOT(ISNUMBER($B59))),"",IF($C59="Winner",1,COUNTIFS($D$7:$D$156,$D59,$B$7:$B$156,"&lt;"&amp;$B59)+1+IF(AND(NOT($C59="Winner"),COUNTIFS($D$7:$D$156,$D59,$C$7:$C$156,"Winner",$B$7:$B$156,$B59)&gt;0),1,0)))</f>
        <v/>
      </c>
      <c r="F59" s="11">
        <f>IF(OR($A59="",NOT(ISNUMBER($B59))),"",COUNTIFS($D$7:$D$156,$D59,$B$7:$B$156,"&gt;0"))</f>
        <v/>
      </c>
      <c r="G59" s="11">
        <f>IF(OR(OR($A59="",NOT(ISNUMBER($B59))),$B$2="Not started"),"",IF($C59="Winner",Points!$B$3,ROUND(Points!$B$3*IF($F59&lt;=1,1,Points!$H$7+(1-Points!$H$7)*((($F59-$E59)*(($F59-$E59)+1)/2)^2-((($F59-$E59-$J59+1)-1)*($F59-$E59-$J59+1)/2)^2)/($J59*($F59-1)^3)),0)))</f>
        <v/>
      </c>
      <c r="H59" s="11">
        <f>IF($A59="","",IF($B$2="Final","Final",IF($B$2="In progress","Projected","Not started")))</f>
        <v/>
      </c>
      <c r="I59" s="11">
        <f>IF($A59="","",IF(COUNTIF(Players!$A$2:$A$500,$A59)=0,"Player is not on the Players tab",IF(COUNTIF($A$7:$A$156,$A59)&gt;1,"Player is listed twice",IF(NOT(ISNUMBER($B59)),"Enter a score",IF(COUNTIFS($D$7:$D$156,$D59,$C$7:$C$156,"Winner")&gt;1,"More than one "&amp;$D59&amp;" winner picked",IF(AND($C59="Winner",COUNTIFS($D$7:$D$156,$D59,$B$7:$B$156,"&lt;"&amp;$B59)&gt;0),"The winner doesn't have the best "&amp;$D59&amp;" score",IF(AND($B$2="Final",COUNTIFS($D$7:$D$156,$D59,$C$7:$C$156,"Winner")=0),"Final: pick the "&amp;$D59&amp;" winner",IF($B$2="Not started","Set Status to In progress to count points","OK"))))))))</f>
        <v/>
      </c>
      <c r="J59" s="11">
        <f>IF(OR($A59="",NOT(ISNUMBER($B59))),"",IF($C59="Winner",1,COUNTIFS($D$7:$D$156,$D59,$B$7:$B$156,$B59)-IF(AND(NOT($C59="Winner"),COUNTIFS($D$7:$D$156,$D59,$C$7:$C$156,"Winner",$B$7:$B$156,$B59)&gt;0),1,0)))</f>
        <v/>
      </c>
    </row>
    <row r="60">
      <c r="D60" s="11">
        <f>IF($A60="","",IFERROR(IF(VLOOKUP($A60,Players!$A$2:$B$500,2,FALSE)="","Open",VLOOKUP($A60,Players!$A$2:$B$500,2,FALSE)),"Open"))</f>
        <v/>
      </c>
      <c r="E60" s="11">
        <f>IF(OR($A60="",NOT(ISNUMBER($B60))),"",IF($C60="Winner",1,COUNTIFS($D$7:$D$156,$D60,$B$7:$B$156,"&lt;"&amp;$B60)+1+IF(AND(NOT($C60="Winner"),COUNTIFS($D$7:$D$156,$D60,$C$7:$C$156,"Winner",$B$7:$B$156,$B60)&gt;0),1,0)))</f>
        <v/>
      </c>
      <c r="F60" s="11">
        <f>IF(OR($A60="",NOT(ISNUMBER($B60))),"",COUNTIFS($D$7:$D$156,$D60,$B$7:$B$156,"&gt;0"))</f>
        <v/>
      </c>
      <c r="G60" s="11">
        <f>IF(OR(OR($A60="",NOT(ISNUMBER($B60))),$B$2="Not started"),"",IF($C60="Winner",Points!$B$3,ROUND(Points!$B$3*IF($F60&lt;=1,1,Points!$H$7+(1-Points!$H$7)*((($F60-$E60)*(($F60-$E60)+1)/2)^2-((($F60-$E60-$J60+1)-1)*($F60-$E60-$J60+1)/2)^2)/($J60*($F60-1)^3)),0)))</f>
        <v/>
      </c>
      <c r="H60" s="11">
        <f>IF($A60="","",IF($B$2="Final","Final",IF($B$2="In progress","Projected","Not started")))</f>
        <v/>
      </c>
      <c r="I60" s="11">
        <f>IF($A60="","",IF(COUNTIF(Players!$A$2:$A$500,$A60)=0,"Player is not on the Players tab",IF(COUNTIF($A$7:$A$156,$A60)&gt;1,"Player is listed twice",IF(NOT(ISNUMBER($B60)),"Enter a score",IF(COUNTIFS($D$7:$D$156,$D60,$C$7:$C$156,"Winner")&gt;1,"More than one "&amp;$D60&amp;" winner picked",IF(AND($C60="Winner",COUNTIFS($D$7:$D$156,$D60,$B$7:$B$156,"&lt;"&amp;$B60)&gt;0),"The winner doesn't have the best "&amp;$D60&amp;" score",IF(AND($B$2="Final",COUNTIFS($D$7:$D$156,$D60,$C$7:$C$156,"Winner")=0),"Final: pick the "&amp;$D60&amp;" winner",IF($B$2="Not started","Set Status to In progress to count points","OK"))))))))</f>
        <v/>
      </c>
      <c r="J60" s="11">
        <f>IF(OR($A60="",NOT(ISNUMBER($B60))),"",IF($C60="Winner",1,COUNTIFS($D$7:$D$156,$D60,$B$7:$B$156,$B60)-IF(AND(NOT($C60="Winner"),COUNTIFS($D$7:$D$156,$D60,$C$7:$C$156,"Winner",$B$7:$B$156,$B60)&gt;0),1,0)))</f>
        <v/>
      </c>
    </row>
    <row r="61">
      <c r="D61" s="11">
        <f>IF($A61="","",IFERROR(IF(VLOOKUP($A61,Players!$A$2:$B$500,2,FALSE)="","Open",VLOOKUP($A61,Players!$A$2:$B$500,2,FALSE)),"Open"))</f>
        <v/>
      </c>
      <c r="E61" s="11">
        <f>IF(OR($A61="",NOT(ISNUMBER($B61))),"",IF($C61="Winner",1,COUNTIFS($D$7:$D$156,$D61,$B$7:$B$156,"&lt;"&amp;$B61)+1+IF(AND(NOT($C61="Winner"),COUNTIFS($D$7:$D$156,$D61,$C$7:$C$156,"Winner",$B$7:$B$156,$B61)&gt;0),1,0)))</f>
        <v/>
      </c>
      <c r="F61" s="11">
        <f>IF(OR($A61="",NOT(ISNUMBER($B61))),"",COUNTIFS($D$7:$D$156,$D61,$B$7:$B$156,"&gt;0"))</f>
        <v/>
      </c>
      <c r="G61" s="11">
        <f>IF(OR(OR($A61="",NOT(ISNUMBER($B61))),$B$2="Not started"),"",IF($C61="Winner",Points!$B$3,ROUND(Points!$B$3*IF($F61&lt;=1,1,Points!$H$7+(1-Points!$H$7)*((($F61-$E61)*(($F61-$E61)+1)/2)^2-((($F61-$E61-$J61+1)-1)*($F61-$E61-$J61+1)/2)^2)/($J61*($F61-1)^3)),0)))</f>
        <v/>
      </c>
      <c r="H61" s="11">
        <f>IF($A61="","",IF($B$2="Final","Final",IF($B$2="In progress","Projected","Not started")))</f>
        <v/>
      </c>
      <c r="I61" s="11">
        <f>IF($A61="","",IF(COUNTIF(Players!$A$2:$A$500,$A61)=0,"Player is not on the Players tab",IF(COUNTIF($A$7:$A$156,$A61)&gt;1,"Player is listed twice",IF(NOT(ISNUMBER($B61)),"Enter a score",IF(COUNTIFS($D$7:$D$156,$D61,$C$7:$C$156,"Winner")&gt;1,"More than one "&amp;$D61&amp;" winner picked",IF(AND($C61="Winner",COUNTIFS($D$7:$D$156,$D61,$B$7:$B$156,"&lt;"&amp;$B61)&gt;0),"The winner doesn't have the best "&amp;$D61&amp;" score",IF(AND($B$2="Final",COUNTIFS($D$7:$D$156,$D61,$C$7:$C$156,"Winner")=0),"Final: pick the "&amp;$D61&amp;" winner",IF($B$2="Not started","Set Status to In progress to count points","OK"))))))))</f>
        <v/>
      </c>
      <c r="J61" s="11">
        <f>IF(OR($A61="",NOT(ISNUMBER($B61))),"",IF($C61="Winner",1,COUNTIFS($D$7:$D$156,$D61,$B$7:$B$156,$B61)-IF(AND(NOT($C61="Winner"),COUNTIFS($D$7:$D$156,$D61,$C$7:$C$156,"Winner",$B$7:$B$156,$B61)&gt;0),1,0)))</f>
        <v/>
      </c>
    </row>
    <row r="62">
      <c r="D62" s="11">
        <f>IF($A62="","",IFERROR(IF(VLOOKUP($A62,Players!$A$2:$B$500,2,FALSE)="","Open",VLOOKUP($A62,Players!$A$2:$B$500,2,FALSE)),"Open"))</f>
        <v/>
      </c>
      <c r="E62" s="11">
        <f>IF(OR($A62="",NOT(ISNUMBER($B62))),"",IF($C62="Winner",1,COUNTIFS($D$7:$D$156,$D62,$B$7:$B$156,"&lt;"&amp;$B62)+1+IF(AND(NOT($C62="Winner"),COUNTIFS($D$7:$D$156,$D62,$C$7:$C$156,"Winner",$B$7:$B$156,$B62)&gt;0),1,0)))</f>
        <v/>
      </c>
      <c r="F62" s="11">
        <f>IF(OR($A62="",NOT(ISNUMBER($B62))),"",COUNTIFS($D$7:$D$156,$D62,$B$7:$B$156,"&gt;0"))</f>
        <v/>
      </c>
      <c r="G62" s="11">
        <f>IF(OR(OR($A62="",NOT(ISNUMBER($B62))),$B$2="Not started"),"",IF($C62="Winner",Points!$B$3,ROUND(Points!$B$3*IF($F62&lt;=1,1,Points!$H$7+(1-Points!$H$7)*((($F62-$E62)*(($F62-$E62)+1)/2)^2-((($F62-$E62-$J62+1)-1)*($F62-$E62-$J62+1)/2)^2)/($J62*($F62-1)^3)),0)))</f>
        <v/>
      </c>
      <c r="H62" s="11">
        <f>IF($A62="","",IF($B$2="Final","Final",IF($B$2="In progress","Projected","Not started")))</f>
        <v/>
      </c>
      <c r="I62" s="11">
        <f>IF($A62="","",IF(COUNTIF(Players!$A$2:$A$500,$A62)=0,"Player is not on the Players tab",IF(COUNTIF($A$7:$A$156,$A62)&gt;1,"Player is listed twice",IF(NOT(ISNUMBER($B62)),"Enter a score",IF(COUNTIFS($D$7:$D$156,$D62,$C$7:$C$156,"Winner")&gt;1,"More than one "&amp;$D62&amp;" winner picked",IF(AND($C62="Winner",COUNTIFS($D$7:$D$156,$D62,$B$7:$B$156,"&lt;"&amp;$B62)&gt;0),"The winner doesn't have the best "&amp;$D62&amp;" score",IF(AND($B$2="Final",COUNTIFS($D$7:$D$156,$D62,$C$7:$C$156,"Winner")=0),"Final: pick the "&amp;$D62&amp;" winner",IF($B$2="Not started","Set Status to In progress to count points","OK"))))))))</f>
        <v/>
      </c>
      <c r="J62" s="11">
        <f>IF(OR($A62="",NOT(ISNUMBER($B62))),"",IF($C62="Winner",1,COUNTIFS($D$7:$D$156,$D62,$B$7:$B$156,$B62)-IF(AND(NOT($C62="Winner"),COUNTIFS($D$7:$D$156,$D62,$C$7:$C$156,"Winner",$B$7:$B$156,$B62)&gt;0),1,0)))</f>
        <v/>
      </c>
    </row>
    <row r="63">
      <c r="D63" s="11">
        <f>IF($A63="","",IFERROR(IF(VLOOKUP($A63,Players!$A$2:$B$500,2,FALSE)="","Open",VLOOKUP($A63,Players!$A$2:$B$500,2,FALSE)),"Open"))</f>
        <v/>
      </c>
      <c r="E63" s="11">
        <f>IF(OR($A63="",NOT(ISNUMBER($B63))),"",IF($C63="Winner",1,COUNTIFS($D$7:$D$156,$D63,$B$7:$B$156,"&lt;"&amp;$B63)+1+IF(AND(NOT($C63="Winner"),COUNTIFS($D$7:$D$156,$D63,$C$7:$C$156,"Winner",$B$7:$B$156,$B63)&gt;0),1,0)))</f>
        <v/>
      </c>
      <c r="F63" s="11">
        <f>IF(OR($A63="",NOT(ISNUMBER($B63))),"",COUNTIFS($D$7:$D$156,$D63,$B$7:$B$156,"&gt;0"))</f>
        <v/>
      </c>
      <c r="G63" s="11">
        <f>IF(OR(OR($A63="",NOT(ISNUMBER($B63))),$B$2="Not started"),"",IF($C63="Winner",Points!$B$3,ROUND(Points!$B$3*IF($F63&lt;=1,1,Points!$H$7+(1-Points!$H$7)*((($F63-$E63)*(($F63-$E63)+1)/2)^2-((($F63-$E63-$J63+1)-1)*($F63-$E63-$J63+1)/2)^2)/($J63*($F63-1)^3)),0)))</f>
        <v/>
      </c>
      <c r="H63" s="11">
        <f>IF($A63="","",IF($B$2="Final","Final",IF($B$2="In progress","Projected","Not started")))</f>
        <v/>
      </c>
      <c r="I63" s="11">
        <f>IF($A63="","",IF(COUNTIF(Players!$A$2:$A$500,$A63)=0,"Player is not on the Players tab",IF(COUNTIF($A$7:$A$156,$A63)&gt;1,"Player is listed twice",IF(NOT(ISNUMBER($B63)),"Enter a score",IF(COUNTIFS($D$7:$D$156,$D63,$C$7:$C$156,"Winner")&gt;1,"More than one "&amp;$D63&amp;" winner picked",IF(AND($C63="Winner",COUNTIFS($D$7:$D$156,$D63,$B$7:$B$156,"&lt;"&amp;$B63)&gt;0),"The winner doesn't have the best "&amp;$D63&amp;" score",IF(AND($B$2="Final",COUNTIFS($D$7:$D$156,$D63,$C$7:$C$156,"Winner")=0),"Final: pick the "&amp;$D63&amp;" winner",IF($B$2="Not started","Set Status to In progress to count points","OK"))))))))</f>
        <v/>
      </c>
      <c r="J63" s="11">
        <f>IF(OR($A63="",NOT(ISNUMBER($B63))),"",IF($C63="Winner",1,COUNTIFS($D$7:$D$156,$D63,$B$7:$B$156,$B63)-IF(AND(NOT($C63="Winner"),COUNTIFS($D$7:$D$156,$D63,$C$7:$C$156,"Winner",$B$7:$B$156,$B63)&gt;0),1,0)))</f>
        <v/>
      </c>
    </row>
    <row r="64">
      <c r="D64" s="11">
        <f>IF($A64="","",IFERROR(IF(VLOOKUP($A64,Players!$A$2:$B$500,2,FALSE)="","Open",VLOOKUP($A64,Players!$A$2:$B$500,2,FALSE)),"Open"))</f>
        <v/>
      </c>
      <c r="E64" s="11">
        <f>IF(OR($A64="",NOT(ISNUMBER($B64))),"",IF($C64="Winner",1,COUNTIFS($D$7:$D$156,$D64,$B$7:$B$156,"&lt;"&amp;$B64)+1+IF(AND(NOT($C64="Winner"),COUNTIFS($D$7:$D$156,$D64,$C$7:$C$156,"Winner",$B$7:$B$156,$B64)&gt;0),1,0)))</f>
        <v/>
      </c>
      <c r="F64" s="11">
        <f>IF(OR($A64="",NOT(ISNUMBER($B64))),"",COUNTIFS($D$7:$D$156,$D64,$B$7:$B$156,"&gt;0"))</f>
        <v/>
      </c>
      <c r="G64" s="11">
        <f>IF(OR(OR($A64="",NOT(ISNUMBER($B64))),$B$2="Not started"),"",IF($C64="Winner",Points!$B$3,ROUND(Points!$B$3*IF($F64&lt;=1,1,Points!$H$7+(1-Points!$H$7)*((($F64-$E64)*(($F64-$E64)+1)/2)^2-((($F64-$E64-$J64+1)-1)*($F64-$E64-$J64+1)/2)^2)/($J64*($F64-1)^3)),0)))</f>
        <v/>
      </c>
      <c r="H64" s="11">
        <f>IF($A64="","",IF($B$2="Final","Final",IF($B$2="In progress","Projected","Not started")))</f>
        <v/>
      </c>
      <c r="I64" s="11">
        <f>IF($A64="","",IF(COUNTIF(Players!$A$2:$A$500,$A64)=0,"Player is not on the Players tab",IF(COUNTIF($A$7:$A$156,$A64)&gt;1,"Player is listed twice",IF(NOT(ISNUMBER($B64)),"Enter a score",IF(COUNTIFS($D$7:$D$156,$D64,$C$7:$C$156,"Winner")&gt;1,"More than one "&amp;$D64&amp;" winner picked",IF(AND($C64="Winner",COUNTIFS($D$7:$D$156,$D64,$B$7:$B$156,"&lt;"&amp;$B64)&gt;0),"The winner doesn't have the best "&amp;$D64&amp;" score",IF(AND($B$2="Final",COUNTIFS($D$7:$D$156,$D64,$C$7:$C$156,"Winner")=0),"Final: pick the "&amp;$D64&amp;" winner",IF($B$2="Not started","Set Status to In progress to count points","OK"))))))))</f>
        <v/>
      </c>
      <c r="J64" s="11">
        <f>IF(OR($A64="",NOT(ISNUMBER($B64))),"",IF($C64="Winner",1,COUNTIFS($D$7:$D$156,$D64,$B$7:$B$156,$B64)-IF(AND(NOT($C64="Winner"),COUNTIFS($D$7:$D$156,$D64,$C$7:$C$156,"Winner",$B$7:$B$156,$B64)&gt;0),1,0)))</f>
        <v/>
      </c>
    </row>
    <row r="65">
      <c r="D65" s="11">
        <f>IF($A65="","",IFERROR(IF(VLOOKUP($A65,Players!$A$2:$B$500,2,FALSE)="","Open",VLOOKUP($A65,Players!$A$2:$B$500,2,FALSE)),"Open"))</f>
        <v/>
      </c>
      <c r="E65" s="11">
        <f>IF(OR($A65="",NOT(ISNUMBER($B65))),"",IF($C65="Winner",1,COUNTIFS($D$7:$D$156,$D65,$B$7:$B$156,"&lt;"&amp;$B65)+1+IF(AND(NOT($C65="Winner"),COUNTIFS($D$7:$D$156,$D65,$C$7:$C$156,"Winner",$B$7:$B$156,$B65)&gt;0),1,0)))</f>
        <v/>
      </c>
      <c r="F65" s="11">
        <f>IF(OR($A65="",NOT(ISNUMBER($B65))),"",COUNTIFS($D$7:$D$156,$D65,$B$7:$B$156,"&gt;0"))</f>
        <v/>
      </c>
      <c r="G65" s="11">
        <f>IF(OR(OR($A65="",NOT(ISNUMBER($B65))),$B$2="Not started"),"",IF($C65="Winner",Points!$B$3,ROUND(Points!$B$3*IF($F65&lt;=1,1,Points!$H$7+(1-Points!$H$7)*((($F65-$E65)*(($F65-$E65)+1)/2)^2-((($F65-$E65-$J65+1)-1)*($F65-$E65-$J65+1)/2)^2)/($J65*($F65-1)^3)),0)))</f>
        <v/>
      </c>
      <c r="H65" s="11">
        <f>IF($A65="","",IF($B$2="Final","Final",IF($B$2="In progress","Projected","Not started")))</f>
        <v/>
      </c>
      <c r="I65" s="11">
        <f>IF($A65="","",IF(COUNTIF(Players!$A$2:$A$500,$A65)=0,"Player is not on the Players tab",IF(COUNTIF($A$7:$A$156,$A65)&gt;1,"Player is listed twice",IF(NOT(ISNUMBER($B65)),"Enter a score",IF(COUNTIFS($D$7:$D$156,$D65,$C$7:$C$156,"Winner")&gt;1,"More than one "&amp;$D65&amp;" winner picked",IF(AND($C65="Winner",COUNTIFS($D$7:$D$156,$D65,$B$7:$B$156,"&lt;"&amp;$B65)&gt;0),"The winner doesn't have the best "&amp;$D65&amp;" score",IF(AND($B$2="Final",COUNTIFS($D$7:$D$156,$D65,$C$7:$C$156,"Winner")=0),"Final: pick the "&amp;$D65&amp;" winner",IF($B$2="Not started","Set Status to In progress to count points","OK"))))))))</f>
        <v/>
      </c>
      <c r="J65" s="11">
        <f>IF(OR($A65="",NOT(ISNUMBER($B65))),"",IF($C65="Winner",1,COUNTIFS($D$7:$D$156,$D65,$B$7:$B$156,$B65)-IF(AND(NOT($C65="Winner"),COUNTIFS($D$7:$D$156,$D65,$C$7:$C$156,"Winner",$B$7:$B$156,$B65)&gt;0),1,0)))</f>
        <v/>
      </c>
    </row>
    <row r="66">
      <c r="D66" s="11">
        <f>IF($A66="","",IFERROR(IF(VLOOKUP($A66,Players!$A$2:$B$500,2,FALSE)="","Open",VLOOKUP($A66,Players!$A$2:$B$500,2,FALSE)),"Open"))</f>
        <v/>
      </c>
      <c r="E66" s="11">
        <f>IF(OR($A66="",NOT(ISNUMBER($B66))),"",IF($C66="Winner",1,COUNTIFS($D$7:$D$156,$D66,$B$7:$B$156,"&lt;"&amp;$B66)+1+IF(AND(NOT($C66="Winner"),COUNTIFS($D$7:$D$156,$D66,$C$7:$C$156,"Winner",$B$7:$B$156,$B66)&gt;0),1,0)))</f>
        <v/>
      </c>
      <c r="F66" s="11">
        <f>IF(OR($A66="",NOT(ISNUMBER($B66))),"",COUNTIFS($D$7:$D$156,$D66,$B$7:$B$156,"&gt;0"))</f>
        <v/>
      </c>
      <c r="G66" s="11">
        <f>IF(OR(OR($A66="",NOT(ISNUMBER($B66))),$B$2="Not started"),"",IF($C66="Winner",Points!$B$3,ROUND(Points!$B$3*IF($F66&lt;=1,1,Points!$H$7+(1-Points!$H$7)*((($F66-$E66)*(($F66-$E66)+1)/2)^2-((($F66-$E66-$J66+1)-1)*($F66-$E66-$J66+1)/2)^2)/($J66*($F66-1)^3)),0)))</f>
        <v/>
      </c>
      <c r="H66" s="11">
        <f>IF($A66="","",IF($B$2="Final","Final",IF($B$2="In progress","Projected","Not started")))</f>
        <v/>
      </c>
      <c r="I66" s="11">
        <f>IF($A66="","",IF(COUNTIF(Players!$A$2:$A$500,$A66)=0,"Player is not on the Players tab",IF(COUNTIF($A$7:$A$156,$A66)&gt;1,"Player is listed twice",IF(NOT(ISNUMBER($B66)),"Enter a score",IF(COUNTIFS($D$7:$D$156,$D66,$C$7:$C$156,"Winner")&gt;1,"More than one "&amp;$D66&amp;" winner picked",IF(AND($C66="Winner",COUNTIFS($D$7:$D$156,$D66,$B$7:$B$156,"&lt;"&amp;$B66)&gt;0),"The winner doesn't have the best "&amp;$D66&amp;" score",IF(AND($B$2="Final",COUNTIFS($D$7:$D$156,$D66,$C$7:$C$156,"Winner")=0),"Final: pick the "&amp;$D66&amp;" winner",IF($B$2="Not started","Set Status to In progress to count points","OK"))))))))</f>
        <v/>
      </c>
      <c r="J66" s="11">
        <f>IF(OR($A66="",NOT(ISNUMBER($B66))),"",IF($C66="Winner",1,COUNTIFS($D$7:$D$156,$D66,$B$7:$B$156,$B66)-IF(AND(NOT($C66="Winner"),COUNTIFS($D$7:$D$156,$D66,$C$7:$C$156,"Winner",$B$7:$B$156,$B66)&gt;0),1,0)))</f>
        <v/>
      </c>
    </row>
    <row r="67">
      <c r="D67" s="11">
        <f>IF($A67="","",IFERROR(IF(VLOOKUP($A67,Players!$A$2:$B$500,2,FALSE)="","Open",VLOOKUP($A67,Players!$A$2:$B$500,2,FALSE)),"Open"))</f>
        <v/>
      </c>
      <c r="E67" s="11">
        <f>IF(OR($A67="",NOT(ISNUMBER($B67))),"",IF($C67="Winner",1,COUNTIFS($D$7:$D$156,$D67,$B$7:$B$156,"&lt;"&amp;$B67)+1+IF(AND(NOT($C67="Winner"),COUNTIFS($D$7:$D$156,$D67,$C$7:$C$156,"Winner",$B$7:$B$156,$B67)&gt;0),1,0)))</f>
        <v/>
      </c>
      <c r="F67" s="11">
        <f>IF(OR($A67="",NOT(ISNUMBER($B67))),"",COUNTIFS($D$7:$D$156,$D67,$B$7:$B$156,"&gt;0"))</f>
        <v/>
      </c>
      <c r="G67" s="11">
        <f>IF(OR(OR($A67="",NOT(ISNUMBER($B67))),$B$2="Not started"),"",IF($C67="Winner",Points!$B$3,ROUND(Points!$B$3*IF($F67&lt;=1,1,Points!$H$7+(1-Points!$H$7)*((($F67-$E67)*(($F67-$E67)+1)/2)^2-((($F67-$E67-$J67+1)-1)*($F67-$E67-$J67+1)/2)^2)/($J67*($F67-1)^3)),0)))</f>
        <v/>
      </c>
      <c r="H67" s="11">
        <f>IF($A67="","",IF($B$2="Final","Final",IF($B$2="In progress","Projected","Not started")))</f>
        <v/>
      </c>
      <c r="I67" s="11">
        <f>IF($A67="","",IF(COUNTIF(Players!$A$2:$A$500,$A67)=0,"Player is not on the Players tab",IF(COUNTIF($A$7:$A$156,$A67)&gt;1,"Player is listed twice",IF(NOT(ISNUMBER($B67)),"Enter a score",IF(COUNTIFS($D$7:$D$156,$D67,$C$7:$C$156,"Winner")&gt;1,"More than one "&amp;$D67&amp;" winner picked",IF(AND($C67="Winner",COUNTIFS($D$7:$D$156,$D67,$B$7:$B$156,"&lt;"&amp;$B67)&gt;0),"The winner doesn't have the best "&amp;$D67&amp;" score",IF(AND($B$2="Final",COUNTIFS($D$7:$D$156,$D67,$C$7:$C$156,"Winner")=0),"Final: pick the "&amp;$D67&amp;" winner",IF($B$2="Not started","Set Status to In progress to count points","OK"))))))))</f>
        <v/>
      </c>
      <c r="J67" s="11">
        <f>IF(OR($A67="",NOT(ISNUMBER($B67))),"",IF($C67="Winner",1,COUNTIFS($D$7:$D$156,$D67,$B$7:$B$156,$B67)-IF(AND(NOT($C67="Winner"),COUNTIFS($D$7:$D$156,$D67,$C$7:$C$156,"Winner",$B$7:$B$156,$B67)&gt;0),1,0)))</f>
        <v/>
      </c>
    </row>
    <row r="68">
      <c r="D68" s="11">
        <f>IF($A68="","",IFERROR(IF(VLOOKUP($A68,Players!$A$2:$B$500,2,FALSE)="","Open",VLOOKUP($A68,Players!$A$2:$B$500,2,FALSE)),"Open"))</f>
        <v/>
      </c>
      <c r="E68" s="11">
        <f>IF(OR($A68="",NOT(ISNUMBER($B68))),"",IF($C68="Winner",1,COUNTIFS($D$7:$D$156,$D68,$B$7:$B$156,"&lt;"&amp;$B68)+1+IF(AND(NOT($C68="Winner"),COUNTIFS($D$7:$D$156,$D68,$C$7:$C$156,"Winner",$B$7:$B$156,$B68)&gt;0),1,0)))</f>
        <v/>
      </c>
      <c r="F68" s="11">
        <f>IF(OR($A68="",NOT(ISNUMBER($B68))),"",COUNTIFS($D$7:$D$156,$D68,$B$7:$B$156,"&gt;0"))</f>
        <v/>
      </c>
      <c r="G68" s="11">
        <f>IF(OR(OR($A68="",NOT(ISNUMBER($B68))),$B$2="Not started"),"",IF($C68="Winner",Points!$B$3,ROUND(Points!$B$3*IF($F68&lt;=1,1,Points!$H$7+(1-Points!$H$7)*((($F68-$E68)*(($F68-$E68)+1)/2)^2-((($F68-$E68-$J68+1)-1)*($F68-$E68-$J68+1)/2)^2)/($J68*($F68-1)^3)),0)))</f>
        <v/>
      </c>
      <c r="H68" s="11">
        <f>IF($A68="","",IF($B$2="Final","Final",IF($B$2="In progress","Projected","Not started")))</f>
        <v/>
      </c>
      <c r="I68" s="11">
        <f>IF($A68="","",IF(COUNTIF(Players!$A$2:$A$500,$A68)=0,"Player is not on the Players tab",IF(COUNTIF($A$7:$A$156,$A68)&gt;1,"Player is listed twice",IF(NOT(ISNUMBER($B68)),"Enter a score",IF(COUNTIFS($D$7:$D$156,$D68,$C$7:$C$156,"Winner")&gt;1,"More than one "&amp;$D68&amp;" winner picked",IF(AND($C68="Winner",COUNTIFS($D$7:$D$156,$D68,$B$7:$B$156,"&lt;"&amp;$B68)&gt;0),"The winner doesn't have the best "&amp;$D68&amp;" score",IF(AND($B$2="Final",COUNTIFS($D$7:$D$156,$D68,$C$7:$C$156,"Winner")=0),"Final: pick the "&amp;$D68&amp;" winner",IF($B$2="Not started","Set Status to In progress to count points","OK"))))))))</f>
        <v/>
      </c>
      <c r="J68" s="11">
        <f>IF(OR($A68="",NOT(ISNUMBER($B68))),"",IF($C68="Winner",1,COUNTIFS($D$7:$D$156,$D68,$B$7:$B$156,$B68)-IF(AND(NOT($C68="Winner"),COUNTIFS($D$7:$D$156,$D68,$C$7:$C$156,"Winner",$B$7:$B$156,$B68)&gt;0),1,0)))</f>
        <v/>
      </c>
    </row>
    <row r="69">
      <c r="D69" s="11">
        <f>IF($A69="","",IFERROR(IF(VLOOKUP($A69,Players!$A$2:$B$500,2,FALSE)="","Open",VLOOKUP($A69,Players!$A$2:$B$500,2,FALSE)),"Open"))</f>
        <v/>
      </c>
      <c r="E69" s="11">
        <f>IF(OR($A69="",NOT(ISNUMBER($B69))),"",IF($C69="Winner",1,COUNTIFS($D$7:$D$156,$D69,$B$7:$B$156,"&lt;"&amp;$B69)+1+IF(AND(NOT($C69="Winner"),COUNTIFS($D$7:$D$156,$D69,$C$7:$C$156,"Winner",$B$7:$B$156,$B69)&gt;0),1,0)))</f>
        <v/>
      </c>
      <c r="F69" s="11">
        <f>IF(OR($A69="",NOT(ISNUMBER($B69))),"",COUNTIFS($D$7:$D$156,$D69,$B$7:$B$156,"&gt;0"))</f>
        <v/>
      </c>
      <c r="G69" s="11">
        <f>IF(OR(OR($A69="",NOT(ISNUMBER($B69))),$B$2="Not started"),"",IF($C69="Winner",Points!$B$3,ROUND(Points!$B$3*IF($F69&lt;=1,1,Points!$H$7+(1-Points!$H$7)*((($F69-$E69)*(($F69-$E69)+1)/2)^2-((($F69-$E69-$J69+1)-1)*($F69-$E69-$J69+1)/2)^2)/($J69*($F69-1)^3)),0)))</f>
        <v/>
      </c>
      <c r="H69" s="11">
        <f>IF($A69="","",IF($B$2="Final","Final",IF($B$2="In progress","Projected","Not started")))</f>
        <v/>
      </c>
      <c r="I69" s="11">
        <f>IF($A69="","",IF(COUNTIF(Players!$A$2:$A$500,$A69)=0,"Player is not on the Players tab",IF(COUNTIF($A$7:$A$156,$A69)&gt;1,"Player is listed twice",IF(NOT(ISNUMBER($B69)),"Enter a score",IF(COUNTIFS($D$7:$D$156,$D69,$C$7:$C$156,"Winner")&gt;1,"More than one "&amp;$D69&amp;" winner picked",IF(AND($C69="Winner",COUNTIFS($D$7:$D$156,$D69,$B$7:$B$156,"&lt;"&amp;$B69)&gt;0),"The winner doesn't have the best "&amp;$D69&amp;" score",IF(AND($B$2="Final",COUNTIFS($D$7:$D$156,$D69,$C$7:$C$156,"Winner")=0),"Final: pick the "&amp;$D69&amp;" winner",IF($B$2="Not started","Set Status to In progress to count points","OK"))))))))</f>
        <v/>
      </c>
      <c r="J69" s="11">
        <f>IF(OR($A69="",NOT(ISNUMBER($B69))),"",IF($C69="Winner",1,COUNTIFS($D$7:$D$156,$D69,$B$7:$B$156,$B69)-IF(AND(NOT($C69="Winner"),COUNTIFS($D$7:$D$156,$D69,$C$7:$C$156,"Winner",$B$7:$B$156,$B69)&gt;0),1,0)))</f>
        <v/>
      </c>
    </row>
    <row r="70">
      <c r="D70" s="11">
        <f>IF($A70="","",IFERROR(IF(VLOOKUP($A70,Players!$A$2:$B$500,2,FALSE)="","Open",VLOOKUP($A70,Players!$A$2:$B$500,2,FALSE)),"Open"))</f>
        <v/>
      </c>
      <c r="E70" s="11">
        <f>IF(OR($A70="",NOT(ISNUMBER($B70))),"",IF($C70="Winner",1,COUNTIFS($D$7:$D$156,$D70,$B$7:$B$156,"&lt;"&amp;$B70)+1+IF(AND(NOT($C70="Winner"),COUNTIFS($D$7:$D$156,$D70,$C$7:$C$156,"Winner",$B$7:$B$156,$B70)&gt;0),1,0)))</f>
        <v/>
      </c>
      <c r="F70" s="11">
        <f>IF(OR($A70="",NOT(ISNUMBER($B70))),"",COUNTIFS($D$7:$D$156,$D70,$B$7:$B$156,"&gt;0"))</f>
        <v/>
      </c>
      <c r="G70" s="11">
        <f>IF(OR(OR($A70="",NOT(ISNUMBER($B70))),$B$2="Not started"),"",IF($C70="Winner",Points!$B$3,ROUND(Points!$B$3*IF($F70&lt;=1,1,Points!$H$7+(1-Points!$H$7)*((($F70-$E70)*(($F70-$E70)+1)/2)^2-((($F70-$E70-$J70+1)-1)*($F70-$E70-$J70+1)/2)^2)/($J70*($F70-1)^3)),0)))</f>
        <v/>
      </c>
      <c r="H70" s="11">
        <f>IF($A70="","",IF($B$2="Final","Final",IF($B$2="In progress","Projected","Not started")))</f>
        <v/>
      </c>
      <c r="I70" s="11">
        <f>IF($A70="","",IF(COUNTIF(Players!$A$2:$A$500,$A70)=0,"Player is not on the Players tab",IF(COUNTIF($A$7:$A$156,$A70)&gt;1,"Player is listed twice",IF(NOT(ISNUMBER($B70)),"Enter a score",IF(COUNTIFS($D$7:$D$156,$D70,$C$7:$C$156,"Winner")&gt;1,"More than one "&amp;$D70&amp;" winner picked",IF(AND($C70="Winner",COUNTIFS($D$7:$D$156,$D70,$B$7:$B$156,"&lt;"&amp;$B70)&gt;0),"The winner doesn't have the best "&amp;$D70&amp;" score",IF(AND($B$2="Final",COUNTIFS($D$7:$D$156,$D70,$C$7:$C$156,"Winner")=0),"Final: pick the "&amp;$D70&amp;" winner",IF($B$2="Not started","Set Status to In progress to count points","OK"))))))))</f>
        <v/>
      </c>
      <c r="J70" s="11">
        <f>IF(OR($A70="",NOT(ISNUMBER($B70))),"",IF($C70="Winner",1,COUNTIFS($D$7:$D$156,$D70,$B$7:$B$156,$B70)-IF(AND(NOT($C70="Winner"),COUNTIFS($D$7:$D$156,$D70,$C$7:$C$156,"Winner",$B$7:$B$156,$B70)&gt;0),1,0)))</f>
        <v/>
      </c>
    </row>
    <row r="71">
      <c r="D71" s="11">
        <f>IF($A71="","",IFERROR(IF(VLOOKUP($A71,Players!$A$2:$B$500,2,FALSE)="","Open",VLOOKUP($A71,Players!$A$2:$B$500,2,FALSE)),"Open"))</f>
        <v/>
      </c>
      <c r="E71" s="11">
        <f>IF(OR($A71="",NOT(ISNUMBER($B71))),"",IF($C71="Winner",1,COUNTIFS($D$7:$D$156,$D71,$B$7:$B$156,"&lt;"&amp;$B71)+1+IF(AND(NOT($C71="Winner"),COUNTIFS($D$7:$D$156,$D71,$C$7:$C$156,"Winner",$B$7:$B$156,$B71)&gt;0),1,0)))</f>
        <v/>
      </c>
      <c r="F71" s="11">
        <f>IF(OR($A71="",NOT(ISNUMBER($B71))),"",COUNTIFS($D$7:$D$156,$D71,$B$7:$B$156,"&gt;0"))</f>
        <v/>
      </c>
      <c r="G71" s="11">
        <f>IF(OR(OR($A71="",NOT(ISNUMBER($B71))),$B$2="Not started"),"",IF($C71="Winner",Points!$B$3,ROUND(Points!$B$3*IF($F71&lt;=1,1,Points!$H$7+(1-Points!$H$7)*((($F71-$E71)*(($F71-$E71)+1)/2)^2-((($F71-$E71-$J71+1)-1)*($F71-$E71-$J71+1)/2)^2)/($J71*($F71-1)^3)),0)))</f>
        <v/>
      </c>
      <c r="H71" s="11">
        <f>IF($A71="","",IF($B$2="Final","Final",IF($B$2="In progress","Projected","Not started")))</f>
        <v/>
      </c>
      <c r="I71" s="11">
        <f>IF($A71="","",IF(COUNTIF(Players!$A$2:$A$500,$A71)=0,"Player is not on the Players tab",IF(COUNTIF($A$7:$A$156,$A71)&gt;1,"Player is listed twice",IF(NOT(ISNUMBER($B71)),"Enter a score",IF(COUNTIFS($D$7:$D$156,$D71,$C$7:$C$156,"Winner")&gt;1,"More than one "&amp;$D71&amp;" winner picked",IF(AND($C71="Winner",COUNTIFS($D$7:$D$156,$D71,$B$7:$B$156,"&lt;"&amp;$B71)&gt;0),"The winner doesn't have the best "&amp;$D71&amp;" score",IF(AND($B$2="Final",COUNTIFS($D$7:$D$156,$D71,$C$7:$C$156,"Winner")=0),"Final: pick the "&amp;$D71&amp;" winner",IF($B$2="Not started","Set Status to In progress to count points","OK"))))))))</f>
        <v/>
      </c>
      <c r="J71" s="11">
        <f>IF(OR($A71="",NOT(ISNUMBER($B71))),"",IF($C71="Winner",1,COUNTIFS($D$7:$D$156,$D71,$B$7:$B$156,$B71)-IF(AND(NOT($C71="Winner"),COUNTIFS($D$7:$D$156,$D71,$C$7:$C$156,"Winner",$B$7:$B$156,$B71)&gt;0),1,0)))</f>
        <v/>
      </c>
    </row>
    <row r="72">
      <c r="D72" s="11">
        <f>IF($A72="","",IFERROR(IF(VLOOKUP($A72,Players!$A$2:$B$500,2,FALSE)="","Open",VLOOKUP($A72,Players!$A$2:$B$500,2,FALSE)),"Open"))</f>
        <v/>
      </c>
      <c r="E72" s="11">
        <f>IF(OR($A72="",NOT(ISNUMBER($B72))),"",IF($C72="Winner",1,COUNTIFS($D$7:$D$156,$D72,$B$7:$B$156,"&lt;"&amp;$B72)+1+IF(AND(NOT($C72="Winner"),COUNTIFS($D$7:$D$156,$D72,$C$7:$C$156,"Winner",$B$7:$B$156,$B72)&gt;0),1,0)))</f>
        <v/>
      </c>
      <c r="F72" s="11">
        <f>IF(OR($A72="",NOT(ISNUMBER($B72))),"",COUNTIFS($D$7:$D$156,$D72,$B$7:$B$156,"&gt;0"))</f>
        <v/>
      </c>
      <c r="G72" s="11">
        <f>IF(OR(OR($A72="",NOT(ISNUMBER($B72))),$B$2="Not started"),"",IF($C72="Winner",Points!$B$3,ROUND(Points!$B$3*IF($F72&lt;=1,1,Points!$H$7+(1-Points!$H$7)*((($F72-$E72)*(($F72-$E72)+1)/2)^2-((($F72-$E72-$J72+1)-1)*($F72-$E72-$J72+1)/2)^2)/($J72*($F72-1)^3)),0)))</f>
        <v/>
      </c>
      <c r="H72" s="11">
        <f>IF($A72="","",IF($B$2="Final","Final",IF($B$2="In progress","Projected","Not started")))</f>
        <v/>
      </c>
      <c r="I72" s="11">
        <f>IF($A72="","",IF(COUNTIF(Players!$A$2:$A$500,$A72)=0,"Player is not on the Players tab",IF(COUNTIF($A$7:$A$156,$A72)&gt;1,"Player is listed twice",IF(NOT(ISNUMBER($B72)),"Enter a score",IF(COUNTIFS($D$7:$D$156,$D72,$C$7:$C$156,"Winner")&gt;1,"More than one "&amp;$D72&amp;" winner picked",IF(AND($C72="Winner",COUNTIFS($D$7:$D$156,$D72,$B$7:$B$156,"&lt;"&amp;$B72)&gt;0),"The winner doesn't have the best "&amp;$D72&amp;" score",IF(AND($B$2="Final",COUNTIFS($D$7:$D$156,$D72,$C$7:$C$156,"Winner")=0),"Final: pick the "&amp;$D72&amp;" winner",IF($B$2="Not started","Set Status to In progress to count points","OK"))))))))</f>
        <v/>
      </c>
      <c r="J72" s="11">
        <f>IF(OR($A72="",NOT(ISNUMBER($B72))),"",IF($C72="Winner",1,COUNTIFS($D$7:$D$156,$D72,$B$7:$B$156,$B72)-IF(AND(NOT($C72="Winner"),COUNTIFS($D$7:$D$156,$D72,$C$7:$C$156,"Winner",$B$7:$B$156,$B72)&gt;0),1,0)))</f>
        <v/>
      </c>
    </row>
    <row r="73">
      <c r="D73" s="11">
        <f>IF($A73="","",IFERROR(IF(VLOOKUP($A73,Players!$A$2:$B$500,2,FALSE)="","Open",VLOOKUP($A73,Players!$A$2:$B$500,2,FALSE)),"Open"))</f>
        <v/>
      </c>
      <c r="E73" s="11">
        <f>IF(OR($A73="",NOT(ISNUMBER($B73))),"",IF($C73="Winner",1,COUNTIFS($D$7:$D$156,$D73,$B$7:$B$156,"&lt;"&amp;$B73)+1+IF(AND(NOT($C73="Winner"),COUNTIFS($D$7:$D$156,$D73,$C$7:$C$156,"Winner",$B$7:$B$156,$B73)&gt;0),1,0)))</f>
        <v/>
      </c>
      <c r="F73" s="11">
        <f>IF(OR($A73="",NOT(ISNUMBER($B73))),"",COUNTIFS($D$7:$D$156,$D73,$B$7:$B$156,"&gt;0"))</f>
        <v/>
      </c>
      <c r="G73" s="11">
        <f>IF(OR(OR($A73="",NOT(ISNUMBER($B73))),$B$2="Not started"),"",IF($C73="Winner",Points!$B$3,ROUND(Points!$B$3*IF($F73&lt;=1,1,Points!$H$7+(1-Points!$H$7)*((($F73-$E73)*(($F73-$E73)+1)/2)^2-((($F73-$E73-$J73+1)-1)*($F73-$E73-$J73+1)/2)^2)/($J73*($F73-1)^3)),0)))</f>
        <v/>
      </c>
      <c r="H73" s="11">
        <f>IF($A73="","",IF($B$2="Final","Final",IF($B$2="In progress","Projected","Not started")))</f>
        <v/>
      </c>
      <c r="I73" s="11">
        <f>IF($A73="","",IF(COUNTIF(Players!$A$2:$A$500,$A73)=0,"Player is not on the Players tab",IF(COUNTIF($A$7:$A$156,$A73)&gt;1,"Player is listed twice",IF(NOT(ISNUMBER($B73)),"Enter a score",IF(COUNTIFS($D$7:$D$156,$D73,$C$7:$C$156,"Winner")&gt;1,"More than one "&amp;$D73&amp;" winner picked",IF(AND($C73="Winner",COUNTIFS($D$7:$D$156,$D73,$B$7:$B$156,"&lt;"&amp;$B73)&gt;0),"The winner doesn't have the best "&amp;$D73&amp;" score",IF(AND($B$2="Final",COUNTIFS($D$7:$D$156,$D73,$C$7:$C$156,"Winner")=0),"Final: pick the "&amp;$D73&amp;" winner",IF($B$2="Not started","Set Status to In progress to count points","OK"))))))))</f>
        <v/>
      </c>
      <c r="J73" s="11">
        <f>IF(OR($A73="",NOT(ISNUMBER($B73))),"",IF($C73="Winner",1,COUNTIFS($D$7:$D$156,$D73,$B$7:$B$156,$B73)-IF(AND(NOT($C73="Winner"),COUNTIFS($D$7:$D$156,$D73,$C$7:$C$156,"Winner",$B$7:$B$156,$B73)&gt;0),1,0)))</f>
        <v/>
      </c>
    </row>
    <row r="74">
      <c r="D74" s="11">
        <f>IF($A74="","",IFERROR(IF(VLOOKUP($A74,Players!$A$2:$B$500,2,FALSE)="","Open",VLOOKUP($A74,Players!$A$2:$B$500,2,FALSE)),"Open"))</f>
        <v/>
      </c>
      <c r="E74" s="11">
        <f>IF(OR($A74="",NOT(ISNUMBER($B74))),"",IF($C74="Winner",1,COUNTIFS($D$7:$D$156,$D74,$B$7:$B$156,"&lt;"&amp;$B74)+1+IF(AND(NOT($C74="Winner"),COUNTIFS($D$7:$D$156,$D74,$C$7:$C$156,"Winner",$B$7:$B$156,$B74)&gt;0),1,0)))</f>
        <v/>
      </c>
      <c r="F74" s="11">
        <f>IF(OR($A74="",NOT(ISNUMBER($B74))),"",COUNTIFS($D$7:$D$156,$D74,$B$7:$B$156,"&gt;0"))</f>
        <v/>
      </c>
      <c r="G74" s="11">
        <f>IF(OR(OR($A74="",NOT(ISNUMBER($B74))),$B$2="Not started"),"",IF($C74="Winner",Points!$B$3,ROUND(Points!$B$3*IF($F74&lt;=1,1,Points!$H$7+(1-Points!$H$7)*((($F74-$E74)*(($F74-$E74)+1)/2)^2-((($F74-$E74-$J74+1)-1)*($F74-$E74-$J74+1)/2)^2)/($J74*($F74-1)^3)),0)))</f>
        <v/>
      </c>
      <c r="H74" s="11">
        <f>IF($A74="","",IF($B$2="Final","Final",IF($B$2="In progress","Projected","Not started")))</f>
        <v/>
      </c>
      <c r="I74" s="11">
        <f>IF($A74="","",IF(COUNTIF(Players!$A$2:$A$500,$A74)=0,"Player is not on the Players tab",IF(COUNTIF($A$7:$A$156,$A74)&gt;1,"Player is listed twice",IF(NOT(ISNUMBER($B74)),"Enter a score",IF(COUNTIFS($D$7:$D$156,$D74,$C$7:$C$156,"Winner")&gt;1,"More than one "&amp;$D74&amp;" winner picked",IF(AND($C74="Winner",COUNTIFS($D$7:$D$156,$D74,$B$7:$B$156,"&lt;"&amp;$B74)&gt;0),"The winner doesn't have the best "&amp;$D74&amp;" score",IF(AND($B$2="Final",COUNTIFS($D$7:$D$156,$D74,$C$7:$C$156,"Winner")=0),"Final: pick the "&amp;$D74&amp;" winner",IF($B$2="Not started","Set Status to In progress to count points","OK"))))))))</f>
        <v/>
      </c>
      <c r="J74" s="11">
        <f>IF(OR($A74="",NOT(ISNUMBER($B74))),"",IF($C74="Winner",1,COUNTIFS($D$7:$D$156,$D74,$B$7:$B$156,$B74)-IF(AND(NOT($C74="Winner"),COUNTIFS($D$7:$D$156,$D74,$C$7:$C$156,"Winner",$B$7:$B$156,$B74)&gt;0),1,0)))</f>
        <v/>
      </c>
    </row>
    <row r="75">
      <c r="D75" s="11">
        <f>IF($A75="","",IFERROR(IF(VLOOKUP($A75,Players!$A$2:$B$500,2,FALSE)="","Open",VLOOKUP($A75,Players!$A$2:$B$500,2,FALSE)),"Open"))</f>
        <v/>
      </c>
      <c r="E75" s="11">
        <f>IF(OR($A75="",NOT(ISNUMBER($B75))),"",IF($C75="Winner",1,COUNTIFS($D$7:$D$156,$D75,$B$7:$B$156,"&lt;"&amp;$B75)+1+IF(AND(NOT($C75="Winner"),COUNTIFS($D$7:$D$156,$D75,$C$7:$C$156,"Winner",$B$7:$B$156,$B75)&gt;0),1,0)))</f>
        <v/>
      </c>
      <c r="F75" s="11">
        <f>IF(OR($A75="",NOT(ISNUMBER($B75))),"",COUNTIFS($D$7:$D$156,$D75,$B$7:$B$156,"&gt;0"))</f>
        <v/>
      </c>
      <c r="G75" s="11">
        <f>IF(OR(OR($A75="",NOT(ISNUMBER($B75))),$B$2="Not started"),"",IF($C75="Winner",Points!$B$3,ROUND(Points!$B$3*IF($F75&lt;=1,1,Points!$H$7+(1-Points!$H$7)*((($F75-$E75)*(($F75-$E75)+1)/2)^2-((($F75-$E75-$J75+1)-1)*($F75-$E75-$J75+1)/2)^2)/($J75*($F75-1)^3)),0)))</f>
        <v/>
      </c>
      <c r="H75" s="11">
        <f>IF($A75="","",IF($B$2="Final","Final",IF($B$2="In progress","Projected","Not started")))</f>
        <v/>
      </c>
      <c r="I75" s="11">
        <f>IF($A75="","",IF(COUNTIF(Players!$A$2:$A$500,$A75)=0,"Player is not on the Players tab",IF(COUNTIF($A$7:$A$156,$A75)&gt;1,"Player is listed twice",IF(NOT(ISNUMBER($B75)),"Enter a score",IF(COUNTIFS($D$7:$D$156,$D75,$C$7:$C$156,"Winner")&gt;1,"More than one "&amp;$D75&amp;" winner picked",IF(AND($C75="Winner",COUNTIFS($D$7:$D$156,$D75,$B$7:$B$156,"&lt;"&amp;$B75)&gt;0),"The winner doesn't have the best "&amp;$D75&amp;" score",IF(AND($B$2="Final",COUNTIFS($D$7:$D$156,$D75,$C$7:$C$156,"Winner")=0),"Final: pick the "&amp;$D75&amp;" winner",IF($B$2="Not started","Set Status to In progress to count points","OK"))))))))</f>
        <v/>
      </c>
      <c r="J75" s="11">
        <f>IF(OR($A75="",NOT(ISNUMBER($B75))),"",IF($C75="Winner",1,COUNTIFS($D$7:$D$156,$D75,$B$7:$B$156,$B75)-IF(AND(NOT($C75="Winner"),COUNTIFS($D$7:$D$156,$D75,$C$7:$C$156,"Winner",$B$7:$B$156,$B75)&gt;0),1,0)))</f>
        <v/>
      </c>
    </row>
    <row r="76">
      <c r="D76" s="11">
        <f>IF($A76="","",IFERROR(IF(VLOOKUP($A76,Players!$A$2:$B$500,2,FALSE)="","Open",VLOOKUP($A76,Players!$A$2:$B$500,2,FALSE)),"Open"))</f>
        <v/>
      </c>
      <c r="E76" s="11">
        <f>IF(OR($A76="",NOT(ISNUMBER($B76))),"",IF($C76="Winner",1,COUNTIFS($D$7:$D$156,$D76,$B$7:$B$156,"&lt;"&amp;$B76)+1+IF(AND(NOT($C76="Winner"),COUNTIFS($D$7:$D$156,$D76,$C$7:$C$156,"Winner",$B$7:$B$156,$B76)&gt;0),1,0)))</f>
        <v/>
      </c>
      <c r="F76" s="11">
        <f>IF(OR($A76="",NOT(ISNUMBER($B76))),"",COUNTIFS($D$7:$D$156,$D76,$B$7:$B$156,"&gt;0"))</f>
        <v/>
      </c>
      <c r="G76" s="11">
        <f>IF(OR(OR($A76="",NOT(ISNUMBER($B76))),$B$2="Not started"),"",IF($C76="Winner",Points!$B$3,ROUND(Points!$B$3*IF($F76&lt;=1,1,Points!$H$7+(1-Points!$H$7)*((($F76-$E76)*(($F76-$E76)+1)/2)^2-((($F76-$E76-$J76+1)-1)*($F76-$E76-$J76+1)/2)^2)/($J76*($F76-1)^3)),0)))</f>
        <v/>
      </c>
      <c r="H76" s="11">
        <f>IF($A76="","",IF($B$2="Final","Final",IF($B$2="In progress","Projected","Not started")))</f>
        <v/>
      </c>
      <c r="I76" s="11">
        <f>IF($A76="","",IF(COUNTIF(Players!$A$2:$A$500,$A76)=0,"Player is not on the Players tab",IF(COUNTIF($A$7:$A$156,$A76)&gt;1,"Player is listed twice",IF(NOT(ISNUMBER($B76)),"Enter a score",IF(COUNTIFS($D$7:$D$156,$D76,$C$7:$C$156,"Winner")&gt;1,"More than one "&amp;$D76&amp;" winner picked",IF(AND($C76="Winner",COUNTIFS($D$7:$D$156,$D76,$B$7:$B$156,"&lt;"&amp;$B76)&gt;0),"The winner doesn't have the best "&amp;$D76&amp;" score",IF(AND($B$2="Final",COUNTIFS($D$7:$D$156,$D76,$C$7:$C$156,"Winner")=0),"Final: pick the "&amp;$D76&amp;" winner",IF($B$2="Not started","Set Status to In progress to count points","OK"))))))))</f>
        <v/>
      </c>
      <c r="J76" s="11">
        <f>IF(OR($A76="",NOT(ISNUMBER($B76))),"",IF($C76="Winner",1,COUNTIFS($D$7:$D$156,$D76,$B$7:$B$156,$B76)-IF(AND(NOT($C76="Winner"),COUNTIFS($D$7:$D$156,$D76,$C$7:$C$156,"Winner",$B$7:$B$156,$B76)&gt;0),1,0)))</f>
        <v/>
      </c>
    </row>
    <row r="77">
      <c r="D77" s="11">
        <f>IF($A77="","",IFERROR(IF(VLOOKUP($A77,Players!$A$2:$B$500,2,FALSE)="","Open",VLOOKUP($A77,Players!$A$2:$B$500,2,FALSE)),"Open"))</f>
        <v/>
      </c>
      <c r="E77" s="11">
        <f>IF(OR($A77="",NOT(ISNUMBER($B77))),"",IF($C77="Winner",1,COUNTIFS($D$7:$D$156,$D77,$B$7:$B$156,"&lt;"&amp;$B77)+1+IF(AND(NOT($C77="Winner"),COUNTIFS($D$7:$D$156,$D77,$C$7:$C$156,"Winner",$B$7:$B$156,$B77)&gt;0),1,0)))</f>
        <v/>
      </c>
      <c r="F77" s="11">
        <f>IF(OR($A77="",NOT(ISNUMBER($B77))),"",COUNTIFS($D$7:$D$156,$D77,$B$7:$B$156,"&gt;0"))</f>
        <v/>
      </c>
      <c r="G77" s="11">
        <f>IF(OR(OR($A77="",NOT(ISNUMBER($B77))),$B$2="Not started"),"",IF($C77="Winner",Points!$B$3,ROUND(Points!$B$3*IF($F77&lt;=1,1,Points!$H$7+(1-Points!$H$7)*((($F77-$E77)*(($F77-$E77)+1)/2)^2-((($F77-$E77-$J77+1)-1)*($F77-$E77-$J77+1)/2)^2)/($J77*($F77-1)^3)),0)))</f>
        <v/>
      </c>
      <c r="H77" s="11">
        <f>IF($A77="","",IF($B$2="Final","Final",IF($B$2="In progress","Projected","Not started")))</f>
        <v/>
      </c>
      <c r="I77" s="11">
        <f>IF($A77="","",IF(COUNTIF(Players!$A$2:$A$500,$A77)=0,"Player is not on the Players tab",IF(COUNTIF($A$7:$A$156,$A77)&gt;1,"Player is listed twice",IF(NOT(ISNUMBER($B77)),"Enter a score",IF(COUNTIFS($D$7:$D$156,$D77,$C$7:$C$156,"Winner")&gt;1,"More than one "&amp;$D77&amp;" winner picked",IF(AND($C77="Winner",COUNTIFS($D$7:$D$156,$D77,$B$7:$B$156,"&lt;"&amp;$B77)&gt;0),"The winner doesn't have the best "&amp;$D77&amp;" score",IF(AND($B$2="Final",COUNTIFS($D$7:$D$156,$D77,$C$7:$C$156,"Winner")=0),"Final: pick the "&amp;$D77&amp;" winner",IF($B$2="Not started","Set Status to In progress to count points","OK"))))))))</f>
        <v/>
      </c>
      <c r="J77" s="11">
        <f>IF(OR($A77="",NOT(ISNUMBER($B77))),"",IF($C77="Winner",1,COUNTIFS($D$7:$D$156,$D77,$B$7:$B$156,$B77)-IF(AND(NOT($C77="Winner"),COUNTIFS($D$7:$D$156,$D77,$C$7:$C$156,"Winner",$B$7:$B$156,$B77)&gt;0),1,0)))</f>
        <v/>
      </c>
    </row>
    <row r="78">
      <c r="D78" s="11">
        <f>IF($A78="","",IFERROR(IF(VLOOKUP($A78,Players!$A$2:$B$500,2,FALSE)="","Open",VLOOKUP($A78,Players!$A$2:$B$500,2,FALSE)),"Open"))</f>
        <v/>
      </c>
      <c r="E78" s="11">
        <f>IF(OR($A78="",NOT(ISNUMBER($B78))),"",IF($C78="Winner",1,COUNTIFS($D$7:$D$156,$D78,$B$7:$B$156,"&lt;"&amp;$B78)+1+IF(AND(NOT($C78="Winner"),COUNTIFS($D$7:$D$156,$D78,$C$7:$C$156,"Winner",$B$7:$B$156,$B78)&gt;0),1,0)))</f>
        <v/>
      </c>
      <c r="F78" s="11">
        <f>IF(OR($A78="",NOT(ISNUMBER($B78))),"",COUNTIFS($D$7:$D$156,$D78,$B$7:$B$156,"&gt;0"))</f>
        <v/>
      </c>
      <c r="G78" s="11">
        <f>IF(OR(OR($A78="",NOT(ISNUMBER($B78))),$B$2="Not started"),"",IF($C78="Winner",Points!$B$3,ROUND(Points!$B$3*IF($F78&lt;=1,1,Points!$H$7+(1-Points!$H$7)*((($F78-$E78)*(($F78-$E78)+1)/2)^2-((($F78-$E78-$J78+1)-1)*($F78-$E78-$J78+1)/2)^2)/($J78*($F78-1)^3)),0)))</f>
        <v/>
      </c>
      <c r="H78" s="11">
        <f>IF($A78="","",IF($B$2="Final","Final",IF($B$2="In progress","Projected","Not started")))</f>
        <v/>
      </c>
      <c r="I78" s="11">
        <f>IF($A78="","",IF(COUNTIF(Players!$A$2:$A$500,$A78)=0,"Player is not on the Players tab",IF(COUNTIF($A$7:$A$156,$A78)&gt;1,"Player is listed twice",IF(NOT(ISNUMBER($B78)),"Enter a score",IF(COUNTIFS($D$7:$D$156,$D78,$C$7:$C$156,"Winner")&gt;1,"More than one "&amp;$D78&amp;" winner picked",IF(AND($C78="Winner",COUNTIFS($D$7:$D$156,$D78,$B$7:$B$156,"&lt;"&amp;$B78)&gt;0),"The winner doesn't have the best "&amp;$D78&amp;" score",IF(AND($B$2="Final",COUNTIFS($D$7:$D$156,$D78,$C$7:$C$156,"Winner")=0),"Final: pick the "&amp;$D78&amp;" winner",IF($B$2="Not started","Set Status to In progress to count points","OK"))))))))</f>
        <v/>
      </c>
      <c r="J78" s="11">
        <f>IF(OR($A78="",NOT(ISNUMBER($B78))),"",IF($C78="Winner",1,COUNTIFS($D$7:$D$156,$D78,$B$7:$B$156,$B78)-IF(AND(NOT($C78="Winner"),COUNTIFS($D$7:$D$156,$D78,$C$7:$C$156,"Winner",$B$7:$B$156,$B78)&gt;0),1,0)))</f>
        <v/>
      </c>
    </row>
    <row r="79">
      <c r="D79" s="11">
        <f>IF($A79="","",IFERROR(IF(VLOOKUP($A79,Players!$A$2:$B$500,2,FALSE)="","Open",VLOOKUP($A79,Players!$A$2:$B$500,2,FALSE)),"Open"))</f>
        <v/>
      </c>
      <c r="E79" s="11">
        <f>IF(OR($A79="",NOT(ISNUMBER($B79))),"",IF($C79="Winner",1,COUNTIFS($D$7:$D$156,$D79,$B$7:$B$156,"&lt;"&amp;$B79)+1+IF(AND(NOT($C79="Winner"),COUNTIFS($D$7:$D$156,$D79,$C$7:$C$156,"Winner",$B$7:$B$156,$B79)&gt;0),1,0)))</f>
        <v/>
      </c>
      <c r="F79" s="11">
        <f>IF(OR($A79="",NOT(ISNUMBER($B79))),"",COUNTIFS($D$7:$D$156,$D79,$B$7:$B$156,"&gt;0"))</f>
        <v/>
      </c>
      <c r="G79" s="11">
        <f>IF(OR(OR($A79="",NOT(ISNUMBER($B79))),$B$2="Not started"),"",IF($C79="Winner",Points!$B$3,ROUND(Points!$B$3*IF($F79&lt;=1,1,Points!$H$7+(1-Points!$H$7)*((($F79-$E79)*(($F79-$E79)+1)/2)^2-((($F79-$E79-$J79+1)-1)*($F79-$E79-$J79+1)/2)^2)/($J79*($F79-1)^3)),0)))</f>
        <v/>
      </c>
      <c r="H79" s="11">
        <f>IF($A79="","",IF($B$2="Final","Final",IF($B$2="In progress","Projected","Not started")))</f>
        <v/>
      </c>
      <c r="I79" s="11">
        <f>IF($A79="","",IF(COUNTIF(Players!$A$2:$A$500,$A79)=0,"Player is not on the Players tab",IF(COUNTIF($A$7:$A$156,$A79)&gt;1,"Player is listed twice",IF(NOT(ISNUMBER($B79)),"Enter a score",IF(COUNTIFS($D$7:$D$156,$D79,$C$7:$C$156,"Winner")&gt;1,"More than one "&amp;$D79&amp;" winner picked",IF(AND($C79="Winner",COUNTIFS($D$7:$D$156,$D79,$B$7:$B$156,"&lt;"&amp;$B79)&gt;0),"The winner doesn't have the best "&amp;$D79&amp;" score",IF(AND($B$2="Final",COUNTIFS($D$7:$D$156,$D79,$C$7:$C$156,"Winner")=0),"Final: pick the "&amp;$D79&amp;" winner",IF($B$2="Not started","Set Status to In progress to count points","OK"))))))))</f>
        <v/>
      </c>
      <c r="J79" s="11">
        <f>IF(OR($A79="",NOT(ISNUMBER($B79))),"",IF($C79="Winner",1,COUNTIFS($D$7:$D$156,$D79,$B$7:$B$156,$B79)-IF(AND(NOT($C79="Winner"),COUNTIFS($D$7:$D$156,$D79,$C$7:$C$156,"Winner",$B$7:$B$156,$B79)&gt;0),1,0)))</f>
        <v/>
      </c>
    </row>
    <row r="80">
      <c r="D80" s="11">
        <f>IF($A80="","",IFERROR(IF(VLOOKUP($A80,Players!$A$2:$B$500,2,FALSE)="","Open",VLOOKUP($A80,Players!$A$2:$B$500,2,FALSE)),"Open"))</f>
        <v/>
      </c>
      <c r="E80" s="11">
        <f>IF(OR($A80="",NOT(ISNUMBER($B80))),"",IF($C80="Winner",1,COUNTIFS($D$7:$D$156,$D80,$B$7:$B$156,"&lt;"&amp;$B80)+1+IF(AND(NOT($C80="Winner"),COUNTIFS($D$7:$D$156,$D80,$C$7:$C$156,"Winner",$B$7:$B$156,$B80)&gt;0),1,0)))</f>
        <v/>
      </c>
      <c r="F80" s="11">
        <f>IF(OR($A80="",NOT(ISNUMBER($B80))),"",COUNTIFS($D$7:$D$156,$D80,$B$7:$B$156,"&gt;0"))</f>
        <v/>
      </c>
      <c r="G80" s="11">
        <f>IF(OR(OR($A80="",NOT(ISNUMBER($B80))),$B$2="Not started"),"",IF($C80="Winner",Points!$B$3,ROUND(Points!$B$3*IF($F80&lt;=1,1,Points!$H$7+(1-Points!$H$7)*((($F80-$E80)*(($F80-$E80)+1)/2)^2-((($F80-$E80-$J80+1)-1)*($F80-$E80-$J80+1)/2)^2)/($J80*($F80-1)^3)),0)))</f>
        <v/>
      </c>
      <c r="H80" s="11">
        <f>IF($A80="","",IF($B$2="Final","Final",IF($B$2="In progress","Projected","Not started")))</f>
        <v/>
      </c>
      <c r="I80" s="11">
        <f>IF($A80="","",IF(COUNTIF(Players!$A$2:$A$500,$A80)=0,"Player is not on the Players tab",IF(COUNTIF($A$7:$A$156,$A80)&gt;1,"Player is listed twice",IF(NOT(ISNUMBER($B80)),"Enter a score",IF(COUNTIFS($D$7:$D$156,$D80,$C$7:$C$156,"Winner")&gt;1,"More than one "&amp;$D80&amp;" winner picked",IF(AND($C80="Winner",COUNTIFS($D$7:$D$156,$D80,$B$7:$B$156,"&lt;"&amp;$B80)&gt;0),"The winner doesn't have the best "&amp;$D80&amp;" score",IF(AND($B$2="Final",COUNTIFS($D$7:$D$156,$D80,$C$7:$C$156,"Winner")=0),"Final: pick the "&amp;$D80&amp;" winner",IF($B$2="Not started","Set Status to In progress to count points","OK"))))))))</f>
        <v/>
      </c>
      <c r="J80" s="11">
        <f>IF(OR($A80="",NOT(ISNUMBER($B80))),"",IF($C80="Winner",1,COUNTIFS($D$7:$D$156,$D80,$B$7:$B$156,$B80)-IF(AND(NOT($C80="Winner"),COUNTIFS($D$7:$D$156,$D80,$C$7:$C$156,"Winner",$B$7:$B$156,$B80)&gt;0),1,0)))</f>
        <v/>
      </c>
    </row>
    <row r="81">
      <c r="D81" s="11">
        <f>IF($A81="","",IFERROR(IF(VLOOKUP($A81,Players!$A$2:$B$500,2,FALSE)="","Open",VLOOKUP($A81,Players!$A$2:$B$500,2,FALSE)),"Open"))</f>
        <v/>
      </c>
      <c r="E81" s="11">
        <f>IF(OR($A81="",NOT(ISNUMBER($B81))),"",IF($C81="Winner",1,COUNTIFS($D$7:$D$156,$D81,$B$7:$B$156,"&lt;"&amp;$B81)+1+IF(AND(NOT($C81="Winner"),COUNTIFS($D$7:$D$156,$D81,$C$7:$C$156,"Winner",$B$7:$B$156,$B81)&gt;0),1,0)))</f>
        <v/>
      </c>
      <c r="F81" s="11">
        <f>IF(OR($A81="",NOT(ISNUMBER($B81))),"",COUNTIFS($D$7:$D$156,$D81,$B$7:$B$156,"&gt;0"))</f>
        <v/>
      </c>
      <c r="G81" s="11">
        <f>IF(OR(OR($A81="",NOT(ISNUMBER($B81))),$B$2="Not started"),"",IF($C81="Winner",Points!$B$3,ROUND(Points!$B$3*IF($F81&lt;=1,1,Points!$H$7+(1-Points!$H$7)*((($F81-$E81)*(($F81-$E81)+1)/2)^2-((($F81-$E81-$J81+1)-1)*($F81-$E81-$J81+1)/2)^2)/($J81*($F81-1)^3)),0)))</f>
        <v/>
      </c>
      <c r="H81" s="11">
        <f>IF($A81="","",IF($B$2="Final","Final",IF($B$2="In progress","Projected","Not started")))</f>
        <v/>
      </c>
      <c r="I81" s="11">
        <f>IF($A81="","",IF(COUNTIF(Players!$A$2:$A$500,$A81)=0,"Player is not on the Players tab",IF(COUNTIF($A$7:$A$156,$A81)&gt;1,"Player is listed twice",IF(NOT(ISNUMBER($B81)),"Enter a score",IF(COUNTIFS($D$7:$D$156,$D81,$C$7:$C$156,"Winner")&gt;1,"More than one "&amp;$D81&amp;" winner picked",IF(AND($C81="Winner",COUNTIFS($D$7:$D$156,$D81,$B$7:$B$156,"&lt;"&amp;$B81)&gt;0),"The winner doesn't have the best "&amp;$D81&amp;" score",IF(AND($B$2="Final",COUNTIFS($D$7:$D$156,$D81,$C$7:$C$156,"Winner")=0),"Final: pick the "&amp;$D81&amp;" winner",IF($B$2="Not started","Set Status to In progress to count points","OK"))))))))</f>
        <v/>
      </c>
      <c r="J81" s="11">
        <f>IF(OR($A81="",NOT(ISNUMBER($B81))),"",IF($C81="Winner",1,COUNTIFS($D$7:$D$156,$D81,$B$7:$B$156,$B81)-IF(AND(NOT($C81="Winner"),COUNTIFS($D$7:$D$156,$D81,$C$7:$C$156,"Winner",$B$7:$B$156,$B81)&gt;0),1,0)))</f>
        <v/>
      </c>
    </row>
    <row r="82">
      <c r="D82" s="11">
        <f>IF($A82="","",IFERROR(IF(VLOOKUP($A82,Players!$A$2:$B$500,2,FALSE)="","Open",VLOOKUP($A82,Players!$A$2:$B$500,2,FALSE)),"Open"))</f>
        <v/>
      </c>
      <c r="E82" s="11">
        <f>IF(OR($A82="",NOT(ISNUMBER($B82))),"",IF($C82="Winner",1,COUNTIFS($D$7:$D$156,$D82,$B$7:$B$156,"&lt;"&amp;$B82)+1+IF(AND(NOT($C82="Winner"),COUNTIFS($D$7:$D$156,$D82,$C$7:$C$156,"Winner",$B$7:$B$156,$B82)&gt;0),1,0)))</f>
        <v/>
      </c>
      <c r="F82" s="11">
        <f>IF(OR($A82="",NOT(ISNUMBER($B82))),"",COUNTIFS($D$7:$D$156,$D82,$B$7:$B$156,"&gt;0"))</f>
        <v/>
      </c>
      <c r="G82" s="11">
        <f>IF(OR(OR($A82="",NOT(ISNUMBER($B82))),$B$2="Not started"),"",IF($C82="Winner",Points!$B$3,ROUND(Points!$B$3*IF($F82&lt;=1,1,Points!$H$7+(1-Points!$H$7)*((($F82-$E82)*(($F82-$E82)+1)/2)^2-((($F82-$E82-$J82+1)-1)*($F82-$E82-$J82+1)/2)^2)/($J82*($F82-1)^3)),0)))</f>
        <v/>
      </c>
      <c r="H82" s="11">
        <f>IF($A82="","",IF($B$2="Final","Final",IF($B$2="In progress","Projected","Not started")))</f>
        <v/>
      </c>
      <c r="I82" s="11">
        <f>IF($A82="","",IF(COUNTIF(Players!$A$2:$A$500,$A82)=0,"Player is not on the Players tab",IF(COUNTIF($A$7:$A$156,$A82)&gt;1,"Player is listed twice",IF(NOT(ISNUMBER($B82)),"Enter a score",IF(COUNTIFS($D$7:$D$156,$D82,$C$7:$C$156,"Winner")&gt;1,"More than one "&amp;$D82&amp;" winner picked",IF(AND($C82="Winner",COUNTIFS($D$7:$D$156,$D82,$B$7:$B$156,"&lt;"&amp;$B82)&gt;0),"The winner doesn't have the best "&amp;$D82&amp;" score",IF(AND($B$2="Final",COUNTIFS($D$7:$D$156,$D82,$C$7:$C$156,"Winner")=0),"Final: pick the "&amp;$D82&amp;" winner",IF($B$2="Not started","Set Status to In progress to count points","OK"))))))))</f>
        <v/>
      </c>
      <c r="J82" s="11">
        <f>IF(OR($A82="",NOT(ISNUMBER($B82))),"",IF($C82="Winner",1,COUNTIFS($D$7:$D$156,$D82,$B$7:$B$156,$B82)-IF(AND(NOT($C82="Winner"),COUNTIFS($D$7:$D$156,$D82,$C$7:$C$156,"Winner",$B$7:$B$156,$B82)&gt;0),1,0)))</f>
        <v/>
      </c>
    </row>
    <row r="83">
      <c r="D83" s="11">
        <f>IF($A83="","",IFERROR(IF(VLOOKUP($A83,Players!$A$2:$B$500,2,FALSE)="","Open",VLOOKUP($A83,Players!$A$2:$B$500,2,FALSE)),"Open"))</f>
        <v/>
      </c>
      <c r="E83" s="11">
        <f>IF(OR($A83="",NOT(ISNUMBER($B83))),"",IF($C83="Winner",1,COUNTIFS($D$7:$D$156,$D83,$B$7:$B$156,"&lt;"&amp;$B83)+1+IF(AND(NOT($C83="Winner"),COUNTIFS($D$7:$D$156,$D83,$C$7:$C$156,"Winner",$B$7:$B$156,$B83)&gt;0),1,0)))</f>
        <v/>
      </c>
      <c r="F83" s="11">
        <f>IF(OR($A83="",NOT(ISNUMBER($B83))),"",COUNTIFS($D$7:$D$156,$D83,$B$7:$B$156,"&gt;0"))</f>
        <v/>
      </c>
      <c r="G83" s="11">
        <f>IF(OR(OR($A83="",NOT(ISNUMBER($B83))),$B$2="Not started"),"",IF($C83="Winner",Points!$B$3,ROUND(Points!$B$3*IF($F83&lt;=1,1,Points!$H$7+(1-Points!$H$7)*((($F83-$E83)*(($F83-$E83)+1)/2)^2-((($F83-$E83-$J83+1)-1)*($F83-$E83-$J83+1)/2)^2)/($J83*($F83-1)^3)),0)))</f>
        <v/>
      </c>
      <c r="H83" s="11">
        <f>IF($A83="","",IF($B$2="Final","Final",IF($B$2="In progress","Projected","Not started")))</f>
        <v/>
      </c>
      <c r="I83" s="11">
        <f>IF($A83="","",IF(COUNTIF(Players!$A$2:$A$500,$A83)=0,"Player is not on the Players tab",IF(COUNTIF($A$7:$A$156,$A83)&gt;1,"Player is listed twice",IF(NOT(ISNUMBER($B83)),"Enter a score",IF(COUNTIFS($D$7:$D$156,$D83,$C$7:$C$156,"Winner")&gt;1,"More than one "&amp;$D83&amp;" winner picked",IF(AND($C83="Winner",COUNTIFS($D$7:$D$156,$D83,$B$7:$B$156,"&lt;"&amp;$B83)&gt;0),"The winner doesn't have the best "&amp;$D83&amp;" score",IF(AND($B$2="Final",COUNTIFS($D$7:$D$156,$D83,$C$7:$C$156,"Winner")=0),"Final: pick the "&amp;$D83&amp;" winner",IF($B$2="Not started","Set Status to In progress to count points","OK"))))))))</f>
        <v/>
      </c>
      <c r="J83" s="11">
        <f>IF(OR($A83="",NOT(ISNUMBER($B83))),"",IF($C83="Winner",1,COUNTIFS($D$7:$D$156,$D83,$B$7:$B$156,$B83)-IF(AND(NOT($C83="Winner"),COUNTIFS($D$7:$D$156,$D83,$C$7:$C$156,"Winner",$B$7:$B$156,$B83)&gt;0),1,0)))</f>
        <v/>
      </c>
    </row>
    <row r="84">
      <c r="D84" s="11">
        <f>IF($A84="","",IFERROR(IF(VLOOKUP($A84,Players!$A$2:$B$500,2,FALSE)="","Open",VLOOKUP($A84,Players!$A$2:$B$500,2,FALSE)),"Open"))</f>
        <v/>
      </c>
      <c r="E84" s="11">
        <f>IF(OR($A84="",NOT(ISNUMBER($B84))),"",IF($C84="Winner",1,COUNTIFS($D$7:$D$156,$D84,$B$7:$B$156,"&lt;"&amp;$B84)+1+IF(AND(NOT($C84="Winner"),COUNTIFS($D$7:$D$156,$D84,$C$7:$C$156,"Winner",$B$7:$B$156,$B84)&gt;0),1,0)))</f>
        <v/>
      </c>
      <c r="F84" s="11">
        <f>IF(OR($A84="",NOT(ISNUMBER($B84))),"",COUNTIFS($D$7:$D$156,$D84,$B$7:$B$156,"&gt;0"))</f>
        <v/>
      </c>
      <c r="G84" s="11">
        <f>IF(OR(OR($A84="",NOT(ISNUMBER($B84))),$B$2="Not started"),"",IF($C84="Winner",Points!$B$3,ROUND(Points!$B$3*IF($F84&lt;=1,1,Points!$H$7+(1-Points!$H$7)*((($F84-$E84)*(($F84-$E84)+1)/2)^2-((($F84-$E84-$J84+1)-1)*($F84-$E84-$J84+1)/2)^2)/($J84*($F84-1)^3)),0)))</f>
        <v/>
      </c>
      <c r="H84" s="11">
        <f>IF($A84="","",IF($B$2="Final","Final",IF($B$2="In progress","Projected","Not started")))</f>
        <v/>
      </c>
      <c r="I84" s="11">
        <f>IF($A84="","",IF(COUNTIF(Players!$A$2:$A$500,$A84)=0,"Player is not on the Players tab",IF(COUNTIF($A$7:$A$156,$A84)&gt;1,"Player is listed twice",IF(NOT(ISNUMBER($B84)),"Enter a score",IF(COUNTIFS($D$7:$D$156,$D84,$C$7:$C$156,"Winner")&gt;1,"More than one "&amp;$D84&amp;" winner picked",IF(AND($C84="Winner",COUNTIFS($D$7:$D$156,$D84,$B$7:$B$156,"&lt;"&amp;$B84)&gt;0),"The winner doesn't have the best "&amp;$D84&amp;" score",IF(AND($B$2="Final",COUNTIFS($D$7:$D$156,$D84,$C$7:$C$156,"Winner")=0),"Final: pick the "&amp;$D84&amp;" winner",IF($B$2="Not started","Set Status to In progress to count points","OK"))))))))</f>
        <v/>
      </c>
      <c r="J84" s="11">
        <f>IF(OR($A84="",NOT(ISNUMBER($B84))),"",IF($C84="Winner",1,COUNTIFS($D$7:$D$156,$D84,$B$7:$B$156,$B84)-IF(AND(NOT($C84="Winner"),COUNTIFS($D$7:$D$156,$D84,$C$7:$C$156,"Winner",$B$7:$B$156,$B84)&gt;0),1,0)))</f>
        <v/>
      </c>
    </row>
    <row r="85">
      <c r="D85" s="11">
        <f>IF($A85="","",IFERROR(IF(VLOOKUP($A85,Players!$A$2:$B$500,2,FALSE)="","Open",VLOOKUP($A85,Players!$A$2:$B$500,2,FALSE)),"Open"))</f>
        <v/>
      </c>
      <c r="E85" s="11">
        <f>IF(OR($A85="",NOT(ISNUMBER($B85))),"",IF($C85="Winner",1,COUNTIFS($D$7:$D$156,$D85,$B$7:$B$156,"&lt;"&amp;$B85)+1+IF(AND(NOT($C85="Winner"),COUNTIFS($D$7:$D$156,$D85,$C$7:$C$156,"Winner",$B$7:$B$156,$B85)&gt;0),1,0)))</f>
        <v/>
      </c>
      <c r="F85" s="11">
        <f>IF(OR($A85="",NOT(ISNUMBER($B85))),"",COUNTIFS($D$7:$D$156,$D85,$B$7:$B$156,"&gt;0"))</f>
        <v/>
      </c>
      <c r="G85" s="11">
        <f>IF(OR(OR($A85="",NOT(ISNUMBER($B85))),$B$2="Not started"),"",IF($C85="Winner",Points!$B$3,ROUND(Points!$B$3*IF($F85&lt;=1,1,Points!$H$7+(1-Points!$H$7)*((($F85-$E85)*(($F85-$E85)+1)/2)^2-((($F85-$E85-$J85+1)-1)*($F85-$E85-$J85+1)/2)^2)/($J85*($F85-1)^3)),0)))</f>
        <v/>
      </c>
      <c r="H85" s="11">
        <f>IF($A85="","",IF($B$2="Final","Final",IF($B$2="In progress","Projected","Not started")))</f>
        <v/>
      </c>
      <c r="I85" s="11">
        <f>IF($A85="","",IF(COUNTIF(Players!$A$2:$A$500,$A85)=0,"Player is not on the Players tab",IF(COUNTIF($A$7:$A$156,$A85)&gt;1,"Player is listed twice",IF(NOT(ISNUMBER($B85)),"Enter a score",IF(COUNTIFS($D$7:$D$156,$D85,$C$7:$C$156,"Winner")&gt;1,"More than one "&amp;$D85&amp;" winner picked",IF(AND($C85="Winner",COUNTIFS($D$7:$D$156,$D85,$B$7:$B$156,"&lt;"&amp;$B85)&gt;0),"The winner doesn't have the best "&amp;$D85&amp;" score",IF(AND($B$2="Final",COUNTIFS($D$7:$D$156,$D85,$C$7:$C$156,"Winner")=0),"Final: pick the "&amp;$D85&amp;" winner",IF($B$2="Not started","Set Status to In progress to count points","OK"))))))))</f>
        <v/>
      </c>
      <c r="J85" s="11">
        <f>IF(OR($A85="",NOT(ISNUMBER($B85))),"",IF($C85="Winner",1,COUNTIFS($D$7:$D$156,$D85,$B$7:$B$156,$B85)-IF(AND(NOT($C85="Winner"),COUNTIFS($D$7:$D$156,$D85,$C$7:$C$156,"Winner",$B$7:$B$156,$B85)&gt;0),1,0)))</f>
        <v/>
      </c>
    </row>
    <row r="86">
      <c r="D86" s="11">
        <f>IF($A86="","",IFERROR(IF(VLOOKUP($A86,Players!$A$2:$B$500,2,FALSE)="","Open",VLOOKUP($A86,Players!$A$2:$B$500,2,FALSE)),"Open"))</f>
        <v/>
      </c>
      <c r="E86" s="11">
        <f>IF(OR($A86="",NOT(ISNUMBER($B86))),"",IF($C86="Winner",1,COUNTIFS($D$7:$D$156,$D86,$B$7:$B$156,"&lt;"&amp;$B86)+1+IF(AND(NOT($C86="Winner"),COUNTIFS($D$7:$D$156,$D86,$C$7:$C$156,"Winner",$B$7:$B$156,$B86)&gt;0),1,0)))</f>
        <v/>
      </c>
      <c r="F86" s="11">
        <f>IF(OR($A86="",NOT(ISNUMBER($B86))),"",COUNTIFS($D$7:$D$156,$D86,$B$7:$B$156,"&gt;0"))</f>
        <v/>
      </c>
      <c r="G86" s="11">
        <f>IF(OR(OR($A86="",NOT(ISNUMBER($B86))),$B$2="Not started"),"",IF($C86="Winner",Points!$B$3,ROUND(Points!$B$3*IF($F86&lt;=1,1,Points!$H$7+(1-Points!$H$7)*((($F86-$E86)*(($F86-$E86)+1)/2)^2-((($F86-$E86-$J86+1)-1)*($F86-$E86-$J86+1)/2)^2)/($J86*($F86-1)^3)),0)))</f>
        <v/>
      </c>
      <c r="H86" s="11">
        <f>IF($A86="","",IF($B$2="Final","Final",IF($B$2="In progress","Projected","Not started")))</f>
        <v/>
      </c>
      <c r="I86" s="11">
        <f>IF($A86="","",IF(COUNTIF(Players!$A$2:$A$500,$A86)=0,"Player is not on the Players tab",IF(COUNTIF($A$7:$A$156,$A86)&gt;1,"Player is listed twice",IF(NOT(ISNUMBER($B86)),"Enter a score",IF(COUNTIFS($D$7:$D$156,$D86,$C$7:$C$156,"Winner")&gt;1,"More than one "&amp;$D86&amp;" winner picked",IF(AND($C86="Winner",COUNTIFS($D$7:$D$156,$D86,$B$7:$B$156,"&lt;"&amp;$B86)&gt;0),"The winner doesn't have the best "&amp;$D86&amp;" score",IF(AND($B$2="Final",COUNTIFS($D$7:$D$156,$D86,$C$7:$C$156,"Winner")=0),"Final: pick the "&amp;$D86&amp;" winner",IF($B$2="Not started","Set Status to In progress to count points","OK"))))))))</f>
        <v/>
      </c>
      <c r="J86" s="11">
        <f>IF(OR($A86="",NOT(ISNUMBER($B86))),"",IF($C86="Winner",1,COUNTIFS($D$7:$D$156,$D86,$B$7:$B$156,$B86)-IF(AND(NOT($C86="Winner"),COUNTIFS($D$7:$D$156,$D86,$C$7:$C$156,"Winner",$B$7:$B$156,$B86)&gt;0),1,0)))</f>
        <v/>
      </c>
    </row>
    <row r="87">
      <c r="D87" s="11">
        <f>IF($A87="","",IFERROR(IF(VLOOKUP($A87,Players!$A$2:$B$500,2,FALSE)="","Open",VLOOKUP($A87,Players!$A$2:$B$500,2,FALSE)),"Open"))</f>
        <v/>
      </c>
      <c r="E87" s="11">
        <f>IF(OR($A87="",NOT(ISNUMBER($B87))),"",IF($C87="Winner",1,COUNTIFS($D$7:$D$156,$D87,$B$7:$B$156,"&lt;"&amp;$B87)+1+IF(AND(NOT($C87="Winner"),COUNTIFS($D$7:$D$156,$D87,$C$7:$C$156,"Winner",$B$7:$B$156,$B87)&gt;0),1,0)))</f>
        <v/>
      </c>
      <c r="F87" s="11">
        <f>IF(OR($A87="",NOT(ISNUMBER($B87))),"",COUNTIFS($D$7:$D$156,$D87,$B$7:$B$156,"&gt;0"))</f>
        <v/>
      </c>
      <c r="G87" s="11">
        <f>IF(OR(OR($A87="",NOT(ISNUMBER($B87))),$B$2="Not started"),"",IF($C87="Winner",Points!$B$3,ROUND(Points!$B$3*IF($F87&lt;=1,1,Points!$H$7+(1-Points!$H$7)*((($F87-$E87)*(($F87-$E87)+1)/2)^2-((($F87-$E87-$J87+1)-1)*($F87-$E87-$J87+1)/2)^2)/($J87*($F87-1)^3)),0)))</f>
        <v/>
      </c>
      <c r="H87" s="11">
        <f>IF($A87="","",IF($B$2="Final","Final",IF($B$2="In progress","Projected","Not started")))</f>
        <v/>
      </c>
      <c r="I87" s="11">
        <f>IF($A87="","",IF(COUNTIF(Players!$A$2:$A$500,$A87)=0,"Player is not on the Players tab",IF(COUNTIF($A$7:$A$156,$A87)&gt;1,"Player is listed twice",IF(NOT(ISNUMBER($B87)),"Enter a score",IF(COUNTIFS($D$7:$D$156,$D87,$C$7:$C$156,"Winner")&gt;1,"More than one "&amp;$D87&amp;" winner picked",IF(AND($C87="Winner",COUNTIFS($D$7:$D$156,$D87,$B$7:$B$156,"&lt;"&amp;$B87)&gt;0),"The winner doesn't have the best "&amp;$D87&amp;" score",IF(AND($B$2="Final",COUNTIFS($D$7:$D$156,$D87,$C$7:$C$156,"Winner")=0),"Final: pick the "&amp;$D87&amp;" winner",IF($B$2="Not started","Set Status to In progress to count points","OK"))))))))</f>
        <v/>
      </c>
      <c r="J87" s="11">
        <f>IF(OR($A87="",NOT(ISNUMBER($B87))),"",IF($C87="Winner",1,COUNTIFS($D$7:$D$156,$D87,$B$7:$B$156,$B87)-IF(AND(NOT($C87="Winner"),COUNTIFS($D$7:$D$156,$D87,$C$7:$C$156,"Winner",$B$7:$B$156,$B87)&gt;0),1,0)))</f>
        <v/>
      </c>
    </row>
    <row r="88">
      <c r="D88" s="11">
        <f>IF($A88="","",IFERROR(IF(VLOOKUP($A88,Players!$A$2:$B$500,2,FALSE)="","Open",VLOOKUP($A88,Players!$A$2:$B$500,2,FALSE)),"Open"))</f>
        <v/>
      </c>
      <c r="E88" s="11">
        <f>IF(OR($A88="",NOT(ISNUMBER($B88))),"",IF($C88="Winner",1,COUNTIFS($D$7:$D$156,$D88,$B$7:$B$156,"&lt;"&amp;$B88)+1+IF(AND(NOT($C88="Winner"),COUNTIFS($D$7:$D$156,$D88,$C$7:$C$156,"Winner",$B$7:$B$156,$B88)&gt;0),1,0)))</f>
        <v/>
      </c>
      <c r="F88" s="11">
        <f>IF(OR($A88="",NOT(ISNUMBER($B88))),"",COUNTIFS($D$7:$D$156,$D88,$B$7:$B$156,"&gt;0"))</f>
        <v/>
      </c>
      <c r="G88" s="11">
        <f>IF(OR(OR($A88="",NOT(ISNUMBER($B88))),$B$2="Not started"),"",IF($C88="Winner",Points!$B$3,ROUND(Points!$B$3*IF($F88&lt;=1,1,Points!$H$7+(1-Points!$H$7)*((($F88-$E88)*(($F88-$E88)+1)/2)^2-((($F88-$E88-$J88+1)-1)*($F88-$E88-$J88+1)/2)^2)/($J88*($F88-1)^3)),0)))</f>
        <v/>
      </c>
      <c r="H88" s="11">
        <f>IF($A88="","",IF($B$2="Final","Final",IF($B$2="In progress","Projected","Not started")))</f>
        <v/>
      </c>
      <c r="I88" s="11">
        <f>IF($A88="","",IF(COUNTIF(Players!$A$2:$A$500,$A88)=0,"Player is not on the Players tab",IF(COUNTIF($A$7:$A$156,$A88)&gt;1,"Player is listed twice",IF(NOT(ISNUMBER($B88)),"Enter a score",IF(COUNTIFS($D$7:$D$156,$D88,$C$7:$C$156,"Winner")&gt;1,"More than one "&amp;$D88&amp;" winner picked",IF(AND($C88="Winner",COUNTIFS($D$7:$D$156,$D88,$B$7:$B$156,"&lt;"&amp;$B88)&gt;0),"The winner doesn't have the best "&amp;$D88&amp;" score",IF(AND($B$2="Final",COUNTIFS($D$7:$D$156,$D88,$C$7:$C$156,"Winner")=0),"Final: pick the "&amp;$D88&amp;" winner",IF($B$2="Not started","Set Status to In progress to count points","OK"))))))))</f>
        <v/>
      </c>
      <c r="J88" s="11">
        <f>IF(OR($A88="",NOT(ISNUMBER($B88))),"",IF($C88="Winner",1,COUNTIFS($D$7:$D$156,$D88,$B$7:$B$156,$B88)-IF(AND(NOT($C88="Winner"),COUNTIFS($D$7:$D$156,$D88,$C$7:$C$156,"Winner",$B$7:$B$156,$B88)&gt;0),1,0)))</f>
        <v/>
      </c>
    </row>
    <row r="89">
      <c r="D89" s="11">
        <f>IF($A89="","",IFERROR(IF(VLOOKUP($A89,Players!$A$2:$B$500,2,FALSE)="","Open",VLOOKUP($A89,Players!$A$2:$B$500,2,FALSE)),"Open"))</f>
        <v/>
      </c>
      <c r="E89" s="11">
        <f>IF(OR($A89="",NOT(ISNUMBER($B89))),"",IF($C89="Winner",1,COUNTIFS($D$7:$D$156,$D89,$B$7:$B$156,"&lt;"&amp;$B89)+1+IF(AND(NOT($C89="Winner"),COUNTIFS($D$7:$D$156,$D89,$C$7:$C$156,"Winner",$B$7:$B$156,$B89)&gt;0),1,0)))</f>
        <v/>
      </c>
      <c r="F89" s="11">
        <f>IF(OR($A89="",NOT(ISNUMBER($B89))),"",COUNTIFS($D$7:$D$156,$D89,$B$7:$B$156,"&gt;0"))</f>
        <v/>
      </c>
      <c r="G89" s="11">
        <f>IF(OR(OR($A89="",NOT(ISNUMBER($B89))),$B$2="Not started"),"",IF($C89="Winner",Points!$B$3,ROUND(Points!$B$3*IF($F89&lt;=1,1,Points!$H$7+(1-Points!$H$7)*((($F89-$E89)*(($F89-$E89)+1)/2)^2-((($F89-$E89-$J89+1)-1)*($F89-$E89-$J89+1)/2)^2)/($J89*($F89-1)^3)),0)))</f>
        <v/>
      </c>
      <c r="H89" s="11">
        <f>IF($A89="","",IF($B$2="Final","Final",IF($B$2="In progress","Projected","Not started")))</f>
        <v/>
      </c>
      <c r="I89" s="11">
        <f>IF($A89="","",IF(COUNTIF(Players!$A$2:$A$500,$A89)=0,"Player is not on the Players tab",IF(COUNTIF($A$7:$A$156,$A89)&gt;1,"Player is listed twice",IF(NOT(ISNUMBER($B89)),"Enter a score",IF(COUNTIFS($D$7:$D$156,$D89,$C$7:$C$156,"Winner")&gt;1,"More than one "&amp;$D89&amp;" winner picked",IF(AND($C89="Winner",COUNTIFS($D$7:$D$156,$D89,$B$7:$B$156,"&lt;"&amp;$B89)&gt;0),"The winner doesn't have the best "&amp;$D89&amp;" score",IF(AND($B$2="Final",COUNTIFS($D$7:$D$156,$D89,$C$7:$C$156,"Winner")=0),"Final: pick the "&amp;$D89&amp;" winner",IF($B$2="Not started","Set Status to In progress to count points","OK"))))))))</f>
        <v/>
      </c>
      <c r="J89" s="11">
        <f>IF(OR($A89="",NOT(ISNUMBER($B89))),"",IF($C89="Winner",1,COUNTIFS($D$7:$D$156,$D89,$B$7:$B$156,$B89)-IF(AND(NOT($C89="Winner"),COUNTIFS($D$7:$D$156,$D89,$C$7:$C$156,"Winner",$B$7:$B$156,$B89)&gt;0),1,0)))</f>
        <v/>
      </c>
    </row>
    <row r="90">
      <c r="D90" s="11">
        <f>IF($A90="","",IFERROR(IF(VLOOKUP($A90,Players!$A$2:$B$500,2,FALSE)="","Open",VLOOKUP($A90,Players!$A$2:$B$500,2,FALSE)),"Open"))</f>
        <v/>
      </c>
      <c r="E90" s="11">
        <f>IF(OR($A90="",NOT(ISNUMBER($B90))),"",IF($C90="Winner",1,COUNTIFS($D$7:$D$156,$D90,$B$7:$B$156,"&lt;"&amp;$B90)+1+IF(AND(NOT($C90="Winner"),COUNTIFS($D$7:$D$156,$D90,$C$7:$C$156,"Winner",$B$7:$B$156,$B90)&gt;0),1,0)))</f>
        <v/>
      </c>
      <c r="F90" s="11">
        <f>IF(OR($A90="",NOT(ISNUMBER($B90))),"",COUNTIFS($D$7:$D$156,$D90,$B$7:$B$156,"&gt;0"))</f>
        <v/>
      </c>
      <c r="G90" s="11">
        <f>IF(OR(OR($A90="",NOT(ISNUMBER($B90))),$B$2="Not started"),"",IF($C90="Winner",Points!$B$3,ROUND(Points!$B$3*IF($F90&lt;=1,1,Points!$H$7+(1-Points!$H$7)*((($F90-$E90)*(($F90-$E90)+1)/2)^2-((($F90-$E90-$J90+1)-1)*($F90-$E90-$J90+1)/2)^2)/($J90*($F90-1)^3)),0)))</f>
        <v/>
      </c>
      <c r="H90" s="11">
        <f>IF($A90="","",IF($B$2="Final","Final",IF($B$2="In progress","Projected","Not started")))</f>
        <v/>
      </c>
      <c r="I90" s="11">
        <f>IF($A90="","",IF(COUNTIF(Players!$A$2:$A$500,$A90)=0,"Player is not on the Players tab",IF(COUNTIF($A$7:$A$156,$A90)&gt;1,"Player is listed twice",IF(NOT(ISNUMBER($B90)),"Enter a score",IF(COUNTIFS($D$7:$D$156,$D90,$C$7:$C$156,"Winner")&gt;1,"More than one "&amp;$D90&amp;" winner picked",IF(AND($C90="Winner",COUNTIFS($D$7:$D$156,$D90,$B$7:$B$156,"&lt;"&amp;$B90)&gt;0),"The winner doesn't have the best "&amp;$D90&amp;" score",IF(AND($B$2="Final",COUNTIFS($D$7:$D$156,$D90,$C$7:$C$156,"Winner")=0),"Final: pick the "&amp;$D90&amp;" winner",IF($B$2="Not started","Set Status to In progress to count points","OK"))))))))</f>
        <v/>
      </c>
      <c r="J90" s="11">
        <f>IF(OR($A90="",NOT(ISNUMBER($B90))),"",IF($C90="Winner",1,COUNTIFS($D$7:$D$156,$D90,$B$7:$B$156,$B90)-IF(AND(NOT($C90="Winner"),COUNTIFS($D$7:$D$156,$D90,$C$7:$C$156,"Winner",$B$7:$B$156,$B90)&gt;0),1,0)))</f>
        <v/>
      </c>
    </row>
    <row r="91">
      <c r="D91" s="11">
        <f>IF($A91="","",IFERROR(IF(VLOOKUP($A91,Players!$A$2:$B$500,2,FALSE)="","Open",VLOOKUP($A91,Players!$A$2:$B$500,2,FALSE)),"Open"))</f>
        <v/>
      </c>
      <c r="E91" s="11">
        <f>IF(OR($A91="",NOT(ISNUMBER($B91))),"",IF($C91="Winner",1,COUNTIFS($D$7:$D$156,$D91,$B$7:$B$156,"&lt;"&amp;$B91)+1+IF(AND(NOT($C91="Winner"),COUNTIFS($D$7:$D$156,$D91,$C$7:$C$156,"Winner",$B$7:$B$156,$B91)&gt;0),1,0)))</f>
        <v/>
      </c>
      <c r="F91" s="11">
        <f>IF(OR($A91="",NOT(ISNUMBER($B91))),"",COUNTIFS($D$7:$D$156,$D91,$B$7:$B$156,"&gt;0"))</f>
        <v/>
      </c>
      <c r="G91" s="11">
        <f>IF(OR(OR($A91="",NOT(ISNUMBER($B91))),$B$2="Not started"),"",IF($C91="Winner",Points!$B$3,ROUND(Points!$B$3*IF($F91&lt;=1,1,Points!$H$7+(1-Points!$H$7)*((($F91-$E91)*(($F91-$E91)+1)/2)^2-((($F91-$E91-$J91+1)-1)*($F91-$E91-$J91+1)/2)^2)/($J91*($F91-1)^3)),0)))</f>
        <v/>
      </c>
      <c r="H91" s="11">
        <f>IF($A91="","",IF($B$2="Final","Final",IF($B$2="In progress","Projected","Not started")))</f>
        <v/>
      </c>
      <c r="I91" s="11">
        <f>IF($A91="","",IF(COUNTIF(Players!$A$2:$A$500,$A91)=0,"Player is not on the Players tab",IF(COUNTIF($A$7:$A$156,$A91)&gt;1,"Player is listed twice",IF(NOT(ISNUMBER($B91)),"Enter a score",IF(COUNTIFS($D$7:$D$156,$D91,$C$7:$C$156,"Winner")&gt;1,"More than one "&amp;$D91&amp;" winner picked",IF(AND($C91="Winner",COUNTIFS($D$7:$D$156,$D91,$B$7:$B$156,"&lt;"&amp;$B91)&gt;0),"The winner doesn't have the best "&amp;$D91&amp;" score",IF(AND($B$2="Final",COUNTIFS($D$7:$D$156,$D91,$C$7:$C$156,"Winner")=0),"Final: pick the "&amp;$D91&amp;" winner",IF($B$2="Not started","Set Status to In progress to count points","OK"))))))))</f>
        <v/>
      </c>
      <c r="J91" s="11">
        <f>IF(OR($A91="",NOT(ISNUMBER($B91))),"",IF($C91="Winner",1,COUNTIFS($D$7:$D$156,$D91,$B$7:$B$156,$B91)-IF(AND(NOT($C91="Winner"),COUNTIFS($D$7:$D$156,$D91,$C$7:$C$156,"Winner",$B$7:$B$156,$B91)&gt;0),1,0)))</f>
        <v/>
      </c>
    </row>
    <row r="92">
      <c r="D92" s="11">
        <f>IF($A92="","",IFERROR(IF(VLOOKUP($A92,Players!$A$2:$B$500,2,FALSE)="","Open",VLOOKUP($A92,Players!$A$2:$B$500,2,FALSE)),"Open"))</f>
        <v/>
      </c>
      <c r="E92" s="11">
        <f>IF(OR($A92="",NOT(ISNUMBER($B92))),"",IF($C92="Winner",1,COUNTIFS($D$7:$D$156,$D92,$B$7:$B$156,"&lt;"&amp;$B92)+1+IF(AND(NOT($C92="Winner"),COUNTIFS($D$7:$D$156,$D92,$C$7:$C$156,"Winner",$B$7:$B$156,$B92)&gt;0),1,0)))</f>
        <v/>
      </c>
      <c r="F92" s="11">
        <f>IF(OR($A92="",NOT(ISNUMBER($B92))),"",COUNTIFS($D$7:$D$156,$D92,$B$7:$B$156,"&gt;0"))</f>
        <v/>
      </c>
      <c r="G92" s="11">
        <f>IF(OR(OR($A92="",NOT(ISNUMBER($B92))),$B$2="Not started"),"",IF($C92="Winner",Points!$B$3,ROUND(Points!$B$3*IF($F92&lt;=1,1,Points!$H$7+(1-Points!$H$7)*((($F92-$E92)*(($F92-$E92)+1)/2)^2-((($F92-$E92-$J92+1)-1)*($F92-$E92-$J92+1)/2)^2)/($J92*($F92-1)^3)),0)))</f>
        <v/>
      </c>
      <c r="H92" s="11">
        <f>IF($A92="","",IF($B$2="Final","Final",IF($B$2="In progress","Projected","Not started")))</f>
        <v/>
      </c>
      <c r="I92" s="11">
        <f>IF($A92="","",IF(COUNTIF(Players!$A$2:$A$500,$A92)=0,"Player is not on the Players tab",IF(COUNTIF($A$7:$A$156,$A92)&gt;1,"Player is listed twice",IF(NOT(ISNUMBER($B92)),"Enter a score",IF(COUNTIFS($D$7:$D$156,$D92,$C$7:$C$156,"Winner")&gt;1,"More than one "&amp;$D92&amp;" winner picked",IF(AND($C92="Winner",COUNTIFS($D$7:$D$156,$D92,$B$7:$B$156,"&lt;"&amp;$B92)&gt;0),"The winner doesn't have the best "&amp;$D92&amp;" score",IF(AND($B$2="Final",COUNTIFS($D$7:$D$156,$D92,$C$7:$C$156,"Winner")=0),"Final: pick the "&amp;$D92&amp;" winner",IF($B$2="Not started","Set Status to In progress to count points","OK"))))))))</f>
        <v/>
      </c>
      <c r="J92" s="11">
        <f>IF(OR($A92="",NOT(ISNUMBER($B92))),"",IF($C92="Winner",1,COUNTIFS($D$7:$D$156,$D92,$B$7:$B$156,$B92)-IF(AND(NOT($C92="Winner"),COUNTIFS($D$7:$D$156,$D92,$C$7:$C$156,"Winner",$B$7:$B$156,$B92)&gt;0),1,0)))</f>
        <v/>
      </c>
    </row>
    <row r="93">
      <c r="D93" s="11">
        <f>IF($A93="","",IFERROR(IF(VLOOKUP($A93,Players!$A$2:$B$500,2,FALSE)="","Open",VLOOKUP($A93,Players!$A$2:$B$500,2,FALSE)),"Open"))</f>
        <v/>
      </c>
      <c r="E93" s="11">
        <f>IF(OR($A93="",NOT(ISNUMBER($B93))),"",IF($C93="Winner",1,COUNTIFS($D$7:$D$156,$D93,$B$7:$B$156,"&lt;"&amp;$B93)+1+IF(AND(NOT($C93="Winner"),COUNTIFS($D$7:$D$156,$D93,$C$7:$C$156,"Winner",$B$7:$B$156,$B93)&gt;0),1,0)))</f>
        <v/>
      </c>
      <c r="F93" s="11">
        <f>IF(OR($A93="",NOT(ISNUMBER($B93))),"",COUNTIFS($D$7:$D$156,$D93,$B$7:$B$156,"&gt;0"))</f>
        <v/>
      </c>
      <c r="G93" s="11">
        <f>IF(OR(OR($A93="",NOT(ISNUMBER($B93))),$B$2="Not started"),"",IF($C93="Winner",Points!$B$3,ROUND(Points!$B$3*IF($F93&lt;=1,1,Points!$H$7+(1-Points!$H$7)*((($F93-$E93)*(($F93-$E93)+1)/2)^2-((($F93-$E93-$J93+1)-1)*($F93-$E93-$J93+1)/2)^2)/($J93*($F93-1)^3)),0)))</f>
        <v/>
      </c>
      <c r="H93" s="11">
        <f>IF($A93="","",IF($B$2="Final","Final",IF($B$2="In progress","Projected","Not started")))</f>
        <v/>
      </c>
      <c r="I93" s="11">
        <f>IF($A93="","",IF(COUNTIF(Players!$A$2:$A$500,$A93)=0,"Player is not on the Players tab",IF(COUNTIF($A$7:$A$156,$A93)&gt;1,"Player is listed twice",IF(NOT(ISNUMBER($B93)),"Enter a score",IF(COUNTIFS($D$7:$D$156,$D93,$C$7:$C$156,"Winner")&gt;1,"More than one "&amp;$D93&amp;" winner picked",IF(AND($C93="Winner",COUNTIFS($D$7:$D$156,$D93,$B$7:$B$156,"&lt;"&amp;$B93)&gt;0),"The winner doesn't have the best "&amp;$D93&amp;" score",IF(AND($B$2="Final",COUNTIFS($D$7:$D$156,$D93,$C$7:$C$156,"Winner")=0),"Final: pick the "&amp;$D93&amp;" winner",IF($B$2="Not started","Set Status to In progress to count points","OK"))))))))</f>
        <v/>
      </c>
      <c r="J93" s="11">
        <f>IF(OR($A93="",NOT(ISNUMBER($B93))),"",IF($C93="Winner",1,COUNTIFS($D$7:$D$156,$D93,$B$7:$B$156,$B93)-IF(AND(NOT($C93="Winner"),COUNTIFS($D$7:$D$156,$D93,$C$7:$C$156,"Winner",$B$7:$B$156,$B93)&gt;0),1,0)))</f>
        <v/>
      </c>
    </row>
    <row r="94">
      <c r="D94" s="11">
        <f>IF($A94="","",IFERROR(IF(VLOOKUP($A94,Players!$A$2:$B$500,2,FALSE)="","Open",VLOOKUP($A94,Players!$A$2:$B$500,2,FALSE)),"Open"))</f>
        <v/>
      </c>
      <c r="E94" s="11">
        <f>IF(OR($A94="",NOT(ISNUMBER($B94))),"",IF($C94="Winner",1,COUNTIFS($D$7:$D$156,$D94,$B$7:$B$156,"&lt;"&amp;$B94)+1+IF(AND(NOT($C94="Winner"),COUNTIFS($D$7:$D$156,$D94,$C$7:$C$156,"Winner",$B$7:$B$156,$B94)&gt;0),1,0)))</f>
        <v/>
      </c>
      <c r="F94" s="11">
        <f>IF(OR($A94="",NOT(ISNUMBER($B94))),"",COUNTIFS($D$7:$D$156,$D94,$B$7:$B$156,"&gt;0"))</f>
        <v/>
      </c>
      <c r="G94" s="11">
        <f>IF(OR(OR($A94="",NOT(ISNUMBER($B94))),$B$2="Not started"),"",IF($C94="Winner",Points!$B$3,ROUND(Points!$B$3*IF($F94&lt;=1,1,Points!$H$7+(1-Points!$H$7)*((($F94-$E94)*(($F94-$E94)+1)/2)^2-((($F94-$E94-$J94+1)-1)*($F94-$E94-$J94+1)/2)^2)/($J94*($F94-1)^3)),0)))</f>
        <v/>
      </c>
      <c r="H94" s="11">
        <f>IF($A94="","",IF($B$2="Final","Final",IF($B$2="In progress","Projected","Not started")))</f>
        <v/>
      </c>
      <c r="I94" s="11">
        <f>IF($A94="","",IF(COUNTIF(Players!$A$2:$A$500,$A94)=0,"Player is not on the Players tab",IF(COUNTIF($A$7:$A$156,$A94)&gt;1,"Player is listed twice",IF(NOT(ISNUMBER($B94)),"Enter a score",IF(COUNTIFS($D$7:$D$156,$D94,$C$7:$C$156,"Winner")&gt;1,"More than one "&amp;$D94&amp;" winner picked",IF(AND($C94="Winner",COUNTIFS($D$7:$D$156,$D94,$B$7:$B$156,"&lt;"&amp;$B94)&gt;0),"The winner doesn't have the best "&amp;$D94&amp;" score",IF(AND($B$2="Final",COUNTIFS($D$7:$D$156,$D94,$C$7:$C$156,"Winner")=0),"Final: pick the "&amp;$D94&amp;" winner",IF($B$2="Not started","Set Status to In progress to count points","OK"))))))))</f>
        <v/>
      </c>
      <c r="J94" s="11">
        <f>IF(OR($A94="",NOT(ISNUMBER($B94))),"",IF($C94="Winner",1,COUNTIFS($D$7:$D$156,$D94,$B$7:$B$156,$B94)-IF(AND(NOT($C94="Winner"),COUNTIFS($D$7:$D$156,$D94,$C$7:$C$156,"Winner",$B$7:$B$156,$B94)&gt;0),1,0)))</f>
        <v/>
      </c>
    </row>
    <row r="95">
      <c r="D95" s="11">
        <f>IF($A95="","",IFERROR(IF(VLOOKUP($A95,Players!$A$2:$B$500,2,FALSE)="","Open",VLOOKUP($A95,Players!$A$2:$B$500,2,FALSE)),"Open"))</f>
        <v/>
      </c>
      <c r="E95" s="11">
        <f>IF(OR($A95="",NOT(ISNUMBER($B95))),"",IF($C95="Winner",1,COUNTIFS($D$7:$D$156,$D95,$B$7:$B$156,"&lt;"&amp;$B95)+1+IF(AND(NOT($C95="Winner"),COUNTIFS($D$7:$D$156,$D95,$C$7:$C$156,"Winner",$B$7:$B$156,$B95)&gt;0),1,0)))</f>
        <v/>
      </c>
      <c r="F95" s="11">
        <f>IF(OR($A95="",NOT(ISNUMBER($B95))),"",COUNTIFS($D$7:$D$156,$D95,$B$7:$B$156,"&gt;0"))</f>
        <v/>
      </c>
      <c r="G95" s="11">
        <f>IF(OR(OR($A95="",NOT(ISNUMBER($B95))),$B$2="Not started"),"",IF($C95="Winner",Points!$B$3,ROUND(Points!$B$3*IF($F95&lt;=1,1,Points!$H$7+(1-Points!$H$7)*((($F95-$E95)*(($F95-$E95)+1)/2)^2-((($F95-$E95-$J95+1)-1)*($F95-$E95-$J95+1)/2)^2)/($J95*($F95-1)^3)),0)))</f>
        <v/>
      </c>
      <c r="H95" s="11">
        <f>IF($A95="","",IF($B$2="Final","Final",IF($B$2="In progress","Projected","Not started")))</f>
        <v/>
      </c>
      <c r="I95" s="11">
        <f>IF($A95="","",IF(COUNTIF(Players!$A$2:$A$500,$A95)=0,"Player is not on the Players tab",IF(COUNTIF($A$7:$A$156,$A95)&gt;1,"Player is listed twice",IF(NOT(ISNUMBER($B95)),"Enter a score",IF(COUNTIFS($D$7:$D$156,$D95,$C$7:$C$156,"Winner")&gt;1,"More than one "&amp;$D95&amp;" winner picked",IF(AND($C95="Winner",COUNTIFS($D$7:$D$156,$D95,$B$7:$B$156,"&lt;"&amp;$B95)&gt;0),"The winner doesn't have the best "&amp;$D95&amp;" score",IF(AND($B$2="Final",COUNTIFS($D$7:$D$156,$D95,$C$7:$C$156,"Winner")=0),"Final: pick the "&amp;$D95&amp;" winner",IF($B$2="Not started","Set Status to In progress to count points","OK"))))))))</f>
        <v/>
      </c>
      <c r="J95" s="11">
        <f>IF(OR($A95="",NOT(ISNUMBER($B95))),"",IF($C95="Winner",1,COUNTIFS($D$7:$D$156,$D95,$B$7:$B$156,$B95)-IF(AND(NOT($C95="Winner"),COUNTIFS($D$7:$D$156,$D95,$C$7:$C$156,"Winner",$B$7:$B$156,$B95)&gt;0),1,0)))</f>
        <v/>
      </c>
    </row>
    <row r="96">
      <c r="D96" s="11">
        <f>IF($A96="","",IFERROR(IF(VLOOKUP($A96,Players!$A$2:$B$500,2,FALSE)="","Open",VLOOKUP($A96,Players!$A$2:$B$500,2,FALSE)),"Open"))</f>
        <v/>
      </c>
      <c r="E96" s="11">
        <f>IF(OR($A96="",NOT(ISNUMBER($B96))),"",IF($C96="Winner",1,COUNTIFS($D$7:$D$156,$D96,$B$7:$B$156,"&lt;"&amp;$B96)+1+IF(AND(NOT($C96="Winner"),COUNTIFS($D$7:$D$156,$D96,$C$7:$C$156,"Winner",$B$7:$B$156,$B96)&gt;0),1,0)))</f>
        <v/>
      </c>
      <c r="F96" s="11">
        <f>IF(OR($A96="",NOT(ISNUMBER($B96))),"",COUNTIFS($D$7:$D$156,$D96,$B$7:$B$156,"&gt;0"))</f>
        <v/>
      </c>
      <c r="G96" s="11">
        <f>IF(OR(OR($A96="",NOT(ISNUMBER($B96))),$B$2="Not started"),"",IF($C96="Winner",Points!$B$3,ROUND(Points!$B$3*IF($F96&lt;=1,1,Points!$H$7+(1-Points!$H$7)*((($F96-$E96)*(($F96-$E96)+1)/2)^2-((($F96-$E96-$J96+1)-1)*($F96-$E96-$J96+1)/2)^2)/($J96*($F96-1)^3)),0)))</f>
        <v/>
      </c>
      <c r="H96" s="11">
        <f>IF($A96="","",IF($B$2="Final","Final",IF($B$2="In progress","Projected","Not started")))</f>
        <v/>
      </c>
      <c r="I96" s="11">
        <f>IF($A96="","",IF(COUNTIF(Players!$A$2:$A$500,$A96)=0,"Player is not on the Players tab",IF(COUNTIF($A$7:$A$156,$A96)&gt;1,"Player is listed twice",IF(NOT(ISNUMBER($B96)),"Enter a score",IF(COUNTIFS($D$7:$D$156,$D96,$C$7:$C$156,"Winner")&gt;1,"More than one "&amp;$D96&amp;" winner picked",IF(AND($C96="Winner",COUNTIFS($D$7:$D$156,$D96,$B$7:$B$156,"&lt;"&amp;$B96)&gt;0),"The winner doesn't have the best "&amp;$D96&amp;" score",IF(AND($B$2="Final",COUNTIFS($D$7:$D$156,$D96,$C$7:$C$156,"Winner")=0),"Final: pick the "&amp;$D96&amp;" winner",IF($B$2="Not started","Set Status to In progress to count points","OK"))))))))</f>
        <v/>
      </c>
      <c r="J96" s="11">
        <f>IF(OR($A96="",NOT(ISNUMBER($B96))),"",IF($C96="Winner",1,COUNTIFS($D$7:$D$156,$D96,$B$7:$B$156,$B96)-IF(AND(NOT($C96="Winner"),COUNTIFS($D$7:$D$156,$D96,$C$7:$C$156,"Winner",$B$7:$B$156,$B96)&gt;0),1,0)))</f>
        <v/>
      </c>
    </row>
    <row r="97">
      <c r="D97" s="11">
        <f>IF($A97="","",IFERROR(IF(VLOOKUP($A97,Players!$A$2:$B$500,2,FALSE)="","Open",VLOOKUP($A97,Players!$A$2:$B$500,2,FALSE)),"Open"))</f>
        <v/>
      </c>
      <c r="E97" s="11">
        <f>IF(OR($A97="",NOT(ISNUMBER($B97))),"",IF($C97="Winner",1,COUNTIFS($D$7:$D$156,$D97,$B$7:$B$156,"&lt;"&amp;$B97)+1+IF(AND(NOT($C97="Winner"),COUNTIFS($D$7:$D$156,$D97,$C$7:$C$156,"Winner",$B$7:$B$156,$B97)&gt;0),1,0)))</f>
        <v/>
      </c>
      <c r="F97" s="11">
        <f>IF(OR($A97="",NOT(ISNUMBER($B97))),"",COUNTIFS($D$7:$D$156,$D97,$B$7:$B$156,"&gt;0"))</f>
        <v/>
      </c>
      <c r="G97" s="11">
        <f>IF(OR(OR($A97="",NOT(ISNUMBER($B97))),$B$2="Not started"),"",IF($C97="Winner",Points!$B$3,ROUND(Points!$B$3*IF($F97&lt;=1,1,Points!$H$7+(1-Points!$H$7)*((($F97-$E97)*(($F97-$E97)+1)/2)^2-((($F97-$E97-$J97+1)-1)*($F97-$E97-$J97+1)/2)^2)/($J97*($F97-1)^3)),0)))</f>
        <v/>
      </c>
      <c r="H97" s="11">
        <f>IF($A97="","",IF($B$2="Final","Final",IF($B$2="In progress","Projected","Not started")))</f>
        <v/>
      </c>
      <c r="I97" s="11">
        <f>IF($A97="","",IF(COUNTIF(Players!$A$2:$A$500,$A97)=0,"Player is not on the Players tab",IF(COUNTIF($A$7:$A$156,$A97)&gt;1,"Player is listed twice",IF(NOT(ISNUMBER($B97)),"Enter a score",IF(COUNTIFS($D$7:$D$156,$D97,$C$7:$C$156,"Winner")&gt;1,"More than one "&amp;$D97&amp;" winner picked",IF(AND($C97="Winner",COUNTIFS($D$7:$D$156,$D97,$B$7:$B$156,"&lt;"&amp;$B97)&gt;0),"The winner doesn't have the best "&amp;$D97&amp;" score",IF(AND($B$2="Final",COUNTIFS($D$7:$D$156,$D97,$C$7:$C$156,"Winner")=0),"Final: pick the "&amp;$D97&amp;" winner",IF($B$2="Not started","Set Status to In progress to count points","OK"))))))))</f>
        <v/>
      </c>
      <c r="J97" s="11">
        <f>IF(OR($A97="",NOT(ISNUMBER($B97))),"",IF($C97="Winner",1,COUNTIFS($D$7:$D$156,$D97,$B$7:$B$156,$B97)-IF(AND(NOT($C97="Winner"),COUNTIFS($D$7:$D$156,$D97,$C$7:$C$156,"Winner",$B$7:$B$156,$B97)&gt;0),1,0)))</f>
        <v/>
      </c>
    </row>
    <row r="98">
      <c r="D98" s="11">
        <f>IF($A98="","",IFERROR(IF(VLOOKUP($A98,Players!$A$2:$B$500,2,FALSE)="","Open",VLOOKUP($A98,Players!$A$2:$B$500,2,FALSE)),"Open"))</f>
        <v/>
      </c>
      <c r="E98" s="11">
        <f>IF(OR($A98="",NOT(ISNUMBER($B98))),"",IF($C98="Winner",1,COUNTIFS($D$7:$D$156,$D98,$B$7:$B$156,"&lt;"&amp;$B98)+1+IF(AND(NOT($C98="Winner"),COUNTIFS($D$7:$D$156,$D98,$C$7:$C$156,"Winner",$B$7:$B$156,$B98)&gt;0),1,0)))</f>
        <v/>
      </c>
      <c r="F98" s="11">
        <f>IF(OR($A98="",NOT(ISNUMBER($B98))),"",COUNTIFS($D$7:$D$156,$D98,$B$7:$B$156,"&gt;0"))</f>
        <v/>
      </c>
      <c r="G98" s="11">
        <f>IF(OR(OR($A98="",NOT(ISNUMBER($B98))),$B$2="Not started"),"",IF($C98="Winner",Points!$B$3,ROUND(Points!$B$3*IF($F98&lt;=1,1,Points!$H$7+(1-Points!$H$7)*((($F98-$E98)*(($F98-$E98)+1)/2)^2-((($F98-$E98-$J98+1)-1)*($F98-$E98-$J98+1)/2)^2)/($J98*($F98-1)^3)),0)))</f>
        <v/>
      </c>
      <c r="H98" s="11">
        <f>IF($A98="","",IF($B$2="Final","Final",IF($B$2="In progress","Projected","Not started")))</f>
        <v/>
      </c>
      <c r="I98" s="11">
        <f>IF($A98="","",IF(COUNTIF(Players!$A$2:$A$500,$A98)=0,"Player is not on the Players tab",IF(COUNTIF($A$7:$A$156,$A98)&gt;1,"Player is listed twice",IF(NOT(ISNUMBER($B98)),"Enter a score",IF(COUNTIFS($D$7:$D$156,$D98,$C$7:$C$156,"Winner")&gt;1,"More than one "&amp;$D98&amp;" winner picked",IF(AND($C98="Winner",COUNTIFS($D$7:$D$156,$D98,$B$7:$B$156,"&lt;"&amp;$B98)&gt;0),"The winner doesn't have the best "&amp;$D98&amp;" score",IF(AND($B$2="Final",COUNTIFS($D$7:$D$156,$D98,$C$7:$C$156,"Winner")=0),"Final: pick the "&amp;$D98&amp;" winner",IF($B$2="Not started","Set Status to In progress to count points","OK"))))))))</f>
        <v/>
      </c>
      <c r="J98" s="11">
        <f>IF(OR($A98="",NOT(ISNUMBER($B98))),"",IF($C98="Winner",1,COUNTIFS($D$7:$D$156,$D98,$B$7:$B$156,$B98)-IF(AND(NOT($C98="Winner"),COUNTIFS($D$7:$D$156,$D98,$C$7:$C$156,"Winner",$B$7:$B$156,$B98)&gt;0),1,0)))</f>
        <v/>
      </c>
    </row>
    <row r="99">
      <c r="D99" s="11">
        <f>IF($A99="","",IFERROR(IF(VLOOKUP($A99,Players!$A$2:$B$500,2,FALSE)="","Open",VLOOKUP($A99,Players!$A$2:$B$500,2,FALSE)),"Open"))</f>
        <v/>
      </c>
      <c r="E99" s="11">
        <f>IF(OR($A99="",NOT(ISNUMBER($B99))),"",IF($C99="Winner",1,COUNTIFS($D$7:$D$156,$D99,$B$7:$B$156,"&lt;"&amp;$B99)+1+IF(AND(NOT($C99="Winner"),COUNTIFS($D$7:$D$156,$D99,$C$7:$C$156,"Winner",$B$7:$B$156,$B99)&gt;0),1,0)))</f>
        <v/>
      </c>
      <c r="F99" s="11">
        <f>IF(OR($A99="",NOT(ISNUMBER($B99))),"",COUNTIFS($D$7:$D$156,$D99,$B$7:$B$156,"&gt;0"))</f>
        <v/>
      </c>
      <c r="G99" s="11">
        <f>IF(OR(OR($A99="",NOT(ISNUMBER($B99))),$B$2="Not started"),"",IF($C99="Winner",Points!$B$3,ROUND(Points!$B$3*IF($F99&lt;=1,1,Points!$H$7+(1-Points!$H$7)*((($F99-$E99)*(($F99-$E99)+1)/2)^2-((($F99-$E99-$J99+1)-1)*($F99-$E99-$J99+1)/2)^2)/($J99*($F99-1)^3)),0)))</f>
        <v/>
      </c>
      <c r="H99" s="11">
        <f>IF($A99="","",IF($B$2="Final","Final",IF($B$2="In progress","Projected","Not started")))</f>
        <v/>
      </c>
      <c r="I99" s="11">
        <f>IF($A99="","",IF(COUNTIF(Players!$A$2:$A$500,$A99)=0,"Player is not on the Players tab",IF(COUNTIF($A$7:$A$156,$A99)&gt;1,"Player is listed twice",IF(NOT(ISNUMBER($B99)),"Enter a score",IF(COUNTIFS($D$7:$D$156,$D99,$C$7:$C$156,"Winner")&gt;1,"More than one "&amp;$D99&amp;" winner picked",IF(AND($C99="Winner",COUNTIFS($D$7:$D$156,$D99,$B$7:$B$156,"&lt;"&amp;$B99)&gt;0),"The winner doesn't have the best "&amp;$D99&amp;" score",IF(AND($B$2="Final",COUNTIFS($D$7:$D$156,$D99,$C$7:$C$156,"Winner")=0),"Final: pick the "&amp;$D99&amp;" winner",IF($B$2="Not started","Set Status to In progress to count points","OK"))))))))</f>
        <v/>
      </c>
      <c r="J99" s="11">
        <f>IF(OR($A99="",NOT(ISNUMBER($B99))),"",IF($C99="Winner",1,COUNTIFS($D$7:$D$156,$D99,$B$7:$B$156,$B99)-IF(AND(NOT($C99="Winner"),COUNTIFS($D$7:$D$156,$D99,$C$7:$C$156,"Winner",$B$7:$B$156,$B99)&gt;0),1,0)))</f>
        <v/>
      </c>
    </row>
    <row r="100">
      <c r="D100" s="11">
        <f>IF($A100="","",IFERROR(IF(VLOOKUP($A100,Players!$A$2:$B$500,2,FALSE)="","Open",VLOOKUP($A100,Players!$A$2:$B$500,2,FALSE)),"Open"))</f>
        <v/>
      </c>
      <c r="E100" s="11">
        <f>IF(OR($A100="",NOT(ISNUMBER($B100))),"",IF($C100="Winner",1,COUNTIFS($D$7:$D$156,$D100,$B$7:$B$156,"&lt;"&amp;$B100)+1+IF(AND(NOT($C100="Winner"),COUNTIFS($D$7:$D$156,$D100,$C$7:$C$156,"Winner",$B$7:$B$156,$B100)&gt;0),1,0)))</f>
        <v/>
      </c>
      <c r="F100" s="11">
        <f>IF(OR($A100="",NOT(ISNUMBER($B100))),"",COUNTIFS($D$7:$D$156,$D100,$B$7:$B$156,"&gt;0"))</f>
        <v/>
      </c>
      <c r="G100" s="11">
        <f>IF(OR(OR($A100="",NOT(ISNUMBER($B100))),$B$2="Not started"),"",IF($C100="Winner",Points!$B$3,ROUND(Points!$B$3*IF($F100&lt;=1,1,Points!$H$7+(1-Points!$H$7)*((($F100-$E100)*(($F100-$E100)+1)/2)^2-((($F100-$E100-$J100+1)-1)*($F100-$E100-$J100+1)/2)^2)/($J100*($F100-1)^3)),0)))</f>
        <v/>
      </c>
      <c r="H100" s="11">
        <f>IF($A100="","",IF($B$2="Final","Final",IF($B$2="In progress","Projected","Not started")))</f>
        <v/>
      </c>
      <c r="I100" s="11">
        <f>IF($A100="","",IF(COUNTIF(Players!$A$2:$A$500,$A100)=0,"Player is not on the Players tab",IF(COUNTIF($A$7:$A$156,$A100)&gt;1,"Player is listed twice",IF(NOT(ISNUMBER($B100)),"Enter a score",IF(COUNTIFS($D$7:$D$156,$D100,$C$7:$C$156,"Winner")&gt;1,"More than one "&amp;$D100&amp;" winner picked",IF(AND($C100="Winner",COUNTIFS($D$7:$D$156,$D100,$B$7:$B$156,"&lt;"&amp;$B100)&gt;0),"The winner doesn't have the best "&amp;$D100&amp;" score",IF(AND($B$2="Final",COUNTIFS($D$7:$D$156,$D100,$C$7:$C$156,"Winner")=0),"Final: pick the "&amp;$D100&amp;" winner",IF($B$2="Not started","Set Status to In progress to count points","OK"))))))))</f>
        <v/>
      </c>
      <c r="J100" s="11">
        <f>IF(OR($A100="",NOT(ISNUMBER($B100))),"",IF($C100="Winner",1,COUNTIFS($D$7:$D$156,$D100,$B$7:$B$156,$B100)-IF(AND(NOT($C100="Winner"),COUNTIFS($D$7:$D$156,$D100,$C$7:$C$156,"Winner",$B$7:$B$156,$B100)&gt;0),1,0)))</f>
        <v/>
      </c>
    </row>
    <row r="101">
      <c r="D101" s="11">
        <f>IF($A101="","",IFERROR(IF(VLOOKUP($A101,Players!$A$2:$B$500,2,FALSE)="","Open",VLOOKUP($A101,Players!$A$2:$B$500,2,FALSE)),"Open"))</f>
        <v/>
      </c>
      <c r="E101" s="11">
        <f>IF(OR($A101="",NOT(ISNUMBER($B101))),"",IF($C101="Winner",1,COUNTIFS($D$7:$D$156,$D101,$B$7:$B$156,"&lt;"&amp;$B101)+1+IF(AND(NOT($C101="Winner"),COUNTIFS($D$7:$D$156,$D101,$C$7:$C$156,"Winner",$B$7:$B$156,$B101)&gt;0),1,0)))</f>
        <v/>
      </c>
      <c r="F101" s="11">
        <f>IF(OR($A101="",NOT(ISNUMBER($B101))),"",COUNTIFS($D$7:$D$156,$D101,$B$7:$B$156,"&gt;0"))</f>
        <v/>
      </c>
      <c r="G101" s="11">
        <f>IF(OR(OR($A101="",NOT(ISNUMBER($B101))),$B$2="Not started"),"",IF($C101="Winner",Points!$B$3,ROUND(Points!$B$3*IF($F101&lt;=1,1,Points!$H$7+(1-Points!$H$7)*((($F101-$E101)*(($F101-$E101)+1)/2)^2-((($F101-$E101-$J101+1)-1)*($F101-$E101-$J101+1)/2)^2)/($J101*($F101-1)^3)),0)))</f>
        <v/>
      </c>
      <c r="H101" s="11">
        <f>IF($A101="","",IF($B$2="Final","Final",IF($B$2="In progress","Projected","Not started")))</f>
        <v/>
      </c>
      <c r="I101" s="11">
        <f>IF($A101="","",IF(COUNTIF(Players!$A$2:$A$500,$A101)=0,"Player is not on the Players tab",IF(COUNTIF($A$7:$A$156,$A101)&gt;1,"Player is listed twice",IF(NOT(ISNUMBER($B101)),"Enter a score",IF(COUNTIFS($D$7:$D$156,$D101,$C$7:$C$156,"Winner")&gt;1,"More than one "&amp;$D101&amp;" winner picked",IF(AND($C101="Winner",COUNTIFS($D$7:$D$156,$D101,$B$7:$B$156,"&lt;"&amp;$B101)&gt;0),"The winner doesn't have the best "&amp;$D101&amp;" score",IF(AND($B$2="Final",COUNTIFS($D$7:$D$156,$D101,$C$7:$C$156,"Winner")=0),"Final: pick the "&amp;$D101&amp;" winner",IF($B$2="Not started","Set Status to In progress to count points","OK"))))))))</f>
        <v/>
      </c>
      <c r="J101" s="11">
        <f>IF(OR($A101="",NOT(ISNUMBER($B101))),"",IF($C101="Winner",1,COUNTIFS($D$7:$D$156,$D101,$B$7:$B$156,$B101)-IF(AND(NOT($C101="Winner"),COUNTIFS($D$7:$D$156,$D101,$C$7:$C$156,"Winner",$B$7:$B$156,$B101)&gt;0),1,0)))</f>
        <v/>
      </c>
    </row>
    <row r="102">
      <c r="D102" s="11">
        <f>IF($A102="","",IFERROR(IF(VLOOKUP($A102,Players!$A$2:$B$500,2,FALSE)="","Open",VLOOKUP($A102,Players!$A$2:$B$500,2,FALSE)),"Open"))</f>
        <v/>
      </c>
      <c r="E102" s="11">
        <f>IF(OR($A102="",NOT(ISNUMBER($B102))),"",IF($C102="Winner",1,COUNTIFS($D$7:$D$156,$D102,$B$7:$B$156,"&lt;"&amp;$B102)+1+IF(AND(NOT($C102="Winner"),COUNTIFS($D$7:$D$156,$D102,$C$7:$C$156,"Winner",$B$7:$B$156,$B102)&gt;0),1,0)))</f>
        <v/>
      </c>
      <c r="F102" s="11">
        <f>IF(OR($A102="",NOT(ISNUMBER($B102))),"",COUNTIFS($D$7:$D$156,$D102,$B$7:$B$156,"&gt;0"))</f>
        <v/>
      </c>
      <c r="G102" s="11">
        <f>IF(OR(OR($A102="",NOT(ISNUMBER($B102))),$B$2="Not started"),"",IF($C102="Winner",Points!$B$3,ROUND(Points!$B$3*IF($F102&lt;=1,1,Points!$H$7+(1-Points!$H$7)*((($F102-$E102)*(($F102-$E102)+1)/2)^2-((($F102-$E102-$J102+1)-1)*($F102-$E102-$J102+1)/2)^2)/($J102*($F102-1)^3)),0)))</f>
        <v/>
      </c>
      <c r="H102" s="11">
        <f>IF($A102="","",IF($B$2="Final","Final",IF($B$2="In progress","Projected","Not started")))</f>
        <v/>
      </c>
      <c r="I102" s="11">
        <f>IF($A102="","",IF(COUNTIF(Players!$A$2:$A$500,$A102)=0,"Player is not on the Players tab",IF(COUNTIF($A$7:$A$156,$A102)&gt;1,"Player is listed twice",IF(NOT(ISNUMBER($B102)),"Enter a score",IF(COUNTIFS($D$7:$D$156,$D102,$C$7:$C$156,"Winner")&gt;1,"More than one "&amp;$D102&amp;" winner picked",IF(AND($C102="Winner",COUNTIFS($D$7:$D$156,$D102,$B$7:$B$156,"&lt;"&amp;$B102)&gt;0),"The winner doesn't have the best "&amp;$D102&amp;" score",IF(AND($B$2="Final",COUNTIFS($D$7:$D$156,$D102,$C$7:$C$156,"Winner")=0),"Final: pick the "&amp;$D102&amp;" winner",IF($B$2="Not started","Set Status to In progress to count points","OK"))))))))</f>
        <v/>
      </c>
      <c r="J102" s="11">
        <f>IF(OR($A102="",NOT(ISNUMBER($B102))),"",IF($C102="Winner",1,COUNTIFS($D$7:$D$156,$D102,$B$7:$B$156,$B102)-IF(AND(NOT($C102="Winner"),COUNTIFS($D$7:$D$156,$D102,$C$7:$C$156,"Winner",$B$7:$B$156,$B102)&gt;0),1,0)))</f>
        <v/>
      </c>
    </row>
    <row r="103">
      <c r="D103" s="11">
        <f>IF($A103="","",IFERROR(IF(VLOOKUP($A103,Players!$A$2:$B$500,2,FALSE)="","Open",VLOOKUP($A103,Players!$A$2:$B$500,2,FALSE)),"Open"))</f>
        <v/>
      </c>
      <c r="E103" s="11">
        <f>IF(OR($A103="",NOT(ISNUMBER($B103))),"",IF($C103="Winner",1,COUNTIFS($D$7:$D$156,$D103,$B$7:$B$156,"&lt;"&amp;$B103)+1+IF(AND(NOT($C103="Winner"),COUNTIFS($D$7:$D$156,$D103,$C$7:$C$156,"Winner",$B$7:$B$156,$B103)&gt;0),1,0)))</f>
        <v/>
      </c>
      <c r="F103" s="11">
        <f>IF(OR($A103="",NOT(ISNUMBER($B103))),"",COUNTIFS($D$7:$D$156,$D103,$B$7:$B$156,"&gt;0"))</f>
        <v/>
      </c>
      <c r="G103" s="11">
        <f>IF(OR(OR($A103="",NOT(ISNUMBER($B103))),$B$2="Not started"),"",IF($C103="Winner",Points!$B$3,ROUND(Points!$B$3*IF($F103&lt;=1,1,Points!$H$7+(1-Points!$H$7)*((($F103-$E103)*(($F103-$E103)+1)/2)^2-((($F103-$E103-$J103+1)-1)*($F103-$E103-$J103+1)/2)^2)/($J103*($F103-1)^3)),0)))</f>
        <v/>
      </c>
      <c r="H103" s="11">
        <f>IF($A103="","",IF($B$2="Final","Final",IF($B$2="In progress","Projected","Not started")))</f>
        <v/>
      </c>
      <c r="I103" s="11">
        <f>IF($A103="","",IF(COUNTIF(Players!$A$2:$A$500,$A103)=0,"Player is not on the Players tab",IF(COUNTIF($A$7:$A$156,$A103)&gt;1,"Player is listed twice",IF(NOT(ISNUMBER($B103)),"Enter a score",IF(COUNTIFS($D$7:$D$156,$D103,$C$7:$C$156,"Winner")&gt;1,"More than one "&amp;$D103&amp;" winner picked",IF(AND($C103="Winner",COUNTIFS($D$7:$D$156,$D103,$B$7:$B$156,"&lt;"&amp;$B103)&gt;0),"The winner doesn't have the best "&amp;$D103&amp;" score",IF(AND($B$2="Final",COUNTIFS($D$7:$D$156,$D103,$C$7:$C$156,"Winner")=0),"Final: pick the "&amp;$D103&amp;" winner",IF($B$2="Not started","Set Status to In progress to count points","OK"))))))))</f>
        <v/>
      </c>
      <c r="J103" s="11">
        <f>IF(OR($A103="",NOT(ISNUMBER($B103))),"",IF($C103="Winner",1,COUNTIFS($D$7:$D$156,$D103,$B$7:$B$156,$B103)-IF(AND(NOT($C103="Winner"),COUNTIFS($D$7:$D$156,$D103,$C$7:$C$156,"Winner",$B$7:$B$156,$B103)&gt;0),1,0)))</f>
        <v/>
      </c>
    </row>
    <row r="104">
      <c r="D104" s="11">
        <f>IF($A104="","",IFERROR(IF(VLOOKUP($A104,Players!$A$2:$B$500,2,FALSE)="","Open",VLOOKUP($A104,Players!$A$2:$B$500,2,FALSE)),"Open"))</f>
        <v/>
      </c>
      <c r="E104" s="11">
        <f>IF(OR($A104="",NOT(ISNUMBER($B104))),"",IF($C104="Winner",1,COUNTIFS($D$7:$D$156,$D104,$B$7:$B$156,"&lt;"&amp;$B104)+1+IF(AND(NOT($C104="Winner"),COUNTIFS($D$7:$D$156,$D104,$C$7:$C$156,"Winner",$B$7:$B$156,$B104)&gt;0),1,0)))</f>
        <v/>
      </c>
      <c r="F104" s="11">
        <f>IF(OR($A104="",NOT(ISNUMBER($B104))),"",COUNTIFS($D$7:$D$156,$D104,$B$7:$B$156,"&gt;0"))</f>
        <v/>
      </c>
      <c r="G104" s="11">
        <f>IF(OR(OR($A104="",NOT(ISNUMBER($B104))),$B$2="Not started"),"",IF($C104="Winner",Points!$B$3,ROUND(Points!$B$3*IF($F104&lt;=1,1,Points!$H$7+(1-Points!$H$7)*((($F104-$E104)*(($F104-$E104)+1)/2)^2-((($F104-$E104-$J104+1)-1)*($F104-$E104-$J104+1)/2)^2)/($J104*($F104-1)^3)),0)))</f>
        <v/>
      </c>
      <c r="H104" s="11">
        <f>IF($A104="","",IF($B$2="Final","Final",IF($B$2="In progress","Projected","Not started")))</f>
        <v/>
      </c>
      <c r="I104" s="11">
        <f>IF($A104="","",IF(COUNTIF(Players!$A$2:$A$500,$A104)=0,"Player is not on the Players tab",IF(COUNTIF($A$7:$A$156,$A104)&gt;1,"Player is listed twice",IF(NOT(ISNUMBER($B104)),"Enter a score",IF(COUNTIFS($D$7:$D$156,$D104,$C$7:$C$156,"Winner")&gt;1,"More than one "&amp;$D104&amp;" winner picked",IF(AND($C104="Winner",COUNTIFS($D$7:$D$156,$D104,$B$7:$B$156,"&lt;"&amp;$B104)&gt;0),"The winner doesn't have the best "&amp;$D104&amp;" score",IF(AND($B$2="Final",COUNTIFS($D$7:$D$156,$D104,$C$7:$C$156,"Winner")=0),"Final: pick the "&amp;$D104&amp;" winner",IF($B$2="Not started","Set Status to In progress to count points","OK"))))))))</f>
        <v/>
      </c>
      <c r="J104" s="11">
        <f>IF(OR($A104="",NOT(ISNUMBER($B104))),"",IF($C104="Winner",1,COUNTIFS($D$7:$D$156,$D104,$B$7:$B$156,$B104)-IF(AND(NOT($C104="Winner"),COUNTIFS($D$7:$D$156,$D104,$C$7:$C$156,"Winner",$B$7:$B$156,$B104)&gt;0),1,0)))</f>
        <v/>
      </c>
    </row>
    <row r="105">
      <c r="D105" s="11">
        <f>IF($A105="","",IFERROR(IF(VLOOKUP($A105,Players!$A$2:$B$500,2,FALSE)="","Open",VLOOKUP($A105,Players!$A$2:$B$500,2,FALSE)),"Open"))</f>
        <v/>
      </c>
      <c r="E105" s="11">
        <f>IF(OR($A105="",NOT(ISNUMBER($B105))),"",IF($C105="Winner",1,COUNTIFS($D$7:$D$156,$D105,$B$7:$B$156,"&lt;"&amp;$B105)+1+IF(AND(NOT($C105="Winner"),COUNTIFS($D$7:$D$156,$D105,$C$7:$C$156,"Winner",$B$7:$B$156,$B105)&gt;0),1,0)))</f>
        <v/>
      </c>
      <c r="F105" s="11">
        <f>IF(OR($A105="",NOT(ISNUMBER($B105))),"",COUNTIFS($D$7:$D$156,$D105,$B$7:$B$156,"&gt;0"))</f>
        <v/>
      </c>
      <c r="G105" s="11">
        <f>IF(OR(OR($A105="",NOT(ISNUMBER($B105))),$B$2="Not started"),"",IF($C105="Winner",Points!$B$3,ROUND(Points!$B$3*IF($F105&lt;=1,1,Points!$H$7+(1-Points!$H$7)*((($F105-$E105)*(($F105-$E105)+1)/2)^2-((($F105-$E105-$J105+1)-1)*($F105-$E105-$J105+1)/2)^2)/($J105*($F105-1)^3)),0)))</f>
        <v/>
      </c>
      <c r="H105" s="11">
        <f>IF($A105="","",IF($B$2="Final","Final",IF($B$2="In progress","Projected","Not started")))</f>
        <v/>
      </c>
      <c r="I105" s="11">
        <f>IF($A105="","",IF(COUNTIF(Players!$A$2:$A$500,$A105)=0,"Player is not on the Players tab",IF(COUNTIF($A$7:$A$156,$A105)&gt;1,"Player is listed twice",IF(NOT(ISNUMBER($B105)),"Enter a score",IF(COUNTIFS($D$7:$D$156,$D105,$C$7:$C$156,"Winner")&gt;1,"More than one "&amp;$D105&amp;" winner picked",IF(AND($C105="Winner",COUNTIFS($D$7:$D$156,$D105,$B$7:$B$156,"&lt;"&amp;$B105)&gt;0),"The winner doesn't have the best "&amp;$D105&amp;" score",IF(AND($B$2="Final",COUNTIFS($D$7:$D$156,$D105,$C$7:$C$156,"Winner")=0),"Final: pick the "&amp;$D105&amp;" winner",IF($B$2="Not started","Set Status to In progress to count points","OK"))))))))</f>
        <v/>
      </c>
      <c r="J105" s="11">
        <f>IF(OR($A105="",NOT(ISNUMBER($B105))),"",IF($C105="Winner",1,COUNTIFS($D$7:$D$156,$D105,$B$7:$B$156,$B105)-IF(AND(NOT($C105="Winner"),COUNTIFS($D$7:$D$156,$D105,$C$7:$C$156,"Winner",$B$7:$B$156,$B105)&gt;0),1,0)))</f>
        <v/>
      </c>
    </row>
    <row r="106">
      <c r="D106" s="11">
        <f>IF($A106="","",IFERROR(IF(VLOOKUP($A106,Players!$A$2:$B$500,2,FALSE)="","Open",VLOOKUP($A106,Players!$A$2:$B$500,2,FALSE)),"Open"))</f>
        <v/>
      </c>
      <c r="E106" s="11">
        <f>IF(OR($A106="",NOT(ISNUMBER($B106))),"",IF($C106="Winner",1,COUNTIFS($D$7:$D$156,$D106,$B$7:$B$156,"&lt;"&amp;$B106)+1+IF(AND(NOT($C106="Winner"),COUNTIFS($D$7:$D$156,$D106,$C$7:$C$156,"Winner",$B$7:$B$156,$B106)&gt;0),1,0)))</f>
        <v/>
      </c>
      <c r="F106" s="11">
        <f>IF(OR($A106="",NOT(ISNUMBER($B106))),"",COUNTIFS($D$7:$D$156,$D106,$B$7:$B$156,"&gt;0"))</f>
        <v/>
      </c>
      <c r="G106" s="11">
        <f>IF(OR(OR($A106="",NOT(ISNUMBER($B106))),$B$2="Not started"),"",IF($C106="Winner",Points!$B$3,ROUND(Points!$B$3*IF($F106&lt;=1,1,Points!$H$7+(1-Points!$H$7)*((($F106-$E106)*(($F106-$E106)+1)/2)^2-((($F106-$E106-$J106+1)-1)*($F106-$E106-$J106+1)/2)^2)/($J106*($F106-1)^3)),0)))</f>
        <v/>
      </c>
      <c r="H106" s="11">
        <f>IF($A106="","",IF($B$2="Final","Final",IF($B$2="In progress","Projected","Not started")))</f>
        <v/>
      </c>
      <c r="I106" s="11">
        <f>IF($A106="","",IF(COUNTIF(Players!$A$2:$A$500,$A106)=0,"Player is not on the Players tab",IF(COUNTIF($A$7:$A$156,$A106)&gt;1,"Player is listed twice",IF(NOT(ISNUMBER($B106)),"Enter a score",IF(COUNTIFS($D$7:$D$156,$D106,$C$7:$C$156,"Winner")&gt;1,"More than one "&amp;$D106&amp;" winner picked",IF(AND($C106="Winner",COUNTIFS($D$7:$D$156,$D106,$B$7:$B$156,"&lt;"&amp;$B106)&gt;0),"The winner doesn't have the best "&amp;$D106&amp;" score",IF(AND($B$2="Final",COUNTIFS($D$7:$D$156,$D106,$C$7:$C$156,"Winner")=0),"Final: pick the "&amp;$D106&amp;" winner",IF($B$2="Not started","Set Status to In progress to count points","OK"))))))))</f>
        <v/>
      </c>
      <c r="J106" s="11">
        <f>IF(OR($A106="",NOT(ISNUMBER($B106))),"",IF($C106="Winner",1,COUNTIFS($D$7:$D$156,$D106,$B$7:$B$156,$B106)-IF(AND(NOT($C106="Winner"),COUNTIFS($D$7:$D$156,$D106,$C$7:$C$156,"Winner",$B$7:$B$156,$B106)&gt;0),1,0)))</f>
        <v/>
      </c>
    </row>
    <row r="107">
      <c r="D107" s="11">
        <f>IF($A107="","",IFERROR(IF(VLOOKUP($A107,Players!$A$2:$B$500,2,FALSE)="","Open",VLOOKUP($A107,Players!$A$2:$B$500,2,FALSE)),"Open"))</f>
        <v/>
      </c>
      <c r="E107" s="11">
        <f>IF(OR($A107="",NOT(ISNUMBER($B107))),"",IF($C107="Winner",1,COUNTIFS($D$7:$D$156,$D107,$B$7:$B$156,"&lt;"&amp;$B107)+1+IF(AND(NOT($C107="Winner"),COUNTIFS($D$7:$D$156,$D107,$C$7:$C$156,"Winner",$B$7:$B$156,$B107)&gt;0),1,0)))</f>
        <v/>
      </c>
      <c r="F107" s="11">
        <f>IF(OR($A107="",NOT(ISNUMBER($B107))),"",COUNTIFS($D$7:$D$156,$D107,$B$7:$B$156,"&gt;0"))</f>
        <v/>
      </c>
      <c r="G107" s="11">
        <f>IF(OR(OR($A107="",NOT(ISNUMBER($B107))),$B$2="Not started"),"",IF($C107="Winner",Points!$B$3,ROUND(Points!$B$3*IF($F107&lt;=1,1,Points!$H$7+(1-Points!$H$7)*((($F107-$E107)*(($F107-$E107)+1)/2)^2-((($F107-$E107-$J107+1)-1)*($F107-$E107-$J107+1)/2)^2)/($J107*($F107-1)^3)),0)))</f>
        <v/>
      </c>
      <c r="H107" s="11">
        <f>IF($A107="","",IF($B$2="Final","Final",IF($B$2="In progress","Projected","Not started")))</f>
        <v/>
      </c>
      <c r="I107" s="11">
        <f>IF($A107="","",IF(COUNTIF(Players!$A$2:$A$500,$A107)=0,"Player is not on the Players tab",IF(COUNTIF($A$7:$A$156,$A107)&gt;1,"Player is listed twice",IF(NOT(ISNUMBER($B107)),"Enter a score",IF(COUNTIFS($D$7:$D$156,$D107,$C$7:$C$156,"Winner")&gt;1,"More than one "&amp;$D107&amp;" winner picked",IF(AND($C107="Winner",COUNTIFS($D$7:$D$156,$D107,$B$7:$B$156,"&lt;"&amp;$B107)&gt;0),"The winner doesn't have the best "&amp;$D107&amp;" score",IF(AND($B$2="Final",COUNTIFS($D$7:$D$156,$D107,$C$7:$C$156,"Winner")=0),"Final: pick the "&amp;$D107&amp;" winner",IF($B$2="Not started","Set Status to In progress to count points","OK"))))))))</f>
        <v/>
      </c>
      <c r="J107" s="11">
        <f>IF(OR($A107="",NOT(ISNUMBER($B107))),"",IF($C107="Winner",1,COUNTIFS($D$7:$D$156,$D107,$B$7:$B$156,$B107)-IF(AND(NOT($C107="Winner"),COUNTIFS($D$7:$D$156,$D107,$C$7:$C$156,"Winner",$B$7:$B$156,$B107)&gt;0),1,0)))</f>
        <v/>
      </c>
    </row>
    <row r="108">
      <c r="D108" s="11">
        <f>IF($A108="","",IFERROR(IF(VLOOKUP($A108,Players!$A$2:$B$500,2,FALSE)="","Open",VLOOKUP($A108,Players!$A$2:$B$500,2,FALSE)),"Open"))</f>
        <v/>
      </c>
      <c r="E108" s="11">
        <f>IF(OR($A108="",NOT(ISNUMBER($B108))),"",IF($C108="Winner",1,COUNTIFS($D$7:$D$156,$D108,$B$7:$B$156,"&lt;"&amp;$B108)+1+IF(AND(NOT($C108="Winner"),COUNTIFS($D$7:$D$156,$D108,$C$7:$C$156,"Winner",$B$7:$B$156,$B108)&gt;0),1,0)))</f>
        <v/>
      </c>
      <c r="F108" s="11">
        <f>IF(OR($A108="",NOT(ISNUMBER($B108))),"",COUNTIFS($D$7:$D$156,$D108,$B$7:$B$156,"&gt;0"))</f>
        <v/>
      </c>
      <c r="G108" s="11">
        <f>IF(OR(OR($A108="",NOT(ISNUMBER($B108))),$B$2="Not started"),"",IF($C108="Winner",Points!$B$3,ROUND(Points!$B$3*IF($F108&lt;=1,1,Points!$H$7+(1-Points!$H$7)*((($F108-$E108)*(($F108-$E108)+1)/2)^2-((($F108-$E108-$J108+1)-1)*($F108-$E108-$J108+1)/2)^2)/($J108*($F108-1)^3)),0)))</f>
        <v/>
      </c>
      <c r="H108" s="11">
        <f>IF($A108="","",IF($B$2="Final","Final",IF($B$2="In progress","Projected","Not started")))</f>
        <v/>
      </c>
      <c r="I108" s="11">
        <f>IF($A108="","",IF(COUNTIF(Players!$A$2:$A$500,$A108)=0,"Player is not on the Players tab",IF(COUNTIF($A$7:$A$156,$A108)&gt;1,"Player is listed twice",IF(NOT(ISNUMBER($B108)),"Enter a score",IF(COUNTIFS($D$7:$D$156,$D108,$C$7:$C$156,"Winner")&gt;1,"More than one "&amp;$D108&amp;" winner picked",IF(AND($C108="Winner",COUNTIFS($D$7:$D$156,$D108,$B$7:$B$156,"&lt;"&amp;$B108)&gt;0),"The winner doesn't have the best "&amp;$D108&amp;" score",IF(AND($B$2="Final",COUNTIFS($D$7:$D$156,$D108,$C$7:$C$156,"Winner")=0),"Final: pick the "&amp;$D108&amp;" winner",IF($B$2="Not started","Set Status to In progress to count points","OK"))))))))</f>
        <v/>
      </c>
      <c r="J108" s="11">
        <f>IF(OR($A108="",NOT(ISNUMBER($B108))),"",IF($C108="Winner",1,COUNTIFS($D$7:$D$156,$D108,$B$7:$B$156,$B108)-IF(AND(NOT($C108="Winner"),COUNTIFS($D$7:$D$156,$D108,$C$7:$C$156,"Winner",$B$7:$B$156,$B108)&gt;0),1,0)))</f>
        <v/>
      </c>
    </row>
    <row r="109">
      <c r="D109" s="11">
        <f>IF($A109="","",IFERROR(IF(VLOOKUP($A109,Players!$A$2:$B$500,2,FALSE)="","Open",VLOOKUP($A109,Players!$A$2:$B$500,2,FALSE)),"Open"))</f>
        <v/>
      </c>
      <c r="E109" s="11">
        <f>IF(OR($A109="",NOT(ISNUMBER($B109))),"",IF($C109="Winner",1,COUNTIFS($D$7:$D$156,$D109,$B$7:$B$156,"&lt;"&amp;$B109)+1+IF(AND(NOT($C109="Winner"),COUNTIFS($D$7:$D$156,$D109,$C$7:$C$156,"Winner",$B$7:$B$156,$B109)&gt;0),1,0)))</f>
        <v/>
      </c>
      <c r="F109" s="11">
        <f>IF(OR($A109="",NOT(ISNUMBER($B109))),"",COUNTIFS($D$7:$D$156,$D109,$B$7:$B$156,"&gt;0"))</f>
        <v/>
      </c>
      <c r="G109" s="11">
        <f>IF(OR(OR($A109="",NOT(ISNUMBER($B109))),$B$2="Not started"),"",IF($C109="Winner",Points!$B$3,ROUND(Points!$B$3*IF($F109&lt;=1,1,Points!$H$7+(1-Points!$H$7)*((($F109-$E109)*(($F109-$E109)+1)/2)^2-((($F109-$E109-$J109+1)-1)*($F109-$E109-$J109+1)/2)^2)/($J109*($F109-1)^3)),0)))</f>
        <v/>
      </c>
      <c r="H109" s="11">
        <f>IF($A109="","",IF($B$2="Final","Final",IF($B$2="In progress","Projected","Not started")))</f>
        <v/>
      </c>
      <c r="I109" s="11">
        <f>IF($A109="","",IF(COUNTIF(Players!$A$2:$A$500,$A109)=0,"Player is not on the Players tab",IF(COUNTIF($A$7:$A$156,$A109)&gt;1,"Player is listed twice",IF(NOT(ISNUMBER($B109)),"Enter a score",IF(COUNTIFS($D$7:$D$156,$D109,$C$7:$C$156,"Winner")&gt;1,"More than one "&amp;$D109&amp;" winner picked",IF(AND($C109="Winner",COUNTIFS($D$7:$D$156,$D109,$B$7:$B$156,"&lt;"&amp;$B109)&gt;0),"The winner doesn't have the best "&amp;$D109&amp;" score",IF(AND($B$2="Final",COUNTIFS($D$7:$D$156,$D109,$C$7:$C$156,"Winner")=0),"Final: pick the "&amp;$D109&amp;" winner",IF($B$2="Not started","Set Status to In progress to count points","OK"))))))))</f>
        <v/>
      </c>
      <c r="J109" s="11">
        <f>IF(OR($A109="",NOT(ISNUMBER($B109))),"",IF($C109="Winner",1,COUNTIFS($D$7:$D$156,$D109,$B$7:$B$156,$B109)-IF(AND(NOT($C109="Winner"),COUNTIFS($D$7:$D$156,$D109,$C$7:$C$156,"Winner",$B$7:$B$156,$B109)&gt;0),1,0)))</f>
        <v/>
      </c>
    </row>
    <row r="110">
      <c r="D110" s="11">
        <f>IF($A110="","",IFERROR(IF(VLOOKUP($A110,Players!$A$2:$B$500,2,FALSE)="","Open",VLOOKUP($A110,Players!$A$2:$B$500,2,FALSE)),"Open"))</f>
        <v/>
      </c>
      <c r="E110" s="11">
        <f>IF(OR($A110="",NOT(ISNUMBER($B110))),"",IF($C110="Winner",1,COUNTIFS($D$7:$D$156,$D110,$B$7:$B$156,"&lt;"&amp;$B110)+1+IF(AND(NOT($C110="Winner"),COUNTIFS($D$7:$D$156,$D110,$C$7:$C$156,"Winner",$B$7:$B$156,$B110)&gt;0),1,0)))</f>
        <v/>
      </c>
      <c r="F110" s="11">
        <f>IF(OR($A110="",NOT(ISNUMBER($B110))),"",COUNTIFS($D$7:$D$156,$D110,$B$7:$B$156,"&gt;0"))</f>
        <v/>
      </c>
      <c r="G110" s="11">
        <f>IF(OR(OR($A110="",NOT(ISNUMBER($B110))),$B$2="Not started"),"",IF($C110="Winner",Points!$B$3,ROUND(Points!$B$3*IF($F110&lt;=1,1,Points!$H$7+(1-Points!$H$7)*((($F110-$E110)*(($F110-$E110)+1)/2)^2-((($F110-$E110-$J110+1)-1)*($F110-$E110-$J110+1)/2)^2)/($J110*($F110-1)^3)),0)))</f>
        <v/>
      </c>
      <c r="H110" s="11">
        <f>IF($A110="","",IF($B$2="Final","Final",IF($B$2="In progress","Projected","Not started")))</f>
        <v/>
      </c>
      <c r="I110" s="11">
        <f>IF($A110="","",IF(COUNTIF(Players!$A$2:$A$500,$A110)=0,"Player is not on the Players tab",IF(COUNTIF($A$7:$A$156,$A110)&gt;1,"Player is listed twice",IF(NOT(ISNUMBER($B110)),"Enter a score",IF(COUNTIFS($D$7:$D$156,$D110,$C$7:$C$156,"Winner")&gt;1,"More than one "&amp;$D110&amp;" winner picked",IF(AND($C110="Winner",COUNTIFS($D$7:$D$156,$D110,$B$7:$B$156,"&lt;"&amp;$B110)&gt;0),"The winner doesn't have the best "&amp;$D110&amp;" score",IF(AND($B$2="Final",COUNTIFS($D$7:$D$156,$D110,$C$7:$C$156,"Winner")=0),"Final: pick the "&amp;$D110&amp;" winner",IF($B$2="Not started","Set Status to In progress to count points","OK"))))))))</f>
        <v/>
      </c>
      <c r="J110" s="11">
        <f>IF(OR($A110="",NOT(ISNUMBER($B110))),"",IF($C110="Winner",1,COUNTIFS($D$7:$D$156,$D110,$B$7:$B$156,$B110)-IF(AND(NOT($C110="Winner"),COUNTIFS($D$7:$D$156,$D110,$C$7:$C$156,"Winner",$B$7:$B$156,$B110)&gt;0),1,0)))</f>
        <v/>
      </c>
    </row>
    <row r="111">
      <c r="D111" s="11">
        <f>IF($A111="","",IFERROR(IF(VLOOKUP($A111,Players!$A$2:$B$500,2,FALSE)="","Open",VLOOKUP($A111,Players!$A$2:$B$500,2,FALSE)),"Open"))</f>
        <v/>
      </c>
      <c r="E111" s="11">
        <f>IF(OR($A111="",NOT(ISNUMBER($B111))),"",IF($C111="Winner",1,COUNTIFS($D$7:$D$156,$D111,$B$7:$B$156,"&lt;"&amp;$B111)+1+IF(AND(NOT($C111="Winner"),COUNTIFS($D$7:$D$156,$D111,$C$7:$C$156,"Winner",$B$7:$B$156,$B111)&gt;0),1,0)))</f>
        <v/>
      </c>
      <c r="F111" s="11">
        <f>IF(OR($A111="",NOT(ISNUMBER($B111))),"",COUNTIFS($D$7:$D$156,$D111,$B$7:$B$156,"&gt;0"))</f>
        <v/>
      </c>
      <c r="G111" s="11">
        <f>IF(OR(OR($A111="",NOT(ISNUMBER($B111))),$B$2="Not started"),"",IF($C111="Winner",Points!$B$3,ROUND(Points!$B$3*IF($F111&lt;=1,1,Points!$H$7+(1-Points!$H$7)*((($F111-$E111)*(($F111-$E111)+1)/2)^2-((($F111-$E111-$J111+1)-1)*($F111-$E111-$J111+1)/2)^2)/($J111*($F111-1)^3)),0)))</f>
        <v/>
      </c>
      <c r="H111" s="11">
        <f>IF($A111="","",IF($B$2="Final","Final",IF($B$2="In progress","Projected","Not started")))</f>
        <v/>
      </c>
      <c r="I111" s="11">
        <f>IF($A111="","",IF(COUNTIF(Players!$A$2:$A$500,$A111)=0,"Player is not on the Players tab",IF(COUNTIF($A$7:$A$156,$A111)&gt;1,"Player is listed twice",IF(NOT(ISNUMBER($B111)),"Enter a score",IF(COUNTIFS($D$7:$D$156,$D111,$C$7:$C$156,"Winner")&gt;1,"More than one "&amp;$D111&amp;" winner picked",IF(AND($C111="Winner",COUNTIFS($D$7:$D$156,$D111,$B$7:$B$156,"&lt;"&amp;$B111)&gt;0),"The winner doesn't have the best "&amp;$D111&amp;" score",IF(AND($B$2="Final",COUNTIFS($D$7:$D$156,$D111,$C$7:$C$156,"Winner")=0),"Final: pick the "&amp;$D111&amp;" winner",IF($B$2="Not started","Set Status to In progress to count points","OK"))))))))</f>
        <v/>
      </c>
      <c r="J111" s="11">
        <f>IF(OR($A111="",NOT(ISNUMBER($B111))),"",IF($C111="Winner",1,COUNTIFS($D$7:$D$156,$D111,$B$7:$B$156,$B111)-IF(AND(NOT($C111="Winner"),COUNTIFS($D$7:$D$156,$D111,$C$7:$C$156,"Winner",$B$7:$B$156,$B111)&gt;0),1,0)))</f>
        <v/>
      </c>
    </row>
    <row r="112">
      <c r="D112" s="11">
        <f>IF($A112="","",IFERROR(IF(VLOOKUP($A112,Players!$A$2:$B$500,2,FALSE)="","Open",VLOOKUP($A112,Players!$A$2:$B$500,2,FALSE)),"Open"))</f>
        <v/>
      </c>
      <c r="E112" s="11">
        <f>IF(OR($A112="",NOT(ISNUMBER($B112))),"",IF($C112="Winner",1,COUNTIFS($D$7:$D$156,$D112,$B$7:$B$156,"&lt;"&amp;$B112)+1+IF(AND(NOT($C112="Winner"),COUNTIFS($D$7:$D$156,$D112,$C$7:$C$156,"Winner",$B$7:$B$156,$B112)&gt;0),1,0)))</f>
        <v/>
      </c>
      <c r="F112" s="11">
        <f>IF(OR($A112="",NOT(ISNUMBER($B112))),"",COUNTIFS($D$7:$D$156,$D112,$B$7:$B$156,"&gt;0"))</f>
        <v/>
      </c>
      <c r="G112" s="11">
        <f>IF(OR(OR($A112="",NOT(ISNUMBER($B112))),$B$2="Not started"),"",IF($C112="Winner",Points!$B$3,ROUND(Points!$B$3*IF($F112&lt;=1,1,Points!$H$7+(1-Points!$H$7)*((($F112-$E112)*(($F112-$E112)+1)/2)^2-((($F112-$E112-$J112+1)-1)*($F112-$E112-$J112+1)/2)^2)/($J112*($F112-1)^3)),0)))</f>
        <v/>
      </c>
      <c r="H112" s="11">
        <f>IF($A112="","",IF($B$2="Final","Final",IF($B$2="In progress","Projected","Not started")))</f>
        <v/>
      </c>
      <c r="I112" s="11">
        <f>IF($A112="","",IF(COUNTIF(Players!$A$2:$A$500,$A112)=0,"Player is not on the Players tab",IF(COUNTIF($A$7:$A$156,$A112)&gt;1,"Player is listed twice",IF(NOT(ISNUMBER($B112)),"Enter a score",IF(COUNTIFS($D$7:$D$156,$D112,$C$7:$C$156,"Winner")&gt;1,"More than one "&amp;$D112&amp;" winner picked",IF(AND($C112="Winner",COUNTIFS($D$7:$D$156,$D112,$B$7:$B$156,"&lt;"&amp;$B112)&gt;0),"The winner doesn't have the best "&amp;$D112&amp;" score",IF(AND($B$2="Final",COUNTIFS($D$7:$D$156,$D112,$C$7:$C$156,"Winner")=0),"Final: pick the "&amp;$D112&amp;" winner",IF($B$2="Not started","Set Status to In progress to count points","OK"))))))))</f>
        <v/>
      </c>
      <c r="J112" s="11">
        <f>IF(OR($A112="",NOT(ISNUMBER($B112))),"",IF($C112="Winner",1,COUNTIFS($D$7:$D$156,$D112,$B$7:$B$156,$B112)-IF(AND(NOT($C112="Winner"),COUNTIFS($D$7:$D$156,$D112,$C$7:$C$156,"Winner",$B$7:$B$156,$B112)&gt;0),1,0)))</f>
        <v/>
      </c>
    </row>
    <row r="113">
      <c r="D113" s="11">
        <f>IF($A113="","",IFERROR(IF(VLOOKUP($A113,Players!$A$2:$B$500,2,FALSE)="","Open",VLOOKUP($A113,Players!$A$2:$B$500,2,FALSE)),"Open"))</f>
        <v/>
      </c>
      <c r="E113" s="11">
        <f>IF(OR($A113="",NOT(ISNUMBER($B113))),"",IF($C113="Winner",1,COUNTIFS($D$7:$D$156,$D113,$B$7:$B$156,"&lt;"&amp;$B113)+1+IF(AND(NOT($C113="Winner"),COUNTIFS($D$7:$D$156,$D113,$C$7:$C$156,"Winner",$B$7:$B$156,$B113)&gt;0),1,0)))</f>
        <v/>
      </c>
      <c r="F113" s="11">
        <f>IF(OR($A113="",NOT(ISNUMBER($B113))),"",COUNTIFS($D$7:$D$156,$D113,$B$7:$B$156,"&gt;0"))</f>
        <v/>
      </c>
      <c r="G113" s="11">
        <f>IF(OR(OR($A113="",NOT(ISNUMBER($B113))),$B$2="Not started"),"",IF($C113="Winner",Points!$B$3,ROUND(Points!$B$3*IF($F113&lt;=1,1,Points!$H$7+(1-Points!$H$7)*((($F113-$E113)*(($F113-$E113)+1)/2)^2-((($F113-$E113-$J113+1)-1)*($F113-$E113-$J113+1)/2)^2)/($J113*($F113-1)^3)),0)))</f>
        <v/>
      </c>
      <c r="H113" s="11">
        <f>IF($A113="","",IF($B$2="Final","Final",IF($B$2="In progress","Projected","Not started")))</f>
        <v/>
      </c>
      <c r="I113" s="11">
        <f>IF($A113="","",IF(COUNTIF(Players!$A$2:$A$500,$A113)=0,"Player is not on the Players tab",IF(COUNTIF($A$7:$A$156,$A113)&gt;1,"Player is listed twice",IF(NOT(ISNUMBER($B113)),"Enter a score",IF(COUNTIFS($D$7:$D$156,$D113,$C$7:$C$156,"Winner")&gt;1,"More than one "&amp;$D113&amp;" winner picked",IF(AND($C113="Winner",COUNTIFS($D$7:$D$156,$D113,$B$7:$B$156,"&lt;"&amp;$B113)&gt;0),"The winner doesn't have the best "&amp;$D113&amp;" score",IF(AND($B$2="Final",COUNTIFS($D$7:$D$156,$D113,$C$7:$C$156,"Winner")=0),"Final: pick the "&amp;$D113&amp;" winner",IF($B$2="Not started","Set Status to In progress to count points","OK"))))))))</f>
        <v/>
      </c>
      <c r="J113" s="11">
        <f>IF(OR($A113="",NOT(ISNUMBER($B113))),"",IF($C113="Winner",1,COUNTIFS($D$7:$D$156,$D113,$B$7:$B$156,$B113)-IF(AND(NOT($C113="Winner"),COUNTIFS($D$7:$D$156,$D113,$C$7:$C$156,"Winner",$B$7:$B$156,$B113)&gt;0),1,0)))</f>
        <v/>
      </c>
    </row>
    <row r="114">
      <c r="D114" s="11">
        <f>IF($A114="","",IFERROR(IF(VLOOKUP($A114,Players!$A$2:$B$500,2,FALSE)="","Open",VLOOKUP($A114,Players!$A$2:$B$500,2,FALSE)),"Open"))</f>
        <v/>
      </c>
      <c r="E114" s="11">
        <f>IF(OR($A114="",NOT(ISNUMBER($B114))),"",IF($C114="Winner",1,COUNTIFS($D$7:$D$156,$D114,$B$7:$B$156,"&lt;"&amp;$B114)+1+IF(AND(NOT($C114="Winner"),COUNTIFS($D$7:$D$156,$D114,$C$7:$C$156,"Winner",$B$7:$B$156,$B114)&gt;0),1,0)))</f>
        <v/>
      </c>
      <c r="F114" s="11">
        <f>IF(OR($A114="",NOT(ISNUMBER($B114))),"",COUNTIFS($D$7:$D$156,$D114,$B$7:$B$156,"&gt;0"))</f>
        <v/>
      </c>
      <c r="G114" s="11">
        <f>IF(OR(OR($A114="",NOT(ISNUMBER($B114))),$B$2="Not started"),"",IF($C114="Winner",Points!$B$3,ROUND(Points!$B$3*IF($F114&lt;=1,1,Points!$H$7+(1-Points!$H$7)*((($F114-$E114)*(($F114-$E114)+1)/2)^2-((($F114-$E114-$J114+1)-1)*($F114-$E114-$J114+1)/2)^2)/($J114*($F114-1)^3)),0)))</f>
        <v/>
      </c>
      <c r="H114" s="11">
        <f>IF($A114="","",IF($B$2="Final","Final",IF($B$2="In progress","Projected","Not started")))</f>
        <v/>
      </c>
      <c r="I114" s="11">
        <f>IF($A114="","",IF(COUNTIF(Players!$A$2:$A$500,$A114)=0,"Player is not on the Players tab",IF(COUNTIF($A$7:$A$156,$A114)&gt;1,"Player is listed twice",IF(NOT(ISNUMBER($B114)),"Enter a score",IF(COUNTIFS($D$7:$D$156,$D114,$C$7:$C$156,"Winner")&gt;1,"More than one "&amp;$D114&amp;" winner picked",IF(AND($C114="Winner",COUNTIFS($D$7:$D$156,$D114,$B$7:$B$156,"&lt;"&amp;$B114)&gt;0),"The winner doesn't have the best "&amp;$D114&amp;" score",IF(AND($B$2="Final",COUNTIFS($D$7:$D$156,$D114,$C$7:$C$156,"Winner")=0),"Final: pick the "&amp;$D114&amp;" winner",IF($B$2="Not started","Set Status to In progress to count points","OK"))))))))</f>
        <v/>
      </c>
      <c r="J114" s="11">
        <f>IF(OR($A114="",NOT(ISNUMBER($B114))),"",IF($C114="Winner",1,COUNTIFS($D$7:$D$156,$D114,$B$7:$B$156,$B114)-IF(AND(NOT($C114="Winner"),COUNTIFS($D$7:$D$156,$D114,$C$7:$C$156,"Winner",$B$7:$B$156,$B114)&gt;0),1,0)))</f>
        <v/>
      </c>
    </row>
    <row r="115">
      <c r="D115" s="11">
        <f>IF($A115="","",IFERROR(IF(VLOOKUP($A115,Players!$A$2:$B$500,2,FALSE)="","Open",VLOOKUP($A115,Players!$A$2:$B$500,2,FALSE)),"Open"))</f>
        <v/>
      </c>
      <c r="E115" s="11">
        <f>IF(OR($A115="",NOT(ISNUMBER($B115))),"",IF($C115="Winner",1,COUNTIFS($D$7:$D$156,$D115,$B$7:$B$156,"&lt;"&amp;$B115)+1+IF(AND(NOT($C115="Winner"),COUNTIFS($D$7:$D$156,$D115,$C$7:$C$156,"Winner",$B$7:$B$156,$B115)&gt;0),1,0)))</f>
        <v/>
      </c>
      <c r="F115" s="11">
        <f>IF(OR($A115="",NOT(ISNUMBER($B115))),"",COUNTIFS($D$7:$D$156,$D115,$B$7:$B$156,"&gt;0"))</f>
        <v/>
      </c>
      <c r="G115" s="11">
        <f>IF(OR(OR($A115="",NOT(ISNUMBER($B115))),$B$2="Not started"),"",IF($C115="Winner",Points!$B$3,ROUND(Points!$B$3*IF($F115&lt;=1,1,Points!$H$7+(1-Points!$H$7)*((($F115-$E115)*(($F115-$E115)+1)/2)^2-((($F115-$E115-$J115+1)-1)*($F115-$E115-$J115+1)/2)^2)/($J115*($F115-1)^3)),0)))</f>
        <v/>
      </c>
      <c r="H115" s="11">
        <f>IF($A115="","",IF($B$2="Final","Final",IF($B$2="In progress","Projected","Not started")))</f>
        <v/>
      </c>
      <c r="I115" s="11">
        <f>IF($A115="","",IF(COUNTIF(Players!$A$2:$A$500,$A115)=0,"Player is not on the Players tab",IF(COUNTIF($A$7:$A$156,$A115)&gt;1,"Player is listed twice",IF(NOT(ISNUMBER($B115)),"Enter a score",IF(COUNTIFS($D$7:$D$156,$D115,$C$7:$C$156,"Winner")&gt;1,"More than one "&amp;$D115&amp;" winner picked",IF(AND($C115="Winner",COUNTIFS($D$7:$D$156,$D115,$B$7:$B$156,"&lt;"&amp;$B115)&gt;0),"The winner doesn't have the best "&amp;$D115&amp;" score",IF(AND($B$2="Final",COUNTIFS($D$7:$D$156,$D115,$C$7:$C$156,"Winner")=0),"Final: pick the "&amp;$D115&amp;" winner",IF($B$2="Not started","Set Status to In progress to count points","OK"))))))))</f>
        <v/>
      </c>
      <c r="J115" s="11">
        <f>IF(OR($A115="",NOT(ISNUMBER($B115))),"",IF($C115="Winner",1,COUNTIFS($D$7:$D$156,$D115,$B$7:$B$156,$B115)-IF(AND(NOT($C115="Winner"),COUNTIFS($D$7:$D$156,$D115,$C$7:$C$156,"Winner",$B$7:$B$156,$B115)&gt;0),1,0)))</f>
        <v/>
      </c>
    </row>
    <row r="116">
      <c r="D116" s="11">
        <f>IF($A116="","",IFERROR(IF(VLOOKUP($A116,Players!$A$2:$B$500,2,FALSE)="","Open",VLOOKUP($A116,Players!$A$2:$B$500,2,FALSE)),"Open"))</f>
        <v/>
      </c>
      <c r="E116" s="11">
        <f>IF(OR($A116="",NOT(ISNUMBER($B116))),"",IF($C116="Winner",1,COUNTIFS($D$7:$D$156,$D116,$B$7:$B$156,"&lt;"&amp;$B116)+1+IF(AND(NOT($C116="Winner"),COUNTIFS($D$7:$D$156,$D116,$C$7:$C$156,"Winner",$B$7:$B$156,$B116)&gt;0),1,0)))</f>
        <v/>
      </c>
      <c r="F116" s="11">
        <f>IF(OR($A116="",NOT(ISNUMBER($B116))),"",COUNTIFS($D$7:$D$156,$D116,$B$7:$B$156,"&gt;0"))</f>
        <v/>
      </c>
      <c r="G116" s="11">
        <f>IF(OR(OR($A116="",NOT(ISNUMBER($B116))),$B$2="Not started"),"",IF($C116="Winner",Points!$B$3,ROUND(Points!$B$3*IF($F116&lt;=1,1,Points!$H$7+(1-Points!$H$7)*((($F116-$E116)*(($F116-$E116)+1)/2)^2-((($F116-$E116-$J116+1)-1)*($F116-$E116-$J116+1)/2)^2)/($J116*($F116-1)^3)),0)))</f>
        <v/>
      </c>
      <c r="H116" s="11">
        <f>IF($A116="","",IF($B$2="Final","Final",IF($B$2="In progress","Projected","Not started")))</f>
        <v/>
      </c>
      <c r="I116" s="11">
        <f>IF($A116="","",IF(COUNTIF(Players!$A$2:$A$500,$A116)=0,"Player is not on the Players tab",IF(COUNTIF($A$7:$A$156,$A116)&gt;1,"Player is listed twice",IF(NOT(ISNUMBER($B116)),"Enter a score",IF(COUNTIFS($D$7:$D$156,$D116,$C$7:$C$156,"Winner")&gt;1,"More than one "&amp;$D116&amp;" winner picked",IF(AND($C116="Winner",COUNTIFS($D$7:$D$156,$D116,$B$7:$B$156,"&lt;"&amp;$B116)&gt;0),"The winner doesn't have the best "&amp;$D116&amp;" score",IF(AND($B$2="Final",COUNTIFS($D$7:$D$156,$D116,$C$7:$C$156,"Winner")=0),"Final: pick the "&amp;$D116&amp;" winner",IF($B$2="Not started","Set Status to In progress to count points","OK"))))))))</f>
        <v/>
      </c>
      <c r="J116" s="11">
        <f>IF(OR($A116="",NOT(ISNUMBER($B116))),"",IF($C116="Winner",1,COUNTIFS($D$7:$D$156,$D116,$B$7:$B$156,$B116)-IF(AND(NOT($C116="Winner"),COUNTIFS($D$7:$D$156,$D116,$C$7:$C$156,"Winner",$B$7:$B$156,$B116)&gt;0),1,0)))</f>
        <v/>
      </c>
    </row>
    <row r="117">
      <c r="D117" s="11">
        <f>IF($A117="","",IFERROR(IF(VLOOKUP($A117,Players!$A$2:$B$500,2,FALSE)="","Open",VLOOKUP($A117,Players!$A$2:$B$500,2,FALSE)),"Open"))</f>
        <v/>
      </c>
      <c r="E117" s="11">
        <f>IF(OR($A117="",NOT(ISNUMBER($B117))),"",IF($C117="Winner",1,COUNTIFS($D$7:$D$156,$D117,$B$7:$B$156,"&lt;"&amp;$B117)+1+IF(AND(NOT($C117="Winner"),COUNTIFS($D$7:$D$156,$D117,$C$7:$C$156,"Winner",$B$7:$B$156,$B117)&gt;0),1,0)))</f>
        <v/>
      </c>
      <c r="F117" s="11">
        <f>IF(OR($A117="",NOT(ISNUMBER($B117))),"",COUNTIFS($D$7:$D$156,$D117,$B$7:$B$156,"&gt;0"))</f>
        <v/>
      </c>
      <c r="G117" s="11">
        <f>IF(OR(OR($A117="",NOT(ISNUMBER($B117))),$B$2="Not started"),"",IF($C117="Winner",Points!$B$3,ROUND(Points!$B$3*IF($F117&lt;=1,1,Points!$H$7+(1-Points!$H$7)*((($F117-$E117)*(($F117-$E117)+1)/2)^2-((($F117-$E117-$J117+1)-1)*($F117-$E117-$J117+1)/2)^2)/($J117*($F117-1)^3)),0)))</f>
        <v/>
      </c>
      <c r="H117" s="11">
        <f>IF($A117="","",IF($B$2="Final","Final",IF($B$2="In progress","Projected","Not started")))</f>
        <v/>
      </c>
      <c r="I117" s="11">
        <f>IF($A117="","",IF(COUNTIF(Players!$A$2:$A$500,$A117)=0,"Player is not on the Players tab",IF(COUNTIF($A$7:$A$156,$A117)&gt;1,"Player is listed twice",IF(NOT(ISNUMBER($B117)),"Enter a score",IF(COUNTIFS($D$7:$D$156,$D117,$C$7:$C$156,"Winner")&gt;1,"More than one "&amp;$D117&amp;" winner picked",IF(AND($C117="Winner",COUNTIFS($D$7:$D$156,$D117,$B$7:$B$156,"&lt;"&amp;$B117)&gt;0),"The winner doesn't have the best "&amp;$D117&amp;" score",IF(AND($B$2="Final",COUNTIFS($D$7:$D$156,$D117,$C$7:$C$156,"Winner")=0),"Final: pick the "&amp;$D117&amp;" winner",IF($B$2="Not started","Set Status to In progress to count points","OK"))))))))</f>
        <v/>
      </c>
      <c r="J117" s="11">
        <f>IF(OR($A117="",NOT(ISNUMBER($B117))),"",IF($C117="Winner",1,COUNTIFS($D$7:$D$156,$D117,$B$7:$B$156,$B117)-IF(AND(NOT($C117="Winner"),COUNTIFS($D$7:$D$156,$D117,$C$7:$C$156,"Winner",$B$7:$B$156,$B117)&gt;0),1,0)))</f>
        <v/>
      </c>
    </row>
    <row r="118">
      <c r="D118" s="11">
        <f>IF($A118="","",IFERROR(IF(VLOOKUP($A118,Players!$A$2:$B$500,2,FALSE)="","Open",VLOOKUP($A118,Players!$A$2:$B$500,2,FALSE)),"Open"))</f>
        <v/>
      </c>
      <c r="E118" s="11">
        <f>IF(OR($A118="",NOT(ISNUMBER($B118))),"",IF($C118="Winner",1,COUNTIFS($D$7:$D$156,$D118,$B$7:$B$156,"&lt;"&amp;$B118)+1+IF(AND(NOT($C118="Winner"),COUNTIFS($D$7:$D$156,$D118,$C$7:$C$156,"Winner",$B$7:$B$156,$B118)&gt;0),1,0)))</f>
        <v/>
      </c>
      <c r="F118" s="11">
        <f>IF(OR($A118="",NOT(ISNUMBER($B118))),"",COUNTIFS($D$7:$D$156,$D118,$B$7:$B$156,"&gt;0"))</f>
        <v/>
      </c>
      <c r="G118" s="11">
        <f>IF(OR(OR($A118="",NOT(ISNUMBER($B118))),$B$2="Not started"),"",IF($C118="Winner",Points!$B$3,ROUND(Points!$B$3*IF($F118&lt;=1,1,Points!$H$7+(1-Points!$H$7)*((($F118-$E118)*(($F118-$E118)+1)/2)^2-((($F118-$E118-$J118+1)-1)*($F118-$E118-$J118+1)/2)^2)/($J118*($F118-1)^3)),0)))</f>
        <v/>
      </c>
      <c r="H118" s="11">
        <f>IF($A118="","",IF($B$2="Final","Final",IF($B$2="In progress","Projected","Not started")))</f>
        <v/>
      </c>
      <c r="I118" s="11">
        <f>IF($A118="","",IF(COUNTIF(Players!$A$2:$A$500,$A118)=0,"Player is not on the Players tab",IF(COUNTIF($A$7:$A$156,$A118)&gt;1,"Player is listed twice",IF(NOT(ISNUMBER($B118)),"Enter a score",IF(COUNTIFS($D$7:$D$156,$D118,$C$7:$C$156,"Winner")&gt;1,"More than one "&amp;$D118&amp;" winner picked",IF(AND($C118="Winner",COUNTIFS($D$7:$D$156,$D118,$B$7:$B$156,"&lt;"&amp;$B118)&gt;0),"The winner doesn't have the best "&amp;$D118&amp;" score",IF(AND($B$2="Final",COUNTIFS($D$7:$D$156,$D118,$C$7:$C$156,"Winner")=0),"Final: pick the "&amp;$D118&amp;" winner",IF($B$2="Not started","Set Status to In progress to count points","OK"))))))))</f>
        <v/>
      </c>
      <c r="J118" s="11">
        <f>IF(OR($A118="",NOT(ISNUMBER($B118))),"",IF($C118="Winner",1,COUNTIFS($D$7:$D$156,$D118,$B$7:$B$156,$B118)-IF(AND(NOT($C118="Winner"),COUNTIFS($D$7:$D$156,$D118,$C$7:$C$156,"Winner",$B$7:$B$156,$B118)&gt;0),1,0)))</f>
        <v/>
      </c>
    </row>
    <row r="119">
      <c r="D119" s="11">
        <f>IF($A119="","",IFERROR(IF(VLOOKUP($A119,Players!$A$2:$B$500,2,FALSE)="","Open",VLOOKUP($A119,Players!$A$2:$B$500,2,FALSE)),"Open"))</f>
        <v/>
      </c>
      <c r="E119" s="11">
        <f>IF(OR($A119="",NOT(ISNUMBER($B119))),"",IF($C119="Winner",1,COUNTIFS($D$7:$D$156,$D119,$B$7:$B$156,"&lt;"&amp;$B119)+1+IF(AND(NOT($C119="Winner"),COUNTIFS($D$7:$D$156,$D119,$C$7:$C$156,"Winner",$B$7:$B$156,$B119)&gt;0),1,0)))</f>
        <v/>
      </c>
      <c r="F119" s="11">
        <f>IF(OR($A119="",NOT(ISNUMBER($B119))),"",COUNTIFS($D$7:$D$156,$D119,$B$7:$B$156,"&gt;0"))</f>
        <v/>
      </c>
      <c r="G119" s="11">
        <f>IF(OR(OR($A119="",NOT(ISNUMBER($B119))),$B$2="Not started"),"",IF($C119="Winner",Points!$B$3,ROUND(Points!$B$3*IF($F119&lt;=1,1,Points!$H$7+(1-Points!$H$7)*((($F119-$E119)*(($F119-$E119)+1)/2)^2-((($F119-$E119-$J119+1)-1)*($F119-$E119-$J119+1)/2)^2)/($J119*($F119-1)^3)),0)))</f>
        <v/>
      </c>
      <c r="H119" s="11">
        <f>IF($A119="","",IF($B$2="Final","Final",IF($B$2="In progress","Projected","Not started")))</f>
        <v/>
      </c>
      <c r="I119" s="11">
        <f>IF($A119="","",IF(COUNTIF(Players!$A$2:$A$500,$A119)=0,"Player is not on the Players tab",IF(COUNTIF($A$7:$A$156,$A119)&gt;1,"Player is listed twice",IF(NOT(ISNUMBER($B119)),"Enter a score",IF(COUNTIFS($D$7:$D$156,$D119,$C$7:$C$156,"Winner")&gt;1,"More than one "&amp;$D119&amp;" winner picked",IF(AND($C119="Winner",COUNTIFS($D$7:$D$156,$D119,$B$7:$B$156,"&lt;"&amp;$B119)&gt;0),"The winner doesn't have the best "&amp;$D119&amp;" score",IF(AND($B$2="Final",COUNTIFS($D$7:$D$156,$D119,$C$7:$C$156,"Winner")=0),"Final: pick the "&amp;$D119&amp;" winner",IF($B$2="Not started","Set Status to In progress to count points","OK"))))))))</f>
        <v/>
      </c>
      <c r="J119" s="11">
        <f>IF(OR($A119="",NOT(ISNUMBER($B119))),"",IF($C119="Winner",1,COUNTIFS($D$7:$D$156,$D119,$B$7:$B$156,$B119)-IF(AND(NOT($C119="Winner"),COUNTIFS($D$7:$D$156,$D119,$C$7:$C$156,"Winner",$B$7:$B$156,$B119)&gt;0),1,0)))</f>
        <v/>
      </c>
    </row>
    <row r="120">
      <c r="D120" s="11">
        <f>IF($A120="","",IFERROR(IF(VLOOKUP($A120,Players!$A$2:$B$500,2,FALSE)="","Open",VLOOKUP($A120,Players!$A$2:$B$500,2,FALSE)),"Open"))</f>
        <v/>
      </c>
      <c r="E120" s="11">
        <f>IF(OR($A120="",NOT(ISNUMBER($B120))),"",IF($C120="Winner",1,COUNTIFS($D$7:$D$156,$D120,$B$7:$B$156,"&lt;"&amp;$B120)+1+IF(AND(NOT($C120="Winner"),COUNTIFS($D$7:$D$156,$D120,$C$7:$C$156,"Winner",$B$7:$B$156,$B120)&gt;0),1,0)))</f>
        <v/>
      </c>
      <c r="F120" s="11">
        <f>IF(OR($A120="",NOT(ISNUMBER($B120))),"",COUNTIFS($D$7:$D$156,$D120,$B$7:$B$156,"&gt;0"))</f>
        <v/>
      </c>
      <c r="G120" s="11">
        <f>IF(OR(OR($A120="",NOT(ISNUMBER($B120))),$B$2="Not started"),"",IF($C120="Winner",Points!$B$3,ROUND(Points!$B$3*IF($F120&lt;=1,1,Points!$H$7+(1-Points!$H$7)*((($F120-$E120)*(($F120-$E120)+1)/2)^2-((($F120-$E120-$J120+1)-1)*($F120-$E120-$J120+1)/2)^2)/($J120*($F120-1)^3)),0)))</f>
        <v/>
      </c>
      <c r="H120" s="11">
        <f>IF($A120="","",IF($B$2="Final","Final",IF($B$2="In progress","Projected","Not started")))</f>
        <v/>
      </c>
      <c r="I120" s="11">
        <f>IF($A120="","",IF(COUNTIF(Players!$A$2:$A$500,$A120)=0,"Player is not on the Players tab",IF(COUNTIF($A$7:$A$156,$A120)&gt;1,"Player is listed twice",IF(NOT(ISNUMBER($B120)),"Enter a score",IF(COUNTIFS($D$7:$D$156,$D120,$C$7:$C$156,"Winner")&gt;1,"More than one "&amp;$D120&amp;" winner picked",IF(AND($C120="Winner",COUNTIFS($D$7:$D$156,$D120,$B$7:$B$156,"&lt;"&amp;$B120)&gt;0),"The winner doesn't have the best "&amp;$D120&amp;" score",IF(AND($B$2="Final",COUNTIFS($D$7:$D$156,$D120,$C$7:$C$156,"Winner")=0),"Final: pick the "&amp;$D120&amp;" winner",IF($B$2="Not started","Set Status to In progress to count points","OK"))))))))</f>
        <v/>
      </c>
      <c r="J120" s="11">
        <f>IF(OR($A120="",NOT(ISNUMBER($B120))),"",IF($C120="Winner",1,COUNTIFS($D$7:$D$156,$D120,$B$7:$B$156,$B120)-IF(AND(NOT($C120="Winner"),COUNTIFS($D$7:$D$156,$D120,$C$7:$C$156,"Winner",$B$7:$B$156,$B120)&gt;0),1,0)))</f>
        <v/>
      </c>
    </row>
    <row r="121">
      <c r="D121" s="11">
        <f>IF($A121="","",IFERROR(IF(VLOOKUP($A121,Players!$A$2:$B$500,2,FALSE)="","Open",VLOOKUP($A121,Players!$A$2:$B$500,2,FALSE)),"Open"))</f>
        <v/>
      </c>
      <c r="E121" s="11">
        <f>IF(OR($A121="",NOT(ISNUMBER($B121))),"",IF($C121="Winner",1,COUNTIFS($D$7:$D$156,$D121,$B$7:$B$156,"&lt;"&amp;$B121)+1+IF(AND(NOT($C121="Winner"),COUNTIFS($D$7:$D$156,$D121,$C$7:$C$156,"Winner",$B$7:$B$156,$B121)&gt;0),1,0)))</f>
        <v/>
      </c>
      <c r="F121" s="11">
        <f>IF(OR($A121="",NOT(ISNUMBER($B121))),"",COUNTIFS($D$7:$D$156,$D121,$B$7:$B$156,"&gt;0"))</f>
        <v/>
      </c>
      <c r="G121" s="11">
        <f>IF(OR(OR($A121="",NOT(ISNUMBER($B121))),$B$2="Not started"),"",IF($C121="Winner",Points!$B$3,ROUND(Points!$B$3*IF($F121&lt;=1,1,Points!$H$7+(1-Points!$H$7)*((($F121-$E121)*(($F121-$E121)+1)/2)^2-((($F121-$E121-$J121+1)-1)*($F121-$E121-$J121+1)/2)^2)/($J121*($F121-1)^3)),0)))</f>
        <v/>
      </c>
      <c r="H121" s="11">
        <f>IF($A121="","",IF($B$2="Final","Final",IF($B$2="In progress","Projected","Not started")))</f>
        <v/>
      </c>
      <c r="I121" s="11">
        <f>IF($A121="","",IF(COUNTIF(Players!$A$2:$A$500,$A121)=0,"Player is not on the Players tab",IF(COUNTIF($A$7:$A$156,$A121)&gt;1,"Player is listed twice",IF(NOT(ISNUMBER($B121)),"Enter a score",IF(COUNTIFS($D$7:$D$156,$D121,$C$7:$C$156,"Winner")&gt;1,"More than one "&amp;$D121&amp;" winner picked",IF(AND($C121="Winner",COUNTIFS($D$7:$D$156,$D121,$B$7:$B$156,"&lt;"&amp;$B121)&gt;0),"The winner doesn't have the best "&amp;$D121&amp;" score",IF(AND($B$2="Final",COUNTIFS($D$7:$D$156,$D121,$C$7:$C$156,"Winner")=0),"Final: pick the "&amp;$D121&amp;" winner",IF($B$2="Not started","Set Status to In progress to count points","OK"))))))))</f>
        <v/>
      </c>
      <c r="J121" s="11">
        <f>IF(OR($A121="",NOT(ISNUMBER($B121))),"",IF($C121="Winner",1,COUNTIFS($D$7:$D$156,$D121,$B$7:$B$156,$B121)-IF(AND(NOT($C121="Winner"),COUNTIFS($D$7:$D$156,$D121,$C$7:$C$156,"Winner",$B$7:$B$156,$B121)&gt;0),1,0)))</f>
        <v/>
      </c>
    </row>
    <row r="122">
      <c r="D122" s="11">
        <f>IF($A122="","",IFERROR(IF(VLOOKUP($A122,Players!$A$2:$B$500,2,FALSE)="","Open",VLOOKUP($A122,Players!$A$2:$B$500,2,FALSE)),"Open"))</f>
        <v/>
      </c>
      <c r="E122" s="11">
        <f>IF(OR($A122="",NOT(ISNUMBER($B122))),"",IF($C122="Winner",1,COUNTIFS($D$7:$D$156,$D122,$B$7:$B$156,"&lt;"&amp;$B122)+1+IF(AND(NOT($C122="Winner"),COUNTIFS($D$7:$D$156,$D122,$C$7:$C$156,"Winner",$B$7:$B$156,$B122)&gt;0),1,0)))</f>
        <v/>
      </c>
      <c r="F122" s="11">
        <f>IF(OR($A122="",NOT(ISNUMBER($B122))),"",COUNTIFS($D$7:$D$156,$D122,$B$7:$B$156,"&gt;0"))</f>
        <v/>
      </c>
      <c r="G122" s="11">
        <f>IF(OR(OR($A122="",NOT(ISNUMBER($B122))),$B$2="Not started"),"",IF($C122="Winner",Points!$B$3,ROUND(Points!$B$3*IF($F122&lt;=1,1,Points!$H$7+(1-Points!$H$7)*((($F122-$E122)*(($F122-$E122)+1)/2)^2-((($F122-$E122-$J122+1)-1)*($F122-$E122-$J122+1)/2)^2)/($J122*($F122-1)^3)),0)))</f>
        <v/>
      </c>
      <c r="H122" s="11">
        <f>IF($A122="","",IF($B$2="Final","Final",IF($B$2="In progress","Projected","Not started")))</f>
        <v/>
      </c>
      <c r="I122" s="11">
        <f>IF($A122="","",IF(COUNTIF(Players!$A$2:$A$500,$A122)=0,"Player is not on the Players tab",IF(COUNTIF($A$7:$A$156,$A122)&gt;1,"Player is listed twice",IF(NOT(ISNUMBER($B122)),"Enter a score",IF(COUNTIFS($D$7:$D$156,$D122,$C$7:$C$156,"Winner")&gt;1,"More than one "&amp;$D122&amp;" winner picked",IF(AND($C122="Winner",COUNTIFS($D$7:$D$156,$D122,$B$7:$B$156,"&lt;"&amp;$B122)&gt;0),"The winner doesn't have the best "&amp;$D122&amp;" score",IF(AND($B$2="Final",COUNTIFS($D$7:$D$156,$D122,$C$7:$C$156,"Winner")=0),"Final: pick the "&amp;$D122&amp;" winner",IF($B$2="Not started","Set Status to In progress to count points","OK"))))))))</f>
        <v/>
      </c>
      <c r="J122" s="11">
        <f>IF(OR($A122="",NOT(ISNUMBER($B122))),"",IF($C122="Winner",1,COUNTIFS($D$7:$D$156,$D122,$B$7:$B$156,$B122)-IF(AND(NOT($C122="Winner"),COUNTIFS($D$7:$D$156,$D122,$C$7:$C$156,"Winner",$B$7:$B$156,$B122)&gt;0),1,0)))</f>
        <v/>
      </c>
    </row>
    <row r="123">
      <c r="D123" s="11">
        <f>IF($A123="","",IFERROR(IF(VLOOKUP($A123,Players!$A$2:$B$500,2,FALSE)="","Open",VLOOKUP($A123,Players!$A$2:$B$500,2,FALSE)),"Open"))</f>
        <v/>
      </c>
      <c r="E123" s="11">
        <f>IF(OR($A123="",NOT(ISNUMBER($B123))),"",IF($C123="Winner",1,COUNTIFS($D$7:$D$156,$D123,$B$7:$B$156,"&lt;"&amp;$B123)+1+IF(AND(NOT($C123="Winner"),COUNTIFS($D$7:$D$156,$D123,$C$7:$C$156,"Winner",$B$7:$B$156,$B123)&gt;0),1,0)))</f>
        <v/>
      </c>
      <c r="F123" s="11">
        <f>IF(OR($A123="",NOT(ISNUMBER($B123))),"",COUNTIFS($D$7:$D$156,$D123,$B$7:$B$156,"&gt;0"))</f>
        <v/>
      </c>
      <c r="G123" s="11">
        <f>IF(OR(OR($A123="",NOT(ISNUMBER($B123))),$B$2="Not started"),"",IF($C123="Winner",Points!$B$3,ROUND(Points!$B$3*IF($F123&lt;=1,1,Points!$H$7+(1-Points!$H$7)*((($F123-$E123)*(($F123-$E123)+1)/2)^2-((($F123-$E123-$J123+1)-1)*($F123-$E123-$J123+1)/2)^2)/($J123*($F123-1)^3)),0)))</f>
        <v/>
      </c>
      <c r="H123" s="11">
        <f>IF($A123="","",IF($B$2="Final","Final",IF($B$2="In progress","Projected","Not started")))</f>
        <v/>
      </c>
      <c r="I123" s="11">
        <f>IF($A123="","",IF(COUNTIF(Players!$A$2:$A$500,$A123)=0,"Player is not on the Players tab",IF(COUNTIF($A$7:$A$156,$A123)&gt;1,"Player is listed twice",IF(NOT(ISNUMBER($B123)),"Enter a score",IF(COUNTIFS($D$7:$D$156,$D123,$C$7:$C$156,"Winner")&gt;1,"More than one "&amp;$D123&amp;" winner picked",IF(AND($C123="Winner",COUNTIFS($D$7:$D$156,$D123,$B$7:$B$156,"&lt;"&amp;$B123)&gt;0),"The winner doesn't have the best "&amp;$D123&amp;" score",IF(AND($B$2="Final",COUNTIFS($D$7:$D$156,$D123,$C$7:$C$156,"Winner")=0),"Final: pick the "&amp;$D123&amp;" winner",IF($B$2="Not started","Set Status to In progress to count points","OK"))))))))</f>
        <v/>
      </c>
      <c r="J123" s="11">
        <f>IF(OR($A123="",NOT(ISNUMBER($B123))),"",IF($C123="Winner",1,COUNTIFS($D$7:$D$156,$D123,$B$7:$B$156,$B123)-IF(AND(NOT($C123="Winner"),COUNTIFS($D$7:$D$156,$D123,$C$7:$C$156,"Winner",$B$7:$B$156,$B123)&gt;0),1,0)))</f>
        <v/>
      </c>
    </row>
    <row r="124">
      <c r="D124" s="11">
        <f>IF($A124="","",IFERROR(IF(VLOOKUP($A124,Players!$A$2:$B$500,2,FALSE)="","Open",VLOOKUP($A124,Players!$A$2:$B$500,2,FALSE)),"Open"))</f>
        <v/>
      </c>
      <c r="E124" s="11">
        <f>IF(OR($A124="",NOT(ISNUMBER($B124))),"",IF($C124="Winner",1,COUNTIFS($D$7:$D$156,$D124,$B$7:$B$156,"&lt;"&amp;$B124)+1+IF(AND(NOT($C124="Winner"),COUNTIFS($D$7:$D$156,$D124,$C$7:$C$156,"Winner",$B$7:$B$156,$B124)&gt;0),1,0)))</f>
        <v/>
      </c>
      <c r="F124" s="11">
        <f>IF(OR($A124="",NOT(ISNUMBER($B124))),"",COUNTIFS($D$7:$D$156,$D124,$B$7:$B$156,"&gt;0"))</f>
        <v/>
      </c>
      <c r="G124" s="11">
        <f>IF(OR(OR($A124="",NOT(ISNUMBER($B124))),$B$2="Not started"),"",IF($C124="Winner",Points!$B$3,ROUND(Points!$B$3*IF($F124&lt;=1,1,Points!$H$7+(1-Points!$H$7)*((($F124-$E124)*(($F124-$E124)+1)/2)^2-((($F124-$E124-$J124+1)-1)*($F124-$E124-$J124+1)/2)^2)/($J124*($F124-1)^3)),0)))</f>
        <v/>
      </c>
      <c r="H124" s="11">
        <f>IF($A124="","",IF($B$2="Final","Final",IF($B$2="In progress","Projected","Not started")))</f>
        <v/>
      </c>
      <c r="I124" s="11">
        <f>IF($A124="","",IF(COUNTIF(Players!$A$2:$A$500,$A124)=0,"Player is not on the Players tab",IF(COUNTIF($A$7:$A$156,$A124)&gt;1,"Player is listed twice",IF(NOT(ISNUMBER($B124)),"Enter a score",IF(COUNTIFS($D$7:$D$156,$D124,$C$7:$C$156,"Winner")&gt;1,"More than one "&amp;$D124&amp;" winner picked",IF(AND($C124="Winner",COUNTIFS($D$7:$D$156,$D124,$B$7:$B$156,"&lt;"&amp;$B124)&gt;0),"The winner doesn't have the best "&amp;$D124&amp;" score",IF(AND($B$2="Final",COUNTIFS($D$7:$D$156,$D124,$C$7:$C$156,"Winner")=0),"Final: pick the "&amp;$D124&amp;" winner",IF($B$2="Not started","Set Status to In progress to count points","OK"))))))))</f>
        <v/>
      </c>
      <c r="J124" s="11">
        <f>IF(OR($A124="",NOT(ISNUMBER($B124))),"",IF($C124="Winner",1,COUNTIFS($D$7:$D$156,$D124,$B$7:$B$156,$B124)-IF(AND(NOT($C124="Winner"),COUNTIFS($D$7:$D$156,$D124,$C$7:$C$156,"Winner",$B$7:$B$156,$B124)&gt;0),1,0)))</f>
        <v/>
      </c>
    </row>
    <row r="125">
      <c r="D125" s="11">
        <f>IF($A125="","",IFERROR(IF(VLOOKUP($A125,Players!$A$2:$B$500,2,FALSE)="","Open",VLOOKUP($A125,Players!$A$2:$B$500,2,FALSE)),"Open"))</f>
        <v/>
      </c>
      <c r="E125" s="11">
        <f>IF(OR($A125="",NOT(ISNUMBER($B125))),"",IF($C125="Winner",1,COUNTIFS($D$7:$D$156,$D125,$B$7:$B$156,"&lt;"&amp;$B125)+1+IF(AND(NOT($C125="Winner"),COUNTIFS($D$7:$D$156,$D125,$C$7:$C$156,"Winner",$B$7:$B$156,$B125)&gt;0),1,0)))</f>
        <v/>
      </c>
      <c r="F125" s="11">
        <f>IF(OR($A125="",NOT(ISNUMBER($B125))),"",COUNTIFS($D$7:$D$156,$D125,$B$7:$B$156,"&gt;0"))</f>
        <v/>
      </c>
      <c r="G125" s="11">
        <f>IF(OR(OR($A125="",NOT(ISNUMBER($B125))),$B$2="Not started"),"",IF($C125="Winner",Points!$B$3,ROUND(Points!$B$3*IF($F125&lt;=1,1,Points!$H$7+(1-Points!$H$7)*((($F125-$E125)*(($F125-$E125)+1)/2)^2-((($F125-$E125-$J125+1)-1)*($F125-$E125-$J125+1)/2)^2)/($J125*($F125-1)^3)),0)))</f>
        <v/>
      </c>
      <c r="H125" s="11">
        <f>IF($A125="","",IF($B$2="Final","Final",IF($B$2="In progress","Projected","Not started")))</f>
        <v/>
      </c>
      <c r="I125" s="11">
        <f>IF($A125="","",IF(COUNTIF(Players!$A$2:$A$500,$A125)=0,"Player is not on the Players tab",IF(COUNTIF($A$7:$A$156,$A125)&gt;1,"Player is listed twice",IF(NOT(ISNUMBER($B125)),"Enter a score",IF(COUNTIFS($D$7:$D$156,$D125,$C$7:$C$156,"Winner")&gt;1,"More than one "&amp;$D125&amp;" winner picked",IF(AND($C125="Winner",COUNTIFS($D$7:$D$156,$D125,$B$7:$B$156,"&lt;"&amp;$B125)&gt;0),"The winner doesn't have the best "&amp;$D125&amp;" score",IF(AND($B$2="Final",COUNTIFS($D$7:$D$156,$D125,$C$7:$C$156,"Winner")=0),"Final: pick the "&amp;$D125&amp;" winner",IF($B$2="Not started","Set Status to In progress to count points","OK"))))))))</f>
        <v/>
      </c>
      <c r="J125" s="11">
        <f>IF(OR($A125="",NOT(ISNUMBER($B125))),"",IF($C125="Winner",1,COUNTIFS($D$7:$D$156,$D125,$B$7:$B$156,$B125)-IF(AND(NOT($C125="Winner"),COUNTIFS($D$7:$D$156,$D125,$C$7:$C$156,"Winner",$B$7:$B$156,$B125)&gt;0),1,0)))</f>
        <v/>
      </c>
    </row>
    <row r="126">
      <c r="D126" s="11">
        <f>IF($A126="","",IFERROR(IF(VLOOKUP($A126,Players!$A$2:$B$500,2,FALSE)="","Open",VLOOKUP($A126,Players!$A$2:$B$500,2,FALSE)),"Open"))</f>
        <v/>
      </c>
      <c r="E126" s="11">
        <f>IF(OR($A126="",NOT(ISNUMBER($B126))),"",IF($C126="Winner",1,COUNTIFS($D$7:$D$156,$D126,$B$7:$B$156,"&lt;"&amp;$B126)+1+IF(AND(NOT($C126="Winner"),COUNTIFS($D$7:$D$156,$D126,$C$7:$C$156,"Winner",$B$7:$B$156,$B126)&gt;0),1,0)))</f>
        <v/>
      </c>
      <c r="F126" s="11">
        <f>IF(OR($A126="",NOT(ISNUMBER($B126))),"",COUNTIFS($D$7:$D$156,$D126,$B$7:$B$156,"&gt;0"))</f>
        <v/>
      </c>
      <c r="G126" s="11">
        <f>IF(OR(OR($A126="",NOT(ISNUMBER($B126))),$B$2="Not started"),"",IF($C126="Winner",Points!$B$3,ROUND(Points!$B$3*IF($F126&lt;=1,1,Points!$H$7+(1-Points!$H$7)*((($F126-$E126)*(($F126-$E126)+1)/2)^2-((($F126-$E126-$J126+1)-1)*($F126-$E126-$J126+1)/2)^2)/($J126*($F126-1)^3)),0)))</f>
        <v/>
      </c>
      <c r="H126" s="11">
        <f>IF($A126="","",IF($B$2="Final","Final",IF($B$2="In progress","Projected","Not started")))</f>
        <v/>
      </c>
      <c r="I126" s="11">
        <f>IF($A126="","",IF(COUNTIF(Players!$A$2:$A$500,$A126)=0,"Player is not on the Players tab",IF(COUNTIF($A$7:$A$156,$A126)&gt;1,"Player is listed twice",IF(NOT(ISNUMBER($B126)),"Enter a score",IF(COUNTIFS($D$7:$D$156,$D126,$C$7:$C$156,"Winner")&gt;1,"More than one "&amp;$D126&amp;" winner picked",IF(AND($C126="Winner",COUNTIFS($D$7:$D$156,$D126,$B$7:$B$156,"&lt;"&amp;$B126)&gt;0),"The winner doesn't have the best "&amp;$D126&amp;" score",IF(AND($B$2="Final",COUNTIFS($D$7:$D$156,$D126,$C$7:$C$156,"Winner")=0),"Final: pick the "&amp;$D126&amp;" winner",IF($B$2="Not started","Set Status to In progress to count points","OK"))))))))</f>
        <v/>
      </c>
      <c r="J126" s="11">
        <f>IF(OR($A126="",NOT(ISNUMBER($B126))),"",IF($C126="Winner",1,COUNTIFS($D$7:$D$156,$D126,$B$7:$B$156,$B126)-IF(AND(NOT($C126="Winner"),COUNTIFS($D$7:$D$156,$D126,$C$7:$C$156,"Winner",$B$7:$B$156,$B126)&gt;0),1,0)))</f>
        <v/>
      </c>
    </row>
    <row r="127">
      <c r="D127" s="11">
        <f>IF($A127="","",IFERROR(IF(VLOOKUP($A127,Players!$A$2:$B$500,2,FALSE)="","Open",VLOOKUP($A127,Players!$A$2:$B$500,2,FALSE)),"Open"))</f>
        <v/>
      </c>
      <c r="E127" s="11">
        <f>IF(OR($A127="",NOT(ISNUMBER($B127))),"",IF($C127="Winner",1,COUNTIFS($D$7:$D$156,$D127,$B$7:$B$156,"&lt;"&amp;$B127)+1+IF(AND(NOT($C127="Winner"),COUNTIFS($D$7:$D$156,$D127,$C$7:$C$156,"Winner",$B$7:$B$156,$B127)&gt;0),1,0)))</f>
        <v/>
      </c>
      <c r="F127" s="11">
        <f>IF(OR($A127="",NOT(ISNUMBER($B127))),"",COUNTIFS($D$7:$D$156,$D127,$B$7:$B$156,"&gt;0"))</f>
        <v/>
      </c>
      <c r="G127" s="11">
        <f>IF(OR(OR($A127="",NOT(ISNUMBER($B127))),$B$2="Not started"),"",IF($C127="Winner",Points!$B$3,ROUND(Points!$B$3*IF($F127&lt;=1,1,Points!$H$7+(1-Points!$H$7)*((($F127-$E127)*(($F127-$E127)+1)/2)^2-((($F127-$E127-$J127+1)-1)*($F127-$E127-$J127+1)/2)^2)/($J127*($F127-1)^3)),0)))</f>
        <v/>
      </c>
      <c r="H127" s="11">
        <f>IF($A127="","",IF($B$2="Final","Final",IF($B$2="In progress","Projected","Not started")))</f>
        <v/>
      </c>
      <c r="I127" s="11">
        <f>IF($A127="","",IF(COUNTIF(Players!$A$2:$A$500,$A127)=0,"Player is not on the Players tab",IF(COUNTIF($A$7:$A$156,$A127)&gt;1,"Player is listed twice",IF(NOT(ISNUMBER($B127)),"Enter a score",IF(COUNTIFS($D$7:$D$156,$D127,$C$7:$C$156,"Winner")&gt;1,"More than one "&amp;$D127&amp;" winner picked",IF(AND($C127="Winner",COUNTIFS($D$7:$D$156,$D127,$B$7:$B$156,"&lt;"&amp;$B127)&gt;0),"The winner doesn't have the best "&amp;$D127&amp;" score",IF(AND($B$2="Final",COUNTIFS($D$7:$D$156,$D127,$C$7:$C$156,"Winner")=0),"Final: pick the "&amp;$D127&amp;" winner",IF($B$2="Not started","Set Status to In progress to count points","OK"))))))))</f>
        <v/>
      </c>
      <c r="J127" s="11">
        <f>IF(OR($A127="",NOT(ISNUMBER($B127))),"",IF($C127="Winner",1,COUNTIFS($D$7:$D$156,$D127,$B$7:$B$156,$B127)-IF(AND(NOT($C127="Winner"),COUNTIFS($D$7:$D$156,$D127,$C$7:$C$156,"Winner",$B$7:$B$156,$B127)&gt;0),1,0)))</f>
        <v/>
      </c>
    </row>
    <row r="128">
      <c r="D128" s="11">
        <f>IF($A128="","",IFERROR(IF(VLOOKUP($A128,Players!$A$2:$B$500,2,FALSE)="","Open",VLOOKUP($A128,Players!$A$2:$B$500,2,FALSE)),"Open"))</f>
        <v/>
      </c>
      <c r="E128" s="11">
        <f>IF(OR($A128="",NOT(ISNUMBER($B128))),"",IF($C128="Winner",1,COUNTIFS($D$7:$D$156,$D128,$B$7:$B$156,"&lt;"&amp;$B128)+1+IF(AND(NOT($C128="Winner"),COUNTIFS($D$7:$D$156,$D128,$C$7:$C$156,"Winner",$B$7:$B$156,$B128)&gt;0),1,0)))</f>
        <v/>
      </c>
      <c r="F128" s="11">
        <f>IF(OR($A128="",NOT(ISNUMBER($B128))),"",COUNTIFS($D$7:$D$156,$D128,$B$7:$B$156,"&gt;0"))</f>
        <v/>
      </c>
      <c r="G128" s="11">
        <f>IF(OR(OR($A128="",NOT(ISNUMBER($B128))),$B$2="Not started"),"",IF($C128="Winner",Points!$B$3,ROUND(Points!$B$3*IF($F128&lt;=1,1,Points!$H$7+(1-Points!$H$7)*((($F128-$E128)*(($F128-$E128)+1)/2)^2-((($F128-$E128-$J128+1)-1)*($F128-$E128-$J128+1)/2)^2)/($J128*($F128-1)^3)),0)))</f>
        <v/>
      </c>
      <c r="H128" s="11">
        <f>IF($A128="","",IF($B$2="Final","Final",IF($B$2="In progress","Projected","Not started")))</f>
        <v/>
      </c>
      <c r="I128" s="11">
        <f>IF($A128="","",IF(COUNTIF(Players!$A$2:$A$500,$A128)=0,"Player is not on the Players tab",IF(COUNTIF($A$7:$A$156,$A128)&gt;1,"Player is listed twice",IF(NOT(ISNUMBER($B128)),"Enter a score",IF(COUNTIFS($D$7:$D$156,$D128,$C$7:$C$156,"Winner")&gt;1,"More than one "&amp;$D128&amp;" winner picked",IF(AND($C128="Winner",COUNTIFS($D$7:$D$156,$D128,$B$7:$B$156,"&lt;"&amp;$B128)&gt;0),"The winner doesn't have the best "&amp;$D128&amp;" score",IF(AND($B$2="Final",COUNTIFS($D$7:$D$156,$D128,$C$7:$C$156,"Winner")=0),"Final: pick the "&amp;$D128&amp;" winner",IF($B$2="Not started","Set Status to In progress to count points","OK"))))))))</f>
        <v/>
      </c>
      <c r="J128" s="11">
        <f>IF(OR($A128="",NOT(ISNUMBER($B128))),"",IF($C128="Winner",1,COUNTIFS($D$7:$D$156,$D128,$B$7:$B$156,$B128)-IF(AND(NOT($C128="Winner"),COUNTIFS($D$7:$D$156,$D128,$C$7:$C$156,"Winner",$B$7:$B$156,$B128)&gt;0),1,0)))</f>
        <v/>
      </c>
    </row>
    <row r="129">
      <c r="D129" s="11">
        <f>IF($A129="","",IFERROR(IF(VLOOKUP($A129,Players!$A$2:$B$500,2,FALSE)="","Open",VLOOKUP($A129,Players!$A$2:$B$500,2,FALSE)),"Open"))</f>
        <v/>
      </c>
      <c r="E129" s="11">
        <f>IF(OR($A129="",NOT(ISNUMBER($B129))),"",IF($C129="Winner",1,COUNTIFS($D$7:$D$156,$D129,$B$7:$B$156,"&lt;"&amp;$B129)+1+IF(AND(NOT($C129="Winner"),COUNTIFS($D$7:$D$156,$D129,$C$7:$C$156,"Winner",$B$7:$B$156,$B129)&gt;0),1,0)))</f>
        <v/>
      </c>
      <c r="F129" s="11">
        <f>IF(OR($A129="",NOT(ISNUMBER($B129))),"",COUNTIFS($D$7:$D$156,$D129,$B$7:$B$156,"&gt;0"))</f>
        <v/>
      </c>
      <c r="G129" s="11">
        <f>IF(OR(OR($A129="",NOT(ISNUMBER($B129))),$B$2="Not started"),"",IF($C129="Winner",Points!$B$3,ROUND(Points!$B$3*IF($F129&lt;=1,1,Points!$H$7+(1-Points!$H$7)*((($F129-$E129)*(($F129-$E129)+1)/2)^2-((($F129-$E129-$J129+1)-1)*($F129-$E129-$J129+1)/2)^2)/($J129*($F129-1)^3)),0)))</f>
        <v/>
      </c>
      <c r="H129" s="11">
        <f>IF($A129="","",IF($B$2="Final","Final",IF($B$2="In progress","Projected","Not started")))</f>
        <v/>
      </c>
      <c r="I129" s="11">
        <f>IF($A129="","",IF(COUNTIF(Players!$A$2:$A$500,$A129)=0,"Player is not on the Players tab",IF(COUNTIF($A$7:$A$156,$A129)&gt;1,"Player is listed twice",IF(NOT(ISNUMBER($B129)),"Enter a score",IF(COUNTIFS($D$7:$D$156,$D129,$C$7:$C$156,"Winner")&gt;1,"More than one "&amp;$D129&amp;" winner picked",IF(AND($C129="Winner",COUNTIFS($D$7:$D$156,$D129,$B$7:$B$156,"&lt;"&amp;$B129)&gt;0),"The winner doesn't have the best "&amp;$D129&amp;" score",IF(AND($B$2="Final",COUNTIFS($D$7:$D$156,$D129,$C$7:$C$156,"Winner")=0),"Final: pick the "&amp;$D129&amp;" winner",IF($B$2="Not started","Set Status to In progress to count points","OK"))))))))</f>
        <v/>
      </c>
      <c r="J129" s="11">
        <f>IF(OR($A129="",NOT(ISNUMBER($B129))),"",IF($C129="Winner",1,COUNTIFS($D$7:$D$156,$D129,$B$7:$B$156,$B129)-IF(AND(NOT($C129="Winner"),COUNTIFS($D$7:$D$156,$D129,$C$7:$C$156,"Winner",$B$7:$B$156,$B129)&gt;0),1,0)))</f>
        <v/>
      </c>
    </row>
    <row r="130">
      <c r="D130" s="11">
        <f>IF($A130="","",IFERROR(IF(VLOOKUP($A130,Players!$A$2:$B$500,2,FALSE)="","Open",VLOOKUP($A130,Players!$A$2:$B$500,2,FALSE)),"Open"))</f>
        <v/>
      </c>
      <c r="E130" s="11">
        <f>IF(OR($A130="",NOT(ISNUMBER($B130))),"",IF($C130="Winner",1,COUNTIFS($D$7:$D$156,$D130,$B$7:$B$156,"&lt;"&amp;$B130)+1+IF(AND(NOT($C130="Winner"),COUNTIFS($D$7:$D$156,$D130,$C$7:$C$156,"Winner",$B$7:$B$156,$B130)&gt;0),1,0)))</f>
        <v/>
      </c>
      <c r="F130" s="11">
        <f>IF(OR($A130="",NOT(ISNUMBER($B130))),"",COUNTIFS($D$7:$D$156,$D130,$B$7:$B$156,"&gt;0"))</f>
        <v/>
      </c>
      <c r="G130" s="11">
        <f>IF(OR(OR($A130="",NOT(ISNUMBER($B130))),$B$2="Not started"),"",IF($C130="Winner",Points!$B$3,ROUND(Points!$B$3*IF($F130&lt;=1,1,Points!$H$7+(1-Points!$H$7)*((($F130-$E130)*(($F130-$E130)+1)/2)^2-((($F130-$E130-$J130+1)-1)*($F130-$E130-$J130+1)/2)^2)/($J130*($F130-1)^3)),0)))</f>
        <v/>
      </c>
      <c r="H130" s="11">
        <f>IF($A130="","",IF($B$2="Final","Final",IF($B$2="In progress","Projected","Not started")))</f>
        <v/>
      </c>
      <c r="I130" s="11">
        <f>IF($A130="","",IF(COUNTIF(Players!$A$2:$A$500,$A130)=0,"Player is not on the Players tab",IF(COUNTIF($A$7:$A$156,$A130)&gt;1,"Player is listed twice",IF(NOT(ISNUMBER($B130)),"Enter a score",IF(COUNTIFS($D$7:$D$156,$D130,$C$7:$C$156,"Winner")&gt;1,"More than one "&amp;$D130&amp;" winner picked",IF(AND($C130="Winner",COUNTIFS($D$7:$D$156,$D130,$B$7:$B$156,"&lt;"&amp;$B130)&gt;0),"The winner doesn't have the best "&amp;$D130&amp;" score",IF(AND($B$2="Final",COUNTIFS($D$7:$D$156,$D130,$C$7:$C$156,"Winner")=0),"Final: pick the "&amp;$D130&amp;" winner",IF($B$2="Not started","Set Status to In progress to count points","OK"))))))))</f>
        <v/>
      </c>
      <c r="J130" s="11">
        <f>IF(OR($A130="",NOT(ISNUMBER($B130))),"",IF($C130="Winner",1,COUNTIFS($D$7:$D$156,$D130,$B$7:$B$156,$B130)-IF(AND(NOT($C130="Winner"),COUNTIFS($D$7:$D$156,$D130,$C$7:$C$156,"Winner",$B$7:$B$156,$B130)&gt;0),1,0)))</f>
        <v/>
      </c>
    </row>
    <row r="131">
      <c r="D131" s="11">
        <f>IF($A131="","",IFERROR(IF(VLOOKUP($A131,Players!$A$2:$B$500,2,FALSE)="","Open",VLOOKUP($A131,Players!$A$2:$B$500,2,FALSE)),"Open"))</f>
        <v/>
      </c>
      <c r="E131" s="11">
        <f>IF(OR($A131="",NOT(ISNUMBER($B131))),"",IF($C131="Winner",1,COUNTIFS($D$7:$D$156,$D131,$B$7:$B$156,"&lt;"&amp;$B131)+1+IF(AND(NOT($C131="Winner"),COUNTIFS($D$7:$D$156,$D131,$C$7:$C$156,"Winner",$B$7:$B$156,$B131)&gt;0),1,0)))</f>
        <v/>
      </c>
      <c r="F131" s="11">
        <f>IF(OR($A131="",NOT(ISNUMBER($B131))),"",COUNTIFS($D$7:$D$156,$D131,$B$7:$B$156,"&gt;0"))</f>
        <v/>
      </c>
      <c r="G131" s="11">
        <f>IF(OR(OR($A131="",NOT(ISNUMBER($B131))),$B$2="Not started"),"",IF($C131="Winner",Points!$B$3,ROUND(Points!$B$3*IF($F131&lt;=1,1,Points!$H$7+(1-Points!$H$7)*((($F131-$E131)*(($F131-$E131)+1)/2)^2-((($F131-$E131-$J131+1)-1)*($F131-$E131-$J131+1)/2)^2)/($J131*($F131-1)^3)),0)))</f>
        <v/>
      </c>
      <c r="H131" s="11">
        <f>IF($A131="","",IF($B$2="Final","Final",IF($B$2="In progress","Projected","Not started")))</f>
        <v/>
      </c>
      <c r="I131" s="11">
        <f>IF($A131="","",IF(COUNTIF(Players!$A$2:$A$500,$A131)=0,"Player is not on the Players tab",IF(COUNTIF($A$7:$A$156,$A131)&gt;1,"Player is listed twice",IF(NOT(ISNUMBER($B131)),"Enter a score",IF(COUNTIFS($D$7:$D$156,$D131,$C$7:$C$156,"Winner")&gt;1,"More than one "&amp;$D131&amp;" winner picked",IF(AND($C131="Winner",COUNTIFS($D$7:$D$156,$D131,$B$7:$B$156,"&lt;"&amp;$B131)&gt;0),"The winner doesn't have the best "&amp;$D131&amp;" score",IF(AND($B$2="Final",COUNTIFS($D$7:$D$156,$D131,$C$7:$C$156,"Winner")=0),"Final: pick the "&amp;$D131&amp;" winner",IF($B$2="Not started","Set Status to In progress to count points","OK"))))))))</f>
        <v/>
      </c>
      <c r="J131" s="11">
        <f>IF(OR($A131="",NOT(ISNUMBER($B131))),"",IF($C131="Winner",1,COUNTIFS($D$7:$D$156,$D131,$B$7:$B$156,$B131)-IF(AND(NOT($C131="Winner"),COUNTIFS($D$7:$D$156,$D131,$C$7:$C$156,"Winner",$B$7:$B$156,$B131)&gt;0),1,0)))</f>
        <v/>
      </c>
    </row>
    <row r="132">
      <c r="D132" s="11">
        <f>IF($A132="","",IFERROR(IF(VLOOKUP($A132,Players!$A$2:$B$500,2,FALSE)="","Open",VLOOKUP($A132,Players!$A$2:$B$500,2,FALSE)),"Open"))</f>
        <v/>
      </c>
      <c r="E132" s="11">
        <f>IF(OR($A132="",NOT(ISNUMBER($B132))),"",IF($C132="Winner",1,COUNTIFS($D$7:$D$156,$D132,$B$7:$B$156,"&lt;"&amp;$B132)+1+IF(AND(NOT($C132="Winner"),COUNTIFS($D$7:$D$156,$D132,$C$7:$C$156,"Winner",$B$7:$B$156,$B132)&gt;0),1,0)))</f>
        <v/>
      </c>
      <c r="F132" s="11">
        <f>IF(OR($A132="",NOT(ISNUMBER($B132))),"",COUNTIFS($D$7:$D$156,$D132,$B$7:$B$156,"&gt;0"))</f>
        <v/>
      </c>
      <c r="G132" s="11">
        <f>IF(OR(OR($A132="",NOT(ISNUMBER($B132))),$B$2="Not started"),"",IF($C132="Winner",Points!$B$3,ROUND(Points!$B$3*IF($F132&lt;=1,1,Points!$H$7+(1-Points!$H$7)*((($F132-$E132)*(($F132-$E132)+1)/2)^2-((($F132-$E132-$J132+1)-1)*($F132-$E132-$J132+1)/2)^2)/($J132*($F132-1)^3)),0)))</f>
        <v/>
      </c>
      <c r="H132" s="11">
        <f>IF($A132="","",IF($B$2="Final","Final",IF($B$2="In progress","Projected","Not started")))</f>
        <v/>
      </c>
      <c r="I132" s="11">
        <f>IF($A132="","",IF(COUNTIF(Players!$A$2:$A$500,$A132)=0,"Player is not on the Players tab",IF(COUNTIF($A$7:$A$156,$A132)&gt;1,"Player is listed twice",IF(NOT(ISNUMBER($B132)),"Enter a score",IF(COUNTIFS($D$7:$D$156,$D132,$C$7:$C$156,"Winner")&gt;1,"More than one "&amp;$D132&amp;" winner picked",IF(AND($C132="Winner",COUNTIFS($D$7:$D$156,$D132,$B$7:$B$156,"&lt;"&amp;$B132)&gt;0),"The winner doesn't have the best "&amp;$D132&amp;" score",IF(AND($B$2="Final",COUNTIFS($D$7:$D$156,$D132,$C$7:$C$156,"Winner")=0),"Final: pick the "&amp;$D132&amp;" winner",IF($B$2="Not started","Set Status to In progress to count points","OK"))))))))</f>
        <v/>
      </c>
      <c r="J132" s="11">
        <f>IF(OR($A132="",NOT(ISNUMBER($B132))),"",IF($C132="Winner",1,COUNTIFS($D$7:$D$156,$D132,$B$7:$B$156,$B132)-IF(AND(NOT($C132="Winner"),COUNTIFS($D$7:$D$156,$D132,$C$7:$C$156,"Winner",$B$7:$B$156,$B132)&gt;0),1,0)))</f>
        <v/>
      </c>
    </row>
    <row r="133">
      <c r="D133" s="11">
        <f>IF($A133="","",IFERROR(IF(VLOOKUP($A133,Players!$A$2:$B$500,2,FALSE)="","Open",VLOOKUP($A133,Players!$A$2:$B$500,2,FALSE)),"Open"))</f>
        <v/>
      </c>
      <c r="E133" s="11">
        <f>IF(OR($A133="",NOT(ISNUMBER($B133))),"",IF($C133="Winner",1,COUNTIFS($D$7:$D$156,$D133,$B$7:$B$156,"&lt;"&amp;$B133)+1+IF(AND(NOT($C133="Winner"),COUNTIFS($D$7:$D$156,$D133,$C$7:$C$156,"Winner",$B$7:$B$156,$B133)&gt;0),1,0)))</f>
        <v/>
      </c>
      <c r="F133" s="11">
        <f>IF(OR($A133="",NOT(ISNUMBER($B133))),"",COUNTIFS($D$7:$D$156,$D133,$B$7:$B$156,"&gt;0"))</f>
        <v/>
      </c>
      <c r="G133" s="11">
        <f>IF(OR(OR($A133="",NOT(ISNUMBER($B133))),$B$2="Not started"),"",IF($C133="Winner",Points!$B$3,ROUND(Points!$B$3*IF($F133&lt;=1,1,Points!$H$7+(1-Points!$H$7)*((($F133-$E133)*(($F133-$E133)+1)/2)^2-((($F133-$E133-$J133+1)-1)*($F133-$E133-$J133+1)/2)^2)/($J133*($F133-1)^3)),0)))</f>
        <v/>
      </c>
      <c r="H133" s="11">
        <f>IF($A133="","",IF($B$2="Final","Final",IF($B$2="In progress","Projected","Not started")))</f>
        <v/>
      </c>
      <c r="I133" s="11">
        <f>IF($A133="","",IF(COUNTIF(Players!$A$2:$A$500,$A133)=0,"Player is not on the Players tab",IF(COUNTIF($A$7:$A$156,$A133)&gt;1,"Player is listed twice",IF(NOT(ISNUMBER($B133)),"Enter a score",IF(COUNTIFS($D$7:$D$156,$D133,$C$7:$C$156,"Winner")&gt;1,"More than one "&amp;$D133&amp;" winner picked",IF(AND($C133="Winner",COUNTIFS($D$7:$D$156,$D133,$B$7:$B$156,"&lt;"&amp;$B133)&gt;0),"The winner doesn't have the best "&amp;$D133&amp;" score",IF(AND($B$2="Final",COUNTIFS($D$7:$D$156,$D133,$C$7:$C$156,"Winner")=0),"Final: pick the "&amp;$D133&amp;" winner",IF($B$2="Not started","Set Status to In progress to count points","OK"))))))))</f>
        <v/>
      </c>
      <c r="J133" s="11">
        <f>IF(OR($A133="",NOT(ISNUMBER($B133))),"",IF($C133="Winner",1,COUNTIFS($D$7:$D$156,$D133,$B$7:$B$156,$B133)-IF(AND(NOT($C133="Winner"),COUNTIFS($D$7:$D$156,$D133,$C$7:$C$156,"Winner",$B$7:$B$156,$B133)&gt;0),1,0)))</f>
        <v/>
      </c>
    </row>
    <row r="134">
      <c r="D134" s="11">
        <f>IF($A134="","",IFERROR(IF(VLOOKUP($A134,Players!$A$2:$B$500,2,FALSE)="","Open",VLOOKUP($A134,Players!$A$2:$B$500,2,FALSE)),"Open"))</f>
        <v/>
      </c>
      <c r="E134" s="11">
        <f>IF(OR($A134="",NOT(ISNUMBER($B134))),"",IF($C134="Winner",1,COUNTIFS($D$7:$D$156,$D134,$B$7:$B$156,"&lt;"&amp;$B134)+1+IF(AND(NOT($C134="Winner"),COUNTIFS($D$7:$D$156,$D134,$C$7:$C$156,"Winner",$B$7:$B$156,$B134)&gt;0),1,0)))</f>
        <v/>
      </c>
      <c r="F134" s="11">
        <f>IF(OR($A134="",NOT(ISNUMBER($B134))),"",COUNTIFS($D$7:$D$156,$D134,$B$7:$B$156,"&gt;0"))</f>
        <v/>
      </c>
      <c r="G134" s="11">
        <f>IF(OR(OR($A134="",NOT(ISNUMBER($B134))),$B$2="Not started"),"",IF($C134="Winner",Points!$B$3,ROUND(Points!$B$3*IF($F134&lt;=1,1,Points!$H$7+(1-Points!$H$7)*((($F134-$E134)*(($F134-$E134)+1)/2)^2-((($F134-$E134-$J134+1)-1)*($F134-$E134-$J134+1)/2)^2)/($J134*($F134-1)^3)),0)))</f>
        <v/>
      </c>
      <c r="H134" s="11">
        <f>IF($A134="","",IF($B$2="Final","Final",IF($B$2="In progress","Projected","Not started")))</f>
        <v/>
      </c>
      <c r="I134" s="11">
        <f>IF($A134="","",IF(COUNTIF(Players!$A$2:$A$500,$A134)=0,"Player is not on the Players tab",IF(COUNTIF($A$7:$A$156,$A134)&gt;1,"Player is listed twice",IF(NOT(ISNUMBER($B134)),"Enter a score",IF(COUNTIFS($D$7:$D$156,$D134,$C$7:$C$156,"Winner")&gt;1,"More than one "&amp;$D134&amp;" winner picked",IF(AND($C134="Winner",COUNTIFS($D$7:$D$156,$D134,$B$7:$B$156,"&lt;"&amp;$B134)&gt;0),"The winner doesn't have the best "&amp;$D134&amp;" score",IF(AND($B$2="Final",COUNTIFS($D$7:$D$156,$D134,$C$7:$C$156,"Winner")=0),"Final: pick the "&amp;$D134&amp;" winner",IF($B$2="Not started","Set Status to In progress to count points","OK"))))))))</f>
        <v/>
      </c>
      <c r="J134" s="11">
        <f>IF(OR($A134="",NOT(ISNUMBER($B134))),"",IF($C134="Winner",1,COUNTIFS($D$7:$D$156,$D134,$B$7:$B$156,$B134)-IF(AND(NOT($C134="Winner"),COUNTIFS($D$7:$D$156,$D134,$C$7:$C$156,"Winner",$B$7:$B$156,$B134)&gt;0),1,0)))</f>
        <v/>
      </c>
    </row>
    <row r="135">
      <c r="D135" s="11">
        <f>IF($A135="","",IFERROR(IF(VLOOKUP($A135,Players!$A$2:$B$500,2,FALSE)="","Open",VLOOKUP($A135,Players!$A$2:$B$500,2,FALSE)),"Open"))</f>
        <v/>
      </c>
      <c r="E135" s="11">
        <f>IF(OR($A135="",NOT(ISNUMBER($B135))),"",IF($C135="Winner",1,COUNTIFS($D$7:$D$156,$D135,$B$7:$B$156,"&lt;"&amp;$B135)+1+IF(AND(NOT($C135="Winner"),COUNTIFS($D$7:$D$156,$D135,$C$7:$C$156,"Winner",$B$7:$B$156,$B135)&gt;0),1,0)))</f>
        <v/>
      </c>
      <c r="F135" s="11">
        <f>IF(OR($A135="",NOT(ISNUMBER($B135))),"",COUNTIFS($D$7:$D$156,$D135,$B$7:$B$156,"&gt;0"))</f>
        <v/>
      </c>
      <c r="G135" s="11">
        <f>IF(OR(OR($A135="",NOT(ISNUMBER($B135))),$B$2="Not started"),"",IF($C135="Winner",Points!$B$3,ROUND(Points!$B$3*IF($F135&lt;=1,1,Points!$H$7+(1-Points!$H$7)*((($F135-$E135)*(($F135-$E135)+1)/2)^2-((($F135-$E135-$J135+1)-1)*($F135-$E135-$J135+1)/2)^2)/($J135*($F135-1)^3)),0)))</f>
        <v/>
      </c>
      <c r="H135" s="11">
        <f>IF($A135="","",IF($B$2="Final","Final",IF($B$2="In progress","Projected","Not started")))</f>
        <v/>
      </c>
      <c r="I135" s="11">
        <f>IF($A135="","",IF(COUNTIF(Players!$A$2:$A$500,$A135)=0,"Player is not on the Players tab",IF(COUNTIF($A$7:$A$156,$A135)&gt;1,"Player is listed twice",IF(NOT(ISNUMBER($B135)),"Enter a score",IF(COUNTIFS($D$7:$D$156,$D135,$C$7:$C$156,"Winner")&gt;1,"More than one "&amp;$D135&amp;" winner picked",IF(AND($C135="Winner",COUNTIFS($D$7:$D$156,$D135,$B$7:$B$156,"&lt;"&amp;$B135)&gt;0),"The winner doesn't have the best "&amp;$D135&amp;" score",IF(AND($B$2="Final",COUNTIFS($D$7:$D$156,$D135,$C$7:$C$156,"Winner")=0),"Final: pick the "&amp;$D135&amp;" winner",IF($B$2="Not started","Set Status to In progress to count points","OK"))))))))</f>
        <v/>
      </c>
      <c r="J135" s="11">
        <f>IF(OR($A135="",NOT(ISNUMBER($B135))),"",IF($C135="Winner",1,COUNTIFS($D$7:$D$156,$D135,$B$7:$B$156,$B135)-IF(AND(NOT($C135="Winner"),COUNTIFS($D$7:$D$156,$D135,$C$7:$C$156,"Winner",$B$7:$B$156,$B135)&gt;0),1,0)))</f>
        <v/>
      </c>
    </row>
    <row r="136">
      <c r="D136" s="11">
        <f>IF($A136="","",IFERROR(IF(VLOOKUP($A136,Players!$A$2:$B$500,2,FALSE)="","Open",VLOOKUP($A136,Players!$A$2:$B$500,2,FALSE)),"Open"))</f>
        <v/>
      </c>
      <c r="E136" s="11">
        <f>IF(OR($A136="",NOT(ISNUMBER($B136))),"",IF($C136="Winner",1,COUNTIFS($D$7:$D$156,$D136,$B$7:$B$156,"&lt;"&amp;$B136)+1+IF(AND(NOT($C136="Winner"),COUNTIFS($D$7:$D$156,$D136,$C$7:$C$156,"Winner",$B$7:$B$156,$B136)&gt;0),1,0)))</f>
        <v/>
      </c>
      <c r="F136" s="11">
        <f>IF(OR($A136="",NOT(ISNUMBER($B136))),"",COUNTIFS($D$7:$D$156,$D136,$B$7:$B$156,"&gt;0"))</f>
        <v/>
      </c>
      <c r="G136" s="11">
        <f>IF(OR(OR($A136="",NOT(ISNUMBER($B136))),$B$2="Not started"),"",IF($C136="Winner",Points!$B$3,ROUND(Points!$B$3*IF($F136&lt;=1,1,Points!$H$7+(1-Points!$H$7)*((($F136-$E136)*(($F136-$E136)+1)/2)^2-((($F136-$E136-$J136+1)-1)*($F136-$E136-$J136+1)/2)^2)/($J136*($F136-1)^3)),0)))</f>
        <v/>
      </c>
      <c r="H136" s="11">
        <f>IF($A136="","",IF($B$2="Final","Final",IF($B$2="In progress","Projected","Not started")))</f>
        <v/>
      </c>
      <c r="I136" s="11">
        <f>IF($A136="","",IF(COUNTIF(Players!$A$2:$A$500,$A136)=0,"Player is not on the Players tab",IF(COUNTIF($A$7:$A$156,$A136)&gt;1,"Player is listed twice",IF(NOT(ISNUMBER($B136)),"Enter a score",IF(COUNTIFS($D$7:$D$156,$D136,$C$7:$C$156,"Winner")&gt;1,"More than one "&amp;$D136&amp;" winner picked",IF(AND($C136="Winner",COUNTIFS($D$7:$D$156,$D136,$B$7:$B$156,"&lt;"&amp;$B136)&gt;0),"The winner doesn't have the best "&amp;$D136&amp;" score",IF(AND($B$2="Final",COUNTIFS($D$7:$D$156,$D136,$C$7:$C$156,"Winner")=0),"Final: pick the "&amp;$D136&amp;" winner",IF($B$2="Not started","Set Status to In progress to count points","OK"))))))))</f>
        <v/>
      </c>
      <c r="J136" s="11">
        <f>IF(OR($A136="",NOT(ISNUMBER($B136))),"",IF($C136="Winner",1,COUNTIFS($D$7:$D$156,$D136,$B$7:$B$156,$B136)-IF(AND(NOT($C136="Winner"),COUNTIFS($D$7:$D$156,$D136,$C$7:$C$156,"Winner",$B$7:$B$156,$B136)&gt;0),1,0)))</f>
        <v/>
      </c>
    </row>
    <row r="137">
      <c r="D137" s="11">
        <f>IF($A137="","",IFERROR(IF(VLOOKUP($A137,Players!$A$2:$B$500,2,FALSE)="","Open",VLOOKUP($A137,Players!$A$2:$B$500,2,FALSE)),"Open"))</f>
        <v/>
      </c>
      <c r="E137" s="11">
        <f>IF(OR($A137="",NOT(ISNUMBER($B137))),"",IF($C137="Winner",1,COUNTIFS($D$7:$D$156,$D137,$B$7:$B$156,"&lt;"&amp;$B137)+1+IF(AND(NOT($C137="Winner"),COUNTIFS($D$7:$D$156,$D137,$C$7:$C$156,"Winner",$B$7:$B$156,$B137)&gt;0),1,0)))</f>
        <v/>
      </c>
      <c r="F137" s="11">
        <f>IF(OR($A137="",NOT(ISNUMBER($B137))),"",COUNTIFS($D$7:$D$156,$D137,$B$7:$B$156,"&gt;0"))</f>
        <v/>
      </c>
      <c r="G137" s="11">
        <f>IF(OR(OR($A137="",NOT(ISNUMBER($B137))),$B$2="Not started"),"",IF($C137="Winner",Points!$B$3,ROUND(Points!$B$3*IF($F137&lt;=1,1,Points!$H$7+(1-Points!$H$7)*((($F137-$E137)*(($F137-$E137)+1)/2)^2-((($F137-$E137-$J137+1)-1)*($F137-$E137-$J137+1)/2)^2)/($J137*($F137-1)^3)),0)))</f>
        <v/>
      </c>
      <c r="H137" s="11">
        <f>IF($A137="","",IF($B$2="Final","Final",IF($B$2="In progress","Projected","Not started")))</f>
        <v/>
      </c>
      <c r="I137" s="11">
        <f>IF($A137="","",IF(COUNTIF(Players!$A$2:$A$500,$A137)=0,"Player is not on the Players tab",IF(COUNTIF($A$7:$A$156,$A137)&gt;1,"Player is listed twice",IF(NOT(ISNUMBER($B137)),"Enter a score",IF(COUNTIFS($D$7:$D$156,$D137,$C$7:$C$156,"Winner")&gt;1,"More than one "&amp;$D137&amp;" winner picked",IF(AND($C137="Winner",COUNTIFS($D$7:$D$156,$D137,$B$7:$B$156,"&lt;"&amp;$B137)&gt;0),"The winner doesn't have the best "&amp;$D137&amp;" score",IF(AND($B$2="Final",COUNTIFS($D$7:$D$156,$D137,$C$7:$C$156,"Winner")=0),"Final: pick the "&amp;$D137&amp;" winner",IF($B$2="Not started","Set Status to In progress to count points","OK"))))))))</f>
        <v/>
      </c>
      <c r="J137" s="11">
        <f>IF(OR($A137="",NOT(ISNUMBER($B137))),"",IF($C137="Winner",1,COUNTIFS($D$7:$D$156,$D137,$B$7:$B$156,$B137)-IF(AND(NOT($C137="Winner"),COUNTIFS($D$7:$D$156,$D137,$C$7:$C$156,"Winner",$B$7:$B$156,$B137)&gt;0),1,0)))</f>
        <v/>
      </c>
    </row>
    <row r="138">
      <c r="D138" s="11">
        <f>IF($A138="","",IFERROR(IF(VLOOKUP($A138,Players!$A$2:$B$500,2,FALSE)="","Open",VLOOKUP($A138,Players!$A$2:$B$500,2,FALSE)),"Open"))</f>
        <v/>
      </c>
      <c r="E138" s="11">
        <f>IF(OR($A138="",NOT(ISNUMBER($B138))),"",IF($C138="Winner",1,COUNTIFS($D$7:$D$156,$D138,$B$7:$B$156,"&lt;"&amp;$B138)+1+IF(AND(NOT($C138="Winner"),COUNTIFS($D$7:$D$156,$D138,$C$7:$C$156,"Winner",$B$7:$B$156,$B138)&gt;0),1,0)))</f>
        <v/>
      </c>
      <c r="F138" s="11">
        <f>IF(OR($A138="",NOT(ISNUMBER($B138))),"",COUNTIFS($D$7:$D$156,$D138,$B$7:$B$156,"&gt;0"))</f>
        <v/>
      </c>
      <c r="G138" s="11">
        <f>IF(OR(OR($A138="",NOT(ISNUMBER($B138))),$B$2="Not started"),"",IF($C138="Winner",Points!$B$3,ROUND(Points!$B$3*IF($F138&lt;=1,1,Points!$H$7+(1-Points!$H$7)*((($F138-$E138)*(($F138-$E138)+1)/2)^2-((($F138-$E138-$J138+1)-1)*($F138-$E138-$J138+1)/2)^2)/($J138*($F138-1)^3)),0)))</f>
        <v/>
      </c>
      <c r="H138" s="11">
        <f>IF($A138="","",IF($B$2="Final","Final",IF($B$2="In progress","Projected","Not started")))</f>
        <v/>
      </c>
      <c r="I138" s="11">
        <f>IF($A138="","",IF(COUNTIF(Players!$A$2:$A$500,$A138)=0,"Player is not on the Players tab",IF(COUNTIF($A$7:$A$156,$A138)&gt;1,"Player is listed twice",IF(NOT(ISNUMBER($B138)),"Enter a score",IF(COUNTIFS($D$7:$D$156,$D138,$C$7:$C$156,"Winner")&gt;1,"More than one "&amp;$D138&amp;" winner picked",IF(AND($C138="Winner",COUNTIFS($D$7:$D$156,$D138,$B$7:$B$156,"&lt;"&amp;$B138)&gt;0),"The winner doesn't have the best "&amp;$D138&amp;" score",IF(AND($B$2="Final",COUNTIFS($D$7:$D$156,$D138,$C$7:$C$156,"Winner")=0),"Final: pick the "&amp;$D138&amp;" winner",IF($B$2="Not started","Set Status to In progress to count points","OK"))))))))</f>
        <v/>
      </c>
      <c r="J138" s="11">
        <f>IF(OR($A138="",NOT(ISNUMBER($B138))),"",IF($C138="Winner",1,COUNTIFS($D$7:$D$156,$D138,$B$7:$B$156,$B138)-IF(AND(NOT($C138="Winner"),COUNTIFS($D$7:$D$156,$D138,$C$7:$C$156,"Winner",$B$7:$B$156,$B138)&gt;0),1,0)))</f>
        <v/>
      </c>
    </row>
    <row r="139">
      <c r="D139" s="11">
        <f>IF($A139="","",IFERROR(IF(VLOOKUP($A139,Players!$A$2:$B$500,2,FALSE)="","Open",VLOOKUP($A139,Players!$A$2:$B$500,2,FALSE)),"Open"))</f>
        <v/>
      </c>
      <c r="E139" s="11">
        <f>IF(OR($A139="",NOT(ISNUMBER($B139))),"",IF($C139="Winner",1,COUNTIFS($D$7:$D$156,$D139,$B$7:$B$156,"&lt;"&amp;$B139)+1+IF(AND(NOT($C139="Winner"),COUNTIFS($D$7:$D$156,$D139,$C$7:$C$156,"Winner",$B$7:$B$156,$B139)&gt;0),1,0)))</f>
        <v/>
      </c>
      <c r="F139" s="11">
        <f>IF(OR($A139="",NOT(ISNUMBER($B139))),"",COUNTIFS($D$7:$D$156,$D139,$B$7:$B$156,"&gt;0"))</f>
        <v/>
      </c>
      <c r="G139" s="11">
        <f>IF(OR(OR($A139="",NOT(ISNUMBER($B139))),$B$2="Not started"),"",IF($C139="Winner",Points!$B$3,ROUND(Points!$B$3*IF($F139&lt;=1,1,Points!$H$7+(1-Points!$H$7)*((($F139-$E139)*(($F139-$E139)+1)/2)^2-((($F139-$E139-$J139+1)-1)*($F139-$E139-$J139+1)/2)^2)/($J139*($F139-1)^3)),0)))</f>
        <v/>
      </c>
      <c r="H139" s="11">
        <f>IF($A139="","",IF($B$2="Final","Final",IF($B$2="In progress","Projected","Not started")))</f>
        <v/>
      </c>
      <c r="I139" s="11">
        <f>IF($A139="","",IF(COUNTIF(Players!$A$2:$A$500,$A139)=0,"Player is not on the Players tab",IF(COUNTIF($A$7:$A$156,$A139)&gt;1,"Player is listed twice",IF(NOT(ISNUMBER($B139)),"Enter a score",IF(COUNTIFS($D$7:$D$156,$D139,$C$7:$C$156,"Winner")&gt;1,"More than one "&amp;$D139&amp;" winner picked",IF(AND($C139="Winner",COUNTIFS($D$7:$D$156,$D139,$B$7:$B$156,"&lt;"&amp;$B139)&gt;0),"The winner doesn't have the best "&amp;$D139&amp;" score",IF(AND($B$2="Final",COUNTIFS($D$7:$D$156,$D139,$C$7:$C$156,"Winner")=0),"Final: pick the "&amp;$D139&amp;" winner",IF($B$2="Not started","Set Status to In progress to count points","OK"))))))))</f>
        <v/>
      </c>
      <c r="J139" s="11">
        <f>IF(OR($A139="",NOT(ISNUMBER($B139))),"",IF($C139="Winner",1,COUNTIFS($D$7:$D$156,$D139,$B$7:$B$156,$B139)-IF(AND(NOT($C139="Winner"),COUNTIFS($D$7:$D$156,$D139,$C$7:$C$156,"Winner",$B$7:$B$156,$B139)&gt;0),1,0)))</f>
        <v/>
      </c>
    </row>
    <row r="140">
      <c r="D140" s="11">
        <f>IF($A140="","",IFERROR(IF(VLOOKUP($A140,Players!$A$2:$B$500,2,FALSE)="","Open",VLOOKUP($A140,Players!$A$2:$B$500,2,FALSE)),"Open"))</f>
        <v/>
      </c>
      <c r="E140" s="11">
        <f>IF(OR($A140="",NOT(ISNUMBER($B140))),"",IF($C140="Winner",1,COUNTIFS($D$7:$D$156,$D140,$B$7:$B$156,"&lt;"&amp;$B140)+1+IF(AND(NOT($C140="Winner"),COUNTIFS($D$7:$D$156,$D140,$C$7:$C$156,"Winner",$B$7:$B$156,$B140)&gt;0),1,0)))</f>
        <v/>
      </c>
      <c r="F140" s="11">
        <f>IF(OR($A140="",NOT(ISNUMBER($B140))),"",COUNTIFS($D$7:$D$156,$D140,$B$7:$B$156,"&gt;0"))</f>
        <v/>
      </c>
      <c r="G140" s="11">
        <f>IF(OR(OR($A140="",NOT(ISNUMBER($B140))),$B$2="Not started"),"",IF($C140="Winner",Points!$B$3,ROUND(Points!$B$3*IF($F140&lt;=1,1,Points!$H$7+(1-Points!$H$7)*((($F140-$E140)*(($F140-$E140)+1)/2)^2-((($F140-$E140-$J140+1)-1)*($F140-$E140-$J140+1)/2)^2)/($J140*($F140-1)^3)),0)))</f>
        <v/>
      </c>
      <c r="H140" s="11">
        <f>IF($A140="","",IF($B$2="Final","Final",IF($B$2="In progress","Projected","Not started")))</f>
        <v/>
      </c>
      <c r="I140" s="11">
        <f>IF($A140="","",IF(COUNTIF(Players!$A$2:$A$500,$A140)=0,"Player is not on the Players tab",IF(COUNTIF($A$7:$A$156,$A140)&gt;1,"Player is listed twice",IF(NOT(ISNUMBER($B140)),"Enter a score",IF(COUNTIFS($D$7:$D$156,$D140,$C$7:$C$156,"Winner")&gt;1,"More than one "&amp;$D140&amp;" winner picked",IF(AND($C140="Winner",COUNTIFS($D$7:$D$156,$D140,$B$7:$B$156,"&lt;"&amp;$B140)&gt;0),"The winner doesn't have the best "&amp;$D140&amp;" score",IF(AND($B$2="Final",COUNTIFS($D$7:$D$156,$D140,$C$7:$C$156,"Winner")=0),"Final: pick the "&amp;$D140&amp;" winner",IF($B$2="Not started","Set Status to In progress to count points","OK"))))))))</f>
        <v/>
      </c>
      <c r="J140" s="11">
        <f>IF(OR($A140="",NOT(ISNUMBER($B140))),"",IF($C140="Winner",1,COUNTIFS($D$7:$D$156,$D140,$B$7:$B$156,$B140)-IF(AND(NOT($C140="Winner"),COUNTIFS($D$7:$D$156,$D140,$C$7:$C$156,"Winner",$B$7:$B$156,$B140)&gt;0),1,0)))</f>
        <v/>
      </c>
    </row>
    <row r="141">
      <c r="D141" s="11">
        <f>IF($A141="","",IFERROR(IF(VLOOKUP($A141,Players!$A$2:$B$500,2,FALSE)="","Open",VLOOKUP($A141,Players!$A$2:$B$500,2,FALSE)),"Open"))</f>
        <v/>
      </c>
      <c r="E141" s="11">
        <f>IF(OR($A141="",NOT(ISNUMBER($B141))),"",IF($C141="Winner",1,COUNTIFS($D$7:$D$156,$D141,$B$7:$B$156,"&lt;"&amp;$B141)+1+IF(AND(NOT($C141="Winner"),COUNTIFS($D$7:$D$156,$D141,$C$7:$C$156,"Winner",$B$7:$B$156,$B141)&gt;0),1,0)))</f>
        <v/>
      </c>
      <c r="F141" s="11">
        <f>IF(OR($A141="",NOT(ISNUMBER($B141))),"",COUNTIFS($D$7:$D$156,$D141,$B$7:$B$156,"&gt;0"))</f>
        <v/>
      </c>
      <c r="G141" s="11">
        <f>IF(OR(OR($A141="",NOT(ISNUMBER($B141))),$B$2="Not started"),"",IF($C141="Winner",Points!$B$3,ROUND(Points!$B$3*IF($F141&lt;=1,1,Points!$H$7+(1-Points!$H$7)*((($F141-$E141)*(($F141-$E141)+1)/2)^2-((($F141-$E141-$J141+1)-1)*($F141-$E141-$J141+1)/2)^2)/($J141*($F141-1)^3)),0)))</f>
        <v/>
      </c>
      <c r="H141" s="11">
        <f>IF($A141="","",IF($B$2="Final","Final",IF($B$2="In progress","Projected","Not started")))</f>
        <v/>
      </c>
      <c r="I141" s="11">
        <f>IF($A141="","",IF(COUNTIF(Players!$A$2:$A$500,$A141)=0,"Player is not on the Players tab",IF(COUNTIF($A$7:$A$156,$A141)&gt;1,"Player is listed twice",IF(NOT(ISNUMBER($B141)),"Enter a score",IF(COUNTIFS($D$7:$D$156,$D141,$C$7:$C$156,"Winner")&gt;1,"More than one "&amp;$D141&amp;" winner picked",IF(AND($C141="Winner",COUNTIFS($D$7:$D$156,$D141,$B$7:$B$156,"&lt;"&amp;$B141)&gt;0),"The winner doesn't have the best "&amp;$D141&amp;" score",IF(AND($B$2="Final",COUNTIFS($D$7:$D$156,$D141,$C$7:$C$156,"Winner")=0),"Final: pick the "&amp;$D141&amp;" winner",IF($B$2="Not started","Set Status to In progress to count points","OK"))))))))</f>
        <v/>
      </c>
      <c r="J141" s="11">
        <f>IF(OR($A141="",NOT(ISNUMBER($B141))),"",IF($C141="Winner",1,COUNTIFS($D$7:$D$156,$D141,$B$7:$B$156,$B141)-IF(AND(NOT($C141="Winner"),COUNTIFS($D$7:$D$156,$D141,$C$7:$C$156,"Winner",$B$7:$B$156,$B141)&gt;0),1,0)))</f>
        <v/>
      </c>
    </row>
    <row r="142">
      <c r="D142" s="11">
        <f>IF($A142="","",IFERROR(IF(VLOOKUP($A142,Players!$A$2:$B$500,2,FALSE)="","Open",VLOOKUP($A142,Players!$A$2:$B$500,2,FALSE)),"Open"))</f>
        <v/>
      </c>
      <c r="E142" s="11">
        <f>IF(OR($A142="",NOT(ISNUMBER($B142))),"",IF($C142="Winner",1,COUNTIFS($D$7:$D$156,$D142,$B$7:$B$156,"&lt;"&amp;$B142)+1+IF(AND(NOT($C142="Winner"),COUNTIFS($D$7:$D$156,$D142,$C$7:$C$156,"Winner",$B$7:$B$156,$B142)&gt;0),1,0)))</f>
        <v/>
      </c>
      <c r="F142" s="11">
        <f>IF(OR($A142="",NOT(ISNUMBER($B142))),"",COUNTIFS($D$7:$D$156,$D142,$B$7:$B$156,"&gt;0"))</f>
        <v/>
      </c>
      <c r="G142" s="11">
        <f>IF(OR(OR($A142="",NOT(ISNUMBER($B142))),$B$2="Not started"),"",IF($C142="Winner",Points!$B$3,ROUND(Points!$B$3*IF($F142&lt;=1,1,Points!$H$7+(1-Points!$H$7)*((($F142-$E142)*(($F142-$E142)+1)/2)^2-((($F142-$E142-$J142+1)-1)*($F142-$E142-$J142+1)/2)^2)/($J142*($F142-1)^3)),0)))</f>
        <v/>
      </c>
      <c r="H142" s="11">
        <f>IF($A142="","",IF($B$2="Final","Final",IF($B$2="In progress","Projected","Not started")))</f>
        <v/>
      </c>
      <c r="I142" s="11">
        <f>IF($A142="","",IF(COUNTIF(Players!$A$2:$A$500,$A142)=0,"Player is not on the Players tab",IF(COUNTIF($A$7:$A$156,$A142)&gt;1,"Player is listed twice",IF(NOT(ISNUMBER($B142)),"Enter a score",IF(COUNTIFS($D$7:$D$156,$D142,$C$7:$C$156,"Winner")&gt;1,"More than one "&amp;$D142&amp;" winner picked",IF(AND($C142="Winner",COUNTIFS($D$7:$D$156,$D142,$B$7:$B$156,"&lt;"&amp;$B142)&gt;0),"The winner doesn't have the best "&amp;$D142&amp;" score",IF(AND($B$2="Final",COUNTIFS($D$7:$D$156,$D142,$C$7:$C$156,"Winner")=0),"Final: pick the "&amp;$D142&amp;" winner",IF($B$2="Not started","Set Status to In progress to count points","OK"))))))))</f>
        <v/>
      </c>
      <c r="J142" s="11">
        <f>IF(OR($A142="",NOT(ISNUMBER($B142))),"",IF($C142="Winner",1,COUNTIFS($D$7:$D$156,$D142,$B$7:$B$156,$B142)-IF(AND(NOT($C142="Winner"),COUNTIFS($D$7:$D$156,$D142,$C$7:$C$156,"Winner",$B$7:$B$156,$B142)&gt;0),1,0)))</f>
        <v/>
      </c>
    </row>
    <row r="143">
      <c r="D143" s="11">
        <f>IF($A143="","",IFERROR(IF(VLOOKUP($A143,Players!$A$2:$B$500,2,FALSE)="","Open",VLOOKUP($A143,Players!$A$2:$B$500,2,FALSE)),"Open"))</f>
        <v/>
      </c>
      <c r="E143" s="11">
        <f>IF(OR($A143="",NOT(ISNUMBER($B143))),"",IF($C143="Winner",1,COUNTIFS($D$7:$D$156,$D143,$B$7:$B$156,"&lt;"&amp;$B143)+1+IF(AND(NOT($C143="Winner"),COUNTIFS($D$7:$D$156,$D143,$C$7:$C$156,"Winner",$B$7:$B$156,$B143)&gt;0),1,0)))</f>
        <v/>
      </c>
      <c r="F143" s="11">
        <f>IF(OR($A143="",NOT(ISNUMBER($B143))),"",COUNTIFS($D$7:$D$156,$D143,$B$7:$B$156,"&gt;0"))</f>
        <v/>
      </c>
      <c r="G143" s="11">
        <f>IF(OR(OR($A143="",NOT(ISNUMBER($B143))),$B$2="Not started"),"",IF($C143="Winner",Points!$B$3,ROUND(Points!$B$3*IF($F143&lt;=1,1,Points!$H$7+(1-Points!$H$7)*((($F143-$E143)*(($F143-$E143)+1)/2)^2-((($F143-$E143-$J143+1)-1)*($F143-$E143-$J143+1)/2)^2)/($J143*($F143-1)^3)),0)))</f>
        <v/>
      </c>
      <c r="H143" s="11">
        <f>IF($A143="","",IF($B$2="Final","Final",IF($B$2="In progress","Projected","Not started")))</f>
        <v/>
      </c>
      <c r="I143" s="11">
        <f>IF($A143="","",IF(COUNTIF(Players!$A$2:$A$500,$A143)=0,"Player is not on the Players tab",IF(COUNTIF($A$7:$A$156,$A143)&gt;1,"Player is listed twice",IF(NOT(ISNUMBER($B143)),"Enter a score",IF(COUNTIFS($D$7:$D$156,$D143,$C$7:$C$156,"Winner")&gt;1,"More than one "&amp;$D143&amp;" winner picked",IF(AND($C143="Winner",COUNTIFS($D$7:$D$156,$D143,$B$7:$B$156,"&lt;"&amp;$B143)&gt;0),"The winner doesn't have the best "&amp;$D143&amp;" score",IF(AND($B$2="Final",COUNTIFS($D$7:$D$156,$D143,$C$7:$C$156,"Winner")=0),"Final: pick the "&amp;$D143&amp;" winner",IF($B$2="Not started","Set Status to In progress to count points","OK"))))))))</f>
        <v/>
      </c>
      <c r="J143" s="11">
        <f>IF(OR($A143="",NOT(ISNUMBER($B143))),"",IF($C143="Winner",1,COUNTIFS($D$7:$D$156,$D143,$B$7:$B$156,$B143)-IF(AND(NOT($C143="Winner"),COUNTIFS($D$7:$D$156,$D143,$C$7:$C$156,"Winner",$B$7:$B$156,$B143)&gt;0),1,0)))</f>
        <v/>
      </c>
    </row>
    <row r="144">
      <c r="D144" s="11">
        <f>IF($A144="","",IFERROR(IF(VLOOKUP($A144,Players!$A$2:$B$500,2,FALSE)="","Open",VLOOKUP($A144,Players!$A$2:$B$500,2,FALSE)),"Open"))</f>
        <v/>
      </c>
      <c r="E144" s="11">
        <f>IF(OR($A144="",NOT(ISNUMBER($B144))),"",IF($C144="Winner",1,COUNTIFS($D$7:$D$156,$D144,$B$7:$B$156,"&lt;"&amp;$B144)+1+IF(AND(NOT($C144="Winner"),COUNTIFS($D$7:$D$156,$D144,$C$7:$C$156,"Winner",$B$7:$B$156,$B144)&gt;0),1,0)))</f>
        <v/>
      </c>
      <c r="F144" s="11">
        <f>IF(OR($A144="",NOT(ISNUMBER($B144))),"",COUNTIFS($D$7:$D$156,$D144,$B$7:$B$156,"&gt;0"))</f>
        <v/>
      </c>
      <c r="G144" s="11">
        <f>IF(OR(OR($A144="",NOT(ISNUMBER($B144))),$B$2="Not started"),"",IF($C144="Winner",Points!$B$3,ROUND(Points!$B$3*IF($F144&lt;=1,1,Points!$H$7+(1-Points!$H$7)*((($F144-$E144)*(($F144-$E144)+1)/2)^2-((($F144-$E144-$J144+1)-1)*($F144-$E144-$J144+1)/2)^2)/($J144*($F144-1)^3)),0)))</f>
        <v/>
      </c>
      <c r="H144" s="11">
        <f>IF($A144="","",IF($B$2="Final","Final",IF($B$2="In progress","Projected","Not started")))</f>
        <v/>
      </c>
      <c r="I144" s="11">
        <f>IF($A144="","",IF(COUNTIF(Players!$A$2:$A$500,$A144)=0,"Player is not on the Players tab",IF(COUNTIF($A$7:$A$156,$A144)&gt;1,"Player is listed twice",IF(NOT(ISNUMBER($B144)),"Enter a score",IF(COUNTIFS($D$7:$D$156,$D144,$C$7:$C$156,"Winner")&gt;1,"More than one "&amp;$D144&amp;" winner picked",IF(AND($C144="Winner",COUNTIFS($D$7:$D$156,$D144,$B$7:$B$156,"&lt;"&amp;$B144)&gt;0),"The winner doesn't have the best "&amp;$D144&amp;" score",IF(AND($B$2="Final",COUNTIFS($D$7:$D$156,$D144,$C$7:$C$156,"Winner")=0),"Final: pick the "&amp;$D144&amp;" winner",IF($B$2="Not started","Set Status to In progress to count points","OK"))))))))</f>
        <v/>
      </c>
      <c r="J144" s="11">
        <f>IF(OR($A144="",NOT(ISNUMBER($B144))),"",IF($C144="Winner",1,COUNTIFS($D$7:$D$156,$D144,$B$7:$B$156,$B144)-IF(AND(NOT($C144="Winner"),COUNTIFS($D$7:$D$156,$D144,$C$7:$C$156,"Winner",$B$7:$B$156,$B144)&gt;0),1,0)))</f>
        <v/>
      </c>
    </row>
    <row r="145">
      <c r="D145" s="11">
        <f>IF($A145="","",IFERROR(IF(VLOOKUP($A145,Players!$A$2:$B$500,2,FALSE)="","Open",VLOOKUP($A145,Players!$A$2:$B$500,2,FALSE)),"Open"))</f>
        <v/>
      </c>
      <c r="E145" s="11">
        <f>IF(OR($A145="",NOT(ISNUMBER($B145))),"",IF($C145="Winner",1,COUNTIFS($D$7:$D$156,$D145,$B$7:$B$156,"&lt;"&amp;$B145)+1+IF(AND(NOT($C145="Winner"),COUNTIFS($D$7:$D$156,$D145,$C$7:$C$156,"Winner",$B$7:$B$156,$B145)&gt;0),1,0)))</f>
        <v/>
      </c>
      <c r="F145" s="11">
        <f>IF(OR($A145="",NOT(ISNUMBER($B145))),"",COUNTIFS($D$7:$D$156,$D145,$B$7:$B$156,"&gt;0"))</f>
        <v/>
      </c>
      <c r="G145" s="11">
        <f>IF(OR(OR($A145="",NOT(ISNUMBER($B145))),$B$2="Not started"),"",IF($C145="Winner",Points!$B$3,ROUND(Points!$B$3*IF($F145&lt;=1,1,Points!$H$7+(1-Points!$H$7)*((($F145-$E145)*(($F145-$E145)+1)/2)^2-((($F145-$E145-$J145+1)-1)*($F145-$E145-$J145+1)/2)^2)/($J145*($F145-1)^3)),0)))</f>
        <v/>
      </c>
      <c r="H145" s="11">
        <f>IF($A145="","",IF($B$2="Final","Final",IF($B$2="In progress","Projected","Not started")))</f>
        <v/>
      </c>
      <c r="I145" s="11">
        <f>IF($A145="","",IF(COUNTIF(Players!$A$2:$A$500,$A145)=0,"Player is not on the Players tab",IF(COUNTIF($A$7:$A$156,$A145)&gt;1,"Player is listed twice",IF(NOT(ISNUMBER($B145)),"Enter a score",IF(COUNTIFS($D$7:$D$156,$D145,$C$7:$C$156,"Winner")&gt;1,"More than one "&amp;$D145&amp;" winner picked",IF(AND($C145="Winner",COUNTIFS($D$7:$D$156,$D145,$B$7:$B$156,"&lt;"&amp;$B145)&gt;0),"The winner doesn't have the best "&amp;$D145&amp;" score",IF(AND($B$2="Final",COUNTIFS($D$7:$D$156,$D145,$C$7:$C$156,"Winner")=0),"Final: pick the "&amp;$D145&amp;" winner",IF($B$2="Not started","Set Status to In progress to count points","OK"))))))))</f>
        <v/>
      </c>
      <c r="J145" s="11">
        <f>IF(OR($A145="",NOT(ISNUMBER($B145))),"",IF($C145="Winner",1,COUNTIFS($D$7:$D$156,$D145,$B$7:$B$156,$B145)-IF(AND(NOT($C145="Winner"),COUNTIFS($D$7:$D$156,$D145,$C$7:$C$156,"Winner",$B$7:$B$156,$B145)&gt;0),1,0)))</f>
        <v/>
      </c>
    </row>
    <row r="146">
      <c r="D146" s="11">
        <f>IF($A146="","",IFERROR(IF(VLOOKUP($A146,Players!$A$2:$B$500,2,FALSE)="","Open",VLOOKUP($A146,Players!$A$2:$B$500,2,FALSE)),"Open"))</f>
        <v/>
      </c>
      <c r="E146" s="11">
        <f>IF(OR($A146="",NOT(ISNUMBER($B146))),"",IF($C146="Winner",1,COUNTIFS($D$7:$D$156,$D146,$B$7:$B$156,"&lt;"&amp;$B146)+1+IF(AND(NOT($C146="Winner"),COUNTIFS($D$7:$D$156,$D146,$C$7:$C$156,"Winner",$B$7:$B$156,$B146)&gt;0),1,0)))</f>
        <v/>
      </c>
      <c r="F146" s="11">
        <f>IF(OR($A146="",NOT(ISNUMBER($B146))),"",COUNTIFS($D$7:$D$156,$D146,$B$7:$B$156,"&gt;0"))</f>
        <v/>
      </c>
      <c r="G146" s="11">
        <f>IF(OR(OR($A146="",NOT(ISNUMBER($B146))),$B$2="Not started"),"",IF($C146="Winner",Points!$B$3,ROUND(Points!$B$3*IF($F146&lt;=1,1,Points!$H$7+(1-Points!$H$7)*((($F146-$E146)*(($F146-$E146)+1)/2)^2-((($F146-$E146-$J146+1)-1)*($F146-$E146-$J146+1)/2)^2)/($J146*($F146-1)^3)),0)))</f>
        <v/>
      </c>
      <c r="H146" s="11">
        <f>IF($A146="","",IF($B$2="Final","Final",IF($B$2="In progress","Projected","Not started")))</f>
        <v/>
      </c>
      <c r="I146" s="11">
        <f>IF($A146="","",IF(COUNTIF(Players!$A$2:$A$500,$A146)=0,"Player is not on the Players tab",IF(COUNTIF($A$7:$A$156,$A146)&gt;1,"Player is listed twice",IF(NOT(ISNUMBER($B146)),"Enter a score",IF(COUNTIFS($D$7:$D$156,$D146,$C$7:$C$156,"Winner")&gt;1,"More than one "&amp;$D146&amp;" winner picked",IF(AND($C146="Winner",COUNTIFS($D$7:$D$156,$D146,$B$7:$B$156,"&lt;"&amp;$B146)&gt;0),"The winner doesn't have the best "&amp;$D146&amp;" score",IF(AND($B$2="Final",COUNTIFS($D$7:$D$156,$D146,$C$7:$C$156,"Winner")=0),"Final: pick the "&amp;$D146&amp;" winner",IF($B$2="Not started","Set Status to In progress to count points","OK"))))))))</f>
        <v/>
      </c>
      <c r="J146" s="11">
        <f>IF(OR($A146="",NOT(ISNUMBER($B146))),"",IF($C146="Winner",1,COUNTIFS($D$7:$D$156,$D146,$B$7:$B$156,$B146)-IF(AND(NOT($C146="Winner"),COUNTIFS($D$7:$D$156,$D146,$C$7:$C$156,"Winner",$B$7:$B$156,$B146)&gt;0),1,0)))</f>
        <v/>
      </c>
    </row>
    <row r="147">
      <c r="D147" s="11">
        <f>IF($A147="","",IFERROR(IF(VLOOKUP($A147,Players!$A$2:$B$500,2,FALSE)="","Open",VLOOKUP($A147,Players!$A$2:$B$500,2,FALSE)),"Open"))</f>
        <v/>
      </c>
      <c r="E147" s="11">
        <f>IF(OR($A147="",NOT(ISNUMBER($B147))),"",IF($C147="Winner",1,COUNTIFS($D$7:$D$156,$D147,$B$7:$B$156,"&lt;"&amp;$B147)+1+IF(AND(NOT($C147="Winner"),COUNTIFS($D$7:$D$156,$D147,$C$7:$C$156,"Winner",$B$7:$B$156,$B147)&gt;0),1,0)))</f>
        <v/>
      </c>
      <c r="F147" s="11">
        <f>IF(OR($A147="",NOT(ISNUMBER($B147))),"",COUNTIFS($D$7:$D$156,$D147,$B$7:$B$156,"&gt;0"))</f>
        <v/>
      </c>
      <c r="G147" s="11">
        <f>IF(OR(OR($A147="",NOT(ISNUMBER($B147))),$B$2="Not started"),"",IF($C147="Winner",Points!$B$3,ROUND(Points!$B$3*IF($F147&lt;=1,1,Points!$H$7+(1-Points!$H$7)*((($F147-$E147)*(($F147-$E147)+1)/2)^2-((($F147-$E147-$J147+1)-1)*($F147-$E147-$J147+1)/2)^2)/($J147*($F147-1)^3)),0)))</f>
        <v/>
      </c>
      <c r="H147" s="11">
        <f>IF($A147="","",IF($B$2="Final","Final",IF($B$2="In progress","Projected","Not started")))</f>
        <v/>
      </c>
      <c r="I147" s="11">
        <f>IF($A147="","",IF(COUNTIF(Players!$A$2:$A$500,$A147)=0,"Player is not on the Players tab",IF(COUNTIF($A$7:$A$156,$A147)&gt;1,"Player is listed twice",IF(NOT(ISNUMBER($B147)),"Enter a score",IF(COUNTIFS($D$7:$D$156,$D147,$C$7:$C$156,"Winner")&gt;1,"More than one "&amp;$D147&amp;" winner picked",IF(AND($C147="Winner",COUNTIFS($D$7:$D$156,$D147,$B$7:$B$156,"&lt;"&amp;$B147)&gt;0),"The winner doesn't have the best "&amp;$D147&amp;" score",IF(AND($B$2="Final",COUNTIFS($D$7:$D$156,$D147,$C$7:$C$156,"Winner")=0),"Final: pick the "&amp;$D147&amp;" winner",IF($B$2="Not started","Set Status to In progress to count points","OK"))))))))</f>
        <v/>
      </c>
      <c r="J147" s="11">
        <f>IF(OR($A147="",NOT(ISNUMBER($B147))),"",IF($C147="Winner",1,COUNTIFS($D$7:$D$156,$D147,$B$7:$B$156,$B147)-IF(AND(NOT($C147="Winner"),COUNTIFS($D$7:$D$156,$D147,$C$7:$C$156,"Winner",$B$7:$B$156,$B147)&gt;0),1,0)))</f>
        <v/>
      </c>
    </row>
    <row r="148">
      <c r="D148" s="11">
        <f>IF($A148="","",IFERROR(IF(VLOOKUP($A148,Players!$A$2:$B$500,2,FALSE)="","Open",VLOOKUP($A148,Players!$A$2:$B$500,2,FALSE)),"Open"))</f>
        <v/>
      </c>
      <c r="E148" s="11">
        <f>IF(OR($A148="",NOT(ISNUMBER($B148))),"",IF($C148="Winner",1,COUNTIFS($D$7:$D$156,$D148,$B$7:$B$156,"&lt;"&amp;$B148)+1+IF(AND(NOT($C148="Winner"),COUNTIFS($D$7:$D$156,$D148,$C$7:$C$156,"Winner",$B$7:$B$156,$B148)&gt;0),1,0)))</f>
        <v/>
      </c>
      <c r="F148" s="11">
        <f>IF(OR($A148="",NOT(ISNUMBER($B148))),"",COUNTIFS($D$7:$D$156,$D148,$B$7:$B$156,"&gt;0"))</f>
        <v/>
      </c>
      <c r="G148" s="11">
        <f>IF(OR(OR($A148="",NOT(ISNUMBER($B148))),$B$2="Not started"),"",IF($C148="Winner",Points!$B$3,ROUND(Points!$B$3*IF($F148&lt;=1,1,Points!$H$7+(1-Points!$H$7)*((($F148-$E148)*(($F148-$E148)+1)/2)^2-((($F148-$E148-$J148+1)-1)*($F148-$E148-$J148+1)/2)^2)/($J148*($F148-1)^3)),0)))</f>
        <v/>
      </c>
      <c r="H148" s="11">
        <f>IF($A148="","",IF($B$2="Final","Final",IF($B$2="In progress","Projected","Not started")))</f>
        <v/>
      </c>
      <c r="I148" s="11">
        <f>IF($A148="","",IF(COUNTIF(Players!$A$2:$A$500,$A148)=0,"Player is not on the Players tab",IF(COUNTIF($A$7:$A$156,$A148)&gt;1,"Player is listed twice",IF(NOT(ISNUMBER($B148)),"Enter a score",IF(COUNTIFS($D$7:$D$156,$D148,$C$7:$C$156,"Winner")&gt;1,"More than one "&amp;$D148&amp;" winner picked",IF(AND($C148="Winner",COUNTIFS($D$7:$D$156,$D148,$B$7:$B$156,"&lt;"&amp;$B148)&gt;0),"The winner doesn't have the best "&amp;$D148&amp;" score",IF(AND($B$2="Final",COUNTIFS($D$7:$D$156,$D148,$C$7:$C$156,"Winner")=0),"Final: pick the "&amp;$D148&amp;" winner",IF($B$2="Not started","Set Status to In progress to count points","OK"))))))))</f>
        <v/>
      </c>
      <c r="J148" s="11">
        <f>IF(OR($A148="",NOT(ISNUMBER($B148))),"",IF($C148="Winner",1,COUNTIFS($D$7:$D$156,$D148,$B$7:$B$156,$B148)-IF(AND(NOT($C148="Winner"),COUNTIFS($D$7:$D$156,$D148,$C$7:$C$156,"Winner",$B$7:$B$156,$B148)&gt;0),1,0)))</f>
        <v/>
      </c>
    </row>
    <row r="149">
      <c r="D149" s="11">
        <f>IF($A149="","",IFERROR(IF(VLOOKUP($A149,Players!$A$2:$B$500,2,FALSE)="","Open",VLOOKUP($A149,Players!$A$2:$B$500,2,FALSE)),"Open"))</f>
        <v/>
      </c>
      <c r="E149" s="11">
        <f>IF(OR($A149="",NOT(ISNUMBER($B149))),"",IF($C149="Winner",1,COUNTIFS($D$7:$D$156,$D149,$B$7:$B$156,"&lt;"&amp;$B149)+1+IF(AND(NOT($C149="Winner"),COUNTIFS($D$7:$D$156,$D149,$C$7:$C$156,"Winner",$B$7:$B$156,$B149)&gt;0),1,0)))</f>
        <v/>
      </c>
      <c r="F149" s="11">
        <f>IF(OR($A149="",NOT(ISNUMBER($B149))),"",COUNTIFS($D$7:$D$156,$D149,$B$7:$B$156,"&gt;0"))</f>
        <v/>
      </c>
      <c r="G149" s="11">
        <f>IF(OR(OR($A149="",NOT(ISNUMBER($B149))),$B$2="Not started"),"",IF($C149="Winner",Points!$B$3,ROUND(Points!$B$3*IF($F149&lt;=1,1,Points!$H$7+(1-Points!$H$7)*((($F149-$E149)*(($F149-$E149)+1)/2)^2-((($F149-$E149-$J149+1)-1)*($F149-$E149-$J149+1)/2)^2)/($J149*($F149-1)^3)),0)))</f>
        <v/>
      </c>
      <c r="H149" s="11">
        <f>IF($A149="","",IF($B$2="Final","Final",IF($B$2="In progress","Projected","Not started")))</f>
        <v/>
      </c>
      <c r="I149" s="11">
        <f>IF($A149="","",IF(COUNTIF(Players!$A$2:$A$500,$A149)=0,"Player is not on the Players tab",IF(COUNTIF($A$7:$A$156,$A149)&gt;1,"Player is listed twice",IF(NOT(ISNUMBER($B149)),"Enter a score",IF(COUNTIFS($D$7:$D$156,$D149,$C$7:$C$156,"Winner")&gt;1,"More than one "&amp;$D149&amp;" winner picked",IF(AND($C149="Winner",COUNTIFS($D$7:$D$156,$D149,$B$7:$B$156,"&lt;"&amp;$B149)&gt;0),"The winner doesn't have the best "&amp;$D149&amp;" score",IF(AND($B$2="Final",COUNTIFS($D$7:$D$156,$D149,$C$7:$C$156,"Winner")=0),"Final: pick the "&amp;$D149&amp;" winner",IF($B$2="Not started","Set Status to In progress to count points","OK"))))))))</f>
        <v/>
      </c>
      <c r="J149" s="11">
        <f>IF(OR($A149="",NOT(ISNUMBER($B149))),"",IF($C149="Winner",1,COUNTIFS($D$7:$D$156,$D149,$B$7:$B$156,$B149)-IF(AND(NOT($C149="Winner"),COUNTIFS($D$7:$D$156,$D149,$C$7:$C$156,"Winner",$B$7:$B$156,$B149)&gt;0),1,0)))</f>
        <v/>
      </c>
    </row>
    <row r="150">
      <c r="D150" s="11">
        <f>IF($A150="","",IFERROR(IF(VLOOKUP($A150,Players!$A$2:$B$500,2,FALSE)="","Open",VLOOKUP($A150,Players!$A$2:$B$500,2,FALSE)),"Open"))</f>
        <v/>
      </c>
      <c r="E150" s="11">
        <f>IF(OR($A150="",NOT(ISNUMBER($B150))),"",IF($C150="Winner",1,COUNTIFS($D$7:$D$156,$D150,$B$7:$B$156,"&lt;"&amp;$B150)+1+IF(AND(NOT($C150="Winner"),COUNTIFS($D$7:$D$156,$D150,$C$7:$C$156,"Winner",$B$7:$B$156,$B150)&gt;0),1,0)))</f>
        <v/>
      </c>
      <c r="F150" s="11">
        <f>IF(OR($A150="",NOT(ISNUMBER($B150))),"",COUNTIFS($D$7:$D$156,$D150,$B$7:$B$156,"&gt;0"))</f>
        <v/>
      </c>
      <c r="G150" s="11">
        <f>IF(OR(OR($A150="",NOT(ISNUMBER($B150))),$B$2="Not started"),"",IF($C150="Winner",Points!$B$3,ROUND(Points!$B$3*IF($F150&lt;=1,1,Points!$H$7+(1-Points!$H$7)*((($F150-$E150)*(($F150-$E150)+1)/2)^2-((($F150-$E150-$J150+1)-1)*($F150-$E150-$J150+1)/2)^2)/($J150*($F150-1)^3)),0)))</f>
        <v/>
      </c>
      <c r="H150" s="11">
        <f>IF($A150="","",IF($B$2="Final","Final",IF($B$2="In progress","Projected","Not started")))</f>
        <v/>
      </c>
      <c r="I150" s="11">
        <f>IF($A150="","",IF(COUNTIF(Players!$A$2:$A$500,$A150)=0,"Player is not on the Players tab",IF(COUNTIF($A$7:$A$156,$A150)&gt;1,"Player is listed twice",IF(NOT(ISNUMBER($B150)),"Enter a score",IF(COUNTIFS($D$7:$D$156,$D150,$C$7:$C$156,"Winner")&gt;1,"More than one "&amp;$D150&amp;" winner picked",IF(AND($C150="Winner",COUNTIFS($D$7:$D$156,$D150,$B$7:$B$156,"&lt;"&amp;$B150)&gt;0),"The winner doesn't have the best "&amp;$D150&amp;" score",IF(AND($B$2="Final",COUNTIFS($D$7:$D$156,$D150,$C$7:$C$156,"Winner")=0),"Final: pick the "&amp;$D150&amp;" winner",IF($B$2="Not started","Set Status to In progress to count points","OK"))))))))</f>
        <v/>
      </c>
      <c r="J150" s="11">
        <f>IF(OR($A150="",NOT(ISNUMBER($B150))),"",IF($C150="Winner",1,COUNTIFS($D$7:$D$156,$D150,$B$7:$B$156,$B150)-IF(AND(NOT($C150="Winner"),COUNTIFS($D$7:$D$156,$D150,$C$7:$C$156,"Winner",$B$7:$B$156,$B150)&gt;0),1,0)))</f>
        <v/>
      </c>
    </row>
    <row r="151">
      <c r="D151" s="11">
        <f>IF($A151="","",IFERROR(IF(VLOOKUP($A151,Players!$A$2:$B$500,2,FALSE)="","Open",VLOOKUP($A151,Players!$A$2:$B$500,2,FALSE)),"Open"))</f>
        <v/>
      </c>
      <c r="E151" s="11">
        <f>IF(OR($A151="",NOT(ISNUMBER($B151))),"",IF($C151="Winner",1,COUNTIFS($D$7:$D$156,$D151,$B$7:$B$156,"&lt;"&amp;$B151)+1+IF(AND(NOT($C151="Winner"),COUNTIFS($D$7:$D$156,$D151,$C$7:$C$156,"Winner",$B$7:$B$156,$B151)&gt;0),1,0)))</f>
        <v/>
      </c>
      <c r="F151" s="11">
        <f>IF(OR($A151="",NOT(ISNUMBER($B151))),"",COUNTIFS($D$7:$D$156,$D151,$B$7:$B$156,"&gt;0"))</f>
        <v/>
      </c>
      <c r="G151" s="11">
        <f>IF(OR(OR($A151="",NOT(ISNUMBER($B151))),$B$2="Not started"),"",IF($C151="Winner",Points!$B$3,ROUND(Points!$B$3*IF($F151&lt;=1,1,Points!$H$7+(1-Points!$H$7)*((($F151-$E151)*(($F151-$E151)+1)/2)^2-((($F151-$E151-$J151+1)-1)*($F151-$E151-$J151+1)/2)^2)/($J151*($F151-1)^3)),0)))</f>
        <v/>
      </c>
      <c r="H151" s="11">
        <f>IF($A151="","",IF($B$2="Final","Final",IF($B$2="In progress","Projected","Not started")))</f>
        <v/>
      </c>
      <c r="I151" s="11">
        <f>IF($A151="","",IF(COUNTIF(Players!$A$2:$A$500,$A151)=0,"Player is not on the Players tab",IF(COUNTIF($A$7:$A$156,$A151)&gt;1,"Player is listed twice",IF(NOT(ISNUMBER($B151)),"Enter a score",IF(COUNTIFS($D$7:$D$156,$D151,$C$7:$C$156,"Winner")&gt;1,"More than one "&amp;$D151&amp;" winner picked",IF(AND($C151="Winner",COUNTIFS($D$7:$D$156,$D151,$B$7:$B$156,"&lt;"&amp;$B151)&gt;0),"The winner doesn't have the best "&amp;$D151&amp;" score",IF(AND($B$2="Final",COUNTIFS($D$7:$D$156,$D151,$C$7:$C$156,"Winner")=0),"Final: pick the "&amp;$D151&amp;" winner",IF($B$2="Not started","Set Status to In progress to count points","OK"))))))))</f>
        <v/>
      </c>
      <c r="J151" s="11">
        <f>IF(OR($A151="",NOT(ISNUMBER($B151))),"",IF($C151="Winner",1,COUNTIFS($D$7:$D$156,$D151,$B$7:$B$156,$B151)-IF(AND(NOT($C151="Winner"),COUNTIFS($D$7:$D$156,$D151,$C$7:$C$156,"Winner",$B$7:$B$156,$B151)&gt;0),1,0)))</f>
        <v/>
      </c>
    </row>
    <row r="152">
      <c r="D152" s="11">
        <f>IF($A152="","",IFERROR(IF(VLOOKUP($A152,Players!$A$2:$B$500,2,FALSE)="","Open",VLOOKUP($A152,Players!$A$2:$B$500,2,FALSE)),"Open"))</f>
        <v/>
      </c>
      <c r="E152" s="11">
        <f>IF(OR($A152="",NOT(ISNUMBER($B152))),"",IF($C152="Winner",1,COUNTIFS($D$7:$D$156,$D152,$B$7:$B$156,"&lt;"&amp;$B152)+1+IF(AND(NOT($C152="Winner"),COUNTIFS($D$7:$D$156,$D152,$C$7:$C$156,"Winner",$B$7:$B$156,$B152)&gt;0),1,0)))</f>
        <v/>
      </c>
      <c r="F152" s="11">
        <f>IF(OR($A152="",NOT(ISNUMBER($B152))),"",COUNTIFS($D$7:$D$156,$D152,$B$7:$B$156,"&gt;0"))</f>
        <v/>
      </c>
      <c r="G152" s="11">
        <f>IF(OR(OR($A152="",NOT(ISNUMBER($B152))),$B$2="Not started"),"",IF($C152="Winner",Points!$B$3,ROUND(Points!$B$3*IF($F152&lt;=1,1,Points!$H$7+(1-Points!$H$7)*((($F152-$E152)*(($F152-$E152)+1)/2)^2-((($F152-$E152-$J152+1)-1)*($F152-$E152-$J152+1)/2)^2)/($J152*($F152-1)^3)),0)))</f>
        <v/>
      </c>
      <c r="H152" s="11">
        <f>IF($A152="","",IF($B$2="Final","Final",IF($B$2="In progress","Projected","Not started")))</f>
        <v/>
      </c>
      <c r="I152" s="11">
        <f>IF($A152="","",IF(COUNTIF(Players!$A$2:$A$500,$A152)=0,"Player is not on the Players tab",IF(COUNTIF($A$7:$A$156,$A152)&gt;1,"Player is listed twice",IF(NOT(ISNUMBER($B152)),"Enter a score",IF(COUNTIFS($D$7:$D$156,$D152,$C$7:$C$156,"Winner")&gt;1,"More than one "&amp;$D152&amp;" winner picked",IF(AND($C152="Winner",COUNTIFS($D$7:$D$156,$D152,$B$7:$B$156,"&lt;"&amp;$B152)&gt;0),"The winner doesn't have the best "&amp;$D152&amp;" score",IF(AND($B$2="Final",COUNTIFS($D$7:$D$156,$D152,$C$7:$C$156,"Winner")=0),"Final: pick the "&amp;$D152&amp;" winner",IF($B$2="Not started","Set Status to In progress to count points","OK"))))))))</f>
        <v/>
      </c>
      <c r="J152" s="11">
        <f>IF(OR($A152="",NOT(ISNUMBER($B152))),"",IF($C152="Winner",1,COUNTIFS($D$7:$D$156,$D152,$B$7:$B$156,$B152)-IF(AND(NOT($C152="Winner"),COUNTIFS($D$7:$D$156,$D152,$C$7:$C$156,"Winner",$B$7:$B$156,$B152)&gt;0),1,0)))</f>
        <v/>
      </c>
    </row>
    <row r="153">
      <c r="D153" s="11">
        <f>IF($A153="","",IFERROR(IF(VLOOKUP($A153,Players!$A$2:$B$500,2,FALSE)="","Open",VLOOKUP($A153,Players!$A$2:$B$500,2,FALSE)),"Open"))</f>
        <v/>
      </c>
      <c r="E153" s="11">
        <f>IF(OR($A153="",NOT(ISNUMBER($B153))),"",IF($C153="Winner",1,COUNTIFS($D$7:$D$156,$D153,$B$7:$B$156,"&lt;"&amp;$B153)+1+IF(AND(NOT($C153="Winner"),COUNTIFS($D$7:$D$156,$D153,$C$7:$C$156,"Winner",$B$7:$B$156,$B153)&gt;0),1,0)))</f>
        <v/>
      </c>
      <c r="F153" s="11">
        <f>IF(OR($A153="",NOT(ISNUMBER($B153))),"",COUNTIFS($D$7:$D$156,$D153,$B$7:$B$156,"&gt;0"))</f>
        <v/>
      </c>
      <c r="G153" s="11">
        <f>IF(OR(OR($A153="",NOT(ISNUMBER($B153))),$B$2="Not started"),"",IF($C153="Winner",Points!$B$3,ROUND(Points!$B$3*IF($F153&lt;=1,1,Points!$H$7+(1-Points!$H$7)*((($F153-$E153)*(($F153-$E153)+1)/2)^2-((($F153-$E153-$J153+1)-1)*($F153-$E153-$J153+1)/2)^2)/($J153*($F153-1)^3)),0)))</f>
        <v/>
      </c>
      <c r="H153" s="11">
        <f>IF($A153="","",IF($B$2="Final","Final",IF($B$2="In progress","Projected","Not started")))</f>
        <v/>
      </c>
      <c r="I153" s="11">
        <f>IF($A153="","",IF(COUNTIF(Players!$A$2:$A$500,$A153)=0,"Player is not on the Players tab",IF(COUNTIF($A$7:$A$156,$A153)&gt;1,"Player is listed twice",IF(NOT(ISNUMBER($B153)),"Enter a score",IF(COUNTIFS($D$7:$D$156,$D153,$C$7:$C$156,"Winner")&gt;1,"More than one "&amp;$D153&amp;" winner picked",IF(AND($C153="Winner",COUNTIFS($D$7:$D$156,$D153,$B$7:$B$156,"&lt;"&amp;$B153)&gt;0),"The winner doesn't have the best "&amp;$D153&amp;" score",IF(AND($B$2="Final",COUNTIFS($D$7:$D$156,$D153,$C$7:$C$156,"Winner")=0),"Final: pick the "&amp;$D153&amp;" winner",IF($B$2="Not started","Set Status to In progress to count points","OK"))))))))</f>
        <v/>
      </c>
      <c r="J153" s="11">
        <f>IF(OR($A153="",NOT(ISNUMBER($B153))),"",IF($C153="Winner",1,COUNTIFS($D$7:$D$156,$D153,$B$7:$B$156,$B153)-IF(AND(NOT($C153="Winner"),COUNTIFS($D$7:$D$156,$D153,$C$7:$C$156,"Winner",$B$7:$B$156,$B153)&gt;0),1,0)))</f>
        <v/>
      </c>
    </row>
    <row r="154">
      <c r="D154" s="11">
        <f>IF($A154="","",IFERROR(IF(VLOOKUP($A154,Players!$A$2:$B$500,2,FALSE)="","Open",VLOOKUP($A154,Players!$A$2:$B$500,2,FALSE)),"Open"))</f>
        <v/>
      </c>
      <c r="E154" s="11">
        <f>IF(OR($A154="",NOT(ISNUMBER($B154))),"",IF($C154="Winner",1,COUNTIFS($D$7:$D$156,$D154,$B$7:$B$156,"&lt;"&amp;$B154)+1+IF(AND(NOT($C154="Winner"),COUNTIFS($D$7:$D$156,$D154,$C$7:$C$156,"Winner",$B$7:$B$156,$B154)&gt;0),1,0)))</f>
        <v/>
      </c>
      <c r="F154" s="11">
        <f>IF(OR($A154="",NOT(ISNUMBER($B154))),"",COUNTIFS($D$7:$D$156,$D154,$B$7:$B$156,"&gt;0"))</f>
        <v/>
      </c>
      <c r="G154" s="11">
        <f>IF(OR(OR($A154="",NOT(ISNUMBER($B154))),$B$2="Not started"),"",IF($C154="Winner",Points!$B$3,ROUND(Points!$B$3*IF($F154&lt;=1,1,Points!$H$7+(1-Points!$H$7)*((($F154-$E154)*(($F154-$E154)+1)/2)^2-((($F154-$E154-$J154+1)-1)*($F154-$E154-$J154+1)/2)^2)/($J154*($F154-1)^3)),0)))</f>
        <v/>
      </c>
      <c r="H154" s="11">
        <f>IF($A154="","",IF($B$2="Final","Final",IF($B$2="In progress","Projected","Not started")))</f>
        <v/>
      </c>
      <c r="I154" s="11">
        <f>IF($A154="","",IF(COUNTIF(Players!$A$2:$A$500,$A154)=0,"Player is not on the Players tab",IF(COUNTIF($A$7:$A$156,$A154)&gt;1,"Player is listed twice",IF(NOT(ISNUMBER($B154)),"Enter a score",IF(COUNTIFS($D$7:$D$156,$D154,$C$7:$C$156,"Winner")&gt;1,"More than one "&amp;$D154&amp;" winner picked",IF(AND($C154="Winner",COUNTIFS($D$7:$D$156,$D154,$B$7:$B$156,"&lt;"&amp;$B154)&gt;0),"The winner doesn't have the best "&amp;$D154&amp;" score",IF(AND($B$2="Final",COUNTIFS($D$7:$D$156,$D154,$C$7:$C$156,"Winner")=0),"Final: pick the "&amp;$D154&amp;" winner",IF($B$2="Not started","Set Status to In progress to count points","OK"))))))))</f>
        <v/>
      </c>
      <c r="J154" s="11">
        <f>IF(OR($A154="",NOT(ISNUMBER($B154))),"",IF($C154="Winner",1,COUNTIFS($D$7:$D$156,$D154,$B$7:$B$156,$B154)-IF(AND(NOT($C154="Winner"),COUNTIFS($D$7:$D$156,$D154,$C$7:$C$156,"Winner",$B$7:$B$156,$B154)&gt;0),1,0)))</f>
        <v/>
      </c>
    </row>
    <row r="155">
      <c r="D155" s="11">
        <f>IF($A155="","",IFERROR(IF(VLOOKUP($A155,Players!$A$2:$B$500,2,FALSE)="","Open",VLOOKUP($A155,Players!$A$2:$B$500,2,FALSE)),"Open"))</f>
        <v/>
      </c>
      <c r="E155" s="11">
        <f>IF(OR($A155="",NOT(ISNUMBER($B155))),"",IF($C155="Winner",1,COUNTIFS($D$7:$D$156,$D155,$B$7:$B$156,"&lt;"&amp;$B155)+1+IF(AND(NOT($C155="Winner"),COUNTIFS($D$7:$D$156,$D155,$C$7:$C$156,"Winner",$B$7:$B$156,$B155)&gt;0),1,0)))</f>
        <v/>
      </c>
      <c r="F155" s="11">
        <f>IF(OR($A155="",NOT(ISNUMBER($B155))),"",COUNTIFS($D$7:$D$156,$D155,$B$7:$B$156,"&gt;0"))</f>
        <v/>
      </c>
      <c r="G155" s="11">
        <f>IF(OR(OR($A155="",NOT(ISNUMBER($B155))),$B$2="Not started"),"",IF($C155="Winner",Points!$B$3,ROUND(Points!$B$3*IF($F155&lt;=1,1,Points!$H$7+(1-Points!$H$7)*((($F155-$E155)*(($F155-$E155)+1)/2)^2-((($F155-$E155-$J155+1)-1)*($F155-$E155-$J155+1)/2)^2)/($J155*($F155-1)^3)),0)))</f>
        <v/>
      </c>
      <c r="H155" s="11">
        <f>IF($A155="","",IF($B$2="Final","Final",IF($B$2="In progress","Projected","Not started")))</f>
        <v/>
      </c>
      <c r="I155" s="11">
        <f>IF($A155="","",IF(COUNTIF(Players!$A$2:$A$500,$A155)=0,"Player is not on the Players tab",IF(COUNTIF($A$7:$A$156,$A155)&gt;1,"Player is listed twice",IF(NOT(ISNUMBER($B155)),"Enter a score",IF(COUNTIFS($D$7:$D$156,$D155,$C$7:$C$156,"Winner")&gt;1,"More than one "&amp;$D155&amp;" winner picked",IF(AND($C155="Winner",COUNTIFS($D$7:$D$156,$D155,$B$7:$B$156,"&lt;"&amp;$B155)&gt;0),"The winner doesn't have the best "&amp;$D155&amp;" score",IF(AND($B$2="Final",COUNTIFS($D$7:$D$156,$D155,$C$7:$C$156,"Winner")=0),"Final: pick the "&amp;$D155&amp;" winner",IF($B$2="Not started","Set Status to In progress to count points","OK"))))))))</f>
        <v/>
      </c>
      <c r="J155" s="11">
        <f>IF(OR($A155="",NOT(ISNUMBER($B155))),"",IF($C155="Winner",1,COUNTIFS($D$7:$D$156,$D155,$B$7:$B$156,$B155)-IF(AND(NOT($C155="Winner"),COUNTIFS($D$7:$D$156,$D155,$C$7:$C$156,"Winner",$B$7:$B$156,$B155)&gt;0),1,0)))</f>
        <v/>
      </c>
    </row>
    <row r="156">
      <c r="D156" s="11">
        <f>IF($A156="","",IFERROR(IF(VLOOKUP($A156,Players!$A$2:$B$500,2,FALSE)="","Open",VLOOKUP($A156,Players!$A$2:$B$500,2,FALSE)),"Open"))</f>
        <v/>
      </c>
      <c r="E156" s="11">
        <f>IF(OR($A156="",NOT(ISNUMBER($B156))),"",IF($C156="Winner",1,COUNTIFS($D$7:$D$156,$D156,$B$7:$B$156,"&lt;"&amp;$B156)+1+IF(AND(NOT($C156="Winner"),COUNTIFS($D$7:$D$156,$D156,$C$7:$C$156,"Winner",$B$7:$B$156,$B156)&gt;0),1,0)))</f>
        <v/>
      </c>
      <c r="F156" s="11">
        <f>IF(OR($A156="",NOT(ISNUMBER($B156))),"",COUNTIFS($D$7:$D$156,$D156,$B$7:$B$156,"&gt;0"))</f>
        <v/>
      </c>
      <c r="G156" s="11">
        <f>IF(OR(OR($A156="",NOT(ISNUMBER($B156))),$B$2="Not started"),"",IF($C156="Winner",Points!$B$3,ROUND(Points!$B$3*IF($F156&lt;=1,1,Points!$H$7+(1-Points!$H$7)*((($F156-$E156)*(($F156-$E156)+1)/2)^2-((($F156-$E156-$J156+1)-1)*($F156-$E156-$J156+1)/2)^2)/($J156*($F156-1)^3)),0)))</f>
        <v/>
      </c>
      <c r="H156" s="11">
        <f>IF($A156="","",IF($B$2="Final","Final",IF($B$2="In progress","Projected","Not started")))</f>
        <v/>
      </c>
      <c r="I156" s="11">
        <f>IF($A156="","",IF(COUNTIF(Players!$A$2:$A$500,$A156)=0,"Player is not on the Players tab",IF(COUNTIF($A$7:$A$156,$A156)&gt;1,"Player is listed twice",IF(NOT(ISNUMBER($B156)),"Enter a score",IF(COUNTIFS($D$7:$D$156,$D156,$C$7:$C$156,"Winner")&gt;1,"More than one "&amp;$D156&amp;" winner picked",IF(AND($C156="Winner",COUNTIFS($D$7:$D$156,$D156,$B$7:$B$156,"&lt;"&amp;$B156)&gt;0),"The winner doesn't have the best "&amp;$D156&amp;" score",IF(AND($B$2="Final",COUNTIFS($D$7:$D$156,$D156,$C$7:$C$156,"Winner")=0),"Final: pick the "&amp;$D156&amp;" winner",IF($B$2="Not started","Set Status to In progress to count points","OK"))))))))</f>
        <v/>
      </c>
      <c r="J156" s="11">
        <f>IF(OR($A156="",NOT(ISNUMBER($B156))),"",IF($C156="Winner",1,COUNTIFS($D$7:$D$156,$D156,$B$7:$B$156,$B156)-IF(AND(NOT($C156="Winner"),COUNTIFS($D$7:$D$156,$D156,$C$7:$C$156,"Winner",$B$7:$B$156,$B156)&gt;0),1,0)))</f>
        <v/>
      </c>
    </row>
  </sheetData>
  <conditionalFormatting sqref="I7:I156">
    <cfRule type="expression" priority="1" dxfId="0">
      <formula>AND($I7&lt;&gt;"",$I7&lt;&gt;"OK")</formula>
    </cfRule>
  </conditionalFormatting>
  <dataValidations count="4">
    <dataValidation sqref="B2" showDropDown="0" showInputMessage="0" showErrorMessage="1" allowBlank="1" errorTitle="Not on the list" error="Pick a value from the list." type="list">
      <formula1>"Not started,In progress,Final"</formula1>
    </dataValidation>
    <dataValidation sqref="A7:A156" showDropDown="0" showInputMessage="0" showErrorMessage="1" allowBlank="1" errorTitle="Not on the list" error="Pick a player from the list. New players go on the Players tab first." type="list">
      <formula1>Players!$A$2:$A$500</formula1>
    </dataValidation>
    <dataValidation sqref="B7:B156" showDropDown="0" showInputMessage="0" showErrorMessage="1" allowBlank="1" errorTitle="Strokes only" error="Enter the score in strokes, for example 72." type="whole" operator="between">
      <formula1>1</formula1>
      <formula2>200</formula2>
    </dataValidation>
    <dataValidation sqref="C7:C156" showDropDown="0" showInputMessage="0" showErrorMessage="1" allowBlank="1" errorTitle="Not on the list" error="Pick Winner, or leave it blank." type="list">
      <formula1>"Winner"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6"/>
  <sheetViews>
    <sheetView workbookViewId="0">
      <pane ySplit="6" topLeftCell="A7" activePane="bottomLeft" state="frozen"/>
      <selection pane="bottomLeft" activeCell="A1" sqref="A1"/>
    </sheetView>
  </sheetViews>
  <sheetFormatPr baseColWidth="8" defaultRowHeight="15"/>
  <cols>
    <col width="24" customWidth="1" min="1" max="1"/>
    <col width="12" customWidth="1" min="2" max="2"/>
    <col width="10" customWidth="1" min="3" max="3"/>
    <col width="10" customWidth="1" min="4" max="4"/>
    <col width="8" customWidth="1" min="5" max="5"/>
    <col width="8" customWidth="1" min="6" max="6"/>
    <col width="9" customWidth="1" min="7" max="7"/>
    <col width="11" customWidth="1" min="8" max="8"/>
    <col width="40" customWidth="1" min="9" max="9"/>
    <col hidden="1" width="6" customWidth="1" min="10" max="10"/>
  </cols>
  <sheetData>
    <row r="1">
      <c r="A1" s="7" t="inlineStr">
        <is>
          <t>US Open</t>
        </is>
      </c>
      <c r="D1" s="6" t="inlineStr">
        <is>
          <t>One row per player. Enter their best score so far in strokes; type over it when they beat it.</t>
        </is>
      </c>
    </row>
    <row r="2">
      <c r="A2" s="5" t="inlineStr">
        <is>
          <t>Status</t>
        </is>
      </c>
      <c r="B2" s="8" t="inlineStr">
        <is>
          <t>Not started</t>
        </is>
      </c>
      <c r="C2" s="6" t="inlineStr">
        <is>
          <t>In progress: points are projected from the leaderboard. Final: points are official and the scores lock.</t>
        </is>
      </c>
    </row>
    <row r="3">
      <c r="A3" s="5" t="inlineStr">
        <is>
          <t>End date</t>
        </is>
      </c>
      <c r="B3" s="9" t="n"/>
    </row>
    <row r="4">
      <c r="A4" s="6" t="inlineStr">
        <is>
          <t>Division comes from the Players tab. Open and Senior are ranked separately. Pick one Winner per division; anyone tied with the winner is scored from 2nd place down.</t>
        </is>
      </c>
    </row>
    <row r="6" ht="30" customHeight="1">
      <c r="A6" s="4" t="inlineStr">
        <is>
          <t>Player</t>
        </is>
      </c>
      <c r="B6" s="4" t="inlineStr">
        <is>
          <t>Best Score (strokes)</t>
        </is>
      </c>
      <c r="C6" s="4" t="inlineStr">
        <is>
          <t>Winner</t>
        </is>
      </c>
      <c r="D6" s="10" t="inlineStr">
        <is>
          <t>Division</t>
        </is>
      </c>
      <c r="E6" s="10" t="inlineStr">
        <is>
          <t>Rank</t>
        </is>
      </c>
      <c r="F6" s="10" t="inlineStr">
        <is>
          <t>Field</t>
        </is>
      </c>
      <c r="G6" s="10" t="inlineStr">
        <is>
          <t>Points</t>
        </is>
      </c>
      <c r="H6" s="10" t="inlineStr">
        <is>
          <t>Status</t>
        </is>
      </c>
      <c r="I6" s="10" t="inlineStr">
        <is>
          <t>Check</t>
        </is>
      </c>
      <c r="J6" s="10" t="inlineStr">
        <is>
          <t>Tied</t>
        </is>
      </c>
    </row>
    <row r="7">
      <c r="D7" s="11">
        <f>IF($A7="","",IFERROR(IF(VLOOKUP($A7,Players!$A$2:$B$500,2,FALSE)="","Open",VLOOKUP($A7,Players!$A$2:$B$500,2,FALSE)),"Open"))</f>
        <v/>
      </c>
      <c r="E7" s="11">
        <f>IF(OR($A7="",NOT(ISNUMBER($B7))),"",IF($C7="Winner",1,COUNTIFS($D$7:$D$156,$D7,$B$7:$B$156,"&lt;"&amp;$B7)+1+IF(AND(NOT($C7="Winner"),COUNTIFS($D$7:$D$156,$D7,$C$7:$C$156,"Winner",$B$7:$B$156,$B7)&gt;0),1,0)))</f>
        <v/>
      </c>
      <c r="F7" s="11">
        <f>IF(OR($A7="",NOT(ISNUMBER($B7))),"",COUNTIFS($D$7:$D$156,$D7,$B$7:$B$156,"&gt;0"))</f>
        <v/>
      </c>
      <c r="G7" s="11">
        <f>IF(OR(OR($A7="",NOT(ISNUMBER($B7))),$B$2="Not started"),"",IF($C7="Winner",Points!$B$3,ROUND(Points!$B$3*IF($F7&lt;=1,1,Points!$H$7+(1-Points!$H$7)*((($F7-$E7)*(($F7-$E7)+1)/2)^2-((($F7-$E7-$J7+1)-1)*($F7-$E7-$J7+1)/2)^2)/($J7*($F7-1)^3)),0)))</f>
        <v/>
      </c>
      <c r="H7" s="11">
        <f>IF($A7="","",IF($B$2="Final","Final",IF($B$2="In progress","Projected","Not started")))</f>
        <v/>
      </c>
      <c r="I7" s="11">
        <f>IF($A7="","",IF(COUNTIF(Players!$A$2:$A$500,$A7)=0,"Player is not on the Players tab",IF(COUNTIF($A$7:$A$156,$A7)&gt;1,"Player is listed twice",IF(NOT(ISNUMBER($B7)),"Enter a score",IF(COUNTIFS($D$7:$D$156,$D7,$C$7:$C$156,"Winner")&gt;1,"More than one "&amp;$D7&amp;" winner picked",IF(AND($C7="Winner",COUNTIFS($D$7:$D$156,$D7,$B$7:$B$156,"&lt;"&amp;$B7)&gt;0),"The winner doesn't have the best "&amp;$D7&amp;" score",IF(AND($B$2="Final",COUNTIFS($D$7:$D$156,$D7,$C$7:$C$156,"Winner")=0),"Final: pick the "&amp;$D7&amp;" winner",IF($B$2="Not started","Set Status to In progress to count points","OK"))))))))</f>
        <v/>
      </c>
      <c r="J7" s="11">
        <f>IF(OR($A7="",NOT(ISNUMBER($B7))),"",IF($C7="Winner",1,COUNTIFS($D$7:$D$156,$D7,$B$7:$B$156,$B7)-IF(AND(NOT($C7="Winner"),COUNTIFS($D$7:$D$156,$D7,$C$7:$C$156,"Winner",$B$7:$B$156,$B7)&gt;0),1,0)))</f>
        <v/>
      </c>
    </row>
    <row r="8">
      <c r="D8" s="11">
        <f>IF($A8="","",IFERROR(IF(VLOOKUP($A8,Players!$A$2:$B$500,2,FALSE)="","Open",VLOOKUP($A8,Players!$A$2:$B$500,2,FALSE)),"Open"))</f>
        <v/>
      </c>
      <c r="E8" s="11">
        <f>IF(OR($A8="",NOT(ISNUMBER($B8))),"",IF($C8="Winner",1,COUNTIFS($D$7:$D$156,$D8,$B$7:$B$156,"&lt;"&amp;$B8)+1+IF(AND(NOT($C8="Winner"),COUNTIFS($D$7:$D$156,$D8,$C$7:$C$156,"Winner",$B$7:$B$156,$B8)&gt;0),1,0)))</f>
        <v/>
      </c>
      <c r="F8" s="11">
        <f>IF(OR($A8="",NOT(ISNUMBER($B8))),"",COUNTIFS($D$7:$D$156,$D8,$B$7:$B$156,"&gt;0"))</f>
        <v/>
      </c>
      <c r="G8" s="11">
        <f>IF(OR(OR($A8="",NOT(ISNUMBER($B8))),$B$2="Not started"),"",IF($C8="Winner",Points!$B$3,ROUND(Points!$B$3*IF($F8&lt;=1,1,Points!$H$7+(1-Points!$H$7)*((($F8-$E8)*(($F8-$E8)+1)/2)^2-((($F8-$E8-$J8+1)-1)*($F8-$E8-$J8+1)/2)^2)/($J8*($F8-1)^3)),0)))</f>
        <v/>
      </c>
      <c r="H8" s="11">
        <f>IF($A8="","",IF($B$2="Final","Final",IF($B$2="In progress","Projected","Not started")))</f>
        <v/>
      </c>
      <c r="I8" s="11">
        <f>IF($A8="","",IF(COUNTIF(Players!$A$2:$A$500,$A8)=0,"Player is not on the Players tab",IF(COUNTIF($A$7:$A$156,$A8)&gt;1,"Player is listed twice",IF(NOT(ISNUMBER($B8)),"Enter a score",IF(COUNTIFS($D$7:$D$156,$D8,$C$7:$C$156,"Winner")&gt;1,"More than one "&amp;$D8&amp;" winner picked",IF(AND($C8="Winner",COUNTIFS($D$7:$D$156,$D8,$B$7:$B$156,"&lt;"&amp;$B8)&gt;0),"The winner doesn't have the best "&amp;$D8&amp;" score",IF(AND($B$2="Final",COUNTIFS($D$7:$D$156,$D8,$C$7:$C$156,"Winner")=0),"Final: pick the "&amp;$D8&amp;" winner",IF($B$2="Not started","Set Status to In progress to count points","OK"))))))))</f>
        <v/>
      </c>
      <c r="J8" s="11">
        <f>IF(OR($A8="",NOT(ISNUMBER($B8))),"",IF($C8="Winner",1,COUNTIFS($D$7:$D$156,$D8,$B$7:$B$156,$B8)-IF(AND(NOT($C8="Winner"),COUNTIFS($D$7:$D$156,$D8,$C$7:$C$156,"Winner",$B$7:$B$156,$B8)&gt;0),1,0)))</f>
        <v/>
      </c>
    </row>
    <row r="9">
      <c r="D9" s="11">
        <f>IF($A9="","",IFERROR(IF(VLOOKUP($A9,Players!$A$2:$B$500,2,FALSE)="","Open",VLOOKUP($A9,Players!$A$2:$B$500,2,FALSE)),"Open"))</f>
        <v/>
      </c>
      <c r="E9" s="11">
        <f>IF(OR($A9="",NOT(ISNUMBER($B9))),"",IF($C9="Winner",1,COUNTIFS($D$7:$D$156,$D9,$B$7:$B$156,"&lt;"&amp;$B9)+1+IF(AND(NOT($C9="Winner"),COUNTIFS($D$7:$D$156,$D9,$C$7:$C$156,"Winner",$B$7:$B$156,$B9)&gt;0),1,0)))</f>
        <v/>
      </c>
      <c r="F9" s="11">
        <f>IF(OR($A9="",NOT(ISNUMBER($B9))),"",COUNTIFS($D$7:$D$156,$D9,$B$7:$B$156,"&gt;0"))</f>
        <v/>
      </c>
      <c r="G9" s="11">
        <f>IF(OR(OR($A9="",NOT(ISNUMBER($B9))),$B$2="Not started"),"",IF($C9="Winner",Points!$B$3,ROUND(Points!$B$3*IF($F9&lt;=1,1,Points!$H$7+(1-Points!$H$7)*((($F9-$E9)*(($F9-$E9)+1)/2)^2-((($F9-$E9-$J9+1)-1)*($F9-$E9-$J9+1)/2)^2)/($J9*($F9-1)^3)),0)))</f>
        <v/>
      </c>
      <c r="H9" s="11">
        <f>IF($A9="","",IF($B$2="Final","Final",IF($B$2="In progress","Projected","Not started")))</f>
        <v/>
      </c>
      <c r="I9" s="11">
        <f>IF($A9="","",IF(COUNTIF(Players!$A$2:$A$500,$A9)=0,"Player is not on the Players tab",IF(COUNTIF($A$7:$A$156,$A9)&gt;1,"Player is listed twice",IF(NOT(ISNUMBER($B9)),"Enter a score",IF(COUNTIFS($D$7:$D$156,$D9,$C$7:$C$156,"Winner")&gt;1,"More than one "&amp;$D9&amp;" winner picked",IF(AND($C9="Winner",COUNTIFS($D$7:$D$156,$D9,$B$7:$B$156,"&lt;"&amp;$B9)&gt;0),"The winner doesn't have the best "&amp;$D9&amp;" score",IF(AND($B$2="Final",COUNTIFS($D$7:$D$156,$D9,$C$7:$C$156,"Winner")=0),"Final: pick the "&amp;$D9&amp;" winner",IF($B$2="Not started","Set Status to In progress to count points","OK"))))))))</f>
        <v/>
      </c>
      <c r="J9" s="11">
        <f>IF(OR($A9="",NOT(ISNUMBER($B9))),"",IF($C9="Winner",1,COUNTIFS($D$7:$D$156,$D9,$B$7:$B$156,$B9)-IF(AND(NOT($C9="Winner"),COUNTIFS($D$7:$D$156,$D9,$C$7:$C$156,"Winner",$B$7:$B$156,$B9)&gt;0),1,0)))</f>
        <v/>
      </c>
    </row>
    <row r="10">
      <c r="D10" s="11">
        <f>IF($A10="","",IFERROR(IF(VLOOKUP($A10,Players!$A$2:$B$500,2,FALSE)="","Open",VLOOKUP($A10,Players!$A$2:$B$500,2,FALSE)),"Open"))</f>
        <v/>
      </c>
      <c r="E10" s="11">
        <f>IF(OR($A10="",NOT(ISNUMBER($B10))),"",IF($C10="Winner",1,COUNTIFS($D$7:$D$156,$D10,$B$7:$B$156,"&lt;"&amp;$B10)+1+IF(AND(NOT($C10="Winner"),COUNTIFS($D$7:$D$156,$D10,$C$7:$C$156,"Winner",$B$7:$B$156,$B10)&gt;0),1,0)))</f>
        <v/>
      </c>
      <c r="F10" s="11">
        <f>IF(OR($A10="",NOT(ISNUMBER($B10))),"",COUNTIFS($D$7:$D$156,$D10,$B$7:$B$156,"&gt;0"))</f>
        <v/>
      </c>
      <c r="G10" s="11">
        <f>IF(OR(OR($A10="",NOT(ISNUMBER($B10))),$B$2="Not started"),"",IF($C10="Winner",Points!$B$3,ROUND(Points!$B$3*IF($F10&lt;=1,1,Points!$H$7+(1-Points!$H$7)*((($F10-$E10)*(($F10-$E10)+1)/2)^2-((($F10-$E10-$J10+1)-1)*($F10-$E10-$J10+1)/2)^2)/($J10*($F10-1)^3)),0)))</f>
        <v/>
      </c>
      <c r="H10" s="11">
        <f>IF($A10="","",IF($B$2="Final","Final",IF($B$2="In progress","Projected","Not started")))</f>
        <v/>
      </c>
      <c r="I10" s="11">
        <f>IF($A10="","",IF(COUNTIF(Players!$A$2:$A$500,$A10)=0,"Player is not on the Players tab",IF(COUNTIF($A$7:$A$156,$A10)&gt;1,"Player is listed twice",IF(NOT(ISNUMBER($B10)),"Enter a score",IF(COUNTIFS($D$7:$D$156,$D10,$C$7:$C$156,"Winner")&gt;1,"More than one "&amp;$D10&amp;" winner picked",IF(AND($C10="Winner",COUNTIFS($D$7:$D$156,$D10,$B$7:$B$156,"&lt;"&amp;$B10)&gt;0),"The winner doesn't have the best "&amp;$D10&amp;" score",IF(AND($B$2="Final",COUNTIFS($D$7:$D$156,$D10,$C$7:$C$156,"Winner")=0),"Final: pick the "&amp;$D10&amp;" winner",IF($B$2="Not started","Set Status to In progress to count points","OK"))))))))</f>
        <v/>
      </c>
      <c r="J10" s="11">
        <f>IF(OR($A10="",NOT(ISNUMBER($B10))),"",IF($C10="Winner",1,COUNTIFS($D$7:$D$156,$D10,$B$7:$B$156,$B10)-IF(AND(NOT($C10="Winner"),COUNTIFS($D$7:$D$156,$D10,$C$7:$C$156,"Winner",$B$7:$B$156,$B10)&gt;0),1,0)))</f>
        <v/>
      </c>
    </row>
    <row r="11">
      <c r="D11" s="11">
        <f>IF($A11="","",IFERROR(IF(VLOOKUP($A11,Players!$A$2:$B$500,2,FALSE)="","Open",VLOOKUP($A11,Players!$A$2:$B$500,2,FALSE)),"Open"))</f>
        <v/>
      </c>
      <c r="E11" s="11">
        <f>IF(OR($A11="",NOT(ISNUMBER($B11))),"",IF($C11="Winner",1,COUNTIFS($D$7:$D$156,$D11,$B$7:$B$156,"&lt;"&amp;$B11)+1+IF(AND(NOT($C11="Winner"),COUNTIFS($D$7:$D$156,$D11,$C$7:$C$156,"Winner",$B$7:$B$156,$B11)&gt;0),1,0)))</f>
        <v/>
      </c>
      <c r="F11" s="11">
        <f>IF(OR($A11="",NOT(ISNUMBER($B11))),"",COUNTIFS($D$7:$D$156,$D11,$B$7:$B$156,"&gt;0"))</f>
        <v/>
      </c>
      <c r="G11" s="11">
        <f>IF(OR(OR($A11="",NOT(ISNUMBER($B11))),$B$2="Not started"),"",IF($C11="Winner",Points!$B$3,ROUND(Points!$B$3*IF($F11&lt;=1,1,Points!$H$7+(1-Points!$H$7)*((($F11-$E11)*(($F11-$E11)+1)/2)^2-((($F11-$E11-$J11+1)-1)*($F11-$E11-$J11+1)/2)^2)/($J11*($F11-1)^3)),0)))</f>
        <v/>
      </c>
      <c r="H11" s="11">
        <f>IF($A11="","",IF($B$2="Final","Final",IF($B$2="In progress","Projected","Not started")))</f>
        <v/>
      </c>
      <c r="I11" s="11">
        <f>IF($A11="","",IF(COUNTIF(Players!$A$2:$A$500,$A11)=0,"Player is not on the Players tab",IF(COUNTIF($A$7:$A$156,$A11)&gt;1,"Player is listed twice",IF(NOT(ISNUMBER($B11)),"Enter a score",IF(COUNTIFS($D$7:$D$156,$D11,$C$7:$C$156,"Winner")&gt;1,"More than one "&amp;$D11&amp;" winner picked",IF(AND($C11="Winner",COUNTIFS($D$7:$D$156,$D11,$B$7:$B$156,"&lt;"&amp;$B11)&gt;0),"The winner doesn't have the best "&amp;$D11&amp;" score",IF(AND($B$2="Final",COUNTIFS($D$7:$D$156,$D11,$C$7:$C$156,"Winner")=0),"Final: pick the "&amp;$D11&amp;" winner",IF($B$2="Not started","Set Status to In progress to count points","OK"))))))))</f>
        <v/>
      </c>
      <c r="J11" s="11">
        <f>IF(OR($A11="",NOT(ISNUMBER($B11))),"",IF($C11="Winner",1,COUNTIFS($D$7:$D$156,$D11,$B$7:$B$156,$B11)-IF(AND(NOT($C11="Winner"),COUNTIFS($D$7:$D$156,$D11,$C$7:$C$156,"Winner",$B$7:$B$156,$B11)&gt;0),1,0)))</f>
        <v/>
      </c>
    </row>
    <row r="12">
      <c r="D12" s="11">
        <f>IF($A12="","",IFERROR(IF(VLOOKUP($A12,Players!$A$2:$B$500,2,FALSE)="","Open",VLOOKUP($A12,Players!$A$2:$B$500,2,FALSE)),"Open"))</f>
        <v/>
      </c>
      <c r="E12" s="11">
        <f>IF(OR($A12="",NOT(ISNUMBER($B12))),"",IF($C12="Winner",1,COUNTIFS($D$7:$D$156,$D12,$B$7:$B$156,"&lt;"&amp;$B12)+1+IF(AND(NOT($C12="Winner"),COUNTIFS($D$7:$D$156,$D12,$C$7:$C$156,"Winner",$B$7:$B$156,$B12)&gt;0),1,0)))</f>
        <v/>
      </c>
      <c r="F12" s="11">
        <f>IF(OR($A12="",NOT(ISNUMBER($B12))),"",COUNTIFS($D$7:$D$156,$D12,$B$7:$B$156,"&gt;0"))</f>
        <v/>
      </c>
      <c r="G12" s="11">
        <f>IF(OR(OR($A12="",NOT(ISNUMBER($B12))),$B$2="Not started"),"",IF($C12="Winner",Points!$B$3,ROUND(Points!$B$3*IF($F12&lt;=1,1,Points!$H$7+(1-Points!$H$7)*((($F12-$E12)*(($F12-$E12)+1)/2)^2-((($F12-$E12-$J12+1)-1)*($F12-$E12-$J12+1)/2)^2)/($J12*($F12-1)^3)),0)))</f>
        <v/>
      </c>
      <c r="H12" s="11">
        <f>IF($A12="","",IF($B$2="Final","Final",IF($B$2="In progress","Projected","Not started")))</f>
        <v/>
      </c>
      <c r="I12" s="11">
        <f>IF($A12="","",IF(COUNTIF(Players!$A$2:$A$500,$A12)=0,"Player is not on the Players tab",IF(COUNTIF($A$7:$A$156,$A12)&gt;1,"Player is listed twice",IF(NOT(ISNUMBER($B12)),"Enter a score",IF(COUNTIFS($D$7:$D$156,$D12,$C$7:$C$156,"Winner")&gt;1,"More than one "&amp;$D12&amp;" winner picked",IF(AND($C12="Winner",COUNTIFS($D$7:$D$156,$D12,$B$7:$B$156,"&lt;"&amp;$B12)&gt;0),"The winner doesn't have the best "&amp;$D12&amp;" score",IF(AND($B$2="Final",COUNTIFS($D$7:$D$156,$D12,$C$7:$C$156,"Winner")=0),"Final: pick the "&amp;$D12&amp;" winner",IF($B$2="Not started","Set Status to In progress to count points","OK"))))))))</f>
        <v/>
      </c>
      <c r="J12" s="11">
        <f>IF(OR($A12="",NOT(ISNUMBER($B12))),"",IF($C12="Winner",1,COUNTIFS($D$7:$D$156,$D12,$B$7:$B$156,$B12)-IF(AND(NOT($C12="Winner"),COUNTIFS($D$7:$D$156,$D12,$C$7:$C$156,"Winner",$B$7:$B$156,$B12)&gt;0),1,0)))</f>
        <v/>
      </c>
    </row>
    <row r="13">
      <c r="D13" s="11">
        <f>IF($A13="","",IFERROR(IF(VLOOKUP($A13,Players!$A$2:$B$500,2,FALSE)="","Open",VLOOKUP($A13,Players!$A$2:$B$500,2,FALSE)),"Open"))</f>
        <v/>
      </c>
      <c r="E13" s="11">
        <f>IF(OR($A13="",NOT(ISNUMBER($B13))),"",IF($C13="Winner",1,COUNTIFS($D$7:$D$156,$D13,$B$7:$B$156,"&lt;"&amp;$B13)+1+IF(AND(NOT($C13="Winner"),COUNTIFS($D$7:$D$156,$D13,$C$7:$C$156,"Winner",$B$7:$B$156,$B13)&gt;0),1,0)))</f>
        <v/>
      </c>
      <c r="F13" s="11">
        <f>IF(OR($A13="",NOT(ISNUMBER($B13))),"",COUNTIFS($D$7:$D$156,$D13,$B$7:$B$156,"&gt;0"))</f>
        <v/>
      </c>
      <c r="G13" s="11">
        <f>IF(OR(OR($A13="",NOT(ISNUMBER($B13))),$B$2="Not started"),"",IF($C13="Winner",Points!$B$3,ROUND(Points!$B$3*IF($F13&lt;=1,1,Points!$H$7+(1-Points!$H$7)*((($F13-$E13)*(($F13-$E13)+1)/2)^2-((($F13-$E13-$J13+1)-1)*($F13-$E13-$J13+1)/2)^2)/($J13*($F13-1)^3)),0)))</f>
        <v/>
      </c>
      <c r="H13" s="11">
        <f>IF($A13="","",IF($B$2="Final","Final",IF($B$2="In progress","Projected","Not started")))</f>
        <v/>
      </c>
      <c r="I13" s="11">
        <f>IF($A13="","",IF(COUNTIF(Players!$A$2:$A$500,$A13)=0,"Player is not on the Players tab",IF(COUNTIF($A$7:$A$156,$A13)&gt;1,"Player is listed twice",IF(NOT(ISNUMBER($B13)),"Enter a score",IF(COUNTIFS($D$7:$D$156,$D13,$C$7:$C$156,"Winner")&gt;1,"More than one "&amp;$D13&amp;" winner picked",IF(AND($C13="Winner",COUNTIFS($D$7:$D$156,$D13,$B$7:$B$156,"&lt;"&amp;$B13)&gt;0),"The winner doesn't have the best "&amp;$D13&amp;" score",IF(AND($B$2="Final",COUNTIFS($D$7:$D$156,$D13,$C$7:$C$156,"Winner")=0),"Final: pick the "&amp;$D13&amp;" winner",IF($B$2="Not started","Set Status to In progress to count points","OK"))))))))</f>
        <v/>
      </c>
      <c r="J13" s="11">
        <f>IF(OR($A13="",NOT(ISNUMBER($B13))),"",IF($C13="Winner",1,COUNTIFS($D$7:$D$156,$D13,$B$7:$B$156,$B13)-IF(AND(NOT($C13="Winner"),COUNTIFS($D$7:$D$156,$D13,$C$7:$C$156,"Winner",$B$7:$B$156,$B13)&gt;0),1,0)))</f>
        <v/>
      </c>
    </row>
    <row r="14">
      <c r="D14" s="11">
        <f>IF($A14="","",IFERROR(IF(VLOOKUP($A14,Players!$A$2:$B$500,2,FALSE)="","Open",VLOOKUP($A14,Players!$A$2:$B$500,2,FALSE)),"Open"))</f>
        <v/>
      </c>
      <c r="E14" s="11">
        <f>IF(OR($A14="",NOT(ISNUMBER($B14))),"",IF($C14="Winner",1,COUNTIFS($D$7:$D$156,$D14,$B$7:$B$156,"&lt;"&amp;$B14)+1+IF(AND(NOT($C14="Winner"),COUNTIFS($D$7:$D$156,$D14,$C$7:$C$156,"Winner",$B$7:$B$156,$B14)&gt;0),1,0)))</f>
        <v/>
      </c>
      <c r="F14" s="11">
        <f>IF(OR($A14="",NOT(ISNUMBER($B14))),"",COUNTIFS($D$7:$D$156,$D14,$B$7:$B$156,"&gt;0"))</f>
        <v/>
      </c>
      <c r="G14" s="11">
        <f>IF(OR(OR($A14="",NOT(ISNUMBER($B14))),$B$2="Not started"),"",IF($C14="Winner",Points!$B$3,ROUND(Points!$B$3*IF($F14&lt;=1,1,Points!$H$7+(1-Points!$H$7)*((($F14-$E14)*(($F14-$E14)+1)/2)^2-((($F14-$E14-$J14+1)-1)*($F14-$E14-$J14+1)/2)^2)/($J14*($F14-1)^3)),0)))</f>
        <v/>
      </c>
      <c r="H14" s="11">
        <f>IF($A14="","",IF($B$2="Final","Final",IF($B$2="In progress","Projected","Not started")))</f>
        <v/>
      </c>
      <c r="I14" s="11">
        <f>IF($A14="","",IF(COUNTIF(Players!$A$2:$A$500,$A14)=0,"Player is not on the Players tab",IF(COUNTIF($A$7:$A$156,$A14)&gt;1,"Player is listed twice",IF(NOT(ISNUMBER($B14)),"Enter a score",IF(COUNTIFS($D$7:$D$156,$D14,$C$7:$C$156,"Winner")&gt;1,"More than one "&amp;$D14&amp;" winner picked",IF(AND($C14="Winner",COUNTIFS($D$7:$D$156,$D14,$B$7:$B$156,"&lt;"&amp;$B14)&gt;0),"The winner doesn't have the best "&amp;$D14&amp;" score",IF(AND($B$2="Final",COUNTIFS($D$7:$D$156,$D14,$C$7:$C$156,"Winner")=0),"Final: pick the "&amp;$D14&amp;" winner",IF($B$2="Not started","Set Status to In progress to count points","OK"))))))))</f>
        <v/>
      </c>
      <c r="J14" s="11">
        <f>IF(OR($A14="",NOT(ISNUMBER($B14))),"",IF($C14="Winner",1,COUNTIFS($D$7:$D$156,$D14,$B$7:$B$156,$B14)-IF(AND(NOT($C14="Winner"),COUNTIFS($D$7:$D$156,$D14,$C$7:$C$156,"Winner",$B$7:$B$156,$B14)&gt;0),1,0)))</f>
        <v/>
      </c>
    </row>
    <row r="15">
      <c r="D15" s="11">
        <f>IF($A15="","",IFERROR(IF(VLOOKUP($A15,Players!$A$2:$B$500,2,FALSE)="","Open",VLOOKUP($A15,Players!$A$2:$B$500,2,FALSE)),"Open"))</f>
        <v/>
      </c>
      <c r="E15" s="11">
        <f>IF(OR($A15="",NOT(ISNUMBER($B15))),"",IF($C15="Winner",1,COUNTIFS($D$7:$D$156,$D15,$B$7:$B$156,"&lt;"&amp;$B15)+1+IF(AND(NOT($C15="Winner"),COUNTIFS($D$7:$D$156,$D15,$C$7:$C$156,"Winner",$B$7:$B$156,$B15)&gt;0),1,0)))</f>
        <v/>
      </c>
      <c r="F15" s="11">
        <f>IF(OR($A15="",NOT(ISNUMBER($B15))),"",COUNTIFS($D$7:$D$156,$D15,$B$7:$B$156,"&gt;0"))</f>
        <v/>
      </c>
      <c r="G15" s="11">
        <f>IF(OR(OR($A15="",NOT(ISNUMBER($B15))),$B$2="Not started"),"",IF($C15="Winner",Points!$B$3,ROUND(Points!$B$3*IF($F15&lt;=1,1,Points!$H$7+(1-Points!$H$7)*((($F15-$E15)*(($F15-$E15)+1)/2)^2-((($F15-$E15-$J15+1)-1)*($F15-$E15-$J15+1)/2)^2)/($J15*($F15-1)^3)),0)))</f>
        <v/>
      </c>
      <c r="H15" s="11">
        <f>IF($A15="","",IF($B$2="Final","Final",IF($B$2="In progress","Projected","Not started")))</f>
        <v/>
      </c>
      <c r="I15" s="11">
        <f>IF($A15="","",IF(COUNTIF(Players!$A$2:$A$500,$A15)=0,"Player is not on the Players tab",IF(COUNTIF($A$7:$A$156,$A15)&gt;1,"Player is listed twice",IF(NOT(ISNUMBER($B15)),"Enter a score",IF(COUNTIFS($D$7:$D$156,$D15,$C$7:$C$156,"Winner")&gt;1,"More than one "&amp;$D15&amp;" winner picked",IF(AND($C15="Winner",COUNTIFS($D$7:$D$156,$D15,$B$7:$B$156,"&lt;"&amp;$B15)&gt;0),"The winner doesn't have the best "&amp;$D15&amp;" score",IF(AND($B$2="Final",COUNTIFS($D$7:$D$156,$D15,$C$7:$C$156,"Winner")=0),"Final: pick the "&amp;$D15&amp;" winner",IF($B$2="Not started","Set Status to In progress to count points","OK"))))))))</f>
        <v/>
      </c>
      <c r="J15" s="11">
        <f>IF(OR($A15="",NOT(ISNUMBER($B15))),"",IF($C15="Winner",1,COUNTIFS($D$7:$D$156,$D15,$B$7:$B$156,$B15)-IF(AND(NOT($C15="Winner"),COUNTIFS($D$7:$D$156,$D15,$C$7:$C$156,"Winner",$B$7:$B$156,$B15)&gt;0),1,0)))</f>
        <v/>
      </c>
    </row>
    <row r="16">
      <c r="D16" s="11">
        <f>IF($A16="","",IFERROR(IF(VLOOKUP($A16,Players!$A$2:$B$500,2,FALSE)="","Open",VLOOKUP($A16,Players!$A$2:$B$500,2,FALSE)),"Open"))</f>
        <v/>
      </c>
      <c r="E16" s="11">
        <f>IF(OR($A16="",NOT(ISNUMBER($B16))),"",IF($C16="Winner",1,COUNTIFS($D$7:$D$156,$D16,$B$7:$B$156,"&lt;"&amp;$B16)+1+IF(AND(NOT($C16="Winner"),COUNTIFS($D$7:$D$156,$D16,$C$7:$C$156,"Winner",$B$7:$B$156,$B16)&gt;0),1,0)))</f>
        <v/>
      </c>
      <c r="F16" s="11">
        <f>IF(OR($A16="",NOT(ISNUMBER($B16))),"",COUNTIFS($D$7:$D$156,$D16,$B$7:$B$156,"&gt;0"))</f>
        <v/>
      </c>
      <c r="G16" s="11">
        <f>IF(OR(OR($A16="",NOT(ISNUMBER($B16))),$B$2="Not started"),"",IF($C16="Winner",Points!$B$3,ROUND(Points!$B$3*IF($F16&lt;=1,1,Points!$H$7+(1-Points!$H$7)*((($F16-$E16)*(($F16-$E16)+1)/2)^2-((($F16-$E16-$J16+1)-1)*($F16-$E16-$J16+1)/2)^2)/($J16*($F16-1)^3)),0)))</f>
        <v/>
      </c>
      <c r="H16" s="11">
        <f>IF($A16="","",IF($B$2="Final","Final",IF($B$2="In progress","Projected","Not started")))</f>
        <v/>
      </c>
      <c r="I16" s="11">
        <f>IF($A16="","",IF(COUNTIF(Players!$A$2:$A$500,$A16)=0,"Player is not on the Players tab",IF(COUNTIF($A$7:$A$156,$A16)&gt;1,"Player is listed twice",IF(NOT(ISNUMBER($B16)),"Enter a score",IF(COUNTIFS($D$7:$D$156,$D16,$C$7:$C$156,"Winner")&gt;1,"More than one "&amp;$D16&amp;" winner picked",IF(AND($C16="Winner",COUNTIFS($D$7:$D$156,$D16,$B$7:$B$156,"&lt;"&amp;$B16)&gt;0),"The winner doesn't have the best "&amp;$D16&amp;" score",IF(AND($B$2="Final",COUNTIFS($D$7:$D$156,$D16,$C$7:$C$156,"Winner")=0),"Final: pick the "&amp;$D16&amp;" winner",IF($B$2="Not started","Set Status to In progress to count points","OK"))))))))</f>
        <v/>
      </c>
      <c r="J16" s="11">
        <f>IF(OR($A16="",NOT(ISNUMBER($B16))),"",IF($C16="Winner",1,COUNTIFS($D$7:$D$156,$D16,$B$7:$B$156,$B16)-IF(AND(NOT($C16="Winner"),COUNTIFS($D$7:$D$156,$D16,$C$7:$C$156,"Winner",$B$7:$B$156,$B16)&gt;0),1,0)))</f>
        <v/>
      </c>
    </row>
    <row r="17">
      <c r="D17" s="11">
        <f>IF($A17="","",IFERROR(IF(VLOOKUP($A17,Players!$A$2:$B$500,2,FALSE)="","Open",VLOOKUP($A17,Players!$A$2:$B$500,2,FALSE)),"Open"))</f>
        <v/>
      </c>
      <c r="E17" s="11">
        <f>IF(OR($A17="",NOT(ISNUMBER($B17))),"",IF($C17="Winner",1,COUNTIFS($D$7:$D$156,$D17,$B$7:$B$156,"&lt;"&amp;$B17)+1+IF(AND(NOT($C17="Winner"),COUNTIFS($D$7:$D$156,$D17,$C$7:$C$156,"Winner",$B$7:$B$156,$B17)&gt;0),1,0)))</f>
        <v/>
      </c>
      <c r="F17" s="11">
        <f>IF(OR($A17="",NOT(ISNUMBER($B17))),"",COUNTIFS($D$7:$D$156,$D17,$B$7:$B$156,"&gt;0"))</f>
        <v/>
      </c>
      <c r="G17" s="11">
        <f>IF(OR(OR($A17="",NOT(ISNUMBER($B17))),$B$2="Not started"),"",IF($C17="Winner",Points!$B$3,ROUND(Points!$B$3*IF($F17&lt;=1,1,Points!$H$7+(1-Points!$H$7)*((($F17-$E17)*(($F17-$E17)+1)/2)^2-((($F17-$E17-$J17+1)-1)*($F17-$E17-$J17+1)/2)^2)/($J17*($F17-1)^3)),0)))</f>
        <v/>
      </c>
      <c r="H17" s="11">
        <f>IF($A17="","",IF($B$2="Final","Final",IF($B$2="In progress","Projected","Not started")))</f>
        <v/>
      </c>
      <c r="I17" s="11">
        <f>IF($A17="","",IF(COUNTIF(Players!$A$2:$A$500,$A17)=0,"Player is not on the Players tab",IF(COUNTIF($A$7:$A$156,$A17)&gt;1,"Player is listed twice",IF(NOT(ISNUMBER($B17)),"Enter a score",IF(COUNTIFS($D$7:$D$156,$D17,$C$7:$C$156,"Winner")&gt;1,"More than one "&amp;$D17&amp;" winner picked",IF(AND($C17="Winner",COUNTIFS($D$7:$D$156,$D17,$B$7:$B$156,"&lt;"&amp;$B17)&gt;0),"The winner doesn't have the best "&amp;$D17&amp;" score",IF(AND($B$2="Final",COUNTIFS($D$7:$D$156,$D17,$C$7:$C$156,"Winner")=0),"Final: pick the "&amp;$D17&amp;" winner",IF($B$2="Not started","Set Status to In progress to count points","OK"))))))))</f>
        <v/>
      </c>
      <c r="J17" s="11">
        <f>IF(OR($A17="",NOT(ISNUMBER($B17))),"",IF($C17="Winner",1,COUNTIFS($D$7:$D$156,$D17,$B$7:$B$156,$B17)-IF(AND(NOT($C17="Winner"),COUNTIFS($D$7:$D$156,$D17,$C$7:$C$156,"Winner",$B$7:$B$156,$B17)&gt;0),1,0)))</f>
        <v/>
      </c>
    </row>
    <row r="18">
      <c r="D18" s="11">
        <f>IF($A18="","",IFERROR(IF(VLOOKUP($A18,Players!$A$2:$B$500,2,FALSE)="","Open",VLOOKUP($A18,Players!$A$2:$B$500,2,FALSE)),"Open"))</f>
        <v/>
      </c>
      <c r="E18" s="11">
        <f>IF(OR($A18="",NOT(ISNUMBER($B18))),"",IF($C18="Winner",1,COUNTIFS($D$7:$D$156,$D18,$B$7:$B$156,"&lt;"&amp;$B18)+1+IF(AND(NOT($C18="Winner"),COUNTIFS($D$7:$D$156,$D18,$C$7:$C$156,"Winner",$B$7:$B$156,$B18)&gt;0),1,0)))</f>
        <v/>
      </c>
      <c r="F18" s="11">
        <f>IF(OR($A18="",NOT(ISNUMBER($B18))),"",COUNTIFS($D$7:$D$156,$D18,$B$7:$B$156,"&gt;0"))</f>
        <v/>
      </c>
      <c r="G18" s="11">
        <f>IF(OR(OR($A18="",NOT(ISNUMBER($B18))),$B$2="Not started"),"",IF($C18="Winner",Points!$B$3,ROUND(Points!$B$3*IF($F18&lt;=1,1,Points!$H$7+(1-Points!$H$7)*((($F18-$E18)*(($F18-$E18)+1)/2)^2-((($F18-$E18-$J18+1)-1)*($F18-$E18-$J18+1)/2)^2)/($J18*($F18-1)^3)),0)))</f>
        <v/>
      </c>
      <c r="H18" s="11">
        <f>IF($A18="","",IF($B$2="Final","Final",IF($B$2="In progress","Projected","Not started")))</f>
        <v/>
      </c>
      <c r="I18" s="11">
        <f>IF($A18="","",IF(COUNTIF(Players!$A$2:$A$500,$A18)=0,"Player is not on the Players tab",IF(COUNTIF($A$7:$A$156,$A18)&gt;1,"Player is listed twice",IF(NOT(ISNUMBER($B18)),"Enter a score",IF(COUNTIFS($D$7:$D$156,$D18,$C$7:$C$156,"Winner")&gt;1,"More than one "&amp;$D18&amp;" winner picked",IF(AND($C18="Winner",COUNTIFS($D$7:$D$156,$D18,$B$7:$B$156,"&lt;"&amp;$B18)&gt;0),"The winner doesn't have the best "&amp;$D18&amp;" score",IF(AND($B$2="Final",COUNTIFS($D$7:$D$156,$D18,$C$7:$C$156,"Winner")=0),"Final: pick the "&amp;$D18&amp;" winner",IF($B$2="Not started","Set Status to In progress to count points","OK"))))))))</f>
        <v/>
      </c>
      <c r="J18" s="11">
        <f>IF(OR($A18="",NOT(ISNUMBER($B18))),"",IF($C18="Winner",1,COUNTIFS($D$7:$D$156,$D18,$B$7:$B$156,$B18)-IF(AND(NOT($C18="Winner"),COUNTIFS($D$7:$D$156,$D18,$C$7:$C$156,"Winner",$B$7:$B$156,$B18)&gt;0),1,0)))</f>
        <v/>
      </c>
    </row>
    <row r="19">
      <c r="D19" s="11">
        <f>IF($A19="","",IFERROR(IF(VLOOKUP($A19,Players!$A$2:$B$500,2,FALSE)="","Open",VLOOKUP($A19,Players!$A$2:$B$500,2,FALSE)),"Open"))</f>
        <v/>
      </c>
      <c r="E19" s="11">
        <f>IF(OR($A19="",NOT(ISNUMBER($B19))),"",IF($C19="Winner",1,COUNTIFS($D$7:$D$156,$D19,$B$7:$B$156,"&lt;"&amp;$B19)+1+IF(AND(NOT($C19="Winner"),COUNTIFS($D$7:$D$156,$D19,$C$7:$C$156,"Winner",$B$7:$B$156,$B19)&gt;0),1,0)))</f>
        <v/>
      </c>
      <c r="F19" s="11">
        <f>IF(OR($A19="",NOT(ISNUMBER($B19))),"",COUNTIFS($D$7:$D$156,$D19,$B$7:$B$156,"&gt;0"))</f>
        <v/>
      </c>
      <c r="G19" s="11">
        <f>IF(OR(OR($A19="",NOT(ISNUMBER($B19))),$B$2="Not started"),"",IF($C19="Winner",Points!$B$3,ROUND(Points!$B$3*IF($F19&lt;=1,1,Points!$H$7+(1-Points!$H$7)*((($F19-$E19)*(($F19-$E19)+1)/2)^2-((($F19-$E19-$J19+1)-1)*($F19-$E19-$J19+1)/2)^2)/($J19*($F19-1)^3)),0)))</f>
        <v/>
      </c>
      <c r="H19" s="11">
        <f>IF($A19="","",IF($B$2="Final","Final",IF($B$2="In progress","Projected","Not started")))</f>
        <v/>
      </c>
      <c r="I19" s="11">
        <f>IF($A19="","",IF(COUNTIF(Players!$A$2:$A$500,$A19)=0,"Player is not on the Players tab",IF(COUNTIF($A$7:$A$156,$A19)&gt;1,"Player is listed twice",IF(NOT(ISNUMBER($B19)),"Enter a score",IF(COUNTIFS($D$7:$D$156,$D19,$C$7:$C$156,"Winner")&gt;1,"More than one "&amp;$D19&amp;" winner picked",IF(AND($C19="Winner",COUNTIFS($D$7:$D$156,$D19,$B$7:$B$156,"&lt;"&amp;$B19)&gt;0),"The winner doesn't have the best "&amp;$D19&amp;" score",IF(AND($B$2="Final",COUNTIFS($D$7:$D$156,$D19,$C$7:$C$156,"Winner")=0),"Final: pick the "&amp;$D19&amp;" winner",IF($B$2="Not started","Set Status to In progress to count points","OK"))))))))</f>
        <v/>
      </c>
      <c r="J19" s="11">
        <f>IF(OR($A19="",NOT(ISNUMBER($B19))),"",IF($C19="Winner",1,COUNTIFS($D$7:$D$156,$D19,$B$7:$B$156,$B19)-IF(AND(NOT($C19="Winner"),COUNTIFS($D$7:$D$156,$D19,$C$7:$C$156,"Winner",$B$7:$B$156,$B19)&gt;0),1,0)))</f>
        <v/>
      </c>
    </row>
    <row r="20">
      <c r="D20" s="11">
        <f>IF($A20="","",IFERROR(IF(VLOOKUP($A20,Players!$A$2:$B$500,2,FALSE)="","Open",VLOOKUP($A20,Players!$A$2:$B$500,2,FALSE)),"Open"))</f>
        <v/>
      </c>
      <c r="E20" s="11">
        <f>IF(OR($A20="",NOT(ISNUMBER($B20))),"",IF($C20="Winner",1,COUNTIFS($D$7:$D$156,$D20,$B$7:$B$156,"&lt;"&amp;$B20)+1+IF(AND(NOT($C20="Winner"),COUNTIFS($D$7:$D$156,$D20,$C$7:$C$156,"Winner",$B$7:$B$156,$B20)&gt;0),1,0)))</f>
        <v/>
      </c>
      <c r="F20" s="11">
        <f>IF(OR($A20="",NOT(ISNUMBER($B20))),"",COUNTIFS($D$7:$D$156,$D20,$B$7:$B$156,"&gt;0"))</f>
        <v/>
      </c>
      <c r="G20" s="11">
        <f>IF(OR(OR($A20="",NOT(ISNUMBER($B20))),$B$2="Not started"),"",IF($C20="Winner",Points!$B$3,ROUND(Points!$B$3*IF($F20&lt;=1,1,Points!$H$7+(1-Points!$H$7)*((($F20-$E20)*(($F20-$E20)+1)/2)^2-((($F20-$E20-$J20+1)-1)*($F20-$E20-$J20+1)/2)^2)/($J20*($F20-1)^3)),0)))</f>
        <v/>
      </c>
      <c r="H20" s="11">
        <f>IF($A20="","",IF($B$2="Final","Final",IF($B$2="In progress","Projected","Not started")))</f>
        <v/>
      </c>
      <c r="I20" s="11">
        <f>IF($A20="","",IF(COUNTIF(Players!$A$2:$A$500,$A20)=0,"Player is not on the Players tab",IF(COUNTIF($A$7:$A$156,$A20)&gt;1,"Player is listed twice",IF(NOT(ISNUMBER($B20)),"Enter a score",IF(COUNTIFS($D$7:$D$156,$D20,$C$7:$C$156,"Winner")&gt;1,"More than one "&amp;$D20&amp;" winner picked",IF(AND($C20="Winner",COUNTIFS($D$7:$D$156,$D20,$B$7:$B$156,"&lt;"&amp;$B20)&gt;0),"The winner doesn't have the best "&amp;$D20&amp;" score",IF(AND($B$2="Final",COUNTIFS($D$7:$D$156,$D20,$C$7:$C$156,"Winner")=0),"Final: pick the "&amp;$D20&amp;" winner",IF($B$2="Not started","Set Status to In progress to count points","OK"))))))))</f>
        <v/>
      </c>
      <c r="J20" s="11">
        <f>IF(OR($A20="",NOT(ISNUMBER($B20))),"",IF($C20="Winner",1,COUNTIFS($D$7:$D$156,$D20,$B$7:$B$156,$B20)-IF(AND(NOT($C20="Winner"),COUNTIFS($D$7:$D$156,$D20,$C$7:$C$156,"Winner",$B$7:$B$156,$B20)&gt;0),1,0)))</f>
        <v/>
      </c>
    </row>
    <row r="21">
      <c r="D21" s="11">
        <f>IF($A21="","",IFERROR(IF(VLOOKUP($A21,Players!$A$2:$B$500,2,FALSE)="","Open",VLOOKUP($A21,Players!$A$2:$B$500,2,FALSE)),"Open"))</f>
        <v/>
      </c>
      <c r="E21" s="11">
        <f>IF(OR($A21="",NOT(ISNUMBER($B21))),"",IF($C21="Winner",1,COUNTIFS($D$7:$D$156,$D21,$B$7:$B$156,"&lt;"&amp;$B21)+1+IF(AND(NOT($C21="Winner"),COUNTIFS($D$7:$D$156,$D21,$C$7:$C$156,"Winner",$B$7:$B$156,$B21)&gt;0),1,0)))</f>
        <v/>
      </c>
      <c r="F21" s="11">
        <f>IF(OR($A21="",NOT(ISNUMBER($B21))),"",COUNTIFS($D$7:$D$156,$D21,$B$7:$B$156,"&gt;0"))</f>
        <v/>
      </c>
      <c r="G21" s="11">
        <f>IF(OR(OR($A21="",NOT(ISNUMBER($B21))),$B$2="Not started"),"",IF($C21="Winner",Points!$B$3,ROUND(Points!$B$3*IF($F21&lt;=1,1,Points!$H$7+(1-Points!$H$7)*((($F21-$E21)*(($F21-$E21)+1)/2)^2-((($F21-$E21-$J21+1)-1)*($F21-$E21-$J21+1)/2)^2)/($J21*($F21-1)^3)),0)))</f>
        <v/>
      </c>
      <c r="H21" s="11">
        <f>IF($A21="","",IF($B$2="Final","Final",IF($B$2="In progress","Projected","Not started")))</f>
        <v/>
      </c>
      <c r="I21" s="11">
        <f>IF($A21="","",IF(COUNTIF(Players!$A$2:$A$500,$A21)=0,"Player is not on the Players tab",IF(COUNTIF($A$7:$A$156,$A21)&gt;1,"Player is listed twice",IF(NOT(ISNUMBER($B21)),"Enter a score",IF(COUNTIFS($D$7:$D$156,$D21,$C$7:$C$156,"Winner")&gt;1,"More than one "&amp;$D21&amp;" winner picked",IF(AND($C21="Winner",COUNTIFS($D$7:$D$156,$D21,$B$7:$B$156,"&lt;"&amp;$B21)&gt;0),"The winner doesn't have the best "&amp;$D21&amp;" score",IF(AND($B$2="Final",COUNTIFS($D$7:$D$156,$D21,$C$7:$C$156,"Winner")=0),"Final: pick the "&amp;$D21&amp;" winner",IF($B$2="Not started","Set Status to In progress to count points","OK"))))))))</f>
        <v/>
      </c>
      <c r="J21" s="11">
        <f>IF(OR($A21="",NOT(ISNUMBER($B21))),"",IF($C21="Winner",1,COUNTIFS($D$7:$D$156,$D21,$B$7:$B$156,$B21)-IF(AND(NOT($C21="Winner"),COUNTIFS($D$7:$D$156,$D21,$C$7:$C$156,"Winner",$B$7:$B$156,$B21)&gt;0),1,0)))</f>
        <v/>
      </c>
    </row>
    <row r="22">
      <c r="D22" s="11">
        <f>IF($A22="","",IFERROR(IF(VLOOKUP($A22,Players!$A$2:$B$500,2,FALSE)="","Open",VLOOKUP($A22,Players!$A$2:$B$500,2,FALSE)),"Open"))</f>
        <v/>
      </c>
      <c r="E22" s="11">
        <f>IF(OR($A22="",NOT(ISNUMBER($B22))),"",IF($C22="Winner",1,COUNTIFS($D$7:$D$156,$D22,$B$7:$B$156,"&lt;"&amp;$B22)+1+IF(AND(NOT($C22="Winner"),COUNTIFS($D$7:$D$156,$D22,$C$7:$C$156,"Winner",$B$7:$B$156,$B22)&gt;0),1,0)))</f>
        <v/>
      </c>
      <c r="F22" s="11">
        <f>IF(OR($A22="",NOT(ISNUMBER($B22))),"",COUNTIFS($D$7:$D$156,$D22,$B$7:$B$156,"&gt;0"))</f>
        <v/>
      </c>
      <c r="G22" s="11">
        <f>IF(OR(OR($A22="",NOT(ISNUMBER($B22))),$B$2="Not started"),"",IF($C22="Winner",Points!$B$3,ROUND(Points!$B$3*IF($F22&lt;=1,1,Points!$H$7+(1-Points!$H$7)*((($F22-$E22)*(($F22-$E22)+1)/2)^2-((($F22-$E22-$J22+1)-1)*($F22-$E22-$J22+1)/2)^2)/($J22*($F22-1)^3)),0)))</f>
        <v/>
      </c>
      <c r="H22" s="11">
        <f>IF($A22="","",IF($B$2="Final","Final",IF($B$2="In progress","Projected","Not started")))</f>
        <v/>
      </c>
      <c r="I22" s="11">
        <f>IF($A22="","",IF(COUNTIF(Players!$A$2:$A$500,$A22)=0,"Player is not on the Players tab",IF(COUNTIF($A$7:$A$156,$A22)&gt;1,"Player is listed twice",IF(NOT(ISNUMBER($B22)),"Enter a score",IF(COUNTIFS($D$7:$D$156,$D22,$C$7:$C$156,"Winner")&gt;1,"More than one "&amp;$D22&amp;" winner picked",IF(AND($C22="Winner",COUNTIFS($D$7:$D$156,$D22,$B$7:$B$156,"&lt;"&amp;$B22)&gt;0),"The winner doesn't have the best "&amp;$D22&amp;" score",IF(AND($B$2="Final",COUNTIFS($D$7:$D$156,$D22,$C$7:$C$156,"Winner")=0),"Final: pick the "&amp;$D22&amp;" winner",IF($B$2="Not started","Set Status to In progress to count points","OK"))))))))</f>
        <v/>
      </c>
      <c r="J22" s="11">
        <f>IF(OR($A22="",NOT(ISNUMBER($B22))),"",IF($C22="Winner",1,COUNTIFS($D$7:$D$156,$D22,$B$7:$B$156,$B22)-IF(AND(NOT($C22="Winner"),COUNTIFS($D$7:$D$156,$D22,$C$7:$C$156,"Winner",$B$7:$B$156,$B22)&gt;0),1,0)))</f>
        <v/>
      </c>
    </row>
    <row r="23">
      <c r="D23" s="11">
        <f>IF($A23="","",IFERROR(IF(VLOOKUP($A23,Players!$A$2:$B$500,2,FALSE)="","Open",VLOOKUP($A23,Players!$A$2:$B$500,2,FALSE)),"Open"))</f>
        <v/>
      </c>
      <c r="E23" s="11">
        <f>IF(OR($A23="",NOT(ISNUMBER($B23))),"",IF($C23="Winner",1,COUNTIFS($D$7:$D$156,$D23,$B$7:$B$156,"&lt;"&amp;$B23)+1+IF(AND(NOT($C23="Winner"),COUNTIFS($D$7:$D$156,$D23,$C$7:$C$156,"Winner",$B$7:$B$156,$B23)&gt;0),1,0)))</f>
        <v/>
      </c>
      <c r="F23" s="11">
        <f>IF(OR($A23="",NOT(ISNUMBER($B23))),"",COUNTIFS($D$7:$D$156,$D23,$B$7:$B$156,"&gt;0"))</f>
        <v/>
      </c>
      <c r="G23" s="11">
        <f>IF(OR(OR($A23="",NOT(ISNUMBER($B23))),$B$2="Not started"),"",IF($C23="Winner",Points!$B$3,ROUND(Points!$B$3*IF($F23&lt;=1,1,Points!$H$7+(1-Points!$H$7)*((($F23-$E23)*(($F23-$E23)+1)/2)^2-((($F23-$E23-$J23+1)-1)*($F23-$E23-$J23+1)/2)^2)/($J23*($F23-1)^3)),0)))</f>
        <v/>
      </c>
      <c r="H23" s="11">
        <f>IF($A23="","",IF($B$2="Final","Final",IF($B$2="In progress","Projected","Not started")))</f>
        <v/>
      </c>
      <c r="I23" s="11">
        <f>IF($A23="","",IF(COUNTIF(Players!$A$2:$A$500,$A23)=0,"Player is not on the Players tab",IF(COUNTIF($A$7:$A$156,$A23)&gt;1,"Player is listed twice",IF(NOT(ISNUMBER($B23)),"Enter a score",IF(COUNTIFS($D$7:$D$156,$D23,$C$7:$C$156,"Winner")&gt;1,"More than one "&amp;$D23&amp;" winner picked",IF(AND($C23="Winner",COUNTIFS($D$7:$D$156,$D23,$B$7:$B$156,"&lt;"&amp;$B23)&gt;0),"The winner doesn't have the best "&amp;$D23&amp;" score",IF(AND($B$2="Final",COUNTIFS($D$7:$D$156,$D23,$C$7:$C$156,"Winner")=0),"Final: pick the "&amp;$D23&amp;" winner",IF($B$2="Not started","Set Status to In progress to count points","OK"))))))))</f>
        <v/>
      </c>
      <c r="J23" s="11">
        <f>IF(OR($A23="",NOT(ISNUMBER($B23))),"",IF($C23="Winner",1,COUNTIFS($D$7:$D$156,$D23,$B$7:$B$156,$B23)-IF(AND(NOT($C23="Winner"),COUNTIFS($D$7:$D$156,$D23,$C$7:$C$156,"Winner",$B$7:$B$156,$B23)&gt;0),1,0)))</f>
        <v/>
      </c>
    </row>
    <row r="24">
      <c r="D24" s="11">
        <f>IF($A24="","",IFERROR(IF(VLOOKUP($A24,Players!$A$2:$B$500,2,FALSE)="","Open",VLOOKUP($A24,Players!$A$2:$B$500,2,FALSE)),"Open"))</f>
        <v/>
      </c>
      <c r="E24" s="11">
        <f>IF(OR($A24="",NOT(ISNUMBER($B24))),"",IF($C24="Winner",1,COUNTIFS($D$7:$D$156,$D24,$B$7:$B$156,"&lt;"&amp;$B24)+1+IF(AND(NOT($C24="Winner"),COUNTIFS($D$7:$D$156,$D24,$C$7:$C$156,"Winner",$B$7:$B$156,$B24)&gt;0),1,0)))</f>
        <v/>
      </c>
      <c r="F24" s="11">
        <f>IF(OR($A24="",NOT(ISNUMBER($B24))),"",COUNTIFS($D$7:$D$156,$D24,$B$7:$B$156,"&gt;0"))</f>
        <v/>
      </c>
      <c r="G24" s="11">
        <f>IF(OR(OR($A24="",NOT(ISNUMBER($B24))),$B$2="Not started"),"",IF($C24="Winner",Points!$B$3,ROUND(Points!$B$3*IF($F24&lt;=1,1,Points!$H$7+(1-Points!$H$7)*((($F24-$E24)*(($F24-$E24)+1)/2)^2-((($F24-$E24-$J24+1)-1)*($F24-$E24-$J24+1)/2)^2)/($J24*($F24-1)^3)),0)))</f>
        <v/>
      </c>
      <c r="H24" s="11">
        <f>IF($A24="","",IF($B$2="Final","Final",IF($B$2="In progress","Projected","Not started")))</f>
        <v/>
      </c>
      <c r="I24" s="11">
        <f>IF($A24="","",IF(COUNTIF(Players!$A$2:$A$500,$A24)=0,"Player is not on the Players tab",IF(COUNTIF($A$7:$A$156,$A24)&gt;1,"Player is listed twice",IF(NOT(ISNUMBER($B24)),"Enter a score",IF(COUNTIFS($D$7:$D$156,$D24,$C$7:$C$156,"Winner")&gt;1,"More than one "&amp;$D24&amp;" winner picked",IF(AND($C24="Winner",COUNTIFS($D$7:$D$156,$D24,$B$7:$B$156,"&lt;"&amp;$B24)&gt;0),"The winner doesn't have the best "&amp;$D24&amp;" score",IF(AND($B$2="Final",COUNTIFS($D$7:$D$156,$D24,$C$7:$C$156,"Winner")=0),"Final: pick the "&amp;$D24&amp;" winner",IF($B$2="Not started","Set Status to In progress to count points","OK"))))))))</f>
        <v/>
      </c>
      <c r="J24" s="11">
        <f>IF(OR($A24="",NOT(ISNUMBER($B24))),"",IF($C24="Winner",1,COUNTIFS($D$7:$D$156,$D24,$B$7:$B$156,$B24)-IF(AND(NOT($C24="Winner"),COUNTIFS($D$7:$D$156,$D24,$C$7:$C$156,"Winner",$B$7:$B$156,$B24)&gt;0),1,0)))</f>
        <v/>
      </c>
    </row>
    <row r="25">
      <c r="D25" s="11">
        <f>IF($A25="","",IFERROR(IF(VLOOKUP($A25,Players!$A$2:$B$500,2,FALSE)="","Open",VLOOKUP($A25,Players!$A$2:$B$500,2,FALSE)),"Open"))</f>
        <v/>
      </c>
      <c r="E25" s="11">
        <f>IF(OR($A25="",NOT(ISNUMBER($B25))),"",IF($C25="Winner",1,COUNTIFS($D$7:$D$156,$D25,$B$7:$B$156,"&lt;"&amp;$B25)+1+IF(AND(NOT($C25="Winner"),COUNTIFS($D$7:$D$156,$D25,$C$7:$C$156,"Winner",$B$7:$B$156,$B25)&gt;0),1,0)))</f>
        <v/>
      </c>
      <c r="F25" s="11">
        <f>IF(OR($A25="",NOT(ISNUMBER($B25))),"",COUNTIFS($D$7:$D$156,$D25,$B$7:$B$156,"&gt;0"))</f>
        <v/>
      </c>
      <c r="G25" s="11">
        <f>IF(OR(OR($A25="",NOT(ISNUMBER($B25))),$B$2="Not started"),"",IF($C25="Winner",Points!$B$3,ROUND(Points!$B$3*IF($F25&lt;=1,1,Points!$H$7+(1-Points!$H$7)*((($F25-$E25)*(($F25-$E25)+1)/2)^2-((($F25-$E25-$J25+1)-1)*($F25-$E25-$J25+1)/2)^2)/($J25*($F25-1)^3)),0)))</f>
        <v/>
      </c>
      <c r="H25" s="11">
        <f>IF($A25="","",IF($B$2="Final","Final",IF($B$2="In progress","Projected","Not started")))</f>
        <v/>
      </c>
      <c r="I25" s="11">
        <f>IF($A25="","",IF(COUNTIF(Players!$A$2:$A$500,$A25)=0,"Player is not on the Players tab",IF(COUNTIF($A$7:$A$156,$A25)&gt;1,"Player is listed twice",IF(NOT(ISNUMBER($B25)),"Enter a score",IF(COUNTIFS($D$7:$D$156,$D25,$C$7:$C$156,"Winner")&gt;1,"More than one "&amp;$D25&amp;" winner picked",IF(AND($C25="Winner",COUNTIFS($D$7:$D$156,$D25,$B$7:$B$156,"&lt;"&amp;$B25)&gt;0),"The winner doesn't have the best "&amp;$D25&amp;" score",IF(AND($B$2="Final",COUNTIFS($D$7:$D$156,$D25,$C$7:$C$156,"Winner")=0),"Final: pick the "&amp;$D25&amp;" winner",IF($B$2="Not started","Set Status to In progress to count points","OK"))))))))</f>
        <v/>
      </c>
      <c r="J25" s="11">
        <f>IF(OR($A25="",NOT(ISNUMBER($B25))),"",IF($C25="Winner",1,COUNTIFS($D$7:$D$156,$D25,$B$7:$B$156,$B25)-IF(AND(NOT($C25="Winner"),COUNTIFS($D$7:$D$156,$D25,$C$7:$C$156,"Winner",$B$7:$B$156,$B25)&gt;0),1,0)))</f>
        <v/>
      </c>
    </row>
    <row r="26">
      <c r="D26" s="11">
        <f>IF($A26="","",IFERROR(IF(VLOOKUP($A26,Players!$A$2:$B$500,2,FALSE)="","Open",VLOOKUP($A26,Players!$A$2:$B$500,2,FALSE)),"Open"))</f>
        <v/>
      </c>
      <c r="E26" s="11">
        <f>IF(OR($A26="",NOT(ISNUMBER($B26))),"",IF($C26="Winner",1,COUNTIFS($D$7:$D$156,$D26,$B$7:$B$156,"&lt;"&amp;$B26)+1+IF(AND(NOT($C26="Winner"),COUNTIFS($D$7:$D$156,$D26,$C$7:$C$156,"Winner",$B$7:$B$156,$B26)&gt;0),1,0)))</f>
        <v/>
      </c>
      <c r="F26" s="11">
        <f>IF(OR($A26="",NOT(ISNUMBER($B26))),"",COUNTIFS($D$7:$D$156,$D26,$B$7:$B$156,"&gt;0"))</f>
        <v/>
      </c>
      <c r="G26" s="11">
        <f>IF(OR(OR($A26="",NOT(ISNUMBER($B26))),$B$2="Not started"),"",IF($C26="Winner",Points!$B$3,ROUND(Points!$B$3*IF($F26&lt;=1,1,Points!$H$7+(1-Points!$H$7)*((($F26-$E26)*(($F26-$E26)+1)/2)^2-((($F26-$E26-$J26+1)-1)*($F26-$E26-$J26+1)/2)^2)/($J26*($F26-1)^3)),0)))</f>
        <v/>
      </c>
      <c r="H26" s="11">
        <f>IF($A26="","",IF($B$2="Final","Final",IF($B$2="In progress","Projected","Not started")))</f>
        <v/>
      </c>
      <c r="I26" s="11">
        <f>IF($A26="","",IF(COUNTIF(Players!$A$2:$A$500,$A26)=0,"Player is not on the Players tab",IF(COUNTIF($A$7:$A$156,$A26)&gt;1,"Player is listed twice",IF(NOT(ISNUMBER($B26)),"Enter a score",IF(COUNTIFS($D$7:$D$156,$D26,$C$7:$C$156,"Winner")&gt;1,"More than one "&amp;$D26&amp;" winner picked",IF(AND($C26="Winner",COUNTIFS($D$7:$D$156,$D26,$B$7:$B$156,"&lt;"&amp;$B26)&gt;0),"The winner doesn't have the best "&amp;$D26&amp;" score",IF(AND($B$2="Final",COUNTIFS($D$7:$D$156,$D26,$C$7:$C$156,"Winner")=0),"Final: pick the "&amp;$D26&amp;" winner",IF($B$2="Not started","Set Status to In progress to count points","OK"))))))))</f>
        <v/>
      </c>
      <c r="J26" s="11">
        <f>IF(OR($A26="",NOT(ISNUMBER($B26))),"",IF($C26="Winner",1,COUNTIFS($D$7:$D$156,$D26,$B$7:$B$156,$B26)-IF(AND(NOT($C26="Winner"),COUNTIFS($D$7:$D$156,$D26,$C$7:$C$156,"Winner",$B$7:$B$156,$B26)&gt;0),1,0)))</f>
        <v/>
      </c>
    </row>
    <row r="27">
      <c r="D27" s="11">
        <f>IF($A27="","",IFERROR(IF(VLOOKUP($A27,Players!$A$2:$B$500,2,FALSE)="","Open",VLOOKUP($A27,Players!$A$2:$B$500,2,FALSE)),"Open"))</f>
        <v/>
      </c>
      <c r="E27" s="11">
        <f>IF(OR($A27="",NOT(ISNUMBER($B27))),"",IF($C27="Winner",1,COUNTIFS($D$7:$D$156,$D27,$B$7:$B$156,"&lt;"&amp;$B27)+1+IF(AND(NOT($C27="Winner"),COUNTIFS($D$7:$D$156,$D27,$C$7:$C$156,"Winner",$B$7:$B$156,$B27)&gt;0),1,0)))</f>
        <v/>
      </c>
      <c r="F27" s="11">
        <f>IF(OR($A27="",NOT(ISNUMBER($B27))),"",COUNTIFS($D$7:$D$156,$D27,$B$7:$B$156,"&gt;0"))</f>
        <v/>
      </c>
      <c r="G27" s="11">
        <f>IF(OR(OR($A27="",NOT(ISNUMBER($B27))),$B$2="Not started"),"",IF($C27="Winner",Points!$B$3,ROUND(Points!$B$3*IF($F27&lt;=1,1,Points!$H$7+(1-Points!$H$7)*((($F27-$E27)*(($F27-$E27)+1)/2)^2-((($F27-$E27-$J27+1)-1)*($F27-$E27-$J27+1)/2)^2)/($J27*($F27-1)^3)),0)))</f>
        <v/>
      </c>
      <c r="H27" s="11">
        <f>IF($A27="","",IF($B$2="Final","Final",IF($B$2="In progress","Projected","Not started")))</f>
        <v/>
      </c>
      <c r="I27" s="11">
        <f>IF($A27="","",IF(COUNTIF(Players!$A$2:$A$500,$A27)=0,"Player is not on the Players tab",IF(COUNTIF($A$7:$A$156,$A27)&gt;1,"Player is listed twice",IF(NOT(ISNUMBER($B27)),"Enter a score",IF(COUNTIFS($D$7:$D$156,$D27,$C$7:$C$156,"Winner")&gt;1,"More than one "&amp;$D27&amp;" winner picked",IF(AND($C27="Winner",COUNTIFS($D$7:$D$156,$D27,$B$7:$B$156,"&lt;"&amp;$B27)&gt;0),"The winner doesn't have the best "&amp;$D27&amp;" score",IF(AND($B$2="Final",COUNTIFS($D$7:$D$156,$D27,$C$7:$C$156,"Winner")=0),"Final: pick the "&amp;$D27&amp;" winner",IF($B$2="Not started","Set Status to In progress to count points","OK"))))))))</f>
        <v/>
      </c>
      <c r="J27" s="11">
        <f>IF(OR($A27="",NOT(ISNUMBER($B27))),"",IF($C27="Winner",1,COUNTIFS($D$7:$D$156,$D27,$B$7:$B$156,$B27)-IF(AND(NOT($C27="Winner"),COUNTIFS($D$7:$D$156,$D27,$C$7:$C$156,"Winner",$B$7:$B$156,$B27)&gt;0),1,0)))</f>
        <v/>
      </c>
    </row>
    <row r="28">
      <c r="D28" s="11">
        <f>IF($A28="","",IFERROR(IF(VLOOKUP($A28,Players!$A$2:$B$500,2,FALSE)="","Open",VLOOKUP($A28,Players!$A$2:$B$500,2,FALSE)),"Open"))</f>
        <v/>
      </c>
      <c r="E28" s="11">
        <f>IF(OR($A28="",NOT(ISNUMBER($B28))),"",IF($C28="Winner",1,COUNTIFS($D$7:$D$156,$D28,$B$7:$B$156,"&lt;"&amp;$B28)+1+IF(AND(NOT($C28="Winner"),COUNTIFS($D$7:$D$156,$D28,$C$7:$C$156,"Winner",$B$7:$B$156,$B28)&gt;0),1,0)))</f>
        <v/>
      </c>
      <c r="F28" s="11">
        <f>IF(OR($A28="",NOT(ISNUMBER($B28))),"",COUNTIFS($D$7:$D$156,$D28,$B$7:$B$156,"&gt;0"))</f>
        <v/>
      </c>
      <c r="G28" s="11">
        <f>IF(OR(OR($A28="",NOT(ISNUMBER($B28))),$B$2="Not started"),"",IF($C28="Winner",Points!$B$3,ROUND(Points!$B$3*IF($F28&lt;=1,1,Points!$H$7+(1-Points!$H$7)*((($F28-$E28)*(($F28-$E28)+1)/2)^2-((($F28-$E28-$J28+1)-1)*($F28-$E28-$J28+1)/2)^2)/($J28*($F28-1)^3)),0)))</f>
        <v/>
      </c>
      <c r="H28" s="11">
        <f>IF($A28="","",IF($B$2="Final","Final",IF($B$2="In progress","Projected","Not started")))</f>
        <v/>
      </c>
      <c r="I28" s="11">
        <f>IF($A28="","",IF(COUNTIF(Players!$A$2:$A$500,$A28)=0,"Player is not on the Players tab",IF(COUNTIF($A$7:$A$156,$A28)&gt;1,"Player is listed twice",IF(NOT(ISNUMBER($B28)),"Enter a score",IF(COUNTIFS($D$7:$D$156,$D28,$C$7:$C$156,"Winner")&gt;1,"More than one "&amp;$D28&amp;" winner picked",IF(AND($C28="Winner",COUNTIFS($D$7:$D$156,$D28,$B$7:$B$156,"&lt;"&amp;$B28)&gt;0),"The winner doesn't have the best "&amp;$D28&amp;" score",IF(AND($B$2="Final",COUNTIFS($D$7:$D$156,$D28,$C$7:$C$156,"Winner")=0),"Final: pick the "&amp;$D28&amp;" winner",IF($B$2="Not started","Set Status to In progress to count points","OK"))))))))</f>
        <v/>
      </c>
      <c r="J28" s="11">
        <f>IF(OR($A28="",NOT(ISNUMBER($B28))),"",IF($C28="Winner",1,COUNTIFS($D$7:$D$156,$D28,$B$7:$B$156,$B28)-IF(AND(NOT($C28="Winner"),COUNTIFS($D$7:$D$156,$D28,$C$7:$C$156,"Winner",$B$7:$B$156,$B28)&gt;0),1,0)))</f>
        <v/>
      </c>
    </row>
    <row r="29">
      <c r="D29" s="11">
        <f>IF($A29="","",IFERROR(IF(VLOOKUP($A29,Players!$A$2:$B$500,2,FALSE)="","Open",VLOOKUP($A29,Players!$A$2:$B$500,2,FALSE)),"Open"))</f>
        <v/>
      </c>
      <c r="E29" s="11">
        <f>IF(OR($A29="",NOT(ISNUMBER($B29))),"",IF($C29="Winner",1,COUNTIFS($D$7:$D$156,$D29,$B$7:$B$156,"&lt;"&amp;$B29)+1+IF(AND(NOT($C29="Winner"),COUNTIFS($D$7:$D$156,$D29,$C$7:$C$156,"Winner",$B$7:$B$156,$B29)&gt;0),1,0)))</f>
        <v/>
      </c>
      <c r="F29" s="11">
        <f>IF(OR($A29="",NOT(ISNUMBER($B29))),"",COUNTIFS($D$7:$D$156,$D29,$B$7:$B$156,"&gt;0"))</f>
        <v/>
      </c>
      <c r="G29" s="11">
        <f>IF(OR(OR($A29="",NOT(ISNUMBER($B29))),$B$2="Not started"),"",IF($C29="Winner",Points!$B$3,ROUND(Points!$B$3*IF($F29&lt;=1,1,Points!$H$7+(1-Points!$H$7)*((($F29-$E29)*(($F29-$E29)+1)/2)^2-((($F29-$E29-$J29+1)-1)*($F29-$E29-$J29+1)/2)^2)/($J29*($F29-1)^3)),0)))</f>
        <v/>
      </c>
      <c r="H29" s="11">
        <f>IF($A29="","",IF($B$2="Final","Final",IF($B$2="In progress","Projected","Not started")))</f>
        <v/>
      </c>
      <c r="I29" s="11">
        <f>IF($A29="","",IF(COUNTIF(Players!$A$2:$A$500,$A29)=0,"Player is not on the Players tab",IF(COUNTIF($A$7:$A$156,$A29)&gt;1,"Player is listed twice",IF(NOT(ISNUMBER($B29)),"Enter a score",IF(COUNTIFS($D$7:$D$156,$D29,$C$7:$C$156,"Winner")&gt;1,"More than one "&amp;$D29&amp;" winner picked",IF(AND($C29="Winner",COUNTIFS($D$7:$D$156,$D29,$B$7:$B$156,"&lt;"&amp;$B29)&gt;0),"The winner doesn't have the best "&amp;$D29&amp;" score",IF(AND($B$2="Final",COUNTIFS($D$7:$D$156,$D29,$C$7:$C$156,"Winner")=0),"Final: pick the "&amp;$D29&amp;" winner",IF($B$2="Not started","Set Status to In progress to count points","OK"))))))))</f>
        <v/>
      </c>
      <c r="J29" s="11">
        <f>IF(OR($A29="",NOT(ISNUMBER($B29))),"",IF($C29="Winner",1,COUNTIFS($D$7:$D$156,$D29,$B$7:$B$156,$B29)-IF(AND(NOT($C29="Winner"),COUNTIFS($D$7:$D$156,$D29,$C$7:$C$156,"Winner",$B$7:$B$156,$B29)&gt;0),1,0)))</f>
        <v/>
      </c>
    </row>
    <row r="30">
      <c r="D30" s="11">
        <f>IF($A30="","",IFERROR(IF(VLOOKUP($A30,Players!$A$2:$B$500,2,FALSE)="","Open",VLOOKUP($A30,Players!$A$2:$B$500,2,FALSE)),"Open"))</f>
        <v/>
      </c>
      <c r="E30" s="11">
        <f>IF(OR($A30="",NOT(ISNUMBER($B30))),"",IF($C30="Winner",1,COUNTIFS($D$7:$D$156,$D30,$B$7:$B$156,"&lt;"&amp;$B30)+1+IF(AND(NOT($C30="Winner"),COUNTIFS($D$7:$D$156,$D30,$C$7:$C$156,"Winner",$B$7:$B$156,$B30)&gt;0),1,0)))</f>
        <v/>
      </c>
      <c r="F30" s="11">
        <f>IF(OR($A30="",NOT(ISNUMBER($B30))),"",COUNTIFS($D$7:$D$156,$D30,$B$7:$B$156,"&gt;0"))</f>
        <v/>
      </c>
      <c r="G30" s="11">
        <f>IF(OR(OR($A30="",NOT(ISNUMBER($B30))),$B$2="Not started"),"",IF($C30="Winner",Points!$B$3,ROUND(Points!$B$3*IF($F30&lt;=1,1,Points!$H$7+(1-Points!$H$7)*((($F30-$E30)*(($F30-$E30)+1)/2)^2-((($F30-$E30-$J30+1)-1)*($F30-$E30-$J30+1)/2)^2)/($J30*($F30-1)^3)),0)))</f>
        <v/>
      </c>
      <c r="H30" s="11">
        <f>IF($A30="","",IF($B$2="Final","Final",IF($B$2="In progress","Projected","Not started")))</f>
        <v/>
      </c>
      <c r="I30" s="11">
        <f>IF($A30="","",IF(COUNTIF(Players!$A$2:$A$500,$A30)=0,"Player is not on the Players tab",IF(COUNTIF($A$7:$A$156,$A30)&gt;1,"Player is listed twice",IF(NOT(ISNUMBER($B30)),"Enter a score",IF(COUNTIFS($D$7:$D$156,$D30,$C$7:$C$156,"Winner")&gt;1,"More than one "&amp;$D30&amp;" winner picked",IF(AND($C30="Winner",COUNTIFS($D$7:$D$156,$D30,$B$7:$B$156,"&lt;"&amp;$B30)&gt;0),"The winner doesn't have the best "&amp;$D30&amp;" score",IF(AND($B$2="Final",COUNTIFS($D$7:$D$156,$D30,$C$7:$C$156,"Winner")=0),"Final: pick the "&amp;$D30&amp;" winner",IF($B$2="Not started","Set Status to In progress to count points","OK"))))))))</f>
        <v/>
      </c>
      <c r="J30" s="11">
        <f>IF(OR($A30="",NOT(ISNUMBER($B30))),"",IF($C30="Winner",1,COUNTIFS($D$7:$D$156,$D30,$B$7:$B$156,$B30)-IF(AND(NOT($C30="Winner"),COUNTIFS($D$7:$D$156,$D30,$C$7:$C$156,"Winner",$B$7:$B$156,$B30)&gt;0),1,0)))</f>
        <v/>
      </c>
    </row>
    <row r="31">
      <c r="D31" s="11">
        <f>IF($A31="","",IFERROR(IF(VLOOKUP($A31,Players!$A$2:$B$500,2,FALSE)="","Open",VLOOKUP($A31,Players!$A$2:$B$500,2,FALSE)),"Open"))</f>
        <v/>
      </c>
      <c r="E31" s="11">
        <f>IF(OR($A31="",NOT(ISNUMBER($B31))),"",IF($C31="Winner",1,COUNTIFS($D$7:$D$156,$D31,$B$7:$B$156,"&lt;"&amp;$B31)+1+IF(AND(NOT($C31="Winner"),COUNTIFS($D$7:$D$156,$D31,$C$7:$C$156,"Winner",$B$7:$B$156,$B31)&gt;0),1,0)))</f>
        <v/>
      </c>
      <c r="F31" s="11">
        <f>IF(OR($A31="",NOT(ISNUMBER($B31))),"",COUNTIFS($D$7:$D$156,$D31,$B$7:$B$156,"&gt;0"))</f>
        <v/>
      </c>
      <c r="G31" s="11">
        <f>IF(OR(OR($A31="",NOT(ISNUMBER($B31))),$B$2="Not started"),"",IF($C31="Winner",Points!$B$3,ROUND(Points!$B$3*IF($F31&lt;=1,1,Points!$H$7+(1-Points!$H$7)*((($F31-$E31)*(($F31-$E31)+1)/2)^2-((($F31-$E31-$J31+1)-1)*($F31-$E31-$J31+1)/2)^2)/($J31*($F31-1)^3)),0)))</f>
        <v/>
      </c>
      <c r="H31" s="11">
        <f>IF($A31="","",IF($B$2="Final","Final",IF($B$2="In progress","Projected","Not started")))</f>
        <v/>
      </c>
      <c r="I31" s="11">
        <f>IF($A31="","",IF(COUNTIF(Players!$A$2:$A$500,$A31)=0,"Player is not on the Players tab",IF(COUNTIF($A$7:$A$156,$A31)&gt;1,"Player is listed twice",IF(NOT(ISNUMBER($B31)),"Enter a score",IF(COUNTIFS($D$7:$D$156,$D31,$C$7:$C$156,"Winner")&gt;1,"More than one "&amp;$D31&amp;" winner picked",IF(AND($C31="Winner",COUNTIFS($D$7:$D$156,$D31,$B$7:$B$156,"&lt;"&amp;$B31)&gt;0),"The winner doesn't have the best "&amp;$D31&amp;" score",IF(AND($B$2="Final",COUNTIFS($D$7:$D$156,$D31,$C$7:$C$156,"Winner")=0),"Final: pick the "&amp;$D31&amp;" winner",IF($B$2="Not started","Set Status to In progress to count points","OK"))))))))</f>
        <v/>
      </c>
      <c r="J31" s="11">
        <f>IF(OR($A31="",NOT(ISNUMBER($B31))),"",IF($C31="Winner",1,COUNTIFS($D$7:$D$156,$D31,$B$7:$B$156,$B31)-IF(AND(NOT($C31="Winner"),COUNTIFS($D$7:$D$156,$D31,$C$7:$C$156,"Winner",$B$7:$B$156,$B31)&gt;0),1,0)))</f>
        <v/>
      </c>
    </row>
    <row r="32">
      <c r="D32" s="11">
        <f>IF($A32="","",IFERROR(IF(VLOOKUP($A32,Players!$A$2:$B$500,2,FALSE)="","Open",VLOOKUP($A32,Players!$A$2:$B$500,2,FALSE)),"Open"))</f>
        <v/>
      </c>
      <c r="E32" s="11">
        <f>IF(OR($A32="",NOT(ISNUMBER($B32))),"",IF($C32="Winner",1,COUNTIFS($D$7:$D$156,$D32,$B$7:$B$156,"&lt;"&amp;$B32)+1+IF(AND(NOT($C32="Winner"),COUNTIFS($D$7:$D$156,$D32,$C$7:$C$156,"Winner",$B$7:$B$156,$B32)&gt;0),1,0)))</f>
        <v/>
      </c>
      <c r="F32" s="11">
        <f>IF(OR($A32="",NOT(ISNUMBER($B32))),"",COUNTIFS($D$7:$D$156,$D32,$B$7:$B$156,"&gt;0"))</f>
        <v/>
      </c>
      <c r="G32" s="11">
        <f>IF(OR(OR($A32="",NOT(ISNUMBER($B32))),$B$2="Not started"),"",IF($C32="Winner",Points!$B$3,ROUND(Points!$B$3*IF($F32&lt;=1,1,Points!$H$7+(1-Points!$H$7)*((($F32-$E32)*(($F32-$E32)+1)/2)^2-((($F32-$E32-$J32+1)-1)*($F32-$E32-$J32+1)/2)^2)/($J32*($F32-1)^3)),0)))</f>
        <v/>
      </c>
      <c r="H32" s="11">
        <f>IF($A32="","",IF($B$2="Final","Final",IF($B$2="In progress","Projected","Not started")))</f>
        <v/>
      </c>
      <c r="I32" s="11">
        <f>IF($A32="","",IF(COUNTIF(Players!$A$2:$A$500,$A32)=0,"Player is not on the Players tab",IF(COUNTIF($A$7:$A$156,$A32)&gt;1,"Player is listed twice",IF(NOT(ISNUMBER($B32)),"Enter a score",IF(COUNTIFS($D$7:$D$156,$D32,$C$7:$C$156,"Winner")&gt;1,"More than one "&amp;$D32&amp;" winner picked",IF(AND($C32="Winner",COUNTIFS($D$7:$D$156,$D32,$B$7:$B$156,"&lt;"&amp;$B32)&gt;0),"The winner doesn't have the best "&amp;$D32&amp;" score",IF(AND($B$2="Final",COUNTIFS($D$7:$D$156,$D32,$C$7:$C$156,"Winner")=0),"Final: pick the "&amp;$D32&amp;" winner",IF($B$2="Not started","Set Status to In progress to count points","OK"))))))))</f>
        <v/>
      </c>
      <c r="J32" s="11">
        <f>IF(OR($A32="",NOT(ISNUMBER($B32))),"",IF($C32="Winner",1,COUNTIFS($D$7:$D$156,$D32,$B$7:$B$156,$B32)-IF(AND(NOT($C32="Winner"),COUNTIFS($D$7:$D$156,$D32,$C$7:$C$156,"Winner",$B$7:$B$156,$B32)&gt;0),1,0)))</f>
        <v/>
      </c>
    </row>
    <row r="33">
      <c r="D33" s="11">
        <f>IF($A33="","",IFERROR(IF(VLOOKUP($A33,Players!$A$2:$B$500,2,FALSE)="","Open",VLOOKUP($A33,Players!$A$2:$B$500,2,FALSE)),"Open"))</f>
        <v/>
      </c>
      <c r="E33" s="11">
        <f>IF(OR($A33="",NOT(ISNUMBER($B33))),"",IF($C33="Winner",1,COUNTIFS($D$7:$D$156,$D33,$B$7:$B$156,"&lt;"&amp;$B33)+1+IF(AND(NOT($C33="Winner"),COUNTIFS($D$7:$D$156,$D33,$C$7:$C$156,"Winner",$B$7:$B$156,$B33)&gt;0),1,0)))</f>
        <v/>
      </c>
      <c r="F33" s="11">
        <f>IF(OR($A33="",NOT(ISNUMBER($B33))),"",COUNTIFS($D$7:$D$156,$D33,$B$7:$B$156,"&gt;0"))</f>
        <v/>
      </c>
      <c r="G33" s="11">
        <f>IF(OR(OR($A33="",NOT(ISNUMBER($B33))),$B$2="Not started"),"",IF($C33="Winner",Points!$B$3,ROUND(Points!$B$3*IF($F33&lt;=1,1,Points!$H$7+(1-Points!$H$7)*((($F33-$E33)*(($F33-$E33)+1)/2)^2-((($F33-$E33-$J33+1)-1)*($F33-$E33-$J33+1)/2)^2)/($J33*($F33-1)^3)),0)))</f>
        <v/>
      </c>
      <c r="H33" s="11">
        <f>IF($A33="","",IF($B$2="Final","Final",IF($B$2="In progress","Projected","Not started")))</f>
        <v/>
      </c>
      <c r="I33" s="11">
        <f>IF($A33="","",IF(COUNTIF(Players!$A$2:$A$500,$A33)=0,"Player is not on the Players tab",IF(COUNTIF($A$7:$A$156,$A33)&gt;1,"Player is listed twice",IF(NOT(ISNUMBER($B33)),"Enter a score",IF(COUNTIFS($D$7:$D$156,$D33,$C$7:$C$156,"Winner")&gt;1,"More than one "&amp;$D33&amp;" winner picked",IF(AND($C33="Winner",COUNTIFS($D$7:$D$156,$D33,$B$7:$B$156,"&lt;"&amp;$B33)&gt;0),"The winner doesn't have the best "&amp;$D33&amp;" score",IF(AND($B$2="Final",COUNTIFS($D$7:$D$156,$D33,$C$7:$C$156,"Winner")=0),"Final: pick the "&amp;$D33&amp;" winner",IF($B$2="Not started","Set Status to In progress to count points","OK"))))))))</f>
        <v/>
      </c>
      <c r="J33" s="11">
        <f>IF(OR($A33="",NOT(ISNUMBER($B33))),"",IF($C33="Winner",1,COUNTIFS($D$7:$D$156,$D33,$B$7:$B$156,$B33)-IF(AND(NOT($C33="Winner"),COUNTIFS($D$7:$D$156,$D33,$C$7:$C$156,"Winner",$B$7:$B$156,$B33)&gt;0),1,0)))</f>
        <v/>
      </c>
    </row>
    <row r="34">
      <c r="D34" s="11">
        <f>IF($A34="","",IFERROR(IF(VLOOKUP($A34,Players!$A$2:$B$500,2,FALSE)="","Open",VLOOKUP($A34,Players!$A$2:$B$500,2,FALSE)),"Open"))</f>
        <v/>
      </c>
      <c r="E34" s="11">
        <f>IF(OR($A34="",NOT(ISNUMBER($B34))),"",IF($C34="Winner",1,COUNTIFS($D$7:$D$156,$D34,$B$7:$B$156,"&lt;"&amp;$B34)+1+IF(AND(NOT($C34="Winner"),COUNTIFS($D$7:$D$156,$D34,$C$7:$C$156,"Winner",$B$7:$B$156,$B34)&gt;0),1,0)))</f>
        <v/>
      </c>
      <c r="F34" s="11">
        <f>IF(OR($A34="",NOT(ISNUMBER($B34))),"",COUNTIFS($D$7:$D$156,$D34,$B$7:$B$156,"&gt;0"))</f>
        <v/>
      </c>
      <c r="G34" s="11">
        <f>IF(OR(OR($A34="",NOT(ISNUMBER($B34))),$B$2="Not started"),"",IF($C34="Winner",Points!$B$3,ROUND(Points!$B$3*IF($F34&lt;=1,1,Points!$H$7+(1-Points!$H$7)*((($F34-$E34)*(($F34-$E34)+1)/2)^2-((($F34-$E34-$J34+1)-1)*($F34-$E34-$J34+1)/2)^2)/($J34*($F34-1)^3)),0)))</f>
        <v/>
      </c>
      <c r="H34" s="11">
        <f>IF($A34="","",IF($B$2="Final","Final",IF($B$2="In progress","Projected","Not started")))</f>
        <v/>
      </c>
      <c r="I34" s="11">
        <f>IF($A34="","",IF(COUNTIF(Players!$A$2:$A$500,$A34)=0,"Player is not on the Players tab",IF(COUNTIF($A$7:$A$156,$A34)&gt;1,"Player is listed twice",IF(NOT(ISNUMBER($B34)),"Enter a score",IF(COUNTIFS($D$7:$D$156,$D34,$C$7:$C$156,"Winner")&gt;1,"More than one "&amp;$D34&amp;" winner picked",IF(AND($C34="Winner",COUNTIFS($D$7:$D$156,$D34,$B$7:$B$156,"&lt;"&amp;$B34)&gt;0),"The winner doesn't have the best "&amp;$D34&amp;" score",IF(AND($B$2="Final",COUNTIFS($D$7:$D$156,$D34,$C$7:$C$156,"Winner")=0),"Final: pick the "&amp;$D34&amp;" winner",IF($B$2="Not started","Set Status to In progress to count points","OK"))))))))</f>
        <v/>
      </c>
      <c r="J34" s="11">
        <f>IF(OR($A34="",NOT(ISNUMBER($B34))),"",IF($C34="Winner",1,COUNTIFS($D$7:$D$156,$D34,$B$7:$B$156,$B34)-IF(AND(NOT($C34="Winner"),COUNTIFS($D$7:$D$156,$D34,$C$7:$C$156,"Winner",$B$7:$B$156,$B34)&gt;0),1,0)))</f>
        <v/>
      </c>
    </row>
    <row r="35">
      <c r="D35" s="11">
        <f>IF($A35="","",IFERROR(IF(VLOOKUP($A35,Players!$A$2:$B$500,2,FALSE)="","Open",VLOOKUP($A35,Players!$A$2:$B$500,2,FALSE)),"Open"))</f>
        <v/>
      </c>
      <c r="E35" s="11">
        <f>IF(OR($A35="",NOT(ISNUMBER($B35))),"",IF($C35="Winner",1,COUNTIFS($D$7:$D$156,$D35,$B$7:$B$156,"&lt;"&amp;$B35)+1+IF(AND(NOT($C35="Winner"),COUNTIFS($D$7:$D$156,$D35,$C$7:$C$156,"Winner",$B$7:$B$156,$B35)&gt;0),1,0)))</f>
        <v/>
      </c>
      <c r="F35" s="11">
        <f>IF(OR($A35="",NOT(ISNUMBER($B35))),"",COUNTIFS($D$7:$D$156,$D35,$B$7:$B$156,"&gt;0"))</f>
        <v/>
      </c>
      <c r="G35" s="11">
        <f>IF(OR(OR($A35="",NOT(ISNUMBER($B35))),$B$2="Not started"),"",IF($C35="Winner",Points!$B$3,ROUND(Points!$B$3*IF($F35&lt;=1,1,Points!$H$7+(1-Points!$H$7)*((($F35-$E35)*(($F35-$E35)+1)/2)^2-((($F35-$E35-$J35+1)-1)*($F35-$E35-$J35+1)/2)^2)/($J35*($F35-1)^3)),0)))</f>
        <v/>
      </c>
      <c r="H35" s="11">
        <f>IF($A35="","",IF($B$2="Final","Final",IF($B$2="In progress","Projected","Not started")))</f>
        <v/>
      </c>
      <c r="I35" s="11">
        <f>IF($A35="","",IF(COUNTIF(Players!$A$2:$A$500,$A35)=0,"Player is not on the Players tab",IF(COUNTIF($A$7:$A$156,$A35)&gt;1,"Player is listed twice",IF(NOT(ISNUMBER($B35)),"Enter a score",IF(COUNTIFS($D$7:$D$156,$D35,$C$7:$C$156,"Winner")&gt;1,"More than one "&amp;$D35&amp;" winner picked",IF(AND($C35="Winner",COUNTIFS($D$7:$D$156,$D35,$B$7:$B$156,"&lt;"&amp;$B35)&gt;0),"The winner doesn't have the best "&amp;$D35&amp;" score",IF(AND($B$2="Final",COUNTIFS($D$7:$D$156,$D35,$C$7:$C$156,"Winner")=0),"Final: pick the "&amp;$D35&amp;" winner",IF($B$2="Not started","Set Status to In progress to count points","OK"))))))))</f>
        <v/>
      </c>
      <c r="J35" s="11">
        <f>IF(OR($A35="",NOT(ISNUMBER($B35))),"",IF($C35="Winner",1,COUNTIFS($D$7:$D$156,$D35,$B$7:$B$156,$B35)-IF(AND(NOT($C35="Winner"),COUNTIFS($D$7:$D$156,$D35,$C$7:$C$156,"Winner",$B$7:$B$156,$B35)&gt;0),1,0)))</f>
        <v/>
      </c>
    </row>
    <row r="36">
      <c r="D36" s="11">
        <f>IF($A36="","",IFERROR(IF(VLOOKUP($A36,Players!$A$2:$B$500,2,FALSE)="","Open",VLOOKUP($A36,Players!$A$2:$B$500,2,FALSE)),"Open"))</f>
        <v/>
      </c>
      <c r="E36" s="11">
        <f>IF(OR($A36="",NOT(ISNUMBER($B36))),"",IF($C36="Winner",1,COUNTIFS($D$7:$D$156,$D36,$B$7:$B$156,"&lt;"&amp;$B36)+1+IF(AND(NOT($C36="Winner"),COUNTIFS($D$7:$D$156,$D36,$C$7:$C$156,"Winner",$B$7:$B$156,$B36)&gt;0),1,0)))</f>
        <v/>
      </c>
      <c r="F36" s="11">
        <f>IF(OR($A36="",NOT(ISNUMBER($B36))),"",COUNTIFS($D$7:$D$156,$D36,$B$7:$B$156,"&gt;0"))</f>
        <v/>
      </c>
      <c r="G36" s="11">
        <f>IF(OR(OR($A36="",NOT(ISNUMBER($B36))),$B$2="Not started"),"",IF($C36="Winner",Points!$B$3,ROUND(Points!$B$3*IF($F36&lt;=1,1,Points!$H$7+(1-Points!$H$7)*((($F36-$E36)*(($F36-$E36)+1)/2)^2-((($F36-$E36-$J36+1)-1)*($F36-$E36-$J36+1)/2)^2)/($J36*($F36-1)^3)),0)))</f>
        <v/>
      </c>
      <c r="H36" s="11">
        <f>IF($A36="","",IF($B$2="Final","Final",IF($B$2="In progress","Projected","Not started")))</f>
        <v/>
      </c>
      <c r="I36" s="11">
        <f>IF($A36="","",IF(COUNTIF(Players!$A$2:$A$500,$A36)=0,"Player is not on the Players tab",IF(COUNTIF($A$7:$A$156,$A36)&gt;1,"Player is listed twice",IF(NOT(ISNUMBER($B36)),"Enter a score",IF(COUNTIFS($D$7:$D$156,$D36,$C$7:$C$156,"Winner")&gt;1,"More than one "&amp;$D36&amp;" winner picked",IF(AND($C36="Winner",COUNTIFS($D$7:$D$156,$D36,$B$7:$B$156,"&lt;"&amp;$B36)&gt;0),"The winner doesn't have the best "&amp;$D36&amp;" score",IF(AND($B$2="Final",COUNTIFS($D$7:$D$156,$D36,$C$7:$C$156,"Winner")=0),"Final: pick the "&amp;$D36&amp;" winner",IF($B$2="Not started","Set Status to In progress to count points","OK"))))))))</f>
        <v/>
      </c>
      <c r="J36" s="11">
        <f>IF(OR($A36="",NOT(ISNUMBER($B36))),"",IF($C36="Winner",1,COUNTIFS($D$7:$D$156,$D36,$B$7:$B$156,$B36)-IF(AND(NOT($C36="Winner"),COUNTIFS($D$7:$D$156,$D36,$C$7:$C$156,"Winner",$B$7:$B$156,$B36)&gt;0),1,0)))</f>
        <v/>
      </c>
    </row>
    <row r="37">
      <c r="D37" s="11">
        <f>IF($A37="","",IFERROR(IF(VLOOKUP($A37,Players!$A$2:$B$500,2,FALSE)="","Open",VLOOKUP($A37,Players!$A$2:$B$500,2,FALSE)),"Open"))</f>
        <v/>
      </c>
      <c r="E37" s="11">
        <f>IF(OR($A37="",NOT(ISNUMBER($B37))),"",IF($C37="Winner",1,COUNTIFS($D$7:$D$156,$D37,$B$7:$B$156,"&lt;"&amp;$B37)+1+IF(AND(NOT($C37="Winner"),COUNTIFS($D$7:$D$156,$D37,$C$7:$C$156,"Winner",$B$7:$B$156,$B37)&gt;0),1,0)))</f>
        <v/>
      </c>
      <c r="F37" s="11">
        <f>IF(OR($A37="",NOT(ISNUMBER($B37))),"",COUNTIFS($D$7:$D$156,$D37,$B$7:$B$156,"&gt;0"))</f>
        <v/>
      </c>
      <c r="G37" s="11">
        <f>IF(OR(OR($A37="",NOT(ISNUMBER($B37))),$B$2="Not started"),"",IF($C37="Winner",Points!$B$3,ROUND(Points!$B$3*IF($F37&lt;=1,1,Points!$H$7+(1-Points!$H$7)*((($F37-$E37)*(($F37-$E37)+1)/2)^2-((($F37-$E37-$J37+1)-1)*($F37-$E37-$J37+1)/2)^2)/($J37*($F37-1)^3)),0)))</f>
        <v/>
      </c>
      <c r="H37" s="11">
        <f>IF($A37="","",IF($B$2="Final","Final",IF($B$2="In progress","Projected","Not started")))</f>
        <v/>
      </c>
      <c r="I37" s="11">
        <f>IF($A37="","",IF(COUNTIF(Players!$A$2:$A$500,$A37)=0,"Player is not on the Players tab",IF(COUNTIF($A$7:$A$156,$A37)&gt;1,"Player is listed twice",IF(NOT(ISNUMBER($B37)),"Enter a score",IF(COUNTIFS($D$7:$D$156,$D37,$C$7:$C$156,"Winner")&gt;1,"More than one "&amp;$D37&amp;" winner picked",IF(AND($C37="Winner",COUNTIFS($D$7:$D$156,$D37,$B$7:$B$156,"&lt;"&amp;$B37)&gt;0),"The winner doesn't have the best "&amp;$D37&amp;" score",IF(AND($B$2="Final",COUNTIFS($D$7:$D$156,$D37,$C$7:$C$156,"Winner")=0),"Final: pick the "&amp;$D37&amp;" winner",IF($B$2="Not started","Set Status to In progress to count points","OK"))))))))</f>
        <v/>
      </c>
      <c r="J37" s="11">
        <f>IF(OR($A37="",NOT(ISNUMBER($B37))),"",IF($C37="Winner",1,COUNTIFS($D$7:$D$156,$D37,$B$7:$B$156,$B37)-IF(AND(NOT($C37="Winner"),COUNTIFS($D$7:$D$156,$D37,$C$7:$C$156,"Winner",$B$7:$B$156,$B37)&gt;0),1,0)))</f>
        <v/>
      </c>
    </row>
    <row r="38">
      <c r="D38" s="11">
        <f>IF($A38="","",IFERROR(IF(VLOOKUP($A38,Players!$A$2:$B$500,2,FALSE)="","Open",VLOOKUP($A38,Players!$A$2:$B$500,2,FALSE)),"Open"))</f>
        <v/>
      </c>
      <c r="E38" s="11">
        <f>IF(OR($A38="",NOT(ISNUMBER($B38))),"",IF($C38="Winner",1,COUNTIFS($D$7:$D$156,$D38,$B$7:$B$156,"&lt;"&amp;$B38)+1+IF(AND(NOT($C38="Winner"),COUNTIFS($D$7:$D$156,$D38,$C$7:$C$156,"Winner",$B$7:$B$156,$B38)&gt;0),1,0)))</f>
        <v/>
      </c>
      <c r="F38" s="11">
        <f>IF(OR($A38="",NOT(ISNUMBER($B38))),"",COUNTIFS($D$7:$D$156,$D38,$B$7:$B$156,"&gt;0"))</f>
        <v/>
      </c>
      <c r="G38" s="11">
        <f>IF(OR(OR($A38="",NOT(ISNUMBER($B38))),$B$2="Not started"),"",IF($C38="Winner",Points!$B$3,ROUND(Points!$B$3*IF($F38&lt;=1,1,Points!$H$7+(1-Points!$H$7)*((($F38-$E38)*(($F38-$E38)+1)/2)^2-((($F38-$E38-$J38+1)-1)*($F38-$E38-$J38+1)/2)^2)/($J38*($F38-1)^3)),0)))</f>
        <v/>
      </c>
      <c r="H38" s="11">
        <f>IF($A38="","",IF($B$2="Final","Final",IF($B$2="In progress","Projected","Not started")))</f>
        <v/>
      </c>
      <c r="I38" s="11">
        <f>IF($A38="","",IF(COUNTIF(Players!$A$2:$A$500,$A38)=0,"Player is not on the Players tab",IF(COUNTIF($A$7:$A$156,$A38)&gt;1,"Player is listed twice",IF(NOT(ISNUMBER($B38)),"Enter a score",IF(COUNTIFS($D$7:$D$156,$D38,$C$7:$C$156,"Winner")&gt;1,"More than one "&amp;$D38&amp;" winner picked",IF(AND($C38="Winner",COUNTIFS($D$7:$D$156,$D38,$B$7:$B$156,"&lt;"&amp;$B38)&gt;0),"The winner doesn't have the best "&amp;$D38&amp;" score",IF(AND($B$2="Final",COUNTIFS($D$7:$D$156,$D38,$C$7:$C$156,"Winner")=0),"Final: pick the "&amp;$D38&amp;" winner",IF($B$2="Not started","Set Status to In progress to count points","OK"))))))))</f>
        <v/>
      </c>
      <c r="J38" s="11">
        <f>IF(OR($A38="",NOT(ISNUMBER($B38))),"",IF($C38="Winner",1,COUNTIFS($D$7:$D$156,$D38,$B$7:$B$156,$B38)-IF(AND(NOT($C38="Winner"),COUNTIFS($D$7:$D$156,$D38,$C$7:$C$156,"Winner",$B$7:$B$156,$B38)&gt;0),1,0)))</f>
        <v/>
      </c>
    </row>
    <row r="39">
      <c r="D39" s="11">
        <f>IF($A39="","",IFERROR(IF(VLOOKUP($A39,Players!$A$2:$B$500,2,FALSE)="","Open",VLOOKUP($A39,Players!$A$2:$B$500,2,FALSE)),"Open"))</f>
        <v/>
      </c>
      <c r="E39" s="11">
        <f>IF(OR($A39="",NOT(ISNUMBER($B39))),"",IF($C39="Winner",1,COUNTIFS($D$7:$D$156,$D39,$B$7:$B$156,"&lt;"&amp;$B39)+1+IF(AND(NOT($C39="Winner"),COUNTIFS($D$7:$D$156,$D39,$C$7:$C$156,"Winner",$B$7:$B$156,$B39)&gt;0),1,0)))</f>
        <v/>
      </c>
      <c r="F39" s="11">
        <f>IF(OR($A39="",NOT(ISNUMBER($B39))),"",COUNTIFS($D$7:$D$156,$D39,$B$7:$B$156,"&gt;0"))</f>
        <v/>
      </c>
      <c r="G39" s="11">
        <f>IF(OR(OR($A39="",NOT(ISNUMBER($B39))),$B$2="Not started"),"",IF($C39="Winner",Points!$B$3,ROUND(Points!$B$3*IF($F39&lt;=1,1,Points!$H$7+(1-Points!$H$7)*((($F39-$E39)*(($F39-$E39)+1)/2)^2-((($F39-$E39-$J39+1)-1)*($F39-$E39-$J39+1)/2)^2)/($J39*($F39-1)^3)),0)))</f>
        <v/>
      </c>
      <c r="H39" s="11">
        <f>IF($A39="","",IF($B$2="Final","Final",IF($B$2="In progress","Projected","Not started")))</f>
        <v/>
      </c>
      <c r="I39" s="11">
        <f>IF($A39="","",IF(COUNTIF(Players!$A$2:$A$500,$A39)=0,"Player is not on the Players tab",IF(COUNTIF($A$7:$A$156,$A39)&gt;1,"Player is listed twice",IF(NOT(ISNUMBER($B39)),"Enter a score",IF(COUNTIFS($D$7:$D$156,$D39,$C$7:$C$156,"Winner")&gt;1,"More than one "&amp;$D39&amp;" winner picked",IF(AND($C39="Winner",COUNTIFS($D$7:$D$156,$D39,$B$7:$B$156,"&lt;"&amp;$B39)&gt;0),"The winner doesn't have the best "&amp;$D39&amp;" score",IF(AND($B$2="Final",COUNTIFS($D$7:$D$156,$D39,$C$7:$C$156,"Winner")=0),"Final: pick the "&amp;$D39&amp;" winner",IF($B$2="Not started","Set Status to In progress to count points","OK"))))))))</f>
        <v/>
      </c>
      <c r="J39" s="11">
        <f>IF(OR($A39="",NOT(ISNUMBER($B39))),"",IF($C39="Winner",1,COUNTIFS($D$7:$D$156,$D39,$B$7:$B$156,$B39)-IF(AND(NOT($C39="Winner"),COUNTIFS($D$7:$D$156,$D39,$C$7:$C$156,"Winner",$B$7:$B$156,$B39)&gt;0),1,0)))</f>
        <v/>
      </c>
    </row>
    <row r="40">
      <c r="D40" s="11">
        <f>IF($A40="","",IFERROR(IF(VLOOKUP($A40,Players!$A$2:$B$500,2,FALSE)="","Open",VLOOKUP($A40,Players!$A$2:$B$500,2,FALSE)),"Open"))</f>
        <v/>
      </c>
      <c r="E40" s="11">
        <f>IF(OR($A40="",NOT(ISNUMBER($B40))),"",IF($C40="Winner",1,COUNTIFS($D$7:$D$156,$D40,$B$7:$B$156,"&lt;"&amp;$B40)+1+IF(AND(NOT($C40="Winner"),COUNTIFS($D$7:$D$156,$D40,$C$7:$C$156,"Winner",$B$7:$B$156,$B40)&gt;0),1,0)))</f>
        <v/>
      </c>
      <c r="F40" s="11">
        <f>IF(OR($A40="",NOT(ISNUMBER($B40))),"",COUNTIFS($D$7:$D$156,$D40,$B$7:$B$156,"&gt;0"))</f>
        <v/>
      </c>
      <c r="G40" s="11">
        <f>IF(OR(OR($A40="",NOT(ISNUMBER($B40))),$B$2="Not started"),"",IF($C40="Winner",Points!$B$3,ROUND(Points!$B$3*IF($F40&lt;=1,1,Points!$H$7+(1-Points!$H$7)*((($F40-$E40)*(($F40-$E40)+1)/2)^2-((($F40-$E40-$J40+1)-1)*($F40-$E40-$J40+1)/2)^2)/($J40*($F40-1)^3)),0)))</f>
        <v/>
      </c>
      <c r="H40" s="11">
        <f>IF($A40="","",IF($B$2="Final","Final",IF($B$2="In progress","Projected","Not started")))</f>
        <v/>
      </c>
      <c r="I40" s="11">
        <f>IF($A40="","",IF(COUNTIF(Players!$A$2:$A$500,$A40)=0,"Player is not on the Players tab",IF(COUNTIF($A$7:$A$156,$A40)&gt;1,"Player is listed twice",IF(NOT(ISNUMBER($B40)),"Enter a score",IF(COUNTIFS($D$7:$D$156,$D40,$C$7:$C$156,"Winner")&gt;1,"More than one "&amp;$D40&amp;" winner picked",IF(AND($C40="Winner",COUNTIFS($D$7:$D$156,$D40,$B$7:$B$156,"&lt;"&amp;$B40)&gt;0),"The winner doesn't have the best "&amp;$D40&amp;" score",IF(AND($B$2="Final",COUNTIFS($D$7:$D$156,$D40,$C$7:$C$156,"Winner")=0),"Final: pick the "&amp;$D40&amp;" winner",IF($B$2="Not started","Set Status to In progress to count points","OK"))))))))</f>
        <v/>
      </c>
      <c r="J40" s="11">
        <f>IF(OR($A40="",NOT(ISNUMBER($B40))),"",IF($C40="Winner",1,COUNTIFS($D$7:$D$156,$D40,$B$7:$B$156,$B40)-IF(AND(NOT($C40="Winner"),COUNTIFS($D$7:$D$156,$D40,$C$7:$C$156,"Winner",$B$7:$B$156,$B40)&gt;0),1,0)))</f>
        <v/>
      </c>
    </row>
    <row r="41">
      <c r="D41" s="11">
        <f>IF($A41="","",IFERROR(IF(VLOOKUP($A41,Players!$A$2:$B$500,2,FALSE)="","Open",VLOOKUP($A41,Players!$A$2:$B$500,2,FALSE)),"Open"))</f>
        <v/>
      </c>
      <c r="E41" s="11">
        <f>IF(OR($A41="",NOT(ISNUMBER($B41))),"",IF($C41="Winner",1,COUNTIFS($D$7:$D$156,$D41,$B$7:$B$156,"&lt;"&amp;$B41)+1+IF(AND(NOT($C41="Winner"),COUNTIFS($D$7:$D$156,$D41,$C$7:$C$156,"Winner",$B$7:$B$156,$B41)&gt;0),1,0)))</f>
        <v/>
      </c>
      <c r="F41" s="11">
        <f>IF(OR($A41="",NOT(ISNUMBER($B41))),"",COUNTIFS($D$7:$D$156,$D41,$B$7:$B$156,"&gt;0"))</f>
        <v/>
      </c>
      <c r="G41" s="11">
        <f>IF(OR(OR($A41="",NOT(ISNUMBER($B41))),$B$2="Not started"),"",IF($C41="Winner",Points!$B$3,ROUND(Points!$B$3*IF($F41&lt;=1,1,Points!$H$7+(1-Points!$H$7)*((($F41-$E41)*(($F41-$E41)+1)/2)^2-((($F41-$E41-$J41+1)-1)*($F41-$E41-$J41+1)/2)^2)/($J41*($F41-1)^3)),0)))</f>
        <v/>
      </c>
      <c r="H41" s="11">
        <f>IF($A41="","",IF($B$2="Final","Final",IF($B$2="In progress","Projected","Not started")))</f>
        <v/>
      </c>
      <c r="I41" s="11">
        <f>IF($A41="","",IF(COUNTIF(Players!$A$2:$A$500,$A41)=0,"Player is not on the Players tab",IF(COUNTIF($A$7:$A$156,$A41)&gt;1,"Player is listed twice",IF(NOT(ISNUMBER($B41)),"Enter a score",IF(COUNTIFS($D$7:$D$156,$D41,$C$7:$C$156,"Winner")&gt;1,"More than one "&amp;$D41&amp;" winner picked",IF(AND($C41="Winner",COUNTIFS($D$7:$D$156,$D41,$B$7:$B$156,"&lt;"&amp;$B41)&gt;0),"The winner doesn't have the best "&amp;$D41&amp;" score",IF(AND($B$2="Final",COUNTIFS($D$7:$D$156,$D41,$C$7:$C$156,"Winner")=0),"Final: pick the "&amp;$D41&amp;" winner",IF($B$2="Not started","Set Status to In progress to count points","OK"))))))))</f>
        <v/>
      </c>
      <c r="J41" s="11">
        <f>IF(OR($A41="",NOT(ISNUMBER($B41))),"",IF($C41="Winner",1,COUNTIFS($D$7:$D$156,$D41,$B$7:$B$156,$B41)-IF(AND(NOT($C41="Winner"),COUNTIFS($D$7:$D$156,$D41,$C$7:$C$156,"Winner",$B$7:$B$156,$B41)&gt;0),1,0)))</f>
        <v/>
      </c>
    </row>
    <row r="42">
      <c r="D42" s="11">
        <f>IF($A42="","",IFERROR(IF(VLOOKUP($A42,Players!$A$2:$B$500,2,FALSE)="","Open",VLOOKUP($A42,Players!$A$2:$B$500,2,FALSE)),"Open"))</f>
        <v/>
      </c>
      <c r="E42" s="11">
        <f>IF(OR($A42="",NOT(ISNUMBER($B42))),"",IF($C42="Winner",1,COUNTIFS($D$7:$D$156,$D42,$B$7:$B$156,"&lt;"&amp;$B42)+1+IF(AND(NOT($C42="Winner"),COUNTIFS($D$7:$D$156,$D42,$C$7:$C$156,"Winner",$B$7:$B$156,$B42)&gt;0),1,0)))</f>
        <v/>
      </c>
      <c r="F42" s="11">
        <f>IF(OR($A42="",NOT(ISNUMBER($B42))),"",COUNTIFS($D$7:$D$156,$D42,$B$7:$B$156,"&gt;0"))</f>
        <v/>
      </c>
      <c r="G42" s="11">
        <f>IF(OR(OR($A42="",NOT(ISNUMBER($B42))),$B$2="Not started"),"",IF($C42="Winner",Points!$B$3,ROUND(Points!$B$3*IF($F42&lt;=1,1,Points!$H$7+(1-Points!$H$7)*((($F42-$E42)*(($F42-$E42)+1)/2)^2-((($F42-$E42-$J42+1)-1)*($F42-$E42-$J42+1)/2)^2)/($J42*($F42-1)^3)),0)))</f>
        <v/>
      </c>
      <c r="H42" s="11">
        <f>IF($A42="","",IF($B$2="Final","Final",IF($B$2="In progress","Projected","Not started")))</f>
        <v/>
      </c>
      <c r="I42" s="11">
        <f>IF($A42="","",IF(COUNTIF(Players!$A$2:$A$500,$A42)=0,"Player is not on the Players tab",IF(COUNTIF($A$7:$A$156,$A42)&gt;1,"Player is listed twice",IF(NOT(ISNUMBER($B42)),"Enter a score",IF(COUNTIFS($D$7:$D$156,$D42,$C$7:$C$156,"Winner")&gt;1,"More than one "&amp;$D42&amp;" winner picked",IF(AND($C42="Winner",COUNTIFS($D$7:$D$156,$D42,$B$7:$B$156,"&lt;"&amp;$B42)&gt;0),"The winner doesn't have the best "&amp;$D42&amp;" score",IF(AND($B$2="Final",COUNTIFS($D$7:$D$156,$D42,$C$7:$C$156,"Winner")=0),"Final: pick the "&amp;$D42&amp;" winner",IF($B$2="Not started","Set Status to In progress to count points","OK"))))))))</f>
        <v/>
      </c>
      <c r="J42" s="11">
        <f>IF(OR($A42="",NOT(ISNUMBER($B42))),"",IF($C42="Winner",1,COUNTIFS($D$7:$D$156,$D42,$B$7:$B$156,$B42)-IF(AND(NOT($C42="Winner"),COUNTIFS($D$7:$D$156,$D42,$C$7:$C$156,"Winner",$B$7:$B$156,$B42)&gt;0),1,0)))</f>
        <v/>
      </c>
    </row>
    <row r="43">
      <c r="D43" s="11">
        <f>IF($A43="","",IFERROR(IF(VLOOKUP($A43,Players!$A$2:$B$500,2,FALSE)="","Open",VLOOKUP($A43,Players!$A$2:$B$500,2,FALSE)),"Open"))</f>
        <v/>
      </c>
      <c r="E43" s="11">
        <f>IF(OR($A43="",NOT(ISNUMBER($B43))),"",IF($C43="Winner",1,COUNTIFS($D$7:$D$156,$D43,$B$7:$B$156,"&lt;"&amp;$B43)+1+IF(AND(NOT($C43="Winner"),COUNTIFS($D$7:$D$156,$D43,$C$7:$C$156,"Winner",$B$7:$B$156,$B43)&gt;0),1,0)))</f>
        <v/>
      </c>
      <c r="F43" s="11">
        <f>IF(OR($A43="",NOT(ISNUMBER($B43))),"",COUNTIFS($D$7:$D$156,$D43,$B$7:$B$156,"&gt;0"))</f>
        <v/>
      </c>
      <c r="G43" s="11">
        <f>IF(OR(OR($A43="",NOT(ISNUMBER($B43))),$B$2="Not started"),"",IF($C43="Winner",Points!$B$3,ROUND(Points!$B$3*IF($F43&lt;=1,1,Points!$H$7+(1-Points!$H$7)*((($F43-$E43)*(($F43-$E43)+1)/2)^2-((($F43-$E43-$J43+1)-1)*($F43-$E43-$J43+1)/2)^2)/($J43*($F43-1)^3)),0)))</f>
        <v/>
      </c>
      <c r="H43" s="11">
        <f>IF($A43="","",IF($B$2="Final","Final",IF($B$2="In progress","Projected","Not started")))</f>
        <v/>
      </c>
      <c r="I43" s="11">
        <f>IF($A43="","",IF(COUNTIF(Players!$A$2:$A$500,$A43)=0,"Player is not on the Players tab",IF(COUNTIF($A$7:$A$156,$A43)&gt;1,"Player is listed twice",IF(NOT(ISNUMBER($B43)),"Enter a score",IF(COUNTIFS($D$7:$D$156,$D43,$C$7:$C$156,"Winner")&gt;1,"More than one "&amp;$D43&amp;" winner picked",IF(AND($C43="Winner",COUNTIFS($D$7:$D$156,$D43,$B$7:$B$156,"&lt;"&amp;$B43)&gt;0),"The winner doesn't have the best "&amp;$D43&amp;" score",IF(AND($B$2="Final",COUNTIFS($D$7:$D$156,$D43,$C$7:$C$156,"Winner")=0),"Final: pick the "&amp;$D43&amp;" winner",IF($B$2="Not started","Set Status to In progress to count points","OK"))))))))</f>
        <v/>
      </c>
      <c r="J43" s="11">
        <f>IF(OR($A43="",NOT(ISNUMBER($B43))),"",IF($C43="Winner",1,COUNTIFS($D$7:$D$156,$D43,$B$7:$B$156,$B43)-IF(AND(NOT($C43="Winner"),COUNTIFS($D$7:$D$156,$D43,$C$7:$C$156,"Winner",$B$7:$B$156,$B43)&gt;0),1,0)))</f>
        <v/>
      </c>
    </row>
    <row r="44">
      <c r="D44" s="11">
        <f>IF($A44="","",IFERROR(IF(VLOOKUP($A44,Players!$A$2:$B$500,2,FALSE)="","Open",VLOOKUP($A44,Players!$A$2:$B$500,2,FALSE)),"Open"))</f>
        <v/>
      </c>
      <c r="E44" s="11">
        <f>IF(OR($A44="",NOT(ISNUMBER($B44))),"",IF($C44="Winner",1,COUNTIFS($D$7:$D$156,$D44,$B$7:$B$156,"&lt;"&amp;$B44)+1+IF(AND(NOT($C44="Winner"),COUNTIFS($D$7:$D$156,$D44,$C$7:$C$156,"Winner",$B$7:$B$156,$B44)&gt;0),1,0)))</f>
        <v/>
      </c>
      <c r="F44" s="11">
        <f>IF(OR($A44="",NOT(ISNUMBER($B44))),"",COUNTIFS($D$7:$D$156,$D44,$B$7:$B$156,"&gt;0"))</f>
        <v/>
      </c>
      <c r="G44" s="11">
        <f>IF(OR(OR($A44="",NOT(ISNUMBER($B44))),$B$2="Not started"),"",IF($C44="Winner",Points!$B$3,ROUND(Points!$B$3*IF($F44&lt;=1,1,Points!$H$7+(1-Points!$H$7)*((($F44-$E44)*(($F44-$E44)+1)/2)^2-((($F44-$E44-$J44+1)-1)*($F44-$E44-$J44+1)/2)^2)/($J44*($F44-1)^3)),0)))</f>
        <v/>
      </c>
      <c r="H44" s="11">
        <f>IF($A44="","",IF($B$2="Final","Final",IF($B$2="In progress","Projected","Not started")))</f>
        <v/>
      </c>
      <c r="I44" s="11">
        <f>IF($A44="","",IF(COUNTIF(Players!$A$2:$A$500,$A44)=0,"Player is not on the Players tab",IF(COUNTIF($A$7:$A$156,$A44)&gt;1,"Player is listed twice",IF(NOT(ISNUMBER($B44)),"Enter a score",IF(COUNTIFS($D$7:$D$156,$D44,$C$7:$C$156,"Winner")&gt;1,"More than one "&amp;$D44&amp;" winner picked",IF(AND($C44="Winner",COUNTIFS($D$7:$D$156,$D44,$B$7:$B$156,"&lt;"&amp;$B44)&gt;0),"The winner doesn't have the best "&amp;$D44&amp;" score",IF(AND($B$2="Final",COUNTIFS($D$7:$D$156,$D44,$C$7:$C$156,"Winner")=0),"Final: pick the "&amp;$D44&amp;" winner",IF($B$2="Not started","Set Status to In progress to count points","OK"))))))))</f>
        <v/>
      </c>
      <c r="J44" s="11">
        <f>IF(OR($A44="",NOT(ISNUMBER($B44))),"",IF($C44="Winner",1,COUNTIFS($D$7:$D$156,$D44,$B$7:$B$156,$B44)-IF(AND(NOT($C44="Winner"),COUNTIFS($D$7:$D$156,$D44,$C$7:$C$156,"Winner",$B$7:$B$156,$B44)&gt;0),1,0)))</f>
        <v/>
      </c>
    </row>
    <row r="45">
      <c r="D45" s="11">
        <f>IF($A45="","",IFERROR(IF(VLOOKUP($A45,Players!$A$2:$B$500,2,FALSE)="","Open",VLOOKUP($A45,Players!$A$2:$B$500,2,FALSE)),"Open"))</f>
        <v/>
      </c>
      <c r="E45" s="11">
        <f>IF(OR($A45="",NOT(ISNUMBER($B45))),"",IF($C45="Winner",1,COUNTIFS($D$7:$D$156,$D45,$B$7:$B$156,"&lt;"&amp;$B45)+1+IF(AND(NOT($C45="Winner"),COUNTIFS($D$7:$D$156,$D45,$C$7:$C$156,"Winner",$B$7:$B$156,$B45)&gt;0),1,0)))</f>
        <v/>
      </c>
      <c r="F45" s="11">
        <f>IF(OR($A45="",NOT(ISNUMBER($B45))),"",COUNTIFS($D$7:$D$156,$D45,$B$7:$B$156,"&gt;0"))</f>
        <v/>
      </c>
      <c r="G45" s="11">
        <f>IF(OR(OR($A45="",NOT(ISNUMBER($B45))),$B$2="Not started"),"",IF($C45="Winner",Points!$B$3,ROUND(Points!$B$3*IF($F45&lt;=1,1,Points!$H$7+(1-Points!$H$7)*((($F45-$E45)*(($F45-$E45)+1)/2)^2-((($F45-$E45-$J45+1)-1)*($F45-$E45-$J45+1)/2)^2)/($J45*($F45-1)^3)),0)))</f>
        <v/>
      </c>
      <c r="H45" s="11">
        <f>IF($A45="","",IF($B$2="Final","Final",IF($B$2="In progress","Projected","Not started")))</f>
        <v/>
      </c>
      <c r="I45" s="11">
        <f>IF($A45="","",IF(COUNTIF(Players!$A$2:$A$500,$A45)=0,"Player is not on the Players tab",IF(COUNTIF($A$7:$A$156,$A45)&gt;1,"Player is listed twice",IF(NOT(ISNUMBER($B45)),"Enter a score",IF(COUNTIFS($D$7:$D$156,$D45,$C$7:$C$156,"Winner")&gt;1,"More than one "&amp;$D45&amp;" winner picked",IF(AND($C45="Winner",COUNTIFS($D$7:$D$156,$D45,$B$7:$B$156,"&lt;"&amp;$B45)&gt;0),"The winner doesn't have the best "&amp;$D45&amp;" score",IF(AND($B$2="Final",COUNTIFS($D$7:$D$156,$D45,$C$7:$C$156,"Winner")=0),"Final: pick the "&amp;$D45&amp;" winner",IF($B$2="Not started","Set Status to In progress to count points","OK"))))))))</f>
        <v/>
      </c>
      <c r="J45" s="11">
        <f>IF(OR($A45="",NOT(ISNUMBER($B45))),"",IF($C45="Winner",1,COUNTIFS($D$7:$D$156,$D45,$B$7:$B$156,$B45)-IF(AND(NOT($C45="Winner"),COUNTIFS($D$7:$D$156,$D45,$C$7:$C$156,"Winner",$B$7:$B$156,$B45)&gt;0),1,0)))</f>
        <v/>
      </c>
    </row>
    <row r="46">
      <c r="D46" s="11">
        <f>IF($A46="","",IFERROR(IF(VLOOKUP($A46,Players!$A$2:$B$500,2,FALSE)="","Open",VLOOKUP($A46,Players!$A$2:$B$500,2,FALSE)),"Open"))</f>
        <v/>
      </c>
      <c r="E46" s="11">
        <f>IF(OR($A46="",NOT(ISNUMBER($B46))),"",IF($C46="Winner",1,COUNTIFS($D$7:$D$156,$D46,$B$7:$B$156,"&lt;"&amp;$B46)+1+IF(AND(NOT($C46="Winner"),COUNTIFS($D$7:$D$156,$D46,$C$7:$C$156,"Winner",$B$7:$B$156,$B46)&gt;0),1,0)))</f>
        <v/>
      </c>
      <c r="F46" s="11">
        <f>IF(OR($A46="",NOT(ISNUMBER($B46))),"",COUNTIFS($D$7:$D$156,$D46,$B$7:$B$156,"&gt;0"))</f>
        <v/>
      </c>
      <c r="G46" s="11">
        <f>IF(OR(OR($A46="",NOT(ISNUMBER($B46))),$B$2="Not started"),"",IF($C46="Winner",Points!$B$3,ROUND(Points!$B$3*IF($F46&lt;=1,1,Points!$H$7+(1-Points!$H$7)*((($F46-$E46)*(($F46-$E46)+1)/2)^2-((($F46-$E46-$J46+1)-1)*($F46-$E46-$J46+1)/2)^2)/($J46*($F46-1)^3)),0)))</f>
        <v/>
      </c>
      <c r="H46" s="11">
        <f>IF($A46="","",IF($B$2="Final","Final",IF($B$2="In progress","Projected","Not started")))</f>
        <v/>
      </c>
      <c r="I46" s="11">
        <f>IF($A46="","",IF(COUNTIF(Players!$A$2:$A$500,$A46)=0,"Player is not on the Players tab",IF(COUNTIF($A$7:$A$156,$A46)&gt;1,"Player is listed twice",IF(NOT(ISNUMBER($B46)),"Enter a score",IF(COUNTIFS($D$7:$D$156,$D46,$C$7:$C$156,"Winner")&gt;1,"More than one "&amp;$D46&amp;" winner picked",IF(AND($C46="Winner",COUNTIFS($D$7:$D$156,$D46,$B$7:$B$156,"&lt;"&amp;$B46)&gt;0),"The winner doesn't have the best "&amp;$D46&amp;" score",IF(AND($B$2="Final",COUNTIFS($D$7:$D$156,$D46,$C$7:$C$156,"Winner")=0),"Final: pick the "&amp;$D46&amp;" winner",IF($B$2="Not started","Set Status to In progress to count points","OK"))))))))</f>
        <v/>
      </c>
      <c r="J46" s="11">
        <f>IF(OR($A46="",NOT(ISNUMBER($B46))),"",IF($C46="Winner",1,COUNTIFS($D$7:$D$156,$D46,$B$7:$B$156,$B46)-IF(AND(NOT($C46="Winner"),COUNTIFS($D$7:$D$156,$D46,$C$7:$C$156,"Winner",$B$7:$B$156,$B46)&gt;0),1,0)))</f>
        <v/>
      </c>
    </row>
    <row r="47">
      <c r="D47" s="11">
        <f>IF($A47="","",IFERROR(IF(VLOOKUP($A47,Players!$A$2:$B$500,2,FALSE)="","Open",VLOOKUP($A47,Players!$A$2:$B$500,2,FALSE)),"Open"))</f>
        <v/>
      </c>
      <c r="E47" s="11">
        <f>IF(OR($A47="",NOT(ISNUMBER($B47))),"",IF($C47="Winner",1,COUNTIFS($D$7:$D$156,$D47,$B$7:$B$156,"&lt;"&amp;$B47)+1+IF(AND(NOT($C47="Winner"),COUNTIFS($D$7:$D$156,$D47,$C$7:$C$156,"Winner",$B$7:$B$156,$B47)&gt;0),1,0)))</f>
        <v/>
      </c>
      <c r="F47" s="11">
        <f>IF(OR($A47="",NOT(ISNUMBER($B47))),"",COUNTIFS($D$7:$D$156,$D47,$B$7:$B$156,"&gt;0"))</f>
        <v/>
      </c>
      <c r="G47" s="11">
        <f>IF(OR(OR($A47="",NOT(ISNUMBER($B47))),$B$2="Not started"),"",IF($C47="Winner",Points!$B$3,ROUND(Points!$B$3*IF($F47&lt;=1,1,Points!$H$7+(1-Points!$H$7)*((($F47-$E47)*(($F47-$E47)+1)/2)^2-((($F47-$E47-$J47+1)-1)*($F47-$E47-$J47+1)/2)^2)/($J47*($F47-1)^3)),0)))</f>
        <v/>
      </c>
      <c r="H47" s="11">
        <f>IF($A47="","",IF($B$2="Final","Final",IF($B$2="In progress","Projected","Not started")))</f>
        <v/>
      </c>
      <c r="I47" s="11">
        <f>IF($A47="","",IF(COUNTIF(Players!$A$2:$A$500,$A47)=0,"Player is not on the Players tab",IF(COUNTIF($A$7:$A$156,$A47)&gt;1,"Player is listed twice",IF(NOT(ISNUMBER($B47)),"Enter a score",IF(COUNTIFS($D$7:$D$156,$D47,$C$7:$C$156,"Winner")&gt;1,"More than one "&amp;$D47&amp;" winner picked",IF(AND($C47="Winner",COUNTIFS($D$7:$D$156,$D47,$B$7:$B$156,"&lt;"&amp;$B47)&gt;0),"The winner doesn't have the best "&amp;$D47&amp;" score",IF(AND($B$2="Final",COUNTIFS($D$7:$D$156,$D47,$C$7:$C$156,"Winner")=0),"Final: pick the "&amp;$D47&amp;" winner",IF($B$2="Not started","Set Status to In progress to count points","OK"))))))))</f>
        <v/>
      </c>
      <c r="J47" s="11">
        <f>IF(OR($A47="",NOT(ISNUMBER($B47))),"",IF($C47="Winner",1,COUNTIFS($D$7:$D$156,$D47,$B$7:$B$156,$B47)-IF(AND(NOT($C47="Winner"),COUNTIFS($D$7:$D$156,$D47,$C$7:$C$156,"Winner",$B$7:$B$156,$B47)&gt;0),1,0)))</f>
        <v/>
      </c>
    </row>
    <row r="48">
      <c r="D48" s="11">
        <f>IF($A48="","",IFERROR(IF(VLOOKUP($A48,Players!$A$2:$B$500,2,FALSE)="","Open",VLOOKUP($A48,Players!$A$2:$B$500,2,FALSE)),"Open"))</f>
        <v/>
      </c>
      <c r="E48" s="11">
        <f>IF(OR($A48="",NOT(ISNUMBER($B48))),"",IF($C48="Winner",1,COUNTIFS($D$7:$D$156,$D48,$B$7:$B$156,"&lt;"&amp;$B48)+1+IF(AND(NOT($C48="Winner"),COUNTIFS($D$7:$D$156,$D48,$C$7:$C$156,"Winner",$B$7:$B$156,$B48)&gt;0),1,0)))</f>
        <v/>
      </c>
      <c r="F48" s="11">
        <f>IF(OR($A48="",NOT(ISNUMBER($B48))),"",COUNTIFS($D$7:$D$156,$D48,$B$7:$B$156,"&gt;0"))</f>
        <v/>
      </c>
      <c r="G48" s="11">
        <f>IF(OR(OR($A48="",NOT(ISNUMBER($B48))),$B$2="Not started"),"",IF($C48="Winner",Points!$B$3,ROUND(Points!$B$3*IF($F48&lt;=1,1,Points!$H$7+(1-Points!$H$7)*((($F48-$E48)*(($F48-$E48)+1)/2)^2-((($F48-$E48-$J48+1)-1)*($F48-$E48-$J48+1)/2)^2)/($J48*($F48-1)^3)),0)))</f>
        <v/>
      </c>
      <c r="H48" s="11">
        <f>IF($A48="","",IF($B$2="Final","Final",IF($B$2="In progress","Projected","Not started")))</f>
        <v/>
      </c>
      <c r="I48" s="11">
        <f>IF($A48="","",IF(COUNTIF(Players!$A$2:$A$500,$A48)=0,"Player is not on the Players tab",IF(COUNTIF($A$7:$A$156,$A48)&gt;1,"Player is listed twice",IF(NOT(ISNUMBER($B48)),"Enter a score",IF(COUNTIFS($D$7:$D$156,$D48,$C$7:$C$156,"Winner")&gt;1,"More than one "&amp;$D48&amp;" winner picked",IF(AND($C48="Winner",COUNTIFS($D$7:$D$156,$D48,$B$7:$B$156,"&lt;"&amp;$B48)&gt;0),"The winner doesn't have the best "&amp;$D48&amp;" score",IF(AND($B$2="Final",COUNTIFS($D$7:$D$156,$D48,$C$7:$C$156,"Winner")=0),"Final: pick the "&amp;$D48&amp;" winner",IF($B$2="Not started","Set Status to In progress to count points","OK"))))))))</f>
        <v/>
      </c>
      <c r="J48" s="11">
        <f>IF(OR($A48="",NOT(ISNUMBER($B48))),"",IF($C48="Winner",1,COUNTIFS($D$7:$D$156,$D48,$B$7:$B$156,$B48)-IF(AND(NOT($C48="Winner"),COUNTIFS($D$7:$D$156,$D48,$C$7:$C$156,"Winner",$B$7:$B$156,$B48)&gt;0),1,0)))</f>
        <v/>
      </c>
    </row>
    <row r="49">
      <c r="D49" s="11">
        <f>IF($A49="","",IFERROR(IF(VLOOKUP($A49,Players!$A$2:$B$500,2,FALSE)="","Open",VLOOKUP($A49,Players!$A$2:$B$500,2,FALSE)),"Open"))</f>
        <v/>
      </c>
      <c r="E49" s="11">
        <f>IF(OR($A49="",NOT(ISNUMBER($B49))),"",IF($C49="Winner",1,COUNTIFS($D$7:$D$156,$D49,$B$7:$B$156,"&lt;"&amp;$B49)+1+IF(AND(NOT($C49="Winner"),COUNTIFS($D$7:$D$156,$D49,$C$7:$C$156,"Winner",$B$7:$B$156,$B49)&gt;0),1,0)))</f>
        <v/>
      </c>
      <c r="F49" s="11">
        <f>IF(OR($A49="",NOT(ISNUMBER($B49))),"",COUNTIFS($D$7:$D$156,$D49,$B$7:$B$156,"&gt;0"))</f>
        <v/>
      </c>
      <c r="G49" s="11">
        <f>IF(OR(OR($A49="",NOT(ISNUMBER($B49))),$B$2="Not started"),"",IF($C49="Winner",Points!$B$3,ROUND(Points!$B$3*IF($F49&lt;=1,1,Points!$H$7+(1-Points!$H$7)*((($F49-$E49)*(($F49-$E49)+1)/2)^2-((($F49-$E49-$J49+1)-1)*($F49-$E49-$J49+1)/2)^2)/($J49*($F49-1)^3)),0)))</f>
        <v/>
      </c>
      <c r="H49" s="11">
        <f>IF($A49="","",IF($B$2="Final","Final",IF($B$2="In progress","Projected","Not started")))</f>
        <v/>
      </c>
      <c r="I49" s="11">
        <f>IF($A49="","",IF(COUNTIF(Players!$A$2:$A$500,$A49)=0,"Player is not on the Players tab",IF(COUNTIF($A$7:$A$156,$A49)&gt;1,"Player is listed twice",IF(NOT(ISNUMBER($B49)),"Enter a score",IF(COUNTIFS($D$7:$D$156,$D49,$C$7:$C$156,"Winner")&gt;1,"More than one "&amp;$D49&amp;" winner picked",IF(AND($C49="Winner",COUNTIFS($D$7:$D$156,$D49,$B$7:$B$156,"&lt;"&amp;$B49)&gt;0),"The winner doesn't have the best "&amp;$D49&amp;" score",IF(AND($B$2="Final",COUNTIFS($D$7:$D$156,$D49,$C$7:$C$156,"Winner")=0),"Final: pick the "&amp;$D49&amp;" winner",IF($B$2="Not started","Set Status to In progress to count points","OK"))))))))</f>
        <v/>
      </c>
      <c r="J49" s="11">
        <f>IF(OR($A49="",NOT(ISNUMBER($B49))),"",IF($C49="Winner",1,COUNTIFS($D$7:$D$156,$D49,$B$7:$B$156,$B49)-IF(AND(NOT($C49="Winner"),COUNTIFS($D$7:$D$156,$D49,$C$7:$C$156,"Winner",$B$7:$B$156,$B49)&gt;0),1,0)))</f>
        <v/>
      </c>
    </row>
    <row r="50">
      <c r="D50" s="11">
        <f>IF($A50="","",IFERROR(IF(VLOOKUP($A50,Players!$A$2:$B$500,2,FALSE)="","Open",VLOOKUP($A50,Players!$A$2:$B$500,2,FALSE)),"Open"))</f>
        <v/>
      </c>
      <c r="E50" s="11">
        <f>IF(OR($A50="",NOT(ISNUMBER($B50))),"",IF($C50="Winner",1,COUNTIFS($D$7:$D$156,$D50,$B$7:$B$156,"&lt;"&amp;$B50)+1+IF(AND(NOT($C50="Winner"),COUNTIFS($D$7:$D$156,$D50,$C$7:$C$156,"Winner",$B$7:$B$156,$B50)&gt;0),1,0)))</f>
        <v/>
      </c>
      <c r="F50" s="11">
        <f>IF(OR($A50="",NOT(ISNUMBER($B50))),"",COUNTIFS($D$7:$D$156,$D50,$B$7:$B$156,"&gt;0"))</f>
        <v/>
      </c>
      <c r="G50" s="11">
        <f>IF(OR(OR($A50="",NOT(ISNUMBER($B50))),$B$2="Not started"),"",IF($C50="Winner",Points!$B$3,ROUND(Points!$B$3*IF($F50&lt;=1,1,Points!$H$7+(1-Points!$H$7)*((($F50-$E50)*(($F50-$E50)+1)/2)^2-((($F50-$E50-$J50+1)-1)*($F50-$E50-$J50+1)/2)^2)/($J50*($F50-1)^3)),0)))</f>
        <v/>
      </c>
      <c r="H50" s="11">
        <f>IF($A50="","",IF($B$2="Final","Final",IF($B$2="In progress","Projected","Not started")))</f>
        <v/>
      </c>
      <c r="I50" s="11">
        <f>IF($A50="","",IF(COUNTIF(Players!$A$2:$A$500,$A50)=0,"Player is not on the Players tab",IF(COUNTIF($A$7:$A$156,$A50)&gt;1,"Player is listed twice",IF(NOT(ISNUMBER($B50)),"Enter a score",IF(COUNTIFS($D$7:$D$156,$D50,$C$7:$C$156,"Winner")&gt;1,"More than one "&amp;$D50&amp;" winner picked",IF(AND($C50="Winner",COUNTIFS($D$7:$D$156,$D50,$B$7:$B$156,"&lt;"&amp;$B50)&gt;0),"The winner doesn't have the best "&amp;$D50&amp;" score",IF(AND($B$2="Final",COUNTIFS($D$7:$D$156,$D50,$C$7:$C$156,"Winner")=0),"Final: pick the "&amp;$D50&amp;" winner",IF($B$2="Not started","Set Status to In progress to count points","OK"))))))))</f>
        <v/>
      </c>
      <c r="J50" s="11">
        <f>IF(OR($A50="",NOT(ISNUMBER($B50))),"",IF($C50="Winner",1,COUNTIFS($D$7:$D$156,$D50,$B$7:$B$156,$B50)-IF(AND(NOT($C50="Winner"),COUNTIFS($D$7:$D$156,$D50,$C$7:$C$156,"Winner",$B$7:$B$156,$B50)&gt;0),1,0)))</f>
        <v/>
      </c>
    </row>
    <row r="51">
      <c r="D51" s="11">
        <f>IF($A51="","",IFERROR(IF(VLOOKUP($A51,Players!$A$2:$B$500,2,FALSE)="","Open",VLOOKUP($A51,Players!$A$2:$B$500,2,FALSE)),"Open"))</f>
        <v/>
      </c>
      <c r="E51" s="11">
        <f>IF(OR($A51="",NOT(ISNUMBER($B51))),"",IF($C51="Winner",1,COUNTIFS($D$7:$D$156,$D51,$B$7:$B$156,"&lt;"&amp;$B51)+1+IF(AND(NOT($C51="Winner"),COUNTIFS($D$7:$D$156,$D51,$C$7:$C$156,"Winner",$B$7:$B$156,$B51)&gt;0),1,0)))</f>
        <v/>
      </c>
      <c r="F51" s="11">
        <f>IF(OR($A51="",NOT(ISNUMBER($B51))),"",COUNTIFS($D$7:$D$156,$D51,$B$7:$B$156,"&gt;0"))</f>
        <v/>
      </c>
      <c r="G51" s="11">
        <f>IF(OR(OR($A51="",NOT(ISNUMBER($B51))),$B$2="Not started"),"",IF($C51="Winner",Points!$B$3,ROUND(Points!$B$3*IF($F51&lt;=1,1,Points!$H$7+(1-Points!$H$7)*((($F51-$E51)*(($F51-$E51)+1)/2)^2-((($F51-$E51-$J51+1)-1)*($F51-$E51-$J51+1)/2)^2)/($J51*($F51-1)^3)),0)))</f>
        <v/>
      </c>
      <c r="H51" s="11">
        <f>IF($A51="","",IF($B$2="Final","Final",IF($B$2="In progress","Projected","Not started")))</f>
        <v/>
      </c>
      <c r="I51" s="11">
        <f>IF($A51="","",IF(COUNTIF(Players!$A$2:$A$500,$A51)=0,"Player is not on the Players tab",IF(COUNTIF($A$7:$A$156,$A51)&gt;1,"Player is listed twice",IF(NOT(ISNUMBER($B51)),"Enter a score",IF(COUNTIFS($D$7:$D$156,$D51,$C$7:$C$156,"Winner")&gt;1,"More than one "&amp;$D51&amp;" winner picked",IF(AND($C51="Winner",COUNTIFS($D$7:$D$156,$D51,$B$7:$B$156,"&lt;"&amp;$B51)&gt;0),"The winner doesn't have the best "&amp;$D51&amp;" score",IF(AND($B$2="Final",COUNTIFS($D$7:$D$156,$D51,$C$7:$C$156,"Winner")=0),"Final: pick the "&amp;$D51&amp;" winner",IF($B$2="Not started","Set Status to In progress to count points","OK"))))))))</f>
        <v/>
      </c>
      <c r="J51" s="11">
        <f>IF(OR($A51="",NOT(ISNUMBER($B51))),"",IF($C51="Winner",1,COUNTIFS($D$7:$D$156,$D51,$B$7:$B$156,$B51)-IF(AND(NOT($C51="Winner"),COUNTIFS($D$7:$D$156,$D51,$C$7:$C$156,"Winner",$B$7:$B$156,$B51)&gt;0),1,0)))</f>
        <v/>
      </c>
    </row>
    <row r="52">
      <c r="D52" s="11">
        <f>IF($A52="","",IFERROR(IF(VLOOKUP($A52,Players!$A$2:$B$500,2,FALSE)="","Open",VLOOKUP($A52,Players!$A$2:$B$500,2,FALSE)),"Open"))</f>
        <v/>
      </c>
      <c r="E52" s="11">
        <f>IF(OR($A52="",NOT(ISNUMBER($B52))),"",IF($C52="Winner",1,COUNTIFS($D$7:$D$156,$D52,$B$7:$B$156,"&lt;"&amp;$B52)+1+IF(AND(NOT($C52="Winner"),COUNTIFS($D$7:$D$156,$D52,$C$7:$C$156,"Winner",$B$7:$B$156,$B52)&gt;0),1,0)))</f>
        <v/>
      </c>
      <c r="F52" s="11">
        <f>IF(OR($A52="",NOT(ISNUMBER($B52))),"",COUNTIFS($D$7:$D$156,$D52,$B$7:$B$156,"&gt;0"))</f>
        <v/>
      </c>
      <c r="G52" s="11">
        <f>IF(OR(OR($A52="",NOT(ISNUMBER($B52))),$B$2="Not started"),"",IF($C52="Winner",Points!$B$3,ROUND(Points!$B$3*IF($F52&lt;=1,1,Points!$H$7+(1-Points!$H$7)*((($F52-$E52)*(($F52-$E52)+1)/2)^2-((($F52-$E52-$J52+1)-1)*($F52-$E52-$J52+1)/2)^2)/($J52*($F52-1)^3)),0)))</f>
        <v/>
      </c>
      <c r="H52" s="11">
        <f>IF($A52="","",IF($B$2="Final","Final",IF($B$2="In progress","Projected","Not started")))</f>
        <v/>
      </c>
      <c r="I52" s="11">
        <f>IF($A52="","",IF(COUNTIF(Players!$A$2:$A$500,$A52)=0,"Player is not on the Players tab",IF(COUNTIF($A$7:$A$156,$A52)&gt;1,"Player is listed twice",IF(NOT(ISNUMBER($B52)),"Enter a score",IF(COUNTIFS($D$7:$D$156,$D52,$C$7:$C$156,"Winner")&gt;1,"More than one "&amp;$D52&amp;" winner picked",IF(AND($C52="Winner",COUNTIFS($D$7:$D$156,$D52,$B$7:$B$156,"&lt;"&amp;$B52)&gt;0),"The winner doesn't have the best "&amp;$D52&amp;" score",IF(AND($B$2="Final",COUNTIFS($D$7:$D$156,$D52,$C$7:$C$156,"Winner")=0),"Final: pick the "&amp;$D52&amp;" winner",IF($B$2="Not started","Set Status to In progress to count points","OK"))))))))</f>
        <v/>
      </c>
      <c r="J52" s="11">
        <f>IF(OR($A52="",NOT(ISNUMBER($B52))),"",IF($C52="Winner",1,COUNTIFS($D$7:$D$156,$D52,$B$7:$B$156,$B52)-IF(AND(NOT($C52="Winner"),COUNTIFS($D$7:$D$156,$D52,$C$7:$C$156,"Winner",$B$7:$B$156,$B52)&gt;0),1,0)))</f>
        <v/>
      </c>
    </row>
    <row r="53">
      <c r="D53" s="11">
        <f>IF($A53="","",IFERROR(IF(VLOOKUP($A53,Players!$A$2:$B$500,2,FALSE)="","Open",VLOOKUP($A53,Players!$A$2:$B$500,2,FALSE)),"Open"))</f>
        <v/>
      </c>
      <c r="E53" s="11">
        <f>IF(OR($A53="",NOT(ISNUMBER($B53))),"",IF($C53="Winner",1,COUNTIFS($D$7:$D$156,$D53,$B$7:$B$156,"&lt;"&amp;$B53)+1+IF(AND(NOT($C53="Winner"),COUNTIFS($D$7:$D$156,$D53,$C$7:$C$156,"Winner",$B$7:$B$156,$B53)&gt;0),1,0)))</f>
        <v/>
      </c>
      <c r="F53" s="11">
        <f>IF(OR($A53="",NOT(ISNUMBER($B53))),"",COUNTIFS($D$7:$D$156,$D53,$B$7:$B$156,"&gt;0"))</f>
        <v/>
      </c>
      <c r="G53" s="11">
        <f>IF(OR(OR($A53="",NOT(ISNUMBER($B53))),$B$2="Not started"),"",IF($C53="Winner",Points!$B$3,ROUND(Points!$B$3*IF($F53&lt;=1,1,Points!$H$7+(1-Points!$H$7)*((($F53-$E53)*(($F53-$E53)+1)/2)^2-((($F53-$E53-$J53+1)-1)*($F53-$E53-$J53+1)/2)^2)/($J53*($F53-1)^3)),0)))</f>
        <v/>
      </c>
      <c r="H53" s="11">
        <f>IF($A53="","",IF($B$2="Final","Final",IF($B$2="In progress","Projected","Not started")))</f>
        <v/>
      </c>
      <c r="I53" s="11">
        <f>IF($A53="","",IF(COUNTIF(Players!$A$2:$A$500,$A53)=0,"Player is not on the Players tab",IF(COUNTIF($A$7:$A$156,$A53)&gt;1,"Player is listed twice",IF(NOT(ISNUMBER($B53)),"Enter a score",IF(COUNTIFS($D$7:$D$156,$D53,$C$7:$C$156,"Winner")&gt;1,"More than one "&amp;$D53&amp;" winner picked",IF(AND($C53="Winner",COUNTIFS($D$7:$D$156,$D53,$B$7:$B$156,"&lt;"&amp;$B53)&gt;0),"The winner doesn't have the best "&amp;$D53&amp;" score",IF(AND($B$2="Final",COUNTIFS($D$7:$D$156,$D53,$C$7:$C$156,"Winner")=0),"Final: pick the "&amp;$D53&amp;" winner",IF($B$2="Not started","Set Status to In progress to count points","OK"))))))))</f>
        <v/>
      </c>
      <c r="J53" s="11">
        <f>IF(OR($A53="",NOT(ISNUMBER($B53))),"",IF($C53="Winner",1,COUNTIFS($D$7:$D$156,$D53,$B$7:$B$156,$B53)-IF(AND(NOT($C53="Winner"),COUNTIFS($D$7:$D$156,$D53,$C$7:$C$156,"Winner",$B$7:$B$156,$B53)&gt;0),1,0)))</f>
        <v/>
      </c>
    </row>
    <row r="54">
      <c r="D54" s="11">
        <f>IF($A54="","",IFERROR(IF(VLOOKUP($A54,Players!$A$2:$B$500,2,FALSE)="","Open",VLOOKUP($A54,Players!$A$2:$B$500,2,FALSE)),"Open"))</f>
        <v/>
      </c>
      <c r="E54" s="11">
        <f>IF(OR($A54="",NOT(ISNUMBER($B54))),"",IF($C54="Winner",1,COUNTIFS($D$7:$D$156,$D54,$B$7:$B$156,"&lt;"&amp;$B54)+1+IF(AND(NOT($C54="Winner"),COUNTIFS($D$7:$D$156,$D54,$C$7:$C$156,"Winner",$B$7:$B$156,$B54)&gt;0),1,0)))</f>
        <v/>
      </c>
      <c r="F54" s="11">
        <f>IF(OR($A54="",NOT(ISNUMBER($B54))),"",COUNTIFS($D$7:$D$156,$D54,$B$7:$B$156,"&gt;0"))</f>
        <v/>
      </c>
      <c r="G54" s="11">
        <f>IF(OR(OR($A54="",NOT(ISNUMBER($B54))),$B$2="Not started"),"",IF($C54="Winner",Points!$B$3,ROUND(Points!$B$3*IF($F54&lt;=1,1,Points!$H$7+(1-Points!$H$7)*((($F54-$E54)*(($F54-$E54)+1)/2)^2-((($F54-$E54-$J54+1)-1)*($F54-$E54-$J54+1)/2)^2)/($J54*($F54-1)^3)),0)))</f>
        <v/>
      </c>
      <c r="H54" s="11">
        <f>IF($A54="","",IF($B$2="Final","Final",IF($B$2="In progress","Projected","Not started")))</f>
        <v/>
      </c>
      <c r="I54" s="11">
        <f>IF($A54="","",IF(COUNTIF(Players!$A$2:$A$500,$A54)=0,"Player is not on the Players tab",IF(COUNTIF($A$7:$A$156,$A54)&gt;1,"Player is listed twice",IF(NOT(ISNUMBER($B54)),"Enter a score",IF(COUNTIFS($D$7:$D$156,$D54,$C$7:$C$156,"Winner")&gt;1,"More than one "&amp;$D54&amp;" winner picked",IF(AND($C54="Winner",COUNTIFS($D$7:$D$156,$D54,$B$7:$B$156,"&lt;"&amp;$B54)&gt;0),"The winner doesn't have the best "&amp;$D54&amp;" score",IF(AND($B$2="Final",COUNTIFS($D$7:$D$156,$D54,$C$7:$C$156,"Winner")=0),"Final: pick the "&amp;$D54&amp;" winner",IF($B$2="Not started","Set Status to In progress to count points","OK"))))))))</f>
        <v/>
      </c>
      <c r="J54" s="11">
        <f>IF(OR($A54="",NOT(ISNUMBER($B54))),"",IF($C54="Winner",1,COUNTIFS($D$7:$D$156,$D54,$B$7:$B$156,$B54)-IF(AND(NOT($C54="Winner"),COUNTIFS($D$7:$D$156,$D54,$C$7:$C$156,"Winner",$B$7:$B$156,$B54)&gt;0),1,0)))</f>
        <v/>
      </c>
    </row>
    <row r="55">
      <c r="D55" s="11">
        <f>IF($A55="","",IFERROR(IF(VLOOKUP($A55,Players!$A$2:$B$500,2,FALSE)="","Open",VLOOKUP($A55,Players!$A$2:$B$500,2,FALSE)),"Open"))</f>
        <v/>
      </c>
      <c r="E55" s="11">
        <f>IF(OR($A55="",NOT(ISNUMBER($B55))),"",IF($C55="Winner",1,COUNTIFS($D$7:$D$156,$D55,$B$7:$B$156,"&lt;"&amp;$B55)+1+IF(AND(NOT($C55="Winner"),COUNTIFS($D$7:$D$156,$D55,$C$7:$C$156,"Winner",$B$7:$B$156,$B55)&gt;0),1,0)))</f>
        <v/>
      </c>
      <c r="F55" s="11">
        <f>IF(OR($A55="",NOT(ISNUMBER($B55))),"",COUNTIFS($D$7:$D$156,$D55,$B$7:$B$156,"&gt;0"))</f>
        <v/>
      </c>
      <c r="G55" s="11">
        <f>IF(OR(OR($A55="",NOT(ISNUMBER($B55))),$B$2="Not started"),"",IF($C55="Winner",Points!$B$3,ROUND(Points!$B$3*IF($F55&lt;=1,1,Points!$H$7+(1-Points!$H$7)*((($F55-$E55)*(($F55-$E55)+1)/2)^2-((($F55-$E55-$J55+1)-1)*($F55-$E55-$J55+1)/2)^2)/($J55*($F55-1)^3)),0)))</f>
        <v/>
      </c>
      <c r="H55" s="11">
        <f>IF($A55="","",IF($B$2="Final","Final",IF($B$2="In progress","Projected","Not started")))</f>
        <v/>
      </c>
      <c r="I55" s="11">
        <f>IF($A55="","",IF(COUNTIF(Players!$A$2:$A$500,$A55)=0,"Player is not on the Players tab",IF(COUNTIF($A$7:$A$156,$A55)&gt;1,"Player is listed twice",IF(NOT(ISNUMBER($B55)),"Enter a score",IF(COUNTIFS($D$7:$D$156,$D55,$C$7:$C$156,"Winner")&gt;1,"More than one "&amp;$D55&amp;" winner picked",IF(AND($C55="Winner",COUNTIFS($D$7:$D$156,$D55,$B$7:$B$156,"&lt;"&amp;$B55)&gt;0),"The winner doesn't have the best "&amp;$D55&amp;" score",IF(AND($B$2="Final",COUNTIFS($D$7:$D$156,$D55,$C$7:$C$156,"Winner")=0),"Final: pick the "&amp;$D55&amp;" winner",IF($B$2="Not started","Set Status to In progress to count points","OK"))))))))</f>
        <v/>
      </c>
      <c r="J55" s="11">
        <f>IF(OR($A55="",NOT(ISNUMBER($B55))),"",IF($C55="Winner",1,COUNTIFS($D$7:$D$156,$D55,$B$7:$B$156,$B55)-IF(AND(NOT($C55="Winner"),COUNTIFS($D$7:$D$156,$D55,$C$7:$C$156,"Winner",$B$7:$B$156,$B55)&gt;0),1,0)))</f>
        <v/>
      </c>
    </row>
    <row r="56">
      <c r="D56" s="11">
        <f>IF($A56="","",IFERROR(IF(VLOOKUP($A56,Players!$A$2:$B$500,2,FALSE)="","Open",VLOOKUP($A56,Players!$A$2:$B$500,2,FALSE)),"Open"))</f>
        <v/>
      </c>
      <c r="E56" s="11">
        <f>IF(OR($A56="",NOT(ISNUMBER($B56))),"",IF($C56="Winner",1,COUNTIFS($D$7:$D$156,$D56,$B$7:$B$156,"&lt;"&amp;$B56)+1+IF(AND(NOT($C56="Winner"),COUNTIFS($D$7:$D$156,$D56,$C$7:$C$156,"Winner",$B$7:$B$156,$B56)&gt;0),1,0)))</f>
        <v/>
      </c>
      <c r="F56" s="11">
        <f>IF(OR($A56="",NOT(ISNUMBER($B56))),"",COUNTIFS($D$7:$D$156,$D56,$B$7:$B$156,"&gt;0"))</f>
        <v/>
      </c>
      <c r="G56" s="11">
        <f>IF(OR(OR($A56="",NOT(ISNUMBER($B56))),$B$2="Not started"),"",IF($C56="Winner",Points!$B$3,ROUND(Points!$B$3*IF($F56&lt;=1,1,Points!$H$7+(1-Points!$H$7)*((($F56-$E56)*(($F56-$E56)+1)/2)^2-((($F56-$E56-$J56+1)-1)*($F56-$E56-$J56+1)/2)^2)/($J56*($F56-1)^3)),0)))</f>
        <v/>
      </c>
      <c r="H56" s="11">
        <f>IF($A56="","",IF($B$2="Final","Final",IF($B$2="In progress","Projected","Not started")))</f>
        <v/>
      </c>
      <c r="I56" s="11">
        <f>IF($A56="","",IF(COUNTIF(Players!$A$2:$A$500,$A56)=0,"Player is not on the Players tab",IF(COUNTIF($A$7:$A$156,$A56)&gt;1,"Player is listed twice",IF(NOT(ISNUMBER($B56)),"Enter a score",IF(COUNTIFS($D$7:$D$156,$D56,$C$7:$C$156,"Winner")&gt;1,"More than one "&amp;$D56&amp;" winner picked",IF(AND($C56="Winner",COUNTIFS($D$7:$D$156,$D56,$B$7:$B$156,"&lt;"&amp;$B56)&gt;0),"The winner doesn't have the best "&amp;$D56&amp;" score",IF(AND($B$2="Final",COUNTIFS($D$7:$D$156,$D56,$C$7:$C$156,"Winner")=0),"Final: pick the "&amp;$D56&amp;" winner",IF($B$2="Not started","Set Status to In progress to count points","OK"))))))))</f>
        <v/>
      </c>
      <c r="J56" s="11">
        <f>IF(OR($A56="",NOT(ISNUMBER($B56))),"",IF($C56="Winner",1,COUNTIFS($D$7:$D$156,$D56,$B$7:$B$156,$B56)-IF(AND(NOT($C56="Winner"),COUNTIFS($D$7:$D$156,$D56,$C$7:$C$156,"Winner",$B$7:$B$156,$B56)&gt;0),1,0)))</f>
        <v/>
      </c>
    </row>
    <row r="57">
      <c r="D57" s="11">
        <f>IF($A57="","",IFERROR(IF(VLOOKUP($A57,Players!$A$2:$B$500,2,FALSE)="","Open",VLOOKUP($A57,Players!$A$2:$B$500,2,FALSE)),"Open"))</f>
        <v/>
      </c>
      <c r="E57" s="11">
        <f>IF(OR($A57="",NOT(ISNUMBER($B57))),"",IF($C57="Winner",1,COUNTIFS($D$7:$D$156,$D57,$B$7:$B$156,"&lt;"&amp;$B57)+1+IF(AND(NOT($C57="Winner"),COUNTIFS($D$7:$D$156,$D57,$C$7:$C$156,"Winner",$B$7:$B$156,$B57)&gt;0),1,0)))</f>
        <v/>
      </c>
      <c r="F57" s="11">
        <f>IF(OR($A57="",NOT(ISNUMBER($B57))),"",COUNTIFS($D$7:$D$156,$D57,$B$7:$B$156,"&gt;0"))</f>
        <v/>
      </c>
      <c r="G57" s="11">
        <f>IF(OR(OR($A57="",NOT(ISNUMBER($B57))),$B$2="Not started"),"",IF($C57="Winner",Points!$B$3,ROUND(Points!$B$3*IF($F57&lt;=1,1,Points!$H$7+(1-Points!$H$7)*((($F57-$E57)*(($F57-$E57)+1)/2)^2-((($F57-$E57-$J57+1)-1)*($F57-$E57-$J57+1)/2)^2)/($J57*($F57-1)^3)),0)))</f>
        <v/>
      </c>
      <c r="H57" s="11">
        <f>IF($A57="","",IF($B$2="Final","Final",IF($B$2="In progress","Projected","Not started")))</f>
        <v/>
      </c>
      <c r="I57" s="11">
        <f>IF($A57="","",IF(COUNTIF(Players!$A$2:$A$500,$A57)=0,"Player is not on the Players tab",IF(COUNTIF($A$7:$A$156,$A57)&gt;1,"Player is listed twice",IF(NOT(ISNUMBER($B57)),"Enter a score",IF(COUNTIFS($D$7:$D$156,$D57,$C$7:$C$156,"Winner")&gt;1,"More than one "&amp;$D57&amp;" winner picked",IF(AND($C57="Winner",COUNTIFS($D$7:$D$156,$D57,$B$7:$B$156,"&lt;"&amp;$B57)&gt;0),"The winner doesn't have the best "&amp;$D57&amp;" score",IF(AND($B$2="Final",COUNTIFS($D$7:$D$156,$D57,$C$7:$C$156,"Winner")=0),"Final: pick the "&amp;$D57&amp;" winner",IF($B$2="Not started","Set Status to In progress to count points","OK"))))))))</f>
        <v/>
      </c>
      <c r="J57" s="11">
        <f>IF(OR($A57="",NOT(ISNUMBER($B57))),"",IF($C57="Winner",1,COUNTIFS($D$7:$D$156,$D57,$B$7:$B$156,$B57)-IF(AND(NOT($C57="Winner"),COUNTIFS($D$7:$D$156,$D57,$C$7:$C$156,"Winner",$B$7:$B$156,$B57)&gt;0),1,0)))</f>
        <v/>
      </c>
    </row>
    <row r="58">
      <c r="D58" s="11">
        <f>IF($A58="","",IFERROR(IF(VLOOKUP($A58,Players!$A$2:$B$500,2,FALSE)="","Open",VLOOKUP($A58,Players!$A$2:$B$500,2,FALSE)),"Open"))</f>
        <v/>
      </c>
      <c r="E58" s="11">
        <f>IF(OR($A58="",NOT(ISNUMBER($B58))),"",IF($C58="Winner",1,COUNTIFS($D$7:$D$156,$D58,$B$7:$B$156,"&lt;"&amp;$B58)+1+IF(AND(NOT($C58="Winner"),COUNTIFS($D$7:$D$156,$D58,$C$7:$C$156,"Winner",$B$7:$B$156,$B58)&gt;0),1,0)))</f>
        <v/>
      </c>
      <c r="F58" s="11">
        <f>IF(OR($A58="",NOT(ISNUMBER($B58))),"",COUNTIFS($D$7:$D$156,$D58,$B$7:$B$156,"&gt;0"))</f>
        <v/>
      </c>
      <c r="G58" s="11">
        <f>IF(OR(OR($A58="",NOT(ISNUMBER($B58))),$B$2="Not started"),"",IF($C58="Winner",Points!$B$3,ROUND(Points!$B$3*IF($F58&lt;=1,1,Points!$H$7+(1-Points!$H$7)*((($F58-$E58)*(($F58-$E58)+1)/2)^2-((($F58-$E58-$J58+1)-1)*($F58-$E58-$J58+1)/2)^2)/($J58*($F58-1)^3)),0)))</f>
        <v/>
      </c>
      <c r="H58" s="11">
        <f>IF($A58="","",IF($B$2="Final","Final",IF($B$2="In progress","Projected","Not started")))</f>
        <v/>
      </c>
      <c r="I58" s="11">
        <f>IF($A58="","",IF(COUNTIF(Players!$A$2:$A$500,$A58)=0,"Player is not on the Players tab",IF(COUNTIF($A$7:$A$156,$A58)&gt;1,"Player is listed twice",IF(NOT(ISNUMBER($B58)),"Enter a score",IF(COUNTIFS($D$7:$D$156,$D58,$C$7:$C$156,"Winner")&gt;1,"More than one "&amp;$D58&amp;" winner picked",IF(AND($C58="Winner",COUNTIFS($D$7:$D$156,$D58,$B$7:$B$156,"&lt;"&amp;$B58)&gt;0),"The winner doesn't have the best "&amp;$D58&amp;" score",IF(AND($B$2="Final",COUNTIFS($D$7:$D$156,$D58,$C$7:$C$156,"Winner")=0),"Final: pick the "&amp;$D58&amp;" winner",IF($B$2="Not started","Set Status to In progress to count points","OK"))))))))</f>
        <v/>
      </c>
      <c r="J58" s="11">
        <f>IF(OR($A58="",NOT(ISNUMBER($B58))),"",IF($C58="Winner",1,COUNTIFS($D$7:$D$156,$D58,$B$7:$B$156,$B58)-IF(AND(NOT($C58="Winner"),COUNTIFS($D$7:$D$156,$D58,$C$7:$C$156,"Winner",$B$7:$B$156,$B58)&gt;0),1,0)))</f>
        <v/>
      </c>
    </row>
    <row r="59">
      <c r="D59" s="11">
        <f>IF($A59="","",IFERROR(IF(VLOOKUP($A59,Players!$A$2:$B$500,2,FALSE)="","Open",VLOOKUP($A59,Players!$A$2:$B$500,2,FALSE)),"Open"))</f>
        <v/>
      </c>
      <c r="E59" s="11">
        <f>IF(OR($A59="",NOT(ISNUMBER($B59))),"",IF($C59="Winner",1,COUNTIFS($D$7:$D$156,$D59,$B$7:$B$156,"&lt;"&amp;$B59)+1+IF(AND(NOT($C59="Winner"),COUNTIFS($D$7:$D$156,$D59,$C$7:$C$156,"Winner",$B$7:$B$156,$B59)&gt;0),1,0)))</f>
        <v/>
      </c>
      <c r="F59" s="11">
        <f>IF(OR($A59="",NOT(ISNUMBER($B59))),"",COUNTIFS($D$7:$D$156,$D59,$B$7:$B$156,"&gt;0"))</f>
        <v/>
      </c>
      <c r="G59" s="11">
        <f>IF(OR(OR($A59="",NOT(ISNUMBER($B59))),$B$2="Not started"),"",IF($C59="Winner",Points!$B$3,ROUND(Points!$B$3*IF($F59&lt;=1,1,Points!$H$7+(1-Points!$H$7)*((($F59-$E59)*(($F59-$E59)+1)/2)^2-((($F59-$E59-$J59+1)-1)*($F59-$E59-$J59+1)/2)^2)/($J59*($F59-1)^3)),0)))</f>
        <v/>
      </c>
      <c r="H59" s="11">
        <f>IF($A59="","",IF($B$2="Final","Final",IF($B$2="In progress","Projected","Not started")))</f>
        <v/>
      </c>
      <c r="I59" s="11">
        <f>IF($A59="","",IF(COUNTIF(Players!$A$2:$A$500,$A59)=0,"Player is not on the Players tab",IF(COUNTIF($A$7:$A$156,$A59)&gt;1,"Player is listed twice",IF(NOT(ISNUMBER($B59)),"Enter a score",IF(COUNTIFS($D$7:$D$156,$D59,$C$7:$C$156,"Winner")&gt;1,"More than one "&amp;$D59&amp;" winner picked",IF(AND($C59="Winner",COUNTIFS($D$7:$D$156,$D59,$B$7:$B$156,"&lt;"&amp;$B59)&gt;0),"The winner doesn't have the best "&amp;$D59&amp;" score",IF(AND($B$2="Final",COUNTIFS($D$7:$D$156,$D59,$C$7:$C$156,"Winner")=0),"Final: pick the "&amp;$D59&amp;" winner",IF($B$2="Not started","Set Status to In progress to count points","OK"))))))))</f>
        <v/>
      </c>
      <c r="J59" s="11">
        <f>IF(OR($A59="",NOT(ISNUMBER($B59))),"",IF($C59="Winner",1,COUNTIFS($D$7:$D$156,$D59,$B$7:$B$156,$B59)-IF(AND(NOT($C59="Winner"),COUNTIFS($D$7:$D$156,$D59,$C$7:$C$156,"Winner",$B$7:$B$156,$B59)&gt;0),1,0)))</f>
        <v/>
      </c>
    </row>
    <row r="60">
      <c r="D60" s="11">
        <f>IF($A60="","",IFERROR(IF(VLOOKUP($A60,Players!$A$2:$B$500,2,FALSE)="","Open",VLOOKUP($A60,Players!$A$2:$B$500,2,FALSE)),"Open"))</f>
        <v/>
      </c>
      <c r="E60" s="11">
        <f>IF(OR($A60="",NOT(ISNUMBER($B60))),"",IF($C60="Winner",1,COUNTIFS($D$7:$D$156,$D60,$B$7:$B$156,"&lt;"&amp;$B60)+1+IF(AND(NOT($C60="Winner"),COUNTIFS($D$7:$D$156,$D60,$C$7:$C$156,"Winner",$B$7:$B$156,$B60)&gt;0),1,0)))</f>
        <v/>
      </c>
      <c r="F60" s="11">
        <f>IF(OR($A60="",NOT(ISNUMBER($B60))),"",COUNTIFS($D$7:$D$156,$D60,$B$7:$B$156,"&gt;0"))</f>
        <v/>
      </c>
      <c r="G60" s="11">
        <f>IF(OR(OR($A60="",NOT(ISNUMBER($B60))),$B$2="Not started"),"",IF($C60="Winner",Points!$B$3,ROUND(Points!$B$3*IF($F60&lt;=1,1,Points!$H$7+(1-Points!$H$7)*((($F60-$E60)*(($F60-$E60)+1)/2)^2-((($F60-$E60-$J60+1)-1)*($F60-$E60-$J60+1)/2)^2)/($J60*($F60-1)^3)),0)))</f>
        <v/>
      </c>
      <c r="H60" s="11">
        <f>IF($A60="","",IF($B$2="Final","Final",IF($B$2="In progress","Projected","Not started")))</f>
        <v/>
      </c>
      <c r="I60" s="11">
        <f>IF($A60="","",IF(COUNTIF(Players!$A$2:$A$500,$A60)=0,"Player is not on the Players tab",IF(COUNTIF($A$7:$A$156,$A60)&gt;1,"Player is listed twice",IF(NOT(ISNUMBER($B60)),"Enter a score",IF(COUNTIFS($D$7:$D$156,$D60,$C$7:$C$156,"Winner")&gt;1,"More than one "&amp;$D60&amp;" winner picked",IF(AND($C60="Winner",COUNTIFS($D$7:$D$156,$D60,$B$7:$B$156,"&lt;"&amp;$B60)&gt;0),"The winner doesn't have the best "&amp;$D60&amp;" score",IF(AND($B$2="Final",COUNTIFS($D$7:$D$156,$D60,$C$7:$C$156,"Winner")=0),"Final: pick the "&amp;$D60&amp;" winner",IF($B$2="Not started","Set Status to In progress to count points","OK"))))))))</f>
        <v/>
      </c>
      <c r="J60" s="11">
        <f>IF(OR($A60="",NOT(ISNUMBER($B60))),"",IF($C60="Winner",1,COUNTIFS($D$7:$D$156,$D60,$B$7:$B$156,$B60)-IF(AND(NOT($C60="Winner"),COUNTIFS($D$7:$D$156,$D60,$C$7:$C$156,"Winner",$B$7:$B$156,$B60)&gt;0),1,0)))</f>
        <v/>
      </c>
    </row>
    <row r="61">
      <c r="D61" s="11">
        <f>IF($A61="","",IFERROR(IF(VLOOKUP($A61,Players!$A$2:$B$500,2,FALSE)="","Open",VLOOKUP($A61,Players!$A$2:$B$500,2,FALSE)),"Open"))</f>
        <v/>
      </c>
      <c r="E61" s="11">
        <f>IF(OR($A61="",NOT(ISNUMBER($B61))),"",IF($C61="Winner",1,COUNTIFS($D$7:$D$156,$D61,$B$7:$B$156,"&lt;"&amp;$B61)+1+IF(AND(NOT($C61="Winner"),COUNTIFS($D$7:$D$156,$D61,$C$7:$C$156,"Winner",$B$7:$B$156,$B61)&gt;0),1,0)))</f>
        <v/>
      </c>
      <c r="F61" s="11">
        <f>IF(OR($A61="",NOT(ISNUMBER($B61))),"",COUNTIFS($D$7:$D$156,$D61,$B$7:$B$156,"&gt;0"))</f>
        <v/>
      </c>
      <c r="G61" s="11">
        <f>IF(OR(OR($A61="",NOT(ISNUMBER($B61))),$B$2="Not started"),"",IF($C61="Winner",Points!$B$3,ROUND(Points!$B$3*IF($F61&lt;=1,1,Points!$H$7+(1-Points!$H$7)*((($F61-$E61)*(($F61-$E61)+1)/2)^2-((($F61-$E61-$J61+1)-1)*($F61-$E61-$J61+1)/2)^2)/($J61*($F61-1)^3)),0)))</f>
        <v/>
      </c>
      <c r="H61" s="11">
        <f>IF($A61="","",IF($B$2="Final","Final",IF($B$2="In progress","Projected","Not started")))</f>
        <v/>
      </c>
      <c r="I61" s="11">
        <f>IF($A61="","",IF(COUNTIF(Players!$A$2:$A$500,$A61)=0,"Player is not on the Players tab",IF(COUNTIF($A$7:$A$156,$A61)&gt;1,"Player is listed twice",IF(NOT(ISNUMBER($B61)),"Enter a score",IF(COUNTIFS($D$7:$D$156,$D61,$C$7:$C$156,"Winner")&gt;1,"More than one "&amp;$D61&amp;" winner picked",IF(AND($C61="Winner",COUNTIFS($D$7:$D$156,$D61,$B$7:$B$156,"&lt;"&amp;$B61)&gt;0),"The winner doesn't have the best "&amp;$D61&amp;" score",IF(AND($B$2="Final",COUNTIFS($D$7:$D$156,$D61,$C$7:$C$156,"Winner")=0),"Final: pick the "&amp;$D61&amp;" winner",IF($B$2="Not started","Set Status to In progress to count points","OK"))))))))</f>
        <v/>
      </c>
      <c r="J61" s="11">
        <f>IF(OR($A61="",NOT(ISNUMBER($B61))),"",IF($C61="Winner",1,COUNTIFS($D$7:$D$156,$D61,$B$7:$B$156,$B61)-IF(AND(NOT($C61="Winner"),COUNTIFS($D$7:$D$156,$D61,$C$7:$C$156,"Winner",$B$7:$B$156,$B61)&gt;0),1,0)))</f>
        <v/>
      </c>
    </row>
    <row r="62">
      <c r="D62" s="11">
        <f>IF($A62="","",IFERROR(IF(VLOOKUP($A62,Players!$A$2:$B$500,2,FALSE)="","Open",VLOOKUP($A62,Players!$A$2:$B$500,2,FALSE)),"Open"))</f>
        <v/>
      </c>
      <c r="E62" s="11">
        <f>IF(OR($A62="",NOT(ISNUMBER($B62))),"",IF($C62="Winner",1,COUNTIFS($D$7:$D$156,$D62,$B$7:$B$156,"&lt;"&amp;$B62)+1+IF(AND(NOT($C62="Winner"),COUNTIFS($D$7:$D$156,$D62,$C$7:$C$156,"Winner",$B$7:$B$156,$B62)&gt;0),1,0)))</f>
        <v/>
      </c>
      <c r="F62" s="11">
        <f>IF(OR($A62="",NOT(ISNUMBER($B62))),"",COUNTIFS($D$7:$D$156,$D62,$B$7:$B$156,"&gt;0"))</f>
        <v/>
      </c>
      <c r="G62" s="11">
        <f>IF(OR(OR($A62="",NOT(ISNUMBER($B62))),$B$2="Not started"),"",IF($C62="Winner",Points!$B$3,ROUND(Points!$B$3*IF($F62&lt;=1,1,Points!$H$7+(1-Points!$H$7)*((($F62-$E62)*(($F62-$E62)+1)/2)^2-((($F62-$E62-$J62+1)-1)*($F62-$E62-$J62+1)/2)^2)/($J62*($F62-1)^3)),0)))</f>
        <v/>
      </c>
      <c r="H62" s="11">
        <f>IF($A62="","",IF($B$2="Final","Final",IF($B$2="In progress","Projected","Not started")))</f>
        <v/>
      </c>
      <c r="I62" s="11">
        <f>IF($A62="","",IF(COUNTIF(Players!$A$2:$A$500,$A62)=0,"Player is not on the Players tab",IF(COUNTIF($A$7:$A$156,$A62)&gt;1,"Player is listed twice",IF(NOT(ISNUMBER($B62)),"Enter a score",IF(COUNTIFS($D$7:$D$156,$D62,$C$7:$C$156,"Winner")&gt;1,"More than one "&amp;$D62&amp;" winner picked",IF(AND($C62="Winner",COUNTIFS($D$7:$D$156,$D62,$B$7:$B$156,"&lt;"&amp;$B62)&gt;0),"The winner doesn't have the best "&amp;$D62&amp;" score",IF(AND($B$2="Final",COUNTIFS($D$7:$D$156,$D62,$C$7:$C$156,"Winner")=0),"Final: pick the "&amp;$D62&amp;" winner",IF($B$2="Not started","Set Status to In progress to count points","OK"))))))))</f>
        <v/>
      </c>
      <c r="J62" s="11">
        <f>IF(OR($A62="",NOT(ISNUMBER($B62))),"",IF($C62="Winner",1,COUNTIFS($D$7:$D$156,$D62,$B$7:$B$156,$B62)-IF(AND(NOT($C62="Winner"),COUNTIFS($D$7:$D$156,$D62,$C$7:$C$156,"Winner",$B$7:$B$156,$B62)&gt;0),1,0)))</f>
        <v/>
      </c>
    </row>
    <row r="63">
      <c r="D63" s="11">
        <f>IF($A63="","",IFERROR(IF(VLOOKUP($A63,Players!$A$2:$B$500,2,FALSE)="","Open",VLOOKUP($A63,Players!$A$2:$B$500,2,FALSE)),"Open"))</f>
        <v/>
      </c>
      <c r="E63" s="11">
        <f>IF(OR($A63="",NOT(ISNUMBER($B63))),"",IF($C63="Winner",1,COUNTIFS($D$7:$D$156,$D63,$B$7:$B$156,"&lt;"&amp;$B63)+1+IF(AND(NOT($C63="Winner"),COUNTIFS($D$7:$D$156,$D63,$C$7:$C$156,"Winner",$B$7:$B$156,$B63)&gt;0),1,0)))</f>
        <v/>
      </c>
      <c r="F63" s="11">
        <f>IF(OR($A63="",NOT(ISNUMBER($B63))),"",COUNTIFS($D$7:$D$156,$D63,$B$7:$B$156,"&gt;0"))</f>
        <v/>
      </c>
      <c r="G63" s="11">
        <f>IF(OR(OR($A63="",NOT(ISNUMBER($B63))),$B$2="Not started"),"",IF($C63="Winner",Points!$B$3,ROUND(Points!$B$3*IF($F63&lt;=1,1,Points!$H$7+(1-Points!$H$7)*((($F63-$E63)*(($F63-$E63)+1)/2)^2-((($F63-$E63-$J63+1)-1)*($F63-$E63-$J63+1)/2)^2)/($J63*($F63-1)^3)),0)))</f>
        <v/>
      </c>
      <c r="H63" s="11">
        <f>IF($A63="","",IF($B$2="Final","Final",IF($B$2="In progress","Projected","Not started")))</f>
        <v/>
      </c>
      <c r="I63" s="11">
        <f>IF($A63="","",IF(COUNTIF(Players!$A$2:$A$500,$A63)=0,"Player is not on the Players tab",IF(COUNTIF($A$7:$A$156,$A63)&gt;1,"Player is listed twice",IF(NOT(ISNUMBER($B63)),"Enter a score",IF(COUNTIFS($D$7:$D$156,$D63,$C$7:$C$156,"Winner")&gt;1,"More than one "&amp;$D63&amp;" winner picked",IF(AND($C63="Winner",COUNTIFS($D$7:$D$156,$D63,$B$7:$B$156,"&lt;"&amp;$B63)&gt;0),"The winner doesn't have the best "&amp;$D63&amp;" score",IF(AND($B$2="Final",COUNTIFS($D$7:$D$156,$D63,$C$7:$C$156,"Winner")=0),"Final: pick the "&amp;$D63&amp;" winner",IF($B$2="Not started","Set Status to In progress to count points","OK"))))))))</f>
        <v/>
      </c>
      <c r="J63" s="11">
        <f>IF(OR($A63="",NOT(ISNUMBER($B63))),"",IF($C63="Winner",1,COUNTIFS($D$7:$D$156,$D63,$B$7:$B$156,$B63)-IF(AND(NOT($C63="Winner"),COUNTIFS($D$7:$D$156,$D63,$C$7:$C$156,"Winner",$B$7:$B$156,$B63)&gt;0),1,0)))</f>
        <v/>
      </c>
    </row>
    <row r="64">
      <c r="D64" s="11">
        <f>IF($A64="","",IFERROR(IF(VLOOKUP($A64,Players!$A$2:$B$500,2,FALSE)="","Open",VLOOKUP($A64,Players!$A$2:$B$500,2,FALSE)),"Open"))</f>
        <v/>
      </c>
      <c r="E64" s="11">
        <f>IF(OR($A64="",NOT(ISNUMBER($B64))),"",IF($C64="Winner",1,COUNTIFS($D$7:$D$156,$D64,$B$7:$B$156,"&lt;"&amp;$B64)+1+IF(AND(NOT($C64="Winner"),COUNTIFS($D$7:$D$156,$D64,$C$7:$C$156,"Winner",$B$7:$B$156,$B64)&gt;0),1,0)))</f>
        <v/>
      </c>
      <c r="F64" s="11">
        <f>IF(OR($A64="",NOT(ISNUMBER($B64))),"",COUNTIFS($D$7:$D$156,$D64,$B$7:$B$156,"&gt;0"))</f>
        <v/>
      </c>
      <c r="G64" s="11">
        <f>IF(OR(OR($A64="",NOT(ISNUMBER($B64))),$B$2="Not started"),"",IF($C64="Winner",Points!$B$3,ROUND(Points!$B$3*IF($F64&lt;=1,1,Points!$H$7+(1-Points!$H$7)*((($F64-$E64)*(($F64-$E64)+1)/2)^2-((($F64-$E64-$J64+1)-1)*($F64-$E64-$J64+1)/2)^2)/($J64*($F64-1)^3)),0)))</f>
        <v/>
      </c>
      <c r="H64" s="11">
        <f>IF($A64="","",IF($B$2="Final","Final",IF($B$2="In progress","Projected","Not started")))</f>
        <v/>
      </c>
      <c r="I64" s="11">
        <f>IF($A64="","",IF(COUNTIF(Players!$A$2:$A$500,$A64)=0,"Player is not on the Players tab",IF(COUNTIF($A$7:$A$156,$A64)&gt;1,"Player is listed twice",IF(NOT(ISNUMBER($B64)),"Enter a score",IF(COUNTIFS($D$7:$D$156,$D64,$C$7:$C$156,"Winner")&gt;1,"More than one "&amp;$D64&amp;" winner picked",IF(AND($C64="Winner",COUNTIFS($D$7:$D$156,$D64,$B$7:$B$156,"&lt;"&amp;$B64)&gt;0),"The winner doesn't have the best "&amp;$D64&amp;" score",IF(AND($B$2="Final",COUNTIFS($D$7:$D$156,$D64,$C$7:$C$156,"Winner")=0),"Final: pick the "&amp;$D64&amp;" winner",IF($B$2="Not started","Set Status to In progress to count points","OK"))))))))</f>
        <v/>
      </c>
      <c r="J64" s="11">
        <f>IF(OR($A64="",NOT(ISNUMBER($B64))),"",IF($C64="Winner",1,COUNTIFS($D$7:$D$156,$D64,$B$7:$B$156,$B64)-IF(AND(NOT($C64="Winner"),COUNTIFS($D$7:$D$156,$D64,$C$7:$C$156,"Winner",$B$7:$B$156,$B64)&gt;0),1,0)))</f>
        <v/>
      </c>
    </row>
    <row r="65">
      <c r="D65" s="11">
        <f>IF($A65="","",IFERROR(IF(VLOOKUP($A65,Players!$A$2:$B$500,2,FALSE)="","Open",VLOOKUP($A65,Players!$A$2:$B$500,2,FALSE)),"Open"))</f>
        <v/>
      </c>
      <c r="E65" s="11">
        <f>IF(OR($A65="",NOT(ISNUMBER($B65))),"",IF($C65="Winner",1,COUNTIFS($D$7:$D$156,$D65,$B$7:$B$156,"&lt;"&amp;$B65)+1+IF(AND(NOT($C65="Winner"),COUNTIFS($D$7:$D$156,$D65,$C$7:$C$156,"Winner",$B$7:$B$156,$B65)&gt;0),1,0)))</f>
        <v/>
      </c>
      <c r="F65" s="11">
        <f>IF(OR($A65="",NOT(ISNUMBER($B65))),"",COUNTIFS($D$7:$D$156,$D65,$B$7:$B$156,"&gt;0"))</f>
        <v/>
      </c>
      <c r="G65" s="11">
        <f>IF(OR(OR($A65="",NOT(ISNUMBER($B65))),$B$2="Not started"),"",IF($C65="Winner",Points!$B$3,ROUND(Points!$B$3*IF($F65&lt;=1,1,Points!$H$7+(1-Points!$H$7)*((($F65-$E65)*(($F65-$E65)+1)/2)^2-((($F65-$E65-$J65+1)-1)*($F65-$E65-$J65+1)/2)^2)/($J65*($F65-1)^3)),0)))</f>
        <v/>
      </c>
      <c r="H65" s="11">
        <f>IF($A65="","",IF($B$2="Final","Final",IF($B$2="In progress","Projected","Not started")))</f>
        <v/>
      </c>
      <c r="I65" s="11">
        <f>IF($A65="","",IF(COUNTIF(Players!$A$2:$A$500,$A65)=0,"Player is not on the Players tab",IF(COUNTIF($A$7:$A$156,$A65)&gt;1,"Player is listed twice",IF(NOT(ISNUMBER($B65)),"Enter a score",IF(COUNTIFS($D$7:$D$156,$D65,$C$7:$C$156,"Winner")&gt;1,"More than one "&amp;$D65&amp;" winner picked",IF(AND($C65="Winner",COUNTIFS($D$7:$D$156,$D65,$B$7:$B$156,"&lt;"&amp;$B65)&gt;0),"The winner doesn't have the best "&amp;$D65&amp;" score",IF(AND($B$2="Final",COUNTIFS($D$7:$D$156,$D65,$C$7:$C$156,"Winner")=0),"Final: pick the "&amp;$D65&amp;" winner",IF($B$2="Not started","Set Status to In progress to count points","OK"))))))))</f>
        <v/>
      </c>
      <c r="J65" s="11">
        <f>IF(OR($A65="",NOT(ISNUMBER($B65))),"",IF($C65="Winner",1,COUNTIFS($D$7:$D$156,$D65,$B$7:$B$156,$B65)-IF(AND(NOT($C65="Winner"),COUNTIFS($D$7:$D$156,$D65,$C$7:$C$156,"Winner",$B$7:$B$156,$B65)&gt;0),1,0)))</f>
        <v/>
      </c>
    </row>
    <row r="66">
      <c r="D66" s="11">
        <f>IF($A66="","",IFERROR(IF(VLOOKUP($A66,Players!$A$2:$B$500,2,FALSE)="","Open",VLOOKUP($A66,Players!$A$2:$B$500,2,FALSE)),"Open"))</f>
        <v/>
      </c>
      <c r="E66" s="11">
        <f>IF(OR($A66="",NOT(ISNUMBER($B66))),"",IF($C66="Winner",1,COUNTIFS($D$7:$D$156,$D66,$B$7:$B$156,"&lt;"&amp;$B66)+1+IF(AND(NOT($C66="Winner"),COUNTIFS($D$7:$D$156,$D66,$C$7:$C$156,"Winner",$B$7:$B$156,$B66)&gt;0),1,0)))</f>
        <v/>
      </c>
      <c r="F66" s="11">
        <f>IF(OR($A66="",NOT(ISNUMBER($B66))),"",COUNTIFS($D$7:$D$156,$D66,$B$7:$B$156,"&gt;0"))</f>
        <v/>
      </c>
      <c r="G66" s="11">
        <f>IF(OR(OR($A66="",NOT(ISNUMBER($B66))),$B$2="Not started"),"",IF($C66="Winner",Points!$B$3,ROUND(Points!$B$3*IF($F66&lt;=1,1,Points!$H$7+(1-Points!$H$7)*((($F66-$E66)*(($F66-$E66)+1)/2)^2-((($F66-$E66-$J66+1)-1)*($F66-$E66-$J66+1)/2)^2)/($J66*($F66-1)^3)),0)))</f>
        <v/>
      </c>
      <c r="H66" s="11">
        <f>IF($A66="","",IF($B$2="Final","Final",IF($B$2="In progress","Projected","Not started")))</f>
        <v/>
      </c>
      <c r="I66" s="11">
        <f>IF($A66="","",IF(COUNTIF(Players!$A$2:$A$500,$A66)=0,"Player is not on the Players tab",IF(COUNTIF($A$7:$A$156,$A66)&gt;1,"Player is listed twice",IF(NOT(ISNUMBER($B66)),"Enter a score",IF(COUNTIFS($D$7:$D$156,$D66,$C$7:$C$156,"Winner")&gt;1,"More than one "&amp;$D66&amp;" winner picked",IF(AND($C66="Winner",COUNTIFS($D$7:$D$156,$D66,$B$7:$B$156,"&lt;"&amp;$B66)&gt;0),"The winner doesn't have the best "&amp;$D66&amp;" score",IF(AND($B$2="Final",COUNTIFS($D$7:$D$156,$D66,$C$7:$C$156,"Winner")=0),"Final: pick the "&amp;$D66&amp;" winner",IF($B$2="Not started","Set Status to In progress to count points","OK"))))))))</f>
        <v/>
      </c>
      <c r="J66" s="11">
        <f>IF(OR($A66="",NOT(ISNUMBER($B66))),"",IF($C66="Winner",1,COUNTIFS($D$7:$D$156,$D66,$B$7:$B$156,$B66)-IF(AND(NOT($C66="Winner"),COUNTIFS($D$7:$D$156,$D66,$C$7:$C$156,"Winner",$B$7:$B$156,$B66)&gt;0),1,0)))</f>
        <v/>
      </c>
    </row>
    <row r="67">
      <c r="D67" s="11">
        <f>IF($A67="","",IFERROR(IF(VLOOKUP($A67,Players!$A$2:$B$500,2,FALSE)="","Open",VLOOKUP($A67,Players!$A$2:$B$500,2,FALSE)),"Open"))</f>
        <v/>
      </c>
      <c r="E67" s="11">
        <f>IF(OR($A67="",NOT(ISNUMBER($B67))),"",IF($C67="Winner",1,COUNTIFS($D$7:$D$156,$D67,$B$7:$B$156,"&lt;"&amp;$B67)+1+IF(AND(NOT($C67="Winner"),COUNTIFS($D$7:$D$156,$D67,$C$7:$C$156,"Winner",$B$7:$B$156,$B67)&gt;0),1,0)))</f>
        <v/>
      </c>
      <c r="F67" s="11">
        <f>IF(OR($A67="",NOT(ISNUMBER($B67))),"",COUNTIFS($D$7:$D$156,$D67,$B$7:$B$156,"&gt;0"))</f>
        <v/>
      </c>
      <c r="G67" s="11">
        <f>IF(OR(OR($A67="",NOT(ISNUMBER($B67))),$B$2="Not started"),"",IF($C67="Winner",Points!$B$3,ROUND(Points!$B$3*IF($F67&lt;=1,1,Points!$H$7+(1-Points!$H$7)*((($F67-$E67)*(($F67-$E67)+1)/2)^2-((($F67-$E67-$J67+1)-1)*($F67-$E67-$J67+1)/2)^2)/($J67*($F67-1)^3)),0)))</f>
        <v/>
      </c>
      <c r="H67" s="11">
        <f>IF($A67="","",IF($B$2="Final","Final",IF($B$2="In progress","Projected","Not started")))</f>
        <v/>
      </c>
      <c r="I67" s="11">
        <f>IF($A67="","",IF(COUNTIF(Players!$A$2:$A$500,$A67)=0,"Player is not on the Players tab",IF(COUNTIF($A$7:$A$156,$A67)&gt;1,"Player is listed twice",IF(NOT(ISNUMBER($B67)),"Enter a score",IF(COUNTIFS($D$7:$D$156,$D67,$C$7:$C$156,"Winner")&gt;1,"More than one "&amp;$D67&amp;" winner picked",IF(AND($C67="Winner",COUNTIFS($D$7:$D$156,$D67,$B$7:$B$156,"&lt;"&amp;$B67)&gt;0),"The winner doesn't have the best "&amp;$D67&amp;" score",IF(AND($B$2="Final",COUNTIFS($D$7:$D$156,$D67,$C$7:$C$156,"Winner")=0),"Final: pick the "&amp;$D67&amp;" winner",IF($B$2="Not started","Set Status to In progress to count points","OK"))))))))</f>
        <v/>
      </c>
      <c r="J67" s="11">
        <f>IF(OR($A67="",NOT(ISNUMBER($B67))),"",IF($C67="Winner",1,COUNTIFS($D$7:$D$156,$D67,$B$7:$B$156,$B67)-IF(AND(NOT($C67="Winner"),COUNTIFS($D$7:$D$156,$D67,$C$7:$C$156,"Winner",$B$7:$B$156,$B67)&gt;0),1,0)))</f>
        <v/>
      </c>
    </row>
    <row r="68">
      <c r="D68" s="11">
        <f>IF($A68="","",IFERROR(IF(VLOOKUP($A68,Players!$A$2:$B$500,2,FALSE)="","Open",VLOOKUP($A68,Players!$A$2:$B$500,2,FALSE)),"Open"))</f>
        <v/>
      </c>
      <c r="E68" s="11">
        <f>IF(OR($A68="",NOT(ISNUMBER($B68))),"",IF($C68="Winner",1,COUNTIFS($D$7:$D$156,$D68,$B$7:$B$156,"&lt;"&amp;$B68)+1+IF(AND(NOT($C68="Winner"),COUNTIFS($D$7:$D$156,$D68,$C$7:$C$156,"Winner",$B$7:$B$156,$B68)&gt;0),1,0)))</f>
        <v/>
      </c>
      <c r="F68" s="11">
        <f>IF(OR($A68="",NOT(ISNUMBER($B68))),"",COUNTIFS($D$7:$D$156,$D68,$B$7:$B$156,"&gt;0"))</f>
        <v/>
      </c>
      <c r="G68" s="11">
        <f>IF(OR(OR($A68="",NOT(ISNUMBER($B68))),$B$2="Not started"),"",IF($C68="Winner",Points!$B$3,ROUND(Points!$B$3*IF($F68&lt;=1,1,Points!$H$7+(1-Points!$H$7)*((($F68-$E68)*(($F68-$E68)+1)/2)^2-((($F68-$E68-$J68+1)-1)*($F68-$E68-$J68+1)/2)^2)/($J68*($F68-1)^3)),0)))</f>
        <v/>
      </c>
      <c r="H68" s="11">
        <f>IF($A68="","",IF($B$2="Final","Final",IF($B$2="In progress","Projected","Not started")))</f>
        <v/>
      </c>
      <c r="I68" s="11">
        <f>IF($A68="","",IF(COUNTIF(Players!$A$2:$A$500,$A68)=0,"Player is not on the Players tab",IF(COUNTIF($A$7:$A$156,$A68)&gt;1,"Player is listed twice",IF(NOT(ISNUMBER($B68)),"Enter a score",IF(COUNTIFS($D$7:$D$156,$D68,$C$7:$C$156,"Winner")&gt;1,"More than one "&amp;$D68&amp;" winner picked",IF(AND($C68="Winner",COUNTIFS($D$7:$D$156,$D68,$B$7:$B$156,"&lt;"&amp;$B68)&gt;0),"The winner doesn't have the best "&amp;$D68&amp;" score",IF(AND($B$2="Final",COUNTIFS($D$7:$D$156,$D68,$C$7:$C$156,"Winner")=0),"Final: pick the "&amp;$D68&amp;" winner",IF($B$2="Not started","Set Status to In progress to count points","OK"))))))))</f>
        <v/>
      </c>
      <c r="J68" s="11">
        <f>IF(OR($A68="",NOT(ISNUMBER($B68))),"",IF($C68="Winner",1,COUNTIFS($D$7:$D$156,$D68,$B$7:$B$156,$B68)-IF(AND(NOT($C68="Winner"),COUNTIFS($D$7:$D$156,$D68,$C$7:$C$156,"Winner",$B$7:$B$156,$B68)&gt;0),1,0)))</f>
        <v/>
      </c>
    </row>
    <row r="69">
      <c r="D69" s="11">
        <f>IF($A69="","",IFERROR(IF(VLOOKUP($A69,Players!$A$2:$B$500,2,FALSE)="","Open",VLOOKUP($A69,Players!$A$2:$B$500,2,FALSE)),"Open"))</f>
        <v/>
      </c>
      <c r="E69" s="11">
        <f>IF(OR($A69="",NOT(ISNUMBER($B69))),"",IF($C69="Winner",1,COUNTIFS($D$7:$D$156,$D69,$B$7:$B$156,"&lt;"&amp;$B69)+1+IF(AND(NOT($C69="Winner"),COUNTIFS($D$7:$D$156,$D69,$C$7:$C$156,"Winner",$B$7:$B$156,$B69)&gt;0),1,0)))</f>
        <v/>
      </c>
      <c r="F69" s="11">
        <f>IF(OR($A69="",NOT(ISNUMBER($B69))),"",COUNTIFS($D$7:$D$156,$D69,$B$7:$B$156,"&gt;0"))</f>
        <v/>
      </c>
      <c r="G69" s="11">
        <f>IF(OR(OR($A69="",NOT(ISNUMBER($B69))),$B$2="Not started"),"",IF($C69="Winner",Points!$B$3,ROUND(Points!$B$3*IF($F69&lt;=1,1,Points!$H$7+(1-Points!$H$7)*((($F69-$E69)*(($F69-$E69)+1)/2)^2-((($F69-$E69-$J69+1)-1)*($F69-$E69-$J69+1)/2)^2)/($J69*($F69-1)^3)),0)))</f>
        <v/>
      </c>
      <c r="H69" s="11">
        <f>IF($A69="","",IF($B$2="Final","Final",IF($B$2="In progress","Projected","Not started")))</f>
        <v/>
      </c>
      <c r="I69" s="11">
        <f>IF($A69="","",IF(COUNTIF(Players!$A$2:$A$500,$A69)=0,"Player is not on the Players tab",IF(COUNTIF($A$7:$A$156,$A69)&gt;1,"Player is listed twice",IF(NOT(ISNUMBER($B69)),"Enter a score",IF(COUNTIFS($D$7:$D$156,$D69,$C$7:$C$156,"Winner")&gt;1,"More than one "&amp;$D69&amp;" winner picked",IF(AND($C69="Winner",COUNTIFS($D$7:$D$156,$D69,$B$7:$B$156,"&lt;"&amp;$B69)&gt;0),"The winner doesn't have the best "&amp;$D69&amp;" score",IF(AND($B$2="Final",COUNTIFS($D$7:$D$156,$D69,$C$7:$C$156,"Winner")=0),"Final: pick the "&amp;$D69&amp;" winner",IF($B$2="Not started","Set Status to In progress to count points","OK"))))))))</f>
        <v/>
      </c>
      <c r="J69" s="11">
        <f>IF(OR($A69="",NOT(ISNUMBER($B69))),"",IF($C69="Winner",1,COUNTIFS($D$7:$D$156,$D69,$B$7:$B$156,$B69)-IF(AND(NOT($C69="Winner"),COUNTIFS($D$7:$D$156,$D69,$C$7:$C$156,"Winner",$B$7:$B$156,$B69)&gt;0),1,0)))</f>
        <v/>
      </c>
    </row>
    <row r="70">
      <c r="D70" s="11">
        <f>IF($A70="","",IFERROR(IF(VLOOKUP($A70,Players!$A$2:$B$500,2,FALSE)="","Open",VLOOKUP($A70,Players!$A$2:$B$500,2,FALSE)),"Open"))</f>
        <v/>
      </c>
      <c r="E70" s="11">
        <f>IF(OR($A70="",NOT(ISNUMBER($B70))),"",IF($C70="Winner",1,COUNTIFS($D$7:$D$156,$D70,$B$7:$B$156,"&lt;"&amp;$B70)+1+IF(AND(NOT($C70="Winner"),COUNTIFS($D$7:$D$156,$D70,$C$7:$C$156,"Winner",$B$7:$B$156,$B70)&gt;0),1,0)))</f>
        <v/>
      </c>
      <c r="F70" s="11">
        <f>IF(OR($A70="",NOT(ISNUMBER($B70))),"",COUNTIFS($D$7:$D$156,$D70,$B$7:$B$156,"&gt;0"))</f>
        <v/>
      </c>
      <c r="G70" s="11">
        <f>IF(OR(OR($A70="",NOT(ISNUMBER($B70))),$B$2="Not started"),"",IF($C70="Winner",Points!$B$3,ROUND(Points!$B$3*IF($F70&lt;=1,1,Points!$H$7+(1-Points!$H$7)*((($F70-$E70)*(($F70-$E70)+1)/2)^2-((($F70-$E70-$J70+1)-1)*($F70-$E70-$J70+1)/2)^2)/($J70*($F70-1)^3)),0)))</f>
        <v/>
      </c>
      <c r="H70" s="11">
        <f>IF($A70="","",IF($B$2="Final","Final",IF($B$2="In progress","Projected","Not started")))</f>
        <v/>
      </c>
      <c r="I70" s="11">
        <f>IF($A70="","",IF(COUNTIF(Players!$A$2:$A$500,$A70)=0,"Player is not on the Players tab",IF(COUNTIF($A$7:$A$156,$A70)&gt;1,"Player is listed twice",IF(NOT(ISNUMBER($B70)),"Enter a score",IF(COUNTIFS($D$7:$D$156,$D70,$C$7:$C$156,"Winner")&gt;1,"More than one "&amp;$D70&amp;" winner picked",IF(AND($C70="Winner",COUNTIFS($D$7:$D$156,$D70,$B$7:$B$156,"&lt;"&amp;$B70)&gt;0),"The winner doesn't have the best "&amp;$D70&amp;" score",IF(AND($B$2="Final",COUNTIFS($D$7:$D$156,$D70,$C$7:$C$156,"Winner")=0),"Final: pick the "&amp;$D70&amp;" winner",IF($B$2="Not started","Set Status to In progress to count points","OK"))))))))</f>
        <v/>
      </c>
      <c r="J70" s="11">
        <f>IF(OR($A70="",NOT(ISNUMBER($B70))),"",IF($C70="Winner",1,COUNTIFS($D$7:$D$156,$D70,$B$7:$B$156,$B70)-IF(AND(NOT($C70="Winner"),COUNTIFS($D$7:$D$156,$D70,$C$7:$C$156,"Winner",$B$7:$B$156,$B70)&gt;0),1,0)))</f>
        <v/>
      </c>
    </row>
    <row r="71">
      <c r="D71" s="11">
        <f>IF($A71="","",IFERROR(IF(VLOOKUP($A71,Players!$A$2:$B$500,2,FALSE)="","Open",VLOOKUP($A71,Players!$A$2:$B$500,2,FALSE)),"Open"))</f>
        <v/>
      </c>
      <c r="E71" s="11">
        <f>IF(OR($A71="",NOT(ISNUMBER($B71))),"",IF($C71="Winner",1,COUNTIFS($D$7:$D$156,$D71,$B$7:$B$156,"&lt;"&amp;$B71)+1+IF(AND(NOT($C71="Winner"),COUNTIFS($D$7:$D$156,$D71,$C$7:$C$156,"Winner",$B$7:$B$156,$B71)&gt;0),1,0)))</f>
        <v/>
      </c>
      <c r="F71" s="11">
        <f>IF(OR($A71="",NOT(ISNUMBER($B71))),"",COUNTIFS($D$7:$D$156,$D71,$B$7:$B$156,"&gt;0"))</f>
        <v/>
      </c>
      <c r="G71" s="11">
        <f>IF(OR(OR($A71="",NOT(ISNUMBER($B71))),$B$2="Not started"),"",IF($C71="Winner",Points!$B$3,ROUND(Points!$B$3*IF($F71&lt;=1,1,Points!$H$7+(1-Points!$H$7)*((($F71-$E71)*(($F71-$E71)+1)/2)^2-((($F71-$E71-$J71+1)-1)*($F71-$E71-$J71+1)/2)^2)/($J71*($F71-1)^3)),0)))</f>
        <v/>
      </c>
      <c r="H71" s="11">
        <f>IF($A71="","",IF($B$2="Final","Final",IF($B$2="In progress","Projected","Not started")))</f>
        <v/>
      </c>
      <c r="I71" s="11">
        <f>IF($A71="","",IF(COUNTIF(Players!$A$2:$A$500,$A71)=0,"Player is not on the Players tab",IF(COUNTIF($A$7:$A$156,$A71)&gt;1,"Player is listed twice",IF(NOT(ISNUMBER($B71)),"Enter a score",IF(COUNTIFS($D$7:$D$156,$D71,$C$7:$C$156,"Winner")&gt;1,"More than one "&amp;$D71&amp;" winner picked",IF(AND($C71="Winner",COUNTIFS($D$7:$D$156,$D71,$B$7:$B$156,"&lt;"&amp;$B71)&gt;0),"The winner doesn't have the best "&amp;$D71&amp;" score",IF(AND($B$2="Final",COUNTIFS($D$7:$D$156,$D71,$C$7:$C$156,"Winner")=0),"Final: pick the "&amp;$D71&amp;" winner",IF($B$2="Not started","Set Status to In progress to count points","OK"))))))))</f>
        <v/>
      </c>
      <c r="J71" s="11">
        <f>IF(OR($A71="",NOT(ISNUMBER($B71))),"",IF($C71="Winner",1,COUNTIFS($D$7:$D$156,$D71,$B$7:$B$156,$B71)-IF(AND(NOT($C71="Winner"),COUNTIFS($D$7:$D$156,$D71,$C$7:$C$156,"Winner",$B$7:$B$156,$B71)&gt;0),1,0)))</f>
        <v/>
      </c>
    </row>
    <row r="72">
      <c r="D72" s="11">
        <f>IF($A72="","",IFERROR(IF(VLOOKUP($A72,Players!$A$2:$B$500,2,FALSE)="","Open",VLOOKUP($A72,Players!$A$2:$B$500,2,FALSE)),"Open"))</f>
        <v/>
      </c>
      <c r="E72" s="11">
        <f>IF(OR($A72="",NOT(ISNUMBER($B72))),"",IF($C72="Winner",1,COUNTIFS($D$7:$D$156,$D72,$B$7:$B$156,"&lt;"&amp;$B72)+1+IF(AND(NOT($C72="Winner"),COUNTIFS($D$7:$D$156,$D72,$C$7:$C$156,"Winner",$B$7:$B$156,$B72)&gt;0),1,0)))</f>
        <v/>
      </c>
      <c r="F72" s="11">
        <f>IF(OR($A72="",NOT(ISNUMBER($B72))),"",COUNTIFS($D$7:$D$156,$D72,$B$7:$B$156,"&gt;0"))</f>
        <v/>
      </c>
      <c r="G72" s="11">
        <f>IF(OR(OR($A72="",NOT(ISNUMBER($B72))),$B$2="Not started"),"",IF($C72="Winner",Points!$B$3,ROUND(Points!$B$3*IF($F72&lt;=1,1,Points!$H$7+(1-Points!$H$7)*((($F72-$E72)*(($F72-$E72)+1)/2)^2-((($F72-$E72-$J72+1)-1)*($F72-$E72-$J72+1)/2)^2)/($J72*($F72-1)^3)),0)))</f>
        <v/>
      </c>
      <c r="H72" s="11">
        <f>IF($A72="","",IF($B$2="Final","Final",IF($B$2="In progress","Projected","Not started")))</f>
        <v/>
      </c>
      <c r="I72" s="11">
        <f>IF($A72="","",IF(COUNTIF(Players!$A$2:$A$500,$A72)=0,"Player is not on the Players tab",IF(COUNTIF($A$7:$A$156,$A72)&gt;1,"Player is listed twice",IF(NOT(ISNUMBER($B72)),"Enter a score",IF(COUNTIFS($D$7:$D$156,$D72,$C$7:$C$156,"Winner")&gt;1,"More than one "&amp;$D72&amp;" winner picked",IF(AND($C72="Winner",COUNTIFS($D$7:$D$156,$D72,$B$7:$B$156,"&lt;"&amp;$B72)&gt;0),"The winner doesn't have the best "&amp;$D72&amp;" score",IF(AND($B$2="Final",COUNTIFS($D$7:$D$156,$D72,$C$7:$C$156,"Winner")=0),"Final: pick the "&amp;$D72&amp;" winner",IF($B$2="Not started","Set Status to In progress to count points","OK"))))))))</f>
        <v/>
      </c>
      <c r="J72" s="11">
        <f>IF(OR($A72="",NOT(ISNUMBER($B72))),"",IF($C72="Winner",1,COUNTIFS($D$7:$D$156,$D72,$B$7:$B$156,$B72)-IF(AND(NOT($C72="Winner"),COUNTIFS($D$7:$D$156,$D72,$C$7:$C$156,"Winner",$B$7:$B$156,$B72)&gt;0),1,0)))</f>
        <v/>
      </c>
    </row>
    <row r="73">
      <c r="D73" s="11">
        <f>IF($A73="","",IFERROR(IF(VLOOKUP($A73,Players!$A$2:$B$500,2,FALSE)="","Open",VLOOKUP($A73,Players!$A$2:$B$500,2,FALSE)),"Open"))</f>
        <v/>
      </c>
      <c r="E73" s="11">
        <f>IF(OR($A73="",NOT(ISNUMBER($B73))),"",IF($C73="Winner",1,COUNTIFS($D$7:$D$156,$D73,$B$7:$B$156,"&lt;"&amp;$B73)+1+IF(AND(NOT($C73="Winner"),COUNTIFS($D$7:$D$156,$D73,$C$7:$C$156,"Winner",$B$7:$B$156,$B73)&gt;0),1,0)))</f>
        <v/>
      </c>
      <c r="F73" s="11">
        <f>IF(OR($A73="",NOT(ISNUMBER($B73))),"",COUNTIFS($D$7:$D$156,$D73,$B$7:$B$156,"&gt;0"))</f>
        <v/>
      </c>
      <c r="G73" s="11">
        <f>IF(OR(OR($A73="",NOT(ISNUMBER($B73))),$B$2="Not started"),"",IF($C73="Winner",Points!$B$3,ROUND(Points!$B$3*IF($F73&lt;=1,1,Points!$H$7+(1-Points!$H$7)*((($F73-$E73)*(($F73-$E73)+1)/2)^2-((($F73-$E73-$J73+1)-1)*($F73-$E73-$J73+1)/2)^2)/($J73*($F73-1)^3)),0)))</f>
        <v/>
      </c>
      <c r="H73" s="11">
        <f>IF($A73="","",IF($B$2="Final","Final",IF($B$2="In progress","Projected","Not started")))</f>
        <v/>
      </c>
      <c r="I73" s="11">
        <f>IF($A73="","",IF(COUNTIF(Players!$A$2:$A$500,$A73)=0,"Player is not on the Players tab",IF(COUNTIF($A$7:$A$156,$A73)&gt;1,"Player is listed twice",IF(NOT(ISNUMBER($B73)),"Enter a score",IF(COUNTIFS($D$7:$D$156,$D73,$C$7:$C$156,"Winner")&gt;1,"More than one "&amp;$D73&amp;" winner picked",IF(AND($C73="Winner",COUNTIFS($D$7:$D$156,$D73,$B$7:$B$156,"&lt;"&amp;$B73)&gt;0),"The winner doesn't have the best "&amp;$D73&amp;" score",IF(AND($B$2="Final",COUNTIFS($D$7:$D$156,$D73,$C$7:$C$156,"Winner")=0),"Final: pick the "&amp;$D73&amp;" winner",IF($B$2="Not started","Set Status to In progress to count points","OK"))))))))</f>
        <v/>
      </c>
      <c r="J73" s="11">
        <f>IF(OR($A73="",NOT(ISNUMBER($B73))),"",IF($C73="Winner",1,COUNTIFS($D$7:$D$156,$D73,$B$7:$B$156,$B73)-IF(AND(NOT($C73="Winner"),COUNTIFS($D$7:$D$156,$D73,$C$7:$C$156,"Winner",$B$7:$B$156,$B73)&gt;0),1,0)))</f>
        <v/>
      </c>
    </row>
    <row r="74">
      <c r="D74" s="11">
        <f>IF($A74="","",IFERROR(IF(VLOOKUP($A74,Players!$A$2:$B$500,2,FALSE)="","Open",VLOOKUP($A74,Players!$A$2:$B$500,2,FALSE)),"Open"))</f>
        <v/>
      </c>
      <c r="E74" s="11">
        <f>IF(OR($A74="",NOT(ISNUMBER($B74))),"",IF($C74="Winner",1,COUNTIFS($D$7:$D$156,$D74,$B$7:$B$156,"&lt;"&amp;$B74)+1+IF(AND(NOT($C74="Winner"),COUNTIFS($D$7:$D$156,$D74,$C$7:$C$156,"Winner",$B$7:$B$156,$B74)&gt;0),1,0)))</f>
        <v/>
      </c>
      <c r="F74" s="11">
        <f>IF(OR($A74="",NOT(ISNUMBER($B74))),"",COUNTIFS($D$7:$D$156,$D74,$B$7:$B$156,"&gt;0"))</f>
        <v/>
      </c>
      <c r="G74" s="11">
        <f>IF(OR(OR($A74="",NOT(ISNUMBER($B74))),$B$2="Not started"),"",IF($C74="Winner",Points!$B$3,ROUND(Points!$B$3*IF($F74&lt;=1,1,Points!$H$7+(1-Points!$H$7)*((($F74-$E74)*(($F74-$E74)+1)/2)^2-((($F74-$E74-$J74+1)-1)*($F74-$E74-$J74+1)/2)^2)/($J74*($F74-1)^3)),0)))</f>
        <v/>
      </c>
      <c r="H74" s="11">
        <f>IF($A74="","",IF($B$2="Final","Final",IF($B$2="In progress","Projected","Not started")))</f>
        <v/>
      </c>
      <c r="I74" s="11">
        <f>IF($A74="","",IF(COUNTIF(Players!$A$2:$A$500,$A74)=0,"Player is not on the Players tab",IF(COUNTIF($A$7:$A$156,$A74)&gt;1,"Player is listed twice",IF(NOT(ISNUMBER($B74)),"Enter a score",IF(COUNTIFS($D$7:$D$156,$D74,$C$7:$C$156,"Winner")&gt;1,"More than one "&amp;$D74&amp;" winner picked",IF(AND($C74="Winner",COUNTIFS($D$7:$D$156,$D74,$B$7:$B$156,"&lt;"&amp;$B74)&gt;0),"The winner doesn't have the best "&amp;$D74&amp;" score",IF(AND($B$2="Final",COUNTIFS($D$7:$D$156,$D74,$C$7:$C$156,"Winner")=0),"Final: pick the "&amp;$D74&amp;" winner",IF($B$2="Not started","Set Status to In progress to count points","OK"))))))))</f>
        <v/>
      </c>
      <c r="J74" s="11">
        <f>IF(OR($A74="",NOT(ISNUMBER($B74))),"",IF($C74="Winner",1,COUNTIFS($D$7:$D$156,$D74,$B$7:$B$156,$B74)-IF(AND(NOT($C74="Winner"),COUNTIFS($D$7:$D$156,$D74,$C$7:$C$156,"Winner",$B$7:$B$156,$B74)&gt;0),1,0)))</f>
        <v/>
      </c>
    </row>
    <row r="75">
      <c r="D75" s="11">
        <f>IF($A75="","",IFERROR(IF(VLOOKUP($A75,Players!$A$2:$B$500,2,FALSE)="","Open",VLOOKUP($A75,Players!$A$2:$B$500,2,FALSE)),"Open"))</f>
        <v/>
      </c>
      <c r="E75" s="11">
        <f>IF(OR($A75="",NOT(ISNUMBER($B75))),"",IF($C75="Winner",1,COUNTIFS($D$7:$D$156,$D75,$B$7:$B$156,"&lt;"&amp;$B75)+1+IF(AND(NOT($C75="Winner"),COUNTIFS($D$7:$D$156,$D75,$C$7:$C$156,"Winner",$B$7:$B$156,$B75)&gt;0),1,0)))</f>
        <v/>
      </c>
      <c r="F75" s="11">
        <f>IF(OR($A75="",NOT(ISNUMBER($B75))),"",COUNTIFS($D$7:$D$156,$D75,$B$7:$B$156,"&gt;0"))</f>
        <v/>
      </c>
      <c r="G75" s="11">
        <f>IF(OR(OR($A75="",NOT(ISNUMBER($B75))),$B$2="Not started"),"",IF($C75="Winner",Points!$B$3,ROUND(Points!$B$3*IF($F75&lt;=1,1,Points!$H$7+(1-Points!$H$7)*((($F75-$E75)*(($F75-$E75)+1)/2)^2-((($F75-$E75-$J75+1)-1)*($F75-$E75-$J75+1)/2)^2)/($J75*($F75-1)^3)),0)))</f>
        <v/>
      </c>
      <c r="H75" s="11">
        <f>IF($A75="","",IF($B$2="Final","Final",IF($B$2="In progress","Projected","Not started")))</f>
        <v/>
      </c>
      <c r="I75" s="11">
        <f>IF($A75="","",IF(COUNTIF(Players!$A$2:$A$500,$A75)=0,"Player is not on the Players tab",IF(COUNTIF($A$7:$A$156,$A75)&gt;1,"Player is listed twice",IF(NOT(ISNUMBER($B75)),"Enter a score",IF(COUNTIFS($D$7:$D$156,$D75,$C$7:$C$156,"Winner")&gt;1,"More than one "&amp;$D75&amp;" winner picked",IF(AND($C75="Winner",COUNTIFS($D$7:$D$156,$D75,$B$7:$B$156,"&lt;"&amp;$B75)&gt;0),"The winner doesn't have the best "&amp;$D75&amp;" score",IF(AND($B$2="Final",COUNTIFS($D$7:$D$156,$D75,$C$7:$C$156,"Winner")=0),"Final: pick the "&amp;$D75&amp;" winner",IF($B$2="Not started","Set Status to In progress to count points","OK"))))))))</f>
        <v/>
      </c>
      <c r="J75" s="11">
        <f>IF(OR($A75="",NOT(ISNUMBER($B75))),"",IF($C75="Winner",1,COUNTIFS($D$7:$D$156,$D75,$B$7:$B$156,$B75)-IF(AND(NOT($C75="Winner"),COUNTIFS($D$7:$D$156,$D75,$C$7:$C$156,"Winner",$B$7:$B$156,$B75)&gt;0),1,0)))</f>
        <v/>
      </c>
    </row>
    <row r="76">
      <c r="D76" s="11">
        <f>IF($A76="","",IFERROR(IF(VLOOKUP($A76,Players!$A$2:$B$500,2,FALSE)="","Open",VLOOKUP($A76,Players!$A$2:$B$500,2,FALSE)),"Open"))</f>
        <v/>
      </c>
      <c r="E76" s="11">
        <f>IF(OR($A76="",NOT(ISNUMBER($B76))),"",IF($C76="Winner",1,COUNTIFS($D$7:$D$156,$D76,$B$7:$B$156,"&lt;"&amp;$B76)+1+IF(AND(NOT($C76="Winner"),COUNTIFS($D$7:$D$156,$D76,$C$7:$C$156,"Winner",$B$7:$B$156,$B76)&gt;0),1,0)))</f>
        <v/>
      </c>
      <c r="F76" s="11">
        <f>IF(OR($A76="",NOT(ISNUMBER($B76))),"",COUNTIFS($D$7:$D$156,$D76,$B$7:$B$156,"&gt;0"))</f>
        <v/>
      </c>
      <c r="G76" s="11">
        <f>IF(OR(OR($A76="",NOT(ISNUMBER($B76))),$B$2="Not started"),"",IF($C76="Winner",Points!$B$3,ROUND(Points!$B$3*IF($F76&lt;=1,1,Points!$H$7+(1-Points!$H$7)*((($F76-$E76)*(($F76-$E76)+1)/2)^2-((($F76-$E76-$J76+1)-1)*($F76-$E76-$J76+1)/2)^2)/($J76*($F76-1)^3)),0)))</f>
        <v/>
      </c>
      <c r="H76" s="11">
        <f>IF($A76="","",IF($B$2="Final","Final",IF($B$2="In progress","Projected","Not started")))</f>
        <v/>
      </c>
      <c r="I76" s="11">
        <f>IF($A76="","",IF(COUNTIF(Players!$A$2:$A$500,$A76)=0,"Player is not on the Players tab",IF(COUNTIF($A$7:$A$156,$A76)&gt;1,"Player is listed twice",IF(NOT(ISNUMBER($B76)),"Enter a score",IF(COUNTIFS($D$7:$D$156,$D76,$C$7:$C$156,"Winner")&gt;1,"More than one "&amp;$D76&amp;" winner picked",IF(AND($C76="Winner",COUNTIFS($D$7:$D$156,$D76,$B$7:$B$156,"&lt;"&amp;$B76)&gt;0),"The winner doesn't have the best "&amp;$D76&amp;" score",IF(AND($B$2="Final",COUNTIFS($D$7:$D$156,$D76,$C$7:$C$156,"Winner")=0),"Final: pick the "&amp;$D76&amp;" winner",IF($B$2="Not started","Set Status to In progress to count points","OK"))))))))</f>
        <v/>
      </c>
      <c r="J76" s="11">
        <f>IF(OR($A76="",NOT(ISNUMBER($B76))),"",IF($C76="Winner",1,COUNTIFS($D$7:$D$156,$D76,$B$7:$B$156,$B76)-IF(AND(NOT($C76="Winner"),COUNTIFS($D$7:$D$156,$D76,$C$7:$C$156,"Winner",$B$7:$B$156,$B76)&gt;0),1,0)))</f>
        <v/>
      </c>
    </row>
    <row r="77">
      <c r="D77" s="11">
        <f>IF($A77="","",IFERROR(IF(VLOOKUP($A77,Players!$A$2:$B$500,2,FALSE)="","Open",VLOOKUP($A77,Players!$A$2:$B$500,2,FALSE)),"Open"))</f>
        <v/>
      </c>
      <c r="E77" s="11">
        <f>IF(OR($A77="",NOT(ISNUMBER($B77))),"",IF($C77="Winner",1,COUNTIFS($D$7:$D$156,$D77,$B$7:$B$156,"&lt;"&amp;$B77)+1+IF(AND(NOT($C77="Winner"),COUNTIFS($D$7:$D$156,$D77,$C$7:$C$156,"Winner",$B$7:$B$156,$B77)&gt;0),1,0)))</f>
        <v/>
      </c>
      <c r="F77" s="11">
        <f>IF(OR($A77="",NOT(ISNUMBER($B77))),"",COUNTIFS($D$7:$D$156,$D77,$B$7:$B$156,"&gt;0"))</f>
        <v/>
      </c>
      <c r="G77" s="11">
        <f>IF(OR(OR($A77="",NOT(ISNUMBER($B77))),$B$2="Not started"),"",IF($C77="Winner",Points!$B$3,ROUND(Points!$B$3*IF($F77&lt;=1,1,Points!$H$7+(1-Points!$H$7)*((($F77-$E77)*(($F77-$E77)+1)/2)^2-((($F77-$E77-$J77+1)-1)*($F77-$E77-$J77+1)/2)^2)/($J77*($F77-1)^3)),0)))</f>
        <v/>
      </c>
      <c r="H77" s="11">
        <f>IF($A77="","",IF($B$2="Final","Final",IF($B$2="In progress","Projected","Not started")))</f>
        <v/>
      </c>
      <c r="I77" s="11">
        <f>IF($A77="","",IF(COUNTIF(Players!$A$2:$A$500,$A77)=0,"Player is not on the Players tab",IF(COUNTIF($A$7:$A$156,$A77)&gt;1,"Player is listed twice",IF(NOT(ISNUMBER($B77)),"Enter a score",IF(COUNTIFS($D$7:$D$156,$D77,$C$7:$C$156,"Winner")&gt;1,"More than one "&amp;$D77&amp;" winner picked",IF(AND($C77="Winner",COUNTIFS($D$7:$D$156,$D77,$B$7:$B$156,"&lt;"&amp;$B77)&gt;0),"The winner doesn't have the best "&amp;$D77&amp;" score",IF(AND($B$2="Final",COUNTIFS($D$7:$D$156,$D77,$C$7:$C$156,"Winner")=0),"Final: pick the "&amp;$D77&amp;" winner",IF($B$2="Not started","Set Status to In progress to count points","OK"))))))))</f>
        <v/>
      </c>
      <c r="J77" s="11">
        <f>IF(OR($A77="",NOT(ISNUMBER($B77))),"",IF($C77="Winner",1,COUNTIFS($D$7:$D$156,$D77,$B$7:$B$156,$B77)-IF(AND(NOT($C77="Winner"),COUNTIFS($D$7:$D$156,$D77,$C$7:$C$156,"Winner",$B$7:$B$156,$B77)&gt;0),1,0)))</f>
        <v/>
      </c>
    </row>
    <row r="78">
      <c r="D78" s="11">
        <f>IF($A78="","",IFERROR(IF(VLOOKUP($A78,Players!$A$2:$B$500,2,FALSE)="","Open",VLOOKUP($A78,Players!$A$2:$B$500,2,FALSE)),"Open"))</f>
        <v/>
      </c>
      <c r="E78" s="11">
        <f>IF(OR($A78="",NOT(ISNUMBER($B78))),"",IF($C78="Winner",1,COUNTIFS($D$7:$D$156,$D78,$B$7:$B$156,"&lt;"&amp;$B78)+1+IF(AND(NOT($C78="Winner"),COUNTIFS($D$7:$D$156,$D78,$C$7:$C$156,"Winner",$B$7:$B$156,$B78)&gt;0),1,0)))</f>
        <v/>
      </c>
      <c r="F78" s="11">
        <f>IF(OR($A78="",NOT(ISNUMBER($B78))),"",COUNTIFS($D$7:$D$156,$D78,$B$7:$B$156,"&gt;0"))</f>
        <v/>
      </c>
      <c r="G78" s="11">
        <f>IF(OR(OR($A78="",NOT(ISNUMBER($B78))),$B$2="Not started"),"",IF($C78="Winner",Points!$B$3,ROUND(Points!$B$3*IF($F78&lt;=1,1,Points!$H$7+(1-Points!$H$7)*((($F78-$E78)*(($F78-$E78)+1)/2)^2-((($F78-$E78-$J78+1)-1)*($F78-$E78-$J78+1)/2)^2)/($J78*($F78-1)^3)),0)))</f>
        <v/>
      </c>
      <c r="H78" s="11">
        <f>IF($A78="","",IF($B$2="Final","Final",IF($B$2="In progress","Projected","Not started")))</f>
        <v/>
      </c>
      <c r="I78" s="11">
        <f>IF($A78="","",IF(COUNTIF(Players!$A$2:$A$500,$A78)=0,"Player is not on the Players tab",IF(COUNTIF($A$7:$A$156,$A78)&gt;1,"Player is listed twice",IF(NOT(ISNUMBER($B78)),"Enter a score",IF(COUNTIFS($D$7:$D$156,$D78,$C$7:$C$156,"Winner")&gt;1,"More than one "&amp;$D78&amp;" winner picked",IF(AND($C78="Winner",COUNTIFS($D$7:$D$156,$D78,$B$7:$B$156,"&lt;"&amp;$B78)&gt;0),"The winner doesn't have the best "&amp;$D78&amp;" score",IF(AND($B$2="Final",COUNTIFS($D$7:$D$156,$D78,$C$7:$C$156,"Winner")=0),"Final: pick the "&amp;$D78&amp;" winner",IF($B$2="Not started","Set Status to In progress to count points","OK"))))))))</f>
        <v/>
      </c>
      <c r="J78" s="11">
        <f>IF(OR($A78="",NOT(ISNUMBER($B78))),"",IF($C78="Winner",1,COUNTIFS($D$7:$D$156,$D78,$B$7:$B$156,$B78)-IF(AND(NOT($C78="Winner"),COUNTIFS($D$7:$D$156,$D78,$C$7:$C$156,"Winner",$B$7:$B$156,$B78)&gt;0),1,0)))</f>
        <v/>
      </c>
    </row>
    <row r="79">
      <c r="D79" s="11">
        <f>IF($A79="","",IFERROR(IF(VLOOKUP($A79,Players!$A$2:$B$500,2,FALSE)="","Open",VLOOKUP($A79,Players!$A$2:$B$500,2,FALSE)),"Open"))</f>
        <v/>
      </c>
      <c r="E79" s="11">
        <f>IF(OR($A79="",NOT(ISNUMBER($B79))),"",IF($C79="Winner",1,COUNTIFS($D$7:$D$156,$D79,$B$7:$B$156,"&lt;"&amp;$B79)+1+IF(AND(NOT($C79="Winner"),COUNTIFS($D$7:$D$156,$D79,$C$7:$C$156,"Winner",$B$7:$B$156,$B79)&gt;0),1,0)))</f>
        <v/>
      </c>
      <c r="F79" s="11">
        <f>IF(OR($A79="",NOT(ISNUMBER($B79))),"",COUNTIFS($D$7:$D$156,$D79,$B$7:$B$156,"&gt;0"))</f>
        <v/>
      </c>
      <c r="G79" s="11">
        <f>IF(OR(OR($A79="",NOT(ISNUMBER($B79))),$B$2="Not started"),"",IF($C79="Winner",Points!$B$3,ROUND(Points!$B$3*IF($F79&lt;=1,1,Points!$H$7+(1-Points!$H$7)*((($F79-$E79)*(($F79-$E79)+1)/2)^2-((($F79-$E79-$J79+1)-1)*($F79-$E79-$J79+1)/2)^2)/($J79*($F79-1)^3)),0)))</f>
        <v/>
      </c>
      <c r="H79" s="11">
        <f>IF($A79="","",IF($B$2="Final","Final",IF($B$2="In progress","Projected","Not started")))</f>
        <v/>
      </c>
      <c r="I79" s="11">
        <f>IF($A79="","",IF(COUNTIF(Players!$A$2:$A$500,$A79)=0,"Player is not on the Players tab",IF(COUNTIF($A$7:$A$156,$A79)&gt;1,"Player is listed twice",IF(NOT(ISNUMBER($B79)),"Enter a score",IF(COUNTIFS($D$7:$D$156,$D79,$C$7:$C$156,"Winner")&gt;1,"More than one "&amp;$D79&amp;" winner picked",IF(AND($C79="Winner",COUNTIFS($D$7:$D$156,$D79,$B$7:$B$156,"&lt;"&amp;$B79)&gt;0),"The winner doesn't have the best "&amp;$D79&amp;" score",IF(AND($B$2="Final",COUNTIFS($D$7:$D$156,$D79,$C$7:$C$156,"Winner")=0),"Final: pick the "&amp;$D79&amp;" winner",IF($B$2="Not started","Set Status to In progress to count points","OK"))))))))</f>
        <v/>
      </c>
      <c r="J79" s="11">
        <f>IF(OR($A79="",NOT(ISNUMBER($B79))),"",IF($C79="Winner",1,COUNTIFS($D$7:$D$156,$D79,$B$7:$B$156,$B79)-IF(AND(NOT($C79="Winner"),COUNTIFS($D$7:$D$156,$D79,$C$7:$C$156,"Winner",$B$7:$B$156,$B79)&gt;0),1,0)))</f>
        <v/>
      </c>
    </row>
    <row r="80">
      <c r="D80" s="11">
        <f>IF($A80="","",IFERROR(IF(VLOOKUP($A80,Players!$A$2:$B$500,2,FALSE)="","Open",VLOOKUP($A80,Players!$A$2:$B$500,2,FALSE)),"Open"))</f>
        <v/>
      </c>
      <c r="E80" s="11">
        <f>IF(OR($A80="",NOT(ISNUMBER($B80))),"",IF($C80="Winner",1,COUNTIFS($D$7:$D$156,$D80,$B$7:$B$156,"&lt;"&amp;$B80)+1+IF(AND(NOT($C80="Winner"),COUNTIFS($D$7:$D$156,$D80,$C$7:$C$156,"Winner",$B$7:$B$156,$B80)&gt;0),1,0)))</f>
        <v/>
      </c>
      <c r="F80" s="11">
        <f>IF(OR($A80="",NOT(ISNUMBER($B80))),"",COUNTIFS($D$7:$D$156,$D80,$B$7:$B$156,"&gt;0"))</f>
        <v/>
      </c>
      <c r="G80" s="11">
        <f>IF(OR(OR($A80="",NOT(ISNUMBER($B80))),$B$2="Not started"),"",IF($C80="Winner",Points!$B$3,ROUND(Points!$B$3*IF($F80&lt;=1,1,Points!$H$7+(1-Points!$H$7)*((($F80-$E80)*(($F80-$E80)+1)/2)^2-((($F80-$E80-$J80+1)-1)*($F80-$E80-$J80+1)/2)^2)/($J80*($F80-1)^3)),0)))</f>
        <v/>
      </c>
      <c r="H80" s="11">
        <f>IF($A80="","",IF($B$2="Final","Final",IF($B$2="In progress","Projected","Not started")))</f>
        <v/>
      </c>
      <c r="I80" s="11">
        <f>IF($A80="","",IF(COUNTIF(Players!$A$2:$A$500,$A80)=0,"Player is not on the Players tab",IF(COUNTIF($A$7:$A$156,$A80)&gt;1,"Player is listed twice",IF(NOT(ISNUMBER($B80)),"Enter a score",IF(COUNTIFS($D$7:$D$156,$D80,$C$7:$C$156,"Winner")&gt;1,"More than one "&amp;$D80&amp;" winner picked",IF(AND($C80="Winner",COUNTIFS($D$7:$D$156,$D80,$B$7:$B$156,"&lt;"&amp;$B80)&gt;0),"The winner doesn't have the best "&amp;$D80&amp;" score",IF(AND($B$2="Final",COUNTIFS($D$7:$D$156,$D80,$C$7:$C$156,"Winner")=0),"Final: pick the "&amp;$D80&amp;" winner",IF($B$2="Not started","Set Status to In progress to count points","OK"))))))))</f>
        <v/>
      </c>
      <c r="J80" s="11">
        <f>IF(OR($A80="",NOT(ISNUMBER($B80))),"",IF($C80="Winner",1,COUNTIFS($D$7:$D$156,$D80,$B$7:$B$156,$B80)-IF(AND(NOT($C80="Winner"),COUNTIFS($D$7:$D$156,$D80,$C$7:$C$156,"Winner",$B$7:$B$156,$B80)&gt;0),1,0)))</f>
        <v/>
      </c>
    </row>
    <row r="81">
      <c r="D81" s="11">
        <f>IF($A81="","",IFERROR(IF(VLOOKUP($A81,Players!$A$2:$B$500,2,FALSE)="","Open",VLOOKUP($A81,Players!$A$2:$B$500,2,FALSE)),"Open"))</f>
        <v/>
      </c>
      <c r="E81" s="11">
        <f>IF(OR($A81="",NOT(ISNUMBER($B81))),"",IF($C81="Winner",1,COUNTIFS($D$7:$D$156,$D81,$B$7:$B$156,"&lt;"&amp;$B81)+1+IF(AND(NOT($C81="Winner"),COUNTIFS($D$7:$D$156,$D81,$C$7:$C$156,"Winner",$B$7:$B$156,$B81)&gt;0),1,0)))</f>
        <v/>
      </c>
      <c r="F81" s="11">
        <f>IF(OR($A81="",NOT(ISNUMBER($B81))),"",COUNTIFS($D$7:$D$156,$D81,$B$7:$B$156,"&gt;0"))</f>
        <v/>
      </c>
      <c r="G81" s="11">
        <f>IF(OR(OR($A81="",NOT(ISNUMBER($B81))),$B$2="Not started"),"",IF($C81="Winner",Points!$B$3,ROUND(Points!$B$3*IF($F81&lt;=1,1,Points!$H$7+(1-Points!$H$7)*((($F81-$E81)*(($F81-$E81)+1)/2)^2-((($F81-$E81-$J81+1)-1)*($F81-$E81-$J81+1)/2)^2)/($J81*($F81-1)^3)),0)))</f>
        <v/>
      </c>
      <c r="H81" s="11">
        <f>IF($A81="","",IF($B$2="Final","Final",IF($B$2="In progress","Projected","Not started")))</f>
        <v/>
      </c>
      <c r="I81" s="11">
        <f>IF($A81="","",IF(COUNTIF(Players!$A$2:$A$500,$A81)=0,"Player is not on the Players tab",IF(COUNTIF($A$7:$A$156,$A81)&gt;1,"Player is listed twice",IF(NOT(ISNUMBER($B81)),"Enter a score",IF(COUNTIFS($D$7:$D$156,$D81,$C$7:$C$156,"Winner")&gt;1,"More than one "&amp;$D81&amp;" winner picked",IF(AND($C81="Winner",COUNTIFS($D$7:$D$156,$D81,$B$7:$B$156,"&lt;"&amp;$B81)&gt;0),"The winner doesn't have the best "&amp;$D81&amp;" score",IF(AND($B$2="Final",COUNTIFS($D$7:$D$156,$D81,$C$7:$C$156,"Winner")=0),"Final: pick the "&amp;$D81&amp;" winner",IF($B$2="Not started","Set Status to In progress to count points","OK"))))))))</f>
        <v/>
      </c>
      <c r="J81" s="11">
        <f>IF(OR($A81="",NOT(ISNUMBER($B81))),"",IF($C81="Winner",1,COUNTIFS($D$7:$D$156,$D81,$B$7:$B$156,$B81)-IF(AND(NOT($C81="Winner"),COUNTIFS($D$7:$D$156,$D81,$C$7:$C$156,"Winner",$B$7:$B$156,$B81)&gt;0),1,0)))</f>
        <v/>
      </c>
    </row>
    <row r="82">
      <c r="D82" s="11">
        <f>IF($A82="","",IFERROR(IF(VLOOKUP($A82,Players!$A$2:$B$500,2,FALSE)="","Open",VLOOKUP($A82,Players!$A$2:$B$500,2,FALSE)),"Open"))</f>
        <v/>
      </c>
      <c r="E82" s="11">
        <f>IF(OR($A82="",NOT(ISNUMBER($B82))),"",IF($C82="Winner",1,COUNTIFS($D$7:$D$156,$D82,$B$7:$B$156,"&lt;"&amp;$B82)+1+IF(AND(NOT($C82="Winner"),COUNTIFS($D$7:$D$156,$D82,$C$7:$C$156,"Winner",$B$7:$B$156,$B82)&gt;0),1,0)))</f>
        <v/>
      </c>
      <c r="F82" s="11">
        <f>IF(OR($A82="",NOT(ISNUMBER($B82))),"",COUNTIFS($D$7:$D$156,$D82,$B$7:$B$156,"&gt;0"))</f>
        <v/>
      </c>
      <c r="G82" s="11">
        <f>IF(OR(OR($A82="",NOT(ISNUMBER($B82))),$B$2="Not started"),"",IF($C82="Winner",Points!$B$3,ROUND(Points!$B$3*IF($F82&lt;=1,1,Points!$H$7+(1-Points!$H$7)*((($F82-$E82)*(($F82-$E82)+1)/2)^2-((($F82-$E82-$J82+1)-1)*($F82-$E82-$J82+1)/2)^2)/($J82*($F82-1)^3)),0)))</f>
        <v/>
      </c>
      <c r="H82" s="11">
        <f>IF($A82="","",IF($B$2="Final","Final",IF($B$2="In progress","Projected","Not started")))</f>
        <v/>
      </c>
      <c r="I82" s="11">
        <f>IF($A82="","",IF(COUNTIF(Players!$A$2:$A$500,$A82)=0,"Player is not on the Players tab",IF(COUNTIF($A$7:$A$156,$A82)&gt;1,"Player is listed twice",IF(NOT(ISNUMBER($B82)),"Enter a score",IF(COUNTIFS($D$7:$D$156,$D82,$C$7:$C$156,"Winner")&gt;1,"More than one "&amp;$D82&amp;" winner picked",IF(AND($C82="Winner",COUNTIFS($D$7:$D$156,$D82,$B$7:$B$156,"&lt;"&amp;$B82)&gt;0),"The winner doesn't have the best "&amp;$D82&amp;" score",IF(AND($B$2="Final",COUNTIFS($D$7:$D$156,$D82,$C$7:$C$156,"Winner")=0),"Final: pick the "&amp;$D82&amp;" winner",IF($B$2="Not started","Set Status to In progress to count points","OK"))))))))</f>
        <v/>
      </c>
      <c r="J82" s="11">
        <f>IF(OR($A82="",NOT(ISNUMBER($B82))),"",IF($C82="Winner",1,COUNTIFS($D$7:$D$156,$D82,$B$7:$B$156,$B82)-IF(AND(NOT($C82="Winner"),COUNTIFS($D$7:$D$156,$D82,$C$7:$C$156,"Winner",$B$7:$B$156,$B82)&gt;0),1,0)))</f>
        <v/>
      </c>
    </row>
    <row r="83">
      <c r="D83" s="11">
        <f>IF($A83="","",IFERROR(IF(VLOOKUP($A83,Players!$A$2:$B$500,2,FALSE)="","Open",VLOOKUP($A83,Players!$A$2:$B$500,2,FALSE)),"Open"))</f>
        <v/>
      </c>
      <c r="E83" s="11">
        <f>IF(OR($A83="",NOT(ISNUMBER($B83))),"",IF($C83="Winner",1,COUNTIFS($D$7:$D$156,$D83,$B$7:$B$156,"&lt;"&amp;$B83)+1+IF(AND(NOT($C83="Winner"),COUNTIFS($D$7:$D$156,$D83,$C$7:$C$156,"Winner",$B$7:$B$156,$B83)&gt;0),1,0)))</f>
        <v/>
      </c>
      <c r="F83" s="11">
        <f>IF(OR($A83="",NOT(ISNUMBER($B83))),"",COUNTIFS($D$7:$D$156,$D83,$B$7:$B$156,"&gt;0"))</f>
        <v/>
      </c>
      <c r="G83" s="11">
        <f>IF(OR(OR($A83="",NOT(ISNUMBER($B83))),$B$2="Not started"),"",IF($C83="Winner",Points!$B$3,ROUND(Points!$B$3*IF($F83&lt;=1,1,Points!$H$7+(1-Points!$H$7)*((($F83-$E83)*(($F83-$E83)+1)/2)^2-((($F83-$E83-$J83+1)-1)*($F83-$E83-$J83+1)/2)^2)/($J83*($F83-1)^3)),0)))</f>
        <v/>
      </c>
      <c r="H83" s="11">
        <f>IF($A83="","",IF($B$2="Final","Final",IF($B$2="In progress","Projected","Not started")))</f>
        <v/>
      </c>
      <c r="I83" s="11">
        <f>IF($A83="","",IF(COUNTIF(Players!$A$2:$A$500,$A83)=0,"Player is not on the Players tab",IF(COUNTIF($A$7:$A$156,$A83)&gt;1,"Player is listed twice",IF(NOT(ISNUMBER($B83)),"Enter a score",IF(COUNTIFS($D$7:$D$156,$D83,$C$7:$C$156,"Winner")&gt;1,"More than one "&amp;$D83&amp;" winner picked",IF(AND($C83="Winner",COUNTIFS($D$7:$D$156,$D83,$B$7:$B$156,"&lt;"&amp;$B83)&gt;0),"The winner doesn't have the best "&amp;$D83&amp;" score",IF(AND($B$2="Final",COUNTIFS($D$7:$D$156,$D83,$C$7:$C$156,"Winner")=0),"Final: pick the "&amp;$D83&amp;" winner",IF($B$2="Not started","Set Status to In progress to count points","OK"))))))))</f>
        <v/>
      </c>
      <c r="J83" s="11">
        <f>IF(OR($A83="",NOT(ISNUMBER($B83))),"",IF($C83="Winner",1,COUNTIFS($D$7:$D$156,$D83,$B$7:$B$156,$B83)-IF(AND(NOT($C83="Winner"),COUNTIFS($D$7:$D$156,$D83,$C$7:$C$156,"Winner",$B$7:$B$156,$B83)&gt;0),1,0)))</f>
        <v/>
      </c>
    </row>
    <row r="84">
      <c r="D84" s="11">
        <f>IF($A84="","",IFERROR(IF(VLOOKUP($A84,Players!$A$2:$B$500,2,FALSE)="","Open",VLOOKUP($A84,Players!$A$2:$B$500,2,FALSE)),"Open"))</f>
        <v/>
      </c>
      <c r="E84" s="11">
        <f>IF(OR($A84="",NOT(ISNUMBER($B84))),"",IF($C84="Winner",1,COUNTIFS($D$7:$D$156,$D84,$B$7:$B$156,"&lt;"&amp;$B84)+1+IF(AND(NOT($C84="Winner"),COUNTIFS($D$7:$D$156,$D84,$C$7:$C$156,"Winner",$B$7:$B$156,$B84)&gt;0),1,0)))</f>
        <v/>
      </c>
      <c r="F84" s="11">
        <f>IF(OR($A84="",NOT(ISNUMBER($B84))),"",COUNTIFS($D$7:$D$156,$D84,$B$7:$B$156,"&gt;0"))</f>
        <v/>
      </c>
      <c r="G84" s="11">
        <f>IF(OR(OR($A84="",NOT(ISNUMBER($B84))),$B$2="Not started"),"",IF($C84="Winner",Points!$B$3,ROUND(Points!$B$3*IF($F84&lt;=1,1,Points!$H$7+(1-Points!$H$7)*((($F84-$E84)*(($F84-$E84)+1)/2)^2-((($F84-$E84-$J84+1)-1)*($F84-$E84-$J84+1)/2)^2)/($J84*($F84-1)^3)),0)))</f>
        <v/>
      </c>
      <c r="H84" s="11">
        <f>IF($A84="","",IF($B$2="Final","Final",IF($B$2="In progress","Projected","Not started")))</f>
        <v/>
      </c>
      <c r="I84" s="11">
        <f>IF($A84="","",IF(COUNTIF(Players!$A$2:$A$500,$A84)=0,"Player is not on the Players tab",IF(COUNTIF($A$7:$A$156,$A84)&gt;1,"Player is listed twice",IF(NOT(ISNUMBER($B84)),"Enter a score",IF(COUNTIFS($D$7:$D$156,$D84,$C$7:$C$156,"Winner")&gt;1,"More than one "&amp;$D84&amp;" winner picked",IF(AND($C84="Winner",COUNTIFS($D$7:$D$156,$D84,$B$7:$B$156,"&lt;"&amp;$B84)&gt;0),"The winner doesn't have the best "&amp;$D84&amp;" score",IF(AND($B$2="Final",COUNTIFS($D$7:$D$156,$D84,$C$7:$C$156,"Winner")=0),"Final: pick the "&amp;$D84&amp;" winner",IF($B$2="Not started","Set Status to In progress to count points","OK"))))))))</f>
        <v/>
      </c>
      <c r="J84" s="11">
        <f>IF(OR($A84="",NOT(ISNUMBER($B84))),"",IF($C84="Winner",1,COUNTIFS($D$7:$D$156,$D84,$B$7:$B$156,$B84)-IF(AND(NOT($C84="Winner"),COUNTIFS($D$7:$D$156,$D84,$C$7:$C$156,"Winner",$B$7:$B$156,$B84)&gt;0),1,0)))</f>
        <v/>
      </c>
    </row>
    <row r="85">
      <c r="D85" s="11">
        <f>IF($A85="","",IFERROR(IF(VLOOKUP($A85,Players!$A$2:$B$500,2,FALSE)="","Open",VLOOKUP($A85,Players!$A$2:$B$500,2,FALSE)),"Open"))</f>
        <v/>
      </c>
      <c r="E85" s="11">
        <f>IF(OR($A85="",NOT(ISNUMBER($B85))),"",IF($C85="Winner",1,COUNTIFS($D$7:$D$156,$D85,$B$7:$B$156,"&lt;"&amp;$B85)+1+IF(AND(NOT($C85="Winner"),COUNTIFS($D$7:$D$156,$D85,$C$7:$C$156,"Winner",$B$7:$B$156,$B85)&gt;0),1,0)))</f>
        <v/>
      </c>
      <c r="F85" s="11">
        <f>IF(OR($A85="",NOT(ISNUMBER($B85))),"",COUNTIFS($D$7:$D$156,$D85,$B$7:$B$156,"&gt;0"))</f>
        <v/>
      </c>
      <c r="G85" s="11">
        <f>IF(OR(OR($A85="",NOT(ISNUMBER($B85))),$B$2="Not started"),"",IF($C85="Winner",Points!$B$3,ROUND(Points!$B$3*IF($F85&lt;=1,1,Points!$H$7+(1-Points!$H$7)*((($F85-$E85)*(($F85-$E85)+1)/2)^2-((($F85-$E85-$J85+1)-1)*($F85-$E85-$J85+1)/2)^2)/($J85*($F85-1)^3)),0)))</f>
        <v/>
      </c>
      <c r="H85" s="11">
        <f>IF($A85="","",IF($B$2="Final","Final",IF($B$2="In progress","Projected","Not started")))</f>
        <v/>
      </c>
      <c r="I85" s="11">
        <f>IF($A85="","",IF(COUNTIF(Players!$A$2:$A$500,$A85)=0,"Player is not on the Players tab",IF(COUNTIF($A$7:$A$156,$A85)&gt;1,"Player is listed twice",IF(NOT(ISNUMBER($B85)),"Enter a score",IF(COUNTIFS($D$7:$D$156,$D85,$C$7:$C$156,"Winner")&gt;1,"More than one "&amp;$D85&amp;" winner picked",IF(AND($C85="Winner",COUNTIFS($D$7:$D$156,$D85,$B$7:$B$156,"&lt;"&amp;$B85)&gt;0),"The winner doesn't have the best "&amp;$D85&amp;" score",IF(AND($B$2="Final",COUNTIFS($D$7:$D$156,$D85,$C$7:$C$156,"Winner")=0),"Final: pick the "&amp;$D85&amp;" winner",IF($B$2="Not started","Set Status to In progress to count points","OK"))))))))</f>
        <v/>
      </c>
      <c r="J85" s="11">
        <f>IF(OR($A85="",NOT(ISNUMBER($B85))),"",IF($C85="Winner",1,COUNTIFS($D$7:$D$156,$D85,$B$7:$B$156,$B85)-IF(AND(NOT($C85="Winner"),COUNTIFS($D$7:$D$156,$D85,$C$7:$C$156,"Winner",$B$7:$B$156,$B85)&gt;0),1,0)))</f>
        <v/>
      </c>
    </row>
    <row r="86">
      <c r="D86" s="11">
        <f>IF($A86="","",IFERROR(IF(VLOOKUP($A86,Players!$A$2:$B$500,2,FALSE)="","Open",VLOOKUP($A86,Players!$A$2:$B$500,2,FALSE)),"Open"))</f>
        <v/>
      </c>
      <c r="E86" s="11">
        <f>IF(OR($A86="",NOT(ISNUMBER($B86))),"",IF($C86="Winner",1,COUNTIFS($D$7:$D$156,$D86,$B$7:$B$156,"&lt;"&amp;$B86)+1+IF(AND(NOT($C86="Winner"),COUNTIFS($D$7:$D$156,$D86,$C$7:$C$156,"Winner",$B$7:$B$156,$B86)&gt;0),1,0)))</f>
        <v/>
      </c>
      <c r="F86" s="11">
        <f>IF(OR($A86="",NOT(ISNUMBER($B86))),"",COUNTIFS($D$7:$D$156,$D86,$B$7:$B$156,"&gt;0"))</f>
        <v/>
      </c>
      <c r="G86" s="11">
        <f>IF(OR(OR($A86="",NOT(ISNUMBER($B86))),$B$2="Not started"),"",IF($C86="Winner",Points!$B$3,ROUND(Points!$B$3*IF($F86&lt;=1,1,Points!$H$7+(1-Points!$H$7)*((($F86-$E86)*(($F86-$E86)+1)/2)^2-((($F86-$E86-$J86+1)-1)*($F86-$E86-$J86+1)/2)^2)/($J86*($F86-1)^3)),0)))</f>
        <v/>
      </c>
      <c r="H86" s="11">
        <f>IF($A86="","",IF($B$2="Final","Final",IF($B$2="In progress","Projected","Not started")))</f>
        <v/>
      </c>
      <c r="I86" s="11">
        <f>IF($A86="","",IF(COUNTIF(Players!$A$2:$A$500,$A86)=0,"Player is not on the Players tab",IF(COUNTIF($A$7:$A$156,$A86)&gt;1,"Player is listed twice",IF(NOT(ISNUMBER($B86)),"Enter a score",IF(COUNTIFS($D$7:$D$156,$D86,$C$7:$C$156,"Winner")&gt;1,"More than one "&amp;$D86&amp;" winner picked",IF(AND($C86="Winner",COUNTIFS($D$7:$D$156,$D86,$B$7:$B$156,"&lt;"&amp;$B86)&gt;0),"The winner doesn't have the best "&amp;$D86&amp;" score",IF(AND($B$2="Final",COUNTIFS($D$7:$D$156,$D86,$C$7:$C$156,"Winner")=0),"Final: pick the "&amp;$D86&amp;" winner",IF($B$2="Not started","Set Status to In progress to count points","OK"))))))))</f>
        <v/>
      </c>
      <c r="J86" s="11">
        <f>IF(OR($A86="",NOT(ISNUMBER($B86))),"",IF($C86="Winner",1,COUNTIFS($D$7:$D$156,$D86,$B$7:$B$156,$B86)-IF(AND(NOT($C86="Winner"),COUNTIFS($D$7:$D$156,$D86,$C$7:$C$156,"Winner",$B$7:$B$156,$B86)&gt;0),1,0)))</f>
        <v/>
      </c>
    </row>
    <row r="87">
      <c r="D87" s="11">
        <f>IF($A87="","",IFERROR(IF(VLOOKUP($A87,Players!$A$2:$B$500,2,FALSE)="","Open",VLOOKUP($A87,Players!$A$2:$B$500,2,FALSE)),"Open"))</f>
        <v/>
      </c>
      <c r="E87" s="11">
        <f>IF(OR($A87="",NOT(ISNUMBER($B87))),"",IF($C87="Winner",1,COUNTIFS($D$7:$D$156,$D87,$B$7:$B$156,"&lt;"&amp;$B87)+1+IF(AND(NOT($C87="Winner"),COUNTIFS($D$7:$D$156,$D87,$C$7:$C$156,"Winner",$B$7:$B$156,$B87)&gt;0),1,0)))</f>
        <v/>
      </c>
      <c r="F87" s="11">
        <f>IF(OR($A87="",NOT(ISNUMBER($B87))),"",COUNTIFS($D$7:$D$156,$D87,$B$7:$B$156,"&gt;0"))</f>
        <v/>
      </c>
      <c r="G87" s="11">
        <f>IF(OR(OR($A87="",NOT(ISNUMBER($B87))),$B$2="Not started"),"",IF($C87="Winner",Points!$B$3,ROUND(Points!$B$3*IF($F87&lt;=1,1,Points!$H$7+(1-Points!$H$7)*((($F87-$E87)*(($F87-$E87)+1)/2)^2-((($F87-$E87-$J87+1)-1)*($F87-$E87-$J87+1)/2)^2)/($J87*($F87-1)^3)),0)))</f>
        <v/>
      </c>
      <c r="H87" s="11">
        <f>IF($A87="","",IF($B$2="Final","Final",IF($B$2="In progress","Projected","Not started")))</f>
        <v/>
      </c>
      <c r="I87" s="11">
        <f>IF($A87="","",IF(COUNTIF(Players!$A$2:$A$500,$A87)=0,"Player is not on the Players tab",IF(COUNTIF($A$7:$A$156,$A87)&gt;1,"Player is listed twice",IF(NOT(ISNUMBER($B87)),"Enter a score",IF(COUNTIFS($D$7:$D$156,$D87,$C$7:$C$156,"Winner")&gt;1,"More than one "&amp;$D87&amp;" winner picked",IF(AND($C87="Winner",COUNTIFS($D$7:$D$156,$D87,$B$7:$B$156,"&lt;"&amp;$B87)&gt;0),"The winner doesn't have the best "&amp;$D87&amp;" score",IF(AND($B$2="Final",COUNTIFS($D$7:$D$156,$D87,$C$7:$C$156,"Winner")=0),"Final: pick the "&amp;$D87&amp;" winner",IF($B$2="Not started","Set Status to In progress to count points","OK"))))))))</f>
        <v/>
      </c>
      <c r="J87" s="11">
        <f>IF(OR($A87="",NOT(ISNUMBER($B87))),"",IF($C87="Winner",1,COUNTIFS($D$7:$D$156,$D87,$B$7:$B$156,$B87)-IF(AND(NOT($C87="Winner"),COUNTIFS($D$7:$D$156,$D87,$C$7:$C$156,"Winner",$B$7:$B$156,$B87)&gt;0),1,0)))</f>
        <v/>
      </c>
    </row>
    <row r="88">
      <c r="D88" s="11">
        <f>IF($A88="","",IFERROR(IF(VLOOKUP($A88,Players!$A$2:$B$500,2,FALSE)="","Open",VLOOKUP($A88,Players!$A$2:$B$500,2,FALSE)),"Open"))</f>
        <v/>
      </c>
      <c r="E88" s="11">
        <f>IF(OR($A88="",NOT(ISNUMBER($B88))),"",IF($C88="Winner",1,COUNTIFS($D$7:$D$156,$D88,$B$7:$B$156,"&lt;"&amp;$B88)+1+IF(AND(NOT($C88="Winner"),COUNTIFS($D$7:$D$156,$D88,$C$7:$C$156,"Winner",$B$7:$B$156,$B88)&gt;0),1,0)))</f>
        <v/>
      </c>
      <c r="F88" s="11">
        <f>IF(OR($A88="",NOT(ISNUMBER($B88))),"",COUNTIFS($D$7:$D$156,$D88,$B$7:$B$156,"&gt;0"))</f>
        <v/>
      </c>
      <c r="G88" s="11">
        <f>IF(OR(OR($A88="",NOT(ISNUMBER($B88))),$B$2="Not started"),"",IF($C88="Winner",Points!$B$3,ROUND(Points!$B$3*IF($F88&lt;=1,1,Points!$H$7+(1-Points!$H$7)*((($F88-$E88)*(($F88-$E88)+1)/2)^2-((($F88-$E88-$J88+1)-1)*($F88-$E88-$J88+1)/2)^2)/($J88*($F88-1)^3)),0)))</f>
        <v/>
      </c>
      <c r="H88" s="11">
        <f>IF($A88="","",IF($B$2="Final","Final",IF($B$2="In progress","Projected","Not started")))</f>
        <v/>
      </c>
      <c r="I88" s="11">
        <f>IF($A88="","",IF(COUNTIF(Players!$A$2:$A$500,$A88)=0,"Player is not on the Players tab",IF(COUNTIF($A$7:$A$156,$A88)&gt;1,"Player is listed twice",IF(NOT(ISNUMBER($B88)),"Enter a score",IF(COUNTIFS($D$7:$D$156,$D88,$C$7:$C$156,"Winner")&gt;1,"More than one "&amp;$D88&amp;" winner picked",IF(AND($C88="Winner",COUNTIFS($D$7:$D$156,$D88,$B$7:$B$156,"&lt;"&amp;$B88)&gt;0),"The winner doesn't have the best "&amp;$D88&amp;" score",IF(AND($B$2="Final",COUNTIFS($D$7:$D$156,$D88,$C$7:$C$156,"Winner")=0),"Final: pick the "&amp;$D88&amp;" winner",IF($B$2="Not started","Set Status to In progress to count points","OK"))))))))</f>
        <v/>
      </c>
      <c r="J88" s="11">
        <f>IF(OR($A88="",NOT(ISNUMBER($B88))),"",IF($C88="Winner",1,COUNTIFS($D$7:$D$156,$D88,$B$7:$B$156,$B88)-IF(AND(NOT($C88="Winner"),COUNTIFS($D$7:$D$156,$D88,$C$7:$C$156,"Winner",$B$7:$B$156,$B88)&gt;0),1,0)))</f>
        <v/>
      </c>
    </row>
    <row r="89">
      <c r="D89" s="11">
        <f>IF($A89="","",IFERROR(IF(VLOOKUP($A89,Players!$A$2:$B$500,2,FALSE)="","Open",VLOOKUP($A89,Players!$A$2:$B$500,2,FALSE)),"Open"))</f>
        <v/>
      </c>
      <c r="E89" s="11">
        <f>IF(OR($A89="",NOT(ISNUMBER($B89))),"",IF($C89="Winner",1,COUNTIFS($D$7:$D$156,$D89,$B$7:$B$156,"&lt;"&amp;$B89)+1+IF(AND(NOT($C89="Winner"),COUNTIFS($D$7:$D$156,$D89,$C$7:$C$156,"Winner",$B$7:$B$156,$B89)&gt;0),1,0)))</f>
        <v/>
      </c>
      <c r="F89" s="11">
        <f>IF(OR($A89="",NOT(ISNUMBER($B89))),"",COUNTIFS($D$7:$D$156,$D89,$B$7:$B$156,"&gt;0"))</f>
        <v/>
      </c>
      <c r="G89" s="11">
        <f>IF(OR(OR($A89="",NOT(ISNUMBER($B89))),$B$2="Not started"),"",IF($C89="Winner",Points!$B$3,ROUND(Points!$B$3*IF($F89&lt;=1,1,Points!$H$7+(1-Points!$H$7)*((($F89-$E89)*(($F89-$E89)+1)/2)^2-((($F89-$E89-$J89+1)-1)*($F89-$E89-$J89+1)/2)^2)/($J89*($F89-1)^3)),0)))</f>
        <v/>
      </c>
      <c r="H89" s="11">
        <f>IF($A89="","",IF($B$2="Final","Final",IF($B$2="In progress","Projected","Not started")))</f>
        <v/>
      </c>
      <c r="I89" s="11">
        <f>IF($A89="","",IF(COUNTIF(Players!$A$2:$A$500,$A89)=0,"Player is not on the Players tab",IF(COUNTIF($A$7:$A$156,$A89)&gt;1,"Player is listed twice",IF(NOT(ISNUMBER($B89)),"Enter a score",IF(COUNTIFS($D$7:$D$156,$D89,$C$7:$C$156,"Winner")&gt;1,"More than one "&amp;$D89&amp;" winner picked",IF(AND($C89="Winner",COUNTIFS($D$7:$D$156,$D89,$B$7:$B$156,"&lt;"&amp;$B89)&gt;0),"The winner doesn't have the best "&amp;$D89&amp;" score",IF(AND($B$2="Final",COUNTIFS($D$7:$D$156,$D89,$C$7:$C$156,"Winner")=0),"Final: pick the "&amp;$D89&amp;" winner",IF($B$2="Not started","Set Status to In progress to count points","OK"))))))))</f>
        <v/>
      </c>
      <c r="J89" s="11">
        <f>IF(OR($A89="",NOT(ISNUMBER($B89))),"",IF($C89="Winner",1,COUNTIFS($D$7:$D$156,$D89,$B$7:$B$156,$B89)-IF(AND(NOT($C89="Winner"),COUNTIFS($D$7:$D$156,$D89,$C$7:$C$156,"Winner",$B$7:$B$156,$B89)&gt;0),1,0)))</f>
        <v/>
      </c>
    </row>
    <row r="90">
      <c r="D90" s="11">
        <f>IF($A90="","",IFERROR(IF(VLOOKUP($A90,Players!$A$2:$B$500,2,FALSE)="","Open",VLOOKUP($A90,Players!$A$2:$B$500,2,FALSE)),"Open"))</f>
        <v/>
      </c>
      <c r="E90" s="11">
        <f>IF(OR($A90="",NOT(ISNUMBER($B90))),"",IF($C90="Winner",1,COUNTIFS($D$7:$D$156,$D90,$B$7:$B$156,"&lt;"&amp;$B90)+1+IF(AND(NOT($C90="Winner"),COUNTIFS($D$7:$D$156,$D90,$C$7:$C$156,"Winner",$B$7:$B$156,$B90)&gt;0),1,0)))</f>
        <v/>
      </c>
      <c r="F90" s="11">
        <f>IF(OR($A90="",NOT(ISNUMBER($B90))),"",COUNTIFS($D$7:$D$156,$D90,$B$7:$B$156,"&gt;0"))</f>
        <v/>
      </c>
      <c r="G90" s="11">
        <f>IF(OR(OR($A90="",NOT(ISNUMBER($B90))),$B$2="Not started"),"",IF($C90="Winner",Points!$B$3,ROUND(Points!$B$3*IF($F90&lt;=1,1,Points!$H$7+(1-Points!$H$7)*((($F90-$E90)*(($F90-$E90)+1)/2)^2-((($F90-$E90-$J90+1)-1)*($F90-$E90-$J90+1)/2)^2)/($J90*($F90-1)^3)),0)))</f>
        <v/>
      </c>
      <c r="H90" s="11">
        <f>IF($A90="","",IF($B$2="Final","Final",IF($B$2="In progress","Projected","Not started")))</f>
        <v/>
      </c>
      <c r="I90" s="11">
        <f>IF($A90="","",IF(COUNTIF(Players!$A$2:$A$500,$A90)=0,"Player is not on the Players tab",IF(COUNTIF($A$7:$A$156,$A90)&gt;1,"Player is listed twice",IF(NOT(ISNUMBER($B90)),"Enter a score",IF(COUNTIFS($D$7:$D$156,$D90,$C$7:$C$156,"Winner")&gt;1,"More than one "&amp;$D90&amp;" winner picked",IF(AND($C90="Winner",COUNTIFS($D$7:$D$156,$D90,$B$7:$B$156,"&lt;"&amp;$B90)&gt;0),"The winner doesn't have the best "&amp;$D90&amp;" score",IF(AND($B$2="Final",COUNTIFS($D$7:$D$156,$D90,$C$7:$C$156,"Winner")=0),"Final: pick the "&amp;$D90&amp;" winner",IF($B$2="Not started","Set Status to In progress to count points","OK"))))))))</f>
        <v/>
      </c>
      <c r="J90" s="11">
        <f>IF(OR($A90="",NOT(ISNUMBER($B90))),"",IF($C90="Winner",1,COUNTIFS($D$7:$D$156,$D90,$B$7:$B$156,$B90)-IF(AND(NOT($C90="Winner"),COUNTIFS($D$7:$D$156,$D90,$C$7:$C$156,"Winner",$B$7:$B$156,$B90)&gt;0),1,0)))</f>
        <v/>
      </c>
    </row>
    <row r="91">
      <c r="D91" s="11">
        <f>IF($A91="","",IFERROR(IF(VLOOKUP($A91,Players!$A$2:$B$500,2,FALSE)="","Open",VLOOKUP($A91,Players!$A$2:$B$500,2,FALSE)),"Open"))</f>
        <v/>
      </c>
      <c r="E91" s="11">
        <f>IF(OR($A91="",NOT(ISNUMBER($B91))),"",IF($C91="Winner",1,COUNTIFS($D$7:$D$156,$D91,$B$7:$B$156,"&lt;"&amp;$B91)+1+IF(AND(NOT($C91="Winner"),COUNTIFS($D$7:$D$156,$D91,$C$7:$C$156,"Winner",$B$7:$B$156,$B91)&gt;0),1,0)))</f>
        <v/>
      </c>
      <c r="F91" s="11">
        <f>IF(OR($A91="",NOT(ISNUMBER($B91))),"",COUNTIFS($D$7:$D$156,$D91,$B$7:$B$156,"&gt;0"))</f>
        <v/>
      </c>
      <c r="G91" s="11">
        <f>IF(OR(OR($A91="",NOT(ISNUMBER($B91))),$B$2="Not started"),"",IF($C91="Winner",Points!$B$3,ROUND(Points!$B$3*IF($F91&lt;=1,1,Points!$H$7+(1-Points!$H$7)*((($F91-$E91)*(($F91-$E91)+1)/2)^2-((($F91-$E91-$J91+1)-1)*($F91-$E91-$J91+1)/2)^2)/($J91*($F91-1)^3)),0)))</f>
        <v/>
      </c>
      <c r="H91" s="11">
        <f>IF($A91="","",IF($B$2="Final","Final",IF($B$2="In progress","Projected","Not started")))</f>
        <v/>
      </c>
      <c r="I91" s="11">
        <f>IF($A91="","",IF(COUNTIF(Players!$A$2:$A$500,$A91)=0,"Player is not on the Players tab",IF(COUNTIF($A$7:$A$156,$A91)&gt;1,"Player is listed twice",IF(NOT(ISNUMBER($B91)),"Enter a score",IF(COUNTIFS($D$7:$D$156,$D91,$C$7:$C$156,"Winner")&gt;1,"More than one "&amp;$D91&amp;" winner picked",IF(AND($C91="Winner",COUNTIFS($D$7:$D$156,$D91,$B$7:$B$156,"&lt;"&amp;$B91)&gt;0),"The winner doesn't have the best "&amp;$D91&amp;" score",IF(AND($B$2="Final",COUNTIFS($D$7:$D$156,$D91,$C$7:$C$156,"Winner")=0),"Final: pick the "&amp;$D91&amp;" winner",IF($B$2="Not started","Set Status to In progress to count points","OK"))))))))</f>
        <v/>
      </c>
      <c r="J91" s="11">
        <f>IF(OR($A91="",NOT(ISNUMBER($B91))),"",IF($C91="Winner",1,COUNTIFS($D$7:$D$156,$D91,$B$7:$B$156,$B91)-IF(AND(NOT($C91="Winner"),COUNTIFS($D$7:$D$156,$D91,$C$7:$C$156,"Winner",$B$7:$B$156,$B91)&gt;0),1,0)))</f>
        <v/>
      </c>
    </row>
    <row r="92">
      <c r="D92" s="11">
        <f>IF($A92="","",IFERROR(IF(VLOOKUP($A92,Players!$A$2:$B$500,2,FALSE)="","Open",VLOOKUP($A92,Players!$A$2:$B$500,2,FALSE)),"Open"))</f>
        <v/>
      </c>
      <c r="E92" s="11">
        <f>IF(OR($A92="",NOT(ISNUMBER($B92))),"",IF($C92="Winner",1,COUNTIFS($D$7:$D$156,$D92,$B$7:$B$156,"&lt;"&amp;$B92)+1+IF(AND(NOT($C92="Winner"),COUNTIFS($D$7:$D$156,$D92,$C$7:$C$156,"Winner",$B$7:$B$156,$B92)&gt;0),1,0)))</f>
        <v/>
      </c>
      <c r="F92" s="11">
        <f>IF(OR($A92="",NOT(ISNUMBER($B92))),"",COUNTIFS($D$7:$D$156,$D92,$B$7:$B$156,"&gt;0"))</f>
        <v/>
      </c>
      <c r="G92" s="11">
        <f>IF(OR(OR($A92="",NOT(ISNUMBER($B92))),$B$2="Not started"),"",IF($C92="Winner",Points!$B$3,ROUND(Points!$B$3*IF($F92&lt;=1,1,Points!$H$7+(1-Points!$H$7)*((($F92-$E92)*(($F92-$E92)+1)/2)^2-((($F92-$E92-$J92+1)-1)*($F92-$E92-$J92+1)/2)^2)/($J92*($F92-1)^3)),0)))</f>
        <v/>
      </c>
      <c r="H92" s="11">
        <f>IF($A92="","",IF($B$2="Final","Final",IF($B$2="In progress","Projected","Not started")))</f>
        <v/>
      </c>
      <c r="I92" s="11">
        <f>IF($A92="","",IF(COUNTIF(Players!$A$2:$A$500,$A92)=0,"Player is not on the Players tab",IF(COUNTIF($A$7:$A$156,$A92)&gt;1,"Player is listed twice",IF(NOT(ISNUMBER($B92)),"Enter a score",IF(COUNTIFS($D$7:$D$156,$D92,$C$7:$C$156,"Winner")&gt;1,"More than one "&amp;$D92&amp;" winner picked",IF(AND($C92="Winner",COUNTIFS($D$7:$D$156,$D92,$B$7:$B$156,"&lt;"&amp;$B92)&gt;0),"The winner doesn't have the best "&amp;$D92&amp;" score",IF(AND($B$2="Final",COUNTIFS($D$7:$D$156,$D92,$C$7:$C$156,"Winner")=0),"Final: pick the "&amp;$D92&amp;" winner",IF($B$2="Not started","Set Status to In progress to count points","OK"))))))))</f>
        <v/>
      </c>
      <c r="J92" s="11">
        <f>IF(OR($A92="",NOT(ISNUMBER($B92))),"",IF($C92="Winner",1,COUNTIFS($D$7:$D$156,$D92,$B$7:$B$156,$B92)-IF(AND(NOT($C92="Winner"),COUNTIFS($D$7:$D$156,$D92,$C$7:$C$156,"Winner",$B$7:$B$156,$B92)&gt;0),1,0)))</f>
        <v/>
      </c>
    </row>
    <row r="93">
      <c r="D93" s="11">
        <f>IF($A93="","",IFERROR(IF(VLOOKUP($A93,Players!$A$2:$B$500,2,FALSE)="","Open",VLOOKUP($A93,Players!$A$2:$B$500,2,FALSE)),"Open"))</f>
        <v/>
      </c>
      <c r="E93" s="11">
        <f>IF(OR($A93="",NOT(ISNUMBER($B93))),"",IF($C93="Winner",1,COUNTIFS($D$7:$D$156,$D93,$B$7:$B$156,"&lt;"&amp;$B93)+1+IF(AND(NOT($C93="Winner"),COUNTIFS($D$7:$D$156,$D93,$C$7:$C$156,"Winner",$B$7:$B$156,$B93)&gt;0),1,0)))</f>
        <v/>
      </c>
      <c r="F93" s="11">
        <f>IF(OR($A93="",NOT(ISNUMBER($B93))),"",COUNTIFS($D$7:$D$156,$D93,$B$7:$B$156,"&gt;0"))</f>
        <v/>
      </c>
      <c r="G93" s="11">
        <f>IF(OR(OR($A93="",NOT(ISNUMBER($B93))),$B$2="Not started"),"",IF($C93="Winner",Points!$B$3,ROUND(Points!$B$3*IF($F93&lt;=1,1,Points!$H$7+(1-Points!$H$7)*((($F93-$E93)*(($F93-$E93)+1)/2)^2-((($F93-$E93-$J93+1)-1)*($F93-$E93-$J93+1)/2)^2)/($J93*($F93-1)^3)),0)))</f>
        <v/>
      </c>
      <c r="H93" s="11">
        <f>IF($A93="","",IF($B$2="Final","Final",IF($B$2="In progress","Projected","Not started")))</f>
        <v/>
      </c>
      <c r="I93" s="11">
        <f>IF($A93="","",IF(COUNTIF(Players!$A$2:$A$500,$A93)=0,"Player is not on the Players tab",IF(COUNTIF($A$7:$A$156,$A93)&gt;1,"Player is listed twice",IF(NOT(ISNUMBER($B93)),"Enter a score",IF(COUNTIFS($D$7:$D$156,$D93,$C$7:$C$156,"Winner")&gt;1,"More than one "&amp;$D93&amp;" winner picked",IF(AND($C93="Winner",COUNTIFS($D$7:$D$156,$D93,$B$7:$B$156,"&lt;"&amp;$B93)&gt;0),"The winner doesn't have the best "&amp;$D93&amp;" score",IF(AND($B$2="Final",COUNTIFS($D$7:$D$156,$D93,$C$7:$C$156,"Winner")=0),"Final: pick the "&amp;$D93&amp;" winner",IF($B$2="Not started","Set Status to In progress to count points","OK"))))))))</f>
        <v/>
      </c>
      <c r="J93" s="11">
        <f>IF(OR($A93="",NOT(ISNUMBER($B93))),"",IF($C93="Winner",1,COUNTIFS($D$7:$D$156,$D93,$B$7:$B$156,$B93)-IF(AND(NOT($C93="Winner"),COUNTIFS($D$7:$D$156,$D93,$C$7:$C$156,"Winner",$B$7:$B$156,$B93)&gt;0),1,0)))</f>
        <v/>
      </c>
    </row>
    <row r="94">
      <c r="D94" s="11">
        <f>IF($A94="","",IFERROR(IF(VLOOKUP($A94,Players!$A$2:$B$500,2,FALSE)="","Open",VLOOKUP($A94,Players!$A$2:$B$500,2,FALSE)),"Open"))</f>
        <v/>
      </c>
      <c r="E94" s="11">
        <f>IF(OR($A94="",NOT(ISNUMBER($B94))),"",IF($C94="Winner",1,COUNTIFS($D$7:$D$156,$D94,$B$7:$B$156,"&lt;"&amp;$B94)+1+IF(AND(NOT($C94="Winner"),COUNTIFS($D$7:$D$156,$D94,$C$7:$C$156,"Winner",$B$7:$B$156,$B94)&gt;0),1,0)))</f>
        <v/>
      </c>
      <c r="F94" s="11">
        <f>IF(OR($A94="",NOT(ISNUMBER($B94))),"",COUNTIFS($D$7:$D$156,$D94,$B$7:$B$156,"&gt;0"))</f>
        <v/>
      </c>
      <c r="G94" s="11">
        <f>IF(OR(OR($A94="",NOT(ISNUMBER($B94))),$B$2="Not started"),"",IF($C94="Winner",Points!$B$3,ROUND(Points!$B$3*IF($F94&lt;=1,1,Points!$H$7+(1-Points!$H$7)*((($F94-$E94)*(($F94-$E94)+1)/2)^2-((($F94-$E94-$J94+1)-1)*($F94-$E94-$J94+1)/2)^2)/($J94*($F94-1)^3)),0)))</f>
        <v/>
      </c>
      <c r="H94" s="11">
        <f>IF($A94="","",IF($B$2="Final","Final",IF($B$2="In progress","Projected","Not started")))</f>
        <v/>
      </c>
      <c r="I94" s="11">
        <f>IF($A94="","",IF(COUNTIF(Players!$A$2:$A$500,$A94)=0,"Player is not on the Players tab",IF(COUNTIF($A$7:$A$156,$A94)&gt;1,"Player is listed twice",IF(NOT(ISNUMBER($B94)),"Enter a score",IF(COUNTIFS($D$7:$D$156,$D94,$C$7:$C$156,"Winner")&gt;1,"More than one "&amp;$D94&amp;" winner picked",IF(AND($C94="Winner",COUNTIFS($D$7:$D$156,$D94,$B$7:$B$156,"&lt;"&amp;$B94)&gt;0),"The winner doesn't have the best "&amp;$D94&amp;" score",IF(AND($B$2="Final",COUNTIFS($D$7:$D$156,$D94,$C$7:$C$156,"Winner")=0),"Final: pick the "&amp;$D94&amp;" winner",IF($B$2="Not started","Set Status to In progress to count points","OK"))))))))</f>
        <v/>
      </c>
      <c r="J94" s="11">
        <f>IF(OR($A94="",NOT(ISNUMBER($B94))),"",IF($C94="Winner",1,COUNTIFS($D$7:$D$156,$D94,$B$7:$B$156,$B94)-IF(AND(NOT($C94="Winner"),COUNTIFS($D$7:$D$156,$D94,$C$7:$C$156,"Winner",$B$7:$B$156,$B94)&gt;0),1,0)))</f>
        <v/>
      </c>
    </row>
    <row r="95">
      <c r="D95" s="11">
        <f>IF($A95="","",IFERROR(IF(VLOOKUP($A95,Players!$A$2:$B$500,2,FALSE)="","Open",VLOOKUP($A95,Players!$A$2:$B$500,2,FALSE)),"Open"))</f>
        <v/>
      </c>
      <c r="E95" s="11">
        <f>IF(OR($A95="",NOT(ISNUMBER($B95))),"",IF($C95="Winner",1,COUNTIFS($D$7:$D$156,$D95,$B$7:$B$156,"&lt;"&amp;$B95)+1+IF(AND(NOT($C95="Winner"),COUNTIFS($D$7:$D$156,$D95,$C$7:$C$156,"Winner",$B$7:$B$156,$B95)&gt;0),1,0)))</f>
        <v/>
      </c>
      <c r="F95" s="11">
        <f>IF(OR($A95="",NOT(ISNUMBER($B95))),"",COUNTIFS($D$7:$D$156,$D95,$B$7:$B$156,"&gt;0"))</f>
        <v/>
      </c>
      <c r="G95" s="11">
        <f>IF(OR(OR($A95="",NOT(ISNUMBER($B95))),$B$2="Not started"),"",IF($C95="Winner",Points!$B$3,ROUND(Points!$B$3*IF($F95&lt;=1,1,Points!$H$7+(1-Points!$H$7)*((($F95-$E95)*(($F95-$E95)+1)/2)^2-((($F95-$E95-$J95+1)-1)*($F95-$E95-$J95+1)/2)^2)/($J95*($F95-1)^3)),0)))</f>
        <v/>
      </c>
      <c r="H95" s="11">
        <f>IF($A95="","",IF($B$2="Final","Final",IF($B$2="In progress","Projected","Not started")))</f>
        <v/>
      </c>
      <c r="I95" s="11">
        <f>IF($A95="","",IF(COUNTIF(Players!$A$2:$A$500,$A95)=0,"Player is not on the Players tab",IF(COUNTIF($A$7:$A$156,$A95)&gt;1,"Player is listed twice",IF(NOT(ISNUMBER($B95)),"Enter a score",IF(COUNTIFS($D$7:$D$156,$D95,$C$7:$C$156,"Winner")&gt;1,"More than one "&amp;$D95&amp;" winner picked",IF(AND($C95="Winner",COUNTIFS($D$7:$D$156,$D95,$B$7:$B$156,"&lt;"&amp;$B95)&gt;0),"The winner doesn't have the best "&amp;$D95&amp;" score",IF(AND($B$2="Final",COUNTIFS($D$7:$D$156,$D95,$C$7:$C$156,"Winner")=0),"Final: pick the "&amp;$D95&amp;" winner",IF($B$2="Not started","Set Status to In progress to count points","OK"))))))))</f>
        <v/>
      </c>
      <c r="J95" s="11">
        <f>IF(OR($A95="",NOT(ISNUMBER($B95))),"",IF($C95="Winner",1,COUNTIFS($D$7:$D$156,$D95,$B$7:$B$156,$B95)-IF(AND(NOT($C95="Winner"),COUNTIFS($D$7:$D$156,$D95,$C$7:$C$156,"Winner",$B$7:$B$156,$B95)&gt;0),1,0)))</f>
        <v/>
      </c>
    </row>
    <row r="96">
      <c r="D96" s="11">
        <f>IF($A96="","",IFERROR(IF(VLOOKUP($A96,Players!$A$2:$B$500,2,FALSE)="","Open",VLOOKUP($A96,Players!$A$2:$B$500,2,FALSE)),"Open"))</f>
        <v/>
      </c>
      <c r="E96" s="11">
        <f>IF(OR($A96="",NOT(ISNUMBER($B96))),"",IF($C96="Winner",1,COUNTIFS($D$7:$D$156,$D96,$B$7:$B$156,"&lt;"&amp;$B96)+1+IF(AND(NOT($C96="Winner"),COUNTIFS($D$7:$D$156,$D96,$C$7:$C$156,"Winner",$B$7:$B$156,$B96)&gt;0),1,0)))</f>
        <v/>
      </c>
      <c r="F96" s="11">
        <f>IF(OR($A96="",NOT(ISNUMBER($B96))),"",COUNTIFS($D$7:$D$156,$D96,$B$7:$B$156,"&gt;0"))</f>
        <v/>
      </c>
      <c r="G96" s="11">
        <f>IF(OR(OR($A96="",NOT(ISNUMBER($B96))),$B$2="Not started"),"",IF($C96="Winner",Points!$B$3,ROUND(Points!$B$3*IF($F96&lt;=1,1,Points!$H$7+(1-Points!$H$7)*((($F96-$E96)*(($F96-$E96)+1)/2)^2-((($F96-$E96-$J96+1)-1)*($F96-$E96-$J96+1)/2)^2)/($J96*($F96-1)^3)),0)))</f>
        <v/>
      </c>
      <c r="H96" s="11">
        <f>IF($A96="","",IF($B$2="Final","Final",IF($B$2="In progress","Projected","Not started")))</f>
        <v/>
      </c>
      <c r="I96" s="11">
        <f>IF($A96="","",IF(COUNTIF(Players!$A$2:$A$500,$A96)=0,"Player is not on the Players tab",IF(COUNTIF($A$7:$A$156,$A96)&gt;1,"Player is listed twice",IF(NOT(ISNUMBER($B96)),"Enter a score",IF(COUNTIFS($D$7:$D$156,$D96,$C$7:$C$156,"Winner")&gt;1,"More than one "&amp;$D96&amp;" winner picked",IF(AND($C96="Winner",COUNTIFS($D$7:$D$156,$D96,$B$7:$B$156,"&lt;"&amp;$B96)&gt;0),"The winner doesn't have the best "&amp;$D96&amp;" score",IF(AND($B$2="Final",COUNTIFS($D$7:$D$156,$D96,$C$7:$C$156,"Winner")=0),"Final: pick the "&amp;$D96&amp;" winner",IF($B$2="Not started","Set Status to In progress to count points","OK"))))))))</f>
        <v/>
      </c>
      <c r="J96" s="11">
        <f>IF(OR($A96="",NOT(ISNUMBER($B96))),"",IF($C96="Winner",1,COUNTIFS($D$7:$D$156,$D96,$B$7:$B$156,$B96)-IF(AND(NOT($C96="Winner"),COUNTIFS($D$7:$D$156,$D96,$C$7:$C$156,"Winner",$B$7:$B$156,$B96)&gt;0),1,0)))</f>
        <v/>
      </c>
    </row>
    <row r="97">
      <c r="D97" s="11">
        <f>IF($A97="","",IFERROR(IF(VLOOKUP($A97,Players!$A$2:$B$500,2,FALSE)="","Open",VLOOKUP($A97,Players!$A$2:$B$500,2,FALSE)),"Open"))</f>
        <v/>
      </c>
      <c r="E97" s="11">
        <f>IF(OR($A97="",NOT(ISNUMBER($B97))),"",IF($C97="Winner",1,COUNTIFS($D$7:$D$156,$D97,$B$7:$B$156,"&lt;"&amp;$B97)+1+IF(AND(NOT($C97="Winner"),COUNTIFS($D$7:$D$156,$D97,$C$7:$C$156,"Winner",$B$7:$B$156,$B97)&gt;0),1,0)))</f>
        <v/>
      </c>
      <c r="F97" s="11">
        <f>IF(OR($A97="",NOT(ISNUMBER($B97))),"",COUNTIFS($D$7:$D$156,$D97,$B$7:$B$156,"&gt;0"))</f>
        <v/>
      </c>
      <c r="G97" s="11">
        <f>IF(OR(OR($A97="",NOT(ISNUMBER($B97))),$B$2="Not started"),"",IF($C97="Winner",Points!$B$3,ROUND(Points!$B$3*IF($F97&lt;=1,1,Points!$H$7+(1-Points!$H$7)*((($F97-$E97)*(($F97-$E97)+1)/2)^2-((($F97-$E97-$J97+1)-1)*($F97-$E97-$J97+1)/2)^2)/($J97*($F97-1)^3)),0)))</f>
        <v/>
      </c>
      <c r="H97" s="11">
        <f>IF($A97="","",IF($B$2="Final","Final",IF($B$2="In progress","Projected","Not started")))</f>
        <v/>
      </c>
      <c r="I97" s="11">
        <f>IF($A97="","",IF(COUNTIF(Players!$A$2:$A$500,$A97)=0,"Player is not on the Players tab",IF(COUNTIF($A$7:$A$156,$A97)&gt;1,"Player is listed twice",IF(NOT(ISNUMBER($B97)),"Enter a score",IF(COUNTIFS($D$7:$D$156,$D97,$C$7:$C$156,"Winner")&gt;1,"More than one "&amp;$D97&amp;" winner picked",IF(AND($C97="Winner",COUNTIFS($D$7:$D$156,$D97,$B$7:$B$156,"&lt;"&amp;$B97)&gt;0),"The winner doesn't have the best "&amp;$D97&amp;" score",IF(AND($B$2="Final",COUNTIFS($D$7:$D$156,$D97,$C$7:$C$156,"Winner")=0),"Final: pick the "&amp;$D97&amp;" winner",IF($B$2="Not started","Set Status to In progress to count points","OK"))))))))</f>
        <v/>
      </c>
      <c r="J97" s="11">
        <f>IF(OR($A97="",NOT(ISNUMBER($B97))),"",IF($C97="Winner",1,COUNTIFS($D$7:$D$156,$D97,$B$7:$B$156,$B97)-IF(AND(NOT($C97="Winner"),COUNTIFS($D$7:$D$156,$D97,$C$7:$C$156,"Winner",$B$7:$B$156,$B97)&gt;0),1,0)))</f>
        <v/>
      </c>
    </row>
    <row r="98">
      <c r="D98" s="11">
        <f>IF($A98="","",IFERROR(IF(VLOOKUP($A98,Players!$A$2:$B$500,2,FALSE)="","Open",VLOOKUP($A98,Players!$A$2:$B$500,2,FALSE)),"Open"))</f>
        <v/>
      </c>
      <c r="E98" s="11">
        <f>IF(OR($A98="",NOT(ISNUMBER($B98))),"",IF($C98="Winner",1,COUNTIFS($D$7:$D$156,$D98,$B$7:$B$156,"&lt;"&amp;$B98)+1+IF(AND(NOT($C98="Winner"),COUNTIFS($D$7:$D$156,$D98,$C$7:$C$156,"Winner",$B$7:$B$156,$B98)&gt;0),1,0)))</f>
        <v/>
      </c>
      <c r="F98" s="11">
        <f>IF(OR($A98="",NOT(ISNUMBER($B98))),"",COUNTIFS($D$7:$D$156,$D98,$B$7:$B$156,"&gt;0"))</f>
        <v/>
      </c>
      <c r="G98" s="11">
        <f>IF(OR(OR($A98="",NOT(ISNUMBER($B98))),$B$2="Not started"),"",IF($C98="Winner",Points!$B$3,ROUND(Points!$B$3*IF($F98&lt;=1,1,Points!$H$7+(1-Points!$H$7)*((($F98-$E98)*(($F98-$E98)+1)/2)^2-((($F98-$E98-$J98+1)-1)*($F98-$E98-$J98+1)/2)^2)/($J98*($F98-1)^3)),0)))</f>
        <v/>
      </c>
      <c r="H98" s="11">
        <f>IF($A98="","",IF($B$2="Final","Final",IF($B$2="In progress","Projected","Not started")))</f>
        <v/>
      </c>
      <c r="I98" s="11">
        <f>IF($A98="","",IF(COUNTIF(Players!$A$2:$A$500,$A98)=0,"Player is not on the Players tab",IF(COUNTIF($A$7:$A$156,$A98)&gt;1,"Player is listed twice",IF(NOT(ISNUMBER($B98)),"Enter a score",IF(COUNTIFS($D$7:$D$156,$D98,$C$7:$C$156,"Winner")&gt;1,"More than one "&amp;$D98&amp;" winner picked",IF(AND($C98="Winner",COUNTIFS($D$7:$D$156,$D98,$B$7:$B$156,"&lt;"&amp;$B98)&gt;0),"The winner doesn't have the best "&amp;$D98&amp;" score",IF(AND($B$2="Final",COUNTIFS($D$7:$D$156,$D98,$C$7:$C$156,"Winner")=0),"Final: pick the "&amp;$D98&amp;" winner",IF($B$2="Not started","Set Status to In progress to count points","OK"))))))))</f>
        <v/>
      </c>
      <c r="J98" s="11">
        <f>IF(OR($A98="",NOT(ISNUMBER($B98))),"",IF($C98="Winner",1,COUNTIFS($D$7:$D$156,$D98,$B$7:$B$156,$B98)-IF(AND(NOT($C98="Winner"),COUNTIFS($D$7:$D$156,$D98,$C$7:$C$156,"Winner",$B$7:$B$156,$B98)&gt;0),1,0)))</f>
        <v/>
      </c>
    </row>
    <row r="99">
      <c r="D99" s="11">
        <f>IF($A99="","",IFERROR(IF(VLOOKUP($A99,Players!$A$2:$B$500,2,FALSE)="","Open",VLOOKUP($A99,Players!$A$2:$B$500,2,FALSE)),"Open"))</f>
        <v/>
      </c>
      <c r="E99" s="11">
        <f>IF(OR($A99="",NOT(ISNUMBER($B99))),"",IF($C99="Winner",1,COUNTIFS($D$7:$D$156,$D99,$B$7:$B$156,"&lt;"&amp;$B99)+1+IF(AND(NOT($C99="Winner"),COUNTIFS($D$7:$D$156,$D99,$C$7:$C$156,"Winner",$B$7:$B$156,$B99)&gt;0),1,0)))</f>
        <v/>
      </c>
      <c r="F99" s="11">
        <f>IF(OR($A99="",NOT(ISNUMBER($B99))),"",COUNTIFS($D$7:$D$156,$D99,$B$7:$B$156,"&gt;0"))</f>
        <v/>
      </c>
      <c r="G99" s="11">
        <f>IF(OR(OR($A99="",NOT(ISNUMBER($B99))),$B$2="Not started"),"",IF($C99="Winner",Points!$B$3,ROUND(Points!$B$3*IF($F99&lt;=1,1,Points!$H$7+(1-Points!$H$7)*((($F99-$E99)*(($F99-$E99)+1)/2)^2-((($F99-$E99-$J99+1)-1)*($F99-$E99-$J99+1)/2)^2)/($J99*($F99-1)^3)),0)))</f>
        <v/>
      </c>
      <c r="H99" s="11">
        <f>IF($A99="","",IF($B$2="Final","Final",IF($B$2="In progress","Projected","Not started")))</f>
        <v/>
      </c>
      <c r="I99" s="11">
        <f>IF($A99="","",IF(COUNTIF(Players!$A$2:$A$500,$A99)=0,"Player is not on the Players tab",IF(COUNTIF($A$7:$A$156,$A99)&gt;1,"Player is listed twice",IF(NOT(ISNUMBER($B99)),"Enter a score",IF(COUNTIFS($D$7:$D$156,$D99,$C$7:$C$156,"Winner")&gt;1,"More than one "&amp;$D99&amp;" winner picked",IF(AND($C99="Winner",COUNTIFS($D$7:$D$156,$D99,$B$7:$B$156,"&lt;"&amp;$B99)&gt;0),"The winner doesn't have the best "&amp;$D99&amp;" score",IF(AND($B$2="Final",COUNTIFS($D$7:$D$156,$D99,$C$7:$C$156,"Winner")=0),"Final: pick the "&amp;$D99&amp;" winner",IF($B$2="Not started","Set Status to In progress to count points","OK"))))))))</f>
        <v/>
      </c>
      <c r="J99" s="11">
        <f>IF(OR($A99="",NOT(ISNUMBER($B99))),"",IF($C99="Winner",1,COUNTIFS($D$7:$D$156,$D99,$B$7:$B$156,$B99)-IF(AND(NOT($C99="Winner"),COUNTIFS($D$7:$D$156,$D99,$C$7:$C$156,"Winner",$B$7:$B$156,$B99)&gt;0),1,0)))</f>
        <v/>
      </c>
    </row>
    <row r="100">
      <c r="D100" s="11">
        <f>IF($A100="","",IFERROR(IF(VLOOKUP($A100,Players!$A$2:$B$500,2,FALSE)="","Open",VLOOKUP($A100,Players!$A$2:$B$500,2,FALSE)),"Open"))</f>
        <v/>
      </c>
      <c r="E100" s="11">
        <f>IF(OR($A100="",NOT(ISNUMBER($B100))),"",IF($C100="Winner",1,COUNTIFS($D$7:$D$156,$D100,$B$7:$B$156,"&lt;"&amp;$B100)+1+IF(AND(NOT($C100="Winner"),COUNTIFS($D$7:$D$156,$D100,$C$7:$C$156,"Winner",$B$7:$B$156,$B100)&gt;0),1,0)))</f>
        <v/>
      </c>
      <c r="F100" s="11">
        <f>IF(OR($A100="",NOT(ISNUMBER($B100))),"",COUNTIFS($D$7:$D$156,$D100,$B$7:$B$156,"&gt;0"))</f>
        <v/>
      </c>
      <c r="G100" s="11">
        <f>IF(OR(OR($A100="",NOT(ISNUMBER($B100))),$B$2="Not started"),"",IF($C100="Winner",Points!$B$3,ROUND(Points!$B$3*IF($F100&lt;=1,1,Points!$H$7+(1-Points!$H$7)*((($F100-$E100)*(($F100-$E100)+1)/2)^2-((($F100-$E100-$J100+1)-1)*($F100-$E100-$J100+1)/2)^2)/($J100*($F100-1)^3)),0)))</f>
        <v/>
      </c>
      <c r="H100" s="11">
        <f>IF($A100="","",IF($B$2="Final","Final",IF($B$2="In progress","Projected","Not started")))</f>
        <v/>
      </c>
      <c r="I100" s="11">
        <f>IF($A100="","",IF(COUNTIF(Players!$A$2:$A$500,$A100)=0,"Player is not on the Players tab",IF(COUNTIF($A$7:$A$156,$A100)&gt;1,"Player is listed twice",IF(NOT(ISNUMBER($B100)),"Enter a score",IF(COUNTIFS($D$7:$D$156,$D100,$C$7:$C$156,"Winner")&gt;1,"More than one "&amp;$D100&amp;" winner picked",IF(AND($C100="Winner",COUNTIFS($D$7:$D$156,$D100,$B$7:$B$156,"&lt;"&amp;$B100)&gt;0),"The winner doesn't have the best "&amp;$D100&amp;" score",IF(AND($B$2="Final",COUNTIFS($D$7:$D$156,$D100,$C$7:$C$156,"Winner")=0),"Final: pick the "&amp;$D100&amp;" winner",IF($B$2="Not started","Set Status to In progress to count points","OK"))))))))</f>
        <v/>
      </c>
      <c r="J100" s="11">
        <f>IF(OR($A100="",NOT(ISNUMBER($B100))),"",IF($C100="Winner",1,COUNTIFS($D$7:$D$156,$D100,$B$7:$B$156,$B100)-IF(AND(NOT($C100="Winner"),COUNTIFS($D$7:$D$156,$D100,$C$7:$C$156,"Winner",$B$7:$B$156,$B100)&gt;0),1,0)))</f>
        <v/>
      </c>
    </row>
    <row r="101">
      <c r="D101" s="11">
        <f>IF($A101="","",IFERROR(IF(VLOOKUP($A101,Players!$A$2:$B$500,2,FALSE)="","Open",VLOOKUP($A101,Players!$A$2:$B$500,2,FALSE)),"Open"))</f>
        <v/>
      </c>
      <c r="E101" s="11">
        <f>IF(OR($A101="",NOT(ISNUMBER($B101))),"",IF($C101="Winner",1,COUNTIFS($D$7:$D$156,$D101,$B$7:$B$156,"&lt;"&amp;$B101)+1+IF(AND(NOT($C101="Winner"),COUNTIFS($D$7:$D$156,$D101,$C$7:$C$156,"Winner",$B$7:$B$156,$B101)&gt;0),1,0)))</f>
        <v/>
      </c>
      <c r="F101" s="11">
        <f>IF(OR($A101="",NOT(ISNUMBER($B101))),"",COUNTIFS($D$7:$D$156,$D101,$B$7:$B$156,"&gt;0"))</f>
        <v/>
      </c>
      <c r="G101" s="11">
        <f>IF(OR(OR($A101="",NOT(ISNUMBER($B101))),$B$2="Not started"),"",IF($C101="Winner",Points!$B$3,ROUND(Points!$B$3*IF($F101&lt;=1,1,Points!$H$7+(1-Points!$H$7)*((($F101-$E101)*(($F101-$E101)+1)/2)^2-((($F101-$E101-$J101+1)-1)*($F101-$E101-$J101+1)/2)^2)/($J101*($F101-1)^3)),0)))</f>
        <v/>
      </c>
      <c r="H101" s="11">
        <f>IF($A101="","",IF($B$2="Final","Final",IF($B$2="In progress","Projected","Not started")))</f>
        <v/>
      </c>
      <c r="I101" s="11">
        <f>IF($A101="","",IF(COUNTIF(Players!$A$2:$A$500,$A101)=0,"Player is not on the Players tab",IF(COUNTIF($A$7:$A$156,$A101)&gt;1,"Player is listed twice",IF(NOT(ISNUMBER($B101)),"Enter a score",IF(COUNTIFS($D$7:$D$156,$D101,$C$7:$C$156,"Winner")&gt;1,"More than one "&amp;$D101&amp;" winner picked",IF(AND($C101="Winner",COUNTIFS($D$7:$D$156,$D101,$B$7:$B$156,"&lt;"&amp;$B101)&gt;0),"The winner doesn't have the best "&amp;$D101&amp;" score",IF(AND($B$2="Final",COUNTIFS($D$7:$D$156,$D101,$C$7:$C$156,"Winner")=0),"Final: pick the "&amp;$D101&amp;" winner",IF($B$2="Not started","Set Status to In progress to count points","OK"))))))))</f>
        <v/>
      </c>
      <c r="J101" s="11">
        <f>IF(OR($A101="",NOT(ISNUMBER($B101))),"",IF($C101="Winner",1,COUNTIFS($D$7:$D$156,$D101,$B$7:$B$156,$B101)-IF(AND(NOT($C101="Winner"),COUNTIFS($D$7:$D$156,$D101,$C$7:$C$156,"Winner",$B$7:$B$156,$B101)&gt;0),1,0)))</f>
        <v/>
      </c>
    </row>
    <row r="102">
      <c r="D102" s="11">
        <f>IF($A102="","",IFERROR(IF(VLOOKUP($A102,Players!$A$2:$B$500,2,FALSE)="","Open",VLOOKUP($A102,Players!$A$2:$B$500,2,FALSE)),"Open"))</f>
        <v/>
      </c>
      <c r="E102" s="11">
        <f>IF(OR($A102="",NOT(ISNUMBER($B102))),"",IF($C102="Winner",1,COUNTIFS($D$7:$D$156,$D102,$B$7:$B$156,"&lt;"&amp;$B102)+1+IF(AND(NOT($C102="Winner"),COUNTIFS($D$7:$D$156,$D102,$C$7:$C$156,"Winner",$B$7:$B$156,$B102)&gt;0),1,0)))</f>
        <v/>
      </c>
      <c r="F102" s="11">
        <f>IF(OR($A102="",NOT(ISNUMBER($B102))),"",COUNTIFS($D$7:$D$156,$D102,$B$7:$B$156,"&gt;0"))</f>
        <v/>
      </c>
      <c r="G102" s="11">
        <f>IF(OR(OR($A102="",NOT(ISNUMBER($B102))),$B$2="Not started"),"",IF($C102="Winner",Points!$B$3,ROUND(Points!$B$3*IF($F102&lt;=1,1,Points!$H$7+(1-Points!$H$7)*((($F102-$E102)*(($F102-$E102)+1)/2)^2-((($F102-$E102-$J102+1)-1)*($F102-$E102-$J102+1)/2)^2)/($J102*($F102-1)^3)),0)))</f>
        <v/>
      </c>
      <c r="H102" s="11">
        <f>IF($A102="","",IF($B$2="Final","Final",IF($B$2="In progress","Projected","Not started")))</f>
        <v/>
      </c>
      <c r="I102" s="11">
        <f>IF($A102="","",IF(COUNTIF(Players!$A$2:$A$500,$A102)=0,"Player is not on the Players tab",IF(COUNTIF($A$7:$A$156,$A102)&gt;1,"Player is listed twice",IF(NOT(ISNUMBER($B102)),"Enter a score",IF(COUNTIFS($D$7:$D$156,$D102,$C$7:$C$156,"Winner")&gt;1,"More than one "&amp;$D102&amp;" winner picked",IF(AND($C102="Winner",COUNTIFS($D$7:$D$156,$D102,$B$7:$B$156,"&lt;"&amp;$B102)&gt;0),"The winner doesn't have the best "&amp;$D102&amp;" score",IF(AND($B$2="Final",COUNTIFS($D$7:$D$156,$D102,$C$7:$C$156,"Winner")=0),"Final: pick the "&amp;$D102&amp;" winner",IF($B$2="Not started","Set Status to In progress to count points","OK"))))))))</f>
        <v/>
      </c>
      <c r="J102" s="11">
        <f>IF(OR($A102="",NOT(ISNUMBER($B102))),"",IF($C102="Winner",1,COUNTIFS($D$7:$D$156,$D102,$B$7:$B$156,$B102)-IF(AND(NOT($C102="Winner"),COUNTIFS($D$7:$D$156,$D102,$C$7:$C$156,"Winner",$B$7:$B$156,$B102)&gt;0),1,0)))</f>
        <v/>
      </c>
    </row>
    <row r="103">
      <c r="D103" s="11">
        <f>IF($A103="","",IFERROR(IF(VLOOKUP($A103,Players!$A$2:$B$500,2,FALSE)="","Open",VLOOKUP($A103,Players!$A$2:$B$500,2,FALSE)),"Open"))</f>
        <v/>
      </c>
      <c r="E103" s="11">
        <f>IF(OR($A103="",NOT(ISNUMBER($B103))),"",IF($C103="Winner",1,COUNTIFS($D$7:$D$156,$D103,$B$7:$B$156,"&lt;"&amp;$B103)+1+IF(AND(NOT($C103="Winner"),COUNTIFS($D$7:$D$156,$D103,$C$7:$C$156,"Winner",$B$7:$B$156,$B103)&gt;0),1,0)))</f>
        <v/>
      </c>
      <c r="F103" s="11">
        <f>IF(OR($A103="",NOT(ISNUMBER($B103))),"",COUNTIFS($D$7:$D$156,$D103,$B$7:$B$156,"&gt;0"))</f>
        <v/>
      </c>
      <c r="G103" s="11">
        <f>IF(OR(OR($A103="",NOT(ISNUMBER($B103))),$B$2="Not started"),"",IF($C103="Winner",Points!$B$3,ROUND(Points!$B$3*IF($F103&lt;=1,1,Points!$H$7+(1-Points!$H$7)*((($F103-$E103)*(($F103-$E103)+1)/2)^2-((($F103-$E103-$J103+1)-1)*($F103-$E103-$J103+1)/2)^2)/($J103*($F103-1)^3)),0)))</f>
        <v/>
      </c>
      <c r="H103" s="11">
        <f>IF($A103="","",IF($B$2="Final","Final",IF($B$2="In progress","Projected","Not started")))</f>
        <v/>
      </c>
      <c r="I103" s="11">
        <f>IF($A103="","",IF(COUNTIF(Players!$A$2:$A$500,$A103)=0,"Player is not on the Players tab",IF(COUNTIF($A$7:$A$156,$A103)&gt;1,"Player is listed twice",IF(NOT(ISNUMBER($B103)),"Enter a score",IF(COUNTIFS($D$7:$D$156,$D103,$C$7:$C$156,"Winner")&gt;1,"More than one "&amp;$D103&amp;" winner picked",IF(AND($C103="Winner",COUNTIFS($D$7:$D$156,$D103,$B$7:$B$156,"&lt;"&amp;$B103)&gt;0),"The winner doesn't have the best "&amp;$D103&amp;" score",IF(AND($B$2="Final",COUNTIFS($D$7:$D$156,$D103,$C$7:$C$156,"Winner")=0),"Final: pick the "&amp;$D103&amp;" winner",IF($B$2="Not started","Set Status to In progress to count points","OK"))))))))</f>
        <v/>
      </c>
      <c r="J103" s="11">
        <f>IF(OR($A103="",NOT(ISNUMBER($B103))),"",IF($C103="Winner",1,COUNTIFS($D$7:$D$156,$D103,$B$7:$B$156,$B103)-IF(AND(NOT($C103="Winner"),COUNTIFS($D$7:$D$156,$D103,$C$7:$C$156,"Winner",$B$7:$B$156,$B103)&gt;0),1,0)))</f>
        <v/>
      </c>
    </row>
    <row r="104">
      <c r="D104" s="11">
        <f>IF($A104="","",IFERROR(IF(VLOOKUP($A104,Players!$A$2:$B$500,2,FALSE)="","Open",VLOOKUP($A104,Players!$A$2:$B$500,2,FALSE)),"Open"))</f>
        <v/>
      </c>
      <c r="E104" s="11">
        <f>IF(OR($A104="",NOT(ISNUMBER($B104))),"",IF($C104="Winner",1,COUNTIFS($D$7:$D$156,$D104,$B$7:$B$156,"&lt;"&amp;$B104)+1+IF(AND(NOT($C104="Winner"),COUNTIFS($D$7:$D$156,$D104,$C$7:$C$156,"Winner",$B$7:$B$156,$B104)&gt;0),1,0)))</f>
        <v/>
      </c>
      <c r="F104" s="11">
        <f>IF(OR($A104="",NOT(ISNUMBER($B104))),"",COUNTIFS($D$7:$D$156,$D104,$B$7:$B$156,"&gt;0"))</f>
        <v/>
      </c>
      <c r="G104" s="11">
        <f>IF(OR(OR($A104="",NOT(ISNUMBER($B104))),$B$2="Not started"),"",IF($C104="Winner",Points!$B$3,ROUND(Points!$B$3*IF($F104&lt;=1,1,Points!$H$7+(1-Points!$H$7)*((($F104-$E104)*(($F104-$E104)+1)/2)^2-((($F104-$E104-$J104+1)-1)*($F104-$E104-$J104+1)/2)^2)/($J104*($F104-1)^3)),0)))</f>
        <v/>
      </c>
      <c r="H104" s="11">
        <f>IF($A104="","",IF($B$2="Final","Final",IF($B$2="In progress","Projected","Not started")))</f>
        <v/>
      </c>
      <c r="I104" s="11">
        <f>IF($A104="","",IF(COUNTIF(Players!$A$2:$A$500,$A104)=0,"Player is not on the Players tab",IF(COUNTIF($A$7:$A$156,$A104)&gt;1,"Player is listed twice",IF(NOT(ISNUMBER($B104)),"Enter a score",IF(COUNTIFS($D$7:$D$156,$D104,$C$7:$C$156,"Winner")&gt;1,"More than one "&amp;$D104&amp;" winner picked",IF(AND($C104="Winner",COUNTIFS($D$7:$D$156,$D104,$B$7:$B$156,"&lt;"&amp;$B104)&gt;0),"The winner doesn't have the best "&amp;$D104&amp;" score",IF(AND($B$2="Final",COUNTIFS($D$7:$D$156,$D104,$C$7:$C$156,"Winner")=0),"Final: pick the "&amp;$D104&amp;" winner",IF($B$2="Not started","Set Status to In progress to count points","OK"))))))))</f>
        <v/>
      </c>
      <c r="J104" s="11">
        <f>IF(OR($A104="",NOT(ISNUMBER($B104))),"",IF($C104="Winner",1,COUNTIFS($D$7:$D$156,$D104,$B$7:$B$156,$B104)-IF(AND(NOT($C104="Winner"),COUNTIFS($D$7:$D$156,$D104,$C$7:$C$156,"Winner",$B$7:$B$156,$B104)&gt;0),1,0)))</f>
        <v/>
      </c>
    </row>
    <row r="105">
      <c r="D105" s="11">
        <f>IF($A105="","",IFERROR(IF(VLOOKUP($A105,Players!$A$2:$B$500,2,FALSE)="","Open",VLOOKUP($A105,Players!$A$2:$B$500,2,FALSE)),"Open"))</f>
        <v/>
      </c>
      <c r="E105" s="11">
        <f>IF(OR($A105="",NOT(ISNUMBER($B105))),"",IF($C105="Winner",1,COUNTIFS($D$7:$D$156,$D105,$B$7:$B$156,"&lt;"&amp;$B105)+1+IF(AND(NOT($C105="Winner"),COUNTIFS($D$7:$D$156,$D105,$C$7:$C$156,"Winner",$B$7:$B$156,$B105)&gt;0),1,0)))</f>
        <v/>
      </c>
      <c r="F105" s="11">
        <f>IF(OR($A105="",NOT(ISNUMBER($B105))),"",COUNTIFS($D$7:$D$156,$D105,$B$7:$B$156,"&gt;0"))</f>
        <v/>
      </c>
      <c r="G105" s="11">
        <f>IF(OR(OR($A105="",NOT(ISNUMBER($B105))),$B$2="Not started"),"",IF($C105="Winner",Points!$B$3,ROUND(Points!$B$3*IF($F105&lt;=1,1,Points!$H$7+(1-Points!$H$7)*((($F105-$E105)*(($F105-$E105)+1)/2)^2-((($F105-$E105-$J105+1)-1)*($F105-$E105-$J105+1)/2)^2)/($J105*($F105-1)^3)),0)))</f>
        <v/>
      </c>
      <c r="H105" s="11">
        <f>IF($A105="","",IF($B$2="Final","Final",IF($B$2="In progress","Projected","Not started")))</f>
        <v/>
      </c>
      <c r="I105" s="11">
        <f>IF($A105="","",IF(COUNTIF(Players!$A$2:$A$500,$A105)=0,"Player is not on the Players tab",IF(COUNTIF($A$7:$A$156,$A105)&gt;1,"Player is listed twice",IF(NOT(ISNUMBER($B105)),"Enter a score",IF(COUNTIFS($D$7:$D$156,$D105,$C$7:$C$156,"Winner")&gt;1,"More than one "&amp;$D105&amp;" winner picked",IF(AND($C105="Winner",COUNTIFS($D$7:$D$156,$D105,$B$7:$B$156,"&lt;"&amp;$B105)&gt;0),"The winner doesn't have the best "&amp;$D105&amp;" score",IF(AND($B$2="Final",COUNTIFS($D$7:$D$156,$D105,$C$7:$C$156,"Winner")=0),"Final: pick the "&amp;$D105&amp;" winner",IF($B$2="Not started","Set Status to In progress to count points","OK"))))))))</f>
        <v/>
      </c>
      <c r="J105" s="11">
        <f>IF(OR($A105="",NOT(ISNUMBER($B105))),"",IF($C105="Winner",1,COUNTIFS($D$7:$D$156,$D105,$B$7:$B$156,$B105)-IF(AND(NOT($C105="Winner"),COUNTIFS($D$7:$D$156,$D105,$C$7:$C$156,"Winner",$B$7:$B$156,$B105)&gt;0),1,0)))</f>
        <v/>
      </c>
    </row>
    <row r="106">
      <c r="D106" s="11">
        <f>IF($A106="","",IFERROR(IF(VLOOKUP($A106,Players!$A$2:$B$500,2,FALSE)="","Open",VLOOKUP($A106,Players!$A$2:$B$500,2,FALSE)),"Open"))</f>
        <v/>
      </c>
      <c r="E106" s="11">
        <f>IF(OR($A106="",NOT(ISNUMBER($B106))),"",IF($C106="Winner",1,COUNTIFS($D$7:$D$156,$D106,$B$7:$B$156,"&lt;"&amp;$B106)+1+IF(AND(NOT($C106="Winner"),COUNTIFS($D$7:$D$156,$D106,$C$7:$C$156,"Winner",$B$7:$B$156,$B106)&gt;0),1,0)))</f>
        <v/>
      </c>
      <c r="F106" s="11">
        <f>IF(OR($A106="",NOT(ISNUMBER($B106))),"",COUNTIFS($D$7:$D$156,$D106,$B$7:$B$156,"&gt;0"))</f>
        <v/>
      </c>
      <c r="G106" s="11">
        <f>IF(OR(OR($A106="",NOT(ISNUMBER($B106))),$B$2="Not started"),"",IF($C106="Winner",Points!$B$3,ROUND(Points!$B$3*IF($F106&lt;=1,1,Points!$H$7+(1-Points!$H$7)*((($F106-$E106)*(($F106-$E106)+1)/2)^2-((($F106-$E106-$J106+1)-1)*($F106-$E106-$J106+1)/2)^2)/($J106*($F106-1)^3)),0)))</f>
        <v/>
      </c>
      <c r="H106" s="11">
        <f>IF($A106="","",IF($B$2="Final","Final",IF($B$2="In progress","Projected","Not started")))</f>
        <v/>
      </c>
      <c r="I106" s="11">
        <f>IF($A106="","",IF(COUNTIF(Players!$A$2:$A$500,$A106)=0,"Player is not on the Players tab",IF(COUNTIF($A$7:$A$156,$A106)&gt;1,"Player is listed twice",IF(NOT(ISNUMBER($B106)),"Enter a score",IF(COUNTIFS($D$7:$D$156,$D106,$C$7:$C$156,"Winner")&gt;1,"More than one "&amp;$D106&amp;" winner picked",IF(AND($C106="Winner",COUNTIFS($D$7:$D$156,$D106,$B$7:$B$156,"&lt;"&amp;$B106)&gt;0),"The winner doesn't have the best "&amp;$D106&amp;" score",IF(AND($B$2="Final",COUNTIFS($D$7:$D$156,$D106,$C$7:$C$156,"Winner")=0),"Final: pick the "&amp;$D106&amp;" winner",IF($B$2="Not started","Set Status to In progress to count points","OK"))))))))</f>
        <v/>
      </c>
      <c r="J106" s="11">
        <f>IF(OR($A106="",NOT(ISNUMBER($B106))),"",IF($C106="Winner",1,COUNTIFS($D$7:$D$156,$D106,$B$7:$B$156,$B106)-IF(AND(NOT($C106="Winner"),COUNTIFS($D$7:$D$156,$D106,$C$7:$C$156,"Winner",$B$7:$B$156,$B106)&gt;0),1,0)))</f>
        <v/>
      </c>
    </row>
    <row r="107">
      <c r="D107" s="11">
        <f>IF($A107="","",IFERROR(IF(VLOOKUP($A107,Players!$A$2:$B$500,2,FALSE)="","Open",VLOOKUP($A107,Players!$A$2:$B$500,2,FALSE)),"Open"))</f>
        <v/>
      </c>
      <c r="E107" s="11">
        <f>IF(OR($A107="",NOT(ISNUMBER($B107))),"",IF($C107="Winner",1,COUNTIFS($D$7:$D$156,$D107,$B$7:$B$156,"&lt;"&amp;$B107)+1+IF(AND(NOT($C107="Winner"),COUNTIFS($D$7:$D$156,$D107,$C$7:$C$156,"Winner",$B$7:$B$156,$B107)&gt;0),1,0)))</f>
        <v/>
      </c>
      <c r="F107" s="11">
        <f>IF(OR($A107="",NOT(ISNUMBER($B107))),"",COUNTIFS($D$7:$D$156,$D107,$B$7:$B$156,"&gt;0"))</f>
        <v/>
      </c>
      <c r="G107" s="11">
        <f>IF(OR(OR($A107="",NOT(ISNUMBER($B107))),$B$2="Not started"),"",IF($C107="Winner",Points!$B$3,ROUND(Points!$B$3*IF($F107&lt;=1,1,Points!$H$7+(1-Points!$H$7)*((($F107-$E107)*(($F107-$E107)+1)/2)^2-((($F107-$E107-$J107+1)-1)*($F107-$E107-$J107+1)/2)^2)/($J107*($F107-1)^3)),0)))</f>
        <v/>
      </c>
      <c r="H107" s="11">
        <f>IF($A107="","",IF($B$2="Final","Final",IF($B$2="In progress","Projected","Not started")))</f>
        <v/>
      </c>
      <c r="I107" s="11">
        <f>IF($A107="","",IF(COUNTIF(Players!$A$2:$A$500,$A107)=0,"Player is not on the Players tab",IF(COUNTIF($A$7:$A$156,$A107)&gt;1,"Player is listed twice",IF(NOT(ISNUMBER($B107)),"Enter a score",IF(COUNTIFS($D$7:$D$156,$D107,$C$7:$C$156,"Winner")&gt;1,"More than one "&amp;$D107&amp;" winner picked",IF(AND($C107="Winner",COUNTIFS($D$7:$D$156,$D107,$B$7:$B$156,"&lt;"&amp;$B107)&gt;0),"The winner doesn't have the best "&amp;$D107&amp;" score",IF(AND($B$2="Final",COUNTIFS($D$7:$D$156,$D107,$C$7:$C$156,"Winner")=0),"Final: pick the "&amp;$D107&amp;" winner",IF($B$2="Not started","Set Status to In progress to count points","OK"))))))))</f>
        <v/>
      </c>
      <c r="J107" s="11">
        <f>IF(OR($A107="",NOT(ISNUMBER($B107))),"",IF($C107="Winner",1,COUNTIFS($D$7:$D$156,$D107,$B$7:$B$156,$B107)-IF(AND(NOT($C107="Winner"),COUNTIFS($D$7:$D$156,$D107,$C$7:$C$156,"Winner",$B$7:$B$156,$B107)&gt;0),1,0)))</f>
        <v/>
      </c>
    </row>
    <row r="108">
      <c r="D108" s="11">
        <f>IF($A108="","",IFERROR(IF(VLOOKUP($A108,Players!$A$2:$B$500,2,FALSE)="","Open",VLOOKUP($A108,Players!$A$2:$B$500,2,FALSE)),"Open"))</f>
        <v/>
      </c>
      <c r="E108" s="11">
        <f>IF(OR($A108="",NOT(ISNUMBER($B108))),"",IF($C108="Winner",1,COUNTIFS($D$7:$D$156,$D108,$B$7:$B$156,"&lt;"&amp;$B108)+1+IF(AND(NOT($C108="Winner"),COUNTIFS($D$7:$D$156,$D108,$C$7:$C$156,"Winner",$B$7:$B$156,$B108)&gt;0),1,0)))</f>
        <v/>
      </c>
      <c r="F108" s="11">
        <f>IF(OR($A108="",NOT(ISNUMBER($B108))),"",COUNTIFS($D$7:$D$156,$D108,$B$7:$B$156,"&gt;0"))</f>
        <v/>
      </c>
      <c r="G108" s="11">
        <f>IF(OR(OR($A108="",NOT(ISNUMBER($B108))),$B$2="Not started"),"",IF($C108="Winner",Points!$B$3,ROUND(Points!$B$3*IF($F108&lt;=1,1,Points!$H$7+(1-Points!$H$7)*((($F108-$E108)*(($F108-$E108)+1)/2)^2-((($F108-$E108-$J108+1)-1)*($F108-$E108-$J108+1)/2)^2)/($J108*($F108-1)^3)),0)))</f>
        <v/>
      </c>
      <c r="H108" s="11">
        <f>IF($A108="","",IF($B$2="Final","Final",IF($B$2="In progress","Projected","Not started")))</f>
        <v/>
      </c>
      <c r="I108" s="11">
        <f>IF($A108="","",IF(COUNTIF(Players!$A$2:$A$500,$A108)=0,"Player is not on the Players tab",IF(COUNTIF($A$7:$A$156,$A108)&gt;1,"Player is listed twice",IF(NOT(ISNUMBER($B108)),"Enter a score",IF(COUNTIFS($D$7:$D$156,$D108,$C$7:$C$156,"Winner")&gt;1,"More than one "&amp;$D108&amp;" winner picked",IF(AND($C108="Winner",COUNTIFS($D$7:$D$156,$D108,$B$7:$B$156,"&lt;"&amp;$B108)&gt;0),"The winner doesn't have the best "&amp;$D108&amp;" score",IF(AND($B$2="Final",COUNTIFS($D$7:$D$156,$D108,$C$7:$C$156,"Winner")=0),"Final: pick the "&amp;$D108&amp;" winner",IF($B$2="Not started","Set Status to In progress to count points","OK"))))))))</f>
        <v/>
      </c>
      <c r="J108" s="11">
        <f>IF(OR($A108="",NOT(ISNUMBER($B108))),"",IF($C108="Winner",1,COUNTIFS($D$7:$D$156,$D108,$B$7:$B$156,$B108)-IF(AND(NOT($C108="Winner"),COUNTIFS($D$7:$D$156,$D108,$C$7:$C$156,"Winner",$B$7:$B$156,$B108)&gt;0),1,0)))</f>
        <v/>
      </c>
    </row>
    <row r="109">
      <c r="D109" s="11">
        <f>IF($A109="","",IFERROR(IF(VLOOKUP($A109,Players!$A$2:$B$500,2,FALSE)="","Open",VLOOKUP($A109,Players!$A$2:$B$500,2,FALSE)),"Open"))</f>
        <v/>
      </c>
      <c r="E109" s="11">
        <f>IF(OR($A109="",NOT(ISNUMBER($B109))),"",IF($C109="Winner",1,COUNTIFS($D$7:$D$156,$D109,$B$7:$B$156,"&lt;"&amp;$B109)+1+IF(AND(NOT($C109="Winner"),COUNTIFS($D$7:$D$156,$D109,$C$7:$C$156,"Winner",$B$7:$B$156,$B109)&gt;0),1,0)))</f>
        <v/>
      </c>
      <c r="F109" s="11">
        <f>IF(OR($A109="",NOT(ISNUMBER($B109))),"",COUNTIFS($D$7:$D$156,$D109,$B$7:$B$156,"&gt;0"))</f>
        <v/>
      </c>
      <c r="G109" s="11">
        <f>IF(OR(OR($A109="",NOT(ISNUMBER($B109))),$B$2="Not started"),"",IF($C109="Winner",Points!$B$3,ROUND(Points!$B$3*IF($F109&lt;=1,1,Points!$H$7+(1-Points!$H$7)*((($F109-$E109)*(($F109-$E109)+1)/2)^2-((($F109-$E109-$J109+1)-1)*($F109-$E109-$J109+1)/2)^2)/($J109*($F109-1)^3)),0)))</f>
        <v/>
      </c>
      <c r="H109" s="11">
        <f>IF($A109="","",IF($B$2="Final","Final",IF($B$2="In progress","Projected","Not started")))</f>
        <v/>
      </c>
      <c r="I109" s="11">
        <f>IF($A109="","",IF(COUNTIF(Players!$A$2:$A$500,$A109)=0,"Player is not on the Players tab",IF(COUNTIF($A$7:$A$156,$A109)&gt;1,"Player is listed twice",IF(NOT(ISNUMBER($B109)),"Enter a score",IF(COUNTIFS($D$7:$D$156,$D109,$C$7:$C$156,"Winner")&gt;1,"More than one "&amp;$D109&amp;" winner picked",IF(AND($C109="Winner",COUNTIFS($D$7:$D$156,$D109,$B$7:$B$156,"&lt;"&amp;$B109)&gt;0),"The winner doesn't have the best "&amp;$D109&amp;" score",IF(AND($B$2="Final",COUNTIFS($D$7:$D$156,$D109,$C$7:$C$156,"Winner")=0),"Final: pick the "&amp;$D109&amp;" winner",IF($B$2="Not started","Set Status to In progress to count points","OK"))))))))</f>
        <v/>
      </c>
      <c r="J109" s="11">
        <f>IF(OR($A109="",NOT(ISNUMBER($B109))),"",IF($C109="Winner",1,COUNTIFS($D$7:$D$156,$D109,$B$7:$B$156,$B109)-IF(AND(NOT($C109="Winner"),COUNTIFS($D$7:$D$156,$D109,$C$7:$C$156,"Winner",$B$7:$B$156,$B109)&gt;0),1,0)))</f>
        <v/>
      </c>
    </row>
    <row r="110">
      <c r="D110" s="11">
        <f>IF($A110="","",IFERROR(IF(VLOOKUP($A110,Players!$A$2:$B$500,2,FALSE)="","Open",VLOOKUP($A110,Players!$A$2:$B$500,2,FALSE)),"Open"))</f>
        <v/>
      </c>
      <c r="E110" s="11">
        <f>IF(OR($A110="",NOT(ISNUMBER($B110))),"",IF($C110="Winner",1,COUNTIFS($D$7:$D$156,$D110,$B$7:$B$156,"&lt;"&amp;$B110)+1+IF(AND(NOT($C110="Winner"),COUNTIFS($D$7:$D$156,$D110,$C$7:$C$156,"Winner",$B$7:$B$156,$B110)&gt;0),1,0)))</f>
        <v/>
      </c>
      <c r="F110" s="11">
        <f>IF(OR($A110="",NOT(ISNUMBER($B110))),"",COUNTIFS($D$7:$D$156,$D110,$B$7:$B$156,"&gt;0"))</f>
        <v/>
      </c>
      <c r="G110" s="11">
        <f>IF(OR(OR($A110="",NOT(ISNUMBER($B110))),$B$2="Not started"),"",IF($C110="Winner",Points!$B$3,ROUND(Points!$B$3*IF($F110&lt;=1,1,Points!$H$7+(1-Points!$H$7)*((($F110-$E110)*(($F110-$E110)+1)/2)^2-((($F110-$E110-$J110+1)-1)*($F110-$E110-$J110+1)/2)^2)/($J110*($F110-1)^3)),0)))</f>
        <v/>
      </c>
      <c r="H110" s="11">
        <f>IF($A110="","",IF($B$2="Final","Final",IF($B$2="In progress","Projected","Not started")))</f>
        <v/>
      </c>
      <c r="I110" s="11">
        <f>IF($A110="","",IF(COUNTIF(Players!$A$2:$A$500,$A110)=0,"Player is not on the Players tab",IF(COUNTIF($A$7:$A$156,$A110)&gt;1,"Player is listed twice",IF(NOT(ISNUMBER($B110)),"Enter a score",IF(COUNTIFS($D$7:$D$156,$D110,$C$7:$C$156,"Winner")&gt;1,"More than one "&amp;$D110&amp;" winner picked",IF(AND($C110="Winner",COUNTIFS($D$7:$D$156,$D110,$B$7:$B$156,"&lt;"&amp;$B110)&gt;0),"The winner doesn't have the best "&amp;$D110&amp;" score",IF(AND($B$2="Final",COUNTIFS($D$7:$D$156,$D110,$C$7:$C$156,"Winner")=0),"Final: pick the "&amp;$D110&amp;" winner",IF($B$2="Not started","Set Status to In progress to count points","OK"))))))))</f>
        <v/>
      </c>
      <c r="J110" s="11">
        <f>IF(OR($A110="",NOT(ISNUMBER($B110))),"",IF($C110="Winner",1,COUNTIFS($D$7:$D$156,$D110,$B$7:$B$156,$B110)-IF(AND(NOT($C110="Winner"),COUNTIFS($D$7:$D$156,$D110,$C$7:$C$156,"Winner",$B$7:$B$156,$B110)&gt;0),1,0)))</f>
        <v/>
      </c>
    </row>
    <row r="111">
      <c r="D111" s="11">
        <f>IF($A111="","",IFERROR(IF(VLOOKUP($A111,Players!$A$2:$B$500,2,FALSE)="","Open",VLOOKUP($A111,Players!$A$2:$B$500,2,FALSE)),"Open"))</f>
        <v/>
      </c>
      <c r="E111" s="11">
        <f>IF(OR($A111="",NOT(ISNUMBER($B111))),"",IF($C111="Winner",1,COUNTIFS($D$7:$D$156,$D111,$B$7:$B$156,"&lt;"&amp;$B111)+1+IF(AND(NOT($C111="Winner"),COUNTIFS($D$7:$D$156,$D111,$C$7:$C$156,"Winner",$B$7:$B$156,$B111)&gt;0),1,0)))</f>
        <v/>
      </c>
      <c r="F111" s="11">
        <f>IF(OR($A111="",NOT(ISNUMBER($B111))),"",COUNTIFS($D$7:$D$156,$D111,$B$7:$B$156,"&gt;0"))</f>
        <v/>
      </c>
      <c r="G111" s="11">
        <f>IF(OR(OR($A111="",NOT(ISNUMBER($B111))),$B$2="Not started"),"",IF($C111="Winner",Points!$B$3,ROUND(Points!$B$3*IF($F111&lt;=1,1,Points!$H$7+(1-Points!$H$7)*((($F111-$E111)*(($F111-$E111)+1)/2)^2-((($F111-$E111-$J111+1)-1)*($F111-$E111-$J111+1)/2)^2)/($J111*($F111-1)^3)),0)))</f>
        <v/>
      </c>
      <c r="H111" s="11">
        <f>IF($A111="","",IF($B$2="Final","Final",IF($B$2="In progress","Projected","Not started")))</f>
        <v/>
      </c>
      <c r="I111" s="11">
        <f>IF($A111="","",IF(COUNTIF(Players!$A$2:$A$500,$A111)=0,"Player is not on the Players tab",IF(COUNTIF($A$7:$A$156,$A111)&gt;1,"Player is listed twice",IF(NOT(ISNUMBER($B111)),"Enter a score",IF(COUNTIFS($D$7:$D$156,$D111,$C$7:$C$156,"Winner")&gt;1,"More than one "&amp;$D111&amp;" winner picked",IF(AND($C111="Winner",COUNTIFS($D$7:$D$156,$D111,$B$7:$B$156,"&lt;"&amp;$B111)&gt;0),"The winner doesn't have the best "&amp;$D111&amp;" score",IF(AND($B$2="Final",COUNTIFS($D$7:$D$156,$D111,$C$7:$C$156,"Winner")=0),"Final: pick the "&amp;$D111&amp;" winner",IF($B$2="Not started","Set Status to In progress to count points","OK"))))))))</f>
        <v/>
      </c>
      <c r="J111" s="11">
        <f>IF(OR($A111="",NOT(ISNUMBER($B111))),"",IF($C111="Winner",1,COUNTIFS($D$7:$D$156,$D111,$B$7:$B$156,$B111)-IF(AND(NOT($C111="Winner"),COUNTIFS($D$7:$D$156,$D111,$C$7:$C$156,"Winner",$B$7:$B$156,$B111)&gt;0),1,0)))</f>
        <v/>
      </c>
    </row>
    <row r="112">
      <c r="D112" s="11">
        <f>IF($A112="","",IFERROR(IF(VLOOKUP($A112,Players!$A$2:$B$500,2,FALSE)="","Open",VLOOKUP($A112,Players!$A$2:$B$500,2,FALSE)),"Open"))</f>
        <v/>
      </c>
      <c r="E112" s="11">
        <f>IF(OR($A112="",NOT(ISNUMBER($B112))),"",IF($C112="Winner",1,COUNTIFS($D$7:$D$156,$D112,$B$7:$B$156,"&lt;"&amp;$B112)+1+IF(AND(NOT($C112="Winner"),COUNTIFS($D$7:$D$156,$D112,$C$7:$C$156,"Winner",$B$7:$B$156,$B112)&gt;0),1,0)))</f>
        <v/>
      </c>
      <c r="F112" s="11">
        <f>IF(OR($A112="",NOT(ISNUMBER($B112))),"",COUNTIFS($D$7:$D$156,$D112,$B$7:$B$156,"&gt;0"))</f>
        <v/>
      </c>
      <c r="G112" s="11">
        <f>IF(OR(OR($A112="",NOT(ISNUMBER($B112))),$B$2="Not started"),"",IF($C112="Winner",Points!$B$3,ROUND(Points!$B$3*IF($F112&lt;=1,1,Points!$H$7+(1-Points!$H$7)*((($F112-$E112)*(($F112-$E112)+1)/2)^2-((($F112-$E112-$J112+1)-1)*($F112-$E112-$J112+1)/2)^2)/($J112*($F112-1)^3)),0)))</f>
        <v/>
      </c>
      <c r="H112" s="11">
        <f>IF($A112="","",IF($B$2="Final","Final",IF($B$2="In progress","Projected","Not started")))</f>
        <v/>
      </c>
      <c r="I112" s="11">
        <f>IF($A112="","",IF(COUNTIF(Players!$A$2:$A$500,$A112)=0,"Player is not on the Players tab",IF(COUNTIF($A$7:$A$156,$A112)&gt;1,"Player is listed twice",IF(NOT(ISNUMBER($B112)),"Enter a score",IF(COUNTIFS($D$7:$D$156,$D112,$C$7:$C$156,"Winner")&gt;1,"More than one "&amp;$D112&amp;" winner picked",IF(AND($C112="Winner",COUNTIFS($D$7:$D$156,$D112,$B$7:$B$156,"&lt;"&amp;$B112)&gt;0),"The winner doesn't have the best "&amp;$D112&amp;" score",IF(AND($B$2="Final",COUNTIFS($D$7:$D$156,$D112,$C$7:$C$156,"Winner")=0),"Final: pick the "&amp;$D112&amp;" winner",IF($B$2="Not started","Set Status to In progress to count points","OK"))))))))</f>
        <v/>
      </c>
      <c r="J112" s="11">
        <f>IF(OR($A112="",NOT(ISNUMBER($B112))),"",IF($C112="Winner",1,COUNTIFS($D$7:$D$156,$D112,$B$7:$B$156,$B112)-IF(AND(NOT($C112="Winner"),COUNTIFS($D$7:$D$156,$D112,$C$7:$C$156,"Winner",$B$7:$B$156,$B112)&gt;0),1,0)))</f>
        <v/>
      </c>
    </row>
    <row r="113">
      <c r="D113" s="11">
        <f>IF($A113="","",IFERROR(IF(VLOOKUP($A113,Players!$A$2:$B$500,2,FALSE)="","Open",VLOOKUP($A113,Players!$A$2:$B$500,2,FALSE)),"Open"))</f>
        <v/>
      </c>
      <c r="E113" s="11">
        <f>IF(OR($A113="",NOT(ISNUMBER($B113))),"",IF($C113="Winner",1,COUNTIFS($D$7:$D$156,$D113,$B$7:$B$156,"&lt;"&amp;$B113)+1+IF(AND(NOT($C113="Winner"),COUNTIFS($D$7:$D$156,$D113,$C$7:$C$156,"Winner",$B$7:$B$156,$B113)&gt;0),1,0)))</f>
        <v/>
      </c>
      <c r="F113" s="11">
        <f>IF(OR($A113="",NOT(ISNUMBER($B113))),"",COUNTIFS($D$7:$D$156,$D113,$B$7:$B$156,"&gt;0"))</f>
        <v/>
      </c>
      <c r="G113" s="11">
        <f>IF(OR(OR($A113="",NOT(ISNUMBER($B113))),$B$2="Not started"),"",IF($C113="Winner",Points!$B$3,ROUND(Points!$B$3*IF($F113&lt;=1,1,Points!$H$7+(1-Points!$H$7)*((($F113-$E113)*(($F113-$E113)+1)/2)^2-((($F113-$E113-$J113+1)-1)*($F113-$E113-$J113+1)/2)^2)/($J113*($F113-1)^3)),0)))</f>
        <v/>
      </c>
      <c r="H113" s="11">
        <f>IF($A113="","",IF($B$2="Final","Final",IF($B$2="In progress","Projected","Not started")))</f>
        <v/>
      </c>
      <c r="I113" s="11">
        <f>IF($A113="","",IF(COUNTIF(Players!$A$2:$A$500,$A113)=0,"Player is not on the Players tab",IF(COUNTIF($A$7:$A$156,$A113)&gt;1,"Player is listed twice",IF(NOT(ISNUMBER($B113)),"Enter a score",IF(COUNTIFS($D$7:$D$156,$D113,$C$7:$C$156,"Winner")&gt;1,"More than one "&amp;$D113&amp;" winner picked",IF(AND($C113="Winner",COUNTIFS($D$7:$D$156,$D113,$B$7:$B$156,"&lt;"&amp;$B113)&gt;0),"The winner doesn't have the best "&amp;$D113&amp;" score",IF(AND($B$2="Final",COUNTIFS($D$7:$D$156,$D113,$C$7:$C$156,"Winner")=0),"Final: pick the "&amp;$D113&amp;" winner",IF($B$2="Not started","Set Status to In progress to count points","OK"))))))))</f>
        <v/>
      </c>
      <c r="J113" s="11">
        <f>IF(OR($A113="",NOT(ISNUMBER($B113))),"",IF($C113="Winner",1,COUNTIFS($D$7:$D$156,$D113,$B$7:$B$156,$B113)-IF(AND(NOT($C113="Winner"),COUNTIFS($D$7:$D$156,$D113,$C$7:$C$156,"Winner",$B$7:$B$156,$B113)&gt;0),1,0)))</f>
        <v/>
      </c>
    </row>
    <row r="114">
      <c r="D114" s="11">
        <f>IF($A114="","",IFERROR(IF(VLOOKUP($A114,Players!$A$2:$B$500,2,FALSE)="","Open",VLOOKUP($A114,Players!$A$2:$B$500,2,FALSE)),"Open"))</f>
        <v/>
      </c>
      <c r="E114" s="11">
        <f>IF(OR($A114="",NOT(ISNUMBER($B114))),"",IF($C114="Winner",1,COUNTIFS($D$7:$D$156,$D114,$B$7:$B$156,"&lt;"&amp;$B114)+1+IF(AND(NOT($C114="Winner"),COUNTIFS($D$7:$D$156,$D114,$C$7:$C$156,"Winner",$B$7:$B$156,$B114)&gt;0),1,0)))</f>
        <v/>
      </c>
      <c r="F114" s="11">
        <f>IF(OR($A114="",NOT(ISNUMBER($B114))),"",COUNTIFS($D$7:$D$156,$D114,$B$7:$B$156,"&gt;0"))</f>
        <v/>
      </c>
      <c r="G114" s="11">
        <f>IF(OR(OR($A114="",NOT(ISNUMBER($B114))),$B$2="Not started"),"",IF($C114="Winner",Points!$B$3,ROUND(Points!$B$3*IF($F114&lt;=1,1,Points!$H$7+(1-Points!$H$7)*((($F114-$E114)*(($F114-$E114)+1)/2)^2-((($F114-$E114-$J114+1)-1)*($F114-$E114-$J114+1)/2)^2)/($J114*($F114-1)^3)),0)))</f>
        <v/>
      </c>
      <c r="H114" s="11">
        <f>IF($A114="","",IF($B$2="Final","Final",IF($B$2="In progress","Projected","Not started")))</f>
        <v/>
      </c>
      <c r="I114" s="11">
        <f>IF($A114="","",IF(COUNTIF(Players!$A$2:$A$500,$A114)=0,"Player is not on the Players tab",IF(COUNTIF($A$7:$A$156,$A114)&gt;1,"Player is listed twice",IF(NOT(ISNUMBER($B114)),"Enter a score",IF(COUNTIFS($D$7:$D$156,$D114,$C$7:$C$156,"Winner")&gt;1,"More than one "&amp;$D114&amp;" winner picked",IF(AND($C114="Winner",COUNTIFS($D$7:$D$156,$D114,$B$7:$B$156,"&lt;"&amp;$B114)&gt;0),"The winner doesn't have the best "&amp;$D114&amp;" score",IF(AND($B$2="Final",COUNTIFS($D$7:$D$156,$D114,$C$7:$C$156,"Winner")=0),"Final: pick the "&amp;$D114&amp;" winner",IF($B$2="Not started","Set Status to In progress to count points","OK"))))))))</f>
        <v/>
      </c>
      <c r="J114" s="11">
        <f>IF(OR($A114="",NOT(ISNUMBER($B114))),"",IF($C114="Winner",1,COUNTIFS($D$7:$D$156,$D114,$B$7:$B$156,$B114)-IF(AND(NOT($C114="Winner"),COUNTIFS($D$7:$D$156,$D114,$C$7:$C$156,"Winner",$B$7:$B$156,$B114)&gt;0),1,0)))</f>
        <v/>
      </c>
    </row>
    <row r="115">
      <c r="D115" s="11">
        <f>IF($A115="","",IFERROR(IF(VLOOKUP($A115,Players!$A$2:$B$500,2,FALSE)="","Open",VLOOKUP($A115,Players!$A$2:$B$500,2,FALSE)),"Open"))</f>
        <v/>
      </c>
      <c r="E115" s="11">
        <f>IF(OR($A115="",NOT(ISNUMBER($B115))),"",IF($C115="Winner",1,COUNTIFS($D$7:$D$156,$D115,$B$7:$B$156,"&lt;"&amp;$B115)+1+IF(AND(NOT($C115="Winner"),COUNTIFS($D$7:$D$156,$D115,$C$7:$C$156,"Winner",$B$7:$B$156,$B115)&gt;0),1,0)))</f>
        <v/>
      </c>
      <c r="F115" s="11">
        <f>IF(OR($A115="",NOT(ISNUMBER($B115))),"",COUNTIFS($D$7:$D$156,$D115,$B$7:$B$156,"&gt;0"))</f>
        <v/>
      </c>
      <c r="G115" s="11">
        <f>IF(OR(OR($A115="",NOT(ISNUMBER($B115))),$B$2="Not started"),"",IF($C115="Winner",Points!$B$3,ROUND(Points!$B$3*IF($F115&lt;=1,1,Points!$H$7+(1-Points!$H$7)*((($F115-$E115)*(($F115-$E115)+1)/2)^2-((($F115-$E115-$J115+1)-1)*($F115-$E115-$J115+1)/2)^2)/($J115*($F115-1)^3)),0)))</f>
        <v/>
      </c>
      <c r="H115" s="11">
        <f>IF($A115="","",IF($B$2="Final","Final",IF($B$2="In progress","Projected","Not started")))</f>
        <v/>
      </c>
      <c r="I115" s="11">
        <f>IF($A115="","",IF(COUNTIF(Players!$A$2:$A$500,$A115)=0,"Player is not on the Players tab",IF(COUNTIF($A$7:$A$156,$A115)&gt;1,"Player is listed twice",IF(NOT(ISNUMBER($B115)),"Enter a score",IF(COUNTIFS($D$7:$D$156,$D115,$C$7:$C$156,"Winner")&gt;1,"More than one "&amp;$D115&amp;" winner picked",IF(AND($C115="Winner",COUNTIFS($D$7:$D$156,$D115,$B$7:$B$156,"&lt;"&amp;$B115)&gt;0),"The winner doesn't have the best "&amp;$D115&amp;" score",IF(AND($B$2="Final",COUNTIFS($D$7:$D$156,$D115,$C$7:$C$156,"Winner")=0),"Final: pick the "&amp;$D115&amp;" winner",IF($B$2="Not started","Set Status to In progress to count points","OK"))))))))</f>
        <v/>
      </c>
      <c r="J115" s="11">
        <f>IF(OR($A115="",NOT(ISNUMBER($B115))),"",IF($C115="Winner",1,COUNTIFS($D$7:$D$156,$D115,$B$7:$B$156,$B115)-IF(AND(NOT($C115="Winner"),COUNTIFS($D$7:$D$156,$D115,$C$7:$C$156,"Winner",$B$7:$B$156,$B115)&gt;0),1,0)))</f>
        <v/>
      </c>
    </row>
    <row r="116">
      <c r="D116" s="11">
        <f>IF($A116="","",IFERROR(IF(VLOOKUP($A116,Players!$A$2:$B$500,2,FALSE)="","Open",VLOOKUP($A116,Players!$A$2:$B$500,2,FALSE)),"Open"))</f>
        <v/>
      </c>
      <c r="E116" s="11">
        <f>IF(OR($A116="",NOT(ISNUMBER($B116))),"",IF($C116="Winner",1,COUNTIFS($D$7:$D$156,$D116,$B$7:$B$156,"&lt;"&amp;$B116)+1+IF(AND(NOT($C116="Winner"),COUNTIFS($D$7:$D$156,$D116,$C$7:$C$156,"Winner",$B$7:$B$156,$B116)&gt;0),1,0)))</f>
        <v/>
      </c>
      <c r="F116" s="11">
        <f>IF(OR($A116="",NOT(ISNUMBER($B116))),"",COUNTIFS($D$7:$D$156,$D116,$B$7:$B$156,"&gt;0"))</f>
        <v/>
      </c>
      <c r="G116" s="11">
        <f>IF(OR(OR($A116="",NOT(ISNUMBER($B116))),$B$2="Not started"),"",IF($C116="Winner",Points!$B$3,ROUND(Points!$B$3*IF($F116&lt;=1,1,Points!$H$7+(1-Points!$H$7)*((($F116-$E116)*(($F116-$E116)+1)/2)^2-((($F116-$E116-$J116+1)-1)*($F116-$E116-$J116+1)/2)^2)/($J116*($F116-1)^3)),0)))</f>
        <v/>
      </c>
      <c r="H116" s="11">
        <f>IF($A116="","",IF($B$2="Final","Final",IF($B$2="In progress","Projected","Not started")))</f>
        <v/>
      </c>
      <c r="I116" s="11">
        <f>IF($A116="","",IF(COUNTIF(Players!$A$2:$A$500,$A116)=0,"Player is not on the Players tab",IF(COUNTIF($A$7:$A$156,$A116)&gt;1,"Player is listed twice",IF(NOT(ISNUMBER($B116)),"Enter a score",IF(COUNTIFS($D$7:$D$156,$D116,$C$7:$C$156,"Winner")&gt;1,"More than one "&amp;$D116&amp;" winner picked",IF(AND($C116="Winner",COUNTIFS($D$7:$D$156,$D116,$B$7:$B$156,"&lt;"&amp;$B116)&gt;0),"The winner doesn't have the best "&amp;$D116&amp;" score",IF(AND($B$2="Final",COUNTIFS($D$7:$D$156,$D116,$C$7:$C$156,"Winner")=0),"Final: pick the "&amp;$D116&amp;" winner",IF($B$2="Not started","Set Status to In progress to count points","OK"))))))))</f>
        <v/>
      </c>
      <c r="J116" s="11">
        <f>IF(OR($A116="",NOT(ISNUMBER($B116))),"",IF($C116="Winner",1,COUNTIFS($D$7:$D$156,$D116,$B$7:$B$156,$B116)-IF(AND(NOT($C116="Winner"),COUNTIFS($D$7:$D$156,$D116,$C$7:$C$156,"Winner",$B$7:$B$156,$B116)&gt;0),1,0)))</f>
        <v/>
      </c>
    </row>
    <row r="117">
      <c r="D117" s="11">
        <f>IF($A117="","",IFERROR(IF(VLOOKUP($A117,Players!$A$2:$B$500,2,FALSE)="","Open",VLOOKUP($A117,Players!$A$2:$B$500,2,FALSE)),"Open"))</f>
        <v/>
      </c>
      <c r="E117" s="11">
        <f>IF(OR($A117="",NOT(ISNUMBER($B117))),"",IF($C117="Winner",1,COUNTIFS($D$7:$D$156,$D117,$B$7:$B$156,"&lt;"&amp;$B117)+1+IF(AND(NOT($C117="Winner"),COUNTIFS($D$7:$D$156,$D117,$C$7:$C$156,"Winner",$B$7:$B$156,$B117)&gt;0),1,0)))</f>
        <v/>
      </c>
      <c r="F117" s="11">
        <f>IF(OR($A117="",NOT(ISNUMBER($B117))),"",COUNTIFS($D$7:$D$156,$D117,$B$7:$B$156,"&gt;0"))</f>
        <v/>
      </c>
      <c r="G117" s="11">
        <f>IF(OR(OR($A117="",NOT(ISNUMBER($B117))),$B$2="Not started"),"",IF($C117="Winner",Points!$B$3,ROUND(Points!$B$3*IF($F117&lt;=1,1,Points!$H$7+(1-Points!$H$7)*((($F117-$E117)*(($F117-$E117)+1)/2)^2-((($F117-$E117-$J117+1)-1)*($F117-$E117-$J117+1)/2)^2)/($J117*($F117-1)^3)),0)))</f>
        <v/>
      </c>
      <c r="H117" s="11">
        <f>IF($A117="","",IF($B$2="Final","Final",IF($B$2="In progress","Projected","Not started")))</f>
        <v/>
      </c>
      <c r="I117" s="11">
        <f>IF($A117="","",IF(COUNTIF(Players!$A$2:$A$500,$A117)=0,"Player is not on the Players tab",IF(COUNTIF($A$7:$A$156,$A117)&gt;1,"Player is listed twice",IF(NOT(ISNUMBER($B117)),"Enter a score",IF(COUNTIFS($D$7:$D$156,$D117,$C$7:$C$156,"Winner")&gt;1,"More than one "&amp;$D117&amp;" winner picked",IF(AND($C117="Winner",COUNTIFS($D$7:$D$156,$D117,$B$7:$B$156,"&lt;"&amp;$B117)&gt;0),"The winner doesn't have the best "&amp;$D117&amp;" score",IF(AND($B$2="Final",COUNTIFS($D$7:$D$156,$D117,$C$7:$C$156,"Winner")=0),"Final: pick the "&amp;$D117&amp;" winner",IF($B$2="Not started","Set Status to In progress to count points","OK"))))))))</f>
        <v/>
      </c>
      <c r="J117" s="11">
        <f>IF(OR($A117="",NOT(ISNUMBER($B117))),"",IF($C117="Winner",1,COUNTIFS($D$7:$D$156,$D117,$B$7:$B$156,$B117)-IF(AND(NOT($C117="Winner"),COUNTIFS($D$7:$D$156,$D117,$C$7:$C$156,"Winner",$B$7:$B$156,$B117)&gt;0),1,0)))</f>
        <v/>
      </c>
    </row>
    <row r="118">
      <c r="D118" s="11">
        <f>IF($A118="","",IFERROR(IF(VLOOKUP($A118,Players!$A$2:$B$500,2,FALSE)="","Open",VLOOKUP($A118,Players!$A$2:$B$500,2,FALSE)),"Open"))</f>
        <v/>
      </c>
      <c r="E118" s="11">
        <f>IF(OR($A118="",NOT(ISNUMBER($B118))),"",IF($C118="Winner",1,COUNTIFS($D$7:$D$156,$D118,$B$7:$B$156,"&lt;"&amp;$B118)+1+IF(AND(NOT($C118="Winner"),COUNTIFS($D$7:$D$156,$D118,$C$7:$C$156,"Winner",$B$7:$B$156,$B118)&gt;0),1,0)))</f>
        <v/>
      </c>
      <c r="F118" s="11">
        <f>IF(OR($A118="",NOT(ISNUMBER($B118))),"",COUNTIFS($D$7:$D$156,$D118,$B$7:$B$156,"&gt;0"))</f>
        <v/>
      </c>
      <c r="G118" s="11">
        <f>IF(OR(OR($A118="",NOT(ISNUMBER($B118))),$B$2="Not started"),"",IF($C118="Winner",Points!$B$3,ROUND(Points!$B$3*IF($F118&lt;=1,1,Points!$H$7+(1-Points!$H$7)*((($F118-$E118)*(($F118-$E118)+1)/2)^2-((($F118-$E118-$J118+1)-1)*($F118-$E118-$J118+1)/2)^2)/($J118*($F118-1)^3)),0)))</f>
        <v/>
      </c>
      <c r="H118" s="11">
        <f>IF($A118="","",IF($B$2="Final","Final",IF($B$2="In progress","Projected","Not started")))</f>
        <v/>
      </c>
      <c r="I118" s="11">
        <f>IF($A118="","",IF(COUNTIF(Players!$A$2:$A$500,$A118)=0,"Player is not on the Players tab",IF(COUNTIF($A$7:$A$156,$A118)&gt;1,"Player is listed twice",IF(NOT(ISNUMBER($B118)),"Enter a score",IF(COUNTIFS($D$7:$D$156,$D118,$C$7:$C$156,"Winner")&gt;1,"More than one "&amp;$D118&amp;" winner picked",IF(AND($C118="Winner",COUNTIFS($D$7:$D$156,$D118,$B$7:$B$156,"&lt;"&amp;$B118)&gt;0),"The winner doesn't have the best "&amp;$D118&amp;" score",IF(AND($B$2="Final",COUNTIFS($D$7:$D$156,$D118,$C$7:$C$156,"Winner")=0),"Final: pick the "&amp;$D118&amp;" winner",IF($B$2="Not started","Set Status to In progress to count points","OK"))))))))</f>
        <v/>
      </c>
      <c r="J118" s="11">
        <f>IF(OR($A118="",NOT(ISNUMBER($B118))),"",IF($C118="Winner",1,COUNTIFS($D$7:$D$156,$D118,$B$7:$B$156,$B118)-IF(AND(NOT($C118="Winner"),COUNTIFS($D$7:$D$156,$D118,$C$7:$C$156,"Winner",$B$7:$B$156,$B118)&gt;0),1,0)))</f>
        <v/>
      </c>
    </row>
    <row r="119">
      <c r="D119" s="11">
        <f>IF($A119="","",IFERROR(IF(VLOOKUP($A119,Players!$A$2:$B$500,2,FALSE)="","Open",VLOOKUP($A119,Players!$A$2:$B$500,2,FALSE)),"Open"))</f>
        <v/>
      </c>
      <c r="E119" s="11">
        <f>IF(OR($A119="",NOT(ISNUMBER($B119))),"",IF($C119="Winner",1,COUNTIFS($D$7:$D$156,$D119,$B$7:$B$156,"&lt;"&amp;$B119)+1+IF(AND(NOT($C119="Winner"),COUNTIFS($D$7:$D$156,$D119,$C$7:$C$156,"Winner",$B$7:$B$156,$B119)&gt;0),1,0)))</f>
        <v/>
      </c>
      <c r="F119" s="11">
        <f>IF(OR($A119="",NOT(ISNUMBER($B119))),"",COUNTIFS($D$7:$D$156,$D119,$B$7:$B$156,"&gt;0"))</f>
        <v/>
      </c>
      <c r="G119" s="11">
        <f>IF(OR(OR($A119="",NOT(ISNUMBER($B119))),$B$2="Not started"),"",IF($C119="Winner",Points!$B$3,ROUND(Points!$B$3*IF($F119&lt;=1,1,Points!$H$7+(1-Points!$H$7)*((($F119-$E119)*(($F119-$E119)+1)/2)^2-((($F119-$E119-$J119+1)-1)*($F119-$E119-$J119+1)/2)^2)/($J119*($F119-1)^3)),0)))</f>
        <v/>
      </c>
      <c r="H119" s="11">
        <f>IF($A119="","",IF($B$2="Final","Final",IF($B$2="In progress","Projected","Not started")))</f>
        <v/>
      </c>
      <c r="I119" s="11">
        <f>IF($A119="","",IF(COUNTIF(Players!$A$2:$A$500,$A119)=0,"Player is not on the Players tab",IF(COUNTIF($A$7:$A$156,$A119)&gt;1,"Player is listed twice",IF(NOT(ISNUMBER($B119)),"Enter a score",IF(COUNTIFS($D$7:$D$156,$D119,$C$7:$C$156,"Winner")&gt;1,"More than one "&amp;$D119&amp;" winner picked",IF(AND($C119="Winner",COUNTIFS($D$7:$D$156,$D119,$B$7:$B$156,"&lt;"&amp;$B119)&gt;0),"The winner doesn't have the best "&amp;$D119&amp;" score",IF(AND($B$2="Final",COUNTIFS($D$7:$D$156,$D119,$C$7:$C$156,"Winner")=0),"Final: pick the "&amp;$D119&amp;" winner",IF($B$2="Not started","Set Status to In progress to count points","OK"))))))))</f>
        <v/>
      </c>
      <c r="J119" s="11">
        <f>IF(OR($A119="",NOT(ISNUMBER($B119))),"",IF($C119="Winner",1,COUNTIFS($D$7:$D$156,$D119,$B$7:$B$156,$B119)-IF(AND(NOT($C119="Winner"),COUNTIFS($D$7:$D$156,$D119,$C$7:$C$156,"Winner",$B$7:$B$156,$B119)&gt;0),1,0)))</f>
        <v/>
      </c>
    </row>
    <row r="120">
      <c r="D120" s="11">
        <f>IF($A120="","",IFERROR(IF(VLOOKUP($A120,Players!$A$2:$B$500,2,FALSE)="","Open",VLOOKUP($A120,Players!$A$2:$B$500,2,FALSE)),"Open"))</f>
        <v/>
      </c>
      <c r="E120" s="11">
        <f>IF(OR($A120="",NOT(ISNUMBER($B120))),"",IF($C120="Winner",1,COUNTIFS($D$7:$D$156,$D120,$B$7:$B$156,"&lt;"&amp;$B120)+1+IF(AND(NOT($C120="Winner"),COUNTIFS($D$7:$D$156,$D120,$C$7:$C$156,"Winner",$B$7:$B$156,$B120)&gt;0),1,0)))</f>
        <v/>
      </c>
      <c r="F120" s="11">
        <f>IF(OR($A120="",NOT(ISNUMBER($B120))),"",COUNTIFS($D$7:$D$156,$D120,$B$7:$B$156,"&gt;0"))</f>
        <v/>
      </c>
      <c r="G120" s="11">
        <f>IF(OR(OR($A120="",NOT(ISNUMBER($B120))),$B$2="Not started"),"",IF($C120="Winner",Points!$B$3,ROUND(Points!$B$3*IF($F120&lt;=1,1,Points!$H$7+(1-Points!$H$7)*((($F120-$E120)*(($F120-$E120)+1)/2)^2-((($F120-$E120-$J120+1)-1)*($F120-$E120-$J120+1)/2)^2)/($J120*($F120-1)^3)),0)))</f>
        <v/>
      </c>
      <c r="H120" s="11">
        <f>IF($A120="","",IF($B$2="Final","Final",IF($B$2="In progress","Projected","Not started")))</f>
        <v/>
      </c>
      <c r="I120" s="11">
        <f>IF($A120="","",IF(COUNTIF(Players!$A$2:$A$500,$A120)=0,"Player is not on the Players tab",IF(COUNTIF($A$7:$A$156,$A120)&gt;1,"Player is listed twice",IF(NOT(ISNUMBER($B120)),"Enter a score",IF(COUNTIFS($D$7:$D$156,$D120,$C$7:$C$156,"Winner")&gt;1,"More than one "&amp;$D120&amp;" winner picked",IF(AND($C120="Winner",COUNTIFS($D$7:$D$156,$D120,$B$7:$B$156,"&lt;"&amp;$B120)&gt;0),"The winner doesn't have the best "&amp;$D120&amp;" score",IF(AND($B$2="Final",COUNTIFS($D$7:$D$156,$D120,$C$7:$C$156,"Winner")=0),"Final: pick the "&amp;$D120&amp;" winner",IF($B$2="Not started","Set Status to In progress to count points","OK"))))))))</f>
        <v/>
      </c>
      <c r="J120" s="11">
        <f>IF(OR($A120="",NOT(ISNUMBER($B120))),"",IF($C120="Winner",1,COUNTIFS($D$7:$D$156,$D120,$B$7:$B$156,$B120)-IF(AND(NOT($C120="Winner"),COUNTIFS($D$7:$D$156,$D120,$C$7:$C$156,"Winner",$B$7:$B$156,$B120)&gt;0),1,0)))</f>
        <v/>
      </c>
    </row>
    <row r="121">
      <c r="D121" s="11">
        <f>IF($A121="","",IFERROR(IF(VLOOKUP($A121,Players!$A$2:$B$500,2,FALSE)="","Open",VLOOKUP($A121,Players!$A$2:$B$500,2,FALSE)),"Open"))</f>
        <v/>
      </c>
      <c r="E121" s="11">
        <f>IF(OR($A121="",NOT(ISNUMBER($B121))),"",IF($C121="Winner",1,COUNTIFS($D$7:$D$156,$D121,$B$7:$B$156,"&lt;"&amp;$B121)+1+IF(AND(NOT($C121="Winner"),COUNTIFS($D$7:$D$156,$D121,$C$7:$C$156,"Winner",$B$7:$B$156,$B121)&gt;0),1,0)))</f>
        <v/>
      </c>
      <c r="F121" s="11">
        <f>IF(OR($A121="",NOT(ISNUMBER($B121))),"",COUNTIFS($D$7:$D$156,$D121,$B$7:$B$156,"&gt;0"))</f>
        <v/>
      </c>
      <c r="G121" s="11">
        <f>IF(OR(OR($A121="",NOT(ISNUMBER($B121))),$B$2="Not started"),"",IF($C121="Winner",Points!$B$3,ROUND(Points!$B$3*IF($F121&lt;=1,1,Points!$H$7+(1-Points!$H$7)*((($F121-$E121)*(($F121-$E121)+1)/2)^2-((($F121-$E121-$J121+1)-1)*($F121-$E121-$J121+1)/2)^2)/($J121*($F121-1)^3)),0)))</f>
        <v/>
      </c>
      <c r="H121" s="11">
        <f>IF($A121="","",IF($B$2="Final","Final",IF($B$2="In progress","Projected","Not started")))</f>
        <v/>
      </c>
      <c r="I121" s="11">
        <f>IF($A121="","",IF(COUNTIF(Players!$A$2:$A$500,$A121)=0,"Player is not on the Players tab",IF(COUNTIF($A$7:$A$156,$A121)&gt;1,"Player is listed twice",IF(NOT(ISNUMBER($B121)),"Enter a score",IF(COUNTIFS($D$7:$D$156,$D121,$C$7:$C$156,"Winner")&gt;1,"More than one "&amp;$D121&amp;" winner picked",IF(AND($C121="Winner",COUNTIFS($D$7:$D$156,$D121,$B$7:$B$156,"&lt;"&amp;$B121)&gt;0),"The winner doesn't have the best "&amp;$D121&amp;" score",IF(AND($B$2="Final",COUNTIFS($D$7:$D$156,$D121,$C$7:$C$156,"Winner")=0),"Final: pick the "&amp;$D121&amp;" winner",IF($B$2="Not started","Set Status to In progress to count points","OK"))))))))</f>
        <v/>
      </c>
      <c r="J121" s="11">
        <f>IF(OR($A121="",NOT(ISNUMBER($B121))),"",IF($C121="Winner",1,COUNTIFS($D$7:$D$156,$D121,$B$7:$B$156,$B121)-IF(AND(NOT($C121="Winner"),COUNTIFS($D$7:$D$156,$D121,$C$7:$C$156,"Winner",$B$7:$B$156,$B121)&gt;0),1,0)))</f>
        <v/>
      </c>
    </row>
    <row r="122">
      <c r="D122" s="11">
        <f>IF($A122="","",IFERROR(IF(VLOOKUP($A122,Players!$A$2:$B$500,2,FALSE)="","Open",VLOOKUP($A122,Players!$A$2:$B$500,2,FALSE)),"Open"))</f>
        <v/>
      </c>
      <c r="E122" s="11">
        <f>IF(OR($A122="",NOT(ISNUMBER($B122))),"",IF($C122="Winner",1,COUNTIFS($D$7:$D$156,$D122,$B$7:$B$156,"&lt;"&amp;$B122)+1+IF(AND(NOT($C122="Winner"),COUNTIFS($D$7:$D$156,$D122,$C$7:$C$156,"Winner",$B$7:$B$156,$B122)&gt;0),1,0)))</f>
        <v/>
      </c>
      <c r="F122" s="11">
        <f>IF(OR($A122="",NOT(ISNUMBER($B122))),"",COUNTIFS($D$7:$D$156,$D122,$B$7:$B$156,"&gt;0"))</f>
        <v/>
      </c>
      <c r="G122" s="11">
        <f>IF(OR(OR($A122="",NOT(ISNUMBER($B122))),$B$2="Not started"),"",IF($C122="Winner",Points!$B$3,ROUND(Points!$B$3*IF($F122&lt;=1,1,Points!$H$7+(1-Points!$H$7)*((($F122-$E122)*(($F122-$E122)+1)/2)^2-((($F122-$E122-$J122+1)-1)*($F122-$E122-$J122+1)/2)^2)/($J122*($F122-1)^3)),0)))</f>
        <v/>
      </c>
      <c r="H122" s="11">
        <f>IF($A122="","",IF($B$2="Final","Final",IF($B$2="In progress","Projected","Not started")))</f>
        <v/>
      </c>
      <c r="I122" s="11">
        <f>IF($A122="","",IF(COUNTIF(Players!$A$2:$A$500,$A122)=0,"Player is not on the Players tab",IF(COUNTIF($A$7:$A$156,$A122)&gt;1,"Player is listed twice",IF(NOT(ISNUMBER($B122)),"Enter a score",IF(COUNTIFS($D$7:$D$156,$D122,$C$7:$C$156,"Winner")&gt;1,"More than one "&amp;$D122&amp;" winner picked",IF(AND($C122="Winner",COUNTIFS($D$7:$D$156,$D122,$B$7:$B$156,"&lt;"&amp;$B122)&gt;0),"The winner doesn't have the best "&amp;$D122&amp;" score",IF(AND($B$2="Final",COUNTIFS($D$7:$D$156,$D122,$C$7:$C$156,"Winner")=0),"Final: pick the "&amp;$D122&amp;" winner",IF($B$2="Not started","Set Status to In progress to count points","OK"))))))))</f>
        <v/>
      </c>
      <c r="J122" s="11">
        <f>IF(OR($A122="",NOT(ISNUMBER($B122))),"",IF($C122="Winner",1,COUNTIFS($D$7:$D$156,$D122,$B$7:$B$156,$B122)-IF(AND(NOT($C122="Winner"),COUNTIFS($D$7:$D$156,$D122,$C$7:$C$156,"Winner",$B$7:$B$156,$B122)&gt;0),1,0)))</f>
        <v/>
      </c>
    </row>
    <row r="123">
      <c r="D123" s="11">
        <f>IF($A123="","",IFERROR(IF(VLOOKUP($A123,Players!$A$2:$B$500,2,FALSE)="","Open",VLOOKUP($A123,Players!$A$2:$B$500,2,FALSE)),"Open"))</f>
        <v/>
      </c>
      <c r="E123" s="11">
        <f>IF(OR($A123="",NOT(ISNUMBER($B123))),"",IF($C123="Winner",1,COUNTIFS($D$7:$D$156,$D123,$B$7:$B$156,"&lt;"&amp;$B123)+1+IF(AND(NOT($C123="Winner"),COUNTIFS($D$7:$D$156,$D123,$C$7:$C$156,"Winner",$B$7:$B$156,$B123)&gt;0),1,0)))</f>
        <v/>
      </c>
      <c r="F123" s="11">
        <f>IF(OR($A123="",NOT(ISNUMBER($B123))),"",COUNTIFS($D$7:$D$156,$D123,$B$7:$B$156,"&gt;0"))</f>
        <v/>
      </c>
      <c r="G123" s="11">
        <f>IF(OR(OR($A123="",NOT(ISNUMBER($B123))),$B$2="Not started"),"",IF($C123="Winner",Points!$B$3,ROUND(Points!$B$3*IF($F123&lt;=1,1,Points!$H$7+(1-Points!$H$7)*((($F123-$E123)*(($F123-$E123)+1)/2)^2-((($F123-$E123-$J123+1)-1)*($F123-$E123-$J123+1)/2)^2)/($J123*($F123-1)^3)),0)))</f>
        <v/>
      </c>
      <c r="H123" s="11">
        <f>IF($A123="","",IF($B$2="Final","Final",IF($B$2="In progress","Projected","Not started")))</f>
        <v/>
      </c>
      <c r="I123" s="11">
        <f>IF($A123="","",IF(COUNTIF(Players!$A$2:$A$500,$A123)=0,"Player is not on the Players tab",IF(COUNTIF($A$7:$A$156,$A123)&gt;1,"Player is listed twice",IF(NOT(ISNUMBER($B123)),"Enter a score",IF(COUNTIFS($D$7:$D$156,$D123,$C$7:$C$156,"Winner")&gt;1,"More than one "&amp;$D123&amp;" winner picked",IF(AND($C123="Winner",COUNTIFS($D$7:$D$156,$D123,$B$7:$B$156,"&lt;"&amp;$B123)&gt;0),"The winner doesn't have the best "&amp;$D123&amp;" score",IF(AND($B$2="Final",COUNTIFS($D$7:$D$156,$D123,$C$7:$C$156,"Winner")=0),"Final: pick the "&amp;$D123&amp;" winner",IF($B$2="Not started","Set Status to In progress to count points","OK"))))))))</f>
        <v/>
      </c>
      <c r="J123" s="11">
        <f>IF(OR($A123="",NOT(ISNUMBER($B123))),"",IF($C123="Winner",1,COUNTIFS($D$7:$D$156,$D123,$B$7:$B$156,$B123)-IF(AND(NOT($C123="Winner"),COUNTIFS($D$7:$D$156,$D123,$C$7:$C$156,"Winner",$B$7:$B$156,$B123)&gt;0),1,0)))</f>
        <v/>
      </c>
    </row>
    <row r="124">
      <c r="D124" s="11">
        <f>IF($A124="","",IFERROR(IF(VLOOKUP($A124,Players!$A$2:$B$500,2,FALSE)="","Open",VLOOKUP($A124,Players!$A$2:$B$500,2,FALSE)),"Open"))</f>
        <v/>
      </c>
      <c r="E124" s="11">
        <f>IF(OR($A124="",NOT(ISNUMBER($B124))),"",IF($C124="Winner",1,COUNTIFS($D$7:$D$156,$D124,$B$7:$B$156,"&lt;"&amp;$B124)+1+IF(AND(NOT($C124="Winner"),COUNTIFS($D$7:$D$156,$D124,$C$7:$C$156,"Winner",$B$7:$B$156,$B124)&gt;0),1,0)))</f>
        <v/>
      </c>
      <c r="F124" s="11">
        <f>IF(OR($A124="",NOT(ISNUMBER($B124))),"",COUNTIFS($D$7:$D$156,$D124,$B$7:$B$156,"&gt;0"))</f>
        <v/>
      </c>
      <c r="G124" s="11">
        <f>IF(OR(OR($A124="",NOT(ISNUMBER($B124))),$B$2="Not started"),"",IF($C124="Winner",Points!$B$3,ROUND(Points!$B$3*IF($F124&lt;=1,1,Points!$H$7+(1-Points!$H$7)*((($F124-$E124)*(($F124-$E124)+1)/2)^2-((($F124-$E124-$J124+1)-1)*($F124-$E124-$J124+1)/2)^2)/($J124*($F124-1)^3)),0)))</f>
        <v/>
      </c>
      <c r="H124" s="11">
        <f>IF($A124="","",IF($B$2="Final","Final",IF($B$2="In progress","Projected","Not started")))</f>
        <v/>
      </c>
      <c r="I124" s="11">
        <f>IF($A124="","",IF(COUNTIF(Players!$A$2:$A$500,$A124)=0,"Player is not on the Players tab",IF(COUNTIF($A$7:$A$156,$A124)&gt;1,"Player is listed twice",IF(NOT(ISNUMBER($B124)),"Enter a score",IF(COUNTIFS($D$7:$D$156,$D124,$C$7:$C$156,"Winner")&gt;1,"More than one "&amp;$D124&amp;" winner picked",IF(AND($C124="Winner",COUNTIFS($D$7:$D$156,$D124,$B$7:$B$156,"&lt;"&amp;$B124)&gt;0),"The winner doesn't have the best "&amp;$D124&amp;" score",IF(AND($B$2="Final",COUNTIFS($D$7:$D$156,$D124,$C$7:$C$156,"Winner")=0),"Final: pick the "&amp;$D124&amp;" winner",IF($B$2="Not started","Set Status to In progress to count points","OK"))))))))</f>
        <v/>
      </c>
      <c r="J124" s="11">
        <f>IF(OR($A124="",NOT(ISNUMBER($B124))),"",IF($C124="Winner",1,COUNTIFS($D$7:$D$156,$D124,$B$7:$B$156,$B124)-IF(AND(NOT($C124="Winner"),COUNTIFS($D$7:$D$156,$D124,$C$7:$C$156,"Winner",$B$7:$B$156,$B124)&gt;0),1,0)))</f>
        <v/>
      </c>
    </row>
    <row r="125">
      <c r="D125" s="11">
        <f>IF($A125="","",IFERROR(IF(VLOOKUP($A125,Players!$A$2:$B$500,2,FALSE)="","Open",VLOOKUP($A125,Players!$A$2:$B$500,2,FALSE)),"Open"))</f>
        <v/>
      </c>
      <c r="E125" s="11">
        <f>IF(OR($A125="",NOT(ISNUMBER($B125))),"",IF($C125="Winner",1,COUNTIFS($D$7:$D$156,$D125,$B$7:$B$156,"&lt;"&amp;$B125)+1+IF(AND(NOT($C125="Winner"),COUNTIFS($D$7:$D$156,$D125,$C$7:$C$156,"Winner",$B$7:$B$156,$B125)&gt;0),1,0)))</f>
        <v/>
      </c>
      <c r="F125" s="11">
        <f>IF(OR($A125="",NOT(ISNUMBER($B125))),"",COUNTIFS($D$7:$D$156,$D125,$B$7:$B$156,"&gt;0"))</f>
        <v/>
      </c>
      <c r="G125" s="11">
        <f>IF(OR(OR($A125="",NOT(ISNUMBER($B125))),$B$2="Not started"),"",IF($C125="Winner",Points!$B$3,ROUND(Points!$B$3*IF($F125&lt;=1,1,Points!$H$7+(1-Points!$H$7)*((($F125-$E125)*(($F125-$E125)+1)/2)^2-((($F125-$E125-$J125+1)-1)*($F125-$E125-$J125+1)/2)^2)/($J125*($F125-1)^3)),0)))</f>
        <v/>
      </c>
      <c r="H125" s="11">
        <f>IF($A125="","",IF($B$2="Final","Final",IF($B$2="In progress","Projected","Not started")))</f>
        <v/>
      </c>
      <c r="I125" s="11">
        <f>IF($A125="","",IF(COUNTIF(Players!$A$2:$A$500,$A125)=0,"Player is not on the Players tab",IF(COUNTIF($A$7:$A$156,$A125)&gt;1,"Player is listed twice",IF(NOT(ISNUMBER($B125)),"Enter a score",IF(COUNTIFS($D$7:$D$156,$D125,$C$7:$C$156,"Winner")&gt;1,"More than one "&amp;$D125&amp;" winner picked",IF(AND($C125="Winner",COUNTIFS($D$7:$D$156,$D125,$B$7:$B$156,"&lt;"&amp;$B125)&gt;0),"The winner doesn't have the best "&amp;$D125&amp;" score",IF(AND($B$2="Final",COUNTIFS($D$7:$D$156,$D125,$C$7:$C$156,"Winner")=0),"Final: pick the "&amp;$D125&amp;" winner",IF($B$2="Not started","Set Status to In progress to count points","OK"))))))))</f>
        <v/>
      </c>
      <c r="J125" s="11">
        <f>IF(OR($A125="",NOT(ISNUMBER($B125))),"",IF($C125="Winner",1,COUNTIFS($D$7:$D$156,$D125,$B$7:$B$156,$B125)-IF(AND(NOT($C125="Winner"),COUNTIFS($D$7:$D$156,$D125,$C$7:$C$156,"Winner",$B$7:$B$156,$B125)&gt;0),1,0)))</f>
        <v/>
      </c>
    </row>
    <row r="126">
      <c r="D126" s="11">
        <f>IF($A126="","",IFERROR(IF(VLOOKUP($A126,Players!$A$2:$B$500,2,FALSE)="","Open",VLOOKUP($A126,Players!$A$2:$B$500,2,FALSE)),"Open"))</f>
        <v/>
      </c>
      <c r="E126" s="11">
        <f>IF(OR($A126="",NOT(ISNUMBER($B126))),"",IF($C126="Winner",1,COUNTIFS($D$7:$D$156,$D126,$B$7:$B$156,"&lt;"&amp;$B126)+1+IF(AND(NOT($C126="Winner"),COUNTIFS($D$7:$D$156,$D126,$C$7:$C$156,"Winner",$B$7:$B$156,$B126)&gt;0),1,0)))</f>
        <v/>
      </c>
      <c r="F126" s="11">
        <f>IF(OR($A126="",NOT(ISNUMBER($B126))),"",COUNTIFS($D$7:$D$156,$D126,$B$7:$B$156,"&gt;0"))</f>
        <v/>
      </c>
      <c r="G126" s="11">
        <f>IF(OR(OR($A126="",NOT(ISNUMBER($B126))),$B$2="Not started"),"",IF($C126="Winner",Points!$B$3,ROUND(Points!$B$3*IF($F126&lt;=1,1,Points!$H$7+(1-Points!$H$7)*((($F126-$E126)*(($F126-$E126)+1)/2)^2-((($F126-$E126-$J126+1)-1)*($F126-$E126-$J126+1)/2)^2)/($J126*($F126-1)^3)),0)))</f>
        <v/>
      </c>
      <c r="H126" s="11">
        <f>IF($A126="","",IF($B$2="Final","Final",IF($B$2="In progress","Projected","Not started")))</f>
        <v/>
      </c>
      <c r="I126" s="11">
        <f>IF($A126="","",IF(COUNTIF(Players!$A$2:$A$500,$A126)=0,"Player is not on the Players tab",IF(COUNTIF($A$7:$A$156,$A126)&gt;1,"Player is listed twice",IF(NOT(ISNUMBER($B126)),"Enter a score",IF(COUNTIFS($D$7:$D$156,$D126,$C$7:$C$156,"Winner")&gt;1,"More than one "&amp;$D126&amp;" winner picked",IF(AND($C126="Winner",COUNTIFS($D$7:$D$156,$D126,$B$7:$B$156,"&lt;"&amp;$B126)&gt;0),"The winner doesn't have the best "&amp;$D126&amp;" score",IF(AND($B$2="Final",COUNTIFS($D$7:$D$156,$D126,$C$7:$C$156,"Winner")=0),"Final: pick the "&amp;$D126&amp;" winner",IF($B$2="Not started","Set Status to In progress to count points","OK"))))))))</f>
        <v/>
      </c>
      <c r="J126" s="11">
        <f>IF(OR($A126="",NOT(ISNUMBER($B126))),"",IF($C126="Winner",1,COUNTIFS($D$7:$D$156,$D126,$B$7:$B$156,$B126)-IF(AND(NOT($C126="Winner"),COUNTIFS($D$7:$D$156,$D126,$C$7:$C$156,"Winner",$B$7:$B$156,$B126)&gt;0),1,0)))</f>
        <v/>
      </c>
    </row>
    <row r="127">
      <c r="D127" s="11">
        <f>IF($A127="","",IFERROR(IF(VLOOKUP($A127,Players!$A$2:$B$500,2,FALSE)="","Open",VLOOKUP($A127,Players!$A$2:$B$500,2,FALSE)),"Open"))</f>
        <v/>
      </c>
      <c r="E127" s="11">
        <f>IF(OR($A127="",NOT(ISNUMBER($B127))),"",IF($C127="Winner",1,COUNTIFS($D$7:$D$156,$D127,$B$7:$B$156,"&lt;"&amp;$B127)+1+IF(AND(NOT($C127="Winner"),COUNTIFS($D$7:$D$156,$D127,$C$7:$C$156,"Winner",$B$7:$B$156,$B127)&gt;0),1,0)))</f>
        <v/>
      </c>
      <c r="F127" s="11">
        <f>IF(OR($A127="",NOT(ISNUMBER($B127))),"",COUNTIFS($D$7:$D$156,$D127,$B$7:$B$156,"&gt;0"))</f>
        <v/>
      </c>
      <c r="G127" s="11">
        <f>IF(OR(OR($A127="",NOT(ISNUMBER($B127))),$B$2="Not started"),"",IF($C127="Winner",Points!$B$3,ROUND(Points!$B$3*IF($F127&lt;=1,1,Points!$H$7+(1-Points!$H$7)*((($F127-$E127)*(($F127-$E127)+1)/2)^2-((($F127-$E127-$J127+1)-1)*($F127-$E127-$J127+1)/2)^2)/($J127*($F127-1)^3)),0)))</f>
        <v/>
      </c>
      <c r="H127" s="11">
        <f>IF($A127="","",IF($B$2="Final","Final",IF($B$2="In progress","Projected","Not started")))</f>
        <v/>
      </c>
      <c r="I127" s="11">
        <f>IF($A127="","",IF(COUNTIF(Players!$A$2:$A$500,$A127)=0,"Player is not on the Players tab",IF(COUNTIF($A$7:$A$156,$A127)&gt;1,"Player is listed twice",IF(NOT(ISNUMBER($B127)),"Enter a score",IF(COUNTIFS($D$7:$D$156,$D127,$C$7:$C$156,"Winner")&gt;1,"More than one "&amp;$D127&amp;" winner picked",IF(AND($C127="Winner",COUNTIFS($D$7:$D$156,$D127,$B$7:$B$156,"&lt;"&amp;$B127)&gt;0),"The winner doesn't have the best "&amp;$D127&amp;" score",IF(AND($B$2="Final",COUNTIFS($D$7:$D$156,$D127,$C$7:$C$156,"Winner")=0),"Final: pick the "&amp;$D127&amp;" winner",IF($B$2="Not started","Set Status to In progress to count points","OK"))))))))</f>
        <v/>
      </c>
      <c r="J127" s="11">
        <f>IF(OR($A127="",NOT(ISNUMBER($B127))),"",IF($C127="Winner",1,COUNTIFS($D$7:$D$156,$D127,$B$7:$B$156,$B127)-IF(AND(NOT($C127="Winner"),COUNTIFS($D$7:$D$156,$D127,$C$7:$C$156,"Winner",$B$7:$B$156,$B127)&gt;0),1,0)))</f>
        <v/>
      </c>
    </row>
    <row r="128">
      <c r="D128" s="11">
        <f>IF($A128="","",IFERROR(IF(VLOOKUP($A128,Players!$A$2:$B$500,2,FALSE)="","Open",VLOOKUP($A128,Players!$A$2:$B$500,2,FALSE)),"Open"))</f>
        <v/>
      </c>
      <c r="E128" s="11">
        <f>IF(OR($A128="",NOT(ISNUMBER($B128))),"",IF($C128="Winner",1,COUNTIFS($D$7:$D$156,$D128,$B$7:$B$156,"&lt;"&amp;$B128)+1+IF(AND(NOT($C128="Winner"),COUNTIFS($D$7:$D$156,$D128,$C$7:$C$156,"Winner",$B$7:$B$156,$B128)&gt;0),1,0)))</f>
        <v/>
      </c>
      <c r="F128" s="11">
        <f>IF(OR($A128="",NOT(ISNUMBER($B128))),"",COUNTIFS($D$7:$D$156,$D128,$B$7:$B$156,"&gt;0"))</f>
        <v/>
      </c>
      <c r="G128" s="11">
        <f>IF(OR(OR($A128="",NOT(ISNUMBER($B128))),$B$2="Not started"),"",IF($C128="Winner",Points!$B$3,ROUND(Points!$B$3*IF($F128&lt;=1,1,Points!$H$7+(1-Points!$H$7)*((($F128-$E128)*(($F128-$E128)+1)/2)^2-((($F128-$E128-$J128+1)-1)*($F128-$E128-$J128+1)/2)^2)/($J128*($F128-1)^3)),0)))</f>
        <v/>
      </c>
      <c r="H128" s="11">
        <f>IF($A128="","",IF($B$2="Final","Final",IF($B$2="In progress","Projected","Not started")))</f>
        <v/>
      </c>
      <c r="I128" s="11">
        <f>IF($A128="","",IF(COUNTIF(Players!$A$2:$A$500,$A128)=0,"Player is not on the Players tab",IF(COUNTIF($A$7:$A$156,$A128)&gt;1,"Player is listed twice",IF(NOT(ISNUMBER($B128)),"Enter a score",IF(COUNTIFS($D$7:$D$156,$D128,$C$7:$C$156,"Winner")&gt;1,"More than one "&amp;$D128&amp;" winner picked",IF(AND($C128="Winner",COUNTIFS($D$7:$D$156,$D128,$B$7:$B$156,"&lt;"&amp;$B128)&gt;0),"The winner doesn't have the best "&amp;$D128&amp;" score",IF(AND($B$2="Final",COUNTIFS($D$7:$D$156,$D128,$C$7:$C$156,"Winner")=0),"Final: pick the "&amp;$D128&amp;" winner",IF($B$2="Not started","Set Status to In progress to count points","OK"))))))))</f>
        <v/>
      </c>
      <c r="J128" s="11">
        <f>IF(OR($A128="",NOT(ISNUMBER($B128))),"",IF($C128="Winner",1,COUNTIFS($D$7:$D$156,$D128,$B$7:$B$156,$B128)-IF(AND(NOT($C128="Winner"),COUNTIFS($D$7:$D$156,$D128,$C$7:$C$156,"Winner",$B$7:$B$156,$B128)&gt;0),1,0)))</f>
        <v/>
      </c>
    </row>
    <row r="129">
      <c r="D129" s="11">
        <f>IF($A129="","",IFERROR(IF(VLOOKUP($A129,Players!$A$2:$B$500,2,FALSE)="","Open",VLOOKUP($A129,Players!$A$2:$B$500,2,FALSE)),"Open"))</f>
        <v/>
      </c>
      <c r="E129" s="11">
        <f>IF(OR($A129="",NOT(ISNUMBER($B129))),"",IF($C129="Winner",1,COUNTIFS($D$7:$D$156,$D129,$B$7:$B$156,"&lt;"&amp;$B129)+1+IF(AND(NOT($C129="Winner"),COUNTIFS($D$7:$D$156,$D129,$C$7:$C$156,"Winner",$B$7:$B$156,$B129)&gt;0),1,0)))</f>
        <v/>
      </c>
      <c r="F129" s="11">
        <f>IF(OR($A129="",NOT(ISNUMBER($B129))),"",COUNTIFS($D$7:$D$156,$D129,$B$7:$B$156,"&gt;0"))</f>
        <v/>
      </c>
      <c r="G129" s="11">
        <f>IF(OR(OR($A129="",NOT(ISNUMBER($B129))),$B$2="Not started"),"",IF($C129="Winner",Points!$B$3,ROUND(Points!$B$3*IF($F129&lt;=1,1,Points!$H$7+(1-Points!$H$7)*((($F129-$E129)*(($F129-$E129)+1)/2)^2-((($F129-$E129-$J129+1)-1)*($F129-$E129-$J129+1)/2)^2)/($J129*($F129-1)^3)),0)))</f>
        <v/>
      </c>
      <c r="H129" s="11">
        <f>IF($A129="","",IF($B$2="Final","Final",IF($B$2="In progress","Projected","Not started")))</f>
        <v/>
      </c>
      <c r="I129" s="11">
        <f>IF($A129="","",IF(COUNTIF(Players!$A$2:$A$500,$A129)=0,"Player is not on the Players tab",IF(COUNTIF($A$7:$A$156,$A129)&gt;1,"Player is listed twice",IF(NOT(ISNUMBER($B129)),"Enter a score",IF(COUNTIFS($D$7:$D$156,$D129,$C$7:$C$156,"Winner")&gt;1,"More than one "&amp;$D129&amp;" winner picked",IF(AND($C129="Winner",COUNTIFS($D$7:$D$156,$D129,$B$7:$B$156,"&lt;"&amp;$B129)&gt;0),"The winner doesn't have the best "&amp;$D129&amp;" score",IF(AND($B$2="Final",COUNTIFS($D$7:$D$156,$D129,$C$7:$C$156,"Winner")=0),"Final: pick the "&amp;$D129&amp;" winner",IF($B$2="Not started","Set Status to In progress to count points","OK"))))))))</f>
        <v/>
      </c>
      <c r="J129" s="11">
        <f>IF(OR($A129="",NOT(ISNUMBER($B129))),"",IF($C129="Winner",1,COUNTIFS($D$7:$D$156,$D129,$B$7:$B$156,$B129)-IF(AND(NOT($C129="Winner"),COUNTIFS($D$7:$D$156,$D129,$C$7:$C$156,"Winner",$B$7:$B$156,$B129)&gt;0),1,0)))</f>
        <v/>
      </c>
    </row>
    <row r="130">
      <c r="D130" s="11">
        <f>IF($A130="","",IFERROR(IF(VLOOKUP($A130,Players!$A$2:$B$500,2,FALSE)="","Open",VLOOKUP($A130,Players!$A$2:$B$500,2,FALSE)),"Open"))</f>
        <v/>
      </c>
      <c r="E130" s="11">
        <f>IF(OR($A130="",NOT(ISNUMBER($B130))),"",IF($C130="Winner",1,COUNTIFS($D$7:$D$156,$D130,$B$7:$B$156,"&lt;"&amp;$B130)+1+IF(AND(NOT($C130="Winner"),COUNTIFS($D$7:$D$156,$D130,$C$7:$C$156,"Winner",$B$7:$B$156,$B130)&gt;0),1,0)))</f>
        <v/>
      </c>
      <c r="F130" s="11">
        <f>IF(OR($A130="",NOT(ISNUMBER($B130))),"",COUNTIFS($D$7:$D$156,$D130,$B$7:$B$156,"&gt;0"))</f>
        <v/>
      </c>
      <c r="G130" s="11">
        <f>IF(OR(OR($A130="",NOT(ISNUMBER($B130))),$B$2="Not started"),"",IF($C130="Winner",Points!$B$3,ROUND(Points!$B$3*IF($F130&lt;=1,1,Points!$H$7+(1-Points!$H$7)*((($F130-$E130)*(($F130-$E130)+1)/2)^2-((($F130-$E130-$J130+1)-1)*($F130-$E130-$J130+1)/2)^2)/($J130*($F130-1)^3)),0)))</f>
        <v/>
      </c>
      <c r="H130" s="11">
        <f>IF($A130="","",IF($B$2="Final","Final",IF($B$2="In progress","Projected","Not started")))</f>
        <v/>
      </c>
      <c r="I130" s="11">
        <f>IF($A130="","",IF(COUNTIF(Players!$A$2:$A$500,$A130)=0,"Player is not on the Players tab",IF(COUNTIF($A$7:$A$156,$A130)&gt;1,"Player is listed twice",IF(NOT(ISNUMBER($B130)),"Enter a score",IF(COUNTIFS($D$7:$D$156,$D130,$C$7:$C$156,"Winner")&gt;1,"More than one "&amp;$D130&amp;" winner picked",IF(AND($C130="Winner",COUNTIFS($D$7:$D$156,$D130,$B$7:$B$156,"&lt;"&amp;$B130)&gt;0),"The winner doesn't have the best "&amp;$D130&amp;" score",IF(AND($B$2="Final",COUNTIFS($D$7:$D$156,$D130,$C$7:$C$156,"Winner")=0),"Final: pick the "&amp;$D130&amp;" winner",IF($B$2="Not started","Set Status to In progress to count points","OK"))))))))</f>
        <v/>
      </c>
      <c r="J130" s="11">
        <f>IF(OR($A130="",NOT(ISNUMBER($B130))),"",IF($C130="Winner",1,COUNTIFS($D$7:$D$156,$D130,$B$7:$B$156,$B130)-IF(AND(NOT($C130="Winner"),COUNTIFS($D$7:$D$156,$D130,$C$7:$C$156,"Winner",$B$7:$B$156,$B130)&gt;0),1,0)))</f>
        <v/>
      </c>
    </row>
    <row r="131">
      <c r="D131" s="11">
        <f>IF($A131="","",IFERROR(IF(VLOOKUP($A131,Players!$A$2:$B$500,2,FALSE)="","Open",VLOOKUP($A131,Players!$A$2:$B$500,2,FALSE)),"Open"))</f>
        <v/>
      </c>
      <c r="E131" s="11">
        <f>IF(OR($A131="",NOT(ISNUMBER($B131))),"",IF($C131="Winner",1,COUNTIFS($D$7:$D$156,$D131,$B$7:$B$156,"&lt;"&amp;$B131)+1+IF(AND(NOT($C131="Winner"),COUNTIFS($D$7:$D$156,$D131,$C$7:$C$156,"Winner",$B$7:$B$156,$B131)&gt;0),1,0)))</f>
        <v/>
      </c>
      <c r="F131" s="11">
        <f>IF(OR($A131="",NOT(ISNUMBER($B131))),"",COUNTIFS($D$7:$D$156,$D131,$B$7:$B$156,"&gt;0"))</f>
        <v/>
      </c>
      <c r="G131" s="11">
        <f>IF(OR(OR($A131="",NOT(ISNUMBER($B131))),$B$2="Not started"),"",IF($C131="Winner",Points!$B$3,ROUND(Points!$B$3*IF($F131&lt;=1,1,Points!$H$7+(1-Points!$H$7)*((($F131-$E131)*(($F131-$E131)+1)/2)^2-((($F131-$E131-$J131+1)-1)*($F131-$E131-$J131+1)/2)^2)/($J131*($F131-1)^3)),0)))</f>
        <v/>
      </c>
      <c r="H131" s="11">
        <f>IF($A131="","",IF($B$2="Final","Final",IF($B$2="In progress","Projected","Not started")))</f>
        <v/>
      </c>
      <c r="I131" s="11">
        <f>IF($A131="","",IF(COUNTIF(Players!$A$2:$A$500,$A131)=0,"Player is not on the Players tab",IF(COUNTIF($A$7:$A$156,$A131)&gt;1,"Player is listed twice",IF(NOT(ISNUMBER($B131)),"Enter a score",IF(COUNTIFS($D$7:$D$156,$D131,$C$7:$C$156,"Winner")&gt;1,"More than one "&amp;$D131&amp;" winner picked",IF(AND($C131="Winner",COUNTIFS($D$7:$D$156,$D131,$B$7:$B$156,"&lt;"&amp;$B131)&gt;0),"The winner doesn't have the best "&amp;$D131&amp;" score",IF(AND($B$2="Final",COUNTIFS($D$7:$D$156,$D131,$C$7:$C$156,"Winner")=0),"Final: pick the "&amp;$D131&amp;" winner",IF($B$2="Not started","Set Status to In progress to count points","OK"))))))))</f>
        <v/>
      </c>
      <c r="J131" s="11">
        <f>IF(OR($A131="",NOT(ISNUMBER($B131))),"",IF($C131="Winner",1,COUNTIFS($D$7:$D$156,$D131,$B$7:$B$156,$B131)-IF(AND(NOT($C131="Winner"),COUNTIFS($D$7:$D$156,$D131,$C$7:$C$156,"Winner",$B$7:$B$156,$B131)&gt;0),1,0)))</f>
        <v/>
      </c>
    </row>
    <row r="132">
      <c r="D132" s="11">
        <f>IF($A132="","",IFERROR(IF(VLOOKUP($A132,Players!$A$2:$B$500,2,FALSE)="","Open",VLOOKUP($A132,Players!$A$2:$B$500,2,FALSE)),"Open"))</f>
        <v/>
      </c>
      <c r="E132" s="11">
        <f>IF(OR($A132="",NOT(ISNUMBER($B132))),"",IF($C132="Winner",1,COUNTIFS($D$7:$D$156,$D132,$B$7:$B$156,"&lt;"&amp;$B132)+1+IF(AND(NOT($C132="Winner"),COUNTIFS($D$7:$D$156,$D132,$C$7:$C$156,"Winner",$B$7:$B$156,$B132)&gt;0),1,0)))</f>
        <v/>
      </c>
      <c r="F132" s="11">
        <f>IF(OR($A132="",NOT(ISNUMBER($B132))),"",COUNTIFS($D$7:$D$156,$D132,$B$7:$B$156,"&gt;0"))</f>
        <v/>
      </c>
      <c r="G132" s="11">
        <f>IF(OR(OR($A132="",NOT(ISNUMBER($B132))),$B$2="Not started"),"",IF($C132="Winner",Points!$B$3,ROUND(Points!$B$3*IF($F132&lt;=1,1,Points!$H$7+(1-Points!$H$7)*((($F132-$E132)*(($F132-$E132)+1)/2)^2-((($F132-$E132-$J132+1)-1)*($F132-$E132-$J132+1)/2)^2)/($J132*($F132-1)^3)),0)))</f>
        <v/>
      </c>
      <c r="H132" s="11">
        <f>IF($A132="","",IF($B$2="Final","Final",IF($B$2="In progress","Projected","Not started")))</f>
        <v/>
      </c>
      <c r="I132" s="11">
        <f>IF($A132="","",IF(COUNTIF(Players!$A$2:$A$500,$A132)=0,"Player is not on the Players tab",IF(COUNTIF($A$7:$A$156,$A132)&gt;1,"Player is listed twice",IF(NOT(ISNUMBER($B132)),"Enter a score",IF(COUNTIFS($D$7:$D$156,$D132,$C$7:$C$156,"Winner")&gt;1,"More than one "&amp;$D132&amp;" winner picked",IF(AND($C132="Winner",COUNTIFS($D$7:$D$156,$D132,$B$7:$B$156,"&lt;"&amp;$B132)&gt;0),"The winner doesn't have the best "&amp;$D132&amp;" score",IF(AND($B$2="Final",COUNTIFS($D$7:$D$156,$D132,$C$7:$C$156,"Winner")=0),"Final: pick the "&amp;$D132&amp;" winner",IF($B$2="Not started","Set Status to In progress to count points","OK"))))))))</f>
        <v/>
      </c>
      <c r="J132" s="11">
        <f>IF(OR($A132="",NOT(ISNUMBER($B132))),"",IF($C132="Winner",1,COUNTIFS($D$7:$D$156,$D132,$B$7:$B$156,$B132)-IF(AND(NOT($C132="Winner"),COUNTIFS($D$7:$D$156,$D132,$C$7:$C$156,"Winner",$B$7:$B$156,$B132)&gt;0),1,0)))</f>
        <v/>
      </c>
    </row>
    <row r="133">
      <c r="D133" s="11">
        <f>IF($A133="","",IFERROR(IF(VLOOKUP($A133,Players!$A$2:$B$500,2,FALSE)="","Open",VLOOKUP($A133,Players!$A$2:$B$500,2,FALSE)),"Open"))</f>
        <v/>
      </c>
      <c r="E133" s="11">
        <f>IF(OR($A133="",NOT(ISNUMBER($B133))),"",IF($C133="Winner",1,COUNTIFS($D$7:$D$156,$D133,$B$7:$B$156,"&lt;"&amp;$B133)+1+IF(AND(NOT($C133="Winner"),COUNTIFS($D$7:$D$156,$D133,$C$7:$C$156,"Winner",$B$7:$B$156,$B133)&gt;0),1,0)))</f>
        <v/>
      </c>
      <c r="F133" s="11">
        <f>IF(OR($A133="",NOT(ISNUMBER($B133))),"",COUNTIFS($D$7:$D$156,$D133,$B$7:$B$156,"&gt;0"))</f>
        <v/>
      </c>
      <c r="G133" s="11">
        <f>IF(OR(OR($A133="",NOT(ISNUMBER($B133))),$B$2="Not started"),"",IF($C133="Winner",Points!$B$3,ROUND(Points!$B$3*IF($F133&lt;=1,1,Points!$H$7+(1-Points!$H$7)*((($F133-$E133)*(($F133-$E133)+1)/2)^2-((($F133-$E133-$J133+1)-1)*($F133-$E133-$J133+1)/2)^2)/($J133*($F133-1)^3)),0)))</f>
        <v/>
      </c>
      <c r="H133" s="11">
        <f>IF($A133="","",IF($B$2="Final","Final",IF($B$2="In progress","Projected","Not started")))</f>
        <v/>
      </c>
      <c r="I133" s="11">
        <f>IF($A133="","",IF(COUNTIF(Players!$A$2:$A$500,$A133)=0,"Player is not on the Players tab",IF(COUNTIF($A$7:$A$156,$A133)&gt;1,"Player is listed twice",IF(NOT(ISNUMBER($B133)),"Enter a score",IF(COUNTIFS($D$7:$D$156,$D133,$C$7:$C$156,"Winner")&gt;1,"More than one "&amp;$D133&amp;" winner picked",IF(AND($C133="Winner",COUNTIFS($D$7:$D$156,$D133,$B$7:$B$156,"&lt;"&amp;$B133)&gt;0),"The winner doesn't have the best "&amp;$D133&amp;" score",IF(AND($B$2="Final",COUNTIFS($D$7:$D$156,$D133,$C$7:$C$156,"Winner")=0),"Final: pick the "&amp;$D133&amp;" winner",IF($B$2="Not started","Set Status to In progress to count points","OK"))))))))</f>
        <v/>
      </c>
      <c r="J133" s="11">
        <f>IF(OR($A133="",NOT(ISNUMBER($B133))),"",IF($C133="Winner",1,COUNTIFS($D$7:$D$156,$D133,$B$7:$B$156,$B133)-IF(AND(NOT($C133="Winner"),COUNTIFS($D$7:$D$156,$D133,$C$7:$C$156,"Winner",$B$7:$B$156,$B133)&gt;0),1,0)))</f>
        <v/>
      </c>
    </row>
    <row r="134">
      <c r="D134" s="11">
        <f>IF($A134="","",IFERROR(IF(VLOOKUP($A134,Players!$A$2:$B$500,2,FALSE)="","Open",VLOOKUP($A134,Players!$A$2:$B$500,2,FALSE)),"Open"))</f>
        <v/>
      </c>
      <c r="E134" s="11">
        <f>IF(OR($A134="",NOT(ISNUMBER($B134))),"",IF($C134="Winner",1,COUNTIFS($D$7:$D$156,$D134,$B$7:$B$156,"&lt;"&amp;$B134)+1+IF(AND(NOT($C134="Winner"),COUNTIFS($D$7:$D$156,$D134,$C$7:$C$156,"Winner",$B$7:$B$156,$B134)&gt;0),1,0)))</f>
        <v/>
      </c>
      <c r="F134" s="11">
        <f>IF(OR($A134="",NOT(ISNUMBER($B134))),"",COUNTIFS($D$7:$D$156,$D134,$B$7:$B$156,"&gt;0"))</f>
        <v/>
      </c>
      <c r="G134" s="11">
        <f>IF(OR(OR($A134="",NOT(ISNUMBER($B134))),$B$2="Not started"),"",IF($C134="Winner",Points!$B$3,ROUND(Points!$B$3*IF($F134&lt;=1,1,Points!$H$7+(1-Points!$H$7)*((($F134-$E134)*(($F134-$E134)+1)/2)^2-((($F134-$E134-$J134+1)-1)*($F134-$E134-$J134+1)/2)^2)/($J134*($F134-1)^3)),0)))</f>
        <v/>
      </c>
      <c r="H134" s="11">
        <f>IF($A134="","",IF($B$2="Final","Final",IF($B$2="In progress","Projected","Not started")))</f>
        <v/>
      </c>
      <c r="I134" s="11">
        <f>IF($A134="","",IF(COUNTIF(Players!$A$2:$A$500,$A134)=0,"Player is not on the Players tab",IF(COUNTIF($A$7:$A$156,$A134)&gt;1,"Player is listed twice",IF(NOT(ISNUMBER($B134)),"Enter a score",IF(COUNTIFS($D$7:$D$156,$D134,$C$7:$C$156,"Winner")&gt;1,"More than one "&amp;$D134&amp;" winner picked",IF(AND($C134="Winner",COUNTIFS($D$7:$D$156,$D134,$B$7:$B$156,"&lt;"&amp;$B134)&gt;0),"The winner doesn't have the best "&amp;$D134&amp;" score",IF(AND($B$2="Final",COUNTIFS($D$7:$D$156,$D134,$C$7:$C$156,"Winner")=0),"Final: pick the "&amp;$D134&amp;" winner",IF($B$2="Not started","Set Status to In progress to count points","OK"))))))))</f>
        <v/>
      </c>
      <c r="J134" s="11">
        <f>IF(OR($A134="",NOT(ISNUMBER($B134))),"",IF($C134="Winner",1,COUNTIFS($D$7:$D$156,$D134,$B$7:$B$156,$B134)-IF(AND(NOT($C134="Winner"),COUNTIFS($D$7:$D$156,$D134,$C$7:$C$156,"Winner",$B$7:$B$156,$B134)&gt;0),1,0)))</f>
        <v/>
      </c>
    </row>
    <row r="135">
      <c r="D135" s="11">
        <f>IF($A135="","",IFERROR(IF(VLOOKUP($A135,Players!$A$2:$B$500,2,FALSE)="","Open",VLOOKUP($A135,Players!$A$2:$B$500,2,FALSE)),"Open"))</f>
        <v/>
      </c>
      <c r="E135" s="11">
        <f>IF(OR($A135="",NOT(ISNUMBER($B135))),"",IF($C135="Winner",1,COUNTIFS($D$7:$D$156,$D135,$B$7:$B$156,"&lt;"&amp;$B135)+1+IF(AND(NOT($C135="Winner"),COUNTIFS($D$7:$D$156,$D135,$C$7:$C$156,"Winner",$B$7:$B$156,$B135)&gt;0),1,0)))</f>
        <v/>
      </c>
      <c r="F135" s="11">
        <f>IF(OR($A135="",NOT(ISNUMBER($B135))),"",COUNTIFS($D$7:$D$156,$D135,$B$7:$B$156,"&gt;0"))</f>
        <v/>
      </c>
      <c r="G135" s="11">
        <f>IF(OR(OR($A135="",NOT(ISNUMBER($B135))),$B$2="Not started"),"",IF($C135="Winner",Points!$B$3,ROUND(Points!$B$3*IF($F135&lt;=1,1,Points!$H$7+(1-Points!$H$7)*((($F135-$E135)*(($F135-$E135)+1)/2)^2-((($F135-$E135-$J135+1)-1)*($F135-$E135-$J135+1)/2)^2)/($J135*($F135-1)^3)),0)))</f>
        <v/>
      </c>
      <c r="H135" s="11">
        <f>IF($A135="","",IF($B$2="Final","Final",IF($B$2="In progress","Projected","Not started")))</f>
        <v/>
      </c>
      <c r="I135" s="11">
        <f>IF($A135="","",IF(COUNTIF(Players!$A$2:$A$500,$A135)=0,"Player is not on the Players tab",IF(COUNTIF($A$7:$A$156,$A135)&gt;1,"Player is listed twice",IF(NOT(ISNUMBER($B135)),"Enter a score",IF(COUNTIFS($D$7:$D$156,$D135,$C$7:$C$156,"Winner")&gt;1,"More than one "&amp;$D135&amp;" winner picked",IF(AND($C135="Winner",COUNTIFS($D$7:$D$156,$D135,$B$7:$B$156,"&lt;"&amp;$B135)&gt;0),"The winner doesn't have the best "&amp;$D135&amp;" score",IF(AND($B$2="Final",COUNTIFS($D$7:$D$156,$D135,$C$7:$C$156,"Winner")=0),"Final: pick the "&amp;$D135&amp;" winner",IF($B$2="Not started","Set Status to In progress to count points","OK"))))))))</f>
        <v/>
      </c>
      <c r="J135" s="11">
        <f>IF(OR($A135="",NOT(ISNUMBER($B135))),"",IF($C135="Winner",1,COUNTIFS($D$7:$D$156,$D135,$B$7:$B$156,$B135)-IF(AND(NOT($C135="Winner"),COUNTIFS($D$7:$D$156,$D135,$C$7:$C$156,"Winner",$B$7:$B$156,$B135)&gt;0),1,0)))</f>
        <v/>
      </c>
    </row>
    <row r="136">
      <c r="D136" s="11">
        <f>IF($A136="","",IFERROR(IF(VLOOKUP($A136,Players!$A$2:$B$500,2,FALSE)="","Open",VLOOKUP($A136,Players!$A$2:$B$500,2,FALSE)),"Open"))</f>
        <v/>
      </c>
      <c r="E136" s="11">
        <f>IF(OR($A136="",NOT(ISNUMBER($B136))),"",IF($C136="Winner",1,COUNTIFS($D$7:$D$156,$D136,$B$7:$B$156,"&lt;"&amp;$B136)+1+IF(AND(NOT($C136="Winner"),COUNTIFS($D$7:$D$156,$D136,$C$7:$C$156,"Winner",$B$7:$B$156,$B136)&gt;0),1,0)))</f>
        <v/>
      </c>
      <c r="F136" s="11">
        <f>IF(OR($A136="",NOT(ISNUMBER($B136))),"",COUNTIFS($D$7:$D$156,$D136,$B$7:$B$156,"&gt;0"))</f>
        <v/>
      </c>
      <c r="G136" s="11">
        <f>IF(OR(OR($A136="",NOT(ISNUMBER($B136))),$B$2="Not started"),"",IF($C136="Winner",Points!$B$3,ROUND(Points!$B$3*IF($F136&lt;=1,1,Points!$H$7+(1-Points!$H$7)*((($F136-$E136)*(($F136-$E136)+1)/2)^2-((($F136-$E136-$J136+1)-1)*($F136-$E136-$J136+1)/2)^2)/($J136*($F136-1)^3)),0)))</f>
        <v/>
      </c>
      <c r="H136" s="11">
        <f>IF($A136="","",IF($B$2="Final","Final",IF($B$2="In progress","Projected","Not started")))</f>
        <v/>
      </c>
      <c r="I136" s="11">
        <f>IF($A136="","",IF(COUNTIF(Players!$A$2:$A$500,$A136)=0,"Player is not on the Players tab",IF(COUNTIF($A$7:$A$156,$A136)&gt;1,"Player is listed twice",IF(NOT(ISNUMBER($B136)),"Enter a score",IF(COUNTIFS($D$7:$D$156,$D136,$C$7:$C$156,"Winner")&gt;1,"More than one "&amp;$D136&amp;" winner picked",IF(AND($C136="Winner",COUNTIFS($D$7:$D$156,$D136,$B$7:$B$156,"&lt;"&amp;$B136)&gt;0),"The winner doesn't have the best "&amp;$D136&amp;" score",IF(AND($B$2="Final",COUNTIFS($D$7:$D$156,$D136,$C$7:$C$156,"Winner")=0),"Final: pick the "&amp;$D136&amp;" winner",IF($B$2="Not started","Set Status to In progress to count points","OK"))))))))</f>
        <v/>
      </c>
      <c r="J136" s="11">
        <f>IF(OR($A136="",NOT(ISNUMBER($B136))),"",IF($C136="Winner",1,COUNTIFS($D$7:$D$156,$D136,$B$7:$B$156,$B136)-IF(AND(NOT($C136="Winner"),COUNTIFS($D$7:$D$156,$D136,$C$7:$C$156,"Winner",$B$7:$B$156,$B136)&gt;0),1,0)))</f>
        <v/>
      </c>
    </row>
    <row r="137">
      <c r="D137" s="11">
        <f>IF($A137="","",IFERROR(IF(VLOOKUP($A137,Players!$A$2:$B$500,2,FALSE)="","Open",VLOOKUP($A137,Players!$A$2:$B$500,2,FALSE)),"Open"))</f>
        <v/>
      </c>
      <c r="E137" s="11">
        <f>IF(OR($A137="",NOT(ISNUMBER($B137))),"",IF($C137="Winner",1,COUNTIFS($D$7:$D$156,$D137,$B$7:$B$156,"&lt;"&amp;$B137)+1+IF(AND(NOT($C137="Winner"),COUNTIFS($D$7:$D$156,$D137,$C$7:$C$156,"Winner",$B$7:$B$156,$B137)&gt;0),1,0)))</f>
        <v/>
      </c>
      <c r="F137" s="11">
        <f>IF(OR($A137="",NOT(ISNUMBER($B137))),"",COUNTIFS($D$7:$D$156,$D137,$B$7:$B$156,"&gt;0"))</f>
        <v/>
      </c>
      <c r="G137" s="11">
        <f>IF(OR(OR($A137="",NOT(ISNUMBER($B137))),$B$2="Not started"),"",IF($C137="Winner",Points!$B$3,ROUND(Points!$B$3*IF($F137&lt;=1,1,Points!$H$7+(1-Points!$H$7)*((($F137-$E137)*(($F137-$E137)+1)/2)^2-((($F137-$E137-$J137+1)-1)*($F137-$E137-$J137+1)/2)^2)/($J137*($F137-1)^3)),0)))</f>
        <v/>
      </c>
      <c r="H137" s="11">
        <f>IF($A137="","",IF($B$2="Final","Final",IF($B$2="In progress","Projected","Not started")))</f>
        <v/>
      </c>
      <c r="I137" s="11">
        <f>IF($A137="","",IF(COUNTIF(Players!$A$2:$A$500,$A137)=0,"Player is not on the Players tab",IF(COUNTIF($A$7:$A$156,$A137)&gt;1,"Player is listed twice",IF(NOT(ISNUMBER($B137)),"Enter a score",IF(COUNTIFS($D$7:$D$156,$D137,$C$7:$C$156,"Winner")&gt;1,"More than one "&amp;$D137&amp;" winner picked",IF(AND($C137="Winner",COUNTIFS($D$7:$D$156,$D137,$B$7:$B$156,"&lt;"&amp;$B137)&gt;0),"The winner doesn't have the best "&amp;$D137&amp;" score",IF(AND($B$2="Final",COUNTIFS($D$7:$D$156,$D137,$C$7:$C$156,"Winner")=0),"Final: pick the "&amp;$D137&amp;" winner",IF($B$2="Not started","Set Status to In progress to count points","OK"))))))))</f>
        <v/>
      </c>
      <c r="J137" s="11">
        <f>IF(OR($A137="",NOT(ISNUMBER($B137))),"",IF($C137="Winner",1,COUNTIFS($D$7:$D$156,$D137,$B$7:$B$156,$B137)-IF(AND(NOT($C137="Winner"),COUNTIFS($D$7:$D$156,$D137,$C$7:$C$156,"Winner",$B$7:$B$156,$B137)&gt;0),1,0)))</f>
        <v/>
      </c>
    </row>
    <row r="138">
      <c r="D138" s="11">
        <f>IF($A138="","",IFERROR(IF(VLOOKUP($A138,Players!$A$2:$B$500,2,FALSE)="","Open",VLOOKUP($A138,Players!$A$2:$B$500,2,FALSE)),"Open"))</f>
        <v/>
      </c>
      <c r="E138" s="11">
        <f>IF(OR($A138="",NOT(ISNUMBER($B138))),"",IF($C138="Winner",1,COUNTIFS($D$7:$D$156,$D138,$B$7:$B$156,"&lt;"&amp;$B138)+1+IF(AND(NOT($C138="Winner"),COUNTIFS($D$7:$D$156,$D138,$C$7:$C$156,"Winner",$B$7:$B$156,$B138)&gt;0),1,0)))</f>
        <v/>
      </c>
      <c r="F138" s="11">
        <f>IF(OR($A138="",NOT(ISNUMBER($B138))),"",COUNTIFS($D$7:$D$156,$D138,$B$7:$B$156,"&gt;0"))</f>
        <v/>
      </c>
      <c r="G138" s="11">
        <f>IF(OR(OR($A138="",NOT(ISNUMBER($B138))),$B$2="Not started"),"",IF($C138="Winner",Points!$B$3,ROUND(Points!$B$3*IF($F138&lt;=1,1,Points!$H$7+(1-Points!$H$7)*((($F138-$E138)*(($F138-$E138)+1)/2)^2-((($F138-$E138-$J138+1)-1)*($F138-$E138-$J138+1)/2)^2)/($J138*($F138-1)^3)),0)))</f>
        <v/>
      </c>
      <c r="H138" s="11">
        <f>IF($A138="","",IF($B$2="Final","Final",IF($B$2="In progress","Projected","Not started")))</f>
        <v/>
      </c>
      <c r="I138" s="11">
        <f>IF($A138="","",IF(COUNTIF(Players!$A$2:$A$500,$A138)=0,"Player is not on the Players tab",IF(COUNTIF($A$7:$A$156,$A138)&gt;1,"Player is listed twice",IF(NOT(ISNUMBER($B138)),"Enter a score",IF(COUNTIFS($D$7:$D$156,$D138,$C$7:$C$156,"Winner")&gt;1,"More than one "&amp;$D138&amp;" winner picked",IF(AND($C138="Winner",COUNTIFS($D$7:$D$156,$D138,$B$7:$B$156,"&lt;"&amp;$B138)&gt;0),"The winner doesn't have the best "&amp;$D138&amp;" score",IF(AND($B$2="Final",COUNTIFS($D$7:$D$156,$D138,$C$7:$C$156,"Winner")=0),"Final: pick the "&amp;$D138&amp;" winner",IF($B$2="Not started","Set Status to In progress to count points","OK"))))))))</f>
        <v/>
      </c>
      <c r="J138" s="11">
        <f>IF(OR($A138="",NOT(ISNUMBER($B138))),"",IF($C138="Winner",1,COUNTIFS($D$7:$D$156,$D138,$B$7:$B$156,$B138)-IF(AND(NOT($C138="Winner"),COUNTIFS($D$7:$D$156,$D138,$C$7:$C$156,"Winner",$B$7:$B$156,$B138)&gt;0),1,0)))</f>
        <v/>
      </c>
    </row>
    <row r="139">
      <c r="D139" s="11">
        <f>IF($A139="","",IFERROR(IF(VLOOKUP($A139,Players!$A$2:$B$500,2,FALSE)="","Open",VLOOKUP($A139,Players!$A$2:$B$500,2,FALSE)),"Open"))</f>
        <v/>
      </c>
      <c r="E139" s="11">
        <f>IF(OR($A139="",NOT(ISNUMBER($B139))),"",IF($C139="Winner",1,COUNTIFS($D$7:$D$156,$D139,$B$7:$B$156,"&lt;"&amp;$B139)+1+IF(AND(NOT($C139="Winner"),COUNTIFS($D$7:$D$156,$D139,$C$7:$C$156,"Winner",$B$7:$B$156,$B139)&gt;0),1,0)))</f>
        <v/>
      </c>
      <c r="F139" s="11">
        <f>IF(OR($A139="",NOT(ISNUMBER($B139))),"",COUNTIFS($D$7:$D$156,$D139,$B$7:$B$156,"&gt;0"))</f>
        <v/>
      </c>
      <c r="G139" s="11">
        <f>IF(OR(OR($A139="",NOT(ISNUMBER($B139))),$B$2="Not started"),"",IF($C139="Winner",Points!$B$3,ROUND(Points!$B$3*IF($F139&lt;=1,1,Points!$H$7+(1-Points!$H$7)*((($F139-$E139)*(($F139-$E139)+1)/2)^2-((($F139-$E139-$J139+1)-1)*($F139-$E139-$J139+1)/2)^2)/($J139*($F139-1)^3)),0)))</f>
        <v/>
      </c>
      <c r="H139" s="11">
        <f>IF($A139="","",IF($B$2="Final","Final",IF($B$2="In progress","Projected","Not started")))</f>
        <v/>
      </c>
      <c r="I139" s="11">
        <f>IF($A139="","",IF(COUNTIF(Players!$A$2:$A$500,$A139)=0,"Player is not on the Players tab",IF(COUNTIF($A$7:$A$156,$A139)&gt;1,"Player is listed twice",IF(NOT(ISNUMBER($B139)),"Enter a score",IF(COUNTIFS($D$7:$D$156,$D139,$C$7:$C$156,"Winner")&gt;1,"More than one "&amp;$D139&amp;" winner picked",IF(AND($C139="Winner",COUNTIFS($D$7:$D$156,$D139,$B$7:$B$156,"&lt;"&amp;$B139)&gt;0),"The winner doesn't have the best "&amp;$D139&amp;" score",IF(AND($B$2="Final",COUNTIFS($D$7:$D$156,$D139,$C$7:$C$156,"Winner")=0),"Final: pick the "&amp;$D139&amp;" winner",IF($B$2="Not started","Set Status to In progress to count points","OK"))))))))</f>
        <v/>
      </c>
      <c r="J139" s="11">
        <f>IF(OR($A139="",NOT(ISNUMBER($B139))),"",IF($C139="Winner",1,COUNTIFS($D$7:$D$156,$D139,$B$7:$B$156,$B139)-IF(AND(NOT($C139="Winner"),COUNTIFS($D$7:$D$156,$D139,$C$7:$C$156,"Winner",$B$7:$B$156,$B139)&gt;0),1,0)))</f>
        <v/>
      </c>
    </row>
    <row r="140">
      <c r="D140" s="11">
        <f>IF($A140="","",IFERROR(IF(VLOOKUP($A140,Players!$A$2:$B$500,2,FALSE)="","Open",VLOOKUP($A140,Players!$A$2:$B$500,2,FALSE)),"Open"))</f>
        <v/>
      </c>
      <c r="E140" s="11">
        <f>IF(OR($A140="",NOT(ISNUMBER($B140))),"",IF($C140="Winner",1,COUNTIFS($D$7:$D$156,$D140,$B$7:$B$156,"&lt;"&amp;$B140)+1+IF(AND(NOT($C140="Winner"),COUNTIFS($D$7:$D$156,$D140,$C$7:$C$156,"Winner",$B$7:$B$156,$B140)&gt;0),1,0)))</f>
        <v/>
      </c>
      <c r="F140" s="11">
        <f>IF(OR($A140="",NOT(ISNUMBER($B140))),"",COUNTIFS($D$7:$D$156,$D140,$B$7:$B$156,"&gt;0"))</f>
        <v/>
      </c>
      <c r="G140" s="11">
        <f>IF(OR(OR($A140="",NOT(ISNUMBER($B140))),$B$2="Not started"),"",IF($C140="Winner",Points!$B$3,ROUND(Points!$B$3*IF($F140&lt;=1,1,Points!$H$7+(1-Points!$H$7)*((($F140-$E140)*(($F140-$E140)+1)/2)^2-((($F140-$E140-$J140+1)-1)*($F140-$E140-$J140+1)/2)^2)/($J140*($F140-1)^3)),0)))</f>
        <v/>
      </c>
      <c r="H140" s="11">
        <f>IF($A140="","",IF($B$2="Final","Final",IF($B$2="In progress","Projected","Not started")))</f>
        <v/>
      </c>
      <c r="I140" s="11">
        <f>IF($A140="","",IF(COUNTIF(Players!$A$2:$A$500,$A140)=0,"Player is not on the Players tab",IF(COUNTIF($A$7:$A$156,$A140)&gt;1,"Player is listed twice",IF(NOT(ISNUMBER($B140)),"Enter a score",IF(COUNTIFS($D$7:$D$156,$D140,$C$7:$C$156,"Winner")&gt;1,"More than one "&amp;$D140&amp;" winner picked",IF(AND($C140="Winner",COUNTIFS($D$7:$D$156,$D140,$B$7:$B$156,"&lt;"&amp;$B140)&gt;0),"The winner doesn't have the best "&amp;$D140&amp;" score",IF(AND($B$2="Final",COUNTIFS($D$7:$D$156,$D140,$C$7:$C$156,"Winner")=0),"Final: pick the "&amp;$D140&amp;" winner",IF($B$2="Not started","Set Status to In progress to count points","OK"))))))))</f>
        <v/>
      </c>
      <c r="J140" s="11">
        <f>IF(OR($A140="",NOT(ISNUMBER($B140))),"",IF($C140="Winner",1,COUNTIFS($D$7:$D$156,$D140,$B$7:$B$156,$B140)-IF(AND(NOT($C140="Winner"),COUNTIFS($D$7:$D$156,$D140,$C$7:$C$156,"Winner",$B$7:$B$156,$B140)&gt;0),1,0)))</f>
        <v/>
      </c>
    </row>
    <row r="141">
      <c r="D141" s="11">
        <f>IF($A141="","",IFERROR(IF(VLOOKUP($A141,Players!$A$2:$B$500,2,FALSE)="","Open",VLOOKUP($A141,Players!$A$2:$B$500,2,FALSE)),"Open"))</f>
        <v/>
      </c>
      <c r="E141" s="11">
        <f>IF(OR($A141="",NOT(ISNUMBER($B141))),"",IF($C141="Winner",1,COUNTIFS($D$7:$D$156,$D141,$B$7:$B$156,"&lt;"&amp;$B141)+1+IF(AND(NOT($C141="Winner"),COUNTIFS($D$7:$D$156,$D141,$C$7:$C$156,"Winner",$B$7:$B$156,$B141)&gt;0),1,0)))</f>
        <v/>
      </c>
      <c r="F141" s="11">
        <f>IF(OR($A141="",NOT(ISNUMBER($B141))),"",COUNTIFS($D$7:$D$156,$D141,$B$7:$B$156,"&gt;0"))</f>
        <v/>
      </c>
      <c r="G141" s="11">
        <f>IF(OR(OR($A141="",NOT(ISNUMBER($B141))),$B$2="Not started"),"",IF($C141="Winner",Points!$B$3,ROUND(Points!$B$3*IF($F141&lt;=1,1,Points!$H$7+(1-Points!$H$7)*((($F141-$E141)*(($F141-$E141)+1)/2)^2-((($F141-$E141-$J141+1)-1)*($F141-$E141-$J141+1)/2)^2)/($J141*($F141-1)^3)),0)))</f>
        <v/>
      </c>
      <c r="H141" s="11">
        <f>IF($A141="","",IF($B$2="Final","Final",IF($B$2="In progress","Projected","Not started")))</f>
        <v/>
      </c>
      <c r="I141" s="11">
        <f>IF($A141="","",IF(COUNTIF(Players!$A$2:$A$500,$A141)=0,"Player is not on the Players tab",IF(COUNTIF($A$7:$A$156,$A141)&gt;1,"Player is listed twice",IF(NOT(ISNUMBER($B141)),"Enter a score",IF(COUNTIFS($D$7:$D$156,$D141,$C$7:$C$156,"Winner")&gt;1,"More than one "&amp;$D141&amp;" winner picked",IF(AND($C141="Winner",COUNTIFS($D$7:$D$156,$D141,$B$7:$B$156,"&lt;"&amp;$B141)&gt;0),"The winner doesn't have the best "&amp;$D141&amp;" score",IF(AND($B$2="Final",COUNTIFS($D$7:$D$156,$D141,$C$7:$C$156,"Winner")=0),"Final: pick the "&amp;$D141&amp;" winner",IF($B$2="Not started","Set Status to In progress to count points","OK"))))))))</f>
        <v/>
      </c>
      <c r="J141" s="11">
        <f>IF(OR($A141="",NOT(ISNUMBER($B141))),"",IF($C141="Winner",1,COUNTIFS($D$7:$D$156,$D141,$B$7:$B$156,$B141)-IF(AND(NOT($C141="Winner"),COUNTIFS($D$7:$D$156,$D141,$C$7:$C$156,"Winner",$B$7:$B$156,$B141)&gt;0),1,0)))</f>
        <v/>
      </c>
    </row>
    <row r="142">
      <c r="D142" s="11">
        <f>IF($A142="","",IFERROR(IF(VLOOKUP($A142,Players!$A$2:$B$500,2,FALSE)="","Open",VLOOKUP($A142,Players!$A$2:$B$500,2,FALSE)),"Open"))</f>
        <v/>
      </c>
      <c r="E142" s="11">
        <f>IF(OR($A142="",NOT(ISNUMBER($B142))),"",IF($C142="Winner",1,COUNTIFS($D$7:$D$156,$D142,$B$7:$B$156,"&lt;"&amp;$B142)+1+IF(AND(NOT($C142="Winner"),COUNTIFS($D$7:$D$156,$D142,$C$7:$C$156,"Winner",$B$7:$B$156,$B142)&gt;0),1,0)))</f>
        <v/>
      </c>
      <c r="F142" s="11">
        <f>IF(OR($A142="",NOT(ISNUMBER($B142))),"",COUNTIFS($D$7:$D$156,$D142,$B$7:$B$156,"&gt;0"))</f>
        <v/>
      </c>
      <c r="G142" s="11">
        <f>IF(OR(OR($A142="",NOT(ISNUMBER($B142))),$B$2="Not started"),"",IF($C142="Winner",Points!$B$3,ROUND(Points!$B$3*IF($F142&lt;=1,1,Points!$H$7+(1-Points!$H$7)*((($F142-$E142)*(($F142-$E142)+1)/2)^2-((($F142-$E142-$J142+1)-1)*($F142-$E142-$J142+1)/2)^2)/($J142*($F142-1)^3)),0)))</f>
        <v/>
      </c>
      <c r="H142" s="11">
        <f>IF($A142="","",IF($B$2="Final","Final",IF($B$2="In progress","Projected","Not started")))</f>
        <v/>
      </c>
      <c r="I142" s="11">
        <f>IF($A142="","",IF(COUNTIF(Players!$A$2:$A$500,$A142)=0,"Player is not on the Players tab",IF(COUNTIF($A$7:$A$156,$A142)&gt;1,"Player is listed twice",IF(NOT(ISNUMBER($B142)),"Enter a score",IF(COUNTIFS($D$7:$D$156,$D142,$C$7:$C$156,"Winner")&gt;1,"More than one "&amp;$D142&amp;" winner picked",IF(AND($C142="Winner",COUNTIFS($D$7:$D$156,$D142,$B$7:$B$156,"&lt;"&amp;$B142)&gt;0),"The winner doesn't have the best "&amp;$D142&amp;" score",IF(AND($B$2="Final",COUNTIFS($D$7:$D$156,$D142,$C$7:$C$156,"Winner")=0),"Final: pick the "&amp;$D142&amp;" winner",IF($B$2="Not started","Set Status to In progress to count points","OK"))))))))</f>
        <v/>
      </c>
      <c r="J142" s="11">
        <f>IF(OR($A142="",NOT(ISNUMBER($B142))),"",IF($C142="Winner",1,COUNTIFS($D$7:$D$156,$D142,$B$7:$B$156,$B142)-IF(AND(NOT($C142="Winner"),COUNTIFS($D$7:$D$156,$D142,$C$7:$C$156,"Winner",$B$7:$B$156,$B142)&gt;0),1,0)))</f>
        <v/>
      </c>
    </row>
    <row r="143">
      <c r="D143" s="11">
        <f>IF($A143="","",IFERROR(IF(VLOOKUP($A143,Players!$A$2:$B$500,2,FALSE)="","Open",VLOOKUP($A143,Players!$A$2:$B$500,2,FALSE)),"Open"))</f>
        <v/>
      </c>
      <c r="E143" s="11">
        <f>IF(OR($A143="",NOT(ISNUMBER($B143))),"",IF($C143="Winner",1,COUNTIFS($D$7:$D$156,$D143,$B$7:$B$156,"&lt;"&amp;$B143)+1+IF(AND(NOT($C143="Winner"),COUNTIFS($D$7:$D$156,$D143,$C$7:$C$156,"Winner",$B$7:$B$156,$B143)&gt;0),1,0)))</f>
        <v/>
      </c>
      <c r="F143" s="11">
        <f>IF(OR($A143="",NOT(ISNUMBER($B143))),"",COUNTIFS($D$7:$D$156,$D143,$B$7:$B$156,"&gt;0"))</f>
        <v/>
      </c>
      <c r="G143" s="11">
        <f>IF(OR(OR($A143="",NOT(ISNUMBER($B143))),$B$2="Not started"),"",IF($C143="Winner",Points!$B$3,ROUND(Points!$B$3*IF($F143&lt;=1,1,Points!$H$7+(1-Points!$H$7)*((($F143-$E143)*(($F143-$E143)+1)/2)^2-((($F143-$E143-$J143+1)-1)*($F143-$E143-$J143+1)/2)^2)/($J143*($F143-1)^3)),0)))</f>
        <v/>
      </c>
      <c r="H143" s="11">
        <f>IF($A143="","",IF($B$2="Final","Final",IF($B$2="In progress","Projected","Not started")))</f>
        <v/>
      </c>
      <c r="I143" s="11">
        <f>IF($A143="","",IF(COUNTIF(Players!$A$2:$A$500,$A143)=0,"Player is not on the Players tab",IF(COUNTIF($A$7:$A$156,$A143)&gt;1,"Player is listed twice",IF(NOT(ISNUMBER($B143)),"Enter a score",IF(COUNTIFS($D$7:$D$156,$D143,$C$7:$C$156,"Winner")&gt;1,"More than one "&amp;$D143&amp;" winner picked",IF(AND($C143="Winner",COUNTIFS($D$7:$D$156,$D143,$B$7:$B$156,"&lt;"&amp;$B143)&gt;0),"The winner doesn't have the best "&amp;$D143&amp;" score",IF(AND($B$2="Final",COUNTIFS($D$7:$D$156,$D143,$C$7:$C$156,"Winner")=0),"Final: pick the "&amp;$D143&amp;" winner",IF($B$2="Not started","Set Status to In progress to count points","OK"))))))))</f>
        <v/>
      </c>
      <c r="J143" s="11">
        <f>IF(OR($A143="",NOT(ISNUMBER($B143))),"",IF($C143="Winner",1,COUNTIFS($D$7:$D$156,$D143,$B$7:$B$156,$B143)-IF(AND(NOT($C143="Winner"),COUNTIFS($D$7:$D$156,$D143,$C$7:$C$156,"Winner",$B$7:$B$156,$B143)&gt;0),1,0)))</f>
        <v/>
      </c>
    </row>
    <row r="144">
      <c r="D144" s="11">
        <f>IF($A144="","",IFERROR(IF(VLOOKUP($A144,Players!$A$2:$B$500,2,FALSE)="","Open",VLOOKUP($A144,Players!$A$2:$B$500,2,FALSE)),"Open"))</f>
        <v/>
      </c>
      <c r="E144" s="11">
        <f>IF(OR($A144="",NOT(ISNUMBER($B144))),"",IF($C144="Winner",1,COUNTIFS($D$7:$D$156,$D144,$B$7:$B$156,"&lt;"&amp;$B144)+1+IF(AND(NOT($C144="Winner"),COUNTIFS($D$7:$D$156,$D144,$C$7:$C$156,"Winner",$B$7:$B$156,$B144)&gt;0),1,0)))</f>
        <v/>
      </c>
      <c r="F144" s="11">
        <f>IF(OR($A144="",NOT(ISNUMBER($B144))),"",COUNTIFS($D$7:$D$156,$D144,$B$7:$B$156,"&gt;0"))</f>
        <v/>
      </c>
      <c r="G144" s="11">
        <f>IF(OR(OR($A144="",NOT(ISNUMBER($B144))),$B$2="Not started"),"",IF($C144="Winner",Points!$B$3,ROUND(Points!$B$3*IF($F144&lt;=1,1,Points!$H$7+(1-Points!$H$7)*((($F144-$E144)*(($F144-$E144)+1)/2)^2-((($F144-$E144-$J144+1)-1)*($F144-$E144-$J144+1)/2)^2)/($J144*($F144-1)^3)),0)))</f>
        <v/>
      </c>
      <c r="H144" s="11">
        <f>IF($A144="","",IF($B$2="Final","Final",IF($B$2="In progress","Projected","Not started")))</f>
        <v/>
      </c>
      <c r="I144" s="11">
        <f>IF($A144="","",IF(COUNTIF(Players!$A$2:$A$500,$A144)=0,"Player is not on the Players tab",IF(COUNTIF($A$7:$A$156,$A144)&gt;1,"Player is listed twice",IF(NOT(ISNUMBER($B144)),"Enter a score",IF(COUNTIFS($D$7:$D$156,$D144,$C$7:$C$156,"Winner")&gt;1,"More than one "&amp;$D144&amp;" winner picked",IF(AND($C144="Winner",COUNTIFS($D$7:$D$156,$D144,$B$7:$B$156,"&lt;"&amp;$B144)&gt;0),"The winner doesn't have the best "&amp;$D144&amp;" score",IF(AND($B$2="Final",COUNTIFS($D$7:$D$156,$D144,$C$7:$C$156,"Winner")=0),"Final: pick the "&amp;$D144&amp;" winner",IF($B$2="Not started","Set Status to In progress to count points","OK"))))))))</f>
        <v/>
      </c>
      <c r="J144" s="11">
        <f>IF(OR($A144="",NOT(ISNUMBER($B144))),"",IF($C144="Winner",1,COUNTIFS($D$7:$D$156,$D144,$B$7:$B$156,$B144)-IF(AND(NOT($C144="Winner"),COUNTIFS($D$7:$D$156,$D144,$C$7:$C$156,"Winner",$B$7:$B$156,$B144)&gt;0),1,0)))</f>
        <v/>
      </c>
    </row>
    <row r="145">
      <c r="D145" s="11">
        <f>IF($A145="","",IFERROR(IF(VLOOKUP($A145,Players!$A$2:$B$500,2,FALSE)="","Open",VLOOKUP($A145,Players!$A$2:$B$500,2,FALSE)),"Open"))</f>
        <v/>
      </c>
      <c r="E145" s="11">
        <f>IF(OR($A145="",NOT(ISNUMBER($B145))),"",IF($C145="Winner",1,COUNTIFS($D$7:$D$156,$D145,$B$7:$B$156,"&lt;"&amp;$B145)+1+IF(AND(NOT($C145="Winner"),COUNTIFS($D$7:$D$156,$D145,$C$7:$C$156,"Winner",$B$7:$B$156,$B145)&gt;0),1,0)))</f>
        <v/>
      </c>
      <c r="F145" s="11">
        <f>IF(OR($A145="",NOT(ISNUMBER($B145))),"",COUNTIFS($D$7:$D$156,$D145,$B$7:$B$156,"&gt;0"))</f>
        <v/>
      </c>
      <c r="G145" s="11">
        <f>IF(OR(OR($A145="",NOT(ISNUMBER($B145))),$B$2="Not started"),"",IF($C145="Winner",Points!$B$3,ROUND(Points!$B$3*IF($F145&lt;=1,1,Points!$H$7+(1-Points!$H$7)*((($F145-$E145)*(($F145-$E145)+1)/2)^2-((($F145-$E145-$J145+1)-1)*($F145-$E145-$J145+1)/2)^2)/($J145*($F145-1)^3)),0)))</f>
        <v/>
      </c>
      <c r="H145" s="11">
        <f>IF($A145="","",IF($B$2="Final","Final",IF($B$2="In progress","Projected","Not started")))</f>
        <v/>
      </c>
      <c r="I145" s="11">
        <f>IF($A145="","",IF(COUNTIF(Players!$A$2:$A$500,$A145)=0,"Player is not on the Players tab",IF(COUNTIF($A$7:$A$156,$A145)&gt;1,"Player is listed twice",IF(NOT(ISNUMBER($B145)),"Enter a score",IF(COUNTIFS($D$7:$D$156,$D145,$C$7:$C$156,"Winner")&gt;1,"More than one "&amp;$D145&amp;" winner picked",IF(AND($C145="Winner",COUNTIFS($D$7:$D$156,$D145,$B$7:$B$156,"&lt;"&amp;$B145)&gt;0),"The winner doesn't have the best "&amp;$D145&amp;" score",IF(AND($B$2="Final",COUNTIFS($D$7:$D$156,$D145,$C$7:$C$156,"Winner")=0),"Final: pick the "&amp;$D145&amp;" winner",IF($B$2="Not started","Set Status to In progress to count points","OK"))))))))</f>
        <v/>
      </c>
      <c r="J145" s="11">
        <f>IF(OR($A145="",NOT(ISNUMBER($B145))),"",IF($C145="Winner",1,COUNTIFS($D$7:$D$156,$D145,$B$7:$B$156,$B145)-IF(AND(NOT($C145="Winner"),COUNTIFS($D$7:$D$156,$D145,$C$7:$C$156,"Winner",$B$7:$B$156,$B145)&gt;0),1,0)))</f>
        <v/>
      </c>
    </row>
    <row r="146">
      <c r="D146" s="11">
        <f>IF($A146="","",IFERROR(IF(VLOOKUP($A146,Players!$A$2:$B$500,2,FALSE)="","Open",VLOOKUP($A146,Players!$A$2:$B$500,2,FALSE)),"Open"))</f>
        <v/>
      </c>
      <c r="E146" s="11">
        <f>IF(OR($A146="",NOT(ISNUMBER($B146))),"",IF($C146="Winner",1,COUNTIFS($D$7:$D$156,$D146,$B$7:$B$156,"&lt;"&amp;$B146)+1+IF(AND(NOT($C146="Winner"),COUNTIFS($D$7:$D$156,$D146,$C$7:$C$156,"Winner",$B$7:$B$156,$B146)&gt;0),1,0)))</f>
        <v/>
      </c>
      <c r="F146" s="11">
        <f>IF(OR($A146="",NOT(ISNUMBER($B146))),"",COUNTIFS($D$7:$D$156,$D146,$B$7:$B$156,"&gt;0"))</f>
        <v/>
      </c>
      <c r="G146" s="11">
        <f>IF(OR(OR($A146="",NOT(ISNUMBER($B146))),$B$2="Not started"),"",IF($C146="Winner",Points!$B$3,ROUND(Points!$B$3*IF($F146&lt;=1,1,Points!$H$7+(1-Points!$H$7)*((($F146-$E146)*(($F146-$E146)+1)/2)^2-((($F146-$E146-$J146+1)-1)*($F146-$E146-$J146+1)/2)^2)/($J146*($F146-1)^3)),0)))</f>
        <v/>
      </c>
      <c r="H146" s="11">
        <f>IF($A146="","",IF($B$2="Final","Final",IF($B$2="In progress","Projected","Not started")))</f>
        <v/>
      </c>
      <c r="I146" s="11">
        <f>IF($A146="","",IF(COUNTIF(Players!$A$2:$A$500,$A146)=0,"Player is not on the Players tab",IF(COUNTIF($A$7:$A$156,$A146)&gt;1,"Player is listed twice",IF(NOT(ISNUMBER($B146)),"Enter a score",IF(COUNTIFS($D$7:$D$156,$D146,$C$7:$C$156,"Winner")&gt;1,"More than one "&amp;$D146&amp;" winner picked",IF(AND($C146="Winner",COUNTIFS($D$7:$D$156,$D146,$B$7:$B$156,"&lt;"&amp;$B146)&gt;0),"The winner doesn't have the best "&amp;$D146&amp;" score",IF(AND($B$2="Final",COUNTIFS($D$7:$D$156,$D146,$C$7:$C$156,"Winner")=0),"Final: pick the "&amp;$D146&amp;" winner",IF($B$2="Not started","Set Status to In progress to count points","OK"))))))))</f>
        <v/>
      </c>
      <c r="J146" s="11">
        <f>IF(OR($A146="",NOT(ISNUMBER($B146))),"",IF($C146="Winner",1,COUNTIFS($D$7:$D$156,$D146,$B$7:$B$156,$B146)-IF(AND(NOT($C146="Winner"),COUNTIFS($D$7:$D$156,$D146,$C$7:$C$156,"Winner",$B$7:$B$156,$B146)&gt;0),1,0)))</f>
        <v/>
      </c>
    </row>
    <row r="147">
      <c r="D147" s="11">
        <f>IF($A147="","",IFERROR(IF(VLOOKUP($A147,Players!$A$2:$B$500,2,FALSE)="","Open",VLOOKUP($A147,Players!$A$2:$B$500,2,FALSE)),"Open"))</f>
        <v/>
      </c>
      <c r="E147" s="11">
        <f>IF(OR($A147="",NOT(ISNUMBER($B147))),"",IF($C147="Winner",1,COUNTIFS($D$7:$D$156,$D147,$B$7:$B$156,"&lt;"&amp;$B147)+1+IF(AND(NOT($C147="Winner"),COUNTIFS($D$7:$D$156,$D147,$C$7:$C$156,"Winner",$B$7:$B$156,$B147)&gt;0),1,0)))</f>
        <v/>
      </c>
      <c r="F147" s="11">
        <f>IF(OR($A147="",NOT(ISNUMBER($B147))),"",COUNTIFS($D$7:$D$156,$D147,$B$7:$B$156,"&gt;0"))</f>
        <v/>
      </c>
      <c r="G147" s="11">
        <f>IF(OR(OR($A147="",NOT(ISNUMBER($B147))),$B$2="Not started"),"",IF($C147="Winner",Points!$B$3,ROUND(Points!$B$3*IF($F147&lt;=1,1,Points!$H$7+(1-Points!$H$7)*((($F147-$E147)*(($F147-$E147)+1)/2)^2-((($F147-$E147-$J147+1)-1)*($F147-$E147-$J147+1)/2)^2)/($J147*($F147-1)^3)),0)))</f>
        <v/>
      </c>
      <c r="H147" s="11">
        <f>IF($A147="","",IF($B$2="Final","Final",IF($B$2="In progress","Projected","Not started")))</f>
        <v/>
      </c>
      <c r="I147" s="11">
        <f>IF($A147="","",IF(COUNTIF(Players!$A$2:$A$500,$A147)=0,"Player is not on the Players tab",IF(COUNTIF($A$7:$A$156,$A147)&gt;1,"Player is listed twice",IF(NOT(ISNUMBER($B147)),"Enter a score",IF(COUNTIFS($D$7:$D$156,$D147,$C$7:$C$156,"Winner")&gt;1,"More than one "&amp;$D147&amp;" winner picked",IF(AND($C147="Winner",COUNTIFS($D$7:$D$156,$D147,$B$7:$B$156,"&lt;"&amp;$B147)&gt;0),"The winner doesn't have the best "&amp;$D147&amp;" score",IF(AND($B$2="Final",COUNTIFS($D$7:$D$156,$D147,$C$7:$C$156,"Winner")=0),"Final: pick the "&amp;$D147&amp;" winner",IF($B$2="Not started","Set Status to In progress to count points","OK"))))))))</f>
        <v/>
      </c>
      <c r="J147" s="11">
        <f>IF(OR($A147="",NOT(ISNUMBER($B147))),"",IF($C147="Winner",1,COUNTIFS($D$7:$D$156,$D147,$B$7:$B$156,$B147)-IF(AND(NOT($C147="Winner"),COUNTIFS($D$7:$D$156,$D147,$C$7:$C$156,"Winner",$B$7:$B$156,$B147)&gt;0),1,0)))</f>
        <v/>
      </c>
    </row>
    <row r="148">
      <c r="D148" s="11">
        <f>IF($A148="","",IFERROR(IF(VLOOKUP($A148,Players!$A$2:$B$500,2,FALSE)="","Open",VLOOKUP($A148,Players!$A$2:$B$500,2,FALSE)),"Open"))</f>
        <v/>
      </c>
      <c r="E148" s="11">
        <f>IF(OR($A148="",NOT(ISNUMBER($B148))),"",IF($C148="Winner",1,COUNTIFS($D$7:$D$156,$D148,$B$7:$B$156,"&lt;"&amp;$B148)+1+IF(AND(NOT($C148="Winner"),COUNTIFS($D$7:$D$156,$D148,$C$7:$C$156,"Winner",$B$7:$B$156,$B148)&gt;0),1,0)))</f>
        <v/>
      </c>
      <c r="F148" s="11">
        <f>IF(OR($A148="",NOT(ISNUMBER($B148))),"",COUNTIFS($D$7:$D$156,$D148,$B$7:$B$156,"&gt;0"))</f>
        <v/>
      </c>
      <c r="G148" s="11">
        <f>IF(OR(OR($A148="",NOT(ISNUMBER($B148))),$B$2="Not started"),"",IF($C148="Winner",Points!$B$3,ROUND(Points!$B$3*IF($F148&lt;=1,1,Points!$H$7+(1-Points!$H$7)*((($F148-$E148)*(($F148-$E148)+1)/2)^2-((($F148-$E148-$J148+1)-1)*($F148-$E148-$J148+1)/2)^2)/($J148*($F148-1)^3)),0)))</f>
        <v/>
      </c>
      <c r="H148" s="11">
        <f>IF($A148="","",IF($B$2="Final","Final",IF($B$2="In progress","Projected","Not started")))</f>
        <v/>
      </c>
      <c r="I148" s="11">
        <f>IF($A148="","",IF(COUNTIF(Players!$A$2:$A$500,$A148)=0,"Player is not on the Players tab",IF(COUNTIF($A$7:$A$156,$A148)&gt;1,"Player is listed twice",IF(NOT(ISNUMBER($B148)),"Enter a score",IF(COUNTIFS($D$7:$D$156,$D148,$C$7:$C$156,"Winner")&gt;1,"More than one "&amp;$D148&amp;" winner picked",IF(AND($C148="Winner",COUNTIFS($D$7:$D$156,$D148,$B$7:$B$156,"&lt;"&amp;$B148)&gt;0),"The winner doesn't have the best "&amp;$D148&amp;" score",IF(AND($B$2="Final",COUNTIFS($D$7:$D$156,$D148,$C$7:$C$156,"Winner")=0),"Final: pick the "&amp;$D148&amp;" winner",IF($B$2="Not started","Set Status to In progress to count points","OK"))))))))</f>
        <v/>
      </c>
      <c r="J148" s="11">
        <f>IF(OR($A148="",NOT(ISNUMBER($B148))),"",IF($C148="Winner",1,COUNTIFS($D$7:$D$156,$D148,$B$7:$B$156,$B148)-IF(AND(NOT($C148="Winner"),COUNTIFS($D$7:$D$156,$D148,$C$7:$C$156,"Winner",$B$7:$B$156,$B148)&gt;0),1,0)))</f>
        <v/>
      </c>
    </row>
    <row r="149">
      <c r="D149" s="11">
        <f>IF($A149="","",IFERROR(IF(VLOOKUP($A149,Players!$A$2:$B$500,2,FALSE)="","Open",VLOOKUP($A149,Players!$A$2:$B$500,2,FALSE)),"Open"))</f>
        <v/>
      </c>
      <c r="E149" s="11">
        <f>IF(OR($A149="",NOT(ISNUMBER($B149))),"",IF($C149="Winner",1,COUNTIFS($D$7:$D$156,$D149,$B$7:$B$156,"&lt;"&amp;$B149)+1+IF(AND(NOT($C149="Winner"),COUNTIFS($D$7:$D$156,$D149,$C$7:$C$156,"Winner",$B$7:$B$156,$B149)&gt;0),1,0)))</f>
        <v/>
      </c>
      <c r="F149" s="11">
        <f>IF(OR($A149="",NOT(ISNUMBER($B149))),"",COUNTIFS($D$7:$D$156,$D149,$B$7:$B$156,"&gt;0"))</f>
        <v/>
      </c>
      <c r="G149" s="11">
        <f>IF(OR(OR($A149="",NOT(ISNUMBER($B149))),$B$2="Not started"),"",IF($C149="Winner",Points!$B$3,ROUND(Points!$B$3*IF($F149&lt;=1,1,Points!$H$7+(1-Points!$H$7)*((($F149-$E149)*(($F149-$E149)+1)/2)^2-((($F149-$E149-$J149+1)-1)*($F149-$E149-$J149+1)/2)^2)/($J149*($F149-1)^3)),0)))</f>
        <v/>
      </c>
      <c r="H149" s="11">
        <f>IF($A149="","",IF($B$2="Final","Final",IF($B$2="In progress","Projected","Not started")))</f>
        <v/>
      </c>
      <c r="I149" s="11">
        <f>IF($A149="","",IF(COUNTIF(Players!$A$2:$A$500,$A149)=0,"Player is not on the Players tab",IF(COUNTIF($A$7:$A$156,$A149)&gt;1,"Player is listed twice",IF(NOT(ISNUMBER($B149)),"Enter a score",IF(COUNTIFS($D$7:$D$156,$D149,$C$7:$C$156,"Winner")&gt;1,"More than one "&amp;$D149&amp;" winner picked",IF(AND($C149="Winner",COUNTIFS($D$7:$D$156,$D149,$B$7:$B$156,"&lt;"&amp;$B149)&gt;0),"The winner doesn't have the best "&amp;$D149&amp;" score",IF(AND($B$2="Final",COUNTIFS($D$7:$D$156,$D149,$C$7:$C$156,"Winner")=0),"Final: pick the "&amp;$D149&amp;" winner",IF($B$2="Not started","Set Status to In progress to count points","OK"))))))))</f>
        <v/>
      </c>
      <c r="J149" s="11">
        <f>IF(OR($A149="",NOT(ISNUMBER($B149))),"",IF($C149="Winner",1,COUNTIFS($D$7:$D$156,$D149,$B$7:$B$156,$B149)-IF(AND(NOT($C149="Winner"),COUNTIFS($D$7:$D$156,$D149,$C$7:$C$156,"Winner",$B$7:$B$156,$B149)&gt;0),1,0)))</f>
        <v/>
      </c>
    </row>
    <row r="150">
      <c r="D150" s="11">
        <f>IF($A150="","",IFERROR(IF(VLOOKUP($A150,Players!$A$2:$B$500,2,FALSE)="","Open",VLOOKUP($A150,Players!$A$2:$B$500,2,FALSE)),"Open"))</f>
        <v/>
      </c>
      <c r="E150" s="11">
        <f>IF(OR($A150="",NOT(ISNUMBER($B150))),"",IF($C150="Winner",1,COUNTIFS($D$7:$D$156,$D150,$B$7:$B$156,"&lt;"&amp;$B150)+1+IF(AND(NOT($C150="Winner"),COUNTIFS($D$7:$D$156,$D150,$C$7:$C$156,"Winner",$B$7:$B$156,$B150)&gt;0),1,0)))</f>
        <v/>
      </c>
      <c r="F150" s="11">
        <f>IF(OR($A150="",NOT(ISNUMBER($B150))),"",COUNTIFS($D$7:$D$156,$D150,$B$7:$B$156,"&gt;0"))</f>
        <v/>
      </c>
      <c r="G150" s="11">
        <f>IF(OR(OR($A150="",NOT(ISNUMBER($B150))),$B$2="Not started"),"",IF($C150="Winner",Points!$B$3,ROUND(Points!$B$3*IF($F150&lt;=1,1,Points!$H$7+(1-Points!$H$7)*((($F150-$E150)*(($F150-$E150)+1)/2)^2-((($F150-$E150-$J150+1)-1)*($F150-$E150-$J150+1)/2)^2)/($J150*($F150-1)^3)),0)))</f>
        <v/>
      </c>
      <c r="H150" s="11">
        <f>IF($A150="","",IF($B$2="Final","Final",IF($B$2="In progress","Projected","Not started")))</f>
        <v/>
      </c>
      <c r="I150" s="11">
        <f>IF($A150="","",IF(COUNTIF(Players!$A$2:$A$500,$A150)=0,"Player is not on the Players tab",IF(COUNTIF($A$7:$A$156,$A150)&gt;1,"Player is listed twice",IF(NOT(ISNUMBER($B150)),"Enter a score",IF(COUNTIFS($D$7:$D$156,$D150,$C$7:$C$156,"Winner")&gt;1,"More than one "&amp;$D150&amp;" winner picked",IF(AND($C150="Winner",COUNTIFS($D$7:$D$156,$D150,$B$7:$B$156,"&lt;"&amp;$B150)&gt;0),"The winner doesn't have the best "&amp;$D150&amp;" score",IF(AND($B$2="Final",COUNTIFS($D$7:$D$156,$D150,$C$7:$C$156,"Winner")=0),"Final: pick the "&amp;$D150&amp;" winner",IF($B$2="Not started","Set Status to In progress to count points","OK"))))))))</f>
        <v/>
      </c>
      <c r="J150" s="11">
        <f>IF(OR($A150="",NOT(ISNUMBER($B150))),"",IF($C150="Winner",1,COUNTIFS($D$7:$D$156,$D150,$B$7:$B$156,$B150)-IF(AND(NOT($C150="Winner"),COUNTIFS($D$7:$D$156,$D150,$C$7:$C$156,"Winner",$B$7:$B$156,$B150)&gt;0),1,0)))</f>
        <v/>
      </c>
    </row>
    <row r="151">
      <c r="D151" s="11">
        <f>IF($A151="","",IFERROR(IF(VLOOKUP($A151,Players!$A$2:$B$500,2,FALSE)="","Open",VLOOKUP($A151,Players!$A$2:$B$500,2,FALSE)),"Open"))</f>
        <v/>
      </c>
      <c r="E151" s="11">
        <f>IF(OR($A151="",NOT(ISNUMBER($B151))),"",IF($C151="Winner",1,COUNTIFS($D$7:$D$156,$D151,$B$7:$B$156,"&lt;"&amp;$B151)+1+IF(AND(NOT($C151="Winner"),COUNTIFS($D$7:$D$156,$D151,$C$7:$C$156,"Winner",$B$7:$B$156,$B151)&gt;0),1,0)))</f>
        <v/>
      </c>
      <c r="F151" s="11">
        <f>IF(OR($A151="",NOT(ISNUMBER($B151))),"",COUNTIFS($D$7:$D$156,$D151,$B$7:$B$156,"&gt;0"))</f>
        <v/>
      </c>
      <c r="G151" s="11">
        <f>IF(OR(OR($A151="",NOT(ISNUMBER($B151))),$B$2="Not started"),"",IF($C151="Winner",Points!$B$3,ROUND(Points!$B$3*IF($F151&lt;=1,1,Points!$H$7+(1-Points!$H$7)*((($F151-$E151)*(($F151-$E151)+1)/2)^2-((($F151-$E151-$J151+1)-1)*($F151-$E151-$J151+1)/2)^2)/($J151*($F151-1)^3)),0)))</f>
        <v/>
      </c>
      <c r="H151" s="11">
        <f>IF($A151="","",IF($B$2="Final","Final",IF($B$2="In progress","Projected","Not started")))</f>
        <v/>
      </c>
      <c r="I151" s="11">
        <f>IF($A151="","",IF(COUNTIF(Players!$A$2:$A$500,$A151)=0,"Player is not on the Players tab",IF(COUNTIF($A$7:$A$156,$A151)&gt;1,"Player is listed twice",IF(NOT(ISNUMBER($B151)),"Enter a score",IF(COUNTIFS($D$7:$D$156,$D151,$C$7:$C$156,"Winner")&gt;1,"More than one "&amp;$D151&amp;" winner picked",IF(AND($C151="Winner",COUNTIFS($D$7:$D$156,$D151,$B$7:$B$156,"&lt;"&amp;$B151)&gt;0),"The winner doesn't have the best "&amp;$D151&amp;" score",IF(AND($B$2="Final",COUNTIFS($D$7:$D$156,$D151,$C$7:$C$156,"Winner")=0),"Final: pick the "&amp;$D151&amp;" winner",IF($B$2="Not started","Set Status to In progress to count points","OK"))))))))</f>
        <v/>
      </c>
      <c r="J151" s="11">
        <f>IF(OR($A151="",NOT(ISNUMBER($B151))),"",IF($C151="Winner",1,COUNTIFS($D$7:$D$156,$D151,$B$7:$B$156,$B151)-IF(AND(NOT($C151="Winner"),COUNTIFS($D$7:$D$156,$D151,$C$7:$C$156,"Winner",$B$7:$B$156,$B151)&gt;0),1,0)))</f>
        <v/>
      </c>
    </row>
    <row r="152">
      <c r="D152" s="11">
        <f>IF($A152="","",IFERROR(IF(VLOOKUP($A152,Players!$A$2:$B$500,2,FALSE)="","Open",VLOOKUP($A152,Players!$A$2:$B$500,2,FALSE)),"Open"))</f>
        <v/>
      </c>
      <c r="E152" s="11">
        <f>IF(OR($A152="",NOT(ISNUMBER($B152))),"",IF($C152="Winner",1,COUNTIFS($D$7:$D$156,$D152,$B$7:$B$156,"&lt;"&amp;$B152)+1+IF(AND(NOT($C152="Winner"),COUNTIFS($D$7:$D$156,$D152,$C$7:$C$156,"Winner",$B$7:$B$156,$B152)&gt;0),1,0)))</f>
        <v/>
      </c>
      <c r="F152" s="11">
        <f>IF(OR($A152="",NOT(ISNUMBER($B152))),"",COUNTIFS($D$7:$D$156,$D152,$B$7:$B$156,"&gt;0"))</f>
        <v/>
      </c>
      <c r="G152" s="11">
        <f>IF(OR(OR($A152="",NOT(ISNUMBER($B152))),$B$2="Not started"),"",IF($C152="Winner",Points!$B$3,ROUND(Points!$B$3*IF($F152&lt;=1,1,Points!$H$7+(1-Points!$H$7)*((($F152-$E152)*(($F152-$E152)+1)/2)^2-((($F152-$E152-$J152+1)-1)*($F152-$E152-$J152+1)/2)^2)/($J152*($F152-1)^3)),0)))</f>
        <v/>
      </c>
      <c r="H152" s="11">
        <f>IF($A152="","",IF($B$2="Final","Final",IF($B$2="In progress","Projected","Not started")))</f>
        <v/>
      </c>
      <c r="I152" s="11">
        <f>IF($A152="","",IF(COUNTIF(Players!$A$2:$A$500,$A152)=0,"Player is not on the Players tab",IF(COUNTIF($A$7:$A$156,$A152)&gt;1,"Player is listed twice",IF(NOT(ISNUMBER($B152)),"Enter a score",IF(COUNTIFS($D$7:$D$156,$D152,$C$7:$C$156,"Winner")&gt;1,"More than one "&amp;$D152&amp;" winner picked",IF(AND($C152="Winner",COUNTIFS($D$7:$D$156,$D152,$B$7:$B$156,"&lt;"&amp;$B152)&gt;0),"The winner doesn't have the best "&amp;$D152&amp;" score",IF(AND($B$2="Final",COUNTIFS($D$7:$D$156,$D152,$C$7:$C$156,"Winner")=0),"Final: pick the "&amp;$D152&amp;" winner",IF($B$2="Not started","Set Status to In progress to count points","OK"))))))))</f>
        <v/>
      </c>
      <c r="J152" s="11">
        <f>IF(OR($A152="",NOT(ISNUMBER($B152))),"",IF($C152="Winner",1,COUNTIFS($D$7:$D$156,$D152,$B$7:$B$156,$B152)-IF(AND(NOT($C152="Winner"),COUNTIFS($D$7:$D$156,$D152,$C$7:$C$156,"Winner",$B$7:$B$156,$B152)&gt;0),1,0)))</f>
        <v/>
      </c>
    </row>
    <row r="153">
      <c r="D153" s="11">
        <f>IF($A153="","",IFERROR(IF(VLOOKUP($A153,Players!$A$2:$B$500,2,FALSE)="","Open",VLOOKUP($A153,Players!$A$2:$B$500,2,FALSE)),"Open"))</f>
        <v/>
      </c>
      <c r="E153" s="11">
        <f>IF(OR($A153="",NOT(ISNUMBER($B153))),"",IF($C153="Winner",1,COUNTIFS($D$7:$D$156,$D153,$B$7:$B$156,"&lt;"&amp;$B153)+1+IF(AND(NOT($C153="Winner"),COUNTIFS($D$7:$D$156,$D153,$C$7:$C$156,"Winner",$B$7:$B$156,$B153)&gt;0),1,0)))</f>
        <v/>
      </c>
      <c r="F153" s="11">
        <f>IF(OR($A153="",NOT(ISNUMBER($B153))),"",COUNTIFS($D$7:$D$156,$D153,$B$7:$B$156,"&gt;0"))</f>
        <v/>
      </c>
      <c r="G153" s="11">
        <f>IF(OR(OR($A153="",NOT(ISNUMBER($B153))),$B$2="Not started"),"",IF($C153="Winner",Points!$B$3,ROUND(Points!$B$3*IF($F153&lt;=1,1,Points!$H$7+(1-Points!$H$7)*((($F153-$E153)*(($F153-$E153)+1)/2)^2-((($F153-$E153-$J153+1)-1)*($F153-$E153-$J153+1)/2)^2)/($J153*($F153-1)^3)),0)))</f>
        <v/>
      </c>
      <c r="H153" s="11">
        <f>IF($A153="","",IF($B$2="Final","Final",IF($B$2="In progress","Projected","Not started")))</f>
        <v/>
      </c>
      <c r="I153" s="11">
        <f>IF($A153="","",IF(COUNTIF(Players!$A$2:$A$500,$A153)=0,"Player is not on the Players tab",IF(COUNTIF($A$7:$A$156,$A153)&gt;1,"Player is listed twice",IF(NOT(ISNUMBER($B153)),"Enter a score",IF(COUNTIFS($D$7:$D$156,$D153,$C$7:$C$156,"Winner")&gt;1,"More than one "&amp;$D153&amp;" winner picked",IF(AND($C153="Winner",COUNTIFS($D$7:$D$156,$D153,$B$7:$B$156,"&lt;"&amp;$B153)&gt;0),"The winner doesn't have the best "&amp;$D153&amp;" score",IF(AND($B$2="Final",COUNTIFS($D$7:$D$156,$D153,$C$7:$C$156,"Winner")=0),"Final: pick the "&amp;$D153&amp;" winner",IF($B$2="Not started","Set Status to In progress to count points","OK"))))))))</f>
        <v/>
      </c>
      <c r="J153" s="11">
        <f>IF(OR($A153="",NOT(ISNUMBER($B153))),"",IF($C153="Winner",1,COUNTIFS($D$7:$D$156,$D153,$B$7:$B$156,$B153)-IF(AND(NOT($C153="Winner"),COUNTIFS($D$7:$D$156,$D153,$C$7:$C$156,"Winner",$B$7:$B$156,$B153)&gt;0),1,0)))</f>
        <v/>
      </c>
    </row>
    <row r="154">
      <c r="D154" s="11">
        <f>IF($A154="","",IFERROR(IF(VLOOKUP($A154,Players!$A$2:$B$500,2,FALSE)="","Open",VLOOKUP($A154,Players!$A$2:$B$500,2,FALSE)),"Open"))</f>
        <v/>
      </c>
      <c r="E154" s="11">
        <f>IF(OR($A154="",NOT(ISNUMBER($B154))),"",IF($C154="Winner",1,COUNTIFS($D$7:$D$156,$D154,$B$7:$B$156,"&lt;"&amp;$B154)+1+IF(AND(NOT($C154="Winner"),COUNTIFS($D$7:$D$156,$D154,$C$7:$C$156,"Winner",$B$7:$B$156,$B154)&gt;0),1,0)))</f>
        <v/>
      </c>
      <c r="F154" s="11">
        <f>IF(OR($A154="",NOT(ISNUMBER($B154))),"",COUNTIFS($D$7:$D$156,$D154,$B$7:$B$156,"&gt;0"))</f>
        <v/>
      </c>
      <c r="G154" s="11">
        <f>IF(OR(OR($A154="",NOT(ISNUMBER($B154))),$B$2="Not started"),"",IF($C154="Winner",Points!$B$3,ROUND(Points!$B$3*IF($F154&lt;=1,1,Points!$H$7+(1-Points!$H$7)*((($F154-$E154)*(($F154-$E154)+1)/2)^2-((($F154-$E154-$J154+1)-1)*($F154-$E154-$J154+1)/2)^2)/($J154*($F154-1)^3)),0)))</f>
        <v/>
      </c>
      <c r="H154" s="11">
        <f>IF($A154="","",IF($B$2="Final","Final",IF($B$2="In progress","Projected","Not started")))</f>
        <v/>
      </c>
      <c r="I154" s="11">
        <f>IF($A154="","",IF(COUNTIF(Players!$A$2:$A$500,$A154)=0,"Player is not on the Players tab",IF(COUNTIF($A$7:$A$156,$A154)&gt;1,"Player is listed twice",IF(NOT(ISNUMBER($B154)),"Enter a score",IF(COUNTIFS($D$7:$D$156,$D154,$C$7:$C$156,"Winner")&gt;1,"More than one "&amp;$D154&amp;" winner picked",IF(AND($C154="Winner",COUNTIFS($D$7:$D$156,$D154,$B$7:$B$156,"&lt;"&amp;$B154)&gt;0),"The winner doesn't have the best "&amp;$D154&amp;" score",IF(AND($B$2="Final",COUNTIFS($D$7:$D$156,$D154,$C$7:$C$156,"Winner")=0),"Final: pick the "&amp;$D154&amp;" winner",IF($B$2="Not started","Set Status to In progress to count points","OK"))))))))</f>
        <v/>
      </c>
      <c r="J154" s="11">
        <f>IF(OR($A154="",NOT(ISNUMBER($B154))),"",IF($C154="Winner",1,COUNTIFS($D$7:$D$156,$D154,$B$7:$B$156,$B154)-IF(AND(NOT($C154="Winner"),COUNTIFS($D$7:$D$156,$D154,$C$7:$C$156,"Winner",$B$7:$B$156,$B154)&gt;0),1,0)))</f>
        <v/>
      </c>
    </row>
    <row r="155">
      <c r="D155" s="11">
        <f>IF($A155="","",IFERROR(IF(VLOOKUP($A155,Players!$A$2:$B$500,2,FALSE)="","Open",VLOOKUP($A155,Players!$A$2:$B$500,2,FALSE)),"Open"))</f>
        <v/>
      </c>
      <c r="E155" s="11">
        <f>IF(OR($A155="",NOT(ISNUMBER($B155))),"",IF($C155="Winner",1,COUNTIFS($D$7:$D$156,$D155,$B$7:$B$156,"&lt;"&amp;$B155)+1+IF(AND(NOT($C155="Winner"),COUNTIFS($D$7:$D$156,$D155,$C$7:$C$156,"Winner",$B$7:$B$156,$B155)&gt;0),1,0)))</f>
        <v/>
      </c>
      <c r="F155" s="11">
        <f>IF(OR($A155="",NOT(ISNUMBER($B155))),"",COUNTIFS($D$7:$D$156,$D155,$B$7:$B$156,"&gt;0"))</f>
        <v/>
      </c>
      <c r="G155" s="11">
        <f>IF(OR(OR($A155="",NOT(ISNUMBER($B155))),$B$2="Not started"),"",IF($C155="Winner",Points!$B$3,ROUND(Points!$B$3*IF($F155&lt;=1,1,Points!$H$7+(1-Points!$H$7)*((($F155-$E155)*(($F155-$E155)+1)/2)^2-((($F155-$E155-$J155+1)-1)*($F155-$E155-$J155+1)/2)^2)/($J155*($F155-1)^3)),0)))</f>
        <v/>
      </c>
      <c r="H155" s="11">
        <f>IF($A155="","",IF($B$2="Final","Final",IF($B$2="In progress","Projected","Not started")))</f>
        <v/>
      </c>
      <c r="I155" s="11">
        <f>IF($A155="","",IF(COUNTIF(Players!$A$2:$A$500,$A155)=0,"Player is not on the Players tab",IF(COUNTIF($A$7:$A$156,$A155)&gt;1,"Player is listed twice",IF(NOT(ISNUMBER($B155)),"Enter a score",IF(COUNTIFS($D$7:$D$156,$D155,$C$7:$C$156,"Winner")&gt;1,"More than one "&amp;$D155&amp;" winner picked",IF(AND($C155="Winner",COUNTIFS($D$7:$D$156,$D155,$B$7:$B$156,"&lt;"&amp;$B155)&gt;0),"The winner doesn't have the best "&amp;$D155&amp;" score",IF(AND($B$2="Final",COUNTIFS($D$7:$D$156,$D155,$C$7:$C$156,"Winner")=0),"Final: pick the "&amp;$D155&amp;" winner",IF($B$2="Not started","Set Status to In progress to count points","OK"))))))))</f>
        <v/>
      </c>
      <c r="J155" s="11">
        <f>IF(OR($A155="",NOT(ISNUMBER($B155))),"",IF($C155="Winner",1,COUNTIFS($D$7:$D$156,$D155,$B$7:$B$156,$B155)-IF(AND(NOT($C155="Winner"),COUNTIFS($D$7:$D$156,$D155,$C$7:$C$156,"Winner",$B$7:$B$156,$B155)&gt;0),1,0)))</f>
        <v/>
      </c>
    </row>
    <row r="156">
      <c r="D156" s="11">
        <f>IF($A156="","",IFERROR(IF(VLOOKUP($A156,Players!$A$2:$B$500,2,FALSE)="","Open",VLOOKUP($A156,Players!$A$2:$B$500,2,FALSE)),"Open"))</f>
        <v/>
      </c>
      <c r="E156" s="11">
        <f>IF(OR($A156="",NOT(ISNUMBER($B156))),"",IF($C156="Winner",1,COUNTIFS($D$7:$D$156,$D156,$B$7:$B$156,"&lt;"&amp;$B156)+1+IF(AND(NOT($C156="Winner"),COUNTIFS($D$7:$D$156,$D156,$C$7:$C$156,"Winner",$B$7:$B$156,$B156)&gt;0),1,0)))</f>
        <v/>
      </c>
      <c r="F156" s="11">
        <f>IF(OR($A156="",NOT(ISNUMBER($B156))),"",COUNTIFS($D$7:$D$156,$D156,$B$7:$B$156,"&gt;0"))</f>
        <v/>
      </c>
      <c r="G156" s="11">
        <f>IF(OR(OR($A156="",NOT(ISNUMBER($B156))),$B$2="Not started"),"",IF($C156="Winner",Points!$B$3,ROUND(Points!$B$3*IF($F156&lt;=1,1,Points!$H$7+(1-Points!$H$7)*((($F156-$E156)*(($F156-$E156)+1)/2)^2-((($F156-$E156-$J156+1)-1)*($F156-$E156-$J156+1)/2)^2)/($J156*($F156-1)^3)),0)))</f>
        <v/>
      </c>
      <c r="H156" s="11">
        <f>IF($A156="","",IF($B$2="Final","Final",IF($B$2="In progress","Projected","Not started")))</f>
        <v/>
      </c>
      <c r="I156" s="11">
        <f>IF($A156="","",IF(COUNTIF(Players!$A$2:$A$500,$A156)=0,"Player is not on the Players tab",IF(COUNTIF($A$7:$A$156,$A156)&gt;1,"Player is listed twice",IF(NOT(ISNUMBER($B156)),"Enter a score",IF(COUNTIFS($D$7:$D$156,$D156,$C$7:$C$156,"Winner")&gt;1,"More than one "&amp;$D156&amp;" winner picked",IF(AND($C156="Winner",COUNTIFS($D$7:$D$156,$D156,$B$7:$B$156,"&lt;"&amp;$B156)&gt;0),"The winner doesn't have the best "&amp;$D156&amp;" score",IF(AND($B$2="Final",COUNTIFS($D$7:$D$156,$D156,$C$7:$C$156,"Winner")=0),"Final: pick the "&amp;$D156&amp;" winner",IF($B$2="Not started","Set Status to In progress to count points","OK"))))))))</f>
        <v/>
      </c>
      <c r="J156" s="11">
        <f>IF(OR($A156="",NOT(ISNUMBER($B156))),"",IF($C156="Winner",1,COUNTIFS($D$7:$D$156,$D156,$B$7:$B$156,$B156)-IF(AND(NOT($C156="Winner"),COUNTIFS($D$7:$D$156,$D156,$C$7:$C$156,"Winner",$B$7:$B$156,$B156)&gt;0),1,0)))</f>
        <v/>
      </c>
    </row>
  </sheetData>
  <conditionalFormatting sqref="I7:I156">
    <cfRule type="expression" priority="1" dxfId="0">
      <formula>AND($I7&lt;&gt;"",$I7&lt;&gt;"OK")</formula>
    </cfRule>
  </conditionalFormatting>
  <dataValidations count="4">
    <dataValidation sqref="B2" showDropDown="0" showInputMessage="0" showErrorMessage="1" allowBlank="1" errorTitle="Not on the list" error="Pick a value from the list." type="list">
      <formula1>"Not started,In progress,Final"</formula1>
    </dataValidation>
    <dataValidation sqref="A7:A156" showDropDown="0" showInputMessage="0" showErrorMessage="1" allowBlank="1" errorTitle="Not on the list" error="Pick a player from the list. New players go on the Players tab first." type="list">
      <formula1>Players!$A$2:$A$500</formula1>
    </dataValidation>
    <dataValidation sqref="B7:B156" showDropDown="0" showInputMessage="0" showErrorMessage="1" allowBlank="1" errorTitle="Strokes only" error="Enter the score in strokes, for example 72." type="whole" operator="between">
      <formula1>1</formula1>
      <formula2>200</formula2>
    </dataValidation>
    <dataValidation sqref="C7:C156" showDropDown="0" showInputMessage="0" showErrorMessage="1" allowBlank="1" errorTitle="Not on the list" error="Pick Winner, or leave it blank." type="list">
      <formula1>"Winner"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56"/>
  <sheetViews>
    <sheetView workbookViewId="0">
      <pane ySplit="6" topLeftCell="A7" activePane="bottomLeft" state="frozen"/>
      <selection pane="bottomLeft" activeCell="A1" sqref="A1"/>
    </sheetView>
  </sheetViews>
  <sheetFormatPr baseColWidth="8" defaultRowHeight="15"/>
  <cols>
    <col width="24" customWidth="1" min="1" max="1"/>
    <col width="12" customWidth="1" min="2" max="2"/>
    <col width="10" customWidth="1" min="3" max="3"/>
    <col width="10" customWidth="1" min="4" max="4"/>
    <col width="8" customWidth="1" min="5" max="5"/>
    <col width="8" customWidth="1" min="6" max="6"/>
    <col width="9" customWidth="1" min="7" max="7"/>
    <col width="11" customWidth="1" min="8" max="8"/>
    <col width="40" customWidth="1" min="9" max="9"/>
    <col hidden="1" width="6" customWidth="1" min="10" max="10"/>
  </cols>
  <sheetData>
    <row r="1">
      <c r="A1" s="7" t="inlineStr">
        <is>
          <t>The Open</t>
        </is>
      </c>
      <c r="D1" s="6" t="inlineStr">
        <is>
          <t>One row per player. Enter their best score so far in strokes; type over it when they beat it.</t>
        </is>
      </c>
    </row>
    <row r="2">
      <c r="A2" s="5" t="inlineStr">
        <is>
          <t>Status</t>
        </is>
      </c>
      <c r="B2" s="8" t="inlineStr">
        <is>
          <t>Not started</t>
        </is>
      </c>
      <c r="C2" s="6" t="inlineStr">
        <is>
          <t>In progress: points are projected from the leaderboard. Final: points are official and the scores lock.</t>
        </is>
      </c>
    </row>
    <row r="3">
      <c r="A3" s="5" t="inlineStr">
        <is>
          <t>End date</t>
        </is>
      </c>
      <c r="B3" s="9" t="n"/>
    </row>
    <row r="4">
      <c r="A4" s="6" t="inlineStr">
        <is>
          <t>Division comes from the Players tab. Open and Senior are ranked separately. Pick one Winner per division; anyone tied with the winner is scored from 2nd place down.</t>
        </is>
      </c>
    </row>
    <row r="6" ht="30" customHeight="1">
      <c r="A6" s="4" t="inlineStr">
        <is>
          <t>Player</t>
        </is>
      </c>
      <c r="B6" s="4" t="inlineStr">
        <is>
          <t>Best Score (strokes)</t>
        </is>
      </c>
      <c r="C6" s="4" t="inlineStr">
        <is>
          <t>Winner</t>
        </is>
      </c>
      <c r="D6" s="10" t="inlineStr">
        <is>
          <t>Division</t>
        </is>
      </c>
      <c r="E6" s="10" t="inlineStr">
        <is>
          <t>Rank</t>
        </is>
      </c>
      <c r="F6" s="10" t="inlineStr">
        <is>
          <t>Field</t>
        </is>
      </c>
      <c r="G6" s="10" t="inlineStr">
        <is>
          <t>Points</t>
        </is>
      </c>
      <c r="H6" s="10" t="inlineStr">
        <is>
          <t>Status</t>
        </is>
      </c>
      <c r="I6" s="10" t="inlineStr">
        <is>
          <t>Check</t>
        </is>
      </c>
      <c r="J6" s="10" t="inlineStr">
        <is>
          <t>Tied</t>
        </is>
      </c>
    </row>
    <row r="7">
      <c r="D7" s="11">
        <f>IF($A7="","",IFERROR(IF(VLOOKUP($A7,Players!$A$2:$B$500,2,FALSE)="","Open",VLOOKUP($A7,Players!$A$2:$B$500,2,FALSE)),"Open"))</f>
        <v/>
      </c>
      <c r="E7" s="11">
        <f>IF(OR($A7="",NOT(ISNUMBER($B7))),"",IF($C7="Winner",1,COUNTIFS($D$7:$D$156,$D7,$B$7:$B$156,"&lt;"&amp;$B7)+1+IF(AND(NOT($C7="Winner"),COUNTIFS($D$7:$D$156,$D7,$C$7:$C$156,"Winner",$B$7:$B$156,$B7)&gt;0),1,0)))</f>
        <v/>
      </c>
      <c r="F7" s="11">
        <f>IF(OR($A7="",NOT(ISNUMBER($B7))),"",COUNTIFS($D$7:$D$156,$D7,$B$7:$B$156,"&gt;0"))</f>
        <v/>
      </c>
      <c r="G7" s="11">
        <f>IF(OR(OR($A7="",NOT(ISNUMBER($B7))),$B$2="Not started"),"",IF($C7="Winner",Points!$B$3,ROUND(Points!$B$3*IF($F7&lt;=1,1,Points!$H$7+(1-Points!$H$7)*((($F7-$E7)*(($F7-$E7)+1)/2)^2-((($F7-$E7-$J7+1)-1)*($F7-$E7-$J7+1)/2)^2)/($J7*($F7-1)^3)),0)))</f>
        <v/>
      </c>
      <c r="H7" s="11">
        <f>IF($A7="","",IF($B$2="Final","Final",IF($B$2="In progress","Projected","Not started")))</f>
        <v/>
      </c>
      <c r="I7" s="11">
        <f>IF($A7="","",IF(COUNTIF(Players!$A$2:$A$500,$A7)=0,"Player is not on the Players tab",IF(COUNTIF($A$7:$A$156,$A7)&gt;1,"Player is listed twice",IF(NOT(ISNUMBER($B7)),"Enter a score",IF(COUNTIFS($D$7:$D$156,$D7,$C$7:$C$156,"Winner")&gt;1,"More than one "&amp;$D7&amp;" winner picked",IF(AND($C7="Winner",COUNTIFS($D$7:$D$156,$D7,$B$7:$B$156,"&lt;"&amp;$B7)&gt;0),"The winner doesn't have the best "&amp;$D7&amp;" score",IF(AND($B$2="Final",COUNTIFS($D$7:$D$156,$D7,$C$7:$C$156,"Winner")=0),"Final: pick the "&amp;$D7&amp;" winner",IF($B$2="Not started","Set Status to In progress to count points","OK"))))))))</f>
        <v/>
      </c>
      <c r="J7" s="11">
        <f>IF(OR($A7="",NOT(ISNUMBER($B7))),"",IF($C7="Winner",1,COUNTIFS($D$7:$D$156,$D7,$B$7:$B$156,$B7)-IF(AND(NOT($C7="Winner"),COUNTIFS($D$7:$D$156,$D7,$C$7:$C$156,"Winner",$B$7:$B$156,$B7)&gt;0),1,0)))</f>
        <v/>
      </c>
    </row>
    <row r="8">
      <c r="D8" s="11">
        <f>IF($A8="","",IFERROR(IF(VLOOKUP($A8,Players!$A$2:$B$500,2,FALSE)="","Open",VLOOKUP($A8,Players!$A$2:$B$500,2,FALSE)),"Open"))</f>
        <v/>
      </c>
      <c r="E8" s="11">
        <f>IF(OR($A8="",NOT(ISNUMBER($B8))),"",IF($C8="Winner",1,COUNTIFS($D$7:$D$156,$D8,$B$7:$B$156,"&lt;"&amp;$B8)+1+IF(AND(NOT($C8="Winner"),COUNTIFS($D$7:$D$156,$D8,$C$7:$C$156,"Winner",$B$7:$B$156,$B8)&gt;0),1,0)))</f>
        <v/>
      </c>
      <c r="F8" s="11">
        <f>IF(OR($A8="",NOT(ISNUMBER($B8))),"",COUNTIFS($D$7:$D$156,$D8,$B$7:$B$156,"&gt;0"))</f>
        <v/>
      </c>
      <c r="G8" s="11">
        <f>IF(OR(OR($A8="",NOT(ISNUMBER($B8))),$B$2="Not started"),"",IF($C8="Winner",Points!$B$3,ROUND(Points!$B$3*IF($F8&lt;=1,1,Points!$H$7+(1-Points!$H$7)*((($F8-$E8)*(($F8-$E8)+1)/2)^2-((($F8-$E8-$J8+1)-1)*($F8-$E8-$J8+1)/2)^2)/($J8*($F8-1)^3)),0)))</f>
        <v/>
      </c>
      <c r="H8" s="11">
        <f>IF($A8="","",IF($B$2="Final","Final",IF($B$2="In progress","Projected","Not started")))</f>
        <v/>
      </c>
      <c r="I8" s="11">
        <f>IF($A8="","",IF(COUNTIF(Players!$A$2:$A$500,$A8)=0,"Player is not on the Players tab",IF(COUNTIF($A$7:$A$156,$A8)&gt;1,"Player is listed twice",IF(NOT(ISNUMBER($B8)),"Enter a score",IF(COUNTIFS($D$7:$D$156,$D8,$C$7:$C$156,"Winner")&gt;1,"More than one "&amp;$D8&amp;" winner picked",IF(AND($C8="Winner",COUNTIFS($D$7:$D$156,$D8,$B$7:$B$156,"&lt;"&amp;$B8)&gt;0),"The winner doesn't have the best "&amp;$D8&amp;" score",IF(AND($B$2="Final",COUNTIFS($D$7:$D$156,$D8,$C$7:$C$156,"Winner")=0),"Final: pick the "&amp;$D8&amp;" winner",IF($B$2="Not started","Set Status to In progress to count points","OK"))))))))</f>
        <v/>
      </c>
      <c r="J8" s="11">
        <f>IF(OR($A8="",NOT(ISNUMBER($B8))),"",IF($C8="Winner",1,COUNTIFS($D$7:$D$156,$D8,$B$7:$B$156,$B8)-IF(AND(NOT($C8="Winner"),COUNTIFS($D$7:$D$156,$D8,$C$7:$C$156,"Winner",$B$7:$B$156,$B8)&gt;0),1,0)))</f>
        <v/>
      </c>
    </row>
    <row r="9">
      <c r="D9" s="11">
        <f>IF($A9="","",IFERROR(IF(VLOOKUP($A9,Players!$A$2:$B$500,2,FALSE)="","Open",VLOOKUP($A9,Players!$A$2:$B$500,2,FALSE)),"Open"))</f>
        <v/>
      </c>
      <c r="E9" s="11">
        <f>IF(OR($A9="",NOT(ISNUMBER($B9))),"",IF($C9="Winner",1,COUNTIFS($D$7:$D$156,$D9,$B$7:$B$156,"&lt;"&amp;$B9)+1+IF(AND(NOT($C9="Winner"),COUNTIFS($D$7:$D$156,$D9,$C$7:$C$156,"Winner",$B$7:$B$156,$B9)&gt;0),1,0)))</f>
        <v/>
      </c>
      <c r="F9" s="11">
        <f>IF(OR($A9="",NOT(ISNUMBER($B9))),"",COUNTIFS($D$7:$D$156,$D9,$B$7:$B$156,"&gt;0"))</f>
        <v/>
      </c>
      <c r="G9" s="11">
        <f>IF(OR(OR($A9="",NOT(ISNUMBER($B9))),$B$2="Not started"),"",IF($C9="Winner",Points!$B$3,ROUND(Points!$B$3*IF($F9&lt;=1,1,Points!$H$7+(1-Points!$H$7)*((($F9-$E9)*(($F9-$E9)+1)/2)^2-((($F9-$E9-$J9+1)-1)*($F9-$E9-$J9+1)/2)^2)/($J9*($F9-1)^3)),0)))</f>
        <v/>
      </c>
      <c r="H9" s="11">
        <f>IF($A9="","",IF($B$2="Final","Final",IF($B$2="In progress","Projected","Not started")))</f>
        <v/>
      </c>
      <c r="I9" s="11">
        <f>IF($A9="","",IF(COUNTIF(Players!$A$2:$A$500,$A9)=0,"Player is not on the Players tab",IF(COUNTIF($A$7:$A$156,$A9)&gt;1,"Player is listed twice",IF(NOT(ISNUMBER($B9)),"Enter a score",IF(COUNTIFS($D$7:$D$156,$D9,$C$7:$C$156,"Winner")&gt;1,"More than one "&amp;$D9&amp;" winner picked",IF(AND($C9="Winner",COUNTIFS($D$7:$D$156,$D9,$B$7:$B$156,"&lt;"&amp;$B9)&gt;0),"The winner doesn't have the best "&amp;$D9&amp;" score",IF(AND($B$2="Final",COUNTIFS($D$7:$D$156,$D9,$C$7:$C$156,"Winner")=0),"Final: pick the "&amp;$D9&amp;" winner",IF($B$2="Not started","Set Status to In progress to count points","OK"))))))))</f>
        <v/>
      </c>
      <c r="J9" s="11">
        <f>IF(OR($A9="",NOT(ISNUMBER($B9))),"",IF($C9="Winner",1,COUNTIFS($D$7:$D$156,$D9,$B$7:$B$156,$B9)-IF(AND(NOT($C9="Winner"),COUNTIFS($D$7:$D$156,$D9,$C$7:$C$156,"Winner",$B$7:$B$156,$B9)&gt;0),1,0)))</f>
        <v/>
      </c>
    </row>
    <row r="10">
      <c r="D10" s="11">
        <f>IF($A10="","",IFERROR(IF(VLOOKUP($A10,Players!$A$2:$B$500,2,FALSE)="","Open",VLOOKUP($A10,Players!$A$2:$B$500,2,FALSE)),"Open"))</f>
        <v/>
      </c>
      <c r="E10" s="11">
        <f>IF(OR($A10="",NOT(ISNUMBER($B10))),"",IF($C10="Winner",1,COUNTIFS($D$7:$D$156,$D10,$B$7:$B$156,"&lt;"&amp;$B10)+1+IF(AND(NOT($C10="Winner"),COUNTIFS($D$7:$D$156,$D10,$C$7:$C$156,"Winner",$B$7:$B$156,$B10)&gt;0),1,0)))</f>
        <v/>
      </c>
      <c r="F10" s="11">
        <f>IF(OR($A10="",NOT(ISNUMBER($B10))),"",COUNTIFS($D$7:$D$156,$D10,$B$7:$B$156,"&gt;0"))</f>
        <v/>
      </c>
      <c r="G10" s="11">
        <f>IF(OR(OR($A10="",NOT(ISNUMBER($B10))),$B$2="Not started"),"",IF($C10="Winner",Points!$B$3,ROUND(Points!$B$3*IF($F10&lt;=1,1,Points!$H$7+(1-Points!$H$7)*((($F10-$E10)*(($F10-$E10)+1)/2)^2-((($F10-$E10-$J10+1)-1)*($F10-$E10-$J10+1)/2)^2)/($J10*($F10-1)^3)),0)))</f>
        <v/>
      </c>
      <c r="H10" s="11">
        <f>IF($A10="","",IF($B$2="Final","Final",IF($B$2="In progress","Projected","Not started")))</f>
        <v/>
      </c>
      <c r="I10" s="11">
        <f>IF($A10="","",IF(COUNTIF(Players!$A$2:$A$500,$A10)=0,"Player is not on the Players tab",IF(COUNTIF($A$7:$A$156,$A10)&gt;1,"Player is listed twice",IF(NOT(ISNUMBER($B10)),"Enter a score",IF(COUNTIFS($D$7:$D$156,$D10,$C$7:$C$156,"Winner")&gt;1,"More than one "&amp;$D10&amp;" winner picked",IF(AND($C10="Winner",COUNTIFS($D$7:$D$156,$D10,$B$7:$B$156,"&lt;"&amp;$B10)&gt;0),"The winner doesn't have the best "&amp;$D10&amp;" score",IF(AND($B$2="Final",COUNTIFS($D$7:$D$156,$D10,$C$7:$C$156,"Winner")=0),"Final: pick the "&amp;$D10&amp;" winner",IF($B$2="Not started","Set Status to In progress to count points","OK"))))))))</f>
        <v/>
      </c>
      <c r="J10" s="11">
        <f>IF(OR($A10="",NOT(ISNUMBER($B10))),"",IF($C10="Winner",1,COUNTIFS($D$7:$D$156,$D10,$B$7:$B$156,$B10)-IF(AND(NOT($C10="Winner"),COUNTIFS($D$7:$D$156,$D10,$C$7:$C$156,"Winner",$B$7:$B$156,$B10)&gt;0),1,0)))</f>
        <v/>
      </c>
    </row>
    <row r="11">
      <c r="D11" s="11">
        <f>IF($A11="","",IFERROR(IF(VLOOKUP($A11,Players!$A$2:$B$500,2,FALSE)="","Open",VLOOKUP($A11,Players!$A$2:$B$500,2,FALSE)),"Open"))</f>
        <v/>
      </c>
      <c r="E11" s="11">
        <f>IF(OR($A11="",NOT(ISNUMBER($B11))),"",IF($C11="Winner",1,COUNTIFS($D$7:$D$156,$D11,$B$7:$B$156,"&lt;"&amp;$B11)+1+IF(AND(NOT($C11="Winner"),COUNTIFS($D$7:$D$156,$D11,$C$7:$C$156,"Winner",$B$7:$B$156,$B11)&gt;0),1,0)))</f>
        <v/>
      </c>
      <c r="F11" s="11">
        <f>IF(OR($A11="",NOT(ISNUMBER($B11))),"",COUNTIFS($D$7:$D$156,$D11,$B$7:$B$156,"&gt;0"))</f>
        <v/>
      </c>
      <c r="G11" s="11">
        <f>IF(OR(OR($A11="",NOT(ISNUMBER($B11))),$B$2="Not started"),"",IF($C11="Winner",Points!$B$3,ROUND(Points!$B$3*IF($F11&lt;=1,1,Points!$H$7+(1-Points!$H$7)*((($F11-$E11)*(($F11-$E11)+1)/2)^2-((($F11-$E11-$J11+1)-1)*($F11-$E11-$J11+1)/2)^2)/($J11*($F11-1)^3)),0)))</f>
        <v/>
      </c>
      <c r="H11" s="11">
        <f>IF($A11="","",IF($B$2="Final","Final",IF($B$2="In progress","Projected","Not started")))</f>
        <v/>
      </c>
      <c r="I11" s="11">
        <f>IF($A11="","",IF(COUNTIF(Players!$A$2:$A$500,$A11)=0,"Player is not on the Players tab",IF(COUNTIF($A$7:$A$156,$A11)&gt;1,"Player is listed twice",IF(NOT(ISNUMBER($B11)),"Enter a score",IF(COUNTIFS($D$7:$D$156,$D11,$C$7:$C$156,"Winner")&gt;1,"More than one "&amp;$D11&amp;" winner picked",IF(AND($C11="Winner",COUNTIFS($D$7:$D$156,$D11,$B$7:$B$156,"&lt;"&amp;$B11)&gt;0),"The winner doesn't have the best "&amp;$D11&amp;" score",IF(AND($B$2="Final",COUNTIFS($D$7:$D$156,$D11,$C$7:$C$156,"Winner")=0),"Final: pick the "&amp;$D11&amp;" winner",IF($B$2="Not started","Set Status to In progress to count points","OK"))))))))</f>
        <v/>
      </c>
      <c r="J11" s="11">
        <f>IF(OR($A11="",NOT(ISNUMBER($B11))),"",IF($C11="Winner",1,COUNTIFS($D$7:$D$156,$D11,$B$7:$B$156,$B11)-IF(AND(NOT($C11="Winner"),COUNTIFS($D$7:$D$156,$D11,$C$7:$C$156,"Winner",$B$7:$B$156,$B11)&gt;0),1,0)))</f>
        <v/>
      </c>
    </row>
    <row r="12">
      <c r="D12" s="11">
        <f>IF($A12="","",IFERROR(IF(VLOOKUP($A12,Players!$A$2:$B$500,2,FALSE)="","Open",VLOOKUP($A12,Players!$A$2:$B$500,2,FALSE)),"Open"))</f>
        <v/>
      </c>
      <c r="E12" s="11">
        <f>IF(OR($A12="",NOT(ISNUMBER($B12))),"",IF($C12="Winner",1,COUNTIFS($D$7:$D$156,$D12,$B$7:$B$156,"&lt;"&amp;$B12)+1+IF(AND(NOT($C12="Winner"),COUNTIFS($D$7:$D$156,$D12,$C$7:$C$156,"Winner",$B$7:$B$156,$B12)&gt;0),1,0)))</f>
        <v/>
      </c>
      <c r="F12" s="11">
        <f>IF(OR($A12="",NOT(ISNUMBER($B12))),"",COUNTIFS($D$7:$D$156,$D12,$B$7:$B$156,"&gt;0"))</f>
        <v/>
      </c>
      <c r="G12" s="11">
        <f>IF(OR(OR($A12="",NOT(ISNUMBER($B12))),$B$2="Not started"),"",IF($C12="Winner",Points!$B$3,ROUND(Points!$B$3*IF($F12&lt;=1,1,Points!$H$7+(1-Points!$H$7)*((($F12-$E12)*(($F12-$E12)+1)/2)^2-((($F12-$E12-$J12+1)-1)*($F12-$E12-$J12+1)/2)^2)/($J12*($F12-1)^3)),0)))</f>
        <v/>
      </c>
      <c r="H12" s="11">
        <f>IF($A12="","",IF($B$2="Final","Final",IF($B$2="In progress","Projected","Not started")))</f>
        <v/>
      </c>
      <c r="I12" s="11">
        <f>IF($A12="","",IF(COUNTIF(Players!$A$2:$A$500,$A12)=0,"Player is not on the Players tab",IF(COUNTIF($A$7:$A$156,$A12)&gt;1,"Player is listed twice",IF(NOT(ISNUMBER($B12)),"Enter a score",IF(COUNTIFS($D$7:$D$156,$D12,$C$7:$C$156,"Winner")&gt;1,"More than one "&amp;$D12&amp;" winner picked",IF(AND($C12="Winner",COUNTIFS($D$7:$D$156,$D12,$B$7:$B$156,"&lt;"&amp;$B12)&gt;0),"The winner doesn't have the best "&amp;$D12&amp;" score",IF(AND($B$2="Final",COUNTIFS($D$7:$D$156,$D12,$C$7:$C$156,"Winner")=0),"Final: pick the "&amp;$D12&amp;" winner",IF($B$2="Not started","Set Status to In progress to count points","OK"))))))))</f>
        <v/>
      </c>
      <c r="J12" s="11">
        <f>IF(OR($A12="",NOT(ISNUMBER($B12))),"",IF($C12="Winner",1,COUNTIFS($D$7:$D$156,$D12,$B$7:$B$156,$B12)-IF(AND(NOT($C12="Winner"),COUNTIFS($D$7:$D$156,$D12,$C$7:$C$156,"Winner",$B$7:$B$156,$B12)&gt;0),1,0)))</f>
        <v/>
      </c>
    </row>
    <row r="13">
      <c r="D13" s="11">
        <f>IF($A13="","",IFERROR(IF(VLOOKUP($A13,Players!$A$2:$B$500,2,FALSE)="","Open",VLOOKUP($A13,Players!$A$2:$B$500,2,FALSE)),"Open"))</f>
        <v/>
      </c>
      <c r="E13" s="11">
        <f>IF(OR($A13="",NOT(ISNUMBER($B13))),"",IF($C13="Winner",1,COUNTIFS($D$7:$D$156,$D13,$B$7:$B$156,"&lt;"&amp;$B13)+1+IF(AND(NOT($C13="Winner"),COUNTIFS($D$7:$D$156,$D13,$C$7:$C$156,"Winner",$B$7:$B$156,$B13)&gt;0),1,0)))</f>
        <v/>
      </c>
      <c r="F13" s="11">
        <f>IF(OR($A13="",NOT(ISNUMBER($B13))),"",COUNTIFS($D$7:$D$156,$D13,$B$7:$B$156,"&gt;0"))</f>
        <v/>
      </c>
      <c r="G13" s="11">
        <f>IF(OR(OR($A13="",NOT(ISNUMBER($B13))),$B$2="Not started"),"",IF($C13="Winner",Points!$B$3,ROUND(Points!$B$3*IF($F13&lt;=1,1,Points!$H$7+(1-Points!$H$7)*((($F13-$E13)*(($F13-$E13)+1)/2)^2-((($F13-$E13-$J13+1)-1)*($F13-$E13-$J13+1)/2)^2)/($J13*($F13-1)^3)),0)))</f>
        <v/>
      </c>
      <c r="H13" s="11">
        <f>IF($A13="","",IF($B$2="Final","Final",IF($B$2="In progress","Projected","Not started")))</f>
        <v/>
      </c>
      <c r="I13" s="11">
        <f>IF($A13="","",IF(COUNTIF(Players!$A$2:$A$500,$A13)=0,"Player is not on the Players tab",IF(COUNTIF($A$7:$A$156,$A13)&gt;1,"Player is listed twice",IF(NOT(ISNUMBER($B13)),"Enter a score",IF(COUNTIFS($D$7:$D$156,$D13,$C$7:$C$156,"Winner")&gt;1,"More than one "&amp;$D13&amp;" winner picked",IF(AND($C13="Winner",COUNTIFS($D$7:$D$156,$D13,$B$7:$B$156,"&lt;"&amp;$B13)&gt;0),"The winner doesn't have the best "&amp;$D13&amp;" score",IF(AND($B$2="Final",COUNTIFS($D$7:$D$156,$D13,$C$7:$C$156,"Winner")=0),"Final: pick the "&amp;$D13&amp;" winner",IF($B$2="Not started","Set Status to In progress to count points","OK"))))))))</f>
        <v/>
      </c>
      <c r="J13" s="11">
        <f>IF(OR($A13="",NOT(ISNUMBER($B13))),"",IF($C13="Winner",1,COUNTIFS($D$7:$D$156,$D13,$B$7:$B$156,$B13)-IF(AND(NOT($C13="Winner"),COUNTIFS($D$7:$D$156,$D13,$C$7:$C$156,"Winner",$B$7:$B$156,$B13)&gt;0),1,0)))</f>
        <v/>
      </c>
    </row>
    <row r="14">
      <c r="D14" s="11">
        <f>IF($A14="","",IFERROR(IF(VLOOKUP($A14,Players!$A$2:$B$500,2,FALSE)="","Open",VLOOKUP($A14,Players!$A$2:$B$500,2,FALSE)),"Open"))</f>
        <v/>
      </c>
      <c r="E14" s="11">
        <f>IF(OR($A14="",NOT(ISNUMBER($B14))),"",IF($C14="Winner",1,COUNTIFS($D$7:$D$156,$D14,$B$7:$B$156,"&lt;"&amp;$B14)+1+IF(AND(NOT($C14="Winner"),COUNTIFS($D$7:$D$156,$D14,$C$7:$C$156,"Winner",$B$7:$B$156,$B14)&gt;0),1,0)))</f>
        <v/>
      </c>
      <c r="F14" s="11">
        <f>IF(OR($A14="",NOT(ISNUMBER($B14))),"",COUNTIFS($D$7:$D$156,$D14,$B$7:$B$156,"&gt;0"))</f>
        <v/>
      </c>
      <c r="G14" s="11">
        <f>IF(OR(OR($A14="",NOT(ISNUMBER($B14))),$B$2="Not started"),"",IF($C14="Winner",Points!$B$3,ROUND(Points!$B$3*IF($F14&lt;=1,1,Points!$H$7+(1-Points!$H$7)*((($F14-$E14)*(($F14-$E14)+1)/2)^2-((($F14-$E14-$J14+1)-1)*($F14-$E14-$J14+1)/2)^2)/($J14*($F14-1)^3)),0)))</f>
        <v/>
      </c>
      <c r="H14" s="11">
        <f>IF($A14="","",IF($B$2="Final","Final",IF($B$2="In progress","Projected","Not started")))</f>
        <v/>
      </c>
      <c r="I14" s="11">
        <f>IF($A14="","",IF(COUNTIF(Players!$A$2:$A$500,$A14)=0,"Player is not on the Players tab",IF(COUNTIF($A$7:$A$156,$A14)&gt;1,"Player is listed twice",IF(NOT(ISNUMBER($B14)),"Enter a score",IF(COUNTIFS($D$7:$D$156,$D14,$C$7:$C$156,"Winner")&gt;1,"More than one "&amp;$D14&amp;" winner picked",IF(AND($C14="Winner",COUNTIFS($D$7:$D$156,$D14,$B$7:$B$156,"&lt;"&amp;$B14)&gt;0),"The winner doesn't have the best "&amp;$D14&amp;" score",IF(AND($B$2="Final",COUNTIFS($D$7:$D$156,$D14,$C$7:$C$156,"Winner")=0),"Final: pick the "&amp;$D14&amp;" winner",IF($B$2="Not started","Set Status to In progress to count points","OK"))))))))</f>
        <v/>
      </c>
      <c r="J14" s="11">
        <f>IF(OR($A14="",NOT(ISNUMBER($B14))),"",IF($C14="Winner",1,COUNTIFS($D$7:$D$156,$D14,$B$7:$B$156,$B14)-IF(AND(NOT($C14="Winner"),COUNTIFS($D$7:$D$156,$D14,$C$7:$C$156,"Winner",$B$7:$B$156,$B14)&gt;0),1,0)))</f>
        <v/>
      </c>
    </row>
    <row r="15">
      <c r="D15" s="11">
        <f>IF($A15="","",IFERROR(IF(VLOOKUP($A15,Players!$A$2:$B$500,2,FALSE)="","Open",VLOOKUP($A15,Players!$A$2:$B$500,2,FALSE)),"Open"))</f>
        <v/>
      </c>
      <c r="E15" s="11">
        <f>IF(OR($A15="",NOT(ISNUMBER($B15))),"",IF($C15="Winner",1,COUNTIFS($D$7:$D$156,$D15,$B$7:$B$156,"&lt;"&amp;$B15)+1+IF(AND(NOT($C15="Winner"),COUNTIFS($D$7:$D$156,$D15,$C$7:$C$156,"Winner",$B$7:$B$156,$B15)&gt;0),1,0)))</f>
        <v/>
      </c>
      <c r="F15" s="11">
        <f>IF(OR($A15="",NOT(ISNUMBER($B15))),"",COUNTIFS($D$7:$D$156,$D15,$B$7:$B$156,"&gt;0"))</f>
        <v/>
      </c>
      <c r="G15" s="11">
        <f>IF(OR(OR($A15="",NOT(ISNUMBER($B15))),$B$2="Not started"),"",IF($C15="Winner",Points!$B$3,ROUND(Points!$B$3*IF($F15&lt;=1,1,Points!$H$7+(1-Points!$H$7)*((($F15-$E15)*(($F15-$E15)+1)/2)^2-((($F15-$E15-$J15+1)-1)*($F15-$E15-$J15+1)/2)^2)/($J15*($F15-1)^3)),0)))</f>
        <v/>
      </c>
      <c r="H15" s="11">
        <f>IF($A15="","",IF($B$2="Final","Final",IF($B$2="In progress","Projected","Not started")))</f>
        <v/>
      </c>
      <c r="I15" s="11">
        <f>IF($A15="","",IF(COUNTIF(Players!$A$2:$A$500,$A15)=0,"Player is not on the Players tab",IF(COUNTIF($A$7:$A$156,$A15)&gt;1,"Player is listed twice",IF(NOT(ISNUMBER($B15)),"Enter a score",IF(COUNTIFS($D$7:$D$156,$D15,$C$7:$C$156,"Winner")&gt;1,"More than one "&amp;$D15&amp;" winner picked",IF(AND($C15="Winner",COUNTIFS($D$7:$D$156,$D15,$B$7:$B$156,"&lt;"&amp;$B15)&gt;0),"The winner doesn't have the best "&amp;$D15&amp;" score",IF(AND($B$2="Final",COUNTIFS($D$7:$D$156,$D15,$C$7:$C$156,"Winner")=0),"Final: pick the "&amp;$D15&amp;" winner",IF($B$2="Not started","Set Status to In progress to count points","OK"))))))))</f>
        <v/>
      </c>
      <c r="J15" s="11">
        <f>IF(OR($A15="",NOT(ISNUMBER($B15))),"",IF($C15="Winner",1,COUNTIFS($D$7:$D$156,$D15,$B$7:$B$156,$B15)-IF(AND(NOT($C15="Winner"),COUNTIFS($D$7:$D$156,$D15,$C$7:$C$156,"Winner",$B$7:$B$156,$B15)&gt;0),1,0)))</f>
        <v/>
      </c>
    </row>
    <row r="16">
      <c r="D16" s="11">
        <f>IF($A16="","",IFERROR(IF(VLOOKUP($A16,Players!$A$2:$B$500,2,FALSE)="","Open",VLOOKUP($A16,Players!$A$2:$B$500,2,FALSE)),"Open"))</f>
        <v/>
      </c>
      <c r="E16" s="11">
        <f>IF(OR($A16="",NOT(ISNUMBER($B16))),"",IF($C16="Winner",1,COUNTIFS($D$7:$D$156,$D16,$B$7:$B$156,"&lt;"&amp;$B16)+1+IF(AND(NOT($C16="Winner"),COUNTIFS($D$7:$D$156,$D16,$C$7:$C$156,"Winner",$B$7:$B$156,$B16)&gt;0),1,0)))</f>
        <v/>
      </c>
      <c r="F16" s="11">
        <f>IF(OR($A16="",NOT(ISNUMBER($B16))),"",COUNTIFS($D$7:$D$156,$D16,$B$7:$B$156,"&gt;0"))</f>
        <v/>
      </c>
      <c r="G16" s="11">
        <f>IF(OR(OR($A16="",NOT(ISNUMBER($B16))),$B$2="Not started"),"",IF($C16="Winner",Points!$B$3,ROUND(Points!$B$3*IF($F16&lt;=1,1,Points!$H$7+(1-Points!$H$7)*((($F16-$E16)*(($F16-$E16)+1)/2)^2-((($F16-$E16-$J16+1)-1)*($F16-$E16-$J16+1)/2)^2)/($J16*($F16-1)^3)),0)))</f>
        <v/>
      </c>
      <c r="H16" s="11">
        <f>IF($A16="","",IF($B$2="Final","Final",IF($B$2="In progress","Projected","Not started")))</f>
        <v/>
      </c>
      <c r="I16" s="11">
        <f>IF($A16="","",IF(COUNTIF(Players!$A$2:$A$500,$A16)=0,"Player is not on the Players tab",IF(COUNTIF($A$7:$A$156,$A16)&gt;1,"Player is listed twice",IF(NOT(ISNUMBER($B16)),"Enter a score",IF(COUNTIFS($D$7:$D$156,$D16,$C$7:$C$156,"Winner")&gt;1,"More than one "&amp;$D16&amp;" winner picked",IF(AND($C16="Winner",COUNTIFS($D$7:$D$156,$D16,$B$7:$B$156,"&lt;"&amp;$B16)&gt;0),"The winner doesn't have the best "&amp;$D16&amp;" score",IF(AND($B$2="Final",COUNTIFS($D$7:$D$156,$D16,$C$7:$C$156,"Winner")=0),"Final: pick the "&amp;$D16&amp;" winner",IF($B$2="Not started","Set Status to In progress to count points","OK"))))))))</f>
        <v/>
      </c>
      <c r="J16" s="11">
        <f>IF(OR($A16="",NOT(ISNUMBER($B16))),"",IF($C16="Winner",1,COUNTIFS($D$7:$D$156,$D16,$B$7:$B$156,$B16)-IF(AND(NOT($C16="Winner"),COUNTIFS($D$7:$D$156,$D16,$C$7:$C$156,"Winner",$B$7:$B$156,$B16)&gt;0),1,0)))</f>
        <v/>
      </c>
    </row>
    <row r="17">
      <c r="D17" s="11">
        <f>IF($A17="","",IFERROR(IF(VLOOKUP($A17,Players!$A$2:$B$500,2,FALSE)="","Open",VLOOKUP($A17,Players!$A$2:$B$500,2,FALSE)),"Open"))</f>
        <v/>
      </c>
      <c r="E17" s="11">
        <f>IF(OR($A17="",NOT(ISNUMBER($B17))),"",IF($C17="Winner",1,COUNTIFS($D$7:$D$156,$D17,$B$7:$B$156,"&lt;"&amp;$B17)+1+IF(AND(NOT($C17="Winner"),COUNTIFS($D$7:$D$156,$D17,$C$7:$C$156,"Winner",$B$7:$B$156,$B17)&gt;0),1,0)))</f>
        <v/>
      </c>
      <c r="F17" s="11">
        <f>IF(OR($A17="",NOT(ISNUMBER($B17))),"",COUNTIFS($D$7:$D$156,$D17,$B$7:$B$156,"&gt;0"))</f>
        <v/>
      </c>
      <c r="G17" s="11">
        <f>IF(OR(OR($A17="",NOT(ISNUMBER($B17))),$B$2="Not started"),"",IF($C17="Winner",Points!$B$3,ROUND(Points!$B$3*IF($F17&lt;=1,1,Points!$H$7+(1-Points!$H$7)*((($F17-$E17)*(($F17-$E17)+1)/2)^2-((($F17-$E17-$J17+1)-1)*($F17-$E17-$J17+1)/2)^2)/($J17*($F17-1)^3)),0)))</f>
        <v/>
      </c>
      <c r="H17" s="11">
        <f>IF($A17="","",IF($B$2="Final","Final",IF($B$2="In progress","Projected","Not started")))</f>
        <v/>
      </c>
      <c r="I17" s="11">
        <f>IF($A17="","",IF(COUNTIF(Players!$A$2:$A$500,$A17)=0,"Player is not on the Players tab",IF(COUNTIF($A$7:$A$156,$A17)&gt;1,"Player is listed twice",IF(NOT(ISNUMBER($B17)),"Enter a score",IF(COUNTIFS($D$7:$D$156,$D17,$C$7:$C$156,"Winner")&gt;1,"More than one "&amp;$D17&amp;" winner picked",IF(AND($C17="Winner",COUNTIFS($D$7:$D$156,$D17,$B$7:$B$156,"&lt;"&amp;$B17)&gt;0),"The winner doesn't have the best "&amp;$D17&amp;" score",IF(AND($B$2="Final",COUNTIFS($D$7:$D$156,$D17,$C$7:$C$156,"Winner")=0),"Final: pick the "&amp;$D17&amp;" winner",IF($B$2="Not started","Set Status to In progress to count points","OK"))))))))</f>
        <v/>
      </c>
      <c r="J17" s="11">
        <f>IF(OR($A17="",NOT(ISNUMBER($B17))),"",IF($C17="Winner",1,COUNTIFS($D$7:$D$156,$D17,$B$7:$B$156,$B17)-IF(AND(NOT($C17="Winner"),COUNTIFS($D$7:$D$156,$D17,$C$7:$C$156,"Winner",$B$7:$B$156,$B17)&gt;0),1,0)))</f>
        <v/>
      </c>
    </row>
    <row r="18">
      <c r="D18" s="11">
        <f>IF($A18="","",IFERROR(IF(VLOOKUP($A18,Players!$A$2:$B$500,2,FALSE)="","Open",VLOOKUP($A18,Players!$A$2:$B$500,2,FALSE)),"Open"))</f>
        <v/>
      </c>
      <c r="E18" s="11">
        <f>IF(OR($A18="",NOT(ISNUMBER($B18))),"",IF($C18="Winner",1,COUNTIFS($D$7:$D$156,$D18,$B$7:$B$156,"&lt;"&amp;$B18)+1+IF(AND(NOT($C18="Winner"),COUNTIFS($D$7:$D$156,$D18,$C$7:$C$156,"Winner",$B$7:$B$156,$B18)&gt;0),1,0)))</f>
        <v/>
      </c>
      <c r="F18" s="11">
        <f>IF(OR($A18="",NOT(ISNUMBER($B18))),"",COUNTIFS($D$7:$D$156,$D18,$B$7:$B$156,"&gt;0"))</f>
        <v/>
      </c>
      <c r="G18" s="11">
        <f>IF(OR(OR($A18="",NOT(ISNUMBER($B18))),$B$2="Not started"),"",IF($C18="Winner",Points!$B$3,ROUND(Points!$B$3*IF($F18&lt;=1,1,Points!$H$7+(1-Points!$H$7)*((($F18-$E18)*(($F18-$E18)+1)/2)^2-((($F18-$E18-$J18+1)-1)*($F18-$E18-$J18+1)/2)^2)/($J18*($F18-1)^3)),0)))</f>
        <v/>
      </c>
      <c r="H18" s="11">
        <f>IF($A18="","",IF($B$2="Final","Final",IF($B$2="In progress","Projected","Not started")))</f>
        <v/>
      </c>
      <c r="I18" s="11">
        <f>IF($A18="","",IF(COUNTIF(Players!$A$2:$A$500,$A18)=0,"Player is not on the Players tab",IF(COUNTIF($A$7:$A$156,$A18)&gt;1,"Player is listed twice",IF(NOT(ISNUMBER($B18)),"Enter a score",IF(COUNTIFS($D$7:$D$156,$D18,$C$7:$C$156,"Winner")&gt;1,"More than one "&amp;$D18&amp;" winner picked",IF(AND($C18="Winner",COUNTIFS($D$7:$D$156,$D18,$B$7:$B$156,"&lt;"&amp;$B18)&gt;0),"The winner doesn't have the best "&amp;$D18&amp;" score",IF(AND($B$2="Final",COUNTIFS($D$7:$D$156,$D18,$C$7:$C$156,"Winner")=0),"Final: pick the "&amp;$D18&amp;" winner",IF($B$2="Not started","Set Status to In progress to count points","OK"))))))))</f>
        <v/>
      </c>
      <c r="J18" s="11">
        <f>IF(OR($A18="",NOT(ISNUMBER($B18))),"",IF($C18="Winner",1,COUNTIFS($D$7:$D$156,$D18,$B$7:$B$156,$B18)-IF(AND(NOT($C18="Winner"),COUNTIFS($D$7:$D$156,$D18,$C$7:$C$156,"Winner",$B$7:$B$156,$B18)&gt;0),1,0)))</f>
        <v/>
      </c>
    </row>
    <row r="19">
      <c r="D19" s="11">
        <f>IF($A19="","",IFERROR(IF(VLOOKUP($A19,Players!$A$2:$B$500,2,FALSE)="","Open",VLOOKUP($A19,Players!$A$2:$B$500,2,FALSE)),"Open"))</f>
        <v/>
      </c>
      <c r="E19" s="11">
        <f>IF(OR($A19="",NOT(ISNUMBER($B19))),"",IF($C19="Winner",1,COUNTIFS($D$7:$D$156,$D19,$B$7:$B$156,"&lt;"&amp;$B19)+1+IF(AND(NOT($C19="Winner"),COUNTIFS($D$7:$D$156,$D19,$C$7:$C$156,"Winner",$B$7:$B$156,$B19)&gt;0),1,0)))</f>
        <v/>
      </c>
      <c r="F19" s="11">
        <f>IF(OR($A19="",NOT(ISNUMBER($B19))),"",COUNTIFS($D$7:$D$156,$D19,$B$7:$B$156,"&gt;0"))</f>
        <v/>
      </c>
      <c r="G19" s="11">
        <f>IF(OR(OR($A19="",NOT(ISNUMBER($B19))),$B$2="Not started"),"",IF($C19="Winner",Points!$B$3,ROUND(Points!$B$3*IF($F19&lt;=1,1,Points!$H$7+(1-Points!$H$7)*((($F19-$E19)*(($F19-$E19)+1)/2)^2-((($F19-$E19-$J19+1)-1)*($F19-$E19-$J19+1)/2)^2)/($J19*($F19-1)^3)),0)))</f>
        <v/>
      </c>
      <c r="H19" s="11">
        <f>IF($A19="","",IF($B$2="Final","Final",IF($B$2="In progress","Projected","Not started")))</f>
        <v/>
      </c>
      <c r="I19" s="11">
        <f>IF($A19="","",IF(COUNTIF(Players!$A$2:$A$500,$A19)=0,"Player is not on the Players tab",IF(COUNTIF($A$7:$A$156,$A19)&gt;1,"Player is listed twice",IF(NOT(ISNUMBER($B19)),"Enter a score",IF(COUNTIFS($D$7:$D$156,$D19,$C$7:$C$156,"Winner")&gt;1,"More than one "&amp;$D19&amp;" winner picked",IF(AND($C19="Winner",COUNTIFS($D$7:$D$156,$D19,$B$7:$B$156,"&lt;"&amp;$B19)&gt;0),"The winner doesn't have the best "&amp;$D19&amp;" score",IF(AND($B$2="Final",COUNTIFS($D$7:$D$156,$D19,$C$7:$C$156,"Winner")=0),"Final: pick the "&amp;$D19&amp;" winner",IF($B$2="Not started","Set Status to In progress to count points","OK"))))))))</f>
        <v/>
      </c>
      <c r="J19" s="11">
        <f>IF(OR($A19="",NOT(ISNUMBER($B19))),"",IF($C19="Winner",1,COUNTIFS($D$7:$D$156,$D19,$B$7:$B$156,$B19)-IF(AND(NOT($C19="Winner"),COUNTIFS($D$7:$D$156,$D19,$C$7:$C$156,"Winner",$B$7:$B$156,$B19)&gt;0),1,0)))</f>
        <v/>
      </c>
    </row>
    <row r="20">
      <c r="D20" s="11">
        <f>IF($A20="","",IFERROR(IF(VLOOKUP($A20,Players!$A$2:$B$500,2,FALSE)="","Open",VLOOKUP($A20,Players!$A$2:$B$500,2,FALSE)),"Open"))</f>
        <v/>
      </c>
      <c r="E20" s="11">
        <f>IF(OR($A20="",NOT(ISNUMBER($B20))),"",IF($C20="Winner",1,COUNTIFS($D$7:$D$156,$D20,$B$7:$B$156,"&lt;"&amp;$B20)+1+IF(AND(NOT($C20="Winner"),COUNTIFS($D$7:$D$156,$D20,$C$7:$C$156,"Winner",$B$7:$B$156,$B20)&gt;0),1,0)))</f>
        <v/>
      </c>
      <c r="F20" s="11">
        <f>IF(OR($A20="",NOT(ISNUMBER($B20))),"",COUNTIFS($D$7:$D$156,$D20,$B$7:$B$156,"&gt;0"))</f>
        <v/>
      </c>
      <c r="G20" s="11">
        <f>IF(OR(OR($A20="",NOT(ISNUMBER($B20))),$B$2="Not started"),"",IF($C20="Winner",Points!$B$3,ROUND(Points!$B$3*IF($F20&lt;=1,1,Points!$H$7+(1-Points!$H$7)*((($F20-$E20)*(($F20-$E20)+1)/2)^2-((($F20-$E20-$J20+1)-1)*($F20-$E20-$J20+1)/2)^2)/($J20*($F20-1)^3)),0)))</f>
        <v/>
      </c>
      <c r="H20" s="11">
        <f>IF($A20="","",IF($B$2="Final","Final",IF($B$2="In progress","Projected","Not started")))</f>
        <v/>
      </c>
      <c r="I20" s="11">
        <f>IF($A20="","",IF(COUNTIF(Players!$A$2:$A$500,$A20)=0,"Player is not on the Players tab",IF(COUNTIF($A$7:$A$156,$A20)&gt;1,"Player is listed twice",IF(NOT(ISNUMBER($B20)),"Enter a score",IF(COUNTIFS($D$7:$D$156,$D20,$C$7:$C$156,"Winner")&gt;1,"More than one "&amp;$D20&amp;" winner picked",IF(AND($C20="Winner",COUNTIFS($D$7:$D$156,$D20,$B$7:$B$156,"&lt;"&amp;$B20)&gt;0),"The winner doesn't have the best "&amp;$D20&amp;" score",IF(AND($B$2="Final",COUNTIFS($D$7:$D$156,$D20,$C$7:$C$156,"Winner")=0),"Final: pick the "&amp;$D20&amp;" winner",IF($B$2="Not started","Set Status to In progress to count points","OK"))))))))</f>
        <v/>
      </c>
      <c r="J20" s="11">
        <f>IF(OR($A20="",NOT(ISNUMBER($B20))),"",IF($C20="Winner",1,COUNTIFS($D$7:$D$156,$D20,$B$7:$B$156,$B20)-IF(AND(NOT($C20="Winner"),COUNTIFS($D$7:$D$156,$D20,$C$7:$C$156,"Winner",$B$7:$B$156,$B20)&gt;0),1,0)))</f>
        <v/>
      </c>
    </row>
    <row r="21">
      <c r="D21" s="11">
        <f>IF($A21="","",IFERROR(IF(VLOOKUP($A21,Players!$A$2:$B$500,2,FALSE)="","Open",VLOOKUP($A21,Players!$A$2:$B$500,2,FALSE)),"Open"))</f>
        <v/>
      </c>
      <c r="E21" s="11">
        <f>IF(OR($A21="",NOT(ISNUMBER($B21))),"",IF($C21="Winner",1,COUNTIFS($D$7:$D$156,$D21,$B$7:$B$156,"&lt;"&amp;$B21)+1+IF(AND(NOT($C21="Winner"),COUNTIFS($D$7:$D$156,$D21,$C$7:$C$156,"Winner",$B$7:$B$156,$B21)&gt;0),1,0)))</f>
        <v/>
      </c>
      <c r="F21" s="11">
        <f>IF(OR($A21="",NOT(ISNUMBER($B21))),"",COUNTIFS($D$7:$D$156,$D21,$B$7:$B$156,"&gt;0"))</f>
        <v/>
      </c>
      <c r="G21" s="11">
        <f>IF(OR(OR($A21="",NOT(ISNUMBER($B21))),$B$2="Not started"),"",IF($C21="Winner",Points!$B$3,ROUND(Points!$B$3*IF($F21&lt;=1,1,Points!$H$7+(1-Points!$H$7)*((($F21-$E21)*(($F21-$E21)+1)/2)^2-((($F21-$E21-$J21+1)-1)*($F21-$E21-$J21+1)/2)^2)/($J21*($F21-1)^3)),0)))</f>
        <v/>
      </c>
      <c r="H21" s="11">
        <f>IF($A21="","",IF($B$2="Final","Final",IF($B$2="In progress","Projected","Not started")))</f>
        <v/>
      </c>
      <c r="I21" s="11">
        <f>IF($A21="","",IF(COUNTIF(Players!$A$2:$A$500,$A21)=0,"Player is not on the Players tab",IF(COUNTIF($A$7:$A$156,$A21)&gt;1,"Player is listed twice",IF(NOT(ISNUMBER($B21)),"Enter a score",IF(COUNTIFS($D$7:$D$156,$D21,$C$7:$C$156,"Winner")&gt;1,"More than one "&amp;$D21&amp;" winner picked",IF(AND($C21="Winner",COUNTIFS($D$7:$D$156,$D21,$B$7:$B$156,"&lt;"&amp;$B21)&gt;0),"The winner doesn't have the best "&amp;$D21&amp;" score",IF(AND($B$2="Final",COUNTIFS($D$7:$D$156,$D21,$C$7:$C$156,"Winner")=0),"Final: pick the "&amp;$D21&amp;" winner",IF($B$2="Not started","Set Status to In progress to count points","OK"))))))))</f>
        <v/>
      </c>
      <c r="J21" s="11">
        <f>IF(OR($A21="",NOT(ISNUMBER($B21))),"",IF($C21="Winner",1,COUNTIFS($D$7:$D$156,$D21,$B$7:$B$156,$B21)-IF(AND(NOT($C21="Winner"),COUNTIFS($D$7:$D$156,$D21,$C$7:$C$156,"Winner",$B$7:$B$156,$B21)&gt;0),1,0)))</f>
        <v/>
      </c>
    </row>
    <row r="22">
      <c r="D22" s="11">
        <f>IF($A22="","",IFERROR(IF(VLOOKUP($A22,Players!$A$2:$B$500,2,FALSE)="","Open",VLOOKUP($A22,Players!$A$2:$B$500,2,FALSE)),"Open"))</f>
        <v/>
      </c>
      <c r="E22" s="11">
        <f>IF(OR($A22="",NOT(ISNUMBER($B22))),"",IF($C22="Winner",1,COUNTIFS($D$7:$D$156,$D22,$B$7:$B$156,"&lt;"&amp;$B22)+1+IF(AND(NOT($C22="Winner"),COUNTIFS($D$7:$D$156,$D22,$C$7:$C$156,"Winner",$B$7:$B$156,$B22)&gt;0),1,0)))</f>
        <v/>
      </c>
      <c r="F22" s="11">
        <f>IF(OR($A22="",NOT(ISNUMBER($B22))),"",COUNTIFS($D$7:$D$156,$D22,$B$7:$B$156,"&gt;0"))</f>
        <v/>
      </c>
      <c r="G22" s="11">
        <f>IF(OR(OR($A22="",NOT(ISNUMBER($B22))),$B$2="Not started"),"",IF($C22="Winner",Points!$B$3,ROUND(Points!$B$3*IF($F22&lt;=1,1,Points!$H$7+(1-Points!$H$7)*((($F22-$E22)*(($F22-$E22)+1)/2)^2-((($F22-$E22-$J22+1)-1)*($F22-$E22-$J22+1)/2)^2)/($J22*($F22-1)^3)),0)))</f>
        <v/>
      </c>
      <c r="H22" s="11">
        <f>IF($A22="","",IF($B$2="Final","Final",IF($B$2="In progress","Projected","Not started")))</f>
        <v/>
      </c>
      <c r="I22" s="11">
        <f>IF($A22="","",IF(COUNTIF(Players!$A$2:$A$500,$A22)=0,"Player is not on the Players tab",IF(COUNTIF($A$7:$A$156,$A22)&gt;1,"Player is listed twice",IF(NOT(ISNUMBER($B22)),"Enter a score",IF(COUNTIFS($D$7:$D$156,$D22,$C$7:$C$156,"Winner")&gt;1,"More than one "&amp;$D22&amp;" winner picked",IF(AND($C22="Winner",COUNTIFS($D$7:$D$156,$D22,$B$7:$B$156,"&lt;"&amp;$B22)&gt;0),"The winner doesn't have the best "&amp;$D22&amp;" score",IF(AND($B$2="Final",COUNTIFS($D$7:$D$156,$D22,$C$7:$C$156,"Winner")=0),"Final: pick the "&amp;$D22&amp;" winner",IF($B$2="Not started","Set Status to In progress to count points","OK"))))))))</f>
        <v/>
      </c>
      <c r="J22" s="11">
        <f>IF(OR($A22="",NOT(ISNUMBER($B22))),"",IF($C22="Winner",1,COUNTIFS($D$7:$D$156,$D22,$B$7:$B$156,$B22)-IF(AND(NOT($C22="Winner"),COUNTIFS($D$7:$D$156,$D22,$C$7:$C$156,"Winner",$B$7:$B$156,$B22)&gt;0),1,0)))</f>
        <v/>
      </c>
    </row>
    <row r="23">
      <c r="D23" s="11">
        <f>IF($A23="","",IFERROR(IF(VLOOKUP($A23,Players!$A$2:$B$500,2,FALSE)="","Open",VLOOKUP($A23,Players!$A$2:$B$500,2,FALSE)),"Open"))</f>
        <v/>
      </c>
      <c r="E23" s="11">
        <f>IF(OR($A23="",NOT(ISNUMBER($B23))),"",IF($C23="Winner",1,COUNTIFS($D$7:$D$156,$D23,$B$7:$B$156,"&lt;"&amp;$B23)+1+IF(AND(NOT($C23="Winner"),COUNTIFS($D$7:$D$156,$D23,$C$7:$C$156,"Winner",$B$7:$B$156,$B23)&gt;0),1,0)))</f>
        <v/>
      </c>
      <c r="F23" s="11">
        <f>IF(OR($A23="",NOT(ISNUMBER($B23))),"",COUNTIFS($D$7:$D$156,$D23,$B$7:$B$156,"&gt;0"))</f>
        <v/>
      </c>
      <c r="G23" s="11">
        <f>IF(OR(OR($A23="",NOT(ISNUMBER($B23))),$B$2="Not started"),"",IF($C23="Winner",Points!$B$3,ROUND(Points!$B$3*IF($F23&lt;=1,1,Points!$H$7+(1-Points!$H$7)*((($F23-$E23)*(($F23-$E23)+1)/2)^2-((($F23-$E23-$J23+1)-1)*($F23-$E23-$J23+1)/2)^2)/($J23*($F23-1)^3)),0)))</f>
        <v/>
      </c>
      <c r="H23" s="11">
        <f>IF($A23="","",IF($B$2="Final","Final",IF($B$2="In progress","Projected","Not started")))</f>
        <v/>
      </c>
      <c r="I23" s="11">
        <f>IF($A23="","",IF(COUNTIF(Players!$A$2:$A$500,$A23)=0,"Player is not on the Players tab",IF(COUNTIF($A$7:$A$156,$A23)&gt;1,"Player is listed twice",IF(NOT(ISNUMBER($B23)),"Enter a score",IF(COUNTIFS($D$7:$D$156,$D23,$C$7:$C$156,"Winner")&gt;1,"More than one "&amp;$D23&amp;" winner picked",IF(AND($C23="Winner",COUNTIFS($D$7:$D$156,$D23,$B$7:$B$156,"&lt;"&amp;$B23)&gt;0),"The winner doesn't have the best "&amp;$D23&amp;" score",IF(AND($B$2="Final",COUNTIFS($D$7:$D$156,$D23,$C$7:$C$156,"Winner")=0),"Final: pick the "&amp;$D23&amp;" winner",IF($B$2="Not started","Set Status to In progress to count points","OK"))))))))</f>
        <v/>
      </c>
      <c r="J23" s="11">
        <f>IF(OR($A23="",NOT(ISNUMBER($B23))),"",IF($C23="Winner",1,COUNTIFS($D$7:$D$156,$D23,$B$7:$B$156,$B23)-IF(AND(NOT($C23="Winner"),COUNTIFS($D$7:$D$156,$D23,$C$7:$C$156,"Winner",$B$7:$B$156,$B23)&gt;0),1,0)))</f>
        <v/>
      </c>
    </row>
    <row r="24">
      <c r="D24" s="11">
        <f>IF($A24="","",IFERROR(IF(VLOOKUP($A24,Players!$A$2:$B$500,2,FALSE)="","Open",VLOOKUP($A24,Players!$A$2:$B$500,2,FALSE)),"Open"))</f>
        <v/>
      </c>
      <c r="E24" s="11">
        <f>IF(OR($A24="",NOT(ISNUMBER($B24))),"",IF($C24="Winner",1,COUNTIFS($D$7:$D$156,$D24,$B$7:$B$156,"&lt;"&amp;$B24)+1+IF(AND(NOT($C24="Winner"),COUNTIFS($D$7:$D$156,$D24,$C$7:$C$156,"Winner",$B$7:$B$156,$B24)&gt;0),1,0)))</f>
        <v/>
      </c>
      <c r="F24" s="11">
        <f>IF(OR($A24="",NOT(ISNUMBER($B24))),"",COUNTIFS($D$7:$D$156,$D24,$B$7:$B$156,"&gt;0"))</f>
        <v/>
      </c>
      <c r="G24" s="11">
        <f>IF(OR(OR($A24="",NOT(ISNUMBER($B24))),$B$2="Not started"),"",IF($C24="Winner",Points!$B$3,ROUND(Points!$B$3*IF($F24&lt;=1,1,Points!$H$7+(1-Points!$H$7)*((($F24-$E24)*(($F24-$E24)+1)/2)^2-((($F24-$E24-$J24+1)-1)*($F24-$E24-$J24+1)/2)^2)/($J24*($F24-1)^3)),0)))</f>
        <v/>
      </c>
      <c r="H24" s="11">
        <f>IF($A24="","",IF($B$2="Final","Final",IF($B$2="In progress","Projected","Not started")))</f>
        <v/>
      </c>
      <c r="I24" s="11">
        <f>IF($A24="","",IF(COUNTIF(Players!$A$2:$A$500,$A24)=0,"Player is not on the Players tab",IF(COUNTIF($A$7:$A$156,$A24)&gt;1,"Player is listed twice",IF(NOT(ISNUMBER($B24)),"Enter a score",IF(COUNTIFS($D$7:$D$156,$D24,$C$7:$C$156,"Winner")&gt;1,"More than one "&amp;$D24&amp;" winner picked",IF(AND($C24="Winner",COUNTIFS($D$7:$D$156,$D24,$B$7:$B$156,"&lt;"&amp;$B24)&gt;0),"The winner doesn't have the best "&amp;$D24&amp;" score",IF(AND($B$2="Final",COUNTIFS($D$7:$D$156,$D24,$C$7:$C$156,"Winner")=0),"Final: pick the "&amp;$D24&amp;" winner",IF($B$2="Not started","Set Status to In progress to count points","OK"))))))))</f>
        <v/>
      </c>
      <c r="J24" s="11">
        <f>IF(OR($A24="",NOT(ISNUMBER($B24))),"",IF($C24="Winner",1,COUNTIFS($D$7:$D$156,$D24,$B$7:$B$156,$B24)-IF(AND(NOT($C24="Winner"),COUNTIFS($D$7:$D$156,$D24,$C$7:$C$156,"Winner",$B$7:$B$156,$B24)&gt;0),1,0)))</f>
        <v/>
      </c>
    </row>
    <row r="25">
      <c r="D25" s="11">
        <f>IF($A25="","",IFERROR(IF(VLOOKUP($A25,Players!$A$2:$B$500,2,FALSE)="","Open",VLOOKUP($A25,Players!$A$2:$B$500,2,FALSE)),"Open"))</f>
        <v/>
      </c>
      <c r="E25" s="11">
        <f>IF(OR($A25="",NOT(ISNUMBER($B25))),"",IF($C25="Winner",1,COUNTIFS($D$7:$D$156,$D25,$B$7:$B$156,"&lt;"&amp;$B25)+1+IF(AND(NOT($C25="Winner"),COUNTIFS($D$7:$D$156,$D25,$C$7:$C$156,"Winner",$B$7:$B$156,$B25)&gt;0),1,0)))</f>
        <v/>
      </c>
      <c r="F25" s="11">
        <f>IF(OR($A25="",NOT(ISNUMBER($B25))),"",COUNTIFS($D$7:$D$156,$D25,$B$7:$B$156,"&gt;0"))</f>
        <v/>
      </c>
      <c r="G25" s="11">
        <f>IF(OR(OR($A25="",NOT(ISNUMBER($B25))),$B$2="Not started"),"",IF($C25="Winner",Points!$B$3,ROUND(Points!$B$3*IF($F25&lt;=1,1,Points!$H$7+(1-Points!$H$7)*((($F25-$E25)*(($F25-$E25)+1)/2)^2-((($F25-$E25-$J25+1)-1)*($F25-$E25-$J25+1)/2)^2)/($J25*($F25-1)^3)),0)))</f>
        <v/>
      </c>
      <c r="H25" s="11">
        <f>IF($A25="","",IF($B$2="Final","Final",IF($B$2="In progress","Projected","Not started")))</f>
        <v/>
      </c>
      <c r="I25" s="11">
        <f>IF($A25="","",IF(COUNTIF(Players!$A$2:$A$500,$A25)=0,"Player is not on the Players tab",IF(COUNTIF($A$7:$A$156,$A25)&gt;1,"Player is listed twice",IF(NOT(ISNUMBER($B25)),"Enter a score",IF(COUNTIFS($D$7:$D$156,$D25,$C$7:$C$156,"Winner")&gt;1,"More than one "&amp;$D25&amp;" winner picked",IF(AND($C25="Winner",COUNTIFS($D$7:$D$156,$D25,$B$7:$B$156,"&lt;"&amp;$B25)&gt;0),"The winner doesn't have the best "&amp;$D25&amp;" score",IF(AND($B$2="Final",COUNTIFS($D$7:$D$156,$D25,$C$7:$C$156,"Winner")=0),"Final: pick the "&amp;$D25&amp;" winner",IF($B$2="Not started","Set Status to In progress to count points","OK"))))))))</f>
        <v/>
      </c>
      <c r="J25" s="11">
        <f>IF(OR($A25="",NOT(ISNUMBER($B25))),"",IF($C25="Winner",1,COUNTIFS($D$7:$D$156,$D25,$B$7:$B$156,$B25)-IF(AND(NOT($C25="Winner"),COUNTIFS($D$7:$D$156,$D25,$C$7:$C$156,"Winner",$B$7:$B$156,$B25)&gt;0),1,0)))</f>
        <v/>
      </c>
    </row>
    <row r="26">
      <c r="D26" s="11">
        <f>IF($A26="","",IFERROR(IF(VLOOKUP($A26,Players!$A$2:$B$500,2,FALSE)="","Open",VLOOKUP($A26,Players!$A$2:$B$500,2,FALSE)),"Open"))</f>
        <v/>
      </c>
      <c r="E26" s="11">
        <f>IF(OR($A26="",NOT(ISNUMBER($B26))),"",IF($C26="Winner",1,COUNTIFS($D$7:$D$156,$D26,$B$7:$B$156,"&lt;"&amp;$B26)+1+IF(AND(NOT($C26="Winner"),COUNTIFS($D$7:$D$156,$D26,$C$7:$C$156,"Winner",$B$7:$B$156,$B26)&gt;0),1,0)))</f>
        <v/>
      </c>
      <c r="F26" s="11">
        <f>IF(OR($A26="",NOT(ISNUMBER($B26))),"",COUNTIFS($D$7:$D$156,$D26,$B$7:$B$156,"&gt;0"))</f>
        <v/>
      </c>
      <c r="G26" s="11">
        <f>IF(OR(OR($A26="",NOT(ISNUMBER($B26))),$B$2="Not started"),"",IF($C26="Winner",Points!$B$3,ROUND(Points!$B$3*IF($F26&lt;=1,1,Points!$H$7+(1-Points!$H$7)*((($F26-$E26)*(($F26-$E26)+1)/2)^2-((($F26-$E26-$J26+1)-1)*($F26-$E26-$J26+1)/2)^2)/($J26*($F26-1)^3)),0)))</f>
        <v/>
      </c>
      <c r="H26" s="11">
        <f>IF($A26="","",IF($B$2="Final","Final",IF($B$2="In progress","Projected","Not started")))</f>
        <v/>
      </c>
      <c r="I26" s="11">
        <f>IF($A26="","",IF(COUNTIF(Players!$A$2:$A$500,$A26)=0,"Player is not on the Players tab",IF(COUNTIF($A$7:$A$156,$A26)&gt;1,"Player is listed twice",IF(NOT(ISNUMBER($B26)),"Enter a score",IF(COUNTIFS($D$7:$D$156,$D26,$C$7:$C$156,"Winner")&gt;1,"More than one "&amp;$D26&amp;" winner picked",IF(AND($C26="Winner",COUNTIFS($D$7:$D$156,$D26,$B$7:$B$156,"&lt;"&amp;$B26)&gt;0),"The winner doesn't have the best "&amp;$D26&amp;" score",IF(AND($B$2="Final",COUNTIFS($D$7:$D$156,$D26,$C$7:$C$156,"Winner")=0),"Final: pick the "&amp;$D26&amp;" winner",IF($B$2="Not started","Set Status to In progress to count points","OK"))))))))</f>
        <v/>
      </c>
      <c r="J26" s="11">
        <f>IF(OR($A26="",NOT(ISNUMBER($B26))),"",IF($C26="Winner",1,COUNTIFS($D$7:$D$156,$D26,$B$7:$B$156,$B26)-IF(AND(NOT($C26="Winner"),COUNTIFS($D$7:$D$156,$D26,$C$7:$C$156,"Winner",$B$7:$B$156,$B26)&gt;0),1,0)))</f>
        <v/>
      </c>
    </row>
    <row r="27">
      <c r="D27" s="11">
        <f>IF($A27="","",IFERROR(IF(VLOOKUP($A27,Players!$A$2:$B$500,2,FALSE)="","Open",VLOOKUP($A27,Players!$A$2:$B$500,2,FALSE)),"Open"))</f>
        <v/>
      </c>
      <c r="E27" s="11">
        <f>IF(OR($A27="",NOT(ISNUMBER($B27))),"",IF($C27="Winner",1,COUNTIFS($D$7:$D$156,$D27,$B$7:$B$156,"&lt;"&amp;$B27)+1+IF(AND(NOT($C27="Winner"),COUNTIFS($D$7:$D$156,$D27,$C$7:$C$156,"Winner",$B$7:$B$156,$B27)&gt;0),1,0)))</f>
        <v/>
      </c>
      <c r="F27" s="11">
        <f>IF(OR($A27="",NOT(ISNUMBER($B27))),"",COUNTIFS($D$7:$D$156,$D27,$B$7:$B$156,"&gt;0"))</f>
        <v/>
      </c>
      <c r="G27" s="11">
        <f>IF(OR(OR($A27="",NOT(ISNUMBER($B27))),$B$2="Not started"),"",IF($C27="Winner",Points!$B$3,ROUND(Points!$B$3*IF($F27&lt;=1,1,Points!$H$7+(1-Points!$H$7)*((($F27-$E27)*(($F27-$E27)+1)/2)^2-((($F27-$E27-$J27+1)-1)*($F27-$E27-$J27+1)/2)^2)/($J27*($F27-1)^3)),0)))</f>
        <v/>
      </c>
      <c r="H27" s="11">
        <f>IF($A27="","",IF($B$2="Final","Final",IF($B$2="In progress","Projected","Not started")))</f>
        <v/>
      </c>
      <c r="I27" s="11">
        <f>IF($A27="","",IF(COUNTIF(Players!$A$2:$A$500,$A27)=0,"Player is not on the Players tab",IF(COUNTIF($A$7:$A$156,$A27)&gt;1,"Player is listed twice",IF(NOT(ISNUMBER($B27)),"Enter a score",IF(COUNTIFS($D$7:$D$156,$D27,$C$7:$C$156,"Winner")&gt;1,"More than one "&amp;$D27&amp;" winner picked",IF(AND($C27="Winner",COUNTIFS($D$7:$D$156,$D27,$B$7:$B$156,"&lt;"&amp;$B27)&gt;0),"The winner doesn't have the best "&amp;$D27&amp;" score",IF(AND($B$2="Final",COUNTIFS($D$7:$D$156,$D27,$C$7:$C$156,"Winner")=0),"Final: pick the "&amp;$D27&amp;" winner",IF($B$2="Not started","Set Status to In progress to count points","OK"))))))))</f>
        <v/>
      </c>
      <c r="J27" s="11">
        <f>IF(OR($A27="",NOT(ISNUMBER($B27))),"",IF($C27="Winner",1,COUNTIFS($D$7:$D$156,$D27,$B$7:$B$156,$B27)-IF(AND(NOT($C27="Winner"),COUNTIFS($D$7:$D$156,$D27,$C$7:$C$156,"Winner",$B$7:$B$156,$B27)&gt;0),1,0)))</f>
        <v/>
      </c>
    </row>
    <row r="28">
      <c r="D28" s="11">
        <f>IF($A28="","",IFERROR(IF(VLOOKUP($A28,Players!$A$2:$B$500,2,FALSE)="","Open",VLOOKUP($A28,Players!$A$2:$B$500,2,FALSE)),"Open"))</f>
        <v/>
      </c>
      <c r="E28" s="11">
        <f>IF(OR($A28="",NOT(ISNUMBER($B28))),"",IF($C28="Winner",1,COUNTIFS($D$7:$D$156,$D28,$B$7:$B$156,"&lt;"&amp;$B28)+1+IF(AND(NOT($C28="Winner"),COUNTIFS($D$7:$D$156,$D28,$C$7:$C$156,"Winner",$B$7:$B$156,$B28)&gt;0),1,0)))</f>
        <v/>
      </c>
      <c r="F28" s="11">
        <f>IF(OR($A28="",NOT(ISNUMBER($B28))),"",COUNTIFS($D$7:$D$156,$D28,$B$7:$B$156,"&gt;0"))</f>
        <v/>
      </c>
      <c r="G28" s="11">
        <f>IF(OR(OR($A28="",NOT(ISNUMBER($B28))),$B$2="Not started"),"",IF($C28="Winner",Points!$B$3,ROUND(Points!$B$3*IF($F28&lt;=1,1,Points!$H$7+(1-Points!$H$7)*((($F28-$E28)*(($F28-$E28)+1)/2)^2-((($F28-$E28-$J28+1)-1)*($F28-$E28-$J28+1)/2)^2)/($J28*($F28-1)^3)),0)))</f>
        <v/>
      </c>
      <c r="H28" s="11">
        <f>IF($A28="","",IF($B$2="Final","Final",IF($B$2="In progress","Projected","Not started")))</f>
        <v/>
      </c>
      <c r="I28" s="11">
        <f>IF($A28="","",IF(COUNTIF(Players!$A$2:$A$500,$A28)=0,"Player is not on the Players tab",IF(COUNTIF($A$7:$A$156,$A28)&gt;1,"Player is listed twice",IF(NOT(ISNUMBER($B28)),"Enter a score",IF(COUNTIFS($D$7:$D$156,$D28,$C$7:$C$156,"Winner")&gt;1,"More than one "&amp;$D28&amp;" winner picked",IF(AND($C28="Winner",COUNTIFS($D$7:$D$156,$D28,$B$7:$B$156,"&lt;"&amp;$B28)&gt;0),"The winner doesn't have the best "&amp;$D28&amp;" score",IF(AND($B$2="Final",COUNTIFS($D$7:$D$156,$D28,$C$7:$C$156,"Winner")=0),"Final: pick the "&amp;$D28&amp;" winner",IF($B$2="Not started","Set Status to In progress to count points","OK"))))))))</f>
        <v/>
      </c>
      <c r="J28" s="11">
        <f>IF(OR($A28="",NOT(ISNUMBER($B28))),"",IF($C28="Winner",1,COUNTIFS($D$7:$D$156,$D28,$B$7:$B$156,$B28)-IF(AND(NOT($C28="Winner"),COUNTIFS($D$7:$D$156,$D28,$C$7:$C$156,"Winner",$B$7:$B$156,$B28)&gt;0),1,0)))</f>
        <v/>
      </c>
    </row>
    <row r="29">
      <c r="D29" s="11">
        <f>IF($A29="","",IFERROR(IF(VLOOKUP($A29,Players!$A$2:$B$500,2,FALSE)="","Open",VLOOKUP($A29,Players!$A$2:$B$500,2,FALSE)),"Open"))</f>
        <v/>
      </c>
      <c r="E29" s="11">
        <f>IF(OR($A29="",NOT(ISNUMBER($B29))),"",IF($C29="Winner",1,COUNTIFS($D$7:$D$156,$D29,$B$7:$B$156,"&lt;"&amp;$B29)+1+IF(AND(NOT($C29="Winner"),COUNTIFS($D$7:$D$156,$D29,$C$7:$C$156,"Winner",$B$7:$B$156,$B29)&gt;0),1,0)))</f>
        <v/>
      </c>
      <c r="F29" s="11">
        <f>IF(OR($A29="",NOT(ISNUMBER($B29))),"",COUNTIFS($D$7:$D$156,$D29,$B$7:$B$156,"&gt;0"))</f>
        <v/>
      </c>
      <c r="G29" s="11">
        <f>IF(OR(OR($A29="",NOT(ISNUMBER($B29))),$B$2="Not started"),"",IF($C29="Winner",Points!$B$3,ROUND(Points!$B$3*IF($F29&lt;=1,1,Points!$H$7+(1-Points!$H$7)*((($F29-$E29)*(($F29-$E29)+1)/2)^2-((($F29-$E29-$J29+1)-1)*($F29-$E29-$J29+1)/2)^2)/($J29*($F29-1)^3)),0)))</f>
        <v/>
      </c>
      <c r="H29" s="11">
        <f>IF($A29="","",IF($B$2="Final","Final",IF($B$2="In progress","Projected","Not started")))</f>
        <v/>
      </c>
      <c r="I29" s="11">
        <f>IF($A29="","",IF(COUNTIF(Players!$A$2:$A$500,$A29)=0,"Player is not on the Players tab",IF(COUNTIF($A$7:$A$156,$A29)&gt;1,"Player is listed twice",IF(NOT(ISNUMBER($B29)),"Enter a score",IF(COUNTIFS($D$7:$D$156,$D29,$C$7:$C$156,"Winner")&gt;1,"More than one "&amp;$D29&amp;" winner picked",IF(AND($C29="Winner",COUNTIFS($D$7:$D$156,$D29,$B$7:$B$156,"&lt;"&amp;$B29)&gt;0),"The winner doesn't have the best "&amp;$D29&amp;" score",IF(AND($B$2="Final",COUNTIFS($D$7:$D$156,$D29,$C$7:$C$156,"Winner")=0),"Final: pick the "&amp;$D29&amp;" winner",IF($B$2="Not started","Set Status to In progress to count points","OK"))))))))</f>
        <v/>
      </c>
      <c r="J29" s="11">
        <f>IF(OR($A29="",NOT(ISNUMBER($B29))),"",IF($C29="Winner",1,COUNTIFS($D$7:$D$156,$D29,$B$7:$B$156,$B29)-IF(AND(NOT($C29="Winner"),COUNTIFS($D$7:$D$156,$D29,$C$7:$C$156,"Winner",$B$7:$B$156,$B29)&gt;0),1,0)))</f>
        <v/>
      </c>
    </row>
    <row r="30">
      <c r="D30" s="11">
        <f>IF($A30="","",IFERROR(IF(VLOOKUP($A30,Players!$A$2:$B$500,2,FALSE)="","Open",VLOOKUP($A30,Players!$A$2:$B$500,2,FALSE)),"Open"))</f>
        <v/>
      </c>
      <c r="E30" s="11">
        <f>IF(OR($A30="",NOT(ISNUMBER($B30))),"",IF($C30="Winner",1,COUNTIFS($D$7:$D$156,$D30,$B$7:$B$156,"&lt;"&amp;$B30)+1+IF(AND(NOT($C30="Winner"),COUNTIFS($D$7:$D$156,$D30,$C$7:$C$156,"Winner",$B$7:$B$156,$B30)&gt;0),1,0)))</f>
        <v/>
      </c>
      <c r="F30" s="11">
        <f>IF(OR($A30="",NOT(ISNUMBER($B30))),"",COUNTIFS($D$7:$D$156,$D30,$B$7:$B$156,"&gt;0"))</f>
        <v/>
      </c>
      <c r="G30" s="11">
        <f>IF(OR(OR($A30="",NOT(ISNUMBER($B30))),$B$2="Not started"),"",IF($C30="Winner",Points!$B$3,ROUND(Points!$B$3*IF($F30&lt;=1,1,Points!$H$7+(1-Points!$H$7)*((($F30-$E30)*(($F30-$E30)+1)/2)^2-((($F30-$E30-$J30+1)-1)*($F30-$E30-$J30+1)/2)^2)/($J30*($F30-1)^3)),0)))</f>
        <v/>
      </c>
      <c r="H30" s="11">
        <f>IF($A30="","",IF($B$2="Final","Final",IF($B$2="In progress","Projected","Not started")))</f>
        <v/>
      </c>
      <c r="I30" s="11">
        <f>IF($A30="","",IF(COUNTIF(Players!$A$2:$A$500,$A30)=0,"Player is not on the Players tab",IF(COUNTIF($A$7:$A$156,$A30)&gt;1,"Player is listed twice",IF(NOT(ISNUMBER($B30)),"Enter a score",IF(COUNTIFS($D$7:$D$156,$D30,$C$7:$C$156,"Winner")&gt;1,"More than one "&amp;$D30&amp;" winner picked",IF(AND($C30="Winner",COUNTIFS($D$7:$D$156,$D30,$B$7:$B$156,"&lt;"&amp;$B30)&gt;0),"The winner doesn't have the best "&amp;$D30&amp;" score",IF(AND($B$2="Final",COUNTIFS($D$7:$D$156,$D30,$C$7:$C$156,"Winner")=0),"Final: pick the "&amp;$D30&amp;" winner",IF($B$2="Not started","Set Status to In progress to count points","OK"))))))))</f>
        <v/>
      </c>
      <c r="J30" s="11">
        <f>IF(OR($A30="",NOT(ISNUMBER($B30))),"",IF($C30="Winner",1,COUNTIFS($D$7:$D$156,$D30,$B$7:$B$156,$B30)-IF(AND(NOT($C30="Winner"),COUNTIFS($D$7:$D$156,$D30,$C$7:$C$156,"Winner",$B$7:$B$156,$B30)&gt;0),1,0)))</f>
        <v/>
      </c>
    </row>
    <row r="31">
      <c r="D31" s="11">
        <f>IF($A31="","",IFERROR(IF(VLOOKUP($A31,Players!$A$2:$B$500,2,FALSE)="","Open",VLOOKUP($A31,Players!$A$2:$B$500,2,FALSE)),"Open"))</f>
        <v/>
      </c>
      <c r="E31" s="11">
        <f>IF(OR($A31="",NOT(ISNUMBER($B31))),"",IF($C31="Winner",1,COUNTIFS($D$7:$D$156,$D31,$B$7:$B$156,"&lt;"&amp;$B31)+1+IF(AND(NOT($C31="Winner"),COUNTIFS($D$7:$D$156,$D31,$C$7:$C$156,"Winner",$B$7:$B$156,$B31)&gt;0),1,0)))</f>
        <v/>
      </c>
      <c r="F31" s="11">
        <f>IF(OR($A31="",NOT(ISNUMBER($B31))),"",COUNTIFS($D$7:$D$156,$D31,$B$7:$B$156,"&gt;0"))</f>
        <v/>
      </c>
      <c r="G31" s="11">
        <f>IF(OR(OR($A31="",NOT(ISNUMBER($B31))),$B$2="Not started"),"",IF($C31="Winner",Points!$B$3,ROUND(Points!$B$3*IF($F31&lt;=1,1,Points!$H$7+(1-Points!$H$7)*((($F31-$E31)*(($F31-$E31)+1)/2)^2-((($F31-$E31-$J31+1)-1)*($F31-$E31-$J31+1)/2)^2)/($J31*($F31-1)^3)),0)))</f>
        <v/>
      </c>
      <c r="H31" s="11">
        <f>IF($A31="","",IF($B$2="Final","Final",IF($B$2="In progress","Projected","Not started")))</f>
        <v/>
      </c>
      <c r="I31" s="11">
        <f>IF($A31="","",IF(COUNTIF(Players!$A$2:$A$500,$A31)=0,"Player is not on the Players tab",IF(COUNTIF($A$7:$A$156,$A31)&gt;1,"Player is listed twice",IF(NOT(ISNUMBER($B31)),"Enter a score",IF(COUNTIFS($D$7:$D$156,$D31,$C$7:$C$156,"Winner")&gt;1,"More than one "&amp;$D31&amp;" winner picked",IF(AND($C31="Winner",COUNTIFS($D$7:$D$156,$D31,$B$7:$B$156,"&lt;"&amp;$B31)&gt;0),"The winner doesn't have the best "&amp;$D31&amp;" score",IF(AND($B$2="Final",COUNTIFS($D$7:$D$156,$D31,$C$7:$C$156,"Winner")=0),"Final: pick the "&amp;$D31&amp;" winner",IF($B$2="Not started","Set Status to In progress to count points","OK"))))))))</f>
        <v/>
      </c>
      <c r="J31" s="11">
        <f>IF(OR($A31="",NOT(ISNUMBER($B31))),"",IF($C31="Winner",1,COUNTIFS($D$7:$D$156,$D31,$B$7:$B$156,$B31)-IF(AND(NOT($C31="Winner"),COUNTIFS($D$7:$D$156,$D31,$C$7:$C$156,"Winner",$B$7:$B$156,$B31)&gt;0),1,0)))</f>
        <v/>
      </c>
    </row>
    <row r="32">
      <c r="D32" s="11">
        <f>IF($A32="","",IFERROR(IF(VLOOKUP($A32,Players!$A$2:$B$500,2,FALSE)="","Open",VLOOKUP($A32,Players!$A$2:$B$500,2,FALSE)),"Open"))</f>
        <v/>
      </c>
      <c r="E32" s="11">
        <f>IF(OR($A32="",NOT(ISNUMBER($B32))),"",IF($C32="Winner",1,COUNTIFS($D$7:$D$156,$D32,$B$7:$B$156,"&lt;"&amp;$B32)+1+IF(AND(NOT($C32="Winner"),COUNTIFS($D$7:$D$156,$D32,$C$7:$C$156,"Winner",$B$7:$B$156,$B32)&gt;0),1,0)))</f>
        <v/>
      </c>
      <c r="F32" s="11">
        <f>IF(OR($A32="",NOT(ISNUMBER($B32))),"",COUNTIFS($D$7:$D$156,$D32,$B$7:$B$156,"&gt;0"))</f>
        <v/>
      </c>
      <c r="G32" s="11">
        <f>IF(OR(OR($A32="",NOT(ISNUMBER($B32))),$B$2="Not started"),"",IF($C32="Winner",Points!$B$3,ROUND(Points!$B$3*IF($F32&lt;=1,1,Points!$H$7+(1-Points!$H$7)*((($F32-$E32)*(($F32-$E32)+1)/2)^2-((($F32-$E32-$J32+1)-1)*($F32-$E32-$J32+1)/2)^2)/($J32*($F32-1)^3)),0)))</f>
        <v/>
      </c>
      <c r="H32" s="11">
        <f>IF($A32="","",IF($B$2="Final","Final",IF($B$2="In progress","Projected","Not started")))</f>
        <v/>
      </c>
      <c r="I32" s="11">
        <f>IF($A32="","",IF(COUNTIF(Players!$A$2:$A$500,$A32)=0,"Player is not on the Players tab",IF(COUNTIF($A$7:$A$156,$A32)&gt;1,"Player is listed twice",IF(NOT(ISNUMBER($B32)),"Enter a score",IF(COUNTIFS($D$7:$D$156,$D32,$C$7:$C$156,"Winner")&gt;1,"More than one "&amp;$D32&amp;" winner picked",IF(AND($C32="Winner",COUNTIFS($D$7:$D$156,$D32,$B$7:$B$156,"&lt;"&amp;$B32)&gt;0),"The winner doesn't have the best "&amp;$D32&amp;" score",IF(AND($B$2="Final",COUNTIFS($D$7:$D$156,$D32,$C$7:$C$156,"Winner")=0),"Final: pick the "&amp;$D32&amp;" winner",IF($B$2="Not started","Set Status to In progress to count points","OK"))))))))</f>
        <v/>
      </c>
      <c r="J32" s="11">
        <f>IF(OR($A32="",NOT(ISNUMBER($B32))),"",IF($C32="Winner",1,COUNTIFS($D$7:$D$156,$D32,$B$7:$B$156,$B32)-IF(AND(NOT($C32="Winner"),COUNTIFS($D$7:$D$156,$D32,$C$7:$C$156,"Winner",$B$7:$B$156,$B32)&gt;0),1,0)))</f>
        <v/>
      </c>
    </row>
    <row r="33">
      <c r="D33" s="11">
        <f>IF($A33="","",IFERROR(IF(VLOOKUP($A33,Players!$A$2:$B$500,2,FALSE)="","Open",VLOOKUP($A33,Players!$A$2:$B$500,2,FALSE)),"Open"))</f>
        <v/>
      </c>
      <c r="E33" s="11">
        <f>IF(OR($A33="",NOT(ISNUMBER($B33))),"",IF($C33="Winner",1,COUNTIFS($D$7:$D$156,$D33,$B$7:$B$156,"&lt;"&amp;$B33)+1+IF(AND(NOT($C33="Winner"),COUNTIFS($D$7:$D$156,$D33,$C$7:$C$156,"Winner",$B$7:$B$156,$B33)&gt;0),1,0)))</f>
        <v/>
      </c>
      <c r="F33" s="11">
        <f>IF(OR($A33="",NOT(ISNUMBER($B33))),"",COUNTIFS($D$7:$D$156,$D33,$B$7:$B$156,"&gt;0"))</f>
        <v/>
      </c>
      <c r="G33" s="11">
        <f>IF(OR(OR($A33="",NOT(ISNUMBER($B33))),$B$2="Not started"),"",IF($C33="Winner",Points!$B$3,ROUND(Points!$B$3*IF($F33&lt;=1,1,Points!$H$7+(1-Points!$H$7)*((($F33-$E33)*(($F33-$E33)+1)/2)^2-((($F33-$E33-$J33+1)-1)*($F33-$E33-$J33+1)/2)^2)/($J33*($F33-1)^3)),0)))</f>
        <v/>
      </c>
      <c r="H33" s="11">
        <f>IF($A33="","",IF($B$2="Final","Final",IF($B$2="In progress","Projected","Not started")))</f>
        <v/>
      </c>
      <c r="I33" s="11">
        <f>IF($A33="","",IF(COUNTIF(Players!$A$2:$A$500,$A33)=0,"Player is not on the Players tab",IF(COUNTIF($A$7:$A$156,$A33)&gt;1,"Player is listed twice",IF(NOT(ISNUMBER($B33)),"Enter a score",IF(COUNTIFS($D$7:$D$156,$D33,$C$7:$C$156,"Winner")&gt;1,"More than one "&amp;$D33&amp;" winner picked",IF(AND($C33="Winner",COUNTIFS($D$7:$D$156,$D33,$B$7:$B$156,"&lt;"&amp;$B33)&gt;0),"The winner doesn't have the best "&amp;$D33&amp;" score",IF(AND($B$2="Final",COUNTIFS($D$7:$D$156,$D33,$C$7:$C$156,"Winner")=0),"Final: pick the "&amp;$D33&amp;" winner",IF($B$2="Not started","Set Status to In progress to count points","OK"))))))))</f>
        <v/>
      </c>
      <c r="J33" s="11">
        <f>IF(OR($A33="",NOT(ISNUMBER($B33))),"",IF($C33="Winner",1,COUNTIFS($D$7:$D$156,$D33,$B$7:$B$156,$B33)-IF(AND(NOT($C33="Winner"),COUNTIFS($D$7:$D$156,$D33,$C$7:$C$156,"Winner",$B$7:$B$156,$B33)&gt;0),1,0)))</f>
        <v/>
      </c>
    </row>
    <row r="34">
      <c r="D34" s="11">
        <f>IF($A34="","",IFERROR(IF(VLOOKUP($A34,Players!$A$2:$B$500,2,FALSE)="","Open",VLOOKUP($A34,Players!$A$2:$B$500,2,FALSE)),"Open"))</f>
        <v/>
      </c>
      <c r="E34" s="11">
        <f>IF(OR($A34="",NOT(ISNUMBER($B34))),"",IF($C34="Winner",1,COUNTIFS($D$7:$D$156,$D34,$B$7:$B$156,"&lt;"&amp;$B34)+1+IF(AND(NOT($C34="Winner"),COUNTIFS($D$7:$D$156,$D34,$C$7:$C$156,"Winner",$B$7:$B$156,$B34)&gt;0),1,0)))</f>
        <v/>
      </c>
      <c r="F34" s="11">
        <f>IF(OR($A34="",NOT(ISNUMBER($B34))),"",COUNTIFS($D$7:$D$156,$D34,$B$7:$B$156,"&gt;0"))</f>
        <v/>
      </c>
      <c r="G34" s="11">
        <f>IF(OR(OR($A34="",NOT(ISNUMBER($B34))),$B$2="Not started"),"",IF($C34="Winner",Points!$B$3,ROUND(Points!$B$3*IF($F34&lt;=1,1,Points!$H$7+(1-Points!$H$7)*((($F34-$E34)*(($F34-$E34)+1)/2)^2-((($F34-$E34-$J34+1)-1)*($F34-$E34-$J34+1)/2)^2)/($J34*($F34-1)^3)),0)))</f>
        <v/>
      </c>
      <c r="H34" s="11">
        <f>IF($A34="","",IF($B$2="Final","Final",IF($B$2="In progress","Projected","Not started")))</f>
        <v/>
      </c>
      <c r="I34" s="11">
        <f>IF($A34="","",IF(COUNTIF(Players!$A$2:$A$500,$A34)=0,"Player is not on the Players tab",IF(COUNTIF($A$7:$A$156,$A34)&gt;1,"Player is listed twice",IF(NOT(ISNUMBER($B34)),"Enter a score",IF(COUNTIFS($D$7:$D$156,$D34,$C$7:$C$156,"Winner")&gt;1,"More than one "&amp;$D34&amp;" winner picked",IF(AND($C34="Winner",COUNTIFS($D$7:$D$156,$D34,$B$7:$B$156,"&lt;"&amp;$B34)&gt;0),"The winner doesn't have the best "&amp;$D34&amp;" score",IF(AND($B$2="Final",COUNTIFS($D$7:$D$156,$D34,$C$7:$C$156,"Winner")=0),"Final: pick the "&amp;$D34&amp;" winner",IF($B$2="Not started","Set Status to In progress to count points","OK"))))))))</f>
        <v/>
      </c>
      <c r="J34" s="11">
        <f>IF(OR($A34="",NOT(ISNUMBER($B34))),"",IF($C34="Winner",1,COUNTIFS($D$7:$D$156,$D34,$B$7:$B$156,$B34)-IF(AND(NOT($C34="Winner"),COUNTIFS($D$7:$D$156,$D34,$C$7:$C$156,"Winner",$B$7:$B$156,$B34)&gt;0),1,0)))</f>
        <v/>
      </c>
    </row>
    <row r="35">
      <c r="D35" s="11">
        <f>IF($A35="","",IFERROR(IF(VLOOKUP($A35,Players!$A$2:$B$500,2,FALSE)="","Open",VLOOKUP($A35,Players!$A$2:$B$500,2,FALSE)),"Open"))</f>
        <v/>
      </c>
      <c r="E35" s="11">
        <f>IF(OR($A35="",NOT(ISNUMBER($B35))),"",IF($C35="Winner",1,COUNTIFS($D$7:$D$156,$D35,$B$7:$B$156,"&lt;"&amp;$B35)+1+IF(AND(NOT($C35="Winner"),COUNTIFS($D$7:$D$156,$D35,$C$7:$C$156,"Winner",$B$7:$B$156,$B35)&gt;0),1,0)))</f>
        <v/>
      </c>
      <c r="F35" s="11">
        <f>IF(OR($A35="",NOT(ISNUMBER($B35))),"",COUNTIFS($D$7:$D$156,$D35,$B$7:$B$156,"&gt;0"))</f>
        <v/>
      </c>
      <c r="G35" s="11">
        <f>IF(OR(OR($A35="",NOT(ISNUMBER($B35))),$B$2="Not started"),"",IF($C35="Winner",Points!$B$3,ROUND(Points!$B$3*IF($F35&lt;=1,1,Points!$H$7+(1-Points!$H$7)*((($F35-$E35)*(($F35-$E35)+1)/2)^2-((($F35-$E35-$J35+1)-1)*($F35-$E35-$J35+1)/2)^2)/($J35*($F35-1)^3)),0)))</f>
        <v/>
      </c>
      <c r="H35" s="11">
        <f>IF($A35="","",IF($B$2="Final","Final",IF($B$2="In progress","Projected","Not started")))</f>
        <v/>
      </c>
      <c r="I35" s="11">
        <f>IF($A35="","",IF(COUNTIF(Players!$A$2:$A$500,$A35)=0,"Player is not on the Players tab",IF(COUNTIF($A$7:$A$156,$A35)&gt;1,"Player is listed twice",IF(NOT(ISNUMBER($B35)),"Enter a score",IF(COUNTIFS($D$7:$D$156,$D35,$C$7:$C$156,"Winner")&gt;1,"More than one "&amp;$D35&amp;" winner picked",IF(AND($C35="Winner",COUNTIFS($D$7:$D$156,$D35,$B$7:$B$156,"&lt;"&amp;$B35)&gt;0),"The winner doesn't have the best "&amp;$D35&amp;" score",IF(AND($B$2="Final",COUNTIFS($D$7:$D$156,$D35,$C$7:$C$156,"Winner")=0),"Final: pick the "&amp;$D35&amp;" winner",IF($B$2="Not started","Set Status to In progress to count points","OK"))))))))</f>
        <v/>
      </c>
      <c r="J35" s="11">
        <f>IF(OR($A35="",NOT(ISNUMBER($B35))),"",IF($C35="Winner",1,COUNTIFS($D$7:$D$156,$D35,$B$7:$B$156,$B35)-IF(AND(NOT($C35="Winner"),COUNTIFS($D$7:$D$156,$D35,$C$7:$C$156,"Winner",$B$7:$B$156,$B35)&gt;0),1,0)))</f>
        <v/>
      </c>
    </row>
    <row r="36">
      <c r="D36" s="11">
        <f>IF($A36="","",IFERROR(IF(VLOOKUP($A36,Players!$A$2:$B$500,2,FALSE)="","Open",VLOOKUP($A36,Players!$A$2:$B$500,2,FALSE)),"Open"))</f>
        <v/>
      </c>
      <c r="E36" s="11">
        <f>IF(OR($A36="",NOT(ISNUMBER($B36))),"",IF($C36="Winner",1,COUNTIFS($D$7:$D$156,$D36,$B$7:$B$156,"&lt;"&amp;$B36)+1+IF(AND(NOT($C36="Winner"),COUNTIFS($D$7:$D$156,$D36,$C$7:$C$156,"Winner",$B$7:$B$156,$B36)&gt;0),1,0)))</f>
        <v/>
      </c>
      <c r="F36" s="11">
        <f>IF(OR($A36="",NOT(ISNUMBER($B36))),"",COUNTIFS($D$7:$D$156,$D36,$B$7:$B$156,"&gt;0"))</f>
        <v/>
      </c>
      <c r="G36" s="11">
        <f>IF(OR(OR($A36="",NOT(ISNUMBER($B36))),$B$2="Not started"),"",IF($C36="Winner",Points!$B$3,ROUND(Points!$B$3*IF($F36&lt;=1,1,Points!$H$7+(1-Points!$H$7)*((($F36-$E36)*(($F36-$E36)+1)/2)^2-((($F36-$E36-$J36+1)-1)*($F36-$E36-$J36+1)/2)^2)/($J36*($F36-1)^3)),0)))</f>
        <v/>
      </c>
      <c r="H36" s="11">
        <f>IF($A36="","",IF($B$2="Final","Final",IF($B$2="In progress","Projected","Not started")))</f>
        <v/>
      </c>
      <c r="I36" s="11">
        <f>IF($A36="","",IF(COUNTIF(Players!$A$2:$A$500,$A36)=0,"Player is not on the Players tab",IF(COUNTIF($A$7:$A$156,$A36)&gt;1,"Player is listed twice",IF(NOT(ISNUMBER($B36)),"Enter a score",IF(COUNTIFS($D$7:$D$156,$D36,$C$7:$C$156,"Winner")&gt;1,"More than one "&amp;$D36&amp;" winner picked",IF(AND($C36="Winner",COUNTIFS($D$7:$D$156,$D36,$B$7:$B$156,"&lt;"&amp;$B36)&gt;0),"The winner doesn't have the best "&amp;$D36&amp;" score",IF(AND($B$2="Final",COUNTIFS($D$7:$D$156,$D36,$C$7:$C$156,"Winner")=0),"Final: pick the "&amp;$D36&amp;" winner",IF($B$2="Not started","Set Status to In progress to count points","OK"))))))))</f>
        <v/>
      </c>
      <c r="J36" s="11">
        <f>IF(OR($A36="",NOT(ISNUMBER($B36))),"",IF($C36="Winner",1,COUNTIFS($D$7:$D$156,$D36,$B$7:$B$156,$B36)-IF(AND(NOT($C36="Winner"),COUNTIFS($D$7:$D$156,$D36,$C$7:$C$156,"Winner",$B$7:$B$156,$B36)&gt;0),1,0)))</f>
        <v/>
      </c>
    </row>
    <row r="37">
      <c r="D37" s="11">
        <f>IF($A37="","",IFERROR(IF(VLOOKUP($A37,Players!$A$2:$B$500,2,FALSE)="","Open",VLOOKUP($A37,Players!$A$2:$B$500,2,FALSE)),"Open"))</f>
        <v/>
      </c>
      <c r="E37" s="11">
        <f>IF(OR($A37="",NOT(ISNUMBER($B37))),"",IF($C37="Winner",1,COUNTIFS($D$7:$D$156,$D37,$B$7:$B$156,"&lt;"&amp;$B37)+1+IF(AND(NOT($C37="Winner"),COUNTIFS($D$7:$D$156,$D37,$C$7:$C$156,"Winner",$B$7:$B$156,$B37)&gt;0),1,0)))</f>
        <v/>
      </c>
      <c r="F37" s="11">
        <f>IF(OR($A37="",NOT(ISNUMBER($B37))),"",COUNTIFS($D$7:$D$156,$D37,$B$7:$B$156,"&gt;0"))</f>
        <v/>
      </c>
      <c r="G37" s="11">
        <f>IF(OR(OR($A37="",NOT(ISNUMBER($B37))),$B$2="Not started"),"",IF($C37="Winner",Points!$B$3,ROUND(Points!$B$3*IF($F37&lt;=1,1,Points!$H$7+(1-Points!$H$7)*((($F37-$E37)*(($F37-$E37)+1)/2)^2-((($F37-$E37-$J37+1)-1)*($F37-$E37-$J37+1)/2)^2)/($J37*($F37-1)^3)),0)))</f>
        <v/>
      </c>
      <c r="H37" s="11">
        <f>IF($A37="","",IF($B$2="Final","Final",IF($B$2="In progress","Projected","Not started")))</f>
        <v/>
      </c>
      <c r="I37" s="11">
        <f>IF($A37="","",IF(COUNTIF(Players!$A$2:$A$500,$A37)=0,"Player is not on the Players tab",IF(COUNTIF($A$7:$A$156,$A37)&gt;1,"Player is listed twice",IF(NOT(ISNUMBER($B37)),"Enter a score",IF(COUNTIFS($D$7:$D$156,$D37,$C$7:$C$156,"Winner")&gt;1,"More than one "&amp;$D37&amp;" winner picked",IF(AND($C37="Winner",COUNTIFS($D$7:$D$156,$D37,$B$7:$B$156,"&lt;"&amp;$B37)&gt;0),"The winner doesn't have the best "&amp;$D37&amp;" score",IF(AND($B$2="Final",COUNTIFS($D$7:$D$156,$D37,$C$7:$C$156,"Winner")=0),"Final: pick the "&amp;$D37&amp;" winner",IF($B$2="Not started","Set Status to In progress to count points","OK"))))))))</f>
        <v/>
      </c>
      <c r="J37" s="11">
        <f>IF(OR($A37="",NOT(ISNUMBER($B37))),"",IF($C37="Winner",1,COUNTIFS($D$7:$D$156,$D37,$B$7:$B$156,$B37)-IF(AND(NOT($C37="Winner"),COUNTIFS($D$7:$D$156,$D37,$C$7:$C$156,"Winner",$B$7:$B$156,$B37)&gt;0),1,0)))</f>
        <v/>
      </c>
    </row>
    <row r="38">
      <c r="D38" s="11">
        <f>IF($A38="","",IFERROR(IF(VLOOKUP($A38,Players!$A$2:$B$500,2,FALSE)="","Open",VLOOKUP($A38,Players!$A$2:$B$500,2,FALSE)),"Open"))</f>
        <v/>
      </c>
      <c r="E38" s="11">
        <f>IF(OR($A38="",NOT(ISNUMBER($B38))),"",IF($C38="Winner",1,COUNTIFS($D$7:$D$156,$D38,$B$7:$B$156,"&lt;"&amp;$B38)+1+IF(AND(NOT($C38="Winner"),COUNTIFS($D$7:$D$156,$D38,$C$7:$C$156,"Winner",$B$7:$B$156,$B38)&gt;0),1,0)))</f>
        <v/>
      </c>
      <c r="F38" s="11">
        <f>IF(OR($A38="",NOT(ISNUMBER($B38))),"",COUNTIFS($D$7:$D$156,$D38,$B$7:$B$156,"&gt;0"))</f>
        <v/>
      </c>
      <c r="G38" s="11">
        <f>IF(OR(OR($A38="",NOT(ISNUMBER($B38))),$B$2="Not started"),"",IF($C38="Winner",Points!$B$3,ROUND(Points!$B$3*IF($F38&lt;=1,1,Points!$H$7+(1-Points!$H$7)*((($F38-$E38)*(($F38-$E38)+1)/2)^2-((($F38-$E38-$J38+1)-1)*($F38-$E38-$J38+1)/2)^2)/($J38*($F38-1)^3)),0)))</f>
        <v/>
      </c>
      <c r="H38" s="11">
        <f>IF($A38="","",IF($B$2="Final","Final",IF($B$2="In progress","Projected","Not started")))</f>
        <v/>
      </c>
      <c r="I38" s="11">
        <f>IF($A38="","",IF(COUNTIF(Players!$A$2:$A$500,$A38)=0,"Player is not on the Players tab",IF(COUNTIF($A$7:$A$156,$A38)&gt;1,"Player is listed twice",IF(NOT(ISNUMBER($B38)),"Enter a score",IF(COUNTIFS($D$7:$D$156,$D38,$C$7:$C$156,"Winner")&gt;1,"More than one "&amp;$D38&amp;" winner picked",IF(AND($C38="Winner",COUNTIFS($D$7:$D$156,$D38,$B$7:$B$156,"&lt;"&amp;$B38)&gt;0),"The winner doesn't have the best "&amp;$D38&amp;" score",IF(AND($B$2="Final",COUNTIFS($D$7:$D$156,$D38,$C$7:$C$156,"Winner")=0),"Final: pick the "&amp;$D38&amp;" winner",IF($B$2="Not started","Set Status to In progress to count points","OK"))))))))</f>
        <v/>
      </c>
      <c r="J38" s="11">
        <f>IF(OR($A38="",NOT(ISNUMBER($B38))),"",IF($C38="Winner",1,COUNTIFS($D$7:$D$156,$D38,$B$7:$B$156,$B38)-IF(AND(NOT($C38="Winner"),COUNTIFS($D$7:$D$156,$D38,$C$7:$C$156,"Winner",$B$7:$B$156,$B38)&gt;0),1,0)))</f>
        <v/>
      </c>
    </row>
    <row r="39">
      <c r="D39" s="11">
        <f>IF($A39="","",IFERROR(IF(VLOOKUP($A39,Players!$A$2:$B$500,2,FALSE)="","Open",VLOOKUP($A39,Players!$A$2:$B$500,2,FALSE)),"Open"))</f>
        <v/>
      </c>
      <c r="E39" s="11">
        <f>IF(OR($A39="",NOT(ISNUMBER($B39))),"",IF($C39="Winner",1,COUNTIFS($D$7:$D$156,$D39,$B$7:$B$156,"&lt;"&amp;$B39)+1+IF(AND(NOT($C39="Winner"),COUNTIFS($D$7:$D$156,$D39,$C$7:$C$156,"Winner",$B$7:$B$156,$B39)&gt;0),1,0)))</f>
        <v/>
      </c>
      <c r="F39" s="11">
        <f>IF(OR($A39="",NOT(ISNUMBER($B39))),"",COUNTIFS($D$7:$D$156,$D39,$B$7:$B$156,"&gt;0"))</f>
        <v/>
      </c>
      <c r="G39" s="11">
        <f>IF(OR(OR($A39="",NOT(ISNUMBER($B39))),$B$2="Not started"),"",IF($C39="Winner",Points!$B$3,ROUND(Points!$B$3*IF($F39&lt;=1,1,Points!$H$7+(1-Points!$H$7)*((($F39-$E39)*(($F39-$E39)+1)/2)^2-((($F39-$E39-$J39+1)-1)*($F39-$E39-$J39+1)/2)^2)/($J39*($F39-1)^3)),0)))</f>
        <v/>
      </c>
      <c r="H39" s="11">
        <f>IF($A39="","",IF($B$2="Final","Final",IF($B$2="In progress","Projected","Not started")))</f>
        <v/>
      </c>
      <c r="I39" s="11">
        <f>IF($A39="","",IF(COUNTIF(Players!$A$2:$A$500,$A39)=0,"Player is not on the Players tab",IF(COUNTIF($A$7:$A$156,$A39)&gt;1,"Player is listed twice",IF(NOT(ISNUMBER($B39)),"Enter a score",IF(COUNTIFS($D$7:$D$156,$D39,$C$7:$C$156,"Winner")&gt;1,"More than one "&amp;$D39&amp;" winner picked",IF(AND($C39="Winner",COUNTIFS($D$7:$D$156,$D39,$B$7:$B$156,"&lt;"&amp;$B39)&gt;0),"The winner doesn't have the best "&amp;$D39&amp;" score",IF(AND($B$2="Final",COUNTIFS($D$7:$D$156,$D39,$C$7:$C$156,"Winner")=0),"Final: pick the "&amp;$D39&amp;" winner",IF($B$2="Not started","Set Status to In progress to count points","OK"))))))))</f>
        <v/>
      </c>
      <c r="J39" s="11">
        <f>IF(OR($A39="",NOT(ISNUMBER($B39))),"",IF($C39="Winner",1,COUNTIFS($D$7:$D$156,$D39,$B$7:$B$156,$B39)-IF(AND(NOT($C39="Winner"),COUNTIFS($D$7:$D$156,$D39,$C$7:$C$156,"Winner",$B$7:$B$156,$B39)&gt;0),1,0)))</f>
        <v/>
      </c>
    </row>
    <row r="40">
      <c r="D40" s="11">
        <f>IF($A40="","",IFERROR(IF(VLOOKUP($A40,Players!$A$2:$B$500,2,FALSE)="","Open",VLOOKUP($A40,Players!$A$2:$B$500,2,FALSE)),"Open"))</f>
        <v/>
      </c>
      <c r="E40" s="11">
        <f>IF(OR($A40="",NOT(ISNUMBER($B40))),"",IF($C40="Winner",1,COUNTIFS($D$7:$D$156,$D40,$B$7:$B$156,"&lt;"&amp;$B40)+1+IF(AND(NOT($C40="Winner"),COUNTIFS($D$7:$D$156,$D40,$C$7:$C$156,"Winner",$B$7:$B$156,$B40)&gt;0),1,0)))</f>
        <v/>
      </c>
      <c r="F40" s="11">
        <f>IF(OR($A40="",NOT(ISNUMBER($B40))),"",COUNTIFS($D$7:$D$156,$D40,$B$7:$B$156,"&gt;0"))</f>
        <v/>
      </c>
      <c r="G40" s="11">
        <f>IF(OR(OR($A40="",NOT(ISNUMBER($B40))),$B$2="Not started"),"",IF($C40="Winner",Points!$B$3,ROUND(Points!$B$3*IF($F40&lt;=1,1,Points!$H$7+(1-Points!$H$7)*((($F40-$E40)*(($F40-$E40)+1)/2)^2-((($F40-$E40-$J40+1)-1)*($F40-$E40-$J40+1)/2)^2)/($J40*($F40-1)^3)),0)))</f>
        <v/>
      </c>
      <c r="H40" s="11">
        <f>IF($A40="","",IF($B$2="Final","Final",IF($B$2="In progress","Projected","Not started")))</f>
        <v/>
      </c>
      <c r="I40" s="11">
        <f>IF($A40="","",IF(COUNTIF(Players!$A$2:$A$500,$A40)=0,"Player is not on the Players tab",IF(COUNTIF($A$7:$A$156,$A40)&gt;1,"Player is listed twice",IF(NOT(ISNUMBER($B40)),"Enter a score",IF(COUNTIFS($D$7:$D$156,$D40,$C$7:$C$156,"Winner")&gt;1,"More than one "&amp;$D40&amp;" winner picked",IF(AND($C40="Winner",COUNTIFS($D$7:$D$156,$D40,$B$7:$B$156,"&lt;"&amp;$B40)&gt;0),"The winner doesn't have the best "&amp;$D40&amp;" score",IF(AND($B$2="Final",COUNTIFS($D$7:$D$156,$D40,$C$7:$C$156,"Winner")=0),"Final: pick the "&amp;$D40&amp;" winner",IF($B$2="Not started","Set Status to In progress to count points","OK"))))))))</f>
        <v/>
      </c>
      <c r="J40" s="11">
        <f>IF(OR($A40="",NOT(ISNUMBER($B40))),"",IF($C40="Winner",1,COUNTIFS($D$7:$D$156,$D40,$B$7:$B$156,$B40)-IF(AND(NOT($C40="Winner"),COUNTIFS($D$7:$D$156,$D40,$C$7:$C$156,"Winner",$B$7:$B$156,$B40)&gt;0),1,0)))</f>
        <v/>
      </c>
    </row>
    <row r="41">
      <c r="D41" s="11">
        <f>IF($A41="","",IFERROR(IF(VLOOKUP($A41,Players!$A$2:$B$500,2,FALSE)="","Open",VLOOKUP($A41,Players!$A$2:$B$500,2,FALSE)),"Open"))</f>
        <v/>
      </c>
      <c r="E41" s="11">
        <f>IF(OR($A41="",NOT(ISNUMBER($B41))),"",IF($C41="Winner",1,COUNTIFS($D$7:$D$156,$D41,$B$7:$B$156,"&lt;"&amp;$B41)+1+IF(AND(NOT($C41="Winner"),COUNTIFS($D$7:$D$156,$D41,$C$7:$C$156,"Winner",$B$7:$B$156,$B41)&gt;0),1,0)))</f>
        <v/>
      </c>
      <c r="F41" s="11">
        <f>IF(OR($A41="",NOT(ISNUMBER($B41))),"",COUNTIFS($D$7:$D$156,$D41,$B$7:$B$156,"&gt;0"))</f>
        <v/>
      </c>
      <c r="G41" s="11">
        <f>IF(OR(OR($A41="",NOT(ISNUMBER($B41))),$B$2="Not started"),"",IF($C41="Winner",Points!$B$3,ROUND(Points!$B$3*IF($F41&lt;=1,1,Points!$H$7+(1-Points!$H$7)*((($F41-$E41)*(($F41-$E41)+1)/2)^2-((($F41-$E41-$J41+1)-1)*($F41-$E41-$J41+1)/2)^2)/($J41*($F41-1)^3)),0)))</f>
        <v/>
      </c>
      <c r="H41" s="11">
        <f>IF($A41="","",IF($B$2="Final","Final",IF($B$2="In progress","Projected","Not started")))</f>
        <v/>
      </c>
      <c r="I41" s="11">
        <f>IF($A41="","",IF(COUNTIF(Players!$A$2:$A$500,$A41)=0,"Player is not on the Players tab",IF(COUNTIF($A$7:$A$156,$A41)&gt;1,"Player is listed twice",IF(NOT(ISNUMBER($B41)),"Enter a score",IF(COUNTIFS($D$7:$D$156,$D41,$C$7:$C$156,"Winner")&gt;1,"More than one "&amp;$D41&amp;" winner picked",IF(AND($C41="Winner",COUNTIFS($D$7:$D$156,$D41,$B$7:$B$156,"&lt;"&amp;$B41)&gt;0),"The winner doesn't have the best "&amp;$D41&amp;" score",IF(AND($B$2="Final",COUNTIFS($D$7:$D$156,$D41,$C$7:$C$156,"Winner")=0),"Final: pick the "&amp;$D41&amp;" winner",IF($B$2="Not started","Set Status to In progress to count points","OK"))))))))</f>
        <v/>
      </c>
      <c r="J41" s="11">
        <f>IF(OR($A41="",NOT(ISNUMBER($B41))),"",IF($C41="Winner",1,COUNTIFS($D$7:$D$156,$D41,$B$7:$B$156,$B41)-IF(AND(NOT($C41="Winner"),COUNTIFS($D$7:$D$156,$D41,$C$7:$C$156,"Winner",$B$7:$B$156,$B41)&gt;0),1,0)))</f>
        <v/>
      </c>
    </row>
    <row r="42">
      <c r="D42" s="11">
        <f>IF($A42="","",IFERROR(IF(VLOOKUP($A42,Players!$A$2:$B$500,2,FALSE)="","Open",VLOOKUP($A42,Players!$A$2:$B$500,2,FALSE)),"Open"))</f>
        <v/>
      </c>
      <c r="E42" s="11">
        <f>IF(OR($A42="",NOT(ISNUMBER($B42))),"",IF($C42="Winner",1,COUNTIFS($D$7:$D$156,$D42,$B$7:$B$156,"&lt;"&amp;$B42)+1+IF(AND(NOT($C42="Winner"),COUNTIFS($D$7:$D$156,$D42,$C$7:$C$156,"Winner",$B$7:$B$156,$B42)&gt;0),1,0)))</f>
        <v/>
      </c>
      <c r="F42" s="11">
        <f>IF(OR($A42="",NOT(ISNUMBER($B42))),"",COUNTIFS($D$7:$D$156,$D42,$B$7:$B$156,"&gt;0"))</f>
        <v/>
      </c>
      <c r="G42" s="11">
        <f>IF(OR(OR($A42="",NOT(ISNUMBER($B42))),$B$2="Not started"),"",IF($C42="Winner",Points!$B$3,ROUND(Points!$B$3*IF($F42&lt;=1,1,Points!$H$7+(1-Points!$H$7)*((($F42-$E42)*(($F42-$E42)+1)/2)^2-((($F42-$E42-$J42+1)-1)*($F42-$E42-$J42+1)/2)^2)/($J42*($F42-1)^3)),0)))</f>
        <v/>
      </c>
      <c r="H42" s="11">
        <f>IF($A42="","",IF($B$2="Final","Final",IF($B$2="In progress","Projected","Not started")))</f>
        <v/>
      </c>
      <c r="I42" s="11">
        <f>IF($A42="","",IF(COUNTIF(Players!$A$2:$A$500,$A42)=0,"Player is not on the Players tab",IF(COUNTIF($A$7:$A$156,$A42)&gt;1,"Player is listed twice",IF(NOT(ISNUMBER($B42)),"Enter a score",IF(COUNTIFS($D$7:$D$156,$D42,$C$7:$C$156,"Winner")&gt;1,"More than one "&amp;$D42&amp;" winner picked",IF(AND($C42="Winner",COUNTIFS($D$7:$D$156,$D42,$B$7:$B$156,"&lt;"&amp;$B42)&gt;0),"The winner doesn't have the best "&amp;$D42&amp;" score",IF(AND($B$2="Final",COUNTIFS($D$7:$D$156,$D42,$C$7:$C$156,"Winner")=0),"Final: pick the "&amp;$D42&amp;" winner",IF($B$2="Not started","Set Status to In progress to count points","OK"))))))))</f>
        <v/>
      </c>
      <c r="J42" s="11">
        <f>IF(OR($A42="",NOT(ISNUMBER($B42))),"",IF($C42="Winner",1,COUNTIFS($D$7:$D$156,$D42,$B$7:$B$156,$B42)-IF(AND(NOT($C42="Winner"),COUNTIFS($D$7:$D$156,$D42,$C$7:$C$156,"Winner",$B$7:$B$156,$B42)&gt;0),1,0)))</f>
        <v/>
      </c>
    </row>
    <row r="43">
      <c r="D43" s="11">
        <f>IF($A43="","",IFERROR(IF(VLOOKUP($A43,Players!$A$2:$B$500,2,FALSE)="","Open",VLOOKUP($A43,Players!$A$2:$B$500,2,FALSE)),"Open"))</f>
        <v/>
      </c>
      <c r="E43" s="11">
        <f>IF(OR($A43="",NOT(ISNUMBER($B43))),"",IF($C43="Winner",1,COUNTIFS($D$7:$D$156,$D43,$B$7:$B$156,"&lt;"&amp;$B43)+1+IF(AND(NOT($C43="Winner"),COUNTIFS($D$7:$D$156,$D43,$C$7:$C$156,"Winner",$B$7:$B$156,$B43)&gt;0),1,0)))</f>
        <v/>
      </c>
      <c r="F43" s="11">
        <f>IF(OR($A43="",NOT(ISNUMBER($B43))),"",COUNTIFS($D$7:$D$156,$D43,$B$7:$B$156,"&gt;0"))</f>
        <v/>
      </c>
      <c r="G43" s="11">
        <f>IF(OR(OR($A43="",NOT(ISNUMBER($B43))),$B$2="Not started"),"",IF($C43="Winner",Points!$B$3,ROUND(Points!$B$3*IF($F43&lt;=1,1,Points!$H$7+(1-Points!$H$7)*((($F43-$E43)*(($F43-$E43)+1)/2)^2-((($F43-$E43-$J43+1)-1)*($F43-$E43-$J43+1)/2)^2)/($J43*($F43-1)^3)),0)))</f>
        <v/>
      </c>
      <c r="H43" s="11">
        <f>IF($A43="","",IF($B$2="Final","Final",IF($B$2="In progress","Projected","Not started")))</f>
        <v/>
      </c>
      <c r="I43" s="11">
        <f>IF($A43="","",IF(COUNTIF(Players!$A$2:$A$500,$A43)=0,"Player is not on the Players tab",IF(COUNTIF($A$7:$A$156,$A43)&gt;1,"Player is listed twice",IF(NOT(ISNUMBER($B43)),"Enter a score",IF(COUNTIFS($D$7:$D$156,$D43,$C$7:$C$156,"Winner")&gt;1,"More than one "&amp;$D43&amp;" winner picked",IF(AND($C43="Winner",COUNTIFS($D$7:$D$156,$D43,$B$7:$B$156,"&lt;"&amp;$B43)&gt;0),"The winner doesn't have the best "&amp;$D43&amp;" score",IF(AND($B$2="Final",COUNTIFS($D$7:$D$156,$D43,$C$7:$C$156,"Winner")=0),"Final: pick the "&amp;$D43&amp;" winner",IF($B$2="Not started","Set Status to In progress to count points","OK"))))))))</f>
        <v/>
      </c>
      <c r="J43" s="11">
        <f>IF(OR($A43="",NOT(ISNUMBER($B43))),"",IF($C43="Winner",1,COUNTIFS($D$7:$D$156,$D43,$B$7:$B$156,$B43)-IF(AND(NOT($C43="Winner"),COUNTIFS($D$7:$D$156,$D43,$C$7:$C$156,"Winner",$B$7:$B$156,$B43)&gt;0),1,0)))</f>
        <v/>
      </c>
    </row>
    <row r="44">
      <c r="D44" s="11">
        <f>IF($A44="","",IFERROR(IF(VLOOKUP($A44,Players!$A$2:$B$500,2,FALSE)="","Open",VLOOKUP($A44,Players!$A$2:$B$500,2,FALSE)),"Open"))</f>
        <v/>
      </c>
      <c r="E44" s="11">
        <f>IF(OR($A44="",NOT(ISNUMBER($B44))),"",IF($C44="Winner",1,COUNTIFS($D$7:$D$156,$D44,$B$7:$B$156,"&lt;"&amp;$B44)+1+IF(AND(NOT($C44="Winner"),COUNTIFS($D$7:$D$156,$D44,$C$7:$C$156,"Winner",$B$7:$B$156,$B44)&gt;0),1,0)))</f>
        <v/>
      </c>
      <c r="F44" s="11">
        <f>IF(OR($A44="",NOT(ISNUMBER($B44))),"",COUNTIFS($D$7:$D$156,$D44,$B$7:$B$156,"&gt;0"))</f>
        <v/>
      </c>
      <c r="G44" s="11">
        <f>IF(OR(OR($A44="",NOT(ISNUMBER($B44))),$B$2="Not started"),"",IF($C44="Winner",Points!$B$3,ROUND(Points!$B$3*IF($F44&lt;=1,1,Points!$H$7+(1-Points!$H$7)*((($F44-$E44)*(($F44-$E44)+1)/2)^2-((($F44-$E44-$J44+1)-1)*($F44-$E44-$J44+1)/2)^2)/($J44*($F44-1)^3)),0)))</f>
        <v/>
      </c>
      <c r="H44" s="11">
        <f>IF($A44="","",IF($B$2="Final","Final",IF($B$2="In progress","Projected","Not started")))</f>
        <v/>
      </c>
      <c r="I44" s="11">
        <f>IF($A44="","",IF(COUNTIF(Players!$A$2:$A$500,$A44)=0,"Player is not on the Players tab",IF(COUNTIF($A$7:$A$156,$A44)&gt;1,"Player is listed twice",IF(NOT(ISNUMBER($B44)),"Enter a score",IF(COUNTIFS($D$7:$D$156,$D44,$C$7:$C$156,"Winner")&gt;1,"More than one "&amp;$D44&amp;" winner picked",IF(AND($C44="Winner",COUNTIFS($D$7:$D$156,$D44,$B$7:$B$156,"&lt;"&amp;$B44)&gt;0),"The winner doesn't have the best "&amp;$D44&amp;" score",IF(AND($B$2="Final",COUNTIFS($D$7:$D$156,$D44,$C$7:$C$156,"Winner")=0),"Final: pick the "&amp;$D44&amp;" winner",IF($B$2="Not started","Set Status to In progress to count points","OK"))))))))</f>
        <v/>
      </c>
      <c r="J44" s="11">
        <f>IF(OR($A44="",NOT(ISNUMBER($B44))),"",IF($C44="Winner",1,COUNTIFS($D$7:$D$156,$D44,$B$7:$B$156,$B44)-IF(AND(NOT($C44="Winner"),COUNTIFS($D$7:$D$156,$D44,$C$7:$C$156,"Winner",$B$7:$B$156,$B44)&gt;0),1,0)))</f>
        <v/>
      </c>
    </row>
    <row r="45">
      <c r="D45" s="11">
        <f>IF($A45="","",IFERROR(IF(VLOOKUP($A45,Players!$A$2:$B$500,2,FALSE)="","Open",VLOOKUP($A45,Players!$A$2:$B$500,2,FALSE)),"Open"))</f>
        <v/>
      </c>
      <c r="E45" s="11">
        <f>IF(OR($A45="",NOT(ISNUMBER($B45))),"",IF($C45="Winner",1,COUNTIFS($D$7:$D$156,$D45,$B$7:$B$156,"&lt;"&amp;$B45)+1+IF(AND(NOT($C45="Winner"),COUNTIFS($D$7:$D$156,$D45,$C$7:$C$156,"Winner",$B$7:$B$156,$B45)&gt;0),1,0)))</f>
        <v/>
      </c>
      <c r="F45" s="11">
        <f>IF(OR($A45="",NOT(ISNUMBER($B45))),"",COUNTIFS($D$7:$D$156,$D45,$B$7:$B$156,"&gt;0"))</f>
        <v/>
      </c>
      <c r="G45" s="11">
        <f>IF(OR(OR($A45="",NOT(ISNUMBER($B45))),$B$2="Not started"),"",IF($C45="Winner",Points!$B$3,ROUND(Points!$B$3*IF($F45&lt;=1,1,Points!$H$7+(1-Points!$H$7)*((($F45-$E45)*(($F45-$E45)+1)/2)^2-((($F45-$E45-$J45+1)-1)*($F45-$E45-$J45+1)/2)^2)/($J45*($F45-1)^3)),0)))</f>
        <v/>
      </c>
      <c r="H45" s="11">
        <f>IF($A45="","",IF($B$2="Final","Final",IF($B$2="In progress","Projected","Not started")))</f>
        <v/>
      </c>
      <c r="I45" s="11">
        <f>IF($A45="","",IF(COUNTIF(Players!$A$2:$A$500,$A45)=0,"Player is not on the Players tab",IF(COUNTIF($A$7:$A$156,$A45)&gt;1,"Player is listed twice",IF(NOT(ISNUMBER($B45)),"Enter a score",IF(COUNTIFS($D$7:$D$156,$D45,$C$7:$C$156,"Winner")&gt;1,"More than one "&amp;$D45&amp;" winner picked",IF(AND($C45="Winner",COUNTIFS($D$7:$D$156,$D45,$B$7:$B$156,"&lt;"&amp;$B45)&gt;0),"The winner doesn't have the best "&amp;$D45&amp;" score",IF(AND($B$2="Final",COUNTIFS($D$7:$D$156,$D45,$C$7:$C$156,"Winner")=0),"Final: pick the "&amp;$D45&amp;" winner",IF($B$2="Not started","Set Status to In progress to count points","OK"))))))))</f>
        <v/>
      </c>
      <c r="J45" s="11">
        <f>IF(OR($A45="",NOT(ISNUMBER($B45))),"",IF($C45="Winner",1,COUNTIFS($D$7:$D$156,$D45,$B$7:$B$156,$B45)-IF(AND(NOT($C45="Winner"),COUNTIFS($D$7:$D$156,$D45,$C$7:$C$156,"Winner",$B$7:$B$156,$B45)&gt;0),1,0)))</f>
        <v/>
      </c>
    </row>
    <row r="46">
      <c r="D46" s="11">
        <f>IF($A46="","",IFERROR(IF(VLOOKUP($A46,Players!$A$2:$B$500,2,FALSE)="","Open",VLOOKUP($A46,Players!$A$2:$B$500,2,FALSE)),"Open"))</f>
        <v/>
      </c>
      <c r="E46" s="11">
        <f>IF(OR($A46="",NOT(ISNUMBER($B46))),"",IF($C46="Winner",1,COUNTIFS($D$7:$D$156,$D46,$B$7:$B$156,"&lt;"&amp;$B46)+1+IF(AND(NOT($C46="Winner"),COUNTIFS($D$7:$D$156,$D46,$C$7:$C$156,"Winner",$B$7:$B$156,$B46)&gt;0),1,0)))</f>
        <v/>
      </c>
      <c r="F46" s="11">
        <f>IF(OR($A46="",NOT(ISNUMBER($B46))),"",COUNTIFS($D$7:$D$156,$D46,$B$7:$B$156,"&gt;0"))</f>
        <v/>
      </c>
      <c r="G46" s="11">
        <f>IF(OR(OR($A46="",NOT(ISNUMBER($B46))),$B$2="Not started"),"",IF($C46="Winner",Points!$B$3,ROUND(Points!$B$3*IF($F46&lt;=1,1,Points!$H$7+(1-Points!$H$7)*((($F46-$E46)*(($F46-$E46)+1)/2)^2-((($F46-$E46-$J46+1)-1)*($F46-$E46-$J46+1)/2)^2)/($J46*($F46-1)^3)),0)))</f>
        <v/>
      </c>
      <c r="H46" s="11">
        <f>IF($A46="","",IF($B$2="Final","Final",IF($B$2="In progress","Projected","Not started")))</f>
        <v/>
      </c>
      <c r="I46" s="11">
        <f>IF($A46="","",IF(COUNTIF(Players!$A$2:$A$500,$A46)=0,"Player is not on the Players tab",IF(COUNTIF($A$7:$A$156,$A46)&gt;1,"Player is listed twice",IF(NOT(ISNUMBER($B46)),"Enter a score",IF(COUNTIFS($D$7:$D$156,$D46,$C$7:$C$156,"Winner")&gt;1,"More than one "&amp;$D46&amp;" winner picked",IF(AND($C46="Winner",COUNTIFS($D$7:$D$156,$D46,$B$7:$B$156,"&lt;"&amp;$B46)&gt;0),"The winner doesn't have the best "&amp;$D46&amp;" score",IF(AND($B$2="Final",COUNTIFS($D$7:$D$156,$D46,$C$7:$C$156,"Winner")=0),"Final: pick the "&amp;$D46&amp;" winner",IF($B$2="Not started","Set Status to In progress to count points","OK"))))))))</f>
        <v/>
      </c>
      <c r="J46" s="11">
        <f>IF(OR($A46="",NOT(ISNUMBER($B46))),"",IF($C46="Winner",1,COUNTIFS($D$7:$D$156,$D46,$B$7:$B$156,$B46)-IF(AND(NOT($C46="Winner"),COUNTIFS($D$7:$D$156,$D46,$C$7:$C$156,"Winner",$B$7:$B$156,$B46)&gt;0),1,0)))</f>
        <v/>
      </c>
    </row>
    <row r="47">
      <c r="D47" s="11">
        <f>IF($A47="","",IFERROR(IF(VLOOKUP($A47,Players!$A$2:$B$500,2,FALSE)="","Open",VLOOKUP($A47,Players!$A$2:$B$500,2,FALSE)),"Open"))</f>
        <v/>
      </c>
      <c r="E47" s="11">
        <f>IF(OR($A47="",NOT(ISNUMBER($B47))),"",IF($C47="Winner",1,COUNTIFS($D$7:$D$156,$D47,$B$7:$B$156,"&lt;"&amp;$B47)+1+IF(AND(NOT($C47="Winner"),COUNTIFS($D$7:$D$156,$D47,$C$7:$C$156,"Winner",$B$7:$B$156,$B47)&gt;0),1,0)))</f>
        <v/>
      </c>
      <c r="F47" s="11">
        <f>IF(OR($A47="",NOT(ISNUMBER($B47))),"",COUNTIFS($D$7:$D$156,$D47,$B$7:$B$156,"&gt;0"))</f>
        <v/>
      </c>
      <c r="G47" s="11">
        <f>IF(OR(OR($A47="",NOT(ISNUMBER($B47))),$B$2="Not started"),"",IF($C47="Winner",Points!$B$3,ROUND(Points!$B$3*IF($F47&lt;=1,1,Points!$H$7+(1-Points!$H$7)*((($F47-$E47)*(($F47-$E47)+1)/2)^2-((($F47-$E47-$J47+1)-1)*($F47-$E47-$J47+1)/2)^2)/($J47*($F47-1)^3)),0)))</f>
        <v/>
      </c>
      <c r="H47" s="11">
        <f>IF($A47="","",IF($B$2="Final","Final",IF($B$2="In progress","Projected","Not started")))</f>
        <v/>
      </c>
      <c r="I47" s="11">
        <f>IF($A47="","",IF(COUNTIF(Players!$A$2:$A$500,$A47)=0,"Player is not on the Players tab",IF(COUNTIF($A$7:$A$156,$A47)&gt;1,"Player is listed twice",IF(NOT(ISNUMBER($B47)),"Enter a score",IF(COUNTIFS($D$7:$D$156,$D47,$C$7:$C$156,"Winner")&gt;1,"More than one "&amp;$D47&amp;" winner picked",IF(AND($C47="Winner",COUNTIFS($D$7:$D$156,$D47,$B$7:$B$156,"&lt;"&amp;$B47)&gt;0),"The winner doesn't have the best "&amp;$D47&amp;" score",IF(AND($B$2="Final",COUNTIFS($D$7:$D$156,$D47,$C$7:$C$156,"Winner")=0),"Final: pick the "&amp;$D47&amp;" winner",IF($B$2="Not started","Set Status to In progress to count points","OK"))))))))</f>
        <v/>
      </c>
      <c r="J47" s="11">
        <f>IF(OR($A47="",NOT(ISNUMBER($B47))),"",IF($C47="Winner",1,COUNTIFS($D$7:$D$156,$D47,$B$7:$B$156,$B47)-IF(AND(NOT($C47="Winner"),COUNTIFS($D$7:$D$156,$D47,$C$7:$C$156,"Winner",$B$7:$B$156,$B47)&gt;0),1,0)))</f>
        <v/>
      </c>
    </row>
    <row r="48">
      <c r="D48" s="11">
        <f>IF($A48="","",IFERROR(IF(VLOOKUP($A48,Players!$A$2:$B$500,2,FALSE)="","Open",VLOOKUP($A48,Players!$A$2:$B$500,2,FALSE)),"Open"))</f>
        <v/>
      </c>
      <c r="E48" s="11">
        <f>IF(OR($A48="",NOT(ISNUMBER($B48))),"",IF($C48="Winner",1,COUNTIFS($D$7:$D$156,$D48,$B$7:$B$156,"&lt;"&amp;$B48)+1+IF(AND(NOT($C48="Winner"),COUNTIFS($D$7:$D$156,$D48,$C$7:$C$156,"Winner",$B$7:$B$156,$B48)&gt;0),1,0)))</f>
        <v/>
      </c>
      <c r="F48" s="11">
        <f>IF(OR($A48="",NOT(ISNUMBER($B48))),"",COUNTIFS($D$7:$D$156,$D48,$B$7:$B$156,"&gt;0"))</f>
        <v/>
      </c>
      <c r="G48" s="11">
        <f>IF(OR(OR($A48="",NOT(ISNUMBER($B48))),$B$2="Not started"),"",IF($C48="Winner",Points!$B$3,ROUND(Points!$B$3*IF($F48&lt;=1,1,Points!$H$7+(1-Points!$H$7)*((($F48-$E48)*(($F48-$E48)+1)/2)^2-((($F48-$E48-$J48+1)-1)*($F48-$E48-$J48+1)/2)^2)/($J48*($F48-1)^3)),0)))</f>
        <v/>
      </c>
      <c r="H48" s="11">
        <f>IF($A48="","",IF($B$2="Final","Final",IF($B$2="In progress","Projected","Not started")))</f>
        <v/>
      </c>
      <c r="I48" s="11">
        <f>IF($A48="","",IF(COUNTIF(Players!$A$2:$A$500,$A48)=0,"Player is not on the Players tab",IF(COUNTIF($A$7:$A$156,$A48)&gt;1,"Player is listed twice",IF(NOT(ISNUMBER($B48)),"Enter a score",IF(COUNTIFS($D$7:$D$156,$D48,$C$7:$C$156,"Winner")&gt;1,"More than one "&amp;$D48&amp;" winner picked",IF(AND($C48="Winner",COUNTIFS($D$7:$D$156,$D48,$B$7:$B$156,"&lt;"&amp;$B48)&gt;0),"The winner doesn't have the best "&amp;$D48&amp;" score",IF(AND($B$2="Final",COUNTIFS($D$7:$D$156,$D48,$C$7:$C$156,"Winner")=0),"Final: pick the "&amp;$D48&amp;" winner",IF($B$2="Not started","Set Status to In progress to count points","OK"))))))))</f>
        <v/>
      </c>
      <c r="J48" s="11">
        <f>IF(OR($A48="",NOT(ISNUMBER($B48))),"",IF($C48="Winner",1,COUNTIFS($D$7:$D$156,$D48,$B$7:$B$156,$B48)-IF(AND(NOT($C48="Winner"),COUNTIFS($D$7:$D$156,$D48,$C$7:$C$156,"Winner",$B$7:$B$156,$B48)&gt;0),1,0)))</f>
        <v/>
      </c>
    </row>
    <row r="49">
      <c r="D49" s="11">
        <f>IF($A49="","",IFERROR(IF(VLOOKUP($A49,Players!$A$2:$B$500,2,FALSE)="","Open",VLOOKUP($A49,Players!$A$2:$B$500,2,FALSE)),"Open"))</f>
        <v/>
      </c>
      <c r="E49" s="11">
        <f>IF(OR($A49="",NOT(ISNUMBER($B49))),"",IF($C49="Winner",1,COUNTIFS($D$7:$D$156,$D49,$B$7:$B$156,"&lt;"&amp;$B49)+1+IF(AND(NOT($C49="Winner"),COUNTIFS($D$7:$D$156,$D49,$C$7:$C$156,"Winner",$B$7:$B$156,$B49)&gt;0),1,0)))</f>
        <v/>
      </c>
      <c r="F49" s="11">
        <f>IF(OR($A49="",NOT(ISNUMBER($B49))),"",COUNTIFS($D$7:$D$156,$D49,$B$7:$B$156,"&gt;0"))</f>
        <v/>
      </c>
      <c r="G49" s="11">
        <f>IF(OR(OR($A49="",NOT(ISNUMBER($B49))),$B$2="Not started"),"",IF($C49="Winner",Points!$B$3,ROUND(Points!$B$3*IF($F49&lt;=1,1,Points!$H$7+(1-Points!$H$7)*((($F49-$E49)*(($F49-$E49)+1)/2)^2-((($F49-$E49-$J49+1)-1)*($F49-$E49-$J49+1)/2)^2)/($J49*($F49-1)^3)),0)))</f>
        <v/>
      </c>
      <c r="H49" s="11">
        <f>IF($A49="","",IF($B$2="Final","Final",IF($B$2="In progress","Projected","Not started")))</f>
        <v/>
      </c>
      <c r="I49" s="11">
        <f>IF($A49="","",IF(COUNTIF(Players!$A$2:$A$500,$A49)=0,"Player is not on the Players tab",IF(COUNTIF($A$7:$A$156,$A49)&gt;1,"Player is listed twice",IF(NOT(ISNUMBER($B49)),"Enter a score",IF(COUNTIFS($D$7:$D$156,$D49,$C$7:$C$156,"Winner")&gt;1,"More than one "&amp;$D49&amp;" winner picked",IF(AND($C49="Winner",COUNTIFS($D$7:$D$156,$D49,$B$7:$B$156,"&lt;"&amp;$B49)&gt;0),"The winner doesn't have the best "&amp;$D49&amp;" score",IF(AND($B$2="Final",COUNTIFS($D$7:$D$156,$D49,$C$7:$C$156,"Winner")=0),"Final: pick the "&amp;$D49&amp;" winner",IF($B$2="Not started","Set Status to In progress to count points","OK"))))))))</f>
        <v/>
      </c>
      <c r="J49" s="11">
        <f>IF(OR($A49="",NOT(ISNUMBER($B49))),"",IF($C49="Winner",1,COUNTIFS($D$7:$D$156,$D49,$B$7:$B$156,$B49)-IF(AND(NOT($C49="Winner"),COUNTIFS($D$7:$D$156,$D49,$C$7:$C$156,"Winner",$B$7:$B$156,$B49)&gt;0),1,0)))</f>
        <v/>
      </c>
    </row>
    <row r="50">
      <c r="D50" s="11">
        <f>IF($A50="","",IFERROR(IF(VLOOKUP($A50,Players!$A$2:$B$500,2,FALSE)="","Open",VLOOKUP($A50,Players!$A$2:$B$500,2,FALSE)),"Open"))</f>
        <v/>
      </c>
      <c r="E50" s="11">
        <f>IF(OR($A50="",NOT(ISNUMBER($B50))),"",IF($C50="Winner",1,COUNTIFS($D$7:$D$156,$D50,$B$7:$B$156,"&lt;"&amp;$B50)+1+IF(AND(NOT($C50="Winner"),COUNTIFS($D$7:$D$156,$D50,$C$7:$C$156,"Winner",$B$7:$B$156,$B50)&gt;0),1,0)))</f>
        <v/>
      </c>
      <c r="F50" s="11">
        <f>IF(OR($A50="",NOT(ISNUMBER($B50))),"",COUNTIFS($D$7:$D$156,$D50,$B$7:$B$156,"&gt;0"))</f>
        <v/>
      </c>
      <c r="G50" s="11">
        <f>IF(OR(OR($A50="",NOT(ISNUMBER($B50))),$B$2="Not started"),"",IF($C50="Winner",Points!$B$3,ROUND(Points!$B$3*IF($F50&lt;=1,1,Points!$H$7+(1-Points!$H$7)*((($F50-$E50)*(($F50-$E50)+1)/2)^2-((($F50-$E50-$J50+1)-1)*($F50-$E50-$J50+1)/2)^2)/($J50*($F50-1)^3)),0)))</f>
        <v/>
      </c>
      <c r="H50" s="11">
        <f>IF($A50="","",IF($B$2="Final","Final",IF($B$2="In progress","Projected","Not started")))</f>
        <v/>
      </c>
      <c r="I50" s="11">
        <f>IF($A50="","",IF(COUNTIF(Players!$A$2:$A$500,$A50)=0,"Player is not on the Players tab",IF(COUNTIF($A$7:$A$156,$A50)&gt;1,"Player is listed twice",IF(NOT(ISNUMBER($B50)),"Enter a score",IF(COUNTIFS($D$7:$D$156,$D50,$C$7:$C$156,"Winner")&gt;1,"More than one "&amp;$D50&amp;" winner picked",IF(AND($C50="Winner",COUNTIFS($D$7:$D$156,$D50,$B$7:$B$156,"&lt;"&amp;$B50)&gt;0),"The winner doesn't have the best "&amp;$D50&amp;" score",IF(AND($B$2="Final",COUNTIFS($D$7:$D$156,$D50,$C$7:$C$156,"Winner")=0),"Final: pick the "&amp;$D50&amp;" winner",IF($B$2="Not started","Set Status to In progress to count points","OK"))))))))</f>
        <v/>
      </c>
      <c r="J50" s="11">
        <f>IF(OR($A50="",NOT(ISNUMBER($B50))),"",IF($C50="Winner",1,COUNTIFS($D$7:$D$156,$D50,$B$7:$B$156,$B50)-IF(AND(NOT($C50="Winner"),COUNTIFS($D$7:$D$156,$D50,$C$7:$C$156,"Winner",$B$7:$B$156,$B50)&gt;0),1,0)))</f>
        <v/>
      </c>
    </row>
    <row r="51">
      <c r="D51" s="11">
        <f>IF($A51="","",IFERROR(IF(VLOOKUP($A51,Players!$A$2:$B$500,2,FALSE)="","Open",VLOOKUP($A51,Players!$A$2:$B$500,2,FALSE)),"Open"))</f>
        <v/>
      </c>
      <c r="E51" s="11">
        <f>IF(OR($A51="",NOT(ISNUMBER($B51))),"",IF($C51="Winner",1,COUNTIFS($D$7:$D$156,$D51,$B$7:$B$156,"&lt;"&amp;$B51)+1+IF(AND(NOT($C51="Winner"),COUNTIFS($D$7:$D$156,$D51,$C$7:$C$156,"Winner",$B$7:$B$156,$B51)&gt;0),1,0)))</f>
        <v/>
      </c>
      <c r="F51" s="11">
        <f>IF(OR($A51="",NOT(ISNUMBER($B51))),"",COUNTIFS($D$7:$D$156,$D51,$B$7:$B$156,"&gt;0"))</f>
        <v/>
      </c>
      <c r="G51" s="11">
        <f>IF(OR(OR($A51="",NOT(ISNUMBER($B51))),$B$2="Not started"),"",IF($C51="Winner",Points!$B$3,ROUND(Points!$B$3*IF($F51&lt;=1,1,Points!$H$7+(1-Points!$H$7)*((($F51-$E51)*(($F51-$E51)+1)/2)^2-((($F51-$E51-$J51+1)-1)*($F51-$E51-$J51+1)/2)^2)/($J51*($F51-1)^3)),0)))</f>
        <v/>
      </c>
      <c r="H51" s="11">
        <f>IF($A51="","",IF($B$2="Final","Final",IF($B$2="In progress","Projected","Not started")))</f>
        <v/>
      </c>
      <c r="I51" s="11">
        <f>IF($A51="","",IF(COUNTIF(Players!$A$2:$A$500,$A51)=0,"Player is not on the Players tab",IF(COUNTIF($A$7:$A$156,$A51)&gt;1,"Player is listed twice",IF(NOT(ISNUMBER($B51)),"Enter a score",IF(COUNTIFS($D$7:$D$156,$D51,$C$7:$C$156,"Winner")&gt;1,"More than one "&amp;$D51&amp;" winner picked",IF(AND($C51="Winner",COUNTIFS($D$7:$D$156,$D51,$B$7:$B$156,"&lt;"&amp;$B51)&gt;0),"The winner doesn't have the best "&amp;$D51&amp;" score",IF(AND($B$2="Final",COUNTIFS($D$7:$D$156,$D51,$C$7:$C$156,"Winner")=0),"Final: pick the "&amp;$D51&amp;" winner",IF($B$2="Not started","Set Status to In progress to count points","OK"))))))))</f>
        <v/>
      </c>
      <c r="J51" s="11">
        <f>IF(OR($A51="",NOT(ISNUMBER($B51))),"",IF($C51="Winner",1,COUNTIFS($D$7:$D$156,$D51,$B$7:$B$156,$B51)-IF(AND(NOT($C51="Winner"),COUNTIFS($D$7:$D$156,$D51,$C$7:$C$156,"Winner",$B$7:$B$156,$B51)&gt;0),1,0)))</f>
        <v/>
      </c>
    </row>
    <row r="52">
      <c r="D52" s="11">
        <f>IF($A52="","",IFERROR(IF(VLOOKUP($A52,Players!$A$2:$B$500,2,FALSE)="","Open",VLOOKUP($A52,Players!$A$2:$B$500,2,FALSE)),"Open"))</f>
        <v/>
      </c>
      <c r="E52" s="11">
        <f>IF(OR($A52="",NOT(ISNUMBER($B52))),"",IF($C52="Winner",1,COUNTIFS($D$7:$D$156,$D52,$B$7:$B$156,"&lt;"&amp;$B52)+1+IF(AND(NOT($C52="Winner"),COUNTIFS($D$7:$D$156,$D52,$C$7:$C$156,"Winner",$B$7:$B$156,$B52)&gt;0),1,0)))</f>
        <v/>
      </c>
      <c r="F52" s="11">
        <f>IF(OR($A52="",NOT(ISNUMBER($B52))),"",COUNTIFS($D$7:$D$156,$D52,$B$7:$B$156,"&gt;0"))</f>
        <v/>
      </c>
      <c r="G52" s="11">
        <f>IF(OR(OR($A52="",NOT(ISNUMBER($B52))),$B$2="Not started"),"",IF($C52="Winner",Points!$B$3,ROUND(Points!$B$3*IF($F52&lt;=1,1,Points!$H$7+(1-Points!$H$7)*((($F52-$E52)*(($F52-$E52)+1)/2)^2-((($F52-$E52-$J52+1)-1)*($F52-$E52-$J52+1)/2)^2)/($J52*($F52-1)^3)),0)))</f>
        <v/>
      </c>
      <c r="H52" s="11">
        <f>IF($A52="","",IF($B$2="Final","Final",IF($B$2="In progress","Projected","Not started")))</f>
        <v/>
      </c>
      <c r="I52" s="11">
        <f>IF($A52="","",IF(COUNTIF(Players!$A$2:$A$500,$A52)=0,"Player is not on the Players tab",IF(COUNTIF($A$7:$A$156,$A52)&gt;1,"Player is listed twice",IF(NOT(ISNUMBER($B52)),"Enter a score",IF(COUNTIFS($D$7:$D$156,$D52,$C$7:$C$156,"Winner")&gt;1,"More than one "&amp;$D52&amp;" winner picked",IF(AND($C52="Winner",COUNTIFS($D$7:$D$156,$D52,$B$7:$B$156,"&lt;"&amp;$B52)&gt;0),"The winner doesn't have the best "&amp;$D52&amp;" score",IF(AND($B$2="Final",COUNTIFS($D$7:$D$156,$D52,$C$7:$C$156,"Winner")=0),"Final: pick the "&amp;$D52&amp;" winner",IF($B$2="Not started","Set Status to In progress to count points","OK"))))))))</f>
        <v/>
      </c>
      <c r="J52" s="11">
        <f>IF(OR($A52="",NOT(ISNUMBER($B52))),"",IF($C52="Winner",1,COUNTIFS($D$7:$D$156,$D52,$B$7:$B$156,$B52)-IF(AND(NOT($C52="Winner"),COUNTIFS($D$7:$D$156,$D52,$C$7:$C$156,"Winner",$B$7:$B$156,$B52)&gt;0),1,0)))</f>
        <v/>
      </c>
    </row>
    <row r="53">
      <c r="D53" s="11">
        <f>IF($A53="","",IFERROR(IF(VLOOKUP($A53,Players!$A$2:$B$500,2,FALSE)="","Open",VLOOKUP($A53,Players!$A$2:$B$500,2,FALSE)),"Open"))</f>
        <v/>
      </c>
      <c r="E53" s="11">
        <f>IF(OR($A53="",NOT(ISNUMBER($B53))),"",IF($C53="Winner",1,COUNTIFS($D$7:$D$156,$D53,$B$7:$B$156,"&lt;"&amp;$B53)+1+IF(AND(NOT($C53="Winner"),COUNTIFS($D$7:$D$156,$D53,$C$7:$C$156,"Winner",$B$7:$B$156,$B53)&gt;0),1,0)))</f>
        <v/>
      </c>
      <c r="F53" s="11">
        <f>IF(OR($A53="",NOT(ISNUMBER($B53))),"",COUNTIFS($D$7:$D$156,$D53,$B$7:$B$156,"&gt;0"))</f>
        <v/>
      </c>
      <c r="G53" s="11">
        <f>IF(OR(OR($A53="",NOT(ISNUMBER($B53))),$B$2="Not started"),"",IF($C53="Winner",Points!$B$3,ROUND(Points!$B$3*IF($F53&lt;=1,1,Points!$H$7+(1-Points!$H$7)*((($F53-$E53)*(($F53-$E53)+1)/2)^2-((($F53-$E53-$J53+1)-1)*($F53-$E53-$J53+1)/2)^2)/($J53*($F53-1)^3)),0)))</f>
        <v/>
      </c>
      <c r="H53" s="11">
        <f>IF($A53="","",IF($B$2="Final","Final",IF($B$2="In progress","Projected","Not started")))</f>
        <v/>
      </c>
      <c r="I53" s="11">
        <f>IF($A53="","",IF(COUNTIF(Players!$A$2:$A$500,$A53)=0,"Player is not on the Players tab",IF(COUNTIF($A$7:$A$156,$A53)&gt;1,"Player is listed twice",IF(NOT(ISNUMBER($B53)),"Enter a score",IF(COUNTIFS($D$7:$D$156,$D53,$C$7:$C$156,"Winner")&gt;1,"More than one "&amp;$D53&amp;" winner picked",IF(AND($C53="Winner",COUNTIFS($D$7:$D$156,$D53,$B$7:$B$156,"&lt;"&amp;$B53)&gt;0),"The winner doesn't have the best "&amp;$D53&amp;" score",IF(AND($B$2="Final",COUNTIFS($D$7:$D$156,$D53,$C$7:$C$156,"Winner")=0),"Final: pick the "&amp;$D53&amp;" winner",IF($B$2="Not started","Set Status to In progress to count points","OK"))))))))</f>
        <v/>
      </c>
      <c r="J53" s="11">
        <f>IF(OR($A53="",NOT(ISNUMBER($B53))),"",IF($C53="Winner",1,COUNTIFS($D$7:$D$156,$D53,$B$7:$B$156,$B53)-IF(AND(NOT($C53="Winner"),COUNTIFS($D$7:$D$156,$D53,$C$7:$C$156,"Winner",$B$7:$B$156,$B53)&gt;0),1,0)))</f>
        <v/>
      </c>
    </row>
    <row r="54">
      <c r="D54" s="11">
        <f>IF($A54="","",IFERROR(IF(VLOOKUP($A54,Players!$A$2:$B$500,2,FALSE)="","Open",VLOOKUP($A54,Players!$A$2:$B$500,2,FALSE)),"Open"))</f>
        <v/>
      </c>
      <c r="E54" s="11">
        <f>IF(OR($A54="",NOT(ISNUMBER($B54))),"",IF($C54="Winner",1,COUNTIFS($D$7:$D$156,$D54,$B$7:$B$156,"&lt;"&amp;$B54)+1+IF(AND(NOT($C54="Winner"),COUNTIFS($D$7:$D$156,$D54,$C$7:$C$156,"Winner",$B$7:$B$156,$B54)&gt;0),1,0)))</f>
        <v/>
      </c>
      <c r="F54" s="11">
        <f>IF(OR($A54="",NOT(ISNUMBER($B54))),"",COUNTIFS($D$7:$D$156,$D54,$B$7:$B$156,"&gt;0"))</f>
        <v/>
      </c>
      <c r="G54" s="11">
        <f>IF(OR(OR($A54="",NOT(ISNUMBER($B54))),$B$2="Not started"),"",IF($C54="Winner",Points!$B$3,ROUND(Points!$B$3*IF($F54&lt;=1,1,Points!$H$7+(1-Points!$H$7)*((($F54-$E54)*(($F54-$E54)+1)/2)^2-((($F54-$E54-$J54+1)-1)*($F54-$E54-$J54+1)/2)^2)/($J54*($F54-1)^3)),0)))</f>
        <v/>
      </c>
      <c r="H54" s="11">
        <f>IF($A54="","",IF($B$2="Final","Final",IF($B$2="In progress","Projected","Not started")))</f>
        <v/>
      </c>
      <c r="I54" s="11">
        <f>IF($A54="","",IF(COUNTIF(Players!$A$2:$A$500,$A54)=0,"Player is not on the Players tab",IF(COUNTIF($A$7:$A$156,$A54)&gt;1,"Player is listed twice",IF(NOT(ISNUMBER($B54)),"Enter a score",IF(COUNTIFS($D$7:$D$156,$D54,$C$7:$C$156,"Winner")&gt;1,"More than one "&amp;$D54&amp;" winner picked",IF(AND($C54="Winner",COUNTIFS($D$7:$D$156,$D54,$B$7:$B$156,"&lt;"&amp;$B54)&gt;0),"The winner doesn't have the best "&amp;$D54&amp;" score",IF(AND($B$2="Final",COUNTIFS($D$7:$D$156,$D54,$C$7:$C$156,"Winner")=0),"Final: pick the "&amp;$D54&amp;" winner",IF($B$2="Not started","Set Status to In progress to count points","OK"))))))))</f>
        <v/>
      </c>
      <c r="J54" s="11">
        <f>IF(OR($A54="",NOT(ISNUMBER($B54))),"",IF($C54="Winner",1,COUNTIFS($D$7:$D$156,$D54,$B$7:$B$156,$B54)-IF(AND(NOT($C54="Winner"),COUNTIFS($D$7:$D$156,$D54,$C$7:$C$156,"Winner",$B$7:$B$156,$B54)&gt;0),1,0)))</f>
        <v/>
      </c>
    </row>
    <row r="55">
      <c r="D55" s="11">
        <f>IF($A55="","",IFERROR(IF(VLOOKUP($A55,Players!$A$2:$B$500,2,FALSE)="","Open",VLOOKUP($A55,Players!$A$2:$B$500,2,FALSE)),"Open"))</f>
        <v/>
      </c>
      <c r="E55" s="11">
        <f>IF(OR($A55="",NOT(ISNUMBER($B55))),"",IF($C55="Winner",1,COUNTIFS($D$7:$D$156,$D55,$B$7:$B$156,"&lt;"&amp;$B55)+1+IF(AND(NOT($C55="Winner"),COUNTIFS($D$7:$D$156,$D55,$C$7:$C$156,"Winner",$B$7:$B$156,$B55)&gt;0),1,0)))</f>
        <v/>
      </c>
      <c r="F55" s="11">
        <f>IF(OR($A55="",NOT(ISNUMBER($B55))),"",COUNTIFS($D$7:$D$156,$D55,$B$7:$B$156,"&gt;0"))</f>
        <v/>
      </c>
      <c r="G55" s="11">
        <f>IF(OR(OR($A55="",NOT(ISNUMBER($B55))),$B$2="Not started"),"",IF($C55="Winner",Points!$B$3,ROUND(Points!$B$3*IF($F55&lt;=1,1,Points!$H$7+(1-Points!$H$7)*((($F55-$E55)*(($F55-$E55)+1)/2)^2-((($F55-$E55-$J55+1)-1)*($F55-$E55-$J55+1)/2)^2)/($J55*($F55-1)^3)),0)))</f>
        <v/>
      </c>
      <c r="H55" s="11">
        <f>IF($A55="","",IF($B$2="Final","Final",IF($B$2="In progress","Projected","Not started")))</f>
        <v/>
      </c>
      <c r="I55" s="11">
        <f>IF($A55="","",IF(COUNTIF(Players!$A$2:$A$500,$A55)=0,"Player is not on the Players tab",IF(COUNTIF($A$7:$A$156,$A55)&gt;1,"Player is listed twice",IF(NOT(ISNUMBER($B55)),"Enter a score",IF(COUNTIFS($D$7:$D$156,$D55,$C$7:$C$156,"Winner")&gt;1,"More than one "&amp;$D55&amp;" winner picked",IF(AND($C55="Winner",COUNTIFS($D$7:$D$156,$D55,$B$7:$B$156,"&lt;"&amp;$B55)&gt;0),"The winner doesn't have the best "&amp;$D55&amp;" score",IF(AND($B$2="Final",COUNTIFS($D$7:$D$156,$D55,$C$7:$C$156,"Winner")=0),"Final: pick the "&amp;$D55&amp;" winner",IF($B$2="Not started","Set Status to In progress to count points","OK"))))))))</f>
        <v/>
      </c>
      <c r="J55" s="11">
        <f>IF(OR($A55="",NOT(ISNUMBER($B55))),"",IF($C55="Winner",1,COUNTIFS($D$7:$D$156,$D55,$B$7:$B$156,$B55)-IF(AND(NOT($C55="Winner"),COUNTIFS($D$7:$D$156,$D55,$C$7:$C$156,"Winner",$B$7:$B$156,$B55)&gt;0),1,0)))</f>
        <v/>
      </c>
    </row>
    <row r="56">
      <c r="D56" s="11">
        <f>IF($A56="","",IFERROR(IF(VLOOKUP($A56,Players!$A$2:$B$500,2,FALSE)="","Open",VLOOKUP($A56,Players!$A$2:$B$500,2,FALSE)),"Open"))</f>
        <v/>
      </c>
      <c r="E56" s="11">
        <f>IF(OR($A56="",NOT(ISNUMBER($B56))),"",IF($C56="Winner",1,COUNTIFS($D$7:$D$156,$D56,$B$7:$B$156,"&lt;"&amp;$B56)+1+IF(AND(NOT($C56="Winner"),COUNTIFS($D$7:$D$156,$D56,$C$7:$C$156,"Winner",$B$7:$B$156,$B56)&gt;0),1,0)))</f>
        <v/>
      </c>
      <c r="F56" s="11">
        <f>IF(OR($A56="",NOT(ISNUMBER($B56))),"",COUNTIFS($D$7:$D$156,$D56,$B$7:$B$156,"&gt;0"))</f>
        <v/>
      </c>
      <c r="G56" s="11">
        <f>IF(OR(OR($A56="",NOT(ISNUMBER($B56))),$B$2="Not started"),"",IF($C56="Winner",Points!$B$3,ROUND(Points!$B$3*IF($F56&lt;=1,1,Points!$H$7+(1-Points!$H$7)*((($F56-$E56)*(($F56-$E56)+1)/2)^2-((($F56-$E56-$J56+1)-1)*($F56-$E56-$J56+1)/2)^2)/($J56*($F56-1)^3)),0)))</f>
        <v/>
      </c>
      <c r="H56" s="11">
        <f>IF($A56="","",IF($B$2="Final","Final",IF($B$2="In progress","Projected","Not started")))</f>
        <v/>
      </c>
      <c r="I56" s="11">
        <f>IF($A56="","",IF(COUNTIF(Players!$A$2:$A$500,$A56)=0,"Player is not on the Players tab",IF(COUNTIF($A$7:$A$156,$A56)&gt;1,"Player is listed twice",IF(NOT(ISNUMBER($B56)),"Enter a score",IF(COUNTIFS($D$7:$D$156,$D56,$C$7:$C$156,"Winner")&gt;1,"More than one "&amp;$D56&amp;" winner picked",IF(AND($C56="Winner",COUNTIFS($D$7:$D$156,$D56,$B$7:$B$156,"&lt;"&amp;$B56)&gt;0),"The winner doesn't have the best "&amp;$D56&amp;" score",IF(AND($B$2="Final",COUNTIFS($D$7:$D$156,$D56,$C$7:$C$156,"Winner")=0),"Final: pick the "&amp;$D56&amp;" winner",IF($B$2="Not started","Set Status to In progress to count points","OK"))))))))</f>
        <v/>
      </c>
      <c r="J56" s="11">
        <f>IF(OR($A56="",NOT(ISNUMBER($B56))),"",IF($C56="Winner",1,COUNTIFS($D$7:$D$156,$D56,$B$7:$B$156,$B56)-IF(AND(NOT($C56="Winner"),COUNTIFS($D$7:$D$156,$D56,$C$7:$C$156,"Winner",$B$7:$B$156,$B56)&gt;0),1,0)))</f>
        <v/>
      </c>
    </row>
    <row r="57">
      <c r="D57" s="11">
        <f>IF($A57="","",IFERROR(IF(VLOOKUP($A57,Players!$A$2:$B$500,2,FALSE)="","Open",VLOOKUP($A57,Players!$A$2:$B$500,2,FALSE)),"Open"))</f>
        <v/>
      </c>
      <c r="E57" s="11">
        <f>IF(OR($A57="",NOT(ISNUMBER($B57))),"",IF($C57="Winner",1,COUNTIFS($D$7:$D$156,$D57,$B$7:$B$156,"&lt;"&amp;$B57)+1+IF(AND(NOT($C57="Winner"),COUNTIFS($D$7:$D$156,$D57,$C$7:$C$156,"Winner",$B$7:$B$156,$B57)&gt;0),1,0)))</f>
        <v/>
      </c>
      <c r="F57" s="11">
        <f>IF(OR($A57="",NOT(ISNUMBER($B57))),"",COUNTIFS($D$7:$D$156,$D57,$B$7:$B$156,"&gt;0"))</f>
        <v/>
      </c>
      <c r="G57" s="11">
        <f>IF(OR(OR($A57="",NOT(ISNUMBER($B57))),$B$2="Not started"),"",IF($C57="Winner",Points!$B$3,ROUND(Points!$B$3*IF($F57&lt;=1,1,Points!$H$7+(1-Points!$H$7)*((($F57-$E57)*(($F57-$E57)+1)/2)^2-((($F57-$E57-$J57+1)-1)*($F57-$E57-$J57+1)/2)^2)/($J57*($F57-1)^3)),0)))</f>
        <v/>
      </c>
      <c r="H57" s="11">
        <f>IF($A57="","",IF($B$2="Final","Final",IF($B$2="In progress","Projected","Not started")))</f>
        <v/>
      </c>
      <c r="I57" s="11">
        <f>IF($A57="","",IF(COUNTIF(Players!$A$2:$A$500,$A57)=0,"Player is not on the Players tab",IF(COUNTIF($A$7:$A$156,$A57)&gt;1,"Player is listed twice",IF(NOT(ISNUMBER($B57)),"Enter a score",IF(COUNTIFS($D$7:$D$156,$D57,$C$7:$C$156,"Winner")&gt;1,"More than one "&amp;$D57&amp;" winner picked",IF(AND($C57="Winner",COUNTIFS($D$7:$D$156,$D57,$B$7:$B$156,"&lt;"&amp;$B57)&gt;0),"The winner doesn't have the best "&amp;$D57&amp;" score",IF(AND($B$2="Final",COUNTIFS($D$7:$D$156,$D57,$C$7:$C$156,"Winner")=0),"Final: pick the "&amp;$D57&amp;" winner",IF($B$2="Not started","Set Status to In progress to count points","OK"))))))))</f>
        <v/>
      </c>
      <c r="J57" s="11">
        <f>IF(OR($A57="",NOT(ISNUMBER($B57))),"",IF($C57="Winner",1,COUNTIFS($D$7:$D$156,$D57,$B$7:$B$156,$B57)-IF(AND(NOT($C57="Winner"),COUNTIFS($D$7:$D$156,$D57,$C$7:$C$156,"Winner",$B$7:$B$156,$B57)&gt;0),1,0)))</f>
        <v/>
      </c>
    </row>
    <row r="58">
      <c r="D58" s="11">
        <f>IF($A58="","",IFERROR(IF(VLOOKUP($A58,Players!$A$2:$B$500,2,FALSE)="","Open",VLOOKUP($A58,Players!$A$2:$B$500,2,FALSE)),"Open"))</f>
        <v/>
      </c>
      <c r="E58" s="11">
        <f>IF(OR($A58="",NOT(ISNUMBER($B58))),"",IF($C58="Winner",1,COUNTIFS($D$7:$D$156,$D58,$B$7:$B$156,"&lt;"&amp;$B58)+1+IF(AND(NOT($C58="Winner"),COUNTIFS($D$7:$D$156,$D58,$C$7:$C$156,"Winner",$B$7:$B$156,$B58)&gt;0),1,0)))</f>
        <v/>
      </c>
      <c r="F58" s="11">
        <f>IF(OR($A58="",NOT(ISNUMBER($B58))),"",COUNTIFS($D$7:$D$156,$D58,$B$7:$B$156,"&gt;0"))</f>
        <v/>
      </c>
      <c r="G58" s="11">
        <f>IF(OR(OR($A58="",NOT(ISNUMBER($B58))),$B$2="Not started"),"",IF($C58="Winner",Points!$B$3,ROUND(Points!$B$3*IF($F58&lt;=1,1,Points!$H$7+(1-Points!$H$7)*((($F58-$E58)*(($F58-$E58)+1)/2)^2-((($F58-$E58-$J58+1)-1)*($F58-$E58-$J58+1)/2)^2)/($J58*($F58-1)^3)),0)))</f>
        <v/>
      </c>
      <c r="H58" s="11">
        <f>IF($A58="","",IF($B$2="Final","Final",IF($B$2="In progress","Projected","Not started")))</f>
        <v/>
      </c>
      <c r="I58" s="11">
        <f>IF($A58="","",IF(COUNTIF(Players!$A$2:$A$500,$A58)=0,"Player is not on the Players tab",IF(COUNTIF($A$7:$A$156,$A58)&gt;1,"Player is listed twice",IF(NOT(ISNUMBER($B58)),"Enter a score",IF(COUNTIFS($D$7:$D$156,$D58,$C$7:$C$156,"Winner")&gt;1,"More than one "&amp;$D58&amp;" winner picked",IF(AND($C58="Winner",COUNTIFS($D$7:$D$156,$D58,$B$7:$B$156,"&lt;"&amp;$B58)&gt;0),"The winner doesn't have the best "&amp;$D58&amp;" score",IF(AND($B$2="Final",COUNTIFS($D$7:$D$156,$D58,$C$7:$C$156,"Winner")=0),"Final: pick the "&amp;$D58&amp;" winner",IF($B$2="Not started","Set Status to In progress to count points","OK"))))))))</f>
        <v/>
      </c>
      <c r="J58" s="11">
        <f>IF(OR($A58="",NOT(ISNUMBER($B58))),"",IF($C58="Winner",1,COUNTIFS($D$7:$D$156,$D58,$B$7:$B$156,$B58)-IF(AND(NOT($C58="Winner"),COUNTIFS($D$7:$D$156,$D58,$C$7:$C$156,"Winner",$B$7:$B$156,$B58)&gt;0),1,0)))</f>
        <v/>
      </c>
    </row>
    <row r="59">
      <c r="D59" s="11">
        <f>IF($A59="","",IFERROR(IF(VLOOKUP($A59,Players!$A$2:$B$500,2,FALSE)="","Open",VLOOKUP($A59,Players!$A$2:$B$500,2,FALSE)),"Open"))</f>
        <v/>
      </c>
      <c r="E59" s="11">
        <f>IF(OR($A59="",NOT(ISNUMBER($B59))),"",IF($C59="Winner",1,COUNTIFS($D$7:$D$156,$D59,$B$7:$B$156,"&lt;"&amp;$B59)+1+IF(AND(NOT($C59="Winner"),COUNTIFS($D$7:$D$156,$D59,$C$7:$C$156,"Winner",$B$7:$B$156,$B59)&gt;0),1,0)))</f>
        <v/>
      </c>
      <c r="F59" s="11">
        <f>IF(OR($A59="",NOT(ISNUMBER($B59))),"",COUNTIFS($D$7:$D$156,$D59,$B$7:$B$156,"&gt;0"))</f>
        <v/>
      </c>
      <c r="G59" s="11">
        <f>IF(OR(OR($A59="",NOT(ISNUMBER($B59))),$B$2="Not started"),"",IF($C59="Winner",Points!$B$3,ROUND(Points!$B$3*IF($F59&lt;=1,1,Points!$H$7+(1-Points!$H$7)*((($F59-$E59)*(($F59-$E59)+1)/2)^2-((($F59-$E59-$J59+1)-1)*($F59-$E59-$J59+1)/2)^2)/($J59*($F59-1)^3)),0)))</f>
        <v/>
      </c>
      <c r="H59" s="11">
        <f>IF($A59="","",IF($B$2="Final","Final",IF($B$2="In progress","Projected","Not started")))</f>
        <v/>
      </c>
      <c r="I59" s="11">
        <f>IF($A59="","",IF(COUNTIF(Players!$A$2:$A$500,$A59)=0,"Player is not on the Players tab",IF(COUNTIF($A$7:$A$156,$A59)&gt;1,"Player is listed twice",IF(NOT(ISNUMBER($B59)),"Enter a score",IF(COUNTIFS($D$7:$D$156,$D59,$C$7:$C$156,"Winner")&gt;1,"More than one "&amp;$D59&amp;" winner picked",IF(AND($C59="Winner",COUNTIFS($D$7:$D$156,$D59,$B$7:$B$156,"&lt;"&amp;$B59)&gt;0),"The winner doesn't have the best "&amp;$D59&amp;" score",IF(AND($B$2="Final",COUNTIFS($D$7:$D$156,$D59,$C$7:$C$156,"Winner")=0),"Final: pick the "&amp;$D59&amp;" winner",IF($B$2="Not started","Set Status to In progress to count points","OK"))))))))</f>
        <v/>
      </c>
      <c r="J59" s="11">
        <f>IF(OR($A59="",NOT(ISNUMBER($B59))),"",IF($C59="Winner",1,COUNTIFS($D$7:$D$156,$D59,$B$7:$B$156,$B59)-IF(AND(NOT($C59="Winner"),COUNTIFS($D$7:$D$156,$D59,$C$7:$C$156,"Winner",$B$7:$B$156,$B59)&gt;0),1,0)))</f>
        <v/>
      </c>
    </row>
    <row r="60">
      <c r="D60" s="11">
        <f>IF($A60="","",IFERROR(IF(VLOOKUP($A60,Players!$A$2:$B$500,2,FALSE)="","Open",VLOOKUP($A60,Players!$A$2:$B$500,2,FALSE)),"Open"))</f>
        <v/>
      </c>
      <c r="E60" s="11">
        <f>IF(OR($A60="",NOT(ISNUMBER($B60))),"",IF($C60="Winner",1,COUNTIFS($D$7:$D$156,$D60,$B$7:$B$156,"&lt;"&amp;$B60)+1+IF(AND(NOT($C60="Winner"),COUNTIFS($D$7:$D$156,$D60,$C$7:$C$156,"Winner",$B$7:$B$156,$B60)&gt;0),1,0)))</f>
        <v/>
      </c>
      <c r="F60" s="11">
        <f>IF(OR($A60="",NOT(ISNUMBER($B60))),"",COUNTIFS($D$7:$D$156,$D60,$B$7:$B$156,"&gt;0"))</f>
        <v/>
      </c>
      <c r="G60" s="11">
        <f>IF(OR(OR($A60="",NOT(ISNUMBER($B60))),$B$2="Not started"),"",IF($C60="Winner",Points!$B$3,ROUND(Points!$B$3*IF($F60&lt;=1,1,Points!$H$7+(1-Points!$H$7)*((($F60-$E60)*(($F60-$E60)+1)/2)^2-((($F60-$E60-$J60+1)-1)*($F60-$E60-$J60+1)/2)^2)/($J60*($F60-1)^3)),0)))</f>
        <v/>
      </c>
      <c r="H60" s="11">
        <f>IF($A60="","",IF($B$2="Final","Final",IF($B$2="In progress","Projected","Not started")))</f>
        <v/>
      </c>
      <c r="I60" s="11">
        <f>IF($A60="","",IF(COUNTIF(Players!$A$2:$A$500,$A60)=0,"Player is not on the Players tab",IF(COUNTIF($A$7:$A$156,$A60)&gt;1,"Player is listed twice",IF(NOT(ISNUMBER($B60)),"Enter a score",IF(COUNTIFS($D$7:$D$156,$D60,$C$7:$C$156,"Winner")&gt;1,"More than one "&amp;$D60&amp;" winner picked",IF(AND($C60="Winner",COUNTIFS($D$7:$D$156,$D60,$B$7:$B$156,"&lt;"&amp;$B60)&gt;0),"The winner doesn't have the best "&amp;$D60&amp;" score",IF(AND($B$2="Final",COUNTIFS($D$7:$D$156,$D60,$C$7:$C$156,"Winner")=0),"Final: pick the "&amp;$D60&amp;" winner",IF($B$2="Not started","Set Status to In progress to count points","OK"))))))))</f>
        <v/>
      </c>
      <c r="J60" s="11">
        <f>IF(OR($A60="",NOT(ISNUMBER($B60))),"",IF($C60="Winner",1,COUNTIFS($D$7:$D$156,$D60,$B$7:$B$156,$B60)-IF(AND(NOT($C60="Winner"),COUNTIFS($D$7:$D$156,$D60,$C$7:$C$156,"Winner",$B$7:$B$156,$B60)&gt;0),1,0)))</f>
        <v/>
      </c>
    </row>
    <row r="61">
      <c r="D61" s="11">
        <f>IF($A61="","",IFERROR(IF(VLOOKUP($A61,Players!$A$2:$B$500,2,FALSE)="","Open",VLOOKUP($A61,Players!$A$2:$B$500,2,FALSE)),"Open"))</f>
        <v/>
      </c>
      <c r="E61" s="11">
        <f>IF(OR($A61="",NOT(ISNUMBER($B61))),"",IF($C61="Winner",1,COUNTIFS($D$7:$D$156,$D61,$B$7:$B$156,"&lt;"&amp;$B61)+1+IF(AND(NOT($C61="Winner"),COUNTIFS($D$7:$D$156,$D61,$C$7:$C$156,"Winner",$B$7:$B$156,$B61)&gt;0),1,0)))</f>
        <v/>
      </c>
      <c r="F61" s="11">
        <f>IF(OR($A61="",NOT(ISNUMBER($B61))),"",COUNTIFS($D$7:$D$156,$D61,$B$7:$B$156,"&gt;0"))</f>
        <v/>
      </c>
      <c r="G61" s="11">
        <f>IF(OR(OR($A61="",NOT(ISNUMBER($B61))),$B$2="Not started"),"",IF($C61="Winner",Points!$B$3,ROUND(Points!$B$3*IF($F61&lt;=1,1,Points!$H$7+(1-Points!$H$7)*((($F61-$E61)*(($F61-$E61)+1)/2)^2-((($F61-$E61-$J61+1)-1)*($F61-$E61-$J61+1)/2)^2)/($J61*($F61-1)^3)),0)))</f>
        <v/>
      </c>
      <c r="H61" s="11">
        <f>IF($A61="","",IF($B$2="Final","Final",IF($B$2="In progress","Projected","Not started")))</f>
        <v/>
      </c>
      <c r="I61" s="11">
        <f>IF($A61="","",IF(COUNTIF(Players!$A$2:$A$500,$A61)=0,"Player is not on the Players tab",IF(COUNTIF($A$7:$A$156,$A61)&gt;1,"Player is listed twice",IF(NOT(ISNUMBER($B61)),"Enter a score",IF(COUNTIFS($D$7:$D$156,$D61,$C$7:$C$156,"Winner")&gt;1,"More than one "&amp;$D61&amp;" winner picked",IF(AND($C61="Winner",COUNTIFS($D$7:$D$156,$D61,$B$7:$B$156,"&lt;"&amp;$B61)&gt;0),"The winner doesn't have the best "&amp;$D61&amp;" score",IF(AND($B$2="Final",COUNTIFS($D$7:$D$156,$D61,$C$7:$C$156,"Winner")=0),"Final: pick the "&amp;$D61&amp;" winner",IF($B$2="Not started","Set Status to In progress to count points","OK"))))))))</f>
        <v/>
      </c>
      <c r="J61" s="11">
        <f>IF(OR($A61="",NOT(ISNUMBER($B61))),"",IF($C61="Winner",1,COUNTIFS($D$7:$D$156,$D61,$B$7:$B$156,$B61)-IF(AND(NOT($C61="Winner"),COUNTIFS($D$7:$D$156,$D61,$C$7:$C$156,"Winner",$B$7:$B$156,$B61)&gt;0),1,0)))</f>
        <v/>
      </c>
    </row>
    <row r="62">
      <c r="D62" s="11">
        <f>IF($A62="","",IFERROR(IF(VLOOKUP($A62,Players!$A$2:$B$500,2,FALSE)="","Open",VLOOKUP($A62,Players!$A$2:$B$500,2,FALSE)),"Open"))</f>
        <v/>
      </c>
      <c r="E62" s="11">
        <f>IF(OR($A62="",NOT(ISNUMBER($B62))),"",IF($C62="Winner",1,COUNTIFS($D$7:$D$156,$D62,$B$7:$B$156,"&lt;"&amp;$B62)+1+IF(AND(NOT($C62="Winner"),COUNTIFS($D$7:$D$156,$D62,$C$7:$C$156,"Winner",$B$7:$B$156,$B62)&gt;0),1,0)))</f>
        <v/>
      </c>
      <c r="F62" s="11">
        <f>IF(OR($A62="",NOT(ISNUMBER($B62))),"",COUNTIFS($D$7:$D$156,$D62,$B$7:$B$156,"&gt;0"))</f>
        <v/>
      </c>
      <c r="G62" s="11">
        <f>IF(OR(OR($A62="",NOT(ISNUMBER($B62))),$B$2="Not started"),"",IF($C62="Winner",Points!$B$3,ROUND(Points!$B$3*IF($F62&lt;=1,1,Points!$H$7+(1-Points!$H$7)*((($F62-$E62)*(($F62-$E62)+1)/2)^2-((($F62-$E62-$J62+1)-1)*($F62-$E62-$J62+1)/2)^2)/($J62*($F62-1)^3)),0)))</f>
        <v/>
      </c>
      <c r="H62" s="11">
        <f>IF($A62="","",IF($B$2="Final","Final",IF($B$2="In progress","Projected","Not started")))</f>
        <v/>
      </c>
      <c r="I62" s="11">
        <f>IF($A62="","",IF(COUNTIF(Players!$A$2:$A$500,$A62)=0,"Player is not on the Players tab",IF(COUNTIF($A$7:$A$156,$A62)&gt;1,"Player is listed twice",IF(NOT(ISNUMBER($B62)),"Enter a score",IF(COUNTIFS($D$7:$D$156,$D62,$C$7:$C$156,"Winner")&gt;1,"More than one "&amp;$D62&amp;" winner picked",IF(AND($C62="Winner",COUNTIFS($D$7:$D$156,$D62,$B$7:$B$156,"&lt;"&amp;$B62)&gt;0),"The winner doesn't have the best "&amp;$D62&amp;" score",IF(AND($B$2="Final",COUNTIFS($D$7:$D$156,$D62,$C$7:$C$156,"Winner")=0),"Final: pick the "&amp;$D62&amp;" winner",IF($B$2="Not started","Set Status to In progress to count points","OK"))))))))</f>
        <v/>
      </c>
      <c r="J62" s="11">
        <f>IF(OR($A62="",NOT(ISNUMBER($B62))),"",IF($C62="Winner",1,COUNTIFS($D$7:$D$156,$D62,$B$7:$B$156,$B62)-IF(AND(NOT($C62="Winner"),COUNTIFS($D$7:$D$156,$D62,$C$7:$C$156,"Winner",$B$7:$B$156,$B62)&gt;0),1,0)))</f>
        <v/>
      </c>
    </row>
    <row r="63">
      <c r="D63" s="11">
        <f>IF($A63="","",IFERROR(IF(VLOOKUP($A63,Players!$A$2:$B$500,2,FALSE)="","Open",VLOOKUP($A63,Players!$A$2:$B$500,2,FALSE)),"Open"))</f>
        <v/>
      </c>
      <c r="E63" s="11">
        <f>IF(OR($A63="",NOT(ISNUMBER($B63))),"",IF($C63="Winner",1,COUNTIFS($D$7:$D$156,$D63,$B$7:$B$156,"&lt;"&amp;$B63)+1+IF(AND(NOT($C63="Winner"),COUNTIFS($D$7:$D$156,$D63,$C$7:$C$156,"Winner",$B$7:$B$156,$B63)&gt;0),1,0)))</f>
        <v/>
      </c>
      <c r="F63" s="11">
        <f>IF(OR($A63="",NOT(ISNUMBER($B63))),"",COUNTIFS($D$7:$D$156,$D63,$B$7:$B$156,"&gt;0"))</f>
        <v/>
      </c>
      <c r="G63" s="11">
        <f>IF(OR(OR($A63="",NOT(ISNUMBER($B63))),$B$2="Not started"),"",IF($C63="Winner",Points!$B$3,ROUND(Points!$B$3*IF($F63&lt;=1,1,Points!$H$7+(1-Points!$H$7)*((($F63-$E63)*(($F63-$E63)+1)/2)^2-((($F63-$E63-$J63+1)-1)*($F63-$E63-$J63+1)/2)^2)/($J63*($F63-1)^3)),0)))</f>
        <v/>
      </c>
      <c r="H63" s="11">
        <f>IF($A63="","",IF($B$2="Final","Final",IF($B$2="In progress","Projected","Not started")))</f>
        <v/>
      </c>
      <c r="I63" s="11">
        <f>IF($A63="","",IF(COUNTIF(Players!$A$2:$A$500,$A63)=0,"Player is not on the Players tab",IF(COUNTIF($A$7:$A$156,$A63)&gt;1,"Player is listed twice",IF(NOT(ISNUMBER($B63)),"Enter a score",IF(COUNTIFS($D$7:$D$156,$D63,$C$7:$C$156,"Winner")&gt;1,"More than one "&amp;$D63&amp;" winner picked",IF(AND($C63="Winner",COUNTIFS($D$7:$D$156,$D63,$B$7:$B$156,"&lt;"&amp;$B63)&gt;0),"The winner doesn't have the best "&amp;$D63&amp;" score",IF(AND($B$2="Final",COUNTIFS($D$7:$D$156,$D63,$C$7:$C$156,"Winner")=0),"Final: pick the "&amp;$D63&amp;" winner",IF($B$2="Not started","Set Status to In progress to count points","OK"))))))))</f>
        <v/>
      </c>
      <c r="J63" s="11">
        <f>IF(OR($A63="",NOT(ISNUMBER($B63))),"",IF($C63="Winner",1,COUNTIFS($D$7:$D$156,$D63,$B$7:$B$156,$B63)-IF(AND(NOT($C63="Winner"),COUNTIFS($D$7:$D$156,$D63,$C$7:$C$156,"Winner",$B$7:$B$156,$B63)&gt;0),1,0)))</f>
        <v/>
      </c>
    </row>
    <row r="64">
      <c r="D64" s="11">
        <f>IF($A64="","",IFERROR(IF(VLOOKUP($A64,Players!$A$2:$B$500,2,FALSE)="","Open",VLOOKUP($A64,Players!$A$2:$B$500,2,FALSE)),"Open"))</f>
        <v/>
      </c>
      <c r="E64" s="11">
        <f>IF(OR($A64="",NOT(ISNUMBER($B64))),"",IF($C64="Winner",1,COUNTIFS($D$7:$D$156,$D64,$B$7:$B$156,"&lt;"&amp;$B64)+1+IF(AND(NOT($C64="Winner"),COUNTIFS($D$7:$D$156,$D64,$C$7:$C$156,"Winner",$B$7:$B$156,$B64)&gt;0),1,0)))</f>
        <v/>
      </c>
      <c r="F64" s="11">
        <f>IF(OR($A64="",NOT(ISNUMBER($B64))),"",COUNTIFS($D$7:$D$156,$D64,$B$7:$B$156,"&gt;0"))</f>
        <v/>
      </c>
      <c r="G64" s="11">
        <f>IF(OR(OR($A64="",NOT(ISNUMBER($B64))),$B$2="Not started"),"",IF($C64="Winner",Points!$B$3,ROUND(Points!$B$3*IF($F64&lt;=1,1,Points!$H$7+(1-Points!$H$7)*((($F64-$E64)*(($F64-$E64)+1)/2)^2-((($F64-$E64-$J64+1)-1)*($F64-$E64-$J64+1)/2)^2)/($J64*($F64-1)^3)),0)))</f>
        <v/>
      </c>
      <c r="H64" s="11">
        <f>IF($A64="","",IF($B$2="Final","Final",IF($B$2="In progress","Projected","Not started")))</f>
        <v/>
      </c>
      <c r="I64" s="11">
        <f>IF($A64="","",IF(COUNTIF(Players!$A$2:$A$500,$A64)=0,"Player is not on the Players tab",IF(COUNTIF($A$7:$A$156,$A64)&gt;1,"Player is listed twice",IF(NOT(ISNUMBER($B64)),"Enter a score",IF(COUNTIFS($D$7:$D$156,$D64,$C$7:$C$156,"Winner")&gt;1,"More than one "&amp;$D64&amp;" winner picked",IF(AND($C64="Winner",COUNTIFS($D$7:$D$156,$D64,$B$7:$B$156,"&lt;"&amp;$B64)&gt;0),"The winner doesn't have the best "&amp;$D64&amp;" score",IF(AND($B$2="Final",COUNTIFS($D$7:$D$156,$D64,$C$7:$C$156,"Winner")=0),"Final: pick the "&amp;$D64&amp;" winner",IF($B$2="Not started","Set Status to In progress to count points","OK"))))))))</f>
        <v/>
      </c>
      <c r="J64" s="11">
        <f>IF(OR($A64="",NOT(ISNUMBER($B64))),"",IF($C64="Winner",1,COUNTIFS($D$7:$D$156,$D64,$B$7:$B$156,$B64)-IF(AND(NOT($C64="Winner"),COUNTIFS($D$7:$D$156,$D64,$C$7:$C$156,"Winner",$B$7:$B$156,$B64)&gt;0),1,0)))</f>
        <v/>
      </c>
    </row>
    <row r="65">
      <c r="D65" s="11">
        <f>IF($A65="","",IFERROR(IF(VLOOKUP($A65,Players!$A$2:$B$500,2,FALSE)="","Open",VLOOKUP($A65,Players!$A$2:$B$500,2,FALSE)),"Open"))</f>
        <v/>
      </c>
      <c r="E65" s="11">
        <f>IF(OR($A65="",NOT(ISNUMBER($B65))),"",IF($C65="Winner",1,COUNTIFS($D$7:$D$156,$D65,$B$7:$B$156,"&lt;"&amp;$B65)+1+IF(AND(NOT($C65="Winner"),COUNTIFS($D$7:$D$156,$D65,$C$7:$C$156,"Winner",$B$7:$B$156,$B65)&gt;0),1,0)))</f>
        <v/>
      </c>
      <c r="F65" s="11">
        <f>IF(OR($A65="",NOT(ISNUMBER($B65))),"",COUNTIFS($D$7:$D$156,$D65,$B$7:$B$156,"&gt;0"))</f>
        <v/>
      </c>
      <c r="G65" s="11">
        <f>IF(OR(OR($A65="",NOT(ISNUMBER($B65))),$B$2="Not started"),"",IF($C65="Winner",Points!$B$3,ROUND(Points!$B$3*IF($F65&lt;=1,1,Points!$H$7+(1-Points!$H$7)*((($F65-$E65)*(($F65-$E65)+1)/2)^2-((($F65-$E65-$J65+1)-1)*($F65-$E65-$J65+1)/2)^2)/($J65*($F65-1)^3)),0)))</f>
        <v/>
      </c>
      <c r="H65" s="11">
        <f>IF($A65="","",IF($B$2="Final","Final",IF($B$2="In progress","Projected","Not started")))</f>
        <v/>
      </c>
      <c r="I65" s="11">
        <f>IF($A65="","",IF(COUNTIF(Players!$A$2:$A$500,$A65)=0,"Player is not on the Players tab",IF(COUNTIF($A$7:$A$156,$A65)&gt;1,"Player is listed twice",IF(NOT(ISNUMBER($B65)),"Enter a score",IF(COUNTIFS($D$7:$D$156,$D65,$C$7:$C$156,"Winner")&gt;1,"More than one "&amp;$D65&amp;" winner picked",IF(AND($C65="Winner",COUNTIFS($D$7:$D$156,$D65,$B$7:$B$156,"&lt;"&amp;$B65)&gt;0),"The winner doesn't have the best "&amp;$D65&amp;" score",IF(AND($B$2="Final",COUNTIFS($D$7:$D$156,$D65,$C$7:$C$156,"Winner")=0),"Final: pick the "&amp;$D65&amp;" winner",IF($B$2="Not started","Set Status to In progress to count points","OK"))))))))</f>
        <v/>
      </c>
      <c r="J65" s="11">
        <f>IF(OR($A65="",NOT(ISNUMBER($B65))),"",IF($C65="Winner",1,COUNTIFS($D$7:$D$156,$D65,$B$7:$B$156,$B65)-IF(AND(NOT($C65="Winner"),COUNTIFS($D$7:$D$156,$D65,$C$7:$C$156,"Winner",$B$7:$B$156,$B65)&gt;0),1,0)))</f>
        <v/>
      </c>
    </row>
    <row r="66">
      <c r="D66" s="11">
        <f>IF($A66="","",IFERROR(IF(VLOOKUP($A66,Players!$A$2:$B$500,2,FALSE)="","Open",VLOOKUP($A66,Players!$A$2:$B$500,2,FALSE)),"Open"))</f>
        <v/>
      </c>
      <c r="E66" s="11">
        <f>IF(OR($A66="",NOT(ISNUMBER($B66))),"",IF($C66="Winner",1,COUNTIFS($D$7:$D$156,$D66,$B$7:$B$156,"&lt;"&amp;$B66)+1+IF(AND(NOT($C66="Winner"),COUNTIFS($D$7:$D$156,$D66,$C$7:$C$156,"Winner",$B$7:$B$156,$B66)&gt;0),1,0)))</f>
        <v/>
      </c>
      <c r="F66" s="11">
        <f>IF(OR($A66="",NOT(ISNUMBER($B66))),"",COUNTIFS($D$7:$D$156,$D66,$B$7:$B$156,"&gt;0"))</f>
        <v/>
      </c>
      <c r="G66" s="11">
        <f>IF(OR(OR($A66="",NOT(ISNUMBER($B66))),$B$2="Not started"),"",IF($C66="Winner",Points!$B$3,ROUND(Points!$B$3*IF($F66&lt;=1,1,Points!$H$7+(1-Points!$H$7)*((($F66-$E66)*(($F66-$E66)+1)/2)^2-((($F66-$E66-$J66+1)-1)*($F66-$E66-$J66+1)/2)^2)/($J66*($F66-1)^3)),0)))</f>
        <v/>
      </c>
      <c r="H66" s="11">
        <f>IF($A66="","",IF($B$2="Final","Final",IF($B$2="In progress","Projected","Not started")))</f>
        <v/>
      </c>
      <c r="I66" s="11">
        <f>IF($A66="","",IF(COUNTIF(Players!$A$2:$A$500,$A66)=0,"Player is not on the Players tab",IF(COUNTIF($A$7:$A$156,$A66)&gt;1,"Player is listed twice",IF(NOT(ISNUMBER($B66)),"Enter a score",IF(COUNTIFS($D$7:$D$156,$D66,$C$7:$C$156,"Winner")&gt;1,"More than one "&amp;$D66&amp;" winner picked",IF(AND($C66="Winner",COUNTIFS($D$7:$D$156,$D66,$B$7:$B$156,"&lt;"&amp;$B66)&gt;0),"The winner doesn't have the best "&amp;$D66&amp;" score",IF(AND($B$2="Final",COUNTIFS($D$7:$D$156,$D66,$C$7:$C$156,"Winner")=0),"Final: pick the "&amp;$D66&amp;" winner",IF($B$2="Not started","Set Status to In progress to count points","OK"))))))))</f>
        <v/>
      </c>
      <c r="J66" s="11">
        <f>IF(OR($A66="",NOT(ISNUMBER($B66))),"",IF($C66="Winner",1,COUNTIFS($D$7:$D$156,$D66,$B$7:$B$156,$B66)-IF(AND(NOT($C66="Winner"),COUNTIFS($D$7:$D$156,$D66,$C$7:$C$156,"Winner",$B$7:$B$156,$B66)&gt;0),1,0)))</f>
        <v/>
      </c>
    </row>
    <row r="67">
      <c r="D67" s="11">
        <f>IF($A67="","",IFERROR(IF(VLOOKUP($A67,Players!$A$2:$B$500,2,FALSE)="","Open",VLOOKUP($A67,Players!$A$2:$B$500,2,FALSE)),"Open"))</f>
        <v/>
      </c>
      <c r="E67" s="11">
        <f>IF(OR($A67="",NOT(ISNUMBER($B67))),"",IF($C67="Winner",1,COUNTIFS($D$7:$D$156,$D67,$B$7:$B$156,"&lt;"&amp;$B67)+1+IF(AND(NOT($C67="Winner"),COUNTIFS($D$7:$D$156,$D67,$C$7:$C$156,"Winner",$B$7:$B$156,$B67)&gt;0),1,0)))</f>
        <v/>
      </c>
      <c r="F67" s="11">
        <f>IF(OR($A67="",NOT(ISNUMBER($B67))),"",COUNTIFS($D$7:$D$156,$D67,$B$7:$B$156,"&gt;0"))</f>
        <v/>
      </c>
      <c r="G67" s="11">
        <f>IF(OR(OR($A67="",NOT(ISNUMBER($B67))),$B$2="Not started"),"",IF($C67="Winner",Points!$B$3,ROUND(Points!$B$3*IF($F67&lt;=1,1,Points!$H$7+(1-Points!$H$7)*((($F67-$E67)*(($F67-$E67)+1)/2)^2-((($F67-$E67-$J67+1)-1)*($F67-$E67-$J67+1)/2)^2)/($J67*($F67-1)^3)),0)))</f>
        <v/>
      </c>
      <c r="H67" s="11">
        <f>IF($A67="","",IF($B$2="Final","Final",IF($B$2="In progress","Projected","Not started")))</f>
        <v/>
      </c>
      <c r="I67" s="11">
        <f>IF($A67="","",IF(COUNTIF(Players!$A$2:$A$500,$A67)=0,"Player is not on the Players tab",IF(COUNTIF($A$7:$A$156,$A67)&gt;1,"Player is listed twice",IF(NOT(ISNUMBER($B67)),"Enter a score",IF(COUNTIFS($D$7:$D$156,$D67,$C$7:$C$156,"Winner")&gt;1,"More than one "&amp;$D67&amp;" winner picked",IF(AND($C67="Winner",COUNTIFS($D$7:$D$156,$D67,$B$7:$B$156,"&lt;"&amp;$B67)&gt;0),"The winner doesn't have the best "&amp;$D67&amp;" score",IF(AND($B$2="Final",COUNTIFS($D$7:$D$156,$D67,$C$7:$C$156,"Winner")=0),"Final: pick the "&amp;$D67&amp;" winner",IF($B$2="Not started","Set Status to In progress to count points","OK"))))))))</f>
        <v/>
      </c>
      <c r="J67" s="11">
        <f>IF(OR($A67="",NOT(ISNUMBER($B67))),"",IF($C67="Winner",1,COUNTIFS($D$7:$D$156,$D67,$B$7:$B$156,$B67)-IF(AND(NOT($C67="Winner"),COUNTIFS($D$7:$D$156,$D67,$C$7:$C$156,"Winner",$B$7:$B$156,$B67)&gt;0),1,0)))</f>
        <v/>
      </c>
    </row>
    <row r="68">
      <c r="D68" s="11">
        <f>IF($A68="","",IFERROR(IF(VLOOKUP($A68,Players!$A$2:$B$500,2,FALSE)="","Open",VLOOKUP($A68,Players!$A$2:$B$500,2,FALSE)),"Open"))</f>
        <v/>
      </c>
      <c r="E68" s="11">
        <f>IF(OR($A68="",NOT(ISNUMBER($B68))),"",IF($C68="Winner",1,COUNTIFS($D$7:$D$156,$D68,$B$7:$B$156,"&lt;"&amp;$B68)+1+IF(AND(NOT($C68="Winner"),COUNTIFS($D$7:$D$156,$D68,$C$7:$C$156,"Winner",$B$7:$B$156,$B68)&gt;0),1,0)))</f>
        <v/>
      </c>
      <c r="F68" s="11">
        <f>IF(OR($A68="",NOT(ISNUMBER($B68))),"",COUNTIFS($D$7:$D$156,$D68,$B$7:$B$156,"&gt;0"))</f>
        <v/>
      </c>
      <c r="G68" s="11">
        <f>IF(OR(OR($A68="",NOT(ISNUMBER($B68))),$B$2="Not started"),"",IF($C68="Winner",Points!$B$3,ROUND(Points!$B$3*IF($F68&lt;=1,1,Points!$H$7+(1-Points!$H$7)*((($F68-$E68)*(($F68-$E68)+1)/2)^2-((($F68-$E68-$J68+1)-1)*($F68-$E68-$J68+1)/2)^2)/($J68*($F68-1)^3)),0)))</f>
        <v/>
      </c>
      <c r="H68" s="11">
        <f>IF($A68="","",IF($B$2="Final","Final",IF($B$2="In progress","Projected","Not started")))</f>
        <v/>
      </c>
      <c r="I68" s="11">
        <f>IF($A68="","",IF(COUNTIF(Players!$A$2:$A$500,$A68)=0,"Player is not on the Players tab",IF(COUNTIF($A$7:$A$156,$A68)&gt;1,"Player is listed twice",IF(NOT(ISNUMBER($B68)),"Enter a score",IF(COUNTIFS($D$7:$D$156,$D68,$C$7:$C$156,"Winner")&gt;1,"More than one "&amp;$D68&amp;" winner picked",IF(AND($C68="Winner",COUNTIFS($D$7:$D$156,$D68,$B$7:$B$156,"&lt;"&amp;$B68)&gt;0),"The winner doesn't have the best "&amp;$D68&amp;" score",IF(AND($B$2="Final",COUNTIFS($D$7:$D$156,$D68,$C$7:$C$156,"Winner")=0),"Final: pick the "&amp;$D68&amp;" winner",IF($B$2="Not started","Set Status to In progress to count points","OK"))))))))</f>
        <v/>
      </c>
      <c r="J68" s="11">
        <f>IF(OR($A68="",NOT(ISNUMBER($B68))),"",IF($C68="Winner",1,COUNTIFS($D$7:$D$156,$D68,$B$7:$B$156,$B68)-IF(AND(NOT($C68="Winner"),COUNTIFS($D$7:$D$156,$D68,$C$7:$C$156,"Winner",$B$7:$B$156,$B68)&gt;0),1,0)))</f>
        <v/>
      </c>
    </row>
    <row r="69">
      <c r="D69" s="11">
        <f>IF($A69="","",IFERROR(IF(VLOOKUP($A69,Players!$A$2:$B$500,2,FALSE)="","Open",VLOOKUP($A69,Players!$A$2:$B$500,2,FALSE)),"Open"))</f>
        <v/>
      </c>
      <c r="E69" s="11">
        <f>IF(OR($A69="",NOT(ISNUMBER($B69))),"",IF($C69="Winner",1,COUNTIFS($D$7:$D$156,$D69,$B$7:$B$156,"&lt;"&amp;$B69)+1+IF(AND(NOT($C69="Winner"),COUNTIFS($D$7:$D$156,$D69,$C$7:$C$156,"Winner",$B$7:$B$156,$B69)&gt;0),1,0)))</f>
        <v/>
      </c>
      <c r="F69" s="11">
        <f>IF(OR($A69="",NOT(ISNUMBER($B69))),"",COUNTIFS($D$7:$D$156,$D69,$B$7:$B$156,"&gt;0"))</f>
        <v/>
      </c>
      <c r="G69" s="11">
        <f>IF(OR(OR($A69="",NOT(ISNUMBER($B69))),$B$2="Not started"),"",IF($C69="Winner",Points!$B$3,ROUND(Points!$B$3*IF($F69&lt;=1,1,Points!$H$7+(1-Points!$H$7)*((($F69-$E69)*(($F69-$E69)+1)/2)^2-((($F69-$E69-$J69+1)-1)*($F69-$E69-$J69+1)/2)^2)/($J69*($F69-1)^3)),0)))</f>
        <v/>
      </c>
      <c r="H69" s="11">
        <f>IF($A69="","",IF($B$2="Final","Final",IF($B$2="In progress","Projected","Not started")))</f>
        <v/>
      </c>
      <c r="I69" s="11">
        <f>IF($A69="","",IF(COUNTIF(Players!$A$2:$A$500,$A69)=0,"Player is not on the Players tab",IF(COUNTIF($A$7:$A$156,$A69)&gt;1,"Player is listed twice",IF(NOT(ISNUMBER($B69)),"Enter a score",IF(COUNTIFS($D$7:$D$156,$D69,$C$7:$C$156,"Winner")&gt;1,"More than one "&amp;$D69&amp;" winner picked",IF(AND($C69="Winner",COUNTIFS($D$7:$D$156,$D69,$B$7:$B$156,"&lt;"&amp;$B69)&gt;0),"The winner doesn't have the best "&amp;$D69&amp;" score",IF(AND($B$2="Final",COUNTIFS($D$7:$D$156,$D69,$C$7:$C$156,"Winner")=0),"Final: pick the "&amp;$D69&amp;" winner",IF($B$2="Not started","Set Status to In progress to count points","OK"))))))))</f>
        <v/>
      </c>
      <c r="J69" s="11">
        <f>IF(OR($A69="",NOT(ISNUMBER($B69))),"",IF($C69="Winner",1,COUNTIFS($D$7:$D$156,$D69,$B$7:$B$156,$B69)-IF(AND(NOT($C69="Winner"),COUNTIFS($D$7:$D$156,$D69,$C$7:$C$156,"Winner",$B$7:$B$156,$B69)&gt;0),1,0)))</f>
        <v/>
      </c>
    </row>
    <row r="70">
      <c r="D70" s="11">
        <f>IF($A70="","",IFERROR(IF(VLOOKUP($A70,Players!$A$2:$B$500,2,FALSE)="","Open",VLOOKUP($A70,Players!$A$2:$B$500,2,FALSE)),"Open"))</f>
        <v/>
      </c>
      <c r="E70" s="11">
        <f>IF(OR($A70="",NOT(ISNUMBER($B70))),"",IF($C70="Winner",1,COUNTIFS($D$7:$D$156,$D70,$B$7:$B$156,"&lt;"&amp;$B70)+1+IF(AND(NOT($C70="Winner"),COUNTIFS($D$7:$D$156,$D70,$C$7:$C$156,"Winner",$B$7:$B$156,$B70)&gt;0),1,0)))</f>
        <v/>
      </c>
      <c r="F70" s="11">
        <f>IF(OR($A70="",NOT(ISNUMBER($B70))),"",COUNTIFS($D$7:$D$156,$D70,$B$7:$B$156,"&gt;0"))</f>
        <v/>
      </c>
      <c r="G70" s="11">
        <f>IF(OR(OR($A70="",NOT(ISNUMBER($B70))),$B$2="Not started"),"",IF($C70="Winner",Points!$B$3,ROUND(Points!$B$3*IF($F70&lt;=1,1,Points!$H$7+(1-Points!$H$7)*((($F70-$E70)*(($F70-$E70)+1)/2)^2-((($F70-$E70-$J70+1)-1)*($F70-$E70-$J70+1)/2)^2)/($J70*($F70-1)^3)),0)))</f>
        <v/>
      </c>
      <c r="H70" s="11">
        <f>IF($A70="","",IF($B$2="Final","Final",IF($B$2="In progress","Projected","Not started")))</f>
        <v/>
      </c>
      <c r="I70" s="11">
        <f>IF($A70="","",IF(COUNTIF(Players!$A$2:$A$500,$A70)=0,"Player is not on the Players tab",IF(COUNTIF($A$7:$A$156,$A70)&gt;1,"Player is listed twice",IF(NOT(ISNUMBER($B70)),"Enter a score",IF(COUNTIFS($D$7:$D$156,$D70,$C$7:$C$156,"Winner")&gt;1,"More than one "&amp;$D70&amp;" winner picked",IF(AND($C70="Winner",COUNTIFS($D$7:$D$156,$D70,$B$7:$B$156,"&lt;"&amp;$B70)&gt;0),"The winner doesn't have the best "&amp;$D70&amp;" score",IF(AND($B$2="Final",COUNTIFS($D$7:$D$156,$D70,$C$7:$C$156,"Winner")=0),"Final: pick the "&amp;$D70&amp;" winner",IF($B$2="Not started","Set Status to In progress to count points","OK"))))))))</f>
        <v/>
      </c>
      <c r="J70" s="11">
        <f>IF(OR($A70="",NOT(ISNUMBER($B70))),"",IF($C70="Winner",1,COUNTIFS($D$7:$D$156,$D70,$B$7:$B$156,$B70)-IF(AND(NOT($C70="Winner"),COUNTIFS($D$7:$D$156,$D70,$C$7:$C$156,"Winner",$B$7:$B$156,$B70)&gt;0),1,0)))</f>
        <v/>
      </c>
    </row>
    <row r="71">
      <c r="D71" s="11">
        <f>IF($A71="","",IFERROR(IF(VLOOKUP($A71,Players!$A$2:$B$500,2,FALSE)="","Open",VLOOKUP($A71,Players!$A$2:$B$500,2,FALSE)),"Open"))</f>
        <v/>
      </c>
      <c r="E71" s="11">
        <f>IF(OR($A71="",NOT(ISNUMBER($B71))),"",IF($C71="Winner",1,COUNTIFS($D$7:$D$156,$D71,$B$7:$B$156,"&lt;"&amp;$B71)+1+IF(AND(NOT($C71="Winner"),COUNTIFS($D$7:$D$156,$D71,$C$7:$C$156,"Winner",$B$7:$B$156,$B71)&gt;0),1,0)))</f>
        <v/>
      </c>
      <c r="F71" s="11">
        <f>IF(OR($A71="",NOT(ISNUMBER($B71))),"",COUNTIFS($D$7:$D$156,$D71,$B$7:$B$156,"&gt;0"))</f>
        <v/>
      </c>
      <c r="G71" s="11">
        <f>IF(OR(OR($A71="",NOT(ISNUMBER($B71))),$B$2="Not started"),"",IF($C71="Winner",Points!$B$3,ROUND(Points!$B$3*IF($F71&lt;=1,1,Points!$H$7+(1-Points!$H$7)*((($F71-$E71)*(($F71-$E71)+1)/2)^2-((($F71-$E71-$J71+1)-1)*($F71-$E71-$J71+1)/2)^2)/($J71*($F71-1)^3)),0)))</f>
        <v/>
      </c>
      <c r="H71" s="11">
        <f>IF($A71="","",IF($B$2="Final","Final",IF($B$2="In progress","Projected","Not started")))</f>
        <v/>
      </c>
      <c r="I71" s="11">
        <f>IF($A71="","",IF(COUNTIF(Players!$A$2:$A$500,$A71)=0,"Player is not on the Players tab",IF(COUNTIF($A$7:$A$156,$A71)&gt;1,"Player is listed twice",IF(NOT(ISNUMBER($B71)),"Enter a score",IF(COUNTIFS($D$7:$D$156,$D71,$C$7:$C$156,"Winner")&gt;1,"More than one "&amp;$D71&amp;" winner picked",IF(AND($C71="Winner",COUNTIFS($D$7:$D$156,$D71,$B$7:$B$156,"&lt;"&amp;$B71)&gt;0),"The winner doesn't have the best "&amp;$D71&amp;" score",IF(AND($B$2="Final",COUNTIFS($D$7:$D$156,$D71,$C$7:$C$156,"Winner")=0),"Final: pick the "&amp;$D71&amp;" winner",IF($B$2="Not started","Set Status to In progress to count points","OK"))))))))</f>
        <v/>
      </c>
      <c r="J71" s="11">
        <f>IF(OR($A71="",NOT(ISNUMBER($B71))),"",IF($C71="Winner",1,COUNTIFS($D$7:$D$156,$D71,$B$7:$B$156,$B71)-IF(AND(NOT($C71="Winner"),COUNTIFS($D$7:$D$156,$D71,$C$7:$C$156,"Winner",$B$7:$B$156,$B71)&gt;0),1,0)))</f>
        <v/>
      </c>
    </row>
    <row r="72">
      <c r="D72" s="11">
        <f>IF($A72="","",IFERROR(IF(VLOOKUP($A72,Players!$A$2:$B$500,2,FALSE)="","Open",VLOOKUP($A72,Players!$A$2:$B$500,2,FALSE)),"Open"))</f>
        <v/>
      </c>
      <c r="E72" s="11">
        <f>IF(OR($A72="",NOT(ISNUMBER($B72))),"",IF($C72="Winner",1,COUNTIFS($D$7:$D$156,$D72,$B$7:$B$156,"&lt;"&amp;$B72)+1+IF(AND(NOT($C72="Winner"),COUNTIFS($D$7:$D$156,$D72,$C$7:$C$156,"Winner",$B$7:$B$156,$B72)&gt;0),1,0)))</f>
        <v/>
      </c>
      <c r="F72" s="11">
        <f>IF(OR($A72="",NOT(ISNUMBER($B72))),"",COUNTIFS($D$7:$D$156,$D72,$B$7:$B$156,"&gt;0"))</f>
        <v/>
      </c>
      <c r="G72" s="11">
        <f>IF(OR(OR($A72="",NOT(ISNUMBER($B72))),$B$2="Not started"),"",IF($C72="Winner",Points!$B$3,ROUND(Points!$B$3*IF($F72&lt;=1,1,Points!$H$7+(1-Points!$H$7)*((($F72-$E72)*(($F72-$E72)+1)/2)^2-((($F72-$E72-$J72+1)-1)*($F72-$E72-$J72+1)/2)^2)/($J72*($F72-1)^3)),0)))</f>
        <v/>
      </c>
      <c r="H72" s="11">
        <f>IF($A72="","",IF($B$2="Final","Final",IF($B$2="In progress","Projected","Not started")))</f>
        <v/>
      </c>
      <c r="I72" s="11">
        <f>IF($A72="","",IF(COUNTIF(Players!$A$2:$A$500,$A72)=0,"Player is not on the Players tab",IF(COUNTIF($A$7:$A$156,$A72)&gt;1,"Player is listed twice",IF(NOT(ISNUMBER($B72)),"Enter a score",IF(COUNTIFS($D$7:$D$156,$D72,$C$7:$C$156,"Winner")&gt;1,"More than one "&amp;$D72&amp;" winner picked",IF(AND($C72="Winner",COUNTIFS($D$7:$D$156,$D72,$B$7:$B$156,"&lt;"&amp;$B72)&gt;0),"The winner doesn't have the best "&amp;$D72&amp;" score",IF(AND($B$2="Final",COUNTIFS($D$7:$D$156,$D72,$C$7:$C$156,"Winner")=0),"Final: pick the "&amp;$D72&amp;" winner",IF($B$2="Not started","Set Status to In progress to count points","OK"))))))))</f>
        <v/>
      </c>
      <c r="J72" s="11">
        <f>IF(OR($A72="",NOT(ISNUMBER($B72))),"",IF($C72="Winner",1,COUNTIFS($D$7:$D$156,$D72,$B$7:$B$156,$B72)-IF(AND(NOT($C72="Winner"),COUNTIFS($D$7:$D$156,$D72,$C$7:$C$156,"Winner",$B$7:$B$156,$B72)&gt;0),1,0)))</f>
        <v/>
      </c>
    </row>
    <row r="73">
      <c r="D73" s="11">
        <f>IF($A73="","",IFERROR(IF(VLOOKUP($A73,Players!$A$2:$B$500,2,FALSE)="","Open",VLOOKUP($A73,Players!$A$2:$B$500,2,FALSE)),"Open"))</f>
        <v/>
      </c>
      <c r="E73" s="11">
        <f>IF(OR($A73="",NOT(ISNUMBER($B73))),"",IF($C73="Winner",1,COUNTIFS($D$7:$D$156,$D73,$B$7:$B$156,"&lt;"&amp;$B73)+1+IF(AND(NOT($C73="Winner"),COUNTIFS($D$7:$D$156,$D73,$C$7:$C$156,"Winner",$B$7:$B$156,$B73)&gt;0),1,0)))</f>
        <v/>
      </c>
      <c r="F73" s="11">
        <f>IF(OR($A73="",NOT(ISNUMBER($B73))),"",COUNTIFS($D$7:$D$156,$D73,$B$7:$B$156,"&gt;0"))</f>
        <v/>
      </c>
      <c r="G73" s="11">
        <f>IF(OR(OR($A73="",NOT(ISNUMBER($B73))),$B$2="Not started"),"",IF($C73="Winner",Points!$B$3,ROUND(Points!$B$3*IF($F73&lt;=1,1,Points!$H$7+(1-Points!$H$7)*((($F73-$E73)*(($F73-$E73)+1)/2)^2-((($F73-$E73-$J73+1)-1)*($F73-$E73-$J73+1)/2)^2)/($J73*($F73-1)^3)),0)))</f>
        <v/>
      </c>
      <c r="H73" s="11">
        <f>IF($A73="","",IF($B$2="Final","Final",IF($B$2="In progress","Projected","Not started")))</f>
        <v/>
      </c>
      <c r="I73" s="11">
        <f>IF($A73="","",IF(COUNTIF(Players!$A$2:$A$500,$A73)=0,"Player is not on the Players tab",IF(COUNTIF($A$7:$A$156,$A73)&gt;1,"Player is listed twice",IF(NOT(ISNUMBER($B73)),"Enter a score",IF(COUNTIFS($D$7:$D$156,$D73,$C$7:$C$156,"Winner")&gt;1,"More than one "&amp;$D73&amp;" winner picked",IF(AND($C73="Winner",COUNTIFS($D$7:$D$156,$D73,$B$7:$B$156,"&lt;"&amp;$B73)&gt;0),"The winner doesn't have the best "&amp;$D73&amp;" score",IF(AND($B$2="Final",COUNTIFS($D$7:$D$156,$D73,$C$7:$C$156,"Winner")=0),"Final: pick the "&amp;$D73&amp;" winner",IF($B$2="Not started","Set Status to In progress to count points","OK"))))))))</f>
        <v/>
      </c>
      <c r="J73" s="11">
        <f>IF(OR($A73="",NOT(ISNUMBER($B73))),"",IF($C73="Winner",1,COUNTIFS($D$7:$D$156,$D73,$B$7:$B$156,$B73)-IF(AND(NOT($C73="Winner"),COUNTIFS($D$7:$D$156,$D73,$C$7:$C$156,"Winner",$B$7:$B$156,$B73)&gt;0),1,0)))</f>
        <v/>
      </c>
    </row>
    <row r="74">
      <c r="D74" s="11">
        <f>IF($A74="","",IFERROR(IF(VLOOKUP($A74,Players!$A$2:$B$500,2,FALSE)="","Open",VLOOKUP($A74,Players!$A$2:$B$500,2,FALSE)),"Open"))</f>
        <v/>
      </c>
      <c r="E74" s="11">
        <f>IF(OR($A74="",NOT(ISNUMBER($B74))),"",IF($C74="Winner",1,COUNTIFS($D$7:$D$156,$D74,$B$7:$B$156,"&lt;"&amp;$B74)+1+IF(AND(NOT($C74="Winner"),COUNTIFS($D$7:$D$156,$D74,$C$7:$C$156,"Winner",$B$7:$B$156,$B74)&gt;0),1,0)))</f>
        <v/>
      </c>
      <c r="F74" s="11">
        <f>IF(OR($A74="",NOT(ISNUMBER($B74))),"",COUNTIFS($D$7:$D$156,$D74,$B$7:$B$156,"&gt;0"))</f>
        <v/>
      </c>
      <c r="G74" s="11">
        <f>IF(OR(OR($A74="",NOT(ISNUMBER($B74))),$B$2="Not started"),"",IF($C74="Winner",Points!$B$3,ROUND(Points!$B$3*IF($F74&lt;=1,1,Points!$H$7+(1-Points!$H$7)*((($F74-$E74)*(($F74-$E74)+1)/2)^2-((($F74-$E74-$J74+1)-1)*($F74-$E74-$J74+1)/2)^2)/($J74*($F74-1)^3)),0)))</f>
        <v/>
      </c>
      <c r="H74" s="11">
        <f>IF($A74="","",IF($B$2="Final","Final",IF($B$2="In progress","Projected","Not started")))</f>
        <v/>
      </c>
      <c r="I74" s="11">
        <f>IF($A74="","",IF(COUNTIF(Players!$A$2:$A$500,$A74)=0,"Player is not on the Players tab",IF(COUNTIF($A$7:$A$156,$A74)&gt;1,"Player is listed twice",IF(NOT(ISNUMBER($B74)),"Enter a score",IF(COUNTIFS($D$7:$D$156,$D74,$C$7:$C$156,"Winner")&gt;1,"More than one "&amp;$D74&amp;" winner picked",IF(AND($C74="Winner",COUNTIFS($D$7:$D$156,$D74,$B$7:$B$156,"&lt;"&amp;$B74)&gt;0),"The winner doesn't have the best "&amp;$D74&amp;" score",IF(AND($B$2="Final",COUNTIFS($D$7:$D$156,$D74,$C$7:$C$156,"Winner")=0),"Final: pick the "&amp;$D74&amp;" winner",IF($B$2="Not started","Set Status to In progress to count points","OK"))))))))</f>
        <v/>
      </c>
      <c r="J74" s="11">
        <f>IF(OR($A74="",NOT(ISNUMBER($B74))),"",IF($C74="Winner",1,COUNTIFS($D$7:$D$156,$D74,$B$7:$B$156,$B74)-IF(AND(NOT($C74="Winner"),COUNTIFS($D$7:$D$156,$D74,$C$7:$C$156,"Winner",$B$7:$B$156,$B74)&gt;0),1,0)))</f>
        <v/>
      </c>
    </row>
    <row r="75">
      <c r="D75" s="11">
        <f>IF($A75="","",IFERROR(IF(VLOOKUP($A75,Players!$A$2:$B$500,2,FALSE)="","Open",VLOOKUP($A75,Players!$A$2:$B$500,2,FALSE)),"Open"))</f>
        <v/>
      </c>
      <c r="E75" s="11">
        <f>IF(OR($A75="",NOT(ISNUMBER($B75))),"",IF($C75="Winner",1,COUNTIFS($D$7:$D$156,$D75,$B$7:$B$156,"&lt;"&amp;$B75)+1+IF(AND(NOT($C75="Winner"),COUNTIFS($D$7:$D$156,$D75,$C$7:$C$156,"Winner",$B$7:$B$156,$B75)&gt;0),1,0)))</f>
        <v/>
      </c>
      <c r="F75" s="11">
        <f>IF(OR($A75="",NOT(ISNUMBER($B75))),"",COUNTIFS($D$7:$D$156,$D75,$B$7:$B$156,"&gt;0"))</f>
        <v/>
      </c>
      <c r="G75" s="11">
        <f>IF(OR(OR($A75="",NOT(ISNUMBER($B75))),$B$2="Not started"),"",IF($C75="Winner",Points!$B$3,ROUND(Points!$B$3*IF($F75&lt;=1,1,Points!$H$7+(1-Points!$H$7)*((($F75-$E75)*(($F75-$E75)+1)/2)^2-((($F75-$E75-$J75+1)-1)*($F75-$E75-$J75+1)/2)^2)/($J75*($F75-1)^3)),0)))</f>
        <v/>
      </c>
      <c r="H75" s="11">
        <f>IF($A75="","",IF($B$2="Final","Final",IF($B$2="In progress","Projected","Not started")))</f>
        <v/>
      </c>
      <c r="I75" s="11">
        <f>IF($A75="","",IF(COUNTIF(Players!$A$2:$A$500,$A75)=0,"Player is not on the Players tab",IF(COUNTIF($A$7:$A$156,$A75)&gt;1,"Player is listed twice",IF(NOT(ISNUMBER($B75)),"Enter a score",IF(COUNTIFS($D$7:$D$156,$D75,$C$7:$C$156,"Winner")&gt;1,"More than one "&amp;$D75&amp;" winner picked",IF(AND($C75="Winner",COUNTIFS($D$7:$D$156,$D75,$B$7:$B$156,"&lt;"&amp;$B75)&gt;0),"The winner doesn't have the best "&amp;$D75&amp;" score",IF(AND($B$2="Final",COUNTIFS($D$7:$D$156,$D75,$C$7:$C$156,"Winner")=0),"Final: pick the "&amp;$D75&amp;" winner",IF($B$2="Not started","Set Status to In progress to count points","OK"))))))))</f>
        <v/>
      </c>
      <c r="J75" s="11">
        <f>IF(OR($A75="",NOT(ISNUMBER($B75))),"",IF($C75="Winner",1,COUNTIFS($D$7:$D$156,$D75,$B$7:$B$156,$B75)-IF(AND(NOT($C75="Winner"),COUNTIFS($D$7:$D$156,$D75,$C$7:$C$156,"Winner",$B$7:$B$156,$B75)&gt;0),1,0)))</f>
        <v/>
      </c>
    </row>
    <row r="76">
      <c r="D76" s="11">
        <f>IF($A76="","",IFERROR(IF(VLOOKUP($A76,Players!$A$2:$B$500,2,FALSE)="","Open",VLOOKUP($A76,Players!$A$2:$B$500,2,FALSE)),"Open"))</f>
        <v/>
      </c>
      <c r="E76" s="11">
        <f>IF(OR($A76="",NOT(ISNUMBER($B76))),"",IF($C76="Winner",1,COUNTIFS($D$7:$D$156,$D76,$B$7:$B$156,"&lt;"&amp;$B76)+1+IF(AND(NOT($C76="Winner"),COUNTIFS($D$7:$D$156,$D76,$C$7:$C$156,"Winner",$B$7:$B$156,$B76)&gt;0),1,0)))</f>
        <v/>
      </c>
      <c r="F76" s="11">
        <f>IF(OR($A76="",NOT(ISNUMBER($B76))),"",COUNTIFS($D$7:$D$156,$D76,$B$7:$B$156,"&gt;0"))</f>
        <v/>
      </c>
      <c r="G76" s="11">
        <f>IF(OR(OR($A76="",NOT(ISNUMBER($B76))),$B$2="Not started"),"",IF($C76="Winner",Points!$B$3,ROUND(Points!$B$3*IF($F76&lt;=1,1,Points!$H$7+(1-Points!$H$7)*((($F76-$E76)*(($F76-$E76)+1)/2)^2-((($F76-$E76-$J76+1)-1)*($F76-$E76-$J76+1)/2)^2)/($J76*($F76-1)^3)),0)))</f>
        <v/>
      </c>
      <c r="H76" s="11">
        <f>IF($A76="","",IF($B$2="Final","Final",IF($B$2="In progress","Projected","Not started")))</f>
        <v/>
      </c>
      <c r="I76" s="11">
        <f>IF($A76="","",IF(COUNTIF(Players!$A$2:$A$500,$A76)=0,"Player is not on the Players tab",IF(COUNTIF($A$7:$A$156,$A76)&gt;1,"Player is listed twice",IF(NOT(ISNUMBER($B76)),"Enter a score",IF(COUNTIFS($D$7:$D$156,$D76,$C$7:$C$156,"Winner")&gt;1,"More than one "&amp;$D76&amp;" winner picked",IF(AND($C76="Winner",COUNTIFS($D$7:$D$156,$D76,$B$7:$B$156,"&lt;"&amp;$B76)&gt;0),"The winner doesn't have the best "&amp;$D76&amp;" score",IF(AND($B$2="Final",COUNTIFS($D$7:$D$156,$D76,$C$7:$C$156,"Winner")=0),"Final: pick the "&amp;$D76&amp;" winner",IF($B$2="Not started","Set Status to In progress to count points","OK"))))))))</f>
        <v/>
      </c>
      <c r="J76" s="11">
        <f>IF(OR($A76="",NOT(ISNUMBER($B76))),"",IF($C76="Winner",1,COUNTIFS($D$7:$D$156,$D76,$B$7:$B$156,$B76)-IF(AND(NOT($C76="Winner"),COUNTIFS($D$7:$D$156,$D76,$C$7:$C$156,"Winner",$B$7:$B$156,$B76)&gt;0),1,0)))</f>
        <v/>
      </c>
    </row>
    <row r="77">
      <c r="D77" s="11">
        <f>IF($A77="","",IFERROR(IF(VLOOKUP($A77,Players!$A$2:$B$500,2,FALSE)="","Open",VLOOKUP($A77,Players!$A$2:$B$500,2,FALSE)),"Open"))</f>
        <v/>
      </c>
      <c r="E77" s="11">
        <f>IF(OR($A77="",NOT(ISNUMBER($B77))),"",IF($C77="Winner",1,COUNTIFS($D$7:$D$156,$D77,$B$7:$B$156,"&lt;"&amp;$B77)+1+IF(AND(NOT($C77="Winner"),COUNTIFS($D$7:$D$156,$D77,$C$7:$C$156,"Winner",$B$7:$B$156,$B77)&gt;0),1,0)))</f>
        <v/>
      </c>
      <c r="F77" s="11">
        <f>IF(OR($A77="",NOT(ISNUMBER($B77))),"",COUNTIFS($D$7:$D$156,$D77,$B$7:$B$156,"&gt;0"))</f>
        <v/>
      </c>
      <c r="G77" s="11">
        <f>IF(OR(OR($A77="",NOT(ISNUMBER($B77))),$B$2="Not started"),"",IF($C77="Winner",Points!$B$3,ROUND(Points!$B$3*IF($F77&lt;=1,1,Points!$H$7+(1-Points!$H$7)*((($F77-$E77)*(($F77-$E77)+1)/2)^2-((($F77-$E77-$J77+1)-1)*($F77-$E77-$J77+1)/2)^2)/($J77*($F77-1)^3)),0)))</f>
        <v/>
      </c>
      <c r="H77" s="11">
        <f>IF($A77="","",IF($B$2="Final","Final",IF($B$2="In progress","Projected","Not started")))</f>
        <v/>
      </c>
      <c r="I77" s="11">
        <f>IF($A77="","",IF(COUNTIF(Players!$A$2:$A$500,$A77)=0,"Player is not on the Players tab",IF(COUNTIF($A$7:$A$156,$A77)&gt;1,"Player is listed twice",IF(NOT(ISNUMBER($B77)),"Enter a score",IF(COUNTIFS($D$7:$D$156,$D77,$C$7:$C$156,"Winner")&gt;1,"More than one "&amp;$D77&amp;" winner picked",IF(AND($C77="Winner",COUNTIFS($D$7:$D$156,$D77,$B$7:$B$156,"&lt;"&amp;$B77)&gt;0),"The winner doesn't have the best "&amp;$D77&amp;" score",IF(AND($B$2="Final",COUNTIFS($D$7:$D$156,$D77,$C$7:$C$156,"Winner")=0),"Final: pick the "&amp;$D77&amp;" winner",IF($B$2="Not started","Set Status to In progress to count points","OK"))))))))</f>
        <v/>
      </c>
      <c r="J77" s="11">
        <f>IF(OR($A77="",NOT(ISNUMBER($B77))),"",IF($C77="Winner",1,COUNTIFS($D$7:$D$156,$D77,$B$7:$B$156,$B77)-IF(AND(NOT($C77="Winner"),COUNTIFS($D$7:$D$156,$D77,$C$7:$C$156,"Winner",$B$7:$B$156,$B77)&gt;0),1,0)))</f>
        <v/>
      </c>
    </row>
    <row r="78">
      <c r="D78" s="11">
        <f>IF($A78="","",IFERROR(IF(VLOOKUP($A78,Players!$A$2:$B$500,2,FALSE)="","Open",VLOOKUP($A78,Players!$A$2:$B$500,2,FALSE)),"Open"))</f>
        <v/>
      </c>
      <c r="E78" s="11">
        <f>IF(OR($A78="",NOT(ISNUMBER($B78))),"",IF($C78="Winner",1,COUNTIFS($D$7:$D$156,$D78,$B$7:$B$156,"&lt;"&amp;$B78)+1+IF(AND(NOT($C78="Winner"),COUNTIFS($D$7:$D$156,$D78,$C$7:$C$156,"Winner",$B$7:$B$156,$B78)&gt;0),1,0)))</f>
        <v/>
      </c>
      <c r="F78" s="11">
        <f>IF(OR($A78="",NOT(ISNUMBER($B78))),"",COUNTIFS($D$7:$D$156,$D78,$B$7:$B$156,"&gt;0"))</f>
        <v/>
      </c>
      <c r="G78" s="11">
        <f>IF(OR(OR($A78="",NOT(ISNUMBER($B78))),$B$2="Not started"),"",IF($C78="Winner",Points!$B$3,ROUND(Points!$B$3*IF($F78&lt;=1,1,Points!$H$7+(1-Points!$H$7)*((($F78-$E78)*(($F78-$E78)+1)/2)^2-((($F78-$E78-$J78+1)-1)*($F78-$E78-$J78+1)/2)^2)/($J78*($F78-1)^3)),0)))</f>
        <v/>
      </c>
      <c r="H78" s="11">
        <f>IF($A78="","",IF($B$2="Final","Final",IF($B$2="In progress","Projected","Not started")))</f>
        <v/>
      </c>
      <c r="I78" s="11">
        <f>IF($A78="","",IF(COUNTIF(Players!$A$2:$A$500,$A78)=0,"Player is not on the Players tab",IF(COUNTIF($A$7:$A$156,$A78)&gt;1,"Player is listed twice",IF(NOT(ISNUMBER($B78)),"Enter a score",IF(COUNTIFS($D$7:$D$156,$D78,$C$7:$C$156,"Winner")&gt;1,"More than one "&amp;$D78&amp;" winner picked",IF(AND($C78="Winner",COUNTIFS($D$7:$D$156,$D78,$B$7:$B$156,"&lt;"&amp;$B78)&gt;0),"The winner doesn't have the best "&amp;$D78&amp;" score",IF(AND($B$2="Final",COUNTIFS($D$7:$D$156,$D78,$C$7:$C$156,"Winner")=0),"Final: pick the "&amp;$D78&amp;" winner",IF($B$2="Not started","Set Status to In progress to count points","OK"))))))))</f>
        <v/>
      </c>
      <c r="J78" s="11">
        <f>IF(OR($A78="",NOT(ISNUMBER($B78))),"",IF($C78="Winner",1,COUNTIFS($D$7:$D$156,$D78,$B$7:$B$156,$B78)-IF(AND(NOT($C78="Winner"),COUNTIFS($D$7:$D$156,$D78,$C$7:$C$156,"Winner",$B$7:$B$156,$B78)&gt;0),1,0)))</f>
        <v/>
      </c>
    </row>
    <row r="79">
      <c r="D79" s="11">
        <f>IF($A79="","",IFERROR(IF(VLOOKUP($A79,Players!$A$2:$B$500,2,FALSE)="","Open",VLOOKUP($A79,Players!$A$2:$B$500,2,FALSE)),"Open"))</f>
        <v/>
      </c>
      <c r="E79" s="11">
        <f>IF(OR($A79="",NOT(ISNUMBER($B79))),"",IF($C79="Winner",1,COUNTIFS($D$7:$D$156,$D79,$B$7:$B$156,"&lt;"&amp;$B79)+1+IF(AND(NOT($C79="Winner"),COUNTIFS($D$7:$D$156,$D79,$C$7:$C$156,"Winner",$B$7:$B$156,$B79)&gt;0),1,0)))</f>
        <v/>
      </c>
      <c r="F79" s="11">
        <f>IF(OR($A79="",NOT(ISNUMBER($B79))),"",COUNTIFS($D$7:$D$156,$D79,$B$7:$B$156,"&gt;0"))</f>
        <v/>
      </c>
      <c r="G79" s="11">
        <f>IF(OR(OR($A79="",NOT(ISNUMBER($B79))),$B$2="Not started"),"",IF($C79="Winner",Points!$B$3,ROUND(Points!$B$3*IF($F79&lt;=1,1,Points!$H$7+(1-Points!$H$7)*((($F79-$E79)*(($F79-$E79)+1)/2)^2-((($F79-$E79-$J79+1)-1)*($F79-$E79-$J79+1)/2)^2)/($J79*($F79-1)^3)),0)))</f>
        <v/>
      </c>
      <c r="H79" s="11">
        <f>IF($A79="","",IF($B$2="Final","Final",IF($B$2="In progress","Projected","Not started")))</f>
        <v/>
      </c>
      <c r="I79" s="11">
        <f>IF($A79="","",IF(COUNTIF(Players!$A$2:$A$500,$A79)=0,"Player is not on the Players tab",IF(COUNTIF($A$7:$A$156,$A79)&gt;1,"Player is listed twice",IF(NOT(ISNUMBER($B79)),"Enter a score",IF(COUNTIFS($D$7:$D$156,$D79,$C$7:$C$156,"Winner")&gt;1,"More than one "&amp;$D79&amp;" winner picked",IF(AND($C79="Winner",COUNTIFS($D$7:$D$156,$D79,$B$7:$B$156,"&lt;"&amp;$B79)&gt;0),"The winner doesn't have the best "&amp;$D79&amp;" score",IF(AND($B$2="Final",COUNTIFS($D$7:$D$156,$D79,$C$7:$C$156,"Winner")=0),"Final: pick the "&amp;$D79&amp;" winner",IF($B$2="Not started","Set Status to In progress to count points","OK"))))))))</f>
        <v/>
      </c>
      <c r="J79" s="11">
        <f>IF(OR($A79="",NOT(ISNUMBER($B79))),"",IF($C79="Winner",1,COUNTIFS($D$7:$D$156,$D79,$B$7:$B$156,$B79)-IF(AND(NOT($C79="Winner"),COUNTIFS($D$7:$D$156,$D79,$C$7:$C$156,"Winner",$B$7:$B$156,$B79)&gt;0),1,0)))</f>
        <v/>
      </c>
    </row>
    <row r="80">
      <c r="D80" s="11">
        <f>IF($A80="","",IFERROR(IF(VLOOKUP($A80,Players!$A$2:$B$500,2,FALSE)="","Open",VLOOKUP($A80,Players!$A$2:$B$500,2,FALSE)),"Open"))</f>
        <v/>
      </c>
      <c r="E80" s="11">
        <f>IF(OR($A80="",NOT(ISNUMBER($B80))),"",IF($C80="Winner",1,COUNTIFS($D$7:$D$156,$D80,$B$7:$B$156,"&lt;"&amp;$B80)+1+IF(AND(NOT($C80="Winner"),COUNTIFS($D$7:$D$156,$D80,$C$7:$C$156,"Winner",$B$7:$B$156,$B80)&gt;0),1,0)))</f>
        <v/>
      </c>
      <c r="F80" s="11">
        <f>IF(OR($A80="",NOT(ISNUMBER($B80))),"",COUNTIFS($D$7:$D$156,$D80,$B$7:$B$156,"&gt;0"))</f>
        <v/>
      </c>
      <c r="G80" s="11">
        <f>IF(OR(OR($A80="",NOT(ISNUMBER($B80))),$B$2="Not started"),"",IF($C80="Winner",Points!$B$3,ROUND(Points!$B$3*IF($F80&lt;=1,1,Points!$H$7+(1-Points!$H$7)*((($F80-$E80)*(($F80-$E80)+1)/2)^2-((($F80-$E80-$J80+1)-1)*($F80-$E80-$J80+1)/2)^2)/($J80*($F80-1)^3)),0)))</f>
        <v/>
      </c>
      <c r="H80" s="11">
        <f>IF($A80="","",IF($B$2="Final","Final",IF($B$2="In progress","Projected","Not started")))</f>
        <v/>
      </c>
      <c r="I80" s="11">
        <f>IF($A80="","",IF(COUNTIF(Players!$A$2:$A$500,$A80)=0,"Player is not on the Players tab",IF(COUNTIF($A$7:$A$156,$A80)&gt;1,"Player is listed twice",IF(NOT(ISNUMBER($B80)),"Enter a score",IF(COUNTIFS($D$7:$D$156,$D80,$C$7:$C$156,"Winner")&gt;1,"More than one "&amp;$D80&amp;" winner picked",IF(AND($C80="Winner",COUNTIFS($D$7:$D$156,$D80,$B$7:$B$156,"&lt;"&amp;$B80)&gt;0),"The winner doesn't have the best "&amp;$D80&amp;" score",IF(AND($B$2="Final",COUNTIFS($D$7:$D$156,$D80,$C$7:$C$156,"Winner")=0),"Final: pick the "&amp;$D80&amp;" winner",IF($B$2="Not started","Set Status to In progress to count points","OK"))))))))</f>
        <v/>
      </c>
      <c r="J80" s="11">
        <f>IF(OR($A80="",NOT(ISNUMBER($B80))),"",IF($C80="Winner",1,COUNTIFS($D$7:$D$156,$D80,$B$7:$B$156,$B80)-IF(AND(NOT($C80="Winner"),COUNTIFS($D$7:$D$156,$D80,$C$7:$C$156,"Winner",$B$7:$B$156,$B80)&gt;0),1,0)))</f>
        <v/>
      </c>
    </row>
    <row r="81">
      <c r="D81" s="11">
        <f>IF($A81="","",IFERROR(IF(VLOOKUP($A81,Players!$A$2:$B$500,2,FALSE)="","Open",VLOOKUP($A81,Players!$A$2:$B$500,2,FALSE)),"Open"))</f>
        <v/>
      </c>
      <c r="E81" s="11">
        <f>IF(OR($A81="",NOT(ISNUMBER($B81))),"",IF($C81="Winner",1,COUNTIFS($D$7:$D$156,$D81,$B$7:$B$156,"&lt;"&amp;$B81)+1+IF(AND(NOT($C81="Winner"),COUNTIFS($D$7:$D$156,$D81,$C$7:$C$156,"Winner",$B$7:$B$156,$B81)&gt;0),1,0)))</f>
        <v/>
      </c>
      <c r="F81" s="11">
        <f>IF(OR($A81="",NOT(ISNUMBER($B81))),"",COUNTIFS($D$7:$D$156,$D81,$B$7:$B$156,"&gt;0"))</f>
        <v/>
      </c>
      <c r="G81" s="11">
        <f>IF(OR(OR($A81="",NOT(ISNUMBER($B81))),$B$2="Not started"),"",IF($C81="Winner",Points!$B$3,ROUND(Points!$B$3*IF($F81&lt;=1,1,Points!$H$7+(1-Points!$H$7)*((($F81-$E81)*(($F81-$E81)+1)/2)^2-((($F81-$E81-$J81+1)-1)*($F81-$E81-$J81+1)/2)^2)/($J81*($F81-1)^3)),0)))</f>
        <v/>
      </c>
      <c r="H81" s="11">
        <f>IF($A81="","",IF($B$2="Final","Final",IF($B$2="In progress","Projected","Not started")))</f>
        <v/>
      </c>
      <c r="I81" s="11">
        <f>IF($A81="","",IF(COUNTIF(Players!$A$2:$A$500,$A81)=0,"Player is not on the Players tab",IF(COUNTIF($A$7:$A$156,$A81)&gt;1,"Player is listed twice",IF(NOT(ISNUMBER($B81)),"Enter a score",IF(COUNTIFS($D$7:$D$156,$D81,$C$7:$C$156,"Winner")&gt;1,"More than one "&amp;$D81&amp;" winner picked",IF(AND($C81="Winner",COUNTIFS($D$7:$D$156,$D81,$B$7:$B$156,"&lt;"&amp;$B81)&gt;0),"The winner doesn't have the best "&amp;$D81&amp;" score",IF(AND($B$2="Final",COUNTIFS($D$7:$D$156,$D81,$C$7:$C$156,"Winner")=0),"Final: pick the "&amp;$D81&amp;" winner",IF($B$2="Not started","Set Status to In progress to count points","OK"))))))))</f>
        <v/>
      </c>
      <c r="J81" s="11">
        <f>IF(OR($A81="",NOT(ISNUMBER($B81))),"",IF($C81="Winner",1,COUNTIFS($D$7:$D$156,$D81,$B$7:$B$156,$B81)-IF(AND(NOT($C81="Winner"),COUNTIFS($D$7:$D$156,$D81,$C$7:$C$156,"Winner",$B$7:$B$156,$B81)&gt;0),1,0)))</f>
        <v/>
      </c>
    </row>
    <row r="82">
      <c r="D82" s="11">
        <f>IF($A82="","",IFERROR(IF(VLOOKUP($A82,Players!$A$2:$B$500,2,FALSE)="","Open",VLOOKUP($A82,Players!$A$2:$B$500,2,FALSE)),"Open"))</f>
        <v/>
      </c>
      <c r="E82" s="11">
        <f>IF(OR($A82="",NOT(ISNUMBER($B82))),"",IF($C82="Winner",1,COUNTIFS($D$7:$D$156,$D82,$B$7:$B$156,"&lt;"&amp;$B82)+1+IF(AND(NOT($C82="Winner"),COUNTIFS($D$7:$D$156,$D82,$C$7:$C$156,"Winner",$B$7:$B$156,$B82)&gt;0),1,0)))</f>
        <v/>
      </c>
      <c r="F82" s="11">
        <f>IF(OR($A82="",NOT(ISNUMBER($B82))),"",COUNTIFS($D$7:$D$156,$D82,$B$7:$B$156,"&gt;0"))</f>
        <v/>
      </c>
      <c r="G82" s="11">
        <f>IF(OR(OR($A82="",NOT(ISNUMBER($B82))),$B$2="Not started"),"",IF($C82="Winner",Points!$B$3,ROUND(Points!$B$3*IF($F82&lt;=1,1,Points!$H$7+(1-Points!$H$7)*((($F82-$E82)*(($F82-$E82)+1)/2)^2-((($F82-$E82-$J82+1)-1)*($F82-$E82-$J82+1)/2)^2)/($J82*($F82-1)^3)),0)))</f>
        <v/>
      </c>
      <c r="H82" s="11">
        <f>IF($A82="","",IF($B$2="Final","Final",IF($B$2="In progress","Projected","Not started")))</f>
        <v/>
      </c>
      <c r="I82" s="11">
        <f>IF($A82="","",IF(COUNTIF(Players!$A$2:$A$500,$A82)=0,"Player is not on the Players tab",IF(COUNTIF($A$7:$A$156,$A82)&gt;1,"Player is listed twice",IF(NOT(ISNUMBER($B82)),"Enter a score",IF(COUNTIFS($D$7:$D$156,$D82,$C$7:$C$156,"Winner")&gt;1,"More than one "&amp;$D82&amp;" winner picked",IF(AND($C82="Winner",COUNTIFS($D$7:$D$156,$D82,$B$7:$B$156,"&lt;"&amp;$B82)&gt;0),"The winner doesn't have the best "&amp;$D82&amp;" score",IF(AND($B$2="Final",COUNTIFS($D$7:$D$156,$D82,$C$7:$C$156,"Winner")=0),"Final: pick the "&amp;$D82&amp;" winner",IF($B$2="Not started","Set Status to In progress to count points","OK"))))))))</f>
        <v/>
      </c>
      <c r="J82" s="11">
        <f>IF(OR($A82="",NOT(ISNUMBER($B82))),"",IF($C82="Winner",1,COUNTIFS($D$7:$D$156,$D82,$B$7:$B$156,$B82)-IF(AND(NOT($C82="Winner"),COUNTIFS($D$7:$D$156,$D82,$C$7:$C$156,"Winner",$B$7:$B$156,$B82)&gt;0),1,0)))</f>
        <v/>
      </c>
    </row>
    <row r="83">
      <c r="D83" s="11">
        <f>IF($A83="","",IFERROR(IF(VLOOKUP($A83,Players!$A$2:$B$500,2,FALSE)="","Open",VLOOKUP($A83,Players!$A$2:$B$500,2,FALSE)),"Open"))</f>
        <v/>
      </c>
      <c r="E83" s="11">
        <f>IF(OR($A83="",NOT(ISNUMBER($B83))),"",IF($C83="Winner",1,COUNTIFS($D$7:$D$156,$D83,$B$7:$B$156,"&lt;"&amp;$B83)+1+IF(AND(NOT($C83="Winner"),COUNTIFS($D$7:$D$156,$D83,$C$7:$C$156,"Winner",$B$7:$B$156,$B83)&gt;0),1,0)))</f>
        <v/>
      </c>
      <c r="F83" s="11">
        <f>IF(OR($A83="",NOT(ISNUMBER($B83))),"",COUNTIFS($D$7:$D$156,$D83,$B$7:$B$156,"&gt;0"))</f>
        <v/>
      </c>
      <c r="G83" s="11">
        <f>IF(OR(OR($A83="",NOT(ISNUMBER($B83))),$B$2="Not started"),"",IF($C83="Winner",Points!$B$3,ROUND(Points!$B$3*IF($F83&lt;=1,1,Points!$H$7+(1-Points!$H$7)*((($F83-$E83)*(($F83-$E83)+1)/2)^2-((($F83-$E83-$J83+1)-1)*($F83-$E83-$J83+1)/2)^2)/($J83*($F83-1)^3)),0)))</f>
        <v/>
      </c>
      <c r="H83" s="11">
        <f>IF($A83="","",IF($B$2="Final","Final",IF($B$2="In progress","Projected","Not started")))</f>
        <v/>
      </c>
      <c r="I83" s="11">
        <f>IF($A83="","",IF(COUNTIF(Players!$A$2:$A$500,$A83)=0,"Player is not on the Players tab",IF(COUNTIF($A$7:$A$156,$A83)&gt;1,"Player is listed twice",IF(NOT(ISNUMBER($B83)),"Enter a score",IF(COUNTIFS($D$7:$D$156,$D83,$C$7:$C$156,"Winner")&gt;1,"More than one "&amp;$D83&amp;" winner picked",IF(AND($C83="Winner",COUNTIFS($D$7:$D$156,$D83,$B$7:$B$156,"&lt;"&amp;$B83)&gt;0),"The winner doesn't have the best "&amp;$D83&amp;" score",IF(AND($B$2="Final",COUNTIFS($D$7:$D$156,$D83,$C$7:$C$156,"Winner")=0),"Final: pick the "&amp;$D83&amp;" winner",IF($B$2="Not started","Set Status to In progress to count points","OK"))))))))</f>
        <v/>
      </c>
      <c r="J83" s="11">
        <f>IF(OR($A83="",NOT(ISNUMBER($B83))),"",IF($C83="Winner",1,COUNTIFS($D$7:$D$156,$D83,$B$7:$B$156,$B83)-IF(AND(NOT($C83="Winner"),COUNTIFS($D$7:$D$156,$D83,$C$7:$C$156,"Winner",$B$7:$B$156,$B83)&gt;0),1,0)))</f>
        <v/>
      </c>
    </row>
    <row r="84">
      <c r="D84" s="11">
        <f>IF($A84="","",IFERROR(IF(VLOOKUP($A84,Players!$A$2:$B$500,2,FALSE)="","Open",VLOOKUP($A84,Players!$A$2:$B$500,2,FALSE)),"Open"))</f>
        <v/>
      </c>
      <c r="E84" s="11">
        <f>IF(OR($A84="",NOT(ISNUMBER($B84))),"",IF($C84="Winner",1,COUNTIFS($D$7:$D$156,$D84,$B$7:$B$156,"&lt;"&amp;$B84)+1+IF(AND(NOT($C84="Winner"),COUNTIFS($D$7:$D$156,$D84,$C$7:$C$156,"Winner",$B$7:$B$156,$B84)&gt;0),1,0)))</f>
        <v/>
      </c>
      <c r="F84" s="11">
        <f>IF(OR($A84="",NOT(ISNUMBER($B84))),"",COUNTIFS($D$7:$D$156,$D84,$B$7:$B$156,"&gt;0"))</f>
        <v/>
      </c>
      <c r="G84" s="11">
        <f>IF(OR(OR($A84="",NOT(ISNUMBER($B84))),$B$2="Not started"),"",IF($C84="Winner",Points!$B$3,ROUND(Points!$B$3*IF($F84&lt;=1,1,Points!$H$7+(1-Points!$H$7)*((($F84-$E84)*(($F84-$E84)+1)/2)^2-((($F84-$E84-$J84+1)-1)*($F84-$E84-$J84+1)/2)^2)/($J84*($F84-1)^3)),0)))</f>
        <v/>
      </c>
      <c r="H84" s="11">
        <f>IF($A84="","",IF($B$2="Final","Final",IF($B$2="In progress","Projected","Not started")))</f>
        <v/>
      </c>
      <c r="I84" s="11">
        <f>IF($A84="","",IF(COUNTIF(Players!$A$2:$A$500,$A84)=0,"Player is not on the Players tab",IF(COUNTIF($A$7:$A$156,$A84)&gt;1,"Player is listed twice",IF(NOT(ISNUMBER($B84)),"Enter a score",IF(COUNTIFS($D$7:$D$156,$D84,$C$7:$C$156,"Winner")&gt;1,"More than one "&amp;$D84&amp;" winner picked",IF(AND($C84="Winner",COUNTIFS($D$7:$D$156,$D84,$B$7:$B$156,"&lt;"&amp;$B84)&gt;0),"The winner doesn't have the best "&amp;$D84&amp;" score",IF(AND($B$2="Final",COUNTIFS($D$7:$D$156,$D84,$C$7:$C$156,"Winner")=0),"Final: pick the "&amp;$D84&amp;" winner",IF($B$2="Not started","Set Status to In progress to count points","OK"))))))))</f>
        <v/>
      </c>
      <c r="J84" s="11">
        <f>IF(OR($A84="",NOT(ISNUMBER($B84))),"",IF($C84="Winner",1,COUNTIFS($D$7:$D$156,$D84,$B$7:$B$156,$B84)-IF(AND(NOT($C84="Winner"),COUNTIFS($D$7:$D$156,$D84,$C$7:$C$156,"Winner",$B$7:$B$156,$B84)&gt;0),1,0)))</f>
        <v/>
      </c>
    </row>
    <row r="85">
      <c r="D85" s="11">
        <f>IF($A85="","",IFERROR(IF(VLOOKUP($A85,Players!$A$2:$B$500,2,FALSE)="","Open",VLOOKUP($A85,Players!$A$2:$B$500,2,FALSE)),"Open"))</f>
        <v/>
      </c>
      <c r="E85" s="11">
        <f>IF(OR($A85="",NOT(ISNUMBER($B85))),"",IF($C85="Winner",1,COUNTIFS($D$7:$D$156,$D85,$B$7:$B$156,"&lt;"&amp;$B85)+1+IF(AND(NOT($C85="Winner"),COUNTIFS($D$7:$D$156,$D85,$C$7:$C$156,"Winner",$B$7:$B$156,$B85)&gt;0),1,0)))</f>
        <v/>
      </c>
      <c r="F85" s="11">
        <f>IF(OR($A85="",NOT(ISNUMBER($B85))),"",COUNTIFS($D$7:$D$156,$D85,$B$7:$B$156,"&gt;0"))</f>
        <v/>
      </c>
      <c r="G85" s="11">
        <f>IF(OR(OR($A85="",NOT(ISNUMBER($B85))),$B$2="Not started"),"",IF($C85="Winner",Points!$B$3,ROUND(Points!$B$3*IF($F85&lt;=1,1,Points!$H$7+(1-Points!$H$7)*((($F85-$E85)*(($F85-$E85)+1)/2)^2-((($F85-$E85-$J85+1)-1)*($F85-$E85-$J85+1)/2)^2)/($J85*($F85-1)^3)),0)))</f>
        <v/>
      </c>
      <c r="H85" s="11">
        <f>IF($A85="","",IF($B$2="Final","Final",IF($B$2="In progress","Projected","Not started")))</f>
        <v/>
      </c>
      <c r="I85" s="11">
        <f>IF($A85="","",IF(COUNTIF(Players!$A$2:$A$500,$A85)=0,"Player is not on the Players tab",IF(COUNTIF($A$7:$A$156,$A85)&gt;1,"Player is listed twice",IF(NOT(ISNUMBER($B85)),"Enter a score",IF(COUNTIFS($D$7:$D$156,$D85,$C$7:$C$156,"Winner")&gt;1,"More than one "&amp;$D85&amp;" winner picked",IF(AND($C85="Winner",COUNTIFS($D$7:$D$156,$D85,$B$7:$B$156,"&lt;"&amp;$B85)&gt;0),"The winner doesn't have the best "&amp;$D85&amp;" score",IF(AND($B$2="Final",COUNTIFS($D$7:$D$156,$D85,$C$7:$C$156,"Winner")=0),"Final: pick the "&amp;$D85&amp;" winner",IF($B$2="Not started","Set Status to In progress to count points","OK"))))))))</f>
        <v/>
      </c>
      <c r="J85" s="11">
        <f>IF(OR($A85="",NOT(ISNUMBER($B85))),"",IF($C85="Winner",1,COUNTIFS($D$7:$D$156,$D85,$B$7:$B$156,$B85)-IF(AND(NOT($C85="Winner"),COUNTIFS($D$7:$D$156,$D85,$C$7:$C$156,"Winner",$B$7:$B$156,$B85)&gt;0),1,0)))</f>
        <v/>
      </c>
    </row>
    <row r="86">
      <c r="D86" s="11">
        <f>IF($A86="","",IFERROR(IF(VLOOKUP($A86,Players!$A$2:$B$500,2,FALSE)="","Open",VLOOKUP($A86,Players!$A$2:$B$500,2,FALSE)),"Open"))</f>
        <v/>
      </c>
      <c r="E86" s="11">
        <f>IF(OR($A86="",NOT(ISNUMBER($B86))),"",IF($C86="Winner",1,COUNTIFS($D$7:$D$156,$D86,$B$7:$B$156,"&lt;"&amp;$B86)+1+IF(AND(NOT($C86="Winner"),COUNTIFS($D$7:$D$156,$D86,$C$7:$C$156,"Winner",$B$7:$B$156,$B86)&gt;0),1,0)))</f>
        <v/>
      </c>
      <c r="F86" s="11">
        <f>IF(OR($A86="",NOT(ISNUMBER($B86))),"",COUNTIFS($D$7:$D$156,$D86,$B$7:$B$156,"&gt;0"))</f>
        <v/>
      </c>
      <c r="G86" s="11">
        <f>IF(OR(OR($A86="",NOT(ISNUMBER($B86))),$B$2="Not started"),"",IF($C86="Winner",Points!$B$3,ROUND(Points!$B$3*IF($F86&lt;=1,1,Points!$H$7+(1-Points!$H$7)*((($F86-$E86)*(($F86-$E86)+1)/2)^2-((($F86-$E86-$J86+1)-1)*($F86-$E86-$J86+1)/2)^2)/($J86*($F86-1)^3)),0)))</f>
        <v/>
      </c>
      <c r="H86" s="11">
        <f>IF($A86="","",IF($B$2="Final","Final",IF($B$2="In progress","Projected","Not started")))</f>
        <v/>
      </c>
      <c r="I86" s="11">
        <f>IF($A86="","",IF(COUNTIF(Players!$A$2:$A$500,$A86)=0,"Player is not on the Players tab",IF(COUNTIF($A$7:$A$156,$A86)&gt;1,"Player is listed twice",IF(NOT(ISNUMBER($B86)),"Enter a score",IF(COUNTIFS($D$7:$D$156,$D86,$C$7:$C$156,"Winner")&gt;1,"More than one "&amp;$D86&amp;" winner picked",IF(AND($C86="Winner",COUNTIFS($D$7:$D$156,$D86,$B$7:$B$156,"&lt;"&amp;$B86)&gt;0),"The winner doesn't have the best "&amp;$D86&amp;" score",IF(AND($B$2="Final",COUNTIFS($D$7:$D$156,$D86,$C$7:$C$156,"Winner")=0),"Final: pick the "&amp;$D86&amp;" winner",IF($B$2="Not started","Set Status to In progress to count points","OK"))))))))</f>
        <v/>
      </c>
      <c r="J86" s="11">
        <f>IF(OR($A86="",NOT(ISNUMBER($B86))),"",IF($C86="Winner",1,COUNTIFS($D$7:$D$156,$D86,$B$7:$B$156,$B86)-IF(AND(NOT($C86="Winner"),COUNTIFS($D$7:$D$156,$D86,$C$7:$C$156,"Winner",$B$7:$B$156,$B86)&gt;0),1,0)))</f>
        <v/>
      </c>
    </row>
    <row r="87">
      <c r="D87" s="11">
        <f>IF($A87="","",IFERROR(IF(VLOOKUP($A87,Players!$A$2:$B$500,2,FALSE)="","Open",VLOOKUP($A87,Players!$A$2:$B$500,2,FALSE)),"Open"))</f>
        <v/>
      </c>
      <c r="E87" s="11">
        <f>IF(OR($A87="",NOT(ISNUMBER($B87))),"",IF($C87="Winner",1,COUNTIFS($D$7:$D$156,$D87,$B$7:$B$156,"&lt;"&amp;$B87)+1+IF(AND(NOT($C87="Winner"),COUNTIFS($D$7:$D$156,$D87,$C$7:$C$156,"Winner",$B$7:$B$156,$B87)&gt;0),1,0)))</f>
        <v/>
      </c>
      <c r="F87" s="11">
        <f>IF(OR($A87="",NOT(ISNUMBER($B87))),"",COUNTIFS($D$7:$D$156,$D87,$B$7:$B$156,"&gt;0"))</f>
        <v/>
      </c>
      <c r="G87" s="11">
        <f>IF(OR(OR($A87="",NOT(ISNUMBER($B87))),$B$2="Not started"),"",IF($C87="Winner",Points!$B$3,ROUND(Points!$B$3*IF($F87&lt;=1,1,Points!$H$7+(1-Points!$H$7)*((($F87-$E87)*(($F87-$E87)+1)/2)^2-((($F87-$E87-$J87+1)-1)*($F87-$E87-$J87+1)/2)^2)/($J87*($F87-1)^3)),0)))</f>
        <v/>
      </c>
      <c r="H87" s="11">
        <f>IF($A87="","",IF($B$2="Final","Final",IF($B$2="In progress","Projected","Not started")))</f>
        <v/>
      </c>
      <c r="I87" s="11">
        <f>IF($A87="","",IF(COUNTIF(Players!$A$2:$A$500,$A87)=0,"Player is not on the Players tab",IF(COUNTIF($A$7:$A$156,$A87)&gt;1,"Player is listed twice",IF(NOT(ISNUMBER($B87)),"Enter a score",IF(COUNTIFS($D$7:$D$156,$D87,$C$7:$C$156,"Winner")&gt;1,"More than one "&amp;$D87&amp;" winner picked",IF(AND($C87="Winner",COUNTIFS($D$7:$D$156,$D87,$B$7:$B$156,"&lt;"&amp;$B87)&gt;0),"The winner doesn't have the best "&amp;$D87&amp;" score",IF(AND($B$2="Final",COUNTIFS($D$7:$D$156,$D87,$C$7:$C$156,"Winner")=0),"Final: pick the "&amp;$D87&amp;" winner",IF($B$2="Not started","Set Status to In progress to count points","OK"))))))))</f>
        <v/>
      </c>
      <c r="J87" s="11">
        <f>IF(OR($A87="",NOT(ISNUMBER($B87))),"",IF($C87="Winner",1,COUNTIFS($D$7:$D$156,$D87,$B$7:$B$156,$B87)-IF(AND(NOT($C87="Winner"),COUNTIFS($D$7:$D$156,$D87,$C$7:$C$156,"Winner",$B$7:$B$156,$B87)&gt;0),1,0)))</f>
        <v/>
      </c>
    </row>
    <row r="88">
      <c r="D88" s="11">
        <f>IF($A88="","",IFERROR(IF(VLOOKUP($A88,Players!$A$2:$B$500,2,FALSE)="","Open",VLOOKUP($A88,Players!$A$2:$B$500,2,FALSE)),"Open"))</f>
        <v/>
      </c>
      <c r="E88" s="11">
        <f>IF(OR($A88="",NOT(ISNUMBER($B88))),"",IF($C88="Winner",1,COUNTIFS($D$7:$D$156,$D88,$B$7:$B$156,"&lt;"&amp;$B88)+1+IF(AND(NOT($C88="Winner"),COUNTIFS($D$7:$D$156,$D88,$C$7:$C$156,"Winner",$B$7:$B$156,$B88)&gt;0),1,0)))</f>
        <v/>
      </c>
      <c r="F88" s="11">
        <f>IF(OR($A88="",NOT(ISNUMBER($B88))),"",COUNTIFS($D$7:$D$156,$D88,$B$7:$B$156,"&gt;0"))</f>
        <v/>
      </c>
      <c r="G88" s="11">
        <f>IF(OR(OR($A88="",NOT(ISNUMBER($B88))),$B$2="Not started"),"",IF($C88="Winner",Points!$B$3,ROUND(Points!$B$3*IF($F88&lt;=1,1,Points!$H$7+(1-Points!$H$7)*((($F88-$E88)*(($F88-$E88)+1)/2)^2-((($F88-$E88-$J88+1)-1)*($F88-$E88-$J88+1)/2)^2)/($J88*($F88-1)^3)),0)))</f>
        <v/>
      </c>
      <c r="H88" s="11">
        <f>IF($A88="","",IF($B$2="Final","Final",IF($B$2="In progress","Projected","Not started")))</f>
        <v/>
      </c>
      <c r="I88" s="11">
        <f>IF($A88="","",IF(COUNTIF(Players!$A$2:$A$500,$A88)=0,"Player is not on the Players tab",IF(COUNTIF($A$7:$A$156,$A88)&gt;1,"Player is listed twice",IF(NOT(ISNUMBER($B88)),"Enter a score",IF(COUNTIFS($D$7:$D$156,$D88,$C$7:$C$156,"Winner")&gt;1,"More than one "&amp;$D88&amp;" winner picked",IF(AND($C88="Winner",COUNTIFS($D$7:$D$156,$D88,$B$7:$B$156,"&lt;"&amp;$B88)&gt;0),"The winner doesn't have the best "&amp;$D88&amp;" score",IF(AND($B$2="Final",COUNTIFS($D$7:$D$156,$D88,$C$7:$C$156,"Winner")=0),"Final: pick the "&amp;$D88&amp;" winner",IF($B$2="Not started","Set Status to In progress to count points","OK"))))))))</f>
        <v/>
      </c>
      <c r="J88" s="11">
        <f>IF(OR($A88="",NOT(ISNUMBER($B88))),"",IF($C88="Winner",1,COUNTIFS($D$7:$D$156,$D88,$B$7:$B$156,$B88)-IF(AND(NOT($C88="Winner"),COUNTIFS($D$7:$D$156,$D88,$C$7:$C$156,"Winner",$B$7:$B$156,$B88)&gt;0),1,0)))</f>
        <v/>
      </c>
    </row>
    <row r="89">
      <c r="D89" s="11">
        <f>IF($A89="","",IFERROR(IF(VLOOKUP($A89,Players!$A$2:$B$500,2,FALSE)="","Open",VLOOKUP($A89,Players!$A$2:$B$500,2,FALSE)),"Open"))</f>
        <v/>
      </c>
      <c r="E89" s="11">
        <f>IF(OR($A89="",NOT(ISNUMBER($B89))),"",IF($C89="Winner",1,COUNTIFS($D$7:$D$156,$D89,$B$7:$B$156,"&lt;"&amp;$B89)+1+IF(AND(NOT($C89="Winner"),COUNTIFS($D$7:$D$156,$D89,$C$7:$C$156,"Winner",$B$7:$B$156,$B89)&gt;0),1,0)))</f>
        <v/>
      </c>
      <c r="F89" s="11">
        <f>IF(OR($A89="",NOT(ISNUMBER($B89))),"",COUNTIFS($D$7:$D$156,$D89,$B$7:$B$156,"&gt;0"))</f>
        <v/>
      </c>
      <c r="G89" s="11">
        <f>IF(OR(OR($A89="",NOT(ISNUMBER($B89))),$B$2="Not started"),"",IF($C89="Winner",Points!$B$3,ROUND(Points!$B$3*IF($F89&lt;=1,1,Points!$H$7+(1-Points!$H$7)*((($F89-$E89)*(($F89-$E89)+1)/2)^2-((($F89-$E89-$J89+1)-1)*($F89-$E89-$J89+1)/2)^2)/($J89*($F89-1)^3)),0)))</f>
        <v/>
      </c>
      <c r="H89" s="11">
        <f>IF($A89="","",IF($B$2="Final","Final",IF($B$2="In progress","Projected","Not started")))</f>
        <v/>
      </c>
      <c r="I89" s="11">
        <f>IF($A89="","",IF(COUNTIF(Players!$A$2:$A$500,$A89)=0,"Player is not on the Players tab",IF(COUNTIF($A$7:$A$156,$A89)&gt;1,"Player is listed twice",IF(NOT(ISNUMBER($B89)),"Enter a score",IF(COUNTIFS($D$7:$D$156,$D89,$C$7:$C$156,"Winner")&gt;1,"More than one "&amp;$D89&amp;" winner picked",IF(AND($C89="Winner",COUNTIFS($D$7:$D$156,$D89,$B$7:$B$156,"&lt;"&amp;$B89)&gt;0),"The winner doesn't have the best "&amp;$D89&amp;" score",IF(AND($B$2="Final",COUNTIFS($D$7:$D$156,$D89,$C$7:$C$156,"Winner")=0),"Final: pick the "&amp;$D89&amp;" winner",IF($B$2="Not started","Set Status to In progress to count points","OK"))))))))</f>
        <v/>
      </c>
      <c r="J89" s="11">
        <f>IF(OR($A89="",NOT(ISNUMBER($B89))),"",IF($C89="Winner",1,COUNTIFS($D$7:$D$156,$D89,$B$7:$B$156,$B89)-IF(AND(NOT($C89="Winner"),COUNTIFS($D$7:$D$156,$D89,$C$7:$C$156,"Winner",$B$7:$B$156,$B89)&gt;0),1,0)))</f>
        <v/>
      </c>
    </row>
    <row r="90">
      <c r="D90" s="11">
        <f>IF($A90="","",IFERROR(IF(VLOOKUP($A90,Players!$A$2:$B$500,2,FALSE)="","Open",VLOOKUP($A90,Players!$A$2:$B$500,2,FALSE)),"Open"))</f>
        <v/>
      </c>
      <c r="E90" s="11">
        <f>IF(OR($A90="",NOT(ISNUMBER($B90))),"",IF($C90="Winner",1,COUNTIFS($D$7:$D$156,$D90,$B$7:$B$156,"&lt;"&amp;$B90)+1+IF(AND(NOT($C90="Winner"),COUNTIFS($D$7:$D$156,$D90,$C$7:$C$156,"Winner",$B$7:$B$156,$B90)&gt;0),1,0)))</f>
        <v/>
      </c>
      <c r="F90" s="11">
        <f>IF(OR($A90="",NOT(ISNUMBER($B90))),"",COUNTIFS($D$7:$D$156,$D90,$B$7:$B$156,"&gt;0"))</f>
        <v/>
      </c>
      <c r="G90" s="11">
        <f>IF(OR(OR($A90="",NOT(ISNUMBER($B90))),$B$2="Not started"),"",IF($C90="Winner",Points!$B$3,ROUND(Points!$B$3*IF($F90&lt;=1,1,Points!$H$7+(1-Points!$H$7)*((($F90-$E90)*(($F90-$E90)+1)/2)^2-((($F90-$E90-$J90+1)-1)*($F90-$E90-$J90+1)/2)^2)/($J90*($F90-1)^3)),0)))</f>
        <v/>
      </c>
      <c r="H90" s="11">
        <f>IF($A90="","",IF($B$2="Final","Final",IF($B$2="In progress","Projected","Not started")))</f>
        <v/>
      </c>
      <c r="I90" s="11">
        <f>IF($A90="","",IF(COUNTIF(Players!$A$2:$A$500,$A90)=0,"Player is not on the Players tab",IF(COUNTIF($A$7:$A$156,$A90)&gt;1,"Player is listed twice",IF(NOT(ISNUMBER($B90)),"Enter a score",IF(COUNTIFS($D$7:$D$156,$D90,$C$7:$C$156,"Winner")&gt;1,"More than one "&amp;$D90&amp;" winner picked",IF(AND($C90="Winner",COUNTIFS($D$7:$D$156,$D90,$B$7:$B$156,"&lt;"&amp;$B90)&gt;0),"The winner doesn't have the best "&amp;$D90&amp;" score",IF(AND($B$2="Final",COUNTIFS($D$7:$D$156,$D90,$C$7:$C$156,"Winner")=0),"Final: pick the "&amp;$D90&amp;" winner",IF($B$2="Not started","Set Status to In progress to count points","OK"))))))))</f>
        <v/>
      </c>
      <c r="J90" s="11">
        <f>IF(OR($A90="",NOT(ISNUMBER($B90))),"",IF($C90="Winner",1,COUNTIFS($D$7:$D$156,$D90,$B$7:$B$156,$B90)-IF(AND(NOT($C90="Winner"),COUNTIFS($D$7:$D$156,$D90,$C$7:$C$156,"Winner",$B$7:$B$156,$B90)&gt;0),1,0)))</f>
        <v/>
      </c>
    </row>
    <row r="91">
      <c r="D91" s="11">
        <f>IF($A91="","",IFERROR(IF(VLOOKUP($A91,Players!$A$2:$B$500,2,FALSE)="","Open",VLOOKUP($A91,Players!$A$2:$B$500,2,FALSE)),"Open"))</f>
        <v/>
      </c>
      <c r="E91" s="11">
        <f>IF(OR($A91="",NOT(ISNUMBER($B91))),"",IF($C91="Winner",1,COUNTIFS($D$7:$D$156,$D91,$B$7:$B$156,"&lt;"&amp;$B91)+1+IF(AND(NOT($C91="Winner"),COUNTIFS($D$7:$D$156,$D91,$C$7:$C$156,"Winner",$B$7:$B$156,$B91)&gt;0),1,0)))</f>
        <v/>
      </c>
      <c r="F91" s="11">
        <f>IF(OR($A91="",NOT(ISNUMBER($B91))),"",COUNTIFS($D$7:$D$156,$D91,$B$7:$B$156,"&gt;0"))</f>
        <v/>
      </c>
      <c r="G91" s="11">
        <f>IF(OR(OR($A91="",NOT(ISNUMBER($B91))),$B$2="Not started"),"",IF($C91="Winner",Points!$B$3,ROUND(Points!$B$3*IF($F91&lt;=1,1,Points!$H$7+(1-Points!$H$7)*((($F91-$E91)*(($F91-$E91)+1)/2)^2-((($F91-$E91-$J91+1)-1)*($F91-$E91-$J91+1)/2)^2)/($J91*($F91-1)^3)),0)))</f>
        <v/>
      </c>
      <c r="H91" s="11">
        <f>IF($A91="","",IF($B$2="Final","Final",IF($B$2="In progress","Projected","Not started")))</f>
        <v/>
      </c>
      <c r="I91" s="11">
        <f>IF($A91="","",IF(COUNTIF(Players!$A$2:$A$500,$A91)=0,"Player is not on the Players tab",IF(COUNTIF($A$7:$A$156,$A91)&gt;1,"Player is listed twice",IF(NOT(ISNUMBER($B91)),"Enter a score",IF(COUNTIFS($D$7:$D$156,$D91,$C$7:$C$156,"Winner")&gt;1,"More than one "&amp;$D91&amp;" winner picked",IF(AND($C91="Winner",COUNTIFS($D$7:$D$156,$D91,$B$7:$B$156,"&lt;"&amp;$B91)&gt;0),"The winner doesn't have the best "&amp;$D91&amp;" score",IF(AND($B$2="Final",COUNTIFS($D$7:$D$156,$D91,$C$7:$C$156,"Winner")=0),"Final: pick the "&amp;$D91&amp;" winner",IF($B$2="Not started","Set Status to In progress to count points","OK"))))))))</f>
        <v/>
      </c>
      <c r="J91" s="11">
        <f>IF(OR($A91="",NOT(ISNUMBER($B91))),"",IF($C91="Winner",1,COUNTIFS($D$7:$D$156,$D91,$B$7:$B$156,$B91)-IF(AND(NOT($C91="Winner"),COUNTIFS($D$7:$D$156,$D91,$C$7:$C$156,"Winner",$B$7:$B$156,$B91)&gt;0),1,0)))</f>
        <v/>
      </c>
    </row>
    <row r="92">
      <c r="D92" s="11">
        <f>IF($A92="","",IFERROR(IF(VLOOKUP($A92,Players!$A$2:$B$500,2,FALSE)="","Open",VLOOKUP($A92,Players!$A$2:$B$500,2,FALSE)),"Open"))</f>
        <v/>
      </c>
      <c r="E92" s="11">
        <f>IF(OR($A92="",NOT(ISNUMBER($B92))),"",IF($C92="Winner",1,COUNTIFS($D$7:$D$156,$D92,$B$7:$B$156,"&lt;"&amp;$B92)+1+IF(AND(NOT($C92="Winner"),COUNTIFS($D$7:$D$156,$D92,$C$7:$C$156,"Winner",$B$7:$B$156,$B92)&gt;0),1,0)))</f>
        <v/>
      </c>
      <c r="F92" s="11">
        <f>IF(OR($A92="",NOT(ISNUMBER($B92))),"",COUNTIFS($D$7:$D$156,$D92,$B$7:$B$156,"&gt;0"))</f>
        <v/>
      </c>
      <c r="G92" s="11">
        <f>IF(OR(OR($A92="",NOT(ISNUMBER($B92))),$B$2="Not started"),"",IF($C92="Winner",Points!$B$3,ROUND(Points!$B$3*IF($F92&lt;=1,1,Points!$H$7+(1-Points!$H$7)*((($F92-$E92)*(($F92-$E92)+1)/2)^2-((($F92-$E92-$J92+1)-1)*($F92-$E92-$J92+1)/2)^2)/($J92*($F92-1)^3)),0)))</f>
        <v/>
      </c>
      <c r="H92" s="11">
        <f>IF($A92="","",IF($B$2="Final","Final",IF($B$2="In progress","Projected","Not started")))</f>
        <v/>
      </c>
      <c r="I92" s="11">
        <f>IF($A92="","",IF(COUNTIF(Players!$A$2:$A$500,$A92)=0,"Player is not on the Players tab",IF(COUNTIF($A$7:$A$156,$A92)&gt;1,"Player is listed twice",IF(NOT(ISNUMBER($B92)),"Enter a score",IF(COUNTIFS($D$7:$D$156,$D92,$C$7:$C$156,"Winner")&gt;1,"More than one "&amp;$D92&amp;" winner picked",IF(AND($C92="Winner",COUNTIFS($D$7:$D$156,$D92,$B$7:$B$156,"&lt;"&amp;$B92)&gt;0),"The winner doesn't have the best "&amp;$D92&amp;" score",IF(AND($B$2="Final",COUNTIFS($D$7:$D$156,$D92,$C$7:$C$156,"Winner")=0),"Final: pick the "&amp;$D92&amp;" winner",IF($B$2="Not started","Set Status to In progress to count points","OK"))))))))</f>
        <v/>
      </c>
      <c r="J92" s="11">
        <f>IF(OR($A92="",NOT(ISNUMBER($B92))),"",IF($C92="Winner",1,COUNTIFS($D$7:$D$156,$D92,$B$7:$B$156,$B92)-IF(AND(NOT($C92="Winner"),COUNTIFS($D$7:$D$156,$D92,$C$7:$C$156,"Winner",$B$7:$B$156,$B92)&gt;0),1,0)))</f>
        <v/>
      </c>
    </row>
    <row r="93">
      <c r="D93" s="11">
        <f>IF($A93="","",IFERROR(IF(VLOOKUP($A93,Players!$A$2:$B$500,2,FALSE)="","Open",VLOOKUP($A93,Players!$A$2:$B$500,2,FALSE)),"Open"))</f>
        <v/>
      </c>
      <c r="E93" s="11">
        <f>IF(OR($A93="",NOT(ISNUMBER($B93))),"",IF($C93="Winner",1,COUNTIFS($D$7:$D$156,$D93,$B$7:$B$156,"&lt;"&amp;$B93)+1+IF(AND(NOT($C93="Winner"),COUNTIFS($D$7:$D$156,$D93,$C$7:$C$156,"Winner",$B$7:$B$156,$B93)&gt;0),1,0)))</f>
        <v/>
      </c>
      <c r="F93" s="11">
        <f>IF(OR($A93="",NOT(ISNUMBER($B93))),"",COUNTIFS($D$7:$D$156,$D93,$B$7:$B$156,"&gt;0"))</f>
        <v/>
      </c>
      <c r="G93" s="11">
        <f>IF(OR(OR($A93="",NOT(ISNUMBER($B93))),$B$2="Not started"),"",IF($C93="Winner",Points!$B$3,ROUND(Points!$B$3*IF($F93&lt;=1,1,Points!$H$7+(1-Points!$H$7)*((($F93-$E93)*(($F93-$E93)+1)/2)^2-((($F93-$E93-$J93+1)-1)*($F93-$E93-$J93+1)/2)^2)/($J93*($F93-1)^3)),0)))</f>
        <v/>
      </c>
      <c r="H93" s="11">
        <f>IF($A93="","",IF($B$2="Final","Final",IF($B$2="In progress","Projected","Not started")))</f>
        <v/>
      </c>
      <c r="I93" s="11">
        <f>IF($A93="","",IF(COUNTIF(Players!$A$2:$A$500,$A93)=0,"Player is not on the Players tab",IF(COUNTIF($A$7:$A$156,$A93)&gt;1,"Player is listed twice",IF(NOT(ISNUMBER($B93)),"Enter a score",IF(COUNTIFS($D$7:$D$156,$D93,$C$7:$C$156,"Winner")&gt;1,"More than one "&amp;$D93&amp;" winner picked",IF(AND($C93="Winner",COUNTIFS($D$7:$D$156,$D93,$B$7:$B$156,"&lt;"&amp;$B93)&gt;0),"The winner doesn't have the best "&amp;$D93&amp;" score",IF(AND($B$2="Final",COUNTIFS($D$7:$D$156,$D93,$C$7:$C$156,"Winner")=0),"Final: pick the "&amp;$D93&amp;" winner",IF($B$2="Not started","Set Status to In progress to count points","OK"))))))))</f>
        <v/>
      </c>
      <c r="J93" s="11">
        <f>IF(OR($A93="",NOT(ISNUMBER($B93))),"",IF($C93="Winner",1,COUNTIFS($D$7:$D$156,$D93,$B$7:$B$156,$B93)-IF(AND(NOT($C93="Winner"),COUNTIFS($D$7:$D$156,$D93,$C$7:$C$156,"Winner",$B$7:$B$156,$B93)&gt;0),1,0)))</f>
        <v/>
      </c>
    </row>
    <row r="94">
      <c r="D94" s="11">
        <f>IF($A94="","",IFERROR(IF(VLOOKUP($A94,Players!$A$2:$B$500,2,FALSE)="","Open",VLOOKUP($A94,Players!$A$2:$B$500,2,FALSE)),"Open"))</f>
        <v/>
      </c>
      <c r="E94" s="11">
        <f>IF(OR($A94="",NOT(ISNUMBER($B94))),"",IF($C94="Winner",1,COUNTIFS($D$7:$D$156,$D94,$B$7:$B$156,"&lt;"&amp;$B94)+1+IF(AND(NOT($C94="Winner"),COUNTIFS($D$7:$D$156,$D94,$C$7:$C$156,"Winner",$B$7:$B$156,$B94)&gt;0),1,0)))</f>
        <v/>
      </c>
      <c r="F94" s="11">
        <f>IF(OR($A94="",NOT(ISNUMBER($B94))),"",COUNTIFS($D$7:$D$156,$D94,$B$7:$B$156,"&gt;0"))</f>
        <v/>
      </c>
      <c r="G94" s="11">
        <f>IF(OR(OR($A94="",NOT(ISNUMBER($B94))),$B$2="Not started"),"",IF($C94="Winner",Points!$B$3,ROUND(Points!$B$3*IF($F94&lt;=1,1,Points!$H$7+(1-Points!$H$7)*((($F94-$E94)*(($F94-$E94)+1)/2)^2-((($F94-$E94-$J94+1)-1)*($F94-$E94-$J94+1)/2)^2)/($J94*($F94-1)^3)),0)))</f>
        <v/>
      </c>
      <c r="H94" s="11">
        <f>IF($A94="","",IF($B$2="Final","Final",IF($B$2="In progress","Projected","Not started")))</f>
        <v/>
      </c>
      <c r="I94" s="11">
        <f>IF($A94="","",IF(COUNTIF(Players!$A$2:$A$500,$A94)=0,"Player is not on the Players tab",IF(COUNTIF($A$7:$A$156,$A94)&gt;1,"Player is listed twice",IF(NOT(ISNUMBER($B94)),"Enter a score",IF(COUNTIFS($D$7:$D$156,$D94,$C$7:$C$156,"Winner")&gt;1,"More than one "&amp;$D94&amp;" winner picked",IF(AND($C94="Winner",COUNTIFS($D$7:$D$156,$D94,$B$7:$B$156,"&lt;"&amp;$B94)&gt;0),"The winner doesn't have the best "&amp;$D94&amp;" score",IF(AND($B$2="Final",COUNTIFS($D$7:$D$156,$D94,$C$7:$C$156,"Winner")=0),"Final: pick the "&amp;$D94&amp;" winner",IF($B$2="Not started","Set Status to In progress to count points","OK"))))))))</f>
        <v/>
      </c>
      <c r="J94" s="11">
        <f>IF(OR($A94="",NOT(ISNUMBER($B94))),"",IF($C94="Winner",1,COUNTIFS($D$7:$D$156,$D94,$B$7:$B$156,$B94)-IF(AND(NOT($C94="Winner"),COUNTIFS($D$7:$D$156,$D94,$C$7:$C$156,"Winner",$B$7:$B$156,$B94)&gt;0),1,0)))</f>
        <v/>
      </c>
    </row>
    <row r="95">
      <c r="D95" s="11">
        <f>IF($A95="","",IFERROR(IF(VLOOKUP($A95,Players!$A$2:$B$500,2,FALSE)="","Open",VLOOKUP($A95,Players!$A$2:$B$500,2,FALSE)),"Open"))</f>
        <v/>
      </c>
      <c r="E95" s="11">
        <f>IF(OR($A95="",NOT(ISNUMBER($B95))),"",IF($C95="Winner",1,COUNTIFS($D$7:$D$156,$D95,$B$7:$B$156,"&lt;"&amp;$B95)+1+IF(AND(NOT($C95="Winner"),COUNTIFS($D$7:$D$156,$D95,$C$7:$C$156,"Winner",$B$7:$B$156,$B95)&gt;0),1,0)))</f>
        <v/>
      </c>
      <c r="F95" s="11">
        <f>IF(OR($A95="",NOT(ISNUMBER($B95))),"",COUNTIFS($D$7:$D$156,$D95,$B$7:$B$156,"&gt;0"))</f>
        <v/>
      </c>
      <c r="G95" s="11">
        <f>IF(OR(OR($A95="",NOT(ISNUMBER($B95))),$B$2="Not started"),"",IF($C95="Winner",Points!$B$3,ROUND(Points!$B$3*IF($F95&lt;=1,1,Points!$H$7+(1-Points!$H$7)*((($F95-$E95)*(($F95-$E95)+1)/2)^2-((($F95-$E95-$J95+1)-1)*($F95-$E95-$J95+1)/2)^2)/($J95*($F95-1)^3)),0)))</f>
        <v/>
      </c>
      <c r="H95" s="11">
        <f>IF($A95="","",IF($B$2="Final","Final",IF($B$2="In progress","Projected","Not started")))</f>
        <v/>
      </c>
      <c r="I95" s="11">
        <f>IF($A95="","",IF(COUNTIF(Players!$A$2:$A$500,$A95)=0,"Player is not on the Players tab",IF(COUNTIF($A$7:$A$156,$A95)&gt;1,"Player is listed twice",IF(NOT(ISNUMBER($B95)),"Enter a score",IF(COUNTIFS($D$7:$D$156,$D95,$C$7:$C$156,"Winner")&gt;1,"More than one "&amp;$D95&amp;" winner picked",IF(AND($C95="Winner",COUNTIFS($D$7:$D$156,$D95,$B$7:$B$156,"&lt;"&amp;$B95)&gt;0),"The winner doesn't have the best "&amp;$D95&amp;" score",IF(AND($B$2="Final",COUNTIFS($D$7:$D$156,$D95,$C$7:$C$156,"Winner")=0),"Final: pick the "&amp;$D95&amp;" winner",IF($B$2="Not started","Set Status to In progress to count points","OK"))))))))</f>
        <v/>
      </c>
      <c r="J95" s="11">
        <f>IF(OR($A95="",NOT(ISNUMBER($B95))),"",IF($C95="Winner",1,COUNTIFS($D$7:$D$156,$D95,$B$7:$B$156,$B95)-IF(AND(NOT($C95="Winner"),COUNTIFS($D$7:$D$156,$D95,$C$7:$C$156,"Winner",$B$7:$B$156,$B95)&gt;0),1,0)))</f>
        <v/>
      </c>
    </row>
    <row r="96">
      <c r="D96" s="11">
        <f>IF($A96="","",IFERROR(IF(VLOOKUP($A96,Players!$A$2:$B$500,2,FALSE)="","Open",VLOOKUP($A96,Players!$A$2:$B$500,2,FALSE)),"Open"))</f>
        <v/>
      </c>
      <c r="E96" s="11">
        <f>IF(OR($A96="",NOT(ISNUMBER($B96))),"",IF($C96="Winner",1,COUNTIFS($D$7:$D$156,$D96,$B$7:$B$156,"&lt;"&amp;$B96)+1+IF(AND(NOT($C96="Winner"),COUNTIFS($D$7:$D$156,$D96,$C$7:$C$156,"Winner",$B$7:$B$156,$B96)&gt;0),1,0)))</f>
        <v/>
      </c>
      <c r="F96" s="11">
        <f>IF(OR($A96="",NOT(ISNUMBER($B96))),"",COUNTIFS($D$7:$D$156,$D96,$B$7:$B$156,"&gt;0"))</f>
        <v/>
      </c>
      <c r="G96" s="11">
        <f>IF(OR(OR($A96="",NOT(ISNUMBER($B96))),$B$2="Not started"),"",IF($C96="Winner",Points!$B$3,ROUND(Points!$B$3*IF($F96&lt;=1,1,Points!$H$7+(1-Points!$H$7)*((($F96-$E96)*(($F96-$E96)+1)/2)^2-((($F96-$E96-$J96+1)-1)*($F96-$E96-$J96+1)/2)^2)/($J96*($F96-1)^3)),0)))</f>
        <v/>
      </c>
      <c r="H96" s="11">
        <f>IF($A96="","",IF($B$2="Final","Final",IF($B$2="In progress","Projected","Not started")))</f>
        <v/>
      </c>
      <c r="I96" s="11">
        <f>IF($A96="","",IF(COUNTIF(Players!$A$2:$A$500,$A96)=0,"Player is not on the Players tab",IF(COUNTIF($A$7:$A$156,$A96)&gt;1,"Player is listed twice",IF(NOT(ISNUMBER($B96)),"Enter a score",IF(COUNTIFS($D$7:$D$156,$D96,$C$7:$C$156,"Winner")&gt;1,"More than one "&amp;$D96&amp;" winner picked",IF(AND($C96="Winner",COUNTIFS($D$7:$D$156,$D96,$B$7:$B$156,"&lt;"&amp;$B96)&gt;0),"The winner doesn't have the best "&amp;$D96&amp;" score",IF(AND($B$2="Final",COUNTIFS($D$7:$D$156,$D96,$C$7:$C$156,"Winner")=0),"Final: pick the "&amp;$D96&amp;" winner",IF($B$2="Not started","Set Status to In progress to count points","OK"))))))))</f>
        <v/>
      </c>
      <c r="J96" s="11">
        <f>IF(OR($A96="",NOT(ISNUMBER($B96))),"",IF($C96="Winner",1,COUNTIFS($D$7:$D$156,$D96,$B$7:$B$156,$B96)-IF(AND(NOT($C96="Winner"),COUNTIFS($D$7:$D$156,$D96,$C$7:$C$156,"Winner",$B$7:$B$156,$B96)&gt;0),1,0)))</f>
        <v/>
      </c>
    </row>
    <row r="97">
      <c r="D97" s="11">
        <f>IF($A97="","",IFERROR(IF(VLOOKUP($A97,Players!$A$2:$B$500,2,FALSE)="","Open",VLOOKUP($A97,Players!$A$2:$B$500,2,FALSE)),"Open"))</f>
        <v/>
      </c>
      <c r="E97" s="11">
        <f>IF(OR($A97="",NOT(ISNUMBER($B97))),"",IF($C97="Winner",1,COUNTIFS($D$7:$D$156,$D97,$B$7:$B$156,"&lt;"&amp;$B97)+1+IF(AND(NOT($C97="Winner"),COUNTIFS($D$7:$D$156,$D97,$C$7:$C$156,"Winner",$B$7:$B$156,$B97)&gt;0),1,0)))</f>
        <v/>
      </c>
      <c r="F97" s="11">
        <f>IF(OR($A97="",NOT(ISNUMBER($B97))),"",COUNTIFS($D$7:$D$156,$D97,$B$7:$B$156,"&gt;0"))</f>
        <v/>
      </c>
      <c r="G97" s="11">
        <f>IF(OR(OR($A97="",NOT(ISNUMBER($B97))),$B$2="Not started"),"",IF($C97="Winner",Points!$B$3,ROUND(Points!$B$3*IF($F97&lt;=1,1,Points!$H$7+(1-Points!$H$7)*((($F97-$E97)*(($F97-$E97)+1)/2)^2-((($F97-$E97-$J97+1)-1)*($F97-$E97-$J97+1)/2)^2)/($J97*($F97-1)^3)),0)))</f>
        <v/>
      </c>
      <c r="H97" s="11">
        <f>IF($A97="","",IF($B$2="Final","Final",IF($B$2="In progress","Projected","Not started")))</f>
        <v/>
      </c>
      <c r="I97" s="11">
        <f>IF($A97="","",IF(COUNTIF(Players!$A$2:$A$500,$A97)=0,"Player is not on the Players tab",IF(COUNTIF($A$7:$A$156,$A97)&gt;1,"Player is listed twice",IF(NOT(ISNUMBER($B97)),"Enter a score",IF(COUNTIFS($D$7:$D$156,$D97,$C$7:$C$156,"Winner")&gt;1,"More than one "&amp;$D97&amp;" winner picked",IF(AND($C97="Winner",COUNTIFS($D$7:$D$156,$D97,$B$7:$B$156,"&lt;"&amp;$B97)&gt;0),"The winner doesn't have the best "&amp;$D97&amp;" score",IF(AND($B$2="Final",COUNTIFS($D$7:$D$156,$D97,$C$7:$C$156,"Winner")=0),"Final: pick the "&amp;$D97&amp;" winner",IF($B$2="Not started","Set Status to In progress to count points","OK"))))))))</f>
        <v/>
      </c>
      <c r="J97" s="11">
        <f>IF(OR($A97="",NOT(ISNUMBER($B97))),"",IF($C97="Winner",1,COUNTIFS($D$7:$D$156,$D97,$B$7:$B$156,$B97)-IF(AND(NOT($C97="Winner"),COUNTIFS($D$7:$D$156,$D97,$C$7:$C$156,"Winner",$B$7:$B$156,$B97)&gt;0),1,0)))</f>
        <v/>
      </c>
    </row>
    <row r="98">
      <c r="D98" s="11">
        <f>IF($A98="","",IFERROR(IF(VLOOKUP($A98,Players!$A$2:$B$500,2,FALSE)="","Open",VLOOKUP($A98,Players!$A$2:$B$500,2,FALSE)),"Open"))</f>
        <v/>
      </c>
      <c r="E98" s="11">
        <f>IF(OR($A98="",NOT(ISNUMBER($B98))),"",IF($C98="Winner",1,COUNTIFS($D$7:$D$156,$D98,$B$7:$B$156,"&lt;"&amp;$B98)+1+IF(AND(NOT($C98="Winner"),COUNTIFS($D$7:$D$156,$D98,$C$7:$C$156,"Winner",$B$7:$B$156,$B98)&gt;0),1,0)))</f>
        <v/>
      </c>
      <c r="F98" s="11">
        <f>IF(OR($A98="",NOT(ISNUMBER($B98))),"",COUNTIFS($D$7:$D$156,$D98,$B$7:$B$156,"&gt;0"))</f>
        <v/>
      </c>
      <c r="G98" s="11">
        <f>IF(OR(OR($A98="",NOT(ISNUMBER($B98))),$B$2="Not started"),"",IF($C98="Winner",Points!$B$3,ROUND(Points!$B$3*IF($F98&lt;=1,1,Points!$H$7+(1-Points!$H$7)*((($F98-$E98)*(($F98-$E98)+1)/2)^2-((($F98-$E98-$J98+1)-1)*($F98-$E98-$J98+1)/2)^2)/($J98*($F98-1)^3)),0)))</f>
        <v/>
      </c>
      <c r="H98" s="11">
        <f>IF($A98="","",IF($B$2="Final","Final",IF($B$2="In progress","Projected","Not started")))</f>
        <v/>
      </c>
      <c r="I98" s="11">
        <f>IF($A98="","",IF(COUNTIF(Players!$A$2:$A$500,$A98)=0,"Player is not on the Players tab",IF(COUNTIF($A$7:$A$156,$A98)&gt;1,"Player is listed twice",IF(NOT(ISNUMBER($B98)),"Enter a score",IF(COUNTIFS($D$7:$D$156,$D98,$C$7:$C$156,"Winner")&gt;1,"More than one "&amp;$D98&amp;" winner picked",IF(AND($C98="Winner",COUNTIFS($D$7:$D$156,$D98,$B$7:$B$156,"&lt;"&amp;$B98)&gt;0),"The winner doesn't have the best "&amp;$D98&amp;" score",IF(AND($B$2="Final",COUNTIFS($D$7:$D$156,$D98,$C$7:$C$156,"Winner")=0),"Final: pick the "&amp;$D98&amp;" winner",IF($B$2="Not started","Set Status to In progress to count points","OK"))))))))</f>
        <v/>
      </c>
      <c r="J98" s="11">
        <f>IF(OR($A98="",NOT(ISNUMBER($B98))),"",IF($C98="Winner",1,COUNTIFS($D$7:$D$156,$D98,$B$7:$B$156,$B98)-IF(AND(NOT($C98="Winner"),COUNTIFS($D$7:$D$156,$D98,$C$7:$C$156,"Winner",$B$7:$B$156,$B98)&gt;0),1,0)))</f>
        <v/>
      </c>
    </row>
    <row r="99">
      <c r="D99" s="11">
        <f>IF($A99="","",IFERROR(IF(VLOOKUP($A99,Players!$A$2:$B$500,2,FALSE)="","Open",VLOOKUP($A99,Players!$A$2:$B$500,2,FALSE)),"Open"))</f>
        <v/>
      </c>
      <c r="E99" s="11">
        <f>IF(OR($A99="",NOT(ISNUMBER($B99))),"",IF($C99="Winner",1,COUNTIFS($D$7:$D$156,$D99,$B$7:$B$156,"&lt;"&amp;$B99)+1+IF(AND(NOT($C99="Winner"),COUNTIFS($D$7:$D$156,$D99,$C$7:$C$156,"Winner",$B$7:$B$156,$B99)&gt;0),1,0)))</f>
        <v/>
      </c>
      <c r="F99" s="11">
        <f>IF(OR($A99="",NOT(ISNUMBER($B99))),"",COUNTIFS($D$7:$D$156,$D99,$B$7:$B$156,"&gt;0"))</f>
        <v/>
      </c>
      <c r="G99" s="11">
        <f>IF(OR(OR($A99="",NOT(ISNUMBER($B99))),$B$2="Not started"),"",IF($C99="Winner",Points!$B$3,ROUND(Points!$B$3*IF($F99&lt;=1,1,Points!$H$7+(1-Points!$H$7)*((($F99-$E99)*(($F99-$E99)+1)/2)^2-((($F99-$E99-$J99+1)-1)*($F99-$E99-$J99+1)/2)^2)/($J99*($F99-1)^3)),0)))</f>
        <v/>
      </c>
      <c r="H99" s="11">
        <f>IF($A99="","",IF($B$2="Final","Final",IF($B$2="In progress","Projected","Not started")))</f>
        <v/>
      </c>
      <c r="I99" s="11">
        <f>IF($A99="","",IF(COUNTIF(Players!$A$2:$A$500,$A99)=0,"Player is not on the Players tab",IF(COUNTIF($A$7:$A$156,$A99)&gt;1,"Player is listed twice",IF(NOT(ISNUMBER($B99)),"Enter a score",IF(COUNTIFS($D$7:$D$156,$D99,$C$7:$C$156,"Winner")&gt;1,"More than one "&amp;$D99&amp;" winner picked",IF(AND($C99="Winner",COUNTIFS($D$7:$D$156,$D99,$B$7:$B$156,"&lt;"&amp;$B99)&gt;0),"The winner doesn't have the best "&amp;$D99&amp;" score",IF(AND($B$2="Final",COUNTIFS($D$7:$D$156,$D99,$C$7:$C$156,"Winner")=0),"Final: pick the "&amp;$D99&amp;" winner",IF($B$2="Not started","Set Status to In progress to count points","OK"))))))))</f>
        <v/>
      </c>
      <c r="J99" s="11">
        <f>IF(OR($A99="",NOT(ISNUMBER($B99))),"",IF($C99="Winner",1,COUNTIFS($D$7:$D$156,$D99,$B$7:$B$156,$B99)-IF(AND(NOT($C99="Winner"),COUNTIFS($D$7:$D$156,$D99,$C$7:$C$156,"Winner",$B$7:$B$156,$B99)&gt;0),1,0)))</f>
        <v/>
      </c>
    </row>
    <row r="100">
      <c r="D100" s="11">
        <f>IF($A100="","",IFERROR(IF(VLOOKUP($A100,Players!$A$2:$B$500,2,FALSE)="","Open",VLOOKUP($A100,Players!$A$2:$B$500,2,FALSE)),"Open"))</f>
        <v/>
      </c>
      <c r="E100" s="11">
        <f>IF(OR($A100="",NOT(ISNUMBER($B100))),"",IF($C100="Winner",1,COUNTIFS($D$7:$D$156,$D100,$B$7:$B$156,"&lt;"&amp;$B100)+1+IF(AND(NOT($C100="Winner"),COUNTIFS($D$7:$D$156,$D100,$C$7:$C$156,"Winner",$B$7:$B$156,$B100)&gt;0),1,0)))</f>
        <v/>
      </c>
      <c r="F100" s="11">
        <f>IF(OR($A100="",NOT(ISNUMBER($B100))),"",COUNTIFS($D$7:$D$156,$D100,$B$7:$B$156,"&gt;0"))</f>
        <v/>
      </c>
      <c r="G100" s="11">
        <f>IF(OR(OR($A100="",NOT(ISNUMBER($B100))),$B$2="Not started"),"",IF($C100="Winner",Points!$B$3,ROUND(Points!$B$3*IF($F100&lt;=1,1,Points!$H$7+(1-Points!$H$7)*((($F100-$E100)*(($F100-$E100)+1)/2)^2-((($F100-$E100-$J100+1)-1)*($F100-$E100-$J100+1)/2)^2)/($J100*($F100-1)^3)),0)))</f>
        <v/>
      </c>
      <c r="H100" s="11">
        <f>IF($A100="","",IF($B$2="Final","Final",IF($B$2="In progress","Projected","Not started")))</f>
        <v/>
      </c>
      <c r="I100" s="11">
        <f>IF($A100="","",IF(COUNTIF(Players!$A$2:$A$500,$A100)=0,"Player is not on the Players tab",IF(COUNTIF($A$7:$A$156,$A100)&gt;1,"Player is listed twice",IF(NOT(ISNUMBER($B100)),"Enter a score",IF(COUNTIFS($D$7:$D$156,$D100,$C$7:$C$156,"Winner")&gt;1,"More than one "&amp;$D100&amp;" winner picked",IF(AND($C100="Winner",COUNTIFS($D$7:$D$156,$D100,$B$7:$B$156,"&lt;"&amp;$B100)&gt;0),"The winner doesn't have the best "&amp;$D100&amp;" score",IF(AND($B$2="Final",COUNTIFS($D$7:$D$156,$D100,$C$7:$C$156,"Winner")=0),"Final: pick the "&amp;$D100&amp;" winner",IF($B$2="Not started","Set Status to In progress to count points","OK"))))))))</f>
        <v/>
      </c>
      <c r="J100" s="11">
        <f>IF(OR($A100="",NOT(ISNUMBER($B100))),"",IF($C100="Winner",1,COUNTIFS($D$7:$D$156,$D100,$B$7:$B$156,$B100)-IF(AND(NOT($C100="Winner"),COUNTIFS($D$7:$D$156,$D100,$C$7:$C$156,"Winner",$B$7:$B$156,$B100)&gt;0),1,0)))</f>
        <v/>
      </c>
    </row>
    <row r="101">
      <c r="D101" s="11">
        <f>IF($A101="","",IFERROR(IF(VLOOKUP($A101,Players!$A$2:$B$500,2,FALSE)="","Open",VLOOKUP($A101,Players!$A$2:$B$500,2,FALSE)),"Open"))</f>
        <v/>
      </c>
      <c r="E101" s="11">
        <f>IF(OR($A101="",NOT(ISNUMBER($B101))),"",IF($C101="Winner",1,COUNTIFS($D$7:$D$156,$D101,$B$7:$B$156,"&lt;"&amp;$B101)+1+IF(AND(NOT($C101="Winner"),COUNTIFS($D$7:$D$156,$D101,$C$7:$C$156,"Winner",$B$7:$B$156,$B101)&gt;0),1,0)))</f>
        <v/>
      </c>
      <c r="F101" s="11">
        <f>IF(OR($A101="",NOT(ISNUMBER($B101))),"",COUNTIFS($D$7:$D$156,$D101,$B$7:$B$156,"&gt;0"))</f>
        <v/>
      </c>
      <c r="G101" s="11">
        <f>IF(OR(OR($A101="",NOT(ISNUMBER($B101))),$B$2="Not started"),"",IF($C101="Winner",Points!$B$3,ROUND(Points!$B$3*IF($F101&lt;=1,1,Points!$H$7+(1-Points!$H$7)*((($F101-$E101)*(($F101-$E101)+1)/2)^2-((($F101-$E101-$J101+1)-1)*($F101-$E101-$J101+1)/2)^2)/($J101*($F101-1)^3)),0)))</f>
        <v/>
      </c>
      <c r="H101" s="11">
        <f>IF($A101="","",IF($B$2="Final","Final",IF($B$2="In progress","Projected","Not started")))</f>
        <v/>
      </c>
      <c r="I101" s="11">
        <f>IF($A101="","",IF(COUNTIF(Players!$A$2:$A$500,$A101)=0,"Player is not on the Players tab",IF(COUNTIF($A$7:$A$156,$A101)&gt;1,"Player is listed twice",IF(NOT(ISNUMBER($B101)),"Enter a score",IF(COUNTIFS($D$7:$D$156,$D101,$C$7:$C$156,"Winner")&gt;1,"More than one "&amp;$D101&amp;" winner picked",IF(AND($C101="Winner",COUNTIFS($D$7:$D$156,$D101,$B$7:$B$156,"&lt;"&amp;$B101)&gt;0),"The winner doesn't have the best "&amp;$D101&amp;" score",IF(AND($B$2="Final",COUNTIFS($D$7:$D$156,$D101,$C$7:$C$156,"Winner")=0),"Final: pick the "&amp;$D101&amp;" winner",IF($B$2="Not started","Set Status to In progress to count points","OK"))))))))</f>
        <v/>
      </c>
      <c r="J101" s="11">
        <f>IF(OR($A101="",NOT(ISNUMBER($B101))),"",IF($C101="Winner",1,COUNTIFS($D$7:$D$156,$D101,$B$7:$B$156,$B101)-IF(AND(NOT($C101="Winner"),COUNTIFS($D$7:$D$156,$D101,$C$7:$C$156,"Winner",$B$7:$B$156,$B101)&gt;0),1,0)))</f>
        <v/>
      </c>
    </row>
    <row r="102">
      <c r="D102" s="11">
        <f>IF($A102="","",IFERROR(IF(VLOOKUP($A102,Players!$A$2:$B$500,2,FALSE)="","Open",VLOOKUP($A102,Players!$A$2:$B$500,2,FALSE)),"Open"))</f>
        <v/>
      </c>
      <c r="E102" s="11">
        <f>IF(OR($A102="",NOT(ISNUMBER($B102))),"",IF($C102="Winner",1,COUNTIFS($D$7:$D$156,$D102,$B$7:$B$156,"&lt;"&amp;$B102)+1+IF(AND(NOT($C102="Winner"),COUNTIFS($D$7:$D$156,$D102,$C$7:$C$156,"Winner",$B$7:$B$156,$B102)&gt;0),1,0)))</f>
        <v/>
      </c>
      <c r="F102" s="11">
        <f>IF(OR($A102="",NOT(ISNUMBER($B102))),"",COUNTIFS($D$7:$D$156,$D102,$B$7:$B$156,"&gt;0"))</f>
        <v/>
      </c>
      <c r="G102" s="11">
        <f>IF(OR(OR($A102="",NOT(ISNUMBER($B102))),$B$2="Not started"),"",IF($C102="Winner",Points!$B$3,ROUND(Points!$B$3*IF($F102&lt;=1,1,Points!$H$7+(1-Points!$H$7)*((($F102-$E102)*(($F102-$E102)+1)/2)^2-((($F102-$E102-$J102+1)-1)*($F102-$E102-$J102+1)/2)^2)/($J102*($F102-1)^3)),0)))</f>
        <v/>
      </c>
      <c r="H102" s="11">
        <f>IF($A102="","",IF($B$2="Final","Final",IF($B$2="In progress","Projected","Not started")))</f>
        <v/>
      </c>
      <c r="I102" s="11">
        <f>IF($A102="","",IF(COUNTIF(Players!$A$2:$A$500,$A102)=0,"Player is not on the Players tab",IF(COUNTIF($A$7:$A$156,$A102)&gt;1,"Player is listed twice",IF(NOT(ISNUMBER($B102)),"Enter a score",IF(COUNTIFS($D$7:$D$156,$D102,$C$7:$C$156,"Winner")&gt;1,"More than one "&amp;$D102&amp;" winner picked",IF(AND($C102="Winner",COUNTIFS($D$7:$D$156,$D102,$B$7:$B$156,"&lt;"&amp;$B102)&gt;0),"The winner doesn't have the best "&amp;$D102&amp;" score",IF(AND($B$2="Final",COUNTIFS($D$7:$D$156,$D102,$C$7:$C$156,"Winner")=0),"Final: pick the "&amp;$D102&amp;" winner",IF($B$2="Not started","Set Status to In progress to count points","OK"))))))))</f>
        <v/>
      </c>
      <c r="J102" s="11">
        <f>IF(OR($A102="",NOT(ISNUMBER($B102))),"",IF($C102="Winner",1,COUNTIFS($D$7:$D$156,$D102,$B$7:$B$156,$B102)-IF(AND(NOT($C102="Winner"),COUNTIFS($D$7:$D$156,$D102,$C$7:$C$156,"Winner",$B$7:$B$156,$B102)&gt;0),1,0)))</f>
        <v/>
      </c>
    </row>
    <row r="103">
      <c r="D103" s="11">
        <f>IF($A103="","",IFERROR(IF(VLOOKUP($A103,Players!$A$2:$B$500,2,FALSE)="","Open",VLOOKUP($A103,Players!$A$2:$B$500,2,FALSE)),"Open"))</f>
        <v/>
      </c>
      <c r="E103" s="11">
        <f>IF(OR($A103="",NOT(ISNUMBER($B103))),"",IF($C103="Winner",1,COUNTIFS($D$7:$D$156,$D103,$B$7:$B$156,"&lt;"&amp;$B103)+1+IF(AND(NOT($C103="Winner"),COUNTIFS($D$7:$D$156,$D103,$C$7:$C$156,"Winner",$B$7:$B$156,$B103)&gt;0),1,0)))</f>
        <v/>
      </c>
      <c r="F103" s="11">
        <f>IF(OR($A103="",NOT(ISNUMBER($B103))),"",COUNTIFS($D$7:$D$156,$D103,$B$7:$B$156,"&gt;0"))</f>
        <v/>
      </c>
      <c r="G103" s="11">
        <f>IF(OR(OR($A103="",NOT(ISNUMBER($B103))),$B$2="Not started"),"",IF($C103="Winner",Points!$B$3,ROUND(Points!$B$3*IF($F103&lt;=1,1,Points!$H$7+(1-Points!$H$7)*((($F103-$E103)*(($F103-$E103)+1)/2)^2-((($F103-$E103-$J103+1)-1)*($F103-$E103-$J103+1)/2)^2)/($J103*($F103-1)^3)),0)))</f>
        <v/>
      </c>
      <c r="H103" s="11">
        <f>IF($A103="","",IF($B$2="Final","Final",IF($B$2="In progress","Projected","Not started")))</f>
        <v/>
      </c>
      <c r="I103" s="11">
        <f>IF($A103="","",IF(COUNTIF(Players!$A$2:$A$500,$A103)=0,"Player is not on the Players tab",IF(COUNTIF($A$7:$A$156,$A103)&gt;1,"Player is listed twice",IF(NOT(ISNUMBER($B103)),"Enter a score",IF(COUNTIFS($D$7:$D$156,$D103,$C$7:$C$156,"Winner")&gt;1,"More than one "&amp;$D103&amp;" winner picked",IF(AND($C103="Winner",COUNTIFS($D$7:$D$156,$D103,$B$7:$B$156,"&lt;"&amp;$B103)&gt;0),"The winner doesn't have the best "&amp;$D103&amp;" score",IF(AND($B$2="Final",COUNTIFS($D$7:$D$156,$D103,$C$7:$C$156,"Winner")=0),"Final: pick the "&amp;$D103&amp;" winner",IF($B$2="Not started","Set Status to In progress to count points","OK"))))))))</f>
        <v/>
      </c>
      <c r="J103" s="11">
        <f>IF(OR($A103="",NOT(ISNUMBER($B103))),"",IF($C103="Winner",1,COUNTIFS($D$7:$D$156,$D103,$B$7:$B$156,$B103)-IF(AND(NOT($C103="Winner"),COUNTIFS($D$7:$D$156,$D103,$C$7:$C$156,"Winner",$B$7:$B$156,$B103)&gt;0),1,0)))</f>
        <v/>
      </c>
    </row>
    <row r="104">
      <c r="D104" s="11">
        <f>IF($A104="","",IFERROR(IF(VLOOKUP($A104,Players!$A$2:$B$500,2,FALSE)="","Open",VLOOKUP($A104,Players!$A$2:$B$500,2,FALSE)),"Open"))</f>
        <v/>
      </c>
      <c r="E104" s="11">
        <f>IF(OR($A104="",NOT(ISNUMBER($B104))),"",IF($C104="Winner",1,COUNTIFS($D$7:$D$156,$D104,$B$7:$B$156,"&lt;"&amp;$B104)+1+IF(AND(NOT($C104="Winner"),COUNTIFS($D$7:$D$156,$D104,$C$7:$C$156,"Winner",$B$7:$B$156,$B104)&gt;0),1,0)))</f>
        <v/>
      </c>
      <c r="F104" s="11">
        <f>IF(OR($A104="",NOT(ISNUMBER($B104))),"",COUNTIFS($D$7:$D$156,$D104,$B$7:$B$156,"&gt;0"))</f>
        <v/>
      </c>
      <c r="G104" s="11">
        <f>IF(OR(OR($A104="",NOT(ISNUMBER($B104))),$B$2="Not started"),"",IF($C104="Winner",Points!$B$3,ROUND(Points!$B$3*IF($F104&lt;=1,1,Points!$H$7+(1-Points!$H$7)*((($F104-$E104)*(($F104-$E104)+1)/2)^2-((($F104-$E104-$J104+1)-1)*($F104-$E104-$J104+1)/2)^2)/($J104*($F104-1)^3)),0)))</f>
        <v/>
      </c>
      <c r="H104" s="11">
        <f>IF($A104="","",IF($B$2="Final","Final",IF($B$2="In progress","Projected","Not started")))</f>
        <v/>
      </c>
      <c r="I104" s="11">
        <f>IF($A104="","",IF(COUNTIF(Players!$A$2:$A$500,$A104)=0,"Player is not on the Players tab",IF(COUNTIF($A$7:$A$156,$A104)&gt;1,"Player is listed twice",IF(NOT(ISNUMBER($B104)),"Enter a score",IF(COUNTIFS($D$7:$D$156,$D104,$C$7:$C$156,"Winner")&gt;1,"More than one "&amp;$D104&amp;" winner picked",IF(AND($C104="Winner",COUNTIFS($D$7:$D$156,$D104,$B$7:$B$156,"&lt;"&amp;$B104)&gt;0),"The winner doesn't have the best "&amp;$D104&amp;" score",IF(AND($B$2="Final",COUNTIFS($D$7:$D$156,$D104,$C$7:$C$156,"Winner")=0),"Final: pick the "&amp;$D104&amp;" winner",IF($B$2="Not started","Set Status to In progress to count points","OK"))))))))</f>
        <v/>
      </c>
      <c r="J104" s="11">
        <f>IF(OR($A104="",NOT(ISNUMBER($B104))),"",IF($C104="Winner",1,COUNTIFS($D$7:$D$156,$D104,$B$7:$B$156,$B104)-IF(AND(NOT($C104="Winner"),COUNTIFS($D$7:$D$156,$D104,$C$7:$C$156,"Winner",$B$7:$B$156,$B104)&gt;0),1,0)))</f>
        <v/>
      </c>
    </row>
    <row r="105">
      <c r="D105" s="11">
        <f>IF($A105="","",IFERROR(IF(VLOOKUP($A105,Players!$A$2:$B$500,2,FALSE)="","Open",VLOOKUP($A105,Players!$A$2:$B$500,2,FALSE)),"Open"))</f>
        <v/>
      </c>
      <c r="E105" s="11">
        <f>IF(OR($A105="",NOT(ISNUMBER($B105))),"",IF($C105="Winner",1,COUNTIFS($D$7:$D$156,$D105,$B$7:$B$156,"&lt;"&amp;$B105)+1+IF(AND(NOT($C105="Winner"),COUNTIFS($D$7:$D$156,$D105,$C$7:$C$156,"Winner",$B$7:$B$156,$B105)&gt;0),1,0)))</f>
        <v/>
      </c>
      <c r="F105" s="11">
        <f>IF(OR($A105="",NOT(ISNUMBER($B105))),"",COUNTIFS($D$7:$D$156,$D105,$B$7:$B$156,"&gt;0"))</f>
        <v/>
      </c>
      <c r="G105" s="11">
        <f>IF(OR(OR($A105="",NOT(ISNUMBER($B105))),$B$2="Not started"),"",IF($C105="Winner",Points!$B$3,ROUND(Points!$B$3*IF($F105&lt;=1,1,Points!$H$7+(1-Points!$H$7)*((($F105-$E105)*(($F105-$E105)+1)/2)^2-((($F105-$E105-$J105+1)-1)*($F105-$E105-$J105+1)/2)^2)/($J105*($F105-1)^3)),0)))</f>
        <v/>
      </c>
      <c r="H105" s="11">
        <f>IF($A105="","",IF($B$2="Final","Final",IF($B$2="In progress","Projected","Not started")))</f>
        <v/>
      </c>
      <c r="I105" s="11">
        <f>IF($A105="","",IF(COUNTIF(Players!$A$2:$A$500,$A105)=0,"Player is not on the Players tab",IF(COUNTIF($A$7:$A$156,$A105)&gt;1,"Player is listed twice",IF(NOT(ISNUMBER($B105)),"Enter a score",IF(COUNTIFS($D$7:$D$156,$D105,$C$7:$C$156,"Winner")&gt;1,"More than one "&amp;$D105&amp;" winner picked",IF(AND($C105="Winner",COUNTIFS($D$7:$D$156,$D105,$B$7:$B$156,"&lt;"&amp;$B105)&gt;0),"The winner doesn't have the best "&amp;$D105&amp;" score",IF(AND($B$2="Final",COUNTIFS($D$7:$D$156,$D105,$C$7:$C$156,"Winner")=0),"Final: pick the "&amp;$D105&amp;" winner",IF($B$2="Not started","Set Status to In progress to count points","OK"))))))))</f>
        <v/>
      </c>
      <c r="J105" s="11">
        <f>IF(OR($A105="",NOT(ISNUMBER($B105))),"",IF($C105="Winner",1,COUNTIFS($D$7:$D$156,$D105,$B$7:$B$156,$B105)-IF(AND(NOT($C105="Winner"),COUNTIFS($D$7:$D$156,$D105,$C$7:$C$156,"Winner",$B$7:$B$156,$B105)&gt;0),1,0)))</f>
        <v/>
      </c>
    </row>
    <row r="106">
      <c r="D106" s="11">
        <f>IF($A106="","",IFERROR(IF(VLOOKUP($A106,Players!$A$2:$B$500,2,FALSE)="","Open",VLOOKUP($A106,Players!$A$2:$B$500,2,FALSE)),"Open"))</f>
        <v/>
      </c>
      <c r="E106" s="11">
        <f>IF(OR($A106="",NOT(ISNUMBER($B106))),"",IF($C106="Winner",1,COUNTIFS($D$7:$D$156,$D106,$B$7:$B$156,"&lt;"&amp;$B106)+1+IF(AND(NOT($C106="Winner"),COUNTIFS($D$7:$D$156,$D106,$C$7:$C$156,"Winner",$B$7:$B$156,$B106)&gt;0),1,0)))</f>
        <v/>
      </c>
      <c r="F106" s="11">
        <f>IF(OR($A106="",NOT(ISNUMBER($B106))),"",COUNTIFS($D$7:$D$156,$D106,$B$7:$B$156,"&gt;0"))</f>
        <v/>
      </c>
      <c r="G106" s="11">
        <f>IF(OR(OR($A106="",NOT(ISNUMBER($B106))),$B$2="Not started"),"",IF($C106="Winner",Points!$B$3,ROUND(Points!$B$3*IF($F106&lt;=1,1,Points!$H$7+(1-Points!$H$7)*((($F106-$E106)*(($F106-$E106)+1)/2)^2-((($F106-$E106-$J106+1)-1)*($F106-$E106-$J106+1)/2)^2)/($J106*($F106-1)^3)),0)))</f>
        <v/>
      </c>
      <c r="H106" s="11">
        <f>IF($A106="","",IF($B$2="Final","Final",IF($B$2="In progress","Projected","Not started")))</f>
        <v/>
      </c>
      <c r="I106" s="11">
        <f>IF($A106="","",IF(COUNTIF(Players!$A$2:$A$500,$A106)=0,"Player is not on the Players tab",IF(COUNTIF($A$7:$A$156,$A106)&gt;1,"Player is listed twice",IF(NOT(ISNUMBER($B106)),"Enter a score",IF(COUNTIFS($D$7:$D$156,$D106,$C$7:$C$156,"Winner")&gt;1,"More than one "&amp;$D106&amp;" winner picked",IF(AND($C106="Winner",COUNTIFS($D$7:$D$156,$D106,$B$7:$B$156,"&lt;"&amp;$B106)&gt;0),"The winner doesn't have the best "&amp;$D106&amp;" score",IF(AND($B$2="Final",COUNTIFS($D$7:$D$156,$D106,$C$7:$C$156,"Winner")=0),"Final: pick the "&amp;$D106&amp;" winner",IF($B$2="Not started","Set Status to In progress to count points","OK"))))))))</f>
        <v/>
      </c>
      <c r="J106" s="11">
        <f>IF(OR($A106="",NOT(ISNUMBER($B106))),"",IF($C106="Winner",1,COUNTIFS($D$7:$D$156,$D106,$B$7:$B$156,$B106)-IF(AND(NOT($C106="Winner"),COUNTIFS($D$7:$D$156,$D106,$C$7:$C$156,"Winner",$B$7:$B$156,$B106)&gt;0),1,0)))</f>
        <v/>
      </c>
    </row>
    <row r="107">
      <c r="D107" s="11">
        <f>IF($A107="","",IFERROR(IF(VLOOKUP($A107,Players!$A$2:$B$500,2,FALSE)="","Open",VLOOKUP($A107,Players!$A$2:$B$500,2,FALSE)),"Open"))</f>
        <v/>
      </c>
      <c r="E107" s="11">
        <f>IF(OR($A107="",NOT(ISNUMBER($B107))),"",IF($C107="Winner",1,COUNTIFS($D$7:$D$156,$D107,$B$7:$B$156,"&lt;"&amp;$B107)+1+IF(AND(NOT($C107="Winner"),COUNTIFS($D$7:$D$156,$D107,$C$7:$C$156,"Winner",$B$7:$B$156,$B107)&gt;0),1,0)))</f>
        <v/>
      </c>
      <c r="F107" s="11">
        <f>IF(OR($A107="",NOT(ISNUMBER($B107))),"",COUNTIFS($D$7:$D$156,$D107,$B$7:$B$156,"&gt;0"))</f>
        <v/>
      </c>
      <c r="G107" s="11">
        <f>IF(OR(OR($A107="",NOT(ISNUMBER($B107))),$B$2="Not started"),"",IF($C107="Winner",Points!$B$3,ROUND(Points!$B$3*IF($F107&lt;=1,1,Points!$H$7+(1-Points!$H$7)*((($F107-$E107)*(($F107-$E107)+1)/2)^2-((($F107-$E107-$J107+1)-1)*($F107-$E107-$J107+1)/2)^2)/($J107*($F107-1)^3)),0)))</f>
        <v/>
      </c>
      <c r="H107" s="11">
        <f>IF($A107="","",IF($B$2="Final","Final",IF($B$2="In progress","Projected","Not started")))</f>
        <v/>
      </c>
      <c r="I107" s="11">
        <f>IF($A107="","",IF(COUNTIF(Players!$A$2:$A$500,$A107)=0,"Player is not on the Players tab",IF(COUNTIF($A$7:$A$156,$A107)&gt;1,"Player is listed twice",IF(NOT(ISNUMBER($B107)),"Enter a score",IF(COUNTIFS($D$7:$D$156,$D107,$C$7:$C$156,"Winner")&gt;1,"More than one "&amp;$D107&amp;" winner picked",IF(AND($C107="Winner",COUNTIFS($D$7:$D$156,$D107,$B$7:$B$156,"&lt;"&amp;$B107)&gt;0),"The winner doesn't have the best "&amp;$D107&amp;" score",IF(AND($B$2="Final",COUNTIFS($D$7:$D$156,$D107,$C$7:$C$156,"Winner")=0),"Final: pick the "&amp;$D107&amp;" winner",IF($B$2="Not started","Set Status to In progress to count points","OK"))))))))</f>
        <v/>
      </c>
      <c r="J107" s="11">
        <f>IF(OR($A107="",NOT(ISNUMBER($B107))),"",IF($C107="Winner",1,COUNTIFS($D$7:$D$156,$D107,$B$7:$B$156,$B107)-IF(AND(NOT($C107="Winner"),COUNTIFS($D$7:$D$156,$D107,$C$7:$C$156,"Winner",$B$7:$B$156,$B107)&gt;0),1,0)))</f>
        <v/>
      </c>
    </row>
    <row r="108">
      <c r="D108" s="11">
        <f>IF($A108="","",IFERROR(IF(VLOOKUP($A108,Players!$A$2:$B$500,2,FALSE)="","Open",VLOOKUP($A108,Players!$A$2:$B$500,2,FALSE)),"Open"))</f>
        <v/>
      </c>
      <c r="E108" s="11">
        <f>IF(OR($A108="",NOT(ISNUMBER($B108))),"",IF($C108="Winner",1,COUNTIFS($D$7:$D$156,$D108,$B$7:$B$156,"&lt;"&amp;$B108)+1+IF(AND(NOT($C108="Winner"),COUNTIFS($D$7:$D$156,$D108,$C$7:$C$156,"Winner",$B$7:$B$156,$B108)&gt;0),1,0)))</f>
        <v/>
      </c>
      <c r="F108" s="11">
        <f>IF(OR($A108="",NOT(ISNUMBER($B108))),"",COUNTIFS($D$7:$D$156,$D108,$B$7:$B$156,"&gt;0"))</f>
        <v/>
      </c>
      <c r="G108" s="11">
        <f>IF(OR(OR($A108="",NOT(ISNUMBER($B108))),$B$2="Not started"),"",IF($C108="Winner",Points!$B$3,ROUND(Points!$B$3*IF($F108&lt;=1,1,Points!$H$7+(1-Points!$H$7)*((($F108-$E108)*(($F108-$E108)+1)/2)^2-((($F108-$E108-$J108+1)-1)*($F108-$E108-$J108+1)/2)^2)/($J108*($F108-1)^3)),0)))</f>
        <v/>
      </c>
      <c r="H108" s="11">
        <f>IF($A108="","",IF($B$2="Final","Final",IF($B$2="In progress","Projected","Not started")))</f>
        <v/>
      </c>
      <c r="I108" s="11">
        <f>IF($A108="","",IF(COUNTIF(Players!$A$2:$A$500,$A108)=0,"Player is not on the Players tab",IF(COUNTIF($A$7:$A$156,$A108)&gt;1,"Player is listed twice",IF(NOT(ISNUMBER($B108)),"Enter a score",IF(COUNTIFS($D$7:$D$156,$D108,$C$7:$C$156,"Winner")&gt;1,"More than one "&amp;$D108&amp;" winner picked",IF(AND($C108="Winner",COUNTIFS($D$7:$D$156,$D108,$B$7:$B$156,"&lt;"&amp;$B108)&gt;0),"The winner doesn't have the best "&amp;$D108&amp;" score",IF(AND($B$2="Final",COUNTIFS($D$7:$D$156,$D108,$C$7:$C$156,"Winner")=0),"Final: pick the "&amp;$D108&amp;" winner",IF($B$2="Not started","Set Status to In progress to count points","OK"))))))))</f>
        <v/>
      </c>
      <c r="J108" s="11">
        <f>IF(OR($A108="",NOT(ISNUMBER($B108))),"",IF($C108="Winner",1,COUNTIFS($D$7:$D$156,$D108,$B$7:$B$156,$B108)-IF(AND(NOT($C108="Winner"),COUNTIFS($D$7:$D$156,$D108,$C$7:$C$156,"Winner",$B$7:$B$156,$B108)&gt;0),1,0)))</f>
        <v/>
      </c>
    </row>
    <row r="109">
      <c r="D109" s="11">
        <f>IF($A109="","",IFERROR(IF(VLOOKUP($A109,Players!$A$2:$B$500,2,FALSE)="","Open",VLOOKUP($A109,Players!$A$2:$B$500,2,FALSE)),"Open"))</f>
        <v/>
      </c>
      <c r="E109" s="11">
        <f>IF(OR($A109="",NOT(ISNUMBER($B109))),"",IF($C109="Winner",1,COUNTIFS($D$7:$D$156,$D109,$B$7:$B$156,"&lt;"&amp;$B109)+1+IF(AND(NOT($C109="Winner"),COUNTIFS($D$7:$D$156,$D109,$C$7:$C$156,"Winner",$B$7:$B$156,$B109)&gt;0),1,0)))</f>
        <v/>
      </c>
      <c r="F109" s="11">
        <f>IF(OR($A109="",NOT(ISNUMBER($B109))),"",COUNTIFS($D$7:$D$156,$D109,$B$7:$B$156,"&gt;0"))</f>
        <v/>
      </c>
      <c r="G109" s="11">
        <f>IF(OR(OR($A109="",NOT(ISNUMBER($B109))),$B$2="Not started"),"",IF($C109="Winner",Points!$B$3,ROUND(Points!$B$3*IF($F109&lt;=1,1,Points!$H$7+(1-Points!$H$7)*((($F109-$E109)*(($F109-$E109)+1)/2)^2-((($F109-$E109-$J109+1)-1)*($F109-$E109-$J109+1)/2)^2)/($J109*($F109-1)^3)),0)))</f>
        <v/>
      </c>
      <c r="H109" s="11">
        <f>IF($A109="","",IF($B$2="Final","Final",IF($B$2="In progress","Projected","Not started")))</f>
        <v/>
      </c>
      <c r="I109" s="11">
        <f>IF($A109="","",IF(COUNTIF(Players!$A$2:$A$500,$A109)=0,"Player is not on the Players tab",IF(COUNTIF($A$7:$A$156,$A109)&gt;1,"Player is listed twice",IF(NOT(ISNUMBER($B109)),"Enter a score",IF(COUNTIFS($D$7:$D$156,$D109,$C$7:$C$156,"Winner")&gt;1,"More than one "&amp;$D109&amp;" winner picked",IF(AND($C109="Winner",COUNTIFS($D$7:$D$156,$D109,$B$7:$B$156,"&lt;"&amp;$B109)&gt;0),"The winner doesn't have the best "&amp;$D109&amp;" score",IF(AND($B$2="Final",COUNTIFS($D$7:$D$156,$D109,$C$7:$C$156,"Winner")=0),"Final: pick the "&amp;$D109&amp;" winner",IF($B$2="Not started","Set Status to In progress to count points","OK"))))))))</f>
        <v/>
      </c>
      <c r="J109" s="11">
        <f>IF(OR($A109="",NOT(ISNUMBER($B109))),"",IF($C109="Winner",1,COUNTIFS($D$7:$D$156,$D109,$B$7:$B$156,$B109)-IF(AND(NOT($C109="Winner"),COUNTIFS($D$7:$D$156,$D109,$C$7:$C$156,"Winner",$B$7:$B$156,$B109)&gt;0),1,0)))</f>
        <v/>
      </c>
    </row>
    <row r="110">
      <c r="D110" s="11">
        <f>IF($A110="","",IFERROR(IF(VLOOKUP($A110,Players!$A$2:$B$500,2,FALSE)="","Open",VLOOKUP($A110,Players!$A$2:$B$500,2,FALSE)),"Open"))</f>
        <v/>
      </c>
      <c r="E110" s="11">
        <f>IF(OR($A110="",NOT(ISNUMBER($B110))),"",IF($C110="Winner",1,COUNTIFS($D$7:$D$156,$D110,$B$7:$B$156,"&lt;"&amp;$B110)+1+IF(AND(NOT($C110="Winner"),COUNTIFS($D$7:$D$156,$D110,$C$7:$C$156,"Winner",$B$7:$B$156,$B110)&gt;0),1,0)))</f>
        <v/>
      </c>
      <c r="F110" s="11">
        <f>IF(OR($A110="",NOT(ISNUMBER($B110))),"",COUNTIFS($D$7:$D$156,$D110,$B$7:$B$156,"&gt;0"))</f>
        <v/>
      </c>
      <c r="G110" s="11">
        <f>IF(OR(OR($A110="",NOT(ISNUMBER($B110))),$B$2="Not started"),"",IF($C110="Winner",Points!$B$3,ROUND(Points!$B$3*IF($F110&lt;=1,1,Points!$H$7+(1-Points!$H$7)*((($F110-$E110)*(($F110-$E110)+1)/2)^2-((($F110-$E110-$J110+1)-1)*($F110-$E110-$J110+1)/2)^2)/($J110*($F110-1)^3)),0)))</f>
        <v/>
      </c>
      <c r="H110" s="11">
        <f>IF($A110="","",IF($B$2="Final","Final",IF($B$2="In progress","Projected","Not started")))</f>
        <v/>
      </c>
      <c r="I110" s="11">
        <f>IF($A110="","",IF(COUNTIF(Players!$A$2:$A$500,$A110)=0,"Player is not on the Players tab",IF(COUNTIF($A$7:$A$156,$A110)&gt;1,"Player is listed twice",IF(NOT(ISNUMBER($B110)),"Enter a score",IF(COUNTIFS($D$7:$D$156,$D110,$C$7:$C$156,"Winner")&gt;1,"More than one "&amp;$D110&amp;" winner picked",IF(AND($C110="Winner",COUNTIFS($D$7:$D$156,$D110,$B$7:$B$156,"&lt;"&amp;$B110)&gt;0),"The winner doesn't have the best "&amp;$D110&amp;" score",IF(AND($B$2="Final",COUNTIFS($D$7:$D$156,$D110,$C$7:$C$156,"Winner")=0),"Final: pick the "&amp;$D110&amp;" winner",IF($B$2="Not started","Set Status to In progress to count points","OK"))))))))</f>
        <v/>
      </c>
      <c r="J110" s="11">
        <f>IF(OR($A110="",NOT(ISNUMBER($B110))),"",IF($C110="Winner",1,COUNTIFS($D$7:$D$156,$D110,$B$7:$B$156,$B110)-IF(AND(NOT($C110="Winner"),COUNTIFS($D$7:$D$156,$D110,$C$7:$C$156,"Winner",$B$7:$B$156,$B110)&gt;0),1,0)))</f>
        <v/>
      </c>
    </row>
    <row r="111">
      <c r="D111" s="11">
        <f>IF($A111="","",IFERROR(IF(VLOOKUP($A111,Players!$A$2:$B$500,2,FALSE)="","Open",VLOOKUP($A111,Players!$A$2:$B$500,2,FALSE)),"Open"))</f>
        <v/>
      </c>
      <c r="E111" s="11">
        <f>IF(OR($A111="",NOT(ISNUMBER($B111))),"",IF($C111="Winner",1,COUNTIFS($D$7:$D$156,$D111,$B$7:$B$156,"&lt;"&amp;$B111)+1+IF(AND(NOT($C111="Winner"),COUNTIFS($D$7:$D$156,$D111,$C$7:$C$156,"Winner",$B$7:$B$156,$B111)&gt;0),1,0)))</f>
        <v/>
      </c>
      <c r="F111" s="11">
        <f>IF(OR($A111="",NOT(ISNUMBER($B111))),"",COUNTIFS($D$7:$D$156,$D111,$B$7:$B$156,"&gt;0"))</f>
        <v/>
      </c>
      <c r="G111" s="11">
        <f>IF(OR(OR($A111="",NOT(ISNUMBER($B111))),$B$2="Not started"),"",IF($C111="Winner",Points!$B$3,ROUND(Points!$B$3*IF($F111&lt;=1,1,Points!$H$7+(1-Points!$H$7)*((($F111-$E111)*(($F111-$E111)+1)/2)^2-((($F111-$E111-$J111+1)-1)*($F111-$E111-$J111+1)/2)^2)/($J111*($F111-1)^3)),0)))</f>
        <v/>
      </c>
      <c r="H111" s="11">
        <f>IF($A111="","",IF($B$2="Final","Final",IF($B$2="In progress","Projected","Not started")))</f>
        <v/>
      </c>
      <c r="I111" s="11">
        <f>IF($A111="","",IF(COUNTIF(Players!$A$2:$A$500,$A111)=0,"Player is not on the Players tab",IF(COUNTIF($A$7:$A$156,$A111)&gt;1,"Player is listed twice",IF(NOT(ISNUMBER($B111)),"Enter a score",IF(COUNTIFS($D$7:$D$156,$D111,$C$7:$C$156,"Winner")&gt;1,"More than one "&amp;$D111&amp;" winner picked",IF(AND($C111="Winner",COUNTIFS($D$7:$D$156,$D111,$B$7:$B$156,"&lt;"&amp;$B111)&gt;0),"The winner doesn't have the best "&amp;$D111&amp;" score",IF(AND($B$2="Final",COUNTIFS($D$7:$D$156,$D111,$C$7:$C$156,"Winner")=0),"Final: pick the "&amp;$D111&amp;" winner",IF($B$2="Not started","Set Status to In progress to count points","OK"))))))))</f>
        <v/>
      </c>
      <c r="J111" s="11">
        <f>IF(OR($A111="",NOT(ISNUMBER($B111))),"",IF($C111="Winner",1,COUNTIFS($D$7:$D$156,$D111,$B$7:$B$156,$B111)-IF(AND(NOT($C111="Winner"),COUNTIFS($D$7:$D$156,$D111,$C$7:$C$156,"Winner",$B$7:$B$156,$B111)&gt;0),1,0)))</f>
        <v/>
      </c>
    </row>
    <row r="112">
      <c r="D112" s="11">
        <f>IF($A112="","",IFERROR(IF(VLOOKUP($A112,Players!$A$2:$B$500,2,FALSE)="","Open",VLOOKUP($A112,Players!$A$2:$B$500,2,FALSE)),"Open"))</f>
        <v/>
      </c>
      <c r="E112" s="11">
        <f>IF(OR($A112="",NOT(ISNUMBER($B112))),"",IF($C112="Winner",1,COUNTIFS($D$7:$D$156,$D112,$B$7:$B$156,"&lt;"&amp;$B112)+1+IF(AND(NOT($C112="Winner"),COUNTIFS($D$7:$D$156,$D112,$C$7:$C$156,"Winner",$B$7:$B$156,$B112)&gt;0),1,0)))</f>
        <v/>
      </c>
      <c r="F112" s="11">
        <f>IF(OR($A112="",NOT(ISNUMBER($B112))),"",COUNTIFS($D$7:$D$156,$D112,$B$7:$B$156,"&gt;0"))</f>
        <v/>
      </c>
      <c r="G112" s="11">
        <f>IF(OR(OR($A112="",NOT(ISNUMBER($B112))),$B$2="Not started"),"",IF($C112="Winner",Points!$B$3,ROUND(Points!$B$3*IF($F112&lt;=1,1,Points!$H$7+(1-Points!$H$7)*((($F112-$E112)*(($F112-$E112)+1)/2)^2-((($F112-$E112-$J112+1)-1)*($F112-$E112-$J112+1)/2)^2)/($J112*($F112-1)^3)),0)))</f>
        <v/>
      </c>
      <c r="H112" s="11">
        <f>IF($A112="","",IF($B$2="Final","Final",IF($B$2="In progress","Projected","Not started")))</f>
        <v/>
      </c>
      <c r="I112" s="11">
        <f>IF($A112="","",IF(COUNTIF(Players!$A$2:$A$500,$A112)=0,"Player is not on the Players tab",IF(COUNTIF($A$7:$A$156,$A112)&gt;1,"Player is listed twice",IF(NOT(ISNUMBER($B112)),"Enter a score",IF(COUNTIFS($D$7:$D$156,$D112,$C$7:$C$156,"Winner")&gt;1,"More than one "&amp;$D112&amp;" winner picked",IF(AND($C112="Winner",COUNTIFS($D$7:$D$156,$D112,$B$7:$B$156,"&lt;"&amp;$B112)&gt;0),"The winner doesn't have the best "&amp;$D112&amp;" score",IF(AND($B$2="Final",COUNTIFS($D$7:$D$156,$D112,$C$7:$C$156,"Winner")=0),"Final: pick the "&amp;$D112&amp;" winner",IF($B$2="Not started","Set Status to In progress to count points","OK"))))))))</f>
        <v/>
      </c>
      <c r="J112" s="11">
        <f>IF(OR($A112="",NOT(ISNUMBER($B112))),"",IF($C112="Winner",1,COUNTIFS($D$7:$D$156,$D112,$B$7:$B$156,$B112)-IF(AND(NOT($C112="Winner"),COUNTIFS($D$7:$D$156,$D112,$C$7:$C$156,"Winner",$B$7:$B$156,$B112)&gt;0),1,0)))</f>
        <v/>
      </c>
    </row>
    <row r="113">
      <c r="D113" s="11">
        <f>IF($A113="","",IFERROR(IF(VLOOKUP($A113,Players!$A$2:$B$500,2,FALSE)="","Open",VLOOKUP($A113,Players!$A$2:$B$500,2,FALSE)),"Open"))</f>
        <v/>
      </c>
      <c r="E113" s="11">
        <f>IF(OR($A113="",NOT(ISNUMBER($B113))),"",IF($C113="Winner",1,COUNTIFS($D$7:$D$156,$D113,$B$7:$B$156,"&lt;"&amp;$B113)+1+IF(AND(NOT($C113="Winner"),COUNTIFS($D$7:$D$156,$D113,$C$7:$C$156,"Winner",$B$7:$B$156,$B113)&gt;0),1,0)))</f>
        <v/>
      </c>
      <c r="F113" s="11">
        <f>IF(OR($A113="",NOT(ISNUMBER($B113))),"",COUNTIFS($D$7:$D$156,$D113,$B$7:$B$156,"&gt;0"))</f>
        <v/>
      </c>
      <c r="G113" s="11">
        <f>IF(OR(OR($A113="",NOT(ISNUMBER($B113))),$B$2="Not started"),"",IF($C113="Winner",Points!$B$3,ROUND(Points!$B$3*IF($F113&lt;=1,1,Points!$H$7+(1-Points!$H$7)*((($F113-$E113)*(($F113-$E113)+1)/2)^2-((($F113-$E113-$J113+1)-1)*($F113-$E113-$J113+1)/2)^2)/($J113*($F113-1)^3)),0)))</f>
        <v/>
      </c>
      <c r="H113" s="11">
        <f>IF($A113="","",IF($B$2="Final","Final",IF($B$2="In progress","Projected","Not started")))</f>
        <v/>
      </c>
      <c r="I113" s="11">
        <f>IF($A113="","",IF(COUNTIF(Players!$A$2:$A$500,$A113)=0,"Player is not on the Players tab",IF(COUNTIF($A$7:$A$156,$A113)&gt;1,"Player is listed twice",IF(NOT(ISNUMBER($B113)),"Enter a score",IF(COUNTIFS($D$7:$D$156,$D113,$C$7:$C$156,"Winner")&gt;1,"More than one "&amp;$D113&amp;" winner picked",IF(AND($C113="Winner",COUNTIFS($D$7:$D$156,$D113,$B$7:$B$156,"&lt;"&amp;$B113)&gt;0),"The winner doesn't have the best "&amp;$D113&amp;" score",IF(AND($B$2="Final",COUNTIFS($D$7:$D$156,$D113,$C$7:$C$156,"Winner")=0),"Final: pick the "&amp;$D113&amp;" winner",IF($B$2="Not started","Set Status to In progress to count points","OK"))))))))</f>
        <v/>
      </c>
      <c r="J113" s="11">
        <f>IF(OR($A113="",NOT(ISNUMBER($B113))),"",IF($C113="Winner",1,COUNTIFS($D$7:$D$156,$D113,$B$7:$B$156,$B113)-IF(AND(NOT($C113="Winner"),COUNTIFS($D$7:$D$156,$D113,$C$7:$C$156,"Winner",$B$7:$B$156,$B113)&gt;0),1,0)))</f>
        <v/>
      </c>
    </row>
    <row r="114">
      <c r="D114" s="11">
        <f>IF($A114="","",IFERROR(IF(VLOOKUP($A114,Players!$A$2:$B$500,2,FALSE)="","Open",VLOOKUP($A114,Players!$A$2:$B$500,2,FALSE)),"Open"))</f>
        <v/>
      </c>
      <c r="E114" s="11">
        <f>IF(OR($A114="",NOT(ISNUMBER($B114))),"",IF($C114="Winner",1,COUNTIFS($D$7:$D$156,$D114,$B$7:$B$156,"&lt;"&amp;$B114)+1+IF(AND(NOT($C114="Winner"),COUNTIFS($D$7:$D$156,$D114,$C$7:$C$156,"Winner",$B$7:$B$156,$B114)&gt;0),1,0)))</f>
        <v/>
      </c>
      <c r="F114" s="11">
        <f>IF(OR($A114="",NOT(ISNUMBER($B114))),"",COUNTIFS($D$7:$D$156,$D114,$B$7:$B$156,"&gt;0"))</f>
        <v/>
      </c>
      <c r="G114" s="11">
        <f>IF(OR(OR($A114="",NOT(ISNUMBER($B114))),$B$2="Not started"),"",IF($C114="Winner",Points!$B$3,ROUND(Points!$B$3*IF($F114&lt;=1,1,Points!$H$7+(1-Points!$H$7)*((($F114-$E114)*(($F114-$E114)+1)/2)^2-((($F114-$E114-$J114+1)-1)*($F114-$E114-$J114+1)/2)^2)/($J114*($F114-1)^3)),0)))</f>
        <v/>
      </c>
      <c r="H114" s="11">
        <f>IF($A114="","",IF($B$2="Final","Final",IF($B$2="In progress","Projected","Not started")))</f>
        <v/>
      </c>
      <c r="I114" s="11">
        <f>IF($A114="","",IF(COUNTIF(Players!$A$2:$A$500,$A114)=0,"Player is not on the Players tab",IF(COUNTIF($A$7:$A$156,$A114)&gt;1,"Player is listed twice",IF(NOT(ISNUMBER($B114)),"Enter a score",IF(COUNTIFS($D$7:$D$156,$D114,$C$7:$C$156,"Winner")&gt;1,"More than one "&amp;$D114&amp;" winner picked",IF(AND($C114="Winner",COUNTIFS($D$7:$D$156,$D114,$B$7:$B$156,"&lt;"&amp;$B114)&gt;0),"The winner doesn't have the best "&amp;$D114&amp;" score",IF(AND($B$2="Final",COUNTIFS($D$7:$D$156,$D114,$C$7:$C$156,"Winner")=0),"Final: pick the "&amp;$D114&amp;" winner",IF($B$2="Not started","Set Status to In progress to count points","OK"))))))))</f>
        <v/>
      </c>
      <c r="J114" s="11">
        <f>IF(OR($A114="",NOT(ISNUMBER($B114))),"",IF($C114="Winner",1,COUNTIFS($D$7:$D$156,$D114,$B$7:$B$156,$B114)-IF(AND(NOT($C114="Winner"),COUNTIFS($D$7:$D$156,$D114,$C$7:$C$156,"Winner",$B$7:$B$156,$B114)&gt;0),1,0)))</f>
        <v/>
      </c>
    </row>
    <row r="115">
      <c r="D115" s="11">
        <f>IF($A115="","",IFERROR(IF(VLOOKUP($A115,Players!$A$2:$B$500,2,FALSE)="","Open",VLOOKUP($A115,Players!$A$2:$B$500,2,FALSE)),"Open"))</f>
        <v/>
      </c>
      <c r="E115" s="11">
        <f>IF(OR($A115="",NOT(ISNUMBER($B115))),"",IF($C115="Winner",1,COUNTIFS($D$7:$D$156,$D115,$B$7:$B$156,"&lt;"&amp;$B115)+1+IF(AND(NOT($C115="Winner"),COUNTIFS($D$7:$D$156,$D115,$C$7:$C$156,"Winner",$B$7:$B$156,$B115)&gt;0),1,0)))</f>
        <v/>
      </c>
      <c r="F115" s="11">
        <f>IF(OR($A115="",NOT(ISNUMBER($B115))),"",COUNTIFS($D$7:$D$156,$D115,$B$7:$B$156,"&gt;0"))</f>
        <v/>
      </c>
      <c r="G115" s="11">
        <f>IF(OR(OR($A115="",NOT(ISNUMBER($B115))),$B$2="Not started"),"",IF($C115="Winner",Points!$B$3,ROUND(Points!$B$3*IF($F115&lt;=1,1,Points!$H$7+(1-Points!$H$7)*((($F115-$E115)*(($F115-$E115)+1)/2)^2-((($F115-$E115-$J115+1)-1)*($F115-$E115-$J115+1)/2)^2)/($J115*($F115-1)^3)),0)))</f>
        <v/>
      </c>
      <c r="H115" s="11">
        <f>IF($A115="","",IF($B$2="Final","Final",IF($B$2="In progress","Projected","Not started")))</f>
        <v/>
      </c>
      <c r="I115" s="11">
        <f>IF($A115="","",IF(COUNTIF(Players!$A$2:$A$500,$A115)=0,"Player is not on the Players tab",IF(COUNTIF($A$7:$A$156,$A115)&gt;1,"Player is listed twice",IF(NOT(ISNUMBER($B115)),"Enter a score",IF(COUNTIFS($D$7:$D$156,$D115,$C$7:$C$156,"Winner")&gt;1,"More than one "&amp;$D115&amp;" winner picked",IF(AND($C115="Winner",COUNTIFS($D$7:$D$156,$D115,$B$7:$B$156,"&lt;"&amp;$B115)&gt;0),"The winner doesn't have the best "&amp;$D115&amp;" score",IF(AND($B$2="Final",COUNTIFS($D$7:$D$156,$D115,$C$7:$C$156,"Winner")=0),"Final: pick the "&amp;$D115&amp;" winner",IF($B$2="Not started","Set Status to In progress to count points","OK"))))))))</f>
        <v/>
      </c>
      <c r="J115" s="11">
        <f>IF(OR($A115="",NOT(ISNUMBER($B115))),"",IF($C115="Winner",1,COUNTIFS($D$7:$D$156,$D115,$B$7:$B$156,$B115)-IF(AND(NOT($C115="Winner"),COUNTIFS($D$7:$D$156,$D115,$C$7:$C$156,"Winner",$B$7:$B$156,$B115)&gt;0),1,0)))</f>
        <v/>
      </c>
    </row>
    <row r="116">
      <c r="D116" s="11">
        <f>IF($A116="","",IFERROR(IF(VLOOKUP($A116,Players!$A$2:$B$500,2,FALSE)="","Open",VLOOKUP($A116,Players!$A$2:$B$500,2,FALSE)),"Open"))</f>
        <v/>
      </c>
      <c r="E116" s="11">
        <f>IF(OR($A116="",NOT(ISNUMBER($B116))),"",IF($C116="Winner",1,COUNTIFS($D$7:$D$156,$D116,$B$7:$B$156,"&lt;"&amp;$B116)+1+IF(AND(NOT($C116="Winner"),COUNTIFS($D$7:$D$156,$D116,$C$7:$C$156,"Winner",$B$7:$B$156,$B116)&gt;0),1,0)))</f>
        <v/>
      </c>
      <c r="F116" s="11">
        <f>IF(OR($A116="",NOT(ISNUMBER($B116))),"",COUNTIFS($D$7:$D$156,$D116,$B$7:$B$156,"&gt;0"))</f>
        <v/>
      </c>
      <c r="G116" s="11">
        <f>IF(OR(OR($A116="",NOT(ISNUMBER($B116))),$B$2="Not started"),"",IF($C116="Winner",Points!$B$3,ROUND(Points!$B$3*IF($F116&lt;=1,1,Points!$H$7+(1-Points!$H$7)*((($F116-$E116)*(($F116-$E116)+1)/2)^2-((($F116-$E116-$J116+1)-1)*($F116-$E116-$J116+1)/2)^2)/($J116*($F116-1)^3)),0)))</f>
        <v/>
      </c>
      <c r="H116" s="11">
        <f>IF($A116="","",IF($B$2="Final","Final",IF($B$2="In progress","Projected","Not started")))</f>
        <v/>
      </c>
      <c r="I116" s="11">
        <f>IF($A116="","",IF(COUNTIF(Players!$A$2:$A$500,$A116)=0,"Player is not on the Players tab",IF(COUNTIF($A$7:$A$156,$A116)&gt;1,"Player is listed twice",IF(NOT(ISNUMBER($B116)),"Enter a score",IF(COUNTIFS($D$7:$D$156,$D116,$C$7:$C$156,"Winner")&gt;1,"More than one "&amp;$D116&amp;" winner picked",IF(AND($C116="Winner",COUNTIFS($D$7:$D$156,$D116,$B$7:$B$156,"&lt;"&amp;$B116)&gt;0),"The winner doesn't have the best "&amp;$D116&amp;" score",IF(AND($B$2="Final",COUNTIFS($D$7:$D$156,$D116,$C$7:$C$156,"Winner")=0),"Final: pick the "&amp;$D116&amp;" winner",IF($B$2="Not started","Set Status to In progress to count points","OK"))))))))</f>
        <v/>
      </c>
      <c r="J116" s="11">
        <f>IF(OR($A116="",NOT(ISNUMBER($B116))),"",IF($C116="Winner",1,COUNTIFS($D$7:$D$156,$D116,$B$7:$B$156,$B116)-IF(AND(NOT($C116="Winner"),COUNTIFS($D$7:$D$156,$D116,$C$7:$C$156,"Winner",$B$7:$B$156,$B116)&gt;0),1,0)))</f>
        <v/>
      </c>
    </row>
    <row r="117">
      <c r="D117" s="11">
        <f>IF($A117="","",IFERROR(IF(VLOOKUP($A117,Players!$A$2:$B$500,2,FALSE)="","Open",VLOOKUP($A117,Players!$A$2:$B$500,2,FALSE)),"Open"))</f>
        <v/>
      </c>
      <c r="E117" s="11">
        <f>IF(OR($A117="",NOT(ISNUMBER($B117))),"",IF($C117="Winner",1,COUNTIFS($D$7:$D$156,$D117,$B$7:$B$156,"&lt;"&amp;$B117)+1+IF(AND(NOT($C117="Winner"),COUNTIFS($D$7:$D$156,$D117,$C$7:$C$156,"Winner",$B$7:$B$156,$B117)&gt;0),1,0)))</f>
        <v/>
      </c>
      <c r="F117" s="11">
        <f>IF(OR($A117="",NOT(ISNUMBER($B117))),"",COUNTIFS($D$7:$D$156,$D117,$B$7:$B$156,"&gt;0"))</f>
        <v/>
      </c>
      <c r="G117" s="11">
        <f>IF(OR(OR($A117="",NOT(ISNUMBER($B117))),$B$2="Not started"),"",IF($C117="Winner",Points!$B$3,ROUND(Points!$B$3*IF($F117&lt;=1,1,Points!$H$7+(1-Points!$H$7)*((($F117-$E117)*(($F117-$E117)+1)/2)^2-((($F117-$E117-$J117+1)-1)*($F117-$E117-$J117+1)/2)^2)/($J117*($F117-1)^3)),0)))</f>
        <v/>
      </c>
      <c r="H117" s="11">
        <f>IF($A117="","",IF($B$2="Final","Final",IF($B$2="In progress","Projected","Not started")))</f>
        <v/>
      </c>
      <c r="I117" s="11">
        <f>IF($A117="","",IF(COUNTIF(Players!$A$2:$A$500,$A117)=0,"Player is not on the Players tab",IF(COUNTIF($A$7:$A$156,$A117)&gt;1,"Player is listed twice",IF(NOT(ISNUMBER($B117)),"Enter a score",IF(COUNTIFS($D$7:$D$156,$D117,$C$7:$C$156,"Winner")&gt;1,"More than one "&amp;$D117&amp;" winner picked",IF(AND($C117="Winner",COUNTIFS($D$7:$D$156,$D117,$B$7:$B$156,"&lt;"&amp;$B117)&gt;0),"The winner doesn't have the best "&amp;$D117&amp;" score",IF(AND($B$2="Final",COUNTIFS($D$7:$D$156,$D117,$C$7:$C$156,"Winner")=0),"Final: pick the "&amp;$D117&amp;" winner",IF($B$2="Not started","Set Status to In progress to count points","OK"))))))))</f>
        <v/>
      </c>
      <c r="J117" s="11">
        <f>IF(OR($A117="",NOT(ISNUMBER($B117))),"",IF($C117="Winner",1,COUNTIFS($D$7:$D$156,$D117,$B$7:$B$156,$B117)-IF(AND(NOT($C117="Winner"),COUNTIFS($D$7:$D$156,$D117,$C$7:$C$156,"Winner",$B$7:$B$156,$B117)&gt;0),1,0)))</f>
        <v/>
      </c>
    </row>
    <row r="118">
      <c r="D118" s="11">
        <f>IF($A118="","",IFERROR(IF(VLOOKUP($A118,Players!$A$2:$B$500,2,FALSE)="","Open",VLOOKUP($A118,Players!$A$2:$B$500,2,FALSE)),"Open"))</f>
        <v/>
      </c>
      <c r="E118" s="11">
        <f>IF(OR($A118="",NOT(ISNUMBER($B118))),"",IF($C118="Winner",1,COUNTIFS($D$7:$D$156,$D118,$B$7:$B$156,"&lt;"&amp;$B118)+1+IF(AND(NOT($C118="Winner"),COUNTIFS($D$7:$D$156,$D118,$C$7:$C$156,"Winner",$B$7:$B$156,$B118)&gt;0),1,0)))</f>
        <v/>
      </c>
      <c r="F118" s="11">
        <f>IF(OR($A118="",NOT(ISNUMBER($B118))),"",COUNTIFS($D$7:$D$156,$D118,$B$7:$B$156,"&gt;0"))</f>
        <v/>
      </c>
      <c r="G118" s="11">
        <f>IF(OR(OR($A118="",NOT(ISNUMBER($B118))),$B$2="Not started"),"",IF($C118="Winner",Points!$B$3,ROUND(Points!$B$3*IF($F118&lt;=1,1,Points!$H$7+(1-Points!$H$7)*((($F118-$E118)*(($F118-$E118)+1)/2)^2-((($F118-$E118-$J118+1)-1)*($F118-$E118-$J118+1)/2)^2)/($J118*($F118-1)^3)),0)))</f>
        <v/>
      </c>
      <c r="H118" s="11">
        <f>IF($A118="","",IF($B$2="Final","Final",IF($B$2="In progress","Projected","Not started")))</f>
        <v/>
      </c>
      <c r="I118" s="11">
        <f>IF($A118="","",IF(COUNTIF(Players!$A$2:$A$500,$A118)=0,"Player is not on the Players tab",IF(COUNTIF($A$7:$A$156,$A118)&gt;1,"Player is listed twice",IF(NOT(ISNUMBER($B118)),"Enter a score",IF(COUNTIFS($D$7:$D$156,$D118,$C$7:$C$156,"Winner")&gt;1,"More than one "&amp;$D118&amp;" winner picked",IF(AND($C118="Winner",COUNTIFS($D$7:$D$156,$D118,$B$7:$B$156,"&lt;"&amp;$B118)&gt;0),"The winner doesn't have the best "&amp;$D118&amp;" score",IF(AND($B$2="Final",COUNTIFS($D$7:$D$156,$D118,$C$7:$C$156,"Winner")=0),"Final: pick the "&amp;$D118&amp;" winner",IF($B$2="Not started","Set Status to In progress to count points","OK"))))))))</f>
        <v/>
      </c>
      <c r="J118" s="11">
        <f>IF(OR($A118="",NOT(ISNUMBER($B118))),"",IF($C118="Winner",1,COUNTIFS($D$7:$D$156,$D118,$B$7:$B$156,$B118)-IF(AND(NOT($C118="Winner"),COUNTIFS($D$7:$D$156,$D118,$C$7:$C$156,"Winner",$B$7:$B$156,$B118)&gt;0),1,0)))</f>
        <v/>
      </c>
    </row>
    <row r="119">
      <c r="D119" s="11">
        <f>IF($A119="","",IFERROR(IF(VLOOKUP($A119,Players!$A$2:$B$500,2,FALSE)="","Open",VLOOKUP($A119,Players!$A$2:$B$500,2,FALSE)),"Open"))</f>
        <v/>
      </c>
      <c r="E119" s="11">
        <f>IF(OR($A119="",NOT(ISNUMBER($B119))),"",IF($C119="Winner",1,COUNTIFS($D$7:$D$156,$D119,$B$7:$B$156,"&lt;"&amp;$B119)+1+IF(AND(NOT($C119="Winner"),COUNTIFS($D$7:$D$156,$D119,$C$7:$C$156,"Winner",$B$7:$B$156,$B119)&gt;0),1,0)))</f>
        <v/>
      </c>
      <c r="F119" s="11">
        <f>IF(OR($A119="",NOT(ISNUMBER($B119))),"",COUNTIFS($D$7:$D$156,$D119,$B$7:$B$156,"&gt;0"))</f>
        <v/>
      </c>
      <c r="G119" s="11">
        <f>IF(OR(OR($A119="",NOT(ISNUMBER($B119))),$B$2="Not started"),"",IF($C119="Winner",Points!$B$3,ROUND(Points!$B$3*IF($F119&lt;=1,1,Points!$H$7+(1-Points!$H$7)*((($F119-$E119)*(($F119-$E119)+1)/2)^2-((($F119-$E119-$J119+1)-1)*($F119-$E119-$J119+1)/2)^2)/($J119*($F119-1)^3)),0)))</f>
        <v/>
      </c>
      <c r="H119" s="11">
        <f>IF($A119="","",IF($B$2="Final","Final",IF($B$2="In progress","Projected","Not started")))</f>
        <v/>
      </c>
      <c r="I119" s="11">
        <f>IF($A119="","",IF(COUNTIF(Players!$A$2:$A$500,$A119)=0,"Player is not on the Players tab",IF(COUNTIF($A$7:$A$156,$A119)&gt;1,"Player is listed twice",IF(NOT(ISNUMBER($B119)),"Enter a score",IF(COUNTIFS($D$7:$D$156,$D119,$C$7:$C$156,"Winner")&gt;1,"More than one "&amp;$D119&amp;" winner picked",IF(AND($C119="Winner",COUNTIFS($D$7:$D$156,$D119,$B$7:$B$156,"&lt;"&amp;$B119)&gt;0),"The winner doesn't have the best "&amp;$D119&amp;" score",IF(AND($B$2="Final",COUNTIFS($D$7:$D$156,$D119,$C$7:$C$156,"Winner")=0),"Final: pick the "&amp;$D119&amp;" winner",IF($B$2="Not started","Set Status to In progress to count points","OK"))))))))</f>
        <v/>
      </c>
      <c r="J119" s="11">
        <f>IF(OR($A119="",NOT(ISNUMBER($B119))),"",IF($C119="Winner",1,COUNTIFS($D$7:$D$156,$D119,$B$7:$B$156,$B119)-IF(AND(NOT($C119="Winner"),COUNTIFS($D$7:$D$156,$D119,$C$7:$C$156,"Winner",$B$7:$B$156,$B119)&gt;0),1,0)))</f>
        <v/>
      </c>
    </row>
    <row r="120">
      <c r="D120" s="11">
        <f>IF($A120="","",IFERROR(IF(VLOOKUP($A120,Players!$A$2:$B$500,2,FALSE)="","Open",VLOOKUP($A120,Players!$A$2:$B$500,2,FALSE)),"Open"))</f>
        <v/>
      </c>
      <c r="E120" s="11">
        <f>IF(OR($A120="",NOT(ISNUMBER($B120))),"",IF($C120="Winner",1,COUNTIFS($D$7:$D$156,$D120,$B$7:$B$156,"&lt;"&amp;$B120)+1+IF(AND(NOT($C120="Winner"),COUNTIFS($D$7:$D$156,$D120,$C$7:$C$156,"Winner",$B$7:$B$156,$B120)&gt;0),1,0)))</f>
        <v/>
      </c>
      <c r="F120" s="11">
        <f>IF(OR($A120="",NOT(ISNUMBER($B120))),"",COUNTIFS($D$7:$D$156,$D120,$B$7:$B$156,"&gt;0"))</f>
        <v/>
      </c>
      <c r="G120" s="11">
        <f>IF(OR(OR($A120="",NOT(ISNUMBER($B120))),$B$2="Not started"),"",IF($C120="Winner",Points!$B$3,ROUND(Points!$B$3*IF($F120&lt;=1,1,Points!$H$7+(1-Points!$H$7)*((($F120-$E120)*(($F120-$E120)+1)/2)^2-((($F120-$E120-$J120+1)-1)*($F120-$E120-$J120+1)/2)^2)/($J120*($F120-1)^3)),0)))</f>
        <v/>
      </c>
      <c r="H120" s="11">
        <f>IF($A120="","",IF($B$2="Final","Final",IF($B$2="In progress","Projected","Not started")))</f>
        <v/>
      </c>
      <c r="I120" s="11">
        <f>IF($A120="","",IF(COUNTIF(Players!$A$2:$A$500,$A120)=0,"Player is not on the Players tab",IF(COUNTIF($A$7:$A$156,$A120)&gt;1,"Player is listed twice",IF(NOT(ISNUMBER($B120)),"Enter a score",IF(COUNTIFS($D$7:$D$156,$D120,$C$7:$C$156,"Winner")&gt;1,"More than one "&amp;$D120&amp;" winner picked",IF(AND($C120="Winner",COUNTIFS($D$7:$D$156,$D120,$B$7:$B$156,"&lt;"&amp;$B120)&gt;0),"The winner doesn't have the best "&amp;$D120&amp;" score",IF(AND($B$2="Final",COUNTIFS($D$7:$D$156,$D120,$C$7:$C$156,"Winner")=0),"Final: pick the "&amp;$D120&amp;" winner",IF($B$2="Not started","Set Status to In progress to count points","OK"))))))))</f>
        <v/>
      </c>
      <c r="J120" s="11">
        <f>IF(OR($A120="",NOT(ISNUMBER($B120))),"",IF($C120="Winner",1,COUNTIFS($D$7:$D$156,$D120,$B$7:$B$156,$B120)-IF(AND(NOT($C120="Winner"),COUNTIFS($D$7:$D$156,$D120,$C$7:$C$156,"Winner",$B$7:$B$156,$B120)&gt;0),1,0)))</f>
        <v/>
      </c>
    </row>
    <row r="121">
      <c r="D121" s="11">
        <f>IF($A121="","",IFERROR(IF(VLOOKUP($A121,Players!$A$2:$B$500,2,FALSE)="","Open",VLOOKUP($A121,Players!$A$2:$B$500,2,FALSE)),"Open"))</f>
        <v/>
      </c>
      <c r="E121" s="11">
        <f>IF(OR($A121="",NOT(ISNUMBER($B121))),"",IF($C121="Winner",1,COUNTIFS($D$7:$D$156,$D121,$B$7:$B$156,"&lt;"&amp;$B121)+1+IF(AND(NOT($C121="Winner"),COUNTIFS($D$7:$D$156,$D121,$C$7:$C$156,"Winner",$B$7:$B$156,$B121)&gt;0),1,0)))</f>
        <v/>
      </c>
      <c r="F121" s="11">
        <f>IF(OR($A121="",NOT(ISNUMBER($B121))),"",COUNTIFS($D$7:$D$156,$D121,$B$7:$B$156,"&gt;0"))</f>
        <v/>
      </c>
      <c r="G121" s="11">
        <f>IF(OR(OR($A121="",NOT(ISNUMBER($B121))),$B$2="Not started"),"",IF($C121="Winner",Points!$B$3,ROUND(Points!$B$3*IF($F121&lt;=1,1,Points!$H$7+(1-Points!$H$7)*((($F121-$E121)*(($F121-$E121)+1)/2)^2-((($F121-$E121-$J121+1)-1)*($F121-$E121-$J121+1)/2)^2)/($J121*($F121-1)^3)),0)))</f>
        <v/>
      </c>
      <c r="H121" s="11">
        <f>IF($A121="","",IF($B$2="Final","Final",IF($B$2="In progress","Projected","Not started")))</f>
        <v/>
      </c>
      <c r="I121" s="11">
        <f>IF($A121="","",IF(COUNTIF(Players!$A$2:$A$500,$A121)=0,"Player is not on the Players tab",IF(COUNTIF($A$7:$A$156,$A121)&gt;1,"Player is listed twice",IF(NOT(ISNUMBER($B121)),"Enter a score",IF(COUNTIFS($D$7:$D$156,$D121,$C$7:$C$156,"Winner")&gt;1,"More than one "&amp;$D121&amp;" winner picked",IF(AND($C121="Winner",COUNTIFS($D$7:$D$156,$D121,$B$7:$B$156,"&lt;"&amp;$B121)&gt;0),"The winner doesn't have the best "&amp;$D121&amp;" score",IF(AND($B$2="Final",COUNTIFS($D$7:$D$156,$D121,$C$7:$C$156,"Winner")=0),"Final: pick the "&amp;$D121&amp;" winner",IF($B$2="Not started","Set Status to In progress to count points","OK"))))))))</f>
        <v/>
      </c>
      <c r="J121" s="11">
        <f>IF(OR($A121="",NOT(ISNUMBER($B121))),"",IF($C121="Winner",1,COUNTIFS($D$7:$D$156,$D121,$B$7:$B$156,$B121)-IF(AND(NOT($C121="Winner"),COUNTIFS($D$7:$D$156,$D121,$C$7:$C$156,"Winner",$B$7:$B$156,$B121)&gt;0),1,0)))</f>
        <v/>
      </c>
    </row>
    <row r="122">
      <c r="D122" s="11">
        <f>IF($A122="","",IFERROR(IF(VLOOKUP($A122,Players!$A$2:$B$500,2,FALSE)="","Open",VLOOKUP($A122,Players!$A$2:$B$500,2,FALSE)),"Open"))</f>
        <v/>
      </c>
      <c r="E122" s="11">
        <f>IF(OR($A122="",NOT(ISNUMBER($B122))),"",IF($C122="Winner",1,COUNTIFS($D$7:$D$156,$D122,$B$7:$B$156,"&lt;"&amp;$B122)+1+IF(AND(NOT($C122="Winner"),COUNTIFS($D$7:$D$156,$D122,$C$7:$C$156,"Winner",$B$7:$B$156,$B122)&gt;0),1,0)))</f>
        <v/>
      </c>
      <c r="F122" s="11">
        <f>IF(OR($A122="",NOT(ISNUMBER($B122))),"",COUNTIFS($D$7:$D$156,$D122,$B$7:$B$156,"&gt;0"))</f>
        <v/>
      </c>
      <c r="G122" s="11">
        <f>IF(OR(OR($A122="",NOT(ISNUMBER($B122))),$B$2="Not started"),"",IF($C122="Winner",Points!$B$3,ROUND(Points!$B$3*IF($F122&lt;=1,1,Points!$H$7+(1-Points!$H$7)*((($F122-$E122)*(($F122-$E122)+1)/2)^2-((($F122-$E122-$J122+1)-1)*($F122-$E122-$J122+1)/2)^2)/($J122*($F122-1)^3)),0)))</f>
        <v/>
      </c>
      <c r="H122" s="11">
        <f>IF($A122="","",IF($B$2="Final","Final",IF($B$2="In progress","Projected","Not started")))</f>
        <v/>
      </c>
      <c r="I122" s="11">
        <f>IF($A122="","",IF(COUNTIF(Players!$A$2:$A$500,$A122)=0,"Player is not on the Players tab",IF(COUNTIF($A$7:$A$156,$A122)&gt;1,"Player is listed twice",IF(NOT(ISNUMBER($B122)),"Enter a score",IF(COUNTIFS($D$7:$D$156,$D122,$C$7:$C$156,"Winner")&gt;1,"More than one "&amp;$D122&amp;" winner picked",IF(AND($C122="Winner",COUNTIFS($D$7:$D$156,$D122,$B$7:$B$156,"&lt;"&amp;$B122)&gt;0),"The winner doesn't have the best "&amp;$D122&amp;" score",IF(AND($B$2="Final",COUNTIFS($D$7:$D$156,$D122,$C$7:$C$156,"Winner")=0),"Final: pick the "&amp;$D122&amp;" winner",IF($B$2="Not started","Set Status to In progress to count points","OK"))))))))</f>
        <v/>
      </c>
      <c r="J122" s="11">
        <f>IF(OR($A122="",NOT(ISNUMBER($B122))),"",IF($C122="Winner",1,COUNTIFS($D$7:$D$156,$D122,$B$7:$B$156,$B122)-IF(AND(NOT($C122="Winner"),COUNTIFS($D$7:$D$156,$D122,$C$7:$C$156,"Winner",$B$7:$B$156,$B122)&gt;0),1,0)))</f>
        <v/>
      </c>
    </row>
    <row r="123">
      <c r="D123" s="11">
        <f>IF($A123="","",IFERROR(IF(VLOOKUP($A123,Players!$A$2:$B$500,2,FALSE)="","Open",VLOOKUP($A123,Players!$A$2:$B$500,2,FALSE)),"Open"))</f>
        <v/>
      </c>
      <c r="E123" s="11">
        <f>IF(OR($A123="",NOT(ISNUMBER($B123))),"",IF($C123="Winner",1,COUNTIFS($D$7:$D$156,$D123,$B$7:$B$156,"&lt;"&amp;$B123)+1+IF(AND(NOT($C123="Winner"),COUNTIFS($D$7:$D$156,$D123,$C$7:$C$156,"Winner",$B$7:$B$156,$B123)&gt;0),1,0)))</f>
        <v/>
      </c>
      <c r="F123" s="11">
        <f>IF(OR($A123="",NOT(ISNUMBER($B123))),"",COUNTIFS($D$7:$D$156,$D123,$B$7:$B$156,"&gt;0"))</f>
        <v/>
      </c>
      <c r="G123" s="11">
        <f>IF(OR(OR($A123="",NOT(ISNUMBER($B123))),$B$2="Not started"),"",IF($C123="Winner",Points!$B$3,ROUND(Points!$B$3*IF($F123&lt;=1,1,Points!$H$7+(1-Points!$H$7)*((($F123-$E123)*(($F123-$E123)+1)/2)^2-((($F123-$E123-$J123+1)-1)*($F123-$E123-$J123+1)/2)^2)/($J123*($F123-1)^3)),0)))</f>
        <v/>
      </c>
      <c r="H123" s="11">
        <f>IF($A123="","",IF($B$2="Final","Final",IF($B$2="In progress","Projected","Not started")))</f>
        <v/>
      </c>
      <c r="I123" s="11">
        <f>IF($A123="","",IF(COUNTIF(Players!$A$2:$A$500,$A123)=0,"Player is not on the Players tab",IF(COUNTIF($A$7:$A$156,$A123)&gt;1,"Player is listed twice",IF(NOT(ISNUMBER($B123)),"Enter a score",IF(COUNTIFS($D$7:$D$156,$D123,$C$7:$C$156,"Winner")&gt;1,"More than one "&amp;$D123&amp;" winner picked",IF(AND($C123="Winner",COUNTIFS($D$7:$D$156,$D123,$B$7:$B$156,"&lt;"&amp;$B123)&gt;0),"The winner doesn't have the best "&amp;$D123&amp;" score",IF(AND($B$2="Final",COUNTIFS($D$7:$D$156,$D123,$C$7:$C$156,"Winner")=0),"Final: pick the "&amp;$D123&amp;" winner",IF($B$2="Not started","Set Status to In progress to count points","OK"))))))))</f>
        <v/>
      </c>
      <c r="J123" s="11">
        <f>IF(OR($A123="",NOT(ISNUMBER($B123))),"",IF($C123="Winner",1,COUNTIFS($D$7:$D$156,$D123,$B$7:$B$156,$B123)-IF(AND(NOT($C123="Winner"),COUNTIFS($D$7:$D$156,$D123,$C$7:$C$156,"Winner",$B$7:$B$156,$B123)&gt;0),1,0)))</f>
        <v/>
      </c>
    </row>
    <row r="124">
      <c r="D124" s="11">
        <f>IF($A124="","",IFERROR(IF(VLOOKUP($A124,Players!$A$2:$B$500,2,FALSE)="","Open",VLOOKUP($A124,Players!$A$2:$B$500,2,FALSE)),"Open"))</f>
        <v/>
      </c>
      <c r="E124" s="11">
        <f>IF(OR($A124="",NOT(ISNUMBER($B124))),"",IF($C124="Winner",1,COUNTIFS($D$7:$D$156,$D124,$B$7:$B$156,"&lt;"&amp;$B124)+1+IF(AND(NOT($C124="Winner"),COUNTIFS($D$7:$D$156,$D124,$C$7:$C$156,"Winner",$B$7:$B$156,$B124)&gt;0),1,0)))</f>
        <v/>
      </c>
      <c r="F124" s="11">
        <f>IF(OR($A124="",NOT(ISNUMBER($B124))),"",COUNTIFS($D$7:$D$156,$D124,$B$7:$B$156,"&gt;0"))</f>
        <v/>
      </c>
      <c r="G124" s="11">
        <f>IF(OR(OR($A124="",NOT(ISNUMBER($B124))),$B$2="Not started"),"",IF($C124="Winner",Points!$B$3,ROUND(Points!$B$3*IF($F124&lt;=1,1,Points!$H$7+(1-Points!$H$7)*((($F124-$E124)*(($F124-$E124)+1)/2)^2-((($F124-$E124-$J124+1)-1)*($F124-$E124-$J124+1)/2)^2)/($J124*($F124-1)^3)),0)))</f>
        <v/>
      </c>
      <c r="H124" s="11">
        <f>IF($A124="","",IF($B$2="Final","Final",IF($B$2="In progress","Projected","Not started")))</f>
        <v/>
      </c>
      <c r="I124" s="11">
        <f>IF($A124="","",IF(COUNTIF(Players!$A$2:$A$500,$A124)=0,"Player is not on the Players tab",IF(COUNTIF($A$7:$A$156,$A124)&gt;1,"Player is listed twice",IF(NOT(ISNUMBER($B124)),"Enter a score",IF(COUNTIFS($D$7:$D$156,$D124,$C$7:$C$156,"Winner")&gt;1,"More than one "&amp;$D124&amp;" winner picked",IF(AND($C124="Winner",COUNTIFS($D$7:$D$156,$D124,$B$7:$B$156,"&lt;"&amp;$B124)&gt;0),"The winner doesn't have the best "&amp;$D124&amp;" score",IF(AND($B$2="Final",COUNTIFS($D$7:$D$156,$D124,$C$7:$C$156,"Winner")=0),"Final: pick the "&amp;$D124&amp;" winner",IF($B$2="Not started","Set Status to In progress to count points","OK"))))))))</f>
        <v/>
      </c>
      <c r="J124" s="11">
        <f>IF(OR($A124="",NOT(ISNUMBER($B124))),"",IF($C124="Winner",1,COUNTIFS($D$7:$D$156,$D124,$B$7:$B$156,$B124)-IF(AND(NOT($C124="Winner"),COUNTIFS($D$7:$D$156,$D124,$C$7:$C$156,"Winner",$B$7:$B$156,$B124)&gt;0),1,0)))</f>
        <v/>
      </c>
    </row>
    <row r="125">
      <c r="D125" s="11">
        <f>IF($A125="","",IFERROR(IF(VLOOKUP($A125,Players!$A$2:$B$500,2,FALSE)="","Open",VLOOKUP($A125,Players!$A$2:$B$500,2,FALSE)),"Open"))</f>
        <v/>
      </c>
      <c r="E125" s="11">
        <f>IF(OR($A125="",NOT(ISNUMBER($B125))),"",IF($C125="Winner",1,COUNTIFS($D$7:$D$156,$D125,$B$7:$B$156,"&lt;"&amp;$B125)+1+IF(AND(NOT($C125="Winner"),COUNTIFS($D$7:$D$156,$D125,$C$7:$C$156,"Winner",$B$7:$B$156,$B125)&gt;0),1,0)))</f>
        <v/>
      </c>
      <c r="F125" s="11">
        <f>IF(OR($A125="",NOT(ISNUMBER($B125))),"",COUNTIFS($D$7:$D$156,$D125,$B$7:$B$156,"&gt;0"))</f>
        <v/>
      </c>
      <c r="G125" s="11">
        <f>IF(OR(OR($A125="",NOT(ISNUMBER($B125))),$B$2="Not started"),"",IF($C125="Winner",Points!$B$3,ROUND(Points!$B$3*IF($F125&lt;=1,1,Points!$H$7+(1-Points!$H$7)*((($F125-$E125)*(($F125-$E125)+1)/2)^2-((($F125-$E125-$J125+1)-1)*($F125-$E125-$J125+1)/2)^2)/($J125*($F125-1)^3)),0)))</f>
        <v/>
      </c>
      <c r="H125" s="11">
        <f>IF($A125="","",IF($B$2="Final","Final",IF($B$2="In progress","Projected","Not started")))</f>
        <v/>
      </c>
      <c r="I125" s="11">
        <f>IF($A125="","",IF(COUNTIF(Players!$A$2:$A$500,$A125)=0,"Player is not on the Players tab",IF(COUNTIF($A$7:$A$156,$A125)&gt;1,"Player is listed twice",IF(NOT(ISNUMBER($B125)),"Enter a score",IF(COUNTIFS($D$7:$D$156,$D125,$C$7:$C$156,"Winner")&gt;1,"More than one "&amp;$D125&amp;" winner picked",IF(AND($C125="Winner",COUNTIFS($D$7:$D$156,$D125,$B$7:$B$156,"&lt;"&amp;$B125)&gt;0),"The winner doesn't have the best "&amp;$D125&amp;" score",IF(AND($B$2="Final",COUNTIFS($D$7:$D$156,$D125,$C$7:$C$156,"Winner")=0),"Final: pick the "&amp;$D125&amp;" winner",IF($B$2="Not started","Set Status to In progress to count points","OK"))))))))</f>
        <v/>
      </c>
      <c r="J125" s="11">
        <f>IF(OR($A125="",NOT(ISNUMBER($B125))),"",IF($C125="Winner",1,COUNTIFS($D$7:$D$156,$D125,$B$7:$B$156,$B125)-IF(AND(NOT($C125="Winner"),COUNTIFS($D$7:$D$156,$D125,$C$7:$C$156,"Winner",$B$7:$B$156,$B125)&gt;0),1,0)))</f>
        <v/>
      </c>
    </row>
    <row r="126">
      <c r="D126" s="11">
        <f>IF($A126="","",IFERROR(IF(VLOOKUP($A126,Players!$A$2:$B$500,2,FALSE)="","Open",VLOOKUP($A126,Players!$A$2:$B$500,2,FALSE)),"Open"))</f>
        <v/>
      </c>
      <c r="E126" s="11">
        <f>IF(OR($A126="",NOT(ISNUMBER($B126))),"",IF($C126="Winner",1,COUNTIFS($D$7:$D$156,$D126,$B$7:$B$156,"&lt;"&amp;$B126)+1+IF(AND(NOT($C126="Winner"),COUNTIFS($D$7:$D$156,$D126,$C$7:$C$156,"Winner",$B$7:$B$156,$B126)&gt;0),1,0)))</f>
        <v/>
      </c>
      <c r="F126" s="11">
        <f>IF(OR($A126="",NOT(ISNUMBER($B126))),"",COUNTIFS($D$7:$D$156,$D126,$B$7:$B$156,"&gt;0"))</f>
        <v/>
      </c>
      <c r="G126" s="11">
        <f>IF(OR(OR($A126="",NOT(ISNUMBER($B126))),$B$2="Not started"),"",IF($C126="Winner",Points!$B$3,ROUND(Points!$B$3*IF($F126&lt;=1,1,Points!$H$7+(1-Points!$H$7)*((($F126-$E126)*(($F126-$E126)+1)/2)^2-((($F126-$E126-$J126+1)-1)*($F126-$E126-$J126+1)/2)^2)/($J126*($F126-1)^3)),0)))</f>
        <v/>
      </c>
      <c r="H126" s="11">
        <f>IF($A126="","",IF($B$2="Final","Final",IF($B$2="In progress","Projected","Not started")))</f>
        <v/>
      </c>
      <c r="I126" s="11">
        <f>IF($A126="","",IF(COUNTIF(Players!$A$2:$A$500,$A126)=0,"Player is not on the Players tab",IF(COUNTIF($A$7:$A$156,$A126)&gt;1,"Player is listed twice",IF(NOT(ISNUMBER($B126)),"Enter a score",IF(COUNTIFS($D$7:$D$156,$D126,$C$7:$C$156,"Winner")&gt;1,"More than one "&amp;$D126&amp;" winner picked",IF(AND($C126="Winner",COUNTIFS($D$7:$D$156,$D126,$B$7:$B$156,"&lt;"&amp;$B126)&gt;0),"The winner doesn't have the best "&amp;$D126&amp;" score",IF(AND($B$2="Final",COUNTIFS($D$7:$D$156,$D126,$C$7:$C$156,"Winner")=0),"Final: pick the "&amp;$D126&amp;" winner",IF($B$2="Not started","Set Status to In progress to count points","OK"))))))))</f>
        <v/>
      </c>
      <c r="J126" s="11">
        <f>IF(OR($A126="",NOT(ISNUMBER($B126))),"",IF($C126="Winner",1,COUNTIFS($D$7:$D$156,$D126,$B$7:$B$156,$B126)-IF(AND(NOT($C126="Winner"),COUNTIFS($D$7:$D$156,$D126,$C$7:$C$156,"Winner",$B$7:$B$156,$B126)&gt;0),1,0)))</f>
        <v/>
      </c>
    </row>
    <row r="127">
      <c r="D127" s="11">
        <f>IF($A127="","",IFERROR(IF(VLOOKUP($A127,Players!$A$2:$B$500,2,FALSE)="","Open",VLOOKUP($A127,Players!$A$2:$B$500,2,FALSE)),"Open"))</f>
        <v/>
      </c>
      <c r="E127" s="11">
        <f>IF(OR($A127="",NOT(ISNUMBER($B127))),"",IF($C127="Winner",1,COUNTIFS($D$7:$D$156,$D127,$B$7:$B$156,"&lt;"&amp;$B127)+1+IF(AND(NOT($C127="Winner"),COUNTIFS($D$7:$D$156,$D127,$C$7:$C$156,"Winner",$B$7:$B$156,$B127)&gt;0),1,0)))</f>
        <v/>
      </c>
      <c r="F127" s="11">
        <f>IF(OR($A127="",NOT(ISNUMBER($B127))),"",COUNTIFS($D$7:$D$156,$D127,$B$7:$B$156,"&gt;0"))</f>
        <v/>
      </c>
      <c r="G127" s="11">
        <f>IF(OR(OR($A127="",NOT(ISNUMBER($B127))),$B$2="Not started"),"",IF($C127="Winner",Points!$B$3,ROUND(Points!$B$3*IF($F127&lt;=1,1,Points!$H$7+(1-Points!$H$7)*((($F127-$E127)*(($F127-$E127)+1)/2)^2-((($F127-$E127-$J127+1)-1)*($F127-$E127-$J127+1)/2)^2)/($J127*($F127-1)^3)),0)))</f>
        <v/>
      </c>
      <c r="H127" s="11">
        <f>IF($A127="","",IF($B$2="Final","Final",IF($B$2="In progress","Projected","Not started")))</f>
        <v/>
      </c>
      <c r="I127" s="11">
        <f>IF($A127="","",IF(COUNTIF(Players!$A$2:$A$500,$A127)=0,"Player is not on the Players tab",IF(COUNTIF($A$7:$A$156,$A127)&gt;1,"Player is listed twice",IF(NOT(ISNUMBER($B127)),"Enter a score",IF(COUNTIFS($D$7:$D$156,$D127,$C$7:$C$156,"Winner")&gt;1,"More than one "&amp;$D127&amp;" winner picked",IF(AND($C127="Winner",COUNTIFS($D$7:$D$156,$D127,$B$7:$B$156,"&lt;"&amp;$B127)&gt;0),"The winner doesn't have the best "&amp;$D127&amp;" score",IF(AND($B$2="Final",COUNTIFS($D$7:$D$156,$D127,$C$7:$C$156,"Winner")=0),"Final: pick the "&amp;$D127&amp;" winner",IF($B$2="Not started","Set Status to In progress to count points","OK"))))))))</f>
        <v/>
      </c>
      <c r="J127" s="11">
        <f>IF(OR($A127="",NOT(ISNUMBER($B127))),"",IF($C127="Winner",1,COUNTIFS($D$7:$D$156,$D127,$B$7:$B$156,$B127)-IF(AND(NOT($C127="Winner"),COUNTIFS($D$7:$D$156,$D127,$C$7:$C$156,"Winner",$B$7:$B$156,$B127)&gt;0),1,0)))</f>
        <v/>
      </c>
    </row>
    <row r="128">
      <c r="D128" s="11">
        <f>IF($A128="","",IFERROR(IF(VLOOKUP($A128,Players!$A$2:$B$500,2,FALSE)="","Open",VLOOKUP($A128,Players!$A$2:$B$500,2,FALSE)),"Open"))</f>
        <v/>
      </c>
      <c r="E128" s="11">
        <f>IF(OR($A128="",NOT(ISNUMBER($B128))),"",IF($C128="Winner",1,COUNTIFS($D$7:$D$156,$D128,$B$7:$B$156,"&lt;"&amp;$B128)+1+IF(AND(NOT($C128="Winner"),COUNTIFS($D$7:$D$156,$D128,$C$7:$C$156,"Winner",$B$7:$B$156,$B128)&gt;0),1,0)))</f>
        <v/>
      </c>
      <c r="F128" s="11">
        <f>IF(OR($A128="",NOT(ISNUMBER($B128))),"",COUNTIFS($D$7:$D$156,$D128,$B$7:$B$156,"&gt;0"))</f>
        <v/>
      </c>
      <c r="G128" s="11">
        <f>IF(OR(OR($A128="",NOT(ISNUMBER($B128))),$B$2="Not started"),"",IF($C128="Winner",Points!$B$3,ROUND(Points!$B$3*IF($F128&lt;=1,1,Points!$H$7+(1-Points!$H$7)*((($F128-$E128)*(($F128-$E128)+1)/2)^2-((($F128-$E128-$J128+1)-1)*($F128-$E128-$J128+1)/2)^2)/($J128*($F128-1)^3)),0)))</f>
        <v/>
      </c>
      <c r="H128" s="11">
        <f>IF($A128="","",IF($B$2="Final","Final",IF($B$2="In progress","Projected","Not started")))</f>
        <v/>
      </c>
      <c r="I128" s="11">
        <f>IF($A128="","",IF(COUNTIF(Players!$A$2:$A$500,$A128)=0,"Player is not on the Players tab",IF(COUNTIF($A$7:$A$156,$A128)&gt;1,"Player is listed twice",IF(NOT(ISNUMBER($B128)),"Enter a score",IF(COUNTIFS($D$7:$D$156,$D128,$C$7:$C$156,"Winner")&gt;1,"More than one "&amp;$D128&amp;" winner picked",IF(AND($C128="Winner",COUNTIFS($D$7:$D$156,$D128,$B$7:$B$156,"&lt;"&amp;$B128)&gt;0),"The winner doesn't have the best "&amp;$D128&amp;" score",IF(AND($B$2="Final",COUNTIFS($D$7:$D$156,$D128,$C$7:$C$156,"Winner")=0),"Final: pick the "&amp;$D128&amp;" winner",IF($B$2="Not started","Set Status to In progress to count points","OK"))))))))</f>
        <v/>
      </c>
      <c r="J128" s="11">
        <f>IF(OR($A128="",NOT(ISNUMBER($B128))),"",IF($C128="Winner",1,COUNTIFS($D$7:$D$156,$D128,$B$7:$B$156,$B128)-IF(AND(NOT($C128="Winner"),COUNTIFS($D$7:$D$156,$D128,$C$7:$C$156,"Winner",$B$7:$B$156,$B128)&gt;0),1,0)))</f>
        <v/>
      </c>
    </row>
    <row r="129">
      <c r="D129" s="11">
        <f>IF($A129="","",IFERROR(IF(VLOOKUP($A129,Players!$A$2:$B$500,2,FALSE)="","Open",VLOOKUP($A129,Players!$A$2:$B$500,2,FALSE)),"Open"))</f>
        <v/>
      </c>
      <c r="E129" s="11">
        <f>IF(OR($A129="",NOT(ISNUMBER($B129))),"",IF($C129="Winner",1,COUNTIFS($D$7:$D$156,$D129,$B$7:$B$156,"&lt;"&amp;$B129)+1+IF(AND(NOT($C129="Winner"),COUNTIFS($D$7:$D$156,$D129,$C$7:$C$156,"Winner",$B$7:$B$156,$B129)&gt;0),1,0)))</f>
        <v/>
      </c>
      <c r="F129" s="11">
        <f>IF(OR($A129="",NOT(ISNUMBER($B129))),"",COUNTIFS($D$7:$D$156,$D129,$B$7:$B$156,"&gt;0"))</f>
        <v/>
      </c>
      <c r="G129" s="11">
        <f>IF(OR(OR($A129="",NOT(ISNUMBER($B129))),$B$2="Not started"),"",IF($C129="Winner",Points!$B$3,ROUND(Points!$B$3*IF($F129&lt;=1,1,Points!$H$7+(1-Points!$H$7)*((($F129-$E129)*(($F129-$E129)+1)/2)^2-((($F129-$E129-$J129+1)-1)*($F129-$E129-$J129+1)/2)^2)/($J129*($F129-1)^3)),0)))</f>
        <v/>
      </c>
      <c r="H129" s="11">
        <f>IF($A129="","",IF($B$2="Final","Final",IF($B$2="In progress","Projected","Not started")))</f>
        <v/>
      </c>
      <c r="I129" s="11">
        <f>IF($A129="","",IF(COUNTIF(Players!$A$2:$A$500,$A129)=0,"Player is not on the Players tab",IF(COUNTIF($A$7:$A$156,$A129)&gt;1,"Player is listed twice",IF(NOT(ISNUMBER($B129)),"Enter a score",IF(COUNTIFS($D$7:$D$156,$D129,$C$7:$C$156,"Winner")&gt;1,"More than one "&amp;$D129&amp;" winner picked",IF(AND($C129="Winner",COUNTIFS($D$7:$D$156,$D129,$B$7:$B$156,"&lt;"&amp;$B129)&gt;0),"The winner doesn't have the best "&amp;$D129&amp;" score",IF(AND($B$2="Final",COUNTIFS($D$7:$D$156,$D129,$C$7:$C$156,"Winner")=0),"Final: pick the "&amp;$D129&amp;" winner",IF($B$2="Not started","Set Status to In progress to count points","OK"))))))))</f>
        <v/>
      </c>
      <c r="J129" s="11">
        <f>IF(OR($A129="",NOT(ISNUMBER($B129))),"",IF($C129="Winner",1,COUNTIFS($D$7:$D$156,$D129,$B$7:$B$156,$B129)-IF(AND(NOT($C129="Winner"),COUNTIFS($D$7:$D$156,$D129,$C$7:$C$156,"Winner",$B$7:$B$156,$B129)&gt;0),1,0)))</f>
        <v/>
      </c>
    </row>
    <row r="130">
      <c r="D130" s="11">
        <f>IF($A130="","",IFERROR(IF(VLOOKUP($A130,Players!$A$2:$B$500,2,FALSE)="","Open",VLOOKUP($A130,Players!$A$2:$B$500,2,FALSE)),"Open"))</f>
        <v/>
      </c>
      <c r="E130" s="11">
        <f>IF(OR($A130="",NOT(ISNUMBER($B130))),"",IF($C130="Winner",1,COUNTIFS($D$7:$D$156,$D130,$B$7:$B$156,"&lt;"&amp;$B130)+1+IF(AND(NOT($C130="Winner"),COUNTIFS($D$7:$D$156,$D130,$C$7:$C$156,"Winner",$B$7:$B$156,$B130)&gt;0),1,0)))</f>
        <v/>
      </c>
      <c r="F130" s="11">
        <f>IF(OR($A130="",NOT(ISNUMBER($B130))),"",COUNTIFS($D$7:$D$156,$D130,$B$7:$B$156,"&gt;0"))</f>
        <v/>
      </c>
      <c r="G130" s="11">
        <f>IF(OR(OR($A130="",NOT(ISNUMBER($B130))),$B$2="Not started"),"",IF($C130="Winner",Points!$B$3,ROUND(Points!$B$3*IF($F130&lt;=1,1,Points!$H$7+(1-Points!$H$7)*((($F130-$E130)*(($F130-$E130)+1)/2)^2-((($F130-$E130-$J130+1)-1)*($F130-$E130-$J130+1)/2)^2)/($J130*($F130-1)^3)),0)))</f>
        <v/>
      </c>
      <c r="H130" s="11">
        <f>IF($A130="","",IF($B$2="Final","Final",IF($B$2="In progress","Projected","Not started")))</f>
        <v/>
      </c>
      <c r="I130" s="11">
        <f>IF($A130="","",IF(COUNTIF(Players!$A$2:$A$500,$A130)=0,"Player is not on the Players tab",IF(COUNTIF($A$7:$A$156,$A130)&gt;1,"Player is listed twice",IF(NOT(ISNUMBER($B130)),"Enter a score",IF(COUNTIFS($D$7:$D$156,$D130,$C$7:$C$156,"Winner")&gt;1,"More than one "&amp;$D130&amp;" winner picked",IF(AND($C130="Winner",COUNTIFS($D$7:$D$156,$D130,$B$7:$B$156,"&lt;"&amp;$B130)&gt;0),"The winner doesn't have the best "&amp;$D130&amp;" score",IF(AND($B$2="Final",COUNTIFS($D$7:$D$156,$D130,$C$7:$C$156,"Winner")=0),"Final: pick the "&amp;$D130&amp;" winner",IF($B$2="Not started","Set Status to In progress to count points","OK"))))))))</f>
        <v/>
      </c>
      <c r="J130" s="11">
        <f>IF(OR($A130="",NOT(ISNUMBER($B130))),"",IF($C130="Winner",1,COUNTIFS($D$7:$D$156,$D130,$B$7:$B$156,$B130)-IF(AND(NOT($C130="Winner"),COUNTIFS($D$7:$D$156,$D130,$C$7:$C$156,"Winner",$B$7:$B$156,$B130)&gt;0),1,0)))</f>
        <v/>
      </c>
    </row>
    <row r="131">
      <c r="D131" s="11">
        <f>IF($A131="","",IFERROR(IF(VLOOKUP($A131,Players!$A$2:$B$500,2,FALSE)="","Open",VLOOKUP($A131,Players!$A$2:$B$500,2,FALSE)),"Open"))</f>
        <v/>
      </c>
      <c r="E131" s="11">
        <f>IF(OR($A131="",NOT(ISNUMBER($B131))),"",IF($C131="Winner",1,COUNTIFS($D$7:$D$156,$D131,$B$7:$B$156,"&lt;"&amp;$B131)+1+IF(AND(NOT($C131="Winner"),COUNTIFS($D$7:$D$156,$D131,$C$7:$C$156,"Winner",$B$7:$B$156,$B131)&gt;0),1,0)))</f>
        <v/>
      </c>
      <c r="F131" s="11">
        <f>IF(OR($A131="",NOT(ISNUMBER($B131))),"",COUNTIFS($D$7:$D$156,$D131,$B$7:$B$156,"&gt;0"))</f>
        <v/>
      </c>
      <c r="G131" s="11">
        <f>IF(OR(OR($A131="",NOT(ISNUMBER($B131))),$B$2="Not started"),"",IF($C131="Winner",Points!$B$3,ROUND(Points!$B$3*IF($F131&lt;=1,1,Points!$H$7+(1-Points!$H$7)*((($F131-$E131)*(($F131-$E131)+1)/2)^2-((($F131-$E131-$J131+1)-1)*($F131-$E131-$J131+1)/2)^2)/($J131*($F131-1)^3)),0)))</f>
        <v/>
      </c>
      <c r="H131" s="11">
        <f>IF($A131="","",IF($B$2="Final","Final",IF($B$2="In progress","Projected","Not started")))</f>
        <v/>
      </c>
      <c r="I131" s="11">
        <f>IF($A131="","",IF(COUNTIF(Players!$A$2:$A$500,$A131)=0,"Player is not on the Players tab",IF(COUNTIF($A$7:$A$156,$A131)&gt;1,"Player is listed twice",IF(NOT(ISNUMBER($B131)),"Enter a score",IF(COUNTIFS($D$7:$D$156,$D131,$C$7:$C$156,"Winner")&gt;1,"More than one "&amp;$D131&amp;" winner picked",IF(AND($C131="Winner",COUNTIFS($D$7:$D$156,$D131,$B$7:$B$156,"&lt;"&amp;$B131)&gt;0),"The winner doesn't have the best "&amp;$D131&amp;" score",IF(AND($B$2="Final",COUNTIFS($D$7:$D$156,$D131,$C$7:$C$156,"Winner")=0),"Final: pick the "&amp;$D131&amp;" winner",IF($B$2="Not started","Set Status to In progress to count points","OK"))))))))</f>
        <v/>
      </c>
      <c r="J131" s="11">
        <f>IF(OR($A131="",NOT(ISNUMBER($B131))),"",IF($C131="Winner",1,COUNTIFS($D$7:$D$156,$D131,$B$7:$B$156,$B131)-IF(AND(NOT($C131="Winner"),COUNTIFS($D$7:$D$156,$D131,$C$7:$C$156,"Winner",$B$7:$B$156,$B131)&gt;0),1,0)))</f>
        <v/>
      </c>
    </row>
    <row r="132">
      <c r="D132" s="11">
        <f>IF($A132="","",IFERROR(IF(VLOOKUP($A132,Players!$A$2:$B$500,2,FALSE)="","Open",VLOOKUP($A132,Players!$A$2:$B$500,2,FALSE)),"Open"))</f>
        <v/>
      </c>
      <c r="E132" s="11">
        <f>IF(OR($A132="",NOT(ISNUMBER($B132))),"",IF($C132="Winner",1,COUNTIFS($D$7:$D$156,$D132,$B$7:$B$156,"&lt;"&amp;$B132)+1+IF(AND(NOT($C132="Winner"),COUNTIFS($D$7:$D$156,$D132,$C$7:$C$156,"Winner",$B$7:$B$156,$B132)&gt;0),1,0)))</f>
        <v/>
      </c>
      <c r="F132" s="11">
        <f>IF(OR($A132="",NOT(ISNUMBER($B132))),"",COUNTIFS($D$7:$D$156,$D132,$B$7:$B$156,"&gt;0"))</f>
        <v/>
      </c>
      <c r="G132" s="11">
        <f>IF(OR(OR($A132="",NOT(ISNUMBER($B132))),$B$2="Not started"),"",IF($C132="Winner",Points!$B$3,ROUND(Points!$B$3*IF($F132&lt;=1,1,Points!$H$7+(1-Points!$H$7)*((($F132-$E132)*(($F132-$E132)+1)/2)^2-((($F132-$E132-$J132+1)-1)*($F132-$E132-$J132+1)/2)^2)/($J132*($F132-1)^3)),0)))</f>
        <v/>
      </c>
      <c r="H132" s="11">
        <f>IF($A132="","",IF($B$2="Final","Final",IF($B$2="In progress","Projected","Not started")))</f>
        <v/>
      </c>
      <c r="I132" s="11">
        <f>IF($A132="","",IF(COUNTIF(Players!$A$2:$A$500,$A132)=0,"Player is not on the Players tab",IF(COUNTIF($A$7:$A$156,$A132)&gt;1,"Player is listed twice",IF(NOT(ISNUMBER($B132)),"Enter a score",IF(COUNTIFS($D$7:$D$156,$D132,$C$7:$C$156,"Winner")&gt;1,"More than one "&amp;$D132&amp;" winner picked",IF(AND($C132="Winner",COUNTIFS($D$7:$D$156,$D132,$B$7:$B$156,"&lt;"&amp;$B132)&gt;0),"The winner doesn't have the best "&amp;$D132&amp;" score",IF(AND($B$2="Final",COUNTIFS($D$7:$D$156,$D132,$C$7:$C$156,"Winner")=0),"Final: pick the "&amp;$D132&amp;" winner",IF($B$2="Not started","Set Status to In progress to count points","OK"))))))))</f>
        <v/>
      </c>
      <c r="J132" s="11">
        <f>IF(OR($A132="",NOT(ISNUMBER($B132))),"",IF($C132="Winner",1,COUNTIFS($D$7:$D$156,$D132,$B$7:$B$156,$B132)-IF(AND(NOT($C132="Winner"),COUNTIFS($D$7:$D$156,$D132,$C$7:$C$156,"Winner",$B$7:$B$156,$B132)&gt;0),1,0)))</f>
        <v/>
      </c>
    </row>
    <row r="133">
      <c r="D133" s="11">
        <f>IF($A133="","",IFERROR(IF(VLOOKUP($A133,Players!$A$2:$B$500,2,FALSE)="","Open",VLOOKUP($A133,Players!$A$2:$B$500,2,FALSE)),"Open"))</f>
        <v/>
      </c>
      <c r="E133" s="11">
        <f>IF(OR($A133="",NOT(ISNUMBER($B133))),"",IF($C133="Winner",1,COUNTIFS($D$7:$D$156,$D133,$B$7:$B$156,"&lt;"&amp;$B133)+1+IF(AND(NOT($C133="Winner"),COUNTIFS($D$7:$D$156,$D133,$C$7:$C$156,"Winner",$B$7:$B$156,$B133)&gt;0),1,0)))</f>
        <v/>
      </c>
      <c r="F133" s="11">
        <f>IF(OR($A133="",NOT(ISNUMBER($B133))),"",COUNTIFS($D$7:$D$156,$D133,$B$7:$B$156,"&gt;0"))</f>
        <v/>
      </c>
      <c r="G133" s="11">
        <f>IF(OR(OR($A133="",NOT(ISNUMBER($B133))),$B$2="Not started"),"",IF($C133="Winner",Points!$B$3,ROUND(Points!$B$3*IF($F133&lt;=1,1,Points!$H$7+(1-Points!$H$7)*((($F133-$E133)*(($F133-$E133)+1)/2)^2-((($F133-$E133-$J133+1)-1)*($F133-$E133-$J133+1)/2)^2)/($J133*($F133-1)^3)),0)))</f>
        <v/>
      </c>
      <c r="H133" s="11">
        <f>IF($A133="","",IF($B$2="Final","Final",IF($B$2="In progress","Projected","Not started")))</f>
        <v/>
      </c>
      <c r="I133" s="11">
        <f>IF($A133="","",IF(COUNTIF(Players!$A$2:$A$500,$A133)=0,"Player is not on the Players tab",IF(COUNTIF($A$7:$A$156,$A133)&gt;1,"Player is listed twice",IF(NOT(ISNUMBER($B133)),"Enter a score",IF(COUNTIFS($D$7:$D$156,$D133,$C$7:$C$156,"Winner")&gt;1,"More than one "&amp;$D133&amp;" winner picked",IF(AND($C133="Winner",COUNTIFS($D$7:$D$156,$D133,$B$7:$B$156,"&lt;"&amp;$B133)&gt;0),"The winner doesn't have the best "&amp;$D133&amp;" score",IF(AND($B$2="Final",COUNTIFS($D$7:$D$156,$D133,$C$7:$C$156,"Winner")=0),"Final: pick the "&amp;$D133&amp;" winner",IF($B$2="Not started","Set Status to In progress to count points","OK"))))))))</f>
        <v/>
      </c>
      <c r="J133" s="11">
        <f>IF(OR($A133="",NOT(ISNUMBER($B133))),"",IF($C133="Winner",1,COUNTIFS($D$7:$D$156,$D133,$B$7:$B$156,$B133)-IF(AND(NOT($C133="Winner"),COUNTIFS($D$7:$D$156,$D133,$C$7:$C$156,"Winner",$B$7:$B$156,$B133)&gt;0),1,0)))</f>
        <v/>
      </c>
    </row>
    <row r="134">
      <c r="D134" s="11">
        <f>IF($A134="","",IFERROR(IF(VLOOKUP($A134,Players!$A$2:$B$500,2,FALSE)="","Open",VLOOKUP($A134,Players!$A$2:$B$500,2,FALSE)),"Open"))</f>
        <v/>
      </c>
      <c r="E134" s="11">
        <f>IF(OR($A134="",NOT(ISNUMBER($B134))),"",IF($C134="Winner",1,COUNTIFS($D$7:$D$156,$D134,$B$7:$B$156,"&lt;"&amp;$B134)+1+IF(AND(NOT($C134="Winner"),COUNTIFS($D$7:$D$156,$D134,$C$7:$C$156,"Winner",$B$7:$B$156,$B134)&gt;0),1,0)))</f>
        <v/>
      </c>
      <c r="F134" s="11">
        <f>IF(OR($A134="",NOT(ISNUMBER($B134))),"",COUNTIFS($D$7:$D$156,$D134,$B$7:$B$156,"&gt;0"))</f>
        <v/>
      </c>
      <c r="G134" s="11">
        <f>IF(OR(OR($A134="",NOT(ISNUMBER($B134))),$B$2="Not started"),"",IF($C134="Winner",Points!$B$3,ROUND(Points!$B$3*IF($F134&lt;=1,1,Points!$H$7+(1-Points!$H$7)*((($F134-$E134)*(($F134-$E134)+1)/2)^2-((($F134-$E134-$J134+1)-1)*($F134-$E134-$J134+1)/2)^2)/($J134*($F134-1)^3)),0)))</f>
        <v/>
      </c>
      <c r="H134" s="11">
        <f>IF($A134="","",IF($B$2="Final","Final",IF($B$2="In progress","Projected","Not started")))</f>
        <v/>
      </c>
      <c r="I134" s="11">
        <f>IF($A134="","",IF(COUNTIF(Players!$A$2:$A$500,$A134)=0,"Player is not on the Players tab",IF(COUNTIF($A$7:$A$156,$A134)&gt;1,"Player is listed twice",IF(NOT(ISNUMBER($B134)),"Enter a score",IF(COUNTIFS($D$7:$D$156,$D134,$C$7:$C$156,"Winner")&gt;1,"More than one "&amp;$D134&amp;" winner picked",IF(AND($C134="Winner",COUNTIFS($D$7:$D$156,$D134,$B$7:$B$156,"&lt;"&amp;$B134)&gt;0),"The winner doesn't have the best "&amp;$D134&amp;" score",IF(AND($B$2="Final",COUNTIFS($D$7:$D$156,$D134,$C$7:$C$156,"Winner")=0),"Final: pick the "&amp;$D134&amp;" winner",IF($B$2="Not started","Set Status to In progress to count points","OK"))))))))</f>
        <v/>
      </c>
      <c r="J134" s="11">
        <f>IF(OR($A134="",NOT(ISNUMBER($B134))),"",IF($C134="Winner",1,COUNTIFS($D$7:$D$156,$D134,$B$7:$B$156,$B134)-IF(AND(NOT($C134="Winner"),COUNTIFS($D$7:$D$156,$D134,$C$7:$C$156,"Winner",$B$7:$B$156,$B134)&gt;0),1,0)))</f>
        <v/>
      </c>
    </row>
    <row r="135">
      <c r="D135" s="11">
        <f>IF($A135="","",IFERROR(IF(VLOOKUP($A135,Players!$A$2:$B$500,2,FALSE)="","Open",VLOOKUP($A135,Players!$A$2:$B$500,2,FALSE)),"Open"))</f>
        <v/>
      </c>
      <c r="E135" s="11">
        <f>IF(OR($A135="",NOT(ISNUMBER($B135))),"",IF($C135="Winner",1,COUNTIFS($D$7:$D$156,$D135,$B$7:$B$156,"&lt;"&amp;$B135)+1+IF(AND(NOT($C135="Winner"),COUNTIFS($D$7:$D$156,$D135,$C$7:$C$156,"Winner",$B$7:$B$156,$B135)&gt;0),1,0)))</f>
        <v/>
      </c>
      <c r="F135" s="11">
        <f>IF(OR($A135="",NOT(ISNUMBER($B135))),"",COUNTIFS($D$7:$D$156,$D135,$B$7:$B$156,"&gt;0"))</f>
        <v/>
      </c>
      <c r="G135" s="11">
        <f>IF(OR(OR($A135="",NOT(ISNUMBER($B135))),$B$2="Not started"),"",IF($C135="Winner",Points!$B$3,ROUND(Points!$B$3*IF($F135&lt;=1,1,Points!$H$7+(1-Points!$H$7)*((($F135-$E135)*(($F135-$E135)+1)/2)^2-((($F135-$E135-$J135+1)-1)*($F135-$E135-$J135+1)/2)^2)/($J135*($F135-1)^3)),0)))</f>
        <v/>
      </c>
      <c r="H135" s="11">
        <f>IF($A135="","",IF($B$2="Final","Final",IF($B$2="In progress","Projected","Not started")))</f>
        <v/>
      </c>
      <c r="I135" s="11">
        <f>IF($A135="","",IF(COUNTIF(Players!$A$2:$A$500,$A135)=0,"Player is not on the Players tab",IF(COUNTIF($A$7:$A$156,$A135)&gt;1,"Player is listed twice",IF(NOT(ISNUMBER($B135)),"Enter a score",IF(COUNTIFS($D$7:$D$156,$D135,$C$7:$C$156,"Winner")&gt;1,"More than one "&amp;$D135&amp;" winner picked",IF(AND($C135="Winner",COUNTIFS($D$7:$D$156,$D135,$B$7:$B$156,"&lt;"&amp;$B135)&gt;0),"The winner doesn't have the best "&amp;$D135&amp;" score",IF(AND($B$2="Final",COUNTIFS($D$7:$D$156,$D135,$C$7:$C$156,"Winner")=0),"Final: pick the "&amp;$D135&amp;" winner",IF($B$2="Not started","Set Status to In progress to count points","OK"))))))))</f>
        <v/>
      </c>
      <c r="J135" s="11">
        <f>IF(OR($A135="",NOT(ISNUMBER($B135))),"",IF($C135="Winner",1,COUNTIFS($D$7:$D$156,$D135,$B$7:$B$156,$B135)-IF(AND(NOT($C135="Winner"),COUNTIFS($D$7:$D$156,$D135,$C$7:$C$156,"Winner",$B$7:$B$156,$B135)&gt;0),1,0)))</f>
        <v/>
      </c>
    </row>
    <row r="136">
      <c r="D136" s="11">
        <f>IF($A136="","",IFERROR(IF(VLOOKUP($A136,Players!$A$2:$B$500,2,FALSE)="","Open",VLOOKUP($A136,Players!$A$2:$B$500,2,FALSE)),"Open"))</f>
        <v/>
      </c>
      <c r="E136" s="11">
        <f>IF(OR($A136="",NOT(ISNUMBER($B136))),"",IF($C136="Winner",1,COUNTIFS($D$7:$D$156,$D136,$B$7:$B$156,"&lt;"&amp;$B136)+1+IF(AND(NOT($C136="Winner"),COUNTIFS($D$7:$D$156,$D136,$C$7:$C$156,"Winner",$B$7:$B$156,$B136)&gt;0),1,0)))</f>
        <v/>
      </c>
      <c r="F136" s="11">
        <f>IF(OR($A136="",NOT(ISNUMBER($B136))),"",COUNTIFS($D$7:$D$156,$D136,$B$7:$B$156,"&gt;0"))</f>
        <v/>
      </c>
      <c r="G136" s="11">
        <f>IF(OR(OR($A136="",NOT(ISNUMBER($B136))),$B$2="Not started"),"",IF($C136="Winner",Points!$B$3,ROUND(Points!$B$3*IF($F136&lt;=1,1,Points!$H$7+(1-Points!$H$7)*((($F136-$E136)*(($F136-$E136)+1)/2)^2-((($F136-$E136-$J136+1)-1)*($F136-$E136-$J136+1)/2)^2)/($J136*($F136-1)^3)),0)))</f>
        <v/>
      </c>
      <c r="H136" s="11">
        <f>IF($A136="","",IF($B$2="Final","Final",IF($B$2="In progress","Projected","Not started")))</f>
        <v/>
      </c>
      <c r="I136" s="11">
        <f>IF($A136="","",IF(COUNTIF(Players!$A$2:$A$500,$A136)=0,"Player is not on the Players tab",IF(COUNTIF($A$7:$A$156,$A136)&gt;1,"Player is listed twice",IF(NOT(ISNUMBER($B136)),"Enter a score",IF(COUNTIFS($D$7:$D$156,$D136,$C$7:$C$156,"Winner")&gt;1,"More than one "&amp;$D136&amp;" winner picked",IF(AND($C136="Winner",COUNTIFS($D$7:$D$156,$D136,$B$7:$B$156,"&lt;"&amp;$B136)&gt;0),"The winner doesn't have the best "&amp;$D136&amp;" score",IF(AND($B$2="Final",COUNTIFS($D$7:$D$156,$D136,$C$7:$C$156,"Winner")=0),"Final: pick the "&amp;$D136&amp;" winner",IF($B$2="Not started","Set Status to In progress to count points","OK"))))))))</f>
        <v/>
      </c>
      <c r="J136" s="11">
        <f>IF(OR($A136="",NOT(ISNUMBER($B136))),"",IF($C136="Winner",1,COUNTIFS($D$7:$D$156,$D136,$B$7:$B$156,$B136)-IF(AND(NOT($C136="Winner"),COUNTIFS($D$7:$D$156,$D136,$C$7:$C$156,"Winner",$B$7:$B$156,$B136)&gt;0),1,0)))</f>
        <v/>
      </c>
    </row>
    <row r="137">
      <c r="D137" s="11">
        <f>IF($A137="","",IFERROR(IF(VLOOKUP($A137,Players!$A$2:$B$500,2,FALSE)="","Open",VLOOKUP($A137,Players!$A$2:$B$500,2,FALSE)),"Open"))</f>
        <v/>
      </c>
      <c r="E137" s="11">
        <f>IF(OR($A137="",NOT(ISNUMBER($B137))),"",IF($C137="Winner",1,COUNTIFS($D$7:$D$156,$D137,$B$7:$B$156,"&lt;"&amp;$B137)+1+IF(AND(NOT($C137="Winner"),COUNTIFS($D$7:$D$156,$D137,$C$7:$C$156,"Winner",$B$7:$B$156,$B137)&gt;0),1,0)))</f>
        <v/>
      </c>
      <c r="F137" s="11">
        <f>IF(OR($A137="",NOT(ISNUMBER($B137))),"",COUNTIFS($D$7:$D$156,$D137,$B$7:$B$156,"&gt;0"))</f>
        <v/>
      </c>
      <c r="G137" s="11">
        <f>IF(OR(OR($A137="",NOT(ISNUMBER($B137))),$B$2="Not started"),"",IF($C137="Winner",Points!$B$3,ROUND(Points!$B$3*IF($F137&lt;=1,1,Points!$H$7+(1-Points!$H$7)*((($F137-$E137)*(($F137-$E137)+1)/2)^2-((($F137-$E137-$J137+1)-1)*($F137-$E137-$J137+1)/2)^2)/($J137*($F137-1)^3)),0)))</f>
        <v/>
      </c>
      <c r="H137" s="11">
        <f>IF($A137="","",IF($B$2="Final","Final",IF($B$2="In progress","Projected","Not started")))</f>
        <v/>
      </c>
      <c r="I137" s="11">
        <f>IF($A137="","",IF(COUNTIF(Players!$A$2:$A$500,$A137)=0,"Player is not on the Players tab",IF(COUNTIF($A$7:$A$156,$A137)&gt;1,"Player is listed twice",IF(NOT(ISNUMBER($B137)),"Enter a score",IF(COUNTIFS($D$7:$D$156,$D137,$C$7:$C$156,"Winner")&gt;1,"More than one "&amp;$D137&amp;" winner picked",IF(AND($C137="Winner",COUNTIFS($D$7:$D$156,$D137,$B$7:$B$156,"&lt;"&amp;$B137)&gt;0),"The winner doesn't have the best "&amp;$D137&amp;" score",IF(AND($B$2="Final",COUNTIFS($D$7:$D$156,$D137,$C$7:$C$156,"Winner")=0),"Final: pick the "&amp;$D137&amp;" winner",IF($B$2="Not started","Set Status to In progress to count points","OK"))))))))</f>
        <v/>
      </c>
      <c r="J137" s="11">
        <f>IF(OR($A137="",NOT(ISNUMBER($B137))),"",IF($C137="Winner",1,COUNTIFS($D$7:$D$156,$D137,$B$7:$B$156,$B137)-IF(AND(NOT($C137="Winner"),COUNTIFS($D$7:$D$156,$D137,$C$7:$C$156,"Winner",$B$7:$B$156,$B137)&gt;0),1,0)))</f>
        <v/>
      </c>
    </row>
    <row r="138">
      <c r="D138" s="11">
        <f>IF($A138="","",IFERROR(IF(VLOOKUP($A138,Players!$A$2:$B$500,2,FALSE)="","Open",VLOOKUP($A138,Players!$A$2:$B$500,2,FALSE)),"Open"))</f>
        <v/>
      </c>
      <c r="E138" s="11">
        <f>IF(OR($A138="",NOT(ISNUMBER($B138))),"",IF($C138="Winner",1,COUNTIFS($D$7:$D$156,$D138,$B$7:$B$156,"&lt;"&amp;$B138)+1+IF(AND(NOT($C138="Winner"),COUNTIFS($D$7:$D$156,$D138,$C$7:$C$156,"Winner",$B$7:$B$156,$B138)&gt;0),1,0)))</f>
        <v/>
      </c>
      <c r="F138" s="11">
        <f>IF(OR($A138="",NOT(ISNUMBER($B138))),"",COUNTIFS($D$7:$D$156,$D138,$B$7:$B$156,"&gt;0"))</f>
        <v/>
      </c>
      <c r="G138" s="11">
        <f>IF(OR(OR($A138="",NOT(ISNUMBER($B138))),$B$2="Not started"),"",IF($C138="Winner",Points!$B$3,ROUND(Points!$B$3*IF($F138&lt;=1,1,Points!$H$7+(1-Points!$H$7)*((($F138-$E138)*(($F138-$E138)+1)/2)^2-((($F138-$E138-$J138+1)-1)*($F138-$E138-$J138+1)/2)^2)/($J138*($F138-1)^3)),0)))</f>
        <v/>
      </c>
      <c r="H138" s="11">
        <f>IF($A138="","",IF($B$2="Final","Final",IF($B$2="In progress","Projected","Not started")))</f>
        <v/>
      </c>
      <c r="I138" s="11">
        <f>IF($A138="","",IF(COUNTIF(Players!$A$2:$A$500,$A138)=0,"Player is not on the Players tab",IF(COUNTIF($A$7:$A$156,$A138)&gt;1,"Player is listed twice",IF(NOT(ISNUMBER($B138)),"Enter a score",IF(COUNTIFS($D$7:$D$156,$D138,$C$7:$C$156,"Winner")&gt;1,"More than one "&amp;$D138&amp;" winner picked",IF(AND($C138="Winner",COUNTIFS($D$7:$D$156,$D138,$B$7:$B$156,"&lt;"&amp;$B138)&gt;0),"The winner doesn't have the best "&amp;$D138&amp;" score",IF(AND($B$2="Final",COUNTIFS($D$7:$D$156,$D138,$C$7:$C$156,"Winner")=0),"Final: pick the "&amp;$D138&amp;" winner",IF($B$2="Not started","Set Status to In progress to count points","OK"))))))))</f>
        <v/>
      </c>
      <c r="J138" s="11">
        <f>IF(OR($A138="",NOT(ISNUMBER($B138))),"",IF($C138="Winner",1,COUNTIFS($D$7:$D$156,$D138,$B$7:$B$156,$B138)-IF(AND(NOT($C138="Winner"),COUNTIFS($D$7:$D$156,$D138,$C$7:$C$156,"Winner",$B$7:$B$156,$B138)&gt;0),1,0)))</f>
        <v/>
      </c>
    </row>
    <row r="139">
      <c r="D139" s="11">
        <f>IF($A139="","",IFERROR(IF(VLOOKUP($A139,Players!$A$2:$B$500,2,FALSE)="","Open",VLOOKUP($A139,Players!$A$2:$B$500,2,FALSE)),"Open"))</f>
        <v/>
      </c>
      <c r="E139" s="11">
        <f>IF(OR($A139="",NOT(ISNUMBER($B139))),"",IF($C139="Winner",1,COUNTIFS($D$7:$D$156,$D139,$B$7:$B$156,"&lt;"&amp;$B139)+1+IF(AND(NOT($C139="Winner"),COUNTIFS($D$7:$D$156,$D139,$C$7:$C$156,"Winner",$B$7:$B$156,$B139)&gt;0),1,0)))</f>
        <v/>
      </c>
      <c r="F139" s="11">
        <f>IF(OR($A139="",NOT(ISNUMBER($B139))),"",COUNTIFS($D$7:$D$156,$D139,$B$7:$B$156,"&gt;0"))</f>
        <v/>
      </c>
      <c r="G139" s="11">
        <f>IF(OR(OR($A139="",NOT(ISNUMBER($B139))),$B$2="Not started"),"",IF($C139="Winner",Points!$B$3,ROUND(Points!$B$3*IF($F139&lt;=1,1,Points!$H$7+(1-Points!$H$7)*((($F139-$E139)*(($F139-$E139)+1)/2)^2-((($F139-$E139-$J139+1)-1)*($F139-$E139-$J139+1)/2)^2)/($J139*($F139-1)^3)),0)))</f>
        <v/>
      </c>
      <c r="H139" s="11">
        <f>IF($A139="","",IF($B$2="Final","Final",IF($B$2="In progress","Projected","Not started")))</f>
        <v/>
      </c>
      <c r="I139" s="11">
        <f>IF($A139="","",IF(COUNTIF(Players!$A$2:$A$500,$A139)=0,"Player is not on the Players tab",IF(COUNTIF($A$7:$A$156,$A139)&gt;1,"Player is listed twice",IF(NOT(ISNUMBER($B139)),"Enter a score",IF(COUNTIFS($D$7:$D$156,$D139,$C$7:$C$156,"Winner")&gt;1,"More than one "&amp;$D139&amp;" winner picked",IF(AND($C139="Winner",COUNTIFS($D$7:$D$156,$D139,$B$7:$B$156,"&lt;"&amp;$B139)&gt;0),"The winner doesn't have the best "&amp;$D139&amp;" score",IF(AND($B$2="Final",COUNTIFS($D$7:$D$156,$D139,$C$7:$C$156,"Winner")=0),"Final: pick the "&amp;$D139&amp;" winner",IF($B$2="Not started","Set Status to In progress to count points","OK"))))))))</f>
        <v/>
      </c>
      <c r="J139" s="11">
        <f>IF(OR($A139="",NOT(ISNUMBER($B139))),"",IF($C139="Winner",1,COUNTIFS($D$7:$D$156,$D139,$B$7:$B$156,$B139)-IF(AND(NOT($C139="Winner"),COUNTIFS($D$7:$D$156,$D139,$C$7:$C$156,"Winner",$B$7:$B$156,$B139)&gt;0),1,0)))</f>
        <v/>
      </c>
    </row>
    <row r="140">
      <c r="D140" s="11">
        <f>IF($A140="","",IFERROR(IF(VLOOKUP($A140,Players!$A$2:$B$500,2,FALSE)="","Open",VLOOKUP($A140,Players!$A$2:$B$500,2,FALSE)),"Open"))</f>
        <v/>
      </c>
      <c r="E140" s="11">
        <f>IF(OR($A140="",NOT(ISNUMBER($B140))),"",IF($C140="Winner",1,COUNTIFS($D$7:$D$156,$D140,$B$7:$B$156,"&lt;"&amp;$B140)+1+IF(AND(NOT($C140="Winner"),COUNTIFS($D$7:$D$156,$D140,$C$7:$C$156,"Winner",$B$7:$B$156,$B140)&gt;0),1,0)))</f>
        <v/>
      </c>
      <c r="F140" s="11">
        <f>IF(OR($A140="",NOT(ISNUMBER($B140))),"",COUNTIFS($D$7:$D$156,$D140,$B$7:$B$156,"&gt;0"))</f>
        <v/>
      </c>
      <c r="G140" s="11">
        <f>IF(OR(OR($A140="",NOT(ISNUMBER($B140))),$B$2="Not started"),"",IF($C140="Winner",Points!$B$3,ROUND(Points!$B$3*IF($F140&lt;=1,1,Points!$H$7+(1-Points!$H$7)*((($F140-$E140)*(($F140-$E140)+1)/2)^2-((($F140-$E140-$J140+1)-1)*($F140-$E140-$J140+1)/2)^2)/($J140*($F140-1)^3)),0)))</f>
        <v/>
      </c>
      <c r="H140" s="11">
        <f>IF($A140="","",IF($B$2="Final","Final",IF($B$2="In progress","Projected","Not started")))</f>
        <v/>
      </c>
      <c r="I140" s="11">
        <f>IF($A140="","",IF(COUNTIF(Players!$A$2:$A$500,$A140)=0,"Player is not on the Players tab",IF(COUNTIF($A$7:$A$156,$A140)&gt;1,"Player is listed twice",IF(NOT(ISNUMBER($B140)),"Enter a score",IF(COUNTIFS($D$7:$D$156,$D140,$C$7:$C$156,"Winner")&gt;1,"More than one "&amp;$D140&amp;" winner picked",IF(AND($C140="Winner",COUNTIFS($D$7:$D$156,$D140,$B$7:$B$156,"&lt;"&amp;$B140)&gt;0),"The winner doesn't have the best "&amp;$D140&amp;" score",IF(AND($B$2="Final",COUNTIFS($D$7:$D$156,$D140,$C$7:$C$156,"Winner")=0),"Final: pick the "&amp;$D140&amp;" winner",IF($B$2="Not started","Set Status to In progress to count points","OK"))))))))</f>
        <v/>
      </c>
      <c r="J140" s="11">
        <f>IF(OR($A140="",NOT(ISNUMBER($B140))),"",IF($C140="Winner",1,COUNTIFS($D$7:$D$156,$D140,$B$7:$B$156,$B140)-IF(AND(NOT($C140="Winner"),COUNTIFS($D$7:$D$156,$D140,$C$7:$C$156,"Winner",$B$7:$B$156,$B140)&gt;0),1,0)))</f>
        <v/>
      </c>
    </row>
    <row r="141">
      <c r="D141" s="11">
        <f>IF($A141="","",IFERROR(IF(VLOOKUP($A141,Players!$A$2:$B$500,2,FALSE)="","Open",VLOOKUP($A141,Players!$A$2:$B$500,2,FALSE)),"Open"))</f>
        <v/>
      </c>
      <c r="E141" s="11">
        <f>IF(OR($A141="",NOT(ISNUMBER($B141))),"",IF($C141="Winner",1,COUNTIFS($D$7:$D$156,$D141,$B$7:$B$156,"&lt;"&amp;$B141)+1+IF(AND(NOT($C141="Winner"),COUNTIFS($D$7:$D$156,$D141,$C$7:$C$156,"Winner",$B$7:$B$156,$B141)&gt;0),1,0)))</f>
        <v/>
      </c>
      <c r="F141" s="11">
        <f>IF(OR($A141="",NOT(ISNUMBER($B141))),"",COUNTIFS($D$7:$D$156,$D141,$B$7:$B$156,"&gt;0"))</f>
        <v/>
      </c>
      <c r="G141" s="11">
        <f>IF(OR(OR($A141="",NOT(ISNUMBER($B141))),$B$2="Not started"),"",IF($C141="Winner",Points!$B$3,ROUND(Points!$B$3*IF($F141&lt;=1,1,Points!$H$7+(1-Points!$H$7)*((($F141-$E141)*(($F141-$E141)+1)/2)^2-((($F141-$E141-$J141+1)-1)*($F141-$E141-$J141+1)/2)^2)/($J141*($F141-1)^3)),0)))</f>
        <v/>
      </c>
      <c r="H141" s="11">
        <f>IF($A141="","",IF($B$2="Final","Final",IF($B$2="In progress","Projected","Not started")))</f>
        <v/>
      </c>
      <c r="I141" s="11">
        <f>IF($A141="","",IF(COUNTIF(Players!$A$2:$A$500,$A141)=0,"Player is not on the Players tab",IF(COUNTIF($A$7:$A$156,$A141)&gt;1,"Player is listed twice",IF(NOT(ISNUMBER($B141)),"Enter a score",IF(COUNTIFS($D$7:$D$156,$D141,$C$7:$C$156,"Winner")&gt;1,"More than one "&amp;$D141&amp;" winner picked",IF(AND($C141="Winner",COUNTIFS($D$7:$D$156,$D141,$B$7:$B$156,"&lt;"&amp;$B141)&gt;0),"The winner doesn't have the best "&amp;$D141&amp;" score",IF(AND($B$2="Final",COUNTIFS($D$7:$D$156,$D141,$C$7:$C$156,"Winner")=0),"Final: pick the "&amp;$D141&amp;" winner",IF($B$2="Not started","Set Status to In progress to count points","OK"))))))))</f>
        <v/>
      </c>
      <c r="J141" s="11">
        <f>IF(OR($A141="",NOT(ISNUMBER($B141))),"",IF($C141="Winner",1,COUNTIFS($D$7:$D$156,$D141,$B$7:$B$156,$B141)-IF(AND(NOT($C141="Winner"),COUNTIFS($D$7:$D$156,$D141,$C$7:$C$156,"Winner",$B$7:$B$156,$B141)&gt;0),1,0)))</f>
        <v/>
      </c>
    </row>
    <row r="142">
      <c r="D142" s="11">
        <f>IF($A142="","",IFERROR(IF(VLOOKUP($A142,Players!$A$2:$B$500,2,FALSE)="","Open",VLOOKUP($A142,Players!$A$2:$B$500,2,FALSE)),"Open"))</f>
        <v/>
      </c>
      <c r="E142" s="11">
        <f>IF(OR($A142="",NOT(ISNUMBER($B142))),"",IF($C142="Winner",1,COUNTIFS($D$7:$D$156,$D142,$B$7:$B$156,"&lt;"&amp;$B142)+1+IF(AND(NOT($C142="Winner"),COUNTIFS($D$7:$D$156,$D142,$C$7:$C$156,"Winner",$B$7:$B$156,$B142)&gt;0),1,0)))</f>
        <v/>
      </c>
      <c r="F142" s="11">
        <f>IF(OR($A142="",NOT(ISNUMBER($B142))),"",COUNTIFS($D$7:$D$156,$D142,$B$7:$B$156,"&gt;0"))</f>
        <v/>
      </c>
      <c r="G142" s="11">
        <f>IF(OR(OR($A142="",NOT(ISNUMBER($B142))),$B$2="Not started"),"",IF($C142="Winner",Points!$B$3,ROUND(Points!$B$3*IF($F142&lt;=1,1,Points!$H$7+(1-Points!$H$7)*((($F142-$E142)*(($F142-$E142)+1)/2)^2-((($F142-$E142-$J142+1)-1)*($F142-$E142-$J142+1)/2)^2)/($J142*($F142-1)^3)),0)))</f>
        <v/>
      </c>
      <c r="H142" s="11">
        <f>IF($A142="","",IF($B$2="Final","Final",IF($B$2="In progress","Projected","Not started")))</f>
        <v/>
      </c>
      <c r="I142" s="11">
        <f>IF($A142="","",IF(COUNTIF(Players!$A$2:$A$500,$A142)=0,"Player is not on the Players tab",IF(COUNTIF($A$7:$A$156,$A142)&gt;1,"Player is listed twice",IF(NOT(ISNUMBER($B142)),"Enter a score",IF(COUNTIFS($D$7:$D$156,$D142,$C$7:$C$156,"Winner")&gt;1,"More than one "&amp;$D142&amp;" winner picked",IF(AND($C142="Winner",COUNTIFS($D$7:$D$156,$D142,$B$7:$B$156,"&lt;"&amp;$B142)&gt;0),"The winner doesn't have the best "&amp;$D142&amp;" score",IF(AND($B$2="Final",COUNTIFS($D$7:$D$156,$D142,$C$7:$C$156,"Winner")=0),"Final: pick the "&amp;$D142&amp;" winner",IF($B$2="Not started","Set Status to In progress to count points","OK"))))))))</f>
        <v/>
      </c>
      <c r="J142" s="11">
        <f>IF(OR($A142="",NOT(ISNUMBER($B142))),"",IF($C142="Winner",1,COUNTIFS($D$7:$D$156,$D142,$B$7:$B$156,$B142)-IF(AND(NOT($C142="Winner"),COUNTIFS($D$7:$D$156,$D142,$C$7:$C$156,"Winner",$B$7:$B$156,$B142)&gt;0),1,0)))</f>
        <v/>
      </c>
    </row>
    <row r="143">
      <c r="D143" s="11">
        <f>IF($A143="","",IFERROR(IF(VLOOKUP($A143,Players!$A$2:$B$500,2,FALSE)="","Open",VLOOKUP($A143,Players!$A$2:$B$500,2,FALSE)),"Open"))</f>
        <v/>
      </c>
      <c r="E143" s="11">
        <f>IF(OR($A143="",NOT(ISNUMBER($B143))),"",IF($C143="Winner",1,COUNTIFS($D$7:$D$156,$D143,$B$7:$B$156,"&lt;"&amp;$B143)+1+IF(AND(NOT($C143="Winner"),COUNTIFS($D$7:$D$156,$D143,$C$7:$C$156,"Winner",$B$7:$B$156,$B143)&gt;0),1,0)))</f>
        <v/>
      </c>
      <c r="F143" s="11">
        <f>IF(OR($A143="",NOT(ISNUMBER($B143))),"",COUNTIFS($D$7:$D$156,$D143,$B$7:$B$156,"&gt;0"))</f>
        <v/>
      </c>
      <c r="G143" s="11">
        <f>IF(OR(OR($A143="",NOT(ISNUMBER($B143))),$B$2="Not started"),"",IF($C143="Winner",Points!$B$3,ROUND(Points!$B$3*IF($F143&lt;=1,1,Points!$H$7+(1-Points!$H$7)*((($F143-$E143)*(($F143-$E143)+1)/2)^2-((($F143-$E143-$J143+1)-1)*($F143-$E143-$J143+1)/2)^2)/($J143*($F143-1)^3)),0)))</f>
        <v/>
      </c>
      <c r="H143" s="11">
        <f>IF($A143="","",IF($B$2="Final","Final",IF($B$2="In progress","Projected","Not started")))</f>
        <v/>
      </c>
      <c r="I143" s="11">
        <f>IF($A143="","",IF(COUNTIF(Players!$A$2:$A$500,$A143)=0,"Player is not on the Players tab",IF(COUNTIF($A$7:$A$156,$A143)&gt;1,"Player is listed twice",IF(NOT(ISNUMBER($B143)),"Enter a score",IF(COUNTIFS($D$7:$D$156,$D143,$C$7:$C$156,"Winner")&gt;1,"More than one "&amp;$D143&amp;" winner picked",IF(AND($C143="Winner",COUNTIFS($D$7:$D$156,$D143,$B$7:$B$156,"&lt;"&amp;$B143)&gt;0),"The winner doesn't have the best "&amp;$D143&amp;" score",IF(AND($B$2="Final",COUNTIFS($D$7:$D$156,$D143,$C$7:$C$156,"Winner")=0),"Final: pick the "&amp;$D143&amp;" winner",IF($B$2="Not started","Set Status to In progress to count points","OK"))))))))</f>
        <v/>
      </c>
      <c r="J143" s="11">
        <f>IF(OR($A143="",NOT(ISNUMBER($B143))),"",IF($C143="Winner",1,COUNTIFS($D$7:$D$156,$D143,$B$7:$B$156,$B143)-IF(AND(NOT($C143="Winner"),COUNTIFS($D$7:$D$156,$D143,$C$7:$C$156,"Winner",$B$7:$B$156,$B143)&gt;0),1,0)))</f>
        <v/>
      </c>
    </row>
    <row r="144">
      <c r="D144" s="11">
        <f>IF($A144="","",IFERROR(IF(VLOOKUP($A144,Players!$A$2:$B$500,2,FALSE)="","Open",VLOOKUP($A144,Players!$A$2:$B$500,2,FALSE)),"Open"))</f>
        <v/>
      </c>
      <c r="E144" s="11">
        <f>IF(OR($A144="",NOT(ISNUMBER($B144))),"",IF($C144="Winner",1,COUNTIFS($D$7:$D$156,$D144,$B$7:$B$156,"&lt;"&amp;$B144)+1+IF(AND(NOT($C144="Winner"),COUNTIFS($D$7:$D$156,$D144,$C$7:$C$156,"Winner",$B$7:$B$156,$B144)&gt;0),1,0)))</f>
        <v/>
      </c>
      <c r="F144" s="11">
        <f>IF(OR($A144="",NOT(ISNUMBER($B144))),"",COUNTIFS($D$7:$D$156,$D144,$B$7:$B$156,"&gt;0"))</f>
        <v/>
      </c>
      <c r="G144" s="11">
        <f>IF(OR(OR($A144="",NOT(ISNUMBER($B144))),$B$2="Not started"),"",IF($C144="Winner",Points!$B$3,ROUND(Points!$B$3*IF($F144&lt;=1,1,Points!$H$7+(1-Points!$H$7)*((($F144-$E144)*(($F144-$E144)+1)/2)^2-((($F144-$E144-$J144+1)-1)*($F144-$E144-$J144+1)/2)^2)/($J144*($F144-1)^3)),0)))</f>
        <v/>
      </c>
      <c r="H144" s="11">
        <f>IF($A144="","",IF($B$2="Final","Final",IF($B$2="In progress","Projected","Not started")))</f>
        <v/>
      </c>
      <c r="I144" s="11">
        <f>IF($A144="","",IF(COUNTIF(Players!$A$2:$A$500,$A144)=0,"Player is not on the Players tab",IF(COUNTIF($A$7:$A$156,$A144)&gt;1,"Player is listed twice",IF(NOT(ISNUMBER($B144)),"Enter a score",IF(COUNTIFS($D$7:$D$156,$D144,$C$7:$C$156,"Winner")&gt;1,"More than one "&amp;$D144&amp;" winner picked",IF(AND($C144="Winner",COUNTIFS($D$7:$D$156,$D144,$B$7:$B$156,"&lt;"&amp;$B144)&gt;0),"The winner doesn't have the best "&amp;$D144&amp;" score",IF(AND($B$2="Final",COUNTIFS($D$7:$D$156,$D144,$C$7:$C$156,"Winner")=0),"Final: pick the "&amp;$D144&amp;" winner",IF($B$2="Not started","Set Status to In progress to count points","OK"))))))))</f>
        <v/>
      </c>
      <c r="J144" s="11">
        <f>IF(OR($A144="",NOT(ISNUMBER($B144))),"",IF($C144="Winner",1,COUNTIFS($D$7:$D$156,$D144,$B$7:$B$156,$B144)-IF(AND(NOT($C144="Winner"),COUNTIFS($D$7:$D$156,$D144,$C$7:$C$156,"Winner",$B$7:$B$156,$B144)&gt;0),1,0)))</f>
        <v/>
      </c>
    </row>
    <row r="145">
      <c r="D145" s="11">
        <f>IF($A145="","",IFERROR(IF(VLOOKUP($A145,Players!$A$2:$B$500,2,FALSE)="","Open",VLOOKUP($A145,Players!$A$2:$B$500,2,FALSE)),"Open"))</f>
        <v/>
      </c>
      <c r="E145" s="11">
        <f>IF(OR($A145="",NOT(ISNUMBER($B145))),"",IF($C145="Winner",1,COUNTIFS($D$7:$D$156,$D145,$B$7:$B$156,"&lt;"&amp;$B145)+1+IF(AND(NOT($C145="Winner"),COUNTIFS($D$7:$D$156,$D145,$C$7:$C$156,"Winner",$B$7:$B$156,$B145)&gt;0),1,0)))</f>
        <v/>
      </c>
      <c r="F145" s="11">
        <f>IF(OR($A145="",NOT(ISNUMBER($B145))),"",COUNTIFS($D$7:$D$156,$D145,$B$7:$B$156,"&gt;0"))</f>
        <v/>
      </c>
      <c r="G145" s="11">
        <f>IF(OR(OR($A145="",NOT(ISNUMBER($B145))),$B$2="Not started"),"",IF($C145="Winner",Points!$B$3,ROUND(Points!$B$3*IF($F145&lt;=1,1,Points!$H$7+(1-Points!$H$7)*((($F145-$E145)*(($F145-$E145)+1)/2)^2-((($F145-$E145-$J145+1)-1)*($F145-$E145-$J145+1)/2)^2)/($J145*($F145-1)^3)),0)))</f>
        <v/>
      </c>
      <c r="H145" s="11">
        <f>IF($A145="","",IF($B$2="Final","Final",IF($B$2="In progress","Projected","Not started")))</f>
        <v/>
      </c>
      <c r="I145" s="11">
        <f>IF($A145="","",IF(COUNTIF(Players!$A$2:$A$500,$A145)=0,"Player is not on the Players tab",IF(COUNTIF($A$7:$A$156,$A145)&gt;1,"Player is listed twice",IF(NOT(ISNUMBER($B145)),"Enter a score",IF(COUNTIFS($D$7:$D$156,$D145,$C$7:$C$156,"Winner")&gt;1,"More than one "&amp;$D145&amp;" winner picked",IF(AND($C145="Winner",COUNTIFS($D$7:$D$156,$D145,$B$7:$B$156,"&lt;"&amp;$B145)&gt;0),"The winner doesn't have the best "&amp;$D145&amp;" score",IF(AND($B$2="Final",COUNTIFS($D$7:$D$156,$D145,$C$7:$C$156,"Winner")=0),"Final: pick the "&amp;$D145&amp;" winner",IF($B$2="Not started","Set Status to In progress to count points","OK"))))))))</f>
        <v/>
      </c>
      <c r="J145" s="11">
        <f>IF(OR($A145="",NOT(ISNUMBER($B145))),"",IF($C145="Winner",1,COUNTIFS($D$7:$D$156,$D145,$B$7:$B$156,$B145)-IF(AND(NOT($C145="Winner"),COUNTIFS($D$7:$D$156,$D145,$C$7:$C$156,"Winner",$B$7:$B$156,$B145)&gt;0),1,0)))</f>
        <v/>
      </c>
    </row>
    <row r="146">
      <c r="D146" s="11">
        <f>IF($A146="","",IFERROR(IF(VLOOKUP($A146,Players!$A$2:$B$500,2,FALSE)="","Open",VLOOKUP($A146,Players!$A$2:$B$500,2,FALSE)),"Open"))</f>
        <v/>
      </c>
      <c r="E146" s="11">
        <f>IF(OR($A146="",NOT(ISNUMBER($B146))),"",IF($C146="Winner",1,COUNTIFS($D$7:$D$156,$D146,$B$7:$B$156,"&lt;"&amp;$B146)+1+IF(AND(NOT($C146="Winner"),COUNTIFS($D$7:$D$156,$D146,$C$7:$C$156,"Winner",$B$7:$B$156,$B146)&gt;0),1,0)))</f>
        <v/>
      </c>
      <c r="F146" s="11">
        <f>IF(OR($A146="",NOT(ISNUMBER($B146))),"",COUNTIFS($D$7:$D$156,$D146,$B$7:$B$156,"&gt;0"))</f>
        <v/>
      </c>
      <c r="G146" s="11">
        <f>IF(OR(OR($A146="",NOT(ISNUMBER($B146))),$B$2="Not started"),"",IF($C146="Winner",Points!$B$3,ROUND(Points!$B$3*IF($F146&lt;=1,1,Points!$H$7+(1-Points!$H$7)*((($F146-$E146)*(($F146-$E146)+1)/2)^2-((($F146-$E146-$J146+1)-1)*($F146-$E146-$J146+1)/2)^2)/($J146*($F146-1)^3)),0)))</f>
        <v/>
      </c>
      <c r="H146" s="11">
        <f>IF($A146="","",IF($B$2="Final","Final",IF($B$2="In progress","Projected","Not started")))</f>
        <v/>
      </c>
      <c r="I146" s="11">
        <f>IF($A146="","",IF(COUNTIF(Players!$A$2:$A$500,$A146)=0,"Player is not on the Players tab",IF(COUNTIF($A$7:$A$156,$A146)&gt;1,"Player is listed twice",IF(NOT(ISNUMBER($B146)),"Enter a score",IF(COUNTIFS($D$7:$D$156,$D146,$C$7:$C$156,"Winner")&gt;1,"More than one "&amp;$D146&amp;" winner picked",IF(AND($C146="Winner",COUNTIFS($D$7:$D$156,$D146,$B$7:$B$156,"&lt;"&amp;$B146)&gt;0),"The winner doesn't have the best "&amp;$D146&amp;" score",IF(AND($B$2="Final",COUNTIFS($D$7:$D$156,$D146,$C$7:$C$156,"Winner")=0),"Final: pick the "&amp;$D146&amp;" winner",IF($B$2="Not started","Set Status to In progress to count points","OK"))))))))</f>
        <v/>
      </c>
      <c r="J146" s="11">
        <f>IF(OR($A146="",NOT(ISNUMBER($B146))),"",IF($C146="Winner",1,COUNTIFS($D$7:$D$156,$D146,$B$7:$B$156,$B146)-IF(AND(NOT($C146="Winner"),COUNTIFS($D$7:$D$156,$D146,$C$7:$C$156,"Winner",$B$7:$B$156,$B146)&gt;0),1,0)))</f>
        <v/>
      </c>
    </row>
    <row r="147">
      <c r="D147" s="11">
        <f>IF($A147="","",IFERROR(IF(VLOOKUP($A147,Players!$A$2:$B$500,2,FALSE)="","Open",VLOOKUP($A147,Players!$A$2:$B$500,2,FALSE)),"Open"))</f>
        <v/>
      </c>
      <c r="E147" s="11">
        <f>IF(OR($A147="",NOT(ISNUMBER($B147))),"",IF($C147="Winner",1,COUNTIFS($D$7:$D$156,$D147,$B$7:$B$156,"&lt;"&amp;$B147)+1+IF(AND(NOT($C147="Winner"),COUNTIFS($D$7:$D$156,$D147,$C$7:$C$156,"Winner",$B$7:$B$156,$B147)&gt;0),1,0)))</f>
        <v/>
      </c>
      <c r="F147" s="11">
        <f>IF(OR($A147="",NOT(ISNUMBER($B147))),"",COUNTIFS($D$7:$D$156,$D147,$B$7:$B$156,"&gt;0"))</f>
        <v/>
      </c>
      <c r="G147" s="11">
        <f>IF(OR(OR($A147="",NOT(ISNUMBER($B147))),$B$2="Not started"),"",IF($C147="Winner",Points!$B$3,ROUND(Points!$B$3*IF($F147&lt;=1,1,Points!$H$7+(1-Points!$H$7)*((($F147-$E147)*(($F147-$E147)+1)/2)^2-((($F147-$E147-$J147+1)-1)*($F147-$E147-$J147+1)/2)^2)/($J147*($F147-1)^3)),0)))</f>
        <v/>
      </c>
      <c r="H147" s="11">
        <f>IF($A147="","",IF($B$2="Final","Final",IF($B$2="In progress","Projected","Not started")))</f>
        <v/>
      </c>
      <c r="I147" s="11">
        <f>IF($A147="","",IF(COUNTIF(Players!$A$2:$A$500,$A147)=0,"Player is not on the Players tab",IF(COUNTIF($A$7:$A$156,$A147)&gt;1,"Player is listed twice",IF(NOT(ISNUMBER($B147)),"Enter a score",IF(COUNTIFS($D$7:$D$156,$D147,$C$7:$C$156,"Winner")&gt;1,"More than one "&amp;$D147&amp;" winner picked",IF(AND($C147="Winner",COUNTIFS($D$7:$D$156,$D147,$B$7:$B$156,"&lt;"&amp;$B147)&gt;0),"The winner doesn't have the best "&amp;$D147&amp;" score",IF(AND($B$2="Final",COUNTIFS($D$7:$D$156,$D147,$C$7:$C$156,"Winner")=0),"Final: pick the "&amp;$D147&amp;" winner",IF($B$2="Not started","Set Status to In progress to count points","OK"))))))))</f>
        <v/>
      </c>
      <c r="J147" s="11">
        <f>IF(OR($A147="",NOT(ISNUMBER($B147))),"",IF($C147="Winner",1,COUNTIFS($D$7:$D$156,$D147,$B$7:$B$156,$B147)-IF(AND(NOT($C147="Winner"),COUNTIFS($D$7:$D$156,$D147,$C$7:$C$156,"Winner",$B$7:$B$156,$B147)&gt;0),1,0)))</f>
        <v/>
      </c>
    </row>
    <row r="148">
      <c r="D148" s="11">
        <f>IF($A148="","",IFERROR(IF(VLOOKUP($A148,Players!$A$2:$B$500,2,FALSE)="","Open",VLOOKUP($A148,Players!$A$2:$B$500,2,FALSE)),"Open"))</f>
        <v/>
      </c>
      <c r="E148" s="11">
        <f>IF(OR($A148="",NOT(ISNUMBER($B148))),"",IF($C148="Winner",1,COUNTIFS($D$7:$D$156,$D148,$B$7:$B$156,"&lt;"&amp;$B148)+1+IF(AND(NOT($C148="Winner"),COUNTIFS($D$7:$D$156,$D148,$C$7:$C$156,"Winner",$B$7:$B$156,$B148)&gt;0),1,0)))</f>
        <v/>
      </c>
      <c r="F148" s="11">
        <f>IF(OR($A148="",NOT(ISNUMBER($B148))),"",COUNTIFS($D$7:$D$156,$D148,$B$7:$B$156,"&gt;0"))</f>
        <v/>
      </c>
      <c r="G148" s="11">
        <f>IF(OR(OR($A148="",NOT(ISNUMBER($B148))),$B$2="Not started"),"",IF($C148="Winner",Points!$B$3,ROUND(Points!$B$3*IF($F148&lt;=1,1,Points!$H$7+(1-Points!$H$7)*((($F148-$E148)*(($F148-$E148)+1)/2)^2-((($F148-$E148-$J148+1)-1)*($F148-$E148-$J148+1)/2)^2)/($J148*($F148-1)^3)),0)))</f>
        <v/>
      </c>
      <c r="H148" s="11">
        <f>IF($A148="","",IF($B$2="Final","Final",IF($B$2="In progress","Projected","Not started")))</f>
        <v/>
      </c>
      <c r="I148" s="11">
        <f>IF($A148="","",IF(COUNTIF(Players!$A$2:$A$500,$A148)=0,"Player is not on the Players tab",IF(COUNTIF($A$7:$A$156,$A148)&gt;1,"Player is listed twice",IF(NOT(ISNUMBER($B148)),"Enter a score",IF(COUNTIFS($D$7:$D$156,$D148,$C$7:$C$156,"Winner")&gt;1,"More than one "&amp;$D148&amp;" winner picked",IF(AND($C148="Winner",COUNTIFS($D$7:$D$156,$D148,$B$7:$B$156,"&lt;"&amp;$B148)&gt;0),"The winner doesn't have the best "&amp;$D148&amp;" score",IF(AND($B$2="Final",COUNTIFS($D$7:$D$156,$D148,$C$7:$C$156,"Winner")=0),"Final: pick the "&amp;$D148&amp;" winner",IF($B$2="Not started","Set Status to In progress to count points","OK"))))))))</f>
        <v/>
      </c>
      <c r="J148" s="11">
        <f>IF(OR($A148="",NOT(ISNUMBER($B148))),"",IF($C148="Winner",1,COUNTIFS($D$7:$D$156,$D148,$B$7:$B$156,$B148)-IF(AND(NOT($C148="Winner"),COUNTIFS($D$7:$D$156,$D148,$C$7:$C$156,"Winner",$B$7:$B$156,$B148)&gt;0),1,0)))</f>
        <v/>
      </c>
    </row>
    <row r="149">
      <c r="D149" s="11">
        <f>IF($A149="","",IFERROR(IF(VLOOKUP($A149,Players!$A$2:$B$500,2,FALSE)="","Open",VLOOKUP($A149,Players!$A$2:$B$500,2,FALSE)),"Open"))</f>
        <v/>
      </c>
      <c r="E149" s="11">
        <f>IF(OR($A149="",NOT(ISNUMBER($B149))),"",IF($C149="Winner",1,COUNTIFS($D$7:$D$156,$D149,$B$7:$B$156,"&lt;"&amp;$B149)+1+IF(AND(NOT($C149="Winner"),COUNTIFS($D$7:$D$156,$D149,$C$7:$C$156,"Winner",$B$7:$B$156,$B149)&gt;0),1,0)))</f>
        <v/>
      </c>
      <c r="F149" s="11">
        <f>IF(OR($A149="",NOT(ISNUMBER($B149))),"",COUNTIFS($D$7:$D$156,$D149,$B$7:$B$156,"&gt;0"))</f>
        <v/>
      </c>
      <c r="G149" s="11">
        <f>IF(OR(OR($A149="",NOT(ISNUMBER($B149))),$B$2="Not started"),"",IF($C149="Winner",Points!$B$3,ROUND(Points!$B$3*IF($F149&lt;=1,1,Points!$H$7+(1-Points!$H$7)*((($F149-$E149)*(($F149-$E149)+1)/2)^2-((($F149-$E149-$J149+1)-1)*($F149-$E149-$J149+1)/2)^2)/($J149*($F149-1)^3)),0)))</f>
        <v/>
      </c>
      <c r="H149" s="11">
        <f>IF($A149="","",IF($B$2="Final","Final",IF($B$2="In progress","Projected","Not started")))</f>
        <v/>
      </c>
      <c r="I149" s="11">
        <f>IF($A149="","",IF(COUNTIF(Players!$A$2:$A$500,$A149)=0,"Player is not on the Players tab",IF(COUNTIF($A$7:$A$156,$A149)&gt;1,"Player is listed twice",IF(NOT(ISNUMBER($B149)),"Enter a score",IF(COUNTIFS($D$7:$D$156,$D149,$C$7:$C$156,"Winner")&gt;1,"More than one "&amp;$D149&amp;" winner picked",IF(AND($C149="Winner",COUNTIFS($D$7:$D$156,$D149,$B$7:$B$156,"&lt;"&amp;$B149)&gt;0),"The winner doesn't have the best "&amp;$D149&amp;" score",IF(AND($B$2="Final",COUNTIFS($D$7:$D$156,$D149,$C$7:$C$156,"Winner")=0),"Final: pick the "&amp;$D149&amp;" winner",IF($B$2="Not started","Set Status to In progress to count points","OK"))))))))</f>
        <v/>
      </c>
      <c r="J149" s="11">
        <f>IF(OR($A149="",NOT(ISNUMBER($B149))),"",IF($C149="Winner",1,COUNTIFS($D$7:$D$156,$D149,$B$7:$B$156,$B149)-IF(AND(NOT($C149="Winner"),COUNTIFS($D$7:$D$156,$D149,$C$7:$C$156,"Winner",$B$7:$B$156,$B149)&gt;0),1,0)))</f>
        <v/>
      </c>
    </row>
    <row r="150">
      <c r="D150" s="11">
        <f>IF($A150="","",IFERROR(IF(VLOOKUP($A150,Players!$A$2:$B$500,2,FALSE)="","Open",VLOOKUP($A150,Players!$A$2:$B$500,2,FALSE)),"Open"))</f>
        <v/>
      </c>
      <c r="E150" s="11">
        <f>IF(OR($A150="",NOT(ISNUMBER($B150))),"",IF($C150="Winner",1,COUNTIFS($D$7:$D$156,$D150,$B$7:$B$156,"&lt;"&amp;$B150)+1+IF(AND(NOT($C150="Winner"),COUNTIFS($D$7:$D$156,$D150,$C$7:$C$156,"Winner",$B$7:$B$156,$B150)&gt;0),1,0)))</f>
        <v/>
      </c>
      <c r="F150" s="11">
        <f>IF(OR($A150="",NOT(ISNUMBER($B150))),"",COUNTIFS($D$7:$D$156,$D150,$B$7:$B$156,"&gt;0"))</f>
        <v/>
      </c>
      <c r="G150" s="11">
        <f>IF(OR(OR($A150="",NOT(ISNUMBER($B150))),$B$2="Not started"),"",IF($C150="Winner",Points!$B$3,ROUND(Points!$B$3*IF($F150&lt;=1,1,Points!$H$7+(1-Points!$H$7)*((($F150-$E150)*(($F150-$E150)+1)/2)^2-((($F150-$E150-$J150+1)-1)*($F150-$E150-$J150+1)/2)^2)/($J150*($F150-1)^3)),0)))</f>
        <v/>
      </c>
      <c r="H150" s="11">
        <f>IF($A150="","",IF($B$2="Final","Final",IF($B$2="In progress","Projected","Not started")))</f>
        <v/>
      </c>
      <c r="I150" s="11">
        <f>IF($A150="","",IF(COUNTIF(Players!$A$2:$A$500,$A150)=0,"Player is not on the Players tab",IF(COUNTIF($A$7:$A$156,$A150)&gt;1,"Player is listed twice",IF(NOT(ISNUMBER($B150)),"Enter a score",IF(COUNTIFS($D$7:$D$156,$D150,$C$7:$C$156,"Winner")&gt;1,"More than one "&amp;$D150&amp;" winner picked",IF(AND($C150="Winner",COUNTIFS($D$7:$D$156,$D150,$B$7:$B$156,"&lt;"&amp;$B150)&gt;0),"The winner doesn't have the best "&amp;$D150&amp;" score",IF(AND($B$2="Final",COUNTIFS($D$7:$D$156,$D150,$C$7:$C$156,"Winner")=0),"Final: pick the "&amp;$D150&amp;" winner",IF($B$2="Not started","Set Status to In progress to count points","OK"))))))))</f>
        <v/>
      </c>
      <c r="J150" s="11">
        <f>IF(OR($A150="",NOT(ISNUMBER($B150))),"",IF($C150="Winner",1,COUNTIFS($D$7:$D$156,$D150,$B$7:$B$156,$B150)-IF(AND(NOT($C150="Winner"),COUNTIFS($D$7:$D$156,$D150,$C$7:$C$156,"Winner",$B$7:$B$156,$B150)&gt;0),1,0)))</f>
        <v/>
      </c>
    </row>
    <row r="151">
      <c r="D151" s="11">
        <f>IF($A151="","",IFERROR(IF(VLOOKUP($A151,Players!$A$2:$B$500,2,FALSE)="","Open",VLOOKUP($A151,Players!$A$2:$B$500,2,FALSE)),"Open"))</f>
        <v/>
      </c>
      <c r="E151" s="11">
        <f>IF(OR($A151="",NOT(ISNUMBER($B151))),"",IF($C151="Winner",1,COUNTIFS($D$7:$D$156,$D151,$B$7:$B$156,"&lt;"&amp;$B151)+1+IF(AND(NOT($C151="Winner"),COUNTIFS($D$7:$D$156,$D151,$C$7:$C$156,"Winner",$B$7:$B$156,$B151)&gt;0),1,0)))</f>
        <v/>
      </c>
      <c r="F151" s="11">
        <f>IF(OR($A151="",NOT(ISNUMBER($B151))),"",COUNTIFS($D$7:$D$156,$D151,$B$7:$B$156,"&gt;0"))</f>
        <v/>
      </c>
      <c r="G151" s="11">
        <f>IF(OR(OR($A151="",NOT(ISNUMBER($B151))),$B$2="Not started"),"",IF($C151="Winner",Points!$B$3,ROUND(Points!$B$3*IF($F151&lt;=1,1,Points!$H$7+(1-Points!$H$7)*((($F151-$E151)*(($F151-$E151)+1)/2)^2-((($F151-$E151-$J151+1)-1)*($F151-$E151-$J151+1)/2)^2)/($J151*($F151-1)^3)),0)))</f>
        <v/>
      </c>
      <c r="H151" s="11">
        <f>IF($A151="","",IF($B$2="Final","Final",IF($B$2="In progress","Projected","Not started")))</f>
        <v/>
      </c>
      <c r="I151" s="11">
        <f>IF($A151="","",IF(COUNTIF(Players!$A$2:$A$500,$A151)=0,"Player is not on the Players tab",IF(COUNTIF($A$7:$A$156,$A151)&gt;1,"Player is listed twice",IF(NOT(ISNUMBER($B151)),"Enter a score",IF(COUNTIFS($D$7:$D$156,$D151,$C$7:$C$156,"Winner")&gt;1,"More than one "&amp;$D151&amp;" winner picked",IF(AND($C151="Winner",COUNTIFS($D$7:$D$156,$D151,$B$7:$B$156,"&lt;"&amp;$B151)&gt;0),"The winner doesn't have the best "&amp;$D151&amp;" score",IF(AND($B$2="Final",COUNTIFS($D$7:$D$156,$D151,$C$7:$C$156,"Winner")=0),"Final: pick the "&amp;$D151&amp;" winner",IF($B$2="Not started","Set Status to In progress to count points","OK"))))))))</f>
        <v/>
      </c>
      <c r="J151" s="11">
        <f>IF(OR($A151="",NOT(ISNUMBER($B151))),"",IF($C151="Winner",1,COUNTIFS($D$7:$D$156,$D151,$B$7:$B$156,$B151)-IF(AND(NOT($C151="Winner"),COUNTIFS($D$7:$D$156,$D151,$C$7:$C$156,"Winner",$B$7:$B$156,$B151)&gt;0),1,0)))</f>
        <v/>
      </c>
    </row>
    <row r="152">
      <c r="D152" s="11">
        <f>IF($A152="","",IFERROR(IF(VLOOKUP($A152,Players!$A$2:$B$500,2,FALSE)="","Open",VLOOKUP($A152,Players!$A$2:$B$500,2,FALSE)),"Open"))</f>
        <v/>
      </c>
      <c r="E152" s="11">
        <f>IF(OR($A152="",NOT(ISNUMBER($B152))),"",IF($C152="Winner",1,COUNTIFS($D$7:$D$156,$D152,$B$7:$B$156,"&lt;"&amp;$B152)+1+IF(AND(NOT($C152="Winner"),COUNTIFS($D$7:$D$156,$D152,$C$7:$C$156,"Winner",$B$7:$B$156,$B152)&gt;0),1,0)))</f>
        <v/>
      </c>
      <c r="F152" s="11">
        <f>IF(OR($A152="",NOT(ISNUMBER($B152))),"",COUNTIFS($D$7:$D$156,$D152,$B$7:$B$156,"&gt;0"))</f>
        <v/>
      </c>
      <c r="G152" s="11">
        <f>IF(OR(OR($A152="",NOT(ISNUMBER($B152))),$B$2="Not started"),"",IF($C152="Winner",Points!$B$3,ROUND(Points!$B$3*IF($F152&lt;=1,1,Points!$H$7+(1-Points!$H$7)*((($F152-$E152)*(($F152-$E152)+1)/2)^2-((($F152-$E152-$J152+1)-1)*($F152-$E152-$J152+1)/2)^2)/($J152*($F152-1)^3)),0)))</f>
        <v/>
      </c>
      <c r="H152" s="11">
        <f>IF($A152="","",IF($B$2="Final","Final",IF($B$2="In progress","Projected","Not started")))</f>
        <v/>
      </c>
      <c r="I152" s="11">
        <f>IF($A152="","",IF(COUNTIF(Players!$A$2:$A$500,$A152)=0,"Player is not on the Players tab",IF(COUNTIF($A$7:$A$156,$A152)&gt;1,"Player is listed twice",IF(NOT(ISNUMBER($B152)),"Enter a score",IF(COUNTIFS($D$7:$D$156,$D152,$C$7:$C$156,"Winner")&gt;1,"More than one "&amp;$D152&amp;" winner picked",IF(AND($C152="Winner",COUNTIFS($D$7:$D$156,$D152,$B$7:$B$156,"&lt;"&amp;$B152)&gt;0),"The winner doesn't have the best "&amp;$D152&amp;" score",IF(AND($B$2="Final",COUNTIFS($D$7:$D$156,$D152,$C$7:$C$156,"Winner")=0),"Final: pick the "&amp;$D152&amp;" winner",IF($B$2="Not started","Set Status to In progress to count points","OK"))))))))</f>
        <v/>
      </c>
      <c r="J152" s="11">
        <f>IF(OR($A152="",NOT(ISNUMBER($B152))),"",IF($C152="Winner",1,COUNTIFS($D$7:$D$156,$D152,$B$7:$B$156,$B152)-IF(AND(NOT($C152="Winner"),COUNTIFS($D$7:$D$156,$D152,$C$7:$C$156,"Winner",$B$7:$B$156,$B152)&gt;0),1,0)))</f>
        <v/>
      </c>
    </row>
    <row r="153">
      <c r="D153" s="11">
        <f>IF($A153="","",IFERROR(IF(VLOOKUP($A153,Players!$A$2:$B$500,2,FALSE)="","Open",VLOOKUP($A153,Players!$A$2:$B$500,2,FALSE)),"Open"))</f>
        <v/>
      </c>
      <c r="E153" s="11">
        <f>IF(OR($A153="",NOT(ISNUMBER($B153))),"",IF($C153="Winner",1,COUNTIFS($D$7:$D$156,$D153,$B$7:$B$156,"&lt;"&amp;$B153)+1+IF(AND(NOT($C153="Winner"),COUNTIFS($D$7:$D$156,$D153,$C$7:$C$156,"Winner",$B$7:$B$156,$B153)&gt;0),1,0)))</f>
        <v/>
      </c>
      <c r="F153" s="11">
        <f>IF(OR($A153="",NOT(ISNUMBER($B153))),"",COUNTIFS($D$7:$D$156,$D153,$B$7:$B$156,"&gt;0"))</f>
        <v/>
      </c>
      <c r="G153" s="11">
        <f>IF(OR(OR($A153="",NOT(ISNUMBER($B153))),$B$2="Not started"),"",IF($C153="Winner",Points!$B$3,ROUND(Points!$B$3*IF($F153&lt;=1,1,Points!$H$7+(1-Points!$H$7)*((($F153-$E153)*(($F153-$E153)+1)/2)^2-((($F153-$E153-$J153+1)-1)*($F153-$E153-$J153+1)/2)^2)/($J153*($F153-1)^3)),0)))</f>
        <v/>
      </c>
      <c r="H153" s="11">
        <f>IF($A153="","",IF($B$2="Final","Final",IF($B$2="In progress","Projected","Not started")))</f>
        <v/>
      </c>
      <c r="I153" s="11">
        <f>IF($A153="","",IF(COUNTIF(Players!$A$2:$A$500,$A153)=0,"Player is not on the Players tab",IF(COUNTIF($A$7:$A$156,$A153)&gt;1,"Player is listed twice",IF(NOT(ISNUMBER($B153)),"Enter a score",IF(COUNTIFS($D$7:$D$156,$D153,$C$7:$C$156,"Winner")&gt;1,"More than one "&amp;$D153&amp;" winner picked",IF(AND($C153="Winner",COUNTIFS($D$7:$D$156,$D153,$B$7:$B$156,"&lt;"&amp;$B153)&gt;0),"The winner doesn't have the best "&amp;$D153&amp;" score",IF(AND($B$2="Final",COUNTIFS($D$7:$D$156,$D153,$C$7:$C$156,"Winner")=0),"Final: pick the "&amp;$D153&amp;" winner",IF($B$2="Not started","Set Status to In progress to count points","OK"))))))))</f>
        <v/>
      </c>
      <c r="J153" s="11">
        <f>IF(OR($A153="",NOT(ISNUMBER($B153))),"",IF($C153="Winner",1,COUNTIFS($D$7:$D$156,$D153,$B$7:$B$156,$B153)-IF(AND(NOT($C153="Winner"),COUNTIFS($D$7:$D$156,$D153,$C$7:$C$156,"Winner",$B$7:$B$156,$B153)&gt;0),1,0)))</f>
        <v/>
      </c>
    </row>
    <row r="154">
      <c r="D154" s="11">
        <f>IF($A154="","",IFERROR(IF(VLOOKUP($A154,Players!$A$2:$B$500,2,FALSE)="","Open",VLOOKUP($A154,Players!$A$2:$B$500,2,FALSE)),"Open"))</f>
        <v/>
      </c>
      <c r="E154" s="11">
        <f>IF(OR($A154="",NOT(ISNUMBER($B154))),"",IF($C154="Winner",1,COUNTIFS($D$7:$D$156,$D154,$B$7:$B$156,"&lt;"&amp;$B154)+1+IF(AND(NOT($C154="Winner"),COUNTIFS($D$7:$D$156,$D154,$C$7:$C$156,"Winner",$B$7:$B$156,$B154)&gt;0),1,0)))</f>
        <v/>
      </c>
      <c r="F154" s="11">
        <f>IF(OR($A154="",NOT(ISNUMBER($B154))),"",COUNTIFS($D$7:$D$156,$D154,$B$7:$B$156,"&gt;0"))</f>
        <v/>
      </c>
      <c r="G154" s="11">
        <f>IF(OR(OR($A154="",NOT(ISNUMBER($B154))),$B$2="Not started"),"",IF($C154="Winner",Points!$B$3,ROUND(Points!$B$3*IF($F154&lt;=1,1,Points!$H$7+(1-Points!$H$7)*((($F154-$E154)*(($F154-$E154)+1)/2)^2-((($F154-$E154-$J154+1)-1)*($F154-$E154-$J154+1)/2)^2)/($J154*($F154-1)^3)),0)))</f>
        <v/>
      </c>
      <c r="H154" s="11">
        <f>IF($A154="","",IF($B$2="Final","Final",IF($B$2="In progress","Projected","Not started")))</f>
        <v/>
      </c>
      <c r="I154" s="11">
        <f>IF($A154="","",IF(COUNTIF(Players!$A$2:$A$500,$A154)=0,"Player is not on the Players tab",IF(COUNTIF($A$7:$A$156,$A154)&gt;1,"Player is listed twice",IF(NOT(ISNUMBER($B154)),"Enter a score",IF(COUNTIFS($D$7:$D$156,$D154,$C$7:$C$156,"Winner")&gt;1,"More than one "&amp;$D154&amp;" winner picked",IF(AND($C154="Winner",COUNTIFS($D$7:$D$156,$D154,$B$7:$B$156,"&lt;"&amp;$B154)&gt;0),"The winner doesn't have the best "&amp;$D154&amp;" score",IF(AND($B$2="Final",COUNTIFS($D$7:$D$156,$D154,$C$7:$C$156,"Winner")=0),"Final: pick the "&amp;$D154&amp;" winner",IF($B$2="Not started","Set Status to In progress to count points","OK"))))))))</f>
        <v/>
      </c>
      <c r="J154" s="11">
        <f>IF(OR($A154="",NOT(ISNUMBER($B154))),"",IF($C154="Winner",1,COUNTIFS($D$7:$D$156,$D154,$B$7:$B$156,$B154)-IF(AND(NOT($C154="Winner"),COUNTIFS($D$7:$D$156,$D154,$C$7:$C$156,"Winner",$B$7:$B$156,$B154)&gt;0),1,0)))</f>
        <v/>
      </c>
    </row>
    <row r="155">
      <c r="D155" s="11">
        <f>IF($A155="","",IFERROR(IF(VLOOKUP($A155,Players!$A$2:$B$500,2,FALSE)="","Open",VLOOKUP($A155,Players!$A$2:$B$500,2,FALSE)),"Open"))</f>
        <v/>
      </c>
      <c r="E155" s="11">
        <f>IF(OR($A155="",NOT(ISNUMBER($B155))),"",IF($C155="Winner",1,COUNTIFS($D$7:$D$156,$D155,$B$7:$B$156,"&lt;"&amp;$B155)+1+IF(AND(NOT($C155="Winner"),COUNTIFS($D$7:$D$156,$D155,$C$7:$C$156,"Winner",$B$7:$B$156,$B155)&gt;0),1,0)))</f>
        <v/>
      </c>
      <c r="F155" s="11">
        <f>IF(OR($A155="",NOT(ISNUMBER($B155))),"",COUNTIFS($D$7:$D$156,$D155,$B$7:$B$156,"&gt;0"))</f>
        <v/>
      </c>
      <c r="G155" s="11">
        <f>IF(OR(OR($A155="",NOT(ISNUMBER($B155))),$B$2="Not started"),"",IF($C155="Winner",Points!$B$3,ROUND(Points!$B$3*IF($F155&lt;=1,1,Points!$H$7+(1-Points!$H$7)*((($F155-$E155)*(($F155-$E155)+1)/2)^2-((($F155-$E155-$J155+1)-1)*($F155-$E155-$J155+1)/2)^2)/($J155*($F155-1)^3)),0)))</f>
        <v/>
      </c>
      <c r="H155" s="11">
        <f>IF($A155="","",IF($B$2="Final","Final",IF($B$2="In progress","Projected","Not started")))</f>
        <v/>
      </c>
      <c r="I155" s="11">
        <f>IF($A155="","",IF(COUNTIF(Players!$A$2:$A$500,$A155)=0,"Player is not on the Players tab",IF(COUNTIF($A$7:$A$156,$A155)&gt;1,"Player is listed twice",IF(NOT(ISNUMBER($B155)),"Enter a score",IF(COUNTIFS($D$7:$D$156,$D155,$C$7:$C$156,"Winner")&gt;1,"More than one "&amp;$D155&amp;" winner picked",IF(AND($C155="Winner",COUNTIFS($D$7:$D$156,$D155,$B$7:$B$156,"&lt;"&amp;$B155)&gt;0),"The winner doesn't have the best "&amp;$D155&amp;" score",IF(AND($B$2="Final",COUNTIFS($D$7:$D$156,$D155,$C$7:$C$156,"Winner")=0),"Final: pick the "&amp;$D155&amp;" winner",IF($B$2="Not started","Set Status to In progress to count points","OK"))))))))</f>
        <v/>
      </c>
      <c r="J155" s="11">
        <f>IF(OR($A155="",NOT(ISNUMBER($B155))),"",IF($C155="Winner",1,COUNTIFS($D$7:$D$156,$D155,$B$7:$B$156,$B155)-IF(AND(NOT($C155="Winner"),COUNTIFS($D$7:$D$156,$D155,$C$7:$C$156,"Winner",$B$7:$B$156,$B155)&gt;0),1,0)))</f>
        <v/>
      </c>
    </row>
    <row r="156">
      <c r="D156" s="11">
        <f>IF($A156="","",IFERROR(IF(VLOOKUP($A156,Players!$A$2:$B$500,2,FALSE)="","Open",VLOOKUP($A156,Players!$A$2:$B$500,2,FALSE)),"Open"))</f>
        <v/>
      </c>
      <c r="E156" s="11">
        <f>IF(OR($A156="",NOT(ISNUMBER($B156))),"",IF($C156="Winner",1,COUNTIFS($D$7:$D$156,$D156,$B$7:$B$156,"&lt;"&amp;$B156)+1+IF(AND(NOT($C156="Winner"),COUNTIFS($D$7:$D$156,$D156,$C$7:$C$156,"Winner",$B$7:$B$156,$B156)&gt;0),1,0)))</f>
        <v/>
      </c>
      <c r="F156" s="11">
        <f>IF(OR($A156="",NOT(ISNUMBER($B156))),"",COUNTIFS($D$7:$D$156,$D156,$B$7:$B$156,"&gt;0"))</f>
        <v/>
      </c>
      <c r="G156" s="11">
        <f>IF(OR(OR($A156="",NOT(ISNUMBER($B156))),$B$2="Not started"),"",IF($C156="Winner",Points!$B$3,ROUND(Points!$B$3*IF($F156&lt;=1,1,Points!$H$7+(1-Points!$H$7)*((($F156-$E156)*(($F156-$E156)+1)/2)^2-((($F156-$E156-$J156+1)-1)*($F156-$E156-$J156+1)/2)^2)/($J156*($F156-1)^3)),0)))</f>
        <v/>
      </c>
      <c r="H156" s="11">
        <f>IF($A156="","",IF($B$2="Final","Final",IF($B$2="In progress","Projected","Not started")))</f>
        <v/>
      </c>
      <c r="I156" s="11">
        <f>IF($A156="","",IF(COUNTIF(Players!$A$2:$A$500,$A156)=0,"Player is not on the Players tab",IF(COUNTIF($A$7:$A$156,$A156)&gt;1,"Player is listed twice",IF(NOT(ISNUMBER($B156)),"Enter a score",IF(COUNTIFS($D$7:$D$156,$D156,$C$7:$C$156,"Winner")&gt;1,"More than one "&amp;$D156&amp;" winner picked",IF(AND($C156="Winner",COUNTIFS($D$7:$D$156,$D156,$B$7:$B$156,"&lt;"&amp;$B156)&gt;0),"The winner doesn't have the best "&amp;$D156&amp;" score",IF(AND($B$2="Final",COUNTIFS($D$7:$D$156,$D156,$C$7:$C$156,"Winner")=0),"Final: pick the "&amp;$D156&amp;" winner",IF($B$2="Not started","Set Status to In progress to count points","OK"))))))))</f>
        <v/>
      </c>
      <c r="J156" s="11">
        <f>IF(OR($A156="",NOT(ISNUMBER($B156))),"",IF($C156="Winner",1,COUNTIFS($D$7:$D$156,$D156,$B$7:$B$156,$B156)-IF(AND(NOT($C156="Winner"),COUNTIFS($D$7:$D$156,$D156,$C$7:$C$156,"Winner",$B$7:$B$156,$B156)&gt;0),1,0)))</f>
        <v/>
      </c>
    </row>
  </sheetData>
  <conditionalFormatting sqref="I7:I156">
    <cfRule type="expression" priority="1" dxfId="0">
      <formula>AND($I7&lt;&gt;"",$I7&lt;&gt;"OK")</formula>
    </cfRule>
  </conditionalFormatting>
  <dataValidations count="4">
    <dataValidation sqref="B2" showDropDown="0" showInputMessage="0" showErrorMessage="1" allowBlank="1" errorTitle="Not on the list" error="Pick a value from the list." type="list">
      <formula1>"Not started,In progress,Final"</formula1>
    </dataValidation>
    <dataValidation sqref="A7:A156" showDropDown="0" showInputMessage="0" showErrorMessage="1" allowBlank="1" errorTitle="Not on the list" error="Pick a player from the list. New players go on the Players tab first." type="list">
      <formula1>Players!$A$2:$A$500</formula1>
    </dataValidation>
    <dataValidation sqref="B7:B156" showDropDown="0" showInputMessage="0" showErrorMessage="1" allowBlank="1" errorTitle="Strokes only" error="Enter the score in strokes, for example 72." type="whole" operator="between">
      <formula1>1</formula1>
      <formula2>200</formula2>
    </dataValidation>
    <dataValidation sqref="C7:C156" showDropDown="0" showInputMessage="0" showErrorMessage="1" allowBlank="1" errorTitle="Not on the list" error="Pick Winner, or leave it blank." type="list">
      <formula1>"Winner"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56"/>
  <sheetViews>
    <sheetView workbookViewId="0">
      <pane ySplit="6" topLeftCell="A7" activePane="bottomLeft" state="frozen"/>
      <selection pane="bottomLeft" activeCell="A1" sqref="A1"/>
    </sheetView>
  </sheetViews>
  <sheetFormatPr baseColWidth="8" defaultRowHeight="15"/>
  <cols>
    <col width="24" customWidth="1" min="1" max="1"/>
    <col width="12" customWidth="1" min="2" max="2"/>
    <col width="10" customWidth="1" min="3" max="3"/>
    <col width="10" customWidth="1" min="4" max="4"/>
    <col width="8" customWidth="1" min="5" max="5"/>
    <col width="8" customWidth="1" min="6" max="6"/>
    <col width="9" customWidth="1" min="7" max="7"/>
    <col width="11" customWidth="1" min="8" max="8"/>
    <col width="40" customWidth="1" min="9" max="9"/>
    <col hidden="1" width="6" customWidth="1" min="10" max="10"/>
  </cols>
  <sheetData>
    <row r="1">
      <c r="A1" s="7" t="inlineStr">
        <is>
          <t>PGA Championship</t>
        </is>
      </c>
      <c r="D1" s="6" t="inlineStr">
        <is>
          <t>One row per player. Enter their best score so far in strokes; type over it when they beat it.</t>
        </is>
      </c>
    </row>
    <row r="2">
      <c r="A2" s="5" t="inlineStr">
        <is>
          <t>Status</t>
        </is>
      </c>
      <c r="B2" s="8" t="inlineStr">
        <is>
          <t>Not started</t>
        </is>
      </c>
      <c r="C2" s="6" t="inlineStr">
        <is>
          <t>In progress: points are projected from the leaderboard. Final: points are official and the scores lock.</t>
        </is>
      </c>
    </row>
    <row r="3">
      <c r="A3" s="5" t="inlineStr">
        <is>
          <t>End date</t>
        </is>
      </c>
      <c r="B3" s="9" t="n"/>
    </row>
    <row r="4">
      <c r="A4" s="6" t="inlineStr">
        <is>
          <t>Division comes from the Players tab. Open and Senior are ranked separately. Pick one Winner per division; anyone tied with the winner is scored from 2nd place down.</t>
        </is>
      </c>
    </row>
    <row r="6" ht="30" customHeight="1">
      <c r="A6" s="4" t="inlineStr">
        <is>
          <t>Player</t>
        </is>
      </c>
      <c r="B6" s="4" t="inlineStr">
        <is>
          <t>Best Score (strokes)</t>
        </is>
      </c>
      <c r="C6" s="4" t="inlineStr">
        <is>
          <t>Winner</t>
        </is>
      </c>
      <c r="D6" s="10" t="inlineStr">
        <is>
          <t>Division</t>
        </is>
      </c>
      <c r="E6" s="10" t="inlineStr">
        <is>
          <t>Rank</t>
        </is>
      </c>
      <c r="F6" s="10" t="inlineStr">
        <is>
          <t>Field</t>
        </is>
      </c>
      <c r="G6" s="10" t="inlineStr">
        <is>
          <t>Points</t>
        </is>
      </c>
      <c r="H6" s="10" t="inlineStr">
        <is>
          <t>Status</t>
        </is>
      </c>
      <c r="I6" s="10" t="inlineStr">
        <is>
          <t>Check</t>
        </is>
      </c>
      <c r="J6" s="10" t="inlineStr">
        <is>
          <t>Tied</t>
        </is>
      </c>
    </row>
    <row r="7">
      <c r="D7" s="11">
        <f>IF($A7="","",IFERROR(IF(VLOOKUP($A7,Players!$A$2:$B$500,2,FALSE)="","Open",VLOOKUP($A7,Players!$A$2:$B$500,2,FALSE)),"Open"))</f>
        <v/>
      </c>
      <c r="E7" s="11">
        <f>IF(OR($A7="",NOT(ISNUMBER($B7))),"",IF($C7="Winner",1,COUNTIFS($D$7:$D$156,$D7,$B$7:$B$156,"&lt;"&amp;$B7)+1+IF(AND(NOT($C7="Winner"),COUNTIFS($D$7:$D$156,$D7,$C$7:$C$156,"Winner",$B$7:$B$156,$B7)&gt;0),1,0)))</f>
        <v/>
      </c>
      <c r="F7" s="11">
        <f>IF(OR($A7="",NOT(ISNUMBER($B7))),"",COUNTIFS($D$7:$D$156,$D7,$B$7:$B$156,"&gt;0"))</f>
        <v/>
      </c>
      <c r="G7" s="11">
        <f>IF(OR(OR($A7="",NOT(ISNUMBER($B7))),$B$2="Not started"),"",IF($C7="Winner",Points!$B$3,ROUND(Points!$B$3*IF($F7&lt;=1,1,Points!$H$7+(1-Points!$H$7)*((($F7-$E7)*(($F7-$E7)+1)/2)^2-((($F7-$E7-$J7+1)-1)*($F7-$E7-$J7+1)/2)^2)/($J7*($F7-1)^3)),0)))</f>
        <v/>
      </c>
      <c r="H7" s="11">
        <f>IF($A7="","",IF($B$2="Final","Final",IF($B$2="In progress","Projected","Not started")))</f>
        <v/>
      </c>
      <c r="I7" s="11">
        <f>IF($A7="","",IF(COUNTIF(Players!$A$2:$A$500,$A7)=0,"Player is not on the Players tab",IF(COUNTIF($A$7:$A$156,$A7)&gt;1,"Player is listed twice",IF(NOT(ISNUMBER($B7)),"Enter a score",IF(COUNTIFS($D$7:$D$156,$D7,$C$7:$C$156,"Winner")&gt;1,"More than one "&amp;$D7&amp;" winner picked",IF(AND($C7="Winner",COUNTIFS($D$7:$D$156,$D7,$B$7:$B$156,"&lt;"&amp;$B7)&gt;0),"The winner doesn't have the best "&amp;$D7&amp;" score",IF(AND($B$2="Final",COUNTIFS($D$7:$D$156,$D7,$C$7:$C$156,"Winner")=0),"Final: pick the "&amp;$D7&amp;" winner",IF($B$2="Not started","Set Status to In progress to count points","OK"))))))))</f>
        <v/>
      </c>
      <c r="J7" s="11">
        <f>IF(OR($A7="",NOT(ISNUMBER($B7))),"",IF($C7="Winner",1,COUNTIFS($D$7:$D$156,$D7,$B$7:$B$156,$B7)-IF(AND(NOT($C7="Winner"),COUNTIFS($D$7:$D$156,$D7,$C$7:$C$156,"Winner",$B$7:$B$156,$B7)&gt;0),1,0)))</f>
        <v/>
      </c>
    </row>
    <row r="8">
      <c r="D8" s="11">
        <f>IF($A8="","",IFERROR(IF(VLOOKUP($A8,Players!$A$2:$B$500,2,FALSE)="","Open",VLOOKUP($A8,Players!$A$2:$B$500,2,FALSE)),"Open"))</f>
        <v/>
      </c>
      <c r="E8" s="11">
        <f>IF(OR($A8="",NOT(ISNUMBER($B8))),"",IF($C8="Winner",1,COUNTIFS($D$7:$D$156,$D8,$B$7:$B$156,"&lt;"&amp;$B8)+1+IF(AND(NOT($C8="Winner"),COUNTIFS($D$7:$D$156,$D8,$C$7:$C$156,"Winner",$B$7:$B$156,$B8)&gt;0),1,0)))</f>
        <v/>
      </c>
      <c r="F8" s="11">
        <f>IF(OR($A8="",NOT(ISNUMBER($B8))),"",COUNTIFS($D$7:$D$156,$D8,$B$7:$B$156,"&gt;0"))</f>
        <v/>
      </c>
      <c r="G8" s="11">
        <f>IF(OR(OR($A8="",NOT(ISNUMBER($B8))),$B$2="Not started"),"",IF($C8="Winner",Points!$B$3,ROUND(Points!$B$3*IF($F8&lt;=1,1,Points!$H$7+(1-Points!$H$7)*((($F8-$E8)*(($F8-$E8)+1)/2)^2-((($F8-$E8-$J8+1)-1)*($F8-$E8-$J8+1)/2)^2)/($J8*($F8-1)^3)),0)))</f>
        <v/>
      </c>
      <c r="H8" s="11">
        <f>IF($A8="","",IF($B$2="Final","Final",IF($B$2="In progress","Projected","Not started")))</f>
        <v/>
      </c>
      <c r="I8" s="11">
        <f>IF($A8="","",IF(COUNTIF(Players!$A$2:$A$500,$A8)=0,"Player is not on the Players tab",IF(COUNTIF($A$7:$A$156,$A8)&gt;1,"Player is listed twice",IF(NOT(ISNUMBER($B8)),"Enter a score",IF(COUNTIFS($D$7:$D$156,$D8,$C$7:$C$156,"Winner")&gt;1,"More than one "&amp;$D8&amp;" winner picked",IF(AND($C8="Winner",COUNTIFS($D$7:$D$156,$D8,$B$7:$B$156,"&lt;"&amp;$B8)&gt;0),"The winner doesn't have the best "&amp;$D8&amp;" score",IF(AND($B$2="Final",COUNTIFS($D$7:$D$156,$D8,$C$7:$C$156,"Winner")=0),"Final: pick the "&amp;$D8&amp;" winner",IF($B$2="Not started","Set Status to In progress to count points","OK"))))))))</f>
        <v/>
      </c>
      <c r="J8" s="11">
        <f>IF(OR($A8="",NOT(ISNUMBER($B8))),"",IF($C8="Winner",1,COUNTIFS($D$7:$D$156,$D8,$B$7:$B$156,$B8)-IF(AND(NOT($C8="Winner"),COUNTIFS($D$7:$D$156,$D8,$C$7:$C$156,"Winner",$B$7:$B$156,$B8)&gt;0),1,0)))</f>
        <v/>
      </c>
    </row>
    <row r="9">
      <c r="D9" s="11">
        <f>IF($A9="","",IFERROR(IF(VLOOKUP($A9,Players!$A$2:$B$500,2,FALSE)="","Open",VLOOKUP($A9,Players!$A$2:$B$500,2,FALSE)),"Open"))</f>
        <v/>
      </c>
      <c r="E9" s="11">
        <f>IF(OR($A9="",NOT(ISNUMBER($B9))),"",IF($C9="Winner",1,COUNTIFS($D$7:$D$156,$D9,$B$7:$B$156,"&lt;"&amp;$B9)+1+IF(AND(NOT($C9="Winner"),COUNTIFS($D$7:$D$156,$D9,$C$7:$C$156,"Winner",$B$7:$B$156,$B9)&gt;0),1,0)))</f>
        <v/>
      </c>
      <c r="F9" s="11">
        <f>IF(OR($A9="",NOT(ISNUMBER($B9))),"",COUNTIFS($D$7:$D$156,$D9,$B$7:$B$156,"&gt;0"))</f>
        <v/>
      </c>
      <c r="G9" s="11">
        <f>IF(OR(OR($A9="",NOT(ISNUMBER($B9))),$B$2="Not started"),"",IF($C9="Winner",Points!$B$3,ROUND(Points!$B$3*IF($F9&lt;=1,1,Points!$H$7+(1-Points!$H$7)*((($F9-$E9)*(($F9-$E9)+1)/2)^2-((($F9-$E9-$J9+1)-1)*($F9-$E9-$J9+1)/2)^2)/($J9*($F9-1)^3)),0)))</f>
        <v/>
      </c>
      <c r="H9" s="11">
        <f>IF($A9="","",IF($B$2="Final","Final",IF($B$2="In progress","Projected","Not started")))</f>
        <v/>
      </c>
      <c r="I9" s="11">
        <f>IF($A9="","",IF(COUNTIF(Players!$A$2:$A$500,$A9)=0,"Player is not on the Players tab",IF(COUNTIF($A$7:$A$156,$A9)&gt;1,"Player is listed twice",IF(NOT(ISNUMBER($B9)),"Enter a score",IF(COUNTIFS($D$7:$D$156,$D9,$C$7:$C$156,"Winner")&gt;1,"More than one "&amp;$D9&amp;" winner picked",IF(AND($C9="Winner",COUNTIFS($D$7:$D$156,$D9,$B$7:$B$156,"&lt;"&amp;$B9)&gt;0),"The winner doesn't have the best "&amp;$D9&amp;" score",IF(AND($B$2="Final",COUNTIFS($D$7:$D$156,$D9,$C$7:$C$156,"Winner")=0),"Final: pick the "&amp;$D9&amp;" winner",IF($B$2="Not started","Set Status to In progress to count points","OK"))))))))</f>
        <v/>
      </c>
      <c r="J9" s="11">
        <f>IF(OR($A9="",NOT(ISNUMBER($B9))),"",IF($C9="Winner",1,COUNTIFS($D$7:$D$156,$D9,$B$7:$B$156,$B9)-IF(AND(NOT($C9="Winner"),COUNTIFS($D$7:$D$156,$D9,$C$7:$C$156,"Winner",$B$7:$B$156,$B9)&gt;0),1,0)))</f>
        <v/>
      </c>
    </row>
    <row r="10">
      <c r="D10" s="11">
        <f>IF($A10="","",IFERROR(IF(VLOOKUP($A10,Players!$A$2:$B$500,2,FALSE)="","Open",VLOOKUP($A10,Players!$A$2:$B$500,2,FALSE)),"Open"))</f>
        <v/>
      </c>
      <c r="E10" s="11">
        <f>IF(OR($A10="",NOT(ISNUMBER($B10))),"",IF($C10="Winner",1,COUNTIFS($D$7:$D$156,$D10,$B$7:$B$156,"&lt;"&amp;$B10)+1+IF(AND(NOT($C10="Winner"),COUNTIFS($D$7:$D$156,$D10,$C$7:$C$156,"Winner",$B$7:$B$156,$B10)&gt;0),1,0)))</f>
        <v/>
      </c>
      <c r="F10" s="11">
        <f>IF(OR($A10="",NOT(ISNUMBER($B10))),"",COUNTIFS($D$7:$D$156,$D10,$B$7:$B$156,"&gt;0"))</f>
        <v/>
      </c>
      <c r="G10" s="11">
        <f>IF(OR(OR($A10="",NOT(ISNUMBER($B10))),$B$2="Not started"),"",IF($C10="Winner",Points!$B$3,ROUND(Points!$B$3*IF($F10&lt;=1,1,Points!$H$7+(1-Points!$H$7)*((($F10-$E10)*(($F10-$E10)+1)/2)^2-((($F10-$E10-$J10+1)-1)*($F10-$E10-$J10+1)/2)^2)/($J10*($F10-1)^3)),0)))</f>
        <v/>
      </c>
      <c r="H10" s="11">
        <f>IF($A10="","",IF($B$2="Final","Final",IF($B$2="In progress","Projected","Not started")))</f>
        <v/>
      </c>
      <c r="I10" s="11">
        <f>IF($A10="","",IF(COUNTIF(Players!$A$2:$A$500,$A10)=0,"Player is not on the Players tab",IF(COUNTIF($A$7:$A$156,$A10)&gt;1,"Player is listed twice",IF(NOT(ISNUMBER($B10)),"Enter a score",IF(COUNTIFS($D$7:$D$156,$D10,$C$7:$C$156,"Winner")&gt;1,"More than one "&amp;$D10&amp;" winner picked",IF(AND($C10="Winner",COUNTIFS($D$7:$D$156,$D10,$B$7:$B$156,"&lt;"&amp;$B10)&gt;0),"The winner doesn't have the best "&amp;$D10&amp;" score",IF(AND($B$2="Final",COUNTIFS($D$7:$D$156,$D10,$C$7:$C$156,"Winner")=0),"Final: pick the "&amp;$D10&amp;" winner",IF($B$2="Not started","Set Status to In progress to count points","OK"))))))))</f>
        <v/>
      </c>
      <c r="J10" s="11">
        <f>IF(OR($A10="",NOT(ISNUMBER($B10))),"",IF($C10="Winner",1,COUNTIFS($D$7:$D$156,$D10,$B$7:$B$156,$B10)-IF(AND(NOT($C10="Winner"),COUNTIFS($D$7:$D$156,$D10,$C$7:$C$156,"Winner",$B$7:$B$156,$B10)&gt;0),1,0)))</f>
        <v/>
      </c>
    </row>
    <row r="11">
      <c r="D11" s="11">
        <f>IF($A11="","",IFERROR(IF(VLOOKUP($A11,Players!$A$2:$B$500,2,FALSE)="","Open",VLOOKUP($A11,Players!$A$2:$B$500,2,FALSE)),"Open"))</f>
        <v/>
      </c>
      <c r="E11" s="11">
        <f>IF(OR($A11="",NOT(ISNUMBER($B11))),"",IF($C11="Winner",1,COUNTIFS($D$7:$D$156,$D11,$B$7:$B$156,"&lt;"&amp;$B11)+1+IF(AND(NOT($C11="Winner"),COUNTIFS($D$7:$D$156,$D11,$C$7:$C$156,"Winner",$B$7:$B$156,$B11)&gt;0),1,0)))</f>
        <v/>
      </c>
      <c r="F11" s="11">
        <f>IF(OR($A11="",NOT(ISNUMBER($B11))),"",COUNTIFS($D$7:$D$156,$D11,$B$7:$B$156,"&gt;0"))</f>
        <v/>
      </c>
      <c r="G11" s="11">
        <f>IF(OR(OR($A11="",NOT(ISNUMBER($B11))),$B$2="Not started"),"",IF($C11="Winner",Points!$B$3,ROUND(Points!$B$3*IF($F11&lt;=1,1,Points!$H$7+(1-Points!$H$7)*((($F11-$E11)*(($F11-$E11)+1)/2)^2-((($F11-$E11-$J11+1)-1)*($F11-$E11-$J11+1)/2)^2)/($J11*($F11-1)^3)),0)))</f>
        <v/>
      </c>
      <c r="H11" s="11">
        <f>IF($A11="","",IF($B$2="Final","Final",IF($B$2="In progress","Projected","Not started")))</f>
        <v/>
      </c>
      <c r="I11" s="11">
        <f>IF($A11="","",IF(COUNTIF(Players!$A$2:$A$500,$A11)=0,"Player is not on the Players tab",IF(COUNTIF($A$7:$A$156,$A11)&gt;1,"Player is listed twice",IF(NOT(ISNUMBER($B11)),"Enter a score",IF(COUNTIFS($D$7:$D$156,$D11,$C$7:$C$156,"Winner")&gt;1,"More than one "&amp;$D11&amp;" winner picked",IF(AND($C11="Winner",COUNTIFS($D$7:$D$156,$D11,$B$7:$B$156,"&lt;"&amp;$B11)&gt;0),"The winner doesn't have the best "&amp;$D11&amp;" score",IF(AND($B$2="Final",COUNTIFS($D$7:$D$156,$D11,$C$7:$C$156,"Winner")=0),"Final: pick the "&amp;$D11&amp;" winner",IF($B$2="Not started","Set Status to In progress to count points","OK"))))))))</f>
        <v/>
      </c>
      <c r="J11" s="11">
        <f>IF(OR($A11="",NOT(ISNUMBER($B11))),"",IF($C11="Winner",1,COUNTIFS($D$7:$D$156,$D11,$B$7:$B$156,$B11)-IF(AND(NOT($C11="Winner"),COUNTIFS($D$7:$D$156,$D11,$C$7:$C$156,"Winner",$B$7:$B$156,$B11)&gt;0),1,0)))</f>
        <v/>
      </c>
    </row>
    <row r="12">
      <c r="D12" s="11">
        <f>IF($A12="","",IFERROR(IF(VLOOKUP($A12,Players!$A$2:$B$500,2,FALSE)="","Open",VLOOKUP($A12,Players!$A$2:$B$500,2,FALSE)),"Open"))</f>
        <v/>
      </c>
      <c r="E12" s="11">
        <f>IF(OR($A12="",NOT(ISNUMBER($B12))),"",IF($C12="Winner",1,COUNTIFS($D$7:$D$156,$D12,$B$7:$B$156,"&lt;"&amp;$B12)+1+IF(AND(NOT($C12="Winner"),COUNTIFS($D$7:$D$156,$D12,$C$7:$C$156,"Winner",$B$7:$B$156,$B12)&gt;0),1,0)))</f>
        <v/>
      </c>
      <c r="F12" s="11">
        <f>IF(OR($A12="",NOT(ISNUMBER($B12))),"",COUNTIFS($D$7:$D$156,$D12,$B$7:$B$156,"&gt;0"))</f>
        <v/>
      </c>
      <c r="G12" s="11">
        <f>IF(OR(OR($A12="",NOT(ISNUMBER($B12))),$B$2="Not started"),"",IF($C12="Winner",Points!$B$3,ROUND(Points!$B$3*IF($F12&lt;=1,1,Points!$H$7+(1-Points!$H$7)*((($F12-$E12)*(($F12-$E12)+1)/2)^2-((($F12-$E12-$J12+1)-1)*($F12-$E12-$J12+1)/2)^2)/($J12*($F12-1)^3)),0)))</f>
        <v/>
      </c>
      <c r="H12" s="11">
        <f>IF($A12="","",IF($B$2="Final","Final",IF($B$2="In progress","Projected","Not started")))</f>
        <v/>
      </c>
      <c r="I12" s="11">
        <f>IF($A12="","",IF(COUNTIF(Players!$A$2:$A$500,$A12)=0,"Player is not on the Players tab",IF(COUNTIF($A$7:$A$156,$A12)&gt;1,"Player is listed twice",IF(NOT(ISNUMBER($B12)),"Enter a score",IF(COUNTIFS($D$7:$D$156,$D12,$C$7:$C$156,"Winner")&gt;1,"More than one "&amp;$D12&amp;" winner picked",IF(AND($C12="Winner",COUNTIFS($D$7:$D$156,$D12,$B$7:$B$156,"&lt;"&amp;$B12)&gt;0),"The winner doesn't have the best "&amp;$D12&amp;" score",IF(AND($B$2="Final",COUNTIFS($D$7:$D$156,$D12,$C$7:$C$156,"Winner")=0),"Final: pick the "&amp;$D12&amp;" winner",IF($B$2="Not started","Set Status to In progress to count points","OK"))))))))</f>
        <v/>
      </c>
      <c r="J12" s="11">
        <f>IF(OR($A12="",NOT(ISNUMBER($B12))),"",IF($C12="Winner",1,COUNTIFS($D$7:$D$156,$D12,$B$7:$B$156,$B12)-IF(AND(NOT($C12="Winner"),COUNTIFS($D$7:$D$156,$D12,$C$7:$C$156,"Winner",$B$7:$B$156,$B12)&gt;0),1,0)))</f>
        <v/>
      </c>
    </row>
    <row r="13">
      <c r="D13" s="11">
        <f>IF($A13="","",IFERROR(IF(VLOOKUP($A13,Players!$A$2:$B$500,2,FALSE)="","Open",VLOOKUP($A13,Players!$A$2:$B$500,2,FALSE)),"Open"))</f>
        <v/>
      </c>
      <c r="E13" s="11">
        <f>IF(OR($A13="",NOT(ISNUMBER($B13))),"",IF($C13="Winner",1,COUNTIFS($D$7:$D$156,$D13,$B$7:$B$156,"&lt;"&amp;$B13)+1+IF(AND(NOT($C13="Winner"),COUNTIFS($D$7:$D$156,$D13,$C$7:$C$156,"Winner",$B$7:$B$156,$B13)&gt;0),1,0)))</f>
        <v/>
      </c>
      <c r="F13" s="11">
        <f>IF(OR($A13="",NOT(ISNUMBER($B13))),"",COUNTIFS($D$7:$D$156,$D13,$B$7:$B$156,"&gt;0"))</f>
        <v/>
      </c>
      <c r="G13" s="11">
        <f>IF(OR(OR($A13="",NOT(ISNUMBER($B13))),$B$2="Not started"),"",IF($C13="Winner",Points!$B$3,ROUND(Points!$B$3*IF($F13&lt;=1,1,Points!$H$7+(1-Points!$H$7)*((($F13-$E13)*(($F13-$E13)+1)/2)^2-((($F13-$E13-$J13+1)-1)*($F13-$E13-$J13+1)/2)^2)/($J13*($F13-1)^3)),0)))</f>
        <v/>
      </c>
      <c r="H13" s="11">
        <f>IF($A13="","",IF($B$2="Final","Final",IF($B$2="In progress","Projected","Not started")))</f>
        <v/>
      </c>
      <c r="I13" s="11">
        <f>IF($A13="","",IF(COUNTIF(Players!$A$2:$A$500,$A13)=0,"Player is not on the Players tab",IF(COUNTIF($A$7:$A$156,$A13)&gt;1,"Player is listed twice",IF(NOT(ISNUMBER($B13)),"Enter a score",IF(COUNTIFS($D$7:$D$156,$D13,$C$7:$C$156,"Winner")&gt;1,"More than one "&amp;$D13&amp;" winner picked",IF(AND($C13="Winner",COUNTIFS($D$7:$D$156,$D13,$B$7:$B$156,"&lt;"&amp;$B13)&gt;0),"The winner doesn't have the best "&amp;$D13&amp;" score",IF(AND($B$2="Final",COUNTIFS($D$7:$D$156,$D13,$C$7:$C$156,"Winner")=0),"Final: pick the "&amp;$D13&amp;" winner",IF($B$2="Not started","Set Status to In progress to count points","OK"))))))))</f>
        <v/>
      </c>
      <c r="J13" s="11">
        <f>IF(OR($A13="",NOT(ISNUMBER($B13))),"",IF($C13="Winner",1,COUNTIFS($D$7:$D$156,$D13,$B$7:$B$156,$B13)-IF(AND(NOT($C13="Winner"),COUNTIFS($D$7:$D$156,$D13,$C$7:$C$156,"Winner",$B$7:$B$156,$B13)&gt;0),1,0)))</f>
        <v/>
      </c>
    </row>
    <row r="14">
      <c r="D14" s="11">
        <f>IF($A14="","",IFERROR(IF(VLOOKUP($A14,Players!$A$2:$B$500,2,FALSE)="","Open",VLOOKUP($A14,Players!$A$2:$B$500,2,FALSE)),"Open"))</f>
        <v/>
      </c>
      <c r="E14" s="11">
        <f>IF(OR($A14="",NOT(ISNUMBER($B14))),"",IF($C14="Winner",1,COUNTIFS($D$7:$D$156,$D14,$B$7:$B$156,"&lt;"&amp;$B14)+1+IF(AND(NOT($C14="Winner"),COUNTIFS($D$7:$D$156,$D14,$C$7:$C$156,"Winner",$B$7:$B$156,$B14)&gt;0),1,0)))</f>
        <v/>
      </c>
      <c r="F14" s="11">
        <f>IF(OR($A14="",NOT(ISNUMBER($B14))),"",COUNTIFS($D$7:$D$156,$D14,$B$7:$B$156,"&gt;0"))</f>
        <v/>
      </c>
      <c r="G14" s="11">
        <f>IF(OR(OR($A14="",NOT(ISNUMBER($B14))),$B$2="Not started"),"",IF($C14="Winner",Points!$B$3,ROUND(Points!$B$3*IF($F14&lt;=1,1,Points!$H$7+(1-Points!$H$7)*((($F14-$E14)*(($F14-$E14)+1)/2)^2-((($F14-$E14-$J14+1)-1)*($F14-$E14-$J14+1)/2)^2)/($J14*($F14-1)^3)),0)))</f>
        <v/>
      </c>
      <c r="H14" s="11">
        <f>IF($A14="","",IF($B$2="Final","Final",IF($B$2="In progress","Projected","Not started")))</f>
        <v/>
      </c>
      <c r="I14" s="11">
        <f>IF($A14="","",IF(COUNTIF(Players!$A$2:$A$500,$A14)=0,"Player is not on the Players tab",IF(COUNTIF($A$7:$A$156,$A14)&gt;1,"Player is listed twice",IF(NOT(ISNUMBER($B14)),"Enter a score",IF(COUNTIFS($D$7:$D$156,$D14,$C$7:$C$156,"Winner")&gt;1,"More than one "&amp;$D14&amp;" winner picked",IF(AND($C14="Winner",COUNTIFS($D$7:$D$156,$D14,$B$7:$B$156,"&lt;"&amp;$B14)&gt;0),"The winner doesn't have the best "&amp;$D14&amp;" score",IF(AND($B$2="Final",COUNTIFS($D$7:$D$156,$D14,$C$7:$C$156,"Winner")=0),"Final: pick the "&amp;$D14&amp;" winner",IF($B$2="Not started","Set Status to In progress to count points","OK"))))))))</f>
        <v/>
      </c>
      <c r="J14" s="11">
        <f>IF(OR($A14="",NOT(ISNUMBER($B14))),"",IF($C14="Winner",1,COUNTIFS($D$7:$D$156,$D14,$B$7:$B$156,$B14)-IF(AND(NOT($C14="Winner"),COUNTIFS($D$7:$D$156,$D14,$C$7:$C$156,"Winner",$B$7:$B$156,$B14)&gt;0),1,0)))</f>
        <v/>
      </c>
    </row>
    <row r="15">
      <c r="D15" s="11">
        <f>IF($A15="","",IFERROR(IF(VLOOKUP($A15,Players!$A$2:$B$500,2,FALSE)="","Open",VLOOKUP($A15,Players!$A$2:$B$500,2,FALSE)),"Open"))</f>
        <v/>
      </c>
      <c r="E15" s="11">
        <f>IF(OR($A15="",NOT(ISNUMBER($B15))),"",IF($C15="Winner",1,COUNTIFS($D$7:$D$156,$D15,$B$7:$B$156,"&lt;"&amp;$B15)+1+IF(AND(NOT($C15="Winner"),COUNTIFS($D$7:$D$156,$D15,$C$7:$C$156,"Winner",$B$7:$B$156,$B15)&gt;0),1,0)))</f>
        <v/>
      </c>
      <c r="F15" s="11">
        <f>IF(OR($A15="",NOT(ISNUMBER($B15))),"",COUNTIFS($D$7:$D$156,$D15,$B$7:$B$156,"&gt;0"))</f>
        <v/>
      </c>
      <c r="G15" s="11">
        <f>IF(OR(OR($A15="",NOT(ISNUMBER($B15))),$B$2="Not started"),"",IF($C15="Winner",Points!$B$3,ROUND(Points!$B$3*IF($F15&lt;=1,1,Points!$H$7+(1-Points!$H$7)*((($F15-$E15)*(($F15-$E15)+1)/2)^2-((($F15-$E15-$J15+1)-1)*($F15-$E15-$J15+1)/2)^2)/($J15*($F15-1)^3)),0)))</f>
        <v/>
      </c>
      <c r="H15" s="11">
        <f>IF($A15="","",IF($B$2="Final","Final",IF($B$2="In progress","Projected","Not started")))</f>
        <v/>
      </c>
      <c r="I15" s="11">
        <f>IF($A15="","",IF(COUNTIF(Players!$A$2:$A$500,$A15)=0,"Player is not on the Players tab",IF(COUNTIF($A$7:$A$156,$A15)&gt;1,"Player is listed twice",IF(NOT(ISNUMBER($B15)),"Enter a score",IF(COUNTIFS($D$7:$D$156,$D15,$C$7:$C$156,"Winner")&gt;1,"More than one "&amp;$D15&amp;" winner picked",IF(AND($C15="Winner",COUNTIFS($D$7:$D$156,$D15,$B$7:$B$156,"&lt;"&amp;$B15)&gt;0),"The winner doesn't have the best "&amp;$D15&amp;" score",IF(AND($B$2="Final",COUNTIFS($D$7:$D$156,$D15,$C$7:$C$156,"Winner")=0),"Final: pick the "&amp;$D15&amp;" winner",IF($B$2="Not started","Set Status to In progress to count points","OK"))))))))</f>
        <v/>
      </c>
      <c r="J15" s="11">
        <f>IF(OR($A15="",NOT(ISNUMBER($B15))),"",IF($C15="Winner",1,COUNTIFS($D$7:$D$156,$D15,$B$7:$B$156,$B15)-IF(AND(NOT($C15="Winner"),COUNTIFS($D$7:$D$156,$D15,$C$7:$C$156,"Winner",$B$7:$B$156,$B15)&gt;0),1,0)))</f>
        <v/>
      </c>
    </row>
    <row r="16">
      <c r="D16" s="11">
        <f>IF($A16="","",IFERROR(IF(VLOOKUP($A16,Players!$A$2:$B$500,2,FALSE)="","Open",VLOOKUP($A16,Players!$A$2:$B$500,2,FALSE)),"Open"))</f>
        <v/>
      </c>
      <c r="E16" s="11">
        <f>IF(OR($A16="",NOT(ISNUMBER($B16))),"",IF($C16="Winner",1,COUNTIFS($D$7:$D$156,$D16,$B$7:$B$156,"&lt;"&amp;$B16)+1+IF(AND(NOT($C16="Winner"),COUNTIFS($D$7:$D$156,$D16,$C$7:$C$156,"Winner",$B$7:$B$156,$B16)&gt;0),1,0)))</f>
        <v/>
      </c>
      <c r="F16" s="11">
        <f>IF(OR($A16="",NOT(ISNUMBER($B16))),"",COUNTIFS($D$7:$D$156,$D16,$B$7:$B$156,"&gt;0"))</f>
        <v/>
      </c>
      <c r="G16" s="11">
        <f>IF(OR(OR($A16="",NOT(ISNUMBER($B16))),$B$2="Not started"),"",IF($C16="Winner",Points!$B$3,ROUND(Points!$B$3*IF($F16&lt;=1,1,Points!$H$7+(1-Points!$H$7)*((($F16-$E16)*(($F16-$E16)+1)/2)^2-((($F16-$E16-$J16+1)-1)*($F16-$E16-$J16+1)/2)^2)/($J16*($F16-1)^3)),0)))</f>
        <v/>
      </c>
      <c r="H16" s="11">
        <f>IF($A16="","",IF($B$2="Final","Final",IF($B$2="In progress","Projected","Not started")))</f>
        <v/>
      </c>
      <c r="I16" s="11">
        <f>IF($A16="","",IF(COUNTIF(Players!$A$2:$A$500,$A16)=0,"Player is not on the Players tab",IF(COUNTIF($A$7:$A$156,$A16)&gt;1,"Player is listed twice",IF(NOT(ISNUMBER($B16)),"Enter a score",IF(COUNTIFS($D$7:$D$156,$D16,$C$7:$C$156,"Winner")&gt;1,"More than one "&amp;$D16&amp;" winner picked",IF(AND($C16="Winner",COUNTIFS($D$7:$D$156,$D16,$B$7:$B$156,"&lt;"&amp;$B16)&gt;0),"The winner doesn't have the best "&amp;$D16&amp;" score",IF(AND($B$2="Final",COUNTIFS($D$7:$D$156,$D16,$C$7:$C$156,"Winner")=0),"Final: pick the "&amp;$D16&amp;" winner",IF($B$2="Not started","Set Status to In progress to count points","OK"))))))))</f>
        <v/>
      </c>
      <c r="J16" s="11">
        <f>IF(OR($A16="",NOT(ISNUMBER($B16))),"",IF($C16="Winner",1,COUNTIFS($D$7:$D$156,$D16,$B$7:$B$156,$B16)-IF(AND(NOT($C16="Winner"),COUNTIFS($D$7:$D$156,$D16,$C$7:$C$156,"Winner",$B$7:$B$156,$B16)&gt;0),1,0)))</f>
        <v/>
      </c>
    </row>
    <row r="17">
      <c r="D17" s="11">
        <f>IF($A17="","",IFERROR(IF(VLOOKUP($A17,Players!$A$2:$B$500,2,FALSE)="","Open",VLOOKUP($A17,Players!$A$2:$B$500,2,FALSE)),"Open"))</f>
        <v/>
      </c>
      <c r="E17" s="11">
        <f>IF(OR($A17="",NOT(ISNUMBER($B17))),"",IF($C17="Winner",1,COUNTIFS($D$7:$D$156,$D17,$B$7:$B$156,"&lt;"&amp;$B17)+1+IF(AND(NOT($C17="Winner"),COUNTIFS($D$7:$D$156,$D17,$C$7:$C$156,"Winner",$B$7:$B$156,$B17)&gt;0),1,0)))</f>
        <v/>
      </c>
      <c r="F17" s="11">
        <f>IF(OR($A17="",NOT(ISNUMBER($B17))),"",COUNTIFS($D$7:$D$156,$D17,$B$7:$B$156,"&gt;0"))</f>
        <v/>
      </c>
      <c r="G17" s="11">
        <f>IF(OR(OR($A17="",NOT(ISNUMBER($B17))),$B$2="Not started"),"",IF($C17="Winner",Points!$B$3,ROUND(Points!$B$3*IF($F17&lt;=1,1,Points!$H$7+(1-Points!$H$7)*((($F17-$E17)*(($F17-$E17)+1)/2)^2-((($F17-$E17-$J17+1)-1)*($F17-$E17-$J17+1)/2)^2)/($J17*($F17-1)^3)),0)))</f>
        <v/>
      </c>
      <c r="H17" s="11">
        <f>IF($A17="","",IF($B$2="Final","Final",IF($B$2="In progress","Projected","Not started")))</f>
        <v/>
      </c>
      <c r="I17" s="11">
        <f>IF($A17="","",IF(COUNTIF(Players!$A$2:$A$500,$A17)=0,"Player is not on the Players tab",IF(COUNTIF($A$7:$A$156,$A17)&gt;1,"Player is listed twice",IF(NOT(ISNUMBER($B17)),"Enter a score",IF(COUNTIFS($D$7:$D$156,$D17,$C$7:$C$156,"Winner")&gt;1,"More than one "&amp;$D17&amp;" winner picked",IF(AND($C17="Winner",COUNTIFS($D$7:$D$156,$D17,$B$7:$B$156,"&lt;"&amp;$B17)&gt;0),"The winner doesn't have the best "&amp;$D17&amp;" score",IF(AND($B$2="Final",COUNTIFS($D$7:$D$156,$D17,$C$7:$C$156,"Winner")=0),"Final: pick the "&amp;$D17&amp;" winner",IF($B$2="Not started","Set Status to In progress to count points","OK"))))))))</f>
        <v/>
      </c>
      <c r="J17" s="11">
        <f>IF(OR($A17="",NOT(ISNUMBER($B17))),"",IF($C17="Winner",1,COUNTIFS($D$7:$D$156,$D17,$B$7:$B$156,$B17)-IF(AND(NOT($C17="Winner"),COUNTIFS($D$7:$D$156,$D17,$C$7:$C$156,"Winner",$B$7:$B$156,$B17)&gt;0),1,0)))</f>
        <v/>
      </c>
    </row>
    <row r="18">
      <c r="D18" s="11">
        <f>IF($A18="","",IFERROR(IF(VLOOKUP($A18,Players!$A$2:$B$500,2,FALSE)="","Open",VLOOKUP($A18,Players!$A$2:$B$500,2,FALSE)),"Open"))</f>
        <v/>
      </c>
      <c r="E18" s="11">
        <f>IF(OR($A18="",NOT(ISNUMBER($B18))),"",IF($C18="Winner",1,COUNTIFS($D$7:$D$156,$D18,$B$7:$B$156,"&lt;"&amp;$B18)+1+IF(AND(NOT($C18="Winner"),COUNTIFS($D$7:$D$156,$D18,$C$7:$C$156,"Winner",$B$7:$B$156,$B18)&gt;0),1,0)))</f>
        <v/>
      </c>
      <c r="F18" s="11">
        <f>IF(OR($A18="",NOT(ISNUMBER($B18))),"",COUNTIFS($D$7:$D$156,$D18,$B$7:$B$156,"&gt;0"))</f>
        <v/>
      </c>
      <c r="G18" s="11">
        <f>IF(OR(OR($A18="",NOT(ISNUMBER($B18))),$B$2="Not started"),"",IF($C18="Winner",Points!$B$3,ROUND(Points!$B$3*IF($F18&lt;=1,1,Points!$H$7+(1-Points!$H$7)*((($F18-$E18)*(($F18-$E18)+1)/2)^2-((($F18-$E18-$J18+1)-1)*($F18-$E18-$J18+1)/2)^2)/($J18*($F18-1)^3)),0)))</f>
        <v/>
      </c>
      <c r="H18" s="11">
        <f>IF($A18="","",IF($B$2="Final","Final",IF($B$2="In progress","Projected","Not started")))</f>
        <v/>
      </c>
      <c r="I18" s="11">
        <f>IF($A18="","",IF(COUNTIF(Players!$A$2:$A$500,$A18)=0,"Player is not on the Players tab",IF(COUNTIF($A$7:$A$156,$A18)&gt;1,"Player is listed twice",IF(NOT(ISNUMBER($B18)),"Enter a score",IF(COUNTIFS($D$7:$D$156,$D18,$C$7:$C$156,"Winner")&gt;1,"More than one "&amp;$D18&amp;" winner picked",IF(AND($C18="Winner",COUNTIFS($D$7:$D$156,$D18,$B$7:$B$156,"&lt;"&amp;$B18)&gt;0),"The winner doesn't have the best "&amp;$D18&amp;" score",IF(AND($B$2="Final",COUNTIFS($D$7:$D$156,$D18,$C$7:$C$156,"Winner")=0),"Final: pick the "&amp;$D18&amp;" winner",IF($B$2="Not started","Set Status to In progress to count points","OK"))))))))</f>
        <v/>
      </c>
      <c r="J18" s="11">
        <f>IF(OR($A18="",NOT(ISNUMBER($B18))),"",IF($C18="Winner",1,COUNTIFS($D$7:$D$156,$D18,$B$7:$B$156,$B18)-IF(AND(NOT($C18="Winner"),COUNTIFS($D$7:$D$156,$D18,$C$7:$C$156,"Winner",$B$7:$B$156,$B18)&gt;0),1,0)))</f>
        <v/>
      </c>
    </row>
    <row r="19">
      <c r="D19" s="11">
        <f>IF($A19="","",IFERROR(IF(VLOOKUP($A19,Players!$A$2:$B$500,2,FALSE)="","Open",VLOOKUP($A19,Players!$A$2:$B$500,2,FALSE)),"Open"))</f>
        <v/>
      </c>
      <c r="E19" s="11">
        <f>IF(OR($A19="",NOT(ISNUMBER($B19))),"",IF($C19="Winner",1,COUNTIFS($D$7:$D$156,$D19,$B$7:$B$156,"&lt;"&amp;$B19)+1+IF(AND(NOT($C19="Winner"),COUNTIFS($D$7:$D$156,$D19,$C$7:$C$156,"Winner",$B$7:$B$156,$B19)&gt;0),1,0)))</f>
        <v/>
      </c>
      <c r="F19" s="11">
        <f>IF(OR($A19="",NOT(ISNUMBER($B19))),"",COUNTIFS($D$7:$D$156,$D19,$B$7:$B$156,"&gt;0"))</f>
        <v/>
      </c>
      <c r="G19" s="11">
        <f>IF(OR(OR($A19="",NOT(ISNUMBER($B19))),$B$2="Not started"),"",IF($C19="Winner",Points!$B$3,ROUND(Points!$B$3*IF($F19&lt;=1,1,Points!$H$7+(1-Points!$H$7)*((($F19-$E19)*(($F19-$E19)+1)/2)^2-((($F19-$E19-$J19+1)-1)*($F19-$E19-$J19+1)/2)^2)/($J19*($F19-1)^3)),0)))</f>
        <v/>
      </c>
      <c r="H19" s="11">
        <f>IF($A19="","",IF($B$2="Final","Final",IF($B$2="In progress","Projected","Not started")))</f>
        <v/>
      </c>
      <c r="I19" s="11">
        <f>IF($A19="","",IF(COUNTIF(Players!$A$2:$A$500,$A19)=0,"Player is not on the Players tab",IF(COUNTIF($A$7:$A$156,$A19)&gt;1,"Player is listed twice",IF(NOT(ISNUMBER($B19)),"Enter a score",IF(COUNTIFS($D$7:$D$156,$D19,$C$7:$C$156,"Winner")&gt;1,"More than one "&amp;$D19&amp;" winner picked",IF(AND($C19="Winner",COUNTIFS($D$7:$D$156,$D19,$B$7:$B$156,"&lt;"&amp;$B19)&gt;0),"The winner doesn't have the best "&amp;$D19&amp;" score",IF(AND($B$2="Final",COUNTIFS($D$7:$D$156,$D19,$C$7:$C$156,"Winner")=0),"Final: pick the "&amp;$D19&amp;" winner",IF($B$2="Not started","Set Status to In progress to count points","OK"))))))))</f>
        <v/>
      </c>
      <c r="J19" s="11">
        <f>IF(OR($A19="",NOT(ISNUMBER($B19))),"",IF($C19="Winner",1,COUNTIFS($D$7:$D$156,$D19,$B$7:$B$156,$B19)-IF(AND(NOT($C19="Winner"),COUNTIFS($D$7:$D$156,$D19,$C$7:$C$156,"Winner",$B$7:$B$156,$B19)&gt;0),1,0)))</f>
        <v/>
      </c>
    </row>
    <row r="20">
      <c r="D20" s="11">
        <f>IF($A20="","",IFERROR(IF(VLOOKUP($A20,Players!$A$2:$B$500,2,FALSE)="","Open",VLOOKUP($A20,Players!$A$2:$B$500,2,FALSE)),"Open"))</f>
        <v/>
      </c>
      <c r="E20" s="11">
        <f>IF(OR($A20="",NOT(ISNUMBER($B20))),"",IF($C20="Winner",1,COUNTIFS($D$7:$D$156,$D20,$B$7:$B$156,"&lt;"&amp;$B20)+1+IF(AND(NOT($C20="Winner"),COUNTIFS($D$7:$D$156,$D20,$C$7:$C$156,"Winner",$B$7:$B$156,$B20)&gt;0),1,0)))</f>
        <v/>
      </c>
      <c r="F20" s="11">
        <f>IF(OR($A20="",NOT(ISNUMBER($B20))),"",COUNTIFS($D$7:$D$156,$D20,$B$7:$B$156,"&gt;0"))</f>
        <v/>
      </c>
      <c r="G20" s="11">
        <f>IF(OR(OR($A20="",NOT(ISNUMBER($B20))),$B$2="Not started"),"",IF($C20="Winner",Points!$B$3,ROUND(Points!$B$3*IF($F20&lt;=1,1,Points!$H$7+(1-Points!$H$7)*((($F20-$E20)*(($F20-$E20)+1)/2)^2-((($F20-$E20-$J20+1)-1)*($F20-$E20-$J20+1)/2)^2)/($J20*($F20-1)^3)),0)))</f>
        <v/>
      </c>
      <c r="H20" s="11">
        <f>IF($A20="","",IF($B$2="Final","Final",IF($B$2="In progress","Projected","Not started")))</f>
        <v/>
      </c>
      <c r="I20" s="11">
        <f>IF($A20="","",IF(COUNTIF(Players!$A$2:$A$500,$A20)=0,"Player is not on the Players tab",IF(COUNTIF($A$7:$A$156,$A20)&gt;1,"Player is listed twice",IF(NOT(ISNUMBER($B20)),"Enter a score",IF(COUNTIFS($D$7:$D$156,$D20,$C$7:$C$156,"Winner")&gt;1,"More than one "&amp;$D20&amp;" winner picked",IF(AND($C20="Winner",COUNTIFS($D$7:$D$156,$D20,$B$7:$B$156,"&lt;"&amp;$B20)&gt;0),"The winner doesn't have the best "&amp;$D20&amp;" score",IF(AND($B$2="Final",COUNTIFS($D$7:$D$156,$D20,$C$7:$C$156,"Winner")=0),"Final: pick the "&amp;$D20&amp;" winner",IF($B$2="Not started","Set Status to In progress to count points","OK"))))))))</f>
        <v/>
      </c>
      <c r="J20" s="11">
        <f>IF(OR($A20="",NOT(ISNUMBER($B20))),"",IF($C20="Winner",1,COUNTIFS($D$7:$D$156,$D20,$B$7:$B$156,$B20)-IF(AND(NOT($C20="Winner"),COUNTIFS($D$7:$D$156,$D20,$C$7:$C$156,"Winner",$B$7:$B$156,$B20)&gt;0),1,0)))</f>
        <v/>
      </c>
    </row>
    <row r="21">
      <c r="D21" s="11">
        <f>IF($A21="","",IFERROR(IF(VLOOKUP($A21,Players!$A$2:$B$500,2,FALSE)="","Open",VLOOKUP($A21,Players!$A$2:$B$500,2,FALSE)),"Open"))</f>
        <v/>
      </c>
      <c r="E21" s="11">
        <f>IF(OR($A21="",NOT(ISNUMBER($B21))),"",IF($C21="Winner",1,COUNTIFS($D$7:$D$156,$D21,$B$7:$B$156,"&lt;"&amp;$B21)+1+IF(AND(NOT($C21="Winner"),COUNTIFS($D$7:$D$156,$D21,$C$7:$C$156,"Winner",$B$7:$B$156,$B21)&gt;0),1,0)))</f>
        <v/>
      </c>
      <c r="F21" s="11">
        <f>IF(OR($A21="",NOT(ISNUMBER($B21))),"",COUNTIFS($D$7:$D$156,$D21,$B$7:$B$156,"&gt;0"))</f>
        <v/>
      </c>
      <c r="G21" s="11">
        <f>IF(OR(OR($A21="",NOT(ISNUMBER($B21))),$B$2="Not started"),"",IF($C21="Winner",Points!$B$3,ROUND(Points!$B$3*IF($F21&lt;=1,1,Points!$H$7+(1-Points!$H$7)*((($F21-$E21)*(($F21-$E21)+1)/2)^2-((($F21-$E21-$J21+1)-1)*($F21-$E21-$J21+1)/2)^2)/($J21*($F21-1)^3)),0)))</f>
        <v/>
      </c>
      <c r="H21" s="11">
        <f>IF($A21="","",IF($B$2="Final","Final",IF($B$2="In progress","Projected","Not started")))</f>
        <v/>
      </c>
      <c r="I21" s="11">
        <f>IF($A21="","",IF(COUNTIF(Players!$A$2:$A$500,$A21)=0,"Player is not on the Players tab",IF(COUNTIF($A$7:$A$156,$A21)&gt;1,"Player is listed twice",IF(NOT(ISNUMBER($B21)),"Enter a score",IF(COUNTIFS($D$7:$D$156,$D21,$C$7:$C$156,"Winner")&gt;1,"More than one "&amp;$D21&amp;" winner picked",IF(AND($C21="Winner",COUNTIFS($D$7:$D$156,$D21,$B$7:$B$156,"&lt;"&amp;$B21)&gt;0),"The winner doesn't have the best "&amp;$D21&amp;" score",IF(AND($B$2="Final",COUNTIFS($D$7:$D$156,$D21,$C$7:$C$156,"Winner")=0),"Final: pick the "&amp;$D21&amp;" winner",IF($B$2="Not started","Set Status to In progress to count points","OK"))))))))</f>
        <v/>
      </c>
      <c r="J21" s="11">
        <f>IF(OR($A21="",NOT(ISNUMBER($B21))),"",IF($C21="Winner",1,COUNTIFS($D$7:$D$156,$D21,$B$7:$B$156,$B21)-IF(AND(NOT($C21="Winner"),COUNTIFS($D$7:$D$156,$D21,$C$7:$C$156,"Winner",$B$7:$B$156,$B21)&gt;0),1,0)))</f>
        <v/>
      </c>
    </row>
    <row r="22">
      <c r="D22" s="11">
        <f>IF($A22="","",IFERROR(IF(VLOOKUP($A22,Players!$A$2:$B$500,2,FALSE)="","Open",VLOOKUP($A22,Players!$A$2:$B$500,2,FALSE)),"Open"))</f>
        <v/>
      </c>
      <c r="E22" s="11">
        <f>IF(OR($A22="",NOT(ISNUMBER($B22))),"",IF($C22="Winner",1,COUNTIFS($D$7:$D$156,$D22,$B$7:$B$156,"&lt;"&amp;$B22)+1+IF(AND(NOT($C22="Winner"),COUNTIFS($D$7:$D$156,$D22,$C$7:$C$156,"Winner",$B$7:$B$156,$B22)&gt;0),1,0)))</f>
        <v/>
      </c>
      <c r="F22" s="11">
        <f>IF(OR($A22="",NOT(ISNUMBER($B22))),"",COUNTIFS($D$7:$D$156,$D22,$B$7:$B$156,"&gt;0"))</f>
        <v/>
      </c>
      <c r="G22" s="11">
        <f>IF(OR(OR($A22="",NOT(ISNUMBER($B22))),$B$2="Not started"),"",IF($C22="Winner",Points!$B$3,ROUND(Points!$B$3*IF($F22&lt;=1,1,Points!$H$7+(1-Points!$H$7)*((($F22-$E22)*(($F22-$E22)+1)/2)^2-((($F22-$E22-$J22+1)-1)*($F22-$E22-$J22+1)/2)^2)/($J22*($F22-1)^3)),0)))</f>
        <v/>
      </c>
      <c r="H22" s="11">
        <f>IF($A22="","",IF($B$2="Final","Final",IF($B$2="In progress","Projected","Not started")))</f>
        <v/>
      </c>
      <c r="I22" s="11">
        <f>IF($A22="","",IF(COUNTIF(Players!$A$2:$A$500,$A22)=0,"Player is not on the Players tab",IF(COUNTIF($A$7:$A$156,$A22)&gt;1,"Player is listed twice",IF(NOT(ISNUMBER($B22)),"Enter a score",IF(COUNTIFS($D$7:$D$156,$D22,$C$7:$C$156,"Winner")&gt;1,"More than one "&amp;$D22&amp;" winner picked",IF(AND($C22="Winner",COUNTIFS($D$7:$D$156,$D22,$B$7:$B$156,"&lt;"&amp;$B22)&gt;0),"The winner doesn't have the best "&amp;$D22&amp;" score",IF(AND($B$2="Final",COUNTIFS($D$7:$D$156,$D22,$C$7:$C$156,"Winner")=0),"Final: pick the "&amp;$D22&amp;" winner",IF($B$2="Not started","Set Status to In progress to count points","OK"))))))))</f>
        <v/>
      </c>
      <c r="J22" s="11">
        <f>IF(OR($A22="",NOT(ISNUMBER($B22))),"",IF($C22="Winner",1,COUNTIFS($D$7:$D$156,$D22,$B$7:$B$156,$B22)-IF(AND(NOT($C22="Winner"),COUNTIFS($D$7:$D$156,$D22,$C$7:$C$156,"Winner",$B$7:$B$156,$B22)&gt;0),1,0)))</f>
        <v/>
      </c>
    </row>
    <row r="23">
      <c r="D23" s="11">
        <f>IF($A23="","",IFERROR(IF(VLOOKUP($A23,Players!$A$2:$B$500,2,FALSE)="","Open",VLOOKUP($A23,Players!$A$2:$B$500,2,FALSE)),"Open"))</f>
        <v/>
      </c>
      <c r="E23" s="11">
        <f>IF(OR($A23="",NOT(ISNUMBER($B23))),"",IF($C23="Winner",1,COUNTIFS($D$7:$D$156,$D23,$B$7:$B$156,"&lt;"&amp;$B23)+1+IF(AND(NOT($C23="Winner"),COUNTIFS($D$7:$D$156,$D23,$C$7:$C$156,"Winner",$B$7:$B$156,$B23)&gt;0),1,0)))</f>
        <v/>
      </c>
      <c r="F23" s="11">
        <f>IF(OR($A23="",NOT(ISNUMBER($B23))),"",COUNTIFS($D$7:$D$156,$D23,$B$7:$B$156,"&gt;0"))</f>
        <v/>
      </c>
      <c r="G23" s="11">
        <f>IF(OR(OR($A23="",NOT(ISNUMBER($B23))),$B$2="Not started"),"",IF($C23="Winner",Points!$B$3,ROUND(Points!$B$3*IF($F23&lt;=1,1,Points!$H$7+(1-Points!$H$7)*((($F23-$E23)*(($F23-$E23)+1)/2)^2-((($F23-$E23-$J23+1)-1)*($F23-$E23-$J23+1)/2)^2)/($J23*($F23-1)^3)),0)))</f>
        <v/>
      </c>
      <c r="H23" s="11">
        <f>IF($A23="","",IF($B$2="Final","Final",IF($B$2="In progress","Projected","Not started")))</f>
        <v/>
      </c>
      <c r="I23" s="11">
        <f>IF($A23="","",IF(COUNTIF(Players!$A$2:$A$500,$A23)=0,"Player is not on the Players tab",IF(COUNTIF($A$7:$A$156,$A23)&gt;1,"Player is listed twice",IF(NOT(ISNUMBER($B23)),"Enter a score",IF(COUNTIFS($D$7:$D$156,$D23,$C$7:$C$156,"Winner")&gt;1,"More than one "&amp;$D23&amp;" winner picked",IF(AND($C23="Winner",COUNTIFS($D$7:$D$156,$D23,$B$7:$B$156,"&lt;"&amp;$B23)&gt;0),"The winner doesn't have the best "&amp;$D23&amp;" score",IF(AND($B$2="Final",COUNTIFS($D$7:$D$156,$D23,$C$7:$C$156,"Winner")=0),"Final: pick the "&amp;$D23&amp;" winner",IF($B$2="Not started","Set Status to In progress to count points","OK"))))))))</f>
        <v/>
      </c>
      <c r="J23" s="11">
        <f>IF(OR($A23="",NOT(ISNUMBER($B23))),"",IF($C23="Winner",1,COUNTIFS($D$7:$D$156,$D23,$B$7:$B$156,$B23)-IF(AND(NOT($C23="Winner"),COUNTIFS($D$7:$D$156,$D23,$C$7:$C$156,"Winner",$B$7:$B$156,$B23)&gt;0),1,0)))</f>
        <v/>
      </c>
    </row>
    <row r="24">
      <c r="D24" s="11">
        <f>IF($A24="","",IFERROR(IF(VLOOKUP($A24,Players!$A$2:$B$500,2,FALSE)="","Open",VLOOKUP($A24,Players!$A$2:$B$500,2,FALSE)),"Open"))</f>
        <v/>
      </c>
      <c r="E24" s="11">
        <f>IF(OR($A24="",NOT(ISNUMBER($B24))),"",IF($C24="Winner",1,COUNTIFS($D$7:$D$156,$D24,$B$7:$B$156,"&lt;"&amp;$B24)+1+IF(AND(NOT($C24="Winner"),COUNTIFS($D$7:$D$156,$D24,$C$7:$C$156,"Winner",$B$7:$B$156,$B24)&gt;0),1,0)))</f>
        <v/>
      </c>
      <c r="F24" s="11">
        <f>IF(OR($A24="",NOT(ISNUMBER($B24))),"",COUNTIFS($D$7:$D$156,$D24,$B$7:$B$156,"&gt;0"))</f>
        <v/>
      </c>
      <c r="G24" s="11">
        <f>IF(OR(OR($A24="",NOT(ISNUMBER($B24))),$B$2="Not started"),"",IF($C24="Winner",Points!$B$3,ROUND(Points!$B$3*IF($F24&lt;=1,1,Points!$H$7+(1-Points!$H$7)*((($F24-$E24)*(($F24-$E24)+1)/2)^2-((($F24-$E24-$J24+1)-1)*($F24-$E24-$J24+1)/2)^2)/($J24*($F24-1)^3)),0)))</f>
        <v/>
      </c>
      <c r="H24" s="11">
        <f>IF($A24="","",IF($B$2="Final","Final",IF($B$2="In progress","Projected","Not started")))</f>
        <v/>
      </c>
      <c r="I24" s="11">
        <f>IF($A24="","",IF(COUNTIF(Players!$A$2:$A$500,$A24)=0,"Player is not on the Players tab",IF(COUNTIF($A$7:$A$156,$A24)&gt;1,"Player is listed twice",IF(NOT(ISNUMBER($B24)),"Enter a score",IF(COUNTIFS($D$7:$D$156,$D24,$C$7:$C$156,"Winner")&gt;1,"More than one "&amp;$D24&amp;" winner picked",IF(AND($C24="Winner",COUNTIFS($D$7:$D$156,$D24,$B$7:$B$156,"&lt;"&amp;$B24)&gt;0),"The winner doesn't have the best "&amp;$D24&amp;" score",IF(AND($B$2="Final",COUNTIFS($D$7:$D$156,$D24,$C$7:$C$156,"Winner")=0),"Final: pick the "&amp;$D24&amp;" winner",IF($B$2="Not started","Set Status to In progress to count points","OK"))))))))</f>
        <v/>
      </c>
      <c r="J24" s="11">
        <f>IF(OR($A24="",NOT(ISNUMBER($B24))),"",IF($C24="Winner",1,COUNTIFS($D$7:$D$156,$D24,$B$7:$B$156,$B24)-IF(AND(NOT($C24="Winner"),COUNTIFS($D$7:$D$156,$D24,$C$7:$C$156,"Winner",$B$7:$B$156,$B24)&gt;0),1,0)))</f>
        <v/>
      </c>
    </row>
    <row r="25">
      <c r="D25" s="11">
        <f>IF($A25="","",IFERROR(IF(VLOOKUP($A25,Players!$A$2:$B$500,2,FALSE)="","Open",VLOOKUP($A25,Players!$A$2:$B$500,2,FALSE)),"Open"))</f>
        <v/>
      </c>
      <c r="E25" s="11">
        <f>IF(OR($A25="",NOT(ISNUMBER($B25))),"",IF($C25="Winner",1,COUNTIFS($D$7:$D$156,$D25,$B$7:$B$156,"&lt;"&amp;$B25)+1+IF(AND(NOT($C25="Winner"),COUNTIFS($D$7:$D$156,$D25,$C$7:$C$156,"Winner",$B$7:$B$156,$B25)&gt;0),1,0)))</f>
        <v/>
      </c>
      <c r="F25" s="11">
        <f>IF(OR($A25="",NOT(ISNUMBER($B25))),"",COUNTIFS($D$7:$D$156,$D25,$B$7:$B$156,"&gt;0"))</f>
        <v/>
      </c>
      <c r="G25" s="11">
        <f>IF(OR(OR($A25="",NOT(ISNUMBER($B25))),$B$2="Not started"),"",IF($C25="Winner",Points!$B$3,ROUND(Points!$B$3*IF($F25&lt;=1,1,Points!$H$7+(1-Points!$H$7)*((($F25-$E25)*(($F25-$E25)+1)/2)^2-((($F25-$E25-$J25+1)-1)*($F25-$E25-$J25+1)/2)^2)/($J25*($F25-1)^3)),0)))</f>
        <v/>
      </c>
      <c r="H25" s="11">
        <f>IF($A25="","",IF($B$2="Final","Final",IF($B$2="In progress","Projected","Not started")))</f>
        <v/>
      </c>
      <c r="I25" s="11">
        <f>IF($A25="","",IF(COUNTIF(Players!$A$2:$A$500,$A25)=0,"Player is not on the Players tab",IF(COUNTIF($A$7:$A$156,$A25)&gt;1,"Player is listed twice",IF(NOT(ISNUMBER($B25)),"Enter a score",IF(COUNTIFS($D$7:$D$156,$D25,$C$7:$C$156,"Winner")&gt;1,"More than one "&amp;$D25&amp;" winner picked",IF(AND($C25="Winner",COUNTIFS($D$7:$D$156,$D25,$B$7:$B$156,"&lt;"&amp;$B25)&gt;0),"The winner doesn't have the best "&amp;$D25&amp;" score",IF(AND($B$2="Final",COUNTIFS($D$7:$D$156,$D25,$C$7:$C$156,"Winner")=0),"Final: pick the "&amp;$D25&amp;" winner",IF($B$2="Not started","Set Status to In progress to count points","OK"))))))))</f>
        <v/>
      </c>
      <c r="J25" s="11">
        <f>IF(OR($A25="",NOT(ISNUMBER($B25))),"",IF($C25="Winner",1,COUNTIFS($D$7:$D$156,$D25,$B$7:$B$156,$B25)-IF(AND(NOT($C25="Winner"),COUNTIFS($D$7:$D$156,$D25,$C$7:$C$156,"Winner",$B$7:$B$156,$B25)&gt;0),1,0)))</f>
        <v/>
      </c>
    </row>
    <row r="26">
      <c r="D26" s="11">
        <f>IF($A26="","",IFERROR(IF(VLOOKUP($A26,Players!$A$2:$B$500,2,FALSE)="","Open",VLOOKUP($A26,Players!$A$2:$B$500,2,FALSE)),"Open"))</f>
        <v/>
      </c>
      <c r="E26" s="11">
        <f>IF(OR($A26="",NOT(ISNUMBER($B26))),"",IF($C26="Winner",1,COUNTIFS($D$7:$D$156,$D26,$B$7:$B$156,"&lt;"&amp;$B26)+1+IF(AND(NOT($C26="Winner"),COUNTIFS($D$7:$D$156,$D26,$C$7:$C$156,"Winner",$B$7:$B$156,$B26)&gt;0),1,0)))</f>
        <v/>
      </c>
      <c r="F26" s="11">
        <f>IF(OR($A26="",NOT(ISNUMBER($B26))),"",COUNTIFS($D$7:$D$156,$D26,$B$7:$B$156,"&gt;0"))</f>
        <v/>
      </c>
      <c r="G26" s="11">
        <f>IF(OR(OR($A26="",NOT(ISNUMBER($B26))),$B$2="Not started"),"",IF($C26="Winner",Points!$B$3,ROUND(Points!$B$3*IF($F26&lt;=1,1,Points!$H$7+(1-Points!$H$7)*((($F26-$E26)*(($F26-$E26)+1)/2)^2-((($F26-$E26-$J26+1)-1)*($F26-$E26-$J26+1)/2)^2)/($J26*($F26-1)^3)),0)))</f>
        <v/>
      </c>
      <c r="H26" s="11">
        <f>IF($A26="","",IF($B$2="Final","Final",IF($B$2="In progress","Projected","Not started")))</f>
        <v/>
      </c>
      <c r="I26" s="11">
        <f>IF($A26="","",IF(COUNTIF(Players!$A$2:$A$500,$A26)=0,"Player is not on the Players tab",IF(COUNTIF($A$7:$A$156,$A26)&gt;1,"Player is listed twice",IF(NOT(ISNUMBER($B26)),"Enter a score",IF(COUNTIFS($D$7:$D$156,$D26,$C$7:$C$156,"Winner")&gt;1,"More than one "&amp;$D26&amp;" winner picked",IF(AND($C26="Winner",COUNTIFS($D$7:$D$156,$D26,$B$7:$B$156,"&lt;"&amp;$B26)&gt;0),"The winner doesn't have the best "&amp;$D26&amp;" score",IF(AND($B$2="Final",COUNTIFS($D$7:$D$156,$D26,$C$7:$C$156,"Winner")=0),"Final: pick the "&amp;$D26&amp;" winner",IF($B$2="Not started","Set Status to In progress to count points","OK"))))))))</f>
        <v/>
      </c>
      <c r="J26" s="11">
        <f>IF(OR($A26="",NOT(ISNUMBER($B26))),"",IF($C26="Winner",1,COUNTIFS($D$7:$D$156,$D26,$B$7:$B$156,$B26)-IF(AND(NOT($C26="Winner"),COUNTIFS($D$7:$D$156,$D26,$C$7:$C$156,"Winner",$B$7:$B$156,$B26)&gt;0),1,0)))</f>
        <v/>
      </c>
    </row>
    <row r="27">
      <c r="D27" s="11">
        <f>IF($A27="","",IFERROR(IF(VLOOKUP($A27,Players!$A$2:$B$500,2,FALSE)="","Open",VLOOKUP($A27,Players!$A$2:$B$500,2,FALSE)),"Open"))</f>
        <v/>
      </c>
      <c r="E27" s="11">
        <f>IF(OR($A27="",NOT(ISNUMBER($B27))),"",IF($C27="Winner",1,COUNTIFS($D$7:$D$156,$D27,$B$7:$B$156,"&lt;"&amp;$B27)+1+IF(AND(NOT($C27="Winner"),COUNTIFS($D$7:$D$156,$D27,$C$7:$C$156,"Winner",$B$7:$B$156,$B27)&gt;0),1,0)))</f>
        <v/>
      </c>
      <c r="F27" s="11">
        <f>IF(OR($A27="",NOT(ISNUMBER($B27))),"",COUNTIFS($D$7:$D$156,$D27,$B$7:$B$156,"&gt;0"))</f>
        <v/>
      </c>
      <c r="G27" s="11">
        <f>IF(OR(OR($A27="",NOT(ISNUMBER($B27))),$B$2="Not started"),"",IF($C27="Winner",Points!$B$3,ROUND(Points!$B$3*IF($F27&lt;=1,1,Points!$H$7+(1-Points!$H$7)*((($F27-$E27)*(($F27-$E27)+1)/2)^2-((($F27-$E27-$J27+1)-1)*($F27-$E27-$J27+1)/2)^2)/($J27*($F27-1)^3)),0)))</f>
        <v/>
      </c>
      <c r="H27" s="11">
        <f>IF($A27="","",IF($B$2="Final","Final",IF($B$2="In progress","Projected","Not started")))</f>
        <v/>
      </c>
      <c r="I27" s="11">
        <f>IF($A27="","",IF(COUNTIF(Players!$A$2:$A$500,$A27)=0,"Player is not on the Players tab",IF(COUNTIF($A$7:$A$156,$A27)&gt;1,"Player is listed twice",IF(NOT(ISNUMBER($B27)),"Enter a score",IF(COUNTIFS($D$7:$D$156,$D27,$C$7:$C$156,"Winner")&gt;1,"More than one "&amp;$D27&amp;" winner picked",IF(AND($C27="Winner",COUNTIFS($D$7:$D$156,$D27,$B$7:$B$156,"&lt;"&amp;$B27)&gt;0),"The winner doesn't have the best "&amp;$D27&amp;" score",IF(AND($B$2="Final",COUNTIFS($D$7:$D$156,$D27,$C$7:$C$156,"Winner")=0),"Final: pick the "&amp;$D27&amp;" winner",IF($B$2="Not started","Set Status to In progress to count points","OK"))))))))</f>
        <v/>
      </c>
      <c r="J27" s="11">
        <f>IF(OR($A27="",NOT(ISNUMBER($B27))),"",IF($C27="Winner",1,COUNTIFS($D$7:$D$156,$D27,$B$7:$B$156,$B27)-IF(AND(NOT($C27="Winner"),COUNTIFS($D$7:$D$156,$D27,$C$7:$C$156,"Winner",$B$7:$B$156,$B27)&gt;0),1,0)))</f>
        <v/>
      </c>
    </row>
    <row r="28">
      <c r="D28" s="11">
        <f>IF($A28="","",IFERROR(IF(VLOOKUP($A28,Players!$A$2:$B$500,2,FALSE)="","Open",VLOOKUP($A28,Players!$A$2:$B$500,2,FALSE)),"Open"))</f>
        <v/>
      </c>
      <c r="E28" s="11">
        <f>IF(OR($A28="",NOT(ISNUMBER($B28))),"",IF($C28="Winner",1,COUNTIFS($D$7:$D$156,$D28,$B$7:$B$156,"&lt;"&amp;$B28)+1+IF(AND(NOT($C28="Winner"),COUNTIFS($D$7:$D$156,$D28,$C$7:$C$156,"Winner",$B$7:$B$156,$B28)&gt;0),1,0)))</f>
        <v/>
      </c>
      <c r="F28" s="11">
        <f>IF(OR($A28="",NOT(ISNUMBER($B28))),"",COUNTIFS($D$7:$D$156,$D28,$B$7:$B$156,"&gt;0"))</f>
        <v/>
      </c>
      <c r="G28" s="11">
        <f>IF(OR(OR($A28="",NOT(ISNUMBER($B28))),$B$2="Not started"),"",IF($C28="Winner",Points!$B$3,ROUND(Points!$B$3*IF($F28&lt;=1,1,Points!$H$7+(1-Points!$H$7)*((($F28-$E28)*(($F28-$E28)+1)/2)^2-((($F28-$E28-$J28+1)-1)*($F28-$E28-$J28+1)/2)^2)/($J28*($F28-1)^3)),0)))</f>
        <v/>
      </c>
      <c r="H28" s="11">
        <f>IF($A28="","",IF($B$2="Final","Final",IF($B$2="In progress","Projected","Not started")))</f>
        <v/>
      </c>
      <c r="I28" s="11">
        <f>IF($A28="","",IF(COUNTIF(Players!$A$2:$A$500,$A28)=0,"Player is not on the Players tab",IF(COUNTIF($A$7:$A$156,$A28)&gt;1,"Player is listed twice",IF(NOT(ISNUMBER($B28)),"Enter a score",IF(COUNTIFS($D$7:$D$156,$D28,$C$7:$C$156,"Winner")&gt;1,"More than one "&amp;$D28&amp;" winner picked",IF(AND($C28="Winner",COUNTIFS($D$7:$D$156,$D28,$B$7:$B$156,"&lt;"&amp;$B28)&gt;0),"The winner doesn't have the best "&amp;$D28&amp;" score",IF(AND($B$2="Final",COUNTIFS($D$7:$D$156,$D28,$C$7:$C$156,"Winner")=0),"Final: pick the "&amp;$D28&amp;" winner",IF($B$2="Not started","Set Status to In progress to count points","OK"))))))))</f>
        <v/>
      </c>
      <c r="J28" s="11">
        <f>IF(OR($A28="",NOT(ISNUMBER($B28))),"",IF($C28="Winner",1,COUNTIFS($D$7:$D$156,$D28,$B$7:$B$156,$B28)-IF(AND(NOT($C28="Winner"),COUNTIFS($D$7:$D$156,$D28,$C$7:$C$156,"Winner",$B$7:$B$156,$B28)&gt;0),1,0)))</f>
        <v/>
      </c>
    </row>
    <row r="29">
      <c r="D29" s="11">
        <f>IF($A29="","",IFERROR(IF(VLOOKUP($A29,Players!$A$2:$B$500,2,FALSE)="","Open",VLOOKUP($A29,Players!$A$2:$B$500,2,FALSE)),"Open"))</f>
        <v/>
      </c>
      <c r="E29" s="11">
        <f>IF(OR($A29="",NOT(ISNUMBER($B29))),"",IF($C29="Winner",1,COUNTIFS($D$7:$D$156,$D29,$B$7:$B$156,"&lt;"&amp;$B29)+1+IF(AND(NOT($C29="Winner"),COUNTIFS($D$7:$D$156,$D29,$C$7:$C$156,"Winner",$B$7:$B$156,$B29)&gt;0),1,0)))</f>
        <v/>
      </c>
      <c r="F29" s="11">
        <f>IF(OR($A29="",NOT(ISNUMBER($B29))),"",COUNTIFS($D$7:$D$156,$D29,$B$7:$B$156,"&gt;0"))</f>
        <v/>
      </c>
      <c r="G29" s="11">
        <f>IF(OR(OR($A29="",NOT(ISNUMBER($B29))),$B$2="Not started"),"",IF($C29="Winner",Points!$B$3,ROUND(Points!$B$3*IF($F29&lt;=1,1,Points!$H$7+(1-Points!$H$7)*((($F29-$E29)*(($F29-$E29)+1)/2)^2-((($F29-$E29-$J29+1)-1)*($F29-$E29-$J29+1)/2)^2)/($J29*($F29-1)^3)),0)))</f>
        <v/>
      </c>
      <c r="H29" s="11">
        <f>IF($A29="","",IF($B$2="Final","Final",IF($B$2="In progress","Projected","Not started")))</f>
        <v/>
      </c>
      <c r="I29" s="11">
        <f>IF($A29="","",IF(COUNTIF(Players!$A$2:$A$500,$A29)=0,"Player is not on the Players tab",IF(COUNTIF($A$7:$A$156,$A29)&gt;1,"Player is listed twice",IF(NOT(ISNUMBER($B29)),"Enter a score",IF(COUNTIFS($D$7:$D$156,$D29,$C$7:$C$156,"Winner")&gt;1,"More than one "&amp;$D29&amp;" winner picked",IF(AND($C29="Winner",COUNTIFS($D$7:$D$156,$D29,$B$7:$B$156,"&lt;"&amp;$B29)&gt;0),"The winner doesn't have the best "&amp;$D29&amp;" score",IF(AND($B$2="Final",COUNTIFS($D$7:$D$156,$D29,$C$7:$C$156,"Winner")=0),"Final: pick the "&amp;$D29&amp;" winner",IF($B$2="Not started","Set Status to In progress to count points","OK"))))))))</f>
        <v/>
      </c>
      <c r="J29" s="11">
        <f>IF(OR($A29="",NOT(ISNUMBER($B29))),"",IF($C29="Winner",1,COUNTIFS($D$7:$D$156,$D29,$B$7:$B$156,$B29)-IF(AND(NOT($C29="Winner"),COUNTIFS($D$7:$D$156,$D29,$C$7:$C$156,"Winner",$B$7:$B$156,$B29)&gt;0),1,0)))</f>
        <v/>
      </c>
    </row>
    <row r="30">
      <c r="D30" s="11">
        <f>IF($A30="","",IFERROR(IF(VLOOKUP($A30,Players!$A$2:$B$500,2,FALSE)="","Open",VLOOKUP($A30,Players!$A$2:$B$500,2,FALSE)),"Open"))</f>
        <v/>
      </c>
      <c r="E30" s="11">
        <f>IF(OR($A30="",NOT(ISNUMBER($B30))),"",IF($C30="Winner",1,COUNTIFS($D$7:$D$156,$D30,$B$7:$B$156,"&lt;"&amp;$B30)+1+IF(AND(NOT($C30="Winner"),COUNTIFS($D$7:$D$156,$D30,$C$7:$C$156,"Winner",$B$7:$B$156,$B30)&gt;0),1,0)))</f>
        <v/>
      </c>
      <c r="F30" s="11">
        <f>IF(OR($A30="",NOT(ISNUMBER($B30))),"",COUNTIFS($D$7:$D$156,$D30,$B$7:$B$156,"&gt;0"))</f>
        <v/>
      </c>
      <c r="G30" s="11">
        <f>IF(OR(OR($A30="",NOT(ISNUMBER($B30))),$B$2="Not started"),"",IF($C30="Winner",Points!$B$3,ROUND(Points!$B$3*IF($F30&lt;=1,1,Points!$H$7+(1-Points!$H$7)*((($F30-$E30)*(($F30-$E30)+1)/2)^2-((($F30-$E30-$J30+1)-1)*($F30-$E30-$J30+1)/2)^2)/($J30*($F30-1)^3)),0)))</f>
        <v/>
      </c>
      <c r="H30" s="11">
        <f>IF($A30="","",IF($B$2="Final","Final",IF($B$2="In progress","Projected","Not started")))</f>
        <v/>
      </c>
      <c r="I30" s="11">
        <f>IF($A30="","",IF(COUNTIF(Players!$A$2:$A$500,$A30)=0,"Player is not on the Players tab",IF(COUNTIF($A$7:$A$156,$A30)&gt;1,"Player is listed twice",IF(NOT(ISNUMBER($B30)),"Enter a score",IF(COUNTIFS($D$7:$D$156,$D30,$C$7:$C$156,"Winner")&gt;1,"More than one "&amp;$D30&amp;" winner picked",IF(AND($C30="Winner",COUNTIFS($D$7:$D$156,$D30,$B$7:$B$156,"&lt;"&amp;$B30)&gt;0),"The winner doesn't have the best "&amp;$D30&amp;" score",IF(AND($B$2="Final",COUNTIFS($D$7:$D$156,$D30,$C$7:$C$156,"Winner")=0),"Final: pick the "&amp;$D30&amp;" winner",IF($B$2="Not started","Set Status to In progress to count points","OK"))))))))</f>
        <v/>
      </c>
      <c r="J30" s="11">
        <f>IF(OR($A30="",NOT(ISNUMBER($B30))),"",IF($C30="Winner",1,COUNTIFS($D$7:$D$156,$D30,$B$7:$B$156,$B30)-IF(AND(NOT($C30="Winner"),COUNTIFS($D$7:$D$156,$D30,$C$7:$C$156,"Winner",$B$7:$B$156,$B30)&gt;0),1,0)))</f>
        <v/>
      </c>
    </row>
    <row r="31">
      <c r="D31" s="11">
        <f>IF($A31="","",IFERROR(IF(VLOOKUP($A31,Players!$A$2:$B$500,2,FALSE)="","Open",VLOOKUP($A31,Players!$A$2:$B$500,2,FALSE)),"Open"))</f>
        <v/>
      </c>
      <c r="E31" s="11">
        <f>IF(OR($A31="",NOT(ISNUMBER($B31))),"",IF($C31="Winner",1,COUNTIFS($D$7:$D$156,$D31,$B$7:$B$156,"&lt;"&amp;$B31)+1+IF(AND(NOT($C31="Winner"),COUNTIFS($D$7:$D$156,$D31,$C$7:$C$156,"Winner",$B$7:$B$156,$B31)&gt;0),1,0)))</f>
        <v/>
      </c>
      <c r="F31" s="11">
        <f>IF(OR($A31="",NOT(ISNUMBER($B31))),"",COUNTIFS($D$7:$D$156,$D31,$B$7:$B$156,"&gt;0"))</f>
        <v/>
      </c>
      <c r="G31" s="11">
        <f>IF(OR(OR($A31="",NOT(ISNUMBER($B31))),$B$2="Not started"),"",IF($C31="Winner",Points!$B$3,ROUND(Points!$B$3*IF($F31&lt;=1,1,Points!$H$7+(1-Points!$H$7)*((($F31-$E31)*(($F31-$E31)+1)/2)^2-((($F31-$E31-$J31+1)-1)*($F31-$E31-$J31+1)/2)^2)/($J31*($F31-1)^3)),0)))</f>
        <v/>
      </c>
      <c r="H31" s="11">
        <f>IF($A31="","",IF($B$2="Final","Final",IF($B$2="In progress","Projected","Not started")))</f>
        <v/>
      </c>
      <c r="I31" s="11">
        <f>IF($A31="","",IF(COUNTIF(Players!$A$2:$A$500,$A31)=0,"Player is not on the Players tab",IF(COUNTIF($A$7:$A$156,$A31)&gt;1,"Player is listed twice",IF(NOT(ISNUMBER($B31)),"Enter a score",IF(COUNTIFS($D$7:$D$156,$D31,$C$7:$C$156,"Winner")&gt;1,"More than one "&amp;$D31&amp;" winner picked",IF(AND($C31="Winner",COUNTIFS($D$7:$D$156,$D31,$B$7:$B$156,"&lt;"&amp;$B31)&gt;0),"The winner doesn't have the best "&amp;$D31&amp;" score",IF(AND($B$2="Final",COUNTIFS($D$7:$D$156,$D31,$C$7:$C$156,"Winner")=0),"Final: pick the "&amp;$D31&amp;" winner",IF($B$2="Not started","Set Status to In progress to count points","OK"))))))))</f>
        <v/>
      </c>
      <c r="J31" s="11">
        <f>IF(OR($A31="",NOT(ISNUMBER($B31))),"",IF($C31="Winner",1,COUNTIFS($D$7:$D$156,$D31,$B$7:$B$156,$B31)-IF(AND(NOT($C31="Winner"),COUNTIFS($D$7:$D$156,$D31,$C$7:$C$156,"Winner",$B$7:$B$156,$B31)&gt;0),1,0)))</f>
        <v/>
      </c>
    </row>
    <row r="32">
      <c r="D32" s="11">
        <f>IF($A32="","",IFERROR(IF(VLOOKUP($A32,Players!$A$2:$B$500,2,FALSE)="","Open",VLOOKUP($A32,Players!$A$2:$B$500,2,FALSE)),"Open"))</f>
        <v/>
      </c>
      <c r="E32" s="11">
        <f>IF(OR($A32="",NOT(ISNUMBER($B32))),"",IF($C32="Winner",1,COUNTIFS($D$7:$D$156,$D32,$B$7:$B$156,"&lt;"&amp;$B32)+1+IF(AND(NOT($C32="Winner"),COUNTIFS($D$7:$D$156,$D32,$C$7:$C$156,"Winner",$B$7:$B$156,$B32)&gt;0),1,0)))</f>
        <v/>
      </c>
      <c r="F32" s="11">
        <f>IF(OR($A32="",NOT(ISNUMBER($B32))),"",COUNTIFS($D$7:$D$156,$D32,$B$7:$B$156,"&gt;0"))</f>
        <v/>
      </c>
      <c r="G32" s="11">
        <f>IF(OR(OR($A32="",NOT(ISNUMBER($B32))),$B$2="Not started"),"",IF($C32="Winner",Points!$B$3,ROUND(Points!$B$3*IF($F32&lt;=1,1,Points!$H$7+(1-Points!$H$7)*((($F32-$E32)*(($F32-$E32)+1)/2)^2-((($F32-$E32-$J32+1)-1)*($F32-$E32-$J32+1)/2)^2)/($J32*($F32-1)^3)),0)))</f>
        <v/>
      </c>
      <c r="H32" s="11">
        <f>IF($A32="","",IF($B$2="Final","Final",IF($B$2="In progress","Projected","Not started")))</f>
        <v/>
      </c>
      <c r="I32" s="11">
        <f>IF($A32="","",IF(COUNTIF(Players!$A$2:$A$500,$A32)=0,"Player is not on the Players tab",IF(COUNTIF($A$7:$A$156,$A32)&gt;1,"Player is listed twice",IF(NOT(ISNUMBER($B32)),"Enter a score",IF(COUNTIFS($D$7:$D$156,$D32,$C$7:$C$156,"Winner")&gt;1,"More than one "&amp;$D32&amp;" winner picked",IF(AND($C32="Winner",COUNTIFS($D$7:$D$156,$D32,$B$7:$B$156,"&lt;"&amp;$B32)&gt;0),"The winner doesn't have the best "&amp;$D32&amp;" score",IF(AND($B$2="Final",COUNTIFS($D$7:$D$156,$D32,$C$7:$C$156,"Winner")=0),"Final: pick the "&amp;$D32&amp;" winner",IF($B$2="Not started","Set Status to In progress to count points","OK"))))))))</f>
        <v/>
      </c>
      <c r="J32" s="11">
        <f>IF(OR($A32="",NOT(ISNUMBER($B32))),"",IF($C32="Winner",1,COUNTIFS($D$7:$D$156,$D32,$B$7:$B$156,$B32)-IF(AND(NOT($C32="Winner"),COUNTIFS($D$7:$D$156,$D32,$C$7:$C$156,"Winner",$B$7:$B$156,$B32)&gt;0),1,0)))</f>
        <v/>
      </c>
    </row>
    <row r="33">
      <c r="D33" s="11">
        <f>IF($A33="","",IFERROR(IF(VLOOKUP($A33,Players!$A$2:$B$500,2,FALSE)="","Open",VLOOKUP($A33,Players!$A$2:$B$500,2,FALSE)),"Open"))</f>
        <v/>
      </c>
      <c r="E33" s="11">
        <f>IF(OR($A33="",NOT(ISNUMBER($B33))),"",IF($C33="Winner",1,COUNTIFS($D$7:$D$156,$D33,$B$7:$B$156,"&lt;"&amp;$B33)+1+IF(AND(NOT($C33="Winner"),COUNTIFS($D$7:$D$156,$D33,$C$7:$C$156,"Winner",$B$7:$B$156,$B33)&gt;0),1,0)))</f>
        <v/>
      </c>
      <c r="F33" s="11">
        <f>IF(OR($A33="",NOT(ISNUMBER($B33))),"",COUNTIFS($D$7:$D$156,$D33,$B$7:$B$156,"&gt;0"))</f>
        <v/>
      </c>
      <c r="G33" s="11">
        <f>IF(OR(OR($A33="",NOT(ISNUMBER($B33))),$B$2="Not started"),"",IF($C33="Winner",Points!$B$3,ROUND(Points!$B$3*IF($F33&lt;=1,1,Points!$H$7+(1-Points!$H$7)*((($F33-$E33)*(($F33-$E33)+1)/2)^2-((($F33-$E33-$J33+1)-1)*($F33-$E33-$J33+1)/2)^2)/($J33*($F33-1)^3)),0)))</f>
        <v/>
      </c>
      <c r="H33" s="11">
        <f>IF($A33="","",IF($B$2="Final","Final",IF($B$2="In progress","Projected","Not started")))</f>
        <v/>
      </c>
      <c r="I33" s="11">
        <f>IF($A33="","",IF(COUNTIF(Players!$A$2:$A$500,$A33)=0,"Player is not on the Players tab",IF(COUNTIF($A$7:$A$156,$A33)&gt;1,"Player is listed twice",IF(NOT(ISNUMBER($B33)),"Enter a score",IF(COUNTIFS($D$7:$D$156,$D33,$C$7:$C$156,"Winner")&gt;1,"More than one "&amp;$D33&amp;" winner picked",IF(AND($C33="Winner",COUNTIFS($D$7:$D$156,$D33,$B$7:$B$156,"&lt;"&amp;$B33)&gt;0),"The winner doesn't have the best "&amp;$D33&amp;" score",IF(AND($B$2="Final",COUNTIFS($D$7:$D$156,$D33,$C$7:$C$156,"Winner")=0),"Final: pick the "&amp;$D33&amp;" winner",IF($B$2="Not started","Set Status to In progress to count points","OK"))))))))</f>
        <v/>
      </c>
      <c r="J33" s="11">
        <f>IF(OR($A33="",NOT(ISNUMBER($B33))),"",IF($C33="Winner",1,COUNTIFS($D$7:$D$156,$D33,$B$7:$B$156,$B33)-IF(AND(NOT($C33="Winner"),COUNTIFS($D$7:$D$156,$D33,$C$7:$C$156,"Winner",$B$7:$B$156,$B33)&gt;0),1,0)))</f>
        <v/>
      </c>
    </row>
    <row r="34">
      <c r="D34" s="11">
        <f>IF($A34="","",IFERROR(IF(VLOOKUP($A34,Players!$A$2:$B$500,2,FALSE)="","Open",VLOOKUP($A34,Players!$A$2:$B$500,2,FALSE)),"Open"))</f>
        <v/>
      </c>
      <c r="E34" s="11">
        <f>IF(OR($A34="",NOT(ISNUMBER($B34))),"",IF($C34="Winner",1,COUNTIFS($D$7:$D$156,$D34,$B$7:$B$156,"&lt;"&amp;$B34)+1+IF(AND(NOT($C34="Winner"),COUNTIFS($D$7:$D$156,$D34,$C$7:$C$156,"Winner",$B$7:$B$156,$B34)&gt;0),1,0)))</f>
        <v/>
      </c>
      <c r="F34" s="11">
        <f>IF(OR($A34="",NOT(ISNUMBER($B34))),"",COUNTIFS($D$7:$D$156,$D34,$B$7:$B$156,"&gt;0"))</f>
        <v/>
      </c>
      <c r="G34" s="11">
        <f>IF(OR(OR($A34="",NOT(ISNUMBER($B34))),$B$2="Not started"),"",IF($C34="Winner",Points!$B$3,ROUND(Points!$B$3*IF($F34&lt;=1,1,Points!$H$7+(1-Points!$H$7)*((($F34-$E34)*(($F34-$E34)+1)/2)^2-((($F34-$E34-$J34+1)-1)*($F34-$E34-$J34+1)/2)^2)/($J34*($F34-1)^3)),0)))</f>
        <v/>
      </c>
      <c r="H34" s="11">
        <f>IF($A34="","",IF($B$2="Final","Final",IF($B$2="In progress","Projected","Not started")))</f>
        <v/>
      </c>
      <c r="I34" s="11">
        <f>IF($A34="","",IF(COUNTIF(Players!$A$2:$A$500,$A34)=0,"Player is not on the Players tab",IF(COUNTIF($A$7:$A$156,$A34)&gt;1,"Player is listed twice",IF(NOT(ISNUMBER($B34)),"Enter a score",IF(COUNTIFS($D$7:$D$156,$D34,$C$7:$C$156,"Winner")&gt;1,"More than one "&amp;$D34&amp;" winner picked",IF(AND($C34="Winner",COUNTIFS($D$7:$D$156,$D34,$B$7:$B$156,"&lt;"&amp;$B34)&gt;0),"The winner doesn't have the best "&amp;$D34&amp;" score",IF(AND($B$2="Final",COUNTIFS($D$7:$D$156,$D34,$C$7:$C$156,"Winner")=0),"Final: pick the "&amp;$D34&amp;" winner",IF($B$2="Not started","Set Status to In progress to count points","OK"))))))))</f>
        <v/>
      </c>
      <c r="J34" s="11">
        <f>IF(OR($A34="",NOT(ISNUMBER($B34))),"",IF($C34="Winner",1,COUNTIFS($D$7:$D$156,$D34,$B$7:$B$156,$B34)-IF(AND(NOT($C34="Winner"),COUNTIFS($D$7:$D$156,$D34,$C$7:$C$156,"Winner",$B$7:$B$156,$B34)&gt;0),1,0)))</f>
        <v/>
      </c>
    </row>
    <row r="35">
      <c r="D35" s="11">
        <f>IF($A35="","",IFERROR(IF(VLOOKUP($A35,Players!$A$2:$B$500,2,FALSE)="","Open",VLOOKUP($A35,Players!$A$2:$B$500,2,FALSE)),"Open"))</f>
        <v/>
      </c>
      <c r="E35" s="11">
        <f>IF(OR($A35="",NOT(ISNUMBER($B35))),"",IF($C35="Winner",1,COUNTIFS($D$7:$D$156,$D35,$B$7:$B$156,"&lt;"&amp;$B35)+1+IF(AND(NOT($C35="Winner"),COUNTIFS($D$7:$D$156,$D35,$C$7:$C$156,"Winner",$B$7:$B$156,$B35)&gt;0),1,0)))</f>
        <v/>
      </c>
      <c r="F35" s="11">
        <f>IF(OR($A35="",NOT(ISNUMBER($B35))),"",COUNTIFS($D$7:$D$156,$D35,$B$7:$B$156,"&gt;0"))</f>
        <v/>
      </c>
      <c r="G35" s="11">
        <f>IF(OR(OR($A35="",NOT(ISNUMBER($B35))),$B$2="Not started"),"",IF($C35="Winner",Points!$B$3,ROUND(Points!$B$3*IF($F35&lt;=1,1,Points!$H$7+(1-Points!$H$7)*((($F35-$E35)*(($F35-$E35)+1)/2)^2-((($F35-$E35-$J35+1)-1)*($F35-$E35-$J35+1)/2)^2)/($J35*($F35-1)^3)),0)))</f>
        <v/>
      </c>
      <c r="H35" s="11">
        <f>IF($A35="","",IF($B$2="Final","Final",IF($B$2="In progress","Projected","Not started")))</f>
        <v/>
      </c>
      <c r="I35" s="11">
        <f>IF($A35="","",IF(COUNTIF(Players!$A$2:$A$500,$A35)=0,"Player is not on the Players tab",IF(COUNTIF($A$7:$A$156,$A35)&gt;1,"Player is listed twice",IF(NOT(ISNUMBER($B35)),"Enter a score",IF(COUNTIFS($D$7:$D$156,$D35,$C$7:$C$156,"Winner")&gt;1,"More than one "&amp;$D35&amp;" winner picked",IF(AND($C35="Winner",COUNTIFS($D$7:$D$156,$D35,$B$7:$B$156,"&lt;"&amp;$B35)&gt;0),"The winner doesn't have the best "&amp;$D35&amp;" score",IF(AND($B$2="Final",COUNTIFS($D$7:$D$156,$D35,$C$7:$C$156,"Winner")=0),"Final: pick the "&amp;$D35&amp;" winner",IF($B$2="Not started","Set Status to In progress to count points","OK"))))))))</f>
        <v/>
      </c>
      <c r="J35" s="11">
        <f>IF(OR($A35="",NOT(ISNUMBER($B35))),"",IF($C35="Winner",1,COUNTIFS($D$7:$D$156,$D35,$B$7:$B$156,$B35)-IF(AND(NOT($C35="Winner"),COUNTIFS($D$7:$D$156,$D35,$C$7:$C$156,"Winner",$B$7:$B$156,$B35)&gt;0),1,0)))</f>
        <v/>
      </c>
    </row>
    <row r="36">
      <c r="D36" s="11">
        <f>IF($A36="","",IFERROR(IF(VLOOKUP($A36,Players!$A$2:$B$500,2,FALSE)="","Open",VLOOKUP($A36,Players!$A$2:$B$500,2,FALSE)),"Open"))</f>
        <v/>
      </c>
      <c r="E36" s="11">
        <f>IF(OR($A36="",NOT(ISNUMBER($B36))),"",IF($C36="Winner",1,COUNTIFS($D$7:$D$156,$D36,$B$7:$B$156,"&lt;"&amp;$B36)+1+IF(AND(NOT($C36="Winner"),COUNTIFS($D$7:$D$156,$D36,$C$7:$C$156,"Winner",$B$7:$B$156,$B36)&gt;0),1,0)))</f>
        <v/>
      </c>
      <c r="F36" s="11">
        <f>IF(OR($A36="",NOT(ISNUMBER($B36))),"",COUNTIFS($D$7:$D$156,$D36,$B$7:$B$156,"&gt;0"))</f>
        <v/>
      </c>
      <c r="G36" s="11">
        <f>IF(OR(OR($A36="",NOT(ISNUMBER($B36))),$B$2="Not started"),"",IF($C36="Winner",Points!$B$3,ROUND(Points!$B$3*IF($F36&lt;=1,1,Points!$H$7+(1-Points!$H$7)*((($F36-$E36)*(($F36-$E36)+1)/2)^2-((($F36-$E36-$J36+1)-1)*($F36-$E36-$J36+1)/2)^2)/($J36*($F36-1)^3)),0)))</f>
        <v/>
      </c>
      <c r="H36" s="11">
        <f>IF($A36="","",IF($B$2="Final","Final",IF($B$2="In progress","Projected","Not started")))</f>
        <v/>
      </c>
      <c r="I36" s="11">
        <f>IF($A36="","",IF(COUNTIF(Players!$A$2:$A$500,$A36)=0,"Player is not on the Players tab",IF(COUNTIF($A$7:$A$156,$A36)&gt;1,"Player is listed twice",IF(NOT(ISNUMBER($B36)),"Enter a score",IF(COUNTIFS($D$7:$D$156,$D36,$C$7:$C$156,"Winner")&gt;1,"More than one "&amp;$D36&amp;" winner picked",IF(AND($C36="Winner",COUNTIFS($D$7:$D$156,$D36,$B$7:$B$156,"&lt;"&amp;$B36)&gt;0),"The winner doesn't have the best "&amp;$D36&amp;" score",IF(AND($B$2="Final",COUNTIFS($D$7:$D$156,$D36,$C$7:$C$156,"Winner")=0),"Final: pick the "&amp;$D36&amp;" winner",IF($B$2="Not started","Set Status to In progress to count points","OK"))))))))</f>
        <v/>
      </c>
      <c r="J36" s="11">
        <f>IF(OR($A36="",NOT(ISNUMBER($B36))),"",IF($C36="Winner",1,COUNTIFS($D$7:$D$156,$D36,$B$7:$B$156,$B36)-IF(AND(NOT($C36="Winner"),COUNTIFS($D$7:$D$156,$D36,$C$7:$C$156,"Winner",$B$7:$B$156,$B36)&gt;0),1,0)))</f>
        <v/>
      </c>
    </row>
    <row r="37">
      <c r="D37" s="11">
        <f>IF($A37="","",IFERROR(IF(VLOOKUP($A37,Players!$A$2:$B$500,2,FALSE)="","Open",VLOOKUP($A37,Players!$A$2:$B$500,2,FALSE)),"Open"))</f>
        <v/>
      </c>
      <c r="E37" s="11">
        <f>IF(OR($A37="",NOT(ISNUMBER($B37))),"",IF($C37="Winner",1,COUNTIFS($D$7:$D$156,$D37,$B$7:$B$156,"&lt;"&amp;$B37)+1+IF(AND(NOT($C37="Winner"),COUNTIFS($D$7:$D$156,$D37,$C$7:$C$156,"Winner",$B$7:$B$156,$B37)&gt;0),1,0)))</f>
        <v/>
      </c>
      <c r="F37" s="11">
        <f>IF(OR($A37="",NOT(ISNUMBER($B37))),"",COUNTIFS($D$7:$D$156,$D37,$B$7:$B$156,"&gt;0"))</f>
        <v/>
      </c>
      <c r="G37" s="11">
        <f>IF(OR(OR($A37="",NOT(ISNUMBER($B37))),$B$2="Not started"),"",IF($C37="Winner",Points!$B$3,ROUND(Points!$B$3*IF($F37&lt;=1,1,Points!$H$7+(1-Points!$H$7)*((($F37-$E37)*(($F37-$E37)+1)/2)^2-((($F37-$E37-$J37+1)-1)*($F37-$E37-$J37+1)/2)^2)/($J37*($F37-1)^3)),0)))</f>
        <v/>
      </c>
      <c r="H37" s="11">
        <f>IF($A37="","",IF($B$2="Final","Final",IF($B$2="In progress","Projected","Not started")))</f>
        <v/>
      </c>
      <c r="I37" s="11">
        <f>IF($A37="","",IF(COUNTIF(Players!$A$2:$A$500,$A37)=0,"Player is not on the Players tab",IF(COUNTIF($A$7:$A$156,$A37)&gt;1,"Player is listed twice",IF(NOT(ISNUMBER($B37)),"Enter a score",IF(COUNTIFS($D$7:$D$156,$D37,$C$7:$C$156,"Winner")&gt;1,"More than one "&amp;$D37&amp;" winner picked",IF(AND($C37="Winner",COUNTIFS($D$7:$D$156,$D37,$B$7:$B$156,"&lt;"&amp;$B37)&gt;0),"The winner doesn't have the best "&amp;$D37&amp;" score",IF(AND($B$2="Final",COUNTIFS($D$7:$D$156,$D37,$C$7:$C$156,"Winner")=0),"Final: pick the "&amp;$D37&amp;" winner",IF($B$2="Not started","Set Status to In progress to count points","OK"))))))))</f>
        <v/>
      </c>
      <c r="J37" s="11">
        <f>IF(OR($A37="",NOT(ISNUMBER($B37))),"",IF($C37="Winner",1,COUNTIFS($D$7:$D$156,$D37,$B$7:$B$156,$B37)-IF(AND(NOT($C37="Winner"),COUNTIFS($D$7:$D$156,$D37,$C$7:$C$156,"Winner",$B$7:$B$156,$B37)&gt;0),1,0)))</f>
        <v/>
      </c>
    </row>
    <row r="38">
      <c r="D38" s="11">
        <f>IF($A38="","",IFERROR(IF(VLOOKUP($A38,Players!$A$2:$B$500,2,FALSE)="","Open",VLOOKUP($A38,Players!$A$2:$B$500,2,FALSE)),"Open"))</f>
        <v/>
      </c>
      <c r="E38" s="11">
        <f>IF(OR($A38="",NOT(ISNUMBER($B38))),"",IF($C38="Winner",1,COUNTIFS($D$7:$D$156,$D38,$B$7:$B$156,"&lt;"&amp;$B38)+1+IF(AND(NOT($C38="Winner"),COUNTIFS($D$7:$D$156,$D38,$C$7:$C$156,"Winner",$B$7:$B$156,$B38)&gt;0),1,0)))</f>
        <v/>
      </c>
      <c r="F38" s="11">
        <f>IF(OR($A38="",NOT(ISNUMBER($B38))),"",COUNTIFS($D$7:$D$156,$D38,$B$7:$B$156,"&gt;0"))</f>
        <v/>
      </c>
      <c r="G38" s="11">
        <f>IF(OR(OR($A38="",NOT(ISNUMBER($B38))),$B$2="Not started"),"",IF($C38="Winner",Points!$B$3,ROUND(Points!$B$3*IF($F38&lt;=1,1,Points!$H$7+(1-Points!$H$7)*((($F38-$E38)*(($F38-$E38)+1)/2)^2-((($F38-$E38-$J38+1)-1)*($F38-$E38-$J38+1)/2)^2)/($J38*($F38-1)^3)),0)))</f>
        <v/>
      </c>
      <c r="H38" s="11">
        <f>IF($A38="","",IF($B$2="Final","Final",IF($B$2="In progress","Projected","Not started")))</f>
        <v/>
      </c>
      <c r="I38" s="11">
        <f>IF($A38="","",IF(COUNTIF(Players!$A$2:$A$500,$A38)=0,"Player is not on the Players tab",IF(COUNTIF($A$7:$A$156,$A38)&gt;1,"Player is listed twice",IF(NOT(ISNUMBER($B38)),"Enter a score",IF(COUNTIFS($D$7:$D$156,$D38,$C$7:$C$156,"Winner")&gt;1,"More than one "&amp;$D38&amp;" winner picked",IF(AND($C38="Winner",COUNTIFS($D$7:$D$156,$D38,$B$7:$B$156,"&lt;"&amp;$B38)&gt;0),"The winner doesn't have the best "&amp;$D38&amp;" score",IF(AND($B$2="Final",COUNTIFS($D$7:$D$156,$D38,$C$7:$C$156,"Winner")=0),"Final: pick the "&amp;$D38&amp;" winner",IF($B$2="Not started","Set Status to In progress to count points","OK"))))))))</f>
        <v/>
      </c>
      <c r="J38" s="11">
        <f>IF(OR($A38="",NOT(ISNUMBER($B38))),"",IF($C38="Winner",1,COUNTIFS($D$7:$D$156,$D38,$B$7:$B$156,$B38)-IF(AND(NOT($C38="Winner"),COUNTIFS($D$7:$D$156,$D38,$C$7:$C$156,"Winner",$B$7:$B$156,$B38)&gt;0),1,0)))</f>
        <v/>
      </c>
    </row>
    <row r="39">
      <c r="D39" s="11">
        <f>IF($A39="","",IFERROR(IF(VLOOKUP($A39,Players!$A$2:$B$500,2,FALSE)="","Open",VLOOKUP($A39,Players!$A$2:$B$500,2,FALSE)),"Open"))</f>
        <v/>
      </c>
      <c r="E39" s="11">
        <f>IF(OR($A39="",NOT(ISNUMBER($B39))),"",IF($C39="Winner",1,COUNTIFS($D$7:$D$156,$D39,$B$7:$B$156,"&lt;"&amp;$B39)+1+IF(AND(NOT($C39="Winner"),COUNTIFS($D$7:$D$156,$D39,$C$7:$C$156,"Winner",$B$7:$B$156,$B39)&gt;0),1,0)))</f>
        <v/>
      </c>
      <c r="F39" s="11">
        <f>IF(OR($A39="",NOT(ISNUMBER($B39))),"",COUNTIFS($D$7:$D$156,$D39,$B$7:$B$156,"&gt;0"))</f>
        <v/>
      </c>
      <c r="G39" s="11">
        <f>IF(OR(OR($A39="",NOT(ISNUMBER($B39))),$B$2="Not started"),"",IF($C39="Winner",Points!$B$3,ROUND(Points!$B$3*IF($F39&lt;=1,1,Points!$H$7+(1-Points!$H$7)*((($F39-$E39)*(($F39-$E39)+1)/2)^2-((($F39-$E39-$J39+1)-1)*($F39-$E39-$J39+1)/2)^2)/($J39*($F39-1)^3)),0)))</f>
        <v/>
      </c>
      <c r="H39" s="11">
        <f>IF($A39="","",IF($B$2="Final","Final",IF($B$2="In progress","Projected","Not started")))</f>
        <v/>
      </c>
      <c r="I39" s="11">
        <f>IF($A39="","",IF(COUNTIF(Players!$A$2:$A$500,$A39)=0,"Player is not on the Players tab",IF(COUNTIF($A$7:$A$156,$A39)&gt;1,"Player is listed twice",IF(NOT(ISNUMBER($B39)),"Enter a score",IF(COUNTIFS($D$7:$D$156,$D39,$C$7:$C$156,"Winner")&gt;1,"More than one "&amp;$D39&amp;" winner picked",IF(AND($C39="Winner",COUNTIFS($D$7:$D$156,$D39,$B$7:$B$156,"&lt;"&amp;$B39)&gt;0),"The winner doesn't have the best "&amp;$D39&amp;" score",IF(AND($B$2="Final",COUNTIFS($D$7:$D$156,$D39,$C$7:$C$156,"Winner")=0),"Final: pick the "&amp;$D39&amp;" winner",IF($B$2="Not started","Set Status to In progress to count points","OK"))))))))</f>
        <v/>
      </c>
      <c r="J39" s="11">
        <f>IF(OR($A39="",NOT(ISNUMBER($B39))),"",IF($C39="Winner",1,COUNTIFS($D$7:$D$156,$D39,$B$7:$B$156,$B39)-IF(AND(NOT($C39="Winner"),COUNTIFS($D$7:$D$156,$D39,$C$7:$C$156,"Winner",$B$7:$B$156,$B39)&gt;0),1,0)))</f>
        <v/>
      </c>
    </row>
    <row r="40">
      <c r="D40" s="11">
        <f>IF($A40="","",IFERROR(IF(VLOOKUP($A40,Players!$A$2:$B$500,2,FALSE)="","Open",VLOOKUP($A40,Players!$A$2:$B$500,2,FALSE)),"Open"))</f>
        <v/>
      </c>
      <c r="E40" s="11">
        <f>IF(OR($A40="",NOT(ISNUMBER($B40))),"",IF($C40="Winner",1,COUNTIFS($D$7:$D$156,$D40,$B$7:$B$156,"&lt;"&amp;$B40)+1+IF(AND(NOT($C40="Winner"),COUNTIFS($D$7:$D$156,$D40,$C$7:$C$156,"Winner",$B$7:$B$156,$B40)&gt;0),1,0)))</f>
        <v/>
      </c>
      <c r="F40" s="11">
        <f>IF(OR($A40="",NOT(ISNUMBER($B40))),"",COUNTIFS($D$7:$D$156,$D40,$B$7:$B$156,"&gt;0"))</f>
        <v/>
      </c>
      <c r="G40" s="11">
        <f>IF(OR(OR($A40="",NOT(ISNUMBER($B40))),$B$2="Not started"),"",IF($C40="Winner",Points!$B$3,ROUND(Points!$B$3*IF($F40&lt;=1,1,Points!$H$7+(1-Points!$H$7)*((($F40-$E40)*(($F40-$E40)+1)/2)^2-((($F40-$E40-$J40+1)-1)*($F40-$E40-$J40+1)/2)^2)/($J40*($F40-1)^3)),0)))</f>
        <v/>
      </c>
      <c r="H40" s="11">
        <f>IF($A40="","",IF($B$2="Final","Final",IF($B$2="In progress","Projected","Not started")))</f>
        <v/>
      </c>
      <c r="I40" s="11">
        <f>IF($A40="","",IF(COUNTIF(Players!$A$2:$A$500,$A40)=0,"Player is not on the Players tab",IF(COUNTIF($A$7:$A$156,$A40)&gt;1,"Player is listed twice",IF(NOT(ISNUMBER($B40)),"Enter a score",IF(COUNTIFS($D$7:$D$156,$D40,$C$7:$C$156,"Winner")&gt;1,"More than one "&amp;$D40&amp;" winner picked",IF(AND($C40="Winner",COUNTIFS($D$7:$D$156,$D40,$B$7:$B$156,"&lt;"&amp;$B40)&gt;0),"The winner doesn't have the best "&amp;$D40&amp;" score",IF(AND($B$2="Final",COUNTIFS($D$7:$D$156,$D40,$C$7:$C$156,"Winner")=0),"Final: pick the "&amp;$D40&amp;" winner",IF($B$2="Not started","Set Status to In progress to count points","OK"))))))))</f>
        <v/>
      </c>
      <c r="J40" s="11">
        <f>IF(OR($A40="",NOT(ISNUMBER($B40))),"",IF($C40="Winner",1,COUNTIFS($D$7:$D$156,$D40,$B$7:$B$156,$B40)-IF(AND(NOT($C40="Winner"),COUNTIFS($D$7:$D$156,$D40,$C$7:$C$156,"Winner",$B$7:$B$156,$B40)&gt;0),1,0)))</f>
        <v/>
      </c>
    </row>
    <row r="41">
      <c r="D41" s="11">
        <f>IF($A41="","",IFERROR(IF(VLOOKUP($A41,Players!$A$2:$B$500,2,FALSE)="","Open",VLOOKUP($A41,Players!$A$2:$B$500,2,FALSE)),"Open"))</f>
        <v/>
      </c>
      <c r="E41" s="11">
        <f>IF(OR($A41="",NOT(ISNUMBER($B41))),"",IF($C41="Winner",1,COUNTIFS($D$7:$D$156,$D41,$B$7:$B$156,"&lt;"&amp;$B41)+1+IF(AND(NOT($C41="Winner"),COUNTIFS($D$7:$D$156,$D41,$C$7:$C$156,"Winner",$B$7:$B$156,$B41)&gt;0),1,0)))</f>
        <v/>
      </c>
      <c r="F41" s="11">
        <f>IF(OR($A41="",NOT(ISNUMBER($B41))),"",COUNTIFS($D$7:$D$156,$D41,$B$7:$B$156,"&gt;0"))</f>
        <v/>
      </c>
      <c r="G41" s="11">
        <f>IF(OR(OR($A41="",NOT(ISNUMBER($B41))),$B$2="Not started"),"",IF($C41="Winner",Points!$B$3,ROUND(Points!$B$3*IF($F41&lt;=1,1,Points!$H$7+(1-Points!$H$7)*((($F41-$E41)*(($F41-$E41)+1)/2)^2-((($F41-$E41-$J41+1)-1)*($F41-$E41-$J41+1)/2)^2)/($J41*($F41-1)^3)),0)))</f>
        <v/>
      </c>
      <c r="H41" s="11">
        <f>IF($A41="","",IF($B$2="Final","Final",IF($B$2="In progress","Projected","Not started")))</f>
        <v/>
      </c>
      <c r="I41" s="11">
        <f>IF($A41="","",IF(COUNTIF(Players!$A$2:$A$500,$A41)=0,"Player is not on the Players tab",IF(COUNTIF($A$7:$A$156,$A41)&gt;1,"Player is listed twice",IF(NOT(ISNUMBER($B41)),"Enter a score",IF(COUNTIFS($D$7:$D$156,$D41,$C$7:$C$156,"Winner")&gt;1,"More than one "&amp;$D41&amp;" winner picked",IF(AND($C41="Winner",COUNTIFS($D$7:$D$156,$D41,$B$7:$B$156,"&lt;"&amp;$B41)&gt;0),"The winner doesn't have the best "&amp;$D41&amp;" score",IF(AND($B$2="Final",COUNTIFS($D$7:$D$156,$D41,$C$7:$C$156,"Winner")=0),"Final: pick the "&amp;$D41&amp;" winner",IF($B$2="Not started","Set Status to In progress to count points","OK"))))))))</f>
        <v/>
      </c>
      <c r="J41" s="11">
        <f>IF(OR($A41="",NOT(ISNUMBER($B41))),"",IF($C41="Winner",1,COUNTIFS($D$7:$D$156,$D41,$B$7:$B$156,$B41)-IF(AND(NOT($C41="Winner"),COUNTIFS($D$7:$D$156,$D41,$C$7:$C$156,"Winner",$B$7:$B$156,$B41)&gt;0),1,0)))</f>
        <v/>
      </c>
    </row>
    <row r="42">
      <c r="D42" s="11">
        <f>IF($A42="","",IFERROR(IF(VLOOKUP($A42,Players!$A$2:$B$500,2,FALSE)="","Open",VLOOKUP($A42,Players!$A$2:$B$500,2,FALSE)),"Open"))</f>
        <v/>
      </c>
      <c r="E42" s="11">
        <f>IF(OR($A42="",NOT(ISNUMBER($B42))),"",IF($C42="Winner",1,COUNTIFS($D$7:$D$156,$D42,$B$7:$B$156,"&lt;"&amp;$B42)+1+IF(AND(NOT($C42="Winner"),COUNTIFS($D$7:$D$156,$D42,$C$7:$C$156,"Winner",$B$7:$B$156,$B42)&gt;0),1,0)))</f>
        <v/>
      </c>
      <c r="F42" s="11">
        <f>IF(OR($A42="",NOT(ISNUMBER($B42))),"",COUNTIFS($D$7:$D$156,$D42,$B$7:$B$156,"&gt;0"))</f>
        <v/>
      </c>
      <c r="G42" s="11">
        <f>IF(OR(OR($A42="",NOT(ISNUMBER($B42))),$B$2="Not started"),"",IF($C42="Winner",Points!$B$3,ROUND(Points!$B$3*IF($F42&lt;=1,1,Points!$H$7+(1-Points!$H$7)*((($F42-$E42)*(($F42-$E42)+1)/2)^2-((($F42-$E42-$J42+1)-1)*($F42-$E42-$J42+1)/2)^2)/($J42*($F42-1)^3)),0)))</f>
        <v/>
      </c>
      <c r="H42" s="11">
        <f>IF($A42="","",IF($B$2="Final","Final",IF($B$2="In progress","Projected","Not started")))</f>
        <v/>
      </c>
      <c r="I42" s="11">
        <f>IF($A42="","",IF(COUNTIF(Players!$A$2:$A$500,$A42)=0,"Player is not on the Players tab",IF(COUNTIF($A$7:$A$156,$A42)&gt;1,"Player is listed twice",IF(NOT(ISNUMBER($B42)),"Enter a score",IF(COUNTIFS($D$7:$D$156,$D42,$C$7:$C$156,"Winner")&gt;1,"More than one "&amp;$D42&amp;" winner picked",IF(AND($C42="Winner",COUNTIFS($D$7:$D$156,$D42,$B$7:$B$156,"&lt;"&amp;$B42)&gt;0),"The winner doesn't have the best "&amp;$D42&amp;" score",IF(AND($B$2="Final",COUNTIFS($D$7:$D$156,$D42,$C$7:$C$156,"Winner")=0),"Final: pick the "&amp;$D42&amp;" winner",IF($B$2="Not started","Set Status to In progress to count points","OK"))))))))</f>
        <v/>
      </c>
      <c r="J42" s="11">
        <f>IF(OR($A42="",NOT(ISNUMBER($B42))),"",IF($C42="Winner",1,COUNTIFS($D$7:$D$156,$D42,$B$7:$B$156,$B42)-IF(AND(NOT($C42="Winner"),COUNTIFS($D$7:$D$156,$D42,$C$7:$C$156,"Winner",$B$7:$B$156,$B42)&gt;0),1,0)))</f>
        <v/>
      </c>
    </row>
    <row r="43">
      <c r="D43" s="11">
        <f>IF($A43="","",IFERROR(IF(VLOOKUP($A43,Players!$A$2:$B$500,2,FALSE)="","Open",VLOOKUP($A43,Players!$A$2:$B$500,2,FALSE)),"Open"))</f>
        <v/>
      </c>
      <c r="E43" s="11">
        <f>IF(OR($A43="",NOT(ISNUMBER($B43))),"",IF($C43="Winner",1,COUNTIFS($D$7:$D$156,$D43,$B$7:$B$156,"&lt;"&amp;$B43)+1+IF(AND(NOT($C43="Winner"),COUNTIFS($D$7:$D$156,$D43,$C$7:$C$156,"Winner",$B$7:$B$156,$B43)&gt;0),1,0)))</f>
        <v/>
      </c>
      <c r="F43" s="11">
        <f>IF(OR($A43="",NOT(ISNUMBER($B43))),"",COUNTIFS($D$7:$D$156,$D43,$B$7:$B$156,"&gt;0"))</f>
        <v/>
      </c>
      <c r="G43" s="11">
        <f>IF(OR(OR($A43="",NOT(ISNUMBER($B43))),$B$2="Not started"),"",IF($C43="Winner",Points!$B$3,ROUND(Points!$B$3*IF($F43&lt;=1,1,Points!$H$7+(1-Points!$H$7)*((($F43-$E43)*(($F43-$E43)+1)/2)^2-((($F43-$E43-$J43+1)-1)*($F43-$E43-$J43+1)/2)^2)/($J43*($F43-1)^3)),0)))</f>
        <v/>
      </c>
      <c r="H43" s="11">
        <f>IF($A43="","",IF($B$2="Final","Final",IF($B$2="In progress","Projected","Not started")))</f>
        <v/>
      </c>
      <c r="I43" s="11">
        <f>IF($A43="","",IF(COUNTIF(Players!$A$2:$A$500,$A43)=0,"Player is not on the Players tab",IF(COUNTIF($A$7:$A$156,$A43)&gt;1,"Player is listed twice",IF(NOT(ISNUMBER($B43)),"Enter a score",IF(COUNTIFS($D$7:$D$156,$D43,$C$7:$C$156,"Winner")&gt;1,"More than one "&amp;$D43&amp;" winner picked",IF(AND($C43="Winner",COUNTIFS($D$7:$D$156,$D43,$B$7:$B$156,"&lt;"&amp;$B43)&gt;0),"The winner doesn't have the best "&amp;$D43&amp;" score",IF(AND($B$2="Final",COUNTIFS($D$7:$D$156,$D43,$C$7:$C$156,"Winner")=0),"Final: pick the "&amp;$D43&amp;" winner",IF($B$2="Not started","Set Status to In progress to count points","OK"))))))))</f>
        <v/>
      </c>
      <c r="J43" s="11">
        <f>IF(OR($A43="",NOT(ISNUMBER($B43))),"",IF($C43="Winner",1,COUNTIFS($D$7:$D$156,$D43,$B$7:$B$156,$B43)-IF(AND(NOT($C43="Winner"),COUNTIFS($D$7:$D$156,$D43,$C$7:$C$156,"Winner",$B$7:$B$156,$B43)&gt;0),1,0)))</f>
        <v/>
      </c>
    </row>
    <row r="44">
      <c r="D44" s="11">
        <f>IF($A44="","",IFERROR(IF(VLOOKUP($A44,Players!$A$2:$B$500,2,FALSE)="","Open",VLOOKUP($A44,Players!$A$2:$B$500,2,FALSE)),"Open"))</f>
        <v/>
      </c>
      <c r="E44" s="11">
        <f>IF(OR($A44="",NOT(ISNUMBER($B44))),"",IF($C44="Winner",1,COUNTIFS($D$7:$D$156,$D44,$B$7:$B$156,"&lt;"&amp;$B44)+1+IF(AND(NOT($C44="Winner"),COUNTIFS($D$7:$D$156,$D44,$C$7:$C$156,"Winner",$B$7:$B$156,$B44)&gt;0),1,0)))</f>
        <v/>
      </c>
      <c r="F44" s="11">
        <f>IF(OR($A44="",NOT(ISNUMBER($B44))),"",COUNTIFS($D$7:$D$156,$D44,$B$7:$B$156,"&gt;0"))</f>
        <v/>
      </c>
      <c r="G44" s="11">
        <f>IF(OR(OR($A44="",NOT(ISNUMBER($B44))),$B$2="Not started"),"",IF($C44="Winner",Points!$B$3,ROUND(Points!$B$3*IF($F44&lt;=1,1,Points!$H$7+(1-Points!$H$7)*((($F44-$E44)*(($F44-$E44)+1)/2)^2-((($F44-$E44-$J44+1)-1)*($F44-$E44-$J44+1)/2)^2)/($J44*($F44-1)^3)),0)))</f>
        <v/>
      </c>
      <c r="H44" s="11">
        <f>IF($A44="","",IF($B$2="Final","Final",IF($B$2="In progress","Projected","Not started")))</f>
        <v/>
      </c>
      <c r="I44" s="11">
        <f>IF($A44="","",IF(COUNTIF(Players!$A$2:$A$500,$A44)=0,"Player is not on the Players tab",IF(COUNTIF($A$7:$A$156,$A44)&gt;1,"Player is listed twice",IF(NOT(ISNUMBER($B44)),"Enter a score",IF(COUNTIFS($D$7:$D$156,$D44,$C$7:$C$156,"Winner")&gt;1,"More than one "&amp;$D44&amp;" winner picked",IF(AND($C44="Winner",COUNTIFS($D$7:$D$156,$D44,$B$7:$B$156,"&lt;"&amp;$B44)&gt;0),"The winner doesn't have the best "&amp;$D44&amp;" score",IF(AND($B$2="Final",COUNTIFS($D$7:$D$156,$D44,$C$7:$C$156,"Winner")=0),"Final: pick the "&amp;$D44&amp;" winner",IF($B$2="Not started","Set Status to In progress to count points","OK"))))))))</f>
        <v/>
      </c>
      <c r="J44" s="11">
        <f>IF(OR($A44="",NOT(ISNUMBER($B44))),"",IF($C44="Winner",1,COUNTIFS($D$7:$D$156,$D44,$B$7:$B$156,$B44)-IF(AND(NOT($C44="Winner"),COUNTIFS($D$7:$D$156,$D44,$C$7:$C$156,"Winner",$B$7:$B$156,$B44)&gt;0),1,0)))</f>
        <v/>
      </c>
    </row>
    <row r="45">
      <c r="D45" s="11">
        <f>IF($A45="","",IFERROR(IF(VLOOKUP($A45,Players!$A$2:$B$500,2,FALSE)="","Open",VLOOKUP($A45,Players!$A$2:$B$500,2,FALSE)),"Open"))</f>
        <v/>
      </c>
      <c r="E45" s="11">
        <f>IF(OR($A45="",NOT(ISNUMBER($B45))),"",IF($C45="Winner",1,COUNTIFS($D$7:$D$156,$D45,$B$7:$B$156,"&lt;"&amp;$B45)+1+IF(AND(NOT($C45="Winner"),COUNTIFS($D$7:$D$156,$D45,$C$7:$C$156,"Winner",$B$7:$B$156,$B45)&gt;0),1,0)))</f>
        <v/>
      </c>
      <c r="F45" s="11">
        <f>IF(OR($A45="",NOT(ISNUMBER($B45))),"",COUNTIFS($D$7:$D$156,$D45,$B$7:$B$156,"&gt;0"))</f>
        <v/>
      </c>
      <c r="G45" s="11">
        <f>IF(OR(OR($A45="",NOT(ISNUMBER($B45))),$B$2="Not started"),"",IF($C45="Winner",Points!$B$3,ROUND(Points!$B$3*IF($F45&lt;=1,1,Points!$H$7+(1-Points!$H$7)*((($F45-$E45)*(($F45-$E45)+1)/2)^2-((($F45-$E45-$J45+1)-1)*($F45-$E45-$J45+1)/2)^2)/($J45*($F45-1)^3)),0)))</f>
        <v/>
      </c>
      <c r="H45" s="11">
        <f>IF($A45="","",IF($B$2="Final","Final",IF($B$2="In progress","Projected","Not started")))</f>
        <v/>
      </c>
      <c r="I45" s="11">
        <f>IF($A45="","",IF(COUNTIF(Players!$A$2:$A$500,$A45)=0,"Player is not on the Players tab",IF(COUNTIF($A$7:$A$156,$A45)&gt;1,"Player is listed twice",IF(NOT(ISNUMBER($B45)),"Enter a score",IF(COUNTIFS($D$7:$D$156,$D45,$C$7:$C$156,"Winner")&gt;1,"More than one "&amp;$D45&amp;" winner picked",IF(AND($C45="Winner",COUNTIFS($D$7:$D$156,$D45,$B$7:$B$156,"&lt;"&amp;$B45)&gt;0),"The winner doesn't have the best "&amp;$D45&amp;" score",IF(AND($B$2="Final",COUNTIFS($D$7:$D$156,$D45,$C$7:$C$156,"Winner")=0),"Final: pick the "&amp;$D45&amp;" winner",IF($B$2="Not started","Set Status to In progress to count points","OK"))))))))</f>
        <v/>
      </c>
      <c r="J45" s="11">
        <f>IF(OR($A45="",NOT(ISNUMBER($B45))),"",IF($C45="Winner",1,COUNTIFS($D$7:$D$156,$D45,$B$7:$B$156,$B45)-IF(AND(NOT($C45="Winner"),COUNTIFS($D$7:$D$156,$D45,$C$7:$C$156,"Winner",$B$7:$B$156,$B45)&gt;0),1,0)))</f>
        <v/>
      </c>
    </row>
    <row r="46">
      <c r="D46" s="11">
        <f>IF($A46="","",IFERROR(IF(VLOOKUP($A46,Players!$A$2:$B$500,2,FALSE)="","Open",VLOOKUP($A46,Players!$A$2:$B$500,2,FALSE)),"Open"))</f>
        <v/>
      </c>
      <c r="E46" s="11">
        <f>IF(OR($A46="",NOT(ISNUMBER($B46))),"",IF($C46="Winner",1,COUNTIFS($D$7:$D$156,$D46,$B$7:$B$156,"&lt;"&amp;$B46)+1+IF(AND(NOT($C46="Winner"),COUNTIFS($D$7:$D$156,$D46,$C$7:$C$156,"Winner",$B$7:$B$156,$B46)&gt;0),1,0)))</f>
        <v/>
      </c>
      <c r="F46" s="11">
        <f>IF(OR($A46="",NOT(ISNUMBER($B46))),"",COUNTIFS($D$7:$D$156,$D46,$B$7:$B$156,"&gt;0"))</f>
        <v/>
      </c>
      <c r="G46" s="11">
        <f>IF(OR(OR($A46="",NOT(ISNUMBER($B46))),$B$2="Not started"),"",IF($C46="Winner",Points!$B$3,ROUND(Points!$B$3*IF($F46&lt;=1,1,Points!$H$7+(1-Points!$H$7)*((($F46-$E46)*(($F46-$E46)+1)/2)^2-((($F46-$E46-$J46+1)-1)*($F46-$E46-$J46+1)/2)^2)/($J46*($F46-1)^3)),0)))</f>
        <v/>
      </c>
      <c r="H46" s="11">
        <f>IF($A46="","",IF($B$2="Final","Final",IF($B$2="In progress","Projected","Not started")))</f>
        <v/>
      </c>
      <c r="I46" s="11">
        <f>IF($A46="","",IF(COUNTIF(Players!$A$2:$A$500,$A46)=0,"Player is not on the Players tab",IF(COUNTIF($A$7:$A$156,$A46)&gt;1,"Player is listed twice",IF(NOT(ISNUMBER($B46)),"Enter a score",IF(COUNTIFS($D$7:$D$156,$D46,$C$7:$C$156,"Winner")&gt;1,"More than one "&amp;$D46&amp;" winner picked",IF(AND($C46="Winner",COUNTIFS($D$7:$D$156,$D46,$B$7:$B$156,"&lt;"&amp;$B46)&gt;0),"The winner doesn't have the best "&amp;$D46&amp;" score",IF(AND($B$2="Final",COUNTIFS($D$7:$D$156,$D46,$C$7:$C$156,"Winner")=0),"Final: pick the "&amp;$D46&amp;" winner",IF($B$2="Not started","Set Status to In progress to count points","OK"))))))))</f>
        <v/>
      </c>
      <c r="J46" s="11">
        <f>IF(OR($A46="",NOT(ISNUMBER($B46))),"",IF($C46="Winner",1,COUNTIFS($D$7:$D$156,$D46,$B$7:$B$156,$B46)-IF(AND(NOT($C46="Winner"),COUNTIFS($D$7:$D$156,$D46,$C$7:$C$156,"Winner",$B$7:$B$156,$B46)&gt;0),1,0)))</f>
        <v/>
      </c>
    </row>
    <row r="47">
      <c r="D47" s="11">
        <f>IF($A47="","",IFERROR(IF(VLOOKUP($A47,Players!$A$2:$B$500,2,FALSE)="","Open",VLOOKUP($A47,Players!$A$2:$B$500,2,FALSE)),"Open"))</f>
        <v/>
      </c>
      <c r="E47" s="11">
        <f>IF(OR($A47="",NOT(ISNUMBER($B47))),"",IF($C47="Winner",1,COUNTIFS($D$7:$D$156,$D47,$B$7:$B$156,"&lt;"&amp;$B47)+1+IF(AND(NOT($C47="Winner"),COUNTIFS($D$7:$D$156,$D47,$C$7:$C$156,"Winner",$B$7:$B$156,$B47)&gt;0),1,0)))</f>
        <v/>
      </c>
      <c r="F47" s="11">
        <f>IF(OR($A47="",NOT(ISNUMBER($B47))),"",COUNTIFS($D$7:$D$156,$D47,$B$7:$B$156,"&gt;0"))</f>
        <v/>
      </c>
      <c r="G47" s="11">
        <f>IF(OR(OR($A47="",NOT(ISNUMBER($B47))),$B$2="Not started"),"",IF($C47="Winner",Points!$B$3,ROUND(Points!$B$3*IF($F47&lt;=1,1,Points!$H$7+(1-Points!$H$7)*((($F47-$E47)*(($F47-$E47)+1)/2)^2-((($F47-$E47-$J47+1)-1)*($F47-$E47-$J47+1)/2)^2)/($J47*($F47-1)^3)),0)))</f>
        <v/>
      </c>
      <c r="H47" s="11">
        <f>IF($A47="","",IF($B$2="Final","Final",IF($B$2="In progress","Projected","Not started")))</f>
        <v/>
      </c>
      <c r="I47" s="11">
        <f>IF($A47="","",IF(COUNTIF(Players!$A$2:$A$500,$A47)=0,"Player is not on the Players tab",IF(COUNTIF($A$7:$A$156,$A47)&gt;1,"Player is listed twice",IF(NOT(ISNUMBER($B47)),"Enter a score",IF(COUNTIFS($D$7:$D$156,$D47,$C$7:$C$156,"Winner")&gt;1,"More than one "&amp;$D47&amp;" winner picked",IF(AND($C47="Winner",COUNTIFS($D$7:$D$156,$D47,$B$7:$B$156,"&lt;"&amp;$B47)&gt;0),"The winner doesn't have the best "&amp;$D47&amp;" score",IF(AND($B$2="Final",COUNTIFS($D$7:$D$156,$D47,$C$7:$C$156,"Winner")=0),"Final: pick the "&amp;$D47&amp;" winner",IF($B$2="Not started","Set Status to In progress to count points","OK"))))))))</f>
        <v/>
      </c>
      <c r="J47" s="11">
        <f>IF(OR($A47="",NOT(ISNUMBER($B47))),"",IF($C47="Winner",1,COUNTIFS($D$7:$D$156,$D47,$B$7:$B$156,$B47)-IF(AND(NOT($C47="Winner"),COUNTIFS($D$7:$D$156,$D47,$C$7:$C$156,"Winner",$B$7:$B$156,$B47)&gt;0),1,0)))</f>
        <v/>
      </c>
    </row>
    <row r="48">
      <c r="D48" s="11">
        <f>IF($A48="","",IFERROR(IF(VLOOKUP($A48,Players!$A$2:$B$500,2,FALSE)="","Open",VLOOKUP($A48,Players!$A$2:$B$500,2,FALSE)),"Open"))</f>
        <v/>
      </c>
      <c r="E48" s="11">
        <f>IF(OR($A48="",NOT(ISNUMBER($B48))),"",IF($C48="Winner",1,COUNTIFS($D$7:$D$156,$D48,$B$7:$B$156,"&lt;"&amp;$B48)+1+IF(AND(NOT($C48="Winner"),COUNTIFS($D$7:$D$156,$D48,$C$7:$C$156,"Winner",$B$7:$B$156,$B48)&gt;0),1,0)))</f>
        <v/>
      </c>
      <c r="F48" s="11">
        <f>IF(OR($A48="",NOT(ISNUMBER($B48))),"",COUNTIFS($D$7:$D$156,$D48,$B$7:$B$156,"&gt;0"))</f>
        <v/>
      </c>
      <c r="G48" s="11">
        <f>IF(OR(OR($A48="",NOT(ISNUMBER($B48))),$B$2="Not started"),"",IF($C48="Winner",Points!$B$3,ROUND(Points!$B$3*IF($F48&lt;=1,1,Points!$H$7+(1-Points!$H$7)*((($F48-$E48)*(($F48-$E48)+1)/2)^2-((($F48-$E48-$J48+1)-1)*($F48-$E48-$J48+1)/2)^2)/($J48*($F48-1)^3)),0)))</f>
        <v/>
      </c>
      <c r="H48" s="11">
        <f>IF($A48="","",IF($B$2="Final","Final",IF($B$2="In progress","Projected","Not started")))</f>
        <v/>
      </c>
      <c r="I48" s="11">
        <f>IF($A48="","",IF(COUNTIF(Players!$A$2:$A$500,$A48)=0,"Player is not on the Players tab",IF(COUNTIF($A$7:$A$156,$A48)&gt;1,"Player is listed twice",IF(NOT(ISNUMBER($B48)),"Enter a score",IF(COUNTIFS($D$7:$D$156,$D48,$C$7:$C$156,"Winner")&gt;1,"More than one "&amp;$D48&amp;" winner picked",IF(AND($C48="Winner",COUNTIFS($D$7:$D$156,$D48,$B$7:$B$156,"&lt;"&amp;$B48)&gt;0),"The winner doesn't have the best "&amp;$D48&amp;" score",IF(AND($B$2="Final",COUNTIFS($D$7:$D$156,$D48,$C$7:$C$156,"Winner")=0),"Final: pick the "&amp;$D48&amp;" winner",IF($B$2="Not started","Set Status to In progress to count points","OK"))))))))</f>
        <v/>
      </c>
      <c r="J48" s="11">
        <f>IF(OR($A48="",NOT(ISNUMBER($B48))),"",IF($C48="Winner",1,COUNTIFS($D$7:$D$156,$D48,$B$7:$B$156,$B48)-IF(AND(NOT($C48="Winner"),COUNTIFS($D$7:$D$156,$D48,$C$7:$C$156,"Winner",$B$7:$B$156,$B48)&gt;0),1,0)))</f>
        <v/>
      </c>
    </row>
    <row r="49">
      <c r="D49" s="11">
        <f>IF($A49="","",IFERROR(IF(VLOOKUP($A49,Players!$A$2:$B$500,2,FALSE)="","Open",VLOOKUP($A49,Players!$A$2:$B$500,2,FALSE)),"Open"))</f>
        <v/>
      </c>
      <c r="E49" s="11">
        <f>IF(OR($A49="",NOT(ISNUMBER($B49))),"",IF($C49="Winner",1,COUNTIFS($D$7:$D$156,$D49,$B$7:$B$156,"&lt;"&amp;$B49)+1+IF(AND(NOT($C49="Winner"),COUNTIFS($D$7:$D$156,$D49,$C$7:$C$156,"Winner",$B$7:$B$156,$B49)&gt;0),1,0)))</f>
        <v/>
      </c>
      <c r="F49" s="11">
        <f>IF(OR($A49="",NOT(ISNUMBER($B49))),"",COUNTIFS($D$7:$D$156,$D49,$B$7:$B$156,"&gt;0"))</f>
        <v/>
      </c>
      <c r="G49" s="11">
        <f>IF(OR(OR($A49="",NOT(ISNUMBER($B49))),$B$2="Not started"),"",IF($C49="Winner",Points!$B$3,ROUND(Points!$B$3*IF($F49&lt;=1,1,Points!$H$7+(1-Points!$H$7)*((($F49-$E49)*(($F49-$E49)+1)/2)^2-((($F49-$E49-$J49+1)-1)*($F49-$E49-$J49+1)/2)^2)/($J49*($F49-1)^3)),0)))</f>
        <v/>
      </c>
      <c r="H49" s="11">
        <f>IF($A49="","",IF($B$2="Final","Final",IF($B$2="In progress","Projected","Not started")))</f>
        <v/>
      </c>
      <c r="I49" s="11">
        <f>IF($A49="","",IF(COUNTIF(Players!$A$2:$A$500,$A49)=0,"Player is not on the Players tab",IF(COUNTIF($A$7:$A$156,$A49)&gt;1,"Player is listed twice",IF(NOT(ISNUMBER($B49)),"Enter a score",IF(COUNTIFS($D$7:$D$156,$D49,$C$7:$C$156,"Winner")&gt;1,"More than one "&amp;$D49&amp;" winner picked",IF(AND($C49="Winner",COUNTIFS($D$7:$D$156,$D49,$B$7:$B$156,"&lt;"&amp;$B49)&gt;0),"The winner doesn't have the best "&amp;$D49&amp;" score",IF(AND($B$2="Final",COUNTIFS($D$7:$D$156,$D49,$C$7:$C$156,"Winner")=0),"Final: pick the "&amp;$D49&amp;" winner",IF($B$2="Not started","Set Status to In progress to count points","OK"))))))))</f>
        <v/>
      </c>
      <c r="J49" s="11">
        <f>IF(OR($A49="",NOT(ISNUMBER($B49))),"",IF($C49="Winner",1,COUNTIFS($D$7:$D$156,$D49,$B$7:$B$156,$B49)-IF(AND(NOT($C49="Winner"),COUNTIFS($D$7:$D$156,$D49,$C$7:$C$156,"Winner",$B$7:$B$156,$B49)&gt;0),1,0)))</f>
        <v/>
      </c>
    </row>
    <row r="50">
      <c r="D50" s="11">
        <f>IF($A50="","",IFERROR(IF(VLOOKUP($A50,Players!$A$2:$B$500,2,FALSE)="","Open",VLOOKUP($A50,Players!$A$2:$B$500,2,FALSE)),"Open"))</f>
        <v/>
      </c>
      <c r="E50" s="11">
        <f>IF(OR($A50="",NOT(ISNUMBER($B50))),"",IF($C50="Winner",1,COUNTIFS($D$7:$D$156,$D50,$B$7:$B$156,"&lt;"&amp;$B50)+1+IF(AND(NOT($C50="Winner"),COUNTIFS($D$7:$D$156,$D50,$C$7:$C$156,"Winner",$B$7:$B$156,$B50)&gt;0),1,0)))</f>
        <v/>
      </c>
      <c r="F50" s="11">
        <f>IF(OR($A50="",NOT(ISNUMBER($B50))),"",COUNTIFS($D$7:$D$156,$D50,$B$7:$B$156,"&gt;0"))</f>
        <v/>
      </c>
      <c r="G50" s="11">
        <f>IF(OR(OR($A50="",NOT(ISNUMBER($B50))),$B$2="Not started"),"",IF($C50="Winner",Points!$B$3,ROUND(Points!$B$3*IF($F50&lt;=1,1,Points!$H$7+(1-Points!$H$7)*((($F50-$E50)*(($F50-$E50)+1)/2)^2-((($F50-$E50-$J50+1)-1)*($F50-$E50-$J50+1)/2)^2)/($J50*($F50-1)^3)),0)))</f>
        <v/>
      </c>
      <c r="H50" s="11">
        <f>IF($A50="","",IF($B$2="Final","Final",IF($B$2="In progress","Projected","Not started")))</f>
        <v/>
      </c>
      <c r="I50" s="11">
        <f>IF($A50="","",IF(COUNTIF(Players!$A$2:$A$500,$A50)=0,"Player is not on the Players tab",IF(COUNTIF($A$7:$A$156,$A50)&gt;1,"Player is listed twice",IF(NOT(ISNUMBER($B50)),"Enter a score",IF(COUNTIFS($D$7:$D$156,$D50,$C$7:$C$156,"Winner")&gt;1,"More than one "&amp;$D50&amp;" winner picked",IF(AND($C50="Winner",COUNTIFS($D$7:$D$156,$D50,$B$7:$B$156,"&lt;"&amp;$B50)&gt;0),"The winner doesn't have the best "&amp;$D50&amp;" score",IF(AND($B$2="Final",COUNTIFS($D$7:$D$156,$D50,$C$7:$C$156,"Winner")=0),"Final: pick the "&amp;$D50&amp;" winner",IF($B$2="Not started","Set Status to In progress to count points","OK"))))))))</f>
        <v/>
      </c>
      <c r="J50" s="11">
        <f>IF(OR($A50="",NOT(ISNUMBER($B50))),"",IF($C50="Winner",1,COUNTIFS($D$7:$D$156,$D50,$B$7:$B$156,$B50)-IF(AND(NOT($C50="Winner"),COUNTIFS($D$7:$D$156,$D50,$C$7:$C$156,"Winner",$B$7:$B$156,$B50)&gt;0),1,0)))</f>
        <v/>
      </c>
    </row>
    <row r="51">
      <c r="D51" s="11">
        <f>IF($A51="","",IFERROR(IF(VLOOKUP($A51,Players!$A$2:$B$500,2,FALSE)="","Open",VLOOKUP($A51,Players!$A$2:$B$500,2,FALSE)),"Open"))</f>
        <v/>
      </c>
      <c r="E51" s="11">
        <f>IF(OR($A51="",NOT(ISNUMBER($B51))),"",IF($C51="Winner",1,COUNTIFS($D$7:$D$156,$D51,$B$7:$B$156,"&lt;"&amp;$B51)+1+IF(AND(NOT($C51="Winner"),COUNTIFS($D$7:$D$156,$D51,$C$7:$C$156,"Winner",$B$7:$B$156,$B51)&gt;0),1,0)))</f>
        <v/>
      </c>
      <c r="F51" s="11">
        <f>IF(OR($A51="",NOT(ISNUMBER($B51))),"",COUNTIFS($D$7:$D$156,$D51,$B$7:$B$156,"&gt;0"))</f>
        <v/>
      </c>
      <c r="G51" s="11">
        <f>IF(OR(OR($A51="",NOT(ISNUMBER($B51))),$B$2="Not started"),"",IF($C51="Winner",Points!$B$3,ROUND(Points!$B$3*IF($F51&lt;=1,1,Points!$H$7+(1-Points!$H$7)*((($F51-$E51)*(($F51-$E51)+1)/2)^2-((($F51-$E51-$J51+1)-1)*($F51-$E51-$J51+1)/2)^2)/($J51*($F51-1)^3)),0)))</f>
        <v/>
      </c>
      <c r="H51" s="11">
        <f>IF($A51="","",IF($B$2="Final","Final",IF($B$2="In progress","Projected","Not started")))</f>
        <v/>
      </c>
      <c r="I51" s="11">
        <f>IF($A51="","",IF(COUNTIF(Players!$A$2:$A$500,$A51)=0,"Player is not on the Players tab",IF(COUNTIF($A$7:$A$156,$A51)&gt;1,"Player is listed twice",IF(NOT(ISNUMBER($B51)),"Enter a score",IF(COUNTIFS($D$7:$D$156,$D51,$C$7:$C$156,"Winner")&gt;1,"More than one "&amp;$D51&amp;" winner picked",IF(AND($C51="Winner",COUNTIFS($D$7:$D$156,$D51,$B$7:$B$156,"&lt;"&amp;$B51)&gt;0),"The winner doesn't have the best "&amp;$D51&amp;" score",IF(AND($B$2="Final",COUNTIFS($D$7:$D$156,$D51,$C$7:$C$156,"Winner")=0),"Final: pick the "&amp;$D51&amp;" winner",IF($B$2="Not started","Set Status to In progress to count points","OK"))))))))</f>
        <v/>
      </c>
      <c r="J51" s="11">
        <f>IF(OR($A51="",NOT(ISNUMBER($B51))),"",IF($C51="Winner",1,COUNTIFS($D$7:$D$156,$D51,$B$7:$B$156,$B51)-IF(AND(NOT($C51="Winner"),COUNTIFS($D$7:$D$156,$D51,$C$7:$C$156,"Winner",$B$7:$B$156,$B51)&gt;0),1,0)))</f>
        <v/>
      </c>
    </row>
    <row r="52">
      <c r="D52" s="11">
        <f>IF($A52="","",IFERROR(IF(VLOOKUP($A52,Players!$A$2:$B$500,2,FALSE)="","Open",VLOOKUP($A52,Players!$A$2:$B$500,2,FALSE)),"Open"))</f>
        <v/>
      </c>
      <c r="E52" s="11">
        <f>IF(OR($A52="",NOT(ISNUMBER($B52))),"",IF($C52="Winner",1,COUNTIFS($D$7:$D$156,$D52,$B$7:$B$156,"&lt;"&amp;$B52)+1+IF(AND(NOT($C52="Winner"),COUNTIFS($D$7:$D$156,$D52,$C$7:$C$156,"Winner",$B$7:$B$156,$B52)&gt;0),1,0)))</f>
        <v/>
      </c>
      <c r="F52" s="11">
        <f>IF(OR($A52="",NOT(ISNUMBER($B52))),"",COUNTIFS($D$7:$D$156,$D52,$B$7:$B$156,"&gt;0"))</f>
        <v/>
      </c>
      <c r="G52" s="11">
        <f>IF(OR(OR($A52="",NOT(ISNUMBER($B52))),$B$2="Not started"),"",IF($C52="Winner",Points!$B$3,ROUND(Points!$B$3*IF($F52&lt;=1,1,Points!$H$7+(1-Points!$H$7)*((($F52-$E52)*(($F52-$E52)+1)/2)^2-((($F52-$E52-$J52+1)-1)*($F52-$E52-$J52+1)/2)^2)/($J52*($F52-1)^3)),0)))</f>
        <v/>
      </c>
      <c r="H52" s="11">
        <f>IF($A52="","",IF($B$2="Final","Final",IF($B$2="In progress","Projected","Not started")))</f>
        <v/>
      </c>
      <c r="I52" s="11">
        <f>IF($A52="","",IF(COUNTIF(Players!$A$2:$A$500,$A52)=0,"Player is not on the Players tab",IF(COUNTIF($A$7:$A$156,$A52)&gt;1,"Player is listed twice",IF(NOT(ISNUMBER($B52)),"Enter a score",IF(COUNTIFS($D$7:$D$156,$D52,$C$7:$C$156,"Winner")&gt;1,"More than one "&amp;$D52&amp;" winner picked",IF(AND($C52="Winner",COUNTIFS($D$7:$D$156,$D52,$B$7:$B$156,"&lt;"&amp;$B52)&gt;0),"The winner doesn't have the best "&amp;$D52&amp;" score",IF(AND($B$2="Final",COUNTIFS($D$7:$D$156,$D52,$C$7:$C$156,"Winner")=0),"Final: pick the "&amp;$D52&amp;" winner",IF($B$2="Not started","Set Status to In progress to count points","OK"))))))))</f>
        <v/>
      </c>
      <c r="J52" s="11">
        <f>IF(OR($A52="",NOT(ISNUMBER($B52))),"",IF($C52="Winner",1,COUNTIFS($D$7:$D$156,$D52,$B$7:$B$156,$B52)-IF(AND(NOT($C52="Winner"),COUNTIFS($D$7:$D$156,$D52,$C$7:$C$156,"Winner",$B$7:$B$156,$B52)&gt;0),1,0)))</f>
        <v/>
      </c>
    </row>
    <row r="53">
      <c r="D53" s="11">
        <f>IF($A53="","",IFERROR(IF(VLOOKUP($A53,Players!$A$2:$B$500,2,FALSE)="","Open",VLOOKUP($A53,Players!$A$2:$B$500,2,FALSE)),"Open"))</f>
        <v/>
      </c>
      <c r="E53" s="11">
        <f>IF(OR($A53="",NOT(ISNUMBER($B53))),"",IF($C53="Winner",1,COUNTIFS($D$7:$D$156,$D53,$B$7:$B$156,"&lt;"&amp;$B53)+1+IF(AND(NOT($C53="Winner"),COUNTIFS($D$7:$D$156,$D53,$C$7:$C$156,"Winner",$B$7:$B$156,$B53)&gt;0),1,0)))</f>
        <v/>
      </c>
      <c r="F53" s="11">
        <f>IF(OR($A53="",NOT(ISNUMBER($B53))),"",COUNTIFS($D$7:$D$156,$D53,$B$7:$B$156,"&gt;0"))</f>
        <v/>
      </c>
      <c r="G53" s="11">
        <f>IF(OR(OR($A53="",NOT(ISNUMBER($B53))),$B$2="Not started"),"",IF($C53="Winner",Points!$B$3,ROUND(Points!$B$3*IF($F53&lt;=1,1,Points!$H$7+(1-Points!$H$7)*((($F53-$E53)*(($F53-$E53)+1)/2)^2-((($F53-$E53-$J53+1)-1)*($F53-$E53-$J53+1)/2)^2)/($J53*($F53-1)^3)),0)))</f>
        <v/>
      </c>
      <c r="H53" s="11">
        <f>IF($A53="","",IF($B$2="Final","Final",IF($B$2="In progress","Projected","Not started")))</f>
        <v/>
      </c>
      <c r="I53" s="11">
        <f>IF($A53="","",IF(COUNTIF(Players!$A$2:$A$500,$A53)=0,"Player is not on the Players tab",IF(COUNTIF($A$7:$A$156,$A53)&gt;1,"Player is listed twice",IF(NOT(ISNUMBER($B53)),"Enter a score",IF(COUNTIFS($D$7:$D$156,$D53,$C$7:$C$156,"Winner")&gt;1,"More than one "&amp;$D53&amp;" winner picked",IF(AND($C53="Winner",COUNTIFS($D$7:$D$156,$D53,$B$7:$B$156,"&lt;"&amp;$B53)&gt;0),"The winner doesn't have the best "&amp;$D53&amp;" score",IF(AND($B$2="Final",COUNTIFS($D$7:$D$156,$D53,$C$7:$C$156,"Winner")=0),"Final: pick the "&amp;$D53&amp;" winner",IF($B$2="Not started","Set Status to In progress to count points","OK"))))))))</f>
        <v/>
      </c>
      <c r="J53" s="11">
        <f>IF(OR($A53="",NOT(ISNUMBER($B53))),"",IF($C53="Winner",1,COUNTIFS($D$7:$D$156,$D53,$B$7:$B$156,$B53)-IF(AND(NOT($C53="Winner"),COUNTIFS($D$7:$D$156,$D53,$C$7:$C$156,"Winner",$B$7:$B$156,$B53)&gt;0),1,0)))</f>
        <v/>
      </c>
    </row>
    <row r="54">
      <c r="D54" s="11">
        <f>IF($A54="","",IFERROR(IF(VLOOKUP($A54,Players!$A$2:$B$500,2,FALSE)="","Open",VLOOKUP($A54,Players!$A$2:$B$500,2,FALSE)),"Open"))</f>
        <v/>
      </c>
      <c r="E54" s="11">
        <f>IF(OR($A54="",NOT(ISNUMBER($B54))),"",IF($C54="Winner",1,COUNTIFS($D$7:$D$156,$D54,$B$7:$B$156,"&lt;"&amp;$B54)+1+IF(AND(NOT($C54="Winner"),COUNTIFS($D$7:$D$156,$D54,$C$7:$C$156,"Winner",$B$7:$B$156,$B54)&gt;0),1,0)))</f>
        <v/>
      </c>
      <c r="F54" s="11">
        <f>IF(OR($A54="",NOT(ISNUMBER($B54))),"",COUNTIFS($D$7:$D$156,$D54,$B$7:$B$156,"&gt;0"))</f>
        <v/>
      </c>
      <c r="G54" s="11">
        <f>IF(OR(OR($A54="",NOT(ISNUMBER($B54))),$B$2="Not started"),"",IF($C54="Winner",Points!$B$3,ROUND(Points!$B$3*IF($F54&lt;=1,1,Points!$H$7+(1-Points!$H$7)*((($F54-$E54)*(($F54-$E54)+1)/2)^2-((($F54-$E54-$J54+1)-1)*($F54-$E54-$J54+1)/2)^2)/($J54*($F54-1)^3)),0)))</f>
        <v/>
      </c>
      <c r="H54" s="11">
        <f>IF($A54="","",IF($B$2="Final","Final",IF($B$2="In progress","Projected","Not started")))</f>
        <v/>
      </c>
      <c r="I54" s="11">
        <f>IF($A54="","",IF(COUNTIF(Players!$A$2:$A$500,$A54)=0,"Player is not on the Players tab",IF(COUNTIF($A$7:$A$156,$A54)&gt;1,"Player is listed twice",IF(NOT(ISNUMBER($B54)),"Enter a score",IF(COUNTIFS($D$7:$D$156,$D54,$C$7:$C$156,"Winner")&gt;1,"More than one "&amp;$D54&amp;" winner picked",IF(AND($C54="Winner",COUNTIFS($D$7:$D$156,$D54,$B$7:$B$156,"&lt;"&amp;$B54)&gt;0),"The winner doesn't have the best "&amp;$D54&amp;" score",IF(AND($B$2="Final",COUNTIFS($D$7:$D$156,$D54,$C$7:$C$156,"Winner")=0),"Final: pick the "&amp;$D54&amp;" winner",IF($B$2="Not started","Set Status to In progress to count points","OK"))))))))</f>
        <v/>
      </c>
      <c r="J54" s="11">
        <f>IF(OR($A54="",NOT(ISNUMBER($B54))),"",IF($C54="Winner",1,COUNTIFS($D$7:$D$156,$D54,$B$7:$B$156,$B54)-IF(AND(NOT($C54="Winner"),COUNTIFS($D$7:$D$156,$D54,$C$7:$C$156,"Winner",$B$7:$B$156,$B54)&gt;0),1,0)))</f>
        <v/>
      </c>
    </row>
    <row r="55">
      <c r="D55" s="11">
        <f>IF($A55="","",IFERROR(IF(VLOOKUP($A55,Players!$A$2:$B$500,2,FALSE)="","Open",VLOOKUP($A55,Players!$A$2:$B$500,2,FALSE)),"Open"))</f>
        <v/>
      </c>
      <c r="E55" s="11">
        <f>IF(OR($A55="",NOT(ISNUMBER($B55))),"",IF($C55="Winner",1,COUNTIFS($D$7:$D$156,$D55,$B$7:$B$156,"&lt;"&amp;$B55)+1+IF(AND(NOT($C55="Winner"),COUNTIFS($D$7:$D$156,$D55,$C$7:$C$156,"Winner",$B$7:$B$156,$B55)&gt;0),1,0)))</f>
        <v/>
      </c>
      <c r="F55" s="11">
        <f>IF(OR($A55="",NOT(ISNUMBER($B55))),"",COUNTIFS($D$7:$D$156,$D55,$B$7:$B$156,"&gt;0"))</f>
        <v/>
      </c>
      <c r="G55" s="11">
        <f>IF(OR(OR($A55="",NOT(ISNUMBER($B55))),$B$2="Not started"),"",IF($C55="Winner",Points!$B$3,ROUND(Points!$B$3*IF($F55&lt;=1,1,Points!$H$7+(1-Points!$H$7)*((($F55-$E55)*(($F55-$E55)+1)/2)^2-((($F55-$E55-$J55+1)-1)*($F55-$E55-$J55+1)/2)^2)/($J55*($F55-1)^3)),0)))</f>
        <v/>
      </c>
      <c r="H55" s="11">
        <f>IF($A55="","",IF($B$2="Final","Final",IF($B$2="In progress","Projected","Not started")))</f>
        <v/>
      </c>
      <c r="I55" s="11">
        <f>IF($A55="","",IF(COUNTIF(Players!$A$2:$A$500,$A55)=0,"Player is not on the Players tab",IF(COUNTIF($A$7:$A$156,$A55)&gt;1,"Player is listed twice",IF(NOT(ISNUMBER($B55)),"Enter a score",IF(COUNTIFS($D$7:$D$156,$D55,$C$7:$C$156,"Winner")&gt;1,"More than one "&amp;$D55&amp;" winner picked",IF(AND($C55="Winner",COUNTIFS($D$7:$D$156,$D55,$B$7:$B$156,"&lt;"&amp;$B55)&gt;0),"The winner doesn't have the best "&amp;$D55&amp;" score",IF(AND($B$2="Final",COUNTIFS($D$7:$D$156,$D55,$C$7:$C$156,"Winner")=0),"Final: pick the "&amp;$D55&amp;" winner",IF($B$2="Not started","Set Status to In progress to count points","OK"))))))))</f>
        <v/>
      </c>
      <c r="J55" s="11">
        <f>IF(OR($A55="",NOT(ISNUMBER($B55))),"",IF($C55="Winner",1,COUNTIFS($D$7:$D$156,$D55,$B$7:$B$156,$B55)-IF(AND(NOT($C55="Winner"),COUNTIFS($D$7:$D$156,$D55,$C$7:$C$156,"Winner",$B$7:$B$156,$B55)&gt;0),1,0)))</f>
        <v/>
      </c>
    </row>
    <row r="56">
      <c r="D56" s="11">
        <f>IF($A56="","",IFERROR(IF(VLOOKUP($A56,Players!$A$2:$B$500,2,FALSE)="","Open",VLOOKUP($A56,Players!$A$2:$B$500,2,FALSE)),"Open"))</f>
        <v/>
      </c>
      <c r="E56" s="11">
        <f>IF(OR($A56="",NOT(ISNUMBER($B56))),"",IF($C56="Winner",1,COUNTIFS($D$7:$D$156,$D56,$B$7:$B$156,"&lt;"&amp;$B56)+1+IF(AND(NOT($C56="Winner"),COUNTIFS($D$7:$D$156,$D56,$C$7:$C$156,"Winner",$B$7:$B$156,$B56)&gt;0),1,0)))</f>
        <v/>
      </c>
      <c r="F56" s="11">
        <f>IF(OR($A56="",NOT(ISNUMBER($B56))),"",COUNTIFS($D$7:$D$156,$D56,$B$7:$B$156,"&gt;0"))</f>
        <v/>
      </c>
      <c r="G56" s="11">
        <f>IF(OR(OR($A56="",NOT(ISNUMBER($B56))),$B$2="Not started"),"",IF($C56="Winner",Points!$B$3,ROUND(Points!$B$3*IF($F56&lt;=1,1,Points!$H$7+(1-Points!$H$7)*((($F56-$E56)*(($F56-$E56)+1)/2)^2-((($F56-$E56-$J56+1)-1)*($F56-$E56-$J56+1)/2)^2)/($J56*($F56-1)^3)),0)))</f>
        <v/>
      </c>
      <c r="H56" s="11">
        <f>IF($A56="","",IF($B$2="Final","Final",IF($B$2="In progress","Projected","Not started")))</f>
        <v/>
      </c>
      <c r="I56" s="11">
        <f>IF($A56="","",IF(COUNTIF(Players!$A$2:$A$500,$A56)=0,"Player is not on the Players tab",IF(COUNTIF($A$7:$A$156,$A56)&gt;1,"Player is listed twice",IF(NOT(ISNUMBER($B56)),"Enter a score",IF(COUNTIFS($D$7:$D$156,$D56,$C$7:$C$156,"Winner")&gt;1,"More than one "&amp;$D56&amp;" winner picked",IF(AND($C56="Winner",COUNTIFS($D$7:$D$156,$D56,$B$7:$B$156,"&lt;"&amp;$B56)&gt;0),"The winner doesn't have the best "&amp;$D56&amp;" score",IF(AND($B$2="Final",COUNTIFS($D$7:$D$156,$D56,$C$7:$C$156,"Winner")=0),"Final: pick the "&amp;$D56&amp;" winner",IF($B$2="Not started","Set Status to In progress to count points","OK"))))))))</f>
        <v/>
      </c>
      <c r="J56" s="11">
        <f>IF(OR($A56="",NOT(ISNUMBER($B56))),"",IF($C56="Winner",1,COUNTIFS($D$7:$D$156,$D56,$B$7:$B$156,$B56)-IF(AND(NOT($C56="Winner"),COUNTIFS($D$7:$D$156,$D56,$C$7:$C$156,"Winner",$B$7:$B$156,$B56)&gt;0),1,0)))</f>
        <v/>
      </c>
    </row>
    <row r="57">
      <c r="D57" s="11">
        <f>IF($A57="","",IFERROR(IF(VLOOKUP($A57,Players!$A$2:$B$500,2,FALSE)="","Open",VLOOKUP($A57,Players!$A$2:$B$500,2,FALSE)),"Open"))</f>
        <v/>
      </c>
      <c r="E57" s="11">
        <f>IF(OR($A57="",NOT(ISNUMBER($B57))),"",IF($C57="Winner",1,COUNTIFS($D$7:$D$156,$D57,$B$7:$B$156,"&lt;"&amp;$B57)+1+IF(AND(NOT($C57="Winner"),COUNTIFS($D$7:$D$156,$D57,$C$7:$C$156,"Winner",$B$7:$B$156,$B57)&gt;0),1,0)))</f>
        <v/>
      </c>
      <c r="F57" s="11">
        <f>IF(OR($A57="",NOT(ISNUMBER($B57))),"",COUNTIFS($D$7:$D$156,$D57,$B$7:$B$156,"&gt;0"))</f>
        <v/>
      </c>
      <c r="G57" s="11">
        <f>IF(OR(OR($A57="",NOT(ISNUMBER($B57))),$B$2="Not started"),"",IF($C57="Winner",Points!$B$3,ROUND(Points!$B$3*IF($F57&lt;=1,1,Points!$H$7+(1-Points!$H$7)*((($F57-$E57)*(($F57-$E57)+1)/2)^2-((($F57-$E57-$J57+1)-1)*($F57-$E57-$J57+1)/2)^2)/($J57*($F57-1)^3)),0)))</f>
        <v/>
      </c>
      <c r="H57" s="11">
        <f>IF($A57="","",IF($B$2="Final","Final",IF($B$2="In progress","Projected","Not started")))</f>
        <v/>
      </c>
      <c r="I57" s="11">
        <f>IF($A57="","",IF(COUNTIF(Players!$A$2:$A$500,$A57)=0,"Player is not on the Players tab",IF(COUNTIF($A$7:$A$156,$A57)&gt;1,"Player is listed twice",IF(NOT(ISNUMBER($B57)),"Enter a score",IF(COUNTIFS($D$7:$D$156,$D57,$C$7:$C$156,"Winner")&gt;1,"More than one "&amp;$D57&amp;" winner picked",IF(AND($C57="Winner",COUNTIFS($D$7:$D$156,$D57,$B$7:$B$156,"&lt;"&amp;$B57)&gt;0),"The winner doesn't have the best "&amp;$D57&amp;" score",IF(AND($B$2="Final",COUNTIFS($D$7:$D$156,$D57,$C$7:$C$156,"Winner")=0),"Final: pick the "&amp;$D57&amp;" winner",IF($B$2="Not started","Set Status to In progress to count points","OK"))))))))</f>
        <v/>
      </c>
      <c r="J57" s="11">
        <f>IF(OR($A57="",NOT(ISNUMBER($B57))),"",IF($C57="Winner",1,COUNTIFS($D$7:$D$156,$D57,$B$7:$B$156,$B57)-IF(AND(NOT($C57="Winner"),COUNTIFS($D$7:$D$156,$D57,$C$7:$C$156,"Winner",$B$7:$B$156,$B57)&gt;0),1,0)))</f>
        <v/>
      </c>
    </row>
    <row r="58">
      <c r="D58" s="11">
        <f>IF($A58="","",IFERROR(IF(VLOOKUP($A58,Players!$A$2:$B$500,2,FALSE)="","Open",VLOOKUP($A58,Players!$A$2:$B$500,2,FALSE)),"Open"))</f>
        <v/>
      </c>
      <c r="E58" s="11">
        <f>IF(OR($A58="",NOT(ISNUMBER($B58))),"",IF($C58="Winner",1,COUNTIFS($D$7:$D$156,$D58,$B$7:$B$156,"&lt;"&amp;$B58)+1+IF(AND(NOT($C58="Winner"),COUNTIFS($D$7:$D$156,$D58,$C$7:$C$156,"Winner",$B$7:$B$156,$B58)&gt;0),1,0)))</f>
        <v/>
      </c>
      <c r="F58" s="11">
        <f>IF(OR($A58="",NOT(ISNUMBER($B58))),"",COUNTIFS($D$7:$D$156,$D58,$B$7:$B$156,"&gt;0"))</f>
        <v/>
      </c>
      <c r="G58" s="11">
        <f>IF(OR(OR($A58="",NOT(ISNUMBER($B58))),$B$2="Not started"),"",IF($C58="Winner",Points!$B$3,ROUND(Points!$B$3*IF($F58&lt;=1,1,Points!$H$7+(1-Points!$H$7)*((($F58-$E58)*(($F58-$E58)+1)/2)^2-((($F58-$E58-$J58+1)-1)*($F58-$E58-$J58+1)/2)^2)/($J58*($F58-1)^3)),0)))</f>
        <v/>
      </c>
      <c r="H58" s="11">
        <f>IF($A58="","",IF($B$2="Final","Final",IF($B$2="In progress","Projected","Not started")))</f>
        <v/>
      </c>
      <c r="I58" s="11">
        <f>IF($A58="","",IF(COUNTIF(Players!$A$2:$A$500,$A58)=0,"Player is not on the Players tab",IF(COUNTIF($A$7:$A$156,$A58)&gt;1,"Player is listed twice",IF(NOT(ISNUMBER($B58)),"Enter a score",IF(COUNTIFS($D$7:$D$156,$D58,$C$7:$C$156,"Winner")&gt;1,"More than one "&amp;$D58&amp;" winner picked",IF(AND($C58="Winner",COUNTIFS($D$7:$D$156,$D58,$B$7:$B$156,"&lt;"&amp;$B58)&gt;0),"The winner doesn't have the best "&amp;$D58&amp;" score",IF(AND($B$2="Final",COUNTIFS($D$7:$D$156,$D58,$C$7:$C$156,"Winner")=0),"Final: pick the "&amp;$D58&amp;" winner",IF($B$2="Not started","Set Status to In progress to count points","OK"))))))))</f>
        <v/>
      </c>
      <c r="J58" s="11">
        <f>IF(OR($A58="",NOT(ISNUMBER($B58))),"",IF($C58="Winner",1,COUNTIFS($D$7:$D$156,$D58,$B$7:$B$156,$B58)-IF(AND(NOT($C58="Winner"),COUNTIFS($D$7:$D$156,$D58,$C$7:$C$156,"Winner",$B$7:$B$156,$B58)&gt;0),1,0)))</f>
        <v/>
      </c>
    </row>
    <row r="59">
      <c r="D59" s="11">
        <f>IF($A59="","",IFERROR(IF(VLOOKUP($A59,Players!$A$2:$B$500,2,FALSE)="","Open",VLOOKUP($A59,Players!$A$2:$B$500,2,FALSE)),"Open"))</f>
        <v/>
      </c>
      <c r="E59" s="11">
        <f>IF(OR($A59="",NOT(ISNUMBER($B59))),"",IF($C59="Winner",1,COUNTIFS($D$7:$D$156,$D59,$B$7:$B$156,"&lt;"&amp;$B59)+1+IF(AND(NOT($C59="Winner"),COUNTIFS($D$7:$D$156,$D59,$C$7:$C$156,"Winner",$B$7:$B$156,$B59)&gt;0),1,0)))</f>
        <v/>
      </c>
      <c r="F59" s="11">
        <f>IF(OR($A59="",NOT(ISNUMBER($B59))),"",COUNTIFS($D$7:$D$156,$D59,$B$7:$B$156,"&gt;0"))</f>
        <v/>
      </c>
      <c r="G59" s="11">
        <f>IF(OR(OR($A59="",NOT(ISNUMBER($B59))),$B$2="Not started"),"",IF($C59="Winner",Points!$B$3,ROUND(Points!$B$3*IF($F59&lt;=1,1,Points!$H$7+(1-Points!$H$7)*((($F59-$E59)*(($F59-$E59)+1)/2)^2-((($F59-$E59-$J59+1)-1)*($F59-$E59-$J59+1)/2)^2)/($J59*($F59-1)^3)),0)))</f>
        <v/>
      </c>
      <c r="H59" s="11">
        <f>IF($A59="","",IF($B$2="Final","Final",IF($B$2="In progress","Projected","Not started")))</f>
        <v/>
      </c>
      <c r="I59" s="11">
        <f>IF($A59="","",IF(COUNTIF(Players!$A$2:$A$500,$A59)=0,"Player is not on the Players tab",IF(COUNTIF($A$7:$A$156,$A59)&gt;1,"Player is listed twice",IF(NOT(ISNUMBER($B59)),"Enter a score",IF(COUNTIFS($D$7:$D$156,$D59,$C$7:$C$156,"Winner")&gt;1,"More than one "&amp;$D59&amp;" winner picked",IF(AND($C59="Winner",COUNTIFS($D$7:$D$156,$D59,$B$7:$B$156,"&lt;"&amp;$B59)&gt;0),"The winner doesn't have the best "&amp;$D59&amp;" score",IF(AND($B$2="Final",COUNTIFS($D$7:$D$156,$D59,$C$7:$C$156,"Winner")=0),"Final: pick the "&amp;$D59&amp;" winner",IF($B$2="Not started","Set Status to In progress to count points","OK"))))))))</f>
        <v/>
      </c>
      <c r="J59" s="11">
        <f>IF(OR($A59="",NOT(ISNUMBER($B59))),"",IF($C59="Winner",1,COUNTIFS($D$7:$D$156,$D59,$B$7:$B$156,$B59)-IF(AND(NOT($C59="Winner"),COUNTIFS($D$7:$D$156,$D59,$C$7:$C$156,"Winner",$B$7:$B$156,$B59)&gt;0),1,0)))</f>
        <v/>
      </c>
    </row>
    <row r="60">
      <c r="D60" s="11">
        <f>IF($A60="","",IFERROR(IF(VLOOKUP($A60,Players!$A$2:$B$500,2,FALSE)="","Open",VLOOKUP($A60,Players!$A$2:$B$500,2,FALSE)),"Open"))</f>
        <v/>
      </c>
      <c r="E60" s="11">
        <f>IF(OR($A60="",NOT(ISNUMBER($B60))),"",IF($C60="Winner",1,COUNTIFS($D$7:$D$156,$D60,$B$7:$B$156,"&lt;"&amp;$B60)+1+IF(AND(NOT($C60="Winner"),COUNTIFS($D$7:$D$156,$D60,$C$7:$C$156,"Winner",$B$7:$B$156,$B60)&gt;0),1,0)))</f>
        <v/>
      </c>
      <c r="F60" s="11">
        <f>IF(OR($A60="",NOT(ISNUMBER($B60))),"",COUNTIFS($D$7:$D$156,$D60,$B$7:$B$156,"&gt;0"))</f>
        <v/>
      </c>
      <c r="G60" s="11">
        <f>IF(OR(OR($A60="",NOT(ISNUMBER($B60))),$B$2="Not started"),"",IF($C60="Winner",Points!$B$3,ROUND(Points!$B$3*IF($F60&lt;=1,1,Points!$H$7+(1-Points!$H$7)*((($F60-$E60)*(($F60-$E60)+1)/2)^2-((($F60-$E60-$J60+1)-1)*($F60-$E60-$J60+1)/2)^2)/($J60*($F60-1)^3)),0)))</f>
        <v/>
      </c>
      <c r="H60" s="11">
        <f>IF($A60="","",IF($B$2="Final","Final",IF($B$2="In progress","Projected","Not started")))</f>
        <v/>
      </c>
      <c r="I60" s="11">
        <f>IF($A60="","",IF(COUNTIF(Players!$A$2:$A$500,$A60)=0,"Player is not on the Players tab",IF(COUNTIF($A$7:$A$156,$A60)&gt;1,"Player is listed twice",IF(NOT(ISNUMBER($B60)),"Enter a score",IF(COUNTIFS($D$7:$D$156,$D60,$C$7:$C$156,"Winner")&gt;1,"More than one "&amp;$D60&amp;" winner picked",IF(AND($C60="Winner",COUNTIFS($D$7:$D$156,$D60,$B$7:$B$156,"&lt;"&amp;$B60)&gt;0),"The winner doesn't have the best "&amp;$D60&amp;" score",IF(AND($B$2="Final",COUNTIFS($D$7:$D$156,$D60,$C$7:$C$156,"Winner")=0),"Final: pick the "&amp;$D60&amp;" winner",IF($B$2="Not started","Set Status to In progress to count points","OK"))))))))</f>
        <v/>
      </c>
      <c r="J60" s="11">
        <f>IF(OR($A60="",NOT(ISNUMBER($B60))),"",IF($C60="Winner",1,COUNTIFS($D$7:$D$156,$D60,$B$7:$B$156,$B60)-IF(AND(NOT($C60="Winner"),COUNTIFS($D$7:$D$156,$D60,$C$7:$C$156,"Winner",$B$7:$B$156,$B60)&gt;0),1,0)))</f>
        <v/>
      </c>
    </row>
    <row r="61">
      <c r="D61" s="11">
        <f>IF($A61="","",IFERROR(IF(VLOOKUP($A61,Players!$A$2:$B$500,2,FALSE)="","Open",VLOOKUP($A61,Players!$A$2:$B$500,2,FALSE)),"Open"))</f>
        <v/>
      </c>
      <c r="E61" s="11">
        <f>IF(OR($A61="",NOT(ISNUMBER($B61))),"",IF($C61="Winner",1,COUNTIFS($D$7:$D$156,$D61,$B$7:$B$156,"&lt;"&amp;$B61)+1+IF(AND(NOT($C61="Winner"),COUNTIFS($D$7:$D$156,$D61,$C$7:$C$156,"Winner",$B$7:$B$156,$B61)&gt;0),1,0)))</f>
        <v/>
      </c>
      <c r="F61" s="11">
        <f>IF(OR($A61="",NOT(ISNUMBER($B61))),"",COUNTIFS($D$7:$D$156,$D61,$B$7:$B$156,"&gt;0"))</f>
        <v/>
      </c>
      <c r="G61" s="11">
        <f>IF(OR(OR($A61="",NOT(ISNUMBER($B61))),$B$2="Not started"),"",IF($C61="Winner",Points!$B$3,ROUND(Points!$B$3*IF($F61&lt;=1,1,Points!$H$7+(1-Points!$H$7)*((($F61-$E61)*(($F61-$E61)+1)/2)^2-((($F61-$E61-$J61+1)-1)*($F61-$E61-$J61+1)/2)^2)/($J61*($F61-1)^3)),0)))</f>
        <v/>
      </c>
      <c r="H61" s="11">
        <f>IF($A61="","",IF($B$2="Final","Final",IF($B$2="In progress","Projected","Not started")))</f>
        <v/>
      </c>
      <c r="I61" s="11">
        <f>IF($A61="","",IF(COUNTIF(Players!$A$2:$A$500,$A61)=0,"Player is not on the Players tab",IF(COUNTIF($A$7:$A$156,$A61)&gt;1,"Player is listed twice",IF(NOT(ISNUMBER($B61)),"Enter a score",IF(COUNTIFS($D$7:$D$156,$D61,$C$7:$C$156,"Winner")&gt;1,"More than one "&amp;$D61&amp;" winner picked",IF(AND($C61="Winner",COUNTIFS($D$7:$D$156,$D61,$B$7:$B$156,"&lt;"&amp;$B61)&gt;0),"The winner doesn't have the best "&amp;$D61&amp;" score",IF(AND($B$2="Final",COUNTIFS($D$7:$D$156,$D61,$C$7:$C$156,"Winner")=0),"Final: pick the "&amp;$D61&amp;" winner",IF($B$2="Not started","Set Status to In progress to count points","OK"))))))))</f>
        <v/>
      </c>
      <c r="J61" s="11">
        <f>IF(OR($A61="",NOT(ISNUMBER($B61))),"",IF($C61="Winner",1,COUNTIFS($D$7:$D$156,$D61,$B$7:$B$156,$B61)-IF(AND(NOT($C61="Winner"),COUNTIFS($D$7:$D$156,$D61,$C$7:$C$156,"Winner",$B$7:$B$156,$B61)&gt;0),1,0)))</f>
        <v/>
      </c>
    </row>
    <row r="62">
      <c r="D62" s="11">
        <f>IF($A62="","",IFERROR(IF(VLOOKUP($A62,Players!$A$2:$B$500,2,FALSE)="","Open",VLOOKUP($A62,Players!$A$2:$B$500,2,FALSE)),"Open"))</f>
        <v/>
      </c>
      <c r="E62" s="11">
        <f>IF(OR($A62="",NOT(ISNUMBER($B62))),"",IF($C62="Winner",1,COUNTIFS($D$7:$D$156,$D62,$B$7:$B$156,"&lt;"&amp;$B62)+1+IF(AND(NOT($C62="Winner"),COUNTIFS($D$7:$D$156,$D62,$C$7:$C$156,"Winner",$B$7:$B$156,$B62)&gt;0),1,0)))</f>
        <v/>
      </c>
      <c r="F62" s="11">
        <f>IF(OR($A62="",NOT(ISNUMBER($B62))),"",COUNTIFS($D$7:$D$156,$D62,$B$7:$B$156,"&gt;0"))</f>
        <v/>
      </c>
      <c r="G62" s="11">
        <f>IF(OR(OR($A62="",NOT(ISNUMBER($B62))),$B$2="Not started"),"",IF($C62="Winner",Points!$B$3,ROUND(Points!$B$3*IF($F62&lt;=1,1,Points!$H$7+(1-Points!$H$7)*((($F62-$E62)*(($F62-$E62)+1)/2)^2-((($F62-$E62-$J62+1)-1)*($F62-$E62-$J62+1)/2)^2)/($J62*($F62-1)^3)),0)))</f>
        <v/>
      </c>
      <c r="H62" s="11">
        <f>IF($A62="","",IF($B$2="Final","Final",IF($B$2="In progress","Projected","Not started")))</f>
        <v/>
      </c>
      <c r="I62" s="11">
        <f>IF($A62="","",IF(COUNTIF(Players!$A$2:$A$500,$A62)=0,"Player is not on the Players tab",IF(COUNTIF($A$7:$A$156,$A62)&gt;1,"Player is listed twice",IF(NOT(ISNUMBER($B62)),"Enter a score",IF(COUNTIFS($D$7:$D$156,$D62,$C$7:$C$156,"Winner")&gt;1,"More than one "&amp;$D62&amp;" winner picked",IF(AND($C62="Winner",COUNTIFS($D$7:$D$156,$D62,$B$7:$B$156,"&lt;"&amp;$B62)&gt;0),"The winner doesn't have the best "&amp;$D62&amp;" score",IF(AND($B$2="Final",COUNTIFS($D$7:$D$156,$D62,$C$7:$C$156,"Winner")=0),"Final: pick the "&amp;$D62&amp;" winner",IF($B$2="Not started","Set Status to In progress to count points","OK"))))))))</f>
        <v/>
      </c>
      <c r="J62" s="11">
        <f>IF(OR($A62="",NOT(ISNUMBER($B62))),"",IF($C62="Winner",1,COUNTIFS($D$7:$D$156,$D62,$B$7:$B$156,$B62)-IF(AND(NOT($C62="Winner"),COUNTIFS($D$7:$D$156,$D62,$C$7:$C$156,"Winner",$B$7:$B$156,$B62)&gt;0),1,0)))</f>
        <v/>
      </c>
    </row>
    <row r="63">
      <c r="D63" s="11">
        <f>IF($A63="","",IFERROR(IF(VLOOKUP($A63,Players!$A$2:$B$500,2,FALSE)="","Open",VLOOKUP($A63,Players!$A$2:$B$500,2,FALSE)),"Open"))</f>
        <v/>
      </c>
      <c r="E63" s="11">
        <f>IF(OR($A63="",NOT(ISNUMBER($B63))),"",IF($C63="Winner",1,COUNTIFS($D$7:$D$156,$D63,$B$7:$B$156,"&lt;"&amp;$B63)+1+IF(AND(NOT($C63="Winner"),COUNTIFS($D$7:$D$156,$D63,$C$7:$C$156,"Winner",$B$7:$B$156,$B63)&gt;0),1,0)))</f>
        <v/>
      </c>
      <c r="F63" s="11">
        <f>IF(OR($A63="",NOT(ISNUMBER($B63))),"",COUNTIFS($D$7:$D$156,$D63,$B$7:$B$156,"&gt;0"))</f>
        <v/>
      </c>
      <c r="G63" s="11">
        <f>IF(OR(OR($A63="",NOT(ISNUMBER($B63))),$B$2="Not started"),"",IF($C63="Winner",Points!$B$3,ROUND(Points!$B$3*IF($F63&lt;=1,1,Points!$H$7+(1-Points!$H$7)*((($F63-$E63)*(($F63-$E63)+1)/2)^2-((($F63-$E63-$J63+1)-1)*($F63-$E63-$J63+1)/2)^2)/($J63*($F63-1)^3)),0)))</f>
        <v/>
      </c>
      <c r="H63" s="11">
        <f>IF($A63="","",IF($B$2="Final","Final",IF($B$2="In progress","Projected","Not started")))</f>
        <v/>
      </c>
      <c r="I63" s="11">
        <f>IF($A63="","",IF(COUNTIF(Players!$A$2:$A$500,$A63)=0,"Player is not on the Players tab",IF(COUNTIF($A$7:$A$156,$A63)&gt;1,"Player is listed twice",IF(NOT(ISNUMBER($B63)),"Enter a score",IF(COUNTIFS($D$7:$D$156,$D63,$C$7:$C$156,"Winner")&gt;1,"More than one "&amp;$D63&amp;" winner picked",IF(AND($C63="Winner",COUNTIFS($D$7:$D$156,$D63,$B$7:$B$156,"&lt;"&amp;$B63)&gt;0),"The winner doesn't have the best "&amp;$D63&amp;" score",IF(AND($B$2="Final",COUNTIFS($D$7:$D$156,$D63,$C$7:$C$156,"Winner")=0),"Final: pick the "&amp;$D63&amp;" winner",IF($B$2="Not started","Set Status to In progress to count points","OK"))))))))</f>
        <v/>
      </c>
      <c r="J63" s="11">
        <f>IF(OR($A63="",NOT(ISNUMBER($B63))),"",IF($C63="Winner",1,COUNTIFS($D$7:$D$156,$D63,$B$7:$B$156,$B63)-IF(AND(NOT($C63="Winner"),COUNTIFS($D$7:$D$156,$D63,$C$7:$C$156,"Winner",$B$7:$B$156,$B63)&gt;0),1,0)))</f>
        <v/>
      </c>
    </row>
    <row r="64">
      <c r="D64" s="11">
        <f>IF($A64="","",IFERROR(IF(VLOOKUP($A64,Players!$A$2:$B$500,2,FALSE)="","Open",VLOOKUP($A64,Players!$A$2:$B$500,2,FALSE)),"Open"))</f>
        <v/>
      </c>
      <c r="E64" s="11">
        <f>IF(OR($A64="",NOT(ISNUMBER($B64))),"",IF($C64="Winner",1,COUNTIFS($D$7:$D$156,$D64,$B$7:$B$156,"&lt;"&amp;$B64)+1+IF(AND(NOT($C64="Winner"),COUNTIFS($D$7:$D$156,$D64,$C$7:$C$156,"Winner",$B$7:$B$156,$B64)&gt;0),1,0)))</f>
        <v/>
      </c>
      <c r="F64" s="11">
        <f>IF(OR($A64="",NOT(ISNUMBER($B64))),"",COUNTIFS($D$7:$D$156,$D64,$B$7:$B$156,"&gt;0"))</f>
        <v/>
      </c>
      <c r="G64" s="11">
        <f>IF(OR(OR($A64="",NOT(ISNUMBER($B64))),$B$2="Not started"),"",IF($C64="Winner",Points!$B$3,ROUND(Points!$B$3*IF($F64&lt;=1,1,Points!$H$7+(1-Points!$H$7)*((($F64-$E64)*(($F64-$E64)+1)/2)^2-((($F64-$E64-$J64+1)-1)*($F64-$E64-$J64+1)/2)^2)/($J64*($F64-1)^3)),0)))</f>
        <v/>
      </c>
      <c r="H64" s="11">
        <f>IF($A64="","",IF($B$2="Final","Final",IF($B$2="In progress","Projected","Not started")))</f>
        <v/>
      </c>
      <c r="I64" s="11">
        <f>IF($A64="","",IF(COUNTIF(Players!$A$2:$A$500,$A64)=0,"Player is not on the Players tab",IF(COUNTIF($A$7:$A$156,$A64)&gt;1,"Player is listed twice",IF(NOT(ISNUMBER($B64)),"Enter a score",IF(COUNTIFS($D$7:$D$156,$D64,$C$7:$C$156,"Winner")&gt;1,"More than one "&amp;$D64&amp;" winner picked",IF(AND($C64="Winner",COUNTIFS($D$7:$D$156,$D64,$B$7:$B$156,"&lt;"&amp;$B64)&gt;0),"The winner doesn't have the best "&amp;$D64&amp;" score",IF(AND($B$2="Final",COUNTIFS($D$7:$D$156,$D64,$C$7:$C$156,"Winner")=0),"Final: pick the "&amp;$D64&amp;" winner",IF($B$2="Not started","Set Status to In progress to count points","OK"))))))))</f>
        <v/>
      </c>
      <c r="J64" s="11">
        <f>IF(OR($A64="",NOT(ISNUMBER($B64))),"",IF($C64="Winner",1,COUNTIFS($D$7:$D$156,$D64,$B$7:$B$156,$B64)-IF(AND(NOT($C64="Winner"),COUNTIFS($D$7:$D$156,$D64,$C$7:$C$156,"Winner",$B$7:$B$156,$B64)&gt;0),1,0)))</f>
        <v/>
      </c>
    </row>
    <row r="65">
      <c r="D65" s="11">
        <f>IF($A65="","",IFERROR(IF(VLOOKUP($A65,Players!$A$2:$B$500,2,FALSE)="","Open",VLOOKUP($A65,Players!$A$2:$B$500,2,FALSE)),"Open"))</f>
        <v/>
      </c>
      <c r="E65" s="11">
        <f>IF(OR($A65="",NOT(ISNUMBER($B65))),"",IF($C65="Winner",1,COUNTIFS($D$7:$D$156,$D65,$B$7:$B$156,"&lt;"&amp;$B65)+1+IF(AND(NOT($C65="Winner"),COUNTIFS($D$7:$D$156,$D65,$C$7:$C$156,"Winner",$B$7:$B$156,$B65)&gt;0),1,0)))</f>
        <v/>
      </c>
      <c r="F65" s="11">
        <f>IF(OR($A65="",NOT(ISNUMBER($B65))),"",COUNTIFS($D$7:$D$156,$D65,$B$7:$B$156,"&gt;0"))</f>
        <v/>
      </c>
      <c r="G65" s="11">
        <f>IF(OR(OR($A65="",NOT(ISNUMBER($B65))),$B$2="Not started"),"",IF($C65="Winner",Points!$B$3,ROUND(Points!$B$3*IF($F65&lt;=1,1,Points!$H$7+(1-Points!$H$7)*((($F65-$E65)*(($F65-$E65)+1)/2)^2-((($F65-$E65-$J65+1)-1)*($F65-$E65-$J65+1)/2)^2)/($J65*($F65-1)^3)),0)))</f>
        <v/>
      </c>
      <c r="H65" s="11">
        <f>IF($A65="","",IF($B$2="Final","Final",IF($B$2="In progress","Projected","Not started")))</f>
        <v/>
      </c>
      <c r="I65" s="11">
        <f>IF($A65="","",IF(COUNTIF(Players!$A$2:$A$500,$A65)=0,"Player is not on the Players tab",IF(COUNTIF($A$7:$A$156,$A65)&gt;1,"Player is listed twice",IF(NOT(ISNUMBER($B65)),"Enter a score",IF(COUNTIFS($D$7:$D$156,$D65,$C$7:$C$156,"Winner")&gt;1,"More than one "&amp;$D65&amp;" winner picked",IF(AND($C65="Winner",COUNTIFS($D$7:$D$156,$D65,$B$7:$B$156,"&lt;"&amp;$B65)&gt;0),"The winner doesn't have the best "&amp;$D65&amp;" score",IF(AND($B$2="Final",COUNTIFS($D$7:$D$156,$D65,$C$7:$C$156,"Winner")=0),"Final: pick the "&amp;$D65&amp;" winner",IF($B$2="Not started","Set Status to In progress to count points","OK"))))))))</f>
        <v/>
      </c>
      <c r="J65" s="11">
        <f>IF(OR($A65="",NOT(ISNUMBER($B65))),"",IF($C65="Winner",1,COUNTIFS($D$7:$D$156,$D65,$B$7:$B$156,$B65)-IF(AND(NOT($C65="Winner"),COUNTIFS($D$7:$D$156,$D65,$C$7:$C$156,"Winner",$B$7:$B$156,$B65)&gt;0),1,0)))</f>
        <v/>
      </c>
    </row>
    <row r="66">
      <c r="D66" s="11">
        <f>IF($A66="","",IFERROR(IF(VLOOKUP($A66,Players!$A$2:$B$500,2,FALSE)="","Open",VLOOKUP($A66,Players!$A$2:$B$500,2,FALSE)),"Open"))</f>
        <v/>
      </c>
      <c r="E66" s="11">
        <f>IF(OR($A66="",NOT(ISNUMBER($B66))),"",IF($C66="Winner",1,COUNTIFS($D$7:$D$156,$D66,$B$7:$B$156,"&lt;"&amp;$B66)+1+IF(AND(NOT($C66="Winner"),COUNTIFS($D$7:$D$156,$D66,$C$7:$C$156,"Winner",$B$7:$B$156,$B66)&gt;0),1,0)))</f>
        <v/>
      </c>
      <c r="F66" s="11">
        <f>IF(OR($A66="",NOT(ISNUMBER($B66))),"",COUNTIFS($D$7:$D$156,$D66,$B$7:$B$156,"&gt;0"))</f>
        <v/>
      </c>
      <c r="G66" s="11">
        <f>IF(OR(OR($A66="",NOT(ISNUMBER($B66))),$B$2="Not started"),"",IF($C66="Winner",Points!$B$3,ROUND(Points!$B$3*IF($F66&lt;=1,1,Points!$H$7+(1-Points!$H$7)*((($F66-$E66)*(($F66-$E66)+1)/2)^2-((($F66-$E66-$J66+1)-1)*($F66-$E66-$J66+1)/2)^2)/($J66*($F66-1)^3)),0)))</f>
        <v/>
      </c>
      <c r="H66" s="11">
        <f>IF($A66="","",IF($B$2="Final","Final",IF($B$2="In progress","Projected","Not started")))</f>
        <v/>
      </c>
      <c r="I66" s="11">
        <f>IF($A66="","",IF(COUNTIF(Players!$A$2:$A$500,$A66)=0,"Player is not on the Players tab",IF(COUNTIF($A$7:$A$156,$A66)&gt;1,"Player is listed twice",IF(NOT(ISNUMBER($B66)),"Enter a score",IF(COUNTIFS($D$7:$D$156,$D66,$C$7:$C$156,"Winner")&gt;1,"More than one "&amp;$D66&amp;" winner picked",IF(AND($C66="Winner",COUNTIFS($D$7:$D$156,$D66,$B$7:$B$156,"&lt;"&amp;$B66)&gt;0),"The winner doesn't have the best "&amp;$D66&amp;" score",IF(AND($B$2="Final",COUNTIFS($D$7:$D$156,$D66,$C$7:$C$156,"Winner")=0),"Final: pick the "&amp;$D66&amp;" winner",IF($B$2="Not started","Set Status to In progress to count points","OK"))))))))</f>
        <v/>
      </c>
      <c r="J66" s="11">
        <f>IF(OR($A66="",NOT(ISNUMBER($B66))),"",IF($C66="Winner",1,COUNTIFS($D$7:$D$156,$D66,$B$7:$B$156,$B66)-IF(AND(NOT($C66="Winner"),COUNTIFS($D$7:$D$156,$D66,$C$7:$C$156,"Winner",$B$7:$B$156,$B66)&gt;0),1,0)))</f>
        <v/>
      </c>
    </row>
    <row r="67">
      <c r="D67" s="11">
        <f>IF($A67="","",IFERROR(IF(VLOOKUP($A67,Players!$A$2:$B$500,2,FALSE)="","Open",VLOOKUP($A67,Players!$A$2:$B$500,2,FALSE)),"Open"))</f>
        <v/>
      </c>
      <c r="E67" s="11">
        <f>IF(OR($A67="",NOT(ISNUMBER($B67))),"",IF($C67="Winner",1,COUNTIFS($D$7:$D$156,$D67,$B$7:$B$156,"&lt;"&amp;$B67)+1+IF(AND(NOT($C67="Winner"),COUNTIFS($D$7:$D$156,$D67,$C$7:$C$156,"Winner",$B$7:$B$156,$B67)&gt;0),1,0)))</f>
        <v/>
      </c>
      <c r="F67" s="11">
        <f>IF(OR($A67="",NOT(ISNUMBER($B67))),"",COUNTIFS($D$7:$D$156,$D67,$B$7:$B$156,"&gt;0"))</f>
        <v/>
      </c>
      <c r="G67" s="11">
        <f>IF(OR(OR($A67="",NOT(ISNUMBER($B67))),$B$2="Not started"),"",IF($C67="Winner",Points!$B$3,ROUND(Points!$B$3*IF($F67&lt;=1,1,Points!$H$7+(1-Points!$H$7)*((($F67-$E67)*(($F67-$E67)+1)/2)^2-((($F67-$E67-$J67+1)-1)*($F67-$E67-$J67+1)/2)^2)/($J67*($F67-1)^3)),0)))</f>
        <v/>
      </c>
      <c r="H67" s="11">
        <f>IF($A67="","",IF($B$2="Final","Final",IF($B$2="In progress","Projected","Not started")))</f>
        <v/>
      </c>
      <c r="I67" s="11">
        <f>IF($A67="","",IF(COUNTIF(Players!$A$2:$A$500,$A67)=0,"Player is not on the Players tab",IF(COUNTIF($A$7:$A$156,$A67)&gt;1,"Player is listed twice",IF(NOT(ISNUMBER($B67)),"Enter a score",IF(COUNTIFS($D$7:$D$156,$D67,$C$7:$C$156,"Winner")&gt;1,"More than one "&amp;$D67&amp;" winner picked",IF(AND($C67="Winner",COUNTIFS($D$7:$D$156,$D67,$B$7:$B$156,"&lt;"&amp;$B67)&gt;0),"The winner doesn't have the best "&amp;$D67&amp;" score",IF(AND($B$2="Final",COUNTIFS($D$7:$D$156,$D67,$C$7:$C$156,"Winner")=0),"Final: pick the "&amp;$D67&amp;" winner",IF($B$2="Not started","Set Status to In progress to count points","OK"))))))))</f>
        <v/>
      </c>
      <c r="J67" s="11">
        <f>IF(OR($A67="",NOT(ISNUMBER($B67))),"",IF($C67="Winner",1,COUNTIFS($D$7:$D$156,$D67,$B$7:$B$156,$B67)-IF(AND(NOT($C67="Winner"),COUNTIFS($D$7:$D$156,$D67,$C$7:$C$156,"Winner",$B$7:$B$156,$B67)&gt;0),1,0)))</f>
        <v/>
      </c>
    </row>
    <row r="68">
      <c r="D68" s="11">
        <f>IF($A68="","",IFERROR(IF(VLOOKUP($A68,Players!$A$2:$B$500,2,FALSE)="","Open",VLOOKUP($A68,Players!$A$2:$B$500,2,FALSE)),"Open"))</f>
        <v/>
      </c>
      <c r="E68" s="11">
        <f>IF(OR($A68="",NOT(ISNUMBER($B68))),"",IF($C68="Winner",1,COUNTIFS($D$7:$D$156,$D68,$B$7:$B$156,"&lt;"&amp;$B68)+1+IF(AND(NOT($C68="Winner"),COUNTIFS($D$7:$D$156,$D68,$C$7:$C$156,"Winner",$B$7:$B$156,$B68)&gt;0),1,0)))</f>
        <v/>
      </c>
      <c r="F68" s="11">
        <f>IF(OR($A68="",NOT(ISNUMBER($B68))),"",COUNTIFS($D$7:$D$156,$D68,$B$7:$B$156,"&gt;0"))</f>
        <v/>
      </c>
      <c r="G68" s="11">
        <f>IF(OR(OR($A68="",NOT(ISNUMBER($B68))),$B$2="Not started"),"",IF($C68="Winner",Points!$B$3,ROUND(Points!$B$3*IF($F68&lt;=1,1,Points!$H$7+(1-Points!$H$7)*((($F68-$E68)*(($F68-$E68)+1)/2)^2-((($F68-$E68-$J68+1)-1)*($F68-$E68-$J68+1)/2)^2)/($J68*($F68-1)^3)),0)))</f>
        <v/>
      </c>
      <c r="H68" s="11">
        <f>IF($A68="","",IF($B$2="Final","Final",IF($B$2="In progress","Projected","Not started")))</f>
        <v/>
      </c>
      <c r="I68" s="11">
        <f>IF($A68="","",IF(COUNTIF(Players!$A$2:$A$500,$A68)=0,"Player is not on the Players tab",IF(COUNTIF($A$7:$A$156,$A68)&gt;1,"Player is listed twice",IF(NOT(ISNUMBER($B68)),"Enter a score",IF(COUNTIFS($D$7:$D$156,$D68,$C$7:$C$156,"Winner")&gt;1,"More than one "&amp;$D68&amp;" winner picked",IF(AND($C68="Winner",COUNTIFS($D$7:$D$156,$D68,$B$7:$B$156,"&lt;"&amp;$B68)&gt;0),"The winner doesn't have the best "&amp;$D68&amp;" score",IF(AND($B$2="Final",COUNTIFS($D$7:$D$156,$D68,$C$7:$C$156,"Winner")=0),"Final: pick the "&amp;$D68&amp;" winner",IF($B$2="Not started","Set Status to In progress to count points","OK"))))))))</f>
        <v/>
      </c>
      <c r="J68" s="11">
        <f>IF(OR($A68="",NOT(ISNUMBER($B68))),"",IF($C68="Winner",1,COUNTIFS($D$7:$D$156,$D68,$B$7:$B$156,$B68)-IF(AND(NOT($C68="Winner"),COUNTIFS($D$7:$D$156,$D68,$C$7:$C$156,"Winner",$B$7:$B$156,$B68)&gt;0),1,0)))</f>
        <v/>
      </c>
    </row>
    <row r="69">
      <c r="D69" s="11">
        <f>IF($A69="","",IFERROR(IF(VLOOKUP($A69,Players!$A$2:$B$500,2,FALSE)="","Open",VLOOKUP($A69,Players!$A$2:$B$500,2,FALSE)),"Open"))</f>
        <v/>
      </c>
      <c r="E69" s="11">
        <f>IF(OR($A69="",NOT(ISNUMBER($B69))),"",IF($C69="Winner",1,COUNTIFS($D$7:$D$156,$D69,$B$7:$B$156,"&lt;"&amp;$B69)+1+IF(AND(NOT($C69="Winner"),COUNTIFS($D$7:$D$156,$D69,$C$7:$C$156,"Winner",$B$7:$B$156,$B69)&gt;0),1,0)))</f>
        <v/>
      </c>
      <c r="F69" s="11">
        <f>IF(OR($A69="",NOT(ISNUMBER($B69))),"",COUNTIFS($D$7:$D$156,$D69,$B$7:$B$156,"&gt;0"))</f>
        <v/>
      </c>
      <c r="G69" s="11">
        <f>IF(OR(OR($A69="",NOT(ISNUMBER($B69))),$B$2="Not started"),"",IF($C69="Winner",Points!$B$3,ROUND(Points!$B$3*IF($F69&lt;=1,1,Points!$H$7+(1-Points!$H$7)*((($F69-$E69)*(($F69-$E69)+1)/2)^2-((($F69-$E69-$J69+1)-1)*($F69-$E69-$J69+1)/2)^2)/($J69*($F69-1)^3)),0)))</f>
        <v/>
      </c>
      <c r="H69" s="11">
        <f>IF($A69="","",IF($B$2="Final","Final",IF($B$2="In progress","Projected","Not started")))</f>
        <v/>
      </c>
      <c r="I69" s="11">
        <f>IF($A69="","",IF(COUNTIF(Players!$A$2:$A$500,$A69)=0,"Player is not on the Players tab",IF(COUNTIF($A$7:$A$156,$A69)&gt;1,"Player is listed twice",IF(NOT(ISNUMBER($B69)),"Enter a score",IF(COUNTIFS($D$7:$D$156,$D69,$C$7:$C$156,"Winner")&gt;1,"More than one "&amp;$D69&amp;" winner picked",IF(AND($C69="Winner",COUNTIFS($D$7:$D$156,$D69,$B$7:$B$156,"&lt;"&amp;$B69)&gt;0),"The winner doesn't have the best "&amp;$D69&amp;" score",IF(AND($B$2="Final",COUNTIFS($D$7:$D$156,$D69,$C$7:$C$156,"Winner")=0),"Final: pick the "&amp;$D69&amp;" winner",IF($B$2="Not started","Set Status to In progress to count points","OK"))))))))</f>
        <v/>
      </c>
      <c r="J69" s="11">
        <f>IF(OR($A69="",NOT(ISNUMBER($B69))),"",IF($C69="Winner",1,COUNTIFS($D$7:$D$156,$D69,$B$7:$B$156,$B69)-IF(AND(NOT($C69="Winner"),COUNTIFS($D$7:$D$156,$D69,$C$7:$C$156,"Winner",$B$7:$B$156,$B69)&gt;0),1,0)))</f>
        <v/>
      </c>
    </row>
    <row r="70">
      <c r="D70" s="11">
        <f>IF($A70="","",IFERROR(IF(VLOOKUP($A70,Players!$A$2:$B$500,2,FALSE)="","Open",VLOOKUP($A70,Players!$A$2:$B$500,2,FALSE)),"Open"))</f>
        <v/>
      </c>
      <c r="E70" s="11">
        <f>IF(OR($A70="",NOT(ISNUMBER($B70))),"",IF($C70="Winner",1,COUNTIFS($D$7:$D$156,$D70,$B$7:$B$156,"&lt;"&amp;$B70)+1+IF(AND(NOT($C70="Winner"),COUNTIFS($D$7:$D$156,$D70,$C$7:$C$156,"Winner",$B$7:$B$156,$B70)&gt;0),1,0)))</f>
        <v/>
      </c>
      <c r="F70" s="11">
        <f>IF(OR($A70="",NOT(ISNUMBER($B70))),"",COUNTIFS($D$7:$D$156,$D70,$B$7:$B$156,"&gt;0"))</f>
        <v/>
      </c>
      <c r="G70" s="11">
        <f>IF(OR(OR($A70="",NOT(ISNUMBER($B70))),$B$2="Not started"),"",IF($C70="Winner",Points!$B$3,ROUND(Points!$B$3*IF($F70&lt;=1,1,Points!$H$7+(1-Points!$H$7)*((($F70-$E70)*(($F70-$E70)+1)/2)^2-((($F70-$E70-$J70+1)-1)*($F70-$E70-$J70+1)/2)^2)/($J70*($F70-1)^3)),0)))</f>
        <v/>
      </c>
      <c r="H70" s="11">
        <f>IF($A70="","",IF($B$2="Final","Final",IF($B$2="In progress","Projected","Not started")))</f>
        <v/>
      </c>
      <c r="I70" s="11">
        <f>IF($A70="","",IF(COUNTIF(Players!$A$2:$A$500,$A70)=0,"Player is not on the Players tab",IF(COUNTIF($A$7:$A$156,$A70)&gt;1,"Player is listed twice",IF(NOT(ISNUMBER($B70)),"Enter a score",IF(COUNTIFS($D$7:$D$156,$D70,$C$7:$C$156,"Winner")&gt;1,"More than one "&amp;$D70&amp;" winner picked",IF(AND($C70="Winner",COUNTIFS($D$7:$D$156,$D70,$B$7:$B$156,"&lt;"&amp;$B70)&gt;0),"The winner doesn't have the best "&amp;$D70&amp;" score",IF(AND($B$2="Final",COUNTIFS($D$7:$D$156,$D70,$C$7:$C$156,"Winner")=0),"Final: pick the "&amp;$D70&amp;" winner",IF($B$2="Not started","Set Status to In progress to count points","OK"))))))))</f>
        <v/>
      </c>
      <c r="J70" s="11">
        <f>IF(OR($A70="",NOT(ISNUMBER($B70))),"",IF($C70="Winner",1,COUNTIFS($D$7:$D$156,$D70,$B$7:$B$156,$B70)-IF(AND(NOT($C70="Winner"),COUNTIFS($D$7:$D$156,$D70,$C$7:$C$156,"Winner",$B$7:$B$156,$B70)&gt;0),1,0)))</f>
        <v/>
      </c>
    </row>
    <row r="71">
      <c r="D71" s="11">
        <f>IF($A71="","",IFERROR(IF(VLOOKUP($A71,Players!$A$2:$B$500,2,FALSE)="","Open",VLOOKUP($A71,Players!$A$2:$B$500,2,FALSE)),"Open"))</f>
        <v/>
      </c>
      <c r="E71" s="11">
        <f>IF(OR($A71="",NOT(ISNUMBER($B71))),"",IF($C71="Winner",1,COUNTIFS($D$7:$D$156,$D71,$B$7:$B$156,"&lt;"&amp;$B71)+1+IF(AND(NOT($C71="Winner"),COUNTIFS($D$7:$D$156,$D71,$C$7:$C$156,"Winner",$B$7:$B$156,$B71)&gt;0),1,0)))</f>
        <v/>
      </c>
      <c r="F71" s="11">
        <f>IF(OR($A71="",NOT(ISNUMBER($B71))),"",COUNTIFS($D$7:$D$156,$D71,$B$7:$B$156,"&gt;0"))</f>
        <v/>
      </c>
      <c r="G71" s="11">
        <f>IF(OR(OR($A71="",NOT(ISNUMBER($B71))),$B$2="Not started"),"",IF($C71="Winner",Points!$B$3,ROUND(Points!$B$3*IF($F71&lt;=1,1,Points!$H$7+(1-Points!$H$7)*((($F71-$E71)*(($F71-$E71)+1)/2)^2-((($F71-$E71-$J71+1)-1)*($F71-$E71-$J71+1)/2)^2)/($J71*($F71-1)^3)),0)))</f>
        <v/>
      </c>
      <c r="H71" s="11">
        <f>IF($A71="","",IF($B$2="Final","Final",IF($B$2="In progress","Projected","Not started")))</f>
        <v/>
      </c>
      <c r="I71" s="11">
        <f>IF($A71="","",IF(COUNTIF(Players!$A$2:$A$500,$A71)=0,"Player is not on the Players tab",IF(COUNTIF($A$7:$A$156,$A71)&gt;1,"Player is listed twice",IF(NOT(ISNUMBER($B71)),"Enter a score",IF(COUNTIFS($D$7:$D$156,$D71,$C$7:$C$156,"Winner")&gt;1,"More than one "&amp;$D71&amp;" winner picked",IF(AND($C71="Winner",COUNTIFS($D$7:$D$156,$D71,$B$7:$B$156,"&lt;"&amp;$B71)&gt;0),"The winner doesn't have the best "&amp;$D71&amp;" score",IF(AND($B$2="Final",COUNTIFS($D$7:$D$156,$D71,$C$7:$C$156,"Winner")=0),"Final: pick the "&amp;$D71&amp;" winner",IF($B$2="Not started","Set Status to In progress to count points","OK"))))))))</f>
        <v/>
      </c>
      <c r="J71" s="11">
        <f>IF(OR($A71="",NOT(ISNUMBER($B71))),"",IF($C71="Winner",1,COUNTIFS($D$7:$D$156,$D71,$B$7:$B$156,$B71)-IF(AND(NOT($C71="Winner"),COUNTIFS($D$7:$D$156,$D71,$C$7:$C$156,"Winner",$B$7:$B$156,$B71)&gt;0),1,0)))</f>
        <v/>
      </c>
    </row>
    <row r="72">
      <c r="D72" s="11">
        <f>IF($A72="","",IFERROR(IF(VLOOKUP($A72,Players!$A$2:$B$500,2,FALSE)="","Open",VLOOKUP($A72,Players!$A$2:$B$500,2,FALSE)),"Open"))</f>
        <v/>
      </c>
      <c r="E72" s="11">
        <f>IF(OR($A72="",NOT(ISNUMBER($B72))),"",IF($C72="Winner",1,COUNTIFS($D$7:$D$156,$D72,$B$7:$B$156,"&lt;"&amp;$B72)+1+IF(AND(NOT($C72="Winner"),COUNTIFS($D$7:$D$156,$D72,$C$7:$C$156,"Winner",$B$7:$B$156,$B72)&gt;0),1,0)))</f>
        <v/>
      </c>
      <c r="F72" s="11">
        <f>IF(OR($A72="",NOT(ISNUMBER($B72))),"",COUNTIFS($D$7:$D$156,$D72,$B$7:$B$156,"&gt;0"))</f>
        <v/>
      </c>
      <c r="G72" s="11">
        <f>IF(OR(OR($A72="",NOT(ISNUMBER($B72))),$B$2="Not started"),"",IF($C72="Winner",Points!$B$3,ROUND(Points!$B$3*IF($F72&lt;=1,1,Points!$H$7+(1-Points!$H$7)*((($F72-$E72)*(($F72-$E72)+1)/2)^2-((($F72-$E72-$J72+1)-1)*($F72-$E72-$J72+1)/2)^2)/($J72*($F72-1)^3)),0)))</f>
        <v/>
      </c>
      <c r="H72" s="11">
        <f>IF($A72="","",IF($B$2="Final","Final",IF($B$2="In progress","Projected","Not started")))</f>
        <v/>
      </c>
      <c r="I72" s="11">
        <f>IF($A72="","",IF(COUNTIF(Players!$A$2:$A$500,$A72)=0,"Player is not on the Players tab",IF(COUNTIF($A$7:$A$156,$A72)&gt;1,"Player is listed twice",IF(NOT(ISNUMBER($B72)),"Enter a score",IF(COUNTIFS($D$7:$D$156,$D72,$C$7:$C$156,"Winner")&gt;1,"More than one "&amp;$D72&amp;" winner picked",IF(AND($C72="Winner",COUNTIFS($D$7:$D$156,$D72,$B$7:$B$156,"&lt;"&amp;$B72)&gt;0),"The winner doesn't have the best "&amp;$D72&amp;" score",IF(AND($B$2="Final",COUNTIFS($D$7:$D$156,$D72,$C$7:$C$156,"Winner")=0),"Final: pick the "&amp;$D72&amp;" winner",IF($B$2="Not started","Set Status to In progress to count points","OK"))))))))</f>
        <v/>
      </c>
      <c r="J72" s="11">
        <f>IF(OR($A72="",NOT(ISNUMBER($B72))),"",IF($C72="Winner",1,COUNTIFS($D$7:$D$156,$D72,$B$7:$B$156,$B72)-IF(AND(NOT($C72="Winner"),COUNTIFS($D$7:$D$156,$D72,$C$7:$C$156,"Winner",$B$7:$B$156,$B72)&gt;0),1,0)))</f>
        <v/>
      </c>
    </row>
    <row r="73">
      <c r="D73" s="11">
        <f>IF($A73="","",IFERROR(IF(VLOOKUP($A73,Players!$A$2:$B$500,2,FALSE)="","Open",VLOOKUP($A73,Players!$A$2:$B$500,2,FALSE)),"Open"))</f>
        <v/>
      </c>
      <c r="E73" s="11">
        <f>IF(OR($A73="",NOT(ISNUMBER($B73))),"",IF($C73="Winner",1,COUNTIFS($D$7:$D$156,$D73,$B$7:$B$156,"&lt;"&amp;$B73)+1+IF(AND(NOT($C73="Winner"),COUNTIFS($D$7:$D$156,$D73,$C$7:$C$156,"Winner",$B$7:$B$156,$B73)&gt;0),1,0)))</f>
        <v/>
      </c>
      <c r="F73" s="11">
        <f>IF(OR($A73="",NOT(ISNUMBER($B73))),"",COUNTIFS($D$7:$D$156,$D73,$B$7:$B$156,"&gt;0"))</f>
        <v/>
      </c>
      <c r="G73" s="11">
        <f>IF(OR(OR($A73="",NOT(ISNUMBER($B73))),$B$2="Not started"),"",IF($C73="Winner",Points!$B$3,ROUND(Points!$B$3*IF($F73&lt;=1,1,Points!$H$7+(1-Points!$H$7)*((($F73-$E73)*(($F73-$E73)+1)/2)^2-((($F73-$E73-$J73+1)-1)*($F73-$E73-$J73+1)/2)^2)/($J73*($F73-1)^3)),0)))</f>
        <v/>
      </c>
      <c r="H73" s="11">
        <f>IF($A73="","",IF($B$2="Final","Final",IF($B$2="In progress","Projected","Not started")))</f>
        <v/>
      </c>
      <c r="I73" s="11">
        <f>IF($A73="","",IF(COUNTIF(Players!$A$2:$A$500,$A73)=0,"Player is not on the Players tab",IF(COUNTIF($A$7:$A$156,$A73)&gt;1,"Player is listed twice",IF(NOT(ISNUMBER($B73)),"Enter a score",IF(COUNTIFS($D$7:$D$156,$D73,$C$7:$C$156,"Winner")&gt;1,"More than one "&amp;$D73&amp;" winner picked",IF(AND($C73="Winner",COUNTIFS($D$7:$D$156,$D73,$B$7:$B$156,"&lt;"&amp;$B73)&gt;0),"The winner doesn't have the best "&amp;$D73&amp;" score",IF(AND($B$2="Final",COUNTIFS($D$7:$D$156,$D73,$C$7:$C$156,"Winner")=0),"Final: pick the "&amp;$D73&amp;" winner",IF($B$2="Not started","Set Status to In progress to count points","OK"))))))))</f>
        <v/>
      </c>
      <c r="J73" s="11">
        <f>IF(OR($A73="",NOT(ISNUMBER($B73))),"",IF($C73="Winner",1,COUNTIFS($D$7:$D$156,$D73,$B$7:$B$156,$B73)-IF(AND(NOT($C73="Winner"),COUNTIFS($D$7:$D$156,$D73,$C$7:$C$156,"Winner",$B$7:$B$156,$B73)&gt;0),1,0)))</f>
        <v/>
      </c>
    </row>
    <row r="74">
      <c r="D74" s="11">
        <f>IF($A74="","",IFERROR(IF(VLOOKUP($A74,Players!$A$2:$B$500,2,FALSE)="","Open",VLOOKUP($A74,Players!$A$2:$B$500,2,FALSE)),"Open"))</f>
        <v/>
      </c>
      <c r="E74" s="11">
        <f>IF(OR($A74="",NOT(ISNUMBER($B74))),"",IF($C74="Winner",1,COUNTIFS($D$7:$D$156,$D74,$B$7:$B$156,"&lt;"&amp;$B74)+1+IF(AND(NOT($C74="Winner"),COUNTIFS($D$7:$D$156,$D74,$C$7:$C$156,"Winner",$B$7:$B$156,$B74)&gt;0),1,0)))</f>
        <v/>
      </c>
      <c r="F74" s="11">
        <f>IF(OR($A74="",NOT(ISNUMBER($B74))),"",COUNTIFS($D$7:$D$156,$D74,$B$7:$B$156,"&gt;0"))</f>
        <v/>
      </c>
      <c r="G74" s="11">
        <f>IF(OR(OR($A74="",NOT(ISNUMBER($B74))),$B$2="Not started"),"",IF($C74="Winner",Points!$B$3,ROUND(Points!$B$3*IF($F74&lt;=1,1,Points!$H$7+(1-Points!$H$7)*((($F74-$E74)*(($F74-$E74)+1)/2)^2-((($F74-$E74-$J74+1)-1)*($F74-$E74-$J74+1)/2)^2)/($J74*($F74-1)^3)),0)))</f>
        <v/>
      </c>
      <c r="H74" s="11">
        <f>IF($A74="","",IF($B$2="Final","Final",IF($B$2="In progress","Projected","Not started")))</f>
        <v/>
      </c>
      <c r="I74" s="11">
        <f>IF($A74="","",IF(COUNTIF(Players!$A$2:$A$500,$A74)=0,"Player is not on the Players tab",IF(COUNTIF($A$7:$A$156,$A74)&gt;1,"Player is listed twice",IF(NOT(ISNUMBER($B74)),"Enter a score",IF(COUNTIFS($D$7:$D$156,$D74,$C$7:$C$156,"Winner")&gt;1,"More than one "&amp;$D74&amp;" winner picked",IF(AND($C74="Winner",COUNTIFS($D$7:$D$156,$D74,$B$7:$B$156,"&lt;"&amp;$B74)&gt;0),"The winner doesn't have the best "&amp;$D74&amp;" score",IF(AND($B$2="Final",COUNTIFS($D$7:$D$156,$D74,$C$7:$C$156,"Winner")=0),"Final: pick the "&amp;$D74&amp;" winner",IF($B$2="Not started","Set Status to In progress to count points","OK"))))))))</f>
        <v/>
      </c>
      <c r="J74" s="11">
        <f>IF(OR($A74="",NOT(ISNUMBER($B74))),"",IF($C74="Winner",1,COUNTIFS($D$7:$D$156,$D74,$B$7:$B$156,$B74)-IF(AND(NOT($C74="Winner"),COUNTIFS($D$7:$D$156,$D74,$C$7:$C$156,"Winner",$B$7:$B$156,$B74)&gt;0),1,0)))</f>
        <v/>
      </c>
    </row>
    <row r="75">
      <c r="D75" s="11">
        <f>IF($A75="","",IFERROR(IF(VLOOKUP($A75,Players!$A$2:$B$500,2,FALSE)="","Open",VLOOKUP($A75,Players!$A$2:$B$500,2,FALSE)),"Open"))</f>
        <v/>
      </c>
      <c r="E75" s="11">
        <f>IF(OR($A75="",NOT(ISNUMBER($B75))),"",IF($C75="Winner",1,COUNTIFS($D$7:$D$156,$D75,$B$7:$B$156,"&lt;"&amp;$B75)+1+IF(AND(NOT($C75="Winner"),COUNTIFS($D$7:$D$156,$D75,$C$7:$C$156,"Winner",$B$7:$B$156,$B75)&gt;0),1,0)))</f>
        <v/>
      </c>
      <c r="F75" s="11">
        <f>IF(OR($A75="",NOT(ISNUMBER($B75))),"",COUNTIFS($D$7:$D$156,$D75,$B$7:$B$156,"&gt;0"))</f>
        <v/>
      </c>
      <c r="G75" s="11">
        <f>IF(OR(OR($A75="",NOT(ISNUMBER($B75))),$B$2="Not started"),"",IF($C75="Winner",Points!$B$3,ROUND(Points!$B$3*IF($F75&lt;=1,1,Points!$H$7+(1-Points!$H$7)*((($F75-$E75)*(($F75-$E75)+1)/2)^2-((($F75-$E75-$J75+1)-1)*($F75-$E75-$J75+1)/2)^2)/($J75*($F75-1)^3)),0)))</f>
        <v/>
      </c>
      <c r="H75" s="11">
        <f>IF($A75="","",IF($B$2="Final","Final",IF($B$2="In progress","Projected","Not started")))</f>
        <v/>
      </c>
      <c r="I75" s="11">
        <f>IF($A75="","",IF(COUNTIF(Players!$A$2:$A$500,$A75)=0,"Player is not on the Players tab",IF(COUNTIF($A$7:$A$156,$A75)&gt;1,"Player is listed twice",IF(NOT(ISNUMBER($B75)),"Enter a score",IF(COUNTIFS($D$7:$D$156,$D75,$C$7:$C$156,"Winner")&gt;1,"More than one "&amp;$D75&amp;" winner picked",IF(AND($C75="Winner",COUNTIFS($D$7:$D$156,$D75,$B$7:$B$156,"&lt;"&amp;$B75)&gt;0),"The winner doesn't have the best "&amp;$D75&amp;" score",IF(AND($B$2="Final",COUNTIFS($D$7:$D$156,$D75,$C$7:$C$156,"Winner")=0),"Final: pick the "&amp;$D75&amp;" winner",IF($B$2="Not started","Set Status to In progress to count points","OK"))))))))</f>
        <v/>
      </c>
      <c r="J75" s="11">
        <f>IF(OR($A75="",NOT(ISNUMBER($B75))),"",IF($C75="Winner",1,COUNTIFS($D$7:$D$156,$D75,$B$7:$B$156,$B75)-IF(AND(NOT($C75="Winner"),COUNTIFS($D$7:$D$156,$D75,$C$7:$C$156,"Winner",$B$7:$B$156,$B75)&gt;0),1,0)))</f>
        <v/>
      </c>
    </row>
    <row r="76">
      <c r="D76" s="11">
        <f>IF($A76="","",IFERROR(IF(VLOOKUP($A76,Players!$A$2:$B$500,2,FALSE)="","Open",VLOOKUP($A76,Players!$A$2:$B$500,2,FALSE)),"Open"))</f>
        <v/>
      </c>
      <c r="E76" s="11">
        <f>IF(OR($A76="",NOT(ISNUMBER($B76))),"",IF($C76="Winner",1,COUNTIFS($D$7:$D$156,$D76,$B$7:$B$156,"&lt;"&amp;$B76)+1+IF(AND(NOT($C76="Winner"),COUNTIFS($D$7:$D$156,$D76,$C$7:$C$156,"Winner",$B$7:$B$156,$B76)&gt;0),1,0)))</f>
        <v/>
      </c>
      <c r="F76" s="11">
        <f>IF(OR($A76="",NOT(ISNUMBER($B76))),"",COUNTIFS($D$7:$D$156,$D76,$B$7:$B$156,"&gt;0"))</f>
        <v/>
      </c>
      <c r="G76" s="11">
        <f>IF(OR(OR($A76="",NOT(ISNUMBER($B76))),$B$2="Not started"),"",IF($C76="Winner",Points!$B$3,ROUND(Points!$B$3*IF($F76&lt;=1,1,Points!$H$7+(1-Points!$H$7)*((($F76-$E76)*(($F76-$E76)+1)/2)^2-((($F76-$E76-$J76+1)-1)*($F76-$E76-$J76+1)/2)^2)/($J76*($F76-1)^3)),0)))</f>
        <v/>
      </c>
      <c r="H76" s="11">
        <f>IF($A76="","",IF($B$2="Final","Final",IF($B$2="In progress","Projected","Not started")))</f>
        <v/>
      </c>
      <c r="I76" s="11">
        <f>IF($A76="","",IF(COUNTIF(Players!$A$2:$A$500,$A76)=0,"Player is not on the Players tab",IF(COUNTIF($A$7:$A$156,$A76)&gt;1,"Player is listed twice",IF(NOT(ISNUMBER($B76)),"Enter a score",IF(COUNTIFS($D$7:$D$156,$D76,$C$7:$C$156,"Winner")&gt;1,"More than one "&amp;$D76&amp;" winner picked",IF(AND($C76="Winner",COUNTIFS($D$7:$D$156,$D76,$B$7:$B$156,"&lt;"&amp;$B76)&gt;0),"The winner doesn't have the best "&amp;$D76&amp;" score",IF(AND($B$2="Final",COUNTIFS($D$7:$D$156,$D76,$C$7:$C$156,"Winner")=0),"Final: pick the "&amp;$D76&amp;" winner",IF($B$2="Not started","Set Status to In progress to count points","OK"))))))))</f>
        <v/>
      </c>
      <c r="J76" s="11">
        <f>IF(OR($A76="",NOT(ISNUMBER($B76))),"",IF($C76="Winner",1,COUNTIFS($D$7:$D$156,$D76,$B$7:$B$156,$B76)-IF(AND(NOT($C76="Winner"),COUNTIFS($D$7:$D$156,$D76,$C$7:$C$156,"Winner",$B$7:$B$156,$B76)&gt;0),1,0)))</f>
        <v/>
      </c>
    </row>
    <row r="77">
      <c r="D77" s="11">
        <f>IF($A77="","",IFERROR(IF(VLOOKUP($A77,Players!$A$2:$B$500,2,FALSE)="","Open",VLOOKUP($A77,Players!$A$2:$B$500,2,FALSE)),"Open"))</f>
        <v/>
      </c>
      <c r="E77" s="11">
        <f>IF(OR($A77="",NOT(ISNUMBER($B77))),"",IF($C77="Winner",1,COUNTIFS($D$7:$D$156,$D77,$B$7:$B$156,"&lt;"&amp;$B77)+1+IF(AND(NOT($C77="Winner"),COUNTIFS($D$7:$D$156,$D77,$C$7:$C$156,"Winner",$B$7:$B$156,$B77)&gt;0),1,0)))</f>
        <v/>
      </c>
      <c r="F77" s="11">
        <f>IF(OR($A77="",NOT(ISNUMBER($B77))),"",COUNTIFS($D$7:$D$156,$D77,$B$7:$B$156,"&gt;0"))</f>
        <v/>
      </c>
      <c r="G77" s="11">
        <f>IF(OR(OR($A77="",NOT(ISNUMBER($B77))),$B$2="Not started"),"",IF($C77="Winner",Points!$B$3,ROUND(Points!$B$3*IF($F77&lt;=1,1,Points!$H$7+(1-Points!$H$7)*((($F77-$E77)*(($F77-$E77)+1)/2)^2-((($F77-$E77-$J77+1)-1)*($F77-$E77-$J77+1)/2)^2)/($J77*($F77-1)^3)),0)))</f>
        <v/>
      </c>
      <c r="H77" s="11">
        <f>IF($A77="","",IF($B$2="Final","Final",IF($B$2="In progress","Projected","Not started")))</f>
        <v/>
      </c>
      <c r="I77" s="11">
        <f>IF($A77="","",IF(COUNTIF(Players!$A$2:$A$500,$A77)=0,"Player is not on the Players tab",IF(COUNTIF($A$7:$A$156,$A77)&gt;1,"Player is listed twice",IF(NOT(ISNUMBER($B77)),"Enter a score",IF(COUNTIFS($D$7:$D$156,$D77,$C$7:$C$156,"Winner")&gt;1,"More than one "&amp;$D77&amp;" winner picked",IF(AND($C77="Winner",COUNTIFS($D$7:$D$156,$D77,$B$7:$B$156,"&lt;"&amp;$B77)&gt;0),"The winner doesn't have the best "&amp;$D77&amp;" score",IF(AND($B$2="Final",COUNTIFS($D$7:$D$156,$D77,$C$7:$C$156,"Winner")=0),"Final: pick the "&amp;$D77&amp;" winner",IF($B$2="Not started","Set Status to In progress to count points","OK"))))))))</f>
        <v/>
      </c>
      <c r="J77" s="11">
        <f>IF(OR($A77="",NOT(ISNUMBER($B77))),"",IF($C77="Winner",1,COUNTIFS($D$7:$D$156,$D77,$B$7:$B$156,$B77)-IF(AND(NOT($C77="Winner"),COUNTIFS($D$7:$D$156,$D77,$C$7:$C$156,"Winner",$B$7:$B$156,$B77)&gt;0),1,0)))</f>
        <v/>
      </c>
    </row>
    <row r="78">
      <c r="D78" s="11">
        <f>IF($A78="","",IFERROR(IF(VLOOKUP($A78,Players!$A$2:$B$500,2,FALSE)="","Open",VLOOKUP($A78,Players!$A$2:$B$500,2,FALSE)),"Open"))</f>
        <v/>
      </c>
      <c r="E78" s="11">
        <f>IF(OR($A78="",NOT(ISNUMBER($B78))),"",IF($C78="Winner",1,COUNTIFS($D$7:$D$156,$D78,$B$7:$B$156,"&lt;"&amp;$B78)+1+IF(AND(NOT($C78="Winner"),COUNTIFS($D$7:$D$156,$D78,$C$7:$C$156,"Winner",$B$7:$B$156,$B78)&gt;0),1,0)))</f>
        <v/>
      </c>
      <c r="F78" s="11">
        <f>IF(OR($A78="",NOT(ISNUMBER($B78))),"",COUNTIFS($D$7:$D$156,$D78,$B$7:$B$156,"&gt;0"))</f>
        <v/>
      </c>
      <c r="G78" s="11">
        <f>IF(OR(OR($A78="",NOT(ISNUMBER($B78))),$B$2="Not started"),"",IF($C78="Winner",Points!$B$3,ROUND(Points!$B$3*IF($F78&lt;=1,1,Points!$H$7+(1-Points!$H$7)*((($F78-$E78)*(($F78-$E78)+1)/2)^2-((($F78-$E78-$J78+1)-1)*($F78-$E78-$J78+1)/2)^2)/($J78*($F78-1)^3)),0)))</f>
        <v/>
      </c>
      <c r="H78" s="11">
        <f>IF($A78="","",IF($B$2="Final","Final",IF($B$2="In progress","Projected","Not started")))</f>
        <v/>
      </c>
      <c r="I78" s="11">
        <f>IF($A78="","",IF(COUNTIF(Players!$A$2:$A$500,$A78)=0,"Player is not on the Players tab",IF(COUNTIF($A$7:$A$156,$A78)&gt;1,"Player is listed twice",IF(NOT(ISNUMBER($B78)),"Enter a score",IF(COUNTIFS($D$7:$D$156,$D78,$C$7:$C$156,"Winner")&gt;1,"More than one "&amp;$D78&amp;" winner picked",IF(AND($C78="Winner",COUNTIFS($D$7:$D$156,$D78,$B$7:$B$156,"&lt;"&amp;$B78)&gt;0),"The winner doesn't have the best "&amp;$D78&amp;" score",IF(AND($B$2="Final",COUNTIFS($D$7:$D$156,$D78,$C$7:$C$156,"Winner")=0),"Final: pick the "&amp;$D78&amp;" winner",IF($B$2="Not started","Set Status to In progress to count points","OK"))))))))</f>
        <v/>
      </c>
      <c r="J78" s="11">
        <f>IF(OR($A78="",NOT(ISNUMBER($B78))),"",IF($C78="Winner",1,COUNTIFS($D$7:$D$156,$D78,$B$7:$B$156,$B78)-IF(AND(NOT($C78="Winner"),COUNTIFS($D$7:$D$156,$D78,$C$7:$C$156,"Winner",$B$7:$B$156,$B78)&gt;0),1,0)))</f>
        <v/>
      </c>
    </row>
    <row r="79">
      <c r="D79" s="11">
        <f>IF($A79="","",IFERROR(IF(VLOOKUP($A79,Players!$A$2:$B$500,2,FALSE)="","Open",VLOOKUP($A79,Players!$A$2:$B$500,2,FALSE)),"Open"))</f>
        <v/>
      </c>
      <c r="E79" s="11">
        <f>IF(OR($A79="",NOT(ISNUMBER($B79))),"",IF($C79="Winner",1,COUNTIFS($D$7:$D$156,$D79,$B$7:$B$156,"&lt;"&amp;$B79)+1+IF(AND(NOT($C79="Winner"),COUNTIFS($D$7:$D$156,$D79,$C$7:$C$156,"Winner",$B$7:$B$156,$B79)&gt;0),1,0)))</f>
        <v/>
      </c>
      <c r="F79" s="11">
        <f>IF(OR($A79="",NOT(ISNUMBER($B79))),"",COUNTIFS($D$7:$D$156,$D79,$B$7:$B$156,"&gt;0"))</f>
        <v/>
      </c>
      <c r="G79" s="11">
        <f>IF(OR(OR($A79="",NOT(ISNUMBER($B79))),$B$2="Not started"),"",IF($C79="Winner",Points!$B$3,ROUND(Points!$B$3*IF($F79&lt;=1,1,Points!$H$7+(1-Points!$H$7)*((($F79-$E79)*(($F79-$E79)+1)/2)^2-((($F79-$E79-$J79+1)-1)*($F79-$E79-$J79+1)/2)^2)/($J79*($F79-1)^3)),0)))</f>
        <v/>
      </c>
      <c r="H79" s="11">
        <f>IF($A79="","",IF($B$2="Final","Final",IF($B$2="In progress","Projected","Not started")))</f>
        <v/>
      </c>
      <c r="I79" s="11">
        <f>IF($A79="","",IF(COUNTIF(Players!$A$2:$A$500,$A79)=0,"Player is not on the Players tab",IF(COUNTIF($A$7:$A$156,$A79)&gt;1,"Player is listed twice",IF(NOT(ISNUMBER($B79)),"Enter a score",IF(COUNTIFS($D$7:$D$156,$D79,$C$7:$C$156,"Winner")&gt;1,"More than one "&amp;$D79&amp;" winner picked",IF(AND($C79="Winner",COUNTIFS($D$7:$D$156,$D79,$B$7:$B$156,"&lt;"&amp;$B79)&gt;0),"The winner doesn't have the best "&amp;$D79&amp;" score",IF(AND($B$2="Final",COUNTIFS($D$7:$D$156,$D79,$C$7:$C$156,"Winner")=0),"Final: pick the "&amp;$D79&amp;" winner",IF($B$2="Not started","Set Status to In progress to count points","OK"))))))))</f>
        <v/>
      </c>
      <c r="J79" s="11">
        <f>IF(OR($A79="",NOT(ISNUMBER($B79))),"",IF($C79="Winner",1,COUNTIFS($D$7:$D$156,$D79,$B$7:$B$156,$B79)-IF(AND(NOT($C79="Winner"),COUNTIFS($D$7:$D$156,$D79,$C$7:$C$156,"Winner",$B$7:$B$156,$B79)&gt;0),1,0)))</f>
        <v/>
      </c>
    </row>
    <row r="80">
      <c r="D80" s="11">
        <f>IF($A80="","",IFERROR(IF(VLOOKUP($A80,Players!$A$2:$B$500,2,FALSE)="","Open",VLOOKUP($A80,Players!$A$2:$B$500,2,FALSE)),"Open"))</f>
        <v/>
      </c>
      <c r="E80" s="11">
        <f>IF(OR($A80="",NOT(ISNUMBER($B80))),"",IF($C80="Winner",1,COUNTIFS($D$7:$D$156,$D80,$B$7:$B$156,"&lt;"&amp;$B80)+1+IF(AND(NOT($C80="Winner"),COUNTIFS($D$7:$D$156,$D80,$C$7:$C$156,"Winner",$B$7:$B$156,$B80)&gt;0),1,0)))</f>
        <v/>
      </c>
      <c r="F80" s="11">
        <f>IF(OR($A80="",NOT(ISNUMBER($B80))),"",COUNTIFS($D$7:$D$156,$D80,$B$7:$B$156,"&gt;0"))</f>
        <v/>
      </c>
      <c r="G80" s="11">
        <f>IF(OR(OR($A80="",NOT(ISNUMBER($B80))),$B$2="Not started"),"",IF($C80="Winner",Points!$B$3,ROUND(Points!$B$3*IF($F80&lt;=1,1,Points!$H$7+(1-Points!$H$7)*((($F80-$E80)*(($F80-$E80)+1)/2)^2-((($F80-$E80-$J80+1)-1)*($F80-$E80-$J80+1)/2)^2)/($J80*($F80-1)^3)),0)))</f>
        <v/>
      </c>
      <c r="H80" s="11">
        <f>IF($A80="","",IF($B$2="Final","Final",IF($B$2="In progress","Projected","Not started")))</f>
        <v/>
      </c>
      <c r="I80" s="11">
        <f>IF($A80="","",IF(COUNTIF(Players!$A$2:$A$500,$A80)=0,"Player is not on the Players tab",IF(COUNTIF($A$7:$A$156,$A80)&gt;1,"Player is listed twice",IF(NOT(ISNUMBER($B80)),"Enter a score",IF(COUNTIFS($D$7:$D$156,$D80,$C$7:$C$156,"Winner")&gt;1,"More than one "&amp;$D80&amp;" winner picked",IF(AND($C80="Winner",COUNTIFS($D$7:$D$156,$D80,$B$7:$B$156,"&lt;"&amp;$B80)&gt;0),"The winner doesn't have the best "&amp;$D80&amp;" score",IF(AND($B$2="Final",COUNTIFS($D$7:$D$156,$D80,$C$7:$C$156,"Winner")=0),"Final: pick the "&amp;$D80&amp;" winner",IF($B$2="Not started","Set Status to In progress to count points","OK"))))))))</f>
        <v/>
      </c>
      <c r="J80" s="11">
        <f>IF(OR($A80="",NOT(ISNUMBER($B80))),"",IF($C80="Winner",1,COUNTIFS($D$7:$D$156,$D80,$B$7:$B$156,$B80)-IF(AND(NOT($C80="Winner"),COUNTIFS($D$7:$D$156,$D80,$C$7:$C$156,"Winner",$B$7:$B$156,$B80)&gt;0),1,0)))</f>
        <v/>
      </c>
    </row>
    <row r="81">
      <c r="D81" s="11">
        <f>IF($A81="","",IFERROR(IF(VLOOKUP($A81,Players!$A$2:$B$500,2,FALSE)="","Open",VLOOKUP($A81,Players!$A$2:$B$500,2,FALSE)),"Open"))</f>
        <v/>
      </c>
      <c r="E81" s="11">
        <f>IF(OR($A81="",NOT(ISNUMBER($B81))),"",IF($C81="Winner",1,COUNTIFS($D$7:$D$156,$D81,$B$7:$B$156,"&lt;"&amp;$B81)+1+IF(AND(NOT($C81="Winner"),COUNTIFS($D$7:$D$156,$D81,$C$7:$C$156,"Winner",$B$7:$B$156,$B81)&gt;0),1,0)))</f>
        <v/>
      </c>
      <c r="F81" s="11">
        <f>IF(OR($A81="",NOT(ISNUMBER($B81))),"",COUNTIFS($D$7:$D$156,$D81,$B$7:$B$156,"&gt;0"))</f>
        <v/>
      </c>
      <c r="G81" s="11">
        <f>IF(OR(OR($A81="",NOT(ISNUMBER($B81))),$B$2="Not started"),"",IF($C81="Winner",Points!$B$3,ROUND(Points!$B$3*IF($F81&lt;=1,1,Points!$H$7+(1-Points!$H$7)*((($F81-$E81)*(($F81-$E81)+1)/2)^2-((($F81-$E81-$J81+1)-1)*($F81-$E81-$J81+1)/2)^2)/($J81*($F81-1)^3)),0)))</f>
        <v/>
      </c>
      <c r="H81" s="11">
        <f>IF($A81="","",IF($B$2="Final","Final",IF($B$2="In progress","Projected","Not started")))</f>
        <v/>
      </c>
      <c r="I81" s="11">
        <f>IF($A81="","",IF(COUNTIF(Players!$A$2:$A$500,$A81)=0,"Player is not on the Players tab",IF(COUNTIF($A$7:$A$156,$A81)&gt;1,"Player is listed twice",IF(NOT(ISNUMBER($B81)),"Enter a score",IF(COUNTIFS($D$7:$D$156,$D81,$C$7:$C$156,"Winner")&gt;1,"More than one "&amp;$D81&amp;" winner picked",IF(AND($C81="Winner",COUNTIFS($D$7:$D$156,$D81,$B$7:$B$156,"&lt;"&amp;$B81)&gt;0),"The winner doesn't have the best "&amp;$D81&amp;" score",IF(AND($B$2="Final",COUNTIFS($D$7:$D$156,$D81,$C$7:$C$156,"Winner")=0),"Final: pick the "&amp;$D81&amp;" winner",IF($B$2="Not started","Set Status to In progress to count points","OK"))))))))</f>
        <v/>
      </c>
      <c r="J81" s="11">
        <f>IF(OR($A81="",NOT(ISNUMBER($B81))),"",IF($C81="Winner",1,COUNTIFS($D$7:$D$156,$D81,$B$7:$B$156,$B81)-IF(AND(NOT($C81="Winner"),COUNTIFS($D$7:$D$156,$D81,$C$7:$C$156,"Winner",$B$7:$B$156,$B81)&gt;0),1,0)))</f>
        <v/>
      </c>
    </row>
    <row r="82">
      <c r="D82" s="11">
        <f>IF($A82="","",IFERROR(IF(VLOOKUP($A82,Players!$A$2:$B$500,2,FALSE)="","Open",VLOOKUP($A82,Players!$A$2:$B$500,2,FALSE)),"Open"))</f>
        <v/>
      </c>
      <c r="E82" s="11">
        <f>IF(OR($A82="",NOT(ISNUMBER($B82))),"",IF($C82="Winner",1,COUNTIFS($D$7:$D$156,$D82,$B$7:$B$156,"&lt;"&amp;$B82)+1+IF(AND(NOT($C82="Winner"),COUNTIFS($D$7:$D$156,$D82,$C$7:$C$156,"Winner",$B$7:$B$156,$B82)&gt;0),1,0)))</f>
        <v/>
      </c>
      <c r="F82" s="11">
        <f>IF(OR($A82="",NOT(ISNUMBER($B82))),"",COUNTIFS($D$7:$D$156,$D82,$B$7:$B$156,"&gt;0"))</f>
        <v/>
      </c>
      <c r="G82" s="11">
        <f>IF(OR(OR($A82="",NOT(ISNUMBER($B82))),$B$2="Not started"),"",IF($C82="Winner",Points!$B$3,ROUND(Points!$B$3*IF($F82&lt;=1,1,Points!$H$7+(1-Points!$H$7)*((($F82-$E82)*(($F82-$E82)+1)/2)^2-((($F82-$E82-$J82+1)-1)*($F82-$E82-$J82+1)/2)^2)/($J82*($F82-1)^3)),0)))</f>
        <v/>
      </c>
      <c r="H82" s="11">
        <f>IF($A82="","",IF($B$2="Final","Final",IF($B$2="In progress","Projected","Not started")))</f>
        <v/>
      </c>
      <c r="I82" s="11">
        <f>IF($A82="","",IF(COUNTIF(Players!$A$2:$A$500,$A82)=0,"Player is not on the Players tab",IF(COUNTIF($A$7:$A$156,$A82)&gt;1,"Player is listed twice",IF(NOT(ISNUMBER($B82)),"Enter a score",IF(COUNTIFS($D$7:$D$156,$D82,$C$7:$C$156,"Winner")&gt;1,"More than one "&amp;$D82&amp;" winner picked",IF(AND($C82="Winner",COUNTIFS($D$7:$D$156,$D82,$B$7:$B$156,"&lt;"&amp;$B82)&gt;0),"The winner doesn't have the best "&amp;$D82&amp;" score",IF(AND($B$2="Final",COUNTIFS($D$7:$D$156,$D82,$C$7:$C$156,"Winner")=0),"Final: pick the "&amp;$D82&amp;" winner",IF($B$2="Not started","Set Status to In progress to count points","OK"))))))))</f>
        <v/>
      </c>
      <c r="J82" s="11">
        <f>IF(OR($A82="",NOT(ISNUMBER($B82))),"",IF($C82="Winner",1,COUNTIFS($D$7:$D$156,$D82,$B$7:$B$156,$B82)-IF(AND(NOT($C82="Winner"),COUNTIFS($D$7:$D$156,$D82,$C$7:$C$156,"Winner",$B$7:$B$156,$B82)&gt;0),1,0)))</f>
        <v/>
      </c>
    </row>
    <row r="83">
      <c r="D83" s="11">
        <f>IF($A83="","",IFERROR(IF(VLOOKUP($A83,Players!$A$2:$B$500,2,FALSE)="","Open",VLOOKUP($A83,Players!$A$2:$B$500,2,FALSE)),"Open"))</f>
        <v/>
      </c>
      <c r="E83" s="11">
        <f>IF(OR($A83="",NOT(ISNUMBER($B83))),"",IF($C83="Winner",1,COUNTIFS($D$7:$D$156,$D83,$B$7:$B$156,"&lt;"&amp;$B83)+1+IF(AND(NOT($C83="Winner"),COUNTIFS($D$7:$D$156,$D83,$C$7:$C$156,"Winner",$B$7:$B$156,$B83)&gt;0),1,0)))</f>
        <v/>
      </c>
      <c r="F83" s="11">
        <f>IF(OR($A83="",NOT(ISNUMBER($B83))),"",COUNTIFS($D$7:$D$156,$D83,$B$7:$B$156,"&gt;0"))</f>
        <v/>
      </c>
      <c r="G83" s="11">
        <f>IF(OR(OR($A83="",NOT(ISNUMBER($B83))),$B$2="Not started"),"",IF($C83="Winner",Points!$B$3,ROUND(Points!$B$3*IF($F83&lt;=1,1,Points!$H$7+(1-Points!$H$7)*((($F83-$E83)*(($F83-$E83)+1)/2)^2-((($F83-$E83-$J83+1)-1)*($F83-$E83-$J83+1)/2)^2)/($J83*($F83-1)^3)),0)))</f>
        <v/>
      </c>
      <c r="H83" s="11">
        <f>IF($A83="","",IF($B$2="Final","Final",IF($B$2="In progress","Projected","Not started")))</f>
        <v/>
      </c>
      <c r="I83" s="11">
        <f>IF($A83="","",IF(COUNTIF(Players!$A$2:$A$500,$A83)=0,"Player is not on the Players tab",IF(COUNTIF($A$7:$A$156,$A83)&gt;1,"Player is listed twice",IF(NOT(ISNUMBER($B83)),"Enter a score",IF(COUNTIFS($D$7:$D$156,$D83,$C$7:$C$156,"Winner")&gt;1,"More than one "&amp;$D83&amp;" winner picked",IF(AND($C83="Winner",COUNTIFS($D$7:$D$156,$D83,$B$7:$B$156,"&lt;"&amp;$B83)&gt;0),"The winner doesn't have the best "&amp;$D83&amp;" score",IF(AND($B$2="Final",COUNTIFS($D$7:$D$156,$D83,$C$7:$C$156,"Winner")=0),"Final: pick the "&amp;$D83&amp;" winner",IF($B$2="Not started","Set Status to In progress to count points","OK"))))))))</f>
        <v/>
      </c>
      <c r="J83" s="11">
        <f>IF(OR($A83="",NOT(ISNUMBER($B83))),"",IF($C83="Winner",1,COUNTIFS($D$7:$D$156,$D83,$B$7:$B$156,$B83)-IF(AND(NOT($C83="Winner"),COUNTIFS($D$7:$D$156,$D83,$C$7:$C$156,"Winner",$B$7:$B$156,$B83)&gt;0),1,0)))</f>
        <v/>
      </c>
    </row>
    <row r="84">
      <c r="D84" s="11">
        <f>IF($A84="","",IFERROR(IF(VLOOKUP($A84,Players!$A$2:$B$500,2,FALSE)="","Open",VLOOKUP($A84,Players!$A$2:$B$500,2,FALSE)),"Open"))</f>
        <v/>
      </c>
      <c r="E84" s="11">
        <f>IF(OR($A84="",NOT(ISNUMBER($B84))),"",IF($C84="Winner",1,COUNTIFS($D$7:$D$156,$D84,$B$7:$B$156,"&lt;"&amp;$B84)+1+IF(AND(NOT($C84="Winner"),COUNTIFS($D$7:$D$156,$D84,$C$7:$C$156,"Winner",$B$7:$B$156,$B84)&gt;0),1,0)))</f>
        <v/>
      </c>
      <c r="F84" s="11">
        <f>IF(OR($A84="",NOT(ISNUMBER($B84))),"",COUNTIFS($D$7:$D$156,$D84,$B$7:$B$156,"&gt;0"))</f>
        <v/>
      </c>
      <c r="G84" s="11">
        <f>IF(OR(OR($A84="",NOT(ISNUMBER($B84))),$B$2="Not started"),"",IF($C84="Winner",Points!$B$3,ROUND(Points!$B$3*IF($F84&lt;=1,1,Points!$H$7+(1-Points!$H$7)*((($F84-$E84)*(($F84-$E84)+1)/2)^2-((($F84-$E84-$J84+1)-1)*($F84-$E84-$J84+1)/2)^2)/($J84*($F84-1)^3)),0)))</f>
        <v/>
      </c>
      <c r="H84" s="11">
        <f>IF($A84="","",IF($B$2="Final","Final",IF($B$2="In progress","Projected","Not started")))</f>
        <v/>
      </c>
      <c r="I84" s="11">
        <f>IF($A84="","",IF(COUNTIF(Players!$A$2:$A$500,$A84)=0,"Player is not on the Players tab",IF(COUNTIF($A$7:$A$156,$A84)&gt;1,"Player is listed twice",IF(NOT(ISNUMBER($B84)),"Enter a score",IF(COUNTIFS($D$7:$D$156,$D84,$C$7:$C$156,"Winner")&gt;1,"More than one "&amp;$D84&amp;" winner picked",IF(AND($C84="Winner",COUNTIFS($D$7:$D$156,$D84,$B$7:$B$156,"&lt;"&amp;$B84)&gt;0),"The winner doesn't have the best "&amp;$D84&amp;" score",IF(AND($B$2="Final",COUNTIFS($D$7:$D$156,$D84,$C$7:$C$156,"Winner")=0),"Final: pick the "&amp;$D84&amp;" winner",IF($B$2="Not started","Set Status to In progress to count points","OK"))))))))</f>
        <v/>
      </c>
      <c r="J84" s="11">
        <f>IF(OR($A84="",NOT(ISNUMBER($B84))),"",IF($C84="Winner",1,COUNTIFS($D$7:$D$156,$D84,$B$7:$B$156,$B84)-IF(AND(NOT($C84="Winner"),COUNTIFS($D$7:$D$156,$D84,$C$7:$C$156,"Winner",$B$7:$B$156,$B84)&gt;0),1,0)))</f>
        <v/>
      </c>
    </row>
    <row r="85">
      <c r="D85" s="11">
        <f>IF($A85="","",IFERROR(IF(VLOOKUP($A85,Players!$A$2:$B$500,2,FALSE)="","Open",VLOOKUP($A85,Players!$A$2:$B$500,2,FALSE)),"Open"))</f>
        <v/>
      </c>
      <c r="E85" s="11">
        <f>IF(OR($A85="",NOT(ISNUMBER($B85))),"",IF($C85="Winner",1,COUNTIFS($D$7:$D$156,$D85,$B$7:$B$156,"&lt;"&amp;$B85)+1+IF(AND(NOT($C85="Winner"),COUNTIFS($D$7:$D$156,$D85,$C$7:$C$156,"Winner",$B$7:$B$156,$B85)&gt;0),1,0)))</f>
        <v/>
      </c>
      <c r="F85" s="11">
        <f>IF(OR($A85="",NOT(ISNUMBER($B85))),"",COUNTIFS($D$7:$D$156,$D85,$B$7:$B$156,"&gt;0"))</f>
        <v/>
      </c>
      <c r="G85" s="11">
        <f>IF(OR(OR($A85="",NOT(ISNUMBER($B85))),$B$2="Not started"),"",IF($C85="Winner",Points!$B$3,ROUND(Points!$B$3*IF($F85&lt;=1,1,Points!$H$7+(1-Points!$H$7)*((($F85-$E85)*(($F85-$E85)+1)/2)^2-((($F85-$E85-$J85+1)-1)*($F85-$E85-$J85+1)/2)^2)/($J85*($F85-1)^3)),0)))</f>
        <v/>
      </c>
      <c r="H85" s="11">
        <f>IF($A85="","",IF($B$2="Final","Final",IF($B$2="In progress","Projected","Not started")))</f>
        <v/>
      </c>
      <c r="I85" s="11">
        <f>IF($A85="","",IF(COUNTIF(Players!$A$2:$A$500,$A85)=0,"Player is not on the Players tab",IF(COUNTIF($A$7:$A$156,$A85)&gt;1,"Player is listed twice",IF(NOT(ISNUMBER($B85)),"Enter a score",IF(COUNTIFS($D$7:$D$156,$D85,$C$7:$C$156,"Winner")&gt;1,"More than one "&amp;$D85&amp;" winner picked",IF(AND($C85="Winner",COUNTIFS($D$7:$D$156,$D85,$B$7:$B$156,"&lt;"&amp;$B85)&gt;0),"The winner doesn't have the best "&amp;$D85&amp;" score",IF(AND($B$2="Final",COUNTIFS($D$7:$D$156,$D85,$C$7:$C$156,"Winner")=0),"Final: pick the "&amp;$D85&amp;" winner",IF($B$2="Not started","Set Status to In progress to count points","OK"))))))))</f>
        <v/>
      </c>
      <c r="J85" s="11">
        <f>IF(OR($A85="",NOT(ISNUMBER($B85))),"",IF($C85="Winner",1,COUNTIFS($D$7:$D$156,$D85,$B$7:$B$156,$B85)-IF(AND(NOT($C85="Winner"),COUNTIFS($D$7:$D$156,$D85,$C$7:$C$156,"Winner",$B$7:$B$156,$B85)&gt;0),1,0)))</f>
        <v/>
      </c>
    </row>
    <row r="86">
      <c r="D86" s="11">
        <f>IF($A86="","",IFERROR(IF(VLOOKUP($A86,Players!$A$2:$B$500,2,FALSE)="","Open",VLOOKUP($A86,Players!$A$2:$B$500,2,FALSE)),"Open"))</f>
        <v/>
      </c>
      <c r="E86" s="11">
        <f>IF(OR($A86="",NOT(ISNUMBER($B86))),"",IF($C86="Winner",1,COUNTIFS($D$7:$D$156,$D86,$B$7:$B$156,"&lt;"&amp;$B86)+1+IF(AND(NOT($C86="Winner"),COUNTIFS($D$7:$D$156,$D86,$C$7:$C$156,"Winner",$B$7:$B$156,$B86)&gt;0),1,0)))</f>
        <v/>
      </c>
      <c r="F86" s="11">
        <f>IF(OR($A86="",NOT(ISNUMBER($B86))),"",COUNTIFS($D$7:$D$156,$D86,$B$7:$B$156,"&gt;0"))</f>
        <v/>
      </c>
      <c r="G86" s="11">
        <f>IF(OR(OR($A86="",NOT(ISNUMBER($B86))),$B$2="Not started"),"",IF($C86="Winner",Points!$B$3,ROUND(Points!$B$3*IF($F86&lt;=1,1,Points!$H$7+(1-Points!$H$7)*((($F86-$E86)*(($F86-$E86)+1)/2)^2-((($F86-$E86-$J86+1)-1)*($F86-$E86-$J86+1)/2)^2)/($J86*($F86-1)^3)),0)))</f>
        <v/>
      </c>
      <c r="H86" s="11">
        <f>IF($A86="","",IF($B$2="Final","Final",IF($B$2="In progress","Projected","Not started")))</f>
        <v/>
      </c>
      <c r="I86" s="11">
        <f>IF($A86="","",IF(COUNTIF(Players!$A$2:$A$500,$A86)=0,"Player is not on the Players tab",IF(COUNTIF($A$7:$A$156,$A86)&gt;1,"Player is listed twice",IF(NOT(ISNUMBER($B86)),"Enter a score",IF(COUNTIFS($D$7:$D$156,$D86,$C$7:$C$156,"Winner")&gt;1,"More than one "&amp;$D86&amp;" winner picked",IF(AND($C86="Winner",COUNTIFS($D$7:$D$156,$D86,$B$7:$B$156,"&lt;"&amp;$B86)&gt;0),"The winner doesn't have the best "&amp;$D86&amp;" score",IF(AND($B$2="Final",COUNTIFS($D$7:$D$156,$D86,$C$7:$C$156,"Winner")=0),"Final: pick the "&amp;$D86&amp;" winner",IF($B$2="Not started","Set Status to In progress to count points","OK"))))))))</f>
        <v/>
      </c>
      <c r="J86" s="11">
        <f>IF(OR($A86="",NOT(ISNUMBER($B86))),"",IF($C86="Winner",1,COUNTIFS($D$7:$D$156,$D86,$B$7:$B$156,$B86)-IF(AND(NOT($C86="Winner"),COUNTIFS($D$7:$D$156,$D86,$C$7:$C$156,"Winner",$B$7:$B$156,$B86)&gt;0),1,0)))</f>
        <v/>
      </c>
    </row>
    <row r="87">
      <c r="D87" s="11">
        <f>IF($A87="","",IFERROR(IF(VLOOKUP($A87,Players!$A$2:$B$500,2,FALSE)="","Open",VLOOKUP($A87,Players!$A$2:$B$500,2,FALSE)),"Open"))</f>
        <v/>
      </c>
      <c r="E87" s="11">
        <f>IF(OR($A87="",NOT(ISNUMBER($B87))),"",IF($C87="Winner",1,COUNTIFS($D$7:$D$156,$D87,$B$7:$B$156,"&lt;"&amp;$B87)+1+IF(AND(NOT($C87="Winner"),COUNTIFS($D$7:$D$156,$D87,$C$7:$C$156,"Winner",$B$7:$B$156,$B87)&gt;0),1,0)))</f>
        <v/>
      </c>
      <c r="F87" s="11">
        <f>IF(OR($A87="",NOT(ISNUMBER($B87))),"",COUNTIFS($D$7:$D$156,$D87,$B$7:$B$156,"&gt;0"))</f>
        <v/>
      </c>
      <c r="G87" s="11">
        <f>IF(OR(OR($A87="",NOT(ISNUMBER($B87))),$B$2="Not started"),"",IF($C87="Winner",Points!$B$3,ROUND(Points!$B$3*IF($F87&lt;=1,1,Points!$H$7+(1-Points!$H$7)*((($F87-$E87)*(($F87-$E87)+1)/2)^2-((($F87-$E87-$J87+1)-1)*($F87-$E87-$J87+1)/2)^2)/($J87*($F87-1)^3)),0)))</f>
        <v/>
      </c>
      <c r="H87" s="11">
        <f>IF($A87="","",IF($B$2="Final","Final",IF($B$2="In progress","Projected","Not started")))</f>
        <v/>
      </c>
      <c r="I87" s="11">
        <f>IF($A87="","",IF(COUNTIF(Players!$A$2:$A$500,$A87)=0,"Player is not on the Players tab",IF(COUNTIF($A$7:$A$156,$A87)&gt;1,"Player is listed twice",IF(NOT(ISNUMBER($B87)),"Enter a score",IF(COUNTIFS($D$7:$D$156,$D87,$C$7:$C$156,"Winner")&gt;1,"More than one "&amp;$D87&amp;" winner picked",IF(AND($C87="Winner",COUNTIFS($D$7:$D$156,$D87,$B$7:$B$156,"&lt;"&amp;$B87)&gt;0),"The winner doesn't have the best "&amp;$D87&amp;" score",IF(AND($B$2="Final",COUNTIFS($D$7:$D$156,$D87,$C$7:$C$156,"Winner")=0),"Final: pick the "&amp;$D87&amp;" winner",IF($B$2="Not started","Set Status to In progress to count points","OK"))))))))</f>
        <v/>
      </c>
      <c r="J87" s="11">
        <f>IF(OR($A87="",NOT(ISNUMBER($B87))),"",IF($C87="Winner",1,COUNTIFS($D$7:$D$156,$D87,$B$7:$B$156,$B87)-IF(AND(NOT($C87="Winner"),COUNTIFS($D$7:$D$156,$D87,$C$7:$C$156,"Winner",$B$7:$B$156,$B87)&gt;0),1,0)))</f>
        <v/>
      </c>
    </row>
    <row r="88">
      <c r="D88" s="11">
        <f>IF($A88="","",IFERROR(IF(VLOOKUP($A88,Players!$A$2:$B$500,2,FALSE)="","Open",VLOOKUP($A88,Players!$A$2:$B$500,2,FALSE)),"Open"))</f>
        <v/>
      </c>
      <c r="E88" s="11">
        <f>IF(OR($A88="",NOT(ISNUMBER($B88))),"",IF($C88="Winner",1,COUNTIFS($D$7:$D$156,$D88,$B$7:$B$156,"&lt;"&amp;$B88)+1+IF(AND(NOT($C88="Winner"),COUNTIFS($D$7:$D$156,$D88,$C$7:$C$156,"Winner",$B$7:$B$156,$B88)&gt;0),1,0)))</f>
        <v/>
      </c>
      <c r="F88" s="11">
        <f>IF(OR($A88="",NOT(ISNUMBER($B88))),"",COUNTIFS($D$7:$D$156,$D88,$B$7:$B$156,"&gt;0"))</f>
        <v/>
      </c>
      <c r="G88" s="11">
        <f>IF(OR(OR($A88="",NOT(ISNUMBER($B88))),$B$2="Not started"),"",IF($C88="Winner",Points!$B$3,ROUND(Points!$B$3*IF($F88&lt;=1,1,Points!$H$7+(1-Points!$H$7)*((($F88-$E88)*(($F88-$E88)+1)/2)^2-((($F88-$E88-$J88+1)-1)*($F88-$E88-$J88+1)/2)^2)/($J88*($F88-1)^3)),0)))</f>
        <v/>
      </c>
      <c r="H88" s="11">
        <f>IF($A88="","",IF($B$2="Final","Final",IF($B$2="In progress","Projected","Not started")))</f>
        <v/>
      </c>
      <c r="I88" s="11">
        <f>IF($A88="","",IF(COUNTIF(Players!$A$2:$A$500,$A88)=0,"Player is not on the Players tab",IF(COUNTIF($A$7:$A$156,$A88)&gt;1,"Player is listed twice",IF(NOT(ISNUMBER($B88)),"Enter a score",IF(COUNTIFS($D$7:$D$156,$D88,$C$7:$C$156,"Winner")&gt;1,"More than one "&amp;$D88&amp;" winner picked",IF(AND($C88="Winner",COUNTIFS($D$7:$D$156,$D88,$B$7:$B$156,"&lt;"&amp;$B88)&gt;0),"The winner doesn't have the best "&amp;$D88&amp;" score",IF(AND($B$2="Final",COUNTIFS($D$7:$D$156,$D88,$C$7:$C$156,"Winner")=0),"Final: pick the "&amp;$D88&amp;" winner",IF($B$2="Not started","Set Status to In progress to count points","OK"))))))))</f>
        <v/>
      </c>
      <c r="J88" s="11">
        <f>IF(OR($A88="",NOT(ISNUMBER($B88))),"",IF($C88="Winner",1,COUNTIFS($D$7:$D$156,$D88,$B$7:$B$156,$B88)-IF(AND(NOT($C88="Winner"),COUNTIFS($D$7:$D$156,$D88,$C$7:$C$156,"Winner",$B$7:$B$156,$B88)&gt;0),1,0)))</f>
        <v/>
      </c>
    </row>
    <row r="89">
      <c r="D89" s="11">
        <f>IF($A89="","",IFERROR(IF(VLOOKUP($A89,Players!$A$2:$B$500,2,FALSE)="","Open",VLOOKUP($A89,Players!$A$2:$B$500,2,FALSE)),"Open"))</f>
        <v/>
      </c>
      <c r="E89" s="11">
        <f>IF(OR($A89="",NOT(ISNUMBER($B89))),"",IF($C89="Winner",1,COUNTIFS($D$7:$D$156,$D89,$B$7:$B$156,"&lt;"&amp;$B89)+1+IF(AND(NOT($C89="Winner"),COUNTIFS($D$7:$D$156,$D89,$C$7:$C$156,"Winner",$B$7:$B$156,$B89)&gt;0),1,0)))</f>
        <v/>
      </c>
      <c r="F89" s="11">
        <f>IF(OR($A89="",NOT(ISNUMBER($B89))),"",COUNTIFS($D$7:$D$156,$D89,$B$7:$B$156,"&gt;0"))</f>
        <v/>
      </c>
      <c r="G89" s="11">
        <f>IF(OR(OR($A89="",NOT(ISNUMBER($B89))),$B$2="Not started"),"",IF($C89="Winner",Points!$B$3,ROUND(Points!$B$3*IF($F89&lt;=1,1,Points!$H$7+(1-Points!$H$7)*((($F89-$E89)*(($F89-$E89)+1)/2)^2-((($F89-$E89-$J89+1)-1)*($F89-$E89-$J89+1)/2)^2)/($J89*($F89-1)^3)),0)))</f>
        <v/>
      </c>
      <c r="H89" s="11">
        <f>IF($A89="","",IF($B$2="Final","Final",IF($B$2="In progress","Projected","Not started")))</f>
        <v/>
      </c>
      <c r="I89" s="11">
        <f>IF($A89="","",IF(COUNTIF(Players!$A$2:$A$500,$A89)=0,"Player is not on the Players tab",IF(COUNTIF($A$7:$A$156,$A89)&gt;1,"Player is listed twice",IF(NOT(ISNUMBER($B89)),"Enter a score",IF(COUNTIFS($D$7:$D$156,$D89,$C$7:$C$156,"Winner")&gt;1,"More than one "&amp;$D89&amp;" winner picked",IF(AND($C89="Winner",COUNTIFS($D$7:$D$156,$D89,$B$7:$B$156,"&lt;"&amp;$B89)&gt;0),"The winner doesn't have the best "&amp;$D89&amp;" score",IF(AND($B$2="Final",COUNTIFS($D$7:$D$156,$D89,$C$7:$C$156,"Winner")=0),"Final: pick the "&amp;$D89&amp;" winner",IF($B$2="Not started","Set Status to In progress to count points","OK"))))))))</f>
        <v/>
      </c>
      <c r="J89" s="11">
        <f>IF(OR($A89="",NOT(ISNUMBER($B89))),"",IF($C89="Winner",1,COUNTIFS($D$7:$D$156,$D89,$B$7:$B$156,$B89)-IF(AND(NOT($C89="Winner"),COUNTIFS($D$7:$D$156,$D89,$C$7:$C$156,"Winner",$B$7:$B$156,$B89)&gt;0),1,0)))</f>
        <v/>
      </c>
    </row>
    <row r="90">
      <c r="D90" s="11">
        <f>IF($A90="","",IFERROR(IF(VLOOKUP($A90,Players!$A$2:$B$500,2,FALSE)="","Open",VLOOKUP($A90,Players!$A$2:$B$500,2,FALSE)),"Open"))</f>
        <v/>
      </c>
      <c r="E90" s="11">
        <f>IF(OR($A90="",NOT(ISNUMBER($B90))),"",IF($C90="Winner",1,COUNTIFS($D$7:$D$156,$D90,$B$7:$B$156,"&lt;"&amp;$B90)+1+IF(AND(NOT($C90="Winner"),COUNTIFS($D$7:$D$156,$D90,$C$7:$C$156,"Winner",$B$7:$B$156,$B90)&gt;0),1,0)))</f>
        <v/>
      </c>
      <c r="F90" s="11">
        <f>IF(OR($A90="",NOT(ISNUMBER($B90))),"",COUNTIFS($D$7:$D$156,$D90,$B$7:$B$156,"&gt;0"))</f>
        <v/>
      </c>
      <c r="G90" s="11">
        <f>IF(OR(OR($A90="",NOT(ISNUMBER($B90))),$B$2="Not started"),"",IF($C90="Winner",Points!$B$3,ROUND(Points!$B$3*IF($F90&lt;=1,1,Points!$H$7+(1-Points!$H$7)*((($F90-$E90)*(($F90-$E90)+1)/2)^2-((($F90-$E90-$J90+1)-1)*($F90-$E90-$J90+1)/2)^2)/($J90*($F90-1)^3)),0)))</f>
        <v/>
      </c>
      <c r="H90" s="11">
        <f>IF($A90="","",IF($B$2="Final","Final",IF($B$2="In progress","Projected","Not started")))</f>
        <v/>
      </c>
      <c r="I90" s="11">
        <f>IF($A90="","",IF(COUNTIF(Players!$A$2:$A$500,$A90)=0,"Player is not on the Players tab",IF(COUNTIF($A$7:$A$156,$A90)&gt;1,"Player is listed twice",IF(NOT(ISNUMBER($B90)),"Enter a score",IF(COUNTIFS($D$7:$D$156,$D90,$C$7:$C$156,"Winner")&gt;1,"More than one "&amp;$D90&amp;" winner picked",IF(AND($C90="Winner",COUNTIFS($D$7:$D$156,$D90,$B$7:$B$156,"&lt;"&amp;$B90)&gt;0),"The winner doesn't have the best "&amp;$D90&amp;" score",IF(AND($B$2="Final",COUNTIFS($D$7:$D$156,$D90,$C$7:$C$156,"Winner")=0),"Final: pick the "&amp;$D90&amp;" winner",IF($B$2="Not started","Set Status to In progress to count points","OK"))))))))</f>
        <v/>
      </c>
      <c r="J90" s="11">
        <f>IF(OR($A90="",NOT(ISNUMBER($B90))),"",IF($C90="Winner",1,COUNTIFS($D$7:$D$156,$D90,$B$7:$B$156,$B90)-IF(AND(NOT($C90="Winner"),COUNTIFS($D$7:$D$156,$D90,$C$7:$C$156,"Winner",$B$7:$B$156,$B90)&gt;0),1,0)))</f>
        <v/>
      </c>
    </row>
    <row r="91">
      <c r="D91" s="11">
        <f>IF($A91="","",IFERROR(IF(VLOOKUP($A91,Players!$A$2:$B$500,2,FALSE)="","Open",VLOOKUP($A91,Players!$A$2:$B$500,2,FALSE)),"Open"))</f>
        <v/>
      </c>
      <c r="E91" s="11">
        <f>IF(OR($A91="",NOT(ISNUMBER($B91))),"",IF($C91="Winner",1,COUNTIFS($D$7:$D$156,$D91,$B$7:$B$156,"&lt;"&amp;$B91)+1+IF(AND(NOT($C91="Winner"),COUNTIFS($D$7:$D$156,$D91,$C$7:$C$156,"Winner",$B$7:$B$156,$B91)&gt;0),1,0)))</f>
        <v/>
      </c>
      <c r="F91" s="11">
        <f>IF(OR($A91="",NOT(ISNUMBER($B91))),"",COUNTIFS($D$7:$D$156,$D91,$B$7:$B$156,"&gt;0"))</f>
        <v/>
      </c>
      <c r="G91" s="11">
        <f>IF(OR(OR($A91="",NOT(ISNUMBER($B91))),$B$2="Not started"),"",IF($C91="Winner",Points!$B$3,ROUND(Points!$B$3*IF($F91&lt;=1,1,Points!$H$7+(1-Points!$H$7)*((($F91-$E91)*(($F91-$E91)+1)/2)^2-((($F91-$E91-$J91+1)-1)*($F91-$E91-$J91+1)/2)^2)/($J91*($F91-1)^3)),0)))</f>
        <v/>
      </c>
      <c r="H91" s="11">
        <f>IF($A91="","",IF($B$2="Final","Final",IF($B$2="In progress","Projected","Not started")))</f>
        <v/>
      </c>
      <c r="I91" s="11">
        <f>IF($A91="","",IF(COUNTIF(Players!$A$2:$A$500,$A91)=0,"Player is not on the Players tab",IF(COUNTIF($A$7:$A$156,$A91)&gt;1,"Player is listed twice",IF(NOT(ISNUMBER($B91)),"Enter a score",IF(COUNTIFS($D$7:$D$156,$D91,$C$7:$C$156,"Winner")&gt;1,"More than one "&amp;$D91&amp;" winner picked",IF(AND($C91="Winner",COUNTIFS($D$7:$D$156,$D91,$B$7:$B$156,"&lt;"&amp;$B91)&gt;0),"The winner doesn't have the best "&amp;$D91&amp;" score",IF(AND($B$2="Final",COUNTIFS($D$7:$D$156,$D91,$C$7:$C$156,"Winner")=0),"Final: pick the "&amp;$D91&amp;" winner",IF($B$2="Not started","Set Status to In progress to count points","OK"))))))))</f>
        <v/>
      </c>
      <c r="J91" s="11">
        <f>IF(OR($A91="",NOT(ISNUMBER($B91))),"",IF($C91="Winner",1,COUNTIFS($D$7:$D$156,$D91,$B$7:$B$156,$B91)-IF(AND(NOT($C91="Winner"),COUNTIFS($D$7:$D$156,$D91,$C$7:$C$156,"Winner",$B$7:$B$156,$B91)&gt;0),1,0)))</f>
        <v/>
      </c>
    </row>
    <row r="92">
      <c r="D92" s="11">
        <f>IF($A92="","",IFERROR(IF(VLOOKUP($A92,Players!$A$2:$B$500,2,FALSE)="","Open",VLOOKUP($A92,Players!$A$2:$B$500,2,FALSE)),"Open"))</f>
        <v/>
      </c>
      <c r="E92" s="11">
        <f>IF(OR($A92="",NOT(ISNUMBER($B92))),"",IF($C92="Winner",1,COUNTIFS($D$7:$D$156,$D92,$B$7:$B$156,"&lt;"&amp;$B92)+1+IF(AND(NOT($C92="Winner"),COUNTIFS($D$7:$D$156,$D92,$C$7:$C$156,"Winner",$B$7:$B$156,$B92)&gt;0),1,0)))</f>
        <v/>
      </c>
      <c r="F92" s="11">
        <f>IF(OR($A92="",NOT(ISNUMBER($B92))),"",COUNTIFS($D$7:$D$156,$D92,$B$7:$B$156,"&gt;0"))</f>
        <v/>
      </c>
      <c r="G92" s="11">
        <f>IF(OR(OR($A92="",NOT(ISNUMBER($B92))),$B$2="Not started"),"",IF($C92="Winner",Points!$B$3,ROUND(Points!$B$3*IF($F92&lt;=1,1,Points!$H$7+(1-Points!$H$7)*((($F92-$E92)*(($F92-$E92)+1)/2)^2-((($F92-$E92-$J92+1)-1)*($F92-$E92-$J92+1)/2)^2)/($J92*($F92-1)^3)),0)))</f>
        <v/>
      </c>
      <c r="H92" s="11">
        <f>IF($A92="","",IF($B$2="Final","Final",IF($B$2="In progress","Projected","Not started")))</f>
        <v/>
      </c>
      <c r="I92" s="11">
        <f>IF($A92="","",IF(COUNTIF(Players!$A$2:$A$500,$A92)=0,"Player is not on the Players tab",IF(COUNTIF($A$7:$A$156,$A92)&gt;1,"Player is listed twice",IF(NOT(ISNUMBER($B92)),"Enter a score",IF(COUNTIFS($D$7:$D$156,$D92,$C$7:$C$156,"Winner")&gt;1,"More than one "&amp;$D92&amp;" winner picked",IF(AND($C92="Winner",COUNTIFS($D$7:$D$156,$D92,$B$7:$B$156,"&lt;"&amp;$B92)&gt;0),"The winner doesn't have the best "&amp;$D92&amp;" score",IF(AND($B$2="Final",COUNTIFS($D$7:$D$156,$D92,$C$7:$C$156,"Winner")=0),"Final: pick the "&amp;$D92&amp;" winner",IF($B$2="Not started","Set Status to In progress to count points","OK"))))))))</f>
        <v/>
      </c>
      <c r="J92" s="11">
        <f>IF(OR($A92="",NOT(ISNUMBER($B92))),"",IF($C92="Winner",1,COUNTIFS($D$7:$D$156,$D92,$B$7:$B$156,$B92)-IF(AND(NOT($C92="Winner"),COUNTIFS($D$7:$D$156,$D92,$C$7:$C$156,"Winner",$B$7:$B$156,$B92)&gt;0),1,0)))</f>
        <v/>
      </c>
    </row>
    <row r="93">
      <c r="D93" s="11">
        <f>IF($A93="","",IFERROR(IF(VLOOKUP($A93,Players!$A$2:$B$500,2,FALSE)="","Open",VLOOKUP($A93,Players!$A$2:$B$500,2,FALSE)),"Open"))</f>
        <v/>
      </c>
      <c r="E93" s="11">
        <f>IF(OR($A93="",NOT(ISNUMBER($B93))),"",IF($C93="Winner",1,COUNTIFS($D$7:$D$156,$D93,$B$7:$B$156,"&lt;"&amp;$B93)+1+IF(AND(NOT($C93="Winner"),COUNTIFS($D$7:$D$156,$D93,$C$7:$C$156,"Winner",$B$7:$B$156,$B93)&gt;0),1,0)))</f>
        <v/>
      </c>
      <c r="F93" s="11">
        <f>IF(OR($A93="",NOT(ISNUMBER($B93))),"",COUNTIFS($D$7:$D$156,$D93,$B$7:$B$156,"&gt;0"))</f>
        <v/>
      </c>
      <c r="G93" s="11">
        <f>IF(OR(OR($A93="",NOT(ISNUMBER($B93))),$B$2="Not started"),"",IF($C93="Winner",Points!$B$3,ROUND(Points!$B$3*IF($F93&lt;=1,1,Points!$H$7+(1-Points!$H$7)*((($F93-$E93)*(($F93-$E93)+1)/2)^2-((($F93-$E93-$J93+1)-1)*($F93-$E93-$J93+1)/2)^2)/($J93*($F93-1)^3)),0)))</f>
        <v/>
      </c>
      <c r="H93" s="11">
        <f>IF($A93="","",IF($B$2="Final","Final",IF($B$2="In progress","Projected","Not started")))</f>
        <v/>
      </c>
      <c r="I93" s="11">
        <f>IF($A93="","",IF(COUNTIF(Players!$A$2:$A$500,$A93)=0,"Player is not on the Players tab",IF(COUNTIF($A$7:$A$156,$A93)&gt;1,"Player is listed twice",IF(NOT(ISNUMBER($B93)),"Enter a score",IF(COUNTIFS($D$7:$D$156,$D93,$C$7:$C$156,"Winner")&gt;1,"More than one "&amp;$D93&amp;" winner picked",IF(AND($C93="Winner",COUNTIFS($D$7:$D$156,$D93,$B$7:$B$156,"&lt;"&amp;$B93)&gt;0),"The winner doesn't have the best "&amp;$D93&amp;" score",IF(AND($B$2="Final",COUNTIFS($D$7:$D$156,$D93,$C$7:$C$156,"Winner")=0),"Final: pick the "&amp;$D93&amp;" winner",IF($B$2="Not started","Set Status to In progress to count points","OK"))))))))</f>
        <v/>
      </c>
      <c r="J93" s="11">
        <f>IF(OR($A93="",NOT(ISNUMBER($B93))),"",IF($C93="Winner",1,COUNTIFS($D$7:$D$156,$D93,$B$7:$B$156,$B93)-IF(AND(NOT($C93="Winner"),COUNTIFS($D$7:$D$156,$D93,$C$7:$C$156,"Winner",$B$7:$B$156,$B93)&gt;0),1,0)))</f>
        <v/>
      </c>
    </row>
    <row r="94">
      <c r="D94" s="11">
        <f>IF($A94="","",IFERROR(IF(VLOOKUP($A94,Players!$A$2:$B$500,2,FALSE)="","Open",VLOOKUP($A94,Players!$A$2:$B$500,2,FALSE)),"Open"))</f>
        <v/>
      </c>
      <c r="E94" s="11">
        <f>IF(OR($A94="",NOT(ISNUMBER($B94))),"",IF($C94="Winner",1,COUNTIFS($D$7:$D$156,$D94,$B$7:$B$156,"&lt;"&amp;$B94)+1+IF(AND(NOT($C94="Winner"),COUNTIFS($D$7:$D$156,$D94,$C$7:$C$156,"Winner",$B$7:$B$156,$B94)&gt;0),1,0)))</f>
        <v/>
      </c>
      <c r="F94" s="11">
        <f>IF(OR($A94="",NOT(ISNUMBER($B94))),"",COUNTIFS($D$7:$D$156,$D94,$B$7:$B$156,"&gt;0"))</f>
        <v/>
      </c>
      <c r="G94" s="11">
        <f>IF(OR(OR($A94="",NOT(ISNUMBER($B94))),$B$2="Not started"),"",IF($C94="Winner",Points!$B$3,ROUND(Points!$B$3*IF($F94&lt;=1,1,Points!$H$7+(1-Points!$H$7)*((($F94-$E94)*(($F94-$E94)+1)/2)^2-((($F94-$E94-$J94+1)-1)*($F94-$E94-$J94+1)/2)^2)/($J94*($F94-1)^3)),0)))</f>
        <v/>
      </c>
      <c r="H94" s="11">
        <f>IF($A94="","",IF($B$2="Final","Final",IF($B$2="In progress","Projected","Not started")))</f>
        <v/>
      </c>
      <c r="I94" s="11">
        <f>IF($A94="","",IF(COUNTIF(Players!$A$2:$A$500,$A94)=0,"Player is not on the Players tab",IF(COUNTIF($A$7:$A$156,$A94)&gt;1,"Player is listed twice",IF(NOT(ISNUMBER($B94)),"Enter a score",IF(COUNTIFS($D$7:$D$156,$D94,$C$7:$C$156,"Winner")&gt;1,"More than one "&amp;$D94&amp;" winner picked",IF(AND($C94="Winner",COUNTIFS($D$7:$D$156,$D94,$B$7:$B$156,"&lt;"&amp;$B94)&gt;0),"The winner doesn't have the best "&amp;$D94&amp;" score",IF(AND($B$2="Final",COUNTIFS($D$7:$D$156,$D94,$C$7:$C$156,"Winner")=0),"Final: pick the "&amp;$D94&amp;" winner",IF($B$2="Not started","Set Status to In progress to count points","OK"))))))))</f>
        <v/>
      </c>
      <c r="J94" s="11">
        <f>IF(OR($A94="",NOT(ISNUMBER($B94))),"",IF($C94="Winner",1,COUNTIFS($D$7:$D$156,$D94,$B$7:$B$156,$B94)-IF(AND(NOT($C94="Winner"),COUNTIFS($D$7:$D$156,$D94,$C$7:$C$156,"Winner",$B$7:$B$156,$B94)&gt;0),1,0)))</f>
        <v/>
      </c>
    </row>
    <row r="95">
      <c r="D95" s="11">
        <f>IF($A95="","",IFERROR(IF(VLOOKUP($A95,Players!$A$2:$B$500,2,FALSE)="","Open",VLOOKUP($A95,Players!$A$2:$B$500,2,FALSE)),"Open"))</f>
        <v/>
      </c>
      <c r="E95" s="11">
        <f>IF(OR($A95="",NOT(ISNUMBER($B95))),"",IF($C95="Winner",1,COUNTIFS($D$7:$D$156,$D95,$B$7:$B$156,"&lt;"&amp;$B95)+1+IF(AND(NOT($C95="Winner"),COUNTIFS($D$7:$D$156,$D95,$C$7:$C$156,"Winner",$B$7:$B$156,$B95)&gt;0),1,0)))</f>
        <v/>
      </c>
      <c r="F95" s="11">
        <f>IF(OR($A95="",NOT(ISNUMBER($B95))),"",COUNTIFS($D$7:$D$156,$D95,$B$7:$B$156,"&gt;0"))</f>
        <v/>
      </c>
      <c r="G95" s="11">
        <f>IF(OR(OR($A95="",NOT(ISNUMBER($B95))),$B$2="Not started"),"",IF($C95="Winner",Points!$B$3,ROUND(Points!$B$3*IF($F95&lt;=1,1,Points!$H$7+(1-Points!$H$7)*((($F95-$E95)*(($F95-$E95)+1)/2)^2-((($F95-$E95-$J95+1)-1)*($F95-$E95-$J95+1)/2)^2)/($J95*($F95-1)^3)),0)))</f>
        <v/>
      </c>
      <c r="H95" s="11">
        <f>IF($A95="","",IF($B$2="Final","Final",IF($B$2="In progress","Projected","Not started")))</f>
        <v/>
      </c>
      <c r="I95" s="11">
        <f>IF($A95="","",IF(COUNTIF(Players!$A$2:$A$500,$A95)=0,"Player is not on the Players tab",IF(COUNTIF($A$7:$A$156,$A95)&gt;1,"Player is listed twice",IF(NOT(ISNUMBER($B95)),"Enter a score",IF(COUNTIFS($D$7:$D$156,$D95,$C$7:$C$156,"Winner")&gt;1,"More than one "&amp;$D95&amp;" winner picked",IF(AND($C95="Winner",COUNTIFS($D$7:$D$156,$D95,$B$7:$B$156,"&lt;"&amp;$B95)&gt;0),"The winner doesn't have the best "&amp;$D95&amp;" score",IF(AND($B$2="Final",COUNTIFS($D$7:$D$156,$D95,$C$7:$C$156,"Winner")=0),"Final: pick the "&amp;$D95&amp;" winner",IF($B$2="Not started","Set Status to In progress to count points","OK"))))))))</f>
        <v/>
      </c>
      <c r="J95" s="11">
        <f>IF(OR($A95="",NOT(ISNUMBER($B95))),"",IF($C95="Winner",1,COUNTIFS($D$7:$D$156,$D95,$B$7:$B$156,$B95)-IF(AND(NOT($C95="Winner"),COUNTIFS($D$7:$D$156,$D95,$C$7:$C$156,"Winner",$B$7:$B$156,$B95)&gt;0),1,0)))</f>
        <v/>
      </c>
    </row>
    <row r="96">
      <c r="D96" s="11">
        <f>IF($A96="","",IFERROR(IF(VLOOKUP($A96,Players!$A$2:$B$500,2,FALSE)="","Open",VLOOKUP($A96,Players!$A$2:$B$500,2,FALSE)),"Open"))</f>
        <v/>
      </c>
      <c r="E96" s="11">
        <f>IF(OR($A96="",NOT(ISNUMBER($B96))),"",IF($C96="Winner",1,COUNTIFS($D$7:$D$156,$D96,$B$7:$B$156,"&lt;"&amp;$B96)+1+IF(AND(NOT($C96="Winner"),COUNTIFS($D$7:$D$156,$D96,$C$7:$C$156,"Winner",$B$7:$B$156,$B96)&gt;0),1,0)))</f>
        <v/>
      </c>
      <c r="F96" s="11">
        <f>IF(OR($A96="",NOT(ISNUMBER($B96))),"",COUNTIFS($D$7:$D$156,$D96,$B$7:$B$156,"&gt;0"))</f>
        <v/>
      </c>
      <c r="G96" s="11">
        <f>IF(OR(OR($A96="",NOT(ISNUMBER($B96))),$B$2="Not started"),"",IF($C96="Winner",Points!$B$3,ROUND(Points!$B$3*IF($F96&lt;=1,1,Points!$H$7+(1-Points!$H$7)*((($F96-$E96)*(($F96-$E96)+1)/2)^2-((($F96-$E96-$J96+1)-1)*($F96-$E96-$J96+1)/2)^2)/($J96*($F96-1)^3)),0)))</f>
        <v/>
      </c>
      <c r="H96" s="11">
        <f>IF($A96="","",IF($B$2="Final","Final",IF($B$2="In progress","Projected","Not started")))</f>
        <v/>
      </c>
      <c r="I96" s="11">
        <f>IF($A96="","",IF(COUNTIF(Players!$A$2:$A$500,$A96)=0,"Player is not on the Players tab",IF(COUNTIF($A$7:$A$156,$A96)&gt;1,"Player is listed twice",IF(NOT(ISNUMBER($B96)),"Enter a score",IF(COUNTIFS($D$7:$D$156,$D96,$C$7:$C$156,"Winner")&gt;1,"More than one "&amp;$D96&amp;" winner picked",IF(AND($C96="Winner",COUNTIFS($D$7:$D$156,$D96,$B$7:$B$156,"&lt;"&amp;$B96)&gt;0),"The winner doesn't have the best "&amp;$D96&amp;" score",IF(AND($B$2="Final",COUNTIFS($D$7:$D$156,$D96,$C$7:$C$156,"Winner")=0),"Final: pick the "&amp;$D96&amp;" winner",IF($B$2="Not started","Set Status to In progress to count points","OK"))))))))</f>
        <v/>
      </c>
      <c r="J96" s="11">
        <f>IF(OR($A96="",NOT(ISNUMBER($B96))),"",IF($C96="Winner",1,COUNTIFS($D$7:$D$156,$D96,$B$7:$B$156,$B96)-IF(AND(NOT($C96="Winner"),COUNTIFS($D$7:$D$156,$D96,$C$7:$C$156,"Winner",$B$7:$B$156,$B96)&gt;0),1,0)))</f>
        <v/>
      </c>
    </row>
    <row r="97">
      <c r="D97" s="11">
        <f>IF($A97="","",IFERROR(IF(VLOOKUP($A97,Players!$A$2:$B$500,2,FALSE)="","Open",VLOOKUP($A97,Players!$A$2:$B$500,2,FALSE)),"Open"))</f>
        <v/>
      </c>
      <c r="E97" s="11">
        <f>IF(OR($A97="",NOT(ISNUMBER($B97))),"",IF($C97="Winner",1,COUNTIFS($D$7:$D$156,$D97,$B$7:$B$156,"&lt;"&amp;$B97)+1+IF(AND(NOT($C97="Winner"),COUNTIFS($D$7:$D$156,$D97,$C$7:$C$156,"Winner",$B$7:$B$156,$B97)&gt;0),1,0)))</f>
        <v/>
      </c>
      <c r="F97" s="11">
        <f>IF(OR($A97="",NOT(ISNUMBER($B97))),"",COUNTIFS($D$7:$D$156,$D97,$B$7:$B$156,"&gt;0"))</f>
        <v/>
      </c>
      <c r="G97" s="11">
        <f>IF(OR(OR($A97="",NOT(ISNUMBER($B97))),$B$2="Not started"),"",IF($C97="Winner",Points!$B$3,ROUND(Points!$B$3*IF($F97&lt;=1,1,Points!$H$7+(1-Points!$H$7)*((($F97-$E97)*(($F97-$E97)+1)/2)^2-((($F97-$E97-$J97+1)-1)*($F97-$E97-$J97+1)/2)^2)/($J97*($F97-1)^3)),0)))</f>
        <v/>
      </c>
      <c r="H97" s="11">
        <f>IF($A97="","",IF($B$2="Final","Final",IF($B$2="In progress","Projected","Not started")))</f>
        <v/>
      </c>
      <c r="I97" s="11">
        <f>IF($A97="","",IF(COUNTIF(Players!$A$2:$A$500,$A97)=0,"Player is not on the Players tab",IF(COUNTIF($A$7:$A$156,$A97)&gt;1,"Player is listed twice",IF(NOT(ISNUMBER($B97)),"Enter a score",IF(COUNTIFS($D$7:$D$156,$D97,$C$7:$C$156,"Winner")&gt;1,"More than one "&amp;$D97&amp;" winner picked",IF(AND($C97="Winner",COUNTIFS($D$7:$D$156,$D97,$B$7:$B$156,"&lt;"&amp;$B97)&gt;0),"The winner doesn't have the best "&amp;$D97&amp;" score",IF(AND($B$2="Final",COUNTIFS($D$7:$D$156,$D97,$C$7:$C$156,"Winner")=0),"Final: pick the "&amp;$D97&amp;" winner",IF($B$2="Not started","Set Status to In progress to count points","OK"))))))))</f>
        <v/>
      </c>
      <c r="J97" s="11">
        <f>IF(OR($A97="",NOT(ISNUMBER($B97))),"",IF($C97="Winner",1,COUNTIFS($D$7:$D$156,$D97,$B$7:$B$156,$B97)-IF(AND(NOT($C97="Winner"),COUNTIFS($D$7:$D$156,$D97,$C$7:$C$156,"Winner",$B$7:$B$156,$B97)&gt;0),1,0)))</f>
        <v/>
      </c>
    </row>
    <row r="98">
      <c r="D98" s="11">
        <f>IF($A98="","",IFERROR(IF(VLOOKUP($A98,Players!$A$2:$B$500,2,FALSE)="","Open",VLOOKUP($A98,Players!$A$2:$B$500,2,FALSE)),"Open"))</f>
        <v/>
      </c>
      <c r="E98" s="11">
        <f>IF(OR($A98="",NOT(ISNUMBER($B98))),"",IF($C98="Winner",1,COUNTIFS($D$7:$D$156,$D98,$B$7:$B$156,"&lt;"&amp;$B98)+1+IF(AND(NOT($C98="Winner"),COUNTIFS($D$7:$D$156,$D98,$C$7:$C$156,"Winner",$B$7:$B$156,$B98)&gt;0),1,0)))</f>
        <v/>
      </c>
      <c r="F98" s="11">
        <f>IF(OR($A98="",NOT(ISNUMBER($B98))),"",COUNTIFS($D$7:$D$156,$D98,$B$7:$B$156,"&gt;0"))</f>
        <v/>
      </c>
      <c r="G98" s="11">
        <f>IF(OR(OR($A98="",NOT(ISNUMBER($B98))),$B$2="Not started"),"",IF($C98="Winner",Points!$B$3,ROUND(Points!$B$3*IF($F98&lt;=1,1,Points!$H$7+(1-Points!$H$7)*((($F98-$E98)*(($F98-$E98)+1)/2)^2-((($F98-$E98-$J98+1)-1)*($F98-$E98-$J98+1)/2)^2)/($J98*($F98-1)^3)),0)))</f>
        <v/>
      </c>
      <c r="H98" s="11">
        <f>IF($A98="","",IF($B$2="Final","Final",IF($B$2="In progress","Projected","Not started")))</f>
        <v/>
      </c>
      <c r="I98" s="11">
        <f>IF($A98="","",IF(COUNTIF(Players!$A$2:$A$500,$A98)=0,"Player is not on the Players tab",IF(COUNTIF($A$7:$A$156,$A98)&gt;1,"Player is listed twice",IF(NOT(ISNUMBER($B98)),"Enter a score",IF(COUNTIFS($D$7:$D$156,$D98,$C$7:$C$156,"Winner")&gt;1,"More than one "&amp;$D98&amp;" winner picked",IF(AND($C98="Winner",COUNTIFS($D$7:$D$156,$D98,$B$7:$B$156,"&lt;"&amp;$B98)&gt;0),"The winner doesn't have the best "&amp;$D98&amp;" score",IF(AND($B$2="Final",COUNTIFS($D$7:$D$156,$D98,$C$7:$C$156,"Winner")=0),"Final: pick the "&amp;$D98&amp;" winner",IF($B$2="Not started","Set Status to In progress to count points","OK"))))))))</f>
        <v/>
      </c>
      <c r="J98" s="11">
        <f>IF(OR($A98="",NOT(ISNUMBER($B98))),"",IF($C98="Winner",1,COUNTIFS($D$7:$D$156,$D98,$B$7:$B$156,$B98)-IF(AND(NOT($C98="Winner"),COUNTIFS($D$7:$D$156,$D98,$C$7:$C$156,"Winner",$B$7:$B$156,$B98)&gt;0),1,0)))</f>
        <v/>
      </c>
    </row>
    <row r="99">
      <c r="D99" s="11">
        <f>IF($A99="","",IFERROR(IF(VLOOKUP($A99,Players!$A$2:$B$500,2,FALSE)="","Open",VLOOKUP($A99,Players!$A$2:$B$500,2,FALSE)),"Open"))</f>
        <v/>
      </c>
      <c r="E99" s="11">
        <f>IF(OR($A99="",NOT(ISNUMBER($B99))),"",IF($C99="Winner",1,COUNTIFS($D$7:$D$156,$D99,$B$7:$B$156,"&lt;"&amp;$B99)+1+IF(AND(NOT($C99="Winner"),COUNTIFS($D$7:$D$156,$D99,$C$7:$C$156,"Winner",$B$7:$B$156,$B99)&gt;0),1,0)))</f>
        <v/>
      </c>
      <c r="F99" s="11">
        <f>IF(OR($A99="",NOT(ISNUMBER($B99))),"",COUNTIFS($D$7:$D$156,$D99,$B$7:$B$156,"&gt;0"))</f>
        <v/>
      </c>
      <c r="G99" s="11">
        <f>IF(OR(OR($A99="",NOT(ISNUMBER($B99))),$B$2="Not started"),"",IF($C99="Winner",Points!$B$3,ROUND(Points!$B$3*IF($F99&lt;=1,1,Points!$H$7+(1-Points!$H$7)*((($F99-$E99)*(($F99-$E99)+1)/2)^2-((($F99-$E99-$J99+1)-1)*($F99-$E99-$J99+1)/2)^2)/($J99*($F99-1)^3)),0)))</f>
        <v/>
      </c>
      <c r="H99" s="11">
        <f>IF($A99="","",IF($B$2="Final","Final",IF($B$2="In progress","Projected","Not started")))</f>
        <v/>
      </c>
      <c r="I99" s="11">
        <f>IF($A99="","",IF(COUNTIF(Players!$A$2:$A$500,$A99)=0,"Player is not on the Players tab",IF(COUNTIF($A$7:$A$156,$A99)&gt;1,"Player is listed twice",IF(NOT(ISNUMBER($B99)),"Enter a score",IF(COUNTIFS($D$7:$D$156,$D99,$C$7:$C$156,"Winner")&gt;1,"More than one "&amp;$D99&amp;" winner picked",IF(AND($C99="Winner",COUNTIFS($D$7:$D$156,$D99,$B$7:$B$156,"&lt;"&amp;$B99)&gt;0),"The winner doesn't have the best "&amp;$D99&amp;" score",IF(AND($B$2="Final",COUNTIFS($D$7:$D$156,$D99,$C$7:$C$156,"Winner")=0),"Final: pick the "&amp;$D99&amp;" winner",IF($B$2="Not started","Set Status to In progress to count points","OK"))))))))</f>
        <v/>
      </c>
      <c r="J99" s="11">
        <f>IF(OR($A99="",NOT(ISNUMBER($B99))),"",IF($C99="Winner",1,COUNTIFS($D$7:$D$156,$D99,$B$7:$B$156,$B99)-IF(AND(NOT($C99="Winner"),COUNTIFS($D$7:$D$156,$D99,$C$7:$C$156,"Winner",$B$7:$B$156,$B99)&gt;0),1,0)))</f>
        <v/>
      </c>
    </row>
    <row r="100">
      <c r="D100" s="11">
        <f>IF($A100="","",IFERROR(IF(VLOOKUP($A100,Players!$A$2:$B$500,2,FALSE)="","Open",VLOOKUP($A100,Players!$A$2:$B$500,2,FALSE)),"Open"))</f>
        <v/>
      </c>
      <c r="E100" s="11">
        <f>IF(OR($A100="",NOT(ISNUMBER($B100))),"",IF($C100="Winner",1,COUNTIFS($D$7:$D$156,$D100,$B$7:$B$156,"&lt;"&amp;$B100)+1+IF(AND(NOT($C100="Winner"),COUNTIFS($D$7:$D$156,$D100,$C$7:$C$156,"Winner",$B$7:$B$156,$B100)&gt;0),1,0)))</f>
        <v/>
      </c>
      <c r="F100" s="11">
        <f>IF(OR($A100="",NOT(ISNUMBER($B100))),"",COUNTIFS($D$7:$D$156,$D100,$B$7:$B$156,"&gt;0"))</f>
        <v/>
      </c>
      <c r="G100" s="11">
        <f>IF(OR(OR($A100="",NOT(ISNUMBER($B100))),$B$2="Not started"),"",IF($C100="Winner",Points!$B$3,ROUND(Points!$B$3*IF($F100&lt;=1,1,Points!$H$7+(1-Points!$H$7)*((($F100-$E100)*(($F100-$E100)+1)/2)^2-((($F100-$E100-$J100+1)-1)*($F100-$E100-$J100+1)/2)^2)/($J100*($F100-1)^3)),0)))</f>
        <v/>
      </c>
      <c r="H100" s="11">
        <f>IF($A100="","",IF($B$2="Final","Final",IF($B$2="In progress","Projected","Not started")))</f>
        <v/>
      </c>
      <c r="I100" s="11">
        <f>IF($A100="","",IF(COUNTIF(Players!$A$2:$A$500,$A100)=0,"Player is not on the Players tab",IF(COUNTIF($A$7:$A$156,$A100)&gt;1,"Player is listed twice",IF(NOT(ISNUMBER($B100)),"Enter a score",IF(COUNTIFS($D$7:$D$156,$D100,$C$7:$C$156,"Winner")&gt;1,"More than one "&amp;$D100&amp;" winner picked",IF(AND($C100="Winner",COUNTIFS($D$7:$D$156,$D100,$B$7:$B$156,"&lt;"&amp;$B100)&gt;0),"The winner doesn't have the best "&amp;$D100&amp;" score",IF(AND($B$2="Final",COUNTIFS($D$7:$D$156,$D100,$C$7:$C$156,"Winner")=0),"Final: pick the "&amp;$D100&amp;" winner",IF($B$2="Not started","Set Status to In progress to count points","OK"))))))))</f>
        <v/>
      </c>
      <c r="J100" s="11">
        <f>IF(OR($A100="",NOT(ISNUMBER($B100))),"",IF($C100="Winner",1,COUNTIFS($D$7:$D$156,$D100,$B$7:$B$156,$B100)-IF(AND(NOT($C100="Winner"),COUNTIFS($D$7:$D$156,$D100,$C$7:$C$156,"Winner",$B$7:$B$156,$B100)&gt;0),1,0)))</f>
        <v/>
      </c>
    </row>
    <row r="101">
      <c r="D101" s="11">
        <f>IF($A101="","",IFERROR(IF(VLOOKUP($A101,Players!$A$2:$B$500,2,FALSE)="","Open",VLOOKUP($A101,Players!$A$2:$B$500,2,FALSE)),"Open"))</f>
        <v/>
      </c>
      <c r="E101" s="11">
        <f>IF(OR($A101="",NOT(ISNUMBER($B101))),"",IF($C101="Winner",1,COUNTIFS($D$7:$D$156,$D101,$B$7:$B$156,"&lt;"&amp;$B101)+1+IF(AND(NOT($C101="Winner"),COUNTIFS($D$7:$D$156,$D101,$C$7:$C$156,"Winner",$B$7:$B$156,$B101)&gt;0),1,0)))</f>
        <v/>
      </c>
      <c r="F101" s="11">
        <f>IF(OR($A101="",NOT(ISNUMBER($B101))),"",COUNTIFS($D$7:$D$156,$D101,$B$7:$B$156,"&gt;0"))</f>
        <v/>
      </c>
      <c r="G101" s="11">
        <f>IF(OR(OR($A101="",NOT(ISNUMBER($B101))),$B$2="Not started"),"",IF($C101="Winner",Points!$B$3,ROUND(Points!$B$3*IF($F101&lt;=1,1,Points!$H$7+(1-Points!$H$7)*((($F101-$E101)*(($F101-$E101)+1)/2)^2-((($F101-$E101-$J101+1)-1)*($F101-$E101-$J101+1)/2)^2)/($J101*($F101-1)^3)),0)))</f>
        <v/>
      </c>
      <c r="H101" s="11">
        <f>IF($A101="","",IF($B$2="Final","Final",IF($B$2="In progress","Projected","Not started")))</f>
        <v/>
      </c>
      <c r="I101" s="11">
        <f>IF($A101="","",IF(COUNTIF(Players!$A$2:$A$500,$A101)=0,"Player is not on the Players tab",IF(COUNTIF($A$7:$A$156,$A101)&gt;1,"Player is listed twice",IF(NOT(ISNUMBER($B101)),"Enter a score",IF(COUNTIFS($D$7:$D$156,$D101,$C$7:$C$156,"Winner")&gt;1,"More than one "&amp;$D101&amp;" winner picked",IF(AND($C101="Winner",COUNTIFS($D$7:$D$156,$D101,$B$7:$B$156,"&lt;"&amp;$B101)&gt;0),"The winner doesn't have the best "&amp;$D101&amp;" score",IF(AND($B$2="Final",COUNTIFS($D$7:$D$156,$D101,$C$7:$C$156,"Winner")=0),"Final: pick the "&amp;$D101&amp;" winner",IF($B$2="Not started","Set Status to In progress to count points","OK"))))))))</f>
        <v/>
      </c>
      <c r="J101" s="11">
        <f>IF(OR($A101="",NOT(ISNUMBER($B101))),"",IF($C101="Winner",1,COUNTIFS($D$7:$D$156,$D101,$B$7:$B$156,$B101)-IF(AND(NOT($C101="Winner"),COUNTIFS($D$7:$D$156,$D101,$C$7:$C$156,"Winner",$B$7:$B$156,$B101)&gt;0),1,0)))</f>
        <v/>
      </c>
    </row>
    <row r="102">
      <c r="D102" s="11">
        <f>IF($A102="","",IFERROR(IF(VLOOKUP($A102,Players!$A$2:$B$500,2,FALSE)="","Open",VLOOKUP($A102,Players!$A$2:$B$500,2,FALSE)),"Open"))</f>
        <v/>
      </c>
      <c r="E102" s="11">
        <f>IF(OR($A102="",NOT(ISNUMBER($B102))),"",IF($C102="Winner",1,COUNTIFS($D$7:$D$156,$D102,$B$7:$B$156,"&lt;"&amp;$B102)+1+IF(AND(NOT($C102="Winner"),COUNTIFS($D$7:$D$156,$D102,$C$7:$C$156,"Winner",$B$7:$B$156,$B102)&gt;0),1,0)))</f>
        <v/>
      </c>
      <c r="F102" s="11">
        <f>IF(OR($A102="",NOT(ISNUMBER($B102))),"",COUNTIFS($D$7:$D$156,$D102,$B$7:$B$156,"&gt;0"))</f>
        <v/>
      </c>
      <c r="G102" s="11">
        <f>IF(OR(OR($A102="",NOT(ISNUMBER($B102))),$B$2="Not started"),"",IF($C102="Winner",Points!$B$3,ROUND(Points!$B$3*IF($F102&lt;=1,1,Points!$H$7+(1-Points!$H$7)*((($F102-$E102)*(($F102-$E102)+1)/2)^2-((($F102-$E102-$J102+1)-1)*($F102-$E102-$J102+1)/2)^2)/($J102*($F102-1)^3)),0)))</f>
        <v/>
      </c>
      <c r="H102" s="11">
        <f>IF($A102="","",IF($B$2="Final","Final",IF($B$2="In progress","Projected","Not started")))</f>
        <v/>
      </c>
      <c r="I102" s="11">
        <f>IF($A102="","",IF(COUNTIF(Players!$A$2:$A$500,$A102)=0,"Player is not on the Players tab",IF(COUNTIF($A$7:$A$156,$A102)&gt;1,"Player is listed twice",IF(NOT(ISNUMBER($B102)),"Enter a score",IF(COUNTIFS($D$7:$D$156,$D102,$C$7:$C$156,"Winner")&gt;1,"More than one "&amp;$D102&amp;" winner picked",IF(AND($C102="Winner",COUNTIFS($D$7:$D$156,$D102,$B$7:$B$156,"&lt;"&amp;$B102)&gt;0),"The winner doesn't have the best "&amp;$D102&amp;" score",IF(AND($B$2="Final",COUNTIFS($D$7:$D$156,$D102,$C$7:$C$156,"Winner")=0),"Final: pick the "&amp;$D102&amp;" winner",IF($B$2="Not started","Set Status to In progress to count points","OK"))))))))</f>
        <v/>
      </c>
      <c r="J102" s="11">
        <f>IF(OR($A102="",NOT(ISNUMBER($B102))),"",IF($C102="Winner",1,COUNTIFS($D$7:$D$156,$D102,$B$7:$B$156,$B102)-IF(AND(NOT($C102="Winner"),COUNTIFS($D$7:$D$156,$D102,$C$7:$C$156,"Winner",$B$7:$B$156,$B102)&gt;0),1,0)))</f>
        <v/>
      </c>
    </row>
    <row r="103">
      <c r="D103" s="11">
        <f>IF($A103="","",IFERROR(IF(VLOOKUP($A103,Players!$A$2:$B$500,2,FALSE)="","Open",VLOOKUP($A103,Players!$A$2:$B$500,2,FALSE)),"Open"))</f>
        <v/>
      </c>
      <c r="E103" s="11">
        <f>IF(OR($A103="",NOT(ISNUMBER($B103))),"",IF($C103="Winner",1,COUNTIFS($D$7:$D$156,$D103,$B$7:$B$156,"&lt;"&amp;$B103)+1+IF(AND(NOT($C103="Winner"),COUNTIFS($D$7:$D$156,$D103,$C$7:$C$156,"Winner",$B$7:$B$156,$B103)&gt;0),1,0)))</f>
        <v/>
      </c>
      <c r="F103" s="11">
        <f>IF(OR($A103="",NOT(ISNUMBER($B103))),"",COUNTIFS($D$7:$D$156,$D103,$B$7:$B$156,"&gt;0"))</f>
        <v/>
      </c>
      <c r="G103" s="11">
        <f>IF(OR(OR($A103="",NOT(ISNUMBER($B103))),$B$2="Not started"),"",IF($C103="Winner",Points!$B$3,ROUND(Points!$B$3*IF($F103&lt;=1,1,Points!$H$7+(1-Points!$H$7)*((($F103-$E103)*(($F103-$E103)+1)/2)^2-((($F103-$E103-$J103+1)-1)*($F103-$E103-$J103+1)/2)^2)/($J103*($F103-1)^3)),0)))</f>
        <v/>
      </c>
      <c r="H103" s="11">
        <f>IF($A103="","",IF($B$2="Final","Final",IF($B$2="In progress","Projected","Not started")))</f>
        <v/>
      </c>
      <c r="I103" s="11">
        <f>IF($A103="","",IF(COUNTIF(Players!$A$2:$A$500,$A103)=0,"Player is not on the Players tab",IF(COUNTIF($A$7:$A$156,$A103)&gt;1,"Player is listed twice",IF(NOT(ISNUMBER($B103)),"Enter a score",IF(COUNTIFS($D$7:$D$156,$D103,$C$7:$C$156,"Winner")&gt;1,"More than one "&amp;$D103&amp;" winner picked",IF(AND($C103="Winner",COUNTIFS($D$7:$D$156,$D103,$B$7:$B$156,"&lt;"&amp;$B103)&gt;0),"The winner doesn't have the best "&amp;$D103&amp;" score",IF(AND($B$2="Final",COUNTIFS($D$7:$D$156,$D103,$C$7:$C$156,"Winner")=0),"Final: pick the "&amp;$D103&amp;" winner",IF($B$2="Not started","Set Status to In progress to count points","OK"))))))))</f>
        <v/>
      </c>
      <c r="J103" s="11">
        <f>IF(OR($A103="",NOT(ISNUMBER($B103))),"",IF($C103="Winner",1,COUNTIFS($D$7:$D$156,$D103,$B$7:$B$156,$B103)-IF(AND(NOT($C103="Winner"),COUNTIFS($D$7:$D$156,$D103,$C$7:$C$156,"Winner",$B$7:$B$156,$B103)&gt;0),1,0)))</f>
        <v/>
      </c>
    </row>
    <row r="104">
      <c r="D104" s="11">
        <f>IF($A104="","",IFERROR(IF(VLOOKUP($A104,Players!$A$2:$B$500,2,FALSE)="","Open",VLOOKUP($A104,Players!$A$2:$B$500,2,FALSE)),"Open"))</f>
        <v/>
      </c>
      <c r="E104" s="11">
        <f>IF(OR($A104="",NOT(ISNUMBER($B104))),"",IF($C104="Winner",1,COUNTIFS($D$7:$D$156,$D104,$B$7:$B$156,"&lt;"&amp;$B104)+1+IF(AND(NOT($C104="Winner"),COUNTIFS($D$7:$D$156,$D104,$C$7:$C$156,"Winner",$B$7:$B$156,$B104)&gt;0),1,0)))</f>
        <v/>
      </c>
      <c r="F104" s="11">
        <f>IF(OR($A104="",NOT(ISNUMBER($B104))),"",COUNTIFS($D$7:$D$156,$D104,$B$7:$B$156,"&gt;0"))</f>
        <v/>
      </c>
      <c r="G104" s="11">
        <f>IF(OR(OR($A104="",NOT(ISNUMBER($B104))),$B$2="Not started"),"",IF($C104="Winner",Points!$B$3,ROUND(Points!$B$3*IF($F104&lt;=1,1,Points!$H$7+(1-Points!$H$7)*((($F104-$E104)*(($F104-$E104)+1)/2)^2-((($F104-$E104-$J104+1)-1)*($F104-$E104-$J104+1)/2)^2)/($J104*($F104-1)^3)),0)))</f>
        <v/>
      </c>
      <c r="H104" s="11">
        <f>IF($A104="","",IF($B$2="Final","Final",IF($B$2="In progress","Projected","Not started")))</f>
        <v/>
      </c>
      <c r="I104" s="11">
        <f>IF($A104="","",IF(COUNTIF(Players!$A$2:$A$500,$A104)=0,"Player is not on the Players tab",IF(COUNTIF($A$7:$A$156,$A104)&gt;1,"Player is listed twice",IF(NOT(ISNUMBER($B104)),"Enter a score",IF(COUNTIFS($D$7:$D$156,$D104,$C$7:$C$156,"Winner")&gt;1,"More than one "&amp;$D104&amp;" winner picked",IF(AND($C104="Winner",COUNTIFS($D$7:$D$156,$D104,$B$7:$B$156,"&lt;"&amp;$B104)&gt;0),"The winner doesn't have the best "&amp;$D104&amp;" score",IF(AND($B$2="Final",COUNTIFS($D$7:$D$156,$D104,$C$7:$C$156,"Winner")=0),"Final: pick the "&amp;$D104&amp;" winner",IF($B$2="Not started","Set Status to In progress to count points","OK"))))))))</f>
        <v/>
      </c>
      <c r="J104" s="11">
        <f>IF(OR($A104="",NOT(ISNUMBER($B104))),"",IF($C104="Winner",1,COUNTIFS($D$7:$D$156,$D104,$B$7:$B$156,$B104)-IF(AND(NOT($C104="Winner"),COUNTIFS($D$7:$D$156,$D104,$C$7:$C$156,"Winner",$B$7:$B$156,$B104)&gt;0),1,0)))</f>
        <v/>
      </c>
    </row>
    <row r="105">
      <c r="D105" s="11">
        <f>IF($A105="","",IFERROR(IF(VLOOKUP($A105,Players!$A$2:$B$500,2,FALSE)="","Open",VLOOKUP($A105,Players!$A$2:$B$500,2,FALSE)),"Open"))</f>
        <v/>
      </c>
      <c r="E105" s="11">
        <f>IF(OR($A105="",NOT(ISNUMBER($B105))),"",IF($C105="Winner",1,COUNTIFS($D$7:$D$156,$D105,$B$7:$B$156,"&lt;"&amp;$B105)+1+IF(AND(NOT($C105="Winner"),COUNTIFS($D$7:$D$156,$D105,$C$7:$C$156,"Winner",$B$7:$B$156,$B105)&gt;0),1,0)))</f>
        <v/>
      </c>
      <c r="F105" s="11">
        <f>IF(OR($A105="",NOT(ISNUMBER($B105))),"",COUNTIFS($D$7:$D$156,$D105,$B$7:$B$156,"&gt;0"))</f>
        <v/>
      </c>
      <c r="G105" s="11">
        <f>IF(OR(OR($A105="",NOT(ISNUMBER($B105))),$B$2="Not started"),"",IF($C105="Winner",Points!$B$3,ROUND(Points!$B$3*IF($F105&lt;=1,1,Points!$H$7+(1-Points!$H$7)*((($F105-$E105)*(($F105-$E105)+1)/2)^2-((($F105-$E105-$J105+1)-1)*($F105-$E105-$J105+1)/2)^2)/($J105*($F105-1)^3)),0)))</f>
        <v/>
      </c>
      <c r="H105" s="11">
        <f>IF($A105="","",IF($B$2="Final","Final",IF($B$2="In progress","Projected","Not started")))</f>
        <v/>
      </c>
      <c r="I105" s="11">
        <f>IF($A105="","",IF(COUNTIF(Players!$A$2:$A$500,$A105)=0,"Player is not on the Players tab",IF(COUNTIF($A$7:$A$156,$A105)&gt;1,"Player is listed twice",IF(NOT(ISNUMBER($B105)),"Enter a score",IF(COUNTIFS($D$7:$D$156,$D105,$C$7:$C$156,"Winner")&gt;1,"More than one "&amp;$D105&amp;" winner picked",IF(AND($C105="Winner",COUNTIFS($D$7:$D$156,$D105,$B$7:$B$156,"&lt;"&amp;$B105)&gt;0),"The winner doesn't have the best "&amp;$D105&amp;" score",IF(AND($B$2="Final",COUNTIFS($D$7:$D$156,$D105,$C$7:$C$156,"Winner")=0),"Final: pick the "&amp;$D105&amp;" winner",IF($B$2="Not started","Set Status to In progress to count points","OK"))))))))</f>
        <v/>
      </c>
      <c r="J105" s="11">
        <f>IF(OR($A105="",NOT(ISNUMBER($B105))),"",IF($C105="Winner",1,COUNTIFS($D$7:$D$156,$D105,$B$7:$B$156,$B105)-IF(AND(NOT($C105="Winner"),COUNTIFS($D$7:$D$156,$D105,$C$7:$C$156,"Winner",$B$7:$B$156,$B105)&gt;0),1,0)))</f>
        <v/>
      </c>
    </row>
    <row r="106">
      <c r="D106" s="11">
        <f>IF($A106="","",IFERROR(IF(VLOOKUP($A106,Players!$A$2:$B$500,2,FALSE)="","Open",VLOOKUP($A106,Players!$A$2:$B$500,2,FALSE)),"Open"))</f>
        <v/>
      </c>
      <c r="E106" s="11">
        <f>IF(OR($A106="",NOT(ISNUMBER($B106))),"",IF($C106="Winner",1,COUNTIFS($D$7:$D$156,$D106,$B$7:$B$156,"&lt;"&amp;$B106)+1+IF(AND(NOT($C106="Winner"),COUNTIFS($D$7:$D$156,$D106,$C$7:$C$156,"Winner",$B$7:$B$156,$B106)&gt;0),1,0)))</f>
        <v/>
      </c>
      <c r="F106" s="11">
        <f>IF(OR($A106="",NOT(ISNUMBER($B106))),"",COUNTIFS($D$7:$D$156,$D106,$B$7:$B$156,"&gt;0"))</f>
        <v/>
      </c>
      <c r="G106" s="11">
        <f>IF(OR(OR($A106="",NOT(ISNUMBER($B106))),$B$2="Not started"),"",IF($C106="Winner",Points!$B$3,ROUND(Points!$B$3*IF($F106&lt;=1,1,Points!$H$7+(1-Points!$H$7)*((($F106-$E106)*(($F106-$E106)+1)/2)^2-((($F106-$E106-$J106+1)-1)*($F106-$E106-$J106+1)/2)^2)/($J106*($F106-1)^3)),0)))</f>
        <v/>
      </c>
      <c r="H106" s="11">
        <f>IF($A106="","",IF($B$2="Final","Final",IF($B$2="In progress","Projected","Not started")))</f>
        <v/>
      </c>
      <c r="I106" s="11">
        <f>IF($A106="","",IF(COUNTIF(Players!$A$2:$A$500,$A106)=0,"Player is not on the Players tab",IF(COUNTIF($A$7:$A$156,$A106)&gt;1,"Player is listed twice",IF(NOT(ISNUMBER($B106)),"Enter a score",IF(COUNTIFS($D$7:$D$156,$D106,$C$7:$C$156,"Winner")&gt;1,"More than one "&amp;$D106&amp;" winner picked",IF(AND($C106="Winner",COUNTIFS($D$7:$D$156,$D106,$B$7:$B$156,"&lt;"&amp;$B106)&gt;0),"The winner doesn't have the best "&amp;$D106&amp;" score",IF(AND($B$2="Final",COUNTIFS($D$7:$D$156,$D106,$C$7:$C$156,"Winner")=0),"Final: pick the "&amp;$D106&amp;" winner",IF($B$2="Not started","Set Status to In progress to count points","OK"))))))))</f>
        <v/>
      </c>
      <c r="J106" s="11">
        <f>IF(OR($A106="",NOT(ISNUMBER($B106))),"",IF($C106="Winner",1,COUNTIFS($D$7:$D$156,$D106,$B$7:$B$156,$B106)-IF(AND(NOT($C106="Winner"),COUNTIFS($D$7:$D$156,$D106,$C$7:$C$156,"Winner",$B$7:$B$156,$B106)&gt;0),1,0)))</f>
        <v/>
      </c>
    </row>
    <row r="107">
      <c r="D107" s="11">
        <f>IF($A107="","",IFERROR(IF(VLOOKUP($A107,Players!$A$2:$B$500,2,FALSE)="","Open",VLOOKUP($A107,Players!$A$2:$B$500,2,FALSE)),"Open"))</f>
        <v/>
      </c>
      <c r="E107" s="11">
        <f>IF(OR($A107="",NOT(ISNUMBER($B107))),"",IF($C107="Winner",1,COUNTIFS($D$7:$D$156,$D107,$B$7:$B$156,"&lt;"&amp;$B107)+1+IF(AND(NOT($C107="Winner"),COUNTIFS($D$7:$D$156,$D107,$C$7:$C$156,"Winner",$B$7:$B$156,$B107)&gt;0),1,0)))</f>
        <v/>
      </c>
      <c r="F107" s="11">
        <f>IF(OR($A107="",NOT(ISNUMBER($B107))),"",COUNTIFS($D$7:$D$156,$D107,$B$7:$B$156,"&gt;0"))</f>
        <v/>
      </c>
      <c r="G107" s="11">
        <f>IF(OR(OR($A107="",NOT(ISNUMBER($B107))),$B$2="Not started"),"",IF($C107="Winner",Points!$B$3,ROUND(Points!$B$3*IF($F107&lt;=1,1,Points!$H$7+(1-Points!$H$7)*((($F107-$E107)*(($F107-$E107)+1)/2)^2-((($F107-$E107-$J107+1)-1)*($F107-$E107-$J107+1)/2)^2)/($J107*($F107-1)^3)),0)))</f>
        <v/>
      </c>
      <c r="H107" s="11">
        <f>IF($A107="","",IF($B$2="Final","Final",IF($B$2="In progress","Projected","Not started")))</f>
        <v/>
      </c>
      <c r="I107" s="11">
        <f>IF($A107="","",IF(COUNTIF(Players!$A$2:$A$500,$A107)=0,"Player is not on the Players tab",IF(COUNTIF($A$7:$A$156,$A107)&gt;1,"Player is listed twice",IF(NOT(ISNUMBER($B107)),"Enter a score",IF(COUNTIFS($D$7:$D$156,$D107,$C$7:$C$156,"Winner")&gt;1,"More than one "&amp;$D107&amp;" winner picked",IF(AND($C107="Winner",COUNTIFS($D$7:$D$156,$D107,$B$7:$B$156,"&lt;"&amp;$B107)&gt;0),"The winner doesn't have the best "&amp;$D107&amp;" score",IF(AND($B$2="Final",COUNTIFS($D$7:$D$156,$D107,$C$7:$C$156,"Winner")=0),"Final: pick the "&amp;$D107&amp;" winner",IF($B$2="Not started","Set Status to In progress to count points","OK"))))))))</f>
        <v/>
      </c>
      <c r="J107" s="11">
        <f>IF(OR($A107="",NOT(ISNUMBER($B107))),"",IF($C107="Winner",1,COUNTIFS($D$7:$D$156,$D107,$B$7:$B$156,$B107)-IF(AND(NOT($C107="Winner"),COUNTIFS($D$7:$D$156,$D107,$C$7:$C$156,"Winner",$B$7:$B$156,$B107)&gt;0),1,0)))</f>
        <v/>
      </c>
    </row>
    <row r="108">
      <c r="D108" s="11">
        <f>IF($A108="","",IFERROR(IF(VLOOKUP($A108,Players!$A$2:$B$500,2,FALSE)="","Open",VLOOKUP($A108,Players!$A$2:$B$500,2,FALSE)),"Open"))</f>
        <v/>
      </c>
      <c r="E108" s="11">
        <f>IF(OR($A108="",NOT(ISNUMBER($B108))),"",IF($C108="Winner",1,COUNTIFS($D$7:$D$156,$D108,$B$7:$B$156,"&lt;"&amp;$B108)+1+IF(AND(NOT($C108="Winner"),COUNTIFS($D$7:$D$156,$D108,$C$7:$C$156,"Winner",$B$7:$B$156,$B108)&gt;0),1,0)))</f>
        <v/>
      </c>
      <c r="F108" s="11">
        <f>IF(OR($A108="",NOT(ISNUMBER($B108))),"",COUNTIFS($D$7:$D$156,$D108,$B$7:$B$156,"&gt;0"))</f>
        <v/>
      </c>
      <c r="G108" s="11">
        <f>IF(OR(OR($A108="",NOT(ISNUMBER($B108))),$B$2="Not started"),"",IF($C108="Winner",Points!$B$3,ROUND(Points!$B$3*IF($F108&lt;=1,1,Points!$H$7+(1-Points!$H$7)*((($F108-$E108)*(($F108-$E108)+1)/2)^2-((($F108-$E108-$J108+1)-1)*($F108-$E108-$J108+1)/2)^2)/($J108*($F108-1)^3)),0)))</f>
        <v/>
      </c>
      <c r="H108" s="11">
        <f>IF($A108="","",IF($B$2="Final","Final",IF($B$2="In progress","Projected","Not started")))</f>
        <v/>
      </c>
      <c r="I108" s="11">
        <f>IF($A108="","",IF(COUNTIF(Players!$A$2:$A$500,$A108)=0,"Player is not on the Players tab",IF(COUNTIF($A$7:$A$156,$A108)&gt;1,"Player is listed twice",IF(NOT(ISNUMBER($B108)),"Enter a score",IF(COUNTIFS($D$7:$D$156,$D108,$C$7:$C$156,"Winner")&gt;1,"More than one "&amp;$D108&amp;" winner picked",IF(AND($C108="Winner",COUNTIFS($D$7:$D$156,$D108,$B$7:$B$156,"&lt;"&amp;$B108)&gt;0),"The winner doesn't have the best "&amp;$D108&amp;" score",IF(AND($B$2="Final",COUNTIFS($D$7:$D$156,$D108,$C$7:$C$156,"Winner")=0),"Final: pick the "&amp;$D108&amp;" winner",IF($B$2="Not started","Set Status to In progress to count points","OK"))))))))</f>
        <v/>
      </c>
      <c r="J108" s="11">
        <f>IF(OR($A108="",NOT(ISNUMBER($B108))),"",IF($C108="Winner",1,COUNTIFS($D$7:$D$156,$D108,$B$7:$B$156,$B108)-IF(AND(NOT($C108="Winner"),COUNTIFS($D$7:$D$156,$D108,$C$7:$C$156,"Winner",$B$7:$B$156,$B108)&gt;0),1,0)))</f>
        <v/>
      </c>
    </row>
    <row r="109">
      <c r="D109" s="11">
        <f>IF($A109="","",IFERROR(IF(VLOOKUP($A109,Players!$A$2:$B$500,2,FALSE)="","Open",VLOOKUP($A109,Players!$A$2:$B$500,2,FALSE)),"Open"))</f>
        <v/>
      </c>
      <c r="E109" s="11">
        <f>IF(OR($A109="",NOT(ISNUMBER($B109))),"",IF($C109="Winner",1,COUNTIFS($D$7:$D$156,$D109,$B$7:$B$156,"&lt;"&amp;$B109)+1+IF(AND(NOT($C109="Winner"),COUNTIFS($D$7:$D$156,$D109,$C$7:$C$156,"Winner",$B$7:$B$156,$B109)&gt;0),1,0)))</f>
        <v/>
      </c>
      <c r="F109" s="11">
        <f>IF(OR($A109="",NOT(ISNUMBER($B109))),"",COUNTIFS($D$7:$D$156,$D109,$B$7:$B$156,"&gt;0"))</f>
        <v/>
      </c>
      <c r="G109" s="11">
        <f>IF(OR(OR($A109="",NOT(ISNUMBER($B109))),$B$2="Not started"),"",IF($C109="Winner",Points!$B$3,ROUND(Points!$B$3*IF($F109&lt;=1,1,Points!$H$7+(1-Points!$H$7)*((($F109-$E109)*(($F109-$E109)+1)/2)^2-((($F109-$E109-$J109+1)-1)*($F109-$E109-$J109+1)/2)^2)/($J109*($F109-1)^3)),0)))</f>
        <v/>
      </c>
      <c r="H109" s="11">
        <f>IF($A109="","",IF($B$2="Final","Final",IF($B$2="In progress","Projected","Not started")))</f>
        <v/>
      </c>
      <c r="I109" s="11">
        <f>IF($A109="","",IF(COUNTIF(Players!$A$2:$A$500,$A109)=0,"Player is not on the Players tab",IF(COUNTIF($A$7:$A$156,$A109)&gt;1,"Player is listed twice",IF(NOT(ISNUMBER($B109)),"Enter a score",IF(COUNTIFS($D$7:$D$156,$D109,$C$7:$C$156,"Winner")&gt;1,"More than one "&amp;$D109&amp;" winner picked",IF(AND($C109="Winner",COUNTIFS($D$7:$D$156,$D109,$B$7:$B$156,"&lt;"&amp;$B109)&gt;0),"The winner doesn't have the best "&amp;$D109&amp;" score",IF(AND($B$2="Final",COUNTIFS($D$7:$D$156,$D109,$C$7:$C$156,"Winner")=0),"Final: pick the "&amp;$D109&amp;" winner",IF($B$2="Not started","Set Status to In progress to count points","OK"))))))))</f>
        <v/>
      </c>
      <c r="J109" s="11">
        <f>IF(OR($A109="",NOT(ISNUMBER($B109))),"",IF($C109="Winner",1,COUNTIFS($D$7:$D$156,$D109,$B$7:$B$156,$B109)-IF(AND(NOT($C109="Winner"),COUNTIFS($D$7:$D$156,$D109,$C$7:$C$156,"Winner",$B$7:$B$156,$B109)&gt;0),1,0)))</f>
        <v/>
      </c>
    </row>
    <row r="110">
      <c r="D110" s="11">
        <f>IF($A110="","",IFERROR(IF(VLOOKUP($A110,Players!$A$2:$B$500,2,FALSE)="","Open",VLOOKUP($A110,Players!$A$2:$B$500,2,FALSE)),"Open"))</f>
        <v/>
      </c>
      <c r="E110" s="11">
        <f>IF(OR($A110="",NOT(ISNUMBER($B110))),"",IF($C110="Winner",1,COUNTIFS($D$7:$D$156,$D110,$B$7:$B$156,"&lt;"&amp;$B110)+1+IF(AND(NOT($C110="Winner"),COUNTIFS($D$7:$D$156,$D110,$C$7:$C$156,"Winner",$B$7:$B$156,$B110)&gt;0),1,0)))</f>
        <v/>
      </c>
      <c r="F110" s="11">
        <f>IF(OR($A110="",NOT(ISNUMBER($B110))),"",COUNTIFS($D$7:$D$156,$D110,$B$7:$B$156,"&gt;0"))</f>
        <v/>
      </c>
      <c r="G110" s="11">
        <f>IF(OR(OR($A110="",NOT(ISNUMBER($B110))),$B$2="Not started"),"",IF($C110="Winner",Points!$B$3,ROUND(Points!$B$3*IF($F110&lt;=1,1,Points!$H$7+(1-Points!$H$7)*((($F110-$E110)*(($F110-$E110)+1)/2)^2-((($F110-$E110-$J110+1)-1)*($F110-$E110-$J110+1)/2)^2)/($J110*($F110-1)^3)),0)))</f>
        <v/>
      </c>
      <c r="H110" s="11">
        <f>IF($A110="","",IF($B$2="Final","Final",IF($B$2="In progress","Projected","Not started")))</f>
        <v/>
      </c>
      <c r="I110" s="11">
        <f>IF($A110="","",IF(COUNTIF(Players!$A$2:$A$500,$A110)=0,"Player is not on the Players tab",IF(COUNTIF($A$7:$A$156,$A110)&gt;1,"Player is listed twice",IF(NOT(ISNUMBER($B110)),"Enter a score",IF(COUNTIFS($D$7:$D$156,$D110,$C$7:$C$156,"Winner")&gt;1,"More than one "&amp;$D110&amp;" winner picked",IF(AND($C110="Winner",COUNTIFS($D$7:$D$156,$D110,$B$7:$B$156,"&lt;"&amp;$B110)&gt;0),"The winner doesn't have the best "&amp;$D110&amp;" score",IF(AND($B$2="Final",COUNTIFS($D$7:$D$156,$D110,$C$7:$C$156,"Winner")=0),"Final: pick the "&amp;$D110&amp;" winner",IF($B$2="Not started","Set Status to In progress to count points","OK"))))))))</f>
        <v/>
      </c>
      <c r="J110" s="11">
        <f>IF(OR($A110="",NOT(ISNUMBER($B110))),"",IF($C110="Winner",1,COUNTIFS($D$7:$D$156,$D110,$B$7:$B$156,$B110)-IF(AND(NOT($C110="Winner"),COUNTIFS($D$7:$D$156,$D110,$C$7:$C$156,"Winner",$B$7:$B$156,$B110)&gt;0),1,0)))</f>
        <v/>
      </c>
    </row>
    <row r="111">
      <c r="D111" s="11">
        <f>IF($A111="","",IFERROR(IF(VLOOKUP($A111,Players!$A$2:$B$500,2,FALSE)="","Open",VLOOKUP($A111,Players!$A$2:$B$500,2,FALSE)),"Open"))</f>
        <v/>
      </c>
      <c r="E111" s="11">
        <f>IF(OR($A111="",NOT(ISNUMBER($B111))),"",IF($C111="Winner",1,COUNTIFS($D$7:$D$156,$D111,$B$7:$B$156,"&lt;"&amp;$B111)+1+IF(AND(NOT($C111="Winner"),COUNTIFS($D$7:$D$156,$D111,$C$7:$C$156,"Winner",$B$7:$B$156,$B111)&gt;0),1,0)))</f>
        <v/>
      </c>
      <c r="F111" s="11">
        <f>IF(OR($A111="",NOT(ISNUMBER($B111))),"",COUNTIFS($D$7:$D$156,$D111,$B$7:$B$156,"&gt;0"))</f>
        <v/>
      </c>
      <c r="G111" s="11">
        <f>IF(OR(OR($A111="",NOT(ISNUMBER($B111))),$B$2="Not started"),"",IF($C111="Winner",Points!$B$3,ROUND(Points!$B$3*IF($F111&lt;=1,1,Points!$H$7+(1-Points!$H$7)*((($F111-$E111)*(($F111-$E111)+1)/2)^2-((($F111-$E111-$J111+1)-1)*($F111-$E111-$J111+1)/2)^2)/($J111*($F111-1)^3)),0)))</f>
        <v/>
      </c>
      <c r="H111" s="11">
        <f>IF($A111="","",IF($B$2="Final","Final",IF($B$2="In progress","Projected","Not started")))</f>
        <v/>
      </c>
      <c r="I111" s="11">
        <f>IF($A111="","",IF(COUNTIF(Players!$A$2:$A$500,$A111)=0,"Player is not on the Players tab",IF(COUNTIF($A$7:$A$156,$A111)&gt;1,"Player is listed twice",IF(NOT(ISNUMBER($B111)),"Enter a score",IF(COUNTIFS($D$7:$D$156,$D111,$C$7:$C$156,"Winner")&gt;1,"More than one "&amp;$D111&amp;" winner picked",IF(AND($C111="Winner",COUNTIFS($D$7:$D$156,$D111,$B$7:$B$156,"&lt;"&amp;$B111)&gt;0),"The winner doesn't have the best "&amp;$D111&amp;" score",IF(AND($B$2="Final",COUNTIFS($D$7:$D$156,$D111,$C$7:$C$156,"Winner")=0),"Final: pick the "&amp;$D111&amp;" winner",IF($B$2="Not started","Set Status to In progress to count points","OK"))))))))</f>
        <v/>
      </c>
      <c r="J111" s="11">
        <f>IF(OR($A111="",NOT(ISNUMBER($B111))),"",IF($C111="Winner",1,COUNTIFS($D$7:$D$156,$D111,$B$7:$B$156,$B111)-IF(AND(NOT($C111="Winner"),COUNTIFS($D$7:$D$156,$D111,$C$7:$C$156,"Winner",$B$7:$B$156,$B111)&gt;0),1,0)))</f>
        <v/>
      </c>
    </row>
    <row r="112">
      <c r="D112" s="11">
        <f>IF($A112="","",IFERROR(IF(VLOOKUP($A112,Players!$A$2:$B$500,2,FALSE)="","Open",VLOOKUP($A112,Players!$A$2:$B$500,2,FALSE)),"Open"))</f>
        <v/>
      </c>
      <c r="E112" s="11">
        <f>IF(OR($A112="",NOT(ISNUMBER($B112))),"",IF($C112="Winner",1,COUNTIFS($D$7:$D$156,$D112,$B$7:$B$156,"&lt;"&amp;$B112)+1+IF(AND(NOT($C112="Winner"),COUNTIFS($D$7:$D$156,$D112,$C$7:$C$156,"Winner",$B$7:$B$156,$B112)&gt;0),1,0)))</f>
        <v/>
      </c>
      <c r="F112" s="11">
        <f>IF(OR($A112="",NOT(ISNUMBER($B112))),"",COUNTIFS($D$7:$D$156,$D112,$B$7:$B$156,"&gt;0"))</f>
        <v/>
      </c>
      <c r="G112" s="11">
        <f>IF(OR(OR($A112="",NOT(ISNUMBER($B112))),$B$2="Not started"),"",IF($C112="Winner",Points!$B$3,ROUND(Points!$B$3*IF($F112&lt;=1,1,Points!$H$7+(1-Points!$H$7)*((($F112-$E112)*(($F112-$E112)+1)/2)^2-((($F112-$E112-$J112+1)-1)*($F112-$E112-$J112+1)/2)^2)/($J112*($F112-1)^3)),0)))</f>
        <v/>
      </c>
      <c r="H112" s="11">
        <f>IF($A112="","",IF($B$2="Final","Final",IF($B$2="In progress","Projected","Not started")))</f>
        <v/>
      </c>
      <c r="I112" s="11">
        <f>IF($A112="","",IF(COUNTIF(Players!$A$2:$A$500,$A112)=0,"Player is not on the Players tab",IF(COUNTIF($A$7:$A$156,$A112)&gt;1,"Player is listed twice",IF(NOT(ISNUMBER($B112)),"Enter a score",IF(COUNTIFS($D$7:$D$156,$D112,$C$7:$C$156,"Winner")&gt;1,"More than one "&amp;$D112&amp;" winner picked",IF(AND($C112="Winner",COUNTIFS($D$7:$D$156,$D112,$B$7:$B$156,"&lt;"&amp;$B112)&gt;0),"The winner doesn't have the best "&amp;$D112&amp;" score",IF(AND($B$2="Final",COUNTIFS($D$7:$D$156,$D112,$C$7:$C$156,"Winner")=0),"Final: pick the "&amp;$D112&amp;" winner",IF($B$2="Not started","Set Status to In progress to count points","OK"))))))))</f>
        <v/>
      </c>
      <c r="J112" s="11">
        <f>IF(OR($A112="",NOT(ISNUMBER($B112))),"",IF($C112="Winner",1,COUNTIFS($D$7:$D$156,$D112,$B$7:$B$156,$B112)-IF(AND(NOT($C112="Winner"),COUNTIFS($D$7:$D$156,$D112,$C$7:$C$156,"Winner",$B$7:$B$156,$B112)&gt;0),1,0)))</f>
        <v/>
      </c>
    </row>
    <row r="113">
      <c r="D113" s="11">
        <f>IF($A113="","",IFERROR(IF(VLOOKUP($A113,Players!$A$2:$B$500,2,FALSE)="","Open",VLOOKUP($A113,Players!$A$2:$B$500,2,FALSE)),"Open"))</f>
        <v/>
      </c>
      <c r="E113" s="11">
        <f>IF(OR($A113="",NOT(ISNUMBER($B113))),"",IF($C113="Winner",1,COUNTIFS($D$7:$D$156,$D113,$B$7:$B$156,"&lt;"&amp;$B113)+1+IF(AND(NOT($C113="Winner"),COUNTIFS($D$7:$D$156,$D113,$C$7:$C$156,"Winner",$B$7:$B$156,$B113)&gt;0),1,0)))</f>
        <v/>
      </c>
      <c r="F113" s="11">
        <f>IF(OR($A113="",NOT(ISNUMBER($B113))),"",COUNTIFS($D$7:$D$156,$D113,$B$7:$B$156,"&gt;0"))</f>
        <v/>
      </c>
      <c r="G113" s="11">
        <f>IF(OR(OR($A113="",NOT(ISNUMBER($B113))),$B$2="Not started"),"",IF($C113="Winner",Points!$B$3,ROUND(Points!$B$3*IF($F113&lt;=1,1,Points!$H$7+(1-Points!$H$7)*((($F113-$E113)*(($F113-$E113)+1)/2)^2-((($F113-$E113-$J113+1)-1)*($F113-$E113-$J113+1)/2)^2)/($J113*($F113-1)^3)),0)))</f>
        <v/>
      </c>
      <c r="H113" s="11">
        <f>IF($A113="","",IF($B$2="Final","Final",IF($B$2="In progress","Projected","Not started")))</f>
        <v/>
      </c>
      <c r="I113" s="11">
        <f>IF($A113="","",IF(COUNTIF(Players!$A$2:$A$500,$A113)=0,"Player is not on the Players tab",IF(COUNTIF($A$7:$A$156,$A113)&gt;1,"Player is listed twice",IF(NOT(ISNUMBER($B113)),"Enter a score",IF(COUNTIFS($D$7:$D$156,$D113,$C$7:$C$156,"Winner")&gt;1,"More than one "&amp;$D113&amp;" winner picked",IF(AND($C113="Winner",COUNTIFS($D$7:$D$156,$D113,$B$7:$B$156,"&lt;"&amp;$B113)&gt;0),"The winner doesn't have the best "&amp;$D113&amp;" score",IF(AND($B$2="Final",COUNTIFS($D$7:$D$156,$D113,$C$7:$C$156,"Winner")=0),"Final: pick the "&amp;$D113&amp;" winner",IF($B$2="Not started","Set Status to In progress to count points","OK"))))))))</f>
        <v/>
      </c>
      <c r="J113" s="11">
        <f>IF(OR($A113="",NOT(ISNUMBER($B113))),"",IF($C113="Winner",1,COUNTIFS($D$7:$D$156,$D113,$B$7:$B$156,$B113)-IF(AND(NOT($C113="Winner"),COUNTIFS($D$7:$D$156,$D113,$C$7:$C$156,"Winner",$B$7:$B$156,$B113)&gt;0),1,0)))</f>
        <v/>
      </c>
    </row>
    <row r="114">
      <c r="D114" s="11">
        <f>IF($A114="","",IFERROR(IF(VLOOKUP($A114,Players!$A$2:$B$500,2,FALSE)="","Open",VLOOKUP($A114,Players!$A$2:$B$500,2,FALSE)),"Open"))</f>
        <v/>
      </c>
      <c r="E114" s="11">
        <f>IF(OR($A114="",NOT(ISNUMBER($B114))),"",IF($C114="Winner",1,COUNTIFS($D$7:$D$156,$D114,$B$7:$B$156,"&lt;"&amp;$B114)+1+IF(AND(NOT($C114="Winner"),COUNTIFS($D$7:$D$156,$D114,$C$7:$C$156,"Winner",$B$7:$B$156,$B114)&gt;0),1,0)))</f>
        <v/>
      </c>
      <c r="F114" s="11">
        <f>IF(OR($A114="",NOT(ISNUMBER($B114))),"",COUNTIFS($D$7:$D$156,$D114,$B$7:$B$156,"&gt;0"))</f>
        <v/>
      </c>
      <c r="G114" s="11">
        <f>IF(OR(OR($A114="",NOT(ISNUMBER($B114))),$B$2="Not started"),"",IF($C114="Winner",Points!$B$3,ROUND(Points!$B$3*IF($F114&lt;=1,1,Points!$H$7+(1-Points!$H$7)*((($F114-$E114)*(($F114-$E114)+1)/2)^2-((($F114-$E114-$J114+1)-1)*($F114-$E114-$J114+1)/2)^2)/($J114*($F114-1)^3)),0)))</f>
        <v/>
      </c>
      <c r="H114" s="11">
        <f>IF($A114="","",IF($B$2="Final","Final",IF($B$2="In progress","Projected","Not started")))</f>
        <v/>
      </c>
      <c r="I114" s="11">
        <f>IF($A114="","",IF(COUNTIF(Players!$A$2:$A$500,$A114)=0,"Player is not on the Players tab",IF(COUNTIF($A$7:$A$156,$A114)&gt;1,"Player is listed twice",IF(NOT(ISNUMBER($B114)),"Enter a score",IF(COUNTIFS($D$7:$D$156,$D114,$C$7:$C$156,"Winner")&gt;1,"More than one "&amp;$D114&amp;" winner picked",IF(AND($C114="Winner",COUNTIFS($D$7:$D$156,$D114,$B$7:$B$156,"&lt;"&amp;$B114)&gt;0),"The winner doesn't have the best "&amp;$D114&amp;" score",IF(AND($B$2="Final",COUNTIFS($D$7:$D$156,$D114,$C$7:$C$156,"Winner")=0),"Final: pick the "&amp;$D114&amp;" winner",IF($B$2="Not started","Set Status to In progress to count points","OK"))))))))</f>
        <v/>
      </c>
      <c r="J114" s="11">
        <f>IF(OR($A114="",NOT(ISNUMBER($B114))),"",IF($C114="Winner",1,COUNTIFS($D$7:$D$156,$D114,$B$7:$B$156,$B114)-IF(AND(NOT($C114="Winner"),COUNTIFS($D$7:$D$156,$D114,$C$7:$C$156,"Winner",$B$7:$B$156,$B114)&gt;0),1,0)))</f>
        <v/>
      </c>
    </row>
    <row r="115">
      <c r="D115" s="11">
        <f>IF($A115="","",IFERROR(IF(VLOOKUP($A115,Players!$A$2:$B$500,2,FALSE)="","Open",VLOOKUP($A115,Players!$A$2:$B$500,2,FALSE)),"Open"))</f>
        <v/>
      </c>
      <c r="E115" s="11">
        <f>IF(OR($A115="",NOT(ISNUMBER($B115))),"",IF($C115="Winner",1,COUNTIFS($D$7:$D$156,$D115,$B$7:$B$156,"&lt;"&amp;$B115)+1+IF(AND(NOT($C115="Winner"),COUNTIFS($D$7:$D$156,$D115,$C$7:$C$156,"Winner",$B$7:$B$156,$B115)&gt;0),1,0)))</f>
        <v/>
      </c>
      <c r="F115" s="11">
        <f>IF(OR($A115="",NOT(ISNUMBER($B115))),"",COUNTIFS($D$7:$D$156,$D115,$B$7:$B$156,"&gt;0"))</f>
        <v/>
      </c>
      <c r="G115" s="11">
        <f>IF(OR(OR($A115="",NOT(ISNUMBER($B115))),$B$2="Not started"),"",IF($C115="Winner",Points!$B$3,ROUND(Points!$B$3*IF($F115&lt;=1,1,Points!$H$7+(1-Points!$H$7)*((($F115-$E115)*(($F115-$E115)+1)/2)^2-((($F115-$E115-$J115+1)-1)*($F115-$E115-$J115+1)/2)^2)/($J115*($F115-1)^3)),0)))</f>
        <v/>
      </c>
      <c r="H115" s="11">
        <f>IF($A115="","",IF($B$2="Final","Final",IF($B$2="In progress","Projected","Not started")))</f>
        <v/>
      </c>
      <c r="I115" s="11">
        <f>IF($A115="","",IF(COUNTIF(Players!$A$2:$A$500,$A115)=0,"Player is not on the Players tab",IF(COUNTIF($A$7:$A$156,$A115)&gt;1,"Player is listed twice",IF(NOT(ISNUMBER($B115)),"Enter a score",IF(COUNTIFS($D$7:$D$156,$D115,$C$7:$C$156,"Winner")&gt;1,"More than one "&amp;$D115&amp;" winner picked",IF(AND($C115="Winner",COUNTIFS($D$7:$D$156,$D115,$B$7:$B$156,"&lt;"&amp;$B115)&gt;0),"The winner doesn't have the best "&amp;$D115&amp;" score",IF(AND($B$2="Final",COUNTIFS($D$7:$D$156,$D115,$C$7:$C$156,"Winner")=0),"Final: pick the "&amp;$D115&amp;" winner",IF($B$2="Not started","Set Status to In progress to count points","OK"))))))))</f>
        <v/>
      </c>
      <c r="J115" s="11">
        <f>IF(OR($A115="",NOT(ISNUMBER($B115))),"",IF($C115="Winner",1,COUNTIFS($D$7:$D$156,$D115,$B$7:$B$156,$B115)-IF(AND(NOT($C115="Winner"),COUNTIFS($D$7:$D$156,$D115,$C$7:$C$156,"Winner",$B$7:$B$156,$B115)&gt;0),1,0)))</f>
        <v/>
      </c>
    </row>
    <row r="116">
      <c r="D116" s="11">
        <f>IF($A116="","",IFERROR(IF(VLOOKUP($A116,Players!$A$2:$B$500,2,FALSE)="","Open",VLOOKUP($A116,Players!$A$2:$B$500,2,FALSE)),"Open"))</f>
        <v/>
      </c>
      <c r="E116" s="11">
        <f>IF(OR($A116="",NOT(ISNUMBER($B116))),"",IF($C116="Winner",1,COUNTIFS($D$7:$D$156,$D116,$B$7:$B$156,"&lt;"&amp;$B116)+1+IF(AND(NOT($C116="Winner"),COUNTIFS($D$7:$D$156,$D116,$C$7:$C$156,"Winner",$B$7:$B$156,$B116)&gt;0),1,0)))</f>
        <v/>
      </c>
      <c r="F116" s="11">
        <f>IF(OR($A116="",NOT(ISNUMBER($B116))),"",COUNTIFS($D$7:$D$156,$D116,$B$7:$B$156,"&gt;0"))</f>
        <v/>
      </c>
      <c r="G116" s="11">
        <f>IF(OR(OR($A116="",NOT(ISNUMBER($B116))),$B$2="Not started"),"",IF($C116="Winner",Points!$B$3,ROUND(Points!$B$3*IF($F116&lt;=1,1,Points!$H$7+(1-Points!$H$7)*((($F116-$E116)*(($F116-$E116)+1)/2)^2-((($F116-$E116-$J116+1)-1)*($F116-$E116-$J116+1)/2)^2)/($J116*($F116-1)^3)),0)))</f>
        <v/>
      </c>
      <c r="H116" s="11">
        <f>IF($A116="","",IF($B$2="Final","Final",IF($B$2="In progress","Projected","Not started")))</f>
        <v/>
      </c>
      <c r="I116" s="11">
        <f>IF($A116="","",IF(COUNTIF(Players!$A$2:$A$500,$A116)=0,"Player is not on the Players tab",IF(COUNTIF($A$7:$A$156,$A116)&gt;1,"Player is listed twice",IF(NOT(ISNUMBER($B116)),"Enter a score",IF(COUNTIFS($D$7:$D$156,$D116,$C$7:$C$156,"Winner")&gt;1,"More than one "&amp;$D116&amp;" winner picked",IF(AND($C116="Winner",COUNTIFS($D$7:$D$156,$D116,$B$7:$B$156,"&lt;"&amp;$B116)&gt;0),"The winner doesn't have the best "&amp;$D116&amp;" score",IF(AND($B$2="Final",COUNTIFS($D$7:$D$156,$D116,$C$7:$C$156,"Winner")=0),"Final: pick the "&amp;$D116&amp;" winner",IF($B$2="Not started","Set Status to In progress to count points","OK"))))))))</f>
        <v/>
      </c>
      <c r="J116" s="11">
        <f>IF(OR($A116="",NOT(ISNUMBER($B116))),"",IF($C116="Winner",1,COUNTIFS($D$7:$D$156,$D116,$B$7:$B$156,$B116)-IF(AND(NOT($C116="Winner"),COUNTIFS($D$7:$D$156,$D116,$C$7:$C$156,"Winner",$B$7:$B$156,$B116)&gt;0),1,0)))</f>
        <v/>
      </c>
    </row>
    <row r="117">
      <c r="D117" s="11">
        <f>IF($A117="","",IFERROR(IF(VLOOKUP($A117,Players!$A$2:$B$500,2,FALSE)="","Open",VLOOKUP($A117,Players!$A$2:$B$500,2,FALSE)),"Open"))</f>
        <v/>
      </c>
      <c r="E117" s="11">
        <f>IF(OR($A117="",NOT(ISNUMBER($B117))),"",IF($C117="Winner",1,COUNTIFS($D$7:$D$156,$D117,$B$7:$B$156,"&lt;"&amp;$B117)+1+IF(AND(NOT($C117="Winner"),COUNTIFS($D$7:$D$156,$D117,$C$7:$C$156,"Winner",$B$7:$B$156,$B117)&gt;0),1,0)))</f>
        <v/>
      </c>
      <c r="F117" s="11">
        <f>IF(OR($A117="",NOT(ISNUMBER($B117))),"",COUNTIFS($D$7:$D$156,$D117,$B$7:$B$156,"&gt;0"))</f>
        <v/>
      </c>
      <c r="G117" s="11">
        <f>IF(OR(OR($A117="",NOT(ISNUMBER($B117))),$B$2="Not started"),"",IF($C117="Winner",Points!$B$3,ROUND(Points!$B$3*IF($F117&lt;=1,1,Points!$H$7+(1-Points!$H$7)*((($F117-$E117)*(($F117-$E117)+1)/2)^2-((($F117-$E117-$J117+1)-1)*($F117-$E117-$J117+1)/2)^2)/($J117*($F117-1)^3)),0)))</f>
        <v/>
      </c>
      <c r="H117" s="11">
        <f>IF($A117="","",IF($B$2="Final","Final",IF($B$2="In progress","Projected","Not started")))</f>
        <v/>
      </c>
      <c r="I117" s="11">
        <f>IF($A117="","",IF(COUNTIF(Players!$A$2:$A$500,$A117)=0,"Player is not on the Players tab",IF(COUNTIF($A$7:$A$156,$A117)&gt;1,"Player is listed twice",IF(NOT(ISNUMBER($B117)),"Enter a score",IF(COUNTIFS($D$7:$D$156,$D117,$C$7:$C$156,"Winner")&gt;1,"More than one "&amp;$D117&amp;" winner picked",IF(AND($C117="Winner",COUNTIFS($D$7:$D$156,$D117,$B$7:$B$156,"&lt;"&amp;$B117)&gt;0),"The winner doesn't have the best "&amp;$D117&amp;" score",IF(AND($B$2="Final",COUNTIFS($D$7:$D$156,$D117,$C$7:$C$156,"Winner")=0),"Final: pick the "&amp;$D117&amp;" winner",IF($B$2="Not started","Set Status to In progress to count points","OK"))))))))</f>
        <v/>
      </c>
      <c r="J117" s="11">
        <f>IF(OR($A117="",NOT(ISNUMBER($B117))),"",IF($C117="Winner",1,COUNTIFS($D$7:$D$156,$D117,$B$7:$B$156,$B117)-IF(AND(NOT($C117="Winner"),COUNTIFS($D$7:$D$156,$D117,$C$7:$C$156,"Winner",$B$7:$B$156,$B117)&gt;0),1,0)))</f>
        <v/>
      </c>
    </row>
    <row r="118">
      <c r="D118" s="11">
        <f>IF($A118="","",IFERROR(IF(VLOOKUP($A118,Players!$A$2:$B$500,2,FALSE)="","Open",VLOOKUP($A118,Players!$A$2:$B$500,2,FALSE)),"Open"))</f>
        <v/>
      </c>
      <c r="E118" s="11">
        <f>IF(OR($A118="",NOT(ISNUMBER($B118))),"",IF($C118="Winner",1,COUNTIFS($D$7:$D$156,$D118,$B$7:$B$156,"&lt;"&amp;$B118)+1+IF(AND(NOT($C118="Winner"),COUNTIFS($D$7:$D$156,$D118,$C$7:$C$156,"Winner",$B$7:$B$156,$B118)&gt;0),1,0)))</f>
        <v/>
      </c>
      <c r="F118" s="11">
        <f>IF(OR($A118="",NOT(ISNUMBER($B118))),"",COUNTIFS($D$7:$D$156,$D118,$B$7:$B$156,"&gt;0"))</f>
        <v/>
      </c>
      <c r="G118" s="11">
        <f>IF(OR(OR($A118="",NOT(ISNUMBER($B118))),$B$2="Not started"),"",IF($C118="Winner",Points!$B$3,ROUND(Points!$B$3*IF($F118&lt;=1,1,Points!$H$7+(1-Points!$H$7)*((($F118-$E118)*(($F118-$E118)+1)/2)^2-((($F118-$E118-$J118+1)-1)*($F118-$E118-$J118+1)/2)^2)/($J118*($F118-1)^3)),0)))</f>
        <v/>
      </c>
      <c r="H118" s="11">
        <f>IF($A118="","",IF($B$2="Final","Final",IF($B$2="In progress","Projected","Not started")))</f>
        <v/>
      </c>
      <c r="I118" s="11">
        <f>IF($A118="","",IF(COUNTIF(Players!$A$2:$A$500,$A118)=0,"Player is not on the Players tab",IF(COUNTIF($A$7:$A$156,$A118)&gt;1,"Player is listed twice",IF(NOT(ISNUMBER($B118)),"Enter a score",IF(COUNTIFS($D$7:$D$156,$D118,$C$7:$C$156,"Winner")&gt;1,"More than one "&amp;$D118&amp;" winner picked",IF(AND($C118="Winner",COUNTIFS($D$7:$D$156,$D118,$B$7:$B$156,"&lt;"&amp;$B118)&gt;0),"The winner doesn't have the best "&amp;$D118&amp;" score",IF(AND($B$2="Final",COUNTIFS($D$7:$D$156,$D118,$C$7:$C$156,"Winner")=0),"Final: pick the "&amp;$D118&amp;" winner",IF($B$2="Not started","Set Status to In progress to count points","OK"))))))))</f>
        <v/>
      </c>
      <c r="J118" s="11">
        <f>IF(OR($A118="",NOT(ISNUMBER($B118))),"",IF($C118="Winner",1,COUNTIFS($D$7:$D$156,$D118,$B$7:$B$156,$B118)-IF(AND(NOT($C118="Winner"),COUNTIFS($D$7:$D$156,$D118,$C$7:$C$156,"Winner",$B$7:$B$156,$B118)&gt;0),1,0)))</f>
        <v/>
      </c>
    </row>
    <row r="119">
      <c r="D119" s="11">
        <f>IF($A119="","",IFERROR(IF(VLOOKUP($A119,Players!$A$2:$B$500,2,FALSE)="","Open",VLOOKUP($A119,Players!$A$2:$B$500,2,FALSE)),"Open"))</f>
        <v/>
      </c>
      <c r="E119" s="11">
        <f>IF(OR($A119="",NOT(ISNUMBER($B119))),"",IF($C119="Winner",1,COUNTIFS($D$7:$D$156,$D119,$B$7:$B$156,"&lt;"&amp;$B119)+1+IF(AND(NOT($C119="Winner"),COUNTIFS($D$7:$D$156,$D119,$C$7:$C$156,"Winner",$B$7:$B$156,$B119)&gt;0),1,0)))</f>
        <v/>
      </c>
      <c r="F119" s="11">
        <f>IF(OR($A119="",NOT(ISNUMBER($B119))),"",COUNTIFS($D$7:$D$156,$D119,$B$7:$B$156,"&gt;0"))</f>
        <v/>
      </c>
      <c r="G119" s="11">
        <f>IF(OR(OR($A119="",NOT(ISNUMBER($B119))),$B$2="Not started"),"",IF($C119="Winner",Points!$B$3,ROUND(Points!$B$3*IF($F119&lt;=1,1,Points!$H$7+(1-Points!$H$7)*((($F119-$E119)*(($F119-$E119)+1)/2)^2-((($F119-$E119-$J119+1)-1)*($F119-$E119-$J119+1)/2)^2)/($J119*($F119-1)^3)),0)))</f>
        <v/>
      </c>
      <c r="H119" s="11">
        <f>IF($A119="","",IF($B$2="Final","Final",IF($B$2="In progress","Projected","Not started")))</f>
        <v/>
      </c>
      <c r="I119" s="11">
        <f>IF($A119="","",IF(COUNTIF(Players!$A$2:$A$500,$A119)=0,"Player is not on the Players tab",IF(COUNTIF($A$7:$A$156,$A119)&gt;1,"Player is listed twice",IF(NOT(ISNUMBER($B119)),"Enter a score",IF(COUNTIFS($D$7:$D$156,$D119,$C$7:$C$156,"Winner")&gt;1,"More than one "&amp;$D119&amp;" winner picked",IF(AND($C119="Winner",COUNTIFS($D$7:$D$156,$D119,$B$7:$B$156,"&lt;"&amp;$B119)&gt;0),"The winner doesn't have the best "&amp;$D119&amp;" score",IF(AND($B$2="Final",COUNTIFS($D$7:$D$156,$D119,$C$7:$C$156,"Winner")=0),"Final: pick the "&amp;$D119&amp;" winner",IF($B$2="Not started","Set Status to In progress to count points","OK"))))))))</f>
        <v/>
      </c>
      <c r="J119" s="11">
        <f>IF(OR($A119="",NOT(ISNUMBER($B119))),"",IF($C119="Winner",1,COUNTIFS($D$7:$D$156,$D119,$B$7:$B$156,$B119)-IF(AND(NOT($C119="Winner"),COUNTIFS($D$7:$D$156,$D119,$C$7:$C$156,"Winner",$B$7:$B$156,$B119)&gt;0),1,0)))</f>
        <v/>
      </c>
    </row>
    <row r="120">
      <c r="D120" s="11">
        <f>IF($A120="","",IFERROR(IF(VLOOKUP($A120,Players!$A$2:$B$500,2,FALSE)="","Open",VLOOKUP($A120,Players!$A$2:$B$500,2,FALSE)),"Open"))</f>
        <v/>
      </c>
      <c r="E120" s="11">
        <f>IF(OR($A120="",NOT(ISNUMBER($B120))),"",IF($C120="Winner",1,COUNTIFS($D$7:$D$156,$D120,$B$7:$B$156,"&lt;"&amp;$B120)+1+IF(AND(NOT($C120="Winner"),COUNTIFS($D$7:$D$156,$D120,$C$7:$C$156,"Winner",$B$7:$B$156,$B120)&gt;0),1,0)))</f>
        <v/>
      </c>
      <c r="F120" s="11">
        <f>IF(OR($A120="",NOT(ISNUMBER($B120))),"",COUNTIFS($D$7:$D$156,$D120,$B$7:$B$156,"&gt;0"))</f>
        <v/>
      </c>
      <c r="G120" s="11">
        <f>IF(OR(OR($A120="",NOT(ISNUMBER($B120))),$B$2="Not started"),"",IF($C120="Winner",Points!$B$3,ROUND(Points!$B$3*IF($F120&lt;=1,1,Points!$H$7+(1-Points!$H$7)*((($F120-$E120)*(($F120-$E120)+1)/2)^2-((($F120-$E120-$J120+1)-1)*($F120-$E120-$J120+1)/2)^2)/($J120*($F120-1)^3)),0)))</f>
        <v/>
      </c>
      <c r="H120" s="11">
        <f>IF($A120="","",IF($B$2="Final","Final",IF($B$2="In progress","Projected","Not started")))</f>
        <v/>
      </c>
      <c r="I120" s="11">
        <f>IF($A120="","",IF(COUNTIF(Players!$A$2:$A$500,$A120)=0,"Player is not on the Players tab",IF(COUNTIF($A$7:$A$156,$A120)&gt;1,"Player is listed twice",IF(NOT(ISNUMBER($B120)),"Enter a score",IF(COUNTIFS($D$7:$D$156,$D120,$C$7:$C$156,"Winner")&gt;1,"More than one "&amp;$D120&amp;" winner picked",IF(AND($C120="Winner",COUNTIFS($D$7:$D$156,$D120,$B$7:$B$156,"&lt;"&amp;$B120)&gt;0),"The winner doesn't have the best "&amp;$D120&amp;" score",IF(AND($B$2="Final",COUNTIFS($D$7:$D$156,$D120,$C$7:$C$156,"Winner")=0),"Final: pick the "&amp;$D120&amp;" winner",IF($B$2="Not started","Set Status to In progress to count points","OK"))))))))</f>
        <v/>
      </c>
      <c r="J120" s="11">
        <f>IF(OR($A120="",NOT(ISNUMBER($B120))),"",IF($C120="Winner",1,COUNTIFS($D$7:$D$156,$D120,$B$7:$B$156,$B120)-IF(AND(NOT($C120="Winner"),COUNTIFS($D$7:$D$156,$D120,$C$7:$C$156,"Winner",$B$7:$B$156,$B120)&gt;0),1,0)))</f>
        <v/>
      </c>
    </row>
    <row r="121">
      <c r="D121" s="11">
        <f>IF($A121="","",IFERROR(IF(VLOOKUP($A121,Players!$A$2:$B$500,2,FALSE)="","Open",VLOOKUP($A121,Players!$A$2:$B$500,2,FALSE)),"Open"))</f>
        <v/>
      </c>
      <c r="E121" s="11">
        <f>IF(OR($A121="",NOT(ISNUMBER($B121))),"",IF($C121="Winner",1,COUNTIFS($D$7:$D$156,$D121,$B$7:$B$156,"&lt;"&amp;$B121)+1+IF(AND(NOT($C121="Winner"),COUNTIFS($D$7:$D$156,$D121,$C$7:$C$156,"Winner",$B$7:$B$156,$B121)&gt;0),1,0)))</f>
        <v/>
      </c>
      <c r="F121" s="11">
        <f>IF(OR($A121="",NOT(ISNUMBER($B121))),"",COUNTIFS($D$7:$D$156,$D121,$B$7:$B$156,"&gt;0"))</f>
        <v/>
      </c>
      <c r="G121" s="11">
        <f>IF(OR(OR($A121="",NOT(ISNUMBER($B121))),$B$2="Not started"),"",IF($C121="Winner",Points!$B$3,ROUND(Points!$B$3*IF($F121&lt;=1,1,Points!$H$7+(1-Points!$H$7)*((($F121-$E121)*(($F121-$E121)+1)/2)^2-((($F121-$E121-$J121+1)-1)*($F121-$E121-$J121+1)/2)^2)/($J121*($F121-1)^3)),0)))</f>
        <v/>
      </c>
      <c r="H121" s="11">
        <f>IF($A121="","",IF($B$2="Final","Final",IF($B$2="In progress","Projected","Not started")))</f>
        <v/>
      </c>
      <c r="I121" s="11">
        <f>IF($A121="","",IF(COUNTIF(Players!$A$2:$A$500,$A121)=0,"Player is not on the Players tab",IF(COUNTIF($A$7:$A$156,$A121)&gt;1,"Player is listed twice",IF(NOT(ISNUMBER($B121)),"Enter a score",IF(COUNTIFS($D$7:$D$156,$D121,$C$7:$C$156,"Winner")&gt;1,"More than one "&amp;$D121&amp;" winner picked",IF(AND($C121="Winner",COUNTIFS($D$7:$D$156,$D121,$B$7:$B$156,"&lt;"&amp;$B121)&gt;0),"The winner doesn't have the best "&amp;$D121&amp;" score",IF(AND($B$2="Final",COUNTIFS($D$7:$D$156,$D121,$C$7:$C$156,"Winner")=0),"Final: pick the "&amp;$D121&amp;" winner",IF($B$2="Not started","Set Status to In progress to count points","OK"))))))))</f>
        <v/>
      </c>
      <c r="J121" s="11">
        <f>IF(OR($A121="",NOT(ISNUMBER($B121))),"",IF($C121="Winner",1,COUNTIFS($D$7:$D$156,$D121,$B$7:$B$156,$B121)-IF(AND(NOT($C121="Winner"),COUNTIFS($D$7:$D$156,$D121,$C$7:$C$156,"Winner",$B$7:$B$156,$B121)&gt;0),1,0)))</f>
        <v/>
      </c>
    </row>
    <row r="122">
      <c r="D122" s="11">
        <f>IF($A122="","",IFERROR(IF(VLOOKUP($A122,Players!$A$2:$B$500,2,FALSE)="","Open",VLOOKUP($A122,Players!$A$2:$B$500,2,FALSE)),"Open"))</f>
        <v/>
      </c>
      <c r="E122" s="11">
        <f>IF(OR($A122="",NOT(ISNUMBER($B122))),"",IF($C122="Winner",1,COUNTIFS($D$7:$D$156,$D122,$B$7:$B$156,"&lt;"&amp;$B122)+1+IF(AND(NOT($C122="Winner"),COUNTIFS($D$7:$D$156,$D122,$C$7:$C$156,"Winner",$B$7:$B$156,$B122)&gt;0),1,0)))</f>
        <v/>
      </c>
      <c r="F122" s="11">
        <f>IF(OR($A122="",NOT(ISNUMBER($B122))),"",COUNTIFS($D$7:$D$156,$D122,$B$7:$B$156,"&gt;0"))</f>
        <v/>
      </c>
      <c r="G122" s="11">
        <f>IF(OR(OR($A122="",NOT(ISNUMBER($B122))),$B$2="Not started"),"",IF($C122="Winner",Points!$B$3,ROUND(Points!$B$3*IF($F122&lt;=1,1,Points!$H$7+(1-Points!$H$7)*((($F122-$E122)*(($F122-$E122)+1)/2)^2-((($F122-$E122-$J122+1)-1)*($F122-$E122-$J122+1)/2)^2)/($J122*($F122-1)^3)),0)))</f>
        <v/>
      </c>
      <c r="H122" s="11">
        <f>IF($A122="","",IF($B$2="Final","Final",IF($B$2="In progress","Projected","Not started")))</f>
        <v/>
      </c>
      <c r="I122" s="11">
        <f>IF($A122="","",IF(COUNTIF(Players!$A$2:$A$500,$A122)=0,"Player is not on the Players tab",IF(COUNTIF($A$7:$A$156,$A122)&gt;1,"Player is listed twice",IF(NOT(ISNUMBER($B122)),"Enter a score",IF(COUNTIFS($D$7:$D$156,$D122,$C$7:$C$156,"Winner")&gt;1,"More than one "&amp;$D122&amp;" winner picked",IF(AND($C122="Winner",COUNTIFS($D$7:$D$156,$D122,$B$7:$B$156,"&lt;"&amp;$B122)&gt;0),"The winner doesn't have the best "&amp;$D122&amp;" score",IF(AND($B$2="Final",COUNTIFS($D$7:$D$156,$D122,$C$7:$C$156,"Winner")=0),"Final: pick the "&amp;$D122&amp;" winner",IF($B$2="Not started","Set Status to In progress to count points","OK"))))))))</f>
        <v/>
      </c>
      <c r="J122" s="11">
        <f>IF(OR($A122="",NOT(ISNUMBER($B122))),"",IF($C122="Winner",1,COUNTIFS($D$7:$D$156,$D122,$B$7:$B$156,$B122)-IF(AND(NOT($C122="Winner"),COUNTIFS($D$7:$D$156,$D122,$C$7:$C$156,"Winner",$B$7:$B$156,$B122)&gt;0),1,0)))</f>
        <v/>
      </c>
    </row>
    <row r="123">
      <c r="D123" s="11">
        <f>IF($A123="","",IFERROR(IF(VLOOKUP($A123,Players!$A$2:$B$500,2,FALSE)="","Open",VLOOKUP($A123,Players!$A$2:$B$500,2,FALSE)),"Open"))</f>
        <v/>
      </c>
      <c r="E123" s="11">
        <f>IF(OR($A123="",NOT(ISNUMBER($B123))),"",IF($C123="Winner",1,COUNTIFS($D$7:$D$156,$D123,$B$7:$B$156,"&lt;"&amp;$B123)+1+IF(AND(NOT($C123="Winner"),COUNTIFS($D$7:$D$156,$D123,$C$7:$C$156,"Winner",$B$7:$B$156,$B123)&gt;0),1,0)))</f>
        <v/>
      </c>
      <c r="F123" s="11">
        <f>IF(OR($A123="",NOT(ISNUMBER($B123))),"",COUNTIFS($D$7:$D$156,$D123,$B$7:$B$156,"&gt;0"))</f>
        <v/>
      </c>
      <c r="G123" s="11">
        <f>IF(OR(OR($A123="",NOT(ISNUMBER($B123))),$B$2="Not started"),"",IF($C123="Winner",Points!$B$3,ROUND(Points!$B$3*IF($F123&lt;=1,1,Points!$H$7+(1-Points!$H$7)*((($F123-$E123)*(($F123-$E123)+1)/2)^2-((($F123-$E123-$J123+1)-1)*($F123-$E123-$J123+1)/2)^2)/($J123*($F123-1)^3)),0)))</f>
        <v/>
      </c>
      <c r="H123" s="11">
        <f>IF($A123="","",IF($B$2="Final","Final",IF($B$2="In progress","Projected","Not started")))</f>
        <v/>
      </c>
      <c r="I123" s="11">
        <f>IF($A123="","",IF(COUNTIF(Players!$A$2:$A$500,$A123)=0,"Player is not on the Players tab",IF(COUNTIF($A$7:$A$156,$A123)&gt;1,"Player is listed twice",IF(NOT(ISNUMBER($B123)),"Enter a score",IF(COUNTIFS($D$7:$D$156,$D123,$C$7:$C$156,"Winner")&gt;1,"More than one "&amp;$D123&amp;" winner picked",IF(AND($C123="Winner",COUNTIFS($D$7:$D$156,$D123,$B$7:$B$156,"&lt;"&amp;$B123)&gt;0),"The winner doesn't have the best "&amp;$D123&amp;" score",IF(AND($B$2="Final",COUNTIFS($D$7:$D$156,$D123,$C$7:$C$156,"Winner")=0),"Final: pick the "&amp;$D123&amp;" winner",IF($B$2="Not started","Set Status to In progress to count points","OK"))))))))</f>
        <v/>
      </c>
      <c r="J123" s="11">
        <f>IF(OR($A123="",NOT(ISNUMBER($B123))),"",IF($C123="Winner",1,COUNTIFS($D$7:$D$156,$D123,$B$7:$B$156,$B123)-IF(AND(NOT($C123="Winner"),COUNTIFS($D$7:$D$156,$D123,$C$7:$C$156,"Winner",$B$7:$B$156,$B123)&gt;0),1,0)))</f>
        <v/>
      </c>
    </row>
    <row r="124">
      <c r="D124" s="11">
        <f>IF($A124="","",IFERROR(IF(VLOOKUP($A124,Players!$A$2:$B$500,2,FALSE)="","Open",VLOOKUP($A124,Players!$A$2:$B$500,2,FALSE)),"Open"))</f>
        <v/>
      </c>
      <c r="E124" s="11">
        <f>IF(OR($A124="",NOT(ISNUMBER($B124))),"",IF($C124="Winner",1,COUNTIFS($D$7:$D$156,$D124,$B$7:$B$156,"&lt;"&amp;$B124)+1+IF(AND(NOT($C124="Winner"),COUNTIFS($D$7:$D$156,$D124,$C$7:$C$156,"Winner",$B$7:$B$156,$B124)&gt;0),1,0)))</f>
        <v/>
      </c>
      <c r="F124" s="11">
        <f>IF(OR($A124="",NOT(ISNUMBER($B124))),"",COUNTIFS($D$7:$D$156,$D124,$B$7:$B$156,"&gt;0"))</f>
        <v/>
      </c>
      <c r="G124" s="11">
        <f>IF(OR(OR($A124="",NOT(ISNUMBER($B124))),$B$2="Not started"),"",IF($C124="Winner",Points!$B$3,ROUND(Points!$B$3*IF($F124&lt;=1,1,Points!$H$7+(1-Points!$H$7)*((($F124-$E124)*(($F124-$E124)+1)/2)^2-((($F124-$E124-$J124+1)-1)*($F124-$E124-$J124+1)/2)^2)/($J124*($F124-1)^3)),0)))</f>
        <v/>
      </c>
      <c r="H124" s="11">
        <f>IF($A124="","",IF($B$2="Final","Final",IF($B$2="In progress","Projected","Not started")))</f>
        <v/>
      </c>
      <c r="I124" s="11">
        <f>IF($A124="","",IF(COUNTIF(Players!$A$2:$A$500,$A124)=0,"Player is not on the Players tab",IF(COUNTIF($A$7:$A$156,$A124)&gt;1,"Player is listed twice",IF(NOT(ISNUMBER($B124)),"Enter a score",IF(COUNTIFS($D$7:$D$156,$D124,$C$7:$C$156,"Winner")&gt;1,"More than one "&amp;$D124&amp;" winner picked",IF(AND($C124="Winner",COUNTIFS($D$7:$D$156,$D124,$B$7:$B$156,"&lt;"&amp;$B124)&gt;0),"The winner doesn't have the best "&amp;$D124&amp;" score",IF(AND($B$2="Final",COUNTIFS($D$7:$D$156,$D124,$C$7:$C$156,"Winner")=0),"Final: pick the "&amp;$D124&amp;" winner",IF($B$2="Not started","Set Status to In progress to count points","OK"))))))))</f>
        <v/>
      </c>
      <c r="J124" s="11">
        <f>IF(OR($A124="",NOT(ISNUMBER($B124))),"",IF($C124="Winner",1,COUNTIFS($D$7:$D$156,$D124,$B$7:$B$156,$B124)-IF(AND(NOT($C124="Winner"),COUNTIFS($D$7:$D$156,$D124,$C$7:$C$156,"Winner",$B$7:$B$156,$B124)&gt;0),1,0)))</f>
        <v/>
      </c>
    </row>
    <row r="125">
      <c r="D125" s="11">
        <f>IF($A125="","",IFERROR(IF(VLOOKUP($A125,Players!$A$2:$B$500,2,FALSE)="","Open",VLOOKUP($A125,Players!$A$2:$B$500,2,FALSE)),"Open"))</f>
        <v/>
      </c>
      <c r="E125" s="11">
        <f>IF(OR($A125="",NOT(ISNUMBER($B125))),"",IF($C125="Winner",1,COUNTIFS($D$7:$D$156,$D125,$B$7:$B$156,"&lt;"&amp;$B125)+1+IF(AND(NOT($C125="Winner"),COUNTIFS($D$7:$D$156,$D125,$C$7:$C$156,"Winner",$B$7:$B$156,$B125)&gt;0),1,0)))</f>
        <v/>
      </c>
      <c r="F125" s="11">
        <f>IF(OR($A125="",NOT(ISNUMBER($B125))),"",COUNTIFS($D$7:$D$156,$D125,$B$7:$B$156,"&gt;0"))</f>
        <v/>
      </c>
      <c r="G125" s="11">
        <f>IF(OR(OR($A125="",NOT(ISNUMBER($B125))),$B$2="Not started"),"",IF($C125="Winner",Points!$B$3,ROUND(Points!$B$3*IF($F125&lt;=1,1,Points!$H$7+(1-Points!$H$7)*((($F125-$E125)*(($F125-$E125)+1)/2)^2-((($F125-$E125-$J125+1)-1)*($F125-$E125-$J125+1)/2)^2)/($J125*($F125-1)^3)),0)))</f>
        <v/>
      </c>
      <c r="H125" s="11">
        <f>IF($A125="","",IF($B$2="Final","Final",IF($B$2="In progress","Projected","Not started")))</f>
        <v/>
      </c>
      <c r="I125" s="11">
        <f>IF($A125="","",IF(COUNTIF(Players!$A$2:$A$500,$A125)=0,"Player is not on the Players tab",IF(COUNTIF($A$7:$A$156,$A125)&gt;1,"Player is listed twice",IF(NOT(ISNUMBER($B125)),"Enter a score",IF(COUNTIFS($D$7:$D$156,$D125,$C$7:$C$156,"Winner")&gt;1,"More than one "&amp;$D125&amp;" winner picked",IF(AND($C125="Winner",COUNTIFS($D$7:$D$156,$D125,$B$7:$B$156,"&lt;"&amp;$B125)&gt;0),"The winner doesn't have the best "&amp;$D125&amp;" score",IF(AND($B$2="Final",COUNTIFS($D$7:$D$156,$D125,$C$7:$C$156,"Winner")=0),"Final: pick the "&amp;$D125&amp;" winner",IF($B$2="Not started","Set Status to In progress to count points","OK"))))))))</f>
        <v/>
      </c>
      <c r="J125" s="11">
        <f>IF(OR($A125="",NOT(ISNUMBER($B125))),"",IF($C125="Winner",1,COUNTIFS($D$7:$D$156,$D125,$B$7:$B$156,$B125)-IF(AND(NOT($C125="Winner"),COUNTIFS($D$7:$D$156,$D125,$C$7:$C$156,"Winner",$B$7:$B$156,$B125)&gt;0),1,0)))</f>
        <v/>
      </c>
    </row>
    <row r="126">
      <c r="D126" s="11">
        <f>IF($A126="","",IFERROR(IF(VLOOKUP($A126,Players!$A$2:$B$500,2,FALSE)="","Open",VLOOKUP($A126,Players!$A$2:$B$500,2,FALSE)),"Open"))</f>
        <v/>
      </c>
      <c r="E126" s="11">
        <f>IF(OR($A126="",NOT(ISNUMBER($B126))),"",IF($C126="Winner",1,COUNTIFS($D$7:$D$156,$D126,$B$7:$B$156,"&lt;"&amp;$B126)+1+IF(AND(NOT($C126="Winner"),COUNTIFS($D$7:$D$156,$D126,$C$7:$C$156,"Winner",$B$7:$B$156,$B126)&gt;0),1,0)))</f>
        <v/>
      </c>
      <c r="F126" s="11">
        <f>IF(OR($A126="",NOT(ISNUMBER($B126))),"",COUNTIFS($D$7:$D$156,$D126,$B$7:$B$156,"&gt;0"))</f>
        <v/>
      </c>
      <c r="G126" s="11">
        <f>IF(OR(OR($A126="",NOT(ISNUMBER($B126))),$B$2="Not started"),"",IF($C126="Winner",Points!$B$3,ROUND(Points!$B$3*IF($F126&lt;=1,1,Points!$H$7+(1-Points!$H$7)*((($F126-$E126)*(($F126-$E126)+1)/2)^2-((($F126-$E126-$J126+1)-1)*($F126-$E126-$J126+1)/2)^2)/($J126*($F126-1)^3)),0)))</f>
        <v/>
      </c>
      <c r="H126" s="11">
        <f>IF($A126="","",IF($B$2="Final","Final",IF($B$2="In progress","Projected","Not started")))</f>
        <v/>
      </c>
      <c r="I126" s="11">
        <f>IF($A126="","",IF(COUNTIF(Players!$A$2:$A$500,$A126)=0,"Player is not on the Players tab",IF(COUNTIF($A$7:$A$156,$A126)&gt;1,"Player is listed twice",IF(NOT(ISNUMBER($B126)),"Enter a score",IF(COUNTIFS($D$7:$D$156,$D126,$C$7:$C$156,"Winner")&gt;1,"More than one "&amp;$D126&amp;" winner picked",IF(AND($C126="Winner",COUNTIFS($D$7:$D$156,$D126,$B$7:$B$156,"&lt;"&amp;$B126)&gt;0),"The winner doesn't have the best "&amp;$D126&amp;" score",IF(AND($B$2="Final",COUNTIFS($D$7:$D$156,$D126,$C$7:$C$156,"Winner")=0),"Final: pick the "&amp;$D126&amp;" winner",IF($B$2="Not started","Set Status to In progress to count points","OK"))))))))</f>
        <v/>
      </c>
      <c r="J126" s="11">
        <f>IF(OR($A126="",NOT(ISNUMBER($B126))),"",IF($C126="Winner",1,COUNTIFS($D$7:$D$156,$D126,$B$7:$B$156,$B126)-IF(AND(NOT($C126="Winner"),COUNTIFS($D$7:$D$156,$D126,$C$7:$C$156,"Winner",$B$7:$B$156,$B126)&gt;0),1,0)))</f>
        <v/>
      </c>
    </row>
    <row r="127">
      <c r="D127" s="11">
        <f>IF($A127="","",IFERROR(IF(VLOOKUP($A127,Players!$A$2:$B$500,2,FALSE)="","Open",VLOOKUP($A127,Players!$A$2:$B$500,2,FALSE)),"Open"))</f>
        <v/>
      </c>
      <c r="E127" s="11">
        <f>IF(OR($A127="",NOT(ISNUMBER($B127))),"",IF($C127="Winner",1,COUNTIFS($D$7:$D$156,$D127,$B$7:$B$156,"&lt;"&amp;$B127)+1+IF(AND(NOT($C127="Winner"),COUNTIFS($D$7:$D$156,$D127,$C$7:$C$156,"Winner",$B$7:$B$156,$B127)&gt;0),1,0)))</f>
        <v/>
      </c>
      <c r="F127" s="11">
        <f>IF(OR($A127="",NOT(ISNUMBER($B127))),"",COUNTIFS($D$7:$D$156,$D127,$B$7:$B$156,"&gt;0"))</f>
        <v/>
      </c>
      <c r="G127" s="11">
        <f>IF(OR(OR($A127="",NOT(ISNUMBER($B127))),$B$2="Not started"),"",IF($C127="Winner",Points!$B$3,ROUND(Points!$B$3*IF($F127&lt;=1,1,Points!$H$7+(1-Points!$H$7)*((($F127-$E127)*(($F127-$E127)+1)/2)^2-((($F127-$E127-$J127+1)-1)*($F127-$E127-$J127+1)/2)^2)/($J127*($F127-1)^3)),0)))</f>
        <v/>
      </c>
      <c r="H127" s="11">
        <f>IF($A127="","",IF($B$2="Final","Final",IF($B$2="In progress","Projected","Not started")))</f>
        <v/>
      </c>
      <c r="I127" s="11">
        <f>IF($A127="","",IF(COUNTIF(Players!$A$2:$A$500,$A127)=0,"Player is not on the Players tab",IF(COUNTIF($A$7:$A$156,$A127)&gt;1,"Player is listed twice",IF(NOT(ISNUMBER($B127)),"Enter a score",IF(COUNTIFS($D$7:$D$156,$D127,$C$7:$C$156,"Winner")&gt;1,"More than one "&amp;$D127&amp;" winner picked",IF(AND($C127="Winner",COUNTIFS($D$7:$D$156,$D127,$B$7:$B$156,"&lt;"&amp;$B127)&gt;0),"The winner doesn't have the best "&amp;$D127&amp;" score",IF(AND($B$2="Final",COUNTIFS($D$7:$D$156,$D127,$C$7:$C$156,"Winner")=0),"Final: pick the "&amp;$D127&amp;" winner",IF($B$2="Not started","Set Status to In progress to count points","OK"))))))))</f>
        <v/>
      </c>
      <c r="J127" s="11">
        <f>IF(OR($A127="",NOT(ISNUMBER($B127))),"",IF($C127="Winner",1,COUNTIFS($D$7:$D$156,$D127,$B$7:$B$156,$B127)-IF(AND(NOT($C127="Winner"),COUNTIFS($D$7:$D$156,$D127,$C$7:$C$156,"Winner",$B$7:$B$156,$B127)&gt;0),1,0)))</f>
        <v/>
      </c>
    </row>
    <row r="128">
      <c r="D128" s="11">
        <f>IF($A128="","",IFERROR(IF(VLOOKUP($A128,Players!$A$2:$B$500,2,FALSE)="","Open",VLOOKUP($A128,Players!$A$2:$B$500,2,FALSE)),"Open"))</f>
        <v/>
      </c>
      <c r="E128" s="11">
        <f>IF(OR($A128="",NOT(ISNUMBER($B128))),"",IF($C128="Winner",1,COUNTIFS($D$7:$D$156,$D128,$B$7:$B$156,"&lt;"&amp;$B128)+1+IF(AND(NOT($C128="Winner"),COUNTIFS($D$7:$D$156,$D128,$C$7:$C$156,"Winner",$B$7:$B$156,$B128)&gt;0),1,0)))</f>
        <v/>
      </c>
      <c r="F128" s="11">
        <f>IF(OR($A128="",NOT(ISNUMBER($B128))),"",COUNTIFS($D$7:$D$156,$D128,$B$7:$B$156,"&gt;0"))</f>
        <v/>
      </c>
      <c r="G128" s="11">
        <f>IF(OR(OR($A128="",NOT(ISNUMBER($B128))),$B$2="Not started"),"",IF($C128="Winner",Points!$B$3,ROUND(Points!$B$3*IF($F128&lt;=1,1,Points!$H$7+(1-Points!$H$7)*((($F128-$E128)*(($F128-$E128)+1)/2)^2-((($F128-$E128-$J128+1)-1)*($F128-$E128-$J128+1)/2)^2)/($J128*($F128-1)^3)),0)))</f>
        <v/>
      </c>
      <c r="H128" s="11">
        <f>IF($A128="","",IF($B$2="Final","Final",IF($B$2="In progress","Projected","Not started")))</f>
        <v/>
      </c>
      <c r="I128" s="11">
        <f>IF($A128="","",IF(COUNTIF(Players!$A$2:$A$500,$A128)=0,"Player is not on the Players tab",IF(COUNTIF($A$7:$A$156,$A128)&gt;1,"Player is listed twice",IF(NOT(ISNUMBER($B128)),"Enter a score",IF(COUNTIFS($D$7:$D$156,$D128,$C$7:$C$156,"Winner")&gt;1,"More than one "&amp;$D128&amp;" winner picked",IF(AND($C128="Winner",COUNTIFS($D$7:$D$156,$D128,$B$7:$B$156,"&lt;"&amp;$B128)&gt;0),"The winner doesn't have the best "&amp;$D128&amp;" score",IF(AND($B$2="Final",COUNTIFS($D$7:$D$156,$D128,$C$7:$C$156,"Winner")=0),"Final: pick the "&amp;$D128&amp;" winner",IF($B$2="Not started","Set Status to In progress to count points","OK"))))))))</f>
        <v/>
      </c>
      <c r="J128" s="11">
        <f>IF(OR($A128="",NOT(ISNUMBER($B128))),"",IF($C128="Winner",1,COUNTIFS($D$7:$D$156,$D128,$B$7:$B$156,$B128)-IF(AND(NOT($C128="Winner"),COUNTIFS($D$7:$D$156,$D128,$C$7:$C$156,"Winner",$B$7:$B$156,$B128)&gt;0),1,0)))</f>
        <v/>
      </c>
    </row>
    <row r="129">
      <c r="D129" s="11">
        <f>IF($A129="","",IFERROR(IF(VLOOKUP($A129,Players!$A$2:$B$500,2,FALSE)="","Open",VLOOKUP($A129,Players!$A$2:$B$500,2,FALSE)),"Open"))</f>
        <v/>
      </c>
      <c r="E129" s="11">
        <f>IF(OR($A129="",NOT(ISNUMBER($B129))),"",IF($C129="Winner",1,COUNTIFS($D$7:$D$156,$D129,$B$7:$B$156,"&lt;"&amp;$B129)+1+IF(AND(NOT($C129="Winner"),COUNTIFS($D$7:$D$156,$D129,$C$7:$C$156,"Winner",$B$7:$B$156,$B129)&gt;0),1,0)))</f>
        <v/>
      </c>
      <c r="F129" s="11">
        <f>IF(OR($A129="",NOT(ISNUMBER($B129))),"",COUNTIFS($D$7:$D$156,$D129,$B$7:$B$156,"&gt;0"))</f>
        <v/>
      </c>
      <c r="G129" s="11">
        <f>IF(OR(OR($A129="",NOT(ISNUMBER($B129))),$B$2="Not started"),"",IF($C129="Winner",Points!$B$3,ROUND(Points!$B$3*IF($F129&lt;=1,1,Points!$H$7+(1-Points!$H$7)*((($F129-$E129)*(($F129-$E129)+1)/2)^2-((($F129-$E129-$J129+1)-1)*($F129-$E129-$J129+1)/2)^2)/($J129*($F129-1)^3)),0)))</f>
        <v/>
      </c>
      <c r="H129" s="11">
        <f>IF($A129="","",IF($B$2="Final","Final",IF($B$2="In progress","Projected","Not started")))</f>
        <v/>
      </c>
      <c r="I129" s="11">
        <f>IF($A129="","",IF(COUNTIF(Players!$A$2:$A$500,$A129)=0,"Player is not on the Players tab",IF(COUNTIF($A$7:$A$156,$A129)&gt;1,"Player is listed twice",IF(NOT(ISNUMBER($B129)),"Enter a score",IF(COUNTIFS($D$7:$D$156,$D129,$C$7:$C$156,"Winner")&gt;1,"More than one "&amp;$D129&amp;" winner picked",IF(AND($C129="Winner",COUNTIFS($D$7:$D$156,$D129,$B$7:$B$156,"&lt;"&amp;$B129)&gt;0),"The winner doesn't have the best "&amp;$D129&amp;" score",IF(AND($B$2="Final",COUNTIFS($D$7:$D$156,$D129,$C$7:$C$156,"Winner")=0),"Final: pick the "&amp;$D129&amp;" winner",IF($B$2="Not started","Set Status to In progress to count points","OK"))))))))</f>
        <v/>
      </c>
      <c r="J129" s="11">
        <f>IF(OR($A129="",NOT(ISNUMBER($B129))),"",IF($C129="Winner",1,COUNTIFS($D$7:$D$156,$D129,$B$7:$B$156,$B129)-IF(AND(NOT($C129="Winner"),COUNTIFS($D$7:$D$156,$D129,$C$7:$C$156,"Winner",$B$7:$B$156,$B129)&gt;0),1,0)))</f>
        <v/>
      </c>
    </row>
    <row r="130">
      <c r="D130" s="11">
        <f>IF($A130="","",IFERROR(IF(VLOOKUP($A130,Players!$A$2:$B$500,2,FALSE)="","Open",VLOOKUP($A130,Players!$A$2:$B$500,2,FALSE)),"Open"))</f>
        <v/>
      </c>
      <c r="E130" s="11">
        <f>IF(OR($A130="",NOT(ISNUMBER($B130))),"",IF($C130="Winner",1,COUNTIFS($D$7:$D$156,$D130,$B$7:$B$156,"&lt;"&amp;$B130)+1+IF(AND(NOT($C130="Winner"),COUNTIFS($D$7:$D$156,$D130,$C$7:$C$156,"Winner",$B$7:$B$156,$B130)&gt;0),1,0)))</f>
        <v/>
      </c>
      <c r="F130" s="11">
        <f>IF(OR($A130="",NOT(ISNUMBER($B130))),"",COUNTIFS($D$7:$D$156,$D130,$B$7:$B$156,"&gt;0"))</f>
        <v/>
      </c>
      <c r="G130" s="11">
        <f>IF(OR(OR($A130="",NOT(ISNUMBER($B130))),$B$2="Not started"),"",IF($C130="Winner",Points!$B$3,ROUND(Points!$B$3*IF($F130&lt;=1,1,Points!$H$7+(1-Points!$H$7)*((($F130-$E130)*(($F130-$E130)+1)/2)^2-((($F130-$E130-$J130+1)-1)*($F130-$E130-$J130+1)/2)^2)/($J130*($F130-1)^3)),0)))</f>
        <v/>
      </c>
      <c r="H130" s="11">
        <f>IF($A130="","",IF($B$2="Final","Final",IF($B$2="In progress","Projected","Not started")))</f>
        <v/>
      </c>
      <c r="I130" s="11">
        <f>IF($A130="","",IF(COUNTIF(Players!$A$2:$A$500,$A130)=0,"Player is not on the Players tab",IF(COUNTIF($A$7:$A$156,$A130)&gt;1,"Player is listed twice",IF(NOT(ISNUMBER($B130)),"Enter a score",IF(COUNTIFS($D$7:$D$156,$D130,$C$7:$C$156,"Winner")&gt;1,"More than one "&amp;$D130&amp;" winner picked",IF(AND($C130="Winner",COUNTIFS($D$7:$D$156,$D130,$B$7:$B$156,"&lt;"&amp;$B130)&gt;0),"The winner doesn't have the best "&amp;$D130&amp;" score",IF(AND($B$2="Final",COUNTIFS($D$7:$D$156,$D130,$C$7:$C$156,"Winner")=0),"Final: pick the "&amp;$D130&amp;" winner",IF($B$2="Not started","Set Status to In progress to count points","OK"))))))))</f>
        <v/>
      </c>
      <c r="J130" s="11">
        <f>IF(OR($A130="",NOT(ISNUMBER($B130))),"",IF($C130="Winner",1,COUNTIFS($D$7:$D$156,$D130,$B$7:$B$156,$B130)-IF(AND(NOT($C130="Winner"),COUNTIFS($D$7:$D$156,$D130,$C$7:$C$156,"Winner",$B$7:$B$156,$B130)&gt;0),1,0)))</f>
        <v/>
      </c>
    </row>
    <row r="131">
      <c r="D131" s="11">
        <f>IF($A131="","",IFERROR(IF(VLOOKUP($A131,Players!$A$2:$B$500,2,FALSE)="","Open",VLOOKUP($A131,Players!$A$2:$B$500,2,FALSE)),"Open"))</f>
        <v/>
      </c>
      <c r="E131" s="11">
        <f>IF(OR($A131="",NOT(ISNUMBER($B131))),"",IF($C131="Winner",1,COUNTIFS($D$7:$D$156,$D131,$B$7:$B$156,"&lt;"&amp;$B131)+1+IF(AND(NOT($C131="Winner"),COUNTIFS($D$7:$D$156,$D131,$C$7:$C$156,"Winner",$B$7:$B$156,$B131)&gt;0),1,0)))</f>
        <v/>
      </c>
      <c r="F131" s="11">
        <f>IF(OR($A131="",NOT(ISNUMBER($B131))),"",COUNTIFS($D$7:$D$156,$D131,$B$7:$B$156,"&gt;0"))</f>
        <v/>
      </c>
      <c r="G131" s="11">
        <f>IF(OR(OR($A131="",NOT(ISNUMBER($B131))),$B$2="Not started"),"",IF($C131="Winner",Points!$B$3,ROUND(Points!$B$3*IF($F131&lt;=1,1,Points!$H$7+(1-Points!$H$7)*((($F131-$E131)*(($F131-$E131)+1)/2)^2-((($F131-$E131-$J131+1)-1)*($F131-$E131-$J131+1)/2)^2)/($J131*($F131-1)^3)),0)))</f>
        <v/>
      </c>
      <c r="H131" s="11">
        <f>IF($A131="","",IF($B$2="Final","Final",IF($B$2="In progress","Projected","Not started")))</f>
        <v/>
      </c>
      <c r="I131" s="11">
        <f>IF($A131="","",IF(COUNTIF(Players!$A$2:$A$500,$A131)=0,"Player is not on the Players tab",IF(COUNTIF($A$7:$A$156,$A131)&gt;1,"Player is listed twice",IF(NOT(ISNUMBER($B131)),"Enter a score",IF(COUNTIFS($D$7:$D$156,$D131,$C$7:$C$156,"Winner")&gt;1,"More than one "&amp;$D131&amp;" winner picked",IF(AND($C131="Winner",COUNTIFS($D$7:$D$156,$D131,$B$7:$B$156,"&lt;"&amp;$B131)&gt;0),"The winner doesn't have the best "&amp;$D131&amp;" score",IF(AND($B$2="Final",COUNTIFS($D$7:$D$156,$D131,$C$7:$C$156,"Winner")=0),"Final: pick the "&amp;$D131&amp;" winner",IF($B$2="Not started","Set Status to In progress to count points","OK"))))))))</f>
        <v/>
      </c>
      <c r="J131" s="11">
        <f>IF(OR($A131="",NOT(ISNUMBER($B131))),"",IF($C131="Winner",1,COUNTIFS($D$7:$D$156,$D131,$B$7:$B$156,$B131)-IF(AND(NOT($C131="Winner"),COUNTIFS($D$7:$D$156,$D131,$C$7:$C$156,"Winner",$B$7:$B$156,$B131)&gt;0),1,0)))</f>
        <v/>
      </c>
    </row>
    <row r="132">
      <c r="D132" s="11">
        <f>IF($A132="","",IFERROR(IF(VLOOKUP($A132,Players!$A$2:$B$500,2,FALSE)="","Open",VLOOKUP($A132,Players!$A$2:$B$500,2,FALSE)),"Open"))</f>
        <v/>
      </c>
      <c r="E132" s="11">
        <f>IF(OR($A132="",NOT(ISNUMBER($B132))),"",IF($C132="Winner",1,COUNTIFS($D$7:$D$156,$D132,$B$7:$B$156,"&lt;"&amp;$B132)+1+IF(AND(NOT($C132="Winner"),COUNTIFS($D$7:$D$156,$D132,$C$7:$C$156,"Winner",$B$7:$B$156,$B132)&gt;0),1,0)))</f>
        <v/>
      </c>
      <c r="F132" s="11">
        <f>IF(OR($A132="",NOT(ISNUMBER($B132))),"",COUNTIFS($D$7:$D$156,$D132,$B$7:$B$156,"&gt;0"))</f>
        <v/>
      </c>
      <c r="G132" s="11">
        <f>IF(OR(OR($A132="",NOT(ISNUMBER($B132))),$B$2="Not started"),"",IF($C132="Winner",Points!$B$3,ROUND(Points!$B$3*IF($F132&lt;=1,1,Points!$H$7+(1-Points!$H$7)*((($F132-$E132)*(($F132-$E132)+1)/2)^2-((($F132-$E132-$J132+1)-1)*($F132-$E132-$J132+1)/2)^2)/($J132*($F132-1)^3)),0)))</f>
        <v/>
      </c>
      <c r="H132" s="11">
        <f>IF($A132="","",IF($B$2="Final","Final",IF($B$2="In progress","Projected","Not started")))</f>
        <v/>
      </c>
      <c r="I132" s="11">
        <f>IF($A132="","",IF(COUNTIF(Players!$A$2:$A$500,$A132)=0,"Player is not on the Players tab",IF(COUNTIF($A$7:$A$156,$A132)&gt;1,"Player is listed twice",IF(NOT(ISNUMBER($B132)),"Enter a score",IF(COUNTIFS($D$7:$D$156,$D132,$C$7:$C$156,"Winner")&gt;1,"More than one "&amp;$D132&amp;" winner picked",IF(AND($C132="Winner",COUNTIFS($D$7:$D$156,$D132,$B$7:$B$156,"&lt;"&amp;$B132)&gt;0),"The winner doesn't have the best "&amp;$D132&amp;" score",IF(AND($B$2="Final",COUNTIFS($D$7:$D$156,$D132,$C$7:$C$156,"Winner")=0),"Final: pick the "&amp;$D132&amp;" winner",IF($B$2="Not started","Set Status to In progress to count points","OK"))))))))</f>
        <v/>
      </c>
      <c r="J132" s="11">
        <f>IF(OR($A132="",NOT(ISNUMBER($B132))),"",IF($C132="Winner",1,COUNTIFS($D$7:$D$156,$D132,$B$7:$B$156,$B132)-IF(AND(NOT($C132="Winner"),COUNTIFS($D$7:$D$156,$D132,$C$7:$C$156,"Winner",$B$7:$B$156,$B132)&gt;0),1,0)))</f>
        <v/>
      </c>
    </row>
    <row r="133">
      <c r="D133" s="11">
        <f>IF($A133="","",IFERROR(IF(VLOOKUP($A133,Players!$A$2:$B$500,2,FALSE)="","Open",VLOOKUP($A133,Players!$A$2:$B$500,2,FALSE)),"Open"))</f>
        <v/>
      </c>
      <c r="E133" s="11">
        <f>IF(OR($A133="",NOT(ISNUMBER($B133))),"",IF($C133="Winner",1,COUNTIFS($D$7:$D$156,$D133,$B$7:$B$156,"&lt;"&amp;$B133)+1+IF(AND(NOT($C133="Winner"),COUNTIFS($D$7:$D$156,$D133,$C$7:$C$156,"Winner",$B$7:$B$156,$B133)&gt;0),1,0)))</f>
        <v/>
      </c>
      <c r="F133" s="11">
        <f>IF(OR($A133="",NOT(ISNUMBER($B133))),"",COUNTIFS($D$7:$D$156,$D133,$B$7:$B$156,"&gt;0"))</f>
        <v/>
      </c>
      <c r="G133" s="11">
        <f>IF(OR(OR($A133="",NOT(ISNUMBER($B133))),$B$2="Not started"),"",IF($C133="Winner",Points!$B$3,ROUND(Points!$B$3*IF($F133&lt;=1,1,Points!$H$7+(1-Points!$H$7)*((($F133-$E133)*(($F133-$E133)+1)/2)^2-((($F133-$E133-$J133+1)-1)*($F133-$E133-$J133+1)/2)^2)/($J133*($F133-1)^3)),0)))</f>
        <v/>
      </c>
      <c r="H133" s="11">
        <f>IF($A133="","",IF($B$2="Final","Final",IF($B$2="In progress","Projected","Not started")))</f>
        <v/>
      </c>
      <c r="I133" s="11">
        <f>IF($A133="","",IF(COUNTIF(Players!$A$2:$A$500,$A133)=0,"Player is not on the Players tab",IF(COUNTIF($A$7:$A$156,$A133)&gt;1,"Player is listed twice",IF(NOT(ISNUMBER($B133)),"Enter a score",IF(COUNTIFS($D$7:$D$156,$D133,$C$7:$C$156,"Winner")&gt;1,"More than one "&amp;$D133&amp;" winner picked",IF(AND($C133="Winner",COUNTIFS($D$7:$D$156,$D133,$B$7:$B$156,"&lt;"&amp;$B133)&gt;0),"The winner doesn't have the best "&amp;$D133&amp;" score",IF(AND($B$2="Final",COUNTIFS($D$7:$D$156,$D133,$C$7:$C$156,"Winner")=0),"Final: pick the "&amp;$D133&amp;" winner",IF($B$2="Not started","Set Status to In progress to count points","OK"))))))))</f>
        <v/>
      </c>
      <c r="J133" s="11">
        <f>IF(OR($A133="",NOT(ISNUMBER($B133))),"",IF($C133="Winner",1,COUNTIFS($D$7:$D$156,$D133,$B$7:$B$156,$B133)-IF(AND(NOT($C133="Winner"),COUNTIFS($D$7:$D$156,$D133,$C$7:$C$156,"Winner",$B$7:$B$156,$B133)&gt;0),1,0)))</f>
        <v/>
      </c>
    </row>
    <row r="134">
      <c r="D134" s="11">
        <f>IF($A134="","",IFERROR(IF(VLOOKUP($A134,Players!$A$2:$B$500,2,FALSE)="","Open",VLOOKUP($A134,Players!$A$2:$B$500,2,FALSE)),"Open"))</f>
        <v/>
      </c>
      <c r="E134" s="11">
        <f>IF(OR($A134="",NOT(ISNUMBER($B134))),"",IF($C134="Winner",1,COUNTIFS($D$7:$D$156,$D134,$B$7:$B$156,"&lt;"&amp;$B134)+1+IF(AND(NOT($C134="Winner"),COUNTIFS($D$7:$D$156,$D134,$C$7:$C$156,"Winner",$B$7:$B$156,$B134)&gt;0),1,0)))</f>
        <v/>
      </c>
      <c r="F134" s="11">
        <f>IF(OR($A134="",NOT(ISNUMBER($B134))),"",COUNTIFS($D$7:$D$156,$D134,$B$7:$B$156,"&gt;0"))</f>
        <v/>
      </c>
      <c r="G134" s="11">
        <f>IF(OR(OR($A134="",NOT(ISNUMBER($B134))),$B$2="Not started"),"",IF($C134="Winner",Points!$B$3,ROUND(Points!$B$3*IF($F134&lt;=1,1,Points!$H$7+(1-Points!$H$7)*((($F134-$E134)*(($F134-$E134)+1)/2)^2-((($F134-$E134-$J134+1)-1)*($F134-$E134-$J134+1)/2)^2)/($J134*($F134-1)^3)),0)))</f>
        <v/>
      </c>
      <c r="H134" s="11">
        <f>IF($A134="","",IF($B$2="Final","Final",IF($B$2="In progress","Projected","Not started")))</f>
        <v/>
      </c>
      <c r="I134" s="11">
        <f>IF($A134="","",IF(COUNTIF(Players!$A$2:$A$500,$A134)=0,"Player is not on the Players tab",IF(COUNTIF($A$7:$A$156,$A134)&gt;1,"Player is listed twice",IF(NOT(ISNUMBER($B134)),"Enter a score",IF(COUNTIFS($D$7:$D$156,$D134,$C$7:$C$156,"Winner")&gt;1,"More than one "&amp;$D134&amp;" winner picked",IF(AND($C134="Winner",COUNTIFS($D$7:$D$156,$D134,$B$7:$B$156,"&lt;"&amp;$B134)&gt;0),"The winner doesn't have the best "&amp;$D134&amp;" score",IF(AND($B$2="Final",COUNTIFS($D$7:$D$156,$D134,$C$7:$C$156,"Winner")=0),"Final: pick the "&amp;$D134&amp;" winner",IF($B$2="Not started","Set Status to In progress to count points","OK"))))))))</f>
        <v/>
      </c>
      <c r="J134" s="11">
        <f>IF(OR($A134="",NOT(ISNUMBER($B134))),"",IF($C134="Winner",1,COUNTIFS($D$7:$D$156,$D134,$B$7:$B$156,$B134)-IF(AND(NOT($C134="Winner"),COUNTIFS($D$7:$D$156,$D134,$C$7:$C$156,"Winner",$B$7:$B$156,$B134)&gt;0),1,0)))</f>
        <v/>
      </c>
    </row>
    <row r="135">
      <c r="D135" s="11">
        <f>IF($A135="","",IFERROR(IF(VLOOKUP($A135,Players!$A$2:$B$500,2,FALSE)="","Open",VLOOKUP($A135,Players!$A$2:$B$500,2,FALSE)),"Open"))</f>
        <v/>
      </c>
      <c r="E135" s="11">
        <f>IF(OR($A135="",NOT(ISNUMBER($B135))),"",IF($C135="Winner",1,COUNTIFS($D$7:$D$156,$D135,$B$7:$B$156,"&lt;"&amp;$B135)+1+IF(AND(NOT($C135="Winner"),COUNTIFS($D$7:$D$156,$D135,$C$7:$C$156,"Winner",$B$7:$B$156,$B135)&gt;0),1,0)))</f>
        <v/>
      </c>
      <c r="F135" s="11">
        <f>IF(OR($A135="",NOT(ISNUMBER($B135))),"",COUNTIFS($D$7:$D$156,$D135,$B$7:$B$156,"&gt;0"))</f>
        <v/>
      </c>
      <c r="G135" s="11">
        <f>IF(OR(OR($A135="",NOT(ISNUMBER($B135))),$B$2="Not started"),"",IF($C135="Winner",Points!$B$3,ROUND(Points!$B$3*IF($F135&lt;=1,1,Points!$H$7+(1-Points!$H$7)*((($F135-$E135)*(($F135-$E135)+1)/2)^2-((($F135-$E135-$J135+1)-1)*($F135-$E135-$J135+1)/2)^2)/($J135*($F135-1)^3)),0)))</f>
        <v/>
      </c>
      <c r="H135" s="11">
        <f>IF($A135="","",IF($B$2="Final","Final",IF($B$2="In progress","Projected","Not started")))</f>
        <v/>
      </c>
      <c r="I135" s="11">
        <f>IF($A135="","",IF(COUNTIF(Players!$A$2:$A$500,$A135)=0,"Player is not on the Players tab",IF(COUNTIF($A$7:$A$156,$A135)&gt;1,"Player is listed twice",IF(NOT(ISNUMBER($B135)),"Enter a score",IF(COUNTIFS($D$7:$D$156,$D135,$C$7:$C$156,"Winner")&gt;1,"More than one "&amp;$D135&amp;" winner picked",IF(AND($C135="Winner",COUNTIFS($D$7:$D$156,$D135,$B$7:$B$156,"&lt;"&amp;$B135)&gt;0),"The winner doesn't have the best "&amp;$D135&amp;" score",IF(AND($B$2="Final",COUNTIFS($D$7:$D$156,$D135,$C$7:$C$156,"Winner")=0),"Final: pick the "&amp;$D135&amp;" winner",IF($B$2="Not started","Set Status to In progress to count points","OK"))))))))</f>
        <v/>
      </c>
      <c r="J135" s="11">
        <f>IF(OR($A135="",NOT(ISNUMBER($B135))),"",IF($C135="Winner",1,COUNTIFS($D$7:$D$156,$D135,$B$7:$B$156,$B135)-IF(AND(NOT($C135="Winner"),COUNTIFS($D$7:$D$156,$D135,$C$7:$C$156,"Winner",$B$7:$B$156,$B135)&gt;0),1,0)))</f>
        <v/>
      </c>
    </row>
    <row r="136">
      <c r="D136" s="11">
        <f>IF($A136="","",IFERROR(IF(VLOOKUP($A136,Players!$A$2:$B$500,2,FALSE)="","Open",VLOOKUP($A136,Players!$A$2:$B$500,2,FALSE)),"Open"))</f>
        <v/>
      </c>
      <c r="E136" s="11">
        <f>IF(OR($A136="",NOT(ISNUMBER($B136))),"",IF($C136="Winner",1,COUNTIFS($D$7:$D$156,$D136,$B$7:$B$156,"&lt;"&amp;$B136)+1+IF(AND(NOT($C136="Winner"),COUNTIFS($D$7:$D$156,$D136,$C$7:$C$156,"Winner",$B$7:$B$156,$B136)&gt;0),1,0)))</f>
        <v/>
      </c>
      <c r="F136" s="11">
        <f>IF(OR($A136="",NOT(ISNUMBER($B136))),"",COUNTIFS($D$7:$D$156,$D136,$B$7:$B$156,"&gt;0"))</f>
        <v/>
      </c>
      <c r="G136" s="11">
        <f>IF(OR(OR($A136="",NOT(ISNUMBER($B136))),$B$2="Not started"),"",IF($C136="Winner",Points!$B$3,ROUND(Points!$B$3*IF($F136&lt;=1,1,Points!$H$7+(1-Points!$H$7)*((($F136-$E136)*(($F136-$E136)+1)/2)^2-((($F136-$E136-$J136+1)-1)*($F136-$E136-$J136+1)/2)^2)/($J136*($F136-1)^3)),0)))</f>
        <v/>
      </c>
      <c r="H136" s="11">
        <f>IF($A136="","",IF($B$2="Final","Final",IF($B$2="In progress","Projected","Not started")))</f>
        <v/>
      </c>
      <c r="I136" s="11">
        <f>IF($A136="","",IF(COUNTIF(Players!$A$2:$A$500,$A136)=0,"Player is not on the Players tab",IF(COUNTIF($A$7:$A$156,$A136)&gt;1,"Player is listed twice",IF(NOT(ISNUMBER($B136)),"Enter a score",IF(COUNTIFS($D$7:$D$156,$D136,$C$7:$C$156,"Winner")&gt;1,"More than one "&amp;$D136&amp;" winner picked",IF(AND($C136="Winner",COUNTIFS($D$7:$D$156,$D136,$B$7:$B$156,"&lt;"&amp;$B136)&gt;0),"The winner doesn't have the best "&amp;$D136&amp;" score",IF(AND($B$2="Final",COUNTIFS($D$7:$D$156,$D136,$C$7:$C$156,"Winner")=0),"Final: pick the "&amp;$D136&amp;" winner",IF($B$2="Not started","Set Status to In progress to count points","OK"))))))))</f>
        <v/>
      </c>
      <c r="J136" s="11">
        <f>IF(OR($A136="",NOT(ISNUMBER($B136))),"",IF($C136="Winner",1,COUNTIFS($D$7:$D$156,$D136,$B$7:$B$156,$B136)-IF(AND(NOT($C136="Winner"),COUNTIFS($D$7:$D$156,$D136,$C$7:$C$156,"Winner",$B$7:$B$156,$B136)&gt;0),1,0)))</f>
        <v/>
      </c>
    </row>
    <row r="137">
      <c r="D137" s="11">
        <f>IF($A137="","",IFERROR(IF(VLOOKUP($A137,Players!$A$2:$B$500,2,FALSE)="","Open",VLOOKUP($A137,Players!$A$2:$B$500,2,FALSE)),"Open"))</f>
        <v/>
      </c>
      <c r="E137" s="11">
        <f>IF(OR($A137="",NOT(ISNUMBER($B137))),"",IF($C137="Winner",1,COUNTIFS($D$7:$D$156,$D137,$B$7:$B$156,"&lt;"&amp;$B137)+1+IF(AND(NOT($C137="Winner"),COUNTIFS($D$7:$D$156,$D137,$C$7:$C$156,"Winner",$B$7:$B$156,$B137)&gt;0),1,0)))</f>
        <v/>
      </c>
      <c r="F137" s="11">
        <f>IF(OR($A137="",NOT(ISNUMBER($B137))),"",COUNTIFS($D$7:$D$156,$D137,$B$7:$B$156,"&gt;0"))</f>
        <v/>
      </c>
      <c r="G137" s="11">
        <f>IF(OR(OR($A137="",NOT(ISNUMBER($B137))),$B$2="Not started"),"",IF($C137="Winner",Points!$B$3,ROUND(Points!$B$3*IF($F137&lt;=1,1,Points!$H$7+(1-Points!$H$7)*((($F137-$E137)*(($F137-$E137)+1)/2)^2-((($F137-$E137-$J137+1)-1)*($F137-$E137-$J137+1)/2)^2)/($J137*($F137-1)^3)),0)))</f>
        <v/>
      </c>
      <c r="H137" s="11">
        <f>IF($A137="","",IF($B$2="Final","Final",IF($B$2="In progress","Projected","Not started")))</f>
        <v/>
      </c>
      <c r="I137" s="11">
        <f>IF($A137="","",IF(COUNTIF(Players!$A$2:$A$500,$A137)=0,"Player is not on the Players tab",IF(COUNTIF($A$7:$A$156,$A137)&gt;1,"Player is listed twice",IF(NOT(ISNUMBER($B137)),"Enter a score",IF(COUNTIFS($D$7:$D$156,$D137,$C$7:$C$156,"Winner")&gt;1,"More than one "&amp;$D137&amp;" winner picked",IF(AND($C137="Winner",COUNTIFS($D$7:$D$156,$D137,$B$7:$B$156,"&lt;"&amp;$B137)&gt;0),"The winner doesn't have the best "&amp;$D137&amp;" score",IF(AND($B$2="Final",COUNTIFS($D$7:$D$156,$D137,$C$7:$C$156,"Winner")=0),"Final: pick the "&amp;$D137&amp;" winner",IF($B$2="Not started","Set Status to In progress to count points","OK"))))))))</f>
        <v/>
      </c>
      <c r="J137" s="11">
        <f>IF(OR($A137="",NOT(ISNUMBER($B137))),"",IF($C137="Winner",1,COUNTIFS($D$7:$D$156,$D137,$B$7:$B$156,$B137)-IF(AND(NOT($C137="Winner"),COUNTIFS($D$7:$D$156,$D137,$C$7:$C$156,"Winner",$B$7:$B$156,$B137)&gt;0),1,0)))</f>
        <v/>
      </c>
    </row>
    <row r="138">
      <c r="D138" s="11">
        <f>IF($A138="","",IFERROR(IF(VLOOKUP($A138,Players!$A$2:$B$500,2,FALSE)="","Open",VLOOKUP($A138,Players!$A$2:$B$500,2,FALSE)),"Open"))</f>
        <v/>
      </c>
      <c r="E138" s="11">
        <f>IF(OR($A138="",NOT(ISNUMBER($B138))),"",IF($C138="Winner",1,COUNTIFS($D$7:$D$156,$D138,$B$7:$B$156,"&lt;"&amp;$B138)+1+IF(AND(NOT($C138="Winner"),COUNTIFS($D$7:$D$156,$D138,$C$7:$C$156,"Winner",$B$7:$B$156,$B138)&gt;0),1,0)))</f>
        <v/>
      </c>
      <c r="F138" s="11">
        <f>IF(OR($A138="",NOT(ISNUMBER($B138))),"",COUNTIFS($D$7:$D$156,$D138,$B$7:$B$156,"&gt;0"))</f>
        <v/>
      </c>
      <c r="G138" s="11">
        <f>IF(OR(OR($A138="",NOT(ISNUMBER($B138))),$B$2="Not started"),"",IF($C138="Winner",Points!$B$3,ROUND(Points!$B$3*IF($F138&lt;=1,1,Points!$H$7+(1-Points!$H$7)*((($F138-$E138)*(($F138-$E138)+1)/2)^2-((($F138-$E138-$J138+1)-1)*($F138-$E138-$J138+1)/2)^2)/($J138*($F138-1)^3)),0)))</f>
        <v/>
      </c>
      <c r="H138" s="11">
        <f>IF($A138="","",IF($B$2="Final","Final",IF($B$2="In progress","Projected","Not started")))</f>
        <v/>
      </c>
      <c r="I138" s="11">
        <f>IF($A138="","",IF(COUNTIF(Players!$A$2:$A$500,$A138)=0,"Player is not on the Players tab",IF(COUNTIF($A$7:$A$156,$A138)&gt;1,"Player is listed twice",IF(NOT(ISNUMBER($B138)),"Enter a score",IF(COUNTIFS($D$7:$D$156,$D138,$C$7:$C$156,"Winner")&gt;1,"More than one "&amp;$D138&amp;" winner picked",IF(AND($C138="Winner",COUNTIFS($D$7:$D$156,$D138,$B$7:$B$156,"&lt;"&amp;$B138)&gt;0),"The winner doesn't have the best "&amp;$D138&amp;" score",IF(AND($B$2="Final",COUNTIFS($D$7:$D$156,$D138,$C$7:$C$156,"Winner")=0),"Final: pick the "&amp;$D138&amp;" winner",IF($B$2="Not started","Set Status to In progress to count points","OK"))))))))</f>
        <v/>
      </c>
      <c r="J138" s="11">
        <f>IF(OR($A138="",NOT(ISNUMBER($B138))),"",IF($C138="Winner",1,COUNTIFS($D$7:$D$156,$D138,$B$7:$B$156,$B138)-IF(AND(NOT($C138="Winner"),COUNTIFS($D$7:$D$156,$D138,$C$7:$C$156,"Winner",$B$7:$B$156,$B138)&gt;0),1,0)))</f>
        <v/>
      </c>
    </row>
    <row r="139">
      <c r="D139" s="11">
        <f>IF($A139="","",IFERROR(IF(VLOOKUP($A139,Players!$A$2:$B$500,2,FALSE)="","Open",VLOOKUP($A139,Players!$A$2:$B$500,2,FALSE)),"Open"))</f>
        <v/>
      </c>
      <c r="E139" s="11">
        <f>IF(OR($A139="",NOT(ISNUMBER($B139))),"",IF($C139="Winner",1,COUNTIFS($D$7:$D$156,$D139,$B$7:$B$156,"&lt;"&amp;$B139)+1+IF(AND(NOT($C139="Winner"),COUNTIFS($D$7:$D$156,$D139,$C$7:$C$156,"Winner",$B$7:$B$156,$B139)&gt;0),1,0)))</f>
        <v/>
      </c>
      <c r="F139" s="11">
        <f>IF(OR($A139="",NOT(ISNUMBER($B139))),"",COUNTIFS($D$7:$D$156,$D139,$B$7:$B$156,"&gt;0"))</f>
        <v/>
      </c>
      <c r="G139" s="11">
        <f>IF(OR(OR($A139="",NOT(ISNUMBER($B139))),$B$2="Not started"),"",IF($C139="Winner",Points!$B$3,ROUND(Points!$B$3*IF($F139&lt;=1,1,Points!$H$7+(1-Points!$H$7)*((($F139-$E139)*(($F139-$E139)+1)/2)^2-((($F139-$E139-$J139+1)-1)*($F139-$E139-$J139+1)/2)^2)/($J139*($F139-1)^3)),0)))</f>
        <v/>
      </c>
      <c r="H139" s="11">
        <f>IF($A139="","",IF($B$2="Final","Final",IF($B$2="In progress","Projected","Not started")))</f>
        <v/>
      </c>
      <c r="I139" s="11">
        <f>IF($A139="","",IF(COUNTIF(Players!$A$2:$A$500,$A139)=0,"Player is not on the Players tab",IF(COUNTIF($A$7:$A$156,$A139)&gt;1,"Player is listed twice",IF(NOT(ISNUMBER($B139)),"Enter a score",IF(COUNTIFS($D$7:$D$156,$D139,$C$7:$C$156,"Winner")&gt;1,"More than one "&amp;$D139&amp;" winner picked",IF(AND($C139="Winner",COUNTIFS($D$7:$D$156,$D139,$B$7:$B$156,"&lt;"&amp;$B139)&gt;0),"The winner doesn't have the best "&amp;$D139&amp;" score",IF(AND($B$2="Final",COUNTIFS($D$7:$D$156,$D139,$C$7:$C$156,"Winner")=0),"Final: pick the "&amp;$D139&amp;" winner",IF($B$2="Not started","Set Status to In progress to count points","OK"))))))))</f>
        <v/>
      </c>
      <c r="J139" s="11">
        <f>IF(OR($A139="",NOT(ISNUMBER($B139))),"",IF($C139="Winner",1,COUNTIFS($D$7:$D$156,$D139,$B$7:$B$156,$B139)-IF(AND(NOT($C139="Winner"),COUNTIFS($D$7:$D$156,$D139,$C$7:$C$156,"Winner",$B$7:$B$156,$B139)&gt;0),1,0)))</f>
        <v/>
      </c>
    </row>
    <row r="140">
      <c r="D140" s="11">
        <f>IF($A140="","",IFERROR(IF(VLOOKUP($A140,Players!$A$2:$B$500,2,FALSE)="","Open",VLOOKUP($A140,Players!$A$2:$B$500,2,FALSE)),"Open"))</f>
        <v/>
      </c>
      <c r="E140" s="11">
        <f>IF(OR($A140="",NOT(ISNUMBER($B140))),"",IF($C140="Winner",1,COUNTIFS($D$7:$D$156,$D140,$B$7:$B$156,"&lt;"&amp;$B140)+1+IF(AND(NOT($C140="Winner"),COUNTIFS($D$7:$D$156,$D140,$C$7:$C$156,"Winner",$B$7:$B$156,$B140)&gt;0),1,0)))</f>
        <v/>
      </c>
      <c r="F140" s="11">
        <f>IF(OR($A140="",NOT(ISNUMBER($B140))),"",COUNTIFS($D$7:$D$156,$D140,$B$7:$B$156,"&gt;0"))</f>
        <v/>
      </c>
      <c r="G140" s="11">
        <f>IF(OR(OR($A140="",NOT(ISNUMBER($B140))),$B$2="Not started"),"",IF($C140="Winner",Points!$B$3,ROUND(Points!$B$3*IF($F140&lt;=1,1,Points!$H$7+(1-Points!$H$7)*((($F140-$E140)*(($F140-$E140)+1)/2)^2-((($F140-$E140-$J140+1)-1)*($F140-$E140-$J140+1)/2)^2)/($J140*($F140-1)^3)),0)))</f>
        <v/>
      </c>
      <c r="H140" s="11">
        <f>IF($A140="","",IF($B$2="Final","Final",IF($B$2="In progress","Projected","Not started")))</f>
        <v/>
      </c>
      <c r="I140" s="11">
        <f>IF($A140="","",IF(COUNTIF(Players!$A$2:$A$500,$A140)=0,"Player is not on the Players tab",IF(COUNTIF($A$7:$A$156,$A140)&gt;1,"Player is listed twice",IF(NOT(ISNUMBER($B140)),"Enter a score",IF(COUNTIFS($D$7:$D$156,$D140,$C$7:$C$156,"Winner")&gt;1,"More than one "&amp;$D140&amp;" winner picked",IF(AND($C140="Winner",COUNTIFS($D$7:$D$156,$D140,$B$7:$B$156,"&lt;"&amp;$B140)&gt;0),"The winner doesn't have the best "&amp;$D140&amp;" score",IF(AND($B$2="Final",COUNTIFS($D$7:$D$156,$D140,$C$7:$C$156,"Winner")=0),"Final: pick the "&amp;$D140&amp;" winner",IF($B$2="Not started","Set Status to In progress to count points","OK"))))))))</f>
        <v/>
      </c>
      <c r="J140" s="11">
        <f>IF(OR($A140="",NOT(ISNUMBER($B140))),"",IF($C140="Winner",1,COUNTIFS($D$7:$D$156,$D140,$B$7:$B$156,$B140)-IF(AND(NOT($C140="Winner"),COUNTIFS($D$7:$D$156,$D140,$C$7:$C$156,"Winner",$B$7:$B$156,$B140)&gt;0),1,0)))</f>
        <v/>
      </c>
    </row>
    <row r="141">
      <c r="D141" s="11">
        <f>IF($A141="","",IFERROR(IF(VLOOKUP($A141,Players!$A$2:$B$500,2,FALSE)="","Open",VLOOKUP($A141,Players!$A$2:$B$500,2,FALSE)),"Open"))</f>
        <v/>
      </c>
      <c r="E141" s="11">
        <f>IF(OR($A141="",NOT(ISNUMBER($B141))),"",IF($C141="Winner",1,COUNTIFS($D$7:$D$156,$D141,$B$7:$B$156,"&lt;"&amp;$B141)+1+IF(AND(NOT($C141="Winner"),COUNTIFS($D$7:$D$156,$D141,$C$7:$C$156,"Winner",$B$7:$B$156,$B141)&gt;0),1,0)))</f>
        <v/>
      </c>
      <c r="F141" s="11">
        <f>IF(OR($A141="",NOT(ISNUMBER($B141))),"",COUNTIFS($D$7:$D$156,$D141,$B$7:$B$156,"&gt;0"))</f>
        <v/>
      </c>
      <c r="G141" s="11">
        <f>IF(OR(OR($A141="",NOT(ISNUMBER($B141))),$B$2="Not started"),"",IF($C141="Winner",Points!$B$3,ROUND(Points!$B$3*IF($F141&lt;=1,1,Points!$H$7+(1-Points!$H$7)*((($F141-$E141)*(($F141-$E141)+1)/2)^2-((($F141-$E141-$J141+1)-1)*($F141-$E141-$J141+1)/2)^2)/($J141*($F141-1)^3)),0)))</f>
        <v/>
      </c>
      <c r="H141" s="11">
        <f>IF($A141="","",IF($B$2="Final","Final",IF($B$2="In progress","Projected","Not started")))</f>
        <v/>
      </c>
      <c r="I141" s="11">
        <f>IF($A141="","",IF(COUNTIF(Players!$A$2:$A$500,$A141)=0,"Player is not on the Players tab",IF(COUNTIF($A$7:$A$156,$A141)&gt;1,"Player is listed twice",IF(NOT(ISNUMBER($B141)),"Enter a score",IF(COUNTIFS($D$7:$D$156,$D141,$C$7:$C$156,"Winner")&gt;1,"More than one "&amp;$D141&amp;" winner picked",IF(AND($C141="Winner",COUNTIFS($D$7:$D$156,$D141,$B$7:$B$156,"&lt;"&amp;$B141)&gt;0),"The winner doesn't have the best "&amp;$D141&amp;" score",IF(AND($B$2="Final",COUNTIFS($D$7:$D$156,$D141,$C$7:$C$156,"Winner")=0),"Final: pick the "&amp;$D141&amp;" winner",IF($B$2="Not started","Set Status to In progress to count points","OK"))))))))</f>
        <v/>
      </c>
      <c r="J141" s="11">
        <f>IF(OR($A141="",NOT(ISNUMBER($B141))),"",IF($C141="Winner",1,COUNTIFS($D$7:$D$156,$D141,$B$7:$B$156,$B141)-IF(AND(NOT($C141="Winner"),COUNTIFS($D$7:$D$156,$D141,$C$7:$C$156,"Winner",$B$7:$B$156,$B141)&gt;0),1,0)))</f>
        <v/>
      </c>
    </row>
    <row r="142">
      <c r="D142" s="11">
        <f>IF($A142="","",IFERROR(IF(VLOOKUP($A142,Players!$A$2:$B$500,2,FALSE)="","Open",VLOOKUP($A142,Players!$A$2:$B$500,2,FALSE)),"Open"))</f>
        <v/>
      </c>
      <c r="E142" s="11">
        <f>IF(OR($A142="",NOT(ISNUMBER($B142))),"",IF($C142="Winner",1,COUNTIFS($D$7:$D$156,$D142,$B$7:$B$156,"&lt;"&amp;$B142)+1+IF(AND(NOT($C142="Winner"),COUNTIFS($D$7:$D$156,$D142,$C$7:$C$156,"Winner",$B$7:$B$156,$B142)&gt;0),1,0)))</f>
        <v/>
      </c>
      <c r="F142" s="11">
        <f>IF(OR($A142="",NOT(ISNUMBER($B142))),"",COUNTIFS($D$7:$D$156,$D142,$B$7:$B$156,"&gt;0"))</f>
        <v/>
      </c>
      <c r="G142" s="11">
        <f>IF(OR(OR($A142="",NOT(ISNUMBER($B142))),$B$2="Not started"),"",IF($C142="Winner",Points!$B$3,ROUND(Points!$B$3*IF($F142&lt;=1,1,Points!$H$7+(1-Points!$H$7)*((($F142-$E142)*(($F142-$E142)+1)/2)^2-((($F142-$E142-$J142+1)-1)*($F142-$E142-$J142+1)/2)^2)/($J142*($F142-1)^3)),0)))</f>
        <v/>
      </c>
      <c r="H142" s="11">
        <f>IF($A142="","",IF($B$2="Final","Final",IF($B$2="In progress","Projected","Not started")))</f>
        <v/>
      </c>
      <c r="I142" s="11">
        <f>IF($A142="","",IF(COUNTIF(Players!$A$2:$A$500,$A142)=0,"Player is not on the Players tab",IF(COUNTIF($A$7:$A$156,$A142)&gt;1,"Player is listed twice",IF(NOT(ISNUMBER($B142)),"Enter a score",IF(COUNTIFS($D$7:$D$156,$D142,$C$7:$C$156,"Winner")&gt;1,"More than one "&amp;$D142&amp;" winner picked",IF(AND($C142="Winner",COUNTIFS($D$7:$D$156,$D142,$B$7:$B$156,"&lt;"&amp;$B142)&gt;0),"The winner doesn't have the best "&amp;$D142&amp;" score",IF(AND($B$2="Final",COUNTIFS($D$7:$D$156,$D142,$C$7:$C$156,"Winner")=0),"Final: pick the "&amp;$D142&amp;" winner",IF($B$2="Not started","Set Status to In progress to count points","OK"))))))))</f>
        <v/>
      </c>
      <c r="J142" s="11">
        <f>IF(OR($A142="",NOT(ISNUMBER($B142))),"",IF($C142="Winner",1,COUNTIFS($D$7:$D$156,$D142,$B$7:$B$156,$B142)-IF(AND(NOT($C142="Winner"),COUNTIFS($D$7:$D$156,$D142,$C$7:$C$156,"Winner",$B$7:$B$156,$B142)&gt;0),1,0)))</f>
        <v/>
      </c>
    </row>
    <row r="143">
      <c r="D143" s="11">
        <f>IF($A143="","",IFERROR(IF(VLOOKUP($A143,Players!$A$2:$B$500,2,FALSE)="","Open",VLOOKUP($A143,Players!$A$2:$B$500,2,FALSE)),"Open"))</f>
        <v/>
      </c>
      <c r="E143" s="11">
        <f>IF(OR($A143="",NOT(ISNUMBER($B143))),"",IF($C143="Winner",1,COUNTIFS($D$7:$D$156,$D143,$B$7:$B$156,"&lt;"&amp;$B143)+1+IF(AND(NOT($C143="Winner"),COUNTIFS($D$7:$D$156,$D143,$C$7:$C$156,"Winner",$B$7:$B$156,$B143)&gt;0),1,0)))</f>
        <v/>
      </c>
      <c r="F143" s="11">
        <f>IF(OR($A143="",NOT(ISNUMBER($B143))),"",COUNTIFS($D$7:$D$156,$D143,$B$7:$B$156,"&gt;0"))</f>
        <v/>
      </c>
      <c r="G143" s="11">
        <f>IF(OR(OR($A143="",NOT(ISNUMBER($B143))),$B$2="Not started"),"",IF($C143="Winner",Points!$B$3,ROUND(Points!$B$3*IF($F143&lt;=1,1,Points!$H$7+(1-Points!$H$7)*((($F143-$E143)*(($F143-$E143)+1)/2)^2-((($F143-$E143-$J143+1)-1)*($F143-$E143-$J143+1)/2)^2)/($J143*($F143-1)^3)),0)))</f>
        <v/>
      </c>
      <c r="H143" s="11">
        <f>IF($A143="","",IF($B$2="Final","Final",IF($B$2="In progress","Projected","Not started")))</f>
        <v/>
      </c>
      <c r="I143" s="11">
        <f>IF($A143="","",IF(COUNTIF(Players!$A$2:$A$500,$A143)=0,"Player is not on the Players tab",IF(COUNTIF($A$7:$A$156,$A143)&gt;1,"Player is listed twice",IF(NOT(ISNUMBER($B143)),"Enter a score",IF(COUNTIFS($D$7:$D$156,$D143,$C$7:$C$156,"Winner")&gt;1,"More than one "&amp;$D143&amp;" winner picked",IF(AND($C143="Winner",COUNTIFS($D$7:$D$156,$D143,$B$7:$B$156,"&lt;"&amp;$B143)&gt;0),"The winner doesn't have the best "&amp;$D143&amp;" score",IF(AND($B$2="Final",COUNTIFS($D$7:$D$156,$D143,$C$7:$C$156,"Winner")=0),"Final: pick the "&amp;$D143&amp;" winner",IF($B$2="Not started","Set Status to In progress to count points","OK"))))))))</f>
        <v/>
      </c>
      <c r="J143" s="11">
        <f>IF(OR($A143="",NOT(ISNUMBER($B143))),"",IF($C143="Winner",1,COUNTIFS($D$7:$D$156,$D143,$B$7:$B$156,$B143)-IF(AND(NOT($C143="Winner"),COUNTIFS($D$7:$D$156,$D143,$C$7:$C$156,"Winner",$B$7:$B$156,$B143)&gt;0),1,0)))</f>
        <v/>
      </c>
    </row>
    <row r="144">
      <c r="D144" s="11">
        <f>IF($A144="","",IFERROR(IF(VLOOKUP($A144,Players!$A$2:$B$500,2,FALSE)="","Open",VLOOKUP($A144,Players!$A$2:$B$500,2,FALSE)),"Open"))</f>
        <v/>
      </c>
      <c r="E144" s="11">
        <f>IF(OR($A144="",NOT(ISNUMBER($B144))),"",IF($C144="Winner",1,COUNTIFS($D$7:$D$156,$D144,$B$7:$B$156,"&lt;"&amp;$B144)+1+IF(AND(NOT($C144="Winner"),COUNTIFS($D$7:$D$156,$D144,$C$7:$C$156,"Winner",$B$7:$B$156,$B144)&gt;0),1,0)))</f>
        <v/>
      </c>
      <c r="F144" s="11">
        <f>IF(OR($A144="",NOT(ISNUMBER($B144))),"",COUNTIFS($D$7:$D$156,$D144,$B$7:$B$156,"&gt;0"))</f>
        <v/>
      </c>
      <c r="G144" s="11">
        <f>IF(OR(OR($A144="",NOT(ISNUMBER($B144))),$B$2="Not started"),"",IF($C144="Winner",Points!$B$3,ROUND(Points!$B$3*IF($F144&lt;=1,1,Points!$H$7+(1-Points!$H$7)*((($F144-$E144)*(($F144-$E144)+1)/2)^2-((($F144-$E144-$J144+1)-1)*($F144-$E144-$J144+1)/2)^2)/($J144*($F144-1)^3)),0)))</f>
        <v/>
      </c>
      <c r="H144" s="11">
        <f>IF($A144="","",IF($B$2="Final","Final",IF($B$2="In progress","Projected","Not started")))</f>
        <v/>
      </c>
      <c r="I144" s="11">
        <f>IF($A144="","",IF(COUNTIF(Players!$A$2:$A$500,$A144)=0,"Player is not on the Players tab",IF(COUNTIF($A$7:$A$156,$A144)&gt;1,"Player is listed twice",IF(NOT(ISNUMBER($B144)),"Enter a score",IF(COUNTIFS($D$7:$D$156,$D144,$C$7:$C$156,"Winner")&gt;1,"More than one "&amp;$D144&amp;" winner picked",IF(AND($C144="Winner",COUNTIFS($D$7:$D$156,$D144,$B$7:$B$156,"&lt;"&amp;$B144)&gt;0),"The winner doesn't have the best "&amp;$D144&amp;" score",IF(AND($B$2="Final",COUNTIFS($D$7:$D$156,$D144,$C$7:$C$156,"Winner")=0),"Final: pick the "&amp;$D144&amp;" winner",IF($B$2="Not started","Set Status to In progress to count points","OK"))))))))</f>
        <v/>
      </c>
      <c r="J144" s="11">
        <f>IF(OR($A144="",NOT(ISNUMBER($B144))),"",IF($C144="Winner",1,COUNTIFS($D$7:$D$156,$D144,$B$7:$B$156,$B144)-IF(AND(NOT($C144="Winner"),COUNTIFS($D$7:$D$156,$D144,$C$7:$C$156,"Winner",$B$7:$B$156,$B144)&gt;0),1,0)))</f>
        <v/>
      </c>
    </row>
    <row r="145">
      <c r="D145" s="11">
        <f>IF($A145="","",IFERROR(IF(VLOOKUP($A145,Players!$A$2:$B$500,2,FALSE)="","Open",VLOOKUP($A145,Players!$A$2:$B$500,2,FALSE)),"Open"))</f>
        <v/>
      </c>
      <c r="E145" s="11">
        <f>IF(OR($A145="",NOT(ISNUMBER($B145))),"",IF($C145="Winner",1,COUNTIFS($D$7:$D$156,$D145,$B$7:$B$156,"&lt;"&amp;$B145)+1+IF(AND(NOT($C145="Winner"),COUNTIFS($D$7:$D$156,$D145,$C$7:$C$156,"Winner",$B$7:$B$156,$B145)&gt;0),1,0)))</f>
        <v/>
      </c>
      <c r="F145" s="11">
        <f>IF(OR($A145="",NOT(ISNUMBER($B145))),"",COUNTIFS($D$7:$D$156,$D145,$B$7:$B$156,"&gt;0"))</f>
        <v/>
      </c>
      <c r="G145" s="11">
        <f>IF(OR(OR($A145="",NOT(ISNUMBER($B145))),$B$2="Not started"),"",IF($C145="Winner",Points!$B$3,ROUND(Points!$B$3*IF($F145&lt;=1,1,Points!$H$7+(1-Points!$H$7)*((($F145-$E145)*(($F145-$E145)+1)/2)^2-((($F145-$E145-$J145+1)-1)*($F145-$E145-$J145+1)/2)^2)/($J145*($F145-1)^3)),0)))</f>
        <v/>
      </c>
      <c r="H145" s="11">
        <f>IF($A145="","",IF($B$2="Final","Final",IF($B$2="In progress","Projected","Not started")))</f>
        <v/>
      </c>
      <c r="I145" s="11">
        <f>IF($A145="","",IF(COUNTIF(Players!$A$2:$A$500,$A145)=0,"Player is not on the Players tab",IF(COUNTIF($A$7:$A$156,$A145)&gt;1,"Player is listed twice",IF(NOT(ISNUMBER($B145)),"Enter a score",IF(COUNTIFS($D$7:$D$156,$D145,$C$7:$C$156,"Winner")&gt;1,"More than one "&amp;$D145&amp;" winner picked",IF(AND($C145="Winner",COUNTIFS($D$7:$D$156,$D145,$B$7:$B$156,"&lt;"&amp;$B145)&gt;0),"The winner doesn't have the best "&amp;$D145&amp;" score",IF(AND($B$2="Final",COUNTIFS($D$7:$D$156,$D145,$C$7:$C$156,"Winner")=0),"Final: pick the "&amp;$D145&amp;" winner",IF($B$2="Not started","Set Status to In progress to count points","OK"))))))))</f>
        <v/>
      </c>
      <c r="J145" s="11">
        <f>IF(OR($A145="",NOT(ISNUMBER($B145))),"",IF($C145="Winner",1,COUNTIFS($D$7:$D$156,$D145,$B$7:$B$156,$B145)-IF(AND(NOT($C145="Winner"),COUNTIFS($D$7:$D$156,$D145,$C$7:$C$156,"Winner",$B$7:$B$156,$B145)&gt;0),1,0)))</f>
        <v/>
      </c>
    </row>
    <row r="146">
      <c r="D146" s="11">
        <f>IF($A146="","",IFERROR(IF(VLOOKUP($A146,Players!$A$2:$B$500,2,FALSE)="","Open",VLOOKUP($A146,Players!$A$2:$B$500,2,FALSE)),"Open"))</f>
        <v/>
      </c>
      <c r="E146" s="11">
        <f>IF(OR($A146="",NOT(ISNUMBER($B146))),"",IF($C146="Winner",1,COUNTIFS($D$7:$D$156,$D146,$B$7:$B$156,"&lt;"&amp;$B146)+1+IF(AND(NOT($C146="Winner"),COUNTIFS($D$7:$D$156,$D146,$C$7:$C$156,"Winner",$B$7:$B$156,$B146)&gt;0),1,0)))</f>
        <v/>
      </c>
      <c r="F146" s="11">
        <f>IF(OR($A146="",NOT(ISNUMBER($B146))),"",COUNTIFS($D$7:$D$156,$D146,$B$7:$B$156,"&gt;0"))</f>
        <v/>
      </c>
      <c r="G146" s="11">
        <f>IF(OR(OR($A146="",NOT(ISNUMBER($B146))),$B$2="Not started"),"",IF($C146="Winner",Points!$B$3,ROUND(Points!$B$3*IF($F146&lt;=1,1,Points!$H$7+(1-Points!$H$7)*((($F146-$E146)*(($F146-$E146)+1)/2)^2-((($F146-$E146-$J146+1)-1)*($F146-$E146-$J146+1)/2)^2)/($J146*($F146-1)^3)),0)))</f>
        <v/>
      </c>
      <c r="H146" s="11">
        <f>IF($A146="","",IF($B$2="Final","Final",IF($B$2="In progress","Projected","Not started")))</f>
        <v/>
      </c>
      <c r="I146" s="11">
        <f>IF($A146="","",IF(COUNTIF(Players!$A$2:$A$500,$A146)=0,"Player is not on the Players tab",IF(COUNTIF($A$7:$A$156,$A146)&gt;1,"Player is listed twice",IF(NOT(ISNUMBER($B146)),"Enter a score",IF(COUNTIFS($D$7:$D$156,$D146,$C$7:$C$156,"Winner")&gt;1,"More than one "&amp;$D146&amp;" winner picked",IF(AND($C146="Winner",COUNTIFS($D$7:$D$156,$D146,$B$7:$B$156,"&lt;"&amp;$B146)&gt;0),"The winner doesn't have the best "&amp;$D146&amp;" score",IF(AND($B$2="Final",COUNTIFS($D$7:$D$156,$D146,$C$7:$C$156,"Winner")=0),"Final: pick the "&amp;$D146&amp;" winner",IF($B$2="Not started","Set Status to In progress to count points","OK"))))))))</f>
        <v/>
      </c>
      <c r="J146" s="11">
        <f>IF(OR($A146="",NOT(ISNUMBER($B146))),"",IF($C146="Winner",1,COUNTIFS($D$7:$D$156,$D146,$B$7:$B$156,$B146)-IF(AND(NOT($C146="Winner"),COUNTIFS($D$7:$D$156,$D146,$C$7:$C$156,"Winner",$B$7:$B$156,$B146)&gt;0),1,0)))</f>
        <v/>
      </c>
    </row>
    <row r="147">
      <c r="D147" s="11">
        <f>IF($A147="","",IFERROR(IF(VLOOKUP($A147,Players!$A$2:$B$500,2,FALSE)="","Open",VLOOKUP($A147,Players!$A$2:$B$500,2,FALSE)),"Open"))</f>
        <v/>
      </c>
      <c r="E147" s="11">
        <f>IF(OR($A147="",NOT(ISNUMBER($B147))),"",IF($C147="Winner",1,COUNTIFS($D$7:$D$156,$D147,$B$7:$B$156,"&lt;"&amp;$B147)+1+IF(AND(NOT($C147="Winner"),COUNTIFS($D$7:$D$156,$D147,$C$7:$C$156,"Winner",$B$7:$B$156,$B147)&gt;0),1,0)))</f>
        <v/>
      </c>
      <c r="F147" s="11">
        <f>IF(OR($A147="",NOT(ISNUMBER($B147))),"",COUNTIFS($D$7:$D$156,$D147,$B$7:$B$156,"&gt;0"))</f>
        <v/>
      </c>
      <c r="G147" s="11">
        <f>IF(OR(OR($A147="",NOT(ISNUMBER($B147))),$B$2="Not started"),"",IF($C147="Winner",Points!$B$3,ROUND(Points!$B$3*IF($F147&lt;=1,1,Points!$H$7+(1-Points!$H$7)*((($F147-$E147)*(($F147-$E147)+1)/2)^2-((($F147-$E147-$J147+1)-1)*($F147-$E147-$J147+1)/2)^2)/($J147*($F147-1)^3)),0)))</f>
        <v/>
      </c>
      <c r="H147" s="11">
        <f>IF($A147="","",IF($B$2="Final","Final",IF($B$2="In progress","Projected","Not started")))</f>
        <v/>
      </c>
      <c r="I147" s="11">
        <f>IF($A147="","",IF(COUNTIF(Players!$A$2:$A$500,$A147)=0,"Player is not on the Players tab",IF(COUNTIF($A$7:$A$156,$A147)&gt;1,"Player is listed twice",IF(NOT(ISNUMBER($B147)),"Enter a score",IF(COUNTIFS($D$7:$D$156,$D147,$C$7:$C$156,"Winner")&gt;1,"More than one "&amp;$D147&amp;" winner picked",IF(AND($C147="Winner",COUNTIFS($D$7:$D$156,$D147,$B$7:$B$156,"&lt;"&amp;$B147)&gt;0),"The winner doesn't have the best "&amp;$D147&amp;" score",IF(AND($B$2="Final",COUNTIFS($D$7:$D$156,$D147,$C$7:$C$156,"Winner")=0),"Final: pick the "&amp;$D147&amp;" winner",IF($B$2="Not started","Set Status to In progress to count points","OK"))))))))</f>
        <v/>
      </c>
      <c r="J147" s="11">
        <f>IF(OR($A147="",NOT(ISNUMBER($B147))),"",IF($C147="Winner",1,COUNTIFS($D$7:$D$156,$D147,$B$7:$B$156,$B147)-IF(AND(NOT($C147="Winner"),COUNTIFS($D$7:$D$156,$D147,$C$7:$C$156,"Winner",$B$7:$B$156,$B147)&gt;0),1,0)))</f>
        <v/>
      </c>
    </row>
    <row r="148">
      <c r="D148" s="11">
        <f>IF($A148="","",IFERROR(IF(VLOOKUP($A148,Players!$A$2:$B$500,2,FALSE)="","Open",VLOOKUP($A148,Players!$A$2:$B$500,2,FALSE)),"Open"))</f>
        <v/>
      </c>
      <c r="E148" s="11">
        <f>IF(OR($A148="",NOT(ISNUMBER($B148))),"",IF($C148="Winner",1,COUNTIFS($D$7:$D$156,$D148,$B$7:$B$156,"&lt;"&amp;$B148)+1+IF(AND(NOT($C148="Winner"),COUNTIFS($D$7:$D$156,$D148,$C$7:$C$156,"Winner",$B$7:$B$156,$B148)&gt;0),1,0)))</f>
        <v/>
      </c>
      <c r="F148" s="11">
        <f>IF(OR($A148="",NOT(ISNUMBER($B148))),"",COUNTIFS($D$7:$D$156,$D148,$B$7:$B$156,"&gt;0"))</f>
        <v/>
      </c>
      <c r="G148" s="11">
        <f>IF(OR(OR($A148="",NOT(ISNUMBER($B148))),$B$2="Not started"),"",IF($C148="Winner",Points!$B$3,ROUND(Points!$B$3*IF($F148&lt;=1,1,Points!$H$7+(1-Points!$H$7)*((($F148-$E148)*(($F148-$E148)+1)/2)^2-((($F148-$E148-$J148+1)-1)*($F148-$E148-$J148+1)/2)^2)/($J148*($F148-1)^3)),0)))</f>
        <v/>
      </c>
      <c r="H148" s="11">
        <f>IF($A148="","",IF($B$2="Final","Final",IF($B$2="In progress","Projected","Not started")))</f>
        <v/>
      </c>
      <c r="I148" s="11">
        <f>IF($A148="","",IF(COUNTIF(Players!$A$2:$A$500,$A148)=0,"Player is not on the Players tab",IF(COUNTIF($A$7:$A$156,$A148)&gt;1,"Player is listed twice",IF(NOT(ISNUMBER($B148)),"Enter a score",IF(COUNTIFS($D$7:$D$156,$D148,$C$7:$C$156,"Winner")&gt;1,"More than one "&amp;$D148&amp;" winner picked",IF(AND($C148="Winner",COUNTIFS($D$7:$D$156,$D148,$B$7:$B$156,"&lt;"&amp;$B148)&gt;0),"The winner doesn't have the best "&amp;$D148&amp;" score",IF(AND($B$2="Final",COUNTIFS($D$7:$D$156,$D148,$C$7:$C$156,"Winner")=0),"Final: pick the "&amp;$D148&amp;" winner",IF($B$2="Not started","Set Status to In progress to count points","OK"))))))))</f>
        <v/>
      </c>
      <c r="J148" s="11">
        <f>IF(OR($A148="",NOT(ISNUMBER($B148))),"",IF($C148="Winner",1,COUNTIFS($D$7:$D$156,$D148,$B$7:$B$156,$B148)-IF(AND(NOT($C148="Winner"),COUNTIFS($D$7:$D$156,$D148,$C$7:$C$156,"Winner",$B$7:$B$156,$B148)&gt;0),1,0)))</f>
        <v/>
      </c>
    </row>
    <row r="149">
      <c r="D149" s="11">
        <f>IF($A149="","",IFERROR(IF(VLOOKUP($A149,Players!$A$2:$B$500,2,FALSE)="","Open",VLOOKUP($A149,Players!$A$2:$B$500,2,FALSE)),"Open"))</f>
        <v/>
      </c>
      <c r="E149" s="11">
        <f>IF(OR($A149="",NOT(ISNUMBER($B149))),"",IF($C149="Winner",1,COUNTIFS($D$7:$D$156,$D149,$B$7:$B$156,"&lt;"&amp;$B149)+1+IF(AND(NOT($C149="Winner"),COUNTIFS($D$7:$D$156,$D149,$C$7:$C$156,"Winner",$B$7:$B$156,$B149)&gt;0),1,0)))</f>
        <v/>
      </c>
      <c r="F149" s="11">
        <f>IF(OR($A149="",NOT(ISNUMBER($B149))),"",COUNTIFS($D$7:$D$156,$D149,$B$7:$B$156,"&gt;0"))</f>
        <v/>
      </c>
      <c r="G149" s="11">
        <f>IF(OR(OR($A149="",NOT(ISNUMBER($B149))),$B$2="Not started"),"",IF($C149="Winner",Points!$B$3,ROUND(Points!$B$3*IF($F149&lt;=1,1,Points!$H$7+(1-Points!$H$7)*((($F149-$E149)*(($F149-$E149)+1)/2)^2-((($F149-$E149-$J149+1)-1)*($F149-$E149-$J149+1)/2)^2)/($J149*($F149-1)^3)),0)))</f>
        <v/>
      </c>
      <c r="H149" s="11">
        <f>IF($A149="","",IF($B$2="Final","Final",IF($B$2="In progress","Projected","Not started")))</f>
        <v/>
      </c>
      <c r="I149" s="11">
        <f>IF($A149="","",IF(COUNTIF(Players!$A$2:$A$500,$A149)=0,"Player is not on the Players tab",IF(COUNTIF($A$7:$A$156,$A149)&gt;1,"Player is listed twice",IF(NOT(ISNUMBER($B149)),"Enter a score",IF(COUNTIFS($D$7:$D$156,$D149,$C$7:$C$156,"Winner")&gt;1,"More than one "&amp;$D149&amp;" winner picked",IF(AND($C149="Winner",COUNTIFS($D$7:$D$156,$D149,$B$7:$B$156,"&lt;"&amp;$B149)&gt;0),"The winner doesn't have the best "&amp;$D149&amp;" score",IF(AND($B$2="Final",COUNTIFS($D$7:$D$156,$D149,$C$7:$C$156,"Winner")=0),"Final: pick the "&amp;$D149&amp;" winner",IF($B$2="Not started","Set Status to In progress to count points","OK"))))))))</f>
        <v/>
      </c>
      <c r="J149" s="11">
        <f>IF(OR($A149="",NOT(ISNUMBER($B149))),"",IF($C149="Winner",1,COUNTIFS($D$7:$D$156,$D149,$B$7:$B$156,$B149)-IF(AND(NOT($C149="Winner"),COUNTIFS($D$7:$D$156,$D149,$C$7:$C$156,"Winner",$B$7:$B$156,$B149)&gt;0),1,0)))</f>
        <v/>
      </c>
    </row>
    <row r="150">
      <c r="D150" s="11">
        <f>IF($A150="","",IFERROR(IF(VLOOKUP($A150,Players!$A$2:$B$500,2,FALSE)="","Open",VLOOKUP($A150,Players!$A$2:$B$500,2,FALSE)),"Open"))</f>
        <v/>
      </c>
      <c r="E150" s="11">
        <f>IF(OR($A150="",NOT(ISNUMBER($B150))),"",IF($C150="Winner",1,COUNTIFS($D$7:$D$156,$D150,$B$7:$B$156,"&lt;"&amp;$B150)+1+IF(AND(NOT($C150="Winner"),COUNTIFS($D$7:$D$156,$D150,$C$7:$C$156,"Winner",$B$7:$B$156,$B150)&gt;0),1,0)))</f>
        <v/>
      </c>
      <c r="F150" s="11">
        <f>IF(OR($A150="",NOT(ISNUMBER($B150))),"",COUNTIFS($D$7:$D$156,$D150,$B$7:$B$156,"&gt;0"))</f>
        <v/>
      </c>
      <c r="G150" s="11">
        <f>IF(OR(OR($A150="",NOT(ISNUMBER($B150))),$B$2="Not started"),"",IF($C150="Winner",Points!$B$3,ROUND(Points!$B$3*IF($F150&lt;=1,1,Points!$H$7+(1-Points!$H$7)*((($F150-$E150)*(($F150-$E150)+1)/2)^2-((($F150-$E150-$J150+1)-1)*($F150-$E150-$J150+1)/2)^2)/($J150*($F150-1)^3)),0)))</f>
        <v/>
      </c>
      <c r="H150" s="11">
        <f>IF($A150="","",IF($B$2="Final","Final",IF($B$2="In progress","Projected","Not started")))</f>
        <v/>
      </c>
      <c r="I150" s="11">
        <f>IF($A150="","",IF(COUNTIF(Players!$A$2:$A$500,$A150)=0,"Player is not on the Players tab",IF(COUNTIF($A$7:$A$156,$A150)&gt;1,"Player is listed twice",IF(NOT(ISNUMBER($B150)),"Enter a score",IF(COUNTIFS($D$7:$D$156,$D150,$C$7:$C$156,"Winner")&gt;1,"More than one "&amp;$D150&amp;" winner picked",IF(AND($C150="Winner",COUNTIFS($D$7:$D$156,$D150,$B$7:$B$156,"&lt;"&amp;$B150)&gt;0),"The winner doesn't have the best "&amp;$D150&amp;" score",IF(AND($B$2="Final",COUNTIFS($D$7:$D$156,$D150,$C$7:$C$156,"Winner")=0),"Final: pick the "&amp;$D150&amp;" winner",IF($B$2="Not started","Set Status to In progress to count points","OK"))))))))</f>
        <v/>
      </c>
      <c r="J150" s="11">
        <f>IF(OR($A150="",NOT(ISNUMBER($B150))),"",IF($C150="Winner",1,COUNTIFS($D$7:$D$156,$D150,$B$7:$B$156,$B150)-IF(AND(NOT($C150="Winner"),COUNTIFS($D$7:$D$156,$D150,$C$7:$C$156,"Winner",$B$7:$B$156,$B150)&gt;0),1,0)))</f>
        <v/>
      </c>
    </row>
    <row r="151">
      <c r="D151" s="11">
        <f>IF($A151="","",IFERROR(IF(VLOOKUP($A151,Players!$A$2:$B$500,2,FALSE)="","Open",VLOOKUP($A151,Players!$A$2:$B$500,2,FALSE)),"Open"))</f>
        <v/>
      </c>
      <c r="E151" s="11">
        <f>IF(OR($A151="",NOT(ISNUMBER($B151))),"",IF($C151="Winner",1,COUNTIFS($D$7:$D$156,$D151,$B$7:$B$156,"&lt;"&amp;$B151)+1+IF(AND(NOT($C151="Winner"),COUNTIFS($D$7:$D$156,$D151,$C$7:$C$156,"Winner",$B$7:$B$156,$B151)&gt;0),1,0)))</f>
        <v/>
      </c>
      <c r="F151" s="11">
        <f>IF(OR($A151="",NOT(ISNUMBER($B151))),"",COUNTIFS($D$7:$D$156,$D151,$B$7:$B$156,"&gt;0"))</f>
        <v/>
      </c>
      <c r="G151" s="11">
        <f>IF(OR(OR($A151="",NOT(ISNUMBER($B151))),$B$2="Not started"),"",IF($C151="Winner",Points!$B$3,ROUND(Points!$B$3*IF($F151&lt;=1,1,Points!$H$7+(1-Points!$H$7)*((($F151-$E151)*(($F151-$E151)+1)/2)^2-((($F151-$E151-$J151+1)-1)*($F151-$E151-$J151+1)/2)^2)/($J151*($F151-1)^3)),0)))</f>
        <v/>
      </c>
      <c r="H151" s="11">
        <f>IF($A151="","",IF($B$2="Final","Final",IF($B$2="In progress","Projected","Not started")))</f>
        <v/>
      </c>
      <c r="I151" s="11">
        <f>IF($A151="","",IF(COUNTIF(Players!$A$2:$A$500,$A151)=0,"Player is not on the Players tab",IF(COUNTIF($A$7:$A$156,$A151)&gt;1,"Player is listed twice",IF(NOT(ISNUMBER($B151)),"Enter a score",IF(COUNTIFS($D$7:$D$156,$D151,$C$7:$C$156,"Winner")&gt;1,"More than one "&amp;$D151&amp;" winner picked",IF(AND($C151="Winner",COUNTIFS($D$7:$D$156,$D151,$B$7:$B$156,"&lt;"&amp;$B151)&gt;0),"The winner doesn't have the best "&amp;$D151&amp;" score",IF(AND($B$2="Final",COUNTIFS($D$7:$D$156,$D151,$C$7:$C$156,"Winner")=0),"Final: pick the "&amp;$D151&amp;" winner",IF($B$2="Not started","Set Status to In progress to count points","OK"))))))))</f>
        <v/>
      </c>
      <c r="J151" s="11">
        <f>IF(OR($A151="",NOT(ISNUMBER($B151))),"",IF($C151="Winner",1,COUNTIFS($D$7:$D$156,$D151,$B$7:$B$156,$B151)-IF(AND(NOT($C151="Winner"),COUNTIFS($D$7:$D$156,$D151,$C$7:$C$156,"Winner",$B$7:$B$156,$B151)&gt;0),1,0)))</f>
        <v/>
      </c>
    </row>
    <row r="152">
      <c r="D152" s="11">
        <f>IF($A152="","",IFERROR(IF(VLOOKUP($A152,Players!$A$2:$B$500,2,FALSE)="","Open",VLOOKUP($A152,Players!$A$2:$B$500,2,FALSE)),"Open"))</f>
        <v/>
      </c>
      <c r="E152" s="11">
        <f>IF(OR($A152="",NOT(ISNUMBER($B152))),"",IF($C152="Winner",1,COUNTIFS($D$7:$D$156,$D152,$B$7:$B$156,"&lt;"&amp;$B152)+1+IF(AND(NOT($C152="Winner"),COUNTIFS($D$7:$D$156,$D152,$C$7:$C$156,"Winner",$B$7:$B$156,$B152)&gt;0),1,0)))</f>
        <v/>
      </c>
      <c r="F152" s="11">
        <f>IF(OR($A152="",NOT(ISNUMBER($B152))),"",COUNTIFS($D$7:$D$156,$D152,$B$7:$B$156,"&gt;0"))</f>
        <v/>
      </c>
      <c r="G152" s="11">
        <f>IF(OR(OR($A152="",NOT(ISNUMBER($B152))),$B$2="Not started"),"",IF($C152="Winner",Points!$B$3,ROUND(Points!$B$3*IF($F152&lt;=1,1,Points!$H$7+(1-Points!$H$7)*((($F152-$E152)*(($F152-$E152)+1)/2)^2-((($F152-$E152-$J152+1)-1)*($F152-$E152-$J152+1)/2)^2)/($J152*($F152-1)^3)),0)))</f>
        <v/>
      </c>
      <c r="H152" s="11">
        <f>IF($A152="","",IF($B$2="Final","Final",IF($B$2="In progress","Projected","Not started")))</f>
        <v/>
      </c>
      <c r="I152" s="11">
        <f>IF($A152="","",IF(COUNTIF(Players!$A$2:$A$500,$A152)=0,"Player is not on the Players tab",IF(COUNTIF($A$7:$A$156,$A152)&gt;1,"Player is listed twice",IF(NOT(ISNUMBER($B152)),"Enter a score",IF(COUNTIFS($D$7:$D$156,$D152,$C$7:$C$156,"Winner")&gt;1,"More than one "&amp;$D152&amp;" winner picked",IF(AND($C152="Winner",COUNTIFS($D$7:$D$156,$D152,$B$7:$B$156,"&lt;"&amp;$B152)&gt;0),"The winner doesn't have the best "&amp;$D152&amp;" score",IF(AND($B$2="Final",COUNTIFS($D$7:$D$156,$D152,$C$7:$C$156,"Winner")=0),"Final: pick the "&amp;$D152&amp;" winner",IF($B$2="Not started","Set Status to In progress to count points","OK"))))))))</f>
        <v/>
      </c>
      <c r="J152" s="11">
        <f>IF(OR($A152="",NOT(ISNUMBER($B152))),"",IF($C152="Winner",1,COUNTIFS($D$7:$D$156,$D152,$B$7:$B$156,$B152)-IF(AND(NOT($C152="Winner"),COUNTIFS($D$7:$D$156,$D152,$C$7:$C$156,"Winner",$B$7:$B$156,$B152)&gt;0),1,0)))</f>
        <v/>
      </c>
    </row>
    <row r="153">
      <c r="D153" s="11">
        <f>IF($A153="","",IFERROR(IF(VLOOKUP($A153,Players!$A$2:$B$500,2,FALSE)="","Open",VLOOKUP($A153,Players!$A$2:$B$500,2,FALSE)),"Open"))</f>
        <v/>
      </c>
      <c r="E153" s="11">
        <f>IF(OR($A153="",NOT(ISNUMBER($B153))),"",IF($C153="Winner",1,COUNTIFS($D$7:$D$156,$D153,$B$7:$B$156,"&lt;"&amp;$B153)+1+IF(AND(NOT($C153="Winner"),COUNTIFS($D$7:$D$156,$D153,$C$7:$C$156,"Winner",$B$7:$B$156,$B153)&gt;0),1,0)))</f>
        <v/>
      </c>
      <c r="F153" s="11">
        <f>IF(OR($A153="",NOT(ISNUMBER($B153))),"",COUNTIFS($D$7:$D$156,$D153,$B$7:$B$156,"&gt;0"))</f>
        <v/>
      </c>
      <c r="G153" s="11">
        <f>IF(OR(OR($A153="",NOT(ISNUMBER($B153))),$B$2="Not started"),"",IF($C153="Winner",Points!$B$3,ROUND(Points!$B$3*IF($F153&lt;=1,1,Points!$H$7+(1-Points!$H$7)*((($F153-$E153)*(($F153-$E153)+1)/2)^2-((($F153-$E153-$J153+1)-1)*($F153-$E153-$J153+1)/2)^2)/($J153*($F153-1)^3)),0)))</f>
        <v/>
      </c>
      <c r="H153" s="11">
        <f>IF($A153="","",IF($B$2="Final","Final",IF($B$2="In progress","Projected","Not started")))</f>
        <v/>
      </c>
      <c r="I153" s="11">
        <f>IF($A153="","",IF(COUNTIF(Players!$A$2:$A$500,$A153)=0,"Player is not on the Players tab",IF(COUNTIF($A$7:$A$156,$A153)&gt;1,"Player is listed twice",IF(NOT(ISNUMBER($B153)),"Enter a score",IF(COUNTIFS($D$7:$D$156,$D153,$C$7:$C$156,"Winner")&gt;1,"More than one "&amp;$D153&amp;" winner picked",IF(AND($C153="Winner",COUNTIFS($D$7:$D$156,$D153,$B$7:$B$156,"&lt;"&amp;$B153)&gt;0),"The winner doesn't have the best "&amp;$D153&amp;" score",IF(AND($B$2="Final",COUNTIFS($D$7:$D$156,$D153,$C$7:$C$156,"Winner")=0),"Final: pick the "&amp;$D153&amp;" winner",IF($B$2="Not started","Set Status to In progress to count points","OK"))))))))</f>
        <v/>
      </c>
      <c r="J153" s="11">
        <f>IF(OR($A153="",NOT(ISNUMBER($B153))),"",IF($C153="Winner",1,COUNTIFS($D$7:$D$156,$D153,$B$7:$B$156,$B153)-IF(AND(NOT($C153="Winner"),COUNTIFS($D$7:$D$156,$D153,$C$7:$C$156,"Winner",$B$7:$B$156,$B153)&gt;0),1,0)))</f>
        <v/>
      </c>
    </row>
    <row r="154">
      <c r="D154" s="11">
        <f>IF($A154="","",IFERROR(IF(VLOOKUP($A154,Players!$A$2:$B$500,2,FALSE)="","Open",VLOOKUP($A154,Players!$A$2:$B$500,2,FALSE)),"Open"))</f>
        <v/>
      </c>
      <c r="E154" s="11">
        <f>IF(OR($A154="",NOT(ISNUMBER($B154))),"",IF($C154="Winner",1,COUNTIFS($D$7:$D$156,$D154,$B$7:$B$156,"&lt;"&amp;$B154)+1+IF(AND(NOT($C154="Winner"),COUNTIFS($D$7:$D$156,$D154,$C$7:$C$156,"Winner",$B$7:$B$156,$B154)&gt;0),1,0)))</f>
        <v/>
      </c>
      <c r="F154" s="11">
        <f>IF(OR($A154="",NOT(ISNUMBER($B154))),"",COUNTIFS($D$7:$D$156,$D154,$B$7:$B$156,"&gt;0"))</f>
        <v/>
      </c>
      <c r="G154" s="11">
        <f>IF(OR(OR($A154="",NOT(ISNUMBER($B154))),$B$2="Not started"),"",IF($C154="Winner",Points!$B$3,ROUND(Points!$B$3*IF($F154&lt;=1,1,Points!$H$7+(1-Points!$H$7)*((($F154-$E154)*(($F154-$E154)+1)/2)^2-((($F154-$E154-$J154+1)-1)*($F154-$E154-$J154+1)/2)^2)/($J154*($F154-1)^3)),0)))</f>
        <v/>
      </c>
      <c r="H154" s="11">
        <f>IF($A154="","",IF($B$2="Final","Final",IF($B$2="In progress","Projected","Not started")))</f>
        <v/>
      </c>
      <c r="I154" s="11">
        <f>IF($A154="","",IF(COUNTIF(Players!$A$2:$A$500,$A154)=0,"Player is not on the Players tab",IF(COUNTIF($A$7:$A$156,$A154)&gt;1,"Player is listed twice",IF(NOT(ISNUMBER($B154)),"Enter a score",IF(COUNTIFS($D$7:$D$156,$D154,$C$7:$C$156,"Winner")&gt;1,"More than one "&amp;$D154&amp;" winner picked",IF(AND($C154="Winner",COUNTIFS($D$7:$D$156,$D154,$B$7:$B$156,"&lt;"&amp;$B154)&gt;0),"The winner doesn't have the best "&amp;$D154&amp;" score",IF(AND($B$2="Final",COUNTIFS($D$7:$D$156,$D154,$C$7:$C$156,"Winner")=0),"Final: pick the "&amp;$D154&amp;" winner",IF($B$2="Not started","Set Status to In progress to count points","OK"))))))))</f>
        <v/>
      </c>
      <c r="J154" s="11">
        <f>IF(OR($A154="",NOT(ISNUMBER($B154))),"",IF($C154="Winner",1,COUNTIFS($D$7:$D$156,$D154,$B$7:$B$156,$B154)-IF(AND(NOT($C154="Winner"),COUNTIFS($D$7:$D$156,$D154,$C$7:$C$156,"Winner",$B$7:$B$156,$B154)&gt;0),1,0)))</f>
        <v/>
      </c>
    </row>
    <row r="155">
      <c r="D155" s="11">
        <f>IF($A155="","",IFERROR(IF(VLOOKUP($A155,Players!$A$2:$B$500,2,FALSE)="","Open",VLOOKUP($A155,Players!$A$2:$B$500,2,FALSE)),"Open"))</f>
        <v/>
      </c>
      <c r="E155" s="11">
        <f>IF(OR($A155="",NOT(ISNUMBER($B155))),"",IF($C155="Winner",1,COUNTIFS($D$7:$D$156,$D155,$B$7:$B$156,"&lt;"&amp;$B155)+1+IF(AND(NOT($C155="Winner"),COUNTIFS($D$7:$D$156,$D155,$C$7:$C$156,"Winner",$B$7:$B$156,$B155)&gt;0),1,0)))</f>
        <v/>
      </c>
      <c r="F155" s="11">
        <f>IF(OR($A155="",NOT(ISNUMBER($B155))),"",COUNTIFS($D$7:$D$156,$D155,$B$7:$B$156,"&gt;0"))</f>
        <v/>
      </c>
      <c r="G155" s="11">
        <f>IF(OR(OR($A155="",NOT(ISNUMBER($B155))),$B$2="Not started"),"",IF($C155="Winner",Points!$B$3,ROUND(Points!$B$3*IF($F155&lt;=1,1,Points!$H$7+(1-Points!$H$7)*((($F155-$E155)*(($F155-$E155)+1)/2)^2-((($F155-$E155-$J155+1)-1)*($F155-$E155-$J155+1)/2)^2)/($J155*($F155-1)^3)),0)))</f>
        <v/>
      </c>
      <c r="H155" s="11">
        <f>IF($A155="","",IF($B$2="Final","Final",IF($B$2="In progress","Projected","Not started")))</f>
        <v/>
      </c>
      <c r="I155" s="11">
        <f>IF($A155="","",IF(COUNTIF(Players!$A$2:$A$500,$A155)=0,"Player is not on the Players tab",IF(COUNTIF($A$7:$A$156,$A155)&gt;1,"Player is listed twice",IF(NOT(ISNUMBER($B155)),"Enter a score",IF(COUNTIFS($D$7:$D$156,$D155,$C$7:$C$156,"Winner")&gt;1,"More than one "&amp;$D155&amp;" winner picked",IF(AND($C155="Winner",COUNTIFS($D$7:$D$156,$D155,$B$7:$B$156,"&lt;"&amp;$B155)&gt;0),"The winner doesn't have the best "&amp;$D155&amp;" score",IF(AND($B$2="Final",COUNTIFS($D$7:$D$156,$D155,$C$7:$C$156,"Winner")=0),"Final: pick the "&amp;$D155&amp;" winner",IF($B$2="Not started","Set Status to In progress to count points","OK"))))))))</f>
        <v/>
      </c>
      <c r="J155" s="11">
        <f>IF(OR($A155="",NOT(ISNUMBER($B155))),"",IF($C155="Winner",1,COUNTIFS($D$7:$D$156,$D155,$B$7:$B$156,$B155)-IF(AND(NOT($C155="Winner"),COUNTIFS($D$7:$D$156,$D155,$C$7:$C$156,"Winner",$B$7:$B$156,$B155)&gt;0),1,0)))</f>
        <v/>
      </c>
    </row>
    <row r="156">
      <c r="D156" s="11">
        <f>IF($A156="","",IFERROR(IF(VLOOKUP($A156,Players!$A$2:$B$500,2,FALSE)="","Open",VLOOKUP($A156,Players!$A$2:$B$500,2,FALSE)),"Open"))</f>
        <v/>
      </c>
      <c r="E156" s="11">
        <f>IF(OR($A156="",NOT(ISNUMBER($B156))),"",IF($C156="Winner",1,COUNTIFS($D$7:$D$156,$D156,$B$7:$B$156,"&lt;"&amp;$B156)+1+IF(AND(NOT($C156="Winner"),COUNTIFS($D$7:$D$156,$D156,$C$7:$C$156,"Winner",$B$7:$B$156,$B156)&gt;0),1,0)))</f>
        <v/>
      </c>
      <c r="F156" s="11">
        <f>IF(OR($A156="",NOT(ISNUMBER($B156))),"",COUNTIFS($D$7:$D$156,$D156,$B$7:$B$156,"&gt;0"))</f>
        <v/>
      </c>
      <c r="G156" s="11">
        <f>IF(OR(OR($A156="",NOT(ISNUMBER($B156))),$B$2="Not started"),"",IF($C156="Winner",Points!$B$3,ROUND(Points!$B$3*IF($F156&lt;=1,1,Points!$H$7+(1-Points!$H$7)*((($F156-$E156)*(($F156-$E156)+1)/2)^2-((($F156-$E156-$J156+1)-1)*($F156-$E156-$J156+1)/2)^2)/($J156*($F156-1)^3)),0)))</f>
        <v/>
      </c>
      <c r="H156" s="11">
        <f>IF($A156="","",IF($B$2="Final","Final",IF($B$2="In progress","Projected","Not started")))</f>
        <v/>
      </c>
      <c r="I156" s="11">
        <f>IF($A156="","",IF(COUNTIF(Players!$A$2:$A$500,$A156)=0,"Player is not on the Players tab",IF(COUNTIF($A$7:$A$156,$A156)&gt;1,"Player is listed twice",IF(NOT(ISNUMBER($B156)),"Enter a score",IF(COUNTIFS($D$7:$D$156,$D156,$C$7:$C$156,"Winner")&gt;1,"More than one "&amp;$D156&amp;" winner picked",IF(AND($C156="Winner",COUNTIFS($D$7:$D$156,$D156,$B$7:$B$156,"&lt;"&amp;$B156)&gt;0),"The winner doesn't have the best "&amp;$D156&amp;" score",IF(AND($B$2="Final",COUNTIFS($D$7:$D$156,$D156,$C$7:$C$156,"Winner")=0),"Final: pick the "&amp;$D156&amp;" winner",IF($B$2="Not started","Set Status to In progress to count points","OK"))))))))</f>
        <v/>
      </c>
      <c r="J156" s="11">
        <f>IF(OR($A156="",NOT(ISNUMBER($B156))),"",IF($C156="Winner",1,COUNTIFS($D$7:$D$156,$D156,$B$7:$B$156,$B156)-IF(AND(NOT($C156="Winner"),COUNTIFS($D$7:$D$156,$D156,$C$7:$C$156,"Winner",$B$7:$B$156,$B156)&gt;0),1,0)))</f>
        <v/>
      </c>
    </row>
  </sheetData>
  <conditionalFormatting sqref="I7:I156">
    <cfRule type="expression" priority="1" dxfId="0">
      <formula>AND($I7&lt;&gt;"",$I7&lt;&gt;"OK")</formula>
    </cfRule>
  </conditionalFormatting>
  <dataValidations count="4">
    <dataValidation sqref="B2" showDropDown="0" showInputMessage="0" showErrorMessage="1" allowBlank="1" errorTitle="Not on the list" error="Pick a value from the list." type="list">
      <formula1>"Not started,In progress,Final"</formula1>
    </dataValidation>
    <dataValidation sqref="A7:A156" showDropDown="0" showInputMessage="0" showErrorMessage="1" allowBlank="1" errorTitle="Not on the list" error="Pick a player from the list. New players go on the Players tab first." type="list">
      <formula1>Players!$A$2:$A$500</formula1>
    </dataValidation>
    <dataValidation sqref="B7:B156" showDropDown="0" showInputMessage="0" showErrorMessage="1" allowBlank="1" errorTitle="Strokes only" error="Enter the score in strokes, for example 72." type="whole" operator="between">
      <formula1>1</formula1>
      <formula2>200</formula2>
    </dataValidation>
    <dataValidation sqref="C7:C156" showDropDown="0" showInputMessage="0" showErrorMessage="1" allowBlank="1" errorTitle="Not on the list" error="Pick Winner, or leave it blank." type="list">
      <formula1>"Winner"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4"/>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18" customWidth="1" min="3" max="3"/>
    <col width="20" customWidth="1" min="4" max="4"/>
    <col width="20" customWidth="1" min="5" max="5"/>
    <col width="10" customWidth="1" min="6" max="6"/>
    <col width="8" customWidth="1" min="7" max="7"/>
    <col width="9" customWidth="1" min="8" max="8"/>
    <col width="9" customWidth="1" min="9" max="9"/>
    <col width="34" customWidth="1" min="10" max="10"/>
  </cols>
  <sheetData>
    <row r="1">
      <c r="A1" s="7" t="inlineStr">
        <is>
          <t>Scramble Leagues</t>
        </is>
      </c>
      <c r="D1" s="6" t="inlineStr">
        <is>
          <t>One row per team when a season ends. Every player on the team gets the team's points.</t>
        </is>
      </c>
    </row>
    <row r="2">
      <c r="A2" s="6" t="inlineStr">
        <is>
          <t>Season: use the same name on every row of a season, e.g. Season 1.</t>
        </is>
      </c>
    </row>
    <row r="4" ht="30" customHeight="1">
      <c r="A4" s="4" t="inlineStr">
        <is>
          <t>Season</t>
        </is>
      </c>
      <c r="B4" s="4" t="inlineStr">
        <is>
          <t>End Date</t>
        </is>
      </c>
      <c r="C4" s="4" t="inlineStr">
        <is>
          <t>Team</t>
        </is>
      </c>
      <c r="D4" s="4" t="inlineStr">
        <is>
          <t>Player 1</t>
        </is>
      </c>
      <c r="E4" s="4" t="inlineStr">
        <is>
          <t>Player 2</t>
        </is>
      </c>
      <c r="F4" s="4" t="inlineStr">
        <is>
          <t>Final Place</t>
        </is>
      </c>
      <c r="G4" s="10" t="inlineStr">
        <is>
          <t>Field</t>
        </is>
      </c>
      <c r="H4" s="10" t="inlineStr">
        <is>
          <t>Points</t>
        </is>
      </c>
      <c r="I4" s="10" t="inlineStr">
        <is>
          <t>Status</t>
        </is>
      </c>
      <c r="J4" s="10" t="inlineStr">
        <is>
          <t>Check</t>
        </is>
      </c>
    </row>
    <row r="5">
      <c r="B5" s="9" t="n"/>
      <c r="G5" s="11">
        <f>IF(OR($A5="",NOT(ISNUMBER($F5))),"",COUNTIFS($A$5:$A$154,$A5,$F$5:$F$154,"&gt;0"))</f>
        <v/>
      </c>
      <c r="H5" s="11">
        <f>IF(OR($A5="",NOT(ISNUMBER($F5))),"",ROUND(Points!$B$4*IF($G5&lt;=1,1,Points!$H$7+(1-Points!$H$7)*((($G5-$F5)*(($G5-$F5)+1)/2)^2-((($G5-$F5-COUNTIFS($A$5:$A$154,$A5,$F$5:$F$154,$F5)+1)-1)*($G5-$F5-COUNTIFS($A$5:$A$154,$A5,$F$5:$F$154,$F5)+1)/2)^2)/(COUNTIFS($A$5:$A$154,$A5,$F$5:$F$154,$F5)*($G5-1)^3)),0))</f>
        <v/>
      </c>
      <c r="I5" s="11">
        <f>IF($A5="","","Final")</f>
        <v/>
      </c>
      <c r="J5" s="11">
        <f>IF($A5="","",IF($D5="","Add the players",IF(COUNTIF(Players!$A$2:$A$500,$D5)=0,"Player 1 is not on the Players tab",IF(NOT(ISNUMBER($F5)),"Enter the final place",IF(N($F5)&gt;N($G5),"Place is bigger than the field: enter every team",IF($B5="","Enter the end date","OK"))))))</f>
        <v/>
      </c>
    </row>
    <row r="6">
      <c r="B6" s="9" t="n"/>
      <c r="G6" s="11">
        <f>IF(OR($A6="",NOT(ISNUMBER($F6))),"",COUNTIFS($A$5:$A$154,$A6,$F$5:$F$154,"&gt;0"))</f>
        <v/>
      </c>
      <c r="H6" s="11">
        <f>IF(OR($A6="",NOT(ISNUMBER($F6))),"",ROUND(Points!$B$4*IF($G6&lt;=1,1,Points!$H$7+(1-Points!$H$7)*((($G6-$F6)*(($G6-$F6)+1)/2)^2-((($G6-$F6-COUNTIFS($A$5:$A$154,$A6,$F$5:$F$154,$F6)+1)-1)*($G6-$F6-COUNTIFS($A$5:$A$154,$A6,$F$5:$F$154,$F6)+1)/2)^2)/(COUNTIFS($A$5:$A$154,$A6,$F$5:$F$154,$F6)*($G6-1)^3)),0))</f>
        <v/>
      </c>
      <c r="I6" s="11">
        <f>IF($A6="","","Final")</f>
        <v/>
      </c>
      <c r="J6" s="11">
        <f>IF($A6="","",IF($D6="","Add the players",IF(COUNTIF(Players!$A$2:$A$500,$D6)=0,"Player 1 is not on the Players tab",IF(NOT(ISNUMBER($F6)),"Enter the final place",IF(N($F6)&gt;N($G6),"Place is bigger than the field: enter every team",IF($B6="","Enter the end date","OK"))))))</f>
        <v/>
      </c>
    </row>
    <row r="7">
      <c r="B7" s="9" t="n"/>
      <c r="G7" s="11">
        <f>IF(OR($A7="",NOT(ISNUMBER($F7))),"",COUNTIFS($A$5:$A$154,$A7,$F$5:$F$154,"&gt;0"))</f>
        <v/>
      </c>
      <c r="H7" s="11">
        <f>IF(OR($A7="",NOT(ISNUMBER($F7))),"",ROUND(Points!$B$4*IF($G7&lt;=1,1,Points!$H$7+(1-Points!$H$7)*((($G7-$F7)*(($G7-$F7)+1)/2)^2-((($G7-$F7-COUNTIFS($A$5:$A$154,$A7,$F$5:$F$154,$F7)+1)-1)*($G7-$F7-COUNTIFS($A$5:$A$154,$A7,$F$5:$F$154,$F7)+1)/2)^2)/(COUNTIFS($A$5:$A$154,$A7,$F$5:$F$154,$F7)*($G7-1)^3)),0))</f>
        <v/>
      </c>
      <c r="I7" s="11">
        <f>IF($A7="","","Final")</f>
        <v/>
      </c>
      <c r="J7" s="11">
        <f>IF($A7="","",IF($D7="","Add the players",IF(COUNTIF(Players!$A$2:$A$500,$D7)=0,"Player 1 is not on the Players tab",IF(NOT(ISNUMBER($F7)),"Enter the final place",IF(N($F7)&gt;N($G7),"Place is bigger than the field: enter every team",IF($B7="","Enter the end date","OK"))))))</f>
        <v/>
      </c>
    </row>
    <row r="8">
      <c r="B8" s="9" t="n"/>
      <c r="G8" s="11">
        <f>IF(OR($A8="",NOT(ISNUMBER($F8))),"",COUNTIFS($A$5:$A$154,$A8,$F$5:$F$154,"&gt;0"))</f>
        <v/>
      </c>
      <c r="H8" s="11">
        <f>IF(OR($A8="",NOT(ISNUMBER($F8))),"",ROUND(Points!$B$4*IF($G8&lt;=1,1,Points!$H$7+(1-Points!$H$7)*((($G8-$F8)*(($G8-$F8)+1)/2)^2-((($G8-$F8-COUNTIFS($A$5:$A$154,$A8,$F$5:$F$154,$F8)+1)-1)*($G8-$F8-COUNTIFS($A$5:$A$154,$A8,$F$5:$F$154,$F8)+1)/2)^2)/(COUNTIFS($A$5:$A$154,$A8,$F$5:$F$154,$F8)*($G8-1)^3)),0))</f>
        <v/>
      </c>
      <c r="I8" s="11">
        <f>IF($A8="","","Final")</f>
        <v/>
      </c>
      <c r="J8" s="11">
        <f>IF($A8="","",IF($D8="","Add the players",IF(COUNTIF(Players!$A$2:$A$500,$D8)=0,"Player 1 is not on the Players tab",IF(NOT(ISNUMBER($F8)),"Enter the final place",IF(N($F8)&gt;N($G8),"Place is bigger than the field: enter every team",IF($B8="","Enter the end date","OK"))))))</f>
        <v/>
      </c>
    </row>
    <row r="9">
      <c r="B9" s="9" t="n"/>
      <c r="G9" s="11">
        <f>IF(OR($A9="",NOT(ISNUMBER($F9))),"",COUNTIFS($A$5:$A$154,$A9,$F$5:$F$154,"&gt;0"))</f>
        <v/>
      </c>
      <c r="H9" s="11">
        <f>IF(OR($A9="",NOT(ISNUMBER($F9))),"",ROUND(Points!$B$4*IF($G9&lt;=1,1,Points!$H$7+(1-Points!$H$7)*((($G9-$F9)*(($G9-$F9)+1)/2)^2-((($G9-$F9-COUNTIFS($A$5:$A$154,$A9,$F$5:$F$154,$F9)+1)-1)*($G9-$F9-COUNTIFS($A$5:$A$154,$A9,$F$5:$F$154,$F9)+1)/2)^2)/(COUNTIFS($A$5:$A$154,$A9,$F$5:$F$154,$F9)*($G9-1)^3)),0))</f>
        <v/>
      </c>
      <c r="I9" s="11">
        <f>IF($A9="","","Final")</f>
        <v/>
      </c>
      <c r="J9" s="11">
        <f>IF($A9="","",IF($D9="","Add the players",IF(COUNTIF(Players!$A$2:$A$500,$D9)=0,"Player 1 is not on the Players tab",IF(NOT(ISNUMBER($F9)),"Enter the final place",IF(N($F9)&gt;N($G9),"Place is bigger than the field: enter every team",IF($B9="","Enter the end date","OK"))))))</f>
        <v/>
      </c>
    </row>
    <row r="10">
      <c r="B10" s="9" t="n"/>
      <c r="G10" s="11">
        <f>IF(OR($A10="",NOT(ISNUMBER($F10))),"",COUNTIFS($A$5:$A$154,$A10,$F$5:$F$154,"&gt;0"))</f>
        <v/>
      </c>
      <c r="H10" s="11">
        <f>IF(OR($A10="",NOT(ISNUMBER($F10))),"",ROUND(Points!$B$4*IF($G10&lt;=1,1,Points!$H$7+(1-Points!$H$7)*((($G10-$F10)*(($G10-$F10)+1)/2)^2-((($G10-$F10-COUNTIFS($A$5:$A$154,$A10,$F$5:$F$154,$F10)+1)-1)*($G10-$F10-COUNTIFS($A$5:$A$154,$A10,$F$5:$F$154,$F10)+1)/2)^2)/(COUNTIFS($A$5:$A$154,$A10,$F$5:$F$154,$F10)*($G10-1)^3)),0))</f>
        <v/>
      </c>
      <c r="I10" s="11">
        <f>IF($A10="","","Final")</f>
        <v/>
      </c>
      <c r="J10" s="11">
        <f>IF($A10="","",IF($D10="","Add the players",IF(COUNTIF(Players!$A$2:$A$500,$D10)=0,"Player 1 is not on the Players tab",IF(NOT(ISNUMBER($F10)),"Enter the final place",IF(N($F10)&gt;N($G10),"Place is bigger than the field: enter every team",IF($B10="","Enter the end date","OK"))))))</f>
        <v/>
      </c>
    </row>
    <row r="11">
      <c r="B11" s="9" t="n"/>
      <c r="G11" s="11">
        <f>IF(OR($A11="",NOT(ISNUMBER($F11))),"",COUNTIFS($A$5:$A$154,$A11,$F$5:$F$154,"&gt;0"))</f>
        <v/>
      </c>
      <c r="H11" s="11">
        <f>IF(OR($A11="",NOT(ISNUMBER($F11))),"",ROUND(Points!$B$4*IF($G11&lt;=1,1,Points!$H$7+(1-Points!$H$7)*((($G11-$F11)*(($G11-$F11)+1)/2)^2-((($G11-$F11-COUNTIFS($A$5:$A$154,$A11,$F$5:$F$154,$F11)+1)-1)*($G11-$F11-COUNTIFS($A$5:$A$154,$A11,$F$5:$F$154,$F11)+1)/2)^2)/(COUNTIFS($A$5:$A$154,$A11,$F$5:$F$154,$F11)*($G11-1)^3)),0))</f>
        <v/>
      </c>
      <c r="I11" s="11">
        <f>IF($A11="","","Final")</f>
        <v/>
      </c>
      <c r="J11" s="11">
        <f>IF($A11="","",IF($D11="","Add the players",IF(COUNTIF(Players!$A$2:$A$500,$D11)=0,"Player 1 is not on the Players tab",IF(NOT(ISNUMBER($F11)),"Enter the final place",IF(N($F11)&gt;N($G11),"Place is bigger than the field: enter every team",IF($B11="","Enter the end date","OK"))))))</f>
        <v/>
      </c>
    </row>
    <row r="12">
      <c r="B12" s="9" t="n"/>
      <c r="G12" s="11">
        <f>IF(OR($A12="",NOT(ISNUMBER($F12))),"",COUNTIFS($A$5:$A$154,$A12,$F$5:$F$154,"&gt;0"))</f>
        <v/>
      </c>
      <c r="H12" s="11">
        <f>IF(OR($A12="",NOT(ISNUMBER($F12))),"",ROUND(Points!$B$4*IF($G12&lt;=1,1,Points!$H$7+(1-Points!$H$7)*((($G12-$F12)*(($G12-$F12)+1)/2)^2-((($G12-$F12-COUNTIFS($A$5:$A$154,$A12,$F$5:$F$154,$F12)+1)-1)*($G12-$F12-COUNTIFS($A$5:$A$154,$A12,$F$5:$F$154,$F12)+1)/2)^2)/(COUNTIFS($A$5:$A$154,$A12,$F$5:$F$154,$F12)*($G12-1)^3)),0))</f>
        <v/>
      </c>
      <c r="I12" s="11">
        <f>IF($A12="","","Final")</f>
        <v/>
      </c>
      <c r="J12" s="11">
        <f>IF($A12="","",IF($D12="","Add the players",IF(COUNTIF(Players!$A$2:$A$500,$D12)=0,"Player 1 is not on the Players tab",IF(NOT(ISNUMBER($F12)),"Enter the final place",IF(N($F12)&gt;N($G12),"Place is bigger than the field: enter every team",IF($B12="","Enter the end date","OK"))))))</f>
        <v/>
      </c>
    </row>
    <row r="13">
      <c r="B13" s="9" t="n"/>
      <c r="G13" s="11">
        <f>IF(OR($A13="",NOT(ISNUMBER($F13))),"",COUNTIFS($A$5:$A$154,$A13,$F$5:$F$154,"&gt;0"))</f>
        <v/>
      </c>
      <c r="H13" s="11">
        <f>IF(OR($A13="",NOT(ISNUMBER($F13))),"",ROUND(Points!$B$4*IF($G13&lt;=1,1,Points!$H$7+(1-Points!$H$7)*((($G13-$F13)*(($G13-$F13)+1)/2)^2-((($G13-$F13-COUNTIFS($A$5:$A$154,$A13,$F$5:$F$154,$F13)+1)-1)*($G13-$F13-COUNTIFS($A$5:$A$154,$A13,$F$5:$F$154,$F13)+1)/2)^2)/(COUNTIFS($A$5:$A$154,$A13,$F$5:$F$154,$F13)*($G13-1)^3)),0))</f>
        <v/>
      </c>
      <c r="I13" s="11">
        <f>IF($A13="","","Final")</f>
        <v/>
      </c>
      <c r="J13" s="11">
        <f>IF($A13="","",IF($D13="","Add the players",IF(COUNTIF(Players!$A$2:$A$500,$D13)=0,"Player 1 is not on the Players tab",IF(NOT(ISNUMBER($F13)),"Enter the final place",IF(N($F13)&gt;N($G13),"Place is bigger than the field: enter every team",IF($B13="","Enter the end date","OK"))))))</f>
        <v/>
      </c>
    </row>
    <row r="14">
      <c r="B14" s="9" t="n"/>
      <c r="G14" s="11">
        <f>IF(OR($A14="",NOT(ISNUMBER($F14))),"",COUNTIFS($A$5:$A$154,$A14,$F$5:$F$154,"&gt;0"))</f>
        <v/>
      </c>
      <c r="H14" s="11">
        <f>IF(OR($A14="",NOT(ISNUMBER($F14))),"",ROUND(Points!$B$4*IF($G14&lt;=1,1,Points!$H$7+(1-Points!$H$7)*((($G14-$F14)*(($G14-$F14)+1)/2)^2-((($G14-$F14-COUNTIFS($A$5:$A$154,$A14,$F$5:$F$154,$F14)+1)-1)*($G14-$F14-COUNTIFS($A$5:$A$154,$A14,$F$5:$F$154,$F14)+1)/2)^2)/(COUNTIFS($A$5:$A$154,$A14,$F$5:$F$154,$F14)*($G14-1)^3)),0))</f>
        <v/>
      </c>
      <c r="I14" s="11">
        <f>IF($A14="","","Final")</f>
        <v/>
      </c>
      <c r="J14" s="11">
        <f>IF($A14="","",IF($D14="","Add the players",IF(COUNTIF(Players!$A$2:$A$500,$D14)=0,"Player 1 is not on the Players tab",IF(NOT(ISNUMBER($F14)),"Enter the final place",IF(N($F14)&gt;N($G14),"Place is bigger than the field: enter every team",IF($B14="","Enter the end date","OK"))))))</f>
        <v/>
      </c>
    </row>
    <row r="15">
      <c r="B15" s="9" t="n"/>
      <c r="G15" s="11">
        <f>IF(OR($A15="",NOT(ISNUMBER($F15))),"",COUNTIFS($A$5:$A$154,$A15,$F$5:$F$154,"&gt;0"))</f>
        <v/>
      </c>
      <c r="H15" s="11">
        <f>IF(OR($A15="",NOT(ISNUMBER($F15))),"",ROUND(Points!$B$4*IF($G15&lt;=1,1,Points!$H$7+(1-Points!$H$7)*((($G15-$F15)*(($G15-$F15)+1)/2)^2-((($G15-$F15-COUNTIFS($A$5:$A$154,$A15,$F$5:$F$154,$F15)+1)-1)*($G15-$F15-COUNTIFS($A$5:$A$154,$A15,$F$5:$F$154,$F15)+1)/2)^2)/(COUNTIFS($A$5:$A$154,$A15,$F$5:$F$154,$F15)*($G15-1)^3)),0))</f>
        <v/>
      </c>
      <c r="I15" s="11">
        <f>IF($A15="","","Final")</f>
        <v/>
      </c>
      <c r="J15" s="11">
        <f>IF($A15="","",IF($D15="","Add the players",IF(COUNTIF(Players!$A$2:$A$500,$D15)=0,"Player 1 is not on the Players tab",IF(NOT(ISNUMBER($F15)),"Enter the final place",IF(N($F15)&gt;N($G15),"Place is bigger than the field: enter every team",IF($B15="","Enter the end date","OK"))))))</f>
        <v/>
      </c>
    </row>
    <row r="16">
      <c r="B16" s="9" t="n"/>
      <c r="G16" s="11">
        <f>IF(OR($A16="",NOT(ISNUMBER($F16))),"",COUNTIFS($A$5:$A$154,$A16,$F$5:$F$154,"&gt;0"))</f>
        <v/>
      </c>
      <c r="H16" s="11">
        <f>IF(OR($A16="",NOT(ISNUMBER($F16))),"",ROUND(Points!$B$4*IF($G16&lt;=1,1,Points!$H$7+(1-Points!$H$7)*((($G16-$F16)*(($G16-$F16)+1)/2)^2-((($G16-$F16-COUNTIFS($A$5:$A$154,$A16,$F$5:$F$154,$F16)+1)-1)*($G16-$F16-COUNTIFS($A$5:$A$154,$A16,$F$5:$F$154,$F16)+1)/2)^2)/(COUNTIFS($A$5:$A$154,$A16,$F$5:$F$154,$F16)*($G16-1)^3)),0))</f>
        <v/>
      </c>
      <c r="I16" s="11">
        <f>IF($A16="","","Final")</f>
        <v/>
      </c>
      <c r="J16" s="11">
        <f>IF($A16="","",IF($D16="","Add the players",IF(COUNTIF(Players!$A$2:$A$500,$D16)=0,"Player 1 is not on the Players tab",IF(NOT(ISNUMBER($F16)),"Enter the final place",IF(N($F16)&gt;N($G16),"Place is bigger than the field: enter every team",IF($B16="","Enter the end date","OK"))))))</f>
        <v/>
      </c>
    </row>
    <row r="17">
      <c r="B17" s="9" t="n"/>
      <c r="G17" s="11">
        <f>IF(OR($A17="",NOT(ISNUMBER($F17))),"",COUNTIFS($A$5:$A$154,$A17,$F$5:$F$154,"&gt;0"))</f>
        <v/>
      </c>
      <c r="H17" s="11">
        <f>IF(OR($A17="",NOT(ISNUMBER($F17))),"",ROUND(Points!$B$4*IF($G17&lt;=1,1,Points!$H$7+(1-Points!$H$7)*((($G17-$F17)*(($G17-$F17)+1)/2)^2-((($G17-$F17-COUNTIFS($A$5:$A$154,$A17,$F$5:$F$154,$F17)+1)-1)*($G17-$F17-COUNTIFS($A$5:$A$154,$A17,$F$5:$F$154,$F17)+1)/2)^2)/(COUNTIFS($A$5:$A$154,$A17,$F$5:$F$154,$F17)*($G17-1)^3)),0))</f>
        <v/>
      </c>
      <c r="I17" s="11">
        <f>IF($A17="","","Final")</f>
        <v/>
      </c>
      <c r="J17" s="11">
        <f>IF($A17="","",IF($D17="","Add the players",IF(COUNTIF(Players!$A$2:$A$500,$D17)=0,"Player 1 is not on the Players tab",IF(NOT(ISNUMBER($F17)),"Enter the final place",IF(N($F17)&gt;N($G17),"Place is bigger than the field: enter every team",IF($B17="","Enter the end date","OK"))))))</f>
        <v/>
      </c>
    </row>
    <row r="18">
      <c r="B18" s="9" t="n"/>
      <c r="G18" s="11">
        <f>IF(OR($A18="",NOT(ISNUMBER($F18))),"",COUNTIFS($A$5:$A$154,$A18,$F$5:$F$154,"&gt;0"))</f>
        <v/>
      </c>
      <c r="H18" s="11">
        <f>IF(OR($A18="",NOT(ISNUMBER($F18))),"",ROUND(Points!$B$4*IF($G18&lt;=1,1,Points!$H$7+(1-Points!$H$7)*((($G18-$F18)*(($G18-$F18)+1)/2)^2-((($G18-$F18-COUNTIFS($A$5:$A$154,$A18,$F$5:$F$154,$F18)+1)-1)*($G18-$F18-COUNTIFS($A$5:$A$154,$A18,$F$5:$F$154,$F18)+1)/2)^2)/(COUNTIFS($A$5:$A$154,$A18,$F$5:$F$154,$F18)*($G18-1)^3)),0))</f>
        <v/>
      </c>
      <c r="I18" s="11">
        <f>IF($A18="","","Final")</f>
        <v/>
      </c>
      <c r="J18" s="11">
        <f>IF($A18="","",IF($D18="","Add the players",IF(COUNTIF(Players!$A$2:$A$500,$D18)=0,"Player 1 is not on the Players tab",IF(NOT(ISNUMBER($F18)),"Enter the final place",IF(N($F18)&gt;N($G18),"Place is bigger than the field: enter every team",IF($B18="","Enter the end date","OK"))))))</f>
        <v/>
      </c>
    </row>
    <row r="19">
      <c r="B19" s="9" t="n"/>
      <c r="G19" s="11">
        <f>IF(OR($A19="",NOT(ISNUMBER($F19))),"",COUNTIFS($A$5:$A$154,$A19,$F$5:$F$154,"&gt;0"))</f>
        <v/>
      </c>
      <c r="H19" s="11">
        <f>IF(OR($A19="",NOT(ISNUMBER($F19))),"",ROUND(Points!$B$4*IF($G19&lt;=1,1,Points!$H$7+(1-Points!$H$7)*((($G19-$F19)*(($G19-$F19)+1)/2)^2-((($G19-$F19-COUNTIFS($A$5:$A$154,$A19,$F$5:$F$154,$F19)+1)-1)*($G19-$F19-COUNTIFS($A$5:$A$154,$A19,$F$5:$F$154,$F19)+1)/2)^2)/(COUNTIFS($A$5:$A$154,$A19,$F$5:$F$154,$F19)*($G19-1)^3)),0))</f>
        <v/>
      </c>
      <c r="I19" s="11">
        <f>IF($A19="","","Final")</f>
        <v/>
      </c>
      <c r="J19" s="11">
        <f>IF($A19="","",IF($D19="","Add the players",IF(COUNTIF(Players!$A$2:$A$500,$D19)=0,"Player 1 is not on the Players tab",IF(NOT(ISNUMBER($F19)),"Enter the final place",IF(N($F19)&gt;N($G19),"Place is bigger than the field: enter every team",IF($B19="","Enter the end date","OK"))))))</f>
        <v/>
      </c>
    </row>
    <row r="20">
      <c r="B20" s="9" t="n"/>
      <c r="G20" s="11">
        <f>IF(OR($A20="",NOT(ISNUMBER($F20))),"",COUNTIFS($A$5:$A$154,$A20,$F$5:$F$154,"&gt;0"))</f>
        <v/>
      </c>
      <c r="H20" s="11">
        <f>IF(OR($A20="",NOT(ISNUMBER($F20))),"",ROUND(Points!$B$4*IF($G20&lt;=1,1,Points!$H$7+(1-Points!$H$7)*((($G20-$F20)*(($G20-$F20)+1)/2)^2-((($G20-$F20-COUNTIFS($A$5:$A$154,$A20,$F$5:$F$154,$F20)+1)-1)*($G20-$F20-COUNTIFS($A$5:$A$154,$A20,$F$5:$F$154,$F20)+1)/2)^2)/(COUNTIFS($A$5:$A$154,$A20,$F$5:$F$154,$F20)*($G20-1)^3)),0))</f>
        <v/>
      </c>
      <c r="I20" s="11">
        <f>IF($A20="","","Final")</f>
        <v/>
      </c>
      <c r="J20" s="11">
        <f>IF($A20="","",IF($D20="","Add the players",IF(COUNTIF(Players!$A$2:$A$500,$D20)=0,"Player 1 is not on the Players tab",IF(NOT(ISNUMBER($F20)),"Enter the final place",IF(N($F20)&gt;N($G20),"Place is bigger than the field: enter every team",IF($B20="","Enter the end date","OK"))))))</f>
        <v/>
      </c>
    </row>
    <row r="21">
      <c r="B21" s="9" t="n"/>
      <c r="G21" s="11">
        <f>IF(OR($A21="",NOT(ISNUMBER($F21))),"",COUNTIFS($A$5:$A$154,$A21,$F$5:$F$154,"&gt;0"))</f>
        <v/>
      </c>
      <c r="H21" s="11">
        <f>IF(OR($A21="",NOT(ISNUMBER($F21))),"",ROUND(Points!$B$4*IF($G21&lt;=1,1,Points!$H$7+(1-Points!$H$7)*((($G21-$F21)*(($G21-$F21)+1)/2)^2-((($G21-$F21-COUNTIFS($A$5:$A$154,$A21,$F$5:$F$154,$F21)+1)-1)*($G21-$F21-COUNTIFS($A$5:$A$154,$A21,$F$5:$F$154,$F21)+1)/2)^2)/(COUNTIFS($A$5:$A$154,$A21,$F$5:$F$154,$F21)*($G21-1)^3)),0))</f>
        <v/>
      </c>
      <c r="I21" s="11">
        <f>IF($A21="","","Final")</f>
        <v/>
      </c>
      <c r="J21" s="11">
        <f>IF($A21="","",IF($D21="","Add the players",IF(COUNTIF(Players!$A$2:$A$500,$D21)=0,"Player 1 is not on the Players tab",IF(NOT(ISNUMBER($F21)),"Enter the final place",IF(N($F21)&gt;N($G21),"Place is bigger than the field: enter every team",IF($B21="","Enter the end date","OK"))))))</f>
        <v/>
      </c>
    </row>
    <row r="22">
      <c r="B22" s="9" t="n"/>
      <c r="G22" s="11">
        <f>IF(OR($A22="",NOT(ISNUMBER($F22))),"",COUNTIFS($A$5:$A$154,$A22,$F$5:$F$154,"&gt;0"))</f>
        <v/>
      </c>
      <c r="H22" s="11">
        <f>IF(OR($A22="",NOT(ISNUMBER($F22))),"",ROUND(Points!$B$4*IF($G22&lt;=1,1,Points!$H$7+(1-Points!$H$7)*((($G22-$F22)*(($G22-$F22)+1)/2)^2-((($G22-$F22-COUNTIFS($A$5:$A$154,$A22,$F$5:$F$154,$F22)+1)-1)*($G22-$F22-COUNTIFS($A$5:$A$154,$A22,$F$5:$F$154,$F22)+1)/2)^2)/(COUNTIFS($A$5:$A$154,$A22,$F$5:$F$154,$F22)*($G22-1)^3)),0))</f>
        <v/>
      </c>
      <c r="I22" s="11">
        <f>IF($A22="","","Final")</f>
        <v/>
      </c>
      <c r="J22" s="11">
        <f>IF($A22="","",IF($D22="","Add the players",IF(COUNTIF(Players!$A$2:$A$500,$D22)=0,"Player 1 is not on the Players tab",IF(NOT(ISNUMBER($F22)),"Enter the final place",IF(N($F22)&gt;N($G22),"Place is bigger than the field: enter every team",IF($B22="","Enter the end date","OK"))))))</f>
        <v/>
      </c>
    </row>
    <row r="23">
      <c r="B23" s="9" t="n"/>
      <c r="G23" s="11">
        <f>IF(OR($A23="",NOT(ISNUMBER($F23))),"",COUNTIFS($A$5:$A$154,$A23,$F$5:$F$154,"&gt;0"))</f>
        <v/>
      </c>
      <c r="H23" s="11">
        <f>IF(OR($A23="",NOT(ISNUMBER($F23))),"",ROUND(Points!$B$4*IF($G23&lt;=1,1,Points!$H$7+(1-Points!$H$7)*((($G23-$F23)*(($G23-$F23)+1)/2)^2-((($G23-$F23-COUNTIFS($A$5:$A$154,$A23,$F$5:$F$154,$F23)+1)-1)*($G23-$F23-COUNTIFS($A$5:$A$154,$A23,$F$5:$F$154,$F23)+1)/2)^2)/(COUNTIFS($A$5:$A$154,$A23,$F$5:$F$154,$F23)*($G23-1)^3)),0))</f>
        <v/>
      </c>
      <c r="I23" s="11">
        <f>IF($A23="","","Final")</f>
        <v/>
      </c>
      <c r="J23" s="11">
        <f>IF($A23="","",IF($D23="","Add the players",IF(COUNTIF(Players!$A$2:$A$500,$D23)=0,"Player 1 is not on the Players tab",IF(NOT(ISNUMBER($F23)),"Enter the final place",IF(N($F23)&gt;N($G23),"Place is bigger than the field: enter every team",IF($B23="","Enter the end date","OK"))))))</f>
        <v/>
      </c>
    </row>
    <row r="24">
      <c r="B24" s="9" t="n"/>
      <c r="G24" s="11">
        <f>IF(OR($A24="",NOT(ISNUMBER($F24))),"",COUNTIFS($A$5:$A$154,$A24,$F$5:$F$154,"&gt;0"))</f>
        <v/>
      </c>
      <c r="H24" s="11">
        <f>IF(OR($A24="",NOT(ISNUMBER($F24))),"",ROUND(Points!$B$4*IF($G24&lt;=1,1,Points!$H$7+(1-Points!$H$7)*((($G24-$F24)*(($G24-$F24)+1)/2)^2-((($G24-$F24-COUNTIFS($A$5:$A$154,$A24,$F$5:$F$154,$F24)+1)-1)*($G24-$F24-COUNTIFS($A$5:$A$154,$A24,$F$5:$F$154,$F24)+1)/2)^2)/(COUNTIFS($A$5:$A$154,$A24,$F$5:$F$154,$F24)*($G24-1)^3)),0))</f>
        <v/>
      </c>
      <c r="I24" s="11">
        <f>IF($A24="","","Final")</f>
        <v/>
      </c>
      <c r="J24" s="11">
        <f>IF($A24="","",IF($D24="","Add the players",IF(COUNTIF(Players!$A$2:$A$500,$D24)=0,"Player 1 is not on the Players tab",IF(NOT(ISNUMBER($F24)),"Enter the final place",IF(N($F24)&gt;N($G24),"Place is bigger than the field: enter every team",IF($B24="","Enter the end date","OK"))))))</f>
        <v/>
      </c>
    </row>
    <row r="25">
      <c r="B25" s="9" t="n"/>
      <c r="G25" s="11">
        <f>IF(OR($A25="",NOT(ISNUMBER($F25))),"",COUNTIFS($A$5:$A$154,$A25,$F$5:$F$154,"&gt;0"))</f>
        <v/>
      </c>
      <c r="H25" s="11">
        <f>IF(OR($A25="",NOT(ISNUMBER($F25))),"",ROUND(Points!$B$4*IF($G25&lt;=1,1,Points!$H$7+(1-Points!$H$7)*((($G25-$F25)*(($G25-$F25)+1)/2)^2-((($G25-$F25-COUNTIFS($A$5:$A$154,$A25,$F$5:$F$154,$F25)+1)-1)*($G25-$F25-COUNTIFS($A$5:$A$154,$A25,$F$5:$F$154,$F25)+1)/2)^2)/(COUNTIFS($A$5:$A$154,$A25,$F$5:$F$154,$F25)*($G25-1)^3)),0))</f>
        <v/>
      </c>
      <c r="I25" s="11">
        <f>IF($A25="","","Final")</f>
        <v/>
      </c>
      <c r="J25" s="11">
        <f>IF($A25="","",IF($D25="","Add the players",IF(COUNTIF(Players!$A$2:$A$500,$D25)=0,"Player 1 is not on the Players tab",IF(NOT(ISNUMBER($F25)),"Enter the final place",IF(N($F25)&gt;N($G25),"Place is bigger than the field: enter every team",IF($B25="","Enter the end date","OK"))))))</f>
        <v/>
      </c>
    </row>
    <row r="26">
      <c r="B26" s="9" t="n"/>
      <c r="G26" s="11">
        <f>IF(OR($A26="",NOT(ISNUMBER($F26))),"",COUNTIFS($A$5:$A$154,$A26,$F$5:$F$154,"&gt;0"))</f>
        <v/>
      </c>
      <c r="H26" s="11">
        <f>IF(OR($A26="",NOT(ISNUMBER($F26))),"",ROUND(Points!$B$4*IF($G26&lt;=1,1,Points!$H$7+(1-Points!$H$7)*((($G26-$F26)*(($G26-$F26)+1)/2)^2-((($G26-$F26-COUNTIFS($A$5:$A$154,$A26,$F$5:$F$154,$F26)+1)-1)*($G26-$F26-COUNTIFS($A$5:$A$154,$A26,$F$5:$F$154,$F26)+1)/2)^2)/(COUNTIFS($A$5:$A$154,$A26,$F$5:$F$154,$F26)*($G26-1)^3)),0))</f>
        <v/>
      </c>
      <c r="I26" s="11">
        <f>IF($A26="","","Final")</f>
        <v/>
      </c>
      <c r="J26" s="11">
        <f>IF($A26="","",IF($D26="","Add the players",IF(COUNTIF(Players!$A$2:$A$500,$D26)=0,"Player 1 is not on the Players tab",IF(NOT(ISNUMBER($F26)),"Enter the final place",IF(N($F26)&gt;N($G26),"Place is bigger than the field: enter every team",IF($B26="","Enter the end date","OK"))))))</f>
        <v/>
      </c>
    </row>
    <row r="27">
      <c r="B27" s="9" t="n"/>
      <c r="G27" s="11">
        <f>IF(OR($A27="",NOT(ISNUMBER($F27))),"",COUNTIFS($A$5:$A$154,$A27,$F$5:$F$154,"&gt;0"))</f>
        <v/>
      </c>
      <c r="H27" s="11">
        <f>IF(OR($A27="",NOT(ISNUMBER($F27))),"",ROUND(Points!$B$4*IF($G27&lt;=1,1,Points!$H$7+(1-Points!$H$7)*((($G27-$F27)*(($G27-$F27)+1)/2)^2-((($G27-$F27-COUNTIFS($A$5:$A$154,$A27,$F$5:$F$154,$F27)+1)-1)*($G27-$F27-COUNTIFS($A$5:$A$154,$A27,$F$5:$F$154,$F27)+1)/2)^2)/(COUNTIFS($A$5:$A$154,$A27,$F$5:$F$154,$F27)*($G27-1)^3)),0))</f>
        <v/>
      </c>
      <c r="I27" s="11">
        <f>IF($A27="","","Final")</f>
        <v/>
      </c>
      <c r="J27" s="11">
        <f>IF($A27="","",IF($D27="","Add the players",IF(COUNTIF(Players!$A$2:$A$500,$D27)=0,"Player 1 is not on the Players tab",IF(NOT(ISNUMBER($F27)),"Enter the final place",IF(N($F27)&gt;N($G27),"Place is bigger than the field: enter every team",IF($B27="","Enter the end date","OK"))))))</f>
        <v/>
      </c>
    </row>
    <row r="28">
      <c r="B28" s="9" t="n"/>
      <c r="G28" s="11">
        <f>IF(OR($A28="",NOT(ISNUMBER($F28))),"",COUNTIFS($A$5:$A$154,$A28,$F$5:$F$154,"&gt;0"))</f>
        <v/>
      </c>
      <c r="H28" s="11">
        <f>IF(OR($A28="",NOT(ISNUMBER($F28))),"",ROUND(Points!$B$4*IF($G28&lt;=1,1,Points!$H$7+(1-Points!$H$7)*((($G28-$F28)*(($G28-$F28)+1)/2)^2-((($G28-$F28-COUNTIFS($A$5:$A$154,$A28,$F$5:$F$154,$F28)+1)-1)*($G28-$F28-COUNTIFS($A$5:$A$154,$A28,$F$5:$F$154,$F28)+1)/2)^2)/(COUNTIFS($A$5:$A$154,$A28,$F$5:$F$154,$F28)*($G28-1)^3)),0))</f>
        <v/>
      </c>
      <c r="I28" s="11">
        <f>IF($A28="","","Final")</f>
        <v/>
      </c>
      <c r="J28" s="11">
        <f>IF($A28="","",IF($D28="","Add the players",IF(COUNTIF(Players!$A$2:$A$500,$D28)=0,"Player 1 is not on the Players tab",IF(NOT(ISNUMBER($F28)),"Enter the final place",IF(N($F28)&gt;N($G28),"Place is bigger than the field: enter every team",IF($B28="","Enter the end date","OK"))))))</f>
        <v/>
      </c>
    </row>
    <row r="29">
      <c r="B29" s="9" t="n"/>
      <c r="G29" s="11">
        <f>IF(OR($A29="",NOT(ISNUMBER($F29))),"",COUNTIFS($A$5:$A$154,$A29,$F$5:$F$154,"&gt;0"))</f>
        <v/>
      </c>
      <c r="H29" s="11">
        <f>IF(OR($A29="",NOT(ISNUMBER($F29))),"",ROUND(Points!$B$4*IF($G29&lt;=1,1,Points!$H$7+(1-Points!$H$7)*((($G29-$F29)*(($G29-$F29)+1)/2)^2-((($G29-$F29-COUNTIFS($A$5:$A$154,$A29,$F$5:$F$154,$F29)+1)-1)*($G29-$F29-COUNTIFS($A$5:$A$154,$A29,$F$5:$F$154,$F29)+1)/2)^2)/(COUNTIFS($A$5:$A$154,$A29,$F$5:$F$154,$F29)*($G29-1)^3)),0))</f>
        <v/>
      </c>
      <c r="I29" s="11">
        <f>IF($A29="","","Final")</f>
        <v/>
      </c>
      <c r="J29" s="11">
        <f>IF($A29="","",IF($D29="","Add the players",IF(COUNTIF(Players!$A$2:$A$500,$D29)=0,"Player 1 is not on the Players tab",IF(NOT(ISNUMBER($F29)),"Enter the final place",IF(N($F29)&gt;N($G29),"Place is bigger than the field: enter every team",IF($B29="","Enter the end date","OK"))))))</f>
        <v/>
      </c>
    </row>
    <row r="30">
      <c r="B30" s="9" t="n"/>
      <c r="G30" s="11">
        <f>IF(OR($A30="",NOT(ISNUMBER($F30))),"",COUNTIFS($A$5:$A$154,$A30,$F$5:$F$154,"&gt;0"))</f>
        <v/>
      </c>
      <c r="H30" s="11">
        <f>IF(OR($A30="",NOT(ISNUMBER($F30))),"",ROUND(Points!$B$4*IF($G30&lt;=1,1,Points!$H$7+(1-Points!$H$7)*((($G30-$F30)*(($G30-$F30)+1)/2)^2-((($G30-$F30-COUNTIFS($A$5:$A$154,$A30,$F$5:$F$154,$F30)+1)-1)*($G30-$F30-COUNTIFS($A$5:$A$154,$A30,$F$5:$F$154,$F30)+1)/2)^2)/(COUNTIFS($A$5:$A$154,$A30,$F$5:$F$154,$F30)*($G30-1)^3)),0))</f>
        <v/>
      </c>
      <c r="I30" s="11">
        <f>IF($A30="","","Final")</f>
        <v/>
      </c>
      <c r="J30" s="11">
        <f>IF($A30="","",IF($D30="","Add the players",IF(COUNTIF(Players!$A$2:$A$500,$D30)=0,"Player 1 is not on the Players tab",IF(NOT(ISNUMBER($F30)),"Enter the final place",IF(N($F30)&gt;N($G30),"Place is bigger than the field: enter every team",IF($B30="","Enter the end date","OK"))))))</f>
        <v/>
      </c>
    </row>
    <row r="31">
      <c r="B31" s="9" t="n"/>
      <c r="G31" s="11">
        <f>IF(OR($A31="",NOT(ISNUMBER($F31))),"",COUNTIFS($A$5:$A$154,$A31,$F$5:$F$154,"&gt;0"))</f>
        <v/>
      </c>
      <c r="H31" s="11">
        <f>IF(OR($A31="",NOT(ISNUMBER($F31))),"",ROUND(Points!$B$4*IF($G31&lt;=1,1,Points!$H$7+(1-Points!$H$7)*((($G31-$F31)*(($G31-$F31)+1)/2)^2-((($G31-$F31-COUNTIFS($A$5:$A$154,$A31,$F$5:$F$154,$F31)+1)-1)*($G31-$F31-COUNTIFS($A$5:$A$154,$A31,$F$5:$F$154,$F31)+1)/2)^2)/(COUNTIFS($A$5:$A$154,$A31,$F$5:$F$154,$F31)*($G31-1)^3)),0))</f>
        <v/>
      </c>
      <c r="I31" s="11">
        <f>IF($A31="","","Final")</f>
        <v/>
      </c>
      <c r="J31" s="11">
        <f>IF($A31="","",IF($D31="","Add the players",IF(COUNTIF(Players!$A$2:$A$500,$D31)=0,"Player 1 is not on the Players tab",IF(NOT(ISNUMBER($F31)),"Enter the final place",IF(N($F31)&gt;N($G31),"Place is bigger than the field: enter every team",IF($B31="","Enter the end date","OK"))))))</f>
        <v/>
      </c>
    </row>
    <row r="32">
      <c r="B32" s="9" t="n"/>
      <c r="G32" s="11">
        <f>IF(OR($A32="",NOT(ISNUMBER($F32))),"",COUNTIFS($A$5:$A$154,$A32,$F$5:$F$154,"&gt;0"))</f>
        <v/>
      </c>
      <c r="H32" s="11">
        <f>IF(OR($A32="",NOT(ISNUMBER($F32))),"",ROUND(Points!$B$4*IF($G32&lt;=1,1,Points!$H$7+(1-Points!$H$7)*((($G32-$F32)*(($G32-$F32)+1)/2)^2-((($G32-$F32-COUNTIFS($A$5:$A$154,$A32,$F$5:$F$154,$F32)+1)-1)*($G32-$F32-COUNTIFS($A$5:$A$154,$A32,$F$5:$F$154,$F32)+1)/2)^2)/(COUNTIFS($A$5:$A$154,$A32,$F$5:$F$154,$F32)*($G32-1)^3)),0))</f>
        <v/>
      </c>
      <c r="I32" s="11">
        <f>IF($A32="","","Final")</f>
        <v/>
      </c>
      <c r="J32" s="11">
        <f>IF($A32="","",IF($D32="","Add the players",IF(COUNTIF(Players!$A$2:$A$500,$D32)=0,"Player 1 is not on the Players tab",IF(NOT(ISNUMBER($F32)),"Enter the final place",IF(N($F32)&gt;N($G32),"Place is bigger than the field: enter every team",IF($B32="","Enter the end date","OK"))))))</f>
        <v/>
      </c>
    </row>
    <row r="33">
      <c r="B33" s="9" t="n"/>
      <c r="G33" s="11">
        <f>IF(OR($A33="",NOT(ISNUMBER($F33))),"",COUNTIFS($A$5:$A$154,$A33,$F$5:$F$154,"&gt;0"))</f>
        <v/>
      </c>
      <c r="H33" s="11">
        <f>IF(OR($A33="",NOT(ISNUMBER($F33))),"",ROUND(Points!$B$4*IF($G33&lt;=1,1,Points!$H$7+(1-Points!$H$7)*((($G33-$F33)*(($G33-$F33)+1)/2)^2-((($G33-$F33-COUNTIFS($A$5:$A$154,$A33,$F$5:$F$154,$F33)+1)-1)*($G33-$F33-COUNTIFS($A$5:$A$154,$A33,$F$5:$F$154,$F33)+1)/2)^2)/(COUNTIFS($A$5:$A$154,$A33,$F$5:$F$154,$F33)*($G33-1)^3)),0))</f>
        <v/>
      </c>
      <c r="I33" s="11">
        <f>IF($A33="","","Final")</f>
        <v/>
      </c>
      <c r="J33" s="11">
        <f>IF($A33="","",IF($D33="","Add the players",IF(COUNTIF(Players!$A$2:$A$500,$D33)=0,"Player 1 is not on the Players tab",IF(NOT(ISNUMBER($F33)),"Enter the final place",IF(N($F33)&gt;N($G33),"Place is bigger than the field: enter every team",IF($B33="","Enter the end date","OK"))))))</f>
        <v/>
      </c>
    </row>
    <row r="34">
      <c r="B34" s="9" t="n"/>
      <c r="G34" s="11">
        <f>IF(OR($A34="",NOT(ISNUMBER($F34))),"",COUNTIFS($A$5:$A$154,$A34,$F$5:$F$154,"&gt;0"))</f>
        <v/>
      </c>
      <c r="H34" s="11">
        <f>IF(OR($A34="",NOT(ISNUMBER($F34))),"",ROUND(Points!$B$4*IF($G34&lt;=1,1,Points!$H$7+(1-Points!$H$7)*((($G34-$F34)*(($G34-$F34)+1)/2)^2-((($G34-$F34-COUNTIFS($A$5:$A$154,$A34,$F$5:$F$154,$F34)+1)-1)*($G34-$F34-COUNTIFS($A$5:$A$154,$A34,$F$5:$F$154,$F34)+1)/2)^2)/(COUNTIFS($A$5:$A$154,$A34,$F$5:$F$154,$F34)*($G34-1)^3)),0))</f>
        <v/>
      </c>
      <c r="I34" s="11">
        <f>IF($A34="","","Final")</f>
        <v/>
      </c>
      <c r="J34" s="11">
        <f>IF($A34="","",IF($D34="","Add the players",IF(COUNTIF(Players!$A$2:$A$500,$D34)=0,"Player 1 is not on the Players tab",IF(NOT(ISNUMBER($F34)),"Enter the final place",IF(N($F34)&gt;N($G34),"Place is bigger than the field: enter every team",IF($B34="","Enter the end date","OK"))))))</f>
        <v/>
      </c>
    </row>
    <row r="35">
      <c r="B35" s="9" t="n"/>
      <c r="G35" s="11">
        <f>IF(OR($A35="",NOT(ISNUMBER($F35))),"",COUNTIFS($A$5:$A$154,$A35,$F$5:$F$154,"&gt;0"))</f>
        <v/>
      </c>
      <c r="H35" s="11">
        <f>IF(OR($A35="",NOT(ISNUMBER($F35))),"",ROUND(Points!$B$4*IF($G35&lt;=1,1,Points!$H$7+(1-Points!$H$7)*((($G35-$F35)*(($G35-$F35)+1)/2)^2-((($G35-$F35-COUNTIFS($A$5:$A$154,$A35,$F$5:$F$154,$F35)+1)-1)*($G35-$F35-COUNTIFS($A$5:$A$154,$A35,$F$5:$F$154,$F35)+1)/2)^2)/(COUNTIFS($A$5:$A$154,$A35,$F$5:$F$154,$F35)*($G35-1)^3)),0))</f>
        <v/>
      </c>
      <c r="I35" s="11">
        <f>IF($A35="","","Final")</f>
        <v/>
      </c>
      <c r="J35" s="11">
        <f>IF($A35="","",IF($D35="","Add the players",IF(COUNTIF(Players!$A$2:$A$500,$D35)=0,"Player 1 is not on the Players tab",IF(NOT(ISNUMBER($F35)),"Enter the final place",IF(N($F35)&gt;N($G35),"Place is bigger than the field: enter every team",IF($B35="","Enter the end date","OK"))))))</f>
        <v/>
      </c>
    </row>
    <row r="36">
      <c r="B36" s="9" t="n"/>
      <c r="G36" s="11">
        <f>IF(OR($A36="",NOT(ISNUMBER($F36))),"",COUNTIFS($A$5:$A$154,$A36,$F$5:$F$154,"&gt;0"))</f>
        <v/>
      </c>
      <c r="H36" s="11">
        <f>IF(OR($A36="",NOT(ISNUMBER($F36))),"",ROUND(Points!$B$4*IF($G36&lt;=1,1,Points!$H$7+(1-Points!$H$7)*((($G36-$F36)*(($G36-$F36)+1)/2)^2-((($G36-$F36-COUNTIFS($A$5:$A$154,$A36,$F$5:$F$154,$F36)+1)-1)*($G36-$F36-COUNTIFS($A$5:$A$154,$A36,$F$5:$F$154,$F36)+1)/2)^2)/(COUNTIFS($A$5:$A$154,$A36,$F$5:$F$154,$F36)*($G36-1)^3)),0))</f>
        <v/>
      </c>
      <c r="I36" s="11">
        <f>IF($A36="","","Final")</f>
        <v/>
      </c>
      <c r="J36" s="11">
        <f>IF($A36="","",IF($D36="","Add the players",IF(COUNTIF(Players!$A$2:$A$500,$D36)=0,"Player 1 is not on the Players tab",IF(NOT(ISNUMBER($F36)),"Enter the final place",IF(N($F36)&gt;N($G36),"Place is bigger than the field: enter every team",IF($B36="","Enter the end date","OK"))))))</f>
        <v/>
      </c>
    </row>
    <row r="37">
      <c r="B37" s="9" t="n"/>
      <c r="G37" s="11">
        <f>IF(OR($A37="",NOT(ISNUMBER($F37))),"",COUNTIFS($A$5:$A$154,$A37,$F$5:$F$154,"&gt;0"))</f>
        <v/>
      </c>
      <c r="H37" s="11">
        <f>IF(OR($A37="",NOT(ISNUMBER($F37))),"",ROUND(Points!$B$4*IF($G37&lt;=1,1,Points!$H$7+(1-Points!$H$7)*((($G37-$F37)*(($G37-$F37)+1)/2)^2-((($G37-$F37-COUNTIFS($A$5:$A$154,$A37,$F$5:$F$154,$F37)+1)-1)*($G37-$F37-COUNTIFS($A$5:$A$154,$A37,$F$5:$F$154,$F37)+1)/2)^2)/(COUNTIFS($A$5:$A$154,$A37,$F$5:$F$154,$F37)*($G37-1)^3)),0))</f>
        <v/>
      </c>
      <c r="I37" s="11">
        <f>IF($A37="","","Final")</f>
        <v/>
      </c>
      <c r="J37" s="11">
        <f>IF($A37="","",IF($D37="","Add the players",IF(COUNTIF(Players!$A$2:$A$500,$D37)=0,"Player 1 is not on the Players tab",IF(NOT(ISNUMBER($F37)),"Enter the final place",IF(N($F37)&gt;N($G37),"Place is bigger than the field: enter every team",IF($B37="","Enter the end date","OK"))))))</f>
        <v/>
      </c>
    </row>
    <row r="38">
      <c r="B38" s="9" t="n"/>
      <c r="G38" s="11">
        <f>IF(OR($A38="",NOT(ISNUMBER($F38))),"",COUNTIFS($A$5:$A$154,$A38,$F$5:$F$154,"&gt;0"))</f>
        <v/>
      </c>
      <c r="H38" s="11">
        <f>IF(OR($A38="",NOT(ISNUMBER($F38))),"",ROUND(Points!$B$4*IF($G38&lt;=1,1,Points!$H$7+(1-Points!$H$7)*((($G38-$F38)*(($G38-$F38)+1)/2)^2-((($G38-$F38-COUNTIFS($A$5:$A$154,$A38,$F$5:$F$154,$F38)+1)-1)*($G38-$F38-COUNTIFS($A$5:$A$154,$A38,$F$5:$F$154,$F38)+1)/2)^2)/(COUNTIFS($A$5:$A$154,$A38,$F$5:$F$154,$F38)*($G38-1)^3)),0))</f>
        <v/>
      </c>
      <c r="I38" s="11">
        <f>IF($A38="","","Final")</f>
        <v/>
      </c>
      <c r="J38" s="11">
        <f>IF($A38="","",IF($D38="","Add the players",IF(COUNTIF(Players!$A$2:$A$500,$D38)=0,"Player 1 is not on the Players tab",IF(NOT(ISNUMBER($F38)),"Enter the final place",IF(N($F38)&gt;N($G38),"Place is bigger than the field: enter every team",IF($B38="","Enter the end date","OK"))))))</f>
        <v/>
      </c>
    </row>
    <row r="39">
      <c r="B39" s="9" t="n"/>
      <c r="G39" s="11">
        <f>IF(OR($A39="",NOT(ISNUMBER($F39))),"",COUNTIFS($A$5:$A$154,$A39,$F$5:$F$154,"&gt;0"))</f>
        <v/>
      </c>
      <c r="H39" s="11">
        <f>IF(OR($A39="",NOT(ISNUMBER($F39))),"",ROUND(Points!$B$4*IF($G39&lt;=1,1,Points!$H$7+(1-Points!$H$7)*((($G39-$F39)*(($G39-$F39)+1)/2)^2-((($G39-$F39-COUNTIFS($A$5:$A$154,$A39,$F$5:$F$154,$F39)+1)-1)*($G39-$F39-COUNTIFS($A$5:$A$154,$A39,$F$5:$F$154,$F39)+1)/2)^2)/(COUNTIFS($A$5:$A$154,$A39,$F$5:$F$154,$F39)*($G39-1)^3)),0))</f>
        <v/>
      </c>
      <c r="I39" s="11">
        <f>IF($A39="","","Final")</f>
        <v/>
      </c>
      <c r="J39" s="11">
        <f>IF($A39="","",IF($D39="","Add the players",IF(COUNTIF(Players!$A$2:$A$500,$D39)=0,"Player 1 is not on the Players tab",IF(NOT(ISNUMBER($F39)),"Enter the final place",IF(N($F39)&gt;N($G39),"Place is bigger than the field: enter every team",IF($B39="","Enter the end date","OK"))))))</f>
        <v/>
      </c>
    </row>
    <row r="40">
      <c r="B40" s="9" t="n"/>
      <c r="G40" s="11">
        <f>IF(OR($A40="",NOT(ISNUMBER($F40))),"",COUNTIFS($A$5:$A$154,$A40,$F$5:$F$154,"&gt;0"))</f>
        <v/>
      </c>
      <c r="H40" s="11">
        <f>IF(OR($A40="",NOT(ISNUMBER($F40))),"",ROUND(Points!$B$4*IF($G40&lt;=1,1,Points!$H$7+(1-Points!$H$7)*((($G40-$F40)*(($G40-$F40)+1)/2)^2-((($G40-$F40-COUNTIFS($A$5:$A$154,$A40,$F$5:$F$154,$F40)+1)-1)*($G40-$F40-COUNTIFS($A$5:$A$154,$A40,$F$5:$F$154,$F40)+1)/2)^2)/(COUNTIFS($A$5:$A$154,$A40,$F$5:$F$154,$F40)*($G40-1)^3)),0))</f>
        <v/>
      </c>
      <c r="I40" s="11">
        <f>IF($A40="","","Final")</f>
        <v/>
      </c>
      <c r="J40" s="11">
        <f>IF($A40="","",IF($D40="","Add the players",IF(COUNTIF(Players!$A$2:$A$500,$D40)=0,"Player 1 is not on the Players tab",IF(NOT(ISNUMBER($F40)),"Enter the final place",IF(N($F40)&gt;N($G40),"Place is bigger than the field: enter every team",IF($B40="","Enter the end date","OK"))))))</f>
        <v/>
      </c>
    </row>
    <row r="41">
      <c r="B41" s="9" t="n"/>
      <c r="G41" s="11">
        <f>IF(OR($A41="",NOT(ISNUMBER($F41))),"",COUNTIFS($A$5:$A$154,$A41,$F$5:$F$154,"&gt;0"))</f>
        <v/>
      </c>
      <c r="H41" s="11">
        <f>IF(OR($A41="",NOT(ISNUMBER($F41))),"",ROUND(Points!$B$4*IF($G41&lt;=1,1,Points!$H$7+(1-Points!$H$7)*((($G41-$F41)*(($G41-$F41)+1)/2)^2-((($G41-$F41-COUNTIFS($A$5:$A$154,$A41,$F$5:$F$154,$F41)+1)-1)*($G41-$F41-COUNTIFS($A$5:$A$154,$A41,$F$5:$F$154,$F41)+1)/2)^2)/(COUNTIFS($A$5:$A$154,$A41,$F$5:$F$154,$F41)*($G41-1)^3)),0))</f>
        <v/>
      </c>
      <c r="I41" s="11">
        <f>IF($A41="","","Final")</f>
        <v/>
      </c>
      <c r="J41" s="11">
        <f>IF($A41="","",IF($D41="","Add the players",IF(COUNTIF(Players!$A$2:$A$500,$D41)=0,"Player 1 is not on the Players tab",IF(NOT(ISNUMBER($F41)),"Enter the final place",IF(N($F41)&gt;N($G41),"Place is bigger than the field: enter every team",IF($B41="","Enter the end date","OK"))))))</f>
        <v/>
      </c>
    </row>
    <row r="42">
      <c r="B42" s="9" t="n"/>
      <c r="G42" s="11">
        <f>IF(OR($A42="",NOT(ISNUMBER($F42))),"",COUNTIFS($A$5:$A$154,$A42,$F$5:$F$154,"&gt;0"))</f>
        <v/>
      </c>
      <c r="H42" s="11">
        <f>IF(OR($A42="",NOT(ISNUMBER($F42))),"",ROUND(Points!$B$4*IF($G42&lt;=1,1,Points!$H$7+(1-Points!$H$7)*((($G42-$F42)*(($G42-$F42)+1)/2)^2-((($G42-$F42-COUNTIFS($A$5:$A$154,$A42,$F$5:$F$154,$F42)+1)-1)*($G42-$F42-COUNTIFS($A$5:$A$154,$A42,$F$5:$F$154,$F42)+1)/2)^2)/(COUNTIFS($A$5:$A$154,$A42,$F$5:$F$154,$F42)*($G42-1)^3)),0))</f>
        <v/>
      </c>
      <c r="I42" s="11">
        <f>IF($A42="","","Final")</f>
        <v/>
      </c>
      <c r="J42" s="11">
        <f>IF($A42="","",IF($D42="","Add the players",IF(COUNTIF(Players!$A$2:$A$500,$D42)=0,"Player 1 is not on the Players tab",IF(NOT(ISNUMBER($F42)),"Enter the final place",IF(N($F42)&gt;N($G42),"Place is bigger than the field: enter every team",IF($B42="","Enter the end date","OK"))))))</f>
        <v/>
      </c>
    </row>
    <row r="43">
      <c r="B43" s="9" t="n"/>
      <c r="G43" s="11">
        <f>IF(OR($A43="",NOT(ISNUMBER($F43))),"",COUNTIFS($A$5:$A$154,$A43,$F$5:$F$154,"&gt;0"))</f>
        <v/>
      </c>
      <c r="H43" s="11">
        <f>IF(OR($A43="",NOT(ISNUMBER($F43))),"",ROUND(Points!$B$4*IF($G43&lt;=1,1,Points!$H$7+(1-Points!$H$7)*((($G43-$F43)*(($G43-$F43)+1)/2)^2-((($G43-$F43-COUNTIFS($A$5:$A$154,$A43,$F$5:$F$154,$F43)+1)-1)*($G43-$F43-COUNTIFS($A$5:$A$154,$A43,$F$5:$F$154,$F43)+1)/2)^2)/(COUNTIFS($A$5:$A$154,$A43,$F$5:$F$154,$F43)*($G43-1)^3)),0))</f>
        <v/>
      </c>
      <c r="I43" s="11">
        <f>IF($A43="","","Final")</f>
        <v/>
      </c>
      <c r="J43" s="11">
        <f>IF($A43="","",IF($D43="","Add the players",IF(COUNTIF(Players!$A$2:$A$500,$D43)=0,"Player 1 is not on the Players tab",IF(NOT(ISNUMBER($F43)),"Enter the final place",IF(N($F43)&gt;N($G43),"Place is bigger than the field: enter every team",IF($B43="","Enter the end date","OK"))))))</f>
        <v/>
      </c>
    </row>
    <row r="44">
      <c r="B44" s="9" t="n"/>
      <c r="G44" s="11">
        <f>IF(OR($A44="",NOT(ISNUMBER($F44))),"",COUNTIFS($A$5:$A$154,$A44,$F$5:$F$154,"&gt;0"))</f>
        <v/>
      </c>
      <c r="H44" s="11">
        <f>IF(OR($A44="",NOT(ISNUMBER($F44))),"",ROUND(Points!$B$4*IF($G44&lt;=1,1,Points!$H$7+(1-Points!$H$7)*((($G44-$F44)*(($G44-$F44)+1)/2)^2-((($G44-$F44-COUNTIFS($A$5:$A$154,$A44,$F$5:$F$154,$F44)+1)-1)*($G44-$F44-COUNTIFS($A$5:$A$154,$A44,$F$5:$F$154,$F44)+1)/2)^2)/(COUNTIFS($A$5:$A$154,$A44,$F$5:$F$154,$F44)*($G44-1)^3)),0))</f>
        <v/>
      </c>
      <c r="I44" s="11">
        <f>IF($A44="","","Final")</f>
        <v/>
      </c>
      <c r="J44" s="11">
        <f>IF($A44="","",IF($D44="","Add the players",IF(COUNTIF(Players!$A$2:$A$500,$D44)=0,"Player 1 is not on the Players tab",IF(NOT(ISNUMBER($F44)),"Enter the final place",IF(N($F44)&gt;N($G44),"Place is bigger than the field: enter every team",IF($B44="","Enter the end date","OK"))))))</f>
        <v/>
      </c>
    </row>
    <row r="45">
      <c r="B45" s="9" t="n"/>
      <c r="G45" s="11">
        <f>IF(OR($A45="",NOT(ISNUMBER($F45))),"",COUNTIFS($A$5:$A$154,$A45,$F$5:$F$154,"&gt;0"))</f>
        <v/>
      </c>
      <c r="H45" s="11">
        <f>IF(OR($A45="",NOT(ISNUMBER($F45))),"",ROUND(Points!$B$4*IF($G45&lt;=1,1,Points!$H$7+(1-Points!$H$7)*((($G45-$F45)*(($G45-$F45)+1)/2)^2-((($G45-$F45-COUNTIFS($A$5:$A$154,$A45,$F$5:$F$154,$F45)+1)-1)*($G45-$F45-COUNTIFS($A$5:$A$154,$A45,$F$5:$F$154,$F45)+1)/2)^2)/(COUNTIFS($A$5:$A$154,$A45,$F$5:$F$154,$F45)*($G45-1)^3)),0))</f>
        <v/>
      </c>
      <c r="I45" s="11">
        <f>IF($A45="","","Final")</f>
        <v/>
      </c>
      <c r="J45" s="11">
        <f>IF($A45="","",IF($D45="","Add the players",IF(COUNTIF(Players!$A$2:$A$500,$D45)=0,"Player 1 is not on the Players tab",IF(NOT(ISNUMBER($F45)),"Enter the final place",IF(N($F45)&gt;N($G45),"Place is bigger than the field: enter every team",IF($B45="","Enter the end date","OK"))))))</f>
        <v/>
      </c>
    </row>
    <row r="46">
      <c r="B46" s="9" t="n"/>
      <c r="G46" s="11">
        <f>IF(OR($A46="",NOT(ISNUMBER($F46))),"",COUNTIFS($A$5:$A$154,$A46,$F$5:$F$154,"&gt;0"))</f>
        <v/>
      </c>
      <c r="H46" s="11">
        <f>IF(OR($A46="",NOT(ISNUMBER($F46))),"",ROUND(Points!$B$4*IF($G46&lt;=1,1,Points!$H$7+(1-Points!$H$7)*((($G46-$F46)*(($G46-$F46)+1)/2)^2-((($G46-$F46-COUNTIFS($A$5:$A$154,$A46,$F$5:$F$154,$F46)+1)-1)*($G46-$F46-COUNTIFS($A$5:$A$154,$A46,$F$5:$F$154,$F46)+1)/2)^2)/(COUNTIFS($A$5:$A$154,$A46,$F$5:$F$154,$F46)*($G46-1)^3)),0))</f>
        <v/>
      </c>
      <c r="I46" s="11">
        <f>IF($A46="","","Final")</f>
        <v/>
      </c>
      <c r="J46" s="11">
        <f>IF($A46="","",IF($D46="","Add the players",IF(COUNTIF(Players!$A$2:$A$500,$D46)=0,"Player 1 is not on the Players tab",IF(NOT(ISNUMBER($F46)),"Enter the final place",IF(N($F46)&gt;N($G46),"Place is bigger than the field: enter every team",IF($B46="","Enter the end date","OK"))))))</f>
        <v/>
      </c>
    </row>
    <row r="47">
      <c r="B47" s="9" t="n"/>
      <c r="G47" s="11">
        <f>IF(OR($A47="",NOT(ISNUMBER($F47))),"",COUNTIFS($A$5:$A$154,$A47,$F$5:$F$154,"&gt;0"))</f>
        <v/>
      </c>
      <c r="H47" s="11">
        <f>IF(OR($A47="",NOT(ISNUMBER($F47))),"",ROUND(Points!$B$4*IF($G47&lt;=1,1,Points!$H$7+(1-Points!$H$7)*((($G47-$F47)*(($G47-$F47)+1)/2)^2-((($G47-$F47-COUNTIFS($A$5:$A$154,$A47,$F$5:$F$154,$F47)+1)-1)*($G47-$F47-COUNTIFS($A$5:$A$154,$A47,$F$5:$F$154,$F47)+1)/2)^2)/(COUNTIFS($A$5:$A$154,$A47,$F$5:$F$154,$F47)*($G47-1)^3)),0))</f>
        <v/>
      </c>
      <c r="I47" s="11">
        <f>IF($A47="","","Final")</f>
        <v/>
      </c>
      <c r="J47" s="11">
        <f>IF($A47="","",IF($D47="","Add the players",IF(COUNTIF(Players!$A$2:$A$500,$D47)=0,"Player 1 is not on the Players tab",IF(NOT(ISNUMBER($F47)),"Enter the final place",IF(N($F47)&gt;N($G47),"Place is bigger than the field: enter every team",IF($B47="","Enter the end date","OK"))))))</f>
        <v/>
      </c>
    </row>
    <row r="48">
      <c r="B48" s="9" t="n"/>
      <c r="G48" s="11">
        <f>IF(OR($A48="",NOT(ISNUMBER($F48))),"",COUNTIFS($A$5:$A$154,$A48,$F$5:$F$154,"&gt;0"))</f>
        <v/>
      </c>
      <c r="H48" s="11">
        <f>IF(OR($A48="",NOT(ISNUMBER($F48))),"",ROUND(Points!$B$4*IF($G48&lt;=1,1,Points!$H$7+(1-Points!$H$7)*((($G48-$F48)*(($G48-$F48)+1)/2)^2-((($G48-$F48-COUNTIFS($A$5:$A$154,$A48,$F$5:$F$154,$F48)+1)-1)*($G48-$F48-COUNTIFS($A$5:$A$154,$A48,$F$5:$F$154,$F48)+1)/2)^2)/(COUNTIFS($A$5:$A$154,$A48,$F$5:$F$154,$F48)*($G48-1)^3)),0))</f>
        <v/>
      </c>
      <c r="I48" s="11">
        <f>IF($A48="","","Final")</f>
        <v/>
      </c>
      <c r="J48" s="11">
        <f>IF($A48="","",IF($D48="","Add the players",IF(COUNTIF(Players!$A$2:$A$500,$D48)=0,"Player 1 is not on the Players tab",IF(NOT(ISNUMBER($F48)),"Enter the final place",IF(N($F48)&gt;N($G48),"Place is bigger than the field: enter every team",IF($B48="","Enter the end date","OK"))))))</f>
        <v/>
      </c>
    </row>
    <row r="49">
      <c r="B49" s="9" t="n"/>
      <c r="G49" s="11">
        <f>IF(OR($A49="",NOT(ISNUMBER($F49))),"",COUNTIFS($A$5:$A$154,$A49,$F$5:$F$154,"&gt;0"))</f>
        <v/>
      </c>
      <c r="H49" s="11">
        <f>IF(OR($A49="",NOT(ISNUMBER($F49))),"",ROUND(Points!$B$4*IF($G49&lt;=1,1,Points!$H$7+(1-Points!$H$7)*((($G49-$F49)*(($G49-$F49)+1)/2)^2-((($G49-$F49-COUNTIFS($A$5:$A$154,$A49,$F$5:$F$154,$F49)+1)-1)*($G49-$F49-COUNTIFS($A$5:$A$154,$A49,$F$5:$F$154,$F49)+1)/2)^2)/(COUNTIFS($A$5:$A$154,$A49,$F$5:$F$154,$F49)*($G49-1)^3)),0))</f>
        <v/>
      </c>
      <c r="I49" s="11">
        <f>IF($A49="","","Final")</f>
        <v/>
      </c>
      <c r="J49" s="11">
        <f>IF($A49="","",IF($D49="","Add the players",IF(COUNTIF(Players!$A$2:$A$500,$D49)=0,"Player 1 is not on the Players tab",IF(NOT(ISNUMBER($F49)),"Enter the final place",IF(N($F49)&gt;N($G49),"Place is bigger than the field: enter every team",IF($B49="","Enter the end date","OK"))))))</f>
        <v/>
      </c>
    </row>
    <row r="50">
      <c r="B50" s="9" t="n"/>
      <c r="G50" s="11">
        <f>IF(OR($A50="",NOT(ISNUMBER($F50))),"",COUNTIFS($A$5:$A$154,$A50,$F$5:$F$154,"&gt;0"))</f>
        <v/>
      </c>
      <c r="H50" s="11">
        <f>IF(OR($A50="",NOT(ISNUMBER($F50))),"",ROUND(Points!$B$4*IF($G50&lt;=1,1,Points!$H$7+(1-Points!$H$7)*((($G50-$F50)*(($G50-$F50)+1)/2)^2-((($G50-$F50-COUNTIFS($A$5:$A$154,$A50,$F$5:$F$154,$F50)+1)-1)*($G50-$F50-COUNTIFS($A$5:$A$154,$A50,$F$5:$F$154,$F50)+1)/2)^2)/(COUNTIFS($A$5:$A$154,$A50,$F$5:$F$154,$F50)*($G50-1)^3)),0))</f>
        <v/>
      </c>
      <c r="I50" s="11">
        <f>IF($A50="","","Final")</f>
        <v/>
      </c>
      <c r="J50" s="11">
        <f>IF($A50="","",IF($D50="","Add the players",IF(COUNTIF(Players!$A$2:$A$500,$D50)=0,"Player 1 is not on the Players tab",IF(NOT(ISNUMBER($F50)),"Enter the final place",IF(N($F50)&gt;N($G50),"Place is bigger than the field: enter every team",IF($B50="","Enter the end date","OK"))))))</f>
        <v/>
      </c>
    </row>
    <row r="51">
      <c r="B51" s="9" t="n"/>
      <c r="G51" s="11">
        <f>IF(OR($A51="",NOT(ISNUMBER($F51))),"",COUNTIFS($A$5:$A$154,$A51,$F$5:$F$154,"&gt;0"))</f>
        <v/>
      </c>
      <c r="H51" s="11">
        <f>IF(OR($A51="",NOT(ISNUMBER($F51))),"",ROUND(Points!$B$4*IF($G51&lt;=1,1,Points!$H$7+(1-Points!$H$7)*((($G51-$F51)*(($G51-$F51)+1)/2)^2-((($G51-$F51-COUNTIFS($A$5:$A$154,$A51,$F$5:$F$154,$F51)+1)-1)*($G51-$F51-COUNTIFS($A$5:$A$154,$A51,$F$5:$F$154,$F51)+1)/2)^2)/(COUNTIFS($A$5:$A$154,$A51,$F$5:$F$154,$F51)*($G51-1)^3)),0))</f>
        <v/>
      </c>
      <c r="I51" s="11">
        <f>IF($A51="","","Final")</f>
        <v/>
      </c>
      <c r="J51" s="11">
        <f>IF($A51="","",IF($D51="","Add the players",IF(COUNTIF(Players!$A$2:$A$500,$D51)=0,"Player 1 is not on the Players tab",IF(NOT(ISNUMBER($F51)),"Enter the final place",IF(N($F51)&gt;N($G51),"Place is bigger than the field: enter every team",IF($B51="","Enter the end date","OK"))))))</f>
        <v/>
      </c>
    </row>
    <row r="52">
      <c r="B52" s="9" t="n"/>
      <c r="G52" s="11">
        <f>IF(OR($A52="",NOT(ISNUMBER($F52))),"",COUNTIFS($A$5:$A$154,$A52,$F$5:$F$154,"&gt;0"))</f>
        <v/>
      </c>
      <c r="H52" s="11">
        <f>IF(OR($A52="",NOT(ISNUMBER($F52))),"",ROUND(Points!$B$4*IF($G52&lt;=1,1,Points!$H$7+(1-Points!$H$7)*((($G52-$F52)*(($G52-$F52)+1)/2)^2-((($G52-$F52-COUNTIFS($A$5:$A$154,$A52,$F$5:$F$154,$F52)+1)-1)*($G52-$F52-COUNTIFS($A$5:$A$154,$A52,$F$5:$F$154,$F52)+1)/2)^2)/(COUNTIFS($A$5:$A$154,$A52,$F$5:$F$154,$F52)*($G52-1)^3)),0))</f>
        <v/>
      </c>
      <c r="I52" s="11">
        <f>IF($A52="","","Final")</f>
        <v/>
      </c>
      <c r="J52" s="11">
        <f>IF($A52="","",IF($D52="","Add the players",IF(COUNTIF(Players!$A$2:$A$500,$D52)=0,"Player 1 is not on the Players tab",IF(NOT(ISNUMBER($F52)),"Enter the final place",IF(N($F52)&gt;N($G52),"Place is bigger than the field: enter every team",IF($B52="","Enter the end date","OK"))))))</f>
        <v/>
      </c>
    </row>
    <row r="53">
      <c r="B53" s="9" t="n"/>
      <c r="G53" s="11">
        <f>IF(OR($A53="",NOT(ISNUMBER($F53))),"",COUNTIFS($A$5:$A$154,$A53,$F$5:$F$154,"&gt;0"))</f>
        <v/>
      </c>
      <c r="H53" s="11">
        <f>IF(OR($A53="",NOT(ISNUMBER($F53))),"",ROUND(Points!$B$4*IF($G53&lt;=1,1,Points!$H$7+(1-Points!$H$7)*((($G53-$F53)*(($G53-$F53)+1)/2)^2-((($G53-$F53-COUNTIFS($A$5:$A$154,$A53,$F$5:$F$154,$F53)+1)-1)*($G53-$F53-COUNTIFS($A$5:$A$154,$A53,$F$5:$F$154,$F53)+1)/2)^2)/(COUNTIFS($A$5:$A$154,$A53,$F$5:$F$154,$F53)*($G53-1)^3)),0))</f>
        <v/>
      </c>
      <c r="I53" s="11">
        <f>IF($A53="","","Final")</f>
        <v/>
      </c>
      <c r="J53" s="11">
        <f>IF($A53="","",IF($D53="","Add the players",IF(COUNTIF(Players!$A$2:$A$500,$D53)=0,"Player 1 is not on the Players tab",IF(NOT(ISNUMBER($F53)),"Enter the final place",IF(N($F53)&gt;N($G53),"Place is bigger than the field: enter every team",IF($B53="","Enter the end date","OK"))))))</f>
        <v/>
      </c>
    </row>
    <row r="54">
      <c r="B54" s="9" t="n"/>
      <c r="G54" s="11">
        <f>IF(OR($A54="",NOT(ISNUMBER($F54))),"",COUNTIFS($A$5:$A$154,$A54,$F$5:$F$154,"&gt;0"))</f>
        <v/>
      </c>
      <c r="H54" s="11">
        <f>IF(OR($A54="",NOT(ISNUMBER($F54))),"",ROUND(Points!$B$4*IF($G54&lt;=1,1,Points!$H$7+(1-Points!$H$7)*((($G54-$F54)*(($G54-$F54)+1)/2)^2-((($G54-$F54-COUNTIFS($A$5:$A$154,$A54,$F$5:$F$154,$F54)+1)-1)*($G54-$F54-COUNTIFS($A$5:$A$154,$A54,$F$5:$F$154,$F54)+1)/2)^2)/(COUNTIFS($A$5:$A$154,$A54,$F$5:$F$154,$F54)*($G54-1)^3)),0))</f>
        <v/>
      </c>
      <c r="I54" s="11">
        <f>IF($A54="","","Final")</f>
        <v/>
      </c>
      <c r="J54" s="11">
        <f>IF($A54="","",IF($D54="","Add the players",IF(COUNTIF(Players!$A$2:$A$500,$D54)=0,"Player 1 is not on the Players tab",IF(NOT(ISNUMBER($F54)),"Enter the final place",IF(N($F54)&gt;N($G54),"Place is bigger than the field: enter every team",IF($B54="","Enter the end date","OK"))))))</f>
        <v/>
      </c>
    </row>
    <row r="55">
      <c r="B55" s="9" t="n"/>
      <c r="G55" s="11">
        <f>IF(OR($A55="",NOT(ISNUMBER($F55))),"",COUNTIFS($A$5:$A$154,$A55,$F$5:$F$154,"&gt;0"))</f>
        <v/>
      </c>
      <c r="H55" s="11">
        <f>IF(OR($A55="",NOT(ISNUMBER($F55))),"",ROUND(Points!$B$4*IF($G55&lt;=1,1,Points!$H$7+(1-Points!$H$7)*((($G55-$F55)*(($G55-$F55)+1)/2)^2-((($G55-$F55-COUNTIFS($A$5:$A$154,$A55,$F$5:$F$154,$F55)+1)-1)*($G55-$F55-COUNTIFS($A$5:$A$154,$A55,$F$5:$F$154,$F55)+1)/2)^2)/(COUNTIFS($A$5:$A$154,$A55,$F$5:$F$154,$F55)*($G55-1)^3)),0))</f>
        <v/>
      </c>
      <c r="I55" s="11">
        <f>IF($A55="","","Final")</f>
        <v/>
      </c>
      <c r="J55" s="11">
        <f>IF($A55="","",IF($D55="","Add the players",IF(COUNTIF(Players!$A$2:$A$500,$D55)=0,"Player 1 is not on the Players tab",IF(NOT(ISNUMBER($F55)),"Enter the final place",IF(N($F55)&gt;N($G55),"Place is bigger than the field: enter every team",IF($B55="","Enter the end date","OK"))))))</f>
        <v/>
      </c>
    </row>
    <row r="56">
      <c r="B56" s="9" t="n"/>
      <c r="G56" s="11">
        <f>IF(OR($A56="",NOT(ISNUMBER($F56))),"",COUNTIFS($A$5:$A$154,$A56,$F$5:$F$154,"&gt;0"))</f>
        <v/>
      </c>
      <c r="H56" s="11">
        <f>IF(OR($A56="",NOT(ISNUMBER($F56))),"",ROUND(Points!$B$4*IF($G56&lt;=1,1,Points!$H$7+(1-Points!$H$7)*((($G56-$F56)*(($G56-$F56)+1)/2)^2-((($G56-$F56-COUNTIFS($A$5:$A$154,$A56,$F$5:$F$154,$F56)+1)-1)*($G56-$F56-COUNTIFS($A$5:$A$154,$A56,$F$5:$F$154,$F56)+1)/2)^2)/(COUNTIFS($A$5:$A$154,$A56,$F$5:$F$154,$F56)*($G56-1)^3)),0))</f>
        <v/>
      </c>
      <c r="I56" s="11">
        <f>IF($A56="","","Final")</f>
        <v/>
      </c>
      <c r="J56" s="11">
        <f>IF($A56="","",IF($D56="","Add the players",IF(COUNTIF(Players!$A$2:$A$500,$D56)=0,"Player 1 is not on the Players tab",IF(NOT(ISNUMBER($F56)),"Enter the final place",IF(N($F56)&gt;N($G56),"Place is bigger than the field: enter every team",IF($B56="","Enter the end date","OK"))))))</f>
        <v/>
      </c>
    </row>
    <row r="57">
      <c r="B57" s="9" t="n"/>
      <c r="G57" s="11">
        <f>IF(OR($A57="",NOT(ISNUMBER($F57))),"",COUNTIFS($A$5:$A$154,$A57,$F$5:$F$154,"&gt;0"))</f>
        <v/>
      </c>
      <c r="H57" s="11">
        <f>IF(OR($A57="",NOT(ISNUMBER($F57))),"",ROUND(Points!$B$4*IF($G57&lt;=1,1,Points!$H$7+(1-Points!$H$7)*((($G57-$F57)*(($G57-$F57)+1)/2)^2-((($G57-$F57-COUNTIFS($A$5:$A$154,$A57,$F$5:$F$154,$F57)+1)-1)*($G57-$F57-COUNTIFS($A$5:$A$154,$A57,$F$5:$F$154,$F57)+1)/2)^2)/(COUNTIFS($A$5:$A$154,$A57,$F$5:$F$154,$F57)*($G57-1)^3)),0))</f>
        <v/>
      </c>
      <c r="I57" s="11">
        <f>IF($A57="","","Final")</f>
        <v/>
      </c>
      <c r="J57" s="11">
        <f>IF($A57="","",IF($D57="","Add the players",IF(COUNTIF(Players!$A$2:$A$500,$D57)=0,"Player 1 is not on the Players tab",IF(NOT(ISNUMBER($F57)),"Enter the final place",IF(N($F57)&gt;N($G57),"Place is bigger than the field: enter every team",IF($B57="","Enter the end date","OK"))))))</f>
        <v/>
      </c>
    </row>
    <row r="58">
      <c r="B58" s="9" t="n"/>
      <c r="G58" s="11">
        <f>IF(OR($A58="",NOT(ISNUMBER($F58))),"",COUNTIFS($A$5:$A$154,$A58,$F$5:$F$154,"&gt;0"))</f>
        <v/>
      </c>
      <c r="H58" s="11">
        <f>IF(OR($A58="",NOT(ISNUMBER($F58))),"",ROUND(Points!$B$4*IF($G58&lt;=1,1,Points!$H$7+(1-Points!$H$7)*((($G58-$F58)*(($G58-$F58)+1)/2)^2-((($G58-$F58-COUNTIFS($A$5:$A$154,$A58,$F$5:$F$154,$F58)+1)-1)*($G58-$F58-COUNTIFS($A$5:$A$154,$A58,$F$5:$F$154,$F58)+1)/2)^2)/(COUNTIFS($A$5:$A$154,$A58,$F$5:$F$154,$F58)*($G58-1)^3)),0))</f>
        <v/>
      </c>
      <c r="I58" s="11">
        <f>IF($A58="","","Final")</f>
        <v/>
      </c>
      <c r="J58" s="11">
        <f>IF($A58="","",IF($D58="","Add the players",IF(COUNTIF(Players!$A$2:$A$500,$D58)=0,"Player 1 is not on the Players tab",IF(NOT(ISNUMBER($F58)),"Enter the final place",IF(N($F58)&gt;N($G58),"Place is bigger than the field: enter every team",IF($B58="","Enter the end date","OK"))))))</f>
        <v/>
      </c>
    </row>
    <row r="59">
      <c r="B59" s="9" t="n"/>
      <c r="G59" s="11">
        <f>IF(OR($A59="",NOT(ISNUMBER($F59))),"",COUNTIFS($A$5:$A$154,$A59,$F$5:$F$154,"&gt;0"))</f>
        <v/>
      </c>
      <c r="H59" s="11">
        <f>IF(OR($A59="",NOT(ISNUMBER($F59))),"",ROUND(Points!$B$4*IF($G59&lt;=1,1,Points!$H$7+(1-Points!$H$7)*((($G59-$F59)*(($G59-$F59)+1)/2)^2-((($G59-$F59-COUNTIFS($A$5:$A$154,$A59,$F$5:$F$154,$F59)+1)-1)*($G59-$F59-COUNTIFS($A$5:$A$154,$A59,$F$5:$F$154,$F59)+1)/2)^2)/(COUNTIFS($A$5:$A$154,$A59,$F$5:$F$154,$F59)*($G59-1)^3)),0))</f>
        <v/>
      </c>
      <c r="I59" s="11">
        <f>IF($A59="","","Final")</f>
        <v/>
      </c>
      <c r="J59" s="11">
        <f>IF($A59="","",IF($D59="","Add the players",IF(COUNTIF(Players!$A$2:$A$500,$D59)=0,"Player 1 is not on the Players tab",IF(NOT(ISNUMBER($F59)),"Enter the final place",IF(N($F59)&gt;N($G59),"Place is bigger than the field: enter every team",IF($B59="","Enter the end date","OK"))))))</f>
        <v/>
      </c>
    </row>
    <row r="60">
      <c r="B60" s="9" t="n"/>
      <c r="G60" s="11">
        <f>IF(OR($A60="",NOT(ISNUMBER($F60))),"",COUNTIFS($A$5:$A$154,$A60,$F$5:$F$154,"&gt;0"))</f>
        <v/>
      </c>
      <c r="H60" s="11">
        <f>IF(OR($A60="",NOT(ISNUMBER($F60))),"",ROUND(Points!$B$4*IF($G60&lt;=1,1,Points!$H$7+(1-Points!$H$7)*((($G60-$F60)*(($G60-$F60)+1)/2)^2-((($G60-$F60-COUNTIFS($A$5:$A$154,$A60,$F$5:$F$154,$F60)+1)-1)*($G60-$F60-COUNTIFS($A$5:$A$154,$A60,$F$5:$F$154,$F60)+1)/2)^2)/(COUNTIFS($A$5:$A$154,$A60,$F$5:$F$154,$F60)*($G60-1)^3)),0))</f>
        <v/>
      </c>
      <c r="I60" s="11">
        <f>IF($A60="","","Final")</f>
        <v/>
      </c>
      <c r="J60" s="11">
        <f>IF($A60="","",IF($D60="","Add the players",IF(COUNTIF(Players!$A$2:$A$500,$D60)=0,"Player 1 is not on the Players tab",IF(NOT(ISNUMBER($F60)),"Enter the final place",IF(N($F60)&gt;N($G60),"Place is bigger than the field: enter every team",IF($B60="","Enter the end date","OK"))))))</f>
        <v/>
      </c>
    </row>
    <row r="61">
      <c r="B61" s="9" t="n"/>
      <c r="G61" s="11">
        <f>IF(OR($A61="",NOT(ISNUMBER($F61))),"",COUNTIFS($A$5:$A$154,$A61,$F$5:$F$154,"&gt;0"))</f>
        <v/>
      </c>
      <c r="H61" s="11">
        <f>IF(OR($A61="",NOT(ISNUMBER($F61))),"",ROUND(Points!$B$4*IF($G61&lt;=1,1,Points!$H$7+(1-Points!$H$7)*((($G61-$F61)*(($G61-$F61)+1)/2)^2-((($G61-$F61-COUNTIFS($A$5:$A$154,$A61,$F$5:$F$154,$F61)+1)-1)*($G61-$F61-COUNTIFS($A$5:$A$154,$A61,$F$5:$F$154,$F61)+1)/2)^2)/(COUNTIFS($A$5:$A$154,$A61,$F$5:$F$154,$F61)*($G61-1)^3)),0))</f>
        <v/>
      </c>
      <c r="I61" s="11">
        <f>IF($A61="","","Final")</f>
        <v/>
      </c>
      <c r="J61" s="11">
        <f>IF($A61="","",IF($D61="","Add the players",IF(COUNTIF(Players!$A$2:$A$500,$D61)=0,"Player 1 is not on the Players tab",IF(NOT(ISNUMBER($F61)),"Enter the final place",IF(N($F61)&gt;N($G61),"Place is bigger than the field: enter every team",IF($B61="","Enter the end date","OK"))))))</f>
        <v/>
      </c>
    </row>
    <row r="62">
      <c r="B62" s="9" t="n"/>
      <c r="G62" s="11">
        <f>IF(OR($A62="",NOT(ISNUMBER($F62))),"",COUNTIFS($A$5:$A$154,$A62,$F$5:$F$154,"&gt;0"))</f>
        <v/>
      </c>
      <c r="H62" s="11">
        <f>IF(OR($A62="",NOT(ISNUMBER($F62))),"",ROUND(Points!$B$4*IF($G62&lt;=1,1,Points!$H$7+(1-Points!$H$7)*((($G62-$F62)*(($G62-$F62)+1)/2)^2-((($G62-$F62-COUNTIFS($A$5:$A$154,$A62,$F$5:$F$154,$F62)+1)-1)*($G62-$F62-COUNTIFS($A$5:$A$154,$A62,$F$5:$F$154,$F62)+1)/2)^2)/(COUNTIFS($A$5:$A$154,$A62,$F$5:$F$154,$F62)*($G62-1)^3)),0))</f>
        <v/>
      </c>
      <c r="I62" s="11">
        <f>IF($A62="","","Final")</f>
        <v/>
      </c>
      <c r="J62" s="11">
        <f>IF($A62="","",IF($D62="","Add the players",IF(COUNTIF(Players!$A$2:$A$500,$D62)=0,"Player 1 is not on the Players tab",IF(NOT(ISNUMBER($F62)),"Enter the final place",IF(N($F62)&gt;N($G62),"Place is bigger than the field: enter every team",IF($B62="","Enter the end date","OK"))))))</f>
        <v/>
      </c>
    </row>
    <row r="63">
      <c r="B63" s="9" t="n"/>
      <c r="G63" s="11">
        <f>IF(OR($A63="",NOT(ISNUMBER($F63))),"",COUNTIFS($A$5:$A$154,$A63,$F$5:$F$154,"&gt;0"))</f>
        <v/>
      </c>
      <c r="H63" s="11">
        <f>IF(OR($A63="",NOT(ISNUMBER($F63))),"",ROUND(Points!$B$4*IF($G63&lt;=1,1,Points!$H$7+(1-Points!$H$7)*((($G63-$F63)*(($G63-$F63)+1)/2)^2-((($G63-$F63-COUNTIFS($A$5:$A$154,$A63,$F$5:$F$154,$F63)+1)-1)*($G63-$F63-COUNTIFS($A$5:$A$154,$A63,$F$5:$F$154,$F63)+1)/2)^2)/(COUNTIFS($A$5:$A$154,$A63,$F$5:$F$154,$F63)*($G63-1)^3)),0))</f>
        <v/>
      </c>
      <c r="I63" s="11">
        <f>IF($A63="","","Final")</f>
        <v/>
      </c>
      <c r="J63" s="11">
        <f>IF($A63="","",IF($D63="","Add the players",IF(COUNTIF(Players!$A$2:$A$500,$D63)=0,"Player 1 is not on the Players tab",IF(NOT(ISNUMBER($F63)),"Enter the final place",IF(N($F63)&gt;N($G63),"Place is bigger than the field: enter every team",IF($B63="","Enter the end date","OK"))))))</f>
        <v/>
      </c>
    </row>
    <row r="64">
      <c r="B64" s="9" t="n"/>
      <c r="G64" s="11">
        <f>IF(OR($A64="",NOT(ISNUMBER($F64))),"",COUNTIFS($A$5:$A$154,$A64,$F$5:$F$154,"&gt;0"))</f>
        <v/>
      </c>
      <c r="H64" s="11">
        <f>IF(OR($A64="",NOT(ISNUMBER($F64))),"",ROUND(Points!$B$4*IF($G64&lt;=1,1,Points!$H$7+(1-Points!$H$7)*((($G64-$F64)*(($G64-$F64)+1)/2)^2-((($G64-$F64-COUNTIFS($A$5:$A$154,$A64,$F$5:$F$154,$F64)+1)-1)*($G64-$F64-COUNTIFS($A$5:$A$154,$A64,$F$5:$F$154,$F64)+1)/2)^2)/(COUNTIFS($A$5:$A$154,$A64,$F$5:$F$154,$F64)*($G64-1)^3)),0))</f>
        <v/>
      </c>
      <c r="I64" s="11">
        <f>IF($A64="","","Final")</f>
        <v/>
      </c>
      <c r="J64" s="11">
        <f>IF($A64="","",IF($D64="","Add the players",IF(COUNTIF(Players!$A$2:$A$500,$D64)=0,"Player 1 is not on the Players tab",IF(NOT(ISNUMBER($F64)),"Enter the final place",IF(N($F64)&gt;N($G64),"Place is bigger than the field: enter every team",IF($B64="","Enter the end date","OK"))))))</f>
        <v/>
      </c>
    </row>
    <row r="65">
      <c r="B65" s="9" t="n"/>
      <c r="G65" s="11">
        <f>IF(OR($A65="",NOT(ISNUMBER($F65))),"",COUNTIFS($A$5:$A$154,$A65,$F$5:$F$154,"&gt;0"))</f>
        <v/>
      </c>
      <c r="H65" s="11">
        <f>IF(OR($A65="",NOT(ISNUMBER($F65))),"",ROUND(Points!$B$4*IF($G65&lt;=1,1,Points!$H$7+(1-Points!$H$7)*((($G65-$F65)*(($G65-$F65)+1)/2)^2-((($G65-$F65-COUNTIFS($A$5:$A$154,$A65,$F$5:$F$154,$F65)+1)-1)*($G65-$F65-COUNTIFS($A$5:$A$154,$A65,$F$5:$F$154,$F65)+1)/2)^2)/(COUNTIFS($A$5:$A$154,$A65,$F$5:$F$154,$F65)*($G65-1)^3)),0))</f>
        <v/>
      </c>
      <c r="I65" s="11">
        <f>IF($A65="","","Final")</f>
        <v/>
      </c>
      <c r="J65" s="11">
        <f>IF($A65="","",IF($D65="","Add the players",IF(COUNTIF(Players!$A$2:$A$500,$D65)=0,"Player 1 is not on the Players tab",IF(NOT(ISNUMBER($F65)),"Enter the final place",IF(N($F65)&gt;N($G65),"Place is bigger than the field: enter every team",IF($B65="","Enter the end date","OK"))))))</f>
        <v/>
      </c>
    </row>
    <row r="66">
      <c r="B66" s="9" t="n"/>
      <c r="G66" s="11">
        <f>IF(OR($A66="",NOT(ISNUMBER($F66))),"",COUNTIFS($A$5:$A$154,$A66,$F$5:$F$154,"&gt;0"))</f>
        <v/>
      </c>
      <c r="H66" s="11">
        <f>IF(OR($A66="",NOT(ISNUMBER($F66))),"",ROUND(Points!$B$4*IF($G66&lt;=1,1,Points!$H$7+(1-Points!$H$7)*((($G66-$F66)*(($G66-$F66)+1)/2)^2-((($G66-$F66-COUNTIFS($A$5:$A$154,$A66,$F$5:$F$154,$F66)+1)-1)*($G66-$F66-COUNTIFS($A$5:$A$154,$A66,$F$5:$F$154,$F66)+1)/2)^2)/(COUNTIFS($A$5:$A$154,$A66,$F$5:$F$154,$F66)*($G66-1)^3)),0))</f>
        <v/>
      </c>
      <c r="I66" s="11">
        <f>IF($A66="","","Final")</f>
        <v/>
      </c>
      <c r="J66" s="11">
        <f>IF($A66="","",IF($D66="","Add the players",IF(COUNTIF(Players!$A$2:$A$500,$D66)=0,"Player 1 is not on the Players tab",IF(NOT(ISNUMBER($F66)),"Enter the final place",IF(N($F66)&gt;N($G66),"Place is bigger than the field: enter every team",IF($B66="","Enter the end date","OK"))))))</f>
        <v/>
      </c>
    </row>
    <row r="67">
      <c r="B67" s="9" t="n"/>
      <c r="G67" s="11">
        <f>IF(OR($A67="",NOT(ISNUMBER($F67))),"",COUNTIFS($A$5:$A$154,$A67,$F$5:$F$154,"&gt;0"))</f>
        <v/>
      </c>
      <c r="H67" s="11">
        <f>IF(OR($A67="",NOT(ISNUMBER($F67))),"",ROUND(Points!$B$4*IF($G67&lt;=1,1,Points!$H$7+(1-Points!$H$7)*((($G67-$F67)*(($G67-$F67)+1)/2)^2-((($G67-$F67-COUNTIFS($A$5:$A$154,$A67,$F$5:$F$154,$F67)+1)-1)*($G67-$F67-COUNTIFS($A$5:$A$154,$A67,$F$5:$F$154,$F67)+1)/2)^2)/(COUNTIFS($A$5:$A$154,$A67,$F$5:$F$154,$F67)*($G67-1)^3)),0))</f>
        <v/>
      </c>
      <c r="I67" s="11">
        <f>IF($A67="","","Final")</f>
        <v/>
      </c>
      <c r="J67" s="11">
        <f>IF($A67="","",IF($D67="","Add the players",IF(COUNTIF(Players!$A$2:$A$500,$D67)=0,"Player 1 is not on the Players tab",IF(NOT(ISNUMBER($F67)),"Enter the final place",IF(N($F67)&gt;N($G67),"Place is bigger than the field: enter every team",IF($B67="","Enter the end date","OK"))))))</f>
        <v/>
      </c>
    </row>
    <row r="68">
      <c r="B68" s="9" t="n"/>
      <c r="G68" s="11">
        <f>IF(OR($A68="",NOT(ISNUMBER($F68))),"",COUNTIFS($A$5:$A$154,$A68,$F$5:$F$154,"&gt;0"))</f>
        <v/>
      </c>
      <c r="H68" s="11">
        <f>IF(OR($A68="",NOT(ISNUMBER($F68))),"",ROUND(Points!$B$4*IF($G68&lt;=1,1,Points!$H$7+(1-Points!$H$7)*((($G68-$F68)*(($G68-$F68)+1)/2)^2-((($G68-$F68-COUNTIFS($A$5:$A$154,$A68,$F$5:$F$154,$F68)+1)-1)*($G68-$F68-COUNTIFS($A$5:$A$154,$A68,$F$5:$F$154,$F68)+1)/2)^2)/(COUNTIFS($A$5:$A$154,$A68,$F$5:$F$154,$F68)*($G68-1)^3)),0))</f>
        <v/>
      </c>
      <c r="I68" s="11">
        <f>IF($A68="","","Final")</f>
        <v/>
      </c>
      <c r="J68" s="11">
        <f>IF($A68="","",IF($D68="","Add the players",IF(COUNTIF(Players!$A$2:$A$500,$D68)=0,"Player 1 is not on the Players tab",IF(NOT(ISNUMBER($F68)),"Enter the final place",IF(N($F68)&gt;N($G68),"Place is bigger than the field: enter every team",IF($B68="","Enter the end date","OK"))))))</f>
        <v/>
      </c>
    </row>
    <row r="69">
      <c r="B69" s="9" t="n"/>
      <c r="G69" s="11">
        <f>IF(OR($A69="",NOT(ISNUMBER($F69))),"",COUNTIFS($A$5:$A$154,$A69,$F$5:$F$154,"&gt;0"))</f>
        <v/>
      </c>
      <c r="H69" s="11">
        <f>IF(OR($A69="",NOT(ISNUMBER($F69))),"",ROUND(Points!$B$4*IF($G69&lt;=1,1,Points!$H$7+(1-Points!$H$7)*((($G69-$F69)*(($G69-$F69)+1)/2)^2-((($G69-$F69-COUNTIFS($A$5:$A$154,$A69,$F$5:$F$154,$F69)+1)-1)*($G69-$F69-COUNTIFS($A$5:$A$154,$A69,$F$5:$F$154,$F69)+1)/2)^2)/(COUNTIFS($A$5:$A$154,$A69,$F$5:$F$154,$F69)*($G69-1)^3)),0))</f>
        <v/>
      </c>
      <c r="I69" s="11">
        <f>IF($A69="","","Final")</f>
        <v/>
      </c>
      <c r="J69" s="11">
        <f>IF($A69="","",IF($D69="","Add the players",IF(COUNTIF(Players!$A$2:$A$500,$D69)=0,"Player 1 is not on the Players tab",IF(NOT(ISNUMBER($F69)),"Enter the final place",IF(N($F69)&gt;N($G69),"Place is bigger than the field: enter every team",IF($B69="","Enter the end date","OK"))))))</f>
        <v/>
      </c>
    </row>
    <row r="70">
      <c r="B70" s="9" t="n"/>
      <c r="G70" s="11">
        <f>IF(OR($A70="",NOT(ISNUMBER($F70))),"",COUNTIFS($A$5:$A$154,$A70,$F$5:$F$154,"&gt;0"))</f>
        <v/>
      </c>
      <c r="H70" s="11">
        <f>IF(OR($A70="",NOT(ISNUMBER($F70))),"",ROUND(Points!$B$4*IF($G70&lt;=1,1,Points!$H$7+(1-Points!$H$7)*((($G70-$F70)*(($G70-$F70)+1)/2)^2-((($G70-$F70-COUNTIFS($A$5:$A$154,$A70,$F$5:$F$154,$F70)+1)-1)*($G70-$F70-COUNTIFS($A$5:$A$154,$A70,$F$5:$F$154,$F70)+1)/2)^2)/(COUNTIFS($A$5:$A$154,$A70,$F$5:$F$154,$F70)*($G70-1)^3)),0))</f>
        <v/>
      </c>
      <c r="I70" s="11">
        <f>IF($A70="","","Final")</f>
        <v/>
      </c>
      <c r="J70" s="11">
        <f>IF($A70="","",IF($D70="","Add the players",IF(COUNTIF(Players!$A$2:$A$500,$D70)=0,"Player 1 is not on the Players tab",IF(NOT(ISNUMBER($F70)),"Enter the final place",IF(N($F70)&gt;N($G70),"Place is bigger than the field: enter every team",IF($B70="","Enter the end date","OK"))))))</f>
        <v/>
      </c>
    </row>
    <row r="71">
      <c r="B71" s="9" t="n"/>
      <c r="G71" s="11">
        <f>IF(OR($A71="",NOT(ISNUMBER($F71))),"",COUNTIFS($A$5:$A$154,$A71,$F$5:$F$154,"&gt;0"))</f>
        <v/>
      </c>
      <c r="H71" s="11">
        <f>IF(OR($A71="",NOT(ISNUMBER($F71))),"",ROUND(Points!$B$4*IF($G71&lt;=1,1,Points!$H$7+(1-Points!$H$7)*((($G71-$F71)*(($G71-$F71)+1)/2)^2-((($G71-$F71-COUNTIFS($A$5:$A$154,$A71,$F$5:$F$154,$F71)+1)-1)*($G71-$F71-COUNTIFS($A$5:$A$154,$A71,$F$5:$F$154,$F71)+1)/2)^2)/(COUNTIFS($A$5:$A$154,$A71,$F$5:$F$154,$F71)*($G71-1)^3)),0))</f>
        <v/>
      </c>
      <c r="I71" s="11">
        <f>IF($A71="","","Final")</f>
        <v/>
      </c>
      <c r="J71" s="11">
        <f>IF($A71="","",IF($D71="","Add the players",IF(COUNTIF(Players!$A$2:$A$500,$D71)=0,"Player 1 is not on the Players tab",IF(NOT(ISNUMBER($F71)),"Enter the final place",IF(N($F71)&gt;N($G71),"Place is bigger than the field: enter every team",IF($B71="","Enter the end date","OK"))))))</f>
        <v/>
      </c>
    </row>
    <row r="72">
      <c r="B72" s="9" t="n"/>
      <c r="G72" s="11">
        <f>IF(OR($A72="",NOT(ISNUMBER($F72))),"",COUNTIFS($A$5:$A$154,$A72,$F$5:$F$154,"&gt;0"))</f>
        <v/>
      </c>
      <c r="H72" s="11">
        <f>IF(OR($A72="",NOT(ISNUMBER($F72))),"",ROUND(Points!$B$4*IF($G72&lt;=1,1,Points!$H$7+(1-Points!$H$7)*((($G72-$F72)*(($G72-$F72)+1)/2)^2-((($G72-$F72-COUNTIFS($A$5:$A$154,$A72,$F$5:$F$154,$F72)+1)-1)*($G72-$F72-COUNTIFS($A$5:$A$154,$A72,$F$5:$F$154,$F72)+1)/2)^2)/(COUNTIFS($A$5:$A$154,$A72,$F$5:$F$154,$F72)*($G72-1)^3)),0))</f>
        <v/>
      </c>
      <c r="I72" s="11">
        <f>IF($A72="","","Final")</f>
        <v/>
      </c>
      <c r="J72" s="11">
        <f>IF($A72="","",IF($D72="","Add the players",IF(COUNTIF(Players!$A$2:$A$500,$D72)=0,"Player 1 is not on the Players tab",IF(NOT(ISNUMBER($F72)),"Enter the final place",IF(N($F72)&gt;N($G72),"Place is bigger than the field: enter every team",IF($B72="","Enter the end date","OK"))))))</f>
        <v/>
      </c>
    </row>
    <row r="73">
      <c r="B73" s="9" t="n"/>
      <c r="G73" s="11">
        <f>IF(OR($A73="",NOT(ISNUMBER($F73))),"",COUNTIFS($A$5:$A$154,$A73,$F$5:$F$154,"&gt;0"))</f>
        <v/>
      </c>
      <c r="H73" s="11">
        <f>IF(OR($A73="",NOT(ISNUMBER($F73))),"",ROUND(Points!$B$4*IF($G73&lt;=1,1,Points!$H$7+(1-Points!$H$7)*((($G73-$F73)*(($G73-$F73)+1)/2)^2-((($G73-$F73-COUNTIFS($A$5:$A$154,$A73,$F$5:$F$154,$F73)+1)-1)*($G73-$F73-COUNTIFS($A$5:$A$154,$A73,$F$5:$F$154,$F73)+1)/2)^2)/(COUNTIFS($A$5:$A$154,$A73,$F$5:$F$154,$F73)*($G73-1)^3)),0))</f>
        <v/>
      </c>
      <c r="I73" s="11">
        <f>IF($A73="","","Final")</f>
        <v/>
      </c>
      <c r="J73" s="11">
        <f>IF($A73="","",IF($D73="","Add the players",IF(COUNTIF(Players!$A$2:$A$500,$D73)=0,"Player 1 is not on the Players tab",IF(NOT(ISNUMBER($F73)),"Enter the final place",IF(N($F73)&gt;N($G73),"Place is bigger than the field: enter every team",IF($B73="","Enter the end date","OK"))))))</f>
        <v/>
      </c>
    </row>
    <row r="74">
      <c r="B74" s="9" t="n"/>
      <c r="G74" s="11">
        <f>IF(OR($A74="",NOT(ISNUMBER($F74))),"",COUNTIFS($A$5:$A$154,$A74,$F$5:$F$154,"&gt;0"))</f>
        <v/>
      </c>
      <c r="H74" s="11">
        <f>IF(OR($A74="",NOT(ISNUMBER($F74))),"",ROUND(Points!$B$4*IF($G74&lt;=1,1,Points!$H$7+(1-Points!$H$7)*((($G74-$F74)*(($G74-$F74)+1)/2)^2-((($G74-$F74-COUNTIFS($A$5:$A$154,$A74,$F$5:$F$154,$F74)+1)-1)*($G74-$F74-COUNTIFS($A$5:$A$154,$A74,$F$5:$F$154,$F74)+1)/2)^2)/(COUNTIFS($A$5:$A$154,$A74,$F$5:$F$154,$F74)*($G74-1)^3)),0))</f>
        <v/>
      </c>
      <c r="I74" s="11">
        <f>IF($A74="","","Final")</f>
        <v/>
      </c>
      <c r="J74" s="11">
        <f>IF($A74="","",IF($D74="","Add the players",IF(COUNTIF(Players!$A$2:$A$500,$D74)=0,"Player 1 is not on the Players tab",IF(NOT(ISNUMBER($F74)),"Enter the final place",IF(N($F74)&gt;N($G74),"Place is bigger than the field: enter every team",IF($B74="","Enter the end date","OK"))))))</f>
        <v/>
      </c>
    </row>
    <row r="75">
      <c r="B75" s="9" t="n"/>
      <c r="G75" s="11">
        <f>IF(OR($A75="",NOT(ISNUMBER($F75))),"",COUNTIFS($A$5:$A$154,$A75,$F$5:$F$154,"&gt;0"))</f>
        <v/>
      </c>
      <c r="H75" s="11">
        <f>IF(OR($A75="",NOT(ISNUMBER($F75))),"",ROUND(Points!$B$4*IF($G75&lt;=1,1,Points!$H$7+(1-Points!$H$7)*((($G75-$F75)*(($G75-$F75)+1)/2)^2-((($G75-$F75-COUNTIFS($A$5:$A$154,$A75,$F$5:$F$154,$F75)+1)-1)*($G75-$F75-COUNTIFS($A$5:$A$154,$A75,$F$5:$F$154,$F75)+1)/2)^2)/(COUNTIFS($A$5:$A$154,$A75,$F$5:$F$154,$F75)*($G75-1)^3)),0))</f>
        <v/>
      </c>
      <c r="I75" s="11">
        <f>IF($A75="","","Final")</f>
        <v/>
      </c>
      <c r="J75" s="11">
        <f>IF($A75="","",IF($D75="","Add the players",IF(COUNTIF(Players!$A$2:$A$500,$D75)=0,"Player 1 is not on the Players tab",IF(NOT(ISNUMBER($F75)),"Enter the final place",IF(N($F75)&gt;N($G75),"Place is bigger than the field: enter every team",IF($B75="","Enter the end date","OK"))))))</f>
        <v/>
      </c>
    </row>
    <row r="76">
      <c r="B76" s="9" t="n"/>
      <c r="G76" s="11">
        <f>IF(OR($A76="",NOT(ISNUMBER($F76))),"",COUNTIFS($A$5:$A$154,$A76,$F$5:$F$154,"&gt;0"))</f>
        <v/>
      </c>
      <c r="H76" s="11">
        <f>IF(OR($A76="",NOT(ISNUMBER($F76))),"",ROUND(Points!$B$4*IF($G76&lt;=1,1,Points!$H$7+(1-Points!$H$7)*((($G76-$F76)*(($G76-$F76)+1)/2)^2-((($G76-$F76-COUNTIFS($A$5:$A$154,$A76,$F$5:$F$154,$F76)+1)-1)*($G76-$F76-COUNTIFS($A$5:$A$154,$A76,$F$5:$F$154,$F76)+1)/2)^2)/(COUNTIFS($A$5:$A$154,$A76,$F$5:$F$154,$F76)*($G76-1)^3)),0))</f>
        <v/>
      </c>
      <c r="I76" s="11">
        <f>IF($A76="","","Final")</f>
        <v/>
      </c>
      <c r="J76" s="11">
        <f>IF($A76="","",IF($D76="","Add the players",IF(COUNTIF(Players!$A$2:$A$500,$D76)=0,"Player 1 is not on the Players tab",IF(NOT(ISNUMBER($F76)),"Enter the final place",IF(N($F76)&gt;N($G76),"Place is bigger than the field: enter every team",IF($B76="","Enter the end date","OK"))))))</f>
        <v/>
      </c>
    </row>
    <row r="77">
      <c r="B77" s="9" t="n"/>
      <c r="G77" s="11">
        <f>IF(OR($A77="",NOT(ISNUMBER($F77))),"",COUNTIFS($A$5:$A$154,$A77,$F$5:$F$154,"&gt;0"))</f>
        <v/>
      </c>
      <c r="H77" s="11">
        <f>IF(OR($A77="",NOT(ISNUMBER($F77))),"",ROUND(Points!$B$4*IF($G77&lt;=1,1,Points!$H$7+(1-Points!$H$7)*((($G77-$F77)*(($G77-$F77)+1)/2)^2-((($G77-$F77-COUNTIFS($A$5:$A$154,$A77,$F$5:$F$154,$F77)+1)-1)*($G77-$F77-COUNTIFS($A$5:$A$154,$A77,$F$5:$F$154,$F77)+1)/2)^2)/(COUNTIFS($A$5:$A$154,$A77,$F$5:$F$154,$F77)*($G77-1)^3)),0))</f>
        <v/>
      </c>
      <c r="I77" s="11">
        <f>IF($A77="","","Final")</f>
        <v/>
      </c>
      <c r="J77" s="11">
        <f>IF($A77="","",IF($D77="","Add the players",IF(COUNTIF(Players!$A$2:$A$500,$D77)=0,"Player 1 is not on the Players tab",IF(NOT(ISNUMBER($F77)),"Enter the final place",IF(N($F77)&gt;N($G77),"Place is bigger than the field: enter every team",IF($B77="","Enter the end date","OK"))))))</f>
        <v/>
      </c>
    </row>
    <row r="78">
      <c r="B78" s="9" t="n"/>
      <c r="G78" s="11">
        <f>IF(OR($A78="",NOT(ISNUMBER($F78))),"",COUNTIFS($A$5:$A$154,$A78,$F$5:$F$154,"&gt;0"))</f>
        <v/>
      </c>
      <c r="H78" s="11">
        <f>IF(OR($A78="",NOT(ISNUMBER($F78))),"",ROUND(Points!$B$4*IF($G78&lt;=1,1,Points!$H$7+(1-Points!$H$7)*((($G78-$F78)*(($G78-$F78)+1)/2)^2-((($G78-$F78-COUNTIFS($A$5:$A$154,$A78,$F$5:$F$154,$F78)+1)-1)*($G78-$F78-COUNTIFS($A$5:$A$154,$A78,$F$5:$F$154,$F78)+1)/2)^2)/(COUNTIFS($A$5:$A$154,$A78,$F$5:$F$154,$F78)*($G78-1)^3)),0))</f>
        <v/>
      </c>
      <c r="I78" s="11">
        <f>IF($A78="","","Final")</f>
        <v/>
      </c>
      <c r="J78" s="11">
        <f>IF($A78="","",IF($D78="","Add the players",IF(COUNTIF(Players!$A$2:$A$500,$D78)=0,"Player 1 is not on the Players tab",IF(NOT(ISNUMBER($F78)),"Enter the final place",IF(N($F78)&gt;N($G78),"Place is bigger than the field: enter every team",IF($B78="","Enter the end date","OK"))))))</f>
        <v/>
      </c>
    </row>
    <row r="79">
      <c r="B79" s="9" t="n"/>
      <c r="G79" s="11">
        <f>IF(OR($A79="",NOT(ISNUMBER($F79))),"",COUNTIFS($A$5:$A$154,$A79,$F$5:$F$154,"&gt;0"))</f>
        <v/>
      </c>
      <c r="H79" s="11">
        <f>IF(OR($A79="",NOT(ISNUMBER($F79))),"",ROUND(Points!$B$4*IF($G79&lt;=1,1,Points!$H$7+(1-Points!$H$7)*((($G79-$F79)*(($G79-$F79)+1)/2)^2-((($G79-$F79-COUNTIFS($A$5:$A$154,$A79,$F$5:$F$154,$F79)+1)-1)*($G79-$F79-COUNTIFS($A$5:$A$154,$A79,$F$5:$F$154,$F79)+1)/2)^2)/(COUNTIFS($A$5:$A$154,$A79,$F$5:$F$154,$F79)*($G79-1)^3)),0))</f>
        <v/>
      </c>
      <c r="I79" s="11">
        <f>IF($A79="","","Final")</f>
        <v/>
      </c>
      <c r="J79" s="11">
        <f>IF($A79="","",IF($D79="","Add the players",IF(COUNTIF(Players!$A$2:$A$500,$D79)=0,"Player 1 is not on the Players tab",IF(NOT(ISNUMBER($F79)),"Enter the final place",IF(N($F79)&gt;N($G79),"Place is bigger than the field: enter every team",IF($B79="","Enter the end date","OK"))))))</f>
        <v/>
      </c>
    </row>
    <row r="80">
      <c r="B80" s="9" t="n"/>
      <c r="G80" s="11">
        <f>IF(OR($A80="",NOT(ISNUMBER($F80))),"",COUNTIFS($A$5:$A$154,$A80,$F$5:$F$154,"&gt;0"))</f>
        <v/>
      </c>
      <c r="H80" s="11">
        <f>IF(OR($A80="",NOT(ISNUMBER($F80))),"",ROUND(Points!$B$4*IF($G80&lt;=1,1,Points!$H$7+(1-Points!$H$7)*((($G80-$F80)*(($G80-$F80)+1)/2)^2-((($G80-$F80-COUNTIFS($A$5:$A$154,$A80,$F$5:$F$154,$F80)+1)-1)*($G80-$F80-COUNTIFS($A$5:$A$154,$A80,$F$5:$F$154,$F80)+1)/2)^2)/(COUNTIFS($A$5:$A$154,$A80,$F$5:$F$154,$F80)*($G80-1)^3)),0))</f>
        <v/>
      </c>
      <c r="I80" s="11">
        <f>IF($A80="","","Final")</f>
        <v/>
      </c>
      <c r="J80" s="11">
        <f>IF($A80="","",IF($D80="","Add the players",IF(COUNTIF(Players!$A$2:$A$500,$D80)=0,"Player 1 is not on the Players tab",IF(NOT(ISNUMBER($F80)),"Enter the final place",IF(N($F80)&gt;N($G80),"Place is bigger than the field: enter every team",IF($B80="","Enter the end date","OK"))))))</f>
        <v/>
      </c>
    </row>
    <row r="81">
      <c r="B81" s="9" t="n"/>
      <c r="G81" s="11">
        <f>IF(OR($A81="",NOT(ISNUMBER($F81))),"",COUNTIFS($A$5:$A$154,$A81,$F$5:$F$154,"&gt;0"))</f>
        <v/>
      </c>
      <c r="H81" s="11">
        <f>IF(OR($A81="",NOT(ISNUMBER($F81))),"",ROUND(Points!$B$4*IF($G81&lt;=1,1,Points!$H$7+(1-Points!$H$7)*((($G81-$F81)*(($G81-$F81)+1)/2)^2-((($G81-$F81-COUNTIFS($A$5:$A$154,$A81,$F$5:$F$154,$F81)+1)-1)*($G81-$F81-COUNTIFS($A$5:$A$154,$A81,$F$5:$F$154,$F81)+1)/2)^2)/(COUNTIFS($A$5:$A$154,$A81,$F$5:$F$154,$F81)*($G81-1)^3)),0))</f>
        <v/>
      </c>
      <c r="I81" s="11">
        <f>IF($A81="","","Final")</f>
        <v/>
      </c>
      <c r="J81" s="11">
        <f>IF($A81="","",IF($D81="","Add the players",IF(COUNTIF(Players!$A$2:$A$500,$D81)=0,"Player 1 is not on the Players tab",IF(NOT(ISNUMBER($F81)),"Enter the final place",IF(N($F81)&gt;N($G81),"Place is bigger than the field: enter every team",IF($B81="","Enter the end date","OK"))))))</f>
        <v/>
      </c>
    </row>
    <row r="82">
      <c r="B82" s="9" t="n"/>
      <c r="G82" s="11">
        <f>IF(OR($A82="",NOT(ISNUMBER($F82))),"",COUNTIFS($A$5:$A$154,$A82,$F$5:$F$154,"&gt;0"))</f>
        <v/>
      </c>
      <c r="H82" s="11">
        <f>IF(OR($A82="",NOT(ISNUMBER($F82))),"",ROUND(Points!$B$4*IF($G82&lt;=1,1,Points!$H$7+(1-Points!$H$7)*((($G82-$F82)*(($G82-$F82)+1)/2)^2-((($G82-$F82-COUNTIFS($A$5:$A$154,$A82,$F$5:$F$154,$F82)+1)-1)*($G82-$F82-COUNTIFS($A$5:$A$154,$A82,$F$5:$F$154,$F82)+1)/2)^2)/(COUNTIFS($A$5:$A$154,$A82,$F$5:$F$154,$F82)*($G82-1)^3)),0))</f>
        <v/>
      </c>
      <c r="I82" s="11">
        <f>IF($A82="","","Final")</f>
        <v/>
      </c>
      <c r="J82" s="11">
        <f>IF($A82="","",IF($D82="","Add the players",IF(COUNTIF(Players!$A$2:$A$500,$D82)=0,"Player 1 is not on the Players tab",IF(NOT(ISNUMBER($F82)),"Enter the final place",IF(N($F82)&gt;N($G82),"Place is bigger than the field: enter every team",IF($B82="","Enter the end date","OK"))))))</f>
        <v/>
      </c>
    </row>
    <row r="83">
      <c r="B83" s="9" t="n"/>
      <c r="G83" s="11">
        <f>IF(OR($A83="",NOT(ISNUMBER($F83))),"",COUNTIFS($A$5:$A$154,$A83,$F$5:$F$154,"&gt;0"))</f>
        <v/>
      </c>
      <c r="H83" s="11">
        <f>IF(OR($A83="",NOT(ISNUMBER($F83))),"",ROUND(Points!$B$4*IF($G83&lt;=1,1,Points!$H$7+(1-Points!$H$7)*((($G83-$F83)*(($G83-$F83)+1)/2)^2-((($G83-$F83-COUNTIFS($A$5:$A$154,$A83,$F$5:$F$154,$F83)+1)-1)*($G83-$F83-COUNTIFS($A$5:$A$154,$A83,$F$5:$F$154,$F83)+1)/2)^2)/(COUNTIFS($A$5:$A$154,$A83,$F$5:$F$154,$F83)*($G83-1)^3)),0))</f>
        <v/>
      </c>
      <c r="I83" s="11">
        <f>IF($A83="","","Final")</f>
        <v/>
      </c>
      <c r="J83" s="11">
        <f>IF($A83="","",IF($D83="","Add the players",IF(COUNTIF(Players!$A$2:$A$500,$D83)=0,"Player 1 is not on the Players tab",IF(NOT(ISNUMBER($F83)),"Enter the final place",IF(N($F83)&gt;N($G83),"Place is bigger than the field: enter every team",IF($B83="","Enter the end date","OK"))))))</f>
        <v/>
      </c>
    </row>
    <row r="84">
      <c r="B84" s="9" t="n"/>
      <c r="G84" s="11">
        <f>IF(OR($A84="",NOT(ISNUMBER($F84))),"",COUNTIFS($A$5:$A$154,$A84,$F$5:$F$154,"&gt;0"))</f>
        <v/>
      </c>
      <c r="H84" s="11">
        <f>IF(OR($A84="",NOT(ISNUMBER($F84))),"",ROUND(Points!$B$4*IF($G84&lt;=1,1,Points!$H$7+(1-Points!$H$7)*((($G84-$F84)*(($G84-$F84)+1)/2)^2-((($G84-$F84-COUNTIFS($A$5:$A$154,$A84,$F$5:$F$154,$F84)+1)-1)*($G84-$F84-COUNTIFS($A$5:$A$154,$A84,$F$5:$F$154,$F84)+1)/2)^2)/(COUNTIFS($A$5:$A$154,$A84,$F$5:$F$154,$F84)*($G84-1)^3)),0))</f>
        <v/>
      </c>
      <c r="I84" s="11">
        <f>IF($A84="","","Final")</f>
        <v/>
      </c>
      <c r="J84" s="11">
        <f>IF($A84="","",IF($D84="","Add the players",IF(COUNTIF(Players!$A$2:$A$500,$D84)=0,"Player 1 is not on the Players tab",IF(NOT(ISNUMBER($F84)),"Enter the final place",IF(N($F84)&gt;N($G84),"Place is bigger than the field: enter every team",IF($B84="","Enter the end date","OK"))))))</f>
        <v/>
      </c>
    </row>
    <row r="85">
      <c r="B85" s="9" t="n"/>
      <c r="G85" s="11">
        <f>IF(OR($A85="",NOT(ISNUMBER($F85))),"",COUNTIFS($A$5:$A$154,$A85,$F$5:$F$154,"&gt;0"))</f>
        <v/>
      </c>
      <c r="H85" s="11">
        <f>IF(OR($A85="",NOT(ISNUMBER($F85))),"",ROUND(Points!$B$4*IF($G85&lt;=1,1,Points!$H$7+(1-Points!$H$7)*((($G85-$F85)*(($G85-$F85)+1)/2)^2-((($G85-$F85-COUNTIFS($A$5:$A$154,$A85,$F$5:$F$154,$F85)+1)-1)*($G85-$F85-COUNTIFS($A$5:$A$154,$A85,$F$5:$F$154,$F85)+1)/2)^2)/(COUNTIFS($A$5:$A$154,$A85,$F$5:$F$154,$F85)*($G85-1)^3)),0))</f>
        <v/>
      </c>
      <c r="I85" s="11">
        <f>IF($A85="","","Final")</f>
        <v/>
      </c>
      <c r="J85" s="11">
        <f>IF($A85="","",IF($D85="","Add the players",IF(COUNTIF(Players!$A$2:$A$500,$D85)=0,"Player 1 is not on the Players tab",IF(NOT(ISNUMBER($F85)),"Enter the final place",IF(N($F85)&gt;N($G85),"Place is bigger than the field: enter every team",IF($B85="","Enter the end date","OK"))))))</f>
        <v/>
      </c>
    </row>
    <row r="86">
      <c r="B86" s="9" t="n"/>
      <c r="G86" s="11">
        <f>IF(OR($A86="",NOT(ISNUMBER($F86))),"",COUNTIFS($A$5:$A$154,$A86,$F$5:$F$154,"&gt;0"))</f>
        <v/>
      </c>
      <c r="H86" s="11">
        <f>IF(OR($A86="",NOT(ISNUMBER($F86))),"",ROUND(Points!$B$4*IF($G86&lt;=1,1,Points!$H$7+(1-Points!$H$7)*((($G86-$F86)*(($G86-$F86)+1)/2)^2-((($G86-$F86-COUNTIFS($A$5:$A$154,$A86,$F$5:$F$154,$F86)+1)-1)*($G86-$F86-COUNTIFS($A$5:$A$154,$A86,$F$5:$F$154,$F86)+1)/2)^2)/(COUNTIFS($A$5:$A$154,$A86,$F$5:$F$154,$F86)*($G86-1)^3)),0))</f>
        <v/>
      </c>
      <c r="I86" s="11">
        <f>IF($A86="","","Final")</f>
        <v/>
      </c>
      <c r="J86" s="11">
        <f>IF($A86="","",IF($D86="","Add the players",IF(COUNTIF(Players!$A$2:$A$500,$D86)=0,"Player 1 is not on the Players tab",IF(NOT(ISNUMBER($F86)),"Enter the final place",IF(N($F86)&gt;N($G86),"Place is bigger than the field: enter every team",IF($B86="","Enter the end date","OK"))))))</f>
        <v/>
      </c>
    </row>
    <row r="87">
      <c r="B87" s="9" t="n"/>
      <c r="G87" s="11">
        <f>IF(OR($A87="",NOT(ISNUMBER($F87))),"",COUNTIFS($A$5:$A$154,$A87,$F$5:$F$154,"&gt;0"))</f>
        <v/>
      </c>
      <c r="H87" s="11">
        <f>IF(OR($A87="",NOT(ISNUMBER($F87))),"",ROUND(Points!$B$4*IF($G87&lt;=1,1,Points!$H$7+(1-Points!$H$7)*((($G87-$F87)*(($G87-$F87)+1)/2)^2-((($G87-$F87-COUNTIFS($A$5:$A$154,$A87,$F$5:$F$154,$F87)+1)-1)*($G87-$F87-COUNTIFS($A$5:$A$154,$A87,$F$5:$F$154,$F87)+1)/2)^2)/(COUNTIFS($A$5:$A$154,$A87,$F$5:$F$154,$F87)*($G87-1)^3)),0))</f>
        <v/>
      </c>
      <c r="I87" s="11">
        <f>IF($A87="","","Final")</f>
        <v/>
      </c>
      <c r="J87" s="11">
        <f>IF($A87="","",IF($D87="","Add the players",IF(COUNTIF(Players!$A$2:$A$500,$D87)=0,"Player 1 is not on the Players tab",IF(NOT(ISNUMBER($F87)),"Enter the final place",IF(N($F87)&gt;N($G87),"Place is bigger than the field: enter every team",IF($B87="","Enter the end date","OK"))))))</f>
        <v/>
      </c>
    </row>
    <row r="88">
      <c r="B88" s="9" t="n"/>
      <c r="G88" s="11">
        <f>IF(OR($A88="",NOT(ISNUMBER($F88))),"",COUNTIFS($A$5:$A$154,$A88,$F$5:$F$154,"&gt;0"))</f>
        <v/>
      </c>
      <c r="H88" s="11">
        <f>IF(OR($A88="",NOT(ISNUMBER($F88))),"",ROUND(Points!$B$4*IF($G88&lt;=1,1,Points!$H$7+(1-Points!$H$7)*((($G88-$F88)*(($G88-$F88)+1)/2)^2-((($G88-$F88-COUNTIFS($A$5:$A$154,$A88,$F$5:$F$154,$F88)+1)-1)*($G88-$F88-COUNTIFS($A$5:$A$154,$A88,$F$5:$F$154,$F88)+1)/2)^2)/(COUNTIFS($A$5:$A$154,$A88,$F$5:$F$154,$F88)*($G88-1)^3)),0))</f>
        <v/>
      </c>
      <c r="I88" s="11">
        <f>IF($A88="","","Final")</f>
        <v/>
      </c>
      <c r="J88" s="11">
        <f>IF($A88="","",IF($D88="","Add the players",IF(COUNTIF(Players!$A$2:$A$500,$D88)=0,"Player 1 is not on the Players tab",IF(NOT(ISNUMBER($F88)),"Enter the final place",IF(N($F88)&gt;N($G88),"Place is bigger than the field: enter every team",IF($B88="","Enter the end date","OK"))))))</f>
        <v/>
      </c>
    </row>
    <row r="89">
      <c r="B89" s="9" t="n"/>
      <c r="G89" s="11">
        <f>IF(OR($A89="",NOT(ISNUMBER($F89))),"",COUNTIFS($A$5:$A$154,$A89,$F$5:$F$154,"&gt;0"))</f>
        <v/>
      </c>
      <c r="H89" s="11">
        <f>IF(OR($A89="",NOT(ISNUMBER($F89))),"",ROUND(Points!$B$4*IF($G89&lt;=1,1,Points!$H$7+(1-Points!$H$7)*((($G89-$F89)*(($G89-$F89)+1)/2)^2-((($G89-$F89-COUNTIFS($A$5:$A$154,$A89,$F$5:$F$154,$F89)+1)-1)*($G89-$F89-COUNTIFS($A$5:$A$154,$A89,$F$5:$F$154,$F89)+1)/2)^2)/(COUNTIFS($A$5:$A$154,$A89,$F$5:$F$154,$F89)*($G89-1)^3)),0))</f>
        <v/>
      </c>
      <c r="I89" s="11">
        <f>IF($A89="","","Final")</f>
        <v/>
      </c>
      <c r="J89" s="11">
        <f>IF($A89="","",IF($D89="","Add the players",IF(COUNTIF(Players!$A$2:$A$500,$D89)=0,"Player 1 is not on the Players tab",IF(NOT(ISNUMBER($F89)),"Enter the final place",IF(N($F89)&gt;N($G89),"Place is bigger than the field: enter every team",IF($B89="","Enter the end date","OK"))))))</f>
        <v/>
      </c>
    </row>
    <row r="90">
      <c r="B90" s="9" t="n"/>
      <c r="G90" s="11">
        <f>IF(OR($A90="",NOT(ISNUMBER($F90))),"",COUNTIFS($A$5:$A$154,$A90,$F$5:$F$154,"&gt;0"))</f>
        <v/>
      </c>
      <c r="H90" s="11">
        <f>IF(OR($A90="",NOT(ISNUMBER($F90))),"",ROUND(Points!$B$4*IF($G90&lt;=1,1,Points!$H$7+(1-Points!$H$7)*((($G90-$F90)*(($G90-$F90)+1)/2)^2-((($G90-$F90-COUNTIFS($A$5:$A$154,$A90,$F$5:$F$154,$F90)+1)-1)*($G90-$F90-COUNTIFS($A$5:$A$154,$A90,$F$5:$F$154,$F90)+1)/2)^2)/(COUNTIFS($A$5:$A$154,$A90,$F$5:$F$154,$F90)*($G90-1)^3)),0))</f>
        <v/>
      </c>
      <c r="I90" s="11">
        <f>IF($A90="","","Final")</f>
        <v/>
      </c>
      <c r="J90" s="11">
        <f>IF($A90="","",IF($D90="","Add the players",IF(COUNTIF(Players!$A$2:$A$500,$D90)=0,"Player 1 is not on the Players tab",IF(NOT(ISNUMBER($F90)),"Enter the final place",IF(N($F90)&gt;N($G90),"Place is bigger than the field: enter every team",IF($B90="","Enter the end date","OK"))))))</f>
        <v/>
      </c>
    </row>
    <row r="91">
      <c r="B91" s="9" t="n"/>
      <c r="G91" s="11">
        <f>IF(OR($A91="",NOT(ISNUMBER($F91))),"",COUNTIFS($A$5:$A$154,$A91,$F$5:$F$154,"&gt;0"))</f>
        <v/>
      </c>
      <c r="H91" s="11">
        <f>IF(OR($A91="",NOT(ISNUMBER($F91))),"",ROUND(Points!$B$4*IF($G91&lt;=1,1,Points!$H$7+(1-Points!$H$7)*((($G91-$F91)*(($G91-$F91)+1)/2)^2-((($G91-$F91-COUNTIFS($A$5:$A$154,$A91,$F$5:$F$154,$F91)+1)-1)*($G91-$F91-COUNTIFS($A$5:$A$154,$A91,$F$5:$F$154,$F91)+1)/2)^2)/(COUNTIFS($A$5:$A$154,$A91,$F$5:$F$154,$F91)*($G91-1)^3)),0))</f>
        <v/>
      </c>
      <c r="I91" s="11">
        <f>IF($A91="","","Final")</f>
        <v/>
      </c>
      <c r="J91" s="11">
        <f>IF($A91="","",IF($D91="","Add the players",IF(COUNTIF(Players!$A$2:$A$500,$D91)=0,"Player 1 is not on the Players tab",IF(NOT(ISNUMBER($F91)),"Enter the final place",IF(N($F91)&gt;N($G91),"Place is bigger than the field: enter every team",IF($B91="","Enter the end date","OK"))))))</f>
        <v/>
      </c>
    </row>
    <row r="92">
      <c r="B92" s="9" t="n"/>
      <c r="G92" s="11">
        <f>IF(OR($A92="",NOT(ISNUMBER($F92))),"",COUNTIFS($A$5:$A$154,$A92,$F$5:$F$154,"&gt;0"))</f>
        <v/>
      </c>
      <c r="H92" s="11">
        <f>IF(OR($A92="",NOT(ISNUMBER($F92))),"",ROUND(Points!$B$4*IF($G92&lt;=1,1,Points!$H$7+(1-Points!$H$7)*((($G92-$F92)*(($G92-$F92)+1)/2)^2-((($G92-$F92-COUNTIFS($A$5:$A$154,$A92,$F$5:$F$154,$F92)+1)-1)*($G92-$F92-COUNTIFS($A$5:$A$154,$A92,$F$5:$F$154,$F92)+1)/2)^2)/(COUNTIFS($A$5:$A$154,$A92,$F$5:$F$154,$F92)*($G92-1)^3)),0))</f>
        <v/>
      </c>
      <c r="I92" s="11">
        <f>IF($A92="","","Final")</f>
        <v/>
      </c>
      <c r="J92" s="11">
        <f>IF($A92="","",IF($D92="","Add the players",IF(COUNTIF(Players!$A$2:$A$500,$D92)=0,"Player 1 is not on the Players tab",IF(NOT(ISNUMBER($F92)),"Enter the final place",IF(N($F92)&gt;N($G92),"Place is bigger than the field: enter every team",IF($B92="","Enter the end date","OK"))))))</f>
        <v/>
      </c>
    </row>
    <row r="93">
      <c r="B93" s="9" t="n"/>
      <c r="G93" s="11">
        <f>IF(OR($A93="",NOT(ISNUMBER($F93))),"",COUNTIFS($A$5:$A$154,$A93,$F$5:$F$154,"&gt;0"))</f>
        <v/>
      </c>
      <c r="H93" s="11">
        <f>IF(OR($A93="",NOT(ISNUMBER($F93))),"",ROUND(Points!$B$4*IF($G93&lt;=1,1,Points!$H$7+(1-Points!$H$7)*((($G93-$F93)*(($G93-$F93)+1)/2)^2-((($G93-$F93-COUNTIFS($A$5:$A$154,$A93,$F$5:$F$154,$F93)+1)-1)*($G93-$F93-COUNTIFS($A$5:$A$154,$A93,$F$5:$F$154,$F93)+1)/2)^2)/(COUNTIFS($A$5:$A$154,$A93,$F$5:$F$154,$F93)*($G93-1)^3)),0))</f>
        <v/>
      </c>
      <c r="I93" s="11">
        <f>IF($A93="","","Final")</f>
        <v/>
      </c>
      <c r="J93" s="11">
        <f>IF($A93="","",IF($D93="","Add the players",IF(COUNTIF(Players!$A$2:$A$500,$D93)=0,"Player 1 is not on the Players tab",IF(NOT(ISNUMBER($F93)),"Enter the final place",IF(N($F93)&gt;N($G93),"Place is bigger than the field: enter every team",IF($B93="","Enter the end date","OK"))))))</f>
        <v/>
      </c>
    </row>
    <row r="94">
      <c r="B94" s="9" t="n"/>
      <c r="G94" s="11">
        <f>IF(OR($A94="",NOT(ISNUMBER($F94))),"",COUNTIFS($A$5:$A$154,$A94,$F$5:$F$154,"&gt;0"))</f>
        <v/>
      </c>
      <c r="H94" s="11">
        <f>IF(OR($A94="",NOT(ISNUMBER($F94))),"",ROUND(Points!$B$4*IF($G94&lt;=1,1,Points!$H$7+(1-Points!$H$7)*((($G94-$F94)*(($G94-$F94)+1)/2)^2-((($G94-$F94-COUNTIFS($A$5:$A$154,$A94,$F$5:$F$154,$F94)+1)-1)*($G94-$F94-COUNTIFS($A$5:$A$154,$A94,$F$5:$F$154,$F94)+1)/2)^2)/(COUNTIFS($A$5:$A$154,$A94,$F$5:$F$154,$F94)*($G94-1)^3)),0))</f>
        <v/>
      </c>
      <c r="I94" s="11">
        <f>IF($A94="","","Final")</f>
        <v/>
      </c>
      <c r="J94" s="11">
        <f>IF($A94="","",IF($D94="","Add the players",IF(COUNTIF(Players!$A$2:$A$500,$D94)=0,"Player 1 is not on the Players tab",IF(NOT(ISNUMBER($F94)),"Enter the final place",IF(N($F94)&gt;N($G94),"Place is bigger than the field: enter every team",IF($B94="","Enter the end date","OK"))))))</f>
        <v/>
      </c>
    </row>
    <row r="95">
      <c r="B95" s="9" t="n"/>
      <c r="G95" s="11">
        <f>IF(OR($A95="",NOT(ISNUMBER($F95))),"",COUNTIFS($A$5:$A$154,$A95,$F$5:$F$154,"&gt;0"))</f>
        <v/>
      </c>
      <c r="H95" s="11">
        <f>IF(OR($A95="",NOT(ISNUMBER($F95))),"",ROUND(Points!$B$4*IF($G95&lt;=1,1,Points!$H$7+(1-Points!$H$7)*((($G95-$F95)*(($G95-$F95)+1)/2)^2-((($G95-$F95-COUNTIFS($A$5:$A$154,$A95,$F$5:$F$154,$F95)+1)-1)*($G95-$F95-COUNTIFS($A$5:$A$154,$A95,$F$5:$F$154,$F95)+1)/2)^2)/(COUNTIFS($A$5:$A$154,$A95,$F$5:$F$154,$F95)*($G95-1)^3)),0))</f>
        <v/>
      </c>
      <c r="I95" s="11">
        <f>IF($A95="","","Final")</f>
        <v/>
      </c>
      <c r="J95" s="11">
        <f>IF($A95="","",IF($D95="","Add the players",IF(COUNTIF(Players!$A$2:$A$500,$D95)=0,"Player 1 is not on the Players tab",IF(NOT(ISNUMBER($F95)),"Enter the final place",IF(N($F95)&gt;N($G95),"Place is bigger than the field: enter every team",IF($B95="","Enter the end date","OK"))))))</f>
        <v/>
      </c>
    </row>
    <row r="96">
      <c r="B96" s="9" t="n"/>
      <c r="G96" s="11">
        <f>IF(OR($A96="",NOT(ISNUMBER($F96))),"",COUNTIFS($A$5:$A$154,$A96,$F$5:$F$154,"&gt;0"))</f>
        <v/>
      </c>
      <c r="H96" s="11">
        <f>IF(OR($A96="",NOT(ISNUMBER($F96))),"",ROUND(Points!$B$4*IF($G96&lt;=1,1,Points!$H$7+(1-Points!$H$7)*((($G96-$F96)*(($G96-$F96)+1)/2)^2-((($G96-$F96-COUNTIFS($A$5:$A$154,$A96,$F$5:$F$154,$F96)+1)-1)*($G96-$F96-COUNTIFS($A$5:$A$154,$A96,$F$5:$F$154,$F96)+1)/2)^2)/(COUNTIFS($A$5:$A$154,$A96,$F$5:$F$154,$F96)*($G96-1)^3)),0))</f>
        <v/>
      </c>
      <c r="I96" s="11">
        <f>IF($A96="","","Final")</f>
        <v/>
      </c>
      <c r="J96" s="11">
        <f>IF($A96="","",IF($D96="","Add the players",IF(COUNTIF(Players!$A$2:$A$500,$D96)=0,"Player 1 is not on the Players tab",IF(NOT(ISNUMBER($F96)),"Enter the final place",IF(N($F96)&gt;N($G96),"Place is bigger than the field: enter every team",IF($B96="","Enter the end date","OK"))))))</f>
        <v/>
      </c>
    </row>
    <row r="97">
      <c r="B97" s="9" t="n"/>
      <c r="G97" s="11">
        <f>IF(OR($A97="",NOT(ISNUMBER($F97))),"",COUNTIFS($A$5:$A$154,$A97,$F$5:$F$154,"&gt;0"))</f>
        <v/>
      </c>
      <c r="H97" s="11">
        <f>IF(OR($A97="",NOT(ISNUMBER($F97))),"",ROUND(Points!$B$4*IF($G97&lt;=1,1,Points!$H$7+(1-Points!$H$7)*((($G97-$F97)*(($G97-$F97)+1)/2)^2-((($G97-$F97-COUNTIFS($A$5:$A$154,$A97,$F$5:$F$154,$F97)+1)-1)*($G97-$F97-COUNTIFS($A$5:$A$154,$A97,$F$5:$F$154,$F97)+1)/2)^2)/(COUNTIFS($A$5:$A$154,$A97,$F$5:$F$154,$F97)*($G97-1)^3)),0))</f>
        <v/>
      </c>
      <c r="I97" s="11">
        <f>IF($A97="","","Final")</f>
        <v/>
      </c>
      <c r="J97" s="11">
        <f>IF($A97="","",IF($D97="","Add the players",IF(COUNTIF(Players!$A$2:$A$500,$D97)=0,"Player 1 is not on the Players tab",IF(NOT(ISNUMBER($F97)),"Enter the final place",IF(N($F97)&gt;N($G97),"Place is bigger than the field: enter every team",IF($B97="","Enter the end date","OK"))))))</f>
        <v/>
      </c>
    </row>
    <row r="98">
      <c r="B98" s="9" t="n"/>
      <c r="G98" s="11">
        <f>IF(OR($A98="",NOT(ISNUMBER($F98))),"",COUNTIFS($A$5:$A$154,$A98,$F$5:$F$154,"&gt;0"))</f>
        <v/>
      </c>
      <c r="H98" s="11">
        <f>IF(OR($A98="",NOT(ISNUMBER($F98))),"",ROUND(Points!$B$4*IF($G98&lt;=1,1,Points!$H$7+(1-Points!$H$7)*((($G98-$F98)*(($G98-$F98)+1)/2)^2-((($G98-$F98-COUNTIFS($A$5:$A$154,$A98,$F$5:$F$154,$F98)+1)-1)*($G98-$F98-COUNTIFS($A$5:$A$154,$A98,$F$5:$F$154,$F98)+1)/2)^2)/(COUNTIFS($A$5:$A$154,$A98,$F$5:$F$154,$F98)*($G98-1)^3)),0))</f>
        <v/>
      </c>
      <c r="I98" s="11">
        <f>IF($A98="","","Final")</f>
        <v/>
      </c>
      <c r="J98" s="11">
        <f>IF($A98="","",IF($D98="","Add the players",IF(COUNTIF(Players!$A$2:$A$500,$D98)=0,"Player 1 is not on the Players tab",IF(NOT(ISNUMBER($F98)),"Enter the final place",IF(N($F98)&gt;N($G98),"Place is bigger than the field: enter every team",IF($B98="","Enter the end date","OK"))))))</f>
        <v/>
      </c>
    </row>
    <row r="99">
      <c r="B99" s="9" t="n"/>
      <c r="G99" s="11">
        <f>IF(OR($A99="",NOT(ISNUMBER($F99))),"",COUNTIFS($A$5:$A$154,$A99,$F$5:$F$154,"&gt;0"))</f>
        <v/>
      </c>
      <c r="H99" s="11">
        <f>IF(OR($A99="",NOT(ISNUMBER($F99))),"",ROUND(Points!$B$4*IF($G99&lt;=1,1,Points!$H$7+(1-Points!$H$7)*((($G99-$F99)*(($G99-$F99)+1)/2)^2-((($G99-$F99-COUNTIFS($A$5:$A$154,$A99,$F$5:$F$154,$F99)+1)-1)*($G99-$F99-COUNTIFS($A$5:$A$154,$A99,$F$5:$F$154,$F99)+1)/2)^2)/(COUNTIFS($A$5:$A$154,$A99,$F$5:$F$154,$F99)*($G99-1)^3)),0))</f>
        <v/>
      </c>
      <c r="I99" s="11">
        <f>IF($A99="","","Final")</f>
        <v/>
      </c>
      <c r="J99" s="11">
        <f>IF($A99="","",IF($D99="","Add the players",IF(COUNTIF(Players!$A$2:$A$500,$D99)=0,"Player 1 is not on the Players tab",IF(NOT(ISNUMBER($F99)),"Enter the final place",IF(N($F99)&gt;N($G99),"Place is bigger than the field: enter every team",IF($B99="","Enter the end date","OK"))))))</f>
        <v/>
      </c>
    </row>
    <row r="100">
      <c r="B100" s="9" t="n"/>
      <c r="G100" s="11">
        <f>IF(OR($A100="",NOT(ISNUMBER($F100))),"",COUNTIFS($A$5:$A$154,$A100,$F$5:$F$154,"&gt;0"))</f>
        <v/>
      </c>
      <c r="H100" s="11">
        <f>IF(OR($A100="",NOT(ISNUMBER($F100))),"",ROUND(Points!$B$4*IF($G100&lt;=1,1,Points!$H$7+(1-Points!$H$7)*((($G100-$F100)*(($G100-$F100)+1)/2)^2-((($G100-$F100-COUNTIFS($A$5:$A$154,$A100,$F$5:$F$154,$F100)+1)-1)*($G100-$F100-COUNTIFS($A$5:$A$154,$A100,$F$5:$F$154,$F100)+1)/2)^2)/(COUNTIFS($A$5:$A$154,$A100,$F$5:$F$154,$F100)*($G100-1)^3)),0))</f>
        <v/>
      </c>
      <c r="I100" s="11">
        <f>IF($A100="","","Final")</f>
        <v/>
      </c>
      <c r="J100" s="11">
        <f>IF($A100="","",IF($D100="","Add the players",IF(COUNTIF(Players!$A$2:$A$500,$D100)=0,"Player 1 is not on the Players tab",IF(NOT(ISNUMBER($F100)),"Enter the final place",IF(N($F100)&gt;N($G100),"Place is bigger than the field: enter every team",IF($B100="","Enter the end date","OK"))))))</f>
        <v/>
      </c>
    </row>
    <row r="101">
      <c r="B101" s="9" t="n"/>
      <c r="G101" s="11">
        <f>IF(OR($A101="",NOT(ISNUMBER($F101))),"",COUNTIFS($A$5:$A$154,$A101,$F$5:$F$154,"&gt;0"))</f>
        <v/>
      </c>
      <c r="H101" s="11">
        <f>IF(OR($A101="",NOT(ISNUMBER($F101))),"",ROUND(Points!$B$4*IF($G101&lt;=1,1,Points!$H$7+(1-Points!$H$7)*((($G101-$F101)*(($G101-$F101)+1)/2)^2-((($G101-$F101-COUNTIFS($A$5:$A$154,$A101,$F$5:$F$154,$F101)+1)-1)*($G101-$F101-COUNTIFS($A$5:$A$154,$A101,$F$5:$F$154,$F101)+1)/2)^2)/(COUNTIFS($A$5:$A$154,$A101,$F$5:$F$154,$F101)*($G101-1)^3)),0))</f>
        <v/>
      </c>
      <c r="I101" s="11">
        <f>IF($A101="","","Final")</f>
        <v/>
      </c>
      <c r="J101" s="11">
        <f>IF($A101="","",IF($D101="","Add the players",IF(COUNTIF(Players!$A$2:$A$500,$D101)=0,"Player 1 is not on the Players tab",IF(NOT(ISNUMBER($F101)),"Enter the final place",IF(N($F101)&gt;N($G101),"Place is bigger than the field: enter every team",IF($B101="","Enter the end date","OK"))))))</f>
        <v/>
      </c>
    </row>
    <row r="102">
      <c r="B102" s="9" t="n"/>
      <c r="G102" s="11">
        <f>IF(OR($A102="",NOT(ISNUMBER($F102))),"",COUNTIFS($A$5:$A$154,$A102,$F$5:$F$154,"&gt;0"))</f>
        <v/>
      </c>
      <c r="H102" s="11">
        <f>IF(OR($A102="",NOT(ISNUMBER($F102))),"",ROUND(Points!$B$4*IF($G102&lt;=1,1,Points!$H$7+(1-Points!$H$7)*((($G102-$F102)*(($G102-$F102)+1)/2)^2-((($G102-$F102-COUNTIFS($A$5:$A$154,$A102,$F$5:$F$154,$F102)+1)-1)*($G102-$F102-COUNTIFS($A$5:$A$154,$A102,$F$5:$F$154,$F102)+1)/2)^2)/(COUNTIFS($A$5:$A$154,$A102,$F$5:$F$154,$F102)*($G102-1)^3)),0))</f>
        <v/>
      </c>
      <c r="I102" s="11">
        <f>IF($A102="","","Final")</f>
        <v/>
      </c>
      <c r="J102" s="11">
        <f>IF($A102="","",IF($D102="","Add the players",IF(COUNTIF(Players!$A$2:$A$500,$D102)=0,"Player 1 is not on the Players tab",IF(NOT(ISNUMBER($F102)),"Enter the final place",IF(N($F102)&gt;N($G102),"Place is bigger than the field: enter every team",IF($B102="","Enter the end date","OK"))))))</f>
        <v/>
      </c>
    </row>
    <row r="103">
      <c r="B103" s="9" t="n"/>
      <c r="G103" s="11">
        <f>IF(OR($A103="",NOT(ISNUMBER($F103))),"",COUNTIFS($A$5:$A$154,$A103,$F$5:$F$154,"&gt;0"))</f>
        <v/>
      </c>
      <c r="H103" s="11">
        <f>IF(OR($A103="",NOT(ISNUMBER($F103))),"",ROUND(Points!$B$4*IF($G103&lt;=1,1,Points!$H$7+(1-Points!$H$7)*((($G103-$F103)*(($G103-$F103)+1)/2)^2-((($G103-$F103-COUNTIFS($A$5:$A$154,$A103,$F$5:$F$154,$F103)+1)-1)*($G103-$F103-COUNTIFS($A$5:$A$154,$A103,$F$5:$F$154,$F103)+1)/2)^2)/(COUNTIFS($A$5:$A$154,$A103,$F$5:$F$154,$F103)*($G103-1)^3)),0))</f>
        <v/>
      </c>
      <c r="I103" s="11">
        <f>IF($A103="","","Final")</f>
        <v/>
      </c>
      <c r="J103" s="11">
        <f>IF($A103="","",IF($D103="","Add the players",IF(COUNTIF(Players!$A$2:$A$500,$D103)=0,"Player 1 is not on the Players tab",IF(NOT(ISNUMBER($F103)),"Enter the final place",IF(N($F103)&gt;N($G103),"Place is bigger than the field: enter every team",IF($B103="","Enter the end date","OK"))))))</f>
        <v/>
      </c>
    </row>
    <row r="104">
      <c r="B104" s="9" t="n"/>
      <c r="G104" s="11">
        <f>IF(OR($A104="",NOT(ISNUMBER($F104))),"",COUNTIFS($A$5:$A$154,$A104,$F$5:$F$154,"&gt;0"))</f>
        <v/>
      </c>
      <c r="H104" s="11">
        <f>IF(OR($A104="",NOT(ISNUMBER($F104))),"",ROUND(Points!$B$4*IF($G104&lt;=1,1,Points!$H$7+(1-Points!$H$7)*((($G104-$F104)*(($G104-$F104)+1)/2)^2-((($G104-$F104-COUNTIFS($A$5:$A$154,$A104,$F$5:$F$154,$F104)+1)-1)*($G104-$F104-COUNTIFS($A$5:$A$154,$A104,$F$5:$F$154,$F104)+1)/2)^2)/(COUNTIFS($A$5:$A$154,$A104,$F$5:$F$154,$F104)*($G104-1)^3)),0))</f>
        <v/>
      </c>
      <c r="I104" s="11">
        <f>IF($A104="","","Final")</f>
        <v/>
      </c>
      <c r="J104" s="11">
        <f>IF($A104="","",IF($D104="","Add the players",IF(COUNTIF(Players!$A$2:$A$500,$D104)=0,"Player 1 is not on the Players tab",IF(NOT(ISNUMBER($F104)),"Enter the final place",IF(N($F104)&gt;N($G104),"Place is bigger than the field: enter every team",IF($B104="","Enter the end date","OK"))))))</f>
        <v/>
      </c>
    </row>
    <row r="105">
      <c r="B105" s="9" t="n"/>
      <c r="G105" s="11">
        <f>IF(OR($A105="",NOT(ISNUMBER($F105))),"",COUNTIFS($A$5:$A$154,$A105,$F$5:$F$154,"&gt;0"))</f>
        <v/>
      </c>
      <c r="H105" s="11">
        <f>IF(OR($A105="",NOT(ISNUMBER($F105))),"",ROUND(Points!$B$4*IF($G105&lt;=1,1,Points!$H$7+(1-Points!$H$7)*((($G105-$F105)*(($G105-$F105)+1)/2)^2-((($G105-$F105-COUNTIFS($A$5:$A$154,$A105,$F$5:$F$154,$F105)+1)-1)*($G105-$F105-COUNTIFS($A$5:$A$154,$A105,$F$5:$F$154,$F105)+1)/2)^2)/(COUNTIFS($A$5:$A$154,$A105,$F$5:$F$154,$F105)*($G105-1)^3)),0))</f>
        <v/>
      </c>
      <c r="I105" s="11">
        <f>IF($A105="","","Final")</f>
        <v/>
      </c>
      <c r="J105" s="11">
        <f>IF($A105="","",IF($D105="","Add the players",IF(COUNTIF(Players!$A$2:$A$500,$D105)=0,"Player 1 is not on the Players tab",IF(NOT(ISNUMBER($F105)),"Enter the final place",IF(N($F105)&gt;N($G105),"Place is bigger than the field: enter every team",IF($B105="","Enter the end date","OK"))))))</f>
        <v/>
      </c>
    </row>
    <row r="106">
      <c r="B106" s="9" t="n"/>
      <c r="G106" s="11">
        <f>IF(OR($A106="",NOT(ISNUMBER($F106))),"",COUNTIFS($A$5:$A$154,$A106,$F$5:$F$154,"&gt;0"))</f>
        <v/>
      </c>
      <c r="H106" s="11">
        <f>IF(OR($A106="",NOT(ISNUMBER($F106))),"",ROUND(Points!$B$4*IF($G106&lt;=1,1,Points!$H$7+(1-Points!$H$7)*((($G106-$F106)*(($G106-$F106)+1)/2)^2-((($G106-$F106-COUNTIFS($A$5:$A$154,$A106,$F$5:$F$154,$F106)+1)-1)*($G106-$F106-COUNTIFS($A$5:$A$154,$A106,$F$5:$F$154,$F106)+1)/2)^2)/(COUNTIFS($A$5:$A$154,$A106,$F$5:$F$154,$F106)*($G106-1)^3)),0))</f>
        <v/>
      </c>
      <c r="I106" s="11">
        <f>IF($A106="","","Final")</f>
        <v/>
      </c>
      <c r="J106" s="11">
        <f>IF($A106="","",IF($D106="","Add the players",IF(COUNTIF(Players!$A$2:$A$500,$D106)=0,"Player 1 is not on the Players tab",IF(NOT(ISNUMBER($F106)),"Enter the final place",IF(N($F106)&gt;N($G106),"Place is bigger than the field: enter every team",IF($B106="","Enter the end date","OK"))))))</f>
        <v/>
      </c>
    </row>
    <row r="107">
      <c r="B107" s="9" t="n"/>
      <c r="G107" s="11">
        <f>IF(OR($A107="",NOT(ISNUMBER($F107))),"",COUNTIFS($A$5:$A$154,$A107,$F$5:$F$154,"&gt;0"))</f>
        <v/>
      </c>
      <c r="H107" s="11">
        <f>IF(OR($A107="",NOT(ISNUMBER($F107))),"",ROUND(Points!$B$4*IF($G107&lt;=1,1,Points!$H$7+(1-Points!$H$7)*((($G107-$F107)*(($G107-$F107)+1)/2)^2-((($G107-$F107-COUNTIFS($A$5:$A$154,$A107,$F$5:$F$154,$F107)+1)-1)*($G107-$F107-COUNTIFS($A$5:$A$154,$A107,$F$5:$F$154,$F107)+1)/2)^2)/(COUNTIFS($A$5:$A$154,$A107,$F$5:$F$154,$F107)*($G107-1)^3)),0))</f>
        <v/>
      </c>
      <c r="I107" s="11">
        <f>IF($A107="","","Final")</f>
        <v/>
      </c>
      <c r="J107" s="11">
        <f>IF($A107="","",IF($D107="","Add the players",IF(COUNTIF(Players!$A$2:$A$500,$D107)=0,"Player 1 is not on the Players tab",IF(NOT(ISNUMBER($F107)),"Enter the final place",IF(N($F107)&gt;N($G107),"Place is bigger than the field: enter every team",IF($B107="","Enter the end date","OK"))))))</f>
        <v/>
      </c>
    </row>
    <row r="108">
      <c r="B108" s="9" t="n"/>
      <c r="G108" s="11">
        <f>IF(OR($A108="",NOT(ISNUMBER($F108))),"",COUNTIFS($A$5:$A$154,$A108,$F$5:$F$154,"&gt;0"))</f>
        <v/>
      </c>
      <c r="H108" s="11">
        <f>IF(OR($A108="",NOT(ISNUMBER($F108))),"",ROUND(Points!$B$4*IF($G108&lt;=1,1,Points!$H$7+(1-Points!$H$7)*((($G108-$F108)*(($G108-$F108)+1)/2)^2-((($G108-$F108-COUNTIFS($A$5:$A$154,$A108,$F$5:$F$154,$F108)+1)-1)*($G108-$F108-COUNTIFS($A$5:$A$154,$A108,$F$5:$F$154,$F108)+1)/2)^2)/(COUNTIFS($A$5:$A$154,$A108,$F$5:$F$154,$F108)*($G108-1)^3)),0))</f>
        <v/>
      </c>
      <c r="I108" s="11">
        <f>IF($A108="","","Final")</f>
        <v/>
      </c>
      <c r="J108" s="11">
        <f>IF($A108="","",IF($D108="","Add the players",IF(COUNTIF(Players!$A$2:$A$500,$D108)=0,"Player 1 is not on the Players tab",IF(NOT(ISNUMBER($F108)),"Enter the final place",IF(N($F108)&gt;N($G108),"Place is bigger than the field: enter every team",IF($B108="","Enter the end date","OK"))))))</f>
        <v/>
      </c>
    </row>
    <row r="109">
      <c r="B109" s="9" t="n"/>
      <c r="G109" s="11">
        <f>IF(OR($A109="",NOT(ISNUMBER($F109))),"",COUNTIFS($A$5:$A$154,$A109,$F$5:$F$154,"&gt;0"))</f>
        <v/>
      </c>
      <c r="H109" s="11">
        <f>IF(OR($A109="",NOT(ISNUMBER($F109))),"",ROUND(Points!$B$4*IF($G109&lt;=1,1,Points!$H$7+(1-Points!$H$7)*((($G109-$F109)*(($G109-$F109)+1)/2)^2-((($G109-$F109-COUNTIFS($A$5:$A$154,$A109,$F$5:$F$154,$F109)+1)-1)*($G109-$F109-COUNTIFS($A$5:$A$154,$A109,$F$5:$F$154,$F109)+1)/2)^2)/(COUNTIFS($A$5:$A$154,$A109,$F$5:$F$154,$F109)*($G109-1)^3)),0))</f>
        <v/>
      </c>
      <c r="I109" s="11">
        <f>IF($A109="","","Final")</f>
        <v/>
      </c>
      <c r="J109" s="11">
        <f>IF($A109="","",IF($D109="","Add the players",IF(COUNTIF(Players!$A$2:$A$500,$D109)=0,"Player 1 is not on the Players tab",IF(NOT(ISNUMBER($F109)),"Enter the final place",IF(N($F109)&gt;N($G109),"Place is bigger than the field: enter every team",IF($B109="","Enter the end date","OK"))))))</f>
        <v/>
      </c>
    </row>
    <row r="110">
      <c r="B110" s="9" t="n"/>
      <c r="G110" s="11">
        <f>IF(OR($A110="",NOT(ISNUMBER($F110))),"",COUNTIFS($A$5:$A$154,$A110,$F$5:$F$154,"&gt;0"))</f>
        <v/>
      </c>
      <c r="H110" s="11">
        <f>IF(OR($A110="",NOT(ISNUMBER($F110))),"",ROUND(Points!$B$4*IF($G110&lt;=1,1,Points!$H$7+(1-Points!$H$7)*((($G110-$F110)*(($G110-$F110)+1)/2)^2-((($G110-$F110-COUNTIFS($A$5:$A$154,$A110,$F$5:$F$154,$F110)+1)-1)*($G110-$F110-COUNTIFS($A$5:$A$154,$A110,$F$5:$F$154,$F110)+1)/2)^2)/(COUNTIFS($A$5:$A$154,$A110,$F$5:$F$154,$F110)*($G110-1)^3)),0))</f>
        <v/>
      </c>
      <c r="I110" s="11">
        <f>IF($A110="","","Final")</f>
        <v/>
      </c>
      <c r="J110" s="11">
        <f>IF($A110="","",IF($D110="","Add the players",IF(COUNTIF(Players!$A$2:$A$500,$D110)=0,"Player 1 is not on the Players tab",IF(NOT(ISNUMBER($F110)),"Enter the final place",IF(N($F110)&gt;N($G110),"Place is bigger than the field: enter every team",IF($B110="","Enter the end date","OK"))))))</f>
        <v/>
      </c>
    </row>
    <row r="111">
      <c r="B111" s="9" t="n"/>
      <c r="G111" s="11">
        <f>IF(OR($A111="",NOT(ISNUMBER($F111))),"",COUNTIFS($A$5:$A$154,$A111,$F$5:$F$154,"&gt;0"))</f>
        <v/>
      </c>
      <c r="H111" s="11">
        <f>IF(OR($A111="",NOT(ISNUMBER($F111))),"",ROUND(Points!$B$4*IF($G111&lt;=1,1,Points!$H$7+(1-Points!$H$7)*((($G111-$F111)*(($G111-$F111)+1)/2)^2-((($G111-$F111-COUNTIFS($A$5:$A$154,$A111,$F$5:$F$154,$F111)+1)-1)*($G111-$F111-COUNTIFS($A$5:$A$154,$A111,$F$5:$F$154,$F111)+1)/2)^2)/(COUNTIFS($A$5:$A$154,$A111,$F$5:$F$154,$F111)*($G111-1)^3)),0))</f>
        <v/>
      </c>
      <c r="I111" s="11">
        <f>IF($A111="","","Final")</f>
        <v/>
      </c>
      <c r="J111" s="11">
        <f>IF($A111="","",IF($D111="","Add the players",IF(COUNTIF(Players!$A$2:$A$500,$D111)=0,"Player 1 is not on the Players tab",IF(NOT(ISNUMBER($F111)),"Enter the final place",IF(N($F111)&gt;N($G111),"Place is bigger than the field: enter every team",IF($B111="","Enter the end date","OK"))))))</f>
        <v/>
      </c>
    </row>
    <row r="112">
      <c r="B112" s="9" t="n"/>
      <c r="G112" s="11">
        <f>IF(OR($A112="",NOT(ISNUMBER($F112))),"",COUNTIFS($A$5:$A$154,$A112,$F$5:$F$154,"&gt;0"))</f>
        <v/>
      </c>
      <c r="H112" s="11">
        <f>IF(OR($A112="",NOT(ISNUMBER($F112))),"",ROUND(Points!$B$4*IF($G112&lt;=1,1,Points!$H$7+(1-Points!$H$7)*((($G112-$F112)*(($G112-$F112)+1)/2)^2-((($G112-$F112-COUNTIFS($A$5:$A$154,$A112,$F$5:$F$154,$F112)+1)-1)*($G112-$F112-COUNTIFS($A$5:$A$154,$A112,$F$5:$F$154,$F112)+1)/2)^2)/(COUNTIFS($A$5:$A$154,$A112,$F$5:$F$154,$F112)*($G112-1)^3)),0))</f>
        <v/>
      </c>
      <c r="I112" s="11">
        <f>IF($A112="","","Final")</f>
        <v/>
      </c>
      <c r="J112" s="11">
        <f>IF($A112="","",IF($D112="","Add the players",IF(COUNTIF(Players!$A$2:$A$500,$D112)=0,"Player 1 is not on the Players tab",IF(NOT(ISNUMBER($F112)),"Enter the final place",IF(N($F112)&gt;N($G112),"Place is bigger than the field: enter every team",IF($B112="","Enter the end date","OK"))))))</f>
        <v/>
      </c>
    </row>
    <row r="113">
      <c r="B113" s="9" t="n"/>
      <c r="G113" s="11">
        <f>IF(OR($A113="",NOT(ISNUMBER($F113))),"",COUNTIFS($A$5:$A$154,$A113,$F$5:$F$154,"&gt;0"))</f>
        <v/>
      </c>
      <c r="H113" s="11">
        <f>IF(OR($A113="",NOT(ISNUMBER($F113))),"",ROUND(Points!$B$4*IF($G113&lt;=1,1,Points!$H$7+(1-Points!$H$7)*((($G113-$F113)*(($G113-$F113)+1)/2)^2-((($G113-$F113-COUNTIFS($A$5:$A$154,$A113,$F$5:$F$154,$F113)+1)-1)*($G113-$F113-COUNTIFS($A$5:$A$154,$A113,$F$5:$F$154,$F113)+1)/2)^2)/(COUNTIFS($A$5:$A$154,$A113,$F$5:$F$154,$F113)*($G113-1)^3)),0))</f>
        <v/>
      </c>
      <c r="I113" s="11">
        <f>IF($A113="","","Final")</f>
        <v/>
      </c>
      <c r="J113" s="11">
        <f>IF($A113="","",IF($D113="","Add the players",IF(COUNTIF(Players!$A$2:$A$500,$D113)=0,"Player 1 is not on the Players tab",IF(NOT(ISNUMBER($F113)),"Enter the final place",IF(N($F113)&gt;N($G113),"Place is bigger than the field: enter every team",IF($B113="","Enter the end date","OK"))))))</f>
        <v/>
      </c>
    </row>
    <row r="114">
      <c r="B114" s="9" t="n"/>
      <c r="G114" s="11">
        <f>IF(OR($A114="",NOT(ISNUMBER($F114))),"",COUNTIFS($A$5:$A$154,$A114,$F$5:$F$154,"&gt;0"))</f>
        <v/>
      </c>
      <c r="H114" s="11">
        <f>IF(OR($A114="",NOT(ISNUMBER($F114))),"",ROUND(Points!$B$4*IF($G114&lt;=1,1,Points!$H$7+(1-Points!$H$7)*((($G114-$F114)*(($G114-$F114)+1)/2)^2-((($G114-$F114-COUNTIFS($A$5:$A$154,$A114,$F$5:$F$154,$F114)+1)-1)*($G114-$F114-COUNTIFS($A$5:$A$154,$A114,$F$5:$F$154,$F114)+1)/2)^2)/(COUNTIFS($A$5:$A$154,$A114,$F$5:$F$154,$F114)*($G114-1)^3)),0))</f>
        <v/>
      </c>
      <c r="I114" s="11">
        <f>IF($A114="","","Final")</f>
        <v/>
      </c>
      <c r="J114" s="11">
        <f>IF($A114="","",IF($D114="","Add the players",IF(COUNTIF(Players!$A$2:$A$500,$D114)=0,"Player 1 is not on the Players tab",IF(NOT(ISNUMBER($F114)),"Enter the final place",IF(N($F114)&gt;N($G114),"Place is bigger than the field: enter every team",IF($B114="","Enter the end date","OK"))))))</f>
        <v/>
      </c>
    </row>
    <row r="115">
      <c r="B115" s="9" t="n"/>
      <c r="G115" s="11">
        <f>IF(OR($A115="",NOT(ISNUMBER($F115))),"",COUNTIFS($A$5:$A$154,$A115,$F$5:$F$154,"&gt;0"))</f>
        <v/>
      </c>
      <c r="H115" s="11">
        <f>IF(OR($A115="",NOT(ISNUMBER($F115))),"",ROUND(Points!$B$4*IF($G115&lt;=1,1,Points!$H$7+(1-Points!$H$7)*((($G115-$F115)*(($G115-$F115)+1)/2)^2-((($G115-$F115-COUNTIFS($A$5:$A$154,$A115,$F$5:$F$154,$F115)+1)-1)*($G115-$F115-COUNTIFS($A$5:$A$154,$A115,$F$5:$F$154,$F115)+1)/2)^2)/(COUNTIFS($A$5:$A$154,$A115,$F$5:$F$154,$F115)*($G115-1)^3)),0))</f>
        <v/>
      </c>
      <c r="I115" s="11">
        <f>IF($A115="","","Final")</f>
        <v/>
      </c>
      <c r="J115" s="11">
        <f>IF($A115="","",IF($D115="","Add the players",IF(COUNTIF(Players!$A$2:$A$500,$D115)=0,"Player 1 is not on the Players tab",IF(NOT(ISNUMBER($F115)),"Enter the final place",IF(N($F115)&gt;N($G115),"Place is bigger than the field: enter every team",IF($B115="","Enter the end date","OK"))))))</f>
        <v/>
      </c>
    </row>
    <row r="116">
      <c r="B116" s="9" t="n"/>
      <c r="G116" s="11">
        <f>IF(OR($A116="",NOT(ISNUMBER($F116))),"",COUNTIFS($A$5:$A$154,$A116,$F$5:$F$154,"&gt;0"))</f>
        <v/>
      </c>
      <c r="H116" s="11">
        <f>IF(OR($A116="",NOT(ISNUMBER($F116))),"",ROUND(Points!$B$4*IF($G116&lt;=1,1,Points!$H$7+(1-Points!$H$7)*((($G116-$F116)*(($G116-$F116)+1)/2)^2-((($G116-$F116-COUNTIFS($A$5:$A$154,$A116,$F$5:$F$154,$F116)+1)-1)*($G116-$F116-COUNTIFS($A$5:$A$154,$A116,$F$5:$F$154,$F116)+1)/2)^2)/(COUNTIFS($A$5:$A$154,$A116,$F$5:$F$154,$F116)*($G116-1)^3)),0))</f>
        <v/>
      </c>
      <c r="I116" s="11">
        <f>IF($A116="","","Final")</f>
        <v/>
      </c>
      <c r="J116" s="11">
        <f>IF($A116="","",IF($D116="","Add the players",IF(COUNTIF(Players!$A$2:$A$500,$D116)=0,"Player 1 is not on the Players tab",IF(NOT(ISNUMBER($F116)),"Enter the final place",IF(N($F116)&gt;N($G116),"Place is bigger than the field: enter every team",IF($B116="","Enter the end date","OK"))))))</f>
        <v/>
      </c>
    </row>
    <row r="117">
      <c r="B117" s="9" t="n"/>
      <c r="G117" s="11">
        <f>IF(OR($A117="",NOT(ISNUMBER($F117))),"",COUNTIFS($A$5:$A$154,$A117,$F$5:$F$154,"&gt;0"))</f>
        <v/>
      </c>
      <c r="H117" s="11">
        <f>IF(OR($A117="",NOT(ISNUMBER($F117))),"",ROUND(Points!$B$4*IF($G117&lt;=1,1,Points!$H$7+(1-Points!$H$7)*((($G117-$F117)*(($G117-$F117)+1)/2)^2-((($G117-$F117-COUNTIFS($A$5:$A$154,$A117,$F$5:$F$154,$F117)+1)-1)*($G117-$F117-COUNTIFS($A$5:$A$154,$A117,$F$5:$F$154,$F117)+1)/2)^2)/(COUNTIFS($A$5:$A$154,$A117,$F$5:$F$154,$F117)*($G117-1)^3)),0))</f>
        <v/>
      </c>
      <c r="I117" s="11">
        <f>IF($A117="","","Final")</f>
        <v/>
      </c>
      <c r="J117" s="11">
        <f>IF($A117="","",IF($D117="","Add the players",IF(COUNTIF(Players!$A$2:$A$500,$D117)=0,"Player 1 is not on the Players tab",IF(NOT(ISNUMBER($F117)),"Enter the final place",IF(N($F117)&gt;N($G117),"Place is bigger than the field: enter every team",IF($B117="","Enter the end date","OK"))))))</f>
        <v/>
      </c>
    </row>
    <row r="118">
      <c r="B118" s="9" t="n"/>
      <c r="G118" s="11">
        <f>IF(OR($A118="",NOT(ISNUMBER($F118))),"",COUNTIFS($A$5:$A$154,$A118,$F$5:$F$154,"&gt;0"))</f>
        <v/>
      </c>
      <c r="H118" s="11">
        <f>IF(OR($A118="",NOT(ISNUMBER($F118))),"",ROUND(Points!$B$4*IF($G118&lt;=1,1,Points!$H$7+(1-Points!$H$7)*((($G118-$F118)*(($G118-$F118)+1)/2)^2-((($G118-$F118-COUNTIFS($A$5:$A$154,$A118,$F$5:$F$154,$F118)+1)-1)*($G118-$F118-COUNTIFS($A$5:$A$154,$A118,$F$5:$F$154,$F118)+1)/2)^2)/(COUNTIFS($A$5:$A$154,$A118,$F$5:$F$154,$F118)*($G118-1)^3)),0))</f>
        <v/>
      </c>
      <c r="I118" s="11">
        <f>IF($A118="","","Final")</f>
        <v/>
      </c>
      <c r="J118" s="11">
        <f>IF($A118="","",IF($D118="","Add the players",IF(COUNTIF(Players!$A$2:$A$500,$D118)=0,"Player 1 is not on the Players tab",IF(NOT(ISNUMBER($F118)),"Enter the final place",IF(N($F118)&gt;N($G118),"Place is bigger than the field: enter every team",IF($B118="","Enter the end date","OK"))))))</f>
        <v/>
      </c>
    </row>
    <row r="119">
      <c r="B119" s="9" t="n"/>
      <c r="G119" s="11">
        <f>IF(OR($A119="",NOT(ISNUMBER($F119))),"",COUNTIFS($A$5:$A$154,$A119,$F$5:$F$154,"&gt;0"))</f>
        <v/>
      </c>
      <c r="H119" s="11">
        <f>IF(OR($A119="",NOT(ISNUMBER($F119))),"",ROUND(Points!$B$4*IF($G119&lt;=1,1,Points!$H$7+(1-Points!$H$7)*((($G119-$F119)*(($G119-$F119)+1)/2)^2-((($G119-$F119-COUNTIFS($A$5:$A$154,$A119,$F$5:$F$154,$F119)+1)-1)*($G119-$F119-COUNTIFS($A$5:$A$154,$A119,$F$5:$F$154,$F119)+1)/2)^2)/(COUNTIFS($A$5:$A$154,$A119,$F$5:$F$154,$F119)*($G119-1)^3)),0))</f>
        <v/>
      </c>
      <c r="I119" s="11">
        <f>IF($A119="","","Final")</f>
        <v/>
      </c>
      <c r="J119" s="11">
        <f>IF($A119="","",IF($D119="","Add the players",IF(COUNTIF(Players!$A$2:$A$500,$D119)=0,"Player 1 is not on the Players tab",IF(NOT(ISNUMBER($F119)),"Enter the final place",IF(N($F119)&gt;N($G119),"Place is bigger than the field: enter every team",IF($B119="","Enter the end date","OK"))))))</f>
        <v/>
      </c>
    </row>
    <row r="120">
      <c r="B120" s="9" t="n"/>
      <c r="G120" s="11">
        <f>IF(OR($A120="",NOT(ISNUMBER($F120))),"",COUNTIFS($A$5:$A$154,$A120,$F$5:$F$154,"&gt;0"))</f>
        <v/>
      </c>
      <c r="H120" s="11">
        <f>IF(OR($A120="",NOT(ISNUMBER($F120))),"",ROUND(Points!$B$4*IF($G120&lt;=1,1,Points!$H$7+(1-Points!$H$7)*((($G120-$F120)*(($G120-$F120)+1)/2)^2-((($G120-$F120-COUNTIFS($A$5:$A$154,$A120,$F$5:$F$154,$F120)+1)-1)*($G120-$F120-COUNTIFS($A$5:$A$154,$A120,$F$5:$F$154,$F120)+1)/2)^2)/(COUNTIFS($A$5:$A$154,$A120,$F$5:$F$154,$F120)*($G120-1)^3)),0))</f>
        <v/>
      </c>
      <c r="I120" s="11">
        <f>IF($A120="","","Final")</f>
        <v/>
      </c>
      <c r="J120" s="11">
        <f>IF($A120="","",IF($D120="","Add the players",IF(COUNTIF(Players!$A$2:$A$500,$D120)=0,"Player 1 is not on the Players tab",IF(NOT(ISNUMBER($F120)),"Enter the final place",IF(N($F120)&gt;N($G120),"Place is bigger than the field: enter every team",IF($B120="","Enter the end date","OK"))))))</f>
        <v/>
      </c>
    </row>
    <row r="121">
      <c r="B121" s="9" t="n"/>
      <c r="G121" s="11">
        <f>IF(OR($A121="",NOT(ISNUMBER($F121))),"",COUNTIFS($A$5:$A$154,$A121,$F$5:$F$154,"&gt;0"))</f>
        <v/>
      </c>
      <c r="H121" s="11">
        <f>IF(OR($A121="",NOT(ISNUMBER($F121))),"",ROUND(Points!$B$4*IF($G121&lt;=1,1,Points!$H$7+(1-Points!$H$7)*((($G121-$F121)*(($G121-$F121)+1)/2)^2-((($G121-$F121-COUNTIFS($A$5:$A$154,$A121,$F$5:$F$154,$F121)+1)-1)*($G121-$F121-COUNTIFS($A$5:$A$154,$A121,$F$5:$F$154,$F121)+1)/2)^2)/(COUNTIFS($A$5:$A$154,$A121,$F$5:$F$154,$F121)*($G121-1)^3)),0))</f>
        <v/>
      </c>
      <c r="I121" s="11">
        <f>IF($A121="","","Final")</f>
        <v/>
      </c>
      <c r="J121" s="11">
        <f>IF($A121="","",IF($D121="","Add the players",IF(COUNTIF(Players!$A$2:$A$500,$D121)=0,"Player 1 is not on the Players tab",IF(NOT(ISNUMBER($F121)),"Enter the final place",IF(N($F121)&gt;N($G121),"Place is bigger than the field: enter every team",IF($B121="","Enter the end date","OK"))))))</f>
        <v/>
      </c>
    </row>
    <row r="122">
      <c r="B122" s="9" t="n"/>
      <c r="G122" s="11">
        <f>IF(OR($A122="",NOT(ISNUMBER($F122))),"",COUNTIFS($A$5:$A$154,$A122,$F$5:$F$154,"&gt;0"))</f>
        <v/>
      </c>
      <c r="H122" s="11">
        <f>IF(OR($A122="",NOT(ISNUMBER($F122))),"",ROUND(Points!$B$4*IF($G122&lt;=1,1,Points!$H$7+(1-Points!$H$7)*((($G122-$F122)*(($G122-$F122)+1)/2)^2-((($G122-$F122-COUNTIFS($A$5:$A$154,$A122,$F$5:$F$154,$F122)+1)-1)*($G122-$F122-COUNTIFS($A$5:$A$154,$A122,$F$5:$F$154,$F122)+1)/2)^2)/(COUNTIFS($A$5:$A$154,$A122,$F$5:$F$154,$F122)*($G122-1)^3)),0))</f>
        <v/>
      </c>
      <c r="I122" s="11">
        <f>IF($A122="","","Final")</f>
        <v/>
      </c>
      <c r="J122" s="11">
        <f>IF($A122="","",IF($D122="","Add the players",IF(COUNTIF(Players!$A$2:$A$500,$D122)=0,"Player 1 is not on the Players tab",IF(NOT(ISNUMBER($F122)),"Enter the final place",IF(N($F122)&gt;N($G122),"Place is bigger than the field: enter every team",IF($B122="","Enter the end date","OK"))))))</f>
        <v/>
      </c>
    </row>
    <row r="123">
      <c r="B123" s="9" t="n"/>
      <c r="G123" s="11">
        <f>IF(OR($A123="",NOT(ISNUMBER($F123))),"",COUNTIFS($A$5:$A$154,$A123,$F$5:$F$154,"&gt;0"))</f>
        <v/>
      </c>
      <c r="H123" s="11">
        <f>IF(OR($A123="",NOT(ISNUMBER($F123))),"",ROUND(Points!$B$4*IF($G123&lt;=1,1,Points!$H$7+(1-Points!$H$7)*((($G123-$F123)*(($G123-$F123)+1)/2)^2-((($G123-$F123-COUNTIFS($A$5:$A$154,$A123,$F$5:$F$154,$F123)+1)-1)*($G123-$F123-COUNTIFS($A$5:$A$154,$A123,$F$5:$F$154,$F123)+1)/2)^2)/(COUNTIFS($A$5:$A$154,$A123,$F$5:$F$154,$F123)*($G123-1)^3)),0))</f>
        <v/>
      </c>
      <c r="I123" s="11">
        <f>IF($A123="","","Final")</f>
        <v/>
      </c>
      <c r="J123" s="11">
        <f>IF($A123="","",IF($D123="","Add the players",IF(COUNTIF(Players!$A$2:$A$500,$D123)=0,"Player 1 is not on the Players tab",IF(NOT(ISNUMBER($F123)),"Enter the final place",IF(N($F123)&gt;N($G123),"Place is bigger than the field: enter every team",IF($B123="","Enter the end date","OK"))))))</f>
        <v/>
      </c>
    </row>
    <row r="124">
      <c r="B124" s="9" t="n"/>
      <c r="G124" s="11">
        <f>IF(OR($A124="",NOT(ISNUMBER($F124))),"",COUNTIFS($A$5:$A$154,$A124,$F$5:$F$154,"&gt;0"))</f>
        <v/>
      </c>
      <c r="H124" s="11">
        <f>IF(OR($A124="",NOT(ISNUMBER($F124))),"",ROUND(Points!$B$4*IF($G124&lt;=1,1,Points!$H$7+(1-Points!$H$7)*((($G124-$F124)*(($G124-$F124)+1)/2)^2-((($G124-$F124-COUNTIFS($A$5:$A$154,$A124,$F$5:$F$154,$F124)+1)-1)*($G124-$F124-COUNTIFS($A$5:$A$154,$A124,$F$5:$F$154,$F124)+1)/2)^2)/(COUNTIFS($A$5:$A$154,$A124,$F$5:$F$154,$F124)*($G124-1)^3)),0))</f>
        <v/>
      </c>
      <c r="I124" s="11">
        <f>IF($A124="","","Final")</f>
        <v/>
      </c>
      <c r="J124" s="11">
        <f>IF($A124="","",IF($D124="","Add the players",IF(COUNTIF(Players!$A$2:$A$500,$D124)=0,"Player 1 is not on the Players tab",IF(NOT(ISNUMBER($F124)),"Enter the final place",IF(N($F124)&gt;N($G124),"Place is bigger than the field: enter every team",IF($B124="","Enter the end date","OK"))))))</f>
        <v/>
      </c>
    </row>
    <row r="125">
      <c r="B125" s="9" t="n"/>
      <c r="G125" s="11">
        <f>IF(OR($A125="",NOT(ISNUMBER($F125))),"",COUNTIFS($A$5:$A$154,$A125,$F$5:$F$154,"&gt;0"))</f>
        <v/>
      </c>
      <c r="H125" s="11">
        <f>IF(OR($A125="",NOT(ISNUMBER($F125))),"",ROUND(Points!$B$4*IF($G125&lt;=1,1,Points!$H$7+(1-Points!$H$7)*((($G125-$F125)*(($G125-$F125)+1)/2)^2-((($G125-$F125-COUNTIFS($A$5:$A$154,$A125,$F$5:$F$154,$F125)+1)-1)*($G125-$F125-COUNTIFS($A$5:$A$154,$A125,$F$5:$F$154,$F125)+1)/2)^2)/(COUNTIFS($A$5:$A$154,$A125,$F$5:$F$154,$F125)*($G125-1)^3)),0))</f>
        <v/>
      </c>
      <c r="I125" s="11">
        <f>IF($A125="","","Final")</f>
        <v/>
      </c>
      <c r="J125" s="11">
        <f>IF($A125="","",IF($D125="","Add the players",IF(COUNTIF(Players!$A$2:$A$500,$D125)=0,"Player 1 is not on the Players tab",IF(NOT(ISNUMBER($F125)),"Enter the final place",IF(N($F125)&gt;N($G125),"Place is bigger than the field: enter every team",IF($B125="","Enter the end date","OK"))))))</f>
        <v/>
      </c>
    </row>
    <row r="126">
      <c r="B126" s="9" t="n"/>
      <c r="G126" s="11">
        <f>IF(OR($A126="",NOT(ISNUMBER($F126))),"",COUNTIFS($A$5:$A$154,$A126,$F$5:$F$154,"&gt;0"))</f>
        <v/>
      </c>
      <c r="H126" s="11">
        <f>IF(OR($A126="",NOT(ISNUMBER($F126))),"",ROUND(Points!$B$4*IF($G126&lt;=1,1,Points!$H$7+(1-Points!$H$7)*((($G126-$F126)*(($G126-$F126)+1)/2)^2-((($G126-$F126-COUNTIFS($A$5:$A$154,$A126,$F$5:$F$154,$F126)+1)-1)*($G126-$F126-COUNTIFS($A$5:$A$154,$A126,$F$5:$F$154,$F126)+1)/2)^2)/(COUNTIFS($A$5:$A$154,$A126,$F$5:$F$154,$F126)*($G126-1)^3)),0))</f>
        <v/>
      </c>
      <c r="I126" s="11">
        <f>IF($A126="","","Final")</f>
        <v/>
      </c>
      <c r="J126" s="11">
        <f>IF($A126="","",IF($D126="","Add the players",IF(COUNTIF(Players!$A$2:$A$500,$D126)=0,"Player 1 is not on the Players tab",IF(NOT(ISNUMBER($F126)),"Enter the final place",IF(N($F126)&gt;N($G126),"Place is bigger than the field: enter every team",IF($B126="","Enter the end date","OK"))))))</f>
        <v/>
      </c>
    </row>
    <row r="127">
      <c r="B127" s="9" t="n"/>
      <c r="G127" s="11">
        <f>IF(OR($A127="",NOT(ISNUMBER($F127))),"",COUNTIFS($A$5:$A$154,$A127,$F$5:$F$154,"&gt;0"))</f>
        <v/>
      </c>
      <c r="H127" s="11">
        <f>IF(OR($A127="",NOT(ISNUMBER($F127))),"",ROUND(Points!$B$4*IF($G127&lt;=1,1,Points!$H$7+(1-Points!$H$7)*((($G127-$F127)*(($G127-$F127)+1)/2)^2-((($G127-$F127-COUNTIFS($A$5:$A$154,$A127,$F$5:$F$154,$F127)+1)-1)*($G127-$F127-COUNTIFS($A$5:$A$154,$A127,$F$5:$F$154,$F127)+1)/2)^2)/(COUNTIFS($A$5:$A$154,$A127,$F$5:$F$154,$F127)*($G127-1)^3)),0))</f>
        <v/>
      </c>
      <c r="I127" s="11">
        <f>IF($A127="","","Final")</f>
        <v/>
      </c>
      <c r="J127" s="11">
        <f>IF($A127="","",IF($D127="","Add the players",IF(COUNTIF(Players!$A$2:$A$500,$D127)=0,"Player 1 is not on the Players tab",IF(NOT(ISNUMBER($F127)),"Enter the final place",IF(N($F127)&gt;N($G127),"Place is bigger than the field: enter every team",IF($B127="","Enter the end date","OK"))))))</f>
        <v/>
      </c>
    </row>
    <row r="128">
      <c r="B128" s="9" t="n"/>
      <c r="G128" s="11">
        <f>IF(OR($A128="",NOT(ISNUMBER($F128))),"",COUNTIFS($A$5:$A$154,$A128,$F$5:$F$154,"&gt;0"))</f>
        <v/>
      </c>
      <c r="H128" s="11">
        <f>IF(OR($A128="",NOT(ISNUMBER($F128))),"",ROUND(Points!$B$4*IF($G128&lt;=1,1,Points!$H$7+(1-Points!$H$7)*((($G128-$F128)*(($G128-$F128)+1)/2)^2-((($G128-$F128-COUNTIFS($A$5:$A$154,$A128,$F$5:$F$154,$F128)+1)-1)*($G128-$F128-COUNTIFS($A$5:$A$154,$A128,$F$5:$F$154,$F128)+1)/2)^2)/(COUNTIFS($A$5:$A$154,$A128,$F$5:$F$154,$F128)*($G128-1)^3)),0))</f>
        <v/>
      </c>
      <c r="I128" s="11">
        <f>IF($A128="","","Final")</f>
        <v/>
      </c>
      <c r="J128" s="11">
        <f>IF($A128="","",IF($D128="","Add the players",IF(COUNTIF(Players!$A$2:$A$500,$D128)=0,"Player 1 is not on the Players tab",IF(NOT(ISNUMBER($F128)),"Enter the final place",IF(N($F128)&gt;N($G128),"Place is bigger than the field: enter every team",IF($B128="","Enter the end date","OK"))))))</f>
        <v/>
      </c>
    </row>
    <row r="129">
      <c r="B129" s="9" t="n"/>
      <c r="G129" s="11">
        <f>IF(OR($A129="",NOT(ISNUMBER($F129))),"",COUNTIFS($A$5:$A$154,$A129,$F$5:$F$154,"&gt;0"))</f>
        <v/>
      </c>
      <c r="H129" s="11">
        <f>IF(OR($A129="",NOT(ISNUMBER($F129))),"",ROUND(Points!$B$4*IF($G129&lt;=1,1,Points!$H$7+(1-Points!$H$7)*((($G129-$F129)*(($G129-$F129)+1)/2)^2-((($G129-$F129-COUNTIFS($A$5:$A$154,$A129,$F$5:$F$154,$F129)+1)-1)*($G129-$F129-COUNTIFS($A$5:$A$154,$A129,$F$5:$F$154,$F129)+1)/2)^2)/(COUNTIFS($A$5:$A$154,$A129,$F$5:$F$154,$F129)*($G129-1)^3)),0))</f>
        <v/>
      </c>
      <c r="I129" s="11">
        <f>IF($A129="","","Final")</f>
        <v/>
      </c>
      <c r="J129" s="11">
        <f>IF($A129="","",IF($D129="","Add the players",IF(COUNTIF(Players!$A$2:$A$500,$D129)=0,"Player 1 is not on the Players tab",IF(NOT(ISNUMBER($F129)),"Enter the final place",IF(N($F129)&gt;N($G129),"Place is bigger than the field: enter every team",IF($B129="","Enter the end date","OK"))))))</f>
        <v/>
      </c>
    </row>
    <row r="130">
      <c r="B130" s="9" t="n"/>
      <c r="G130" s="11">
        <f>IF(OR($A130="",NOT(ISNUMBER($F130))),"",COUNTIFS($A$5:$A$154,$A130,$F$5:$F$154,"&gt;0"))</f>
        <v/>
      </c>
      <c r="H130" s="11">
        <f>IF(OR($A130="",NOT(ISNUMBER($F130))),"",ROUND(Points!$B$4*IF($G130&lt;=1,1,Points!$H$7+(1-Points!$H$7)*((($G130-$F130)*(($G130-$F130)+1)/2)^2-((($G130-$F130-COUNTIFS($A$5:$A$154,$A130,$F$5:$F$154,$F130)+1)-1)*($G130-$F130-COUNTIFS($A$5:$A$154,$A130,$F$5:$F$154,$F130)+1)/2)^2)/(COUNTIFS($A$5:$A$154,$A130,$F$5:$F$154,$F130)*($G130-1)^3)),0))</f>
        <v/>
      </c>
      <c r="I130" s="11">
        <f>IF($A130="","","Final")</f>
        <v/>
      </c>
      <c r="J130" s="11">
        <f>IF($A130="","",IF($D130="","Add the players",IF(COUNTIF(Players!$A$2:$A$500,$D130)=0,"Player 1 is not on the Players tab",IF(NOT(ISNUMBER($F130)),"Enter the final place",IF(N($F130)&gt;N($G130),"Place is bigger than the field: enter every team",IF($B130="","Enter the end date","OK"))))))</f>
        <v/>
      </c>
    </row>
    <row r="131">
      <c r="B131" s="9" t="n"/>
      <c r="G131" s="11">
        <f>IF(OR($A131="",NOT(ISNUMBER($F131))),"",COUNTIFS($A$5:$A$154,$A131,$F$5:$F$154,"&gt;0"))</f>
        <v/>
      </c>
      <c r="H131" s="11">
        <f>IF(OR($A131="",NOT(ISNUMBER($F131))),"",ROUND(Points!$B$4*IF($G131&lt;=1,1,Points!$H$7+(1-Points!$H$7)*((($G131-$F131)*(($G131-$F131)+1)/2)^2-((($G131-$F131-COUNTIFS($A$5:$A$154,$A131,$F$5:$F$154,$F131)+1)-1)*($G131-$F131-COUNTIFS($A$5:$A$154,$A131,$F$5:$F$154,$F131)+1)/2)^2)/(COUNTIFS($A$5:$A$154,$A131,$F$5:$F$154,$F131)*($G131-1)^3)),0))</f>
        <v/>
      </c>
      <c r="I131" s="11">
        <f>IF($A131="","","Final")</f>
        <v/>
      </c>
      <c r="J131" s="11">
        <f>IF($A131="","",IF($D131="","Add the players",IF(COUNTIF(Players!$A$2:$A$500,$D131)=0,"Player 1 is not on the Players tab",IF(NOT(ISNUMBER($F131)),"Enter the final place",IF(N($F131)&gt;N($G131),"Place is bigger than the field: enter every team",IF($B131="","Enter the end date","OK"))))))</f>
        <v/>
      </c>
    </row>
    <row r="132">
      <c r="B132" s="9" t="n"/>
      <c r="G132" s="11">
        <f>IF(OR($A132="",NOT(ISNUMBER($F132))),"",COUNTIFS($A$5:$A$154,$A132,$F$5:$F$154,"&gt;0"))</f>
        <v/>
      </c>
      <c r="H132" s="11">
        <f>IF(OR($A132="",NOT(ISNUMBER($F132))),"",ROUND(Points!$B$4*IF($G132&lt;=1,1,Points!$H$7+(1-Points!$H$7)*((($G132-$F132)*(($G132-$F132)+1)/2)^2-((($G132-$F132-COUNTIFS($A$5:$A$154,$A132,$F$5:$F$154,$F132)+1)-1)*($G132-$F132-COUNTIFS($A$5:$A$154,$A132,$F$5:$F$154,$F132)+1)/2)^2)/(COUNTIFS($A$5:$A$154,$A132,$F$5:$F$154,$F132)*($G132-1)^3)),0))</f>
        <v/>
      </c>
      <c r="I132" s="11">
        <f>IF($A132="","","Final")</f>
        <v/>
      </c>
      <c r="J132" s="11">
        <f>IF($A132="","",IF($D132="","Add the players",IF(COUNTIF(Players!$A$2:$A$500,$D132)=0,"Player 1 is not on the Players tab",IF(NOT(ISNUMBER($F132)),"Enter the final place",IF(N($F132)&gt;N($G132),"Place is bigger than the field: enter every team",IF($B132="","Enter the end date","OK"))))))</f>
        <v/>
      </c>
    </row>
    <row r="133">
      <c r="B133" s="9" t="n"/>
      <c r="G133" s="11">
        <f>IF(OR($A133="",NOT(ISNUMBER($F133))),"",COUNTIFS($A$5:$A$154,$A133,$F$5:$F$154,"&gt;0"))</f>
        <v/>
      </c>
      <c r="H133" s="11">
        <f>IF(OR($A133="",NOT(ISNUMBER($F133))),"",ROUND(Points!$B$4*IF($G133&lt;=1,1,Points!$H$7+(1-Points!$H$7)*((($G133-$F133)*(($G133-$F133)+1)/2)^2-((($G133-$F133-COUNTIFS($A$5:$A$154,$A133,$F$5:$F$154,$F133)+1)-1)*($G133-$F133-COUNTIFS($A$5:$A$154,$A133,$F$5:$F$154,$F133)+1)/2)^2)/(COUNTIFS($A$5:$A$154,$A133,$F$5:$F$154,$F133)*($G133-1)^3)),0))</f>
        <v/>
      </c>
      <c r="I133" s="11">
        <f>IF($A133="","","Final")</f>
        <v/>
      </c>
      <c r="J133" s="11">
        <f>IF($A133="","",IF($D133="","Add the players",IF(COUNTIF(Players!$A$2:$A$500,$D133)=0,"Player 1 is not on the Players tab",IF(NOT(ISNUMBER($F133)),"Enter the final place",IF(N($F133)&gt;N($G133),"Place is bigger than the field: enter every team",IF($B133="","Enter the end date","OK"))))))</f>
        <v/>
      </c>
    </row>
    <row r="134">
      <c r="B134" s="9" t="n"/>
      <c r="G134" s="11">
        <f>IF(OR($A134="",NOT(ISNUMBER($F134))),"",COUNTIFS($A$5:$A$154,$A134,$F$5:$F$154,"&gt;0"))</f>
        <v/>
      </c>
      <c r="H134" s="11">
        <f>IF(OR($A134="",NOT(ISNUMBER($F134))),"",ROUND(Points!$B$4*IF($G134&lt;=1,1,Points!$H$7+(1-Points!$H$7)*((($G134-$F134)*(($G134-$F134)+1)/2)^2-((($G134-$F134-COUNTIFS($A$5:$A$154,$A134,$F$5:$F$154,$F134)+1)-1)*($G134-$F134-COUNTIFS($A$5:$A$154,$A134,$F$5:$F$154,$F134)+1)/2)^2)/(COUNTIFS($A$5:$A$154,$A134,$F$5:$F$154,$F134)*($G134-1)^3)),0))</f>
        <v/>
      </c>
      <c r="I134" s="11">
        <f>IF($A134="","","Final")</f>
        <v/>
      </c>
      <c r="J134" s="11">
        <f>IF($A134="","",IF($D134="","Add the players",IF(COUNTIF(Players!$A$2:$A$500,$D134)=0,"Player 1 is not on the Players tab",IF(NOT(ISNUMBER($F134)),"Enter the final place",IF(N($F134)&gt;N($G134),"Place is bigger than the field: enter every team",IF($B134="","Enter the end date","OK"))))))</f>
        <v/>
      </c>
    </row>
    <row r="135">
      <c r="B135" s="9" t="n"/>
      <c r="G135" s="11">
        <f>IF(OR($A135="",NOT(ISNUMBER($F135))),"",COUNTIFS($A$5:$A$154,$A135,$F$5:$F$154,"&gt;0"))</f>
        <v/>
      </c>
      <c r="H135" s="11">
        <f>IF(OR($A135="",NOT(ISNUMBER($F135))),"",ROUND(Points!$B$4*IF($G135&lt;=1,1,Points!$H$7+(1-Points!$H$7)*((($G135-$F135)*(($G135-$F135)+1)/2)^2-((($G135-$F135-COUNTIFS($A$5:$A$154,$A135,$F$5:$F$154,$F135)+1)-1)*($G135-$F135-COUNTIFS($A$5:$A$154,$A135,$F$5:$F$154,$F135)+1)/2)^2)/(COUNTIFS($A$5:$A$154,$A135,$F$5:$F$154,$F135)*($G135-1)^3)),0))</f>
        <v/>
      </c>
      <c r="I135" s="11">
        <f>IF($A135="","","Final")</f>
        <v/>
      </c>
      <c r="J135" s="11">
        <f>IF($A135="","",IF($D135="","Add the players",IF(COUNTIF(Players!$A$2:$A$500,$D135)=0,"Player 1 is not on the Players tab",IF(NOT(ISNUMBER($F135)),"Enter the final place",IF(N($F135)&gt;N($G135),"Place is bigger than the field: enter every team",IF($B135="","Enter the end date","OK"))))))</f>
        <v/>
      </c>
    </row>
    <row r="136">
      <c r="B136" s="9" t="n"/>
      <c r="G136" s="11">
        <f>IF(OR($A136="",NOT(ISNUMBER($F136))),"",COUNTIFS($A$5:$A$154,$A136,$F$5:$F$154,"&gt;0"))</f>
        <v/>
      </c>
      <c r="H136" s="11">
        <f>IF(OR($A136="",NOT(ISNUMBER($F136))),"",ROUND(Points!$B$4*IF($G136&lt;=1,1,Points!$H$7+(1-Points!$H$7)*((($G136-$F136)*(($G136-$F136)+1)/2)^2-((($G136-$F136-COUNTIFS($A$5:$A$154,$A136,$F$5:$F$154,$F136)+1)-1)*($G136-$F136-COUNTIFS($A$5:$A$154,$A136,$F$5:$F$154,$F136)+1)/2)^2)/(COUNTIFS($A$5:$A$154,$A136,$F$5:$F$154,$F136)*($G136-1)^3)),0))</f>
        <v/>
      </c>
      <c r="I136" s="11">
        <f>IF($A136="","","Final")</f>
        <v/>
      </c>
      <c r="J136" s="11">
        <f>IF($A136="","",IF($D136="","Add the players",IF(COUNTIF(Players!$A$2:$A$500,$D136)=0,"Player 1 is not on the Players tab",IF(NOT(ISNUMBER($F136)),"Enter the final place",IF(N($F136)&gt;N($G136),"Place is bigger than the field: enter every team",IF($B136="","Enter the end date","OK"))))))</f>
        <v/>
      </c>
    </row>
    <row r="137">
      <c r="B137" s="9" t="n"/>
      <c r="G137" s="11">
        <f>IF(OR($A137="",NOT(ISNUMBER($F137))),"",COUNTIFS($A$5:$A$154,$A137,$F$5:$F$154,"&gt;0"))</f>
        <v/>
      </c>
      <c r="H137" s="11">
        <f>IF(OR($A137="",NOT(ISNUMBER($F137))),"",ROUND(Points!$B$4*IF($G137&lt;=1,1,Points!$H$7+(1-Points!$H$7)*((($G137-$F137)*(($G137-$F137)+1)/2)^2-((($G137-$F137-COUNTIFS($A$5:$A$154,$A137,$F$5:$F$154,$F137)+1)-1)*($G137-$F137-COUNTIFS($A$5:$A$154,$A137,$F$5:$F$154,$F137)+1)/2)^2)/(COUNTIFS($A$5:$A$154,$A137,$F$5:$F$154,$F137)*($G137-1)^3)),0))</f>
        <v/>
      </c>
      <c r="I137" s="11">
        <f>IF($A137="","","Final")</f>
        <v/>
      </c>
      <c r="J137" s="11">
        <f>IF($A137="","",IF($D137="","Add the players",IF(COUNTIF(Players!$A$2:$A$500,$D137)=0,"Player 1 is not on the Players tab",IF(NOT(ISNUMBER($F137)),"Enter the final place",IF(N($F137)&gt;N($G137),"Place is bigger than the field: enter every team",IF($B137="","Enter the end date","OK"))))))</f>
        <v/>
      </c>
    </row>
    <row r="138">
      <c r="B138" s="9" t="n"/>
      <c r="G138" s="11">
        <f>IF(OR($A138="",NOT(ISNUMBER($F138))),"",COUNTIFS($A$5:$A$154,$A138,$F$5:$F$154,"&gt;0"))</f>
        <v/>
      </c>
      <c r="H138" s="11">
        <f>IF(OR($A138="",NOT(ISNUMBER($F138))),"",ROUND(Points!$B$4*IF($G138&lt;=1,1,Points!$H$7+(1-Points!$H$7)*((($G138-$F138)*(($G138-$F138)+1)/2)^2-((($G138-$F138-COUNTIFS($A$5:$A$154,$A138,$F$5:$F$154,$F138)+1)-1)*($G138-$F138-COUNTIFS($A$5:$A$154,$A138,$F$5:$F$154,$F138)+1)/2)^2)/(COUNTIFS($A$5:$A$154,$A138,$F$5:$F$154,$F138)*($G138-1)^3)),0))</f>
        <v/>
      </c>
      <c r="I138" s="11">
        <f>IF($A138="","","Final")</f>
        <v/>
      </c>
      <c r="J138" s="11">
        <f>IF($A138="","",IF($D138="","Add the players",IF(COUNTIF(Players!$A$2:$A$500,$D138)=0,"Player 1 is not on the Players tab",IF(NOT(ISNUMBER($F138)),"Enter the final place",IF(N($F138)&gt;N($G138),"Place is bigger than the field: enter every team",IF($B138="","Enter the end date","OK"))))))</f>
        <v/>
      </c>
    </row>
    <row r="139">
      <c r="B139" s="9" t="n"/>
      <c r="G139" s="11">
        <f>IF(OR($A139="",NOT(ISNUMBER($F139))),"",COUNTIFS($A$5:$A$154,$A139,$F$5:$F$154,"&gt;0"))</f>
        <v/>
      </c>
      <c r="H139" s="11">
        <f>IF(OR($A139="",NOT(ISNUMBER($F139))),"",ROUND(Points!$B$4*IF($G139&lt;=1,1,Points!$H$7+(1-Points!$H$7)*((($G139-$F139)*(($G139-$F139)+1)/2)^2-((($G139-$F139-COUNTIFS($A$5:$A$154,$A139,$F$5:$F$154,$F139)+1)-1)*($G139-$F139-COUNTIFS($A$5:$A$154,$A139,$F$5:$F$154,$F139)+1)/2)^2)/(COUNTIFS($A$5:$A$154,$A139,$F$5:$F$154,$F139)*($G139-1)^3)),0))</f>
        <v/>
      </c>
      <c r="I139" s="11">
        <f>IF($A139="","","Final")</f>
        <v/>
      </c>
      <c r="J139" s="11">
        <f>IF($A139="","",IF($D139="","Add the players",IF(COUNTIF(Players!$A$2:$A$500,$D139)=0,"Player 1 is not on the Players tab",IF(NOT(ISNUMBER($F139)),"Enter the final place",IF(N($F139)&gt;N($G139),"Place is bigger than the field: enter every team",IF($B139="","Enter the end date","OK"))))))</f>
        <v/>
      </c>
    </row>
    <row r="140">
      <c r="B140" s="9" t="n"/>
      <c r="G140" s="11">
        <f>IF(OR($A140="",NOT(ISNUMBER($F140))),"",COUNTIFS($A$5:$A$154,$A140,$F$5:$F$154,"&gt;0"))</f>
        <v/>
      </c>
      <c r="H140" s="11">
        <f>IF(OR($A140="",NOT(ISNUMBER($F140))),"",ROUND(Points!$B$4*IF($G140&lt;=1,1,Points!$H$7+(1-Points!$H$7)*((($G140-$F140)*(($G140-$F140)+1)/2)^2-((($G140-$F140-COUNTIFS($A$5:$A$154,$A140,$F$5:$F$154,$F140)+1)-1)*($G140-$F140-COUNTIFS($A$5:$A$154,$A140,$F$5:$F$154,$F140)+1)/2)^2)/(COUNTIFS($A$5:$A$154,$A140,$F$5:$F$154,$F140)*($G140-1)^3)),0))</f>
        <v/>
      </c>
      <c r="I140" s="11">
        <f>IF($A140="","","Final")</f>
        <v/>
      </c>
      <c r="J140" s="11">
        <f>IF($A140="","",IF($D140="","Add the players",IF(COUNTIF(Players!$A$2:$A$500,$D140)=0,"Player 1 is not on the Players tab",IF(NOT(ISNUMBER($F140)),"Enter the final place",IF(N($F140)&gt;N($G140),"Place is bigger than the field: enter every team",IF($B140="","Enter the end date","OK"))))))</f>
        <v/>
      </c>
    </row>
    <row r="141">
      <c r="B141" s="9" t="n"/>
      <c r="G141" s="11">
        <f>IF(OR($A141="",NOT(ISNUMBER($F141))),"",COUNTIFS($A$5:$A$154,$A141,$F$5:$F$154,"&gt;0"))</f>
        <v/>
      </c>
      <c r="H141" s="11">
        <f>IF(OR($A141="",NOT(ISNUMBER($F141))),"",ROUND(Points!$B$4*IF($G141&lt;=1,1,Points!$H$7+(1-Points!$H$7)*((($G141-$F141)*(($G141-$F141)+1)/2)^2-((($G141-$F141-COUNTIFS($A$5:$A$154,$A141,$F$5:$F$154,$F141)+1)-1)*($G141-$F141-COUNTIFS($A$5:$A$154,$A141,$F$5:$F$154,$F141)+1)/2)^2)/(COUNTIFS($A$5:$A$154,$A141,$F$5:$F$154,$F141)*($G141-1)^3)),0))</f>
        <v/>
      </c>
      <c r="I141" s="11">
        <f>IF($A141="","","Final")</f>
        <v/>
      </c>
      <c r="J141" s="11">
        <f>IF($A141="","",IF($D141="","Add the players",IF(COUNTIF(Players!$A$2:$A$500,$D141)=0,"Player 1 is not on the Players tab",IF(NOT(ISNUMBER($F141)),"Enter the final place",IF(N($F141)&gt;N($G141),"Place is bigger than the field: enter every team",IF($B141="","Enter the end date","OK"))))))</f>
        <v/>
      </c>
    </row>
    <row r="142">
      <c r="B142" s="9" t="n"/>
      <c r="G142" s="11">
        <f>IF(OR($A142="",NOT(ISNUMBER($F142))),"",COUNTIFS($A$5:$A$154,$A142,$F$5:$F$154,"&gt;0"))</f>
        <v/>
      </c>
      <c r="H142" s="11">
        <f>IF(OR($A142="",NOT(ISNUMBER($F142))),"",ROUND(Points!$B$4*IF($G142&lt;=1,1,Points!$H$7+(1-Points!$H$7)*((($G142-$F142)*(($G142-$F142)+1)/2)^2-((($G142-$F142-COUNTIFS($A$5:$A$154,$A142,$F$5:$F$154,$F142)+1)-1)*($G142-$F142-COUNTIFS($A$5:$A$154,$A142,$F$5:$F$154,$F142)+1)/2)^2)/(COUNTIFS($A$5:$A$154,$A142,$F$5:$F$154,$F142)*($G142-1)^3)),0))</f>
        <v/>
      </c>
      <c r="I142" s="11">
        <f>IF($A142="","","Final")</f>
        <v/>
      </c>
      <c r="J142" s="11">
        <f>IF($A142="","",IF($D142="","Add the players",IF(COUNTIF(Players!$A$2:$A$500,$D142)=0,"Player 1 is not on the Players tab",IF(NOT(ISNUMBER($F142)),"Enter the final place",IF(N($F142)&gt;N($G142),"Place is bigger than the field: enter every team",IF($B142="","Enter the end date","OK"))))))</f>
        <v/>
      </c>
    </row>
    <row r="143">
      <c r="B143" s="9" t="n"/>
      <c r="G143" s="11">
        <f>IF(OR($A143="",NOT(ISNUMBER($F143))),"",COUNTIFS($A$5:$A$154,$A143,$F$5:$F$154,"&gt;0"))</f>
        <v/>
      </c>
      <c r="H143" s="11">
        <f>IF(OR($A143="",NOT(ISNUMBER($F143))),"",ROUND(Points!$B$4*IF($G143&lt;=1,1,Points!$H$7+(1-Points!$H$7)*((($G143-$F143)*(($G143-$F143)+1)/2)^2-((($G143-$F143-COUNTIFS($A$5:$A$154,$A143,$F$5:$F$154,$F143)+1)-1)*($G143-$F143-COUNTIFS($A$5:$A$154,$A143,$F$5:$F$154,$F143)+1)/2)^2)/(COUNTIFS($A$5:$A$154,$A143,$F$5:$F$154,$F143)*($G143-1)^3)),0))</f>
        <v/>
      </c>
      <c r="I143" s="11">
        <f>IF($A143="","","Final")</f>
        <v/>
      </c>
      <c r="J143" s="11">
        <f>IF($A143="","",IF($D143="","Add the players",IF(COUNTIF(Players!$A$2:$A$500,$D143)=0,"Player 1 is not on the Players tab",IF(NOT(ISNUMBER($F143)),"Enter the final place",IF(N($F143)&gt;N($G143),"Place is bigger than the field: enter every team",IF($B143="","Enter the end date","OK"))))))</f>
        <v/>
      </c>
    </row>
    <row r="144">
      <c r="B144" s="9" t="n"/>
      <c r="G144" s="11">
        <f>IF(OR($A144="",NOT(ISNUMBER($F144))),"",COUNTIFS($A$5:$A$154,$A144,$F$5:$F$154,"&gt;0"))</f>
        <v/>
      </c>
      <c r="H144" s="11">
        <f>IF(OR($A144="",NOT(ISNUMBER($F144))),"",ROUND(Points!$B$4*IF($G144&lt;=1,1,Points!$H$7+(1-Points!$H$7)*((($G144-$F144)*(($G144-$F144)+1)/2)^2-((($G144-$F144-COUNTIFS($A$5:$A$154,$A144,$F$5:$F$154,$F144)+1)-1)*($G144-$F144-COUNTIFS($A$5:$A$154,$A144,$F$5:$F$154,$F144)+1)/2)^2)/(COUNTIFS($A$5:$A$154,$A144,$F$5:$F$154,$F144)*($G144-1)^3)),0))</f>
        <v/>
      </c>
      <c r="I144" s="11">
        <f>IF($A144="","","Final")</f>
        <v/>
      </c>
      <c r="J144" s="11">
        <f>IF($A144="","",IF($D144="","Add the players",IF(COUNTIF(Players!$A$2:$A$500,$D144)=0,"Player 1 is not on the Players tab",IF(NOT(ISNUMBER($F144)),"Enter the final place",IF(N($F144)&gt;N($G144),"Place is bigger than the field: enter every team",IF($B144="","Enter the end date","OK"))))))</f>
        <v/>
      </c>
    </row>
    <row r="145">
      <c r="B145" s="9" t="n"/>
      <c r="G145" s="11">
        <f>IF(OR($A145="",NOT(ISNUMBER($F145))),"",COUNTIFS($A$5:$A$154,$A145,$F$5:$F$154,"&gt;0"))</f>
        <v/>
      </c>
      <c r="H145" s="11">
        <f>IF(OR($A145="",NOT(ISNUMBER($F145))),"",ROUND(Points!$B$4*IF($G145&lt;=1,1,Points!$H$7+(1-Points!$H$7)*((($G145-$F145)*(($G145-$F145)+1)/2)^2-((($G145-$F145-COUNTIFS($A$5:$A$154,$A145,$F$5:$F$154,$F145)+1)-1)*($G145-$F145-COUNTIFS($A$5:$A$154,$A145,$F$5:$F$154,$F145)+1)/2)^2)/(COUNTIFS($A$5:$A$154,$A145,$F$5:$F$154,$F145)*($G145-1)^3)),0))</f>
        <v/>
      </c>
      <c r="I145" s="11">
        <f>IF($A145="","","Final")</f>
        <v/>
      </c>
      <c r="J145" s="11">
        <f>IF($A145="","",IF($D145="","Add the players",IF(COUNTIF(Players!$A$2:$A$500,$D145)=0,"Player 1 is not on the Players tab",IF(NOT(ISNUMBER($F145)),"Enter the final place",IF(N($F145)&gt;N($G145),"Place is bigger than the field: enter every team",IF($B145="","Enter the end date","OK"))))))</f>
        <v/>
      </c>
    </row>
    <row r="146">
      <c r="B146" s="9" t="n"/>
      <c r="G146" s="11">
        <f>IF(OR($A146="",NOT(ISNUMBER($F146))),"",COUNTIFS($A$5:$A$154,$A146,$F$5:$F$154,"&gt;0"))</f>
        <v/>
      </c>
      <c r="H146" s="11">
        <f>IF(OR($A146="",NOT(ISNUMBER($F146))),"",ROUND(Points!$B$4*IF($G146&lt;=1,1,Points!$H$7+(1-Points!$H$7)*((($G146-$F146)*(($G146-$F146)+1)/2)^2-((($G146-$F146-COUNTIFS($A$5:$A$154,$A146,$F$5:$F$154,$F146)+1)-1)*($G146-$F146-COUNTIFS($A$5:$A$154,$A146,$F$5:$F$154,$F146)+1)/2)^2)/(COUNTIFS($A$5:$A$154,$A146,$F$5:$F$154,$F146)*($G146-1)^3)),0))</f>
        <v/>
      </c>
      <c r="I146" s="11">
        <f>IF($A146="","","Final")</f>
        <v/>
      </c>
      <c r="J146" s="11">
        <f>IF($A146="","",IF($D146="","Add the players",IF(COUNTIF(Players!$A$2:$A$500,$D146)=0,"Player 1 is not on the Players tab",IF(NOT(ISNUMBER($F146)),"Enter the final place",IF(N($F146)&gt;N($G146),"Place is bigger than the field: enter every team",IF($B146="","Enter the end date","OK"))))))</f>
        <v/>
      </c>
    </row>
    <row r="147">
      <c r="B147" s="9" t="n"/>
      <c r="G147" s="11">
        <f>IF(OR($A147="",NOT(ISNUMBER($F147))),"",COUNTIFS($A$5:$A$154,$A147,$F$5:$F$154,"&gt;0"))</f>
        <v/>
      </c>
      <c r="H147" s="11">
        <f>IF(OR($A147="",NOT(ISNUMBER($F147))),"",ROUND(Points!$B$4*IF($G147&lt;=1,1,Points!$H$7+(1-Points!$H$7)*((($G147-$F147)*(($G147-$F147)+1)/2)^2-((($G147-$F147-COUNTIFS($A$5:$A$154,$A147,$F$5:$F$154,$F147)+1)-1)*($G147-$F147-COUNTIFS($A$5:$A$154,$A147,$F$5:$F$154,$F147)+1)/2)^2)/(COUNTIFS($A$5:$A$154,$A147,$F$5:$F$154,$F147)*($G147-1)^3)),0))</f>
        <v/>
      </c>
      <c r="I147" s="11">
        <f>IF($A147="","","Final")</f>
        <v/>
      </c>
      <c r="J147" s="11">
        <f>IF($A147="","",IF($D147="","Add the players",IF(COUNTIF(Players!$A$2:$A$500,$D147)=0,"Player 1 is not on the Players tab",IF(NOT(ISNUMBER($F147)),"Enter the final place",IF(N($F147)&gt;N($G147),"Place is bigger than the field: enter every team",IF($B147="","Enter the end date","OK"))))))</f>
        <v/>
      </c>
    </row>
    <row r="148">
      <c r="B148" s="9" t="n"/>
      <c r="G148" s="11">
        <f>IF(OR($A148="",NOT(ISNUMBER($F148))),"",COUNTIFS($A$5:$A$154,$A148,$F$5:$F$154,"&gt;0"))</f>
        <v/>
      </c>
      <c r="H148" s="11">
        <f>IF(OR($A148="",NOT(ISNUMBER($F148))),"",ROUND(Points!$B$4*IF($G148&lt;=1,1,Points!$H$7+(1-Points!$H$7)*((($G148-$F148)*(($G148-$F148)+1)/2)^2-((($G148-$F148-COUNTIFS($A$5:$A$154,$A148,$F$5:$F$154,$F148)+1)-1)*($G148-$F148-COUNTIFS($A$5:$A$154,$A148,$F$5:$F$154,$F148)+1)/2)^2)/(COUNTIFS($A$5:$A$154,$A148,$F$5:$F$154,$F148)*($G148-1)^3)),0))</f>
        <v/>
      </c>
      <c r="I148" s="11">
        <f>IF($A148="","","Final")</f>
        <v/>
      </c>
      <c r="J148" s="11">
        <f>IF($A148="","",IF($D148="","Add the players",IF(COUNTIF(Players!$A$2:$A$500,$D148)=0,"Player 1 is not on the Players tab",IF(NOT(ISNUMBER($F148)),"Enter the final place",IF(N($F148)&gt;N($G148),"Place is bigger than the field: enter every team",IF($B148="","Enter the end date","OK"))))))</f>
        <v/>
      </c>
    </row>
    <row r="149">
      <c r="B149" s="9" t="n"/>
      <c r="G149" s="11">
        <f>IF(OR($A149="",NOT(ISNUMBER($F149))),"",COUNTIFS($A$5:$A$154,$A149,$F$5:$F$154,"&gt;0"))</f>
        <v/>
      </c>
      <c r="H149" s="11">
        <f>IF(OR($A149="",NOT(ISNUMBER($F149))),"",ROUND(Points!$B$4*IF($G149&lt;=1,1,Points!$H$7+(1-Points!$H$7)*((($G149-$F149)*(($G149-$F149)+1)/2)^2-((($G149-$F149-COUNTIFS($A$5:$A$154,$A149,$F$5:$F$154,$F149)+1)-1)*($G149-$F149-COUNTIFS($A$5:$A$154,$A149,$F$5:$F$154,$F149)+1)/2)^2)/(COUNTIFS($A$5:$A$154,$A149,$F$5:$F$154,$F149)*($G149-1)^3)),0))</f>
        <v/>
      </c>
      <c r="I149" s="11">
        <f>IF($A149="","","Final")</f>
        <v/>
      </c>
      <c r="J149" s="11">
        <f>IF($A149="","",IF($D149="","Add the players",IF(COUNTIF(Players!$A$2:$A$500,$D149)=0,"Player 1 is not on the Players tab",IF(NOT(ISNUMBER($F149)),"Enter the final place",IF(N($F149)&gt;N($G149),"Place is bigger than the field: enter every team",IF($B149="","Enter the end date","OK"))))))</f>
        <v/>
      </c>
    </row>
    <row r="150">
      <c r="B150" s="9" t="n"/>
      <c r="G150" s="11">
        <f>IF(OR($A150="",NOT(ISNUMBER($F150))),"",COUNTIFS($A$5:$A$154,$A150,$F$5:$F$154,"&gt;0"))</f>
        <v/>
      </c>
      <c r="H150" s="11">
        <f>IF(OR($A150="",NOT(ISNUMBER($F150))),"",ROUND(Points!$B$4*IF($G150&lt;=1,1,Points!$H$7+(1-Points!$H$7)*((($G150-$F150)*(($G150-$F150)+1)/2)^2-((($G150-$F150-COUNTIFS($A$5:$A$154,$A150,$F$5:$F$154,$F150)+1)-1)*($G150-$F150-COUNTIFS($A$5:$A$154,$A150,$F$5:$F$154,$F150)+1)/2)^2)/(COUNTIFS($A$5:$A$154,$A150,$F$5:$F$154,$F150)*($G150-1)^3)),0))</f>
        <v/>
      </c>
      <c r="I150" s="11">
        <f>IF($A150="","","Final")</f>
        <v/>
      </c>
      <c r="J150" s="11">
        <f>IF($A150="","",IF($D150="","Add the players",IF(COUNTIF(Players!$A$2:$A$500,$D150)=0,"Player 1 is not on the Players tab",IF(NOT(ISNUMBER($F150)),"Enter the final place",IF(N($F150)&gt;N($G150),"Place is bigger than the field: enter every team",IF($B150="","Enter the end date","OK"))))))</f>
        <v/>
      </c>
    </row>
    <row r="151">
      <c r="B151" s="9" t="n"/>
      <c r="G151" s="11">
        <f>IF(OR($A151="",NOT(ISNUMBER($F151))),"",COUNTIFS($A$5:$A$154,$A151,$F$5:$F$154,"&gt;0"))</f>
        <v/>
      </c>
      <c r="H151" s="11">
        <f>IF(OR($A151="",NOT(ISNUMBER($F151))),"",ROUND(Points!$B$4*IF($G151&lt;=1,1,Points!$H$7+(1-Points!$H$7)*((($G151-$F151)*(($G151-$F151)+1)/2)^2-((($G151-$F151-COUNTIFS($A$5:$A$154,$A151,$F$5:$F$154,$F151)+1)-1)*($G151-$F151-COUNTIFS($A$5:$A$154,$A151,$F$5:$F$154,$F151)+1)/2)^2)/(COUNTIFS($A$5:$A$154,$A151,$F$5:$F$154,$F151)*($G151-1)^3)),0))</f>
        <v/>
      </c>
      <c r="I151" s="11">
        <f>IF($A151="","","Final")</f>
        <v/>
      </c>
      <c r="J151" s="11">
        <f>IF($A151="","",IF($D151="","Add the players",IF(COUNTIF(Players!$A$2:$A$500,$D151)=0,"Player 1 is not on the Players tab",IF(NOT(ISNUMBER($F151)),"Enter the final place",IF(N($F151)&gt;N($G151),"Place is bigger than the field: enter every team",IF($B151="","Enter the end date","OK"))))))</f>
        <v/>
      </c>
    </row>
    <row r="152">
      <c r="B152" s="9" t="n"/>
      <c r="G152" s="11">
        <f>IF(OR($A152="",NOT(ISNUMBER($F152))),"",COUNTIFS($A$5:$A$154,$A152,$F$5:$F$154,"&gt;0"))</f>
        <v/>
      </c>
      <c r="H152" s="11">
        <f>IF(OR($A152="",NOT(ISNUMBER($F152))),"",ROUND(Points!$B$4*IF($G152&lt;=1,1,Points!$H$7+(1-Points!$H$7)*((($G152-$F152)*(($G152-$F152)+1)/2)^2-((($G152-$F152-COUNTIFS($A$5:$A$154,$A152,$F$5:$F$154,$F152)+1)-1)*($G152-$F152-COUNTIFS($A$5:$A$154,$A152,$F$5:$F$154,$F152)+1)/2)^2)/(COUNTIFS($A$5:$A$154,$A152,$F$5:$F$154,$F152)*($G152-1)^3)),0))</f>
        <v/>
      </c>
      <c r="I152" s="11">
        <f>IF($A152="","","Final")</f>
        <v/>
      </c>
      <c r="J152" s="11">
        <f>IF($A152="","",IF($D152="","Add the players",IF(COUNTIF(Players!$A$2:$A$500,$D152)=0,"Player 1 is not on the Players tab",IF(NOT(ISNUMBER($F152)),"Enter the final place",IF(N($F152)&gt;N($G152),"Place is bigger than the field: enter every team",IF($B152="","Enter the end date","OK"))))))</f>
        <v/>
      </c>
    </row>
    <row r="153">
      <c r="B153" s="9" t="n"/>
      <c r="G153" s="11">
        <f>IF(OR($A153="",NOT(ISNUMBER($F153))),"",COUNTIFS($A$5:$A$154,$A153,$F$5:$F$154,"&gt;0"))</f>
        <v/>
      </c>
      <c r="H153" s="11">
        <f>IF(OR($A153="",NOT(ISNUMBER($F153))),"",ROUND(Points!$B$4*IF($G153&lt;=1,1,Points!$H$7+(1-Points!$H$7)*((($G153-$F153)*(($G153-$F153)+1)/2)^2-((($G153-$F153-COUNTIFS($A$5:$A$154,$A153,$F$5:$F$154,$F153)+1)-1)*($G153-$F153-COUNTIFS($A$5:$A$154,$A153,$F$5:$F$154,$F153)+1)/2)^2)/(COUNTIFS($A$5:$A$154,$A153,$F$5:$F$154,$F153)*($G153-1)^3)),0))</f>
        <v/>
      </c>
      <c r="I153" s="11">
        <f>IF($A153="","","Final")</f>
        <v/>
      </c>
      <c r="J153" s="11">
        <f>IF($A153="","",IF($D153="","Add the players",IF(COUNTIF(Players!$A$2:$A$500,$D153)=0,"Player 1 is not on the Players tab",IF(NOT(ISNUMBER($F153)),"Enter the final place",IF(N($F153)&gt;N($G153),"Place is bigger than the field: enter every team",IF($B153="","Enter the end date","OK"))))))</f>
        <v/>
      </c>
    </row>
    <row r="154">
      <c r="B154" s="9" t="n"/>
      <c r="G154" s="11">
        <f>IF(OR($A154="",NOT(ISNUMBER($F154))),"",COUNTIFS($A$5:$A$154,$A154,$F$5:$F$154,"&gt;0"))</f>
        <v/>
      </c>
      <c r="H154" s="11">
        <f>IF(OR($A154="",NOT(ISNUMBER($F154))),"",ROUND(Points!$B$4*IF($G154&lt;=1,1,Points!$H$7+(1-Points!$H$7)*((($G154-$F154)*(($G154-$F154)+1)/2)^2-((($G154-$F154-COUNTIFS($A$5:$A$154,$A154,$F$5:$F$154,$F154)+1)-1)*($G154-$F154-COUNTIFS($A$5:$A$154,$A154,$F$5:$F$154,$F154)+1)/2)^2)/(COUNTIFS($A$5:$A$154,$A154,$F$5:$F$154,$F154)*($G154-1)^3)),0))</f>
        <v/>
      </c>
      <c r="I154" s="11">
        <f>IF($A154="","","Final")</f>
        <v/>
      </c>
      <c r="J154" s="11">
        <f>IF($A154="","",IF($D154="","Add the players",IF(COUNTIF(Players!$A$2:$A$500,$D154)=0,"Player 1 is not on the Players tab",IF(NOT(ISNUMBER($F154)),"Enter the final place",IF(N($F154)&gt;N($G154),"Place is bigger than the field: enter every team",IF($B154="","Enter the end date","OK"))))))</f>
        <v/>
      </c>
    </row>
  </sheetData>
  <conditionalFormatting sqref="J5:J154">
    <cfRule type="expression" priority="1" dxfId="0">
      <formula>AND($J5&lt;&gt;"",$J5&lt;&gt;"OK")</formula>
    </cfRule>
  </conditionalFormatting>
  <dataValidations count="1">
    <dataValidation sqref="D5:E154" showDropDown="0" showInputMessage="0" showErrorMessage="1" allowBlank="1" errorTitle="Not on the list" error="Pick a player from the list. New players go on the Players tab first." type="list">
      <formula1>Players!$A$2:$A$500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54"/>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18" customWidth="1" min="3" max="3"/>
    <col width="20" customWidth="1" min="4" max="4"/>
    <col width="20" customWidth="1" min="5" max="5"/>
    <col width="20" customWidth="1" min="6" max="6"/>
    <col width="20" customWidth="1" min="7" max="7"/>
    <col width="10" customWidth="1" min="8" max="8"/>
    <col width="8" customWidth="1" min="9" max="9"/>
    <col width="9" customWidth="1" min="10" max="10"/>
    <col width="9" customWidth="1" min="11" max="11"/>
    <col width="34" customWidth="1" min="12" max="12"/>
  </cols>
  <sheetData>
    <row r="1">
      <c r="A1" s="7" t="inlineStr">
        <is>
          <t>Tuesday Leagues</t>
        </is>
      </c>
      <c r="D1" s="6" t="inlineStr">
        <is>
          <t>One row per team when a season ends. Every player on the team gets the team's points.</t>
        </is>
      </c>
    </row>
    <row r="2">
      <c r="A2" s="6" t="inlineStr">
        <is>
          <t>Season: use the same name on every row of a season, e.g. Season 1.</t>
        </is>
      </c>
    </row>
    <row r="4" ht="30" customHeight="1">
      <c r="A4" s="4" t="inlineStr">
        <is>
          <t>Season</t>
        </is>
      </c>
      <c r="B4" s="4" t="inlineStr">
        <is>
          <t>End Date</t>
        </is>
      </c>
      <c r="C4" s="4" t="inlineStr">
        <is>
          <t>Team</t>
        </is>
      </c>
      <c r="D4" s="4" t="inlineStr">
        <is>
          <t>Player 1</t>
        </is>
      </c>
      <c r="E4" s="4" t="inlineStr">
        <is>
          <t>Player 2</t>
        </is>
      </c>
      <c r="F4" s="4" t="inlineStr">
        <is>
          <t>Player 3</t>
        </is>
      </c>
      <c r="G4" s="4" t="inlineStr">
        <is>
          <t>Player 4</t>
        </is>
      </c>
      <c r="H4" s="4" t="inlineStr">
        <is>
          <t>Final Place</t>
        </is>
      </c>
      <c r="I4" s="10" t="inlineStr">
        <is>
          <t>Field</t>
        </is>
      </c>
      <c r="J4" s="10" t="inlineStr">
        <is>
          <t>Points</t>
        </is>
      </c>
      <c r="K4" s="10" t="inlineStr">
        <is>
          <t>Status</t>
        </is>
      </c>
      <c r="L4" s="10" t="inlineStr">
        <is>
          <t>Check</t>
        </is>
      </c>
    </row>
    <row r="5">
      <c r="B5" s="9" t="n"/>
      <c r="I5" s="11">
        <f>IF(OR($A5="",NOT(ISNUMBER($H5))),"",COUNTIFS($A$5:$A$154,$A5,$H$5:$H$154,"&gt;0"))</f>
        <v/>
      </c>
      <c r="J5" s="11">
        <f>IF(OR($A5="",NOT(ISNUMBER($H5))),"",ROUND(Points!$B$5*IF($I5&lt;=1,1,Points!$H$7+(1-Points!$H$7)*((($I5-$H5)*(($I5-$H5)+1)/2)^2-((($I5-$H5-COUNTIFS($A$5:$A$154,$A5,$H$5:$H$154,$H5)+1)-1)*($I5-$H5-COUNTIFS($A$5:$A$154,$A5,$H$5:$H$154,$H5)+1)/2)^2)/(COUNTIFS($A$5:$A$154,$A5,$H$5:$H$154,$H5)*($I5-1)^3)),0))</f>
        <v/>
      </c>
      <c r="K5" s="11">
        <f>IF($A5="","","Final")</f>
        <v/>
      </c>
      <c r="L5" s="11">
        <f>IF($A5="","",IF($D5="","Add the players",IF(COUNTIF(Players!$A$2:$A$500,$D5)=0,"Player 1 is not on the Players tab",IF(NOT(ISNUMBER($H5)),"Enter the final place",IF(N($H5)&gt;N($I5),"Place is bigger than the field: enter every team",IF($B5="","Enter the end date","OK"))))))</f>
        <v/>
      </c>
    </row>
    <row r="6">
      <c r="B6" s="9" t="n"/>
      <c r="I6" s="11">
        <f>IF(OR($A6="",NOT(ISNUMBER($H6))),"",COUNTIFS($A$5:$A$154,$A6,$H$5:$H$154,"&gt;0"))</f>
        <v/>
      </c>
      <c r="J6" s="11">
        <f>IF(OR($A6="",NOT(ISNUMBER($H6))),"",ROUND(Points!$B$5*IF($I6&lt;=1,1,Points!$H$7+(1-Points!$H$7)*((($I6-$H6)*(($I6-$H6)+1)/2)^2-((($I6-$H6-COUNTIFS($A$5:$A$154,$A6,$H$5:$H$154,$H6)+1)-1)*($I6-$H6-COUNTIFS($A$5:$A$154,$A6,$H$5:$H$154,$H6)+1)/2)^2)/(COUNTIFS($A$5:$A$154,$A6,$H$5:$H$154,$H6)*($I6-1)^3)),0))</f>
        <v/>
      </c>
      <c r="K6" s="11">
        <f>IF($A6="","","Final")</f>
        <v/>
      </c>
      <c r="L6" s="11">
        <f>IF($A6="","",IF($D6="","Add the players",IF(COUNTIF(Players!$A$2:$A$500,$D6)=0,"Player 1 is not on the Players tab",IF(NOT(ISNUMBER($H6)),"Enter the final place",IF(N($H6)&gt;N($I6),"Place is bigger than the field: enter every team",IF($B6="","Enter the end date","OK"))))))</f>
        <v/>
      </c>
    </row>
    <row r="7">
      <c r="B7" s="9" t="n"/>
      <c r="I7" s="11">
        <f>IF(OR($A7="",NOT(ISNUMBER($H7))),"",COUNTIFS($A$5:$A$154,$A7,$H$5:$H$154,"&gt;0"))</f>
        <v/>
      </c>
      <c r="J7" s="11">
        <f>IF(OR($A7="",NOT(ISNUMBER($H7))),"",ROUND(Points!$B$5*IF($I7&lt;=1,1,Points!$H$7+(1-Points!$H$7)*((($I7-$H7)*(($I7-$H7)+1)/2)^2-((($I7-$H7-COUNTIFS($A$5:$A$154,$A7,$H$5:$H$154,$H7)+1)-1)*($I7-$H7-COUNTIFS($A$5:$A$154,$A7,$H$5:$H$154,$H7)+1)/2)^2)/(COUNTIFS($A$5:$A$154,$A7,$H$5:$H$154,$H7)*($I7-1)^3)),0))</f>
        <v/>
      </c>
      <c r="K7" s="11">
        <f>IF($A7="","","Final")</f>
        <v/>
      </c>
      <c r="L7" s="11">
        <f>IF($A7="","",IF($D7="","Add the players",IF(COUNTIF(Players!$A$2:$A$500,$D7)=0,"Player 1 is not on the Players tab",IF(NOT(ISNUMBER($H7)),"Enter the final place",IF(N($H7)&gt;N($I7),"Place is bigger than the field: enter every team",IF($B7="","Enter the end date","OK"))))))</f>
        <v/>
      </c>
    </row>
    <row r="8">
      <c r="B8" s="9" t="n"/>
      <c r="I8" s="11">
        <f>IF(OR($A8="",NOT(ISNUMBER($H8))),"",COUNTIFS($A$5:$A$154,$A8,$H$5:$H$154,"&gt;0"))</f>
        <v/>
      </c>
      <c r="J8" s="11">
        <f>IF(OR($A8="",NOT(ISNUMBER($H8))),"",ROUND(Points!$B$5*IF($I8&lt;=1,1,Points!$H$7+(1-Points!$H$7)*((($I8-$H8)*(($I8-$H8)+1)/2)^2-((($I8-$H8-COUNTIFS($A$5:$A$154,$A8,$H$5:$H$154,$H8)+1)-1)*($I8-$H8-COUNTIFS($A$5:$A$154,$A8,$H$5:$H$154,$H8)+1)/2)^2)/(COUNTIFS($A$5:$A$154,$A8,$H$5:$H$154,$H8)*($I8-1)^3)),0))</f>
        <v/>
      </c>
      <c r="K8" s="11">
        <f>IF($A8="","","Final")</f>
        <v/>
      </c>
      <c r="L8" s="11">
        <f>IF($A8="","",IF($D8="","Add the players",IF(COUNTIF(Players!$A$2:$A$500,$D8)=0,"Player 1 is not on the Players tab",IF(NOT(ISNUMBER($H8)),"Enter the final place",IF(N($H8)&gt;N($I8),"Place is bigger than the field: enter every team",IF($B8="","Enter the end date","OK"))))))</f>
        <v/>
      </c>
    </row>
    <row r="9">
      <c r="B9" s="9" t="n"/>
      <c r="I9" s="11">
        <f>IF(OR($A9="",NOT(ISNUMBER($H9))),"",COUNTIFS($A$5:$A$154,$A9,$H$5:$H$154,"&gt;0"))</f>
        <v/>
      </c>
      <c r="J9" s="11">
        <f>IF(OR($A9="",NOT(ISNUMBER($H9))),"",ROUND(Points!$B$5*IF($I9&lt;=1,1,Points!$H$7+(1-Points!$H$7)*((($I9-$H9)*(($I9-$H9)+1)/2)^2-((($I9-$H9-COUNTIFS($A$5:$A$154,$A9,$H$5:$H$154,$H9)+1)-1)*($I9-$H9-COUNTIFS($A$5:$A$154,$A9,$H$5:$H$154,$H9)+1)/2)^2)/(COUNTIFS($A$5:$A$154,$A9,$H$5:$H$154,$H9)*($I9-1)^3)),0))</f>
        <v/>
      </c>
      <c r="K9" s="11">
        <f>IF($A9="","","Final")</f>
        <v/>
      </c>
      <c r="L9" s="11">
        <f>IF($A9="","",IF($D9="","Add the players",IF(COUNTIF(Players!$A$2:$A$500,$D9)=0,"Player 1 is not on the Players tab",IF(NOT(ISNUMBER($H9)),"Enter the final place",IF(N($H9)&gt;N($I9),"Place is bigger than the field: enter every team",IF($B9="","Enter the end date","OK"))))))</f>
        <v/>
      </c>
    </row>
    <row r="10">
      <c r="B10" s="9" t="n"/>
      <c r="I10" s="11">
        <f>IF(OR($A10="",NOT(ISNUMBER($H10))),"",COUNTIFS($A$5:$A$154,$A10,$H$5:$H$154,"&gt;0"))</f>
        <v/>
      </c>
      <c r="J10" s="11">
        <f>IF(OR($A10="",NOT(ISNUMBER($H10))),"",ROUND(Points!$B$5*IF($I10&lt;=1,1,Points!$H$7+(1-Points!$H$7)*((($I10-$H10)*(($I10-$H10)+1)/2)^2-((($I10-$H10-COUNTIFS($A$5:$A$154,$A10,$H$5:$H$154,$H10)+1)-1)*($I10-$H10-COUNTIFS($A$5:$A$154,$A10,$H$5:$H$154,$H10)+1)/2)^2)/(COUNTIFS($A$5:$A$154,$A10,$H$5:$H$154,$H10)*($I10-1)^3)),0))</f>
        <v/>
      </c>
      <c r="K10" s="11">
        <f>IF($A10="","","Final")</f>
        <v/>
      </c>
      <c r="L10" s="11">
        <f>IF($A10="","",IF($D10="","Add the players",IF(COUNTIF(Players!$A$2:$A$500,$D10)=0,"Player 1 is not on the Players tab",IF(NOT(ISNUMBER($H10)),"Enter the final place",IF(N($H10)&gt;N($I10),"Place is bigger than the field: enter every team",IF($B10="","Enter the end date","OK"))))))</f>
        <v/>
      </c>
    </row>
    <row r="11">
      <c r="B11" s="9" t="n"/>
      <c r="I11" s="11">
        <f>IF(OR($A11="",NOT(ISNUMBER($H11))),"",COUNTIFS($A$5:$A$154,$A11,$H$5:$H$154,"&gt;0"))</f>
        <v/>
      </c>
      <c r="J11" s="11">
        <f>IF(OR($A11="",NOT(ISNUMBER($H11))),"",ROUND(Points!$B$5*IF($I11&lt;=1,1,Points!$H$7+(1-Points!$H$7)*((($I11-$H11)*(($I11-$H11)+1)/2)^2-((($I11-$H11-COUNTIFS($A$5:$A$154,$A11,$H$5:$H$154,$H11)+1)-1)*($I11-$H11-COUNTIFS($A$5:$A$154,$A11,$H$5:$H$154,$H11)+1)/2)^2)/(COUNTIFS($A$5:$A$154,$A11,$H$5:$H$154,$H11)*($I11-1)^3)),0))</f>
        <v/>
      </c>
      <c r="K11" s="11">
        <f>IF($A11="","","Final")</f>
        <v/>
      </c>
      <c r="L11" s="11">
        <f>IF($A11="","",IF($D11="","Add the players",IF(COUNTIF(Players!$A$2:$A$500,$D11)=0,"Player 1 is not on the Players tab",IF(NOT(ISNUMBER($H11)),"Enter the final place",IF(N($H11)&gt;N($I11),"Place is bigger than the field: enter every team",IF($B11="","Enter the end date","OK"))))))</f>
        <v/>
      </c>
    </row>
    <row r="12">
      <c r="B12" s="9" t="n"/>
      <c r="I12" s="11">
        <f>IF(OR($A12="",NOT(ISNUMBER($H12))),"",COUNTIFS($A$5:$A$154,$A12,$H$5:$H$154,"&gt;0"))</f>
        <v/>
      </c>
      <c r="J12" s="11">
        <f>IF(OR($A12="",NOT(ISNUMBER($H12))),"",ROUND(Points!$B$5*IF($I12&lt;=1,1,Points!$H$7+(1-Points!$H$7)*((($I12-$H12)*(($I12-$H12)+1)/2)^2-((($I12-$H12-COUNTIFS($A$5:$A$154,$A12,$H$5:$H$154,$H12)+1)-1)*($I12-$H12-COUNTIFS($A$5:$A$154,$A12,$H$5:$H$154,$H12)+1)/2)^2)/(COUNTIFS($A$5:$A$154,$A12,$H$5:$H$154,$H12)*($I12-1)^3)),0))</f>
        <v/>
      </c>
      <c r="K12" s="11">
        <f>IF($A12="","","Final")</f>
        <v/>
      </c>
      <c r="L12" s="11">
        <f>IF($A12="","",IF($D12="","Add the players",IF(COUNTIF(Players!$A$2:$A$500,$D12)=0,"Player 1 is not on the Players tab",IF(NOT(ISNUMBER($H12)),"Enter the final place",IF(N($H12)&gt;N($I12),"Place is bigger than the field: enter every team",IF($B12="","Enter the end date","OK"))))))</f>
        <v/>
      </c>
    </row>
    <row r="13">
      <c r="B13" s="9" t="n"/>
      <c r="I13" s="11">
        <f>IF(OR($A13="",NOT(ISNUMBER($H13))),"",COUNTIFS($A$5:$A$154,$A13,$H$5:$H$154,"&gt;0"))</f>
        <v/>
      </c>
      <c r="J13" s="11">
        <f>IF(OR($A13="",NOT(ISNUMBER($H13))),"",ROUND(Points!$B$5*IF($I13&lt;=1,1,Points!$H$7+(1-Points!$H$7)*((($I13-$H13)*(($I13-$H13)+1)/2)^2-((($I13-$H13-COUNTIFS($A$5:$A$154,$A13,$H$5:$H$154,$H13)+1)-1)*($I13-$H13-COUNTIFS($A$5:$A$154,$A13,$H$5:$H$154,$H13)+1)/2)^2)/(COUNTIFS($A$5:$A$154,$A13,$H$5:$H$154,$H13)*($I13-1)^3)),0))</f>
        <v/>
      </c>
      <c r="K13" s="11">
        <f>IF($A13="","","Final")</f>
        <v/>
      </c>
      <c r="L13" s="11">
        <f>IF($A13="","",IF($D13="","Add the players",IF(COUNTIF(Players!$A$2:$A$500,$D13)=0,"Player 1 is not on the Players tab",IF(NOT(ISNUMBER($H13)),"Enter the final place",IF(N($H13)&gt;N($I13),"Place is bigger than the field: enter every team",IF($B13="","Enter the end date","OK"))))))</f>
        <v/>
      </c>
    </row>
    <row r="14">
      <c r="B14" s="9" t="n"/>
      <c r="I14" s="11">
        <f>IF(OR($A14="",NOT(ISNUMBER($H14))),"",COUNTIFS($A$5:$A$154,$A14,$H$5:$H$154,"&gt;0"))</f>
        <v/>
      </c>
      <c r="J14" s="11">
        <f>IF(OR($A14="",NOT(ISNUMBER($H14))),"",ROUND(Points!$B$5*IF($I14&lt;=1,1,Points!$H$7+(1-Points!$H$7)*((($I14-$H14)*(($I14-$H14)+1)/2)^2-((($I14-$H14-COUNTIFS($A$5:$A$154,$A14,$H$5:$H$154,$H14)+1)-1)*($I14-$H14-COUNTIFS($A$5:$A$154,$A14,$H$5:$H$154,$H14)+1)/2)^2)/(COUNTIFS($A$5:$A$154,$A14,$H$5:$H$154,$H14)*($I14-1)^3)),0))</f>
        <v/>
      </c>
      <c r="K14" s="11">
        <f>IF($A14="","","Final")</f>
        <v/>
      </c>
      <c r="L14" s="11">
        <f>IF($A14="","",IF($D14="","Add the players",IF(COUNTIF(Players!$A$2:$A$500,$D14)=0,"Player 1 is not on the Players tab",IF(NOT(ISNUMBER($H14)),"Enter the final place",IF(N($H14)&gt;N($I14),"Place is bigger than the field: enter every team",IF($B14="","Enter the end date","OK"))))))</f>
        <v/>
      </c>
    </row>
    <row r="15">
      <c r="B15" s="9" t="n"/>
      <c r="I15" s="11">
        <f>IF(OR($A15="",NOT(ISNUMBER($H15))),"",COUNTIFS($A$5:$A$154,$A15,$H$5:$H$154,"&gt;0"))</f>
        <v/>
      </c>
      <c r="J15" s="11">
        <f>IF(OR($A15="",NOT(ISNUMBER($H15))),"",ROUND(Points!$B$5*IF($I15&lt;=1,1,Points!$H$7+(1-Points!$H$7)*((($I15-$H15)*(($I15-$H15)+1)/2)^2-((($I15-$H15-COUNTIFS($A$5:$A$154,$A15,$H$5:$H$154,$H15)+1)-1)*($I15-$H15-COUNTIFS($A$5:$A$154,$A15,$H$5:$H$154,$H15)+1)/2)^2)/(COUNTIFS($A$5:$A$154,$A15,$H$5:$H$154,$H15)*($I15-1)^3)),0))</f>
        <v/>
      </c>
      <c r="K15" s="11">
        <f>IF($A15="","","Final")</f>
        <v/>
      </c>
      <c r="L15" s="11">
        <f>IF($A15="","",IF($D15="","Add the players",IF(COUNTIF(Players!$A$2:$A$500,$D15)=0,"Player 1 is not on the Players tab",IF(NOT(ISNUMBER($H15)),"Enter the final place",IF(N($H15)&gt;N($I15),"Place is bigger than the field: enter every team",IF($B15="","Enter the end date","OK"))))))</f>
        <v/>
      </c>
    </row>
    <row r="16">
      <c r="B16" s="9" t="n"/>
      <c r="I16" s="11">
        <f>IF(OR($A16="",NOT(ISNUMBER($H16))),"",COUNTIFS($A$5:$A$154,$A16,$H$5:$H$154,"&gt;0"))</f>
        <v/>
      </c>
      <c r="J16" s="11">
        <f>IF(OR($A16="",NOT(ISNUMBER($H16))),"",ROUND(Points!$B$5*IF($I16&lt;=1,1,Points!$H$7+(1-Points!$H$7)*((($I16-$H16)*(($I16-$H16)+1)/2)^2-((($I16-$H16-COUNTIFS($A$5:$A$154,$A16,$H$5:$H$154,$H16)+1)-1)*($I16-$H16-COUNTIFS($A$5:$A$154,$A16,$H$5:$H$154,$H16)+1)/2)^2)/(COUNTIFS($A$5:$A$154,$A16,$H$5:$H$154,$H16)*($I16-1)^3)),0))</f>
        <v/>
      </c>
      <c r="K16" s="11">
        <f>IF($A16="","","Final")</f>
        <v/>
      </c>
      <c r="L16" s="11">
        <f>IF($A16="","",IF($D16="","Add the players",IF(COUNTIF(Players!$A$2:$A$500,$D16)=0,"Player 1 is not on the Players tab",IF(NOT(ISNUMBER($H16)),"Enter the final place",IF(N($H16)&gt;N($I16),"Place is bigger than the field: enter every team",IF($B16="","Enter the end date","OK"))))))</f>
        <v/>
      </c>
    </row>
    <row r="17">
      <c r="B17" s="9" t="n"/>
      <c r="I17" s="11">
        <f>IF(OR($A17="",NOT(ISNUMBER($H17))),"",COUNTIFS($A$5:$A$154,$A17,$H$5:$H$154,"&gt;0"))</f>
        <v/>
      </c>
      <c r="J17" s="11">
        <f>IF(OR($A17="",NOT(ISNUMBER($H17))),"",ROUND(Points!$B$5*IF($I17&lt;=1,1,Points!$H$7+(1-Points!$H$7)*((($I17-$H17)*(($I17-$H17)+1)/2)^2-((($I17-$H17-COUNTIFS($A$5:$A$154,$A17,$H$5:$H$154,$H17)+1)-1)*($I17-$H17-COUNTIFS($A$5:$A$154,$A17,$H$5:$H$154,$H17)+1)/2)^2)/(COUNTIFS($A$5:$A$154,$A17,$H$5:$H$154,$H17)*($I17-1)^3)),0))</f>
        <v/>
      </c>
      <c r="K17" s="11">
        <f>IF($A17="","","Final")</f>
        <v/>
      </c>
      <c r="L17" s="11">
        <f>IF($A17="","",IF($D17="","Add the players",IF(COUNTIF(Players!$A$2:$A$500,$D17)=0,"Player 1 is not on the Players tab",IF(NOT(ISNUMBER($H17)),"Enter the final place",IF(N($H17)&gt;N($I17),"Place is bigger than the field: enter every team",IF($B17="","Enter the end date","OK"))))))</f>
        <v/>
      </c>
    </row>
    <row r="18">
      <c r="B18" s="9" t="n"/>
      <c r="I18" s="11">
        <f>IF(OR($A18="",NOT(ISNUMBER($H18))),"",COUNTIFS($A$5:$A$154,$A18,$H$5:$H$154,"&gt;0"))</f>
        <v/>
      </c>
      <c r="J18" s="11">
        <f>IF(OR($A18="",NOT(ISNUMBER($H18))),"",ROUND(Points!$B$5*IF($I18&lt;=1,1,Points!$H$7+(1-Points!$H$7)*((($I18-$H18)*(($I18-$H18)+1)/2)^2-((($I18-$H18-COUNTIFS($A$5:$A$154,$A18,$H$5:$H$154,$H18)+1)-1)*($I18-$H18-COUNTIFS($A$5:$A$154,$A18,$H$5:$H$154,$H18)+1)/2)^2)/(COUNTIFS($A$5:$A$154,$A18,$H$5:$H$154,$H18)*($I18-1)^3)),0))</f>
        <v/>
      </c>
      <c r="K18" s="11">
        <f>IF($A18="","","Final")</f>
        <v/>
      </c>
      <c r="L18" s="11">
        <f>IF($A18="","",IF($D18="","Add the players",IF(COUNTIF(Players!$A$2:$A$500,$D18)=0,"Player 1 is not on the Players tab",IF(NOT(ISNUMBER($H18)),"Enter the final place",IF(N($H18)&gt;N($I18),"Place is bigger than the field: enter every team",IF($B18="","Enter the end date","OK"))))))</f>
        <v/>
      </c>
    </row>
    <row r="19">
      <c r="B19" s="9" t="n"/>
      <c r="I19" s="11">
        <f>IF(OR($A19="",NOT(ISNUMBER($H19))),"",COUNTIFS($A$5:$A$154,$A19,$H$5:$H$154,"&gt;0"))</f>
        <v/>
      </c>
      <c r="J19" s="11">
        <f>IF(OR($A19="",NOT(ISNUMBER($H19))),"",ROUND(Points!$B$5*IF($I19&lt;=1,1,Points!$H$7+(1-Points!$H$7)*((($I19-$H19)*(($I19-$H19)+1)/2)^2-((($I19-$H19-COUNTIFS($A$5:$A$154,$A19,$H$5:$H$154,$H19)+1)-1)*($I19-$H19-COUNTIFS($A$5:$A$154,$A19,$H$5:$H$154,$H19)+1)/2)^2)/(COUNTIFS($A$5:$A$154,$A19,$H$5:$H$154,$H19)*($I19-1)^3)),0))</f>
        <v/>
      </c>
      <c r="K19" s="11">
        <f>IF($A19="","","Final")</f>
        <v/>
      </c>
      <c r="L19" s="11">
        <f>IF($A19="","",IF($D19="","Add the players",IF(COUNTIF(Players!$A$2:$A$500,$D19)=0,"Player 1 is not on the Players tab",IF(NOT(ISNUMBER($H19)),"Enter the final place",IF(N($H19)&gt;N($I19),"Place is bigger than the field: enter every team",IF($B19="","Enter the end date","OK"))))))</f>
        <v/>
      </c>
    </row>
    <row r="20">
      <c r="B20" s="9" t="n"/>
      <c r="I20" s="11">
        <f>IF(OR($A20="",NOT(ISNUMBER($H20))),"",COUNTIFS($A$5:$A$154,$A20,$H$5:$H$154,"&gt;0"))</f>
        <v/>
      </c>
      <c r="J20" s="11">
        <f>IF(OR($A20="",NOT(ISNUMBER($H20))),"",ROUND(Points!$B$5*IF($I20&lt;=1,1,Points!$H$7+(1-Points!$H$7)*((($I20-$H20)*(($I20-$H20)+1)/2)^2-((($I20-$H20-COUNTIFS($A$5:$A$154,$A20,$H$5:$H$154,$H20)+1)-1)*($I20-$H20-COUNTIFS($A$5:$A$154,$A20,$H$5:$H$154,$H20)+1)/2)^2)/(COUNTIFS($A$5:$A$154,$A20,$H$5:$H$154,$H20)*($I20-1)^3)),0))</f>
        <v/>
      </c>
      <c r="K20" s="11">
        <f>IF($A20="","","Final")</f>
        <v/>
      </c>
      <c r="L20" s="11">
        <f>IF($A20="","",IF($D20="","Add the players",IF(COUNTIF(Players!$A$2:$A$500,$D20)=0,"Player 1 is not on the Players tab",IF(NOT(ISNUMBER($H20)),"Enter the final place",IF(N($H20)&gt;N($I20),"Place is bigger than the field: enter every team",IF($B20="","Enter the end date","OK"))))))</f>
        <v/>
      </c>
    </row>
    <row r="21">
      <c r="B21" s="9" t="n"/>
      <c r="I21" s="11">
        <f>IF(OR($A21="",NOT(ISNUMBER($H21))),"",COUNTIFS($A$5:$A$154,$A21,$H$5:$H$154,"&gt;0"))</f>
        <v/>
      </c>
      <c r="J21" s="11">
        <f>IF(OR($A21="",NOT(ISNUMBER($H21))),"",ROUND(Points!$B$5*IF($I21&lt;=1,1,Points!$H$7+(1-Points!$H$7)*((($I21-$H21)*(($I21-$H21)+1)/2)^2-((($I21-$H21-COUNTIFS($A$5:$A$154,$A21,$H$5:$H$154,$H21)+1)-1)*($I21-$H21-COUNTIFS($A$5:$A$154,$A21,$H$5:$H$154,$H21)+1)/2)^2)/(COUNTIFS($A$5:$A$154,$A21,$H$5:$H$154,$H21)*($I21-1)^3)),0))</f>
        <v/>
      </c>
      <c r="K21" s="11">
        <f>IF($A21="","","Final")</f>
        <v/>
      </c>
      <c r="L21" s="11">
        <f>IF($A21="","",IF($D21="","Add the players",IF(COUNTIF(Players!$A$2:$A$500,$D21)=0,"Player 1 is not on the Players tab",IF(NOT(ISNUMBER($H21)),"Enter the final place",IF(N($H21)&gt;N($I21),"Place is bigger than the field: enter every team",IF($B21="","Enter the end date","OK"))))))</f>
        <v/>
      </c>
    </row>
    <row r="22">
      <c r="B22" s="9" t="n"/>
      <c r="I22" s="11">
        <f>IF(OR($A22="",NOT(ISNUMBER($H22))),"",COUNTIFS($A$5:$A$154,$A22,$H$5:$H$154,"&gt;0"))</f>
        <v/>
      </c>
      <c r="J22" s="11">
        <f>IF(OR($A22="",NOT(ISNUMBER($H22))),"",ROUND(Points!$B$5*IF($I22&lt;=1,1,Points!$H$7+(1-Points!$H$7)*((($I22-$H22)*(($I22-$H22)+1)/2)^2-((($I22-$H22-COUNTIFS($A$5:$A$154,$A22,$H$5:$H$154,$H22)+1)-1)*($I22-$H22-COUNTIFS($A$5:$A$154,$A22,$H$5:$H$154,$H22)+1)/2)^2)/(COUNTIFS($A$5:$A$154,$A22,$H$5:$H$154,$H22)*($I22-1)^3)),0))</f>
        <v/>
      </c>
      <c r="K22" s="11">
        <f>IF($A22="","","Final")</f>
        <v/>
      </c>
      <c r="L22" s="11">
        <f>IF($A22="","",IF($D22="","Add the players",IF(COUNTIF(Players!$A$2:$A$500,$D22)=0,"Player 1 is not on the Players tab",IF(NOT(ISNUMBER($H22)),"Enter the final place",IF(N($H22)&gt;N($I22),"Place is bigger than the field: enter every team",IF($B22="","Enter the end date","OK"))))))</f>
        <v/>
      </c>
    </row>
    <row r="23">
      <c r="B23" s="9" t="n"/>
      <c r="I23" s="11">
        <f>IF(OR($A23="",NOT(ISNUMBER($H23))),"",COUNTIFS($A$5:$A$154,$A23,$H$5:$H$154,"&gt;0"))</f>
        <v/>
      </c>
      <c r="J23" s="11">
        <f>IF(OR($A23="",NOT(ISNUMBER($H23))),"",ROUND(Points!$B$5*IF($I23&lt;=1,1,Points!$H$7+(1-Points!$H$7)*((($I23-$H23)*(($I23-$H23)+1)/2)^2-((($I23-$H23-COUNTIFS($A$5:$A$154,$A23,$H$5:$H$154,$H23)+1)-1)*($I23-$H23-COUNTIFS($A$5:$A$154,$A23,$H$5:$H$154,$H23)+1)/2)^2)/(COUNTIFS($A$5:$A$154,$A23,$H$5:$H$154,$H23)*($I23-1)^3)),0))</f>
        <v/>
      </c>
      <c r="K23" s="11">
        <f>IF($A23="","","Final")</f>
        <v/>
      </c>
      <c r="L23" s="11">
        <f>IF($A23="","",IF($D23="","Add the players",IF(COUNTIF(Players!$A$2:$A$500,$D23)=0,"Player 1 is not on the Players tab",IF(NOT(ISNUMBER($H23)),"Enter the final place",IF(N($H23)&gt;N($I23),"Place is bigger than the field: enter every team",IF($B23="","Enter the end date","OK"))))))</f>
        <v/>
      </c>
    </row>
    <row r="24">
      <c r="B24" s="9" t="n"/>
      <c r="I24" s="11">
        <f>IF(OR($A24="",NOT(ISNUMBER($H24))),"",COUNTIFS($A$5:$A$154,$A24,$H$5:$H$154,"&gt;0"))</f>
        <v/>
      </c>
      <c r="J24" s="11">
        <f>IF(OR($A24="",NOT(ISNUMBER($H24))),"",ROUND(Points!$B$5*IF($I24&lt;=1,1,Points!$H$7+(1-Points!$H$7)*((($I24-$H24)*(($I24-$H24)+1)/2)^2-((($I24-$H24-COUNTIFS($A$5:$A$154,$A24,$H$5:$H$154,$H24)+1)-1)*($I24-$H24-COUNTIFS($A$5:$A$154,$A24,$H$5:$H$154,$H24)+1)/2)^2)/(COUNTIFS($A$5:$A$154,$A24,$H$5:$H$154,$H24)*($I24-1)^3)),0))</f>
        <v/>
      </c>
      <c r="K24" s="11">
        <f>IF($A24="","","Final")</f>
        <v/>
      </c>
      <c r="L24" s="11">
        <f>IF($A24="","",IF($D24="","Add the players",IF(COUNTIF(Players!$A$2:$A$500,$D24)=0,"Player 1 is not on the Players tab",IF(NOT(ISNUMBER($H24)),"Enter the final place",IF(N($H24)&gt;N($I24),"Place is bigger than the field: enter every team",IF($B24="","Enter the end date","OK"))))))</f>
        <v/>
      </c>
    </row>
    <row r="25">
      <c r="B25" s="9" t="n"/>
      <c r="I25" s="11">
        <f>IF(OR($A25="",NOT(ISNUMBER($H25))),"",COUNTIFS($A$5:$A$154,$A25,$H$5:$H$154,"&gt;0"))</f>
        <v/>
      </c>
      <c r="J25" s="11">
        <f>IF(OR($A25="",NOT(ISNUMBER($H25))),"",ROUND(Points!$B$5*IF($I25&lt;=1,1,Points!$H$7+(1-Points!$H$7)*((($I25-$H25)*(($I25-$H25)+1)/2)^2-((($I25-$H25-COUNTIFS($A$5:$A$154,$A25,$H$5:$H$154,$H25)+1)-1)*($I25-$H25-COUNTIFS($A$5:$A$154,$A25,$H$5:$H$154,$H25)+1)/2)^2)/(COUNTIFS($A$5:$A$154,$A25,$H$5:$H$154,$H25)*($I25-1)^3)),0))</f>
        <v/>
      </c>
      <c r="K25" s="11">
        <f>IF($A25="","","Final")</f>
        <v/>
      </c>
      <c r="L25" s="11">
        <f>IF($A25="","",IF($D25="","Add the players",IF(COUNTIF(Players!$A$2:$A$500,$D25)=0,"Player 1 is not on the Players tab",IF(NOT(ISNUMBER($H25)),"Enter the final place",IF(N($H25)&gt;N($I25),"Place is bigger than the field: enter every team",IF($B25="","Enter the end date","OK"))))))</f>
        <v/>
      </c>
    </row>
    <row r="26">
      <c r="B26" s="9" t="n"/>
      <c r="I26" s="11">
        <f>IF(OR($A26="",NOT(ISNUMBER($H26))),"",COUNTIFS($A$5:$A$154,$A26,$H$5:$H$154,"&gt;0"))</f>
        <v/>
      </c>
      <c r="J26" s="11">
        <f>IF(OR($A26="",NOT(ISNUMBER($H26))),"",ROUND(Points!$B$5*IF($I26&lt;=1,1,Points!$H$7+(1-Points!$H$7)*((($I26-$H26)*(($I26-$H26)+1)/2)^2-((($I26-$H26-COUNTIFS($A$5:$A$154,$A26,$H$5:$H$154,$H26)+1)-1)*($I26-$H26-COUNTIFS($A$5:$A$154,$A26,$H$5:$H$154,$H26)+1)/2)^2)/(COUNTIFS($A$5:$A$154,$A26,$H$5:$H$154,$H26)*($I26-1)^3)),0))</f>
        <v/>
      </c>
      <c r="K26" s="11">
        <f>IF($A26="","","Final")</f>
        <v/>
      </c>
      <c r="L26" s="11">
        <f>IF($A26="","",IF($D26="","Add the players",IF(COUNTIF(Players!$A$2:$A$500,$D26)=0,"Player 1 is not on the Players tab",IF(NOT(ISNUMBER($H26)),"Enter the final place",IF(N($H26)&gt;N($I26),"Place is bigger than the field: enter every team",IF($B26="","Enter the end date","OK"))))))</f>
        <v/>
      </c>
    </row>
    <row r="27">
      <c r="B27" s="9" t="n"/>
      <c r="I27" s="11">
        <f>IF(OR($A27="",NOT(ISNUMBER($H27))),"",COUNTIFS($A$5:$A$154,$A27,$H$5:$H$154,"&gt;0"))</f>
        <v/>
      </c>
      <c r="J27" s="11">
        <f>IF(OR($A27="",NOT(ISNUMBER($H27))),"",ROUND(Points!$B$5*IF($I27&lt;=1,1,Points!$H$7+(1-Points!$H$7)*((($I27-$H27)*(($I27-$H27)+1)/2)^2-((($I27-$H27-COUNTIFS($A$5:$A$154,$A27,$H$5:$H$154,$H27)+1)-1)*($I27-$H27-COUNTIFS($A$5:$A$154,$A27,$H$5:$H$154,$H27)+1)/2)^2)/(COUNTIFS($A$5:$A$154,$A27,$H$5:$H$154,$H27)*($I27-1)^3)),0))</f>
        <v/>
      </c>
      <c r="K27" s="11">
        <f>IF($A27="","","Final")</f>
        <v/>
      </c>
      <c r="L27" s="11">
        <f>IF($A27="","",IF($D27="","Add the players",IF(COUNTIF(Players!$A$2:$A$500,$D27)=0,"Player 1 is not on the Players tab",IF(NOT(ISNUMBER($H27)),"Enter the final place",IF(N($H27)&gt;N($I27),"Place is bigger than the field: enter every team",IF($B27="","Enter the end date","OK"))))))</f>
        <v/>
      </c>
    </row>
    <row r="28">
      <c r="B28" s="9" t="n"/>
      <c r="I28" s="11">
        <f>IF(OR($A28="",NOT(ISNUMBER($H28))),"",COUNTIFS($A$5:$A$154,$A28,$H$5:$H$154,"&gt;0"))</f>
        <v/>
      </c>
      <c r="J28" s="11">
        <f>IF(OR($A28="",NOT(ISNUMBER($H28))),"",ROUND(Points!$B$5*IF($I28&lt;=1,1,Points!$H$7+(1-Points!$H$7)*((($I28-$H28)*(($I28-$H28)+1)/2)^2-((($I28-$H28-COUNTIFS($A$5:$A$154,$A28,$H$5:$H$154,$H28)+1)-1)*($I28-$H28-COUNTIFS($A$5:$A$154,$A28,$H$5:$H$154,$H28)+1)/2)^2)/(COUNTIFS($A$5:$A$154,$A28,$H$5:$H$154,$H28)*($I28-1)^3)),0))</f>
        <v/>
      </c>
      <c r="K28" s="11">
        <f>IF($A28="","","Final")</f>
        <v/>
      </c>
      <c r="L28" s="11">
        <f>IF($A28="","",IF($D28="","Add the players",IF(COUNTIF(Players!$A$2:$A$500,$D28)=0,"Player 1 is not on the Players tab",IF(NOT(ISNUMBER($H28)),"Enter the final place",IF(N($H28)&gt;N($I28),"Place is bigger than the field: enter every team",IF($B28="","Enter the end date","OK"))))))</f>
        <v/>
      </c>
    </row>
    <row r="29">
      <c r="B29" s="9" t="n"/>
      <c r="I29" s="11">
        <f>IF(OR($A29="",NOT(ISNUMBER($H29))),"",COUNTIFS($A$5:$A$154,$A29,$H$5:$H$154,"&gt;0"))</f>
        <v/>
      </c>
      <c r="J29" s="11">
        <f>IF(OR($A29="",NOT(ISNUMBER($H29))),"",ROUND(Points!$B$5*IF($I29&lt;=1,1,Points!$H$7+(1-Points!$H$7)*((($I29-$H29)*(($I29-$H29)+1)/2)^2-((($I29-$H29-COUNTIFS($A$5:$A$154,$A29,$H$5:$H$154,$H29)+1)-1)*($I29-$H29-COUNTIFS($A$5:$A$154,$A29,$H$5:$H$154,$H29)+1)/2)^2)/(COUNTIFS($A$5:$A$154,$A29,$H$5:$H$154,$H29)*($I29-1)^3)),0))</f>
        <v/>
      </c>
      <c r="K29" s="11">
        <f>IF($A29="","","Final")</f>
        <v/>
      </c>
      <c r="L29" s="11">
        <f>IF($A29="","",IF($D29="","Add the players",IF(COUNTIF(Players!$A$2:$A$500,$D29)=0,"Player 1 is not on the Players tab",IF(NOT(ISNUMBER($H29)),"Enter the final place",IF(N($H29)&gt;N($I29),"Place is bigger than the field: enter every team",IF($B29="","Enter the end date","OK"))))))</f>
        <v/>
      </c>
    </row>
    <row r="30">
      <c r="B30" s="9" t="n"/>
      <c r="I30" s="11">
        <f>IF(OR($A30="",NOT(ISNUMBER($H30))),"",COUNTIFS($A$5:$A$154,$A30,$H$5:$H$154,"&gt;0"))</f>
        <v/>
      </c>
      <c r="J30" s="11">
        <f>IF(OR($A30="",NOT(ISNUMBER($H30))),"",ROUND(Points!$B$5*IF($I30&lt;=1,1,Points!$H$7+(1-Points!$H$7)*((($I30-$H30)*(($I30-$H30)+1)/2)^2-((($I30-$H30-COUNTIFS($A$5:$A$154,$A30,$H$5:$H$154,$H30)+1)-1)*($I30-$H30-COUNTIFS($A$5:$A$154,$A30,$H$5:$H$154,$H30)+1)/2)^2)/(COUNTIFS($A$5:$A$154,$A30,$H$5:$H$154,$H30)*($I30-1)^3)),0))</f>
        <v/>
      </c>
      <c r="K30" s="11">
        <f>IF($A30="","","Final")</f>
        <v/>
      </c>
      <c r="L30" s="11">
        <f>IF($A30="","",IF($D30="","Add the players",IF(COUNTIF(Players!$A$2:$A$500,$D30)=0,"Player 1 is not on the Players tab",IF(NOT(ISNUMBER($H30)),"Enter the final place",IF(N($H30)&gt;N($I30),"Place is bigger than the field: enter every team",IF($B30="","Enter the end date","OK"))))))</f>
        <v/>
      </c>
    </row>
    <row r="31">
      <c r="B31" s="9" t="n"/>
      <c r="I31" s="11">
        <f>IF(OR($A31="",NOT(ISNUMBER($H31))),"",COUNTIFS($A$5:$A$154,$A31,$H$5:$H$154,"&gt;0"))</f>
        <v/>
      </c>
      <c r="J31" s="11">
        <f>IF(OR($A31="",NOT(ISNUMBER($H31))),"",ROUND(Points!$B$5*IF($I31&lt;=1,1,Points!$H$7+(1-Points!$H$7)*((($I31-$H31)*(($I31-$H31)+1)/2)^2-((($I31-$H31-COUNTIFS($A$5:$A$154,$A31,$H$5:$H$154,$H31)+1)-1)*($I31-$H31-COUNTIFS($A$5:$A$154,$A31,$H$5:$H$154,$H31)+1)/2)^2)/(COUNTIFS($A$5:$A$154,$A31,$H$5:$H$154,$H31)*($I31-1)^3)),0))</f>
        <v/>
      </c>
      <c r="K31" s="11">
        <f>IF($A31="","","Final")</f>
        <v/>
      </c>
      <c r="L31" s="11">
        <f>IF($A31="","",IF($D31="","Add the players",IF(COUNTIF(Players!$A$2:$A$500,$D31)=0,"Player 1 is not on the Players tab",IF(NOT(ISNUMBER($H31)),"Enter the final place",IF(N($H31)&gt;N($I31),"Place is bigger than the field: enter every team",IF($B31="","Enter the end date","OK"))))))</f>
        <v/>
      </c>
    </row>
    <row r="32">
      <c r="B32" s="9" t="n"/>
      <c r="I32" s="11">
        <f>IF(OR($A32="",NOT(ISNUMBER($H32))),"",COUNTIFS($A$5:$A$154,$A32,$H$5:$H$154,"&gt;0"))</f>
        <v/>
      </c>
      <c r="J32" s="11">
        <f>IF(OR($A32="",NOT(ISNUMBER($H32))),"",ROUND(Points!$B$5*IF($I32&lt;=1,1,Points!$H$7+(1-Points!$H$7)*((($I32-$H32)*(($I32-$H32)+1)/2)^2-((($I32-$H32-COUNTIFS($A$5:$A$154,$A32,$H$5:$H$154,$H32)+1)-1)*($I32-$H32-COUNTIFS($A$5:$A$154,$A32,$H$5:$H$154,$H32)+1)/2)^2)/(COUNTIFS($A$5:$A$154,$A32,$H$5:$H$154,$H32)*($I32-1)^3)),0))</f>
        <v/>
      </c>
      <c r="K32" s="11">
        <f>IF($A32="","","Final")</f>
        <v/>
      </c>
      <c r="L32" s="11">
        <f>IF($A32="","",IF($D32="","Add the players",IF(COUNTIF(Players!$A$2:$A$500,$D32)=0,"Player 1 is not on the Players tab",IF(NOT(ISNUMBER($H32)),"Enter the final place",IF(N($H32)&gt;N($I32),"Place is bigger than the field: enter every team",IF($B32="","Enter the end date","OK"))))))</f>
        <v/>
      </c>
    </row>
    <row r="33">
      <c r="B33" s="9" t="n"/>
      <c r="I33" s="11">
        <f>IF(OR($A33="",NOT(ISNUMBER($H33))),"",COUNTIFS($A$5:$A$154,$A33,$H$5:$H$154,"&gt;0"))</f>
        <v/>
      </c>
      <c r="J33" s="11">
        <f>IF(OR($A33="",NOT(ISNUMBER($H33))),"",ROUND(Points!$B$5*IF($I33&lt;=1,1,Points!$H$7+(1-Points!$H$7)*((($I33-$H33)*(($I33-$H33)+1)/2)^2-((($I33-$H33-COUNTIFS($A$5:$A$154,$A33,$H$5:$H$154,$H33)+1)-1)*($I33-$H33-COUNTIFS($A$5:$A$154,$A33,$H$5:$H$154,$H33)+1)/2)^2)/(COUNTIFS($A$5:$A$154,$A33,$H$5:$H$154,$H33)*($I33-1)^3)),0))</f>
        <v/>
      </c>
      <c r="K33" s="11">
        <f>IF($A33="","","Final")</f>
        <v/>
      </c>
      <c r="L33" s="11">
        <f>IF($A33="","",IF($D33="","Add the players",IF(COUNTIF(Players!$A$2:$A$500,$D33)=0,"Player 1 is not on the Players tab",IF(NOT(ISNUMBER($H33)),"Enter the final place",IF(N($H33)&gt;N($I33),"Place is bigger than the field: enter every team",IF($B33="","Enter the end date","OK"))))))</f>
        <v/>
      </c>
    </row>
    <row r="34">
      <c r="B34" s="9" t="n"/>
      <c r="I34" s="11">
        <f>IF(OR($A34="",NOT(ISNUMBER($H34))),"",COUNTIFS($A$5:$A$154,$A34,$H$5:$H$154,"&gt;0"))</f>
        <v/>
      </c>
      <c r="J34" s="11">
        <f>IF(OR($A34="",NOT(ISNUMBER($H34))),"",ROUND(Points!$B$5*IF($I34&lt;=1,1,Points!$H$7+(1-Points!$H$7)*((($I34-$H34)*(($I34-$H34)+1)/2)^2-((($I34-$H34-COUNTIFS($A$5:$A$154,$A34,$H$5:$H$154,$H34)+1)-1)*($I34-$H34-COUNTIFS($A$5:$A$154,$A34,$H$5:$H$154,$H34)+1)/2)^2)/(COUNTIFS($A$5:$A$154,$A34,$H$5:$H$154,$H34)*($I34-1)^3)),0))</f>
        <v/>
      </c>
      <c r="K34" s="11">
        <f>IF($A34="","","Final")</f>
        <v/>
      </c>
      <c r="L34" s="11">
        <f>IF($A34="","",IF($D34="","Add the players",IF(COUNTIF(Players!$A$2:$A$500,$D34)=0,"Player 1 is not on the Players tab",IF(NOT(ISNUMBER($H34)),"Enter the final place",IF(N($H34)&gt;N($I34),"Place is bigger than the field: enter every team",IF($B34="","Enter the end date","OK"))))))</f>
        <v/>
      </c>
    </row>
    <row r="35">
      <c r="B35" s="9" t="n"/>
      <c r="I35" s="11">
        <f>IF(OR($A35="",NOT(ISNUMBER($H35))),"",COUNTIFS($A$5:$A$154,$A35,$H$5:$H$154,"&gt;0"))</f>
        <v/>
      </c>
      <c r="J35" s="11">
        <f>IF(OR($A35="",NOT(ISNUMBER($H35))),"",ROUND(Points!$B$5*IF($I35&lt;=1,1,Points!$H$7+(1-Points!$H$7)*((($I35-$H35)*(($I35-$H35)+1)/2)^2-((($I35-$H35-COUNTIFS($A$5:$A$154,$A35,$H$5:$H$154,$H35)+1)-1)*($I35-$H35-COUNTIFS($A$5:$A$154,$A35,$H$5:$H$154,$H35)+1)/2)^2)/(COUNTIFS($A$5:$A$154,$A35,$H$5:$H$154,$H35)*($I35-1)^3)),0))</f>
        <v/>
      </c>
      <c r="K35" s="11">
        <f>IF($A35="","","Final")</f>
        <v/>
      </c>
      <c r="L35" s="11">
        <f>IF($A35="","",IF($D35="","Add the players",IF(COUNTIF(Players!$A$2:$A$500,$D35)=0,"Player 1 is not on the Players tab",IF(NOT(ISNUMBER($H35)),"Enter the final place",IF(N($H35)&gt;N($I35),"Place is bigger than the field: enter every team",IF($B35="","Enter the end date","OK"))))))</f>
        <v/>
      </c>
    </row>
    <row r="36">
      <c r="B36" s="9" t="n"/>
      <c r="I36" s="11">
        <f>IF(OR($A36="",NOT(ISNUMBER($H36))),"",COUNTIFS($A$5:$A$154,$A36,$H$5:$H$154,"&gt;0"))</f>
        <v/>
      </c>
      <c r="J36" s="11">
        <f>IF(OR($A36="",NOT(ISNUMBER($H36))),"",ROUND(Points!$B$5*IF($I36&lt;=1,1,Points!$H$7+(1-Points!$H$7)*((($I36-$H36)*(($I36-$H36)+1)/2)^2-((($I36-$H36-COUNTIFS($A$5:$A$154,$A36,$H$5:$H$154,$H36)+1)-1)*($I36-$H36-COUNTIFS($A$5:$A$154,$A36,$H$5:$H$154,$H36)+1)/2)^2)/(COUNTIFS($A$5:$A$154,$A36,$H$5:$H$154,$H36)*($I36-1)^3)),0))</f>
        <v/>
      </c>
      <c r="K36" s="11">
        <f>IF($A36="","","Final")</f>
        <v/>
      </c>
      <c r="L36" s="11">
        <f>IF($A36="","",IF($D36="","Add the players",IF(COUNTIF(Players!$A$2:$A$500,$D36)=0,"Player 1 is not on the Players tab",IF(NOT(ISNUMBER($H36)),"Enter the final place",IF(N($H36)&gt;N($I36),"Place is bigger than the field: enter every team",IF($B36="","Enter the end date","OK"))))))</f>
        <v/>
      </c>
    </row>
    <row r="37">
      <c r="B37" s="9" t="n"/>
      <c r="I37" s="11">
        <f>IF(OR($A37="",NOT(ISNUMBER($H37))),"",COUNTIFS($A$5:$A$154,$A37,$H$5:$H$154,"&gt;0"))</f>
        <v/>
      </c>
      <c r="J37" s="11">
        <f>IF(OR($A37="",NOT(ISNUMBER($H37))),"",ROUND(Points!$B$5*IF($I37&lt;=1,1,Points!$H$7+(1-Points!$H$7)*((($I37-$H37)*(($I37-$H37)+1)/2)^2-((($I37-$H37-COUNTIFS($A$5:$A$154,$A37,$H$5:$H$154,$H37)+1)-1)*($I37-$H37-COUNTIFS($A$5:$A$154,$A37,$H$5:$H$154,$H37)+1)/2)^2)/(COUNTIFS($A$5:$A$154,$A37,$H$5:$H$154,$H37)*($I37-1)^3)),0))</f>
        <v/>
      </c>
      <c r="K37" s="11">
        <f>IF($A37="","","Final")</f>
        <v/>
      </c>
      <c r="L37" s="11">
        <f>IF($A37="","",IF($D37="","Add the players",IF(COUNTIF(Players!$A$2:$A$500,$D37)=0,"Player 1 is not on the Players tab",IF(NOT(ISNUMBER($H37)),"Enter the final place",IF(N($H37)&gt;N($I37),"Place is bigger than the field: enter every team",IF($B37="","Enter the end date","OK"))))))</f>
        <v/>
      </c>
    </row>
    <row r="38">
      <c r="B38" s="9" t="n"/>
      <c r="I38" s="11">
        <f>IF(OR($A38="",NOT(ISNUMBER($H38))),"",COUNTIFS($A$5:$A$154,$A38,$H$5:$H$154,"&gt;0"))</f>
        <v/>
      </c>
      <c r="J38" s="11">
        <f>IF(OR($A38="",NOT(ISNUMBER($H38))),"",ROUND(Points!$B$5*IF($I38&lt;=1,1,Points!$H$7+(1-Points!$H$7)*((($I38-$H38)*(($I38-$H38)+1)/2)^2-((($I38-$H38-COUNTIFS($A$5:$A$154,$A38,$H$5:$H$154,$H38)+1)-1)*($I38-$H38-COUNTIFS($A$5:$A$154,$A38,$H$5:$H$154,$H38)+1)/2)^2)/(COUNTIFS($A$5:$A$154,$A38,$H$5:$H$154,$H38)*($I38-1)^3)),0))</f>
        <v/>
      </c>
      <c r="K38" s="11">
        <f>IF($A38="","","Final")</f>
        <v/>
      </c>
      <c r="L38" s="11">
        <f>IF($A38="","",IF($D38="","Add the players",IF(COUNTIF(Players!$A$2:$A$500,$D38)=0,"Player 1 is not on the Players tab",IF(NOT(ISNUMBER($H38)),"Enter the final place",IF(N($H38)&gt;N($I38),"Place is bigger than the field: enter every team",IF($B38="","Enter the end date","OK"))))))</f>
        <v/>
      </c>
    </row>
    <row r="39">
      <c r="B39" s="9" t="n"/>
      <c r="I39" s="11">
        <f>IF(OR($A39="",NOT(ISNUMBER($H39))),"",COUNTIFS($A$5:$A$154,$A39,$H$5:$H$154,"&gt;0"))</f>
        <v/>
      </c>
      <c r="J39" s="11">
        <f>IF(OR($A39="",NOT(ISNUMBER($H39))),"",ROUND(Points!$B$5*IF($I39&lt;=1,1,Points!$H$7+(1-Points!$H$7)*((($I39-$H39)*(($I39-$H39)+1)/2)^2-((($I39-$H39-COUNTIFS($A$5:$A$154,$A39,$H$5:$H$154,$H39)+1)-1)*($I39-$H39-COUNTIFS($A$5:$A$154,$A39,$H$5:$H$154,$H39)+1)/2)^2)/(COUNTIFS($A$5:$A$154,$A39,$H$5:$H$154,$H39)*($I39-1)^3)),0))</f>
        <v/>
      </c>
      <c r="K39" s="11">
        <f>IF($A39="","","Final")</f>
        <v/>
      </c>
      <c r="L39" s="11">
        <f>IF($A39="","",IF($D39="","Add the players",IF(COUNTIF(Players!$A$2:$A$500,$D39)=0,"Player 1 is not on the Players tab",IF(NOT(ISNUMBER($H39)),"Enter the final place",IF(N($H39)&gt;N($I39),"Place is bigger than the field: enter every team",IF($B39="","Enter the end date","OK"))))))</f>
        <v/>
      </c>
    </row>
    <row r="40">
      <c r="B40" s="9" t="n"/>
      <c r="I40" s="11">
        <f>IF(OR($A40="",NOT(ISNUMBER($H40))),"",COUNTIFS($A$5:$A$154,$A40,$H$5:$H$154,"&gt;0"))</f>
        <v/>
      </c>
      <c r="J40" s="11">
        <f>IF(OR($A40="",NOT(ISNUMBER($H40))),"",ROUND(Points!$B$5*IF($I40&lt;=1,1,Points!$H$7+(1-Points!$H$7)*((($I40-$H40)*(($I40-$H40)+1)/2)^2-((($I40-$H40-COUNTIFS($A$5:$A$154,$A40,$H$5:$H$154,$H40)+1)-1)*($I40-$H40-COUNTIFS($A$5:$A$154,$A40,$H$5:$H$154,$H40)+1)/2)^2)/(COUNTIFS($A$5:$A$154,$A40,$H$5:$H$154,$H40)*($I40-1)^3)),0))</f>
        <v/>
      </c>
      <c r="K40" s="11">
        <f>IF($A40="","","Final")</f>
        <v/>
      </c>
      <c r="L40" s="11">
        <f>IF($A40="","",IF($D40="","Add the players",IF(COUNTIF(Players!$A$2:$A$500,$D40)=0,"Player 1 is not on the Players tab",IF(NOT(ISNUMBER($H40)),"Enter the final place",IF(N($H40)&gt;N($I40),"Place is bigger than the field: enter every team",IF($B40="","Enter the end date","OK"))))))</f>
        <v/>
      </c>
    </row>
    <row r="41">
      <c r="B41" s="9" t="n"/>
      <c r="I41" s="11">
        <f>IF(OR($A41="",NOT(ISNUMBER($H41))),"",COUNTIFS($A$5:$A$154,$A41,$H$5:$H$154,"&gt;0"))</f>
        <v/>
      </c>
      <c r="J41" s="11">
        <f>IF(OR($A41="",NOT(ISNUMBER($H41))),"",ROUND(Points!$B$5*IF($I41&lt;=1,1,Points!$H$7+(1-Points!$H$7)*((($I41-$H41)*(($I41-$H41)+1)/2)^2-((($I41-$H41-COUNTIFS($A$5:$A$154,$A41,$H$5:$H$154,$H41)+1)-1)*($I41-$H41-COUNTIFS($A$5:$A$154,$A41,$H$5:$H$154,$H41)+1)/2)^2)/(COUNTIFS($A$5:$A$154,$A41,$H$5:$H$154,$H41)*($I41-1)^3)),0))</f>
        <v/>
      </c>
      <c r="K41" s="11">
        <f>IF($A41="","","Final")</f>
        <v/>
      </c>
      <c r="L41" s="11">
        <f>IF($A41="","",IF($D41="","Add the players",IF(COUNTIF(Players!$A$2:$A$500,$D41)=0,"Player 1 is not on the Players tab",IF(NOT(ISNUMBER($H41)),"Enter the final place",IF(N($H41)&gt;N($I41),"Place is bigger than the field: enter every team",IF($B41="","Enter the end date","OK"))))))</f>
        <v/>
      </c>
    </row>
    <row r="42">
      <c r="B42" s="9" t="n"/>
      <c r="I42" s="11">
        <f>IF(OR($A42="",NOT(ISNUMBER($H42))),"",COUNTIFS($A$5:$A$154,$A42,$H$5:$H$154,"&gt;0"))</f>
        <v/>
      </c>
      <c r="J42" s="11">
        <f>IF(OR($A42="",NOT(ISNUMBER($H42))),"",ROUND(Points!$B$5*IF($I42&lt;=1,1,Points!$H$7+(1-Points!$H$7)*((($I42-$H42)*(($I42-$H42)+1)/2)^2-((($I42-$H42-COUNTIFS($A$5:$A$154,$A42,$H$5:$H$154,$H42)+1)-1)*($I42-$H42-COUNTIFS($A$5:$A$154,$A42,$H$5:$H$154,$H42)+1)/2)^2)/(COUNTIFS($A$5:$A$154,$A42,$H$5:$H$154,$H42)*($I42-1)^3)),0))</f>
        <v/>
      </c>
      <c r="K42" s="11">
        <f>IF($A42="","","Final")</f>
        <v/>
      </c>
      <c r="L42" s="11">
        <f>IF($A42="","",IF($D42="","Add the players",IF(COUNTIF(Players!$A$2:$A$500,$D42)=0,"Player 1 is not on the Players tab",IF(NOT(ISNUMBER($H42)),"Enter the final place",IF(N($H42)&gt;N($I42),"Place is bigger than the field: enter every team",IF($B42="","Enter the end date","OK"))))))</f>
        <v/>
      </c>
    </row>
    <row r="43">
      <c r="B43" s="9" t="n"/>
      <c r="I43" s="11">
        <f>IF(OR($A43="",NOT(ISNUMBER($H43))),"",COUNTIFS($A$5:$A$154,$A43,$H$5:$H$154,"&gt;0"))</f>
        <v/>
      </c>
      <c r="J43" s="11">
        <f>IF(OR($A43="",NOT(ISNUMBER($H43))),"",ROUND(Points!$B$5*IF($I43&lt;=1,1,Points!$H$7+(1-Points!$H$7)*((($I43-$H43)*(($I43-$H43)+1)/2)^2-((($I43-$H43-COUNTIFS($A$5:$A$154,$A43,$H$5:$H$154,$H43)+1)-1)*($I43-$H43-COUNTIFS($A$5:$A$154,$A43,$H$5:$H$154,$H43)+1)/2)^2)/(COUNTIFS($A$5:$A$154,$A43,$H$5:$H$154,$H43)*($I43-1)^3)),0))</f>
        <v/>
      </c>
      <c r="K43" s="11">
        <f>IF($A43="","","Final")</f>
        <v/>
      </c>
      <c r="L43" s="11">
        <f>IF($A43="","",IF($D43="","Add the players",IF(COUNTIF(Players!$A$2:$A$500,$D43)=0,"Player 1 is not on the Players tab",IF(NOT(ISNUMBER($H43)),"Enter the final place",IF(N($H43)&gt;N($I43),"Place is bigger than the field: enter every team",IF($B43="","Enter the end date","OK"))))))</f>
        <v/>
      </c>
    </row>
    <row r="44">
      <c r="B44" s="9" t="n"/>
      <c r="I44" s="11">
        <f>IF(OR($A44="",NOT(ISNUMBER($H44))),"",COUNTIFS($A$5:$A$154,$A44,$H$5:$H$154,"&gt;0"))</f>
        <v/>
      </c>
      <c r="J44" s="11">
        <f>IF(OR($A44="",NOT(ISNUMBER($H44))),"",ROUND(Points!$B$5*IF($I44&lt;=1,1,Points!$H$7+(1-Points!$H$7)*((($I44-$H44)*(($I44-$H44)+1)/2)^2-((($I44-$H44-COUNTIFS($A$5:$A$154,$A44,$H$5:$H$154,$H44)+1)-1)*($I44-$H44-COUNTIFS($A$5:$A$154,$A44,$H$5:$H$154,$H44)+1)/2)^2)/(COUNTIFS($A$5:$A$154,$A44,$H$5:$H$154,$H44)*($I44-1)^3)),0))</f>
        <v/>
      </c>
      <c r="K44" s="11">
        <f>IF($A44="","","Final")</f>
        <v/>
      </c>
      <c r="L44" s="11">
        <f>IF($A44="","",IF($D44="","Add the players",IF(COUNTIF(Players!$A$2:$A$500,$D44)=0,"Player 1 is not on the Players tab",IF(NOT(ISNUMBER($H44)),"Enter the final place",IF(N($H44)&gt;N($I44),"Place is bigger than the field: enter every team",IF($B44="","Enter the end date","OK"))))))</f>
        <v/>
      </c>
    </row>
    <row r="45">
      <c r="B45" s="9" t="n"/>
      <c r="I45" s="11">
        <f>IF(OR($A45="",NOT(ISNUMBER($H45))),"",COUNTIFS($A$5:$A$154,$A45,$H$5:$H$154,"&gt;0"))</f>
        <v/>
      </c>
      <c r="J45" s="11">
        <f>IF(OR($A45="",NOT(ISNUMBER($H45))),"",ROUND(Points!$B$5*IF($I45&lt;=1,1,Points!$H$7+(1-Points!$H$7)*((($I45-$H45)*(($I45-$H45)+1)/2)^2-((($I45-$H45-COUNTIFS($A$5:$A$154,$A45,$H$5:$H$154,$H45)+1)-1)*($I45-$H45-COUNTIFS($A$5:$A$154,$A45,$H$5:$H$154,$H45)+1)/2)^2)/(COUNTIFS($A$5:$A$154,$A45,$H$5:$H$154,$H45)*($I45-1)^3)),0))</f>
        <v/>
      </c>
      <c r="K45" s="11">
        <f>IF($A45="","","Final")</f>
        <v/>
      </c>
      <c r="L45" s="11">
        <f>IF($A45="","",IF($D45="","Add the players",IF(COUNTIF(Players!$A$2:$A$500,$D45)=0,"Player 1 is not on the Players tab",IF(NOT(ISNUMBER($H45)),"Enter the final place",IF(N($H45)&gt;N($I45),"Place is bigger than the field: enter every team",IF($B45="","Enter the end date","OK"))))))</f>
        <v/>
      </c>
    </row>
    <row r="46">
      <c r="B46" s="9" t="n"/>
      <c r="I46" s="11">
        <f>IF(OR($A46="",NOT(ISNUMBER($H46))),"",COUNTIFS($A$5:$A$154,$A46,$H$5:$H$154,"&gt;0"))</f>
        <v/>
      </c>
      <c r="J46" s="11">
        <f>IF(OR($A46="",NOT(ISNUMBER($H46))),"",ROUND(Points!$B$5*IF($I46&lt;=1,1,Points!$H$7+(1-Points!$H$7)*((($I46-$H46)*(($I46-$H46)+1)/2)^2-((($I46-$H46-COUNTIFS($A$5:$A$154,$A46,$H$5:$H$154,$H46)+1)-1)*($I46-$H46-COUNTIFS($A$5:$A$154,$A46,$H$5:$H$154,$H46)+1)/2)^2)/(COUNTIFS($A$5:$A$154,$A46,$H$5:$H$154,$H46)*($I46-1)^3)),0))</f>
        <v/>
      </c>
      <c r="K46" s="11">
        <f>IF($A46="","","Final")</f>
        <v/>
      </c>
      <c r="L46" s="11">
        <f>IF($A46="","",IF($D46="","Add the players",IF(COUNTIF(Players!$A$2:$A$500,$D46)=0,"Player 1 is not on the Players tab",IF(NOT(ISNUMBER($H46)),"Enter the final place",IF(N($H46)&gt;N($I46),"Place is bigger than the field: enter every team",IF($B46="","Enter the end date","OK"))))))</f>
        <v/>
      </c>
    </row>
    <row r="47">
      <c r="B47" s="9" t="n"/>
      <c r="I47" s="11">
        <f>IF(OR($A47="",NOT(ISNUMBER($H47))),"",COUNTIFS($A$5:$A$154,$A47,$H$5:$H$154,"&gt;0"))</f>
        <v/>
      </c>
      <c r="J47" s="11">
        <f>IF(OR($A47="",NOT(ISNUMBER($H47))),"",ROUND(Points!$B$5*IF($I47&lt;=1,1,Points!$H$7+(1-Points!$H$7)*((($I47-$H47)*(($I47-$H47)+1)/2)^2-((($I47-$H47-COUNTIFS($A$5:$A$154,$A47,$H$5:$H$154,$H47)+1)-1)*($I47-$H47-COUNTIFS($A$5:$A$154,$A47,$H$5:$H$154,$H47)+1)/2)^2)/(COUNTIFS($A$5:$A$154,$A47,$H$5:$H$154,$H47)*($I47-1)^3)),0))</f>
        <v/>
      </c>
      <c r="K47" s="11">
        <f>IF($A47="","","Final")</f>
        <v/>
      </c>
      <c r="L47" s="11">
        <f>IF($A47="","",IF($D47="","Add the players",IF(COUNTIF(Players!$A$2:$A$500,$D47)=0,"Player 1 is not on the Players tab",IF(NOT(ISNUMBER($H47)),"Enter the final place",IF(N($H47)&gt;N($I47),"Place is bigger than the field: enter every team",IF($B47="","Enter the end date","OK"))))))</f>
        <v/>
      </c>
    </row>
    <row r="48">
      <c r="B48" s="9" t="n"/>
      <c r="I48" s="11">
        <f>IF(OR($A48="",NOT(ISNUMBER($H48))),"",COUNTIFS($A$5:$A$154,$A48,$H$5:$H$154,"&gt;0"))</f>
        <v/>
      </c>
      <c r="J48" s="11">
        <f>IF(OR($A48="",NOT(ISNUMBER($H48))),"",ROUND(Points!$B$5*IF($I48&lt;=1,1,Points!$H$7+(1-Points!$H$7)*((($I48-$H48)*(($I48-$H48)+1)/2)^2-((($I48-$H48-COUNTIFS($A$5:$A$154,$A48,$H$5:$H$154,$H48)+1)-1)*($I48-$H48-COUNTIFS($A$5:$A$154,$A48,$H$5:$H$154,$H48)+1)/2)^2)/(COUNTIFS($A$5:$A$154,$A48,$H$5:$H$154,$H48)*($I48-1)^3)),0))</f>
        <v/>
      </c>
      <c r="K48" s="11">
        <f>IF($A48="","","Final")</f>
        <v/>
      </c>
      <c r="L48" s="11">
        <f>IF($A48="","",IF($D48="","Add the players",IF(COUNTIF(Players!$A$2:$A$500,$D48)=0,"Player 1 is not on the Players tab",IF(NOT(ISNUMBER($H48)),"Enter the final place",IF(N($H48)&gt;N($I48),"Place is bigger than the field: enter every team",IF($B48="","Enter the end date","OK"))))))</f>
        <v/>
      </c>
    </row>
    <row r="49">
      <c r="B49" s="9" t="n"/>
      <c r="I49" s="11">
        <f>IF(OR($A49="",NOT(ISNUMBER($H49))),"",COUNTIFS($A$5:$A$154,$A49,$H$5:$H$154,"&gt;0"))</f>
        <v/>
      </c>
      <c r="J49" s="11">
        <f>IF(OR($A49="",NOT(ISNUMBER($H49))),"",ROUND(Points!$B$5*IF($I49&lt;=1,1,Points!$H$7+(1-Points!$H$7)*((($I49-$H49)*(($I49-$H49)+1)/2)^2-((($I49-$H49-COUNTIFS($A$5:$A$154,$A49,$H$5:$H$154,$H49)+1)-1)*($I49-$H49-COUNTIFS($A$5:$A$154,$A49,$H$5:$H$154,$H49)+1)/2)^2)/(COUNTIFS($A$5:$A$154,$A49,$H$5:$H$154,$H49)*($I49-1)^3)),0))</f>
        <v/>
      </c>
      <c r="K49" s="11">
        <f>IF($A49="","","Final")</f>
        <v/>
      </c>
      <c r="L49" s="11">
        <f>IF($A49="","",IF($D49="","Add the players",IF(COUNTIF(Players!$A$2:$A$500,$D49)=0,"Player 1 is not on the Players tab",IF(NOT(ISNUMBER($H49)),"Enter the final place",IF(N($H49)&gt;N($I49),"Place is bigger than the field: enter every team",IF($B49="","Enter the end date","OK"))))))</f>
        <v/>
      </c>
    </row>
    <row r="50">
      <c r="B50" s="9" t="n"/>
      <c r="I50" s="11">
        <f>IF(OR($A50="",NOT(ISNUMBER($H50))),"",COUNTIFS($A$5:$A$154,$A50,$H$5:$H$154,"&gt;0"))</f>
        <v/>
      </c>
      <c r="J50" s="11">
        <f>IF(OR($A50="",NOT(ISNUMBER($H50))),"",ROUND(Points!$B$5*IF($I50&lt;=1,1,Points!$H$7+(1-Points!$H$7)*((($I50-$H50)*(($I50-$H50)+1)/2)^2-((($I50-$H50-COUNTIFS($A$5:$A$154,$A50,$H$5:$H$154,$H50)+1)-1)*($I50-$H50-COUNTIFS($A$5:$A$154,$A50,$H$5:$H$154,$H50)+1)/2)^2)/(COUNTIFS($A$5:$A$154,$A50,$H$5:$H$154,$H50)*($I50-1)^3)),0))</f>
        <v/>
      </c>
      <c r="K50" s="11">
        <f>IF($A50="","","Final")</f>
        <v/>
      </c>
      <c r="L50" s="11">
        <f>IF($A50="","",IF($D50="","Add the players",IF(COUNTIF(Players!$A$2:$A$500,$D50)=0,"Player 1 is not on the Players tab",IF(NOT(ISNUMBER($H50)),"Enter the final place",IF(N($H50)&gt;N($I50),"Place is bigger than the field: enter every team",IF($B50="","Enter the end date","OK"))))))</f>
        <v/>
      </c>
    </row>
    <row r="51">
      <c r="B51" s="9" t="n"/>
      <c r="I51" s="11">
        <f>IF(OR($A51="",NOT(ISNUMBER($H51))),"",COUNTIFS($A$5:$A$154,$A51,$H$5:$H$154,"&gt;0"))</f>
        <v/>
      </c>
      <c r="J51" s="11">
        <f>IF(OR($A51="",NOT(ISNUMBER($H51))),"",ROUND(Points!$B$5*IF($I51&lt;=1,1,Points!$H$7+(1-Points!$H$7)*((($I51-$H51)*(($I51-$H51)+1)/2)^2-((($I51-$H51-COUNTIFS($A$5:$A$154,$A51,$H$5:$H$154,$H51)+1)-1)*($I51-$H51-COUNTIFS($A$5:$A$154,$A51,$H$5:$H$154,$H51)+1)/2)^2)/(COUNTIFS($A$5:$A$154,$A51,$H$5:$H$154,$H51)*($I51-1)^3)),0))</f>
        <v/>
      </c>
      <c r="K51" s="11">
        <f>IF($A51="","","Final")</f>
        <v/>
      </c>
      <c r="L51" s="11">
        <f>IF($A51="","",IF($D51="","Add the players",IF(COUNTIF(Players!$A$2:$A$500,$D51)=0,"Player 1 is not on the Players tab",IF(NOT(ISNUMBER($H51)),"Enter the final place",IF(N($H51)&gt;N($I51),"Place is bigger than the field: enter every team",IF($B51="","Enter the end date","OK"))))))</f>
        <v/>
      </c>
    </row>
    <row r="52">
      <c r="B52" s="9" t="n"/>
      <c r="I52" s="11">
        <f>IF(OR($A52="",NOT(ISNUMBER($H52))),"",COUNTIFS($A$5:$A$154,$A52,$H$5:$H$154,"&gt;0"))</f>
        <v/>
      </c>
      <c r="J52" s="11">
        <f>IF(OR($A52="",NOT(ISNUMBER($H52))),"",ROUND(Points!$B$5*IF($I52&lt;=1,1,Points!$H$7+(1-Points!$H$7)*((($I52-$H52)*(($I52-$H52)+1)/2)^2-((($I52-$H52-COUNTIFS($A$5:$A$154,$A52,$H$5:$H$154,$H52)+1)-1)*($I52-$H52-COUNTIFS($A$5:$A$154,$A52,$H$5:$H$154,$H52)+1)/2)^2)/(COUNTIFS($A$5:$A$154,$A52,$H$5:$H$154,$H52)*($I52-1)^3)),0))</f>
        <v/>
      </c>
      <c r="K52" s="11">
        <f>IF($A52="","","Final")</f>
        <v/>
      </c>
      <c r="L52" s="11">
        <f>IF($A52="","",IF($D52="","Add the players",IF(COUNTIF(Players!$A$2:$A$500,$D52)=0,"Player 1 is not on the Players tab",IF(NOT(ISNUMBER($H52)),"Enter the final place",IF(N($H52)&gt;N($I52),"Place is bigger than the field: enter every team",IF($B52="","Enter the end date","OK"))))))</f>
        <v/>
      </c>
    </row>
    <row r="53">
      <c r="B53" s="9" t="n"/>
      <c r="I53" s="11">
        <f>IF(OR($A53="",NOT(ISNUMBER($H53))),"",COUNTIFS($A$5:$A$154,$A53,$H$5:$H$154,"&gt;0"))</f>
        <v/>
      </c>
      <c r="J53" s="11">
        <f>IF(OR($A53="",NOT(ISNUMBER($H53))),"",ROUND(Points!$B$5*IF($I53&lt;=1,1,Points!$H$7+(1-Points!$H$7)*((($I53-$H53)*(($I53-$H53)+1)/2)^2-((($I53-$H53-COUNTIFS($A$5:$A$154,$A53,$H$5:$H$154,$H53)+1)-1)*($I53-$H53-COUNTIFS($A$5:$A$154,$A53,$H$5:$H$154,$H53)+1)/2)^2)/(COUNTIFS($A$5:$A$154,$A53,$H$5:$H$154,$H53)*($I53-1)^3)),0))</f>
        <v/>
      </c>
      <c r="K53" s="11">
        <f>IF($A53="","","Final")</f>
        <v/>
      </c>
      <c r="L53" s="11">
        <f>IF($A53="","",IF($D53="","Add the players",IF(COUNTIF(Players!$A$2:$A$500,$D53)=0,"Player 1 is not on the Players tab",IF(NOT(ISNUMBER($H53)),"Enter the final place",IF(N($H53)&gt;N($I53),"Place is bigger than the field: enter every team",IF($B53="","Enter the end date","OK"))))))</f>
        <v/>
      </c>
    </row>
    <row r="54">
      <c r="B54" s="9" t="n"/>
      <c r="I54" s="11">
        <f>IF(OR($A54="",NOT(ISNUMBER($H54))),"",COUNTIFS($A$5:$A$154,$A54,$H$5:$H$154,"&gt;0"))</f>
        <v/>
      </c>
      <c r="J54" s="11">
        <f>IF(OR($A54="",NOT(ISNUMBER($H54))),"",ROUND(Points!$B$5*IF($I54&lt;=1,1,Points!$H$7+(1-Points!$H$7)*((($I54-$H54)*(($I54-$H54)+1)/2)^2-((($I54-$H54-COUNTIFS($A$5:$A$154,$A54,$H$5:$H$154,$H54)+1)-1)*($I54-$H54-COUNTIFS($A$5:$A$154,$A54,$H$5:$H$154,$H54)+1)/2)^2)/(COUNTIFS($A$5:$A$154,$A54,$H$5:$H$154,$H54)*($I54-1)^3)),0))</f>
        <v/>
      </c>
      <c r="K54" s="11">
        <f>IF($A54="","","Final")</f>
        <v/>
      </c>
      <c r="L54" s="11">
        <f>IF($A54="","",IF($D54="","Add the players",IF(COUNTIF(Players!$A$2:$A$500,$D54)=0,"Player 1 is not on the Players tab",IF(NOT(ISNUMBER($H54)),"Enter the final place",IF(N($H54)&gt;N($I54),"Place is bigger than the field: enter every team",IF($B54="","Enter the end date","OK"))))))</f>
        <v/>
      </c>
    </row>
    <row r="55">
      <c r="B55" s="9" t="n"/>
      <c r="I55" s="11">
        <f>IF(OR($A55="",NOT(ISNUMBER($H55))),"",COUNTIFS($A$5:$A$154,$A55,$H$5:$H$154,"&gt;0"))</f>
        <v/>
      </c>
      <c r="J55" s="11">
        <f>IF(OR($A55="",NOT(ISNUMBER($H55))),"",ROUND(Points!$B$5*IF($I55&lt;=1,1,Points!$H$7+(1-Points!$H$7)*((($I55-$H55)*(($I55-$H55)+1)/2)^2-((($I55-$H55-COUNTIFS($A$5:$A$154,$A55,$H$5:$H$154,$H55)+1)-1)*($I55-$H55-COUNTIFS($A$5:$A$154,$A55,$H$5:$H$154,$H55)+1)/2)^2)/(COUNTIFS($A$5:$A$154,$A55,$H$5:$H$154,$H55)*($I55-1)^3)),0))</f>
        <v/>
      </c>
      <c r="K55" s="11">
        <f>IF($A55="","","Final")</f>
        <v/>
      </c>
      <c r="L55" s="11">
        <f>IF($A55="","",IF($D55="","Add the players",IF(COUNTIF(Players!$A$2:$A$500,$D55)=0,"Player 1 is not on the Players tab",IF(NOT(ISNUMBER($H55)),"Enter the final place",IF(N($H55)&gt;N($I55),"Place is bigger than the field: enter every team",IF($B55="","Enter the end date","OK"))))))</f>
        <v/>
      </c>
    </row>
    <row r="56">
      <c r="B56" s="9" t="n"/>
      <c r="I56" s="11">
        <f>IF(OR($A56="",NOT(ISNUMBER($H56))),"",COUNTIFS($A$5:$A$154,$A56,$H$5:$H$154,"&gt;0"))</f>
        <v/>
      </c>
      <c r="J56" s="11">
        <f>IF(OR($A56="",NOT(ISNUMBER($H56))),"",ROUND(Points!$B$5*IF($I56&lt;=1,1,Points!$H$7+(1-Points!$H$7)*((($I56-$H56)*(($I56-$H56)+1)/2)^2-((($I56-$H56-COUNTIFS($A$5:$A$154,$A56,$H$5:$H$154,$H56)+1)-1)*($I56-$H56-COUNTIFS($A$5:$A$154,$A56,$H$5:$H$154,$H56)+1)/2)^2)/(COUNTIFS($A$5:$A$154,$A56,$H$5:$H$154,$H56)*($I56-1)^3)),0))</f>
        <v/>
      </c>
      <c r="K56" s="11">
        <f>IF($A56="","","Final")</f>
        <v/>
      </c>
      <c r="L56" s="11">
        <f>IF($A56="","",IF($D56="","Add the players",IF(COUNTIF(Players!$A$2:$A$500,$D56)=0,"Player 1 is not on the Players tab",IF(NOT(ISNUMBER($H56)),"Enter the final place",IF(N($H56)&gt;N($I56),"Place is bigger than the field: enter every team",IF($B56="","Enter the end date","OK"))))))</f>
        <v/>
      </c>
    </row>
    <row r="57">
      <c r="B57" s="9" t="n"/>
      <c r="I57" s="11">
        <f>IF(OR($A57="",NOT(ISNUMBER($H57))),"",COUNTIFS($A$5:$A$154,$A57,$H$5:$H$154,"&gt;0"))</f>
        <v/>
      </c>
      <c r="J57" s="11">
        <f>IF(OR($A57="",NOT(ISNUMBER($H57))),"",ROUND(Points!$B$5*IF($I57&lt;=1,1,Points!$H$7+(1-Points!$H$7)*((($I57-$H57)*(($I57-$H57)+1)/2)^2-((($I57-$H57-COUNTIFS($A$5:$A$154,$A57,$H$5:$H$154,$H57)+1)-1)*($I57-$H57-COUNTIFS($A$5:$A$154,$A57,$H$5:$H$154,$H57)+1)/2)^2)/(COUNTIFS($A$5:$A$154,$A57,$H$5:$H$154,$H57)*($I57-1)^3)),0))</f>
        <v/>
      </c>
      <c r="K57" s="11">
        <f>IF($A57="","","Final")</f>
        <v/>
      </c>
      <c r="L57" s="11">
        <f>IF($A57="","",IF($D57="","Add the players",IF(COUNTIF(Players!$A$2:$A$500,$D57)=0,"Player 1 is not on the Players tab",IF(NOT(ISNUMBER($H57)),"Enter the final place",IF(N($H57)&gt;N($I57),"Place is bigger than the field: enter every team",IF($B57="","Enter the end date","OK"))))))</f>
        <v/>
      </c>
    </row>
    <row r="58">
      <c r="B58" s="9" t="n"/>
      <c r="I58" s="11">
        <f>IF(OR($A58="",NOT(ISNUMBER($H58))),"",COUNTIFS($A$5:$A$154,$A58,$H$5:$H$154,"&gt;0"))</f>
        <v/>
      </c>
      <c r="J58" s="11">
        <f>IF(OR($A58="",NOT(ISNUMBER($H58))),"",ROUND(Points!$B$5*IF($I58&lt;=1,1,Points!$H$7+(1-Points!$H$7)*((($I58-$H58)*(($I58-$H58)+1)/2)^2-((($I58-$H58-COUNTIFS($A$5:$A$154,$A58,$H$5:$H$154,$H58)+1)-1)*($I58-$H58-COUNTIFS($A$5:$A$154,$A58,$H$5:$H$154,$H58)+1)/2)^2)/(COUNTIFS($A$5:$A$154,$A58,$H$5:$H$154,$H58)*($I58-1)^3)),0))</f>
        <v/>
      </c>
      <c r="K58" s="11">
        <f>IF($A58="","","Final")</f>
        <v/>
      </c>
      <c r="L58" s="11">
        <f>IF($A58="","",IF($D58="","Add the players",IF(COUNTIF(Players!$A$2:$A$500,$D58)=0,"Player 1 is not on the Players tab",IF(NOT(ISNUMBER($H58)),"Enter the final place",IF(N($H58)&gt;N($I58),"Place is bigger than the field: enter every team",IF($B58="","Enter the end date","OK"))))))</f>
        <v/>
      </c>
    </row>
    <row r="59">
      <c r="B59" s="9" t="n"/>
      <c r="I59" s="11">
        <f>IF(OR($A59="",NOT(ISNUMBER($H59))),"",COUNTIFS($A$5:$A$154,$A59,$H$5:$H$154,"&gt;0"))</f>
        <v/>
      </c>
      <c r="J59" s="11">
        <f>IF(OR($A59="",NOT(ISNUMBER($H59))),"",ROUND(Points!$B$5*IF($I59&lt;=1,1,Points!$H$7+(1-Points!$H$7)*((($I59-$H59)*(($I59-$H59)+1)/2)^2-((($I59-$H59-COUNTIFS($A$5:$A$154,$A59,$H$5:$H$154,$H59)+1)-1)*($I59-$H59-COUNTIFS($A$5:$A$154,$A59,$H$5:$H$154,$H59)+1)/2)^2)/(COUNTIFS($A$5:$A$154,$A59,$H$5:$H$154,$H59)*($I59-1)^3)),0))</f>
        <v/>
      </c>
      <c r="K59" s="11">
        <f>IF($A59="","","Final")</f>
        <v/>
      </c>
      <c r="L59" s="11">
        <f>IF($A59="","",IF($D59="","Add the players",IF(COUNTIF(Players!$A$2:$A$500,$D59)=0,"Player 1 is not on the Players tab",IF(NOT(ISNUMBER($H59)),"Enter the final place",IF(N($H59)&gt;N($I59),"Place is bigger than the field: enter every team",IF($B59="","Enter the end date","OK"))))))</f>
        <v/>
      </c>
    </row>
    <row r="60">
      <c r="B60" s="9" t="n"/>
      <c r="I60" s="11">
        <f>IF(OR($A60="",NOT(ISNUMBER($H60))),"",COUNTIFS($A$5:$A$154,$A60,$H$5:$H$154,"&gt;0"))</f>
        <v/>
      </c>
      <c r="J60" s="11">
        <f>IF(OR($A60="",NOT(ISNUMBER($H60))),"",ROUND(Points!$B$5*IF($I60&lt;=1,1,Points!$H$7+(1-Points!$H$7)*((($I60-$H60)*(($I60-$H60)+1)/2)^2-((($I60-$H60-COUNTIFS($A$5:$A$154,$A60,$H$5:$H$154,$H60)+1)-1)*($I60-$H60-COUNTIFS($A$5:$A$154,$A60,$H$5:$H$154,$H60)+1)/2)^2)/(COUNTIFS($A$5:$A$154,$A60,$H$5:$H$154,$H60)*($I60-1)^3)),0))</f>
        <v/>
      </c>
      <c r="K60" s="11">
        <f>IF($A60="","","Final")</f>
        <v/>
      </c>
      <c r="L60" s="11">
        <f>IF($A60="","",IF($D60="","Add the players",IF(COUNTIF(Players!$A$2:$A$500,$D60)=0,"Player 1 is not on the Players tab",IF(NOT(ISNUMBER($H60)),"Enter the final place",IF(N($H60)&gt;N($I60),"Place is bigger than the field: enter every team",IF($B60="","Enter the end date","OK"))))))</f>
        <v/>
      </c>
    </row>
    <row r="61">
      <c r="B61" s="9" t="n"/>
      <c r="I61" s="11">
        <f>IF(OR($A61="",NOT(ISNUMBER($H61))),"",COUNTIFS($A$5:$A$154,$A61,$H$5:$H$154,"&gt;0"))</f>
        <v/>
      </c>
      <c r="J61" s="11">
        <f>IF(OR($A61="",NOT(ISNUMBER($H61))),"",ROUND(Points!$B$5*IF($I61&lt;=1,1,Points!$H$7+(1-Points!$H$7)*((($I61-$H61)*(($I61-$H61)+1)/2)^2-((($I61-$H61-COUNTIFS($A$5:$A$154,$A61,$H$5:$H$154,$H61)+1)-1)*($I61-$H61-COUNTIFS($A$5:$A$154,$A61,$H$5:$H$154,$H61)+1)/2)^2)/(COUNTIFS($A$5:$A$154,$A61,$H$5:$H$154,$H61)*($I61-1)^3)),0))</f>
        <v/>
      </c>
      <c r="K61" s="11">
        <f>IF($A61="","","Final")</f>
        <v/>
      </c>
      <c r="L61" s="11">
        <f>IF($A61="","",IF($D61="","Add the players",IF(COUNTIF(Players!$A$2:$A$500,$D61)=0,"Player 1 is not on the Players tab",IF(NOT(ISNUMBER($H61)),"Enter the final place",IF(N($H61)&gt;N($I61),"Place is bigger than the field: enter every team",IF($B61="","Enter the end date","OK"))))))</f>
        <v/>
      </c>
    </row>
    <row r="62">
      <c r="B62" s="9" t="n"/>
      <c r="I62" s="11">
        <f>IF(OR($A62="",NOT(ISNUMBER($H62))),"",COUNTIFS($A$5:$A$154,$A62,$H$5:$H$154,"&gt;0"))</f>
        <v/>
      </c>
      <c r="J62" s="11">
        <f>IF(OR($A62="",NOT(ISNUMBER($H62))),"",ROUND(Points!$B$5*IF($I62&lt;=1,1,Points!$H$7+(1-Points!$H$7)*((($I62-$H62)*(($I62-$H62)+1)/2)^2-((($I62-$H62-COUNTIFS($A$5:$A$154,$A62,$H$5:$H$154,$H62)+1)-1)*($I62-$H62-COUNTIFS($A$5:$A$154,$A62,$H$5:$H$154,$H62)+1)/2)^2)/(COUNTIFS($A$5:$A$154,$A62,$H$5:$H$154,$H62)*($I62-1)^3)),0))</f>
        <v/>
      </c>
      <c r="K62" s="11">
        <f>IF($A62="","","Final")</f>
        <v/>
      </c>
      <c r="L62" s="11">
        <f>IF($A62="","",IF($D62="","Add the players",IF(COUNTIF(Players!$A$2:$A$500,$D62)=0,"Player 1 is not on the Players tab",IF(NOT(ISNUMBER($H62)),"Enter the final place",IF(N($H62)&gt;N($I62),"Place is bigger than the field: enter every team",IF($B62="","Enter the end date","OK"))))))</f>
        <v/>
      </c>
    </row>
    <row r="63">
      <c r="B63" s="9" t="n"/>
      <c r="I63" s="11">
        <f>IF(OR($A63="",NOT(ISNUMBER($H63))),"",COUNTIFS($A$5:$A$154,$A63,$H$5:$H$154,"&gt;0"))</f>
        <v/>
      </c>
      <c r="J63" s="11">
        <f>IF(OR($A63="",NOT(ISNUMBER($H63))),"",ROUND(Points!$B$5*IF($I63&lt;=1,1,Points!$H$7+(1-Points!$H$7)*((($I63-$H63)*(($I63-$H63)+1)/2)^2-((($I63-$H63-COUNTIFS($A$5:$A$154,$A63,$H$5:$H$154,$H63)+1)-1)*($I63-$H63-COUNTIFS($A$5:$A$154,$A63,$H$5:$H$154,$H63)+1)/2)^2)/(COUNTIFS($A$5:$A$154,$A63,$H$5:$H$154,$H63)*($I63-1)^3)),0))</f>
        <v/>
      </c>
      <c r="K63" s="11">
        <f>IF($A63="","","Final")</f>
        <v/>
      </c>
      <c r="L63" s="11">
        <f>IF($A63="","",IF($D63="","Add the players",IF(COUNTIF(Players!$A$2:$A$500,$D63)=0,"Player 1 is not on the Players tab",IF(NOT(ISNUMBER($H63)),"Enter the final place",IF(N($H63)&gt;N($I63),"Place is bigger than the field: enter every team",IF($B63="","Enter the end date","OK"))))))</f>
        <v/>
      </c>
    </row>
    <row r="64">
      <c r="B64" s="9" t="n"/>
      <c r="I64" s="11">
        <f>IF(OR($A64="",NOT(ISNUMBER($H64))),"",COUNTIFS($A$5:$A$154,$A64,$H$5:$H$154,"&gt;0"))</f>
        <v/>
      </c>
      <c r="J64" s="11">
        <f>IF(OR($A64="",NOT(ISNUMBER($H64))),"",ROUND(Points!$B$5*IF($I64&lt;=1,1,Points!$H$7+(1-Points!$H$7)*((($I64-$H64)*(($I64-$H64)+1)/2)^2-((($I64-$H64-COUNTIFS($A$5:$A$154,$A64,$H$5:$H$154,$H64)+1)-1)*($I64-$H64-COUNTIFS($A$5:$A$154,$A64,$H$5:$H$154,$H64)+1)/2)^2)/(COUNTIFS($A$5:$A$154,$A64,$H$5:$H$154,$H64)*($I64-1)^3)),0))</f>
        <v/>
      </c>
      <c r="K64" s="11">
        <f>IF($A64="","","Final")</f>
        <v/>
      </c>
      <c r="L64" s="11">
        <f>IF($A64="","",IF($D64="","Add the players",IF(COUNTIF(Players!$A$2:$A$500,$D64)=0,"Player 1 is not on the Players tab",IF(NOT(ISNUMBER($H64)),"Enter the final place",IF(N($H64)&gt;N($I64),"Place is bigger than the field: enter every team",IF($B64="","Enter the end date","OK"))))))</f>
        <v/>
      </c>
    </row>
    <row r="65">
      <c r="B65" s="9" t="n"/>
      <c r="I65" s="11">
        <f>IF(OR($A65="",NOT(ISNUMBER($H65))),"",COUNTIFS($A$5:$A$154,$A65,$H$5:$H$154,"&gt;0"))</f>
        <v/>
      </c>
      <c r="J65" s="11">
        <f>IF(OR($A65="",NOT(ISNUMBER($H65))),"",ROUND(Points!$B$5*IF($I65&lt;=1,1,Points!$H$7+(1-Points!$H$7)*((($I65-$H65)*(($I65-$H65)+1)/2)^2-((($I65-$H65-COUNTIFS($A$5:$A$154,$A65,$H$5:$H$154,$H65)+1)-1)*($I65-$H65-COUNTIFS($A$5:$A$154,$A65,$H$5:$H$154,$H65)+1)/2)^2)/(COUNTIFS($A$5:$A$154,$A65,$H$5:$H$154,$H65)*($I65-1)^3)),0))</f>
        <v/>
      </c>
      <c r="K65" s="11">
        <f>IF($A65="","","Final")</f>
        <v/>
      </c>
      <c r="L65" s="11">
        <f>IF($A65="","",IF($D65="","Add the players",IF(COUNTIF(Players!$A$2:$A$500,$D65)=0,"Player 1 is not on the Players tab",IF(NOT(ISNUMBER($H65)),"Enter the final place",IF(N($H65)&gt;N($I65),"Place is bigger than the field: enter every team",IF($B65="","Enter the end date","OK"))))))</f>
        <v/>
      </c>
    </row>
    <row r="66">
      <c r="B66" s="9" t="n"/>
      <c r="I66" s="11">
        <f>IF(OR($A66="",NOT(ISNUMBER($H66))),"",COUNTIFS($A$5:$A$154,$A66,$H$5:$H$154,"&gt;0"))</f>
        <v/>
      </c>
      <c r="J66" s="11">
        <f>IF(OR($A66="",NOT(ISNUMBER($H66))),"",ROUND(Points!$B$5*IF($I66&lt;=1,1,Points!$H$7+(1-Points!$H$7)*((($I66-$H66)*(($I66-$H66)+1)/2)^2-((($I66-$H66-COUNTIFS($A$5:$A$154,$A66,$H$5:$H$154,$H66)+1)-1)*($I66-$H66-COUNTIFS($A$5:$A$154,$A66,$H$5:$H$154,$H66)+1)/2)^2)/(COUNTIFS($A$5:$A$154,$A66,$H$5:$H$154,$H66)*($I66-1)^3)),0))</f>
        <v/>
      </c>
      <c r="K66" s="11">
        <f>IF($A66="","","Final")</f>
        <v/>
      </c>
      <c r="L66" s="11">
        <f>IF($A66="","",IF($D66="","Add the players",IF(COUNTIF(Players!$A$2:$A$500,$D66)=0,"Player 1 is not on the Players tab",IF(NOT(ISNUMBER($H66)),"Enter the final place",IF(N($H66)&gt;N($I66),"Place is bigger than the field: enter every team",IF($B66="","Enter the end date","OK"))))))</f>
        <v/>
      </c>
    </row>
    <row r="67">
      <c r="B67" s="9" t="n"/>
      <c r="I67" s="11">
        <f>IF(OR($A67="",NOT(ISNUMBER($H67))),"",COUNTIFS($A$5:$A$154,$A67,$H$5:$H$154,"&gt;0"))</f>
        <v/>
      </c>
      <c r="J67" s="11">
        <f>IF(OR($A67="",NOT(ISNUMBER($H67))),"",ROUND(Points!$B$5*IF($I67&lt;=1,1,Points!$H$7+(1-Points!$H$7)*((($I67-$H67)*(($I67-$H67)+1)/2)^2-((($I67-$H67-COUNTIFS($A$5:$A$154,$A67,$H$5:$H$154,$H67)+1)-1)*($I67-$H67-COUNTIFS($A$5:$A$154,$A67,$H$5:$H$154,$H67)+1)/2)^2)/(COUNTIFS($A$5:$A$154,$A67,$H$5:$H$154,$H67)*($I67-1)^3)),0))</f>
        <v/>
      </c>
      <c r="K67" s="11">
        <f>IF($A67="","","Final")</f>
        <v/>
      </c>
      <c r="L67" s="11">
        <f>IF($A67="","",IF($D67="","Add the players",IF(COUNTIF(Players!$A$2:$A$500,$D67)=0,"Player 1 is not on the Players tab",IF(NOT(ISNUMBER($H67)),"Enter the final place",IF(N($H67)&gt;N($I67),"Place is bigger than the field: enter every team",IF($B67="","Enter the end date","OK"))))))</f>
        <v/>
      </c>
    </row>
    <row r="68">
      <c r="B68" s="9" t="n"/>
      <c r="I68" s="11">
        <f>IF(OR($A68="",NOT(ISNUMBER($H68))),"",COUNTIFS($A$5:$A$154,$A68,$H$5:$H$154,"&gt;0"))</f>
        <v/>
      </c>
      <c r="J68" s="11">
        <f>IF(OR($A68="",NOT(ISNUMBER($H68))),"",ROUND(Points!$B$5*IF($I68&lt;=1,1,Points!$H$7+(1-Points!$H$7)*((($I68-$H68)*(($I68-$H68)+1)/2)^2-((($I68-$H68-COUNTIFS($A$5:$A$154,$A68,$H$5:$H$154,$H68)+1)-1)*($I68-$H68-COUNTIFS($A$5:$A$154,$A68,$H$5:$H$154,$H68)+1)/2)^2)/(COUNTIFS($A$5:$A$154,$A68,$H$5:$H$154,$H68)*($I68-1)^3)),0))</f>
        <v/>
      </c>
      <c r="K68" s="11">
        <f>IF($A68="","","Final")</f>
        <v/>
      </c>
      <c r="L68" s="11">
        <f>IF($A68="","",IF($D68="","Add the players",IF(COUNTIF(Players!$A$2:$A$500,$D68)=0,"Player 1 is not on the Players tab",IF(NOT(ISNUMBER($H68)),"Enter the final place",IF(N($H68)&gt;N($I68),"Place is bigger than the field: enter every team",IF($B68="","Enter the end date","OK"))))))</f>
        <v/>
      </c>
    </row>
    <row r="69">
      <c r="B69" s="9" t="n"/>
      <c r="I69" s="11">
        <f>IF(OR($A69="",NOT(ISNUMBER($H69))),"",COUNTIFS($A$5:$A$154,$A69,$H$5:$H$154,"&gt;0"))</f>
        <v/>
      </c>
      <c r="J69" s="11">
        <f>IF(OR($A69="",NOT(ISNUMBER($H69))),"",ROUND(Points!$B$5*IF($I69&lt;=1,1,Points!$H$7+(1-Points!$H$7)*((($I69-$H69)*(($I69-$H69)+1)/2)^2-((($I69-$H69-COUNTIFS($A$5:$A$154,$A69,$H$5:$H$154,$H69)+1)-1)*($I69-$H69-COUNTIFS($A$5:$A$154,$A69,$H$5:$H$154,$H69)+1)/2)^2)/(COUNTIFS($A$5:$A$154,$A69,$H$5:$H$154,$H69)*($I69-1)^3)),0))</f>
        <v/>
      </c>
      <c r="K69" s="11">
        <f>IF($A69="","","Final")</f>
        <v/>
      </c>
      <c r="L69" s="11">
        <f>IF($A69="","",IF($D69="","Add the players",IF(COUNTIF(Players!$A$2:$A$500,$D69)=0,"Player 1 is not on the Players tab",IF(NOT(ISNUMBER($H69)),"Enter the final place",IF(N($H69)&gt;N($I69),"Place is bigger than the field: enter every team",IF($B69="","Enter the end date","OK"))))))</f>
        <v/>
      </c>
    </row>
    <row r="70">
      <c r="B70" s="9" t="n"/>
      <c r="I70" s="11">
        <f>IF(OR($A70="",NOT(ISNUMBER($H70))),"",COUNTIFS($A$5:$A$154,$A70,$H$5:$H$154,"&gt;0"))</f>
        <v/>
      </c>
      <c r="J70" s="11">
        <f>IF(OR($A70="",NOT(ISNUMBER($H70))),"",ROUND(Points!$B$5*IF($I70&lt;=1,1,Points!$H$7+(1-Points!$H$7)*((($I70-$H70)*(($I70-$H70)+1)/2)^2-((($I70-$H70-COUNTIFS($A$5:$A$154,$A70,$H$5:$H$154,$H70)+1)-1)*($I70-$H70-COUNTIFS($A$5:$A$154,$A70,$H$5:$H$154,$H70)+1)/2)^2)/(COUNTIFS($A$5:$A$154,$A70,$H$5:$H$154,$H70)*($I70-1)^3)),0))</f>
        <v/>
      </c>
      <c r="K70" s="11">
        <f>IF($A70="","","Final")</f>
        <v/>
      </c>
      <c r="L70" s="11">
        <f>IF($A70="","",IF($D70="","Add the players",IF(COUNTIF(Players!$A$2:$A$500,$D70)=0,"Player 1 is not on the Players tab",IF(NOT(ISNUMBER($H70)),"Enter the final place",IF(N($H70)&gt;N($I70),"Place is bigger than the field: enter every team",IF($B70="","Enter the end date","OK"))))))</f>
        <v/>
      </c>
    </row>
    <row r="71">
      <c r="B71" s="9" t="n"/>
      <c r="I71" s="11">
        <f>IF(OR($A71="",NOT(ISNUMBER($H71))),"",COUNTIFS($A$5:$A$154,$A71,$H$5:$H$154,"&gt;0"))</f>
        <v/>
      </c>
      <c r="J71" s="11">
        <f>IF(OR($A71="",NOT(ISNUMBER($H71))),"",ROUND(Points!$B$5*IF($I71&lt;=1,1,Points!$H$7+(1-Points!$H$7)*((($I71-$H71)*(($I71-$H71)+1)/2)^2-((($I71-$H71-COUNTIFS($A$5:$A$154,$A71,$H$5:$H$154,$H71)+1)-1)*($I71-$H71-COUNTIFS($A$5:$A$154,$A71,$H$5:$H$154,$H71)+1)/2)^2)/(COUNTIFS($A$5:$A$154,$A71,$H$5:$H$154,$H71)*($I71-1)^3)),0))</f>
        <v/>
      </c>
      <c r="K71" s="11">
        <f>IF($A71="","","Final")</f>
        <v/>
      </c>
      <c r="L71" s="11">
        <f>IF($A71="","",IF($D71="","Add the players",IF(COUNTIF(Players!$A$2:$A$500,$D71)=0,"Player 1 is not on the Players tab",IF(NOT(ISNUMBER($H71)),"Enter the final place",IF(N($H71)&gt;N($I71),"Place is bigger than the field: enter every team",IF($B71="","Enter the end date","OK"))))))</f>
        <v/>
      </c>
    </row>
    <row r="72">
      <c r="B72" s="9" t="n"/>
      <c r="I72" s="11">
        <f>IF(OR($A72="",NOT(ISNUMBER($H72))),"",COUNTIFS($A$5:$A$154,$A72,$H$5:$H$154,"&gt;0"))</f>
        <v/>
      </c>
      <c r="J72" s="11">
        <f>IF(OR($A72="",NOT(ISNUMBER($H72))),"",ROUND(Points!$B$5*IF($I72&lt;=1,1,Points!$H$7+(1-Points!$H$7)*((($I72-$H72)*(($I72-$H72)+1)/2)^2-((($I72-$H72-COUNTIFS($A$5:$A$154,$A72,$H$5:$H$154,$H72)+1)-1)*($I72-$H72-COUNTIFS($A$5:$A$154,$A72,$H$5:$H$154,$H72)+1)/2)^2)/(COUNTIFS($A$5:$A$154,$A72,$H$5:$H$154,$H72)*($I72-1)^3)),0))</f>
        <v/>
      </c>
      <c r="K72" s="11">
        <f>IF($A72="","","Final")</f>
        <v/>
      </c>
      <c r="L72" s="11">
        <f>IF($A72="","",IF($D72="","Add the players",IF(COUNTIF(Players!$A$2:$A$500,$D72)=0,"Player 1 is not on the Players tab",IF(NOT(ISNUMBER($H72)),"Enter the final place",IF(N($H72)&gt;N($I72),"Place is bigger than the field: enter every team",IF($B72="","Enter the end date","OK"))))))</f>
        <v/>
      </c>
    </row>
    <row r="73">
      <c r="B73" s="9" t="n"/>
      <c r="I73" s="11">
        <f>IF(OR($A73="",NOT(ISNUMBER($H73))),"",COUNTIFS($A$5:$A$154,$A73,$H$5:$H$154,"&gt;0"))</f>
        <v/>
      </c>
      <c r="J73" s="11">
        <f>IF(OR($A73="",NOT(ISNUMBER($H73))),"",ROUND(Points!$B$5*IF($I73&lt;=1,1,Points!$H$7+(1-Points!$H$7)*((($I73-$H73)*(($I73-$H73)+1)/2)^2-((($I73-$H73-COUNTIFS($A$5:$A$154,$A73,$H$5:$H$154,$H73)+1)-1)*($I73-$H73-COUNTIFS($A$5:$A$154,$A73,$H$5:$H$154,$H73)+1)/2)^2)/(COUNTIFS($A$5:$A$154,$A73,$H$5:$H$154,$H73)*($I73-1)^3)),0))</f>
        <v/>
      </c>
      <c r="K73" s="11">
        <f>IF($A73="","","Final")</f>
        <v/>
      </c>
      <c r="L73" s="11">
        <f>IF($A73="","",IF($D73="","Add the players",IF(COUNTIF(Players!$A$2:$A$500,$D73)=0,"Player 1 is not on the Players tab",IF(NOT(ISNUMBER($H73)),"Enter the final place",IF(N($H73)&gt;N($I73),"Place is bigger than the field: enter every team",IF($B73="","Enter the end date","OK"))))))</f>
        <v/>
      </c>
    </row>
    <row r="74">
      <c r="B74" s="9" t="n"/>
      <c r="I74" s="11">
        <f>IF(OR($A74="",NOT(ISNUMBER($H74))),"",COUNTIFS($A$5:$A$154,$A74,$H$5:$H$154,"&gt;0"))</f>
        <v/>
      </c>
      <c r="J74" s="11">
        <f>IF(OR($A74="",NOT(ISNUMBER($H74))),"",ROUND(Points!$B$5*IF($I74&lt;=1,1,Points!$H$7+(1-Points!$H$7)*((($I74-$H74)*(($I74-$H74)+1)/2)^2-((($I74-$H74-COUNTIFS($A$5:$A$154,$A74,$H$5:$H$154,$H74)+1)-1)*($I74-$H74-COUNTIFS($A$5:$A$154,$A74,$H$5:$H$154,$H74)+1)/2)^2)/(COUNTIFS($A$5:$A$154,$A74,$H$5:$H$154,$H74)*($I74-1)^3)),0))</f>
        <v/>
      </c>
      <c r="K74" s="11">
        <f>IF($A74="","","Final")</f>
        <v/>
      </c>
      <c r="L74" s="11">
        <f>IF($A74="","",IF($D74="","Add the players",IF(COUNTIF(Players!$A$2:$A$500,$D74)=0,"Player 1 is not on the Players tab",IF(NOT(ISNUMBER($H74)),"Enter the final place",IF(N($H74)&gt;N($I74),"Place is bigger than the field: enter every team",IF($B74="","Enter the end date","OK"))))))</f>
        <v/>
      </c>
    </row>
    <row r="75">
      <c r="B75" s="9" t="n"/>
      <c r="I75" s="11">
        <f>IF(OR($A75="",NOT(ISNUMBER($H75))),"",COUNTIFS($A$5:$A$154,$A75,$H$5:$H$154,"&gt;0"))</f>
        <v/>
      </c>
      <c r="J75" s="11">
        <f>IF(OR($A75="",NOT(ISNUMBER($H75))),"",ROUND(Points!$B$5*IF($I75&lt;=1,1,Points!$H$7+(1-Points!$H$7)*((($I75-$H75)*(($I75-$H75)+1)/2)^2-((($I75-$H75-COUNTIFS($A$5:$A$154,$A75,$H$5:$H$154,$H75)+1)-1)*($I75-$H75-COUNTIFS($A$5:$A$154,$A75,$H$5:$H$154,$H75)+1)/2)^2)/(COUNTIFS($A$5:$A$154,$A75,$H$5:$H$154,$H75)*($I75-1)^3)),0))</f>
        <v/>
      </c>
      <c r="K75" s="11">
        <f>IF($A75="","","Final")</f>
        <v/>
      </c>
      <c r="L75" s="11">
        <f>IF($A75="","",IF($D75="","Add the players",IF(COUNTIF(Players!$A$2:$A$500,$D75)=0,"Player 1 is not on the Players tab",IF(NOT(ISNUMBER($H75)),"Enter the final place",IF(N($H75)&gt;N($I75),"Place is bigger than the field: enter every team",IF($B75="","Enter the end date","OK"))))))</f>
        <v/>
      </c>
    </row>
    <row r="76">
      <c r="B76" s="9" t="n"/>
      <c r="I76" s="11">
        <f>IF(OR($A76="",NOT(ISNUMBER($H76))),"",COUNTIFS($A$5:$A$154,$A76,$H$5:$H$154,"&gt;0"))</f>
        <v/>
      </c>
      <c r="J76" s="11">
        <f>IF(OR($A76="",NOT(ISNUMBER($H76))),"",ROUND(Points!$B$5*IF($I76&lt;=1,1,Points!$H$7+(1-Points!$H$7)*((($I76-$H76)*(($I76-$H76)+1)/2)^2-((($I76-$H76-COUNTIFS($A$5:$A$154,$A76,$H$5:$H$154,$H76)+1)-1)*($I76-$H76-COUNTIFS($A$5:$A$154,$A76,$H$5:$H$154,$H76)+1)/2)^2)/(COUNTIFS($A$5:$A$154,$A76,$H$5:$H$154,$H76)*($I76-1)^3)),0))</f>
        <v/>
      </c>
      <c r="K76" s="11">
        <f>IF($A76="","","Final")</f>
        <v/>
      </c>
      <c r="L76" s="11">
        <f>IF($A76="","",IF($D76="","Add the players",IF(COUNTIF(Players!$A$2:$A$500,$D76)=0,"Player 1 is not on the Players tab",IF(NOT(ISNUMBER($H76)),"Enter the final place",IF(N($H76)&gt;N($I76),"Place is bigger than the field: enter every team",IF($B76="","Enter the end date","OK"))))))</f>
        <v/>
      </c>
    </row>
    <row r="77">
      <c r="B77" s="9" t="n"/>
      <c r="I77" s="11">
        <f>IF(OR($A77="",NOT(ISNUMBER($H77))),"",COUNTIFS($A$5:$A$154,$A77,$H$5:$H$154,"&gt;0"))</f>
        <v/>
      </c>
      <c r="J77" s="11">
        <f>IF(OR($A77="",NOT(ISNUMBER($H77))),"",ROUND(Points!$B$5*IF($I77&lt;=1,1,Points!$H$7+(1-Points!$H$7)*((($I77-$H77)*(($I77-$H77)+1)/2)^2-((($I77-$H77-COUNTIFS($A$5:$A$154,$A77,$H$5:$H$154,$H77)+1)-1)*($I77-$H77-COUNTIFS($A$5:$A$154,$A77,$H$5:$H$154,$H77)+1)/2)^2)/(COUNTIFS($A$5:$A$154,$A77,$H$5:$H$154,$H77)*($I77-1)^3)),0))</f>
        <v/>
      </c>
      <c r="K77" s="11">
        <f>IF($A77="","","Final")</f>
        <v/>
      </c>
      <c r="L77" s="11">
        <f>IF($A77="","",IF($D77="","Add the players",IF(COUNTIF(Players!$A$2:$A$500,$D77)=0,"Player 1 is not on the Players tab",IF(NOT(ISNUMBER($H77)),"Enter the final place",IF(N($H77)&gt;N($I77),"Place is bigger than the field: enter every team",IF($B77="","Enter the end date","OK"))))))</f>
        <v/>
      </c>
    </row>
    <row r="78">
      <c r="B78" s="9" t="n"/>
      <c r="I78" s="11">
        <f>IF(OR($A78="",NOT(ISNUMBER($H78))),"",COUNTIFS($A$5:$A$154,$A78,$H$5:$H$154,"&gt;0"))</f>
        <v/>
      </c>
      <c r="J78" s="11">
        <f>IF(OR($A78="",NOT(ISNUMBER($H78))),"",ROUND(Points!$B$5*IF($I78&lt;=1,1,Points!$H$7+(1-Points!$H$7)*((($I78-$H78)*(($I78-$H78)+1)/2)^2-((($I78-$H78-COUNTIFS($A$5:$A$154,$A78,$H$5:$H$154,$H78)+1)-1)*($I78-$H78-COUNTIFS($A$5:$A$154,$A78,$H$5:$H$154,$H78)+1)/2)^2)/(COUNTIFS($A$5:$A$154,$A78,$H$5:$H$154,$H78)*($I78-1)^3)),0))</f>
        <v/>
      </c>
      <c r="K78" s="11">
        <f>IF($A78="","","Final")</f>
        <v/>
      </c>
      <c r="L78" s="11">
        <f>IF($A78="","",IF($D78="","Add the players",IF(COUNTIF(Players!$A$2:$A$500,$D78)=0,"Player 1 is not on the Players tab",IF(NOT(ISNUMBER($H78)),"Enter the final place",IF(N($H78)&gt;N($I78),"Place is bigger than the field: enter every team",IF($B78="","Enter the end date","OK"))))))</f>
        <v/>
      </c>
    </row>
    <row r="79">
      <c r="B79" s="9" t="n"/>
      <c r="I79" s="11">
        <f>IF(OR($A79="",NOT(ISNUMBER($H79))),"",COUNTIFS($A$5:$A$154,$A79,$H$5:$H$154,"&gt;0"))</f>
        <v/>
      </c>
      <c r="J79" s="11">
        <f>IF(OR($A79="",NOT(ISNUMBER($H79))),"",ROUND(Points!$B$5*IF($I79&lt;=1,1,Points!$H$7+(1-Points!$H$7)*((($I79-$H79)*(($I79-$H79)+1)/2)^2-((($I79-$H79-COUNTIFS($A$5:$A$154,$A79,$H$5:$H$154,$H79)+1)-1)*($I79-$H79-COUNTIFS($A$5:$A$154,$A79,$H$5:$H$154,$H79)+1)/2)^2)/(COUNTIFS($A$5:$A$154,$A79,$H$5:$H$154,$H79)*($I79-1)^3)),0))</f>
        <v/>
      </c>
      <c r="K79" s="11">
        <f>IF($A79="","","Final")</f>
        <v/>
      </c>
      <c r="L79" s="11">
        <f>IF($A79="","",IF($D79="","Add the players",IF(COUNTIF(Players!$A$2:$A$500,$D79)=0,"Player 1 is not on the Players tab",IF(NOT(ISNUMBER($H79)),"Enter the final place",IF(N($H79)&gt;N($I79),"Place is bigger than the field: enter every team",IF($B79="","Enter the end date","OK"))))))</f>
        <v/>
      </c>
    </row>
    <row r="80">
      <c r="B80" s="9" t="n"/>
      <c r="I80" s="11">
        <f>IF(OR($A80="",NOT(ISNUMBER($H80))),"",COUNTIFS($A$5:$A$154,$A80,$H$5:$H$154,"&gt;0"))</f>
        <v/>
      </c>
      <c r="J80" s="11">
        <f>IF(OR($A80="",NOT(ISNUMBER($H80))),"",ROUND(Points!$B$5*IF($I80&lt;=1,1,Points!$H$7+(1-Points!$H$7)*((($I80-$H80)*(($I80-$H80)+1)/2)^2-((($I80-$H80-COUNTIFS($A$5:$A$154,$A80,$H$5:$H$154,$H80)+1)-1)*($I80-$H80-COUNTIFS($A$5:$A$154,$A80,$H$5:$H$154,$H80)+1)/2)^2)/(COUNTIFS($A$5:$A$154,$A80,$H$5:$H$154,$H80)*($I80-1)^3)),0))</f>
        <v/>
      </c>
      <c r="K80" s="11">
        <f>IF($A80="","","Final")</f>
        <v/>
      </c>
      <c r="L80" s="11">
        <f>IF($A80="","",IF($D80="","Add the players",IF(COUNTIF(Players!$A$2:$A$500,$D80)=0,"Player 1 is not on the Players tab",IF(NOT(ISNUMBER($H80)),"Enter the final place",IF(N($H80)&gt;N($I80),"Place is bigger than the field: enter every team",IF($B80="","Enter the end date","OK"))))))</f>
        <v/>
      </c>
    </row>
    <row r="81">
      <c r="B81" s="9" t="n"/>
      <c r="I81" s="11">
        <f>IF(OR($A81="",NOT(ISNUMBER($H81))),"",COUNTIFS($A$5:$A$154,$A81,$H$5:$H$154,"&gt;0"))</f>
        <v/>
      </c>
      <c r="J81" s="11">
        <f>IF(OR($A81="",NOT(ISNUMBER($H81))),"",ROUND(Points!$B$5*IF($I81&lt;=1,1,Points!$H$7+(1-Points!$H$7)*((($I81-$H81)*(($I81-$H81)+1)/2)^2-((($I81-$H81-COUNTIFS($A$5:$A$154,$A81,$H$5:$H$154,$H81)+1)-1)*($I81-$H81-COUNTIFS($A$5:$A$154,$A81,$H$5:$H$154,$H81)+1)/2)^2)/(COUNTIFS($A$5:$A$154,$A81,$H$5:$H$154,$H81)*($I81-1)^3)),0))</f>
        <v/>
      </c>
      <c r="K81" s="11">
        <f>IF($A81="","","Final")</f>
        <v/>
      </c>
      <c r="L81" s="11">
        <f>IF($A81="","",IF($D81="","Add the players",IF(COUNTIF(Players!$A$2:$A$500,$D81)=0,"Player 1 is not on the Players tab",IF(NOT(ISNUMBER($H81)),"Enter the final place",IF(N($H81)&gt;N($I81),"Place is bigger than the field: enter every team",IF($B81="","Enter the end date","OK"))))))</f>
        <v/>
      </c>
    </row>
    <row r="82">
      <c r="B82" s="9" t="n"/>
      <c r="I82" s="11">
        <f>IF(OR($A82="",NOT(ISNUMBER($H82))),"",COUNTIFS($A$5:$A$154,$A82,$H$5:$H$154,"&gt;0"))</f>
        <v/>
      </c>
      <c r="J82" s="11">
        <f>IF(OR($A82="",NOT(ISNUMBER($H82))),"",ROUND(Points!$B$5*IF($I82&lt;=1,1,Points!$H$7+(1-Points!$H$7)*((($I82-$H82)*(($I82-$H82)+1)/2)^2-((($I82-$H82-COUNTIFS($A$5:$A$154,$A82,$H$5:$H$154,$H82)+1)-1)*($I82-$H82-COUNTIFS($A$5:$A$154,$A82,$H$5:$H$154,$H82)+1)/2)^2)/(COUNTIFS($A$5:$A$154,$A82,$H$5:$H$154,$H82)*($I82-1)^3)),0))</f>
        <v/>
      </c>
      <c r="K82" s="11">
        <f>IF($A82="","","Final")</f>
        <v/>
      </c>
      <c r="L82" s="11">
        <f>IF($A82="","",IF($D82="","Add the players",IF(COUNTIF(Players!$A$2:$A$500,$D82)=0,"Player 1 is not on the Players tab",IF(NOT(ISNUMBER($H82)),"Enter the final place",IF(N($H82)&gt;N($I82),"Place is bigger than the field: enter every team",IF($B82="","Enter the end date","OK"))))))</f>
        <v/>
      </c>
    </row>
    <row r="83">
      <c r="B83" s="9" t="n"/>
      <c r="I83" s="11">
        <f>IF(OR($A83="",NOT(ISNUMBER($H83))),"",COUNTIFS($A$5:$A$154,$A83,$H$5:$H$154,"&gt;0"))</f>
        <v/>
      </c>
      <c r="J83" s="11">
        <f>IF(OR($A83="",NOT(ISNUMBER($H83))),"",ROUND(Points!$B$5*IF($I83&lt;=1,1,Points!$H$7+(1-Points!$H$7)*((($I83-$H83)*(($I83-$H83)+1)/2)^2-((($I83-$H83-COUNTIFS($A$5:$A$154,$A83,$H$5:$H$154,$H83)+1)-1)*($I83-$H83-COUNTIFS($A$5:$A$154,$A83,$H$5:$H$154,$H83)+1)/2)^2)/(COUNTIFS($A$5:$A$154,$A83,$H$5:$H$154,$H83)*($I83-1)^3)),0))</f>
        <v/>
      </c>
      <c r="K83" s="11">
        <f>IF($A83="","","Final")</f>
        <v/>
      </c>
      <c r="L83" s="11">
        <f>IF($A83="","",IF($D83="","Add the players",IF(COUNTIF(Players!$A$2:$A$500,$D83)=0,"Player 1 is not on the Players tab",IF(NOT(ISNUMBER($H83)),"Enter the final place",IF(N($H83)&gt;N($I83),"Place is bigger than the field: enter every team",IF($B83="","Enter the end date","OK"))))))</f>
        <v/>
      </c>
    </row>
    <row r="84">
      <c r="B84" s="9" t="n"/>
      <c r="I84" s="11">
        <f>IF(OR($A84="",NOT(ISNUMBER($H84))),"",COUNTIFS($A$5:$A$154,$A84,$H$5:$H$154,"&gt;0"))</f>
        <v/>
      </c>
      <c r="J84" s="11">
        <f>IF(OR($A84="",NOT(ISNUMBER($H84))),"",ROUND(Points!$B$5*IF($I84&lt;=1,1,Points!$H$7+(1-Points!$H$7)*((($I84-$H84)*(($I84-$H84)+1)/2)^2-((($I84-$H84-COUNTIFS($A$5:$A$154,$A84,$H$5:$H$154,$H84)+1)-1)*($I84-$H84-COUNTIFS($A$5:$A$154,$A84,$H$5:$H$154,$H84)+1)/2)^2)/(COUNTIFS($A$5:$A$154,$A84,$H$5:$H$154,$H84)*($I84-1)^3)),0))</f>
        <v/>
      </c>
      <c r="K84" s="11">
        <f>IF($A84="","","Final")</f>
        <v/>
      </c>
      <c r="L84" s="11">
        <f>IF($A84="","",IF($D84="","Add the players",IF(COUNTIF(Players!$A$2:$A$500,$D84)=0,"Player 1 is not on the Players tab",IF(NOT(ISNUMBER($H84)),"Enter the final place",IF(N($H84)&gt;N($I84),"Place is bigger than the field: enter every team",IF($B84="","Enter the end date","OK"))))))</f>
        <v/>
      </c>
    </row>
    <row r="85">
      <c r="B85" s="9" t="n"/>
      <c r="I85" s="11">
        <f>IF(OR($A85="",NOT(ISNUMBER($H85))),"",COUNTIFS($A$5:$A$154,$A85,$H$5:$H$154,"&gt;0"))</f>
        <v/>
      </c>
      <c r="J85" s="11">
        <f>IF(OR($A85="",NOT(ISNUMBER($H85))),"",ROUND(Points!$B$5*IF($I85&lt;=1,1,Points!$H$7+(1-Points!$H$7)*((($I85-$H85)*(($I85-$H85)+1)/2)^2-((($I85-$H85-COUNTIFS($A$5:$A$154,$A85,$H$5:$H$154,$H85)+1)-1)*($I85-$H85-COUNTIFS($A$5:$A$154,$A85,$H$5:$H$154,$H85)+1)/2)^2)/(COUNTIFS($A$5:$A$154,$A85,$H$5:$H$154,$H85)*($I85-1)^3)),0))</f>
        <v/>
      </c>
      <c r="K85" s="11">
        <f>IF($A85="","","Final")</f>
        <v/>
      </c>
      <c r="L85" s="11">
        <f>IF($A85="","",IF($D85="","Add the players",IF(COUNTIF(Players!$A$2:$A$500,$D85)=0,"Player 1 is not on the Players tab",IF(NOT(ISNUMBER($H85)),"Enter the final place",IF(N($H85)&gt;N($I85),"Place is bigger than the field: enter every team",IF($B85="","Enter the end date","OK"))))))</f>
        <v/>
      </c>
    </row>
    <row r="86">
      <c r="B86" s="9" t="n"/>
      <c r="I86" s="11">
        <f>IF(OR($A86="",NOT(ISNUMBER($H86))),"",COUNTIFS($A$5:$A$154,$A86,$H$5:$H$154,"&gt;0"))</f>
        <v/>
      </c>
      <c r="J86" s="11">
        <f>IF(OR($A86="",NOT(ISNUMBER($H86))),"",ROUND(Points!$B$5*IF($I86&lt;=1,1,Points!$H$7+(1-Points!$H$7)*((($I86-$H86)*(($I86-$H86)+1)/2)^2-((($I86-$H86-COUNTIFS($A$5:$A$154,$A86,$H$5:$H$154,$H86)+1)-1)*($I86-$H86-COUNTIFS($A$5:$A$154,$A86,$H$5:$H$154,$H86)+1)/2)^2)/(COUNTIFS($A$5:$A$154,$A86,$H$5:$H$154,$H86)*($I86-1)^3)),0))</f>
        <v/>
      </c>
      <c r="K86" s="11">
        <f>IF($A86="","","Final")</f>
        <v/>
      </c>
      <c r="L86" s="11">
        <f>IF($A86="","",IF($D86="","Add the players",IF(COUNTIF(Players!$A$2:$A$500,$D86)=0,"Player 1 is not on the Players tab",IF(NOT(ISNUMBER($H86)),"Enter the final place",IF(N($H86)&gt;N($I86),"Place is bigger than the field: enter every team",IF($B86="","Enter the end date","OK"))))))</f>
        <v/>
      </c>
    </row>
    <row r="87">
      <c r="B87" s="9" t="n"/>
      <c r="I87" s="11">
        <f>IF(OR($A87="",NOT(ISNUMBER($H87))),"",COUNTIFS($A$5:$A$154,$A87,$H$5:$H$154,"&gt;0"))</f>
        <v/>
      </c>
      <c r="J87" s="11">
        <f>IF(OR($A87="",NOT(ISNUMBER($H87))),"",ROUND(Points!$B$5*IF($I87&lt;=1,1,Points!$H$7+(1-Points!$H$7)*((($I87-$H87)*(($I87-$H87)+1)/2)^2-((($I87-$H87-COUNTIFS($A$5:$A$154,$A87,$H$5:$H$154,$H87)+1)-1)*($I87-$H87-COUNTIFS($A$5:$A$154,$A87,$H$5:$H$154,$H87)+1)/2)^2)/(COUNTIFS($A$5:$A$154,$A87,$H$5:$H$154,$H87)*($I87-1)^3)),0))</f>
        <v/>
      </c>
      <c r="K87" s="11">
        <f>IF($A87="","","Final")</f>
        <v/>
      </c>
      <c r="L87" s="11">
        <f>IF($A87="","",IF($D87="","Add the players",IF(COUNTIF(Players!$A$2:$A$500,$D87)=0,"Player 1 is not on the Players tab",IF(NOT(ISNUMBER($H87)),"Enter the final place",IF(N($H87)&gt;N($I87),"Place is bigger than the field: enter every team",IF($B87="","Enter the end date","OK"))))))</f>
        <v/>
      </c>
    </row>
    <row r="88">
      <c r="B88" s="9" t="n"/>
      <c r="I88" s="11">
        <f>IF(OR($A88="",NOT(ISNUMBER($H88))),"",COUNTIFS($A$5:$A$154,$A88,$H$5:$H$154,"&gt;0"))</f>
        <v/>
      </c>
      <c r="J88" s="11">
        <f>IF(OR($A88="",NOT(ISNUMBER($H88))),"",ROUND(Points!$B$5*IF($I88&lt;=1,1,Points!$H$7+(1-Points!$H$7)*((($I88-$H88)*(($I88-$H88)+1)/2)^2-((($I88-$H88-COUNTIFS($A$5:$A$154,$A88,$H$5:$H$154,$H88)+1)-1)*($I88-$H88-COUNTIFS($A$5:$A$154,$A88,$H$5:$H$154,$H88)+1)/2)^2)/(COUNTIFS($A$5:$A$154,$A88,$H$5:$H$154,$H88)*($I88-1)^3)),0))</f>
        <v/>
      </c>
      <c r="K88" s="11">
        <f>IF($A88="","","Final")</f>
        <v/>
      </c>
      <c r="L88" s="11">
        <f>IF($A88="","",IF($D88="","Add the players",IF(COUNTIF(Players!$A$2:$A$500,$D88)=0,"Player 1 is not on the Players tab",IF(NOT(ISNUMBER($H88)),"Enter the final place",IF(N($H88)&gt;N($I88),"Place is bigger than the field: enter every team",IF($B88="","Enter the end date","OK"))))))</f>
        <v/>
      </c>
    </row>
    <row r="89">
      <c r="B89" s="9" t="n"/>
      <c r="I89" s="11">
        <f>IF(OR($A89="",NOT(ISNUMBER($H89))),"",COUNTIFS($A$5:$A$154,$A89,$H$5:$H$154,"&gt;0"))</f>
        <v/>
      </c>
      <c r="J89" s="11">
        <f>IF(OR($A89="",NOT(ISNUMBER($H89))),"",ROUND(Points!$B$5*IF($I89&lt;=1,1,Points!$H$7+(1-Points!$H$7)*((($I89-$H89)*(($I89-$H89)+1)/2)^2-((($I89-$H89-COUNTIFS($A$5:$A$154,$A89,$H$5:$H$154,$H89)+1)-1)*($I89-$H89-COUNTIFS($A$5:$A$154,$A89,$H$5:$H$154,$H89)+1)/2)^2)/(COUNTIFS($A$5:$A$154,$A89,$H$5:$H$154,$H89)*($I89-1)^3)),0))</f>
        <v/>
      </c>
      <c r="K89" s="11">
        <f>IF($A89="","","Final")</f>
        <v/>
      </c>
      <c r="L89" s="11">
        <f>IF($A89="","",IF($D89="","Add the players",IF(COUNTIF(Players!$A$2:$A$500,$D89)=0,"Player 1 is not on the Players tab",IF(NOT(ISNUMBER($H89)),"Enter the final place",IF(N($H89)&gt;N($I89),"Place is bigger than the field: enter every team",IF($B89="","Enter the end date","OK"))))))</f>
        <v/>
      </c>
    </row>
    <row r="90">
      <c r="B90" s="9" t="n"/>
      <c r="I90" s="11">
        <f>IF(OR($A90="",NOT(ISNUMBER($H90))),"",COUNTIFS($A$5:$A$154,$A90,$H$5:$H$154,"&gt;0"))</f>
        <v/>
      </c>
      <c r="J90" s="11">
        <f>IF(OR($A90="",NOT(ISNUMBER($H90))),"",ROUND(Points!$B$5*IF($I90&lt;=1,1,Points!$H$7+(1-Points!$H$7)*((($I90-$H90)*(($I90-$H90)+1)/2)^2-((($I90-$H90-COUNTIFS($A$5:$A$154,$A90,$H$5:$H$154,$H90)+1)-1)*($I90-$H90-COUNTIFS($A$5:$A$154,$A90,$H$5:$H$154,$H90)+1)/2)^2)/(COUNTIFS($A$5:$A$154,$A90,$H$5:$H$154,$H90)*($I90-1)^3)),0))</f>
        <v/>
      </c>
      <c r="K90" s="11">
        <f>IF($A90="","","Final")</f>
        <v/>
      </c>
      <c r="L90" s="11">
        <f>IF($A90="","",IF($D90="","Add the players",IF(COUNTIF(Players!$A$2:$A$500,$D90)=0,"Player 1 is not on the Players tab",IF(NOT(ISNUMBER($H90)),"Enter the final place",IF(N($H90)&gt;N($I90),"Place is bigger than the field: enter every team",IF($B90="","Enter the end date","OK"))))))</f>
        <v/>
      </c>
    </row>
    <row r="91">
      <c r="B91" s="9" t="n"/>
      <c r="I91" s="11">
        <f>IF(OR($A91="",NOT(ISNUMBER($H91))),"",COUNTIFS($A$5:$A$154,$A91,$H$5:$H$154,"&gt;0"))</f>
        <v/>
      </c>
      <c r="J91" s="11">
        <f>IF(OR($A91="",NOT(ISNUMBER($H91))),"",ROUND(Points!$B$5*IF($I91&lt;=1,1,Points!$H$7+(1-Points!$H$7)*((($I91-$H91)*(($I91-$H91)+1)/2)^2-((($I91-$H91-COUNTIFS($A$5:$A$154,$A91,$H$5:$H$154,$H91)+1)-1)*($I91-$H91-COUNTIFS($A$5:$A$154,$A91,$H$5:$H$154,$H91)+1)/2)^2)/(COUNTIFS($A$5:$A$154,$A91,$H$5:$H$154,$H91)*($I91-1)^3)),0))</f>
        <v/>
      </c>
      <c r="K91" s="11">
        <f>IF($A91="","","Final")</f>
        <v/>
      </c>
      <c r="L91" s="11">
        <f>IF($A91="","",IF($D91="","Add the players",IF(COUNTIF(Players!$A$2:$A$500,$D91)=0,"Player 1 is not on the Players tab",IF(NOT(ISNUMBER($H91)),"Enter the final place",IF(N($H91)&gt;N($I91),"Place is bigger than the field: enter every team",IF($B91="","Enter the end date","OK"))))))</f>
        <v/>
      </c>
    </row>
    <row r="92">
      <c r="B92" s="9" t="n"/>
      <c r="I92" s="11">
        <f>IF(OR($A92="",NOT(ISNUMBER($H92))),"",COUNTIFS($A$5:$A$154,$A92,$H$5:$H$154,"&gt;0"))</f>
        <v/>
      </c>
      <c r="J92" s="11">
        <f>IF(OR($A92="",NOT(ISNUMBER($H92))),"",ROUND(Points!$B$5*IF($I92&lt;=1,1,Points!$H$7+(1-Points!$H$7)*((($I92-$H92)*(($I92-$H92)+1)/2)^2-((($I92-$H92-COUNTIFS($A$5:$A$154,$A92,$H$5:$H$154,$H92)+1)-1)*($I92-$H92-COUNTIFS($A$5:$A$154,$A92,$H$5:$H$154,$H92)+1)/2)^2)/(COUNTIFS($A$5:$A$154,$A92,$H$5:$H$154,$H92)*($I92-1)^3)),0))</f>
        <v/>
      </c>
      <c r="K92" s="11">
        <f>IF($A92="","","Final")</f>
        <v/>
      </c>
      <c r="L92" s="11">
        <f>IF($A92="","",IF($D92="","Add the players",IF(COUNTIF(Players!$A$2:$A$500,$D92)=0,"Player 1 is not on the Players tab",IF(NOT(ISNUMBER($H92)),"Enter the final place",IF(N($H92)&gt;N($I92),"Place is bigger than the field: enter every team",IF($B92="","Enter the end date","OK"))))))</f>
        <v/>
      </c>
    </row>
    <row r="93">
      <c r="B93" s="9" t="n"/>
      <c r="I93" s="11">
        <f>IF(OR($A93="",NOT(ISNUMBER($H93))),"",COUNTIFS($A$5:$A$154,$A93,$H$5:$H$154,"&gt;0"))</f>
        <v/>
      </c>
      <c r="J93" s="11">
        <f>IF(OR($A93="",NOT(ISNUMBER($H93))),"",ROUND(Points!$B$5*IF($I93&lt;=1,1,Points!$H$7+(1-Points!$H$7)*((($I93-$H93)*(($I93-$H93)+1)/2)^2-((($I93-$H93-COUNTIFS($A$5:$A$154,$A93,$H$5:$H$154,$H93)+1)-1)*($I93-$H93-COUNTIFS($A$5:$A$154,$A93,$H$5:$H$154,$H93)+1)/2)^2)/(COUNTIFS($A$5:$A$154,$A93,$H$5:$H$154,$H93)*($I93-1)^3)),0))</f>
        <v/>
      </c>
      <c r="K93" s="11">
        <f>IF($A93="","","Final")</f>
        <v/>
      </c>
      <c r="L93" s="11">
        <f>IF($A93="","",IF($D93="","Add the players",IF(COUNTIF(Players!$A$2:$A$500,$D93)=0,"Player 1 is not on the Players tab",IF(NOT(ISNUMBER($H93)),"Enter the final place",IF(N($H93)&gt;N($I93),"Place is bigger than the field: enter every team",IF($B93="","Enter the end date","OK"))))))</f>
        <v/>
      </c>
    </row>
    <row r="94">
      <c r="B94" s="9" t="n"/>
      <c r="I94" s="11">
        <f>IF(OR($A94="",NOT(ISNUMBER($H94))),"",COUNTIFS($A$5:$A$154,$A94,$H$5:$H$154,"&gt;0"))</f>
        <v/>
      </c>
      <c r="J94" s="11">
        <f>IF(OR($A94="",NOT(ISNUMBER($H94))),"",ROUND(Points!$B$5*IF($I94&lt;=1,1,Points!$H$7+(1-Points!$H$7)*((($I94-$H94)*(($I94-$H94)+1)/2)^2-((($I94-$H94-COUNTIFS($A$5:$A$154,$A94,$H$5:$H$154,$H94)+1)-1)*($I94-$H94-COUNTIFS($A$5:$A$154,$A94,$H$5:$H$154,$H94)+1)/2)^2)/(COUNTIFS($A$5:$A$154,$A94,$H$5:$H$154,$H94)*($I94-1)^3)),0))</f>
        <v/>
      </c>
      <c r="K94" s="11">
        <f>IF($A94="","","Final")</f>
        <v/>
      </c>
      <c r="L94" s="11">
        <f>IF($A94="","",IF($D94="","Add the players",IF(COUNTIF(Players!$A$2:$A$500,$D94)=0,"Player 1 is not on the Players tab",IF(NOT(ISNUMBER($H94)),"Enter the final place",IF(N($H94)&gt;N($I94),"Place is bigger than the field: enter every team",IF($B94="","Enter the end date","OK"))))))</f>
        <v/>
      </c>
    </row>
    <row r="95">
      <c r="B95" s="9" t="n"/>
      <c r="I95" s="11">
        <f>IF(OR($A95="",NOT(ISNUMBER($H95))),"",COUNTIFS($A$5:$A$154,$A95,$H$5:$H$154,"&gt;0"))</f>
        <v/>
      </c>
      <c r="J95" s="11">
        <f>IF(OR($A95="",NOT(ISNUMBER($H95))),"",ROUND(Points!$B$5*IF($I95&lt;=1,1,Points!$H$7+(1-Points!$H$7)*((($I95-$H95)*(($I95-$H95)+1)/2)^2-((($I95-$H95-COUNTIFS($A$5:$A$154,$A95,$H$5:$H$154,$H95)+1)-1)*($I95-$H95-COUNTIFS($A$5:$A$154,$A95,$H$5:$H$154,$H95)+1)/2)^2)/(COUNTIFS($A$5:$A$154,$A95,$H$5:$H$154,$H95)*($I95-1)^3)),0))</f>
        <v/>
      </c>
      <c r="K95" s="11">
        <f>IF($A95="","","Final")</f>
        <v/>
      </c>
      <c r="L95" s="11">
        <f>IF($A95="","",IF($D95="","Add the players",IF(COUNTIF(Players!$A$2:$A$500,$D95)=0,"Player 1 is not on the Players tab",IF(NOT(ISNUMBER($H95)),"Enter the final place",IF(N($H95)&gt;N($I95),"Place is bigger than the field: enter every team",IF($B95="","Enter the end date","OK"))))))</f>
        <v/>
      </c>
    </row>
    <row r="96">
      <c r="B96" s="9" t="n"/>
      <c r="I96" s="11">
        <f>IF(OR($A96="",NOT(ISNUMBER($H96))),"",COUNTIFS($A$5:$A$154,$A96,$H$5:$H$154,"&gt;0"))</f>
        <v/>
      </c>
      <c r="J96" s="11">
        <f>IF(OR($A96="",NOT(ISNUMBER($H96))),"",ROUND(Points!$B$5*IF($I96&lt;=1,1,Points!$H$7+(1-Points!$H$7)*((($I96-$H96)*(($I96-$H96)+1)/2)^2-((($I96-$H96-COUNTIFS($A$5:$A$154,$A96,$H$5:$H$154,$H96)+1)-1)*($I96-$H96-COUNTIFS($A$5:$A$154,$A96,$H$5:$H$154,$H96)+1)/2)^2)/(COUNTIFS($A$5:$A$154,$A96,$H$5:$H$154,$H96)*($I96-1)^3)),0))</f>
        <v/>
      </c>
      <c r="K96" s="11">
        <f>IF($A96="","","Final")</f>
        <v/>
      </c>
      <c r="L96" s="11">
        <f>IF($A96="","",IF($D96="","Add the players",IF(COUNTIF(Players!$A$2:$A$500,$D96)=0,"Player 1 is not on the Players tab",IF(NOT(ISNUMBER($H96)),"Enter the final place",IF(N($H96)&gt;N($I96),"Place is bigger than the field: enter every team",IF($B96="","Enter the end date","OK"))))))</f>
        <v/>
      </c>
    </row>
    <row r="97">
      <c r="B97" s="9" t="n"/>
      <c r="I97" s="11">
        <f>IF(OR($A97="",NOT(ISNUMBER($H97))),"",COUNTIFS($A$5:$A$154,$A97,$H$5:$H$154,"&gt;0"))</f>
        <v/>
      </c>
      <c r="J97" s="11">
        <f>IF(OR($A97="",NOT(ISNUMBER($H97))),"",ROUND(Points!$B$5*IF($I97&lt;=1,1,Points!$H$7+(1-Points!$H$7)*((($I97-$H97)*(($I97-$H97)+1)/2)^2-((($I97-$H97-COUNTIFS($A$5:$A$154,$A97,$H$5:$H$154,$H97)+1)-1)*($I97-$H97-COUNTIFS($A$5:$A$154,$A97,$H$5:$H$154,$H97)+1)/2)^2)/(COUNTIFS($A$5:$A$154,$A97,$H$5:$H$154,$H97)*($I97-1)^3)),0))</f>
        <v/>
      </c>
      <c r="K97" s="11">
        <f>IF($A97="","","Final")</f>
        <v/>
      </c>
      <c r="L97" s="11">
        <f>IF($A97="","",IF($D97="","Add the players",IF(COUNTIF(Players!$A$2:$A$500,$D97)=0,"Player 1 is not on the Players tab",IF(NOT(ISNUMBER($H97)),"Enter the final place",IF(N($H97)&gt;N($I97),"Place is bigger than the field: enter every team",IF($B97="","Enter the end date","OK"))))))</f>
        <v/>
      </c>
    </row>
    <row r="98">
      <c r="B98" s="9" t="n"/>
      <c r="I98" s="11">
        <f>IF(OR($A98="",NOT(ISNUMBER($H98))),"",COUNTIFS($A$5:$A$154,$A98,$H$5:$H$154,"&gt;0"))</f>
        <v/>
      </c>
      <c r="J98" s="11">
        <f>IF(OR($A98="",NOT(ISNUMBER($H98))),"",ROUND(Points!$B$5*IF($I98&lt;=1,1,Points!$H$7+(1-Points!$H$7)*((($I98-$H98)*(($I98-$H98)+1)/2)^2-((($I98-$H98-COUNTIFS($A$5:$A$154,$A98,$H$5:$H$154,$H98)+1)-1)*($I98-$H98-COUNTIFS($A$5:$A$154,$A98,$H$5:$H$154,$H98)+1)/2)^2)/(COUNTIFS($A$5:$A$154,$A98,$H$5:$H$154,$H98)*($I98-1)^3)),0))</f>
        <v/>
      </c>
      <c r="K98" s="11">
        <f>IF($A98="","","Final")</f>
        <v/>
      </c>
      <c r="L98" s="11">
        <f>IF($A98="","",IF($D98="","Add the players",IF(COUNTIF(Players!$A$2:$A$500,$D98)=0,"Player 1 is not on the Players tab",IF(NOT(ISNUMBER($H98)),"Enter the final place",IF(N($H98)&gt;N($I98),"Place is bigger than the field: enter every team",IF($B98="","Enter the end date","OK"))))))</f>
        <v/>
      </c>
    </row>
    <row r="99">
      <c r="B99" s="9" t="n"/>
      <c r="I99" s="11">
        <f>IF(OR($A99="",NOT(ISNUMBER($H99))),"",COUNTIFS($A$5:$A$154,$A99,$H$5:$H$154,"&gt;0"))</f>
        <v/>
      </c>
      <c r="J99" s="11">
        <f>IF(OR($A99="",NOT(ISNUMBER($H99))),"",ROUND(Points!$B$5*IF($I99&lt;=1,1,Points!$H$7+(1-Points!$H$7)*((($I99-$H99)*(($I99-$H99)+1)/2)^2-((($I99-$H99-COUNTIFS($A$5:$A$154,$A99,$H$5:$H$154,$H99)+1)-1)*($I99-$H99-COUNTIFS($A$5:$A$154,$A99,$H$5:$H$154,$H99)+1)/2)^2)/(COUNTIFS($A$5:$A$154,$A99,$H$5:$H$154,$H99)*($I99-1)^3)),0))</f>
        <v/>
      </c>
      <c r="K99" s="11">
        <f>IF($A99="","","Final")</f>
        <v/>
      </c>
      <c r="L99" s="11">
        <f>IF($A99="","",IF($D99="","Add the players",IF(COUNTIF(Players!$A$2:$A$500,$D99)=0,"Player 1 is not on the Players tab",IF(NOT(ISNUMBER($H99)),"Enter the final place",IF(N($H99)&gt;N($I99),"Place is bigger than the field: enter every team",IF($B99="","Enter the end date","OK"))))))</f>
        <v/>
      </c>
    </row>
    <row r="100">
      <c r="B100" s="9" t="n"/>
      <c r="I100" s="11">
        <f>IF(OR($A100="",NOT(ISNUMBER($H100))),"",COUNTIFS($A$5:$A$154,$A100,$H$5:$H$154,"&gt;0"))</f>
        <v/>
      </c>
      <c r="J100" s="11">
        <f>IF(OR($A100="",NOT(ISNUMBER($H100))),"",ROUND(Points!$B$5*IF($I100&lt;=1,1,Points!$H$7+(1-Points!$H$7)*((($I100-$H100)*(($I100-$H100)+1)/2)^2-((($I100-$H100-COUNTIFS($A$5:$A$154,$A100,$H$5:$H$154,$H100)+1)-1)*($I100-$H100-COUNTIFS($A$5:$A$154,$A100,$H$5:$H$154,$H100)+1)/2)^2)/(COUNTIFS($A$5:$A$154,$A100,$H$5:$H$154,$H100)*($I100-1)^3)),0))</f>
        <v/>
      </c>
      <c r="K100" s="11">
        <f>IF($A100="","","Final")</f>
        <v/>
      </c>
      <c r="L100" s="11">
        <f>IF($A100="","",IF($D100="","Add the players",IF(COUNTIF(Players!$A$2:$A$500,$D100)=0,"Player 1 is not on the Players tab",IF(NOT(ISNUMBER($H100)),"Enter the final place",IF(N($H100)&gt;N($I100),"Place is bigger than the field: enter every team",IF($B100="","Enter the end date","OK"))))))</f>
        <v/>
      </c>
    </row>
    <row r="101">
      <c r="B101" s="9" t="n"/>
      <c r="I101" s="11">
        <f>IF(OR($A101="",NOT(ISNUMBER($H101))),"",COUNTIFS($A$5:$A$154,$A101,$H$5:$H$154,"&gt;0"))</f>
        <v/>
      </c>
      <c r="J101" s="11">
        <f>IF(OR($A101="",NOT(ISNUMBER($H101))),"",ROUND(Points!$B$5*IF($I101&lt;=1,1,Points!$H$7+(1-Points!$H$7)*((($I101-$H101)*(($I101-$H101)+1)/2)^2-((($I101-$H101-COUNTIFS($A$5:$A$154,$A101,$H$5:$H$154,$H101)+1)-1)*($I101-$H101-COUNTIFS($A$5:$A$154,$A101,$H$5:$H$154,$H101)+1)/2)^2)/(COUNTIFS($A$5:$A$154,$A101,$H$5:$H$154,$H101)*($I101-1)^3)),0))</f>
        <v/>
      </c>
      <c r="K101" s="11">
        <f>IF($A101="","","Final")</f>
        <v/>
      </c>
      <c r="L101" s="11">
        <f>IF($A101="","",IF($D101="","Add the players",IF(COUNTIF(Players!$A$2:$A$500,$D101)=0,"Player 1 is not on the Players tab",IF(NOT(ISNUMBER($H101)),"Enter the final place",IF(N($H101)&gt;N($I101),"Place is bigger than the field: enter every team",IF($B101="","Enter the end date","OK"))))))</f>
        <v/>
      </c>
    </row>
    <row r="102">
      <c r="B102" s="9" t="n"/>
      <c r="I102" s="11">
        <f>IF(OR($A102="",NOT(ISNUMBER($H102))),"",COUNTIFS($A$5:$A$154,$A102,$H$5:$H$154,"&gt;0"))</f>
        <v/>
      </c>
      <c r="J102" s="11">
        <f>IF(OR($A102="",NOT(ISNUMBER($H102))),"",ROUND(Points!$B$5*IF($I102&lt;=1,1,Points!$H$7+(1-Points!$H$7)*((($I102-$H102)*(($I102-$H102)+1)/2)^2-((($I102-$H102-COUNTIFS($A$5:$A$154,$A102,$H$5:$H$154,$H102)+1)-1)*($I102-$H102-COUNTIFS($A$5:$A$154,$A102,$H$5:$H$154,$H102)+1)/2)^2)/(COUNTIFS($A$5:$A$154,$A102,$H$5:$H$154,$H102)*($I102-1)^3)),0))</f>
        <v/>
      </c>
      <c r="K102" s="11">
        <f>IF($A102="","","Final")</f>
        <v/>
      </c>
      <c r="L102" s="11">
        <f>IF($A102="","",IF($D102="","Add the players",IF(COUNTIF(Players!$A$2:$A$500,$D102)=0,"Player 1 is not on the Players tab",IF(NOT(ISNUMBER($H102)),"Enter the final place",IF(N($H102)&gt;N($I102),"Place is bigger than the field: enter every team",IF($B102="","Enter the end date","OK"))))))</f>
        <v/>
      </c>
    </row>
    <row r="103">
      <c r="B103" s="9" t="n"/>
      <c r="I103" s="11">
        <f>IF(OR($A103="",NOT(ISNUMBER($H103))),"",COUNTIFS($A$5:$A$154,$A103,$H$5:$H$154,"&gt;0"))</f>
        <v/>
      </c>
      <c r="J103" s="11">
        <f>IF(OR($A103="",NOT(ISNUMBER($H103))),"",ROUND(Points!$B$5*IF($I103&lt;=1,1,Points!$H$7+(1-Points!$H$7)*((($I103-$H103)*(($I103-$H103)+1)/2)^2-((($I103-$H103-COUNTIFS($A$5:$A$154,$A103,$H$5:$H$154,$H103)+1)-1)*($I103-$H103-COUNTIFS($A$5:$A$154,$A103,$H$5:$H$154,$H103)+1)/2)^2)/(COUNTIFS($A$5:$A$154,$A103,$H$5:$H$154,$H103)*($I103-1)^3)),0))</f>
        <v/>
      </c>
      <c r="K103" s="11">
        <f>IF($A103="","","Final")</f>
        <v/>
      </c>
      <c r="L103" s="11">
        <f>IF($A103="","",IF($D103="","Add the players",IF(COUNTIF(Players!$A$2:$A$500,$D103)=0,"Player 1 is not on the Players tab",IF(NOT(ISNUMBER($H103)),"Enter the final place",IF(N($H103)&gt;N($I103),"Place is bigger than the field: enter every team",IF($B103="","Enter the end date","OK"))))))</f>
        <v/>
      </c>
    </row>
    <row r="104">
      <c r="B104" s="9" t="n"/>
      <c r="I104" s="11">
        <f>IF(OR($A104="",NOT(ISNUMBER($H104))),"",COUNTIFS($A$5:$A$154,$A104,$H$5:$H$154,"&gt;0"))</f>
        <v/>
      </c>
      <c r="J104" s="11">
        <f>IF(OR($A104="",NOT(ISNUMBER($H104))),"",ROUND(Points!$B$5*IF($I104&lt;=1,1,Points!$H$7+(1-Points!$H$7)*((($I104-$H104)*(($I104-$H104)+1)/2)^2-((($I104-$H104-COUNTIFS($A$5:$A$154,$A104,$H$5:$H$154,$H104)+1)-1)*($I104-$H104-COUNTIFS($A$5:$A$154,$A104,$H$5:$H$154,$H104)+1)/2)^2)/(COUNTIFS($A$5:$A$154,$A104,$H$5:$H$154,$H104)*($I104-1)^3)),0))</f>
        <v/>
      </c>
      <c r="K104" s="11">
        <f>IF($A104="","","Final")</f>
        <v/>
      </c>
      <c r="L104" s="11">
        <f>IF($A104="","",IF($D104="","Add the players",IF(COUNTIF(Players!$A$2:$A$500,$D104)=0,"Player 1 is not on the Players tab",IF(NOT(ISNUMBER($H104)),"Enter the final place",IF(N($H104)&gt;N($I104),"Place is bigger than the field: enter every team",IF($B104="","Enter the end date","OK"))))))</f>
        <v/>
      </c>
    </row>
    <row r="105">
      <c r="B105" s="9" t="n"/>
      <c r="I105" s="11">
        <f>IF(OR($A105="",NOT(ISNUMBER($H105))),"",COUNTIFS($A$5:$A$154,$A105,$H$5:$H$154,"&gt;0"))</f>
        <v/>
      </c>
      <c r="J105" s="11">
        <f>IF(OR($A105="",NOT(ISNUMBER($H105))),"",ROUND(Points!$B$5*IF($I105&lt;=1,1,Points!$H$7+(1-Points!$H$7)*((($I105-$H105)*(($I105-$H105)+1)/2)^2-((($I105-$H105-COUNTIFS($A$5:$A$154,$A105,$H$5:$H$154,$H105)+1)-1)*($I105-$H105-COUNTIFS($A$5:$A$154,$A105,$H$5:$H$154,$H105)+1)/2)^2)/(COUNTIFS($A$5:$A$154,$A105,$H$5:$H$154,$H105)*($I105-1)^3)),0))</f>
        <v/>
      </c>
      <c r="K105" s="11">
        <f>IF($A105="","","Final")</f>
        <v/>
      </c>
      <c r="L105" s="11">
        <f>IF($A105="","",IF($D105="","Add the players",IF(COUNTIF(Players!$A$2:$A$500,$D105)=0,"Player 1 is not on the Players tab",IF(NOT(ISNUMBER($H105)),"Enter the final place",IF(N($H105)&gt;N($I105),"Place is bigger than the field: enter every team",IF($B105="","Enter the end date","OK"))))))</f>
        <v/>
      </c>
    </row>
    <row r="106">
      <c r="B106" s="9" t="n"/>
      <c r="I106" s="11">
        <f>IF(OR($A106="",NOT(ISNUMBER($H106))),"",COUNTIFS($A$5:$A$154,$A106,$H$5:$H$154,"&gt;0"))</f>
        <v/>
      </c>
      <c r="J106" s="11">
        <f>IF(OR($A106="",NOT(ISNUMBER($H106))),"",ROUND(Points!$B$5*IF($I106&lt;=1,1,Points!$H$7+(1-Points!$H$7)*((($I106-$H106)*(($I106-$H106)+1)/2)^2-((($I106-$H106-COUNTIFS($A$5:$A$154,$A106,$H$5:$H$154,$H106)+1)-1)*($I106-$H106-COUNTIFS($A$5:$A$154,$A106,$H$5:$H$154,$H106)+1)/2)^2)/(COUNTIFS($A$5:$A$154,$A106,$H$5:$H$154,$H106)*($I106-1)^3)),0))</f>
        <v/>
      </c>
      <c r="K106" s="11">
        <f>IF($A106="","","Final")</f>
        <v/>
      </c>
      <c r="L106" s="11">
        <f>IF($A106="","",IF($D106="","Add the players",IF(COUNTIF(Players!$A$2:$A$500,$D106)=0,"Player 1 is not on the Players tab",IF(NOT(ISNUMBER($H106)),"Enter the final place",IF(N($H106)&gt;N($I106),"Place is bigger than the field: enter every team",IF($B106="","Enter the end date","OK"))))))</f>
        <v/>
      </c>
    </row>
    <row r="107">
      <c r="B107" s="9" t="n"/>
      <c r="I107" s="11">
        <f>IF(OR($A107="",NOT(ISNUMBER($H107))),"",COUNTIFS($A$5:$A$154,$A107,$H$5:$H$154,"&gt;0"))</f>
        <v/>
      </c>
      <c r="J107" s="11">
        <f>IF(OR($A107="",NOT(ISNUMBER($H107))),"",ROUND(Points!$B$5*IF($I107&lt;=1,1,Points!$H$7+(1-Points!$H$7)*((($I107-$H107)*(($I107-$H107)+1)/2)^2-((($I107-$H107-COUNTIFS($A$5:$A$154,$A107,$H$5:$H$154,$H107)+1)-1)*($I107-$H107-COUNTIFS($A$5:$A$154,$A107,$H$5:$H$154,$H107)+1)/2)^2)/(COUNTIFS($A$5:$A$154,$A107,$H$5:$H$154,$H107)*($I107-1)^3)),0))</f>
        <v/>
      </c>
      <c r="K107" s="11">
        <f>IF($A107="","","Final")</f>
        <v/>
      </c>
      <c r="L107" s="11">
        <f>IF($A107="","",IF($D107="","Add the players",IF(COUNTIF(Players!$A$2:$A$500,$D107)=0,"Player 1 is not on the Players tab",IF(NOT(ISNUMBER($H107)),"Enter the final place",IF(N($H107)&gt;N($I107),"Place is bigger than the field: enter every team",IF($B107="","Enter the end date","OK"))))))</f>
        <v/>
      </c>
    </row>
    <row r="108">
      <c r="B108" s="9" t="n"/>
      <c r="I108" s="11">
        <f>IF(OR($A108="",NOT(ISNUMBER($H108))),"",COUNTIFS($A$5:$A$154,$A108,$H$5:$H$154,"&gt;0"))</f>
        <v/>
      </c>
      <c r="J108" s="11">
        <f>IF(OR($A108="",NOT(ISNUMBER($H108))),"",ROUND(Points!$B$5*IF($I108&lt;=1,1,Points!$H$7+(1-Points!$H$7)*((($I108-$H108)*(($I108-$H108)+1)/2)^2-((($I108-$H108-COUNTIFS($A$5:$A$154,$A108,$H$5:$H$154,$H108)+1)-1)*($I108-$H108-COUNTIFS($A$5:$A$154,$A108,$H$5:$H$154,$H108)+1)/2)^2)/(COUNTIFS($A$5:$A$154,$A108,$H$5:$H$154,$H108)*($I108-1)^3)),0))</f>
        <v/>
      </c>
      <c r="K108" s="11">
        <f>IF($A108="","","Final")</f>
        <v/>
      </c>
      <c r="L108" s="11">
        <f>IF($A108="","",IF($D108="","Add the players",IF(COUNTIF(Players!$A$2:$A$500,$D108)=0,"Player 1 is not on the Players tab",IF(NOT(ISNUMBER($H108)),"Enter the final place",IF(N($H108)&gt;N($I108),"Place is bigger than the field: enter every team",IF($B108="","Enter the end date","OK"))))))</f>
        <v/>
      </c>
    </row>
    <row r="109">
      <c r="B109" s="9" t="n"/>
      <c r="I109" s="11">
        <f>IF(OR($A109="",NOT(ISNUMBER($H109))),"",COUNTIFS($A$5:$A$154,$A109,$H$5:$H$154,"&gt;0"))</f>
        <v/>
      </c>
      <c r="J109" s="11">
        <f>IF(OR($A109="",NOT(ISNUMBER($H109))),"",ROUND(Points!$B$5*IF($I109&lt;=1,1,Points!$H$7+(1-Points!$H$7)*((($I109-$H109)*(($I109-$H109)+1)/2)^2-((($I109-$H109-COUNTIFS($A$5:$A$154,$A109,$H$5:$H$154,$H109)+1)-1)*($I109-$H109-COUNTIFS($A$5:$A$154,$A109,$H$5:$H$154,$H109)+1)/2)^2)/(COUNTIFS($A$5:$A$154,$A109,$H$5:$H$154,$H109)*($I109-1)^3)),0))</f>
        <v/>
      </c>
      <c r="K109" s="11">
        <f>IF($A109="","","Final")</f>
        <v/>
      </c>
      <c r="L109" s="11">
        <f>IF($A109="","",IF($D109="","Add the players",IF(COUNTIF(Players!$A$2:$A$500,$D109)=0,"Player 1 is not on the Players tab",IF(NOT(ISNUMBER($H109)),"Enter the final place",IF(N($H109)&gt;N($I109),"Place is bigger than the field: enter every team",IF($B109="","Enter the end date","OK"))))))</f>
        <v/>
      </c>
    </row>
    <row r="110">
      <c r="B110" s="9" t="n"/>
      <c r="I110" s="11">
        <f>IF(OR($A110="",NOT(ISNUMBER($H110))),"",COUNTIFS($A$5:$A$154,$A110,$H$5:$H$154,"&gt;0"))</f>
        <v/>
      </c>
      <c r="J110" s="11">
        <f>IF(OR($A110="",NOT(ISNUMBER($H110))),"",ROUND(Points!$B$5*IF($I110&lt;=1,1,Points!$H$7+(1-Points!$H$7)*((($I110-$H110)*(($I110-$H110)+1)/2)^2-((($I110-$H110-COUNTIFS($A$5:$A$154,$A110,$H$5:$H$154,$H110)+1)-1)*($I110-$H110-COUNTIFS($A$5:$A$154,$A110,$H$5:$H$154,$H110)+1)/2)^2)/(COUNTIFS($A$5:$A$154,$A110,$H$5:$H$154,$H110)*($I110-1)^3)),0))</f>
        <v/>
      </c>
      <c r="K110" s="11">
        <f>IF($A110="","","Final")</f>
        <v/>
      </c>
      <c r="L110" s="11">
        <f>IF($A110="","",IF($D110="","Add the players",IF(COUNTIF(Players!$A$2:$A$500,$D110)=0,"Player 1 is not on the Players tab",IF(NOT(ISNUMBER($H110)),"Enter the final place",IF(N($H110)&gt;N($I110),"Place is bigger than the field: enter every team",IF($B110="","Enter the end date","OK"))))))</f>
        <v/>
      </c>
    </row>
    <row r="111">
      <c r="B111" s="9" t="n"/>
      <c r="I111" s="11">
        <f>IF(OR($A111="",NOT(ISNUMBER($H111))),"",COUNTIFS($A$5:$A$154,$A111,$H$5:$H$154,"&gt;0"))</f>
        <v/>
      </c>
      <c r="J111" s="11">
        <f>IF(OR($A111="",NOT(ISNUMBER($H111))),"",ROUND(Points!$B$5*IF($I111&lt;=1,1,Points!$H$7+(1-Points!$H$7)*((($I111-$H111)*(($I111-$H111)+1)/2)^2-((($I111-$H111-COUNTIFS($A$5:$A$154,$A111,$H$5:$H$154,$H111)+1)-1)*($I111-$H111-COUNTIFS($A$5:$A$154,$A111,$H$5:$H$154,$H111)+1)/2)^2)/(COUNTIFS($A$5:$A$154,$A111,$H$5:$H$154,$H111)*($I111-1)^3)),0))</f>
        <v/>
      </c>
      <c r="K111" s="11">
        <f>IF($A111="","","Final")</f>
        <v/>
      </c>
      <c r="L111" s="11">
        <f>IF($A111="","",IF($D111="","Add the players",IF(COUNTIF(Players!$A$2:$A$500,$D111)=0,"Player 1 is not on the Players tab",IF(NOT(ISNUMBER($H111)),"Enter the final place",IF(N($H111)&gt;N($I111),"Place is bigger than the field: enter every team",IF($B111="","Enter the end date","OK"))))))</f>
        <v/>
      </c>
    </row>
    <row r="112">
      <c r="B112" s="9" t="n"/>
      <c r="I112" s="11">
        <f>IF(OR($A112="",NOT(ISNUMBER($H112))),"",COUNTIFS($A$5:$A$154,$A112,$H$5:$H$154,"&gt;0"))</f>
        <v/>
      </c>
      <c r="J112" s="11">
        <f>IF(OR($A112="",NOT(ISNUMBER($H112))),"",ROUND(Points!$B$5*IF($I112&lt;=1,1,Points!$H$7+(1-Points!$H$7)*((($I112-$H112)*(($I112-$H112)+1)/2)^2-((($I112-$H112-COUNTIFS($A$5:$A$154,$A112,$H$5:$H$154,$H112)+1)-1)*($I112-$H112-COUNTIFS($A$5:$A$154,$A112,$H$5:$H$154,$H112)+1)/2)^2)/(COUNTIFS($A$5:$A$154,$A112,$H$5:$H$154,$H112)*($I112-1)^3)),0))</f>
        <v/>
      </c>
      <c r="K112" s="11">
        <f>IF($A112="","","Final")</f>
        <v/>
      </c>
      <c r="L112" s="11">
        <f>IF($A112="","",IF($D112="","Add the players",IF(COUNTIF(Players!$A$2:$A$500,$D112)=0,"Player 1 is not on the Players tab",IF(NOT(ISNUMBER($H112)),"Enter the final place",IF(N($H112)&gt;N($I112),"Place is bigger than the field: enter every team",IF($B112="","Enter the end date","OK"))))))</f>
        <v/>
      </c>
    </row>
    <row r="113">
      <c r="B113" s="9" t="n"/>
      <c r="I113" s="11">
        <f>IF(OR($A113="",NOT(ISNUMBER($H113))),"",COUNTIFS($A$5:$A$154,$A113,$H$5:$H$154,"&gt;0"))</f>
        <v/>
      </c>
      <c r="J113" s="11">
        <f>IF(OR($A113="",NOT(ISNUMBER($H113))),"",ROUND(Points!$B$5*IF($I113&lt;=1,1,Points!$H$7+(1-Points!$H$7)*((($I113-$H113)*(($I113-$H113)+1)/2)^2-((($I113-$H113-COUNTIFS($A$5:$A$154,$A113,$H$5:$H$154,$H113)+1)-1)*($I113-$H113-COUNTIFS($A$5:$A$154,$A113,$H$5:$H$154,$H113)+1)/2)^2)/(COUNTIFS($A$5:$A$154,$A113,$H$5:$H$154,$H113)*($I113-1)^3)),0))</f>
        <v/>
      </c>
      <c r="K113" s="11">
        <f>IF($A113="","","Final")</f>
        <v/>
      </c>
      <c r="L113" s="11">
        <f>IF($A113="","",IF($D113="","Add the players",IF(COUNTIF(Players!$A$2:$A$500,$D113)=0,"Player 1 is not on the Players tab",IF(NOT(ISNUMBER($H113)),"Enter the final place",IF(N($H113)&gt;N($I113),"Place is bigger than the field: enter every team",IF($B113="","Enter the end date","OK"))))))</f>
        <v/>
      </c>
    </row>
    <row r="114">
      <c r="B114" s="9" t="n"/>
      <c r="I114" s="11">
        <f>IF(OR($A114="",NOT(ISNUMBER($H114))),"",COUNTIFS($A$5:$A$154,$A114,$H$5:$H$154,"&gt;0"))</f>
        <v/>
      </c>
      <c r="J114" s="11">
        <f>IF(OR($A114="",NOT(ISNUMBER($H114))),"",ROUND(Points!$B$5*IF($I114&lt;=1,1,Points!$H$7+(1-Points!$H$7)*((($I114-$H114)*(($I114-$H114)+1)/2)^2-((($I114-$H114-COUNTIFS($A$5:$A$154,$A114,$H$5:$H$154,$H114)+1)-1)*($I114-$H114-COUNTIFS($A$5:$A$154,$A114,$H$5:$H$154,$H114)+1)/2)^2)/(COUNTIFS($A$5:$A$154,$A114,$H$5:$H$154,$H114)*($I114-1)^3)),0))</f>
        <v/>
      </c>
      <c r="K114" s="11">
        <f>IF($A114="","","Final")</f>
        <v/>
      </c>
      <c r="L114" s="11">
        <f>IF($A114="","",IF($D114="","Add the players",IF(COUNTIF(Players!$A$2:$A$500,$D114)=0,"Player 1 is not on the Players tab",IF(NOT(ISNUMBER($H114)),"Enter the final place",IF(N($H114)&gt;N($I114),"Place is bigger than the field: enter every team",IF($B114="","Enter the end date","OK"))))))</f>
        <v/>
      </c>
    </row>
    <row r="115">
      <c r="B115" s="9" t="n"/>
      <c r="I115" s="11">
        <f>IF(OR($A115="",NOT(ISNUMBER($H115))),"",COUNTIFS($A$5:$A$154,$A115,$H$5:$H$154,"&gt;0"))</f>
        <v/>
      </c>
      <c r="J115" s="11">
        <f>IF(OR($A115="",NOT(ISNUMBER($H115))),"",ROUND(Points!$B$5*IF($I115&lt;=1,1,Points!$H$7+(1-Points!$H$7)*((($I115-$H115)*(($I115-$H115)+1)/2)^2-((($I115-$H115-COUNTIFS($A$5:$A$154,$A115,$H$5:$H$154,$H115)+1)-1)*($I115-$H115-COUNTIFS($A$5:$A$154,$A115,$H$5:$H$154,$H115)+1)/2)^2)/(COUNTIFS($A$5:$A$154,$A115,$H$5:$H$154,$H115)*($I115-1)^3)),0))</f>
        <v/>
      </c>
      <c r="K115" s="11">
        <f>IF($A115="","","Final")</f>
        <v/>
      </c>
      <c r="L115" s="11">
        <f>IF($A115="","",IF($D115="","Add the players",IF(COUNTIF(Players!$A$2:$A$500,$D115)=0,"Player 1 is not on the Players tab",IF(NOT(ISNUMBER($H115)),"Enter the final place",IF(N($H115)&gt;N($I115),"Place is bigger than the field: enter every team",IF($B115="","Enter the end date","OK"))))))</f>
        <v/>
      </c>
    </row>
    <row r="116">
      <c r="B116" s="9" t="n"/>
      <c r="I116" s="11">
        <f>IF(OR($A116="",NOT(ISNUMBER($H116))),"",COUNTIFS($A$5:$A$154,$A116,$H$5:$H$154,"&gt;0"))</f>
        <v/>
      </c>
      <c r="J116" s="11">
        <f>IF(OR($A116="",NOT(ISNUMBER($H116))),"",ROUND(Points!$B$5*IF($I116&lt;=1,1,Points!$H$7+(1-Points!$H$7)*((($I116-$H116)*(($I116-$H116)+1)/2)^2-((($I116-$H116-COUNTIFS($A$5:$A$154,$A116,$H$5:$H$154,$H116)+1)-1)*($I116-$H116-COUNTIFS($A$5:$A$154,$A116,$H$5:$H$154,$H116)+1)/2)^2)/(COUNTIFS($A$5:$A$154,$A116,$H$5:$H$154,$H116)*($I116-1)^3)),0))</f>
        <v/>
      </c>
      <c r="K116" s="11">
        <f>IF($A116="","","Final")</f>
        <v/>
      </c>
      <c r="L116" s="11">
        <f>IF($A116="","",IF($D116="","Add the players",IF(COUNTIF(Players!$A$2:$A$500,$D116)=0,"Player 1 is not on the Players tab",IF(NOT(ISNUMBER($H116)),"Enter the final place",IF(N($H116)&gt;N($I116),"Place is bigger than the field: enter every team",IF($B116="","Enter the end date","OK"))))))</f>
        <v/>
      </c>
    </row>
    <row r="117">
      <c r="B117" s="9" t="n"/>
      <c r="I117" s="11">
        <f>IF(OR($A117="",NOT(ISNUMBER($H117))),"",COUNTIFS($A$5:$A$154,$A117,$H$5:$H$154,"&gt;0"))</f>
        <v/>
      </c>
      <c r="J117" s="11">
        <f>IF(OR($A117="",NOT(ISNUMBER($H117))),"",ROUND(Points!$B$5*IF($I117&lt;=1,1,Points!$H$7+(1-Points!$H$7)*((($I117-$H117)*(($I117-$H117)+1)/2)^2-((($I117-$H117-COUNTIFS($A$5:$A$154,$A117,$H$5:$H$154,$H117)+1)-1)*($I117-$H117-COUNTIFS($A$5:$A$154,$A117,$H$5:$H$154,$H117)+1)/2)^2)/(COUNTIFS($A$5:$A$154,$A117,$H$5:$H$154,$H117)*($I117-1)^3)),0))</f>
        <v/>
      </c>
      <c r="K117" s="11">
        <f>IF($A117="","","Final")</f>
        <v/>
      </c>
      <c r="L117" s="11">
        <f>IF($A117="","",IF($D117="","Add the players",IF(COUNTIF(Players!$A$2:$A$500,$D117)=0,"Player 1 is not on the Players tab",IF(NOT(ISNUMBER($H117)),"Enter the final place",IF(N($H117)&gt;N($I117),"Place is bigger than the field: enter every team",IF($B117="","Enter the end date","OK"))))))</f>
        <v/>
      </c>
    </row>
    <row r="118">
      <c r="B118" s="9" t="n"/>
      <c r="I118" s="11">
        <f>IF(OR($A118="",NOT(ISNUMBER($H118))),"",COUNTIFS($A$5:$A$154,$A118,$H$5:$H$154,"&gt;0"))</f>
        <v/>
      </c>
      <c r="J118" s="11">
        <f>IF(OR($A118="",NOT(ISNUMBER($H118))),"",ROUND(Points!$B$5*IF($I118&lt;=1,1,Points!$H$7+(1-Points!$H$7)*((($I118-$H118)*(($I118-$H118)+1)/2)^2-((($I118-$H118-COUNTIFS($A$5:$A$154,$A118,$H$5:$H$154,$H118)+1)-1)*($I118-$H118-COUNTIFS($A$5:$A$154,$A118,$H$5:$H$154,$H118)+1)/2)^2)/(COUNTIFS($A$5:$A$154,$A118,$H$5:$H$154,$H118)*($I118-1)^3)),0))</f>
        <v/>
      </c>
      <c r="K118" s="11">
        <f>IF($A118="","","Final")</f>
        <v/>
      </c>
      <c r="L118" s="11">
        <f>IF($A118="","",IF($D118="","Add the players",IF(COUNTIF(Players!$A$2:$A$500,$D118)=0,"Player 1 is not on the Players tab",IF(NOT(ISNUMBER($H118)),"Enter the final place",IF(N($H118)&gt;N($I118),"Place is bigger than the field: enter every team",IF($B118="","Enter the end date","OK"))))))</f>
        <v/>
      </c>
    </row>
    <row r="119">
      <c r="B119" s="9" t="n"/>
      <c r="I119" s="11">
        <f>IF(OR($A119="",NOT(ISNUMBER($H119))),"",COUNTIFS($A$5:$A$154,$A119,$H$5:$H$154,"&gt;0"))</f>
        <v/>
      </c>
      <c r="J119" s="11">
        <f>IF(OR($A119="",NOT(ISNUMBER($H119))),"",ROUND(Points!$B$5*IF($I119&lt;=1,1,Points!$H$7+(1-Points!$H$7)*((($I119-$H119)*(($I119-$H119)+1)/2)^2-((($I119-$H119-COUNTIFS($A$5:$A$154,$A119,$H$5:$H$154,$H119)+1)-1)*($I119-$H119-COUNTIFS($A$5:$A$154,$A119,$H$5:$H$154,$H119)+1)/2)^2)/(COUNTIFS($A$5:$A$154,$A119,$H$5:$H$154,$H119)*($I119-1)^3)),0))</f>
        <v/>
      </c>
      <c r="K119" s="11">
        <f>IF($A119="","","Final")</f>
        <v/>
      </c>
      <c r="L119" s="11">
        <f>IF($A119="","",IF($D119="","Add the players",IF(COUNTIF(Players!$A$2:$A$500,$D119)=0,"Player 1 is not on the Players tab",IF(NOT(ISNUMBER($H119)),"Enter the final place",IF(N($H119)&gt;N($I119),"Place is bigger than the field: enter every team",IF($B119="","Enter the end date","OK"))))))</f>
        <v/>
      </c>
    </row>
    <row r="120">
      <c r="B120" s="9" t="n"/>
      <c r="I120" s="11">
        <f>IF(OR($A120="",NOT(ISNUMBER($H120))),"",COUNTIFS($A$5:$A$154,$A120,$H$5:$H$154,"&gt;0"))</f>
        <v/>
      </c>
      <c r="J120" s="11">
        <f>IF(OR($A120="",NOT(ISNUMBER($H120))),"",ROUND(Points!$B$5*IF($I120&lt;=1,1,Points!$H$7+(1-Points!$H$7)*((($I120-$H120)*(($I120-$H120)+1)/2)^2-((($I120-$H120-COUNTIFS($A$5:$A$154,$A120,$H$5:$H$154,$H120)+1)-1)*($I120-$H120-COUNTIFS($A$5:$A$154,$A120,$H$5:$H$154,$H120)+1)/2)^2)/(COUNTIFS($A$5:$A$154,$A120,$H$5:$H$154,$H120)*($I120-1)^3)),0))</f>
        <v/>
      </c>
      <c r="K120" s="11">
        <f>IF($A120="","","Final")</f>
        <v/>
      </c>
      <c r="L120" s="11">
        <f>IF($A120="","",IF($D120="","Add the players",IF(COUNTIF(Players!$A$2:$A$500,$D120)=0,"Player 1 is not on the Players tab",IF(NOT(ISNUMBER($H120)),"Enter the final place",IF(N($H120)&gt;N($I120),"Place is bigger than the field: enter every team",IF($B120="","Enter the end date","OK"))))))</f>
        <v/>
      </c>
    </row>
    <row r="121">
      <c r="B121" s="9" t="n"/>
      <c r="I121" s="11">
        <f>IF(OR($A121="",NOT(ISNUMBER($H121))),"",COUNTIFS($A$5:$A$154,$A121,$H$5:$H$154,"&gt;0"))</f>
        <v/>
      </c>
      <c r="J121" s="11">
        <f>IF(OR($A121="",NOT(ISNUMBER($H121))),"",ROUND(Points!$B$5*IF($I121&lt;=1,1,Points!$H$7+(1-Points!$H$7)*((($I121-$H121)*(($I121-$H121)+1)/2)^2-((($I121-$H121-COUNTIFS($A$5:$A$154,$A121,$H$5:$H$154,$H121)+1)-1)*($I121-$H121-COUNTIFS($A$5:$A$154,$A121,$H$5:$H$154,$H121)+1)/2)^2)/(COUNTIFS($A$5:$A$154,$A121,$H$5:$H$154,$H121)*($I121-1)^3)),0))</f>
        <v/>
      </c>
      <c r="K121" s="11">
        <f>IF($A121="","","Final")</f>
        <v/>
      </c>
      <c r="L121" s="11">
        <f>IF($A121="","",IF($D121="","Add the players",IF(COUNTIF(Players!$A$2:$A$500,$D121)=0,"Player 1 is not on the Players tab",IF(NOT(ISNUMBER($H121)),"Enter the final place",IF(N($H121)&gt;N($I121),"Place is bigger than the field: enter every team",IF($B121="","Enter the end date","OK"))))))</f>
        <v/>
      </c>
    </row>
    <row r="122">
      <c r="B122" s="9" t="n"/>
      <c r="I122" s="11">
        <f>IF(OR($A122="",NOT(ISNUMBER($H122))),"",COUNTIFS($A$5:$A$154,$A122,$H$5:$H$154,"&gt;0"))</f>
        <v/>
      </c>
      <c r="J122" s="11">
        <f>IF(OR($A122="",NOT(ISNUMBER($H122))),"",ROUND(Points!$B$5*IF($I122&lt;=1,1,Points!$H$7+(1-Points!$H$7)*((($I122-$H122)*(($I122-$H122)+1)/2)^2-((($I122-$H122-COUNTIFS($A$5:$A$154,$A122,$H$5:$H$154,$H122)+1)-1)*($I122-$H122-COUNTIFS($A$5:$A$154,$A122,$H$5:$H$154,$H122)+1)/2)^2)/(COUNTIFS($A$5:$A$154,$A122,$H$5:$H$154,$H122)*($I122-1)^3)),0))</f>
        <v/>
      </c>
      <c r="K122" s="11">
        <f>IF($A122="","","Final")</f>
        <v/>
      </c>
      <c r="L122" s="11">
        <f>IF($A122="","",IF($D122="","Add the players",IF(COUNTIF(Players!$A$2:$A$500,$D122)=0,"Player 1 is not on the Players tab",IF(NOT(ISNUMBER($H122)),"Enter the final place",IF(N($H122)&gt;N($I122),"Place is bigger than the field: enter every team",IF($B122="","Enter the end date","OK"))))))</f>
        <v/>
      </c>
    </row>
    <row r="123">
      <c r="B123" s="9" t="n"/>
      <c r="I123" s="11">
        <f>IF(OR($A123="",NOT(ISNUMBER($H123))),"",COUNTIFS($A$5:$A$154,$A123,$H$5:$H$154,"&gt;0"))</f>
        <v/>
      </c>
      <c r="J123" s="11">
        <f>IF(OR($A123="",NOT(ISNUMBER($H123))),"",ROUND(Points!$B$5*IF($I123&lt;=1,1,Points!$H$7+(1-Points!$H$7)*((($I123-$H123)*(($I123-$H123)+1)/2)^2-((($I123-$H123-COUNTIFS($A$5:$A$154,$A123,$H$5:$H$154,$H123)+1)-1)*($I123-$H123-COUNTIFS($A$5:$A$154,$A123,$H$5:$H$154,$H123)+1)/2)^2)/(COUNTIFS($A$5:$A$154,$A123,$H$5:$H$154,$H123)*($I123-1)^3)),0))</f>
        <v/>
      </c>
      <c r="K123" s="11">
        <f>IF($A123="","","Final")</f>
        <v/>
      </c>
      <c r="L123" s="11">
        <f>IF($A123="","",IF($D123="","Add the players",IF(COUNTIF(Players!$A$2:$A$500,$D123)=0,"Player 1 is not on the Players tab",IF(NOT(ISNUMBER($H123)),"Enter the final place",IF(N($H123)&gt;N($I123),"Place is bigger than the field: enter every team",IF($B123="","Enter the end date","OK"))))))</f>
        <v/>
      </c>
    </row>
    <row r="124">
      <c r="B124" s="9" t="n"/>
      <c r="I124" s="11">
        <f>IF(OR($A124="",NOT(ISNUMBER($H124))),"",COUNTIFS($A$5:$A$154,$A124,$H$5:$H$154,"&gt;0"))</f>
        <v/>
      </c>
      <c r="J124" s="11">
        <f>IF(OR($A124="",NOT(ISNUMBER($H124))),"",ROUND(Points!$B$5*IF($I124&lt;=1,1,Points!$H$7+(1-Points!$H$7)*((($I124-$H124)*(($I124-$H124)+1)/2)^2-((($I124-$H124-COUNTIFS($A$5:$A$154,$A124,$H$5:$H$154,$H124)+1)-1)*($I124-$H124-COUNTIFS($A$5:$A$154,$A124,$H$5:$H$154,$H124)+1)/2)^2)/(COUNTIFS($A$5:$A$154,$A124,$H$5:$H$154,$H124)*($I124-1)^3)),0))</f>
        <v/>
      </c>
      <c r="K124" s="11">
        <f>IF($A124="","","Final")</f>
        <v/>
      </c>
      <c r="L124" s="11">
        <f>IF($A124="","",IF($D124="","Add the players",IF(COUNTIF(Players!$A$2:$A$500,$D124)=0,"Player 1 is not on the Players tab",IF(NOT(ISNUMBER($H124)),"Enter the final place",IF(N($H124)&gt;N($I124),"Place is bigger than the field: enter every team",IF($B124="","Enter the end date","OK"))))))</f>
        <v/>
      </c>
    </row>
    <row r="125">
      <c r="B125" s="9" t="n"/>
      <c r="I125" s="11">
        <f>IF(OR($A125="",NOT(ISNUMBER($H125))),"",COUNTIFS($A$5:$A$154,$A125,$H$5:$H$154,"&gt;0"))</f>
        <v/>
      </c>
      <c r="J125" s="11">
        <f>IF(OR($A125="",NOT(ISNUMBER($H125))),"",ROUND(Points!$B$5*IF($I125&lt;=1,1,Points!$H$7+(1-Points!$H$7)*((($I125-$H125)*(($I125-$H125)+1)/2)^2-((($I125-$H125-COUNTIFS($A$5:$A$154,$A125,$H$5:$H$154,$H125)+1)-1)*($I125-$H125-COUNTIFS($A$5:$A$154,$A125,$H$5:$H$154,$H125)+1)/2)^2)/(COUNTIFS($A$5:$A$154,$A125,$H$5:$H$154,$H125)*($I125-1)^3)),0))</f>
        <v/>
      </c>
      <c r="K125" s="11">
        <f>IF($A125="","","Final")</f>
        <v/>
      </c>
      <c r="L125" s="11">
        <f>IF($A125="","",IF($D125="","Add the players",IF(COUNTIF(Players!$A$2:$A$500,$D125)=0,"Player 1 is not on the Players tab",IF(NOT(ISNUMBER($H125)),"Enter the final place",IF(N($H125)&gt;N($I125),"Place is bigger than the field: enter every team",IF($B125="","Enter the end date","OK"))))))</f>
        <v/>
      </c>
    </row>
    <row r="126">
      <c r="B126" s="9" t="n"/>
      <c r="I126" s="11">
        <f>IF(OR($A126="",NOT(ISNUMBER($H126))),"",COUNTIFS($A$5:$A$154,$A126,$H$5:$H$154,"&gt;0"))</f>
        <v/>
      </c>
      <c r="J126" s="11">
        <f>IF(OR($A126="",NOT(ISNUMBER($H126))),"",ROUND(Points!$B$5*IF($I126&lt;=1,1,Points!$H$7+(1-Points!$H$7)*((($I126-$H126)*(($I126-$H126)+1)/2)^2-((($I126-$H126-COUNTIFS($A$5:$A$154,$A126,$H$5:$H$154,$H126)+1)-1)*($I126-$H126-COUNTIFS($A$5:$A$154,$A126,$H$5:$H$154,$H126)+1)/2)^2)/(COUNTIFS($A$5:$A$154,$A126,$H$5:$H$154,$H126)*($I126-1)^3)),0))</f>
        <v/>
      </c>
      <c r="K126" s="11">
        <f>IF($A126="","","Final")</f>
        <v/>
      </c>
      <c r="L126" s="11">
        <f>IF($A126="","",IF($D126="","Add the players",IF(COUNTIF(Players!$A$2:$A$500,$D126)=0,"Player 1 is not on the Players tab",IF(NOT(ISNUMBER($H126)),"Enter the final place",IF(N($H126)&gt;N($I126),"Place is bigger than the field: enter every team",IF($B126="","Enter the end date","OK"))))))</f>
        <v/>
      </c>
    </row>
    <row r="127">
      <c r="B127" s="9" t="n"/>
      <c r="I127" s="11">
        <f>IF(OR($A127="",NOT(ISNUMBER($H127))),"",COUNTIFS($A$5:$A$154,$A127,$H$5:$H$154,"&gt;0"))</f>
        <v/>
      </c>
      <c r="J127" s="11">
        <f>IF(OR($A127="",NOT(ISNUMBER($H127))),"",ROUND(Points!$B$5*IF($I127&lt;=1,1,Points!$H$7+(1-Points!$H$7)*((($I127-$H127)*(($I127-$H127)+1)/2)^2-((($I127-$H127-COUNTIFS($A$5:$A$154,$A127,$H$5:$H$154,$H127)+1)-1)*($I127-$H127-COUNTIFS($A$5:$A$154,$A127,$H$5:$H$154,$H127)+1)/2)^2)/(COUNTIFS($A$5:$A$154,$A127,$H$5:$H$154,$H127)*($I127-1)^3)),0))</f>
        <v/>
      </c>
      <c r="K127" s="11">
        <f>IF($A127="","","Final")</f>
        <v/>
      </c>
      <c r="L127" s="11">
        <f>IF($A127="","",IF($D127="","Add the players",IF(COUNTIF(Players!$A$2:$A$500,$D127)=0,"Player 1 is not on the Players tab",IF(NOT(ISNUMBER($H127)),"Enter the final place",IF(N($H127)&gt;N($I127),"Place is bigger than the field: enter every team",IF($B127="","Enter the end date","OK"))))))</f>
        <v/>
      </c>
    </row>
    <row r="128">
      <c r="B128" s="9" t="n"/>
      <c r="I128" s="11">
        <f>IF(OR($A128="",NOT(ISNUMBER($H128))),"",COUNTIFS($A$5:$A$154,$A128,$H$5:$H$154,"&gt;0"))</f>
        <v/>
      </c>
      <c r="J128" s="11">
        <f>IF(OR($A128="",NOT(ISNUMBER($H128))),"",ROUND(Points!$B$5*IF($I128&lt;=1,1,Points!$H$7+(1-Points!$H$7)*((($I128-$H128)*(($I128-$H128)+1)/2)^2-((($I128-$H128-COUNTIFS($A$5:$A$154,$A128,$H$5:$H$154,$H128)+1)-1)*($I128-$H128-COUNTIFS($A$5:$A$154,$A128,$H$5:$H$154,$H128)+1)/2)^2)/(COUNTIFS($A$5:$A$154,$A128,$H$5:$H$154,$H128)*($I128-1)^3)),0))</f>
        <v/>
      </c>
      <c r="K128" s="11">
        <f>IF($A128="","","Final")</f>
        <v/>
      </c>
      <c r="L128" s="11">
        <f>IF($A128="","",IF($D128="","Add the players",IF(COUNTIF(Players!$A$2:$A$500,$D128)=0,"Player 1 is not on the Players tab",IF(NOT(ISNUMBER($H128)),"Enter the final place",IF(N($H128)&gt;N($I128),"Place is bigger than the field: enter every team",IF($B128="","Enter the end date","OK"))))))</f>
        <v/>
      </c>
    </row>
    <row r="129">
      <c r="B129" s="9" t="n"/>
      <c r="I129" s="11">
        <f>IF(OR($A129="",NOT(ISNUMBER($H129))),"",COUNTIFS($A$5:$A$154,$A129,$H$5:$H$154,"&gt;0"))</f>
        <v/>
      </c>
      <c r="J129" s="11">
        <f>IF(OR($A129="",NOT(ISNUMBER($H129))),"",ROUND(Points!$B$5*IF($I129&lt;=1,1,Points!$H$7+(1-Points!$H$7)*((($I129-$H129)*(($I129-$H129)+1)/2)^2-((($I129-$H129-COUNTIFS($A$5:$A$154,$A129,$H$5:$H$154,$H129)+1)-1)*($I129-$H129-COUNTIFS($A$5:$A$154,$A129,$H$5:$H$154,$H129)+1)/2)^2)/(COUNTIFS($A$5:$A$154,$A129,$H$5:$H$154,$H129)*($I129-1)^3)),0))</f>
        <v/>
      </c>
      <c r="K129" s="11">
        <f>IF($A129="","","Final")</f>
        <v/>
      </c>
      <c r="L129" s="11">
        <f>IF($A129="","",IF($D129="","Add the players",IF(COUNTIF(Players!$A$2:$A$500,$D129)=0,"Player 1 is not on the Players tab",IF(NOT(ISNUMBER($H129)),"Enter the final place",IF(N($H129)&gt;N($I129),"Place is bigger than the field: enter every team",IF($B129="","Enter the end date","OK"))))))</f>
        <v/>
      </c>
    </row>
    <row r="130">
      <c r="B130" s="9" t="n"/>
      <c r="I130" s="11">
        <f>IF(OR($A130="",NOT(ISNUMBER($H130))),"",COUNTIFS($A$5:$A$154,$A130,$H$5:$H$154,"&gt;0"))</f>
        <v/>
      </c>
      <c r="J130" s="11">
        <f>IF(OR($A130="",NOT(ISNUMBER($H130))),"",ROUND(Points!$B$5*IF($I130&lt;=1,1,Points!$H$7+(1-Points!$H$7)*((($I130-$H130)*(($I130-$H130)+1)/2)^2-((($I130-$H130-COUNTIFS($A$5:$A$154,$A130,$H$5:$H$154,$H130)+1)-1)*($I130-$H130-COUNTIFS($A$5:$A$154,$A130,$H$5:$H$154,$H130)+1)/2)^2)/(COUNTIFS($A$5:$A$154,$A130,$H$5:$H$154,$H130)*($I130-1)^3)),0))</f>
        <v/>
      </c>
      <c r="K130" s="11">
        <f>IF($A130="","","Final")</f>
        <v/>
      </c>
      <c r="L130" s="11">
        <f>IF($A130="","",IF($D130="","Add the players",IF(COUNTIF(Players!$A$2:$A$500,$D130)=0,"Player 1 is not on the Players tab",IF(NOT(ISNUMBER($H130)),"Enter the final place",IF(N($H130)&gt;N($I130),"Place is bigger than the field: enter every team",IF($B130="","Enter the end date","OK"))))))</f>
        <v/>
      </c>
    </row>
    <row r="131">
      <c r="B131" s="9" t="n"/>
      <c r="I131" s="11">
        <f>IF(OR($A131="",NOT(ISNUMBER($H131))),"",COUNTIFS($A$5:$A$154,$A131,$H$5:$H$154,"&gt;0"))</f>
        <v/>
      </c>
      <c r="J131" s="11">
        <f>IF(OR($A131="",NOT(ISNUMBER($H131))),"",ROUND(Points!$B$5*IF($I131&lt;=1,1,Points!$H$7+(1-Points!$H$7)*((($I131-$H131)*(($I131-$H131)+1)/2)^2-((($I131-$H131-COUNTIFS($A$5:$A$154,$A131,$H$5:$H$154,$H131)+1)-1)*($I131-$H131-COUNTIFS($A$5:$A$154,$A131,$H$5:$H$154,$H131)+1)/2)^2)/(COUNTIFS($A$5:$A$154,$A131,$H$5:$H$154,$H131)*($I131-1)^3)),0))</f>
        <v/>
      </c>
      <c r="K131" s="11">
        <f>IF($A131="","","Final")</f>
        <v/>
      </c>
      <c r="L131" s="11">
        <f>IF($A131="","",IF($D131="","Add the players",IF(COUNTIF(Players!$A$2:$A$500,$D131)=0,"Player 1 is not on the Players tab",IF(NOT(ISNUMBER($H131)),"Enter the final place",IF(N($H131)&gt;N($I131),"Place is bigger than the field: enter every team",IF($B131="","Enter the end date","OK"))))))</f>
        <v/>
      </c>
    </row>
    <row r="132">
      <c r="B132" s="9" t="n"/>
      <c r="I132" s="11">
        <f>IF(OR($A132="",NOT(ISNUMBER($H132))),"",COUNTIFS($A$5:$A$154,$A132,$H$5:$H$154,"&gt;0"))</f>
        <v/>
      </c>
      <c r="J132" s="11">
        <f>IF(OR($A132="",NOT(ISNUMBER($H132))),"",ROUND(Points!$B$5*IF($I132&lt;=1,1,Points!$H$7+(1-Points!$H$7)*((($I132-$H132)*(($I132-$H132)+1)/2)^2-((($I132-$H132-COUNTIFS($A$5:$A$154,$A132,$H$5:$H$154,$H132)+1)-1)*($I132-$H132-COUNTIFS($A$5:$A$154,$A132,$H$5:$H$154,$H132)+1)/2)^2)/(COUNTIFS($A$5:$A$154,$A132,$H$5:$H$154,$H132)*($I132-1)^3)),0))</f>
        <v/>
      </c>
      <c r="K132" s="11">
        <f>IF($A132="","","Final")</f>
        <v/>
      </c>
      <c r="L132" s="11">
        <f>IF($A132="","",IF($D132="","Add the players",IF(COUNTIF(Players!$A$2:$A$500,$D132)=0,"Player 1 is not on the Players tab",IF(NOT(ISNUMBER($H132)),"Enter the final place",IF(N($H132)&gt;N($I132),"Place is bigger than the field: enter every team",IF($B132="","Enter the end date","OK"))))))</f>
        <v/>
      </c>
    </row>
    <row r="133">
      <c r="B133" s="9" t="n"/>
      <c r="I133" s="11">
        <f>IF(OR($A133="",NOT(ISNUMBER($H133))),"",COUNTIFS($A$5:$A$154,$A133,$H$5:$H$154,"&gt;0"))</f>
        <v/>
      </c>
      <c r="J133" s="11">
        <f>IF(OR($A133="",NOT(ISNUMBER($H133))),"",ROUND(Points!$B$5*IF($I133&lt;=1,1,Points!$H$7+(1-Points!$H$7)*((($I133-$H133)*(($I133-$H133)+1)/2)^2-((($I133-$H133-COUNTIFS($A$5:$A$154,$A133,$H$5:$H$154,$H133)+1)-1)*($I133-$H133-COUNTIFS($A$5:$A$154,$A133,$H$5:$H$154,$H133)+1)/2)^2)/(COUNTIFS($A$5:$A$154,$A133,$H$5:$H$154,$H133)*($I133-1)^3)),0))</f>
        <v/>
      </c>
      <c r="K133" s="11">
        <f>IF($A133="","","Final")</f>
        <v/>
      </c>
      <c r="L133" s="11">
        <f>IF($A133="","",IF($D133="","Add the players",IF(COUNTIF(Players!$A$2:$A$500,$D133)=0,"Player 1 is not on the Players tab",IF(NOT(ISNUMBER($H133)),"Enter the final place",IF(N($H133)&gt;N($I133),"Place is bigger than the field: enter every team",IF($B133="","Enter the end date","OK"))))))</f>
        <v/>
      </c>
    </row>
    <row r="134">
      <c r="B134" s="9" t="n"/>
      <c r="I134" s="11">
        <f>IF(OR($A134="",NOT(ISNUMBER($H134))),"",COUNTIFS($A$5:$A$154,$A134,$H$5:$H$154,"&gt;0"))</f>
        <v/>
      </c>
      <c r="J134" s="11">
        <f>IF(OR($A134="",NOT(ISNUMBER($H134))),"",ROUND(Points!$B$5*IF($I134&lt;=1,1,Points!$H$7+(1-Points!$H$7)*((($I134-$H134)*(($I134-$H134)+1)/2)^2-((($I134-$H134-COUNTIFS($A$5:$A$154,$A134,$H$5:$H$154,$H134)+1)-1)*($I134-$H134-COUNTIFS($A$5:$A$154,$A134,$H$5:$H$154,$H134)+1)/2)^2)/(COUNTIFS($A$5:$A$154,$A134,$H$5:$H$154,$H134)*($I134-1)^3)),0))</f>
        <v/>
      </c>
      <c r="K134" s="11">
        <f>IF($A134="","","Final")</f>
        <v/>
      </c>
      <c r="L134" s="11">
        <f>IF($A134="","",IF($D134="","Add the players",IF(COUNTIF(Players!$A$2:$A$500,$D134)=0,"Player 1 is not on the Players tab",IF(NOT(ISNUMBER($H134)),"Enter the final place",IF(N($H134)&gt;N($I134),"Place is bigger than the field: enter every team",IF($B134="","Enter the end date","OK"))))))</f>
        <v/>
      </c>
    </row>
    <row r="135">
      <c r="B135" s="9" t="n"/>
      <c r="I135" s="11">
        <f>IF(OR($A135="",NOT(ISNUMBER($H135))),"",COUNTIFS($A$5:$A$154,$A135,$H$5:$H$154,"&gt;0"))</f>
        <v/>
      </c>
      <c r="J135" s="11">
        <f>IF(OR($A135="",NOT(ISNUMBER($H135))),"",ROUND(Points!$B$5*IF($I135&lt;=1,1,Points!$H$7+(1-Points!$H$7)*((($I135-$H135)*(($I135-$H135)+1)/2)^2-((($I135-$H135-COUNTIFS($A$5:$A$154,$A135,$H$5:$H$154,$H135)+1)-1)*($I135-$H135-COUNTIFS($A$5:$A$154,$A135,$H$5:$H$154,$H135)+1)/2)^2)/(COUNTIFS($A$5:$A$154,$A135,$H$5:$H$154,$H135)*($I135-1)^3)),0))</f>
        <v/>
      </c>
      <c r="K135" s="11">
        <f>IF($A135="","","Final")</f>
        <v/>
      </c>
      <c r="L135" s="11">
        <f>IF($A135="","",IF($D135="","Add the players",IF(COUNTIF(Players!$A$2:$A$500,$D135)=0,"Player 1 is not on the Players tab",IF(NOT(ISNUMBER($H135)),"Enter the final place",IF(N($H135)&gt;N($I135),"Place is bigger than the field: enter every team",IF($B135="","Enter the end date","OK"))))))</f>
        <v/>
      </c>
    </row>
    <row r="136">
      <c r="B136" s="9" t="n"/>
      <c r="I136" s="11">
        <f>IF(OR($A136="",NOT(ISNUMBER($H136))),"",COUNTIFS($A$5:$A$154,$A136,$H$5:$H$154,"&gt;0"))</f>
        <v/>
      </c>
      <c r="J136" s="11">
        <f>IF(OR($A136="",NOT(ISNUMBER($H136))),"",ROUND(Points!$B$5*IF($I136&lt;=1,1,Points!$H$7+(1-Points!$H$7)*((($I136-$H136)*(($I136-$H136)+1)/2)^2-((($I136-$H136-COUNTIFS($A$5:$A$154,$A136,$H$5:$H$154,$H136)+1)-1)*($I136-$H136-COUNTIFS($A$5:$A$154,$A136,$H$5:$H$154,$H136)+1)/2)^2)/(COUNTIFS($A$5:$A$154,$A136,$H$5:$H$154,$H136)*($I136-1)^3)),0))</f>
        <v/>
      </c>
      <c r="K136" s="11">
        <f>IF($A136="","","Final")</f>
        <v/>
      </c>
      <c r="L136" s="11">
        <f>IF($A136="","",IF($D136="","Add the players",IF(COUNTIF(Players!$A$2:$A$500,$D136)=0,"Player 1 is not on the Players tab",IF(NOT(ISNUMBER($H136)),"Enter the final place",IF(N($H136)&gt;N($I136),"Place is bigger than the field: enter every team",IF($B136="","Enter the end date","OK"))))))</f>
        <v/>
      </c>
    </row>
    <row r="137">
      <c r="B137" s="9" t="n"/>
      <c r="I137" s="11">
        <f>IF(OR($A137="",NOT(ISNUMBER($H137))),"",COUNTIFS($A$5:$A$154,$A137,$H$5:$H$154,"&gt;0"))</f>
        <v/>
      </c>
      <c r="J137" s="11">
        <f>IF(OR($A137="",NOT(ISNUMBER($H137))),"",ROUND(Points!$B$5*IF($I137&lt;=1,1,Points!$H$7+(1-Points!$H$7)*((($I137-$H137)*(($I137-$H137)+1)/2)^2-((($I137-$H137-COUNTIFS($A$5:$A$154,$A137,$H$5:$H$154,$H137)+1)-1)*($I137-$H137-COUNTIFS($A$5:$A$154,$A137,$H$5:$H$154,$H137)+1)/2)^2)/(COUNTIFS($A$5:$A$154,$A137,$H$5:$H$154,$H137)*($I137-1)^3)),0))</f>
        <v/>
      </c>
      <c r="K137" s="11">
        <f>IF($A137="","","Final")</f>
        <v/>
      </c>
      <c r="L137" s="11">
        <f>IF($A137="","",IF($D137="","Add the players",IF(COUNTIF(Players!$A$2:$A$500,$D137)=0,"Player 1 is not on the Players tab",IF(NOT(ISNUMBER($H137)),"Enter the final place",IF(N($H137)&gt;N($I137),"Place is bigger than the field: enter every team",IF($B137="","Enter the end date","OK"))))))</f>
        <v/>
      </c>
    </row>
    <row r="138">
      <c r="B138" s="9" t="n"/>
      <c r="I138" s="11">
        <f>IF(OR($A138="",NOT(ISNUMBER($H138))),"",COUNTIFS($A$5:$A$154,$A138,$H$5:$H$154,"&gt;0"))</f>
        <v/>
      </c>
      <c r="J138" s="11">
        <f>IF(OR($A138="",NOT(ISNUMBER($H138))),"",ROUND(Points!$B$5*IF($I138&lt;=1,1,Points!$H$7+(1-Points!$H$7)*((($I138-$H138)*(($I138-$H138)+1)/2)^2-((($I138-$H138-COUNTIFS($A$5:$A$154,$A138,$H$5:$H$154,$H138)+1)-1)*($I138-$H138-COUNTIFS($A$5:$A$154,$A138,$H$5:$H$154,$H138)+1)/2)^2)/(COUNTIFS($A$5:$A$154,$A138,$H$5:$H$154,$H138)*($I138-1)^3)),0))</f>
        <v/>
      </c>
      <c r="K138" s="11">
        <f>IF($A138="","","Final")</f>
        <v/>
      </c>
      <c r="L138" s="11">
        <f>IF($A138="","",IF($D138="","Add the players",IF(COUNTIF(Players!$A$2:$A$500,$D138)=0,"Player 1 is not on the Players tab",IF(NOT(ISNUMBER($H138)),"Enter the final place",IF(N($H138)&gt;N($I138),"Place is bigger than the field: enter every team",IF($B138="","Enter the end date","OK"))))))</f>
        <v/>
      </c>
    </row>
    <row r="139">
      <c r="B139" s="9" t="n"/>
      <c r="I139" s="11">
        <f>IF(OR($A139="",NOT(ISNUMBER($H139))),"",COUNTIFS($A$5:$A$154,$A139,$H$5:$H$154,"&gt;0"))</f>
        <v/>
      </c>
      <c r="J139" s="11">
        <f>IF(OR($A139="",NOT(ISNUMBER($H139))),"",ROUND(Points!$B$5*IF($I139&lt;=1,1,Points!$H$7+(1-Points!$H$7)*((($I139-$H139)*(($I139-$H139)+1)/2)^2-((($I139-$H139-COUNTIFS($A$5:$A$154,$A139,$H$5:$H$154,$H139)+1)-1)*($I139-$H139-COUNTIFS($A$5:$A$154,$A139,$H$5:$H$154,$H139)+1)/2)^2)/(COUNTIFS($A$5:$A$154,$A139,$H$5:$H$154,$H139)*($I139-1)^3)),0))</f>
        <v/>
      </c>
      <c r="K139" s="11">
        <f>IF($A139="","","Final")</f>
        <v/>
      </c>
      <c r="L139" s="11">
        <f>IF($A139="","",IF($D139="","Add the players",IF(COUNTIF(Players!$A$2:$A$500,$D139)=0,"Player 1 is not on the Players tab",IF(NOT(ISNUMBER($H139)),"Enter the final place",IF(N($H139)&gt;N($I139),"Place is bigger than the field: enter every team",IF($B139="","Enter the end date","OK"))))))</f>
        <v/>
      </c>
    </row>
    <row r="140">
      <c r="B140" s="9" t="n"/>
      <c r="I140" s="11">
        <f>IF(OR($A140="",NOT(ISNUMBER($H140))),"",COUNTIFS($A$5:$A$154,$A140,$H$5:$H$154,"&gt;0"))</f>
        <v/>
      </c>
      <c r="J140" s="11">
        <f>IF(OR($A140="",NOT(ISNUMBER($H140))),"",ROUND(Points!$B$5*IF($I140&lt;=1,1,Points!$H$7+(1-Points!$H$7)*((($I140-$H140)*(($I140-$H140)+1)/2)^2-((($I140-$H140-COUNTIFS($A$5:$A$154,$A140,$H$5:$H$154,$H140)+1)-1)*($I140-$H140-COUNTIFS($A$5:$A$154,$A140,$H$5:$H$154,$H140)+1)/2)^2)/(COUNTIFS($A$5:$A$154,$A140,$H$5:$H$154,$H140)*($I140-1)^3)),0))</f>
        <v/>
      </c>
      <c r="K140" s="11">
        <f>IF($A140="","","Final")</f>
        <v/>
      </c>
      <c r="L140" s="11">
        <f>IF($A140="","",IF($D140="","Add the players",IF(COUNTIF(Players!$A$2:$A$500,$D140)=0,"Player 1 is not on the Players tab",IF(NOT(ISNUMBER($H140)),"Enter the final place",IF(N($H140)&gt;N($I140),"Place is bigger than the field: enter every team",IF($B140="","Enter the end date","OK"))))))</f>
        <v/>
      </c>
    </row>
    <row r="141">
      <c r="B141" s="9" t="n"/>
      <c r="I141" s="11">
        <f>IF(OR($A141="",NOT(ISNUMBER($H141))),"",COUNTIFS($A$5:$A$154,$A141,$H$5:$H$154,"&gt;0"))</f>
        <v/>
      </c>
      <c r="J141" s="11">
        <f>IF(OR($A141="",NOT(ISNUMBER($H141))),"",ROUND(Points!$B$5*IF($I141&lt;=1,1,Points!$H$7+(1-Points!$H$7)*((($I141-$H141)*(($I141-$H141)+1)/2)^2-((($I141-$H141-COUNTIFS($A$5:$A$154,$A141,$H$5:$H$154,$H141)+1)-1)*($I141-$H141-COUNTIFS($A$5:$A$154,$A141,$H$5:$H$154,$H141)+1)/2)^2)/(COUNTIFS($A$5:$A$154,$A141,$H$5:$H$154,$H141)*($I141-1)^3)),0))</f>
        <v/>
      </c>
      <c r="K141" s="11">
        <f>IF($A141="","","Final")</f>
        <v/>
      </c>
      <c r="L141" s="11">
        <f>IF($A141="","",IF($D141="","Add the players",IF(COUNTIF(Players!$A$2:$A$500,$D141)=0,"Player 1 is not on the Players tab",IF(NOT(ISNUMBER($H141)),"Enter the final place",IF(N($H141)&gt;N($I141),"Place is bigger than the field: enter every team",IF($B141="","Enter the end date","OK"))))))</f>
        <v/>
      </c>
    </row>
    <row r="142">
      <c r="B142" s="9" t="n"/>
      <c r="I142" s="11">
        <f>IF(OR($A142="",NOT(ISNUMBER($H142))),"",COUNTIFS($A$5:$A$154,$A142,$H$5:$H$154,"&gt;0"))</f>
        <v/>
      </c>
      <c r="J142" s="11">
        <f>IF(OR($A142="",NOT(ISNUMBER($H142))),"",ROUND(Points!$B$5*IF($I142&lt;=1,1,Points!$H$7+(1-Points!$H$7)*((($I142-$H142)*(($I142-$H142)+1)/2)^2-((($I142-$H142-COUNTIFS($A$5:$A$154,$A142,$H$5:$H$154,$H142)+1)-1)*($I142-$H142-COUNTIFS($A$5:$A$154,$A142,$H$5:$H$154,$H142)+1)/2)^2)/(COUNTIFS($A$5:$A$154,$A142,$H$5:$H$154,$H142)*($I142-1)^3)),0))</f>
        <v/>
      </c>
      <c r="K142" s="11">
        <f>IF($A142="","","Final")</f>
        <v/>
      </c>
      <c r="L142" s="11">
        <f>IF($A142="","",IF($D142="","Add the players",IF(COUNTIF(Players!$A$2:$A$500,$D142)=0,"Player 1 is not on the Players tab",IF(NOT(ISNUMBER($H142)),"Enter the final place",IF(N($H142)&gt;N($I142),"Place is bigger than the field: enter every team",IF($B142="","Enter the end date","OK"))))))</f>
        <v/>
      </c>
    </row>
    <row r="143">
      <c r="B143" s="9" t="n"/>
      <c r="I143" s="11">
        <f>IF(OR($A143="",NOT(ISNUMBER($H143))),"",COUNTIFS($A$5:$A$154,$A143,$H$5:$H$154,"&gt;0"))</f>
        <v/>
      </c>
      <c r="J143" s="11">
        <f>IF(OR($A143="",NOT(ISNUMBER($H143))),"",ROUND(Points!$B$5*IF($I143&lt;=1,1,Points!$H$7+(1-Points!$H$7)*((($I143-$H143)*(($I143-$H143)+1)/2)^2-((($I143-$H143-COUNTIFS($A$5:$A$154,$A143,$H$5:$H$154,$H143)+1)-1)*($I143-$H143-COUNTIFS($A$5:$A$154,$A143,$H$5:$H$154,$H143)+1)/2)^2)/(COUNTIFS($A$5:$A$154,$A143,$H$5:$H$154,$H143)*($I143-1)^3)),0))</f>
        <v/>
      </c>
      <c r="K143" s="11">
        <f>IF($A143="","","Final")</f>
        <v/>
      </c>
      <c r="L143" s="11">
        <f>IF($A143="","",IF($D143="","Add the players",IF(COUNTIF(Players!$A$2:$A$500,$D143)=0,"Player 1 is not on the Players tab",IF(NOT(ISNUMBER($H143)),"Enter the final place",IF(N($H143)&gt;N($I143),"Place is bigger than the field: enter every team",IF($B143="","Enter the end date","OK"))))))</f>
        <v/>
      </c>
    </row>
    <row r="144">
      <c r="B144" s="9" t="n"/>
      <c r="I144" s="11">
        <f>IF(OR($A144="",NOT(ISNUMBER($H144))),"",COUNTIFS($A$5:$A$154,$A144,$H$5:$H$154,"&gt;0"))</f>
        <v/>
      </c>
      <c r="J144" s="11">
        <f>IF(OR($A144="",NOT(ISNUMBER($H144))),"",ROUND(Points!$B$5*IF($I144&lt;=1,1,Points!$H$7+(1-Points!$H$7)*((($I144-$H144)*(($I144-$H144)+1)/2)^2-((($I144-$H144-COUNTIFS($A$5:$A$154,$A144,$H$5:$H$154,$H144)+1)-1)*($I144-$H144-COUNTIFS($A$5:$A$154,$A144,$H$5:$H$154,$H144)+1)/2)^2)/(COUNTIFS($A$5:$A$154,$A144,$H$5:$H$154,$H144)*($I144-1)^3)),0))</f>
        <v/>
      </c>
      <c r="K144" s="11">
        <f>IF($A144="","","Final")</f>
        <v/>
      </c>
      <c r="L144" s="11">
        <f>IF($A144="","",IF($D144="","Add the players",IF(COUNTIF(Players!$A$2:$A$500,$D144)=0,"Player 1 is not on the Players tab",IF(NOT(ISNUMBER($H144)),"Enter the final place",IF(N($H144)&gt;N($I144),"Place is bigger than the field: enter every team",IF($B144="","Enter the end date","OK"))))))</f>
        <v/>
      </c>
    </row>
    <row r="145">
      <c r="B145" s="9" t="n"/>
      <c r="I145" s="11">
        <f>IF(OR($A145="",NOT(ISNUMBER($H145))),"",COUNTIFS($A$5:$A$154,$A145,$H$5:$H$154,"&gt;0"))</f>
        <v/>
      </c>
      <c r="J145" s="11">
        <f>IF(OR($A145="",NOT(ISNUMBER($H145))),"",ROUND(Points!$B$5*IF($I145&lt;=1,1,Points!$H$7+(1-Points!$H$7)*((($I145-$H145)*(($I145-$H145)+1)/2)^2-((($I145-$H145-COUNTIFS($A$5:$A$154,$A145,$H$5:$H$154,$H145)+1)-1)*($I145-$H145-COUNTIFS($A$5:$A$154,$A145,$H$5:$H$154,$H145)+1)/2)^2)/(COUNTIFS($A$5:$A$154,$A145,$H$5:$H$154,$H145)*($I145-1)^3)),0))</f>
        <v/>
      </c>
      <c r="K145" s="11">
        <f>IF($A145="","","Final")</f>
        <v/>
      </c>
      <c r="L145" s="11">
        <f>IF($A145="","",IF($D145="","Add the players",IF(COUNTIF(Players!$A$2:$A$500,$D145)=0,"Player 1 is not on the Players tab",IF(NOT(ISNUMBER($H145)),"Enter the final place",IF(N($H145)&gt;N($I145),"Place is bigger than the field: enter every team",IF($B145="","Enter the end date","OK"))))))</f>
        <v/>
      </c>
    </row>
    <row r="146">
      <c r="B146" s="9" t="n"/>
      <c r="I146" s="11">
        <f>IF(OR($A146="",NOT(ISNUMBER($H146))),"",COUNTIFS($A$5:$A$154,$A146,$H$5:$H$154,"&gt;0"))</f>
        <v/>
      </c>
      <c r="J146" s="11">
        <f>IF(OR($A146="",NOT(ISNUMBER($H146))),"",ROUND(Points!$B$5*IF($I146&lt;=1,1,Points!$H$7+(1-Points!$H$7)*((($I146-$H146)*(($I146-$H146)+1)/2)^2-((($I146-$H146-COUNTIFS($A$5:$A$154,$A146,$H$5:$H$154,$H146)+1)-1)*($I146-$H146-COUNTIFS($A$5:$A$154,$A146,$H$5:$H$154,$H146)+1)/2)^2)/(COUNTIFS($A$5:$A$154,$A146,$H$5:$H$154,$H146)*($I146-1)^3)),0))</f>
        <v/>
      </c>
      <c r="K146" s="11">
        <f>IF($A146="","","Final")</f>
        <v/>
      </c>
      <c r="L146" s="11">
        <f>IF($A146="","",IF($D146="","Add the players",IF(COUNTIF(Players!$A$2:$A$500,$D146)=0,"Player 1 is not on the Players tab",IF(NOT(ISNUMBER($H146)),"Enter the final place",IF(N($H146)&gt;N($I146),"Place is bigger than the field: enter every team",IF($B146="","Enter the end date","OK"))))))</f>
        <v/>
      </c>
    </row>
    <row r="147">
      <c r="B147" s="9" t="n"/>
      <c r="I147" s="11">
        <f>IF(OR($A147="",NOT(ISNUMBER($H147))),"",COUNTIFS($A$5:$A$154,$A147,$H$5:$H$154,"&gt;0"))</f>
        <v/>
      </c>
      <c r="J147" s="11">
        <f>IF(OR($A147="",NOT(ISNUMBER($H147))),"",ROUND(Points!$B$5*IF($I147&lt;=1,1,Points!$H$7+(1-Points!$H$7)*((($I147-$H147)*(($I147-$H147)+1)/2)^2-((($I147-$H147-COUNTIFS($A$5:$A$154,$A147,$H$5:$H$154,$H147)+1)-1)*($I147-$H147-COUNTIFS($A$5:$A$154,$A147,$H$5:$H$154,$H147)+1)/2)^2)/(COUNTIFS($A$5:$A$154,$A147,$H$5:$H$154,$H147)*($I147-1)^3)),0))</f>
        <v/>
      </c>
      <c r="K147" s="11">
        <f>IF($A147="","","Final")</f>
        <v/>
      </c>
      <c r="L147" s="11">
        <f>IF($A147="","",IF($D147="","Add the players",IF(COUNTIF(Players!$A$2:$A$500,$D147)=0,"Player 1 is not on the Players tab",IF(NOT(ISNUMBER($H147)),"Enter the final place",IF(N($H147)&gt;N($I147),"Place is bigger than the field: enter every team",IF($B147="","Enter the end date","OK"))))))</f>
        <v/>
      </c>
    </row>
    <row r="148">
      <c r="B148" s="9" t="n"/>
      <c r="I148" s="11">
        <f>IF(OR($A148="",NOT(ISNUMBER($H148))),"",COUNTIFS($A$5:$A$154,$A148,$H$5:$H$154,"&gt;0"))</f>
        <v/>
      </c>
      <c r="J148" s="11">
        <f>IF(OR($A148="",NOT(ISNUMBER($H148))),"",ROUND(Points!$B$5*IF($I148&lt;=1,1,Points!$H$7+(1-Points!$H$7)*((($I148-$H148)*(($I148-$H148)+1)/2)^2-((($I148-$H148-COUNTIFS($A$5:$A$154,$A148,$H$5:$H$154,$H148)+1)-1)*($I148-$H148-COUNTIFS($A$5:$A$154,$A148,$H$5:$H$154,$H148)+1)/2)^2)/(COUNTIFS($A$5:$A$154,$A148,$H$5:$H$154,$H148)*($I148-1)^3)),0))</f>
        <v/>
      </c>
      <c r="K148" s="11">
        <f>IF($A148="","","Final")</f>
        <v/>
      </c>
      <c r="L148" s="11">
        <f>IF($A148="","",IF($D148="","Add the players",IF(COUNTIF(Players!$A$2:$A$500,$D148)=0,"Player 1 is not on the Players tab",IF(NOT(ISNUMBER($H148)),"Enter the final place",IF(N($H148)&gt;N($I148),"Place is bigger than the field: enter every team",IF($B148="","Enter the end date","OK"))))))</f>
        <v/>
      </c>
    </row>
    <row r="149">
      <c r="B149" s="9" t="n"/>
      <c r="I149" s="11">
        <f>IF(OR($A149="",NOT(ISNUMBER($H149))),"",COUNTIFS($A$5:$A$154,$A149,$H$5:$H$154,"&gt;0"))</f>
        <v/>
      </c>
      <c r="J149" s="11">
        <f>IF(OR($A149="",NOT(ISNUMBER($H149))),"",ROUND(Points!$B$5*IF($I149&lt;=1,1,Points!$H$7+(1-Points!$H$7)*((($I149-$H149)*(($I149-$H149)+1)/2)^2-((($I149-$H149-COUNTIFS($A$5:$A$154,$A149,$H$5:$H$154,$H149)+1)-1)*($I149-$H149-COUNTIFS($A$5:$A$154,$A149,$H$5:$H$154,$H149)+1)/2)^2)/(COUNTIFS($A$5:$A$154,$A149,$H$5:$H$154,$H149)*($I149-1)^3)),0))</f>
        <v/>
      </c>
      <c r="K149" s="11">
        <f>IF($A149="","","Final")</f>
        <v/>
      </c>
      <c r="L149" s="11">
        <f>IF($A149="","",IF($D149="","Add the players",IF(COUNTIF(Players!$A$2:$A$500,$D149)=0,"Player 1 is not on the Players tab",IF(NOT(ISNUMBER($H149)),"Enter the final place",IF(N($H149)&gt;N($I149),"Place is bigger than the field: enter every team",IF($B149="","Enter the end date","OK"))))))</f>
        <v/>
      </c>
    </row>
    <row r="150">
      <c r="B150" s="9" t="n"/>
      <c r="I150" s="11">
        <f>IF(OR($A150="",NOT(ISNUMBER($H150))),"",COUNTIFS($A$5:$A$154,$A150,$H$5:$H$154,"&gt;0"))</f>
        <v/>
      </c>
      <c r="J150" s="11">
        <f>IF(OR($A150="",NOT(ISNUMBER($H150))),"",ROUND(Points!$B$5*IF($I150&lt;=1,1,Points!$H$7+(1-Points!$H$7)*((($I150-$H150)*(($I150-$H150)+1)/2)^2-((($I150-$H150-COUNTIFS($A$5:$A$154,$A150,$H$5:$H$154,$H150)+1)-1)*($I150-$H150-COUNTIFS($A$5:$A$154,$A150,$H$5:$H$154,$H150)+1)/2)^2)/(COUNTIFS($A$5:$A$154,$A150,$H$5:$H$154,$H150)*($I150-1)^3)),0))</f>
        <v/>
      </c>
      <c r="K150" s="11">
        <f>IF($A150="","","Final")</f>
        <v/>
      </c>
      <c r="L150" s="11">
        <f>IF($A150="","",IF($D150="","Add the players",IF(COUNTIF(Players!$A$2:$A$500,$D150)=0,"Player 1 is not on the Players tab",IF(NOT(ISNUMBER($H150)),"Enter the final place",IF(N($H150)&gt;N($I150),"Place is bigger than the field: enter every team",IF($B150="","Enter the end date","OK"))))))</f>
        <v/>
      </c>
    </row>
    <row r="151">
      <c r="B151" s="9" t="n"/>
      <c r="I151" s="11">
        <f>IF(OR($A151="",NOT(ISNUMBER($H151))),"",COUNTIFS($A$5:$A$154,$A151,$H$5:$H$154,"&gt;0"))</f>
        <v/>
      </c>
      <c r="J151" s="11">
        <f>IF(OR($A151="",NOT(ISNUMBER($H151))),"",ROUND(Points!$B$5*IF($I151&lt;=1,1,Points!$H$7+(1-Points!$H$7)*((($I151-$H151)*(($I151-$H151)+1)/2)^2-((($I151-$H151-COUNTIFS($A$5:$A$154,$A151,$H$5:$H$154,$H151)+1)-1)*($I151-$H151-COUNTIFS($A$5:$A$154,$A151,$H$5:$H$154,$H151)+1)/2)^2)/(COUNTIFS($A$5:$A$154,$A151,$H$5:$H$154,$H151)*($I151-1)^3)),0))</f>
        <v/>
      </c>
      <c r="K151" s="11">
        <f>IF($A151="","","Final")</f>
        <v/>
      </c>
      <c r="L151" s="11">
        <f>IF($A151="","",IF($D151="","Add the players",IF(COUNTIF(Players!$A$2:$A$500,$D151)=0,"Player 1 is not on the Players tab",IF(NOT(ISNUMBER($H151)),"Enter the final place",IF(N($H151)&gt;N($I151),"Place is bigger than the field: enter every team",IF($B151="","Enter the end date","OK"))))))</f>
        <v/>
      </c>
    </row>
    <row r="152">
      <c r="B152" s="9" t="n"/>
      <c r="I152" s="11">
        <f>IF(OR($A152="",NOT(ISNUMBER($H152))),"",COUNTIFS($A$5:$A$154,$A152,$H$5:$H$154,"&gt;0"))</f>
        <v/>
      </c>
      <c r="J152" s="11">
        <f>IF(OR($A152="",NOT(ISNUMBER($H152))),"",ROUND(Points!$B$5*IF($I152&lt;=1,1,Points!$H$7+(1-Points!$H$7)*((($I152-$H152)*(($I152-$H152)+1)/2)^2-((($I152-$H152-COUNTIFS($A$5:$A$154,$A152,$H$5:$H$154,$H152)+1)-1)*($I152-$H152-COUNTIFS($A$5:$A$154,$A152,$H$5:$H$154,$H152)+1)/2)^2)/(COUNTIFS($A$5:$A$154,$A152,$H$5:$H$154,$H152)*($I152-1)^3)),0))</f>
        <v/>
      </c>
      <c r="K152" s="11">
        <f>IF($A152="","","Final")</f>
        <v/>
      </c>
      <c r="L152" s="11">
        <f>IF($A152="","",IF($D152="","Add the players",IF(COUNTIF(Players!$A$2:$A$500,$D152)=0,"Player 1 is not on the Players tab",IF(NOT(ISNUMBER($H152)),"Enter the final place",IF(N($H152)&gt;N($I152),"Place is bigger than the field: enter every team",IF($B152="","Enter the end date","OK"))))))</f>
        <v/>
      </c>
    </row>
    <row r="153">
      <c r="B153" s="9" t="n"/>
      <c r="I153" s="11">
        <f>IF(OR($A153="",NOT(ISNUMBER($H153))),"",COUNTIFS($A$5:$A$154,$A153,$H$5:$H$154,"&gt;0"))</f>
        <v/>
      </c>
      <c r="J153" s="11">
        <f>IF(OR($A153="",NOT(ISNUMBER($H153))),"",ROUND(Points!$B$5*IF($I153&lt;=1,1,Points!$H$7+(1-Points!$H$7)*((($I153-$H153)*(($I153-$H153)+1)/2)^2-((($I153-$H153-COUNTIFS($A$5:$A$154,$A153,$H$5:$H$154,$H153)+1)-1)*($I153-$H153-COUNTIFS($A$5:$A$154,$A153,$H$5:$H$154,$H153)+1)/2)^2)/(COUNTIFS($A$5:$A$154,$A153,$H$5:$H$154,$H153)*($I153-1)^3)),0))</f>
        <v/>
      </c>
      <c r="K153" s="11">
        <f>IF($A153="","","Final")</f>
        <v/>
      </c>
      <c r="L153" s="11">
        <f>IF($A153="","",IF($D153="","Add the players",IF(COUNTIF(Players!$A$2:$A$500,$D153)=0,"Player 1 is not on the Players tab",IF(NOT(ISNUMBER($H153)),"Enter the final place",IF(N($H153)&gt;N($I153),"Place is bigger than the field: enter every team",IF($B153="","Enter the end date","OK"))))))</f>
        <v/>
      </c>
    </row>
    <row r="154">
      <c r="B154" s="9" t="n"/>
      <c r="I154" s="11">
        <f>IF(OR($A154="",NOT(ISNUMBER($H154))),"",COUNTIFS($A$5:$A$154,$A154,$H$5:$H$154,"&gt;0"))</f>
        <v/>
      </c>
      <c r="J154" s="11">
        <f>IF(OR($A154="",NOT(ISNUMBER($H154))),"",ROUND(Points!$B$5*IF($I154&lt;=1,1,Points!$H$7+(1-Points!$H$7)*((($I154-$H154)*(($I154-$H154)+1)/2)^2-((($I154-$H154-COUNTIFS($A$5:$A$154,$A154,$H$5:$H$154,$H154)+1)-1)*($I154-$H154-COUNTIFS($A$5:$A$154,$A154,$H$5:$H$154,$H154)+1)/2)^2)/(COUNTIFS($A$5:$A$154,$A154,$H$5:$H$154,$H154)*($I154-1)^3)),0))</f>
        <v/>
      </c>
      <c r="K154" s="11">
        <f>IF($A154="","","Final")</f>
        <v/>
      </c>
      <c r="L154" s="11">
        <f>IF($A154="","",IF($D154="","Add the players",IF(COUNTIF(Players!$A$2:$A$500,$D154)=0,"Player 1 is not on the Players tab",IF(NOT(ISNUMBER($H154)),"Enter the final place",IF(N($H154)&gt;N($I154),"Place is bigger than the field: enter every team",IF($B154="","Enter the end date","OK"))))))</f>
        <v/>
      </c>
    </row>
  </sheetData>
  <conditionalFormatting sqref="L5:L154">
    <cfRule type="expression" priority="1" dxfId="0">
      <formula>AND($L5&lt;&gt;"",$L5&lt;&gt;"OK")</formula>
    </cfRule>
  </conditionalFormatting>
  <dataValidations count="1">
    <dataValidation sqref="D5:G154" showDropDown="0" showInputMessage="0" showErrorMessage="1" allowBlank="1" errorTitle="Not on the list" error="Pick a player from the list. New players go on the Players tab first." type="list">
      <formula1>Players!$A$2:$A$500</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1"/>
    <pageSetUpPr/>
  </sheetPr>
  <dimension ref="A1:J1667"/>
  <sheetViews>
    <sheetView workbookViewId="0">
      <pane ySplit="4" topLeftCell="A5" activePane="bottomLeft" state="frozen"/>
      <selection pane="bottomLeft" activeCell="A1" sqref="A1"/>
    </sheetView>
  </sheetViews>
  <sheetFormatPr baseColWidth="8" defaultRowHeight="15"/>
  <cols>
    <col width="9" customWidth="1" min="1" max="1"/>
    <col width="24" customWidth="1" min="2" max="2"/>
    <col width="11" customWidth="1" min="3" max="3"/>
    <col width="13" customWidth="1" min="4" max="4"/>
    <col width="10" customWidth="1" min="5" max="5"/>
    <col width="7" customWidth="1" min="6" max="6"/>
    <col width="8" customWidth="1" min="7" max="7"/>
    <col width="9" customWidth="1" min="8" max="8"/>
    <col width="10" customWidth="1" min="9" max="9"/>
    <col width="36" customWidth="1" min="10" max="10"/>
  </cols>
  <sheetData>
    <row r="1">
      <c r="A1" s="7" t="inlineStr">
        <is>
          <t>One Hour Wednesday</t>
        </is>
      </c>
      <c r="D1" s="6" t="inlineStr">
        <is>
          <t>Each week has its own block. Pick the players, enter gross scores in strokes, and pick the gross and net winners.</t>
        </is>
      </c>
    </row>
    <row r="2">
      <c r="A2" s="6" t="inlineStr">
        <is>
          <t>Everyone except the two winners is scored on their gross finish. Weeks with fewer than 6 players pay half. Only each player's 12 best weeks count.</t>
        </is>
      </c>
    </row>
    <row r="4" ht="30" customHeight="1">
      <c r="A4" s="10" t="inlineStr">
        <is>
          <t>Date</t>
        </is>
      </c>
      <c r="B4" s="4" t="inlineStr">
        <is>
          <t>Player</t>
        </is>
      </c>
      <c r="C4" s="4" t="inlineStr">
        <is>
          <t>Gross Score</t>
        </is>
      </c>
      <c r="D4" s="4" t="inlineStr">
        <is>
          <t>Winner</t>
        </is>
      </c>
      <c r="E4" s="10" t="inlineStr">
        <is>
          <t>Gross Place</t>
        </is>
      </c>
      <c r="F4" s="10" t="inlineStr">
        <is>
          <t>Field</t>
        </is>
      </c>
      <c r="G4" s="10" t="inlineStr">
        <is>
          <t>Points</t>
        </is>
      </c>
      <c r="H4" s="10" t="inlineStr">
        <is>
          <t>Week Rank</t>
        </is>
      </c>
      <c r="I4" s="10" t="inlineStr">
        <is>
          <t>Cup Points</t>
        </is>
      </c>
      <c r="J4" s="10" t="inlineStr">
        <is>
          <t>Check</t>
        </is>
      </c>
    </row>
    <row r="5" ht="22" customHeight="1">
      <c r="A5" s="12" t="inlineStr">
        <is>
          <t>Week 1  ·  Wednesday, Jan 6</t>
        </is>
      </c>
    </row>
    <row r="6" outlineLevel="1">
      <c r="A6" s="13" t="n">
        <v>46393</v>
      </c>
      <c r="E6" s="11">
        <f>IF(OR($B6="",NOT(ISNUMBER($C6))),"",COUNTIFS($A$5:$A$1668,$A6,$C$5:$C$1668,"&lt;"&amp;$C6)+1)</f>
        <v/>
      </c>
      <c r="F6" s="11">
        <f>IF(OR($B6="",NOT(ISNUMBER($C6))),"",COUNTIFS($A$5:$A$1668,$A6,$C$5:$C$1668,"&gt;0"))</f>
        <v/>
      </c>
      <c r="G6" s="11">
        <f>IF(OR($B6="",NOT(ISNUMBER($C6))),"",IF($D6&lt;&gt;"",ROUND(Points!$B$6*IF($F6&lt;Points!$H$4,Points!$H$5,1),0),ROUND(Points!$B$6*IF($F6&lt;=1,1,Points!$H$7+(1-Points!$H$7)*((($F6-$E6)*(($F6-$E6)+1)/2)^2-((($F6-$E6-COUNTIFS($A$5:$A$1668,$A6,$C$5:$C$1668,$C6)+1)-1)*($F6-$E6-COUNTIFS($A$5:$A$1668,$A6,$C$5:$C$1668,$C6)+1)/2)^2)/(COUNTIFS($A$5:$A$1668,$A6,$C$5:$C$1668,$C6)*($F6-1)^3))*IF($F6&lt;Points!$H$4,Points!$H$5,1),0)))</f>
        <v/>
      </c>
      <c r="H6" s="11">
        <f>IF($G6="","",COUNTIFS($B$5:$B$1668,$B6,$G$5:$G$1668,"&gt;"&amp;$G6)+COUNTIFS($B$4:$B5,$B6,$G$4:$G5,$G6)+1)</f>
        <v/>
      </c>
      <c r="I6" s="11">
        <f>IF($G6="","",IF($H6&lt;=Points!$H$6,$G6,0))</f>
        <v/>
      </c>
      <c r="J6" s="11">
        <f>IF($B6="","",IF(COUNTIF(Players!$A$2:$A$500,$B6)=0,"Player is not on the Players tab",IF(NOT(ISNUMBER($C6)),"Enter a gross score",IF(COUNTIFS($A$5:$A$1668,$A6,$B$5:$B$1668,$B6)&gt;1,"Player is listed twice this week",IF(AND($D6&lt;&gt;"",COUNTIFS($A$5:$A$1668,$A6,$D$5:$D$1668,$D6)&gt;1),"Two players picked as "&amp;$D6,IF(COUNTIFS($A$5:$A$1668,$A6,$D$5:$D$1668,"Gross winner")=0,"Pick this week's gross winner",IF(COUNTIFS($A$5:$A$1668,$A6,$D$5:$D$1668,"Net winner")=0,"Pick this week's net winner","OK")))))))</f>
        <v/>
      </c>
    </row>
    <row r="7" outlineLevel="1">
      <c r="A7" s="13" t="n">
        <v>46393</v>
      </c>
      <c r="E7" s="11">
        <f>IF(OR($B7="",NOT(ISNUMBER($C7))),"",COUNTIFS($A$5:$A$1668,$A7,$C$5:$C$1668,"&lt;"&amp;$C7)+1)</f>
        <v/>
      </c>
      <c r="F7" s="11">
        <f>IF(OR($B7="",NOT(ISNUMBER($C7))),"",COUNTIFS($A$5:$A$1668,$A7,$C$5:$C$1668,"&gt;0"))</f>
        <v/>
      </c>
      <c r="G7" s="11">
        <f>IF(OR($B7="",NOT(ISNUMBER($C7))),"",IF($D7&lt;&gt;"",ROUND(Points!$B$6*IF($F7&lt;Points!$H$4,Points!$H$5,1),0),ROUND(Points!$B$6*IF($F7&lt;=1,1,Points!$H$7+(1-Points!$H$7)*((($F7-$E7)*(($F7-$E7)+1)/2)^2-((($F7-$E7-COUNTIFS($A$5:$A$1668,$A7,$C$5:$C$1668,$C7)+1)-1)*($F7-$E7-COUNTIFS($A$5:$A$1668,$A7,$C$5:$C$1668,$C7)+1)/2)^2)/(COUNTIFS($A$5:$A$1668,$A7,$C$5:$C$1668,$C7)*($F7-1)^3))*IF($F7&lt;Points!$H$4,Points!$H$5,1),0)))</f>
        <v/>
      </c>
      <c r="H7" s="11">
        <f>IF($G7="","",COUNTIFS($B$5:$B$1668,$B7,$G$5:$G$1668,"&gt;"&amp;$G7)+COUNTIFS($B$4:$B6,$B7,$G$4:$G6,$G7)+1)</f>
        <v/>
      </c>
      <c r="I7" s="11">
        <f>IF($G7="","",IF($H7&lt;=Points!$H$6,$G7,0))</f>
        <v/>
      </c>
      <c r="J7" s="11">
        <f>IF($B7="","",IF(COUNTIF(Players!$A$2:$A$500,$B7)=0,"Player is not on the Players tab",IF(NOT(ISNUMBER($C7)),"Enter a gross score",IF(COUNTIFS($A$5:$A$1668,$A7,$B$5:$B$1668,$B7)&gt;1,"Player is listed twice this week",IF(AND($D7&lt;&gt;"",COUNTIFS($A$5:$A$1668,$A7,$D$5:$D$1668,$D7)&gt;1),"Two players picked as "&amp;$D7,IF(COUNTIFS($A$5:$A$1668,$A7,$D$5:$D$1668,"Gross winner")=0,"Pick this week's gross winner",IF(COUNTIFS($A$5:$A$1668,$A7,$D$5:$D$1668,"Net winner")=0,"Pick this week's net winner","OK")))))))</f>
        <v/>
      </c>
    </row>
    <row r="8" outlineLevel="1">
      <c r="A8" s="13" t="n">
        <v>46393</v>
      </c>
      <c r="E8" s="11">
        <f>IF(OR($B8="",NOT(ISNUMBER($C8))),"",COUNTIFS($A$5:$A$1668,$A8,$C$5:$C$1668,"&lt;"&amp;$C8)+1)</f>
        <v/>
      </c>
      <c r="F8" s="11">
        <f>IF(OR($B8="",NOT(ISNUMBER($C8))),"",COUNTIFS($A$5:$A$1668,$A8,$C$5:$C$1668,"&gt;0"))</f>
        <v/>
      </c>
      <c r="G8" s="11">
        <f>IF(OR($B8="",NOT(ISNUMBER($C8))),"",IF($D8&lt;&gt;"",ROUND(Points!$B$6*IF($F8&lt;Points!$H$4,Points!$H$5,1),0),ROUND(Points!$B$6*IF($F8&lt;=1,1,Points!$H$7+(1-Points!$H$7)*((($F8-$E8)*(($F8-$E8)+1)/2)^2-((($F8-$E8-COUNTIFS($A$5:$A$1668,$A8,$C$5:$C$1668,$C8)+1)-1)*($F8-$E8-COUNTIFS($A$5:$A$1668,$A8,$C$5:$C$1668,$C8)+1)/2)^2)/(COUNTIFS($A$5:$A$1668,$A8,$C$5:$C$1668,$C8)*($F8-1)^3))*IF($F8&lt;Points!$H$4,Points!$H$5,1),0)))</f>
        <v/>
      </c>
      <c r="H8" s="11">
        <f>IF($G8="","",COUNTIFS($B$5:$B$1668,$B8,$G$5:$G$1668,"&gt;"&amp;$G8)+COUNTIFS($B$4:$B7,$B8,$G$4:$G7,$G8)+1)</f>
        <v/>
      </c>
      <c r="I8" s="11">
        <f>IF($G8="","",IF($H8&lt;=Points!$H$6,$G8,0))</f>
        <v/>
      </c>
      <c r="J8" s="11">
        <f>IF($B8="","",IF(COUNTIF(Players!$A$2:$A$500,$B8)=0,"Player is not on the Players tab",IF(NOT(ISNUMBER($C8)),"Enter a gross score",IF(COUNTIFS($A$5:$A$1668,$A8,$B$5:$B$1668,$B8)&gt;1,"Player is listed twice this week",IF(AND($D8&lt;&gt;"",COUNTIFS($A$5:$A$1668,$A8,$D$5:$D$1668,$D8)&gt;1),"Two players picked as "&amp;$D8,IF(COUNTIFS($A$5:$A$1668,$A8,$D$5:$D$1668,"Gross winner")=0,"Pick this week's gross winner",IF(COUNTIFS($A$5:$A$1668,$A8,$D$5:$D$1668,"Net winner")=0,"Pick this week's net winner","OK")))))))</f>
        <v/>
      </c>
    </row>
    <row r="9" outlineLevel="1">
      <c r="A9" s="13" t="n">
        <v>46393</v>
      </c>
      <c r="E9" s="11">
        <f>IF(OR($B9="",NOT(ISNUMBER($C9))),"",COUNTIFS($A$5:$A$1668,$A9,$C$5:$C$1668,"&lt;"&amp;$C9)+1)</f>
        <v/>
      </c>
      <c r="F9" s="11">
        <f>IF(OR($B9="",NOT(ISNUMBER($C9))),"",COUNTIFS($A$5:$A$1668,$A9,$C$5:$C$1668,"&gt;0"))</f>
        <v/>
      </c>
      <c r="G9" s="11">
        <f>IF(OR($B9="",NOT(ISNUMBER($C9))),"",IF($D9&lt;&gt;"",ROUND(Points!$B$6*IF($F9&lt;Points!$H$4,Points!$H$5,1),0),ROUND(Points!$B$6*IF($F9&lt;=1,1,Points!$H$7+(1-Points!$H$7)*((($F9-$E9)*(($F9-$E9)+1)/2)^2-((($F9-$E9-COUNTIFS($A$5:$A$1668,$A9,$C$5:$C$1668,$C9)+1)-1)*($F9-$E9-COUNTIFS($A$5:$A$1668,$A9,$C$5:$C$1668,$C9)+1)/2)^2)/(COUNTIFS($A$5:$A$1668,$A9,$C$5:$C$1668,$C9)*($F9-1)^3))*IF($F9&lt;Points!$H$4,Points!$H$5,1),0)))</f>
        <v/>
      </c>
      <c r="H9" s="11">
        <f>IF($G9="","",COUNTIFS($B$5:$B$1668,$B9,$G$5:$G$1668,"&gt;"&amp;$G9)+COUNTIFS($B$4:$B8,$B9,$G$4:$G8,$G9)+1)</f>
        <v/>
      </c>
      <c r="I9" s="11">
        <f>IF($G9="","",IF($H9&lt;=Points!$H$6,$G9,0))</f>
        <v/>
      </c>
      <c r="J9" s="11">
        <f>IF($B9="","",IF(COUNTIF(Players!$A$2:$A$500,$B9)=0,"Player is not on the Players tab",IF(NOT(ISNUMBER($C9)),"Enter a gross score",IF(COUNTIFS($A$5:$A$1668,$A9,$B$5:$B$1668,$B9)&gt;1,"Player is listed twice this week",IF(AND($D9&lt;&gt;"",COUNTIFS($A$5:$A$1668,$A9,$D$5:$D$1668,$D9)&gt;1),"Two players picked as "&amp;$D9,IF(COUNTIFS($A$5:$A$1668,$A9,$D$5:$D$1668,"Gross winner")=0,"Pick this week's gross winner",IF(COUNTIFS($A$5:$A$1668,$A9,$D$5:$D$1668,"Net winner")=0,"Pick this week's net winner","OK")))))))</f>
        <v/>
      </c>
    </row>
    <row r="10" outlineLevel="1">
      <c r="A10" s="13" t="n">
        <v>46393</v>
      </c>
      <c r="E10" s="11">
        <f>IF(OR($B10="",NOT(ISNUMBER($C10))),"",COUNTIFS($A$5:$A$1668,$A10,$C$5:$C$1668,"&lt;"&amp;$C10)+1)</f>
        <v/>
      </c>
      <c r="F10" s="11">
        <f>IF(OR($B10="",NOT(ISNUMBER($C10))),"",COUNTIFS($A$5:$A$1668,$A10,$C$5:$C$1668,"&gt;0"))</f>
        <v/>
      </c>
      <c r="G10" s="11">
        <f>IF(OR($B10="",NOT(ISNUMBER($C10))),"",IF($D10&lt;&gt;"",ROUND(Points!$B$6*IF($F10&lt;Points!$H$4,Points!$H$5,1),0),ROUND(Points!$B$6*IF($F10&lt;=1,1,Points!$H$7+(1-Points!$H$7)*((($F10-$E10)*(($F10-$E10)+1)/2)^2-((($F10-$E10-COUNTIFS($A$5:$A$1668,$A10,$C$5:$C$1668,$C10)+1)-1)*($F10-$E10-COUNTIFS($A$5:$A$1668,$A10,$C$5:$C$1668,$C10)+1)/2)^2)/(COUNTIFS($A$5:$A$1668,$A10,$C$5:$C$1668,$C10)*($F10-1)^3))*IF($F10&lt;Points!$H$4,Points!$H$5,1),0)))</f>
        <v/>
      </c>
      <c r="H10" s="11">
        <f>IF($G10="","",COUNTIFS($B$5:$B$1668,$B10,$G$5:$G$1668,"&gt;"&amp;$G10)+COUNTIFS($B$4:$B9,$B10,$G$4:$G9,$G10)+1)</f>
        <v/>
      </c>
      <c r="I10" s="11">
        <f>IF($G10="","",IF($H10&lt;=Points!$H$6,$G10,0))</f>
        <v/>
      </c>
      <c r="J10" s="11">
        <f>IF($B10="","",IF(COUNTIF(Players!$A$2:$A$500,$B10)=0,"Player is not on the Players tab",IF(NOT(ISNUMBER($C10)),"Enter a gross score",IF(COUNTIFS($A$5:$A$1668,$A10,$B$5:$B$1668,$B10)&gt;1,"Player is listed twice this week",IF(AND($D10&lt;&gt;"",COUNTIFS($A$5:$A$1668,$A10,$D$5:$D$1668,$D10)&gt;1),"Two players picked as "&amp;$D10,IF(COUNTIFS($A$5:$A$1668,$A10,$D$5:$D$1668,"Gross winner")=0,"Pick this week's gross winner",IF(COUNTIFS($A$5:$A$1668,$A10,$D$5:$D$1668,"Net winner")=0,"Pick this week's net winner","OK")))))))</f>
        <v/>
      </c>
    </row>
    <row r="11" outlineLevel="1">
      <c r="A11" s="13" t="n">
        <v>46393</v>
      </c>
      <c r="E11" s="11">
        <f>IF(OR($B11="",NOT(ISNUMBER($C11))),"",COUNTIFS($A$5:$A$1668,$A11,$C$5:$C$1668,"&lt;"&amp;$C11)+1)</f>
        <v/>
      </c>
      <c r="F11" s="11">
        <f>IF(OR($B11="",NOT(ISNUMBER($C11))),"",COUNTIFS($A$5:$A$1668,$A11,$C$5:$C$1668,"&gt;0"))</f>
        <v/>
      </c>
      <c r="G11" s="11">
        <f>IF(OR($B11="",NOT(ISNUMBER($C11))),"",IF($D11&lt;&gt;"",ROUND(Points!$B$6*IF($F11&lt;Points!$H$4,Points!$H$5,1),0),ROUND(Points!$B$6*IF($F11&lt;=1,1,Points!$H$7+(1-Points!$H$7)*((($F11-$E11)*(($F11-$E11)+1)/2)^2-((($F11-$E11-COUNTIFS($A$5:$A$1668,$A11,$C$5:$C$1668,$C11)+1)-1)*($F11-$E11-COUNTIFS($A$5:$A$1668,$A11,$C$5:$C$1668,$C11)+1)/2)^2)/(COUNTIFS($A$5:$A$1668,$A11,$C$5:$C$1668,$C11)*($F11-1)^3))*IF($F11&lt;Points!$H$4,Points!$H$5,1),0)))</f>
        <v/>
      </c>
      <c r="H11" s="11">
        <f>IF($G11="","",COUNTIFS($B$5:$B$1668,$B11,$G$5:$G$1668,"&gt;"&amp;$G11)+COUNTIFS($B$4:$B10,$B11,$G$4:$G10,$G11)+1)</f>
        <v/>
      </c>
      <c r="I11" s="11">
        <f>IF($G11="","",IF($H11&lt;=Points!$H$6,$G11,0))</f>
        <v/>
      </c>
      <c r="J11" s="11">
        <f>IF($B11="","",IF(COUNTIF(Players!$A$2:$A$500,$B11)=0,"Player is not on the Players tab",IF(NOT(ISNUMBER($C11)),"Enter a gross score",IF(COUNTIFS($A$5:$A$1668,$A11,$B$5:$B$1668,$B11)&gt;1,"Player is listed twice this week",IF(AND($D11&lt;&gt;"",COUNTIFS($A$5:$A$1668,$A11,$D$5:$D$1668,$D11)&gt;1),"Two players picked as "&amp;$D11,IF(COUNTIFS($A$5:$A$1668,$A11,$D$5:$D$1668,"Gross winner")=0,"Pick this week's gross winner",IF(COUNTIFS($A$5:$A$1668,$A11,$D$5:$D$1668,"Net winner")=0,"Pick this week's net winner","OK")))))))</f>
        <v/>
      </c>
    </row>
    <row r="12" outlineLevel="1">
      <c r="A12" s="13" t="n">
        <v>46393</v>
      </c>
      <c r="E12" s="11">
        <f>IF(OR($B12="",NOT(ISNUMBER($C12))),"",COUNTIFS($A$5:$A$1668,$A12,$C$5:$C$1668,"&lt;"&amp;$C12)+1)</f>
        <v/>
      </c>
      <c r="F12" s="11">
        <f>IF(OR($B12="",NOT(ISNUMBER($C12))),"",COUNTIFS($A$5:$A$1668,$A12,$C$5:$C$1668,"&gt;0"))</f>
        <v/>
      </c>
      <c r="G12" s="11">
        <f>IF(OR($B12="",NOT(ISNUMBER($C12))),"",IF($D12&lt;&gt;"",ROUND(Points!$B$6*IF($F12&lt;Points!$H$4,Points!$H$5,1),0),ROUND(Points!$B$6*IF($F12&lt;=1,1,Points!$H$7+(1-Points!$H$7)*((($F12-$E12)*(($F12-$E12)+1)/2)^2-((($F12-$E12-COUNTIFS($A$5:$A$1668,$A12,$C$5:$C$1668,$C12)+1)-1)*($F12-$E12-COUNTIFS($A$5:$A$1668,$A12,$C$5:$C$1668,$C12)+1)/2)^2)/(COUNTIFS($A$5:$A$1668,$A12,$C$5:$C$1668,$C12)*($F12-1)^3))*IF($F12&lt;Points!$H$4,Points!$H$5,1),0)))</f>
        <v/>
      </c>
      <c r="H12" s="11">
        <f>IF($G12="","",COUNTIFS($B$5:$B$1668,$B12,$G$5:$G$1668,"&gt;"&amp;$G12)+COUNTIFS($B$4:$B11,$B12,$G$4:$G11,$G12)+1)</f>
        <v/>
      </c>
      <c r="I12" s="11">
        <f>IF($G12="","",IF($H12&lt;=Points!$H$6,$G12,0))</f>
        <v/>
      </c>
      <c r="J12" s="11">
        <f>IF($B12="","",IF(COUNTIF(Players!$A$2:$A$500,$B12)=0,"Player is not on the Players tab",IF(NOT(ISNUMBER($C12)),"Enter a gross score",IF(COUNTIFS($A$5:$A$1668,$A12,$B$5:$B$1668,$B12)&gt;1,"Player is listed twice this week",IF(AND($D12&lt;&gt;"",COUNTIFS($A$5:$A$1668,$A12,$D$5:$D$1668,$D12)&gt;1),"Two players picked as "&amp;$D12,IF(COUNTIFS($A$5:$A$1668,$A12,$D$5:$D$1668,"Gross winner")=0,"Pick this week's gross winner",IF(COUNTIFS($A$5:$A$1668,$A12,$D$5:$D$1668,"Net winner")=0,"Pick this week's net winner","OK")))))))</f>
        <v/>
      </c>
    </row>
    <row r="13" outlineLevel="1">
      <c r="A13" s="13" t="n">
        <v>46393</v>
      </c>
      <c r="E13" s="11">
        <f>IF(OR($B13="",NOT(ISNUMBER($C13))),"",COUNTIFS($A$5:$A$1668,$A13,$C$5:$C$1668,"&lt;"&amp;$C13)+1)</f>
        <v/>
      </c>
      <c r="F13" s="11">
        <f>IF(OR($B13="",NOT(ISNUMBER($C13))),"",COUNTIFS($A$5:$A$1668,$A13,$C$5:$C$1668,"&gt;0"))</f>
        <v/>
      </c>
      <c r="G13" s="11">
        <f>IF(OR($B13="",NOT(ISNUMBER($C13))),"",IF($D13&lt;&gt;"",ROUND(Points!$B$6*IF($F13&lt;Points!$H$4,Points!$H$5,1),0),ROUND(Points!$B$6*IF($F13&lt;=1,1,Points!$H$7+(1-Points!$H$7)*((($F13-$E13)*(($F13-$E13)+1)/2)^2-((($F13-$E13-COUNTIFS($A$5:$A$1668,$A13,$C$5:$C$1668,$C13)+1)-1)*($F13-$E13-COUNTIFS($A$5:$A$1668,$A13,$C$5:$C$1668,$C13)+1)/2)^2)/(COUNTIFS($A$5:$A$1668,$A13,$C$5:$C$1668,$C13)*($F13-1)^3))*IF($F13&lt;Points!$H$4,Points!$H$5,1),0)))</f>
        <v/>
      </c>
      <c r="H13" s="11">
        <f>IF($G13="","",COUNTIFS($B$5:$B$1668,$B13,$G$5:$G$1668,"&gt;"&amp;$G13)+COUNTIFS($B$4:$B12,$B13,$G$4:$G12,$G13)+1)</f>
        <v/>
      </c>
      <c r="I13" s="11">
        <f>IF($G13="","",IF($H13&lt;=Points!$H$6,$G13,0))</f>
        <v/>
      </c>
      <c r="J13" s="11">
        <f>IF($B13="","",IF(COUNTIF(Players!$A$2:$A$500,$B13)=0,"Player is not on the Players tab",IF(NOT(ISNUMBER($C13)),"Enter a gross score",IF(COUNTIFS($A$5:$A$1668,$A13,$B$5:$B$1668,$B13)&gt;1,"Player is listed twice this week",IF(AND($D13&lt;&gt;"",COUNTIFS($A$5:$A$1668,$A13,$D$5:$D$1668,$D13)&gt;1),"Two players picked as "&amp;$D13,IF(COUNTIFS($A$5:$A$1668,$A13,$D$5:$D$1668,"Gross winner")=0,"Pick this week's gross winner",IF(COUNTIFS($A$5:$A$1668,$A13,$D$5:$D$1668,"Net winner")=0,"Pick this week's net winner","OK")))))))</f>
        <v/>
      </c>
    </row>
    <row r="14" outlineLevel="1">
      <c r="A14" s="13" t="n">
        <v>46393</v>
      </c>
      <c r="E14" s="11">
        <f>IF(OR($B14="",NOT(ISNUMBER($C14))),"",COUNTIFS($A$5:$A$1668,$A14,$C$5:$C$1668,"&lt;"&amp;$C14)+1)</f>
        <v/>
      </c>
      <c r="F14" s="11">
        <f>IF(OR($B14="",NOT(ISNUMBER($C14))),"",COUNTIFS($A$5:$A$1668,$A14,$C$5:$C$1668,"&gt;0"))</f>
        <v/>
      </c>
      <c r="G14" s="11">
        <f>IF(OR($B14="",NOT(ISNUMBER($C14))),"",IF($D14&lt;&gt;"",ROUND(Points!$B$6*IF($F14&lt;Points!$H$4,Points!$H$5,1),0),ROUND(Points!$B$6*IF($F14&lt;=1,1,Points!$H$7+(1-Points!$H$7)*((($F14-$E14)*(($F14-$E14)+1)/2)^2-((($F14-$E14-COUNTIFS($A$5:$A$1668,$A14,$C$5:$C$1668,$C14)+1)-1)*($F14-$E14-COUNTIFS($A$5:$A$1668,$A14,$C$5:$C$1668,$C14)+1)/2)^2)/(COUNTIFS($A$5:$A$1668,$A14,$C$5:$C$1668,$C14)*($F14-1)^3))*IF($F14&lt;Points!$H$4,Points!$H$5,1),0)))</f>
        <v/>
      </c>
      <c r="H14" s="11">
        <f>IF($G14="","",COUNTIFS($B$5:$B$1668,$B14,$G$5:$G$1668,"&gt;"&amp;$G14)+COUNTIFS($B$4:$B13,$B14,$G$4:$G13,$G14)+1)</f>
        <v/>
      </c>
      <c r="I14" s="11">
        <f>IF($G14="","",IF($H14&lt;=Points!$H$6,$G14,0))</f>
        <v/>
      </c>
      <c r="J14" s="11">
        <f>IF($B14="","",IF(COUNTIF(Players!$A$2:$A$500,$B14)=0,"Player is not on the Players tab",IF(NOT(ISNUMBER($C14)),"Enter a gross score",IF(COUNTIFS($A$5:$A$1668,$A14,$B$5:$B$1668,$B14)&gt;1,"Player is listed twice this week",IF(AND($D14&lt;&gt;"",COUNTIFS($A$5:$A$1668,$A14,$D$5:$D$1668,$D14)&gt;1),"Two players picked as "&amp;$D14,IF(COUNTIFS($A$5:$A$1668,$A14,$D$5:$D$1668,"Gross winner")=0,"Pick this week's gross winner",IF(COUNTIFS($A$5:$A$1668,$A14,$D$5:$D$1668,"Net winner")=0,"Pick this week's net winner","OK")))))))</f>
        <v/>
      </c>
    </row>
    <row r="15" outlineLevel="1">
      <c r="A15" s="13" t="n">
        <v>46393</v>
      </c>
      <c r="E15" s="11">
        <f>IF(OR($B15="",NOT(ISNUMBER($C15))),"",COUNTIFS($A$5:$A$1668,$A15,$C$5:$C$1668,"&lt;"&amp;$C15)+1)</f>
        <v/>
      </c>
      <c r="F15" s="11">
        <f>IF(OR($B15="",NOT(ISNUMBER($C15))),"",COUNTIFS($A$5:$A$1668,$A15,$C$5:$C$1668,"&gt;0"))</f>
        <v/>
      </c>
      <c r="G15" s="11">
        <f>IF(OR($B15="",NOT(ISNUMBER($C15))),"",IF($D15&lt;&gt;"",ROUND(Points!$B$6*IF($F15&lt;Points!$H$4,Points!$H$5,1),0),ROUND(Points!$B$6*IF($F15&lt;=1,1,Points!$H$7+(1-Points!$H$7)*((($F15-$E15)*(($F15-$E15)+1)/2)^2-((($F15-$E15-COUNTIFS($A$5:$A$1668,$A15,$C$5:$C$1668,$C15)+1)-1)*($F15-$E15-COUNTIFS($A$5:$A$1668,$A15,$C$5:$C$1668,$C15)+1)/2)^2)/(COUNTIFS($A$5:$A$1668,$A15,$C$5:$C$1668,$C15)*($F15-1)^3))*IF($F15&lt;Points!$H$4,Points!$H$5,1),0)))</f>
        <v/>
      </c>
      <c r="H15" s="11">
        <f>IF($G15="","",COUNTIFS($B$5:$B$1668,$B15,$G$5:$G$1668,"&gt;"&amp;$G15)+COUNTIFS($B$4:$B14,$B15,$G$4:$G14,$G15)+1)</f>
        <v/>
      </c>
      <c r="I15" s="11">
        <f>IF($G15="","",IF($H15&lt;=Points!$H$6,$G15,0))</f>
        <v/>
      </c>
      <c r="J15" s="11">
        <f>IF($B15="","",IF(COUNTIF(Players!$A$2:$A$500,$B15)=0,"Player is not on the Players tab",IF(NOT(ISNUMBER($C15)),"Enter a gross score",IF(COUNTIFS($A$5:$A$1668,$A15,$B$5:$B$1668,$B15)&gt;1,"Player is listed twice this week",IF(AND($D15&lt;&gt;"",COUNTIFS($A$5:$A$1668,$A15,$D$5:$D$1668,$D15)&gt;1),"Two players picked as "&amp;$D15,IF(COUNTIFS($A$5:$A$1668,$A15,$D$5:$D$1668,"Gross winner")=0,"Pick this week's gross winner",IF(COUNTIFS($A$5:$A$1668,$A15,$D$5:$D$1668,"Net winner")=0,"Pick this week's net winner","OK")))))))</f>
        <v/>
      </c>
    </row>
    <row r="16" outlineLevel="1">
      <c r="A16" s="13" t="n">
        <v>46393</v>
      </c>
      <c r="E16" s="11">
        <f>IF(OR($B16="",NOT(ISNUMBER($C16))),"",COUNTIFS($A$5:$A$1668,$A16,$C$5:$C$1668,"&lt;"&amp;$C16)+1)</f>
        <v/>
      </c>
      <c r="F16" s="11">
        <f>IF(OR($B16="",NOT(ISNUMBER($C16))),"",COUNTIFS($A$5:$A$1668,$A16,$C$5:$C$1668,"&gt;0"))</f>
        <v/>
      </c>
      <c r="G16" s="11">
        <f>IF(OR($B16="",NOT(ISNUMBER($C16))),"",IF($D16&lt;&gt;"",ROUND(Points!$B$6*IF($F16&lt;Points!$H$4,Points!$H$5,1),0),ROUND(Points!$B$6*IF($F16&lt;=1,1,Points!$H$7+(1-Points!$H$7)*((($F16-$E16)*(($F16-$E16)+1)/2)^2-((($F16-$E16-COUNTIFS($A$5:$A$1668,$A16,$C$5:$C$1668,$C16)+1)-1)*($F16-$E16-COUNTIFS($A$5:$A$1668,$A16,$C$5:$C$1668,$C16)+1)/2)^2)/(COUNTIFS($A$5:$A$1668,$A16,$C$5:$C$1668,$C16)*($F16-1)^3))*IF($F16&lt;Points!$H$4,Points!$H$5,1),0)))</f>
        <v/>
      </c>
      <c r="H16" s="11">
        <f>IF($G16="","",COUNTIFS($B$5:$B$1668,$B16,$G$5:$G$1668,"&gt;"&amp;$G16)+COUNTIFS($B$4:$B15,$B16,$G$4:$G15,$G16)+1)</f>
        <v/>
      </c>
      <c r="I16" s="11">
        <f>IF($G16="","",IF($H16&lt;=Points!$H$6,$G16,0))</f>
        <v/>
      </c>
      <c r="J16" s="11">
        <f>IF($B16="","",IF(COUNTIF(Players!$A$2:$A$500,$B16)=0,"Player is not on the Players tab",IF(NOT(ISNUMBER($C16)),"Enter a gross score",IF(COUNTIFS($A$5:$A$1668,$A16,$B$5:$B$1668,$B16)&gt;1,"Player is listed twice this week",IF(AND($D16&lt;&gt;"",COUNTIFS($A$5:$A$1668,$A16,$D$5:$D$1668,$D16)&gt;1),"Two players picked as "&amp;$D16,IF(COUNTIFS($A$5:$A$1668,$A16,$D$5:$D$1668,"Gross winner")=0,"Pick this week's gross winner",IF(COUNTIFS($A$5:$A$1668,$A16,$D$5:$D$1668,"Net winner")=0,"Pick this week's net winner","OK")))))))</f>
        <v/>
      </c>
    </row>
    <row r="17" outlineLevel="1">
      <c r="A17" s="13" t="n">
        <v>46393</v>
      </c>
      <c r="E17" s="11">
        <f>IF(OR($B17="",NOT(ISNUMBER($C17))),"",COUNTIFS($A$5:$A$1668,$A17,$C$5:$C$1668,"&lt;"&amp;$C17)+1)</f>
        <v/>
      </c>
      <c r="F17" s="11">
        <f>IF(OR($B17="",NOT(ISNUMBER($C17))),"",COUNTIFS($A$5:$A$1668,$A17,$C$5:$C$1668,"&gt;0"))</f>
        <v/>
      </c>
      <c r="G17" s="11">
        <f>IF(OR($B17="",NOT(ISNUMBER($C17))),"",IF($D17&lt;&gt;"",ROUND(Points!$B$6*IF($F17&lt;Points!$H$4,Points!$H$5,1),0),ROUND(Points!$B$6*IF($F17&lt;=1,1,Points!$H$7+(1-Points!$H$7)*((($F17-$E17)*(($F17-$E17)+1)/2)^2-((($F17-$E17-COUNTIFS($A$5:$A$1668,$A17,$C$5:$C$1668,$C17)+1)-1)*($F17-$E17-COUNTIFS($A$5:$A$1668,$A17,$C$5:$C$1668,$C17)+1)/2)^2)/(COUNTIFS($A$5:$A$1668,$A17,$C$5:$C$1668,$C17)*($F17-1)^3))*IF($F17&lt;Points!$H$4,Points!$H$5,1),0)))</f>
        <v/>
      </c>
      <c r="H17" s="11">
        <f>IF($G17="","",COUNTIFS($B$5:$B$1668,$B17,$G$5:$G$1668,"&gt;"&amp;$G17)+COUNTIFS($B$4:$B16,$B17,$G$4:$G16,$G17)+1)</f>
        <v/>
      </c>
      <c r="I17" s="11">
        <f>IF($G17="","",IF($H17&lt;=Points!$H$6,$G17,0))</f>
        <v/>
      </c>
      <c r="J17" s="11">
        <f>IF($B17="","",IF(COUNTIF(Players!$A$2:$A$500,$B17)=0,"Player is not on the Players tab",IF(NOT(ISNUMBER($C17)),"Enter a gross score",IF(COUNTIFS($A$5:$A$1668,$A17,$B$5:$B$1668,$B17)&gt;1,"Player is listed twice this week",IF(AND($D17&lt;&gt;"",COUNTIFS($A$5:$A$1668,$A17,$D$5:$D$1668,$D17)&gt;1),"Two players picked as "&amp;$D17,IF(COUNTIFS($A$5:$A$1668,$A17,$D$5:$D$1668,"Gross winner")=0,"Pick this week's gross winner",IF(COUNTIFS($A$5:$A$1668,$A17,$D$5:$D$1668,"Net winner")=0,"Pick this week's net winner","OK")))))))</f>
        <v/>
      </c>
    </row>
    <row r="18" outlineLevel="1">
      <c r="A18" s="13" t="n">
        <v>46393</v>
      </c>
      <c r="E18" s="11">
        <f>IF(OR($B18="",NOT(ISNUMBER($C18))),"",COUNTIFS($A$5:$A$1668,$A18,$C$5:$C$1668,"&lt;"&amp;$C18)+1)</f>
        <v/>
      </c>
      <c r="F18" s="11">
        <f>IF(OR($B18="",NOT(ISNUMBER($C18))),"",COUNTIFS($A$5:$A$1668,$A18,$C$5:$C$1668,"&gt;0"))</f>
        <v/>
      </c>
      <c r="G18" s="11">
        <f>IF(OR($B18="",NOT(ISNUMBER($C18))),"",IF($D18&lt;&gt;"",ROUND(Points!$B$6*IF($F18&lt;Points!$H$4,Points!$H$5,1),0),ROUND(Points!$B$6*IF($F18&lt;=1,1,Points!$H$7+(1-Points!$H$7)*((($F18-$E18)*(($F18-$E18)+1)/2)^2-((($F18-$E18-COUNTIFS($A$5:$A$1668,$A18,$C$5:$C$1668,$C18)+1)-1)*($F18-$E18-COUNTIFS($A$5:$A$1668,$A18,$C$5:$C$1668,$C18)+1)/2)^2)/(COUNTIFS($A$5:$A$1668,$A18,$C$5:$C$1668,$C18)*($F18-1)^3))*IF($F18&lt;Points!$H$4,Points!$H$5,1),0)))</f>
        <v/>
      </c>
      <c r="H18" s="11">
        <f>IF($G18="","",COUNTIFS($B$5:$B$1668,$B18,$G$5:$G$1668,"&gt;"&amp;$G18)+COUNTIFS($B$4:$B17,$B18,$G$4:$G17,$G18)+1)</f>
        <v/>
      </c>
      <c r="I18" s="11">
        <f>IF($G18="","",IF($H18&lt;=Points!$H$6,$G18,0))</f>
        <v/>
      </c>
      <c r="J18" s="11">
        <f>IF($B18="","",IF(COUNTIF(Players!$A$2:$A$500,$B18)=0,"Player is not on the Players tab",IF(NOT(ISNUMBER($C18)),"Enter a gross score",IF(COUNTIFS($A$5:$A$1668,$A18,$B$5:$B$1668,$B18)&gt;1,"Player is listed twice this week",IF(AND($D18&lt;&gt;"",COUNTIFS($A$5:$A$1668,$A18,$D$5:$D$1668,$D18)&gt;1),"Two players picked as "&amp;$D18,IF(COUNTIFS($A$5:$A$1668,$A18,$D$5:$D$1668,"Gross winner")=0,"Pick this week's gross winner",IF(COUNTIFS($A$5:$A$1668,$A18,$D$5:$D$1668,"Net winner")=0,"Pick this week's net winner","OK")))))))</f>
        <v/>
      </c>
    </row>
    <row r="19" outlineLevel="1">
      <c r="A19" s="13" t="n">
        <v>46393</v>
      </c>
      <c r="E19" s="11">
        <f>IF(OR($B19="",NOT(ISNUMBER($C19))),"",COUNTIFS($A$5:$A$1668,$A19,$C$5:$C$1668,"&lt;"&amp;$C19)+1)</f>
        <v/>
      </c>
      <c r="F19" s="11">
        <f>IF(OR($B19="",NOT(ISNUMBER($C19))),"",COUNTIFS($A$5:$A$1668,$A19,$C$5:$C$1668,"&gt;0"))</f>
        <v/>
      </c>
      <c r="G19" s="11">
        <f>IF(OR($B19="",NOT(ISNUMBER($C19))),"",IF($D19&lt;&gt;"",ROUND(Points!$B$6*IF($F19&lt;Points!$H$4,Points!$H$5,1),0),ROUND(Points!$B$6*IF($F19&lt;=1,1,Points!$H$7+(1-Points!$H$7)*((($F19-$E19)*(($F19-$E19)+1)/2)^2-((($F19-$E19-COUNTIFS($A$5:$A$1668,$A19,$C$5:$C$1668,$C19)+1)-1)*($F19-$E19-COUNTIFS($A$5:$A$1668,$A19,$C$5:$C$1668,$C19)+1)/2)^2)/(COUNTIFS($A$5:$A$1668,$A19,$C$5:$C$1668,$C19)*($F19-1)^3))*IF($F19&lt;Points!$H$4,Points!$H$5,1),0)))</f>
        <v/>
      </c>
      <c r="H19" s="11">
        <f>IF($G19="","",COUNTIFS($B$5:$B$1668,$B19,$G$5:$G$1668,"&gt;"&amp;$G19)+COUNTIFS($B$4:$B18,$B19,$G$4:$G18,$G19)+1)</f>
        <v/>
      </c>
      <c r="I19" s="11">
        <f>IF($G19="","",IF($H19&lt;=Points!$H$6,$G19,0))</f>
        <v/>
      </c>
      <c r="J19" s="11">
        <f>IF($B19="","",IF(COUNTIF(Players!$A$2:$A$500,$B19)=0,"Player is not on the Players tab",IF(NOT(ISNUMBER($C19)),"Enter a gross score",IF(COUNTIFS($A$5:$A$1668,$A19,$B$5:$B$1668,$B19)&gt;1,"Player is listed twice this week",IF(AND($D19&lt;&gt;"",COUNTIFS($A$5:$A$1668,$A19,$D$5:$D$1668,$D19)&gt;1),"Two players picked as "&amp;$D19,IF(COUNTIFS($A$5:$A$1668,$A19,$D$5:$D$1668,"Gross winner")=0,"Pick this week's gross winner",IF(COUNTIFS($A$5:$A$1668,$A19,$D$5:$D$1668,"Net winner")=0,"Pick this week's net winner","OK")))))))</f>
        <v/>
      </c>
    </row>
    <row r="20" outlineLevel="1">
      <c r="A20" s="13" t="n">
        <v>46393</v>
      </c>
      <c r="E20" s="11">
        <f>IF(OR($B20="",NOT(ISNUMBER($C20))),"",COUNTIFS($A$5:$A$1668,$A20,$C$5:$C$1668,"&lt;"&amp;$C20)+1)</f>
        <v/>
      </c>
      <c r="F20" s="11">
        <f>IF(OR($B20="",NOT(ISNUMBER($C20))),"",COUNTIFS($A$5:$A$1668,$A20,$C$5:$C$1668,"&gt;0"))</f>
        <v/>
      </c>
      <c r="G20" s="11">
        <f>IF(OR($B20="",NOT(ISNUMBER($C20))),"",IF($D20&lt;&gt;"",ROUND(Points!$B$6*IF($F20&lt;Points!$H$4,Points!$H$5,1),0),ROUND(Points!$B$6*IF($F20&lt;=1,1,Points!$H$7+(1-Points!$H$7)*((($F20-$E20)*(($F20-$E20)+1)/2)^2-((($F20-$E20-COUNTIFS($A$5:$A$1668,$A20,$C$5:$C$1668,$C20)+1)-1)*($F20-$E20-COUNTIFS($A$5:$A$1668,$A20,$C$5:$C$1668,$C20)+1)/2)^2)/(COUNTIFS($A$5:$A$1668,$A20,$C$5:$C$1668,$C20)*($F20-1)^3))*IF($F20&lt;Points!$H$4,Points!$H$5,1),0)))</f>
        <v/>
      </c>
      <c r="H20" s="11">
        <f>IF($G20="","",COUNTIFS($B$5:$B$1668,$B20,$G$5:$G$1668,"&gt;"&amp;$G20)+COUNTIFS($B$4:$B19,$B20,$G$4:$G19,$G20)+1)</f>
        <v/>
      </c>
      <c r="I20" s="11">
        <f>IF($G20="","",IF($H20&lt;=Points!$H$6,$G20,0))</f>
        <v/>
      </c>
      <c r="J20" s="11">
        <f>IF($B20="","",IF(COUNTIF(Players!$A$2:$A$500,$B20)=0,"Player is not on the Players tab",IF(NOT(ISNUMBER($C20)),"Enter a gross score",IF(COUNTIFS($A$5:$A$1668,$A20,$B$5:$B$1668,$B20)&gt;1,"Player is listed twice this week",IF(AND($D20&lt;&gt;"",COUNTIFS($A$5:$A$1668,$A20,$D$5:$D$1668,$D20)&gt;1),"Two players picked as "&amp;$D20,IF(COUNTIFS($A$5:$A$1668,$A20,$D$5:$D$1668,"Gross winner")=0,"Pick this week's gross winner",IF(COUNTIFS($A$5:$A$1668,$A20,$D$5:$D$1668,"Net winner")=0,"Pick this week's net winner","OK")))))))</f>
        <v/>
      </c>
    </row>
    <row r="21" outlineLevel="1">
      <c r="A21" s="13" t="n">
        <v>46393</v>
      </c>
      <c r="E21" s="11">
        <f>IF(OR($B21="",NOT(ISNUMBER($C21))),"",COUNTIFS($A$5:$A$1668,$A21,$C$5:$C$1668,"&lt;"&amp;$C21)+1)</f>
        <v/>
      </c>
      <c r="F21" s="11">
        <f>IF(OR($B21="",NOT(ISNUMBER($C21))),"",COUNTIFS($A$5:$A$1668,$A21,$C$5:$C$1668,"&gt;0"))</f>
        <v/>
      </c>
      <c r="G21" s="11">
        <f>IF(OR($B21="",NOT(ISNUMBER($C21))),"",IF($D21&lt;&gt;"",ROUND(Points!$B$6*IF($F21&lt;Points!$H$4,Points!$H$5,1),0),ROUND(Points!$B$6*IF($F21&lt;=1,1,Points!$H$7+(1-Points!$H$7)*((($F21-$E21)*(($F21-$E21)+1)/2)^2-((($F21-$E21-COUNTIFS($A$5:$A$1668,$A21,$C$5:$C$1668,$C21)+1)-1)*($F21-$E21-COUNTIFS($A$5:$A$1668,$A21,$C$5:$C$1668,$C21)+1)/2)^2)/(COUNTIFS($A$5:$A$1668,$A21,$C$5:$C$1668,$C21)*($F21-1)^3))*IF($F21&lt;Points!$H$4,Points!$H$5,1),0)))</f>
        <v/>
      </c>
      <c r="H21" s="11">
        <f>IF($G21="","",COUNTIFS($B$5:$B$1668,$B21,$G$5:$G$1668,"&gt;"&amp;$G21)+COUNTIFS($B$4:$B20,$B21,$G$4:$G20,$G21)+1)</f>
        <v/>
      </c>
      <c r="I21" s="11">
        <f>IF($G21="","",IF($H21&lt;=Points!$H$6,$G21,0))</f>
        <v/>
      </c>
      <c r="J21" s="11">
        <f>IF($B21="","",IF(COUNTIF(Players!$A$2:$A$500,$B21)=0,"Player is not on the Players tab",IF(NOT(ISNUMBER($C21)),"Enter a gross score",IF(COUNTIFS($A$5:$A$1668,$A21,$B$5:$B$1668,$B21)&gt;1,"Player is listed twice this week",IF(AND($D21&lt;&gt;"",COUNTIFS($A$5:$A$1668,$A21,$D$5:$D$1668,$D21)&gt;1),"Two players picked as "&amp;$D21,IF(COUNTIFS($A$5:$A$1668,$A21,$D$5:$D$1668,"Gross winner")=0,"Pick this week's gross winner",IF(COUNTIFS($A$5:$A$1668,$A21,$D$5:$D$1668,"Net winner")=0,"Pick this week's net winner","OK")))))))</f>
        <v/>
      </c>
    </row>
    <row r="22" outlineLevel="1">
      <c r="A22" s="13" t="n">
        <v>46393</v>
      </c>
      <c r="E22" s="11">
        <f>IF(OR($B22="",NOT(ISNUMBER($C22))),"",COUNTIFS($A$5:$A$1668,$A22,$C$5:$C$1668,"&lt;"&amp;$C22)+1)</f>
        <v/>
      </c>
      <c r="F22" s="11">
        <f>IF(OR($B22="",NOT(ISNUMBER($C22))),"",COUNTIFS($A$5:$A$1668,$A22,$C$5:$C$1668,"&gt;0"))</f>
        <v/>
      </c>
      <c r="G22" s="11">
        <f>IF(OR($B22="",NOT(ISNUMBER($C22))),"",IF($D22&lt;&gt;"",ROUND(Points!$B$6*IF($F22&lt;Points!$H$4,Points!$H$5,1),0),ROUND(Points!$B$6*IF($F22&lt;=1,1,Points!$H$7+(1-Points!$H$7)*((($F22-$E22)*(($F22-$E22)+1)/2)^2-((($F22-$E22-COUNTIFS($A$5:$A$1668,$A22,$C$5:$C$1668,$C22)+1)-1)*($F22-$E22-COUNTIFS($A$5:$A$1668,$A22,$C$5:$C$1668,$C22)+1)/2)^2)/(COUNTIFS($A$5:$A$1668,$A22,$C$5:$C$1668,$C22)*($F22-1)^3))*IF($F22&lt;Points!$H$4,Points!$H$5,1),0)))</f>
        <v/>
      </c>
      <c r="H22" s="11">
        <f>IF($G22="","",COUNTIFS($B$5:$B$1668,$B22,$G$5:$G$1668,"&gt;"&amp;$G22)+COUNTIFS($B$4:$B21,$B22,$G$4:$G21,$G22)+1)</f>
        <v/>
      </c>
      <c r="I22" s="11">
        <f>IF($G22="","",IF($H22&lt;=Points!$H$6,$G22,0))</f>
        <v/>
      </c>
      <c r="J22" s="11">
        <f>IF($B22="","",IF(COUNTIF(Players!$A$2:$A$500,$B22)=0,"Player is not on the Players tab",IF(NOT(ISNUMBER($C22)),"Enter a gross score",IF(COUNTIFS($A$5:$A$1668,$A22,$B$5:$B$1668,$B22)&gt;1,"Player is listed twice this week",IF(AND($D22&lt;&gt;"",COUNTIFS($A$5:$A$1668,$A22,$D$5:$D$1668,$D22)&gt;1),"Two players picked as "&amp;$D22,IF(COUNTIFS($A$5:$A$1668,$A22,$D$5:$D$1668,"Gross winner")=0,"Pick this week's gross winner",IF(COUNTIFS($A$5:$A$1668,$A22,$D$5:$D$1668,"Net winner")=0,"Pick this week's net winner","OK")))))))</f>
        <v/>
      </c>
    </row>
    <row r="23" outlineLevel="1">
      <c r="A23" s="13" t="n">
        <v>46393</v>
      </c>
      <c r="E23" s="11">
        <f>IF(OR($B23="",NOT(ISNUMBER($C23))),"",COUNTIFS($A$5:$A$1668,$A23,$C$5:$C$1668,"&lt;"&amp;$C23)+1)</f>
        <v/>
      </c>
      <c r="F23" s="11">
        <f>IF(OR($B23="",NOT(ISNUMBER($C23))),"",COUNTIFS($A$5:$A$1668,$A23,$C$5:$C$1668,"&gt;0"))</f>
        <v/>
      </c>
      <c r="G23" s="11">
        <f>IF(OR($B23="",NOT(ISNUMBER($C23))),"",IF($D23&lt;&gt;"",ROUND(Points!$B$6*IF($F23&lt;Points!$H$4,Points!$H$5,1),0),ROUND(Points!$B$6*IF($F23&lt;=1,1,Points!$H$7+(1-Points!$H$7)*((($F23-$E23)*(($F23-$E23)+1)/2)^2-((($F23-$E23-COUNTIFS($A$5:$A$1668,$A23,$C$5:$C$1668,$C23)+1)-1)*($F23-$E23-COUNTIFS($A$5:$A$1668,$A23,$C$5:$C$1668,$C23)+1)/2)^2)/(COUNTIFS($A$5:$A$1668,$A23,$C$5:$C$1668,$C23)*($F23-1)^3))*IF($F23&lt;Points!$H$4,Points!$H$5,1),0)))</f>
        <v/>
      </c>
      <c r="H23" s="11">
        <f>IF($G23="","",COUNTIFS($B$5:$B$1668,$B23,$G$5:$G$1668,"&gt;"&amp;$G23)+COUNTIFS($B$4:$B22,$B23,$G$4:$G22,$G23)+1)</f>
        <v/>
      </c>
      <c r="I23" s="11">
        <f>IF($G23="","",IF($H23&lt;=Points!$H$6,$G23,0))</f>
        <v/>
      </c>
      <c r="J23" s="11">
        <f>IF($B23="","",IF(COUNTIF(Players!$A$2:$A$500,$B23)=0,"Player is not on the Players tab",IF(NOT(ISNUMBER($C23)),"Enter a gross score",IF(COUNTIFS($A$5:$A$1668,$A23,$B$5:$B$1668,$B23)&gt;1,"Player is listed twice this week",IF(AND($D23&lt;&gt;"",COUNTIFS($A$5:$A$1668,$A23,$D$5:$D$1668,$D23)&gt;1),"Two players picked as "&amp;$D23,IF(COUNTIFS($A$5:$A$1668,$A23,$D$5:$D$1668,"Gross winner")=0,"Pick this week's gross winner",IF(COUNTIFS($A$5:$A$1668,$A23,$D$5:$D$1668,"Net winner")=0,"Pick this week's net winner","OK")))))))</f>
        <v/>
      </c>
    </row>
    <row r="24" outlineLevel="1">
      <c r="A24" s="13" t="n">
        <v>46393</v>
      </c>
      <c r="E24" s="11">
        <f>IF(OR($B24="",NOT(ISNUMBER($C24))),"",COUNTIFS($A$5:$A$1668,$A24,$C$5:$C$1668,"&lt;"&amp;$C24)+1)</f>
        <v/>
      </c>
      <c r="F24" s="11">
        <f>IF(OR($B24="",NOT(ISNUMBER($C24))),"",COUNTIFS($A$5:$A$1668,$A24,$C$5:$C$1668,"&gt;0"))</f>
        <v/>
      </c>
      <c r="G24" s="11">
        <f>IF(OR($B24="",NOT(ISNUMBER($C24))),"",IF($D24&lt;&gt;"",ROUND(Points!$B$6*IF($F24&lt;Points!$H$4,Points!$H$5,1),0),ROUND(Points!$B$6*IF($F24&lt;=1,1,Points!$H$7+(1-Points!$H$7)*((($F24-$E24)*(($F24-$E24)+1)/2)^2-((($F24-$E24-COUNTIFS($A$5:$A$1668,$A24,$C$5:$C$1668,$C24)+1)-1)*($F24-$E24-COUNTIFS($A$5:$A$1668,$A24,$C$5:$C$1668,$C24)+1)/2)^2)/(COUNTIFS($A$5:$A$1668,$A24,$C$5:$C$1668,$C24)*($F24-1)^3))*IF($F24&lt;Points!$H$4,Points!$H$5,1),0)))</f>
        <v/>
      </c>
      <c r="H24" s="11">
        <f>IF($G24="","",COUNTIFS($B$5:$B$1668,$B24,$G$5:$G$1668,"&gt;"&amp;$G24)+COUNTIFS($B$4:$B23,$B24,$G$4:$G23,$G24)+1)</f>
        <v/>
      </c>
      <c r="I24" s="11">
        <f>IF($G24="","",IF($H24&lt;=Points!$H$6,$G24,0))</f>
        <v/>
      </c>
      <c r="J24" s="11">
        <f>IF($B24="","",IF(COUNTIF(Players!$A$2:$A$500,$B24)=0,"Player is not on the Players tab",IF(NOT(ISNUMBER($C24)),"Enter a gross score",IF(COUNTIFS($A$5:$A$1668,$A24,$B$5:$B$1668,$B24)&gt;1,"Player is listed twice this week",IF(AND($D24&lt;&gt;"",COUNTIFS($A$5:$A$1668,$A24,$D$5:$D$1668,$D24)&gt;1),"Two players picked as "&amp;$D24,IF(COUNTIFS($A$5:$A$1668,$A24,$D$5:$D$1668,"Gross winner")=0,"Pick this week's gross winner",IF(COUNTIFS($A$5:$A$1668,$A24,$D$5:$D$1668,"Net winner")=0,"Pick this week's net winner","OK")))))))</f>
        <v/>
      </c>
    </row>
    <row r="25" outlineLevel="1">
      <c r="A25" s="13" t="n">
        <v>46393</v>
      </c>
      <c r="E25" s="11">
        <f>IF(OR($B25="",NOT(ISNUMBER($C25))),"",COUNTIFS($A$5:$A$1668,$A25,$C$5:$C$1668,"&lt;"&amp;$C25)+1)</f>
        <v/>
      </c>
      <c r="F25" s="11">
        <f>IF(OR($B25="",NOT(ISNUMBER($C25))),"",COUNTIFS($A$5:$A$1668,$A25,$C$5:$C$1668,"&gt;0"))</f>
        <v/>
      </c>
      <c r="G25" s="11">
        <f>IF(OR($B25="",NOT(ISNUMBER($C25))),"",IF($D25&lt;&gt;"",ROUND(Points!$B$6*IF($F25&lt;Points!$H$4,Points!$H$5,1),0),ROUND(Points!$B$6*IF($F25&lt;=1,1,Points!$H$7+(1-Points!$H$7)*((($F25-$E25)*(($F25-$E25)+1)/2)^2-((($F25-$E25-COUNTIFS($A$5:$A$1668,$A25,$C$5:$C$1668,$C25)+1)-1)*($F25-$E25-COUNTIFS($A$5:$A$1668,$A25,$C$5:$C$1668,$C25)+1)/2)^2)/(COUNTIFS($A$5:$A$1668,$A25,$C$5:$C$1668,$C25)*($F25-1)^3))*IF($F25&lt;Points!$H$4,Points!$H$5,1),0)))</f>
        <v/>
      </c>
      <c r="H25" s="11">
        <f>IF($G25="","",COUNTIFS($B$5:$B$1668,$B25,$G$5:$G$1668,"&gt;"&amp;$G25)+COUNTIFS($B$4:$B24,$B25,$G$4:$G24,$G25)+1)</f>
        <v/>
      </c>
      <c r="I25" s="11">
        <f>IF($G25="","",IF($H25&lt;=Points!$H$6,$G25,0))</f>
        <v/>
      </c>
      <c r="J25" s="11">
        <f>IF($B25="","",IF(COUNTIF(Players!$A$2:$A$500,$B25)=0,"Player is not on the Players tab",IF(NOT(ISNUMBER($C25)),"Enter a gross score",IF(COUNTIFS($A$5:$A$1668,$A25,$B$5:$B$1668,$B25)&gt;1,"Player is listed twice this week",IF(AND($D25&lt;&gt;"",COUNTIFS($A$5:$A$1668,$A25,$D$5:$D$1668,$D25)&gt;1),"Two players picked as "&amp;$D25,IF(COUNTIFS($A$5:$A$1668,$A25,$D$5:$D$1668,"Gross winner")=0,"Pick this week's gross winner",IF(COUNTIFS($A$5:$A$1668,$A25,$D$5:$D$1668,"Net winner")=0,"Pick this week's net winner","OK")))))))</f>
        <v/>
      </c>
    </row>
    <row r="26" outlineLevel="1">
      <c r="A26" s="13" t="n">
        <v>46393</v>
      </c>
      <c r="E26" s="11">
        <f>IF(OR($B26="",NOT(ISNUMBER($C26))),"",COUNTIFS($A$5:$A$1668,$A26,$C$5:$C$1668,"&lt;"&amp;$C26)+1)</f>
        <v/>
      </c>
      <c r="F26" s="11">
        <f>IF(OR($B26="",NOT(ISNUMBER($C26))),"",COUNTIFS($A$5:$A$1668,$A26,$C$5:$C$1668,"&gt;0"))</f>
        <v/>
      </c>
      <c r="G26" s="11">
        <f>IF(OR($B26="",NOT(ISNUMBER($C26))),"",IF($D26&lt;&gt;"",ROUND(Points!$B$6*IF($F26&lt;Points!$H$4,Points!$H$5,1),0),ROUND(Points!$B$6*IF($F26&lt;=1,1,Points!$H$7+(1-Points!$H$7)*((($F26-$E26)*(($F26-$E26)+1)/2)^2-((($F26-$E26-COUNTIFS($A$5:$A$1668,$A26,$C$5:$C$1668,$C26)+1)-1)*($F26-$E26-COUNTIFS($A$5:$A$1668,$A26,$C$5:$C$1668,$C26)+1)/2)^2)/(COUNTIFS($A$5:$A$1668,$A26,$C$5:$C$1668,$C26)*($F26-1)^3))*IF($F26&lt;Points!$H$4,Points!$H$5,1),0)))</f>
        <v/>
      </c>
      <c r="H26" s="11">
        <f>IF($G26="","",COUNTIFS($B$5:$B$1668,$B26,$G$5:$G$1668,"&gt;"&amp;$G26)+COUNTIFS($B$4:$B25,$B26,$G$4:$G25,$G26)+1)</f>
        <v/>
      </c>
      <c r="I26" s="11">
        <f>IF($G26="","",IF($H26&lt;=Points!$H$6,$G26,0))</f>
        <v/>
      </c>
      <c r="J26" s="11">
        <f>IF($B26="","",IF(COUNTIF(Players!$A$2:$A$500,$B26)=0,"Player is not on the Players tab",IF(NOT(ISNUMBER($C26)),"Enter a gross score",IF(COUNTIFS($A$5:$A$1668,$A26,$B$5:$B$1668,$B26)&gt;1,"Player is listed twice this week",IF(AND($D26&lt;&gt;"",COUNTIFS($A$5:$A$1668,$A26,$D$5:$D$1668,$D26)&gt;1),"Two players picked as "&amp;$D26,IF(COUNTIFS($A$5:$A$1668,$A26,$D$5:$D$1668,"Gross winner")=0,"Pick this week's gross winner",IF(COUNTIFS($A$5:$A$1668,$A26,$D$5:$D$1668,"Net winner")=0,"Pick this week's net winner","OK")))))))</f>
        <v/>
      </c>
    </row>
    <row r="27" outlineLevel="1">
      <c r="A27" s="13" t="n">
        <v>46393</v>
      </c>
      <c r="E27" s="11">
        <f>IF(OR($B27="",NOT(ISNUMBER($C27))),"",COUNTIFS($A$5:$A$1668,$A27,$C$5:$C$1668,"&lt;"&amp;$C27)+1)</f>
        <v/>
      </c>
      <c r="F27" s="11">
        <f>IF(OR($B27="",NOT(ISNUMBER($C27))),"",COUNTIFS($A$5:$A$1668,$A27,$C$5:$C$1668,"&gt;0"))</f>
        <v/>
      </c>
      <c r="G27" s="11">
        <f>IF(OR($B27="",NOT(ISNUMBER($C27))),"",IF($D27&lt;&gt;"",ROUND(Points!$B$6*IF($F27&lt;Points!$H$4,Points!$H$5,1),0),ROUND(Points!$B$6*IF($F27&lt;=1,1,Points!$H$7+(1-Points!$H$7)*((($F27-$E27)*(($F27-$E27)+1)/2)^2-((($F27-$E27-COUNTIFS($A$5:$A$1668,$A27,$C$5:$C$1668,$C27)+1)-1)*($F27-$E27-COUNTIFS($A$5:$A$1668,$A27,$C$5:$C$1668,$C27)+1)/2)^2)/(COUNTIFS($A$5:$A$1668,$A27,$C$5:$C$1668,$C27)*($F27-1)^3))*IF($F27&lt;Points!$H$4,Points!$H$5,1),0)))</f>
        <v/>
      </c>
      <c r="H27" s="11">
        <f>IF($G27="","",COUNTIFS($B$5:$B$1668,$B27,$G$5:$G$1668,"&gt;"&amp;$G27)+COUNTIFS($B$4:$B26,$B27,$G$4:$G26,$G27)+1)</f>
        <v/>
      </c>
      <c r="I27" s="11">
        <f>IF($G27="","",IF($H27&lt;=Points!$H$6,$G27,0))</f>
        <v/>
      </c>
      <c r="J27" s="11">
        <f>IF($B27="","",IF(COUNTIF(Players!$A$2:$A$500,$B27)=0,"Player is not on the Players tab",IF(NOT(ISNUMBER($C27)),"Enter a gross score",IF(COUNTIFS($A$5:$A$1668,$A27,$B$5:$B$1668,$B27)&gt;1,"Player is listed twice this week",IF(AND($D27&lt;&gt;"",COUNTIFS($A$5:$A$1668,$A27,$D$5:$D$1668,$D27)&gt;1),"Two players picked as "&amp;$D27,IF(COUNTIFS($A$5:$A$1668,$A27,$D$5:$D$1668,"Gross winner")=0,"Pick this week's gross winner",IF(COUNTIFS($A$5:$A$1668,$A27,$D$5:$D$1668,"Net winner")=0,"Pick this week's net winner","OK")))))))</f>
        <v/>
      </c>
    </row>
    <row r="28" outlineLevel="1">
      <c r="A28" s="13" t="n">
        <v>46393</v>
      </c>
      <c r="E28" s="11">
        <f>IF(OR($B28="",NOT(ISNUMBER($C28))),"",COUNTIFS($A$5:$A$1668,$A28,$C$5:$C$1668,"&lt;"&amp;$C28)+1)</f>
        <v/>
      </c>
      <c r="F28" s="11">
        <f>IF(OR($B28="",NOT(ISNUMBER($C28))),"",COUNTIFS($A$5:$A$1668,$A28,$C$5:$C$1668,"&gt;0"))</f>
        <v/>
      </c>
      <c r="G28" s="11">
        <f>IF(OR($B28="",NOT(ISNUMBER($C28))),"",IF($D28&lt;&gt;"",ROUND(Points!$B$6*IF($F28&lt;Points!$H$4,Points!$H$5,1),0),ROUND(Points!$B$6*IF($F28&lt;=1,1,Points!$H$7+(1-Points!$H$7)*((($F28-$E28)*(($F28-$E28)+1)/2)^2-((($F28-$E28-COUNTIFS($A$5:$A$1668,$A28,$C$5:$C$1668,$C28)+1)-1)*($F28-$E28-COUNTIFS($A$5:$A$1668,$A28,$C$5:$C$1668,$C28)+1)/2)^2)/(COUNTIFS($A$5:$A$1668,$A28,$C$5:$C$1668,$C28)*($F28-1)^3))*IF($F28&lt;Points!$H$4,Points!$H$5,1),0)))</f>
        <v/>
      </c>
      <c r="H28" s="11">
        <f>IF($G28="","",COUNTIFS($B$5:$B$1668,$B28,$G$5:$G$1668,"&gt;"&amp;$G28)+COUNTIFS($B$4:$B27,$B28,$G$4:$G27,$G28)+1)</f>
        <v/>
      </c>
      <c r="I28" s="11">
        <f>IF($G28="","",IF($H28&lt;=Points!$H$6,$G28,0))</f>
        <v/>
      </c>
      <c r="J28" s="11">
        <f>IF($B28="","",IF(COUNTIF(Players!$A$2:$A$500,$B28)=0,"Player is not on the Players tab",IF(NOT(ISNUMBER($C28)),"Enter a gross score",IF(COUNTIFS($A$5:$A$1668,$A28,$B$5:$B$1668,$B28)&gt;1,"Player is listed twice this week",IF(AND($D28&lt;&gt;"",COUNTIFS($A$5:$A$1668,$A28,$D$5:$D$1668,$D28)&gt;1),"Two players picked as "&amp;$D28,IF(COUNTIFS($A$5:$A$1668,$A28,$D$5:$D$1668,"Gross winner")=0,"Pick this week's gross winner",IF(COUNTIFS($A$5:$A$1668,$A28,$D$5:$D$1668,"Net winner")=0,"Pick this week's net winner","OK")))))))</f>
        <v/>
      </c>
    </row>
    <row r="29" outlineLevel="1">
      <c r="A29" s="13" t="n">
        <v>46393</v>
      </c>
      <c r="E29" s="11">
        <f>IF(OR($B29="",NOT(ISNUMBER($C29))),"",COUNTIFS($A$5:$A$1668,$A29,$C$5:$C$1668,"&lt;"&amp;$C29)+1)</f>
        <v/>
      </c>
      <c r="F29" s="11">
        <f>IF(OR($B29="",NOT(ISNUMBER($C29))),"",COUNTIFS($A$5:$A$1668,$A29,$C$5:$C$1668,"&gt;0"))</f>
        <v/>
      </c>
      <c r="G29" s="11">
        <f>IF(OR($B29="",NOT(ISNUMBER($C29))),"",IF($D29&lt;&gt;"",ROUND(Points!$B$6*IF($F29&lt;Points!$H$4,Points!$H$5,1),0),ROUND(Points!$B$6*IF($F29&lt;=1,1,Points!$H$7+(1-Points!$H$7)*((($F29-$E29)*(($F29-$E29)+1)/2)^2-((($F29-$E29-COUNTIFS($A$5:$A$1668,$A29,$C$5:$C$1668,$C29)+1)-1)*($F29-$E29-COUNTIFS($A$5:$A$1668,$A29,$C$5:$C$1668,$C29)+1)/2)^2)/(COUNTIFS($A$5:$A$1668,$A29,$C$5:$C$1668,$C29)*($F29-1)^3))*IF($F29&lt;Points!$H$4,Points!$H$5,1),0)))</f>
        <v/>
      </c>
      <c r="H29" s="11">
        <f>IF($G29="","",COUNTIFS($B$5:$B$1668,$B29,$G$5:$G$1668,"&gt;"&amp;$G29)+COUNTIFS($B$4:$B28,$B29,$G$4:$G28,$G29)+1)</f>
        <v/>
      </c>
      <c r="I29" s="11">
        <f>IF($G29="","",IF($H29&lt;=Points!$H$6,$G29,0))</f>
        <v/>
      </c>
      <c r="J29" s="11">
        <f>IF($B29="","",IF(COUNTIF(Players!$A$2:$A$500,$B29)=0,"Player is not on the Players tab",IF(NOT(ISNUMBER($C29)),"Enter a gross score",IF(COUNTIFS($A$5:$A$1668,$A29,$B$5:$B$1668,$B29)&gt;1,"Player is listed twice this week",IF(AND($D29&lt;&gt;"",COUNTIFS($A$5:$A$1668,$A29,$D$5:$D$1668,$D29)&gt;1),"Two players picked as "&amp;$D29,IF(COUNTIFS($A$5:$A$1668,$A29,$D$5:$D$1668,"Gross winner")=0,"Pick this week's gross winner",IF(COUNTIFS($A$5:$A$1668,$A29,$D$5:$D$1668,"Net winner")=0,"Pick this week's net winner","OK")))))))</f>
        <v/>
      </c>
    </row>
    <row r="30" outlineLevel="1">
      <c r="A30" s="13" t="n">
        <v>46393</v>
      </c>
      <c r="E30" s="11">
        <f>IF(OR($B30="",NOT(ISNUMBER($C30))),"",COUNTIFS($A$5:$A$1668,$A30,$C$5:$C$1668,"&lt;"&amp;$C30)+1)</f>
        <v/>
      </c>
      <c r="F30" s="11">
        <f>IF(OR($B30="",NOT(ISNUMBER($C30))),"",COUNTIFS($A$5:$A$1668,$A30,$C$5:$C$1668,"&gt;0"))</f>
        <v/>
      </c>
      <c r="G30" s="11">
        <f>IF(OR($B30="",NOT(ISNUMBER($C30))),"",IF($D30&lt;&gt;"",ROUND(Points!$B$6*IF($F30&lt;Points!$H$4,Points!$H$5,1),0),ROUND(Points!$B$6*IF($F30&lt;=1,1,Points!$H$7+(1-Points!$H$7)*((($F30-$E30)*(($F30-$E30)+1)/2)^2-((($F30-$E30-COUNTIFS($A$5:$A$1668,$A30,$C$5:$C$1668,$C30)+1)-1)*($F30-$E30-COUNTIFS($A$5:$A$1668,$A30,$C$5:$C$1668,$C30)+1)/2)^2)/(COUNTIFS($A$5:$A$1668,$A30,$C$5:$C$1668,$C30)*($F30-1)^3))*IF($F30&lt;Points!$H$4,Points!$H$5,1),0)))</f>
        <v/>
      </c>
      <c r="H30" s="11">
        <f>IF($G30="","",COUNTIFS($B$5:$B$1668,$B30,$G$5:$G$1668,"&gt;"&amp;$G30)+COUNTIFS($B$4:$B29,$B30,$G$4:$G29,$G30)+1)</f>
        <v/>
      </c>
      <c r="I30" s="11">
        <f>IF($G30="","",IF($H30&lt;=Points!$H$6,$G30,0))</f>
        <v/>
      </c>
      <c r="J30" s="11">
        <f>IF($B30="","",IF(COUNTIF(Players!$A$2:$A$500,$B30)=0,"Player is not on the Players tab",IF(NOT(ISNUMBER($C30)),"Enter a gross score",IF(COUNTIFS($A$5:$A$1668,$A30,$B$5:$B$1668,$B30)&gt;1,"Player is listed twice this week",IF(AND($D30&lt;&gt;"",COUNTIFS($A$5:$A$1668,$A30,$D$5:$D$1668,$D30)&gt;1),"Two players picked as "&amp;$D30,IF(COUNTIFS($A$5:$A$1668,$A30,$D$5:$D$1668,"Gross winner")=0,"Pick this week's gross winner",IF(COUNTIFS($A$5:$A$1668,$A30,$D$5:$D$1668,"Net winner")=0,"Pick this week's net winner","OK")))))))</f>
        <v/>
      </c>
    </row>
    <row r="31" outlineLevel="1">
      <c r="A31" s="13" t="n">
        <v>46393</v>
      </c>
      <c r="E31" s="11">
        <f>IF(OR($B31="",NOT(ISNUMBER($C31))),"",COUNTIFS($A$5:$A$1668,$A31,$C$5:$C$1668,"&lt;"&amp;$C31)+1)</f>
        <v/>
      </c>
      <c r="F31" s="11">
        <f>IF(OR($B31="",NOT(ISNUMBER($C31))),"",COUNTIFS($A$5:$A$1668,$A31,$C$5:$C$1668,"&gt;0"))</f>
        <v/>
      </c>
      <c r="G31" s="11">
        <f>IF(OR($B31="",NOT(ISNUMBER($C31))),"",IF($D31&lt;&gt;"",ROUND(Points!$B$6*IF($F31&lt;Points!$H$4,Points!$H$5,1),0),ROUND(Points!$B$6*IF($F31&lt;=1,1,Points!$H$7+(1-Points!$H$7)*((($F31-$E31)*(($F31-$E31)+1)/2)^2-((($F31-$E31-COUNTIFS($A$5:$A$1668,$A31,$C$5:$C$1668,$C31)+1)-1)*($F31-$E31-COUNTIFS($A$5:$A$1668,$A31,$C$5:$C$1668,$C31)+1)/2)^2)/(COUNTIFS($A$5:$A$1668,$A31,$C$5:$C$1668,$C31)*($F31-1)^3))*IF($F31&lt;Points!$H$4,Points!$H$5,1),0)))</f>
        <v/>
      </c>
      <c r="H31" s="11">
        <f>IF($G31="","",COUNTIFS($B$5:$B$1668,$B31,$G$5:$G$1668,"&gt;"&amp;$G31)+COUNTIFS($B$4:$B30,$B31,$G$4:$G30,$G31)+1)</f>
        <v/>
      </c>
      <c r="I31" s="11">
        <f>IF($G31="","",IF($H31&lt;=Points!$H$6,$G31,0))</f>
        <v/>
      </c>
      <c r="J31" s="11">
        <f>IF($B31="","",IF(COUNTIF(Players!$A$2:$A$500,$B31)=0,"Player is not on the Players tab",IF(NOT(ISNUMBER($C31)),"Enter a gross score",IF(COUNTIFS($A$5:$A$1668,$A31,$B$5:$B$1668,$B31)&gt;1,"Player is listed twice this week",IF(AND($D31&lt;&gt;"",COUNTIFS($A$5:$A$1668,$A31,$D$5:$D$1668,$D31)&gt;1),"Two players picked as "&amp;$D31,IF(COUNTIFS($A$5:$A$1668,$A31,$D$5:$D$1668,"Gross winner")=0,"Pick this week's gross winner",IF(COUNTIFS($A$5:$A$1668,$A31,$D$5:$D$1668,"Net winner")=0,"Pick this week's net winner","OK")))))))</f>
        <v/>
      </c>
    </row>
    <row r="32" outlineLevel="1">
      <c r="A32" s="13" t="n">
        <v>46393</v>
      </c>
      <c r="E32" s="11">
        <f>IF(OR($B32="",NOT(ISNUMBER($C32))),"",COUNTIFS($A$5:$A$1668,$A32,$C$5:$C$1668,"&lt;"&amp;$C32)+1)</f>
        <v/>
      </c>
      <c r="F32" s="11">
        <f>IF(OR($B32="",NOT(ISNUMBER($C32))),"",COUNTIFS($A$5:$A$1668,$A32,$C$5:$C$1668,"&gt;0"))</f>
        <v/>
      </c>
      <c r="G32" s="11">
        <f>IF(OR($B32="",NOT(ISNUMBER($C32))),"",IF($D32&lt;&gt;"",ROUND(Points!$B$6*IF($F32&lt;Points!$H$4,Points!$H$5,1),0),ROUND(Points!$B$6*IF($F32&lt;=1,1,Points!$H$7+(1-Points!$H$7)*((($F32-$E32)*(($F32-$E32)+1)/2)^2-((($F32-$E32-COUNTIFS($A$5:$A$1668,$A32,$C$5:$C$1668,$C32)+1)-1)*($F32-$E32-COUNTIFS($A$5:$A$1668,$A32,$C$5:$C$1668,$C32)+1)/2)^2)/(COUNTIFS($A$5:$A$1668,$A32,$C$5:$C$1668,$C32)*($F32-1)^3))*IF($F32&lt;Points!$H$4,Points!$H$5,1),0)))</f>
        <v/>
      </c>
      <c r="H32" s="11">
        <f>IF($G32="","",COUNTIFS($B$5:$B$1668,$B32,$G$5:$G$1668,"&gt;"&amp;$G32)+COUNTIFS($B$4:$B31,$B32,$G$4:$G31,$G32)+1)</f>
        <v/>
      </c>
      <c r="I32" s="11">
        <f>IF($G32="","",IF($H32&lt;=Points!$H$6,$G32,0))</f>
        <v/>
      </c>
      <c r="J32" s="11">
        <f>IF($B32="","",IF(COUNTIF(Players!$A$2:$A$500,$B32)=0,"Player is not on the Players tab",IF(NOT(ISNUMBER($C32)),"Enter a gross score",IF(COUNTIFS($A$5:$A$1668,$A32,$B$5:$B$1668,$B32)&gt;1,"Player is listed twice this week",IF(AND($D32&lt;&gt;"",COUNTIFS($A$5:$A$1668,$A32,$D$5:$D$1668,$D32)&gt;1),"Two players picked as "&amp;$D32,IF(COUNTIFS($A$5:$A$1668,$A32,$D$5:$D$1668,"Gross winner")=0,"Pick this week's gross winner",IF(COUNTIFS($A$5:$A$1668,$A32,$D$5:$D$1668,"Net winner")=0,"Pick this week's net winner","OK")))))))</f>
        <v/>
      </c>
    </row>
    <row r="33" outlineLevel="1">
      <c r="A33" s="13" t="n">
        <v>46393</v>
      </c>
      <c r="E33" s="11">
        <f>IF(OR($B33="",NOT(ISNUMBER($C33))),"",COUNTIFS($A$5:$A$1668,$A33,$C$5:$C$1668,"&lt;"&amp;$C33)+1)</f>
        <v/>
      </c>
      <c r="F33" s="11">
        <f>IF(OR($B33="",NOT(ISNUMBER($C33))),"",COUNTIFS($A$5:$A$1668,$A33,$C$5:$C$1668,"&gt;0"))</f>
        <v/>
      </c>
      <c r="G33" s="11">
        <f>IF(OR($B33="",NOT(ISNUMBER($C33))),"",IF($D33&lt;&gt;"",ROUND(Points!$B$6*IF($F33&lt;Points!$H$4,Points!$H$5,1),0),ROUND(Points!$B$6*IF($F33&lt;=1,1,Points!$H$7+(1-Points!$H$7)*((($F33-$E33)*(($F33-$E33)+1)/2)^2-((($F33-$E33-COUNTIFS($A$5:$A$1668,$A33,$C$5:$C$1668,$C33)+1)-1)*($F33-$E33-COUNTIFS($A$5:$A$1668,$A33,$C$5:$C$1668,$C33)+1)/2)^2)/(COUNTIFS($A$5:$A$1668,$A33,$C$5:$C$1668,$C33)*($F33-1)^3))*IF($F33&lt;Points!$H$4,Points!$H$5,1),0)))</f>
        <v/>
      </c>
      <c r="H33" s="11">
        <f>IF($G33="","",COUNTIFS($B$5:$B$1668,$B33,$G$5:$G$1668,"&gt;"&amp;$G33)+COUNTIFS($B$4:$B32,$B33,$G$4:$G32,$G33)+1)</f>
        <v/>
      </c>
      <c r="I33" s="11">
        <f>IF($G33="","",IF($H33&lt;=Points!$H$6,$G33,0))</f>
        <v/>
      </c>
      <c r="J33" s="11">
        <f>IF($B33="","",IF(COUNTIF(Players!$A$2:$A$500,$B33)=0,"Player is not on the Players tab",IF(NOT(ISNUMBER($C33)),"Enter a gross score",IF(COUNTIFS($A$5:$A$1668,$A33,$B$5:$B$1668,$B33)&gt;1,"Player is listed twice this week",IF(AND($D33&lt;&gt;"",COUNTIFS($A$5:$A$1668,$A33,$D$5:$D$1668,$D33)&gt;1),"Two players picked as "&amp;$D33,IF(COUNTIFS($A$5:$A$1668,$A33,$D$5:$D$1668,"Gross winner")=0,"Pick this week's gross winner",IF(COUNTIFS($A$5:$A$1668,$A33,$D$5:$D$1668,"Net winner")=0,"Pick this week's net winner","OK")))))))</f>
        <v/>
      </c>
    </row>
    <row r="34" outlineLevel="1">
      <c r="A34" s="13" t="n">
        <v>46393</v>
      </c>
      <c r="E34" s="11">
        <f>IF(OR($B34="",NOT(ISNUMBER($C34))),"",COUNTIFS($A$5:$A$1668,$A34,$C$5:$C$1668,"&lt;"&amp;$C34)+1)</f>
        <v/>
      </c>
      <c r="F34" s="11">
        <f>IF(OR($B34="",NOT(ISNUMBER($C34))),"",COUNTIFS($A$5:$A$1668,$A34,$C$5:$C$1668,"&gt;0"))</f>
        <v/>
      </c>
      <c r="G34" s="11">
        <f>IF(OR($B34="",NOT(ISNUMBER($C34))),"",IF($D34&lt;&gt;"",ROUND(Points!$B$6*IF($F34&lt;Points!$H$4,Points!$H$5,1),0),ROUND(Points!$B$6*IF($F34&lt;=1,1,Points!$H$7+(1-Points!$H$7)*((($F34-$E34)*(($F34-$E34)+1)/2)^2-((($F34-$E34-COUNTIFS($A$5:$A$1668,$A34,$C$5:$C$1668,$C34)+1)-1)*($F34-$E34-COUNTIFS($A$5:$A$1668,$A34,$C$5:$C$1668,$C34)+1)/2)^2)/(COUNTIFS($A$5:$A$1668,$A34,$C$5:$C$1668,$C34)*($F34-1)^3))*IF($F34&lt;Points!$H$4,Points!$H$5,1),0)))</f>
        <v/>
      </c>
      <c r="H34" s="11">
        <f>IF($G34="","",COUNTIFS($B$5:$B$1668,$B34,$G$5:$G$1668,"&gt;"&amp;$G34)+COUNTIFS($B$4:$B33,$B34,$G$4:$G33,$G34)+1)</f>
        <v/>
      </c>
      <c r="I34" s="11">
        <f>IF($G34="","",IF($H34&lt;=Points!$H$6,$G34,0))</f>
        <v/>
      </c>
      <c r="J34" s="11">
        <f>IF($B34="","",IF(COUNTIF(Players!$A$2:$A$500,$B34)=0,"Player is not on the Players tab",IF(NOT(ISNUMBER($C34)),"Enter a gross score",IF(COUNTIFS($A$5:$A$1668,$A34,$B$5:$B$1668,$B34)&gt;1,"Player is listed twice this week",IF(AND($D34&lt;&gt;"",COUNTIFS($A$5:$A$1668,$A34,$D$5:$D$1668,$D34)&gt;1),"Two players picked as "&amp;$D34,IF(COUNTIFS($A$5:$A$1668,$A34,$D$5:$D$1668,"Gross winner")=0,"Pick this week's gross winner",IF(COUNTIFS($A$5:$A$1668,$A34,$D$5:$D$1668,"Net winner")=0,"Pick this week's net winner","OK")))))))</f>
        <v/>
      </c>
    </row>
    <row r="35" outlineLevel="1">
      <c r="A35" s="13" t="n">
        <v>46393</v>
      </c>
      <c r="E35" s="11">
        <f>IF(OR($B35="",NOT(ISNUMBER($C35))),"",COUNTIFS($A$5:$A$1668,$A35,$C$5:$C$1668,"&lt;"&amp;$C35)+1)</f>
        <v/>
      </c>
      <c r="F35" s="11">
        <f>IF(OR($B35="",NOT(ISNUMBER($C35))),"",COUNTIFS($A$5:$A$1668,$A35,$C$5:$C$1668,"&gt;0"))</f>
        <v/>
      </c>
      <c r="G35" s="11">
        <f>IF(OR($B35="",NOT(ISNUMBER($C35))),"",IF($D35&lt;&gt;"",ROUND(Points!$B$6*IF($F35&lt;Points!$H$4,Points!$H$5,1),0),ROUND(Points!$B$6*IF($F35&lt;=1,1,Points!$H$7+(1-Points!$H$7)*((($F35-$E35)*(($F35-$E35)+1)/2)^2-((($F35-$E35-COUNTIFS($A$5:$A$1668,$A35,$C$5:$C$1668,$C35)+1)-1)*($F35-$E35-COUNTIFS($A$5:$A$1668,$A35,$C$5:$C$1668,$C35)+1)/2)^2)/(COUNTIFS($A$5:$A$1668,$A35,$C$5:$C$1668,$C35)*($F35-1)^3))*IF($F35&lt;Points!$H$4,Points!$H$5,1),0)))</f>
        <v/>
      </c>
      <c r="H35" s="11">
        <f>IF($G35="","",COUNTIFS($B$5:$B$1668,$B35,$G$5:$G$1668,"&gt;"&amp;$G35)+COUNTIFS($B$4:$B34,$B35,$G$4:$G34,$G35)+1)</f>
        <v/>
      </c>
      <c r="I35" s="11">
        <f>IF($G35="","",IF($H35&lt;=Points!$H$6,$G35,0))</f>
        <v/>
      </c>
      <c r="J35" s="11">
        <f>IF($B35="","",IF(COUNTIF(Players!$A$2:$A$500,$B35)=0,"Player is not on the Players tab",IF(NOT(ISNUMBER($C35)),"Enter a gross score",IF(COUNTIFS($A$5:$A$1668,$A35,$B$5:$B$1668,$B35)&gt;1,"Player is listed twice this week",IF(AND($D35&lt;&gt;"",COUNTIFS($A$5:$A$1668,$A35,$D$5:$D$1668,$D35)&gt;1),"Two players picked as "&amp;$D35,IF(COUNTIFS($A$5:$A$1668,$A35,$D$5:$D$1668,"Gross winner")=0,"Pick this week's gross winner",IF(COUNTIFS($A$5:$A$1668,$A35,$D$5:$D$1668,"Net winner")=0,"Pick this week's net winner","OK")))))))</f>
        <v/>
      </c>
    </row>
    <row r="36" ht="10" customHeight="1"/>
    <row r="37" ht="22" customHeight="1">
      <c r="A37" s="12" t="inlineStr">
        <is>
          <t>Week 2  ·  Wednesday, Jan 13</t>
        </is>
      </c>
    </row>
    <row r="38" outlineLevel="1">
      <c r="A38" s="13" t="n">
        <v>46400</v>
      </c>
      <c r="E38" s="11">
        <f>IF(OR($B38="",NOT(ISNUMBER($C38))),"",COUNTIFS($A$5:$A$1668,$A38,$C$5:$C$1668,"&lt;"&amp;$C38)+1)</f>
        <v/>
      </c>
      <c r="F38" s="11">
        <f>IF(OR($B38="",NOT(ISNUMBER($C38))),"",COUNTIFS($A$5:$A$1668,$A38,$C$5:$C$1668,"&gt;0"))</f>
        <v/>
      </c>
      <c r="G38" s="11">
        <f>IF(OR($B38="",NOT(ISNUMBER($C38))),"",IF($D38&lt;&gt;"",ROUND(Points!$B$6*IF($F38&lt;Points!$H$4,Points!$H$5,1),0),ROUND(Points!$B$6*IF($F38&lt;=1,1,Points!$H$7+(1-Points!$H$7)*((($F38-$E38)*(($F38-$E38)+1)/2)^2-((($F38-$E38-COUNTIFS($A$5:$A$1668,$A38,$C$5:$C$1668,$C38)+1)-1)*($F38-$E38-COUNTIFS($A$5:$A$1668,$A38,$C$5:$C$1668,$C38)+1)/2)^2)/(COUNTIFS($A$5:$A$1668,$A38,$C$5:$C$1668,$C38)*($F38-1)^3))*IF($F38&lt;Points!$H$4,Points!$H$5,1),0)))</f>
        <v/>
      </c>
      <c r="H38" s="11">
        <f>IF($G38="","",COUNTIFS($B$5:$B$1668,$B38,$G$5:$G$1668,"&gt;"&amp;$G38)+COUNTIFS($B$4:$B37,$B38,$G$4:$G37,$G38)+1)</f>
        <v/>
      </c>
      <c r="I38" s="11">
        <f>IF($G38="","",IF($H38&lt;=Points!$H$6,$G38,0))</f>
        <v/>
      </c>
      <c r="J38" s="11">
        <f>IF($B38="","",IF(COUNTIF(Players!$A$2:$A$500,$B38)=0,"Player is not on the Players tab",IF(NOT(ISNUMBER($C38)),"Enter a gross score",IF(COUNTIFS($A$5:$A$1668,$A38,$B$5:$B$1668,$B38)&gt;1,"Player is listed twice this week",IF(AND($D38&lt;&gt;"",COUNTIFS($A$5:$A$1668,$A38,$D$5:$D$1668,$D38)&gt;1),"Two players picked as "&amp;$D38,IF(COUNTIFS($A$5:$A$1668,$A38,$D$5:$D$1668,"Gross winner")=0,"Pick this week's gross winner",IF(COUNTIFS($A$5:$A$1668,$A38,$D$5:$D$1668,"Net winner")=0,"Pick this week's net winner","OK")))))))</f>
        <v/>
      </c>
    </row>
    <row r="39" outlineLevel="1">
      <c r="A39" s="13" t="n">
        <v>46400</v>
      </c>
      <c r="E39" s="11">
        <f>IF(OR($B39="",NOT(ISNUMBER($C39))),"",COUNTIFS($A$5:$A$1668,$A39,$C$5:$C$1668,"&lt;"&amp;$C39)+1)</f>
        <v/>
      </c>
      <c r="F39" s="11">
        <f>IF(OR($B39="",NOT(ISNUMBER($C39))),"",COUNTIFS($A$5:$A$1668,$A39,$C$5:$C$1668,"&gt;0"))</f>
        <v/>
      </c>
      <c r="G39" s="11">
        <f>IF(OR($B39="",NOT(ISNUMBER($C39))),"",IF($D39&lt;&gt;"",ROUND(Points!$B$6*IF($F39&lt;Points!$H$4,Points!$H$5,1),0),ROUND(Points!$B$6*IF($F39&lt;=1,1,Points!$H$7+(1-Points!$H$7)*((($F39-$E39)*(($F39-$E39)+1)/2)^2-((($F39-$E39-COUNTIFS($A$5:$A$1668,$A39,$C$5:$C$1668,$C39)+1)-1)*($F39-$E39-COUNTIFS($A$5:$A$1668,$A39,$C$5:$C$1668,$C39)+1)/2)^2)/(COUNTIFS($A$5:$A$1668,$A39,$C$5:$C$1668,$C39)*($F39-1)^3))*IF($F39&lt;Points!$H$4,Points!$H$5,1),0)))</f>
        <v/>
      </c>
      <c r="H39" s="11">
        <f>IF($G39="","",COUNTIFS($B$5:$B$1668,$B39,$G$5:$G$1668,"&gt;"&amp;$G39)+COUNTIFS($B$4:$B38,$B39,$G$4:$G38,$G39)+1)</f>
        <v/>
      </c>
      <c r="I39" s="11">
        <f>IF($G39="","",IF($H39&lt;=Points!$H$6,$G39,0))</f>
        <v/>
      </c>
      <c r="J39" s="11">
        <f>IF($B39="","",IF(COUNTIF(Players!$A$2:$A$500,$B39)=0,"Player is not on the Players tab",IF(NOT(ISNUMBER($C39)),"Enter a gross score",IF(COUNTIFS($A$5:$A$1668,$A39,$B$5:$B$1668,$B39)&gt;1,"Player is listed twice this week",IF(AND($D39&lt;&gt;"",COUNTIFS($A$5:$A$1668,$A39,$D$5:$D$1668,$D39)&gt;1),"Two players picked as "&amp;$D39,IF(COUNTIFS($A$5:$A$1668,$A39,$D$5:$D$1668,"Gross winner")=0,"Pick this week's gross winner",IF(COUNTIFS($A$5:$A$1668,$A39,$D$5:$D$1668,"Net winner")=0,"Pick this week's net winner","OK")))))))</f>
        <v/>
      </c>
    </row>
    <row r="40" outlineLevel="1">
      <c r="A40" s="13" t="n">
        <v>46400</v>
      </c>
      <c r="E40" s="11">
        <f>IF(OR($B40="",NOT(ISNUMBER($C40))),"",COUNTIFS($A$5:$A$1668,$A40,$C$5:$C$1668,"&lt;"&amp;$C40)+1)</f>
        <v/>
      </c>
      <c r="F40" s="11">
        <f>IF(OR($B40="",NOT(ISNUMBER($C40))),"",COUNTIFS($A$5:$A$1668,$A40,$C$5:$C$1668,"&gt;0"))</f>
        <v/>
      </c>
      <c r="G40" s="11">
        <f>IF(OR($B40="",NOT(ISNUMBER($C40))),"",IF($D40&lt;&gt;"",ROUND(Points!$B$6*IF($F40&lt;Points!$H$4,Points!$H$5,1),0),ROUND(Points!$B$6*IF($F40&lt;=1,1,Points!$H$7+(1-Points!$H$7)*((($F40-$E40)*(($F40-$E40)+1)/2)^2-((($F40-$E40-COUNTIFS($A$5:$A$1668,$A40,$C$5:$C$1668,$C40)+1)-1)*($F40-$E40-COUNTIFS($A$5:$A$1668,$A40,$C$5:$C$1668,$C40)+1)/2)^2)/(COUNTIFS($A$5:$A$1668,$A40,$C$5:$C$1668,$C40)*($F40-1)^3))*IF($F40&lt;Points!$H$4,Points!$H$5,1),0)))</f>
        <v/>
      </c>
      <c r="H40" s="11">
        <f>IF($G40="","",COUNTIFS($B$5:$B$1668,$B40,$G$5:$G$1668,"&gt;"&amp;$G40)+COUNTIFS($B$4:$B39,$B40,$G$4:$G39,$G40)+1)</f>
        <v/>
      </c>
      <c r="I40" s="11">
        <f>IF($G40="","",IF($H40&lt;=Points!$H$6,$G40,0))</f>
        <v/>
      </c>
      <c r="J40" s="11">
        <f>IF($B40="","",IF(COUNTIF(Players!$A$2:$A$500,$B40)=0,"Player is not on the Players tab",IF(NOT(ISNUMBER($C40)),"Enter a gross score",IF(COUNTIFS($A$5:$A$1668,$A40,$B$5:$B$1668,$B40)&gt;1,"Player is listed twice this week",IF(AND($D40&lt;&gt;"",COUNTIFS($A$5:$A$1668,$A40,$D$5:$D$1668,$D40)&gt;1),"Two players picked as "&amp;$D40,IF(COUNTIFS($A$5:$A$1668,$A40,$D$5:$D$1668,"Gross winner")=0,"Pick this week's gross winner",IF(COUNTIFS($A$5:$A$1668,$A40,$D$5:$D$1668,"Net winner")=0,"Pick this week's net winner","OK")))))))</f>
        <v/>
      </c>
    </row>
    <row r="41" outlineLevel="1">
      <c r="A41" s="13" t="n">
        <v>46400</v>
      </c>
      <c r="E41" s="11">
        <f>IF(OR($B41="",NOT(ISNUMBER($C41))),"",COUNTIFS($A$5:$A$1668,$A41,$C$5:$C$1668,"&lt;"&amp;$C41)+1)</f>
        <v/>
      </c>
      <c r="F41" s="11">
        <f>IF(OR($B41="",NOT(ISNUMBER($C41))),"",COUNTIFS($A$5:$A$1668,$A41,$C$5:$C$1668,"&gt;0"))</f>
        <v/>
      </c>
      <c r="G41" s="11">
        <f>IF(OR($B41="",NOT(ISNUMBER($C41))),"",IF($D41&lt;&gt;"",ROUND(Points!$B$6*IF($F41&lt;Points!$H$4,Points!$H$5,1),0),ROUND(Points!$B$6*IF($F41&lt;=1,1,Points!$H$7+(1-Points!$H$7)*((($F41-$E41)*(($F41-$E41)+1)/2)^2-((($F41-$E41-COUNTIFS($A$5:$A$1668,$A41,$C$5:$C$1668,$C41)+1)-1)*($F41-$E41-COUNTIFS($A$5:$A$1668,$A41,$C$5:$C$1668,$C41)+1)/2)^2)/(COUNTIFS($A$5:$A$1668,$A41,$C$5:$C$1668,$C41)*($F41-1)^3))*IF($F41&lt;Points!$H$4,Points!$H$5,1),0)))</f>
        <v/>
      </c>
      <c r="H41" s="11">
        <f>IF($G41="","",COUNTIFS($B$5:$B$1668,$B41,$G$5:$G$1668,"&gt;"&amp;$G41)+COUNTIFS($B$4:$B40,$B41,$G$4:$G40,$G41)+1)</f>
        <v/>
      </c>
      <c r="I41" s="11">
        <f>IF($G41="","",IF($H41&lt;=Points!$H$6,$G41,0))</f>
        <v/>
      </c>
      <c r="J41" s="11">
        <f>IF($B41="","",IF(COUNTIF(Players!$A$2:$A$500,$B41)=0,"Player is not on the Players tab",IF(NOT(ISNUMBER($C41)),"Enter a gross score",IF(COUNTIFS($A$5:$A$1668,$A41,$B$5:$B$1668,$B41)&gt;1,"Player is listed twice this week",IF(AND($D41&lt;&gt;"",COUNTIFS($A$5:$A$1668,$A41,$D$5:$D$1668,$D41)&gt;1),"Two players picked as "&amp;$D41,IF(COUNTIFS($A$5:$A$1668,$A41,$D$5:$D$1668,"Gross winner")=0,"Pick this week's gross winner",IF(COUNTIFS($A$5:$A$1668,$A41,$D$5:$D$1668,"Net winner")=0,"Pick this week's net winner","OK")))))))</f>
        <v/>
      </c>
    </row>
    <row r="42" outlineLevel="1">
      <c r="A42" s="13" t="n">
        <v>46400</v>
      </c>
      <c r="E42" s="11">
        <f>IF(OR($B42="",NOT(ISNUMBER($C42))),"",COUNTIFS($A$5:$A$1668,$A42,$C$5:$C$1668,"&lt;"&amp;$C42)+1)</f>
        <v/>
      </c>
      <c r="F42" s="11">
        <f>IF(OR($B42="",NOT(ISNUMBER($C42))),"",COUNTIFS($A$5:$A$1668,$A42,$C$5:$C$1668,"&gt;0"))</f>
        <v/>
      </c>
      <c r="G42" s="11">
        <f>IF(OR($B42="",NOT(ISNUMBER($C42))),"",IF($D42&lt;&gt;"",ROUND(Points!$B$6*IF($F42&lt;Points!$H$4,Points!$H$5,1),0),ROUND(Points!$B$6*IF($F42&lt;=1,1,Points!$H$7+(1-Points!$H$7)*((($F42-$E42)*(($F42-$E42)+1)/2)^2-((($F42-$E42-COUNTIFS($A$5:$A$1668,$A42,$C$5:$C$1668,$C42)+1)-1)*($F42-$E42-COUNTIFS($A$5:$A$1668,$A42,$C$5:$C$1668,$C42)+1)/2)^2)/(COUNTIFS($A$5:$A$1668,$A42,$C$5:$C$1668,$C42)*($F42-1)^3))*IF($F42&lt;Points!$H$4,Points!$H$5,1),0)))</f>
        <v/>
      </c>
      <c r="H42" s="11">
        <f>IF($G42="","",COUNTIFS($B$5:$B$1668,$B42,$G$5:$G$1668,"&gt;"&amp;$G42)+COUNTIFS($B$4:$B41,$B42,$G$4:$G41,$G42)+1)</f>
        <v/>
      </c>
      <c r="I42" s="11">
        <f>IF($G42="","",IF($H42&lt;=Points!$H$6,$G42,0))</f>
        <v/>
      </c>
      <c r="J42" s="11">
        <f>IF($B42="","",IF(COUNTIF(Players!$A$2:$A$500,$B42)=0,"Player is not on the Players tab",IF(NOT(ISNUMBER($C42)),"Enter a gross score",IF(COUNTIFS($A$5:$A$1668,$A42,$B$5:$B$1668,$B42)&gt;1,"Player is listed twice this week",IF(AND($D42&lt;&gt;"",COUNTIFS($A$5:$A$1668,$A42,$D$5:$D$1668,$D42)&gt;1),"Two players picked as "&amp;$D42,IF(COUNTIFS($A$5:$A$1668,$A42,$D$5:$D$1668,"Gross winner")=0,"Pick this week's gross winner",IF(COUNTIFS($A$5:$A$1668,$A42,$D$5:$D$1668,"Net winner")=0,"Pick this week's net winner","OK")))))))</f>
        <v/>
      </c>
    </row>
    <row r="43" outlineLevel="1">
      <c r="A43" s="13" t="n">
        <v>46400</v>
      </c>
      <c r="E43" s="11">
        <f>IF(OR($B43="",NOT(ISNUMBER($C43))),"",COUNTIFS($A$5:$A$1668,$A43,$C$5:$C$1668,"&lt;"&amp;$C43)+1)</f>
        <v/>
      </c>
      <c r="F43" s="11">
        <f>IF(OR($B43="",NOT(ISNUMBER($C43))),"",COUNTIFS($A$5:$A$1668,$A43,$C$5:$C$1668,"&gt;0"))</f>
        <v/>
      </c>
      <c r="G43" s="11">
        <f>IF(OR($B43="",NOT(ISNUMBER($C43))),"",IF($D43&lt;&gt;"",ROUND(Points!$B$6*IF($F43&lt;Points!$H$4,Points!$H$5,1),0),ROUND(Points!$B$6*IF($F43&lt;=1,1,Points!$H$7+(1-Points!$H$7)*((($F43-$E43)*(($F43-$E43)+1)/2)^2-((($F43-$E43-COUNTIFS($A$5:$A$1668,$A43,$C$5:$C$1668,$C43)+1)-1)*($F43-$E43-COUNTIFS($A$5:$A$1668,$A43,$C$5:$C$1668,$C43)+1)/2)^2)/(COUNTIFS($A$5:$A$1668,$A43,$C$5:$C$1668,$C43)*($F43-1)^3))*IF($F43&lt;Points!$H$4,Points!$H$5,1),0)))</f>
        <v/>
      </c>
      <c r="H43" s="11">
        <f>IF($G43="","",COUNTIFS($B$5:$B$1668,$B43,$G$5:$G$1668,"&gt;"&amp;$G43)+COUNTIFS($B$4:$B42,$B43,$G$4:$G42,$G43)+1)</f>
        <v/>
      </c>
      <c r="I43" s="11">
        <f>IF($G43="","",IF($H43&lt;=Points!$H$6,$G43,0))</f>
        <v/>
      </c>
      <c r="J43" s="11">
        <f>IF($B43="","",IF(COUNTIF(Players!$A$2:$A$500,$B43)=0,"Player is not on the Players tab",IF(NOT(ISNUMBER($C43)),"Enter a gross score",IF(COUNTIFS($A$5:$A$1668,$A43,$B$5:$B$1668,$B43)&gt;1,"Player is listed twice this week",IF(AND($D43&lt;&gt;"",COUNTIFS($A$5:$A$1668,$A43,$D$5:$D$1668,$D43)&gt;1),"Two players picked as "&amp;$D43,IF(COUNTIFS($A$5:$A$1668,$A43,$D$5:$D$1668,"Gross winner")=0,"Pick this week's gross winner",IF(COUNTIFS($A$5:$A$1668,$A43,$D$5:$D$1668,"Net winner")=0,"Pick this week's net winner","OK")))))))</f>
        <v/>
      </c>
    </row>
    <row r="44" outlineLevel="1">
      <c r="A44" s="13" t="n">
        <v>46400</v>
      </c>
      <c r="E44" s="11">
        <f>IF(OR($B44="",NOT(ISNUMBER($C44))),"",COUNTIFS($A$5:$A$1668,$A44,$C$5:$C$1668,"&lt;"&amp;$C44)+1)</f>
        <v/>
      </c>
      <c r="F44" s="11">
        <f>IF(OR($B44="",NOT(ISNUMBER($C44))),"",COUNTIFS($A$5:$A$1668,$A44,$C$5:$C$1668,"&gt;0"))</f>
        <v/>
      </c>
      <c r="G44" s="11">
        <f>IF(OR($B44="",NOT(ISNUMBER($C44))),"",IF($D44&lt;&gt;"",ROUND(Points!$B$6*IF($F44&lt;Points!$H$4,Points!$H$5,1),0),ROUND(Points!$B$6*IF($F44&lt;=1,1,Points!$H$7+(1-Points!$H$7)*((($F44-$E44)*(($F44-$E44)+1)/2)^2-((($F44-$E44-COUNTIFS($A$5:$A$1668,$A44,$C$5:$C$1668,$C44)+1)-1)*($F44-$E44-COUNTIFS($A$5:$A$1668,$A44,$C$5:$C$1668,$C44)+1)/2)^2)/(COUNTIFS($A$5:$A$1668,$A44,$C$5:$C$1668,$C44)*($F44-1)^3))*IF($F44&lt;Points!$H$4,Points!$H$5,1),0)))</f>
        <v/>
      </c>
      <c r="H44" s="11">
        <f>IF($G44="","",COUNTIFS($B$5:$B$1668,$B44,$G$5:$G$1668,"&gt;"&amp;$G44)+COUNTIFS($B$4:$B43,$B44,$G$4:$G43,$G44)+1)</f>
        <v/>
      </c>
      <c r="I44" s="11">
        <f>IF($G44="","",IF($H44&lt;=Points!$H$6,$G44,0))</f>
        <v/>
      </c>
      <c r="J44" s="11">
        <f>IF($B44="","",IF(COUNTIF(Players!$A$2:$A$500,$B44)=0,"Player is not on the Players tab",IF(NOT(ISNUMBER($C44)),"Enter a gross score",IF(COUNTIFS($A$5:$A$1668,$A44,$B$5:$B$1668,$B44)&gt;1,"Player is listed twice this week",IF(AND($D44&lt;&gt;"",COUNTIFS($A$5:$A$1668,$A44,$D$5:$D$1668,$D44)&gt;1),"Two players picked as "&amp;$D44,IF(COUNTIFS($A$5:$A$1668,$A44,$D$5:$D$1668,"Gross winner")=0,"Pick this week's gross winner",IF(COUNTIFS($A$5:$A$1668,$A44,$D$5:$D$1668,"Net winner")=0,"Pick this week's net winner","OK")))))))</f>
        <v/>
      </c>
    </row>
    <row r="45" outlineLevel="1">
      <c r="A45" s="13" t="n">
        <v>46400</v>
      </c>
      <c r="E45" s="11">
        <f>IF(OR($B45="",NOT(ISNUMBER($C45))),"",COUNTIFS($A$5:$A$1668,$A45,$C$5:$C$1668,"&lt;"&amp;$C45)+1)</f>
        <v/>
      </c>
      <c r="F45" s="11">
        <f>IF(OR($B45="",NOT(ISNUMBER($C45))),"",COUNTIFS($A$5:$A$1668,$A45,$C$5:$C$1668,"&gt;0"))</f>
        <v/>
      </c>
      <c r="G45" s="11">
        <f>IF(OR($B45="",NOT(ISNUMBER($C45))),"",IF($D45&lt;&gt;"",ROUND(Points!$B$6*IF($F45&lt;Points!$H$4,Points!$H$5,1),0),ROUND(Points!$B$6*IF($F45&lt;=1,1,Points!$H$7+(1-Points!$H$7)*((($F45-$E45)*(($F45-$E45)+1)/2)^2-((($F45-$E45-COUNTIFS($A$5:$A$1668,$A45,$C$5:$C$1668,$C45)+1)-1)*($F45-$E45-COUNTIFS($A$5:$A$1668,$A45,$C$5:$C$1668,$C45)+1)/2)^2)/(COUNTIFS($A$5:$A$1668,$A45,$C$5:$C$1668,$C45)*($F45-1)^3))*IF($F45&lt;Points!$H$4,Points!$H$5,1),0)))</f>
        <v/>
      </c>
      <c r="H45" s="11">
        <f>IF($G45="","",COUNTIFS($B$5:$B$1668,$B45,$G$5:$G$1668,"&gt;"&amp;$G45)+COUNTIFS($B$4:$B44,$B45,$G$4:$G44,$G45)+1)</f>
        <v/>
      </c>
      <c r="I45" s="11">
        <f>IF($G45="","",IF($H45&lt;=Points!$H$6,$G45,0))</f>
        <v/>
      </c>
      <c r="J45" s="11">
        <f>IF($B45="","",IF(COUNTIF(Players!$A$2:$A$500,$B45)=0,"Player is not on the Players tab",IF(NOT(ISNUMBER($C45)),"Enter a gross score",IF(COUNTIFS($A$5:$A$1668,$A45,$B$5:$B$1668,$B45)&gt;1,"Player is listed twice this week",IF(AND($D45&lt;&gt;"",COUNTIFS($A$5:$A$1668,$A45,$D$5:$D$1668,$D45)&gt;1),"Two players picked as "&amp;$D45,IF(COUNTIFS($A$5:$A$1668,$A45,$D$5:$D$1668,"Gross winner")=0,"Pick this week's gross winner",IF(COUNTIFS($A$5:$A$1668,$A45,$D$5:$D$1668,"Net winner")=0,"Pick this week's net winner","OK")))))))</f>
        <v/>
      </c>
    </row>
    <row r="46" outlineLevel="1">
      <c r="A46" s="13" t="n">
        <v>46400</v>
      </c>
      <c r="E46" s="11">
        <f>IF(OR($B46="",NOT(ISNUMBER($C46))),"",COUNTIFS($A$5:$A$1668,$A46,$C$5:$C$1668,"&lt;"&amp;$C46)+1)</f>
        <v/>
      </c>
      <c r="F46" s="11">
        <f>IF(OR($B46="",NOT(ISNUMBER($C46))),"",COUNTIFS($A$5:$A$1668,$A46,$C$5:$C$1668,"&gt;0"))</f>
        <v/>
      </c>
      <c r="G46" s="11">
        <f>IF(OR($B46="",NOT(ISNUMBER($C46))),"",IF($D46&lt;&gt;"",ROUND(Points!$B$6*IF($F46&lt;Points!$H$4,Points!$H$5,1),0),ROUND(Points!$B$6*IF($F46&lt;=1,1,Points!$H$7+(1-Points!$H$7)*((($F46-$E46)*(($F46-$E46)+1)/2)^2-((($F46-$E46-COUNTIFS($A$5:$A$1668,$A46,$C$5:$C$1668,$C46)+1)-1)*($F46-$E46-COUNTIFS($A$5:$A$1668,$A46,$C$5:$C$1668,$C46)+1)/2)^2)/(COUNTIFS($A$5:$A$1668,$A46,$C$5:$C$1668,$C46)*($F46-1)^3))*IF($F46&lt;Points!$H$4,Points!$H$5,1),0)))</f>
        <v/>
      </c>
      <c r="H46" s="11">
        <f>IF($G46="","",COUNTIFS($B$5:$B$1668,$B46,$G$5:$G$1668,"&gt;"&amp;$G46)+COUNTIFS($B$4:$B45,$B46,$G$4:$G45,$G46)+1)</f>
        <v/>
      </c>
      <c r="I46" s="11">
        <f>IF($G46="","",IF($H46&lt;=Points!$H$6,$G46,0))</f>
        <v/>
      </c>
      <c r="J46" s="11">
        <f>IF($B46="","",IF(COUNTIF(Players!$A$2:$A$500,$B46)=0,"Player is not on the Players tab",IF(NOT(ISNUMBER($C46)),"Enter a gross score",IF(COUNTIFS($A$5:$A$1668,$A46,$B$5:$B$1668,$B46)&gt;1,"Player is listed twice this week",IF(AND($D46&lt;&gt;"",COUNTIFS($A$5:$A$1668,$A46,$D$5:$D$1668,$D46)&gt;1),"Two players picked as "&amp;$D46,IF(COUNTIFS($A$5:$A$1668,$A46,$D$5:$D$1668,"Gross winner")=0,"Pick this week's gross winner",IF(COUNTIFS($A$5:$A$1668,$A46,$D$5:$D$1668,"Net winner")=0,"Pick this week's net winner","OK")))))))</f>
        <v/>
      </c>
    </row>
    <row r="47" outlineLevel="1">
      <c r="A47" s="13" t="n">
        <v>46400</v>
      </c>
      <c r="E47" s="11">
        <f>IF(OR($B47="",NOT(ISNUMBER($C47))),"",COUNTIFS($A$5:$A$1668,$A47,$C$5:$C$1668,"&lt;"&amp;$C47)+1)</f>
        <v/>
      </c>
      <c r="F47" s="11">
        <f>IF(OR($B47="",NOT(ISNUMBER($C47))),"",COUNTIFS($A$5:$A$1668,$A47,$C$5:$C$1668,"&gt;0"))</f>
        <v/>
      </c>
      <c r="G47" s="11">
        <f>IF(OR($B47="",NOT(ISNUMBER($C47))),"",IF($D47&lt;&gt;"",ROUND(Points!$B$6*IF($F47&lt;Points!$H$4,Points!$H$5,1),0),ROUND(Points!$B$6*IF($F47&lt;=1,1,Points!$H$7+(1-Points!$H$7)*((($F47-$E47)*(($F47-$E47)+1)/2)^2-((($F47-$E47-COUNTIFS($A$5:$A$1668,$A47,$C$5:$C$1668,$C47)+1)-1)*($F47-$E47-COUNTIFS($A$5:$A$1668,$A47,$C$5:$C$1668,$C47)+1)/2)^2)/(COUNTIFS($A$5:$A$1668,$A47,$C$5:$C$1668,$C47)*($F47-1)^3))*IF($F47&lt;Points!$H$4,Points!$H$5,1),0)))</f>
        <v/>
      </c>
      <c r="H47" s="11">
        <f>IF($G47="","",COUNTIFS($B$5:$B$1668,$B47,$G$5:$G$1668,"&gt;"&amp;$G47)+COUNTIFS($B$4:$B46,$B47,$G$4:$G46,$G47)+1)</f>
        <v/>
      </c>
      <c r="I47" s="11">
        <f>IF($G47="","",IF($H47&lt;=Points!$H$6,$G47,0))</f>
        <v/>
      </c>
      <c r="J47" s="11">
        <f>IF($B47="","",IF(COUNTIF(Players!$A$2:$A$500,$B47)=0,"Player is not on the Players tab",IF(NOT(ISNUMBER($C47)),"Enter a gross score",IF(COUNTIFS($A$5:$A$1668,$A47,$B$5:$B$1668,$B47)&gt;1,"Player is listed twice this week",IF(AND($D47&lt;&gt;"",COUNTIFS($A$5:$A$1668,$A47,$D$5:$D$1668,$D47)&gt;1),"Two players picked as "&amp;$D47,IF(COUNTIFS($A$5:$A$1668,$A47,$D$5:$D$1668,"Gross winner")=0,"Pick this week's gross winner",IF(COUNTIFS($A$5:$A$1668,$A47,$D$5:$D$1668,"Net winner")=0,"Pick this week's net winner","OK")))))))</f>
        <v/>
      </c>
    </row>
    <row r="48" outlineLevel="1">
      <c r="A48" s="13" t="n">
        <v>46400</v>
      </c>
      <c r="E48" s="11">
        <f>IF(OR($B48="",NOT(ISNUMBER($C48))),"",COUNTIFS($A$5:$A$1668,$A48,$C$5:$C$1668,"&lt;"&amp;$C48)+1)</f>
        <v/>
      </c>
      <c r="F48" s="11">
        <f>IF(OR($B48="",NOT(ISNUMBER($C48))),"",COUNTIFS($A$5:$A$1668,$A48,$C$5:$C$1668,"&gt;0"))</f>
        <v/>
      </c>
      <c r="G48" s="11">
        <f>IF(OR($B48="",NOT(ISNUMBER($C48))),"",IF($D48&lt;&gt;"",ROUND(Points!$B$6*IF($F48&lt;Points!$H$4,Points!$H$5,1),0),ROUND(Points!$B$6*IF($F48&lt;=1,1,Points!$H$7+(1-Points!$H$7)*((($F48-$E48)*(($F48-$E48)+1)/2)^2-((($F48-$E48-COUNTIFS($A$5:$A$1668,$A48,$C$5:$C$1668,$C48)+1)-1)*($F48-$E48-COUNTIFS($A$5:$A$1668,$A48,$C$5:$C$1668,$C48)+1)/2)^2)/(COUNTIFS($A$5:$A$1668,$A48,$C$5:$C$1668,$C48)*($F48-1)^3))*IF($F48&lt;Points!$H$4,Points!$H$5,1),0)))</f>
        <v/>
      </c>
      <c r="H48" s="11">
        <f>IF($G48="","",COUNTIFS($B$5:$B$1668,$B48,$G$5:$G$1668,"&gt;"&amp;$G48)+COUNTIFS($B$4:$B47,$B48,$G$4:$G47,$G48)+1)</f>
        <v/>
      </c>
      <c r="I48" s="11">
        <f>IF($G48="","",IF($H48&lt;=Points!$H$6,$G48,0))</f>
        <v/>
      </c>
      <c r="J48" s="11">
        <f>IF($B48="","",IF(COUNTIF(Players!$A$2:$A$500,$B48)=0,"Player is not on the Players tab",IF(NOT(ISNUMBER($C48)),"Enter a gross score",IF(COUNTIFS($A$5:$A$1668,$A48,$B$5:$B$1668,$B48)&gt;1,"Player is listed twice this week",IF(AND($D48&lt;&gt;"",COUNTIFS($A$5:$A$1668,$A48,$D$5:$D$1668,$D48)&gt;1),"Two players picked as "&amp;$D48,IF(COUNTIFS($A$5:$A$1668,$A48,$D$5:$D$1668,"Gross winner")=0,"Pick this week's gross winner",IF(COUNTIFS($A$5:$A$1668,$A48,$D$5:$D$1668,"Net winner")=0,"Pick this week's net winner","OK")))))))</f>
        <v/>
      </c>
    </row>
    <row r="49" outlineLevel="1">
      <c r="A49" s="13" t="n">
        <v>46400</v>
      </c>
      <c r="E49" s="11">
        <f>IF(OR($B49="",NOT(ISNUMBER($C49))),"",COUNTIFS($A$5:$A$1668,$A49,$C$5:$C$1668,"&lt;"&amp;$C49)+1)</f>
        <v/>
      </c>
      <c r="F49" s="11">
        <f>IF(OR($B49="",NOT(ISNUMBER($C49))),"",COUNTIFS($A$5:$A$1668,$A49,$C$5:$C$1668,"&gt;0"))</f>
        <v/>
      </c>
      <c r="G49" s="11">
        <f>IF(OR($B49="",NOT(ISNUMBER($C49))),"",IF($D49&lt;&gt;"",ROUND(Points!$B$6*IF($F49&lt;Points!$H$4,Points!$H$5,1),0),ROUND(Points!$B$6*IF($F49&lt;=1,1,Points!$H$7+(1-Points!$H$7)*((($F49-$E49)*(($F49-$E49)+1)/2)^2-((($F49-$E49-COUNTIFS($A$5:$A$1668,$A49,$C$5:$C$1668,$C49)+1)-1)*($F49-$E49-COUNTIFS($A$5:$A$1668,$A49,$C$5:$C$1668,$C49)+1)/2)^2)/(COUNTIFS($A$5:$A$1668,$A49,$C$5:$C$1668,$C49)*($F49-1)^3))*IF($F49&lt;Points!$H$4,Points!$H$5,1),0)))</f>
        <v/>
      </c>
      <c r="H49" s="11">
        <f>IF($G49="","",COUNTIFS($B$5:$B$1668,$B49,$G$5:$G$1668,"&gt;"&amp;$G49)+COUNTIFS($B$4:$B48,$B49,$G$4:$G48,$G49)+1)</f>
        <v/>
      </c>
      <c r="I49" s="11">
        <f>IF($G49="","",IF($H49&lt;=Points!$H$6,$G49,0))</f>
        <v/>
      </c>
      <c r="J49" s="11">
        <f>IF($B49="","",IF(COUNTIF(Players!$A$2:$A$500,$B49)=0,"Player is not on the Players tab",IF(NOT(ISNUMBER($C49)),"Enter a gross score",IF(COUNTIFS($A$5:$A$1668,$A49,$B$5:$B$1668,$B49)&gt;1,"Player is listed twice this week",IF(AND($D49&lt;&gt;"",COUNTIFS($A$5:$A$1668,$A49,$D$5:$D$1668,$D49)&gt;1),"Two players picked as "&amp;$D49,IF(COUNTIFS($A$5:$A$1668,$A49,$D$5:$D$1668,"Gross winner")=0,"Pick this week's gross winner",IF(COUNTIFS($A$5:$A$1668,$A49,$D$5:$D$1668,"Net winner")=0,"Pick this week's net winner","OK")))))))</f>
        <v/>
      </c>
    </row>
    <row r="50" outlineLevel="1">
      <c r="A50" s="13" t="n">
        <v>46400</v>
      </c>
      <c r="E50" s="11">
        <f>IF(OR($B50="",NOT(ISNUMBER($C50))),"",COUNTIFS($A$5:$A$1668,$A50,$C$5:$C$1668,"&lt;"&amp;$C50)+1)</f>
        <v/>
      </c>
      <c r="F50" s="11">
        <f>IF(OR($B50="",NOT(ISNUMBER($C50))),"",COUNTIFS($A$5:$A$1668,$A50,$C$5:$C$1668,"&gt;0"))</f>
        <v/>
      </c>
      <c r="G50" s="11">
        <f>IF(OR($B50="",NOT(ISNUMBER($C50))),"",IF($D50&lt;&gt;"",ROUND(Points!$B$6*IF($F50&lt;Points!$H$4,Points!$H$5,1),0),ROUND(Points!$B$6*IF($F50&lt;=1,1,Points!$H$7+(1-Points!$H$7)*((($F50-$E50)*(($F50-$E50)+1)/2)^2-((($F50-$E50-COUNTIFS($A$5:$A$1668,$A50,$C$5:$C$1668,$C50)+1)-1)*($F50-$E50-COUNTIFS($A$5:$A$1668,$A50,$C$5:$C$1668,$C50)+1)/2)^2)/(COUNTIFS($A$5:$A$1668,$A50,$C$5:$C$1668,$C50)*($F50-1)^3))*IF($F50&lt;Points!$H$4,Points!$H$5,1),0)))</f>
        <v/>
      </c>
      <c r="H50" s="11">
        <f>IF($G50="","",COUNTIFS($B$5:$B$1668,$B50,$G$5:$G$1668,"&gt;"&amp;$G50)+COUNTIFS($B$4:$B49,$B50,$G$4:$G49,$G50)+1)</f>
        <v/>
      </c>
      <c r="I50" s="11">
        <f>IF($G50="","",IF($H50&lt;=Points!$H$6,$G50,0))</f>
        <v/>
      </c>
      <c r="J50" s="11">
        <f>IF($B50="","",IF(COUNTIF(Players!$A$2:$A$500,$B50)=0,"Player is not on the Players tab",IF(NOT(ISNUMBER($C50)),"Enter a gross score",IF(COUNTIFS($A$5:$A$1668,$A50,$B$5:$B$1668,$B50)&gt;1,"Player is listed twice this week",IF(AND($D50&lt;&gt;"",COUNTIFS($A$5:$A$1668,$A50,$D$5:$D$1668,$D50)&gt;1),"Two players picked as "&amp;$D50,IF(COUNTIFS($A$5:$A$1668,$A50,$D$5:$D$1668,"Gross winner")=0,"Pick this week's gross winner",IF(COUNTIFS($A$5:$A$1668,$A50,$D$5:$D$1668,"Net winner")=0,"Pick this week's net winner","OK")))))))</f>
        <v/>
      </c>
    </row>
    <row r="51" outlineLevel="1">
      <c r="A51" s="13" t="n">
        <v>46400</v>
      </c>
      <c r="E51" s="11">
        <f>IF(OR($B51="",NOT(ISNUMBER($C51))),"",COUNTIFS($A$5:$A$1668,$A51,$C$5:$C$1668,"&lt;"&amp;$C51)+1)</f>
        <v/>
      </c>
      <c r="F51" s="11">
        <f>IF(OR($B51="",NOT(ISNUMBER($C51))),"",COUNTIFS($A$5:$A$1668,$A51,$C$5:$C$1668,"&gt;0"))</f>
        <v/>
      </c>
      <c r="G51" s="11">
        <f>IF(OR($B51="",NOT(ISNUMBER($C51))),"",IF($D51&lt;&gt;"",ROUND(Points!$B$6*IF($F51&lt;Points!$H$4,Points!$H$5,1),0),ROUND(Points!$B$6*IF($F51&lt;=1,1,Points!$H$7+(1-Points!$H$7)*((($F51-$E51)*(($F51-$E51)+1)/2)^2-((($F51-$E51-COUNTIFS($A$5:$A$1668,$A51,$C$5:$C$1668,$C51)+1)-1)*($F51-$E51-COUNTIFS($A$5:$A$1668,$A51,$C$5:$C$1668,$C51)+1)/2)^2)/(COUNTIFS($A$5:$A$1668,$A51,$C$5:$C$1668,$C51)*($F51-1)^3))*IF($F51&lt;Points!$H$4,Points!$H$5,1),0)))</f>
        <v/>
      </c>
      <c r="H51" s="11">
        <f>IF($G51="","",COUNTIFS($B$5:$B$1668,$B51,$G$5:$G$1668,"&gt;"&amp;$G51)+COUNTIFS($B$4:$B50,$B51,$G$4:$G50,$G51)+1)</f>
        <v/>
      </c>
      <c r="I51" s="11">
        <f>IF($G51="","",IF($H51&lt;=Points!$H$6,$G51,0))</f>
        <v/>
      </c>
      <c r="J51" s="11">
        <f>IF($B51="","",IF(COUNTIF(Players!$A$2:$A$500,$B51)=0,"Player is not on the Players tab",IF(NOT(ISNUMBER($C51)),"Enter a gross score",IF(COUNTIFS($A$5:$A$1668,$A51,$B$5:$B$1668,$B51)&gt;1,"Player is listed twice this week",IF(AND($D51&lt;&gt;"",COUNTIFS($A$5:$A$1668,$A51,$D$5:$D$1668,$D51)&gt;1),"Two players picked as "&amp;$D51,IF(COUNTIFS($A$5:$A$1668,$A51,$D$5:$D$1668,"Gross winner")=0,"Pick this week's gross winner",IF(COUNTIFS($A$5:$A$1668,$A51,$D$5:$D$1668,"Net winner")=0,"Pick this week's net winner","OK")))))))</f>
        <v/>
      </c>
    </row>
    <row r="52" outlineLevel="1">
      <c r="A52" s="13" t="n">
        <v>46400</v>
      </c>
      <c r="E52" s="11">
        <f>IF(OR($B52="",NOT(ISNUMBER($C52))),"",COUNTIFS($A$5:$A$1668,$A52,$C$5:$C$1668,"&lt;"&amp;$C52)+1)</f>
        <v/>
      </c>
      <c r="F52" s="11">
        <f>IF(OR($B52="",NOT(ISNUMBER($C52))),"",COUNTIFS($A$5:$A$1668,$A52,$C$5:$C$1668,"&gt;0"))</f>
        <v/>
      </c>
      <c r="G52" s="11">
        <f>IF(OR($B52="",NOT(ISNUMBER($C52))),"",IF($D52&lt;&gt;"",ROUND(Points!$B$6*IF($F52&lt;Points!$H$4,Points!$H$5,1),0),ROUND(Points!$B$6*IF($F52&lt;=1,1,Points!$H$7+(1-Points!$H$7)*((($F52-$E52)*(($F52-$E52)+1)/2)^2-((($F52-$E52-COUNTIFS($A$5:$A$1668,$A52,$C$5:$C$1668,$C52)+1)-1)*($F52-$E52-COUNTIFS($A$5:$A$1668,$A52,$C$5:$C$1668,$C52)+1)/2)^2)/(COUNTIFS($A$5:$A$1668,$A52,$C$5:$C$1668,$C52)*($F52-1)^3))*IF($F52&lt;Points!$H$4,Points!$H$5,1),0)))</f>
        <v/>
      </c>
      <c r="H52" s="11">
        <f>IF($G52="","",COUNTIFS($B$5:$B$1668,$B52,$G$5:$G$1668,"&gt;"&amp;$G52)+COUNTIFS($B$4:$B51,$B52,$G$4:$G51,$G52)+1)</f>
        <v/>
      </c>
      <c r="I52" s="11">
        <f>IF($G52="","",IF($H52&lt;=Points!$H$6,$G52,0))</f>
        <v/>
      </c>
      <c r="J52" s="11">
        <f>IF($B52="","",IF(COUNTIF(Players!$A$2:$A$500,$B52)=0,"Player is not on the Players tab",IF(NOT(ISNUMBER($C52)),"Enter a gross score",IF(COUNTIFS($A$5:$A$1668,$A52,$B$5:$B$1668,$B52)&gt;1,"Player is listed twice this week",IF(AND($D52&lt;&gt;"",COUNTIFS($A$5:$A$1668,$A52,$D$5:$D$1668,$D52)&gt;1),"Two players picked as "&amp;$D52,IF(COUNTIFS($A$5:$A$1668,$A52,$D$5:$D$1668,"Gross winner")=0,"Pick this week's gross winner",IF(COUNTIFS($A$5:$A$1668,$A52,$D$5:$D$1668,"Net winner")=0,"Pick this week's net winner","OK")))))))</f>
        <v/>
      </c>
    </row>
    <row r="53" outlineLevel="1">
      <c r="A53" s="13" t="n">
        <v>46400</v>
      </c>
      <c r="E53" s="11">
        <f>IF(OR($B53="",NOT(ISNUMBER($C53))),"",COUNTIFS($A$5:$A$1668,$A53,$C$5:$C$1668,"&lt;"&amp;$C53)+1)</f>
        <v/>
      </c>
      <c r="F53" s="11">
        <f>IF(OR($B53="",NOT(ISNUMBER($C53))),"",COUNTIFS($A$5:$A$1668,$A53,$C$5:$C$1668,"&gt;0"))</f>
        <v/>
      </c>
      <c r="G53" s="11">
        <f>IF(OR($B53="",NOT(ISNUMBER($C53))),"",IF($D53&lt;&gt;"",ROUND(Points!$B$6*IF($F53&lt;Points!$H$4,Points!$H$5,1),0),ROUND(Points!$B$6*IF($F53&lt;=1,1,Points!$H$7+(1-Points!$H$7)*((($F53-$E53)*(($F53-$E53)+1)/2)^2-((($F53-$E53-COUNTIFS($A$5:$A$1668,$A53,$C$5:$C$1668,$C53)+1)-1)*($F53-$E53-COUNTIFS($A$5:$A$1668,$A53,$C$5:$C$1668,$C53)+1)/2)^2)/(COUNTIFS($A$5:$A$1668,$A53,$C$5:$C$1668,$C53)*($F53-1)^3))*IF($F53&lt;Points!$H$4,Points!$H$5,1),0)))</f>
        <v/>
      </c>
      <c r="H53" s="11">
        <f>IF($G53="","",COUNTIFS($B$5:$B$1668,$B53,$G$5:$G$1668,"&gt;"&amp;$G53)+COUNTIFS($B$4:$B52,$B53,$G$4:$G52,$G53)+1)</f>
        <v/>
      </c>
      <c r="I53" s="11">
        <f>IF($G53="","",IF($H53&lt;=Points!$H$6,$G53,0))</f>
        <v/>
      </c>
      <c r="J53" s="11">
        <f>IF($B53="","",IF(COUNTIF(Players!$A$2:$A$500,$B53)=0,"Player is not on the Players tab",IF(NOT(ISNUMBER($C53)),"Enter a gross score",IF(COUNTIFS($A$5:$A$1668,$A53,$B$5:$B$1668,$B53)&gt;1,"Player is listed twice this week",IF(AND($D53&lt;&gt;"",COUNTIFS($A$5:$A$1668,$A53,$D$5:$D$1668,$D53)&gt;1),"Two players picked as "&amp;$D53,IF(COUNTIFS($A$5:$A$1668,$A53,$D$5:$D$1668,"Gross winner")=0,"Pick this week's gross winner",IF(COUNTIFS($A$5:$A$1668,$A53,$D$5:$D$1668,"Net winner")=0,"Pick this week's net winner","OK")))))))</f>
        <v/>
      </c>
    </row>
    <row r="54" outlineLevel="1">
      <c r="A54" s="13" t="n">
        <v>46400</v>
      </c>
      <c r="E54" s="11">
        <f>IF(OR($B54="",NOT(ISNUMBER($C54))),"",COUNTIFS($A$5:$A$1668,$A54,$C$5:$C$1668,"&lt;"&amp;$C54)+1)</f>
        <v/>
      </c>
      <c r="F54" s="11">
        <f>IF(OR($B54="",NOT(ISNUMBER($C54))),"",COUNTIFS($A$5:$A$1668,$A54,$C$5:$C$1668,"&gt;0"))</f>
        <v/>
      </c>
      <c r="G54" s="11">
        <f>IF(OR($B54="",NOT(ISNUMBER($C54))),"",IF($D54&lt;&gt;"",ROUND(Points!$B$6*IF($F54&lt;Points!$H$4,Points!$H$5,1),0),ROUND(Points!$B$6*IF($F54&lt;=1,1,Points!$H$7+(1-Points!$H$7)*((($F54-$E54)*(($F54-$E54)+1)/2)^2-((($F54-$E54-COUNTIFS($A$5:$A$1668,$A54,$C$5:$C$1668,$C54)+1)-1)*($F54-$E54-COUNTIFS($A$5:$A$1668,$A54,$C$5:$C$1668,$C54)+1)/2)^2)/(COUNTIFS($A$5:$A$1668,$A54,$C$5:$C$1668,$C54)*($F54-1)^3))*IF($F54&lt;Points!$H$4,Points!$H$5,1),0)))</f>
        <v/>
      </c>
      <c r="H54" s="11">
        <f>IF($G54="","",COUNTIFS($B$5:$B$1668,$B54,$G$5:$G$1668,"&gt;"&amp;$G54)+COUNTIFS($B$4:$B53,$B54,$G$4:$G53,$G54)+1)</f>
        <v/>
      </c>
      <c r="I54" s="11">
        <f>IF($G54="","",IF($H54&lt;=Points!$H$6,$G54,0))</f>
        <v/>
      </c>
      <c r="J54" s="11">
        <f>IF($B54="","",IF(COUNTIF(Players!$A$2:$A$500,$B54)=0,"Player is not on the Players tab",IF(NOT(ISNUMBER($C54)),"Enter a gross score",IF(COUNTIFS($A$5:$A$1668,$A54,$B$5:$B$1668,$B54)&gt;1,"Player is listed twice this week",IF(AND($D54&lt;&gt;"",COUNTIFS($A$5:$A$1668,$A54,$D$5:$D$1668,$D54)&gt;1),"Two players picked as "&amp;$D54,IF(COUNTIFS($A$5:$A$1668,$A54,$D$5:$D$1668,"Gross winner")=0,"Pick this week's gross winner",IF(COUNTIFS($A$5:$A$1668,$A54,$D$5:$D$1668,"Net winner")=0,"Pick this week's net winner","OK")))))))</f>
        <v/>
      </c>
    </row>
    <row r="55" outlineLevel="1">
      <c r="A55" s="13" t="n">
        <v>46400</v>
      </c>
      <c r="E55" s="11">
        <f>IF(OR($B55="",NOT(ISNUMBER($C55))),"",COUNTIFS($A$5:$A$1668,$A55,$C$5:$C$1668,"&lt;"&amp;$C55)+1)</f>
        <v/>
      </c>
      <c r="F55" s="11">
        <f>IF(OR($B55="",NOT(ISNUMBER($C55))),"",COUNTIFS($A$5:$A$1668,$A55,$C$5:$C$1668,"&gt;0"))</f>
        <v/>
      </c>
      <c r="G55" s="11">
        <f>IF(OR($B55="",NOT(ISNUMBER($C55))),"",IF($D55&lt;&gt;"",ROUND(Points!$B$6*IF($F55&lt;Points!$H$4,Points!$H$5,1),0),ROUND(Points!$B$6*IF($F55&lt;=1,1,Points!$H$7+(1-Points!$H$7)*((($F55-$E55)*(($F55-$E55)+1)/2)^2-((($F55-$E55-COUNTIFS($A$5:$A$1668,$A55,$C$5:$C$1668,$C55)+1)-1)*($F55-$E55-COUNTIFS($A$5:$A$1668,$A55,$C$5:$C$1668,$C55)+1)/2)^2)/(COUNTIFS($A$5:$A$1668,$A55,$C$5:$C$1668,$C55)*($F55-1)^3))*IF($F55&lt;Points!$H$4,Points!$H$5,1),0)))</f>
        <v/>
      </c>
      <c r="H55" s="11">
        <f>IF($G55="","",COUNTIFS($B$5:$B$1668,$B55,$G$5:$G$1668,"&gt;"&amp;$G55)+COUNTIFS($B$4:$B54,$B55,$G$4:$G54,$G55)+1)</f>
        <v/>
      </c>
      <c r="I55" s="11">
        <f>IF($G55="","",IF($H55&lt;=Points!$H$6,$G55,0))</f>
        <v/>
      </c>
      <c r="J55" s="11">
        <f>IF($B55="","",IF(COUNTIF(Players!$A$2:$A$500,$B55)=0,"Player is not on the Players tab",IF(NOT(ISNUMBER($C55)),"Enter a gross score",IF(COUNTIFS($A$5:$A$1668,$A55,$B$5:$B$1668,$B55)&gt;1,"Player is listed twice this week",IF(AND($D55&lt;&gt;"",COUNTIFS($A$5:$A$1668,$A55,$D$5:$D$1668,$D55)&gt;1),"Two players picked as "&amp;$D55,IF(COUNTIFS($A$5:$A$1668,$A55,$D$5:$D$1668,"Gross winner")=0,"Pick this week's gross winner",IF(COUNTIFS($A$5:$A$1668,$A55,$D$5:$D$1668,"Net winner")=0,"Pick this week's net winner","OK")))))))</f>
        <v/>
      </c>
    </row>
    <row r="56" outlineLevel="1">
      <c r="A56" s="13" t="n">
        <v>46400</v>
      </c>
      <c r="E56" s="11">
        <f>IF(OR($B56="",NOT(ISNUMBER($C56))),"",COUNTIFS($A$5:$A$1668,$A56,$C$5:$C$1668,"&lt;"&amp;$C56)+1)</f>
        <v/>
      </c>
      <c r="F56" s="11">
        <f>IF(OR($B56="",NOT(ISNUMBER($C56))),"",COUNTIFS($A$5:$A$1668,$A56,$C$5:$C$1668,"&gt;0"))</f>
        <v/>
      </c>
      <c r="G56" s="11">
        <f>IF(OR($B56="",NOT(ISNUMBER($C56))),"",IF($D56&lt;&gt;"",ROUND(Points!$B$6*IF($F56&lt;Points!$H$4,Points!$H$5,1),0),ROUND(Points!$B$6*IF($F56&lt;=1,1,Points!$H$7+(1-Points!$H$7)*((($F56-$E56)*(($F56-$E56)+1)/2)^2-((($F56-$E56-COUNTIFS($A$5:$A$1668,$A56,$C$5:$C$1668,$C56)+1)-1)*($F56-$E56-COUNTIFS($A$5:$A$1668,$A56,$C$5:$C$1668,$C56)+1)/2)^2)/(COUNTIFS($A$5:$A$1668,$A56,$C$5:$C$1668,$C56)*($F56-1)^3))*IF($F56&lt;Points!$H$4,Points!$H$5,1),0)))</f>
        <v/>
      </c>
      <c r="H56" s="11">
        <f>IF($G56="","",COUNTIFS($B$5:$B$1668,$B56,$G$5:$G$1668,"&gt;"&amp;$G56)+COUNTIFS($B$4:$B55,$B56,$G$4:$G55,$G56)+1)</f>
        <v/>
      </c>
      <c r="I56" s="11">
        <f>IF($G56="","",IF($H56&lt;=Points!$H$6,$G56,0))</f>
        <v/>
      </c>
      <c r="J56" s="11">
        <f>IF($B56="","",IF(COUNTIF(Players!$A$2:$A$500,$B56)=0,"Player is not on the Players tab",IF(NOT(ISNUMBER($C56)),"Enter a gross score",IF(COUNTIFS($A$5:$A$1668,$A56,$B$5:$B$1668,$B56)&gt;1,"Player is listed twice this week",IF(AND($D56&lt;&gt;"",COUNTIFS($A$5:$A$1668,$A56,$D$5:$D$1668,$D56)&gt;1),"Two players picked as "&amp;$D56,IF(COUNTIFS($A$5:$A$1668,$A56,$D$5:$D$1668,"Gross winner")=0,"Pick this week's gross winner",IF(COUNTIFS($A$5:$A$1668,$A56,$D$5:$D$1668,"Net winner")=0,"Pick this week's net winner","OK")))))))</f>
        <v/>
      </c>
    </row>
    <row r="57" outlineLevel="1">
      <c r="A57" s="13" t="n">
        <v>46400</v>
      </c>
      <c r="E57" s="11">
        <f>IF(OR($B57="",NOT(ISNUMBER($C57))),"",COUNTIFS($A$5:$A$1668,$A57,$C$5:$C$1668,"&lt;"&amp;$C57)+1)</f>
        <v/>
      </c>
      <c r="F57" s="11">
        <f>IF(OR($B57="",NOT(ISNUMBER($C57))),"",COUNTIFS($A$5:$A$1668,$A57,$C$5:$C$1668,"&gt;0"))</f>
        <v/>
      </c>
      <c r="G57" s="11">
        <f>IF(OR($B57="",NOT(ISNUMBER($C57))),"",IF($D57&lt;&gt;"",ROUND(Points!$B$6*IF($F57&lt;Points!$H$4,Points!$H$5,1),0),ROUND(Points!$B$6*IF($F57&lt;=1,1,Points!$H$7+(1-Points!$H$7)*((($F57-$E57)*(($F57-$E57)+1)/2)^2-((($F57-$E57-COUNTIFS($A$5:$A$1668,$A57,$C$5:$C$1668,$C57)+1)-1)*($F57-$E57-COUNTIFS($A$5:$A$1668,$A57,$C$5:$C$1668,$C57)+1)/2)^2)/(COUNTIFS($A$5:$A$1668,$A57,$C$5:$C$1668,$C57)*($F57-1)^3))*IF($F57&lt;Points!$H$4,Points!$H$5,1),0)))</f>
        <v/>
      </c>
      <c r="H57" s="11">
        <f>IF($G57="","",COUNTIFS($B$5:$B$1668,$B57,$G$5:$G$1668,"&gt;"&amp;$G57)+COUNTIFS($B$4:$B56,$B57,$G$4:$G56,$G57)+1)</f>
        <v/>
      </c>
      <c r="I57" s="11">
        <f>IF($G57="","",IF($H57&lt;=Points!$H$6,$G57,0))</f>
        <v/>
      </c>
      <c r="J57" s="11">
        <f>IF($B57="","",IF(COUNTIF(Players!$A$2:$A$500,$B57)=0,"Player is not on the Players tab",IF(NOT(ISNUMBER($C57)),"Enter a gross score",IF(COUNTIFS($A$5:$A$1668,$A57,$B$5:$B$1668,$B57)&gt;1,"Player is listed twice this week",IF(AND($D57&lt;&gt;"",COUNTIFS($A$5:$A$1668,$A57,$D$5:$D$1668,$D57)&gt;1),"Two players picked as "&amp;$D57,IF(COUNTIFS($A$5:$A$1668,$A57,$D$5:$D$1668,"Gross winner")=0,"Pick this week's gross winner",IF(COUNTIFS($A$5:$A$1668,$A57,$D$5:$D$1668,"Net winner")=0,"Pick this week's net winner","OK")))))))</f>
        <v/>
      </c>
    </row>
    <row r="58" outlineLevel="1">
      <c r="A58" s="13" t="n">
        <v>46400</v>
      </c>
      <c r="E58" s="11">
        <f>IF(OR($B58="",NOT(ISNUMBER($C58))),"",COUNTIFS($A$5:$A$1668,$A58,$C$5:$C$1668,"&lt;"&amp;$C58)+1)</f>
        <v/>
      </c>
      <c r="F58" s="11">
        <f>IF(OR($B58="",NOT(ISNUMBER($C58))),"",COUNTIFS($A$5:$A$1668,$A58,$C$5:$C$1668,"&gt;0"))</f>
        <v/>
      </c>
      <c r="G58" s="11">
        <f>IF(OR($B58="",NOT(ISNUMBER($C58))),"",IF($D58&lt;&gt;"",ROUND(Points!$B$6*IF($F58&lt;Points!$H$4,Points!$H$5,1),0),ROUND(Points!$B$6*IF($F58&lt;=1,1,Points!$H$7+(1-Points!$H$7)*((($F58-$E58)*(($F58-$E58)+1)/2)^2-((($F58-$E58-COUNTIFS($A$5:$A$1668,$A58,$C$5:$C$1668,$C58)+1)-1)*($F58-$E58-COUNTIFS($A$5:$A$1668,$A58,$C$5:$C$1668,$C58)+1)/2)^2)/(COUNTIFS($A$5:$A$1668,$A58,$C$5:$C$1668,$C58)*($F58-1)^3))*IF($F58&lt;Points!$H$4,Points!$H$5,1),0)))</f>
        <v/>
      </c>
      <c r="H58" s="11">
        <f>IF($G58="","",COUNTIFS($B$5:$B$1668,$B58,$G$5:$G$1668,"&gt;"&amp;$G58)+COUNTIFS($B$4:$B57,$B58,$G$4:$G57,$G58)+1)</f>
        <v/>
      </c>
      <c r="I58" s="11">
        <f>IF($G58="","",IF($H58&lt;=Points!$H$6,$G58,0))</f>
        <v/>
      </c>
      <c r="J58" s="11">
        <f>IF($B58="","",IF(COUNTIF(Players!$A$2:$A$500,$B58)=0,"Player is not on the Players tab",IF(NOT(ISNUMBER($C58)),"Enter a gross score",IF(COUNTIFS($A$5:$A$1668,$A58,$B$5:$B$1668,$B58)&gt;1,"Player is listed twice this week",IF(AND($D58&lt;&gt;"",COUNTIFS($A$5:$A$1668,$A58,$D$5:$D$1668,$D58)&gt;1),"Two players picked as "&amp;$D58,IF(COUNTIFS($A$5:$A$1668,$A58,$D$5:$D$1668,"Gross winner")=0,"Pick this week's gross winner",IF(COUNTIFS($A$5:$A$1668,$A58,$D$5:$D$1668,"Net winner")=0,"Pick this week's net winner","OK")))))))</f>
        <v/>
      </c>
    </row>
    <row r="59" outlineLevel="1">
      <c r="A59" s="13" t="n">
        <v>46400</v>
      </c>
      <c r="E59" s="11">
        <f>IF(OR($B59="",NOT(ISNUMBER($C59))),"",COUNTIFS($A$5:$A$1668,$A59,$C$5:$C$1668,"&lt;"&amp;$C59)+1)</f>
        <v/>
      </c>
      <c r="F59" s="11">
        <f>IF(OR($B59="",NOT(ISNUMBER($C59))),"",COUNTIFS($A$5:$A$1668,$A59,$C$5:$C$1668,"&gt;0"))</f>
        <v/>
      </c>
      <c r="G59" s="11">
        <f>IF(OR($B59="",NOT(ISNUMBER($C59))),"",IF($D59&lt;&gt;"",ROUND(Points!$B$6*IF($F59&lt;Points!$H$4,Points!$H$5,1),0),ROUND(Points!$B$6*IF($F59&lt;=1,1,Points!$H$7+(1-Points!$H$7)*((($F59-$E59)*(($F59-$E59)+1)/2)^2-((($F59-$E59-COUNTIFS($A$5:$A$1668,$A59,$C$5:$C$1668,$C59)+1)-1)*($F59-$E59-COUNTIFS($A$5:$A$1668,$A59,$C$5:$C$1668,$C59)+1)/2)^2)/(COUNTIFS($A$5:$A$1668,$A59,$C$5:$C$1668,$C59)*($F59-1)^3))*IF($F59&lt;Points!$H$4,Points!$H$5,1),0)))</f>
        <v/>
      </c>
      <c r="H59" s="11">
        <f>IF($G59="","",COUNTIFS($B$5:$B$1668,$B59,$G$5:$G$1668,"&gt;"&amp;$G59)+COUNTIFS($B$4:$B58,$B59,$G$4:$G58,$G59)+1)</f>
        <v/>
      </c>
      <c r="I59" s="11">
        <f>IF($G59="","",IF($H59&lt;=Points!$H$6,$G59,0))</f>
        <v/>
      </c>
      <c r="J59" s="11">
        <f>IF($B59="","",IF(COUNTIF(Players!$A$2:$A$500,$B59)=0,"Player is not on the Players tab",IF(NOT(ISNUMBER($C59)),"Enter a gross score",IF(COUNTIFS($A$5:$A$1668,$A59,$B$5:$B$1668,$B59)&gt;1,"Player is listed twice this week",IF(AND($D59&lt;&gt;"",COUNTIFS($A$5:$A$1668,$A59,$D$5:$D$1668,$D59)&gt;1),"Two players picked as "&amp;$D59,IF(COUNTIFS($A$5:$A$1668,$A59,$D$5:$D$1668,"Gross winner")=0,"Pick this week's gross winner",IF(COUNTIFS($A$5:$A$1668,$A59,$D$5:$D$1668,"Net winner")=0,"Pick this week's net winner","OK")))))))</f>
        <v/>
      </c>
    </row>
    <row r="60" outlineLevel="1">
      <c r="A60" s="13" t="n">
        <v>46400</v>
      </c>
      <c r="E60" s="11">
        <f>IF(OR($B60="",NOT(ISNUMBER($C60))),"",COUNTIFS($A$5:$A$1668,$A60,$C$5:$C$1668,"&lt;"&amp;$C60)+1)</f>
        <v/>
      </c>
      <c r="F60" s="11">
        <f>IF(OR($B60="",NOT(ISNUMBER($C60))),"",COUNTIFS($A$5:$A$1668,$A60,$C$5:$C$1668,"&gt;0"))</f>
        <v/>
      </c>
      <c r="G60" s="11">
        <f>IF(OR($B60="",NOT(ISNUMBER($C60))),"",IF($D60&lt;&gt;"",ROUND(Points!$B$6*IF($F60&lt;Points!$H$4,Points!$H$5,1),0),ROUND(Points!$B$6*IF($F60&lt;=1,1,Points!$H$7+(1-Points!$H$7)*((($F60-$E60)*(($F60-$E60)+1)/2)^2-((($F60-$E60-COUNTIFS($A$5:$A$1668,$A60,$C$5:$C$1668,$C60)+1)-1)*($F60-$E60-COUNTIFS($A$5:$A$1668,$A60,$C$5:$C$1668,$C60)+1)/2)^2)/(COUNTIFS($A$5:$A$1668,$A60,$C$5:$C$1668,$C60)*($F60-1)^3))*IF($F60&lt;Points!$H$4,Points!$H$5,1),0)))</f>
        <v/>
      </c>
      <c r="H60" s="11">
        <f>IF($G60="","",COUNTIFS($B$5:$B$1668,$B60,$G$5:$G$1668,"&gt;"&amp;$G60)+COUNTIFS($B$4:$B59,$B60,$G$4:$G59,$G60)+1)</f>
        <v/>
      </c>
      <c r="I60" s="11">
        <f>IF($G60="","",IF($H60&lt;=Points!$H$6,$G60,0))</f>
        <v/>
      </c>
      <c r="J60" s="11">
        <f>IF($B60="","",IF(COUNTIF(Players!$A$2:$A$500,$B60)=0,"Player is not on the Players tab",IF(NOT(ISNUMBER($C60)),"Enter a gross score",IF(COUNTIFS($A$5:$A$1668,$A60,$B$5:$B$1668,$B60)&gt;1,"Player is listed twice this week",IF(AND($D60&lt;&gt;"",COUNTIFS($A$5:$A$1668,$A60,$D$5:$D$1668,$D60)&gt;1),"Two players picked as "&amp;$D60,IF(COUNTIFS($A$5:$A$1668,$A60,$D$5:$D$1668,"Gross winner")=0,"Pick this week's gross winner",IF(COUNTIFS($A$5:$A$1668,$A60,$D$5:$D$1668,"Net winner")=0,"Pick this week's net winner","OK")))))))</f>
        <v/>
      </c>
    </row>
    <row r="61" outlineLevel="1">
      <c r="A61" s="13" t="n">
        <v>46400</v>
      </c>
      <c r="E61" s="11">
        <f>IF(OR($B61="",NOT(ISNUMBER($C61))),"",COUNTIFS($A$5:$A$1668,$A61,$C$5:$C$1668,"&lt;"&amp;$C61)+1)</f>
        <v/>
      </c>
      <c r="F61" s="11">
        <f>IF(OR($B61="",NOT(ISNUMBER($C61))),"",COUNTIFS($A$5:$A$1668,$A61,$C$5:$C$1668,"&gt;0"))</f>
        <v/>
      </c>
      <c r="G61" s="11">
        <f>IF(OR($B61="",NOT(ISNUMBER($C61))),"",IF($D61&lt;&gt;"",ROUND(Points!$B$6*IF($F61&lt;Points!$H$4,Points!$H$5,1),0),ROUND(Points!$B$6*IF($F61&lt;=1,1,Points!$H$7+(1-Points!$H$7)*((($F61-$E61)*(($F61-$E61)+1)/2)^2-((($F61-$E61-COUNTIFS($A$5:$A$1668,$A61,$C$5:$C$1668,$C61)+1)-1)*($F61-$E61-COUNTIFS($A$5:$A$1668,$A61,$C$5:$C$1668,$C61)+1)/2)^2)/(COUNTIFS($A$5:$A$1668,$A61,$C$5:$C$1668,$C61)*($F61-1)^3))*IF($F61&lt;Points!$H$4,Points!$H$5,1),0)))</f>
        <v/>
      </c>
      <c r="H61" s="11">
        <f>IF($G61="","",COUNTIFS($B$5:$B$1668,$B61,$G$5:$G$1668,"&gt;"&amp;$G61)+COUNTIFS($B$4:$B60,$B61,$G$4:$G60,$G61)+1)</f>
        <v/>
      </c>
      <c r="I61" s="11">
        <f>IF($G61="","",IF($H61&lt;=Points!$H$6,$G61,0))</f>
        <v/>
      </c>
      <c r="J61" s="11">
        <f>IF($B61="","",IF(COUNTIF(Players!$A$2:$A$500,$B61)=0,"Player is not on the Players tab",IF(NOT(ISNUMBER($C61)),"Enter a gross score",IF(COUNTIFS($A$5:$A$1668,$A61,$B$5:$B$1668,$B61)&gt;1,"Player is listed twice this week",IF(AND($D61&lt;&gt;"",COUNTIFS($A$5:$A$1668,$A61,$D$5:$D$1668,$D61)&gt;1),"Two players picked as "&amp;$D61,IF(COUNTIFS($A$5:$A$1668,$A61,$D$5:$D$1668,"Gross winner")=0,"Pick this week's gross winner",IF(COUNTIFS($A$5:$A$1668,$A61,$D$5:$D$1668,"Net winner")=0,"Pick this week's net winner","OK")))))))</f>
        <v/>
      </c>
    </row>
    <row r="62" outlineLevel="1">
      <c r="A62" s="13" t="n">
        <v>46400</v>
      </c>
      <c r="E62" s="11">
        <f>IF(OR($B62="",NOT(ISNUMBER($C62))),"",COUNTIFS($A$5:$A$1668,$A62,$C$5:$C$1668,"&lt;"&amp;$C62)+1)</f>
        <v/>
      </c>
      <c r="F62" s="11">
        <f>IF(OR($B62="",NOT(ISNUMBER($C62))),"",COUNTIFS($A$5:$A$1668,$A62,$C$5:$C$1668,"&gt;0"))</f>
        <v/>
      </c>
      <c r="G62" s="11">
        <f>IF(OR($B62="",NOT(ISNUMBER($C62))),"",IF($D62&lt;&gt;"",ROUND(Points!$B$6*IF($F62&lt;Points!$H$4,Points!$H$5,1),0),ROUND(Points!$B$6*IF($F62&lt;=1,1,Points!$H$7+(1-Points!$H$7)*((($F62-$E62)*(($F62-$E62)+1)/2)^2-((($F62-$E62-COUNTIFS($A$5:$A$1668,$A62,$C$5:$C$1668,$C62)+1)-1)*($F62-$E62-COUNTIFS($A$5:$A$1668,$A62,$C$5:$C$1668,$C62)+1)/2)^2)/(COUNTIFS($A$5:$A$1668,$A62,$C$5:$C$1668,$C62)*($F62-1)^3))*IF($F62&lt;Points!$H$4,Points!$H$5,1),0)))</f>
        <v/>
      </c>
      <c r="H62" s="11">
        <f>IF($G62="","",COUNTIFS($B$5:$B$1668,$B62,$G$5:$G$1668,"&gt;"&amp;$G62)+COUNTIFS($B$4:$B61,$B62,$G$4:$G61,$G62)+1)</f>
        <v/>
      </c>
      <c r="I62" s="11">
        <f>IF($G62="","",IF($H62&lt;=Points!$H$6,$G62,0))</f>
        <v/>
      </c>
      <c r="J62" s="11">
        <f>IF($B62="","",IF(COUNTIF(Players!$A$2:$A$500,$B62)=0,"Player is not on the Players tab",IF(NOT(ISNUMBER($C62)),"Enter a gross score",IF(COUNTIFS($A$5:$A$1668,$A62,$B$5:$B$1668,$B62)&gt;1,"Player is listed twice this week",IF(AND($D62&lt;&gt;"",COUNTIFS($A$5:$A$1668,$A62,$D$5:$D$1668,$D62)&gt;1),"Two players picked as "&amp;$D62,IF(COUNTIFS($A$5:$A$1668,$A62,$D$5:$D$1668,"Gross winner")=0,"Pick this week's gross winner",IF(COUNTIFS($A$5:$A$1668,$A62,$D$5:$D$1668,"Net winner")=0,"Pick this week's net winner","OK")))))))</f>
        <v/>
      </c>
    </row>
    <row r="63" outlineLevel="1">
      <c r="A63" s="13" t="n">
        <v>46400</v>
      </c>
      <c r="E63" s="11">
        <f>IF(OR($B63="",NOT(ISNUMBER($C63))),"",COUNTIFS($A$5:$A$1668,$A63,$C$5:$C$1668,"&lt;"&amp;$C63)+1)</f>
        <v/>
      </c>
      <c r="F63" s="11">
        <f>IF(OR($B63="",NOT(ISNUMBER($C63))),"",COUNTIFS($A$5:$A$1668,$A63,$C$5:$C$1668,"&gt;0"))</f>
        <v/>
      </c>
      <c r="G63" s="11">
        <f>IF(OR($B63="",NOT(ISNUMBER($C63))),"",IF($D63&lt;&gt;"",ROUND(Points!$B$6*IF($F63&lt;Points!$H$4,Points!$H$5,1),0),ROUND(Points!$B$6*IF($F63&lt;=1,1,Points!$H$7+(1-Points!$H$7)*((($F63-$E63)*(($F63-$E63)+1)/2)^2-((($F63-$E63-COUNTIFS($A$5:$A$1668,$A63,$C$5:$C$1668,$C63)+1)-1)*($F63-$E63-COUNTIFS($A$5:$A$1668,$A63,$C$5:$C$1668,$C63)+1)/2)^2)/(COUNTIFS($A$5:$A$1668,$A63,$C$5:$C$1668,$C63)*($F63-1)^3))*IF($F63&lt;Points!$H$4,Points!$H$5,1),0)))</f>
        <v/>
      </c>
      <c r="H63" s="11">
        <f>IF($G63="","",COUNTIFS($B$5:$B$1668,$B63,$G$5:$G$1668,"&gt;"&amp;$G63)+COUNTIFS($B$4:$B62,$B63,$G$4:$G62,$G63)+1)</f>
        <v/>
      </c>
      <c r="I63" s="11">
        <f>IF($G63="","",IF($H63&lt;=Points!$H$6,$G63,0))</f>
        <v/>
      </c>
      <c r="J63" s="11">
        <f>IF($B63="","",IF(COUNTIF(Players!$A$2:$A$500,$B63)=0,"Player is not on the Players tab",IF(NOT(ISNUMBER($C63)),"Enter a gross score",IF(COUNTIFS($A$5:$A$1668,$A63,$B$5:$B$1668,$B63)&gt;1,"Player is listed twice this week",IF(AND($D63&lt;&gt;"",COUNTIFS($A$5:$A$1668,$A63,$D$5:$D$1668,$D63)&gt;1),"Two players picked as "&amp;$D63,IF(COUNTIFS($A$5:$A$1668,$A63,$D$5:$D$1668,"Gross winner")=0,"Pick this week's gross winner",IF(COUNTIFS($A$5:$A$1668,$A63,$D$5:$D$1668,"Net winner")=0,"Pick this week's net winner","OK")))))))</f>
        <v/>
      </c>
    </row>
    <row r="64" outlineLevel="1">
      <c r="A64" s="13" t="n">
        <v>46400</v>
      </c>
      <c r="E64" s="11">
        <f>IF(OR($B64="",NOT(ISNUMBER($C64))),"",COUNTIFS($A$5:$A$1668,$A64,$C$5:$C$1668,"&lt;"&amp;$C64)+1)</f>
        <v/>
      </c>
      <c r="F64" s="11">
        <f>IF(OR($B64="",NOT(ISNUMBER($C64))),"",COUNTIFS($A$5:$A$1668,$A64,$C$5:$C$1668,"&gt;0"))</f>
        <v/>
      </c>
      <c r="G64" s="11">
        <f>IF(OR($B64="",NOT(ISNUMBER($C64))),"",IF($D64&lt;&gt;"",ROUND(Points!$B$6*IF($F64&lt;Points!$H$4,Points!$H$5,1),0),ROUND(Points!$B$6*IF($F64&lt;=1,1,Points!$H$7+(1-Points!$H$7)*((($F64-$E64)*(($F64-$E64)+1)/2)^2-((($F64-$E64-COUNTIFS($A$5:$A$1668,$A64,$C$5:$C$1668,$C64)+1)-1)*($F64-$E64-COUNTIFS($A$5:$A$1668,$A64,$C$5:$C$1668,$C64)+1)/2)^2)/(COUNTIFS($A$5:$A$1668,$A64,$C$5:$C$1668,$C64)*($F64-1)^3))*IF($F64&lt;Points!$H$4,Points!$H$5,1),0)))</f>
        <v/>
      </c>
      <c r="H64" s="11">
        <f>IF($G64="","",COUNTIFS($B$5:$B$1668,$B64,$G$5:$G$1668,"&gt;"&amp;$G64)+COUNTIFS($B$4:$B63,$B64,$G$4:$G63,$G64)+1)</f>
        <v/>
      </c>
      <c r="I64" s="11">
        <f>IF($G64="","",IF($H64&lt;=Points!$H$6,$G64,0))</f>
        <v/>
      </c>
      <c r="J64" s="11">
        <f>IF($B64="","",IF(COUNTIF(Players!$A$2:$A$500,$B64)=0,"Player is not on the Players tab",IF(NOT(ISNUMBER($C64)),"Enter a gross score",IF(COUNTIFS($A$5:$A$1668,$A64,$B$5:$B$1668,$B64)&gt;1,"Player is listed twice this week",IF(AND($D64&lt;&gt;"",COUNTIFS($A$5:$A$1668,$A64,$D$5:$D$1668,$D64)&gt;1),"Two players picked as "&amp;$D64,IF(COUNTIFS($A$5:$A$1668,$A64,$D$5:$D$1668,"Gross winner")=0,"Pick this week's gross winner",IF(COUNTIFS($A$5:$A$1668,$A64,$D$5:$D$1668,"Net winner")=0,"Pick this week's net winner","OK")))))))</f>
        <v/>
      </c>
    </row>
    <row r="65" outlineLevel="1">
      <c r="A65" s="13" t="n">
        <v>46400</v>
      </c>
      <c r="E65" s="11">
        <f>IF(OR($B65="",NOT(ISNUMBER($C65))),"",COUNTIFS($A$5:$A$1668,$A65,$C$5:$C$1668,"&lt;"&amp;$C65)+1)</f>
        <v/>
      </c>
      <c r="F65" s="11">
        <f>IF(OR($B65="",NOT(ISNUMBER($C65))),"",COUNTIFS($A$5:$A$1668,$A65,$C$5:$C$1668,"&gt;0"))</f>
        <v/>
      </c>
      <c r="G65" s="11">
        <f>IF(OR($B65="",NOT(ISNUMBER($C65))),"",IF($D65&lt;&gt;"",ROUND(Points!$B$6*IF($F65&lt;Points!$H$4,Points!$H$5,1),0),ROUND(Points!$B$6*IF($F65&lt;=1,1,Points!$H$7+(1-Points!$H$7)*((($F65-$E65)*(($F65-$E65)+1)/2)^2-((($F65-$E65-COUNTIFS($A$5:$A$1668,$A65,$C$5:$C$1668,$C65)+1)-1)*($F65-$E65-COUNTIFS($A$5:$A$1668,$A65,$C$5:$C$1668,$C65)+1)/2)^2)/(COUNTIFS($A$5:$A$1668,$A65,$C$5:$C$1668,$C65)*($F65-1)^3))*IF($F65&lt;Points!$H$4,Points!$H$5,1),0)))</f>
        <v/>
      </c>
      <c r="H65" s="11">
        <f>IF($G65="","",COUNTIFS($B$5:$B$1668,$B65,$G$5:$G$1668,"&gt;"&amp;$G65)+COUNTIFS($B$4:$B64,$B65,$G$4:$G64,$G65)+1)</f>
        <v/>
      </c>
      <c r="I65" s="11">
        <f>IF($G65="","",IF($H65&lt;=Points!$H$6,$G65,0))</f>
        <v/>
      </c>
      <c r="J65" s="11">
        <f>IF($B65="","",IF(COUNTIF(Players!$A$2:$A$500,$B65)=0,"Player is not on the Players tab",IF(NOT(ISNUMBER($C65)),"Enter a gross score",IF(COUNTIFS($A$5:$A$1668,$A65,$B$5:$B$1668,$B65)&gt;1,"Player is listed twice this week",IF(AND($D65&lt;&gt;"",COUNTIFS($A$5:$A$1668,$A65,$D$5:$D$1668,$D65)&gt;1),"Two players picked as "&amp;$D65,IF(COUNTIFS($A$5:$A$1668,$A65,$D$5:$D$1668,"Gross winner")=0,"Pick this week's gross winner",IF(COUNTIFS($A$5:$A$1668,$A65,$D$5:$D$1668,"Net winner")=0,"Pick this week's net winner","OK")))))))</f>
        <v/>
      </c>
    </row>
    <row r="66" outlineLevel="1">
      <c r="A66" s="13" t="n">
        <v>46400</v>
      </c>
      <c r="E66" s="11">
        <f>IF(OR($B66="",NOT(ISNUMBER($C66))),"",COUNTIFS($A$5:$A$1668,$A66,$C$5:$C$1668,"&lt;"&amp;$C66)+1)</f>
        <v/>
      </c>
      <c r="F66" s="11">
        <f>IF(OR($B66="",NOT(ISNUMBER($C66))),"",COUNTIFS($A$5:$A$1668,$A66,$C$5:$C$1668,"&gt;0"))</f>
        <v/>
      </c>
      <c r="G66" s="11">
        <f>IF(OR($B66="",NOT(ISNUMBER($C66))),"",IF($D66&lt;&gt;"",ROUND(Points!$B$6*IF($F66&lt;Points!$H$4,Points!$H$5,1),0),ROUND(Points!$B$6*IF($F66&lt;=1,1,Points!$H$7+(1-Points!$H$7)*((($F66-$E66)*(($F66-$E66)+1)/2)^2-((($F66-$E66-COUNTIFS($A$5:$A$1668,$A66,$C$5:$C$1668,$C66)+1)-1)*($F66-$E66-COUNTIFS($A$5:$A$1668,$A66,$C$5:$C$1668,$C66)+1)/2)^2)/(COUNTIFS($A$5:$A$1668,$A66,$C$5:$C$1668,$C66)*($F66-1)^3))*IF($F66&lt;Points!$H$4,Points!$H$5,1),0)))</f>
        <v/>
      </c>
      <c r="H66" s="11">
        <f>IF($G66="","",COUNTIFS($B$5:$B$1668,$B66,$G$5:$G$1668,"&gt;"&amp;$G66)+COUNTIFS($B$4:$B65,$B66,$G$4:$G65,$G66)+1)</f>
        <v/>
      </c>
      <c r="I66" s="11">
        <f>IF($G66="","",IF($H66&lt;=Points!$H$6,$G66,0))</f>
        <v/>
      </c>
      <c r="J66" s="11">
        <f>IF($B66="","",IF(COUNTIF(Players!$A$2:$A$500,$B66)=0,"Player is not on the Players tab",IF(NOT(ISNUMBER($C66)),"Enter a gross score",IF(COUNTIFS($A$5:$A$1668,$A66,$B$5:$B$1668,$B66)&gt;1,"Player is listed twice this week",IF(AND($D66&lt;&gt;"",COUNTIFS($A$5:$A$1668,$A66,$D$5:$D$1668,$D66)&gt;1),"Two players picked as "&amp;$D66,IF(COUNTIFS($A$5:$A$1668,$A66,$D$5:$D$1668,"Gross winner")=0,"Pick this week's gross winner",IF(COUNTIFS($A$5:$A$1668,$A66,$D$5:$D$1668,"Net winner")=0,"Pick this week's net winner","OK")))))))</f>
        <v/>
      </c>
    </row>
    <row r="67" outlineLevel="1">
      <c r="A67" s="13" t="n">
        <v>46400</v>
      </c>
      <c r="E67" s="11">
        <f>IF(OR($B67="",NOT(ISNUMBER($C67))),"",COUNTIFS($A$5:$A$1668,$A67,$C$5:$C$1668,"&lt;"&amp;$C67)+1)</f>
        <v/>
      </c>
      <c r="F67" s="11">
        <f>IF(OR($B67="",NOT(ISNUMBER($C67))),"",COUNTIFS($A$5:$A$1668,$A67,$C$5:$C$1668,"&gt;0"))</f>
        <v/>
      </c>
      <c r="G67" s="11">
        <f>IF(OR($B67="",NOT(ISNUMBER($C67))),"",IF($D67&lt;&gt;"",ROUND(Points!$B$6*IF($F67&lt;Points!$H$4,Points!$H$5,1),0),ROUND(Points!$B$6*IF($F67&lt;=1,1,Points!$H$7+(1-Points!$H$7)*((($F67-$E67)*(($F67-$E67)+1)/2)^2-((($F67-$E67-COUNTIFS($A$5:$A$1668,$A67,$C$5:$C$1668,$C67)+1)-1)*($F67-$E67-COUNTIFS($A$5:$A$1668,$A67,$C$5:$C$1668,$C67)+1)/2)^2)/(COUNTIFS($A$5:$A$1668,$A67,$C$5:$C$1668,$C67)*($F67-1)^3))*IF($F67&lt;Points!$H$4,Points!$H$5,1),0)))</f>
        <v/>
      </c>
      <c r="H67" s="11">
        <f>IF($G67="","",COUNTIFS($B$5:$B$1668,$B67,$G$5:$G$1668,"&gt;"&amp;$G67)+COUNTIFS($B$4:$B66,$B67,$G$4:$G66,$G67)+1)</f>
        <v/>
      </c>
      <c r="I67" s="11">
        <f>IF($G67="","",IF($H67&lt;=Points!$H$6,$G67,0))</f>
        <v/>
      </c>
      <c r="J67" s="11">
        <f>IF($B67="","",IF(COUNTIF(Players!$A$2:$A$500,$B67)=0,"Player is not on the Players tab",IF(NOT(ISNUMBER($C67)),"Enter a gross score",IF(COUNTIFS($A$5:$A$1668,$A67,$B$5:$B$1668,$B67)&gt;1,"Player is listed twice this week",IF(AND($D67&lt;&gt;"",COUNTIFS($A$5:$A$1668,$A67,$D$5:$D$1668,$D67)&gt;1),"Two players picked as "&amp;$D67,IF(COUNTIFS($A$5:$A$1668,$A67,$D$5:$D$1668,"Gross winner")=0,"Pick this week's gross winner",IF(COUNTIFS($A$5:$A$1668,$A67,$D$5:$D$1668,"Net winner")=0,"Pick this week's net winner","OK")))))))</f>
        <v/>
      </c>
    </row>
    <row r="68" ht="10" customHeight="1"/>
    <row r="69" ht="22" customHeight="1">
      <c r="A69" s="12" t="inlineStr">
        <is>
          <t>Week 3  ·  Wednesday, Jan 20</t>
        </is>
      </c>
    </row>
    <row r="70" outlineLevel="1">
      <c r="A70" s="13" t="n">
        <v>46407</v>
      </c>
      <c r="E70" s="11">
        <f>IF(OR($B70="",NOT(ISNUMBER($C70))),"",COUNTIFS($A$5:$A$1668,$A70,$C$5:$C$1668,"&lt;"&amp;$C70)+1)</f>
        <v/>
      </c>
      <c r="F70" s="11">
        <f>IF(OR($B70="",NOT(ISNUMBER($C70))),"",COUNTIFS($A$5:$A$1668,$A70,$C$5:$C$1668,"&gt;0"))</f>
        <v/>
      </c>
      <c r="G70" s="11">
        <f>IF(OR($B70="",NOT(ISNUMBER($C70))),"",IF($D70&lt;&gt;"",ROUND(Points!$B$6*IF($F70&lt;Points!$H$4,Points!$H$5,1),0),ROUND(Points!$B$6*IF($F70&lt;=1,1,Points!$H$7+(1-Points!$H$7)*((($F70-$E70)*(($F70-$E70)+1)/2)^2-((($F70-$E70-COUNTIFS($A$5:$A$1668,$A70,$C$5:$C$1668,$C70)+1)-1)*($F70-$E70-COUNTIFS($A$5:$A$1668,$A70,$C$5:$C$1668,$C70)+1)/2)^2)/(COUNTIFS($A$5:$A$1668,$A70,$C$5:$C$1668,$C70)*($F70-1)^3))*IF($F70&lt;Points!$H$4,Points!$H$5,1),0)))</f>
        <v/>
      </c>
      <c r="H70" s="11">
        <f>IF($G70="","",COUNTIFS($B$5:$B$1668,$B70,$G$5:$G$1668,"&gt;"&amp;$G70)+COUNTIFS($B$4:$B69,$B70,$G$4:$G69,$G70)+1)</f>
        <v/>
      </c>
      <c r="I70" s="11">
        <f>IF($G70="","",IF($H70&lt;=Points!$H$6,$G70,0))</f>
        <v/>
      </c>
      <c r="J70" s="11">
        <f>IF($B70="","",IF(COUNTIF(Players!$A$2:$A$500,$B70)=0,"Player is not on the Players tab",IF(NOT(ISNUMBER($C70)),"Enter a gross score",IF(COUNTIFS($A$5:$A$1668,$A70,$B$5:$B$1668,$B70)&gt;1,"Player is listed twice this week",IF(AND($D70&lt;&gt;"",COUNTIFS($A$5:$A$1668,$A70,$D$5:$D$1668,$D70)&gt;1),"Two players picked as "&amp;$D70,IF(COUNTIFS($A$5:$A$1668,$A70,$D$5:$D$1668,"Gross winner")=0,"Pick this week's gross winner",IF(COUNTIFS($A$5:$A$1668,$A70,$D$5:$D$1668,"Net winner")=0,"Pick this week's net winner","OK")))))))</f>
        <v/>
      </c>
    </row>
    <row r="71" outlineLevel="1">
      <c r="A71" s="13" t="n">
        <v>46407</v>
      </c>
      <c r="E71" s="11">
        <f>IF(OR($B71="",NOT(ISNUMBER($C71))),"",COUNTIFS($A$5:$A$1668,$A71,$C$5:$C$1668,"&lt;"&amp;$C71)+1)</f>
        <v/>
      </c>
      <c r="F71" s="11">
        <f>IF(OR($B71="",NOT(ISNUMBER($C71))),"",COUNTIFS($A$5:$A$1668,$A71,$C$5:$C$1668,"&gt;0"))</f>
        <v/>
      </c>
      <c r="G71" s="11">
        <f>IF(OR($B71="",NOT(ISNUMBER($C71))),"",IF($D71&lt;&gt;"",ROUND(Points!$B$6*IF($F71&lt;Points!$H$4,Points!$H$5,1),0),ROUND(Points!$B$6*IF($F71&lt;=1,1,Points!$H$7+(1-Points!$H$7)*((($F71-$E71)*(($F71-$E71)+1)/2)^2-((($F71-$E71-COUNTIFS($A$5:$A$1668,$A71,$C$5:$C$1668,$C71)+1)-1)*($F71-$E71-COUNTIFS($A$5:$A$1668,$A71,$C$5:$C$1668,$C71)+1)/2)^2)/(COUNTIFS($A$5:$A$1668,$A71,$C$5:$C$1668,$C71)*($F71-1)^3))*IF($F71&lt;Points!$H$4,Points!$H$5,1),0)))</f>
        <v/>
      </c>
      <c r="H71" s="11">
        <f>IF($G71="","",COUNTIFS($B$5:$B$1668,$B71,$G$5:$G$1668,"&gt;"&amp;$G71)+COUNTIFS($B$4:$B70,$B71,$G$4:$G70,$G71)+1)</f>
        <v/>
      </c>
      <c r="I71" s="11">
        <f>IF($G71="","",IF($H71&lt;=Points!$H$6,$G71,0))</f>
        <v/>
      </c>
      <c r="J71" s="11">
        <f>IF($B71="","",IF(COUNTIF(Players!$A$2:$A$500,$B71)=0,"Player is not on the Players tab",IF(NOT(ISNUMBER($C71)),"Enter a gross score",IF(COUNTIFS($A$5:$A$1668,$A71,$B$5:$B$1668,$B71)&gt;1,"Player is listed twice this week",IF(AND($D71&lt;&gt;"",COUNTIFS($A$5:$A$1668,$A71,$D$5:$D$1668,$D71)&gt;1),"Two players picked as "&amp;$D71,IF(COUNTIFS($A$5:$A$1668,$A71,$D$5:$D$1668,"Gross winner")=0,"Pick this week's gross winner",IF(COUNTIFS($A$5:$A$1668,$A71,$D$5:$D$1668,"Net winner")=0,"Pick this week's net winner","OK")))))))</f>
        <v/>
      </c>
    </row>
    <row r="72" outlineLevel="1">
      <c r="A72" s="13" t="n">
        <v>46407</v>
      </c>
      <c r="E72" s="11">
        <f>IF(OR($B72="",NOT(ISNUMBER($C72))),"",COUNTIFS($A$5:$A$1668,$A72,$C$5:$C$1668,"&lt;"&amp;$C72)+1)</f>
        <v/>
      </c>
      <c r="F72" s="11">
        <f>IF(OR($B72="",NOT(ISNUMBER($C72))),"",COUNTIFS($A$5:$A$1668,$A72,$C$5:$C$1668,"&gt;0"))</f>
        <v/>
      </c>
      <c r="G72" s="11">
        <f>IF(OR($B72="",NOT(ISNUMBER($C72))),"",IF($D72&lt;&gt;"",ROUND(Points!$B$6*IF($F72&lt;Points!$H$4,Points!$H$5,1),0),ROUND(Points!$B$6*IF($F72&lt;=1,1,Points!$H$7+(1-Points!$H$7)*((($F72-$E72)*(($F72-$E72)+1)/2)^2-((($F72-$E72-COUNTIFS($A$5:$A$1668,$A72,$C$5:$C$1668,$C72)+1)-1)*($F72-$E72-COUNTIFS($A$5:$A$1668,$A72,$C$5:$C$1668,$C72)+1)/2)^2)/(COUNTIFS($A$5:$A$1668,$A72,$C$5:$C$1668,$C72)*($F72-1)^3))*IF($F72&lt;Points!$H$4,Points!$H$5,1),0)))</f>
        <v/>
      </c>
      <c r="H72" s="11">
        <f>IF($G72="","",COUNTIFS($B$5:$B$1668,$B72,$G$5:$G$1668,"&gt;"&amp;$G72)+COUNTIFS($B$4:$B71,$B72,$G$4:$G71,$G72)+1)</f>
        <v/>
      </c>
      <c r="I72" s="11">
        <f>IF($G72="","",IF($H72&lt;=Points!$H$6,$G72,0))</f>
        <v/>
      </c>
      <c r="J72" s="11">
        <f>IF($B72="","",IF(COUNTIF(Players!$A$2:$A$500,$B72)=0,"Player is not on the Players tab",IF(NOT(ISNUMBER($C72)),"Enter a gross score",IF(COUNTIFS($A$5:$A$1668,$A72,$B$5:$B$1668,$B72)&gt;1,"Player is listed twice this week",IF(AND($D72&lt;&gt;"",COUNTIFS($A$5:$A$1668,$A72,$D$5:$D$1668,$D72)&gt;1),"Two players picked as "&amp;$D72,IF(COUNTIFS($A$5:$A$1668,$A72,$D$5:$D$1668,"Gross winner")=0,"Pick this week's gross winner",IF(COUNTIFS($A$5:$A$1668,$A72,$D$5:$D$1668,"Net winner")=0,"Pick this week's net winner","OK")))))))</f>
        <v/>
      </c>
    </row>
    <row r="73" outlineLevel="1">
      <c r="A73" s="13" t="n">
        <v>46407</v>
      </c>
      <c r="E73" s="11">
        <f>IF(OR($B73="",NOT(ISNUMBER($C73))),"",COUNTIFS($A$5:$A$1668,$A73,$C$5:$C$1668,"&lt;"&amp;$C73)+1)</f>
        <v/>
      </c>
      <c r="F73" s="11">
        <f>IF(OR($B73="",NOT(ISNUMBER($C73))),"",COUNTIFS($A$5:$A$1668,$A73,$C$5:$C$1668,"&gt;0"))</f>
        <v/>
      </c>
      <c r="G73" s="11">
        <f>IF(OR($B73="",NOT(ISNUMBER($C73))),"",IF($D73&lt;&gt;"",ROUND(Points!$B$6*IF($F73&lt;Points!$H$4,Points!$H$5,1),0),ROUND(Points!$B$6*IF($F73&lt;=1,1,Points!$H$7+(1-Points!$H$7)*((($F73-$E73)*(($F73-$E73)+1)/2)^2-((($F73-$E73-COUNTIFS($A$5:$A$1668,$A73,$C$5:$C$1668,$C73)+1)-1)*($F73-$E73-COUNTIFS($A$5:$A$1668,$A73,$C$5:$C$1668,$C73)+1)/2)^2)/(COUNTIFS($A$5:$A$1668,$A73,$C$5:$C$1668,$C73)*($F73-1)^3))*IF($F73&lt;Points!$H$4,Points!$H$5,1),0)))</f>
        <v/>
      </c>
      <c r="H73" s="11">
        <f>IF($G73="","",COUNTIFS($B$5:$B$1668,$B73,$G$5:$G$1668,"&gt;"&amp;$G73)+COUNTIFS($B$4:$B72,$B73,$G$4:$G72,$G73)+1)</f>
        <v/>
      </c>
      <c r="I73" s="11">
        <f>IF($G73="","",IF($H73&lt;=Points!$H$6,$G73,0))</f>
        <v/>
      </c>
      <c r="J73" s="11">
        <f>IF($B73="","",IF(COUNTIF(Players!$A$2:$A$500,$B73)=0,"Player is not on the Players tab",IF(NOT(ISNUMBER($C73)),"Enter a gross score",IF(COUNTIFS($A$5:$A$1668,$A73,$B$5:$B$1668,$B73)&gt;1,"Player is listed twice this week",IF(AND($D73&lt;&gt;"",COUNTIFS($A$5:$A$1668,$A73,$D$5:$D$1668,$D73)&gt;1),"Two players picked as "&amp;$D73,IF(COUNTIFS($A$5:$A$1668,$A73,$D$5:$D$1668,"Gross winner")=0,"Pick this week's gross winner",IF(COUNTIFS($A$5:$A$1668,$A73,$D$5:$D$1668,"Net winner")=0,"Pick this week's net winner","OK")))))))</f>
        <v/>
      </c>
    </row>
    <row r="74" outlineLevel="1">
      <c r="A74" s="13" t="n">
        <v>46407</v>
      </c>
      <c r="E74" s="11">
        <f>IF(OR($B74="",NOT(ISNUMBER($C74))),"",COUNTIFS($A$5:$A$1668,$A74,$C$5:$C$1668,"&lt;"&amp;$C74)+1)</f>
        <v/>
      </c>
      <c r="F74" s="11">
        <f>IF(OR($B74="",NOT(ISNUMBER($C74))),"",COUNTIFS($A$5:$A$1668,$A74,$C$5:$C$1668,"&gt;0"))</f>
        <v/>
      </c>
      <c r="G74" s="11">
        <f>IF(OR($B74="",NOT(ISNUMBER($C74))),"",IF($D74&lt;&gt;"",ROUND(Points!$B$6*IF($F74&lt;Points!$H$4,Points!$H$5,1),0),ROUND(Points!$B$6*IF($F74&lt;=1,1,Points!$H$7+(1-Points!$H$7)*((($F74-$E74)*(($F74-$E74)+1)/2)^2-((($F74-$E74-COUNTIFS($A$5:$A$1668,$A74,$C$5:$C$1668,$C74)+1)-1)*($F74-$E74-COUNTIFS($A$5:$A$1668,$A74,$C$5:$C$1668,$C74)+1)/2)^2)/(COUNTIFS($A$5:$A$1668,$A74,$C$5:$C$1668,$C74)*($F74-1)^3))*IF($F74&lt;Points!$H$4,Points!$H$5,1),0)))</f>
        <v/>
      </c>
      <c r="H74" s="11">
        <f>IF($G74="","",COUNTIFS($B$5:$B$1668,$B74,$G$5:$G$1668,"&gt;"&amp;$G74)+COUNTIFS($B$4:$B73,$B74,$G$4:$G73,$G74)+1)</f>
        <v/>
      </c>
      <c r="I74" s="11">
        <f>IF($G74="","",IF($H74&lt;=Points!$H$6,$G74,0))</f>
        <v/>
      </c>
      <c r="J74" s="11">
        <f>IF($B74="","",IF(COUNTIF(Players!$A$2:$A$500,$B74)=0,"Player is not on the Players tab",IF(NOT(ISNUMBER($C74)),"Enter a gross score",IF(COUNTIFS($A$5:$A$1668,$A74,$B$5:$B$1668,$B74)&gt;1,"Player is listed twice this week",IF(AND($D74&lt;&gt;"",COUNTIFS($A$5:$A$1668,$A74,$D$5:$D$1668,$D74)&gt;1),"Two players picked as "&amp;$D74,IF(COUNTIFS($A$5:$A$1668,$A74,$D$5:$D$1668,"Gross winner")=0,"Pick this week's gross winner",IF(COUNTIFS($A$5:$A$1668,$A74,$D$5:$D$1668,"Net winner")=0,"Pick this week's net winner","OK")))))))</f>
        <v/>
      </c>
    </row>
    <row r="75" outlineLevel="1">
      <c r="A75" s="13" t="n">
        <v>46407</v>
      </c>
      <c r="E75" s="11">
        <f>IF(OR($B75="",NOT(ISNUMBER($C75))),"",COUNTIFS($A$5:$A$1668,$A75,$C$5:$C$1668,"&lt;"&amp;$C75)+1)</f>
        <v/>
      </c>
      <c r="F75" s="11">
        <f>IF(OR($B75="",NOT(ISNUMBER($C75))),"",COUNTIFS($A$5:$A$1668,$A75,$C$5:$C$1668,"&gt;0"))</f>
        <v/>
      </c>
      <c r="G75" s="11">
        <f>IF(OR($B75="",NOT(ISNUMBER($C75))),"",IF($D75&lt;&gt;"",ROUND(Points!$B$6*IF($F75&lt;Points!$H$4,Points!$H$5,1),0),ROUND(Points!$B$6*IF($F75&lt;=1,1,Points!$H$7+(1-Points!$H$7)*((($F75-$E75)*(($F75-$E75)+1)/2)^2-((($F75-$E75-COUNTIFS($A$5:$A$1668,$A75,$C$5:$C$1668,$C75)+1)-1)*($F75-$E75-COUNTIFS($A$5:$A$1668,$A75,$C$5:$C$1668,$C75)+1)/2)^2)/(COUNTIFS($A$5:$A$1668,$A75,$C$5:$C$1668,$C75)*($F75-1)^3))*IF($F75&lt;Points!$H$4,Points!$H$5,1),0)))</f>
        <v/>
      </c>
      <c r="H75" s="11">
        <f>IF($G75="","",COUNTIFS($B$5:$B$1668,$B75,$G$5:$G$1668,"&gt;"&amp;$G75)+COUNTIFS($B$4:$B74,$B75,$G$4:$G74,$G75)+1)</f>
        <v/>
      </c>
      <c r="I75" s="11">
        <f>IF($G75="","",IF($H75&lt;=Points!$H$6,$G75,0))</f>
        <v/>
      </c>
      <c r="J75" s="11">
        <f>IF($B75="","",IF(COUNTIF(Players!$A$2:$A$500,$B75)=0,"Player is not on the Players tab",IF(NOT(ISNUMBER($C75)),"Enter a gross score",IF(COUNTIFS($A$5:$A$1668,$A75,$B$5:$B$1668,$B75)&gt;1,"Player is listed twice this week",IF(AND($D75&lt;&gt;"",COUNTIFS($A$5:$A$1668,$A75,$D$5:$D$1668,$D75)&gt;1),"Two players picked as "&amp;$D75,IF(COUNTIFS($A$5:$A$1668,$A75,$D$5:$D$1668,"Gross winner")=0,"Pick this week's gross winner",IF(COUNTIFS($A$5:$A$1668,$A75,$D$5:$D$1668,"Net winner")=0,"Pick this week's net winner","OK")))))))</f>
        <v/>
      </c>
    </row>
    <row r="76" outlineLevel="1">
      <c r="A76" s="13" t="n">
        <v>46407</v>
      </c>
      <c r="E76" s="11">
        <f>IF(OR($B76="",NOT(ISNUMBER($C76))),"",COUNTIFS($A$5:$A$1668,$A76,$C$5:$C$1668,"&lt;"&amp;$C76)+1)</f>
        <v/>
      </c>
      <c r="F76" s="11">
        <f>IF(OR($B76="",NOT(ISNUMBER($C76))),"",COUNTIFS($A$5:$A$1668,$A76,$C$5:$C$1668,"&gt;0"))</f>
        <v/>
      </c>
      <c r="G76" s="11">
        <f>IF(OR($B76="",NOT(ISNUMBER($C76))),"",IF($D76&lt;&gt;"",ROUND(Points!$B$6*IF($F76&lt;Points!$H$4,Points!$H$5,1),0),ROUND(Points!$B$6*IF($F76&lt;=1,1,Points!$H$7+(1-Points!$H$7)*((($F76-$E76)*(($F76-$E76)+1)/2)^2-((($F76-$E76-COUNTIFS($A$5:$A$1668,$A76,$C$5:$C$1668,$C76)+1)-1)*($F76-$E76-COUNTIFS($A$5:$A$1668,$A76,$C$5:$C$1668,$C76)+1)/2)^2)/(COUNTIFS($A$5:$A$1668,$A76,$C$5:$C$1668,$C76)*($F76-1)^3))*IF($F76&lt;Points!$H$4,Points!$H$5,1),0)))</f>
        <v/>
      </c>
      <c r="H76" s="11">
        <f>IF($G76="","",COUNTIFS($B$5:$B$1668,$B76,$G$5:$G$1668,"&gt;"&amp;$G76)+COUNTIFS($B$4:$B75,$B76,$G$4:$G75,$G76)+1)</f>
        <v/>
      </c>
      <c r="I76" s="11">
        <f>IF($G76="","",IF($H76&lt;=Points!$H$6,$G76,0))</f>
        <v/>
      </c>
      <c r="J76" s="11">
        <f>IF($B76="","",IF(COUNTIF(Players!$A$2:$A$500,$B76)=0,"Player is not on the Players tab",IF(NOT(ISNUMBER($C76)),"Enter a gross score",IF(COUNTIFS($A$5:$A$1668,$A76,$B$5:$B$1668,$B76)&gt;1,"Player is listed twice this week",IF(AND($D76&lt;&gt;"",COUNTIFS($A$5:$A$1668,$A76,$D$5:$D$1668,$D76)&gt;1),"Two players picked as "&amp;$D76,IF(COUNTIFS($A$5:$A$1668,$A76,$D$5:$D$1668,"Gross winner")=0,"Pick this week's gross winner",IF(COUNTIFS($A$5:$A$1668,$A76,$D$5:$D$1668,"Net winner")=0,"Pick this week's net winner","OK")))))))</f>
        <v/>
      </c>
    </row>
    <row r="77" outlineLevel="1">
      <c r="A77" s="13" t="n">
        <v>46407</v>
      </c>
      <c r="E77" s="11">
        <f>IF(OR($B77="",NOT(ISNUMBER($C77))),"",COUNTIFS($A$5:$A$1668,$A77,$C$5:$C$1668,"&lt;"&amp;$C77)+1)</f>
        <v/>
      </c>
      <c r="F77" s="11">
        <f>IF(OR($B77="",NOT(ISNUMBER($C77))),"",COUNTIFS($A$5:$A$1668,$A77,$C$5:$C$1668,"&gt;0"))</f>
        <v/>
      </c>
      <c r="G77" s="11">
        <f>IF(OR($B77="",NOT(ISNUMBER($C77))),"",IF($D77&lt;&gt;"",ROUND(Points!$B$6*IF($F77&lt;Points!$H$4,Points!$H$5,1),0),ROUND(Points!$B$6*IF($F77&lt;=1,1,Points!$H$7+(1-Points!$H$7)*((($F77-$E77)*(($F77-$E77)+1)/2)^2-((($F77-$E77-COUNTIFS($A$5:$A$1668,$A77,$C$5:$C$1668,$C77)+1)-1)*($F77-$E77-COUNTIFS($A$5:$A$1668,$A77,$C$5:$C$1668,$C77)+1)/2)^2)/(COUNTIFS($A$5:$A$1668,$A77,$C$5:$C$1668,$C77)*($F77-1)^3))*IF($F77&lt;Points!$H$4,Points!$H$5,1),0)))</f>
        <v/>
      </c>
      <c r="H77" s="11">
        <f>IF($G77="","",COUNTIFS($B$5:$B$1668,$B77,$G$5:$G$1668,"&gt;"&amp;$G77)+COUNTIFS($B$4:$B76,$B77,$G$4:$G76,$G77)+1)</f>
        <v/>
      </c>
      <c r="I77" s="11">
        <f>IF($G77="","",IF($H77&lt;=Points!$H$6,$G77,0))</f>
        <v/>
      </c>
      <c r="J77" s="11">
        <f>IF($B77="","",IF(COUNTIF(Players!$A$2:$A$500,$B77)=0,"Player is not on the Players tab",IF(NOT(ISNUMBER($C77)),"Enter a gross score",IF(COUNTIFS($A$5:$A$1668,$A77,$B$5:$B$1668,$B77)&gt;1,"Player is listed twice this week",IF(AND($D77&lt;&gt;"",COUNTIFS($A$5:$A$1668,$A77,$D$5:$D$1668,$D77)&gt;1),"Two players picked as "&amp;$D77,IF(COUNTIFS($A$5:$A$1668,$A77,$D$5:$D$1668,"Gross winner")=0,"Pick this week's gross winner",IF(COUNTIFS($A$5:$A$1668,$A77,$D$5:$D$1668,"Net winner")=0,"Pick this week's net winner","OK")))))))</f>
        <v/>
      </c>
    </row>
    <row r="78" outlineLevel="1">
      <c r="A78" s="13" t="n">
        <v>46407</v>
      </c>
      <c r="E78" s="11">
        <f>IF(OR($B78="",NOT(ISNUMBER($C78))),"",COUNTIFS($A$5:$A$1668,$A78,$C$5:$C$1668,"&lt;"&amp;$C78)+1)</f>
        <v/>
      </c>
      <c r="F78" s="11">
        <f>IF(OR($B78="",NOT(ISNUMBER($C78))),"",COUNTIFS($A$5:$A$1668,$A78,$C$5:$C$1668,"&gt;0"))</f>
        <v/>
      </c>
      <c r="G78" s="11">
        <f>IF(OR($B78="",NOT(ISNUMBER($C78))),"",IF($D78&lt;&gt;"",ROUND(Points!$B$6*IF($F78&lt;Points!$H$4,Points!$H$5,1),0),ROUND(Points!$B$6*IF($F78&lt;=1,1,Points!$H$7+(1-Points!$H$7)*((($F78-$E78)*(($F78-$E78)+1)/2)^2-((($F78-$E78-COUNTIFS($A$5:$A$1668,$A78,$C$5:$C$1668,$C78)+1)-1)*($F78-$E78-COUNTIFS($A$5:$A$1668,$A78,$C$5:$C$1668,$C78)+1)/2)^2)/(COUNTIFS($A$5:$A$1668,$A78,$C$5:$C$1668,$C78)*($F78-1)^3))*IF($F78&lt;Points!$H$4,Points!$H$5,1),0)))</f>
        <v/>
      </c>
      <c r="H78" s="11">
        <f>IF($G78="","",COUNTIFS($B$5:$B$1668,$B78,$G$5:$G$1668,"&gt;"&amp;$G78)+COUNTIFS($B$4:$B77,$B78,$G$4:$G77,$G78)+1)</f>
        <v/>
      </c>
      <c r="I78" s="11">
        <f>IF($G78="","",IF($H78&lt;=Points!$H$6,$G78,0))</f>
        <v/>
      </c>
      <c r="J78" s="11">
        <f>IF($B78="","",IF(COUNTIF(Players!$A$2:$A$500,$B78)=0,"Player is not on the Players tab",IF(NOT(ISNUMBER($C78)),"Enter a gross score",IF(COUNTIFS($A$5:$A$1668,$A78,$B$5:$B$1668,$B78)&gt;1,"Player is listed twice this week",IF(AND($D78&lt;&gt;"",COUNTIFS($A$5:$A$1668,$A78,$D$5:$D$1668,$D78)&gt;1),"Two players picked as "&amp;$D78,IF(COUNTIFS($A$5:$A$1668,$A78,$D$5:$D$1668,"Gross winner")=0,"Pick this week's gross winner",IF(COUNTIFS($A$5:$A$1668,$A78,$D$5:$D$1668,"Net winner")=0,"Pick this week's net winner","OK")))))))</f>
        <v/>
      </c>
    </row>
    <row r="79" outlineLevel="1">
      <c r="A79" s="13" t="n">
        <v>46407</v>
      </c>
      <c r="E79" s="11">
        <f>IF(OR($B79="",NOT(ISNUMBER($C79))),"",COUNTIFS($A$5:$A$1668,$A79,$C$5:$C$1668,"&lt;"&amp;$C79)+1)</f>
        <v/>
      </c>
      <c r="F79" s="11">
        <f>IF(OR($B79="",NOT(ISNUMBER($C79))),"",COUNTIFS($A$5:$A$1668,$A79,$C$5:$C$1668,"&gt;0"))</f>
        <v/>
      </c>
      <c r="G79" s="11">
        <f>IF(OR($B79="",NOT(ISNUMBER($C79))),"",IF($D79&lt;&gt;"",ROUND(Points!$B$6*IF($F79&lt;Points!$H$4,Points!$H$5,1),0),ROUND(Points!$B$6*IF($F79&lt;=1,1,Points!$H$7+(1-Points!$H$7)*((($F79-$E79)*(($F79-$E79)+1)/2)^2-((($F79-$E79-COUNTIFS($A$5:$A$1668,$A79,$C$5:$C$1668,$C79)+1)-1)*($F79-$E79-COUNTIFS($A$5:$A$1668,$A79,$C$5:$C$1668,$C79)+1)/2)^2)/(COUNTIFS($A$5:$A$1668,$A79,$C$5:$C$1668,$C79)*($F79-1)^3))*IF($F79&lt;Points!$H$4,Points!$H$5,1),0)))</f>
        <v/>
      </c>
      <c r="H79" s="11">
        <f>IF($G79="","",COUNTIFS($B$5:$B$1668,$B79,$G$5:$G$1668,"&gt;"&amp;$G79)+COUNTIFS($B$4:$B78,$B79,$G$4:$G78,$G79)+1)</f>
        <v/>
      </c>
      <c r="I79" s="11">
        <f>IF($G79="","",IF($H79&lt;=Points!$H$6,$G79,0))</f>
        <v/>
      </c>
      <c r="J79" s="11">
        <f>IF($B79="","",IF(COUNTIF(Players!$A$2:$A$500,$B79)=0,"Player is not on the Players tab",IF(NOT(ISNUMBER($C79)),"Enter a gross score",IF(COUNTIFS($A$5:$A$1668,$A79,$B$5:$B$1668,$B79)&gt;1,"Player is listed twice this week",IF(AND($D79&lt;&gt;"",COUNTIFS($A$5:$A$1668,$A79,$D$5:$D$1668,$D79)&gt;1),"Two players picked as "&amp;$D79,IF(COUNTIFS($A$5:$A$1668,$A79,$D$5:$D$1668,"Gross winner")=0,"Pick this week's gross winner",IF(COUNTIFS($A$5:$A$1668,$A79,$D$5:$D$1668,"Net winner")=0,"Pick this week's net winner","OK")))))))</f>
        <v/>
      </c>
    </row>
    <row r="80" outlineLevel="1">
      <c r="A80" s="13" t="n">
        <v>46407</v>
      </c>
      <c r="E80" s="11">
        <f>IF(OR($B80="",NOT(ISNUMBER($C80))),"",COUNTIFS($A$5:$A$1668,$A80,$C$5:$C$1668,"&lt;"&amp;$C80)+1)</f>
        <v/>
      </c>
      <c r="F80" s="11">
        <f>IF(OR($B80="",NOT(ISNUMBER($C80))),"",COUNTIFS($A$5:$A$1668,$A80,$C$5:$C$1668,"&gt;0"))</f>
        <v/>
      </c>
      <c r="G80" s="11">
        <f>IF(OR($B80="",NOT(ISNUMBER($C80))),"",IF($D80&lt;&gt;"",ROUND(Points!$B$6*IF($F80&lt;Points!$H$4,Points!$H$5,1),0),ROUND(Points!$B$6*IF($F80&lt;=1,1,Points!$H$7+(1-Points!$H$7)*((($F80-$E80)*(($F80-$E80)+1)/2)^2-((($F80-$E80-COUNTIFS($A$5:$A$1668,$A80,$C$5:$C$1668,$C80)+1)-1)*($F80-$E80-COUNTIFS($A$5:$A$1668,$A80,$C$5:$C$1668,$C80)+1)/2)^2)/(COUNTIFS($A$5:$A$1668,$A80,$C$5:$C$1668,$C80)*($F80-1)^3))*IF($F80&lt;Points!$H$4,Points!$H$5,1),0)))</f>
        <v/>
      </c>
      <c r="H80" s="11">
        <f>IF($G80="","",COUNTIFS($B$5:$B$1668,$B80,$G$5:$G$1668,"&gt;"&amp;$G80)+COUNTIFS($B$4:$B79,$B80,$G$4:$G79,$G80)+1)</f>
        <v/>
      </c>
      <c r="I80" s="11">
        <f>IF($G80="","",IF($H80&lt;=Points!$H$6,$G80,0))</f>
        <v/>
      </c>
      <c r="J80" s="11">
        <f>IF($B80="","",IF(COUNTIF(Players!$A$2:$A$500,$B80)=0,"Player is not on the Players tab",IF(NOT(ISNUMBER($C80)),"Enter a gross score",IF(COUNTIFS($A$5:$A$1668,$A80,$B$5:$B$1668,$B80)&gt;1,"Player is listed twice this week",IF(AND($D80&lt;&gt;"",COUNTIFS($A$5:$A$1668,$A80,$D$5:$D$1668,$D80)&gt;1),"Two players picked as "&amp;$D80,IF(COUNTIFS($A$5:$A$1668,$A80,$D$5:$D$1668,"Gross winner")=0,"Pick this week's gross winner",IF(COUNTIFS($A$5:$A$1668,$A80,$D$5:$D$1668,"Net winner")=0,"Pick this week's net winner","OK")))))))</f>
        <v/>
      </c>
    </row>
    <row r="81" outlineLevel="1">
      <c r="A81" s="13" t="n">
        <v>46407</v>
      </c>
      <c r="E81" s="11">
        <f>IF(OR($B81="",NOT(ISNUMBER($C81))),"",COUNTIFS($A$5:$A$1668,$A81,$C$5:$C$1668,"&lt;"&amp;$C81)+1)</f>
        <v/>
      </c>
      <c r="F81" s="11">
        <f>IF(OR($B81="",NOT(ISNUMBER($C81))),"",COUNTIFS($A$5:$A$1668,$A81,$C$5:$C$1668,"&gt;0"))</f>
        <v/>
      </c>
      <c r="G81" s="11">
        <f>IF(OR($B81="",NOT(ISNUMBER($C81))),"",IF($D81&lt;&gt;"",ROUND(Points!$B$6*IF($F81&lt;Points!$H$4,Points!$H$5,1),0),ROUND(Points!$B$6*IF($F81&lt;=1,1,Points!$H$7+(1-Points!$H$7)*((($F81-$E81)*(($F81-$E81)+1)/2)^2-((($F81-$E81-COUNTIFS($A$5:$A$1668,$A81,$C$5:$C$1668,$C81)+1)-1)*($F81-$E81-COUNTIFS($A$5:$A$1668,$A81,$C$5:$C$1668,$C81)+1)/2)^2)/(COUNTIFS($A$5:$A$1668,$A81,$C$5:$C$1668,$C81)*($F81-1)^3))*IF($F81&lt;Points!$H$4,Points!$H$5,1),0)))</f>
        <v/>
      </c>
      <c r="H81" s="11">
        <f>IF($G81="","",COUNTIFS($B$5:$B$1668,$B81,$G$5:$G$1668,"&gt;"&amp;$G81)+COUNTIFS($B$4:$B80,$B81,$G$4:$G80,$G81)+1)</f>
        <v/>
      </c>
      <c r="I81" s="11">
        <f>IF($G81="","",IF($H81&lt;=Points!$H$6,$G81,0))</f>
        <v/>
      </c>
      <c r="J81" s="11">
        <f>IF($B81="","",IF(COUNTIF(Players!$A$2:$A$500,$B81)=0,"Player is not on the Players tab",IF(NOT(ISNUMBER($C81)),"Enter a gross score",IF(COUNTIFS($A$5:$A$1668,$A81,$B$5:$B$1668,$B81)&gt;1,"Player is listed twice this week",IF(AND($D81&lt;&gt;"",COUNTIFS($A$5:$A$1668,$A81,$D$5:$D$1668,$D81)&gt;1),"Two players picked as "&amp;$D81,IF(COUNTIFS($A$5:$A$1668,$A81,$D$5:$D$1668,"Gross winner")=0,"Pick this week's gross winner",IF(COUNTIFS($A$5:$A$1668,$A81,$D$5:$D$1668,"Net winner")=0,"Pick this week's net winner","OK")))))))</f>
        <v/>
      </c>
    </row>
    <row r="82" outlineLevel="1">
      <c r="A82" s="13" t="n">
        <v>46407</v>
      </c>
      <c r="E82" s="11">
        <f>IF(OR($B82="",NOT(ISNUMBER($C82))),"",COUNTIFS($A$5:$A$1668,$A82,$C$5:$C$1668,"&lt;"&amp;$C82)+1)</f>
        <v/>
      </c>
      <c r="F82" s="11">
        <f>IF(OR($B82="",NOT(ISNUMBER($C82))),"",COUNTIFS($A$5:$A$1668,$A82,$C$5:$C$1668,"&gt;0"))</f>
        <v/>
      </c>
      <c r="G82" s="11">
        <f>IF(OR($B82="",NOT(ISNUMBER($C82))),"",IF($D82&lt;&gt;"",ROUND(Points!$B$6*IF($F82&lt;Points!$H$4,Points!$H$5,1),0),ROUND(Points!$B$6*IF($F82&lt;=1,1,Points!$H$7+(1-Points!$H$7)*((($F82-$E82)*(($F82-$E82)+1)/2)^2-((($F82-$E82-COUNTIFS($A$5:$A$1668,$A82,$C$5:$C$1668,$C82)+1)-1)*($F82-$E82-COUNTIFS($A$5:$A$1668,$A82,$C$5:$C$1668,$C82)+1)/2)^2)/(COUNTIFS($A$5:$A$1668,$A82,$C$5:$C$1668,$C82)*($F82-1)^3))*IF($F82&lt;Points!$H$4,Points!$H$5,1),0)))</f>
        <v/>
      </c>
      <c r="H82" s="11">
        <f>IF($G82="","",COUNTIFS($B$5:$B$1668,$B82,$G$5:$G$1668,"&gt;"&amp;$G82)+COUNTIFS($B$4:$B81,$B82,$G$4:$G81,$G82)+1)</f>
        <v/>
      </c>
      <c r="I82" s="11">
        <f>IF($G82="","",IF($H82&lt;=Points!$H$6,$G82,0))</f>
        <v/>
      </c>
      <c r="J82" s="11">
        <f>IF($B82="","",IF(COUNTIF(Players!$A$2:$A$500,$B82)=0,"Player is not on the Players tab",IF(NOT(ISNUMBER($C82)),"Enter a gross score",IF(COUNTIFS($A$5:$A$1668,$A82,$B$5:$B$1668,$B82)&gt;1,"Player is listed twice this week",IF(AND($D82&lt;&gt;"",COUNTIFS($A$5:$A$1668,$A82,$D$5:$D$1668,$D82)&gt;1),"Two players picked as "&amp;$D82,IF(COUNTIFS($A$5:$A$1668,$A82,$D$5:$D$1668,"Gross winner")=0,"Pick this week's gross winner",IF(COUNTIFS($A$5:$A$1668,$A82,$D$5:$D$1668,"Net winner")=0,"Pick this week's net winner","OK")))))))</f>
        <v/>
      </c>
    </row>
    <row r="83" outlineLevel="1">
      <c r="A83" s="13" t="n">
        <v>46407</v>
      </c>
      <c r="E83" s="11">
        <f>IF(OR($B83="",NOT(ISNUMBER($C83))),"",COUNTIFS($A$5:$A$1668,$A83,$C$5:$C$1668,"&lt;"&amp;$C83)+1)</f>
        <v/>
      </c>
      <c r="F83" s="11">
        <f>IF(OR($B83="",NOT(ISNUMBER($C83))),"",COUNTIFS($A$5:$A$1668,$A83,$C$5:$C$1668,"&gt;0"))</f>
        <v/>
      </c>
      <c r="G83" s="11">
        <f>IF(OR($B83="",NOT(ISNUMBER($C83))),"",IF($D83&lt;&gt;"",ROUND(Points!$B$6*IF($F83&lt;Points!$H$4,Points!$H$5,1),0),ROUND(Points!$B$6*IF($F83&lt;=1,1,Points!$H$7+(1-Points!$H$7)*((($F83-$E83)*(($F83-$E83)+1)/2)^2-((($F83-$E83-COUNTIFS($A$5:$A$1668,$A83,$C$5:$C$1668,$C83)+1)-1)*($F83-$E83-COUNTIFS($A$5:$A$1668,$A83,$C$5:$C$1668,$C83)+1)/2)^2)/(COUNTIFS($A$5:$A$1668,$A83,$C$5:$C$1668,$C83)*($F83-1)^3))*IF($F83&lt;Points!$H$4,Points!$H$5,1),0)))</f>
        <v/>
      </c>
      <c r="H83" s="11">
        <f>IF($G83="","",COUNTIFS($B$5:$B$1668,$B83,$G$5:$G$1668,"&gt;"&amp;$G83)+COUNTIFS($B$4:$B82,$B83,$G$4:$G82,$G83)+1)</f>
        <v/>
      </c>
      <c r="I83" s="11">
        <f>IF($G83="","",IF($H83&lt;=Points!$H$6,$G83,0))</f>
        <v/>
      </c>
      <c r="J83" s="11">
        <f>IF($B83="","",IF(COUNTIF(Players!$A$2:$A$500,$B83)=0,"Player is not on the Players tab",IF(NOT(ISNUMBER($C83)),"Enter a gross score",IF(COUNTIFS($A$5:$A$1668,$A83,$B$5:$B$1668,$B83)&gt;1,"Player is listed twice this week",IF(AND($D83&lt;&gt;"",COUNTIFS($A$5:$A$1668,$A83,$D$5:$D$1668,$D83)&gt;1),"Two players picked as "&amp;$D83,IF(COUNTIFS($A$5:$A$1668,$A83,$D$5:$D$1668,"Gross winner")=0,"Pick this week's gross winner",IF(COUNTIFS($A$5:$A$1668,$A83,$D$5:$D$1668,"Net winner")=0,"Pick this week's net winner","OK")))))))</f>
        <v/>
      </c>
    </row>
    <row r="84" outlineLevel="1">
      <c r="A84" s="13" t="n">
        <v>46407</v>
      </c>
      <c r="E84" s="11">
        <f>IF(OR($B84="",NOT(ISNUMBER($C84))),"",COUNTIFS($A$5:$A$1668,$A84,$C$5:$C$1668,"&lt;"&amp;$C84)+1)</f>
        <v/>
      </c>
      <c r="F84" s="11">
        <f>IF(OR($B84="",NOT(ISNUMBER($C84))),"",COUNTIFS($A$5:$A$1668,$A84,$C$5:$C$1668,"&gt;0"))</f>
        <v/>
      </c>
      <c r="G84" s="11">
        <f>IF(OR($B84="",NOT(ISNUMBER($C84))),"",IF($D84&lt;&gt;"",ROUND(Points!$B$6*IF($F84&lt;Points!$H$4,Points!$H$5,1),0),ROUND(Points!$B$6*IF($F84&lt;=1,1,Points!$H$7+(1-Points!$H$7)*((($F84-$E84)*(($F84-$E84)+1)/2)^2-((($F84-$E84-COUNTIFS($A$5:$A$1668,$A84,$C$5:$C$1668,$C84)+1)-1)*($F84-$E84-COUNTIFS($A$5:$A$1668,$A84,$C$5:$C$1668,$C84)+1)/2)^2)/(COUNTIFS($A$5:$A$1668,$A84,$C$5:$C$1668,$C84)*($F84-1)^3))*IF($F84&lt;Points!$H$4,Points!$H$5,1),0)))</f>
        <v/>
      </c>
      <c r="H84" s="11">
        <f>IF($G84="","",COUNTIFS($B$5:$B$1668,$B84,$G$5:$G$1668,"&gt;"&amp;$G84)+COUNTIFS($B$4:$B83,$B84,$G$4:$G83,$G84)+1)</f>
        <v/>
      </c>
      <c r="I84" s="11">
        <f>IF($G84="","",IF($H84&lt;=Points!$H$6,$G84,0))</f>
        <v/>
      </c>
      <c r="J84" s="11">
        <f>IF($B84="","",IF(COUNTIF(Players!$A$2:$A$500,$B84)=0,"Player is not on the Players tab",IF(NOT(ISNUMBER($C84)),"Enter a gross score",IF(COUNTIFS($A$5:$A$1668,$A84,$B$5:$B$1668,$B84)&gt;1,"Player is listed twice this week",IF(AND($D84&lt;&gt;"",COUNTIFS($A$5:$A$1668,$A84,$D$5:$D$1668,$D84)&gt;1),"Two players picked as "&amp;$D84,IF(COUNTIFS($A$5:$A$1668,$A84,$D$5:$D$1668,"Gross winner")=0,"Pick this week's gross winner",IF(COUNTIFS($A$5:$A$1668,$A84,$D$5:$D$1668,"Net winner")=0,"Pick this week's net winner","OK")))))))</f>
        <v/>
      </c>
    </row>
    <row r="85" outlineLevel="1">
      <c r="A85" s="13" t="n">
        <v>46407</v>
      </c>
      <c r="E85" s="11">
        <f>IF(OR($B85="",NOT(ISNUMBER($C85))),"",COUNTIFS($A$5:$A$1668,$A85,$C$5:$C$1668,"&lt;"&amp;$C85)+1)</f>
        <v/>
      </c>
      <c r="F85" s="11">
        <f>IF(OR($B85="",NOT(ISNUMBER($C85))),"",COUNTIFS($A$5:$A$1668,$A85,$C$5:$C$1668,"&gt;0"))</f>
        <v/>
      </c>
      <c r="G85" s="11">
        <f>IF(OR($B85="",NOT(ISNUMBER($C85))),"",IF($D85&lt;&gt;"",ROUND(Points!$B$6*IF($F85&lt;Points!$H$4,Points!$H$5,1),0),ROUND(Points!$B$6*IF($F85&lt;=1,1,Points!$H$7+(1-Points!$H$7)*((($F85-$E85)*(($F85-$E85)+1)/2)^2-((($F85-$E85-COUNTIFS($A$5:$A$1668,$A85,$C$5:$C$1668,$C85)+1)-1)*($F85-$E85-COUNTIFS($A$5:$A$1668,$A85,$C$5:$C$1668,$C85)+1)/2)^2)/(COUNTIFS($A$5:$A$1668,$A85,$C$5:$C$1668,$C85)*($F85-1)^3))*IF($F85&lt;Points!$H$4,Points!$H$5,1),0)))</f>
        <v/>
      </c>
      <c r="H85" s="11">
        <f>IF($G85="","",COUNTIFS($B$5:$B$1668,$B85,$G$5:$G$1668,"&gt;"&amp;$G85)+COUNTIFS($B$4:$B84,$B85,$G$4:$G84,$G85)+1)</f>
        <v/>
      </c>
      <c r="I85" s="11">
        <f>IF($G85="","",IF($H85&lt;=Points!$H$6,$G85,0))</f>
        <v/>
      </c>
      <c r="J85" s="11">
        <f>IF($B85="","",IF(COUNTIF(Players!$A$2:$A$500,$B85)=0,"Player is not on the Players tab",IF(NOT(ISNUMBER($C85)),"Enter a gross score",IF(COUNTIFS($A$5:$A$1668,$A85,$B$5:$B$1668,$B85)&gt;1,"Player is listed twice this week",IF(AND($D85&lt;&gt;"",COUNTIFS($A$5:$A$1668,$A85,$D$5:$D$1668,$D85)&gt;1),"Two players picked as "&amp;$D85,IF(COUNTIFS($A$5:$A$1668,$A85,$D$5:$D$1668,"Gross winner")=0,"Pick this week's gross winner",IF(COUNTIFS($A$5:$A$1668,$A85,$D$5:$D$1668,"Net winner")=0,"Pick this week's net winner","OK")))))))</f>
        <v/>
      </c>
    </row>
    <row r="86" outlineLevel="1">
      <c r="A86" s="13" t="n">
        <v>46407</v>
      </c>
      <c r="E86" s="11">
        <f>IF(OR($B86="",NOT(ISNUMBER($C86))),"",COUNTIFS($A$5:$A$1668,$A86,$C$5:$C$1668,"&lt;"&amp;$C86)+1)</f>
        <v/>
      </c>
      <c r="F86" s="11">
        <f>IF(OR($B86="",NOT(ISNUMBER($C86))),"",COUNTIFS($A$5:$A$1668,$A86,$C$5:$C$1668,"&gt;0"))</f>
        <v/>
      </c>
      <c r="G86" s="11">
        <f>IF(OR($B86="",NOT(ISNUMBER($C86))),"",IF($D86&lt;&gt;"",ROUND(Points!$B$6*IF($F86&lt;Points!$H$4,Points!$H$5,1),0),ROUND(Points!$B$6*IF($F86&lt;=1,1,Points!$H$7+(1-Points!$H$7)*((($F86-$E86)*(($F86-$E86)+1)/2)^2-((($F86-$E86-COUNTIFS($A$5:$A$1668,$A86,$C$5:$C$1668,$C86)+1)-1)*($F86-$E86-COUNTIFS($A$5:$A$1668,$A86,$C$5:$C$1668,$C86)+1)/2)^2)/(COUNTIFS($A$5:$A$1668,$A86,$C$5:$C$1668,$C86)*($F86-1)^3))*IF($F86&lt;Points!$H$4,Points!$H$5,1),0)))</f>
        <v/>
      </c>
      <c r="H86" s="11">
        <f>IF($G86="","",COUNTIFS($B$5:$B$1668,$B86,$G$5:$G$1668,"&gt;"&amp;$G86)+COUNTIFS($B$4:$B85,$B86,$G$4:$G85,$G86)+1)</f>
        <v/>
      </c>
      <c r="I86" s="11">
        <f>IF($G86="","",IF($H86&lt;=Points!$H$6,$G86,0))</f>
        <v/>
      </c>
      <c r="J86" s="11">
        <f>IF($B86="","",IF(COUNTIF(Players!$A$2:$A$500,$B86)=0,"Player is not on the Players tab",IF(NOT(ISNUMBER($C86)),"Enter a gross score",IF(COUNTIFS($A$5:$A$1668,$A86,$B$5:$B$1668,$B86)&gt;1,"Player is listed twice this week",IF(AND($D86&lt;&gt;"",COUNTIFS($A$5:$A$1668,$A86,$D$5:$D$1668,$D86)&gt;1),"Two players picked as "&amp;$D86,IF(COUNTIFS($A$5:$A$1668,$A86,$D$5:$D$1668,"Gross winner")=0,"Pick this week's gross winner",IF(COUNTIFS($A$5:$A$1668,$A86,$D$5:$D$1668,"Net winner")=0,"Pick this week's net winner","OK")))))))</f>
        <v/>
      </c>
    </row>
    <row r="87" outlineLevel="1">
      <c r="A87" s="13" t="n">
        <v>46407</v>
      </c>
      <c r="E87" s="11">
        <f>IF(OR($B87="",NOT(ISNUMBER($C87))),"",COUNTIFS($A$5:$A$1668,$A87,$C$5:$C$1668,"&lt;"&amp;$C87)+1)</f>
        <v/>
      </c>
      <c r="F87" s="11">
        <f>IF(OR($B87="",NOT(ISNUMBER($C87))),"",COUNTIFS($A$5:$A$1668,$A87,$C$5:$C$1668,"&gt;0"))</f>
        <v/>
      </c>
      <c r="G87" s="11">
        <f>IF(OR($B87="",NOT(ISNUMBER($C87))),"",IF($D87&lt;&gt;"",ROUND(Points!$B$6*IF($F87&lt;Points!$H$4,Points!$H$5,1),0),ROUND(Points!$B$6*IF($F87&lt;=1,1,Points!$H$7+(1-Points!$H$7)*((($F87-$E87)*(($F87-$E87)+1)/2)^2-((($F87-$E87-COUNTIFS($A$5:$A$1668,$A87,$C$5:$C$1668,$C87)+1)-1)*($F87-$E87-COUNTIFS($A$5:$A$1668,$A87,$C$5:$C$1668,$C87)+1)/2)^2)/(COUNTIFS($A$5:$A$1668,$A87,$C$5:$C$1668,$C87)*($F87-1)^3))*IF($F87&lt;Points!$H$4,Points!$H$5,1),0)))</f>
        <v/>
      </c>
      <c r="H87" s="11">
        <f>IF($G87="","",COUNTIFS($B$5:$B$1668,$B87,$G$5:$G$1668,"&gt;"&amp;$G87)+COUNTIFS($B$4:$B86,$B87,$G$4:$G86,$G87)+1)</f>
        <v/>
      </c>
      <c r="I87" s="11">
        <f>IF($G87="","",IF($H87&lt;=Points!$H$6,$G87,0))</f>
        <v/>
      </c>
      <c r="J87" s="11">
        <f>IF($B87="","",IF(COUNTIF(Players!$A$2:$A$500,$B87)=0,"Player is not on the Players tab",IF(NOT(ISNUMBER($C87)),"Enter a gross score",IF(COUNTIFS($A$5:$A$1668,$A87,$B$5:$B$1668,$B87)&gt;1,"Player is listed twice this week",IF(AND($D87&lt;&gt;"",COUNTIFS($A$5:$A$1668,$A87,$D$5:$D$1668,$D87)&gt;1),"Two players picked as "&amp;$D87,IF(COUNTIFS($A$5:$A$1668,$A87,$D$5:$D$1668,"Gross winner")=0,"Pick this week's gross winner",IF(COUNTIFS($A$5:$A$1668,$A87,$D$5:$D$1668,"Net winner")=0,"Pick this week's net winner","OK")))))))</f>
        <v/>
      </c>
    </row>
    <row r="88" outlineLevel="1">
      <c r="A88" s="13" t="n">
        <v>46407</v>
      </c>
      <c r="E88" s="11">
        <f>IF(OR($B88="",NOT(ISNUMBER($C88))),"",COUNTIFS($A$5:$A$1668,$A88,$C$5:$C$1668,"&lt;"&amp;$C88)+1)</f>
        <v/>
      </c>
      <c r="F88" s="11">
        <f>IF(OR($B88="",NOT(ISNUMBER($C88))),"",COUNTIFS($A$5:$A$1668,$A88,$C$5:$C$1668,"&gt;0"))</f>
        <v/>
      </c>
      <c r="G88" s="11">
        <f>IF(OR($B88="",NOT(ISNUMBER($C88))),"",IF($D88&lt;&gt;"",ROUND(Points!$B$6*IF($F88&lt;Points!$H$4,Points!$H$5,1),0),ROUND(Points!$B$6*IF($F88&lt;=1,1,Points!$H$7+(1-Points!$H$7)*((($F88-$E88)*(($F88-$E88)+1)/2)^2-((($F88-$E88-COUNTIFS($A$5:$A$1668,$A88,$C$5:$C$1668,$C88)+1)-1)*($F88-$E88-COUNTIFS($A$5:$A$1668,$A88,$C$5:$C$1668,$C88)+1)/2)^2)/(COUNTIFS($A$5:$A$1668,$A88,$C$5:$C$1668,$C88)*($F88-1)^3))*IF($F88&lt;Points!$H$4,Points!$H$5,1),0)))</f>
        <v/>
      </c>
      <c r="H88" s="11">
        <f>IF($G88="","",COUNTIFS($B$5:$B$1668,$B88,$G$5:$G$1668,"&gt;"&amp;$G88)+COUNTIFS($B$4:$B87,$B88,$G$4:$G87,$G88)+1)</f>
        <v/>
      </c>
      <c r="I88" s="11">
        <f>IF($G88="","",IF($H88&lt;=Points!$H$6,$G88,0))</f>
        <v/>
      </c>
      <c r="J88" s="11">
        <f>IF($B88="","",IF(COUNTIF(Players!$A$2:$A$500,$B88)=0,"Player is not on the Players tab",IF(NOT(ISNUMBER($C88)),"Enter a gross score",IF(COUNTIFS($A$5:$A$1668,$A88,$B$5:$B$1668,$B88)&gt;1,"Player is listed twice this week",IF(AND($D88&lt;&gt;"",COUNTIFS($A$5:$A$1668,$A88,$D$5:$D$1668,$D88)&gt;1),"Two players picked as "&amp;$D88,IF(COUNTIFS($A$5:$A$1668,$A88,$D$5:$D$1668,"Gross winner")=0,"Pick this week's gross winner",IF(COUNTIFS($A$5:$A$1668,$A88,$D$5:$D$1668,"Net winner")=0,"Pick this week's net winner","OK")))))))</f>
        <v/>
      </c>
    </row>
    <row r="89" outlineLevel="1">
      <c r="A89" s="13" t="n">
        <v>46407</v>
      </c>
      <c r="E89" s="11">
        <f>IF(OR($B89="",NOT(ISNUMBER($C89))),"",COUNTIFS($A$5:$A$1668,$A89,$C$5:$C$1668,"&lt;"&amp;$C89)+1)</f>
        <v/>
      </c>
      <c r="F89" s="11">
        <f>IF(OR($B89="",NOT(ISNUMBER($C89))),"",COUNTIFS($A$5:$A$1668,$A89,$C$5:$C$1668,"&gt;0"))</f>
        <v/>
      </c>
      <c r="G89" s="11">
        <f>IF(OR($B89="",NOT(ISNUMBER($C89))),"",IF($D89&lt;&gt;"",ROUND(Points!$B$6*IF($F89&lt;Points!$H$4,Points!$H$5,1),0),ROUND(Points!$B$6*IF($F89&lt;=1,1,Points!$H$7+(1-Points!$H$7)*((($F89-$E89)*(($F89-$E89)+1)/2)^2-((($F89-$E89-COUNTIFS($A$5:$A$1668,$A89,$C$5:$C$1668,$C89)+1)-1)*($F89-$E89-COUNTIFS($A$5:$A$1668,$A89,$C$5:$C$1668,$C89)+1)/2)^2)/(COUNTIFS($A$5:$A$1668,$A89,$C$5:$C$1668,$C89)*($F89-1)^3))*IF($F89&lt;Points!$H$4,Points!$H$5,1),0)))</f>
        <v/>
      </c>
      <c r="H89" s="11">
        <f>IF($G89="","",COUNTIFS($B$5:$B$1668,$B89,$G$5:$G$1668,"&gt;"&amp;$G89)+COUNTIFS($B$4:$B88,$B89,$G$4:$G88,$G89)+1)</f>
        <v/>
      </c>
      <c r="I89" s="11">
        <f>IF($G89="","",IF($H89&lt;=Points!$H$6,$G89,0))</f>
        <v/>
      </c>
      <c r="J89" s="11">
        <f>IF($B89="","",IF(COUNTIF(Players!$A$2:$A$500,$B89)=0,"Player is not on the Players tab",IF(NOT(ISNUMBER($C89)),"Enter a gross score",IF(COUNTIFS($A$5:$A$1668,$A89,$B$5:$B$1668,$B89)&gt;1,"Player is listed twice this week",IF(AND($D89&lt;&gt;"",COUNTIFS($A$5:$A$1668,$A89,$D$5:$D$1668,$D89)&gt;1),"Two players picked as "&amp;$D89,IF(COUNTIFS($A$5:$A$1668,$A89,$D$5:$D$1668,"Gross winner")=0,"Pick this week's gross winner",IF(COUNTIFS($A$5:$A$1668,$A89,$D$5:$D$1668,"Net winner")=0,"Pick this week's net winner","OK")))))))</f>
        <v/>
      </c>
    </row>
    <row r="90" outlineLevel="1">
      <c r="A90" s="13" t="n">
        <v>46407</v>
      </c>
      <c r="E90" s="11">
        <f>IF(OR($B90="",NOT(ISNUMBER($C90))),"",COUNTIFS($A$5:$A$1668,$A90,$C$5:$C$1668,"&lt;"&amp;$C90)+1)</f>
        <v/>
      </c>
      <c r="F90" s="11">
        <f>IF(OR($B90="",NOT(ISNUMBER($C90))),"",COUNTIFS($A$5:$A$1668,$A90,$C$5:$C$1668,"&gt;0"))</f>
        <v/>
      </c>
      <c r="G90" s="11">
        <f>IF(OR($B90="",NOT(ISNUMBER($C90))),"",IF($D90&lt;&gt;"",ROUND(Points!$B$6*IF($F90&lt;Points!$H$4,Points!$H$5,1),0),ROUND(Points!$B$6*IF($F90&lt;=1,1,Points!$H$7+(1-Points!$H$7)*((($F90-$E90)*(($F90-$E90)+1)/2)^2-((($F90-$E90-COUNTIFS($A$5:$A$1668,$A90,$C$5:$C$1668,$C90)+1)-1)*($F90-$E90-COUNTIFS($A$5:$A$1668,$A90,$C$5:$C$1668,$C90)+1)/2)^2)/(COUNTIFS($A$5:$A$1668,$A90,$C$5:$C$1668,$C90)*($F90-1)^3))*IF($F90&lt;Points!$H$4,Points!$H$5,1),0)))</f>
        <v/>
      </c>
      <c r="H90" s="11">
        <f>IF($G90="","",COUNTIFS($B$5:$B$1668,$B90,$G$5:$G$1668,"&gt;"&amp;$G90)+COUNTIFS($B$4:$B89,$B90,$G$4:$G89,$G90)+1)</f>
        <v/>
      </c>
      <c r="I90" s="11">
        <f>IF($G90="","",IF($H90&lt;=Points!$H$6,$G90,0))</f>
        <v/>
      </c>
      <c r="J90" s="11">
        <f>IF($B90="","",IF(COUNTIF(Players!$A$2:$A$500,$B90)=0,"Player is not on the Players tab",IF(NOT(ISNUMBER($C90)),"Enter a gross score",IF(COUNTIFS($A$5:$A$1668,$A90,$B$5:$B$1668,$B90)&gt;1,"Player is listed twice this week",IF(AND($D90&lt;&gt;"",COUNTIFS($A$5:$A$1668,$A90,$D$5:$D$1668,$D90)&gt;1),"Two players picked as "&amp;$D90,IF(COUNTIFS($A$5:$A$1668,$A90,$D$5:$D$1668,"Gross winner")=0,"Pick this week's gross winner",IF(COUNTIFS($A$5:$A$1668,$A90,$D$5:$D$1668,"Net winner")=0,"Pick this week's net winner","OK")))))))</f>
        <v/>
      </c>
    </row>
    <row r="91" outlineLevel="1">
      <c r="A91" s="13" t="n">
        <v>46407</v>
      </c>
      <c r="E91" s="11">
        <f>IF(OR($B91="",NOT(ISNUMBER($C91))),"",COUNTIFS($A$5:$A$1668,$A91,$C$5:$C$1668,"&lt;"&amp;$C91)+1)</f>
        <v/>
      </c>
      <c r="F91" s="11">
        <f>IF(OR($B91="",NOT(ISNUMBER($C91))),"",COUNTIFS($A$5:$A$1668,$A91,$C$5:$C$1668,"&gt;0"))</f>
        <v/>
      </c>
      <c r="G91" s="11">
        <f>IF(OR($B91="",NOT(ISNUMBER($C91))),"",IF($D91&lt;&gt;"",ROUND(Points!$B$6*IF($F91&lt;Points!$H$4,Points!$H$5,1),0),ROUND(Points!$B$6*IF($F91&lt;=1,1,Points!$H$7+(1-Points!$H$7)*((($F91-$E91)*(($F91-$E91)+1)/2)^2-((($F91-$E91-COUNTIFS($A$5:$A$1668,$A91,$C$5:$C$1668,$C91)+1)-1)*($F91-$E91-COUNTIFS($A$5:$A$1668,$A91,$C$5:$C$1668,$C91)+1)/2)^2)/(COUNTIFS($A$5:$A$1668,$A91,$C$5:$C$1668,$C91)*($F91-1)^3))*IF($F91&lt;Points!$H$4,Points!$H$5,1),0)))</f>
        <v/>
      </c>
      <c r="H91" s="11">
        <f>IF($G91="","",COUNTIFS($B$5:$B$1668,$B91,$G$5:$G$1668,"&gt;"&amp;$G91)+COUNTIFS($B$4:$B90,$B91,$G$4:$G90,$G91)+1)</f>
        <v/>
      </c>
      <c r="I91" s="11">
        <f>IF($G91="","",IF($H91&lt;=Points!$H$6,$G91,0))</f>
        <v/>
      </c>
      <c r="J91" s="11">
        <f>IF($B91="","",IF(COUNTIF(Players!$A$2:$A$500,$B91)=0,"Player is not on the Players tab",IF(NOT(ISNUMBER($C91)),"Enter a gross score",IF(COUNTIFS($A$5:$A$1668,$A91,$B$5:$B$1668,$B91)&gt;1,"Player is listed twice this week",IF(AND($D91&lt;&gt;"",COUNTIFS($A$5:$A$1668,$A91,$D$5:$D$1668,$D91)&gt;1),"Two players picked as "&amp;$D91,IF(COUNTIFS($A$5:$A$1668,$A91,$D$5:$D$1668,"Gross winner")=0,"Pick this week's gross winner",IF(COUNTIFS($A$5:$A$1668,$A91,$D$5:$D$1668,"Net winner")=0,"Pick this week's net winner","OK")))))))</f>
        <v/>
      </c>
    </row>
    <row r="92" outlineLevel="1">
      <c r="A92" s="13" t="n">
        <v>46407</v>
      </c>
      <c r="E92" s="11">
        <f>IF(OR($B92="",NOT(ISNUMBER($C92))),"",COUNTIFS($A$5:$A$1668,$A92,$C$5:$C$1668,"&lt;"&amp;$C92)+1)</f>
        <v/>
      </c>
      <c r="F92" s="11">
        <f>IF(OR($B92="",NOT(ISNUMBER($C92))),"",COUNTIFS($A$5:$A$1668,$A92,$C$5:$C$1668,"&gt;0"))</f>
        <v/>
      </c>
      <c r="G92" s="11">
        <f>IF(OR($B92="",NOT(ISNUMBER($C92))),"",IF($D92&lt;&gt;"",ROUND(Points!$B$6*IF($F92&lt;Points!$H$4,Points!$H$5,1),0),ROUND(Points!$B$6*IF($F92&lt;=1,1,Points!$H$7+(1-Points!$H$7)*((($F92-$E92)*(($F92-$E92)+1)/2)^2-((($F92-$E92-COUNTIFS($A$5:$A$1668,$A92,$C$5:$C$1668,$C92)+1)-1)*($F92-$E92-COUNTIFS($A$5:$A$1668,$A92,$C$5:$C$1668,$C92)+1)/2)^2)/(COUNTIFS($A$5:$A$1668,$A92,$C$5:$C$1668,$C92)*($F92-1)^3))*IF($F92&lt;Points!$H$4,Points!$H$5,1),0)))</f>
        <v/>
      </c>
      <c r="H92" s="11">
        <f>IF($G92="","",COUNTIFS($B$5:$B$1668,$B92,$G$5:$G$1668,"&gt;"&amp;$G92)+COUNTIFS($B$4:$B91,$B92,$G$4:$G91,$G92)+1)</f>
        <v/>
      </c>
      <c r="I92" s="11">
        <f>IF($G92="","",IF($H92&lt;=Points!$H$6,$G92,0))</f>
        <v/>
      </c>
      <c r="J92" s="11">
        <f>IF($B92="","",IF(COUNTIF(Players!$A$2:$A$500,$B92)=0,"Player is not on the Players tab",IF(NOT(ISNUMBER($C92)),"Enter a gross score",IF(COUNTIFS($A$5:$A$1668,$A92,$B$5:$B$1668,$B92)&gt;1,"Player is listed twice this week",IF(AND($D92&lt;&gt;"",COUNTIFS($A$5:$A$1668,$A92,$D$5:$D$1668,$D92)&gt;1),"Two players picked as "&amp;$D92,IF(COUNTIFS($A$5:$A$1668,$A92,$D$5:$D$1668,"Gross winner")=0,"Pick this week's gross winner",IF(COUNTIFS($A$5:$A$1668,$A92,$D$5:$D$1668,"Net winner")=0,"Pick this week's net winner","OK")))))))</f>
        <v/>
      </c>
    </row>
    <row r="93" outlineLevel="1">
      <c r="A93" s="13" t="n">
        <v>46407</v>
      </c>
      <c r="E93" s="11">
        <f>IF(OR($B93="",NOT(ISNUMBER($C93))),"",COUNTIFS($A$5:$A$1668,$A93,$C$5:$C$1668,"&lt;"&amp;$C93)+1)</f>
        <v/>
      </c>
      <c r="F93" s="11">
        <f>IF(OR($B93="",NOT(ISNUMBER($C93))),"",COUNTIFS($A$5:$A$1668,$A93,$C$5:$C$1668,"&gt;0"))</f>
        <v/>
      </c>
      <c r="G93" s="11">
        <f>IF(OR($B93="",NOT(ISNUMBER($C93))),"",IF($D93&lt;&gt;"",ROUND(Points!$B$6*IF($F93&lt;Points!$H$4,Points!$H$5,1),0),ROUND(Points!$B$6*IF($F93&lt;=1,1,Points!$H$7+(1-Points!$H$7)*((($F93-$E93)*(($F93-$E93)+1)/2)^2-((($F93-$E93-COUNTIFS($A$5:$A$1668,$A93,$C$5:$C$1668,$C93)+1)-1)*($F93-$E93-COUNTIFS($A$5:$A$1668,$A93,$C$5:$C$1668,$C93)+1)/2)^2)/(COUNTIFS($A$5:$A$1668,$A93,$C$5:$C$1668,$C93)*($F93-1)^3))*IF($F93&lt;Points!$H$4,Points!$H$5,1),0)))</f>
        <v/>
      </c>
      <c r="H93" s="11">
        <f>IF($G93="","",COUNTIFS($B$5:$B$1668,$B93,$G$5:$G$1668,"&gt;"&amp;$G93)+COUNTIFS($B$4:$B92,$B93,$G$4:$G92,$G93)+1)</f>
        <v/>
      </c>
      <c r="I93" s="11">
        <f>IF($G93="","",IF($H93&lt;=Points!$H$6,$G93,0))</f>
        <v/>
      </c>
      <c r="J93" s="11">
        <f>IF($B93="","",IF(COUNTIF(Players!$A$2:$A$500,$B93)=0,"Player is not on the Players tab",IF(NOT(ISNUMBER($C93)),"Enter a gross score",IF(COUNTIFS($A$5:$A$1668,$A93,$B$5:$B$1668,$B93)&gt;1,"Player is listed twice this week",IF(AND($D93&lt;&gt;"",COUNTIFS($A$5:$A$1668,$A93,$D$5:$D$1668,$D93)&gt;1),"Two players picked as "&amp;$D93,IF(COUNTIFS($A$5:$A$1668,$A93,$D$5:$D$1668,"Gross winner")=0,"Pick this week's gross winner",IF(COUNTIFS($A$5:$A$1668,$A93,$D$5:$D$1668,"Net winner")=0,"Pick this week's net winner","OK")))))))</f>
        <v/>
      </c>
    </row>
    <row r="94" outlineLevel="1">
      <c r="A94" s="13" t="n">
        <v>46407</v>
      </c>
      <c r="E94" s="11">
        <f>IF(OR($B94="",NOT(ISNUMBER($C94))),"",COUNTIFS($A$5:$A$1668,$A94,$C$5:$C$1668,"&lt;"&amp;$C94)+1)</f>
        <v/>
      </c>
      <c r="F94" s="11">
        <f>IF(OR($B94="",NOT(ISNUMBER($C94))),"",COUNTIFS($A$5:$A$1668,$A94,$C$5:$C$1668,"&gt;0"))</f>
        <v/>
      </c>
      <c r="G94" s="11">
        <f>IF(OR($B94="",NOT(ISNUMBER($C94))),"",IF($D94&lt;&gt;"",ROUND(Points!$B$6*IF($F94&lt;Points!$H$4,Points!$H$5,1),0),ROUND(Points!$B$6*IF($F94&lt;=1,1,Points!$H$7+(1-Points!$H$7)*((($F94-$E94)*(($F94-$E94)+1)/2)^2-((($F94-$E94-COUNTIFS($A$5:$A$1668,$A94,$C$5:$C$1668,$C94)+1)-1)*($F94-$E94-COUNTIFS($A$5:$A$1668,$A94,$C$5:$C$1668,$C94)+1)/2)^2)/(COUNTIFS($A$5:$A$1668,$A94,$C$5:$C$1668,$C94)*($F94-1)^3))*IF($F94&lt;Points!$H$4,Points!$H$5,1),0)))</f>
        <v/>
      </c>
      <c r="H94" s="11">
        <f>IF($G94="","",COUNTIFS($B$5:$B$1668,$B94,$G$5:$G$1668,"&gt;"&amp;$G94)+COUNTIFS($B$4:$B93,$B94,$G$4:$G93,$G94)+1)</f>
        <v/>
      </c>
      <c r="I94" s="11">
        <f>IF($G94="","",IF($H94&lt;=Points!$H$6,$G94,0))</f>
        <v/>
      </c>
      <c r="J94" s="11">
        <f>IF($B94="","",IF(COUNTIF(Players!$A$2:$A$500,$B94)=0,"Player is not on the Players tab",IF(NOT(ISNUMBER($C94)),"Enter a gross score",IF(COUNTIFS($A$5:$A$1668,$A94,$B$5:$B$1668,$B94)&gt;1,"Player is listed twice this week",IF(AND($D94&lt;&gt;"",COUNTIFS($A$5:$A$1668,$A94,$D$5:$D$1668,$D94)&gt;1),"Two players picked as "&amp;$D94,IF(COUNTIFS($A$5:$A$1668,$A94,$D$5:$D$1668,"Gross winner")=0,"Pick this week's gross winner",IF(COUNTIFS($A$5:$A$1668,$A94,$D$5:$D$1668,"Net winner")=0,"Pick this week's net winner","OK")))))))</f>
        <v/>
      </c>
    </row>
    <row r="95" outlineLevel="1">
      <c r="A95" s="13" t="n">
        <v>46407</v>
      </c>
      <c r="E95" s="11">
        <f>IF(OR($B95="",NOT(ISNUMBER($C95))),"",COUNTIFS($A$5:$A$1668,$A95,$C$5:$C$1668,"&lt;"&amp;$C95)+1)</f>
        <v/>
      </c>
      <c r="F95" s="11">
        <f>IF(OR($B95="",NOT(ISNUMBER($C95))),"",COUNTIFS($A$5:$A$1668,$A95,$C$5:$C$1668,"&gt;0"))</f>
        <v/>
      </c>
      <c r="G95" s="11">
        <f>IF(OR($B95="",NOT(ISNUMBER($C95))),"",IF($D95&lt;&gt;"",ROUND(Points!$B$6*IF($F95&lt;Points!$H$4,Points!$H$5,1),0),ROUND(Points!$B$6*IF($F95&lt;=1,1,Points!$H$7+(1-Points!$H$7)*((($F95-$E95)*(($F95-$E95)+1)/2)^2-((($F95-$E95-COUNTIFS($A$5:$A$1668,$A95,$C$5:$C$1668,$C95)+1)-1)*($F95-$E95-COUNTIFS($A$5:$A$1668,$A95,$C$5:$C$1668,$C95)+1)/2)^2)/(COUNTIFS($A$5:$A$1668,$A95,$C$5:$C$1668,$C95)*($F95-1)^3))*IF($F95&lt;Points!$H$4,Points!$H$5,1),0)))</f>
        <v/>
      </c>
      <c r="H95" s="11">
        <f>IF($G95="","",COUNTIFS($B$5:$B$1668,$B95,$G$5:$G$1668,"&gt;"&amp;$G95)+COUNTIFS($B$4:$B94,$B95,$G$4:$G94,$G95)+1)</f>
        <v/>
      </c>
      <c r="I95" s="11">
        <f>IF($G95="","",IF($H95&lt;=Points!$H$6,$G95,0))</f>
        <v/>
      </c>
      <c r="J95" s="11">
        <f>IF($B95="","",IF(COUNTIF(Players!$A$2:$A$500,$B95)=0,"Player is not on the Players tab",IF(NOT(ISNUMBER($C95)),"Enter a gross score",IF(COUNTIFS($A$5:$A$1668,$A95,$B$5:$B$1668,$B95)&gt;1,"Player is listed twice this week",IF(AND($D95&lt;&gt;"",COUNTIFS($A$5:$A$1668,$A95,$D$5:$D$1668,$D95)&gt;1),"Two players picked as "&amp;$D95,IF(COUNTIFS($A$5:$A$1668,$A95,$D$5:$D$1668,"Gross winner")=0,"Pick this week's gross winner",IF(COUNTIFS($A$5:$A$1668,$A95,$D$5:$D$1668,"Net winner")=0,"Pick this week's net winner","OK")))))))</f>
        <v/>
      </c>
    </row>
    <row r="96" outlineLevel="1">
      <c r="A96" s="13" t="n">
        <v>46407</v>
      </c>
      <c r="E96" s="11">
        <f>IF(OR($B96="",NOT(ISNUMBER($C96))),"",COUNTIFS($A$5:$A$1668,$A96,$C$5:$C$1668,"&lt;"&amp;$C96)+1)</f>
        <v/>
      </c>
      <c r="F96" s="11">
        <f>IF(OR($B96="",NOT(ISNUMBER($C96))),"",COUNTIFS($A$5:$A$1668,$A96,$C$5:$C$1668,"&gt;0"))</f>
        <v/>
      </c>
      <c r="G96" s="11">
        <f>IF(OR($B96="",NOT(ISNUMBER($C96))),"",IF($D96&lt;&gt;"",ROUND(Points!$B$6*IF($F96&lt;Points!$H$4,Points!$H$5,1),0),ROUND(Points!$B$6*IF($F96&lt;=1,1,Points!$H$7+(1-Points!$H$7)*((($F96-$E96)*(($F96-$E96)+1)/2)^2-((($F96-$E96-COUNTIFS($A$5:$A$1668,$A96,$C$5:$C$1668,$C96)+1)-1)*($F96-$E96-COUNTIFS($A$5:$A$1668,$A96,$C$5:$C$1668,$C96)+1)/2)^2)/(COUNTIFS($A$5:$A$1668,$A96,$C$5:$C$1668,$C96)*($F96-1)^3))*IF($F96&lt;Points!$H$4,Points!$H$5,1),0)))</f>
        <v/>
      </c>
      <c r="H96" s="11">
        <f>IF($G96="","",COUNTIFS($B$5:$B$1668,$B96,$G$5:$G$1668,"&gt;"&amp;$G96)+COUNTIFS($B$4:$B95,$B96,$G$4:$G95,$G96)+1)</f>
        <v/>
      </c>
      <c r="I96" s="11">
        <f>IF($G96="","",IF($H96&lt;=Points!$H$6,$G96,0))</f>
        <v/>
      </c>
      <c r="J96" s="11">
        <f>IF($B96="","",IF(COUNTIF(Players!$A$2:$A$500,$B96)=0,"Player is not on the Players tab",IF(NOT(ISNUMBER($C96)),"Enter a gross score",IF(COUNTIFS($A$5:$A$1668,$A96,$B$5:$B$1668,$B96)&gt;1,"Player is listed twice this week",IF(AND($D96&lt;&gt;"",COUNTIFS($A$5:$A$1668,$A96,$D$5:$D$1668,$D96)&gt;1),"Two players picked as "&amp;$D96,IF(COUNTIFS($A$5:$A$1668,$A96,$D$5:$D$1668,"Gross winner")=0,"Pick this week's gross winner",IF(COUNTIFS($A$5:$A$1668,$A96,$D$5:$D$1668,"Net winner")=0,"Pick this week's net winner","OK")))))))</f>
        <v/>
      </c>
    </row>
    <row r="97" outlineLevel="1">
      <c r="A97" s="13" t="n">
        <v>46407</v>
      </c>
      <c r="E97" s="11">
        <f>IF(OR($B97="",NOT(ISNUMBER($C97))),"",COUNTIFS($A$5:$A$1668,$A97,$C$5:$C$1668,"&lt;"&amp;$C97)+1)</f>
        <v/>
      </c>
      <c r="F97" s="11">
        <f>IF(OR($B97="",NOT(ISNUMBER($C97))),"",COUNTIFS($A$5:$A$1668,$A97,$C$5:$C$1668,"&gt;0"))</f>
        <v/>
      </c>
      <c r="G97" s="11">
        <f>IF(OR($B97="",NOT(ISNUMBER($C97))),"",IF($D97&lt;&gt;"",ROUND(Points!$B$6*IF($F97&lt;Points!$H$4,Points!$H$5,1),0),ROUND(Points!$B$6*IF($F97&lt;=1,1,Points!$H$7+(1-Points!$H$7)*((($F97-$E97)*(($F97-$E97)+1)/2)^2-((($F97-$E97-COUNTIFS($A$5:$A$1668,$A97,$C$5:$C$1668,$C97)+1)-1)*($F97-$E97-COUNTIFS($A$5:$A$1668,$A97,$C$5:$C$1668,$C97)+1)/2)^2)/(COUNTIFS($A$5:$A$1668,$A97,$C$5:$C$1668,$C97)*($F97-1)^3))*IF($F97&lt;Points!$H$4,Points!$H$5,1),0)))</f>
        <v/>
      </c>
      <c r="H97" s="11">
        <f>IF($G97="","",COUNTIFS($B$5:$B$1668,$B97,$G$5:$G$1668,"&gt;"&amp;$G97)+COUNTIFS($B$4:$B96,$B97,$G$4:$G96,$G97)+1)</f>
        <v/>
      </c>
      <c r="I97" s="11">
        <f>IF($G97="","",IF($H97&lt;=Points!$H$6,$G97,0))</f>
        <v/>
      </c>
      <c r="J97" s="11">
        <f>IF($B97="","",IF(COUNTIF(Players!$A$2:$A$500,$B97)=0,"Player is not on the Players tab",IF(NOT(ISNUMBER($C97)),"Enter a gross score",IF(COUNTIFS($A$5:$A$1668,$A97,$B$5:$B$1668,$B97)&gt;1,"Player is listed twice this week",IF(AND($D97&lt;&gt;"",COUNTIFS($A$5:$A$1668,$A97,$D$5:$D$1668,$D97)&gt;1),"Two players picked as "&amp;$D97,IF(COUNTIFS($A$5:$A$1668,$A97,$D$5:$D$1668,"Gross winner")=0,"Pick this week's gross winner",IF(COUNTIFS($A$5:$A$1668,$A97,$D$5:$D$1668,"Net winner")=0,"Pick this week's net winner","OK")))))))</f>
        <v/>
      </c>
    </row>
    <row r="98" outlineLevel="1">
      <c r="A98" s="13" t="n">
        <v>46407</v>
      </c>
      <c r="E98" s="11">
        <f>IF(OR($B98="",NOT(ISNUMBER($C98))),"",COUNTIFS($A$5:$A$1668,$A98,$C$5:$C$1668,"&lt;"&amp;$C98)+1)</f>
        <v/>
      </c>
      <c r="F98" s="11">
        <f>IF(OR($B98="",NOT(ISNUMBER($C98))),"",COUNTIFS($A$5:$A$1668,$A98,$C$5:$C$1668,"&gt;0"))</f>
        <v/>
      </c>
      <c r="G98" s="11">
        <f>IF(OR($B98="",NOT(ISNUMBER($C98))),"",IF($D98&lt;&gt;"",ROUND(Points!$B$6*IF($F98&lt;Points!$H$4,Points!$H$5,1),0),ROUND(Points!$B$6*IF($F98&lt;=1,1,Points!$H$7+(1-Points!$H$7)*((($F98-$E98)*(($F98-$E98)+1)/2)^2-((($F98-$E98-COUNTIFS($A$5:$A$1668,$A98,$C$5:$C$1668,$C98)+1)-1)*($F98-$E98-COUNTIFS($A$5:$A$1668,$A98,$C$5:$C$1668,$C98)+1)/2)^2)/(COUNTIFS($A$5:$A$1668,$A98,$C$5:$C$1668,$C98)*($F98-1)^3))*IF($F98&lt;Points!$H$4,Points!$H$5,1),0)))</f>
        <v/>
      </c>
      <c r="H98" s="11">
        <f>IF($G98="","",COUNTIFS($B$5:$B$1668,$B98,$G$5:$G$1668,"&gt;"&amp;$G98)+COUNTIFS($B$4:$B97,$B98,$G$4:$G97,$G98)+1)</f>
        <v/>
      </c>
      <c r="I98" s="11">
        <f>IF($G98="","",IF($H98&lt;=Points!$H$6,$G98,0))</f>
        <v/>
      </c>
      <c r="J98" s="11">
        <f>IF($B98="","",IF(COUNTIF(Players!$A$2:$A$500,$B98)=0,"Player is not on the Players tab",IF(NOT(ISNUMBER($C98)),"Enter a gross score",IF(COUNTIFS($A$5:$A$1668,$A98,$B$5:$B$1668,$B98)&gt;1,"Player is listed twice this week",IF(AND($D98&lt;&gt;"",COUNTIFS($A$5:$A$1668,$A98,$D$5:$D$1668,$D98)&gt;1),"Two players picked as "&amp;$D98,IF(COUNTIFS($A$5:$A$1668,$A98,$D$5:$D$1668,"Gross winner")=0,"Pick this week's gross winner",IF(COUNTIFS($A$5:$A$1668,$A98,$D$5:$D$1668,"Net winner")=0,"Pick this week's net winner","OK")))))))</f>
        <v/>
      </c>
    </row>
    <row r="99" outlineLevel="1">
      <c r="A99" s="13" t="n">
        <v>46407</v>
      </c>
      <c r="E99" s="11">
        <f>IF(OR($B99="",NOT(ISNUMBER($C99))),"",COUNTIFS($A$5:$A$1668,$A99,$C$5:$C$1668,"&lt;"&amp;$C99)+1)</f>
        <v/>
      </c>
      <c r="F99" s="11">
        <f>IF(OR($B99="",NOT(ISNUMBER($C99))),"",COUNTIFS($A$5:$A$1668,$A99,$C$5:$C$1668,"&gt;0"))</f>
        <v/>
      </c>
      <c r="G99" s="11">
        <f>IF(OR($B99="",NOT(ISNUMBER($C99))),"",IF($D99&lt;&gt;"",ROUND(Points!$B$6*IF($F99&lt;Points!$H$4,Points!$H$5,1),0),ROUND(Points!$B$6*IF($F99&lt;=1,1,Points!$H$7+(1-Points!$H$7)*((($F99-$E99)*(($F99-$E99)+1)/2)^2-((($F99-$E99-COUNTIFS($A$5:$A$1668,$A99,$C$5:$C$1668,$C99)+1)-1)*($F99-$E99-COUNTIFS($A$5:$A$1668,$A99,$C$5:$C$1668,$C99)+1)/2)^2)/(COUNTIFS($A$5:$A$1668,$A99,$C$5:$C$1668,$C99)*($F99-1)^3))*IF($F99&lt;Points!$H$4,Points!$H$5,1),0)))</f>
        <v/>
      </c>
      <c r="H99" s="11">
        <f>IF($G99="","",COUNTIFS($B$5:$B$1668,$B99,$G$5:$G$1668,"&gt;"&amp;$G99)+COUNTIFS($B$4:$B98,$B99,$G$4:$G98,$G99)+1)</f>
        <v/>
      </c>
      <c r="I99" s="11">
        <f>IF($G99="","",IF($H99&lt;=Points!$H$6,$G99,0))</f>
        <v/>
      </c>
      <c r="J99" s="11">
        <f>IF($B99="","",IF(COUNTIF(Players!$A$2:$A$500,$B99)=0,"Player is not on the Players tab",IF(NOT(ISNUMBER($C99)),"Enter a gross score",IF(COUNTIFS($A$5:$A$1668,$A99,$B$5:$B$1668,$B99)&gt;1,"Player is listed twice this week",IF(AND($D99&lt;&gt;"",COUNTIFS($A$5:$A$1668,$A99,$D$5:$D$1668,$D99)&gt;1),"Two players picked as "&amp;$D99,IF(COUNTIFS($A$5:$A$1668,$A99,$D$5:$D$1668,"Gross winner")=0,"Pick this week's gross winner",IF(COUNTIFS($A$5:$A$1668,$A99,$D$5:$D$1668,"Net winner")=0,"Pick this week's net winner","OK")))))))</f>
        <v/>
      </c>
    </row>
    <row r="100" ht="10" customHeight="1"/>
    <row r="101" ht="22" customHeight="1">
      <c r="A101" s="12" t="inlineStr">
        <is>
          <t>Week 4  ·  Wednesday, Jan 27</t>
        </is>
      </c>
    </row>
    <row r="102" outlineLevel="1">
      <c r="A102" s="13" t="n">
        <v>46414</v>
      </c>
      <c r="E102" s="11">
        <f>IF(OR($B102="",NOT(ISNUMBER($C102))),"",COUNTIFS($A$5:$A$1668,$A102,$C$5:$C$1668,"&lt;"&amp;$C102)+1)</f>
        <v/>
      </c>
      <c r="F102" s="11">
        <f>IF(OR($B102="",NOT(ISNUMBER($C102))),"",COUNTIFS($A$5:$A$1668,$A102,$C$5:$C$1668,"&gt;0"))</f>
        <v/>
      </c>
      <c r="G102" s="11">
        <f>IF(OR($B102="",NOT(ISNUMBER($C102))),"",IF($D102&lt;&gt;"",ROUND(Points!$B$6*IF($F102&lt;Points!$H$4,Points!$H$5,1),0),ROUND(Points!$B$6*IF($F102&lt;=1,1,Points!$H$7+(1-Points!$H$7)*((($F102-$E102)*(($F102-$E102)+1)/2)^2-((($F102-$E102-COUNTIFS($A$5:$A$1668,$A102,$C$5:$C$1668,$C102)+1)-1)*($F102-$E102-COUNTIFS($A$5:$A$1668,$A102,$C$5:$C$1668,$C102)+1)/2)^2)/(COUNTIFS($A$5:$A$1668,$A102,$C$5:$C$1668,$C102)*($F102-1)^3))*IF($F102&lt;Points!$H$4,Points!$H$5,1),0)))</f>
        <v/>
      </c>
      <c r="H102" s="11">
        <f>IF($G102="","",COUNTIFS($B$5:$B$1668,$B102,$G$5:$G$1668,"&gt;"&amp;$G102)+COUNTIFS($B$4:$B101,$B102,$G$4:$G101,$G102)+1)</f>
        <v/>
      </c>
      <c r="I102" s="11">
        <f>IF($G102="","",IF($H102&lt;=Points!$H$6,$G102,0))</f>
        <v/>
      </c>
      <c r="J102" s="11">
        <f>IF($B102="","",IF(COUNTIF(Players!$A$2:$A$500,$B102)=0,"Player is not on the Players tab",IF(NOT(ISNUMBER($C102)),"Enter a gross score",IF(COUNTIFS($A$5:$A$1668,$A102,$B$5:$B$1668,$B102)&gt;1,"Player is listed twice this week",IF(AND($D102&lt;&gt;"",COUNTIFS($A$5:$A$1668,$A102,$D$5:$D$1668,$D102)&gt;1),"Two players picked as "&amp;$D102,IF(COUNTIFS($A$5:$A$1668,$A102,$D$5:$D$1668,"Gross winner")=0,"Pick this week's gross winner",IF(COUNTIFS($A$5:$A$1668,$A102,$D$5:$D$1668,"Net winner")=0,"Pick this week's net winner","OK")))))))</f>
        <v/>
      </c>
    </row>
    <row r="103" outlineLevel="1">
      <c r="A103" s="13" t="n">
        <v>46414</v>
      </c>
      <c r="E103" s="11">
        <f>IF(OR($B103="",NOT(ISNUMBER($C103))),"",COUNTIFS($A$5:$A$1668,$A103,$C$5:$C$1668,"&lt;"&amp;$C103)+1)</f>
        <v/>
      </c>
      <c r="F103" s="11">
        <f>IF(OR($B103="",NOT(ISNUMBER($C103))),"",COUNTIFS($A$5:$A$1668,$A103,$C$5:$C$1668,"&gt;0"))</f>
        <v/>
      </c>
      <c r="G103" s="11">
        <f>IF(OR($B103="",NOT(ISNUMBER($C103))),"",IF($D103&lt;&gt;"",ROUND(Points!$B$6*IF($F103&lt;Points!$H$4,Points!$H$5,1),0),ROUND(Points!$B$6*IF($F103&lt;=1,1,Points!$H$7+(1-Points!$H$7)*((($F103-$E103)*(($F103-$E103)+1)/2)^2-((($F103-$E103-COUNTIFS($A$5:$A$1668,$A103,$C$5:$C$1668,$C103)+1)-1)*($F103-$E103-COUNTIFS($A$5:$A$1668,$A103,$C$5:$C$1668,$C103)+1)/2)^2)/(COUNTIFS($A$5:$A$1668,$A103,$C$5:$C$1668,$C103)*($F103-1)^3))*IF($F103&lt;Points!$H$4,Points!$H$5,1),0)))</f>
        <v/>
      </c>
      <c r="H103" s="11">
        <f>IF($G103="","",COUNTIFS($B$5:$B$1668,$B103,$G$5:$G$1668,"&gt;"&amp;$G103)+COUNTIFS($B$4:$B102,$B103,$G$4:$G102,$G103)+1)</f>
        <v/>
      </c>
      <c r="I103" s="11">
        <f>IF($G103="","",IF($H103&lt;=Points!$H$6,$G103,0))</f>
        <v/>
      </c>
      <c r="J103" s="11">
        <f>IF($B103="","",IF(COUNTIF(Players!$A$2:$A$500,$B103)=0,"Player is not on the Players tab",IF(NOT(ISNUMBER($C103)),"Enter a gross score",IF(COUNTIFS($A$5:$A$1668,$A103,$B$5:$B$1668,$B103)&gt;1,"Player is listed twice this week",IF(AND($D103&lt;&gt;"",COUNTIFS($A$5:$A$1668,$A103,$D$5:$D$1668,$D103)&gt;1),"Two players picked as "&amp;$D103,IF(COUNTIFS($A$5:$A$1668,$A103,$D$5:$D$1668,"Gross winner")=0,"Pick this week's gross winner",IF(COUNTIFS($A$5:$A$1668,$A103,$D$5:$D$1668,"Net winner")=0,"Pick this week's net winner","OK")))))))</f>
        <v/>
      </c>
    </row>
    <row r="104" outlineLevel="1">
      <c r="A104" s="13" t="n">
        <v>46414</v>
      </c>
      <c r="E104" s="11">
        <f>IF(OR($B104="",NOT(ISNUMBER($C104))),"",COUNTIFS($A$5:$A$1668,$A104,$C$5:$C$1668,"&lt;"&amp;$C104)+1)</f>
        <v/>
      </c>
      <c r="F104" s="11">
        <f>IF(OR($B104="",NOT(ISNUMBER($C104))),"",COUNTIFS($A$5:$A$1668,$A104,$C$5:$C$1668,"&gt;0"))</f>
        <v/>
      </c>
      <c r="G104" s="11">
        <f>IF(OR($B104="",NOT(ISNUMBER($C104))),"",IF($D104&lt;&gt;"",ROUND(Points!$B$6*IF($F104&lt;Points!$H$4,Points!$H$5,1),0),ROUND(Points!$B$6*IF($F104&lt;=1,1,Points!$H$7+(1-Points!$H$7)*((($F104-$E104)*(($F104-$E104)+1)/2)^2-((($F104-$E104-COUNTIFS($A$5:$A$1668,$A104,$C$5:$C$1668,$C104)+1)-1)*($F104-$E104-COUNTIFS($A$5:$A$1668,$A104,$C$5:$C$1668,$C104)+1)/2)^2)/(COUNTIFS($A$5:$A$1668,$A104,$C$5:$C$1668,$C104)*($F104-1)^3))*IF($F104&lt;Points!$H$4,Points!$H$5,1),0)))</f>
        <v/>
      </c>
      <c r="H104" s="11">
        <f>IF($G104="","",COUNTIFS($B$5:$B$1668,$B104,$G$5:$G$1668,"&gt;"&amp;$G104)+COUNTIFS($B$4:$B103,$B104,$G$4:$G103,$G104)+1)</f>
        <v/>
      </c>
      <c r="I104" s="11">
        <f>IF($G104="","",IF($H104&lt;=Points!$H$6,$G104,0))</f>
        <v/>
      </c>
      <c r="J104" s="11">
        <f>IF($B104="","",IF(COUNTIF(Players!$A$2:$A$500,$B104)=0,"Player is not on the Players tab",IF(NOT(ISNUMBER($C104)),"Enter a gross score",IF(COUNTIFS($A$5:$A$1668,$A104,$B$5:$B$1668,$B104)&gt;1,"Player is listed twice this week",IF(AND($D104&lt;&gt;"",COUNTIFS($A$5:$A$1668,$A104,$D$5:$D$1668,$D104)&gt;1),"Two players picked as "&amp;$D104,IF(COUNTIFS($A$5:$A$1668,$A104,$D$5:$D$1668,"Gross winner")=0,"Pick this week's gross winner",IF(COUNTIFS($A$5:$A$1668,$A104,$D$5:$D$1668,"Net winner")=0,"Pick this week's net winner","OK")))))))</f>
        <v/>
      </c>
    </row>
    <row r="105" outlineLevel="1">
      <c r="A105" s="13" t="n">
        <v>46414</v>
      </c>
      <c r="E105" s="11">
        <f>IF(OR($B105="",NOT(ISNUMBER($C105))),"",COUNTIFS($A$5:$A$1668,$A105,$C$5:$C$1668,"&lt;"&amp;$C105)+1)</f>
        <v/>
      </c>
      <c r="F105" s="11">
        <f>IF(OR($B105="",NOT(ISNUMBER($C105))),"",COUNTIFS($A$5:$A$1668,$A105,$C$5:$C$1668,"&gt;0"))</f>
        <v/>
      </c>
      <c r="G105" s="11">
        <f>IF(OR($B105="",NOT(ISNUMBER($C105))),"",IF($D105&lt;&gt;"",ROUND(Points!$B$6*IF($F105&lt;Points!$H$4,Points!$H$5,1),0),ROUND(Points!$B$6*IF($F105&lt;=1,1,Points!$H$7+(1-Points!$H$7)*((($F105-$E105)*(($F105-$E105)+1)/2)^2-((($F105-$E105-COUNTIFS($A$5:$A$1668,$A105,$C$5:$C$1668,$C105)+1)-1)*($F105-$E105-COUNTIFS($A$5:$A$1668,$A105,$C$5:$C$1668,$C105)+1)/2)^2)/(COUNTIFS($A$5:$A$1668,$A105,$C$5:$C$1668,$C105)*($F105-1)^3))*IF($F105&lt;Points!$H$4,Points!$H$5,1),0)))</f>
        <v/>
      </c>
      <c r="H105" s="11">
        <f>IF($G105="","",COUNTIFS($B$5:$B$1668,$B105,$G$5:$G$1668,"&gt;"&amp;$G105)+COUNTIFS($B$4:$B104,$B105,$G$4:$G104,$G105)+1)</f>
        <v/>
      </c>
      <c r="I105" s="11">
        <f>IF($G105="","",IF($H105&lt;=Points!$H$6,$G105,0))</f>
        <v/>
      </c>
      <c r="J105" s="11">
        <f>IF($B105="","",IF(COUNTIF(Players!$A$2:$A$500,$B105)=0,"Player is not on the Players tab",IF(NOT(ISNUMBER($C105)),"Enter a gross score",IF(COUNTIFS($A$5:$A$1668,$A105,$B$5:$B$1668,$B105)&gt;1,"Player is listed twice this week",IF(AND($D105&lt;&gt;"",COUNTIFS($A$5:$A$1668,$A105,$D$5:$D$1668,$D105)&gt;1),"Two players picked as "&amp;$D105,IF(COUNTIFS($A$5:$A$1668,$A105,$D$5:$D$1668,"Gross winner")=0,"Pick this week's gross winner",IF(COUNTIFS($A$5:$A$1668,$A105,$D$5:$D$1668,"Net winner")=0,"Pick this week's net winner","OK")))))))</f>
        <v/>
      </c>
    </row>
    <row r="106" outlineLevel="1">
      <c r="A106" s="13" t="n">
        <v>46414</v>
      </c>
      <c r="E106" s="11">
        <f>IF(OR($B106="",NOT(ISNUMBER($C106))),"",COUNTIFS($A$5:$A$1668,$A106,$C$5:$C$1668,"&lt;"&amp;$C106)+1)</f>
        <v/>
      </c>
      <c r="F106" s="11">
        <f>IF(OR($B106="",NOT(ISNUMBER($C106))),"",COUNTIFS($A$5:$A$1668,$A106,$C$5:$C$1668,"&gt;0"))</f>
        <v/>
      </c>
      <c r="G106" s="11">
        <f>IF(OR($B106="",NOT(ISNUMBER($C106))),"",IF($D106&lt;&gt;"",ROUND(Points!$B$6*IF($F106&lt;Points!$H$4,Points!$H$5,1),0),ROUND(Points!$B$6*IF($F106&lt;=1,1,Points!$H$7+(1-Points!$H$7)*((($F106-$E106)*(($F106-$E106)+1)/2)^2-((($F106-$E106-COUNTIFS($A$5:$A$1668,$A106,$C$5:$C$1668,$C106)+1)-1)*($F106-$E106-COUNTIFS($A$5:$A$1668,$A106,$C$5:$C$1668,$C106)+1)/2)^2)/(COUNTIFS($A$5:$A$1668,$A106,$C$5:$C$1668,$C106)*($F106-1)^3))*IF($F106&lt;Points!$H$4,Points!$H$5,1),0)))</f>
        <v/>
      </c>
      <c r="H106" s="11">
        <f>IF($G106="","",COUNTIFS($B$5:$B$1668,$B106,$G$5:$G$1668,"&gt;"&amp;$G106)+COUNTIFS($B$4:$B105,$B106,$G$4:$G105,$G106)+1)</f>
        <v/>
      </c>
      <c r="I106" s="11">
        <f>IF($G106="","",IF($H106&lt;=Points!$H$6,$G106,0))</f>
        <v/>
      </c>
      <c r="J106" s="11">
        <f>IF($B106="","",IF(COUNTIF(Players!$A$2:$A$500,$B106)=0,"Player is not on the Players tab",IF(NOT(ISNUMBER($C106)),"Enter a gross score",IF(COUNTIFS($A$5:$A$1668,$A106,$B$5:$B$1668,$B106)&gt;1,"Player is listed twice this week",IF(AND($D106&lt;&gt;"",COUNTIFS($A$5:$A$1668,$A106,$D$5:$D$1668,$D106)&gt;1),"Two players picked as "&amp;$D106,IF(COUNTIFS($A$5:$A$1668,$A106,$D$5:$D$1668,"Gross winner")=0,"Pick this week's gross winner",IF(COUNTIFS($A$5:$A$1668,$A106,$D$5:$D$1668,"Net winner")=0,"Pick this week's net winner","OK")))))))</f>
        <v/>
      </c>
    </row>
    <row r="107" outlineLevel="1">
      <c r="A107" s="13" t="n">
        <v>46414</v>
      </c>
      <c r="E107" s="11">
        <f>IF(OR($B107="",NOT(ISNUMBER($C107))),"",COUNTIFS($A$5:$A$1668,$A107,$C$5:$C$1668,"&lt;"&amp;$C107)+1)</f>
        <v/>
      </c>
      <c r="F107" s="11">
        <f>IF(OR($B107="",NOT(ISNUMBER($C107))),"",COUNTIFS($A$5:$A$1668,$A107,$C$5:$C$1668,"&gt;0"))</f>
        <v/>
      </c>
      <c r="G107" s="11">
        <f>IF(OR($B107="",NOT(ISNUMBER($C107))),"",IF($D107&lt;&gt;"",ROUND(Points!$B$6*IF($F107&lt;Points!$H$4,Points!$H$5,1),0),ROUND(Points!$B$6*IF($F107&lt;=1,1,Points!$H$7+(1-Points!$H$7)*((($F107-$E107)*(($F107-$E107)+1)/2)^2-((($F107-$E107-COUNTIFS($A$5:$A$1668,$A107,$C$5:$C$1668,$C107)+1)-1)*($F107-$E107-COUNTIFS($A$5:$A$1668,$A107,$C$5:$C$1668,$C107)+1)/2)^2)/(COUNTIFS($A$5:$A$1668,$A107,$C$5:$C$1668,$C107)*($F107-1)^3))*IF($F107&lt;Points!$H$4,Points!$H$5,1),0)))</f>
        <v/>
      </c>
      <c r="H107" s="11">
        <f>IF($G107="","",COUNTIFS($B$5:$B$1668,$B107,$G$5:$G$1668,"&gt;"&amp;$G107)+COUNTIFS($B$4:$B106,$B107,$G$4:$G106,$G107)+1)</f>
        <v/>
      </c>
      <c r="I107" s="11">
        <f>IF($G107="","",IF($H107&lt;=Points!$H$6,$G107,0))</f>
        <v/>
      </c>
      <c r="J107" s="11">
        <f>IF($B107="","",IF(COUNTIF(Players!$A$2:$A$500,$B107)=0,"Player is not on the Players tab",IF(NOT(ISNUMBER($C107)),"Enter a gross score",IF(COUNTIFS($A$5:$A$1668,$A107,$B$5:$B$1668,$B107)&gt;1,"Player is listed twice this week",IF(AND($D107&lt;&gt;"",COUNTIFS($A$5:$A$1668,$A107,$D$5:$D$1668,$D107)&gt;1),"Two players picked as "&amp;$D107,IF(COUNTIFS($A$5:$A$1668,$A107,$D$5:$D$1668,"Gross winner")=0,"Pick this week's gross winner",IF(COUNTIFS($A$5:$A$1668,$A107,$D$5:$D$1668,"Net winner")=0,"Pick this week's net winner","OK")))))))</f>
        <v/>
      </c>
    </row>
    <row r="108" outlineLevel="1">
      <c r="A108" s="13" t="n">
        <v>46414</v>
      </c>
      <c r="E108" s="11">
        <f>IF(OR($B108="",NOT(ISNUMBER($C108))),"",COUNTIFS($A$5:$A$1668,$A108,$C$5:$C$1668,"&lt;"&amp;$C108)+1)</f>
        <v/>
      </c>
      <c r="F108" s="11">
        <f>IF(OR($B108="",NOT(ISNUMBER($C108))),"",COUNTIFS($A$5:$A$1668,$A108,$C$5:$C$1668,"&gt;0"))</f>
        <v/>
      </c>
      <c r="G108" s="11">
        <f>IF(OR($B108="",NOT(ISNUMBER($C108))),"",IF($D108&lt;&gt;"",ROUND(Points!$B$6*IF($F108&lt;Points!$H$4,Points!$H$5,1),0),ROUND(Points!$B$6*IF($F108&lt;=1,1,Points!$H$7+(1-Points!$H$7)*((($F108-$E108)*(($F108-$E108)+1)/2)^2-((($F108-$E108-COUNTIFS($A$5:$A$1668,$A108,$C$5:$C$1668,$C108)+1)-1)*($F108-$E108-COUNTIFS($A$5:$A$1668,$A108,$C$5:$C$1668,$C108)+1)/2)^2)/(COUNTIFS($A$5:$A$1668,$A108,$C$5:$C$1668,$C108)*($F108-1)^3))*IF($F108&lt;Points!$H$4,Points!$H$5,1),0)))</f>
        <v/>
      </c>
      <c r="H108" s="11">
        <f>IF($G108="","",COUNTIFS($B$5:$B$1668,$B108,$G$5:$G$1668,"&gt;"&amp;$G108)+COUNTIFS($B$4:$B107,$B108,$G$4:$G107,$G108)+1)</f>
        <v/>
      </c>
      <c r="I108" s="11">
        <f>IF($G108="","",IF($H108&lt;=Points!$H$6,$G108,0))</f>
        <v/>
      </c>
      <c r="J108" s="11">
        <f>IF($B108="","",IF(COUNTIF(Players!$A$2:$A$500,$B108)=0,"Player is not on the Players tab",IF(NOT(ISNUMBER($C108)),"Enter a gross score",IF(COUNTIFS($A$5:$A$1668,$A108,$B$5:$B$1668,$B108)&gt;1,"Player is listed twice this week",IF(AND($D108&lt;&gt;"",COUNTIFS($A$5:$A$1668,$A108,$D$5:$D$1668,$D108)&gt;1),"Two players picked as "&amp;$D108,IF(COUNTIFS($A$5:$A$1668,$A108,$D$5:$D$1668,"Gross winner")=0,"Pick this week's gross winner",IF(COUNTIFS($A$5:$A$1668,$A108,$D$5:$D$1668,"Net winner")=0,"Pick this week's net winner","OK")))))))</f>
        <v/>
      </c>
    </row>
    <row r="109" outlineLevel="1">
      <c r="A109" s="13" t="n">
        <v>46414</v>
      </c>
      <c r="E109" s="11">
        <f>IF(OR($B109="",NOT(ISNUMBER($C109))),"",COUNTIFS($A$5:$A$1668,$A109,$C$5:$C$1668,"&lt;"&amp;$C109)+1)</f>
        <v/>
      </c>
      <c r="F109" s="11">
        <f>IF(OR($B109="",NOT(ISNUMBER($C109))),"",COUNTIFS($A$5:$A$1668,$A109,$C$5:$C$1668,"&gt;0"))</f>
        <v/>
      </c>
      <c r="G109" s="11">
        <f>IF(OR($B109="",NOT(ISNUMBER($C109))),"",IF($D109&lt;&gt;"",ROUND(Points!$B$6*IF($F109&lt;Points!$H$4,Points!$H$5,1),0),ROUND(Points!$B$6*IF($F109&lt;=1,1,Points!$H$7+(1-Points!$H$7)*((($F109-$E109)*(($F109-$E109)+1)/2)^2-((($F109-$E109-COUNTIFS($A$5:$A$1668,$A109,$C$5:$C$1668,$C109)+1)-1)*($F109-$E109-COUNTIFS($A$5:$A$1668,$A109,$C$5:$C$1668,$C109)+1)/2)^2)/(COUNTIFS($A$5:$A$1668,$A109,$C$5:$C$1668,$C109)*($F109-1)^3))*IF($F109&lt;Points!$H$4,Points!$H$5,1),0)))</f>
        <v/>
      </c>
      <c r="H109" s="11">
        <f>IF($G109="","",COUNTIFS($B$5:$B$1668,$B109,$G$5:$G$1668,"&gt;"&amp;$G109)+COUNTIFS($B$4:$B108,$B109,$G$4:$G108,$G109)+1)</f>
        <v/>
      </c>
      <c r="I109" s="11">
        <f>IF($G109="","",IF($H109&lt;=Points!$H$6,$G109,0))</f>
        <v/>
      </c>
      <c r="J109" s="11">
        <f>IF($B109="","",IF(COUNTIF(Players!$A$2:$A$500,$B109)=0,"Player is not on the Players tab",IF(NOT(ISNUMBER($C109)),"Enter a gross score",IF(COUNTIFS($A$5:$A$1668,$A109,$B$5:$B$1668,$B109)&gt;1,"Player is listed twice this week",IF(AND($D109&lt;&gt;"",COUNTIFS($A$5:$A$1668,$A109,$D$5:$D$1668,$D109)&gt;1),"Two players picked as "&amp;$D109,IF(COUNTIFS($A$5:$A$1668,$A109,$D$5:$D$1668,"Gross winner")=0,"Pick this week's gross winner",IF(COUNTIFS($A$5:$A$1668,$A109,$D$5:$D$1668,"Net winner")=0,"Pick this week's net winner","OK")))))))</f>
        <v/>
      </c>
    </row>
    <row r="110" outlineLevel="1">
      <c r="A110" s="13" t="n">
        <v>46414</v>
      </c>
      <c r="E110" s="11">
        <f>IF(OR($B110="",NOT(ISNUMBER($C110))),"",COUNTIFS($A$5:$A$1668,$A110,$C$5:$C$1668,"&lt;"&amp;$C110)+1)</f>
        <v/>
      </c>
      <c r="F110" s="11">
        <f>IF(OR($B110="",NOT(ISNUMBER($C110))),"",COUNTIFS($A$5:$A$1668,$A110,$C$5:$C$1668,"&gt;0"))</f>
        <v/>
      </c>
      <c r="G110" s="11">
        <f>IF(OR($B110="",NOT(ISNUMBER($C110))),"",IF($D110&lt;&gt;"",ROUND(Points!$B$6*IF($F110&lt;Points!$H$4,Points!$H$5,1),0),ROUND(Points!$B$6*IF($F110&lt;=1,1,Points!$H$7+(1-Points!$H$7)*((($F110-$E110)*(($F110-$E110)+1)/2)^2-((($F110-$E110-COUNTIFS($A$5:$A$1668,$A110,$C$5:$C$1668,$C110)+1)-1)*($F110-$E110-COUNTIFS($A$5:$A$1668,$A110,$C$5:$C$1668,$C110)+1)/2)^2)/(COUNTIFS($A$5:$A$1668,$A110,$C$5:$C$1668,$C110)*($F110-1)^3))*IF($F110&lt;Points!$H$4,Points!$H$5,1),0)))</f>
        <v/>
      </c>
      <c r="H110" s="11">
        <f>IF($G110="","",COUNTIFS($B$5:$B$1668,$B110,$G$5:$G$1668,"&gt;"&amp;$G110)+COUNTIFS($B$4:$B109,$B110,$G$4:$G109,$G110)+1)</f>
        <v/>
      </c>
      <c r="I110" s="11">
        <f>IF($G110="","",IF($H110&lt;=Points!$H$6,$G110,0))</f>
        <v/>
      </c>
      <c r="J110" s="11">
        <f>IF($B110="","",IF(COUNTIF(Players!$A$2:$A$500,$B110)=0,"Player is not on the Players tab",IF(NOT(ISNUMBER($C110)),"Enter a gross score",IF(COUNTIFS($A$5:$A$1668,$A110,$B$5:$B$1668,$B110)&gt;1,"Player is listed twice this week",IF(AND($D110&lt;&gt;"",COUNTIFS($A$5:$A$1668,$A110,$D$5:$D$1668,$D110)&gt;1),"Two players picked as "&amp;$D110,IF(COUNTIFS($A$5:$A$1668,$A110,$D$5:$D$1668,"Gross winner")=0,"Pick this week's gross winner",IF(COUNTIFS($A$5:$A$1668,$A110,$D$5:$D$1668,"Net winner")=0,"Pick this week's net winner","OK")))))))</f>
        <v/>
      </c>
    </row>
    <row r="111" outlineLevel="1">
      <c r="A111" s="13" t="n">
        <v>46414</v>
      </c>
      <c r="E111" s="11">
        <f>IF(OR($B111="",NOT(ISNUMBER($C111))),"",COUNTIFS($A$5:$A$1668,$A111,$C$5:$C$1668,"&lt;"&amp;$C111)+1)</f>
        <v/>
      </c>
      <c r="F111" s="11">
        <f>IF(OR($B111="",NOT(ISNUMBER($C111))),"",COUNTIFS($A$5:$A$1668,$A111,$C$5:$C$1668,"&gt;0"))</f>
        <v/>
      </c>
      <c r="G111" s="11">
        <f>IF(OR($B111="",NOT(ISNUMBER($C111))),"",IF($D111&lt;&gt;"",ROUND(Points!$B$6*IF($F111&lt;Points!$H$4,Points!$H$5,1),0),ROUND(Points!$B$6*IF($F111&lt;=1,1,Points!$H$7+(1-Points!$H$7)*((($F111-$E111)*(($F111-$E111)+1)/2)^2-((($F111-$E111-COUNTIFS($A$5:$A$1668,$A111,$C$5:$C$1668,$C111)+1)-1)*($F111-$E111-COUNTIFS($A$5:$A$1668,$A111,$C$5:$C$1668,$C111)+1)/2)^2)/(COUNTIFS($A$5:$A$1668,$A111,$C$5:$C$1668,$C111)*($F111-1)^3))*IF($F111&lt;Points!$H$4,Points!$H$5,1),0)))</f>
        <v/>
      </c>
      <c r="H111" s="11">
        <f>IF($G111="","",COUNTIFS($B$5:$B$1668,$B111,$G$5:$G$1668,"&gt;"&amp;$G111)+COUNTIFS($B$4:$B110,$B111,$G$4:$G110,$G111)+1)</f>
        <v/>
      </c>
      <c r="I111" s="11">
        <f>IF($G111="","",IF($H111&lt;=Points!$H$6,$G111,0))</f>
        <v/>
      </c>
      <c r="J111" s="11">
        <f>IF($B111="","",IF(COUNTIF(Players!$A$2:$A$500,$B111)=0,"Player is not on the Players tab",IF(NOT(ISNUMBER($C111)),"Enter a gross score",IF(COUNTIFS($A$5:$A$1668,$A111,$B$5:$B$1668,$B111)&gt;1,"Player is listed twice this week",IF(AND($D111&lt;&gt;"",COUNTIFS($A$5:$A$1668,$A111,$D$5:$D$1668,$D111)&gt;1),"Two players picked as "&amp;$D111,IF(COUNTIFS($A$5:$A$1668,$A111,$D$5:$D$1668,"Gross winner")=0,"Pick this week's gross winner",IF(COUNTIFS($A$5:$A$1668,$A111,$D$5:$D$1668,"Net winner")=0,"Pick this week's net winner","OK")))))))</f>
        <v/>
      </c>
    </row>
    <row r="112" outlineLevel="1">
      <c r="A112" s="13" t="n">
        <v>46414</v>
      </c>
      <c r="E112" s="11">
        <f>IF(OR($B112="",NOT(ISNUMBER($C112))),"",COUNTIFS($A$5:$A$1668,$A112,$C$5:$C$1668,"&lt;"&amp;$C112)+1)</f>
        <v/>
      </c>
      <c r="F112" s="11">
        <f>IF(OR($B112="",NOT(ISNUMBER($C112))),"",COUNTIFS($A$5:$A$1668,$A112,$C$5:$C$1668,"&gt;0"))</f>
        <v/>
      </c>
      <c r="G112" s="11">
        <f>IF(OR($B112="",NOT(ISNUMBER($C112))),"",IF($D112&lt;&gt;"",ROUND(Points!$B$6*IF($F112&lt;Points!$H$4,Points!$H$5,1),0),ROUND(Points!$B$6*IF($F112&lt;=1,1,Points!$H$7+(1-Points!$H$7)*((($F112-$E112)*(($F112-$E112)+1)/2)^2-((($F112-$E112-COUNTIFS($A$5:$A$1668,$A112,$C$5:$C$1668,$C112)+1)-1)*($F112-$E112-COUNTIFS($A$5:$A$1668,$A112,$C$5:$C$1668,$C112)+1)/2)^2)/(COUNTIFS($A$5:$A$1668,$A112,$C$5:$C$1668,$C112)*($F112-1)^3))*IF($F112&lt;Points!$H$4,Points!$H$5,1),0)))</f>
        <v/>
      </c>
      <c r="H112" s="11">
        <f>IF($G112="","",COUNTIFS($B$5:$B$1668,$B112,$G$5:$G$1668,"&gt;"&amp;$G112)+COUNTIFS($B$4:$B111,$B112,$G$4:$G111,$G112)+1)</f>
        <v/>
      </c>
      <c r="I112" s="11">
        <f>IF($G112="","",IF($H112&lt;=Points!$H$6,$G112,0))</f>
        <v/>
      </c>
      <c r="J112" s="11">
        <f>IF($B112="","",IF(COUNTIF(Players!$A$2:$A$500,$B112)=0,"Player is not on the Players tab",IF(NOT(ISNUMBER($C112)),"Enter a gross score",IF(COUNTIFS($A$5:$A$1668,$A112,$B$5:$B$1668,$B112)&gt;1,"Player is listed twice this week",IF(AND($D112&lt;&gt;"",COUNTIFS($A$5:$A$1668,$A112,$D$5:$D$1668,$D112)&gt;1),"Two players picked as "&amp;$D112,IF(COUNTIFS($A$5:$A$1668,$A112,$D$5:$D$1668,"Gross winner")=0,"Pick this week's gross winner",IF(COUNTIFS($A$5:$A$1668,$A112,$D$5:$D$1668,"Net winner")=0,"Pick this week's net winner","OK")))))))</f>
        <v/>
      </c>
    </row>
    <row r="113" outlineLevel="1">
      <c r="A113" s="13" t="n">
        <v>46414</v>
      </c>
      <c r="E113" s="11">
        <f>IF(OR($B113="",NOT(ISNUMBER($C113))),"",COUNTIFS($A$5:$A$1668,$A113,$C$5:$C$1668,"&lt;"&amp;$C113)+1)</f>
        <v/>
      </c>
      <c r="F113" s="11">
        <f>IF(OR($B113="",NOT(ISNUMBER($C113))),"",COUNTIFS($A$5:$A$1668,$A113,$C$5:$C$1668,"&gt;0"))</f>
        <v/>
      </c>
      <c r="G113" s="11">
        <f>IF(OR($B113="",NOT(ISNUMBER($C113))),"",IF($D113&lt;&gt;"",ROUND(Points!$B$6*IF($F113&lt;Points!$H$4,Points!$H$5,1),0),ROUND(Points!$B$6*IF($F113&lt;=1,1,Points!$H$7+(1-Points!$H$7)*((($F113-$E113)*(($F113-$E113)+1)/2)^2-((($F113-$E113-COUNTIFS($A$5:$A$1668,$A113,$C$5:$C$1668,$C113)+1)-1)*($F113-$E113-COUNTIFS($A$5:$A$1668,$A113,$C$5:$C$1668,$C113)+1)/2)^2)/(COUNTIFS($A$5:$A$1668,$A113,$C$5:$C$1668,$C113)*($F113-1)^3))*IF($F113&lt;Points!$H$4,Points!$H$5,1),0)))</f>
        <v/>
      </c>
      <c r="H113" s="11">
        <f>IF($G113="","",COUNTIFS($B$5:$B$1668,$B113,$G$5:$G$1668,"&gt;"&amp;$G113)+COUNTIFS($B$4:$B112,$B113,$G$4:$G112,$G113)+1)</f>
        <v/>
      </c>
      <c r="I113" s="11">
        <f>IF($G113="","",IF($H113&lt;=Points!$H$6,$G113,0))</f>
        <v/>
      </c>
      <c r="J113" s="11">
        <f>IF($B113="","",IF(COUNTIF(Players!$A$2:$A$500,$B113)=0,"Player is not on the Players tab",IF(NOT(ISNUMBER($C113)),"Enter a gross score",IF(COUNTIFS($A$5:$A$1668,$A113,$B$5:$B$1668,$B113)&gt;1,"Player is listed twice this week",IF(AND($D113&lt;&gt;"",COUNTIFS($A$5:$A$1668,$A113,$D$5:$D$1668,$D113)&gt;1),"Two players picked as "&amp;$D113,IF(COUNTIFS($A$5:$A$1668,$A113,$D$5:$D$1668,"Gross winner")=0,"Pick this week's gross winner",IF(COUNTIFS($A$5:$A$1668,$A113,$D$5:$D$1668,"Net winner")=0,"Pick this week's net winner","OK")))))))</f>
        <v/>
      </c>
    </row>
    <row r="114" outlineLevel="1">
      <c r="A114" s="13" t="n">
        <v>46414</v>
      </c>
      <c r="E114" s="11">
        <f>IF(OR($B114="",NOT(ISNUMBER($C114))),"",COUNTIFS($A$5:$A$1668,$A114,$C$5:$C$1668,"&lt;"&amp;$C114)+1)</f>
        <v/>
      </c>
      <c r="F114" s="11">
        <f>IF(OR($B114="",NOT(ISNUMBER($C114))),"",COUNTIFS($A$5:$A$1668,$A114,$C$5:$C$1668,"&gt;0"))</f>
        <v/>
      </c>
      <c r="G114" s="11">
        <f>IF(OR($B114="",NOT(ISNUMBER($C114))),"",IF($D114&lt;&gt;"",ROUND(Points!$B$6*IF($F114&lt;Points!$H$4,Points!$H$5,1),0),ROUND(Points!$B$6*IF($F114&lt;=1,1,Points!$H$7+(1-Points!$H$7)*((($F114-$E114)*(($F114-$E114)+1)/2)^2-((($F114-$E114-COUNTIFS($A$5:$A$1668,$A114,$C$5:$C$1668,$C114)+1)-1)*($F114-$E114-COUNTIFS($A$5:$A$1668,$A114,$C$5:$C$1668,$C114)+1)/2)^2)/(COUNTIFS($A$5:$A$1668,$A114,$C$5:$C$1668,$C114)*($F114-1)^3))*IF($F114&lt;Points!$H$4,Points!$H$5,1),0)))</f>
        <v/>
      </c>
      <c r="H114" s="11">
        <f>IF($G114="","",COUNTIFS($B$5:$B$1668,$B114,$G$5:$G$1668,"&gt;"&amp;$G114)+COUNTIFS($B$4:$B113,$B114,$G$4:$G113,$G114)+1)</f>
        <v/>
      </c>
      <c r="I114" s="11">
        <f>IF($G114="","",IF($H114&lt;=Points!$H$6,$G114,0))</f>
        <v/>
      </c>
      <c r="J114" s="11">
        <f>IF($B114="","",IF(COUNTIF(Players!$A$2:$A$500,$B114)=0,"Player is not on the Players tab",IF(NOT(ISNUMBER($C114)),"Enter a gross score",IF(COUNTIFS($A$5:$A$1668,$A114,$B$5:$B$1668,$B114)&gt;1,"Player is listed twice this week",IF(AND($D114&lt;&gt;"",COUNTIFS($A$5:$A$1668,$A114,$D$5:$D$1668,$D114)&gt;1),"Two players picked as "&amp;$D114,IF(COUNTIFS($A$5:$A$1668,$A114,$D$5:$D$1668,"Gross winner")=0,"Pick this week's gross winner",IF(COUNTIFS($A$5:$A$1668,$A114,$D$5:$D$1668,"Net winner")=0,"Pick this week's net winner","OK")))))))</f>
        <v/>
      </c>
    </row>
    <row r="115" outlineLevel="1">
      <c r="A115" s="13" t="n">
        <v>46414</v>
      </c>
      <c r="E115" s="11">
        <f>IF(OR($B115="",NOT(ISNUMBER($C115))),"",COUNTIFS($A$5:$A$1668,$A115,$C$5:$C$1668,"&lt;"&amp;$C115)+1)</f>
        <v/>
      </c>
      <c r="F115" s="11">
        <f>IF(OR($B115="",NOT(ISNUMBER($C115))),"",COUNTIFS($A$5:$A$1668,$A115,$C$5:$C$1668,"&gt;0"))</f>
        <v/>
      </c>
      <c r="G115" s="11">
        <f>IF(OR($B115="",NOT(ISNUMBER($C115))),"",IF($D115&lt;&gt;"",ROUND(Points!$B$6*IF($F115&lt;Points!$H$4,Points!$H$5,1),0),ROUND(Points!$B$6*IF($F115&lt;=1,1,Points!$H$7+(1-Points!$H$7)*((($F115-$E115)*(($F115-$E115)+1)/2)^2-((($F115-$E115-COUNTIFS($A$5:$A$1668,$A115,$C$5:$C$1668,$C115)+1)-1)*($F115-$E115-COUNTIFS($A$5:$A$1668,$A115,$C$5:$C$1668,$C115)+1)/2)^2)/(COUNTIFS($A$5:$A$1668,$A115,$C$5:$C$1668,$C115)*($F115-1)^3))*IF($F115&lt;Points!$H$4,Points!$H$5,1),0)))</f>
        <v/>
      </c>
      <c r="H115" s="11">
        <f>IF($G115="","",COUNTIFS($B$5:$B$1668,$B115,$G$5:$G$1668,"&gt;"&amp;$G115)+COUNTIFS($B$4:$B114,$B115,$G$4:$G114,$G115)+1)</f>
        <v/>
      </c>
      <c r="I115" s="11">
        <f>IF($G115="","",IF($H115&lt;=Points!$H$6,$G115,0))</f>
        <v/>
      </c>
      <c r="J115" s="11">
        <f>IF($B115="","",IF(COUNTIF(Players!$A$2:$A$500,$B115)=0,"Player is not on the Players tab",IF(NOT(ISNUMBER($C115)),"Enter a gross score",IF(COUNTIFS($A$5:$A$1668,$A115,$B$5:$B$1668,$B115)&gt;1,"Player is listed twice this week",IF(AND($D115&lt;&gt;"",COUNTIFS($A$5:$A$1668,$A115,$D$5:$D$1668,$D115)&gt;1),"Two players picked as "&amp;$D115,IF(COUNTIFS($A$5:$A$1668,$A115,$D$5:$D$1668,"Gross winner")=0,"Pick this week's gross winner",IF(COUNTIFS($A$5:$A$1668,$A115,$D$5:$D$1668,"Net winner")=0,"Pick this week's net winner","OK")))))))</f>
        <v/>
      </c>
    </row>
    <row r="116" outlineLevel="1">
      <c r="A116" s="13" t="n">
        <v>46414</v>
      </c>
      <c r="E116" s="11">
        <f>IF(OR($B116="",NOT(ISNUMBER($C116))),"",COUNTIFS($A$5:$A$1668,$A116,$C$5:$C$1668,"&lt;"&amp;$C116)+1)</f>
        <v/>
      </c>
      <c r="F116" s="11">
        <f>IF(OR($B116="",NOT(ISNUMBER($C116))),"",COUNTIFS($A$5:$A$1668,$A116,$C$5:$C$1668,"&gt;0"))</f>
        <v/>
      </c>
      <c r="G116" s="11">
        <f>IF(OR($B116="",NOT(ISNUMBER($C116))),"",IF($D116&lt;&gt;"",ROUND(Points!$B$6*IF($F116&lt;Points!$H$4,Points!$H$5,1),0),ROUND(Points!$B$6*IF($F116&lt;=1,1,Points!$H$7+(1-Points!$H$7)*((($F116-$E116)*(($F116-$E116)+1)/2)^2-((($F116-$E116-COUNTIFS($A$5:$A$1668,$A116,$C$5:$C$1668,$C116)+1)-1)*($F116-$E116-COUNTIFS($A$5:$A$1668,$A116,$C$5:$C$1668,$C116)+1)/2)^2)/(COUNTIFS($A$5:$A$1668,$A116,$C$5:$C$1668,$C116)*($F116-1)^3))*IF($F116&lt;Points!$H$4,Points!$H$5,1),0)))</f>
        <v/>
      </c>
      <c r="H116" s="11">
        <f>IF($G116="","",COUNTIFS($B$5:$B$1668,$B116,$G$5:$G$1668,"&gt;"&amp;$G116)+COUNTIFS($B$4:$B115,$B116,$G$4:$G115,$G116)+1)</f>
        <v/>
      </c>
      <c r="I116" s="11">
        <f>IF($G116="","",IF($H116&lt;=Points!$H$6,$G116,0))</f>
        <v/>
      </c>
      <c r="J116" s="11">
        <f>IF($B116="","",IF(COUNTIF(Players!$A$2:$A$500,$B116)=0,"Player is not on the Players tab",IF(NOT(ISNUMBER($C116)),"Enter a gross score",IF(COUNTIFS($A$5:$A$1668,$A116,$B$5:$B$1668,$B116)&gt;1,"Player is listed twice this week",IF(AND($D116&lt;&gt;"",COUNTIFS($A$5:$A$1668,$A116,$D$5:$D$1668,$D116)&gt;1),"Two players picked as "&amp;$D116,IF(COUNTIFS($A$5:$A$1668,$A116,$D$5:$D$1668,"Gross winner")=0,"Pick this week's gross winner",IF(COUNTIFS($A$5:$A$1668,$A116,$D$5:$D$1668,"Net winner")=0,"Pick this week's net winner","OK")))))))</f>
        <v/>
      </c>
    </row>
    <row r="117" outlineLevel="1">
      <c r="A117" s="13" t="n">
        <v>46414</v>
      </c>
      <c r="E117" s="11">
        <f>IF(OR($B117="",NOT(ISNUMBER($C117))),"",COUNTIFS($A$5:$A$1668,$A117,$C$5:$C$1668,"&lt;"&amp;$C117)+1)</f>
        <v/>
      </c>
      <c r="F117" s="11">
        <f>IF(OR($B117="",NOT(ISNUMBER($C117))),"",COUNTIFS($A$5:$A$1668,$A117,$C$5:$C$1668,"&gt;0"))</f>
        <v/>
      </c>
      <c r="G117" s="11">
        <f>IF(OR($B117="",NOT(ISNUMBER($C117))),"",IF($D117&lt;&gt;"",ROUND(Points!$B$6*IF($F117&lt;Points!$H$4,Points!$H$5,1),0),ROUND(Points!$B$6*IF($F117&lt;=1,1,Points!$H$7+(1-Points!$H$7)*((($F117-$E117)*(($F117-$E117)+1)/2)^2-((($F117-$E117-COUNTIFS($A$5:$A$1668,$A117,$C$5:$C$1668,$C117)+1)-1)*($F117-$E117-COUNTIFS($A$5:$A$1668,$A117,$C$5:$C$1668,$C117)+1)/2)^2)/(COUNTIFS($A$5:$A$1668,$A117,$C$5:$C$1668,$C117)*($F117-1)^3))*IF($F117&lt;Points!$H$4,Points!$H$5,1),0)))</f>
        <v/>
      </c>
      <c r="H117" s="11">
        <f>IF($G117="","",COUNTIFS($B$5:$B$1668,$B117,$G$5:$G$1668,"&gt;"&amp;$G117)+COUNTIFS($B$4:$B116,$B117,$G$4:$G116,$G117)+1)</f>
        <v/>
      </c>
      <c r="I117" s="11">
        <f>IF($G117="","",IF($H117&lt;=Points!$H$6,$G117,0))</f>
        <v/>
      </c>
      <c r="J117" s="11">
        <f>IF($B117="","",IF(COUNTIF(Players!$A$2:$A$500,$B117)=0,"Player is not on the Players tab",IF(NOT(ISNUMBER($C117)),"Enter a gross score",IF(COUNTIFS($A$5:$A$1668,$A117,$B$5:$B$1668,$B117)&gt;1,"Player is listed twice this week",IF(AND($D117&lt;&gt;"",COUNTIFS($A$5:$A$1668,$A117,$D$5:$D$1668,$D117)&gt;1),"Two players picked as "&amp;$D117,IF(COUNTIFS($A$5:$A$1668,$A117,$D$5:$D$1668,"Gross winner")=0,"Pick this week's gross winner",IF(COUNTIFS($A$5:$A$1668,$A117,$D$5:$D$1668,"Net winner")=0,"Pick this week's net winner","OK")))))))</f>
        <v/>
      </c>
    </row>
    <row r="118" outlineLevel="1">
      <c r="A118" s="13" t="n">
        <v>46414</v>
      </c>
      <c r="E118" s="11">
        <f>IF(OR($B118="",NOT(ISNUMBER($C118))),"",COUNTIFS($A$5:$A$1668,$A118,$C$5:$C$1668,"&lt;"&amp;$C118)+1)</f>
        <v/>
      </c>
      <c r="F118" s="11">
        <f>IF(OR($B118="",NOT(ISNUMBER($C118))),"",COUNTIFS($A$5:$A$1668,$A118,$C$5:$C$1668,"&gt;0"))</f>
        <v/>
      </c>
      <c r="G118" s="11">
        <f>IF(OR($B118="",NOT(ISNUMBER($C118))),"",IF($D118&lt;&gt;"",ROUND(Points!$B$6*IF($F118&lt;Points!$H$4,Points!$H$5,1),0),ROUND(Points!$B$6*IF($F118&lt;=1,1,Points!$H$7+(1-Points!$H$7)*((($F118-$E118)*(($F118-$E118)+1)/2)^2-((($F118-$E118-COUNTIFS($A$5:$A$1668,$A118,$C$5:$C$1668,$C118)+1)-1)*($F118-$E118-COUNTIFS($A$5:$A$1668,$A118,$C$5:$C$1668,$C118)+1)/2)^2)/(COUNTIFS($A$5:$A$1668,$A118,$C$5:$C$1668,$C118)*($F118-1)^3))*IF($F118&lt;Points!$H$4,Points!$H$5,1),0)))</f>
        <v/>
      </c>
      <c r="H118" s="11">
        <f>IF($G118="","",COUNTIFS($B$5:$B$1668,$B118,$G$5:$G$1668,"&gt;"&amp;$G118)+COUNTIFS($B$4:$B117,$B118,$G$4:$G117,$G118)+1)</f>
        <v/>
      </c>
      <c r="I118" s="11">
        <f>IF($G118="","",IF($H118&lt;=Points!$H$6,$G118,0))</f>
        <v/>
      </c>
      <c r="J118" s="11">
        <f>IF($B118="","",IF(COUNTIF(Players!$A$2:$A$500,$B118)=0,"Player is not on the Players tab",IF(NOT(ISNUMBER($C118)),"Enter a gross score",IF(COUNTIFS($A$5:$A$1668,$A118,$B$5:$B$1668,$B118)&gt;1,"Player is listed twice this week",IF(AND($D118&lt;&gt;"",COUNTIFS($A$5:$A$1668,$A118,$D$5:$D$1668,$D118)&gt;1),"Two players picked as "&amp;$D118,IF(COUNTIFS($A$5:$A$1668,$A118,$D$5:$D$1668,"Gross winner")=0,"Pick this week's gross winner",IF(COUNTIFS($A$5:$A$1668,$A118,$D$5:$D$1668,"Net winner")=0,"Pick this week's net winner","OK")))))))</f>
        <v/>
      </c>
    </row>
    <row r="119" outlineLevel="1">
      <c r="A119" s="13" t="n">
        <v>46414</v>
      </c>
      <c r="E119" s="11">
        <f>IF(OR($B119="",NOT(ISNUMBER($C119))),"",COUNTIFS($A$5:$A$1668,$A119,$C$5:$C$1668,"&lt;"&amp;$C119)+1)</f>
        <v/>
      </c>
      <c r="F119" s="11">
        <f>IF(OR($B119="",NOT(ISNUMBER($C119))),"",COUNTIFS($A$5:$A$1668,$A119,$C$5:$C$1668,"&gt;0"))</f>
        <v/>
      </c>
      <c r="G119" s="11">
        <f>IF(OR($B119="",NOT(ISNUMBER($C119))),"",IF($D119&lt;&gt;"",ROUND(Points!$B$6*IF($F119&lt;Points!$H$4,Points!$H$5,1),0),ROUND(Points!$B$6*IF($F119&lt;=1,1,Points!$H$7+(1-Points!$H$7)*((($F119-$E119)*(($F119-$E119)+1)/2)^2-((($F119-$E119-COUNTIFS($A$5:$A$1668,$A119,$C$5:$C$1668,$C119)+1)-1)*($F119-$E119-COUNTIFS($A$5:$A$1668,$A119,$C$5:$C$1668,$C119)+1)/2)^2)/(COUNTIFS($A$5:$A$1668,$A119,$C$5:$C$1668,$C119)*($F119-1)^3))*IF($F119&lt;Points!$H$4,Points!$H$5,1),0)))</f>
        <v/>
      </c>
      <c r="H119" s="11">
        <f>IF($G119="","",COUNTIFS($B$5:$B$1668,$B119,$G$5:$G$1668,"&gt;"&amp;$G119)+COUNTIFS($B$4:$B118,$B119,$G$4:$G118,$G119)+1)</f>
        <v/>
      </c>
      <c r="I119" s="11">
        <f>IF($G119="","",IF($H119&lt;=Points!$H$6,$G119,0))</f>
        <v/>
      </c>
      <c r="J119" s="11">
        <f>IF($B119="","",IF(COUNTIF(Players!$A$2:$A$500,$B119)=0,"Player is not on the Players tab",IF(NOT(ISNUMBER($C119)),"Enter a gross score",IF(COUNTIFS($A$5:$A$1668,$A119,$B$5:$B$1668,$B119)&gt;1,"Player is listed twice this week",IF(AND($D119&lt;&gt;"",COUNTIFS($A$5:$A$1668,$A119,$D$5:$D$1668,$D119)&gt;1),"Two players picked as "&amp;$D119,IF(COUNTIFS($A$5:$A$1668,$A119,$D$5:$D$1668,"Gross winner")=0,"Pick this week's gross winner",IF(COUNTIFS($A$5:$A$1668,$A119,$D$5:$D$1668,"Net winner")=0,"Pick this week's net winner","OK")))))))</f>
        <v/>
      </c>
    </row>
    <row r="120" outlineLevel="1">
      <c r="A120" s="13" t="n">
        <v>46414</v>
      </c>
      <c r="E120" s="11">
        <f>IF(OR($B120="",NOT(ISNUMBER($C120))),"",COUNTIFS($A$5:$A$1668,$A120,$C$5:$C$1668,"&lt;"&amp;$C120)+1)</f>
        <v/>
      </c>
      <c r="F120" s="11">
        <f>IF(OR($B120="",NOT(ISNUMBER($C120))),"",COUNTIFS($A$5:$A$1668,$A120,$C$5:$C$1668,"&gt;0"))</f>
        <v/>
      </c>
      <c r="G120" s="11">
        <f>IF(OR($B120="",NOT(ISNUMBER($C120))),"",IF($D120&lt;&gt;"",ROUND(Points!$B$6*IF($F120&lt;Points!$H$4,Points!$H$5,1),0),ROUND(Points!$B$6*IF($F120&lt;=1,1,Points!$H$7+(1-Points!$H$7)*((($F120-$E120)*(($F120-$E120)+1)/2)^2-((($F120-$E120-COUNTIFS($A$5:$A$1668,$A120,$C$5:$C$1668,$C120)+1)-1)*($F120-$E120-COUNTIFS($A$5:$A$1668,$A120,$C$5:$C$1668,$C120)+1)/2)^2)/(COUNTIFS($A$5:$A$1668,$A120,$C$5:$C$1668,$C120)*($F120-1)^3))*IF($F120&lt;Points!$H$4,Points!$H$5,1),0)))</f>
        <v/>
      </c>
      <c r="H120" s="11">
        <f>IF($G120="","",COUNTIFS($B$5:$B$1668,$B120,$G$5:$G$1668,"&gt;"&amp;$G120)+COUNTIFS($B$4:$B119,$B120,$G$4:$G119,$G120)+1)</f>
        <v/>
      </c>
      <c r="I120" s="11">
        <f>IF($G120="","",IF($H120&lt;=Points!$H$6,$G120,0))</f>
        <v/>
      </c>
      <c r="J120" s="11">
        <f>IF($B120="","",IF(COUNTIF(Players!$A$2:$A$500,$B120)=0,"Player is not on the Players tab",IF(NOT(ISNUMBER($C120)),"Enter a gross score",IF(COUNTIFS($A$5:$A$1668,$A120,$B$5:$B$1668,$B120)&gt;1,"Player is listed twice this week",IF(AND($D120&lt;&gt;"",COUNTIFS($A$5:$A$1668,$A120,$D$5:$D$1668,$D120)&gt;1),"Two players picked as "&amp;$D120,IF(COUNTIFS($A$5:$A$1668,$A120,$D$5:$D$1668,"Gross winner")=0,"Pick this week's gross winner",IF(COUNTIFS($A$5:$A$1668,$A120,$D$5:$D$1668,"Net winner")=0,"Pick this week's net winner","OK")))))))</f>
        <v/>
      </c>
    </row>
    <row r="121" outlineLevel="1">
      <c r="A121" s="13" t="n">
        <v>46414</v>
      </c>
      <c r="E121" s="11">
        <f>IF(OR($B121="",NOT(ISNUMBER($C121))),"",COUNTIFS($A$5:$A$1668,$A121,$C$5:$C$1668,"&lt;"&amp;$C121)+1)</f>
        <v/>
      </c>
      <c r="F121" s="11">
        <f>IF(OR($B121="",NOT(ISNUMBER($C121))),"",COUNTIFS($A$5:$A$1668,$A121,$C$5:$C$1668,"&gt;0"))</f>
        <v/>
      </c>
      <c r="G121" s="11">
        <f>IF(OR($B121="",NOT(ISNUMBER($C121))),"",IF($D121&lt;&gt;"",ROUND(Points!$B$6*IF($F121&lt;Points!$H$4,Points!$H$5,1),0),ROUND(Points!$B$6*IF($F121&lt;=1,1,Points!$H$7+(1-Points!$H$7)*((($F121-$E121)*(($F121-$E121)+1)/2)^2-((($F121-$E121-COUNTIFS($A$5:$A$1668,$A121,$C$5:$C$1668,$C121)+1)-1)*($F121-$E121-COUNTIFS($A$5:$A$1668,$A121,$C$5:$C$1668,$C121)+1)/2)^2)/(COUNTIFS($A$5:$A$1668,$A121,$C$5:$C$1668,$C121)*($F121-1)^3))*IF($F121&lt;Points!$H$4,Points!$H$5,1),0)))</f>
        <v/>
      </c>
      <c r="H121" s="11">
        <f>IF($G121="","",COUNTIFS($B$5:$B$1668,$B121,$G$5:$G$1668,"&gt;"&amp;$G121)+COUNTIFS($B$4:$B120,$B121,$G$4:$G120,$G121)+1)</f>
        <v/>
      </c>
      <c r="I121" s="11">
        <f>IF($G121="","",IF($H121&lt;=Points!$H$6,$G121,0))</f>
        <v/>
      </c>
      <c r="J121" s="11">
        <f>IF($B121="","",IF(COUNTIF(Players!$A$2:$A$500,$B121)=0,"Player is not on the Players tab",IF(NOT(ISNUMBER($C121)),"Enter a gross score",IF(COUNTIFS($A$5:$A$1668,$A121,$B$5:$B$1668,$B121)&gt;1,"Player is listed twice this week",IF(AND($D121&lt;&gt;"",COUNTIFS($A$5:$A$1668,$A121,$D$5:$D$1668,$D121)&gt;1),"Two players picked as "&amp;$D121,IF(COUNTIFS($A$5:$A$1668,$A121,$D$5:$D$1668,"Gross winner")=0,"Pick this week's gross winner",IF(COUNTIFS($A$5:$A$1668,$A121,$D$5:$D$1668,"Net winner")=0,"Pick this week's net winner","OK")))))))</f>
        <v/>
      </c>
    </row>
    <row r="122" outlineLevel="1">
      <c r="A122" s="13" t="n">
        <v>46414</v>
      </c>
      <c r="E122" s="11">
        <f>IF(OR($B122="",NOT(ISNUMBER($C122))),"",COUNTIFS($A$5:$A$1668,$A122,$C$5:$C$1668,"&lt;"&amp;$C122)+1)</f>
        <v/>
      </c>
      <c r="F122" s="11">
        <f>IF(OR($B122="",NOT(ISNUMBER($C122))),"",COUNTIFS($A$5:$A$1668,$A122,$C$5:$C$1668,"&gt;0"))</f>
        <v/>
      </c>
      <c r="G122" s="11">
        <f>IF(OR($B122="",NOT(ISNUMBER($C122))),"",IF($D122&lt;&gt;"",ROUND(Points!$B$6*IF($F122&lt;Points!$H$4,Points!$H$5,1),0),ROUND(Points!$B$6*IF($F122&lt;=1,1,Points!$H$7+(1-Points!$H$7)*((($F122-$E122)*(($F122-$E122)+1)/2)^2-((($F122-$E122-COUNTIFS($A$5:$A$1668,$A122,$C$5:$C$1668,$C122)+1)-1)*($F122-$E122-COUNTIFS($A$5:$A$1668,$A122,$C$5:$C$1668,$C122)+1)/2)^2)/(COUNTIFS($A$5:$A$1668,$A122,$C$5:$C$1668,$C122)*($F122-1)^3))*IF($F122&lt;Points!$H$4,Points!$H$5,1),0)))</f>
        <v/>
      </c>
      <c r="H122" s="11">
        <f>IF($G122="","",COUNTIFS($B$5:$B$1668,$B122,$G$5:$G$1668,"&gt;"&amp;$G122)+COUNTIFS($B$4:$B121,$B122,$G$4:$G121,$G122)+1)</f>
        <v/>
      </c>
      <c r="I122" s="11">
        <f>IF($G122="","",IF($H122&lt;=Points!$H$6,$G122,0))</f>
        <v/>
      </c>
      <c r="J122" s="11">
        <f>IF($B122="","",IF(COUNTIF(Players!$A$2:$A$500,$B122)=0,"Player is not on the Players tab",IF(NOT(ISNUMBER($C122)),"Enter a gross score",IF(COUNTIFS($A$5:$A$1668,$A122,$B$5:$B$1668,$B122)&gt;1,"Player is listed twice this week",IF(AND($D122&lt;&gt;"",COUNTIFS($A$5:$A$1668,$A122,$D$5:$D$1668,$D122)&gt;1),"Two players picked as "&amp;$D122,IF(COUNTIFS($A$5:$A$1668,$A122,$D$5:$D$1668,"Gross winner")=0,"Pick this week's gross winner",IF(COUNTIFS($A$5:$A$1668,$A122,$D$5:$D$1668,"Net winner")=0,"Pick this week's net winner","OK")))))))</f>
        <v/>
      </c>
    </row>
    <row r="123" outlineLevel="1">
      <c r="A123" s="13" t="n">
        <v>46414</v>
      </c>
      <c r="E123" s="11">
        <f>IF(OR($B123="",NOT(ISNUMBER($C123))),"",COUNTIFS($A$5:$A$1668,$A123,$C$5:$C$1668,"&lt;"&amp;$C123)+1)</f>
        <v/>
      </c>
      <c r="F123" s="11">
        <f>IF(OR($B123="",NOT(ISNUMBER($C123))),"",COUNTIFS($A$5:$A$1668,$A123,$C$5:$C$1668,"&gt;0"))</f>
        <v/>
      </c>
      <c r="G123" s="11">
        <f>IF(OR($B123="",NOT(ISNUMBER($C123))),"",IF($D123&lt;&gt;"",ROUND(Points!$B$6*IF($F123&lt;Points!$H$4,Points!$H$5,1),0),ROUND(Points!$B$6*IF($F123&lt;=1,1,Points!$H$7+(1-Points!$H$7)*((($F123-$E123)*(($F123-$E123)+1)/2)^2-((($F123-$E123-COUNTIFS($A$5:$A$1668,$A123,$C$5:$C$1668,$C123)+1)-1)*($F123-$E123-COUNTIFS($A$5:$A$1668,$A123,$C$5:$C$1668,$C123)+1)/2)^2)/(COUNTIFS($A$5:$A$1668,$A123,$C$5:$C$1668,$C123)*($F123-1)^3))*IF($F123&lt;Points!$H$4,Points!$H$5,1),0)))</f>
        <v/>
      </c>
      <c r="H123" s="11">
        <f>IF($G123="","",COUNTIFS($B$5:$B$1668,$B123,$G$5:$G$1668,"&gt;"&amp;$G123)+COUNTIFS($B$4:$B122,$B123,$G$4:$G122,$G123)+1)</f>
        <v/>
      </c>
      <c r="I123" s="11">
        <f>IF($G123="","",IF($H123&lt;=Points!$H$6,$G123,0))</f>
        <v/>
      </c>
      <c r="J123" s="11">
        <f>IF($B123="","",IF(COUNTIF(Players!$A$2:$A$500,$B123)=0,"Player is not on the Players tab",IF(NOT(ISNUMBER($C123)),"Enter a gross score",IF(COUNTIFS($A$5:$A$1668,$A123,$B$5:$B$1668,$B123)&gt;1,"Player is listed twice this week",IF(AND($D123&lt;&gt;"",COUNTIFS($A$5:$A$1668,$A123,$D$5:$D$1668,$D123)&gt;1),"Two players picked as "&amp;$D123,IF(COUNTIFS($A$5:$A$1668,$A123,$D$5:$D$1668,"Gross winner")=0,"Pick this week's gross winner",IF(COUNTIFS($A$5:$A$1668,$A123,$D$5:$D$1668,"Net winner")=0,"Pick this week's net winner","OK")))))))</f>
        <v/>
      </c>
    </row>
    <row r="124" outlineLevel="1">
      <c r="A124" s="13" t="n">
        <v>46414</v>
      </c>
      <c r="E124" s="11">
        <f>IF(OR($B124="",NOT(ISNUMBER($C124))),"",COUNTIFS($A$5:$A$1668,$A124,$C$5:$C$1668,"&lt;"&amp;$C124)+1)</f>
        <v/>
      </c>
      <c r="F124" s="11">
        <f>IF(OR($B124="",NOT(ISNUMBER($C124))),"",COUNTIFS($A$5:$A$1668,$A124,$C$5:$C$1668,"&gt;0"))</f>
        <v/>
      </c>
      <c r="G124" s="11">
        <f>IF(OR($B124="",NOT(ISNUMBER($C124))),"",IF($D124&lt;&gt;"",ROUND(Points!$B$6*IF($F124&lt;Points!$H$4,Points!$H$5,1),0),ROUND(Points!$B$6*IF($F124&lt;=1,1,Points!$H$7+(1-Points!$H$7)*((($F124-$E124)*(($F124-$E124)+1)/2)^2-((($F124-$E124-COUNTIFS($A$5:$A$1668,$A124,$C$5:$C$1668,$C124)+1)-1)*($F124-$E124-COUNTIFS($A$5:$A$1668,$A124,$C$5:$C$1668,$C124)+1)/2)^2)/(COUNTIFS($A$5:$A$1668,$A124,$C$5:$C$1668,$C124)*($F124-1)^3))*IF($F124&lt;Points!$H$4,Points!$H$5,1),0)))</f>
        <v/>
      </c>
      <c r="H124" s="11">
        <f>IF($G124="","",COUNTIFS($B$5:$B$1668,$B124,$G$5:$G$1668,"&gt;"&amp;$G124)+COUNTIFS($B$4:$B123,$B124,$G$4:$G123,$G124)+1)</f>
        <v/>
      </c>
      <c r="I124" s="11">
        <f>IF($G124="","",IF($H124&lt;=Points!$H$6,$G124,0))</f>
        <v/>
      </c>
      <c r="J124" s="11">
        <f>IF($B124="","",IF(COUNTIF(Players!$A$2:$A$500,$B124)=0,"Player is not on the Players tab",IF(NOT(ISNUMBER($C124)),"Enter a gross score",IF(COUNTIFS($A$5:$A$1668,$A124,$B$5:$B$1668,$B124)&gt;1,"Player is listed twice this week",IF(AND($D124&lt;&gt;"",COUNTIFS($A$5:$A$1668,$A124,$D$5:$D$1668,$D124)&gt;1),"Two players picked as "&amp;$D124,IF(COUNTIFS($A$5:$A$1668,$A124,$D$5:$D$1668,"Gross winner")=0,"Pick this week's gross winner",IF(COUNTIFS($A$5:$A$1668,$A124,$D$5:$D$1668,"Net winner")=0,"Pick this week's net winner","OK")))))))</f>
        <v/>
      </c>
    </row>
    <row r="125" outlineLevel="1">
      <c r="A125" s="13" t="n">
        <v>46414</v>
      </c>
      <c r="E125" s="11">
        <f>IF(OR($B125="",NOT(ISNUMBER($C125))),"",COUNTIFS($A$5:$A$1668,$A125,$C$5:$C$1668,"&lt;"&amp;$C125)+1)</f>
        <v/>
      </c>
      <c r="F125" s="11">
        <f>IF(OR($B125="",NOT(ISNUMBER($C125))),"",COUNTIFS($A$5:$A$1668,$A125,$C$5:$C$1668,"&gt;0"))</f>
        <v/>
      </c>
      <c r="G125" s="11">
        <f>IF(OR($B125="",NOT(ISNUMBER($C125))),"",IF($D125&lt;&gt;"",ROUND(Points!$B$6*IF($F125&lt;Points!$H$4,Points!$H$5,1),0),ROUND(Points!$B$6*IF($F125&lt;=1,1,Points!$H$7+(1-Points!$H$7)*((($F125-$E125)*(($F125-$E125)+1)/2)^2-((($F125-$E125-COUNTIFS($A$5:$A$1668,$A125,$C$5:$C$1668,$C125)+1)-1)*($F125-$E125-COUNTIFS($A$5:$A$1668,$A125,$C$5:$C$1668,$C125)+1)/2)^2)/(COUNTIFS($A$5:$A$1668,$A125,$C$5:$C$1668,$C125)*($F125-1)^3))*IF($F125&lt;Points!$H$4,Points!$H$5,1),0)))</f>
        <v/>
      </c>
      <c r="H125" s="11">
        <f>IF($G125="","",COUNTIFS($B$5:$B$1668,$B125,$G$5:$G$1668,"&gt;"&amp;$G125)+COUNTIFS($B$4:$B124,$B125,$G$4:$G124,$G125)+1)</f>
        <v/>
      </c>
      <c r="I125" s="11">
        <f>IF($G125="","",IF($H125&lt;=Points!$H$6,$G125,0))</f>
        <v/>
      </c>
      <c r="J125" s="11">
        <f>IF($B125="","",IF(COUNTIF(Players!$A$2:$A$500,$B125)=0,"Player is not on the Players tab",IF(NOT(ISNUMBER($C125)),"Enter a gross score",IF(COUNTIFS($A$5:$A$1668,$A125,$B$5:$B$1668,$B125)&gt;1,"Player is listed twice this week",IF(AND($D125&lt;&gt;"",COUNTIFS($A$5:$A$1668,$A125,$D$5:$D$1668,$D125)&gt;1),"Two players picked as "&amp;$D125,IF(COUNTIFS($A$5:$A$1668,$A125,$D$5:$D$1668,"Gross winner")=0,"Pick this week's gross winner",IF(COUNTIFS($A$5:$A$1668,$A125,$D$5:$D$1668,"Net winner")=0,"Pick this week's net winner","OK")))))))</f>
        <v/>
      </c>
    </row>
    <row r="126" outlineLevel="1">
      <c r="A126" s="13" t="n">
        <v>46414</v>
      </c>
      <c r="E126" s="11">
        <f>IF(OR($B126="",NOT(ISNUMBER($C126))),"",COUNTIFS($A$5:$A$1668,$A126,$C$5:$C$1668,"&lt;"&amp;$C126)+1)</f>
        <v/>
      </c>
      <c r="F126" s="11">
        <f>IF(OR($B126="",NOT(ISNUMBER($C126))),"",COUNTIFS($A$5:$A$1668,$A126,$C$5:$C$1668,"&gt;0"))</f>
        <v/>
      </c>
      <c r="G126" s="11">
        <f>IF(OR($B126="",NOT(ISNUMBER($C126))),"",IF($D126&lt;&gt;"",ROUND(Points!$B$6*IF($F126&lt;Points!$H$4,Points!$H$5,1),0),ROUND(Points!$B$6*IF($F126&lt;=1,1,Points!$H$7+(1-Points!$H$7)*((($F126-$E126)*(($F126-$E126)+1)/2)^2-((($F126-$E126-COUNTIFS($A$5:$A$1668,$A126,$C$5:$C$1668,$C126)+1)-1)*($F126-$E126-COUNTIFS($A$5:$A$1668,$A126,$C$5:$C$1668,$C126)+1)/2)^2)/(COUNTIFS($A$5:$A$1668,$A126,$C$5:$C$1668,$C126)*($F126-1)^3))*IF($F126&lt;Points!$H$4,Points!$H$5,1),0)))</f>
        <v/>
      </c>
      <c r="H126" s="11">
        <f>IF($G126="","",COUNTIFS($B$5:$B$1668,$B126,$G$5:$G$1668,"&gt;"&amp;$G126)+COUNTIFS($B$4:$B125,$B126,$G$4:$G125,$G126)+1)</f>
        <v/>
      </c>
      <c r="I126" s="11">
        <f>IF($G126="","",IF($H126&lt;=Points!$H$6,$G126,0))</f>
        <v/>
      </c>
      <c r="J126" s="11">
        <f>IF($B126="","",IF(COUNTIF(Players!$A$2:$A$500,$B126)=0,"Player is not on the Players tab",IF(NOT(ISNUMBER($C126)),"Enter a gross score",IF(COUNTIFS($A$5:$A$1668,$A126,$B$5:$B$1668,$B126)&gt;1,"Player is listed twice this week",IF(AND($D126&lt;&gt;"",COUNTIFS($A$5:$A$1668,$A126,$D$5:$D$1668,$D126)&gt;1),"Two players picked as "&amp;$D126,IF(COUNTIFS($A$5:$A$1668,$A126,$D$5:$D$1668,"Gross winner")=0,"Pick this week's gross winner",IF(COUNTIFS($A$5:$A$1668,$A126,$D$5:$D$1668,"Net winner")=0,"Pick this week's net winner","OK")))))))</f>
        <v/>
      </c>
    </row>
    <row r="127" outlineLevel="1">
      <c r="A127" s="13" t="n">
        <v>46414</v>
      </c>
      <c r="E127" s="11">
        <f>IF(OR($B127="",NOT(ISNUMBER($C127))),"",COUNTIFS($A$5:$A$1668,$A127,$C$5:$C$1668,"&lt;"&amp;$C127)+1)</f>
        <v/>
      </c>
      <c r="F127" s="11">
        <f>IF(OR($B127="",NOT(ISNUMBER($C127))),"",COUNTIFS($A$5:$A$1668,$A127,$C$5:$C$1668,"&gt;0"))</f>
        <v/>
      </c>
      <c r="G127" s="11">
        <f>IF(OR($B127="",NOT(ISNUMBER($C127))),"",IF($D127&lt;&gt;"",ROUND(Points!$B$6*IF($F127&lt;Points!$H$4,Points!$H$5,1),0),ROUND(Points!$B$6*IF($F127&lt;=1,1,Points!$H$7+(1-Points!$H$7)*((($F127-$E127)*(($F127-$E127)+1)/2)^2-((($F127-$E127-COUNTIFS($A$5:$A$1668,$A127,$C$5:$C$1668,$C127)+1)-1)*($F127-$E127-COUNTIFS($A$5:$A$1668,$A127,$C$5:$C$1668,$C127)+1)/2)^2)/(COUNTIFS($A$5:$A$1668,$A127,$C$5:$C$1668,$C127)*($F127-1)^3))*IF($F127&lt;Points!$H$4,Points!$H$5,1),0)))</f>
        <v/>
      </c>
      <c r="H127" s="11">
        <f>IF($G127="","",COUNTIFS($B$5:$B$1668,$B127,$G$5:$G$1668,"&gt;"&amp;$G127)+COUNTIFS($B$4:$B126,$B127,$G$4:$G126,$G127)+1)</f>
        <v/>
      </c>
      <c r="I127" s="11">
        <f>IF($G127="","",IF($H127&lt;=Points!$H$6,$G127,0))</f>
        <v/>
      </c>
      <c r="J127" s="11">
        <f>IF($B127="","",IF(COUNTIF(Players!$A$2:$A$500,$B127)=0,"Player is not on the Players tab",IF(NOT(ISNUMBER($C127)),"Enter a gross score",IF(COUNTIFS($A$5:$A$1668,$A127,$B$5:$B$1668,$B127)&gt;1,"Player is listed twice this week",IF(AND($D127&lt;&gt;"",COUNTIFS($A$5:$A$1668,$A127,$D$5:$D$1668,$D127)&gt;1),"Two players picked as "&amp;$D127,IF(COUNTIFS($A$5:$A$1668,$A127,$D$5:$D$1668,"Gross winner")=0,"Pick this week's gross winner",IF(COUNTIFS($A$5:$A$1668,$A127,$D$5:$D$1668,"Net winner")=0,"Pick this week's net winner","OK")))))))</f>
        <v/>
      </c>
    </row>
    <row r="128" outlineLevel="1">
      <c r="A128" s="13" t="n">
        <v>46414</v>
      </c>
      <c r="E128" s="11">
        <f>IF(OR($B128="",NOT(ISNUMBER($C128))),"",COUNTIFS($A$5:$A$1668,$A128,$C$5:$C$1668,"&lt;"&amp;$C128)+1)</f>
        <v/>
      </c>
      <c r="F128" s="11">
        <f>IF(OR($B128="",NOT(ISNUMBER($C128))),"",COUNTIFS($A$5:$A$1668,$A128,$C$5:$C$1668,"&gt;0"))</f>
        <v/>
      </c>
      <c r="G128" s="11">
        <f>IF(OR($B128="",NOT(ISNUMBER($C128))),"",IF($D128&lt;&gt;"",ROUND(Points!$B$6*IF($F128&lt;Points!$H$4,Points!$H$5,1),0),ROUND(Points!$B$6*IF($F128&lt;=1,1,Points!$H$7+(1-Points!$H$7)*((($F128-$E128)*(($F128-$E128)+1)/2)^2-((($F128-$E128-COUNTIFS($A$5:$A$1668,$A128,$C$5:$C$1668,$C128)+1)-1)*($F128-$E128-COUNTIFS($A$5:$A$1668,$A128,$C$5:$C$1668,$C128)+1)/2)^2)/(COUNTIFS($A$5:$A$1668,$A128,$C$5:$C$1668,$C128)*($F128-1)^3))*IF($F128&lt;Points!$H$4,Points!$H$5,1),0)))</f>
        <v/>
      </c>
      <c r="H128" s="11">
        <f>IF($G128="","",COUNTIFS($B$5:$B$1668,$B128,$G$5:$G$1668,"&gt;"&amp;$G128)+COUNTIFS($B$4:$B127,$B128,$G$4:$G127,$G128)+1)</f>
        <v/>
      </c>
      <c r="I128" s="11">
        <f>IF($G128="","",IF($H128&lt;=Points!$H$6,$G128,0))</f>
        <v/>
      </c>
      <c r="J128" s="11">
        <f>IF($B128="","",IF(COUNTIF(Players!$A$2:$A$500,$B128)=0,"Player is not on the Players tab",IF(NOT(ISNUMBER($C128)),"Enter a gross score",IF(COUNTIFS($A$5:$A$1668,$A128,$B$5:$B$1668,$B128)&gt;1,"Player is listed twice this week",IF(AND($D128&lt;&gt;"",COUNTIFS($A$5:$A$1668,$A128,$D$5:$D$1668,$D128)&gt;1),"Two players picked as "&amp;$D128,IF(COUNTIFS($A$5:$A$1668,$A128,$D$5:$D$1668,"Gross winner")=0,"Pick this week's gross winner",IF(COUNTIFS($A$5:$A$1668,$A128,$D$5:$D$1668,"Net winner")=0,"Pick this week's net winner","OK")))))))</f>
        <v/>
      </c>
    </row>
    <row r="129" outlineLevel="1">
      <c r="A129" s="13" t="n">
        <v>46414</v>
      </c>
      <c r="E129" s="11">
        <f>IF(OR($B129="",NOT(ISNUMBER($C129))),"",COUNTIFS($A$5:$A$1668,$A129,$C$5:$C$1668,"&lt;"&amp;$C129)+1)</f>
        <v/>
      </c>
      <c r="F129" s="11">
        <f>IF(OR($B129="",NOT(ISNUMBER($C129))),"",COUNTIFS($A$5:$A$1668,$A129,$C$5:$C$1668,"&gt;0"))</f>
        <v/>
      </c>
      <c r="G129" s="11">
        <f>IF(OR($B129="",NOT(ISNUMBER($C129))),"",IF($D129&lt;&gt;"",ROUND(Points!$B$6*IF($F129&lt;Points!$H$4,Points!$H$5,1),0),ROUND(Points!$B$6*IF($F129&lt;=1,1,Points!$H$7+(1-Points!$H$7)*((($F129-$E129)*(($F129-$E129)+1)/2)^2-((($F129-$E129-COUNTIFS($A$5:$A$1668,$A129,$C$5:$C$1668,$C129)+1)-1)*($F129-$E129-COUNTIFS($A$5:$A$1668,$A129,$C$5:$C$1668,$C129)+1)/2)^2)/(COUNTIFS($A$5:$A$1668,$A129,$C$5:$C$1668,$C129)*($F129-1)^3))*IF($F129&lt;Points!$H$4,Points!$H$5,1),0)))</f>
        <v/>
      </c>
      <c r="H129" s="11">
        <f>IF($G129="","",COUNTIFS($B$5:$B$1668,$B129,$G$5:$G$1668,"&gt;"&amp;$G129)+COUNTIFS($B$4:$B128,$B129,$G$4:$G128,$G129)+1)</f>
        <v/>
      </c>
      <c r="I129" s="11">
        <f>IF($G129="","",IF($H129&lt;=Points!$H$6,$G129,0))</f>
        <v/>
      </c>
      <c r="J129" s="11">
        <f>IF($B129="","",IF(COUNTIF(Players!$A$2:$A$500,$B129)=0,"Player is not on the Players tab",IF(NOT(ISNUMBER($C129)),"Enter a gross score",IF(COUNTIFS($A$5:$A$1668,$A129,$B$5:$B$1668,$B129)&gt;1,"Player is listed twice this week",IF(AND($D129&lt;&gt;"",COUNTIFS($A$5:$A$1668,$A129,$D$5:$D$1668,$D129)&gt;1),"Two players picked as "&amp;$D129,IF(COUNTIFS($A$5:$A$1668,$A129,$D$5:$D$1668,"Gross winner")=0,"Pick this week's gross winner",IF(COUNTIFS($A$5:$A$1668,$A129,$D$5:$D$1668,"Net winner")=0,"Pick this week's net winner","OK")))))))</f>
        <v/>
      </c>
    </row>
    <row r="130" outlineLevel="1">
      <c r="A130" s="13" t="n">
        <v>46414</v>
      </c>
      <c r="E130" s="11">
        <f>IF(OR($B130="",NOT(ISNUMBER($C130))),"",COUNTIFS($A$5:$A$1668,$A130,$C$5:$C$1668,"&lt;"&amp;$C130)+1)</f>
        <v/>
      </c>
      <c r="F130" s="11">
        <f>IF(OR($B130="",NOT(ISNUMBER($C130))),"",COUNTIFS($A$5:$A$1668,$A130,$C$5:$C$1668,"&gt;0"))</f>
        <v/>
      </c>
      <c r="G130" s="11">
        <f>IF(OR($B130="",NOT(ISNUMBER($C130))),"",IF($D130&lt;&gt;"",ROUND(Points!$B$6*IF($F130&lt;Points!$H$4,Points!$H$5,1),0),ROUND(Points!$B$6*IF($F130&lt;=1,1,Points!$H$7+(1-Points!$H$7)*((($F130-$E130)*(($F130-$E130)+1)/2)^2-((($F130-$E130-COUNTIFS($A$5:$A$1668,$A130,$C$5:$C$1668,$C130)+1)-1)*($F130-$E130-COUNTIFS($A$5:$A$1668,$A130,$C$5:$C$1668,$C130)+1)/2)^2)/(COUNTIFS($A$5:$A$1668,$A130,$C$5:$C$1668,$C130)*($F130-1)^3))*IF($F130&lt;Points!$H$4,Points!$H$5,1),0)))</f>
        <v/>
      </c>
      <c r="H130" s="11">
        <f>IF($G130="","",COUNTIFS($B$5:$B$1668,$B130,$G$5:$G$1668,"&gt;"&amp;$G130)+COUNTIFS($B$4:$B129,$B130,$G$4:$G129,$G130)+1)</f>
        <v/>
      </c>
      <c r="I130" s="11">
        <f>IF($G130="","",IF($H130&lt;=Points!$H$6,$G130,0))</f>
        <v/>
      </c>
      <c r="J130" s="11">
        <f>IF($B130="","",IF(COUNTIF(Players!$A$2:$A$500,$B130)=0,"Player is not on the Players tab",IF(NOT(ISNUMBER($C130)),"Enter a gross score",IF(COUNTIFS($A$5:$A$1668,$A130,$B$5:$B$1668,$B130)&gt;1,"Player is listed twice this week",IF(AND($D130&lt;&gt;"",COUNTIFS($A$5:$A$1668,$A130,$D$5:$D$1668,$D130)&gt;1),"Two players picked as "&amp;$D130,IF(COUNTIFS($A$5:$A$1668,$A130,$D$5:$D$1668,"Gross winner")=0,"Pick this week's gross winner",IF(COUNTIFS($A$5:$A$1668,$A130,$D$5:$D$1668,"Net winner")=0,"Pick this week's net winner","OK")))))))</f>
        <v/>
      </c>
    </row>
    <row r="131" outlineLevel="1">
      <c r="A131" s="13" t="n">
        <v>46414</v>
      </c>
      <c r="E131" s="11">
        <f>IF(OR($B131="",NOT(ISNUMBER($C131))),"",COUNTIFS($A$5:$A$1668,$A131,$C$5:$C$1668,"&lt;"&amp;$C131)+1)</f>
        <v/>
      </c>
      <c r="F131" s="11">
        <f>IF(OR($B131="",NOT(ISNUMBER($C131))),"",COUNTIFS($A$5:$A$1668,$A131,$C$5:$C$1668,"&gt;0"))</f>
        <v/>
      </c>
      <c r="G131" s="11">
        <f>IF(OR($B131="",NOT(ISNUMBER($C131))),"",IF($D131&lt;&gt;"",ROUND(Points!$B$6*IF($F131&lt;Points!$H$4,Points!$H$5,1),0),ROUND(Points!$B$6*IF($F131&lt;=1,1,Points!$H$7+(1-Points!$H$7)*((($F131-$E131)*(($F131-$E131)+1)/2)^2-((($F131-$E131-COUNTIFS($A$5:$A$1668,$A131,$C$5:$C$1668,$C131)+1)-1)*($F131-$E131-COUNTIFS($A$5:$A$1668,$A131,$C$5:$C$1668,$C131)+1)/2)^2)/(COUNTIFS($A$5:$A$1668,$A131,$C$5:$C$1668,$C131)*($F131-1)^3))*IF($F131&lt;Points!$H$4,Points!$H$5,1),0)))</f>
        <v/>
      </c>
      <c r="H131" s="11">
        <f>IF($G131="","",COUNTIFS($B$5:$B$1668,$B131,$G$5:$G$1668,"&gt;"&amp;$G131)+COUNTIFS($B$4:$B130,$B131,$G$4:$G130,$G131)+1)</f>
        <v/>
      </c>
      <c r="I131" s="11">
        <f>IF($G131="","",IF($H131&lt;=Points!$H$6,$G131,0))</f>
        <v/>
      </c>
      <c r="J131" s="11">
        <f>IF($B131="","",IF(COUNTIF(Players!$A$2:$A$500,$B131)=0,"Player is not on the Players tab",IF(NOT(ISNUMBER($C131)),"Enter a gross score",IF(COUNTIFS($A$5:$A$1668,$A131,$B$5:$B$1668,$B131)&gt;1,"Player is listed twice this week",IF(AND($D131&lt;&gt;"",COUNTIFS($A$5:$A$1668,$A131,$D$5:$D$1668,$D131)&gt;1),"Two players picked as "&amp;$D131,IF(COUNTIFS($A$5:$A$1668,$A131,$D$5:$D$1668,"Gross winner")=0,"Pick this week's gross winner",IF(COUNTIFS($A$5:$A$1668,$A131,$D$5:$D$1668,"Net winner")=0,"Pick this week's net winner","OK")))))))</f>
        <v/>
      </c>
    </row>
    <row r="132" ht="10" customHeight="1"/>
    <row r="133" ht="22" customHeight="1">
      <c r="A133" s="12" t="inlineStr">
        <is>
          <t>Week 5  ·  Wednesday, Feb 3</t>
        </is>
      </c>
    </row>
    <row r="134" outlineLevel="1">
      <c r="A134" s="13" t="n">
        <v>46421</v>
      </c>
      <c r="E134" s="11">
        <f>IF(OR($B134="",NOT(ISNUMBER($C134))),"",COUNTIFS($A$5:$A$1668,$A134,$C$5:$C$1668,"&lt;"&amp;$C134)+1)</f>
        <v/>
      </c>
      <c r="F134" s="11">
        <f>IF(OR($B134="",NOT(ISNUMBER($C134))),"",COUNTIFS($A$5:$A$1668,$A134,$C$5:$C$1668,"&gt;0"))</f>
        <v/>
      </c>
      <c r="G134" s="11">
        <f>IF(OR($B134="",NOT(ISNUMBER($C134))),"",IF($D134&lt;&gt;"",ROUND(Points!$B$6*IF($F134&lt;Points!$H$4,Points!$H$5,1),0),ROUND(Points!$B$6*IF($F134&lt;=1,1,Points!$H$7+(1-Points!$H$7)*((($F134-$E134)*(($F134-$E134)+1)/2)^2-((($F134-$E134-COUNTIFS($A$5:$A$1668,$A134,$C$5:$C$1668,$C134)+1)-1)*($F134-$E134-COUNTIFS($A$5:$A$1668,$A134,$C$5:$C$1668,$C134)+1)/2)^2)/(COUNTIFS($A$5:$A$1668,$A134,$C$5:$C$1668,$C134)*($F134-1)^3))*IF($F134&lt;Points!$H$4,Points!$H$5,1),0)))</f>
        <v/>
      </c>
      <c r="H134" s="11">
        <f>IF($G134="","",COUNTIFS($B$5:$B$1668,$B134,$G$5:$G$1668,"&gt;"&amp;$G134)+COUNTIFS($B$4:$B133,$B134,$G$4:$G133,$G134)+1)</f>
        <v/>
      </c>
      <c r="I134" s="11">
        <f>IF($G134="","",IF($H134&lt;=Points!$H$6,$G134,0))</f>
        <v/>
      </c>
      <c r="J134" s="11">
        <f>IF($B134="","",IF(COUNTIF(Players!$A$2:$A$500,$B134)=0,"Player is not on the Players tab",IF(NOT(ISNUMBER($C134)),"Enter a gross score",IF(COUNTIFS($A$5:$A$1668,$A134,$B$5:$B$1668,$B134)&gt;1,"Player is listed twice this week",IF(AND($D134&lt;&gt;"",COUNTIFS($A$5:$A$1668,$A134,$D$5:$D$1668,$D134)&gt;1),"Two players picked as "&amp;$D134,IF(COUNTIFS($A$5:$A$1668,$A134,$D$5:$D$1668,"Gross winner")=0,"Pick this week's gross winner",IF(COUNTIFS($A$5:$A$1668,$A134,$D$5:$D$1668,"Net winner")=0,"Pick this week's net winner","OK")))))))</f>
        <v/>
      </c>
    </row>
    <row r="135" outlineLevel="1">
      <c r="A135" s="13" t="n">
        <v>46421</v>
      </c>
      <c r="E135" s="11">
        <f>IF(OR($B135="",NOT(ISNUMBER($C135))),"",COUNTIFS($A$5:$A$1668,$A135,$C$5:$C$1668,"&lt;"&amp;$C135)+1)</f>
        <v/>
      </c>
      <c r="F135" s="11">
        <f>IF(OR($B135="",NOT(ISNUMBER($C135))),"",COUNTIFS($A$5:$A$1668,$A135,$C$5:$C$1668,"&gt;0"))</f>
        <v/>
      </c>
      <c r="G135" s="11">
        <f>IF(OR($B135="",NOT(ISNUMBER($C135))),"",IF($D135&lt;&gt;"",ROUND(Points!$B$6*IF($F135&lt;Points!$H$4,Points!$H$5,1),0),ROUND(Points!$B$6*IF($F135&lt;=1,1,Points!$H$7+(1-Points!$H$7)*((($F135-$E135)*(($F135-$E135)+1)/2)^2-((($F135-$E135-COUNTIFS($A$5:$A$1668,$A135,$C$5:$C$1668,$C135)+1)-1)*($F135-$E135-COUNTIFS($A$5:$A$1668,$A135,$C$5:$C$1668,$C135)+1)/2)^2)/(COUNTIFS($A$5:$A$1668,$A135,$C$5:$C$1668,$C135)*($F135-1)^3))*IF($F135&lt;Points!$H$4,Points!$H$5,1),0)))</f>
        <v/>
      </c>
      <c r="H135" s="11">
        <f>IF($G135="","",COUNTIFS($B$5:$B$1668,$B135,$G$5:$G$1668,"&gt;"&amp;$G135)+COUNTIFS($B$4:$B134,$B135,$G$4:$G134,$G135)+1)</f>
        <v/>
      </c>
      <c r="I135" s="11">
        <f>IF($G135="","",IF($H135&lt;=Points!$H$6,$G135,0))</f>
        <v/>
      </c>
      <c r="J135" s="11">
        <f>IF($B135="","",IF(COUNTIF(Players!$A$2:$A$500,$B135)=0,"Player is not on the Players tab",IF(NOT(ISNUMBER($C135)),"Enter a gross score",IF(COUNTIFS($A$5:$A$1668,$A135,$B$5:$B$1668,$B135)&gt;1,"Player is listed twice this week",IF(AND($D135&lt;&gt;"",COUNTIFS($A$5:$A$1668,$A135,$D$5:$D$1668,$D135)&gt;1),"Two players picked as "&amp;$D135,IF(COUNTIFS($A$5:$A$1668,$A135,$D$5:$D$1668,"Gross winner")=0,"Pick this week's gross winner",IF(COUNTIFS($A$5:$A$1668,$A135,$D$5:$D$1668,"Net winner")=0,"Pick this week's net winner","OK")))))))</f>
        <v/>
      </c>
    </row>
    <row r="136" outlineLevel="1">
      <c r="A136" s="13" t="n">
        <v>46421</v>
      </c>
      <c r="E136" s="11">
        <f>IF(OR($B136="",NOT(ISNUMBER($C136))),"",COUNTIFS($A$5:$A$1668,$A136,$C$5:$C$1668,"&lt;"&amp;$C136)+1)</f>
        <v/>
      </c>
      <c r="F136" s="11">
        <f>IF(OR($B136="",NOT(ISNUMBER($C136))),"",COUNTIFS($A$5:$A$1668,$A136,$C$5:$C$1668,"&gt;0"))</f>
        <v/>
      </c>
      <c r="G136" s="11">
        <f>IF(OR($B136="",NOT(ISNUMBER($C136))),"",IF($D136&lt;&gt;"",ROUND(Points!$B$6*IF($F136&lt;Points!$H$4,Points!$H$5,1),0),ROUND(Points!$B$6*IF($F136&lt;=1,1,Points!$H$7+(1-Points!$H$7)*((($F136-$E136)*(($F136-$E136)+1)/2)^2-((($F136-$E136-COUNTIFS($A$5:$A$1668,$A136,$C$5:$C$1668,$C136)+1)-1)*($F136-$E136-COUNTIFS($A$5:$A$1668,$A136,$C$5:$C$1668,$C136)+1)/2)^2)/(COUNTIFS($A$5:$A$1668,$A136,$C$5:$C$1668,$C136)*($F136-1)^3))*IF($F136&lt;Points!$H$4,Points!$H$5,1),0)))</f>
        <v/>
      </c>
      <c r="H136" s="11">
        <f>IF($G136="","",COUNTIFS($B$5:$B$1668,$B136,$G$5:$G$1668,"&gt;"&amp;$G136)+COUNTIFS($B$4:$B135,$B136,$G$4:$G135,$G136)+1)</f>
        <v/>
      </c>
      <c r="I136" s="11">
        <f>IF($G136="","",IF($H136&lt;=Points!$H$6,$G136,0))</f>
        <v/>
      </c>
      <c r="J136" s="11">
        <f>IF($B136="","",IF(COUNTIF(Players!$A$2:$A$500,$B136)=0,"Player is not on the Players tab",IF(NOT(ISNUMBER($C136)),"Enter a gross score",IF(COUNTIFS($A$5:$A$1668,$A136,$B$5:$B$1668,$B136)&gt;1,"Player is listed twice this week",IF(AND($D136&lt;&gt;"",COUNTIFS($A$5:$A$1668,$A136,$D$5:$D$1668,$D136)&gt;1),"Two players picked as "&amp;$D136,IF(COUNTIFS($A$5:$A$1668,$A136,$D$5:$D$1668,"Gross winner")=0,"Pick this week's gross winner",IF(COUNTIFS($A$5:$A$1668,$A136,$D$5:$D$1668,"Net winner")=0,"Pick this week's net winner","OK")))))))</f>
        <v/>
      </c>
    </row>
    <row r="137" outlineLevel="1">
      <c r="A137" s="13" t="n">
        <v>46421</v>
      </c>
      <c r="E137" s="11">
        <f>IF(OR($B137="",NOT(ISNUMBER($C137))),"",COUNTIFS($A$5:$A$1668,$A137,$C$5:$C$1668,"&lt;"&amp;$C137)+1)</f>
        <v/>
      </c>
      <c r="F137" s="11">
        <f>IF(OR($B137="",NOT(ISNUMBER($C137))),"",COUNTIFS($A$5:$A$1668,$A137,$C$5:$C$1668,"&gt;0"))</f>
        <v/>
      </c>
      <c r="G137" s="11">
        <f>IF(OR($B137="",NOT(ISNUMBER($C137))),"",IF($D137&lt;&gt;"",ROUND(Points!$B$6*IF($F137&lt;Points!$H$4,Points!$H$5,1),0),ROUND(Points!$B$6*IF($F137&lt;=1,1,Points!$H$7+(1-Points!$H$7)*((($F137-$E137)*(($F137-$E137)+1)/2)^2-((($F137-$E137-COUNTIFS($A$5:$A$1668,$A137,$C$5:$C$1668,$C137)+1)-1)*($F137-$E137-COUNTIFS($A$5:$A$1668,$A137,$C$5:$C$1668,$C137)+1)/2)^2)/(COUNTIFS($A$5:$A$1668,$A137,$C$5:$C$1668,$C137)*($F137-1)^3))*IF($F137&lt;Points!$H$4,Points!$H$5,1),0)))</f>
        <v/>
      </c>
      <c r="H137" s="11">
        <f>IF($G137="","",COUNTIFS($B$5:$B$1668,$B137,$G$5:$G$1668,"&gt;"&amp;$G137)+COUNTIFS($B$4:$B136,$B137,$G$4:$G136,$G137)+1)</f>
        <v/>
      </c>
      <c r="I137" s="11">
        <f>IF($G137="","",IF($H137&lt;=Points!$H$6,$G137,0))</f>
        <v/>
      </c>
      <c r="J137" s="11">
        <f>IF($B137="","",IF(COUNTIF(Players!$A$2:$A$500,$B137)=0,"Player is not on the Players tab",IF(NOT(ISNUMBER($C137)),"Enter a gross score",IF(COUNTIFS($A$5:$A$1668,$A137,$B$5:$B$1668,$B137)&gt;1,"Player is listed twice this week",IF(AND($D137&lt;&gt;"",COUNTIFS($A$5:$A$1668,$A137,$D$5:$D$1668,$D137)&gt;1),"Two players picked as "&amp;$D137,IF(COUNTIFS($A$5:$A$1668,$A137,$D$5:$D$1668,"Gross winner")=0,"Pick this week's gross winner",IF(COUNTIFS($A$5:$A$1668,$A137,$D$5:$D$1668,"Net winner")=0,"Pick this week's net winner","OK")))))))</f>
        <v/>
      </c>
    </row>
    <row r="138" outlineLevel="1">
      <c r="A138" s="13" t="n">
        <v>46421</v>
      </c>
      <c r="E138" s="11">
        <f>IF(OR($B138="",NOT(ISNUMBER($C138))),"",COUNTIFS($A$5:$A$1668,$A138,$C$5:$C$1668,"&lt;"&amp;$C138)+1)</f>
        <v/>
      </c>
      <c r="F138" s="11">
        <f>IF(OR($B138="",NOT(ISNUMBER($C138))),"",COUNTIFS($A$5:$A$1668,$A138,$C$5:$C$1668,"&gt;0"))</f>
        <v/>
      </c>
      <c r="G138" s="11">
        <f>IF(OR($B138="",NOT(ISNUMBER($C138))),"",IF($D138&lt;&gt;"",ROUND(Points!$B$6*IF($F138&lt;Points!$H$4,Points!$H$5,1),0),ROUND(Points!$B$6*IF($F138&lt;=1,1,Points!$H$7+(1-Points!$H$7)*((($F138-$E138)*(($F138-$E138)+1)/2)^2-((($F138-$E138-COUNTIFS($A$5:$A$1668,$A138,$C$5:$C$1668,$C138)+1)-1)*($F138-$E138-COUNTIFS($A$5:$A$1668,$A138,$C$5:$C$1668,$C138)+1)/2)^2)/(COUNTIFS($A$5:$A$1668,$A138,$C$5:$C$1668,$C138)*($F138-1)^3))*IF($F138&lt;Points!$H$4,Points!$H$5,1),0)))</f>
        <v/>
      </c>
      <c r="H138" s="11">
        <f>IF($G138="","",COUNTIFS($B$5:$B$1668,$B138,$G$5:$G$1668,"&gt;"&amp;$G138)+COUNTIFS($B$4:$B137,$B138,$G$4:$G137,$G138)+1)</f>
        <v/>
      </c>
      <c r="I138" s="11">
        <f>IF($G138="","",IF($H138&lt;=Points!$H$6,$G138,0))</f>
        <v/>
      </c>
      <c r="J138" s="11">
        <f>IF($B138="","",IF(COUNTIF(Players!$A$2:$A$500,$B138)=0,"Player is not on the Players tab",IF(NOT(ISNUMBER($C138)),"Enter a gross score",IF(COUNTIFS($A$5:$A$1668,$A138,$B$5:$B$1668,$B138)&gt;1,"Player is listed twice this week",IF(AND($D138&lt;&gt;"",COUNTIFS($A$5:$A$1668,$A138,$D$5:$D$1668,$D138)&gt;1),"Two players picked as "&amp;$D138,IF(COUNTIFS($A$5:$A$1668,$A138,$D$5:$D$1668,"Gross winner")=0,"Pick this week's gross winner",IF(COUNTIFS($A$5:$A$1668,$A138,$D$5:$D$1668,"Net winner")=0,"Pick this week's net winner","OK")))))))</f>
        <v/>
      </c>
    </row>
    <row r="139" outlineLevel="1">
      <c r="A139" s="13" t="n">
        <v>46421</v>
      </c>
      <c r="E139" s="11">
        <f>IF(OR($B139="",NOT(ISNUMBER($C139))),"",COUNTIFS($A$5:$A$1668,$A139,$C$5:$C$1668,"&lt;"&amp;$C139)+1)</f>
        <v/>
      </c>
      <c r="F139" s="11">
        <f>IF(OR($B139="",NOT(ISNUMBER($C139))),"",COUNTIFS($A$5:$A$1668,$A139,$C$5:$C$1668,"&gt;0"))</f>
        <v/>
      </c>
      <c r="G139" s="11">
        <f>IF(OR($B139="",NOT(ISNUMBER($C139))),"",IF($D139&lt;&gt;"",ROUND(Points!$B$6*IF($F139&lt;Points!$H$4,Points!$H$5,1),0),ROUND(Points!$B$6*IF($F139&lt;=1,1,Points!$H$7+(1-Points!$H$7)*((($F139-$E139)*(($F139-$E139)+1)/2)^2-((($F139-$E139-COUNTIFS($A$5:$A$1668,$A139,$C$5:$C$1668,$C139)+1)-1)*($F139-$E139-COUNTIFS($A$5:$A$1668,$A139,$C$5:$C$1668,$C139)+1)/2)^2)/(COUNTIFS($A$5:$A$1668,$A139,$C$5:$C$1668,$C139)*($F139-1)^3))*IF($F139&lt;Points!$H$4,Points!$H$5,1),0)))</f>
        <v/>
      </c>
      <c r="H139" s="11">
        <f>IF($G139="","",COUNTIFS($B$5:$B$1668,$B139,$G$5:$G$1668,"&gt;"&amp;$G139)+COUNTIFS($B$4:$B138,$B139,$G$4:$G138,$G139)+1)</f>
        <v/>
      </c>
      <c r="I139" s="11">
        <f>IF($G139="","",IF($H139&lt;=Points!$H$6,$G139,0))</f>
        <v/>
      </c>
      <c r="J139" s="11">
        <f>IF($B139="","",IF(COUNTIF(Players!$A$2:$A$500,$B139)=0,"Player is not on the Players tab",IF(NOT(ISNUMBER($C139)),"Enter a gross score",IF(COUNTIFS($A$5:$A$1668,$A139,$B$5:$B$1668,$B139)&gt;1,"Player is listed twice this week",IF(AND($D139&lt;&gt;"",COUNTIFS($A$5:$A$1668,$A139,$D$5:$D$1668,$D139)&gt;1),"Two players picked as "&amp;$D139,IF(COUNTIFS($A$5:$A$1668,$A139,$D$5:$D$1668,"Gross winner")=0,"Pick this week's gross winner",IF(COUNTIFS($A$5:$A$1668,$A139,$D$5:$D$1668,"Net winner")=0,"Pick this week's net winner","OK")))))))</f>
        <v/>
      </c>
    </row>
    <row r="140" outlineLevel="1">
      <c r="A140" s="13" t="n">
        <v>46421</v>
      </c>
      <c r="E140" s="11">
        <f>IF(OR($B140="",NOT(ISNUMBER($C140))),"",COUNTIFS($A$5:$A$1668,$A140,$C$5:$C$1668,"&lt;"&amp;$C140)+1)</f>
        <v/>
      </c>
      <c r="F140" s="11">
        <f>IF(OR($B140="",NOT(ISNUMBER($C140))),"",COUNTIFS($A$5:$A$1668,$A140,$C$5:$C$1668,"&gt;0"))</f>
        <v/>
      </c>
      <c r="G140" s="11">
        <f>IF(OR($B140="",NOT(ISNUMBER($C140))),"",IF($D140&lt;&gt;"",ROUND(Points!$B$6*IF($F140&lt;Points!$H$4,Points!$H$5,1),0),ROUND(Points!$B$6*IF($F140&lt;=1,1,Points!$H$7+(1-Points!$H$7)*((($F140-$E140)*(($F140-$E140)+1)/2)^2-((($F140-$E140-COUNTIFS($A$5:$A$1668,$A140,$C$5:$C$1668,$C140)+1)-1)*($F140-$E140-COUNTIFS($A$5:$A$1668,$A140,$C$5:$C$1668,$C140)+1)/2)^2)/(COUNTIFS($A$5:$A$1668,$A140,$C$5:$C$1668,$C140)*($F140-1)^3))*IF($F140&lt;Points!$H$4,Points!$H$5,1),0)))</f>
        <v/>
      </c>
      <c r="H140" s="11">
        <f>IF($G140="","",COUNTIFS($B$5:$B$1668,$B140,$G$5:$G$1668,"&gt;"&amp;$G140)+COUNTIFS($B$4:$B139,$B140,$G$4:$G139,$G140)+1)</f>
        <v/>
      </c>
      <c r="I140" s="11">
        <f>IF($G140="","",IF($H140&lt;=Points!$H$6,$G140,0))</f>
        <v/>
      </c>
      <c r="J140" s="11">
        <f>IF($B140="","",IF(COUNTIF(Players!$A$2:$A$500,$B140)=0,"Player is not on the Players tab",IF(NOT(ISNUMBER($C140)),"Enter a gross score",IF(COUNTIFS($A$5:$A$1668,$A140,$B$5:$B$1668,$B140)&gt;1,"Player is listed twice this week",IF(AND($D140&lt;&gt;"",COUNTIFS($A$5:$A$1668,$A140,$D$5:$D$1668,$D140)&gt;1),"Two players picked as "&amp;$D140,IF(COUNTIFS($A$5:$A$1668,$A140,$D$5:$D$1668,"Gross winner")=0,"Pick this week's gross winner",IF(COUNTIFS($A$5:$A$1668,$A140,$D$5:$D$1668,"Net winner")=0,"Pick this week's net winner","OK")))))))</f>
        <v/>
      </c>
    </row>
    <row r="141" outlineLevel="1">
      <c r="A141" s="13" t="n">
        <v>46421</v>
      </c>
      <c r="E141" s="11">
        <f>IF(OR($B141="",NOT(ISNUMBER($C141))),"",COUNTIFS($A$5:$A$1668,$A141,$C$5:$C$1668,"&lt;"&amp;$C141)+1)</f>
        <v/>
      </c>
      <c r="F141" s="11">
        <f>IF(OR($B141="",NOT(ISNUMBER($C141))),"",COUNTIFS($A$5:$A$1668,$A141,$C$5:$C$1668,"&gt;0"))</f>
        <v/>
      </c>
      <c r="G141" s="11">
        <f>IF(OR($B141="",NOT(ISNUMBER($C141))),"",IF($D141&lt;&gt;"",ROUND(Points!$B$6*IF($F141&lt;Points!$H$4,Points!$H$5,1),0),ROUND(Points!$B$6*IF($F141&lt;=1,1,Points!$H$7+(1-Points!$H$7)*((($F141-$E141)*(($F141-$E141)+1)/2)^2-((($F141-$E141-COUNTIFS($A$5:$A$1668,$A141,$C$5:$C$1668,$C141)+1)-1)*($F141-$E141-COUNTIFS($A$5:$A$1668,$A141,$C$5:$C$1668,$C141)+1)/2)^2)/(COUNTIFS($A$5:$A$1668,$A141,$C$5:$C$1668,$C141)*($F141-1)^3))*IF($F141&lt;Points!$H$4,Points!$H$5,1),0)))</f>
        <v/>
      </c>
      <c r="H141" s="11">
        <f>IF($G141="","",COUNTIFS($B$5:$B$1668,$B141,$G$5:$G$1668,"&gt;"&amp;$G141)+COUNTIFS($B$4:$B140,$B141,$G$4:$G140,$G141)+1)</f>
        <v/>
      </c>
      <c r="I141" s="11">
        <f>IF($G141="","",IF($H141&lt;=Points!$H$6,$G141,0))</f>
        <v/>
      </c>
      <c r="J141" s="11">
        <f>IF($B141="","",IF(COUNTIF(Players!$A$2:$A$500,$B141)=0,"Player is not on the Players tab",IF(NOT(ISNUMBER($C141)),"Enter a gross score",IF(COUNTIFS($A$5:$A$1668,$A141,$B$5:$B$1668,$B141)&gt;1,"Player is listed twice this week",IF(AND($D141&lt;&gt;"",COUNTIFS($A$5:$A$1668,$A141,$D$5:$D$1668,$D141)&gt;1),"Two players picked as "&amp;$D141,IF(COUNTIFS($A$5:$A$1668,$A141,$D$5:$D$1668,"Gross winner")=0,"Pick this week's gross winner",IF(COUNTIFS($A$5:$A$1668,$A141,$D$5:$D$1668,"Net winner")=0,"Pick this week's net winner","OK")))))))</f>
        <v/>
      </c>
    </row>
    <row r="142" outlineLevel="1">
      <c r="A142" s="13" t="n">
        <v>46421</v>
      </c>
      <c r="E142" s="11">
        <f>IF(OR($B142="",NOT(ISNUMBER($C142))),"",COUNTIFS($A$5:$A$1668,$A142,$C$5:$C$1668,"&lt;"&amp;$C142)+1)</f>
        <v/>
      </c>
      <c r="F142" s="11">
        <f>IF(OR($B142="",NOT(ISNUMBER($C142))),"",COUNTIFS($A$5:$A$1668,$A142,$C$5:$C$1668,"&gt;0"))</f>
        <v/>
      </c>
      <c r="G142" s="11">
        <f>IF(OR($B142="",NOT(ISNUMBER($C142))),"",IF($D142&lt;&gt;"",ROUND(Points!$B$6*IF($F142&lt;Points!$H$4,Points!$H$5,1),0),ROUND(Points!$B$6*IF($F142&lt;=1,1,Points!$H$7+(1-Points!$H$7)*((($F142-$E142)*(($F142-$E142)+1)/2)^2-((($F142-$E142-COUNTIFS($A$5:$A$1668,$A142,$C$5:$C$1668,$C142)+1)-1)*($F142-$E142-COUNTIFS($A$5:$A$1668,$A142,$C$5:$C$1668,$C142)+1)/2)^2)/(COUNTIFS($A$5:$A$1668,$A142,$C$5:$C$1668,$C142)*($F142-1)^3))*IF($F142&lt;Points!$H$4,Points!$H$5,1),0)))</f>
        <v/>
      </c>
      <c r="H142" s="11">
        <f>IF($G142="","",COUNTIFS($B$5:$B$1668,$B142,$G$5:$G$1668,"&gt;"&amp;$G142)+COUNTIFS($B$4:$B141,$B142,$G$4:$G141,$G142)+1)</f>
        <v/>
      </c>
      <c r="I142" s="11">
        <f>IF($G142="","",IF($H142&lt;=Points!$H$6,$G142,0))</f>
        <v/>
      </c>
      <c r="J142" s="11">
        <f>IF($B142="","",IF(COUNTIF(Players!$A$2:$A$500,$B142)=0,"Player is not on the Players tab",IF(NOT(ISNUMBER($C142)),"Enter a gross score",IF(COUNTIFS($A$5:$A$1668,$A142,$B$5:$B$1668,$B142)&gt;1,"Player is listed twice this week",IF(AND($D142&lt;&gt;"",COUNTIFS($A$5:$A$1668,$A142,$D$5:$D$1668,$D142)&gt;1),"Two players picked as "&amp;$D142,IF(COUNTIFS($A$5:$A$1668,$A142,$D$5:$D$1668,"Gross winner")=0,"Pick this week's gross winner",IF(COUNTIFS($A$5:$A$1668,$A142,$D$5:$D$1668,"Net winner")=0,"Pick this week's net winner","OK")))))))</f>
        <v/>
      </c>
    </row>
    <row r="143" outlineLevel="1">
      <c r="A143" s="13" t="n">
        <v>46421</v>
      </c>
      <c r="E143" s="11">
        <f>IF(OR($B143="",NOT(ISNUMBER($C143))),"",COUNTIFS($A$5:$A$1668,$A143,$C$5:$C$1668,"&lt;"&amp;$C143)+1)</f>
        <v/>
      </c>
      <c r="F143" s="11">
        <f>IF(OR($B143="",NOT(ISNUMBER($C143))),"",COUNTIFS($A$5:$A$1668,$A143,$C$5:$C$1668,"&gt;0"))</f>
        <v/>
      </c>
      <c r="G143" s="11">
        <f>IF(OR($B143="",NOT(ISNUMBER($C143))),"",IF($D143&lt;&gt;"",ROUND(Points!$B$6*IF($F143&lt;Points!$H$4,Points!$H$5,1),0),ROUND(Points!$B$6*IF($F143&lt;=1,1,Points!$H$7+(1-Points!$H$7)*((($F143-$E143)*(($F143-$E143)+1)/2)^2-((($F143-$E143-COUNTIFS($A$5:$A$1668,$A143,$C$5:$C$1668,$C143)+1)-1)*($F143-$E143-COUNTIFS($A$5:$A$1668,$A143,$C$5:$C$1668,$C143)+1)/2)^2)/(COUNTIFS($A$5:$A$1668,$A143,$C$5:$C$1668,$C143)*($F143-1)^3))*IF($F143&lt;Points!$H$4,Points!$H$5,1),0)))</f>
        <v/>
      </c>
      <c r="H143" s="11">
        <f>IF($G143="","",COUNTIFS($B$5:$B$1668,$B143,$G$5:$G$1668,"&gt;"&amp;$G143)+COUNTIFS($B$4:$B142,$B143,$G$4:$G142,$G143)+1)</f>
        <v/>
      </c>
      <c r="I143" s="11">
        <f>IF($G143="","",IF($H143&lt;=Points!$H$6,$G143,0))</f>
        <v/>
      </c>
      <c r="J143" s="11">
        <f>IF($B143="","",IF(COUNTIF(Players!$A$2:$A$500,$B143)=0,"Player is not on the Players tab",IF(NOT(ISNUMBER($C143)),"Enter a gross score",IF(COUNTIFS($A$5:$A$1668,$A143,$B$5:$B$1668,$B143)&gt;1,"Player is listed twice this week",IF(AND($D143&lt;&gt;"",COUNTIFS($A$5:$A$1668,$A143,$D$5:$D$1668,$D143)&gt;1),"Two players picked as "&amp;$D143,IF(COUNTIFS($A$5:$A$1668,$A143,$D$5:$D$1668,"Gross winner")=0,"Pick this week's gross winner",IF(COUNTIFS($A$5:$A$1668,$A143,$D$5:$D$1668,"Net winner")=0,"Pick this week's net winner","OK")))))))</f>
        <v/>
      </c>
    </row>
    <row r="144" outlineLevel="1">
      <c r="A144" s="13" t="n">
        <v>46421</v>
      </c>
      <c r="E144" s="11">
        <f>IF(OR($B144="",NOT(ISNUMBER($C144))),"",COUNTIFS($A$5:$A$1668,$A144,$C$5:$C$1668,"&lt;"&amp;$C144)+1)</f>
        <v/>
      </c>
      <c r="F144" s="11">
        <f>IF(OR($B144="",NOT(ISNUMBER($C144))),"",COUNTIFS($A$5:$A$1668,$A144,$C$5:$C$1668,"&gt;0"))</f>
        <v/>
      </c>
      <c r="G144" s="11">
        <f>IF(OR($B144="",NOT(ISNUMBER($C144))),"",IF($D144&lt;&gt;"",ROUND(Points!$B$6*IF($F144&lt;Points!$H$4,Points!$H$5,1),0),ROUND(Points!$B$6*IF($F144&lt;=1,1,Points!$H$7+(1-Points!$H$7)*((($F144-$E144)*(($F144-$E144)+1)/2)^2-((($F144-$E144-COUNTIFS($A$5:$A$1668,$A144,$C$5:$C$1668,$C144)+1)-1)*($F144-$E144-COUNTIFS($A$5:$A$1668,$A144,$C$5:$C$1668,$C144)+1)/2)^2)/(COUNTIFS($A$5:$A$1668,$A144,$C$5:$C$1668,$C144)*($F144-1)^3))*IF($F144&lt;Points!$H$4,Points!$H$5,1),0)))</f>
        <v/>
      </c>
      <c r="H144" s="11">
        <f>IF($G144="","",COUNTIFS($B$5:$B$1668,$B144,$G$5:$G$1668,"&gt;"&amp;$G144)+COUNTIFS($B$4:$B143,$B144,$G$4:$G143,$G144)+1)</f>
        <v/>
      </c>
      <c r="I144" s="11">
        <f>IF($G144="","",IF($H144&lt;=Points!$H$6,$G144,0))</f>
        <v/>
      </c>
      <c r="J144" s="11">
        <f>IF($B144="","",IF(COUNTIF(Players!$A$2:$A$500,$B144)=0,"Player is not on the Players tab",IF(NOT(ISNUMBER($C144)),"Enter a gross score",IF(COUNTIFS($A$5:$A$1668,$A144,$B$5:$B$1668,$B144)&gt;1,"Player is listed twice this week",IF(AND($D144&lt;&gt;"",COUNTIFS($A$5:$A$1668,$A144,$D$5:$D$1668,$D144)&gt;1),"Two players picked as "&amp;$D144,IF(COUNTIFS($A$5:$A$1668,$A144,$D$5:$D$1668,"Gross winner")=0,"Pick this week's gross winner",IF(COUNTIFS($A$5:$A$1668,$A144,$D$5:$D$1668,"Net winner")=0,"Pick this week's net winner","OK")))))))</f>
        <v/>
      </c>
    </row>
    <row r="145" outlineLevel="1">
      <c r="A145" s="13" t="n">
        <v>46421</v>
      </c>
      <c r="E145" s="11">
        <f>IF(OR($B145="",NOT(ISNUMBER($C145))),"",COUNTIFS($A$5:$A$1668,$A145,$C$5:$C$1668,"&lt;"&amp;$C145)+1)</f>
        <v/>
      </c>
      <c r="F145" s="11">
        <f>IF(OR($B145="",NOT(ISNUMBER($C145))),"",COUNTIFS($A$5:$A$1668,$A145,$C$5:$C$1668,"&gt;0"))</f>
        <v/>
      </c>
      <c r="G145" s="11">
        <f>IF(OR($B145="",NOT(ISNUMBER($C145))),"",IF($D145&lt;&gt;"",ROUND(Points!$B$6*IF($F145&lt;Points!$H$4,Points!$H$5,1),0),ROUND(Points!$B$6*IF($F145&lt;=1,1,Points!$H$7+(1-Points!$H$7)*((($F145-$E145)*(($F145-$E145)+1)/2)^2-((($F145-$E145-COUNTIFS($A$5:$A$1668,$A145,$C$5:$C$1668,$C145)+1)-1)*($F145-$E145-COUNTIFS($A$5:$A$1668,$A145,$C$5:$C$1668,$C145)+1)/2)^2)/(COUNTIFS($A$5:$A$1668,$A145,$C$5:$C$1668,$C145)*($F145-1)^3))*IF($F145&lt;Points!$H$4,Points!$H$5,1),0)))</f>
        <v/>
      </c>
      <c r="H145" s="11">
        <f>IF($G145="","",COUNTIFS($B$5:$B$1668,$B145,$G$5:$G$1668,"&gt;"&amp;$G145)+COUNTIFS($B$4:$B144,$B145,$G$4:$G144,$G145)+1)</f>
        <v/>
      </c>
      <c r="I145" s="11">
        <f>IF($G145="","",IF($H145&lt;=Points!$H$6,$G145,0))</f>
        <v/>
      </c>
      <c r="J145" s="11">
        <f>IF($B145="","",IF(COUNTIF(Players!$A$2:$A$500,$B145)=0,"Player is not on the Players tab",IF(NOT(ISNUMBER($C145)),"Enter a gross score",IF(COUNTIFS($A$5:$A$1668,$A145,$B$5:$B$1668,$B145)&gt;1,"Player is listed twice this week",IF(AND($D145&lt;&gt;"",COUNTIFS($A$5:$A$1668,$A145,$D$5:$D$1668,$D145)&gt;1),"Two players picked as "&amp;$D145,IF(COUNTIFS($A$5:$A$1668,$A145,$D$5:$D$1668,"Gross winner")=0,"Pick this week's gross winner",IF(COUNTIFS($A$5:$A$1668,$A145,$D$5:$D$1668,"Net winner")=0,"Pick this week's net winner","OK")))))))</f>
        <v/>
      </c>
    </row>
    <row r="146" outlineLevel="1">
      <c r="A146" s="13" t="n">
        <v>46421</v>
      </c>
      <c r="E146" s="11">
        <f>IF(OR($B146="",NOT(ISNUMBER($C146))),"",COUNTIFS($A$5:$A$1668,$A146,$C$5:$C$1668,"&lt;"&amp;$C146)+1)</f>
        <v/>
      </c>
      <c r="F146" s="11">
        <f>IF(OR($B146="",NOT(ISNUMBER($C146))),"",COUNTIFS($A$5:$A$1668,$A146,$C$5:$C$1668,"&gt;0"))</f>
        <v/>
      </c>
      <c r="G146" s="11">
        <f>IF(OR($B146="",NOT(ISNUMBER($C146))),"",IF($D146&lt;&gt;"",ROUND(Points!$B$6*IF($F146&lt;Points!$H$4,Points!$H$5,1),0),ROUND(Points!$B$6*IF($F146&lt;=1,1,Points!$H$7+(1-Points!$H$7)*((($F146-$E146)*(($F146-$E146)+1)/2)^2-((($F146-$E146-COUNTIFS($A$5:$A$1668,$A146,$C$5:$C$1668,$C146)+1)-1)*($F146-$E146-COUNTIFS($A$5:$A$1668,$A146,$C$5:$C$1668,$C146)+1)/2)^2)/(COUNTIFS($A$5:$A$1668,$A146,$C$5:$C$1668,$C146)*($F146-1)^3))*IF($F146&lt;Points!$H$4,Points!$H$5,1),0)))</f>
        <v/>
      </c>
      <c r="H146" s="11">
        <f>IF($G146="","",COUNTIFS($B$5:$B$1668,$B146,$G$5:$G$1668,"&gt;"&amp;$G146)+COUNTIFS($B$4:$B145,$B146,$G$4:$G145,$G146)+1)</f>
        <v/>
      </c>
      <c r="I146" s="11">
        <f>IF($G146="","",IF($H146&lt;=Points!$H$6,$G146,0))</f>
        <v/>
      </c>
      <c r="J146" s="11">
        <f>IF($B146="","",IF(COUNTIF(Players!$A$2:$A$500,$B146)=0,"Player is not on the Players tab",IF(NOT(ISNUMBER($C146)),"Enter a gross score",IF(COUNTIFS($A$5:$A$1668,$A146,$B$5:$B$1668,$B146)&gt;1,"Player is listed twice this week",IF(AND($D146&lt;&gt;"",COUNTIFS($A$5:$A$1668,$A146,$D$5:$D$1668,$D146)&gt;1),"Two players picked as "&amp;$D146,IF(COUNTIFS($A$5:$A$1668,$A146,$D$5:$D$1668,"Gross winner")=0,"Pick this week's gross winner",IF(COUNTIFS($A$5:$A$1668,$A146,$D$5:$D$1668,"Net winner")=0,"Pick this week's net winner","OK")))))))</f>
        <v/>
      </c>
    </row>
    <row r="147" outlineLevel="1">
      <c r="A147" s="13" t="n">
        <v>46421</v>
      </c>
      <c r="E147" s="11">
        <f>IF(OR($B147="",NOT(ISNUMBER($C147))),"",COUNTIFS($A$5:$A$1668,$A147,$C$5:$C$1668,"&lt;"&amp;$C147)+1)</f>
        <v/>
      </c>
      <c r="F147" s="11">
        <f>IF(OR($B147="",NOT(ISNUMBER($C147))),"",COUNTIFS($A$5:$A$1668,$A147,$C$5:$C$1668,"&gt;0"))</f>
        <v/>
      </c>
      <c r="G147" s="11">
        <f>IF(OR($B147="",NOT(ISNUMBER($C147))),"",IF($D147&lt;&gt;"",ROUND(Points!$B$6*IF($F147&lt;Points!$H$4,Points!$H$5,1),0),ROUND(Points!$B$6*IF($F147&lt;=1,1,Points!$H$7+(1-Points!$H$7)*((($F147-$E147)*(($F147-$E147)+1)/2)^2-((($F147-$E147-COUNTIFS($A$5:$A$1668,$A147,$C$5:$C$1668,$C147)+1)-1)*($F147-$E147-COUNTIFS($A$5:$A$1668,$A147,$C$5:$C$1668,$C147)+1)/2)^2)/(COUNTIFS($A$5:$A$1668,$A147,$C$5:$C$1668,$C147)*($F147-1)^3))*IF($F147&lt;Points!$H$4,Points!$H$5,1),0)))</f>
        <v/>
      </c>
      <c r="H147" s="11">
        <f>IF($G147="","",COUNTIFS($B$5:$B$1668,$B147,$G$5:$G$1668,"&gt;"&amp;$G147)+COUNTIFS($B$4:$B146,$B147,$G$4:$G146,$G147)+1)</f>
        <v/>
      </c>
      <c r="I147" s="11">
        <f>IF($G147="","",IF($H147&lt;=Points!$H$6,$G147,0))</f>
        <v/>
      </c>
      <c r="J147" s="11">
        <f>IF($B147="","",IF(COUNTIF(Players!$A$2:$A$500,$B147)=0,"Player is not on the Players tab",IF(NOT(ISNUMBER($C147)),"Enter a gross score",IF(COUNTIFS($A$5:$A$1668,$A147,$B$5:$B$1668,$B147)&gt;1,"Player is listed twice this week",IF(AND($D147&lt;&gt;"",COUNTIFS($A$5:$A$1668,$A147,$D$5:$D$1668,$D147)&gt;1),"Two players picked as "&amp;$D147,IF(COUNTIFS($A$5:$A$1668,$A147,$D$5:$D$1668,"Gross winner")=0,"Pick this week's gross winner",IF(COUNTIFS($A$5:$A$1668,$A147,$D$5:$D$1668,"Net winner")=0,"Pick this week's net winner","OK")))))))</f>
        <v/>
      </c>
    </row>
    <row r="148" outlineLevel="1">
      <c r="A148" s="13" t="n">
        <v>46421</v>
      </c>
      <c r="E148" s="11">
        <f>IF(OR($B148="",NOT(ISNUMBER($C148))),"",COUNTIFS($A$5:$A$1668,$A148,$C$5:$C$1668,"&lt;"&amp;$C148)+1)</f>
        <v/>
      </c>
      <c r="F148" s="11">
        <f>IF(OR($B148="",NOT(ISNUMBER($C148))),"",COUNTIFS($A$5:$A$1668,$A148,$C$5:$C$1668,"&gt;0"))</f>
        <v/>
      </c>
      <c r="G148" s="11">
        <f>IF(OR($B148="",NOT(ISNUMBER($C148))),"",IF($D148&lt;&gt;"",ROUND(Points!$B$6*IF($F148&lt;Points!$H$4,Points!$H$5,1),0),ROUND(Points!$B$6*IF($F148&lt;=1,1,Points!$H$7+(1-Points!$H$7)*((($F148-$E148)*(($F148-$E148)+1)/2)^2-((($F148-$E148-COUNTIFS($A$5:$A$1668,$A148,$C$5:$C$1668,$C148)+1)-1)*($F148-$E148-COUNTIFS($A$5:$A$1668,$A148,$C$5:$C$1668,$C148)+1)/2)^2)/(COUNTIFS($A$5:$A$1668,$A148,$C$5:$C$1668,$C148)*($F148-1)^3))*IF($F148&lt;Points!$H$4,Points!$H$5,1),0)))</f>
        <v/>
      </c>
      <c r="H148" s="11">
        <f>IF($G148="","",COUNTIFS($B$5:$B$1668,$B148,$G$5:$G$1668,"&gt;"&amp;$G148)+COUNTIFS($B$4:$B147,$B148,$G$4:$G147,$G148)+1)</f>
        <v/>
      </c>
      <c r="I148" s="11">
        <f>IF($G148="","",IF($H148&lt;=Points!$H$6,$G148,0))</f>
        <v/>
      </c>
      <c r="J148" s="11">
        <f>IF($B148="","",IF(COUNTIF(Players!$A$2:$A$500,$B148)=0,"Player is not on the Players tab",IF(NOT(ISNUMBER($C148)),"Enter a gross score",IF(COUNTIFS($A$5:$A$1668,$A148,$B$5:$B$1668,$B148)&gt;1,"Player is listed twice this week",IF(AND($D148&lt;&gt;"",COUNTIFS($A$5:$A$1668,$A148,$D$5:$D$1668,$D148)&gt;1),"Two players picked as "&amp;$D148,IF(COUNTIFS($A$5:$A$1668,$A148,$D$5:$D$1668,"Gross winner")=0,"Pick this week's gross winner",IF(COUNTIFS($A$5:$A$1668,$A148,$D$5:$D$1668,"Net winner")=0,"Pick this week's net winner","OK")))))))</f>
        <v/>
      </c>
    </row>
    <row r="149" outlineLevel="1">
      <c r="A149" s="13" t="n">
        <v>46421</v>
      </c>
      <c r="E149" s="11">
        <f>IF(OR($B149="",NOT(ISNUMBER($C149))),"",COUNTIFS($A$5:$A$1668,$A149,$C$5:$C$1668,"&lt;"&amp;$C149)+1)</f>
        <v/>
      </c>
      <c r="F149" s="11">
        <f>IF(OR($B149="",NOT(ISNUMBER($C149))),"",COUNTIFS($A$5:$A$1668,$A149,$C$5:$C$1668,"&gt;0"))</f>
        <v/>
      </c>
      <c r="G149" s="11">
        <f>IF(OR($B149="",NOT(ISNUMBER($C149))),"",IF($D149&lt;&gt;"",ROUND(Points!$B$6*IF($F149&lt;Points!$H$4,Points!$H$5,1),0),ROUND(Points!$B$6*IF($F149&lt;=1,1,Points!$H$7+(1-Points!$H$7)*((($F149-$E149)*(($F149-$E149)+1)/2)^2-((($F149-$E149-COUNTIFS($A$5:$A$1668,$A149,$C$5:$C$1668,$C149)+1)-1)*($F149-$E149-COUNTIFS($A$5:$A$1668,$A149,$C$5:$C$1668,$C149)+1)/2)^2)/(COUNTIFS($A$5:$A$1668,$A149,$C$5:$C$1668,$C149)*($F149-1)^3))*IF($F149&lt;Points!$H$4,Points!$H$5,1),0)))</f>
        <v/>
      </c>
      <c r="H149" s="11">
        <f>IF($G149="","",COUNTIFS($B$5:$B$1668,$B149,$G$5:$G$1668,"&gt;"&amp;$G149)+COUNTIFS($B$4:$B148,$B149,$G$4:$G148,$G149)+1)</f>
        <v/>
      </c>
      <c r="I149" s="11">
        <f>IF($G149="","",IF($H149&lt;=Points!$H$6,$G149,0))</f>
        <v/>
      </c>
      <c r="J149" s="11">
        <f>IF($B149="","",IF(COUNTIF(Players!$A$2:$A$500,$B149)=0,"Player is not on the Players tab",IF(NOT(ISNUMBER($C149)),"Enter a gross score",IF(COUNTIFS($A$5:$A$1668,$A149,$B$5:$B$1668,$B149)&gt;1,"Player is listed twice this week",IF(AND($D149&lt;&gt;"",COUNTIFS($A$5:$A$1668,$A149,$D$5:$D$1668,$D149)&gt;1),"Two players picked as "&amp;$D149,IF(COUNTIFS($A$5:$A$1668,$A149,$D$5:$D$1668,"Gross winner")=0,"Pick this week's gross winner",IF(COUNTIFS($A$5:$A$1668,$A149,$D$5:$D$1668,"Net winner")=0,"Pick this week's net winner","OK")))))))</f>
        <v/>
      </c>
    </row>
    <row r="150" outlineLevel="1">
      <c r="A150" s="13" t="n">
        <v>46421</v>
      </c>
      <c r="E150" s="11">
        <f>IF(OR($B150="",NOT(ISNUMBER($C150))),"",COUNTIFS($A$5:$A$1668,$A150,$C$5:$C$1668,"&lt;"&amp;$C150)+1)</f>
        <v/>
      </c>
      <c r="F150" s="11">
        <f>IF(OR($B150="",NOT(ISNUMBER($C150))),"",COUNTIFS($A$5:$A$1668,$A150,$C$5:$C$1668,"&gt;0"))</f>
        <v/>
      </c>
      <c r="G150" s="11">
        <f>IF(OR($B150="",NOT(ISNUMBER($C150))),"",IF($D150&lt;&gt;"",ROUND(Points!$B$6*IF($F150&lt;Points!$H$4,Points!$H$5,1),0),ROUND(Points!$B$6*IF($F150&lt;=1,1,Points!$H$7+(1-Points!$H$7)*((($F150-$E150)*(($F150-$E150)+1)/2)^2-((($F150-$E150-COUNTIFS($A$5:$A$1668,$A150,$C$5:$C$1668,$C150)+1)-1)*($F150-$E150-COUNTIFS($A$5:$A$1668,$A150,$C$5:$C$1668,$C150)+1)/2)^2)/(COUNTIFS($A$5:$A$1668,$A150,$C$5:$C$1668,$C150)*($F150-1)^3))*IF($F150&lt;Points!$H$4,Points!$H$5,1),0)))</f>
        <v/>
      </c>
      <c r="H150" s="11">
        <f>IF($G150="","",COUNTIFS($B$5:$B$1668,$B150,$G$5:$G$1668,"&gt;"&amp;$G150)+COUNTIFS($B$4:$B149,$B150,$G$4:$G149,$G150)+1)</f>
        <v/>
      </c>
      <c r="I150" s="11">
        <f>IF($G150="","",IF($H150&lt;=Points!$H$6,$G150,0))</f>
        <v/>
      </c>
      <c r="J150" s="11">
        <f>IF($B150="","",IF(COUNTIF(Players!$A$2:$A$500,$B150)=0,"Player is not on the Players tab",IF(NOT(ISNUMBER($C150)),"Enter a gross score",IF(COUNTIFS($A$5:$A$1668,$A150,$B$5:$B$1668,$B150)&gt;1,"Player is listed twice this week",IF(AND($D150&lt;&gt;"",COUNTIFS($A$5:$A$1668,$A150,$D$5:$D$1668,$D150)&gt;1),"Two players picked as "&amp;$D150,IF(COUNTIFS($A$5:$A$1668,$A150,$D$5:$D$1668,"Gross winner")=0,"Pick this week's gross winner",IF(COUNTIFS($A$5:$A$1668,$A150,$D$5:$D$1668,"Net winner")=0,"Pick this week's net winner","OK")))))))</f>
        <v/>
      </c>
    </row>
    <row r="151" outlineLevel="1">
      <c r="A151" s="13" t="n">
        <v>46421</v>
      </c>
      <c r="E151" s="11">
        <f>IF(OR($B151="",NOT(ISNUMBER($C151))),"",COUNTIFS($A$5:$A$1668,$A151,$C$5:$C$1668,"&lt;"&amp;$C151)+1)</f>
        <v/>
      </c>
      <c r="F151" s="11">
        <f>IF(OR($B151="",NOT(ISNUMBER($C151))),"",COUNTIFS($A$5:$A$1668,$A151,$C$5:$C$1668,"&gt;0"))</f>
        <v/>
      </c>
      <c r="G151" s="11">
        <f>IF(OR($B151="",NOT(ISNUMBER($C151))),"",IF($D151&lt;&gt;"",ROUND(Points!$B$6*IF($F151&lt;Points!$H$4,Points!$H$5,1),0),ROUND(Points!$B$6*IF($F151&lt;=1,1,Points!$H$7+(1-Points!$H$7)*((($F151-$E151)*(($F151-$E151)+1)/2)^2-((($F151-$E151-COUNTIFS($A$5:$A$1668,$A151,$C$5:$C$1668,$C151)+1)-1)*($F151-$E151-COUNTIFS($A$5:$A$1668,$A151,$C$5:$C$1668,$C151)+1)/2)^2)/(COUNTIFS($A$5:$A$1668,$A151,$C$5:$C$1668,$C151)*($F151-1)^3))*IF($F151&lt;Points!$H$4,Points!$H$5,1),0)))</f>
        <v/>
      </c>
      <c r="H151" s="11">
        <f>IF($G151="","",COUNTIFS($B$5:$B$1668,$B151,$G$5:$G$1668,"&gt;"&amp;$G151)+COUNTIFS($B$4:$B150,$B151,$G$4:$G150,$G151)+1)</f>
        <v/>
      </c>
      <c r="I151" s="11">
        <f>IF($G151="","",IF($H151&lt;=Points!$H$6,$G151,0))</f>
        <v/>
      </c>
      <c r="J151" s="11">
        <f>IF($B151="","",IF(COUNTIF(Players!$A$2:$A$500,$B151)=0,"Player is not on the Players tab",IF(NOT(ISNUMBER($C151)),"Enter a gross score",IF(COUNTIFS($A$5:$A$1668,$A151,$B$5:$B$1668,$B151)&gt;1,"Player is listed twice this week",IF(AND($D151&lt;&gt;"",COUNTIFS($A$5:$A$1668,$A151,$D$5:$D$1668,$D151)&gt;1),"Two players picked as "&amp;$D151,IF(COUNTIFS($A$5:$A$1668,$A151,$D$5:$D$1668,"Gross winner")=0,"Pick this week's gross winner",IF(COUNTIFS($A$5:$A$1668,$A151,$D$5:$D$1668,"Net winner")=0,"Pick this week's net winner","OK")))))))</f>
        <v/>
      </c>
    </row>
    <row r="152" outlineLevel="1">
      <c r="A152" s="13" t="n">
        <v>46421</v>
      </c>
      <c r="E152" s="11">
        <f>IF(OR($B152="",NOT(ISNUMBER($C152))),"",COUNTIFS($A$5:$A$1668,$A152,$C$5:$C$1668,"&lt;"&amp;$C152)+1)</f>
        <v/>
      </c>
      <c r="F152" s="11">
        <f>IF(OR($B152="",NOT(ISNUMBER($C152))),"",COUNTIFS($A$5:$A$1668,$A152,$C$5:$C$1668,"&gt;0"))</f>
        <v/>
      </c>
      <c r="G152" s="11">
        <f>IF(OR($B152="",NOT(ISNUMBER($C152))),"",IF($D152&lt;&gt;"",ROUND(Points!$B$6*IF($F152&lt;Points!$H$4,Points!$H$5,1),0),ROUND(Points!$B$6*IF($F152&lt;=1,1,Points!$H$7+(1-Points!$H$7)*((($F152-$E152)*(($F152-$E152)+1)/2)^2-((($F152-$E152-COUNTIFS($A$5:$A$1668,$A152,$C$5:$C$1668,$C152)+1)-1)*($F152-$E152-COUNTIFS($A$5:$A$1668,$A152,$C$5:$C$1668,$C152)+1)/2)^2)/(COUNTIFS($A$5:$A$1668,$A152,$C$5:$C$1668,$C152)*($F152-1)^3))*IF($F152&lt;Points!$H$4,Points!$H$5,1),0)))</f>
        <v/>
      </c>
      <c r="H152" s="11">
        <f>IF($G152="","",COUNTIFS($B$5:$B$1668,$B152,$G$5:$G$1668,"&gt;"&amp;$G152)+COUNTIFS($B$4:$B151,$B152,$G$4:$G151,$G152)+1)</f>
        <v/>
      </c>
      <c r="I152" s="11">
        <f>IF($G152="","",IF($H152&lt;=Points!$H$6,$G152,0))</f>
        <v/>
      </c>
      <c r="J152" s="11">
        <f>IF($B152="","",IF(COUNTIF(Players!$A$2:$A$500,$B152)=0,"Player is not on the Players tab",IF(NOT(ISNUMBER($C152)),"Enter a gross score",IF(COUNTIFS($A$5:$A$1668,$A152,$B$5:$B$1668,$B152)&gt;1,"Player is listed twice this week",IF(AND($D152&lt;&gt;"",COUNTIFS($A$5:$A$1668,$A152,$D$5:$D$1668,$D152)&gt;1),"Two players picked as "&amp;$D152,IF(COUNTIFS($A$5:$A$1668,$A152,$D$5:$D$1668,"Gross winner")=0,"Pick this week's gross winner",IF(COUNTIFS($A$5:$A$1668,$A152,$D$5:$D$1668,"Net winner")=0,"Pick this week's net winner","OK")))))))</f>
        <v/>
      </c>
    </row>
    <row r="153" outlineLevel="1">
      <c r="A153" s="13" t="n">
        <v>46421</v>
      </c>
      <c r="E153" s="11">
        <f>IF(OR($B153="",NOT(ISNUMBER($C153))),"",COUNTIFS($A$5:$A$1668,$A153,$C$5:$C$1668,"&lt;"&amp;$C153)+1)</f>
        <v/>
      </c>
      <c r="F153" s="11">
        <f>IF(OR($B153="",NOT(ISNUMBER($C153))),"",COUNTIFS($A$5:$A$1668,$A153,$C$5:$C$1668,"&gt;0"))</f>
        <v/>
      </c>
      <c r="G153" s="11">
        <f>IF(OR($B153="",NOT(ISNUMBER($C153))),"",IF($D153&lt;&gt;"",ROUND(Points!$B$6*IF($F153&lt;Points!$H$4,Points!$H$5,1),0),ROUND(Points!$B$6*IF($F153&lt;=1,1,Points!$H$7+(1-Points!$H$7)*((($F153-$E153)*(($F153-$E153)+1)/2)^2-((($F153-$E153-COUNTIFS($A$5:$A$1668,$A153,$C$5:$C$1668,$C153)+1)-1)*($F153-$E153-COUNTIFS($A$5:$A$1668,$A153,$C$5:$C$1668,$C153)+1)/2)^2)/(COUNTIFS($A$5:$A$1668,$A153,$C$5:$C$1668,$C153)*($F153-1)^3))*IF($F153&lt;Points!$H$4,Points!$H$5,1),0)))</f>
        <v/>
      </c>
      <c r="H153" s="11">
        <f>IF($G153="","",COUNTIFS($B$5:$B$1668,$B153,$G$5:$G$1668,"&gt;"&amp;$G153)+COUNTIFS($B$4:$B152,$B153,$G$4:$G152,$G153)+1)</f>
        <v/>
      </c>
      <c r="I153" s="11">
        <f>IF($G153="","",IF($H153&lt;=Points!$H$6,$G153,0))</f>
        <v/>
      </c>
      <c r="J153" s="11">
        <f>IF($B153="","",IF(COUNTIF(Players!$A$2:$A$500,$B153)=0,"Player is not on the Players tab",IF(NOT(ISNUMBER($C153)),"Enter a gross score",IF(COUNTIFS($A$5:$A$1668,$A153,$B$5:$B$1668,$B153)&gt;1,"Player is listed twice this week",IF(AND($D153&lt;&gt;"",COUNTIFS($A$5:$A$1668,$A153,$D$5:$D$1668,$D153)&gt;1),"Two players picked as "&amp;$D153,IF(COUNTIFS($A$5:$A$1668,$A153,$D$5:$D$1668,"Gross winner")=0,"Pick this week's gross winner",IF(COUNTIFS($A$5:$A$1668,$A153,$D$5:$D$1668,"Net winner")=0,"Pick this week's net winner","OK")))))))</f>
        <v/>
      </c>
    </row>
    <row r="154" outlineLevel="1">
      <c r="A154" s="13" t="n">
        <v>46421</v>
      </c>
      <c r="E154" s="11">
        <f>IF(OR($B154="",NOT(ISNUMBER($C154))),"",COUNTIFS($A$5:$A$1668,$A154,$C$5:$C$1668,"&lt;"&amp;$C154)+1)</f>
        <v/>
      </c>
      <c r="F154" s="11">
        <f>IF(OR($B154="",NOT(ISNUMBER($C154))),"",COUNTIFS($A$5:$A$1668,$A154,$C$5:$C$1668,"&gt;0"))</f>
        <v/>
      </c>
      <c r="G154" s="11">
        <f>IF(OR($B154="",NOT(ISNUMBER($C154))),"",IF($D154&lt;&gt;"",ROUND(Points!$B$6*IF($F154&lt;Points!$H$4,Points!$H$5,1),0),ROUND(Points!$B$6*IF($F154&lt;=1,1,Points!$H$7+(1-Points!$H$7)*((($F154-$E154)*(($F154-$E154)+1)/2)^2-((($F154-$E154-COUNTIFS($A$5:$A$1668,$A154,$C$5:$C$1668,$C154)+1)-1)*($F154-$E154-COUNTIFS($A$5:$A$1668,$A154,$C$5:$C$1668,$C154)+1)/2)^2)/(COUNTIFS($A$5:$A$1668,$A154,$C$5:$C$1668,$C154)*($F154-1)^3))*IF($F154&lt;Points!$H$4,Points!$H$5,1),0)))</f>
        <v/>
      </c>
      <c r="H154" s="11">
        <f>IF($G154="","",COUNTIFS($B$5:$B$1668,$B154,$G$5:$G$1668,"&gt;"&amp;$G154)+COUNTIFS($B$4:$B153,$B154,$G$4:$G153,$G154)+1)</f>
        <v/>
      </c>
      <c r="I154" s="11">
        <f>IF($G154="","",IF($H154&lt;=Points!$H$6,$G154,0))</f>
        <v/>
      </c>
      <c r="J154" s="11">
        <f>IF($B154="","",IF(COUNTIF(Players!$A$2:$A$500,$B154)=0,"Player is not on the Players tab",IF(NOT(ISNUMBER($C154)),"Enter a gross score",IF(COUNTIFS($A$5:$A$1668,$A154,$B$5:$B$1668,$B154)&gt;1,"Player is listed twice this week",IF(AND($D154&lt;&gt;"",COUNTIFS($A$5:$A$1668,$A154,$D$5:$D$1668,$D154)&gt;1),"Two players picked as "&amp;$D154,IF(COUNTIFS($A$5:$A$1668,$A154,$D$5:$D$1668,"Gross winner")=0,"Pick this week's gross winner",IF(COUNTIFS($A$5:$A$1668,$A154,$D$5:$D$1668,"Net winner")=0,"Pick this week's net winner","OK")))))))</f>
        <v/>
      </c>
    </row>
    <row r="155" outlineLevel="1">
      <c r="A155" s="13" t="n">
        <v>46421</v>
      </c>
      <c r="E155" s="11">
        <f>IF(OR($B155="",NOT(ISNUMBER($C155))),"",COUNTIFS($A$5:$A$1668,$A155,$C$5:$C$1668,"&lt;"&amp;$C155)+1)</f>
        <v/>
      </c>
      <c r="F155" s="11">
        <f>IF(OR($B155="",NOT(ISNUMBER($C155))),"",COUNTIFS($A$5:$A$1668,$A155,$C$5:$C$1668,"&gt;0"))</f>
        <v/>
      </c>
      <c r="G155" s="11">
        <f>IF(OR($B155="",NOT(ISNUMBER($C155))),"",IF($D155&lt;&gt;"",ROUND(Points!$B$6*IF($F155&lt;Points!$H$4,Points!$H$5,1),0),ROUND(Points!$B$6*IF($F155&lt;=1,1,Points!$H$7+(1-Points!$H$7)*((($F155-$E155)*(($F155-$E155)+1)/2)^2-((($F155-$E155-COUNTIFS($A$5:$A$1668,$A155,$C$5:$C$1668,$C155)+1)-1)*($F155-$E155-COUNTIFS($A$5:$A$1668,$A155,$C$5:$C$1668,$C155)+1)/2)^2)/(COUNTIFS($A$5:$A$1668,$A155,$C$5:$C$1668,$C155)*($F155-1)^3))*IF($F155&lt;Points!$H$4,Points!$H$5,1),0)))</f>
        <v/>
      </c>
      <c r="H155" s="11">
        <f>IF($G155="","",COUNTIFS($B$5:$B$1668,$B155,$G$5:$G$1668,"&gt;"&amp;$G155)+COUNTIFS($B$4:$B154,$B155,$G$4:$G154,$G155)+1)</f>
        <v/>
      </c>
      <c r="I155" s="11">
        <f>IF($G155="","",IF($H155&lt;=Points!$H$6,$G155,0))</f>
        <v/>
      </c>
      <c r="J155" s="11">
        <f>IF($B155="","",IF(COUNTIF(Players!$A$2:$A$500,$B155)=0,"Player is not on the Players tab",IF(NOT(ISNUMBER($C155)),"Enter a gross score",IF(COUNTIFS($A$5:$A$1668,$A155,$B$5:$B$1668,$B155)&gt;1,"Player is listed twice this week",IF(AND($D155&lt;&gt;"",COUNTIFS($A$5:$A$1668,$A155,$D$5:$D$1668,$D155)&gt;1),"Two players picked as "&amp;$D155,IF(COUNTIFS($A$5:$A$1668,$A155,$D$5:$D$1668,"Gross winner")=0,"Pick this week's gross winner",IF(COUNTIFS($A$5:$A$1668,$A155,$D$5:$D$1668,"Net winner")=0,"Pick this week's net winner","OK")))))))</f>
        <v/>
      </c>
    </row>
    <row r="156" outlineLevel="1">
      <c r="A156" s="13" t="n">
        <v>46421</v>
      </c>
      <c r="E156" s="11">
        <f>IF(OR($B156="",NOT(ISNUMBER($C156))),"",COUNTIFS($A$5:$A$1668,$A156,$C$5:$C$1668,"&lt;"&amp;$C156)+1)</f>
        <v/>
      </c>
      <c r="F156" s="11">
        <f>IF(OR($B156="",NOT(ISNUMBER($C156))),"",COUNTIFS($A$5:$A$1668,$A156,$C$5:$C$1668,"&gt;0"))</f>
        <v/>
      </c>
      <c r="G156" s="11">
        <f>IF(OR($B156="",NOT(ISNUMBER($C156))),"",IF($D156&lt;&gt;"",ROUND(Points!$B$6*IF($F156&lt;Points!$H$4,Points!$H$5,1),0),ROUND(Points!$B$6*IF($F156&lt;=1,1,Points!$H$7+(1-Points!$H$7)*((($F156-$E156)*(($F156-$E156)+1)/2)^2-((($F156-$E156-COUNTIFS($A$5:$A$1668,$A156,$C$5:$C$1668,$C156)+1)-1)*($F156-$E156-COUNTIFS($A$5:$A$1668,$A156,$C$5:$C$1668,$C156)+1)/2)^2)/(COUNTIFS($A$5:$A$1668,$A156,$C$5:$C$1668,$C156)*($F156-1)^3))*IF($F156&lt;Points!$H$4,Points!$H$5,1),0)))</f>
        <v/>
      </c>
      <c r="H156" s="11">
        <f>IF($G156="","",COUNTIFS($B$5:$B$1668,$B156,$G$5:$G$1668,"&gt;"&amp;$G156)+COUNTIFS($B$4:$B155,$B156,$G$4:$G155,$G156)+1)</f>
        <v/>
      </c>
      <c r="I156" s="11">
        <f>IF($G156="","",IF($H156&lt;=Points!$H$6,$G156,0))</f>
        <v/>
      </c>
      <c r="J156" s="11">
        <f>IF($B156="","",IF(COUNTIF(Players!$A$2:$A$500,$B156)=0,"Player is not on the Players tab",IF(NOT(ISNUMBER($C156)),"Enter a gross score",IF(COUNTIFS($A$5:$A$1668,$A156,$B$5:$B$1668,$B156)&gt;1,"Player is listed twice this week",IF(AND($D156&lt;&gt;"",COUNTIFS($A$5:$A$1668,$A156,$D$5:$D$1668,$D156)&gt;1),"Two players picked as "&amp;$D156,IF(COUNTIFS($A$5:$A$1668,$A156,$D$5:$D$1668,"Gross winner")=0,"Pick this week's gross winner",IF(COUNTIFS($A$5:$A$1668,$A156,$D$5:$D$1668,"Net winner")=0,"Pick this week's net winner","OK")))))))</f>
        <v/>
      </c>
    </row>
    <row r="157" outlineLevel="1">
      <c r="A157" s="13" t="n">
        <v>46421</v>
      </c>
      <c r="E157" s="11">
        <f>IF(OR($B157="",NOT(ISNUMBER($C157))),"",COUNTIFS($A$5:$A$1668,$A157,$C$5:$C$1668,"&lt;"&amp;$C157)+1)</f>
        <v/>
      </c>
      <c r="F157" s="11">
        <f>IF(OR($B157="",NOT(ISNUMBER($C157))),"",COUNTIFS($A$5:$A$1668,$A157,$C$5:$C$1668,"&gt;0"))</f>
        <v/>
      </c>
      <c r="G157" s="11">
        <f>IF(OR($B157="",NOT(ISNUMBER($C157))),"",IF($D157&lt;&gt;"",ROUND(Points!$B$6*IF($F157&lt;Points!$H$4,Points!$H$5,1),0),ROUND(Points!$B$6*IF($F157&lt;=1,1,Points!$H$7+(1-Points!$H$7)*((($F157-$E157)*(($F157-$E157)+1)/2)^2-((($F157-$E157-COUNTIFS($A$5:$A$1668,$A157,$C$5:$C$1668,$C157)+1)-1)*($F157-$E157-COUNTIFS($A$5:$A$1668,$A157,$C$5:$C$1668,$C157)+1)/2)^2)/(COUNTIFS($A$5:$A$1668,$A157,$C$5:$C$1668,$C157)*($F157-1)^3))*IF($F157&lt;Points!$H$4,Points!$H$5,1),0)))</f>
        <v/>
      </c>
      <c r="H157" s="11">
        <f>IF($G157="","",COUNTIFS($B$5:$B$1668,$B157,$G$5:$G$1668,"&gt;"&amp;$G157)+COUNTIFS($B$4:$B156,$B157,$G$4:$G156,$G157)+1)</f>
        <v/>
      </c>
      <c r="I157" s="11">
        <f>IF($G157="","",IF($H157&lt;=Points!$H$6,$G157,0))</f>
        <v/>
      </c>
      <c r="J157" s="11">
        <f>IF($B157="","",IF(COUNTIF(Players!$A$2:$A$500,$B157)=0,"Player is not on the Players tab",IF(NOT(ISNUMBER($C157)),"Enter a gross score",IF(COUNTIFS($A$5:$A$1668,$A157,$B$5:$B$1668,$B157)&gt;1,"Player is listed twice this week",IF(AND($D157&lt;&gt;"",COUNTIFS($A$5:$A$1668,$A157,$D$5:$D$1668,$D157)&gt;1),"Two players picked as "&amp;$D157,IF(COUNTIFS($A$5:$A$1668,$A157,$D$5:$D$1668,"Gross winner")=0,"Pick this week's gross winner",IF(COUNTIFS($A$5:$A$1668,$A157,$D$5:$D$1668,"Net winner")=0,"Pick this week's net winner","OK")))))))</f>
        <v/>
      </c>
    </row>
    <row r="158" outlineLevel="1">
      <c r="A158" s="13" t="n">
        <v>46421</v>
      </c>
      <c r="E158" s="11">
        <f>IF(OR($B158="",NOT(ISNUMBER($C158))),"",COUNTIFS($A$5:$A$1668,$A158,$C$5:$C$1668,"&lt;"&amp;$C158)+1)</f>
        <v/>
      </c>
      <c r="F158" s="11">
        <f>IF(OR($B158="",NOT(ISNUMBER($C158))),"",COUNTIFS($A$5:$A$1668,$A158,$C$5:$C$1668,"&gt;0"))</f>
        <v/>
      </c>
      <c r="G158" s="11">
        <f>IF(OR($B158="",NOT(ISNUMBER($C158))),"",IF($D158&lt;&gt;"",ROUND(Points!$B$6*IF($F158&lt;Points!$H$4,Points!$H$5,1),0),ROUND(Points!$B$6*IF($F158&lt;=1,1,Points!$H$7+(1-Points!$H$7)*((($F158-$E158)*(($F158-$E158)+1)/2)^2-((($F158-$E158-COUNTIFS($A$5:$A$1668,$A158,$C$5:$C$1668,$C158)+1)-1)*($F158-$E158-COUNTIFS($A$5:$A$1668,$A158,$C$5:$C$1668,$C158)+1)/2)^2)/(COUNTIFS($A$5:$A$1668,$A158,$C$5:$C$1668,$C158)*($F158-1)^3))*IF($F158&lt;Points!$H$4,Points!$H$5,1),0)))</f>
        <v/>
      </c>
      <c r="H158" s="11">
        <f>IF($G158="","",COUNTIFS($B$5:$B$1668,$B158,$G$5:$G$1668,"&gt;"&amp;$G158)+COUNTIFS($B$4:$B157,$B158,$G$4:$G157,$G158)+1)</f>
        <v/>
      </c>
      <c r="I158" s="11">
        <f>IF($G158="","",IF($H158&lt;=Points!$H$6,$G158,0))</f>
        <v/>
      </c>
      <c r="J158" s="11">
        <f>IF($B158="","",IF(COUNTIF(Players!$A$2:$A$500,$B158)=0,"Player is not on the Players tab",IF(NOT(ISNUMBER($C158)),"Enter a gross score",IF(COUNTIFS($A$5:$A$1668,$A158,$B$5:$B$1668,$B158)&gt;1,"Player is listed twice this week",IF(AND($D158&lt;&gt;"",COUNTIFS($A$5:$A$1668,$A158,$D$5:$D$1668,$D158)&gt;1),"Two players picked as "&amp;$D158,IF(COUNTIFS($A$5:$A$1668,$A158,$D$5:$D$1668,"Gross winner")=0,"Pick this week's gross winner",IF(COUNTIFS($A$5:$A$1668,$A158,$D$5:$D$1668,"Net winner")=0,"Pick this week's net winner","OK")))))))</f>
        <v/>
      </c>
    </row>
    <row r="159" outlineLevel="1">
      <c r="A159" s="13" t="n">
        <v>46421</v>
      </c>
      <c r="E159" s="11">
        <f>IF(OR($B159="",NOT(ISNUMBER($C159))),"",COUNTIFS($A$5:$A$1668,$A159,$C$5:$C$1668,"&lt;"&amp;$C159)+1)</f>
        <v/>
      </c>
      <c r="F159" s="11">
        <f>IF(OR($B159="",NOT(ISNUMBER($C159))),"",COUNTIFS($A$5:$A$1668,$A159,$C$5:$C$1668,"&gt;0"))</f>
        <v/>
      </c>
      <c r="G159" s="11">
        <f>IF(OR($B159="",NOT(ISNUMBER($C159))),"",IF($D159&lt;&gt;"",ROUND(Points!$B$6*IF($F159&lt;Points!$H$4,Points!$H$5,1),0),ROUND(Points!$B$6*IF($F159&lt;=1,1,Points!$H$7+(1-Points!$H$7)*((($F159-$E159)*(($F159-$E159)+1)/2)^2-((($F159-$E159-COUNTIFS($A$5:$A$1668,$A159,$C$5:$C$1668,$C159)+1)-1)*($F159-$E159-COUNTIFS($A$5:$A$1668,$A159,$C$5:$C$1668,$C159)+1)/2)^2)/(COUNTIFS($A$5:$A$1668,$A159,$C$5:$C$1668,$C159)*($F159-1)^3))*IF($F159&lt;Points!$H$4,Points!$H$5,1),0)))</f>
        <v/>
      </c>
      <c r="H159" s="11">
        <f>IF($G159="","",COUNTIFS($B$5:$B$1668,$B159,$G$5:$G$1668,"&gt;"&amp;$G159)+COUNTIFS($B$4:$B158,$B159,$G$4:$G158,$G159)+1)</f>
        <v/>
      </c>
      <c r="I159" s="11">
        <f>IF($G159="","",IF($H159&lt;=Points!$H$6,$G159,0))</f>
        <v/>
      </c>
      <c r="J159" s="11">
        <f>IF($B159="","",IF(COUNTIF(Players!$A$2:$A$500,$B159)=0,"Player is not on the Players tab",IF(NOT(ISNUMBER($C159)),"Enter a gross score",IF(COUNTIFS($A$5:$A$1668,$A159,$B$5:$B$1668,$B159)&gt;1,"Player is listed twice this week",IF(AND($D159&lt;&gt;"",COUNTIFS($A$5:$A$1668,$A159,$D$5:$D$1668,$D159)&gt;1),"Two players picked as "&amp;$D159,IF(COUNTIFS($A$5:$A$1668,$A159,$D$5:$D$1668,"Gross winner")=0,"Pick this week's gross winner",IF(COUNTIFS($A$5:$A$1668,$A159,$D$5:$D$1668,"Net winner")=0,"Pick this week's net winner","OK")))))))</f>
        <v/>
      </c>
    </row>
    <row r="160" outlineLevel="1">
      <c r="A160" s="13" t="n">
        <v>46421</v>
      </c>
      <c r="E160" s="11">
        <f>IF(OR($B160="",NOT(ISNUMBER($C160))),"",COUNTIFS($A$5:$A$1668,$A160,$C$5:$C$1668,"&lt;"&amp;$C160)+1)</f>
        <v/>
      </c>
      <c r="F160" s="11">
        <f>IF(OR($B160="",NOT(ISNUMBER($C160))),"",COUNTIFS($A$5:$A$1668,$A160,$C$5:$C$1668,"&gt;0"))</f>
        <v/>
      </c>
      <c r="G160" s="11">
        <f>IF(OR($B160="",NOT(ISNUMBER($C160))),"",IF($D160&lt;&gt;"",ROUND(Points!$B$6*IF($F160&lt;Points!$H$4,Points!$H$5,1),0),ROUND(Points!$B$6*IF($F160&lt;=1,1,Points!$H$7+(1-Points!$H$7)*((($F160-$E160)*(($F160-$E160)+1)/2)^2-((($F160-$E160-COUNTIFS($A$5:$A$1668,$A160,$C$5:$C$1668,$C160)+1)-1)*($F160-$E160-COUNTIFS($A$5:$A$1668,$A160,$C$5:$C$1668,$C160)+1)/2)^2)/(COUNTIFS($A$5:$A$1668,$A160,$C$5:$C$1668,$C160)*($F160-1)^3))*IF($F160&lt;Points!$H$4,Points!$H$5,1),0)))</f>
        <v/>
      </c>
      <c r="H160" s="11">
        <f>IF($G160="","",COUNTIFS($B$5:$B$1668,$B160,$G$5:$G$1668,"&gt;"&amp;$G160)+COUNTIFS($B$4:$B159,$B160,$G$4:$G159,$G160)+1)</f>
        <v/>
      </c>
      <c r="I160" s="11">
        <f>IF($G160="","",IF($H160&lt;=Points!$H$6,$G160,0))</f>
        <v/>
      </c>
      <c r="J160" s="11">
        <f>IF($B160="","",IF(COUNTIF(Players!$A$2:$A$500,$B160)=0,"Player is not on the Players tab",IF(NOT(ISNUMBER($C160)),"Enter a gross score",IF(COUNTIFS($A$5:$A$1668,$A160,$B$5:$B$1668,$B160)&gt;1,"Player is listed twice this week",IF(AND($D160&lt;&gt;"",COUNTIFS($A$5:$A$1668,$A160,$D$5:$D$1668,$D160)&gt;1),"Two players picked as "&amp;$D160,IF(COUNTIFS($A$5:$A$1668,$A160,$D$5:$D$1668,"Gross winner")=0,"Pick this week's gross winner",IF(COUNTIFS($A$5:$A$1668,$A160,$D$5:$D$1668,"Net winner")=0,"Pick this week's net winner","OK")))))))</f>
        <v/>
      </c>
    </row>
    <row r="161" outlineLevel="1">
      <c r="A161" s="13" t="n">
        <v>46421</v>
      </c>
      <c r="E161" s="11">
        <f>IF(OR($B161="",NOT(ISNUMBER($C161))),"",COUNTIFS($A$5:$A$1668,$A161,$C$5:$C$1668,"&lt;"&amp;$C161)+1)</f>
        <v/>
      </c>
      <c r="F161" s="11">
        <f>IF(OR($B161="",NOT(ISNUMBER($C161))),"",COUNTIFS($A$5:$A$1668,$A161,$C$5:$C$1668,"&gt;0"))</f>
        <v/>
      </c>
      <c r="G161" s="11">
        <f>IF(OR($B161="",NOT(ISNUMBER($C161))),"",IF($D161&lt;&gt;"",ROUND(Points!$B$6*IF($F161&lt;Points!$H$4,Points!$H$5,1),0),ROUND(Points!$B$6*IF($F161&lt;=1,1,Points!$H$7+(1-Points!$H$7)*((($F161-$E161)*(($F161-$E161)+1)/2)^2-((($F161-$E161-COUNTIFS($A$5:$A$1668,$A161,$C$5:$C$1668,$C161)+1)-1)*($F161-$E161-COUNTIFS($A$5:$A$1668,$A161,$C$5:$C$1668,$C161)+1)/2)^2)/(COUNTIFS($A$5:$A$1668,$A161,$C$5:$C$1668,$C161)*($F161-1)^3))*IF($F161&lt;Points!$H$4,Points!$H$5,1),0)))</f>
        <v/>
      </c>
      <c r="H161" s="11">
        <f>IF($G161="","",COUNTIFS($B$5:$B$1668,$B161,$G$5:$G$1668,"&gt;"&amp;$G161)+COUNTIFS($B$4:$B160,$B161,$G$4:$G160,$G161)+1)</f>
        <v/>
      </c>
      <c r="I161" s="11">
        <f>IF($G161="","",IF($H161&lt;=Points!$H$6,$G161,0))</f>
        <v/>
      </c>
      <c r="J161" s="11">
        <f>IF($B161="","",IF(COUNTIF(Players!$A$2:$A$500,$B161)=0,"Player is not on the Players tab",IF(NOT(ISNUMBER($C161)),"Enter a gross score",IF(COUNTIFS($A$5:$A$1668,$A161,$B$5:$B$1668,$B161)&gt;1,"Player is listed twice this week",IF(AND($D161&lt;&gt;"",COUNTIFS($A$5:$A$1668,$A161,$D$5:$D$1668,$D161)&gt;1),"Two players picked as "&amp;$D161,IF(COUNTIFS($A$5:$A$1668,$A161,$D$5:$D$1668,"Gross winner")=0,"Pick this week's gross winner",IF(COUNTIFS($A$5:$A$1668,$A161,$D$5:$D$1668,"Net winner")=0,"Pick this week's net winner","OK")))))))</f>
        <v/>
      </c>
    </row>
    <row r="162" outlineLevel="1">
      <c r="A162" s="13" t="n">
        <v>46421</v>
      </c>
      <c r="E162" s="11">
        <f>IF(OR($B162="",NOT(ISNUMBER($C162))),"",COUNTIFS($A$5:$A$1668,$A162,$C$5:$C$1668,"&lt;"&amp;$C162)+1)</f>
        <v/>
      </c>
      <c r="F162" s="11">
        <f>IF(OR($B162="",NOT(ISNUMBER($C162))),"",COUNTIFS($A$5:$A$1668,$A162,$C$5:$C$1668,"&gt;0"))</f>
        <v/>
      </c>
      <c r="G162" s="11">
        <f>IF(OR($B162="",NOT(ISNUMBER($C162))),"",IF($D162&lt;&gt;"",ROUND(Points!$B$6*IF($F162&lt;Points!$H$4,Points!$H$5,1),0),ROUND(Points!$B$6*IF($F162&lt;=1,1,Points!$H$7+(1-Points!$H$7)*((($F162-$E162)*(($F162-$E162)+1)/2)^2-((($F162-$E162-COUNTIFS($A$5:$A$1668,$A162,$C$5:$C$1668,$C162)+1)-1)*($F162-$E162-COUNTIFS($A$5:$A$1668,$A162,$C$5:$C$1668,$C162)+1)/2)^2)/(COUNTIFS($A$5:$A$1668,$A162,$C$5:$C$1668,$C162)*($F162-1)^3))*IF($F162&lt;Points!$H$4,Points!$H$5,1),0)))</f>
        <v/>
      </c>
      <c r="H162" s="11">
        <f>IF($G162="","",COUNTIFS($B$5:$B$1668,$B162,$G$5:$G$1668,"&gt;"&amp;$G162)+COUNTIFS($B$4:$B161,$B162,$G$4:$G161,$G162)+1)</f>
        <v/>
      </c>
      <c r="I162" s="11">
        <f>IF($G162="","",IF($H162&lt;=Points!$H$6,$G162,0))</f>
        <v/>
      </c>
      <c r="J162" s="11">
        <f>IF($B162="","",IF(COUNTIF(Players!$A$2:$A$500,$B162)=0,"Player is not on the Players tab",IF(NOT(ISNUMBER($C162)),"Enter a gross score",IF(COUNTIFS($A$5:$A$1668,$A162,$B$5:$B$1668,$B162)&gt;1,"Player is listed twice this week",IF(AND($D162&lt;&gt;"",COUNTIFS($A$5:$A$1668,$A162,$D$5:$D$1668,$D162)&gt;1),"Two players picked as "&amp;$D162,IF(COUNTIFS($A$5:$A$1668,$A162,$D$5:$D$1668,"Gross winner")=0,"Pick this week's gross winner",IF(COUNTIFS($A$5:$A$1668,$A162,$D$5:$D$1668,"Net winner")=0,"Pick this week's net winner","OK")))))))</f>
        <v/>
      </c>
    </row>
    <row r="163" outlineLevel="1">
      <c r="A163" s="13" t="n">
        <v>46421</v>
      </c>
      <c r="E163" s="11">
        <f>IF(OR($B163="",NOT(ISNUMBER($C163))),"",COUNTIFS($A$5:$A$1668,$A163,$C$5:$C$1668,"&lt;"&amp;$C163)+1)</f>
        <v/>
      </c>
      <c r="F163" s="11">
        <f>IF(OR($B163="",NOT(ISNUMBER($C163))),"",COUNTIFS($A$5:$A$1668,$A163,$C$5:$C$1668,"&gt;0"))</f>
        <v/>
      </c>
      <c r="G163" s="11">
        <f>IF(OR($B163="",NOT(ISNUMBER($C163))),"",IF($D163&lt;&gt;"",ROUND(Points!$B$6*IF($F163&lt;Points!$H$4,Points!$H$5,1),0),ROUND(Points!$B$6*IF($F163&lt;=1,1,Points!$H$7+(1-Points!$H$7)*((($F163-$E163)*(($F163-$E163)+1)/2)^2-((($F163-$E163-COUNTIFS($A$5:$A$1668,$A163,$C$5:$C$1668,$C163)+1)-1)*($F163-$E163-COUNTIFS($A$5:$A$1668,$A163,$C$5:$C$1668,$C163)+1)/2)^2)/(COUNTIFS($A$5:$A$1668,$A163,$C$5:$C$1668,$C163)*($F163-1)^3))*IF($F163&lt;Points!$H$4,Points!$H$5,1),0)))</f>
        <v/>
      </c>
      <c r="H163" s="11">
        <f>IF($G163="","",COUNTIFS($B$5:$B$1668,$B163,$G$5:$G$1668,"&gt;"&amp;$G163)+COUNTIFS($B$4:$B162,$B163,$G$4:$G162,$G163)+1)</f>
        <v/>
      </c>
      <c r="I163" s="11">
        <f>IF($G163="","",IF($H163&lt;=Points!$H$6,$G163,0))</f>
        <v/>
      </c>
      <c r="J163" s="11">
        <f>IF($B163="","",IF(COUNTIF(Players!$A$2:$A$500,$B163)=0,"Player is not on the Players tab",IF(NOT(ISNUMBER($C163)),"Enter a gross score",IF(COUNTIFS($A$5:$A$1668,$A163,$B$5:$B$1668,$B163)&gt;1,"Player is listed twice this week",IF(AND($D163&lt;&gt;"",COUNTIFS($A$5:$A$1668,$A163,$D$5:$D$1668,$D163)&gt;1),"Two players picked as "&amp;$D163,IF(COUNTIFS($A$5:$A$1668,$A163,$D$5:$D$1668,"Gross winner")=0,"Pick this week's gross winner",IF(COUNTIFS($A$5:$A$1668,$A163,$D$5:$D$1668,"Net winner")=0,"Pick this week's net winner","OK")))))))</f>
        <v/>
      </c>
    </row>
    <row r="164" ht="10" customHeight="1"/>
    <row r="165" ht="22" customHeight="1">
      <c r="A165" s="12" t="inlineStr">
        <is>
          <t>Week 6  ·  Wednesday, Feb 10</t>
        </is>
      </c>
    </row>
    <row r="166" outlineLevel="1">
      <c r="A166" s="13" t="n">
        <v>46428</v>
      </c>
      <c r="E166" s="11">
        <f>IF(OR($B166="",NOT(ISNUMBER($C166))),"",COUNTIFS($A$5:$A$1668,$A166,$C$5:$C$1668,"&lt;"&amp;$C166)+1)</f>
        <v/>
      </c>
      <c r="F166" s="11">
        <f>IF(OR($B166="",NOT(ISNUMBER($C166))),"",COUNTIFS($A$5:$A$1668,$A166,$C$5:$C$1668,"&gt;0"))</f>
        <v/>
      </c>
      <c r="G166" s="11">
        <f>IF(OR($B166="",NOT(ISNUMBER($C166))),"",IF($D166&lt;&gt;"",ROUND(Points!$B$6*IF($F166&lt;Points!$H$4,Points!$H$5,1),0),ROUND(Points!$B$6*IF($F166&lt;=1,1,Points!$H$7+(1-Points!$H$7)*((($F166-$E166)*(($F166-$E166)+1)/2)^2-((($F166-$E166-COUNTIFS($A$5:$A$1668,$A166,$C$5:$C$1668,$C166)+1)-1)*($F166-$E166-COUNTIFS($A$5:$A$1668,$A166,$C$5:$C$1668,$C166)+1)/2)^2)/(COUNTIFS($A$5:$A$1668,$A166,$C$5:$C$1668,$C166)*($F166-1)^3))*IF($F166&lt;Points!$H$4,Points!$H$5,1),0)))</f>
        <v/>
      </c>
      <c r="H166" s="11">
        <f>IF($G166="","",COUNTIFS($B$5:$B$1668,$B166,$G$5:$G$1668,"&gt;"&amp;$G166)+COUNTIFS($B$4:$B165,$B166,$G$4:$G165,$G166)+1)</f>
        <v/>
      </c>
      <c r="I166" s="11">
        <f>IF($G166="","",IF($H166&lt;=Points!$H$6,$G166,0))</f>
        <v/>
      </c>
      <c r="J166" s="11">
        <f>IF($B166="","",IF(COUNTIF(Players!$A$2:$A$500,$B166)=0,"Player is not on the Players tab",IF(NOT(ISNUMBER($C166)),"Enter a gross score",IF(COUNTIFS($A$5:$A$1668,$A166,$B$5:$B$1668,$B166)&gt;1,"Player is listed twice this week",IF(AND($D166&lt;&gt;"",COUNTIFS($A$5:$A$1668,$A166,$D$5:$D$1668,$D166)&gt;1),"Two players picked as "&amp;$D166,IF(COUNTIFS($A$5:$A$1668,$A166,$D$5:$D$1668,"Gross winner")=0,"Pick this week's gross winner",IF(COUNTIFS($A$5:$A$1668,$A166,$D$5:$D$1668,"Net winner")=0,"Pick this week's net winner","OK")))))))</f>
        <v/>
      </c>
    </row>
    <row r="167" outlineLevel="1">
      <c r="A167" s="13" t="n">
        <v>46428</v>
      </c>
      <c r="E167" s="11">
        <f>IF(OR($B167="",NOT(ISNUMBER($C167))),"",COUNTIFS($A$5:$A$1668,$A167,$C$5:$C$1668,"&lt;"&amp;$C167)+1)</f>
        <v/>
      </c>
      <c r="F167" s="11">
        <f>IF(OR($B167="",NOT(ISNUMBER($C167))),"",COUNTIFS($A$5:$A$1668,$A167,$C$5:$C$1668,"&gt;0"))</f>
        <v/>
      </c>
      <c r="G167" s="11">
        <f>IF(OR($B167="",NOT(ISNUMBER($C167))),"",IF($D167&lt;&gt;"",ROUND(Points!$B$6*IF($F167&lt;Points!$H$4,Points!$H$5,1),0),ROUND(Points!$B$6*IF($F167&lt;=1,1,Points!$H$7+(1-Points!$H$7)*((($F167-$E167)*(($F167-$E167)+1)/2)^2-((($F167-$E167-COUNTIFS($A$5:$A$1668,$A167,$C$5:$C$1668,$C167)+1)-1)*($F167-$E167-COUNTIFS($A$5:$A$1668,$A167,$C$5:$C$1668,$C167)+1)/2)^2)/(COUNTIFS($A$5:$A$1668,$A167,$C$5:$C$1668,$C167)*($F167-1)^3))*IF($F167&lt;Points!$H$4,Points!$H$5,1),0)))</f>
        <v/>
      </c>
      <c r="H167" s="11">
        <f>IF($G167="","",COUNTIFS($B$5:$B$1668,$B167,$G$5:$G$1668,"&gt;"&amp;$G167)+COUNTIFS($B$4:$B166,$B167,$G$4:$G166,$G167)+1)</f>
        <v/>
      </c>
      <c r="I167" s="11">
        <f>IF($G167="","",IF($H167&lt;=Points!$H$6,$G167,0))</f>
        <v/>
      </c>
      <c r="J167" s="11">
        <f>IF($B167="","",IF(COUNTIF(Players!$A$2:$A$500,$B167)=0,"Player is not on the Players tab",IF(NOT(ISNUMBER($C167)),"Enter a gross score",IF(COUNTIFS($A$5:$A$1668,$A167,$B$5:$B$1668,$B167)&gt;1,"Player is listed twice this week",IF(AND($D167&lt;&gt;"",COUNTIFS($A$5:$A$1668,$A167,$D$5:$D$1668,$D167)&gt;1),"Two players picked as "&amp;$D167,IF(COUNTIFS($A$5:$A$1668,$A167,$D$5:$D$1668,"Gross winner")=0,"Pick this week's gross winner",IF(COUNTIFS($A$5:$A$1668,$A167,$D$5:$D$1668,"Net winner")=0,"Pick this week's net winner","OK")))))))</f>
        <v/>
      </c>
    </row>
    <row r="168" outlineLevel="1">
      <c r="A168" s="13" t="n">
        <v>46428</v>
      </c>
      <c r="E168" s="11">
        <f>IF(OR($B168="",NOT(ISNUMBER($C168))),"",COUNTIFS($A$5:$A$1668,$A168,$C$5:$C$1668,"&lt;"&amp;$C168)+1)</f>
        <v/>
      </c>
      <c r="F168" s="11">
        <f>IF(OR($B168="",NOT(ISNUMBER($C168))),"",COUNTIFS($A$5:$A$1668,$A168,$C$5:$C$1668,"&gt;0"))</f>
        <v/>
      </c>
      <c r="G168" s="11">
        <f>IF(OR($B168="",NOT(ISNUMBER($C168))),"",IF($D168&lt;&gt;"",ROUND(Points!$B$6*IF($F168&lt;Points!$H$4,Points!$H$5,1),0),ROUND(Points!$B$6*IF($F168&lt;=1,1,Points!$H$7+(1-Points!$H$7)*((($F168-$E168)*(($F168-$E168)+1)/2)^2-((($F168-$E168-COUNTIFS($A$5:$A$1668,$A168,$C$5:$C$1668,$C168)+1)-1)*($F168-$E168-COUNTIFS($A$5:$A$1668,$A168,$C$5:$C$1668,$C168)+1)/2)^2)/(COUNTIFS($A$5:$A$1668,$A168,$C$5:$C$1668,$C168)*($F168-1)^3))*IF($F168&lt;Points!$H$4,Points!$H$5,1),0)))</f>
        <v/>
      </c>
      <c r="H168" s="11">
        <f>IF($G168="","",COUNTIFS($B$5:$B$1668,$B168,$G$5:$G$1668,"&gt;"&amp;$G168)+COUNTIFS($B$4:$B167,$B168,$G$4:$G167,$G168)+1)</f>
        <v/>
      </c>
      <c r="I168" s="11">
        <f>IF($G168="","",IF($H168&lt;=Points!$H$6,$G168,0))</f>
        <v/>
      </c>
      <c r="J168" s="11">
        <f>IF($B168="","",IF(COUNTIF(Players!$A$2:$A$500,$B168)=0,"Player is not on the Players tab",IF(NOT(ISNUMBER($C168)),"Enter a gross score",IF(COUNTIFS($A$5:$A$1668,$A168,$B$5:$B$1668,$B168)&gt;1,"Player is listed twice this week",IF(AND($D168&lt;&gt;"",COUNTIFS($A$5:$A$1668,$A168,$D$5:$D$1668,$D168)&gt;1),"Two players picked as "&amp;$D168,IF(COUNTIFS($A$5:$A$1668,$A168,$D$5:$D$1668,"Gross winner")=0,"Pick this week's gross winner",IF(COUNTIFS($A$5:$A$1668,$A168,$D$5:$D$1668,"Net winner")=0,"Pick this week's net winner","OK")))))))</f>
        <v/>
      </c>
    </row>
    <row r="169" outlineLevel="1">
      <c r="A169" s="13" t="n">
        <v>46428</v>
      </c>
      <c r="E169" s="11">
        <f>IF(OR($B169="",NOT(ISNUMBER($C169))),"",COUNTIFS($A$5:$A$1668,$A169,$C$5:$C$1668,"&lt;"&amp;$C169)+1)</f>
        <v/>
      </c>
      <c r="F169" s="11">
        <f>IF(OR($B169="",NOT(ISNUMBER($C169))),"",COUNTIFS($A$5:$A$1668,$A169,$C$5:$C$1668,"&gt;0"))</f>
        <v/>
      </c>
      <c r="G169" s="11">
        <f>IF(OR($B169="",NOT(ISNUMBER($C169))),"",IF($D169&lt;&gt;"",ROUND(Points!$B$6*IF($F169&lt;Points!$H$4,Points!$H$5,1),0),ROUND(Points!$B$6*IF($F169&lt;=1,1,Points!$H$7+(1-Points!$H$7)*((($F169-$E169)*(($F169-$E169)+1)/2)^2-((($F169-$E169-COUNTIFS($A$5:$A$1668,$A169,$C$5:$C$1668,$C169)+1)-1)*($F169-$E169-COUNTIFS($A$5:$A$1668,$A169,$C$5:$C$1668,$C169)+1)/2)^2)/(COUNTIFS($A$5:$A$1668,$A169,$C$5:$C$1668,$C169)*($F169-1)^3))*IF($F169&lt;Points!$H$4,Points!$H$5,1),0)))</f>
        <v/>
      </c>
      <c r="H169" s="11">
        <f>IF($G169="","",COUNTIFS($B$5:$B$1668,$B169,$G$5:$G$1668,"&gt;"&amp;$G169)+COUNTIFS($B$4:$B168,$B169,$G$4:$G168,$G169)+1)</f>
        <v/>
      </c>
      <c r="I169" s="11">
        <f>IF($G169="","",IF($H169&lt;=Points!$H$6,$G169,0))</f>
        <v/>
      </c>
      <c r="J169" s="11">
        <f>IF($B169="","",IF(COUNTIF(Players!$A$2:$A$500,$B169)=0,"Player is not on the Players tab",IF(NOT(ISNUMBER($C169)),"Enter a gross score",IF(COUNTIFS($A$5:$A$1668,$A169,$B$5:$B$1668,$B169)&gt;1,"Player is listed twice this week",IF(AND($D169&lt;&gt;"",COUNTIFS($A$5:$A$1668,$A169,$D$5:$D$1668,$D169)&gt;1),"Two players picked as "&amp;$D169,IF(COUNTIFS($A$5:$A$1668,$A169,$D$5:$D$1668,"Gross winner")=0,"Pick this week's gross winner",IF(COUNTIFS($A$5:$A$1668,$A169,$D$5:$D$1668,"Net winner")=0,"Pick this week's net winner","OK")))))))</f>
        <v/>
      </c>
    </row>
    <row r="170" outlineLevel="1">
      <c r="A170" s="13" t="n">
        <v>46428</v>
      </c>
      <c r="E170" s="11">
        <f>IF(OR($B170="",NOT(ISNUMBER($C170))),"",COUNTIFS($A$5:$A$1668,$A170,$C$5:$C$1668,"&lt;"&amp;$C170)+1)</f>
        <v/>
      </c>
      <c r="F170" s="11">
        <f>IF(OR($B170="",NOT(ISNUMBER($C170))),"",COUNTIFS($A$5:$A$1668,$A170,$C$5:$C$1668,"&gt;0"))</f>
        <v/>
      </c>
      <c r="G170" s="11">
        <f>IF(OR($B170="",NOT(ISNUMBER($C170))),"",IF($D170&lt;&gt;"",ROUND(Points!$B$6*IF($F170&lt;Points!$H$4,Points!$H$5,1),0),ROUND(Points!$B$6*IF($F170&lt;=1,1,Points!$H$7+(1-Points!$H$7)*((($F170-$E170)*(($F170-$E170)+1)/2)^2-((($F170-$E170-COUNTIFS($A$5:$A$1668,$A170,$C$5:$C$1668,$C170)+1)-1)*($F170-$E170-COUNTIFS($A$5:$A$1668,$A170,$C$5:$C$1668,$C170)+1)/2)^2)/(COUNTIFS($A$5:$A$1668,$A170,$C$5:$C$1668,$C170)*($F170-1)^3))*IF($F170&lt;Points!$H$4,Points!$H$5,1),0)))</f>
        <v/>
      </c>
      <c r="H170" s="11">
        <f>IF($G170="","",COUNTIFS($B$5:$B$1668,$B170,$G$5:$G$1668,"&gt;"&amp;$G170)+COUNTIFS($B$4:$B169,$B170,$G$4:$G169,$G170)+1)</f>
        <v/>
      </c>
      <c r="I170" s="11">
        <f>IF($G170="","",IF($H170&lt;=Points!$H$6,$G170,0))</f>
        <v/>
      </c>
      <c r="J170" s="11">
        <f>IF($B170="","",IF(COUNTIF(Players!$A$2:$A$500,$B170)=0,"Player is not on the Players tab",IF(NOT(ISNUMBER($C170)),"Enter a gross score",IF(COUNTIFS($A$5:$A$1668,$A170,$B$5:$B$1668,$B170)&gt;1,"Player is listed twice this week",IF(AND($D170&lt;&gt;"",COUNTIFS($A$5:$A$1668,$A170,$D$5:$D$1668,$D170)&gt;1),"Two players picked as "&amp;$D170,IF(COUNTIFS($A$5:$A$1668,$A170,$D$5:$D$1668,"Gross winner")=0,"Pick this week's gross winner",IF(COUNTIFS($A$5:$A$1668,$A170,$D$5:$D$1668,"Net winner")=0,"Pick this week's net winner","OK")))))))</f>
        <v/>
      </c>
    </row>
    <row r="171" outlineLevel="1">
      <c r="A171" s="13" t="n">
        <v>46428</v>
      </c>
      <c r="E171" s="11">
        <f>IF(OR($B171="",NOT(ISNUMBER($C171))),"",COUNTIFS($A$5:$A$1668,$A171,$C$5:$C$1668,"&lt;"&amp;$C171)+1)</f>
        <v/>
      </c>
      <c r="F171" s="11">
        <f>IF(OR($B171="",NOT(ISNUMBER($C171))),"",COUNTIFS($A$5:$A$1668,$A171,$C$5:$C$1668,"&gt;0"))</f>
        <v/>
      </c>
      <c r="G171" s="11">
        <f>IF(OR($B171="",NOT(ISNUMBER($C171))),"",IF($D171&lt;&gt;"",ROUND(Points!$B$6*IF($F171&lt;Points!$H$4,Points!$H$5,1),0),ROUND(Points!$B$6*IF($F171&lt;=1,1,Points!$H$7+(1-Points!$H$7)*((($F171-$E171)*(($F171-$E171)+1)/2)^2-((($F171-$E171-COUNTIFS($A$5:$A$1668,$A171,$C$5:$C$1668,$C171)+1)-1)*($F171-$E171-COUNTIFS($A$5:$A$1668,$A171,$C$5:$C$1668,$C171)+1)/2)^2)/(COUNTIFS($A$5:$A$1668,$A171,$C$5:$C$1668,$C171)*($F171-1)^3))*IF($F171&lt;Points!$H$4,Points!$H$5,1),0)))</f>
        <v/>
      </c>
      <c r="H171" s="11">
        <f>IF($G171="","",COUNTIFS($B$5:$B$1668,$B171,$G$5:$G$1668,"&gt;"&amp;$G171)+COUNTIFS($B$4:$B170,$B171,$G$4:$G170,$G171)+1)</f>
        <v/>
      </c>
      <c r="I171" s="11">
        <f>IF($G171="","",IF($H171&lt;=Points!$H$6,$G171,0))</f>
        <v/>
      </c>
      <c r="J171" s="11">
        <f>IF($B171="","",IF(COUNTIF(Players!$A$2:$A$500,$B171)=0,"Player is not on the Players tab",IF(NOT(ISNUMBER($C171)),"Enter a gross score",IF(COUNTIFS($A$5:$A$1668,$A171,$B$5:$B$1668,$B171)&gt;1,"Player is listed twice this week",IF(AND($D171&lt;&gt;"",COUNTIFS($A$5:$A$1668,$A171,$D$5:$D$1668,$D171)&gt;1),"Two players picked as "&amp;$D171,IF(COUNTIFS($A$5:$A$1668,$A171,$D$5:$D$1668,"Gross winner")=0,"Pick this week's gross winner",IF(COUNTIFS($A$5:$A$1668,$A171,$D$5:$D$1668,"Net winner")=0,"Pick this week's net winner","OK")))))))</f>
        <v/>
      </c>
    </row>
    <row r="172" outlineLevel="1">
      <c r="A172" s="13" t="n">
        <v>46428</v>
      </c>
      <c r="E172" s="11">
        <f>IF(OR($B172="",NOT(ISNUMBER($C172))),"",COUNTIFS($A$5:$A$1668,$A172,$C$5:$C$1668,"&lt;"&amp;$C172)+1)</f>
        <v/>
      </c>
      <c r="F172" s="11">
        <f>IF(OR($B172="",NOT(ISNUMBER($C172))),"",COUNTIFS($A$5:$A$1668,$A172,$C$5:$C$1668,"&gt;0"))</f>
        <v/>
      </c>
      <c r="G172" s="11">
        <f>IF(OR($B172="",NOT(ISNUMBER($C172))),"",IF($D172&lt;&gt;"",ROUND(Points!$B$6*IF($F172&lt;Points!$H$4,Points!$H$5,1),0),ROUND(Points!$B$6*IF($F172&lt;=1,1,Points!$H$7+(1-Points!$H$7)*((($F172-$E172)*(($F172-$E172)+1)/2)^2-((($F172-$E172-COUNTIFS($A$5:$A$1668,$A172,$C$5:$C$1668,$C172)+1)-1)*($F172-$E172-COUNTIFS($A$5:$A$1668,$A172,$C$5:$C$1668,$C172)+1)/2)^2)/(COUNTIFS($A$5:$A$1668,$A172,$C$5:$C$1668,$C172)*($F172-1)^3))*IF($F172&lt;Points!$H$4,Points!$H$5,1),0)))</f>
        <v/>
      </c>
      <c r="H172" s="11">
        <f>IF($G172="","",COUNTIFS($B$5:$B$1668,$B172,$G$5:$G$1668,"&gt;"&amp;$G172)+COUNTIFS($B$4:$B171,$B172,$G$4:$G171,$G172)+1)</f>
        <v/>
      </c>
      <c r="I172" s="11">
        <f>IF($G172="","",IF($H172&lt;=Points!$H$6,$G172,0))</f>
        <v/>
      </c>
      <c r="J172" s="11">
        <f>IF($B172="","",IF(COUNTIF(Players!$A$2:$A$500,$B172)=0,"Player is not on the Players tab",IF(NOT(ISNUMBER($C172)),"Enter a gross score",IF(COUNTIFS($A$5:$A$1668,$A172,$B$5:$B$1668,$B172)&gt;1,"Player is listed twice this week",IF(AND($D172&lt;&gt;"",COUNTIFS($A$5:$A$1668,$A172,$D$5:$D$1668,$D172)&gt;1),"Two players picked as "&amp;$D172,IF(COUNTIFS($A$5:$A$1668,$A172,$D$5:$D$1668,"Gross winner")=0,"Pick this week's gross winner",IF(COUNTIFS($A$5:$A$1668,$A172,$D$5:$D$1668,"Net winner")=0,"Pick this week's net winner","OK")))))))</f>
        <v/>
      </c>
    </row>
    <row r="173" outlineLevel="1">
      <c r="A173" s="13" t="n">
        <v>46428</v>
      </c>
      <c r="E173" s="11">
        <f>IF(OR($B173="",NOT(ISNUMBER($C173))),"",COUNTIFS($A$5:$A$1668,$A173,$C$5:$C$1668,"&lt;"&amp;$C173)+1)</f>
        <v/>
      </c>
      <c r="F173" s="11">
        <f>IF(OR($B173="",NOT(ISNUMBER($C173))),"",COUNTIFS($A$5:$A$1668,$A173,$C$5:$C$1668,"&gt;0"))</f>
        <v/>
      </c>
      <c r="G173" s="11">
        <f>IF(OR($B173="",NOT(ISNUMBER($C173))),"",IF($D173&lt;&gt;"",ROUND(Points!$B$6*IF($F173&lt;Points!$H$4,Points!$H$5,1),0),ROUND(Points!$B$6*IF($F173&lt;=1,1,Points!$H$7+(1-Points!$H$7)*((($F173-$E173)*(($F173-$E173)+1)/2)^2-((($F173-$E173-COUNTIFS($A$5:$A$1668,$A173,$C$5:$C$1668,$C173)+1)-1)*($F173-$E173-COUNTIFS($A$5:$A$1668,$A173,$C$5:$C$1668,$C173)+1)/2)^2)/(COUNTIFS($A$5:$A$1668,$A173,$C$5:$C$1668,$C173)*($F173-1)^3))*IF($F173&lt;Points!$H$4,Points!$H$5,1),0)))</f>
        <v/>
      </c>
      <c r="H173" s="11">
        <f>IF($G173="","",COUNTIFS($B$5:$B$1668,$B173,$G$5:$G$1668,"&gt;"&amp;$G173)+COUNTIFS($B$4:$B172,$B173,$G$4:$G172,$G173)+1)</f>
        <v/>
      </c>
      <c r="I173" s="11">
        <f>IF($G173="","",IF($H173&lt;=Points!$H$6,$G173,0))</f>
        <v/>
      </c>
      <c r="J173" s="11">
        <f>IF($B173="","",IF(COUNTIF(Players!$A$2:$A$500,$B173)=0,"Player is not on the Players tab",IF(NOT(ISNUMBER($C173)),"Enter a gross score",IF(COUNTIFS($A$5:$A$1668,$A173,$B$5:$B$1668,$B173)&gt;1,"Player is listed twice this week",IF(AND($D173&lt;&gt;"",COUNTIFS($A$5:$A$1668,$A173,$D$5:$D$1668,$D173)&gt;1),"Two players picked as "&amp;$D173,IF(COUNTIFS($A$5:$A$1668,$A173,$D$5:$D$1668,"Gross winner")=0,"Pick this week's gross winner",IF(COUNTIFS($A$5:$A$1668,$A173,$D$5:$D$1668,"Net winner")=0,"Pick this week's net winner","OK")))))))</f>
        <v/>
      </c>
    </row>
    <row r="174" outlineLevel="1">
      <c r="A174" s="13" t="n">
        <v>46428</v>
      </c>
      <c r="E174" s="11">
        <f>IF(OR($B174="",NOT(ISNUMBER($C174))),"",COUNTIFS($A$5:$A$1668,$A174,$C$5:$C$1668,"&lt;"&amp;$C174)+1)</f>
        <v/>
      </c>
      <c r="F174" s="11">
        <f>IF(OR($B174="",NOT(ISNUMBER($C174))),"",COUNTIFS($A$5:$A$1668,$A174,$C$5:$C$1668,"&gt;0"))</f>
        <v/>
      </c>
      <c r="G174" s="11">
        <f>IF(OR($B174="",NOT(ISNUMBER($C174))),"",IF($D174&lt;&gt;"",ROUND(Points!$B$6*IF($F174&lt;Points!$H$4,Points!$H$5,1),0),ROUND(Points!$B$6*IF($F174&lt;=1,1,Points!$H$7+(1-Points!$H$7)*((($F174-$E174)*(($F174-$E174)+1)/2)^2-((($F174-$E174-COUNTIFS($A$5:$A$1668,$A174,$C$5:$C$1668,$C174)+1)-1)*($F174-$E174-COUNTIFS($A$5:$A$1668,$A174,$C$5:$C$1668,$C174)+1)/2)^2)/(COUNTIFS($A$5:$A$1668,$A174,$C$5:$C$1668,$C174)*($F174-1)^3))*IF($F174&lt;Points!$H$4,Points!$H$5,1),0)))</f>
        <v/>
      </c>
      <c r="H174" s="11">
        <f>IF($G174="","",COUNTIFS($B$5:$B$1668,$B174,$G$5:$G$1668,"&gt;"&amp;$G174)+COUNTIFS($B$4:$B173,$B174,$G$4:$G173,$G174)+1)</f>
        <v/>
      </c>
      <c r="I174" s="11">
        <f>IF($G174="","",IF($H174&lt;=Points!$H$6,$G174,0))</f>
        <v/>
      </c>
      <c r="J174" s="11">
        <f>IF($B174="","",IF(COUNTIF(Players!$A$2:$A$500,$B174)=0,"Player is not on the Players tab",IF(NOT(ISNUMBER($C174)),"Enter a gross score",IF(COUNTIFS($A$5:$A$1668,$A174,$B$5:$B$1668,$B174)&gt;1,"Player is listed twice this week",IF(AND($D174&lt;&gt;"",COUNTIFS($A$5:$A$1668,$A174,$D$5:$D$1668,$D174)&gt;1),"Two players picked as "&amp;$D174,IF(COUNTIFS($A$5:$A$1668,$A174,$D$5:$D$1668,"Gross winner")=0,"Pick this week's gross winner",IF(COUNTIFS($A$5:$A$1668,$A174,$D$5:$D$1668,"Net winner")=0,"Pick this week's net winner","OK")))))))</f>
        <v/>
      </c>
    </row>
    <row r="175" outlineLevel="1">
      <c r="A175" s="13" t="n">
        <v>46428</v>
      </c>
      <c r="E175" s="11">
        <f>IF(OR($B175="",NOT(ISNUMBER($C175))),"",COUNTIFS($A$5:$A$1668,$A175,$C$5:$C$1668,"&lt;"&amp;$C175)+1)</f>
        <v/>
      </c>
      <c r="F175" s="11">
        <f>IF(OR($B175="",NOT(ISNUMBER($C175))),"",COUNTIFS($A$5:$A$1668,$A175,$C$5:$C$1668,"&gt;0"))</f>
        <v/>
      </c>
      <c r="G175" s="11">
        <f>IF(OR($B175="",NOT(ISNUMBER($C175))),"",IF($D175&lt;&gt;"",ROUND(Points!$B$6*IF($F175&lt;Points!$H$4,Points!$H$5,1),0),ROUND(Points!$B$6*IF($F175&lt;=1,1,Points!$H$7+(1-Points!$H$7)*((($F175-$E175)*(($F175-$E175)+1)/2)^2-((($F175-$E175-COUNTIFS($A$5:$A$1668,$A175,$C$5:$C$1668,$C175)+1)-1)*($F175-$E175-COUNTIFS($A$5:$A$1668,$A175,$C$5:$C$1668,$C175)+1)/2)^2)/(COUNTIFS($A$5:$A$1668,$A175,$C$5:$C$1668,$C175)*($F175-1)^3))*IF($F175&lt;Points!$H$4,Points!$H$5,1),0)))</f>
        <v/>
      </c>
      <c r="H175" s="11">
        <f>IF($G175="","",COUNTIFS($B$5:$B$1668,$B175,$G$5:$G$1668,"&gt;"&amp;$G175)+COUNTIFS($B$4:$B174,$B175,$G$4:$G174,$G175)+1)</f>
        <v/>
      </c>
      <c r="I175" s="11">
        <f>IF($G175="","",IF($H175&lt;=Points!$H$6,$G175,0))</f>
        <v/>
      </c>
      <c r="J175" s="11">
        <f>IF($B175="","",IF(COUNTIF(Players!$A$2:$A$500,$B175)=0,"Player is not on the Players tab",IF(NOT(ISNUMBER($C175)),"Enter a gross score",IF(COUNTIFS($A$5:$A$1668,$A175,$B$5:$B$1668,$B175)&gt;1,"Player is listed twice this week",IF(AND($D175&lt;&gt;"",COUNTIFS($A$5:$A$1668,$A175,$D$5:$D$1668,$D175)&gt;1),"Two players picked as "&amp;$D175,IF(COUNTIFS($A$5:$A$1668,$A175,$D$5:$D$1668,"Gross winner")=0,"Pick this week's gross winner",IF(COUNTIFS($A$5:$A$1668,$A175,$D$5:$D$1668,"Net winner")=0,"Pick this week's net winner","OK")))))))</f>
        <v/>
      </c>
    </row>
    <row r="176" outlineLevel="1">
      <c r="A176" s="13" t="n">
        <v>46428</v>
      </c>
      <c r="E176" s="11">
        <f>IF(OR($B176="",NOT(ISNUMBER($C176))),"",COUNTIFS($A$5:$A$1668,$A176,$C$5:$C$1668,"&lt;"&amp;$C176)+1)</f>
        <v/>
      </c>
      <c r="F176" s="11">
        <f>IF(OR($B176="",NOT(ISNUMBER($C176))),"",COUNTIFS($A$5:$A$1668,$A176,$C$5:$C$1668,"&gt;0"))</f>
        <v/>
      </c>
      <c r="G176" s="11">
        <f>IF(OR($B176="",NOT(ISNUMBER($C176))),"",IF($D176&lt;&gt;"",ROUND(Points!$B$6*IF($F176&lt;Points!$H$4,Points!$H$5,1),0),ROUND(Points!$B$6*IF($F176&lt;=1,1,Points!$H$7+(1-Points!$H$7)*((($F176-$E176)*(($F176-$E176)+1)/2)^2-((($F176-$E176-COUNTIFS($A$5:$A$1668,$A176,$C$5:$C$1668,$C176)+1)-1)*($F176-$E176-COUNTIFS($A$5:$A$1668,$A176,$C$5:$C$1668,$C176)+1)/2)^2)/(COUNTIFS($A$5:$A$1668,$A176,$C$5:$C$1668,$C176)*($F176-1)^3))*IF($F176&lt;Points!$H$4,Points!$H$5,1),0)))</f>
        <v/>
      </c>
      <c r="H176" s="11">
        <f>IF($G176="","",COUNTIFS($B$5:$B$1668,$B176,$G$5:$G$1668,"&gt;"&amp;$G176)+COUNTIFS($B$4:$B175,$B176,$G$4:$G175,$G176)+1)</f>
        <v/>
      </c>
      <c r="I176" s="11">
        <f>IF($G176="","",IF($H176&lt;=Points!$H$6,$G176,0))</f>
        <v/>
      </c>
      <c r="J176" s="11">
        <f>IF($B176="","",IF(COUNTIF(Players!$A$2:$A$500,$B176)=0,"Player is not on the Players tab",IF(NOT(ISNUMBER($C176)),"Enter a gross score",IF(COUNTIFS($A$5:$A$1668,$A176,$B$5:$B$1668,$B176)&gt;1,"Player is listed twice this week",IF(AND($D176&lt;&gt;"",COUNTIFS($A$5:$A$1668,$A176,$D$5:$D$1668,$D176)&gt;1),"Two players picked as "&amp;$D176,IF(COUNTIFS($A$5:$A$1668,$A176,$D$5:$D$1668,"Gross winner")=0,"Pick this week's gross winner",IF(COUNTIFS($A$5:$A$1668,$A176,$D$5:$D$1668,"Net winner")=0,"Pick this week's net winner","OK")))))))</f>
        <v/>
      </c>
    </row>
    <row r="177" outlineLevel="1">
      <c r="A177" s="13" t="n">
        <v>46428</v>
      </c>
      <c r="E177" s="11">
        <f>IF(OR($B177="",NOT(ISNUMBER($C177))),"",COUNTIFS($A$5:$A$1668,$A177,$C$5:$C$1668,"&lt;"&amp;$C177)+1)</f>
        <v/>
      </c>
      <c r="F177" s="11">
        <f>IF(OR($B177="",NOT(ISNUMBER($C177))),"",COUNTIFS($A$5:$A$1668,$A177,$C$5:$C$1668,"&gt;0"))</f>
        <v/>
      </c>
      <c r="G177" s="11">
        <f>IF(OR($B177="",NOT(ISNUMBER($C177))),"",IF($D177&lt;&gt;"",ROUND(Points!$B$6*IF($F177&lt;Points!$H$4,Points!$H$5,1),0),ROUND(Points!$B$6*IF($F177&lt;=1,1,Points!$H$7+(1-Points!$H$7)*((($F177-$E177)*(($F177-$E177)+1)/2)^2-((($F177-$E177-COUNTIFS($A$5:$A$1668,$A177,$C$5:$C$1668,$C177)+1)-1)*($F177-$E177-COUNTIFS($A$5:$A$1668,$A177,$C$5:$C$1668,$C177)+1)/2)^2)/(COUNTIFS($A$5:$A$1668,$A177,$C$5:$C$1668,$C177)*($F177-1)^3))*IF($F177&lt;Points!$H$4,Points!$H$5,1),0)))</f>
        <v/>
      </c>
      <c r="H177" s="11">
        <f>IF($G177="","",COUNTIFS($B$5:$B$1668,$B177,$G$5:$G$1668,"&gt;"&amp;$G177)+COUNTIFS($B$4:$B176,$B177,$G$4:$G176,$G177)+1)</f>
        <v/>
      </c>
      <c r="I177" s="11">
        <f>IF($G177="","",IF($H177&lt;=Points!$H$6,$G177,0))</f>
        <v/>
      </c>
      <c r="J177" s="11">
        <f>IF($B177="","",IF(COUNTIF(Players!$A$2:$A$500,$B177)=0,"Player is not on the Players tab",IF(NOT(ISNUMBER($C177)),"Enter a gross score",IF(COUNTIFS($A$5:$A$1668,$A177,$B$5:$B$1668,$B177)&gt;1,"Player is listed twice this week",IF(AND($D177&lt;&gt;"",COUNTIFS($A$5:$A$1668,$A177,$D$5:$D$1668,$D177)&gt;1),"Two players picked as "&amp;$D177,IF(COUNTIFS($A$5:$A$1668,$A177,$D$5:$D$1668,"Gross winner")=0,"Pick this week's gross winner",IF(COUNTIFS($A$5:$A$1668,$A177,$D$5:$D$1668,"Net winner")=0,"Pick this week's net winner","OK")))))))</f>
        <v/>
      </c>
    </row>
    <row r="178" outlineLevel="1">
      <c r="A178" s="13" t="n">
        <v>46428</v>
      </c>
      <c r="E178" s="11">
        <f>IF(OR($B178="",NOT(ISNUMBER($C178))),"",COUNTIFS($A$5:$A$1668,$A178,$C$5:$C$1668,"&lt;"&amp;$C178)+1)</f>
        <v/>
      </c>
      <c r="F178" s="11">
        <f>IF(OR($B178="",NOT(ISNUMBER($C178))),"",COUNTIFS($A$5:$A$1668,$A178,$C$5:$C$1668,"&gt;0"))</f>
        <v/>
      </c>
      <c r="G178" s="11">
        <f>IF(OR($B178="",NOT(ISNUMBER($C178))),"",IF($D178&lt;&gt;"",ROUND(Points!$B$6*IF($F178&lt;Points!$H$4,Points!$H$5,1),0),ROUND(Points!$B$6*IF($F178&lt;=1,1,Points!$H$7+(1-Points!$H$7)*((($F178-$E178)*(($F178-$E178)+1)/2)^2-((($F178-$E178-COUNTIFS($A$5:$A$1668,$A178,$C$5:$C$1668,$C178)+1)-1)*($F178-$E178-COUNTIFS($A$5:$A$1668,$A178,$C$5:$C$1668,$C178)+1)/2)^2)/(COUNTIFS($A$5:$A$1668,$A178,$C$5:$C$1668,$C178)*($F178-1)^3))*IF($F178&lt;Points!$H$4,Points!$H$5,1),0)))</f>
        <v/>
      </c>
      <c r="H178" s="11">
        <f>IF($G178="","",COUNTIFS($B$5:$B$1668,$B178,$G$5:$G$1668,"&gt;"&amp;$G178)+COUNTIFS($B$4:$B177,$B178,$G$4:$G177,$G178)+1)</f>
        <v/>
      </c>
      <c r="I178" s="11">
        <f>IF($G178="","",IF($H178&lt;=Points!$H$6,$G178,0))</f>
        <v/>
      </c>
      <c r="J178" s="11">
        <f>IF($B178="","",IF(COUNTIF(Players!$A$2:$A$500,$B178)=0,"Player is not on the Players tab",IF(NOT(ISNUMBER($C178)),"Enter a gross score",IF(COUNTIFS($A$5:$A$1668,$A178,$B$5:$B$1668,$B178)&gt;1,"Player is listed twice this week",IF(AND($D178&lt;&gt;"",COUNTIFS($A$5:$A$1668,$A178,$D$5:$D$1668,$D178)&gt;1),"Two players picked as "&amp;$D178,IF(COUNTIFS($A$5:$A$1668,$A178,$D$5:$D$1668,"Gross winner")=0,"Pick this week's gross winner",IF(COUNTIFS($A$5:$A$1668,$A178,$D$5:$D$1668,"Net winner")=0,"Pick this week's net winner","OK")))))))</f>
        <v/>
      </c>
    </row>
    <row r="179" outlineLevel="1">
      <c r="A179" s="13" t="n">
        <v>46428</v>
      </c>
      <c r="E179" s="11">
        <f>IF(OR($B179="",NOT(ISNUMBER($C179))),"",COUNTIFS($A$5:$A$1668,$A179,$C$5:$C$1668,"&lt;"&amp;$C179)+1)</f>
        <v/>
      </c>
      <c r="F179" s="11">
        <f>IF(OR($B179="",NOT(ISNUMBER($C179))),"",COUNTIFS($A$5:$A$1668,$A179,$C$5:$C$1668,"&gt;0"))</f>
        <v/>
      </c>
      <c r="G179" s="11">
        <f>IF(OR($B179="",NOT(ISNUMBER($C179))),"",IF($D179&lt;&gt;"",ROUND(Points!$B$6*IF($F179&lt;Points!$H$4,Points!$H$5,1),0),ROUND(Points!$B$6*IF($F179&lt;=1,1,Points!$H$7+(1-Points!$H$7)*((($F179-$E179)*(($F179-$E179)+1)/2)^2-((($F179-$E179-COUNTIFS($A$5:$A$1668,$A179,$C$5:$C$1668,$C179)+1)-1)*($F179-$E179-COUNTIFS($A$5:$A$1668,$A179,$C$5:$C$1668,$C179)+1)/2)^2)/(COUNTIFS($A$5:$A$1668,$A179,$C$5:$C$1668,$C179)*($F179-1)^3))*IF($F179&lt;Points!$H$4,Points!$H$5,1),0)))</f>
        <v/>
      </c>
      <c r="H179" s="11">
        <f>IF($G179="","",COUNTIFS($B$5:$B$1668,$B179,$G$5:$G$1668,"&gt;"&amp;$G179)+COUNTIFS($B$4:$B178,$B179,$G$4:$G178,$G179)+1)</f>
        <v/>
      </c>
      <c r="I179" s="11">
        <f>IF($G179="","",IF($H179&lt;=Points!$H$6,$G179,0))</f>
        <v/>
      </c>
      <c r="J179" s="11">
        <f>IF($B179="","",IF(COUNTIF(Players!$A$2:$A$500,$B179)=0,"Player is not on the Players tab",IF(NOT(ISNUMBER($C179)),"Enter a gross score",IF(COUNTIFS($A$5:$A$1668,$A179,$B$5:$B$1668,$B179)&gt;1,"Player is listed twice this week",IF(AND($D179&lt;&gt;"",COUNTIFS($A$5:$A$1668,$A179,$D$5:$D$1668,$D179)&gt;1),"Two players picked as "&amp;$D179,IF(COUNTIFS($A$5:$A$1668,$A179,$D$5:$D$1668,"Gross winner")=0,"Pick this week's gross winner",IF(COUNTIFS($A$5:$A$1668,$A179,$D$5:$D$1668,"Net winner")=0,"Pick this week's net winner","OK")))))))</f>
        <v/>
      </c>
    </row>
    <row r="180" outlineLevel="1">
      <c r="A180" s="13" t="n">
        <v>46428</v>
      </c>
      <c r="E180" s="11">
        <f>IF(OR($B180="",NOT(ISNUMBER($C180))),"",COUNTIFS($A$5:$A$1668,$A180,$C$5:$C$1668,"&lt;"&amp;$C180)+1)</f>
        <v/>
      </c>
      <c r="F180" s="11">
        <f>IF(OR($B180="",NOT(ISNUMBER($C180))),"",COUNTIFS($A$5:$A$1668,$A180,$C$5:$C$1668,"&gt;0"))</f>
        <v/>
      </c>
      <c r="G180" s="11">
        <f>IF(OR($B180="",NOT(ISNUMBER($C180))),"",IF($D180&lt;&gt;"",ROUND(Points!$B$6*IF($F180&lt;Points!$H$4,Points!$H$5,1),0),ROUND(Points!$B$6*IF($F180&lt;=1,1,Points!$H$7+(1-Points!$H$7)*((($F180-$E180)*(($F180-$E180)+1)/2)^2-((($F180-$E180-COUNTIFS($A$5:$A$1668,$A180,$C$5:$C$1668,$C180)+1)-1)*($F180-$E180-COUNTIFS($A$5:$A$1668,$A180,$C$5:$C$1668,$C180)+1)/2)^2)/(COUNTIFS($A$5:$A$1668,$A180,$C$5:$C$1668,$C180)*($F180-1)^3))*IF($F180&lt;Points!$H$4,Points!$H$5,1),0)))</f>
        <v/>
      </c>
      <c r="H180" s="11">
        <f>IF($G180="","",COUNTIFS($B$5:$B$1668,$B180,$G$5:$G$1668,"&gt;"&amp;$G180)+COUNTIFS($B$4:$B179,$B180,$G$4:$G179,$G180)+1)</f>
        <v/>
      </c>
      <c r="I180" s="11">
        <f>IF($G180="","",IF($H180&lt;=Points!$H$6,$G180,0))</f>
        <v/>
      </c>
      <c r="J180" s="11">
        <f>IF($B180="","",IF(COUNTIF(Players!$A$2:$A$500,$B180)=0,"Player is not on the Players tab",IF(NOT(ISNUMBER($C180)),"Enter a gross score",IF(COUNTIFS($A$5:$A$1668,$A180,$B$5:$B$1668,$B180)&gt;1,"Player is listed twice this week",IF(AND($D180&lt;&gt;"",COUNTIFS($A$5:$A$1668,$A180,$D$5:$D$1668,$D180)&gt;1),"Two players picked as "&amp;$D180,IF(COUNTIFS($A$5:$A$1668,$A180,$D$5:$D$1668,"Gross winner")=0,"Pick this week's gross winner",IF(COUNTIFS($A$5:$A$1668,$A180,$D$5:$D$1668,"Net winner")=0,"Pick this week's net winner","OK")))))))</f>
        <v/>
      </c>
    </row>
    <row r="181" outlineLevel="1">
      <c r="A181" s="13" t="n">
        <v>46428</v>
      </c>
      <c r="E181" s="11">
        <f>IF(OR($B181="",NOT(ISNUMBER($C181))),"",COUNTIFS($A$5:$A$1668,$A181,$C$5:$C$1668,"&lt;"&amp;$C181)+1)</f>
        <v/>
      </c>
      <c r="F181" s="11">
        <f>IF(OR($B181="",NOT(ISNUMBER($C181))),"",COUNTIFS($A$5:$A$1668,$A181,$C$5:$C$1668,"&gt;0"))</f>
        <v/>
      </c>
      <c r="G181" s="11">
        <f>IF(OR($B181="",NOT(ISNUMBER($C181))),"",IF($D181&lt;&gt;"",ROUND(Points!$B$6*IF($F181&lt;Points!$H$4,Points!$H$5,1),0),ROUND(Points!$B$6*IF($F181&lt;=1,1,Points!$H$7+(1-Points!$H$7)*((($F181-$E181)*(($F181-$E181)+1)/2)^2-((($F181-$E181-COUNTIFS($A$5:$A$1668,$A181,$C$5:$C$1668,$C181)+1)-1)*($F181-$E181-COUNTIFS($A$5:$A$1668,$A181,$C$5:$C$1668,$C181)+1)/2)^2)/(COUNTIFS($A$5:$A$1668,$A181,$C$5:$C$1668,$C181)*($F181-1)^3))*IF($F181&lt;Points!$H$4,Points!$H$5,1),0)))</f>
        <v/>
      </c>
      <c r="H181" s="11">
        <f>IF($G181="","",COUNTIFS($B$5:$B$1668,$B181,$G$5:$G$1668,"&gt;"&amp;$G181)+COUNTIFS($B$4:$B180,$B181,$G$4:$G180,$G181)+1)</f>
        <v/>
      </c>
      <c r="I181" s="11">
        <f>IF($G181="","",IF($H181&lt;=Points!$H$6,$G181,0))</f>
        <v/>
      </c>
      <c r="J181" s="11">
        <f>IF($B181="","",IF(COUNTIF(Players!$A$2:$A$500,$B181)=0,"Player is not on the Players tab",IF(NOT(ISNUMBER($C181)),"Enter a gross score",IF(COUNTIFS($A$5:$A$1668,$A181,$B$5:$B$1668,$B181)&gt;1,"Player is listed twice this week",IF(AND($D181&lt;&gt;"",COUNTIFS($A$5:$A$1668,$A181,$D$5:$D$1668,$D181)&gt;1),"Two players picked as "&amp;$D181,IF(COUNTIFS($A$5:$A$1668,$A181,$D$5:$D$1668,"Gross winner")=0,"Pick this week's gross winner",IF(COUNTIFS($A$5:$A$1668,$A181,$D$5:$D$1668,"Net winner")=0,"Pick this week's net winner","OK")))))))</f>
        <v/>
      </c>
    </row>
    <row r="182" outlineLevel="1">
      <c r="A182" s="13" t="n">
        <v>46428</v>
      </c>
      <c r="E182" s="11">
        <f>IF(OR($B182="",NOT(ISNUMBER($C182))),"",COUNTIFS($A$5:$A$1668,$A182,$C$5:$C$1668,"&lt;"&amp;$C182)+1)</f>
        <v/>
      </c>
      <c r="F182" s="11">
        <f>IF(OR($B182="",NOT(ISNUMBER($C182))),"",COUNTIFS($A$5:$A$1668,$A182,$C$5:$C$1668,"&gt;0"))</f>
        <v/>
      </c>
      <c r="G182" s="11">
        <f>IF(OR($B182="",NOT(ISNUMBER($C182))),"",IF($D182&lt;&gt;"",ROUND(Points!$B$6*IF($F182&lt;Points!$H$4,Points!$H$5,1),0),ROUND(Points!$B$6*IF($F182&lt;=1,1,Points!$H$7+(1-Points!$H$7)*((($F182-$E182)*(($F182-$E182)+1)/2)^2-((($F182-$E182-COUNTIFS($A$5:$A$1668,$A182,$C$5:$C$1668,$C182)+1)-1)*($F182-$E182-COUNTIFS($A$5:$A$1668,$A182,$C$5:$C$1668,$C182)+1)/2)^2)/(COUNTIFS($A$5:$A$1668,$A182,$C$5:$C$1668,$C182)*($F182-1)^3))*IF($F182&lt;Points!$H$4,Points!$H$5,1),0)))</f>
        <v/>
      </c>
      <c r="H182" s="11">
        <f>IF($G182="","",COUNTIFS($B$5:$B$1668,$B182,$G$5:$G$1668,"&gt;"&amp;$G182)+COUNTIFS($B$4:$B181,$B182,$G$4:$G181,$G182)+1)</f>
        <v/>
      </c>
      <c r="I182" s="11">
        <f>IF($G182="","",IF($H182&lt;=Points!$H$6,$G182,0))</f>
        <v/>
      </c>
      <c r="J182" s="11">
        <f>IF($B182="","",IF(COUNTIF(Players!$A$2:$A$500,$B182)=0,"Player is not on the Players tab",IF(NOT(ISNUMBER($C182)),"Enter a gross score",IF(COUNTIFS($A$5:$A$1668,$A182,$B$5:$B$1668,$B182)&gt;1,"Player is listed twice this week",IF(AND($D182&lt;&gt;"",COUNTIFS($A$5:$A$1668,$A182,$D$5:$D$1668,$D182)&gt;1),"Two players picked as "&amp;$D182,IF(COUNTIFS($A$5:$A$1668,$A182,$D$5:$D$1668,"Gross winner")=0,"Pick this week's gross winner",IF(COUNTIFS($A$5:$A$1668,$A182,$D$5:$D$1668,"Net winner")=0,"Pick this week's net winner","OK")))))))</f>
        <v/>
      </c>
    </row>
    <row r="183" outlineLevel="1">
      <c r="A183" s="13" t="n">
        <v>46428</v>
      </c>
      <c r="E183" s="11">
        <f>IF(OR($B183="",NOT(ISNUMBER($C183))),"",COUNTIFS($A$5:$A$1668,$A183,$C$5:$C$1668,"&lt;"&amp;$C183)+1)</f>
        <v/>
      </c>
      <c r="F183" s="11">
        <f>IF(OR($B183="",NOT(ISNUMBER($C183))),"",COUNTIFS($A$5:$A$1668,$A183,$C$5:$C$1668,"&gt;0"))</f>
        <v/>
      </c>
      <c r="G183" s="11">
        <f>IF(OR($B183="",NOT(ISNUMBER($C183))),"",IF($D183&lt;&gt;"",ROUND(Points!$B$6*IF($F183&lt;Points!$H$4,Points!$H$5,1),0),ROUND(Points!$B$6*IF($F183&lt;=1,1,Points!$H$7+(1-Points!$H$7)*((($F183-$E183)*(($F183-$E183)+1)/2)^2-((($F183-$E183-COUNTIFS($A$5:$A$1668,$A183,$C$5:$C$1668,$C183)+1)-1)*($F183-$E183-COUNTIFS($A$5:$A$1668,$A183,$C$5:$C$1668,$C183)+1)/2)^2)/(COUNTIFS($A$5:$A$1668,$A183,$C$5:$C$1668,$C183)*($F183-1)^3))*IF($F183&lt;Points!$H$4,Points!$H$5,1),0)))</f>
        <v/>
      </c>
      <c r="H183" s="11">
        <f>IF($G183="","",COUNTIFS($B$5:$B$1668,$B183,$G$5:$G$1668,"&gt;"&amp;$G183)+COUNTIFS($B$4:$B182,$B183,$G$4:$G182,$G183)+1)</f>
        <v/>
      </c>
      <c r="I183" s="11">
        <f>IF($G183="","",IF($H183&lt;=Points!$H$6,$G183,0))</f>
        <v/>
      </c>
      <c r="J183" s="11">
        <f>IF($B183="","",IF(COUNTIF(Players!$A$2:$A$500,$B183)=0,"Player is not on the Players tab",IF(NOT(ISNUMBER($C183)),"Enter a gross score",IF(COUNTIFS($A$5:$A$1668,$A183,$B$5:$B$1668,$B183)&gt;1,"Player is listed twice this week",IF(AND($D183&lt;&gt;"",COUNTIFS($A$5:$A$1668,$A183,$D$5:$D$1668,$D183)&gt;1),"Two players picked as "&amp;$D183,IF(COUNTIFS($A$5:$A$1668,$A183,$D$5:$D$1668,"Gross winner")=0,"Pick this week's gross winner",IF(COUNTIFS($A$5:$A$1668,$A183,$D$5:$D$1668,"Net winner")=0,"Pick this week's net winner","OK")))))))</f>
        <v/>
      </c>
    </row>
    <row r="184" outlineLevel="1">
      <c r="A184" s="13" t="n">
        <v>46428</v>
      </c>
      <c r="E184" s="11">
        <f>IF(OR($B184="",NOT(ISNUMBER($C184))),"",COUNTIFS($A$5:$A$1668,$A184,$C$5:$C$1668,"&lt;"&amp;$C184)+1)</f>
        <v/>
      </c>
      <c r="F184" s="11">
        <f>IF(OR($B184="",NOT(ISNUMBER($C184))),"",COUNTIFS($A$5:$A$1668,$A184,$C$5:$C$1668,"&gt;0"))</f>
        <v/>
      </c>
      <c r="G184" s="11">
        <f>IF(OR($B184="",NOT(ISNUMBER($C184))),"",IF($D184&lt;&gt;"",ROUND(Points!$B$6*IF($F184&lt;Points!$H$4,Points!$H$5,1),0),ROUND(Points!$B$6*IF($F184&lt;=1,1,Points!$H$7+(1-Points!$H$7)*((($F184-$E184)*(($F184-$E184)+1)/2)^2-((($F184-$E184-COUNTIFS($A$5:$A$1668,$A184,$C$5:$C$1668,$C184)+1)-1)*($F184-$E184-COUNTIFS($A$5:$A$1668,$A184,$C$5:$C$1668,$C184)+1)/2)^2)/(COUNTIFS($A$5:$A$1668,$A184,$C$5:$C$1668,$C184)*($F184-1)^3))*IF($F184&lt;Points!$H$4,Points!$H$5,1),0)))</f>
        <v/>
      </c>
      <c r="H184" s="11">
        <f>IF($G184="","",COUNTIFS($B$5:$B$1668,$B184,$G$5:$G$1668,"&gt;"&amp;$G184)+COUNTIFS($B$4:$B183,$B184,$G$4:$G183,$G184)+1)</f>
        <v/>
      </c>
      <c r="I184" s="11">
        <f>IF($G184="","",IF($H184&lt;=Points!$H$6,$G184,0))</f>
        <v/>
      </c>
      <c r="J184" s="11">
        <f>IF($B184="","",IF(COUNTIF(Players!$A$2:$A$500,$B184)=0,"Player is not on the Players tab",IF(NOT(ISNUMBER($C184)),"Enter a gross score",IF(COUNTIFS($A$5:$A$1668,$A184,$B$5:$B$1668,$B184)&gt;1,"Player is listed twice this week",IF(AND($D184&lt;&gt;"",COUNTIFS($A$5:$A$1668,$A184,$D$5:$D$1668,$D184)&gt;1),"Two players picked as "&amp;$D184,IF(COUNTIFS($A$5:$A$1668,$A184,$D$5:$D$1668,"Gross winner")=0,"Pick this week's gross winner",IF(COUNTIFS($A$5:$A$1668,$A184,$D$5:$D$1668,"Net winner")=0,"Pick this week's net winner","OK")))))))</f>
        <v/>
      </c>
    </row>
    <row r="185" outlineLevel="1">
      <c r="A185" s="13" t="n">
        <v>46428</v>
      </c>
      <c r="E185" s="11">
        <f>IF(OR($B185="",NOT(ISNUMBER($C185))),"",COUNTIFS($A$5:$A$1668,$A185,$C$5:$C$1668,"&lt;"&amp;$C185)+1)</f>
        <v/>
      </c>
      <c r="F185" s="11">
        <f>IF(OR($B185="",NOT(ISNUMBER($C185))),"",COUNTIFS($A$5:$A$1668,$A185,$C$5:$C$1668,"&gt;0"))</f>
        <v/>
      </c>
      <c r="G185" s="11">
        <f>IF(OR($B185="",NOT(ISNUMBER($C185))),"",IF($D185&lt;&gt;"",ROUND(Points!$B$6*IF($F185&lt;Points!$H$4,Points!$H$5,1),0),ROUND(Points!$B$6*IF($F185&lt;=1,1,Points!$H$7+(1-Points!$H$7)*((($F185-$E185)*(($F185-$E185)+1)/2)^2-((($F185-$E185-COUNTIFS($A$5:$A$1668,$A185,$C$5:$C$1668,$C185)+1)-1)*($F185-$E185-COUNTIFS($A$5:$A$1668,$A185,$C$5:$C$1668,$C185)+1)/2)^2)/(COUNTIFS($A$5:$A$1668,$A185,$C$5:$C$1668,$C185)*($F185-1)^3))*IF($F185&lt;Points!$H$4,Points!$H$5,1),0)))</f>
        <v/>
      </c>
      <c r="H185" s="11">
        <f>IF($G185="","",COUNTIFS($B$5:$B$1668,$B185,$G$5:$G$1668,"&gt;"&amp;$G185)+COUNTIFS($B$4:$B184,$B185,$G$4:$G184,$G185)+1)</f>
        <v/>
      </c>
      <c r="I185" s="11">
        <f>IF($G185="","",IF($H185&lt;=Points!$H$6,$G185,0))</f>
        <v/>
      </c>
      <c r="J185" s="11">
        <f>IF($B185="","",IF(COUNTIF(Players!$A$2:$A$500,$B185)=0,"Player is not on the Players tab",IF(NOT(ISNUMBER($C185)),"Enter a gross score",IF(COUNTIFS($A$5:$A$1668,$A185,$B$5:$B$1668,$B185)&gt;1,"Player is listed twice this week",IF(AND($D185&lt;&gt;"",COUNTIFS($A$5:$A$1668,$A185,$D$5:$D$1668,$D185)&gt;1),"Two players picked as "&amp;$D185,IF(COUNTIFS($A$5:$A$1668,$A185,$D$5:$D$1668,"Gross winner")=0,"Pick this week's gross winner",IF(COUNTIFS($A$5:$A$1668,$A185,$D$5:$D$1668,"Net winner")=0,"Pick this week's net winner","OK")))))))</f>
        <v/>
      </c>
    </row>
    <row r="186" outlineLevel="1">
      <c r="A186" s="13" t="n">
        <v>46428</v>
      </c>
      <c r="E186" s="11">
        <f>IF(OR($B186="",NOT(ISNUMBER($C186))),"",COUNTIFS($A$5:$A$1668,$A186,$C$5:$C$1668,"&lt;"&amp;$C186)+1)</f>
        <v/>
      </c>
      <c r="F186" s="11">
        <f>IF(OR($B186="",NOT(ISNUMBER($C186))),"",COUNTIFS($A$5:$A$1668,$A186,$C$5:$C$1668,"&gt;0"))</f>
        <v/>
      </c>
      <c r="G186" s="11">
        <f>IF(OR($B186="",NOT(ISNUMBER($C186))),"",IF($D186&lt;&gt;"",ROUND(Points!$B$6*IF($F186&lt;Points!$H$4,Points!$H$5,1),0),ROUND(Points!$B$6*IF($F186&lt;=1,1,Points!$H$7+(1-Points!$H$7)*((($F186-$E186)*(($F186-$E186)+1)/2)^2-((($F186-$E186-COUNTIFS($A$5:$A$1668,$A186,$C$5:$C$1668,$C186)+1)-1)*($F186-$E186-COUNTIFS($A$5:$A$1668,$A186,$C$5:$C$1668,$C186)+1)/2)^2)/(COUNTIFS($A$5:$A$1668,$A186,$C$5:$C$1668,$C186)*($F186-1)^3))*IF($F186&lt;Points!$H$4,Points!$H$5,1),0)))</f>
        <v/>
      </c>
      <c r="H186" s="11">
        <f>IF($G186="","",COUNTIFS($B$5:$B$1668,$B186,$G$5:$G$1668,"&gt;"&amp;$G186)+COUNTIFS($B$4:$B185,$B186,$G$4:$G185,$G186)+1)</f>
        <v/>
      </c>
      <c r="I186" s="11">
        <f>IF($G186="","",IF($H186&lt;=Points!$H$6,$G186,0))</f>
        <v/>
      </c>
      <c r="J186" s="11">
        <f>IF($B186="","",IF(COUNTIF(Players!$A$2:$A$500,$B186)=0,"Player is not on the Players tab",IF(NOT(ISNUMBER($C186)),"Enter a gross score",IF(COUNTIFS($A$5:$A$1668,$A186,$B$5:$B$1668,$B186)&gt;1,"Player is listed twice this week",IF(AND($D186&lt;&gt;"",COUNTIFS($A$5:$A$1668,$A186,$D$5:$D$1668,$D186)&gt;1),"Two players picked as "&amp;$D186,IF(COUNTIFS($A$5:$A$1668,$A186,$D$5:$D$1668,"Gross winner")=0,"Pick this week's gross winner",IF(COUNTIFS($A$5:$A$1668,$A186,$D$5:$D$1668,"Net winner")=0,"Pick this week's net winner","OK")))))))</f>
        <v/>
      </c>
    </row>
    <row r="187" outlineLevel="1">
      <c r="A187" s="13" t="n">
        <v>46428</v>
      </c>
      <c r="E187" s="11">
        <f>IF(OR($B187="",NOT(ISNUMBER($C187))),"",COUNTIFS($A$5:$A$1668,$A187,$C$5:$C$1668,"&lt;"&amp;$C187)+1)</f>
        <v/>
      </c>
      <c r="F187" s="11">
        <f>IF(OR($B187="",NOT(ISNUMBER($C187))),"",COUNTIFS($A$5:$A$1668,$A187,$C$5:$C$1668,"&gt;0"))</f>
        <v/>
      </c>
      <c r="G187" s="11">
        <f>IF(OR($B187="",NOT(ISNUMBER($C187))),"",IF($D187&lt;&gt;"",ROUND(Points!$B$6*IF($F187&lt;Points!$H$4,Points!$H$5,1),0),ROUND(Points!$B$6*IF($F187&lt;=1,1,Points!$H$7+(1-Points!$H$7)*((($F187-$E187)*(($F187-$E187)+1)/2)^2-((($F187-$E187-COUNTIFS($A$5:$A$1668,$A187,$C$5:$C$1668,$C187)+1)-1)*($F187-$E187-COUNTIFS($A$5:$A$1668,$A187,$C$5:$C$1668,$C187)+1)/2)^2)/(COUNTIFS($A$5:$A$1668,$A187,$C$5:$C$1668,$C187)*($F187-1)^3))*IF($F187&lt;Points!$H$4,Points!$H$5,1),0)))</f>
        <v/>
      </c>
      <c r="H187" s="11">
        <f>IF($G187="","",COUNTIFS($B$5:$B$1668,$B187,$G$5:$G$1668,"&gt;"&amp;$G187)+COUNTIFS($B$4:$B186,$B187,$G$4:$G186,$G187)+1)</f>
        <v/>
      </c>
      <c r="I187" s="11">
        <f>IF($G187="","",IF($H187&lt;=Points!$H$6,$G187,0))</f>
        <v/>
      </c>
      <c r="J187" s="11">
        <f>IF($B187="","",IF(COUNTIF(Players!$A$2:$A$500,$B187)=0,"Player is not on the Players tab",IF(NOT(ISNUMBER($C187)),"Enter a gross score",IF(COUNTIFS($A$5:$A$1668,$A187,$B$5:$B$1668,$B187)&gt;1,"Player is listed twice this week",IF(AND($D187&lt;&gt;"",COUNTIFS($A$5:$A$1668,$A187,$D$5:$D$1668,$D187)&gt;1),"Two players picked as "&amp;$D187,IF(COUNTIFS($A$5:$A$1668,$A187,$D$5:$D$1668,"Gross winner")=0,"Pick this week's gross winner",IF(COUNTIFS($A$5:$A$1668,$A187,$D$5:$D$1668,"Net winner")=0,"Pick this week's net winner","OK")))))))</f>
        <v/>
      </c>
    </row>
    <row r="188" outlineLevel="1">
      <c r="A188" s="13" t="n">
        <v>46428</v>
      </c>
      <c r="E188" s="11">
        <f>IF(OR($B188="",NOT(ISNUMBER($C188))),"",COUNTIFS($A$5:$A$1668,$A188,$C$5:$C$1668,"&lt;"&amp;$C188)+1)</f>
        <v/>
      </c>
      <c r="F188" s="11">
        <f>IF(OR($B188="",NOT(ISNUMBER($C188))),"",COUNTIFS($A$5:$A$1668,$A188,$C$5:$C$1668,"&gt;0"))</f>
        <v/>
      </c>
      <c r="G188" s="11">
        <f>IF(OR($B188="",NOT(ISNUMBER($C188))),"",IF($D188&lt;&gt;"",ROUND(Points!$B$6*IF($F188&lt;Points!$H$4,Points!$H$5,1),0),ROUND(Points!$B$6*IF($F188&lt;=1,1,Points!$H$7+(1-Points!$H$7)*((($F188-$E188)*(($F188-$E188)+1)/2)^2-((($F188-$E188-COUNTIFS($A$5:$A$1668,$A188,$C$5:$C$1668,$C188)+1)-1)*($F188-$E188-COUNTIFS($A$5:$A$1668,$A188,$C$5:$C$1668,$C188)+1)/2)^2)/(COUNTIFS($A$5:$A$1668,$A188,$C$5:$C$1668,$C188)*($F188-1)^3))*IF($F188&lt;Points!$H$4,Points!$H$5,1),0)))</f>
        <v/>
      </c>
      <c r="H188" s="11">
        <f>IF($G188="","",COUNTIFS($B$5:$B$1668,$B188,$G$5:$G$1668,"&gt;"&amp;$G188)+COUNTIFS($B$4:$B187,$B188,$G$4:$G187,$G188)+1)</f>
        <v/>
      </c>
      <c r="I188" s="11">
        <f>IF($G188="","",IF($H188&lt;=Points!$H$6,$G188,0))</f>
        <v/>
      </c>
      <c r="J188" s="11">
        <f>IF($B188="","",IF(COUNTIF(Players!$A$2:$A$500,$B188)=0,"Player is not on the Players tab",IF(NOT(ISNUMBER($C188)),"Enter a gross score",IF(COUNTIFS($A$5:$A$1668,$A188,$B$5:$B$1668,$B188)&gt;1,"Player is listed twice this week",IF(AND($D188&lt;&gt;"",COUNTIFS($A$5:$A$1668,$A188,$D$5:$D$1668,$D188)&gt;1),"Two players picked as "&amp;$D188,IF(COUNTIFS($A$5:$A$1668,$A188,$D$5:$D$1668,"Gross winner")=0,"Pick this week's gross winner",IF(COUNTIFS($A$5:$A$1668,$A188,$D$5:$D$1668,"Net winner")=0,"Pick this week's net winner","OK")))))))</f>
        <v/>
      </c>
    </row>
    <row r="189" outlineLevel="1">
      <c r="A189" s="13" t="n">
        <v>46428</v>
      </c>
      <c r="E189" s="11">
        <f>IF(OR($B189="",NOT(ISNUMBER($C189))),"",COUNTIFS($A$5:$A$1668,$A189,$C$5:$C$1668,"&lt;"&amp;$C189)+1)</f>
        <v/>
      </c>
      <c r="F189" s="11">
        <f>IF(OR($B189="",NOT(ISNUMBER($C189))),"",COUNTIFS($A$5:$A$1668,$A189,$C$5:$C$1668,"&gt;0"))</f>
        <v/>
      </c>
      <c r="G189" s="11">
        <f>IF(OR($B189="",NOT(ISNUMBER($C189))),"",IF($D189&lt;&gt;"",ROUND(Points!$B$6*IF($F189&lt;Points!$H$4,Points!$H$5,1),0),ROUND(Points!$B$6*IF($F189&lt;=1,1,Points!$H$7+(1-Points!$H$7)*((($F189-$E189)*(($F189-$E189)+1)/2)^2-((($F189-$E189-COUNTIFS($A$5:$A$1668,$A189,$C$5:$C$1668,$C189)+1)-1)*($F189-$E189-COUNTIFS($A$5:$A$1668,$A189,$C$5:$C$1668,$C189)+1)/2)^2)/(COUNTIFS($A$5:$A$1668,$A189,$C$5:$C$1668,$C189)*($F189-1)^3))*IF($F189&lt;Points!$H$4,Points!$H$5,1),0)))</f>
        <v/>
      </c>
      <c r="H189" s="11">
        <f>IF($G189="","",COUNTIFS($B$5:$B$1668,$B189,$G$5:$G$1668,"&gt;"&amp;$G189)+COUNTIFS($B$4:$B188,$B189,$G$4:$G188,$G189)+1)</f>
        <v/>
      </c>
      <c r="I189" s="11">
        <f>IF($G189="","",IF($H189&lt;=Points!$H$6,$G189,0))</f>
        <v/>
      </c>
      <c r="J189" s="11">
        <f>IF($B189="","",IF(COUNTIF(Players!$A$2:$A$500,$B189)=0,"Player is not on the Players tab",IF(NOT(ISNUMBER($C189)),"Enter a gross score",IF(COUNTIFS($A$5:$A$1668,$A189,$B$5:$B$1668,$B189)&gt;1,"Player is listed twice this week",IF(AND($D189&lt;&gt;"",COUNTIFS($A$5:$A$1668,$A189,$D$5:$D$1668,$D189)&gt;1),"Two players picked as "&amp;$D189,IF(COUNTIFS($A$5:$A$1668,$A189,$D$5:$D$1668,"Gross winner")=0,"Pick this week's gross winner",IF(COUNTIFS($A$5:$A$1668,$A189,$D$5:$D$1668,"Net winner")=0,"Pick this week's net winner","OK")))))))</f>
        <v/>
      </c>
    </row>
    <row r="190" outlineLevel="1">
      <c r="A190" s="13" t="n">
        <v>46428</v>
      </c>
      <c r="E190" s="11">
        <f>IF(OR($B190="",NOT(ISNUMBER($C190))),"",COUNTIFS($A$5:$A$1668,$A190,$C$5:$C$1668,"&lt;"&amp;$C190)+1)</f>
        <v/>
      </c>
      <c r="F190" s="11">
        <f>IF(OR($B190="",NOT(ISNUMBER($C190))),"",COUNTIFS($A$5:$A$1668,$A190,$C$5:$C$1668,"&gt;0"))</f>
        <v/>
      </c>
      <c r="G190" s="11">
        <f>IF(OR($B190="",NOT(ISNUMBER($C190))),"",IF($D190&lt;&gt;"",ROUND(Points!$B$6*IF($F190&lt;Points!$H$4,Points!$H$5,1),0),ROUND(Points!$B$6*IF($F190&lt;=1,1,Points!$H$7+(1-Points!$H$7)*((($F190-$E190)*(($F190-$E190)+1)/2)^2-((($F190-$E190-COUNTIFS($A$5:$A$1668,$A190,$C$5:$C$1668,$C190)+1)-1)*($F190-$E190-COUNTIFS($A$5:$A$1668,$A190,$C$5:$C$1668,$C190)+1)/2)^2)/(COUNTIFS($A$5:$A$1668,$A190,$C$5:$C$1668,$C190)*($F190-1)^3))*IF($F190&lt;Points!$H$4,Points!$H$5,1),0)))</f>
        <v/>
      </c>
      <c r="H190" s="11">
        <f>IF($G190="","",COUNTIFS($B$5:$B$1668,$B190,$G$5:$G$1668,"&gt;"&amp;$G190)+COUNTIFS($B$4:$B189,$B190,$G$4:$G189,$G190)+1)</f>
        <v/>
      </c>
      <c r="I190" s="11">
        <f>IF($G190="","",IF($H190&lt;=Points!$H$6,$G190,0))</f>
        <v/>
      </c>
      <c r="J190" s="11">
        <f>IF($B190="","",IF(COUNTIF(Players!$A$2:$A$500,$B190)=0,"Player is not on the Players tab",IF(NOT(ISNUMBER($C190)),"Enter a gross score",IF(COUNTIFS($A$5:$A$1668,$A190,$B$5:$B$1668,$B190)&gt;1,"Player is listed twice this week",IF(AND($D190&lt;&gt;"",COUNTIFS($A$5:$A$1668,$A190,$D$5:$D$1668,$D190)&gt;1),"Two players picked as "&amp;$D190,IF(COUNTIFS($A$5:$A$1668,$A190,$D$5:$D$1668,"Gross winner")=0,"Pick this week's gross winner",IF(COUNTIFS($A$5:$A$1668,$A190,$D$5:$D$1668,"Net winner")=0,"Pick this week's net winner","OK")))))))</f>
        <v/>
      </c>
    </row>
    <row r="191" outlineLevel="1">
      <c r="A191" s="13" t="n">
        <v>46428</v>
      </c>
      <c r="E191" s="11">
        <f>IF(OR($B191="",NOT(ISNUMBER($C191))),"",COUNTIFS($A$5:$A$1668,$A191,$C$5:$C$1668,"&lt;"&amp;$C191)+1)</f>
        <v/>
      </c>
      <c r="F191" s="11">
        <f>IF(OR($B191="",NOT(ISNUMBER($C191))),"",COUNTIFS($A$5:$A$1668,$A191,$C$5:$C$1668,"&gt;0"))</f>
        <v/>
      </c>
      <c r="G191" s="11">
        <f>IF(OR($B191="",NOT(ISNUMBER($C191))),"",IF($D191&lt;&gt;"",ROUND(Points!$B$6*IF($F191&lt;Points!$H$4,Points!$H$5,1),0),ROUND(Points!$B$6*IF($F191&lt;=1,1,Points!$H$7+(1-Points!$H$7)*((($F191-$E191)*(($F191-$E191)+1)/2)^2-((($F191-$E191-COUNTIFS($A$5:$A$1668,$A191,$C$5:$C$1668,$C191)+1)-1)*($F191-$E191-COUNTIFS($A$5:$A$1668,$A191,$C$5:$C$1668,$C191)+1)/2)^2)/(COUNTIFS($A$5:$A$1668,$A191,$C$5:$C$1668,$C191)*($F191-1)^3))*IF($F191&lt;Points!$H$4,Points!$H$5,1),0)))</f>
        <v/>
      </c>
      <c r="H191" s="11">
        <f>IF($G191="","",COUNTIFS($B$5:$B$1668,$B191,$G$5:$G$1668,"&gt;"&amp;$G191)+COUNTIFS($B$4:$B190,$B191,$G$4:$G190,$G191)+1)</f>
        <v/>
      </c>
      <c r="I191" s="11">
        <f>IF($G191="","",IF($H191&lt;=Points!$H$6,$G191,0))</f>
        <v/>
      </c>
      <c r="J191" s="11">
        <f>IF($B191="","",IF(COUNTIF(Players!$A$2:$A$500,$B191)=0,"Player is not on the Players tab",IF(NOT(ISNUMBER($C191)),"Enter a gross score",IF(COUNTIFS($A$5:$A$1668,$A191,$B$5:$B$1668,$B191)&gt;1,"Player is listed twice this week",IF(AND($D191&lt;&gt;"",COUNTIFS($A$5:$A$1668,$A191,$D$5:$D$1668,$D191)&gt;1),"Two players picked as "&amp;$D191,IF(COUNTIFS($A$5:$A$1668,$A191,$D$5:$D$1668,"Gross winner")=0,"Pick this week's gross winner",IF(COUNTIFS($A$5:$A$1668,$A191,$D$5:$D$1668,"Net winner")=0,"Pick this week's net winner","OK")))))))</f>
        <v/>
      </c>
    </row>
    <row r="192" outlineLevel="1">
      <c r="A192" s="13" t="n">
        <v>46428</v>
      </c>
      <c r="E192" s="11">
        <f>IF(OR($B192="",NOT(ISNUMBER($C192))),"",COUNTIFS($A$5:$A$1668,$A192,$C$5:$C$1668,"&lt;"&amp;$C192)+1)</f>
        <v/>
      </c>
      <c r="F192" s="11">
        <f>IF(OR($B192="",NOT(ISNUMBER($C192))),"",COUNTIFS($A$5:$A$1668,$A192,$C$5:$C$1668,"&gt;0"))</f>
        <v/>
      </c>
      <c r="G192" s="11">
        <f>IF(OR($B192="",NOT(ISNUMBER($C192))),"",IF($D192&lt;&gt;"",ROUND(Points!$B$6*IF($F192&lt;Points!$H$4,Points!$H$5,1),0),ROUND(Points!$B$6*IF($F192&lt;=1,1,Points!$H$7+(1-Points!$H$7)*((($F192-$E192)*(($F192-$E192)+1)/2)^2-((($F192-$E192-COUNTIFS($A$5:$A$1668,$A192,$C$5:$C$1668,$C192)+1)-1)*($F192-$E192-COUNTIFS($A$5:$A$1668,$A192,$C$5:$C$1668,$C192)+1)/2)^2)/(COUNTIFS($A$5:$A$1668,$A192,$C$5:$C$1668,$C192)*($F192-1)^3))*IF($F192&lt;Points!$H$4,Points!$H$5,1),0)))</f>
        <v/>
      </c>
      <c r="H192" s="11">
        <f>IF($G192="","",COUNTIFS($B$5:$B$1668,$B192,$G$5:$G$1668,"&gt;"&amp;$G192)+COUNTIFS($B$4:$B191,$B192,$G$4:$G191,$G192)+1)</f>
        <v/>
      </c>
      <c r="I192" s="11">
        <f>IF($G192="","",IF($H192&lt;=Points!$H$6,$G192,0))</f>
        <v/>
      </c>
      <c r="J192" s="11">
        <f>IF($B192="","",IF(COUNTIF(Players!$A$2:$A$500,$B192)=0,"Player is not on the Players tab",IF(NOT(ISNUMBER($C192)),"Enter a gross score",IF(COUNTIFS($A$5:$A$1668,$A192,$B$5:$B$1668,$B192)&gt;1,"Player is listed twice this week",IF(AND($D192&lt;&gt;"",COUNTIFS($A$5:$A$1668,$A192,$D$5:$D$1668,$D192)&gt;1),"Two players picked as "&amp;$D192,IF(COUNTIFS($A$5:$A$1668,$A192,$D$5:$D$1668,"Gross winner")=0,"Pick this week's gross winner",IF(COUNTIFS($A$5:$A$1668,$A192,$D$5:$D$1668,"Net winner")=0,"Pick this week's net winner","OK")))))))</f>
        <v/>
      </c>
    </row>
    <row r="193" outlineLevel="1">
      <c r="A193" s="13" t="n">
        <v>46428</v>
      </c>
      <c r="E193" s="11">
        <f>IF(OR($B193="",NOT(ISNUMBER($C193))),"",COUNTIFS($A$5:$A$1668,$A193,$C$5:$C$1668,"&lt;"&amp;$C193)+1)</f>
        <v/>
      </c>
      <c r="F193" s="11">
        <f>IF(OR($B193="",NOT(ISNUMBER($C193))),"",COUNTIFS($A$5:$A$1668,$A193,$C$5:$C$1668,"&gt;0"))</f>
        <v/>
      </c>
      <c r="G193" s="11">
        <f>IF(OR($B193="",NOT(ISNUMBER($C193))),"",IF($D193&lt;&gt;"",ROUND(Points!$B$6*IF($F193&lt;Points!$H$4,Points!$H$5,1),0),ROUND(Points!$B$6*IF($F193&lt;=1,1,Points!$H$7+(1-Points!$H$7)*((($F193-$E193)*(($F193-$E193)+1)/2)^2-((($F193-$E193-COUNTIFS($A$5:$A$1668,$A193,$C$5:$C$1668,$C193)+1)-1)*($F193-$E193-COUNTIFS($A$5:$A$1668,$A193,$C$5:$C$1668,$C193)+1)/2)^2)/(COUNTIFS($A$5:$A$1668,$A193,$C$5:$C$1668,$C193)*($F193-1)^3))*IF($F193&lt;Points!$H$4,Points!$H$5,1),0)))</f>
        <v/>
      </c>
      <c r="H193" s="11">
        <f>IF($G193="","",COUNTIFS($B$5:$B$1668,$B193,$G$5:$G$1668,"&gt;"&amp;$G193)+COUNTIFS($B$4:$B192,$B193,$G$4:$G192,$G193)+1)</f>
        <v/>
      </c>
      <c r="I193" s="11">
        <f>IF($G193="","",IF($H193&lt;=Points!$H$6,$G193,0))</f>
        <v/>
      </c>
      <c r="J193" s="11">
        <f>IF($B193="","",IF(COUNTIF(Players!$A$2:$A$500,$B193)=0,"Player is not on the Players tab",IF(NOT(ISNUMBER($C193)),"Enter a gross score",IF(COUNTIFS($A$5:$A$1668,$A193,$B$5:$B$1668,$B193)&gt;1,"Player is listed twice this week",IF(AND($D193&lt;&gt;"",COUNTIFS($A$5:$A$1668,$A193,$D$5:$D$1668,$D193)&gt;1),"Two players picked as "&amp;$D193,IF(COUNTIFS($A$5:$A$1668,$A193,$D$5:$D$1668,"Gross winner")=0,"Pick this week's gross winner",IF(COUNTIFS($A$5:$A$1668,$A193,$D$5:$D$1668,"Net winner")=0,"Pick this week's net winner","OK")))))))</f>
        <v/>
      </c>
    </row>
    <row r="194" outlineLevel="1">
      <c r="A194" s="13" t="n">
        <v>46428</v>
      </c>
      <c r="E194" s="11">
        <f>IF(OR($B194="",NOT(ISNUMBER($C194))),"",COUNTIFS($A$5:$A$1668,$A194,$C$5:$C$1668,"&lt;"&amp;$C194)+1)</f>
        <v/>
      </c>
      <c r="F194" s="11">
        <f>IF(OR($B194="",NOT(ISNUMBER($C194))),"",COUNTIFS($A$5:$A$1668,$A194,$C$5:$C$1668,"&gt;0"))</f>
        <v/>
      </c>
      <c r="G194" s="11">
        <f>IF(OR($B194="",NOT(ISNUMBER($C194))),"",IF($D194&lt;&gt;"",ROUND(Points!$B$6*IF($F194&lt;Points!$H$4,Points!$H$5,1),0),ROUND(Points!$B$6*IF($F194&lt;=1,1,Points!$H$7+(1-Points!$H$7)*((($F194-$E194)*(($F194-$E194)+1)/2)^2-((($F194-$E194-COUNTIFS($A$5:$A$1668,$A194,$C$5:$C$1668,$C194)+1)-1)*($F194-$E194-COUNTIFS($A$5:$A$1668,$A194,$C$5:$C$1668,$C194)+1)/2)^2)/(COUNTIFS($A$5:$A$1668,$A194,$C$5:$C$1668,$C194)*($F194-1)^3))*IF($F194&lt;Points!$H$4,Points!$H$5,1),0)))</f>
        <v/>
      </c>
      <c r="H194" s="11">
        <f>IF($G194="","",COUNTIFS($B$5:$B$1668,$B194,$G$5:$G$1668,"&gt;"&amp;$G194)+COUNTIFS($B$4:$B193,$B194,$G$4:$G193,$G194)+1)</f>
        <v/>
      </c>
      <c r="I194" s="11">
        <f>IF($G194="","",IF($H194&lt;=Points!$H$6,$G194,0))</f>
        <v/>
      </c>
      <c r="J194" s="11">
        <f>IF($B194="","",IF(COUNTIF(Players!$A$2:$A$500,$B194)=0,"Player is not on the Players tab",IF(NOT(ISNUMBER($C194)),"Enter a gross score",IF(COUNTIFS($A$5:$A$1668,$A194,$B$5:$B$1668,$B194)&gt;1,"Player is listed twice this week",IF(AND($D194&lt;&gt;"",COUNTIFS($A$5:$A$1668,$A194,$D$5:$D$1668,$D194)&gt;1),"Two players picked as "&amp;$D194,IF(COUNTIFS($A$5:$A$1668,$A194,$D$5:$D$1668,"Gross winner")=0,"Pick this week's gross winner",IF(COUNTIFS($A$5:$A$1668,$A194,$D$5:$D$1668,"Net winner")=0,"Pick this week's net winner","OK")))))))</f>
        <v/>
      </c>
    </row>
    <row r="195" outlineLevel="1">
      <c r="A195" s="13" t="n">
        <v>46428</v>
      </c>
      <c r="E195" s="11">
        <f>IF(OR($B195="",NOT(ISNUMBER($C195))),"",COUNTIFS($A$5:$A$1668,$A195,$C$5:$C$1668,"&lt;"&amp;$C195)+1)</f>
        <v/>
      </c>
      <c r="F195" s="11">
        <f>IF(OR($B195="",NOT(ISNUMBER($C195))),"",COUNTIFS($A$5:$A$1668,$A195,$C$5:$C$1668,"&gt;0"))</f>
        <v/>
      </c>
      <c r="G195" s="11">
        <f>IF(OR($B195="",NOT(ISNUMBER($C195))),"",IF($D195&lt;&gt;"",ROUND(Points!$B$6*IF($F195&lt;Points!$H$4,Points!$H$5,1),0),ROUND(Points!$B$6*IF($F195&lt;=1,1,Points!$H$7+(1-Points!$H$7)*((($F195-$E195)*(($F195-$E195)+1)/2)^2-((($F195-$E195-COUNTIFS($A$5:$A$1668,$A195,$C$5:$C$1668,$C195)+1)-1)*($F195-$E195-COUNTIFS($A$5:$A$1668,$A195,$C$5:$C$1668,$C195)+1)/2)^2)/(COUNTIFS($A$5:$A$1668,$A195,$C$5:$C$1668,$C195)*($F195-1)^3))*IF($F195&lt;Points!$H$4,Points!$H$5,1),0)))</f>
        <v/>
      </c>
      <c r="H195" s="11">
        <f>IF($G195="","",COUNTIFS($B$5:$B$1668,$B195,$G$5:$G$1668,"&gt;"&amp;$G195)+COUNTIFS($B$4:$B194,$B195,$G$4:$G194,$G195)+1)</f>
        <v/>
      </c>
      <c r="I195" s="11">
        <f>IF($G195="","",IF($H195&lt;=Points!$H$6,$G195,0))</f>
        <v/>
      </c>
      <c r="J195" s="11">
        <f>IF($B195="","",IF(COUNTIF(Players!$A$2:$A$500,$B195)=0,"Player is not on the Players tab",IF(NOT(ISNUMBER($C195)),"Enter a gross score",IF(COUNTIFS($A$5:$A$1668,$A195,$B$5:$B$1668,$B195)&gt;1,"Player is listed twice this week",IF(AND($D195&lt;&gt;"",COUNTIFS($A$5:$A$1668,$A195,$D$5:$D$1668,$D195)&gt;1),"Two players picked as "&amp;$D195,IF(COUNTIFS($A$5:$A$1668,$A195,$D$5:$D$1668,"Gross winner")=0,"Pick this week's gross winner",IF(COUNTIFS($A$5:$A$1668,$A195,$D$5:$D$1668,"Net winner")=0,"Pick this week's net winner","OK")))))))</f>
        <v/>
      </c>
    </row>
    <row r="196" ht="10" customHeight="1"/>
    <row r="197" ht="22" customHeight="1">
      <c r="A197" s="12" t="inlineStr">
        <is>
          <t>Week 7  ·  Wednesday, Feb 17</t>
        </is>
      </c>
    </row>
    <row r="198" outlineLevel="1">
      <c r="A198" s="13" t="n">
        <v>46435</v>
      </c>
      <c r="E198" s="11">
        <f>IF(OR($B198="",NOT(ISNUMBER($C198))),"",COUNTIFS($A$5:$A$1668,$A198,$C$5:$C$1668,"&lt;"&amp;$C198)+1)</f>
        <v/>
      </c>
      <c r="F198" s="11">
        <f>IF(OR($B198="",NOT(ISNUMBER($C198))),"",COUNTIFS($A$5:$A$1668,$A198,$C$5:$C$1668,"&gt;0"))</f>
        <v/>
      </c>
      <c r="G198" s="11">
        <f>IF(OR($B198="",NOT(ISNUMBER($C198))),"",IF($D198&lt;&gt;"",ROUND(Points!$B$6*IF($F198&lt;Points!$H$4,Points!$H$5,1),0),ROUND(Points!$B$6*IF($F198&lt;=1,1,Points!$H$7+(1-Points!$H$7)*((($F198-$E198)*(($F198-$E198)+1)/2)^2-((($F198-$E198-COUNTIFS($A$5:$A$1668,$A198,$C$5:$C$1668,$C198)+1)-1)*($F198-$E198-COUNTIFS($A$5:$A$1668,$A198,$C$5:$C$1668,$C198)+1)/2)^2)/(COUNTIFS($A$5:$A$1668,$A198,$C$5:$C$1668,$C198)*($F198-1)^3))*IF($F198&lt;Points!$H$4,Points!$H$5,1),0)))</f>
        <v/>
      </c>
      <c r="H198" s="11">
        <f>IF($G198="","",COUNTIFS($B$5:$B$1668,$B198,$G$5:$G$1668,"&gt;"&amp;$G198)+COUNTIFS($B$4:$B197,$B198,$G$4:$G197,$G198)+1)</f>
        <v/>
      </c>
      <c r="I198" s="11">
        <f>IF($G198="","",IF($H198&lt;=Points!$H$6,$G198,0))</f>
        <v/>
      </c>
      <c r="J198" s="11">
        <f>IF($B198="","",IF(COUNTIF(Players!$A$2:$A$500,$B198)=0,"Player is not on the Players tab",IF(NOT(ISNUMBER($C198)),"Enter a gross score",IF(COUNTIFS($A$5:$A$1668,$A198,$B$5:$B$1668,$B198)&gt;1,"Player is listed twice this week",IF(AND($D198&lt;&gt;"",COUNTIFS($A$5:$A$1668,$A198,$D$5:$D$1668,$D198)&gt;1),"Two players picked as "&amp;$D198,IF(COUNTIFS($A$5:$A$1668,$A198,$D$5:$D$1668,"Gross winner")=0,"Pick this week's gross winner",IF(COUNTIFS($A$5:$A$1668,$A198,$D$5:$D$1668,"Net winner")=0,"Pick this week's net winner","OK")))))))</f>
        <v/>
      </c>
    </row>
    <row r="199" outlineLevel="1">
      <c r="A199" s="13" t="n">
        <v>46435</v>
      </c>
      <c r="E199" s="11">
        <f>IF(OR($B199="",NOT(ISNUMBER($C199))),"",COUNTIFS($A$5:$A$1668,$A199,$C$5:$C$1668,"&lt;"&amp;$C199)+1)</f>
        <v/>
      </c>
      <c r="F199" s="11">
        <f>IF(OR($B199="",NOT(ISNUMBER($C199))),"",COUNTIFS($A$5:$A$1668,$A199,$C$5:$C$1668,"&gt;0"))</f>
        <v/>
      </c>
      <c r="G199" s="11">
        <f>IF(OR($B199="",NOT(ISNUMBER($C199))),"",IF($D199&lt;&gt;"",ROUND(Points!$B$6*IF($F199&lt;Points!$H$4,Points!$H$5,1),0),ROUND(Points!$B$6*IF($F199&lt;=1,1,Points!$H$7+(1-Points!$H$7)*((($F199-$E199)*(($F199-$E199)+1)/2)^2-((($F199-$E199-COUNTIFS($A$5:$A$1668,$A199,$C$5:$C$1668,$C199)+1)-1)*($F199-$E199-COUNTIFS($A$5:$A$1668,$A199,$C$5:$C$1668,$C199)+1)/2)^2)/(COUNTIFS($A$5:$A$1668,$A199,$C$5:$C$1668,$C199)*($F199-1)^3))*IF($F199&lt;Points!$H$4,Points!$H$5,1),0)))</f>
        <v/>
      </c>
      <c r="H199" s="11">
        <f>IF($G199="","",COUNTIFS($B$5:$B$1668,$B199,$G$5:$G$1668,"&gt;"&amp;$G199)+COUNTIFS($B$4:$B198,$B199,$G$4:$G198,$G199)+1)</f>
        <v/>
      </c>
      <c r="I199" s="11">
        <f>IF($G199="","",IF($H199&lt;=Points!$H$6,$G199,0))</f>
        <v/>
      </c>
      <c r="J199" s="11">
        <f>IF($B199="","",IF(COUNTIF(Players!$A$2:$A$500,$B199)=0,"Player is not on the Players tab",IF(NOT(ISNUMBER($C199)),"Enter a gross score",IF(COUNTIFS($A$5:$A$1668,$A199,$B$5:$B$1668,$B199)&gt;1,"Player is listed twice this week",IF(AND($D199&lt;&gt;"",COUNTIFS($A$5:$A$1668,$A199,$D$5:$D$1668,$D199)&gt;1),"Two players picked as "&amp;$D199,IF(COUNTIFS($A$5:$A$1668,$A199,$D$5:$D$1668,"Gross winner")=0,"Pick this week's gross winner",IF(COUNTIFS($A$5:$A$1668,$A199,$D$5:$D$1668,"Net winner")=0,"Pick this week's net winner","OK")))))))</f>
        <v/>
      </c>
    </row>
    <row r="200" outlineLevel="1">
      <c r="A200" s="13" t="n">
        <v>46435</v>
      </c>
      <c r="E200" s="11">
        <f>IF(OR($B200="",NOT(ISNUMBER($C200))),"",COUNTIFS($A$5:$A$1668,$A200,$C$5:$C$1668,"&lt;"&amp;$C200)+1)</f>
        <v/>
      </c>
      <c r="F200" s="11">
        <f>IF(OR($B200="",NOT(ISNUMBER($C200))),"",COUNTIFS($A$5:$A$1668,$A200,$C$5:$C$1668,"&gt;0"))</f>
        <v/>
      </c>
      <c r="G200" s="11">
        <f>IF(OR($B200="",NOT(ISNUMBER($C200))),"",IF($D200&lt;&gt;"",ROUND(Points!$B$6*IF($F200&lt;Points!$H$4,Points!$H$5,1),0),ROUND(Points!$B$6*IF($F200&lt;=1,1,Points!$H$7+(1-Points!$H$7)*((($F200-$E200)*(($F200-$E200)+1)/2)^2-((($F200-$E200-COUNTIFS($A$5:$A$1668,$A200,$C$5:$C$1668,$C200)+1)-1)*($F200-$E200-COUNTIFS($A$5:$A$1668,$A200,$C$5:$C$1668,$C200)+1)/2)^2)/(COUNTIFS($A$5:$A$1668,$A200,$C$5:$C$1668,$C200)*($F200-1)^3))*IF($F200&lt;Points!$H$4,Points!$H$5,1),0)))</f>
        <v/>
      </c>
      <c r="H200" s="11">
        <f>IF($G200="","",COUNTIFS($B$5:$B$1668,$B200,$G$5:$G$1668,"&gt;"&amp;$G200)+COUNTIFS($B$4:$B199,$B200,$G$4:$G199,$G200)+1)</f>
        <v/>
      </c>
      <c r="I200" s="11">
        <f>IF($G200="","",IF($H200&lt;=Points!$H$6,$G200,0))</f>
        <v/>
      </c>
      <c r="J200" s="11">
        <f>IF($B200="","",IF(COUNTIF(Players!$A$2:$A$500,$B200)=0,"Player is not on the Players tab",IF(NOT(ISNUMBER($C200)),"Enter a gross score",IF(COUNTIFS($A$5:$A$1668,$A200,$B$5:$B$1668,$B200)&gt;1,"Player is listed twice this week",IF(AND($D200&lt;&gt;"",COUNTIFS($A$5:$A$1668,$A200,$D$5:$D$1668,$D200)&gt;1),"Two players picked as "&amp;$D200,IF(COUNTIFS($A$5:$A$1668,$A200,$D$5:$D$1668,"Gross winner")=0,"Pick this week's gross winner",IF(COUNTIFS($A$5:$A$1668,$A200,$D$5:$D$1668,"Net winner")=0,"Pick this week's net winner","OK")))))))</f>
        <v/>
      </c>
    </row>
    <row r="201" outlineLevel="1">
      <c r="A201" s="13" t="n">
        <v>46435</v>
      </c>
      <c r="E201" s="11">
        <f>IF(OR($B201="",NOT(ISNUMBER($C201))),"",COUNTIFS($A$5:$A$1668,$A201,$C$5:$C$1668,"&lt;"&amp;$C201)+1)</f>
        <v/>
      </c>
      <c r="F201" s="11">
        <f>IF(OR($B201="",NOT(ISNUMBER($C201))),"",COUNTIFS($A$5:$A$1668,$A201,$C$5:$C$1668,"&gt;0"))</f>
        <v/>
      </c>
      <c r="G201" s="11">
        <f>IF(OR($B201="",NOT(ISNUMBER($C201))),"",IF($D201&lt;&gt;"",ROUND(Points!$B$6*IF($F201&lt;Points!$H$4,Points!$H$5,1),0),ROUND(Points!$B$6*IF($F201&lt;=1,1,Points!$H$7+(1-Points!$H$7)*((($F201-$E201)*(($F201-$E201)+1)/2)^2-((($F201-$E201-COUNTIFS($A$5:$A$1668,$A201,$C$5:$C$1668,$C201)+1)-1)*($F201-$E201-COUNTIFS($A$5:$A$1668,$A201,$C$5:$C$1668,$C201)+1)/2)^2)/(COUNTIFS($A$5:$A$1668,$A201,$C$5:$C$1668,$C201)*($F201-1)^3))*IF($F201&lt;Points!$H$4,Points!$H$5,1),0)))</f>
        <v/>
      </c>
      <c r="H201" s="11">
        <f>IF($G201="","",COUNTIFS($B$5:$B$1668,$B201,$G$5:$G$1668,"&gt;"&amp;$G201)+COUNTIFS($B$4:$B200,$B201,$G$4:$G200,$G201)+1)</f>
        <v/>
      </c>
      <c r="I201" s="11">
        <f>IF($G201="","",IF($H201&lt;=Points!$H$6,$G201,0))</f>
        <v/>
      </c>
      <c r="J201" s="11">
        <f>IF($B201="","",IF(COUNTIF(Players!$A$2:$A$500,$B201)=0,"Player is not on the Players tab",IF(NOT(ISNUMBER($C201)),"Enter a gross score",IF(COUNTIFS($A$5:$A$1668,$A201,$B$5:$B$1668,$B201)&gt;1,"Player is listed twice this week",IF(AND($D201&lt;&gt;"",COUNTIFS($A$5:$A$1668,$A201,$D$5:$D$1668,$D201)&gt;1),"Two players picked as "&amp;$D201,IF(COUNTIFS($A$5:$A$1668,$A201,$D$5:$D$1668,"Gross winner")=0,"Pick this week's gross winner",IF(COUNTIFS($A$5:$A$1668,$A201,$D$5:$D$1668,"Net winner")=0,"Pick this week's net winner","OK")))))))</f>
        <v/>
      </c>
    </row>
    <row r="202" outlineLevel="1">
      <c r="A202" s="13" t="n">
        <v>46435</v>
      </c>
      <c r="E202" s="11">
        <f>IF(OR($B202="",NOT(ISNUMBER($C202))),"",COUNTIFS($A$5:$A$1668,$A202,$C$5:$C$1668,"&lt;"&amp;$C202)+1)</f>
        <v/>
      </c>
      <c r="F202" s="11">
        <f>IF(OR($B202="",NOT(ISNUMBER($C202))),"",COUNTIFS($A$5:$A$1668,$A202,$C$5:$C$1668,"&gt;0"))</f>
        <v/>
      </c>
      <c r="G202" s="11">
        <f>IF(OR($B202="",NOT(ISNUMBER($C202))),"",IF($D202&lt;&gt;"",ROUND(Points!$B$6*IF($F202&lt;Points!$H$4,Points!$H$5,1),0),ROUND(Points!$B$6*IF($F202&lt;=1,1,Points!$H$7+(1-Points!$H$7)*((($F202-$E202)*(($F202-$E202)+1)/2)^2-((($F202-$E202-COUNTIFS($A$5:$A$1668,$A202,$C$5:$C$1668,$C202)+1)-1)*($F202-$E202-COUNTIFS($A$5:$A$1668,$A202,$C$5:$C$1668,$C202)+1)/2)^2)/(COUNTIFS($A$5:$A$1668,$A202,$C$5:$C$1668,$C202)*($F202-1)^3))*IF($F202&lt;Points!$H$4,Points!$H$5,1),0)))</f>
        <v/>
      </c>
      <c r="H202" s="11">
        <f>IF($G202="","",COUNTIFS($B$5:$B$1668,$B202,$G$5:$G$1668,"&gt;"&amp;$G202)+COUNTIFS($B$4:$B201,$B202,$G$4:$G201,$G202)+1)</f>
        <v/>
      </c>
      <c r="I202" s="11">
        <f>IF($G202="","",IF($H202&lt;=Points!$H$6,$G202,0))</f>
        <v/>
      </c>
      <c r="J202" s="11">
        <f>IF($B202="","",IF(COUNTIF(Players!$A$2:$A$500,$B202)=0,"Player is not on the Players tab",IF(NOT(ISNUMBER($C202)),"Enter a gross score",IF(COUNTIFS($A$5:$A$1668,$A202,$B$5:$B$1668,$B202)&gt;1,"Player is listed twice this week",IF(AND($D202&lt;&gt;"",COUNTIFS($A$5:$A$1668,$A202,$D$5:$D$1668,$D202)&gt;1),"Two players picked as "&amp;$D202,IF(COUNTIFS($A$5:$A$1668,$A202,$D$5:$D$1668,"Gross winner")=0,"Pick this week's gross winner",IF(COUNTIFS($A$5:$A$1668,$A202,$D$5:$D$1668,"Net winner")=0,"Pick this week's net winner","OK")))))))</f>
        <v/>
      </c>
    </row>
    <row r="203" outlineLevel="1">
      <c r="A203" s="13" t="n">
        <v>46435</v>
      </c>
      <c r="E203" s="11">
        <f>IF(OR($B203="",NOT(ISNUMBER($C203))),"",COUNTIFS($A$5:$A$1668,$A203,$C$5:$C$1668,"&lt;"&amp;$C203)+1)</f>
        <v/>
      </c>
      <c r="F203" s="11">
        <f>IF(OR($B203="",NOT(ISNUMBER($C203))),"",COUNTIFS($A$5:$A$1668,$A203,$C$5:$C$1668,"&gt;0"))</f>
        <v/>
      </c>
      <c r="G203" s="11">
        <f>IF(OR($B203="",NOT(ISNUMBER($C203))),"",IF($D203&lt;&gt;"",ROUND(Points!$B$6*IF($F203&lt;Points!$H$4,Points!$H$5,1),0),ROUND(Points!$B$6*IF($F203&lt;=1,1,Points!$H$7+(1-Points!$H$7)*((($F203-$E203)*(($F203-$E203)+1)/2)^2-((($F203-$E203-COUNTIFS($A$5:$A$1668,$A203,$C$5:$C$1668,$C203)+1)-1)*($F203-$E203-COUNTIFS($A$5:$A$1668,$A203,$C$5:$C$1668,$C203)+1)/2)^2)/(COUNTIFS($A$5:$A$1668,$A203,$C$5:$C$1668,$C203)*($F203-1)^3))*IF($F203&lt;Points!$H$4,Points!$H$5,1),0)))</f>
        <v/>
      </c>
      <c r="H203" s="11">
        <f>IF($G203="","",COUNTIFS($B$5:$B$1668,$B203,$G$5:$G$1668,"&gt;"&amp;$G203)+COUNTIFS($B$4:$B202,$B203,$G$4:$G202,$G203)+1)</f>
        <v/>
      </c>
      <c r="I203" s="11">
        <f>IF($G203="","",IF($H203&lt;=Points!$H$6,$G203,0))</f>
        <v/>
      </c>
      <c r="J203" s="11">
        <f>IF($B203="","",IF(COUNTIF(Players!$A$2:$A$500,$B203)=0,"Player is not on the Players tab",IF(NOT(ISNUMBER($C203)),"Enter a gross score",IF(COUNTIFS($A$5:$A$1668,$A203,$B$5:$B$1668,$B203)&gt;1,"Player is listed twice this week",IF(AND($D203&lt;&gt;"",COUNTIFS($A$5:$A$1668,$A203,$D$5:$D$1668,$D203)&gt;1),"Two players picked as "&amp;$D203,IF(COUNTIFS($A$5:$A$1668,$A203,$D$5:$D$1668,"Gross winner")=0,"Pick this week's gross winner",IF(COUNTIFS($A$5:$A$1668,$A203,$D$5:$D$1668,"Net winner")=0,"Pick this week's net winner","OK")))))))</f>
        <v/>
      </c>
    </row>
    <row r="204" outlineLevel="1">
      <c r="A204" s="13" t="n">
        <v>46435</v>
      </c>
      <c r="E204" s="11">
        <f>IF(OR($B204="",NOT(ISNUMBER($C204))),"",COUNTIFS($A$5:$A$1668,$A204,$C$5:$C$1668,"&lt;"&amp;$C204)+1)</f>
        <v/>
      </c>
      <c r="F204" s="11">
        <f>IF(OR($B204="",NOT(ISNUMBER($C204))),"",COUNTIFS($A$5:$A$1668,$A204,$C$5:$C$1668,"&gt;0"))</f>
        <v/>
      </c>
      <c r="G204" s="11">
        <f>IF(OR($B204="",NOT(ISNUMBER($C204))),"",IF($D204&lt;&gt;"",ROUND(Points!$B$6*IF($F204&lt;Points!$H$4,Points!$H$5,1),0),ROUND(Points!$B$6*IF($F204&lt;=1,1,Points!$H$7+(1-Points!$H$7)*((($F204-$E204)*(($F204-$E204)+1)/2)^2-((($F204-$E204-COUNTIFS($A$5:$A$1668,$A204,$C$5:$C$1668,$C204)+1)-1)*($F204-$E204-COUNTIFS($A$5:$A$1668,$A204,$C$5:$C$1668,$C204)+1)/2)^2)/(COUNTIFS($A$5:$A$1668,$A204,$C$5:$C$1668,$C204)*($F204-1)^3))*IF($F204&lt;Points!$H$4,Points!$H$5,1),0)))</f>
        <v/>
      </c>
      <c r="H204" s="11">
        <f>IF($G204="","",COUNTIFS($B$5:$B$1668,$B204,$G$5:$G$1668,"&gt;"&amp;$G204)+COUNTIFS($B$4:$B203,$B204,$G$4:$G203,$G204)+1)</f>
        <v/>
      </c>
      <c r="I204" s="11">
        <f>IF($G204="","",IF($H204&lt;=Points!$H$6,$G204,0))</f>
        <v/>
      </c>
      <c r="J204" s="11">
        <f>IF($B204="","",IF(COUNTIF(Players!$A$2:$A$500,$B204)=0,"Player is not on the Players tab",IF(NOT(ISNUMBER($C204)),"Enter a gross score",IF(COUNTIFS($A$5:$A$1668,$A204,$B$5:$B$1668,$B204)&gt;1,"Player is listed twice this week",IF(AND($D204&lt;&gt;"",COUNTIFS($A$5:$A$1668,$A204,$D$5:$D$1668,$D204)&gt;1),"Two players picked as "&amp;$D204,IF(COUNTIFS($A$5:$A$1668,$A204,$D$5:$D$1668,"Gross winner")=0,"Pick this week's gross winner",IF(COUNTIFS($A$5:$A$1668,$A204,$D$5:$D$1668,"Net winner")=0,"Pick this week's net winner","OK")))))))</f>
        <v/>
      </c>
    </row>
    <row r="205" outlineLevel="1">
      <c r="A205" s="13" t="n">
        <v>46435</v>
      </c>
      <c r="E205" s="11">
        <f>IF(OR($B205="",NOT(ISNUMBER($C205))),"",COUNTIFS($A$5:$A$1668,$A205,$C$5:$C$1668,"&lt;"&amp;$C205)+1)</f>
        <v/>
      </c>
      <c r="F205" s="11">
        <f>IF(OR($B205="",NOT(ISNUMBER($C205))),"",COUNTIFS($A$5:$A$1668,$A205,$C$5:$C$1668,"&gt;0"))</f>
        <v/>
      </c>
      <c r="G205" s="11">
        <f>IF(OR($B205="",NOT(ISNUMBER($C205))),"",IF($D205&lt;&gt;"",ROUND(Points!$B$6*IF($F205&lt;Points!$H$4,Points!$H$5,1),0),ROUND(Points!$B$6*IF($F205&lt;=1,1,Points!$H$7+(1-Points!$H$7)*((($F205-$E205)*(($F205-$E205)+1)/2)^2-((($F205-$E205-COUNTIFS($A$5:$A$1668,$A205,$C$5:$C$1668,$C205)+1)-1)*($F205-$E205-COUNTIFS($A$5:$A$1668,$A205,$C$5:$C$1668,$C205)+1)/2)^2)/(COUNTIFS($A$5:$A$1668,$A205,$C$5:$C$1668,$C205)*($F205-1)^3))*IF($F205&lt;Points!$H$4,Points!$H$5,1),0)))</f>
        <v/>
      </c>
      <c r="H205" s="11">
        <f>IF($G205="","",COUNTIFS($B$5:$B$1668,$B205,$G$5:$G$1668,"&gt;"&amp;$G205)+COUNTIFS($B$4:$B204,$B205,$G$4:$G204,$G205)+1)</f>
        <v/>
      </c>
      <c r="I205" s="11">
        <f>IF($G205="","",IF($H205&lt;=Points!$H$6,$G205,0))</f>
        <v/>
      </c>
      <c r="J205" s="11">
        <f>IF($B205="","",IF(COUNTIF(Players!$A$2:$A$500,$B205)=0,"Player is not on the Players tab",IF(NOT(ISNUMBER($C205)),"Enter a gross score",IF(COUNTIFS($A$5:$A$1668,$A205,$B$5:$B$1668,$B205)&gt;1,"Player is listed twice this week",IF(AND($D205&lt;&gt;"",COUNTIFS($A$5:$A$1668,$A205,$D$5:$D$1668,$D205)&gt;1),"Two players picked as "&amp;$D205,IF(COUNTIFS($A$5:$A$1668,$A205,$D$5:$D$1668,"Gross winner")=0,"Pick this week's gross winner",IF(COUNTIFS($A$5:$A$1668,$A205,$D$5:$D$1668,"Net winner")=0,"Pick this week's net winner","OK")))))))</f>
        <v/>
      </c>
    </row>
    <row r="206" outlineLevel="1">
      <c r="A206" s="13" t="n">
        <v>46435</v>
      </c>
      <c r="E206" s="11">
        <f>IF(OR($B206="",NOT(ISNUMBER($C206))),"",COUNTIFS($A$5:$A$1668,$A206,$C$5:$C$1668,"&lt;"&amp;$C206)+1)</f>
        <v/>
      </c>
      <c r="F206" s="11">
        <f>IF(OR($B206="",NOT(ISNUMBER($C206))),"",COUNTIFS($A$5:$A$1668,$A206,$C$5:$C$1668,"&gt;0"))</f>
        <v/>
      </c>
      <c r="G206" s="11">
        <f>IF(OR($B206="",NOT(ISNUMBER($C206))),"",IF($D206&lt;&gt;"",ROUND(Points!$B$6*IF($F206&lt;Points!$H$4,Points!$H$5,1),0),ROUND(Points!$B$6*IF($F206&lt;=1,1,Points!$H$7+(1-Points!$H$7)*((($F206-$E206)*(($F206-$E206)+1)/2)^2-((($F206-$E206-COUNTIFS($A$5:$A$1668,$A206,$C$5:$C$1668,$C206)+1)-1)*($F206-$E206-COUNTIFS($A$5:$A$1668,$A206,$C$5:$C$1668,$C206)+1)/2)^2)/(COUNTIFS($A$5:$A$1668,$A206,$C$5:$C$1668,$C206)*($F206-1)^3))*IF($F206&lt;Points!$H$4,Points!$H$5,1),0)))</f>
        <v/>
      </c>
      <c r="H206" s="11">
        <f>IF($G206="","",COUNTIFS($B$5:$B$1668,$B206,$G$5:$G$1668,"&gt;"&amp;$G206)+COUNTIFS($B$4:$B205,$B206,$G$4:$G205,$G206)+1)</f>
        <v/>
      </c>
      <c r="I206" s="11">
        <f>IF($G206="","",IF($H206&lt;=Points!$H$6,$G206,0))</f>
        <v/>
      </c>
      <c r="J206" s="11">
        <f>IF($B206="","",IF(COUNTIF(Players!$A$2:$A$500,$B206)=0,"Player is not on the Players tab",IF(NOT(ISNUMBER($C206)),"Enter a gross score",IF(COUNTIFS($A$5:$A$1668,$A206,$B$5:$B$1668,$B206)&gt;1,"Player is listed twice this week",IF(AND($D206&lt;&gt;"",COUNTIFS($A$5:$A$1668,$A206,$D$5:$D$1668,$D206)&gt;1),"Two players picked as "&amp;$D206,IF(COUNTIFS($A$5:$A$1668,$A206,$D$5:$D$1668,"Gross winner")=0,"Pick this week's gross winner",IF(COUNTIFS($A$5:$A$1668,$A206,$D$5:$D$1668,"Net winner")=0,"Pick this week's net winner","OK")))))))</f>
        <v/>
      </c>
    </row>
    <row r="207" outlineLevel="1">
      <c r="A207" s="13" t="n">
        <v>46435</v>
      </c>
      <c r="E207" s="11">
        <f>IF(OR($B207="",NOT(ISNUMBER($C207))),"",COUNTIFS($A$5:$A$1668,$A207,$C$5:$C$1668,"&lt;"&amp;$C207)+1)</f>
        <v/>
      </c>
      <c r="F207" s="11">
        <f>IF(OR($B207="",NOT(ISNUMBER($C207))),"",COUNTIFS($A$5:$A$1668,$A207,$C$5:$C$1668,"&gt;0"))</f>
        <v/>
      </c>
      <c r="G207" s="11">
        <f>IF(OR($B207="",NOT(ISNUMBER($C207))),"",IF($D207&lt;&gt;"",ROUND(Points!$B$6*IF($F207&lt;Points!$H$4,Points!$H$5,1),0),ROUND(Points!$B$6*IF($F207&lt;=1,1,Points!$H$7+(1-Points!$H$7)*((($F207-$E207)*(($F207-$E207)+1)/2)^2-((($F207-$E207-COUNTIFS($A$5:$A$1668,$A207,$C$5:$C$1668,$C207)+1)-1)*($F207-$E207-COUNTIFS($A$5:$A$1668,$A207,$C$5:$C$1668,$C207)+1)/2)^2)/(COUNTIFS($A$5:$A$1668,$A207,$C$5:$C$1668,$C207)*($F207-1)^3))*IF($F207&lt;Points!$H$4,Points!$H$5,1),0)))</f>
        <v/>
      </c>
      <c r="H207" s="11">
        <f>IF($G207="","",COUNTIFS($B$5:$B$1668,$B207,$G$5:$G$1668,"&gt;"&amp;$G207)+COUNTIFS($B$4:$B206,$B207,$G$4:$G206,$G207)+1)</f>
        <v/>
      </c>
      <c r="I207" s="11">
        <f>IF($G207="","",IF($H207&lt;=Points!$H$6,$G207,0))</f>
        <v/>
      </c>
      <c r="J207" s="11">
        <f>IF($B207="","",IF(COUNTIF(Players!$A$2:$A$500,$B207)=0,"Player is not on the Players tab",IF(NOT(ISNUMBER($C207)),"Enter a gross score",IF(COUNTIFS($A$5:$A$1668,$A207,$B$5:$B$1668,$B207)&gt;1,"Player is listed twice this week",IF(AND($D207&lt;&gt;"",COUNTIFS($A$5:$A$1668,$A207,$D$5:$D$1668,$D207)&gt;1),"Two players picked as "&amp;$D207,IF(COUNTIFS($A$5:$A$1668,$A207,$D$5:$D$1668,"Gross winner")=0,"Pick this week's gross winner",IF(COUNTIFS($A$5:$A$1668,$A207,$D$5:$D$1668,"Net winner")=0,"Pick this week's net winner","OK")))))))</f>
        <v/>
      </c>
    </row>
    <row r="208" outlineLevel="1">
      <c r="A208" s="13" t="n">
        <v>46435</v>
      </c>
      <c r="E208" s="11">
        <f>IF(OR($B208="",NOT(ISNUMBER($C208))),"",COUNTIFS($A$5:$A$1668,$A208,$C$5:$C$1668,"&lt;"&amp;$C208)+1)</f>
        <v/>
      </c>
      <c r="F208" s="11">
        <f>IF(OR($B208="",NOT(ISNUMBER($C208))),"",COUNTIFS($A$5:$A$1668,$A208,$C$5:$C$1668,"&gt;0"))</f>
        <v/>
      </c>
      <c r="G208" s="11">
        <f>IF(OR($B208="",NOT(ISNUMBER($C208))),"",IF($D208&lt;&gt;"",ROUND(Points!$B$6*IF($F208&lt;Points!$H$4,Points!$H$5,1),0),ROUND(Points!$B$6*IF($F208&lt;=1,1,Points!$H$7+(1-Points!$H$7)*((($F208-$E208)*(($F208-$E208)+1)/2)^2-((($F208-$E208-COUNTIFS($A$5:$A$1668,$A208,$C$5:$C$1668,$C208)+1)-1)*($F208-$E208-COUNTIFS($A$5:$A$1668,$A208,$C$5:$C$1668,$C208)+1)/2)^2)/(COUNTIFS($A$5:$A$1668,$A208,$C$5:$C$1668,$C208)*($F208-1)^3))*IF($F208&lt;Points!$H$4,Points!$H$5,1),0)))</f>
        <v/>
      </c>
      <c r="H208" s="11">
        <f>IF($G208="","",COUNTIFS($B$5:$B$1668,$B208,$G$5:$G$1668,"&gt;"&amp;$G208)+COUNTIFS($B$4:$B207,$B208,$G$4:$G207,$G208)+1)</f>
        <v/>
      </c>
      <c r="I208" s="11">
        <f>IF($G208="","",IF($H208&lt;=Points!$H$6,$G208,0))</f>
        <v/>
      </c>
      <c r="J208" s="11">
        <f>IF($B208="","",IF(COUNTIF(Players!$A$2:$A$500,$B208)=0,"Player is not on the Players tab",IF(NOT(ISNUMBER($C208)),"Enter a gross score",IF(COUNTIFS($A$5:$A$1668,$A208,$B$5:$B$1668,$B208)&gt;1,"Player is listed twice this week",IF(AND($D208&lt;&gt;"",COUNTIFS($A$5:$A$1668,$A208,$D$5:$D$1668,$D208)&gt;1),"Two players picked as "&amp;$D208,IF(COUNTIFS($A$5:$A$1668,$A208,$D$5:$D$1668,"Gross winner")=0,"Pick this week's gross winner",IF(COUNTIFS($A$5:$A$1668,$A208,$D$5:$D$1668,"Net winner")=0,"Pick this week's net winner","OK")))))))</f>
        <v/>
      </c>
    </row>
    <row r="209" outlineLevel="1">
      <c r="A209" s="13" t="n">
        <v>46435</v>
      </c>
      <c r="E209" s="11">
        <f>IF(OR($B209="",NOT(ISNUMBER($C209))),"",COUNTIFS($A$5:$A$1668,$A209,$C$5:$C$1668,"&lt;"&amp;$C209)+1)</f>
        <v/>
      </c>
      <c r="F209" s="11">
        <f>IF(OR($B209="",NOT(ISNUMBER($C209))),"",COUNTIFS($A$5:$A$1668,$A209,$C$5:$C$1668,"&gt;0"))</f>
        <v/>
      </c>
      <c r="G209" s="11">
        <f>IF(OR($B209="",NOT(ISNUMBER($C209))),"",IF($D209&lt;&gt;"",ROUND(Points!$B$6*IF($F209&lt;Points!$H$4,Points!$H$5,1),0),ROUND(Points!$B$6*IF($F209&lt;=1,1,Points!$H$7+(1-Points!$H$7)*((($F209-$E209)*(($F209-$E209)+1)/2)^2-((($F209-$E209-COUNTIFS($A$5:$A$1668,$A209,$C$5:$C$1668,$C209)+1)-1)*($F209-$E209-COUNTIFS($A$5:$A$1668,$A209,$C$5:$C$1668,$C209)+1)/2)^2)/(COUNTIFS($A$5:$A$1668,$A209,$C$5:$C$1668,$C209)*($F209-1)^3))*IF($F209&lt;Points!$H$4,Points!$H$5,1),0)))</f>
        <v/>
      </c>
      <c r="H209" s="11">
        <f>IF($G209="","",COUNTIFS($B$5:$B$1668,$B209,$G$5:$G$1668,"&gt;"&amp;$G209)+COUNTIFS($B$4:$B208,$B209,$G$4:$G208,$G209)+1)</f>
        <v/>
      </c>
      <c r="I209" s="11">
        <f>IF($G209="","",IF($H209&lt;=Points!$H$6,$G209,0))</f>
        <v/>
      </c>
      <c r="J209" s="11">
        <f>IF($B209="","",IF(COUNTIF(Players!$A$2:$A$500,$B209)=0,"Player is not on the Players tab",IF(NOT(ISNUMBER($C209)),"Enter a gross score",IF(COUNTIFS($A$5:$A$1668,$A209,$B$5:$B$1668,$B209)&gt;1,"Player is listed twice this week",IF(AND($D209&lt;&gt;"",COUNTIFS($A$5:$A$1668,$A209,$D$5:$D$1668,$D209)&gt;1),"Two players picked as "&amp;$D209,IF(COUNTIFS($A$5:$A$1668,$A209,$D$5:$D$1668,"Gross winner")=0,"Pick this week's gross winner",IF(COUNTIFS($A$5:$A$1668,$A209,$D$5:$D$1668,"Net winner")=0,"Pick this week's net winner","OK")))))))</f>
        <v/>
      </c>
    </row>
    <row r="210" outlineLevel="1">
      <c r="A210" s="13" t="n">
        <v>46435</v>
      </c>
      <c r="E210" s="11">
        <f>IF(OR($B210="",NOT(ISNUMBER($C210))),"",COUNTIFS($A$5:$A$1668,$A210,$C$5:$C$1668,"&lt;"&amp;$C210)+1)</f>
        <v/>
      </c>
      <c r="F210" s="11">
        <f>IF(OR($B210="",NOT(ISNUMBER($C210))),"",COUNTIFS($A$5:$A$1668,$A210,$C$5:$C$1668,"&gt;0"))</f>
        <v/>
      </c>
      <c r="G210" s="11">
        <f>IF(OR($B210="",NOT(ISNUMBER($C210))),"",IF($D210&lt;&gt;"",ROUND(Points!$B$6*IF($F210&lt;Points!$H$4,Points!$H$5,1),0),ROUND(Points!$B$6*IF($F210&lt;=1,1,Points!$H$7+(1-Points!$H$7)*((($F210-$E210)*(($F210-$E210)+1)/2)^2-((($F210-$E210-COUNTIFS($A$5:$A$1668,$A210,$C$5:$C$1668,$C210)+1)-1)*($F210-$E210-COUNTIFS($A$5:$A$1668,$A210,$C$5:$C$1668,$C210)+1)/2)^2)/(COUNTIFS($A$5:$A$1668,$A210,$C$5:$C$1668,$C210)*($F210-1)^3))*IF($F210&lt;Points!$H$4,Points!$H$5,1),0)))</f>
        <v/>
      </c>
      <c r="H210" s="11">
        <f>IF($G210="","",COUNTIFS($B$5:$B$1668,$B210,$G$5:$G$1668,"&gt;"&amp;$G210)+COUNTIFS($B$4:$B209,$B210,$G$4:$G209,$G210)+1)</f>
        <v/>
      </c>
      <c r="I210" s="11">
        <f>IF($G210="","",IF($H210&lt;=Points!$H$6,$G210,0))</f>
        <v/>
      </c>
      <c r="J210" s="11">
        <f>IF($B210="","",IF(COUNTIF(Players!$A$2:$A$500,$B210)=0,"Player is not on the Players tab",IF(NOT(ISNUMBER($C210)),"Enter a gross score",IF(COUNTIFS($A$5:$A$1668,$A210,$B$5:$B$1668,$B210)&gt;1,"Player is listed twice this week",IF(AND($D210&lt;&gt;"",COUNTIFS($A$5:$A$1668,$A210,$D$5:$D$1668,$D210)&gt;1),"Two players picked as "&amp;$D210,IF(COUNTIFS($A$5:$A$1668,$A210,$D$5:$D$1668,"Gross winner")=0,"Pick this week's gross winner",IF(COUNTIFS($A$5:$A$1668,$A210,$D$5:$D$1668,"Net winner")=0,"Pick this week's net winner","OK")))))))</f>
        <v/>
      </c>
    </row>
    <row r="211" outlineLevel="1">
      <c r="A211" s="13" t="n">
        <v>46435</v>
      </c>
      <c r="E211" s="11">
        <f>IF(OR($B211="",NOT(ISNUMBER($C211))),"",COUNTIFS($A$5:$A$1668,$A211,$C$5:$C$1668,"&lt;"&amp;$C211)+1)</f>
        <v/>
      </c>
      <c r="F211" s="11">
        <f>IF(OR($B211="",NOT(ISNUMBER($C211))),"",COUNTIFS($A$5:$A$1668,$A211,$C$5:$C$1668,"&gt;0"))</f>
        <v/>
      </c>
      <c r="G211" s="11">
        <f>IF(OR($B211="",NOT(ISNUMBER($C211))),"",IF($D211&lt;&gt;"",ROUND(Points!$B$6*IF($F211&lt;Points!$H$4,Points!$H$5,1),0),ROUND(Points!$B$6*IF($F211&lt;=1,1,Points!$H$7+(1-Points!$H$7)*((($F211-$E211)*(($F211-$E211)+1)/2)^2-((($F211-$E211-COUNTIFS($A$5:$A$1668,$A211,$C$5:$C$1668,$C211)+1)-1)*($F211-$E211-COUNTIFS($A$5:$A$1668,$A211,$C$5:$C$1668,$C211)+1)/2)^2)/(COUNTIFS($A$5:$A$1668,$A211,$C$5:$C$1668,$C211)*($F211-1)^3))*IF($F211&lt;Points!$H$4,Points!$H$5,1),0)))</f>
        <v/>
      </c>
      <c r="H211" s="11">
        <f>IF($G211="","",COUNTIFS($B$5:$B$1668,$B211,$G$5:$G$1668,"&gt;"&amp;$G211)+COUNTIFS($B$4:$B210,$B211,$G$4:$G210,$G211)+1)</f>
        <v/>
      </c>
      <c r="I211" s="11">
        <f>IF($G211="","",IF($H211&lt;=Points!$H$6,$G211,0))</f>
        <v/>
      </c>
      <c r="J211" s="11">
        <f>IF($B211="","",IF(COUNTIF(Players!$A$2:$A$500,$B211)=0,"Player is not on the Players tab",IF(NOT(ISNUMBER($C211)),"Enter a gross score",IF(COUNTIFS($A$5:$A$1668,$A211,$B$5:$B$1668,$B211)&gt;1,"Player is listed twice this week",IF(AND($D211&lt;&gt;"",COUNTIFS($A$5:$A$1668,$A211,$D$5:$D$1668,$D211)&gt;1),"Two players picked as "&amp;$D211,IF(COUNTIFS($A$5:$A$1668,$A211,$D$5:$D$1668,"Gross winner")=0,"Pick this week's gross winner",IF(COUNTIFS($A$5:$A$1668,$A211,$D$5:$D$1668,"Net winner")=0,"Pick this week's net winner","OK")))))))</f>
        <v/>
      </c>
    </row>
    <row r="212" outlineLevel="1">
      <c r="A212" s="13" t="n">
        <v>46435</v>
      </c>
      <c r="E212" s="11">
        <f>IF(OR($B212="",NOT(ISNUMBER($C212))),"",COUNTIFS($A$5:$A$1668,$A212,$C$5:$C$1668,"&lt;"&amp;$C212)+1)</f>
        <v/>
      </c>
      <c r="F212" s="11">
        <f>IF(OR($B212="",NOT(ISNUMBER($C212))),"",COUNTIFS($A$5:$A$1668,$A212,$C$5:$C$1668,"&gt;0"))</f>
        <v/>
      </c>
      <c r="G212" s="11">
        <f>IF(OR($B212="",NOT(ISNUMBER($C212))),"",IF($D212&lt;&gt;"",ROUND(Points!$B$6*IF($F212&lt;Points!$H$4,Points!$H$5,1),0),ROUND(Points!$B$6*IF($F212&lt;=1,1,Points!$H$7+(1-Points!$H$7)*((($F212-$E212)*(($F212-$E212)+1)/2)^2-((($F212-$E212-COUNTIFS($A$5:$A$1668,$A212,$C$5:$C$1668,$C212)+1)-1)*($F212-$E212-COUNTIFS($A$5:$A$1668,$A212,$C$5:$C$1668,$C212)+1)/2)^2)/(COUNTIFS($A$5:$A$1668,$A212,$C$5:$C$1668,$C212)*($F212-1)^3))*IF($F212&lt;Points!$H$4,Points!$H$5,1),0)))</f>
        <v/>
      </c>
      <c r="H212" s="11">
        <f>IF($G212="","",COUNTIFS($B$5:$B$1668,$B212,$G$5:$G$1668,"&gt;"&amp;$G212)+COUNTIFS($B$4:$B211,$B212,$G$4:$G211,$G212)+1)</f>
        <v/>
      </c>
      <c r="I212" s="11">
        <f>IF($G212="","",IF($H212&lt;=Points!$H$6,$G212,0))</f>
        <v/>
      </c>
      <c r="J212" s="11">
        <f>IF($B212="","",IF(COUNTIF(Players!$A$2:$A$500,$B212)=0,"Player is not on the Players tab",IF(NOT(ISNUMBER($C212)),"Enter a gross score",IF(COUNTIFS($A$5:$A$1668,$A212,$B$5:$B$1668,$B212)&gt;1,"Player is listed twice this week",IF(AND($D212&lt;&gt;"",COUNTIFS($A$5:$A$1668,$A212,$D$5:$D$1668,$D212)&gt;1),"Two players picked as "&amp;$D212,IF(COUNTIFS($A$5:$A$1668,$A212,$D$5:$D$1668,"Gross winner")=0,"Pick this week's gross winner",IF(COUNTIFS($A$5:$A$1668,$A212,$D$5:$D$1668,"Net winner")=0,"Pick this week's net winner","OK")))))))</f>
        <v/>
      </c>
    </row>
    <row r="213" outlineLevel="1">
      <c r="A213" s="13" t="n">
        <v>46435</v>
      </c>
      <c r="E213" s="11">
        <f>IF(OR($B213="",NOT(ISNUMBER($C213))),"",COUNTIFS($A$5:$A$1668,$A213,$C$5:$C$1668,"&lt;"&amp;$C213)+1)</f>
        <v/>
      </c>
      <c r="F213" s="11">
        <f>IF(OR($B213="",NOT(ISNUMBER($C213))),"",COUNTIFS($A$5:$A$1668,$A213,$C$5:$C$1668,"&gt;0"))</f>
        <v/>
      </c>
      <c r="G213" s="11">
        <f>IF(OR($B213="",NOT(ISNUMBER($C213))),"",IF($D213&lt;&gt;"",ROUND(Points!$B$6*IF($F213&lt;Points!$H$4,Points!$H$5,1),0),ROUND(Points!$B$6*IF($F213&lt;=1,1,Points!$H$7+(1-Points!$H$7)*((($F213-$E213)*(($F213-$E213)+1)/2)^2-((($F213-$E213-COUNTIFS($A$5:$A$1668,$A213,$C$5:$C$1668,$C213)+1)-1)*($F213-$E213-COUNTIFS($A$5:$A$1668,$A213,$C$5:$C$1668,$C213)+1)/2)^2)/(COUNTIFS($A$5:$A$1668,$A213,$C$5:$C$1668,$C213)*($F213-1)^3))*IF($F213&lt;Points!$H$4,Points!$H$5,1),0)))</f>
        <v/>
      </c>
      <c r="H213" s="11">
        <f>IF($G213="","",COUNTIFS($B$5:$B$1668,$B213,$G$5:$G$1668,"&gt;"&amp;$G213)+COUNTIFS($B$4:$B212,$B213,$G$4:$G212,$G213)+1)</f>
        <v/>
      </c>
      <c r="I213" s="11">
        <f>IF($G213="","",IF($H213&lt;=Points!$H$6,$G213,0))</f>
        <v/>
      </c>
      <c r="J213" s="11">
        <f>IF($B213="","",IF(COUNTIF(Players!$A$2:$A$500,$B213)=0,"Player is not on the Players tab",IF(NOT(ISNUMBER($C213)),"Enter a gross score",IF(COUNTIFS($A$5:$A$1668,$A213,$B$5:$B$1668,$B213)&gt;1,"Player is listed twice this week",IF(AND($D213&lt;&gt;"",COUNTIFS($A$5:$A$1668,$A213,$D$5:$D$1668,$D213)&gt;1),"Two players picked as "&amp;$D213,IF(COUNTIFS($A$5:$A$1668,$A213,$D$5:$D$1668,"Gross winner")=0,"Pick this week's gross winner",IF(COUNTIFS($A$5:$A$1668,$A213,$D$5:$D$1668,"Net winner")=0,"Pick this week's net winner","OK")))))))</f>
        <v/>
      </c>
    </row>
    <row r="214" outlineLevel="1">
      <c r="A214" s="13" t="n">
        <v>46435</v>
      </c>
      <c r="E214" s="11">
        <f>IF(OR($B214="",NOT(ISNUMBER($C214))),"",COUNTIFS($A$5:$A$1668,$A214,$C$5:$C$1668,"&lt;"&amp;$C214)+1)</f>
        <v/>
      </c>
      <c r="F214" s="11">
        <f>IF(OR($B214="",NOT(ISNUMBER($C214))),"",COUNTIFS($A$5:$A$1668,$A214,$C$5:$C$1668,"&gt;0"))</f>
        <v/>
      </c>
      <c r="G214" s="11">
        <f>IF(OR($B214="",NOT(ISNUMBER($C214))),"",IF($D214&lt;&gt;"",ROUND(Points!$B$6*IF($F214&lt;Points!$H$4,Points!$H$5,1),0),ROUND(Points!$B$6*IF($F214&lt;=1,1,Points!$H$7+(1-Points!$H$7)*((($F214-$E214)*(($F214-$E214)+1)/2)^2-((($F214-$E214-COUNTIFS($A$5:$A$1668,$A214,$C$5:$C$1668,$C214)+1)-1)*($F214-$E214-COUNTIFS($A$5:$A$1668,$A214,$C$5:$C$1668,$C214)+1)/2)^2)/(COUNTIFS($A$5:$A$1668,$A214,$C$5:$C$1668,$C214)*($F214-1)^3))*IF($F214&lt;Points!$H$4,Points!$H$5,1),0)))</f>
        <v/>
      </c>
      <c r="H214" s="11">
        <f>IF($G214="","",COUNTIFS($B$5:$B$1668,$B214,$G$5:$G$1668,"&gt;"&amp;$G214)+COUNTIFS($B$4:$B213,$B214,$G$4:$G213,$G214)+1)</f>
        <v/>
      </c>
      <c r="I214" s="11">
        <f>IF($G214="","",IF($H214&lt;=Points!$H$6,$G214,0))</f>
        <v/>
      </c>
      <c r="J214" s="11">
        <f>IF($B214="","",IF(COUNTIF(Players!$A$2:$A$500,$B214)=0,"Player is not on the Players tab",IF(NOT(ISNUMBER($C214)),"Enter a gross score",IF(COUNTIFS($A$5:$A$1668,$A214,$B$5:$B$1668,$B214)&gt;1,"Player is listed twice this week",IF(AND($D214&lt;&gt;"",COUNTIFS($A$5:$A$1668,$A214,$D$5:$D$1668,$D214)&gt;1),"Two players picked as "&amp;$D214,IF(COUNTIFS($A$5:$A$1668,$A214,$D$5:$D$1668,"Gross winner")=0,"Pick this week's gross winner",IF(COUNTIFS($A$5:$A$1668,$A214,$D$5:$D$1668,"Net winner")=0,"Pick this week's net winner","OK")))))))</f>
        <v/>
      </c>
    </row>
    <row r="215" outlineLevel="1">
      <c r="A215" s="13" t="n">
        <v>46435</v>
      </c>
      <c r="E215" s="11">
        <f>IF(OR($B215="",NOT(ISNUMBER($C215))),"",COUNTIFS($A$5:$A$1668,$A215,$C$5:$C$1668,"&lt;"&amp;$C215)+1)</f>
        <v/>
      </c>
      <c r="F215" s="11">
        <f>IF(OR($B215="",NOT(ISNUMBER($C215))),"",COUNTIFS($A$5:$A$1668,$A215,$C$5:$C$1668,"&gt;0"))</f>
        <v/>
      </c>
      <c r="G215" s="11">
        <f>IF(OR($B215="",NOT(ISNUMBER($C215))),"",IF($D215&lt;&gt;"",ROUND(Points!$B$6*IF($F215&lt;Points!$H$4,Points!$H$5,1),0),ROUND(Points!$B$6*IF($F215&lt;=1,1,Points!$H$7+(1-Points!$H$7)*((($F215-$E215)*(($F215-$E215)+1)/2)^2-((($F215-$E215-COUNTIFS($A$5:$A$1668,$A215,$C$5:$C$1668,$C215)+1)-1)*($F215-$E215-COUNTIFS($A$5:$A$1668,$A215,$C$5:$C$1668,$C215)+1)/2)^2)/(COUNTIFS($A$5:$A$1668,$A215,$C$5:$C$1668,$C215)*($F215-1)^3))*IF($F215&lt;Points!$H$4,Points!$H$5,1),0)))</f>
        <v/>
      </c>
      <c r="H215" s="11">
        <f>IF($G215="","",COUNTIFS($B$5:$B$1668,$B215,$G$5:$G$1668,"&gt;"&amp;$G215)+COUNTIFS($B$4:$B214,$B215,$G$4:$G214,$G215)+1)</f>
        <v/>
      </c>
      <c r="I215" s="11">
        <f>IF($G215="","",IF($H215&lt;=Points!$H$6,$G215,0))</f>
        <v/>
      </c>
      <c r="J215" s="11">
        <f>IF($B215="","",IF(COUNTIF(Players!$A$2:$A$500,$B215)=0,"Player is not on the Players tab",IF(NOT(ISNUMBER($C215)),"Enter a gross score",IF(COUNTIFS($A$5:$A$1668,$A215,$B$5:$B$1668,$B215)&gt;1,"Player is listed twice this week",IF(AND($D215&lt;&gt;"",COUNTIFS($A$5:$A$1668,$A215,$D$5:$D$1668,$D215)&gt;1),"Two players picked as "&amp;$D215,IF(COUNTIFS($A$5:$A$1668,$A215,$D$5:$D$1668,"Gross winner")=0,"Pick this week's gross winner",IF(COUNTIFS($A$5:$A$1668,$A215,$D$5:$D$1668,"Net winner")=0,"Pick this week's net winner","OK")))))))</f>
        <v/>
      </c>
    </row>
    <row r="216" outlineLevel="1">
      <c r="A216" s="13" t="n">
        <v>46435</v>
      </c>
      <c r="E216" s="11">
        <f>IF(OR($B216="",NOT(ISNUMBER($C216))),"",COUNTIFS($A$5:$A$1668,$A216,$C$5:$C$1668,"&lt;"&amp;$C216)+1)</f>
        <v/>
      </c>
      <c r="F216" s="11">
        <f>IF(OR($B216="",NOT(ISNUMBER($C216))),"",COUNTIFS($A$5:$A$1668,$A216,$C$5:$C$1668,"&gt;0"))</f>
        <v/>
      </c>
      <c r="G216" s="11">
        <f>IF(OR($B216="",NOT(ISNUMBER($C216))),"",IF($D216&lt;&gt;"",ROUND(Points!$B$6*IF($F216&lt;Points!$H$4,Points!$H$5,1),0),ROUND(Points!$B$6*IF($F216&lt;=1,1,Points!$H$7+(1-Points!$H$7)*((($F216-$E216)*(($F216-$E216)+1)/2)^2-((($F216-$E216-COUNTIFS($A$5:$A$1668,$A216,$C$5:$C$1668,$C216)+1)-1)*($F216-$E216-COUNTIFS($A$5:$A$1668,$A216,$C$5:$C$1668,$C216)+1)/2)^2)/(COUNTIFS($A$5:$A$1668,$A216,$C$5:$C$1668,$C216)*($F216-1)^3))*IF($F216&lt;Points!$H$4,Points!$H$5,1),0)))</f>
        <v/>
      </c>
      <c r="H216" s="11">
        <f>IF($G216="","",COUNTIFS($B$5:$B$1668,$B216,$G$5:$G$1668,"&gt;"&amp;$G216)+COUNTIFS($B$4:$B215,$B216,$G$4:$G215,$G216)+1)</f>
        <v/>
      </c>
      <c r="I216" s="11">
        <f>IF($G216="","",IF($H216&lt;=Points!$H$6,$G216,0))</f>
        <v/>
      </c>
      <c r="J216" s="11">
        <f>IF($B216="","",IF(COUNTIF(Players!$A$2:$A$500,$B216)=0,"Player is not on the Players tab",IF(NOT(ISNUMBER($C216)),"Enter a gross score",IF(COUNTIFS($A$5:$A$1668,$A216,$B$5:$B$1668,$B216)&gt;1,"Player is listed twice this week",IF(AND($D216&lt;&gt;"",COUNTIFS($A$5:$A$1668,$A216,$D$5:$D$1668,$D216)&gt;1),"Two players picked as "&amp;$D216,IF(COUNTIFS($A$5:$A$1668,$A216,$D$5:$D$1668,"Gross winner")=0,"Pick this week's gross winner",IF(COUNTIFS($A$5:$A$1668,$A216,$D$5:$D$1668,"Net winner")=0,"Pick this week's net winner","OK")))))))</f>
        <v/>
      </c>
    </row>
    <row r="217" outlineLevel="1">
      <c r="A217" s="13" t="n">
        <v>46435</v>
      </c>
      <c r="E217" s="11">
        <f>IF(OR($B217="",NOT(ISNUMBER($C217))),"",COUNTIFS($A$5:$A$1668,$A217,$C$5:$C$1668,"&lt;"&amp;$C217)+1)</f>
        <v/>
      </c>
      <c r="F217" s="11">
        <f>IF(OR($B217="",NOT(ISNUMBER($C217))),"",COUNTIFS($A$5:$A$1668,$A217,$C$5:$C$1668,"&gt;0"))</f>
        <v/>
      </c>
      <c r="G217" s="11">
        <f>IF(OR($B217="",NOT(ISNUMBER($C217))),"",IF($D217&lt;&gt;"",ROUND(Points!$B$6*IF($F217&lt;Points!$H$4,Points!$H$5,1),0),ROUND(Points!$B$6*IF($F217&lt;=1,1,Points!$H$7+(1-Points!$H$7)*((($F217-$E217)*(($F217-$E217)+1)/2)^2-((($F217-$E217-COUNTIFS($A$5:$A$1668,$A217,$C$5:$C$1668,$C217)+1)-1)*($F217-$E217-COUNTIFS($A$5:$A$1668,$A217,$C$5:$C$1668,$C217)+1)/2)^2)/(COUNTIFS($A$5:$A$1668,$A217,$C$5:$C$1668,$C217)*($F217-1)^3))*IF($F217&lt;Points!$H$4,Points!$H$5,1),0)))</f>
        <v/>
      </c>
      <c r="H217" s="11">
        <f>IF($G217="","",COUNTIFS($B$5:$B$1668,$B217,$G$5:$G$1668,"&gt;"&amp;$G217)+COUNTIFS($B$4:$B216,$B217,$G$4:$G216,$G217)+1)</f>
        <v/>
      </c>
      <c r="I217" s="11">
        <f>IF($G217="","",IF($H217&lt;=Points!$H$6,$G217,0))</f>
        <v/>
      </c>
      <c r="J217" s="11">
        <f>IF($B217="","",IF(COUNTIF(Players!$A$2:$A$500,$B217)=0,"Player is not on the Players tab",IF(NOT(ISNUMBER($C217)),"Enter a gross score",IF(COUNTIFS($A$5:$A$1668,$A217,$B$5:$B$1668,$B217)&gt;1,"Player is listed twice this week",IF(AND($D217&lt;&gt;"",COUNTIFS($A$5:$A$1668,$A217,$D$5:$D$1668,$D217)&gt;1),"Two players picked as "&amp;$D217,IF(COUNTIFS($A$5:$A$1668,$A217,$D$5:$D$1668,"Gross winner")=0,"Pick this week's gross winner",IF(COUNTIFS($A$5:$A$1668,$A217,$D$5:$D$1668,"Net winner")=0,"Pick this week's net winner","OK")))))))</f>
        <v/>
      </c>
    </row>
    <row r="218" outlineLevel="1">
      <c r="A218" s="13" t="n">
        <v>46435</v>
      </c>
      <c r="E218" s="11">
        <f>IF(OR($B218="",NOT(ISNUMBER($C218))),"",COUNTIFS($A$5:$A$1668,$A218,$C$5:$C$1668,"&lt;"&amp;$C218)+1)</f>
        <v/>
      </c>
      <c r="F218" s="11">
        <f>IF(OR($B218="",NOT(ISNUMBER($C218))),"",COUNTIFS($A$5:$A$1668,$A218,$C$5:$C$1668,"&gt;0"))</f>
        <v/>
      </c>
      <c r="G218" s="11">
        <f>IF(OR($B218="",NOT(ISNUMBER($C218))),"",IF($D218&lt;&gt;"",ROUND(Points!$B$6*IF($F218&lt;Points!$H$4,Points!$H$5,1),0),ROUND(Points!$B$6*IF($F218&lt;=1,1,Points!$H$7+(1-Points!$H$7)*((($F218-$E218)*(($F218-$E218)+1)/2)^2-((($F218-$E218-COUNTIFS($A$5:$A$1668,$A218,$C$5:$C$1668,$C218)+1)-1)*($F218-$E218-COUNTIFS($A$5:$A$1668,$A218,$C$5:$C$1668,$C218)+1)/2)^2)/(COUNTIFS($A$5:$A$1668,$A218,$C$5:$C$1668,$C218)*($F218-1)^3))*IF($F218&lt;Points!$H$4,Points!$H$5,1),0)))</f>
        <v/>
      </c>
      <c r="H218" s="11">
        <f>IF($G218="","",COUNTIFS($B$5:$B$1668,$B218,$G$5:$G$1668,"&gt;"&amp;$G218)+COUNTIFS($B$4:$B217,$B218,$G$4:$G217,$G218)+1)</f>
        <v/>
      </c>
      <c r="I218" s="11">
        <f>IF($G218="","",IF($H218&lt;=Points!$H$6,$G218,0))</f>
        <v/>
      </c>
      <c r="J218" s="11">
        <f>IF($B218="","",IF(COUNTIF(Players!$A$2:$A$500,$B218)=0,"Player is not on the Players tab",IF(NOT(ISNUMBER($C218)),"Enter a gross score",IF(COUNTIFS($A$5:$A$1668,$A218,$B$5:$B$1668,$B218)&gt;1,"Player is listed twice this week",IF(AND($D218&lt;&gt;"",COUNTIFS($A$5:$A$1668,$A218,$D$5:$D$1668,$D218)&gt;1),"Two players picked as "&amp;$D218,IF(COUNTIFS($A$5:$A$1668,$A218,$D$5:$D$1668,"Gross winner")=0,"Pick this week's gross winner",IF(COUNTIFS($A$5:$A$1668,$A218,$D$5:$D$1668,"Net winner")=0,"Pick this week's net winner","OK")))))))</f>
        <v/>
      </c>
    </row>
    <row r="219" outlineLevel="1">
      <c r="A219" s="13" t="n">
        <v>46435</v>
      </c>
      <c r="E219" s="11">
        <f>IF(OR($B219="",NOT(ISNUMBER($C219))),"",COUNTIFS($A$5:$A$1668,$A219,$C$5:$C$1668,"&lt;"&amp;$C219)+1)</f>
        <v/>
      </c>
      <c r="F219" s="11">
        <f>IF(OR($B219="",NOT(ISNUMBER($C219))),"",COUNTIFS($A$5:$A$1668,$A219,$C$5:$C$1668,"&gt;0"))</f>
        <v/>
      </c>
      <c r="G219" s="11">
        <f>IF(OR($B219="",NOT(ISNUMBER($C219))),"",IF($D219&lt;&gt;"",ROUND(Points!$B$6*IF($F219&lt;Points!$H$4,Points!$H$5,1),0),ROUND(Points!$B$6*IF($F219&lt;=1,1,Points!$H$7+(1-Points!$H$7)*((($F219-$E219)*(($F219-$E219)+1)/2)^2-((($F219-$E219-COUNTIFS($A$5:$A$1668,$A219,$C$5:$C$1668,$C219)+1)-1)*($F219-$E219-COUNTIFS($A$5:$A$1668,$A219,$C$5:$C$1668,$C219)+1)/2)^2)/(COUNTIFS($A$5:$A$1668,$A219,$C$5:$C$1668,$C219)*($F219-1)^3))*IF($F219&lt;Points!$H$4,Points!$H$5,1),0)))</f>
        <v/>
      </c>
      <c r="H219" s="11">
        <f>IF($G219="","",COUNTIFS($B$5:$B$1668,$B219,$G$5:$G$1668,"&gt;"&amp;$G219)+COUNTIFS($B$4:$B218,$B219,$G$4:$G218,$G219)+1)</f>
        <v/>
      </c>
      <c r="I219" s="11">
        <f>IF($G219="","",IF($H219&lt;=Points!$H$6,$G219,0))</f>
        <v/>
      </c>
      <c r="J219" s="11">
        <f>IF($B219="","",IF(COUNTIF(Players!$A$2:$A$500,$B219)=0,"Player is not on the Players tab",IF(NOT(ISNUMBER($C219)),"Enter a gross score",IF(COUNTIFS($A$5:$A$1668,$A219,$B$5:$B$1668,$B219)&gt;1,"Player is listed twice this week",IF(AND($D219&lt;&gt;"",COUNTIFS($A$5:$A$1668,$A219,$D$5:$D$1668,$D219)&gt;1),"Two players picked as "&amp;$D219,IF(COUNTIFS($A$5:$A$1668,$A219,$D$5:$D$1668,"Gross winner")=0,"Pick this week's gross winner",IF(COUNTIFS($A$5:$A$1668,$A219,$D$5:$D$1668,"Net winner")=0,"Pick this week's net winner","OK")))))))</f>
        <v/>
      </c>
    </row>
    <row r="220" outlineLevel="1">
      <c r="A220" s="13" t="n">
        <v>46435</v>
      </c>
      <c r="E220" s="11">
        <f>IF(OR($B220="",NOT(ISNUMBER($C220))),"",COUNTIFS($A$5:$A$1668,$A220,$C$5:$C$1668,"&lt;"&amp;$C220)+1)</f>
        <v/>
      </c>
      <c r="F220" s="11">
        <f>IF(OR($B220="",NOT(ISNUMBER($C220))),"",COUNTIFS($A$5:$A$1668,$A220,$C$5:$C$1668,"&gt;0"))</f>
        <v/>
      </c>
      <c r="G220" s="11">
        <f>IF(OR($B220="",NOT(ISNUMBER($C220))),"",IF($D220&lt;&gt;"",ROUND(Points!$B$6*IF($F220&lt;Points!$H$4,Points!$H$5,1),0),ROUND(Points!$B$6*IF($F220&lt;=1,1,Points!$H$7+(1-Points!$H$7)*((($F220-$E220)*(($F220-$E220)+1)/2)^2-((($F220-$E220-COUNTIFS($A$5:$A$1668,$A220,$C$5:$C$1668,$C220)+1)-1)*($F220-$E220-COUNTIFS($A$5:$A$1668,$A220,$C$5:$C$1668,$C220)+1)/2)^2)/(COUNTIFS($A$5:$A$1668,$A220,$C$5:$C$1668,$C220)*($F220-1)^3))*IF($F220&lt;Points!$H$4,Points!$H$5,1),0)))</f>
        <v/>
      </c>
      <c r="H220" s="11">
        <f>IF($G220="","",COUNTIFS($B$5:$B$1668,$B220,$G$5:$G$1668,"&gt;"&amp;$G220)+COUNTIFS($B$4:$B219,$B220,$G$4:$G219,$G220)+1)</f>
        <v/>
      </c>
      <c r="I220" s="11">
        <f>IF($G220="","",IF($H220&lt;=Points!$H$6,$G220,0))</f>
        <v/>
      </c>
      <c r="J220" s="11">
        <f>IF($B220="","",IF(COUNTIF(Players!$A$2:$A$500,$B220)=0,"Player is not on the Players tab",IF(NOT(ISNUMBER($C220)),"Enter a gross score",IF(COUNTIFS($A$5:$A$1668,$A220,$B$5:$B$1668,$B220)&gt;1,"Player is listed twice this week",IF(AND($D220&lt;&gt;"",COUNTIFS($A$5:$A$1668,$A220,$D$5:$D$1668,$D220)&gt;1),"Two players picked as "&amp;$D220,IF(COUNTIFS($A$5:$A$1668,$A220,$D$5:$D$1668,"Gross winner")=0,"Pick this week's gross winner",IF(COUNTIFS($A$5:$A$1668,$A220,$D$5:$D$1668,"Net winner")=0,"Pick this week's net winner","OK")))))))</f>
        <v/>
      </c>
    </row>
    <row r="221" outlineLevel="1">
      <c r="A221" s="13" t="n">
        <v>46435</v>
      </c>
      <c r="E221" s="11">
        <f>IF(OR($B221="",NOT(ISNUMBER($C221))),"",COUNTIFS($A$5:$A$1668,$A221,$C$5:$C$1668,"&lt;"&amp;$C221)+1)</f>
        <v/>
      </c>
      <c r="F221" s="11">
        <f>IF(OR($B221="",NOT(ISNUMBER($C221))),"",COUNTIFS($A$5:$A$1668,$A221,$C$5:$C$1668,"&gt;0"))</f>
        <v/>
      </c>
      <c r="G221" s="11">
        <f>IF(OR($B221="",NOT(ISNUMBER($C221))),"",IF($D221&lt;&gt;"",ROUND(Points!$B$6*IF($F221&lt;Points!$H$4,Points!$H$5,1),0),ROUND(Points!$B$6*IF($F221&lt;=1,1,Points!$H$7+(1-Points!$H$7)*((($F221-$E221)*(($F221-$E221)+1)/2)^2-((($F221-$E221-COUNTIFS($A$5:$A$1668,$A221,$C$5:$C$1668,$C221)+1)-1)*($F221-$E221-COUNTIFS($A$5:$A$1668,$A221,$C$5:$C$1668,$C221)+1)/2)^2)/(COUNTIFS($A$5:$A$1668,$A221,$C$5:$C$1668,$C221)*($F221-1)^3))*IF($F221&lt;Points!$H$4,Points!$H$5,1),0)))</f>
        <v/>
      </c>
      <c r="H221" s="11">
        <f>IF($G221="","",COUNTIFS($B$5:$B$1668,$B221,$G$5:$G$1668,"&gt;"&amp;$G221)+COUNTIFS($B$4:$B220,$B221,$G$4:$G220,$G221)+1)</f>
        <v/>
      </c>
      <c r="I221" s="11">
        <f>IF($G221="","",IF($H221&lt;=Points!$H$6,$G221,0))</f>
        <v/>
      </c>
      <c r="J221" s="11">
        <f>IF($B221="","",IF(COUNTIF(Players!$A$2:$A$500,$B221)=0,"Player is not on the Players tab",IF(NOT(ISNUMBER($C221)),"Enter a gross score",IF(COUNTIFS($A$5:$A$1668,$A221,$B$5:$B$1668,$B221)&gt;1,"Player is listed twice this week",IF(AND($D221&lt;&gt;"",COUNTIFS($A$5:$A$1668,$A221,$D$5:$D$1668,$D221)&gt;1),"Two players picked as "&amp;$D221,IF(COUNTIFS($A$5:$A$1668,$A221,$D$5:$D$1668,"Gross winner")=0,"Pick this week's gross winner",IF(COUNTIFS($A$5:$A$1668,$A221,$D$5:$D$1668,"Net winner")=0,"Pick this week's net winner","OK")))))))</f>
        <v/>
      </c>
    </row>
    <row r="222" outlineLevel="1">
      <c r="A222" s="13" t="n">
        <v>46435</v>
      </c>
      <c r="E222" s="11">
        <f>IF(OR($B222="",NOT(ISNUMBER($C222))),"",COUNTIFS($A$5:$A$1668,$A222,$C$5:$C$1668,"&lt;"&amp;$C222)+1)</f>
        <v/>
      </c>
      <c r="F222" s="11">
        <f>IF(OR($B222="",NOT(ISNUMBER($C222))),"",COUNTIFS($A$5:$A$1668,$A222,$C$5:$C$1668,"&gt;0"))</f>
        <v/>
      </c>
      <c r="G222" s="11">
        <f>IF(OR($B222="",NOT(ISNUMBER($C222))),"",IF($D222&lt;&gt;"",ROUND(Points!$B$6*IF($F222&lt;Points!$H$4,Points!$H$5,1),0),ROUND(Points!$B$6*IF($F222&lt;=1,1,Points!$H$7+(1-Points!$H$7)*((($F222-$E222)*(($F222-$E222)+1)/2)^2-((($F222-$E222-COUNTIFS($A$5:$A$1668,$A222,$C$5:$C$1668,$C222)+1)-1)*($F222-$E222-COUNTIFS($A$5:$A$1668,$A222,$C$5:$C$1668,$C222)+1)/2)^2)/(COUNTIFS($A$5:$A$1668,$A222,$C$5:$C$1668,$C222)*($F222-1)^3))*IF($F222&lt;Points!$H$4,Points!$H$5,1),0)))</f>
        <v/>
      </c>
      <c r="H222" s="11">
        <f>IF($G222="","",COUNTIFS($B$5:$B$1668,$B222,$G$5:$G$1668,"&gt;"&amp;$G222)+COUNTIFS($B$4:$B221,$B222,$G$4:$G221,$G222)+1)</f>
        <v/>
      </c>
      <c r="I222" s="11">
        <f>IF($G222="","",IF($H222&lt;=Points!$H$6,$G222,0))</f>
        <v/>
      </c>
      <c r="J222" s="11">
        <f>IF($B222="","",IF(COUNTIF(Players!$A$2:$A$500,$B222)=0,"Player is not on the Players tab",IF(NOT(ISNUMBER($C222)),"Enter a gross score",IF(COUNTIFS($A$5:$A$1668,$A222,$B$5:$B$1668,$B222)&gt;1,"Player is listed twice this week",IF(AND($D222&lt;&gt;"",COUNTIFS($A$5:$A$1668,$A222,$D$5:$D$1668,$D222)&gt;1),"Two players picked as "&amp;$D222,IF(COUNTIFS($A$5:$A$1668,$A222,$D$5:$D$1668,"Gross winner")=0,"Pick this week's gross winner",IF(COUNTIFS($A$5:$A$1668,$A222,$D$5:$D$1668,"Net winner")=0,"Pick this week's net winner","OK")))))))</f>
        <v/>
      </c>
    </row>
    <row r="223" outlineLevel="1">
      <c r="A223" s="13" t="n">
        <v>46435</v>
      </c>
      <c r="E223" s="11">
        <f>IF(OR($B223="",NOT(ISNUMBER($C223))),"",COUNTIFS($A$5:$A$1668,$A223,$C$5:$C$1668,"&lt;"&amp;$C223)+1)</f>
        <v/>
      </c>
      <c r="F223" s="11">
        <f>IF(OR($B223="",NOT(ISNUMBER($C223))),"",COUNTIFS($A$5:$A$1668,$A223,$C$5:$C$1668,"&gt;0"))</f>
        <v/>
      </c>
      <c r="G223" s="11">
        <f>IF(OR($B223="",NOT(ISNUMBER($C223))),"",IF($D223&lt;&gt;"",ROUND(Points!$B$6*IF($F223&lt;Points!$H$4,Points!$H$5,1),0),ROUND(Points!$B$6*IF($F223&lt;=1,1,Points!$H$7+(1-Points!$H$7)*((($F223-$E223)*(($F223-$E223)+1)/2)^2-((($F223-$E223-COUNTIFS($A$5:$A$1668,$A223,$C$5:$C$1668,$C223)+1)-1)*($F223-$E223-COUNTIFS($A$5:$A$1668,$A223,$C$5:$C$1668,$C223)+1)/2)^2)/(COUNTIFS($A$5:$A$1668,$A223,$C$5:$C$1668,$C223)*($F223-1)^3))*IF($F223&lt;Points!$H$4,Points!$H$5,1),0)))</f>
        <v/>
      </c>
      <c r="H223" s="11">
        <f>IF($G223="","",COUNTIFS($B$5:$B$1668,$B223,$G$5:$G$1668,"&gt;"&amp;$G223)+COUNTIFS($B$4:$B222,$B223,$G$4:$G222,$G223)+1)</f>
        <v/>
      </c>
      <c r="I223" s="11">
        <f>IF($G223="","",IF($H223&lt;=Points!$H$6,$G223,0))</f>
        <v/>
      </c>
      <c r="J223" s="11">
        <f>IF($B223="","",IF(COUNTIF(Players!$A$2:$A$500,$B223)=0,"Player is not on the Players tab",IF(NOT(ISNUMBER($C223)),"Enter a gross score",IF(COUNTIFS($A$5:$A$1668,$A223,$B$5:$B$1668,$B223)&gt;1,"Player is listed twice this week",IF(AND($D223&lt;&gt;"",COUNTIFS($A$5:$A$1668,$A223,$D$5:$D$1668,$D223)&gt;1),"Two players picked as "&amp;$D223,IF(COUNTIFS($A$5:$A$1668,$A223,$D$5:$D$1668,"Gross winner")=0,"Pick this week's gross winner",IF(COUNTIFS($A$5:$A$1668,$A223,$D$5:$D$1668,"Net winner")=0,"Pick this week's net winner","OK")))))))</f>
        <v/>
      </c>
    </row>
    <row r="224" outlineLevel="1">
      <c r="A224" s="13" t="n">
        <v>46435</v>
      </c>
      <c r="E224" s="11">
        <f>IF(OR($B224="",NOT(ISNUMBER($C224))),"",COUNTIFS($A$5:$A$1668,$A224,$C$5:$C$1668,"&lt;"&amp;$C224)+1)</f>
        <v/>
      </c>
      <c r="F224" s="11">
        <f>IF(OR($B224="",NOT(ISNUMBER($C224))),"",COUNTIFS($A$5:$A$1668,$A224,$C$5:$C$1668,"&gt;0"))</f>
        <v/>
      </c>
      <c r="G224" s="11">
        <f>IF(OR($B224="",NOT(ISNUMBER($C224))),"",IF($D224&lt;&gt;"",ROUND(Points!$B$6*IF($F224&lt;Points!$H$4,Points!$H$5,1),0),ROUND(Points!$B$6*IF($F224&lt;=1,1,Points!$H$7+(1-Points!$H$7)*((($F224-$E224)*(($F224-$E224)+1)/2)^2-((($F224-$E224-COUNTIFS($A$5:$A$1668,$A224,$C$5:$C$1668,$C224)+1)-1)*($F224-$E224-COUNTIFS($A$5:$A$1668,$A224,$C$5:$C$1668,$C224)+1)/2)^2)/(COUNTIFS($A$5:$A$1668,$A224,$C$5:$C$1668,$C224)*($F224-1)^3))*IF($F224&lt;Points!$H$4,Points!$H$5,1),0)))</f>
        <v/>
      </c>
      <c r="H224" s="11">
        <f>IF($G224="","",COUNTIFS($B$5:$B$1668,$B224,$G$5:$G$1668,"&gt;"&amp;$G224)+COUNTIFS($B$4:$B223,$B224,$G$4:$G223,$G224)+1)</f>
        <v/>
      </c>
      <c r="I224" s="11">
        <f>IF($G224="","",IF($H224&lt;=Points!$H$6,$G224,0))</f>
        <v/>
      </c>
      <c r="J224" s="11">
        <f>IF($B224="","",IF(COUNTIF(Players!$A$2:$A$500,$B224)=0,"Player is not on the Players tab",IF(NOT(ISNUMBER($C224)),"Enter a gross score",IF(COUNTIFS($A$5:$A$1668,$A224,$B$5:$B$1668,$B224)&gt;1,"Player is listed twice this week",IF(AND($D224&lt;&gt;"",COUNTIFS($A$5:$A$1668,$A224,$D$5:$D$1668,$D224)&gt;1),"Two players picked as "&amp;$D224,IF(COUNTIFS($A$5:$A$1668,$A224,$D$5:$D$1668,"Gross winner")=0,"Pick this week's gross winner",IF(COUNTIFS($A$5:$A$1668,$A224,$D$5:$D$1668,"Net winner")=0,"Pick this week's net winner","OK")))))))</f>
        <v/>
      </c>
    </row>
    <row r="225" outlineLevel="1">
      <c r="A225" s="13" t="n">
        <v>46435</v>
      </c>
      <c r="E225" s="11">
        <f>IF(OR($B225="",NOT(ISNUMBER($C225))),"",COUNTIFS($A$5:$A$1668,$A225,$C$5:$C$1668,"&lt;"&amp;$C225)+1)</f>
        <v/>
      </c>
      <c r="F225" s="11">
        <f>IF(OR($B225="",NOT(ISNUMBER($C225))),"",COUNTIFS($A$5:$A$1668,$A225,$C$5:$C$1668,"&gt;0"))</f>
        <v/>
      </c>
      <c r="G225" s="11">
        <f>IF(OR($B225="",NOT(ISNUMBER($C225))),"",IF($D225&lt;&gt;"",ROUND(Points!$B$6*IF($F225&lt;Points!$H$4,Points!$H$5,1),0),ROUND(Points!$B$6*IF($F225&lt;=1,1,Points!$H$7+(1-Points!$H$7)*((($F225-$E225)*(($F225-$E225)+1)/2)^2-((($F225-$E225-COUNTIFS($A$5:$A$1668,$A225,$C$5:$C$1668,$C225)+1)-1)*($F225-$E225-COUNTIFS($A$5:$A$1668,$A225,$C$5:$C$1668,$C225)+1)/2)^2)/(COUNTIFS($A$5:$A$1668,$A225,$C$5:$C$1668,$C225)*($F225-1)^3))*IF($F225&lt;Points!$H$4,Points!$H$5,1),0)))</f>
        <v/>
      </c>
      <c r="H225" s="11">
        <f>IF($G225="","",COUNTIFS($B$5:$B$1668,$B225,$G$5:$G$1668,"&gt;"&amp;$G225)+COUNTIFS($B$4:$B224,$B225,$G$4:$G224,$G225)+1)</f>
        <v/>
      </c>
      <c r="I225" s="11">
        <f>IF($G225="","",IF($H225&lt;=Points!$H$6,$G225,0))</f>
        <v/>
      </c>
      <c r="J225" s="11">
        <f>IF($B225="","",IF(COUNTIF(Players!$A$2:$A$500,$B225)=0,"Player is not on the Players tab",IF(NOT(ISNUMBER($C225)),"Enter a gross score",IF(COUNTIFS($A$5:$A$1668,$A225,$B$5:$B$1668,$B225)&gt;1,"Player is listed twice this week",IF(AND($D225&lt;&gt;"",COUNTIFS($A$5:$A$1668,$A225,$D$5:$D$1668,$D225)&gt;1),"Two players picked as "&amp;$D225,IF(COUNTIFS($A$5:$A$1668,$A225,$D$5:$D$1668,"Gross winner")=0,"Pick this week's gross winner",IF(COUNTIFS($A$5:$A$1668,$A225,$D$5:$D$1668,"Net winner")=0,"Pick this week's net winner","OK")))))))</f>
        <v/>
      </c>
    </row>
    <row r="226" outlineLevel="1">
      <c r="A226" s="13" t="n">
        <v>46435</v>
      </c>
      <c r="E226" s="11">
        <f>IF(OR($B226="",NOT(ISNUMBER($C226))),"",COUNTIFS($A$5:$A$1668,$A226,$C$5:$C$1668,"&lt;"&amp;$C226)+1)</f>
        <v/>
      </c>
      <c r="F226" s="11">
        <f>IF(OR($B226="",NOT(ISNUMBER($C226))),"",COUNTIFS($A$5:$A$1668,$A226,$C$5:$C$1668,"&gt;0"))</f>
        <v/>
      </c>
      <c r="G226" s="11">
        <f>IF(OR($B226="",NOT(ISNUMBER($C226))),"",IF($D226&lt;&gt;"",ROUND(Points!$B$6*IF($F226&lt;Points!$H$4,Points!$H$5,1),0),ROUND(Points!$B$6*IF($F226&lt;=1,1,Points!$H$7+(1-Points!$H$7)*((($F226-$E226)*(($F226-$E226)+1)/2)^2-((($F226-$E226-COUNTIFS($A$5:$A$1668,$A226,$C$5:$C$1668,$C226)+1)-1)*($F226-$E226-COUNTIFS($A$5:$A$1668,$A226,$C$5:$C$1668,$C226)+1)/2)^2)/(COUNTIFS($A$5:$A$1668,$A226,$C$5:$C$1668,$C226)*($F226-1)^3))*IF($F226&lt;Points!$H$4,Points!$H$5,1),0)))</f>
        <v/>
      </c>
      <c r="H226" s="11">
        <f>IF($G226="","",COUNTIFS($B$5:$B$1668,$B226,$G$5:$G$1668,"&gt;"&amp;$G226)+COUNTIFS($B$4:$B225,$B226,$G$4:$G225,$G226)+1)</f>
        <v/>
      </c>
      <c r="I226" s="11">
        <f>IF($G226="","",IF($H226&lt;=Points!$H$6,$G226,0))</f>
        <v/>
      </c>
      <c r="J226" s="11">
        <f>IF($B226="","",IF(COUNTIF(Players!$A$2:$A$500,$B226)=0,"Player is not on the Players tab",IF(NOT(ISNUMBER($C226)),"Enter a gross score",IF(COUNTIFS($A$5:$A$1668,$A226,$B$5:$B$1668,$B226)&gt;1,"Player is listed twice this week",IF(AND($D226&lt;&gt;"",COUNTIFS($A$5:$A$1668,$A226,$D$5:$D$1668,$D226)&gt;1),"Two players picked as "&amp;$D226,IF(COUNTIFS($A$5:$A$1668,$A226,$D$5:$D$1668,"Gross winner")=0,"Pick this week's gross winner",IF(COUNTIFS($A$5:$A$1668,$A226,$D$5:$D$1668,"Net winner")=0,"Pick this week's net winner","OK")))))))</f>
        <v/>
      </c>
    </row>
    <row r="227" outlineLevel="1">
      <c r="A227" s="13" t="n">
        <v>46435</v>
      </c>
      <c r="E227" s="11">
        <f>IF(OR($B227="",NOT(ISNUMBER($C227))),"",COUNTIFS($A$5:$A$1668,$A227,$C$5:$C$1668,"&lt;"&amp;$C227)+1)</f>
        <v/>
      </c>
      <c r="F227" s="11">
        <f>IF(OR($B227="",NOT(ISNUMBER($C227))),"",COUNTIFS($A$5:$A$1668,$A227,$C$5:$C$1668,"&gt;0"))</f>
        <v/>
      </c>
      <c r="G227" s="11">
        <f>IF(OR($B227="",NOT(ISNUMBER($C227))),"",IF($D227&lt;&gt;"",ROUND(Points!$B$6*IF($F227&lt;Points!$H$4,Points!$H$5,1),0),ROUND(Points!$B$6*IF($F227&lt;=1,1,Points!$H$7+(1-Points!$H$7)*((($F227-$E227)*(($F227-$E227)+1)/2)^2-((($F227-$E227-COUNTIFS($A$5:$A$1668,$A227,$C$5:$C$1668,$C227)+1)-1)*($F227-$E227-COUNTIFS($A$5:$A$1668,$A227,$C$5:$C$1668,$C227)+1)/2)^2)/(COUNTIFS($A$5:$A$1668,$A227,$C$5:$C$1668,$C227)*($F227-1)^3))*IF($F227&lt;Points!$H$4,Points!$H$5,1),0)))</f>
        <v/>
      </c>
      <c r="H227" s="11">
        <f>IF($G227="","",COUNTIFS($B$5:$B$1668,$B227,$G$5:$G$1668,"&gt;"&amp;$G227)+COUNTIFS($B$4:$B226,$B227,$G$4:$G226,$G227)+1)</f>
        <v/>
      </c>
      <c r="I227" s="11">
        <f>IF($G227="","",IF($H227&lt;=Points!$H$6,$G227,0))</f>
        <v/>
      </c>
      <c r="J227" s="11">
        <f>IF($B227="","",IF(COUNTIF(Players!$A$2:$A$500,$B227)=0,"Player is not on the Players tab",IF(NOT(ISNUMBER($C227)),"Enter a gross score",IF(COUNTIFS($A$5:$A$1668,$A227,$B$5:$B$1668,$B227)&gt;1,"Player is listed twice this week",IF(AND($D227&lt;&gt;"",COUNTIFS($A$5:$A$1668,$A227,$D$5:$D$1668,$D227)&gt;1),"Two players picked as "&amp;$D227,IF(COUNTIFS($A$5:$A$1668,$A227,$D$5:$D$1668,"Gross winner")=0,"Pick this week's gross winner",IF(COUNTIFS($A$5:$A$1668,$A227,$D$5:$D$1668,"Net winner")=0,"Pick this week's net winner","OK")))))))</f>
        <v/>
      </c>
    </row>
    <row r="228" ht="10" customHeight="1"/>
    <row r="229" ht="22" customHeight="1">
      <c r="A229" s="12" t="inlineStr">
        <is>
          <t>Week 8  ·  Wednesday, Feb 24</t>
        </is>
      </c>
    </row>
    <row r="230" outlineLevel="1">
      <c r="A230" s="13" t="n">
        <v>46442</v>
      </c>
      <c r="E230" s="11">
        <f>IF(OR($B230="",NOT(ISNUMBER($C230))),"",COUNTIFS($A$5:$A$1668,$A230,$C$5:$C$1668,"&lt;"&amp;$C230)+1)</f>
        <v/>
      </c>
      <c r="F230" s="11">
        <f>IF(OR($B230="",NOT(ISNUMBER($C230))),"",COUNTIFS($A$5:$A$1668,$A230,$C$5:$C$1668,"&gt;0"))</f>
        <v/>
      </c>
      <c r="G230" s="11">
        <f>IF(OR($B230="",NOT(ISNUMBER($C230))),"",IF($D230&lt;&gt;"",ROUND(Points!$B$6*IF($F230&lt;Points!$H$4,Points!$H$5,1),0),ROUND(Points!$B$6*IF($F230&lt;=1,1,Points!$H$7+(1-Points!$H$7)*((($F230-$E230)*(($F230-$E230)+1)/2)^2-((($F230-$E230-COUNTIFS($A$5:$A$1668,$A230,$C$5:$C$1668,$C230)+1)-1)*($F230-$E230-COUNTIFS($A$5:$A$1668,$A230,$C$5:$C$1668,$C230)+1)/2)^2)/(COUNTIFS($A$5:$A$1668,$A230,$C$5:$C$1668,$C230)*($F230-1)^3))*IF($F230&lt;Points!$H$4,Points!$H$5,1),0)))</f>
        <v/>
      </c>
      <c r="H230" s="11">
        <f>IF($G230="","",COUNTIFS($B$5:$B$1668,$B230,$G$5:$G$1668,"&gt;"&amp;$G230)+COUNTIFS($B$4:$B229,$B230,$G$4:$G229,$G230)+1)</f>
        <v/>
      </c>
      <c r="I230" s="11">
        <f>IF($G230="","",IF($H230&lt;=Points!$H$6,$G230,0))</f>
        <v/>
      </c>
      <c r="J230" s="11">
        <f>IF($B230="","",IF(COUNTIF(Players!$A$2:$A$500,$B230)=0,"Player is not on the Players tab",IF(NOT(ISNUMBER($C230)),"Enter a gross score",IF(COUNTIFS($A$5:$A$1668,$A230,$B$5:$B$1668,$B230)&gt;1,"Player is listed twice this week",IF(AND($D230&lt;&gt;"",COUNTIFS($A$5:$A$1668,$A230,$D$5:$D$1668,$D230)&gt;1),"Two players picked as "&amp;$D230,IF(COUNTIFS($A$5:$A$1668,$A230,$D$5:$D$1668,"Gross winner")=0,"Pick this week's gross winner",IF(COUNTIFS($A$5:$A$1668,$A230,$D$5:$D$1668,"Net winner")=0,"Pick this week's net winner","OK")))))))</f>
        <v/>
      </c>
    </row>
    <row r="231" outlineLevel="1">
      <c r="A231" s="13" t="n">
        <v>46442</v>
      </c>
      <c r="E231" s="11">
        <f>IF(OR($B231="",NOT(ISNUMBER($C231))),"",COUNTIFS($A$5:$A$1668,$A231,$C$5:$C$1668,"&lt;"&amp;$C231)+1)</f>
        <v/>
      </c>
      <c r="F231" s="11">
        <f>IF(OR($B231="",NOT(ISNUMBER($C231))),"",COUNTIFS($A$5:$A$1668,$A231,$C$5:$C$1668,"&gt;0"))</f>
        <v/>
      </c>
      <c r="G231" s="11">
        <f>IF(OR($B231="",NOT(ISNUMBER($C231))),"",IF($D231&lt;&gt;"",ROUND(Points!$B$6*IF($F231&lt;Points!$H$4,Points!$H$5,1),0),ROUND(Points!$B$6*IF($F231&lt;=1,1,Points!$H$7+(1-Points!$H$7)*((($F231-$E231)*(($F231-$E231)+1)/2)^2-((($F231-$E231-COUNTIFS($A$5:$A$1668,$A231,$C$5:$C$1668,$C231)+1)-1)*($F231-$E231-COUNTIFS($A$5:$A$1668,$A231,$C$5:$C$1668,$C231)+1)/2)^2)/(COUNTIFS($A$5:$A$1668,$A231,$C$5:$C$1668,$C231)*($F231-1)^3))*IF($F231&lt;Points!$H$4,Points!$H$5,1),0)))</f>
        <v/>
      </c>
      <c r="H231" s="11">
        <f>IF($G231="","",COUNTIFS($B$5:$B$1668,$B231,$G$5:$G$1668,"&gt;"&amp;$G231)+COUNTIFS($B$4:$B230,$B231,$G$4:$G230,$G231)+1)</f>
        <v/>
      </c>
      <c r="I231" s="11">
        <f>IF($G231="","",IF($H231&lt;=Points!$H$6,$G231,0))</f>
        <v/>
      </c>
      <c r="J231" s="11">
        <f>IF($B231="","",IF(COUNTIF(Players!$A$2:$A$500,$B231)=0,"Player is not on the Players tab",IF(NOT(ISNUMBER($C231)),"Enter a gross score",IF(COUNTIFS($A$5:$A$1668,$A231,$B$5:$B$1668,$B231)&gt;1,"Player is listed twice this week",IF(AND($D231&lt;&gt;"",COUNTIFS($A$5:$A$1668,$A231,$D$5:$D$1668,$D231)&gt;1),"Two players picked as "&amp;$D231,IF(COUNTIFS($A$5:$A$1668,$A231,$D$5:$D$1668,"Gross winner")=0,"Pick this week's gross winner",IF(COUNTIFS($A$5:$A$1668,$A231,$D$5:$D$1668,"Net winner")=0,"Pick this week's net winner","OK")))))))</f>
        <v/>
      </c>
    </row>
    <row r="232" outlineLevel="1">
      <c r="A232" s="13" t="n">
        <v>46442</v>
      </c>
      <c r="E232" s="11">
        <f>IF(OR($B232="",NOT(ISNUMBER($C232))),"",COUNTIFS($A$5:$A$1668,$A232,$C$5:$C$1668,"&lt;"&amp;$C232)+1)</f>
        <v/>
      </c>
      <c r="F232" s="11">
        <f>IF(OR($B232="",NOT(ISNUMBER($C232))),"",COUNTIFS($A$5:$A$1668,$A232,$C$5:$C$1668,"&gt;0"))</f>
        <v/>
      </c>
      <c r="G232" s="11">
        <f>IF(OR($B232="",NOT(ISNUMBER($C232))),"",IF($D232&lt;&gt;"",ROUND(Points!$B$6*IF($F232&lt;Points!$H$4,Points!$H$5,1),0),ROUND(Points!$B$6*IF($F232&lt;=1,1,Points!$H$7+(1-Points!$H$7)*((($F232-$E232)*(($F232-$E232)+1)/2)^2-((($F232-$E232-COUNTIFS($A$5:$A$1668,$A232,$C$5:$C$1668,$C232)+1)-1)*($F232-$E232-COUNTIFS($A$5:$A$1668,$A232,$C$5:$C$1668,$C232)+1)/2)^2)/(COUNTIFS($A$5:$A$1668,$A232,$C$5:$C$1668,$C232)*($F232-1)^3))*IF($F232&lt;Points!$H$4,Points!$H$5,1),0)))</f>
        <v/>
      </c>
      <c r="H232" s="11">
        <f>IF($G232="","",COUNTIFS($B$5:$B$1668,$B232,$G$5:$G$1668,"&gt;"&amp;$G232)+COUNTIFS($B$4:$B231,$B232,$G$4:$G231,$G232)+1)</f>
        <v/>
      </c>
      <c r="I232" s="11">
        <f>IF($G232="","",IF($H232&lt;=Points!$H$6,$G232,0))</f>
        <v/>
      </c>
      <c r="J232" s="11">
        <f>IF($B232="","",IF(COUNTIF(Players!$A$2:$A$500,$B232)=0,"Player is not on the Players tab",IF(NOT(ISNUMBER($C232)),"Enter a gross score",IF(COUNTIFS($A$5:$A$1668,$A232,$B$5:$B$1668,$B232)&gt;1,"Player is listed twice this week",IF(AND($D232&lt;&gt;"",COUNTIFS($A$5:$A$1668,$A232,$D$5:$D$1668,$D232)&gt;1),"Two players picked as "&amp;$D232,IF(COUNTIFS($A$5:$A$1668,$A232,$D$5:$D$1668,"Gross winner")=0,"Pick this week's gross winner",IF(COUNTIFS($A$5:$A$1668,$A232,$D$5:$D$1668,"Net winner")=0,"Pick this week's net winner","OK")))))))</f>
        <v/>
      </c>
    </row>
    <row r="233" outlineLevel="1">
      <c r="A233" s="13" t="n">
        <v>46442</v>
      </c>
      <c r="E233" s="11">
        <f>IF(OR($B233="",NOT(ISNUMBER($C233))),"",COUNTIFS($A$5:$A$1668,$A233,$C$5:$C$1668,"&lt;"&amp;$C233)+1)</f>
        <v/>
      </c>
      <c r="F233" s="11">
        <f>IF(OR($B233="",NOT(ISNUMBER($C233))),"",COUNTIFS($A$5:$A$1668,$A233,$C$5:$C$1668,"&gt;0"))</f>
        <v/>
      </c>
      <c r="G233" s="11">
        <f>IF(OR($B233="",NOT(ISNUMBER($C233))),"",IF($D233&lt;&gt;"",ROUND(Points!$B$6*IF($F233&lt;Points!$H$4,Points!$H$5,1),0),ROUND(Points!$B$6*IF($F233&lt;=1,1,Points!$H$7+(1-Points!$H$7)*((($F233-$E233)*(($F233-$E233)+1)/2)^2-((($F233-$E233-COUNTIFS($A$5:$A$1668,$A233,$C$5:$C$1668,$C233)+1)-1)*($F233-$E233-COUNTIFS($A$5:$A$1668,$A233,$C$5:$C$1668,$C233)+1)/2)^2)/(COUNTIFS($A$5:$A$1668,$A233,$C$5:$C$1668,$C233)*($F233-1)^3))*IF($F233&lt;Points!$H$4,Points!$H$5,1),0)))</f>
        <v/>
      </c>
      <c r="H233" s="11">
        <f>IF($G233="","",COUNTIFS($B$5:$B$1668,$B233,$G$5:$G$1668,"&gt;"&amp;$G233)+COUNTIFS($B$4:$B232,$B233,$G$4:$G232,$G233)+1)</f>
        <v/>
      </c>
      <c r="I233" s="11">
        <f>IF($G233="","",IF($H233&lt;=Points!$H$6,$G233,0))</f>
        <v/>
      </c>
      <c r="J233" s="11">
        <f>IF($B233="","",IF(COUNTIF(Players!$A$2:$A$500,$B233)=0,"Player is not on the Players tab",IF(NOT(ISNUMBER($C233)),"Enter a gross score",IF(COUNTIFS($A$5:$A$1668,$A233,$B$5:$B$1668,$B233)&gt;1,"Player is listed twice this week",IF(AND($D233&lt;&gt;"",COUNTIFS($A$5:$A$1668,$A233,$D$5:$D$1668,$D233)&gt;1),"Two players picked as "&amp;$D233,IF(COUNTIFS($A$5:$A$1668,$A233,$D$5:$D$1668,"Gross winner")=0,"Pick this week's gross winner",IF(COUNTIFS($A$5:$A$1668,$A233,$D$5:$D$1668,"Net winner")=0,"Pick this week's net winner","OK")))))))</f>
        <v/>
      </c>
    </row>
    <row r="234" outlineLevel="1">
      <c r="A234" s="13" t="n">
        <v>46442</v>
      </c>
      <c r="E234" s="11">
        <f>IF(OR($B234="",NOT(ISNUMBER($C234))),"",COUNTIFS($A$5:$A$1668,$A234,$C$5:$C$1668,"&lt;"&amp;$C234)+1)</f>
        <v/>
      </c>
      <c r="F234" s="11">
        <f>IF(OR($B234="",NOT(ISNUMBER($C234))),"",COUNTIFS($A$5:$A$1668,$A234,$C$5:$C$1668,"&gt;0"))</f>
        <v/>
      </c>
      <c r="G234" s="11">
        <f>IF(OR($B234="",NOT(ISNUMBER($C234))),"",IF($D234&lt;&gt;"",ROUND(Points!$B$6*IF($F234&lt;Points!$H$4,Points!$H$5,1),0),ROUND(Points!$B$6*IF($F234&lt;=1,1,Points!$H$7+(1-Points!$H$7)*((($F234-$E234)*(($F234-$E234)+1)/2)^2-((($F234-$E234-COUNTIFS($A$5:$A$1668,$A234,$C$5:$C$1668,$C234)+1)-1)*($F234-$E234-COUNTIFS($A$5:$A$1668,$A234,$C$5:$C$1668,$C234)+1)/2)^2)/(COUNTIFS($A$5:$A$1668,$A234,$C$5:$C$1668,$C234)*($F234-1)^3))*IF($F234&lt;Points!$H$4,Points!$H$5,1),0)))</f>
        <v/>
      </c>
      <c r="H234" s="11">
        <f>IF($G234="","",COUNTIFS($B$5:$B$1668,$B234,$G$5:$G$1668,"&gt;"&amp;$G234)+COUNTIFS($B$4:$B233,$B234,$G$4:$G233,$G234)+1)</f>
        <v/>
      </c>
      <c r="I234" s="11">
        <f>IF($G234="","",IF($H234&lt;=Points!$H$6,$G234,0))</f>
        <v/>
      </c>
      <c r="J234" s="11">
        <f>IF($B234="","",IF(COUNTIF(Players!$A$2:$A$500,$B234)=0,"Player is not on the Players tab",IF(NOT(ISNUMBER($C234)),"Enter a gross score",IF(COUNTIFS($A$5:$A$1668,$A234,$B$5:$B$1668,$B234)&gt;1,"Player is listed twice this week",IF(AND($D234&lt;&gt;"",COUNTIFS($A$5:$A$1668,$A234,$D$5:$D$1668,$D234)&gt;1),"Two players picked as "&amp;$D234,IF(COUNTIFS($A$5:$A$1668,$A234,$D$5:$D$1668,"Gross winner")=0,"Pick this week's gross winner",IF(COUNTIFS($A$5:$A$1668,$A234,$D$5:$D$1668,"Net winner")=0,"Pick this week's net winner","OK")))))))</f>
        <v/>
      </c>
    </row>
    <row r="235" outlineLevel="1">
      <c r="A235" s="13" t="n">
        <v>46442</v>
      </c>
      <c r="E235" s="11">
        <f>IF(OR($B235="",NOT(ISNUMBER($C235))),"",COUNTIFS($A$5:$A$1668,$A235,$C$5:$C$1668,"&lt;"&amp;$C235)+1)</f>
        <v/>
      </c>
      <c r="F235" s="11">
        <f>IF(OR($B235="",NOT(ISNUMBER($C235))),"",COUNTIFS($A$5:$A$1668,$A235,$C$5:$C$1668,"&gt;0"))</f>
        <v/>
      </c>
      <c r="G235" s="11">
        <f>IF(OR($B235="",NOT(ISNUMBER($C235))),"",IF($D235&lt;&gt;"",ROUND(Points!$B$6*IF($F235&lt;Points!$H$4,Points!$H$5,1),0),ROUND(Points!$B$6*IF($F235&lt;=1,1,Points!$H$7+(1-Points!$H$7)*((($F235-$E235)*(($F235-$E235)+1)/2)^2-((($F235-$E235-COUNTIFS($A$5:$A$1668,$A235,$C$5:$C$1668,$C235)+1)-1)*($F235-$E235-COUNTIFS($A$5:$A$1668,$A235,$C$5:$C$1668,$C235)+1)/2)^2)/(COUNTIFS($A$5:$A$1668,$A235,$C$5:$C$1668,$C235)*($F235-1)^3))*IF($F235&lt;Points!$H$4,Points!$H$5,1),0)))</f>
        <v/>
      </c>
      <c r="H235" s="11">
        <f>IF($G235="","",COUNTIFS($B$5:$B$1668,$B235,$G$5:$G$1668,"&gt;"&amp;$G235)+COUNTIFS($B$4:$B234,$B235,$G$4:$G234,$G235)+1)</f>
        <v/>
      </c>
      <c r="I235" s="11">
        <f>IF($G235="","",IF($H235&lt;=Points!$H$6,$G235,0))</f>
        <v/>
      </c>
      <c r="J235" s="11">
        <f>IF($B235="","",IF(COUNTIF(Players!$A$2:$A$500,$B235)=0,"Player is not on the Players tab",IF(NOT(ISNUMBER($C235)),"Enter a gross score",IF(COUNTIFS($A$5:$A$1668,$A235,$B$5:$B$1668,$B235)&gt;1,"Player is listed twice this week",IF(AND($D235&lt;&gt;"",COUNTIFS($A$5:$A$1668,$A235,$D$5:$D$1668,$D235)&gt;1),"Two players picked as "&amp;$D235,IF(COUNTIFS($A$5:$A$1668,$A235,$D$5:$D$1668,"Gross winner")=0,"Pick this week's gross winner",IF(COUNTIFS($A$5:$A$1668,$A235,$D$5:$D$1668,"Net winner")=0,"Pick this week's net winner","OK")))))))</f>
        <v/>
      </c>
    </row>
    <row r="236" outlineLevel="1">
      <c r="A236" s="13" t="n">
        <v>46442</v>
      </c>
      <c r="E236" s="11">
        <f>IF(OR($B236="",NOT(ISNUMBER($C236))),"",COUNTIFS($A$5:$A$1668,$A236,$C$5:$C$1668,"&lt;"&amp;$C236)+1)</f>
        <v/>
      </c>
      <c r="F236" s="11">
        <f>IF(OR($B236="",NOT(ISNUMBER($C236))),"",COUNTIFS($A$5:$A$1668,$A236,$C$5:$C$1668,"&gt;0"))</f>
        <v/>
      </c>
      <c r="G236" s="11">
        <f>IF(OR($B236="",NOT(ISNUMBER($C236))),"",IF($D236&lt;&gt;"",ROUND(Points!$B$6*IF($F236&lt;Points!$H$4,Points!$H$5,1),0),ROUND(Points!$B$6*IF($F236&lt;=1,1,Points!$H$7+(1-Points!$H$7)*((($F236-$E236)*(($F236-$E236)+1)/2)^2-((($F236-$E236-COUNTIFS($A$5:$A$1668,$A236,$C$5:$C$1668,$C236)+1)-1)*($F236-$E236-COUNTIFS($A$5:$A$1668,$A236,$C$5:$C$1668,$C236)+1)/2)^2)/(COUNTIFS($A$5:$A$1668,$A236,$C$5:$C$1668,$C236)*($F236-1)^3))*IF($F236&lt;Points!$H$4,Points!$H$5,1),0)))</f>
        <v/>
      </c>
      <c r="H236" s="11">
        <f>IF($G236="","",COUNTIFS($B$5:$B$1668,$B236,$G$5:$G$1668,"&gt;"&amp;$G236)+COUNTIFS($B$4:$B235,$B236,$G$4:$G235,$G236)+1)</f>
        <v/>
      </c>
      <c r="I236" s="11">
        <f>IF($G236="","",IF($H236&lt;=Points!$H$6,$G236,0))</f>
        <v/>
      </c>
      <c r="J236" s="11">
        <f>IF($B236="","",IF(COUNTIF(Players!$A$2:$A$500,$B236)=0,"Player is not on the Players tab",IF(NOT(ISNUMBER($C236)),"Enter a gross score",IF(COUNTIFS($A$5:$A$1668,$A236,$B$5:$B$1668,$B236)&gt;1,"Player is listed twice this week",IF(AND($D236&lt;&gt;"",COUNTIFS($A$5:$A$1668,$A236,$D$5:$D$1668,$D236)&gt;1),"Two players picked as "&amp;$D236,IF(COUNTIFS($A$5:$A$1668,$A236,$D$5:$D$1668,"Gross winner")=0,"Pick this week's gross winner",IF(COUNTIFS($A$5:$A$1668,$A236,$D$5:$D$1668,"Net winner")=0,"Pick this week's net winner","OK")))))))</f>
        <v/>
      </c>
    </row>
    <row r="237" outlineLevel="1">
      <c r="A237" s="13" t="n">
        <v>46442</v>
      </c>
      <c r="E237" s="11">
        <f>IF(OR($B237="",NOT(ISNUMBER($C237))),"",COUNTIFS($A$5:$A$1668,$A237,$C$5:$C$1668,"&lt;"&amp;$C237)+1)</f>
        <v/>
      </c>
      <c r="F237" s="11">
        <f>IF(OR($B237="",NOT(ISNUMBER($C237))),"",COUNTIFS($A$5:$A$1668,$A237,$C$5:$C$1668,"&gt;0"))</f>
        <v/>
      </c>
      <c r="G237" s="11">
        <f>IF(OR($B237="",NOT(ISNUMBER($C237))),"",IF($D237&lt;&gt;"",ROUND(Points!$B$6*IF($F237&lt;Points!$H$4,Points!$H$5,1),0),ROUND(Points!$B$6*IF($F237&lt;=1,1,Points!$H$7+(1-Points!$H$7)*((($F237-$E237)*(($F237-$E237)+1)/2)^2-((($F237-$E237-COUNTIFS($A$5:$A$1668,$A237,$C$5:$C$1668,$C237)+1)-1)*($F237-$E237-COUNTIFS($A$5:$A$1668,$A237,$C$5:$C$1668,$C237)+1)/2)^2)/(COUNTIFS($A$5:$A$1668,$A237,$C$5:$C$1668,$C237)*($F237-1)^3))*IF($F237&lt;Points!$H$4,Points!$H$5,1),0)))</f>
        <v/>
      </c>
      <c r="H237" s="11">
        <f>IF($G237="","",COUNTIFS($B$5:$B$1668,$B237,$G$5:$G$1668,"&gt;"&amp;$G237)+COUNTIFS($B$4:$B236,$B237,$G$4:$G236,$G237)+1)</f>
        <v/>
      </c>
      <c r="I237" s="11">
        <f>IF($G237="","",IF($H237&lt;=Points!$H$6,$G237,0))</f>
        <v/>
      </c>
      <c r="J237" s="11">
        <f>IF($B237="","",IF(COUNTIF(Players!$A$2:$A$500,$B237)=0,"Player is not on the Players tab",IF(NOT(ISNUMBER($C237)),"Enter a gross score",IF(COUNTIFS($A$5:$A$1668,$A237,$B$5:$B$1668,$B237)&gt;1,"Player is listed twice this week",IF(AND($D237&lt;&gt;"",COUNTIFS($A$5:$A$1668,$A237,$D$5:$D$1668,$D237)&gt;1),"Two players picked as "&amp;$D237,IF(COUNTIFS($A$5:$A$1668,$A237,$D$5:$D$1668,"Gross winner")=0,"Pick this week's gross winner",IF(COUNTIFS($A$5:$A$1668,$A237,$D$5:$D$1668,"Net winner")=0,"Pick this week's net winner","OK")))))))</f>
        <v/>
      </c>
    </row>
    <row r="238" outlineLevel="1">
      <c r="A238" s="13" t="n">
        <v>46442</v>
      </c>
      <c r="E238" s="11">
        <f>IF(OR($B238="",NOT(ISNUMBER($C238))),"",COUNTIFS($A$5:$A$1668,$A238,$C$5:$C$1668,"&lt;"&amp;$C238)+1)</f>
        <v/>
      </c>
      <c r="F238" s="11">
        <f>IF(OR($B238="",NOT(ISNUMBER($C238))),"",COUNTIFS($A$5:$A$1668,$A238,$C$5:$C$1668,"&gt;0"))</f>
        <v/>
      </c>
      <c r="G238" s="11">
        <f>IF(OR($B238="",NOT(ISNUMBER($C238))),"",IF($D238&lt;&gt;"",ROUND(Points!$B$6*IF($F238&lt;Points!$H$4,Points!$H$5,1),0),ROUND(Points!$B$6*IF($F238&lt;=1,1,Points!$H$7+(1-Points!$H$7)*((($F238-$E238)*(($F238-$E238)+1)/2)^2-((($F238-$E238-COUNTIFS($A$5:$A$1668,$A238,$C$5:$C$1668,$C238)+1)-1)*($F238-$E238-COUNTIFS($A$5:$A$1668,$A238,$C$5:$C$1668,$C238)+1)/2)^2)/(COUNTIFS($A$5:$A$1668,$A238,$C$5:$C$1668,$C238)*($F238-1)^3))*IF($F238&lt;Points!$H$4,Points!$H$5,1),0)))</f>
        <v/>
      </c>
      <c r="H238" s="11">
        <f>IF($G238="","",COUNTIFS($B$5:$B$1668,$B238,$G$5:$G$1668,"&gt;"&amp;$G238)+COUNTIFS($B$4:$B237,$B238,$G$4:$G237,$G238)+1)</f>
        <v/>
      </c>
      <c r="I238" s="11">
        <f>IF($G238="","",IF($H238&lt;=Points!$H$6,$G238,0))</f>
        <v/>
      </c>
      <c r="J238" s="11">
        <f>IF($B238="","",IF(COUNTIF(Players!$A$2:$A$500,$B238)=0,"Player is not on the Players tab",IF(NOT(ISNUMBER($C238)),"Enter a gross score",IF(COUNTIFS($A$5:$A$1668,$A238,$B$5:$B$1668,$B238)&gt;1,"Player is listed twice this week",IF(AND($D238&lt;&gt;"",COUNTIFS($A$5:$A$1668,$A238,$D$5:$D$1668,$D238)&gt;1),"Two players picked as "&amp;$D238,IF(COUNTIFS($A$5:$A$1668,$A238,$D$5:$D$1668,"Gross winner")=0,"Pick this week's gross winner",IF(COUNTIFS($A$5:$A$1668,$A238,$D$5:$D$1668,"Net winner")=0,"Pick this week's net winner","OK")))))))</f>
        <v/>
      </c>
    </row>
    <row r="239" outlineLevel="1">
      <c r="A239" s="13" t="n">
        <v>46442</v>
      </c>
      <c r="E239" s="11">
        <f>IF(OR($B239="",NOT(ISNUMBER($C239))),"",COUNTIFS($A$5:$A$1668,$A239,$C$5:$C$1668,"&lt;"&amp;$C239)+1)</f>
        <v/>
      </c>
      <c r="F239" s="11">
        <f>IF(OR($B239="",NOT(ISNUMBER($C239))),"",COUNTIFS($A$5:$A$1668,$A239,$C$5:$C$1668,"&gt;0"))</f>
        <v/>
      </c>
      <c r="G239" s="11">
        <f>IF(OR($B239="",NOT(ISNUMBER($C239))),"",IF($D239&lt;&gt;"",ROUND(Points!$B$6*IF($F239&lt;Points!$H$4,Points!$H$5,1),0),ROUND(Points!$B$6*IF($F239&lt;=1,1,Points!$H$7+(1-Points!$H$7)*((($F239-$E239)*(($F239-$E239)+1)/2)^2-((($F239-$E239-COUNTIFS($A$5:$A$1668,$A239,$C$5:$C$1668,$C239)+1)-1)*($F239-$E239-COUNTIFS($A$5:$A$1668,$A239,$C$5:$C$1668,$C239)+1)/2)^2)/(COUNTIFS($A$5:$A$1668,$A239,$C$5:$C$1668,$C239)*($F239-1)^3))*IF($F239&lt;Points!$H$4,Points!$H$5,1),0)))</f>
        <v/>
      </c>
      <c r="H239" s="11">
        <f>IF($G239="","",COUNTIFS($B$5:$B$1668,$B239,$G$5:$G$1668,"&gt;"&amp;$G239)+COUNTIFS($B$4:$B238,$B239,$G$4:$G238,$G239)+1)</f>
        <v/>
      </c>
      <c r="I239" s="11">
        <f>IF($G239="","",IF($H239&lt;=Points!$H$6,$G239,0))</f>
        <v/>
      </c>
      <c r="J239" s="11">
        <f>IF($B239="","",IF(COUNTIF(Players!$A$2:$A$500,$B239)=0,"Player is not on the Players tab",IF(NOT(ISNUMBER($C239)),"Enter a gross score",IF(COUNTIFS($A$5:$A$1668,$A239,$B$5:$B$1668,$B239)&gt;1,"Player is listed twice this week",IF(AND($D239&lt;&gt;"",COUNTIFS($A$5:$A$1668,$A239,$D$5:$D$1668,$D239)&gt;1),"Two players picked as "&amp;$D239,IF(COUNTIFS($A$5:$A$1668,$A239,$D$5:$D$1668,"Gross winner")=0,"Pick this week's gross winner",IF(COUNTIFS($A$5:$A$1668,$A239,$D$5:$D$1668,"Net winner")=0,"Pick this week's net winner","OK")))))))</f>
        <v/>
      </c>
    </row>
    <row r="240" outlineLevel="1">
      <c r="A240" s="13" t="n">
        <v>46442</v>
      </c>
      <c r="E240" s="11">
        <f>IF(OR($B240="",NOT(ISNUMBER($C240))),"",COUNTIFS($A$5:$A$1668,$A240,$C$5:$C$1668,"&lt;"&amp;$C240)+1)</f>
        <v/>
      </c>
      <c r="F240" s="11">
        <f>IF(OR($B240="",NOT(ISNUMBER($C240))),"",COUNTIFS($A$5:$A$1668,$A240,$C$5:$C$1668,"&gt;0"))</f>
        <v/>
      </c>
      <c r="G240" s="11">
        <f>IF(OR($B240="",NOT(ISNUMBER($C240))),"",IF($D240&lt;&gt;"",ROUND(Points!$B$6*IF($F240&lt;Points!$H$4,Points!$H$5,1),0),ROUND(Points!$B$6*IF($F240&lt;=1,1,Points!$H$7+(1-Points!$H$7)*((($F240-$E240)*(($F240-$E240)+1)/2)^2-((($F240-$E240-COUNTIFS($A$5:$A$1668,$A240,$C$5:$C$1668,$C240)+1)-1)*($F240-$E240-COUNTIFS($A$5:$A$1668,$A240,$C$5:$C$1668,$C240)+1)/2)^2)/(COUNTIFS($A$5:$A$1668,$A240,$C$5:$C$1668,$C240)*($F240-1)^3))*IF($F240&lt;Points!$H$4,Points!$H$5,1),0)))</f>
        <v/>
      </c>
      <c r="H240" s="11">
        <f>IF($G240="","",COUNTIFS($B$5:$B$1668,$B240,$G$5:$G$1668,"&gt;"&amp;$G240)+COUNTIFS($B$4:$B239,$B240,$G$4:$G239,$G240)+1)</f>
        <v/>
      </c>
      <c r="I240" s="11">
        <f>IF($G240="","",IF($H240&lt;=Points!$H$6,$G240,0))</f>
        <v/>
      </c>
      <c r="J240" s="11">
        <f>IF($B240="","",IF(COUNTIF(Players!$A$2:$A$500,$B240)=0,"Player is not on the Players tab",IF(NOT(ISNUMBER($C240)),"Enter a gross score",IF(COUNTIFS($A$5:$A$1668,$A240,$B$5:$B$1668,$B240)&gt;1,"Player is listed twice this week",IF(AND($D240&lt;&gt;"",COUNTIFS($A$5:$A$1668,$A240,$D$5:$D$1668,$D240)&gt;1),"Two players picked as "&amp;$D240,IF(COUNTIFS($A$5:$A$1668,$A240,$D$5:$D$1668,"Gross winner")=0,"Pick this week's gross winner",IF(COUNTIFS($A$5:$A$1668,$A240,$D$5:$D$1668,"Net winner")=0,"Pick this week's net winner","OK")))))))</f>
        <v/>
      </c>
    </row>
    <row r="241" outlineLevel="1">
      <c r="A241" s="13" t="n">
        <v>46442</v>
      </c>
      <c r="E241" s="11">
        <f>IF(OR($B241="",NOT(ISNUMBER($C241))),"",COUNTIFS($A$5:$A$1668,$A241,$C$5:$C$1668,"&lt;"&amp;$C241)+1)</f>
        <v/>
      </c>
      <c r="F241" s="11">
        <f>IF(OR($B241="",NOT(ISNUMBER($C241))),"",COUNTIFS($A$5:$A$1668,$A241,$C$5:$C$1668,"&gt;0"))</f>
        <v/>
      </c>
      <c r="G241" s="11">
        <f>IF(OR($B241="",NOT(ISNUMBER($C241))),"",IF($D241&lt;&gt;"",ROUND(Points!$B$6*IF($F241&lt;Points!$H$4,Points!$H$5,1),0),ROUND(Points!$B$6*IF($F241&lt;=1,1,Points!$H$7+(1-Points!$H$7)*((($F241-$E241)*(($F241-$E241)+1)/2)^2-((($F241-$E241-COUNTIFS($A$5:$A$1668,$A241,$C$5:$C$1668,$C241)+1)-1)*($F241-$E241-COUNTIFS($A$5:$A$1668,$A241,$C$5:$C$1668,$C241)+1)/2)^2)/(COUNTIFS($A$5:$A$1668,$A241,$C$5:$C$1668,$C241)*($F241-1)^3))*IF($F241&lt;Points!$H$4,Points!$H$5,1),0)))</f>
        <v/>
      </c>
      <c r="H241" s="11">
        <f>IF($G241="","",COUNTIFS($B$5:$B$1668,$B241,$G$5:$G$1668,"&gt;"&amp;$G241)+COUNTIFS($B$4:$B240,$B241,$G$4:$G240,$G241)+1)</f>
        <v/>
      </c>
      <c r="I241" s="11">
        <f>IF($G241="","",IF($H241&lt;=Points!$H$6,$G241,0))</f>
        <v/>
      </c>
      <c r="J241" s="11">
        <f>IF($B241="","",IF(COUNTIF(Players!$A$2:$A$500,$B241)=0,"Player is not on the Players tab",IF(NOT(ISNUMBER($C241)),"Enter a gross score",IF(COUNTIFS($A$5:$A$1668,$A241,$B$5:$B$1668,$B241)&gt;1,"Player is listed twice this week",IF(AND($D241&lt;&gt;"",COUNTIFS($A$5:$A$1668,$A241,$D$5:$D$1668,$D241)&gt;1),"Two players picked as "&amp;$D241,IF(COUNTIFS($A$5:$A$1668,$A241,$D$5:$D$1668,"Gross winner")=0,"Pick this week's gross winner",IF(COUNTIFS($A$5:$A$1668,$A241,$D$5:$D$1668,"Net winner")=0,"Pick this week's net winner","OK")))))))</f>
        <v/>
      </c>
    </row>
    <row r="242" outlineLevel="1">
      <c r="A242" s="13" t="n">
        <v>46442</v>
      </c>
      <c r="E242" s="11">
        <f>IF(OR($B242="",NOT(ISNUMBER($C242))),"",COUNTIFS($A$5:$A$1668,$A242,$C$5:$C$1668,"&lt;"&amp;$C242)+1)</f>
        <v/>
      </c>
      <c r="F242" s="11">
        <f>IF(OR($B242="",NOT(ISNUMBER($C242))),"",COUNTIFS($A$5:$A$1668,$A242,$C$5:$C$1668,"&gt;0"))</f>
        <v/>
      </c>
      <c r="G242" s="11">
        <f>IF(OR($B242="",NOT(ISNUMBER($C242))),"",IF($D242&lt;&gt;"",ROUND(Points!$B$6*IF($F242&lt;Points!$H$4,Points!$H$5,1),0),ROUND(Points!$B$6*IF($F242&lt;=1,1,Points!$H$7+(1-Points!$H$7)*((($F242-$E242)*(($F242-$E242)+1)/2)^2-((($F242-$E242-COUNTIFS($A$5:$A$1668,$A242,$C$5:$C$1668,$C242)+1)-1)*($F242-$E242-COUNTIFS($A$5:$A$1668,$A242,$C$5:$C$1668,$C242)+1)/2)^2)/(COUNTIFS($A$5:$A$1668,$A242,$C$5:$C$1668,$C242)*($F242-1)^3))*IF($F242&lt;Points!$H$4,Points!$H$5,1),0)))</f>
        <v/>
      </c>
      <c r="H242" s="11">
        <f>IF($G242="","",COUNTIFS($B$5:$B$1668,$B242,$G$5:$G$1668,"&gt;"&amp;$G242)+COUNTIFS($B$4:$B241,$B242,$G$4:$G241,$G242)+1)</f>
        <v/>
      </c>
      <c r="I242" s="11">
        <f>IF($G242="","",IF($H242&lt;=Points!$H$6,$G242,0))</f>
        <v/>
      </c>
      <c r="J242" s="11">
        <f>IF($B242="","",IF(COUNTIF(Players!$A$2:$A$500,$B242)=0,"Player is not on the Players tab",IF(NOT(ISNUMBER($C242)),"Enter a gross score",IF(COUNTIFS($A$5:$A$1668,$A242,$B$5:$B$1668,$B242)&gt;1,"Player is listed twice this week",IF(AND($D242&lt;&gt;"",COUNTIFS($A$5:$A$1668,$A242,$D$5:$D$1668,$D242)&gt;1),"Two players picked as "&amp;$D242,IF(COUNTIFS($A$5:$A$1668,$A242,$D$5:$D$1668,"Gross winner")=0,"Pick this week's gross winner",IF(COUNTIFS($A$5:$A$1668,$A242,$D$5:$D$1668,"Net winner")=0,"Pick this week's net winner","OK")))))))</f>
        <v/>
      </c>
    </row>
    <row r="243" outlineLevel="1">
      <c r="A243" s="13" t="n">
        <v>46442</v>
      </c>
      <c r="E243" s="11">
        <f>IF(OR($B243="",NOT(ISNUMBER($C243))),"",COUNTIFS($A$5:$A$1668,$A243,$C$5:$C$1668,"&lt;"&amp;$C243)+1)</f>
        <v/>
      </c>
      <c r="F243" s="11">
        <f>IF(OR($B243="",NOT(ISNUMBER($C243))),"",COUNTIFS($A$5:$A$1668,$A243,$C$5:$C$1668,"&gt;0"))</f>
        <v/>
      </c>
      <c r="G243" s="11">
        <f>IF(OR($B243="",NOT(ISNUMBER($C243))),"",IF($D243&lt;&gt;"",ROUND(Points!$B$6*IF($F243&lt;Points!$H$4,Points!$H$5,1),0),ROUND(Points!$B$6*IF($F243&lt;=1,1,Points!$H$7+(1-Points!$H$7)*((($F243-$E243)*(($F243-$E243)+1)/2)^2-((($F243-$E243-COUNTIFS($A$5:$A$1668,$A243,$C$5:$C$1668,$C243)+1)-1)*($F243-$E243-COUNTIFS($A$5:$A$1668,$A243,$C$5:$C$1668,$C243)+1)/2)^2)/(COUNTIFS($A$5:$A$1668,$A243,$C$5:$C$1668,$C243)*($F243-1)^3))*IF($F243&lt;Points!$H$4,Points!$H$5,1),0)))</f>
        <v/>
      </c>
      <c r="H243" s="11">
        <f>IF($G243="","",COUNTIFS($B$5:$B$1668,$B243,$G$5:$G$1668,"&gt;"&amp;$G243)+COUNTIFS($B$4:$B242,$B243,$G$4:$G242,$G243)+1)</f>
        <v/>
      </c>
      <c r="I243" s="11">
        <f>IF($G243="","",IF($H243&lt;=Points!$H$6,$G243,0))</f>
        <v/>
      </c>
      <c r="J243" s="11">
        <f>IF($B243="","",IF(COUNTIF(Players!$A$2:$A$500,$B243)=0,"Player is not on the Players tab",IF(NOT(ISNUMBER($C243)),"Enter a gross score",IF(COUNTIFS($A$5:$A$1668,$A243,$B$5:$B$1668,$B243)&gt;1,"Player is listed twice this week",IF(AND($D243&lt;&gt;"",COUNTIFS($A$5:$A$1668,$A243,$D$5:$D$1668,$D243)&gt;1),"Two players picked as "&amp;$D243,IF(COUNTIFS($A$5:$A$1668,$A243,$D$5:$D$1668,"Gross winner")=0,"Pick this week's gross winner",IF(COUNTIFS($A$5:$A$1668,$A243,$D$5:$D$1668,"Net winner")=0,"Pick this week's net winner","OK")))))))</f>
        <v/>
      </c>
    </row>
    <row r="244" outlineLevel="1">
      <c r="A244" s="13" t="n">
        <v>46442</v>
      </c>
      <c r="E244" s="11">
        <f>IF(OR($B244="",NOT(ISNUMBER($C244))),"",COUNTIFS($A$5:$A$1668,$A244,$C$5:$C$1668,"&lt;"&amp;$C244)+1)</f>
        <v/>
      </c>
      <c r="F244" s="11">
        <f>IF(OR($B244="",NOT(ISNUMBER($C244))),"",COUNTIFS($A$5:$A$1668,$A244,$C$5:$C$1668,"&gt;0"))</f>
        <v/>
      </c>
      <c r="G244" s="11">
        <f>IF(OR($B244="",NOT(ISNUMBER($C244))),"",IF($D244&lt;&gt;"",ROUND(Points!$B$6*IF($F244&lt;Points!$H$4,Points!$H$5,1),0),ROUND(Points!$B$6*IF($F244&lt;=1,1,Points!$H$7+(1-Points!$H$7)*((($F244-$E244)*(($F244-$E244)+1)/2)^2-((($F244-$E244-COUNTIFS($A$5:$A$1668,$A244,$C$5:$C$1668,$C244)+1)-1)*($F244-$E244-COUNTIFS($A$5:$A$1668,$A244,$C$5:$C$1668,$C244)+1)/2)^2)/(COUNTIFS($A$5:$A$1668,$A244,$C$5:$C$1668,$C244)*($F244-1)^3))*IF($F244&lt;Points!$H$4,Points!$H$5,1),0)))</f>
        <v/>
      </c>
      <c r="H244" s="11">
        <f>IF($G244="","",COUNTIFS($B$5:$B$1668,$B244,$G$5:$G$1668,"&gt;"&amp;$G244)+COUNTIFS($B$4:$B243,$B244,$G$4:$G243,$G244)+1)</f>
        <v/>
      </c>
      <c r="I244" s="11">
        <f>IF($G244="","",IF($H244&lt;=Points!$H$6,$G244,0))</f>
        <v/>
      </c>
      <c r="J244" s="11">
        <f>IF($B244="","",IF(COUNTIF(Players!$A$2:$A$500,$B244)=0,"Player is not on the Players tab",IF(NOT(ISNUMBER($C244)),"Enter a gross score",IF(COUNTIFS($A$5:$A$1668,$A244,$B$5:$B$1668,$B244)&gt;1,"Player is listed twice this week",IF(AND($D244&lt;&gt;"",COUNTIFS($A$5:$A$1668,$A244,$D$5:$D$1668,$D244)&gt;1),"Two players picked as "&amp;$D244,IF(COUNTIFS($A$5:$A$1668,$A244,$D$5:$D$1668,"Gross winner")=0,"Pick this week's gross winner",IF(COUNTIFS($A$5:$A$1668,$A244,$D$5:$D$1668,"Net winner")=0,"Pick this week's net winner","OK")))))))</f>
        <v/>
      </c>
    </row>
    <row r="245" outlineLevel="1">
      <c r="A245" s="13" t="n">
        <v>46442</v>
      </c>
      <c r="E245" s="11">
        <f>IF(OR($B245="",NOT(ISNUMBER($C245))),"",COUNTIFS($A$5:$A$1668,$A245,$C$5:$C$1668,"&lt;"&amp;$C245)+1)</f>
        <v/>
      </c>
      <c r="F245" s="11">
        <f>IF(OR($B245="",NOT(ISNUMBER($C245))),"",COUNTIFS($A$5:$A$1668,$A245,$C$5:$C$1668,"&gt;0"))</f>
        <v/>
      </c>
      <c r="G245" s="11">
        <f>IF(OR($B245="",NOT(ISNUMBER($C245))),"",IF($D245&lt;&gt;"",ROUND(Points!$B$6*IF($F245&lt;Points!$H$4,Points!$H$5,1),0),ROUND(Points!$B$6*IF($F245&lt;=1,1,Points!$H$7+(1-Points!$H$7)*((($F245-$E245)*(($F245-$E245)+1)/2)^2-((($F245-$E245-COUNTIFS($A$5:$A$1668,$A245,$C$5:$C$1668,$C245)+1)-1)*($F245-$E245-COUNTIFS($A$5:$A$1668,$A245,$C$5:$C$1668,$C245)+1)/2)^2)/(COUNTIFS($A$5:$A$1668,$A245,$C$5:$C$1668,$C245)*($F245-1)^3))*IF($F245&lt;Points!$H$4,Points!$H$5,1),0)))</f>
        <v/>
      </c>
      <c r="H245" s="11">
        <f>IF($G245="","",COUNTIFS($B$5:$B$1668,$B245,$G$5:$G$1668,"&gt;"&amp;$G245)+COUNTIFS($B$4:$B244,$B245,$G$4:$G244,$G245)+1)</f>
        <v/>
      </c>
      <c r="I245" s="11">
        <f>IF($G245="","",IF($H245&lt;=Points!$H$6,$G245,0))</f>
        <v/>
      </c>
      <c r="J245" s="11">
        <f>IF($B245="","",IF(COUNTIF(Players!$A$2:$A$500,$B245)=0,"Player is not on the Players tab",IF(NOT(ISNUMBER($C245)),"Enter a gross score",IF(COUNTIFS($A$5:$A$1668,$A245,$B$5:$B$1668,$B245)&gt;1,"Player is listed twice this week",IF(AND($D245&lt;&gt;"",COUNTIFS($A$5:$A$1668,$A245,$D$5:$D$1668,$D245)&gt;1),"Two players picked as "&amp;$D245,IF(COUNTIFS($A$5:$A$1668,$A245,$D$5:$D$1668,"Gross winner")=0,"Pick this week's gross winner",IF(COUNTIFS($A$5:$A$1668,$A245,$D$5:$D$1668,"Net winner")=0,"Pick this week's net winner","OK")))))))</f>
        <v/>
      </c>
    </row>
    <row r="246" outlineLevel="1">
      <c r="A246" s="13" t="n">
        <v>46442</v>
      </c>
      <c r="E246" s="11">
        <f>IF(OR($B246="",NOT(ISNUMBER($C246))),"",COUNTIFS($A$5:$A$1668,$A246,$C$5:$C$1668,"&lt;"&amp;$C246)+1)</f>
        <v/>
      </c>
      <c r="F246" s="11">
        <f>IF(OR($B246="",NOT(ISNUMBER($C246))),"",COUNTIFS($A$5:$A$1668,$A246,$C$5:$C$1668,"&gt;0"))</f>
        <v/>
      </c>
      <c r="G246" s="11">
        <f>IF(OR($B246="",NOT(ISNUMBER($C246))),"",IF($D246&lt;&gt;"",ROUND(Points!$B$6*IF($F246&lt;Points!$H$4,Points!$H$5,1),0),ROUND(Points!$B$6*IF($F246&lt;=1,1,Points!$H$7+(1-Points!$H$7)*((($F246-$E246)*(($F246-$E246)+1)/2)^2-((($F246-$E246-COUNTIFS($A$5:$A$1668,$A246,$C$5:$C$1668,$C246)+1)-1)*($F246-$E246-COUNTIFS($A$5:$A$1668,$A246,$C$5:$C$1668,$C246)+1)/2)^2)/(COUNTIFS($A$5:$A$1668,$A246,$C$5:$C$1668,$C246)*($F246-1)^3))*IF($F246&lt;Points!$H$4,Points!$H$5,1),0)))</f>
        <v/>
      </c>
      <c r="H246" s="11">
        <f>IF($G246="","",COUNTIFS($B$5:$B$1668,$B246,$G$5:$G$1668,"&gt;"&amp;$G246)+COUNTIFS($B$4:$B245,$B246,$G$4:$G245,$G246)+1)</f>
        <v/>
      </c>
      <c r="I246" s="11">
        <f>IF($G246="","",IF($H246&lt;=Points!$H$6,$G246,0))</f>
        <v/>
      </c>
      <c r="J246" s="11">
        <f>IF($B246="","",IF(COUNTIF(Players!$A$2:$A$500,$B246)=0,"Player is not on the Players tab",IF(NOT(ISNUMBER($C246)),"Enter a gross score",IF(COUNTIFS($A$5:$A$1668,$A246,$B$5:$B$1668,$B246)&gt;1,"Player is listed twice this week",IF(AND($D246&lt;&gt;"",COUNTIFS($A$5:$A$1668,$A246,$D$5:$D$1668,$D246)&gt;1),"Two players picked as "&amp;$D246,IF(COUNTIFS($A$5:$A$1668,$A246,$D$5:$D$1668,"Gross winner")=0,"Pick this week's gross winner",IF(COUNTIFS($A$5:$A$1668,$A246,$D$5:$D$1668,"Net winner")=0,"Pick this week's net winner","OK")))))))</f>
        <v/>
      </c>
    </row>
    <row r="247" outlineLevel="1">
      <c r="A247" s="13" t="n">
        <v>46442</v>
      </c>
      <c r="E247" s="11">
        <f>IF(OR($B247="",NOT(ISNUMBER($C247))),"",COUNTIFS($A$5:$A$1668,$A247,$C$5:$C$1668,"&lt;"&amp;$C247)+1)</f>
        <v/>
      </c>
      <c r="F247" s="11">
        <f>IF(OR($B247="",NOT(ISNUMBER($C247))),"",COUNTIFS($A$5:$A$1668,$A247,$C$5:$C$1668,"&gt;0"))</f>
        <v/>
      </c>
      <c r="G247" s="11">
        <f>IF(OR($B247="",NOT(ISNUMBER($C247))),"",IF($D247&lt;&gt;"",ROUND(Points!$B$6*IF($F247&lt;Points!$H$4,Points!$H$5,1),0),ROUND(Points!$B$6*IF($F247&lt;=1,1,Points!$H$7+(1-Points!$H$7)*((($F247-$E247)*(($F247-$E247)+1)/2)^2-((($F247-$E247-COUNTIFS($A$5:$A$1668,$A247,$C$5:$C$1668,$C247)+1)-1)*($F247-$E247-COUNTIFS($A$5:$A$1668,$A247,$C$5:$C$1668,$C247)+1)/2)^2)/(COUNTIFS($A$5:$A$1668,$A247,$C$5:$C$1668,$C247)*($F247-1)^3))*IF($F247&lt;Points!$H$4,Points!$H$5,1),0)))</f>
        <v/>
      </c>
      <c r="H247" s="11">
        <f>IF($G247="","",COUNTIFS($B$5:$B$1668,$B247,$G$5:$G$1668,"&gt;"&amp;$G247)+COUNTIFS($B$4:$B246,$B247,$G$4:$G246,$G247)+1)</f>
        <v/>
      </c>
      <c r="I247" s="11">
        <f>IF($G247="","",IF($H247&lt;=Points!$H$6,$G247,0))</f>
        <v/>
      </c>
      <c r="J247" s="11">
        <f>IF($B247="","",IF(COUNTIF(Players!$A$2:$A$500,$B247)=0,"Player is not on the Players tab",IF(NOT(ISNUMBER($C247)),"Enter a gross score",IF(COUNTIFS($A$5:$A$1668,$A247,$B$5:$B$1668,$B247)&gt;1,"Player is listed twice this week",IF(AND($D247&lt;&gt;"",COUNTIFS($A$5:$A$1668,$A247,$D$5:$D$1668,$D247)&gt;1),"Two players picked as "&amp;$D247,IF(COUNTIFS($A$5:$A$1668,$A247,$D$5:$D$1668,"Gross winner")=0,"Pick this week's gross winner",IF(COUNTIFS($A$5:$A$1668,$A247,$D$5:$D$1668,"Net winner")=0,"Pick this week's net winner","OK")))))))</f>
        <v/>
      </c>
    </row>
    <row r="248" outlineLevel="1">
      <c r="A248" s="13" t="n">
        <v>46442</v>
      </c>
      <c r="E248" s="11">
        <f>IF(OR($B248="",NOT(ISNUMBER($C248))),"",COUNTIFS($A$5:$A$1668,$A248,$C$5:$C$1668,"&lt;"&amp;$C248)+1)</f>
        <v/>
      </c>
      <c r="F248" s="11">
        <f>IF(OR($B248="",NOT(ISNUMBER($C248))),"",COUNTIFS($A$5:$A$1668,$A248,$C$5:$C$1668,"&gt;0"))</f>
        <v/>
      </c>
      <c r="G248" s="11">
        <f>IF(OR($B248="",NOT(ISNUMBER($C248))),"",IF($D248&lt;&gt;"",ROUND(Points!$B$6*IF($F248&lt;Points!$H$4,Points!$H$5,1),0),ROUND(Points!$B$6*IF($F248&lt;=1,1,Points!$H$7+(1-Points!$H$7)*((($F248-$E248)*(($F248-$E248)+1)/2)^2-((($F248-$E248-COUNTIFS($A$5:$A$1668,$A248,$C$5:$C$1668,$C248)+1)-1)*($F248-$E248-COUNTIFS($A$5:$A$1668,$A248,$C$5:$C$1668,$C248)+1)/2)^2)/(COUNTIFS($A$5:$A$1668,$A248,$C$5:$C$1668,$C248)*($F248-1)^3))*IF($F248&lt;Points!$H$4,Points!$H$5,1),0)))</f>
        <v/>
      </c>
      <c r="H248" s="11">
        <f>IF($G248="","",COUNTIFS($B$5:$B$1668,$B248,$G$5:$G$1668,"&gt;"&amp;$G248)+COUNTIFS($B$4:$B247,$B248,$G$4:$G247,$G248)+1)</f>
        <v/>
      </c>
      <c r="I248" s="11">
        <f>IF($G248="","",IF($H248&lt;=Points!$H$6,$G248,0))</f>
        <v/>
      </c>
      <c r="J248" s="11">
        <f>IF($B248="","",IF(COUNTIF(Players!$A$2:$A$500,$B248)=0,"Player is not on the Players tab",IF(NOT(ISNUMBER($C248)),"Enter a gross score",IF(COUNTIFS($A$5:$A$1668,$A248,$B$5:$B$1668,$B248)&gt;1,"Player is listed twice this week",IF(AND($D248&lt;&gt;"",COUNTIFS($A$5:$A$1668,$A248,$D$5:$D$1668,$D248)&gt;1),"Two players picked as "&amp;$D248,IF(COUNTIFS($A$5:$A$1668,$A248,$D$5:$D$1668,"Gross winner")=0,"Pick this week's gross winner",IF(COUNTIFS($A$5:$A$1668,$A248,$D$5:$D$1668,"Net winner")=0,"Pick this week's net winner","OK")))))))</f>
        <v/>
      </c>
    </row>
    <row r="249" outlineLevel="1">
      <c r="A249" s="13" t="n">
        <v>46442</v>
      </c>
      <c r="E249" s="11">
        <f>IF(OR($B249="",NOT(ISNUMBER($C249))),"",COUNTIFS($A$5:$A$1668,$A249,$C$5:$C$1668,"&lt;"&amp;$C249)+1)</f>
        <v/>
      </c>
      <c r="F249" s="11">
        <f>IF(OR($B249="",NOT(ISNUMBER($C249))),"",COUNTIFS($A$5:$A$1668,$A249,$C$5:$C$1668,"&gt;0"))</f>
        <v/>
      </c>
      <c r="G249" s="11">
        <f>IF(OR($B249="",NOT(ISNUMBER($C249))),"",IF($D249&lt;&gt;"",ROUND(Points!$B$6*IF($F249&lt;Points!$H$4,Points!$H$5,1),0),ROUND(Points!$B$6*IF($F249&lt;=1,1,Points!$H$7+(1-Points!$H$7)*((($F249-$E249)*(($F249-$E249)+1)/2)^2-((($F249-$E249-COUNTIFS($A$5:$A$1668,$A249,$C$5:$C$1668,$C249)+1)-1)*($F249-$E249-COUNTIFS($A$5:$A$1668,$A249,$C$5:$C$1668,$C249)+1)/2)^2)/(COUNTIFS($A$5:$A$1668,$A249,$C$5:$C$1668,$C249)*($F249-1)^3))*IF($F249&lt;Points!$H$4,Points!$H$5,1),0)))</f>
        <v/>
      </c>
      <c r="H249" s="11">
        <f>IF($G249="","",COUNTIFS($B$5:$B$1668,$B249,$G$5:$G$1668,"&gt;"&amp;$G249)+COUNTIFS($B$4:$B248,$B249,$G$4:$G248,$G249)+1)</f>
        <v/>
      </c>
      <c r="I249" s="11">
        <f>IF($G249="","",IF($H249&lt;=Points!$H$6,$G249,0))</f>
        <v/>
      </c>
      <c r="J249" s="11">
        <f>IF($B249="","",IF(COUNTIF(Players!$A$2:$A$500,$B249)=0,"Player is not on the Players tab",IF(NOT(ISNUMBER($C249)),"Enter a gross score",IF(COUNTIFS($A$5:$A$1668,$A249,$B$5:$B$1668,$B249)&gt;1,"Player is listed twice this week",IF(AND($D249&lt;&gt;"",COUNTIFS($A$5:$A$1668,$A249,$D$5:$D$1668,$D249)&gt;1),"Two players picked as "&amp;$D249,IF(COUNTIFS($A$5:$A$1668,$A249,$D$5:$D$1668,"Gross winner")=0,"Pick this week's gross winner",IF(COUNTIFS($A$5:$A$1668,$A249,$D$5:$D$1668,"Net winner")=0,"Pick this week's net winner","OK")))))))</f>
        <v/>
      </c>
    </row>
    <row r="250" outlineLevel="1">
      <c r="A250" s="13" t="n">
        <v>46442</v>
      </c>
      <c r="E250" s="11">
        <f>IF(OR($B250="",NOT(ISNUMBER($C250))),"",COUNTIFS($A$5:$A$1668,$A250,$C$5:$C$1668,"&lt;"&amp;$C250)+1)</f>
        <v/>
      </c>
      <c r="F250" s="11">
        <f>IF(OR($B250="",NOT(ISNUMBER($C250))),"",COUNTIFS($A$5:$A$1668,$A250,$C$5:$C$1668,"&gt;0"))</f>
        <v/>
      </c>
      <c r="G250" s="11">
        <f>IF(OR($B250="",NOT(ISNUMBER($C250))),"",IF($D250&lt;&gt;"",ROUND(Points!$B$6*IF($F250&lt;Points!$H$4,Points!$H$5,1),0),ROUND(Points!$B$6*IF($F250&lt;=1,1,Points!$H$7+(1-Points!$H$7)*((($F250-$E250)*(($F250-$E250)+1)/2)^2-((($F250-$E250-COUNTIFS($A$5:$A$1668,$A250,$C$5:$C$1668,$C250)+1)-1)*($F250-$E250-COUNTIFS($A$5:$A$1668,$A250,$C$5:$C$1668,$C250)+1)/2)^2)/(COUNTIFS($A$5:$A$1668,$A250,$C$5:$C$1668,$C250)*($F250-1)^3))*IF($F250&lt;Points!$H$4,Points!$H$5,1),0)))</f>
        <v/>
      </c>
      <c r="H250" s="11">
        <f>IF($G250="","",COUNTIFS($B$5:$B$1668,$B250,$G$5:$G$1668,"&gt;"&amp;$G250)+COUNTIFS($B$4:$B249,$B250,$G$4:$G249,$G250)+1)</f>
        <v/>
      </c>
      <c r="I250" s="11">
        <f>IF($G250="","",IF($H250&lt;=Points!$H$6,$G250,0))</f>
        <v/>
      </c>
      <c r="J250" s="11">
        <f>IF($B250="","",IF(COUNTIF(Players!$A$2:$A$500,$B250)=0,"Player is not on the Players tab",IF(NOT(ISNUMBER($C250)),"Enter a gross score",IF(COUNTIFS($A$5:$A$1668,$A250,$B$5:$B$1668,$B250)&gt;1,"Player is listed twice this week",IF(AND($D250&lt;&gt;"",COUNTIFS($A$5:$A$1668,$A250,$D$5:$D$1668,$D250)&gt;1),"Two players picked as "&amp;$D250,IF(COUNTIFS($A$5:$A$1668,$A250,$D$5:$D$1668,"Gross winner")=0,"Pick this week's gross winner",IF(COUNTIFS($A$5:$A$1668,$A250,$D$5:$D$1668,"Net winner")=0,"Pick this week's net winner","OK")))))))</f>
        <v/>
      </c>
    </row>
    <row r="251" outlineLevel="1">
      <c r="A251" s="13" t="n">
        <v>46442</v>
      </c>
      <c r="E251" s="11">
        <f>IF(OR($B251="",NOT(ISNUMBER($C251))),"",COUNTIFS($A$5:$A$1668,$A251,$C$5:$C$1668,"&lt;"&amp;$C251)+1)</f>
        <v/>
      </c>
      <c r="F251" s="11">
        <f>IF(OR($B251="",NOT(ISNUMBER($C251))),"",COUNTIFS($A$5:$A$1668,$A251,$C$5:$C$1668,"&gt;0"))</f>
        <v/>
      </c>
      <c r="G251" s="11">
        <f>IF(OR($B251="",NOT(ISNUMBER($C251))),"",IF($D251&lt;&gt;"",ROUND(Points!$B$6*IF($F251&lt;Points!$H$4,Points!$H$5,1),0),ROUND(Points!$B$6*IF($F251&lt;=1,1,Points!$H$7+(1-Points!$H$7)*((($F251-$E251)*(($F251-$E251)+1)/2)^2-((($F251-$E251-COUNTIFS($A$5:$A$1668,$A251,$C$5:$C$1668,$C251)+1)-1)*($F251-$E251-COUNTIFS($A$5:$A$1668,$A251,$C$5:$C$1668,$C251)+1)/2)^2)/(COUNTIFS($A$5:$A$1668,$A251,$C$5:$C$1668,$C251)*($F251-1)^3))*IF($F251&lt;Points!$H$4,Points!$H$5,1),0)))</f>
        <v/>
      </c>
      <c r="H251" s="11">
        <f>IF($G251="","",COUNTIFS($B$5:$B$1668,$B251,$G$5:$G$1668,"&gt;"&amp;$G251)+COUNTIFS($B$4:$B250,$B251,$G$4:$G250,$G251)+1)</f>
        <v/>
      </c>
      <c r="I251" s="11">
        <f>IF($G251="","",IF($H251&lt;=Points!$H$6,$G251,0))</f>
        <v/>
      </c>
      <c r="J251" s="11">
        <f>IF($B251="","",IF(COUNTIF(Players!$A$2:$A$500,$B251)=0,"Player is not on the Players tab",IF(NOT(ISNUMBER($C251)),"Enter a gross score",IF(COUNTIFS($A$5:$A$1668,$A251,$B$5:$B$1668,$B251)&gt;1,"Player is listed twice this week",IF(AND($D251&lt;&gt;"",COUNTIFS($A$5:$A$1668,$A251,$D$5:$D$1668,$D251)&gt;1),"Two players picked as "&amp;$D251,IF(COUNTIFS($A$5:$A$1668,$A251,$D$5:$D$1668,"Gross winner")=0,"Pick this week's gross winner",IF(COUNTIFS($A$5:$A$1668,$A251,$D$5:$D$1668,"Net winner")=0,"Pick this week's net winner","OK")))))))</f>
        <v/>
      </c>
    </row>
    <row r="252" outlineLevel="1">
      <c r="A252" s="13" t="n">
        <v>46442</v>
      </c>
      <c r="E252" s="11">
        <f>IF(OR($B252="",NOT(ISNUMBER($C252))),"",COUNTIFS($A$5:$A$1668,$A252,$C$5:$C$1668,"&lt;"&amp;$C252)+1)</f>
        <v/>
      </c>
      <c r="F252" s="11">
        <f>IF(OR($B252="",NOT(ISNUMBER($C252))),"",COUNTIFS($A$5:$A$1668,$A252,$C$5:$C$1668,"&gt;0"))</f>
        <v/>
      </c>
      <c r="G252" s="11">
        <f>IF(OR($B252="",NOT(ISNUMBER($C252))),"",IF($D252&lt;&gt;"",ROUND(Points!$B$6*IF($F252&lt;Points!$H$4,Points!$H$5,1),0),ROUND(Points!$B$6*IF($F252&lt;=1,1,Points!$H$7+(1-Points!$H$7)*((($F252-$E252)*(($F252-$E252)+1)/2)^2-((($F252-$E252-COUNTIFS($A$5:$A$1668,$A252,$C$5:$C$1668,$C252)+1)-1)*($F252-$E252-COUNTIFS($A$5:$A$1668,$A252,$C$5:$C$1668,$C252)+1)/2)^2)/(COUNTIFS($A$5:$A$1668,$A252,$C$5:$C$1668,$C252)*($F252-1)^3))*IF($F252&lt;Points!$H$4,Points!$H$5,1),0)))</f>
        <v/>
      </c>
      <c r="H252" s="11">
        <f>IF($G252="","",COUNTIFS($B$5:$B$1668,$B252,$G$5:$G$1668,"&gt;"&amp;$G252)+COUNTIFS($B$4:$B251,$B252,$G$4:$G251,$G252)+1)</f>
        <v/>
      </c>
      <c r="I252" s="11">
        <f>IF($G252="","",IF($H252&lt;=Points!$H$6,$G252,0))</f>
        <v/>
      </c>
      <c r="J252" s="11">
        <f>IF($B252="","",IF(COUNTIF(Players!$A$2:$A$500,$B252)=0,"Player is not on the Players tab",IF(NOT(ISNUMBER($C252)),"Enter a gross score",IF(COUNTIFS($A$5:$A$1668,$A252,$B$5:$B$1668,$B252)&gt;1,"Player is listed twice this week",IF(AND($D252&lt;&gt;"",COUNTIFS($A$5:$A$1668,$A252,$D$5:$D$1668,$D252)&gt;1),"Two players picked as "&amp;$D252,IF(COUNTIFS($A$5:$A$1668,$A252,$D$5:$D$1668,"Gross winner")=0,"Pick this week's gross winner",IF(COUNTIFS($A$5:$A$1668,$A252,$D$5:$D$1668,"Net winner")=0,"Pick this week's net winner","OK")))))))</f>
        <v/>
      </c>
    </row>
    <row r="253" outlineLevel="1">
      <c r="A253" s="13" t="n">
        <v>46442</v>
      </c>
      <c r="E253" s="11">
        <f>IF(OR($B253="",NOT(ISNUMBER($C253))),"",COUNTIFS($A$5:$A$1668,$A253,$C$5:$C$1668,"&lt;"&amp;$C253)+1)</f>
        <v/>
      </c>
      <c r="F253" s="11">
        <f>IF(OR($B253="",NOT(ISNUMBER($C253))),"",COUNTIFS($A$5:$A$1668,$A253,$C$5:$C$1668,"&gt;0"))</f>
        <v/>
      </c>
      <c r="G253" s="11">
        <f>IF(OR($B253="",NOT(ISNUMBER($C253))),"",IF($D253&lt;&gt;"",ROUND(Points!$B$6*IF($F253&lt;Points!$H$4,Points!$H$5,1),0),ROUND(Points!$B$6*IF($F253&lt;=1,1,Points!$H$7+(1-Points!$H$7)*((($F253-$E253)*(($F253-$E253)+1)/2)^2-((($F253-$E253-COUNTIFS($A$5:$A$1668,$A253,$C$5:$C$1668,$C253)+1)-1)*($F253-$E253-COUNTIFS($A$5:$A$1668,$A253,$C$5:$C$1668,$C253)+1)/2)^2)/(COUNTIFS($A$5:$A$1668,$A253,$C$5:$C$1668,$C253)*($F253-1)^3))*IF($F253&lt;Points!$H$4,Points!$H$5,1),0)))</f>
        <v/>
      </c>
      <c r="H253" s="11">
        <f>IF($G253="","",COUNTIFS($B$5:$B$1668,$B253,$G$5:$G$1668,"&gt;"&amp;$G253)+COUNTIFS($B$4:$B252,$B253,$G$4:$G252,$G253)+1)</f>
        <v/>
      </c>
      <c r="I253" s="11">
        <f>IF($G253="","",IF($H253&lt;=Points!$H$6,$G253,0))</f>
        <v/>
      </c>
      <c r="J253" s="11">
        <f>IF($B253="","",IF(COUNTIF(Players!$A$2:$A$500,$B253)=0,"Player is not on the Players tab",IF(NOT(ISNUMBER($C253)),"Enter a gross score",IF(COUNTIFS($A$5:$A$1668,$A253,$B$5:$B$1668,$B253)&gt;1,"Player is listed twice this week",IF(AND($D253&lt;&gt;"",COUNTIFS($A$5:$A$1668,$A253,$D$5:$D$1668,$D253)&gt;1),"Two players picked as "&amp;$D253,IF(COUNTIFS($A$5:$A$1668,$A253,$D$5:$D$1668,"Gross winner")=0,"Pick this week's gross winner",IF(COUNTIFS($A$5:$A$1668,$A253,$D$5:$D$1668,"Net winner")=0,"Pick this week's net winner","OK")))))))</f>
        <v/>
      </c>
    </row>
    <row r="254" outlineLevel="1">
      <c r="A254" s="13" t="n">
        <v>46442</v>
      </c>
      <c r="E254" s="11">
        <f>IF(OR($B254="",NOT(ISNUMBER($C254))),"",COUNTIFS($A$5:$A$1668,$A254,$C$5:$C$1668,"&lt;"&amp;$C254)+1)</f>
        <v/>
      </c>
      <c r="F254" s="11">
        <f>IF(OR($B254="",NOT(ISNUMBER($C254))),"",COUNTIFS($A$5:$A$1668,$A254,$C$5:$C$1668,"&gt;0"))</f>
        <v/>
      </c>
      <c r="G254" s="11">
        <f>IF(OR($B254="",NOT(ISNUMBER($C254))),"",IF($D254&lt;&gt;"",ROUND(Points!$B$6*IF($F254&lt;Points!$H$4,Points!$H$5,1),0),ROUND(Points!$B$6*IF($F254&lt;=1,1,Points!$H$7+(1-Points!$H$7)*((($F254-$E254)*(($F254-$E254)+1)/2)^2-((($F254-$E254-COUNTIFS($A$5:$A$1668,$A254,$C$5:$C$1668,$C254)+1)-1)*($F254-$E254-COUNTIFS($A$5:$A$1668,$A254,$C$5:$C$1668,$C254)+1)/2)^2)/(COUNTIFS($A$5:$A$1668,$A254,$C$5:$C$1668,$C254)*($F254-1)^3))*IF($F254&lt;Points!$H$4,Points!$H$5,1),0)))</f>
        <v/>
      </c>
      <c r="H254" s="11">
        <f>IF($G254="","",COUNTIFS($B$5:$B$1668,$B254,$G$5:$G$1668,"&gt;"&amp;$G254)+COUNTIFS($B$4:$B253,$B254,$G$4:$G253,$G254)+1)</f>
        <v/>
      </c>
      <c r="I254" s="11">
        <f>IF($G254="","",IF($H254&lt;=Points!$H$6,$G254,0))</f>
        <v/>
      </c>
      <c r="J254" s="11">
        <f>IF($B254="","",IF(COUNTIF(Players!$A$2:$A$500,$B254)=0,"Player is not on the Players tab",IF(NOT(ISNUMBER($C254)),"Enter a gross score",IF(COUNTIFS($A$5:$A$1668,$A254,$B$5:$B$1668,$B254)&gt;1,"Player is listed twice this week",IF(AND($D254&lt;&gt;"",COUNTIFS($A$5:$A$1668,$A254,$D$5:$D$1668,$D254)&gt;1),"Two players picked as "&amp;$D254,IF(COUNTIFS($A$5:$A$1668,$A254,$D$5:$D$1668,"Gross winner")=0,"Pick this week's gross winner",IF(COUNTIFS($A$5:$A$1668,$A254,$D$5:$D$1668,"Net winner")=0,"Pick this week's net winner","OK")))))))</f>
        <v/>
      </c>
    </row>
    <row r="255" outlineLevel="1">
      <c r="A255" s="13" t="n">
        <v>46442</v>
      </c>
      <c r="E255" s="11">
        <f>IF(OR($B255="",NOT(ISNUMBER($C255))),"",COUNTIFS($A$5:$A$1668,$A255,$C$5:$C$1668,"&lt;"&amp;$C255)+1)</f>
        <v/>
      </c>
      <c r="F255" s="11">
        <f>IF(OR($B255="",NOT(ISNUMBER($C255))),"",COUNTIFS($A$5:$A$1668,$A255,$C$5:$C$1668,"&gt;0"))</f>
        <v/>
      </c>
      <c r="G255" s="11">
        <f>IF(OR($B255="",NOT(ISNUMBER($C255))),"",IF($D255&lt;&gt;"",ROUND(Points!$B$6*IF($F255&lt;Points!$H$4,Points!$H$5,1),0),ROUND(Points!$B$6*IF($F255&lt;=1,1,Points!$H$7+(1-Points!$H$7)*((($F255-$E255)*(($F255-$E255)+1)/2)^2-((($F255-$E255-COUNTIFS($A$5:$A$1668,$A255,$C$5:$C$1668,$C255)+1)-1)*($F255-$E255-COUNTIFS($A$5:$A$1668,$A255,$C$5:$C$1668,$C255)+1)/2)^2)/(COUNTIFS($A$5:$A$1668,$A255,$C$5:$C$1668,$C255)*($F255-1)^3))*IF($F255&lt;Points!$H$4,Points!$H$5,1),0)))</f>
        <v/>
      </c>
      <c r="H255" s="11">
        <f>IF($G255="","",COUNTIFS($B$5:$B$1668,$B255,$G$5:$G$1668,"&gt;"&amp;$G255)+COUNTIFS($B$4:$B254,$B255,$G$4:$G254,$G255)+1)</f>
        <v/>
      </c>
      <c r="I255" s="11">
        <f>IF($G255="","",IF($H255&lt;=Points!$H$6,$G255,0))</f>
        <v/>
      </c>
      <c r="J255" s="11">
        <f>IF($B255="","",IF(COUNTIF(Players!$A$2:$A$500,$B255)=0,"Player is not on the Players tab",IF(NOT(ISNUMBER($C255)),"Enter a gross score",IF(COUNTIFS($A$5:$A$1668,$A255,$B$5:$B$1668,$B255)&gt;1,"Player is listed twice this week",IF(AND($D255&lt;&gt;"",COUNTIFS($A$5:$A$1668,$A255,$D$5:$D$1668,$D255)&gt;1),"Two players picked as "&amp;$D255,IF(COUNTIFS($A$5:$A$1668,$A255,$D$5:$D$1668,"Gross winner")=0,"Pick this week's gross winner",IF(COUNTIFS($A$5:$A$1668,$A255,$D$5:$D$1668,"Net winner")=0,"Pick this week's net winner","OK")))))))</f>
        <v/>
      </c>
    </row>
    <row r="256" outlineLevel="1">
      <c r="A256" s="13" t="n">
        <v>46442</v>
      </c>
      <c r="E256" s="11">
        <f>IF(OR($B256="",NOT(ISNUMBER($C256))),"",COUNTIFS($A$5:$A$1668,$A256,$C$5:$C$1668,"&lt;"&amp;$C256)+1)</f>
        <v/>
      </c>
      <c r="F256" s="11">
        <f>IF(OR($B256="",NOT(ISNUMBER($C256))),"",COUNTIFS($A$5:$A$1668,$A256,$C$5:$C$1668,"&gt;0"))</f>
        <v/>
      </c>
      <c r="G256" s="11">
        <f>IF(OR($B256="",NOT(ISNUMBER($C256))),"",IF($D256&lt;&gt;"",ROUND(Points!$B$6*IF($F256&lt;Points!$H$4,Points!$H$5,1),0),ROUND(Points!$B$6*IF($F256&lt;=1,1,Points!$H$7+(1-Points!$H$7)*((($F256-$E256)*(($F256-$E256)+1)/2)^2-((($F256-$E256-COUNTIFS($A$5:$A$1668,$A256,$C$5:$C$1668,$C256)+1)-1)*($F256-$E256-COUNTIFS($A$5:$A$1668,$A256,$C$5:$C$1668,$C256)+1)/2)^2)/(COUNTIFS($A$5:$A$1668,$A256,$C$5:$C$1668,$C256)*($F256-1)^3))*IF($F256&lt;Points!$H$4,Points!$H$5,1),0)))</f>
        <v/>
      </c>
      <c r="H256" s="11">
        <f>IF($G256="","",COUNTIFS($B$5:$B$1668,$B256,$G$5:$G$1668,"&gt;"&amp;$G256)+COUNTIFS($B$4:$B255,$B256,$G$4:$G255,$G256)+1)</f>
        <v/>
      </c>
      <c r="I256" s="11">
        <f>IF($G256="","",IF($H256&lt;=Points!$H$6,$G256,0))</f>
        <v/>
      </c>
      <c r="J256" s="11">
        <f>IF($B256="","",IF(COUNTIF(Players!$A$2:$A$500,$B256)=0,"Player is not on the Players tab",IF(NOT(ISNUMBER($C256)),"Enter a gross score",IF(COUNTIFS($A$5:$A$1668,$A256,$B$5:$B$1668,$B256)&gt;1,"Player is listed twice this week",IF(AND($D256&lt;&gt;"",COUNTIFS($A$5:$A$1668,$A256,$D$5:$D$1668,$D256)&gt;1),"Two players picked as "&amp;$D256,IF(COUNTIFS($A$5:$A$1668,$A256,$D$5:$D$1668,"Gross winner")=0,"Pick this week's gross winner",IF(COUNTIFS($A$5:$A$1668,$A256,$D$5:$D$1668,"Net winner")=0,"Pick this week's net winner","OK")))))))</f>
        <v/>
      </c>
    </row>
    <row r="257" outlineLevel="1">
      <c r="A257" s="13" t="n">
        <v>46442</v>
      </c>
      <c r="E257" s="11">
        <f>IF(OR($B257="",NOT(ISNUMBER($C257))),"",COUNTIFS($A$5:$A$1668,$A257,$C$5:$C$1668,"&lt;"&amp;$C257)+1)</f>
        <v/>
      </c>
      <c r="F257" s="11">
        <f>IF(OR($B257="",NOT(ISNUMBER($C257))),"",COUNTIFS($A$5:$A$1668,$A257,$C$5:$C$1668,"&gt;0"))</f>
        <v/>
      </c>
      <c r="G257" s="11">
        <f>IF(OR($B257="",NOT(ISNUMBER($C257))),"",IF($D257&lt;&gt;"",ROUND(Points!$B$6*IF($F257&lt;Points!$H$4,Points!$H$5,1),0),ROUND(Points!$B$6*IF($F257&lt;=1,1,Points!$H$7+(1-Points!$H$7)*((($F257-$E257)*(($F257-$E257)+1)/2)^2-((($F257-$E257-COUNTIFS($A$5:$A$1668,$A257,$C$5:$C$1668,$C257)+1)-1)*($F257-$E257-COUNTIFS($A$5:$A$1668,$A257,$C$5:$C$1668,$C257)+1)/2)^2)/(COUNTIFS($A$5:$A$1668,$A257,$C$5:$C$1668,$C257)*($F257-1)^3))*IF($F257&lt;Points!$H$4,Points!$H$5,1),0)))</f>
        <v/>
      </c>
      <c r="H257" s="11">
        <f>IF($G257="","",COUNTIFS($B$5:$B$1668,$B257,$G$5:$G$1668,"&gt;"&amp;$G257)+COUNTIFS($B$4:$B256,$B257,$G$4:$G256,$G257)+1)</f>
        <v/>
      </c>
      <c r="I257" s="11">
        <f>IF($G257="","",IF($H257&lt;=Points!$H$6,$G257,0))</f>
        <v/>
      </c>
      <c r="J257" s="11">
        <f>IF($B257="","",IF(COUNTIF(Players!$A$2:$A$500,$B257)=0,"Player is not on the Players tab",IF(NOT(ISNUMBER($C257)),"Enter a gross score",IF(COUNTIFS($A$5:$A$1668,$A257,$B$5:$B$1668,$B257)&gt;1,"Player is listed twice this week",IF(AND($D257&lt;&gt;"",COUNTIFS($A$5:$A$1668,$A257,$D$5:$D$1668,$D257)&gt;1),"Two players picked as "&amp;$D257,IF(COUNTIFS($A$5:$A$1668,$A257,$D$5:$D$1668,"Gross winner")=0,"Pick this week's gross winner",IF(COUNTIFS($A$5:$A$1668,$A257,$D$5:$D$1668,"Net winner")=0,"Pick this week's net winner","OK")))))))</f>
        <v/>
      </c>
    </row>
    <row r="258" outlineLevel="1">
      <c r="A258" s="13" t="n">
        <v>46442</v>
      </c>
      <c r="E258" s="11">
        <f>IF(OR($B258="",NOT(ISNUMBER($C258))),"",COUNTIFS($A$5:$A$1668,$A258,$C$5:$C$1668,"&lt;"&amp;$C258)+1)</f>
        <v/>
      </c>
      <c r="F258" s="11">
        <f>IF(OR($B258="",NOT(ISNUMBER($C258))),"",COUNTIFS($A$5:$A$1668,$A258,$C$5:$C$1668,"&gt;0"))</f>
        <v/>
      </c>
      <c r="G258" s="11">
        <f>IF(OR($B258="",NOT(ISNUMBER($C258))),"",IF($D258&lt;&gt;"",ROUND(Points!$B$6*IF($F258&lt;Points!$H$4,Points!$H$5,1),0),ROUND(Points!$B$6*IF($F258&lt;=1,1,Points!$H$7+(1-Points!$H$7)*((($F258-$E258)*(($F258-$E258)+1)/2)^2-((($F258-$E258-COUNTIFS($A$5:$A$1668,$A258,$C$5:$C$1668,$C258)+1)-1)*($F258-$E258-COUNTIFS($A$5:$A$1668,$A258,$C$5:$C$1668,$C258)+1)/2)^2)/(COUNTIFS($A$5:$A$1668,$A258,$C$5:$C$1668,$C258)*($F258-1)^3))*IF($F258&lt;Points!$H$4,Points!$H$5,1),0)))</f>
        <v/>
      </c>
      <c r="H258" s="11">
        <f>IF($G258="","",COUNTIFS($B$5:$B$1668,$B258,$G$5:$G$1668,"&gt;"&amp;$G258)+COUNTIFS($B$4:$B257,$B258,$G$4:$G257,$G258)+1)</f>
        <v/>
      </c>
      <c r="I258" s="11">
        <f>IF($G258="","",IF($H258&lt;=Points!$H$6,$G258,0))</f>
        <v/>
      </c>
      <c r="J258" s="11">
        <f>IF($B258="","",IF(COUNTIF(Players!$A$2:$A$500,$B258)=0,"Player is not on the Players tab",IF(NOT(ISNUMBER($C258)),"Enter a gross score",IF(COUNTIFS($A$5:$A$1668,$A258,$B$5:$B$1668,$B258)&gt;1,"Player is listed twice this week",IF(AND($D258&lt;&gt;"",COUNTIFS($A$5:$A$1668,$A258,$D$5:$D$1668,$D258)&gt;1),"Two players picked as "&amp;$D258,IF(COUNTIFS($A$5:$A$1668,$A258,$D$5:$D$1668,"Gross winner")=0,"Pick this week's gross winner",IF(COUNTIFS($A$5:$A$1668,$A258,$D$5:$D$1668,"Net winner")=0,"Pick this week's net winner","OK")))))))</f>
        <v/>
      </c>
    </row>
    <row r="259" outlineLevel="1">
      <c r="A259" s="13" t="n">
        <v>46442</v>
      </c>
      <c r="E259" s="11">
        <f>IF(OR($B259="",NOT(ISNUMBER($C259))),"",COUNTIFS($A$5:$A$1668,$A259,$C$5:$C$1668,"&lt;"&amp;$C259)+1)</f>
        <v/>
      </c>
      <c r="F259" s="11">
        <f>IF(OR($B259="",NOT(ISNUMBER($C259))),"",COUNTIFS($A$5:$A$1668,$A259,$C$5:$C$1668,"&gt;0"))</f>
        <v/>
      </c>
      <c r="G259" s="11">
        <f>IF(OR($B259="",NOT(ISNUMBER($C259))),"",IF($D259&lt;&gt;"",ROUND(Points!$B$6*IF($F259&lt;Points!$H$4,Points!$H$5,1),0),ROUND(Points!$B$6*IF($F259&lt;=1,1,Points!$H$7+(1-Points!$H$7)*((($F259-$E259)*(($F259-$E259)+1)/2)^2-((($F259-$E259-COUNTIFS($A$5:$A$1668,$A259,$C$5:$C$1668,$C259)+1)-1)*($F259-$E259-COUNTIFS($A$5:$A$1668,$A259,$C$5:$C$1668,$C259)+1)/2)^2)/(COUNTIFS($A$5:$A$1668,$A259,$C$5:$C$1668,$C259)*($F259-1)^3))*IF($F259&lt;Points!$H$4,Points!$H$5,1),0)))</f>
        <v/>
      </c>
      <c r="H259" s="11">
        <f>IF($G259="","",COUNTIFS($B$5:$B$1668,$B259,$G$5:$G$1668,"&gt;"&amp;$G259)+COUNTIFS($B$4:$B258,$B259,$G$4:$G258,$G259)+1)</f>
        <v/>
      </c>
      <c r="I259" s="11">
        <f>IF($G259="","",IF($H259&lt;=Points!$H$6,$G259,0))</f>
        <v/>
      </c>
      <c r="J259" s="11">
        <f>IF($B259="","",IF(COUNTIF(Players!$A$2:$A$500,$B259)=0,"Player is not on the Players tab",IF(NOT(ISNUMBER($C259)),"Enter a gross score",IF(COUNTIFS($A$5:$A$1668,$A259,$B$5:$B$1668,$B259)&gt;1,"Player is listed twice this week",IF(AND($D259&lt;&gt;"",COUNTIFS($A$5:$A$1668,$A259,$D$5:$D$1668,$D259)&gt;1),"Two players picked as "&amp;$D259,IF(COUNTIFS($A$5:$A$1668,$A259,$D$5:$D$1668,"Gross winner")=0,"Pick this week's gross winner",IF(COUNTIFS($A$5:$A$1668,$A259,$D$5:$D$1668,"Net winner")=0,"Pick this week's net winner","OK")))))))</f>
        <v/>
      </c>
    </row>
    <row r="260" ht="10" customHeight="1"/>
    <row r="261" ht="22" customHeight="1">
      <c r="A261" s="12" t="inlineStr">
        <is>
          <t>Week 9  ·  Wednesday, Mar 3</t>
        </is>
      </c>
    </row>
    <row r="262" outlineLevel="1">
      <c r="A262" s="13" t="n">
        <v>46449</v>
      </c>
      <c r="E262" s="11">
        <f>IF(OR($B262="",NOT(ISNUMBER($C262))),"",COUNTIFS($A$5:$A$1668,$A262,$C$5:$C$1668,"&lt;"&amp;$C262)+1)</f>
        <v/>
      </c>
      <c r="F262" s="11">
        <f>IF(OR($B262="",NOT(ISNUMBER($C262))),"",COUNTIFS($A$5:$A$1668,$A262,$C$5:$C$1668,"&gt;0"))</f>
        <v/>
      </c>
      <c r="G262" s="11">
        <f>IF(OR($B262="",NOT(ISNUMBER($C262))),"",IF($D262&lt;&gt;"",ROUND(Points!$B$6*IF($F262&lt;Points!$H$4,Points!$H$5,1),0),ROUND(Points!$B$6*IF($F262&lt;=1,1,Points!$H$7+(1-Points!$H$7)*((($F262-$E262)*(($F262-$E262)+1)/2)^2-((($F262-$E262-COUNTIFS($A$5:$A$1668,$A262,$C$5:$C$1668,$C262)+1)-1)*($F262-$E262-COUNTIFS($A$5:$A$1668,$A262,$C$5:$C$1668,$C262)+1)/2)^2)/(COUNTIFS($A$5:$A$1668,$A262,$C$5:$C$1668,$C262)*($F262-1)^3))*IF($F262&lt;Points!$H$4,Points!$H$5,1),0)))</f>
        <v/>
      </c>
      <c r="H262" s="11">
        <f>IF($G262="","",COUNTIFS($B$5:$B$1668,$B262,$G$5:$G$1668,"&gt;"&amp;$G262)+COUNTIFS($B$4:$B261,$B262,$G$4:$G261,$G262)+1)</f>
        <v/>
      </c>
      <c r="I262" s="11">
        <f>IF($G262="","",IF($H262&lt;=Points!$H$6,$G262,0))</f>
        <v/>
      </c>
      <c r="J262" s="11">
        <f>IF($B262="","",IF(COUNTIF(Players!$A$2:$A$500,$B262)=0,"Player is not on the Players tab",IF(NOT(ISNUMBER($C262)),"Enter a gross score",IF(COUNTIFS($A$5:$A$1668,$A262,$B$5:$B$1668,$B262)&gt;1,"Player is listed twice this week",IF(AND($D262&lt;&gt;"",COUNTIFS($A$5:$A$1668,$A262,$D$5:$D$1668,$D262)&gt;1),"Two players picked as "&amp;$D262,IF(COUNTIFS($A$5:$A$1668,$A262,$D$5:$D$1668,"Gross winner")=0,"Pick this week's gross winner",IF(COUNTIFS($A$5:$A$1668,$A262,$D$5:$D$1668,"Net winner")=0,"Pick this week's net winner","OK")))))))</f>
        <v/>
      </c>
    </row>
    <row r="263" outlineLevel="1">
      <c r="A263" s="13" t="n">
        <v>46449</v>
      </c>
      <c r="E263" s="11">
        <f>IF(OR($B263="",NOT(ISNUMBER($C263))),"",COUNTIFS($A$5:$A$1668,$A263,$C$5:$C$1668,"&lt;"&amp;$C263)+1)</f>
        <v/>
      </c>
      <c r="F263" s="11">
        <f>IF(OR($B263="",NOT(ISNUMBER($C263))),"",COUNTIFS($A$5:$A$1668,$A263,$C$5:$C$1668,"&gt;0"))</f>
        <v/>
      </c>
      <c r="G263" s="11">
        <f>IF(OR($B263="",NOT(ISNUMBER($C263))),"",IF($D263&lt;&gt;"",ROUND(Points!$B$6*IF($F263&lt;Points!$H$4,Points!$H$5,1),0),ROUND(Points!$B$6*IF($F263&lt;=1,1,Points!$H$7+(1-Points!$H$7)*((($F263-$E263)*(($F263-$E263)+1)/2)^2-((($F263-$E263-COUNTIFS($A$5:$A$1668,$A263,$C$5:$C$1668,$C263)+1)-1)*($F263-$E263-COUNTIFS($A$5:$A$1668,$A263,$C$5:$C$1668,$C263)+1)/2)^2)/(COUNTIFS($A$5:$A$1668,$A263,$C$5:$C$1668,$C263)*($F263-1)^3))*IF($F263&lt;Points!$H$4,Points!$H$5,1),0)))</f>
        <v/>
      </c>
      <c r="H263" s="11">
        <f>IF($G263="","",COUNTIFS($B$5:$B$1668,$B263,$G$5:$G$1668,"&gt;"&amp;$G263)+COUNTIFS($B$4:$B262,$B263,$G$4:$G262,$G263)+1)</f>
        <v/>
      </c>
      <c r="I263" s="11">
        <f>IF($G263="","",IF($H263&lt;=Points!$H$6,$G263,0))</f>
        <v/>
      </c>
      <c r="J263" s="11">
        <f>IF($B263="","",IF(COUNTIF(Players!$A$2:$A$500,$B263)=0,"Player is not on the Players tab",IF(NOT(ISNUMBER($C263)),"Enter a gross score",IF(COUNTIFS($A$5:$A$1668,$A263,$B$5:$B$1668,$B263)&gt;1,"Player is listed twice this week",IF(AND($D263&lt;&gt;"",COUNTIFS($A$5:$A$1668,$A263,$D$5:$D$1668,$D263)&gt;1),"Two players picked as "&amp;$D263,IF(COUNTIFS($A$5:$A$1668,$A263,$D$5:$D$1668,"Gross winner")=0,"Pick this week's gross winner",IF(COUNTIFS($A$5:$A$1668,$A263,$D$5:$D$1668,"Net winner")=0,"Pick this week's net winner","OK")))))))</f>
        <v/>
      </c>
    </row>
    <row r="264" outlineLevel="1">
      <c r="A264" s="13" t="n">
        <v>46449</v>
      </c>
      <c r="E264" s="11">
        <f>IF(OR($B264="",NOT(ISNUMBER($C264))),"",COUNTIFS($A$5:$A$1668,$A264,$C$5:$C$1668,"&lt;"&amp;$C264)+1)</f>
        <v/>
      </c>
      <c r="F264" s="11">
        <f>IF(OR($B264="",NOT(ISNUMBER($C264))),"",COUNTIFS($A$5:$A$1668,$A264,$C$5:$C$1668,"&gt;0"))</f>
        <v/>
      </c>
      <c r="G264" s="11">
        <f>IF(OR($B264="",NOT(ISNUMBER($C264))),"",IF($D264&lt;&gt;"",ROUND(Points!$B$6*IF($F264&lt;Points!$H$4,Points!$H$5,1),0),ROUND(Points!$B$6*IF($F264&lt;=1,1,Points!$H$7+(1-Points!$H$7)*((($F264-$E264)*(($F264-$E264)+1)/2)^2-((($F264-$E264-COUNTIFS($A$5:$A$1668,$A264,$C$5:$C$1668,$C264)+1)-1)*($F264-$E264-COUNTIFS($A$5:$A$1668,$A264,$C$5:$C$1668,$C264)+1)/2)^2)/(COUNTIFS($A$5:$A$1668,$A264,$C$5:$C$1668,$C264)*($F264-1)^3))*IF($F264&lt;Points!$H$4,Points!$H$5,1),0)))</f>
        <v/>
      </c>
      <c r="H264" s="11">
        <f>IF($G264="","",COUNTIFS($B$5:$B$1668,$B264,$G$5:$G$1668,"&gt;"&amp;$G264)+COUNTIFS($B$4:$B263,$B264,$G$4:$G263,$G264)+1)</f>
        <v/>
      </c>
      <c r="I264" s="11">
        <f>IF($G264="","",IF($H264&lt;=Points!$H$6,$G264,0))</f>
        <v/>
      </c>
      <c r="J264" s="11">
        <f>IF($B264="","",IF(COUNTIF(Players!$A$2:$A$500,$B264)=0,"Player is not on the Players tab",IF(NOT(ISNUMBER($C264)),"Enter a gross score",IF(COUNTIFS($A$5:$A$1668,$A264,$B$5:$B$1668,$B264)&gt;1,"Player is listed twice this week",IF(AND($D264&lt;&gt;"",COUNTIFS($A$5:$A$1668,$A264,$D$5:$D$1668,$D264)&gt;1),"Two players picked as "&amp;$D264,IF(COUNTIFS($A$5:$A$1668,$A264,$D$5:$D$1668,"Gross winner")=0,"Pick this week's gross winner",IF(COUNTIFS($A$5:$A$1668,$A264,$D$5:$D$1668,"Net winner")=0,"Pick this week's net winner","OK")))))))</f>
        <v/>
      </c>
    </row>
    <row r="265" outlineLevel="1">
      <c r="A265" s="13" t="n">
        <v>46449</v>
      </c>
      <c r="E265" s="11">
        <f>IF(OR($B265="",NOT(ISNUMBER($C265))),"",COUNTIFS($A$5:$A$1668,$A265,$C$5:$C$1668,"&lt;"&amp;$C265)+1)</f>
        <v/>
      </c>
      <c r="F265" s="11">
        <f>IF(OR($B265="",NOT(ISNUMBER($C265))),"",COUNTIFS($A$5:$A$1668,$A265,$C$5:$C$1668,"&gt;0"))</f>
        <v/>
      </c>
      <c r="G265" s="11">
        <f>IF(OR($B265="",NOT(ISNUMBER($C265))),"",IF($D265&lt;&gt;"",ROUND(Points!$B$6*IF($F265&lt;Points!$H$4,Points!$H$5,1),0),ROUND(Points!$B$6*IF($F265&lt;=1,1,Points!$H$7+(1-Points!$H$7)*((($F265-$E265)*(($F265-$E265)+1)/2)^2-((($F265-$E265-COUNTIFS($A$5:$A$1668,$A265,$C$5:$C$1668,$C265)+1)-1)*($F265-$E265-COUNTIFS($A$5:$A$1668,$A265,$C$5:$C$1668,$C265)+1)/2)^2)/(COUNTIFS($A$5:$A$1668,$A265,$C$5:$C$1668,$C265)*($F265-1)^3))*IF($F265&lt;Points!$H$4,Points!$H$5,1),0)))</f>
        <v/>
      </c>
      <c r="H265" s="11">
        <f>IF($G265="","",COUNTIFS($B$5:$B$1668,$B265,$G$5:$G$1668,"&gt;"&amp;$G265)+COUNTIFS($B$4:$B264,$B265,$G$4:$G264,$G265)+1)</f>
        <v/>
      </c>
      <c r="I265" s="11">
        <f>IF($G265="","",IF($H265&lt;=Points!$H$6,$G265,0))</f>
        <v/>
      </c>
      <c r="J265" s="11">
        <f>IF($B265="","",IF(COUNTIF(Players!$A$2:$A$500,$B265)=0,"Player is not on the Players tab",IF(NOT(ISNUMBER($C265)),"Enter a gross score",IF(COUNTIFS($A$5:$A$1668,$A265,$B$5:$B$1668,$B265)&gt;1,"Player is listed twice this week",IF(AND($D265&lt;&gt;"",COUNTIFS($A$5:$A$1668,$A265,$D$5:$D$1668,$D265)&gt;1),"Two players picked as "&amp;$D265,IF(COUNTIFS($A$5:$A$1668,$A265,$D$5:$D$1668,"Gross winner")=0,"Pick this week's gross winner",IF(COUNTIFS($A$5:$A$1668,$A265,$D$5:$D$1668,"Net winner")=0,"Pick this week's net winner","OK")))))))</f>
        <v/>
      </c>
    </row>
    <row r="266" outlineLevel="1">
      <c r="A266" s="13" t="n">
        <v>46449</v>
      </c>
      <c r="E266" s="11">
        <f>IF(OR($B266="",NOT(ISNUMBER($C266))),"",COUNTIFS($A$5:$A$1668,$A266,$C$5:$C$1668,"&lt;"&amp;$C266)+1)</f>
        <v/>
      </c>
      <c r="F266" s="11">
        <f>IF(OR($B266="",NOT(ISNUMBER($C266))),"",COUNTIFS($A$5:$A$1668,$A266,$C$5:$C$1668,"&gt;0"))</f>
        <v/>
      </c>
      <c r="G266" s="11">
        <f>IF(OR($B266="",NOT(ISNUMBER($C266))),"",IF($D266&lt;&gt;"",ROUND(Points!$B$6*IF($F266&lt;Points!$H$4,Points!$H$5,1),0),ROUND(Points!$B$6*IF($F266&lt;=1,1,Points!$H$7+(1-Points!$H$7)*((($F266-$E266)*(($F266-$E266)+1)/2)^2-((($F266-$E266-COUNTIFS($A$5:$A$1668,$A266,$C$5:$C$1668,$C266)+1)-1)*($F266-$E266-COUNTIFS($A$5:$A$1668,$A266,$C$5:$C$1668,$C266)+1)/2)^2)/(COUNTIFS($A$5:$A$1668,$A266,$C$5:$C$1668,$C266)*($F266-1)^3))*IF($F266&lt;Points!$H$4,Points!$H$5,1),0)))</f>
        <v/>
      </c>
      <c r="H266" s="11">
        <f>IF($G266="","",COUNTIFS($B$5:$B$1668,$B266,$G$5:$G$1668,"&gt;"&amp;$G266)+COUNTIFS($B$4:$B265,$B266,$G$4:$G265,$G266)+1)</f>
        <v/>
      </c>
      <c r="I266" s="11">
        <f>IF($G266="","",IF($H266&lt;=Points!$H$6,$G266,0))</f>
        <v/>
      </c>
      <c r="J266" s="11">
        <f>IF($B266="","",IF(COUNTIF(Players!$A$2:$A$500,$B266)=0,"Player is not on the Players tab",IF(NOT(ISNUMBER($C266)),"Enter a gross score",IF(COUNTIFS($A$5:$A$1668,$A266,$B$5:$B$1668,$B266)&gt;1,"Player is listed twice this week",IF(AND($D266&lt;&gt;"",COUNTIFS($A$5:$A$1668,$A266,$D$5:$D$1668,$D266)&gt;1),"Two players picked as "&amp;$D266,IF(COUNTIFS($A$5:$A$1668,$A266,$D$5:$D$1668,"Gross winner")=0,"Pick this week's gross winner",IF(COUNTIFS($A$5:$A$1668,$A266,$D$5:$D$1668,"Net winner")=0,"Pick this week's net winner","OK")))))))</f>
        <v/>
      </c>
    </row>
    <row r="267" outlineLevel="1">
      <c r="A267" s="13" t="n">
        <v>46449</v>
      </c>
      <c r="E267" s="11">
        <f>IF(OR($B267="",NOT(ISNUMBER($C267))),"",COUNTIFS($A$5:$A$1668,$A267,$C$5:$C$1668,"&lt;"&amp;$C267)+1)</f>
        <v/>
      </c>
      <c r="F267" s="11">
        <f>IF(OR($B267="",NOT(ISNUMBER($C267))),"",COUNTIFS($A$5:$A$1668,$A267,$C$5:$C$1668,"&gt;0"))</f>
        <v/>
      </c>
      <c r="G267" s="11">
        <f>IF(OR($B267="",NOT(ISNUMBER($C267))),"",IF($D267&lt;&gt;"",ROUND(Points!$B$6*IF($F267&lt;Points!$H$4,Points!$H$5,1),0),ROUND(Points!$B$6*IF($F267&lt;=1,1,Points!$H$7+(1-Points!$H$7)*((($F267-$E267)*(($F267-$E267)+1)/2)^2-((($F267-$E267-COUNTIFS($A$5:$A$1668,$A267,$C$5:$C$1668,$C267)+1)-1)*($F267-$E267-COUNTIFS($A$5:$A$1668,$A267,$C$5:$C$1668,$C267)+1)/2)^2)/(COUNTIFS($A$5:$A$1668,$A267,$C$5:$C$1668,$C267)*($F267-1)^3))*IF($F267&lt;Points!$H$4,Points!$H$5,1),0)))</f>
        <v/>
      </c>
      <c r="H267" s="11">
        <f>IF($G267="","",COUNTIFS($B$5:$B$1668,$B267,$G$5:$G$1668,"&gt;"&amp;$G267)+COUNTIFS($B$4:$B266,$B267,$G$4:$G266,$G267)+1)</f>
        <v/>
      </c>
      <c r="I267" s="11">
        <f>IF($G267="","",IF($H267&lt;=Points!$H$6,$G267,0))</f>
        <v/>
      </c>
      <c r="J267" s="11">
        <f>IF($B267="","",IF(COUNTIF(Players!$A$2:$A$500,$B267)=0,"Player is not on the Players tab",IF(NOT(ISNUMBER($C267)),"Enter a gross score",IF(COUNTIFS($A$5:$A$1668,$A267,$B$5:$B$1668,$B267)&gt;1,"Player is listed twice this week",IF(AND($D267&lt;&gt;"",COUNTIFS($A$5:$A$1668,$A267,$D$5:$D$1668,$D267)&gt;1),"Two players picked as "&amp;$D267,IF(COUNTIFS($A$5:$A$1668,$A267,$D$5:$D$1668,"Gross winner")=0,"Pick this week's gross winner",IF(COUNTIFS($A$5:$A$1668,$A267,$D$5:$D$1668,"Net winner")=0,"Pick this week's net winner","OK")))))))</f>
        <v/>
      </c>
    </row>
    <row r="268" outlineLevel="1">
      <c r="A268" s="13" t="n">
        <v>46449</v>
      </c>
      <c r="E268" s="11">
        <f>IF(OR($B268="",NOT(ISNUMBER($C268))),"",COUNTIFS($A$5:$A$1668,$A268,$C$5:$C$1668,"&lt;"&amp;$C268)+1)</f>
        <v/>
      </c>
      <c r="F268" s="11">
        <f>IF(OR($B268="",NOT(ISNUMBER($C268))),"",COUNTIFS($A$5:$A$1668,$A268,$C$5:$C$1668,"&gt;0"))</f>
        <v/>
      </c>
      <c r="G268" s="11">
        <f>IF(OR($B268="",NOT(ISNUMBER($C268))),"",IF($D268&lt;&gt;"",ROUND(Points!$B$6*IF($F268&lt;Points!$H$4,Points!$H$5,1),0),ROUND(Points!$B$6*IF($F268&lt;=1,1,Points!$H$7+(1-Points!$H$7)*((($F268-$E268)*(($F268-$E268)+1)/2)^2-((($F268-$E268-COUNTIFS($A$5:$A$1668,$A268,$C$5:$C$1668,$C268)+1)-1)*($F268-$E268-COUNTIFS($A$5:$A$1668,$A268,$C$5:$C$1668,$C268)+1)/2)^2)/(COUNTIFS($A$5:$A$1668,$A268,$C$5:$C$1668,$C268)*($F268-1)^3))*IF($F268&lt;Points!$H$4,Points!$H$5,1),0)))</f>
        <v/>
      </c>
      <c r="H268" s="11">
        <f>IF($G268="","",COUNTIFS($B$5:$B$1668,$B268,$G$5:$G$1668,"&gt;"&amp;$G268)+COUNTIFS($B$4:$B267,$B268,$G$4:$G267,$G268)+1)</f>
        <v/>
      </c>
      <c r="I268" s="11">
        <f>IF($G268="","",IF($H268&lt;=Points!$H$6,$G268,0))</f>
        <v/>
      </c>
      <c r="J268" s="11">
        <f>IF($B268="","",IF(COUNTIF(Players!$A$2:$A$500,$B268)=0,"Player is not on the Players tab",IF(NOT(ISNUMBER($C268)),"Enter a gross score",IF(COUNTIFS($A$5:$A$1668,$A268,$B$5:$B$1668,$B268)&gt;1,"Player is listed twice this week",IF(AND($D268&lt;&gt;"",COUNTIFS($A$5:$A$1668,$A268,$D$5:$D$1668,$D268)&gt;1),"Two players picked as "&amp;$D268,IF(COUNTIFS($A$5:$A$1668,$A268,$D$5:$D$1668,"Gross winner")=0,"Pick this week's gross winner",IF(COUNTIFS($A$5:$A$1668,$A268,$D$5:$D$1668,"Net winner")=0,"Pick this week's net winner","OK")))))))</f>
        <v/>
      </c>
    </row>
    <row r="269" outlineLevel="1">
      <c r="A269" s="13" t="n">
        <v>46449</v>
      </c>
      <c r="E269" s="11">
        <f>IF(OR($B269="",NOT(ISNUMBER($C269))),"",COUNTIFS($A$5:$A$1668,$A269,$C$5:$C$1668,"&lt;"&amp;$C269)+1)</f>
        <v/>
      </c>
      <c r="F269" s="11">
        <f>IF(OR($B269="",NOT(ISNUMBER($C269))),"",COUNTIFS($A$5:$A$1668,$A269,$C$5:$C$1668,"&gt;0"))</f>
        <v/>
      </c>
      <c r="G269" s="11">
        <f>IF(OR($B269="",NOT(ISNUMBER($C269))),"",IF($D269&lt;&gt;"",ROUND(Points!$B$6*IF($F269&lt;Points!$H$4,Points!$H$5,1),0),ROUND(Points!$B$6*IF($F269&lt;=1,1,Points!$H$7+(1-Points!$H$7)*((($F269-$E269)*(($F269-$E269)+1)/2)^2-((($F269-$E269-COUNTIFS($A$5:$A$1668,$A269,$C$5:$C$1668,$C269)+1)-1)*($F269-$E269-COUNTIFS($A$5:$A$1668,$A269,$C$5:$C$1668,$C269)+1)/2)^2)/(COUNTIFS($A$5:$A$1668,$A269,$C$5:$C$1668,$C269)*($F269-1)^3))*IF($F269&lt;Points!$H$4,Points!$H$5,1),0)))</f>
        <v/>
      </c>
      <c r="H269" s="11">
        <f>IF($G269="","",COUNTIFS($B$5:$B$1668,$B269,$G$5:$G$1668,"&gt;"&amp;$G269)+COUNTIFS($B$4:$B268,$B269,$G$4:$G268,$G269)+1)</f>
        <v/>
      </c>
      <c r="I269" s="11">
        <f>IF($G269="","",IF($H269&lt;=Points!$H$6,$G269,0))</f>
        <v/>
      </c>
      <c r="J269" s="11">
        <f>IF($B269="","",IF(COUNTIF(Players!$A$2:$A$500,$B269)=0,"Player is not on the Players tab",IF(NOT(ISNUMBER($C269)),"Enter a gross score",IF(COUNTIFS($A$5:$A$1668,$A269,$B$5:$B$1668,$B269)&gt;1,"Player is listed twice this week",IF(AND($D269&lt;&gt;"",COUNTIFS($A$5:$A$1668,$A269,$D$5:$D$1668,$D269)&gt;1),"Two players picked as "&amp;$D269,IF(COUNTIFS($A$5:$A$1668,$A269,$D$5:$D$1668,"Gross winner")=0,"Pick this week's gross winner",IF(COUNTIFS($A$5:$A$1668,$A269,$D$5:$D$1668,"Net winner")=0,"Pick this week's net winner","OK")))))))</f>
        <v/>
      </c>
    </row>
    <row r="270" outlineLevel="1">
      <c r="A270" s="13" t="n">
        <v>46449</v>
      </c>
      <c r="E270" s="11">
        <f>IF(OR($B270="",NOT(ISNUMBER($C270))),"",COUNTIFS($A$5:$A$1668,$A270,$C$5:$C$1668,"&lt;"&amp;$C270)+1)</f>
        <v/>
      </c>
      <c r="F270" s="11">
        <f>IF(OR($B270="",NOT(ISNUMBER($C270))),"",COUNTIFS($A$5:$A$1668,$A270,$C$5:$C$1668,"&gt;0"))</f>
        <v/>
      </c>
      <c r="G270" s="11">
        <f>IF(OR($B270="",NOT(ISNUMBER($C270))),"",IF($D270&lt;&gt;"",ROUND(Points!$B$6*IF($F270&lt;Points!$H$4,Points!$H$5,1),0),ROUND(Points!$B$6*IF($F270&lt;=1,1,Points!$H$7+(1-Points!$H$7)*((($F270-$E270)*(($F270-$E270)+1)/2)^2-((($F270-$E270-COUNTIFS($A$5:$A$1668,$A270,$C$5:$C$1668,$C270)+1)-1)*($F270-$E270-COUNTIFS($A$5:$A$1668,$A270,$C$5:$C$1668,$C270)+1)/2)^2)/(COUNTIFS($A$5:$A$1668,$A270,$C$5:$C$1668,$C270)*($F270-1)^3))*IF($F270&lt;Points!$H$4,Points!$H$5,1),0)))</f>
        <v/>
      </c>
      <c r="H270" s="11">
        <f>IF($G270="","",COUNTIFS($B$5:$B$1668,$B270,$G$5:$G$1668,"&gt;"&amp;$G270)+COUNTIFS($B$4:$B269,$B270,$G$4:$G269,$G270)+1)</f>
        <v/>
      </c>
      <c r="I270" s="11">
        <f>IF($G270="","",IF($H270&lt;=Points!$H$6,$G270,0))</f>
        <v/>
      </c>
      <c r="J270" s="11">
        <f>IF($B270="","",IF(COUNTIF(Players!$A$2:$A$500,$B270)=0,"Player is not on the Players tab",IF(NOT(ISNUMBER($C270)),"Enter a gross score",IF(COUNTIFS($A$5:$A$1668,$A270,$B$5:$B$1668,$B270)&gt;1,"Player is listed twice this week",IF(AND($D270&lt;&gt;"",COUNTIFS($A$5:$A$1668,$A270,$D$5:$D$1668,$D270)&gt;1),"Two players picked as "&amp;$D270,IF(COUNTIFS($A$5:$A$1668,$A270,$D$5:$D$1668,"Gross winner")=0,"Pick this week's gross winner",IF(COUNTIFS($A$5:$A$1668,$A270,$D$5:$D$1668,"Net winner")=0,"Pick this week's net winner","OK")))))))</f>
        <v/>
      </c>
    </row>
    <row r="271" outlineLevel="1">
      <c r="A271" s="13" t="n">
        <v>46449</v>
      </c>
      <c r="E271" s="11">
        <f>IF(OR($B271="",NOT(ISNUMBER($C271))),"",COUNTIFS($A$5:$A$1668,$A271,$C$5:$C$1668,"&lt;"&amp;$C271)+1)</f>
        <v/>
      </c>
      <c r="F271" s="11">
        <f>IF(OR($B271="",NOT(ISNUMBER($C271))),"",COUNTIFS($A$5:$A$1668,$A271,$C$5:$C$1668,"&gt;0"))</f>
        <v/>
      </c>
      <c r="G271" s="11">
        <f>IF(OR($B271="",NOT(ISNUMBER($C271))),"",IF($D271&lt;&gt;"",ROUND(Points!$B$6*IF($F271&lt;Points!$H$4,Points!$H$5,1),0),ROUND(Points!$B$6*IF($F271&lt;=1,1,Points!$H$7+(1-Points!$H$7)*((($F271-$E271)*(($F271-$E271)+1)/2)^2-((($F271-$E271-COUNTIFS($A$5:$A$1668,$A271,$C$5:$C$1668,$C271)+1)-1)*($F271-$E271-COUNTIFS($A$5:$A$1668,$A271,$C$5:$C$1668,$C271)+1)/2)^2)/(COUNTIFS($A$5:$A$1668,$A271,$C$5:$C$1668,$C271)*($F271-1)^3))*IF($F271&lt;Points!$H$4,Points!$H$5,1),0)))</f>
        <v/>
      </c>
      <c r="H271" s="11">
        <f>IF($G271="","",COUNTIFS($B$5:$B$1668,$B271,$G$5:$G$1668,"&gt;"&amp;$G271)+COUNTIFS($B$4:$B270,$B271,$G$4:$G270,$G271)+1)</f>
        <v/>
      </c>
      <c r="I271" s="11">
        <f>IF($G271="","",IF($H271&lt;=Points!$H$6,$G271,0))</f>
        <v/>
      </c>
      <c r="J271" s="11">
        <f>IF($B271="","",IF(COUNTIF(Players!$A$2:$A$500,$B271)=0,"Player is not on the Players tab",IF(NOT(ISNUMBER($C271)),"Enter a gross score",IF(COUNTIFS($A$5:$A$1668,$A271,$B$5:$B$1668,$B271)&gt;1,"Player is listed twice this week",IF(AND($D271&lt;&gt;"",COUNTIFS($A$5:$A$1668,$A271,$D$5:$D$1668,$D271)&gt;1),"Two players picked as "&amp;$D271,IF(COUNTIFS($A$5:$A$1668,$A271,$D$5:$D$1668,"Gross winner")=0,"Pick this week's gross winner",IF(COUNTIFS($A$5:$A$1668,$A271,$D$5:$D$1668,"Net winner")=0,"Pick this week's net winner","OK")))))))</f>
        <v/>
      </c>
    </row>
    <row r="272" outlineLevel="1">
      <c r="A272" s="13" t="n">
        <v>46449</v>
      </c>
      <c r="E272" s="11">
        <f>IF(OR($B272="",NOT(ISNUMBER($C272))),"",COUNTIFS($A$5:$A$1668,$A272,$C$5:$C$1668,"&lt;"&amp;$C272)+1)</f>
        <v/>
      </c>
      <c r="F272" s="11">
        <f>IF(OR($B272="",NOT(ISNUMBER($C272))),"",COUNTIFS($A$5:$A$1668,$A272,$C$5:$C$1668,"&gt;0"))</f>
        <v/>
      </c>
      <c r="G272" s="11">
        <f>IF(OR($B272="",NOT(ISNUMBER($C272))),"",IF($D272&lt;&gt;"",ROUND(Points!$B$6*IF($F272&lt;Points!$H$4,Points!$H$5,1),0),ROUND(Points!$B$6*IF($F272&lt;=1,1,Points!$H$7+(1-Points!$H$7)*((($F272-$E272)*(($F272-$E272)+1)/2)^2-((($F272-$E272-COUNTIFS($A$5:$A$1668,$A272,$C$5:$C$1668,$C272)+1)-1)*($F272-$E272-COUNTIFS($A$5:$A$1668,$A272,$C$5:$C$1668,$C272)+1)/2)^2)/(COUNTIFS($A$5:$A$1668,$A272,$C$5:$C$1668,$C272)*($F272-1)^3))*IF($F272&lt;Points!$H$4,Points!$H$5,1),0)))</f>
        <v/>
      </c>
      <c r="H272" s="11">
        <f>IF($G272="","",COUNTIFS($B$5:$B$1668,$B272,$G$5:$G$1668,"&gt;"&amp;$G272)+COUNTIFS($B$4:$B271,$B272,$G$4:$G271,$G272)+1)</f>
        <v/>
      </c>
      <c r="I272" s="11">
        <f>IF($G272="","",IF($H272&lt;=Points!$H$6,$G272,0))</f>
        <v/>
      </c>
      <c r="J272" s="11">
        <f>IF($B272="","",IF(COUNTIF(Players!$A$2:$A$500,$B272)=0,"Player is not on the Players tab",IF(NOT(ISNUMBER($C272)),"Enter a gross score",IF(COUNTIFS($A$5:$A$1668,$A272,$B$5:$B$1668,$B272)&gt;1,"Player is listed twice this week",IF(AND($D272&lt;&gt;"",COUNTIFS($A$5:$A$1668,$A272,$D$5:$D$1668,$D272)&gt;1),"Two players picked as "&amp;$D272,IF(COUNTIFS($A$5:$A$1668,$A272,$D$5:$D$1668,"Gross winner")=0,"Pick this week's gross winner",IF(COUNTIFS($A$5:$A$1668,$A272,$D$5:$D$1668,"Net winner")=0,"Pick this week's net winner","OK")))))))</f>
        <v/>
      </c>
    </row>
    <row r="273" outlineLevel="1">
      <c r="A273" s="13" t="n">
        <v>46449</v>
      </c>
      <c r="E273" s="11">
        <f>IF(OR($B273="",NOT(ISNUMBER($C273))),"",COUNTIFS($A$5:$A$1668,$A273,$C$5:$C$1668,"&lt;"&amp;$C273)+1)</f>
        <v/>
      </c>
      <c r="F273" s="11">
        <f>IF(OR($B273="",NOT(ISNUMBER($C273))),"",COUNTIFS($A$5:$A$1668,$A273,$C$5:$C$1668,"&gt;0"))</f>
        <v/>
      </c>
      <c r="G273" s="11">
        <f>IF(OR($B273="",NOT(ISNUMBER($C273))),"",IF($D273&lt;&gt;"",ROUND(Points!$B$6*IF($F273&lt;Points!$H$4,Points!$H$5,1),0),ROUND(Points!$B$6*IF($F273&lt;=1,1,Points!$H$7+(1-Points!$H$7)*((($F273-$E273)*(($F273-$E273)+1)/2)^2-((($F273-$E273-COUNTIFS($A$5:$A$1668,$A273,$C$5:$C$1668,$C273)+1)-1)*($F273-$E273-COUNTIFS($A$5:$A$1668,$A273,$C$5:$C$1668,$C273)+1)/2)^2)/(COUNTIFS($A$5:$A$1668,$A273,$C$5:$C$1668,$C273)*($F273-1)^3))*IF($F273&lt;Points!$H$4,Points!$H$5,1),0)))</f>
        <v/>
      </c>
      <c r="H273" s="11">
        <f>IF($G273="","",COUNTIFS($B$5:$B$1668,$B273,$G$5:$G$1668,"&gt;"&amp;$G273)+COUNTIFS($B$4:$B272,$B273,$G$4:$G272,$G273)+1)</f>
        <v/>
      </c>
      <c r="I273" s="11">
        <f>IF($G273="","",IF($H273&lt;=Points!$H$6,$G273,0))</f>
        <v/>
      </c>
      <c r="J273" s="11">
        <f>IF($B273="","",IF(COUNTIF(Players!$A$2:$A$500,$B273)=0,"Player is not on the Players tab",IF(NOT(ISNUMBER($C273)),"Enter a gross score",IF(COUNTIFS($A$5:$A$1668,$A273,$B$5:$B$1668,$B273)&gt;1,"Player is listed twice this week",IF(AND($D273&lt;&gt;"",COUNTIFS($A$5:$A$1668,$A273,$D$5:$D$1668,$D273)&gt;1),"Two players picked as "&amp;$D273,IF(COUNTIFS($A$5:$A$1668,$A273,$D$5:$D$1668,"Gross winner")=0,"Pick this week's gross winner",IF(COUNTIFS($A$5:$A$1668,$A273,$D$5:$D$1668,"Net winner")=0,"Pick this week's net winner","OK")))))))</f>
        <v/>
      </c>
    </row>
    <row r="274" outlineLevel="1">
      <c r="A274" s="13" t="n">
        <v>46449</v>
      </c>
      <c r="E274" s="11">
        <f>IF(OR($B274="",NOT(ISNUMBER($C274))),"",COUNTIFS($A$5:$A$1668,$A274,$C$5:$C$1668,"&lt;"&amp;$C274)+1)</f>
        <v/>
      </c>
      <c r="F274" s="11">
        <f>IF(OR($B274="",NOT(ISNUMBER($C274))),"",COUNTIFS($A$5:$A$1668,$A274,$C$5:$C$1668,"&gt;0"))</f>
        <v/>
      </c>
      <c r="G274" s="11">
        <f>IF(OR($B274="",NOT(ISNUMBER($C274))),"",IF($D274&lt;&gt;"",ROUND(Points!$B$6*IF($F274&lt;Points!$H$4,Points!$H$5,1),0),ROUND(Points!$B$6*IF($F274&lt;=1,1,Points!$H$7+(1-Points!$H$7)*((($F274-$E274)*(($F274-$E274)+1)/2)^2-((($F274-$E274-COUNTIFS($A$5:$A$1668,$A274,$C$5:$C$1668,$C274)+1)-1)*($F274-$E274-COUNTIFS($A$5:$A$1668,$A274,$C$5:$C$1668,$C274)+1)/2)^2)/(COUNTIFS($A$5:$A$1668,$A274,$C$5:$C$1668,$C274)*($F274-1)^3))*IF($F274&lt;Points!$H$4,Points!$H$5,1),0)))</f>
        <v/>
      </c>
      <c r="H274" s="11">
        <f>IF($G274="","",COUNTIFS($B$5:$B$1668,$B274,$G$5:$G$1668,"&gt;"&amp;$G274)+COUNTIFS($B$4:$B273,$B274,$G$4:$G273,$G274)+1)</f>
        <v/>
      </c>
      <c r="I274" s="11">
        <f>IF($G274="","",IF($H274&lt;=Points!$H$6,$G274,0))</f>
        <v/>
      </c>
      <c r="J274" s="11">
        <f>IF($B274="","",IF(COUNTIF(Players!$A$2:$A$500,$B274)=0,"Player is not on the Players tab",IF(NOT(ISNUMBER($C274)),"Enter a gross score",IF(COUNTIFS($A$5:$A$1668,$A274,$B$5:$B$1668,$B274)&gt;1,"Player is listed twice this week",IF(AND($D274&lt;&gt;"",COUNTIFS($A$5:$A$1668,$A274,$D$5:$D$1668,$D274)&gt;1),"Two players picked as "&amp;$D274,IF(COUNTIFS($A$5:$A$1668,$A274,$D$5:$D$1668,"Gross winner")=0,"Pick this week's gross winner",IF(COUNTIFS($A$5:$A$1668,$A274,$D$5:$D$1668,"Net winner")=0,"Pick this week's net winner","OK")))))))</f>
        <v/>
      </c>
    </row>
    <row r="275" outlineLevel="1">
      <c r="A275" s="13" t="n">
        <v>46449</v>
      </c>
      <c r="E275" s="11">
        <f>IF(OR($B275="",NOT(ISNUMBER($C275))),"",COUNTIFS($A$5:$A$1668,$A275,$C$5:$C$1668,"&lt;"&amp;$C275)+1)</f>
        <v/>
      </c>
      <c r="F275" s="11">
        <f>IF(OR($B275="",NOT(ISNUMBER($C275))),"",COUNTIFS($A$5:$A$1668,$A275,$C$5:$C$1668,"&gt;0"))</f>
        <v/>
      </c>
      <c r="G275" s="11">
        <f>IF(OR($B275="",NOT(ISNUMBER($C275))),"",IF($D275&lt;&gt;"",ROUND(Points!$B$6*IF($F275&lt;Points!$H$4,Points!$H$5,1),0),ROUND(Points!$B$6*IF($F275&lt;=1,1,Points!$H$7+(1-Points!$H$7)*((($F275-$E275)*(($F275-$E275)+1)/2)^2-((($F275-$E275-COUNTIFS($A$5:$A$1668,$A275,$C$5:$C$1668,$C275)+1)-1)*($F275-$E275-COUNTIFS($A$5:$A$1668,$A275,$C$5:$C$1668,$C275)+1)/2)^2)/(COUNTIFS($A$5:$A$1668,$A275,$C$5:$C$1668,$C275)*($F275-1)^3))*IF($F275&lt;Points!$H$4,Points!$H$5,1),0)))</f>
        <v/>
      </c>
      <c r="H275" s="11">
        <f>IF($G275="","",COUNTIFS($B$5:$B$1668,$B275,$G$5:$G$1668,"&gt;"&amp;$G275)+COUNTIFS($B$4:$B274,$B275,$G$4:$G274,$G275)+1)</f>
        <v/>
      </c>
      <c r="I275" s="11">
        <f>IF($G275="","",IF($H275&lt;=Points!$H$6,$G275,0))</f>
        <v/>
      </c>
      <c r="J275" s="11">
        <f>IF($B275="","",IF(COUNTIF(Players!$A$2:$A$500,$B275)=0,"Player is not on the Players tab",IF(NOT(ISNUMBER($C275)),"Enter a gross score",IF(COUNTIFS($A$5:$A$1668,$A275,$B$5:$B$1668,$B275)&gt;1,"Player is listed twice this week",IF(AND($D275&lt;&gt;"",COUNTIFS($A$5:$A$1668,$A275,$D$5:$D$1668,$D275)&gt;1),"Two players picked as "&amp;$D275,IF(COUNTIFS($A$5:$A$1668,$A275,$D$5:$D$1668,"Gross winner")=0,"Pick this week's gross winner",IF(COUNTIFS($A$5:$A$1668,$A275,$D$5:$D$1668,"Net winner")=0,"Pick this week's net winner","OK")))))))</f>
        <v/>
      </c>
    </row>
    <row r="276" outlineLevel="1">
      <c r="A276" s="13" t="n">
        <v>46449</v>
      </c>
      <c r="E276" s="11">
        <f>IF(OR($B276="",NOT(ISNUMBER($C276))),"",COUNTIFS($A$5:$A$1668,$A276,$C$5:$C$1668,"&lt;"&amp;$C276)+1)</f>
        <v/>
      </c>
      <c r="F276" s="11">
        <f>IF(OR($B276="",NOT(ISNUMBER($C276))),"",COUNTIFS($A$5:$A$1668,$A276,$C$5:$C$1668,"&gt;0"))</f>
        <v/>
      </c>
      <c r="G276" s="11">
        <f>IF(OR($B276="",NOT(ISNUMBER($C276))),"",IF($D276&lt;&gt;"",ROUND(Points!$B$6*IF($F276&lt;Points!$H$4,Points!$H$5,1),0),ROUND(Points!$B$6*IF($F276&lt;=1,1,Points!$H$7+(1-Points!$H$7)*((($F276-$E276)*(($F276-$E276)+1)/2)^2-((($F276-$E276-COUNTIFS($A$5:$A$1668,$A276,$C$5:$C$1668,$C276)+1)-1)*($F276-$E276-COUNTIFS($A$5:$A$1668,$A276,$C$5:$C$1668,$C276)+1)/2)^2)/(COUNTIFS($A$5:$A$1668,$A276,$C$5:$C$1668,$C276)*($F276-1)^3))*IF($F276&lt;Points!$H$4,Points!$H$5,1),0)))</f>
        <v/>
      </c>
      <c r="H276" s="11">
        <f>IF($G276="","",COUNTIFS($B$5:$B$1668,$B276,$G$5:$G$1668,"&gt;"&amp;$G276)+COUNTIFS($B$4:$B275,$B276,$G$4:$G275,$G276)+1)</f>
        <v/>
      </c>
      <c r="I276" s="11">
        <f>IF($G276="","",IF($H276&lt;=Points!$H$6,$G276,0))</f>
        <v/>
      </c>
      <c r="J276" s="11">
        <f>IF($B276="","",IF(COUNTIF(Players!$A$2:$A$500,$B276)=0,"Player is not on the Players tab",IF(NOT(ISNUMBER($C276)),"Enter a gross score",IF(COUNTIFS($A$5:$A$1668,$A276,$B$5:$B$1668,$B276)&gt;1,"Player is listed twice this week",IF(AND($D276&lt;&gt;"",COUNTIFS($A$5:$A$1668,$A276,$D$5:$D$1668,$D276)&gt;1),"Two players picked as "&amp;$D276,IF(COUNTIFS($A$5:$A$1668,$A276,$D$5:$D$1668,"Gross winner")=0,"Pick this week's gross winner",IF(COUNTIFS($A$5:$A$1668,$A276,$D$5:$D$1668,"Net winner")=0,"Pick this week's net winner","OK")))))))</f>
        <v/>
      </c>
    </row>
    <row r="277" outlineLevel="1">
      <c r="A277" s="13" t="n">
        <v>46449</v>
      </c>
      <c r="E277" s="11">
        <f>IF(OR($B277="",NOT(ISNUMBER($C277))),"",COUNTIFS($A$5:$A$1668,$A277,$C$5:$C$1668,"&lt;"&amp;$C277)+1)</f>
        <v/>
      </c>
      <c r="F277" s="11">
        <f>IF(OR($B277="",NOT(ISNUMBER($C277))),"",COUNTIFS($A$5:$A$1668,$A277,$C$5:$C$1668,"&gt;0"))</f>
        <v/>
      </c>
      <c r="G277" s="11">
        <f>IF(OR($B277="",NOT(ISNUMBER($C277))),"",IF($D277&lt;&gt;"",ROUND(Points!$B$6*IF($F277&lt;Points!$H$4,Points!$H$5,1),0),ROUND(Points!$B$6*IF($F277&lt;=1,1,Points!$H$7+(1-Points!$H$7)*((($F277-$E277)*(($F277-$E277)+1)/2)^2-((($F277-$E277-COUNTIFS($A$5:$A$1668,$A277,$C$5:$C$1668,$C277)+1)-1)*($F277-$E277-COUNTIFS($A$5:$A$1668,$A277,$C$5:$C$1668,$C277)+1)/2)^2)/(COUNTIFS($A$5:$A$1668,$A277,$C$5:$C$1668,$C277)*($F277-1)^3))*IF($F277&lt;Points!$H$4,Points!$H$5,1),0)))</f>
        <v/>
      </c>
      <c r="H277" s="11">
        <f>IF($G277="","",COUNTIFS($B$5:$B$1668,$B277,$G$5:$G$1668,"&gt;"&amp;$G277)+COUNTIFS($B$4:$B276,$B277,$G$4:$G276,$G277)+1)</f>
        <v/>
      </c>
      <c r="I277" s="11">
        <f>IF($G277="","",IF($H277&lt;=Points!$H$6,$G277,0))</f>
        <v/>
      </c>
      <c r="J277" s="11">
        <f>IF($B277="","",IF(COUNTIF(Players!$A$2:$A$500,$B277)=0,"Player is not on the Players tab",IF(NOT(ISNUMBER($C277)),"Enter a gross score",IF(COUNTIFS($A$5:$A$1668,$A277,$B$5:$B$1668,$B277)&gt;1,"Player is listed twice this week",IF(AND($D277&lt;&gt;"",COUNTIFS($A$5:$A$1668,$A277,$D$5:$D$1668,$D277)&gt;1),"Two players picked as "&amp;$D277,IF(COUNTIFS($A$5:$A$1668,$A277,$D$5:$D$1668,"Gross winner")=0,"Pick this week's gross winner",IF(COUNTIFS($A$5:$A$1668,$A277,$D$5:$D$1668,"Net winner")=0,"Pick this week's net winner","OK")))))))</f>
        <v/>
      </c>
    </row>
    <row r="278" outlineLevel="1">
      <c r="A278" s="13" t="n">
        <v>46449</v>
      </c>
      <c r="E278" s="11">
        <f>IF(OR($B278="",NOT(ISNUMBER($C278))),"",COUNTIFS($A$5:$A$1668,$A278,$C$5:$C$1668,"&lt;"&amp;$C278)+1)</f>
        <v/>
      </c>
      <c r="F278" s="11">
        <f>IF(OR($B278="",NOT(ISNUMBER($C278))),"",COUNTIFS($A$5:$A$1668,$A278,$C$5:$C$1668,"&gt;0"))</f>
        <v/>
      </c>
      <c r="G278" s="11">
        <f>IF(OR($B278="",NOT(ISNUMBER($C278))),"",IF($D278&lt;&gt;"",ROUND(Points!$B$6*IF($F278&lt;Points!$H$4,Points!$H$5,1),0),ROUND(Points!$B$6*IF($F278&lt;=1,1,Points!$H$7+(1-Points!$H$7)*((($F278-$E278)*(($F278-$E278)+1)/2)^2-((($F278-$E278-COUNTIFS($A$5:$A$1668,$A278,$C$5:$C$1668,$C278)+1)-1)*($F278-$E278-COUNTIFS($A$5:$A$1668,$A278,$C$5:$C$1668,$C278)+1)/2)^2)/(COUNTIFS($A$5:$A$1668,$A278,$C$5:$C$1668,$C278)*($F278-1)^3))*IF($F278&lt;Points!$H$4,Points!$H$5,1),0)))</f>
        <v/>
      </c>
      <c r="H278" s="11">
        <f>IF($G278="","",COUNTIFS($B$5:$B$1668,$B278,$G$5:$G$1668,"&gt;"&amp;$G278)+COUNTIFS($B$4:$B277,$B278,$G$4:$G277,$G278)+1)</f>
        <v/>
      </c>
      <c r="I278" s="11">
        <f>IF($G278="","",IF($H278&lt;=Points!$H$6,$G278,0))</f>
        <v/>
      </c>
      <c r="J278" s="11">
        <f>IF($B278="","",IF(COUNTIF(Players!$A$2:$A$500,$B278)=0,"Player is not on the Players tab",IF(NOT(ISNUMBER($C278)),"Enter a gross score",IF(COUNTIFS($A$5:$A$1668,$A278,$B$5:$B$1668,$B278)&gt;1,"Player is listed twice this week",IF(AND($D278&lt;&gt;"",COUNTIFS($A$5:$A$1668,$A278,$D$5:$D$1668,$D278)&gt;1),"Two players picked as "&amp;$D278,IF(COUNTIFS($A$5:$A$1668,$A278,$D$5:$D$1668,"Gross winner")=0,"Pick this week's gross winner",IF(COUNTIFS($A$5:$A$1668,$A278,$D$5:$D$1668,"Net winner")=0,"Pick this week's net winner","OK")))))))</f>
        <v/>
      </c>
    </row>
    <row r="279" outlineLevel="1">
      <c r="A279" s="13" t="n">
        <v>46449</v>
      </c>
      <c r="E279" s="11">
        <f>IF(OR($B279="",NOT(ISNUMBER($C279))),"",COUNTIFS($A$5:$A$1668,$A279,$C$5:$C$1668,"&lt;"&amp;$C279)+1)</f>
        <v/>
      </c>
      <c r="F279" s="11">
        <f>IF(OR($B279="",NOT(ISNUMBER($C279))),"",COUNTIFS($A$5:$A$1668,$A279,$C$5:$C$1668,"&gt;0"))</f>
        <v/>
      </c>
      <c r="G279" s="11">
        <f>IF(OR($B279="",NOT(ISNUMBER($C279))),"",IF($D279&lt;&gt;"",ROUND(Points!$B$6*IF($F279&lt;Points!$H$4,Points!$H$5,1),0),ROUND(Points!$B$6*IF($F279&lt;=1,1,Points!$H$7+(1-Points!$H$7)*((($F279-$E279)*(($F279-$E279)+1)/2)^2-((($F279-$E279-COUNTIFS($A$5:$A$1668,$A279,$C$5:$C$1668,$C279)+1)-1)*($F279-$E279-COUNTIFS($A$5:$A$1668,$A279,$C$5:$C$1668,$C279)+1)/2)^2)/(COUNTIFS($A$5:$A$1668,$A279,$C$5:$C$1668,$C279)*($F279-1)^3))*IF($F279&lt;Points!$H$4,Points!$H$5,1),0)))</f>
        <v/>
      </c>
      <c r="H279" s="11">
        <f>IF($G279="","",COUNTIFS($B$5:$B$1668,$B279,$G$5:$G$1668,"&gt;"&amp;$G279)+COUNTIFS($B$4:$B278,$B279,$G$4:$G278,$G279)+1)</f>
        <v/>
      </c>
      <c r="I279" s="11">
        <f>IF($G279="","",IF($H279&lt;=Points!$H$6,$G279,0))</f>
        <v/>
      </c>
      <c r="J279" s="11">
        <f>IF($B279="","",IF(COUNTIF(Players!$A$2:$A$500,$B279)=0,"Player is not on the Players tab",IF(NOT(ISNUMBER($C279)),"Enter a gross score",IF(COUNTIFS($A$5:$A$1668,$A279,$B$5:$B$1668,$B279)&gt;1,"Player is listed twice this week",IF(AND($D279&lt;&gt;"",COUNTIFS($A$5:$A$1668,$A279,$D$5:$D$1668,$D279)&gt;1),"Two players picked as "&amp;$D279,IF(COUNTIFS($A$5:$A$1668,$A279,$D$5:$D$1668,"Gross winner")=0,"Pick this week's gross winner",IF(COUNTIFS($A$5:$A$1668,$A279,$D$5:$D$1668,"Net winner")=0,"Pick this week's net winner","OK")))))))</f>
        <v/>
      </c>
    </row>
    <row r="280" outlineLevel="1">
      <c r="A280" s="13" t="n">
        <v>46449</v>
      </c>
      <c r="E280" s="11">
        <f>IF(OR($B280="",NOT(ISNUMBER($C280))),"",COUNTIFS($A$5:$A$1668,$A280,$C$5:$C$1668,"&lt;"&amp;$C280)+1)</f>
        <v/>
      </c>
      <c r="F280" s="11">
        <f>IF(OR($B280="",NOT(ISNUMBER($C280))),"",COUNTIFS($A$5:$A$1668,$A280,$C$5:$C$1668,"&gt;0"))</f>
        <v/>
      </c>
      <c r="G280" s="11">
        <f>IF(OR($B280="",NOT(ISNUMBER($C280))),"",IF($D280&lt;&gt;"",ROUND(Points!$B$6*IF($F280&lt;Points!$H$4,Points!$H$5,1),0),ROUND(Points!$B$6*IF($F280&lt;=1,1,Points!$H$7+(1-Points!$H$7)*((($F280-$E280)*(($F280-$E280)+1)/2)^2-((($F280-$E280-COUNTIFS($A$5:$A$1668,$A280,$C$5:$C$1668,$C280)+1)-1)*($F280-$E280-COUNTIFS($A$5:$A$1668,$A280,$C$5:$C$1668,$C280)+1)/2)^2)/(COUNTIFS($A$5:$A$1668,$A280,$C$5:$C$1668,$C280)*($F280-1)^3))*IF($F280&lt;Points!$H$4,Points!$H$5,1),0)))</f>
        <v/>
      </c>
      <c r="H280" s="11">
        <f>IF($G280="","",COUNTIFS($B$5:$B$1668,$B280,$G$5:$G$1668,"&gt;"&amp;$G280)+COUNTIFS($B$4:$B279,$B280,$G$4:$G279,$G280)+1)</f>
        <v/>
      </c>
      <c r="I280" s="11">
        <f>IF($G280="","",IF($H280&lt;=Points!$H$6,$G280,0))</f>
        <v/>
      </c>
      <c r="J280" s="11">
        <f>IF($B280="","",IF(COUNTIF(Players!$A$2:$A$500,$B280)=0,"Player is not on the Players tab",IF(NOT(ISNUMBER($C280)),"Enter a gross score",IF(COUNTIFS($A$5:$A$1668,$A280,$B$5:$B$1668,$B280)&gt;1,"Player is listed twice this week",IF(AND($D280&lt;&gt;"",COUNTIFS($A$5:$A$1668,$A280,$D$5:$D$1668,$D280)&gt;1),"Two players picked as "&amp;$D280,IF(COUNTIFS($A$5:$A$1668,$A280,$D$5:$D$1668,"Gross winner")=0,"Pick this week's gross winner",IF(COUNTIFS($A$5:$A$1668,$A280,$D$5:$D$1668,"Net winner")=0,"Pick this week's net winner","OK")))))))</f>
        <v/>
      </c>
    </row>
    <row r="281" outlineLevel="1">
      <c r="A281" s="13" t="n">
        <v>46449</v>
      </c>
      <c r="E281" s="11">
        <f>IF(OR($B281="",NOT(ISNUMBER($C281))),"",COUNTIFS($A$5:$A$1668,$A281,$C$5:$C$1668,"&lt;"&amp;$C281)+1)</f>
        <v/>
      </c>
      <c r="F281" s="11">
        <f>IF(OR($B281="",NOT(ISNUMBER($C281))),"",COUNTIFS($A$5:$A$1668,$A281,$C$5:$C$1668,"&gt;0"))</f>
        <v/>
      </c>
      <c r="G281" s="11">
        <f>IF(OR($B281="",NOT(ISNUMBER($C281))),"",IF($D281&lt;&gt;"",ROUND(Points!$B$6*IF($F281&lt;Points!$H$4,Points!$H$5,1),0),ROUND(Points!$B$6*IF($F281&lt;=1,1,Points!$H$7+(1-Points!$H$7)*((($F281-$E281)*(($F281-$E281)+1)/2)^2-((($F281-$E281-COUNTIFS($A$5:$A$1668,$A281,$C$5:$C$1668,$C281)+1)-1)*($F281-$E281-COUNTIFS($A$5:$A$1668,$A281,$C$5:$C$1668,$C281)+1)/2)^2)/(COUNTIFS($A$5:$A$1668,$A281,$C$5:$C$1668,$C281)*($F281-1)^3))*IF($F281&lt;Points!$H$4,Points!$H$5,1),0)))</f>
        <v/>
      </c>
      <c r="H281" s="11">
        <f>IF($G281="","",COUNTIFS($B$5:$B$1668,$B281,$G$5:$G$1668,"&gt;"&amp;$G281)+COUNTIFS($B$4:$B280,$B281,$G$4:$G280,$G281)+1)</f>
        <v/>
      </c>
      <c r="I281" s="11">
        <f>IF($G281="","",IF($H281&lt;=Points!$H$6,$G281,0))</f>
        <v/>
      </c>
      <c r="J281" s="11">
        <f>IF($B281="","",IF(COUNTIF(Players!$A$2:$A$500,$B281)=0,"Player is not on the Players tab",IF(NOT(ISNUMBER($C281)),"Enter a gross score",IF(COUNTIFS($A$5:$A$1668,$A281,$B$5:$B$1668,$B281)&gt;1,"Player is listed twice this week",IF(AND($D281&lt;&gt;"",COUNTIFS($A$5:$A$1668,$A281,$D$5:$D$1668,$D281)&gt;1),"Two players picked as "&amp;$D281,IF(COUNTIFS($A$5:$A$1668,$A281,$D$5:$D$1668,"Gross winner")=0,"Pick this week's gross winner",IF(COUNTIFS($A$5:$A$1668,$A281,$D$5:$D$1668,"Net winner")=0,"Pick this week's net winner","OK")))))))</f>
        <v/>
      </c>
    </row>
    <row r="282" outlineLevel="1">
      <c r="A282" s="13" t="n">
        <v>46449</v>
      </c>
      <c r="E282" s="11">
        <f>IF(OR($B282="",NOT(ISNUMBER($C282))),"",COUNTIFS($A$5:$A$1668,$A282,$C$5:$C$1668,"&lt;"&amp;$C282)+1)</f>
        <v/>
      </c>
      <c r="F282" s="11">
        <f>IF(OR($B282="",NOT(ISNUMBER($C282))),"",COUNTIFS($A$5:$A$1668,$A282,$C$5:$C$1668,"&gt;0"))</f>
        <v/>
      </c>
      <c r="G282" s="11">
        <f>IF(OR($B282="",NOT(ISNUMBER($C282))),"",IF($D282&lt;&gt;"",ROUND(Points!$B$6*IF($F282&lt;Points!$H$4,Points!$H$5,1),0),ROUND(Points!$B$6*IF($F282&lt;=1,1,Points!$H$7+(1-Points!$H$7)*((($F282-$E282)*(($F282-$E282)+1)/2)^2-((($F282-$E282-COUNTIFS($A$5:$A$1668,$A282,$C$5:$C$1668,$C282)+1)-1)*($F282-$E282-COUNTIFS($A$5:$A$1668,$A282,$C$5:$C$1668,$C282)+1)/2)^2)/(COUNTIFS($A$5:$A$1668,$A282,$C$5:$C$1668,$C282)*($F282-1)^3))*IF($F282&lt;Points!$H$4,Points!$H$5,1),0)))</f>
        <v/>
      </c>
      <c r="H282" s="11">
        <f>IF($G282="","",COUNTIFS($B$5:$B$1668,$B282,$G$5:$G$1668,"&gt;"&amp;$G282)+COUNTIFS($B$4:$B281,$B282,$G$4:$G281,$G282)+1)</f>
        <v/>
      </c>
      <c r="I282" s="11">
        <f>IF($G282="","",IF($H282&lt;=Points!$H$6,$G282,0))</f>
        <v/>
      </c>
      <c r="J282" s="11">
        <f>IF($B282="","",IF(COUNTIF(Players!$A$2:$A$500,$B282)=0,"Player is not on the Players tab",IF(NOT(ISNUMBER($C282)),"Enter a gross score",IF(COUNTIFS($A$5:$A$1668,$A282,$B$5:$B$1668,$B282)&gt;1,"Player is listed twice this week",IF(AND($D282&lt;&gt;"",COUNTIFS($A$5:$A$1668,$A282,$D$5:$D$1668,$D282)&gt;1),"Two players picked as "&amp;$D282,IF(COUNTIFS($A$5:$A$1668,$A282,$D$5:$D$1668,"Gross winner")=0,"Pick this week's gross winner",IF(COUNTIFS($A$5:$A$1668,$A282,$D$5:$D$1668,"Net winner")=0,"Pick this week's net winner","OK")))))))</f>
        <v/>
      </c>
    </row>
    <row r="283" outlineLevel="1">
      <c r="A283" s="13" t="n">
        <v>46449</v>
      </c>
      <c r="E283" s="11">
        <f>IF(OR($B283="",NOT(ISNUMBER($C283))),"",COUNTIFS($A$5:$A$1668,$A283,$C$5:$C$1668,"&lt;"&amp;$C283)+1)</f>
        <v/>
      </c>
      <c r="F283" s="11">
        <f>IF(OR($B283="",NOT(ISNUMBER($C283))),"",COUNTIFS($A$5:$A$1668,$A283,$C$5:$C$1668,"&gt;0"))</f>
        <v/>
      </c>
      <c r="G283" s="11">
        <f>IF(OR($B283="",NOT(ISNUMBER($C283))),"",IF($D283&lt;&gt;"",ROUND(Points!$B$6*IF($F283&lt;Points!$H$4,Points!$H$5,1),0),ROUND(Points!$B$6*IF($F283&lt;=1,1,Points!$H$7+(1-Points!$H$7)*((($F283-$E283)*(($F283-$E283)+1)/2)^2-((($F283-$E283-COUNTIFS($A$5:$A$1668,$A283,$C$5:$C$1668,$C283)+1)-1)*($F283-$E283-COUNTIFS($A$5:$A$1668,$A283,$C$5:$C$1668,$C283)+1)/2)^2)/(COUNTIFS($A$5:$A$1668,$A283,$C$5:$C$1668,$C283)*($F283-1)^3))*IF($F283&lt;Points!$H$4,Points!$H$5,1),0)))</f>
        <v/>
      </c>
      <c r="H283" s="11">
        <f>IF($G283="","",COUNTIFS($B$5:$B$1668,$B283,$G$5:$G$1668,"&gt;"&amp;$G283)+COUNTIFS($B$4:$B282,$B283,$G$4:$G282,$G283)+1)</f>
        <v/>
      </c>
      <c r="I283" s="11">
        <f>IF($G283="","",IF($H283&lt;=Points!$H$6,$G283,0))</f>
        <v/>
      </c>
      <c r="J283" s="11">
        <f>IF($B283="","",IF(COUNTIF(Players!$A$2:$A$500,$B283)=0,"Player is not on the Players tab",IF(NOT(ISNUMBER($C283)),"Enter a gross score",IF(COUNTIFS($A$5:$A$1668,$A283,$B$5:$B$1668,$B283)&gt;1,"Player is listed twice this week",IF(AND($D283&lt;&gt;"",COUNTIFS($A$5:$A$1668,$A283,$D$5:$D$1668,$D283)&gt;1),"Two players picked as "&amp;$D283,IF(COUNTIFS($A$5:$A$1668,$A283,$D$5:$D$1668,"Gross winner")=0,"Pick this week's gross winner",IF(COUNTIFS($A$5:$A$1668,$A283,$D$5:$D$1668,"Net winner")=0,"Pick this week's net winner","OK")))))))</f>
        <v/>
      </c>
    </row>
    <row r="284" outlineLevel="1">
      <c r="A284" s="13" t="n">
        <v>46449</v>
      </c>
      <c r="E284" s="11">
        <f>IF(OR($B284="",NOT(ISNUMBER($C284))),"",COUNTIFS($A$5:$A$1668,$A284,$C$5:$C$1668,"&lt;"&amp;$C284)+1)</f>
        <v/>
      </c>
      <c r="F284" s="11">
        <f>IF(OR($B284="",NOT(ISNUMBER($C284))),"",COUNTIFS($A$5:$A$1668,$A284,$C$5:$C$1668,"&gt;0"))</f>
        <v/>
      </c>
      <c r="G284" s="11">
        <f>IF(OR($B284="",NOT(ISNUMBER($C284))),"",IF($D284&lt;&gt;"",ROUND(Points!$B$6*IF($F284&lt;Points!$H$4,Points!$H$5,1),0),ROUND(Points!$B$6*IF($F284&lt;=1,1,Points!$H$7+(1-Points!$H$7)*((($F284-$E284)*(($F284-$E284)+1)/2)^2-((($F284-$E284-COUNTIFS($A$5:$A$1668,$A284,$C$5:$C$1668,$C284)+1)-1)*($F284-$E284-COUNTIFS($A$5:$A$1668,$A284,$C$5:$C$1668,$C284)+1)/2)^2)/(COUNTIFS($A$5:$A$1668,$A284,$C$5:$C$1668,$C284)*($F284-1)^3))*IF($F284&lt;Points!$H$4,Points!$H$5,1),0)))</f>
        <v/>
      </c>
      <c r="H284" s="11">
        <f>IF($G284="","",COUNTIFS($B$5:$B$1668,$B284,$G$5:$G$1668,"&gt;"&amp;$G284)+COUNTIFS($B$4:$B283,$B284,$G$4:$G283,$G284)+1)</f>
        <v/>
      </c>
      <c r="I284" s="11">
        <f>IF($G284="","",IF($H284&lt;=Points!$H$6,$G284,0))</f>
        <v/>
      </c>
      <c r="J284" s="11">
        <f>IF($B284="","",IF(COUNTIF(Players!$A$2:$A$500,$B284)=0,"Player is not on the Players tab",IF(NOT(ISNUMBER($C284)),"Enter a gross score",IF(COUNTIFS($A$5:$A$1668,$A284,$B$5:$B$1668,$B284)&gt;1,"Player is listed twice this week",IF(AND($D284&lt;&gt;"",COUNTIFS($A$5:$A$1668,$A284,$D$5:$D$1668,$D284)&gt;1),"Two players picked as "&amp;$D284,IF(COUNTIFS($A$5:$A$1668,$A284,$D$5:$D$1668,"Gross winner")=0,"Pick this week's gross winner",IF(COUNTIFS($A$5:$A$1668,$A284,$D$5:$D$1668,"Net winner")=0,"Pick this week's net winner","OK")))))))</f>
        <v/>
      </c>
    </row>
    <row r="285" outlineLevel="1">
      <c r="A285" s="13" t="n">
        <v>46449</v>
      </c>
      <c r="E285" s="11">
        <f>IF(OR($B285="",NOT(ISNUMBER($C285))),"",COUNTIFS($A$5:$A$1668,$A285,$C$5:$C$1668,"&lt;"&amp;$C285)+1)</f>
        <v/>
      </c>
      <c r="F285" s="11">
        <f>IF(OR($B285="",NOT(ISNUMBER($C285))),"",COUNTIFS($A$5:$A$1668,$A285,$C$5:$C$1668,"&gt;0"))</f>
        <v/>
      </c>
      <c r="G285" s="11">
        <f>IF(OR($B285="",NOT(ISNUMBER($C285))),"",IF($D285&lt;&gt;"",ROUND(Points!$B$6*IF($F285&lt;Points!$H$4,Points!$H$5,1),0),ROUND(Points!$B$6*IF($F285&lt;=1,1,Points!$H$7+(1-Points!$H$7)*((($F285-$E285)*(($F285-$E285)+1)/2)^2-((($F285-$E285-COUNTIFS($A$5:$A$1668,$A285,$C$5:$C$1668,$C285)+1)-1)*($F285-$E285-COUNTIFS($A$5:$A$1668,$A285,$C$5:$C$1668,$C285)+1)/2)^2)/(COUNTIFS($A$5:$A$1668,$A285,$C$5:$C$1668,$C285)*($F285-1)^3))*IF($F285&lt;Points!$H$4,Points!$H$5,1),0)))</f>
        <v/>
      </c>
      <c r="H285" s="11">
        <f>IF($G285="","",COUNTIFS($B$5:$B$1668,$B285,$G$5:$G$1668,"&gt;"&amp;$G285)+COUNTIFS($B$4:$B284,$B285,$G$4:$G284,$G285)+1)</f>
        <v/>
      </c>
      <c r="I285" s="11">
        <f>IF($G285="","",IF($H285&lt;=Points!$H$6,$G285,0))</f>
        <v/>
      </c>
      <c r="J285" s="11">
        <f>IF($B285="","",IF(COUNTIF(Players!$A$2:$A$500,$B285)=0,"Player is not on the Players tab",IF(NOT(ISNUMBER($C285)),"Enter a gross score",IF(COUNTIFS($A$5:$A$1668,$A285,$B$5:$B$1668,$B285)&gt;1,"Player is listed twice this week",IF(AND($D285&lt;&gt;"",COUNTIFS($A$5:$A$1668,$A285,$D$5:$D$1668,$D285)&gt;1),"Two players picked as "&amp;$D285,IF(COUNTIFS($A$5:$A$1668,$A285,$D$5:$D$1668,"Gross winner")=0,"Pick this week's gross winner",IF(COUNTIFS($A$5:$A$1668,$A285,$D$5:$D$1668,"Net winner")=0,"Pick this week's net winner","OK")))))))</f>
        <v/>
      </c>
    </row>
    <row r="286" outlineLevel="1">
      <c r="A286" s="13" t="n">
        <v>46449</v>
      </c>
      <c r="E286" s="11">
        <f>IF(OR($B286="",NOT(ISNUMBER($C286))),"",COUNTIFS($A$5:$A$1668,$A286,$C$5:$C$1668,"&lt;"&amp;$C286)+1)</f>
        <v/>
      </c>
      <c r="F286" s="11">
        <f>IF(OR($B286="",NOT(ISNUMBER($C286))),"",COUNTIFS($A$5:$A$1668,$A286,$C$5:$C$1668,"&gt;0"))</f>
        <v/>
      </c>
      <c r="G286" s="11">
        <f>IF(OR($B286="",NOT(ISNUMBER($C286))),"",IF($D286&lt;&gt;"",ROUND(Points!$B$6*IF($F286&lt;Points!$H$4,Points!$H$5,1),0),ROUND(Points!$B$6*IF($F286&lt;=1,1,Points!$H$7+(1-Points!$H$7)*((($F286-$E286)*(($F286-$E286)+1)/2)^2-((($F286-$E286-COUNTIFS($A$5:$A$1668,$A286,$C$5:$C$1668,$C286)+1)-1)*($F286-$E286-COUNTIFS($A$5:$A$1668,$A286,$C$5:$C$1668,$C286)+1)/2)^2)/(COUNTIFS($A$5:$A$1668,$A286,$C$5:$C$1668,$C286)*($F286-1)^3))*IF($F286&lt;Points!$H$4,Points!$H$5,1),0)))</f>
        <v/>
      </c>
      <c r="H286" s="11">
        <f>IF($G286="","",COUNTIFS($B$5:$B$1668,$B286,$G$5:$G$1668,"&gt;"&amp;$G286)+COUNTIFS($B$4:$B285,$B286,$G$4:$G285,$G286)+1)</f>
        <v/>
      </c>
      <c r="I286" s="11">
        <f>IF($G286="","",IF($H286&lt;=Points!$H$6,$G286,0))</f>
        <v/>
      </c>
      <c r="J286" s="11">
        <f>IF($B286="","",IF(COUNTIF(Players!$A$2:$A$500,$B286)=0,"Player is not on the Players tab",IF(NOT(ISNUMBER($C286)),"Enter a gross score",IF(COUNTIFS($A$5:$A$1668,$A286,$B$5:$B$1668,$B286)&gt;1,"Player is listed twice this week",IF(AND($D286&lt;&gt;"",COUNTIFS($A$5:$A$1668,$A286,$D$5:$D$1668,$D286)&gt;1),"Two players picked as "&amp;$D286,IF(COUNTIFS($A$5:$A$1668,$A286,$D$5:$D$1668,"Gross winner")=0,"Pick this week's gross winner",IF(COUNTIFS($A$5:$A$1668,$A286,$D$5:$D$1668,"Net winner")=0,"Pick this week's net winner","OK")))))))</f>
        <v/>
      </c>
    </row>
    <row r="287" outlineLevel="1">
      <c r="A287" s="13" t="n">
        <v>46449</v>
      </c>
      <c r="E287" s="11">
        <f>IF(OR($B287="",NOT(ISNUMBER($C287))),"",COUNTIFS($A$5:$A$1668,$A287,$C$5:$C$1668,"&lt;"&amp;$C287)+1)</f>
        <v/>
      </c>
      <c r="F287" s="11">
        <f>IF(OR($B287="",NOT(ISNUMBER($C287))),"",COUNTIFS($A$5:$A$1668,$A287,$C$5:$C$1668,"&gt;0"))</f>
        <v/>
      </c>
      <c r="G287" s="11">
        <f>IF(OR($B287="",NOT(ISNUMBER($C287))),"",IF($D287&lt;&gt;"",ROUND(Points!$B$6*IF($F287&lt;Points!$H$4,Points!$H$5,1),0),ROUND(Points!$B$6*IF($F287&lt;=1,1,Points!$H$7+(1-Points!$H$7)*((($F287-$E287)*(($F287-$E287)+1)/2)^2-((($F287-$E287-COUNTIFS($A$5:$A$1668,$A287,$C$5:$C$1668,$C287)+1)-1)*($F287-$E287-COUNTIFS($A$5:$A$1668,$A287,$C$5:$C$1668,$C287)+1)/2)^2)/(COUNTIFS($A$5:$A$1668,$A287,$C$5:$C$1668,$C287)*($F287-1)^3))*IF($F287&lt;Points!$H$4,Points!$H$5,1),0)))</f>
        <v/>
      </c>
      <c r="H287" s="11">
        <f>IF($G287="","",COUNTIFS($B$5:$B$1668,$B287,$G$5:$G$1668,"&gt;"&amp;$G287)+COUNTIFS($B$4:$B286,$B287,$G$4:$G286,$G287)+1)</f>
        <v/>
      </c>
      <c r="I287" s="11">
        <f>IF($G287="","",IF($H287&lt;=Points!$H$6,$G287,0))</f>
        <v/>
      </c>
      <c r="J287" s="11">
        <f>IF($B287="","",IF(COUNTIF(Players!$A$2:$A$500,$B287)=0,"Player is not on the Players tab",IF(NOT(ISNUMBER($C287)),"Enter a gross score",IF(COUNTIFS($A$5:$A$1668,$A287,$B$5:$B$1668,$B287)&gt;1,"Player is listed twice this week",IF(AND($D287&lt;&gt;"",COUNTIFS($A$5:$A$1668,$A287,$D$5:$D$1668,$D287)&gt;1),"Two players picked as "&amp;$D287,IF(COUNTIFS($A$5:$A$1668,$A287,$D$5:$D$1668,"Gross winner")=0,"Pick this week's gross winner",IF(COUNTIFS($A$5:$A$1668,$A287,$D$5:$D$1668,"Net winner")=0,"Pick this week's net winner","OK")))))))</f>
        <v/>
      </c>
    </row>
    <row r="288" outlineLevel="1">
      <c r="A288" s="13" t="n">
        <v>46449</v>
      </c>
      <c r="E288" s="11">
        <f>IF(OR($B288="",NOT(ISNUMBER($C288))),"",COUNTIFS($A$5:$A$1668,$A288,$C$5:$C$1668,"&lt;"&amp;$C288)+1)</f>
        <v/>
      </c>
      <c r="F288" s="11">
        <f>IF(OR($B288="",NOT(ISNUMBER($C288))),"",COUNTIFS($A$5:$A$1668,$A288,$C$5:$C$1668,"&gt;0"))</f>
        <v/>
      </c>
      <c r="G288" s="11">
        <f>IF(OR($B288="",NOT(ISNUMBER($C288))),"",IF($D288&lt;&gt;"",ROUND(Points!$B$6*IF($F288&lt;Points!$H$4,Points!$H$5,1),0),ROUND(Points!$B$6*IF($F288&lt;=1,1,Points!$H$7+(1-Points!$H$7)*((($F288-$E288)*(($F288-$E288)+1)/2)^2-((($F288-$E288-COUNTIFS($A$5:$A$1668,$A288,$C$5:$C$1668,$C288)+1)-1)*($F288-$E288-COUNTIFS($A$5:$A$1668,$A288,$C$5:$C$1668,$C288)+1)/2)^2)/(COUNTIFS($A$5:$A$1668,$A288,$C$5:$C$1668,$C288)*($F288-1)^3))*IF($F288&lt;Points!$H$4,Points!$H$5,1),0)))</f>
        <v/>
      </c>
      <c r="H288" s="11">
        <f>IF($G288="","",COUNTIFS($B$5:$B$1668,$B288,$G$5:$G$1668,"&gt;"&amp;$G288)+COUNTIFS($B$4:$B287,$B288,$G$4:$G287,$G288)+1)</f>
        <v/>
      </c>
      <c r="I288" s="11">
        <f>IF($G288="","",IF($H288&lt;=Points!$H$6,$G288,0))</f>
        <v/>
      </c>
      <c r="J288" s="11">
        <f>IF($B288="","",IF(COUNTIF(Players!$A$2:$A$500,$B288)=0,"Player is not on the Players tab",IF(NOT(ISNUMBER($C288)),"Enter a gross score",IF(COUNTIFS($A$5:$A$1668,$A288,$B$5:$B$1668,$B288)&gt;1,"Player is listed twice this week",IF(AND($D288&lt;&gt;"",COUNTIFS($A$5:$A$1668,$A288,$D$5:$D$1668,$D288)&gt;1),"Two players picked as "&amp;$D288,IF(COUNTIFS($A$5:$A$1668,$A288,$D$5:$D$1668,"Gross winner")=0,"Pick this week's gross winner",IF(COUNTIFS($A$5:$A$1668,$A288,$D$5:$D$1668,"Net winner")=0,"Pick this week's net winner","OK")))))))</f>
        <v/>
      </c>
    </row>
    <row r="289" outlineLevel="1">
      <c r="A289" s="13" t="n">
        <v>46449</v>
      </c>
      <c r="E289" s="11">
        <f>IF(OR($B289="",NOT(ISNUMBER($C289))),"",COUNTIFS($A$5:$A$1668,$A289,$C$5:$C$1668,"&lt;"&amp;$C289)+1)</f>
        <v/>
      </c>
      <c r="F289" s="11">
        <f>IF(OR($B289="",NOT(ISNUMBER($C289))),"",COUNTIFS($A$5:$A$1668,$A289,$C$5:$C$1668,"&gt;0"))</f>
        <v/>
      </c>
      <c r="G289" s="11">
        <f>IF(OR($B289="",NOT(ISNUMBER($C289))),"",IF($D289&lt;&gt;"",ROUND(Points!$B$6*IF($F289&lt;Points!$H$4,Points!$H$5,1),0),ROUND(Points!$B$6*IF($F289&lt;=1,1,Points!$H$7+(1-Points!$H$7)*((($F289-$E289)*(($F289-$E289)+1)/2)^2-((($F289-$E289-COUNTIFS($A$5:$A$1668,$A289,$C$5:$C$1668,$C289)+1)-1)*($F289-$E289-COUNTIFS($A$5:$A$1668,$A289,$C$5:$C$1668,$C289)+1)/2)^2)/(COUNTIFS($A$5:$A$1668,$A289,$C$5:$C$1668,$C289)*($F289-1)^3))*IF($F289&lt;Points!$H$4,Points!$H$5,1),0)))</f>
        <v/>
      </c>
      <c r="H289" s="11">
        <f>IF($G289="","",COUNTIFS($B$5:$B$1668,$B289,$G$5:$G$1668,"&gt;"&amp;$G289)+COUNTIFS($B$4:$B288,$B289,$G$4:$G288,$G289)+1)</f>
        <v/>
      </c>
      <c r="I289" s="11">
        <f>IF($G289="","",IF($H289&lt;=Points!$H$6,$G289,0))</f>
        <v/>
      </c>
      <c r="J289" s="11">
        <f>IF($B289="","",IF(COUNTIF(Players!$A$2:$A$500,$B289)=0,"Player is not on the Players tab",IF(NOT(ISNUMBER($C289)),"Enter a gross score",IF(COUNTIFS($A$5:$A$1668,$A289,$B$5:$B$1668,$B289)&gt;1,"Player is listed twice this week",IF(AND($D289&lt;&gt;"",COUNTIFS($A$5:$A$1668,$A289,$D$5:$D$1668,$D289)&gt;1),"Two players picked as "&amp;$D289,IF(COUNTIFS($A$5:$A$1668,$A289,$D$5:$D$1668,"Gross winner")=0,"Pick this week's gross winner",IF(COUNTIFS($A$5:$A$1668,$A289,$D$5:$D$1668,"Net winner")=0,"Pick this week's net winner","OK")))))))</f>
        <v/>
      </c>
    </row>
    <row r="290" outlineLevel="1">
      <c r="A290" s="13" t="n">
        <v>46449</v>
      </c>
      <c r="E290" s="11">
        <f>IF(OR($B290="",NOT(ISNUMBER($C290))),"",COUNTIFS($A$5:$A$1668,$A290,$C$5:$C$1668,"&lt;"&amp;$C290)+1)</f>
        <v/>
      </c>
      <c r="F290" s="11">
        <f>IF(OR($B290="",NOT(ISNUMBER($C290))),"",COUNTIFS($A$5:$A$1668,$A290,$C$5:$C$1668,"&gt;0"))</f>
        <v/>
      </c>
      <c r="G290" s="11">
        <f>IF(OR($B290="",NOT(ISNUMBER($C290))),"",IF($D290&lt;&gt;"",ROUND(Points!$B$6*IF($F290&lt;Points!$H$4,Points!$H$5,1),0),ROUND(Points!$B$6*IF($F290&lt;=1,1,Points!$H$7+(1-Points!$H$7)*((($F290-$E290)*(($F290-$E290)+1)/2)^2-((($F290-$E290-COUNTIFS($A$5:$A$1668,$A290,$C$5:$C$1668,$C290)+1)-1)*($F290-$E290-COUNTIFS($A$5:$A$1668,$A290,$C$5:$C$1668,$C290)+1)/2)^2)/(COUNTIFS($A$5:$A$1668,$A290,$C$5:$C$1668,$C290)*($F290-1)^3))*IF($F290&lt;Points!$H$4,Points!$H$5,1),0)))</f>
        <v/>
      </c>
      <c r="H290" s="11">
        <f>IF($G290="","",COUNTIFS($B$5:$B$1668,$B290,$G$5:$G$1668,"&gt;"&amp;$G290)+COUNTIFS($B$4:$B289,$B290,$G$4:$G289,$G290)+1)</f>
        <v/>
      </c>
      <c r="I290" s="11">
        <f>IF($G290="","",IF($H290&lt;=Points!$H$6,$G290,0))</f>
        <v/>
      </c>
      <c r="J290" s="11">
        <f>IF($B290="","",IF(COUNTIF(Players!$A$2:$A$500,$B290)=0,"Player is not on the Players tab",IF(NOT(ISNUMBER($C290)),"Enter a gross score",IF(COUNTIFS($A$5:$A$1668,$A290,$B$5:$B$1668,$B290)&gt;1,"Player is listed twice this week",IF(AND($D290&lt;&gt;"",COUNTIFS($A$5:$A$1668,$A290,$D$5:$D$1668,$D290)&gt;1),"Two players picked as "&amp;$D290,IF(COUNTIFS($A$5:$A$1668,$A290,$D$5:$D$1668,"Gross winner")=0,"Pick this week's gross winner",IF(COUNTIFS($A$5:$A$1668,$A290,$D$5:$D$1668,"Net winner")=0,"Pick this week's net winner","OK")))))))</f>
        <v/>
      </c>
    </row>
    <row r="291" outlineLevel="1">
      <c r="A291" s="13" t="n">
        <v>46449</v>
      </c>
      <c r="E291" s="11">
        <f>IF(OR($B291="",NOT(ISNUMBER($C291))),"",COUNTIFS($A$5:$A$1668,$A291,$C$5:$C$1668,"&lt;"&amp;$C291)+1)</f>
        <v/>
      </c>
      <c r="F291" s="11">
        <f>IF(OR($B291="",NOT(ISNUMBER($C291))),"",COUNTIFS($A$5:$A$1668,$A291,$C$5:$C$1668,"&gt;0"))</f>
        <v/>
      </c>
      <c r="G291" s="11">
        <f>IF(OR($B291="",NOT(ISNUMBER($C291))),"",IF($D291&lt;&gt;"",ROUND(Points!$B$6*IF($F291&lt;Points!$H$4,Points!$H$5,1),0),ROUND(Points!$B$6*IF($F291&lt;=1,1,Points!$H$7+(1-Points!$H$7)*((($F291-$E291)*(($F291-$E291)+1)/2)^2-((($F291-$E291-COUNTIFS($A$5:$A$1668,$A291,$C$5:$C$1668,$C291)+1)-1)*($F291-$E291-COUNTIFS($A$5:$A$1668,$A291,$C$5:$C$1668,$C291)+1)/2)^2)/(COUNTIFS($A$5:$A$1668,$A291,$C$5:$C$1668,$C291)*($F291-1)^3))*IF($F291&lt;Points!$H$4,Points!$H$5,1),0)))</f>
        <v/>
      </c>
      <c r="H291" s="11">
        <f>IF($G291="","",COUNTIFS($B$5:$B$1668,$B291,$G$5:$G$1668,"&gt;"&amp;$G291)+COUNTIFS($B$4:$B290,$B291,$G$4:$G290,$G291)+1)</f>
        <v/>
      </c>
      <c r="I291" s="11">
        <f>IF($G291="","",IF($H291&lt;=Points!$H$6,$G291,0))</f>
        <v/>
      </c>
      <c r="J291" s="11">
        <f>IF($B291="","",IF(COUNTIF(Players!$A$2:$A$500,$B291)=0,"Player is not on the Players tab",IF(NOT(ISNUMBER($C291)),"Enter a gross score",IF(COUNTIFS($A$5:$A$1668,$A291,$B$5:$B$1668,$B291)&gt;1,"Player is listed twice this week",IF(AND($D291&lt;&gt;"",COUNTIFS($A$5:$A$1668,$A291,$D$5:$D$1668,$D291)&gt;1),"Two players picked as "&amp;$D291,IF(COUNTIFS($A$5:$A$1668,$A291,$D$5:$D$1668,"Gross winner")=0,"Pick this week's gross winner",IF(COUNTIFS($A$5:$A$1668,$A291,$D$5:$D$1668,"Net winner")=0,"Pick this week's net winner","OK")))))))</f>
        <v/>
      </c>
    </row>
    <row r="292" ht="10" customHeight="1"/>
    <row r="293" ht="22" customHeight="1">
      <c r="A293" s="12" t="inlineStr">
        <is>
          <t>Week 10  ·  Wednesday, Mar 10</t>
        </is>
      </c>
    </row>
    <row r="294" outlineLevel="1">
      <c r="A294" s="13" t="n">
        <v>46456</v>
      </c>
      <c r="E294" s="11">
        <f>IF(OR($B294="",NOT(ISNUMBER($C294))),"",COUNTIFS($A$5:$A$1668,$A294,$C$5:$C$1668,"&lt;"&amp;$C294)+1)</f>
        <v/>
      </c>
      <c r="F294" s="11">
        <f>IF(OR($B294="",NOT(ISNUMBER($C294))),"",COUNTIFS($A$5:$A$1668,$A294,$C$5:$C$1668,"&gt;0"))</f>
        <v/>
      </c>
      <c r="G294" s="11">
        <f>IF(OR($B294="",NOT(ISNUMBER($C294))),"",IF($D294&lt;&gt;"",ROUND(Points!$B$6*IF($F294&lt;Points!$H$4,Points!$H$5,1),0),ROUND(Points!$B$6*IF($F294&lt;=1,1,Points!$H$7+(1-Points!$H$7)*((($F294-$E294)*(($F294-$E294)+1)/2)^2-((($F294-$E294-COUNTIFS($A$5:$A$1668,$A294,$C$5:$C$1668,$C294)+1)-1)*($F294-$E294-COUNTIFS($A$5:$A$1668,$A294,$C$5:$C$1668,$C294)+1)/2)^2)/(COUNTIFS($A$5:$A$1668,$A294,$C$5:$C$1668,$C294)*($F294-1)^3))*IF($F294&lt;Points!$H$4,Points!$H$5,1),0)))</f>
        <v/>
      </c>
      <c r="H294" s="11">
        <f>IF($G294="","",COUNTIFS($B$5:$B$1668,$B294,$G$5:$G$1668,"&gt;"&amp;$G294)+COUNTIFS($B$4:$B293,$B294,$G$4:$G293,$G294)+1)</f>
        <v/>
      </c>
      <c r="I294" s="11">
        <f>IF($G294="","",IF($H294&lt;=Points!$H$6,$G294,0))</f>
        <v/>
      </c>
      <c r="J294" s="11">
        <f>IF($B294="","",IF(COUNTIF(Players!$A$2:$A$500,$B294)=0,"Player is not on the Players tab",IF(NOT(ISNUMBER($C294)),"Enter a gross score",IF(COUNTIFS($A$5:$A$1668,$A294,$B$5:$B$1668,$B294)&gt;1,"Player is listed twice this week",IF(AND($D294&lt;&gt;"",COUNTIFS($A$5:$A$1668,$A294,$D$5:$D$1668,$D294)&gt;1),"Two players picked as "&amp;$D294,IF(COUNTIFS($A$5:$A$1668,$A294,$D$5:$D$1668,"Gross winner")=0,"Pick this week's gross winner",IF(COUNTIFS($A$5:$A$1668,$A294,$D$5:$D$1668,"Net winner")=0,"Pick this week's net winner","OK")))))))</f>
        <v/>
      </c>
    </row>
    <row r="295" outlineLevel="1">
      <c r="A295" s="13" t="n">
        <v>46456</v>
      </c>
      <c r="E295" s="11">
        <f>IF(OR($B295="",NOT(ISNUMBER($C295))),"",COUNTIFS($A$5:$A$1668,$A295,$C$5:$C$1668,"&lt;"&amp;$C295)+1)</f>
        <v/>
      </c>
      <c r="F295" s="11">
        <f>IF(OR($B295="",NOT(ISNUMBER($C295))),"",COUNTIFS($A$5:$A$1668,$A295,$C$5:$C$1668,"&gt;0"))</f>
        <v/>
      </c>
      <c r="G295" s="11">
        <f>IF(OR($B295="",NOT(ISNUMBER($C295))),"",IF($D295&lt;&gt;"",ROUND(Points!$B$6*IF($F295&lt;Points!$H$4,Points!$H$5,1),0),ROUND(Points!$B$6*IF($F295&lt;=1,1,Points!$H$7+(1-Points!$H$7)*((($F295-$E295)*(($F295-$E295)+1)/2)^2-((($F295-$E295-COUNTIFS($A$5:$A$1668,$A295,$C$5:$C$1668,$C295)+1)-1)*($F295-$E295-COUNTIFS($A$5:$A$1668,$A295,$C$5:$C$1668,$C295)+1)/2)^2)/(COUNTIFS($A$5:$A$1668,$A295,$C$5:$C$1668,$C295)*($F295-1)^3))*IF($F295&lt;Points!$H$4,Points!$H$5,1),0)))</f>
        <v/>
      </c>
      <c r="H295" s="11">
        <f>IF($G295="","",COUNTIFS($B$5:$B$1668,$B295,$G$5:$G$1668,"&gt;"&amp;$G295)+COUNTIFS($B$4:$B294,$B295,$G$4:$G294,$G295)+1)</f>
        <v/>
      </c>
      <c r="I295" s="11">
        <f>IF($G295="","",IF($H295&lt;=Points!$H$6,$G295,0))</f>
        <v/>
      </c>
      <c r="J295" s="11">
        <f>IF($B295="","",IF(COUNTIF(Players!$A$2:$A$500,$B295)=0,"Player is not on the Players tab",IF(NOT(ISNUMBER($C295)),"Enter a gross score",IF(COUNTIFS($A$5:$A$1668,$A295,$B$5:$B$1668,$B295)&gt;1,"Player is listed twice this week",IF(AND($D295&lt;&gt;"",COUNTIFS($A$5:$A$1668,$A295,$D$5:$D$1668,$D295)&gt;1),"Two players picked as "&amp;$D295,IF(COUNTIFS($A$5:$A$1668,$A295,$D$5:$D$1668,"Gross winner")=0,"Pick this week's gross winner",IF(COUNTIFS($A$5:$A$1668,$A295,$D$5:$D$1668,"Net winner")=0,"Pick this week's net winner","OK")))))))</f>
        <v/>
      </c>
    </row>
    <row r="296" outlineLevel="1">
      <c r="A296" s="13" t="n">
        <v>46456</v>
      </c>
      <c r="E296" s="11">
        <f>IF(OR($B296="",NOT(ISNUMBER($C296))),"",COUNTIFS($A$5:$A$1668,$A296,$C$5:$C$1668,"&lt;"&amp;$C296)+1)</f>
        <v/>
      </c>
      <c r="F296" s="11">
        <f>IF(OR($B296="",NOT(ISNUMBER($C296))),"",COUNTIFS($A$5:$A$1668,$A296,$C$5:$C$1668,"&gt;0"))</f>
        <v/>
      </c>
      <c r="G296" s="11">
        <f>IF(OR($B296="",NOT(ISNUMBER($C296))),"",IF($D296&lt;&gt;"",ROUND(Points!$B$6*IF($F296&lt;Points!$H$4,Points!$H$5,1),0),ROUND(Points!$B$6*IF($F296&lt;=1,1,Points!$H$7+(1-Points!$H$7)*((($F296-$E296)*(($F296-$E296)+1)/2)^2-((($F296-$E296-COUNTIFS($A$5:$A$1668,$A296,$C$5:$C$1668,$C296)+1)-1)*($F296-$E296-COUNTIFS($A$5:$A$1668,$A296,$C$5:$C$1668,$C296)+1)/2)^2)/(COUNTIFS($A$5:$A$1668,$A296,$C$5:$C$1668,$C296)*($F296-1)^3))*IF($F296&lt;Points!$H$4,Points!$H$5,1),0)))</f>
        <v/>
      </c>
      <c r="H296" s="11">
        <f>IF($G296="","",COUNTIFS($B$5:$B$1668,$B296,$G$5:$G$1668,"&gt;"&amp;$G296)+COUNTIFS($B$4:$B295,$B296,$G$4:$G295,$G296)+1)</f>
        <v/>
      </c>
      <c r="I296" s="11">
        <f>IF($G296="","",IF($H296&lt;=Points!$H$6,$G296,0))</f>
        <v/>
      </c>
      <c r="J296" s="11">
        <f>IF($B296="","",IF(COUNTIF(Players!$A$2:$A$500,$B296)=0,"Player is not on the Players tab",IF(NOT(ISNUMBER($C296)),"Enter a gross score",IF(COUNTIFS($A$5:$A$1668,$A296,$B$5:$B$1668,$B296)&gt;1,"Player is listed twice this week",IF(AND($D296&lt;&gt;"",COUNTIFS($A$5:$A$1668,$A296,$D$5:$D$1668,$D296)&gt;1),"Two players picked as "&amp;$D296,IF(COUNTIFS($A$5:$A$1668,$A296,$D$5:$D$1668,"Gross winner")=0,"Pick this week's gross winner",IF(COUNTIFS($A$5:$A$1668,$A296,$D$5:$D$1668,"Net winner")=0,"Pick this week's net winner","OK")))))))</f>
        <v/>
      </c>
    </row>
    <row r="297" outlineLevel="1">
      <c r="A297" s="13" t="n">
        <v>46456</v>
      </c>
      <c r="E297" s="11">
        <f>IF(OR($B297="",NOT(ISNUMBER($C297))),"",COUNTIFS($A$5:$A$1668,$A297,$C$5:$C$1668,"&lt;"&amp;$C297)+1)</f>
        <v/>
      </c>
      <c r="F297" s="11">
        <f>IF(OR($B297="",NOT(ISNUMBER($C297))),"",COUNTIFS($A$5:$A$1668,$A297,$C$5:$C$1668,"&gt;0"))</f>
        <v/>
      </c>
      <c r="G297" s="11">
        <f>IF(OR($B297="",NOT(ISNUMBER($C297))),"",IF($D297&lt;&gt;"",ROUND(Points!$B$6*IF($F297&lt;Points!$H$4,Points!$H$5,1),0),ROUND(Points!$B$6*IF($F297&lt;=1,1,Points!$H$7+(1-Points!$H$7)*((($F297-$E297)*(($F297-$E297)+1)/2)^2-((($F297-$E297-COUNTIFS($A$5:$A$1668,$A297,$C$5:$C$1668,$C297)+1)-1)*($F297-$E297-COUNTIFS($A$5:$A$1668,$A297,$C$5:$C$1668,$C297)+1)/2)^2)/(COUNTIFS($A$5:$A$1668,$A297,$C$5:$C$1668,$C297)*($F297-1)^3))*IF($F297&lt;Points!$H$4,Points!$H$5,1),0)))</f>
        <v/>
      </c>
      <c r="H297" s="11">
        <f>IF($G297="","",COUNTIFS($B$5:$B$1668,$B297,$G$5:$G$1668,"&gt;"&amp;$G297)+COUNTIFS($B$4:$B296,$B297,$G$4:$G296,$G297)+1)</f>
        <v/>
      </c>
      <c r="I297" s="11">
        <f>IF($G297="","",IF($H297&lt;=Points!$H$6,$G297,0))</f>
        <v/>
      </c>
      <c r="J297" s="11">
        <f>IF($B297="","",IF(COUNTIF(Players!$A$2:$A$500,$B297)=0,"Player is not on the Players tab",IF(NOT(ISNUMBER($C297)),"Enter a gross score",IF(COUNTIFS($A$5:$A$1668,$A297,$B$5:$B$1668,$B297)&gt;1,"Player is listed twice this week",IF(AND($D297&lt;&gt;"",COUNTIFS($A$5:$A$1668,$A297,$D$5:$D$1668,$D297)&gt;1),"Two players picked as "&amp;$D297,IF(COUNTIFS($A$5:$A$1668,$A297,$D$5:$D$1668,"Gross winner")=0,"Pick this week's gross winner",IF(COUNTIFS($A$5:$A$1668,$A297,$D$5:$D$1668,"Net winner")=0,"Pick this week's net winner","OK")))))))</f>
        <v/>
      </c>
    </row>
    <row r="298" outlineLevel="1">
      <c r="A298" s="13" t="n">
        <v>46456</v>
      </c>
      <c r="E298" s="11">
        <f>IF(OR($B298="",NOT(ISNUMBER($C298))),"",COUNTIFS($A$5:$A$1668,$A298,$C$5:$C$1668,"&lt;"&amp;$C298)+1)</f>
        <v/>
      </c>
      <c r="F298" s="11">
        <f>IF(OR($B298="",NOT(ISNUMBER($C298))),"",COUNTIFS($A$5:$A$1668,$A298,$C$5:$C$1668,"&gt;0"))</f>
        <v/>
      </c>
      <c r="G298" s="11">
        <f>IF(OR($B298="",NOT(ISNUMBER($C298))),"",IF($D298&lt;&gt;"",ROUND(Points!$B$6*IF($F298&lt;Points!$H$4,Points!$H$5,1),0),ROUND(Points!$B$6*IF($F298&lt;=1,1,Points!$H$7+(1-Points!$H$7)*((($F298-$E298)*(($F298-$E298)+1)/2)^2-((($F298-$E298-COUNTIFS($A$5:$A$1668,$A298,$C$5:$C$1668,$C298)+1)-1)*($F298-$E298-COUNTIFS($A$5:$A$1668,$A298,$C$5:$C$1668,$C298)+1)/2)^2)/(COUNTIFS($A$5:$A$1668,$A298,$C$5:$C$1668,$C298)*($F298-1)^3))*IF($F298&lt;Points!$H$4,Points!$H$5,1),0)))</f>
        <v/>
      </c>
      <c r="H298" s="11">
        <f>IF($G298="","",COUNTIFS($B$5:$B$1668,$B298,$G$5:$G$1668,"&gt;"&amp;$G298)+COUNTIFS($B$4:$B297,$B298,$G$4:$G297,$G298)+1)</f>
        <v/>
      </c>
      <c r="I298" s="11">
        <f>IF($G298="","",IF($H298&lt;=Points!$H$6,$G298,0))</f>
        <v/>
      </c>
      <c r="J298" s="11">
        <f>IF($B298="","",IF(COUNTIF(Players!$A$2:$A$500,$B298)=0,"Player is not on the Players tab",IF(NOT(ISNUMBER($C298)),"Enter a gross score",IF(COUNTIFS($A$5:$A$1668,$A298,$B$5:$B$1668,$B298)&gt;1,"Player is listed twice this week",IF(AND($D298&lt;&gt;"",COUNTIFS($A$5:$A$1668,$A298,$D$5:$D$1668,$D298)&gt;1),"Two players picked as "&amp;$D298,IF(COUNTIFS($A$5:$A$1668,$A298,$D$5:$D$1668,"Gross winner")=0,"Pick this week's gross winner",IF(COUNTIFS($A$5:$A$1668,$A298,$D$5:$D$1668,"Net winner")=0,"Pick this week's net winner","OK")))))))</f>
        <v/>
      </c>
    </row>
    <row r="299" outlineLevel="1">
      <c r="A299" s="13" t="n">
        <v>46456</v>
      </c>
      <c r="E299" s="11">
        <f>IF(OR($B299="",NOT(ISNUMBER($C299))),"",COUNTIFS($A$5:$A$1668,$A299,$C$5:$C$1668,"&lt;"&amp;$C299)+1)</f>
        <v/>
      </c>
      <c r="F299" s="11">
        <f>IF(OR($B299="",NOT(ISNUMBER($C299))),"",COUNTIFS($A$5:$A$1668,$A299,$C$5:$C$1668,"&gt;0"))</f>
        <v/>
      </c>
      <c r="G299" s="11">
        <f>IF(OR($B299="",NOT(ISNUMBER($C299))),"",IF($D299&lt;&gt;"",ROUND(Points!$B$6*IF($F299&lt;Points!$H$4,Points!$H$5,1),0),ROUND(Points!$B$6*IF($F299&lt;=1,1,Points!$H$7+(1-Points!$H$7)*((($F299-$E299)*(($F299-$E299)+1)/2)^2-((($F299-$E299-COUNTIFS($A$5:$A$1668,$A299,$C$5:$C$1668,$C299)+1)-1)*($F299-$E299-COUNTIFS($A$5:$A$1668,$A299,$C$5:$C$1668,$C299)+1)/2)^2)/(COUNTIFS($A$5:$A$1668,$A299,$C$5:$C$1668,$C299)*($F299-1)^3))*IF($F299&lt;Points!$H$4,Points!$H$5,1),0)))</f>
        <v/>
      </c>
      <c r="H299" s="11">
        <f>IF($G299="","",COUNTIFS($B$5:$B$1668,$B299,$G$5:$G$1668,"&gt;"&amp;$G299)+COUNTIFS($B$4:$B298,$B299,$G$4:$G298,$G299)+1)</f>
        <v/>
      </c>
      <c r="I299" s="11">
        <f>IF($G299="","",IF($H299&lt;=Points!$H$6,$G299,0))</f>
        <v/>
      </c>
      <c r="J299" s="11">
        <f>IF($B299="","",IF(COUNTIF(Players!$A$2:$A$500,$B299)=0,"Player is not on the Players tab",IF(NOT(ISNUMBER($C299)),"Enter a gross score",IF(COUNTIFS($A$5:$A$1668,$A299,$B$5:$B$1668,$B299)&gt;1,"Player is listed twice this week",IF(AND($D299&lt;&gt;"",COUNTIFS($A$5:$A$1668,$A299,$D$5:$D$1668,$D299)&gt;1),"Two players picked as "&amp;$D299,IF(COUNTIFS($A$5:$A$1668,$A299,$D$5:$D$1668,"Gross winner")=0,"Pick this week's gross winner",IF(COUNTIFS($A$5:$A$1668,$A299,$D$5:$D$1668,"Net winner")=0,"Pick this week's net winner","OK")))))))</f>
        <v/>
      </c>
    </row>
    <row r="300" outlineLevel="1">
      <c r="A300" s="13" t="n">
        <v>46456</v>
      </c>
      <c r="E300" s="11">
        <f>IF(OR($B300="",NOT(ISNUMBER($C300))),"",COUNTIFS($A$5:$A$1668,$A300,$C$5:$C$1668,"&lt;"&amp;$C300)+1)</f>
        <v/>
      </c>
      <c r="F300" s="11">
        <f>IF(OR($B300="",NOT(ISNUMBER($C300))),"",COUNTIFS($A$5:$A$1668,$A300,$C$5:$C$1668,"&gt;0"))</f>
        <v/>
      </c>
      <c r="G300" s="11">
        <f>IF(OR($B300="",NOT(ISNUMBER($C300))),"",IF($D300&lt;&gt;"",ROUND(Points!$B$6*IF($F300&lt;Points!$H$4,Points!$H$5,1),0),ROUND(Points!$B$6*IF($F300&lt;=1,1,Points!$H$7+(1-Points!$H$7)*((($F300-$E300)*(($F300-$E300)+1)/2)^2-((($F300-$E300-COUNTIFS($A$5:$A$1668,$A300,$C$5:$C$1668,$C300)+1)-1)*($F300-$E300-COUNTIFS($A$5:$A$1668,$A300,$C$5:$C$1668,$C300)+1)/2)^2)/(COUNTIFS($A$5:$A$1668,$A300,$C$5:$C$1668,$C300)*($F300-1)^3))*IF($F300&lt;Points!$H$4,Points!$H$5,1),0)))</f>
        <v/>
      </c>
      <c r="H300" s="11">
        <f>IF($G300="","",COUNTIFS($B$5:$B$1668,$B300,$G$5:$G$1668,"&gt;"&amp;$G300)+COUNTIFS($B$4:$B299,$B300,$G$4:$G299,$G300)+1)</f>
        <v/>
      </c>
      <c r="I300" s="11">
        <f>IF($G300="","",IF($H300&lt;=Points!$H$6,$G300,0))</f>
        <v/>
      </c>
      <c r="J300" s="11">
        <f>IF($B300="","",IF(COUNTIF(Players!$A$2:$A$500,$B300)=0,"Player is not on the Players tab",IF(NOT(ISNUMBER($C300)),"Enter a gross score",IF(COUNTIFS($A$5:$A$1668,$A300,$B$5:$B$1668,$B300)&gt;1,"Player is listed twice this week",IF(AND($D300&lt;&gt;"",COUNTIFS($A$5:$A$1668,$A300,$D$5:$D$1668,$D300)&gt;1),"Two players picked as "&amp;$D300,IF(COUNTIFS($A$5:$A$1668,$A300,$D$5:$D$1668,"Gross winner")=0,"Pick this week's gross winner",IF(COUNTIFS($A$5:$A$1668,$A300,$D$5:$D$1668,"Net winner")=0,"Pick this week's net winner","OK")))))))</f>
        <v/>
      </c>
    </row>
    <row r="301" outlineLevel="1">
      <c r="A301" s="13" t="n">
        <v>46456</v>
      </c>
      <c r="E301" s="11">
        <f>IF(OR($B301="",NOT(ISNUMBER($C301))),"",COUNTIFS($A$5:$A$1668,$A301,$C$5:$C$1668,"&lt;"&amp;$C301)+1)</f>
        <v/>
      </c>
      <c r="F301" s="11">
        <f>IF(OR($B301="",NOT(ISNUMBER($C301))),"",COUNTIFS($A$5:$A$1668,$A301,$C$5:$C$1668,"&gt;0"))</f>
        <v/>
      </c>
      <c r="G301" s="11">
        <f>IF(OR($B301="",NOT(ISNUMBER($C301))),"",IF($D301&lt;&gt;"",ROUND(Points!$B$6*IF($F301&lt;Points!$H$4,Points!$H$5,1),0),ROUND(Points!$B$6*IF($F301&lt;=1,1,Points!$H$7+(1-Points!$H$7)*((($F301-$E301)*(($F301-$E301)+1)/2)^2-((($F301-$E301-COUNTIFS($A$5:$A$1668,$A301,$C$5:$C$1668,$C301)+1)-1)*($F301-$E301-COUNTIFS($A$5:$A$1668,$A301,$C$5:$C$1668,$C301)+1)/2)^2)/(COUNTIFS($A$5:$A$1668,$A301,$C$5:$C$1668,$C301)*($F301-1)^3))*IF($F301&lt;Points!$H$4,Points!$H$5,1),0)))</f>
        <v/>
      </c>
      <c r="H301" s="11">
        <f>IF($G301="","",COUNTIFS($B$5:$B$1668,$B301,$G$5:$G$1668,"&gt;"&amp;$G301)+COUNTIFS($B$4:$B300,$B301,$G$4:$G300,$G301)+1)</f>
        <v/>
      </c>
      <c r="I301" s="11">
        <f>IF($G301="","",IF($H301&lt;=Points!$H$6,$G301,0))</f>
        <v/>
      </c>
      <c r="J301" s="11">
        <f>IF($B301="","",IF(COUNTIF(Players!$A$2:$A$500,$B301)=0,"Player is not on the Players tab",IF(NOT(ISNUMBER($C301)),"Enter a gross score",IF(COUNTIFS($A$5:$A$1668,$A301,$B$5:$B$1668,$B301)&gt;1,"Player is listed twice this week",IF(AND($D301&lt;&gt;"",COUNTIFS($A$5:$A$1668,$A301,$D$5:$D$1668,$D301)&gt;1),"Two players picked as "&amp;$D301,IF(COUNTIFS($A$5:$A$1668,$A301,$D$5:$D$1668,"Gross winner")=0,"Pick this week's gross winner",IF(COUNTIFS($A$5:$A$1668,$A301,$D$5:$D$1668,"Net winner")=0,"Pick this week's net winner","OK")))))))</f>
        <v/>
      </c>
    </row>
    <row r="302" outlineLevel="1">
      <c r="A302" s="13" t="n">
        <v>46456</v>
      </c>
      <c r="E302" s="11">
        <f>IF(OR($B302="",NOT(ISNUMBER($C302))),"",COUNTIFS($A$5:$A$1668,$A302,$C$5:$C$1668,"&lt;"&amp;$C302)+1)</f>
        <v/>
      </c>
      <c r="F302" s="11">
        <f>IF(OR($B302="",NOT(ISNUMBER($C302))),"",COUNTIFS($A$5:$A$1668,$A302,$C$5:$C$1668,"&gt;0"))</f>
        <v/>
      </c>
      <c r="G302" s="11">
        <f>IF(OR($B302="",NOT(ISNUMBER($C302))),"",IF($D302&lt;&gt;"",ROUND(Points!$B$6*IF($F302&lt;Points!$H$4,Points!$H$5,1),0),ROUND(Points!$B$6*IF($F302&lt;=1,1,Points!$H$7+(1-Points!$H$7)*((($F302-$E302)*(($F302-$E302)+1)/2)^2-((($F302-$E302-COUNTIFS($A$5:$A$1668,$A302,$C$5:$C$1668,$C302)+1)-1)*($F302-$E302-COUNTIFS($A$5:$A$1668,$A302,$C$5:$C$1668,$C302)+1)/2)^2)/(COUNTIFS($A$5:$A$1668,$A302,$C$5:$C$1668,$C302)*($F302-1)^3))*IF($F302&lt;Points!$H$4,Points!$H$5,1),0)))</f>
        <v/>
      </c>
      <c r="H302" s="11">
        <f>IF($G302="","",COUNTIFS($B$5:$B$1668,$B302,$G$5:$G$1668,"&gt;"&amp;$G302)+COUNTIFS($B$4:$B301,$B302,$G$4:$G301,$G302)+1)</f>
        <v/>
      </c>
      <c r="I302" s="11">
        <f>IF($G302="","",IF($H302&lt;=Points!$H$6,$G302,0))</f>
        <v/>
      </c>
      <c r="J302" s="11">
        <f>IF($B302="","",IF(COUNTIF(Players!$A$2:$A$500,$B302)=0,"Player is not on the Players tab",IF(NOT(ISNUMBER($C302)),"Enter a gross score",IF(COUNTIFS($A$5:$A$1668,$A302,$B$5:$B$1668,$B302)&gt;1,"Player is listed twice this week",IF(AND($D302&lt;&gt;"",COUNTIFS($A$5:$A$1668,$A302,$D$5:$D$1668,$D302)&gt;1),"Two players picked as "&amp;$D302,IF(COUNTIFS($A$5:$A$1668,$A302,$D$5:$D$1668,"Gross winner")=0,"Pick this week's gross winner",IF(COUNTIFS($A$5:$A$1668,$A302,$D$5:$D$1668,"Net winner")=0,"Pick this week's net winner","OK")))))))</f>
        <v/>
      </c>
    </row>
    <row r="303" outlineLevel="1">
      <c r="A303" s="13" t="n">
        <v>46456</v>
      </c>
      <c r="E303" s="11">
        <f>IF(OR($B303="",NOT(ISNUMBER($C303))),"",COUNTIFS($A$5:$A$1668,$A303,$C$5:$C$1668,"&lt;"&amp;$C303)+1)</f>
        <v/>
      </c>
      <c r="F303" s="11">
        <f>IF(OR($B303="",NOT(ISNUMBER($C303))),"",COUNTIFS($A$5:$A$1668,$A303,$C$5:$C$1668,"&gt;0"))</f>
        <v/>
      </c>
      <c r="G303" s="11">
        <f>IF(OR($B303="",NOT(ISNUMBER($C303))),"",IF($D303&lt;&gt;"",ROUND(Points!$B$6*IF($F303&lt;Points!$H$4,Points!$H$5,1),0),ROUND(Points!$B$6*IF($F303&lt;=1,1,Points!$H$7+(1-Points!$H$7)*((($F303-$E303)*(($F303-$E303)+1)/2)^2-((($F303-$E303-COUNTIFS($A$5:$A$1668,$A303,$C$5:$C$1668,$C303)+1)-1)*($F303-$E303-COUNTIFS($A$5:$A$1668,$A303,$C$5:$C$1668,$C303)+1)/2)^2)/(COUNTIFS($A$5:$A$1668,$A303,$C$5:$C$1668,$C303)*($F303-1)^3))*IF($F303&lt;Points!$H$4,Points!$H$5,1),0)))</f>
        <v/>
      </c>
      <c r="H303" s="11">
        <f>IF($G303="","",COUNTIFS($B$5:$B$1668,$B303,$G$5:$G$1668,"&gt;"&amp;$G303)+COUNTIFS($B$4:$B302,$B303,$G$4:$G302,$G303)+1)</f>
        <v/>
      </c>
      <c r="I303" s="11">
        <f>IF($G303="","",IF($H303&lt;=Points!$H$6,$G303,0))</f>
        <v/>
      </c>
      <c r="J303" s="11">
        <f>IF($B303="","",IF(COUNTIF(Players!$A$2:$A$500,$B303)=0,"Player is not on the Players tab",IF(NOT(ISNUMBER($C303)),"Enter a gross score",IF(COUNTIFS($A$5:$A$1668,$A303,$B$5:$B$1668,$B303)&gt;1,"Player is listed twice this week",IF(AND($D303&lt;&gt;"",COUNTIFS($A$5:$A$1668,$A303,$D$5:$D$1668,$D303)&gt;1),"Two players picked as "&amp;$D303,IF(COUNTIFS($A$5:$A$1668,$A303,$D$5:$D$1668,"Gross winner")=0,"Pick this week's gross winner",IF(COUNTIFS($A$5:$A$1668,$A303,$D$5:$D$1668,"Net winner")=0,"Pick this week's net winner","OK")))))))</f>
        <v/>
      </c>
    </row>
    <row r="304" outlineLevel="1">
      <c r="A304" s="13" t="n">
        <v>46456</v>
      </c>
      <c r="E304" s="11">
        <f>IF(OR($B304="",NOT(ISNUMBER($C304))),"",COUNTIFS($A$5:$A$1668,$A304,$C$5:$C$1668,"&lt;"&amp;$C304)+1)</f>
        <v/>
      </c>
      <c r="F304" s="11">
        <f>IF(OR($B304="",NOT(ISNUMBER($C304))),"",COUNTIFS($A$5:$A$1668,$A304,$C$5:$C$1668,"&gt;0"))</f>
        <v/>
      </c>
      <c r="G304" s="11">
        <f>IF(OR($B304="",NOT(ISNUMBER($C304))),"",IF($D304&lt;&gt;"",ROUND(Points!$B$6*IF($F304&lt;Points!$H$4,Points!$H$5,1),0),ROUND(Points!$B$6*IF($F304&lt;=1,1,Points!$H$7+(1-Points!$H$7)*((($F304-$E304)*(($F304-$E304)+1)/2)^2-((($F304-$E304-COUNTIFS($A$5:$A$1668,$A304,$C$5:$C$1668,$C304)+1)-1)*($F304-$E304-COUNTIFS($A$5:$A$1668,$A304,$C$5:$C$1668,$C304)+1)/2)^2)/(COUNTIFS($A$5:$A$1668,$A304,$C$5:$C$1668,$C304)*($F304-1)^3))*IF($F304&lt;Points!$H$4,Points!$H$5,1),0)))</f>
        <v/>
      </c>
      <c r="H304" s="11">
        <f>IF($G304="","",COUNTIFS($B$5:$B$1668,$B304,$G$5:$G$1668,"&gt;"&amp;$G304)+COUNTIFS($B$4:$B303,$B304,$G$4:$G303,$G304)+1)</f>
        <v/>
      </c>
      <c r="I304" s="11">
        <f>IF($G304="","",IF($H304&lt;=Points!$H$6,$G304,0))</f>
        <v/>
      </c>
      <c r="J304" s="11">
        <f>IF($B304="","",IF(COUNTIF(Players!$A$2:$A$500,$B304)=0,"Player is not on the Players tab",IF(NOT(ISNUMBER($C304)),"Enter a gross score",IF(COUNTIFS($A$5:$A$1668,$A304,$B$5:$B$1668,$B304)&gt;1,"Player is listed twice this week",IF(AND($D304&lt;&gt;"",COUNTIFS($A$5:$A$1668,$A304,$D$5:$D$1668,$D304)&gt;1),"Two players picked as "&amp;$D304,IF(COUNTIFS($A$5:$A$1668,$A304,$D$5:$D$1668,"Gross winner")=0,"Pick this week's gross winner",IF(COUNTIFS($A$5:$A$1668,$A304,$D$5:$D$1668,"Net winner")=0,"Pick this week's net winner","OK")))))))</f>
        <v/>
      </c>
    </row>
    <row r="305" outlineLevel="1">
      <c r="A305" s="13" t="n">
        <v>46456</v>
      </c>
      <c r="E305" s="11">
        <f>IF(OR($B305="",NOT(ISNUMBER($C305))),"",COUNTIFS($A$5:$A$1668,$A305,$C$5:$C$1668,"&lt;"&amp;$C305)+1)</f>
        <v/>
      </c>
      <c r="F305" s="11">
        <f>IF(OR($B305="",NOT(ISNUMBER($C305))),"",COUNTIFS($A$5:$A$1668,$A305,$C$5:$C$1668,"&gt;0"))</f>
        <v/>
      </c>
      <c r="G305" s="11">
        <f>IF(OR($B305="",NOT(ISNUMBER($C305))),"",IF($D305&lt;&gt;"",ROUND(Points!$B$6*IF($F305&lt;Points!$H$4,Points!$H$5,1),0),ROUND(Points!$B$6*IF($F305&lt;=1,1,Points!$H$7+(1-Points!$H$7)*((($F305-$E305)*(($F305-$E305)+1)/2)^2-((($F305-$E305-COUNTIFS($A$5:$A$1668,$A305,$C$5:$C$1668,$C305)+1)-1)*($F305-$E305-COUNTIFS($A$5:$A$1668,$A305,$C$5:$C$1668,$C305)+1)/2)^2)/(COUNTIFS($A$5:$A$1668,$A305,$C$5:$C$1668,$C305)*($F305-1)^3))*IF($F305&lt;Points!$H$4,Points!$H$5,1),0)))</f>
        <v/>
      </c>
      <c r="H305" s="11">
        <f>IF($G305="","",COUNTIFS($B$5:$B$1668,$B305,$G$5:$G$1668,"&gt;"&amp;$G305)+COUNTIFS($B$4:$B304,$B305,$G$4:$G304,$G305)+1)</f>
        <v/>
      </c>
      <c r="I305" s="11">
        <f>IF($G305="","",IF($H305&lt;=Points!$H$6,$G305,0))</f>
        <v/>
      </c>
      <c r="J305" s="11">
        <f>IF($B305="","",IF(COUNTIF(Players!$A$2:$A$500,$B305)=0,"Player is not on the Players tab",IF(NOT(ISNUMBER($C305)),"Enter a gross score",IF(COUNTIFS($A$5:$A$1668,$A305,$B$5:$B$1668,$B305)&gt;1,"Player is listed twice this week",IF(AND($D305&lt;&gt;"",COUNTIFS($A$5:$A$1668,$A305,$D$5:$D$1668,$D305)&gt;1),"Two players picked as "&amp;$D305,IF(COUNTIFS($A$5:$A$1668,$A305,$D$5:$D$1668,"Gross winner")=0,"Pick this week's gross winner",IF(COUNTIFS($A$5:$A$1668,$A305,$D$5:$D$1668,"Net winner")=0,"Pick this week's net winner","OK")))))))</f>
        <v/>
      </c>
    </row>
    <row r="306" outlineLevel="1">
      <c r="A306" s="13" t="n">
        <v>46456</v>
      </c>
      <c r="E306" s="11">
        <f>IF(OR($B306="",NOT(ISNUMBER($C306))),"",COUNTIFS($A$5:$A$1668,$A306,$C$5:$C$1668,"&lt;"&amp;$C306)+1)</f>
        <v/>
      </c>
      <c r="F306" s="11">
        <f>IF(OR($B306="",NOT(ISNUMBER($C306))),"",COUNTIFS($A$5:$A$1668,$A306,$C$5:$C$1668,"&gt;0"))</f>
        <v/>
      </c>
      <c r="G306" s="11">
        <f>IF(OR($B306="",NOT(ISNUMBER($C306))),"",IF($D306&lt;&gt;"",ROUND(Points!$B$6*IF($F306&lt;Points!$H$4,Points!$H$5,1),0),ROUND(Points!$B$6*IF($F306&lt;=1,1,Points!$H$7+(1-Points!$H$7)*((($F306-$E306)*(($F306-$E306)+1)/2)^2-((($F306-$E306-COUNTIFS($A$5:$A$1668,$A306,$C$5:$C$1668,$C306)+1)-1)*($F306-$E306-COUNTIFS($A$5:$A$1668,$A306,$C$5:$C$1668,$C306)+1)/2)^2)/(COUNTIFS($A$5:$A$1668,$A306,$C$5:$C$1668,$C306)*($F306-1)^3))*IF($F306&lt;Points!$H$4,Points!$H$5,1),0)))</f>
        <v/>
      </c>
      <c r="H306" s="11">
        <f>IF($G306="","",COUNTIFS($B$5:$B$1668,$B306,$G$5:$G$1668,"&gt;"&amp;$G306)+COUNTIFS($B$4:$B305,$B306,$G$4:$G305,$G306)+1)</f>
        <v/>
      </c>
      <c r="I306" s="11">
        <f>IF($G306="","",IF($H306&lt;=Points!$H$6,$G306,0))</f>
        <v/>
      </c>
      <c r="J306" s="11">
        <f>IF($B306="","",IF(COUNTIF(Players!$A$2:$A$500,$B306)=0,"Player is not on the Players tab",IF(NOT(ISNUMBER($C306)),"Enter a gross score",IF(COUNTIFS($A$5:$A$1668,$A306,$B$5:$B$1668,$B306)&gt;1,"Player is listed twice this week",IF(AND($D306&lt;&gt;"",COUNTIFS($A$5:$A$1668,$A306,$D$5:$D$1668,$D306)&gt;1),"Two players picked as "&amp;$D306,IF(COUNTIFS($A$5:$A$1668,$A306,$D$5:$D$1668,"Gross winner")=0,"Pick this week's gross winner",IF(COUNTIFS($A$5:$A$1668,$A306,$D$5:$D$1668,"Net winner")=0,"Pick this week's net winner","OK")))))))</f>
        <v/>
      </c>
    </row>
    <row r="307" outlineLevel="1">
      <c r="A307" s="13" t="n">
        <v>46456</v>
      </c>
      <c r="E307" s="11">
        <f>IF(OR($B307="",NOT(ISNUMBER($C307))),"",COUNTIFS($A$5:$A$1668,$A307,$C$5:$C$1668,"&lt;"&amp;$C307)+1)</f>
        <v/>
      </c>
      <c r="F307" s="11">
        <f>IF(OR($B307="",NOT(ISNUMBER($C307))),"",COUNTIFS($A$5:$A$1668,$A307,$C$5:$C$1668,"&gt;0"))</f>
        <v/>
      </c>
      <c r="G307" s="11">
        <f>IF(OR($B307="",NOT(ISNUMBER($C307))),"",IF($D307&lt;&gt;"",ROUND(Points!$B$6*IF($F307&lt;Points!$H$4,Points!$H$5,1),0),ROUND(Points!$B$6*IF($F307&lt;=1,1,Points!$H$7+(1-Points!$H$7)*((($F307-$E307)*(($F307-$E307)+1)/2)^2-((($F307-$E307-COUNTIFS($A$5:$A$1668,$A307,$C$5:$C$1668,$C307)+1)-1)*($F307-$E307-COUNTIFS($A$5:$A$1668,$A307,$C$5:$C$1668,$C307)+1)/2)^2)/(COUNTIFS($A$5:$A$1668,$A307,$C$5:$C$1668,$C307)*($F307-1)^3))*IF($F307&lt;Points!$H$4,Points!$H$5,1),0)))</f>
        <v/>
      </c>
      <c r="H307" s="11">
        <f>IF($G307="","",COUNTIFS($B$5:$B$1668,$B307,$G$5:$G$1668,"&gt;"&amp;$G307)+COUNTIFS($B$4:$B306,$B307,$G$4:$G306,$G307)+1)</f>
        <v/>
      </c>
      <c r="I307" s="11">
        <f>IF($G307="","",IF($H307&lt;=Points!$H$6,$G307,0))</f>
        <v/>
      </c>
      <c r="J307" s="11">
        <f>IF($B307="","",IF(COUNTIF(Players!$A$2:$A$500,$B307)=0,"Player is not on the Players tab",IF(NOT(ISNUMBER($C307)),"Enter a gross score",IF(COUNTIFS($A$5:$A$1668,$A307,$B$5:$B$1668,$B307)&gt;1,"Player is listed twice this week",IF(AND($D307&lt;&gt;"",COUNTIFS($A$5:$A$1668,$A307,$D$5:$D$1668,$D307)&gt;1),"Two players picked as "&amp;$D307,IF(COUNTIFS($A$5:$A$1668,$A307,$D$5:$D$1668,"Gross winner")=0,"Pick this week's gross winner",IF(COUNTIFS($A$5:$A$1668,$A307,$D$5:$D$1668,"Net winner")=0,"Pick this week's net winner","OK")))))))</f>
        <v/>
      </c>
    </row>
    <row r="308" outlineLevel="1">
      <c r="A308" s="13" t="n">
        <v>46456</v>
      </c>
      <c r="E308" s="11">
        <f>IF(OR($B308="",NOT(ISNUMBER($C308))),"",COUNTIFS($A$5:$A$1668,$A308,$C$5:$C$1668,"&lt;"&amp;$C308)+1)</f>
        <v/>
      </c>
      <c r="F308" s="11">
        <f>IF(OR($B308="",NOT(ISNUMBER($C308))),"",COUNTIFS($A$5:$A$1668,$A308,$C$5:$C$1668,"&gt;0"))</f>
        <v/>
      </c>
      <c r="G308" s="11">
        <f>IF(OR($B308="",NOT(ISNUMBER($C308))),"",IF($D308&lt;&gt;"",ROUND(Points!$B$6*IF($F308&lt;Points!$H$4,Points!$H$5,1),0),ROUND(Points!$B$6*IF($F308&lt;=1,1,Points!$H$7+(1-Points!$H$7)*((($F308-$E308)*(($F308-$E308)+1)/2)^2-((($F308-$E308-COUNTIFS($A$5:$A$1668,$A308,$C$5:$C$1668,$C308)+1)-1)*($F308-$E308-COUNTIFS($A$5:$A$1668,$A308,$C$5:$C$1668,$C308)+1)/2)^2)/(COUNTIFS($A$5:$A$1668,$A308,$C$5:$C$1668,$C308)*($F308-1)^3))*IF($F308&lt;Points!$H$4,Points!$H$5,1),0)))</f>
        <v/>
      </c>
      <c r="H308" s="11">
        <f>IF($G308="","",COUNTIFS($B$5:$B$1668,$B308,$G$5:$G$1668,"&gt;"&amp;$G308)+COUNTIFS($B$4:$B307,$B308,$G$4:$G307,$G308)+1)</f>
        <v/>
      </c>
      <c r="I308" s="11">
        <f>IF($G308="","",IF($H308&lt;=Points!$H$6,$G308,0))</f>
        <v/>
      </c>
      <c r="J308" s="11">
        <f>IF($B308="","",IF(COUNTIF(Players!$A$2:$A$500,$B308)=0,"Player is not on the Players tab",IF(NOT(ISNUMBER($C308)),"Enter a gross score",IF(COUNTIFS($A$5:$A$1668,$A308,$B$5:$B$1668,$B308)&gt;1,"Player is listed twice this week",IF(AND($D308&lt;&gt;"",COUNTIFS($A$5:$A$1668,$A308,$D$5:$D$1668,$D308)&gt;1),"Two players picked as "&amp;$D308,IF(COUNTIFS($A$5:$A$1668,$A308,$D$5:$D$1668,"Gross winner")=0,"Pick this week's gross winner",IF(COUNTIFS($A$5:$A$1668,$A308,$D$5:$D$1668,"Net winner")=0,"Pick this week's net winner","OK")))))))</f>
        <v/>
      </c>
    </row>
    <row r="309" outlineLevel="1">
      <c r="A309" s="13" t="n">
        <v>46456</v>
      </c>
      <c r="E309" s="11">
        <f>IF(OR($B309="",NOT(ISNUMBER($C309))),"",COUNTIFS($A$5:$A$1668,$A309,$C$5:$C$1668,"&lt;"&amp;$C309)+1)</f>
        <v/>
      </c>
      <c r="F309" s="11">
        <f>IF(OR($B309="",NOT(ISNUMBER($C309))),"",COUNTIFS($A$5:$A$1668,$A309,$C$5:$C$1668,"&gt;0"))</f>
        <v/>
      </c>
      <c r="G309" s="11">
        <f>IF(OR($B309="",NOT(ISNUMBER($C309))),"",IF($D309&lt;&gt;"",ROUND(Points!$B$6*IF($F309&lt;Points!$H$4,Points!$H$5,1),0),ROUND(Points!$B$6*IF($F309&lt;=1,1,Points!$H$7+(1-Points!$H$7)*((($F309-$E309)*(($F309-$E309)+1)/2)^2-((($F309-$E309-COUNTIFS($A$5:$A$1668,$A309,$C$5:$C$1668,$C309)+1)-1)*($F309-$E309-COUNTIFS($A$5:$A$1668,$A309,$C$5:$C$1668,$C309)+1)/2)^2)/(COUNTIFS($A$5:$A$1668,$A309,$C$5:$C$1668,$C309)*($F309-1)^3))*IF($F309&lt;Points!$H$4,Points!$H$5,1),0)))</f>
        <v/>
      </c>
      <c r="H309" s="11">
        <f>IF($G309="","",COUNTIFS($B$5:$B$1668,$B309,$G$5:$G$1668,"&gt;"&amp;$G309)+COUNTIFS($B$4:$B308,$B309,$G$4:$G308,$G309)+1)</f>
        <v/>
      </c>
      <c r="I309" s="11">
        <f>IF($G309="","",IF($H309&lt;=Points!$H$6,$G309,0))</f>
        <v/>
      </c>
      <c r="J309" s="11">
        <f>IF($B309="","",IF(COUNTIF(Players!$A$2:$A$500,$B309)=0,"Player is not on the Players tab",IF(NOT(ISNUMBER($C309)),"Enter a gross score",IF(COUNTIFS($A$5:$A$1668,$A309,$B$5:$B$1668,$B309)&gt;1,"Player is listed twice this week",IF(AND($D309&lt;&gt;"",COUNTIFS($A$5:$A$1668,$A309,$D$5:$D$1668,$D309)&gt;1),"Two players picked as "&amp;$D309,IF(COUNTIFS($A$5:$A$1668,$A309,$D$5:$D$1668,"Gross winner")=0,"Pick this week's gross winner",IF(COUNTIFS($A$5:$A$1668,$A309,$D$5:$D$1668,"Net winner")=0,"Pick this week's net winner","OK")))))))</f>
        <v/>
      </c>
    </row>
    <row r="310" outlineLevel="1">
      <c r="A310" s="13" t="n">
        <v>46456</v>
      </c>
      <c r="E310" s="11">
        <f>IF(OR($B310="",NOT(ISNUMBER($C310))),"",COUNTIFS($A$5:$A$1668,$A310,$C$5:$C$1668,"&lt;"&amp;$C310)+1)</f>
        <v/>
      </c>
      <c r="F310" s="11">
        <f>IF(OR($B310="",NOT(ISNUMBER($C310))),"",COUNTIFS($A$5:$A$1668,$A310,$C$5:$C$1668,"&gt;0"))</f>
        <v/>
      </c>
      <c r="G310" s="11">
        <f>IF(OR($B310="",NOT(ISNUMBER($C310))),"",IF($D310&lt;&gt;"",ROUND(Points!$B$6*IF($F310&lt;Points!$H$4,Points!$H$5,1),0),ROUND(Points!$B$6*IF($F310&lt;=1,1,Points!$H$7+(1-Points!$H$7)*((($F310-$E310)*(($F310-$E310)+1)/2)^2-((($F310-$E310-COUNTIFS($A$5:$A$1668,$A310,$C$5:$C$1668,$C310)+1)-1)*($F310-$E310-COUNTIFS($A$5:$A$1668,$A310,$C$5:$C$1668,$C310)+1)/2)^2)/(COUNTIFS($A$5:$A$1668,$A310,$C$5:$C$1668,$C310)*($F310-1)^3))*IF($F310&lt;Points!$H$4,Points!$H$5,1),0)))</f>
        <v/>
      </c>
      <c r="H310" s="11">
        <f>IF($G310="","",COUNTIFS($B$5:$B$1668,$B310,$G$5:$G$1668,"&gt;"&amp;$G310)+COUNTIFS($B$4:$B309,$B310,$G$4:$G309,$G310)+1)</f>
        <v/>
      </c>
      <c r="I310" s="11">
        <f>IF($G310="","",IF($H310&lt;=Points!$H$6,$G310,0))</f>
        <v/>
      </c>
      <c r="J310" s="11">
        <f>IF($B310="","",IF(COUNTIF(Players!$A$2:$A$500,$B310)=0,"Player is not on the Players tab",IF(NOT(ISNUMBER($C310)),"Enter a gross score",IF(COUNTIFS($A$5:$A$1668,$A310,$B$5:$B$1668,$B310)&gt;1,"Player is listed twice this week",IF(AND($D310&lt;&gt;"",COUNTIFS($A$5:$A$1668,$A310,$D$5:$D$1668,$D310)&gt;1),"Two players picked as "&amp;$D310,IF(COUNTIFS($A$5:$A$1668,$A310,$D$5:$D$1668,"Gross winner")=0,"Pick this week's gross winner",IF(COUNTIFS($A$5:$A$1668,$A310,$D$5:$D$1668,"Net winner")=0,"Pick this week's net winner","OK")))))))</f>
        <v/>
      </c>
    </row>
    <row r="311" outlineLevel="1">
      <c r="A311" s="13" t="n">
        <v>46456</v>
      </c>
      <c r="E311" s="11">
        <f>IF(OR($B311="",NOT(ISNUMBER($C311))),"",COUNTIFS($A$5:$A$1668,$A311,$C$5:$C$1668,"&lt;"&amp;$C311)+1)</f>
        <v/>
      </c>
      <c r="F311" s="11">
        <f>IF(OR($B311="",NOT(ISNUMBER($C311))),"",COUNTIFS($A$5:$A$1668,$A311,$C$5:$C$1668,"&gt;0"))</f>
        <v/>
      </c>
      <c r="G311" s="11">
        <f>IF(OR($B311="",NOT(ISNUMBER($C311))),"",IF($D311&lt;&gt;"",ROUND(Points!$B$6*IF($F311&lt;Points!$H$4,Points!$H$5,1),0),ROUND(Points!$B$6*IF($F311&lt;=1,1,Points!$H$7+(1-Points!$H$7)*((($F311-$E311)*(($F311-$E311)+1)/2)^2-((($F311-$E311-COUNTIFS($A$5:$A$1668,$A311,$C$5:$C$1668,$C311)+1)-1)*($F311-$E311-COUNTIFS($A$5:$A$1668,$A311,$C$5:$C$1668,$C311)+1)/2)^2)/(COUNTIFS($A$5:$A$1668,$A311,$C$5:$C$1668,$C311)*($F311-1)^3))*IF($F311&lt;Points!$H$4,Points!$H$5,1),0)))</f>
        <v/>
      </c>
      <c r="H311" s="11">
        <f>IF($G311="","",COUNTIFS($B$5:$B$1668,$B311,$G$5:$G$1668,"&gt;"&amp;$G311)+COUNTIFS($B$4:$B310,$B311,$G$4:$G310,$G311)+1)</f>
        <v/>
      </c>
      <c r="I311" s="11">
        <f>IF($G311="","",IF($H311&lt;=Points!$H$6,$G311,0))</f>
        <v/>
      </c>
      <c r="J311" s="11">
        <f>IF($B311="","",IF(COUNTIF(Players!$A$2:$A$500,$B311)=0,"Player is not on the Players tab",IF(NOT(ISNUMBER($C311)),"Enter a gross score",IF(COUNTIFS($A$5:$A$1668,$A311,$B$5:$B$1668,$B311)&gt;1,"Player is listed twice this week",IF(AND($D311&lt;&gt;"",COUNTIFS($A$5:$A$1668,$A311,$D$5:$D$1668,$D311)&gt;1),"Two players picked as "&amp;$D311,IF(COUNTIFS($A$5:$A$1668,$A311,$D$5:$D$1668,"Gross winner")=0,"Pick this week's gross winner",IF(COUNTIFS($A$5:$A$1668,$A311,$D$5:$D$1668,"Net winner")=0,"Pick this week's net winner","OK")))))))</f>
        <v/>
      </c>
    </row>
    <row r="312" outlineLevel="1">
      <c r="A312" s="13" t="n">
        <v>46456</v>
      </c>
      <c r="E312" s="11">
        <f>IF(OR($B312="",NOT(ISNUMBER($C312))),"",COUNTIFS($A$5:$A$1668,$A312,$C$5:$C$1668,"&lt;"&amp;$C312)+1)</f>
        <v/>
      </c>
      <c r="F312" s="11">
        <f>IF(OR($B312="",NOT(ISNUMBER($C312))),"",COUNTIFS($A$5:$A$1668,$A312,$C$5:$C$1668,"&gt;0"))</f>
        <v/>
      </c>
      <c r="G312" s="11">
        <f>IF(OR($B312="",NOT(ISNUMBER($C312))),"",IF($D312&lt;&gt;"",ROUND(Points!$B$6*IF($F312&lt;Points!$H$4,Points!$H$5,1),0),ROUND(Points!$B$6*IF($F312&lt;=1,1,Points!$H$7+(1-Points!$H$7)*((($F312-$E312)*(($F312-$E312)+1)/2)^2-((($F312-$E312-COUNTIFS($A$5:$A$1668,$A312,$C$5:$C$1668,$C312)+1)-1)*($F312-$E312-COUNTIFS($A$5:$A$1668,$A312,$C$5:$C$1668,$C312)+1)/2)^2)/(COUNTIFS($A$5:$A$1668,$A312,$C$5:$C$1668,$C312)*($F312-1)^3))*IF($F312&lt;Points!$H$4,Points!$H$5,1),0)))</f>
        <v/>
      </c>
      <c r="H312" s="11">
        <f>IF($G312="","",COUNTIFS($B$5:$B$1668,$B312,$G$5:$G$1668,"&gt;"&amp;$G312)+COUNTIFS($B$4:$B311,$B312,$G$4:$G311,$G312)+1)</f>
        <v/>
      </c>
      <c r="I312" s="11">
        <f>IF($G312="","",IF($H312&lt;=Points!$H$6,$G312,0))</f>
        <v/>
      </c>
      <c r="J312" s="11">
        <f>IF($B312="","",IF(COUNTIF(Players!$A$2:$A$500,$B312)=0,"Player is not on the Players tab",IF(NOT(ISNUMBER($C312)),"Enter a gross score",IF(COUNTIFS($A$5:$A$1668,$A312,$B$5:$B$1668,$B312)&gt;1,"Player is listed twice this week",IF(AND($D312&lt;&gt;"",COUNTIFS($A$5:$A$1668,$A312,$D$5:$D$1668,$D312)&gt;1),"Two players picked as "&amp;$D312,IF(COUNTIFS($A$5:$A$1668,$A312,$D$5:$D$1668,"Gross winner")=0,"Pick this week's gross winner",IF(COUNTIFS($A$5:$A$1668,$A312,$D$5:$D$1668,"Net winner")=0,"Pick this week's net winner","OK")))))))</f>
        <v/>
      </c>
    </row>
    <row r="313" outlineLevel="1">
      <c r="A313" s="13" t="n">
        <v>46456</v>
      </c>
      <c r="E313" s="11">
        <f>IF(OR($B313="",NOT(ISNUMBER($C313))),"",COUNTIFS($A$5:$A$1668,$A313,$C$5:$C$1668,"&lt;"&amp;$C313)+1)</f>
        <v/>
      </c>
      <c r="F313" s="11">
        <f>IF(OR($B313="",NOT(ISNUMBER($C313))),"",COUNTIFS($A$5:$A$1668,$A313,$C$5:$C$1668,"&gt;0"))</f>
        <v/>
      </c>
      <c r="G313" s="11">
        <f>IF(OR($B313="",NOT(ISNUMBER($C313))),"",IF($D313&lt;&gt;"",ROUND(Points!$B$6*IF($F313&lt;Points!$H$4,Points!$H$5,1),0),ROUND(Points!$B$6*IF($F313&lt;=1,1,Points!$H$7+(1-Points!$H$7)*((($F313-$E313)*(($F313-$E313)+1)/2)^2-((($F313-$E313-COUNTIFS($A$5:$A$1668,$A313,$C$5:$C$1668,$C313)+1)-1)*($F313-$E313-COUNTIFS($A$5:$A$1668,$A313,$C$5:$C$1668,$C313)+1)/2)^2)/(COUNTIFS($A$5:$A$1668,$A313,$C$5:$C$1668,$C313)*($F313-1)^3))*IF($F313&lt;Points!$H$4,Points!$H$5,1),0)))</f>
        <v/>
      </c>
      <c r="H313" s="11">
        <f>IF($G313="","",COUNTIFS($B$5:$B$1668,$B313,$G$5:$G$1668,"&gt;"&amp;$G313)+COUNTIFS($B$4:$B312,$B313,$G$4:$G312,$G313)+1)</f>
        <v/>
      </c>
      <c r="I313" s="11">
        <f>IF($G313="","",IF($H313&lt;=Points!$H$6,$G313,0))</f>
        <v/>
      </c>
      <c r="J313" s="11">
        <f>IF($B313="","",IF(COUNTIF(Players!$A$2:$A$500,$B313)=0,"Player is not on the Players tab",IF(NOT(ISNUMBER($C313)),"Enter a gross score",IF(COUNTIFS($A$5:$A$1668,$A313,$B$5:$B$1668,$B313)&gt;1,"Player is listed twice this week",IF(AND($D313&lt;&gt;"",COUNTIFS($A$5:$A$1668,$A313,$D$5:$D$1668,$D313)&gt;1),"Two players picked as "&amp;$D313,IF(COUNTIFS($A$5:$A$1668,$A313,$D$5:$D$1668,"Gross winner")=0,"Pick this week's gross winner",IF(COUNTIFS($A$5:$A$1668,$A313,$D$5:$D$1668,"Net winner")=0,"Pick this week's net winner","OK")))))))</f>
        <v/>
      </c>
    </row>
    <row r="314" outlineLevel="1">
      <c r="A314" s="13" t="n">
        <v>46456</v>
      </c>
      <c r="E314" s="11">
        <f>IF(OR($B314="",NOT(ISNUMBER($C314))),"",COUNTIFS($A$5:$A$1668,$A314,$C$5:$C$1668,"&lt;"&amp;$C314)+1)</f>
        <v/>
      </c>
      <c r="F314" s="11">
        <f>IF(OR($B314="",NOT(ISNUMBER($C314))),"",COUNTIFS($A$5:$A$1668,$A314,$C$5:$C$1668,"&gt;0"))</f>
        <v/>
      </c>
      <c r="G314" s="11">
        <f>IF(OR($B314="",NOT(ISNUMBER($C314))),"",IF($D314&lt;&gt;"",ROUND(Points!$B$6*IF($F314&lt;Points!$H$4,Points!$H$5,1),0),ROUND(Points!$B$6*IF($F314&lt;=1,1,Points!$H$7+(1-Points!$H$7)*((($F314-$E314)*(($F314-$E314)+1)/2)^2-((($F314-$E314-COUNTIFS($A$5:$A$1668,$A314,$C$5:$C$1668,$C314)+1)-1)*($F314-$E314-COUNTIFS($A$5:$A$1668,$A314,$C$5:$C$1668,$C314)+1)/2)^2)/(COUNTIFS($A$5:$A$1668,$A314,$C$5:$C$1668,$C314)*($F314-1)^3))*IF($F314&lt;Points!$H$4,Points!$H$5,1),0)))</f>
        <v/>
      </c>
      <c r="H314" s="11">
        <f>IF($G314="","",COUNTIFS($B$5:$B$1668,$B314,$G$5:$G$1668,"&gt;"&amp;$G314)+COUNTIFS($B$4:$B313,$B314,$G$4:$G313,$G314)+1)</f>
        <v/>
      </c>
      <c r="I314" s="11">
        <f>IF($G314="","",IF($H314&lt;=Points!$H$6,$G314,0))</f>
        <v/>
      </c>
      <c r="J314" s="11">
        <f>IF($B314="","",IF(COUNTIF(Players!$A$2:$A$500,$B314)=0,"Player is not on the Players tab",IF(NOT(ISNUMBER($C314)),"Enter a gross score",IF(COUNTIFS($A$5:$A$1668,$A314,$B$5:$B$1668,$B314)&gt;1,"Player is listed twice this week",IF(AND($D314&lt;&gt;"",COUNTIFS($A$5:$A$1668,$A314,$D$5:$D$1668,$D314)&gt;1),"Two players picked as "&amp;$D314,IF(COUNTIFS($A$5:$A$1668,$A314,$D$5:$D$1668,"Gross winner")=0,"Pick this week's gross winner",IF(COUNTIFS($A$5:$A$1668,$A314,$D$5:$D$1668,"Net winner")=0,"Pick this week's net winner","OK")))))))</f>
        <v/>
      </c>
    </row>
    <row r="315" outlineLevel="1">
      <c r="A315" s="13" t="n">
        <v>46456</v>
      </c>
      <c r="E315" s="11">
        <f>IF(OR($B315="",NOT(ISNUMBER($C315))),"",COUNTIFS($A$5:$A$1668,$A315,$C$5:$C$1668,"&lt;"&amp;$C315)+1)</f>
        <v/>
      </c>
      <c r="F315" s="11">
        <f>IF(OR($B315="",NOT(ISNUMBER($C315))),"",COUNTIFS($A$5:$A$1668,$A315,$C$5:$C$1668,"&gt;0"))</f>
        <v/>
      </c>
      <c r="G315" s="11">
        <f>IF(OR($B315="",NOT(ISNUMBER($C315))),"",IF($D315&lt;&gt;"",ROUND(Points!$B$6*IF($F315&lt;Points!$H$4,Points!$H$5,1),0),ROUND(Points!$B$6*IF($F315&lt;=1,1,Points!$H$7+(1-Points!$H$7)*((($F315-$E315)*(($F315-$E315)+1)/2)^2-((($F315-$E315-COUNTIFS($A$5:$A$1668,$A315,$C$5:$C$1668,$C315)+1)-1)*($F315-$E315-COUNTIFS($A$5:$A$1668,$A315,$C$5:$C$1668,$C315)+1)/2)^2)/(COUNTIFS($A$5:$A$1668,$A315,$C$5:$C$1668,$C315)*($F315-1)^3))*IF($F315&lt;Points!$H$4,Points!$H$5,1),0)))</f>
        <v/>
      </c>
      <c r="H315" s="11">
        <f>IF($G315="","",COUNTIFS($B$5:$B$1668,$B315,$G$5:$G$1668,"&gt;"&amp;$G315)+COUNTIFS($B$4:$B314,$B315,$G$4:$G314,$G315)+1)</f>
        <v/>
      </c>
      <c r="I315" s="11">
        <f>IF($G315="","",IF($H315&lt;=Points!$H$6,$G315,0))</f>
        <v/>
      </c>
      <c r="J315" s="11">
        <f>IF($B315="","",IF(COUNTIF(Players!$A$2:$A$500,$B315)=0,"Player is not on the Players tab",IF(NOT(ISNUMBER($C315)),"Enter a gross score",IF(COUNTIFS($A$5:$A$1668,$A315,$B$5:$B$1668,$B315)&gt;1,"Player is listed twice this week",IF(AND($D315&lt;&gt;"",COUNTIFS($A$5:$A$1668,$A315,$D$5:$D$1668,$D315)&gt;1),"Two players picked as "&amp;$D315,IF(COUNTIFS($A$5:$A$1668,$A315,$D$5:$D$1668,"Gross winner")=0,"Pick this week's gross winner",IF(COUNTIFS($A$5:$A$1668,$A315,$D$5:$D$1668,"Net winner")=0,"Pick this week's net winner","OK")))))))</f>
        <v/>
      </c>
    </row>
    <row r="316" outlineLevel="1">
      <c r="A316" s="13" t="n">
        <v>46456</v>
      </c>
      <c r="E316" s="11">
        <f>IF(OR($B316="",NOT(ISNUMBER($C316))),"",COUNTIFS($A$5:$A$1668,$A316,$C$5:$C$1668,"&lt;"&amp;$C316)+1)</f>
        <v/>
      </c>
      <c r="F316" s="11">
        <f>IF(OR($B316="",NOT(ISNUMBER($C316))),"",COUNTIFS($A$5:$A$1668,$A316,$C$5:$C$1668,"&gt;0"))</f>
        <v/>
      </c>
      <c r="G316" s="11">
        <f>IF(OR($B316="",NOT(ISNUMBER($C316))),"",IF($D316&lt;&gt;"",ROUND(Points!$B$6*IF($F316&lt;Points!$H$4,Points!$H$5,1),0),ROUND(Points!$B$6*IF($F316&lt;=1,1,Points!$H$7+(1-Points!$H$7)*((($F316-$E316)*(($F316-$E316)+1)/2)^2-((($F316-$E316-COUNTIFS($A$5:$A$1668,$A316,$C$5:$C$1668,$C316)+1)-1)*($F316-$E316-COUNTIFS($A$5:$A$1668,$A316,$C$5:$C$1668,$C316)+1)/2)^2)/(COUNTIFS($A$5:$A$1668,$A316,$C$5:$C$1668,$C316)*($F316-1)^3))*IF($F316&lt;Points!$H$4,Points!$H$5,1),0)))</f>
        <v/>
      </c>
      <c r="H316" s="11">
        <f>IF($G316="","",COUNTIFS($B$5:$B$1668,$B316,$G$5:$G$1668,"&gt;"&amp;$G316)+COUNTIFS($B$4:$B315,$B316,$G$4:$G315,$G316)+1)</f>
        <v/>
      </c>
      <c r="I316" s="11">
        <f>IF($G316="","",IF($H316&lt;=Points!$H$6,$G316,0))</f>
        <v/>
      </c>
      <c r="J316" s="11">
        <f>IF($B316="","",IF(COUNTIF(Players!$A$2:$A$500,$B316)=0,"Player is not on the Players tab",IF(NOT(ISNUMBER($C316)),"Enter a gross score",IF(COUNTIFS($A$5:$A$1668,$A316,$B$5:$B$1668,$B316)&gt;1,"Player is listed twice this week",IF(AND($D316&lt;&gt;"",COUNTIFS($A$5:$A$1668,$A316,$D$5:$D$1668,$D316)&gt;1),"Two players picked as "&amp;$D316,IF(COUNTIFS($A$5:$A$1668,$A316,$D$5:$D$1668,"Gross winner")=0,"Pick this week's gross winner",IF(COUNTIFS($A$5:$A$1668,$A316,$D$5:$D$1668,"Net winner")=0,"Pick this week's net winner","OK")))))))</f>
        <v/>
      </c>
    </row>
    <row r="317" outlineLevel="1">
      <c r="A317" s="13" t="n">
        <v>46456</v>
      </c>
      <c r="E317" s="11">
        <f>IF(OR($B317="",NOT(ISNUMBER($C317))),"",COUNTIFS($A$5:$A$1668,$A317,$C$5:$C$1668,"&lt;"&amp;$C317)+1)</f>
        <v/>
      </c>
      <c r="F317" s="11">
        <f>IF(OR($B317="",NOT(ISNUMBER($C317))),"",COUNTIFS($A$5:$A$1668,$A317,$C$5:$C$1668,"&gt;0"))</f>
        <v/>
      </c>
      <c r="G317" s="11">
        <f>IF(OR($B317="",NOT(ISNUMBER($C317))),"",IF($D317&lt;&gt;"",ROUND(Points!$B$6*IF($F317&lt;Points!$H$4,Points!$H$5,1),0),ROUND(Points!$B$6*IF($F317&lt;=1,1,Points!$H$7+(1-Points!$H$7)*((($F317-$E317)*(($F317-$E317)+1)/2)^2-((($F317-$E317-COUNTIFS($A$5:$A$1668,$A317,$C$5:$C$1668,$C317)+1)-1)*($F317-$E317-COUNTIFS($A$5:$A$1668,$A317,$C$5:$C$1668,$C317)+1)/2)^2)/(COUNTIFS($A$5:$A$1668,$A317,$C$5:$C$1668,$C317)*($F317-1)^3))*IF($F317&lt;Points!$H$4,Points!$H$5,1),0)))</f>
        <v/>
      </c>
      <c r="H317" s="11">
        <f>IF($G317="","",COUNTIFS($B$5:$B$1668,$B317,$G$5:$G$1668,"&gt;"&amp;$G317)+COUNTIFS($B$4:$B316,$B317,$G$4:$G316,$G317)+1)</f>
        <v/>
      </c>
      <c r="I317" s="11">
        <f>IF($G317="","",IF($H317&lt;=Points!$H$6,$G317,0))</f>
        <v/>
      </c>
      <c r="J317" s="11">
        <f>IF($B317="","",IF(COUNTIF(Players!$A$2:$A$500,$B317)=0,"Player is not on the Players tab",IF(NOT(ISNUMBER($C317)),"Enter a gross score",IF(COUNTIFS($A$5:$A$1668,$A317,$B$5:$B$1668,$B317)&gt;1,"Player is listed twice this week",IF(AND($D317&lt;&gt;"",COUNTIFS($A$5:$A$1668,$A317,$D$5:$D$1668,$D317)&gt;1),"Two players picked as "&amp;$D317,IF(COUNTIFS($A$5:$A$1668,$A317,$D$5:$D$1668,"Gross winner")=0,"Pick this week's gross winner",IF(COUNTIFS($A$5:$A$1668,$A317,$D$5:$D$1668,"Net winner")=0,"Pick this week's net winner","OK")))))))</f>
        <v/>
      </c>
    </row>
    <row r="318" outlineLevel="1">
      <c r="A318" s="13" t="n">
        <v>46456</v>
      </c>
      <c r="E318" s="11">
        <f>IF(OR($B318="",NOT(ISNUMBER($C318))),"",COUNTIFS($A$5:$A$1668,$A318,$C$5:$C$1668,"&lt;"&amp;$C318)+1)</f>
        <v/>
      </c>
      <c r="F318" s="11">
        <f>IF(OR($B318="",NOT(ISNUMBER($C318))),"",COUNTIFS($A$5:$A$1668,$A318,$C$5:$C$1668,"&gt;0"))</f>
        <v/>
      </c>
      <c r="G318" s="11">
        <f>IF(OR($B318="",NOT(ISNUMBER($C318))),"",IF($D318&lt;&gt;"",ROUND(Points!$B$6*IF($F318&lt;Points!$H$4,Points!$H$5,1),0),ROUND(Points!$B$6*IF($F318&lt;=1,1,Points!$H$7+(1-Points!$H$7)*((($F318-$E318)*(($F318-$E318)+1)/2)^2-((($F318-$E318-COUNTIFS($A$5:$A$1668,$A318,$C$5:$C$1668,$C318)+1)-1)*($F318-$E318-COUNTIFS($A$5:$A$1668,$A318,$C$5:$C$1668,$C318)+1)/2)^2)/(COUNTIFS($A$5:$A$1668,$A318,$C$5:$C$1668,$C318)*($F318-1)^3))*IF($F318&lt;Points!$H$4,Points!$H$5,1),0)))</f>
        <v/>
      </c>
      <c r="H318" s="11">
        <f>IF($G318="","",COUNTIFS($B$5:$B$1668,$B318,$G$5:$G$1668,"&gt;"&amp;$G318)+COUNTIFS($B$4:$B317,$B318,$G$4:$G317,$G318)+1)</f>
        <v/>
      </c>
      <c r="I318" s="11">
        <f>IF($G318="","",IF($H318&lt;=Points!$H$6,$G318,0))</f>
        <v/>
      </c>
      <c r="J318" s="11">
        <f>IF($B318="","",IF(COUNTIF(Players!$A$2:$A$500,$B318)=0,"Player is not on the Players tab",IF(NOT(ISNUMBER($C318)),"Enter a gross score",IF(COUNTIFS($A$5:$A$1668,$A318,$B$5:$B$1668,$B318)&gt;1,"Player is listed twice this week",IF(AND($D318&lt;&gt;"",COUNTIFS($A$5:$A$1668,$A318,$D$5:$D$1668,$D318)&gt;1),"Two players picked as "&amp;$D318,IF(COUNTIFS($A$5:$A$1668,$A318,$D$5:$D$1668,"Gross winner")=0,"Pick this week's gross winner",IF(COUNTIFS($A$5:$A$1668,$A318,$D$5:$D$1668,"Net winner")=0,"Pick this week's net winner","OK")))))))</f>
        <v/>
      </c>
    </row>
    <row r="319" outlineLevel="1">
      <c r="A319" s="13" t="n">
        <v>46456</v>
      </c>
      <c r="E319" s="11">
        <f>IF(OR($B319="",NOT(ISNUMBER($C319))),"",COUNTIFS($A$5:$A$1668,$A319,$C$5:$C$1668,"&lt;"&amp;$C319)+1)</f>
        <v/>
      </c>
      <c r="F319" s="11">
        <f>IF(OR($B319="",NOT(ISNUMBER($C319))),"",COUNTIFS($A$5:$A$1668,$A319,$C$5:$C$1668,"&gt;0"))</f>
        <v/>
      </c>
      <c r="G319" s="11">
        <f>IF(OR($B319="",NOT(ISNUMBER($C319))),"",IF($D319&lt;&gt;"",ROUND(Points!$B$6*IF($F319&lt;Points!$H$4,Points!$H$5,1),0),ROUND(Points!$B$6*IF($F319&lt;=1,1,Points!$H$7+(1-Points!$H$7)*((($F319-$E319)*(($F319-$E319)+1)/2)^2-((($F319-$E319-COUNTIFS($A$5:$A$1668,$A319,$C$5:$C$1668,$C319)+1)-1)*($F319-$E319-COUNTIFS($A$5:$A$1668,$A319,$C$5:$C$1668,$C319)+1)/2)^2)/(COUNTIFS($A$5:$A$1668,$A319,$C$5:$C$1668,$C319)*($F319-1)^3))*IF($F319&lt;Points!$H$4,Points!$H$5,1),0)))</f>
        <v/>
      </c>
      <c r="H319" s="11">
        <f>IF($G319="","",COUNTIFS($B$5:$B$1668,$B319,$G$5:$G$1668,"&gt;"&amp;$G319)+COUNTIFS($B$4:$B318,$B319,$G$4:$G318,$G319)+1)</f>
        <v/>
      </c>
      <c r="I319" s="11">
        <f>IF($G319="","",IF($H319&lt;=Points!$H$6,$G319,0))</f>
        <v/>
      </c>
      <c r="J319" s="11">
        <f>IF($B319="","",IF(COUNTIF(Players!$A$2:$A$500,$B319)=0,"Player is not on the Players tab",IF(NOT(ISNUMBER($C319)),"Enter a gross score",IF(COUNTIFS($A$5:$A$1668,$A319,$B$5:$B$1668,$B319)&gt;1,"Player is listed twice this week",IF(AND($D319&lt;&gt;"",COUNTIFS($A$5:$A$1668,$A319,$D$5:$D$1668,$D319)&gt;1),"Two players picked as "&amp;$D319,IF(COUNTIFS($A$5:$A$1668,$A319,$D$5:$D$1668,"Gross winner")=0,"Pick this week's gross winner",IF(COUNTIFS($A$5:$A$1668,$A319,$D$5:$D$1668,"Net winner")=0,"Pick this week's net winner","OK")))))))</f>
        <v/>
      </c>
    </row>
    <row r="320" outlineLevel="1">
      <c r="A320" s="13" t="n">
        <v>46456</v>
      </c>
      <c r="E320" s="11">
        <f>IF(OR($B320="",NOT(ISNUMBER($C320))),"",COUNTIFS($A$5:$A$1668,$A320,$C$5:$C$1668,"&lt;"&amp;$C320)+1)</f>
        <v/>
      </c>
      <c r="F320" s="11">
        <f>IF(OR($B320="",NOT(ISNUMBER($C320))),"",COUNTIFS($A$5:$A$1668,$A320,$C$5:$C$1668,"&gt;0"))</f>
        <v/>
      </c>
      <c r="G320" s="11">
        <f>IF(OR($B320="",NOT(ISNUMBER($C320))),"",IF($D320&lt;&gt;"",ROUND(Points!$B$6*IF($F320&lt;Points!$H$4,Points!$H$5,1),0),ROUND(Points!$B$6*IF($F320&lt;=1,1,Points!$H$7+(1-Points!$H$7)*((($F320-$E320)*(($F320-$E320)+1)/2)^2-((($F320-$E320-COUNTIFS($A$5:$A$1668,$A320,$C$5:$C$1668,$C320)+1)-1)*($F320-$E320-COUNTIFS($A$5:$A$1668,$A320,$C$5:$C$1668,$C320)+1)/2)^2)/(COUNTIFS($A$5:$A$1668,$A320,$C$5:$C$1668,$C320)*($F320-1)^3))*IF($F320&lt;Points!$H$4,Points!$H$5,1),0)))</f>
        <v/>
      </c>
      <c r="H320" s="11">
        <f>IF($G320="","",COUNTIFS($B$5:$B$1668,$B320,$G$5:$G$1668,"&gt;"&amp;$G320)+COUNTIFS($B$4:$B319,$B320,$G$4:$G319,$G320)+1)</f>
        <v/>
      </c>
      <c r="I320" s="11">
        <f>IF($G320="","",IF($H320&lt;=Points!$H$6,$G320,0))</f>
        <v/>
      </c>
      <c r="J320" s="11">
        <f>IF($B320="","",IF(COUNTIF(Players!$A$2:$A$500,$B320)=0,"Player is not on the Players tab",IF(NOT(ISNUMBER($C320)),"Enter a gross score",IF(COUNTIFS($A$5:$A$1668,$A320,$B$5:$B$1668,$B320)&gt;1,"Player is listed twice this week",IF(AND($D320&lt;&gt;"",COUNTIFS($A$5:$A$1668,$A320,$D$5:$D$1668,$D320)&gt;1),"Two players picked as "&amp;$D320,IF(COUNTIFS($A$5:$A$1668,$A320,$D$5:$D$1668,"Gross winner")=0,"Pick this week's gross winner",IF(COUNTIFS($A$5:$A$1668,$A320,$D$5:$D$1668,"Net winner")=0,"Pick this week's net winner","OK")))))))</f>
        <v/>
      </c>
    </row>
    <row r="321" outlineLevel="1">
      <c r="A321" s="13" t="n">
        <v>46456</v>
      </c>
      <c r="E321" s="11">
        <f>IF(OR($B321="",NOT(ISNUMBER($C321))),"",COUNTIFS($A$5:$A$1668,$A321,$C$5:$C$1668,"&lt;"&amp;$C321)+1)</f>
        <v/>
      </c>
      <c r="F321" s="11">
        <f>IF(OR($B321="",NOT(ISNUMBER($C321))),"",COUNTIFS($A$5:$A$1668,$A321,$C$5:$C$1668,"&gt;0"))</f>
        <v/>
      </c>
      <c r="G321" s="11">
        <f>IF(OR($B321="",NOT(ISNUMBER($C321))),"",IF($D321&lt;&gt;"",ROUND(Points!$B$6*IF($F321&lt;Points!$H$4,Points!$H$5,1),0),ROUND(Points!$B$6*IF($F321&lt;=1,1,Points!$H$7+(1-Points!$H$7)*((($F321-$E321)*(($F321-$E321)+1)/2)^2-((($F321-$E321-COUNTIFS($A$5:$A$1668,$A321,$C$5:$C$1668,$C321)+1)-1)*($F321-$E321-COUNTIFS($A$5:$A$1668,$A321,$C$5:$C$1668,$C321)+1)/2)^2)/(COUNTIFS($A$5:$A$1668,$A321,$C$5:$C$1668,$C321)*($F321-1)^3))*IF($F321&lt;Points!$H$4,Points!$H$5,1),0)))</f>
        <v/>
      </c>
      <c r="H321" s="11">
        <f>IF($G321="","",COUNTIFS($B$5:$B$1668,$B321,$G$5:$G$1668,"&gt;"&amp;$G321)+COUNTIFS($B$4:$B320,$B321,$G$4:$G320,$G321)+1)</f>
        <v/>
      </c>
      <c r="I321" s="11">
        <f>IF($G321="","",IF($H321&lt;=Points!$H$6,$G321,0))</f>
        <v/>
      </c>
      <c r="J321" s="11">
        <f>IF($B321="","",IF(COUNTIF(Players!$A$2:$A$500,$B321)=0,"Player is not on the Players tab",IF(NOT(ISNUMBER($C321)),"Enter a gross score",IF(COUNTIFS($A$5:$A$1668,$A321,$B$5:$B$1668,$B321)&gt;1,"Player is listed twice this week",IF(AND($D321&lt;&gt;"",COUNTIFS($A$5:$A$1668,$A321,$D$5:$D$1668,$D321)&gt;1),"Two players picked as "&amp;$D321,IF(COUNTIFS($A$5:$A$1668,$A321,$D$5:$D$1668,"Gross winner")=0,"Pick this week's gross winner",IF(COUNTIFS($A$5:$A$1668,$A321,$D$5:$D$1668,"Net winner")=0,"Pick this week's net winner","OK")))))))</f>
        <v/>
      </c>
    </row>
    <row r="322" outlineLevel="1">
      <c r="A322" s="13" t="n">
        <v>46456</v>
      </c>
      <c r="E322" s="11">
        <f>IF(OR($B322="",NOT(ISNUMBER($C322))),"",COUNTIFS($A$5:$A$1668,$A322,$C$5:$C$1668,"&lt;"&amp;$C322)+1)</f>
        <v/>
      </c>
      <c r="F322" s="11">
        <f>IF(OR($B322="",NOT(ISNUMBER($C322))),"",COUNTIFS($A$5:$A$1668,$A322,$C$5:$C$1668,"&gt;0"))</f>
        <v/>
      </c>
      <c r="G322" s="11">
        <f>IF(OR($B322="",NOT(ISNUMBER($C322))),"",IF($D322&lt;&gt;"",ROUND(Points!$B$6*IF($F322&lt;Points!$H$4,Points!$H$5,1),0),ROUND(Points!$B$6*IF($F322&lt;=1,1,Points!$H$7+(1-Points!$H$7)*((($F322-$E322)*(($F322-$E322)+1)/2)^2-((($F322-$E322-COUNTIFS($A$5:$A$1668,$A322,$C$5:$C$1668,$C322)+1)-1)*($F322-$E322-COUNTIFS($A$5:$A$1668,$A322,$C$5:$C$1668,$C322)+1)/2)^2)/(COUNTIFS($A$5:$A$1668,$A322,$C$5:$C$1668,$C322)*($F322-1)^3))*IF($F322&lt;Points!$H$4,Points!$H$5,1),0)))</f>
        <v/>
      </c>
      <c r="H322" s="11">
        <f>IF($G322="","",COUNTIFS($B$5:$B$1668,$B322,$G$5:$G$1668,"&gt;"&amp;$G322)+COUNTIFS($B$4:$B321,$B322,$G$4:$G321,$G322)+1)</f>
        <v/>
      </c>
      <c r="I322" s="11">
        <f>IF($G322="","",IF($H322&lt;=Points!$H$6,$G322,0))</f>
        <v/>
      </c>
      <c r="J322" s="11">
        <f>IF($B322="","",IF(COUNTIF(Players!$A$2:$A$500,$B322)=0,"Player is not on the Players tab",IF(NOT(ISNUMBER($C322)),"Enter a gross score",IF(COUNTIFS($A$5:$A$1668,$A322,$B$5:$B$1668,$B322)&gt;1,"Player is listed twice this week",IF(AND($D322&lt;&gt;"",COUNTIFS($A$5:$A$1668,$A322,$D$5:$D$1668,$D322)&gt;1),"Two players picked as "&amp;$D322,IF(COUNTIFS($A$5:$A$1668,$A322,$D$5:$D$1668,"Gross winner")=0,"Pick this week's gross winner",IF(COUNTIFS($A$5:$A$1668,$A322,$D$5:$D$1668,"Net winner")=0,"Pick this week's net winner","OK")))))))</f>
        <v/>
      </c>
    </row>
    <row r="323" outlineLevel="1">
      <c r="A323" s="13" t="n">
        <v>46456</v>
      </c>
      <c r="E323" s="11">
        <f>IF(OR($B323="",NOT(ISNUMBER($C323))),"",COUNTIFS($A$5:$A$1668,$A323,$C$5:$C$1668,"&lt;"&amp;$C323)+1)</f>
        <v/>
      </c>
      <c r="F323" s="11">
        <f>IF(OR($B323="",NOT(ISNUMBER($C323))),"",COUNTIFS($A$5:$A$1668,$A323,$C$5:$C$1668,"&gt;0"))</f>
        <v/>
      </c>
      <c r="G323" s="11">
        <f>IF(OR($B323="",NOT(ISNUMBER($C323))),"",IF($D323&lt;&gt;"",ROUND(Points!$B$6*IF($F323&lt;Points!$H$4,Points!$H$5,1),0),ROUND(Points!$B$6*IF($F323&lt;=1,1,Points!$H$7+(1-Points!$H$7)*((($F323-$E323)*(($F323-$E323)+1)/2)^2-((($F323-$E323-COUNTIFS($A$5:$A$1668,$A323,$C$5:$C$1668,$C323)+1)-1)*($F323-$E323-COUNTIFS($A$5:$A$1668,$A323,$C$5:$C$1668,$C323)+1)/2)^2)/(COUNTIFS($A$5:$A$1668,$A323,$C$5:$C$1668,$C323)*($F323-1)^3))*IF($F323&lt;Points!$H$4,Points!$H$5,1),0)))</f>
        <v/>
      </c>
      <c r="H323" s="11">
        <f>IF($G323="","",COUNTIFS($B$5:$B$1668,$B323,$G$5:$G$1668,"&gt;"&amp;$G323)+COUNTIFS($B$4:$B322,$B323,$G$4:$G322,$G323)+1)</f>
        <v/>
      </c>
      <c r="I323" s="11">
        <f>IF($G323="","",IF($H323&lt;=Points!$H$6,$G323,0))</f>
        <v/>
      </c>
      <c r="J323" s="11">
        <f>IF($B323="","",IF(COUNTIF(Players!$A$2:$A$500,$B323)=0,"Player is not on the Players tab",IF(NOT(ISNUMBER($C323)),"Enter a gross score",IF(COUNTIFS($A$5:$A$1668,$A323,$B$5:$B$1668,$B323)&gt;1,"Player is listed twice this week",IF(AND($D323&lt;&gt;"",COUNTIFS($A$5:$A$1668,$A323,$D$5:$D$1668,$D323)&gt;1),"Two players picked as "&amp;$D323,IF(COUNTIFS($A$5:$A$1668,$A323,$D$5:$D$1668,"Gross winner")=0,"Pick this week's gross winner",IF(COUNTIFS($A$5:$A$1668,$A323,$D$5:$D$1668,"Net winner")=0,"Pick this week's net winner","OK")))))))</f>
        <v/>
      </c>
    </row>
    <row r="324" ht="10" customHeight="1"/>
    <row r="325" ht="22" customHeight="1">
      <c r="A325" s="12" t="inlineStr">
        <is>
          <t>Week 11  ·  Wednesday, Mar 17</t>
        </is>
      </c>
    </row>
    <row r="326" outlineLevel="1">
      <c r="A326" s="13" t="n">
        <v>46463</v>
      </c>
      <c r="E326" s="11">
        <f>IF(OR($B326="",NOT(ISNUMBER($C326))),"",COUNTIFS($A$5:$A$1668,$A326,$C$5:$C$1668,"&lt;"&amp;$C326)+1)</f>
        <v/>
      </c>
      <c r="F326" s="11">
        <f>IF(OR($B326="",NOT(ISNUMBER($C326))),"",COUNTIFS($A$5:$A$1668,$A326,$C$5:$C$1668,"&gt;0"))</f>
        <v/>
      </c>
      <c r="G326" s="11">
        <f>IF(OR($B326="",NOT(ISNUMBER($C326))),"",IF($D326&lt;&gt;"",ROUND(Points!$B$6*IF($F326&lt;Points!$H$4,Points!$H$5,1),0),ROUND(Points!$B$6*IF($F326&lt;=1,1,Points!$H$7+(1-Points!$H$7)*((($F326-$E326)*(($F326-$E326)+1)/2)^2-((($F326-$E326-COUNTIFS($A$5:$A$1668,$A326,$C$5:$C$1668,$C326)+1)-1)*($F326-$E326-COUNTIFS($A$5:$A$1668,$A326,$C$5:$C$1668,$C326)+1)/2)^2)/(COUNTIFS($A$5:$A$1668,$A326,$C$5:$C$1668,$C326)*($F326-1)^3))*IF($F326&lt;Points!$H$4,Points!$H$5,1),0)))</f>
        <v/>
      </c>
      <c r="H326" s="11">
        <f>IF($G326="","",COUNTIFS($B$5:$B$1668,$B326,$G$5:$G$1668,"&gt;"&amp;$G326)+COUNTIFS($B$4:$B325,$B326,$G$4:$G325,$G326)+1)</f>
        <v/>
      </c>
      <c r="I326" s="11">
        <f>IF($G326="","",IF($H326&lt;=Points!$H$6,$G326,0))</f>
        <v/>
      </c>
      <c r="J326" s="11">
        <f>IF($B326="","",IF(COUNTIF(Players!$A$2:$A$500,$B326)=0,"Player is not on the Players tab",IF(NOT(ISNUMBER($C326)),"Enter a gross score",IF(COUNTIFS($A$5:$A$1668,$A326,$B$5:$B$1668,$B326)&gt;1,"Player is listed twice this week",IF(AND($D326&lt;&gt;"",COUNTIFS($A$5:$A$1668,$A326,$D$5:$D$1668,$D326)&gt;1),"Two players picked as "&amp;$D326,IF(COUNTIFS($A$5:$A$1668,$A326,$D$5:$D$1668,"Gross winner")=0,"Pick this week's gross winner",IF(COUNTIFS($A$5:$A$1668,$A326,$D$5:$D$1668,"Net winner")=0,"Pick this week's net winner","OK")))))))</f>
        <v/>
      </c>
    </row>
    <row r="327" outlineLevel="1">
      <c r="A327" s="13" t="n">
        <v>46463</v>
      </c>
      <c r="E327" s="11">
        <f>IF(OR($B327="",NOT(ISNUMBER($C327))),"",COUNTIFS($A$5:$A$1668,$A327,$C$5:$C$1668,"&lt;"&amp;$C327)+1)</f>
        <v/>
      </c>
      <c r="F327" s="11">
        <f>IF(OR($B327="",NOT(ISNUMBER($C327))),"",COUNTIFS($A$5:$A$1668,$A327,$C$5:$C$1668,"&gt;0"))</f>
        <v/>
      </c>
      <c r="G327" s="11">
        <f>IF(OR($B327="",NOT(ISNUMBER($C327))),"",IF($D327&lt;&gt;"",ROUND(Points!$B$6*IF($F327&lt;Points!$H$4,Points!$H$5,1),0),ROUND(Points!$B$6*IF($F327&lt;=1,1,Points!$H$7+(1-Points!$H$7)*((($F327-$E327)*(($F327-$E327)+1)/2)^2-((($F327-$E327-COUNTIFS($A$5:$A$1668,$A327,$C$5:$C$1668,$C327)+1)-1)*($F327-$E327-COUNTIFS($A$5:$A$1668,$A327,$C$5:$C$1668,$C327)+1)/2)^2)/(COUNTIFS($A$5:$A$1668,$A327,$C$5:$C$1668,$C327)*($F327-1)^3))*IF($F327&lt;Points!$H$4,Points!$H$5,1),0)))</f>
        <v/>
      </c>
      <c r="H327" s="11">
        <f>IF($G327="","",COUNTIFS($B$5:$B$1668,$B327,$G$5:$G$1668,"&gt;"&amp;$G327)+COUNTIFS($B$4:$B326,$B327,$G$4:$G326,$G327)+1)</f>
        <v/>
      </c>
      <c r="I327" s="11">
        <f>IF($G327="","",IF($H327&lt;=Points!$H$6,$G327,0))</f>
        <v/>
      </c>
      <c r="J327" s="11">
        <f>IF($B327="","",IF(COUNTIF(Players!$A$2:$A$500,$B327)=0,"Player is not on the Players tab",IF(NOT(ISNUMBER($C327)),"Enter a gross score",IF(COUNTIFS($A$5:$A$1668,$A327,$B$5:$B$1668,$B327)&gt;1,"Player is listed twice this week",IF(AND($D327&lt;&gt;"",COUNTIFS($A$5:$A$1668,$A327,$D$5:$D$1668,$D327)&gt;1),"Two players picked as "&amp;$D327,IF(COUNTIFS($A$5:$A$1668,$A327,$D$5:$D$1668,"Gross winner")=0,"Pick this week's gross winner",IF(COUNTIFS($A$5:$A$1668,$A327,$D$5:$D$1668,"Net winner")=0,"Pick this week's net winner","OK")))))))</f>
        <v/>
      </c>
    </row>
    <row r="328" outlineLevel="1">
      <c r="A328" s="13" t="n">
        <v>46463</v>
      </c>
      <c r="E328" s="11">
        <f>IF(OR($B328="",NOT(ISNUMBER($C328))),"",COUNTIFS($A$5:$A$1668,$A328,$C$5:$C$1668,"&lt;"&amp;$C328)+1)</f>
        <v/>
      </c>
      <c r="F328" s="11">
        <f>IF(OR($B328="",NOT(ISNUMBER($C328))),"",COUNTIFS($A$5:$A$1668,$A328,$C$5:$C$1668,"&gt;0"))</f>
        <v/>
      </c>
      <c r="G328" s="11">
        <f>IF(OR($B328="",NOT(ISNUMBER($C328))),"",IF($D328&lt;&gt;"",ROUND(Points!$B$6*IF($F328&lt;Points!$H$4,Points!$H$5,1),0),ROUND(Points!$B$6*IF($F328&lt;=1,1,Points!$H$7+(1-Points!$H$7)*((($F328-$E328)*(($F328-$E328)+1)/2)^2-((($F328-$E328-COUNTIFS($A$5:$A$1668,$A328,$C$5:$C$1668,$C328)+1)-1)*($F328-$E328-COUNTIFS($A$5:$A$1668,$A328,$C$5:$C$1668,$C328)+1)/2)^2)/(COUNTIFS($A$5:$A$1668,$A328,$C$5:$C$1668,$C328)*($F328-1)^3))*IF($F328&lt;Points!$H$4,Points!$H$5,1),0)))</f>
        <v/>
      </c>
      <c r="H328" s="11">
        <f>IF($G328="","",COUNTIFS($B$5:$B$1668,$B328,$G$5:$G$1668,"&gt;"&amp;$G328)+COUNTIFS($B$4:$B327,$B328,$G$4:$G327,$G328)+1)</f>
        <v/>
      </c>
      <c r="I328" s="11">
        <f>IF($G328="","",IF($H328&lt;=Points!$H$6,$G328,0))</f>
        <v/>
      </c>
      <c r="J328" s="11">
        <f>IF($B328="","",IF(COUNTIF(Players!$A$2:$A$500,$B328)=0,"Player is not on the Players tab",IF(NOT(ISNUMBER($C328)),"Enter a gross score",IF(COUNTIFS($A$5:$A$1668,$A328,$B$5:$B$1668,$B328)&gt;1,"Player is listed twice this week",IF(AND($D328&lt;&gt;"",COUNTIFS($A$5:$A$1668,$A328,$D$5:$D$1668,$D328)&gt;1),"Two players picked as "&amp;$D328,IF(COUNTIFS($A$5:$A$1668,$A328,$D$5:$D$1668,"Gross winner")=0,"Pick this week's gross winner",IF(COUNTIFS($A$5:$A$1668,$A328,$D$5:$D$1668,"Net winner")=0,"Pick this week's net winner","OK")))))))</f>
        <v/>
      </c>
    </row>
    <row r="329" outlineLevel="1">
      <c r="A329" s="13" t="n">
        <v>46463</v>
      </c>
      <c r="E329" s="11">
        <f>IF(OR($B329="",NOT(ISNUMBER($C329))),"",COUNTIFS($A$5:$A$1668,$A329,$C$5:$C$1668,"&lt;"&amp;$C329)+1)</f>
        <v/>
      </c>
      <c r="F329" s="11">
        <f>IF(OR($B329="",NOT(ISNUMBER($C329))),"",COUNTIFS($A$5:$A$1668,$A329,$C$5:$C$1668,"&gt;0"))</f>
        <v/>
      </c>
      <c r="G329" s="11">
        <f>IF(OR($B329="",NOT(ISNUMBER($C329))),"",IF($D329&lt;&gt;"",ROUND(Points!$B$6*IF($F329&lt;Points!$H$4,Points!$H$5,1),0),ROUND(Points!$B$6*IF($F329&lt;=1,1,Points!$H$7+(1-Points!$H$7)*((($F329-$E329)*(($F329-$E329)+1)/2)^2-((($F329-$E329-COUNTIFS($A$5:$A$1668,$A329,$C$5:$C$1668,$C329)+1)-1)*($F329-$E329-COUNTIFS($A$5:$A$1668,$A329,$C$5:$C$1668,$C329)+1)/2)^2)/(COUNTIFS($A$5:$A$1668,$A329,$C$5:$C$1668,$C329)*($F329-1)^3))*IF($F329&lt;Points!$H$4,Points!$H$5,1),0)))</f>
        <v/>
      </c>
      <c r="H329" s="11">
        <f>IF($G329="","",COUNTIFS($B$5:$B$1668,$B329,$G$5:$G$1668,"&gt;"&amp;$G329)+COUNTIFS($B$4:$B328,$B329,$G$4:$G328,$G329)+1)</f>
        <v/>
      </c>
      <c r="I329" s="11">
        <f>IF($G329="","",IF($H329&lt;=Points!$H$6,$G329,0))</f>
        <v/>
      </c>
      <c r="J329" s="11">
        <f>IF($B329="","",IF(COUNTIF(Players!$A$2:$A$500,$B329)=0,"Player is not on the Players tab",IF(NOT(ISNUMBER($C329)),"Enter a gross score",IF(COUNTIFS($A$5:$A$1668,$A329,$B$5:$B$1668,$B329)&gt;1,"Player is listed twice this week",IF(AND($D329&lt;&gt;"",COUNTIFS($A$5:$A$1668,$A329,$D$5:$D$1668,$D329)&gt;1),"Two players picked as "&amp;$D329,IF(COUNTIFS($A$5:$A$1668,$A329,$D$5:$D$1668,"Gross winner")=0,"Pick this week's gross winner",IF(COUNTIFS($A$5:$A$1668,$A329,$D$5:$D$1668,"Net winner")=0,"Pick this week's net winner","OK")))))))</f>
        <v/>
      </c>
    </row>
    <row r="330" outlineLevel="1">
      <c r="A330" s="13" t="n">
        <v>46463</v>
      </c>
      <c r="E330" s="11">
        <f>IF(OR($B330="",NOT(ISNUMBER($C330))),"",COUNTIFS($A$5:$A$1668,$A330,$C$5:$C$1668,"&lt;"&amp;$C330)+1)</f>
        <v/>
      </c>
      <c r="F330" s="11">
        <f>IF(OR($B330="",NOT(ISNUMBER($C330))),"",COUNTIFS($A$5:$A$1668,$A330,$C$5:$C$1668,"&gt;0"))</f>
        <v/>
      </c>
      <c r="G330" s="11">
        <f>IF(OR($B330="",NOT(ISNUMBER($C330))),"",IF($D330&lt;&gt;"",ROUND(Points!$B$6*IF($F330&lt;Points!$H$4,Points!$H$5,1),0),ROUND(Points!$B$6*IF($F330&lt;=1,1,Points!$H$7+(1-Points!$H$7)*((($F330-$E330)*(($F330-$E330)+1)/2)^2-((($F330-$E330-COUNTIFS($A$5:$A$1668,$A330,$C$5:$C$1668,$C330)+1)-1)*($F330-$E330-COUNTIFS($A$5:$A$1668,$A330,$C$5:$C$1668,$C330)+1)/2)^2)/(COUNTIFS($A$5:$A$1668,$A330,$C$5:$C$1668,$C330)*($F330-1)^3))*IF($F330&lt;Points!$H$4,Points!$H$5,1),0)))</f>
        <v/>
      </c>
      <c r="H330" s="11">
        <f>IF($G330="","",COUNTIFS($B$5:$B$1668,$B330,$G$5:$G$1668,"&gt;"&amp;$G330)+COUNTIFS($B$4:$B329,$B330,$G$4:$G329,$G330)+1)</f>
        <v/>
      </c>
      <c r="I330" s="11">
        <f>IF($G330="","",IF($H330&lt;=Points!$H$6,$G330,0))</f>
        <v/>
      </c>
      <c r="J330" s="11">
        <f>IF($B330="","",IF(COUNTIF(Players!$A$2:$A$500,$B330)=0,"Player is not on the Players tab",IF(NOT(ISNUMBER($C330)),"Enter a gross score",IF(COUNTIFS($A$5:$A$1668,$A330,$B$5:$B$1668,$B330)&gt;1,"Player is listed twice this week",IF(AND($D330&lt;&gt;"",COUNTIFS($A$5:$A$1668,$A330,$D$5:$D$1668,$D330)&gt;1),"Two players picked as "&amp;$D330,IF(COUNTIFS($A$5:$A$1668,$A330,$D$5:$D$1668,"Gross winner")=0,"Pick this week's gross winner",IF(COUNTIFS($A$5:$A$1668,$A330,$D$5:$D$1668,"Net winner")=0,"Pick this week's net winner","OK")))))))</f>
        <v/>
      </c>
    </row>
    <row r="331" outlineLevel="1">
      <c r="A331" s="13" t="n">
        <v>46463</v>
      </c>
      <c r="E331" s="11">
        <f>IF(OR($B331="",NOT(ISNUMBER($C331))),"",COUNTIFS($A$5:$A$1668,$A331,$C$5:$C$1668,"&lt;"&amp;$C331)+1)</f>
        <v/>
      </c>
      <c r="F331" s="11">
        <f>IF(OR($B331="",NOT(ISNUMBER($C331))),"",COUNTIFS($A$5:$A$1668,$A331,$C$5:$C$1668,"&gt;0"))</f>
        <v/>
      </c>
      <c r="G331" s="11">
        <f>IF(OR($B331="",NOT(ISNUMBER($C331))),"",IF($D331&lt;&gt;"",ROUND(Points!$B$6*IF($F331&lt;Points!$H$4,Points!$H$5,1),0),ROUND(Points!$B$6*IF($F331&lt;=1,1,Points!$H$7+(1-Points!$H$7)*((($F331-$E331)*(($F331-$E331)+1)/2)^2-((($F331-$E331-COUNTIFS($A$5:$A$1668,$A331,$C$5:$C$1668,$C331)+1)-1)*($F331-$E331-COUNTIFS($A$5:$A$1668,$A331,$C$5:$C$1668,$C331)+1)/2)^2)/(COUNTIFS($A$5:$A$1668,$A331,$C$5:$C$1668,$C331)*($F331-1)^3))*IF($F331&lt;Points!$H$4,Points!$H$5,1),0)))</f>
        <v/>
      </c>
      <c r="H331" s="11">
        <f>IF($G331="","",COUNTIFS($B$5:$B$1668,$B331,$G$5:$G$1668,"&gt;"&amp;$G331)+COUNTIFS($B$4:$B330,$B331,$G$4:$G330,$G331)+1)</f>
        <v/>
      </c>
      <c r="I331" s="11">
        <f>IF($G331="","",IF($H331&lt;=Points!$H$6,$G331,0))</f>
        <v/>
      </c>
      <c r="J331" s="11">
        <f>IF($B331="","",IF(COUNTIF(Players!$A$2:$A$500,$B331)=0,"Player is not on the Players tab",IF(NOT(ISNUMBER($C331)),"Enter a gross score",IF(COUNTIFS($A$5:$A$1668,$A331,$B$5:$B$1668,$B331)&gt;1,"Player is listed twice this week",IF(AND($D331&lt;&gt;"",COUNTIFS($A$5:$A$1668,$A331,$D$5:$D$1668,$D331)&gt;1),"Two players picked as "&amp;$D331,IF(COUNTIFS($A$5:$A$1668,$A331,$D$5:$D$1668,"Gross winner")=0,"Pick this week's gross winner",IF(COUNTIFS($A$5:$A$1668,$A331,$D$5:$D$1668,"Net winner")=0,"Pick this week's net winner","OK")))))))</f>
        <v/>
      </c>
    </row>
    <row r="332" outlineLevel="1">
      <c r="A332" s="13" t="n">
        <v>46463</v>
      </c>
      <c r="E332" s="11">
        <f>IF(OR($B332="",NOT(ISNUMBER($C332))),"",COUNTIFS($A$5:$A$1668,$A332,$C$5:$C$1668,"&lt;"&amp;$C332)+1)</f>
        <v/>
      </c>
      <c r="F332" s="11">
        <f>IF(OR($B332="",NOT(ISNUMBER($C332))),"",COUNTIFS($A$5:$A$1668,$A332,$C$5:$C$1668,"&gt;0"))</f>
        <v/>
      </c>
      <c r="G332" s="11">
        <f>IF(OR($B332="",NOT(ISNUMBER($C332))),"",IF($D332&lt;&gt;"",ROUND(Points!$B$6*IF($F332&lt;Points!$H$4,Points!$H$5,1),0),ROUND(Points!$B$6*IF($F332&lt;=1,1,Points!$H$7+(1-Points!$H$7)*((($F332-$E332)*(($F332-$E332)+1)/2)^2-((($F332-$E332-COUNTIFS($A$5:$A$1668,$A332,$C$5:$C$1668,$C332)+1)-1)*($F332-$E332-COUNTIFS($A$5:$A$1668,$A332,$C$5:$C$1668,$C332)+1)/2)^2)/(COUNTIFS($A$5:$A$1668,$A332,$C$5:$C$1668,$C332)*($F332-1)^3))*IF($F332&lt;Points!$H$4,Points!$H$5,1),0)))</f>
        <v/>
      </c>
      <c r="H332" s="11">
        <f>IF($G332="","",COUNTIFS($B$5:$B$1668,$B332,$G$5:$G$1668,"&gt;"&amp;$G332)+COUNTIFS($B$4:$B331,$B332,$G$4:$G331,$G332)+1)</f>
        <v/>
      </c>
      <c r="I332" s="11">
        <f>IF($G332="","",IF($H332&lt;=Points!$H$6,$G332,0))</f>
        <v/>
      </c>
      <c r="J332" s="11">
        <f>IF($B332="","",IF(COUNTIF(Players!$A$2:$A$500,$B332)=0,"Player is not on the Players tab",IF(NOT(ISNUMBER($C332)),"Enter a gross score",IF(COUNTIFS($A$5:$A$1668,$A332,$B$5:$B$1668,$B332)&gt;1,"Player is listed twice this week",IF(AND($D332&lt;&gt;"",COUNTIFS($A$5:$A$1668,$A332,$D$5:$D$1668,$D332)&gt;1),"Two players picked as "&amp;$D332,IF(COUNTIFS($A$5:$A$1668,$A332,$D$5:$D$1668,"Gross winner")=0,"Pick this week's gross winner",IF(COUNTIFS($A$5:$A$1668,$A332,$D$5:$D$1668,"Net winner")=0,"Pick this week's net winner","OK")))))))</f>
        <v/>
      </c>
    </row>
    <row r="333" outlineLevel="1">
      <c r="A333" s="13" t="n">
        <v>46463</v>
      </c>
      <c r="E333" s="11">
        <f>IF(OR($B333="",NOT(ISNUMBER($C333))),"",COUNTIFS($A$5:$A$1668,$A333,$C$5:$C$1668,"&lt;"&amp;$C333)+1)</f>
        <v/>
      </c>
      <c r="F333" s="11">
        <f>IF(OR($B333="",NOT(ISNUMBER($C333))),"",COUNTIFS($A$5:$A$1668,$A333,$C$5:$C$1668,"&gt;0"))</f>
        <v/>
      </c>
      <c r="G333" s="11">
        <f>IF(OR($B333="",NOT(ISNUMBER($C333))),"",IF($D333&lt;&gt;"",ROUND(Points!$B$6*IF($F333&lt;Points!$H$4,Points!$H$5,1),0),ROUND(Points!$B$6*IF($F333&lt;=1,1,Points!$H$7+(1-Points!$H$7)*((($F333-$E333)*(($F333-$E333)+1)/2)^2-((($F333-$E333-COUNTIFS($A$5:$A$1668,$A333,$C$5:$C$1668,$C333)+1)-1)*($F333-$E333-COUNTIFS($A$5:$A$1668,$A333,$C$5:$C$1668,$C333)+1)/2)^2)/(COUNTIFS($A$5:$A$1668,$A333,$C$5:$C$1668,$C333)*($F333-1)^3))*IF($F333&lt;Points!$H$4,Points!$H$5,1),0)))</f>
        <v/>
      </c>
      <c r="H333" s="11">
        <f>IF($G333="","",COUNTIFS($B$5:$B$1668,$B333,$G$5:$G$1668,"&gt;"&amp;$G333)+COUNTIFS($B$4:$B332,$B333,$G$4:$G332,$G333)+1)</f>
        <v/>
      </c>
      <c r="I333" s="11">
        <f>IF($G333="","",IF($H333&lt;=Points!$H$6,$G333,0))</f>
        <v/>
      </c>
      <c r="J333" s="11">
        <f>IF($B333="","",IF(COUNTIF(Players!$A$2:$A$500,$B333)=0,"Player is not on the Players tab",IF(NOT(ISNUMBER($C333)),"Enter a gross score",IF(COUNTIFS($A$5:$A$1668,$A333,$B$5:$B$1668,$B333)&gt;1,"Player is listed twice this week",IF(AND($D333&lt;&gt;"",COUNTIFS($A$5:$A$1668,$A333,$D$5:$D$1668,$D333)&gt;1),"Two players picked as "&amp;$D333,IF(COUNTIFS($A$5:$A$1668,$A333,$D$5:$D$1668,"Gross winner")=0,"Pick this week's gross winner",IF(COUNTIFS($A$5:$A$1668,$A333,$D$5:$D$1668,"Net winner")=0,"Pick this week's net winner","OK")))))))</f>
        <v/>
      </c>
    </row>
    <row r="334" outlineLevel="1">
      <c r="A334" s="13" t="n">
        <v>46463</v>
      </c>
      <c r="E334" s="11">
        <f>IF(OR($B334="",NOT(ISNUMBER($C334))),"",COUNTIFS($A$5:$A$1668,$A334,$C$5:$C$1668,"&lt;"&amp;$C334)+1)</f>
        <v/>
      </c>
      <c r="F334" s="11">
        <f>IF(OR($B334="",NOT(ISNUMBER($C334))),"",COUNTIFS($A$5:$A$1668,$A334,$C$5:$C$1668,"&gt;0"))</f>
        <v/>
      </c>
      <c r="G334" s="11">
        <f>IF(OR($B334="",NOT(ISNUMBER($C334))),"",IF($D334&lt;&gt;"",ROUND(Points!$B$6*IF($F334&lt;Points!$H$4,Points!$H$5,1),0),ROUND(Points!$B$6*IF($F334&lt;=1,1,Points!$H$7+(1-Points!$H$7)*((($F334-$E334)*(($F334-$E334)+1)/2)^2-((($F334-$E334-COUNTIFS($A$5:$A$1668,$A334,$C$5:$C$1668,$C334)+1)-1)*($F334-$E334-COUNTIFS($A$5:$A$1668,$A334,$C$5:$C$1668,$C334)+1)/2)^2)/(COUNTIFS($A$5:$A$1668,$A334,$C$5:$C$1668,$C334)*($F334-1)^3))*IF($F334&lt;Points!$H$4,Points!$H$5,1),0)))</f>
        <v/>
      </c>
      <c r="H334" s="11">
        <f>IF($G334="","",COUNTIFS($B$5:$B$1668,$B334,$G$5:$G$1668,"&gt;"&amp;$G334)+COUNTIFS($B$4:$B333,$B334,$G$4:$G333,$G334)+1)</f>
        <v/>
      </c>
      <c r="I334" s="11">
        <f>IF($G334="","",IF($H334&lt;=Points!$H$6,$G334,0))</f>
        <v/>
      </c>
      <c r="J334" s="11">
        <f>IF($B334="","",IF(COUNTIF(Players!$A$2:$A$500,$B334)=0,"Player is not on the Players tab",IF(NOT(ISNUMBER($C334)),"Enter a gross score",IF(COUNTIFS($A$5:$A$1668,$A334,$B$5:$B$1668,$B334)&gt;1,"Player is listed twice this week",IF(AND($D334&lt;&gt;"",COUNTIFS($A$5:$A$1668,$A334,$D$5:$D$1668,$D334)&gt;1),"Two players picked as "&amp;$D334,IF(COUNTIFS($A$5:$A$1668,$A334,$D$5:$D$1668,"Gross winner")=0,"Pick this week's gross winner",IF(COUNTIFS($A$5:$A$1668,$A334,$D$5:$D$1668,"Net winner")=0,"Pick this week's net winner","OK")))))))</f>
        <v/>
      </c>
    </row>
    <row r="335" outlineLevel="1">
      <c r="A335" s="13" t="n">
        <v>46463</v>
      </c>
      <c r="E335" s="11">
        <f>IF(OR($B335="",NOT(ISNUMBER($C335))),"",COUNTIFS($A$5:$A$1668,$A335,$C$5:$C$1668,"&lt;"&amp;$C335)+1)</f>
        <v/>
      </c>
      <c r="F335" s="11">
        <f>IF(OR($B335="",NOT(ISNUMBER($C335))),"",COUNTIFS($A$5:$A$1668,$A335,$C$5:$C$1668,"&gt;0"))</f>
        <v/>
      </c>
      <c r="G335" s="11">
        <f>IF(OR($B335="",NOT(ISNUMBER($C335))),"",IF($D335&lt;&gt;"",ROUND(Points!$B$6*IF($F335&lt;Points!$H$4,Points!$H$5,1),0),ROUND(Points!$B$6*IF($F335&lt;=1,1,Points!$H$7+(1-Points!$H$7)*((($F335-$E335)*(($F335-$E335)+1)/2)^2-((($F335-$E335-COUNTIFS($A$5:$A$1668,$A335,$C$5:$C$1668,$C335)+1)-1)*($F335-$E335-COUNTIFS($A$5:$A$1668,$A335,$C$5:$C$1668,$C335)+1)/2)^2)/(COUNTIFS($A$5:$A$1668,$A335,$C$5:$C$1668,$C335)*($F335-1)^3))*IF($F335&lt;Points!$H$4,Points!$H$5,1),0)))</f>
        <v/>
      </c>
      <c r="H335" s="11">
        <f>IF($G335="","",COUNTIFS($B$5:$B$1668,$B335,$G$5:$G$1668,"&gt;"&amp;$G335)+COUNTIFS($B$4:$B334,$B335,$G$4:$G334,$G335)+1)</f>
        <v/>
      </c>
      <c r="I335" s="11">
        <f>IF($G335="","",IF($H335&lt;=Points!$H$6,$G335,0))</f>
        <v/>
      </c>
      <c r="J335" s="11">
        <f>IF($B335="","",IF(COUNTIF(Players!$A$2:$A$500,$B335)=0,"Player is not on the Players tab",IF(NOT(ISNUMBER($C335)),"Enter a gross score",IF(COUNTIFS($A$5:$A$1668,$A335,$B$5:$B$1668,$B335)&gt;1,"Player is listed twice this week",IF(AND($D335&lt;&gt;"",COUNTIFS($A$5:$A$1668,$A335,$D$5:$D$1668,$D335)&gt;1),"Two players picked as "&amp;$D335,IF(COUNTIFS($A$5:$A$1668,$A335,$D$5:$D$1668,"Gross winner")=0,"Pick this week's gross winner",IF(COUNTIFS($A$5:$A$1668,$A335,$D$5:$D$1668,"Net winner")=0,"Pick this week's net winner","OK")))))))</f>
        <v/>
      </c>
    </row>
    <row r="336" outlineLevel="1">
      <c r="A336" s="13" t="n">
        <v>46463</v>
      </c>
      <c r="E336" s="11">
        <f>IF(OR($B336="",NOT(ISNUMBER($C336))),"",COUNTIFS($A$5:$A$1668,$A336,$C$5:$C$1668,"&lt;"&amp;$C336)+1)</f>
        <v/>
      </c>
      <c r="F336" s="11">
        <f>IF(OR($B336="",NOT(ISNUMBER($C336))),"",COUNTIFS($A$5:$A$1668,$A336,$C$5:$C$1668,"&gt;0"))</f>
        <v/>
      </c>
      <c r="G336" s="11">
        <f>IF(OR($B336="",NOT(ISNUMBER($C336))),"",IF($D336&lt;&gt;"",ROUND(Points!$B$6*IF($F336&lt;Points!$H$4,Points!$H$5,1),0),ROUND(Points!$B$6*IF($F336&lt;=1,1,Points!$H$7+(1-Points!$H$7)*((($F336-$E336)*(($F336-$E336)+1)/2)^2-((($F336-$E336-COUNTIFS($A$5:$A$1668,$A336,$C$5:$C$1668,$C336)+1)-1)*($F336-$E336-COUNTIFS($A$5:$A$1668,$A336,$C$5:$C$1668,$C336)+1)/2)^2)/(COUNTIFS($A$5:$A$1668,$A336,$C$5:$C$1668,$C336)*($F336-1)^3))*IF($F336&lt;Points!$H$4,Points!$H$5,1),0)))</f>
        <v/>
      </c>
      <c r="H336" s="11">
        <f>IF($G336="","",COUNTIFS($B$5:$B$1668,$B336,$G$5:$G$1668,"&gt;"&amp;$G336)+COUNTIFS($B$4:$B335,$B336,$G$4:$G335,$G336)+1)</f>
        <v/>
      </c>
      <c r="I336" s="11">
        <f>IF($G336="","",IF($H336&lt;=Points!$H$6,$G336,0))</f>
        <v/>
      </c>
      <c r="J336" s="11">
        <f>IF($B336="","",IF(COUNTIF(Players!$A$2:$A$500,$B336)=0,"Player is not on the Players tab",IF(NOT(ISNUMBER($C336)),"Enter a gross score",IF(COUNTIFS($A$5:$A$1668,$A336,$B$5:$B$1668,$B336)&gt;1,"Player is listed twice this week",IF(AND($D336&lt;&gt;"",COUNTIFS($A$5:$A$1668,$A336,$D$5:$D$1668,$D336)&gt;1),"Two players picked as "&amp;$D336,IF(COUNTIFS($A$5:$A$1668,$A336,$D$5:$D$1668,"Gross winner")=0,"Pick this week's gross winner",IF(COUNTIFS($A$5:$A$1668,$A336,$D$5:$D$1668,"Net winner")=0,"Pick this week's net winner","OK")))))))</f>
        <v/>
      </c>
    </row>
    <row r="337" outlineLevel="1">
      <c r="A337" s="13" t="n">
        <v>46463</v>
      </c>
      <c r="E337" s="11">
        <f>IF(OR($B337="",NOT(ISNUMBER($C337))),"",COUNTIFS($A$5:$A$1668,$A337,$C$5:$C$1668,"&lt;"&amp;$C337)+1)</f>
        <v/>
      </c>
      <c r="F337" s="11">
        <f>IF(OR($B337="",NOT(ISNUMBER($C337))),"",COUNTIFS($A$5:$A$1668,$A337,$C$5:$C$1668,"&gt;0"))</f>
        <v/>
      </c>
      <c r="G337" s="11">
        <f>IF(OR($B337="",NOT(ISNUMBER($C337))),"",IF($D337&lt;&gt;"",ROUND(Points!$B$6*IF($F337&lt;Points!$H$4,Points!$H$5,1),0),ROUND(Points!$B$6*IF($F337&lt;=1,1,Points!$H$7+(1-Points!$H$7)*((($F337-$E337)*(($F337-$E337)+1)/2)^2-((($F337-$E337-COUNTIFS($A$5:$A$1668,$A337,$C$5:$C$1668,$C337)+1)-1)*($F337-$E337-COUNTIFS($A$5:$A$1668,$A337,$C$5:$C$1668,$C337)+1)/2)^2)/(COUNTIFS($A$5:$A$1668,$A337,$C$5:$C$1668,$C337)*($F337-1)^3))*IF($F337&lt;Points!$H$4,Points!$H$5,1),0)))</f>
        <v/>
      </c>
      <c r="H337" s="11">
        <f>IF($G337="","",COUNTIFS($B$5:$B$1668,$B337,$G$5:$G$1668,"&gt;"&amp;$G337)+COUNTIFS($B$4:$B336,$B337,$G$4:$G336,$G337)+1)</f>
        <v/>
      </c>
      <c r="I337" s="11">
        <f>IF($G337="","",IF($H337&lt;=Points!$H$6,$G337,0))</f>
        <v/>
      </c>
      <c r="J337" s="11">
        <f>IF($B337="","",IF(COUNTIF(Players!$A$2:$A$500,$B337)=0,"Player is not on the Players tab",IF(NOT(ISNUMBER($C337)),"Enter a gross score",IF(COUNTIFS($A$5:$A$1668,$A337,$B$5:$B$1668,$B337)&gt;1,"Player is listed twice this week",IF(AND($D337&lt;&gt;"",COUNTIFS($A$5:$A$1668,$A337,$D$5:$D$1668,$D337)&gt;1),"Two players picked as "&amp;$D337,IF(COUNTIFS($A$5:$A$1668,$A337,$D$5:$D$1668,"Gross winner")=0,"Pick this week's gross winner",IF(COUNTIFS($A$5:$A$1668,$A337,$D$5:$D$1668,"Net winner")=0,"Pick this week's net winner","OK")))))))</f>
        <v/>
      </c>
    </row>
    <row r="338" outlineLevel="1">
      <c r="A338" s="13" t="n">
        <v>46463</v>
      </c>
      <c r="E338" s="11">
        <f>IF(OR($B338="",NOT(ISNUMBER($C338))),"",COUNTIFS($A$5:$A$1668,$A338,$C$5:$C$1668,"&lt;"&amp;$C338)+1)</f>
        <v/>
      </c>
      <c r="F338" s="11">
        <f>IF(OR($B338="",NOT(ISNUMBER($C338))),"",COUNTIFS($A$5:$A$1668,$A338,$C$5:$C$1668,"&gt;0"))</f>
        <v/>
      </c>
      <c r="G338" s="11">
        <f>IF(OR($B338="",NOT(ISNUMBER($C338))),"",IF($D338&lt;&gt;"",ROUND(Points!$B$6*IF($F338&lt;Points!$H$4,Points!$H$5,1),0),ROUND(Points!$B$6*IF($F338&lt;=1,1,Points!$H$7+(1-Points!$H$7)*((($F338-$E338)*(($F338-$E338)+1)/2)^2-((($F338-$E338-COUNTIFS($A$5:$A$1668,$A338,$C$5:$C$1668,$C338)+1)-1)*($F338-$E338-COUNTIFS($A$5:$A$1668,$A338,$C$5:$C$1668,$C338)+1)/2)^2)/(COUNTIFS($A$5:$A$1668,$A338,$C$5:$C$1668,$C338)*($F338-1)^3))*IF($F338&lt;Points!$H$4,Points!$H$5,1),0)))</f>
        <v/>
      </c>
      <c r="H338" s="11">
        <f>IF($G338="","",COUNTIFS($B$5:$B$1668,$B338,$G$5:$G$1668,"&gt;"&amp;$G338)+COUNTIFS($B$4:$B337,$B338,$G$4:$G337,$G338)+1)</f>
        <v/>
      </c>
      <c r="I338" s="11">
        <f>IF($G338="","",IF($H338&lt;=Points!$H$6,$G338,0))</f>
        <v/>
      </c>
      <c r="J338" s="11">
        <f>IF($B338="","",IF(COUNTIF(Players!$A$2:$A$500,$B338)=0,"Player is not on the Players tab",IF(NOT(ISNUMBER($C338)),"Enter a gross score",IF(COUNTIFS($A$5:$A$1668,$A338,$B$5:$B$1668,$B338)&gt;1,"Player is listed twice this week",IF(AND($D338&lt;&gt;"",COUNTIFS($A$5:$A$1668,$A338,$D$5:$D$1668,$D338)&gt;1),"Two players picked as "&amp;$D338,IF(COUNTIFS($A$5:$A$1668,$A338,$D$5:$D$1668,"Gross winner")=0,"Pick this week's gross winner",IF(COUNTIFS($A$5:$A$1668,$A338,$D$5:$D$1668,"Net winner")=0,"Pick this week's net winner","OK")))))))</f>
        <v/>
      </c>
    </row>
    <row r="339" outlineLevel="1">
      <c r="A339" s="13" t="n">
        <v>46463</v>
      </c>
      <c r="E339" s="11">
        <f>IF(OR($B339="",NOT(ISNUMBER($C339))),"",COUNTIFS($A$5:$A$1668,$A339,$C$5:$C$1668,"&lt;"&amp;$C339)+1)</f>
        <v/>
      </c>
      <c r="F339" s="11">
        <f>IF(OR($B339="",NOT(ISNUMBER($C339))),"",COUNTIFS($A$5:$A$1668,$A339,$C$5:$C$1668,"&gt;0"))</f>
        <v/>
      </c>
      <c r="G339" s="11">
        <f>IF(OR($B339="",NOT(ISNUMBER($C339))),"",IF($D339&lt;&gt;"",ROUND(Points!$B$6*IF($F339&lt;Points!$H$4,Points!$H$5,1),0),ROUND(Points!$B$6*IF($F339&lt;=1,1,Points!$H$7+(1-Points!$H$7)*((($F339-$E339)*(($F339-$E339)+1)/2)^2-((($F339-$E339-COUNTIFS($A$5:$A$1668,$A339,$C$5:$C$1668,$C339)+1)-1)*($F339-$E339-COUNTIFS($A$5:$A$1668,$A339,$C$5:$C$1668,$C339)+1)/2)^2)/(COUNTIFS($A$5:$A$1668,$A339,$C$5:$C$1668,$C339)*($F339-1)^3))*IF($F339&lt;Points!$H$4,Points!$H$5,1),0)))</f>
        <v/>
      </c>
      <c r="H339" s="11">
        <f>IF($G339="","",COUNTIFS($B$5:$B$1668,$B339,$G$5:$G$1668,"&gt;"&amp;$G339)+COUNTIFS($B$4:$B338,$B339,$G$4:$G338,$G339)+1)</f>
        <v/>
      </c>
      <c r="I339" s="11">
        <f>IF($G339="","",IF($H339&lt;=Points!$H$6,$G339,0))</f>
        <v/>
      </c>
      <c r="J339" s="11">
        <f>IF($B339="","",IF(COUNTIF(Players!$A$2:$A$500,$B339)=0,"Player is not on the Players tab",IF(NOT(ISNUMBER($C339)),"Enter a gross score",IF(COUNTIFS($A$5:$A$1668,$A339,$B$5:$B$1668,$B339)&gt;1,"Player is listed twice this week",IF(AND($D339&lt;&gt;"",COUNTIFS($A$5:$A$1668,$A339,$D$5:$D$1668,$D339)&gt;1),"Two players picked as "&amp;$D339,IF(COUNTIFS($A$5:$A$1668,$A339,$D$5:$D$1668,"Gross winner")=0,"Pick this week's gross winner",IF(COUNTIFS($A$5:$A$1668,$A339,$D$5:$D$1668,"Net winner")=0,"Pick this week's net winner","OK")))))))</f>
        <v/>
      </c>
    </row>
    <row r="340" outlineLevel="1">
      <c r="A340" s="13" t="n">
        <v>46463</v>
      </c>
      <c r="E340" s="11">
        <f>IF(OR($B340="",NOT(ISNUMBER($C340))),"",COUNTIFS($A$5:$A$1668,$A340,$C$5:$C$1668,"&lt;"&amp;$C340)+1)</f>
        <v/>
      </c>
      <c r="F340" s="11">
        <f>IF(OR($B340="",NOT(ISNUMBER($C340))),"",COUNTIFS($A$5:$A$1668,$A340,$C$5:$C$1668,"&gt;0"))</f>
        <v/>
      </c>
      <c r="G340" s="11">
        <f>IF(OR($B340="",NOT(ISNUMBER($C340))),"",IF($D340&lt;&gt;"",ROUND(Points!$B$6*IF($F340&lt;Points!$H$4,Points!$H$5,1),0),ROUND(Points!$B$6*IF($F340&lt;=1,1,Points!$H$7+(1-Points!$H$7)*((($F340-$E340)*(($F340-$E340)+1)/2)^2-((($F340-$E340-COUNTIFS($A$5:$A$1668,$A340,$C$5:$C$1668,$C340)+1)-1)*($F340-$E340-COUNTIFS($A$5:$A$1668,$A340,$C$5:$C$1668,$C340)+1)/2)^2)/(COUNTIFS($A$5:$A$1668,$A340,$C$5:$C$1668,$C340)*($F340-1)^3))*IF($F340&lt;Points!$H$4,Points!$H$5,1),0)))</f>
        <v/>
      </c>
      <c r="H340" s="11">
        <f>IF($G340="","",COUNTIFS($B$5:$B$1668,$B340,$G$5:$G$1668,"&gt;"&amp;$G340)+COUNTIFS($B$4:$B339,$B340,$G$4:$G339,$G340)+1)</f>
        <v/>
      </c>
      <c r="I340" s="11">
        <f>IF($G340="","",IF($H340&lt;=Points!$H$6,$G340,0))</f>
        <v/>
      </c>
      <c r="J340" s="11">
        <f>IF($B340="","",IF(COUNTIF(Players!$A$2:$A$500,$B340)=0,"Player is not on the Players tab",IF(NOT(ISNUMBER($C340)),"Enter a gross score",IF(COUNTIFS($A$5:$A$1668,$A340,$B$5:$B$1668,$B340)&gt;1,"Player is listed twice this week",IF(AND($D340&lt;&gt;"",COUNTIFS($A$5:$A$1668,$A340,$D$5:$D$1668,$D340)&gt;1),"Two players picked as "&amp;$D340,IF(COUNTIFS($A$5:$A$1668,$A340,$D$5:$D$1668,"Gross winner")=0,"Pick this week's gross winner",IF(COUNTIFS($A$5:$A$1668,$A340,$D$5:$D$1668,"Net winner")=0,"Pick this week's net winner","OK")))))))</f>
        <v/>
      </c>
    </row>
    <row r="341" outlineLevel="1">
      <c r="A341" s="13" t="n">
        <v>46463</v>
      </c>
      <c r="E341" s="11">
        <f>IF(OR($B341="",NOT(ISNUMBER($C341))),"",COUNTIFS($A$5:$A$1668,$A341,$C$5:$C$1668,"&lt;"&amp;$C341)+1)</f>
        <v/>
      </c>
      <c r="F341" s="11">
        <f>IF(OR($B341="",NOT(ISNUMBER($C341))),"",COUNTIFS($A$5:$A$1668,$A341,$C$5:$C$1668,"&gt;0"))</f>
        <v/>
      </c>
      <c r="G341" s="11">
        <f>IF(OR($B341="",NOT(ISNUMBER($C341))),"",IF($D341&lt;&gt;"",ROUND(Points!$B$6*IF($F341&lt;Points!$H$4,Points!$H$5,1),0),ROUND(Points!$B$6*IF($F341&lt;=1,1,Points!$H$7+(1-Points!$H$7)*((($F341-$E341)*(($F341-$E341)+1)/2)^2-((($F341-$E341-COUNTIFS($A$5:$A$1668,$A341,$C$5:$C$1668,$C341)+1)-1)*($F341-$E341-COUNTIFS($A$5:$A$1668,$A341,$C$5:$C$1668,$C341)+1)/2)^2)/(COUNTIFS($A$5:$A$1668,$A341,$C$5:$C$1668,$C341)*($F341-1)^3))*IF($F341&lt;Points!$H$4,Points!$H$5,1),0)))</f>
        <v/>
      </c>
      <c r="H341" s="11">
        <f>IF($G341="","",COUNTIFS($B$5:$B$1668,$B341,$G$5:$G$1668,"&gt;"&amp;$G341)+COUNTIFS($B$4:$B340,$B341,$G$4:$G340,$G341)+1)</f>
        <v/>
      </c>
      <c r="I341" s="11">
        <f>IF($G341="","",IF($H341&lt;=Points!$H$6,$G341,0))</f>
        <v/>
      </c>
      <c r="J341" s="11">
        <f>IF($B341="","",IF(COUNTIF(Players!$A$2:$A$500,$B341)=0,"Player is not on the Players tab",IF(NOT(ISNUMBER($C341)),"Enter a gross score",IF(COUNTIFS($A$5:$A$1668,$A341,$B$5:$B$1668,$B341)&gt;1,"Player is listed twice this week",IF(AND($D341&lt;&gt;"",COUNTIFS($A$5:$A$1668,$A341,$D$5:$D$1668,$D341)&gt;1),"Two players picked as "&amp;$D341,IF(COUNTIFS($A$5:$A$1668,$A341,$D$5:$D$1668,"Gross winner")=0,"Pick this week's gross winner",IF(COUNTIFS($A$5:$A$1668,$A341,$D$5:$D$1668,"Net winner")=0,"Pick this week's net winner","OK")))))))</f>
        <v/>
      </c>
    </row>
    <row r="342" outlineLevel="1">
      <c r="A342" s="13" t="n">
        <v>46463</v>
      </c>
      <c r="E342" s="11">
        <f>IF(OR($B342="",NOT(ISNUMBER($C342))),"",COUNTIFS($A$5:$A$1668,$A342,$C$5:$C$1668,"&lt;"&amp;$C342)+1)</f>
        <v/>
      </c>
      <c r="F342" s="11">
        <f>IF(OR($B342="",NOT(ISNUMBER($C342))),"",COUNTIFS($A$5:$A$1668,$A342,$C$5:$C$1668,"&gt;0"))</f>
        <v/>
      </c>
      <c r="G342" s="11">
        <f>IF(OR($B342="",NOT(ISNUMBER($C342))),"",IF($D342&lt;&gt;"",ROUND(Points!$B$6*IF($F342&lt;Points!$H$4,Points!$H$5,1),0),ROUND(Points!$B$6*IF($F342&lt;=1,1,Points!$H$7+(1-Points!$H$7)*((($F342-$E342)*(($F342-$E342)+1)/2)^2-((($F342-$E342-COUNTIFS($A$5:$A$1668,$A342,$C$5:$C$1668,$C342)+1)-1)*($F342-$E342-COUNTIFS($A$5:$A$1668,$A342,$C$5:$C$1668,$C342)+1)/2)^2)/(COUNTIFS($A$5:$A$1668,$A342,$C$5:$C$1668,$C342)*($F342-1)^3))*IF($F342&lt;Points!$H$4,Points!$H$5,1),0)))</f>
        <v/>
      </c>
      <c r="H342" s="11">
        <f>IF($G342="","",COUNTIFS($B$5:$B$1668,$B342,$G$5:$G$1668,"&gt;"&amp;$G342)+COUNTIFS($B$4:$B341,$B342,$G$4:$G341,$G342)+1)</f>
        <v/>
      </c>
      <c r="I342" s="11">
        <f>IF($G342="","",IF($H342&lt;=Points!$H$6,$G342,0))</f>
        <v/>
      </c>
      <c r="J342" s="11">
        <f>IF($B342="","",IF(COUNTIF(Players!$A$2:$A$500,$B342)=0,"Player is not on the Players tab",IF(NOT(ISNUMBER($C342)),"Enter a gross score",IF(COUNTIFS($A$5:$A$1668,$A342,$B$5:$B$1668,$B342)&gt;1,"Player is listed twice this week",IF(AND($D342&lt;&gt;"",COUNTIFS($A$5:$A$1668,$A342,$D$5:$D$1668,$D342)&gt;1),"Two players picked as "&amp;$D342,IF(COUNTIFS($A$5:$A$1668,$A342,$D$5:$D$1668,"Gross winner")=0,"Pick this week's gross winner",IF(COUNTIFS($A$5:$A$1668,$A342,$D$5:$D$1668,"Net winner")=0,"Pick this week's net winner","OK")))))))</f>
        <v/>
      </c>
    </row>
    <row r="343" outlineLevel="1">
      <c r="A343" s="13" t="n">
        <v>46463</v>
      </c>
      <c r="E343" s="11">
        <f>IF(OR($B343="",NOT(ISNUMBER($C343))),"",COUNTIFS($A$5:$A$1668,$A343,$C$5:$C$1668,"&lt;"&amp;$C343)+1)</f>
        <v/>
      </c>
      <c r="F343" s="11">
        <f>IF(OR($B343="",NOT(ISNUMBER($C343))),"",COUNTIFS($A$5:$A$1668,$A343,$C$5:$C$1668,"&gt;0"))</f>
        <v/>
      </c>
      <c r="G343" s="11">
        <f>IF(OR($B343="",NOT(ISNUMBER($C343))),"",IF($D343&lt;&gt;"",ROUND(Points!$B$6*IF($F343&lt;Points!$H$4,Points!$H$5,1),0),ROUND(Points!$B$6*IF($F343&lt;=1,1,Points!$H$7+(1-Points!$H$7)*((($F343-$E343)*(($F343-$E343)+1)/2)^2-((($F343-$E343-COUNTIFS($A$5:$A$1668,$A343,$C$5:$C$1668,$C343)+1)-1)*($F343-$E343-COUNTIFS($A$5:$A$1668,$A343,$C$5:$C$1668,$C343)+1)/2)^2)/(COUNTIFS($A$5:$A$1668,$A343,$C$5:$C$1668,$C343)*($F343-1)^3))*IF($F343&lt;Points!$H$4,Points!$H$5,1),0)))</f>
        <v/>
      </c>
      <c r="H343" s="11">
        <f>IF($G343="","",COUNTIFS($B$5:$B$1668,$B343,$G$5:$G$1668,"&gt;"&amp;$G343)+COUNTIFS($B$4:$B342,$B343,$G$4:$G342,$G343)+1)</f>
        <v/>
      </c>
      <c r="I343" s="11">
        <f>IF($G343="","",IF($H343&lt;=Points!$H$6,$G343,0))</f>
        <v/>
      </c>
      <c r="J343" s="11">
        <f>IF($B343="","",IF(COUNTIF(Players!$A$2:$A$500,$B343)=0,"Player is not on the Players tab",IF(NOT(ISNUMBER($C343)),"Enter a gross score",IF(COUNTIFS($A$5:$A$1668,$A343,$B$5:$B$1668,$B343)&gt;1,"Player is listed twice this week",IF(AND($D343&lt;&gt;"",COUNTIFS($A$5:$A$1668,$A343,$D$5:$D$1668,$D343)&gt;1),"Two players picked as "&amp;$D343,IF(COUNTIFS($A$5:$A$1668,$A343,$D$5:$D$1668,"Gross winner")=0,"Pick this week's gross winner",IF(COUNTIFS($A$5:$A$1668,$A343,$D$5:$D$1668,"Net winner")=0,"Pick this week's net winner","OK")))))))</f>
        <v/>
      </c>
    </row>
    <row r="344" outlineLevel="1">
      <c r="A344" s="13" t="n">
        <v>46463</v>
      </c>
      <c r="E344" s="11">
        <f>IF(OR($B344="",NOT(ISNUMBER($C344))),"",COUNTIFS($A$5:$A$1668,$A344,$C$5:$C$1668,"&lt;"&amp;$C344)+1)</f>
        <v/>
      </c>
      <c r="F344" s="11">
        <f>IF(OR($B344="",NOT(ISNUMBER($C344))),"",COUNTIFS($A$5:$A$1668,$A344,$C$5:$C$1668,"&gt;0"))</f>
        <v/>
      </c>
      <c r="G344" s="11">
        <f>IF(OR($B344="",NOT(ISNUMBER($C344))),"",IF($D344&lt;&gt;"",ROUND(Points!$B$6*IF($F344&lt;Points!$H$4,Points!$H$5,1),0),ROUND(Points!$B$6*IF($F344&lt;=1,1,Points!$H$7+(1-Points!$H$7)*((($F344-$E344)*(($F344-$E344)+1)/2)^2-((($F344-$E344-COUNTIFS($A$5:$A$1668,$A344,$C$5:$C$1668,$C344)+1)-1)*($F344-$E344-COUNTIFS($A$5:$A$1668,$A344,$C$5:$C$1668,$C344)+1)/2)^2)/(COUNTIFS($A$5:$A$1668,$A344,$C$5:$C$1668,$C344)*($F344-1)^3))*IF($F344&lt;Points!$H$4,Points!$H$5,1),0)))</f>
        <v/>
      </c>
      <c r="H344" s="11">
        <f>IF($G344="","",COUNTIFS($B$5:$B$1668,$B344,$G$5:$G$1668,"&gt;"&amp;$G344)+COUNTIFS($B$4:$B343,$B344,$G$4:$G343,$G344)+1)</f>
        <v/>
      </c>
      <c r="I344" s="11">
        <f>IF($G344="","",IF($H344&lt;=Points!$H$6,$G344,0))</f>
        <v/>
      </c>
      <c r="J344" s="11">
        <f>IF($B344="","",IF(COUNTIF(Players!$A$2:$A$500,$B344)=0,"Player is not on the Players tab",IF(NOT(ISNUMBER($C344)),"Enter a gross score",IF(COUNTIFS($A$5:$A$1668,$A344,$B$5:$B$1668,$B344)&gt;1,"Player is listed twice this week",IF(AND($D344&lt;&gt;"",COUNTIFS($A$5:$A$1668,$A344,$D$5:$D$1668,$D344)&gt;1),"Two players picked as "&amp;$D344,IF(COUNTIFS($A$5:$A$1668,$A344,$D$5:$D$1668,"Gross winner")=0,"Pick this week's gross winner",IF(COUNTIFS($A$5:$A$1668,$A344,$D$5:$D$1668,"Net winner")=0,"Pick this week's net winner","OK")))))))</f>
        <v/>
      </c>
    </row>
    <row r="345" outlineLevel="1">
      <c r="A345" s="13" t="n">
        <v>46463</v>
      </c>
      <c r="E345" s="11">
        <f>IF(OR($B345="",NOT(ISNUMBER($C345))),"",COUNTIFS($A$5:$A$1668,$A345,$C$5:$C$1668,"&lt;"&amp;$C345)+1)</f>
        <v/>
      </c>
      <c r="F345" s="11">
        <f>IF(OR($B345="",NOT(ISNUMBER($C345))),"",COUNTIFS($A$5:$A$1668,$A345,$C$5:$C$1668,"&gt;0"))</f>
        <v/>
      </c>
      <c r="G345" s="11">
        <f>IF(OR($B345="",NOT(ISNUMBER($C345))),"",IF($D345&lt;&gt;"",ROUND(Points!$B$6*IF($F345&lt;Points!$H$4,Points!$H$5,1),0),ROUND(Points!$B$6*IF($F345&lt;=1,1,Points!$H$7+(1-Points!$H$7)*((($F345-$E345)*(($F345-$E345)+1)/2)^2-((($F345-$E345-COUNTIFS($A$5:$A$1668,$A345,$C$5:$C$1668,$C345)+1)-1)*($F345-$E345-COUNTIFS($A$5:$A$1668,$A345,$C$5:$C$1668,$C345)+1)/2)^2)/(COUNTIFS($A$5:$A$1668,$A345,$C$5:$C$1668,$C345)*($F345-1)^3))*IF($F345&lt;Points!$H$4,Points!$H$5,1),0)))</f>
        <v/>
      </c>
      <c r="H345" s="11">
        <f>IF($G345="","",COUNTIFS($B$5:$B$1668,$B345,$G$5:$G$1668,"&gt;"&amp;$G345)+COUNTIFS($B$4:$B344,$B345,$G$4:$G344,$G345)+1)</f>
        <v/>
      </c>
      <c r="I345" s="11">
        <f>IF($G345="","",IF($H345&lt;=Points!$H$6,$G345,0))</f>
        <v/>
      </c>
      <c r="J345" s="11">
        <f>IF($B345="","",IF(COUNTIF(Players!$A$2:$A$500,$B345)=0,"Player is not on the Players tab",IF(NOT(ISNUMBER($C345)),"Enter a gross score",IF(COUNTIFS($A$5:$A$1668,$A345,$B$5:$B$1668,$B345)&gt;1,"Player is listed twice this week",IF(AND($D345&lt;&gt;"",COUNTIFS($A$5:$A$1668,$A345,$D$5:$D$1668,$D345)&gt;1),"Two players picked as "&amp;$D345,IF(COUNTIFS($A$5:$A$1668,$A345,$D$5:$D$1668,"Gross winner")=0,"Pick this week's gross winner",IF(COUNTIFS($A$5:$A$1668,$A345,$D$5:$D$1668,"Net winner")=0,"Pick this week's net winner","OK")))))))</f>
        <v/>
      </c>
    </row>
    <row r="346" outlineLevel="1">
      <c r="A346" s="13" t="n">
        <v>46463</v>
      </c>
      <c r="E346" s="11">
        <f>IF(OR($B346="",NOT(ISNUMBER($C346))),"",COUNTIFS($A$5:$A$1668,$A346,$C$5:$C$1668,"&lt;"&amp;$C346)+1)</f>
        <v/>
      </c>
      <c r="F346" s="11">
        <f>IF(OR($B346="",NOT(ISNUMBER($C346))),"",COUNTIFS($A$5:$A$1668,$A346,$C$5:$C$1668,"&gt;0"))</f>
        <v/>
      </c>
      <c r="G346" s="11">
        <f>IF(OR($B346="",NOT(ISNUMBER($C346))),"",IF($D346&lt;&gt;"",ROUND(Points!$B$6*IF($F346&lt;Points!$H$4,Points!$H$5,1),0),ROUND(Points!$B$6*IF($F346&lt;=1,1,Points!$H$7+(1-Points!$H$7)*((($F346-$E346)*(($F346-$E346)+1)/2)^2-((($F346-$E346-COUNTIFS($A$5:$A$1668,$A346,$C$5:$C$1668,$C346)+1)-1)*($F346-$E346-COUNTIFS($A$5:$A$1668,$A346,$C$5:$C$1668,$C346)+1)/2)^2)/(COUNTIFS($A$5:$A$1668,$A346,$C$5:$C$1668,$C346)*($F346-1)^3))*IF($F346&lt;Points!$H$4,Points!$H$5,1),0)))</f>
        <v/>
      </c>
      <c r="H346" s="11">
        <f>IF($G346="","",COUNTIFS($B$5:$B$1668,$B346,$G$5:$G$1668,"&gt;"&amp;$G346)+COUNTIFS($B$4:$B345,$B346,$G$4:$G345,$G346)+1)</f>
        <v/>
      </c>
      <c r="I346" s="11">
        <f>IF($G346="","",IF($H346&lt;=Points!$H$6,$G346,0))</f>
        <v/>
      </c>
      <c r="J346" s="11">
        <f>IF($B346="","",IF(COUNTIF(Players!$A$2:$A$500,$B346)=0,"Player is not on the Players tab",IF(NOT(ISNUMBER($C346)),"Enter a gross score",IF(COUNTIFS($A$5:$A$1668,$A346,$B$5:$B$1668,$B346)&gt;1,"Player is listed twice this week",IF(AND($D346&lt;&gt;"",COUNTIFS($A$5:$A$1668,$A346,$D$5:$D$1668,$D346)&gt;1),"Two players picked as "&amp;$D346,IF(COUNTIFS($A$5:$A$1668,$A346,$D$5:$D$1668,"Gross winner")=0,"Pick this week's gross winner",IF(COUNTIFS($A$5:$A$1668,$A346,$D$5:$D$1668,"Net winner")=0,"Pick this week's net winner","OK")))))))</f>
        <v/>
      </c>
    </row>
    <row r="347" outlineLevel="1">
      <c r="A347" s="13" t="n">
        <v>46463</v>
      </c>
      <c r="E347" s="11">
        <f>IF(OR($B347="",NOT(ISNUMBER($C347))),"",COUNTIFS($A$5:$A$1668,$A347,$C$5:$C$1668,"&lt;"&amp;$C347)+1)</f>
        <v/>
      </c>
      <c r="F347" s="11">
        <f>IF(OR($B347="",NOT(ISNUMBER($C347))),"",COUNTIFS($A$5:$A$1668,$A347,$C$5:$C$1668,"&gt;0"))</f>
        <v/>
      </c>
      <c r="G347" s="11">
        <f>IF(OR($B347="",NOT(ISNUMBER($C347))),"",IF($D347&lt;&gt;"",ROUND(Points!$B$6*IF($F347&lt;Points!$H$4,Points!$H$5,1),0),ROUND(Points!$B$6*IF($F347&lt;=1,1,Points!$H$7+(1-Points!$H$7)*((($F347-$E347)*(($F347-$E347)+1)/2)^2-((($F347-$E347-COUNTIFS($A$5:$A$1668,$A347,$C$5:$C$1668,$C347)+1)-1)*($F347-$E347-COUNTIFS($A$5:$A$1668,$A347,$C$5:$C$1668,$C347)+1)/2)^2)/(COUNTIFS($A$5:$A$1668,$A347,$C$5:$C$1668,$C347)*($F347-1)^3))*IF($F347&lt;Points!$H$4,Points!$H$5,1),0)))</f>
        <v/>
      </c>
      <c r="H347" s="11">
        <f>IF($G347="","",COUNTIFS($B$5:$B$1668,$B347,$G$5:$G$1668,"&gt;"&amp;$G347)+COUNTIFS($B$4:$B346,$B347,$G$4:$G346,$G347)+1)</f>
        <v/>
      </c>
      <c r="I347" s="11">
        <f>IF($G347="","",IF($H347&lt;=Points!$H$6,$G347,0))</f>
        <v/>
      </c>
      <c r="J347" s="11">
        <f>IF($B347="","",IF(COUNTIF(Players!$A$2:$A$500,$B347)=0,"Player is not on the Players tab",IF(NOT(ISNUMBER($C347)),"Enter a gross score",IF(COUNTIFS($A$5:$A$1668,$A347,$B$5:$B$1668,$B347)&gt;1,"Player is listed twice this week",IF(AND($D347&lt;&gt;"",COUNTIFS($A$5:$A$1668,$A347,$D$5:$D$1668,$D347)&gt;1),"Two players picked as "&amp;$D347,IF(COUNTIFS($A$5:$A$1668,$A347,$D$5:$D$1668,"Gross winner")=0,"Pick this week's gross winner",IF(COUNTIFS($A$5:$A$1668,$A347,$D$5:$D$1668,"Net winner")=0,"Pick this week's net winner","OK")))))))</f>
        <v/>
      </c>
    </row>
    <row r="348" outlineLevel="1">
      <c r="A348" s="13" t="n">
        <v>46463</v>
      </c>
      <c r="E348" s="11">
        <f>IF(OR($B348="",NOT(ISNUMBER($C348))),"",COUNTIFS($A$5:$A$1668,$A348,$C$5:$C$1668,"&lt;"&amp;$C348)+1)</f>
        <v/>
      </c>
      <c r="F348" s="11">
        <f>IF(OR($B348="",NOT(ISNUMBER($C348))),"",COUNTIFS($A$5:$A$1668,$A348,$C$5:$C$1668,"&gt;0"))</f>
        <v/>
      </c>
      <c r="G348" s="11">
        <f>IF(OR($B348="",NOT(ISNUMBER($C348))),"",IF($D348&lt;&gt;"",ROUND(Points!$B$6*IF($F348&lt;Points!$H$4,Points!$H$5,1),0),ROUND(Points!$B$6*IF($F348&lt;=1,1,Points!$H$7+(1-Points!$H$7)*((($F348-$E348)*(($F348-$E348)+1)/2)^2-((($F348-$E348-COUNTIFS($A$5:$A$1668,$A348,$C$5:$C$1668,$C348)+1)-1)*($F348-$E348-COUNTIFS($A$5:$A$1668,$A348,$C$5:$C$1668,$C348)+1)/2)^2)/(COUNTIFS($A$5:$A$1668,$A348,$C$5:$C$1668,$C348)*($F348-1)^3))*IF($F348&lt;Points!$H$4,Points!$H$5,1),0)))</f>
        <v/>
      </c>
      <c r="H348" s="11">
        <f>IF($G348="","",COUNTIFS($B$5:$B$1668,$B348,$G$5:$G$1668,"&gt;"&amp;$G348)+COUNTIFS($B$4:$B347,$B348,$G$4:$G347,$G348)+1)</f>
        <v/>
      </c>
      <c r="I348" s="11">
        <f>IF($G348="","",IF($H348&lt;=Points!$H$6,$G348,0))</f>
        <v/>
      </c>
      <c r="J348" s="11">
        <f>IF($B348="","",IF(COUNTIF(Players!$A$2:$A$500,$B348)=0,"Player is not on the Players tab",IF(NOT(ISNUMBER($C348)),"Enter a gross score",IF(COUNTIFS($A$5:$A$1668,$A348,$B$5:$B$1668,$B348)&gt;1,"Player is listed twice this week",IF(AND($D348&lt;&gt;"",COUNTIFS($A$5:$A$1668,$A348,$D$5:$D$1668,$D348)&gt;1),"Two players picked as "&amp;$D348,IF(COUNTIFS($A$5:$A$1668,$A348,$D$5:$D$1668,"Gross winner")=0,"Pick this week's gross winner",IF(COUNTIFS($A$5:$A$1668,$A348,$D$5:$D$1668,"Net winner")=0,"Pick this week's net winner","OK")))))))</f>
        <v/>
      </c>
    </row>
    <row r="349" outlineLevel="1">
      <c r="A349" s="13" t="n">
        <v>46463</v>
      </c>
      <c r="E349" s="11">
        <f>IF(OR($B349="",NOT(ISNUMBER($C349))),"",COUNTIFS($A$5:$A$1668,$A349,$C$5:$C$1668,"&lt;"&amp;$C349)+1)</f>
        <v/>
      </c>
      <c r="F349" s="11">
        <f>IF(OR($B349="",NOT(ISNUMBER($C349))),"",COUNTIFS($A$5:$A$1668,$A349,$C$5:$C$1668,"&gt;0"))</f>
        <v/>
      </c>
      <c r="G349" s="11">
        <f>IF(OR($B349="",NOT(ISNUMBER($C349))),"",IF($D349&lt;&gt;"",ROUND(Points!$B$6*IF($F349&lt;Points!$H$4,Points!$H$5,1),0),ROUND(Points!$B$6*IF($F349&lt;=1,1,Points!$H$7+(1-Points!$H$7)*((($F349-$E349)*(($F349-$E349)+1)/2)^2-((($F349-$E349-COUNTIFS($A$5:$A$1668,$A349,$C$5:$C$1668,$C349)+1)-1)*($F349-$E349-COUNTIFS($A$5:$A$1668,$A349,$C$5:$C$1668,$C349)+1)/2)^2)/(COUNTIFS($A$5:$A$1668,$A349,$C$5:$C$1668,$C349)*($F349-1)^3))*IF($F349&lt;Points!$H$4,Points!$H$5,1),0)))</f>
        <v/>
      </c>
      <c r="H349" s="11">
        <f>IF($G349="","",COUNTIFS($B$5:$B$1668,$B349,$G$5:$G$1668,"&gt;"&amp;$G349)+COUNTIFS($B$4:$B348,$B349,$G$4:$G348,$G349)+1)</f>
        <v/>
      </c>
      <c r="I349" s="11">
        <f>IF($G349="","",IF($H349&lt;=Points!$H$6,$G349,0))</f>
        <v/>
      </c>
      <c r="J349" s="11">
        <f>IF($B349="","",IF(COUNTIF(Players!$A$2:$A$500,$B349)=0,"Player is not on the Players tab",IF(NOT(ISNUMBER($C349)),"Enter a gross score",IF(COUNTIFS($A$5:$A$1668,$A349,$B$5:$B$1668,$B349)&gt;1,"Player is listed twice this week",IF(AND($D349&lt;&gt;"",COUNTIFS($A$5:$A$1668,$A349,$D$5:$D$1668,$D349)&gt;1),"Two players picked as "&amp;$D349,IF(COUNTIFS($A$5:$A$1668,$A349,$D$5:$D$1668,"Gross winner")=0,"Pick this week's gross winner",IF(COUNTIFS($A$5:$A$1668,$A349,$D$5:$D$1668,"Net winner")=0,"Pick this week's net winner","OK")))))))</f>
        <v/>
      </c>
    </row>
    <row r="350" outlineLevel="1">
      <c r="A350" s="13" t="n">
        <v>46463</v>
      </c>
      <c r="E350" s="11">
        <f>IF(OR($B350="",NOT(ISNUMBER($C350))),"",COUNTIFS($A$5:$A$1668,$A350,$C$5:$C$1668,"&lt;"&amp;$C350)+1)</f>
        <v/>
      </c>
      <c r="F350" s="11">
        <f>IF(OR($B350="",NOT(ISNUMBER($C350))),"",COUNTIFS($A$5:$A$1668,$A350,$C$5:$C$1668,"&gt;0"))</f>
        <v/>
      </c>
      <c r="G350" s="11">
        <f>IF(OR($B350="",NOT(ISNUMBER($C350))),"",IF($D350&lt;&gt;"",ROUND(Points!$B$6*IF($F350&lt;Points!$H$4,Points!$H$5,1),0),ROUND(Points!$B$6*IF($F350&lt;=1,1,Points!$H$7+(1-Points!$H$7)*((($F350-$E350)*(($F350-$E350)+1)/2)^2-((($F350-$E350-COUNTIFS($A$5:$A$1668,$A350,$C$5:$C$1668,$C350)+1)-1)*($F350-$E350-COUNTIFS($A$5:$A$1668,$A350,$C$5:$C$1668,$C350)+1)/2)^2)/(COUNTIFS($A$5:$A$1668,$A350,$C$5:$C$1668,$C350)*($F350-1)^3))*IF($F350&lt;Points!$H$4,Points!$H$5,1),0)))</f>
        <v/>
      </c>
      <c r="H350" s="11">
        <f>IF($G350="","",COUNTIFS($B$5:$B$1668,$B350,$G$5:$G$1668,"&gt;"&amp;$G350)+COUNTIFS($B$4:$B349,$B350,$G$4:$G349,$G350)+1)</f>
        <v/>
      </c>
      <c r="I350" s="11">
        <f>IF($G350="","",IF($H350&lt;=Points!$H$6,$G350,0))</f>
        <v/>
      </c>
      <c r="J350" s="11">
        <f>IF($B350="","",IF(COUNTIF(Players!$A$2:$A$500,$B350)=0,"Player is not on the Players tab",IF(NOT(ISNUMBER($C350)),"Enter a gross score",IF(COUNTIFS($A$5:$A$1668,$A350,$B$5:$B$1668,$B350)&gt;1,"Player is listed twice this week",IF(AND($D350&lt;&gt;"",COUNTIFS($A$5:$A$1668,$A350,$D$5:$D$1668,$D350)&gt;1),"Two players picked as "&amp;$D350,IF(COUNTIFS($A$5:$A$1668,$A350,$D$5:$D$1668,"Gross winner")=0,"Pick this week's gross winner",IF(COUNTIFS($A$5:$A$1668,$A350,$D$5:$D$1668,"Net winner")=0,"Pick this week's net winner","OK")))))))</f>
        <v/>
      </c>
    </row>
    <row r="351" outlineLevel="1">
      <c r="A351" s="13" t="n">
        <v>46463</v>
      </c>
      <c r="E351" s="11">
        <f>IF(OR($B351="",NOT(ISNUMBER($C351))),"",COUNTIFS($A$5:$A$1668,$A351,$C$5:$C$1668,"&lt;"&amp;$C351)+1)</f>
        <v/>
      </c>
      <c r="F351" s="11">
        <f>IF(OR($B351="",NOT(ISNUMBER($C351))),"",COUNTIFS($A$5:$A$1668,$A351,$C$5:$C$1668,"&gt;0"))</f>
        <v/>
      </c>
      <c r="G351" s="11">
        <f>IF(OR($B351="",NOT(ISNUMBER($C351))),"",IF($D351&lt;&gt;"",ROUND(Points!$B$6*IF($F351&lt;Points!$H$4,Points!$H$5,1),0),ROUND(Points!$B$6*IF($F351&lt;=1,1,Points!$H$7+(1-Points!$H$7)*((($F351-$E351)*(($F351-$E351)+1)/2)^2-((($F351-$E351-COUNTIFS($A$5:$A$1668,$A351,$C$5:$C$1668,$C351)+1)-1)*($F351-$E351-COUNTIFS($A$5:$A$1668,$A351,$C$5:$C$1668,$C351)+1)/2)^2)/(COUNTIFS($A$5:$A$1668,$A351,$C$5:$C$1668,$C351)*($F351-1)^3))*IF($F351&lt;Points!$H$4,Points!$H$5,1),0)))</f>
        <v/>
      </c>
      <c r="H351" s="11">
        <f>IF($G351="","",COUNTIFS($B$5:$B$1668,$B351,$G$5:$G$1668,"&gt;"&amp;$G351)+COUNTIFS($B$4:$B350,$B351,$G$4:$G350,$G351)+1)</f>
        <v/>
      </c>
      <c r="I351" s="11">
        <f>IF($G351="","",IF($H351&lt;=Points!$H$6,$G351,0))</f>
        <v/>
      </c>
      <c r="J351" s="11">
        <f>IF($B351="","",IF(COUNTIF(Players!$A$2:$A$500,$B351)=0,"Player is not on the Players tab",IF(NOT(ISNUMBER($C351)),"Enter a gross score",IF(COUNTIFS($A$5:$A$1668,$A351,$B$5:$B$1668,$B351)&gt;1,"Player is listed twice this week",IF(AND($D351&lt;&gt;"",COUNTIFS($A$5:$A$1668,$A351,$D$5:$D$1668,$D351)&gt;1),"Two players picked as "&amp;$D351,IF(COUNTIFS($A$5:$A$1668,$A351,$D$5:$D$1668,"Gross winner")=0,"Pick this week's gross winner",IF(COUNTIFS($A$5:$A$1668,$A351,$D$5:$D$1668,"Net winner")=0,"Pick this week's net winner","OK")))))))</f>
        <v/>
      </c>
    </row>
    <row r="352" outlineLevel="1">
      <c r="A352" s="13" t="n">
        <v>46463</v>
      </c>
      <c r="E352" s="11">
        <f>IF(OR($B352="",NOT(ISNUMBER($C352))),"",COUNTIFS($A$5:$A$1668,$A352,$C$5:$C$1668,"&lt;"&amp;$C352)+1)</f>
        <v/>
      </c>
      <c r="F352" s="11">
        <f>IF(OR($B352="",NOT(ISNUMBER($C352))),"",COUNTIFS($A$5:$A$1668,$A352,$C$5:$C$1668,"&gt;0"))</f>
        <v/>
      </c>
      <c r="G352" s="11">
        <f>IF(OR($B352="",NOT(ISNUMBER($C352))),"",IF($D352&lt;&gt;"",ROUND(Points!$B$6*IF($F352&lt;Points!$H$4,Points!$H$5,1),0),ROUND(Points!$B$6*IF($F352&lt;=1,1,Points!$H$7+(1-Points!$H$7)*((($F352-$E352)*(($F352-$E352)+1)/2)^2-((($F352-$E352-COUNTIFS($A$5:$A$1668,$A352,$C$5:$C$1668,$C352)+1)-1)*($F352-$E352-COUNTIFS($A$5:$A$1668,$A352,$C$5:$C$1668,$C352)+1)/2)^2)/(COUNTIFS($A$5:$A$1668,$A352,$C$5:$C$1668,$C352)*($F352-1)^3))*IF($F352&lt;Points!$H$4,Points!$H$5,1),0)))</f>
        <v/>
      </c>
      <c r="H352" s="11">
        <f>IF($G352="","",COUNTIFS($B$5:$B$1668,$B352,$G$5:$G$1668,"&gt;"&amp;$G352)+COUNTIFS($B$4:$B351,$B352,$G$4:$G351,$G352)+1)</f>
        <v/>
      </c>
      <c r="I352" s="11">
        <f>IF($G352="","",IF($H352&lt;=Points!$H$6,$G352,0))</f>
        <v/>
      </c>
      <c r="J352" s="11">
        <f>IF($B352="","",IF(COUNTIF(Players!$A$2:$A$500,$B352)=0,"Player is not on the Players tab",IF(NOT(ISNUMBER($C352)),"Enter a gross score",IF(COUNTIFS($A$5:$A$1668,$A352,$B$5:$B$1668,$B352)&gt;1,"Player is listed twice this week",IF(AND($D352&lt;&gt;"",COUNTIFS($A$5:$A$1668,$A352,$D$5:$D$1668,$D352)&gt;1),"Two players picked as "&amp;$D352,IF(COUNTIFS($A$5:$A$1668,$A352,$D$5:$D$1668,"Gross winner")=0,"Pick this week's gross winner",IF(COUNTIFS($A$5:$A$1668,$A352,$D$5:$D$1668,"Net winner")=0,"Pick this week's net winner","OK")))))))</f>
        <v/>
      </c>
    </row>
    <row r="353" outlineLevel="1">
      <c r="A353" s="13" t="n">
        <v>46463</v>
      </c>
      <c r="E353" s="11">
        <f>IF(OR($B353="",NOT(ISNUMBER($C353))),"",COUNTIFS($A$5:$A$1668,$A353,$C$5:$C$1668,"&lt;"&amp;$C353)+1)</f>
        <v/>
      </c>
      <c r="F353" s="11">
        <f>IF(OR($B353="",NOT(ISNUMBER($C353))),"",COUNTIFS($A$5:$A$1668,$A353,$C$5:$C$1668,"&gt;0"))</f>
        <v/>
      </c>
      <c r="G353" s="11">
        <f>IF(OR($B353="",NOT(ISNUMBER($C353))),"",IF($D353&lt;&gt;"",ROUND(Points!$B$6*IF($F353&lt;Points!$H$4,Points!$H$5,1),0),ROUND(Points!$B$6*IF($F353&lt;=1,1,Points!$H$7+(1-Points!$H$7)*((($F353-$E353)*(($F353-$E353)+1)/2)^2-((($F353-$E353-COUNTIFS($A$5:$A$1668,$A353,$C$5:$C$1668,$C353)+1)-1)*($F353-$E353-COUNTIFS($A$5:$A$1668,$A353,$C$5:$C$1668,$C353)+1)/2)^2)/(COUNTIFS($A$5:$A$1668,$A353,$C$5:$C$1668,$C353)*($F353-1)^3))*IF($F353&lt;Points!$H$4,Points!$H$5,1),0)))</f>
        <v/>
      </c>
      <c r="H353" s="11">
        <f>IF($G353="","",COUNTIFS($B$5:$B$1668,$B353,$G$5:$G$1668,"&gt;"&amp;$G353)+COUNTIFS($B$4:$B352,$B353,$G$4:$G352,$G353)+1)</f>
        <v/>
      </c>
      <c r="I353" s="11">
        <f>IF($G353="","",IF($H353&lt;=Points!$H$6,$G353,0))</f>
        <v/>
      </c>
      <c r="J353" s="11">
        <f>IF($B353="","",IF(COUNTIF(Players!$A$2:$A$500,$B353)=0,"Player is not on the Players tab",IF(NOT(ISNUMBER($C353)),"Enter a gross score",IF(COUNTIFS($A$5:$A$1668,$A353,$B$5:$B$1668,$B353)&gt;1,"Player is listed twice this week",IF(AND($D353&lt;&gt;"",COUNTIFS($A$5:$A$1668,$A353,$D$5:$D$1668,$D353)&gt;1),"Two players picked as "&amp;$D353,IF(COUNTIFS($A$5:$A$1668,$A353,$D$5:$D$1668,"Gross winner")=0,"Pick this week's gross winner",IF(COUNTIFS($A$5:$A$1668,$A353,$D$5:$D$1668,"Net winner")=0,"Pick this week's net winner","OK")))))))</f>
        <v/>
      </c>
    </row>
    <row r="354" outlineLevel="1">
      <c r="A354" s="13" t="n">
        <v>46463</v>
      </c>
      <c r="E354" s="11">
        <f>IF(OR($B354="",NOT(ISNUMBER($C354))),"",COUNTIFS($A$5:$A$1668,$A354,$C$5:$C$1668,"&lt;"&amp;$C354)+1)</f>
        <v/>
      </c>
      <c r="F354" s="11">
        <f>IF(OR($B354="",NOT(ISNUMBER($C354))),"",COUNTIFS($A$5:$A$1668,$A354,$C$5:$C$1668,"&gt;0"))</f>
        <v/>
      </c>
      <c r="G354" s="11">
        <f>IF(OR($B354="",NOT(ISNUMBER($C354))),"",IF($D354&lt;&gt;"",ROUND(Points!$B$6*IF($F354&lt;Points!$H$4,Points!$H$5,1),0),ROUND(Points!$B$6*IF($F354&lt;=1,1,Points!$H$7+(1-Points!$H$7)*((($F354-$E354)*(($F354-$E354)+1)/2)^2-((($F354-$E354-COUNTIFS($A$5:$A$1668,$A354,$C$5:$C$1668,$C354)+1)-1)*($F354-$E354-COUNTIFS($A$5:$A$1668,$A354,$C$5:$C$1668,$C354)+1)/2)^2)/(COUNTIFS($A$5:$A$1668,$A354,$C$5:$C$1668,$C354)*($F354-1)^3))*IF($F354&lt;Points!$H$4,Points!$H$5,1),0)))</f>
        <v/>
      </c>
      <c r="H354" s="11">
        <f>IF($G354="","",COUNTIFS($B$5:$B$1668,$B354,$G$5:$G$1668,"&gt;"&amp;$G354)+COUNTIFS($B$4:$B353,$B354,$G$4:$G353,$G354)+1)</f>
        <v/>
      </c>
      <c r="I354" s="11">
        <f>IF($G354="","",IF($H354&lt;=Points!$H$6,$G354,0))</f>
        <v/>
      </c>
      <c r="J354" s="11">
        <f>IF($B354="","",IF(COUNTIF(Players!$A$2:$A$500,$B354)=0,"Player is not on the Players tab",IF(NOT(ISNUMBER($C354)),"Enter a gross score",IF(COUNTIFS($A$5:$A$1668,$A354,$B$5:$B$1668,$B354)&gt;1,"Player is listed twice this week",IF(AND($D354&lt;&gt;"",COUNTIFS($A$5:$A$1668,$A354,$D$5:$D$1668,$D354)&gt;1),"Two players picked as "&amp;$D354,IF(COUNTIFS($A$5:$A$1668,$A354,$D$5:$D$1668,"Gross winner")=0,"Pick this week's gross winner",IF(COUNTIFS($A$5:$A$1668,$A354,$D$5:$D$1668,"Net winner")=0,"Pick this week's net winner","OK")))))))</f>
        <v/>
      </c>
    </row>
    <row r="355" outlineLevel="1">
      <c r="A355" s="13" t="n">
        <v>46463</v>
      </c>
      <c r="E355" s="11">
        <f>IF(OR($B355="",NOT(ISNUMBER($C355))),"",COUNTIFS($A$5:$A$1668,$A355,$C$5:$C$1668,"&lt;"&amp;$C355)+1)</f>
        <v/>
      </c>
      <c r="F355" s="11">
        <f>IF(OR($B355="",NOT(ISNUMBER($C355))),"",COUNTIFS($A$5:$A$1668,$A355,$C$5:$C$1668,"&gt;0"))</f>
        <v/>
      </c>
      <c r="G355" s="11">
        <f>IF(OR($B355="",NOT(ISNUMBER($C355))),"",IF($D355&lt;&gt;"",ROUND(Points!$B$6*IF($F355&lt;Points!$H$4,Points!$H$5,1),0),ROUND(Points!$B$6*IF($F355&lt;=1,1,Points!$H$7+(1-Points!$H$7)*((($F355-$E355)*(($F355-$E355)+1)/2)^2-((($F355-$E355-COUNTIFS($A$5:$A$1668,$A355,$C$5:$C$1668,$C355)+1)-1)*($F355-$E355-COUNTIFS($A$5:$A$1668,$A355,$C$5:$C$1668,$C355)+1)/2)^2)/(COUNTIFS($A$5:$A$1668,$A355,$C$5:$C$1668,$C355)*($F355-1)^3))*IF($F355&lt;Points!$H$4,Points!$H$5,1),0)))</f>
        <v/>
      </c>
      <c r="H355" s="11">
        <f>IF($G355="","",COUNTIFS($B$5:$B$1668,$B355,$G$5:$G$1668,"&gt;"&amp;$G355)+COUNTIFS($B$4:$B354,$B355,$G$4:$G354,$G355)+1)</f>
        <v/>
      </c>
      <c r="I355" s="11">
        <f>IF($G355="","",IF($H355&lt;=Points!$H$6,$G355,0))</f>
        <v/>
      </c>
      <c r="J355" s="11">
        <f>IF($B355="","",IF(COUNTIF(Players!$A$2:$A$500,$B355)=0,"Player is not on the Players tab",IF(NOT(ISNUMBER($C355)),"Enter a gross score",IF(COUNTIFS($A$5:$A$1668,$A355,$B$5:$B$1668,$B355)&gt;1,"Player is listed twice this week",IF(AND($D355&lt;&gt;"",COUNTIFS($A$5:$A$1668,$A355,$D$5:$D$1668,$D355)&gt;1),"Two players picked as "&amp;$D355,IF(COUNTIFS($A$5:$A$1668,$A355,$D$5:$D$1668,"Gross winner")=0,"Pick this week's gross winner",IF(COUNTIFS($A$5:$A$1668,$A355,$D$5:$D$1668,"Net winner")=0,"Pick this week's net winner","OK")))))))</f>
        <v/>
      </c>
    </row>
    <row r="356" ht="10" customHeight="1"/>
    <row r="357" ht="22" customHeight="1">
      <c r="A357" s="12" t="inlineStr">
        <is>
          <t>Week 12  ·  Wednesday, Mar 24</t>
        </is>
      </c>
    </row>
    <row r="358" outlineLevel="1">
      <c r="A358" s="13" t="n">
        <v>46470</v>
      </c>
      <c r="E358" s="11">
        <f>IF(OR($B358="",NOT(ISNUMBER($C358))),"",COUNTIFS($A$5:$A$1668,$A358,$C$5:$C$1668,"&lt;"&amp;$C358)+1)</f>
        <v/>
      </c>
      <c r="F358" s="11">
        <f>IF(OR($B358="",NOT(ISNUMBER($C358))),"",COUNTIFS($A$5:$A$1668,$A358,$C$5:$C$1668,"&gt;0"))</f>
        <v/>
      </c>
      <c r="G358" s="11">
        <f>IF(OR($B358="",NOT(ISNUMBER($C358))),"",IF($D358&lt;&gt;"",ROUND(Points!$B$6*IF($F358&lt;Points!$H$4,Points!$H$5,1),0),ROUND(Points!$B$6*IF($F358&lt;=1,1,Points!$H$7+(1-Points!$H$7)*((($F358-$E358)*(($F358-$E358)+1)/2)^2-((($F358-$E358-COUNTIFS($A$5:$A$1668,$A358,$C$5:$C$1668,$C358)+1)-1)*($F358-$E358-COUNTIFS($A$5:$A$1668,$A358,$C$5:$C$1668,$C358)+1)/2)^2)/(COUNTIFS($A$5:$A$1668,$A358,$C$5:$C$1668,$C358)*($F358-1)^3))*IF($F358&lt;Points!$H$4,Points!$H$5,1),0)))</f>
        <v/>
      </c>
      <c r="H358" s="11">
        <f>IF($G358="","",COUNTIFS($B$5:$B$1668,$B358,$G$5:$G$1668,"&gt;"&amp;$G358)+COUNTIFS($B$4:$B357,$B358,$G$4:$G357,$G358)+1)</f>
        <v/>
      </c>
      <c r="I358" s="11">
        <f>IF($G358="","",IF($H358&lt;=Points!$H$6,$G358,0))</f>
        <v/>
      </c>
      <c r="J358" s="11">
        <f>IF($B358="","",IF(COUNTIF(Players!$A$2:$A$500,$B358)=0,"Player is not on the Players tab",IF(NOT(ISNUMBER($C358)),"Enter a gross score",IF(COUNTIFS($A$5:$A$1668,$A358,$B$5:$B$1668,$B358)&gt;1,"Player is listed twice this week",IF(AND($D358&lt;&gt;"",COUNTIFS($A$5:$A$1668,$A358,$D$5:$D$1668,$D358)&gt;1),"Two players picked as "&amp;$D358,IF(COUNTIFS($A$5:$A$1668,$A358,$D$5:$D$1668,"Gross winner")=0,"Pick this week's gross winner",IF(COUNTIFS($A$5:$A$1668,$A358,$D$5:$D$1668,"Net winner")=0,"Pick this week's net winner","OK")))))))</f>
        <v/>
      </c>
    </row>
    <row r="359" outlineLevel="1">
      <c r="A359" s="13" t="n">
        <v>46470</v>
      </c>
      <c r="E359" s="11">
        <f>IF(OR($B359="",NOT(ISNUMBER($C359))),"",COUNTIFS($A$5:$A$1668,$A359,$C$5:$C$1668,"&lt;"&amp;$C359)+1)</f>
        <v/>
      </c>
      <c r="F359" s="11">
        <f>IF(OR($B359="",NOT(ISNUMBER($C359))),"",COUNTIFS($A$5:$A$1668,$A359,$C$5:$C$1668,"&gt;0"))</f>
        <v/>
      </c>
      <c r="G359" s="11">
        <f>IF(OR($B359="",NOT(ISNUMBER($C359))),"",IF($D359&lt;&gt;"",ROUND(Points!$B$6*IF($F359&lt;Points!$H$4,Points!$H$5,1),0),ROUND(Points!$B$6*IF($F359&lt;=1,1,Points!$H$7+(1-Points!$H$7)*((($F359-$E359)*(($F359-$E359)+1)/2)^2-((($F359-$E359-COUNTIFS($A$5:$A$1668,$A359,$C$5:$C$1668,$C359)+1)-1)*($F359-$E359-COUNTIFS($A$5:$A$1668,$A359,$C$5:$C$1668,$C359)+1)/2)^2)/(COUNTIFS($A$5:$A$1668,$A359,$C$5:$C$1668,$C359)*($F359-1)^3))*IF($F359&lt;Points!$H$4,Points!$H$5,1),0)))</f>
        <v/>
      </c>
      <c r="H359" s="11">
        <f>IF($G359="","",COUNTIFS($B$5:$B$1668,$B359,$G$5:$G$1668,"&gt;"&amp;$G359)+COUNTIFS($B$4:$B358,$B359,$G$4:$G358,$G359)+1)</f>
        <v/>
      </c>
      <c r="I359" s="11">
        <f>IF($G359="","",IF($H359&lt;=Points!$H$6,$G359,0))</f>
        <v/>
      </c>
      <c r="J359" s="11">
        <f>IF($B359="","",IF(COUNTIF(Players!$A$2:$A$500,$B359)=0,"Player is not on the Players tab",IF(NOT(ISNUMBER($C359)),"Enter a gross score",IF(COUNTIFS($A$5:$A$1668,$A359,$B$5:$B$1668,$B359)&gt;1,"Player is listed twice this week",IF(AND($D359&lt;&gt;"",COUNTIFS($A$5:$A$1668,$A359,$D$5:$D$1668,$D359)&gt;1),"Two players picked as "&amp;$D359,IF(COUNTIFS($A$5:$A$1668,$A359,$D$5:$D$1668,"Gross winner")=0,"Pick this week's gross winner",IF(COUNTIFS($A$5:$A$1668,$A359,$D$5:$D$1668,"Net winner")=0,"Pick this week's net winner","OK")))))))</f>
        <v/>
      </c>
    </row>
    <row r="360" outlineLevel="1">
      <c r="A360" s="13" t="n">
        <v>46470</v>
      </c>
      <c r="E360" s="11">
        <f>IF(OR($B360="",NOT(ISNUMBER($C360))),"",COUNTIFS($A$5:$A$1668,$A360,$C$5:$C$1668,"&lt;"&amp;$C360)+1)</f>
        <v/>
      </c>
      <c r="F360" s="11">
        <f>IF(OR($B360="",NOT(ISNUMBER($C360))),"",COUNTIFS($A$5:$A$1668,$A360,$C$5:$C$1668,"&gt;0"))</f>
        <v/>
      </c>
      <c r="G360" s="11">
        <f>IF(OR($B360="",NOT(ISNUMBER($C360))),"",IF($D360&lt;&gt;"",ROUND(Points!$B$6*IF($F360&lt;Points!$H$4,Points!$H$5,1),0),ROUND(Points!$B$6*IF($F360&lt;=1,1,Points!$H$7+(1-Points!$H$7)*((($F360-$E360)*(($F360-$E360)+1)/2)^2-((($F360-$E360-COUNTIFS($A$5:$A$1668,$A360,$C$5:$C$1668,$C360)+1)-1)*($F360-$E360-COUNTIFS($A$5:$A$1668,$A360,$C$5:$C$1668,$C360)+1)/2)^2)/(COUNTIFS($A$5:$A$1668,$A360,$C$5:$C$1668,$C360)*($F360-1)^3))*IF($F360&lt;Points!$H$4,Points!$H$5,1),0)))</f>
        <v/>
      </c>
      <c r="H360" s="11">
        <f>IF($G360="","",COUNTIFS($B$5:$B$1668,$B360,$G$5:$G$1668,"&gt;"&amp;$G360)+COUNTIFS($B$4:$B359,$B360,$G$4:$G359,$G360)+1)</f>
        <v/>
      </c>
      <c r="I360" s="11">
        <f>IF($G360="","",IF($H360&lt;=Points!$H$6,$G360,0))</f>
        <v/>
      </c>
      <c r="J360" s="11">
        <f>IF($B360="","",IF(COUNTIF(Players!$A$2:$A$500,$B360)=0,"Player is not on the Players tab",IF(NOT(ISNUMBER($C360)),"Enter a gross score",IF(COUNTIFS($A$5:$A$1668,$A360,$B$5:$B$1668,$B360)&gt;1,"Player is listed twice this week",IF(AND($D360&lt;&gt;"",COUNTIFS($A$5:$A$1668,$A360,$D$5:$D$1668,$D360)&gt;1),"Two players picked as "&amp;$D360,IF(COUNTIFS($A$5:$A$1668,$A360,$D$5:$D$1668,"Gross winner")=0,"Pick this week's gross winner",IF(COUNTIFS($A$5:$A$1668,$A360,$D$5:$D$1668,"Net winner")=0,"Pick this week's net winner","OK")))))))</f>
        <v/>
      </c>
    </row>
    <row r="361" outlineLevel="1">
      <c r="A361" s="13" t="n">
        <v>46470</v>
      </c>
      <c r="E361" s="11">
        <f>IF(OR($B361="",NOT(ISNUMBER($C361))),"",COUNTIFS($A$5:$A$1668,$A361,$C$5:$C$1668,"&lt;"&amp;$C361)+1)</f>
        <v/>
      </c>
      <c r="F361" s="11">
        <f>IF(OR($B361="",NOT(ISNUMBER($C361))),"",COUNTIFS($A$5:$A$1668,$A361,$C$5:$C$1668,"&gt;0"))</f>
        <v/>
      </c>
      <c r="G361" s="11">
        <f>IF(OR($B361="",NOT(ISNUMBER($C361))),"",IF($D361&lt;&gt;"",ROUND(Points!$B$6*IF($F361&lt;Points!$H$4,Points!$H$5,1),0),ROUND(Points!$B$6*IF($F361&lt;=1,1,Points!$H$7+(1-Points!$H$7)*((($F361-$E361)*(($F361-$E361)+1)/2)^2-((($F361-$E361-COUNTIFS($A$5:$A$1668,$A361,$C$5:$C$1668,$C361)+1)-1)*($F361-$E361-COUNTIFS($A$5:$A$1668,$A361,$C$5:$C$1668,$C361)+1)/2)^2)/(COUNTIFS($A$5:$A$1668,$A361,$C$5:$C$1668,$C361)*($F361-1)^3))*IF($F361&lt;Points!$H$4,Points!$H$5,1),0)))</f>
        <v/>
      </c>
      <c r="H361" s="11">
        <f>IF($G361="","",COUNTIFS($B$5:$B$1668,$B361,$G$5:$G$1668,"&gt;"&amp;$G361)+COUNTIFS($B$4:$B360,$B361,$G$4:$G360,$G361)+1)</f>
        <v/>
      </c>
      <c r="I361" s="11">
        <f>IF($G361="","",IF($H361&lt;=Points!$H$6,$G361,0))</f>
        <v/>
      </c>
      <c r="J361" s="11">
        <f>IF($B361="","",IF(COUNTIF(Players!$A$2:$A$500,$B361)=0,"Player is not on the Players tab",IF(NOT(ISNUMBER($C361)),"Enter a gross score",IF(COUNTIFS($A$5:$A$1668,$A361,$B$5:$B$1668,$B361)&gt;1,"Player is listed twice this week",IF(AND($D361&lt;&gt;"",COUNTIFS($A$5:$A$1668,$A361,$D$5:$D$1668,$D361)&gt;1),"Two players picked as "&amp;$D361,IF(COUNTIFS($A$5:$A$1668,$A361,$D$5:$D$1668,"Gross winner")=0,"Pick this week's gross winner",IF(COUNTIFS($A$5:$A$1668,$A361,$D$5:$D$1668,"Net winner")=0,"Pick this week's net winner","OK")))))))</f>
        <v/>
      </c>
    </row>
    <row r="362" outlineLevel="1">
      <c r="A362" s="13" t="n">
        <v>46470</v>
      </c>
      <c r="E362" s="11">
        <f>IF(OR($B362="",NOT(ISNUMBER($C362))),"",COUNTIFS($A$5:$A$1668,$A362,$C$5:$C$1668,"&lt;"&amp;$C362)+1)</f>
        <v/>
      </c>
      <c r="F362" s="11">
        <f>IF(OR($B362="",NOT(ISNUMBER($C362))),"",COUNTIFS($A$5:$A$1668,$A362,$C$5:$C$1668,"&gt;0"))</f>
        <v/>
      </c>
      <c r="G362" s="11">
        <f>IF(OR($B362="",NOT(ISNUMBER($C362))),"",IF($D362&lt;&gt;"",ROUND(Points!$B$6*IF($F362&lt;Points!$H$4,Points!$H$5,1),0),ROUND(Points!$B$6*IF($F362&lt;=1,1,Points!$H$7+(1-Points!$H$7)*((($F362-$E362)*(($F362-$E362)+1)/2)^2-((($F362-$E362-COUNTIFS($A$5:$A$1668,$A362,$C$5:$C$1668,$C362)+1)-1)*($F362-$E362-COUNTIFS($A$5:$A$1668,$A362,$C$5:$C$1668,$C362)+1)/2)^2)/(COUNTIFS($A$5:$A$1668,$A362,$C$5:$C$1668,$C362)*($F362-1)^3))*IF($F362&lt;Points!$H$4,Points!$H$5,1),0)))</f>
        <v/>
      </c>
      <c r="H362" s="11">
        <f>IF($G362="","",COUNTIFS($B$5:$B$1668,$B362,$G$5:$G$1668,"&gt;"&amp;$G362)+COUNTIFS($B$4:$B361,$B362,$G$4:$G361,$G362)+1)</f>
        <v/>
      </c>
      <c r="I362" s="11">
        <f>IF($G362="","",IF($H362&lt;=Points!$H$6,$G362,0))</f>
        <v/>
      </c>
      <c r="J362" s="11">
        <f>IF($B362="","",IF(COUNTIF(Players!$A$2:$A$500,$B362)=0,"Player is not on the Players tab",IF(NOT(ISNUMBER($C362)),"Enter a gross score",IF(COUNTIFS($A$5:$A$1668,$A362,$B$5:$B$1668,$B362)&gt;1,"Player is listed twice this week",IF(AND($D362&lt;&gt;"",COUNTIFS($A$5:$A$1668,$A362,$D$5:$D$1668,$D362)&gt;1),"Two players picked as "&amp;$D362,IF(COUNTIFS($A$5:$A$1668,$A362,$D$5:$D$1668,"Gross winner")=0,"Pick this week's gross winner",IF(COUNTIFS($A$5:$A$1668,$A362,$D$5:$D$1668,"Net winner")=0,"Pick this week's net winner","OK")))))))</f>
        <v/>
      </c>
    </row>
    <row r="363" outlineLevel="1">
      <c r="A363" s="13" t="n">
        <v>46470</v>
      </c>
      <c r="E363" s="11">
        <f>IF(OR($B363="",NOT(ISNUMBER($C363))),"",COUNTIFS($A$5:$A$1668,$A363,$C$5:$C$1668,"&lt;"&amp;$C363)+1)</f>
        <v/>
      </c>
      <c r="F363" s="11">
        <f>IF(OR($B363="",NOT(ISNUMBER($C363))),"",COUNTIFS($A$5:$A$1668,$A363,$C$5:$C$1668,"&gt;0"))</f>
        <v/>
      </c>
      <c r="G363" s="11">
        <f>IF(OR($B363="",NOT(ISNUMBER($C363))),"",IF($D363&lt;&gt;"",ROUND(Points!$B$6*IF($F363&lt;Points!$H$4,Points!$H$5,1),0),ROUND(Points!$B$6*IF($F363&lt;=1,1,Points!$H$7+(1-Points!$H$7)*((($F363-$E363)*(($F363-$E363)+1)/2)^2-((($F363-$E363-COUNTIFS($A$5:$A$1668,$A363,$C$5:$C$1668,$C363)+1)-1)*($F363-$E363-COUNTIFS($A$5:$A$1668,$A363,$C$5:$C$1668,$C363)+1)/2)^2)/(COUNTIFS($A$5:$A$1668,$A363,$C$5:$C$1668,$C363)*($F363-1)^3))*IF($F363&lt;Points!$H$4,Points!$H$5,1),0)))</f>
        <v/>
      </c>
      <c r="H363" s="11">
        <f>IF($G363="","",COUNTIFS($B$5:$B$1668,$B363,$G$5:$G$1668,"&gt;"&amp;$G363)+COUNTIFS($B$4:$B362,$B363,$G$4:$G362,$G363)+1)</f>
        <v/>
      </c>
      <c r="I363" s="11">
        <f>IF($G363="","",IF($H363&lt;=Points!$H$6,$G363,0))</f>
        <v/>
      </c>
      <c r="J363" s="11">
        <f>IF($B363="","",IF(COUNTIF(Players!$A$2:$A$500,$B363)=0,"Player is not on the Players tab",IF(NOT(ISNUMBER($C363)),"Enter a gross score",IF(COUNTIFS($A$5:$A$1668,$A363,$B$5:$B$1668,$B363)&gt;1,"Player is listed twice this week",IF(AND($D363&lt;&gt;"",COUNTIFS($A$5:$A$1668,$A363,$D$5:$D$1668,$D363)&gt;1),"Two players picked as "&amp;$D363,IF(COUNTIFS($A$5:$A$1668,$A363,$D$5:$D$1668,"Gross winner")=0,"Pick this week's gross winner",IF(COUNTIFS($A$5:$A$1668,$A363,$D$5:$D$1668,"Net winner")=0,"Pick this week's net winner","OK")))))))</f>
        <v/>
      </c>
    </row>
    <row r="364" outlineLevel="1">
      <c r="A364" s="13" t="n">
        <v>46470</v>
      </c>
      <c r="E364" s="11">
        <f>IF(OR($B364="",NOT(ISNUMBER($C364))),"",COUNTIFS($A$5:$A$1668,$A364,$C$5:$C$1668,"&lt;"&amp;$C364)+1)</f>
        <v/>
      </c>
      <c r="F364" s="11">
        <f>IF(OR($B364="",NOT(ISNUMBER($C364))),"",COUNTIFS($A$5:$A$1668,$A364,$C$5:$C$1668,"&gt;0"))</f>
        <v/>
      </c>
      <c r="G364" s="11">
        <f>IF(OR($B364="",NOT(ISNUMBER($C364))),"",IF($D364&lt;&gt;"",ROUND(Points!$B$6*IF($F364&lt;Points!$H$4,Points!$H$5,1),0),ROUND(Points!$B$6*IF($F364&lt;=1,1,Points!$H$7+(1-Points!$H$7)*((($F364-$E364)*(($F364-$E364)+1)/2)^2-((($F364-$E364-COUNTIFS($A$5:$A$1668,$A364,$C$5:$C$1668,$C364)+1)-1)*($F364-$E364-COUNTIFS($A$5:$A$1668,$A364,$C$5:$C$1668,$C364)+1)/2)^2)/(COUNTIFS($A$5:$A$1668,$A364,$C$5:$C$1668,$C364)*($F364-1)^3))*IF($F364&lt;Points!$H$4,Points!$H$5,1),0)))</f>
        <v/>
      </c>
      <c r="H364" s="11">
        <f>IF($G364="","",COUNTIFS($B$5:$B$1668,$B364,$G$5:$G$1668,"&gt;"&amp;$G364)+COUNTIFS($B$4:$B363,$B364,$G$4:$G363,$G364)+1)</f>
        <v/>
      </c>
      <c r="I364" s="11">
        <f>IF($G364="","",IF($H364&lt;=Points!$H$6,$G364,0))</f>
        <v/>
      </c>
      <c r="J364" s="11">
        <f>IF($B364="","",IF(COUNTIF(Players!$A$2:$A$500,$B364)=0,"Player is not on the Players tab",IF(NOT(ISNUMBER($C364)),"Enter a gross score",IF(COUNTIFS($A$5:$A$1668,$A364,$B$5:$B$1668,$B364)&gt;1,"Player is listed twice this week",IF(AND($D364&lt;&gt;"",COUNTIFS($A$5:$A$1668,$A364,$D$5:$D$1668,$D364)&gt;1),"Two players picked as "&amp;$D364,IF(COUNTIFS($A$5:$A$1668,$A364,$D$5:$D$1668,"Gross winner")=0,"Pick this week's gross winner",IF(COUNTIFS($A$5:$A$1668,$A364,$D$5:$D$1668,"Net winner")=0,"Pick this week's net winner","OK")))))))</f>
        <v/>
      </c>
    </row>
    <row r="365" outlineLevel="1">
      <c r="A365" s="13" t="n">
        <v>46470</v>
      </c>
      <c r="E365" s="11">
        <f>IF(OR($B365="",NOT(ISNUMBER($C365))),"",COUNTIFS($A$5:$A$1668,$A365,$C$5:$C$1668,"&lt;"&amp;$C365)+1)</f>
        <v/>
      </c>
      <c r="F365" s="11">
        <f>IF(OR($B365="",NOT(ISNUMBER($C365))),"",COUNTIFS($A$5:$A$1668,$A365,$C$5:$C$1668,"&gt;0"))</f>
        <v/>
      </c>
      <c r="G365" s="11">
        <f>IF(OR($B365="",NOT(ISNUMBER($C365))),"",IF($D365&lt;&gt;"",ROUND(Points!$B$6*IF($F365&lt;Points!$H$4,Points!$H$5,1),0),ROUND(Points!$B$6*IF($F365&lt;=1,1,Points!$H$7+(1-Points!$H$7)*((($F365-$E365)*(($F365-$E365)+1)/2)^2-((($F365-$E365-COUNTIFS($A$5:$A$1668,$A365,$C$5:$C$1668,$C365)+1)-1)*($F365-$E365-COUNTIFS($A$5:$A$1668,$A365,$C$5:$C$1668,$C365)+1)/2)^2)/(COUNTIFS($A$5:$A$1668,$A365,$C$5:$C$1668,$C365)*($F365-1)^3))*IF($F365&lt;Points!$H$4,Points!$H$5,1),0)))</f>
        <v/>
      </c>
      <c r="H365" s="11">
        <f>IF($G365="","",COUNTIFS($B$5:$B$1668,$B365,$G$5:$G$1668,"&gt;"&amp;$G365)+COUNTIFS($B$4:$B364,$B365,$G$4:$G364,$G365)+1)</f>
        <v/>
      </c>
      <c r="I365" s="11">
        <f>IF($G365="","",IF($H365&lt;=Points!$H$6,$G365,0))</f>
        <v/>
      </c>
      <c r="J365" s="11">
        <f>IF($B365="","",IF(COUNTIF(Players!$A$2:$A$500,$B365)=0,"Player is not on the Players tab",IF(NOT(ISNUMBER($C365)),"Enter a gross score",IF(COUNTIFS($A$5:$A$1668,$A365,$B$5:$B$1668,$B365)&gt;1,"Player is listed twice this week",IF(AND($D365&lt;&gt;"",COUNTIFS($A$5:$A$1668,$A365,$D$5:$D$1668,$D365)&gt;1),"Two players picked as "&amp;$D365,IF(COUNTIFS($A$5:$A$1668,$A365,$D$5:$D$1668,"Gross winner")=0,"Pick this week's gross winner",IF(COUNTIFS($A$5:$A$1668,$A365,$D$5:$D$1668,"Net winner")=0,"Pick this week's net winner","OK")))))))</f>
        <v/>
      </c>
    </row>
    <row r="366" outlineLevel="1">
      <c r="A366" s="13" t="n">
        <v>46470</v>
      </c>
      <c r="E366" s="11">
        <f>IF(OR($B366="",NOT(ISNUMBER($C366))),"",COUNTIFS($A$5:$A$1668,$A366,$C$5:$C$1668,"&lt;"&amp;$C366)+1)</f>
        <v/>
      </c>
      <c r="F366" s="11">
        <f>IF(OR($B366="",NOT(ISNUMBER($C366))),"",COUNTIFS($A$5:$A$1668,$A366,$C$5:$C$1668,"&gt;0"))</f>
        <v/>
      </c>
      <c r="G366" s="11">
        <f>IF(OR($B366="",NOT(ISNUMBER($C366))),"",IF($D366&lt;&gt;"",ROUND(Points!$B$6*IF($F366&lt;Points!$H$4,Points!$H$5,1),0),ROUND(Points!$B$6*IF($F366&lt;=1,1,Points!$H$7+(1-Points!$H$7)*((($F366-$E366)*(($F366-$E366)+1)/2)^2-((($F366-$E366-COUNTIFS($A$5:$A$1668,$A366,$C$5:$C$1668,$C366)+1)-1)*($F366-$E366-COUNTIFS($A$5:$A$1668,$A366,$C$5:$C$1668,$C366)+1)/2)^2)/(COUNTIFS($A$5:$A$1668,$A366,$C$5:$C$1668,$C366)*($F366-1)^3))*IF($F366&lt;Points!$H$4,Points!$H$5,1),0)))</f>
        <v/>
      </c>
      <c r="H366" s="11">
        <f>IF($G366="","",COUNTIFS($B$5:$B$1668,$B366,$G$5:$G$1668,"&gt;"&amp;$G366)+COUNTIFS($B$4:$B365,$B366,$G$4:$G365,$G366)+1)</f>
        <v/>
      </c>
      <c r="I366" s="11">
        <f>IF($G366="","",IF($H366&lt;=Points!$H$6,$G366,0))</f>
        <v/>
      </c>
      <c r="J366" s="11">
        <f>IF($B366="","",IF(COUNTIF(Players!$A$2:$A$500,$B366)=0,"Player is not on the Players tab",IF(NOT(ISNUMBER($C366)),"Enter a gross score",IF(COUNTIFS($A$5:$A$1668,$A366,$B$5:$B$1668,$B366)&gt;1,"Player is listed twice this week",IF(AND($D366&lt;&gt;"",COUNTIFS($A$5:$A$1668,$A366,$D$5:$D$1668,$D366)&gt;1),"Two players picked as "&amp;$D366,IF(COUNTIFS($A$5:$A$1668,$A366,$D$5:$D$1668,"Gross winner")=0,"Pick this week's gross winner",IF(COUNTIFS($A$5:$A$1668,$A366,$D$5:$D$1668,"Net winner")=0,"Pick this week's net winner","OK")))))))</f>
        <v/>
      </c>
    </row>
    <row r="367" outlineLevel="1">
      <c r="A367" s="13" t="n">
        <v>46470</v>
      </c>
      <c r="E367" s="11">
        <f>IF(OR($B367="",NOT(ISNUMBER($C367))),"",COUNTIFS($A$5:$A$1668,$A367,$C$5:$C$1668,"&lt;"&amp;$C367)+1)</f>
        <v/>
      </c>
      <c r="F367" s="11">
        <f>IF(OR($B367="",NOT(ISNUMBER($C367))),"",COUNTIFS($A$5:$A$1668,$A367,$C$5:$C$1668,"&gt;0"))</f>
        <v/>
      </c>
      <c r="G367" s="11">
        <f>IF(OR($B367="",NOT(ISNUMBER($C367))),"",IF($D367&lt;&gt;"",ROUND(Points!$B$6*IF($F367&lt;Points!$H$4,Points!$H$5,1),0),ROUND(Points!$B$6*IF($F367&lt;=1,1,Points!$H$7+(1-Points!$H$7)*((($F367-$E367)*(($F367-$E367)+1)/2)^2-((($F367-$E367-COUNTIFS($A$5:$A$1668,$A367,$C$5:$C$1668,$C367)+1)-1)*($F367-$E367-COUNTIFS($A$5:$A$1668,$A367,$C$5:$C$1668,$C367)+1)/2)^2)/(COUNTIFS($A$5:$A$1668,$A367,$C$5:$C$1668,$C367)*($F367-1)^3))*IF($F367&lt;Points!$H$4,Points!$H$5,1),0)))</f>
        <v/>
      </c>
      <c r="H367" s="11">
        <f>IF($G367="","",COUNTIFS($B$5:$B$1668,$B367,$G$5:$G$1668,"&gt;"&amp;$G367)+COUNTIFS($B$4:$B366,$B367,$G$4:$G366,$G367)+1)</f>
        <v/>
      </c>
      <c r="I367" s="11">
        <f>IF($G367="","",IF($H367&lt;=Points!$H$6,$G367,0))</f>
        <v/>
      </c>
      <c r="J367" s="11">
        <f>IF($B367="","",IF(COUNTIF(Players!$A$2:$A$500,$B367)=0,"Player is not on the Players tab",IF(NOT(ISNUMBER($C367)),"Enter a gross score",IF(COUNTIFS($A$5:$A$1668,$A367,$B$5:$B$1668,$B367)&gt;1,"Player is listed twice this week",IF(AND($D367&lt;&gt;"",COUNTIFS($A$5:$A$1668,$A367,$D$5:$D$1668,$D367)&gt;1),"Two players picked as "&amp;$D367,IF(COUNTIFS($A$5:$A$1668,$A367,$D$5:$D$1668,"Gross winner")=0,"Pick this week's gross winner",IF(COUNTIFS($A$5:$A$1668,$A367,$D$5:$D$1668,"Net winner")=0,"Pick this week's net winner","OK")))))))</f>
        <v/>
      </c>
    </row>
    <row r="368" outlineLevel="1">
      <c r="A368" s="13" t="n">
        <v>46470</v>
      </c>
      <c r="E368" s="11">
        <f>IF(OR($B368="",NOT(ISNUMBER($C368))),"",COUNTIFS($A$5:$A$1668,$A368,$C$5:$C$1668,"&lt;"&amp;$C368)+1)</f>
        <v/>
      </c>
      <c r="F368" s="11">
        <f>IF(OR($B368="",NOT(ISNUMBER($C368))),"",COUNTIFS($A$5:$A$1668,$A368,$C$5:$C$1668,"&gt;0"))</f>
        <v/>
      </c>
      <c r="G368" s="11">
        <f>IF(OR($B368="",NOT(ISNUMBER($C368))),"",IF($D368&lt;&gt;"",ROUND(Points!$B$6*IF($F368&lt;Points!$H$4,Points!$H$5,1),0),ROUND(Points!$B$6*IF($F368&lt;=1,1,Points!$H$7+(1-Points!$H$7)*((($F368-$E368)*(($F368-$E368)+1)/2)^2-((($F368-$E368-COUNTIFS($A$5:$A$1668,$A368,$C$5:$C$1668,$C368)+1)-1)*($F368-$E368-COUNTIFS($A$5:$A$1668,$A368,$C$5:$C$1668,$C368)+1)/2)^2)/(COUNTIFS($A$5:$A$1668,$A368,$C$5:$C$1668,$C368)*($F368-1)^3))*IF($F368&lt;Points!$H$4,Points!$H$5,1),0)))</f>
        <v/>
      </c>
      <c r="H368" s="11">
        <f>IF($G368="","",COUNTIFS($B$5:$B$1668,$B368,$G$5:$G$1668,"&gt;"&amp;$G368)+COUNTIFS($B$4:$B367,$B368,$G$4:$G367,$G368)+1)</f>
        <v/>
      </c>
      <c r="I368" s="11">
        <f>IF($G368="","",IF($H368&lt;=Points!$H$6,$G368,0))</f>
        <v/>
      </c>
      <c r="J368" s="11">
        <f>IF($B368="","",IF(COUNTIF(Players!$A$2:$A$500,$B368)=0,"Player is not on the Players tab",IF(NOT(ISNUMBER($C368)),"Enter a gross score",IF(COUNTIFS($A$5:$A$1668,$A368,$B$5:$B$1668,$B368)&gt;1,"Player is listed twice this week",IF(AND($D368&lt;&gt;"",COUNTIFS($A$5:$A$1668,$A368,$D$5:$D$1668,$D368)&gt;1),"Two players picked as "&amp;$D368,IF(COUNTIFS($A$5:$A$1668,$A368,$D$5:$D$1668,"Gross winner")=0,"Pick this week's gross winner",IF(COUNTIFS($A$5:$A$1668,$A368,$D$5:$D$1668,"Net winner")=0,"Pick this week's net winner","OK")))))))</f>
        <v/>
      </c>
    </row>
    <row r="369" outlineLevel="1">
      <c r="A369" s="13" t="n">
        <v>46470</v>
      </c>
      <c r="E369" s="11">
        <f>IF(OR($B369="",NOT(ISNUMBER($C369))),"",COUNTIFS($A$5:$A$1668,$A369,$C$5:$C$1668,"&lt;"&amp;$C369)+1)</f>
        <v/>
      </c>
      <c r="F369" s="11">
        <f>IF(OR($B369="",NOT(ISNUMBER($C369))),"",COUNTIFS($A$5:$A$1668,$A369,$C$5:$C$1668,"&gt;0"))</f>
        <v/>
      </c>
      <c r="G369" s="11">
        <f>IF(OR($B369="",NOT(ISNUMBER($C369))),"",IF($D369&lt;&gt;"",ROUND(Points!$B$6*IF($F369&lt;Points!$H$4,Points!$H$5,1),0),ROUND(Points!$B$6*IF($F369&lt;=1,1,Points!$H$7+(1-Points!$H$7)*((($F369-$E369)*(($F369-$E369)+1)/2)^2-((($F369-$E369-COUNTIFS($A$5:$A$1668,$A369,$C$5:$C$1668,$C369)+1)-1)*($F369-$E369-COUNTIFS($A$5:$A$1668,$A369,$C$5:$C$1668,$C369)+1)/2)^2)/(COUNTIFS($A$5:$A$1668,$A369,$C$5:$C$1668,$C369)*($F369-1)^3))*IF($F369&lt;Points!$H$4,Points!$H$5,1),0)))</f>
        <v/>
      </c>
      <c r="H369" s="11">
        <f>IF($G369="","",COUNTIFS($B$5:$B$1668,$B369,$G$5:$G$1668,"&gt;"&amp;$G369)+COUNTIFS($B$4:$B368,$B369,$G$4:$G368,$G369)+1)</f>
        <v/>
      </c>
      <c r="I369" s="11">
        <f>IF($G369="","",IF($H369&lt;=Points!$H$6,$G369,0))</f>
        <v/>
      </c>
      <c r="J369" s="11">
        <f>IF($B369="","",IF(COUNTIF(Players!$A$2:$A$500,$B369)=0,"Player is not on the Players tab",IF(NOT(ISNUMBER($C369)),"Enter a gross score",IF(COUNTIFS($A$5:$A$1668,$A369,$B$5:$B$1668,$B369)&gt;1,"Player is listed twice this week",IF(AND($D369&lt;&gt;"",COUNTIFS($A$5:$A$1668,$A369,$D$5:$D$1668,$D369)&gt;1),"Two players picked as "&amp;$D369,IF(COUNTIFS($A$5:$A$1668,$A369,$D$5:$D$1668,"Gross winner")=0,"Pick this week's gross winner",IF(COUNTIFS($A$5:$A$1668,$A369,$D$5:$D$1668,"Net winner")=0,"Pick this week's net winner","OK")))))))</f>
        <v/>
      </c>
    </row>
    <row r="370" outlineLevel="1">
      <c r="A370" s="13" t="n">
        <v>46470</v>
      </c>
      <c r="E370" s="11">
        <f>IF(OR($B370="",NOT(ISNUMBER($C370))),"",COUNTIFS($A$5:$A$1668,$A370,$C$5:$C$1668,"&lt;"&amp;$C370)+1)</f>
        <v/>
      </c>
      <c r="F370" s="11">
        <f>IF(OR($B370="",NOT(ISNUMBER($C370))),"",COUNTIFS($A$5:$A$1668,$A370,$C$5:$C$1668,"&gt;0"))</f>
        <v/>
      </c>
      <c r="G370" s="11">
        <f>IF(OR($B370="",NOT(ISNUMBER($C370))),"",IF($D370&lt;&gt;"",ROUND(Points!$B$6*IF($F370&lt;Points!$H$4,Points!$H$5,1),0),ROUND(Points!$B$6*IF($F370&lt;=1,1,Points!$H$7+(1-Points!$H$7)*((($F370-$E370)*(($F370-$E370)+1)/2)^2-((($F370-$E370-COUNTIFS($A$5:$A$1668,$A370,$C$5:$C$1668,$C370)+1)-1)*($F370-$E370-COUNTIFS($A$5:$A$1668,$A370,$C$5:$C$1668,$C370)+1)/2)^2)/(COUNTIFS($A$5:$A$1668,$A370,$C$5:$C$1668,$C370)*($F370-1)^3))*IF($F370&lt;Points!$H$4,Points!$H$5,1),0)))</f>
        <v/>
      </c>
      <c r="H370" s="11">
        <f>IF($G370="","",COUNTIFS($B$5:$B$1668,$B370,$G$5:$G$1668,"&gt;"&amp;$G370)+COUNTIFS($B$4:$B369,$B370,$G$4:$G369,$G370)+1)</f>
        <v/>
      </c>
      <c r="I370" s="11">
        <f>IF($G370="","",IF($H370&lt;=Points!$H$6,$G370,0))</f>
        <v/>
      </c>
      <c r="J370" s="11">
        <f>IF($B370="","",IF(COUNTIF(Players!$A$2:$A$500,$B370)=0,"Player is not on the Players tab",IF(NOT(ISNUMBER($C370)),"Enter a gross score",IF(COUNTIFS($A$5:$A$1668,$A370,$B$5:$B$1668,$B370)&gt;1,"Player is listed twice this week",IF(AND($D370&lt;&gt;"",COUNTIFS($A$5:$A$1668,$A370,$D$5:$D$1668,$D370)&gt;1),"Two players picked as "&amp;$D370,IF(COUNTIFS($A$5:$A$1668,$A370,$D$5:$D$1668,"Gross winner")=0,"Pick this week's gross winner",IF(COUNTIFS($A$5:$A$1668,$A370,$D$5:$D$1668,"Net winner")=0,"Pick this week's net winner","OK")))))))</f>
        <v/>
      </c>
    </row>
    <row r="371" outlineLevel="1">
      <c r="A371" s="13" t="n">
        <v>46470</v>
      </c>
      <c r="E371" s="11">
        <f>IF(OR($B371="",NOT(ISNUMBER($C371))),"",COUNTIFS($A$5:$A$1668,$A371,$C$5:$C$1668,"&lt;"&amp;$C371)+1)</f>
        <v/>
      </c>
      <c r="F371" s="11">
        <f>IF(OR($B371="",NOT(ISNUMBER($C371))),"",COUNTIFS($A$5:$A$1668,$A371,$C$5:$C$1668,"&gt;0"))</f>
        <v/>
      </c>
      <c r="G371" s="11">
        <f>IF(OR($B371="",NOT(ISNUMBER($C371))),"",IF($D371&lt;&gt;"",ROUND(Points!$B$6*IF($F371&lt;Points!$H$4,Points!$H$5,1),0),ROUND(Points!$B$6*IF($F371&lt;=1,1,Points!$H$7+(1-Points!$H$7)*((($F371-$E371)*(($F371-$E371)+1)/2)^2-((($F371-$E371-COUNTIFS($A$5:$A$1668,$A371,$C$5:$C$1668,$C371)+1)-1)*($F371-$E371-COUNTIFS($A$5:$A$1668,$A371,$C$5:$C$1668,$C371)+1)/2)^2)/(COUNTIFS($A$5:$A$1668,$A371,$C$5:$C$1668,$C371)*($F371-1)^3))*IF($F371&lt;Points!$H$4,Points!$H$5,1),0)))</f>
        <v/>
      </c>
      <c r="H371" s="11">
        <f>IF($G371="","",COUNTIFS($B$5:$B$1668,$B371,$G$5:$G$1668,"&gt;"&amp;$G371)+COUNTIFS($B$4:$B370,$B371,$G$4:$G370,$G371)+1)</f>
        <v/>
      </c>
      <c r="I371" s="11">
        <f>IF($G371="","",IF($H371&lt;=Points!$H$6,$G371,0))</f>
        <v/>
      </c>
      <c r="J371" s="11">
        <f>IF($B371="","",IF(COUNTIF(Players!$A$2:$A$500,$B371)=0,"Player is not on the Players tab",IF(NOT(ISNUMBER($C371)),"Enter a gross score",IF(COUNTIFS($A$5:$A$1668,$A371,$B$5:$B$1668,$B371)&gt;1,"Player is listed twice this week",IF(AND($D371&lt;&gt;"",COUNTIFS($A$5:$A$1668,$A371,$D$5:$D$1668,$D371)&gt;1),"Two players picked as "&amp;$D371,IF(COUNTIFS($A$5:$A$1668,$A371,$D$5:$D$1668,"Gross winner")=0,"Pick this week's gross winner",IF(COUNTIFS($A$5:$A$1668,$A371,$D$5:$D$1668,"Net winner")=0,"Pick this week's net winner","OK")))))))</f>
        <v/>
      </c>
    </row>
    <row r="372" outlineLevel="1">
      <c r="A372" s="13" t="n">
        <v>46470</v>
      </c>
      <c r="E372" s="11">
        <f>IF(OR($B372="",NOT(ISNUMBER($C372))),"",COUNTIFS($A$5:$A$1668,$A372,$C$5:$C$1668,"&lt;"&amp;$C372)+1)</f>
        <v/>
      </c>
      <c r="F372" s="11">
        <f>IF(OR($B372="",NOT(ISNUMBER($C372))),"",COUNTIFS($A$5:$A$1668,$A372,$C$5:$C$1668,"&gt;0"))</f>
        <v/>
      </c>
      <c r="G372" s="11">
        <f>IF(OR($B372="",NOT(ISNUMBER($C372))),"",IF($D372&lt;&gt;"",ROUND(Points!$B$6*IF($F372&lt;Points!$H$4,Points!$H$5,1),0),ROUND(Points!$B$6*IF($F372&lt;=1,1,Points!$H$7+(1-Points!$H$7)*((($F372-$E372)*(($F372-$E372)+1)/2)^2-((($F372-$E372-COUNTIFS($A$5:$A$1668,$A372,$C$5:$C$1668,$C372)+1)-1)*($F372-$E372-COUNTIFS($A$5:$A$1668,$A372,$C$5:$C$1668,$C372)+1)/2)^2)/(COUNTIFS($A$5:$A$1668,$A372,$C$5:$C$1668,$C372)*($F372-1)^3))*IF($F372&lt;Points!$H$4,Points!$H$5,1),0)))</f>
        <v/>
      </c>
      <c r="H372" s="11">
        <f>IF($G372="","",COUNTIFS($B$5:$B$1668,$B372,$G$5:$G$1668,"&gt;"&amp;$G372)+COUNTIFS($B$4:$B371,$B372,$G$4:$G371,$G372)+1)</f>
        <v/>
      </c>
      <c r="I372" s="11">
        <f>IF($G372="","",IF($H372&lt;=Points!$H$6,$G372,0))</f>
        <v/>
      </c>
      <c r="J372" s="11">
        <f>IF($B372="","",IF(COUNTIF(Players!$A$2:$A$500,$B372)=0,"Player is not on the Players tab",IF(NOT(ISNUMBER($C372)),"Enter a gross score",IF(COUNTIFS($A$5:$A$1668,$A372,$B$5:$B$1668,$B372)&gt;1,"Player is listed twice this week",IF(AND($D372&lt;&gt;"",COUNTIFS($A$5:$A$1668,$A372,$D$5:$D$1668,$D372)&gt;1),"Two players picked as "&amp;$D372,IF(COUNTIFS($A$5:$A$1668,$A372,$D$5:$D$1668,"Gross winner")=0,"Pick this week's gross winner",IF(COUNTIFS($A$5:$A$1668,$A372,$D$5:$D$1668,"Net winner")=0,"Pick this week's net winner","OK")))))))</f>
        <v/>
      </c>
    </row>
    <row r="373" outlineLevel="1">
      <c r="A373" s="13" t="n">
        <v>46470</v>
      </c>
      <c r="E373" s="11">
        <f>IF(OR($B373="",NOT(ISNUMBER($C373))),"",COUNTIFS($A$5:$A$1668,$A373,$C$5:$C$1668,"&lt;"&amp;$C373)+1)</f>
        <v/>
      </c>
      <c r="F373" s="11">
        <f>IF(OR($B373="",NOT(ISNUMBER($C373))),"",COUNTIFS($A$5:$A$1668,$A373,$C$5:$C$1668,"&gt;0"))</f>
        <v/>
      </c>
      <c r="G373" s="11">
        <f>IF(OR($B373="",NOT(ISNUMBER($C373))),"",IF($D373&lt;&gt;"",ROUND(Points!$B$6*IF($F373&lt;Points!$H$4,Points!$H$5,1),0),ROUND(Points!$B$6*IF($F373&lt;=1,1,Points!$H$7+(1-Points!$H$7)*((($F373-$E373)*(($F373-$E373)+1)/2)^2-((($F373-$E373-COUNTIFS($A$5:$A$1668,$A373,$C$5:$C$1668,$C373)+1)-1)*($F373-$E373-COUNTIFS($A$5:$A$1668,$A373,$C$5:$C$1668,$C373)+1)/2)^2)/(COUNTIFS($A$5:$A$1668,$A373,$C$5:$C$1668,$C373)*($F373-1)^3))*IF($F373&lt;Points!$H$4,Points!$H$5,1),0)))</f>
        <v/>
      </c>
      <c r="H373" s="11">
        <f>IF($G373="","",COUNTIFS($B$5:$B$1668,$B373,$G$5:$G$1668,"&gt;"&amp;$G373)+COUNTIFS($B$4:$B372,$B373,$G$4:$G372,$G373)+1)</f>
        <v/>
      </c>
      <c r="I373" s="11">
        <f>IF($G373="","",IF($H373&lt;=Points!$H$6,$G373,0))</f>
        <v/>
      </c>
      <c r="J373" s="11">
        <f>IF($B373="","",IF(COUNTIF(Players!$A$2:$A$500,$B373)=0,"Player is not on the Players tab",IF(NOT(ISNUMBER($C373)),"Enter a gross score",IF(COUNTIFS($A$5:$A$1668,$A373,$B$5:$B$1668,$B373)&gt;1,"Player is listed twice this week",IF(AND($D373&lt;&gt;"",COUNTIFS($A$5:$A$1668,$A373,$D$5:$D$1668,$D373)&gt;1),"Two players picked as "&amp;$D373,IF(COUNTIFS($A$5:$A$1668,$A373,$D$5:$D$1668,"Gross winner")=0,"Pick this week's gross winner",IF(COUNTIFS($A$5:$A$1668,$A373,$D$5:$D$1668,"Net winner")=0,"Pick this week's net winner","OK")))))))</f>
        <v/>
      </c>
    </row>
    <row r="374" outlineLevel="1">
      <c r="A374" s="13" t="n">
        <v>46470</v>
      </c>
      <c r="E374" s="11">
        <f>IF(OR($B374="",NOT(ISNUMBER($C374))),"",COUNTIFS($A$5:$A$1668,$A374,$C$5:$C$1668,"&lt;"&amp;$C374)+1)</f>
        <v/>
      </c>
      <c r="F374" s="11">
        <f>IF(OR($B374="",NOT(ISNUMBER($C374))),"",COUNTIFS($A$5:$A$1668,$A374,$C$5:$C$1668,"&gt;0"))</f>
        <v/>
      </c>
      <c r="G374" s="11">
        <f>IF(OR($B374="",NOT(ISNUMBER($C374))),"",IF($D374&lt;&gt;"",ROUND(Points!$B$6*IF($F374&lt;Points!$H$4,Points!$H$5,1),0),ROUND(Points!$B$6*IF($F374&lt;=1,1,Points!$H$7+(1-Points!$H$7)*((($F374-$E374)*(($F374-$E374)+1)/2)^2-((($F374-$E374-COUNTIFS($A$5:$A$1668,$A374,$C$5:$C$1668,$C374)+1)-1)*($F374-$E374-COUNTIFS($A$5:$A$1668,$A374,$C$5:$C$1668,$C374)+1)/2)^2)/(COUNTIFS($A$5:$A$1668,$A374,$C$5:$C$1668,$C374)*($F374-1)^3))*IF($F374&lt;Points!$H$4,Points!$H$5,1),0)))</f>
        <v/>
      </c>
      <c r="H374" s="11">
        <f>IF($G374="","",COUNTIFS($B$5:$B$1668,$B374,$G$5:$G$1668,"&gt;"&amp;$G374)+COUNTIFS($B$4:$B373,$B374,$G$4:$G373,$G374)+1)</f>
        <v/>
      </c>
      <c r="I374" s="11">
        <f>IF($G374="","",IF($H374&lt;=Points!$H$6,$G374,0))</f>
        <v/>
      </c>
      <c r="J374" s="11">
        <f>IF($B374="","",IF(COUNTIF(Players!$A$2:$A$500,$B374)=0,"Player is not on the Players tab",IF(NOT(ISNUMBER($C374)),"Enter a gross score",IF(COUNTIFS($A$5:$A$1668,$A374,$B$5:$B$1668,$B374)&gt;1,"Player is listed twice this week",IF(AND($D374&lt;&gt;"",COUNTIFS($A$5:$A$1668,$A374,$D$5:$D$1668,$D374)&gt;1),"Two players picked as "&amp;$D374,IF(COUNTIFS($A$5:$A$1668,$A374,$D$5:$D$1668,"Gross winner")=0,"Pick this week's gross winner",IF(COUNTIFS($A$5:$A$1668,$A374,$D$5:$D$1668,"Net winner")=0,"Pick this week's net winner","OK")))))))</f>
        <v/>
      </c>
    </row>
    <row r="375" outlineLevel="1">
      <c r="A375" s="13" t="n">
        <v>46470</v>
      </c>
      <c r="E375" s="11">
        <f>IF(OR($B375="",NOT(ISNUMBER($C375))),"",COUNTIFS($A$5:$A$1668,$A375,$C$5:$C$1668,"&lt;"&amp;$C375)+1)</f>
        <v/>
      </c>
      <c r="F375" s="11">
        <f>IF(OR($B375="",NOT(ISNUMBER($C375))),"",COUNTIFS($A$5:$A$1668,$A375,$C$5:$C$1668,"&gt;0"))</f>
        <v/>
      </c>
      <c r="G375" s="11">
        <f>IF(OR($B375="",NOT(ISNUMBER($C375))),"",IF($D375&lt;&gt;"",ROUND(Points!$B$6*IF($F375&lt;Points!$H$4,Points!$H$5,1),0),ROUND(Points!$B$6*IF($F375&lt;=1,1,Points!$H$7+(1-Points!$H$7)*((($F375-$E375)*(($F375-$E375)+1)/2)^2-((($F375-$E375-COUNTIFS($A$5:$A$1668,$A375,$C$5:$C$1668,$C375)+1)-1)*($F375-$E375-COUNTIFS($A$5:$A$1668,$A375,$C$5:$C$1668,$C375)+1)/2)^2)/(COUNTIFS($A$5:$A$1668,$A375,$C$5:$C$1668,$C375)*($F375-1)^3))*IF($F375&lt;Points!$H$4,Points!$H$5,1),0)))</f>
        <v/>
      </c>
      <c r="H375" s="11">
        <f>IF($G375="","",COUNTIFS($B$5:$B$1668,$B375,$G$5:$G$1668,"&gt;"&amp;$G375)+COUNTIFS($B$4:$B374,$B375,$G$4:$G374,$G375)+1)</f>
        <v/>
      </c>
      <c r="I375" s="11">
        <f>IF($G375="","",IF($H375&lt;=Points!$H$6,$G375,0))</f>
        <v/>
      </c>
      <c r="J375" s="11">
        <f>IF($B375="","",IF(COUNTIF(Players!$A$2:$A$500,$B375)=0,"Player is not on the Players tab",IF(NOT(ISNUMBER($C375)),"Enter a gross score",IF(COUNTIFS($A$5:$A$1668,$A375,$B$5:$B$1668,$B375)&gt;1,"Player is listed twice this week",IF(AND($D375&lt;&gt;"",COUNTIFS($A$5:$A$1668,$A375,$D$5:$D$1668,$D375)&gt;1),"Two players picked as "&amp;$D375,IF(COUNTIFS($A$5:$A$1668,$A375,$D$5:$D$1668,"Gross winner")=0,"Pick this week's gross winner",IF(COUNTIFS($A$5:$A$1668,$A375,$D$5:$D$1668,"Net winner")=0,"Pick this week's net winner","OK")))))))</f>
        <v/>
      </c>
    </row>
    <row r="376" outlineLevel="1">
      <c r="A376" s="13" t="n">
        <v>46470</v>
      </c>
      <c r="E376" s="11">
        <f>IF(OR($B376="",NOT(ISNUMBER($C376))),"",COUNTIFS($A$5:$A$1668,$A376,$C$5:$C$1668,"&lt;"&amp;$C376)+1)</f>
        <v/>
      </c>
      <c r="F376" s="11">
        <f>IF(OR($B376="",NOT(ISNUMBER($C376))),"",COUNTIFS($A$5:$A$1668,$A376,$C$5:$C$1668,"&gt;0"))</f>
        <v/>
      </c>
      <c r="G376" s="11">
        <f>IF(OR($B376="",NOT(ISNUMBER($C376))),"",IF($D376&lt;&gt;"",ROUND(Points!$B$6*IF($F376&lt;Points!$H$4,Points!$H$5,1),0),ROUND(Points!$B$6*IF($F376&lt;=1,1,Points!$H$7+(1-Points!$H$7)*((($F376-$E376)*(($F376-$E376)+1)/2)^2-((($F376-$E376-COUNTIFS($A$5:$A$1668,$A376,$C$5:$C$1668,$C376)+1)-1)*($F376-$E376-COUNTIFS($A$5:$A$1668,$A376,$C$5:$C$1668,$C376)+1)/2)^2)/(COUNTIFS($A$5:$A$1668,$A376,$C$5:$C$1668,$C376)*($F376-1)^3))*IF($F376&lt;Points!$H$4,Points!$H$5,1),0)))</f>
        <v/>
      </c>
      <c r="H376" s="11">
        <f>IF($G376="","",COUNTIFS($B$5:$B$1668,$B376,$G$5:$G$1668,"&gt;"&amp;$G376)+COUNTIFS($B$4:$B375,$B376,$G$4:$G375,$G376)+1)</f>
        <v/>
      </c>
      <c r="I376" s="11">
        <f>IF($G376="","",IF($H376&lt;=Points!$H$6,$G376,0))</f>
        <v/>
      </c>
      <c r="J376" s="11">
        <f>IF($B376="","",IF(COUNTIF(Players!$A$2:$A$500,$B376)=0,"Player is not on the Players tab",IF(NOT(ISNUMBER($C376)),"Enter a gross score",IF(COUNTIFS($A$5:$A$1668,$A376,$B$5:$B$1668,$B376)&gt;1,"Player is listed twice this week",IF(AND($D376&lt;&gt;"",COUNTIFS($A$5:$A$1668,$A376,$D$5:$D$1668,$D376)&gt;1),"Two players picked as "&amp;$D376,IF(COUNTIFS($A$5:$A$1668,$A376,$D$5:$D$1668,"Gross winner")=0,"Pick this week's gross winner",IF(COUNTIFS($A$5:$A$1668,$A376,$D$5:$D$1668,"Net winner")=0,"Pick this week's net winner","OK")))))))</f>
        <v/>
      </c>
    </row>
    <row r="377" outlineLevel="1">
      <c r="A377" s="13" t="n">
        <v>46470</v>
      </c>
      <c r="E377" s="11">
        <f>IF(OR($B377="",NOT(ISNUMBER($C377))),"",COUNTIFS($A$5:$A$1668,$A377,$C$5:$C$1668,"&lt;"&amp;$C377)+1)</f>
        <v/>
      </c>
      <c r="F377" s="11">
        <f>IF(OR($B377="",NOT(ISNUMBER($C377))),"",COUNTIFS($A$5:$A$1668,$A377,$C$5:$C$1668,"&gt;0"))</f>
        <v/>
      </c>
      <c r="G377" s="11">
        <f>IF(OR($B377="",NOT(ISNUMBER($C377))),"",IF($D377&lt;&gt;"",ROUND(Points!$B$6*IF($F377&lt;Points!$H$4,Points!$H$5,1),0),ROUND(Points!$B$6*IF($F377&lt;=1,1,Points!$H$7+(1-Points!$H$7)*((($F377-$E377)*(($F377-$E377)+1)/2)^2-((($F377-$E377-COUNTIFS($A$5:$A$1668,$A377,$C$5:$C$1668,$C377)+1)-1)*($F377-$E377-COUNTIFS($A$5:$A$1668,$A377,$C$5:$C$1668,$C377)+1)/2)^2)/(COUNTIFS($A$5:$A$1668,$A377,$C$5:$C$1668,$C377)*($F377-1)^3))*IF($F377&lt;Points!$H$4,Points!$H$5,1),0)))</f>
        <v/>
      </c>
      <c r="H377" s="11">
        <f>IF($G377="","",COUNTIFS($B$5:$B$1668,$B377,$G$5:$G$1668,"&gt;"&amp;$G377)+COUNTIFS($B$4:$B376,$B377,$G$4:$G376,$G377)+1)</f>
        <v/>
      </c>
      <c r="I377" s="11">
        <f>IF($G377="","",IF($H377&lt;=Points!$H$6,$G377,0))</f>
        <v/>
      </c>
      <c r="J377" s="11">
        <f>IF($B377="","",IF(COUNTIF(Players!$A$2:$A$500,$B377)=0,"Player is not on the Players tab",IF(NOT(ISNUMBER($C377)),"Enter a gross score",IF(COUNTIFS($A$5:$A$1668,$A377,$B$5:$B$1668,$B377)&gt;1,"Player is listed twice this week",IF(AND($D377&lt;&gt;"",COUNTIFS($A$5:$A$1668,$A377,$D$5:$D$1668,$D377)&gt;1),"Two players picked as "&amp;$D377,IF(COUNTIFS($A$5:$A$1668,$A377,$D$5:$D$1668,"Gross winner")=0,"Pick this week's gross winner",IF(COUNTIFS($A$5:$A$1668,$A377,$D$5:$D$1668,"Net winner")=0,"Pick this week's net winner","OK")))))))</f>
        <v/>
      </c>
    </row>
    <row r="378" outlineLevel="1">
      <c r="A378" s="13" t="n">
        <v>46470</v>
      </c>
      <c r="E378" s="11">
        <f>IF(OR($B378="",NOT(ISNUMBER($C378))),"",COUNTIFS($A$5:$A$1668,$A378,$C$5:$C$1668,"&lt;"&amp;$C378)+1)</f>
        <v/>
      </c>
      <c r="F378" s="11">
        <f>IF(OR($B378="",NOT(ISNUMBER($C378))),"",COUNTIFS($A$5:$A$1668,$A378,$C$5:$C$1668,"&gt;0"))</f>
        <v/>
      </c>
      <c r="G378" s="11">
        <f>IF(OR($B378="",NOT(ISNUMBER($C378))),"",IF($D378&lt;&gt;"",ROUND(Points!$B$6*IF($F378&lt;Points!$H$4,Points!$H$5,1),0),ROUND(Points!$B$6*IF($F378&lt;=1,1,Points!$H$7+(1-Points!$H$7)*((($F378-$E378)*(($F378-$E378)+1)/2)^2-((($F378-$E378-COUNTIFS($A$5:$A$1668,$A378,$C$5:$C$1668,$C378)+1)-1)*($F378-$E378-COUNTIFS($A$5:$A$1668,$A378,$C$5:$C$1668,$C378)+1)/2)^2)/(COUNTIFS($A$5:$A$1668,$A378,$C$5:$C$1668,$C378)*($F378-1)^3))*IF($F378&lt;Points!$H$4,Points!$H$5,1),0)))</f>
        <v/>
      </c>
      <c r="H378" s="11">
        <f>IF($G378="","",COUNTIFS($B$5:$B$1668,$B378,$G$5:$G$1668,"&gt;"&amp;$G378)+COUNTIFS($B$4:$B377,$B378,$G$4:$G377,$G378)+1)</f>
        <v/>
      </c>
      <c r="I378" s="11">
        <f>IF($G378="","",IF($H378&lt;=Points!$H$6,$G378,0))</f>
        <v/>
      </c>
      <c r="J378" s="11">
        <f>IF($B378="","",IF(COUNTIF(Players!$A$2:$A$500,$B378)=0,"Player is not on the Players tab",IF(NOT(ISNUMBER($C378)),"Enter a gross score",IF(COUNTIFS($A$5:$A$1668,$A378,$B$5:$B$1668,$B378)&gt;1,"Player is listed twice this week",IF(AND($D378&lt;&gt;"",COUNTIFS($A$5:$A$1668,$A378,$D$5:$D$1668,$D378)&gt;1),"Two players picked as "&amp;$D378,IF(COUNTIFS($A$5:$A$1668,$A378,$D$5:$D$1668,"Gross winner")=0,"Pick this week's gross winner",IF(COUNTIFS($A$5:$A$1668,$A378,$D$5:$D$1668,"Net winner")=0,"Pick this week's net winner","OK")))))))</f>
        <v/>
      </c>
    </row>
    <row r="379" outlineLevel="1">
      <c r="A379" s="13" t="n">
        <v>46470</v>
      </c>
      <c r="E379" s="11">
        <f>IF(OR($B379="",NOT(ISNUMBER($C379))),"",COUNTIFS($A$5:$A$1668,$A379,$C$5:$C$1668,"&lt;"&amp;$C379)+1)</f>
        <v/>
      </c>
      <c r="F379" s="11">
        <f>IF(OR($B379="",NOT(ISNUMBER($C379))),"",COUNTIFS($A$5:$A$1668,$A379,$C$5:$C$1668,"&gt;0"))</f>
        <v/>
      </c>
      <c r="G379" s="11">
        <f>IF(OR($B379="",NOT(ISNUMBER($C379))),"",IF($D379&lt;&gt;"",ROUND(Points!$B$6*IF($F379&lt;Points!$H$4,Points!$H$5,1),0),ROUND(Points!$B$6*IF($F379&lt;=1,1,Points!$H$7+(1-Points!$H$7)*((($F379-$E379)*(($F379-$E379)+1)/2)^2-((($F379-$E379-COUNTIFS($A$5:$A$1668,$A379,$C$5:$C$1668,$C379)+1)-1)*($F379-$E379-COUNTIFS($A$5:$A$1668,$A379,$C$5:$C$1668,$C379)+1)/2)^2)/(COUNTIFS($A$5:$A$1668,$A379,$C$5:$C$1668,$C379)*($F379-1)^3))*IF($F379&lt;Points!$H$4,Points!$H$5,1),0)))</f>
        <v/>
      </c>
      <c r="H379" s="11">
        <f>IF($G379="","",COUNTIFS($B$5:$B$1668,$B379,$G$5:$G$1668,"&gt;"&amp;$G379)+COUNTIFS($B$4:$B378,$B379,$G$4:$G378,$G379)+1)</f>
        <v/>
      </c>
      <c r="I379" s="11">
        <f>IF($G379="","",IF($H379&lt;=Points!$H$6,$G379,0))</f>
        <v/>
      </c>
      <c r="J379" s="11">
        <f>IF($B379="","",IF(COUNTIF(Players!$A$2:$A$500,$B379)=0,"Player is not on the Players tab",IF(NOT(ISNUMBER($C379)),"Enter a gross score",IF(COUNTIFS($A$5:$A$1668,$A379,$B$5:$B$1668,$B379)&gt;1,"Player is listed twice this week",IF(AND($D379&lt;&gt;"",COUNTIFS($A$5:$A$1668,$A379,$D$5:$D$1668,$D379)&gt;1),"Two players picked as "&amp;$D379,IF(COUNTIFS($A$5:$A$1668,$A379,$D$5:$D$1668,"Gross winner")=0,"Pick this week's gross winner",IF(COUNTIFS($A$5:$A$1668,$A379,$D$5:$D$1668,"Net winner")=0,"Pick this week's net winner","OK")))))))</f>
        <v/>
      </c>
    </row>
    <row r="380" outlineLevel="1">
      <c r="A380" s="13" t="n">
        <v>46470</v>
      </c>
      <c r="E380" s="11">
        <f>IF(OR($B380="",NOT(ISNUMBER($C380))),"",COUNTIFS($A$5:$A$1668,$A380,$C$5:$C$1668,"&lt;"&amp;$C380)+1)</f>
        <v/>
      </c>
      <c r="F380" s="11">
        <f>IF(OR($B380="",NOT(ISNUMBER($C380))),"",COUNTIFS($A$5:$A$1668,$A380,$C$5:$C$1668,"&gt;0"))</f>
        <v/>
      </c>
      <c r="G380" s="11">
        <f>IF(OR($B380="",NOT(ISNUMBER($C380))),"",IF($D380&lt;&gt;"",ROUND(Points!$B$6*IF($F380&lt;Points!$H$4,Points!$H$5,1),0),ROUND(Points!$B$6*IF($F380&lt;=1,1,Points!$H$7+(1-Points!$H$7)*((($F380-$E380)*(($F380-$E380)+1)/2)^2-((($F380-$E380-COUNTIFS($A$5:$A$1668,$A380,$C$5:$C$1668,$C380)+1)-1)*($F380-$E380-COUNTIFS($A$5:$A$1668,$A380,$C$5:$C$1668,$C380)+1)/2)^2)/(COUNTIFS($A$5:$A$1668,$A380,$C$5:$C$1668,$C380)*($F380-1)^3))*IF($F380&lt;Points!$H$4,Points!$H$5,1),0)))</f>
        <v/>
      </c>
      <c r="H380" s="11">
        <f>IF($G380="","",COUNTIFS($B$5:$B$1668,$B380,$G$5:$G$1668,"&gt;"&amp;$G380)+COUNTIFS($B$4:$B379,$B380,$G$4:$G379,$G380)+1)</f>
        <v/>
      </c>
      <c r="I380" s="11">
        <f>IF($G380="","",IF($H380&lt;=Points!$H$6,$G380,0))</f>
        <v/>
      </c>
      <c r="J380" s="11">
        <f>IF($B380="","",IF(COUNTIF(Players!$A$2:$A$500,$B380)=0,"Player is not on the Players tab",IF(NOT(ISNUMBER($C380)),"Enter a gross score",IF(COUNTIFS($A$5:$A$1668,$A380,$B$5:$B$1668,$B380)&gt;1,"Player is listed twice this week",IF(AND($D380&lt;&gt;"",COUNTIFS($A$5:$A$1668,$A380,$D$5:$D$1668,$D380)&gt;1),"Two players picked as "&amp;$D380,IF(COUNTIFS($A$5:$A$1668,$A380,$D$5:$D$1668,"Gross winner")=0,"Pick this week's gross winner",IF(COUNTIFS($A$5:$A$1668,$A380,$D$5:$D$1668,"Net winner")=0,"Pick this week's net winner","OK")))))))</f>
        <v/>
      </c>
    </row>
    <row r="381" outlineLevel="1">
      <c r="A381" s="13" t="n">
        <v>46470</v>
      </c>
      <c r="E381" s="11">
        <f>IF(OR($B381="",NOT(ISNUMBER($C381))),"",COUNTIFS($A$5:$A$1668,$A381,$C$5:$C$1668,"&lt;"&amp;$C381)+1)</f>
        <v/>
      </c>
      <c r="F381" s="11">
        <f>IF(OR($B381="",NOT(ISNUMBER($C381))),"",COUNTIFS($A$5:$A$1668,$A381,$C$5:$C$1668,"&gt;0"))</f>
        <v/>
      </c>
      <c r="G381" s="11">
        <f>IF(OR($B381="",NOT(ISNUMBER($C381))),"",IF($D381&lt;&gt;"",ROUND(Points!$B$6*IF($F381&lt;Points!$H$4,Points!$H$5,1),0),ROUND(Points!$B$6*IF($F381&lt;=1,1,Points!$H$7+(1-Points!$H$7)*((($F381-$E381)*(($F381-$E381)+1)/2)^2-((($F381-$E381-COUNTIFS($A$5:$A$1668,$A381,$C$5:$C$1668,$C381)+1)-1)*($F381-$E381-COUNTIFS($A$5:$A$1668,$A381,$C$5:$C$1668,$C381)+1)/2)^2)/(COUNTIFS($A$5:$A$1668,$A381,$C$5:$C$1668,$C381)*($F381-1)^3))*IF($F381&lt;Points!$H$4,Points!$H$5,1),0)))</f>
        <v/>
      </c>
      <c r="H381" s="11">
        <f>IF($G381="","",COUNTIFS($B$5:$B$1668,$B381,$G$5:$G$1668,"&gt;"&amp;$G381)+COUNTIFS($B$4:$B380,$B381,$G$4:$G380,$G381)+1)</f>
        <v/>
      </c>
      <c r="I381" s="11">
        <f>IF($G381="","",IF($H381&lt;=Points!$H$6,$G381,0))</f>
        <v/>
      </c>
      <c r="J381" s="11">
        <f>IF($B381="","",IF(COUNTIF(Players!$A$2:$A$500,$B381)=0,"Player is not on the Players tab",IF(NOT(ISNUMBER($C381)),"Enter a gross score",IF(COUNTIFS($A$5:$A$1668,$A381,$B$5:$B$1668,$B381)&gt;1,"Player is listed twice this week",IF(AND($D381&lt;&gt;"",COUNTIFS($A$5:$A$1668,$A381,$D$5:$D$1668,$D381)&gt;1),"Two players picked as "&amp;$D381,IF(COUNTIFS($A$5:$A$1668,$A381,$D$5:$D$1668,"Gross winner")=0,"Pick this week's gross winner",IF(COUNTIFS($A$5:$A$1668,$A381,$D$5:$D$1668,"Net winner")=0,"Pick this week's net winner","OK")))))))</f>
        <v/>
      </c>
    </row>
    <row r="382" outlineLevel="1">
      <c r="A382" s="13" t="n">
        <v>46470</v>
      </c>
      <c r="E382" s="11">
        <f>IF(OR($B382="",NOT(ISNUMBER($C382))),"",COUNTIFS($A$5:$A$1668,$A382,$C$5:$C$1668,"&lt;"&amp;$C382)+1)</f>
        <v/>
      </c>
      <c r="F382" s="11">
        <f>IF(OR($B382="",NOT(ISNUMBER($C382))),"",COUNTIFS($A$5:$A$1668,$A382,$C$5:$C$1668,"&gt;0"))</f>
        <v/>
      </c>
      <c r="G382" s="11">
        <f>IF(OR($B382="",NOT(ISNUMBER($C382))),"",IF($D382&lt;&gt;"",ROUND(Points!$B$6*IF($F382&lt;Points!$H$4,Points!$H$5,1),0),ROUND(Points!$B$6*IF($F382&lt;=1,1,Points!$H$7+(1-Points!$H$7)*((($F382-$E382)*(($F382-$E382)+1)/2)^2-((($F382-$E382-COUNTIFS($A$5:$A$1668,$A382,$C$5:$C$1668,$C382)+1)-1)*($F382-$E382-COUNTIFS($A$5:$A$1668,$A382,$C$5:$C$1668,$C382)+1)/2)^2)/(COUNTIFS($A$5:$A$1668,$A382,$C$5:$C$1668,$C382)*($F382-1)^3))*IF($F382&lt;Points!$H$4,Points!$H$5,1),0)))</f>
        <v/>
      </c>
      <c r="H382" s="11">
        <f>IF($G382="","",COUNTIFS($B$5:$B$1668,$B382,$G$5:$G$1668,"&gt;"&amp;$G382)+COUNTIFS($B$4:$B381,$B382,$G$4:$G381,$G382)+1)</f>
        <v/>
      </c>
      <c r="I382" s="11">
        <f>IF($G382="","",IF($H382&lt;=Points!$H$6,$G382,0))</f>
        <v/>
      </c>
      <c r="J382" s="11">
        <f>IF($B382="","",IF(COUNTIF(Players!$A$2:$A$500,$B382)=0,"Player is not on the Players tab",IF(NOT(ISNUMBER($C382)),"Enter a gross score",IF(COUNTIFS($A$5:$A$1668,$A382,$B$5:$B$1668,$B382)&gt;1,"Player is listed twice this week",IF(AND($D382&lt;&gt;"",COUNTIFS($A$5:$A$1668,$A382,$D$5:$D$1668,$D382)&gt;1),"Two players picked as "&amp;$D382,IF(COUNTIFS($A$5:$A$1668,$A382,$D$5:$D$1668,"Gross winner")=0,"Pick this week's gross winner",IF(COUNTIFS($A$5:$A$1668,$A382,$D$5:$D$1668,"Net winner")=0,"Pick this week's net winner","OK")))))))</f>
        <v/>
      </c>
    </row>
    <row r="383" outlineLevel="1">
      <c r="A383" s="13" t="n">
        <v>46470</v>
      </c>
      <c r="E383" s="11">
        <f>IF(OR($B383="",NOT(ISNUMBER($C383))),"",COUNTIFS($A$5:$A$1668,$A383,$C$5:$C$1668,"&lt;"&amp;$C383)+1)</f>
        <v/>
      </c>
      <c r="F383" s="11">
        <f>IF(OR($B383="",NOT(ISNUMBER($C383))),"",COUNTIFS($A$5:$A$1668,$A383,$C$5:$C$1668,"&gt;0"))</f>
        <v/>
      </c>
      <c r="G383" s="11">
        <f>IF(OR($B383="",NOT(ISNUMBER($C383))),"",IF($D383&lt;&gt;"",ROUND(Points!$B$6*IF($F383&lt;Points!$H$4,Points!$H$5,1),0),ROUND(Points!$B$6*IF($F383&lt;=1,1,Points!$H$7+(1-Points!$H$7)*((($F383-$E383)*(($F383-$E383)+1)/2)^2-((($F383-$E383-COUNTIFS($A$5:$A$1668,$A383,$C$5:$C$1668,$C383)+1)-1)*($F383-$E383-COUNTIFS($A$5:$A$1668,$A383,$C$5:$C$1668,$C383)+1)/2)^2)/(COUNTIFS($A$5:$A$1668,$A383,$C$5:$C$1668,$C383)*($F383-1)^3))*IF($F383&lt;Points!$H$4,Points!$H$5,1),0)))</f>
        <v/>
      </c>
      <c r="H383" s="11">
        <f>IF($G383="","",COUNTIFS($B$5:$B$1668,$B383,$G$5:$G$1668,"&gt;"&amp;$G383)+COUNTIFS($B$4:$B382,$B383,$G$4:$G382,$G383)+1)</f>
        <v/>
      </c>
      <c r="I383" s="11">
        <f>IF($G383="","",IF($H383&lt;=Points!$H$6,$G383,0))</f>
        <v/>
      </c>
      <c r="J383" s="11">
        <f>IF($B383="","",IF(COUNTIF(Players!$A$2:$A$500,$B383)=0,"Player is not on the Players tab",IF(NOT(ISNUMBER($C383)),"Enter a gross score",IF(COUNTIFS($A$5:$A$1668,$A383,$B$5:$B$1668,$B383)&gt;1,"Player is listed twice this week",IF(AND($D383&lt;&gt;"",COUNTIFS($A$5:$A$1668,$A383,$D$5:$D$1668,$D383)&gt;1),"Two players picked as "&amp;$D383,IF(COUNTIFS($A$5:$A$1668,$A383,$D$5:$D$1668,"Gross winner")=0,"Pick this week's gross winner",IF(COUNTIFS($A$5:$A$1668,$A383,$D$5:$D$1668,"Net winner")=0,"Pick this week's net winner","OK")))))))</f>
        <v/>
      </c>
    </row>
    <row r="384" outlineLevel="1">
      <c r="A384" s="13" t="n">
        <v>46470</v>
      </c>
      <c r="E384" s="11">
        <f>IF(OR($B384="",NOT(ISNUMBER($C384))),"",COUNTIFS($A$5:$A$1668,$A384,$C$5:$C$1668,"&lt;"&amp;$C384)+1)</f>
        <v/>
      </c>
      <c r="F384" s="11">
        <f>IF(OR($B384="",NOT(ISNUMBER($C384))),"",COUNTIFS($A$5:$A$1668,$A384,$C$5:$C$1668,"&gt;0"))</f>
        <v/>
      </c>
      <c r="G384" s="11">
        <f>IF(OR($B384="",NOT(ISNUMBER($C384))),"",IF($D384&lt;&gt;"",ROUND(Points!$B$6*IF($F384&lt;Points!$H$4,Points!$H$5,1),0),ROUND(Points!$B$6*IF($F384&lt;=1,1,Points!$H$7+(1-Points!$H$7)*((($F384-$E384)*(($F384-$E384)+1)/2)^2-((($F384-$E384-COUNTIFS($A$5:$A$1668,$A384,$C$5:$C$1668,$C384)+1)-1)*($F384-$E384-COUNTIFS($A$5:$A$1668,$A384,$C$5:$C$1668,$C384)+1)/2)^2)/(COUNTIFS($A$5:$A$1668,$A384,$C$5:$C$1668,$C384)*($F384-1)^3))*IF($F384&lt;Points!$H$4,Points!$H$5,1),0)))</f>
        <v/>
      </c>
      <c r="H384" s="11">
        <f>IF($G384="","",COUNTIFS($B$5:$B$1668,$B384,$G$5:$G$1668,"&gt;"&amp;$G384)+COUNTIFS($B$4:$B383,$B384,$G$4:$G383,$G384)+1)</f>
        <v/>
      </c>
      <c r="I384" s="11">
        <f>IF($G384="","",IF($H384&lt;=Points!$H$6,$G384,0))</f>
        <v/>
      </c>
      <c r="J384" s="11">
        <f>IF($B384="","",IF(COUNTIF(Players!$A$2:$A$500,$B384)=0,"Player is not on the Players tab",IF(NOT(ISNUMBER($C384)),"Enter a gross score",IF(COUNTIFS($A$5:$A$1668,$A384,$B$5:$B$1668,$B384)&gt;1,"Player is listed twice this week",IF(AND($D384&lt;&gt;"",COUNTIFS($A$5:$A$1668,$A384,$D$5:$D$1668,$D384)&gt;1),"Two players picked as "&amp;$D384,IF(COUNTIFS($A$5:$A$1668,$A384,$D$5:$D$1668,"Gross winner")=0,"Pick this week's gross winner",IF(COUNTIFS($A$5:$A$1668,$A384,$D$5:$D$1668,"Net winner")=0,"Pick this week's net winner","OK")))))))</f>
        <v/>
      </c>
    </row>
    <row r="385" outlineLevel="1">
      <c r="A385" s="13" t="n">
        <v>46470</v>
      </c>
      <c r="E385" s="11">
        <f>IF(OR($B385="",NOT(ISNUMBER($C385))),"",COUNTIFS($A$5:$A$1668,$A385,$C$5:$C$1668,"&lt;"&amp;$C385)+1)</f>
        <v/>
      </c>
      <c r="F385" s="11">
        <f>IF(OR($B385="",NOT(ISNUMBER($C385))),"",COUNTIFS($A$5:$A$1668,$A385,$C$5:$C$1668,"&gt;0"))</f>
        <v/>
      </c>
      <c r="G385" s="11">
        <f>IF(OR($B385="",NOT(ISNUMBER($C385))),"",IF($D385&lt;&gt;"",ROUND(Points!$B$6*IF($F385&lt;Points!$H$4,Points!$H$5,1),0),ROUND(Points!$B$6*IF($F385&lt;=1,1,Points!$H$7+(1-Points!$H$7)*((($F385-$E385)*(($F385-$E385)+1)/2)^2-((($F385-$E385-COUNTIFS($A$5:$A$1668,$A385,$C$5:$C$1668,$C385)+1)-1)*($F385-$E385-COUNTIFS($A$5:$A$1668,$A385,$C$5:$C$1668,$C385)+1)/2)^2)/(COUNTIFS($A$5:$A$1668,$A385,$C$5:$C$1668,$C385)*($F385-1)^3))*IF($F385&lt;Points!$H$4,Points!$H$5,1),0)))</f>
        <v/>
      </c>
      <c r="H385" s="11">
        <f>IF($G385="","",COUNTIFS($B$5:$B$1668,$B385,$G$5:$G$1668,"&gt;"&amp;$G385)+COUNTIFS($B$4:$B384,$B385,$G$4:$G384,$G385)+1)</f>
        <v/>
      </c>
      <c r="I385" s="11">
        <f>IF($G385="","",IF($H385&lt;=Points!$H$6,$G385,0))</f>
        <v/>
      </c>
      <c r="J385" s="11">
        <f>IF($B385="","",IF(COUNTIF(Players!$A$2:$A$500,$B385)=0,"Player is not on the Players tab",IF(NOT(ISNUMBER($C385)),"Enter a gross score",IF(COUNTIFS($A$5:$A$1668,$A385,$B$5:$B$1668,$B385)&gt;1,"Player is listed twice this week",IF(AND($D385&lt;&gt;"",COUNTIFS($A$5:$A$1668,$A385,$D$5:$D$1668,$D385)&gt;1),"Two players picked as "&amp;$D385,IF(COUNTIFS($A$5:$A$1668,$A385,$D$5:$D$1668,"Gross winner")=0,"Pick this week's gross winner",IF(COUNTIFS($A$5:$A$1668,$A385,$D$5:$D$1668,"Net winner")=0,"Pick this week's net winner","OK")))))))</f>
        <v/>
      </c>
    </row>
    <row r="386" outlineLevel="1">
      <c r="A386" s="13" t="n">
        <v>46470</v>
      </c>
      <c r="E386" s="11">
        <f>IF(OR($B386="",NOT(ISNUMBER($C386))),"",COUNTIFS($A$5:$A$1668,$A386,$C$5:$C$1668,"&lt;"&amp;$C386)+1)</f>
        <v/>
      </c>
      <c r="F386" s="11">
        <f>IF(OR($B386="",NOT(ISNUMBER($C386))),"",COUNTIFS($A$5:$A$1668,$A386,$C$5:$C$1668,"&gt;0"))</f>
        <v/>
      </c>
      <c r="G386" s="11">
        <f>IF(OR($B386="",NOT(ISNUMBER($C386))),"",IF($D386&lt;&gt;"",ROUND(Points!$B$6*IF($F386&lt;Points!$H$4,Points!$H$5,1),0),ROUND(Points!$B$6*IF($F386&lt;=1,1,Points!$H$7+(1-Points!$H$7)*((($F386-$E386)*(($F386-$E386)+1)/2)^2-((($F386-$E386-COUNTIFS($A$5:$A$1668,$A386,$C$5:$C$1668,$C386)+1)-1)*($F386-$E386-COUNTIFS($A$5:$A$1668,$A386,$C$5:$C$1668,$C386)+1)/2)^2)/(COUNTIFS($A$5:$A$1668,$A386,$C$5:$C$1668,$C386)*($F386-1)^3))*IF($F386&lt;Points!$H$4,Points!$H$5,1),0)))</f>
        <v/>
      </c>
      <c r="H386" s="11">
        <f>IF($G386="","",COUNTIFS($B$5:$B$1668,$B386,$G$5:$G$1668,"&gt;"&amp;$G386)+COUNTIFS($B$4:$B385,$B386,$G$4:$G385,$G386)+1)</f>
        <v/>
      </c>
      <c r="I386" s="11">
        <f>IF($G386="","",IF($H386&lt;=Points!$H$6,$G386,0))</f>
        <v/>
      </c>
      <c r="J386" s="11">
        <f>IF($B386="","",IF(COUNTIF(Players!$A$2:$A$500,$B386)=0,"Player is not on the Players tab",IF(NOT(ISNUMBER($C386)),"Enter a gross score",IF(COUNTIFS($A$5:$A$1668,$A386,$B$5:$B$1668,$B386)&gt;1,"Player is listed twice this week",IF(AND($D386&lt;&gt;"",COUNTIFS($A$5:$A$1668,$A386,$D$5:$D$1668,$D386)&gt;1),"Two players picked as "&amp;$D386,IF(COUNTIFS($A$5:$A$1668,$A386,$D$5:$D$1668,"Gross winner")=0,"Pick this week's gross winner",IF(COUNTIFS($A$5:$A$1668,$A386,$D$5:$D$1668,"Net winner")=0,"Pick this week's net winner","OK")))))))</f>
        <v/>
      </c>
    </row>
    <row r="387" outlineLevel="1">
      <c r="A387" s="13" t="n">
        <v>46470</v>
      </c>
      <c r="E387" s="11">
        <f>IF(OR($B387="",NOT(ISNUMBER($C387))),"",COUNTIFS($A$5:$A$1668,$A387,$C$5:$C$1668,"&lt;"&amp;$C387)+1)</f>
        <v/>
      </c>
      <c r="F387" s="11">
        <f>IF(OR($B387="",NOT(ISNUMBER($C387))),"",COUNTIFS($A$5:$A$1668,$A387,$C$5:$C$1668,"&gt;0"))</f>
        <v/>
      </c>
      <c r="G387" s="11">
        <f>IF(OR($B387="",NOT(ISNUMBER($C387))),"",IF($D387&lt;&gt;"",ROUND(Points!$B$6*IF($F387&lt;Points!$H$4,Points!$H$5,1),0),ROUND(Points!$B$6*IF($F387&lt;=1,1,Points!$H$7+(1-Points!$H$7)*((($F387-$E387)*(($F387-$E387)+1)/2)^2-((($F387-$E387-COUNTIFS($A$5:$A$1668,$A387,$C$5:$C$1668,$C387)+1)-1)*($F387-$E387-COUNTIFS($A$5:$A$1668,$A387,$C$5:$C$1668,$C387)+1)/2)^2)/(COUNTIFS($A$5:$A$1668,$A387,$C$5:$C$1668,$C387)*($F387-1)^3))*IF($F387&lt;Points!$H$4,Points!$H$5,1),0)))</f>
        <v/>
      </c>
      <c r="H387" s="11">
        <f>IF($G387="","",COUNTIFS($B$5:$B$1668,$B387,$G$5:$G$1668,"&gt;"&amp;$G387)+COUNTIFS($B$4:$B386,$B387,$G$4:$G386,$G387)+1)</f>
        <v/>
      </c>
      <c r="I387" s="11">
        <f>IF($G387="","",IF($H387&lt;=Points!$H$6,$G387,0))</f>
        <v/>
      </c>
      <c r="J387" s="11">
        <f>IF($B387="","",IF(COUNTIF(Players!$A$2:$A$500,$B387)=0,"Player is not on the Players tab",IF(NOT(ISNUMBER($C387)),"Enter a gross score",IF(COUNTIFS($A$5:$A$1668,$A387,$B$5:$B$1668,$B387)&gt;1,"Player is listed twice this week",IF(AND($D387&lt;&gt;"",COUNTIFS($A$5:$A$1668,$A387,$D$5:$D$1668,$D387)&gt;1),"Two players picked as "&amp;$D387,IF(COUNTIFS($A$5:$A$1668,$A387,$D$5:$D$1668,"Gross winner")=0,"Pick this week's gross winner",IF(COUNTIFS($A$5:$A$1668,$A387,$D$5:$D$1668,"Net winner")=0,"Pick this week's net winner","OK")))))))</f>
        <v/>
      </c>
    </row>
    <row r="388" ht="10" customHeight="1"/>
    <row r="389" ht="22" customHeight="1">
      <c r="A389" s="12" t="inlineStr">
        <is>
          <t>Week 13  ·  Wednesday, Mar 31</t>
        </is>
      </c>
    </row>
    <row r="390" outlineLevel="1">
      <c r="A390" s="13" t="n">
        <v>46477</v>
      </c>
      <c r="E390" s="11">
        <f>IF(OR($B390="",NOT(ISNUMBER($C390))),"",COUNTIFS($A$5:$A$1668,$A390,$C$5:$C$1668,"&lt;"&amp;$C390)+1)</f>
        <v/>
      </c>
      <c r="F390" s="11">
        <f>IF(OR($B390="",NOT(ISNUMBER($C390))),"",COUNTIFS($A$5:$A$1668,$A390,$C$5:$C$1668,"&gt;0"))</f>
        <v/>
      </c>
      <c r="G390" s="11">
        <f>IF(OR($B390="",NOT(ISNUMBER($C390))),"",IF($D390&lt;&gt;"",ROUND(Points!$B$6*IF($F390&lt;Points!$H$4,Points!$H$5,1),0),ROUND(Points!$B$6*IF($F390&lt;=1,1,Points!$H$7+(1-Points!$H$7)*((($F390-$E390)*(($F390-$E390)+1)/2)^2-((($F390-$E390-COUNTIFS($A$5:$A$1668,$A390,$C$5:$C$1668,$C390)+1)-1)*($F390-$E390-COUNTIFS($A$5:$A$1668,$A390,$C$5:$C$1668,$C390)+1)/2)^2)/(COUNTIFS($A$5:$A$1668,$A390,$C$5:$C$1668,$C390)*($F390-1)^3))*IF($F390&lt;Points!$H$4,Points!$H$5,1),0)))</f>
        <v/>
      </c>
      <c r="H390" s="11">
        <f>IF($G390="","",COUNTIFS($B$5:$B$1668,$B390,$G$5:$G$1668,"&gt;"&amp;$G390)+COUNTIFS($B$4:$B389,$B390,$G$4:$G389,$G390)+1)</f>
        <v/>
      </c>
      <c r="I390" s="11">
        <f>IF($G390="","",IF($H390&lt;=Points!$H$6,$G390,0))</f>
        <v/>
      </c>
      <c r="J390" s="11">
        <f>IF($B390="","",IF(COUNTIF(Players!$A$2:$A$500,$B390)=0,"Player is not on the Players tab",IF(NOT(ISNUMBER($C390)),"Enter a gross score",IF(COUNTIFS($A$5:$A$1668,$A390,$B$5:$B$1668,$B390)&gt;1,"Player is listed twice this week",IF(AND($D390&lt;&gt;"",COUNTIFS($A$5:$A$1668,$A390,$D$5:$D$1668,$D390)&gt;1),"Two players picked as "&amp;$D390,IF(COUNTIFS($A$5:$A$1668,$A390,$D$5:$D$1668,"Gross winner")=0,"Pick this week's gross winner",IF(COUNTIFS($A$5:$A$1668,$A390,$D$5:$D$1668,"Net winner")=0,"Pick this week's net winner","OK")))))))</f>
        <v/>
      </c>
    </row>
    <row r="391" outlineLevel="1">
      <c r="A391" s="13" t="n">
        <v>46477</v>
      </c>
      <c r="E391" s="11">
        <f>IF(OR($B391="",NOT(ISNUMBER($C391))),"",COUNTIFS($A$5:$A$1668,$A391,$C$5:$C$1668,"&lt;"&amp;$C391)+1)</f>
        <v/>
      </c>
      <c r="F391" s="11">
        <f>IF(OR($B391="",NOT(ISNUMBER($C391))),"",COUNTIFS($A$5:$A$1668,$A391,$C$5:$C$1668,"&gt;0"))</f>
        <v/>
      </c>
      <c r="G391" s="11">
        <f>IF(OR($B391="",NOT(ISNUMBER($C391))),"",IF($D391&lt;&gt;"",ROUND(Points!$B$6*IF($F391&lt;Points!$H$4,Points!$H$5,1),0),ROUND(Points!$B$6*IF($F391&lt;=1,1,Points!$H$7+(1-Points!$H$7)*((($F391-$E391)*(($F391-$E391)+1)/2)^2-((($F391-$E391-COUNTIFS($A$5:$A$1668,$A391,$C$5:$C$1668,$C391)+1)-1)*($F391-$E391-COUNTIFS($A$5:$A$1668,$A391,$C$5:$C$1668,$C391)+1)/2)^2)/(COUNTIFS($A$5:$A$1668,$A391,$C$5:$C$1668,$C391)*($F391-1)^3))*IF($F391&lt;Points!$H$4,Points!$H$5,1),0)))</f>
        <v/>
      </c>
      <c r="H391" s="11">
        <f>IF($G391="","",COUNTIFS($B$5:$B$1668,$B391,$G$5:$G$1668,"&gt;"&amp;$G391)+COUNTIFS($B$4:$B390,$B391,$G$4:$G390,$G391)+1)</f>
        <v/>
      </c>
      <c r="I391" s="11">
        <f>IF($G391="","",IF($H391&lt;=Points!$H$6,$G391,0))</f>
        <v/>
      </c>
      <c r="J391" s="11">
        <f>IF($B391="","",IF(COUNTIF(Players!$A$2:$A$500,$B391)=0,"Player is not on the Players tab",IF(NOT(ISNUMBER($C391)),"Enter a gross score",IF(COUNTIFS($A$5:$A$1668,$A391,$B$5:$B$1668,$B391)&gt;1,"Player is listed twice this week",IF(AND($D391&lt;&gt;"",COUNTIFS($A$5:$A$1668,$A391,$D$5:$D$1668,$D391)&gt;1),"Two players picked as "&amp;$D391,IF(COUNTIFS($A$5:$A$1668,$A391,$D$5:$D$1668,"Gross winner")=0,"Pick this week's gross winner",IF(COUNTIFS($A$5:$A$1668,$A391,$D$5:$D$1668,"Net winner")=0,"Pick this week's net winner","OK")))))))</f>
        <v/>
      </c>
    </row>
    <row r="392" outlineLevel="1">
      <c r="A392" s="13" t="n">
        <v>46477</v>
      </c>
      <c r="E392" s="11">
        <f>IF(OR($B392="",NOT(ISNUMBER($C392))),"",COUNTIFS($A$5:$A$1668,$A392,$C$5:$C$1668,"&lt;"&amp;$C392)+1)</f>
        <v/>
      </c>
      <c r="F392" s="11">
        <f>IF(OR($B392="",NOT(ISNUMBER($C392))),"",COUNTIFS($A$5:$A$1668,$A392,$C$5:$C$1668,"&gt;0"))</f>
        <v/>
      </c>
      <c r="G392" s="11">
        <f>IF(OR($B392="",NOT(ISNUMBER($C392))),"",IF($D392&lt;&gt;"",ROUND(Points!$B$6*IF($F392&lt;Points!$H$4,Points!$H$5,1),0),ROUND(Points!$B$6*IF($F392&lt;=1,1,Points!$H$7+(1-Points!$H$7)*((($F392-$E392)*(($F392-$E392)+1)/2)^2-((($F392-$E392-COUNTIFS($A$5:$A$1668,$A392,$C$5:$C$1668,$C392)+1)-1)*($F392-$E392-COUNTIFS($A$5:$A$1668,$A392,$C$5:$C$1668,$C392)+1)/2)^2)/(COUNTIFS($A$5:$A$1668,$A392,$C$5:$C$1668,$C392)*($F392-1)^3))*IF($F392&lt;Points!$H$4,Points!$H$5,1),0)))</f>
        <v/>
      </c>
      <c r="H392" s="11">
        <f>IF($G392="","",COUNTIFS($B$5:$B$1668,$B392,$G$5:$G$1668,"&gt;"&amp;$G392)+COUNTIFS($B$4:$B391,$B392,$G$4:$G391,$G392)+1)</f>
        <v/>
      </c>
      <c r="I392" s="11">
        <f>IF($G392="","",IF($H392&lt;=Points!$H$6,$G392,0))</f>
        <v/>
      </c>
      <c r="J392" s="11">
        <f>IF($B392="","",IF(COUNTIF(Players!$A$2:$A$500,$B392)=0,"Player is not on the Players tab",IF(NOT(ISNUMBER($C392)),"Enter a gross score",IF(COUNTIFS($A$5:$A$1668,$A392,$B$5:$B$1668,$B392)&gt;1,"Player is listed twice this week",IF(AND($D392&lt;&gt;"",COUNTIFS($A$5:$A$1668,$A392,$D$5:$D$1668,$D392)&gt;1),"Two players picked as "&amp;$D392,IF(COUNTIFS($A$5:$A$1668,$A392,$D$5:$D$1668,"Gross winner")=0,"Pick this week's gross winner",IF(COUNTIFS($A$5:$A$1668,$A392,$D$5:$D$1668,"Net winner")=0,"Pick this week's net winner","OK")))))))</f>
        <v/>
      </c>
    </row>
    <row r="393" outlineLevel="1">
      <c r="A393" s="13" t="n">
        <v>46477</v>
      </c>
      <c r="E393" s="11">
        <f>IF(OR($B393="",NOT(ISNUMBER($C393))),"",COUNTIFS($A$5:$A$1668,$A393,$C$5:$C$1668,"&lt;"&amp;$C393)+1)</f>
        <v/>
      </c>
      <c r="F393" s="11">
        <f>IF(OR($B393="",NOT(ISNUMBER($C393))),"",COUNTIFS($A$5:$A$1668,$A393,$C$5:$C$1668,"&gt;0"))</f>
        <v/>
      </c>
      <c r="G393" s="11">
        <f>IF(OR($B393="",NOT(ISNUMBER($C393))),"",IF($D393&lt;&gt;"",ROUND(Points!$B$6*IF($F393&lt;Points!$H$4,Points!$H$5,1),0),ROUND(Points!$B$6*IF($F393&lt;=1,1,Points!$H$7+(1-Points!$H$7)*((($F393-$E393)*(($F393-$E393)+1)/2)^2-((($F393-$E393-COUNTIFS($A$5:$A$1668,$A393,$C$5:$C$1668,$C393)+1)-1)*($F393-$E393-COUNTIFS($A$5:$A$1668,$A393,$C$5:$C$1668,$C393)+1)/2)^2)/(COUNTIFS($A$5:$A$1668,$A393,$C$5:$C$1668,$C393)*($F393-1)^3))*IF($F393&lt;Points!$H$4,Points!$H$5,1),0)))</f>
        <v/>
      </c>
      <c r="H393" s="11">
        <f>IF($G393="","",COUNTIFS($B$5:$B$1668,$B393,$G$5:$G$1668,"&gt;"&amp;$G393)+COUNTIFS($B$4:$B392,$B393,$G$4:$G392,$G393)+1)</f>
        <v/>
      </c>
      <c r="I393" s="11">
        <f>IF($G393="","",IF($H393&lt;=Points!$H$6,$G393,0))</f>
        <v/>
      </c>
      <c r="J393" s="11">
        <f>IF($B393="","",IF(COUNTIF(Players!$A$2:$A$500,$B393)=0,"Player is not on the Players tab",IF(NOT(ISNUMBER($C393)),"Enter a gross score",IF(COUNTIFS($A$5:$A$1668,$A393,$B$5:$B$1668,$B393)&gt;1,"Player is listed twice this week",IF(AND($D393&lt;&gt;"",COUNTIFS($A$5:$A$1668,$A393,$D$5:$D$1668,$D393)&gt;1),"Two players picked as "&amp;$D393,IF(COUNTIFS($A$5:$A$1668,$A393,$D$5:$D$1668,"Gross winner")=0,"Pick this week's gross winner",IF(COUNTIFS($A$5:$A$1668,$A393,$D$5:$D$1668,"Net winner")=0,"Pick this week's net winner","OK")))))))</f>
        <v/>
      </c>
    </row>
    <row r="394" outlineLevel="1">
      <c r="A394" s="13" t="n">
        <v>46477</v>
      </c>
      <c r="E394" s="11">
        <f>IF(OR($B394="",NOT(ISNUMBER($C394))),"",COUNTIFS($A$5:$A$1668,$A394,$C$5:$C$1668,"&lt;"&amp;$C394)+1)</f>
        <v/>
      </c>
      <c r="F394" s="11">
        <f>IF(OR($B394="",NOT(ISNUMBER($C394))),"",COUNTIFS($A$5:$A$1668,$A394,$C$5:$C$1668,"&gt;0"))</f>
        <v/>
      </c>
      <c r="G394" s="11">
        <f>IF(OR($B394="",NOT(ISNUMBER($C394))),"",IF($D394&lt;&gt;"",ROUND(Points!$B$6*IF($F394&lt;Points!$H$4,Points!$H$5,1),0),ROUND(Points!$B$6*IF($F394&lt;=1,1,Points!$H$7+(1-Points!$H$7)*((($F394-$E394)*(($F394-$E394)+1)/2)^2-((($F394-$E394-COUNTIFS($A$5:$A$1668,$A394,$C$5:$C$1668,$C394)+1)-1)*($F394-$E394-COUNTIFS($A$5:$A$1668,$A394,$C$5:$C$1668,$C394)+1)/2)^2)/(COUNTIFS($A$5:$A$1668,$A394,$C$5:$C$1668,$C394)*($F394-1)^3))*IF($F394&lt;Points!$H$4,Points!$H$5,1),0)))</f>
        <v/>
      </c>
      <c r="H394" s="11">
        <f>IF($G394="","",COUNTIFS($B$5:$B$1668,$B394,$G$5:$G$1668,"&gt;"&amp;$G394)+COUNTIFS($B$4:$B393,$B394,$G$4:$G393,$G394)+1)</f>
        <v/>
      </c>
      <c r="I394" s="11">
        <f>IF($G394="","",IF($H394&lt;=Points!$H$6,$G394,0))</f>
        <v/>
      </c>
      <c r="J394" s="11">
        <f>IF($B394="","",IF(COUNTIF(Players!$A$2:$A$500,$B394)=0,"Player is not on the Players tab",IF(NOT(ISNUMBER($C394)),"Enter a gross score",IF(COUNTIFS($A$5:$A$1668,$A394,$B$5:$B$1668,$B394)&gt;1,"Player is listed twice this week",IF(AND($D394&lt;&gt;"",COUNTIFS($A$5:$A$1668,$A394,$D$5:$D$1668,$D394)&gt;1),"Two players picked as "&amp;$D394,IF(COUNTIFS($A$5:$A$1668,$A394,$D$5:$D$1668,"Gross winner")=0,"Pick this week's gross winner",IF(COUNTIFS($A$5:$A$1668,$A394,$D$5:$D$1668,"Net winner")=0,"Pick this week's net winner","OK")))))))</f>
        <v/>
      </c>
    </row>
    <row r="395" outlineLevel="1">
      <c r="A395" s="13" t="n">
        <v>46477</v>
      </c>
      <c r="E395" s="11">
        <f>IF(OR($B395="",NOT(ISNUMBER($C395))),"",COUNTIFS($A$5:$A$1668,$A395,$C$5:$C$1668,"&lt;"&amp;$C395)+1)</f>
        <v/>
      </c>
      <c r="F395" s="11">
        <f>IF(OR($B395="",NOT(ISNUMBER($C395))),"",COUNTIFS($A$5:$A$1668,$A395,$C$5:$C$1668,"&gt;0"))</f>
        <v/>
      </c>
      <c r="G395" s="11">
        <f>IF(OR($B395="",NOT(ISNUMBER($C395))),"",IF($D395&lt;&gt;"",ROUND(Points!$B$6*IF($F395&lt;Points!$H$4,Points!$H$5,1),0),ROUND(Points!$B$6*IF($F395&lt;=1,1,Points!$H$7+(1-Points!$H$7)*((($F395-$E395)*(($F395-$E395)+1)/2)^2-((($F395-$E395-COUNTIFS($A$5:$A$1668,$A395,$C$5:$C$1668,$C395)+1)-1)*($F395-$E395-COUNTIFS($A$5:$A$1668,$A395,$C$5:$C$1668,$C395)+1)/2)^2)/(COUNTIFS($A$5:$A$1668,$A395,$C$5:$C$1668,$C395)*($F395-1)^3))*IF($F395&lt;Points!$H$4,Points!$H$5,1),0)))</f>
        <v/>
      </c>
      <c r="H395" s="11">
        <f>IF($G395="","",COUNTIFS($B$5:$B$1668,$B395,$G$5:$G$1668,"&gt;"&amp;$G395)+COUNTIFS($B$4:$B394,$B395,$G$4:$G394,$G395)+1)</f>
        <v/>
      </c>
      <c r="I395" s="11">
        <f>IF($G395="","",IF($H395&lt;=Points!$H$6,$G395,0))</f>
        <v/>
      </c>
      <c r="J395" s="11">
        <f>IF($B395="","",IF(COUNTIF(Players!$A$2:$A$500,$B395)=0,"Player is not on the Players tab",IF(NOT(ISNUMBER($C395)),"Enter a gross score",IF(COUNTIFS($A$5:$A$1668,$A395,$B$5:$B$1668,$B395)&gt;1,"Player is listed twice this week",IF(AND($D395&lt;&gt;"",COUNTIFS($A$5:$A$1668,$A395,$D$5:$D$1668,$D395)&gt;1),"Two players picked as "&amp;$D395,IF(COUNTIFS($A$5:$A$1668,$A395,$D$5:$D$1668,"Gross winner")=0,"Pick this week's gross winner",IF(COUNTIFS($A$5:$A$1668,$A395,$D$5:$D$1668,"Net winner")=0,"Pick this week's net winner","OK")))))))</f>
        <v/>
      </c>
    </row>
    <row r="396" outlineLevel="1">
      <c r="A396" s="13" t="n">
        <v>46477</v>
      </c>
      <c r="E396" s="11">
        <f>IF(OR($B396="",NOT(ISNUMBER($C396))),"",COUNTIFS($A$5:$A$1668,$A396,$C$5:$C$1668,"&lt;"&amp;$C396)+1)</f>
        <v/>
      </c>
      <c r="F396" s="11">
        <f>IF(OR($B396="",NOT(ISNUMBER($C396))),"",COUNTIFS($A$5:$A$1668,$A396,$C$5:$C$1668,"&gt;0"))</f>
        <v/>
      </c>
      <c r="G396" s="11">
        <f>IF(OR($B396="",NOT(ISNUMBER($C396))),"",IF($D396&lt;&gt;"",ROUND(Points!$B$6*IF($F396&lt;Points!$H$4,Points!$H$5,1),0),ROUND(Points!$B$6*IF($F396&lt;=1,1,Points!$H$7+(1-Points!$H$7)*((($F396-$E396)*(($F396-$E396)+1)/2)^2-((($F396-$E396-COUNTIFS($A$5:$A$1668,$A396,$C$5:$C$1668,$C396)+1)-1)*($F396-$E396-COUNTIFS($A$5:$A$1668,$A396,$C$5:$C$1668,$C396)+1)/2)^2)/(COUNTIFS($A$5:$A$1668,$A396,$C$5:$C$1668,$C396)*($F396-1)^3))*IF($F396&lt;Points!$H$4,Points!$H$5,1),0)))</f>
        <v/>
      </c>
      <c r="H396" s="11">
        <f>IF($G396="","",COUNTIFS($B$5:$B$1668,$B396,$G$5:$G$1668,"&gt;"&amp;$G396)+COUNTIFS($B$4:$B395,$B396,$G$4:$G395,$G396)+1)</f>
        <v/>
      </c>
      <c r="I396" s="11">
        <f>IF($G396="","",IF($H396&lt;=Points!$H$6,$G396,0))</f>
        <v/>
      </c>
      <c r="J396" s="11">
        <f>IF($B396="","",IF(COUNTIF(Players!$A$2:$A$500,$B396)=0,"Player is not on the Players tab",IF(NOT(ISNUMBER($C396)),"Enter a gross score",IF(COUNTIFS($A$5:$A$1668,$A396,$B$5:$B$1668,$B396)&gt;1,"Player is listed twice this week",IF(AND($D396&lt;&gt;"",COUNTIFS($A$5:$A$1668,$A396,$D$5:$D$1668,$D396)&gt;1),"Two players picked as "&amp;$D396,IF(COUNTIFS($A$5:$A$1668,$A396,$D$5:$D$1668,"Gross winner")=0,"Pick this week's gross winner",IF(COUNTIFS($A$5:$A$1668,$A396,$D$5:$D$1668,"Net winner")=0,"Pick this week's net winner","OK")))))))</f>
        <v/>
      </c>
    </row>
    <row r="397" outlineLevel="1">
      <c r="A397" s="13" t="n">
        <v>46477</v>
      </c>
      <c r="E397" s="11">
        <f>IF(OR($B397="",NOT(ISNUMBER($C397))),"",COUNTIFS($A$5:$A$1668,$A397,$C$5:$C$1668,"&lt;"&amp;$C397)+1)</f>
        <v/>
      </c>
      <c r="F397" s="11">
        <f>IF(OR($B397="",NOT(ISNUMBER($C397))),"",COUNTIFS($A$5:$A$1668,$A397,$C$5:$C$1668,"&gt;0"))</f>
        <v/>
      </c>
      <c r="G397" s="11">
        <f>IF(OR($B397="",NOT(ISNUMBER($C397))),"",IF($D397&lt;&gt;"",ROUND(Points!$B$6*IF($F397&lt;Points!$H$4,Points!$H$5,1),0),ROUND(Points!$B$6*IF($F397&lt;=1,1,Points!$H$7+(1-Points!$H$7)*((($F397-$E397)*(($F397-$E397)+1)/2)^2-((($F397-$E397-COUNTIFS($A$5:$A$1668,$A397,$C$5:$C$1668,$C397)+1)-1)*($F397-$E397-COUNTIFS($A$5:$A$1668,$A397,$C$5:$C$1668,$C397)+1)/2)^2)/(COUNTIFS($A$5:$A$1668,$A397,$C$5:$C$1668,$C397)*($F397-1)^3))*IF($F397&lt;Points!$H$4,Points!$H$5,1),0)))</f>
        <v/>
      </c>
      <c r="H397" s="11">
        <f>IF($G397="","",COUNTIFS($B$5:$B$1668,$B397,$G$5:$G$1668,"&gt;"&amp;$G397)+COUNTIFS($B$4:$B396,$B397,$G$4:$G396,$G397)+1)</f>
        <v/>
      </c>
      <c r="I397" s="11">
        <f>IF($G397="","",IF($H397&lt;=Points!$H$6,$G397,0))</f>
        <v/>
      </c>
      <c r="J397" s="11">
        <f>IF($B397="","",IF(COUNTIF(Players!$A$2:$A$500,$B397)=0,"Player is not on the Players tab",IF(NOT(ISNUMBER($C397)),"Enter a gross score",IF(COUNTIFS($A$5:$A$1668,$A397,$B$5:$B$1668,$B397)&gt;1,"Player is listed twice this week",IF(AND($D397&lt;&gt;"",COUNTIFS($A$5:$A$1668,$A397,$D$5:$D$1668,$D397)&gt;1),"Two players picked as "&amp;$D397,IF(COUNTIFS($A$5:$A$1668,$A397,$D$5:$D$1668,"Gross winner")=0,"Pick this week's gross winner",IF(COUNTIFS($A$5:$A$1668,$A397,$D$5:$D$1668,"Net winner")=0,"Pick this week's net winner","OK")))))))</f>
        <v/>
      </c>
    </row>
    <row r="398" outlineLevel="1">
      <c r="A398" s="13" t="n">
        <v>46477</v>
      </c>
      <c r="E398" s="11">
        <f>IF(OR($B398="",NOT(ISNUMBER($C398))),"",COUNTIFS($A$5:$A$1668,$A398,$C$5:$C$1668,"&lt;"&amp;$C398)+1)</f>
        <v/>
      </c>
      <c r="F398" s="11">
        <f>IF(OR($B398="",NOT(ISNUMBER($C398))),"",COUNTIFS($A$5:$A$1668,$A398,$C$5:$C$1668,"&gt;0"))</f>
        <v/>
      </c>
      <c r="G398" s="11">
        <f>IF(OR($B398="",NOT(ISNUMBER($C398))),"",IF($D398&lt;&gt;"",ROUND(Points!$B$6*IF($F398&lt;Points!$H$4,Points!$H$5,1),0),ROUND(Points!$B$6*IF($F398&lt;=1,1,Points!$H$7+(1-Points!$H$7)*((($F398-$E398)*(($F398-$E398)+1)/2)^2-((($F398-$E398-COUNTIFS($A$5:$A$1668,$A398,$C$5:$C$1668,$C398)+1)-1)*($F398-$E398-COUNTIFS($A$5:$A$1668,$A398,$C$5:$C$1668,$C398)+1)/2)^2)/(COUNTIFS($A$5:$A$1668,$A398,$C$5:$C$1668,$C398)*($F398-1)^3))*IF($F398&lt;Points!$H$4,Points!$H$5,1),0)))</f>
        <v/>
      </c>
      <c r="H398" s="11">
        <f>IF($G398="","",COUNTIFS($B$5:$B$1668,$B398,$G$5:$G$1668,"&gt;"&amp;$G398)+COUNTIFS($B$4:$B397,$B398,$G$4:$G397,$G398)+1)</f>
        <v/>
      </c>
      <c r="I398" s="11">
        <f>IF($G398="","",IF($H398&lt;=Points!$H$6,$G398,0))</f>
        <v/>
      </c>
      <c r="J398" s="11">
        <f>IF($B398="","",IF(COUNTIF(Players!$A$2:$A$500,$B398)=0,"Player is not on the Players tab",IF(NOT(ISNUMBER($C398)),"Enter a gross score",IF(COUNTIFS($A$5:$A$1668,$A398,$B$5:$B$1668,$B398)&gt;1,"Player is listed twice this week",IF(AND($D398&lt;&gt;"",COUNTIFS($A$5:$A$1668,$A398,$D$5:$D$1668,$D398)&gt;1),"Two players picked as "&amp;$D398,IF(COUNTIFS($A$5:$A$1668,$A398,$D$5:$D$1668,"Gross winner")=0,"Pick this week's gross winner",IF(COUNTIFS($A$5:$A$1668,$A398,$D$5:$D$1668,"Net winner")=0,"Pick this week's net winner","OK")))))))</f>
        <v/>
      </c>
    </row>
    <row r="399" outlineLevel="1">
      <c r="A399" s="13" t="n">
        <v>46477</v>
      </c>
      <c r="E399" s="11">
        <f>IF(OR($B399="",NOT(ISNUMBER($C399))),"",COUNTIFS($A$5:$A$1668,$A399,$C$5:$C$1668,"&lt;"&amp;$C399)+1)</f>
        <v/>
      </c>
      <c r="F399" s="11">
        <f>IF(OR($B399="",NOT(ISNUMBER($C399))),"",COUNTIFS($A$5:$A$1668,$A399,$C$5:$C$1668,"&gt;0"))</f>
        <v/>
      </c>
      <c r="G399" s="11">
        <f>IF(OR($B399="",NOT(ISNUMBER($C399))),"",IF($D399&lt;&gt;"",ROUND(Points!$B$6*IF($F399&lt;Points!$H$4,Points!$H$5,1),0),ROUND(Points!$B$6*IF($F399&lt;=1,1,Points!$H$7+(1-Points!$H$7)*((($F399-$E399)*(($F399-$E399)+1)/2)^2-((($F399-$E399-COUNTIFS($A$5:$A$1668,$A399,$C$5:$C$1668,$C399)+1)-1)*($F399-$E399-COUNTIFS($A$5:$A$1668,$A399,$C$5:$C$1668,$C399)+1)/2)^2)/(COUNTIFS($A$5:$A$1668,$A399,$C$5:$C$1668,$C399)*($F399-1)^3))*IF($F399&lt;Points!$H$4,Points!$H$5,1),0)))</f>
        <v/>
      </c>
      <c r="H399" s="11">
        <f>IF($G399="","",COUNTIFS($B$5:$B$1668,$B399,$G$5:$G$1668,"&gt;"&amp;$G399)+COUNTIFS($B$4:$B398,$B399,$G$4:$G398,$G399)+1)</f>
        <v/>
      </c>
      <c r="I399" s="11">
        <f>IF($G399="","",IF($H399&lt;=Points!$H$6,$G399,0))</f>
        <v/>
      </c>
      <c r="J399" s="11">
        <f>IF($B399="","",IF(COUNTIF(Players!$A$2:$A$500,$B399)=0,"Player is not on the Players tab",IF(NOT(ISNUMBER($C399)),"Enter a gross score",IF(COUNTIFS($A$5:$A$1668,$A399,$B$5:$B$1668,$B399)&gt;1,"Player is listed twice this week",IF(AND($D399&lt;&gt;"",COUNTIFS($A$5:$A$1668,$A399,$D$5:$D$1668,$D399)&gt;1),"Two players picked as "&amp;$D399,IF(COUNTIFS($A$5:$A$1668,$A399,$D$5:$D$1668,"Gross winner")=0,"Pick this week's gross winner",IF(COUNTIFS($A$5:$A$1668,$A399,$D$5:$D$1668,"Net winner")=0,"Pick this week's net winner","OK")))))))</f>
        <v/>
      </c>
    </row>
    <row r="400" outlineLevel="1">
      <c r="A400" s="13" t="n">
        <v>46477</v>
      </c>
      <c r="E400" s="11">
        <f>IF(OR($B400="",NOT(ISNUMBER($C400))),"",COUNTIFS($A$5:$A$1668,$A400,$C$5:$C$1668,"&lt;"&amp;$C400)+1)</f>
        <v/>
      </c>
      <c r="F400" s="11">
        <f>IF(OR($B400="",NOT(ISNUMBER($C400))),"",COUNTIFS($A$5:$A$1668,$A400,$C$5:$C$1668,"&gt;0"))</f>
        <v/>
      </c>
      <c r="G400" s="11">
        <f>IF(OR($B400="",NOT(ISNUMBER($C400))),"",IF($D400&lt;&gt;"",ROUND(Points!$B$6*IF($F400&lt;Points!$H$4,Points!$H$5,1),0),ROUND(Points!$B$6*IF($F400&lt;=1,1,Points!$H$7+(1-Points!$H$7)*((($F400-$E400)*(($F400-$E400)+1)/2)^2-((($F400-$E400-COUNTIFS($A$5:$A$1668,$A400,$C$5:$C$1668,$C400)+1)-1)*($F400-$E400-COUNTIFS($A$5:$A$1668,$A400,$C$5:$C$1668,$C400)+1)/2)^2)/(COUNTIFS($A$5:$A$1668,$A400,$C$5:$C$1668,$C400)*($F400-1)^3))*IF($F400&lt;Points!$H$4,Points!$H$5,1),0)))</f>
        <v/>
      </c>
      <c r="H400" s="11">
        <f>IF($G400="","",COUNTIFS($B$5:$B$1668,$B400,$G$5:$G$1668,"&gt;"&amp;$G400)+COUNTIFS($B$4:$B399,$B400,$G$4:$G399,$G400)+1)</f>
        <v/>
      </c>
      <c r="I400" s="11">
        <f>IF($G400="","",IF($H400&lt;=Points!$H$6,$G400,0))</f>
        <v/>
      </c>
      <c r="J400" s="11">
        <f>IF($B400="","",IF(COUNTIF(Players!$A$2:$A$500,$B400)=0,"Player is not on the Players tab",IF(NOT(ISNUMBER($C400)),"Enter a gross score",IF(COUNTIFS($A$5:$A$1668,$A400,$B$5:$B$1668,$B400)&gt;1,"Player is listed twice this week",IF(AND($D400&lt;&gt;"",COUNTIFS($A$5:$A$1668,$A400,$D$5:$D$1668,$D400)&gt;1),"Two players picked as "&amp;$D400,IF(COUNTIFS($A$5:$A$1668,$A400,$D$5:$D$1668,"Gross winner")=0,"Pick this week's gross winner",IF(COUNTIFS($A$5:$A$1668,$A400,$D$5:$D$1668,"Net winner")=0,"Pick this week's net winner","OK")))))))</f>
        <v/>
      </c>
    </row>
    <row r="401" outlineLevel="1">
      <c r="A401" s="13" t="n">
        <v>46477</v>
      </c>
      <c r="E401" s="11">
        <f>IF(OR($B401="",NOT(ISNUMBER($C401))),"",COUNTIFS($A$5:$A$1668,$A401,$C$5:$C$1668,"&lt;"&amp;$C401)+1)</f>
        <v/>
      </c>
      <c r="F401" s="11">
        <f>IF(OR($B401="",NOT(ISNUMBER($C401))),"",COUNTIFS($A$5:$A$1668,$A401,$C$5:$C$1668,"&gt;0"))</f>
        <v/>
      </c>
      <c r="G401" s="11">
        <f>IF(OR($B401="",NOT(ISNUMBER($C401))),"",IF($D401&lt;&gt;"",ROUND(Points!$B$6*IF($F401&lt;Points!$H$4,Points!$H$5,1),0),ROUND(Points!$B$6*IF($F401&lt;=1,1,Points!$H$7+(1-Points!$H$7)*((($F401-$E401)*(($F401-$E401)+1)/2)^2-((($F401-$E401-COUNTIFS($A$5:$A$1668,$A401,$C$5:$C$1668,$C401)+1)-1)*($F401-$E401-COUNTIFS($A$5:$A$1668,$A401,$C$5:$C$1668,$C401)+1)/2)^2)/(COUNTIFS($A$5:$A$1668,$A401,$C$5:$C$1668,$C401)*($F401-1)^3))*IF($F401&lt;Points!$H$4,Points!$H$5,1),0)))</f>
        <v/>
      </c>
      <c r="H401" s="11">
        <f>IF($G401="","",COUNTIFS($B$5:$B$1668,$B401,$G$5:$G$1668,"&gt;"&amp;$G401)+COUNTIFS($B$4:$B400,$B401,$G$4:$G400,$G401)+1)</f>
        <v/>
      </c>
      <c r="I401" s="11">
        <f>IF($G401="","",IF($H401&lt;=Points!$H$6,$G401,0))</f>
        <v/>
      </c>
      <c r="J401" s="11">
        <f>IF($B401="","",IF(COUNTIF(Players!$A$2:$A$500,$B401)=0,"Player is not on the Players tab",IF(NOT(ISNUMBER($C401)),"Enter a gross score",IF(COUNTIFS($A$5:$A$1668,$A401,$B$5:$B$1668,$B401)&gt;1,"Player is listed twice this week",IF(AND($D401&lt;&gt;"",COUNTIFS($A$5:$A$1668,$A401,$D$5:$D$1668,$D401)&gt;1),"Two players picked as "&amp;$D401,IF(COUNTIFS($A$5:$A$1668,$A401,$D$5:$D$1668,"Gross winner")=0,"Pick this week's gross winner",IF(COUNTIFS($A$5:$A$1668,$A401,$D$5:$D$1668,"Net winner")=0,"Pick this week's net winner","OK")))))))</f>
        <v/>
      </c>
    </row>
    <row r="402" outlineLevel="1">
      <c r="A402" s="13" t="n">
        <v>46477</v>
      </c>
      <c r="E402" s="11">
        <f>IF(OR($B402="",NOT(ISNUMBER($C402))),"",COUNTIFS($A$5:$A$1668,$A402,$C$5:$C$1668,"&lt;"&amp;$C402)+1)</f>
        <v/>
      </c>
      <c r="F402" s="11">
        <f>IF(OR($B402="",NOT(ISNUMBER($C402))),"",COUNTIFS($A$5:$A$1668,$A402,$C$5:$C$1668,"&gt;0"))</f>
        <v/>
      </c>
      <c r="G402" s="11">
        <f>IF(OR($B402="",NOT(ISNUMBER($C402))),"",IF($D402&lt;&gt;"",ROUND(Points!$B$6*IF($F402&lt;Points!$H$4,Points!$H$5,1),0),ROUND(Points!$B$6*IF($F402&lt;=1,1,Points!$H$7+(1-Points!$H$7)*((($F402-$E402)*(($F402-$E402)+1)/2)^2-((($F402-$E402-COUNTIFS($A$5:$A$1668,$A402,$C$5:$C$1668,$C402)+1)-1)*($F402-$E402-COUNTIFS($A$5:$A$1668,$A402,$C$5:$C$1668,$C402)+1)/2)^2)/(COUNTIFS($A$5:$A$1668,$A402,$C$5:$C$1668,$C402)*($F402-1)^3))*IF($F402&lt;Points!$H$4,Points!$H$5,1),0)))</f>
        <v/>
      </c>
      <c r="H402" s="11">
        <f>IF($G402="","",COUNTIFS($B$5:$B$1668,$B402,$G$5:$G$1668,"&gt;"&amp;$G402)+COUNTIFS($B$4:$B401,$B402,$G$4:$G401,$G402)+1)</f>
        <v/>
      </c>
      <c r="I402" s="11">
        <f>IF($G402="","",IF($H402&lt;=Points!$H$6,$G402,0))</f>
        <v/>
      </c>
      <c r="J402" s="11">
        <f>IF($B402="","",IF(COUNTIF(Players!$A$2:$A$500,$B402)=0,"Player is not on the Players tab",IF(NOT(ISNUMBER($C402)),"Enter a gross score",IF(COUNTIFS($A$5:$A$1668,$A402,$B$5:$B$1668,$B402)&gt;1,"Player is listed twice this week",IF(AND($D402&lt;&gt;"",COUNTIFS($A$5:$A$1668,$A402,$D$5:$D$1668,$D402)&gt;1),"Two players picked as "&amp;$D402,IF(COUNTIFS($A$5:$A$1668,$A402,$D$5:$D$1668,"Gross winner")=0,"Pick this week's gross winner",IF(COUNTIFS($A$5:$A$1668,$A402,$D$5:$D$1668,"Net winner")=0,"Pick this week's net winner","OK")))))))</f>
        <v/>
      </c>
    </row>
    <row r="403" outlineLevel="1">
      <c r="A403" s="13" t="n">
        <v>46477</v>
      </c>
      <c r="E403" s="11">
        <f>IF(OR($B403="",NOT(ISNUMBER($C403))),"",COUNTIFS($A$5:$A$1668,$A403,$C$5:$C$1668,"&lt;"&amp;$C403)+1)</f>
        <v/>
      </c>
      <c r="F403" s="11">
        <f>IF(OR($B403="",NOT(ISNUMBER($C403))),"",COUNTIFS($A$5:$A$1668,$A403,$C$5:$C$1668,"&gt;0"))</f>
        <v/>
      </c>
      <c r="G403" s="11">
        <f>IF(OR($B403="",NOT(ISNUMBER($C403))),"",IF($D403&lt;&gt;"",ROUND(Points!$B$6*IF($F403&lt;Points!$H$4,Points!$H$5,1),0),ROUND(Points!$B$6*IF($F403&lt;=1,1,Points!$H$7+(1-Points!$H$7)*((($F403-$E403)*(($F403-$E403)+1)/2)^2-((($F403-$E403-COUNTIFS($A$5:$A$1668,$A403,$C$5:$C$1668,$C403)+1)-1)*($F403-$E403-COUNTIFS($A$5:$A$1668,$A403,$C$5:$C$1668,$C403)+1)/2)^2)/(COUNTIFS($A$5:$A$1668,$A403,$C$5:$C$1668,$C403)*($F403-1)^3))*IF($F403&lt;Points!$H$4,Points!$H$5,1),0)))</f>
        <v/>
      </c>
      <c r="H403" s="11">
        <f>IF($G403="","",COUNTIFS($B$5:$B$1668,$B403,$G$5:$G$1668,"&gt;"&amp;$G403)+COUNTIFS($B$4:$B402,$B403,$G$4:$G402,$G403)+1)</f>
        <v/>
      </c>
      <c r="I403" s="11">
        <f>IF($G403="","",IF($H403&lt;=Points!$H$6,$G403,0))</f>
        <v/>
      </c>
      <c r="J403" s="11">
        <f>IF($B403="","",IF(COUNTIF(Players!$A$2:$A$500,$B403)=0,"Player is not on the Players tab",IF(NOT(ISNUMBER($C403)),"Enter a gross score",IF(COUNTIFS($A$5:$A$1668,$A403,$B$5:$B$1668,$B403)&gt;1,"Player is listed twice this week",IF(AND($D403&lt;&gt;"",COUNTIFS($A$5:$A$1668,$A403,$D$5:$D$1668,$D403)&gt;1),"Two players picked as "&amp;$D403,IF(COUNTIFS($A$5:$A$1668,$A403,$D$5:$D$1668,"Gross winner")=0,"Pick this week's gross winner",IF(COUNTIFS($A$5:$A$1668,$A403,$D$5:$D$1668,"Net winner")=0,"Pick this week's net winner","OK")))))))</f>
        <v/>
      </c>
    </row>
    <row r="404" outlineLevel="1">
      <c r="A404" s="13" t="n">
        <v>46477</v>
      </c>
      <c r="E404" s="11">
        <f>IF(OR($B404="",NOT(ISNUMBER($C404))),"",COUNTIFS($A$5:$A$1668,$A404,$C$5:$C$1668,"&lt;"&amp;$C404)+1)</f>
        <v/>
      </c>
      <c r="F404" s="11">
        <f>IF(OR($B404="",NOT(ISNUMBER($C404))),"",COUNTIFS($A$5:$A$1668,$A404,$C$5:$C$1668,"&gt;0"))</f>
        <v/>
      </c>
      <c r="G404" s="11">
        <f>IF(OR($B404="",NOT(ISNUMBER($C404))),"",IF($D404&lt;&gt;"",ROUND(Points!$B$6*IF($F404&lt;Points!$H$4,Points!$H$5,1),0),ROUND(Points!$B$6*IF($F404&lt;=1,1,Points!$H$7+(1-Points!$H$7)*((($F404-$E404)*(($F404-$E404)+1)/2)^2-((($F404-$E404-COUNTIFS($A$5:$A$1668,$A404,$C$5:$C$1668,$C404)+1)-1)*($F404-$E404-COUNTIFS($A$5:$A$1668,$A404,$C$5:$C$1668,$C404)+1)/2)^2)/(COUNTIFS($A$5:$A$1668,$A404,$C$5:$C$1668,$C404)*($F404-1)^3))*IF($F404&lt;Points!$H$4,Points!$H$5,1),0)))</f>
        <v/>
      </c>
      <c r="H404" s="11">
        <f>IF($G404="","",COUNTIFS($B$5:$B$1668,$B404,$G$5:$G$1668,"&gt;"&amp;$G404)+COUNTIFS($B$4:$B403,$B404,$G$4:$G403,$G404)+1)</f>
        <v/>
      </c>
      <c r="I404" s="11">
        <f>IF($G404="","",IF($H404&lt;=Points!$H$6,$G404,0))</f>
        <v/>
      </c>
      <c r="J404" s="11">
        <f>IF($B404="","",IF(COUNTIF(Players!$A$2:$A$500,$B404)=0,"Player is not on the Players tab",IF(NOT(ISNUMBER($C404)),"Enter a gross score",IF(COUNTIFS($A$5:$A$1668,$A404,$B$5:$B$1668,$B404)&gt;1,"Player is listed twice this week",IF(AND($D404&lt;&gt;"",COUNTIFS($A$5:$A$1668,$A404,$D$5:$D$1668,$D404)&gt;1),"Two players picked as "&amp;$D404,IF(COUNTIFS($A$5:$A$1668,$A404,$D$5:$D$1668,"Gross winner")=0,"Pick this week's gross winner",IF(COUNTIFS($A$5:$A$1668,$A404,$D$5:$D$1668,"Net winner")=0,"Pick this week's net winner","OK")))))))</f>
        <v/>
      </c>
    </row>
    <row r="405" outlineLevel="1">
      <c r="A405" s="13" t="n">
        <v>46477</v>
      </c>
      <c r="E405" s="11">
        <f>IF(OR($B405="",NOT(ISNUMBER($C405))),"",COUNTIFS($A$5:$A$1668,$A405,$C$5:$C$1668,"&lt;"&amp;$C405)+1)</f>
        <v/>
      </c>
      <c r="F405" s="11">
        <f>IF(OR($B405="",NOT(ISNUMBER($C405))),"",COUNTIFS($A$5:$A$1668,$A405,$C$5:$C$1668,"&gt;0"))</f>
        <v/>
      </c>
      <c r="G405" s="11">
        <f>IF(OR($B405="",NOT(ISNUMBER($C405))),"",IF($D405&lt;&gt;"",ROUND(Points!$B$6*IF($F405&lt;Points!$H$4,Points!$H$5,1),0),ROUND(Points!$B$6*IF($F405&lt;=1,1,Points!$H$7+(1-Points!$H$7)*((($F405-$E405)*(($F405-$E405)+1)/2)^2-((($F405-$E405-COUNTIFS($A$5:$A$1668,$A405,$C$5:$C$1668,$C405)+1)-1)*($F405-$E405-COUNTIFS($A$5:$A$1668,$A405,$C$5:$C$1668,$C405)+1)/2)^2)/(COUNTIFS($A$5:$A$1668,$A405,$C$5:$C$1668,$C405)*($F405-1)^3))*IF($F405&lt;Points!$H$4,Points!$H$5,1),0)))</f>
        <v/>
      </c>
      <c r="H405" s="11">
        <f>IF($G405="","",COUNTIFS($B$5:$B$1668,$B405,$G$5:$G$1668,"&gt;"&amp;$G405)+COUNTIFS($B$4:$B404,$B405,$G$4:$G404,$G405)+1)</f>
        <v/>
      </c>
      <c r="I405" s="11">
        <f>IF($G405="","",IF($H405&lt;=Points!$H$6,$G405,0))</f>
        <v/>
      </c>
      <c r="J405" s="11">
        <f>IF($B405="","",IF(COUNTIF(Players!$A$2:$A$500,$B405)=0,"Player is not on the Players tab",IF(NOT(ISNUMBER($C405)),"Enter a gross score",IF(COUNTIFS($A$5:$A$1668,$A405,$B$5:$B$1668,$B405)&gt;1,"Player is listed twice this week",IF(AND($D405&lt;&gt;"",COUNTIFS($A$5:$A$1668,$A405,$D$5:$D$1668,$D405)&gt;1),"Two players picked as "&amp;$D405,IF(COUNTIFS($A$5:$A$1668,$A405,$D$5:$D$1668,"Gross winner")=0,"Pick this week's gross winner",IF(COUNTIFS($A$5:$A$1668,$A405,$D$5:$D$1668,"Net winner")=0,"Pick this week's net winner","OK")))))))</f>
        <v/>
      </c>
    </row>
    <row r="406" outlineLevel="1">
      <c r="A406" s="13" t="n">
        <v>46477</v>
      </c>
      <c r="E406" s="11">
        <f>IF(OR($B406="",NOT(ISNUMBER($C406))),"",COUNTIFS($A$5:$A$1668,$A406,$C$5:$C$1668,"&lt;"&amp;$C406)+1)</f>
        <v/>
      </c>
      <c r="F406" s="11">
        <f>IF(OR($B406="",NOT(ISNUMBER($C406))),"",COUNTIFS($A$5:$A$1668,$A406,$C$5:$C$1668,"&gt;0"))</f>
        <v/>
      </c>
      <c r="G406" s="11">
        <f>IF(OR($B406="",NOT(ISNUMBER($C406))),"",IF($D406&lt;&gt;"",ROUND(Points!$B$6*IF($F406&lt;Points!$H$4,Points!$H$5,1),0),ROUND(Points!$B$6*IF($F406&lt;=1,1,Points!$H$7+(1-Points!$H$7)*((($F406-$E406)*(($F406-$E406)+1)/2)^2-((($F406-$E406-COUNTIFS($A$5:$A$1668,$A406,$C$5:$C$1668,$C406)+1)-1)*($F406-$E406-COUNTIFS($A$5:$A$1668,$A406,$C$5:$C$1668,$C406)+1)/2)^2)/(COUNTIFS($A$5:$A$1668,$A406,$C$5:$C$1668,$C406)*($F406-1)^3))*IF($F406&lt;Points!$H$4,Points!$H$5,1),0)))</f>
        <v/>
      </c>
      <c r="H406" s="11">
        <f>IF($G406="","",COUNTIFS($B$5:$B$1668,$B406,$G$5:$G$1668,"&gt;"&amp;$G406)+COUNTIFS($B$4:$B405,$B406,$G$4:$G405,$G406)+1)</f>
        <v/>
      </c>
      <c r="I406" s="11">
        <f>IF($G406="","",IF($H406&lt;=Points!$H$6,$G406,0))</f>
        <v/>
      </c>
      <c r="J406" s="11">
        <f>IF($B406="","",IF(COUNTIF(Players!$A$2:$A$500,$B406)=0,"Player is not on the Players tab",IF(NOT(ISNUMBER($C406)),"Enter a gross score",IF(COUNTIFS($A$5:$A$1668,$A406,$B$5:$B$1668,$B406)&gt;1,"Player is listed twice this week",IF(AND($D406&lt;&gt;"",COUNTIFS($A$5:$A$1668,$A406,$D$5:$D$1668,$D406)&gt;1),"Two players picked as "&amp;$D406,IF(COUNTIFS($A$5:$A$1668,$A406,$D$5:$D$1668,"Gross winner")=0,"Pick this week's gross winner",IF(COUNTIFS($A$5:$A$1668,$A406,$D$5:$D$1668,"Net winner")=0,"Pick this week's net winner","OK")))))))</f>
        <v/>
      </c>
    </row>
    <row r="407" outlineLevel="1">
      <c r="A407" s="13" t="n">
        <v>46477</v>
      </c>
      <c r="E407" s="11">
        <f>IF(OR($B407="",NOT(ISNUMBER($C407))),"",COUNTIFS($A$5:$A$1668,$A407,$C$5:$C$1668,"&lt;"&amp;$C407)+1)</f>
        <v/>
      </c>
      <c r="F407" s="11">
        <f>IF(OR($B407="",NOT(ISNUMBER($C407))),"",COUNTIFS($A$5:$A$1668,$A407,$C$5:$C$1668,"&gt;0"))</f>
        <v/>
      </c>
      <c r="G407" s="11">
        <f>IF(OR($B407="",NOT(ISNUMBER($C407))),"",IF($D407&lt;&gt;"",ROUND(Points!$B$6*IF($F407&lt;Points!$H$4,Points!$H$5,1),0),ROUND(Points!$B$6*IF($F407&lt;=1,1,Points!$H$7+(1-Points!$H$7)*((($F407-$E407)*(($F407-$E407)+1)/2)^2-((($F407-$E407-COUNTIFS($A$5:$A$1668,$A407,$C$5:$C$1668,$C407)+1)-1)*($F407-$E407-COUNTIFS($A$5:$A$1668,$A407,$C$5:$C$1668,$C407)+1)/2)^2)/(COUNTIFS($A$5:$A$1668,$A407,$C$5:$C$1668,$C407)*($F407-1)^3))*IF($F407&lt;Points!$H$4,Points!$H$5,1),0)))</f>
        <v/>
      </c>
      <c r="H407" s="11">
        <f>IF($G407="","",COUNTIFS($B$5:$B$1668,$B407,$G$5:$G$1668,"&gt;"&amp;$G407)+COUNTIFS($B$4:$B406,$B407,$G$4:$G406,$G407)+1)</f>
        <v/>
      </c>
      <c r="I407" s="11">
        <f>IF($G407="","",IF($H407&lt;=Points!$H$6,$G407,0))</f>
        <v/>
      </c>
      <c r="J407" s="11">
        <f>IF($B407="","",IF(COUNTIF(Players!$A$2:$A$500,$B407)=0,"Player is not on the Players tab",IF(NOT(ISNUMBER($C407)),"Enter a gross score",IF(COUNTIFS($A$5:$A$1668,$A407,$B$5:$B$1668,$B407)&gt;1,"Player is listed twice this week",IF(AND($D407&lt;&gt;"",COUNTIFS($A$5:$A$1668,$A407,$D$5:$D$1668,$D407)&gt;1),"Two players picked as "&amp;$D407,IF(COUNTIFS($A$5:$A$1668,$A407,$D$5:$D$1668,"Gross winner")=0,"Pick this week's gross winner",IF(COUNTIFS($A$5:$A$1668,$A407,$D$5:$D$1668,"Net winner")=0,"Pick this week's net winner","OK")))))))</f>
        <v/>
      </c>
    </row>
    <row r="408" outlineLevel="1">
      <c r="A408" s="13" t="n">
        <v>46477</v>
      </c>
      <c r="E408" s="11">
        <f>IF(OR($B408="",NOT(ISNUMBER($C408))),"",COUNTIFS($A$5:$A$1668,$A408,$C$5:$C$1668,"&lt;"&amp;$C408)+1)</f>
        <v/>
      </c>
      <c r="F408" s="11">
        <f>IF(OR($B408="",NOT(ISNUMBER($C408))),"",COUNTIFS($A$5:$A$1668,$A408,$C$5:$C$1668,"&gt;0"))</f>
        <v/>
      </c>
      <c r="G408" s="11">
        <f>IF(OR($B408="",NOT(ISNUMBER($C408))),"",IF($D408&lt;&gt;"",ROUND(Points!$B$6*IF($F408&lt;Points!$H$4,Points!$H$5,1),0),ROUND(Points!$B$6*IF($F408&lt;=1,1,Points!$H$7+(1-Points!$H$7)*((($F408-$E408)*(($F408-$E408)+1)/2)^2-((($F408-$E408-COUNTIFS($A$5:$A$1668,$A408,$C$5:$C$1668,$C408)+1)-1)*($F408-$E408-COUNTIFS($A$5:$A$1668,$A408,$C$5:$C$1668,$C408)+1)/2)^2)/(COUNTIFS($A$5:$A$1668,$A408,$C$5:$C$1668,$C408)*($F408-1)^3))*IF($F408&lt;Points!$H$4,Points!$H$5,1),0)))</f>
        <v/>
      </c>
      <c r="H408" s="11">
        <f>IF($G408="","",COUNTIFS($B$5:$B$1668,$B408,$G$5:$G$1668,"&gt;"&amp;$G408)+COUNTIFS($B$4:$B407,$B408,$G$4:$G407,$G408)+1)</f>
        <v/>
      </c>
      <c r="I408" s="11">
        <f>IF($G408="","",IF($H408&lt;=Points!$H$6,$G408,0))</f>
        <v/>
      </c>
      <c r="J408" s="11">
        <f>IF($B408="","",IF(COUNTIF(Players!$A$2:$A$500,$B408)=0,"Player is not on the Players tab",IF(NOT(ISNUMBER($C408)),"Enter a gross score",IF(COUNTIFS($A$5:$A$1668,$A408,$B$5:$B$1668,$B408)&gt;1,"Player is listed twice this week",IF(AND($D408&lt;&gt;"",COUNTIFS($A$5:$A$1668,$A408,$D$5:$D$1668,$D408)&gt;1),"Two players picked as "&amp;$D408,IF(COUNTIFS($A$5:$A$1668,$A408,$D$5:$D$1668,"Gross winner")=0,"Pick this week's gross winner",IF(COUNTIFS($A$5:$A$1668,$A408,$D$5:$D$1668,"Net winner")=0,"Pick this week's net winner","OK")))))))</f>
        <v/>
      </c>
    </row>
    <row r="409" outlineLevel="1">
      <c r="A409" s="13" t="n">
        <v>46477</v>
      </c>
      <c r="E409" s="11">
        <f>IF(OR($B409="",NOT(ISNUMBER($C409))),"",COUNTIFS($A$5:$A$1668,$A409,$C$5:$C$1668,"&lt;"&amp;$C409)+1)</f>
        <v/>
      </c>
      <c r="F409" s="11">
        <f>IF(OR($B409="",NOT(ISNUMBER($C409))),"",COUNTIFS($A$5:$A$1668,$A409,$C$5:$C$1668,"&gt;0"))</f>
        <v/>
      </c>
      <c r="G409" s="11">
        <f>IF(OR($B409="",NOT(ISNUMBER($C409))),"",IF($D409&lt;&gt;"",ROUND(Points!$B$6*IF($F409&lt;Points!$H$4,Points!$H$5,1),0),ROUND(Points!$B$6*IF($F409&lt;=1,1,Points!$H$7+(1-Points!$H$7)*((($F409-$E409)*(($F409-$E409)+1)/2)^2-((($F409-$E409-COUNTIFS($A$5:$A$1668,$A409,$C$5:$C$1668,$C409)+1)-1)*($F409-$E409-COUNTIFS($A$5:$A$1668,$A409,$C$5:$C$1668,$C409)+1)/2)^2)/(COUNTIFS($A$5:$A$1668,$A409,$C$5:$C$1668,$C409)*($F409-1)^3))*IF($F409&lt;Points!$H$4,Points!$H$5,1),0)))</f>
        <v/>
      </c>
      <c r="H409" s="11">
        <f>IF($G409="","",COUNTIFS($B$5:$B$1668,$B409,$G$5:$G$1668,"&gt;"&amp;$G409)+COUNTIFS($B$4:$B408,$B409,$G$4:$G408,$G409)+1)</f>
        <v/>
      </c>
      <c r="I409" s="11">
        <f>IF($G409="","",IF($H409&lt;=Points!$H$6,$G409,0))</f>
        <v/>
      </c>
      <c r="J409" s="11">
        <f>IF($B409="","",IF(COUNTIF(Players!$A$2:$A$500,$B409)=0,"Player is not on the Players tab",IF(NOT(ISNUMBER($C409)),"Enter a gross score",IF(COUNTIFS($A$5:$A$1668,$A409,$B$5:$B$1668,$B409)&gt;1,"Player is listed twice this week",IF(AND($D409&lt;&gt;"",COUNTIFS($A$5:$A$1668,$A409,$D$5:$D$1668,$D409)&gt;1),"Two players picked as "&amp;$D409,IF(COUNTIFS($A$5:$A$1668,$A409,$D$5:$D$1668,"Gross winner")=0,"Pick this week's gross winner",IF(COUNTIFS($A$5:$A$1668,$A409,$D$5:$D$1668,"Net winner")=0,"Pick this week's net winner","OK")))))))</f>
        <v/>
      </c>
    </row>
    <row r="410" outlineLevel="1">
      <c r="A410" s="13" t="n">
        <v>46477</v>
      </c>
      <c r="E410" s="11">
        <f>IF(OR($B410="",NOT(ISNUMBER($C410))),"",COUNTIFS($A$5:$A$1668,$A410,$C$5:$C$1668,"&lt;"&amp;$C410)+1)</f>
        <v/>
      </c>
      <c r="F410" s="11">
        <f>IF(OR($B410="",NOT(ISNUMBER($C410))),"",COUNTIFS($A$5:$A$1668,$A410,$C$5:$C$1668,"&gt;0"))</f>
        <v/>
      </c>
      <c r="G410" s="11">
        <f>IF(OR($B410="",NOT(ISNUMBER($C410))),"",IF($D410&lt;&gt;"",ROUND(Points!$B$6*IF($F410&lt;Points!$H$4,Points!$H$5,1),0),ROUND(Points!$B$6*IF($F410&lt;=1,1,Points!$H$7+(1-Points!$H$7)*((($F410-$E410)*(($F410-$E410)+1)/2)^2-((($F410-$E410-COUNTIFS($A$5:$A$1668,$A410,$C$5:$C$1668,$C410)+1)-1)*($F410-$E410-COUNTIFS($A$5:$A$1668,$A410,$C$5:$C$1668,$C410)+1)/2)^2)/(COUNTIFS($A$5:$A$1668,$A410,$C$5:$C$1668,$C410)*($F410-1)^3))*IF($F410&lt;Points!$H$4,Points!$H$5,1),0)))</f>
        <v/>
      </c>
      <c r="H410" s="11">
        <f>IF($G410="","",COUNTIFS($B$5:$B$1668,$B410,$G$5:$G$1668,"&gt;"&amp;$G410)+COUNTIFS($B$4:$B409,$B410,$G$4:$G409,$G410)+1)</f>
        <v/>
      </c>
      <c r="I410" s="11">
        <f>IF($G410="","",IF($H410&lt;=Points!$H$6,$G410,0))</f>
        <v/>
      </c>
      <c r="J410" s="11">
        <f>IF($B410="","",IF(COUNTIF(Players!$A$2:$A$500,$B410)=0,"Player is not on the Players tab",IF(NOT(ISNUMBER($C410)),"Enter a gross score",IF(COUNTIFS($A$5:$A$1668,$A410,$B$5:$B$1668,$B410)&gt;1,"Player is listed twice this week",IF(AND($D410&lt;&gt;"",COUNTIFS($A$5:$A$1668,$A410,$D$5:$D$1668,$D410)&gt;1),"Two players picked as "&amp;$D410,IF(COUNTIFS($A$5:$A$1668,$A410,$D$5:$D$1668,"Gross winner")=0,"Pick this week's gross winner",IF(COUNTIFS($A$5:$A$1668,$A410,$D$5:$D$1668,"Net winner")=0,"Pick this week's net winner","OK")))))))</f>
        <v/>
      </c>
    </row>
    <row r="411" outlineLevel="1">
      <c r="A411" s="13" t="n">
        <v>46477</v>
      </c>
      <c r="E411" s="11">
        <f>IF(OR($B411="",NOT(ISNUMBER($C411))),"",COUNTIFS($A$5:$A$1668,$A411,$C$5:$C$1668,"&lt;"&amp;$C411)+1)</f>
        <v/>
      </c>
      <c r="F411" s="11">
        <f>IF(OR($B411="",NOT(ISNUMBER($C411))),"",COUNTIFS($A$5:$A$1668,$A411,$C$5:$C$1668,"&gt;0"))</f>
        <v/>
      </c>
      <c r="G411" s="11">
        <f>IF(OR($B411="",NOT(ISNUMBER($C411))),"",IF($D411&lt;&gt;"",ROUND(Points!$B$6*IF($F411&lt;Points!$H$4,Points!$H$5,1),0),ROUND(Points!$B$6*IF($F411&lt;=1,1,Points!$H$7+(1-Points!$H$7)*((($F411-$E411)*(($F411-$E411)+1)/2)^2-((($F411-$E411-COUNTIFS($A$5:$A$1668,$A411,$C$5:$C$1668,$C411)+1)-1)*($F411-$E411-COUNTIFS($A$5:$A$1668,$A411,$C$5:$C$1668,$C411)+1)/2)^2)/(COUNTIFS($A$5:$A$1668,$A411,$C$5:$C$1668,$C411)*($F411-1)^3))*IF($F411&lt;Points!$H$4,Points!$H$5,1),0)))</f>
        <v/>
      </c>
      <c r="H411" s="11">
        <f>IF($G411="","",COUNTIFS($B$5:$B$1668,$B411,$G$5:$G$1668,"&gt;"&amp;$G411)+COUNTIFS($B$4:$B410,$B411,$G$4:$G410,$G411)+1)</f>
        <v/>
      </c>
      <c r="I411" s="11">
        <f>IF($G411="","",IF($H411&lt;=Points!$H$6,$G411,0))</f>
        <v/>
      </c>
      <c r="J411" s="11">
        <f>IF($B411="","",IF(COUNTIF(Players!$A$2:$A$500,$B411)=0,"Player is not on the Players tab",IF(NOT(ISNUMBER($C411)),"Enter a gross score",IF(COUNTIFS($A$5:$A$1668,$A411,$B$5:$B$1668,$B411)&gt;1,"Player is listed twice this week",IF(AND($D411&lt;&gt;"",COUNTIFS($A$5:$A$1668,$A411,$D$5:$D$1668,$D411)&gt;1),"Two players picked as "&amp;$D411,IF(COUNTIFS($A$5:$A$1668,$A411,$D$5:$D$1668,"Gross winner")=0,"Pick this week's gross winner",IF(COUNTIFS($A$5:$A$1668,$A411,$D$5:$D$1668,"Net winner")=0,"Pick this week's net winner","OK")))))))</f>
        <v/>
      </c>
    </row>
    <row r="412" outlineLevel="1">
      <c r="A412" s="13" t="n">
        <v>46477</v>
      </c>
      <c r="E412" s="11">
        <f>IF(OR($B412="",NOT(ISNUMBER($C412))),"",COUNTIFS($A$5:$A$1668,$A412,$C$5:$C$1668,"&lt;"&amp;$C412)+1)</f>
        <v/>
      </c>
      <c r="F412" s="11">
        <f>IF(OR($B412="",NOT(ISNUMBER($C412))),"",COUNTIFS($A$5:$A$1668,$A412,$C$5:$C$1668,"&gt;0"))</f>
        <v/>
      </c>
      <c r="G412" s="11">
        <f>IF(OR($B412="",NOT(ISNUMBER($C412))),"",IF($D412&lt;&gt;"",ROUND(Points!$B$6*IF($F412&lt;Points!$H$4,Points!$H$5,1),0),ROUND(Points!$B$6*IF($F412&lt;=1,1,Points!$H$7+(1-Points!$H$7)*((($F412-$E412)*(($F412-$E412)+1)/2)^2-((($F412-$E412-COUNTIFS($A$5:$A$1668,$A412,$C$5:$C$1668,$C412)+1)-1)*($F412-$E412-COUNTIFS($A$5:$A$1668,$A412,$C$5:$C$1668,$C412)+1)/2)^2)/(COUNTIFS($A$5:$A$1668,$A412,$C$5:$C$1668,$C412)*($F412-1)^3))*IF($F412&lt;Points!$H$4,Points!$H$5,1),0)))</f>
        <v/>
      </c>
      <c r="H412" s="11">
        <f>IF($G412="","",COUNTIFS($B$5:$B$1668,$B412,$G$5:$G$1668,"&gt;"&amp;$G412)+COUNTIFS($B$4:$B411,$B412,$G$4:$G411,$G412)+1)</f>
        <v/>
      </c>
      <c r="I412" s="11">
        <f>IF($G412="","",IF($H412&lt;=Points!$H$6,$G412,0))</f>
        <v/>
      </c>
      <c r="J412" s="11">
        <f>IF($B412="","",IF(COUNTIF(Players!$A$2:$A$500,$B412)=0,"Player is not on the Players tab",IF(NOT(ISNUMBER($C412)),"Enter a gross score",IF(COUNTIFS($A$5:$A$1668,$A412,$B$5:$B$1668,$B412)&gt;1,"Player is listed twice this week",IF(AND($D412&lt;&gt;"",COUNTIFS($A$5:$A$1668,$A412,$D$5:$D$1668,$D412)&gt;1),"Two players picked as "&amp;$D412,IF(COUNTIFS($A$5:$A$1668,$A412,$D$5:$D$1668,"Gross winner")=0,"Pick this week's gross winner",IF(COUNTIFS($A$5:$A$1668,$A412,$D$5:$D$1668,"Net winner")=0,"Pick this week's net winner","OK")))))))</f>
        <v/>
      </c>
    </row>
    <row r="413" outlineLevel="1">
      <c r="A413" s="13" t="n">
        <v>46477</v>
      </c>
      <c r="E413" s="11">
        <f>IF(OR($B413="",NOT(ISNUMBER($C413))),"",COUNTIFS($A$5:$A$1668,$A413,$C$5:$C$1668,"&lt;"&amp;$C413)+1)</f>
        <v/>
      </c>
      <c r="F413" s="11">
        <f>IF(OR($B413="",NOT(ISNUMBER($C413))),"",COUNTIFS($A$5:$A$1668,$A413,$C$5:$C$1668,"&gt;0"))</f>
        <v/>
      </c>
      <c r="G413" s="11">
        <f>IF(OR($B413="",NOT(ISNUMBER($C413))),"",IF($D413&lt;&gt;"",ROUND(Points!$B$6*IF($F413&lt;Points!$H$4,Points!$H$5,1),0),ROUND(Points!$B$6*IF($F413&lt;=1,1,Points!$H$7+(1-Points!$H$7)*((($F413-$E413)*(($F413-$E413)+1)/2)^2-((($F413-$E413-COUNTIFS($A$5:$A$1668,$A413,$C$5:$C$1668,$C413)+1)-1)*($F413-$E413-COUNTIFS($A$5:$A$1668,$A413,$C$5:$C$1668,$C413)+1)/2)^2)/(COUNTIFS($A$5:$A$1668,$A413,$C$5:$C$1668,$C413)*($F413-1)^3))*IF($F413&lt;Points!$H$4,Points!$H$5,1),0)))</f>
        <v/>
      </c>
      <c r="H413" s="11">
        <f>IF($G413="","",COUNTIFS($B$5:$B$1668,$B413,$G$5:$G$1668,"&gt;"&amp;$G413)+COUNTIFS($B$4:$B412,$B413,$G$4:$G412,$G413)+1)</f>
        <v/>
      </c>
      <c r="I413" s="11">
        <f>IF($G413="","",IF($H413&lt;=Points!$H$6,$G413,0))</f>
        <v/>
      </c>
      <c r="J413" s="11">
        <f>IF($B413="","",IF(COUNTIF(Players!$A$2:$A$500,$B413)=0,"Player is not on the Players tab",IF(NOT(ISNUMBER($C413)),"Enter a gross score",IF(COUNTIFS($A$5:$A$1668,$A413,$B$5:$B$1668,$B413)&gt;1,"Player is listed twice this week",IF(AND($D413&lt;&gt;"",COUNTIFS($A$5:$A$1668,$A413,$D$5:$D$1668,$D413)&gt;1),"Two players picked as "&amp;$D413,IF(COUNTIFS($A$5:$A$1668,$A413,$D$5:$D$1668,"Gross winner")=0,"Pick this week's gross winner",IF(COUNTIFS($A$5:$A$1668,$A413,$D$5:$D$1668,"Net winner")=0,"Pick this week's net winner","OK")))))))</f>
        <v/>
      </c>
    </row>
    <row r="414" outlineLevel="1">
      <c r="A414" s="13" t="n">
        <v>46477</v>
      </c>
      <c r="E414" s="11">
        <f>IF(OR($B414="",NOT(ISNUMBER($C414))),"",COUNTIFS($A$5:$A$1668,$A414,$C$5:$C$1668,"&lt;"&amp;$C414)+1)</f>
        <v/>
      </c>
      <c r="F414" s="11">
        <f>IF(OR($B414="",NOT(ISNUMBER($C414))),"",COUNTIFS($A$5:$A$1668,$A414,$C$5:$C$1668,"&gt;0"))</f>
        <v/>
      </c>
      <c r="G414" s="11">
        <f>IF(OR($B414="",NOT(ISNUMBER($C414))),"",IF($D414&lt;&gt;"",ROUND(Points!$B$6*IF($F414&lt;Points!$H$4,Points!$H$5,1),0),ROUND(Points!$B$6*IF($F414&lt;=1,1,Points!$H$7+(1-Points!$H$7)*((($F414-$E414)*(($F414-$E414)+1)/2)^2-((($F414-$E414-COUNTIFS($A$5:$A$1668,$A414,$C$5:$C$1668,$C414)+1)-1)*($F414-$E414-COUNTIFS($A$5:$A$1668,$A414,$C$5:$C$1668,$C414)+1)/2)^2)/(COUNTIFS($A$5:$A$1668,$A414,$C$5:$C$1668,$C414)*($F414-1)^3))*IF($F414&lt;Points!$H$4,Points!$H$5,1),0)))</f>
        <v/>
      </c>
      <c r="H414" s="11">
        <f>IF($G414="","",COUNTIFS($B$5:$B$1668,$B414,$G$5:$G$1668,"&gt;"&amp;$G414)+COUNTIFS($B$4:$B413,$B414,$G$4:$G413,$G414)+1)</f>
        <v/>
      </c>
      <c r="I414" s="11">
        <f>IF($G414="","",IF($H414&lt;=Points!$H$6,$G414,0))</f>
        <v/>
      </c>
      <c r="J414" s="11">
        <f>IF($B414="","",IF(COUNTIF(Players!$A$2:$A$500,$B414)=0,"Player is not on the Players tab",IF(NOT(ISNUMBER($C414)),"Enter a gross score",IF(COUNTIFS($A$5:$A$1668,$A414,$B$5:$B$1668,$B414)&gt;1,"Player is listed twice this week",IF(AND($D414&lt;&gt;"",COUNTIFS($A$5:$A$1668,$A414,$D$5:$D$1668,$D414)&gt;1),"Two players picked as "&amp;$D414,IF(COUNTIFS($A$5:$A$1668,$A414,$D$5:$D$1668,"Gross winner")=0,"Pick this week's gross winner",IF(COUNTIFS($A$5:$A$1668,$A414,$D$5:$D$1668,"Net winner")=0,"Pick this week's net winner","OK")))))))</f>
        <v/>
      </c>
    </row>
    <row r="415" outlineLevel="1">
      <c r="A415" s="13" t="n">
        <v>46477</v>
      </c>
      <c r="E415" s="11">
        <f>IF(OR($B415="",NOT(ISNUMBER($C415))),"",COUNTIFS($A$5:$A$1668,$A415,$C$5:$C$1668,"&lt;"&amp;$C415)+1)</f>
        <v/>
      </c>
      <c r="F415" s="11">
        <f>IF(OR($B415="",NOT(ISNUMBER($C415))),"",COUNTIFS($A$5:$A$1668,$A415,$C$5:$C$1668,"&gt;0"))</f>
        <v/>
      </c>
      <c r="G415" s="11">
        <f>IF(OR($B415="",NOT(ISNUMBER($C415))),"",IF($D415&lt;&gt;"",ROUND(Points!$B$6*IF($F415&lt;Points!$H$4,Points!$H$5,1),0),ROUND(Points!$B$6*IF($F415&lt;=1,1,Points!$H$7+(1-Points!$H$7)*((($F415-$E415)*(($F415-$E415)+1)/2)^2-((($F415-$E415-COUNTIFS($A$5:$A$1668,$A415,$C$5:$C$1668,$C415)+1)-1)*($F415-$E415-COUNTIFS($A$5:$A$1668,$A415,$C$5:$C$1668,$C415)+1)/2)^2)/(COUNTIFS($A$5:$A$1668,$A415,$C$5:$C$1668,$C415)*($F415-1)^3))*IF($F415&lt;Points!$H$4,Points!$H$5,1),0)))</f>
        <v/>
      </c>
      <c r="H415" s="11">
        <f>IF($G415="","",COUNTIFS($B$5:$B$1668,$B415,$G$5:$G$1668,"&gt;"&amp;$G415)+COUNTIFS($B$4:$B414,$B415,$G$4:$G414,$G415)+1)</f>
        <v/>
      </c>
      <c r="I415" s="11">
        <f>IF($G415="","",IF($H415&lt;=Points!$H$6,$G415,0))</f>
        <v/>
      </c>
      <c r="J415" s="11">
        <f>IF($B415="","",IF(COUNTIF(Players!$A$2:$A$500,$B415)=0,"Player is not on the Players tab",IF(NOT(ISNUMBER($C415)),"Enter a gross score",IF(COUNTIFS($A$5:$A$1668,$A415,$B$5:$B$1668,$B415)&gt;1,"Player is listed twice this week",IF(AND($D415&lt;&gt;"",COUNTIFS($A$5:$A$1668,$A415,$D$5:$D$1668,$D415)&gt;1),"Two players picked as "&amp;$D415,IF(COUNTIFS($A$5:$A$1668,$A415,$D$5:$D$1668,"Gross winner")=0,"Pick this week's gross winner",IF(COUNTIFS($A$5:$A$1668,$A415,$D$5:$D$1668,"Net winner")=0,"Pick this week's net winner","OK")))))))</f>
        <v/>
      </c>
    </row>
    <row r="416" outlineLevel="1">
      <c r="A416" s="13" t="n">
        <v>46477</v>
      </c>
      <c r="E416" s="11">
        <f>IF(OR($B416="",NOT(ISNUMBER($C416))),"",COUNTIFS($A$5:$A$1668,$A416,$C$5:$C$1668,"&lt;"&amp;$C416)+1)</f>
        <v/>
      </c>
      <c r="F416" s="11">
        <f>IF(OR($B416="",NOT(ISNUMBER($C416))),"",COUNTIFS($A$5:$A$1668,$A416,$C$5:$C$1668,"&gt;0"))</f>
        <v/>
      </c>
      <c r="G416" s="11">
        <f>IF(OR($B416="",NOT(ISNUMBER($C416))),"",IF($D416&lt;&gt;"",ROUND(Points!$B$6*IF($F416&lt;Points!$H$4,Points!$H$5,1),0),ROUND(Points!$B$6*IF($F416&lt;=1,1,Points!$H$7+(1-Points!$H$7)*((($F416-$E416)*(($F416-$E416)+1)/2)^2-((($F416-$E416-COUNTIFS($A$5:$A$1668,$A416,$C$5:$C$1668,$C416)+1)-1)*($F416-$E416-COUNTIFS($A$5:$A$1668,$A416,$C$5:$C$1668,$C416)+1)/2)^2)/(COUNTIFS($A$5:$A$1668,$A416,$C$5:$C$1668,$C416)*($F416-1)^3))*IF($F416&lt;Points!$H$4,Points!$H$5,1),0)))</f>
        <v/>
      </c>
      <c r="H416" s="11">
        <f>IF($G416="","",COUNTIFS($B$5:$B$1668,$B416,$G$5:$G$1668,"&gt;"&amp;$G416)+COUNTIFS($B$4:$B415,$B416,$G$4:$G415,$G416)+1)</f>
        <v/>
      </c>
      <c r="I416" s="11">
        <f>IF($G416="","",IF($H416&lt;=Points!$H$6,$G416,0))</f>
        <v/>
      </c>
      <c r="J416" s="11">
        <f>IF($B416="","",IF(COUNTIF(Players!$A$2:$A$500,$B416)=0,"Player is not on the Players tab",IF(NOT(ISNUMBER($C416)),"Enter a gross score",IF(COUNTIFS($A$5:$A$1668,$A416,$B$5:$B$1668,$B416)&gt;1,"Player is listed twice this week",IF(AND($D416&lt;&gt;"",COUNTIFS($A$5:$A$1668,$A416,$D$5:$D$1668,$D416)&gt;1),"Two players picked as "&amp;$D416,IF(COUNTIFS($A$5:$A$1668,$A416,$D$5:$D$1668,"Gross winner")=0,"Pick this week's gross winner",IF(COUNTIFS($A$5:$A$1668,$A416,$D$5:$D$1668,"Net winner")=0,"Pick this week's net winner","OK")))))))</f>
        <v/>
      </c>
    </row>
    <row r="417" outlineLevel="1">
      <c r="A417" s="13" t="n">
        <v>46477</v>
      </c>
      <c r="E417" s="11">
        <f>IF(OR($B417="",NOT(ISNUMBER($C417))),"",COUNTIFS($A$5:$A$1668,$A417,$C$5:$C$1668,"&lt;"&amp;$C417)+1)</f>
        <v/>
      </c>
      <c r="F417" s="11">
        <f>IF(OR($B417="",NOT(ISNUMBER($C417))),"",COUNTIFS($A$5:$A$1668,$A417,$C$5:$C$1668,"&gt;0"))</f>
        <v/>
      </c>
      <c r="G417" s="11">
        <f>IF(OR($B417="",NOT(ISNUMBER($C417))),"",IF($D417&lt;&gt;"",ROUND(Points!$B$6*IF($F417&lt;Points!$H$4,Points!$H$5,1),0),ROUND(Points!$B$6*IF($F417&lt;=1,1,Points!$H$7+(1-Points!$H$7)*((($F417-$E417)*(($F417-$E417)+1)/2)^2-((($F417-$E417-COUNTIFS($A$5:$A$1668,$A417,$C$5:$C$1668,$C417)+1)-1)*($F417-$E417-COUNTIFS($A$5:$A$1668,$A417,$C$5:$C$1668,$C417)+1)/2)^2)/(COUNTIFS($A$5:$A$1668,$A417,$C$5:$C$1668,$C417)*($F417-1)^3))*IF($F417&lt;Points!$H$4,Points!$H$5,1),0)))</f>
        <v/>
      </c>
      <c r="H417" s="11">
        <f>IF($G417="","",COUNTIFS($B$5:$B$1668,$B417,$G$5:$G$1668,"&gt;"&amp;$G417)+COUNTIFS($B$4:$B416,$B417,$G$4:$G416,$G417)+1)</f>
        <v/>
      </c>
      <c r="I417" s="11">
        <f>IF($G417="","",IF($H417&lt;=Points!$H$6,$G417,0))</f>
        <v/>
      </c>
      <c r="J417" s="11">
        <f>IF($B417="","",IF(COUNTIF(Players!$A$2:$A$500,$B417)=0,"Player is not on the Players tab",IF(NOT(ISNUMBER($C417)),"Enter a gross score",IF(COUNTIFS($A$5:$A$1668,$A417,$B$5:$B$1668,$B417)&gt;1,"Player is listed twice this week",IF(AND($D417&lt;&gt;"",COUNTIFS($A$5:$A$1668,$A417,$D$5:$D$1668,$D417)&gt;1),"Two players picked as "&amp;$D417,IF(COUNTIFS($A$5:$A$1668,$A417,$D$5:$D$1668,"Gross winner")=0,"Pick this week's gross winner",IF(COUNTIFS($A$5:$A$1668,$A417,$D$5:$D$1668,"Net winner")=0,"Pick this week's net winner","OK")))))))</f>
        <v/>
      </c>
    </row>
    <row r="418" outlineLevel="1">
      <c r="A418" s="13" t="n">
        <v>46477</v>
      </c>
      <c r="E418" s="11">
        <f>IF(OR($B418="",NOT(ISNUMBER($C418))),"",COUNTIFS($A$5:$A$1668,$A418,$C$5:$C$1668,"&lt;"&amp;$C418)+1)</f>
        <v/>
      </c>
      <c r="F418" s="11">
        <f>IF(OR($B418="",NOT(ISNUMBER($C418))),"",COUNTIFS($A$5:$A$1668,$A418,$C$5:$C$1668,"&gt;0"))</f>
        <v/>
      </c>
      <c r="G418" s="11">
        <f>IF(OR($B418="",NOT(ISNUMBER($C418))),"",IF($D418&lt;&gt;"",ROUND(Points!$B$6*IF($F418&lt;Points!$H$4,Points!$H$5,1),0),ROUND(Points!$B$6*IF($F418&lt;=1,1,Points!$H$7+(1-Points!$H$7)*((($F418-$E418)*(($F418-$E418)+1)/2)^2-((($F418-$E418-COUNTIFS($A$5:$A$1668,$A418,$C$5:$C$1668,$C418)+1)-1)*($F418-$E418-COUNTIFS($A$5:$A$1668,$A418,$C$5:$C$1668,$C418)+1)/2)^2)/(COUNTIFS($A$5:$A$1668,$A418,$C$5:$C$1668,$C418)*($F418-1)^3))*IF($F418&lt;Points!$H$4,Points!$H$5,1),0)))</f>
        <v/>
      </c>
      <c r="H418" s="11">
        <f>IF($G418="","",COUNTIFS($B$5:$B$1668,$B418,$G$5:$G$1668,"&gt;"&amp;$G418)+COUNTIFS($B$4:$B417,$B418,$G$4:$G417,$G418)+1)</f>
        <v/>
      </c>
      <c r="I418" s="11">
        <f>IF($G418="","",IF($H418&lt;=Points!$H$6,$G418,0))</f>
        <v/>
      </c>
      <c r="J418" s="11">
        <f>IF($B418="","",IF(COUNTIF(Players!$A$2:$A$500,$B418)=0,"Player is not on the Players tab",IF(NOT(ISNUMBER($C418)),"Enter a gross score",IF(COUNTIFS($A$5:$A$1668,$A418,$B$5:$B$1668,$B418)&gt;1,"Player is listed twice this week",IF(AND($D418&lt;&gt;"",COUNTIFS($A$5:$A$1668,$A418,$D$5:$D$1668,$D418)&gt;1),"Two players picked as "&amp;$D418,IF(COUNTIFS($A$5:$A$1668,$A418,$D$5:$D$1668,"Gross winner")=0,"Pick this week's gross winner",IF(COUNTIFS($A$5:$A$1668,$A418,$D$5:$D$1668,"Net winner")=0,"Pick this week's net winner","OK")))))))</f>
        <v/>
      </c>
    </row>
    <row r="419" outlineLevel="1">
      <c r="A419" s="13" t="n">
        <v>46477</v>
      </c>
      <c r="E419" s="11">
        <f>IF(OR($B419="",NOT(ISNUMBER($C419))),"",COUNTIFS($A$5:$A$1668,$A419,$C$5:$C$1668,"&lt;"&amp;$C419)+1)</f>
        <v/>
      </c>
      <c r="F419" s="11">
        <f>IF(OR($B419="",NOT(ISNUMBER($C419))),"",COUNTIFS($A$5:$A$1668,$A419,$C$5:$C$1668,"&gt;0"))</f>
        <v/>
      </c>
      <c r="G419" s="11">
        <f>IF(OR($B419="",NOT(ISNUMBER($C419))),"",IF($D419&lt;&gt;"",ROUND(Points!$B$6*IF($F419&lt;Points!$H$4,Points!$H$5,1),0),ROUND(Points!$B$6*IF($F419&lt;=1,1,Points!$H$7+(1-Points!$H$7)*((($F419-$E419)*(($F419-$E419)+1)/2)^2-((($F419-$E419-COUNTIFS($A$5:$A$1668,$A419,$C$5:$C$1668,$C419)+1)-1)*($F419-$E419-COUNTIFS($A$5:$A$1668,$A419,$C$5:$C$1668,$C419)+1)/2)^2)/(COUNTIFS($A$5:$A$1668,$A419,$C$5:$C$1668,$C419)*($F419-1)^3))*IF($F419&lt;Points!$H$4,Points!$H$5,1),0)))</f>
        <v/>
      </c>
      <c r="H419" s="11">
        <f>IF($G419="","",COUNTIFS($B$5:$B$1668,$B419,$G$5:$G$1668,"&gt;"&amp;$G419)+COUNTIFS($B$4:$B418,$B419,$G$4:$G418,$G419)+1)</f>
        <v/>
      </c>
      <c r="I419" s="11">
        <f>IF($G419="","",IF($H419&lt;=Points!$H$6,$G419,0))</f>
        <v/>
      </c>
      <c r="J419" s="11">
        <f>IF($B419="","",IF(COUNTIF(Players!$A$2:$A$500,$B419)=0,"Player is not on the Players tab",IF(NOT(ISNUMBER($C419)),"Enter a gross score",IF(COUNTIFS($A$5:$A$1668,$A419,$B$5:$B$1668,$B419)&gt;1,"Player is listed twice this week",IF(AND($D419&lt;&gt;"",COUNTIFS($A$5:$A$1668,$A419,$D$5:$D$1668,$D419)&gt;1),"Two players picked as "&amp;$D419,IF(COUNTIFS($A$5:$A$1668,$A419,$D$5:$D$1668,"Gross winner")=0,"Pick this week's gross winner",IF(COUNTIFS($A$5:$A$1668,$A419,$D$5:$D$1668,"Net winner")=0,"Pick this week's net winner","OK")))))))</f>
        <v/>
      </c>
    </row>
    <row r="420" ht="10" customHeight="1"/>
    <row r="421" ht="22" customHeight="1">
      <c r="A421" s="12" t="inlineStr">
        <is>
          <t>Week 14  ·  Wednesday, Apr 7</t>
        </is>
      </c>
    </row>
    <row r="422" outlineLevel="1">
      <c r="A422" s="13" t="n">
        <v>46484</v>
      </c>
      <c r="E422" s="11">
        <f>IF(OR($B422="",NOT(ISNUMBER($C422))),"",COUNTIFS($A$5:$A$1668,$A422,$C$5:$C$1668,"&lt;"&amp;$C422)+1)</f>
        <v/>
      </c>
      <c r="F422" s="11">
        <f>IF(OR($B422="",NOT(ISNUMBER($C422))),"",COUNTIFS($A$5:$A$1668,$A422,$C$5:$C$1668,"&gt;0"))</f>
        <v/>
      </c>
      <c r="G422" s="11">
        <f>IF(OR($B422="",NOT(ISNUMBER($C422))),"",IF($D422&lt;&gt;"",ROUND(Points!$B$6*IF($F422&lt;Points!$H$4,Points!$H$5,1),0),ROUND(Points!$B$6*IF($F422&lt;=1,1,Points!$H$7+(1-Points!$H$7)*((($F422-$E422)*(($F422-$E422)+1)/2)^2-((($F422-$E422-COUNTIFS($A$5:$A$1668,$A422,$C$5:$C$1668,$C422)+1)-1)*($F422-$E422-COUNTIFS($A$5:$A$1668,$A422,$C$5:$C$1668,$C422)+1)/2)^2)/(COUNTIFS($A$5:$A$1668,$A422,$C$5:$C$1668,$C422)*($F422-1)^3))*IF($F422&lt;Points!$H$4,Points!$H$5,1),0)))</f>
        <v/>
      </c>
      <c r="H422" s="11">
        <f>IF($G422="","",COUNTIFS($B$5:$B$1668,$B422,$G$5:$G$1668,"&gt;"&amp;$G422)+COUNTIFS($B$4:$B421,$B422,$G$4:$G421,$G422)+1)</f>
        <v/>
      </c>
      <c r="I422" s="11">
        <f>IF($G422="","",IF($H422&lt;=Points!$H$6,$G422,0))</f>
        <v/>
      </c>
      <c r="J422" s="11">
        <f>IF($B422="","",IF(COUNTIF(Players!$A$2:$A$500,$B422)=0,"Player is not on the Players tab",IF(NOT(ISNUMBER($C422)),"Enter a gross score",IF(COUNTIFS($A$5:$A$1668,$A422,$B$5:$B$1668,$B422)&gt;1,"Player is listed twice this week",IF(AND($D422&lt;&gt;"",COUNTIFS($A$5:$A$1668,$A422,$D$5:$D$1668,$D422)&gt;1),"Two players picked as "&amp;$D422,IF(COUNTIFS($A$5:$A$1668,$A422,$D$5:$D$1668,"Gross winner")=0,"Pick this week's gross winner",IF(COUNTIFS($A$5:$A$1668,$A422,$D$5:$D$1668,"Net winner")=0,"Pick this week's net winner","OK")))))))</f>
        <v/>
      </c>
    </row>
    <row r="423" outlineLevel="1">
      <c r="A423" s="13" t="n">
        <v>46484</v>
      </c>
      <c r="E423" s="11">
        <f>IF(OR($B423="",NOT(ISNUMBER($C423))),"",COUNTIFS($A$5:$A$1668,$A423,$C$5:$C$1668,"&lt;"&amp;$C423)+1)</f>
        <v/>
      </c>
      <c r="F423" s="11">
        <f>IF(OR($B423="",NOT(ISNUMBER($C423))),"",COUNTIFS($A$5:$A$1668,$A423,$C$5:$C$1668,"&gt;0"))</f>
        <v/>
      </c>
      <c r="G423" s="11">
        <f>IF(OR($B423="",NOT(ISNUMBER($C423))),"",IF($D423&lt;&gt;"",ROUND(Points!$B$6*IF($F423&lt;Points!$H$4,Points!$H$5,1),0),ROUND(Points!$B$6*IF($F423&lt;=1,1,Points!$H$7+(1-Points!$H$7)*((($F423-$E423)*(($F423-$E423)+1)/2)^2-((($F423-$E423-COUNTIFS($A$5:$A$1668,$A423,$C$5:$C$1668,$C423)+1)-1)*($F423-$E423-COUNTIFS($A$5:$A$1668,$A423,$C$5:$C$1668,$C423)+1)/2)^2)/(COUNTIFS($A$5:$A$1668,$A423,$C$5:$C$1668,$C423)*($F423-1)^3))*IF($F423&lt;Points!$H$4,Points!$H$5,1),0)))</f>
        <v/>
      </c>
      <c r="H423" s="11">
        <f>IF($G423="","",COUNTIFS($B$5:$B$1668,$B423,$G$5:$G$1668,"&gt;"&amp;$G423)+COUNTIFS($B$4:$B422,$B423,$G$4:$G422,$G423)+1)</f>
        <v/>
      </c>
      <c r="I423" s="11">
        <f>IF($G423="","",IF($H423&lt;=Points!$H$6,$G423,0))</f>
        <v/>
      </c>
      <c r="J423" s="11">
        <f>IF($B423="","",IF(COUNTIF(Players!$A$2:$A$500,$B423)=0,"Player is not on the Players tab",IF(NOT(ISNUMBER($C423)),"Enter a gross score",IF(COUNTIFS($A$5:$A$1668,$A423,$B$5:$B$1668,$B423)&gt;1,"Player is listed twice this week",IF(AND($D423&lt;&gt;"",COUNTIFS($A$5:$A$1668,$A423,$D$5:$D$1668,$D423)&gt;1),"Two players picked as "&amp;$D423,IF(COUNTIFS($A$5:$A$1668,$A423,$D$5:$D$1668,"Gross winner")=0,"Pick this week's gross winner",IF(COUNTIFS($A$5:$A$1668,$A423,$D$5:$D$1668,"Net winner")=0,"Pick this week's net winner","OK")))))))</f>
        <v/>
      </c>
    </row>
    <row r="424" outlineLevel="1">
      <c r="A424" s="13" t="n">
        <v>46484</v>
      </c>
      <c r="E424" s="11">
        <f>IF(OR($B424="",NOT(ISNUMBER($C424))),"",COUNTIFS($A$5:$A$1668,$A424,$C$5:$C$1668,"&lt;"&amp;$C424)+1)</f>
        <v/>
      </c>
      <c r="F424" s="11">
        <f>IF(OR($B424="",NOT(ISNUMBER($C424))),"",COUNTIFS($A$5:$A$1668,$A424,$C$5:$C$1668,"&gt;0"))</f>
        <v/>
      </c>
      <c r="G424" s="11">
        <f>IF(OR($B424="",NOT(ISNUMBER($C424))),"",IF($D424&lt;&gt;"",ROUND(Points!$B$6*IF($F424&lt;Points!$H$4,Points!$H$5,1),0),ROUND(Points!$B$6*IF($F424&lt;=1,1,Points!$H$7+(1-Points!$H$7)*((($F424-$E424)*(($F424-$E424)+1)/2)^2-((($F424-$E424-COUNTIFS($A$5:$A$1668,$A424,$C$5:$C$1668,$C424)+1)-1)*($F424-$E424-COUNTIFS($A$5:$A$1668,$A424,$C$5:$C$1668,$C424)+1)/2)^2)/(COUNTIFS($A$5:$A$1668,$A424,$C$5:$C$1668,$C424)*($F424-1)^3))*IF($F424&lt;Points!$H$4,Points!$H$5,1),0)))</f>
        <v/>
      </c>
      <c r="H424" s="11">
        <f>IF($G424="","",COUNTIFS($B$5:$B$1668,$B424,$G$5:$G$1668,"&gt;"&amp;$G424)+COUNTIFS($B$4:$B423,$B424,$G$4:$G423,$G424)+1)</f>
        <v/>
      </c>
      <c r="I424" s="11">
        <f>IF($G424="","",IF($H424&lt;=Points!$H$6,$G424,0))</f>
        <v/>
      </c>
      <c r="J424" s="11">
        <f>IF($B424="","",IF(COUNTIF(Players!$A$2:$A$500,$B424)=0,"Player is not on the Players tab",IF(NOT(ISNUMBER($C424)),"Enter a gross score",IF(COUNTIFS($A$5:$A$1668,$A424,$B$5:$B$1668,$B424)&gt;1,"Player is listed twice this week",IF(AND($D424&lt;&gt;"",COUNTIFS($A$5:$A$1668,$A424,$D$5:$D$1668,$D424)&gt;1),"Two players picked as "&amp;$D424,IF(COUNTIFS($A$5:$A$1668,$A424,$D$5:$D$1668,"Gross winner")=0,"Pick this week's gross winner",IF(COUNTIFS($A$5:$A$1668,$A424,$D$5:$D$1668,"Net winner")=0,"Pick this week's net winner","OK")))))))</f>
        <v/>
      </c>
    </row>
    <row r="425" outlineLevel="1">
      <c r="A425" s="13" t="n">
        <v>46484</v>
      </c>
      <c r="E425" s="11">
        <f>IF(OR($B425="",NOT(ISNUMBER($C425))),"",COUNTIFS($A$5:$A$1668,$A425,$C$5:$C$1668,"&lt;"&amp;$C425)+1)</f>
        <v/>
      </c>
      <c r="F425" s="11">
        <f>IF(OR($B425="",NOT(ISNUMBER($C425))),"",COUNTIFS($A$5:$A$1668,$A425,$C$5:$C$1668,"&gt;0"))</f>
        <v/>
      </c>
      <c r="G425" s="11">
        <f>IF(OR($B425="",NOT(ISNUMBER($C425))),"",IF($D425&lt;&gt;"",ROUND(Points!$B$6*IF($F425&lt;Points!$H$4,Points!$H$5,1),0),ROUND(Points!$B$6*IF($F425&lt;=1,1,Points!$H$7+(1-Points!$H$7)*((($F425-$E425)*(($F425-$E425)+1)/2)^2-((($F425-$E425-COUNTIFS($A$5:$A$1668,$A425,$C$5:$C$1668,$C425)+1)-1)*($F425-$E425-COUNTIFS($A$5:$A$1668,$A425,$C$5:$C$1668,$C425)+1)/2)^2)/(COUNTIFS($A$5:$A$1668,$A425,$C$5:$C$1668,$C425)*($F425-1)^3))*IF($F425&lt;Points!$H$4,Points!$H$5,1),0)))</f>
        <v/>
      </c>
      <c r="H425" s="11">
        <f>IF($G425="","",COUNTIFS($B$5:$B$1668,$B425,$G$5:$G$1668,"&gt;"&amp;$G425)+COUNTIFS($B$4:$B424,$B425,$G$4:$G424,$G425)+1)</f>
        <v/>
      </c>
      <c r="I425" s="11">
        <f>IF($G425="","",IF($H425&lt;=Points!$H$6,$G425,0))</f>
        <v/>
      </c>
      <c r="J425" s="11">
        <f>IF($B425="","",IF(COUNTIF(Players!$A$2:$A$500,$B425)=0,"Player is not on the Players tab",IF(NOT(ISNUMBER($C425)),"Enter a gross score",IF(COUNTIFS($A$5:$A$1668,$A425,$B$5:$B$1668,$B425)&gt;1,"Player is listed twice this week",IF(AND($D425&lt;&gt;"",COUNTIFS($A$5:$A$1668,$A425,$D$5:$D$1668,$D425)&gt;1),"Two players picked as "&amp;$D425,IF(COUNTIFS($A$5:$A$1668,$A425,$D$5:$D$1668,"Gross winner")=0,"Pick this week's gross winner",IF(COUNTIFS($A$5:$A$1668,$A425,$D$5:$D$1668,"Net winner")=0,"Pick this week's net winner","OK")))))))</f>
        <v/>
      </c>
    </row>
    <row r="426" outlineLevel="1">
      <c r="A426" s="13" t="n">
        <v>46484</v>
      </c>
      <c r="E426" s="11">
        <f>IF(OR($B426="",NOT(ISNUMBER($C426))),"",COUNTIFS($A$5:$A$1668,$A426,$C$5:$C$1668,"&lt;"&amp;$C426)+1)</f>
        <v/>
      </c>
      <c r="F426" s="11">
        <f>IF(OR($B426="",NOT(ISNUMBER($C426))),"",COUNTIFS($A$5:$A$1668,$A426,$C$5:$C$1668,"&gt;0"))</f>
        <v/>
      </c>
      <c r="G426" s="11">
        <f>IF(OR($B426="",NOT(ISNUMBER($C426))),"",IF($D426&lt;&gt;"",ROUND(Points!$B$6*IF($F426&lt;Points!$H$4,Points!$H$5,1),0),ROUND(Points!$B$6*IF($F426&lt;=1,1,Points!$H$7+(1-Points!$H$7)*((($F426-$E426)*(($F426-$E426)+1)/2)^2-((($F426-$E426-COUNTIFS($A$5:$A$1668,$A426,$C$5:$C$1668,$C426)+1)-1)*($F426-$E426-COUNTIFS($A$5:$A$1668,$A426,$C$5:$C$1668,$C426)+1)/2)^2)/(COUNTIFS($A$5:$A$1668,$A426,$C$5:$C$1668,$C426)*($F426-1)^3))*IF($F426&lt;Points!$H$4,Points!$H$5,1),0)))</f>
        <v/>
      </c>
      <c r="H426" s="11">
        <f>IF($G426="","",COUNTIFS($B$5:$B$1668,$B426,$G$5:$G$1668,"&gt;"&amp;$G426)+COUNTIFS($B$4:$B425,$B426,$G$4:$G425,$G426)+1)</f>
        <v/>
      </c>
      <c r="I426" s="11">
        <f>IF($G426="","",IF($H426&lt;=Points!$H$6,$G426,0))</f>
        <v/>
      </c>
      <c r="J426" s="11">
        <f>IF($B426="","",IF(COUNTIF(Players!$A$2:$A$500,$B426)=0,"Player is not on the Players tab",IF(NOT(ISNUMBER($C426)),"Enter a gross score",IF(COUNTIFS($A$5:$A$1668,$A426,$B$5:$B$1668,$B426)&gt;1,"Player is listed twice this week",IF(AND($D426&lt;&gt;"",COUNTIFS($A$5:$A$1668,$A426,$D$5:$D$1668,$D426)&gt;1),"Two players picked as "&amp;$D426,IF(COUNTIFS($A$5:$A$1668,$A426,$D$5:$D$1668,"Gross winner")=0,"Pick this week's gross winner",IF(COUNTIFS($A$5:$A$1668,$A426,$D$5:$D$1668,"Net winner")=0,"Pick this week's net winner","OK")))))))</f>
        <v/>
      </c>
    </row>
    <row r="427" outlineLevel="1">
      <c r="A427" s="13" t="n">
        <v>46484</v>
      </c>
      <c r="E427" s="11">
        <f>IF(OR($B427="",NOT(ISNUMBER($C427))),"",COUNTIFS($A$5:$A$1668,$A427,$C$5:$C$1668,"&lt;"&amp;$C427)+1)</f>
        <v/>
      </c>
      <c r="F427" s="11">
        <f>IF(OR($B427="",NOT(ISNUMBER($C427))),"",COUNTIFS($A$5:$A$1668,$A427,$C$5:$C$1668,"&gt;0"))</f>
        <v/>
      </c>
      <c r="G427" s="11">
        <f>IF(OR($B427="",NOT(ISNUMBER($C427))),"",IF($D427&lt;&gt;"",ROUND(Points!$B$6*IF($F427&lt;Points!$H$4,Points!$H$5,1),0),ROUND(Points!$B$6*IF($F427&lt;=1,1,Points!$H$7+(1-Points!$H$7)*((($F427-$E427)*(($F427-$E427)+1)/2)^2-((($F427-$E427-COUNTIFS($A$5:$A$1668,$A427,$C$5:$C$1668,$C427)+1)-1)*($F427-$E427-COUNTIFS($A$5:$A$1668,$A427,$C$5:$C$1668,$C427)+1)/2)^2)/(COUNTIFS($A$5:$A$1668,$A427,$C$5:$C$1668,$C427)*($F427-1)^3))*IF($F427&lt;Points!$H$4,Points!$H$5,1),0)))</f>
        <v/>
      </c>
      <c r="H427" s="11">
        <f>IF($G427="","",COUNTIFS($B$5:$B$1668,$B427,$G$5:$G$1668,"&gt;"&amp;$G427)+COUNTIFS($B$4:$B426,$B427,$G$4:$G426,$G427)+1)</f>
        <v/>
      </c>
      <c r="I427" s="11">
        <f>IF($G427="","",IF($H427&lt;=Points!$H$6,$G427,0))</f>
        <v/>
      </c>
      <c r="J427" s="11">
        <f>IF($B427="","",IF(COUNTIF(Players!$A$2:$A$500,$B427)=0,"Player is not on the Players tab",IF(NOT(ISNUMBER($C427)),"Enter a gross score",IF(COUNTIFS($A$5:$A$1668,$A427,$B$5:$B$1668,$B427)&gt;1,"Player is listed twice this week",IF(AND($D427&lt;&gt;"",COUNTIFS($A$5:$A$1668,$A427,$D$5:$D$1668,$D427)&gt;1),"Two players picked as "&amp;$D427,IF(COUNTIFS($A$5:$A$1668,$A427,$D$5:$D$1668,"Gross winner")=0,"Pick this week's gross winner",IF(COUNTIFS($A$5:$A$1668,$A427,$D$5:$D$1668,"Net winner")=0,"Pick this week's net winner","OK")))))))</f>
        <v/>
      </c>
    </row>
    <row r="428" outlineLevel="1">
      <c r="A428" s="13" t="n">
        <v>46484</v>
      </c>
      <c r="E428" s="11">
        <f>IF(OR($B428="",NOT(ISNUMBER($C428))),"",COUNTIFS($A$5:$A$1668,$A428,$C$5:$C$1668,"&lt;"&amp;$C428)+1)</f>
        <v/>
      </c>
      <c r="F428" s="11">
        <f>IF(OR($B428="",NOT(ISNUMBER($C428))),"",COUNTIFS($A$5:$A$1668,$A428,$C$5:$C$1668,"&gt;0"))</f>
        <v/>
      </c>
      <c r="G428" s="11">
        <f>IF(OR($B428="",NOT(ISNUMBER($C428))),"",IF($D428&lt;&gt;"",ROUND(Points!$B$6*IF($F428&lt;Points!$H$4,Points!$H$5,1),0),ROUND(Points!$B$6*IF($F428&lt;=1,1,Points!$H$7+(1-Points!$H$7)*((($F428-$E428)*(($F428-$E428)+1)/2)^2-((($F428-$E428-COUNTIFS($A$5:$A$1668,$A428,$C$5:$C$1668,$C428)+1)-1)*($F428-$E428-COUNTIFS($A$5:$A$1668,$A428,$C$5:$C$1668,$C428)+1)/2)^2)/(COUNTIFS($A$5:$A$1668,$A428,$C$5:$C$1668,$C428)*($F428-1)^3))*IF($F428&lt;Points!$H$4,Points!$H$5,1),0)))</f>
        <v/>
      </c>
      <c r="H428" s="11">
        <f>IF($G428="","",COUNTIFS($B$5:$B$1668,$B428,$G$5:$G$1668,"&gt;"&amp;$G428)+COUNTIFS($B$4:$B427,$B428,$G$4:$G427,$G428)+1)</f>
        <v/>
      </c>
      <c r="I428" s="11">
        <f>IF($G428="","",IF($H428&lt;=Points!$H$6,$G428,0))</f>
        <v/>
      </c>
      <c r="J428" s="11">
        <f>IF($B428="","",IF(COUNTIF(Players!$A$2:$A$500,$B428)=0,"Player is not on the Players tab",IF(NOT(ISNUMBER($C428)),"Enter a gross score",IF(COUNTIFS($A$5:$A$1668,$A428,$B$5:$B$1668,$B428)&gt;1,"Player is listed twice this week",IF(AND($D428&lt;&gt;"",COUNTIFS($A$5:$A$1668,$A428,$D$5:$D$1668,$D428)&gt;1),"Two players picked as "&amp;$D428,IF(COUNTIFS($A$5:$A$1668,$A428,$D$5:$D$1668,"Gross winner")=0,"Pick this week's gross winner",IF(COUNTIFS($A$5:$A$1668,$A428,$D$5:$D$1668,"Net winner")=0,"Pick this week's net winner","OK")))))))</f>
        <v/>
      </c>
    </row>
    <row r="429" outlineLevel="1">
      <c r="A429" s="13" t="n">
        <v>46484</v>
      </c>
      <c r="E429" s="11">
        <f>IF(OR($B429="",NOT(ISNUMBER($C429))),"",COUNTIFS($A$5:$A$1668,$A429,$C$5:$C$1668,"&lt;"&amp;$C429)+1)</f>
        <v/>
      </c>
      <c r="F429" s="11">
        <f>IF(OR($B429="",NOT(ISNUMBER($C429))),"",COUNTIFS($A$5:$A$1668,$A429,$C$5:$C$1668,"&gt;0"))</f>
        <v/>
      </c>
      <c r="G429" s="11">
        <f>IF(OR($B429="",NOT(ISNUMBER($C429))),"",IF($D429&lt;&gt;"",ROUND(Points!$B$6*IF($F429&lt;Points!$H$4,Points!$H$5,1),0),ROUND(Points!$B$6*IF($F429&lt;=1,1,Points!$H$7+(1-Points!$H$7)*((($F429-$E429)*(($F429-$E429)+1)/2)^2-((($F429-$E429-COUNTIFS($A$5:$A$1668,$A429,$C$5:$C$1668,$C429)+1)-1)*($F429-$E429-COUNTIFS($A$5:$A$1668,$A429,$C$5:$C$1668,$C429)+1)/2)^2)/(COUNTIFS($A$5:$A$1668,$A429,$C$5:$C$1668,$C429)*($F429-1)^3))*IF($F429&lt;Points!$H$4,Points!$H$5,1),0)))</f>
        <v/>
      </c>
      <c r="H429" s="11">
        <f>IF($G429="","",COUNTIFS($B$5:$B$1668,$B429,$G$5:$G$1668,"&gt;"&amp;$G429)+COUNTIFS($B$4:$B428,$B429,$G$4:$G428,$G429)+1)</f>
        <v/>
      </c>
      <c r="I429" s="11">
        <f>IF($G429="","",IF($H429&lt;=Points!$H$6,$G429,0))</f>
        <v/>
      </c>
      <c r="J429" s="11">
        <f>IF($B429="","",IF(COUNTIF(Players!$A$2:$A$500,$B429)=0,"Player is not on the Players tab",IF(NOT(ISNUMBER($C429)),"Enter a gross score",IF(COUNTIFS($A$5:$A$1668,$A429,$B$5:$B$1668,$B429)&gt;1,"Player is listed twice this week",IF(AND($D429&lt;&gt;"",COUNTIFS($A$5:$A$1668,$A429,$D$5:$D$1668,$D429)&gt;1),"Two players picked as "&amp;$D429,IF(COUNTIFS($A$5:$A$1668,$A429,$D$5:$D$1668,"Gross winner")=0,"Pick this week's gross winner",IF(COUNTIFS($A$5:$A$1668,$A429,$D$5:$D$1668,"Net winner")=0,"Pick this week's net winner","OK")))))))</f>
        <v/>
      </c>
    </row>
    <row r="430" outlineLevel="1">
      <c r="A430" s="13" t="n">
        <v>46484</v>
      </c>
      <c r="E430" s="11">
        <f>IF(OR($B430="",NOT(ISNUMBER($C430))),"",COUNTIFS($A$5:$A$1668,$A430,$C$5:$C$1668,"&lt;"&amp;$C430)+1)</f>
        <v/>
      </c>
      <c r="F430" s="11">
        <f>IF(OR($B430="",NOT(ISNUMBER($C430))),"",COUNTIFS($A$5:$A$1668,$A430,$C$5:$C$1668,"&gt;0"))</f>
        <v/>
      </c>
      <c r="G430" s="11">
        <f>IF(OR($B430="",NOT(ISNUMBER($C430))),"",IF($D430&lt;&gt;"",ROUND(Points!$B$6*IF($F430&lt;Points!$H$4,Points!$H$5,1),0),ROUND(Points!$B$6*IF($F430&lt;=1,1,Points!$H$7+(1-Points!$H$7)*((($F430-$E430)*(($F430-$E430)+1)/2)^2-((($F430-$E430-COUNTIFS($A$5:$A$1668,$A430,$C$5:$C$1668,$C430)+1)-1)*($F430-$E430-COUNTIFS($A$5:$A$1668,$A430,$C$5:$C$1668,$C430)+1)/2)^2)/(COUNTIFS($A$5:$A$1668,$A430,$C$5:$C$1668,$C430)*($F430-1)^3))*IF($F430&lt;Points!$H$4,Points!$H$5,1),0)))</f>
        <v/>
      </c>
      <c r="H430" s="11">
        <f>IF($G430="","",COUNTIFS($B$5:$B$1668,$B430,$G$5:$G$1668,"&gt;"&amp;$G430)+COUNTIFS($B$4:$B429,$B430,$G$4:$G429,$G430)+1)</f>
        <v/>
      </c>
      <c r="I430" s="11">
        <f>IF($G430="","",IF($H430&lt;=Points!$H$6,$G430,0))</f>
        <v/>
      </c>
      <c r="J430" s="11">
        <f>IF($B430="","",IF(COUNTIF(Players!$A$2:$A$500,$B430)=0,"Player is not on the Players tab",IF(NOT(ISNUMBER($C430)),"Enter a gross score",IF(COUNTIFS($A$5:$A$1668,$A430,$B$5:$B$1668,$B430)&gt;1,"Player is listed twice this week",IF(AND($D430&lt;&gt;"",COUNTIFS($A$5:$A$1668,$A430,$D$5:$D$1668,$D430)&gt;1),"Two players picked as "&amp;$D430,IF(COUNTIFS($A$5:$A$1668,$A430,$D$5:$D$1668,"Gross winner")=0,"Pick this week's gross winner",IF(COUNTIFS($A$5:$A$1668,$A430,$D$5:$D$1668,"Net winner")=0,"Pick this week's net winner","OK")))))))</f>
        <v/>
      </c>
    </row>
    <row r="431" outlineLevel="1">
      <c r="A431" s="13" t="n">
        <v>46484</v>
      </c>
      <c r="E431" s="11">
        <f>IF(OR($B431="",NOT(ISNUMBER($C431))),"",COUNTIFS($A$5:$A$1668,$A431,$C$5:$C$1668,"&lt;"&amp;$C431)+1)</f>
        <v/>
      </c>
      <c r="F431" s="11">
        <f>IF(OR($B431="",NOT(ISNUMBER($C431))),"",COUNTIFS($A$5:$A$1668,$A431,$C$5:$C$1668,"&gt;0"))</f>
        <v/>
      </c>
      <c r="G431" s="11">
        <f>IF(OR($B431="",NOT(ISNUMBER($C431))),"",IF($D431&lt;&gt;"",ROUND(Points!$B$6*IF($F431&lt;Points!$H$4,Points!$H$5,1),0),ROUND(Points!$B$6*IF($F431&lt;=1,1,Points!$H$7+(1-Points!$H$7)*((($F431-$E431)*(($F431-$E431)+1)/2)^2-((($F431-$E431-COUNTIFS($A$5:$A$1668,$A431,$C$5:$C$1668,$C431)+1)-1)*($F431-$E431-COUNTIFS($A$5:$A$1668,$A431,$C$5:$C$1668,$C431)+1)/2)^2)/(COUNTIFS($A$5:$A$1668,$A431,$C$5:$C$1668,$C431)*($F431-1)^3))*IF($F431&lt;Points!$H$4,Points!$H$5,1),0)))</f>
        <v/>
      </c>
      <c r="H431" s="11">
        <f>IF($G431="","",COUNTIFS($B$5:$B$1668,$B431,$G$5:$G$1668,"&gt;"&amp;$G431)+COUNTIFS($B$4:$B430,$B431,$G$4:$G430,$G431)+1)</f>
        <v/>
      </c>
      <c r="I431" s="11">
        <f>IF($G431="","",IF($H431&lt;=Points!$H$6,$G431,0))</f>
        <v/>
      </c>
      <c r="J431" s="11">
        <f>IF($B431="","",IF(COUNTIF(Players!$A$2:$A$500,$B431)=0,"Player is not on the Players tab",IF(NOT(ISNUMBER($C431)),"Enter a gross score",IF(COUNTIFS($A$5:$A$1668,$A431,$B$5:$B$1668,$B431)&gt;1,"Player is listed twice this week",IF(AND($D431&lt;&gt;"",COUNTIFS($A$5:$A$1668,$A431,$D$5:$D$1668,$D431)&gt;1),"Two players picked as "&amp;$D431,IF(COUNTIFS($A$5:$A$1668,$A431,$D$5:$D$1668,"Gross winner")=0,"Pick this week's gross winner",IF(COUNTIFS($A$5:$A$1668,$A431,$D$5:$D$1668,"Net winner")=0,"Pick this week's net winner","OK")))))))</f>
        <v/>
      </c>
    </row>
    <row r="432" outlineLevel="1">
      <c r="A432" s="13" t="n">
        <v>46484</v>
      </c>
      <c r="E432" s="11">
        <f>IF(OR($B432="",NOT(ISNUMBER($C432))),"",COUNTIFS($A$5:$A$1668,$A432,$C$5:$C$1668,"&lt;"&amp;$C432)+1)</f>
        <v/>
      </c>
      <c r="F432" s="11">
        <f>IF(OR($B432="",NOT(ISNUMBER($C432))),"",COUNTIFS($A$5:$A$1668,$A432,$C$5:$C$1668,"&gt;0"))</f>
        <v/>
      </c>
      <c r="G432" s="11">
        <f>IF(OR($B432="",NOT(ISNUMBER($C432))),"",IF($D432&lt;&gt;"",ROUND(Points!$B$6*IF($F432&lt;Points!$H$4,Points!$H$5,1),0),ROUND(Points!$B$6*IF($F432&lt;=1,1,Points!$H$7+(1-Points!$H$7)*((($F432-$E432)*(($F432-$E432)+1)/2)^2-((($F432-$E432-COUNTIFS($A$5:$A$1668,$A432,$C$5:$C$1668,$C432)+1)-1)*($F432-$E432-COUNTIFS($A$5:$A$1668,$A432,$C$5:$C$1668,$C432)+1)/2)^2)/(COUNTIFS($A$5:$A$1668,$A432,$C$5:$C$1668,$C432)*($F432-1)^3))*IF($F432&lt;Points!$H$4,Points!$H$5,1),0)))</f>
        <v/>
      </c>
      <c r="H432" s="11">
        <f>IF($G432="","",COUNTIFS($B$5:$B$1668,$B432,$G$5:$G$1668,"&gt;"&amp;$G432)+COUNTIFS($B$4:$B431,$B432,$G$4:$G431,$G432)+1)</f>
        <v/>
      </c>
      <c r="I432" s="11">
        <f>IF($G432="","",IF($H432&lt;=Points!$H$6,$G432,0))</f>
        <v/>
      </c>
      <c r="J432" s="11">
        <f>IF($B432="","",IF(COUNTIF(Players!$A$2:$A$500,$B432)=0,"Player is not on the Players tab",IF(NOT(ISNUMBER($C432)),"Enter a gross score",IF(COUNTIFS($A$5:$A$1668,$A432,$B$5:$B$1668,$B432)&gt;1,"Player is listed twice this week",IF(AND($D432&lt;&gt;"",COUNTIFS($A$5:$A$1668,$A432,$D$5:$D$1668,$D432)&gt;1),"Two players picked as "&amp;$D432,IF(COUNTIFS($A$5:$A$1668,$A432,$D$5:$D$1668,"Gross winner")=0,"Pick this week's gross winner",IF(COUNTIFS($A$5:$A$1668,$A432,$D$5:$D$1668,"Net winner")=0,"Pick this week's net winner","OK")))))))</f>
        <v/>
      </c>
    </row>
    <row r="433" outlineLevel="1">
      <c r="A433" s="13" t="n">
        <v>46484</v>
      </c>
      <c r="E433" s="11">
        <f>IF(OR($B433="",NOT(ISNUMBER($C433))),"",COUNTIFS($A$5:$A$1668,$A433,$C$5:$C$1668,"&lt;"&amp;$C433)+1)</f>
        <v/>
      </c>
      <c r="F433" s="11">
        <f>IF(OR($B433="",NOT(ISNUMBER($C433))),"",COUNTIFS($A$5:$A$1668,$A433,$C$5:$C$1668,"&gt;0"))</f>
        <v/>
      </c>
      <c r="G433" s="11">
        <f>IF(OR($B433="",NOT(ISNUMBER($C433))),"",IF($D433&lt;&gt;"",ROUND(Points!$B$6*IF($F433&lt;Points!$H$4,Points!$H$5,1),0),ROUND(Points!$B$6*IF($F433&lt;=1,1,Points!$H$7+(1-Points!$H$7)*((($F433-$E433)*(($F433-$E433)+1)/2)^2-((($F433-$E433-COUNTIFS($A$5:$A$1668,$A433,$C$5:$C$1668,$C433)+1)-1)*($F433-$E433-COUNTIFS($A$5:$A$1668,$A433,$C$5:$C$1668,$C433)+1)/2)^2)/(COUNTIFS($A$5:$A$1668,$A433,$C$5:$C$1668,$C433)*($F433-1)^3))*IF($F433&lt;Points!$H$4,Points!$H$5,1),0)))</f>
        <v/>
      </c>
      <c r="H433" s="11">
        <f>IF($G433="","",COUNTIFS($B$5:$B$1668,$B433,$G$5:$G$1668,"&gt;"&amp;$G433)+COUNTIFS($B$4:$B432,$B433,$G$4:$G432,$G433)+1)</f>
        <v/>
      </c>
      <c r="I433" s="11">
        <f>IF($G433="","",IF($H433&lt;=Points!$H$6,$G433,0))</f>
        <v/>
      </c>
      <c r="J433" s="11">
        <f>IF($B433="","",IF(COUNTIF(Players!$A$2:$A$500,$B433)=0,"Player is not on the Players tab",IF(NOT(ISNUMBER($C433)),"Enter a gross score",IF(COUNTIFS($A$5:$A$1668,$A433,$B$5:$B$1668,$B433)&gt;1,"Player is listed twice this week",IF(AND($D433&lt;&gt;"",COUNTIFS($A$5:$A$1668,$A433,$D$5:$D$1668,$D433)&gt;1),"Two players picked as "&amp;$D433,IF(COUNTIFS($A$5:$A$1668,$A433,$D$5:$D$1668,"Gross winner")=0,"Pick this week's gross winner",IF(COUNTIFS($A$5:$A$1668,$A433,$D$5:$D$1668,"Net winner")=0,"Pick this week's net winner","OK")))))))</f>
        <v/>
      </c>
    </row>
    <row r="434" outlineLevel="1">
      <c r="A434" s="13" t="n">
        <v>46484</v>
      </c>
      <c r="E434" s="11">
        <f>IF(OR($B434="",NOT(ISNUMBER($C434))),"",COUNTIFS($A$5:$A$1668,$A434,$C$5:$C$1668,"&lt;"&amp;$C434)+1)</f>
        <v/>
      </c>
      <c r="F434" s="11">
        <f>IF(OR($B434="",NOT(ISNUMBER($C434))),"",COUNTIFS($A$5:$A$1668,$A434,$C$5:$C$1668,"&gt;0"))</f>
        <v/>
      </c>
      <c r="G434" s="11">
        <f>IF(OR($B434="",NOT(ISNUMBER($C434))),"",IF($D434&lt;&gt;"",ROUND(Points!$B$6*IF($F434&lt;Points!$H$4,Points!$H$5,1),0),ROUND(Points!$B$6*IF($F434&lt;=1,1,Points!$H$7+(1-Points!$H$7)*((($F434-$E434)*(($F434-$E434)+1)/2)^2-((($F434-$E434-COUNTIFS($A$5:$A$1668,$A434,$C$5:$C$1668,$C434)+1)-1)*($F434-$E434-COUNTIFS($A$5:$A$1668,$A434,$C$5:$C$1668,$C434)+1)/2)^2)/(COUNTIFS($A$5:$A$1668,$A434,$C$5:$C$1668,$C434)*($F434-1)^3))*IF($F434&lt;Points!$H$4,Points!$H$5,1),0)))</f>
        <v/>
      </c>
      <c r="H434" s="11">
        <f>IF($G434="","",COUNTIFS($B$5:$B$1668,$B434,$G$5:$G$1668,"&gt;"&amp;$G434)+COUNTIFS($B$4:$B433,$B434,$G$4:$G433,$G434)+1)</f>
        <v/>
      </c>
      <c r="I434" s="11">
        <f>IF($G434="","",IF($H434&lt;=Points!$H$6,$G434,0))</f>
        <v/>
      </c>
      <c r="J434" s="11">
        <f>IF($B434="","",IF(COUNTIF(Players!$A$2:$A$500,$B434)=0,"Player is not on the Players tab",IF(NOT(ISNUMBER($C434)),"Enter a gross score",IF(COUNTIFS($A$5:$A$1668,$A434,$B$5:$B$1668,$B434)&gt;1,"Player is listed twice this week",IF(AND($D434&lt;&gt;"",COUNTIFS($A$5:$A$1668,$A434,$D$5:$D$1668,$D434)&gt;1),"Two players picked as "&amp;$D434,IF(COUNTIFS($A$5:$A$1668,$A434,$D$5:$D$1668,"Gross winner")=0,"Pick this week's gross winner",IF(COUNTIFS($A$5:$A$1668,$A434,$D$5:$D$1668,"Net winner")=0,"Pick this week's net winner","OK")))))))</f>
        <v/>
      </c>
    </row>
    <row r="435" outlineLevel="1">
      <c r="A435" s="13" t="n">
        <v>46484</v>
      </c>
      <c r="E435" s="11">
        <f>IF(OR($B435="",NOT(ISNUMBER($C435))),"",COUNTIFS($A$5:$A$1668,$A435,$C$5:$C$1668,"&lt;"&amp;$C435)+1)</f>
        <v/>
      </c>
      <c r="F435" s="11">
        <f>IF(OR($B435="",NOT(ISNUMBER($C435))),"",COUNTIFS($A$5:$A$1668,$A435,$C$5:$C$1668,"&gt;0"))</f>
        <v/>
      </c>
      <c r="G435" s="11">
        <f>IF(OR($B435="",NOT(ISNUMBER($C435))),"",IF($D435&lt;&gt;"",ROUND(Points!$B$6*IF($F435&lt;Points!$H$4,Points!$H$5,1),0),ROUND(Points!$B$6*IF($F435&lt;=1,1,Points!$H$7+(1-Points!$H$7)*((($F435-$E435)*(($F435-$E435)+1)/2)^2-((($F435-$E435-COUNTIFS($A$5:$A$1668,$A435,$C$5:$C$1668,$C435)+1)-1)*($F435-$E435-COUNTIFS($A$5:$A$1668,$A435,$C$5:$C$1668,$C435)+1)/2)^2)/(COUNTIFS($A$5:$A$1668,$A435,$C$5:$C$1668,$C435)*($F435-1)^3))*IF($F435&lt;Points!$H$4,Points!$H$5,1),0)))</f>
        <v/>
      </c>
      <c r="H435" s="11">
        <f>IF($G435="","",COUNTIFS($B$5:$B$1668,$B435,$G$5:$G$1668,"&gt;"&amp;$G435)+COUNTIFS($B$4:$B434,$B435,$G$4:$G434,$G435)+1)</f>
        <v/>
      </c>
      <c r="I435" s="11">
        <f>IF($G435="","",IF($H435&lt;=Points!$H$6,$G435,0))</f>
        <v/>
      </c>
      <c r="J435" s="11">
        <f>IF($B435="","",IF(COUNTIF(Players!$A$2:$A$500,$B435)=0,"Player is not on the Players tab",IF(NOT(ISNUMBER($C435)),"Enter a gross score",IF(COUNTIFS($A$5:$A$1668,$A435,$B$5:$B$1668,$B435)&gt;1,"Player is listed twice this week",IF(AND($D435&lt;&gt;"",COUNTIFS($A$5:$A$1668,$A435,$D$5:$D$1668,$D435)&gt;1),"Two players picked as "&amp;$D435,IF(COUNTIFS($A$5:$A$1668,$A435,$D$5:$D$1668,"Gross winner")=0,"Pick this week's gross winner",IF(COUNTIFS($A$5:$A$1668,$A435,$D$5:$D$1668,"Net winner")=0,"Pick this week's net winner","OK")))))))</f>
        <v/>
      </c>
    </row>
    <row r="436" outlineLevel="1">
      <c r="A436" s="13" t="n">
        <v>46484</v>
      </c>
      <c r="E436" s="11">
        <f>IF(OR($B436="",NOT(ISNUMBER($C436))),"",COUNTIFS($A$5:$A$1668,$A436,$C$5:$C$1668,"&lt;"&amp;$C436)+1)</f>
        <v/>
      </c>
      <c r="F436" s="11">
        <f>IF(OR($B436="",NOT(ISNUMBER($C436))),"",COUNTIFS($A$5:$A$1668,$A436,$C$5:$C$1668,"&gt;0"))</f>
        <v/>
      </c>
      <c r="G436" s="11">
        <f>IF(OR($B436="",NOT(ISNUMBER($C436))),"",IF($D436&lt;&gt;"",ROUND(Points!$B$6*IF($F436&lt;Points!$H$4,Points!$H$5,1),0),ROUND(Points!$B$6*IF($F436&lt;=1,1,Points!$H$7+(1-Points!$H$7)*((($F436-$E436)*(($F436-$E436)+1)/2)^2-((($F436-$E436-COUNTIFS($A$5:$A$1668,$A436,$C$5:$C$1668,$C436)+1)-1)*($F436-$E436-COUNTIFS($A$5:$A$1668,$A436,$C$5:$C$1668,$C436)+1)/2)^2)/(COUNTIFS($A$5:$A$1668,$A436,$C$5:$C$1668,$C436)*($F436-1)^3))*IF($F436&lt;Points!$H$4,Points!$H$5,1),0)))</f>
        <v/>
      </c>
      <c r="H436" s="11">
        <f>IF($G436="","",COUNTIFS($B$5:$B$1668,$B436,$G$5:$G$1668,"&gt;"&amp;$G436)+COUNTIFS($B$4:$B435,$B436,$G$4:$G435,$G436)+1)</f>
        <v/>
      </c>
      <c r="I436" s="11">
        <f>IF($G436="","",IF($H436&lt;=Points!$H$6,$G436,0))</f>
        <v/>
      </c>
      <c r="J436" s="11">
        <f>IF($B436="","",IF(COUNTIF(Players!$A$2:$A$500,$B436)=0,"Player is not on the Players tab",IF(NOT(ISNUMBER($C436)),"Enter a gross score",IF(COUNTIFS($A$5:$A$1668,$A436,$B$5:$B$1668,$B436)&gt;1,"Player is listed twice this week",IF(AND($D436&lt;&gt;"",COUNTIFS($A$5:$A$1668,$A436,$D$5:$D$1668,$D436)&gt;1),"Two players picked as "&amp;$D436,IF(COUNTIFS($A$5:$A$1668,$A436,$D$5:$D$1668,"Gross winner")=0,"Pick this week's gross winner",IF(COUNTIFS($A$5:$A$1668,$A436,$D$5:$D$1668,"Net winner")=0,"Pick this week's net winner","OK")))))))</f>
        <v/>
      </c>
    </row>
    <row r="437" outlineLevel="1">
      <c r="A437" s="13" t="n">
        <v>46484</v>
      </c>
      <c r="E437" s="11">
        <f>IF(OR($B437="",NOT(ISNUMBER($C437))),"",COUNTIFS($A$5:$A$1668,$A437,$C$5:$C$1668,"&lt;"&amp;$C437)+1)</f>
        <v/>
      </c>
      <c r="F437" s="11">
        <f>IF(OR($B437="",NOT(ISNUMBER($C437))),"",COUNTIFS($A$5:$A$1668,$A437,$C$5:$C$1668,"&gt;0"))</f>
        <v/>
      </c>
      <c r="G437" s="11">
        <f>IF(OR($B437="",NOT(ISNUMBER($C437))),"",IF($D437&lt;&gt;"",ROUND(Points!$B$6*IF($F437&lt;Points!$H$4,Points!$H$5,1),0),ROUND(Points!$B$6*IF($F437&lt;=1,1,Points!$H$7+(1-Points!$H$7)*((($F437-$E437)*(($F437-$E437)+1)/2)^2-((($F437-$E437-COUNTIFS($A$5:$A$1668,$A437,$C$5:$C$1668,$C437)+1)-1)*($F437-$E437-COUNTIFS($A$5:$A$1668,$A437,$C$5:$C$1668,$C437)+1)/2)^2)/(COUNTIFS($A$5:$A$1668,$A437,$C$5:$C$1668,$C437)*($F437-1)^3))*IF($F437&lt;Points!$H$4,Points!$H$5,1),0)))</f>
        <v/>
      </c>
      <c r="H437" s="11">
        <f>IF($G437="","",COUNTIFS($B$5:$B$1668,$B437,$G$5:$G$1668,"&gt;"&amp;$G437)+COUNTIFS($B$4:$B436,$B437,$G$4:$G436,$G437)+1)</f>
        <v/>
      </c>
      <c r="I437" s="11">
        <f>IF($G437="","",IF($H437&lt;=Points!$H$6,$G437,0))</f>
        <v/>
      </c>
      <c r="J437" s="11">
        <f>IF($B437="","",IF(COUNTIF(Players!$A$2:$A$500,$B437)=0,"Player is not on the Players tab",IF(NOT(ISNUMBER($C437)),"Enter a gross score",IF(COUNTIFS($A$5:$A$1668,$A437,$B$5:$B$1668,$B437)&gt;1,"Player is listed twice this week",IF(AND($D437&lt;&gt;"",COUNTIFS($A$5:$A$1668,$A437,$D$5:$D$1668,$D437)&gt;1),"Two players picked as "&amp;$D437,IF(COUNTIFS($A$5:$A$1668,$A437,$D$5:$D$1668,"Gross winner")=0,"Pick this week's gross winner",IF(COUNTIFS($A$5:$A$1668,$A437,$D$5:$D$1668,"Net winner")=0,"Pick this week's net winner","OK")))))))</f>
        <v/>
      </c>
    </row>
    <row r="438" outlineLevel="1">
      <c r="A438" s="13" t="n">
        <v>46484</v>
      </c>
      <c r="E438" s="11">
        <f>IF(OR($B438="",NOT(ISNUMBER($C438))),"",COUNTIFS($A$5:$A$1668,$A438,$C$5:$C$1668,"&lt;"&amp;$C438)+1)</f>
        <v/>
      </c>
      <c r="F438" s="11">
        <f>IF(OR($B438="",NOT(ISNUMBER($C438))),"",COUNTIFS($A$5:$A$1668,$A438,$C$5:$C$1668,"&gt;0"))</f>
        <v/>
      </c>
      <c r="G438" s="11">
        <f>IF(OR($B438="",NOT(ISNUMBER($C438))),"",IF($D438&lt;&gt;"",ROUND(Points!$B$6*IF($F438&lt;Points!$H$4,Points!$H$5,1),0),ROUND(Points!$B$6*IF($F438&lt;=1,1,Points!$H$7+(1-Points!$H$7)*((($F438-$E438)*(($F438-$E438)+1)/2)^2-((($F438-$E438-COUNTIFS($A$5:$A$1668,$A438,$C$5:$C$1668,$C438)+1)-1)*($F438-$E438-COUNTIFS($A$5:$A$1668,$A438,$C$5:$C$1668,$C438)+1)/2)^2)/(COUNTIFS($A$5:$A$1668,$A438,$C$5:$C$1668,$C438)*($F438-1)^3))*IF($F438&lt;Points!$H$4,Points!$H$5,1),0)))</f>
        <v/>
      </c>
      <c r="H438" s="11">
        <f>IF($G438="","",COUNTIFS($B$5:$B$1668,$B438,$G$5:$G$1668,"&gt;"&amp;$G438)+COUNTIFS($B$4:$B437,$B438,$G$4:$G437,$G438)+1)</f>
        <v/>
      </c>
      <c r="I438" s="11">
        <f>IF($G438="","",IF($H438&lt;=Points!$H$6,$G438,0))</f>
        <v/>
      </c>
      <c r="J438" s="11">
        <f>IF($B438="","",IF(COUNTIF(Players!$A$2:$A$500,$B438)=0,"Player is not on the Players tab",IF(NOT(ISNUMBER($C438)),"Enter a gross score",IF(COUNTIFS($A$5:$A$1668,$A438,$B$5:$B$1668,$B438)&gt;1,"Player is listed twice this week",IF(AND($D438&lt;&gt;"",COUNTIFS($A$5:$A$1668,$A438,$D$5:$D$1668,$D438)&gt;1),"Two players picked as "&amp;$D438,IF(COUNTIFS($A$5:$A$1668,$A438,$D$5:$D$1668,"Gross winner")=0,"Pick this week's gross winner",IF(COUNTIFS($A$5:$A$1668,$A438,$D$5:$D$1668,"Net winner")=0,"Pick this week's net winner","OK")))))))</f>
        <v/>
      </c>
    </row>
    <row r="439" outlineLevel="1">
      <c r="A439" s="13" t="n">
        <v>46484</v>
      </c>
      <c r="E439" s="11">
        <f>IF(OR($B439="",NOT(ISNUMBER($C439))),"",COUNTIFS($A$5:$A$1668,$A439,$C$5:$C$1668,"&lt;"&amp;$C439)+1)</f>
        <v/>
      </c>
      <c r="F439" s="11">
        <f>IF(OR($B439="",NOT(ISNUMBER($C439))),"",COUNTIFS($A$5:$A$1668,$A439,$C$5:$C$1668,"&gt;0"))</f>
        <v/>
      </c>
      <c r="G439" s="11">
        <f>IF(OR($B439="",NOT(ISNUMBER($C439))),"",IF($D439&lt;&gt;"",ROUND(Points!$B$6*IF($F439&lt;Points!$H$4,Points!$H$5,1),0),ROUND(Points!$B$6*IF($F439&lt;=1,1,Points!$H$7+(1-Points!$H$7)*((($F439-$E439)*(($F439-$E439)+1)/2)^2-((($F439-$E439-COUNTIFS($A$5:$A$1668,$A439,$C$5:$C$1668,$C439)+1)-1)*($F439-$E439-COUNTIFS($A$5:$A$1668,$A439,$C$5:$C$1668,$C439)+1)/2)^2)/(COUNTIFS($A$5:$A$1668,$A439,$C$5:$C$1668,$C439)*($F439-1)^3))*IF($F439&lt;Points!$H$4,Points!$H$5,1),0)))</f>
        <v/>
      </c>
      <c r="H439" s="11">
        <f>IF($G439="","",COUNTIFS($B$5:$B$1668,$B439,$G$5:$G$1668,"&gt;"&amp;$G439)+COUNTIFS($B$4:$B438,$B439,$G$4:$G438,$G439)+1)</f>
        <v/>
      </c>
      <c r="I439" s="11">
        <f>IF($G439="","",IF($H439&lt;=Points!$H$6,$G439,0))</f>
        <v/>
      </c>
      <c r="J439" s="11">
        <f>IF($B439="","",IF(COUNTIF(Players!$A$2:$A$500,$B439)=0,"Player is not on the Players tab",IF(NOT(ISNUMBER($C439)),"Enter a gross score",IF(COUNTIFS($A$5:$A$1668,$A439,$B$5:$B$1668,$B439)&gt;1,"Player is listed twice this week",IF(AND($D439&lt;&gt;"",COUNTIFS($A$5:$A$1668,$A439,$D$5:$D$1668,$D439)&gt;1),"Two players picked as "&amp;$D439,IF(COUNTIFS($A$5:$A$1668,$A439,$D$5:$D$1668,"Gross winner")=0,"Pick this week's gross winner",IF(COUNTIFS($A$5:$A$1668,$A439,$D$5:$D$1668,"Net winner")=0,"Pick this week's net winner","OK")))))))</f>
        <v/>
      </c>
    </row>
    <row r="440" outlineLevel="1">
      <c r="A440" s="13" t="n">
        <v>46484</v>
      </c>
      <c r="E440" s="11">
        <f>IF(OR($B440="",NOT(ISNUMBER($C440))),"",COUNTIFS($A$5:$A$1668,$A440,$C$5:$C$1668,"&lt;"&amp;$C440)+1)</f>
        <v/>
      </c>
      <c r="F440" s="11">
        <f>IF(OR($B440="",NOT(ISNUMBER($C440))),"",COUNTIFS($A$5:$A$1668,$A440,$C$5:$C$1668,"&gt;0"))</f>
        <v/>
      </c>
      <c r="G440" s="11">
        <f>IF(OR($B440="",NOT(ISNUMBER($C440))),"",IF($D440&lt;&gt;"",ROUND(Points!$B$6*IF($F440&lt;Points!$H$4,Points!$H$5,1),0),ROUND(Points!$B$6*IF($F440&lt;=1,1,Points!$H$7+(1-Points!$H$7)*((($F440-$E440)*(($F440-$E440)+1)/2)^2-((($F440-$E440-COUNTIFS($A$5:$A$1668,$A440,$C$5:$C$1668,$C440)+1)-1)*($F440-$E440-COUNTIFS($A$5:$A$1668,$A440,$C$5:$C$1668,$C440)+1)/2)^2)/(COUNTIFS($A$5:$A$1668,$A440,$C$5:$C$1668,$C440)*($F440-1)^3))*IF($F440&lt;Points!$H$4,Points!$H$5,1),0)))</f>
        <v/>
      </c>
      <c r="H440" s="11">
        <f>IF($G440="","",COUNTIFS($B$5:$B$1668,$B440,$G$5:$G$1668,"&gt;"&amp;$G440)+COUNTIFS($B$4:$B439,$B440,$G$4:$G439,$G440)+1)</f>
        <v/>
      </c>
      <c r="I440" s="11">
        <f>IF($G440="","",IF($H440&lt;=Points!$H$6,$G440,0))</f>
        <v/>
      </c>
      <c r="J440" s="11">
        <f>IF($B440="","",IF(COUNTIF(Players!$A$2:$A$500,$B440)=0,"Player is not on the Players tab",IF(NOT(ISNUMBER($C440)),"Enter a gross score",IF(COUNTIFS($A$5:$A$1668,$A440,$B$5:$B$1668,$B440)&gt;1,"Player is listed twice this week",IF(AND($D440&lt;&gt;"",COUNTIFS($A$5:$A$1668,$A440,$D$5:$D$1668,$D440)&gt;1),"Two players picked as "&amp;$D440,IF(COUNTIFS($A$5:$A$1668,$A440,$D$5:$D$1668,"Gross winner")=0,"Pick this week's gross winner",IF(COUNTIFS($A$5:$A$1668,$A440,$D$5:$D$1668,"Net winner")=0,"Pick this week's net winner","OK")))))))</f>
        <v/>
      </c>
    </row>
    <row r="441" outlineLevel="1">
      <c r="A441" s="13" t="n">
        <v>46484</v>
      </c>
      <c r="E441" s="11">
        <f>IF(OR($B441="",NOT(ISNUMBER($C441))),"",COUNTIFS($A$5:$A$1668,$A441,$C$5:$C$1668,"&lt;"&amp;$C441)+1)</f>
        <v/>
      </c>
      <c r="F441" s="11">
        <f>IF(OR($B441="",NOT(ISNUMBER($C441))),"",COUNTIFS($A$5:$A$1668,$A441,$C$5:$C$1668,"&gt;0"))</f>
        <v/>
      </c>
      <c r="G441" s="11">
        <f>IF(OR($B441="",NOT(ISNUMBER($C441))),"",IF($D441&lt;&gt;"",ROUND(Points!$B$6*IF($F441&lt;Points!$H$4,Points!$H$5,1),0),ROUND(Points!$B$6*IF($F441&lt;=1,1,Points!$H$7+(1-Points!$H$7)*((($F441-$E441)*(($F441-$E441)+1)/2)^2-((($F441-$E441-COUNTIFS($A$5:$A$1668,$A441,$C$5:$C$1668,$C441)+1)-1)*($F441-$E441-COUNTIFS($A$5:$A$1668,$A441,$C$5:$C$1668,$C441)+1)/2)^2)/(COUNTIFS($A$5:$A$1668,$A441,$C$5:$C$1668,$C441)*($F441-1)^3))*IF($F441&lt;Points!$H$4,Points!$H$5,1),0)))</f>
        <v/>
      </c>
      <c r="H441" s="11">
        <f>IF($G441="","",COUNTIFS($B$5:$B$1668,$B441,$G$5:$G$1668,"&gt;"&amp;$G441)+COUNTIFS($B$4:$B440,$B441,$G$4:$G440,$G441)+1)</f>
        <v/>
      </c>
      <c r="I441" s="11">
        <f>IF($G441="","",IF($H441&lt;=Points!$H$6,$G441,0))</f>
        <v/>
      </c>
      <c r="J441" s="11">
        <f>IF($B441="","",IF(COUNTIF(Players!$A$2:$A$500,$B441)=0,"Player is not on the Players tab",IF(NOT(ISNUMBER($C441)),"Enter a gross score",IF(COUNTIFS($A$5:$A$1668,$A441,$B$5:$B$1668,$B441)&gt;1,"Player is listed twice this week",IF(AND($D441&lt;&gt;"",COUNTIFS($A$5:$A$1668,$A441,$D$5:$D$1668,$D441)&gt;1),"Two players picked as "&amp;$D441,IF(COUNTIFS($A$5:$A$1668,$A441,$D$5:$D$1668,"Gross winner")=0,"Pick this week's gross winner",IF(COUNTIFS($A$5:$A$1668,$A441,$D$5:$D$1668,"Net winner")=0,"Pick this week's net winner","OK")))))))</f>
        <v/>
      </c>
    </row>
    <row r="442" outlineLevel="1">
      <c r="A442" s="13" t="n">
        <v>46484</v>
      </c>
      <c r="E442" s="11">
        <f>IF(OR($B442="",NOT(ISNUMBER($C442))),"",COUNTIFS($A$5:$A$1668,$A442,$C$5:$C$1668,"&lt;"&amp;$C442)+1)</f>
        <v/>
      </c>
      <c r="F442" s="11">
        <f>IF(OR($B442="",NOT(ISNUMBER($C442))),"",COUNTIFS($A$5:$A$1668,$A442,$C$5:$C$1668,"&gt;0"))</f>
        <v/>
      </c>
      <c r="G442" s="11">
        <f>IF(OR($B442="",NOT(ISNUMBER($C442))),"",IF($D442&lt;&gt;"",ROUND(Points!$B$6*IF($F442&lt;Points!$H$4,Points!$H$5,1),0),ROUND(Points!$B$6*IF($F442&lt;=1,1,Points!$H$7+(1-Points!$H$7)*((($F442-$E442)*(($F442-$E442)+1)/2)^2-((($F442-$E442-COUNTIFS($A$5:$A$1668,$A442,$C$5:$C$1668,$C442)+1)-1)*($F442-$E442-COUNTIFS($A$5:$A$1668,$A442,$C$5:$C$1668,$C442)+1)/2)^2)/(COUNTIFS($A$5:$A$1668,$A442,$C$5:$C$1668,$C442)*($F442-1)^3))*IF($F442&lt;Points!$H$4,Points!$H$5,1),0)))</f>
        <v/>
      </c>
      <c r="H442" s="11">
        <f>IF($G442="","",COUNTIFS($B$5:$B$1668,$B442,$G$5:$G$1668,"&gt;"&amp;$G442)+COUNTIFS($B$4:$B441,$B442,$G$4:$G441,$G442)+1)</f>
        <v/>
      </c>
      <c r="I442" s="11">
        <f>IF($G442="","",IF($H442&lt;=Points!$H$6,$G442,0))</f>
        <v/>
      </c>
      <c r="J442" s="11">
        <f>IF($B442="","",IF(COUNTIF(Players!$A$2:$A$500,$B442)=0,"Player is not on the Players tab",IF(NOT(ISNUMBER($C442)),"Enter a gross score",IF(COUNTIFS($A$5:$A$1668,$A442,$B$5:$B$1668,$B442)&gt;1,"Player is listed twice this week",IF(AND($D442&lt;&gt;"",COUNTIFS($A$5:$A$1668,$A442,$D$5:$D$1668,$D442)&gt;1),"Two players picked as "&amp;$D442,IF(COUNTIFS($A$5:$A$1668,$A442,$D$5:$D$1668,"Gross winner")=0,"Pick this week's gross winner",IF(COUNTIFS($A$5:$A$1668,$A442,$D$5:$D$1668,"Net winner")=0,"Pick this week's net winner","OK")))))))</f>
        <v/>
      </c>
    </row>
    <row r="443" outlineLevel="1">
      <c r="A443" s="13" t="n">
        <v>46484</v>
      </c>
      <c r="E443" s="11">
        <f>IF(OR($B443="",NOT(ISNUMBER($C443))),"",COUNTIFS($A$5:$A$1668,$A443,$C$5:$C$1668,"&lt;"&amp;$C443)+1)</f>
        <v/>
      </c>
      <c r="F443" s="11">
        <f>IF(OR($B443="",NOT(ISNUMBER($C443))),"",COUNTIFS($A$5:$A$1668,$A443,$C$5:$C$1668,"&gt;0"))</f>
        <v/>
      </c>
      <c r="G443" s="11">
        <f>IF(OR($B443="",NOT(ISNUMBER($C443))),"",IF($D443&lt;&gt;"",ROUND(Points!$B$6*IF($F443&lt;Points!$H$4,Points!$H$5,1),0),ROUND(Points!$B$6*IF($F443&lt;=1,1,Points!$H$7+(1-Points!$H$7)*((($F443-$E443)*(($F443-$E443)+1)/2)^2-((($F443-$E443-COUNTIFS($A$5:$A$1668,$A443,$C$5:$C$1668,$C443)+1)-1)*($F443-$E443-COUNTIFS($A$5:$A$1668,$A443,$C$5:$C$1668,$C443)+1)/2)^2)/(COUNTIFS($A$5:$A$1668,$A443,$C$5:$C$1668,$C443)*($F443-1)^3))*IF($F443&lt;Points!$H$4,Points!$H$5,1),0)))</f>
        <v/>
      </c>
      <c r="H443" s="11">
        <f>IF($G443="","",COUNTIFS($B$5:$B$1668,$B443,$G$5:$G$1668,"&gt;"&amp;$G443)+COUNTIFS($B$4:$B442,$B443,$G$4:$G442,$G443)+1)</f>
        <v/>
      </c>
      <c r="I443" s="11">
        <f>IF($G443="","",IF($H443&lt;=Points!$H$6,$G443,0))</f>
        <v/>
      </c>
      <c r="J443" s="11">
        <f>IF($B443="","",IF(COUNTIF(Players!$A$2:$A$500,$B443)=0,"Player is not on the Players tab",IF(NOT(ISNUMBER($C443)),"Enter a gross score",IF(COUNTIFS($A$5:$A$1668,$A443,$B$5:$B$1668,$B443)&gt;1,"Player is listed twice this week",IF(AND($D443&lt;&gt;"",COUNTIFS($A$5:$A$1668,$A443,$D$5:$D$1668,$D443)&gt;1),"Two players picked as "&amp;$D443,IF(COUNTIFS($A$5:$A$1668,$A443,$D$5:$D$1668,"Gross winner")=0,"Pick this week's gross winner",IF(COUNTIFS($A$5:$A$1668,$A443,$D$5:$D$1668,"Net winner")=0,"Pick this week's net winner","OK")))))))</f>
        <v/>
      </c>
    </row>
    <row r="444" outlineLevel="1">
      <c r="A444" s="13" t="n">
        <v>46484</v>
      </c>
      <c r="E444" s="11">
        <f>IF(OR($B444="",NOT(ISNUMBER($C444))),"",COUNTIFS($A$5:$A$1668,$A444,$C$5:$C$1668,"&lt;"&amp;$C444)+1)</f>
        <v/>
      </c>
      <c r="F444" s="11">
        <f>IF(OR($B444="",NOT(ISNUMBER($C444))),"",COUNTIFS($A$5:$A$1668,$A444,$C$5:$C$1668,"&gt;0"))</f>
        <v/>
      </c>
      <c r="G444" s="11">
        <f>IF(OR($B444="",NOT(ISNUMBER($C444))),"",IF($D444&lt;&gt;"",ROUND(Points!$B$6*IF($F444&lt;Points!$H$4,Points!$H$5,1),0),ROUND(Points!$B$6*IF($F444&lt;=1,1,Points!$H$7+(1-Points!$H$7)*((($F444-$E444)*(($F444-$E444)+1)/2)^2-((($F444-$E444-COUNTIFS($A$5:$A$1668,$A444,$C$5:$C$1668,$C444)+1)-1)*($F444-$E444-COUNTIFS($A$5:$A$1668,$A444,$C$5:$C$1668,$C444)+1)/2)^2)/(COUNTIFS($A$5:$A$1668,$A444,$C$5:$C$1668,$C444)*($F444-1)^3))*IF($F444&lt;Points!$H$4,Points!$H$5,1),0)))</f>
        <v/>
      </c>
      <c r="H444" s="11">
        <f>IF($G444="","",COUNTIFS($B$5:$B$1668,$B444,$G$5:$G$1668,"&gt;"&amp;$G444)+COUNTIFS($B$4:$B443,$B444,$G$4:$G443,$G444)+1)</f>
        <v/>
      </c>
      <c r="I444" s="11">
        <f>IF($G444="","",IF($H444&lt;=Points!$H$6,$G444,0))</f>
        <v/>
      </c>
      <c r="J444" s="11">
        <f>IF($B444="","",IF(COUNTIF(Players!$A$2:$A$500,$B444)=0,"Player is not on the Players tab",IF(NOT(ISNUMBER($C444)),"Enter a gross score",IF(COUNTIFS($A$5:$A$1668,$A444,$B$5:$B$1668,$B444)&gt;1,"Player is listed twice this week",IF(AND($D444&lt;&gt;"",COUNTIFS($A$5:$A$1668,$A444,$D$5:$D$1668,$D444)&gt;1),"Two players picked as "&amp;$D444,IF(COUNTIFS($A$5:$A$1668,$A444,$D$5:$D$1668,"Gross winner")=0,"Pick this week's gross winner",IF(COUNTIFS($A$5:$A$1668,$A444,$D$5:$D$1668,"Net winner")=0,"Pick this week's net winner","OK")))))))</f>
        <v/>
      </c>
    </row>
    <row r="445" outlineLevel="1">
      <c r="A445" s="13" t="n">
        <v>46484</v>
      </c>
      <c r="E445" s="11">
        <f>IF(OR($B445="",NOT(ISNUMBER($C445))),"",COUNTIFS($A$5:$A$1668,$A445,$C$5:$C$1668,"&lt;"&amp;$C445)+1)</f>
        <v/>
      </c>
      <c r="F445" s="11">
        <f>IF(OR($B445="",NOT(ISNUMBER($C445))),"",COUNTIFS($A$5:$A$1668,$A445,$C$5:$C$1668,"&gt;0"))</f>
        <v/>
      </c>
      <c r="G445" s="11">
        <f>IF(OR($B445="",NOT(ISNUMBER($C445))),"",IF($D445&lt;&gt;"",ROUND(Points!$B$6*IF($F445&lt;Points!$H$4,Points!$H$5,1),0),ROUND(Points!$B$6*IF($F445&lt;=1,1,Points!$H$7+(1-Points!$H$7)*((($F445-$E445)*(($F445-$E445)+1)/2)^2-((($F445-$E445-COUNTIFS($A$5:$A$1668,$A445,$C$5:$C$1668,$C445)+1)-1)*($F445-$E445-COUNTIFS($A$5:$A$1668,$A445,$C$5:$C$1668,$C445)+1)/2)^2)/(COUNTIFS($A$5:$A$1668,$A445,$C$5:$C$1668,$C445)*($F445-1)^3))*IF($F445&lt;Points!$H$4,Points!$H$5,1),0)))</f>
        <v/>
      </c>
      <c r="H445" s="11">
        <f>IF($G445="","",COUNTIFS($B$5:$B$1668,$B445,$G$5:$G$1668,"&gt;"&amp;$G445)+COUNTIFS($B$4:$B444,$B445,$G$4:$G444,$G445)+1)</f>
        <v/>
      </c>
      <c r="I445" s="11">
        <f>IF($G445="","",IF($H445&lt;=Points!$H$6,$G445,0))</f>
        <v/>
      </c>
      <c r="J445" s="11">
        <f>IF($B445="","",IF(COUNTIF(Players!$A$2:$A$500,$B445)=0,"Player is not on the Players tab",IF(NOT(ISNUMBER($C445)),"Enter a gross score",IF(COUNTIFS($A$5:$A$1668,$A445,$B$5:$B$1668,$B445)&gt;1,"Player is listed twice this week",IF(AND($D445&lt;&gt;"",COUNTIFS($A$5:$A$1668,$A445,$D$5:$D$1668,$D445)&gt;1),"Two players picked as "&amp;$D445,IF(COUNTIFS($A$5:$A$1668,$A445,$D$5:$D$1668,"Gross winner")=0,"Pick this week's gross winner",IF(COUNTIFS($A$5:$A$1668,$A445,$D$5:$D$1668,"Net winner")=0,"Pick this week's net winner","OK")))))))</f>
        <v/>
      </c>
    </row>
    <row r="446" outlineLevel="1">
      <c r="A446" s="13" t="n">
        <v>46484</v>
      </c>
      <c r="E446" s="11">
        <f>IF(OR($B446="",NOT(ISNUMBER($C446))),"",COUNTIFS($A$5:$A$1668,$A446,$C$5:$C$1668,"&lt;"&amp;$C446)+1)</f>
        <v/>
      </c>
      <c r="F446" s="11">
        <f>IF(OR($B446="",NOT(ISNUMBER($C446))),"",COUNTIFS($A$5:$A$1668,$A446,$C$5:$C$1668,"&gt;0"))</f>
        <v/>
      </c>
      <c r="G446" s="11">
        <f>IF(OR($B446="",NOT(ISNUMBER($C446))),"",IF($D446&lt;&gt;"",ROUND(Points!$B$6*IF($F446&lt;Points!$H$4,Points!$H$5,1),0),ROUND(Points!$B$6*IF($F446&lt;=1,1,Points!$H$7+(1-Points!$H$7)*((($F446-$E446)*(($F446-$E446)+1)/2)^2-((($F446-$E446-COUNTIFS($A$5:$A$1668,$A446,$C$5:$C$1668,$C446)+1)-1)*($F446-$E446-COUNTIFS($A$5:$A$1668,$A446,$C$5:$C$1668,$C446)+1)/2)^2)/(COUNTIFS($A$5:$A$1668,$A446,$C$5:$C$1668,$C446)*($F446-1)^3))*IF($F446&lt;Points!$H$4,Points!$H$5,1),0)))</f>
        <v/>
      </c>
      <c r="H446" s="11">
        <f>IF($G446="","",COUNTIFS($B$5:$B$1668,$B446,$G$5:$G$1668,"&gt;"&amp;$G446)+COUNTIFS($B$4:$B445,$B446,$G$4:$G445,$G446)+1)</f>
        <v/>
      </c>
      <c r="I446" s="11">
        <f>IF($G446="","",IF($H446&lt;=Points!$H$6,$G446,0))</f>
        <v/>
      </c>
      <c r="J446" s="11">
        <f>IF($B446="","",IF(COUNTIF(Players!$A$2:$A$500,$B446)=0,"Player is not on the Players tab",IF(NOT(ISNUMBER($C446)),"Enter a gross score",IF(COUNTIFS($A$5:$A$1668,$A446,$B$5:$B$1668,$B446)&gt;1,"Player is listed twice this week",IF(AND($D446&lt;&gt;"",COUNTIFS($A$5:$A$1668,$A446,$D$5:$D$1668,$D446)&gt;1),"Two players picked as "&amp;$D446,IF(COUNTIFS($A$5:$A$1668,$A446,$D$5:$D$1668,"Gross winner")=0,"Pick this week's gross winner",IF(COUNTIFS($A$5:$A$1668,$A446,$D$5:$D$1668,"Net winner")=0,"Pick this week's net winner","OK")))))))</f>
        <v/>
      </c>
    </row>
    <row r="447" outlineLevel="1">
      <c r="A447" s="13" t="n">
        <v>46484</v>
      </c>
      <c r="E447" s="11">
        <f>IF(OR($B447="",NOT(ISNUMBER($C447))),"",COUNTIFS($A$5:$A$1668,$A447,$C$5:$C$1668,"&lt;"&amp;$C447)+1)</f>
        <v/>
      </c>
      <c r="F447" s="11">
        <f>IF(OR($B447="",NOT(ISNUMBER($C447))),"",COUNTIFS($A$5:$A$1668,$A447,$C$5:$C$1668,"&gt;0"))</f>
        <v/>
      </c>
      <c r="G447" s="11">
        <f>IF(OR($B447="",NOT(ISNUMBER($C447))),"",IF($D447&lt;&gt;"",ROUND(Points!$B$6*IF($F447&lt;Points!$H$4,Points!$H$5,1),0),ROUND(Points!$B$6*IF($F447&lt;=1,1,Points!$H$7+(1-Points!$H$7)*((($F447-$E447)*(($F447-$E447)+1)/2)^2-((($F447-$E447-COUNTIFS($A$5:$A$1668,$A447,$C$5:$C$1668,$C447)+1)-1)*($F447-$E447-COUNTIFS($A$5:$A$1668,$A447,$C$5:$C$1668,$C447)+1)/2)^2)/(COUNTIFS($A$5:$A$1668,$A447,$C$5:$C$1668,$C447)*($F447-1)^3))*IF($F447&lt;Points!$H$4,Points!$H$5,1),0)))</f>
        <v/>
      </c>
      <c r="H447" s="11">
        <f>IF($G447="","",COUNTIFS($B$5:$B$1668,$B447,$G$5:$G$1668,"&gt;"&amp;$G447)+COUNTIFS($B$4:$B446,$B447,$G$4:$G446,$G447)+1)</f>
        <v/>
      </c>
      <c r="I447" s="11">
        <f>IF($G447="","",IF($H447&lt;=Points!$H$6,$G447,0))</f>
        <v/>
      </c>
      <c r="J447" s="11">
        <f>IF($B447="","",IF(COUNTIF(Players!$A$2:$A$500,$B447)=0,"Player is not on the Players tab",IF(NOT(ISNUMBER($C447)),"Enter a gross score",IF(COUNTIFS($A$5:$A$1668,$A447,$B$5:$B$1668,$B447)&gt;1,"Player is listed twice this week",IF(AND($D447&lt;&gt;"",COUNTIFS($A$5:$A$1668,$A447,$D$5:$D$1668,$D447)&gt;1),"Two players picked as "&amp;$D447,IF(COUNTIFS($A$5:$A$1668,$A447,$D$5:$D$1668,"Gross winner")=0,"Pick this week's gross winner",IF(COUNTIFS($A$5:$A$1668,$A447,$D$5:$D$1668,"Net winner")=0,"Pick this week's net winner","OK")))))))</f>
        <v/>
      </c>
    </row>
    <row r="448" outlineLevel="1">
      <c r="A448" s="13" t="n">
        <v>46484</v>
      </c>
      <c r="E448" s="11">
        <f>IF(OR($B448="",NOT(ISNUMBER($C448))),"",COUNTIFS($A$5:$A$1668,$A448,$C$5:$C$1668,"&lt;"&amp;$C448)+1)</f>
        <v/>
      </c>
      <c r="F448" s="11">
        <f>IF(OR($B448="",NOT(ISNUMBER($C448))),"",COUNTIFS($A$5:$A$1668,$A448,$C$5:$C$1668,"&gt;0"))</f>
        <v/>
      </c>
      <c r="G448" s="11">
        <f>IF(OR($B448="",NOT(ISNUMBER($C448))),"",IF($D448&lt;&gt;"",ROUND(Points!$B$6*IF($F448&lt;Points!$H$4,Points!$H$5,1),0),ROUND(Points!$B$6*IF($F448&lt;=1,1,Points!$H$7+(1-Points!$H$7)*((($F448-$E448)*(($F448-$E448)+1)/2)^2-((($F448-$E448-COUNTIFS($A$5:$A$1668,$A448,$C$5:$C$1668,$C448)+1)-1)*($F448-$E448-COUNTIFS($A$5:$A$1668,$A448,$C$5:$C$1668,$C448)+1)/2)^2)/(COUNTIFS($A$5:$A$1668,$A448,$C$5:$C$1668,$C448)*($F448-1)^3))*IF($F448&lt;Points!$H$4,Points!$H$5,1),0)))</f>
        <v/>
      </c>
      <c r="H448" s="11">
        <f>IF($G448="","",COUNTIFS($B$5:$B$1668,$B448,$G$5:$G$1668,"&gt;"&amp;$G448)+COUNTIFS($B$4:$B447,$B448,$G$4:$G447,$G448)+1)</f>
        <v/>
      </c>
      <c r="I448" s="11">
        <f>IF($G448="","",IF($H448&lt;=Points!$H$6,$G448,0))</f>
        <v/>
      </c>
      <c r="J448" s="11">
        <f>IF($B448="","",IF(COUNTIF(Players!$A$2:$A$500,$B448)=0,"Player is not on the Players tab",IF(NOT(ISNUMBER($C448)),"Enter a gross score",IF(COUNTIFS($A$5:$A$1668,$A448,$B$5:$B$1668,$B448)&gt;1,"Player is listed twice this week",IF(AND($D448&lt;&gt;"",COUNTIFS($A$5:$A$1668,$A448,$D$5:$D$1668,$D448)&gt;1),"Two players picked as "&amp;$D448,IF(COUNTIFS($A$5:$A$1668,$A448,$D$5:$D$1668,"Gross winner")=0,"Pick this week's gross winner",IF(COUNTIFS($A$5:$A$1668,$A448,$D$5:$D$1668,"Net winner")=0,"Pick this week's net winner","OK")))))))</f>
        <v/>
      </c>
    </row>
    <row r="449" outlineLevel="1">
      <c r="A449" s="13" t="n">
        <v>46484</v>
      </c>
      <c r="E449" s="11">
        <f>IF(OR($B449="",NOT(ISNUMBER($C449))),"",COUNTIFS($A$5:$A$1668,$A449,$C$5:$C$1668,"&lt;"&amp;$C449)+1)</f>
        <v/>
      </c>
      <c r="F449" s="11">
        <f>IF(OR($B449="",NOT(ISNUMBER($C449))),"",COUNTIFS($A$5:$A$1668,$A449,$C$5:$C$1668,"&gt;0"))</f>
        <v/>
      </c>
      <c r="G449" s="11">
        <f>IF(OR($B449="",NOT(ISNUMBER($C449))),"",IF($D449&lt;&gt;"",ROUND(Points!$B$6*IF($F449&lt;Points!$H$4,Points!$H$5,1),0),ROUND(Points!$B$6*IF($F449&lt;=1,1,Points!$H$7+(1-Points!$H$7)*((($F449-$E449)*(($F449-$E449)+1)/2)^2-((($F449-$E449-COUNTIFS($A$5:$A$1668,$A449,$C$5:$C$1668,$C449)+1)-1)*($F449-$E449-COUNTIFS($A$5:$A$1668,$A449,$C$5:$C$1668,$C449)+1)/2)^2)/(COUNTIFS($A$5:$A$1668,$A449,$C$5:$C$1668,$C449)*($F449-1)^3))*IF($F449&lt;Points!$H$4,Points!$H$5,1),0)))</f>
        <v/>
      </c>
      <c r="H449" s="11">
        <f>IF($G449="","",COUNTIFS($B$5:$B$1668,$B449,$G$5:$G$1668,"&gt;"&amp;$G449)+COUNTIFS($B$4:$B448,$B449,$G$4:$G448,$G449)+1)</f>
        <v/>
      </c>
      <c r="I449" s="11">
        <f>IF($G449="","",IF($H449&lt;=Points!$H$6,$G449,0))</f>
        <v/>
      </c>
      <c r="J449" s="11">
        <f>IF($B449="","",IF(COUNTIF(Players!$A$2:$A$500,$B449)=0,"Player is not on the Players tab",IF(NOT(ISNUMBER($C449)),"Enter a gross score",IF(COUNTIFS($A$5:$A$1668,$A449,$B$5:$B$1668,$B449)&gt;1,"Player is listed twice this week",IF(AND($D449&lt;&gt;"",COUNTIFS($A$5:$A$1668,$A449,$D$5:$D$1668,$D449)&gt;1),"Two players picked as "&amp;$D449,IF(COUNTIFS($A$5:$A$1668,$A449,$D$5:$D$1668,"Gross winner")=0,"Pick this week's gross winner",IF(COUNTIFS($A$5:$A$1668,$A449,$D$5:$D$1668,"Net winner")=0,"Pick this week's net winner","OK")))))))</f>
        <v/>
      </c>
    </row>
    <row r="450" outlineLevel="1">
      <c r="A450" s="13" t="n">
        <v>46484</v>
      </c>
      <c r="E450" s="11">
        <f>IF(OR($B450="",NOT(ISNUMBER($C450))),"",COUNTIFS($A$5:$A$1668,$A450,$C$5:$C$1668,"&lt;"&amp;$C450)+1)</f>
        <v/>
      </c>
      <c r="F450" s="11">
        <f>IF(OR($B450="",NOT(ISNUMBER($C450))),"",COUNTIFS($A$5:$A$1668,$A450,$C$5:$C$1668,"&gt;0"))</f>
        <v/>
      </c>
      <c r="G450" s="11">
        <f>IF(OR($B450="",NOT(ISNUMBER($C450))),"",IF($D450&lt;&gt;"",ROUND(Points!$B$6*IF($F450&lt;Points!$H$4,Points!$H$5,1),0),ROUND(Points!$B$6*IF($F450&lt;=1,1,Points!$H$7+(1-Points!$H$7)*((($F450-$E450)*(($F450-$E450)+1)/2)^2-((($F450-$E450-COUNTIFS($A$5:$A$1668,$A450,$C$5:$C$1668,$C450)+1)-1)*($F450-$E450-COUNTIFS($A$5:$A$1668,$A450,$C$5:$C$1668,$C450)+1)/2)^2)/(COUNTIFS($A$5:$A$1668,$A450,$C$5:$C$1668,$C450)*($F450-1)^3))*IF($F450&lt;Points!$H$4,Points!$H$5,1),0)))</f>
        <v/>
      </c>
      <c r="H450" s="11">
        <f>IF($G450="","",COUNTIFS($B$5:$B$1668,$B450,$G$5:$G$1668,"&gt;"&amp;$G450)+COUNTIFS($B$4:$B449,$B450,$G$4:$G449,$G450)+1)</f>
        <v/>
      </c>
      <c r="I450" s="11">
        <f>IF($G450="","",IF($H450&lt;=Points!$H$6,$G450,0))</f>
        <v/>
      </c>
      <c r="J450" s="11">
        <f>IF($B450="","",IF(COUNTIF(Players!$A$2:$A$500,$B450)=0,"Player is not on the Players tab",IF(NOT(ISNUMBER($C450)),"Enter a gross score",IF(COUNTIFS($A$5:$A$1668,$A450,$B$5:$B$1668,$B450)&gt;1,"Player is listed twice this week",IF(AND($D450&lt;&gt;"",COUNTIFS($A$5:$A$1668,$A450,$D$5:$D$1668,$D450)&gt;1),"Two players picked as "&amp;$D450,IF(COUNTIFS($A$5:$A$1668,$A450,$D$5:$D$1668,"Gross winner")=0,"Pick this week's gross winner",IF(COUNTIFS($A$5:$A$1668,$A450,$D$5:$D$1668,"Net winner")=0,"Pick this week's net winner","OK")))))))</f>
        <v/>
      </c>
    </row>
    <row r="451" outlineLevel="1">
      <c r="A451" s="13" t="n">
        <v>46484</v>
      </c>
      <c r="E451" s="11">
        <f>IF(OR($B451="",NOT(ISNUMBER($C451))),"",COUNTIFS($A$5:$A$1668,$A451,$C$5:$C$1668,"&lt;"&amp;$C451)+1)</f>
        <v/>
      </c>
      <c r="F451" s="11">
        <f>IF(OR($B451="",NOT(ISNUMBER($C451))),"",COUNTIFS($A$5:$A$1668,$A451,$C$5:$C$1668,"&gt;0"))</f>
        <v/>
      </c>
      <c r="G451" s="11">
        <f>IF(OR($B451="",NOT(ISNUMBER($C451))),"",IF($D451&lt;&gt;"",ROUND(Points!$B$6*IF($F451&lt;Points!$H$4,Points!$H$5,1),0),ROUND(Points!$B$6*IF($F451&lt;=1,1,Points!$H$7+(1-Points!$H$7)*((($F451-$E451)*(($F451-$E451)+1)/2)^2-((($F451-$E451-COUNTIFS($A$5:$A$1668,$A451,$C$5:$C$1668,$C451)+1)-1)*($F451-$E451-COUNTIFS($A$5:$A$1668,$A451,$C$5:$C$1668,$C451)+1)/2)^2)/(COUNTIFS($A$5:$A$1668,$A451,$C$5:$C$1668,$C451)*($F451-1)^3))*IF($F451&lt;Points!$H$4,Points!$H$5,1),0)))</f>
        <v/>
      </c>
      <c r="H451" s="11">
        <f>IF($G451="","",COUNTIFS($B$5:$B$1668,$B451,$G$5:$G$1668,"&gt;"&amp;$G451)+COUNTIFS($B$4:$B450,$B451,$G$4:$G450,$G451)+1)</f>
        <v/>
      </c>
      <c r="I451" s="11">
        <f>IF($G451="","",IF($H451&lt;=Points!$H$6,$G451,0))</f>
        <v/>
      </c>
      <c r="J451" s="11">
        <f>IF($B451="","",IF(COUNTIF(Players!$A$2:$A$500,$B451)=0,"Player is not on the Players tab",IF(NOT(ISNUMBER($C451)),"Enter a gross score",IF(COUNTIFS($A$5:$A$1668,$A451,$B$5:$B$1668,$B451)&gt;1,"Player is listed twice this week",IF(AND($D451&lt;&gt;"",COUNTIFS($A$5:$A$1668,$A451,$D$5:$D$1668,$D451)&gt;1),"Two players picked as "&amp;$D451,IF(COUNTIFS($A$5:$A$1668,$A451,$D$5:$D$1668,"Gross winner")=0,"Pick this week's gross winner",IF(COUNTIFS($A$5:$A$1668,$A451,$D$5:$D$1668,"Net winner")=0,"Pick this week's net winner","OK")))))))</f>
        <v/>
      </c>
    </row>
    <row r="452" ht="10" customHeight="1"/>
    <row r="453" ht="22" customHeight="1">
      <c r="A453" s="12" t="inlineStr">
        <is>
          <t>Week 15  ·  Wednesday, Apr 14</t>
        </is>
      </c>
    </row>
    <row r="454" outlineLevel="1">
      <c r="A454" s="13" t="n">
        <v>46491</v>
      </c>
      <c r="E454" s="11">
        <f>IF(OR($B454="",NOT(ISNUMBER($C454))),"",COUNTIFS($A$5:$A$1668,$A454,$C$5:$C$1668,"&lt;"&amp;$C454)+1)</f>
        <v/>
      </c>
      <c r="F454" s="11">
        <f>IF(OR($B454="",NOT(ISNUMBER($C454))),"",COUNTIFS($A$5:$A$1668,$A454,$C$5:$C$1668,"&gt;0"))</f>
        <v/>
      </c>
      <c r="G454" s="11">
        <f>IF(OR($B454="",NOT(ISNUMBER($C454))),"",IF($D454&lt;&gt;"",ROUND(Points!$B$6*IF($F454&lt;Points!$H$4,Points!$H$5,1),0),ROUND(Points!$B$6*IF($F454&lt;=1,1,Points!$H$7+(1-Points!$H$7)*((($F454-$E454)*(($F454-$E454)+1)/2)^2-((($F454-$E454-COUNTIFS($A$5:$A$1668,$A454,$C$5:$C$1668,$C454)+1)-1)*($F454-$E454-COUNTIFS($A$5:$A$1668,$A454,$C$5:$C$1668,$C454)+1)/2)^2)/(COUNTIFS($A$5:$A$1668,$A454,$C$5:$C$1668,$C454)*($F454-1)^3))*IF($F454&lt;Points!$H$4,Points!$H$5,1),0)))</f>
        <v/>
      </c>
      <c r="H454" s="11">
        <f>IF($G454="","",COUNTIFS($B$5:$B$1668,$B454,$G$5:$G$1668,"&gt;"&amp;$G454)+COUNTIFS($B$4:$B453,$B454,$G$4:$G453,$G454)+1)</f>
        <v/>
      </c>
      <c r="I454" s="11">
        <f>IF($G454="","",IF($H454&lt;=Points!$H$6,$G454,0))</f>
        <v/>
      </c>
      <c r="J454" s="11">
        <f>IF($B454="","",IF(COUNTIF(Players!$A$2:$A$500,$B454)=0,"Player is not on the Players tab",IF(NOT(ISNUMBER($C454)),"Enter a gross score",IF(COUNTIFS($A$5:$A$1668,$A454,$B$5:$B$1668,$B454)&gt;1,"Player is listed twice this week",IF(AND($D454&lt;&gt;"",COUNTIFS($A$5:$A$1668,$A454,$D$5:$D$1668,$D454)&gt;1),"Two players picked as "&amp;$D454,IF(COUNTIFS($A$5:$A$1668,$A454,$D$5:$D$1668,"Gross winner")=0,"Pick this week's gross winner",IF(COUNTIFS($A$5:$A$1668,$A454,$D$5:$D$1668,"Net winner")=0,"Pick this week's net winner","OK")))))))</f>
        <v/>
      </c>
    </row>
    <row r="455" outlineLevel="1">
      <c r="A455" s="13" t="n">
        <v>46491</v>
      </c>
      <c r="E455" s="11">
        <f>IF(OR($B455="",NOT(ISNUMBER($C455))),"",COUNTIFS($A$5:$A$1668,$A455,$C$5:$C$1668,"&lt;"&amp;$C455)+1)</f>
        <v/>
      </c>
      <c r="F455" s="11">
        <f>IF(OR($B455="",NOT(ISNUMBER($C455))),"",COUNTIFS($A$5:$A$1668,$A455,$C$5:$C$1668,"&gt;0"))</f>
        <v/>
      </c>
      <c r="G455" s="11">
        <f>IF(OR($B455="",NOT(ISNUMBER($C455))),"",IF($D455&lt;&gt;"",ROUND(Points!$B$6*IF($F455&lt;Points!$H$4,Points!$H$5,1),0),ROUND(Points!$B$6*IF($F455&lt;=1,1,Points!$H$7+(1-Points!$H$7)*((($F455-$E455)*(($F455-$E455)+1)/2)^2-((($F455-$E455-COUNTIFS($A$5:$A$1668,$A455,$C$5:$C$1668,$C455)+1)-1)*($F455-$E455-COUNTIFS($A$5:$A$1668,$A455,$C$5:$C$1668,$C455)+1)/2)^2)/(COUNTIFS($A$5:$A$1668,$A455,$C$5:$C$1668,$C455)*($F455-1)^3))*IF($F455&lt;Points!$H$4,Points!$H$5,1),0)))</f>
        <v/>
      </c>
      <c r="H455" s="11">
        <f>IF($G455="","",COUNTIFS($B$5:$B$1668,$B455,$G$5:$G$1668,"&gt;"&amp;$G455)+COUNTIFS($B$4:$B454,$B455,$G$4:$G454,$G455)+1)</f>
        <v/>
      </c>
      <c r="I455" s="11">
        <f>IF($G455="","",IF($H455&lt;=Points!$H$6,$G455,0))</f>
        <v/>
      </c>
      <c r="J455" s="11">
        <f>IF($B455="","",IF(COUNTIF(Players!$A$2:$A$500,$B455)=0,"Player is not on the Players tab",IF(NOT(ISNUMBER($C455)),"Enter a gross score",IF(COUNTIFS($A$5:$A$1668,$A455,$B$5:$B$1668,$B455)&gt;1,"Player is listed twice this week",IF(AND($D455&lt;&gt;"",COUNTIFS($A$5:$A$1668,$A455,$D$5:$D$1668,$D455)&gt;1),"Two players picked as "&amp;$D455,IF(COUNTIFS($A$5:$A$1668,$A455,$D$5:$D$1668,"Gross winner")=0,"Pick this week's gross winner",IF(COUNTIFS($A$5:$A$1668,$A455,$D$5:$D$1668,"Net winner")=0,"Pick this week's net winner","OK")))))))</f>
        <v/>
      </c>
    </row>
    <row r="456" outlineLevel="1">
      <c r="A456" s="13" t="n">
        <v>46491</v>
      </c>
      <c r="E456" s="11">
        <f>IF(OR($B456="",NOT(ISNUMBER($C456))),"",COUNTIFS($A$5:$A$1668,$A456,$C$5:$C$1668,"&lt;"&amp;$C456)+1)</f>
        <v/>
      </c>
      <c r="F456" s="11">
        <f>IF(OR($B456="",NOT(ISNUMBER($C456))),"",COUNTIFS($A$5:$A$1668,$A456,$C$5:$C$1668,"&gt;0"))</f>
        <v/>
      </c>
      <c r="G456" s="11">
        <f>IF(OR($B456="",NOT(ISNUMBER($C456))),"",IF($D456&lt;&gt;"",ROUND(Points!$B$6*IF($F456&lt;Points!$H$4,Points!$H$5,1),0),ROUND(Points!$B$6*IF($F456&lt;=1,1,Points!$H$7+(1-Points!$H$7)*((($F456-$E456)*(($F456-$E456)+1)/2)^2-((($F456-$E456-COUNTIFS($A$5:$A$1668,$A456,$C$5:$C$1668,$C456)+1)-1)*($F456-$E456-COUNTIFS($A$5:$A$1668,$A456,$C$5:$C$1668,$C456)+1)/2)^2)/(COUNTIFS($A$5:$A$1668,$A456,$C$5:$C$1668,$C456)*($F456-1)^3))*IF($F456&lt;Points!$H$4,Points!$H$5,1),0)))</f>
        <v/>
      </c>
      <c r="H456" s="11">
        <f>IF($G456="","",COUNTIFS($B$5:$B$1668,$B456,$G$5:$G$1668,"&gt;"&amp;$G456)+COUNTIFS($B$4:$B455,$B456,$G$4:$G455,$G456)+1)</f>
        <v/>
      </c>
      <c r="I456" s="11">
        <f>IF($G456="","",IF($H456&lt;=Points!$H$6,$G456,0))</f>
        <v/>
      </c>
      <c r="J456" s="11">
        <f>IF($B456="","",IF(COUNTIF(Players!$A$2:$A$500,$B456)=0,"Player is not on the Players tab",IF(NOT(ISNUMBER($C456)),"Enter a gross score",IF(COUNTIFS($A$5:$A$1668,$A456,$B$5:$B$1668,$B456)&gt;1,"Player is listed twice this week",IF(AND($D456&lt;&gt;"",COUNTIFS($A$5:$A$1668,$A456,$D$5:$D$1668,$D456)&gt;1),"Two players picked as "&amp;$D456,IF(COUNTIFS($A$5:$A$1668,$A456,$D$5:$D$1668,"Gross winner")=0,"Pick this week's gross winner",IF(COUNTIFS($A$5:$A$1668,$A456,$D$5:$D$1668,"Net winner")=0,"Pick this week's net winner","OK")))))))</f>
        <v/>
      </c>
    </row>
    <row r="457" outlineLevel="1">
      <c r="A457" s="13" t="n">
        <v>46491</v>
      </c>
      <c r="E457" s="11">
        <f>IF(OR($B457="",NOT(ISNUMBER($C457))),"",COUNTIFS($A$5:$A$1668,$A457,$C$5:$C$1668,"&lt;"&amp;$C457)+1)</f>
        <v/>
      </c>
      <c r="F457" s="11">
        <f>IF(OR($B457="",NOT(ISNUMBER($C457))),"",COUNTIFS($A$5:$A$1668,$A457,$C$5:$C$1668,"&gt;0"))</f>
        <v/>
      </c>
      <c r="G457" s="11">
        <f>IF(OR($B457="",NOT(ISNUMBER($C457))),"",IF($D457&lt;&gt;"",ROUND(Points!$B$6*IF($F457&lt;Points!$H$4,Points!$H$5,1),0),ROUND(Points!$B$6*IF($F457&lt;=1,1,Points!$H$7+(1-Points!$H$7)*((($F457-$E457)*(($F457-$E457)+1)/2)^2-((($F457-$E457-COUNTIFS($A$5:$A$1668,$A457,$C$5:$C$1668,$C457)+1)-1)*($F457-$E457-COUNTIFS($A$5:$A$1668,$A457,$C$5:$C$1668,$C457)+1)/2)^2)/(COUNTIFS($A$5:$A$1668,$A457,$C$5:$C$1668,$C457)*($F457-1)^3))*IF($F457&lt;Points!$H$4,Points!$H$5,1),0)))</f>
        <v/>
      </c>
      <c r="H457" s="11">
        <f>IF($G457="","",COUNTIFS($B$5:$B$1668,$B457,$G$5:$G$1668,"&gt;"&amp;$G457)+COUNTIFS($B$4:$B456,$B457,$G$4:$G456,$G457)+1)</f>
        <v/>
      </c>
      <c r="I457" s="11">
        <f>IF($G457="","",IF($H457&lt;=Points!$H$6,$G457,0))</f>
        <v/>
      </c>
      <c r="J457" s="11">
        <f>IF($B457="","",IF(COUNTIF(Players!$A$2:$A$500,$B457)=0,"Player is not on the Players tab",IF(NOT(ISNUMBER($C457)),"Enter a gross score",IF(COUNTIFS($A$5:$A$1668,$A457,$B$5:$B$1668,$B457)&gt;1,"Player is listed twice this week",IF(AND($D457&lt;&gt;"",COUNTIFS($A$5:$A$1668,$A457,$D$5:$D$1668,$D457)&gt;1),"Two players picked as "&amp;$D457,IF(COUNTIFS($A$5:$A$1668,$A457,$D$5:$D$1668,"Gross winner")=0,"Pick this week's gross winner",IF(COUNTIFS($A$5:$A$1668,$A457,$D$5:$D$1668,"Net winner")=0,"Pick this week's net winner","OK")))))))</f>
        <v/>
      </c>
    </row>
    <row r="458" outlineLevel="1">
      <c r="A458" s="13" t="n">
        <v>46491</v>
      </c>
      <c r="E458" s="11">
        <f>IF(OR($B458="",NOT(ISNUMBER($C458))),"",COUNTIFS($A$5:$A$1668,$A458,$C$5:$C$1668,"&lt;"&amp;$C458)+1)</f>
        <v/>
      </c>
      <c r="F458" s="11">
        <f>IF(OR($B458="",NOT(ISNUMBER($C458))),"",COUNTIFS($A$5:$A$1668,$A458,$C$5:$C$1668,"&gt;0"))</f>
        <v/>
      </c>
      <c r="G458" s="11">
        <f>IF(OR($B458="",NOT(ISNUMBER($C458))),"",IF($D458&lt;&gt;"",ROUND(Points!$B$6*IF($F458&lt;Points!$H$4,Points!$H$5,1),0),ROUND(Points!$B$6*IF($F458&lt;=1,1,Points!$H$7+(1-Points!$H$7)*((($F458-$E458)*(($F458-$E458)+1)/2)^2-((($F458-$E458-COUNTIFS($A$5:$A$1668,$A458,$C$5:$C$1668,$C458)+1)-1)*($F458-$E458-COUNTIFS($A$5:$A$1668,$A458,$C$5:$C$1668,$C458)+1)/2)^2)/(COUNTIFS($A$5:$A$1668,$A458,$C$5:$C$1668,$C458)*($F458-1)^3))*IF($F458&lt;Points!$H$4,Points!$H$5,1),0)))</f>
        <v/>
      </c>
      <c r="H458" s="11">
        <f>IF($G458="","",COUNTIFS($B$5:$B$1668,$B458,$G$5:$G$1668,"&gt;"&amp;$G458)+COUNTIFS($B$4:$B457,$B458,$G$4:$G457,$G458)+1)</f>
        <v/>
      </c>
      <c r="I458" s="11">
        <f>IF($G458="","",IF($H458&lt;=Points!$H$6,$G458,0))</f>
        <v/>
      </c>
      <c r="J458" s="11">
        <f>IF($B458="","",IF(COUNTIF(Players!$A$2:$A$500,$B458)=0,"Player is not on the Players tab",IF(NOT(ISNUMBER($C458)),"Enter a gross score",IF(COUNTIFS($A$5:$A$1668,$A458,$B$5:$B$1668,$B458)&gt;1,"Player is listed twice this week",IF(AND($D458&lt;&gt;"",COUNTIFS($A$5:$A$1668,$A458,$D$5:$D$1668,$D458)&gt;1),"Two players picked as "&amp;$D458,IF(COUNTIFS($A$5:$A$1668,$A458,$D$5:$D$1668,"Gross winner")=0,"Pick this week's gross winner",IF(COUNTIFS($A$5:$A$1668,$A458,$D$5:$D$1668,"Net winner")=0,"Pick this week's net winner","OK")))))))</f>
        <v/>
      </c>
    </row>
    <row r="459" outlineLevel="1">
      <c r="A459" s="13" t="n">
        <v>46491</v>
      </c>
      <c r="E459" s="11">
        <f>IF(OR($B459="",NOT(ISNUMBER($C459))),"",COUNTIFS($A$5:$A$1668,$A459,$C$5:$C$1668,"&lt;"&amp;$C459)+1)</f>
        <v/>
      </c>
      <c r="F459" s="11">
        <f>IF(OR($B459="",NOT(ISNUMBER($C459))),"",COUNTIFS($A$5:$A$1668,$A459,$C$5:$C$1668,"&gt;0"))</f>
        <v/>
      </c>
      <c r="G459" s="11">
        <f>IF(OR($B459="",NOT(ISNUMBER($C459))),"",IF($D459&lt;&gt;"",ROUND(Points!$B$6*IF($F459&lt;Points!$H$4,Points!$H$5,1),0),ROUND(Points!$B$6*IF($F459&lt;=1,1,Points!$H$7+(1-Points!$H$7)*((($F459-$E459)*(($F459-$E459)+1)/2)^2-((($F459-$E459-COUNTIFS($A$5:$A$1668,$A459,$C$5:$C$1668,$C459)+1)-1)*($F459-$E459-COUNTIFS($A$5:$A$1668,$A459,$C$5:$C$1668,$C459)+1)/2)^2)/(COUNTIFS($A$5:$A$1668,$A459,$C$5:$C$1668,$C459)*($F459-1)^3))*IF($F459&lt;Points!$H$4,Points!$H$5,1),0)))</f>
        <v/>
      </c>
      <c r="H459" s="11">
        <f>IF($G459="","",COUNTIFS($B$5:$B$1668,$B459,$G$5:$G$1668,"&gt;"&amp;$G459)+COUNTIFS($B$4:$B458,$B459,$G$4:$G458,$G459)+1)</f>
        <v/>
      </c>
      <c r="I459" s="11">
        <f>IF($G459="","",IF($H459&lt;=Points!$H$6,$G459,0))</f>
        <v/>
      </c>
      <c r="J459" s="11">
        <f>IF($B459="","",IF(COUNTIF(Players!$A$2:$A$500,$B459)=0,"Player is not on the Players tab",IF(NOT(ISNUMBER($C459)),"Enter a gross score",IF(COUNTIFS($A$5:$A$1668,$A459,$B$5:$B$1668,$B459)&gt;1,"Player is listed twice this week",IF(AND($D459&lt;&gt;"",COUNTIFS($A$5:$A$1668,$A459,$D$5:$D$1668,$D459)&gt;1),"Two players picked as "&amp;$D459,IF(COUNTIFS($A$5:$A$1668,$A459,$D$5:$D$1668,"Gross winner")=0,"Pick this week's gross winner",IF(COUNTIFS($A$5:$A$1668,$A459,$D$5:$D$1668,"Net winner")=0,"Pick this week's net winner","OK")))))))</f>
        <v/>
      </c>
    </row>
    <row r="460" outlineLevel="1">
      <c r="A460" s="13" t="n">
        <v>46491</v>
      </c>
      <c r="E460" s="11">
        <f>IF(OR($B460="",NOT(ISNUMBER($C460))),"",COUNTIFS($A$5:$A$1668,$A460,$C$5:$C$1668,"&lt;"&amp;$C460)+1)</f>
        <v/>
      </c>
      <c r="F460" s="11">
        <f>IF(OR($B460="",NOT(ISNUMBER($C460))),"",COUNTIFS($A$5:$A$1668,$A460,$C$5:$C$1668,"&gt;0"))</f>
        <v/>
      </c>
      <c r="G460" s="11">
        <f>IF(OR($B460="",NOT(ISNUMBER($C460))),"",IF($D460&lt;&gt;"",ROUND(Points!$B$6*IF($F460&lt;Points!$H$4,Points!$H$5,1),0),ROUND(Points!$B$6*IF($F460&lt;=1,1,Points!$H$7+(1-Points!$H$7)*((($F460-$E460)*(($F460-$E460)+1)/2)^2-((($F460-$E460-COUNTIFS($A$5:$A$1668,$A460,$C$5:$C$1668,$C460)+1)-1)*($F460-$E460-COUNTIFS($A$5:$A$1668,$A460,$C$5:$C$1668,$C460)+1)/2)^2)/(COUNTIFS($A$5:$A$1668,$A460,$C$5:$C$1668,$C460)*($F460-1)^3))*IF($F460&lt;Points!$H$4,Points!$H$5,1),0)))</f>
        <v/>
      </c>
      <c r="H460" s="11">
        <f>IF($G460="","",COUNTIFS($B$5:$B$1668,$B460,$G$5:$G$1668,"&gt;"&amp;$G460)+COUNTIFS($B$4:$B459,$B460,$G$4:$G459,$G460)+1)</f>
        <v/>
      </c>
      <c r="I460" s="11">
        <f>IF($G460="","",IF($H460&lt;=Points!$H$6,$G460,0))</f>
        <v/>
      </c>
      <c r="J460" s="11">
        <f>IF($B460="","",IF(COUNTIF(Players!$A$2:$A$500,$B460)=0,"Player is not on the Players tab",IF(NOT(ISNUMBER($C460)),"Enter a gross score",IF(COUNTIFS($A$5:$A$1668,$A460,$B$5:$B$1668,$B460)&gt;1,"Player is listed twice this week",IF(AND($D460&lt;&gt;"",COUNTIFS($A$5:$A$1668,$A460,$D$5:$D$1668,$D460)&gt;1),"Two players picked as "&amp;$D460,IF(COUNTIFS($A$5:$A$1668,$A460,$D$5:$D$1668,"Gross winner")=0,"Pick this week's gross winner",IF(COUNTIFS($A$5:$A$1668,$A460,$D$5:$D$1668,"Net winner")=0,"Pick this week's net winner","OK")))))))</f>
        <v/>
      </c>
    </row>
    <row r="461" outlineLevel="1">
      <c r="A461" s="13" t="n">
        <v>46491</v>
      </c>
      <c r="E461" s="11">
        <f>IF(OR($B461="",NOT(ISNUMBER($C461))),"",COUNTIFS($A$5:$A$1668,$A461,$C$5:$C$1668,"&lt;"&amp;$C461)+1)</f>
        <v/>
      </c>
      <c r="F461" s="11">
        <f>IF(OR($B461="",NOT(ISNUMBER($C461))),"",COUNTIFS($A$5:$A$1668,$A461,$C$5:$C$1668,"&gt;0"))</f>
        <v/>
      </c>
      <c r="G461" s="11">
        <f>IF(OR($B461="",NOT(ISNUMBER($C461))),"",IF($D461&lt;&gt;"",ROUND(Points!$B$6*IF($F461&lt;Points!$H$4,Points!$H$5,1),0),ROUND(Points!$B$6*IF($F461&lt;=1,1,Points!$H$7+(1-Points!$H$7)*((($F461-$E461)*(($F461-$E461)+1)/2)^2-((($F461-$E461-COUNTIFS($A$5:$A$1668,$A461,$C$5:$C$1668,$C461)+1)-1)*($F461-$E461-COUNTIFS($A$5:$A$1668,$A461,$C$5:$C$1668,$C461)+1)/2)^2)/(COUNTIFS($A$5:$A$1668,$A461,$C$5:$C$1668,$C461)*($F461-1)^3))*IF($F461&lt;Points!$H$4,Points!$H$5,1),0)))</f>
        <v/>
      </c>
      <c r="H461" s="11">
        <f>IF($G461="","",COUNTIFS($B$5:$B$1668,$B461,$G$5:$G$1668,"&gt;"&amp;$G461)+COUNTIFS($B$4:$B460,$B461,$G$4:$G460,$G461)+1)</f>
        <v/>
      </c>
      <c r="I461" s="11">
        <f>IF($G461="","",IF($H461&lt;=Points!$H$6,$G461,0))</f>
        <v/>
      </c>
      <c r="J461" s="11">
        <f>IF($B461="","",IF(COUNTIF(Players!$A$2:$A$500,$B461)=0,"Player is not on the Players tab",IF(NOT(ISNUMBER($C461)),"Enter a gross score",IF(COUNTIFS($A$5:$A$1668,$A461,$B$5:$B$1668,$B461)&gt;1,"Player is listed twice this week",IF(AND($D461&lt;&gt;"",COUNTIFS($A$5:$A$1668,$A461,$D$5:$D$1668,$D461)&gt;1),"Two players picked as "&amp;$D461,IF(COUNTIFS($A$5:$A$1668,$A461,$D$5:$D$1668,"Gross winner")=0,"Pick this week's gross winner",IF(COUNTIFS($A$5:$A$1668,$A461,$D$5:$D$1668,"Net winner")=0,"Pick this week's net winner","OK")))))))</f>
        <v/>
      </c>
    </row>
    <row r="462" outlineLevel="1">
      <c r="A462" s="13" t="n">
        <v>46491</v>
      </c>
      <c r="E462" s="11">
        <f>IF(OR($B462="",NOT(ISNUMBER($C462))),"",COUNTIFS($A$5:$A$1668,$A462,$C$5:$C$1668,"&lt;"&amp;$C462)+1)</f>
        <v/>
      </c>
      <c r="F462" s="11">
        <f>IF(OR($B462="",NOT(ISNUMBER($C462))),"",COUNTIFS($A$5:$A$1668,$A462,$C$5:$C$1668,"&gt;0"))</f>
        <v/>
      </c>
      <c r="G462" s="11">
        <f>IF(OR($B462="",NOT(ISNUMBER($C462))),"",IF($D462&lt;&gt;"",ROUND(Points!$B$6*IF($F462&lt;Points!$H$4,Points!$H$5,1),0),ROUND(Points!$B$6*IF($F462&lt;=1,1,Points!$H$7+(1-Points!$H$7)*((($F462-$E462)*(($F462-$E462)+1)/2)^2-((($F462-$E462-COUNTIFS($A$5:$A$1668,$A462,$C$5:$C$1668,$C462)+1)-1)*($F462-$E462-COUNTIFS($A$5:$A$1668,$A462,$C$5:$C$1668,$C462)+1)/2)^2)/(COUNTIFS($A$5:$A$1668,$A462,$C$5:$C$1668,$C462)*($F462-1)^3))*IF($F462&lt;Points!$H$4,Points!$H$5,1),0)))</f>
        <v/>
      </c>
      <c r="H462" s="11">
        <f>IF($G462="","",COUNTIFS($B$5:$B$1668,$B462,$G$5:$G$1668,"&gt;"&amp;$G462)+COUNTIFS($B$4:$B461,$B462,$G$4:$G461,$G462)+1)</f>
        <v/>
      </c>
      <c r="I462" s="11">
        <f>IF($G462="","",IF($H462&lt;=Points!$H$6,$G462,0))</f>
        <v/>
      </c>
      <c r="J462" s="11">
        <f>IF($B462="","",IF(COUNTIF(Players!$A$2:$A$500,$B462)=0,"Player is not on the Players tab",IF(NOT(ISNUMBER($C462)),"Enter a gross score",IF(COUNTIFS($A$5:$A$1668,$A462,$B$5:$B$1668,$B462)&gt;1,"Player is listed twice this week",IF(AND($D462&lt;&gt;"",COUNTIFS($A$5:$A$1668,$A462,$D$5:$D$1668,$D462)&gt;1),"Two players picked as "&amp;$D462,IF(COUNTIFS($A$5:$A$1668,$A462,$D$5:$D$1668,"Gross winner")=0,"Pick this week's gross winner",IF(COUNTIFS($A$5:$A$1668,$A462,$D$5:$D$1668,"Net winner")=0,"Pick this week's net winner","OK")))))))</f>
        <v/>
      </c>
    </row>
    <row r="463" outlineLevel="1">
      <c r="A463" s="13" t="n">
        <v>46491</v>
      </c>
      <c r="E463" s="11">
        <f>IF(OR($B463="",NOT(ISNUMBER($C463))),"",COUNTIFS($A$5:$A$1668,$A463,$C$5:$C$1668,"&lt;"&amp;$C463)+1)</f>
        <v/>
      </c>
      <c r="F463" s="11">
        <f>IF(OR($B463="",NOT(ISNUMBER($C463))),"",COUNTIFS($A$5:$A$1668,$A463,$C$5:$C$1668,"&gt;0"))</f>
        <v/>
      </c>
      <c r="G463" s="11">
        <f>IF(OR($B463="",NOT(ISNUMBER($C463))),"",IF($D463&lt;&gt;"",ROUND(Points!$B$6*IF($F463&lt;Points!$H$4,Points!$H$5,1),0),ROUND(Points!$B$6*IF($F463&lt;=1,1,Points!$H$7+(1-Points!$H$7)*((($F463-$E463)*(($F463-$E463)+1)/2)^2-((($F463-$E463-COUNTIFS($A$5:$A$1668,$A463,$C$5:$C$1668,$C463)+1)-1)*($F463-$E463-COUNTIFS($A$5:$A$1668,$A463,$C$5:$C$1668,$C463)+1)/2)^2)/(COUNTIFS($A$5:$A$1668,$A463,$C$5:$C$1668,$C463)*($F463-1)^3))*IF($F463&lt;Points!$H$4,Points!$H$5,1),0)))</f>
        <v/>
      </c>
      <c r="H463" s="11">
        <f>IF($G463="","",COUNTIFS($B$5:$B$1668,$B463,$G$5:$G$1668,"&gt;"&amp;$G463)+COUNTIFS($B$4:$B462,$B463,$G$4:$G462,$G463)+1)</f>
        <v/>
      </c>
      <c r="I463" s="11">
        <f>IF($G463="","",IF($H463&lt;=Points!$H$6,$G463,0))</f>
        <v/>
      </c>
      <c r="J463" s="11">
        <f>IF($B463="","",IF(COUNTIF(Players!$A$2:$A$500,$B463)=0,"Player is not on the Players tab",IF(NOT(ISNUMBER($C463)),"Enter a gross score",IF(COUNTIFS($A$5:$A$1668,$A463,$B$5:$B$1668,$B463)&gt;1,"Player is listed twice this week",IF(AND($D463&lt;&gt;"",COUNTIFS($A$5:$A$1668,$A463,$D$5:$D$1668,$D463)&gt;1),"Two players picked as "&amp;$D463,IF(COUNTIFS($A$5:$A$1668,$A463,$D$5:$D$1668,"Gross winner")=0,"Pick this week's gross winner",IF(COUNTIFS($A$5:$A$1668,$A463,$D$5:$D$1668,"Net winner")=0,"Pick this week's net winner","OK")))))))</f>
        <v/>
      </c>
    </row>
    <row r="464" outlineLevel="1">
      <c r="A464" s="13" t="n">
        <v>46491</v>
      </c>
      <c r="E464" s="11">
        <f>IF(OR($B464="",NOT(ISNUMBER($C464))),"",COUNTIFS($A$5:$A$1668,$A464,$C$5:$C$1668,"&lt;"&amp;$C464)+1)</f>
        <v/>
      </c>
      <c r="F464" s="11">
        <f>IF(OR($B464="",NOT(ISNUMBER($C464))),"",COUNTIFS($A$5:$A$1668,$A464,$C$5:$C$1668,"&gt;0"))</f>
        <v/>
      </c>
      <c r="G464" s="11">
        <f>IF(OR($B464="",NOT(ISNUMBER($C464))),"",IF($D464&lt;&gt;"",ROUND(Points!$B$6*IF($F464&lt;Points!$H$4,Points!$H$5,1),0),ROUND(Points!$B$6*IF($F464&lt;=1,1,Points!$H$7+(1-Points!$H$7)*((($F464-$E464)*(($F464-$E464)+1)/2)^2-((($F464-$E464-COUNTIFS($A$5:$A$1668,$A464,$C$5:$C$1668,$C464)+1)-1)*($F464-$E464-COUNTIFS($A$5:$A$1668,$A464,$C$5:$C$1668,$C464)+1)/2)^2)/(COUNTIFS($A$5:$A$1668,$A464,$C$5:$C$1668,$C464)*($F464-1)^3))*IF($F464&lt;Points!$H$4,Points!$H$5,1),0)))</f>
        <v/>
      </c>
      <c r="H464" s="11">
        <f>IF($G464="","",COUNTIFS($B$5:$B$1668,$B464,$G$5:$G$1668,"&gt;"&amp;$G464)+COUNTIFS($B$4:$B463,$B464,$G$4:$G463,$G464)+1)</f>
        <v/>
      </c>
      <c r="I464" s="11">
        <f>IF($G464="","",IF($H464&lt;=Points!$H$6,$G464,0))</f>
        <v/>
      </c>
      <c r="J464" s="11">
        <f>IF($B464="","",IF(COUNTIF(Players!$A$2:$A$500,$B464)=0,"Player is not on the Players tab",IF(NOT(ISNUMBER($C464)),"Enter a gross score",IF(COUNTIFS($A$5:$A$1668,$A464,$B$5:$B$1668,$B464)&gt;1,"Player is listed twice this week",IF(AND($D464&lt;&gt;"",COUNTIFS($A$5:$A$1668,$A464,$D$5:$D$1668,$D464)&gt;1),"Two players picked as "&amp;$D464,IF(COUNTIFS($A$5:$A$1668,$A464,$D$5:$D$1668,"Gross winner")=0,"Pick this week's gross winner",IF(COUNTIFS($A$5:$A$1668,$A464,$D$5:$D$1668,"Net winner")=0,"Pick this week's net winner","OK")))))))</f>
        <v/>
      </c>
    </row>
    <row r="465" outlineLevel="1">
      <c r="A465" s="13" t="n">
        <v>46491</v>
      </c>
      <c r="E465" s="11">
        <f>IF(OR($B465="",NOT(ISNUMBER($C465))),"",COUNTIFS($A$5:$A$1668,$A465,$C$5:$C$1668,"&lt;"&amp;$C465)+1)</f>
        <v/>
      </c>
      <c r="F465" s="11">
        <f>IF(OR($B465="",NOT(ISNUMBER($C465))),"",COUNTIFS($A$5:$A$1668,$A465,$C$5:$C$1668,"&gt;0"))</f>
        <v/>
      </c>
      <c r="G465" s="11">
        <f>IF(OR($B465="",NOT(ISNUMBER($C465))),"",IF($D465&lt;&gt;"",ROUND(Points!$B$6*IF($F465&lt;Points!$H$4,Points!$H$5,1),0),ROUND(Points!$B$6*IF($F465&lt;=1,1,Points!$H$7+(1-Points!$H$7)*((($F465-$E465)*(($F465-$E465)+1)/2)^2-((($F465-$E465-COUNTIFS($A$5:$A$1668,$A465,$C$5:$C$1668,$C465)+1)-1)*($F465-$E465-COUNTIFS($A$5:$A$1668,$A465,$C$5:$C$1668,$C465)+1)/2)^2)/(COUNTIFS($A$5:$A$1668,$A465,$C$5:$C$1668,$C465)*($F465-1)^3))*IF($F465&lt;Points!$H$4,Points!$H$5,1),0)))</f>
        <v/>
      </c>
      <c r="H465" s="11">
        <f>IF($G465="","",COUNTIFS($B$5:$B$1668,$B465,$G$5:$G$1668,"&gt;"&amp;$G465)+COUNTIFS($B$4:$B464,$B465,$G$4:$G464,$G465)+1)</f>
        <v/>
      </c>
      <c r="I465" s="11">
        <f>IF($G465="","",IF($H465&lt;=Points!$H$6,$G465,0))</f>
        <v/>
      </c>
      <c r="J465" s="11">
        <f>IF($B465="","",IF(COUNTIF(Players!$A$2:$A$500,$B465)=0,"Player is not on the Players tab",IF(NOT(ISNUMBER($C465)),"Enter a gross score",IF(COUNTIFS($A$5:$A$1668,$A465,$B$5:$B$1668,$B465)&gt;1,"Player is listed twice this week",IF(AND($D465&lt;&gt;"",COUNTIFS($A$5:$A$1668,$A465,$D$5:$D$1668,$D465)&gt;1),"Two players picked as "&amp;$D465,IF(COUNTIFS($A$5:$A$1668,$A465,$D$5:$D$1668,"Gross winner")=0,"Pick this week's gross winner",IF(COUNTIFS($A$5:$A$1668,$A465,$D$5:$D$1668,"Net winner")=0,"Pick this week's net winner","OK")))))))</f>
        <v/>
      </c>
    </row>
    <row r="466" outlineLevel="1">
      <c r="A466" s="13" t="n">
        <v>46491</v>
      </c>
      <c r="E466" s="11">
        <f>IF(OR($B466="",NOT(ISNUMBER($C466))),"",COUNTIFS($A$5:$A$1668,$A466,$C$5:$C$1668,"&lt;"&amp;$C466)+1)</f>
        <v/>
      </c>
      <c r="F466" s="11">
        <f>IF(OR($B466="",NOT(ISNUMBER($C466))),"",COUNTIFS($A$5:$A$1668,$A466,$C$5:$C$1668,"&gt;0"))</f>
        <v/>
      </c>
      <c r="G466" s="11">
        <f>IF(OR($B466="",NOT(ISNUMBER($C466))),"",IF($D466&lt;&gt;"",ROUND(Points!$B$6*IF($F466&lt;Points!$H$4,Points!$H$5,1),0),ROUND(Points!$B$6*IF($F466&lt;=1,1,Points!$H$7+(1-Points!$H$7)*((($F466-$E466)*(($F466-$E466)+1)/2)^2-((($F466-$E466-COUNTIFS($A$5:$A$1668,$A466,$C$5:$C$1668,$C466)+1)-1)*($F466-$E466-COUNTIFS($A$5:$A$1668,$A466,$C$5:$C$1668,$C466)+1)/2)^2)/(COUNTIFS($A$5:$A$1668,$A466,$C$5:$C$1668,$C466)*($F466-1)^3))*IF($F466&lt;Points!$H$4,Points!$H$5,1),0)))</f>
        <v/>
      </c>
      <c r="H466" s="11">
        <f>IF($G466="","",COUNTIFS($B$5:$B$1668,$B466,$G$5:$G$1668,"&gt;"&amp;$G466)+COUNTIFS($B$4:$B465,$B466,$G$4:$G465,$G466)+1)</f>
        <v/>
      </c>
      <c r="I466" s="11">
        <f>IF($G466="","",IF($H466&lt;=Points!$H$6,$G466,0))</f>
        <v/>
      </c>
      <c r="J466" s="11">
        <f>IF($B466="","",IF(COUNTIF(Players!$A$2:$A$500,$B466)=0,"Player is not on the Players tab",IF(NOT(ISNUMBER($C466)),"Enter a gross score",IF(COUNTIFS($A$5:$A$1668,$A466,$B$5:$B$1668,$B466)&gt;1,"Player is listed twice this week",IF(AND($D466&lt;&gt;"",COUNTIFS($A$5:$A$1668,$A466,$D$5:$D$1668,$D466)&gt;1),"Two players picked as "&amp;$D466,IF(COUNTIFS($A$5:$A$1668,$A466,$D$5:$D$1668,"Gross winner")=0,"Pick this week's gross winner",IF(COUNTIFS($A$5:$A$1668,$A466,$D$5:$D$1668,"Net winner")=0,"Pick this week's net winner","OK")))))))</f>
        <v/>
      </c>
    </row>
    <row r="467" outlineLevel="1">
      <c r="A467" s="13" t="n">
        <v>46491</v>
      </c>
      <c r="E467" s="11">
        <f>IF(OR($B467="",NOT(ISNUMBER($C467))),"",COUNTIFS($A$5:$A$1668,$A467,$C$5:$C$1668,"&lt;"&amp;$C467)+1)</f>
        <v/>
      </c>
      <c r="F467" s="11">
        <f>IF(OR($B467="",NOT(ISNUMBER($C467))),"",COUNTIFS($A$5:$A$1668,$A467,$C$5:$C$1668,"&gt;0"))</f>
        <v/>
      </c>
      <c r="G467" s="11">
        <f>IF(OR($B467="",NOT(ISNUMBER($C467))),"",IF($D467&lt;&gt;"",ROUND(Points!$B$6*IF($F467&lt;Points!$H$4,Points!$H$5,1),0),ROUND(Points!$B$6*IF($F467&lt;=1,1,Points!$H$7+(1-Points!$H$7)*((($F467-$E467)*(($F467-$E467)+1)/2)^2-((($F467-$E467-COUNTIFS($A$5:$A$1668,$A467,$C$5:$C$1668,$C467)+1)-1)*($F467-$E467-COUNTIFS($A$5:$A$1668,$A467,$C$5:$C$1668,$C467)+1)/2)^2)/(COUNTIFS($A$5:$A$1668,$A467,$C$5:$C$1668,$C467)*($F467-1)^3))*IF($F467&lt;Points!$H$4,Points!$H$5,1),0)))</f>
        <v/>
      </c>
      <c r="H467" s="11">
        <f>IF($G467="","",COUNTIFS($B$5:$B$1668,$B467,$G$5:$G$1668,"&gt;"&amp;$G467)+COUNTIFS($B$4:$B466,$B467,$G$4:$G466,$G467)+1)</f>
        <v/>
      </c>
      <c r="I467" s="11">
        <f>IF($G467="","",IF($H467&lt;=Points!$H$6,$G467,0))</f>
        <v/>
      </c>
      <c r="J467" s="11">
        <f>IF($B467="","",IF(COUNTIF(Players!$A$2:$A$500,$B467)=0,"Player is not on the Players tab",IF(NOT(ISNUMBER($C467)),"Enter a gross score",IF(COUNTIFS($A$5:$A$1668,$A467,$B$5:$B$1668,$B467)&gt;1,"Player is listed twice this week",IF(AND($D467&lt;&gt;"",COUNTIFS($A$5:$A$1668,$A467,$D$5:$D$1668,$D467)&gt;1),"Two players picked as "&amp;$D467,IF(COUNTIFS($A$5:$A$1668,$A467,$D$5:$D$1668,"Gross winner")=0,"Pick this week's gross winner",IF(COUNTIFS($A$5:$A$1668,$A467,$D$5:$D$1668,"Net winner")=0,"Pick this week's net winner","OK")))))))</f>
        <v/>
      </c>
    </row>
    <row r="468" outlineLevel="1">
      <c r="A468" s="13" t="n">
        <v>46491</v>
      </c>
      <c r="E468" s="11">
        <f>IF(OR($B468="",NOT(ISNUMBER($C468))),"",COUNTIFS($A$5:$A$1668,$A468,$C$5:$C$1668,"&lt;"&amp;$C468)+1)</f>
        <v/>
      </c>
      <c r="F468" s="11">
        <f>IF(OR($B468="",NOT(ISNUMBER($C468))),"",COUNTIFS($A$5:$A$1668,$A468,$C$5:$C$1668,"&gt;0"))</f>
        <v/>
      </c>
      <c r="G468" s="11">
        <f>IF(OR($B468="",NOT(ISNUMBER($C468))),"",IF($D468&lt;&gt;"",ROUND(Points!$B$6*IF($F468&lt;Points!$H$4,Points!$H$5,1),0),ROUND(Points!$B$6*IF($F468&lt;=1,1,Points!$H$7+(1-Points!$H$7)*((($F468-$E468)*(($F468-$E468)+1)/2)^2-((($F468-$E468-COUNTIFS($A$5:$A$1668,$A468,$C$5:$C$1668,$C468)+1)-1)*($F468-$E468-COUNTIFS($A$5:$A$1668,$A468,$C$5:$C$1668,$C468)+1)/2)^2)/(COUNTIFS($A$5:$A$1668,$A468,$C$5:$C$1668,$C468)*($F468-1)^3))*IF($F468&lt;Points!$H$4,Points!$H$5,1),0)))</f>
        <v/>
      </c>
      <c r="H468" s="11">
        <f>IF($G468="","",COUNTIFS($B$5:$B$1668,$B468,$G$5:$G$1668,"&gt;"&amp;$G468)+COUNTIFS($B$4:$B467,$B468,$G$4:$G467,$G468)+1)</f>
        <v/>
      </c>
      <c r="I468" s="11">
        <f>IF($G468="","",IF($H468&lt;=Points!$H$6,$G468,0))</f>
        <v/>
      </c>
      <c r="J468" s="11">
        <f>IF($B468="","",IF(COUNTIF(Players!$A$2:$A$500,$B468)=0,"Player is not on the Players tab",IF(NOT(ISNUMBER($C468)),"Enter a gross score",IF(COUNTIFS($A$5:$A$1668,$A468,$B$5:$B$1668,$B468)&gt;1,"Player is listed twice this week",IF(AND($D468&lt;&gt;"",COUNTIFS($A$5:$A$1668,$A468,$D$5:$D$1668,$D468)&gt;1),"Two players picked as "&amp;$D468,IF(COUNTIFS($A$5:$A$1668,$A468,$D$5:$D$1668,"Gross winner")=0,"Pick this week's gross winner",IF(COUNTIFS($A$5:$A$1668,$A468,$D$5:$D$1668,"Net winner")=0,"Pick this week's net winner","OK")))))))</f>
        <v/>
      </c>
    </row>
    <row r="469" outlineLevel="1">
      <c r="A469" s="13" t="n">
        <v>46491</v>
      </c>
      <c r="E469" s="11">
        <f>IF(OR($B469="",NOT(ISNUMBER($C469))),"",COUNTIFS($A$5:$A$1668,$A469,$C$5:$C$1668,"&lt;"&amp;$C469)+1)</f>
        <v/>
      </c>
      <c r="F469" s="11">
        <f>IF(OR($B469="",NOT(ISNUMBER($C469))),"",COUNTIFS($A$5:$A$1668,$A469,$C$5:$C$1668,"&gt;0"))</f>
        <v/>
      </c>
      <c r="G469" s="11">
        <f>IF(OR($B469="",NOT(ISNUMBER($C469))),"",IF($D469&lt;&gt;"",ROUND(Points!$B$6*IF($F469&lt;Points!$H$4,Points!$H$5,1),0),ROUND(Points!$B$6*IF($F469&lt;=1,1,Points!$H$7+(1-Points!$H$7)*((($F469-$E469)*(($F469-$E469)+1)/2)^2-((($F469-$E469-COUNTIFS($A$5:$A$1668,$A469,$C$5:$C$1668,$C469)+1)-1)*($F469-$E469-COUNTIFS($A$5:$A$1668,$A469,$C$5:$C$1668,$C469)+1)/2)^2)/(COUNTIFS($A$5:$A$1668,$A469,$C$5:$C$1668,$C469)*($F469-1)^3))*IF($F469&lt;Points!$H$4,Points!$H$5,1),0)))</f>
        <v/>
      </c>
      <c r="H469" s="11">
        <f>IF($G469="","",COUNTIFS($B$5:$B$1668,$B469,$G$5:$G$1668,"&gt;"&amp;$G469)+COUNTIFS($B$4:$B468,$B469,$G$4:$G468,$G469)+1)</f>
        <v/>
      </c>
      <c r="I469" s="11">
        <f>IF($G469="","",IF($H469&lt;=Points!$H$6,$G469,0))</f>
        <v/>
      </c>
      <c r="J469" s="11">
        <f>IF($B469="","",IF(COUNTIF(Players!$A$2:$A$500,$B469)=0,"Player is not on the Players tab",IF(NOT(ISNUMBER($C469)),"Enter a gross score",IF(COUNTIFS($A$5:$A$1668,$A469,$B$5:$B$1668,$B469)&gt;1,"Player is listed twice this week",IF(AND($D469&lt;&gt;"",COUNTIFS($A$5:$A$1668,$A469,$D$5:$D$1668,$D469)&gt;1),"Two players picked as "&amp;$D469,IF(COUNTIFS($A$5:$A$1668,$A469,$D$5:$D$1668,"Gross winner")=0,"Pick this week's gross winner",IF(COUNTIFS($A$5:$A$1668,$A469,$D$5:$D$1668,"Net winner")=0,"Pick this week's net winner","OK")))))))</f>
        <v/>
      </c>
    </row>
    <row r="470" outlineLevel="1">
      <c r="A470" s="13" t="n">
        <v>46491</v>
      </c>
      <c r="E470" s="11">
        <f>IF(OR($B470="",NOT(ISNUMBER($C470))),"",COUNTIFS($A$5:$A$1668,$A470,$C$5:$C$1668,"&lt;"&amp;$C470)+1)</f>
        <v/>
      </c>
      <c r="F470" s="11">
        <f>IF(OR($B470="",NOT(ISNUMBER($C470))),"",COUNTIFS($A$5:$A$1668,$A470,$C$5:$C$1668,"&gt;0"))</f>
        <v/>
      </c>
      <c r="G470" s="11">
        <f>IF(OR($B470="",NOT(ISNUMBER($C470))),"",IF($D470&lt;&gt;"",ROUND(Points!$B$6*IF($F470&lt;Points!$H$4,Points!$H$5,1),0),ROUND(Points!$B$6*IF($F470&lt;=1,1,Points!$H$7+(1-Points!$H$7)*((($F470-$E470)*(($F470-$E470)+1)/2)^2-((($F470-$E470-COUNTIFS($A$5:$A$1668,$A470,$C$5:$C$1668,$C470)+1)-1)*($F470-$E470-COUNTIFS($A$5:$A$1668,$A470,$C$5:$C$1668,$C470)+1)/2)^2)/(COUNTIFS($A$5:$A$1668,$A470,$C$5:$C$1668,$C470)*($F470-1)^3))*IF($F470&lt;Points!$H$4,Points!$H$5,1),0)))</f>
        <v/>
      </c>
      <c r="H470" s="11">
        <f>IF($G470="","",COUNTIFS($B$5:$B$1668,$B470,$G$5:$G$1668,"&gt;"&amp;$G470)+COUNTIFS($B$4:$B469,$B470,$G$4:$G469,$G470)+1)</f>
        <v/>
      </c>
      <c r="I470" s="11">
        <f>IF($G470="","",IF($H470&lt;=Points!$H$6,$G470,0))</f>
        <v/>
      </c>
      <c r="J470" s="11">
        <f>IF($B470="","",IF(COUNTIF(Players!$A$2:$A$500,$B470)=0,"Player is not on the Players tab",IF(NOT(ISNUMBER($C470)),"Enter a gross score",IF(COUNTIFS($A$5:$A$1668,$A470,$B$5:$B$1668,$B470)&gt;1,"Player is listed twice this week",IF(AND($D470&lt;&gt;"",COUNTIFS($A$5:$A$1668,$A470,$D$5:$D$1668,$D470)&gt;1),"Two players picked as "&amp;$D470,IF(COUNTIFS($A$5:$A$1668,$A470,$D$5:$D$1668,"Gross winner")=0,"Pick this week's gross winner",IF(COUNTIFS($A$5:$A$1668,$A470,$D$5:$D$1668,"Net winner")=0,"Pick this week's net winner","OK")))))))</f>
        <v/>
      </c>
    </row>
    <row r="471" outlineLevel="1">
      <c r="A471" s="13" t="n">
        <v>46491</v>
      </c>
      <c r="E471" s="11">
        <f>IF(OR($B471="",NOT(ISNUMBER($C471))),"",COUNTIFS($A$5:$A$1668,$A471,$C$5:$C$1668,"&lt;"&amp;$C471)+1)</f>
        <v/>
      </c>
      <c r="F471" s="11">
        <f>IF(OR($B471="",NOT(ISNUMBER($C471))),"",COUNTIFS($A$5:$A$1668,$A471,$C$5:$C$1668,"&gt;0"))</f>
        <v/>
      </c>
      <c r="G471" s="11">
        <f>IF(OR($B471="",NOT(ISNUMBER($C471))),"",IF($D471&lt;&gt;"",ROUND(Points!$B$6*IF($F471&lt;Points!$H$4,Points!$H$5,1),0),ROUND(Points!$B$6*IF($F471&lt;=1,1,Points!$H$7+(1-Points!$H$7)*((($F471-$E471)*(($F471-$E471)+1)/2)^2-((($F471-$E471-COUNTIFS($A$5:$A$1668,$A471,$C$5:$C$1668,$C471)+1)-1)*($F471-$E471-COUNTIFS($A$5:$A$1668,$A471,$C$5:$C$1668,$C471)+1)/2)^2)/(COUNTIFS($A$5:$A$1668,$A471,$C$5:$C$1668,$C471)*($F471-1)^3))*IF($F471&lt;Points!$H$4,Points!$H$5,1),0)))</f>
        <v/>
      </c>
      <c r="H471" s="11">
        <f>IF($G471="","",COUNTIFS($B$5:$B$1668,$B471,$G$5:$G$1668,"&gt;"&amp;$G471)+COUNTIFS($B$4:$B470,$B471,$G$4:$G470,$G471)+1)</f>
        <v/>
      </c>
      <c r="I471" s="11">
        <f>IF($G471="","",IF($H471&lt;=Points!$H$6,$G471,0))</f>
        <v/>
      </c>
      <c r="J471" s="11">
        <f>IF($B471="","",IF(COUNTIF(Players!$A$2:$A$500,$B471)=0,"Player is not on the Players tab",IF(NOT(ISNUMBER($C471)),"Enter a gross score",IF(COUNTIFS($A$5:$A$1668,$A471,$B$5:$B$1668,$B471)&gt;1,"Player is listed twice this week",IF(AND($D471&lt;&gt;"",COUNTIFS($A$5:$A$1668,$A471,$D$5:$D$1668,$D471)&gt;1),"Two players picked as "&amp;$D471,IF(COUNTIFS($A$5:$A$1668,$A471,$D$5:$D$1668,"Gross winner")=0,"Pick this week's gross winner",IF(COUNTIFS($A$5:$A$1668,$A471,$D$5:$D$1668,"Net winner")=0,"Pick this week's net winner","OK")))))))</f>
        <v/>
      </c>
    </row>
    <row r="472" outlineLevel="1">
      <c r="A472" s="13" t="n">
        <v>46491</v>
      </c>
      <c r="E472" s="11">
        <f>IF(OR($B472="",NOT(ISNUMBER($C472))),"",COUNTIFS($A$5:$A$1668,$A472,$C$5:$C$1668,"&lt;"&amp;$C472)+1)</f>
        <v/>
      </c>
      <c r="F472" s="11">
        <f>IF(OR($B472="",NOT(ISNUMBER($C472))),"",COUNTIFS($A$5:$A$1668,$A472,$C$5:$C$1668,"&gt;0"))</f>
        <v/>
      </c>
      <c r="G472" s="11">
        <f>IF(OR($B472="",NOT(ISNUMBER($C472))),"",IF($D472&lt;&gt;"",ROUND(Points!$B$6*IF($F472&lt;Points!$H$4,Points!$H$5,1),0),ROUND(Points!$B$6*IF($F472&lt;=1,1,Points!$H$7+(1-Points!$H$7)*((($F472-$E472)*(($F472-$E472)+1)/2)^2-((($F472-$E472-COUNTIFS($A$5:$A$1668,$A472,$C$5:$C$1668,$C472)+1)-1)*($F472-$E472-COUNTIFS($A$5:$A$1668,$A472,$C$5:$C$1668,$C472)+1)/2)^2)/(COUNTIFS($A$5:$A$1668,$A472,$C$5:$C$1668,$C472)*($F472-1)^3))*IF($F472&lt;Points!$H$4,Points!$H$5,1),0)))</f>
        <v/>
      </c>
      <c r="H472" s="11">
        <f>IF($G472="","",COUNTIFS($B$5:$B$1668,$B472,$G$5:$G$1668,"&gt;"&amp;$G472)+COUNTIFS($B$4:$B471,$B472,$G$4:$G471,$G472)+1)</f>
        <v/>
      </c>
      <c r="I472" s="11">
        <f>IF($G472="","",IF($H472&lt;=Points!$H$6,$G472,0))</f>
        <v/>
      </c>
      <c r="J472" s="11">
        <f>IF($B472="","",IF(COUNTIF(Players!$A$2:$A$500,$B472)=0,"Player is not on the Players tab",IF(NOT(ISNUMBER($C472)),"Enter a gross score",IF(COUNTIFS($A$5:$A$1668,$A472,$B$5:$B$1668,$B472)&gt;1,"Player is listed twice this week",IF(AND($D472&lt;&gt;"",COUNTIFS($A$5:$A$1668,$A472,$D$5:$D$1668,$D472)&gt;1),"Two players picked as "&amp;$D472,IF(COUNTIFS($A$5:$A$1668,$A472,$D$5:$D$1668,"Gross winner")=0,"Pick this week's gross winner",IF(COUNTIFS($A$5:$A$1668,$A472,$D$5:$D$1668,"Net winner")=0,"Pick this week's net winner","OK")))))))</f>
        <v/>
      </c>
    </row>
    <row r="473" outlineLevel="1">
      <c r="A473" s="13" t="n">
        <v>46491</v>
      </c>
      <c r="E473" s="11">
        <f>IF(OR($B473="",NOT(ISNUMBER($C473))),"",COUNTIFS($A$5:$A$1668,$A473,$C$5:$C$1668,"&lt;"&amp;$C473)+1)</f>
        <v/>
      </c>
      <c r="F473" s="11">
        <f>IF(OR($B473="",NOT(ISNUMBER($C473))),"",COUNTIFS($A$5:$A$1668,$A473,$C$5:$C$1668,"&gt;0"))</f>
        <v/>
      </c>
      <c r="G473" s="11">
        <f>IF(OR($B473="",NOT(ISNUMBER($C473))),"",IF($D473&lt;&gt;"",ROUND(Points!$B$6*IF($F473&lt;Points!$H$4,Points!$H$5,1),0),ROUND(Points!$B$6*IF($F473&lt;=1,1,Points!$H$7+(1-Points!$H$7)*((($F473-$E473)*(($F473-$E473)+1)/2)^2-((($F473-$E473-COUNTIFS($A$5:$A$1668,$A473,$C$5:$C$1668,$C473)+1)-1)*($F473-$E473-COUNTIFS($A$5:$A$1668,$A473,$C$5:$C$1668,$C473)+1)/2)^2)/(COUNTIFS($A$5:$A$1668,$A473,$C$5:$C$1668,$C473)*($F473-1)^3))*IF($F473&lt;Points!$H$4,Points!$H$5,1),0)))</f>
        <v/>
      </c>
      <c r="H473" s="11">
        <f>IF($G473="","",COUNTIFS($B$5:$B$1668,$B473,$G$5:$G$1668,"&gt;"&amp;$G473)+COUNTIFS($B$4:$B472,$B473,$G$4:$G472,$G473)+1)</f>
        <v/>
      </c>
      <c r="I473" s="11">
        <f>IF($G473="","",IF($H473&lt;=Points!$H$6,$G473,0))</f>
        <v/>
      </c>
      <c r="J473" s="11">
        <f>IF($B473="","",IF(COUNTIF(Players!$A$2:$A$500,$B473)=0,"Player is not on the Players tab",IF(NOT(ISNUMBER($C473)),"Enter a gross score",IF(COUNTIFS($A$5:$A$1668,$A473,$B$5:$B$1668,$B473)&gt;1,"Player is listed twice this week",IF(AND($D473&lt;&gt;"",COUNTIFS($A$5:$A$1668,$A473,$D$5:$D$1668,$D473)&gt;1),"Two players picked as "&amp;$D473,IF(COUNTIFS($A$5:$A$1668,$A473,$D$5:$D$1668,"Gross winner")=0,"Pick this week's gross winner",IF(COUNTIFS($A$5:$A$1668,$A473,$D$5:$D$1668,"Net winner")=0,"Pick this week's net winner","OK")))))))</f>
        <v/>
      </c>
    </row>
    <row r="474" outlineLevel="1">
      <c r="A474" s="13" t="n">
        <v>46491</v>
      </c>
      <c r="E474" s="11">
        <f>IF(OR($B474="",NOT(ISNUMBER($C474))),"",COUNTIFS($A$5:$A$1668,$A474,$C$5:$C$1668,"&lt;"&amp;$C474)+1)</f>
        <v/>
      </c>
      <c r="F474" s="11">
        <f>IF(OR($B474="",NOT(ISNUMBER($C474))),"",COUNTIFS($A$5:$A$1668,$A474,$C$5:$C$1668,"&gt;0"))</f>
        <v/>
      </c>
      <c r="G474" s="11">
        <f>IF(OR($B474="",NOT(ISNUMBER($C474))),"",IF($D474&lt;&gt;"",ROUND(Points!$B$6*IF($F474&lt;Points!$H$4,Points!$H$5,1),0),ROUND(Points!$B$6*IF($F474&lt;=1,1,Points!$H$7+(1-Points!$H$7)*((($F474-$E474)*(($F474-$E474)+1)/2)^2-((($F474-$E474-COUNTIFS($A$5:$A$1668,$A474,$C$5:$C$1668,$C474)+1)-1)*($F474-$E474-COUNTIFS($A$5:$A$1668,$A474,$C$5:$C$1668,$C474)+1)/2)^2)/(COUNTIFS($A$5:$A$1668,$A474,$C$5:$C$1668,$C474)*($F474-1)^3))*IF($F474&lt;Points!$H$4,Points!$H$5,1),0)))</f>
        <v/>
      </c>
      <c r="H474" s="11">
        <f>IF($G474="","",COUNTIFS($B$5:$B$1668,$B474,$G$5:$G$1668,"&gt;"&amp;$G474)+COUNTIFS($B$4:$B473,$B474,$G$4:$G473,$G474)+1)</f>
        <v/>
      </c>
      <c r="I474" s="11">
        <f>IF($G474="","",IF($H474&lt;=Points!$H$6,$G474,0))</f>
        <v/>
      </c>
      <c r="J474" s="11">
        <f>IF($B474="","",IF(COUNTIF(Players!$A$2:$A$500,$B474)=0,"Player is not on the Players tab",IF(NOT(ISNUMBER($C474)),"Enter a gross score",IF(COUNTIFS($A$5:$A$1668,$A474,$B$5:$B$1668,$B474)&gt;1,"Player is listed twice this week",IF(AND($D474&lt;&gt;"",COUNTIFS($A$5:$A$1668,$A474,$D$5:$D$1668,$D474)&gt;1),"Two players picked as "&amp;$D474,IF(COUNTIFS($A$5:$A$1668,$A474,$D$5:$D$1668,"Gross winner")=0,"Pick this week's gross winner",IF(COUNTIFS($A$5:$A$1668,$A474,$D$5:$D$1668,"Net winner")=0,"Pick this week's net winner","OK")))))))</f>
        <v/>
      </c>
    </row>
    <row r="475" outlineLevel="1">
      <c r="A475" s="13" t="n">
        <v>46491</v>
      </c>
      <c r="E475" s="11">
        <f>IF(OR($B475="",NOT(ISNUMBER($C475))),"",COUNTIFS($A$5:$A$1668,$A475,$C$5:$C$1668,"&lt;"&amp;$C475)+1)</f>
        <v/>
      </c>
      <c r="F475" s="11">
        <f>IF(OR($B475="",NOT(ISNUMBER($C475))),"",COUNTIFS($A$5:$A$1668,$A475,$C$5:$C$1668,"&gt;0"))</f>
        <v/>
      </c>
      <c r="G475" s="11">
        <f>IF(OR($B475="",NOT(ISNUMBER($C475))),"",IF($D475&lt;&gt;"",ROUND(Points!$B$6*IF($F475&lt;Points!$H$4,Points!$H$5,1),0),ROUND(Points!$B$6*IF($F475&lt;=1,1,Points!$H$7+(1-Points!$H$7)*((($F475-$E475)*(($F475-$E475)+1)/2)^2-((($F475-$E475-COUNTIFS($A$5:$A$1668,$A475,$C$5:$C$1668,$C475)+1)-1)*($F475-$E475-COUNTIFS($A$5:$A$1668,$A475,$C$5:$C$1668,$C475)+1)/2)^2)/(COUNTIFS($A$5:$A$1668,$A475,$C$5:$C$1668,$C475)*($F475-1)^3))*IF($F475&lt;Points!$H$4,Points!$H$5,1),0)))</f>
        <v/>
      </c>
      <c r="H475" s="11">
        <f>IF($G475="","",COUNTIFS($B$5:$B$1668,$B475,$G$5:$G$1668,"&gt;"&amp;$G475)+COUNTIFS($B$4:$B474,$B475,$G$4:$G474,$G475)+1)</f>
        <v/>
      </c>
      <c r="I475" s="11">
        <f>IF($G475="","",IF($H475&lt;=Points!$H$6,$G475,0))</f>
        <v/>
      </c>
      <c r="J475" s="11">
        <f>IF($B475="","",IF(COUNTIF(Players!$A$2:$A$500,$B475)=0,"Player is not on the Players tab",IF(NOT(ISNUMBER($C475)),"Enter a gross score",IF(COUNTIFS($A$5:$A$1668,$A475,$B$5:$B$1668,$B475)&gt;1,"Player is listed twice this week",IF(AND($D475&lt;&gt;"",COUNTIFS($A$5:$A$1668,$A475,$D$5:$D$1668,$D475)&gt;1),"Two players picked as "&amp;$D475,IF(COUNTIFS($A$5:$A$1668,$A475,$D$5:$D$1668,"Gross winner")=0,"Pick this week's gross winner",IF(COUNTIFS($A$5:$A$1668,$A475,$D$5:$D$1668,"Net winner")=0,"Pick this week's net winner","OK")))))))</f>
        <v/>
      </c>
    </row>
    <row r="476" outlineLevel="1">
      <c r="A476" s="13" t="n">
        <v>46491</v>
      </c>
      <c r="E476" s="11">
        <f>IF(OR($B476="",NOT(ISNUMBER($C476))),"",COUNTIFS($A$5:$A$1668,$A476,$C$5:$C$1668,"&lt;"&amp;$C476)+1)</f>
        <v/>
      </c>
      <c r="F476" s="11">
        <f>IF(OR($B476="",NOT(ISNUMBER($C476))),"",COUNTIFS($A$5:$A$1668,$A476,$C$5:$C$1668,"&gt;0"))</f>
        <v/>
      </c>
      <c r="G476" s="11">
        <f>IF(OR($B476="",NOT(ISNUMBER($C476))),"",IF($D476&lt;&gt;"",ROUND(Points!$B$6*IF($F476&lt;Points!$H$4,Points!$H$5,1),0),ROUND(Points!$B$6*IF($F476&lt;=1,1,Points!$H$7+(1-Points!$H$7)*((($F476-$E476)*(($F476-$E476)+1)/2)^2-((($F476-$E476-COUNTIFS($A$5:$A$1668,$A476,$C$5:$C$1668,$C476)+1)-1)*($F476-$E476-COUNTIFS($A$5:$A$1668,$A476,$C$5:$C$1668,$C476)+1)/2)^2)/(COUNTIFS($A$5:$A$1668,$A476,$C$5:$C$1668,$C476)*($F476-1)^3))*IF($F476&lt;Points!$H$4,Points!$H$5,1),0)))</f>
        <v/>
      </c>
      <c r="H476" s="11">
        <f>IF($G476="","",COUNTIFS($B$5:$B$1668,$B476,$G$5:$G$1668,"&gt;"&amp;$G476)+COUNTIFS($B$4:$B475,$B476,$G$4:$G475,$G476)+1)</f>
        <v/>
      </c>
      <c r="I476" s="11">
        <f>IF($G476="","",IF($H476&lt;=Points!$H$6,$G476,0))</f>
        <v/>
      </c>
      <c r="J476" s="11">
        <f>IF($B476="","",IF(COUNTIF(Players!$A$2:$A$500,$B476)=0,"Player is not on the Players tab",IF(NOT(ISNUMBER($C476)),"Enter a gross score",IF(COUNTIFS($A$5:$A$1668,$A476,$B$5:$B$1668,$B476)&gt;1,"Player is listed twice this week",IF(AND($D476&lt;&gt;"",COUNTIFS($A$5:$A$1668,$A476,$D$5:$D$1668,$D476)&gt;1),"Two players picked as "&amp;$D476,IF(COUNTIFS($A$5:$A$1668,$A476,$D$5:$D$1668,"Gross winner")=0,"Pick this week's gross winner",IF(COUNTIFS($A$5:$A$1668,$A476,$D$5:$D$1668,"Net winner")=0,"Pick this week's net winner","OK")))))))</f>
        <v/>
      </c>
    </row>
    <row r="477" outlineLevel="1">
      <c r="A477" s="13" t="n">
        <v>46491</v>
      </c>
      <c r="E477" s="11">
        <f>IF(OR($B477="",NOT(ISNUMBER($C477))),"",COUNTIFS($A$5:$A$1668,$A477,$C$5:$C$1668,"&lt;"&amp;$C477)+1)</f>
        <v/>
      </c>
      <c r="F477" s="11">
        <f>IF(OR($B477="",NOT(ISNUMBER($C477))),"",COUNTIFS($A$5:$A$1668,$A477,$C$5:$C$1668,"&gt;0"))</f>
        <v/>
      </c>
      <c r="G477" s="11">
        <f>IF(OR($B477="",NOT(ISNUMBER($C477))),"",IF($D477&lt;&gt;"",ROUND(Points!$B$6*IF($F477&lt;Points!$H$4,Points!$H$5,1),0),ROUND(Points!$B$6*IF($F477&lt;=1,1,Points!$H$7+(1-Points!$H$7)*((($F477-$E477)*(($F477-$E477)+1)/2)^2-((($F477-$E477-COUNTIFS($A$5:$A$1668,$A477,$C$5:$C$1668,$C477)+1)-1)*($F477-$E477-COUNTIFS($A$5:$A$1668,$A477,$C$5:$C$1668,$C477)+1)/2)^2)/(COUNTIFS($A$5:$A$1668,$A477,$C$5:$C$1668,$C477)*($F477-1)^3))*IF($F477&lt;Points!$H$4,Points!$H$5,1),0)))</f>
        <v/>
      </c>
      <c r="H477" s="11">
        <f>IF($G477="","",COUNTIFS($B$5:$B$1668,$B477,$G$5:$G$1668,"&gt;"&amp;$G477)+COUNTIFS($B$4:$B476,$B477,$G$4:$G476,$G477)+1)</f>
        <v/>
      </c>
      <c r="I477" s="11">
        <f>IF($G477="","",IF($H477&lt;=Points!$H$6,$G477,0))</f>
        <v/>
      </c>
      <c r="J477" s="11">
        <f>IF($B477="","",IF(COUNTIF(Players!$A$2:$A$500,$B477)=0,"Player is not on the Players tab",IF(NOT(ISNUMBER($C477)),"Enter a gross score",IF(COUNTIFS($A$5:$A$1668,$A477,$B$5:$B$1668,$B477)&gt;1,"Player is listed twice this week",IF(AND($D477&lt;&gt;"",COUNTIFS($A$5:$A$1668,$A477,$D$5:$D$1668,$D477)&gt;1),"Two players picked as "&amp;$D477,IF(COUNTIFS($A$5:$A$1668,$A477,$D$5:$D$1668,"Gross winner")=0,"Pick this week's gross winner",IF(COUNTIFS($A$5:$A$1668,$A477,$D$5:$D$1668,"Net winner")=0,"Pick this week's net winner","OK")))))))</f>
        <v/>
      </c>
    </row>
    <row r="478" outlineLevel="1">
      <c r="A478" s="13" t="n">
        <v>46491</v>
      </c>
      <c r="E478" s="11">
        <f>IF(OR($B478="",NOT(ISNUMBER($C478))),"",COUNTIFS($A$5:$A$1668,$A478,$C$5:$C$1668,"&lt;"&amp;$C478)+1)</f>
        <v/>
      </c>
      <c r="F478" s="11">
        <f>IF(OR($B478="",NOT(ISNUMBER($C478))),"",COUNTIFS($A$5:$A$1668,$A478,$C$5:$C$1668,"&gt;0"))</f>
        <v/>
      </c>
      <c r="G478" s="11">
        <f>IF(OR($B478="",NOT(ISNUMBER($C478))),"",IF($D478&lt;&gt;"",ROUND(Points!$B$6*IF($F478&lt;Points!$H$4,Points!$H$5,1),0),ROUND(Points!$B$6*IF($F478&lt;=1,1,Points!$H$7+(1-Points!$H$7)*((($F478-$E478)*(($F478-$E478)+1)/2)^2-((($F478-$E478-COUNTIFS($A$5:$A$1668,$A478,$C$5:$C$1668,$C478)+1)-1)*($F478-$E478-COUNTIFS($A$5:$A$1668,$A478,$C$5:$C$1668,$C478)+1)/2)^2)/(COUNTIFS($A$5:$A$1668,$A478,$C$5:$C$1668,$C478)*($F478-1)^3))*IF($F478&lt;Points!$H$4,Points!$H$5,1),0)))</f>
        <v/>
      </c>
      <c r="H478" s="11">
        <f>IF($G478="","",COUNTIFS($B$5:$B$1668,$B478,$G$5:$G$1668,"&gt;"&amp;$G478)+COUNTIFS($B$4:$B477,$B478,$G$4:$G477,$G478)+1)</f>
        <v/>
      </c>
      <c r="I478" s="11">
        <f>IF($G478="","",IF($H478&lt;=Points!$H$6,$G478,0))</f>
        <v/>
      </c>
      <c r="J478" s="11">
        <f>IF($B478="","",IF(COUNTIF(Players!$A$2:$A$500,$B478)=0,"Player is not on the Players tab",IF(NOT(ISNUMBER($C478)),"Enter a gross score",IF(COUNTIFS($A$5:$A$1668,$A478,$B$5:$B$1668,$B478)&gt;1,"Player is listed twice this week",IF(AND($D478&lt;&gt;"",COUNTIFS($A$5:$A$1668,$A478,$D$5:$D$1668,$D478)&gt;1),"Two players picked as "&amp;$D478,IF(COUNTIFS($A$5:$A$1668,$A478,$D$5:$D$1668,"Gross winner")=0,"Pick this week's gross winner",IF(COUNTIFS($A$5:$A$1668,$A478,$D$5:$D$1668,"Net winner")=0,"Pick this week's net winner","OK")))))))</f>
        <v/>
      </c>
    </row>
    <row r="479" outlineLevel="1">
      <c r="A479" s="13" t="n">
        <v>46491</v>
      </c>
      <c r="E479" s="11">
        <f>IF(OR($B479="",NOT(ISNUMBER($C479))),"",COUNTIFS($A$5:$A$1668,$A479,$C$5:$C$1668,"&lt;"&amp;$C479)+1)</f>
        <v/>
      </c>
      <c r="F479" s="11">
        <f>IF(OR($B479="",NOT(ISNUMBER($C479))),"",COUNTIFS($A$5:$A$1668,$A479,$C$5:$C$1668,"&gt;0"))</f>
        <v/>
      </c>
      <c r="G479" s="11">
        <f>IF(OR($B479="",NOT(ISNUMBER($C479))),"",IF($D479&lt;&gt;"",ROUND(Points!$B$6*IF($F479&lt;Points!$H$4,Points!$H$5,1),0),ROUND(Points!$B$6*IF($F479&lt;=1,1,Points!$H$7+(1-Points!$H$7)*((($F479-$E479)*(($F479-$E479)+1)/2)^2-((($F479-$E479-COUNTIFS($A$5:$A$1668,$A479,$C$5:$C$1668,$C479)+1)-1)*($F479-$E479-COUNTIFS($A$5:$A$1668,$A479,$C$5:$C$1668,$C479)+1)/2)^2)/(COUNTIFS($A$5:$A$1668,$A479,$C$5:$C$1668,$C479)*($F479-1)^3))*IF($F479&lt;Points!$H$4,Points!$H$5,1),0)))</f>
        <v/>
      </c>
      <c r="H479" s="11">
        <f>IF($G479="","",COUNTIFS($B$5:$B$1668,$B479,$G$5:$G$1668,"&gt;"&amp;$G479)+COUNTIFS($B$4:$B478,$B479,$G$4:$G478,$G479)+1)</f>
        <v/>
      </c>
      <c r="I479" s="11">
        <f>IF($G479="","",IF($H479&lt;=Points!$H$6,$G479,0))</f>
        <v/>
      </c>
      <c r="J479" s="11">
        <f>IF($B479="","",IF(COUNTIF(Players!$A$2:$A$500,$B479)=0,"Player is not on the Players tab",IF(NOT(ISNUMBER($C479)),"Enter a gross score",IF(COUNTIFS($A$5:$A$1668,$A479,$B$5:$B$1668,$B479)&gt;1,"Player is listed twice this week",IF(AND($D479&lt;&gt;"",COUNTIFS($A$5:$A$1668,$A479,$D$5:$D$1668,$D479)&gt;1),"Two players picked as "&amp;$D479,IF(COUNTIFS($A$5:$A$1668,$A479,$D$5:$D$1668,"Gross winner")=0,"Pick this week's gross winner",IF(COUNTIFS($A$5:$A$1668,$A479,$D$5:$D$1668,"Net winner")=0,"Pick this week's net winner","OK")))))))</f>
        <v/>
      </c>
    </row>
    <row r="480" outlineLevel="1">
      <c r="A480" s="13" t="n">
        <v>46491</v>
      </c>
      <c r="E480" s="11">
        <f>IF(OR($B480="",NOT(ISNUMBER($C480))),"",COUNTIFS($A$5:$A$1668,$A480,$C$5:$C$1668,"&lt;"&amp;$C480)+1)</f>
        <v/>
      </c>
      <c r="F480" s="11">
        <f>IF(OR($B480="",NOT(ISNUMBER($C480))),"",COUNTIFS($A$5:$A$1668,$A480,$C$5:$C$1668,"&gt;0"))</f>
        <v/>
      </c>
      <c r="G480" s="11">
        <f>IF(OR($B480="",NOT(ISNUMBER($C480))),"",IF($D480&lt;&gt;"",ROUND(Points!$B$6*IF($F480&lt;Points!$H$4,Points!$H$5,1),0),ROUND(Points!$B$6*IF($F480&lt;=1,1,Points!$H$7+(1-Points!$H$7)*((($F480-$E480)*(($F480-$E480)+1)/2)^2-((($F480-$E480-COUNTIFS($A$5:$A$1668,$A480,$C$5:$C$1668,$C480)+1)-1)*($F480-$E480-COUNTIFS($A$5:$A$1668,$A480,$C$5:$C$1668,$C480)+1)/2)^2)/(COUNTIFS($A$5:$A$1668,$A480,$C$5:$C$1668,$C480)*($F480-1)^3))*IF($F480&lt;Points!$H$4,Points!$H$5,1),0)))</f>
        <v/>
      </c>
      <c r="H480" s="11">
        <f>IF($G480="","",COUNTIFS($B$5:$B$1668,$B480,$G$5:$G$1668,"&gt;"&amp;$G480)+COUNTIFS($B$4:$B479,$B480,$G$4:$G479,$G480)+1)</f>
        <v/>
      </c>
      <c r="I480" s="11">
        <f>IF($G480="","",IF($H480&lt;=Points!$H$6,$G480,0))</f>
        <v/>
      </c>
      <c r="J480" s="11">
        <f>IF($B480="","",IF(COUNTIF(Players!$A$2:$A$500,$B480)=0,"Player is not on the Players tab",IF(NOT(ISNUMBER($C480)),"Enter a gross score",IF(COUNTIFS($A$5:$A$1668,$A480,$B$5:$B$1668,$B480)&gt;1,"Player is listed twice this week",IF(AND($D480&lt;&gt;"",COUNTIFS($A$5:$A$1668,$A480,$D$5:$D$1668,$D480)&gt;1),"Two players picked as "&amp;$D480,IF(COUNTIFS($A$5:$A$1668,$A480,$D$5:$D$1668,"Gross winner")=0,"Pick this week's gross winner",IF(COUNTIFS($A$5:$A$1668,$A480,$D$5:$D$1668,"Net winner")=0,"Pick this week's net winner","OK")))))))</f>
        <v/>
      </c>
    </row>
    <row r="481" outlineLevel="1">
      <c r="A481" s="13" t="n">
        <v>46491</v>
      </c>
      <c r="E481" s="11">
        <f>IF(OR($B481="",NOT(ISNUMBER($C481))),"",COUNTIFS($A$5:$A$1668,$A481,$C$5:$C$1668,"&lt;"&amp;$C481)+1)</f>
        <v/>
      </c>
      <c r="F481" s="11">
        <f>IF(OR($B481="",NOT(ISNUMBER($C481))),"",COUNTIFS($A$5:$A$1668,$A481,$C$5:$C$1668,"&gt;0"))</f>
        <v/>
      </c>
      <c r="G481" s="11">
        <f>IF(OR($B481="",NOT(ISNUMBER($C481))),"",IF($D481&lt;&gt;"",ROUND(Points!$B$6*IF($F481&lt;Points!$H$4,Points!$H$5,1),0),ROUND(Points!$B$6*IF($F481&lt;=1,1,Points!$H$7+(1-Points!$H$7)*((($F481-$E481)*(($F481-$E481)+1)/2)^2-((($F481-$E481-COUNTIFS($A$5:$A$1668,$A481,$C$5:$C$1668,$C481)+1)-1)*($F481-$E481-COUNTIFS($A$5:$A$1668,$A481,$C$5:$C$1668,$C481)+1)/2)^2)/(COUNTIFS($A$5:$A$1668,$A481,$C$5:$C$1668,$C481)*($F481-1)^3))*IF($F481&lt;Points!$H$4,Points!$H$5,1),0)))</f>
        <v/>
      </c>
      <c r="H481" s="11">
        <f>IF($G481="","",COUNTIFS($B$5:$B$1668,$B481,$G$5:$G$1668,"&gt;"&amp;$G481)+COUNTIFS($B$4:$B480,$B481,$G$4:$G480,$G481)+1)</f>
        <v/>
      </c>
      <c r="I481" s="11">
        <f>IF($G481="","",IF($H481&lt;=Points!$H$6,$G481,0))</f>
        <v/>
      </c>
      <c r="J481" s="11">
        <f>IF($B481="","",IF(COUNTIF(Players!$A$2:$A$500,$B481)=0,"Player is not on the Players tab",IF(NOT(ISNUMBER($C481)),"Enter a gross score",IF(COUNTIFS($A$5:$A$1668,$A481,$B$5:$B$1668,$B481)&gt;1,"Player is listed twice this week",IF(AND($D481&lt;&gt;"",COUNTIFS($A$5:$A$1668,$A481,$D$5:$D$1668,$D481)&gt;1),"Two players picked as "&amp;$D481,IF(COUNTIFS($A$5:$A$1668,$A481,$D$5:$D$1668,"Gross winner")=0,"Pick this week's gross winner",IF(COUNTIFS($A$5:$A$1668,$A481,$D$5:$D$1668,"Net winner")=0,"Pick this week's net winner","OK")))))))</f>
        <v/>
      </c>
    </row>
    <row r="482" outlineLevel="1">
      <c r="A482" s="13" t="n">
        <v>46491</v>
      </c>
      <c r="E482" s="11">
        <f>IF(OR($B482="",NOT(ISNUMBER($C482))),"",COUNTIFS($A$5:$A$1668,$A482,$C$5:$C$1668,"&lt;"&amp;$C482)+1)</f>
        <v/>
      </c>
      <c r="F482" s="11">
        <f>IF(OR($B482="",NOT(ISNUMBER($C482))),"",COUNTIFS($A$5:$A$1668,$A482,$C$5:$C$1668,"&gt;0"))</f>
        <v/>
      </c>
      <c r="G482" s="11">
        <f>IF(OR($B482="",NOT(ISNUMBER($C482))),"",IF($D482&lt;&gt;"",ROUND(Points!$B$6*IF($F482&lt;Points!$H$4,Points!$H$5,1),0),ROUND(Points!$B$6*IF($F482&lt;=1,1,Points!$H$7+(1-Points!$H$7)*((($F482-$E482)*(($F482-$E482)+1)/2)^2-((($F482-$E482-COUNTIFS($A$5:$A$1668,$A482,$C$5:$C$1668,$C482)+1)-1)*($F482-$E482-COUNTIFS($A$5:$A$1668,$A482,$C$5:$C$1668,$C482)+1)/2)^2)/(COUNTIFS($A$5:$A$1668,$A482,$C$5:$C$1668,$C482)*($F482-1)^3))*IF($F482&lt;Points!$H$4,Points!$H$5,1),0)))</f>
        <v/>
      </c>
      <c r="H482" s="11">
        <f>IF($G482="","",COUNTIFS($B$5:$B$1668,$B482,$G$5:$G$1668,"&gt;"&amp;$G482)+COUNTIFS($B$4:$B481,$B482,$G$4:$G481,$G482)+1)</f>
        <v/>
      </c>
      <c r="I482" s="11">
        <f>IF($G482="","",IF($H482&lt;=Points!$H$6,$G482,0))</f>
        <v/>
      </c>
      <c r="J482" s="11">
        <f>IF($B482="","",IF(COUNTIF(Players!$A$2:$A$500,$B482)=0,"Player is not on the Players tab",IF(NOT(ISNUMBER($C482)),"Enter a gross score",IF(COUNTIFS($A$5:$A$1668,$A482,$B$5:$B$1668,$B482)&gt;1,"Player is listed twice this week",IF(AND($D482&lt;&gt;"",COUNTIFS($A$5:$A$1668,$A482,$D$5:$D$1668,$D482)&gt;1),"Two players picked as "&amp;$D482,IF(COUNTIFS($A$5:$A$1668,$A482,$D$5:$D$1668,"Gross winner")=0,"Pick this week's gross winner",IF(COUNTIFS($A$5:$A$1668,$A482,$D$5:$D$1668,"Net winner")=0,"Pick this week's net winner","OK")))))))</f>
        <v/>
      </c>
    </row>
    <row r="483" outlineLevel="1">
      <c r="A483" s="13" t="n">
        <v>46491</v>
      </c>
      <c r="E483" s="11">
        <f>IF(OR($B483="",NOT(ISNUMBER($C483))),"",COUNTIFS($A$5:$A$1668,$A483,$C$5:$C$1668,"&lt;"&amp;$C483)+1)</f>
        <v/>
      </c>
      <c r="F483" s="11">
        <f>IF(OR($B483="",NOT(ISNUMBER($C483))),"",COUNTIFS($A$5:$A$1668,$A483,$C$5:$C$1668,"&gt;0"))</f>
        <v/>
      </c>
      <c r="G483" s="11">
        <f>IF(OR($B483="",NOT(ISNUMBER($C483))),"",IF($D483&lt;&gt;"",ROUND(Points!$B$6*IF($F483&lt;Points!$H$4,Points!$H$5,1),0),ROUND(Points!$B$6*IF($F483&lt;=1,1,Points!$H$7+(1-Points!$H$7)*((($F483-$E483)*(($F483-$E483)+1)/2)^2-((($F483-$E483-COUNTIFS($A$5:$A$1668,$A483,$C$5:$C$1668,$C483)+1)-1)*($F483-$E483-COUNTIFS($A$5:$A$1668,$A483,$C$5:$C$1668,$C483)+1)/2)^2)/(COUNTIFS($A$5:$A$1668,$A483,$C$5:$C$1668,$C483)*($F483-1)^3))*IF($F483&lt;Points!$H$4,Points!$H$5,1),0)))</f>
        <v/>
      </c>
      <c r="H483" s="11">
        <f>IF($G483="","",COUNTIFS($B$5:$B$1668,$B483,$G$5:$G$1668,"&gt;"&amp;$G483)+COUNTIFS($B$4:$B482,$B483,$G$4:$G482,$G483)+1)</f>
        <v/>
      </c>
      <c r="I483" s="11">
        <f>IF($G483="","",IF($H483&lt;=Points!$H$6,$G483,0))</f>
        <v/>
      </c>
      <c r="J483" s="11">
        <f>IF($B483="","",IF(COUNTIF(Players!$A$2:$A$500,$B483)=0,"Player is not on the Players tab",IF(NOT(ISNUMBER($C483)),"Enter a gross score",IF(COUNTIFS($A$5:$A$1668,$A483,$B$5:$B$1668,$B483)&gt;1,"Player is listed twice this week",IF(AND($D483&lt;&gt;"",COUNTIFS($A$5:$A$1668,$A483,$D$5:$D$1668,$D483)&gt;1),"Two players picked as "&amp;$D483,IF(COUNTIFS($A$5:$A$1668,$A483,$D$5:$D$1668,"Gross winner")=0,"Pick this week's gross winner",IF(COUNTIFS($A$5:$A$1668,$A483,$D$5:$D$1668,"Net winner")=0,"Pick this week's net winner","OK")))))))</f>
        <v/>
      </c>
    </row>
    <row r="484" ht="10" customHeight="1"/>
    <row r="485" ht="22" customHeight="1">
      <c r="A485" s="12" t="inlineStr">
        <is>
          <t>Week 16  ·  Wednesday, Apr 21</t>
        </is>
      </c>
    </row>
    <row r="486" outlineLevel="1">
      <c r="A486" s="13" t="n">
        <v>46498</v>
      </c>
      <c r="E486" s="11">
        <f>IF(OR($B486="",NOT(ISNUMBER($C486))),"",COUNTIFS($A$5:$A$1668,$A486,$C$5:$C$1668,"&lt;"&amp;$C486)+1)</f>
        <v/>
      </c>
      <c r="F486" s="11">
        <f>IF(OR($B486="",NOT(ISNUMBER($C486))),"",COUNTIFS($A$5:$A$1668,$A486,$C$5:$C$1668,"&gt;0"))</f>
        <v/>
      </c>
      <c r="G486" s="11">
        <f>IF(OR($B486="",NOT(ISNUMBER($C486))),"",IF($D486&lt;&gt;"",ROUND(Points!$B$6*IF($F486&lt;Points!$H$4,Points!$H$5,1),0),ROUND(Points!$B$6*IF($F486&lt;=1,1,Points!$H$7+(1-Points!$H$7)*((($F486-$E486)*(($F486-$E486)+1)/2)^2-((($F486-$E486-COUNTIFS($A$5:$A$1668,$A486,$C$5:$C$1668,$C486)+1)-1)*($F486-$E486-COUNTIFS($A$5:$A$1668,$A486,$C$5:$C$1668,$C486)+1)/2)^2)/(COUNTIFS($A$5:$A$1668,$A486,$C$5:$C$1668,$C486)*($F486-1)^3))*IF($F486&lt;Points!$H$4,Points!$H$5,1),0)))</f>
        <v/>
      </c>
      <c r="H486" s="11">
        <f>IF($G486="","",COUNTIFS($B$5:$B$1668,$B486,$G$5:$G$1668,"&gt;"&amp;$G486)+COUNTIFS($B$4:$B485,$B486,$G$4:$G485,$G486)+1)</f>
        <v/>
      </c>
      <c r="I486" s="11">
        <f>IF($G486="","",IF($H486&lt;=Points!$H$6,$G486,0))</f>
        <v/>
      </c>
      <c r="J486" s="11">
        <f>IF($B486="","",IF(COUNTIF(Players!$A$2:$A$500,$B486)=0,"Player is not on the Players tab",IF(NOT(ISNUMBER($C486)),"Enter a gross score",IF(COUNTIFS($A$5:$A$1668,$A486,$B$5:$B$1668,$B486)&gt;1,"Player is listed twice this week",IF(AND($D486&lt;&gt;"",COUNTIFS($A$5:$A$1668,$A486,$D$5:$D$1668,$D486)&gt;1),"Two players picked as "&amp;$D486,IF(COUNTIFS($A$5:$A$1668,$A486,$D$5:$D$1668,"Gross winner")=0,"Pick this week's gross winner",IF(COUNTIFS($A$5:$A$1668,$A486,$D$5:$D$1668,"Net winner")=0,"Pick this week's net winner","OK")))))))</f>
        <v/>
      </c>
    </row>
    <row r="487" outlineLevel="1">
      <c r="A487" s="13" t="n">
        <v>46498</v>
      </c>
      <c r="E487" s="11">
        <f>IF(OR($B487="",NOT(ISNUMBER($C487))),"",COUNTIFS($A$5:$A$1668,$A487,$C$5:$C$1668,"&lt;"&amp;$C487)+1)</f>
        <v/>
      </c>
      <c r="F487" s="11">
        <f>IF(OR($B487="",NOT(ISNUMBER($C487))),"",COUNTIFS($A$5:$A$1668,$A487,$C$5:$C$1668,"&gt;0"))</f>
        <v/>
      </c>
      <c r="G487" s="11">
        <f>IF(OR($B487="",NOT(ISNUMBER($C487))),"",IF($D487&lt;&gt;"",ROUND(Points!$B$6*IF($F487&lt;Points!$H$4,Points!$H$5,1),0),ROUND(Points!$B$6*IF($F487&lt;=1,1,Points!$H$7+(1-Points!$H$7)*((($F487-$E487)*(($F487-$E487)+1)/2)^2-((($F487-$E487-COUNTIFS($A$5:$A$1668,$A487,$C$5:$C$1668,$C487)+1)-1)*($F487-$E487-COUNTIFS($A$5:$A$1668,$A487,$C$5:$C$1668,$C487)+1)/2)^2)/(COUNTIFS($A$5:$A$1668,$A487,$C$5:$C$1668,$C487)*($F487-1)^3))*IF($F487&lt;Points!$H$4,Points!$H$5,1),0)))</f>
        <v/>
      </c>
      <c r="H487" s="11">
        <f>IF($G487="","",COUNTIFS($B$5:$B$1668,$B487,$G$5:$G$1668,"&gt;"&amp;$G487)+COUNTIFS($B$4:$B486,$B487,$G$4:$G486,$G487)+1)</f>
        <v/>
      </c>
      <c r="I487" s="11">
        <f>IF($G487="","",IF($H487&lt;=Points!$H$6,$G487,0))</f>
        <v/>
      </c>
      <c r="J487" s="11">
        <f>IF($B487="","",IF(COUNTIF(Players!$A$2:$A$500,$B487)=0,"Player is not on the Players tab",IF(NOT(ISNUMBER($C487)),"Enter a gross score",IF(COUNTIFS($A$5:$A$1668,$A487,$B$5:$B$1668,$B487)&gt;1,"Player is listed twice this week",IF(AND($D487&lt;&gt;"",COUNTIFS($A$5:$A$1668,$A487,$D$5:$D$1668,$D487)&gt;1),"Two players picked as "&amp;$D487,IF(COUNTIFS($A$5:$A$1668,$A487,$D$5:$D$1668,"Gross winner")=0,"Pick this week's gross winner",IF(COUNTIFS($A$5:$A$1668,$A487,$D$5:$D$1668,"Net winner")=0,"Pick this week's net winner","OK")))))))</f>
        <v/>
      </c>
    </row>
    <row r="488" outlineLevel="1">
      <c r="A488" s="13" t="n">
        <v>46498</v>
      </c>
      <c r="E488" s="11">
        <f>IF(OR($B488="",NOT(ISNUMBER($C488))),"",COUNTIFS($A$5:$A$1668,$A488,$C$5:$C$1668,"&lt;"&amp;$C488)+1)</f>
        <v/>
      </c>
      <c r="F488" s="11">
        <f>IF(OR($B488="",NOT(ISNUMBER($C488))),"",COUNTIFS($A$5:$A$1668,$A488,$C$5:$C$1668,"&gt;0"))</f>
        <v/>
      </c>
      <c r="G488" s="11">
        <f>IF(OR($B488="",NOT(ISNUMBER($C488))),"",IF($D488&lt;&gt;"",ROUND(Points!$B$6*IF($F488&lt;Points!$H$4,Points!$H$5,1),0),ROUND(Points!$B$6*IF($F488&lt;=1,1,Points!$H$7+(1-Points!$H$7)*((($F488-$E488)*(($F488-$E488)+1)/2)^2-((($F488-$E488-COUNTIFS($A$5:$A$1668,$A488,$C$5:$C$1668,$C488)+1)-1)*($F488-$E488-COUNTIFS($A$5:$A$1668,$A488,$C$5:$C$1668,$C488)+1)/2)^2)/(COUNTIFS($A$5:$A$1668,$A488,$C$5:$C$1668,$C488)*($F488-1)^3))*IF($F488&lt;Points!$H$4,Points!$H$5,1),0)))</f>
        <v/>
      </c>
      <c r="H488" s="11">
        <f>IF($G488="","",COUNTIFS($B$5:$B$1668,$B488,$G$5:$G$1668,"&gt;"&amp;$G488)+COUNTIFS($B$4:$B487,$B488,$G$4:$G487,$G488)+1)</f>
        <v/>
      </c>
      <c r="I488" s="11">
        <f>IF($G488="","",IF($H488&lt;=Points!$H$6,$G488,0))</f>
        <v/>
      </c>
      <c r="J488" s="11">
        <f>IF($B488="","",IF(COUNTIF(Players!$A$2:$A$500,$B488)=0,"Player is not on the Players tab",IF(NOT(ISNUMBER($C488)),"Enter a gross score",IF(COUNTIFS($A$5:$A$1668,$A488,$B$5:$B$1668,$B488)&gt;1,"Player is listed twice this week",IF(AND($D488&lt;&gt;"",COUNTIFS($A$5:$A$1668,$A488,$D$5:$D$1668,$D488)&gt;1),"Two players picked as "&amp;$D488,IF(COUNTIFS($A$5:$A$1668,$A488,$D$5:$D$1668,"Gross winner")=0,"Pick this week's gross winner",IF(COUNTIFS($A$5:$A$1668,$A488,$D$5:$D$1668,"Net winner")=0,"Pick this week's net winner","OK")))))))</f>
        <v/>
      </c>
    </row>
    <row r="489" outlineLevel="1">
      <c r="A489" s="13" t="n">
        <v>46498</v>
      </c>
      <c r="E489" s="11">
        <f>IF(OR($B489="",NOT(ISNUMBER($C489))),"",COUNTIFS($A$5:$A$1668,$A489,$C$5:$C$1668,"&lt;"&amp;$C489)+1)</f>
        <v/>
      </c>
      <c r="F489" s="11">
        <f>IF(OR($B489="",NOT(ISNUMBER($C489))),"",COUNTIFS($A$5:$A$1668,$A489,$C$5:$C$1668,"&gt;0"))</f>
        <v/>
      </c>
      <c r="G489" s="11">
        <f>IF(OR($B489="",NOT(ISNUMBER($C489))),"",IF($D489&lt;&gt;"",ROUND(Points!$B$6*IF($F489&lt;Points!$H$4,Points!$H$5,1),0),ROUND(Points!$B$6*IF($F489&lt;=1,1,Points!$H$7+(1-Points!$H$7)*((($F489-$E489)*(($F489-$E489)+1)/2)^2-((($F489-$E489-COUNTIFS($A$5:$A$1668,$A489,$C$5:$C$1668,$C489)+1)-1)*($F489-$E489-COUNTIFS($A$5:$A$1668,$A489,$C$5:$C$1668,$C489)+1)/2)^2)/(COUNTIFS($A$5:$A$1668,$A489,$C$5:$C$1668,$C489)*($F489-1)^3))*IF($F489&lt;Points!$H$4,Points!$H$5,1),0)))</f>
        <v/>
      </c>
      <c r="H489" s="11">
        <f>IF($G489="","",COUNTIFS($B$5:$B$1668,$B489,$G$5:$G$1668,"&gt;"&amp;$G489)+COUNTIFS($B$4:$B488,$B489,$G$4:$G488,$G489)+1)</f>
        <v/>
      </c>
      <c r="I489" s="11">
        <f>IF($G489="","",IF($H489&lt;=Points!$H$6,$G489,0))</f>
        <v/>
      </c>
      <c r="J489" s="11">
        <f>IF($B489="","",IF(COUNTIF(Players!$A$2:$A$500,$B489)=0,"Player is not on the Players tab",IF(NOT(ISNUMBER($C489)),"Enter a gross score",IF(COUNTIFS($A$5:$A$1668,$A489,$B$5:$B$1668,$B489)&gt;1,"Player is listed twice this week",IF(AND($D489&lt;&gt;"",COUNTIFS($A$5:$A$1668,$A489,$D$5:$D$1668,$D489)&gt;1),"Two players picked as "&amp;$D489,IF(COUNTIFS($A$5:$A$1668,$A489,$D$5:$D$1668,"Gross winner")=0,"Pick this week's gross winner",IF(COUNTIFS($A$5:$A$1668,$A489,$D$5:$D$1668,"Net winner")=0,"Pick this week's net winner","OK")))))))</f>
        <v/>
      </c>
    </row>
    <row r="490" outlineLevel="1">
      <c r="A490" s="13" t="n">
        <v>46498</v>
      </c>
      <c r="E490" s="11">
        <f>IF(OR($B490="",NOT(ISNUMBER($C490))),"",COUNTIFS($A$5:$A$1668,$A490,$C$5:$C$1668,"&lt;"&amp;$C490)+1)</f>
        <v/>
      </c>
      <c r="F490" s="11">
        <f>IF(OR($B490="",NOT(ISNUMBER($C490))),"",COUNTIFS($A$5:$A$1668,$A490,$C$5:$C$1668,"&gt;0"))</f>
        <v/>
      </c>
      <c r="G490" s="11">
        <f>IF(OR($B490="",NOT(ISNUMBER($C490))),"",IF($D490&lt;&gt;"",ROUND(Points!$B$6*IF($F490&lt;Points!$H$4,Points!$H$5,1),0),ROUND(Points!$B$6*IF($F490&lt;=1,1,Points!$H$7+(1-Points!$H$7)*((($F490-$E490)*(($F490-$E490)+1)/2)^2-((($F490-$E490-COUNTIFS($A$5:$A$1668,$A490,$C$5:$C$1668,$C490)+1)-1)*($F490-$E490-COUNTIFS($A$5:$A$1668,$A490,$C$5:$C$1668,$C490)+1)/2)^2)/(COUNTIFS($A$5:$A$1668,$A490,$C$5:$C$1668,$C490)*($F490-1)^3))*IF($F490&lt;Points!$H$4,Points!$H$5,1),0)))</f>
        <v/>
      </c>
      <c r="H490" s="11">
        <f>IF($G490="","",COUNTIFS($B$5:$B$1668,$B490,$G$5:$G$1668,"&gt;"&amp;$G490)+COUNTIFS($B$4:$B489,$B490,$G$4:$G489,$G490)+1)</f>
        <v/>
      </c>
      <c r="I490" s="11">
        <f>IF($G490="","",IF($H490&lt;=Points!$H$6,$G490,0))</f>
        <v/>
      </c>
      <c r="J490" s="11">
        <f>IF($B490="","",IF(COUNTIF(Players!$A$2:$A$500,$B490)=0,"Player is not on the Players tab",IF(NOT(ISNUMBER($C490)),"Enter a gross score",IF(COUNTIFS($A$5:$A$1668,$A490,$B$5:$B$1668,$B490)&gt;1,"Player is listed twice this week",IF(AND($D490&lt;&gt;"",COUNTIFS($A$5:$A$1668,$A490,$D$5:$D$1668,$D490)&gt;1),"Two players picked as "&amp;$D490,IF(COUNTIFS($A$5:$A$1668,$A490,$D$5:$D$1668,"Gross winner")=0,"Pick this week's gross winner",IF(COUNTIFS($A$5:$A$1668,$A490,$D$5:$D$1668,"Net winner")=0,"Pick this week's net winner","OK")))))))</f>
        <v/>
      </c>
    </row>
    <row r="491" outlineLevel="1">
      <c r="A491" s="13" t="n">
        <v>46498</v>
      </c>
      <c r="E491" s="11">
        <f>IF(OR($B491="",NOT(ISNUMBER($C491))),"",COUNTIFS($A$5:$A$1668,$A491,$C$5:$C$1668,"&lt;"&amp;$C491)+1)</f>
        <v/>
      </c>
      <c r="F491" s="11">
        <f>IF(OR($B491="",NOT(ISNUMBER($C491))),"",COUNTIFS($A$5:$A$1668,$A491,$C$5:$C$1668,"&gt;0"))</f>
        <v/>
      </c>
      <c r="G491" s="11">
        <f>IF(OR($B491="",NOT(ISNUMBER($C491))),"",IF($D491&lt;&gt;"",ROUND(Points!$B$6*IF($F491&lt;Points!$H$4,Points!$H$5,1),0),ROUND(Points!$B$6*IF($F491&lt;=1,1,Points!$H$7+(1-Points!$H$7)*((($F491-$E491)*(($F491-$E491)+1)/2)^2-((($F491-$E491-COUNTIFS($A$5:$A$1668,$A491,$C$5:$C$1668,$C491)+1)-1)*($F491-$E491-COUNTIFS($A$5:$A$1668,$A491,$C$5:$C$1668,$C491)+1)/2)^2)/(COUNTIFS($A$5:$A$1668,$A491,$C$5:$C$1668,$C491)*($F491-1)^3))*IF($F491&lt;Points!$H$4,Points!$H$5,1),0)))</f>
        <v/>
      </c>
      <c r="H491" s="11">
        <f>IF($G491="","",COUNTIFS($B$5:$B$1668,$B491,$G$5:$G$1668,"&gt;"&amp;$G491)+COUNTIFS($B$4:$B490,$B491,$G$4:$G490,$G491)+1)</f>
        <v/>
      </c>
      <c r="I491" s="11">
        <f>IF($G491="","",IF($H491&lt;=Points!$H$6,$G491,0))</f>
        <v/>
      </c>
      <c r="J491" s="11">
        <f>IF($B491="","",IF(COUNTIF(Players!$A$2:$A$500,$B491)=0,"Player is not on the Players tab",IF(NOT(ISNUMBER($C491)),"Enter a gross score",IF(COUNTIFS($A$5:$A$1668,$A491,$B$5:$B$1668,$B491)&gt;1,"Player is listed twice this week",IF(AND($D491&lt;&gt;"",COUNTIFS($A$5:$A$1668,$A491,$D$5:$D$1668,$D491)&gt;1),"Two players picked as "&amp;$D491,IF(COUNTIFS($A$5:$A$1668,$A491,$D$5:$D$1668,"Gross winner")=0,"Pick this week's gross winner",IF(COUNTIFS($A$5:$A$1668,$A491,$D$5:$D$1668,"Net winner")=0,"Pick this week's net winner","OK")))))))</f>
        <v/>
      </c>
    </row>
    <row r="492" outlineLevel="1">
      <c r="A492" s="13" t="n">
        <v>46498</v>
      </c>
      <c r="E492" s="11">
        <f>IF(OR($B492="",NOT(ISNUMBER($C492))),"",COUNTIFS($A$5:$A$1668,$A492,$C$5:$C$1668,"&lt;"&amp;$C492)+1)</f>
        <v/>
      </c>
      <c r="F492" s="11">
        <f>IF(OR($B492="",NOT(ISNUMBER($C492))),"",COUNTIFS($A$5:$A$1668,$A492,$C$5:$C$1668,"&gt;0"))</f>
        <v/>
      </c>
      <c r="G492" s="11">
        <f>IF(OR($B492="",NOT(ISNUMBER($C492))),"",IF($D492&lt;&gt;"",ROUND(Points!$B$6*IF($F492&lt;Points!$H$4,Points!$H$5,1),0),ROUND(Points!$B$6*IF($F492&lt;=1,1,Points!$H$7+(1-Points!$H$7)*((($F492-$E492)*(($F492-$E492)+1)/2)^2-((($F492-$E492-COUNTIFS($A$5:$A$1668,$A492,$C$5:$C$1668,$C492)+1)-1)*($F492-$E492-COUNTIFS($A$5:$A$1668,$A492,$C$5:$C$1668,$C492)+1)/2)^2)/(COUNTIFS($A$5:$A$1668,$A492,$C$5:$C$1668,$C492)*($F492-1)^3))*IF($F492&lt;Points!$H$4,Points!$H$5,1),0)))</f>
        <v/>
      </c>
      <c r="H492" s="11">
        <f>IF($G492="","",COUNTIFS($B$5:$B$1668,$B492,$G$5:$G$1668,"&gt;"&amp;$G492)+COUNTIFS($B$4:$B491,$B492,$G$4:$G491,$G492)+1)</f>
        <v/>
      </c>
      <c r="I492" s="11">
        <f>IF($G492="","",IF($H492&lt;=Points!$H$6,$G492,0))</f>
        <v/>
      </c>
      <c r="J492" s="11">
        <f>IF($B492="","",IF(COUNTIF(Players!$A$2:$A$500,$B492)=0,"Player is not on the Players tab",IF(NOT(ISNUMBER($C492)),"Enter a gross score",IF(COUNTIFS($A$5:$A$1668,$A492,$B$5:$B$1668,$B492)&gt;1,"Player is listed twice this week",IF(AND($D492&lt;&gt;"",COUNTIFS($A$5:$A$1668,$A492,$D$5:$D$1668,$D492)&gt;1),"Two players picked as "&amp;$D492,IF(COUNTIFS($A$5:$A$1668,$A492,$D$5:$D$1668,"Gross winner")=0,"Pick this week's gross winner",IF(COUNTIFS($A$5:$A$1668,$A492,$D$5:$D$1668,"Net winner")=0,"Pick this week's net winner","OK")))))))</f>
        <v/>
      </c>
    </row>
    <row r="493" outlineLevel="1">
      <c r="A493" s="13" t="n">
        <v>46498</v>
      </c>
      <c r="E493" s="11">
        <f>IF(OR($B493="",NOT(ISNUMBER($C493))),"",COUNTIFS($A$5:$A$1668,$A493,$C$5:$C$1668,"&lt;"&amp;$C493)+1)</f>
        <v/>
      </c>
      <c r="F493" s="11">
        <f>IF(OR($B493="",NOT(ISNUMBER($C493))),"",COUNTIFS($A$5:$A$1668,$A493,$C$5:$C$1668,"&gt;0"))</f>
        <v/>
      </c>
      <c r="G493" s="11">
        <f>IF(OR($B493="",NOT(ISNUMBER($C493))),"",IF($D493&lt;&gt;"",ROUND(Points!$B$6*IF($F493&lt;Points!$H$4,Points!$H$5,1),0),ROUND(Points!$B$6*IF($F493&lt;=1,1,Points!$H$7+(1-Points!$H$7)*((($F493-$E493)*(($F493-$E493)+1)/2)^2-((($F493-$E493-COUNTIFS($A$5:$A$1668,$A493,$C$5:$C$1668,$C493)+1)-1)*($F493-$E493-COUNTIFS($A$5:$A$1668,$A493,$C$5:$C$1668,$C493)+1)/2)^2)/(COUNTIFS($A$5:$A$1668,$A493,$C$5:$C$1668,$C493)*($F493-1)^3))*IF($F493&lt;Points!$H$4,Points!$H$5,1),0)))</f>
        <v/>
      </c>
      <c r="H493" s="11">
        <f>IF($G493="","",COUNTIFS($B$5:$B$1668,$B493,$G$5:$G$1668,"&gt;"&amp;$G493)+COUNTIFS($B$4:$B492,$B493,$G$4:$G492,$G493)+1)</f>
        <v/>
      </c>
      <c r="I493" s="11">
        <f>IF($G493="","",IF($H493&lt;=Points!$H$6,$G493,0))</f>
        <v/>
      </c>
      <c r="J493" s="11">
        <f>IF($B493="","",IF(COUNTIF(Players!$A$2:$A$500,$B493)=0,"Player is not on the Players tab",IF(NOT(ISNUMBER($C493)),"Enter a gross score",IF(COUNTIFS($A$5:$A$1668,$A493,$B$5:$B$1668,$B493)&gt;1,"Player is listed twice this week",IF(AND($D493&lt;&gt;"",COUNTIFS($A$5:$A$1668,$A493,$D$5:$D$1668,$D493)&gt;1),"Two players picked as "&amp;$D493,IF(COUNTIFS($A$5:$A$1668,$A493,$D$5:$D$1668,"Gross winner")=0,"Pick this week's gross winner",IF(COUNTIFS($A$5:$A$1668,$A493,$D$5:$D$1668,"Net winner")=0,"Pick this week's net winner","OK")))))))</f>
        <v/>
      </c>
    </row>
    <row r="494" outlineLevel="1">
      <c r="A494" s="13" t="n">
        <v>46498</v>
      </c>
      <c r="E494" s="11">
        <f>IF(OR($B494="",NOT(ISNUMBER($C494))),"",COUNTIFS($A$5:$A$1668,$A494,$C$5:$C$1668,"&lt;"&amp;$C494)+1)</f>
        <v/>
      </c>
      <c r="F494" s="11">
        <f>IF(OR($B494="",NOT(ISNUMBER($C494))),"",COUNTIFS($A$5:$A$1668,$A494,$C$5:$C$1668,"&gt;0"))</f>
        <v/>
      </c>
      <c r="G494" s="11">
        <f>IF(OR($B494="",NOT(ISNUMBER($C494))),"",IF($D494&lt;&gt;"",ROUND(Points!$B$6*IF($F494&lt;Points!$H$4,Points!$H$5,1),0),ROUND(Points!$B$6*IF($F494&lt;=1,1,Points!$H$7+(1-Points!$H$7)*((($F494-$E494)*(($F494-$E494)+1)/2)^2-((($F494-$E494-COUNTIFS($A$5:$A$1668,$A494,$C$5:$C$1668,$C494)+1)-1)*($F494-$E494-COUNTIFS($A$5:$A$1668,$A494,$C$5:$C$1668,$C494)+1)/2)^2)/(COUNTIFS($A$5:$A$1668,$A494,$C$5:$C$1668,$C494)*($F494-1)^3))*IF($F494&lt;Points!$H$4,Points!$H$5,1),0)))</f>
        <v/>
      </c>
      <c r="H494" s="11">
        <f>IF($G494="","",COUNTIFS($B$5:$B$1668,$B494,$G$5:$G$1668,"&gt;"&amp;$G494)+COUNTIFS($B$4:$B493,$B494,$G$4:$G493,$G494)+1)</f>
        <v/>
      </c>
      <c r="I494" s="11">
        <f>IF($G494="","",IF($H494&lt;=Points!$H$6,$G494,0))</f>
        <v/>
      </c>
      <c r="J494" s="11">
        <f>IF($B494="","",IF(COUNTIF(Players!$A$2:$A$500,$B494)=0,"Player is not on the Players tab",IF(NOT(ISNUMBER($C494)),"Enter a gross score",IF(COUNTIFS($A$5:$A$1668,$A494,$B$5:$B$1668,$B494)&gt;1,"Player is listed twice this week",IF(AND($D494&lt;&gt;"",COUNTIFS($A$5:$A$1668,$A494,$D$5:$D$1668,$D494)&gt;1),"Two players picked as "&amp;$D494,IF(COUNTIFS($A$5:$A$1668,$A494,$D$5:$D$1668,"Gross winner")=0,"Pick this week's gross winner",IF(COUNTIFS($A$5:$A$1668,$A494,$D$5:$D$1668,"Net winner")=0,"Pick this week's net winner","OK")))))))</f>
        <v/>
      </c>
    </row>
    <row r="495" outlineLevel="1">
      <c r="A495" s="13" t="n">
        <v>46498</v>
      </c>
      <c r="E495" s="11">
        <f>IF(OR($B495="",NOT(ISNUMBER($C495))),"",COUNTIFS($A$5:$A$1668,$A495,$C$5:$C$1668,"&lt;"&amp;$C495)+1)</f>
        <v/>
      </c>
      <c r="F495" s="11">
        <f>IF(OR($B495="",NOT(ISNUMBER($C495))),"",COUNTIFS($A$5:$A$1668,$A495,$C$5:$C$1668,"&gt;0"))</f>
        <v/>
      </c>
      <c r="G495" s="11">
        <f>IF(OR($B495="",NOT(ISNUMBER($C495))),"",IF($D495&lt;&gt;"",ROUND(Points!$B$6*IF($F495&lt;Points!$H$4,Points!$H$5,1),0),ROUND(Points!$B$6*IF($F495&lt;=1,1,Points!$H$7+(1-Points!$H$7)*((($F495-$E495)*(($F495-$E495)+1)/2)^2-((($F495-$E495-COUNTIFS($A$5:$A$1668,$A495,$C$5:$C$1668,$C495)+1)-1)*($F495-$E495-COUNTIFS($A$5:$A$1668,$A495,$C$5:$C$1668,$C495)+1)/2)^2)/(COUNTIFS($A$5:$A$1668,$A495,$C$5:$C$1668,$C495)*($F495-1)^3))*IF($F495&lt;Points!$H$4,Points!$H$5,1),0)))</f>
        <v/>
      </c>
      <c r="H495" s="11">
        <f>IF($G495="","",COUNTIFS($B$5:$B$1668,$B495,$G$5:$G$1668,"&gt;"&amp;$G495)+COUNTIFS($B$4:$B494,$B495,$G$4:$G494,$G495)+1)</f>
        <v/>
      </c>
      <c r="I495" s="11">
        <f>IF($G495="","",IF($H495&lt;=Points!$H$6,$G495,0))</f>
        <v/>
      </c>
      <c r="J495" s="11">
        <f>IF($B495="","",IF(COUNTIF(Players!$A$2:$A$500,$B495)=0,"Player is not on the Players tab",IF(NOT(ISNUMBER($C495)),"Enter a gross score",IF(COUNTIFS($A$5:$A$1668,$A495,$B$5:$B$1668,$B495)&gt;1,"Player is listed twice this week",IF(AND($D495&lt;&gt;"",COUNTIFS($A$5:$A$1668,$A495,$D$5:$D$1668,$D495)&gt;1),"Two players picked as "&amp;$D495,IF(COUNTIFS($A$5:$A$1668,$A495,$D$5:$D$1668,"Gross winner")=0,"Pick this week's gross winner",IF(COUNTIFS($A$5:$A$1668,$A495,$D$5:$D$1668,"Net winner")=0,"Pick this week's net winner","OK")))))))</f>
        <v/>
      </c>
    </row>
    <row r="496" outlineLevel="1">
      <c r="A496" s="13" t="n">
        <v>46498</v>
      </c>
      <c r="E496" s="11">
        <f>IF(OR($B496="",NOT(ISNUMBER($C496))),"",COUNTIFS($A$5:$A$1668,$A496,$C$5:$C$1668,"&lt;"&amp;$C496)+1)</f>
        <v/>
      </c>
      <c r="F496" s="11">
        <f>IF(OR($B496="",NOT(ISNUMBER($C496))),"",COUNTIFS($A$5:$A$1668,$A496,$C$5:$C$1668,"&gt;0"))</f>
        <v/>
      </c>
      <c r="G496" s="11">
        <f>IF(OR($B496="",NOT(ISNUMBER($C496))),"",IF($D496&lt;&gt;"",ROUND(Points!$B$6*IF($F496&lt;Points!$H$4,Points!$H$5,1),0),ROUND(Points!$B$6*IF($F496&lt;=1,1,Points!$H$7+(1-Points!$H$7)*((($F496-$E496)*(($F496-$E496)+1)/2)^2-((($F496-$E496-COUNTIFS($A$5:$A$1668,$A496,$C$5:$C$1668,$C496)+1)-1)*($F496-$E496-COUNTIFS($A$5:$A$1668,$A496,$C$5:$C$1668,$C496)+1)/2)^2)/(COUNTIFS($A$5:$A$1668,$A496,$C$5:$C$1668,$C496)*($F496-1)^3))*IF($F496&lt;Points!$H$4,Points!$H$5,1),0)))</f>
        <v/>
      </c>
      <c r="H496" s="11">
        <f>IF($G496="","",COUNTIFS($B$5:$B$1668,$B496,$G$5:$G$1668,"&gt;"&amp;$G496)+COUNTIFS($B$4:$B495,$B496,$G$4:$G495,$G496)+1)</f>
        <v/>
      </c>
      <c r="I496" s="11">
        <f>IF($G496="","",IF($H496&lt;=Points!$H$6,$G496,0))</f>
        <v/>
      </c>
      <c r="J496" s="11">
        <f>IF($B496="","",IF(COUNTIF(Players!$A$2:$A$500,$B496)=0,"Player is not on the Players tab",IF(NOT(ISNUMBER($C496)),"Enter a gross score",IF(COUNTIFS($A$5:$A$1668,$A496,$B$5:$B$1668,$B496)&gt;1,"Player is listed twice this week",IF(AND($D496&lt;&gt;"",COUNTIFS($A$5:$A$1668,$A496,$D$5:$D$1668,$D496)&gt;1),"Two players picked as "&amp;$D496,IF(COUNTIFS($A$5:$A$1668,$A496,$D$5:$D$1668,"Gross winner")=0,"Pick this week's gross winner",IF(COUNTIFS($A$5:$A$1668,$A496,$D$5:$D$1668,"Net winner")=0,"Pick this week's net winner","OK")))))))</f>
        <v/>
      </c>
    </row>
    <row r="497" outlineLevel="1">
      <c r="A497" s="13" t="n">
        <v>46498</v>
      </c>
      <c r="E497" s="11">
        <f>IF(OR($B497="",NOT(ISNUMBER($C497))),"",COUNTIFS($A$5:$A$1668,$A497,$C$5:$C$1668,"&lt;"&amp;$C497)+1)</f>
        <v/>
      </c>
      <c r="F497" s="11">
        <f>IF(OR($B497="",NOT(ISNUMBER($C497))),"",COUNTIFS($A$5:$A$1668,$A497,$C$5:$C$1668,"&gt;0"))</f>
        <v/>
      </c>
      <c r="G497" s="11">
        <f>IF(OR($B497="",NOT(ISNUMBER($C497))),"",IF($D497&lt;&gt;"",ROUND(Points!$B$6*IF($F497&lt;Points!$H$4,Points!$H$5,1),0),ROUND(Points!$B$6*IF($F497&lt;=1,1,Points!$H$7+(1-Points!$H$7)*((($F497-$E497)*(($F497-$E497)+1)/2)^2-((($F497-$E497-COUNTIFS($A$5:$A$1668,$A497,$C$5:$C$1668,$C497)+1)-1)*($F497-$E497-COUNTIFS($A$5:$A$1668,$A497,$C$5:$C$1668,$C497)+1)/2)^2)/(COUNTIFS($A$5:$A$1668,$A497,$C$5:$C$1668,$C497)*($F497-1)^3))*IF($F497&lt;Points!$H$4,Points!$H$5,1),0)))</f>
        <v/>
      </c>
      <c r="H497" s="11">
        <f>IF($G497="","",COUNTIFS($B$5:$B$1668,$B497,$G$5:$G$1668,"&gt;"&amp;$G497)+COUNTIFS($B$4:$B496,$B497,$G$4:$G496,$G497)+1)</f>
        <v/>
      </c>
      <c r="I497" s="11">
        <f>IF($G497="","",IF($H497&lt;=Points!$H$6,$G497,0))</f>
        <v/>
      </c>
      <c r="J497" s="11">
        <f>IF($B497="","",IF(COUNTIF(Players!$A$2:$A$500,$B497)=0,"Player is not on the Players tab",IF(NOT(ISNUMBER($C497)),"Enter a gross score",IF(COUNTIFS($A$5:$A$1668,$A497,$B$5:$B$1668,$B497)&gt;1,"Player is listed twice this week",IF(AND($D497&lt;&gt;"",COUNTIFS($A$5:$A$1668,$A497,$D$5:$D$1668,$D497)&gt;1),"Two players picked as "&amp;$D497,IF(COUNTIFS($A$5:$A$1668,$A497,$D$5:$D$1668,"Gross winner")=0,"Pick this week's gross winner",IF(COUNTIFS($A$5:$A$1668,$A497,$D$5:$D$1668,"Net winner")=0,"Pick this week's net winner","OK")))))))</f>
        <v/>
      </c>
    </row>
    <row r="498" outlineLevel="1">
      <c r="A498" s="13" t="n">
        <v>46498</v>
      </c>
      <c r="E498" s="11">
        <f>IF(OR($B498="",NOT(ISNUMBER($C498))),"",COUNTIFS($A$5:$A$1668,$A498,$C$5:$C$1668,"&lt;"&amp;$C498)+1)</f>
        <v/>
      </c>
      <c r="F498" s="11">
        <f>IF(OR($B498="",NOT(ISNUMBER($C498))),"",COUNTIFS($A$5:$A$1668,$A498,$C$5:$C$1668,"&gt;0"))</f>
        <v/>
      </c>
      <c r="G498" s="11">
        <f>IF(OR($B498="",NOT(ISNUMBER($C498))),"",IF($D498&lt;&gt;"",ROUND(Points!$B$6*IF($F498&lt;Points!$H$4,Points!$H$5,1),0),ROUND(Points!$B$6*IF($F498&lt;=1,1,Points!$H$7+(1-Points!$H$7)*((($F498-$E498)*(($F498-$E498)+1)/2)^2-((($F498-$E498-COUNTIFS($A$5:$A$1668,$A498,$C$5:$C$1668,$C498)+1)-1)*($F498-$E498-COUNTIFS($A$5:$A$1668,$A498,$C$5:$C$1668,$C498)+1)/2)^2)/(COUNTIFS($A$5:$A$1668,$A498,$C$5:$C$1668,$C498)*($F498-1)^3))*IF($F498&lt;Points!$H$4,Points!$H$5,1),0)))</f>
        <v/>
      </c>
      <c r="H498" s="11">
        <f>IF($G498="","",COUNTIFS($B$5:$B$1668,$B498,$G$5:$G$1668,"&gt;"&amp;$G498)+COUNTIFS($B$4:$B497,$B498,$G$4:$G497,$G498)+1)</f>
        <v/>
      </c>
      <c r="I498" s="11">
        <f>IF($G498="","",IF($H498&lt;=Points!$H$6,$G498,0))</f>
        <v/>
      </c>
      <c r="J498" s="11">
        <f>IF($B498="","",IF(COUNTIF(Players!$A$2:$A$500,$B498)=0,"Player is not on the Players tab",IF(NOT(ISNUMBER($C498)),"Enter a gross score",IF(COUNTIFS($A$5:$A$1668,$A498,$B$5:$B$1668,$B498)&gt;1,"Player is listed twice this week",IF(AND($D498&lt;&gt;"",COUNTIFS($A$5:$A$1668,$A498,$D$5:$D$1668,$D498)&gt;1),"Two players picked as "&amp;$D498,IF(COUNTIFS($A$5:$A$1668,$A498,$D$5:$D$1668,"Gross winner")=0,"Pick this week's gross winner",IF(COUNTIFS($A$5:$A$1668,$A498,$D$5:$D$1668,"Net winner")=0,"Pick this week's net winner","OK")))))))</f>
        <v/>
      </c>
    </row>
    <row r="499" outlineLevel="1">
      <c r="A499" s="13" t="n">
        <v>46498</v>
      </c>
      <c r="E499" s="11">
        <f>IF(OR($B499="",NOT(ISNUMBER($C499))),"",COUNTIFS($A$5:$A$1668,$A499,$C$5:$C$1668,"&lt;"&amp;$C499)+1)</f>
        <v/>
      </c>
      <c r="F499" s="11">
        <f>IF(OR($B499="",NOT(ISNUMBER($C499))),"",COUNTIFS($A$5:$A$1668,$A499,$C$5:$C$1668,"&gt;0"))</f>
        <v/>
      </c>
      <c r="G499" s="11">
        <f>IF(OR($B499="",NOT(ISNUMBER($C499))),"",IF($D499&lt;&gt;"",ROUND(Points!$B$6*IF($F499&lt;Points!$H$4,Points!$H$5,1),0),ROUND(Points!$B$6*IF($F499&lt;=1,1,Points!$H$7+(1-Points!$H$7)*((($F499-$E499)*(($F499-$E499)+1)/2)^2-((($F499-$E499-COUNTIFS($A$5:$A$1668,$A499,$C$5:$C$1668,$C499)+1)-1)*($F499-$E499-COUNTIFS($A$5:$A$1668,$A499,$C$5:$C$1668,$C499)+1)/2)^2)/(COUNTIFS($A$5:$A$1668,$A499,$C$5:$C$1668,$C499)*($F499-1)^3))*IF($F499&lt;Points!$H$4,Points!$H$5,1),0)))</f>
        <v/>
      </c>
      <c r="H499" s="11">
        <f>IF($G499="","",COUNTIFS($B$5:$B$1668,$B499,$G$5:$G$1668,"&gt;"&amp;$G499)+COUNTIFS($B$4:$B498,$B499,$G$4:$G498,$G499)+1)</f>
        <v/>
      </c>
      <c r="I499" s="11">
        <f>IF($G499="","",IF($H499&lt;=Points!$H$6,$G499,0))</f>
        <v/>
      </c>
      <c r="J499" s="11">
        <f>IF($B499="","",IF(COUNTIF(Players!$A$2:$A$500,$B499)=0,"Player is not on the Players tab",IF(NOT(ISNUMBER($C499)),"Enter a gross score",IF(COUNTIFS($A$5:$A$1668,$A499,$B$5:$B$1668,$B499)&gt;1,"Player is listed twice this week",IF(AND($D499&lt;&gt;"",COUNTIFS($A$5:$A$1668,$A499,$D$5:$D$1668,$D499)&gt;1),"Two players picked as "&amp;$D499,IF(COUNTIFS($A$5:$A$1668,$A499,$D$5:$D$1668,"Gross winner")=0,"Pick this week's gross winner",IF(COUNTIFS($A$5:$A$1668,$A499,$D$5:$D$1668,"Net winner")=0,"Pick this week's net winner","OK")))))))</f>
        <v/>
      </c>
    </row>
    <row r="500" outlineLevel="1">
      <c r="A500" s="13" t="n">
        <v>46498</v>
      </c>
      <c r="E500" s="11">
        <f>IF(OR($B500="",NOT(ISNUMBER($C500))),"",COUNTIFS($A$5:$A$1668,$A500,$C$5:$C$1668,"&lt;"&amp;$C500)+1)</f>
        <v/>
      </c>
      <c r="F500" s="11">
        <f>IF(OR($B500="",NOT(ISNUMBER($C500))),"",COUNTIFS($A$5:$A$1668,$A500,$C$5:$C$1668,"&gt;0"))</f>
        <v/>
      </c>
      <c r="G500" s="11">
        <f>IF(OR($B500="",NOT(ISNUMBER($C500))),"",IF($D500&lt;&gt;"",ROUND(Points!$B$6*IF($F500&lt;Points!$H$4,Points!$H$5,1),0),ROUND(Points!$B$6*IF($F500&lt;=1,1,Points!$H$7+(1-Points!$H$7)*((($F500-$E500)*(($F500-$E500)+1)/2)^2-((($F500-$E500-COUNTIFS($A$5:$A$1668,$A500,$C$5:$C$1668,$C500)+1)-1)*($F500-$E500-COUNTIFS($A$5:$A$1668,$A500,$C$5:$C$1668,$C500)+1)/2)^2)/(COUNTIFS($A$5:$A$1668,$A500,$C$5:$C$1668,$C500)*($F500-1)^3))*IF($F500&lt;Points!$H$4,Points!$H$5,1),0)))</f>
        <v/>
      </c>
      <c r="H500" s="11">
        <f>IF($G500="","",COUNTIFS($B$5:$B$1668,$B500,$G$5:$G$1668,"&gt;"&amp;$G500)+COUNTIFS($B$4:$B499,$B500,$G$4:$G499,$G500)+1)</f>
        <v/>
      </c>
      <c r="I500" s="11">
        <f>IF($G500="","",IF($H500&lt;=Points!$H$6,$G500,0))</f>
        <v/>
      </c>
      <c r="J500" s="11">
        <f>IF($B500="","",IF(COUNTIF(Players!$A$2:$A$500,$B500)=0,"Player is not on the Players tab",IF(NOT(ISNUMBER($C500)),"Enter a gross score",IF(COUNTIFS($A$5:$A$1668,$A500,$B$5:$B$1668,$B500)&gt;1,"Player is listed twice this week",IF(AND($D500&lt;&gt;"",COUNTIFS($A$5:$A$1668,$A500,$D$5:$D$1668,$D500)&gt;1),"Two players picked as "&amp;$D500,IF(COUNTIFS($A$5:$A$1668,$A500,$D$5:$D$1668,"Gross winner")=0,"Pick this week's gross winner",IF(COUNTIFS($A$5:$A$1668,$A500,$D$5:$D$1668,"Net winner")=0,"Pick this week's net winner","OK")))))))</f>
        <v/>
      </c>
    </row>
    <row r="501" outlineLevel="1">
      <c r="A501" s="13" t="n">
        <v>46498</v>
      </c>
      <c r="E501" s="11">
        <f>IF(OR($B501="",NOT(ISNUMBER($C501))),"",COUNTIFS($A$5:$A$1668,$A501,$C$5:$C$1668,"&lt;"&amp;$C501)+1)</f>
        <v/>
      </c>
      <c r="F501" s="11">
        <f>IF(OR($B501="",NOT(ISNUMBER($C501))),"",COUNTIFS($A$5:$A$1668,$A501,$C$5:$C$1668,"&gt;0"))</f>
        <v/>
      </c>
      <c r="G501" s="11">
        <f>IF(OR($B501="",NOT(ISNUMBER($C501))),"",IF($D501&lt;&gt;"",ROUND(Points!$B$6*IF($F501&lt;Points!$H$4,Points!$H$5,1),0),ROUND(Points!$B$6*IF($F501&lt;=1,1,Points!$H$7+(1-Points!$H$7)*((($F501-$E501)*(($F501-$E501)+1)/2)^2-((($F501-$E501-COUNTIFS($A$5:$A$1668,$A501,$C$5:$C$1668,$C501)+1)-1)*($F501-$E501-COUNTIFS($A$5:$A$1668,$A501,$C$5:$C$1668,$C501)+1)/2)^2)/(COUNTIFS($A$5:$A$1668,$A501,$C$5:$C$1668,$C501)*($F501-1)^3))*IF($F501&lt;Points!$H$4,Points!$H$5,1),0)))</f>
        <v/>
      </c>
      <c r="H501" s="11">
        <f>IF($G501="","",COUNTIFS($B$5:$B$1668,$B501,$G$5:$G$1668,"&gt;"&amp;$G501)+COUNTIFS($B$4:$B500,$B501,$G$4:$G500,$G501)+1)</f>
        <v/>
      </c>
      <c r="I501" s="11">
        <f>IF($G501="","",IF($H501&lt;=Points!$H$6,$G501,0))</f>
        <v/>
      </c>
      <c r="J501" s="11">
        <f>IF($B501="","",IF(COUNTIF(Players!$A$2:$A$500,$B501)=0,"Player is not on the Players tab",IF(NOT(ISNUMBER($C501)),"Enter a gross score",IF(COUNTIFS($A$5:$A$1668,$A501,$B$5:$B$1668,$B501)&gt;1,"Player is listed twice this week",IF(AND($D501&lt;&gt;"",COUNTIFS($A$5:$A$1668,$A501,$D$5:$D$1668,$D501)&gt;1),"Two players picked as "&amp;$D501,IF(COUNTIFS($A$5:$A$1668,$A501,$D$5:$D$1668,"Gross winner")=0,"Pick this week's gross winner",IF(COUNTIFS($A$5:$A$1668,$A501,$D$5:$D$1668,"Net winner")=0,"Pick this week's net winner","OK")))))))</f>
        <v/>
      </c>
    </row>
    <row r="502" outlineLevel="1">
      <c r="A502" s="13" t="n">
        <v>46498</v>
      </c>
      <c r="E502" s="11">
        <f>IF(OR($B502="",NOT(ISNUMBER($C502))),"",COUNTIFS($A$5:$A$1668,$A502,$C$5:$C$1668,"&lt;"&amp;$C502)+1)</f>
        <v/>
      </c>
      <c r="F502" s="11">
        <f>IF(OR($B502="",NOT(ISNUMBER($C502))),"",COUNTIFS($A$5:$A$1668,$A502,$C$5:$C$1668,"&gt;0"))</f>
        <v/>
      </c>
      <c r="G502" s="11">
        <f>IF(OR($B502="",NOT(ISNUMBER($C502))),"",IF($D502&lt;&gt;"",ROUND(Points!$B$6*IF($F502&lt;Points!$H$4,Points!$H$5,1),0),ROUND(Points!$B$6*IF($F502&lt;=1,1,Points!$H$7+(1-Points!$H$7)*((($F502-$E502)*(($F502-$E502)+1)/2)^2-((($F502-$E502-COUNTIFS($A$5:$A$1668,$A502,$C$5:$C$1668,$C502)+1)-1)*($F502-$E502-COUNTIFS($A$5:$A$1668,$A502,$C$5:$C$1668,$C502)+1)/2)^2)/(COUNTIFS($A$5:$A$1668,$A502,$C$5:$C$1668,$C502)*($F502-1)^3))*IF($F502&lt;Points!$H$4,Points!$H$5,1),0)))</f>
        <v/>
      </c>
      <c r="H502" s="11">
        <f>IF($G502="","",COUNTIFS($B$5:$B$1668,$B502,$G$5:$G$1668,"&gt;"&amp;$G502)+COUNTIFS($B$4:$B501,$B502,$G$4:$G501,$G502)+1)</f>
        <v/>
      </c>
      <c r="I502" s="11">
        <f>IF($G502="","",IF($H502&lt;=Points!$H$6,$G502,0))</f>
        <v/>
      </c>
      <c r="J502" s="11">
        <f>IF($B502="","",IF(COUNTIF(Players!$A$2:$A$500,$B502)=0,"Player is not on the Players tab",IF(NOT(ISNUMBER($C502)),"Enter a gross score",IF(COUNTIFS($A$5:$A$1668,$A502,$B$5:$B$1668,$B502)&gt;1,"Player is listed twice this week",IF(AND($D502&lt;&gt;"",COUNTIFS($A$5:$A$1668,$A502,$D$5:$D$1668,$D502)&gt;1),"Two players picked as "&amp;$D502,IF(COUNTIFS($A$5:$A$1668,$A502,$D$5:$D$1668,"Gross winner")=0,"Pick this week's gross winner",IF(COUNTIFS($A$5:$A$1668,$A502,$D$5:$D$1668,"Net winner")=0,"Pick this week's net winner","OK")))))))</f>
        <v/>
      </c>
    </row>
    <row r="503" outlineLevel="1">
      <c r="A503" s="13" t="n">
        <v>46498</v>
      </c>
      <c r="E503" s="11">
        <f>IF(OR($B503="",NOT(ISNUMBER($C503))),"",COUNTIFS($A$5:$A$1668,$A503,$C$5:$C$1668,"&lt;"&amp;$C503)+1)</f>
        <v/>
      </c>
      <c r="F503" s="11">
        <f>IF(OR($B503="",NOT(ISNUMBER($C503))),"",COUNTIFS($A$5:$A$1668,$A503,$C$5:$C$1668,"&gt;0"))</f>
        <v/>
      </c>
      <c r="G503" s="11">
        <f>IF(OR($B503="",NOT(ISNUMBER($C503))),"",IF($D503&lt;&gt;"",ROUND(Points!$B$6*IF($F503&lt;Points!$H$4,Points!$H$5,1),0),ROUND(Points!$B$6*IF($F503&lt;=1,1,Points!$H$7+(1-Points!$H$7)*((($F503-$E503)*(($F503-$E503)+1)/2)^2-((($F503-$E503-COUNTIFS($A$5:$A$1668,$A503,$C$5:$C$1668,$C503)+1)-1)*($F503-$E503-COUNTIFS($A$5:$A$1668,$A503,$C$5:$C$1668,$C503)+1)/2)^2)/(COUNTIFS($A$5:$A$1668,$A503,$C$5:$C$1668,$C503)*($F503-1)^3))*IF($F503&lt;Points!$H$4,Points!$H$5,1),0)))</f>
        <v/>
      </c>
      <c r="H503" s="11">
        <f>IF($G503="","",COUNTIFS($B$5:$B$1668,$B503,$G$5:$G$1668,"&gt;"&amp;$G503)+COUNTIFS($B$4:$B502,$B503,$G$4:$G502,$G503)+1)</f>
        <v/>
      </c>
      <c r="I503" s="11">
        <f>IF($G503="","",IF($H503&lt;=Points!$H$6,$G503,0))</f>
        <v/>
      </c>
      <c r="J503" s="11">
        <f>IF($B503="","",IF(COUNTIF(Players!$A$2:$A$500,$B503)=0,"Player is not on the Players tab",IF(NOT(ISNUMBER($C503)),"Enter a gross score",IF(COUNTIFS($A$5:$A$1668,$A503,$B$5:$B$1668,$B503)&gt;1,"Player is listed twice this week",IF(AND($D503&lt;&gt;"",COUNTIFS($A$5:$A$1668,$A503,$D$5:$D$1668,$D503)&gt;1),"Two players picked as "&amp;$D503,IF(COUNTIFS($A$5:$A$1668,$A503,$D$5:$D$1668,"Gross winner")=0,"Pick this week's gross winner",IF(COUNTIFS($A$5:$A$1668,$A503,$D$5:$D$1668,"Net winner")=0,"Pick this week's net winner","OK")))))))</f>
        <v/>
      </c>
    </row>
    <row r="504" outlineLevel="1">
      <c r="A504" s="13" t="n">
        <v>46498</v>
      </c>
      <c r="E504" s="11">
        <f>IF(OR($B504="",NOT(ISNUMBER($C504))),"",COUNTIFS($A$5:$A$1668,$A504,$C$5:$C$1668,"&lt;"&amp;$C504)+1)</f>
        <v/>
      </c>
      <c r="F504" s="11">
        <f>IF(OR($B504="",NOT(ISNUMBER($C504))),"",COUNTIFS($A$5:$A$1668,$A504,$C$5:$C$1668,"&gt;0"))</f>
        <v/>
      </c>
      <c r="G504" s="11">
        <f>IF(OR($B504="",NOT(ISNUMBER($C504))),"",IF($D504&lt;&gt;"",ROUND(Points!$B$6*IF($F504&lt;Points!$H$4,Points!$H$5,1),0),ROUND(Points!$B$6*IF($F504&lt;=1,1,Points!$H$7+(1-Points!$H$7)*((($F504-$E504)*(($F504-$E504)+1)/2)^2-((($F504-$E504-COUNTIFS($A$5:$A$1668,$A504,$C$5:$C$1668,$C504)+1)-1)*($F504-$E504-COUNTIFS($A$5:$A$1668,$A504,$C$5:$C$1668,$C504)+1)/2)^2)/(COUNTIFS($A$5:$A$1668,$A504,$C$5:$C$1668,$C504)*($F504-1)^3))*IF($F504&lt;Points!$H$4,Points!$H$5,1),0)))</f>
        <v/>
      </c>
      <c r="H504" s="11">
        <f>IF($G504="","",COUNTIFS($B$5:$B$1668,$B504,$G$5:$G$1668,"&gt;"&amp;$G504)+COUNTIFS($B$4:$B503,$B504,$G$4:$G503,$G504)+1)</f>
        <v/>
      </c>
      <c r="I504" s="11">
        <f>IF($G504="","",IF($H504&lt;=Points!$H$6,$G504,0))</f>
        <v/>
      </c>
      <c r="J504" s="11">
        <f>IF($B504="","",IF(COUNTIF(Players!$A$2:$A$500,$B504)=0,"Player is not on the Players tab",IF(NOT(ISNUMBER($C504)),"Enter a gross score",IF(COUNTIFS($A$5:$A$1668,$A504,$B$5:$B$1668,$B504)&gt;1,"Player is listed twice this week",IF(AND($D504&lt;&gt;"",COUNTIFS($A$5:$A$1668,$A504,$D$5:$D$1668,$D504)&gt;1),"Two players picked as "&amp;$D504,IF(COUNTIFS($A$5:$A$1668,$A504,$D$5:$D$1668,"Gross winner")=0,"Pick this week's gross winner",IF(COUNTIFS($A$5:$A$1668,$A504,$D$5:$D$1668,"Net winner")=0,"Pick this week's net winner","OK")))))))</f>
        <v/>
      </c>
    </row>
    <row r="505" outlineLevel="1">
      <c r="A505" s="13" t="n">
        <v>46498</v>
      </c>
      <c r="E505" s="11">
        <f>IF(OR($B505="",NOT(ISNUMBER($C505))),"",COUNTIFS($A$5:$A$1668,$A505,$C$5:$C$1668,"&lt;"&amp;$C505)+1)</f>
        <v/>
      </c>
      <c r="F505" s="11">
        <f>IF(OR($B505="",NOT(ISNUMBER($C505))),"",COUNTIFS($A$5:$A$1668,$A505,$C$5:$C$1668,"&gt;0"))</f>
        <v/>
      </c>
      <c r="G505" s="11">
        <f>IF(OR($B505="",NOT(ISNUMBER($C505))),"",IF($D505&lt;&gt;"",ROUND(Points!$B$6*IF($F505&lt;Points!$H$4,Points!$H$5,1),0),ROUND(Points!$B$6*IF($F505&lt;=1,1,Points!$H$7+(1-Points!$H$7)*((($F505-$E505)*(($F505-$E505)+1)/2)^2-((($F505-$E505-COUNTIFS($A$5:$A$1668,$A505,$C$5:$C$1668,$C505)+1)-1)*($F505-$E505-COUNTIFS($A$5:$A$1668,$A505,$C$5:$C$1668,$C505)+1)/2)^2)/(COUNTIFS($A$5:$A$1668,$A505,$C$5:$C$1668,$C505)*($F505-1)^3))*IF($F505&lt;Points!$H$4,Points!$H$5,1),0)))</f>
        <v/>
      </c>
      <c r="H505" s="11">
        <f>IF($G505="","",COUNTIFS($B$5:$B$1668,$B505,$G$5:$G$1668,"&gt;"&amp;$G505)+COUNTIFS($B$4:$B504,$B505,$G$4:$G504,$G505)+1)</f>
        <v/>
      </c>
      <c r="I505" s="11">
        <f>IF($G505="","",IF($H505&lt;=Points!$H$6,$G505,0))</f>
        <v/>
      </c>
      <c r="J505" s="11">
        <f>IF($B505="","",IF(COUNTIF(Players!$A$2:$A$500,$B505)=0,"Player is not on the Players tab",IF(NOT(ISNUMBER($C505)),"Enter a gross score",IF(COUNTIFS($A$5:$A$1668,$A505,$B$5:$B$1668,$B505)&gt;1,"Player is listed twice this week",IF(AND($D505&lt;&gt;"",COUNTIFS($A$5:$A$1668,$A505,$D$5:$D$1668,$D505)&gt;1),"Two players picked as "&amp;$D505,IF(COUNTIFS($A$5:$A$1668,$A505,$D$5:$D$1668,"Gross winner")=0,"Pick this week's gross winner",IF(COUNTIFS($A$5:$A$1668,$A505,$D$5:$D$1668,"Net winner")=0,"Pick this week's net winner","OK")))))))</f>
        <v/>
      </c>
    </row>
    <row r="506" outlineLevel="1">
      <c r="A506" s="13" t="n">
        <v>46498</v>
      </c>
      <c r="E506" s="11">
        <f>IF(OR($B506="",NOT(ISNUMBER($C506))),"",COUNTIFS($A$5:$A$1668,$A506,$C$5:$C$1668,"&lt;"&amp;$C506)+1)</f>
        <v/>
      </c>
      <c r="F506" s="11">
        <f>IF(OR($B506="",NOT(ISNUMBER($C506))),"",COUNTIFS($A$5:$A$1668,$A506,$C$5:$C$1668,"&gt;0"))</f>
        <v/>
      </c>
      <c r="G506" s="11">
        <f>IF(OR($B506="",NOT(ISNUMBER($C506))),"",IF($D506&lt;&gt;"",ROUND(Points!$B$6*IF($F506&lt;Points!$H$4,Points!$H$5,1),0),ROUND(Points!$B$6*IF($F506&lt;=1,1,Points!$H$7+(1-Points!$H$7)*((($F506-$E506)*(($F506-$E506)+1)/2)^2-((($F506-$E506-COUNTIFS($A$5:$A$1668,$A506,$C$5:$C$1668,$C506)+1)-1)*($F506-$E506-COUNTIFS($A$5:$A$1668,$A506,$C$5:$C$1668,$C506)+1)/2)^2)/(COUNTIFS($A$5:$A$1668,$A506,$C$5:$C$1668,$C506)*($F506-1)^3))*IF($F506&lt;Points!$H$4,Points!$H$5,1),0)))</f>
        <v/>
      </c>
      <c r="H506" s="11">
        <f>IF($G506="","",COUNTIFS($B$5:$B$1668,$B506,$G$5:$G$1668,"&gt;"&amp;$G506)+COUNTIFS($B$4:$B505,$B506,$G$4:$G505,$G506)+1)</f>
        <v/>
      </c>
      <c r="I506" s="11">
        <f>IF($G506="","",IF($H506&lt;=Points!$H$6,$G506,0))</f>
        <v/>
      </c>
      <c r="J506" s="11">
        <f>IF($B506="","",IF(COUNTIF(Players!$A$2:$A$500,$B506)=0,"Player is not on the Players tab",IF(NOT(ISNUMBER($C506)),"Enter a gross score",IF(COUNTIFS($A$5:$A$1668,$A506,$B$5:$B$1668,$B506)&gt;1,"Player is listed twice this week",IF(AND($D506&lt;&gt;"",COUNTIFS($A$5:$A$1668,$A506,$D$5:$D$1668,$D506)&gt;1),"Two players picked as "&amp;$D506,IF(COUNTIFS($A$5:$A$1668,$A506,$D$5:$D$1668,"Gross winner")=0,"Pick this week's gross winner",IF(COUNTIFS($A$5:$A$1668,$A506,$D$5:$D$1668,"Net winner")=0,"Pick this week's net winner","OK")))))))</f>
        <v/>
      </c>
    </row>
    <row r="507" outlineLevel="1">
      <c r="A507" s="13" t="n">
        <v>46498</v>
      </c>
      <c r="E507" s="11">
        <f>IF(OR($B507="",NOT(ISNUMBER($C507))),"",COUNTIFS($A$5:$A$1668,$A507,$C$5:$C$1668,"&lt;"&amp;$C507)+1)</f>
        <v/>
      </c>
      <c r="F507" s="11">
        <f>IF(OR($B507="",NOT(ISNUMBER($C507))),"",COUNTIFS($A$5:$A$1668,$A507,$C$5:$C$1668,"&gt;0"))</f>
        <v/>
      </c>
      <c r="G507" s="11">
        <f>IF(OR($B507="",NOT(ISNUMBER($C507))),"",IF($D507&lt;&gt;"",ROUND(Points!$B$6*IF($F507&lt;Points!$H$4,Points!$H$5,1),0),ROUND(Points!$B$6*IF($F507&lt;=1,1,Points!$H$7+(1-Points!$H$7)*((($F507-$E507)*(($F507-$E507)+1)/2)^2-((($F507-$E507-COUNTIFS($A$5:$A$1668,$A507,$C$5:$C$1668,$C507)+1)-1)*($F507-$E507-COUNTIFS($A$5:$A$1668,$A507,$C$5:$C$1668,$C507)+1)/2)^2)/(COUNTIFS($A$5:$A$1668,$A507,$C$5:$C$1668,$C507)*($F507-1)^3))*IF($F507&lt;Points!$H$4,Points!$H$5,1),0)))</f>
        <v/>
      </c>
      <c r="H507" s="11">
        <f>IF($G507="","",COUNTIFS($B$5:$B$1668,$B507,$G$5:$G$1668,"&gt;"&amp;$G507)+COUNTIFS($B$4:$B506,$B507,$G$4:$G506,$G507)+1)</f>
        <v/>
      </c>
      <c r="I507" s="11">
        <f>IF($G507="","",IF($H507&lt;=Points!$H$6,$G507,0))</f>
        <v/>
      </c>
      <c r="J507" s="11">
        <f>IF($B507="","",IF(COUNTIF(Players!$A$2:$A$500,$B507)=0,"Player is not on the Players tab",IF(NOT(ISNUMBER($C507)),"Enter a gross score",IF(COUNTIFS($A$5:$A$1668,$A507,$B$5:$B$1668,$B507)&gt;1,"Player is listed twice this week",IF(AND($D507&lt;&gt;"",COUNTIFS($A$5:$A$1668,$A507,$D$5:$D$1668,$D507)&gt;1),"Two players picked as "&amp;$D507,IF(COUNTIFS($A$5:$A$1668,$A507,$D$5:$D$1668,"Gross winner")=0,"Pick this week's gross winner",IF(COUNTIFS($A$5:$A$1668,$A507,$D$5:$D$1668,"Net winner")=0,"Pick this week's net winner","OK")))))))</f>
        <v/>
      </c>
    </row>
    <row r="508" outlineLevel="1">
      <c r="A508" s="13" t="n">
        <v>46498</v>
      </c>
      <c r="E508" s="11">
        <f>IF(OR($B508="",NOT(ISNUMBER($C508))),"",COUNTIFS($A$5:$A$1668,$A508,$C$5:$C$1668,"&lt;"&amp;$C508)+1)</f>
        <v/>
      </c>
      <c r="F508" s="11">
        <f>IF(OR($B508="",NOT(ISNUMBER($C508))),"",COUNTIFS($A$5:$A$1668,$A508,$C$5:$C$1668,"&gt;0"))</f>
        <v/>
      </c>
      <c r="G508" s="11">
        <f>IF(OR($B508="",NOT(ISNUMBER($C508))),"",IF($D508&lt;&gt;"",ROUND(Points!$B$6*IF($F508&lt;Points!$H$4,Points!$H$5,1),0),ROUND(Points!$B$6*IF($F508&lt;=1,1,Points!$H$7+(1-Points!$H$7)*((($F508-$E508)*(($F508-$E508)+1)/2)^2-((($F508-$E508-COUNTIFS($A$5:$A$1668,$A508,$C$5:$C$1668,$C508)+1)-1)*($F508-$E508-COUNTIFS($A$5:$A$1668,$A508,$C$5:$C$1668,$C508)+1)/2)^2)/(COUNTIFS($A$5:$A$1668,$A508,$C$5:$C$1668,$C508)*($F508-1)^3))*IF($F508&lt;Points!$H$4,Points!$H$5,1),0)))</f>
        <v/>
      </c>
      <c r="H508" s="11">
        <f>IF($G508="","",COUNTIFS($B$5:$B$1668,$B508,$G$5:$G$1668,"&gt;"&amp;$G508)+COUNTIFS($B$4:$B507,$B508,$G$4:$G507,$G508)+1)</f>
        <v/>
      </c>
      <c r="I508" s="11">
        <f>IF($G508="","",IF($H508&lt;=Points!$H$6,$G508,0))</f>
        <v/>
      </c>
      <c r="J508" s="11">
        <f>IF($B508="","",IF(COUNTIF(Players!$A$2:$A$500,$B508)=0,"Player is not on the Players tab",IF(NOT(ISNUMBER($C508)),"Enter a gross score",IF(COUNTIFS($A$5:$A$1668,$A508,$B$5:$B$1668,$B508)&gt;1,"Player is listed twice this week",IF(AND($D508&lt;&gt;"",COUNTIFS($A$5:$A$1668,$A508,$D$5:$D$1668,$D508)&gt;1),"Two players picked as "&amp;$D508,IF(COUNTIFS($A$5:$A$1668,$A508,$D$5:$D$1668,"Gross winner")=0,"Pick this week's gross winner",IF(COUNTIFS($A$5:$A$1668,$A508,$D$5:$D$1668,"Net winner")=0,"Pick this week's net winner","OK")))))))</f>
        <v/>
      </c>
    </row>
    <row r="509" outlineLevel="1">
      <c r="A509" s="13" t="n">
        <v>46498</v>
      </c>
      <c r="E509" s="11">
        <f>IF(OR($B509="",NOT(ISNUMBER($C509))),"",COUNTIFS($A$5:$A$1668,$A509,$C$5:$C$1668,"&lt;"&amp;$C509)+1)</f>
        <v/>
      </c>
      <c r="F509" s="11">
        <f>IF(OR($B509="",NOT(ISNUMBER($C509))),"",COUNTIFS($A$5:$A$1668,$A509,$C$5:$C$1668,"&gt;0"))</f>
        <v/>
      </c>
      <c r="G509" s="11">
        <f>IF(OR($B509="",NOT(ISNUMBER($C509))),"",IF($D509&lt;&gt;"",ROUND(Points!$B$6*IF($F509&lt;Points!$H$4,Points!$H$5,1),0),ROUND(Points!$B$6*IF($F509&lt;=1,1,Points!$H$7+(1-Points!$H$7)*((($F509-$E509)*(($F509-$E509)+1)/2)^2-((($F509-$E509-COUNTIFS($A$5:$A$1668,$A509,$C$5:$C$1668,$C509)+1)-1)*($F509-$E509-COUNTIFS($A$5:$A$1668,$A509,$C$5:$C$1668,$C509)+1)/2)^2)/(COUNTIFS($A$5:$A$1668,$A509,$C$5:$C$1668,$C509)*($F509-1)^3))*IF($F509&lt;Points!$H$4,Points!$H$5,1),0)))</f>
        <v/>
      </c>
      <c r="H509" s="11">
        <f>IF($G509="","",COUNTIFS($B$5:$B$1668,$B509,$G$5:$G$1668,"&gt;"&amp;$G509)+COUNTIFS($B$4:$B508,$B509,$G$4:$G508,$G509)+1)</f>
        <v/>
      </c>
      <c r="I509" s="11">
        <f>IF($G509="","",IF($H509&lt;=Points!$H$6,$G509,0))</f>
        <v/>
      </c>
      <c r="J509" s="11">
        <f>IF($B509="","",IF(COUNTIF(Players!$A$2:$A$500,$B509)=0,"Player is not on the Players tab",IF(NOT(ISNUMBER($C509)),"Enter a gross score",IF(COUNTIFS($A$5:$A$1668,$A509,$B$5:$B$1668,$B509)&gt;1,"Player is listed twice this week",IF(AND($D509&lt;&gt;"",COUNTIFS($A$5:$A$1668,$A509,$D$5:$D$1668,$D509)&gt;1),"Two players picked as "&amp;$D509,IF(COUNTIFS($A$5:$A$1668,$A509,$D$5:$D$1668,"Gross winner")=0,"Pick this week's gross winner",IF(COUNTIFS($A$5:$A$1668,$A509,$D$5:$D$1668,"Net winner")=0,"Pick this week's net winner","OK")))))))</f>
        <v/>
      </c>
    </row>
    <row r="510" outlineLevel="1">
      <c r="A510" s="13" t="n">
        <v>46498</v>
      </c>
      <c r="E510" s="11">
        <f>IF(OR($B510="",NOT(ISNUMBER($C510))),"",COUNTIFS($A$5:$A$1668,$A510,$C$5:$C$1668,"&lt;"&amp;$C510)+1)</f>
        <v/>
      </c>
      <c r="F510" s="11">
        <f>IF(OR($B510="",NOT(ISNUMBER($C510))),"",COUNTIFS($A$5:$A$1668,$A510,$C$5:$C$1668,"&gt;0"))</f>
        <v/>
      </c>
      <c r="G510" s="11">
        <f>IF(OR($B510="",NOT(ISNUMBER($C510))),"",IF($D510&lt;&gt;"",ROUND(Points!$B$6*IF($F510&lt;Points!$H$4,Points!$H$5,1),0),ROUND(Points!$B$6*IF($F510&lt;=1,1,Points!$H$7+(1-Points!$H$7)*((($F510-$E510)*(($F510-$E510)+1)/2)^2-((($F510-$E510-COUNTIFS($A$5:$A$1668,$A510,$C$5:$C$1668,$C510)+1)-1)*($F510-$E510-COUNTIFS($A$5:$A$1668,$A510,$C$5:$C$1668,$C510)+1)/2)^2)/(COUNTIFS($A$5:$A$1668,$A510,$C$5:$C$1668,$C510)*($F510-1)^3))*IF($F510&lt;Points!$H$4,Points!$H$5,1),0)))</f>
        <v/>
      </c>
      <c r="H510" s="11">
        <f>IF($G510="","",COUNTIFS($B$5:$B$1668,$B510,$G$5:$G$1668,"&gt;"&amp;$G510)+COUNTIFS($B$4:$B509,$B510,$G$4:$G509,$G510)+1)</f>
        <v/>
      </c>
      <c r="I510" s="11">
        <f>IF($G510="","",IF($H510&lt;=Points!$H$6,$G510,0))</f>
        <v/>
      </c>
      <c r="J510" s="11">
        <f>IF($B510="","",IF(COUNTIF(Players!$A$2:$A$500,$B510)=0,"Player is not on the Players tab",IF(NOT(ISNUMBER($C510)),"Enter a gross score",IF(COUNTIFS($A$5:$A$1668,$A510,$B$5:$B$1668,$B510)&gt;1,"Player is listed twice this week",IF(AND($D510&lt;&gt;"",COUNTIFS($A$5:$A$1668,$A510,$D$5:$D$1668,$D510)&gt;1),"Two players picked as "&amp;$D510,IF(COUNTIFS($A$5:$A$1668,$A510,$D$5:$D$1668,"Gross winner")=0,"Pick this week's gross winner",IF(COUNTIFS($A$5:$A$1668,$A510,$D$5:$D$1668,"Net winner")=0,"Pick this week's net winner","OK")))))))</f>
        <v/>
      </c>
    </row>
    <row r="511" outlineLevel="1">
      <c r="A511" s="13" t="n">
        <v>46498</v>
      </c>
      <c r="E511" s="11">
        <f>IF(OR($B511="",NOT(ISNUMBER($C511))),"",COUNTIFS($A$5:$A$1668,$A511,$C$5:$C$1668,"&lt;"&amp;$C511)+1)</f>
        <v/>
      </c>
      <c r="F511" s="11">
        <f>IF(OR($B511="",NOT(ISNUMBER($C511))),"",COUNTIFS($A$5:$A$1668,$A511,$C$5:$C$1668,"&gt;0"))</f>
        <v/>
      </c>
      <c r="G511" s="11">
        <f>IF(OR($B511="",NOT(ISNUMBER($C511))),"",IF($D511&lt;&gt;"",ROUND(Points!$B$6*IF($F511&lt;Points!$H$4,Points!$H$5,1),0),ROUND(Points!$B$6*IF($F511&lt;=1,1,Points!$H$7+(1-Points!$H$7)*((($F511-$E511)*(($F511-$E511)+1)/2)^2-((($F511-$E511-COUNTIFS($A$5:$A$1668,$A511,$C$5:$C$1668,$C511)+1)-1)*($F511-$E511-COUNTIFS($A$5:$A$1668,$A511,$C$5:$C$1668,$C511)+1)/2)^2)/(COUNTIFS($A$5:$A$1668,$A511,$C$5:$C$1668,$C511)*($F511-1)^3))*IF($F511&lt;Points!$H$4,Points!$H$5,1),0)))</f>
        <v/>
      </c>
      <c r="H511" s="11">
        <f>IF($G511="","",COUNTIFS($B$5:$B$1668,$B511,$G$5:$G$1668,"&gt;"&amp;$G511)+COUNTIFS($B$4:$B510,$B511,$G$4:$G510,$G511)+1)</f>
        <v/>
      </c>
      <c r="I511" s="11">
        <f>IF($G511="","",IF($H511&lt;=Points!$H$6,$G511,0))</f>
        <v/>
      </c>
      <c r="J511" s="11">
        <f>IF($B511="","",IF(COUNTIF(Players!$A$2:$A$500,$B511)=0,"Player is not on the Players tab",IF(NOT(ISNUMBER($C511)),"Enter a gross score",IF(COUNTIFS($A$5:$A$1668,$A511,$B$5:$B$1668,$B511)&gt;1,"Player is listed twice this week",IF(AND($D511&lt;&gt;"",COUNTIFS($A$5:$A$1668,$A511,$D$5:$D$1668,$D511)&gt;1),"Two players picked as "&amp;$D511,IF(COUNTIFS($A$5:$A$1668,$A511,$D$5:$D$1668,"Gross winner")=0,"Pick this week's gross winner",IF(COUNTIFS($A$5:$A$1668,$A511,$D$5:$D$1668,"Net winner")=0,"Pick this week's net winner","OK")))))))</f>
        <v/>
      </c>
    </row>
    <row r="512" outlineLevel="1">
      <c r="A512" s="13" t="n">
        <v>46498</v>
      </c>
      <c r="E512" s="11">
        <f>IF(OR($B512="",NOT(ISNUMBER($C512))),"",COUNTIFS($A$5:$A$1668,$A512,$C$5:$C$1668,"&lt;"&amp;$C512)+1)</f>
        <v/>
      </c>
      <c r="F512" s="11">
        <f>IF(OR($B512="",NOT(ISNUMBER($C512))),"",COUNTIFS($A$5:$A$1668,$A512,$C$5:$C$1668,"&gt;0"))</f>
        <v/>
      </c>
      <c r="G512" s="11">
        <f>IF(OR($B512="",NOT(ISNUMBER($C512))),"",IF($D512&lt;&gt;"",ROUND(Points!$B$6*IF($F512&lt;Points!$H$4,Points!$H$5,1),0),ROUND(Points!$B$6*IF($F512&lt;=1,1,Points!$H$7+(1-Points!$H$7)*((($F512-$E512)*(($F512-$E512)+1)/2)^2-((($F512-$E512-COUNTIFS($A$5:$A$1668,$A512,$C$5:$C$1668,$C512)+1)-1)*($F512-$E512-COUNTIFS($A$5:$A$1668,$A512,$C$5:$C$1668,$C512)+1)/2)^2)/(COUNTIFS($A$5:$A$1668,$A512,$C$5:$C$1668,$C512)*($F512-1)^3))*IF($F512&lt;Points!$H$4,Points!$H$5,1),0)))</f>
        <v/>
      </c>
      <c r="H512" s="11">
        <f>IF($G512="","",COUNTIFS($B$5:$B$1668,$B512,$G$5:$G$1668,"&gt;"&amp;$G512)+COUNTIFS($B$4:$B511,$B512,$G$4:$G511,$G512)+1)</f>
        <v/>
      </c>
      <c r="I512" s="11">
        <f>IF($G512="","",IF($H512&lt;=Points!$H$6,$G512,0))</f>
        <v/>
      </c>
      <c r="J512" s="11">
        <f>IF($B512="","",IF(COUNTIF(Players!$A$2:$A$500,$B512)=0,"Player is not on the Players tab",IF(NOT(ISNUMBER($C512)),"Enter a gross score",IF(COUNTIFS($A$5:$A$1668,$A512,$B$5:$B$1668,$B512)&gt;1,"Player is listed twice this week",IF(AND($D512&lt;&gt;"",COUNTIFS($A$5:$A$1668,$A512,$D$5:$D$1668,$D512)&gt;1),"Two players picked as "&amp;$D512,IF(COUNTIFS($A$5:$A$1668,$A512,$D$5:$D$1668,"Gross winner")=0,"Pick this week's gross winner",IF(COUNTIFS($A$5:$A$1668,$A512,$D$5:$D$1668,"Net winner")=0,"Pick this week's net winner","OK")))))))</f>
        <v/>
      </c>
    </row>
    <row r="513" outlineLevel="1">
      <c r="A513" s="13" t="n">
        <v>46498</v>
      </c>
      <c r="E513" s="11">
        <f>IF(OR($B513="",NOT(ISNUMBER($C513))),"",COUNTIFS($A$5:$A$1668,$A513,$C$5:$C$1668,"&lt;"&amp;$C513)+1)</f>
        <v/>
      </c>
      <c r="F513" s="11">
        <f>IF(OR($B513="",NOT(ISNUMBER($C513))),"",COUNTIFS($A$5:$A$1668,$A513,$C$5:$C$1668,"&gt;0"))</f>
        <v/>
      </c>
      <c r="G513" s="11">
        <f>IF(OR($B513="",NOT(ISNUMBER($C513))),"",IF($D513&lt;&gt;"",ROUND(Points!$B$6*IF($F513&lt;Points!$H$4,Points!$H$5,1),0),ROUND(Points!$B$6*IF($F513&lt;=1,1,Points!$H$7+(1-Points!$H$7)*((($F513-$E513)*(($F513-$E513)+1)/2)^2-((($F513-$E513-COUNTIFS($A$5:$A$1668,$A513,$C$5:$C$1668,$C513)+1)-1)*($F513-$E513-COUNTIFS($A$5:$A$1668,$A513,$C$5:$C$1668,$C513)+1)/2)^2)/(COUNTIFS($A$5:$A$1668,$A513,$C$5:$C$1668,$C513)*($F513-1)^3))*IF($F513&lt;Points!$H$4,Points!$H$5,1),0)))</f>
        <v/>
      </c>
      <c r="H513" s="11">
        <f>IF($G513="","",COUNTIFS($B$5:$B$1668,$B513,$G$5:$G$1668,"&gt;"&amp;$G513)+COUNTIFS($B$4:$B512,$B513,$G$4:$G512,$G513)+1)</f>
        <v/>
      </c>
      <c r="I513" s="11">
        <f>IF($G513="","",IF($H513&lt;=Points!$H$6,$G513,0))</f>
        <v/>
      </c>
      <c r="J513" s="11">
        <f>IF($B513="","",IF(COUNTIF(Players!$A$2:$A$500,$B513)=0,"Player is not on the Players tab",IF(NOT(ISNUMBER($C513)),"Enter a gross score",IF(COUNTIFS($A$5:$A$1668,$A513,$B$5:$B$1668,$B513)&gt;1,"Player is listed twice this week",IF(AND($D513&lt;&gt;"",COUNTIFS($A$5:$A$1668,$A513,$D$5:$D$1668,$D513)&gt;1),"Two players picked as "&amp;$D513,IF(COUNTIFS($A$5:$A$1668,$A513,$D$5:$D$1668,"Gross winner")=0,"Pick this week's gross winner",IF(COUNTIFS($A$5:$A$1668,$A513,$D$5:$D$1668,"Net winner")=0,"Pick this week's net winner","OK")))))))</f>
        <v/>
      </c>
    </row>
    <row r="514" outlineLevel="1">
      <c r="A514" s="13" t="n">
        <v>46498</v>
      </c>
      <c r="E514" s="11">
        <f>IF(OR($B514="",NOT(ISNUMBER($C514))),"",COUNTIFS($A$5:$A$1668,$A514,$C$5:$C$1668,"&lt;"&amp;$C514)+1)</f>
        <v/>
      </c>
      <c r="F514" s="11">
        <f>IF(OR($B514="",NOT(ISNUMBER($C514))),"",COUNTIFS($A$5:$A$1668,$A514,$C$5:$C$1668,"&gt;0"))</f>
        <v/>
      </c>
      <c r="G514" s="11">
        <f>IF(OR($B514="",NOT(ISNUMBER($C514))),"",IF($D514&lt;&gt;"",ROUND(Points!$B$6*IF($F514&lt;Points!$H$4,Points!$H$5,1),0),ROUND(Points!$B$6*IF($F514&lt;=1,1,Points!$H$7+(1-Points!$H$7)*((($F514-$E514)*(($F514-$E514)+1)/2)^2-((($F514-$E514-COUNTIFS($A$5:$A$1668,$A514,$C$5:$C$1668,$C514)+1)-1)*($F514-$E514-COUNTIFS($A$5:$A$1668,$A514,$C$5:$C$1668,$C514)+1)/2)^2)/(COUNTIFS($A$5:$A$1668,$A514,$C$5:$C$1668,$C514)*($F514-1)^3))*IF($F514&lt;Points!$H$4,Points!$H$5,1),0)))</f>
        <v/>
      </c>
      <c r="H514" s="11">
        <f>IF($G514="","",COUNTIFS($B$5:$B$1668,$B514,$G$5:$G$1668,"&gt;"&amp;$G514)+COUNTIFS($B$4:$B513,$B514,$G$4:$G513,$G514)+1)</f>
        <v/>
      </c>
      <c r="I514" s="11">
        <f>IF($G514="","",IF($H514&lt;=Points!$H$6,$G514,0))</f>
        <v/>
      </c>
      <c r="J514" s="11">
        <f>IF($B514="","",IF(COUNTIF(Players!$A$2:$A$500,$B514)=0,"Player is not on the Players tab",IF(NOT(ISNUMBER($C514)),"Enter a gross score",IF(COUNTIFS($A$5:$A$1668,$A514,$B$5:$B$1668,$B514)&gt;1,"Player is listed twice this week",IF(AND($D514&lt;&gt;"",COUNTIFS($A$5:$A$1668,$A514,$D$5:$D$1668,$D514)&gt;1),"Two players picked as "&amp;$D514,IF(COUNTIFS($A$5:$A$1668,$A514,$D$5:$D$1668,"Gross winner")=0,"Pick this week's gross winner",IF(COUNTIFS($A$5:$A$1668,$A514,$D$5:$D$1668,"Net winner")=0,"Pick this week's net winner","OK")))))))</f>
        <v/>
      </c>
    </row>
    <row r="515" outlineLevel="1">
      <c r="A515" s="13" t="n">
        <v>46498</v>
      </c>
      <c r="E515" s="11">
        <f>IF(OR($B515="",NOT(ISNUMBER($C515))),"",COUNTIFS($A$5:$A$1668,$A515,$C$5:$C$1668,"&lt;"&amp;$C515)+1)</f>
        <v/>
      </c>
      <c r="F515" s="11">
        <f>IF(OR($B515="",NOT(ISNUMBER($C515))),"",COUNTIFS($A$5:$A$1668,$A515,$C$5:$C$1668,"&gt;0"))</f>
        <v/>
      </c>
      <c r="G515" s="11">
        <f>IF(OR($B515="",NOT(ISNUMBER($C515))),"",IF($D515&lt;&gt;"",ROUND(Points!$B$6*IF($F515&lt;Points!$H$4,Points!$H$5,1),0),ROUND(Points!$B$6*IF($F515&lt;=1,1,Points!$H$7+(1-Points!$H$7)*((($F515-$E515)*(($F515-$E515)+1)/2)^2-((($F515-$E515-COUNTIFS($A$5:$A$1668,$A515,$C$5:$C$1668,$C515)+1)-1)*($F515-$E515-COUNTIFS($A$5:$A$1668,$A515,$C$5:$C$1668,$C515)+1)/2)^2)/(COUNTIFS($A$5:$A$1668,$A515,$C$5:$C$1668,$C515)*($F515-1)^3))*IF($F515&lt;Points!$H$4,Points!$H$5,1),0)))</f>
        <v/>
      </c>
      <c r="H515" s="11">
        <f>IF($G515="","",COUNTIFS($B$5:$B$1668,$B515,$G$5:$G$1668,"&gt;"&amp;$G515)+COUNTIFS($B$4:$B514,$B515,$G$4:$G514,$G515)+1)</f>
        <v/>
      </c>
      <c r="I515" s="11">
        <f>IF($G515="","",IF($H515&lt;=Points!$H$6,$G515,0))</f>
        <v/>
      </c>
      <c r="J515" s="11">
        <f>IF($B515="","",IF(COUNTIF(Players!$A$2:$A$500,$B515)=0,"Player is not on the Players tab",IF(NOT(ISNUMBER($C515)),"Enter a gross score",IF(COUNTIFS($A$5:$A$1668,$A515,$B$5:$B$1668,$B515)&gt;1,"Player is listed twice this week",IF(AND($D515&lt;&gt;"",COUNTIFS($A$5:$A$1668,$A515,$D$5:$D$1668,$D515)&gt;1),"Two players picked as "&amp;$D515,IF(COUNTIFS($A$5:$A$1668,$A515,$D$5:$D$1668,"Gross winner")=0,"Pick this week's gross winner",IF(COUNTIFS($A$5:$A$1668,$A515,$D$5:$D$1668,"Net winner")=0,"Pick this week's net winner","OK")))))))</f>
        <v/>
      </c>
    </row>
    <row r="516" ht="10" customHeight="1"/>
    <row r="517" ht="22" customHeight="1">
      <c r="A517" s="12" t="inlineStr">
        <is>
          <t>Week 17  ·  Wednesday, Apr 28</t>
        </is>
      </c>
    </row>
    <row r="518" outlineLevel="1">
      <c r="A518" s="13" t="n">
        <v>46505</v>
      </c>
      <c r="E518" s="11">
        <f>IF(OR($B518="",NOT(ISNUMBER($C518))),"",COUNTIFS($A$5:$A$1668,$A518,$C$5:$C$1668,"&lt;"&amp;$C518)+1)</f>
        <v/>
      </c>
      <c r="F518" s="11">
        <f>IF(OR($B518="",NOT(ISNUMBER($C518))),"",COUNTIFS($A$5:$A$1668,$A518,$C$5:$C$1668,"&gt;0"))</f>
        <v/>
      </c>
      <c r="G518" s="11">
        <f>IF(OR($B518="",NOT(ISNUMBER($C518))),"",IF($D518&lt;&gt;"",ROUND(Points!$B$6*IF($F518&lt;Points!$H$4,Points!$H$5,1),0),ROUND(Points!$B$6*IF($F518&lt;=1,1,Points!$H$7+(1-Points!$H$7)*((($F518-$E518)*(($F518-$E518)+1)/2)^2-((($F518-$E518-COUNTIFS($A$5:$A$1668,$A518,$C$5:$C$1668,$C518)+1)-1)*($F518-$E518-COUNTIFS($A$5:$A$1668,$A518,$C$5:$C$1668,$C518)+1)/2)^2)/(COUNTIFS($A$5:$A$1668,$A518,$C$5:$C$1668,$C518)*($F518-1)^3))*IF($F518&lt;Points!$H$4,Points!$H$5,1),0)))</f>
        <v/>
      </c>
      <c r="H518" s="11">
        <f>IF($G518="","",COUNTIFS($B$5:$B$1668,$B518,$G$5:$G$1668,"&gt;"&amp;$G518)+COUNTIFS($B$4:$B517,$B518,$G$4:$G517,$G518)+1)</f>
        <v/>
      </c>
      <c r="I518" s="11">
        <f>IF($G518="","",IF($H518&lt;=Points!$H$6,$G518,0))</f>
        <v/>
      </c>
      <c r="J518" s="11">
        <f>IF($B518="","",IF(COUNTIF(Players!$A$2:$A$500,$B518)=0,"Player is not on the Players tab",IF(NOT(ISNUMBER($C518)),"Enter a gross score",IF(COUNTIFS($A$5:$A$1668,$A518,$B$5:$B$1668,$B518)&gt;1,"Player is listed twice this week",IF(AND($D518&lt;&gt;"",COUNTIFS($A$5:$A$1668,$A518,$D$5:$D$1668,$D518)&gt;1),"Two players picked as "&amp;$D518,IF(COUNTIFS($A$5:$A$1668,$A518,$D$5:$D$1668,"Gross winner")=0,"Pick this week's gross winner",IF(COUNTIFS($A$5:$A$1668,$A518,$D$5:$D$1668,"Net winner")=0,"Pick this week's net winner","OK")))))))</f>
        <v/>
      </c>
    </row>
    <row r="519" outlineLevel="1">
      <c r="A519" s="13" t="n">
        <v>46505</v>
      </c>
      <c r="E519" s="11">
        <f>IF(OR($B519="",NOT(ISNUMBER($C519))),"",COUNTIFS($A$5:$A$1668,$A519,$C$5:$C$1668,"&lt;"&amp;$C519)+1)</f>
        <v/>
      </c>
      <c r="F519" s="11">
        <f>IF(OR($B519="",NOT(ISNUMBER($C519))),"",COUNTIFS($A$5:$A$1668,$A519,$C$5:$C$1668,"&gt;0"))</f>
        <v/>
      </c>
      <c r="G519" s="11">
        <f>IF(OR($B519="",NOT(ISNUMBER($C519))),"",IF($D519&lt;&gt;"",ROUND(Points!$B$6*IF($F519&lt;Points!$H$4,Points!$H$5,1),0),ROUND(Points!$B$6*IF($F519&lt;=1,1,Points!$H$7+(1-Points!$H$7)*((($F519-$E519)*(($F519-$E519)+1)/2)^2-((($F519-$E519-COUNTIFS($A$5:$A$1668,$A519,$C$5:$C$1668,$C519)+1)-1)*($F519-$E519-COUNTIFS($A$5:$A$1668,$A519,$C$5:$C$1668,$C519)+1)/2)^2)/(COUNTIFS($A$5:$A$1668,$A519,$C$5:$C$1668,$C519)*($F519-1)^3))*IF($F519&lt;Points!$H$4,Points!$H$5,1),0)))</f>
        <v/>
      </c>
      <c r="H519" s="11">
        <f>IF($G519="","",COUNTIFS($B$5:$B$1668,$B519,$G$5:$G$1668,"&gt;"&amp;$G519)+COUNTIFS($B$4:$B518,$B519,$G$4:$G518,$G519)+1)</f>
        <v/>
      </c>
      <c r="I519" s="11">
        <f>IF($G519="","",IF($H519&lt;=Points!$H$6,$G519,0))</f>
        <v/>
      </c>
      <c r="J519" s="11">
        <f>IF($B519="","",IF(COUNTIF(Players!$A$2:$A$500,$B519)=0,"Player is not on the Players tab",IF(NOT(ISNUMBER($C519)),"Enter a gross score",IF(COUNTIFS($A$5:$A$1668,$A519,$B$5:$B$1668,$B519)&gt;1,"Player is listed twice this week",IF(AND($D519&lt;&gt;"",COUNTIFS($A$5:$A$1668,$A519,$D$5:$D$1668,$D519)&gt;1),"Two players picked as "&amp;$D519,IF(COUNTIFS($A$5:$A$1668,$A519,$D$5:$D$1668,"Gross winner")=0,"Pick this week's gross winner",IF(COUNTIFS($A$5:$A$1668,$A519,$D$5:$D$1668,"Net winner")=0,"Pick this week's net winner","OK")))))))</f>
        <v/>
      </c>
    </row>
    <row r="520" outlineLevel="1">
      <c r="A520" s="13" t="n">
        <v>46505</v>
      </c>
      <c r="E520" s="11">
        <f>IF(OR($B520="",NOT(ISNUMBER($C520))),"",COUNTIFS($A$5:$A$1668,$A520,$C$5:$C$1668,"&lt;"&amp;$C520)+1)</f>
        <v/>
      </c>
      <c r="F520" s="11">
        <f>IF(OR($B520="",NOT(ISNUMBER($C520))),"",COUNTIFS($A$5:$A$1668,$A520,$C$5:$C$1668,"&gt;0"))</f>
        <v/>
      </c>
      <c r="G520" s="11">
        <f>IF(OR($B520="",NOT(ISNUMBER($C520))),"",IF($D520&lt;&gt;"",ROUND(Points!$B$6*IF($F520&lt;Points!$H$4,Points!$H$5,1),0),ROUND(Points!$B$6*IF($F520&lt;=1,1,Points!$H$7+(1-Points!$H$7)*((($F520-$E520)*(($F520-$E520)+1)/2)^2-((($F520-$E520-COUNTIFS($A$5:$A$1668,$A520,$C$5:$C$1668,$C520)+1)-1)*($F520-$E520-COUNTIFS($A$5:$A$1668,$A520,$C$5:$C$1668,$C520)+1)/2)^2)/(COUNTIFS($A$5:$A$1668,$A520,$C$5:$C$1668,$C520)*($F520-1)^3))*IF($F520&lt;Points!$H$4,Points!$H$5,1),0)))</f>
        <v/>
      </c>
      <c r="H520" s="11">
        <f>IF($G520="","",COUNTIFS($B$5:$B$1668,$B520,$G$5:$G$1668,"&gt;"&amp;$G520)+COUNTIFS($B$4:$B519,$B520,$G$4:$G519,$G520)+1)</f>
        <v/>
      </c>
      <c r="I520" s="11">
        <f>IF($G520="","",IF($H520&lt;=Points!$H$6,$G520,0))</f>
        <v/>
      </c>
      <c r="J520" s="11">
        <f>IF($B520="","",IF(COUNTIF(Players!$A$2:$A$500,$B520)=0,"Player is not on the Players tab",IF(NOT(ISNUMBER($C520)),"Enter a gross score",IF(COUNTIFS($A$5:$A$1668,$A520,$B$5:$B$1668,$B520)&gt;1,"Player is listed twice this week",IF(AND($D520&lt;&gt;"",COUNTIFS($A$5:$A$1668,$A520,$D$5:$D$1668,$D520)&gt;1),"Two players picked as "&amp;$D520,IF(COUNTIFS($A$5:$A$1668,$A520,$D$5:$D$1668,"Gross winner")=0,"Pick this week's gross winner",IF(COUNTIFS($A$5:$A$1668,$A520,$D$5:$D$1668,"Net winner")=0,"Pick this week's net winner","OK")))))))</f>
        <v/>
      </c>
    </row>
    <row r="521" outlineLevel="1">
      <c r="A521" s="13" t="n">
        <v>46505</v>
      </c>
      <c r="E521" s="11">
        <f>IF(OR($B521="",NOT(ISNUMBER($C521))),"",COUNTIFS($A$5:$A$1668,$A521,$C$5:$C$1668,"&lt;"&amp;$C521)+1)</f>
        <v/>
      </c>
      <c r="F521" s="11">
        <f>IF(OR($B521="",NOT(ISNUMBER($C521))),"",COUNTIFS($A$5:$A$1668,$A521,$C$5:$C$1668,"&gt;0"))</f>
        <v/>
      </c>
      <c r="G521" s="11">
        <f>IF(OR($B521="",NOT(ISNUMBER($C521))),"",IF($D521&lt;&gt;"",ROUND(Points!$B$6*IF($F521&lt;Points!$H$4,Points!$H$5,1),0),ROUND(Points!$B$6*IF($F521&lt;=1,1,Points!$H$7+(1-Points!$H$7)*((($F521-$E521)*(($F521-$E521)+1)/2)^2-((($F521-$E521-COUNTIFS($A$5:$A$1668,$A521,$C$5:$C$1668,$C521)+1)-1)*($F521-$E521-COUNTIFS($A$5:$A$1668,$A521,$C$5:$C$1668,$C521)+1)/2)^2)/(COUNTIFS($A$5:$A$1668,$A521,$C$5:$C$1668,$C521)*($F521-1)^3))*IF($F521&lt;Points!$H$4,Points!$H$5,1),0)))</f>
        <v/>
      </c>
      <c r="H521" s="11">
        <f>IF($G521="","",COUNTIFS($B$5:$B$1668,$B521,$G$5:$G$1668,"&gt;"&amp;$G521)+COUNTIFS($B$4:$B520,$B521,$G$4:$G520,$G521)+1)</f>
        <v/>
      </c>
      <c r="I521" s="11">
        <f>IF($G521="","",IF($H521&lt;=Points!$H$6,$G521,0))</f>
        <v/>
      </c>
      <c r="J521" s="11">
        <f>IF($B521="","",IF(COUNTIF(Players!$A$2:$A$500,$B521)=0,"Player is not on the Players tab",IF(NOT(ISNUMBER($C521)),"Enter a gross score",IF(COUNTIFS($A$5:$A$1668,$A521,$B$5:$B$1668,$B521)&gt;1,"Player is listed twice this week",IF(AND($D521&lt;&gt;"",COUNTIFS($A$5:$A$1668,$A521,$D$5:$D$1668,$D521)&gt;1),"Two players picked as "&amp;$D521,IF(COUNTIFS($A$5:$A$1668,$A521,$D$5:$D$1668,"Gross winner")=0,"Pick this week's gross winner",IF(COUNTIFS($A$5:$A$1668,$A521,$D$5:$D$1668,"Net winner")=0,"Pick this week's net winner","OK")))))))</f>
        <v/>
      </c>
    </row>
    <row r="522" outlineLevel="1">
      <c r="A522" s="13" t="n">
        <v>46505</v>
      </c>
      <c r="E522" s="11">
        <f>IF(OR($B522="",NOT(ISNUMBER($C522))),"",COUNTIFS($A$5:$A$1668,$A522,$C$5:$C$1668,"&lt;"&amp;$C522)+1)</f>
        <v/>
      </c>
      <c r="F522" s="11">
        <f>IF(OR($B522="",NOT(ISNUMBER($C522))),"",COUNTIFS($A$5:$A$1668,$A522,$C$5:$C$1668,"&gt;0"))</f>
        <v/>
      </c>
      <c r="G522" s="11">
        <f>IF(OR($B522="",NOT(ISNUMBER($C522))),"",IF($D522&lt;&gt;"",ROUND(Points!$B$6*IF($F522&lt;Points!$H$4,Points!$H$5,1),0),ROUND(Points!$B$6*IF($F522&lt;=1,1,Points!$H$7+(1-Points!$H$7)*((($F522-$E522)*(($F522-$E522)+1)/2)^2-((($F522-$E522-COUNTIFS($A$5:$A$1668,$A522,$C$5:$C$1668,$C522)+1)-1)*($F522-$E522-COUNTIFS($A$5:$A$1668,$A522,$C$5:$C$1668,$C522)+1)/2)^2)/(COUNTIFS($A$5:$A$1668,$A522,$C$5:$C$1668,$C522)*($F522-1)^3))*IF($F522&lt;Points!$H$4,Points!$H$5,1),0)))</f>
        <v/>
      </c>
      <c r="H522" s="11">
        <f>IF($G522="","",COUNTIFS($B$5:$B$1668,$B522,$G$5:$G$1668,"&gt;"&amp;$G522)+COUNTIFS($B$4:$B521,$B522,$G$4:$G521,$G522)+1)</f>
        <v/>
      </c>
      <c r="I522" s="11">
        <f>IF($G522="","",IF($H522&lt;=Points!$H$6,$G522,0))</f>
        <v/>
      </c>
      <c r="J522" s="11">
        <f>IF($B522="","",IF(COUNTIF(Players!$A$2:$A$500,$B522)=0,"Player is not on the Players tab",IF(NOT(ISNUMBER($C522)),"Enter a gross score",IF(COUNTIFS($A$5:$A$1668,$A522,$B$5:$B$1668,$B522)&gt;1,"Player is listed twice this week",IF(AND($D522&lt;&gt;"",COUNTIFS($A$5:$A$1668,$A522,$D$5:$D$1668,$D522)&gt;1),"Two players picked as "&amp;$D522,IF(COUNTIFS($A$5:$A$1668,$A522,$D$5:$D$1668,"Gross winner")=0,"Pick this week's gross winner",IF(COUNTIFS($A$5:$A$1668,$A522,$D$5:$D$1668,"Net winner")=0,"Pick this week's net winner","OK")))))))</f>
        <v/>
      </c>
    </row>
    <row r="523" outlineLevel="1">
      <c r="A523" s="13" t="n">
        <v>46505</v>
      </c>
      <c r="E523" s="11">
        <f>IF(OR($B523="",NOT(ISNUMBER($C523))),"",COUNTIFS($A$5:$A$1668,$A523,$C$5:$C$1668,"&lt;"&amp;$C523)+1)</f>
        <v/>
      </c>
      <c r="F523" s="11">
        <f>IF(OR($B523="",NOT(ISNUMBER($C523))),"",COUNTIFS($A$5:$A$1668,$A523,$C$5:$C$1668,"&gt;0"))</f>
        <v/>
      </c>
      <c r="G523" s="11">
        <f>IF(OR($B523="",NOT(ISNUMBER($C523))),"",IF($D523&lt;&gt;"",ROUND(Points!$B$6*IF($F523&lt;Points!$H$4,Points!$H$5,1),0),ROUND(Points!$B$6*IF($F523&lt;=1,1,Points!$H$7+(1-Points!$H$7)*((($F523-$E523)*(($F523-$E523)+1)/2)^2-((($F523-$E523-COUNTIFS($A$5:$A$1668,$A523,$C$5:$C$1668,$C523)+1)-1)*($F523-$E523-COUNTIFS($A$5:$A$1668,$A523,$C$5:$C$1668,$C523)+1)/2)^2)/(COUNTIFS($A$5:$A$1668,$A523,$C$5:$C$1668,$C523)*($F523-1)^3))*IF($F523&lt;Points!$H$4,Points!$H$5,1),0)))</f>
        <v/>
      </c>
      <c r="H523" s="11">
        <f>IF($G523="","",COUNTIFS($B$5:$B$1668,$B523,$G$5:$G$1668,"&gt;"&amp;$G523)+COUNTIFS($B$4:$B522,$B523,$G$4:$G522,$G523)+1)</f>
        <v/>
      </c>
      <c r="I523" s="11">
        <f>IF($G523="","",IF($H523&lt;=Points!$H$6,$G523,0))</f>
        <v/>
      </c>
      <c r="J523" s="11">
        <f>IF($B523="","",IF(COUNTIF(Players!$A$2:$A$500,$B523)=0,"Player is not on the Players tab",IF(NOT(ISNUMBER($C523)),"Enter a gross score",IF(COUNTIFS($A$5:$A$1668,$A523,$B$5:$B$1668,$B523)&gt;1,"Player is listed twice this week",IF(AND($D523&lt;&gt;"",COUNTIFS($A$5:$A$1668,$A523,$D$5:$D$1668,$D523)&gt;1),"Two players picked as "&amp;$D523,IF(COUNTIFS($A$5:$A$1668,$A523,$D$5:$D$1668,"Gross winner")=0,"Pick this week's gross winner",IF(COUNTIFS($A$5:$A$1668,$A523,$D$5:$D$1668,"Net winner")=0,"Pick this week's net winner","OK")))))))</f>
        <v/>
      </c>
    </row>
    <row r="524" outlineLevel="1">
      <c r="A524" s="13" t="n">
        <v>46505</v>
      </c>
      <c r="E524" s="11">
        <f>IF(OR($B524="",NOT(ISNUMBER($C524))),"",COUNTIFS($A$5:$A$1668,$A524,$C$5:$C$1668,"&lt;"&amp;$C524)+1)</f>
        <v/>
      </c>
      <c r="F524" s="11">
        <f>IF(OR($B524="",NOT(ISNUMBER($C524))),"",COUNTIFS($A$5:$A$1668,$A524,$C$5:$C$1668,"&gt;0"))</f>
        <v/>
      </c>
      <c r="G524" s="11">
        <f>IF(OR($B524="",NOT(ISNUMBER($C524))),"",IF($D524&lt;&gt;"",ROUND(Points!$B$6*IF($F524&lt;Points!$H$4,Points!$H$5,1),0),ROUND(Points!$B$6*IF($F524&lt;=1,1,Points!$H$7+(1-Points!$H$7)*((($F524-$E524)*(($F524-$E524)+1)/2)^2-((($F524-$E524-COUNTIFS($A$5:$A$1668,$A524,$C$5:$C$1668,$C524)+1)-1)*($F524-$E524-COUNTIFS($A$5:$A$1668,$A524,$C$5:$C$1668,$C524)+1)/2)^2)/(COUNTIFS($A$5:$A$1668,$A524,$C$5:$C$1668,$C524)*($F524-1)^3))*IF($F524&lt;Points!$H$4,Points!$H$5,1),0)))</f>
        <v/>
      </c>
      <c r="H524" s="11">
        <f>IF($G524="","",COUNTIFS($B$5:$B$1668,$B524,$G$5:$G$1668,"&gt;"&amp;$G524)+COUNTIFS($B$4:$B523,$B524,$G$4:$G523,$G524)+1)</f>
        <v/>
      </c>
      <c r="I524" s="11">
        <f>IF($G524="","",IF($H524&lt;=Points!$H$6,$G524,0))</f>
        <v/>
      </c>
      <c r="J524" s="11">
        <f>IF($B524="","",IF(COUNTIF(Players!$A$2:$A$500,$B524)=0,"Player is not on the Players tab",IF(NOT(ISNUMBER($C524)),"Enter a gross score",IF(COUNTIFS($A$5:$A$1668,$A524,$B$5:$B$1668,$B524)&gt;1,"Player is listed twice this week",IF(AND($D524&lt;&gt;"",COUNTIFS($A$5:$A$1668,$A524,$D$5:$D$1668,$D524)&gt;1),"Two players picked as "&amp;$D524,IF(COUNTIFS($A$5:$A$1668,$A524,$D$5:$D$1668,"Gross winner")=0,"Pick this week's gross winner",IF(COUNTIFS($A$5:$A$1668,$A524,$D$5:$D$1668,"Net winner")=0,"Pick this week's net winner","OK")))))))</f>
        <v/>
      </c>
    </row>
    <row r="525" outlineLevel="1">
      <c r="A525" s="13" t="n">
        <v>46505</v>
      </c>
      <c r="E525" s="11">
        <f>IF(OR($B525="",NOT(ISNUMBER($C525))),"",COUNTIFS($A$5:$A$1668,$A525,$C$5:$C$1668,"&lt;"&amp;$C525)+1)</f>
        <v/>
      </c>
      <c r="F525" s="11">
        <f>IF(OR($B525="",NOT(ISNUMBER($C525))),"",COUNTIFS($A$5:$A$1668,$A525,$C$5:$C$1668,"&gt;0"))</f>
        <v/>
      </c>
      <c r="G525" s="11">
        <f>IF(OR($B525="",NOT(ISNUMBER($C525))),"",IF($D525&lt;&gt;"",ROUND(Points!$B$6*IF($F525&lt;Points!$H$4,Points!$H$5,1),0),ROUND(Points!$B$6*IF($F525&lt;=1,1,Points!$H$7+(1-Points!$H$7)*((($F525-$E525)*(($F525-$E525)+1)/2)^2-((($F525-$E525-COUNTIFS($A$5:$A$1668,$A525,$C$5:$C$1668,$C525)+1)-1)*($F525-$E525-COUNTIFS($A$5:$A$1668,$A525,$C$5:$C$1668,$C525)+1)/2)^2)/(COUNTIFS($A$5:$A$1668,$A525,$C$5:$C$1668,$C525)*($F525-1)^3))*IF($F525&lt;Points!$H$4,Points!$H$5,1),0)))</f>
        <v/>
      </c>
      <c r="H525" s="11">
        <f>IF($G525="","",COUNTIFS($B$5:$B$1668,$B525,$G$5:$G$1668,"&gt;"&amp;$G525)+COUNTIFS($B$4:$B524,$B525,$G$4:$G524,$G525)+1)</f>
        <v/>
      </c>
      <c r="I525" s="11">
        <f>IF($G525="","",IF($H525&lt;=Points!$H$6,$G525,0))</f>
        <v/>
      </c>
      <c r="J525" s="11">
        <f>IF($B525="","",IF(COUNTIF(Players!$A$2:$A$500,$B525)=0,"Player is not on the Players tab",IF(NOT(ISNUMBER($C525)),"Enter a gross score",IF(COUNTIFS($A$5:$A$1668,$A525,$B$5:$B$1668,$B525)&gt;1,"Player is listed twice this week",IF(AND($D525&lt;&gt;"",COUNTIFS($A$5:$A$1668,$A525,$D$5:$D$1668,$D525)&gt;1),"Two players picked as "&amp;$D525,IF(COUNTIFS($A$5:$A$1668,$A525,$D$5:$D$1668,"Gross winner")=0,"Pick this week's gross winner",IF(COUNTIFS($A$5:$A$1668,$A525,$D$5:$D$1668,"Net winner")=0,"Pick this week's net winner","OK")))))))</f>
        <v/>
      </c>
    </row>
    <row r="526" outlineLevel="1">
      <c r="A526" s="13" t="n">
        <v>46505</v>
      </c>
      <c r="E526" s="11">
        <f>IF(OR($B526="",NOT(ISNUMBER($C526))),"",COUNTIFS($A$5:$A$1668,$A526,$C$5:$C$1668,"&lt;"&amp;$C526)+1)</f>
        <v/>
      </c>
      <c r="F526" s="11">
        <f>IF(OR($B526="",NOT(ISNUMBER($C526))),"",COUNTIFS($A$5:$A$1668,$A526,$C$5:$C$1668,"&gt;0"))</f>
        <v/>
      </c>
      <c r="G526" s="11">
        <f>IF(OR($B526="",NOT(ISNUMBER($C526))),"",IF($D526&lt;&gt;"",ROUND(Points!$B$6*IF($F526&lt;Points!$H$4,Points!$H$5,1),0),ROUND(Points!$B$6*IF($F526&lt;=1,1,Points!$H$7+(1-Points!$H$7)*((($F526-$E526)*(($F526-$E526)+1)/2)^2-((($F526-$E526-COUNTIFS($A$5:$A$1668,$A526,$C$5:$C$1668,$C526)+1)-1)*($F526-$E526-COUNTIFS($A$5:$A$1668,$A526,$C$5:$C$1668,$C526)+1)/2)^2)/(COUNTIFS($A$5:$A$1668,$A526,$C$5:$C$1668,$C526)*($F526-1)^3))*IF($F526&lt;Points!$H$4,Points!$H$5,1),0)))</f>
        <v/>
      </c>
      <c r="H526" s="11">
        <f>IF($G526="","",COUNTIFS($B$5:$B$1668,$B526,$G$5:$G$1668,"&gt;"&amp;$G526)+COUNTIFS($B$4:$B525,$B526,$G$4:$G525,$G526)+1)</f>
        <v/>
      </c>
      <c r="I526" s="11">
        <f>IF($G526="","",IF($H526&lt;=Points!$H$6,$G526,0))</f>
        <v/>
      </c>
      <c r="J526" s="11">
        <f>IF($B526="","",IF(COUNTIF(Players!$A$2:$A$500,$B526)=0,"Player is not on the Players tab",IF(NOT(ISNUMBER($C526)),"Enter a gross score",IF(COUNTIFS($A$5:$A$1668,$A526,$B$5:$B$1668,$B526)&gt;1,"Player is listed twice this week",IF(AND($D526&lt;&gt;"",COUNTIFS($A$5:$A$1668,$A526,$D$5:$D$1668,$D526)&gt;1),"Two players picked as "&amp;$D526,IF(COUNTIFS($A$5:$A$1668,$A526,$D$5:$D$1668,"Gross winner")=0,"Pick this week's gross winner",IF(COUNTIFS($A$5:$A$1668,$A526,$D$5:$D$1668,"Net winner")=0,"Pick this week's net winner","OK")))))))</f>
        <v/>
      </c>
    </row>
    <row r="527" outlineLevel="1">
      <c r="A527" s="13" t="n">
        <v>46505</v>
      </c>
      <c r="E527" s="11">
        <f>IF(OR($B527="",NOT(ISNUMBER($C527))),"",COUNTIFS($A$5:$A$1668,$A527,$C$5:$C$1668,"&lt;"&amp;$C527)+1)</f>
        <v/>
      </c>
      <c r="F527" s="11">
        <f>IF(OR($B527="",NOT(ISNUMBER($C527))),"",COUNTIFS($A$5:$A$1668,$A527,$C$5:$C$1668,"&gt;0"))</f>
        <v/>
      </c>
      <c r="G527" s="11">
        <f>IF(OR($B527="",NOT(ISNUMBER($C527))),"",IF($D527&lt;&gt;"",ROUND(Points!$B$6*IF($F527&lt;Points!$H$4,Points!$H$5,1),0),ROUND(Points!$B$6*IF($F527&lt;=1,1,Points!$H$7+(1-Points!$H$7)*((($F527-$E527)*(($F527-$E527)+1)/2)^2-((($F527-$E527-COUNTIFS($A$5:$A$1668,$A527,$C$5:$C$1668,$C527)+1)-1)*($F527-$E527-COUNTIFS($A$5:$A$1668,$A527,$C$5:$C$1668,$C527)+1)/2)^2)/(COUNTIFS($A$5:$A$1668,$A527,$C$5:$C$1668,$C527)*($F527-1)^3))*IF($F527&lt;Points!$H$4,Points!$H$5,1),0)))</f>
        <v/>
      </c>
      <c r="H527" s="11">
        <f>IF($G527="","",COUNTIFS($B$5:$B$1668,$B527,$G$5:$G$1668,"&gt;"&amp;$G527)+COUNTIFS($B$4:$B526,$B527,$G$4:$G526,$G527)+1)</f>
        <v/>
      </c>
      <c r="I527" s="11">
        <f>IF($G527="","",IF($H527&lt;=Points!$H$6,$G527,0))</f>
        <v/>
      </c>
      <c r="J527" s="11">
        <f>IF($B527="","",IF(COUNTIF(Players!$A$2:$A$500,$B527)=0,"Player is not on the Players tab",IF(NOT(ISNUMBER($C527)),"Enter a gross score",IF(COUNTIFS($A$5:$A$1668,$A527,$B$5:$B$1668,$B527)&gt;1,"Player is listed twice this week",IF(AND($D527&lt;&gt;"",COUNTIFS($A$5:$A$1668,$A527,$D$5:$D$1668,$D527)&gt;1),"Two players picked as "&amp;$D527,IF(COUNTIFS($A$5:$A$1668,$A527,$D$5:$D$1668,"Gross winner")=0,"Pick this week's gross winner",IF(COUNTIFS($A$5:$A$1668,$A527,$D$5:$D$1668,"Net winner")=0,"Pick this week's net winner","OK")))))))</f>
        <v/>
      </c>
    </row>
    <row r="528" outlineLevel="1">
      <c r="A528" s="13" t="n">
        <v>46505</v>
      </c>
      <c r="E528" s="11">
        <f>IF(OR($B528="",NOT(ISNUMBER($C528))),"",COUNTIFS($A$5:$A$1668,$A528,$C$5:$C$1668,"&lt;"&amp;$C528)+1)</f>
        <v/>
      </c>
      <c r="F528" s="11">
        <f>IF(OR($B528="",NOT(ISNUMBER($C528))),"",COUNTIFS($A$5:$A$1668,$A528,$C$5:$C$1668,"&gt;0"))</f>
        <v/>
      </c>
      <c r="G528" s="11">
        <f>IF(OR($B528="",NOT(ISNUMBER($C528))),"",IF($D528&lt;&gt;"",ROUND(Points!$B$6*IF($F528&lt;Points!$H$4,Points!$H$5,1),0),ROUND(Points!$B$6*IF($F528&lt;=1,1,Points!$H$7+(1-Points!$H$7)*((($F528-$E528)*(($F528-$E528)+1)/2)^2-((($F528-$E528-COUNTIFS($A$5:$A$1668,$A528,$C$5:$C$1668,$C528)+1)-1)*($F528-$E528-COUNTIFS($A$5:$A$1668,$A528,$C$5:$C$1668,$C528)+1)/2)^2)/(COUNTIFS($A$5:$A$1668,$A528,$C$5:$C$1668,$C528)*($F528-1)^3))*IF($F528&lt;Points!$H$4,Points!$H$5,1),0)))</f>
        <v/>
      </c>
      <c r="H528" s="11">
        <f>IF($G528="","",COUNTIFS($B$5:$B$1668,$B528,$G$5:$G$1668,"&gt;"&amp;$G528)+COUNTIFS($B$4:$B527,$B528,$G$4:$G527,$G528)+1)</f>
        <v/>
      </c>
      <c r="I528" s="11">
        <f>IF($G528="","",IF($H528&lt;=Points!$H$6,$G528,0))</f>
        <v/>
      </c>
      <c r="J528" s="11">
        <f>IF($B528="","",IF(COUNTIF(Players!$A$2:$A$500,$B528)=0,"Player is not on the Players tab",IF(NOT(ISNUMBER($C528)),"Enter a gross score",IF(COUNTIFS($A$5:$A$1668,$A528,$B$5:$B$1668,$B528)&gt;1,"Player is listed twice this week",IF(AND($D528&lt;&gt;"",COUNTIFS($A$5:$A$1668,$A528,$D$5:$D$1668,$D528)&gt;1),"Two players picked as "&amp;$D528,IF(COUNTIFS($A$5:$A$1668,$A528,$D$5:$D$1668,"Gross winner")=0,"Pick this week's gross winner",IF(COUNTIFS($A$5:$A$1668,$A528,$D$5:$D$1668,"Net winner")=0,"Pick this week's net winner","OK")))))))</f>
        <v/>
      </c>
    </row>
    <row r="529" outlineLevel="1">
      <c r="A529" s="13" t="n">
        <v>46505</v>
      </c>
      <c r="E529" s="11">
        <f>IF(OR($B529="",NOT(ISNUMBER($C529))),"",COUNTIFS($A$5:$A$1668,$A529,$C$5:$C$1668,"&lt;"&amp;$C529)+1)</f>
        <v/>
      </c>
      <c r="F529" s="11">
        <f>IF(OR($B529="",NOT(ISNUMBER($C529))),"",COUNTIFS($A$5:$A$1668,$A529,$C$5:$C$1668,"&gt;0"))</f>
        <v/>
      </c>
      <c r="G529" s="11">
        <f>IF(OR($B529="",NOT(ISNUMBER($C529))),"",IF($D529&lt;&gt;"",ROUND(Points!$B$6*IF($F529&lt;Points!$H$4,Points!$H$5,1),0),ROUND(Points!$B$6*IF($F529&lt;=1,1,Points!$H$7+(1-Points!$H$7)*((($F529-$E529)*(($F529-$E529)+1)/2)^2-((($F529-$E529-COUNTIFS($A$5:$A$1668,$A529,$C$5:$C$1668,$C529)+1)-1)*($F529-$E529-COUNTIFS($A$5:$A$1668,$A529,$C$5:$C$1668,$C529)+1)/2)^2)/(COUNTIFS($A$5:$A$1668,$A529,$C$5:$C$1668,$C529)*($F529-1)^3))*IF($F529&lt;Points!$H$4,Points!$H$5,1),0)))</f>
        <v/>
      </c>
      <c r="H529" s="11">
        <f>IF($G529="","",COUNTIFS($B$5:$B$1668,$B529,$G$5:$G$1668,"&gt;"&amp;$G529)+COUNTIFS($B$4:$B528,$B529,$G$4:$G528,$G529)+1)</f>
        <v/>
      </c>
      <c r="I529" s="11">
        <f>IF($G529="","",IF($H529&lt;=Points!$H$6,$G529,0))</f>
        <v/>
      </c>
      <c r="J529" s="11">
        <f>IF($B529="","",IF(COUNTIF(Players!$A$2:$A$500,$B529)=0,"Player is not on the Players tab",IF(NOT(ISNUMBER($C529)),"Enter a gross score",IF(COUNTIFS($A$5:$A$1668,$A529,$B$5:$B$1668,$B529)&gt;1,"Player is listed twice this week",IF(AND($D529&lt;&gt;"",COUNTIFS($A$5:$A$1668,$A529,$D$5:$D$1668,$D529)&gt;1),"Two players picked as "&amp;$D529,IF(COUNTIFS($A$5:$A$1668,$A529,$D$5:$D$1668,"Gross winner")=0,"Pick this week's gross winner",IF(COUNTIFS($A$5:$A$1668,$A529,$D$5:$D$1668,"Net winner")=0,"Pick this week's net winner","OK")))))))</f>
        <v/>
      </c>
    </row>
    <row r="530" outlineLevel="1">
      <c r="A530" s="13" t="n">
        <v>46505</v>
      </c>
      <c r="E530" s="11">
        <f>IF(OR($B530="",NOT(ISNUMBER($C530))),"",COUNTIFS($A$5:$A$1668,$A530,$C$5:$C$1668,"&lt;"&amp;$C530)+1)</f>
        <v/>
      </c>
      <c r="F530" s="11">
        <f>IF(OR($B530="",NOT(ISNUMBER($C530))),"",COUNTIFS($A$5:$A$1668,$A530,$C$5:$C$1668,"&gt;0"))</f>
        <v/>
      </c>
      <c r="G530" s="11">
        <f>IF(OR($B530="",NOT(ISNUMBER($C530))),"",IF($D530&lt;&gt;"",ROUND(Points!$B$6*IF($F530&lt;Points!$H$4,Points!$H$5,1),0),ROUND(Points!$B$6*IF($F530&lt;=1,1,Points!$H$7+(1-Points!$H$7)*((($F530-$E530)*(($F530-$E530)+1)/2)^2-((($F530-$E530-COUNTIFS($A$5:$A$1668,$A530,$C$5:$C$1668,$C530)+1)-1)*($F530-$E530-COUNTIFS($A$5:$A$1668,$A530,$C$5:$C$1668,$C530)+1)/2)^2)/(COUNTIFS($A$5:$A$1668,$A530,$C$5:$C$1668,$C530)*($F530-1)^3))*IF($F530&lt;Points!$H$4,Points!$H$5,1),0)))</f>
        <v/>
      </c>
      <c r="H530" s="11">
        <f>IF($G530="","",COUNTIFS($B$5:$B$1668,$B530,$G$5:$G$1668,"&gt;"&amp;$G530)+COUNTIFS($B$4:$B529,$B530,$G$4:$G529,$G530)+1)</f>
        <v/>
      </c>
      <c r="I530" s="11">
        <f>IF($G530="","",IF($H530&lt;=Points!$H$6,$G530,0))</f>
        <v/>
      </c>
      <c r="J530" s="11">
        <f>IF($B530="","",IF(COUNTIF(Players!$A$2:$A$500,$B530)=0,"Player is not on the Players tab",IF(NOT(ISNUMBER($C530)),"Enter a gross score",IF(COUNTIFS($A$5:$A$1668,$A530,$B$5:$B$1668,$B530)&gt;1,"Player is listed twice this week",IF(AND($D530&lt;&gt;"",COUNTIFS($A$5:$A$1668,$A530,$D$5:$D$1668,$D530)&gt;1),"Two players picked as "&amp;$D530,IF(COUNTIFS($A$5:$A$1668,$A530,$D$5:$D$1668,"Gross winner")=0,"Pick this week's gross winner",IF(COUNTIFS($A$5:$A$1668,$A530,$D$5:$D$1668,"Net winner")=0,"Pick this week's net winner","OK")))))))</f>
        <v/>
      </c>
    </row>
    <row r="531" outlineLevel="1">
      <c r="A531" s="13" t="n">
        <v>46505</v>
      </c>
      <c r="E531" s="11">
        <f>IF(OR($B531="",NOT(ISNUMBER($C531))),"",COUNTIFS($A$5:$A$1668,$A531,$C$5:$C$1668,"&lt;"&amp;$C531)+1)</f>
        <v/>
      </c>
      <c r="F531" s="11">
        <f>IF(OR($B531="",NOT(ISNUMBER($C531))),"",COUNTIFS($A$5:$A$1668,$A531,$C$5:$C$1668,"&gt;0"))</f>
        <v/>
      </c>
      <c r="G531" s="11">
        <f>IF(OR($B531="",NOT(ISNUMBER($C531))),"",IF($D531&lt;&gt;"",ROUND(Points!$B$6*IF($F531&lt;Points!$H$4,Points!$H$5,1),0),ROUND(Points!$B$6*IF($F531&lt;=1,1,Points!$H$7+(1-Points!$H$7)*((($F531-$E531)*(($F531-$E531)+1)/2)^2-((($F531-$E531-COUNTIFS($A$5:$A$1668,$A531,$C$5:$C$1668,$C531)+1)-1)*($F531-$E531-COUNTIFS($A$5:$A$1668,$A531,$C$5:$C$1668,$C531)+1)/2)^2)/(COUNTIFS($A$5:$A$1668,$A531,$C$5:$C$1668,$C531)*($F531-1)^3))*IF($F531&lt;Points!$H$4,Points!$H$5,1),0)))</f>
        <v/>
      </c>
      <c r="H531" s="11">
        <f>IF($G531="","",COUNTIFS($B$5:$B$1668,$B531,$G$5:$G$1668,"&gt;"&amp;$G531)+COUNTIFS($B$4:$B530,$B531,$G$4:$G530,$G531)+1)</f>
        <v/>
      </c>
      <c r="I531" s="11">
        <f>IF($G531="","",IF($H531&lt;=Points!$H$6,$G531,0))</f>
        <v/>
      </c>
      <c r="J531" s="11">
        <f>IF($B531="","",IF(COUNTIF(Players!$A$2:$A$500,$B531)=0,"Player is not on the Players tab",IF(NOT(ISNUMBER($C531)),"Enter a gross score",IF(COUNTIFS($A$5:$A$1668,$A531,$B$5:$B$1668,$B531)&gt;1,"Player is listed twice this week",IF(AND($D531&lt;&gt;"",COUNTIFS($A$5:$A$1668,$A531,$D$5:$D$1668,$D531)&gt;1),"Two players picked as "&amp;$D531,IF(COUNTIFS($A$5:$A$1668,$A531,$D$5:$D$1668,"Gross winner")=0,"Pick this week's gross winner",IF(COUNTIFS($A$5:$A$1668,$A531,$D$5:$D$1668,"Net winner")=0,"Pick this week's net winner","OK")))))))</f>
        <v/>
      </c>
    </row>
    <row r="532" outlineLevel="1">
      <c r="A532" s="13" t="n">
        <v>46505</v>
      </c>
      <c r="E532" s="11">
        <f>IF(OR($B532="",NOT(ISNUMBER($C532))),"",COUNTIFS($A$5:$A$1668,$A532,$C$5:$C$1668,"&lt;"&amp;$C532)+1)</f>
        <v/>
      </c>
      <c r="F532" s="11">
        <f>IF(OR($B532="",NOT(ISNUMBER($C532))),"",COUNTIFS($A$5:$A$1668,$A532,$C$5:$C$1668,"&gt;0"))</f>
        <v/>
      </c>
      <c r="G532" s="11">
        <f>IF(OR($B532="",NOT(ISNUMBER($C532))),"",IF($D532&lt;&gt;"",ROUND(Points!$B$6*IF($F532&lt;Points!$H$4,Points!$H$5,1),0),ROUND(Points!$B$6*IF($F532&lt;=1,1,Points!$H$7+(1-Points!$H$7)*((($F532-$E532)*(($F532-$E532)+1)/2)^2-((($F532-$E532-COUNTIFS($A$5:$A$1668,$A532,$C$5:$C$1668,$C532)+1)-1)*($F532-$E532-COUNTIFS($A$5:$A$1668,$A532,$C$5:$C$1668,$C532)+1)/2)^2)/(COUNTIFS($A$5:$A$1668,$A532,$C$5:$C$1668,$C532)*($F532-1)^3))*IF($F532&lt;Points!$H$4,Points!$H$5,1),0)))</f>
        <v/>
      </c>
      <c r="H532" s="11">
        <f>IF($G532="","",COUNTIFS($B$5:$B$1668,$B532,$G$5:$G$1668,"&gt;"&amp;$G532)+COUNTIFS($B$4:$B531,$B532,$G$4:$G531,$G532)+1)</f>
        <v/>
      </c>
      <c r="I532" s="11">
        <f>IF($G532="","",IF($H532&lt;=Points!$H$6,$G532,0))</f>
        <v/>
      </c>
      <c r="J532" s="11">
        <f>IF($B532="","",IF(COUNTIF(Players!$A$2:$A$500,$B532)=0,"Player is not on the Players tab",IF(NOT(ISNUMBER($C532)),"Enter a gross score",IF(COUNTIFS($A$5:$A$1668,$A532,$B$5:$B$1668,$B532)&gt;1,"Player is listed twice this week",IF(AND($D532&lt;&gt;"",COUNTIFS($A$5:$A$1668,$A532,$D$5:$D$1668,$D532)&gt;1),"Two players picked as "&amp;$D532,IF(COUNTIFS($A$5:$A$1668,$A532,$D$5:$D$1668,"Gross winner")=0,"Pick this week's gross winner",IF(COUNTIFS($A$5:$A$1668,$A532,$D$5:$D$1668,"Net winner")=0,"Pick this week's net winner","OK")))))))</f>
        <v/>
      </c>
    </row>
    <row r="533" outlineLevel="1">
      <c r="A533" s="13" t="n">
        <v>46505</v>
      </c>
      <c r="E533" s="11">
        <f>IF(OR($B533="",NOT(ISNUMBER($C533))),"",COUNTIFS($A$5:$A$1668,$A533,$C$5:$C$1668,"&lt;"&amp;$C533)+1)</f>
        <v/>
      </c>
      <c r="F533" s="11">
        <f>IF(OR($B533="",NOT(ISNUMBER($C533))),"",COUNTIFS($A$5:$A$1668,$A533,$C$5:$C$1668,"&gt;0"))</f>
        <v/>
      </c>
      <c r="G533" s="11">
        <f>IF(OR($B533="",NOT(ISNUMBER($C533))),"",IF($D533&lt;&gt;"",ROUND(Points!$B$6*IF($F533&lt;Points!$H$4,Points!$H$5,1),0),ROUND(Points!$B$6*IF($F533&lt;=1,1,Points!$H$7+(1-Points!$H$7)*((($F533-$E533)*(($F533-$E533)+1)/2)^2-((($F533-$E533-COUNTIFS($A$5:$A$1668,$A533,$C$5:$C$1668,$C533)+1)-1)*($F533-$E533-COUNTIFS($A$5:$A$1668,$A533,$C$5:$C$1668,$C533)+1)/2)^2)/(COUNTIFS($A$5:$A$1668,$A533,$C$5:$C$1668,$C533)*($F533-1)^3))*IF($F533&lt;Points!$H$4,Points!$H$5,1),0)))</f>
        <v/>
      </c>
      <c r="H533" s="11">
        <f>IF($G533="","",COUNTIFS($B$5:$B$1668,$B533,$G$5:$G$1668,"&gt;"&amp;$G533)+COUNTIFS($B$4:$B532,$B533,$G$4:$G532,$G533)+1)</f>
        <v/>
      </c>
      <c r="I533" s="11">
        <f>IF($G533="","",IF($H533&lt;=Points!$H$6,$G533,0))</f>
        <v/>
      </c>
      <c r="J533" s="11">
        <f>IF($B533="","",IF(COUNTIF(Players!$A$2:$A$500,$B533)=0,"Player is not on the Players tab",IF(NOT(ISNUMBER($C533)),"Enter a gross score",IF(COUNTIFS($A$5:$A$1668,$A533,$B$5:$B$1668,$B533)&gt;1,"Player is listed twice this week",IF(AND($D533&lt;&gt;"",COUNTIFS($A$5:$A$1668,$A533,$D$5:$D$1668,$D533)&gt;1),"Two players picked as "&amp;$D533,IF(COUNTIFS($A$5:$A$1668,$A533,$D$5:$D$1668,"Gross winner")=0,"Pick this week's gross winner",IF(COUNTIFS($A$5:$A$1668,$A533,$D$5:$D$1668,"Net winner")=0,"Pick this week's net winner","OK")))))))</f>
        <v/>
      </c>
    </row>
    <row r="534" outlineLevel="1">
      <c r="A534" s="13" t="n">
        <v>46505</v>
      </c>
      <c r="E534" s="11">
        <f>IF(OR($B534="",NOT(ISNUMBER($C534))),"",COUNTIFS($A$5:$A$1668,$A534,$C$5:$C$1668,"&lt;"&amp;$C534)+1)</f>
        <v/>
      </c>
      <c r="F534" s="11">
        <f>IF(OR($B534="",NOT(ISNUMBER($C534))),"",COUNTIFS($A$5:$A$1668,$A534,$C$5:$C$1668,"&gt;0"))</f>
        <v/>
      </c>
      <c r="G534" s="11">
        <f>IF(OR($B534="",NOT(ISNUMBER($C534))),"",IF($D534&lt;&gt;"",ROUND(Points!$B$6*IF($F534&lt;Points!$H$4,Points!$H$5,1),0),ROUND(Points!$B$6*IF($F534&lt;=1,1,Points!$H$7+(1-Points!$H$7)*((($F534-$E534)*(($F534-$E534)+1)/2)^2-((($F534-$E534-COUNTIFS($A$5:$A$1668,$A534,$C$5:$C$1668,$C534)+1)-1)*($F534-$E534-COUNTIFS($A$5:$A$1668,$A534,$C$5:$C$1668,$C534)+1)/2)^2)/(COUNTIFS($A$5:$A$1668,$A534,$C$5:$C$1668,$C534)*($F534-1)^3))*IF($F534&lt;Points!$H$4,Points!$H$5,1),0)))</f>
        <v/>
      </c>
      <c r="H534" s="11">
        <f>IF($G534="","",COUNTIFS($B$5:$B$1668,$B534,$G$5:$G$1668,"&gt;"&amp;$G534)+COUNTIFS($B$4:$B533,$B534,$G$4:$G533,$G534)+1)</f>
        <v/>
      </c>
      <c r="I534" s="11">
        <f>IF($G534="","",IF($H534&lt;=Points!$H$6,$G534,0))</f>
        <v/>
      </c>
      <c r="J534" s="11">
        <f>IF($B534="","",IF(COUNTIF(Players!$A$2:$A$500,$B534)=0,"Player is not on the Players tab",IF(NOT(ISNUMBER($C534)),"Enter a gross score",IF(COUNTIFS($A$5:$A$1668,$A534,$B$5:$B$1668,$B534)&gt;1,"Player is listed twice this week",IF(AND($D534&lt;&gt;"",COUNTIFS($A$5:$A$1668,$A534,$D$5:$D$1668,$D534)&gt;1),"Two players picked as "&amp;$D534,IF(COUNTIFS($A$5:$A$1668,$A534,$D$5:$D$1668,"Gross winner")=0,"Pick this week's gross winner",IF(COUNTIFS($A$5:$A$1668,$A534,$D$5:$D$1668,"Net winner")=0,"Pick this week's net winner","OK")))))))</f>
        <v/>
      </c>
    </row>
    <row r="535" outlineLevel="1">
      <c r="A535" s="13" t="n">
        <v>46505</v>
      </c>
      <c r="E535" s="11">
        <f>IF(OR($B535="",NOT(ISNUMBER($C535))),"",COUNTIFS($A$5:$A$1668,$A535,$C$5:$C$1668,"&lt;"&amp;$C535)+1)</f>
        <v/>
      </c>
      <c r="F535" s="11">
        <f>IF(OR($B535="",NOT(ISNUMBER($C535))),"",COUNTIFS($A$5:$A$1668,$A535,$C$5:$C$1668,"&gt;0"))</f>
        <v/>
      </c>
      <c r="G535" s="11">
        <f>IF(OR($B535="",NOT(ISNUMBER($C535))),"",IF($D535&lt;&gt;"",ROUND(Points!$B$6*IF($F535&lt;Points!$H$4,Points!$H$5,1),0),ROUND(Points!$B$6*IF($F535&lt;=1,1,Points!$H$7+(1-Points!$H$7)*((($F535-$E535)*(($F535-$E535)+1)/2)^2-((($F535-$E535-COUNTIFS($A$5:$A$1668,$A535,$C$5:$C$1668,$C535)+1)-1)*($F535-$E535-COUNTIFS($A$5:$A$1668,$A535,$C$5:$C$1668,$C535)+1)/2)^2)/(COUNTIFS($A$5:$A$1668,$A535,$C$5:$C$1668,$C535)*($F535-1)^3))*IF($F535&lt;Points!$H$4,Points!$H$5,1),0)))</f>
        <v/>
      </c>
      <c r="H535" s="11">
        <f>IF($G535="","",COUNTIFS($B$5:$B$1668,$B535,$G$5:$G$1668,"&gt;"&amp;$G535)+COUNTIFS($B$4:$B534,$B535,$G$4:$G534,$G535)+1)</f>
        <v/>
      </c>
      <c r="I535" s="11">
        <f>IF($G535="","",IF($H535&lt;=Points!$H$6,$G535,0))</f>
        <v/>
      </c>
      <c r="J535" s="11">
        <f>IF($B535="","",IF(COUNTIF(Players!$A$2:$A$500,$B535)=0,"Player is not on the Players tab",IF(NOT(ISNUMBER($C535)),"Enter a gross score",IF(COUNTIFS($A$5:$A$1668,$A535,$B$5:$B$1668,$B535)&gt;1,"Player is listed twice this week",IF(AND($D535&lt;&gt;"",COUNTIFS($A$5:$A$1668,$A535,$D$5:$D$1668,$D535)&gt;1),"Two players picked as "&amp;$D535,IF(COUNTIFS($A$5:$A$1668,$A535,$D$5:$D$1668,"Gross winner")=0,"Pick this week's gross winner",IF(COUNTIFS($A$5:$A$1668,$A535,$D$5:$D$1668,"Net winner")=0,"Pick this week's net winner","OK")))))))</f>
        <v/>
      </c>
    </row>
    <row r="536" outlineLevel="1">
      <c r="A536" s="13" t="n">
        <v>46505</v>
      </c>
      <c r="E536" s="11">
        <f>IF(OR($B536="",NOT(ISNUMBER($C536))),"",COUNTIFS($A$5:$A$1668,$A536,$C$5:$C$1668,"&lt;"&amp;$C536)+1)</f>
        <v/>
      </c>
      <c r="F536" s="11">
        <f>IF(OR($B536="",NOT(ISNUMBER($C536))),"",COUNTIFS($A$5:$A$1668,$A536,$C$5:$C$1668,"&gt;0"))</f>
        <v/>
      </c>
      <c r="G536" s="11">
        <f>IF(OR($B536="",NOT(ISNUMBER($C536))),"",IF($D536&lt;&gt;"",ROUND(Points!$B$6*IF($F536&lt;Points!$H$4,Points!$H$5,1),0),ROUND(Points!$B$6*IF($F536&lt;=1,1,Points!$H$7+(1-Points!$H$7)*((($F536-$E536)*(($F536-$E536)+1)/2)^2-((($F536-$E536-COUNTIFS($A$5:$A$1668,$A536,$C$5:$C$1668,$C536)+1)-1)*($F536-$E536-COUNTIFS($A$5:$A$1668,$A536,$C$5:$C$1668,$C536)+1)/2)^2)/(COUNTIFS($A$5:$A$1668,$A536,$C$5:$C$1668,$C536)*($F536-1)^3))*IF($F536&lt;Points!$H$4,Points!$H$5,1),0)))</f>
        <v/>
      </c>
      <c r="H536" s="11">
        <f>IF($G536="","",COUNTIFS($B$5:$B$1668,$B536,$G$5:$G$1668,"&gt;"&amp;$G536)+COUNTIFS($B$4:$B535,$B536,$G$4:$G535,$G536)+1)</f>
        <v/>
      </c>
      <c r="I536" s="11">
        <f>IF($G536="","",IF($H536&lt;=Points!$H$6,$G536,0))</f>
        <v/>
      </c>
      <c r="J536" s="11">
        <f>IF($B536="","",IF(COUNTIF(Players!$A$2:$A$500,$B536)=0,"Player is not on the Players tab",IF(NOT(ISNUMBER($C536)),"Enter a gross score",IF(COUNTIFS($A$5:$A$1668,$A536,$B$5:$B$1668,$B536)&gt;1,"Player is listed twice this week",IF(AND($D536&lt;&gt;"",COUNTIFS($A$5:$A$1668,$A536,$D$5:$D$1668,$D536)&gt;1),"Two players picked as "&amp;$D536,IF(COUNTIFS($A$5:$A$1668,$A536,$D$5:$D$1668,"Gross winner")=0,"Pick this week's gross winner",IF(COUNTIFS($A$5:$A$1668,$A536,$D$5:$D$1668,"Net winner")=0,"Pick this week's net winner","OK")))))))</f>
        <v/>
      </c>
    </row>
    <row r="537" outlineLevel="1">
      <c r="A537" s="13" t="n">
        <v>46505</v>
      </c>
      <c r="E537" s="11">
        <f>IF(OR($B537="",NOT(ISNUMBER($C537))),"",COUNTIFS($A$5:$A$1668,$A537,$C$5:$C$1668,"&lt;"&amp;$C537)+1)</f>
        <v/>
      </c>
      <c r="F537" s="11">
        <f>IF(OR($B537="",NOT(ISNUMBER($C537))),"",COUNTIFS($A$5:$A$1668,$A537,$C$5:$C$1668,"&gt;0"))</f>
        <v/>
      </c>
      <c r="G537" s="11">
        <f>IF(OR($B537="",NOT(ISNUMBER($C537))),"",IF($D537&lt;&gt;"",ROUND(Points!$B$6*IF($F537&lt;Points!$H$4,Points!$H$5,1),0),ROUND(Points!$B$6*IF($F537&lt;=1,1,Points!$H$7+(1-Points!$H$7)*((($F537-$E537)*(($F537-$E537)+1)/2)^2-((($F537-$E537-COUNTIFS($A$5:$A$1668,$A537,$C$5:$C$1668,$C537)+1)-1)*($F537-$E537-COUNTIFS($A$5:$A$1668,$A537,$C$5:$C$1668,$C537)+1)/2)^2)/(COUNTIFS($A$5:$A$1668,$A537,$C$5:$C$1668,$C537)*($F537-1)^3))*IF($F537&lt;Points!$H$4,Points!$H$5,1),0)))</f>
        <v/>
      </c>
      <c r="H537" s="11">
        <f>IF($G537="","",COUNTIFS($B$5:$B$1668,$B537,$G$5:$G$1668,"&gt;"&amp;$G537)+COUNTIFS($B$4:$B536,$B537,$G$4:$G536,$G537)+1)</f>
        <v/>
      </c>
      <c r="I537" s="11">
        <f>IF($G537="","",IF($H537&lt;=Points!$H$6,$G537,0))</f>
        <v/>
      </c>
      <c r="J537" s="11">
        <f>IF($B537="","",IF(COUNTIF(Players!$A$2:$A$500,$B537)=0,"Player is not on the Players tab",IF(NOT(ISNUMBER($C537)),"Enter a gross score",IF(COUNTIFS($A$5:$A$1668,$A537,$B$5:$B$1668,$B537)&gt;1,"Player is listed twice this week",IF(AND($D537&lt;&gt;"",COUNTIFS($A$5:$A$1668,$A537,$D$5:$D$1668,$D537)&gt;1),"Two players picked as "&amp;$D537,IF(COUNTIFS($A$5:$A$1668,$A537,$D$5:$D$1668,"Gross winner")=0,"Pick this week's gross winner",IF(COUNTIFS($A$5:$A$1668,$A537,$D$5:$D$1668,"Net winner")=0,"Pick this week's net winner","OK")))))))</f>
        <v/>
      </c>
    </row>
    <row r="538" outlineLevel="1">
      <c r="A538" s="13" t="n">
        <v>46505</v>
      </c>
      <c r="E538" s="11">
        <f>IF(OR($B538="",NOT(ISNUMBER($C538))),"",COUNTIFS($A$5:$A$1668,$A538,$C$5:$C$1668,"&lt;"&amp;$C538)+1)</f>
        <v/>
      </c>
      <c r="F538" s="11">
        <f>IF(OR($B538="",NOT(ISNUMBER($C538))),"",COUNTIFS($A$5:$A$1668,$A538,$C$5:$C$1668,"&gt;0"))</f>
        <v/>
      </c>
      <c r="G538" s="11">
        <f>IF(OR($B538="",NOT(ISNUMBER($C538))),"",IF($D538&lt;&gt;"",ROUND(Points!$B$6*IF($F538&lt;Points!$H$4,Points!$H$5,1),0),ROUND(Points!$B$6*IF($F538&lt;=1,1,Points!$H$7+(1-Points!$H$7)*((($F538-$E538)*(($F538-$E538)+1)/2)^2-((($F538-$E538-COUNTIFS($A$5:$A$1668,$A538,$C$5:$C$1668,$C538)+1)-1)*($F538-$E538-COUNTIFS($A$5:$A$1668,$A538,$C$5:$C$1668,$C538)+1)/2)^2)/(COUNTIFS($A$5:$A$1668,$A538,$C$5:$C$1668,$C538)*($F538-1)^3))*IF($F538&lt;Points!$H$4,Points!$H$5,1),0)))</f>
        <v/>
      </c>
      <c r="H538" s="11">
        <f>IF($G538="","",COUNTIFS($B$5:$B$1668,$B538,$G$5:$G$1668,"&gt;"&amp;$G538)+COUNTIFS($B$4:$B537,$B538,$G$4:$G537,$G538)+1)</f>
        <v/>
      </c>
      <c r="I538" s="11">
        <f>IF($G538="","",IF($H538&lt;=Points!$H$6,$G538,0))</f>
        <v/>
      </c>
      <c r="J538" s="11">
        <f>IF($B538="","",IF(COUNTIF(Players!$A$2:$A$500,$B538)=0,"Player is not on the Players tab",IF(NOT(ISNUMBER($C538)),"Enter a gross score",IF(COUNTIFS($A$5:$A$1668,$A538,$B$5:$B$1668,$B538)&gt;1,"Player is listed twice this week",IF(AND($D538&lt;&gt;"",COUNTIFS($A$5:$A$1668,$A538,$D$5:$D$1668,$D538)&gt;1),"Two players picked as "&amp;$D538,IF(COUNTIFS($A$5:$A$1668,$A538,$D$5:$D$1668,"Gross winner")=0,"Pick this week's gross winner",IF(COUNTIFS($A$5:$A$1668,$A538,$D$5:$D$1668,"Net winner")=0,"Pick this week's net winner","OK")))))))</f>
        <v/>
      </c>
    </row>
    <row r="539" outlineLevel="1">
      <c r="A539" s="13" t="n">
        <v>46505</v>
      </c>
      <c r="E539" s="11">
        <f>IF(OR($B539="",NOT(ISNUMBER($C539))),"",COUNTIFS($A$5:$A$1668,$A539,$C$5:$C$1668,"&lt;"&amp;$C539)+1)</f>
        <v/>
      </c>
      <c r="F539" s="11">
        <f>IF(OR($B539="",NOT(ISNUMBER($C539))),"",COUNTIFS($A$5:$A$1668,$A539,$C$5:$C$1668,"&gt;0"))</f>
        <v/>
      </c>
      <c r="G539" s="11">
        <f>IF(OR($B539="",NOT(ISNUMBER($C539))),"",IF($D539&lt;&gt;"",ROUND(Points!$B$6*IF($F539&lt;Points!$H$4,Points!$H$5,1),0),ROUND(Points!$B$6*IF($F539&lt;=1,1,Points!$H$7+(1-Points!$H$7)*((($F539-$E539)*(($F539-$E539)+1)/2)^2-((($F539-$E539-COUNTIFS($A$5:$A$1668,$A539,$C$5:$C$1668,$C539)+1)-1)*($F539-$E539-COUNTIFS($A$5:$A$1668,$A539,$C$5:$C$1668,$C539)+1)/2)^2)/(COUNTIFS($A$5:$A$1668,$A539,$C$5:$C$1668,$C539)*($F539-1)^3))*IF($F539&lt;Points!$H$4,Points!$H$5,1),0)))</f>
        <v/>
      </c>
      <c r="H539" s="11">
        <f>IF($G539="","",COUNTIFS($B$5:$B$1668,$B539,$G$5:$G$1668,"&gt;"&amp;$G539)+COUNTIFS($B$4:$B538,$B539,$G$4:$G538,$G539)+1)</f>
        <v/>
      </c>
      <c r="I539" s="11">
        <f>IF($G539="","",IF($H539&lt;=Points!$H$6,$G539,0))</f>
        <v/>
      </c>
      <c r="J539" s="11">
        <f>IF($B539="","",IF(COUNTIF(Players!$A$2:$A$500,$B539)=0,"Player is not on the Players tab",IF(NOT(ISNUMBER($C539)),"Enter a gross score",IF(COUNTIFS($A$5:$A$1668,$A539,$B$5:$B$1668,$B539)&gt;1,"Player is listed twice this week",IF(AND($D539&lt;&gt;"",COUNTIFS($A$5:$A$1668,$A539,$D$5:$D$1668,$D539)&gt;1),"Two players picked as "&amp;$D539,IF(COUNTIFS($A$5:$A$1668,$A539,$D$5:$D$1668,"Gross winner")=0,"Pick this week's gross winner",IF(COUNTIFS($A$5:$A$1668,$A539,$D$5:$D$1668,"Net winner")=0,"Pick this week's net winner","OK")))))))</f>
        <v/>
      </c>
    </row>
    <row r="540" outlineLevel="1">
      <c r="A540" s="13" t="n">
        <v>46505</v>
      </c>
      <c r="E540" s="11">
        <f>IF(OR($B540="",NOT(ISNUMBER($C540))),"",COUNTIFS($A$5:$A$1668,$A540,$C$5:$C$1668,"&lt;"&amp;$C540)+1)</f>
        <v/>
      </c>
      <c r="F540" s="11">
        <f>IF(OR($B540="",NOT(ISNUMBER($C540))),"",COUNTIFS($A$5:$A$1668,$A540,$C$5:$C$1668,"&gt;0"))</f>
        <v/>
      </c>
      <c r="G540" s="11">
        <f>IF(OR($B540="",NOT(ISNUMBER($C540))),"",IF($D540&lt;&gt;"",ROUND(Points!$B$6*IF($F540&lt;Points!$H$4,Points!$H$5,1),0),ROUND(Points!$B$6*IF($F540&lt;=1,1,Points!$H$7+(1-Points!$H$7)*((($F540-$E540)*(($F540-$E540)+1)/2)^2-((($F540-$E540-COUNTIFS($A$5:$A$1668,$A540,$C$5:$C$1668,$C540)+1)-1)*($F540-$E540-COUNTIFS($A$5:$A$1668,$A540,$C$5:$C$1668,$C540)+1)/2)^2)/(COUNTIFS($A$5:$A$1668,$A540,$C$5:$C$1668,$C540)*($F540-1)^3))*IF($F540&lt;Points!$H$4,Points!$H$5,1),0)))</f>
        <v/>
      </c>
      <c r="H540" s="11">
        <f>IF($G540="","",COUNTIFS($B$5:$B$1668,$B540,$G$5:$G$1668,"&gt;"&amp;$G540)+COUNTIFS($B$4:$B539,$B540,$G$4:$G539,$G540)+1)</f>
        <v/>
      </c>
      <c r="I540" s="11">
        <f>IF($G540="","",IF($H540&lt;=Points!$H$6,$G540,0))</f>
        <v/>
      </c>
      <c r="J540" s="11">
        <f>IF($B540="","",IF(COUNTIF(Players!$A$2:$A$500,$B540)=0,"Player is not on the Players tab",IF(NOT(ISNUMBER($C540)),"Enter a gross score",IF(COUNTIFS($A$5:$A$1668,$A540,$B$5:$B$1668,$B540)&gt;1,"Player is listed twice this week",IF(AND($D540&lt;&gt;"",COUNTIFS($A$5:$A$1668,$A540,$D$5:$D$1668,$D540)&gt;1),"Two players picked as "&amp;$D540,IF(COUNTIFS($A$5:$A$1668,$A540,$D$5:$D$1668,"Gross winner")=0,"Pick this week's gross winner",IF(COUNTIFS($A$5:$A$1668,$A540,$D$5:$D$1668,"Net winner")=0,"Pick this week's net winner","OK")))))))</f>
        <v/>
      </c>
    </row>
    <row r="541" outlineLevel="1">
      <c r="A541" s="13" t="n">
        <v>46505</v>
      </c>
      <c r="E541" s="11">
        <f>IF(OR($B541="",NOT(ISNUMBER($C541))),"",COUNTIFS($A$5:$A$1668,$A541,$C$5:$C$1668,"&lt;"&amp;$C541)+1)</f>
        <v/>
      </c>
      <c r="F541" s="11">
        <f>IF(OR($B541="",NOT(ISNUMBER($C541))),"",COUNTIFS($A$5:$A$1668,$A541,$C$5:$C$1668,"&gt;0"))</f>
        <v/>
      </c>
      <c r="G541" s="11">
        <f>IF(OR($B541="",NOT(ISNUMBER($C541))),"",IF($D541&lt;&gt;"",ROUND(Points!$B$6*IF($F541&lt;Points!$H$4,Points!$H$5,1),0),ROUND(Points!$B$6*IF($F541&lt;=1,1,Points!$H$7+(1-Points!$H$7)*((($F541-$E541)*(($F541-$E541)+1)/2)^2-((($F541-$E541-COUNTIFS($A$5:$A$1668,$A541,$C$5:$C$1668,$C541)+1)-1)*($F541-$E541-COUNTIFS($A$5:$A$1668,$A541,$C$5:$C$1668,$C541)+1)/2)^2)/(COUNTIFS($A$5:$A$1668,$A541,$C$5:$C$1668,$C541)*($F541-1)^3))*IF($F541&lt;Points!$H$4,Points!$H$5,1),0)))</f>
        <v/>
      </c>
      <c r="H541" s="11">
        <f>IF($G541="","",COUNTIFS($B$5:$B$1668,$B541,$G$5:$G$1668,"&gt;"&amp;$G541)+COUNTIFS($B$4:$B540,$B541,$G$4:$G540,$G541)+1)</f>
        <v/>
      </c>
      <c r="I541" s="11">
        <f>IF($G541="","",IF($H541&lt;=Points!$H$6,$G541,0))</f>
        <v/>
      </c>
      <c r="J541" s="11">
        <f>IF($B541="","",IF(COUNTIF(Players!$A$2:$A$500,$B541)=0,"Player is not on the Players tab",IF(NOT(ISNUMBER($C541)),"Enter a gross score",IF(COUNTIFS($A$5:$A$1668,$A541,$B$5:$B$1668,$B541)&gt;1,"Player is listed twice this week",IF(AND($D541&lt;&gt;"",COUNTIFS($A$5:$A$1668,$A541,$D$5:$D$1668,$D541)&gt;1),"Two players picked as "&amp;$D541,IF(COUNTIFS($A$5:$A$1668,$A541,$D$5:$D$1668,"Gross winner")=0,"Pick this week's gross winner",IF(COUNTIFS($A$5:$A$1668,$A541,$D$5:$D$1668,"Net winner")=0,"Pick this week's net winner","OK")))))))</f>
        <v/>
      </c>
    </row>
    <row r="542" outlineLevel="1">
      <c r="A542" s="13" t="n">
        <v>46505</v>
      </c>
      <c r="E542" s="11">
        <f>IF(OR($B542="",NOT(ISNUMBER($C542))),"",COUNTIFS($A$5:$A$1668,$A542,$C$5:$C$1668,"&lt;"&amp;$C542)+1)</f>
        <v/>
      </c>
      <c r="F542" s="11">
        <f>IF(OR($B542="",NOT(ISNUMBER($C542))),"",COUNTIFS($A$5:$A$1668,$A542,$C$5:$C$1668,"&gt;0"))</f>
        <v/>
      </c>
      <c r="G542" s="11">
        <f>IF(OR($B542="",NOT(ISNUMBER($C542))),"",IF($D542&lt;&gt;"",ROUND(Points!$B$6*IF($F542&lt;Points!$H$4,Points!$H$5,1),0),ROUND(Points!$B$6*IF($F542&lt;=1,1,Points!$H$7+(1-Points!$H$7)*((($F542-$E542)*(($F542-$E542)+1)/2)^2-((($F542-$E542-COUNTIFS($A$5:$A$1668,$A542,$C$5:$C$1668,$C542)+1)-1)*($F542-$E542-COUNTIFS($A$5:$A$1668,$A542,$C$5:$C$1668,$C542)+1)/2)^2)/(COUNTIFS($A$5:$A$1668,$A542,$C$5:$C$1668,$C542)*($F542-1)^3))*IF($F542&lt;Points!$H$4,Points!$H$5,1),0)))</f>
        <v/>
      </c>
      <c r="H542" s="11">
        <f>IF($G542="","",COUNTIFS($B$5:$B$1668,$B542,$G$5:$G$1668,"&gt;"&amp;$G542)+COUNTIFS($B$4:$B541,$B542,$G$4:$G541,$G542)+1)</f>
        <v/>
      </c>
      <c r="I542" s="11">
        <f>IF($G542="","",IF($H542&lt;=Points!$H$6,$G542,0))</f>
        <v/>
      </c>
      <c r="J542" s="11">
        <f>IF($B542="","",IF(COUNTIF(Players!$A$2:$A$500,$B542)=0,"Player is not on the Players tab",IF(NOT(ISNUMBER($C542)),"Enter a gross score",IF(COUNTIFS($A$5:$A$1668,$A542,$B$5:$B$1668,$B542)&gt;1,"Player is listed twice this week",IF(AND($D542&lt;&gt;"",COUNTIFS($A$5:$A$1668,$A542,$D$5:$D$1668,$D542)&gt;1),"Two players picked as "&amp;$D542,IF(COUNTIFS($A$5:$A$1668,$A542,$D$5:$D$1668,"Gross winner")=0,"Pick this week's gross winner",IF(COUNTIFS($A$5:$A$1668,$A542,$D$5:$D$1668,"Net winner")=0,"Pick this week's net winner","OK")))))))</f>
        <v/>
      </c>
    </row>
    <row r="543" outlineLevel="1">
      <c r="A543" s="13" t="n">
        <v>46505</v>
      </c>
      <c r="E543" s="11">
        <f>IF(OR($B543="",NOT(ISNUMBER($C543))),"",COUNTIFS($A$5:$A$1668,$A543,$C$5:$C$1668,"&lt;"&amp;$C543)+1)</f>
        <v/>
      </c>
      <c r="F543" s="11">
        <f>IF(OR($B543="",NOT(ISNUMBER($C543))),"",COUNTIFS($A$5:$A$1668,$A543,$C$5:$C$1668,"&gt;0"))</f>
        <v/>
      </c>
      <c r="G543" s="11">
        <f>IF(OR($B543="",NOT(ISNUMBER($C543))),"",IF($D543&lt;&gt;"",ROUND(Points!$B$6*IF($F543&lt;Points!$H$4,Points!$H$5,1),0),ROUND(Points!$B$6*IF($F543&lt;=1,1,Points!$H$7+(1-Points!$H$7)*((($F543-$E543)*(($F543-$E543)+1)/2)^2-((($F543-$E543-COUNTIFS($A$5:$A$1668,$A543,$C$5:$C$1668,$C543)+1)-1)*($F543-$E543-COUNTIFS($A$5:$A$1668,$A543,$C$5:$C$1668,$C543)+1)/2)^2)/(COUNTIFS($A$5:$A$1668,$A543,$C$5:$C$1668,$C543)*($F543-1)^3))*IF($F543&lt;Points!$H$4,Points!$H$5,1),0)))</f>
        <v/>
      </c>
      <c r="H543" s="11">
        <f>IF($G543="","",COUNTIFS($B$5:$B$1668,$B543,$G$5:$G$1668,"&gt;"&amp;$G543)+COUNTIFS($B$4:$B542,$B543,$G$4:$G542,$G543)+1)</f>
        <v/>
      </c>
      <c r="I543" s="11">
        <f>IF($G543="","",IF($H543&lt;=Points!$H$6,$G543,0))</f>
        <v/>
      </c>
      <c r="J543" s="11">
        <f>IF($B543="","",IF(COUNTIF(Players!$A$2:$A$500,$B543)=0,"Player is not on the Players tab",IF(NOT(ISNUMBER($C543)),"Enter a gross score",IF(COUNTIFS($A$5:$A$1668,$A543,$B$5:$B$1668,$B543)&gt;1,"Player is listed twice this week",IF(AND($D543&lt;&gt;"",COUNTIFS($A$5:$A$1668,$A543,$D$5:$D$1668,$D543)&gt;1),"Two players picked as "&amp;$D543,IF(COUNTIFS($A$5:$A$1668,$A543,$D$5:$D$1668,"Gross winner")=0,"Pick this week's gross winner",IF(COUNTIFS($A$5:$A$1668,$A543,$D$5:$D$1668,"Net winner")=0,"Pick this week's net winner","OK")))))))</f>
        <v/>
      </c>
    </row>
    <row r="544" outlineLevel="1">
      <c r="A544" s="13" t="n">
        <v>46505</v>
      </c>
      <c r="E544" s="11">
        <f>IF(OR($B544="",NOT(ISNUMBER($C544))),"",COUNTIFS($A$5:$A$1668,$A544,$C$5:$C$1668,"&lt;"&amp;$C544)+1)</f>
        <v/>
      </c>
      <c r="F544" s="11">
        <f>IF(OR($B544="",NOT(ISNUMBER($C544))),"",COUNTIFS($A$5:$A$1668,$A544,$C$5:$C$1668,"&gt;0"))</f>
        <v/>
      </c>
      <c r="G544" s="11">
        <f>IF(OR($B544="",NOT(ISNUMBER($C544))),"",IF($D544&lt;&gt;"",ROUND(Points!$B$6*IF($F544&lt;Points!$H$4,Points!$H$5,1),0),ROUND(Points!$B$6*IF($F544&lt;=1,1,Points!$H$7+(1-Points!$H$7)*((($F544-$E544)*(($F544-$E544)+1)/2)^2-((($F544-$E544-COUNTIFS($A$5:$A$1668,$A544,$C$5:$C$1668,$C544)+1)-1)*($F544-$E544-COUNTIFS($A$5:$A$1668,$A544,$C$5:$C$1668,$C544)+1)/2)^2)/(COUNTIFS($A$5:$A$1668,$A544,$C$5:$C$1668,$C544)*($F544-1)^3))*IF($F544&lt;Points!$H$4,Points!$H$5,1),0)))</f>
        <v/>
      </c>
      <c r="H544" s="11">
        <f>IF($G544="","",COUNTIFS($B$5:$B$1668,$B544,$G$5:$G$1668,"&gt;"&amp;$G544)+COUNTIFS($B$4:$B543,$B544,$G$4:$G543,$G544)+1)</f>
        <v/>
      </c>
      <c r="I544" s="11">
        <f>IF($G544="","",IF($H544&lt;=Points!$H$6,$G544,0))</f>
        <v/>
      </c>
      <c r="J544" s="11">
        <f>IF($B544="","",IF(COUNTIF(Players!$A$2:$A$500,$B544)=0,"Player is not on the Players tab",IF(NOT(ISNUMBER($C544)),"Enter a gross score",IF(COUNTIFS($A$5:$A$1668,$A544,$B$5:$B$1668,$B544)&gt;1,"Player is listed twice this week",IF(AND($D544&lt;&gt;"",COUNTIFS($A$5:$A$1668,$A544,$D$5:$D$1668,$D544)&gt;1),"Two players picked as "&amp;$D544,IF(COUNTIFS($A$5:$A$1668,$A544,$D$5:$D$1668,"Gross winner")=0,"Pick this week's gross winner",IF(COUNTIFS($A$5:$A$1668,$A544,$D$5:$D$1668,"Net winner")=0,"Pick this week's net winner","OK")))))))</f>
        <v/>
      </c>
    </row>
    <row r="545" outlineLevel="1">
      <c r="A545" s="13" t="n">
        <v>46505</v>
      </c>
      <c r="E545" s="11">
        <f>IF(OR($B545="",NOT(ISNUMBER($C545))),"",COUNTIFS($A$5:$A$1668,$A545,$C$5:$C$1668,"&lt;"&amp;$C545)+1)</f>
        <v/>
      </c>
      <c r="F545" s="11">
        <f>IF(OR($B545="",NOT(ISNUMBER($C545))),"",COUNTIFS($A$5:$A$1668,$A545,$C$5:$C$1668,"&gt;0"))</f>
        <v/>
      </c>
      <c r="G545" s="11">
        <f>IF(OR($B545="",NOT(ISNUMBER($C545))),"",IF($D545&lt;&gt;"",ROUND(Points!$B$6*IF($F545&lt;Points!$H$4,Points!$H$5,1),0),ROUND(Points!$B$6*IF($F545&lt;=1,1,Points!$H$7+(1-Points!$H$7)*((($F545-$E545)*(($F545-$E545)+1)/2)^2-((($F545-$E545-COUNTIFS($A$5:$A$1668,$A545,$C$5:$C$1668,$C545)+1)-1)*($F545-$E545-COUNTIFS($A$5:$A$1668,$A545,$C$5:$C$1668,$C545)+1)/2)^2)/(COUNTIFS($A$5:$A$1668,$A545,$C$5:$C$1668,$C545)*($F545-1)^3))*IF($F545&lt;Points!$H$4,Points!$H$5,1),0)))</f>
        <v/>
      </c>
      <c r="H545" s="11">
        <f>IF($G545="","",COUNTIFS($B$5:$B$1668,$B545,$G$5:$G$1668,"&gt;"&amp;$G545)+COUNTIFS($B$4:$B544,$B545,$G$4:$G544,$G545)+1)</f>
        <v/>
      </c>
      <c r="I545" s="11">
        <f>IF($G545="","",IF($H545&lt;=Points!$H$6,$G545,0))</f>
        <v/>
      </c>
      <c r="J545" s="11">
        <f>IF($B545="","",IF(COUNTIF(Players!$A$2:$A$500,$B545)=0,"Player is not on the Players tab",IF(NOT(ISNUMBER($C545)),"Enter a gross score",IF(COUNTIFS($A$5:$A$1668,$A545,$B$5:$B$1668,$B545)&gt;1,"Player is listed twice this week",IF(AND($D545&lt;&gt;"",COUNTIFS($A$5:$A$1668,$A545,$D$5:$D$1668,$D545)&gt;1),"Two players picked as "&amp;$D545,IF(COUNTIFS($A$5:$A$1668,$A545,$D$5:$D$1668,"Gross winner")=0,"Pick this week's gross winner",IF(COUNTIFS($A$5:$A$1668,$A545,$D$5:$D$1668,"Net winner")=0,"Pick this week's net winner","OK")))))))</f>
        <v/>
      </c>
    </row>
    <row r="546" outlineLevel="1">
      <c r="A546" s="13" t="n">
        <v>46505</v>
      </c>
      <c r="E546" s="11">
        <f>IF(OR($B546="",NOT(ISNUMBER($C546))),"",COUNTIFS($A$5:$A$1668,$A546,$C$5:$C$1668,"&lt;"&amp;$C546)+1)</f>
        <v/>
      </c>
      <c r="F546" s="11">
        <f>IF(OR($B546="",NOT(ISNUMBER($C546))),"",COUNTIFS($A$5:$A$1668,$A546,$C$5:$C$1668,"&gt;0"))</f>
        <v/>
      </c>
      <c r="G546" s="11">
        <f>IF(OR($B546="",NOT(ISNUMBER($C546))),"",IF($D546&lt;&gt;"",ROUND(Points!$B$6*IF($F546&lt;Points!$H$4,Points!$H$5,1),0),ROUND(Points!$B$6*IF($F546&lt;=1,1,Points!$H$7+(1-Points!$H$7)*((($F546-$E546)*(($F546-$E546)+1)/2)^2-((($F546-$E546-COUNTIFS($A$5:$A$1668,$A546,$C$5:$C$1668,$C546)+1)-1)*($F546-$E546-COUNTIFS($A$5:$A$1668,$A546,$C$5:$C$1668,$C546)+1)/2)^2)/(COUNTIFS($A$5:$A$1668,$A546,$C$5:$C$1668,$C546)*($F546-1)^3))*IF($F546&lt;Points!$H$4,Points!$H$5,1),0)))</f>
        <v/>
      </c>
      <c r="H546" s="11">
        <f>IF($G546="","",COUNTIFS($B$5:$B$1668,$B546,$G$5:$G$1668,"&gt;"&amp;$G546)+COUNTIFS($B$4:$B545,$B546,$G$4:$G545,$G546)+1)</f>
        <v/>
      </c>
      <c r="I546" s="11">
        <f>IF($G546="","",IF($H546&lt;=Points!$H$6,$G546,0))</f>
        <v/>
      </c>
      <c r="J546" s="11">
        <f>IF($B546="","",IF(COUNTIF(Players!$A$2:$A$500,$B546)=0,"Player is not on the Players tab",IF(NOT(ISNUMBER($C546)),"Enter a gross score",IF(COUNTIFS($A$5:$A$1668,$A546,$B$5:$B$1668,$B546)&gt;1,"Player is listed twice this week",IF(AND($D546&lt;&gt;"",COUNTIFS($A$5:$A$1668,$A546,$D$5:$D$1668,$D546)&gt;1),"Two players picked as "&amp;$D546,IF(COUNTIFS($A$5:$A$1668,$A546,$D$5:$D$1668,"Gross winner")=0,"Pick this week's gross winner",IF(COUNTIFS($A$5:$A$1668,$A546,$D$5:$D$1668,"Net winner")=0,"Pick this week's net winner","OK")))))))</f>
        <v/>
      </c>
    </row>
    <row r="547" outlineLevel="1">
      <c r="A547" s="13" t="n">
        <v>46505</v>
      </c>
      <c r="E547" s="11">
        <f>IF(OR($B547="",NOT(ISNUMBER($C547))),"",COUNTIFS($A$5:$A$1668,$A547,$C$5:$C$1668,"&lt;"&amp;$C547)+1)</f>
        <v/>
      </c>
      <c r="F547" s="11">
        <f>IF(OR($B547="",NOT(ISNUMBER($C547))),"",COUNTIFS($A$5:$A$1668,$A547,$C$5:$C$1668,"&gt;0"))</f>
        <v/>
      </c>
      <c r="G547" s="11">
        <f>IF(OR($B547="",NOT(ISNUMBER($C547))),"",IF($D547&lt;&gt;"",ROUND(Points!$B$6*IF($F547&lt;Points!$H$4,Points!$H$5,1),0),ROUND(Points!$B$6*IF($F547&lt;=1,1,Points!$H$7+(1-Points!$H$7)*((($F547-$E547)*(($F547-$E547)+1)/2)^2-((($F547-$E547-COUNTIFS($A$5:$A$1668,$A547,$C$5:$C$1668,$C547)+1)-1)*($F547-$E547-COUNTIFS($A$5:$A$1668,$A547,$C$5:$C$1668,$C547)+1)/2)^2)/(COUNTIFS($A$5:$A$1668,$A547,$C$5:$C$1668,$C547)*($F547-1)^3))*IF($F547&lt;Points!$H$4,Points!$H$5,1),0)))</f>
        <v/>
      </c>
      <c r="H547" s="11">
        <f>IF($G547="","",COUNTIFS($B$5:$B$1668,$B547,$G$5:$G$1668,"&gt;"&amp;$G547)+COUNTIFS($B$4:$B546,$B547,$G$4:$G546,$G547)+1)</f>
        <v/>
      </c>
      <c r="I547" s="11">
        <f>IF($G547="","",IF($H547&lt;=Points!$H$6,$G547,0))</f>
        <v/>
      </c>
      <c r="J547" s="11">
        <f>IF($B547="","",IF(COUNTIF(Players!$A$2:$A$500,$B547)=0,"Player is not on the Players tab",IF(NOT(ISNUMBER($C547)),"Enter a gross score",IF(COUNTIFS($A$5:$A$1668,$A547,$B$5:$B$1668,$B547)&gt;1,"Player is listed twice this week",IF(AND($D547&lt;&gt;"",COUNTIFS($A$5:$A$1668,$A547,$D$5:$D$1668,$D547)&gt;1),"Two players picked as "&amp;$D547,IF(COUNTIFS($A$5:$A$1668,$A547,$D$5:$D$1668,"Gross winner")=0,"Pick this week's gross winner",IF(COUNTIFS($A$5:$A$1668,$A547,$D$5:$D$1668,"Net winner")=0,"Pick this week's net winner","OK")))))))</f>
        <v/>
      </c>
    </row>
    <row r="548" ht="10" customHeight="1"/>
    <row r="549" ht="22" customHeight="1">
      <c r="A549" s="12" t="inlineStr">
        <is>
          <t>Week 18  ·  Wednesday, May 5</t>
        </is>
      </c>
    </row>
    <row r="550" outlineLevel="1">
      <c r="A550" s="13" t="n">
        <v>46512</v>
      </c>
      <c r="E550" s="11">
        <f>IF(OR($B550="",NOT(ISNUMBER($C550))),"",COUNTIFS($A$5:$A$1668,$A550,$C$5:$C$1668,"&lt;"&amp;$C550)+1)</f>
        <v/>
      </c>
      <c r="F550" s="11">
        <f>IF(OR($B550="",NOT(ISNUMBER($C550))),"",COUNTIFS($A$5:$A$1668,$A550,$C$5:$C$1668,"&gt;0"))</f>
        <v/>
      </c>
      <c r="G550" s="11">
        <f>IF(OR($B550="",NOT(ISNUMBER($C550))),"",IF($D550&lt;&gt;"",ROUND(Points!$B$6*IF($F550&lt;Points!$H$4,Points!$H$5,1),0),ROUND(Points!$B$6*IF($F550&lt;=1,1,Points!$H$7+(1-Points!$H$7)*((($F550-$E550)*(($F550-$E550)+1)/2)^2-((($F550-$E550-COUNTIFS($A$5:$A$1668,$A550,$C$5:$C$1668,$C550)+1)-1)*($F550-$E550-COUNTIFS($A$5:$A$1668,$A550,$C$5:$C$1668,$C550)+1)/2)^2)/(COUNTIFS($A$5:$A$1668,$A550,$C$5:$C$1668,$C550)*($F550-1)^3))*IF($F550&lt;Points!$H$4,Points!$H$5,1),0)))</f>
        <v/>
      </c>
      <c r="H550" s="11">
        <f>IF($G550="","",COUNTIFS($B$5:$B$1668,$B550,$G$5:$G$1668,"&gt;"&amp;$G550)+COUNTIFS($B$4:$B549,$B550,$G$4:$G549,$G550)+1)</f>
        <v/>
      </c>
      <c r="I550" s="11">
        <f>IF($G550="","",IF($H550&lt;=Points!$H$6,$G550,0))</f>
        <v/>
      </c>
      <c r="J550" s="11">
        <f>IF($B550="","",IF(COUNTIF(Players!$A$2:$A$500,$B550)=0,"Player is not on the Players tab",IF(NOT(ISNUMBER($C550)),"Enter a gross score",IF(COUNTIFS($A$5:$A$1668,$A550,$B$5:$B$1668,$B550)&gt;1,"Player is listed twice this week",IF(AND($D550&lt;&gt;"",COUNTIFS($A$5:$A$1668,$A550,$D$5:$D$1668,$D550)&gt;1),"Two players picked as "&amp;$D550,IF(COUNTIFS($A$5:$A$1668,$A550,$D$5:$D$1668,"Gross winner")=0,"Pick this week's gross winner",IF(COUNTIFS($A$5:$A$1668,$A550,$D$5:$D$1668,"Net winner")=0,"Pick this week's net winner","OK")))))))</f>
        <v/>
      </c>
    </row>
    <row r="551" outlineLevel="1">
      <c r="A551" s="13" t="n">
        <v>46512</v>
      </c>
      <c r="E551" s="11">
        <f>IF(OR($B551="",NOT(ISNUMBER($C551))),"",COUNTIFS($A$5:$A$1668,$A551,$C$5:$C$1668,"&lt;"&amp;$C551)+1)</f>
        <v/>
      </c>
      <c r="F551" s="11">
        <f>IF(OR($B551="",NOT(ISNUMBER($C551))),"",COUNTIFS($A$5:$A$1668,$A551,$C$5:$C$1668,"&gt;0"))</f>
        <v/>
      </c>
      <c r="G551" s="11">
        <f>IF(OR($B551="",NOT(ISNUMBER($C551))),"",IF($D551&lt;&gt;"",ROUND(Points!$B$6*IF($F551&lt;Points!$H$4,Points!$H$5,1),0),ROUND(Points!$B$6*IF($F551&lt;=1,1,Points!$H$7+(1-Points!$H$7)*((($F551-$E551)*(($F551-$E551)+1)/2)^2-((($F551-$E551-COUNTIFS($A$5:$A$1668,$A551,$C$5:$C$1668,$C551)+1)-1)*($F551-$E551-COUNTIFS($A$5:$A$1668,$A551,$C$5:$C$1668,$C551)+1)/2)^2)/(COUNTIFS($A$5:$A$1668,$A551,$C$5:$C$1668,$C551)*($F551-1)^3))*IF($F551&lt;Points!$H$4,Points!$H$5,1),0)))</f>
        <v/>
      </c>
      <c r="H551" s="11">
        <f>IF($G551="","",COUNTIFS($B$5:$B$1668,$B551,$G$5:$G$1668,"&gt;"&amp;$G551)+COUNTIFS($B$4:$B550,$B551,$G$4:$G550,$G551)+1)</f>
        <v/>
      </c>
      <c r="I551" s="11">
        <f>IF($G551="","",IF($H551&lt;=Points!$H$6,$G551,0))</f>
        <v/>
      </c>
      <c r="J551" s="11">
        <f>IF($B551="","",IF(COUNTIF(Players!$A$2:$A$500,$B551)=0,"Player is not on the Players tab",IF(NOT(ISNUMBER($C551)),"Enter a gross score",IF(COUNTIFS($A$5:$A$1668,$A551,$B$5:$B$1668,$B551)&gt;1,"Player is listed twice this week",IF(AND($D551&lt;&gt;"",COUNTIFS($A$5:$A$1668,$A551,$D$5:$D$1668,$D551)&gt;1),"Two players picked as "&amp;$D551,IF(COUNTIFS($A$5:$A$1668,$A551,$D$5:$D$1668,"Gross winner")=0,"Pick this week's gross winner",IF(COUNTIFS($A$5:$A$1668,$A551,$D$5:$D$1668,"Net winner")=0,"Pick this week's net winner","OK")))))))</f>
        <v/>
      </c>
    </row>
    <row r="552" outlineLevel="1">
      <c r="A552" s="13" t="n">
        <v>46512</v>
      </c>
      <c r="E552" s="11">
        <f>IF(OR($B552="",NOT(ISNUMBER($C552))),"",COUNTIFS($A$5:$A$1668,$A552,$C$5:$C$1668,"&lt;"&amp;$C552)+1)</f>
        <v/>
      </c>
      <c r="F552" s="11">
        <f>IF(OR($B552="",NOT(ISNUMBER($C552))),"",COUNTIFS($A$5:$A$1668,$A552,$C$5:$C$1668,"&gt;0"))</f>
        <v/>
      </c>
      <c r="G552" s="11">
        <f>IF(OR($B552="",NOT(ISNUMBER($C552))),"",IF($D552&lt;&gt;"",ROUND(Points!$B$6*IF($F552&lt;Points!$H$4,Points!$H$5,1),0),ROUND(Points!$B$6*IF($F552&lt;=1,1,Points!$H$7+(1-Points!$H$7)*((($F552-$E552)*(($F552-$E552)+1)/2)^2-((($F552-$E552-COUNTIFS($A$5:$A$1668,$A552,$C$5:$C$1668,$C552)+1)-1)*($F552-$E552-COUNTIFS($A$5:$A$1668,$A552,$C$5:$C$1668,$C552)+1)/2)^2)/(COUNTIFS($A$5:$A$1668,$A552,$C$5:$C$1668,$C552)*($F552-1)^3))*IF($F552&lt;Points!$H$4,Points!$H$5,1),0)))</f>
        <v/>
      </c>
      <c r="H552" s="11">
        <f>IF($G552="","",COUNTIFS($B$5:$B$1668,$B552,$G$5:$G$1668,"&gt;"&amp;$G552)+COUNTIFS($B$4:$B551,$B552,$G$4:$G551,$G552)+1)</f>
        <v/>
      </c>
      <c r="I552" s="11">
        <f>IF($G552="","",IF($H552&lt;=Points!$H$6,$G552,0))</f>
        <v/>
      </c>
      <c r="J552" s="11">
        <f>IF($B552="","",IF(COUNTIF(Players!$A$2:$A$500,$B552)=0,"Player is not on the Players tab",IF(NOT(ISNUMBER($C552)),"Enter a gross score",IF(COUNTIFS($A$5:$A$1668,$A552,$B$5:$B$1668,$B552)&gt;1,"Player is listed twice this week",IF(AND($D552&lt;&gt;"",COUNTIFS($A$5:$A$1668,$A552,$D$5:$D$1668,$D552)&gt;1),"Two players picked as "&amp;$D552,IF(COUNTIFS($A$5:$A$1668,$A552,$D$5:$D$1668,"Gross winner")=0,"Pick this week's gross winner",IF(COUNTIFS($A$5:$A$1668,$A552,$D$5:$D$1668,"Net winner")=0,"Pick this week's net winner","OK")))))))</f>
        <v/>
      </c>
    </row>
    <row r="553" outlineLevel="1">
      <c r="A553" s="13" t="n">
        <v>46512</v>
      </c>
      <c r="E553" s="11">
        <f>IF(OR($B553="",NOT(ISNUMBER($C553))),"",COUNTIFS($A$5:$A$1668,$A553,$C$5:$C$1668,"&lt;"&amp;$C553)+1)</f>
        <v/>
      </c>
      <c r="F553" s="11">
        <f>IF(OR($B553="",NOT(ISNUMBER($C553))),"",COUNTIFS($A$5:$A$1668,$A553,$C$5:$C$1668,"&gt;0"))</f>
        <v/>
      </c>
      <c r="G553" s="11">
        <f>IF(OR($B553="",NOT(ISNUMBER($C553))),"",IF($D553&lt;&gt;"",ROUND(Points!$B$6*IF($F553&lt;Points!$H$4,Points!$H$5,1),0),ROUND(Points!$B$6*IF($F553&lt;=1,1,Points!$H$7+(1-Points!$H$7)*((($F553-$E553)*(($F553-$E553)+1)/2)^2-((($F553-$E553-COUNTIFS($A$5:$A$1668,$A553,$C$5:$C$1668,$C553)+1)-1)*($F553-$E553-COUNTIFS($A$5:$A$1668,$A553,$C$5:$C$1668,$C553)+1)/2)^2)/(COUNTIFS($A$5:$A$1668,$A553,$C$5:$C$1668,$C553)*($F553-1)^3))*IF($F553&lt;Points!$H$4,Points!$H$5,1),0)))</f>
        <v/>
      </c>
      <c r="H553" s="11">
        <f>IF($G553="","",COUNTIFS($B$5:$B$1668,$B553,$G$5:$G$1668,"&gt;"&amp;$G553)+COUNTIFS($B$4:$B552,$B553,$G$4:$G552,$G553)+1)</f>
        <v/>
      </c>
      <c r="I553" s="11">
        <f>IF($G553="","",IF($H553&lt;=Points!$H$6,$G553,0))</f>
        <v/>
      </c>
      <c r="J553" s="11">
        <f>IF($B553="","",IF(COUNTIF(Players!$A$2:$A$500,$B553)=0,"Player is not on the Players tab",IF(NOT(ISNUMBER($C553)),"Enter a gross score",IF(COUNTIFS($A$5:$A$1668,$A553,$B$5:$B$1668,$B553)&gt;1,"Player is listed twice this week",IF(AND($D553&lt;&gt;"",COUNTIFS($A$5:$A$1668,$A553,$D$5:$D$1668,$D553)&gt;1),"Two players picked as "&amp;$D553,IF(COUNTIFS($A$5:$A$1668,$A553,$D$5:$D$1668,"Gross winner")=0,"Pick this week's gross winner",IF(COUNTIFS($A$5:$A$1668,$A553,$D$5:$D$1668,"Net winner")=0,"Pick this week's net winner","OK")))))))</f>
        <v/>
      </c>
    </row>
    <row r="554" outlineLevel="1">
      <c r="A554" s="13" t="n">
        <v>46512</v>
      </c>
      <c r="E554" s="11">
        <f>IF(OR($B554="",NOT(ISNUMBER($C554))),"",COUNTIFS($A$5:$A$1668,$A554,$C$5:$C$1668,"&lt;"&amp;$C554)+1)</f>
        <v/>
      </c>
      <c r="F554" s="11">
        <f>IF(OR($B554="",NOT(ISNUMBER($C554))),"",COUNTIFS($A$5:$A$1668,$A554,$C$5:$C$1668,"&gt;0"))</f>
        <v/>
      </c>
      <c r="G554" s="11">
        <f>IF(OR($B554="",NOT(ISNUMBER($C554))),"",IF($D554&lt;&gt;"",ROUND(Points!$B$6*IF($F554&lt;Points!$H$4,Points!$H$5,1),0),ROUND(Points!$B$6*IF($F554&lt;=1,1,Points!$H$7+(1-Points!$H$7)*((($F554-$E554)*(($F554-$E554)+1)/2)^2-((($F554-$E554-COUNTIFS($A$5:$A$1668,$A554,$C$5:$C$1668,$C554)+1)-1)*($F554-$E554-COUNTIFS($A$5:$A$1668,$A554,$C$5:$C$1668,$C554)+1)/2)^2)/(COUNTIFS($A$5:$A$1668,$A554,$C$5:$C$1668,$C554)*($F554-1)^3))*IF($F554&lt;Points!$H$4,Points!$H$5,1),0)))</f>
        <v/>
      </c>
      <c r="H554" s="11">
        <f>IF($G554="","",COUNTIFS($B$5:$B$1668,$B554,$G$5:$G$1668,"&gt;"&amp;$G554)+COUNTIFS($B$4:$B553,$B554,$G$4:$G553,$G554)+1)</f>
        <v/>
      </c>
      <c r="I554" s="11">
        <f>IF($G554="","",IF($H554&lt;=Points!$H$6,$G554,0))</f>
        <v/>
      </c>
      <c r="J554" s="11">
        <f>IF($B554="","",IF(COUNTIF(Players!$A$2:$A$500,$B554)=0,"Player is not on the Players tab",IF(NOT(ISNUMBER($C554)),"Enter a gross score",IF(COUNTIFS($A$5:$A$1668,$A554,$B$5:$B$1668,$B554)&gt;1,"Player is listed twice this week",IF(AND($D554&lt;&gt;"",COUNTIFS($A$5:$A$1668,$A554,$D$5:$D$1668,$D554)&gt;1),"Two players picked as "&amp;$D554,IF(COUNTIFS($A$5:$A$1668,$A554,$D$5:$D$1668,"Gross winner")=0,"Pick this week's gross winner",IF(COUNTIFS($A$5:$A$1668,$A554,$D$5:$D$1668,"Net winner")=0,"Pick this week's net winner","OK")))))))</f>
        <v/>
      </c>
    </row>
    <row r="555" outlineLevel="1">
      <c r="A555" s="13" t="n">
        <v>46512</v>
      </c>
      <c r="E555" s="11">
        <f>IF(OR($B555="",NOT(ISNUMBER($C555))),"",COUNTIFS($A$5:$A$1668,$A555,$C$5:$C$1668,"&lt;"&amp;$C555)+1)</f>
        <v/>
      </c>
      <c r="F555" s="11">
        <f>IF(OR($B555="",NOT(ISNUMBER($C555))),"",COUNTIFS($A$5:$A$1668,$A555,$C$5:$C$1668,"&gt;0"))</f>
        <v/>
      </c>
      <c r="G555" s="11">
        <f>IF(OR($B555="",NOT(ISNUMBER($C555))),"",IF($D555&lt;&gt;"",ROUND(Points!$B$6*IF($F555&lt;Points!$H$4,Points!$H$5,1),0),ROUND(Points!$B$6*IF($F555&lt;=1,1,Points!$H$7+(1-Points!$H$7)*((($F555-$E555)*(($F555-$E555)+1)/2)^2-((($F555-$E555-COUNTIFS($A$5:$A$1668,$A555,$C$5:$C$1668,$C555)+1)-1)*($F555-$E555-COUNTIFS($A$5:$A$1668,$A555,$C$5:$C$1668,$C555)+1)/2)^2)/(COUNTIFS($A$5:$A$1668,$A555,$C$5:$C$1668,$C555)*($F555-1)^3))*IF($F555&lt;Points!$H$4,Points!$H$5,1),0)))</f>
        <v/>
      </c>
      <c r="H555" s="11">
        <f>IF($G555="","",COUNTIFS($B$5:$B$1668,$B555,$G$5:$G$1668,"&gt;"&amp;$G555)+COUNTIFS($B$4:$B554,$B555,$G$4:$G554,$G555)+1)</f>
        <v/>
      </c>
      <c r="I555" s="11">
        <f>IF($G555="","",IF($H555&lt;=Points!$H$6,$G555,0))</f>
        <v/>
      </c>
      <c r="J555" s="11">
        <f>IF($B555="","",IF(COUNTIF(Players!$A$2:$A$500,$B555)=0,"Player is not on the Players tab",IF(NOT(ISNUMBER($C555)),"Enter a gross score",IF(COUNTIFS($A$5:$A$1668,$A555,$B$5:$B$1668,$B555)&gt;1,"Player is listed twice this week",IF(AND($D555&lt;&gt;"",COUNTIFS($A$5:$A$1668,$A555,$D$5:$D$1668,$D555)&gt;1),"Two players picked as "&amp;$D555,IF(COUNTIFS($A$5:$A$1668,$A555,$D$5:$D$1668,"Gross winner")=0,"Pick this week's gross winner",IF(COUNTIFS($A$5:$A$1668,$A555,$D$5:$D$1668,"Net winner")=0,"Pick this week's net winner","OK")))))))</f>
        <v/>
      </c>
    </row>
    <row r="556" outlineLevel="1">
      <c r="A556" s="13" t="n">
        <v>46512</v>
      </c>
      <c r="E556" s="11">
        <f>IF(OR($B556="",NOT(ISNUMBER($C556))),"",COUNTIFS($A$5:$A$1668,$A556,$C$5:$C$1668,"&lt;"&amp;$C556)+1)</f>
        <v/>
      </c>
      <c r="F556" s="11">
        <f>IF(OR($B556="",NOT(ISNUMBER($C556))),"",COUNTIFS($A$5:$A$1668,$A556,$C$5:$C$1668,"&gt;0"))</f>
        <v/>
      </c>
      <c r="G556" s="11">
        <f>IF(OR($B556="",NOT(ISNUMBER($C556))),"",IF($D556&lt;&gt;"",ROUND(Points!$B$6*IF($F556&lt;Points!$H$4,Points!$H$5,1),0),ROUND(Points!$B$6*IF($F556&lt;=1,1,Points!$H$7+(1-Points!$H$7)*((($F556-$E556)*(($F556-$E556)+1)/2)^2-((($F556-$E556-COUNTIFS($A$5:$A$1668,$A556,$C$5:$C$1668,$C556)+1)-1)*($F556-$E556-COUNTIFS($A$5:$A$1668,$A556,$C$5:$C$1668,$C556)+1)/2)^2)/(COUNTIFS($A$5:$A$1668,$A556,$C$5:$C$1668,$C556)*($F556-1)^3))*IF($F556&lt;Points!$H$4,Points!$H$5,1),0)))</f>
        <v/>
      </c>
      <c r="H556" s="11">
        <f>IF($G556="","",COUNTIFS($B$5:$B$1668,$B556,$G$5:$G$1668,"&gt;"&amp;$G556)+COUNTIFS($B$4:$B555,$B556,$G$4:$G555,$G556)+1)</f>
        <v/>
      </c>
      <c r="I556" s="11">
        <f>IF($G556="","",IF($H556&lt;=Points!$H$6,$G556,0))</f>
        <v/>
      </c>
      <c r="J556" s="11">
        <f>IF($B556="","",IF(COUNTIF(Players!$A$2:$A$500,$B556)=0,"Player is not on the Players tab",IF(NOT(ISNUMBER($C556)),"Enter a gross score",IF(COUNTIFS($A$5:$A$1668,$A556,$B$5:$B$1668,$B556)&gt;1,"Player is listed twice this week",IF(AND($D556&lt;&gt;"",COUNTIFS($A$5:$A$1668,$A556,$D$5:$D$1668,$D556)&gt;1),"Two players picked as "&amp;$D556,IF(COUNTIFS($A$5:$A$1668,$A556,$D$5:$D$1668,"Gross winner")=0,"Pick this week's gross winner",IF(COUNTIFS($A$5:$A$1668,$A556,$D$5:$D$1668,"Net winner")=0,"Pick this week's net winner","OK")))))))</f>
        <v/>
      </c>
    </row>
    <row r="557" outlineLevel="1">
      <c r="A557" s="13" t="n">
        <v>46512</v>
      </c>
      <c r="E557" s="11">
        <f>IF(OR($B557="",NOT(ISNUMBER($C557))),"",COUNTIFS($A$5:$A$1668,$A557,$C$5:$C$1668,"&lt;"&amp;$C557)+1)</f>
        <v/>
      </c>
      <c r="F557" s="11">
        <f>IF(OR($B557="",NOT(ISNUMBER($C557))),"",COUNTIFS($A$5:$A$1668,$A557,$C$5:$C$1668,"&gt;0"))</f>
        <v/>
      </c>
      <c r="G557" s="11">
        <f>IF(OR($B557="",NOT(ISNUMBER($C557))),"",IF($D557&lt;&gt;"",ROUND(Points!$B$6*IF($F557&lt;Points!$H$4,Points!$H$5,1),0),ROUND(Points!$B$6*IF($F557&lt;=1,1,Points!$H$7+(1-Points!$H$7)*((($F557-$E557)*(($F557-$E557)+1)/2)^2-((($F557-$E557-COUNTIFS($A$5:$A$1668,$A557,$C$5:$C$1668,$C557)+1)-1)*($F557-$E557-COUNTIFS($A$5:$A$1668,$A557,$C$5:$C$1668,$C557)+1)/2)^2)/(COUNTIFS($A$5:$A$1668,$A557,$C$5:$C$1668,$C557)*($F557-1)^3))*IF($F557&lt;Points!$H$4,Points!$H$5,1),0)))</f>
        <v/>
      </c>
      <c r="H557" s="11">
        <f>IF($G557="","",COUNTIFS($B$5:$B$1668,$B557,$G$5:$G$1668,"&gt;"&amp;$G557)+COUNTIFS($B$4:$B556,$B557,$G$4:$G556,$G557)+1)</f>
        <v/>
      </c>
      <c r="I557" s="11">
        <f>IF($G557="","",IF($H557&lt;=Points!$H$6,$G557,0))</f>
        <v/>
      </c>
      <c r="J557" s="11">
        <f>IF($B557="","",IF(COUNTIF(Players!$A$2:$A$500,$B557)=0,"Player is not on the Players tab",IF(NOT(ISNUMBER($C557)),"Enter a gross score",IF(COUNTIFS($A$5:$A$1668,$A557,$B$5:$B$1668,$B557)&gt;1,"Player is listed twice this week",IF(AND($D557&lt;&gt;"",COUNTIFS($A$5:$A$1668,$A557,$D$5:$D$1668,$D557)&gt;1),"Two players picked as "&amp;$D557,IF(COUNTIFS($A$5:$A$1668,$A557,$D$5:$D$1668,"Gross winner")=0,"Pick this week's gross winner",IF(COUNTIFS($A$5:$A$1668,$A557,$D$5:$D$1668,"Net winner")=0,"Pick this week's net winner","OK")))))))</f>
        <v/>
      </c>
    </row>
    <row r="558" outlineLevel="1">
      <c r="A558" s="13" t="n">
        <v>46512</v>
      </c>
      <c r="E558" s="11">
        <f>IF(OR($B558="",NOT(ISNUMBER($C558))),"",COUNTIFS($A$5:$A$1668,$A558,$C$5:$C$1668,"&lt;"&amp;$C558)+1)</f>
        <v/>
      </c>
      <c r="F558" s="11">
        <f>IF(OR($B558="",NOT(ISNUMBER($C558))),"",COUNTIFS($A$5:$A$1668,$A558,$C$5:$C$1668,"&gt;0"))</f>
        <v/>
      </c>
      <c r="G558" s="11">
        <f>IF(OR($B558="",NOT(ISNUMBER($C558))),"",IF($D558&lt;&gt;"",ROUND(Points!$B$6*IF($F558&lt;Points!$H$4,Points!$H$5,1),0),ROUND(Points!$B$6*IF($F558&lt;=1,1,Points!$H$7+(1-Points!$H$7)*((($F558-$E558)*(($F558-$E558)+1)/2)^2-((($F558-$E558-COUNTIFS($A$5:$A$1668,$A558,$C$5:$C$1668,$C558)+1)-1)*($F558-$E558-COUNTIFS($A$5:$A$1668,$A558,$C$5:$C$1668,$C558)+1)/2)^2)/(COUNTIFS($A$5:$A$1668,$A558,$C$5:$C$1668,$C558)*($F558-1)^3))*IF($F558&lt;Points!$H$4,Points!$H$5,1),0)))</f>
        <v/>
      </c>
      <c r="H558" s="11">
        <f>IF($G558="","",COUNTIFS($B$5:$B$1668,$B558,$G$5:$G$1668,"&gt;"&amp;$G558)+COUNTIFS($B$4:$B557,$B558,$G$4:$G557,$G558)+1)</f>
        <v/>
      </c>
      <c r="I558" s="11">
        <f>IF($G558="","",IF($H558&lt;=Points!$H$6,$G558,0))</f>
        <v/>
      </c>
      <c r="J558" s="11">
        <f>IF($B558="","",IF(COUNTIF(Players!$A$2:$A$500,$B558)=0,"Player is not on the Players tab",IF(NOT(ISNUMBER($C558)),"Enter a gross score",IF(COUNTIFS($A$5:$A$1668,$A558,$B$5:$B$1668,$B558)&gt;1,"Player is listed twice this week",IF(AND($D558&lt;&gt;"",COUNTIFS($A$5:$A$1668,$A558,$D$5:$D$1668,$D558)&gt;1),"Two players picked as "&amp;$D558,IF(COUNTIFS($A$5:$A$1668,$A558,$D$5:$D$1668,"Gross winner")=0,"Pick this week's gross winner",IF(COUNTIFS($A$5:$A$1668,$A558,$D$5:$D$1668,"Net winner")=0,"Pick this week's net winner","OK")))))))</f>
        <v/>
      </c>
    </row>
    <row r="559" outlineLevel="1">
      <c r="A559" s="13" t="n">
        <v>46512</v>
      </c>
      <c r="E559" s="11">
        <f>IF(OR($B559="",NOT(ISNUMBER($C559))),"",COUNTIFS($A$5:$A$1668,$A559,$C$5:$C$1668,"&lt;"&amp;$C559)+1)</f>
        <v/>
      </c>
      <c r="F559" s="11">
        <f>IF(OR($B559="",NOT(ISNUMBER($C559))),"",COUNTIFS($A$5:$A$1668,$A559,$C$5:$C$1668,"&gt;0"))</f>
        <v/>
      </c>
      <c r="G559" s="11">
        <f>IF(OR($B559="",NOT(ISNUMBER($C559))),"",IF($D559&lt;&gt;"",ROUND(Points!$B$6*IF($F559&lt;Points!$H$4,Points!$H$5,1),0),ROUND(Points!$B$6*IF($F559&lt;=1,1,Points!$H$7+(1-Points!$H$7)*((($F559-$E559)*(($F559-$E559)+1)/2)^2-((($F559-$E559-COUNTIFS($A$5:$A$1668,$A559,$C$5:$C$1668,$C559)+1)-1)*($F559-$E559-COUNTIFS($A$5:$A$1668,$A559,$C$5:$C$1668,$C559)+1)/2)^2)/(COUNTIFS($A$5:$A$1668,$A559,$C$5:$C$1668,$C559)*($F559-1)^3))*IF($F559&lt;Points!$H$4,Points!$H$5,1),0)))</f>
        <v/>
      </c>
      <c r="H559" s="11">
        <f>IF($G559="","",COUNTIFS($B$5:$B$1668,$B559,$G$5:$G$1668,"&gt;"&amp;$G559)+COUNTIFS($B$4:$B558,$B559,$G$4:$G558,$G559)+1)</f>
        <v/>
      </c>
      <c r="I559" s="11">
        <f>IF($G559="","",IF($H559&lt;=Points!$H$6,$G559,0))</f>
        <v/>
      </c>
      <c r="J559" s="11">
        <f>IF($B559="","",IF(COUNTIF(Players!$A$2:$A$500,$B559)=0,"Player is not on the Players tab",IF(NOT(ISNUMBER($C559)),"Enter a gross score",IF(COUNTIFS($A$5:$A$1668,$A559,$B$5:$B$1668,$B559)&gt;1,"Player is listed twice this week",IF(AND($D559&lt;&gt;"",COUNTIFS($A$5:$A$1668,$A559,$D$5:$D$1668,$D559)&gt;1),"Two players picked as "&amp;$D559,IF(COUNTIFS($A$5:$A$1668,$A559,$D$5:$D$1668,"Gross winner")=0,"Pick this week's gross winner",IF(COUNTIFS($A$5:$A$1668,$A559,$D$5:$D$1668,"Net winner")=0,"Pick this week's net winner","OK")))))))</f>
        <v/>
      </c>
    </row>
    <row r="560" outlineLevel="1">
      <c r="A560" s="13" t="n">
        <v>46512</v>
      </c>
      <c r="E560" s="11">
        <f>IF(OR($B560="",NOT(ISNUMBER($C560))),"",COUNTIFS($A$5:$A$1668,$A560,$C$5:$C$1668,"&lt;"&amp;$C560)+1)</f>
        <v/>
      </c>
      <c r="F560" s="11">
        <f>IF(OR($B560="",NOT(ISNUMBER($C560))),"",COUNTIFS($A$5:$A$1668,$A560,$C$5:$C$1668,"&gt;0"))</f>
        <v/>
      </c>
      <c r="G560" s="11">
        <f>IF(OR($B560="",NOT(ISNUMBER($C560))),"",IF($D560&lt;&gt;"",ROUND(Points!$B$6*IF($F560&lt;Points!$H$4,Points!$H$5,1),0),ROUND(Points!$B$6*IF($F560&lt;=1,1,Points!$H$7+(1-Points!$H$7)*((($F560-$E560)*(($F560-$E560)+1)/2)^2-((($F560-$E560-COUNTIFS($A$5:$A$1668,$A560,$C$5:$C$1668,$C560)+1)-1)*($F560-$E560-COUNTIFS($A$5:$A$1668,$A560,$C$5:$C$1668,$C560)+1)/2)^2)/(COUNTIFS($A$5:$A$1668,$A560,$C$5:$C$1668,$C560)*($F560-1)^3))*IF($F560&lt;Points!$H$4,Points!$H$5,1),0)))</f>
        <v/>
      </c>
      <c r="H560" s="11">
        <f>IF($G560="","",COUNTIFS($B$5:$B$1668,$B560,$G$5:$G$1668,"&gt;"&amp;$G560)+COUNTIFS($B$4:$B559,$B560,$G$4:$G559,$G560)+1)</f>
        <v/>
      </c>
      <c r="I560" s="11">
        <f>IF($G560="","",IF($H560&lt;=Points!$H$6,$G560,0))</f>
        <v/>
      </c>
      <c r="J560" s="11">
        <f>IF($B560="","",IF(COUNTIF(Players!$A$2:$A$500,$B560)=0,"Player is not on the Players tab",IF(NOT(ISNUMBER($C560)),"Enter a gross score",IF(COUNTIFS($A$5:$A$1668,$A560,$B$5:$B$1668,$B560)&gt;1,"Player is listed twice this week",IF(AND($D560&lt;&gt;"",COUNTIFS($A$5:$A$1668,$A560,$D$5:$D$1668,$D560)&gt;1),"Two players picked as "&amp;$D560,IF(COUNTIFS($A$5:$A$1668,$A560,$D$5:$D$1668,"Gross winner")=0,"Pick this week's gross winner",IF(COUNTIFS($A$5:$A$1668,$A560,$D$5:$D$1668,"Net winner")=0,"Pick this week's net winner","OK")))))))</f>
        <v/>
      </c>
    </row>
    <row r="561" outlineLevel="1">
      <c r="A561" s="13" t="n">
        <v>46512</v>
      </c>
      <c r="E561" s="11">
        <f>IF(OR($B561="",NOT(ISNUMBER($C561))),"",COUNTIFS($A$5:$A$1668,$A561,$C$5:$C$1668,"&lt;"&amp;$C561)+1)</f>
        <v/>
      </c>
      <c r="F561" s="11">
        <f>IF(OR($B561="",NOT(ISNUMBER($C561))),"",COUNTIFS($A$5:$A$1668,$A561,$C$5:$C$1668,"&gt;0"))</f>
        <v/>
      </c>
      <c r="G561" s="11">
        <f>IF(OR($B561="",NOT(ISNUMBER($C561))),"",IF($D561&lt;&gt;"",ROUND(Points!$B$6*IF($F561&lt;Points!$H$4,Points!$H$5,1),0),ROUND(Points!$B$6*IF($F561&lt;=1,1,Points!$H$7+(1-Points!$H$7)*((($F561-$E561)*(($F561-$E561)+1)/2)^2-((($F561-$E561-COUNTIFS($A$5:$A$1668,$A561,$C$5:$C$1668,$C561)+1)-1)*($F561-$E561-COUNTIFS($A$5:$A$1668,$A561,$C$5:$C$1668,$C561)+1)/2)^2)/(COUNTIFS($A$5:$A$1668,$A561,$C$5:$C$1668,$C561)*($F561-1)^3))*IF($F561&lt;Points!$H$4,Points!$H$5,1),0)))</f>
        <v/>
      </c>
      <c r="H561" s="11">
        <f>IF($G561="","",COUNTIFS($B$5:$B$1668,$B561,$G$5:$G$1668,"&gt;"&amp;$G561)+COUNTIFS($B$4:$B560,$B561,$G$4:$G560,$G561)+1)</f>
        <v/>
      </c>
      <c r="I561" s="11">
        <f>IF($G561="","",IF($H561&lt;=Points!$H$6,$G561,0))</f>
        <v/>
      </c>
      <c r="J561" s="11">
        <f>IF($B561="","",IF(COUNTIF(Players!$A$2:$A$500,$B561)=0,"Player is not on the Players tab",IF(NOT(ISNUMBER($C561)),"Enter a gross score",IF(COUNTIFS($A$5:$A$1668,$A561,$B$5:$B$1668,$B561)&gt;1,"Player is listed twice this week",IF(AND($D561&lt;&gt;"",COUNTIFS($A$5:$A$1668,$A561,$D$5:$D$1668,$D561)&gt;1),"Two players picked as "&amp;$D561,IF(COUNTIFS($A$5:$A$1668,$A561,$D$5:$D$1668,"Gross winner")=0,"Pick this week's gross winner",IF(COUNTIFS($A$5:$A$1668,$A561,$D$5:$D$1668,"Net winner")=0,"Pick this week's net winner","OK")))))))</f>
        <v/>
      </c>
    </row>
    <row r="562" outlineLevel="1">
      <c r="A562" s="13" t="n">
        <v>46512</v>
      </c>
      <c r="E562" s="11">
        <f>IF(OR($B562="",NOT(ISNUMBER($C562))),"",COUNTIFS($A$5:$A$1668,$A562,$C$5:$C$1668,"&lt;"&amp;$C562)+1)</f>
        <v/>
      </c>
      <c r="F562" s="11">
        <f>IF(OR($B562="",NOT(ISNUMBER($C562))),"",COUNTIFS($A$5:$A$1668,$A562,$C$5:$C$1668,"&gt;0"))</f>
        <v/>
      </c>
      <c r="G562" s="11">
        <f>IF(OR($B562="",NOT(ISNUMBER($C562))),"",IF($D562&lt;&gt;"",ROUND(Points!$B$6*IF($F562&lt;Points!$H$4,Points!$H$5,1),0),ROUND(Points!$B$6*IF($F562&lt;=1,1,Points!$H$7+(1-Points!$H$7)*((($F562-$E562)*(($F562-$E562)+1)/2)^2-((($F562-$E562-COUNTIFS($A$5:$A$1668,$A562,$C$5:$C$1668,$C562)+1)-1)*($F562-$E562-COUNTIFS($A$5:$A$1668,$A562,$C$5:$C$1668,$C562)+1)/2)^2)/(COUNTIFS($A$5:$A$1668,$A562,$C$5:$C$1668,$C562)*($F562-1)^3))*IF($F562&lt;Points!$H$4,Points!$H$5,1),0)))</f>
        <v/>
      </c>
      <c r="H562" s="11">
        <f>IF($G562="","",COUNTIFS($B$5:$B$1668,$B562,$G$5:$G$1668,"&gt;"&amp;$G562)+COUNTIFS($B$4:$B561,$B562,$G$4:$G561,$G562)+1)</f>
        <v/>
      </c>
      <c r="I562" s="11">
        <f>IF($G562="","",IF($H562&lt;=Points!$H$6,$G562,0))</f>
        <v/>
      </c>
      <c r="J562" s="11">
        <f>IF($B562="","",IF(COUNTIF(Players!$A$2:$A$500,$B562)=0,"Player is not on the Players tab",IF(NOT(ISNUMBER($C562)),"Enter a gross score",IF(COUNTIFS($A$5:$A$1668,$A562,$B$5:$B$1668,$B562)&gt;1,"Player is listed twice this week",IF(AND($D562&lt;&gt;"",COUNTIFS($A$5:$A$1668,$A562,$D$5:$D$1668,$D562)&gt;1),"Two players picked as "&amp;$D562,IF(COUNTIFS($A$5:$A$1668,$A562,$D$5:$D$1668,"Gross winner")=0,"Pick this week's gross winner",IF(COUNTIFS($A$5:$A$1668,$A562,$D$5:$D$1668,"Net winner")=0,"Pick this week's net winner","OK")))))))</f>
        <v/>
      </c>
    </row>
    <row r="563" outlineLevel="1">
      <c r="A563" s="13" t="n">
        <v>46512</v>
      </c>
      <c r="E563" s="11">
        <f>IF(OR($B563="",NOT(ISNUMBER($C563))),"",COUNTIFS($A$5:$A$1668,$A563,$C$5:$C$1668,"&lt;"&amp;$C563)+1)</f>
        <v/>
      </c>
      <c r="F563" s="11">
        <f>IF(OR($B563="",NOT(ISNUMBER($C563))),"",COUNTIFS($A$5:$A$1668,$A563,$C$5:$C$1668,"&gt;0"))</f>
        <v/>
      </c>
      <c r="G563" s="11">
        <f>IF(OR($B563="",NOT(ISNUMBER($C563))),"",IF($D563&lt;&gt;"",ROUND(Points!$B$6*IF($F563&lt;Points!$H$4,Points!$H$5,1),0),ROUND(Points!$B$6*IF($F563&lt;=1,1,Points!$H$7+(1-Points!$H$7)*((($F563-$E563)*(($F563-$E563)+1)/2)^2-((($F563-$E563-COUNTIFS($A$5:$A$1668,$A563,$C$5:$C$1668,$C563)+1)-1)*($F563-$E563-COUNTIFS($A$5:$A$1668,$A563,$C$5:$C$1668,$C563)+1)/2)^2)/(COUNTIFS($A$5:$A$1668,$A563,$C$5:$C$1668,$C563)*($F563-1)^3))*IF($F563&lt;Points!$H$4,Points!$H$5,1),0)))</f>
        <v/>
      </c>
      <c r="H563" s="11">
        <f>IF($G563="","",COUNTIFS($B$5:$B$1668,$B563,$G$5:$G$1668,"&gt;"&amp;$G563)+COUNTIFS($B$4:$B562,$B563,$G$4:$G562,$G563)+1)</f>
        <v/>
      </c>
      <c r="I563" s="11">
        <f>IF($G563="","",IF($H563&lt;=Points!$H$6,$G563,0))</f>
        <v/>
      </c>
      <c r="J563" s="11">
        <f>IF($B563="","",IF(COUNTIF(Players!$A$2:$A$500,$B563)=0,"Player is not on the Players tab",IF(NOT(ISNUMBER($C563)),"Enter a gross score",IF(COUNTIFS($A$5:$A$1668,$A563,$B$5:$B$1668,$B563)&gt;1,"Player is listed twice this week",IF(AND($D563&lt;&gt;"",COUNTIFS($A$5:$A$1668,$A563,$D$5:$D$1668,$D563)&gt;1),"Two players picked as "&amp;$D563,IF(COUNTIFS($A$5:$A$1668,$A563,$D$5:$D$1668,"Gross winner")=0,"Pick this week's gross winner",IF(COUNTIFS($A$5:$A$1668,$A563,$D$5:$D$1668,"Net winner")=0,"Pick this week's net winner","OK")))))))</f>
        <v/>
      </c>
    </row>
    <row r="564" outlineLevel="1">
      <c r="A564" s="13" t="n">
        <v>46512</v>
      </c>
      <c r="E564" s="11">
        <f>IF(OR($B564="",NOT(ISNUMBER($C564))),"",COUNTIFS($A$5:$A$1668,$A564,$C$5:$C$1668,"&lt;"&amp;$C564)+1)</f>
        <v/>
      </c>
      <c r="F564" s="11">
        <f>IF(OR($B564="",NOT(ISNUMBER($C564))),"",COUNTIFS($A$5:$A$1668,$A564,$C$5:$C$1668,"&gt;0"))</f>
        <v/>
      </c>
      <c r="G564" s="11">
        <f>IF(OR($B564="",NOT(ISNUMBER($C564))),"",IF($D564&lt;&gt;"",ROUND(Points!$B$6*IF($F564&lt;Points!$H$4,Points!$H$5,1),0),ROUND(Points!$B$6*IF($F564&lt;=1,1,Points!$H$7+(1-Points!$H$7)*((($F564-$E564)*(($F564-$E564)+1)/2)^2-((($F564-$E564-COUNTIFS($A$5:$A$1668,$A564,$C$5:$C$1668,$C564)+1)-1)*($F564-$E564-COUNTIFS($A$5:$A$1668,$A564,$C$5:$C$1668,$C564)+1)/2)^2)/(COUNTIFS($A$5:$A$1668,$A564,$C$5:$C$1668,$C564)*($F564-1)^3))*IF($F564&lt;Points!$H$4,Points!$H$5,1),0)))</f>
        <v/>
      </c>
      <c r="H564" s="11">
        <f>IF($G564="","",COUNTIFS($B$5:$B$1668,$B564,$G$5:$G$1668,"&gt;"&amp;$G564)+COUNTIFS($B$4:$B563,$B564,$G$4:$G563,$G564)+1)</f>
        <v/>
      </c>
      <c r="I564" s="11">
        <f>IF($G564="","",IF($H564&lt;=Points!$H$6,$G564,0))</f>
        <v/>
      </c>
      <c r="J564" s="11">
        <f>IF($B564="","",IF(COUNTIF(Players!$A$2:$A$500,$B564)=0,"Player is not on the Players tab",IF(NOT(ISNUMBER($C564)),"Enter a gross score",IF(COUNTIFS($A$5:$A$1668,$A564,$B$5:$B$1668,$B564)&gt;1,"Player is listed twice this week",IF(AND($D564&lt;&gt;"",COUNTIFS($A$5:$A$1668,$A564,$D$5:$D$1668,$D564)&gt;1),"Two players picked as "&amp;$D564,IF(COUNTIFS($A$5:$A$1668,$A564,$D$5:$D$1668,"Gross winner")=0,"Pick this week's gross winner",IF(COUNTIFS($A$5:$A$1668,$A564,$D$5:$D$1668,"Net winner")=0,"Pick this week's net winner","OK")))))))</f>
        <v/>
      </c>
    </row>
    <row r="565" outlineLevel="1">
      <c r="A565" s="13" t="n">
        <v>46512</v>
      </c>
      <c r="E565" s="11">
        <f>IF(OR($B565="",NOT(ISNUMBER($C565))),"",COUNTIFS($A$5:$A$1668,$A565,$C$5:$C$1668,"&lt;"&amp;$C565)+1)</f>
        <v/>
      </c>
      <c r="F565" s="11">
        <f>IF(OR($B565="",NOT(ISNUMBER($C565))),"",COUNTIFS($A$5:$A$1668,$A565,$C$5:$C$1668,"&gt;0"))</f>
        <v/>
      </c>
      <c r="G565" s="11">
        <f>IF(OR($B565="",NOT(ISNUMBER($C565))),"",IF($D565&lt;&gt;"",ROUND(Points!$B$6*IF($F565&lt;Points!$H$4,Points!$H$5,1),0),ROUND(Points!$B$6*IF($F565&lt;=1,1,Points!$H$7+(1-Points!$H$7)*((($F565-$E565)*(($F565-$E565)+1)/2)^2-((($F565-$E565-COUNTIFS($A$5:$A$1668,$A565,$C$5:$C$1668,$C565)+1)-1)*($F565-$E565-COUNTIFS($A$5:$A$1668,$A565,$C$5:$C$1668,$C565)+1)/2)^2)/(COUNTIFS($A$5:$A$1668,$A565,$C$5:$C$1668,$C565)*($F565-1)^3))*IF($F565&lt;Points!$H$4,Points!$H$5,1),0)))</f>
        <v/>
      </c>
      <c r="H565" s="11">
        <f>IF($G565="","",COUNTIFS($B$5:$B$1668,$B565,$G$5:$G$1668,"&gt;"&amp;$G565)+COUNTIFS($B$4:$B564,$B565,$G$4:$G564,$G565)+1)</f>
        <v/>
      </c>
      <c r="I565" s="11">
        <f>IF($G565="","",IF($H565&lt;=Points!$H$6,$G565,0))</f>
        <v/>
      </c>
      <c r="J565" s="11">
        <f>IF($B565="","",IF(COUNTIF(Players!$A$2:$A$500,$B565)=0,"Player is not on the Players tab",IF(NOT(ISNUMBER($C565)),"Enter a gross score",IF(COUNTIFS($A$5:$A$1668,$A565,$B$5:$B$1668,$B565)&gt;1,"Player is listed twice this week",IF(AND($D565&lt;&gt;"",COUNTIFS($A$5:$A$1668,$A565,$D$5:$D$1668,$D565)&gt;1),"Two players picked as "&amp;$D565,IF(COUNTIFS($A$5:$A$1668,$A565,$D$5:$D$1668,"Gross winner")=0,"Pick this week's gross winner",IF(COUNTIFS($A$5:$A$1668,$A565,$D$5:$D$1668,"Net winner")=0,"Pick this week's net winner","OK")))))))</f>
        <v/>
      </c>
    </row>
    <row r="566" outlineLevel="1">
      <c r="A566" s="13" t="n">
        <v>46512</v>
      </c>
      <c r="E566" s="11">
        <f>IF(OR($B566="",NOT(ISNUMBER($C566))),"",COUNTIFS($A$5:$A$1668,$A566,$C$5:$C$1668,"&lt;"&amp;$C566)+1)</f>
        <v/>
      </c>
      <c r="F566" s="11">
        <f>IF(OR($B566="",NOT(ISNUMBER($C566))),"",COUNTIFS($A$5:$A$1668,$A566,$C$5:$C$1668,"&gt;0"))</f>
        <v/>
      </c>
      <c r="G566" s="11">
        <f>IF(OR($B566="",NOT(ISNUMBER($C566))),"",IF($D566&lt;&gt;"",ROUND(Points!$B$6*IF($F566&lt;Points!$H$4,Points!$H$5,1),0),ROUND(Points!$B$6*IF($F566&lt;=1,1,Points!$H$7+(1-Points!$H$7)*((($F566-$E566)*(($F566-$E566)+1)/2)^2-((($F566-$E566-COUNTIFS($A$5:$A$1668,$A566,$C$5:$C$1668,$C566)+1)-1)*($F566-$E566-COUNTIFS($A$5:$A$1668,$A566,$C$5:$C$1668,$C566)+1)/2)^2)/(COUNTIFS($A$5:$A$1668,$A566,$C$5:$C$1668,$C566)*($F566-1)^3))*IF($F566&lt;Points!$H$4,Points!$H$5,1),0)))</f>
        <v/>
      </c>
      <c r="H566" s="11">
        <f>IF($G566="","",COUNTIFS($B$5:$B$1668,$B566,$G$5:$G$1668,"&gt;"&amp;$G566)+COUNTIFS($B$4:$B565,$B566,$G$4:$G565,$G566)+1)</f>
        <v/>
      </c>
      <c r="I566" s="11">
        <f>IF($G566="","",IF($H566&lt;=Points!$H$6,$G566,0))</f>
        <v/>
      </c>
      <c r="J566" s="11">
        <f>IF($B566="","",IF(COUNTIF(Players!$A$2:$A$500,$B566)=0,"Player is not on the Players tab",IF(NOT(ISNUMBER($C566)),"Enter a gross score",IF(COUNTIFS($A$5:$A$1668,$A566,$B$5:$B$1668,$B566)&gt;1,"Player is listed twice this week",IF(AND($D566&lt;&gt;"",COUNTIFS($A$5:$A$1668,$A566,$D$5:$D$1668,$D566)&gt;1),"Two players picked as "&amp;$D566,IF(COUNTIFS($A$5:$A$1668,$A566,$D$5:$D$1668,"Gross winner")=0,"Pick this week's gross winner",IF(COUNTIFS($A$5:$A$1668,$A566,$D$5:$D$1668,"Net winner")=0,"Pick this week's net winner","OK")))))))</f>
        <v/>
      </c>
    </row>
    <row r="567" outlineLevel="1">
      <c r="A567" s="13" t="n">
        <v>46512</v>
      </c>
      <c r="E567" s="11">
        <f>IF(OR($B567="",NOT(ISNUMBER($C567))),"",COUNTIFS($A$5:$A$1668,$A567,$C$5:$C$1668,"&lt;"&amp;$C567)+1)</f>
        <v/>
      </c>
      <c r="F567" s="11">
        <f>IF(OR($B567="",NOT(ISNUMBER($C567))),"",COUNTIFS($A$5:$A$1668,$A567,$C$5:$C$1668,"&gt;0"))</f>
        <v/>
      </c>
      <c r="G567" s="11">
        <f>IF(OR($B567="",NOT(ISNUMBER($C567))),"",IF($D567&lt;&gt;"",ROUND(Points!$B$6*IF($F567&lt;Points!$H$4,Points!$H$5,1),0),ROUND(Points!$B$6*IF($F567&lt;=1,1,Points!$H$7+(1-Points!$H$7)*((($F567-$E567)*(($F567-$E567)+1)/2)^2-((($F567-$E567-COUNTIFS($A$5:$A$1668,$A567,$C$5:$C$1668,$C567)+1)-1)*($F567-$E567-COUNTIFS($A$5:$A$1668,$A567,$C$5:$C$1668,$C567)+1)/2)^2)/(COUNTIFS($A$5:$A$1668,$A567,$C$5:$C$1668,$C567)*($F567-1)^3))*IF($F567&lt;Points!$H$4,Points!$H$5,1),0)))</f>
        <v/>
      </c>
      <c r="H567" s="11">
        <f>IF($G567="","",COUNTIFS($B$5:$B$1668,$B567,$G$5:$G$1668,"&gt;"&amp;$G567)+COUNTIFS($B$4:$B566,$B567,$G$4:$G566,$G567)+1)</f>
        <v/>
      </c>
      <c r="I567" s="11">
        <f>IF($G567="","",IF($H567&lt;=Points!$H$6,$G567,0))</f>
        <v/>
      </c>
      <c r="J567" s="11">
        <f>IF($B567="","",IF(COUNTIF(Players!$A$2:$A$500,$B567)=0,"Player is not on the Players tab",IF(NOT(ISNUMBER($C567)),"Enter a gross score",IF(COUNTIFS($A$5:$A$1668,$A567,$B$5:$B$1668,$B567)&gt;1,"Player is listed twice this week",IF(AND($D567&lt;&gt;"",COUNTIFS($A$5:$A$1668,$A567,$D$5:$D$1668,$D567)&gt;1),"Two players picked as "&amp;$D567,IF(COUNTIFS($A$5:$A$1668,$A567,$D$5:$D$1668,"Gross winner")=0,"Pick this week's gross winner",IF(COUNTIFS($A$5:$A$1668,$A567,$D$5:$D$1668,"Net winner")=0,"Pick this week's net winner","OK")))))))</f>
        <v/>
      </c>
    </row>
    <row r="568" outlineLevel="1">
      <c r="A568" s="13" t="n">
        <v>46512</v>
      </c>
      <c r="E568" s="11">
        <f>IF(OR($B568="",NOT(ISNUMBER($C568))),"",COUNTIFS($A$5:$A$1668,$A568,$C$5:$C$1668,"&lt;"&amp;$C568)+1)</f>
        <v/>
      </c>
      <c r="F568" s="11">
        <f>IF(OR($B568="",NOT(ISNUMBER($C568))),"",COUNTIFS($A$5:$A$1668,$A568,$C$5:$C$1668,"&gt;0"))</f>
        <v/>
      </c>
      <c r="G568" s="11">
        <f>IF(OR($B568="",NOT(ISNUMBER($C568))),"",IF($D568&lt;&gt;"",ROUND(Points!$B$6*IF($F568&lt;Points!$H$4,Points!$H$5,1),0),ROUND(Points!$B$6*IF($F568&lt;=1,1,Points!$H$7+(1-Points!$H$7)*((($F568-$E568)*(($F568-$E568)+1)/2)^2-((($F568-$E568-COUNTIFS($A$5:$A$1668,$A568,$C$5:$C$1668,$C568)+1)-1)*($F568-$E568-COUNTIFS($A$5:$A$1668,$A568,$C$5:$C$1668,$C568)+1)/2)^2)/(COUNTIFS($A$5:$A$1668,$A568,$C$5:$C$1668,$C568)*($F568-1)^3))*IF($F568&lt;Points!$H$4,Points!$H$5,1),0)))</f>
        <v/>
      </c>
      <c r="H568" s="11">
        <f>IF($G568="","",COUNTIFS($B$5:$B$1668,$B568,$G$5:$G$1668,"&gt;"&amp;$G568)+COUNTIFS($B$4:$B567,$B568,$G$4:$G567,$G568)+1)</f>
        <v/>
      </c>
      <c r="I568" s="11">
        <f>IF($G568="","",IF($H568&lt;=Points!$H$6,$G568,0))</f>
        <v/>
      </c>
      <c r="J568" s="11">
        <f>IF($B568="","",IF(COUNTIF(Players!$A$2:$A$500,$B568)=0,"Player is not on the Players tab",IF(NOT(ISNUMBER($C568)),"Enter a gross score",IF(COUNTIFS($A$5:$A$1668,$A568,$B$5:$B$1668,$B568)&gt;1,"Player is listed twice this week",IF(AND($D568&lt;&gt;"",COUNTIFS($A$5:$A$1668,$A568,$D$5:$D$1668,$D568)&gt;1),"Two players picked as "&amp;$D568,IF(COUNTIFS($A$5:$A$1668,$A568,$D$5:$D$1668,"Gross winner")=0,"Pick this week's gross winner",IF(COUNTIFS($A$5:$A$1668,$A568,$D$5:$D$1668,"Net winner")=0,"Pick this week's net winner","OK")))))))</f>
        <v/>
      </c>
    </row>
    <row r="569" outlineLevel="1">
      <c r="A569" s="13" t="n">
        <v>46512</v>
      </c>
      <c r="E569" s="11">
        <f>IF(OR($B569="",NOT(ISNUMBER($C569))),"",COUNTIFS($A$5:$A$1668,$A569,$C$5:$C$1668,"&lt;"&amp;$C569)+1)</f>
        <v/>
      </c>
      <c r="F569" s="11">
        <f>IF(OR($B569="",NOT(ISNUMBER($C569))),"",COUNTIFS($A$5:$A$1668,$A569,$C$5:$C$1668,"&gt;0"))</f>
        <v/>
      </c>
      <c r="G569" s="11">
        <f>IF(OR($B569="",NOT(ISNUMBER($C569))),"",IF($D569&lt;&gt;"",ROUND(Points!$B$6*IF($F569&lt;Points!$H$4,Points!$H$5,1),0),ROUND(Points!$B$6*IF($F569&lt;=1,1,Points!$H$7+(1-Points!$H$7)*((($F569-$E569)*(($F569-$E569)+1)/2)^2-((($F569-$E569-COUNTIFS($A$5:$A$1668,$A569,$C$5:$C$1668,$C569)+1)-1)*($F569-$E569-COUNTIFS($A$5:$A$1668,$A569,$C$5:$C$1668,$C569)+1)/2)^2)/(COUNTIFS($A$5:$A$1668,$A569,$C$5:$C$1668,$C569)*($F569-1)^3))*IF($F569&lt;Points!$H$4,Points!$H$5,1),0)))</f>
        <v/>
      </c>
      <c r="H569" s="11">
        <f>IF($G569="","",COUNTIFS($B$5:$B$1668,$B569,$G$5:$G$1668,"&gt;"&amp;$G569)+COUNTIFS($B$4:$B568,$B569,$G$4:$G568,$G569)+1)</f>
        <v/>
      </c>
      <c r="I569" s="11">
        <f>IF($G569="","",IF($H569&lt;=Points!$H$6,$G569,0))</f>
        <v/>
      </c>
      <c r="J569" s="11">
        <f>IF($B569="","",IF(COUNTIF(Players!$A$2:$A$500,$B569)=0,"Player is not on the Players tab",IF(NOT(ISNUMBER($C569)),"Enter a gross score",IF(COUNTIFS($A$5:$A$1668,$A569,$B$5:$B$1668,$B569)&gt;1,"Player is listed twice this week",IF(AND($D569&lt;&gt;"",COUNTIFS($A$5:$A$1668,$A569,$D$5:$D$1668,$D569)&gt;1),"Two players picked as "&amp;$D569,IF(COUNTIFS($A$5:$A$1668,$A569,$D$5:$D$1668,"Gross winner")=0,"Pick this week's gross winner",IF(COUNTIFS($A$5:$A$1668,$A569,$D$5:$D$1668,"Net winner")=0,"Pick this week's net winner","OK")))))))</f>
        <v/>
      </c>
    </row>
    <row r="570" outlineLevel="1">
      <c r="A570" s="13" t="n">
        <v>46512</v>
      </c>
      <c r="E570" s="11">
        <f>IF(OR($B570="",NOT(ISNUMBER($C570))),"",COUNTIFS($A$5:$A$1668,$A570,$C$5:$C$1668,"&lt;"&amp;$C570)+1)</f>
        <v/>
      </c>
      <c r="F570" s="11">
        <f>IF(OR($B570="",NOT(ISNUMBER($C570))),"",COUNTIFS($A$5:$A$1668,$A570,$C$5:$C$1668,"&gt;0"))</f>
        <v/>
      </c>
      <c r="G570" s="11">
        <f>IF(OR($B570="",NOT(ISNUMBER($C570))),"",IF($D570&lt;&gt;"",ROUND(Points!$B$6*IF($F570&lt;Points!$H$4,Points!$H$5,1),0),ROUND(Points!$B$6*IF($F570&lt;=1,1,Points!$H$7+(1-Points!$H$7)*((($F570-$E570)*(($F570-$E570)+1)/2)^2-((($F570-$E570-COUNTIFS($A$5:$A$1668,$A570,$C$5:$C$1668,$C570)+1)-1)*($F570-$E570-COUNTIFS($A$5:$A$1668,$A570,$C$5:$C$1668,$C570)+1)/2)^2)/(COUNTIFS($A$5:$A$1668,$A570,$C$5:$C$1668,$C570)*($F570-1)^3))*IF($F570&lt;Points!$H$4,Points!$H$5,1),0)))</f>
        <v/>
      </c>
      <c r="H570" s="11">
        <f>IF($G570="","",COUNTIFS($B$5:$B$1668,$B570,$G$5:$G$1668,"&gt;"&amp;$G570)+COUNTIFS($B$4:$B569,$B570,$G$4:$G569,$G570)+1)</f>
        <v/>
      </c>
      <c r="I570" s="11">
        <f>IF($G570="","",IF($H570&lt;=Points!$H$6,$G570,0))</f>
        <v/>
      </c>
      <c r="J570" s="11">
        <f>IF($B570="","",IF(COUNTIF(Players!$A$2:$A$500,$B570)=0,"Player is not on the Players tab",IF(NOT(ISNUMBER($C570)),"Enter a gross score",IF(COUNTIFS($A$5:$A$1668,$A570,$B$5:$B$1668,$B570)&gt;1,"Player is listed twice this week",IF(AND($D570&lt;&gt;"",COUNTIFS($A$5:$A$1668,$A570,$D$5:$D$1668,$D570)&gt;1),"Two players picked as "&amp;$D570,IF(COUNTIFS($A$5:$A$1668,$A570,$D$5:$D$1668,"Gross winner")=0,"Pick this week's gross winner",IF(COUNTIFS($A$5:$A$1668,$A570,$D$5:$D$1668,"Net winner")=0,"Pick this week's net winner","OK")))))))</f>
        <v/>
      </c>
    </row>
    <row r="571" outlineLevel="1">
      <c r="A571" s="13" t="n">
        <v>46512</v>
      </c>
      <c r="E571" s="11">
        <f>IF(OR($B571="",NOT(ISNUMBER($C571))),"",COUNTIFS($A$5:$A$1668,$A571,$C$5:$C$1668,"&lt;"&amp;$C571)+1)</f>
        <v/>
      </c>
      <c r="F571" s="11">
        <f>IF(OR($B571="",NOT(ISNUMBER($C571))),"",COUNTIFS($A$5:$A$1668,$A571,$C$5:$C$1668,"&gt;0"))</f>
        <v/>
      </c>
      <c r="G571" s="11">
        <f>IF(OR($B571="",NOT(ISNUMBER($C571))),"",IF($D571&lt;&gt;"",ROUND(Points!$B$6*IF($F571&lt;Points!$H$4,Points!$H$5,1),0),ROUND(Points!$B$6*IF($F571&lt;=1,1,Points!$H$7+(1-Points!$H$7)*((($F571-$E571)*(($F571-$E571)+1)/2)^2-((($F571-$E571-COUNTIFS($A$5:$A$1668,$A571,$C$5:$C$1668,$C571)+1)-1)*($F571-$E571-COUNTIFS($A$5:$A$1668,$A571,$C$5:$C$1668,$C571)+1)/2)^2)/(COUNTIFS($A$5:$A$1668,$A571,$C$5:$C$1668,$C571)*($F571-1)^3))*IF($F571&lt;Points!$H$4,Points!$H$5,1),0)))</f>
        <v/>
      </c>
      <c r="H571" s="11">
        <f>IF($G571="","",COUNTIFS($B$5:$B$1668,$B571,$G$5:$G$1668,"&gt;"&amp;$G571)+COUNTIFS($B$4:$B570,$B571,$G$4:$G570,$G571)+1)</f>
        <v/>
      </c>
      <c r="I571" s="11">
        <f>IF($G571="","",IF($H571&lt;=Points!$H$6,$G571,0))</f>
        <v/>
      </c>
      <c r="J571" s="11">
        <f>IF($B571="","",IF(COUNTIF(Players!$A$2:$A$500,$B571)=0,"Player is not on the Players tab",IF(NOT(ISNUMBER($C571)),"Enter a gross score",IF(COUNTIFS($A$5:$A$1668,$A571,$B$5:$B$1668,$B571)&gt;1,"Player is listed twice this week",IF(AND($D571&lt;&gt;"",COUNTIFS($A$5:$A$1668,$A571,$D$5:$D$1668,$D571)&gt;1),"Two players picked as "&amp;$D571,IF(COUNTIFS($A$5:$A$1668,$A571,$D$5:$D$1668,"Gross winner")=0,"Pick this week's gross winner",IF(COUNTIFS($A$5:$A$1668,$A571,$D$5:$D$1668,"Net winner")=0,"Pick this week's net winner","OK")))))))</f>
        <v/>
      </c>
    </row>
    <row r="572" outlineLevel="1">
      <c r="A572" s="13" t="n">
        <v>46512</v>
      </c>
      <c r="E572" s="11">
        <f>IF(OR($B572="",NOT(ISNUMBER($C572))),"",COUNTIFS($A$5:$A$1668,$A572,$C$5:$C$1668,"&lt;"&amp;$C572)+1)</f>
        <v/>
      </c>
      <c r="F572" s="11">
        <f>IF(OR($B572="",NOT(ISNUMBER($C572))),"",COUNTIFS($A$5:$A$1668,$A572,$C$5:$C$1668,"&gt;0"))</f>
        <v/>
      </c>
      <c r="G572" s="11">
        <f>IF(OR($B572="",NOT(ISNUMBER($C572))),"",IF($D572&lt;&gt;"",ROUND(Points!$B$6*IF($F572&lt;Points!$H$4,Points!$H$5,1),0),ROUND(Points!$B$6*IF($F572&lt;=1,1,Points!$H$7+(1-Points!$H$7)*((($F572-$E572)*(($F572-$E572)+1)/2)^2-((($F572-$E572-COUNTIFS($A$5:$A$1668,$A572,$C$5:$C$1668,$C572)+1)-1)*($F572-$E572-COUNTIFS($A$5:$A$1668,$A572,$C$5:$C$1668,$C572)+1)/2)^2)/(COUNTIFS($A$5:$A$1668,$A572,$C$5:$C$1668,$C572)*($F572-1)^3))*IF($F572&lt;Points!$H$4,Points!$H$5,1),0)))</f>
        <v/>
      </c>
      <c r="H572" s="11">
        <f>IF($G572="","",COUNTIFS($B$5:$B$1668,$B572,$G$5:$G$1668,"&gt;"&amp;$G572)+COUNTIFS($B$4:$B571,$B572,$G$4:$G571,$G572)+1)</f>
        <v/>
      </c>
      <c r="I572" s="11">
        <f>IF($G572="","",IF($H572&lt;=Points!$H$6,$G572,0))</f>
        <v/>
      </c>
      <c r="J572" s="11">
        <f>IF($B572="","",IF(COUNTIF(Players!$A$2:$A$500,$B572)=0,"Player is not on the Players tab",IF(NOT(ISNUMBER($C572)),"Enter a gross score",IF(COUNTIFS($A$5:$A$1668,$A572,$B$5:$B$1668,$B572)&gt;1,"Player is listed twice this week",IF(AND($D572&lt;&gt;"",COUNTIFS($A$5:$A$1668,$A572,$D$5:$D$1668,$D572)&gt;1),"Two players picked as "&amp;$D572,IF(COUNTIFS($A$5:$A$1668,$A572,$D$5:$D$1668,"Gross winner")=0,"Pick this week's gross winner",IF(COUNTIFS($A$5:$A$1668,$A572,$D$5:$D$1668,"Net winner")=0,"Pick this week's net winner","OK")))))))</f>
        <v/>
      </c>
    </row>
    <row r="573" outlineLevel="1">
      <c r="A573" s="13" t="n">
        <v>46512</v>
      </c>
      <c r="E573" s="11">
        <f>IF(OR($B573="",NOT(ISNUMBER($C573))),"",COUNTIFS($A$5:$A$1668,$A573,$C$5:$C$1668,"&lt;"&amp;$C573)+1)</f>
        <v/>
      </c>
      <c r="F573" s="11">
        <f>IF(OR($B573="",NOT(ISNUMBER($C573))),"",COUNTIFS($A$5:$A$1668,$A573,$C$5:$C$1668,"&gt;0"))</f>
        <v/>
      </c>
      <c r="G573" s="11">
        <f>IF(OR($B573="",NOT(ISNUMBER($C573))),"",IF($D573&lt;&gt;"",ROUND(Points!$B$6*IF($F573&lt;Points!$H$4,Points!$H$5,1),0),ROUND(Points!$B$6*IF($F573&lt;=1,1,Points!$H$7+(1-Points!$H$7)*((($F573-$E573)*(($F573-$E573)+1)/2)^2-((($F573-$E573-COUNTIFS($A$5:$A$1668,$A573,$C$5:$C$1668,$C573)+1)-1)*($F573-$E573-COUNTIFS($A$5:$A$1668,$A573,$C$5:$C$1668,$C573)+1)/2)^2)/(COUNTIFS($A$5:$A$1668,$A573,$C$5:$C$1668,$C573)*($F573-1)^3))*IF($F573&lt;Points!$H$4,Points!$H$5,1),0)))</f>
        <v/>
      </c>
      <c r="H573" s="11">
        <f>IF($G573="","",COUNTIFS($B$5:$B$1668,$B573,$G$5:$G$1668,"&gt;"&amp;$G573)+COUNTIFS($B$4:$B572,$B573,$G$4:$G572,$G573)+1)</f>
        <v/>
      </c>
      <c r="I573" s="11">
        <f>IF($G573="","",IF($H573&lt;=Points!$H$6,$G573,0))</f>
        <v/>
      </c>
      <c r="J573" s="11">
        <f>IF($B573="","",IF(COUNTIF(Players!$A$2:$A$500,$B573)=0,"Player is not on the Players tab",IF(NOT(ISNUMBER($C573)),"Enter a gross score",IF(COUNTIFS($A$5:$A$1668,$A573,$B$5:$B$1668,$B573)&gt;1,"Player is listed twice this week",IF(AND($D573&lt;&gt;"",COUNTIFS($A$5:$A$1668,$A573,$D$5:$D$1668,$D573)&gt;1),"Two players picked as "&amp;$D573,IF(COUNTIFS($A$5:$A$1668,$A573,$D$5:$D$1668,"Gross winner")=0,"Pick this week's gross winner",IF(COUNTIFS($A$5:$A$1668,$A573,$D$5:$D$1668,"Net winner")=0,"Pick this week's net winner","OK")))))))</f>
        <v/>
      </c>
    </row>
    <row r="574" outlineLevel="1">
      <c r="A574" s="13" t="n">
        <v>46512</v>
      </c>
      <c r="E574" s="11">
        <f>IF(OR($B574="",NOT(ISNUMBER($C574))),"",COUNTIFS($A$5:$A$1668,$A574,$C$5:$C$1668,"&lt;"&amp;$C574)+1)</f>
        <v/>
      </c>
      <c r="F574" s="11">
        <f>IF(OR($B574="",NOT(ISNUMBER($C574))),"",COUNTIFS($A$5:$A$1668,$A574,$C$5:$C$1668,"&gt;0"))</f>
        <v/>
      </c>
      <c r="G574" s="11">
        <f>IF(OR($B574="",NOT(ISNUMBER($C574))),"",IF($D574&lt;&gt;"",ROUND(Points!$B$6*IF($F574&lt;Points!$H$4,Points!$H$5,1),0),ROUND(Points!$B$6*IF($F574&lt;=1,1,Points!$H$7+(1-Points!$H$7)*((($F574-$E574)*(($F574-$E574)+1)/2)^2-((($F574-$E574-COUNTIFS($A$5:$A$1668,$A574,$C$5:$C$1668,$C574)+1)-1)*($F574-$E574-COUNTIFS($A$5:$A$1668,$A574,$C$5:$C$1668,$C574)+1)/2)^2)/(COUNTIFS($A$5:$A$1668,$A574,$C$5:$C$1668,$C574)*($F574-1)^3))*IF($F574&lt;Points!$H$4,Points!$H$5,1),0)))</f>
        <v/>
      </c>
      <c r="H574" s="11">
        <f>IF($G574="","",COUNTIFS($B$5:$B$1668,$B574,$G$5:$G$1668,"&gt;"&amp;$G574)+COUNTIFS($B$4:$B573,$B574,$G$4:$G573,$G574)+1)</f>
        <v/>
      </c>
      <c r="I574" s="11">
        <f>IF($G574="","",IF($H574&lt;=Points!$H$6,$G574,0))</f>
        <v/>
      </c>
      <c r="J574" s="11">
        <f>IF($B574="","",IF(COUNTIF(Players!$A$2:$A$500,$B574)=0,"Player is not on the Players tab",IF(NOT(ISNUMBER($C574)),"Enter a gross score",IF(COUNTIFS($A$5:$A$1668,$A574,$B$5:$B$1668,$B574)&gt;1,"Player is listed twice this week",IF(AND($D574&lt;&gt;"",COUNTIFS($A$5:$A$1668,$A574,$D$5:$D$1668,$D574)&gt;1),"Two players picked as "&amp;$D574,IF(COUNTIFS($A$5:$A$1668,$A574,$D$5:$D$1668,"Gross winner")=0,"Pick this week's gross winner",IF(COUNTIFS($A$5:$A$1668,$A574,$D$5:$D$1668,"Net winner")=0,"Pick this week's net winner","OK")))))))</f>
        <v/>
      </c>
    </row>
    <row r="575" outlineLevel="1">
      <c r="A575" s="13" t="n">
        <v>46512</v>
      </c>
      <c r="E575" s="11">
        <f>IF(OR($B575="",NOT(ISNUMBER($C575))),"",COUNTIFS($A$5:$A$1668,$A575,$C$5:$C$1668,"&lt;"&amp;$C575)+1)</f>
        <v/>
      </c>
      <c r="F575" s="11">
        <f>IF(OR($B575="",NOT(ISNUMBER($C575))),"",COUNTIFS($A$5:$A$1668,$A575,$C$5:$C$1668,"&gt;0"))</f>
        <v/>
      </c>
      <c r="G575" s="11">
        <f>IF(OR($B575="",NOT(ISNUMBER($C575))),"",IF($D575&lt;&gt;"",ROUND(Points!$B$6*IF($F575&lt;Points!$H$4,Points!$H$5,1),0),ROUND(Points!$B$6*IF($F575&lt;=1,1,Points!$H$7+(1-Points!$H$7)*((($F575-$E575)*(($F575-$E575)+1)/2)^2-((($F575-$E575-COUNTIFS($A$5:$A$1668,$A575,$C$5:$C$1668,$C575)+1)-1)*($F575-$E575-COUNTIFS($A$5:$A$1668,$A575,$C$5:$C$1668,$C575)+1)/2)^2)/(COUNTIFS($A$5:$A$1668,$A575,$C$5:$C$1668,$C575)*($F575-1)^3))*IF($F575&lt;Points!$H$4,Points!$H$5,1),0)))</f>
        <v/>
      </c>
      <c r="H575" s="11">
        <f>IF($G575="","",COUNTIFS($B$5:$B$1668,$B575,$G$5:$G$1668,"&gt;"&amp;$G575)+COUNTIFS($B$4:$B574,$B575,$G$4:$G574,$G575)+1)</f>
        <v/>
      </c>
      <c r="I575" s="11">
        <f>IF($G575="","",IF($H575&lt;=Points!$H$6,$G575,0))</f>
        <v/>
      </c>
      <c r="J575" s="11">
        <f>IF($B575="","",IF(COUNTIF(Players!$A$2:$A$500,$B575)=0,"Player is not on the Players tab",IF(NOT(ISNUMBER($C575)),"Enter a gross score",IF(COUNTIFS($A$5:$A$1668,$A575,$B$5:$B$1668,$B575)&gt;1,"Player is listed twice this week",IF(AND($D575&lt;&gt;"",COUNTIFS($A$5:$A$1668,$A575,$D$5:$D$1668,$D575)&gt;1),"Two players picked as "&amp;$D575,IF(COUNTIFS($A$5:$A$1668,$A575,$D$5:$D$1668,"Gross winner")=0,"Pick this week's gross winner",IF(COUNTIFS($A$5:$A$1668,$A575,$D$5:$D$1668,"Net winner")=0,"Pick this week's net winner","OK")))))))</f>
        <v/>
      </c>
    </row>
    <row r="576" outlineLevel="1">
      <c r="A576" s="13" t="n">
        <v>46512</v>
      </c>
      <c r="E576" s="11">
        <f>IF(OR($B576="",NOT(ISNUMBER($C576))),"",COUNTIFS($A$5:$A$1668,$A576,$C$5:$C$1668,"&lt;"&amp;$C576)+1)</f>
        <v/>
      </c>
      <c r="F576" s="11">
        <f>IF(OR($B576="",NOT(ISNUMBER($C576))),"",COUNTIFS($A$5:$A$1668,$A576,$C$5:$C$1668,"&gt;0"))</f>
        <v/>
      </c>
      <c r="G576" s="11">
        <f>IF(OR($B576="",NOT(ISNUMBER($C576))),"",IF($D576&lt;&gt;"",ROUND(Points!$B$6*IF($F576&lt;Points!$H$4,Points!$H$5,1),0),ROUND(Points!$B$6*IF($F576&lt;=1,1,Points!$H$7+(1-Points!$H$7)*((($F576-$E576)*(($F576-$E576)+1)/2)^2-((($F576-$E576-COUNTIFS($A$5:$A$1668,$A576,$C$5:$C$1668,$C576)+1)-1)*($F576-$E576-COUNTIFS($A$5:$A$1668,$A576,$C$5:$C$1668,$C576)+1)/2)^2)/(COUNTIFS($A$5:$A$1668,$A576,$C$5:$C$1668,$C576)*($F576-1)^3))*IF($F576&lt;Points!$H$4,Points!$H$5,1),0)))</f>
        <v/>
      </c>
      <c r="H576" s="11">
        <f>IF($G576="","",COUNTIFS($B$5:$B$1668,$B576,$G$5:$G$1668,"&gt;"&amp;$G576)+COUNTIFS($B$4:$B575,$B576,$G$4:$G575,$G576)+1)</f>
        <v/>
      </c>
      <c r="I576" s="11">
        <f>IF($G576="","",IF($H576&lt;=Points!$H$6,$G576,0))</f>
        <v/>
      </c>
      <c r="J576" s="11">
        <f>IF($B576="","",IF(COUNTIF(Players!$A$2:$A$500,$B576)=0,"Player is not on the Players tab",IF(NOT(ISNUMBER($C576)),"Enter a gross score",IF(COUNTIFS($A$5:$A$1668,$A576,$B$5:$B$1668,$B576)&gt;1,"Player is listed twice this week",IF(AND($D576&lt;&gt;"",COUNTIFS($A$5:$A$1668,$A576,$D$5:$D$1668,$D576)&gt;1),"Two players picked as "&amp;$D576,IF(COUNTIFS($A$5:$A$1668,$A576,$D$5:$D$1668,"Gross winner")=0,"Pick this week's gross winner",IF(COUNTIFS($A$5:$A$1668,$A576,$D$5:$D$1668,"Net winner")=0,"Pick this week's net winner","OK")))))))</f>
        <v/>
      </c>
    </row>
    <row r="577" outlineLevel="1">
      <c r="A577" s="13" t="n">
        <v>46512</v>
      </c>
      <c r="E577" s="11">
        <f>IF(OR($B577="",NOT(ISNUMBER($C577))),"",COUNTIFS($A$5:$A$1668,$A577,$C$5:$C$1668,"&lt;"&amp;$C577)+1)</f>
        <v/>
      </c>
      <c r="F577" s="11">
        <f>IF(OR($B577="",NOT(ISNUMBER($C577))),"",COUNTIFS($A$5:$A$1668,$A577,$C$5:$C$1668,"&gt;0"))</f>
        <v/>
      </c>
      <c r="G577" s="11">
        <f>IF(OR($B577="",NOT(ISNUMBER($C577))),"",IF($D577&lt;&gt;"",ROUND(Points!$B$6*IF($F577&lt;Points!$H$4,Points!$H$5,1),0),ROUND(Points!$B$6*IF($F577&lt;=1,1,Points!$H$7+(1-Points!$H$7)*((($F577-$E577)*(($F577-$E577)+1)/2)^2-((($F577-$E577-COUNTIFS($A$5:$A$1668,$A577,$C$5:$C$1668,$C577)+1)-1)*($F577-$E577-COUNTIFS($A$5:$A$1668,$A577,$C$5:$C$1668,$C577)+1)/2)^2)/(COUNTIFS($A$5:$A$1668,$A577,$C$5:$C$1668,$C577)*($F577-1)^3))*IF($F577&lt;Points!$H$4,Points!$H$5,1),0)))</f>
        <v/>
      </c>
      <c r="H577" s="11">
        <f>IF($G577="","",COUNTIFS($B$5:$B$1668,$B577,$G$5:$G$1668,"&gt;"&amp;$G577)+COUNTIFS($B$4:$B576,$B577,$G$4:$G576,$G577)+1)</f>
        <v/>
      </c>
      <c r="I577" s="11">
        <f>IF($G577="","",IF($H577&lt;=Points!$H$6,$G577,0))</f>
        <v/>
      </c>
      <c r="J577" s="11">
        <f>IF($B577="","",IF(COUNTIF(Players!$A$2:$A$500,$B577)=0,"Player is not on the Players tab",IF(NOT(ISNUMBER($C577)),"Enter a gross score",IF(COUNTIFS($A$5:$A$1668,$A577,$B$5:$B$1668,$B577)&gt;1,"Player is listed twice this week",IF(AND($D577&lt;&gt;"",COUNTIFS($A$5:$A$1668,$A577,$D$5:$D$1668,$D577)&gt;1),"Two players picked as "&amp;$D577,IF(COUNTIFS($A$5:$A$1668,$A577,$D$5:$D$1668,"Gross winner")=0,"Pick this week's gross winner",IF(COUNTIFS($A$5:$A$1668,$A577,$D$5:$D$1668,"Net winner")=0,"Pick this week's net winner","OK")))))))</f>
        <v/>
      </c>
    </row>
    <row r="578" outlineLevel="1">
      <c r="A578" s="13" t="n">
        <v>46512</v>
      </c>
      <c r="E578" s="11">
        <f>IF(OR($B578="",NOT(ISNUMBER($C578))),"",COUNTIFS($A$5:$A$1668,$A578,$C$5:$C$1668,"&lt;"&amp;$C578)+1)</f>
        <v/>
      </c>
      <c r="F578" s="11">
        <f>IF(OR($B578="",NOT(ISNUMBER($C578))),"",COUNTIFS($A$5:$A$1668,$A578,$C$5:$C$1668,"&gt;0"))</f>
        <v/>
      </c>
      <c r="G578" s="11">
        <f>IF(OR($B578="",NOT(ISNUMBER($C578))),"",IF($D578&lt;&gt;"",ROUND(Points!$B$6*IF($F578&lt;Points!$H$4,Points!$H$5,1),0),ROUND(Points!$B$6*IF($F578&lt;=1,1,Points!$H$7+(1-Points!$H$7)*((($F578-$E578)*(($F578-$E578)+1)/2)^2-((($F578-$E578-COUNTIFS($A$5:$A$1668,$A578,$C$5:$C$1668,$C578)+1)-1)*($F578-$E578-COUNTIFS($A$5:$A$1668,$A578,$C$5:$C$1668,$C578)+1)/2)^2)/(COUNTIFS($A$5:$A$1668,$A578,$C$5:$C$1668,$C578)*($F578-1)^3))*IF($F578&lt;Points!$H$4,Points!$H$5,1),0)))</f>
        <v/>
      </c>
      <c r="H578" s="11">
        <f>IF($G578="","",COUNTIFS($B$5:$B$1668,$B578,$G$5:$G$1668,"&gt;"&amp;$G578)+COUNTIFS($B$4:$B577,$B578,$G$4:$G577,$G578)+1)</f>
        <v/>
      </c>
      <c r="I578" s="11">
        <f>IF($G578="","",IF($H578&lt;=Points!$H$6,$G578,0))</f>
        <v/>
      </c>
      <c r="J578" s="11">
        <f>IF($B578="","",IF(COUNTIF(Players!$A$2:$A$500,$B578)=0,"Player is not on the Players tab",IF(NOT(ISNUMBER($C578)),"Enter a gross score",IF(COUNTIFS($A$5:$A$1668,$A578,$B$5:$B$1668,$B578)&gt;1,"Player is listed twice this week",IF(AND($D578&lt;&gt;"",COUNTIFS($A$5:$A$1668,$A578,$D$5:$D$1668,$D578)&gt;1),"Two players picked as "&amp;$D578,IF(COUNTIFS($A$5:$A$1668,$A578,$D$5:$D$1668,"Gross winner")=0,"Pick this week's gross winner",IF(COUNTIFS($A$5:$A$1668,$A578,$D$5:$D$1668,"Net winner")=0,"Pick this week's net winner","OK")))))))</f>
        <v/>
      </c>
    </row>
    <row r="579" outlineLevel="1">
      <c r="A579" s="13" t="n">
        <v>46512</v>
      </c>
      <c r="E579" s="11">
        <f>IF(OR($B579="",NOT(ISNUMBER($C579))),"",COUNTIFS($A$5:$A$1668,$A579,$C$5:$C$1668,"&lt;"&amp;$C579)+1)</f>
        <v/>
      </c>
      <c r="F579" s="11">
        <f>IF(OR($B579="",NOT(ISNUMBER($C579))),"",COUNTIFS($A$5:$A$1668,$A579,$C$5:$C$1668,"&gt;0"))</f>
        <v/>
      </c>
      <c r="G579" s="11">
        <f>IF(OR($B579="",NOT(ISNUMBER($C579))),"",IF($D579&lt;&gt;"",ROUND(Points!$B$6*IF($F579&lt;Points!$H$4,Points!$H$5,1),0),ROUND(Points!$B$6*IF($F579&lt;=1,1,Points!$H$7+(1-Points!$H$7)*((($F579-$E579)*(($F579-$E579)+1)/2)^2-((($F579-$E579-COUNTIFS($A$5:$A$1668,$A579,$C$5:$C$1668,$C579)+1)-1)*($F579-$E579-COUNTIFS($A$5:$A$1668,$A579,$C$5:$C$1668,$C579)+1)/2)^2)/(COUNTIFS($A$5:$A$1668,$A579,$C$5:$C$1668,$C579)*($F579-1)^3))*IF($F579&lt;Points!$H$4,Points!$H$5,1),0)))</f>
        <v/>
      </c>
      <c r="H579" s="11">
        <f>IF($G579="","",COUNTIFS($B$5:$B$1668,$B579,$G$5:$G$1668,"&gt;"&amp;$G579)+COUNTIFS($B$4:$B578,$B579,$G$4:$G578,$G579)+1)</f>
        <v/>
      </c>
      <c r="I579" s="11">
        <f>IF($G579="","",IF($H579&lt;=Points!$H$6,$G579,0))</f>
        <v/>
      </c>
      <c r="J579" s="11">
        <f>IF($B579="","",IF(COUNTIF(Players!$A$2:$A$500,$B579)=0,"Player is not on the Players tab",IF(NOT(ISNUMBER($C579)),"Enter a gross score",IF(COUNTIFS($A$5:$A$1668,$A579,$B$5:$B$1668,$B579)&gt;1,"Player is listed twice this week",IF(AND($D579&lt;&gt;"",COUNTIFS($A$5:$A$1668,$A579,$D$5:$D$1668,$D579)&gt;1),"Two players picked as "&amp;$D579,IF(COUNTIFS($A$5:$A$1668,$A579,$D$5:$D$1668,"Gross winner")=0,"Pick this week's gross winner",IF(COUNTIFS($A$5:$A$1668,$A579,$D$5:$D$1668,"Net winner")=0,"Pick this week's net winner","OK")))))))</f>
        <v/>
      </c>
    </row>
    <row r="580" ht="10" customHeight="1"/>
    <row r="581" ht="22" customHeight="1">
      <c r="A581" s="12" t="inlineStr">
        <is>
          <t>Week 19  ·  Wednesday, May 12</t>
        </is>
      </c>
    </row>
    <row r="582" outlineLevel="1">
      <c r="A582" s="13" t="n">
        <v>46519</v>
      </c>
      <c r="E582" s="11">
        <f>IF(OR($B582="",NOT(ISNUMBER($C582))),"",COUNTIFS($A$5:$A$1668,$A582,$C$5:$C$1668,"&lt;"&amp;$C582)+1)</f>
        <v/>
      </c>
      <c r="F582" s="11">
        <f>IF(OR($B582="",NOT(ISNUMBER($C582))),"",COUNTIFS($A$5:$A$1668,$A582,$C$5:$C$1668,"&gt;0"))</f>
        <v/>
      </c>
      <c r="G582" s="11">
        <f>IF(OR($B582="",NOT(ISNUMBER($C582))),"",IF($D582&lt;&gt;"",ROUND(Points!$B$6*IF($F582&lt;Points!$H$4,Points!$H$5,1),0),ROUND(Points!$B$6*IF($F582&lt;=1,1,Points!$H$7+(1-Points!$H$7)*((($F582-$E582)*(($F582-$E582)+1)/2)^2-((($F582-$E582-COUNTIFS($A$5:$A$1668,$A582,$C$5:$C$1668,$C582)+1)-1)*($F582-$E582-COUNTIFS($A$5:$A$1668,$A582,$C$5:$C$1668,$C582)+1)/2)^2)/(COUNTIFS($A$5:$A$1668,$A582,$C$5:$C$1668,$C582)*($F582-1)^3))*IF($F582&lt;Points!$H$4,Points!$H$5,1),0)))</f>
        <v/>
      </c>
      <c r="H582" s="11">
        <f>IF($G582="","",COUNTIFS($B$5:$B$1668,$B582,$G$5:$G$1668,"&gt;"&amp;$G582)+COUNTIFS($B$4:$B581,$B582,$G$4:$G581,$G582)+1)</f>
        <v/>
      </c>
      <c r="I582" s="11">
        <f>IF($G582="","",IF($H582&lt;=Points!$H$6,$G582,0))</f>
        <v/>
      </c>
      <c r="J582" s="11">
        <f>IF($B582="","",IF(COUNTIF(Players!$A$2:$A$500,$B582)=0,"Player is not on the Players tab",IF(NOT(ISNUMBER($C582)),"Enter a gross score",IF(COUNTIFS($A$5:$A$1668,$A582,$B$5:$B$1668,$B582)&gt;1,"Player is listed twice this week",IF(AND($D582&lt;&gt;"",COUNTIFS($A$5:$A$1668,$A582,$D$5:$D$1668,$D582)&gt;1),"Two players picked as "&amp;$D582,IF(COUNTIFS($A$5:$A$1668,$A582,$D$5:$D$1668,"Gross winner")=0,"Pick this week's gross winner",IF(COUNTIFS($A$5:$A$1668,$A582,$D$5:$D$1668,"Net winner")=0,"Pick this week's net winner","OK")))))))</f>
        <v/>
      </c>
    </row>
    <row r="583" outlineLevel="1">
      <c r="A583" s="13" t="n">
        <v>46519</v>
      </c>
      <c r="E583" s="11">
        <f>IF(OR($B583="",NOT(ISNUMBER($C583))),"",COUNTIFS($A$5:$A$1668,$A583,$C$5:$C$1668,"&lt;"&amp;$C583)+1)</f>
        <v/>
      </c>
      <c r="F583" s="11">
        <f>IF(OR($B583="",NOT(ISNUMBER($C583))),"",COUNTIFS($A$5:$A$1668,$A583,$C$5:$C$1668,"&gt;0"))</f>
        <v/>
      </c>
      <c r="G583" s="11">
        <f>IF(OR($B583="",NOT(ISNUMBER($C583))),"",IF($D583&lt;&gt;"",ROUND(Points!$B$6*IF($F583&lt;Points!$H$4,Points!$H$5,1),0),ROUND(Points!$B$6*IF($F583&lt;=1,1,Points!$H$7+(1-Points!$H$7)*((($F583-$E583)*(($F583-$E583)+1)/2)^2-((($F583-$E583-COUNTIFS($A$5:$A$1668,$A583,$C$5:$C$1668,$C583)+1)-1)*($F583-$E583-COUNTIFS($A$5:$A$1668,$A583,$C$5:$C$1668,$C583)+1)/2)^2)/(COUNTIFS($A$5:$A$1668,$A583,$C$5:$C$1668,$C583)*($F583-1)^3))*IF($F583&lt;Points!$H$4,Points!$H$5,1),0)))</f>
        <v/>
      </c>
      <c r="H583" s="11">
        <f>IF($G583="","",COUNTIFS($B$5:$B$1668,$B583,$G$5:$G$1668,"&gt;"&amp;$G583)+COUNTIFS($B$4:$B582,$B583,$G$4:$G582,$G583)+1)</f>
        <v/>
      </c>
      <c r="I583" s="11">
        <f>IF($G583="","",IF($H583&lt;=Points!$H$6,$G583,0))</f>
        <v/>
      </c>
      <c r="J583" s="11">
        <f>IF($B583="","",IF(COUNTIF(Players!$A$2:$A$500,$B583)=0,"Player is not on the Players tab",IF(NOT(ISNUMBER($C583)),"Enter a gross score",IF(COUNTIFS($A$5:$A$1668,$A583,$B$5:$B$1668,$B583)&gt;1,"Player is listed twice this week",IF(AND($D583&lt;&gt;"",COUNTIFS($A$5:$A$1668,$A583,$D$5:$D$1668,$D583)&gt;1),"Two players picked as "&amp;$D583,IF(COUNTIFS($A$5:$A$1668,$A583,$D$5:$D$1668,"Gross winner")=0,"Pick this week's gross winner",IF(COUNTIFS($A$5:$A$1668,$A583,$D$5:$D$1668,"Net winner")=0,"Pick this week's net winner","OK")))))))</f>
        <v/>
      </c>
    </row>
    <row r="584" outlineLevel="1">
      <c r="A584" s="13" t="n">
        <v>46519</v>
      </c>
      <c r="E584" s="11">
        <f>IF(OR($B584="",NOT(ISNUMBER($C584))),"",COUNTIFS($A$5:$A$1668,$A584,$C$5:$C$1668,"&lt;"&amp;$C584)+1)</f>
        <v/>
      </c>
      <c r="F584" s="11">
        <f>IF(OR($B584="",NOT(ISNUMBER($C584))),"",COUNTIFS($A$5:$A$1668,$A584,$C$5:$C$1668,"&gt;0"))</f>
        <v/>
      </c>
      <c r="G584" s="11">
        <f>IF(OR($B584="",NOT(ISNUMBER($C584))),"",IF($D584&lt;&gt;"",ROUND(Points!$B$6*IF($F584&lt;Points!$H$4,Points!$H$5,1),0),ROUND(Points!$B$6*IF($F584&lt;=1,1,Points!$H$7+(1-Points!$H$7)*((($F584-$E584)*(($F584-$E584)+1)/2)^2-((($F584-$E584-COUNTIFS($A$5:$A$1668,$A584,$C$5:$C$1668,$C584)+1)-1)*($F584-$E584-COUNTIFS($A$5:$A$1668,$A584,$C$5:$C$1668,$C584)+1)/2)^2)/(COUNTIFS($A$5:$A$1668,$A584,$C$5:$C$1668,$C584)*($F584-1)^3))*IF($F584&lt;Points!$H$4,Points!$H$5,1),0)))</f>
        <v/>
      </c>
      <c r="H584" s="11">
        <f>IF($G584="","",COUNTIFS($B$5:$B$1668,$B584,$G$5:$G$1668,"&gt;"&amp;$G584)+COUNTIFS($B$4:$B583,$B584,$G$4:$G583,$G584)+1)</f>
        <v/>
      </c>
      <c r="I584" s="11">
        <f>IF($G584="","",IF($H584&lt;=Points!$H$6,$G584,0))</f>
        <v/>
      </c>
      <c r="J584" s="11">
        <f>IF($B584="","",IF(COUNTIF(Players!$A$2:$A$500,$B584)=0,"Player is not on the Players tab",IF(NOT(ISNUMBER($C584)),"Enter a gross score",IF(COUNTIFS($A$5:$A$1668,$A584,$B$5:$B$1668,$B584)&gt;1,"Player is listed twice this week",IF(AND($D584&lt;&gt;"",COUNTIFS($A$5:$A$1668,$A584,$D$5:$D$1668,$D584)&gt;1),"Two players picked as "&amp;$D584,IF(COUNTIFS($A$5:$A$1668,$A584,$D$5:$D$1668,"Gross winner")=0,"Pick this week's gross winner",IF(COUNTIFS($A$5:$A$1668,$A584,$D$5:$D$1668,"Net winner")=0,"Pick this week's net winner","OK")))))))</f>
        <v/>
      </c>
    </row>
    <row r="585" outlineLevel="1">
      <c r="A585" s="13" t="n">
        <v>46519</v>
      </c>
      <c r="E585" s="11">
        <f>IF(OR($B585="",NOT(ISNUMBER($C585))),"",COUNTIFS($A$5:$A$1668,$A585,$C$5:$C$1668,"&lt;"&amp;$C585)+1)</f>
        <v/>
      </c>
      <c r="F585" s="11">
        <f>IF(OR($B585="",NOT(ISNUMBER($C585))),"",COUNTIFS($A$5:$A$1668,$A585,$C$5:$C$1668,"&gt;0"))</f>
        <v/>
      </c>
      <c r="G585" s="11">
        <f>IF(OR($B585="",NOT(ISNUMBER($C585))),"",IF($D585&lt;&gt;"",ROUND(Points!$B$6*IF($F585&lt;Points!$H$4,Points!$H$5,1),0),ROUND(Points!$B$6*IF($F585&lt;=1,1,Points!$H$7+(1-Points!$H$7)*((($F585-$E585)*(($F585-$E585)+1)/2)^2-((($F585-$E585-COUNTIFS($A$5:$A$1668,$A585,$C$5:$C$1668,$C585)+1)-1)*($F585-$E585-COUNTIFS($A$5:$A$1668,$A585,$C$5:$C$1668,$C585)+1)/2)^2)/(COUNTIFS($A$5:$A$1668,$A585,$C$5:$C$1668,$C585)*($F585-1)^3))*IF($F585&lt;Points!$H$4,Points!$H$5,1),0)))</f>
        <v/>
      </c>
      <c r="H585" s="11">
        <f>IF($G585="","",COUNTIFS($B$5:$B$1668,$B585,$G$5:$G$1668,"&gt;"&amp;$G585)+COUNTIFS($B$4:$B584,$B585,$G$4:$G584,$G585)+1)</f>
        <v/>
      </c>
      <c r="I585" s="11">
        <f>IF($G585="","",IF($H585&lt;=Points!$H$6,$G585,0))</f>
        <v/>
      </c>
      <c r="J585" s="11">
        <f>IF($B585="","",IF(COUNTIF(Players!$A$2:$A$500,$B585)=0,"Player is not on the Players tab",IF(NOT(ISNUMBER($C585)),"Enter a gross score",IF(COUNTIFS($A$5:$A$1668,$A585,$B$5:$B$1668,$B585)&gt;1,"Player is listed twice this week",IF(AND($D585&lt;&gt;"",COUNTIFS($A$5:$A$1668,$A585,$D$5:$D$1668,$D585)&gt;1),"Two players picked as "&amp;$D585,IF(COUNTIFS($A$5:$A$1668,$A585,$D$5:$D$1668,"Gross winner")=0,"Pick this week's gross winner",IF(COUNTIFS($A$5:$A$1668,$A585,$D$5:$D$1668,"Net winner")=0,"Pick this week's net winner","OK")))))))</f>
        <v/>
      </c>
    </row>
    <row r="586" outlineLevel="1">
      <c r="A586" s="13" t="n">
        <v>46519</v>
      </c>
      <c r="E586" s="11">
        <f>IF(OR($B586="",NOT(ISNUMBER($C586))),"",COUNTIFS($A$5:$A$1668,$A586,$C$5:$C$1668,"&lt;"&amp;$C586)+1)</f>
        <v/>
      </c>
      <c r="F586" s="11">
        <f>IF(OR($B586="",NOT(ISNUMBER($C586))),"",COUNTIFS($A$5:$A$1668,$A586,$C$5:$C$1668,"&gt;0"))</f>
        <v/>
      </c>
      <c r="G586" s="11">
        <f>IF(OR($B586="",NOT(ISNUMBER($C586))),"",IF($D586&lt;&gt;"",ROUND(Points!$B$6*IF($F586&lt;Points!$H$4,Points!$H$5,1),0),ROUND(Points!$B$6*IF($F586&lt;=1,1,Points!$H$7+(1-Points!$H$7)*((($F586-$E586)*(($F586-$E586)+1)/2)^2-((($F586-$E586-COUNTIFS($A$5:$A$1668,$A586,$C$5:$C$1668,$C586)+1)-1)*($F586-$E586-COUNTIFS($A$5:$A$1668,$A586,$C$5:$C$1668,$C586)+1)/2)^2)/(COUNTIFS($A$5:$A$1668,$A586,$C$5:$C$1668,$C586)*($F586-1)^3))*IF($F586&lt;Points!$H$4,Points!$H$5,1),0)))</f>
        <v/>
      </c>
      <c r="H586" s="11">
        <f>IF($G586="","",COUNTIFS($B$5:$B$1668,$B586,$G$5:$G$1668,"&gt;"&amp;$G586)+COUNTIFS($B$4:$B585,$B586,$G$4:$G585,$G586)+1)</f>
        <v/>
      </c>
      <c r="I586" s="11">
        <f>IF($G586="","",IF($H586&lt;=Points!$H$6,$G586,0))</f>
        <v/>
      </c>
      <c r="J586" s="11">
        <f>IF($B586="","",IF(COUNTIF(Players!$A$2:$A$500,$B586)=0,"Player is not on the Players tab",IF(NOT(ISNUMBER($C586)),"Enter a gross score",IF(COUNTIFS($A$5:$A$1668,$A586,$B$5:$B$1668,$B586)&gt;1,"Player is listed twice this week",IF(AND($D586&lt;&gt;"",COUNTIFS($A$5:$A$1668,$A586,$D$5:$D$1668,$D586)&gt;1),"Two players picked as "&amp;$D586,IF(COUNTIFS($A$5:$A$1668,$A586,$D$5:$D$1668,"Gross winner")=0,"Pick this week's gross winner",IF(COUNTIFS($A$5:$A$1668,$A586,$D$5:$D$1668,"Net winner")=0,"Pick this week's net winner","OK")))))))</f>
        <v/>
      </c>
    </row>
    <row r="587" outlineLevel="1">
      <c r="A587" s="13" t="n">
        <v>46519</v>
      </c>
      <c r="E587" s="11">
        <f>IF(OR($B587="",NOT(ISNUMBER($C587))),"",COUNTIFS($A$5:$A$1668,$A587,$C$5:$C$1668,"&lt;"&amp;$C587)+1)</f>
        <v/>
      </c>
      <c r="F587" s="11">
        <f>IF(OR($B587="",NOT(ISNUMBER($C587))),"",COUNTIFS($A$5:$A$1668,$A587,$C$5:$C$1668,"&gt;0"))</f>
        <v/>
      </c>
      <c r="G587" s="11">
        <f>IF(OR($B587="",NOT(ISNUMBER($C587))),"",IF($D587&lt;&gt;"",ROUND(Points!$B$6*IF($F587&lt;Points!$H$4,Points!$H$5,1),0),ROUND(Points!$B$6*IF($F587&lt;=1,1,Points!$H$7+(1-Points!$H$7)*((($F587-$E587)*(($F587-$E587)+1)/2)^2-((($F587-$E587-COUNTIFS($A$5:$A$1668,$A587,$C$5:$C$1668,$C587)+1)-1)*($F587-$E587-COUNTIFS($A$5:$A$1668,$A587,$C$5:$C$1668,$C587)+1)/2)^2)/(COUNTIFS($A$5:$A$1668,$A587,$C$5:$C$1668,$C587)*($F587-1)^3))*IF($F587&lt;Points!$H$4,Points!$H$5,1),0)))</f>
        <v/>
      </c>
      <c r="H587" s="11">
        <f>IF($G587="","",COUNTIFS($B$5:$B$1668,$B587,$G$5:$G$1668,"&gt;"&amp;$G587)+COUNTIFS($B$4:$B586,$B587,$G$4:$G586,$G587)+1)</f>
        <v/>
      </c>
      <c r="I587" s="11">
        <f>IF($G587="","",IF($H587&lt;=Points!$H$6,$G587,0))</f>
        <v/>
      </c>
      <c r="J587" s="11">
        <f>IF($B587="","",IF(COUNTIF(Players!$A$2:$A$500,$B587)=0,"Player is not on the Players tab",IF(NOT(ISNUMBER($C587)),"Enter a gross score",IF(COUNTIFS($A$5:$A$1668,$A587,$B$5:$B$1668,$B587)&gt;1,"Player is listed twice this week",IF(AND($D587&lt;&gt;"",COUNTIFS($A$5:$A$1668,$A587,$D$5:$D$1668,$D587)&gt;1),"Two players picked as "&amp;$D587,IF(COUNTIFS($A$5:$A$1668,$A587,$D$5:$D$1668,"Gross winner")=0,"Pick this week's gross winner",IF(COUNTIFS($A$5:$A$1668,$A587,$D$5:$D$1668,"Net winner")=0,"Pick this week's net winner","OK")))))))</f>
        <v/>
      </c>
    </row>
    <row r="588" outlineLevel="1">
      <c r="A588" s="13" t="n">
        <v>46519</v>
      </c>
      <c r="E588" s="11">
        <f>IF(OR($B588="",NOT(ISNUMBER($C588))),"",COUNTIFS($A$5:$A$1668,$A588,$C$5:$C$1668,"&lt;"&amp;$C588)+1)</f>
        <v/>
      </c>
      <c r="F588" s="11">
        <f>IF(OR($B588="",NOT(ISNUMBER($C588))),"",COUNTIFS($A$5:$A$1668,$A588,$C$5:$C$1668,"&gt;0"))</f>
        <v/>
      </c>
      <c r="G588" s="11">
        <f>IF(OR($B588="",NOT(ISNUMBER($C588))),"",IF($D588&lt;&gt;"",ROUND(Points!$B$6*IF($F588&lt;Points!$H$4,Points!$H$5,1),0),ROUND(Points!$B$6*IF($F588&lt;=1,1,Points!$H$7+(1-Points!$H$7)*((($F588-$E588)*(($F588-$E588)+1)/2)^2-((($F588-$E588-COUNTIFS($A$5:$A$1668,$A588,$C$5:$C$1668,$C588)+1)-1)*($F588-$E588-COUNTIFS($A$5:$A$1668,$A588,$C$5:$C$1668,$C588)+1)/2)^2)/(COUNTIFS($A$5:$A$1668,$A588,$C$5:$C$1668,$C588)*($F588-1)^3))*IF($F588&lt;Points!$H$4,Points!$H$5,1),0)))</f>
        <v/>
      </c>
      <c r="H588" s="11">
        <f>IF($G588="","",COUNTIFS($B$5:$B$1668,$B588,$G$5:$G$1668,"&gt;"&amp;$G588)+COUNTIFS($B$4:$B587,$B588,$G$4:$G587,$G588)+1)</f>
        <v/>
      </c>
      <c r="I588" s="11">
        <f>IF($G588="","",IF($H588&lt;=Points!$H$6,$G588,0))</f>
        <v/>
      </c>
      <c r="J588" s="11">
        <f>IF($B588="","",IF(COUNTIF(Players!$A$2:$A$500,$B588)=0,"Player is not on the Players tab",IF(NOT(ISNUMBER($C588)),"Enter a gross score",IF(COUNTIFS($A$5:$A$1668,$A588,$B$5:$B$1668,$B588)&gt;1,"Player is listed twice this week",IF(AND($D588&lt;&gt;"",COUNTIFS($A$5:$A$1668,$A588,$D$5:$D$1668,$D588)&gt;1),"Two players picked as "&amp;$D588,IF(COUNTIFS($A$5:$A$1668,$A588,$D$5:$D$1668,"Gross winner")=0,"Pick this week's gross winner",IF(COUNTIFS($A$5:$A$1668,$A588,$D$5:$D$1668,"Net winner")=0,"Pick this week's net winner","OK")))))))</f>
        <v/>
      </c>
    </row>
    <row r="589" outlineLevel="1">
      <c r="A589" s="13" t="n">
        <v>46519</v>
      </c>
      <c r="E589" s="11">
        <f>IF(OR($B589="",NOT(ISNUMBER($C589))),"",COUNTIFS($A$5:$A$1668,$A589,$C$5:$C$1668,"&lt;"&amp;$C589)+1)</f>
        <v/>
      </c>
      <c r="F589" s="11">
        <f>IF(OR($B589="",NOT(ISNUMBER($C589))),"",COUNTIFS($A$5:$A$1668,$A589,$C$5:$C$1668,"&gt;0"))</f>
        <v/>
      </c>
      <c r="G589" s="11">
        <f>IF(OR($B589="",NOT(ISNUMBER($C589))),"",IF($D589&lt;&gt;"",ROUND(Points!$B$6*IF($F589&lt;Points!$H$4,Points!$H$5,1),0),ROUND(Points!$B$6*IF($F589&lt;=1,1,Points!$H$7+(1-Points!$H$7)*((($F589-$E589)*(($F589-$E589)+1)/2)^2-((($F589-$E589-COUNTIFS($A$5:$A$1668,$A589,$C$5:$C$1668,$C589)+1)-1)*($F589-$E589-COUNTIFS($A$5:$A$1668,$A589,$C$5:$C$1668,$C589)+1)/2)^2)/(COUNTIFS($A$5:$A$1668,$A589,$C$5:$C$1668,$C589)*($F589-1)^3))*IF($F589&lt;Points!$H$4,Points!$H$5,1),0)))</f>
        <v/>
      </c>
      <c r="H589" s="11">
        <f>IF($G589="","",COUNTIFS($B$5:$B$1668,$B589,$G$5:$G$1668,"&gt;"&amp;$G589)+COUNTIFS($B$4:$B588,$B589,$G$4:$G588,$G589)+1)</f>
        <v/>
      </c>
      <c r="I589" s="11">
        <f>IF($G589="","",IF($H589&lt;=Points!$H$6,$G589,0))</f>
        <v/>
      </c>
      <c r="J589" s="11">
        <f>IF($B589="","",IF(COUNTIF(Players!$A$2:$A$500,$B589)=0,"Player is not on the Players tab",IF(NOT(ISNUMBER($C589)),"Enter a gross score",IF(COUNTIFS($A$5:$A$1668,$A589,$B$5:$B$1668,$B589)&gt;1,"Player is listed twice this week",IF(AND($D589&lt;&gt;"",COUNTIFS($A$5:$A$1668,$A589,$D$5:$D$1668,$D589)&gt;1),"Two players picked as "&amp;$D589,IF(COUNTIFS($A$5:$A$1668,$A589,$D$5:$D$1668,"Gross winner")=0,"Pick this week's gross winner",IF(COUNTIFS($A$5:$A$1668,$A589,$D$5:$D$1668,"Net winner")=0,"Pick this week's net winner","OK")))))))</f>
        <v/>
      </c>
    </row>
    <row r="590" outlineLevel="1">
      <c r="A590" s="13" t="n">
        <v>46519</v>
      </c>
      <c r="E590" s="11">
        <f>IF(OR($B590="",NOT(ISNUMBER($C590))),"",COUNTIFS($A$5:$A$1668,$A590,$C$5:$C$1668,"&lt;"&amp;$C590)+1)</f>
        <v/>
      </c>
      <c r="F590" s="11">
        <f>IF(OR($B590="",NOT(ISNUMBER($C590))),"",COUNTIFS($A$5:$A$1668,$A590,$C$5:$C$1668,"&gt;0"))</f>
        <v/>
      </c>
      <c r="G590" s="11">
        <f>IF(OR($B590="",NOT(ISNUMBER($C590))),"",IF($D590&lt;&gt;"",ROUND(Points!$B$6*IF($F590&lt;Points!$H$4,Points!$H$5,1),0),ROUND(Points!$B$6*IF($F590&lt;=1,1,Points!$H$7+(1-Points!$H$7)*((($F590-$E590)*(($F590-$E590)+1)/2)^2-((($F590-$E590-COUNTIFS($A$5:$A$1668,$A590,$C$5:$C$1668,$C590)+1)-1)*($F590-$E590-COUNTIFS($A$5:$A$1668,$A590,$C$5:$C$1668,$C590)+1)/2)^2)/(COUNTIFS($A$5:$A$1668,$A590,$C$5:$C$1668,$C590)*($F590-1)^3))*IF($F590&lt;Points!$H$4,Points!$H$5,1),0)))</f>
        <v/>
      </c>
      <c r="H590" s="11">
        <f>IF($G590="","",COUNTIFS($B$5:$B$1668,$B590,$G$5:$G$1668,"&gt;"&amp;$G590)+COUNTIFS($B$4:$B589,$B590,$G$4:$G589,$G590)+1)</f>
        <v/>
      </c>
      <c r="I590" s="11">
        <f>IF($G590="","",IF($H590&lt;=Points!$H$6,$G590,0))</f>
        <v/>
      </c>
      <c r="J590" s="11">
        <f>IF($B590="","",IF(COUNTIF(Players!$A$2:$A$500,$B590)=0,"Player is not on the Players tab",IF(NOT(ISNUMBER($C590)),"Enter a gross score",IF(COUNTIFS($A$5:$A$1668,$A590,$B$5:$B$1668,$B590)&gt;1,"Player is listed twice this week",IF(AND($D590&lt;&gt;"",COUNTIFS($A$5:$A$1668,$A590,$D$5:$D$1668,$D590)&gt;1),"Two players picked as "&amp;$D590,IF(COUNTIFS($A$5:$A$1668,$A590,$D$5:$D$1668,"Gross winner")=0,"Pick this week's gross winner",IF(COUNTIFS($A$5:$A$1668,$A590,$D$5:$D$1668,"Net winner")=0,"Pick this week's net winner","OK")))))))</f>
        <v/>
      </c>
    </row>
    <row r="591" outlineLevel="1">
      <c r="A591" s="13" t="n">
        <v>46519</v>
      </c>
      <c r="E591" s="11">
        <f>IF(OR($B591="",NOT(ISNUMBER($C591))),"",COUNTIFS($A$5:$A$1668,$A591,$C$5:$C$1668,"&lt;"&amp;$C591)+1)</f>
        <v/>
      </c>
      <c r="F591" s="11">
        <f>IF(OR($B591="",NOT(ISNUMBER($C591))),"",COUNTIFS($A$5:$A$1668,$A591,$C$5:$C$1668,"&gt;0"))</f>
        <v/>
      </c>
      <c r="G591" s="11">
        <f>IF(OR($B591="",NOT(ISNUMBER($C591))),"",IF($D591&lt;&gt;"",ROUND(Points!$B$6*IF($F591&lt;Points!$H$4,Points!$H$5,1),0),ROUND(Points!$B$6*IF($F591&lt;=1,1,Points!$H$7+(1-Points!$H$7)*((($F591-$E591)*(($F591-$E591)+1)/2)^2-((($F591-$E591-COUNTIFS($A$5:$A$1668,$A591,$C$5:$C$1668,$C591)+1)-1)*($F591-$E591-COUNTIFS($A$5:$A$1668,$A591,$C$5:$C$1668,$C591)+1)/2)^2)/(COUNTIFS($A$5:$A$1668,$A591,$C$5:$C$1668,$C591)*($F591-1)^3))*IF($F591&lt;Points!$H$4,Points!$H$5,1),0)))</f>
        <v/>
      </c>
      <c r="H591" s="11">
        <f>IF($G591="","",COUNTIFS($B$5:$B$1668,$B591,$G$5:$G$1668,"&gt;"&amp;$G591)+COUNTIFS($B$4:$B590,$B591,$G$4:$G590,$G591)+1)</f>
        <v/>
      </c>
      <c r="I591" s="11">
        <f>IF($G591="","",IF($H591&lt;=Points!$H$6,$G591,0))</f>
        <v/>
      </c>
      <c r="J591" s="11">
        <f>IF($B591="","",IF(COUNTIF(Players!$A$2:$A$500,$B591)=0,"Player is not on the Players tab",IF(NOT(ISNUMBER($C591)),"Enter a gross score",IF(COUNTIFS($A$5:$A$1668,$A591,$B$5:$B$1668,$B591)&gt;1,"Player is listed twice this week",IF(AND($D591&lt;&gt;"",COUNTIFS($A$5:$A$1668,$A591,$D$5:$D$1668,$D591)&gt;1),"Two players picked as "&amp;$D591,IF(COUNTIFS($A$5:$A$1668,$A591,$D$5:$D$1668,"Gross winner")=0,"Pick this week's gross winner",IF(COUNTIFS($A$5:$A$1668,$A591,$D$5:$D$1668,"Net winner")=0,"Pick this week's net winner","OK")))))))</f>
        <v/>
      </c>
    </row>
    <row r="592" outlineLevel="1">
      <c r="A592" s="13" t="n">
        <v>46519</v>
      </c>
      <c r="E592" s="11">
        <f>IF(OR($B592="",NOT(ISNUMBER($C592))),"",COUNTIFS($A$5:$A$1668,$A592,$C$5:$C$1668,"&lt;"&amp;$C592)+1)</f>
        <v/>
      </c>
      <c r="F592" s="11">
        <f>IF(OR($B592="",NOT(ISNUMBER($C592))),"",COUNTIFS($A$5:$A$1668,$A592,$C$5:$C$1668,"&gt;0"))</f>
        <v/>
      </c>
      <c r="G592" s="11">
        <f>IF(OR($B592="",NOT(ISNUMBER($C592))),"",IF($D592&lt;&gt;"",ROUND(Points!$B$6*IF($F592&lt;Points!$H$4,Points!$H$5,1),0),ROUND(Points!$B$6*IF($F592&lt;=1,1,Points!$H$7+(1-Points!$H$7)*((($F592-$E592)*(($F592-$E592)+1)/2)^2-((($F592-$E592-COUNTIFS($A$5:$A$1668,$A592,$C$5:$C$1668,$C592)+1)-1)*($F592-$E592-COUNTIFS($A$5:$A$1668,$A592,$C$5:$C$1668,$C592)+1)/2)^2)/(COUNTIFS($A$5:$A$1668,$A592,$C$5:$C$1668,$C592)*($F592-1)^3))*IF($F592&lt;Points!$H$4,Points!$H$5,1),0)))</f>
        <v/>
      </c>
      <c r="H592" s="11">
        <f>IF($G592="","",COUNTIFS($B$5:$B$1668,$B592,$G$5:$G$1668,"&gt;"&amp;$G592)+COUNTIFS($B$4:$B591,$B592,$G$4:$G591,$G592)+1)</f>
        <v/>
      </c>
      <c r="I592" s="11">
        <f>IF($G592="","",IF($H592&lt;=Points!$H$6,$G592,0))</f>
        <v/>
      </c>
      <c r="J592" s="11">
        <f>IF($B592="","",IF(COUNTIF(Players!$A$2:$A$500,$B592)=0,"Player is not on the Players tab",IF(NOT(ISNUMBER($C592)),"Enter a gross score",IF(COUNTIFS($A$5:$A$1668,$A592,$B$5:$B$1668,$B592)&gt;1,"Player is listed twice this week",IF(AND($D592&lt;&gt;"",COUNTIFS($A$5:$A$1668,$A592,$D$5:$D$1668,$D592)&gt;1),"Two players picked as "&amp;$D592,IF(COUNTIFS($A$5:$A$1668,$A592,$D$5:$D$1668,"Gross winner")=0,"Pick this week's gross winner",IF(COUNTIFS($A$5:$A$1668,$A592,$D$5:$D$1668,"Net winner")=0,"Pick this week's net winner","OK")))))))</f>
        <v/>
      </c>
    </row>
    <row r="593" outlineLevel="1">
      <c r="A593" s="13" t="n">
        <v>46519</v>
      </c>
      <c r="E593" s="11">
        <f>IF(OR($B593="",NOT(ISNUMBER($C593))),"",COUNTIFS($A$5:$A$1668,$A593,$C$5:$C$1668,"&lt;"&amp;$C593)+1)</f>
        <v/>
      </c>
      <c r="F593" s="11">
        <f>IF(OR($B593="",NOT(ISNUMBER($C593))),"",COUNTIFS($A$5:$A$1668,$A593,$C$5:$C$1668,"&gt;0"))</f>
        <v/>
      </c>
      <c r="G593" s="11">
        <f>IF(OR($B593="",NOT(ISNUMBER($C593))),"",IF($D593&lt;&gt;"",ROUND(Points!$B$6*IF($F593&lt;Points!$H$4,Points!$H$5,1),0),ROUND(Points!$B$6*IF($F593&lt;=1,1,Points!$H$7+(1-Points!$H$7)*((($F593-$E593)*(($F593-$E593)+1)/2)^2-((($F593-$E593-COUNTIFS($A$5:$A$1668,$A593,$C$5:$C$1668,$C593)+1)-1)*($F593-$E593-COUNTIFS($A$5:$A$1668,$A593,$C$5:$C$1668,$C593)+1)/2)^2)/(COUNTIFS($A$5:$A$1668,$A593,$C$5:$C$1668,$C593)*($F593-1)^3))*IF($F593&lt;Points!$H$4,Points!$H$5,1),0)))</f>
        <v/>
      </c>
      <c r="H593" s="11">
        <f>IF($G593="","",COUNTIFS($B$5:$B$1668,$B593,$G$5:$G$1668,"&gt;"&amp;$G593)+COUNTIFS($B$4:$B592,$B593,$G$4:$G592,$G593)+1)</f>
        <v/>
      </c>
      <c r="I593" s="11">
        <f>IF($G593="","",IF($H593&lt;=Points!$H$6,$G593,0))</f>
        <v/>
      </c>
      <c r="J593" s="11">
        <f>IF($B593="","",IF(COUNTIF(Players!$A$2:$A$500,$B593)=0,"Player is not on the Players tab",IF(NOT(ISNUMBER($C593)),"Enter a gross score",IF(COUNTIFS($A$5:$A$1668,$A593,$B$5:$B$1668,$B593)&gt;1,"Player is listed twice this week",IF(AND($D593&lt;&gt;"",COUNTIFS($A$5:$A$1668,$A593,$D$5:$D$1668,$D593)&gt;1),"Two players picked as "&amp;$D593,IF(COUNTIFS($A$5:$A$1668,$A593,$D$5:$D$1668,"Gross winner")=0,"Pick this week's gross winner",IF(COUNTIFS($A$5:$A$1668,$A593,$D$5:$D$1668,"Net winner")=0,"Pick this week's net winner","OK")))))))</f>
        <v/>
      </c>
    </row>
    <row r="594" outlineLevel="1">
      <c r="A594" s="13" t="n">
        <v>46519</v>
      </c>
      <c r="E594" s="11">
        <f>IF(OR($B594="",NOT(ISNUMBER($C594))),"",COUNTIFS($A$5:$A$1668,$A594,$C$5:$C$1668,"&lt;"&amp;$C594)+1)</f>
        <v/>
      </c>
      <c r="F594" s="11">
        <f>IF(OR($B594="",NOT(ISNUMBER($C594))),"",COUNTIFS($A$5:$A$1668,$A594,$C$5:$C$1668,"&gt;0"))</f>
        <v/>
      </c>
      <c r="G594" s="11">
        <f>IF(OR($B594="",NOT(ISNUMBER($C594))),"",IF($D594&lt;&gt;"",ROUND(Points!$B$6*IF($F594&lt;Points!$H$4,Points!$H$5,1),0),ROUND(Points!$B$6*IF($F594&lt;=1,1,Points!$H$7+(1-Points!$H$7)*((($F594-$E594)*(($F594-$E594)+1)/2)^2-((($F594-$E594-COUNTIFS($A$5:$A$1668,$A594,$C$5:$C$1668,$C594)+1)-1)*($F594-$E594-COUNTIFS($A$5:$A$1668,$A594,$C$5:$C$1668,$C594)+1)/2)^2)/(COUNTIFS($A$5:$A$1668,$A594,$C$5:$C$1668,$C594)*($F594-1)^3))*IF($F594&lt;Points!$H$4,Points!$H$5,1),0)))</f>
        <v/>
      </c>
      <c r="H594" s="11">
        <f>IF($G594="","",COUNTIFS($B$5:$B$1668,$B594,$G$5:$G$1668,"&gt;"&amp;$G594)+COUNTIFS($B$4:$B593,$B594,$G$4:$G593,$G594)+1)</f>
        <v/>
      </c>
      <c r="I594" s="11">
        <f>IF($G594="","",IF($H594&lt;=Points!$H$6,$G594,0))</f>
        <v/>
      </c>
      <c r="J594" s="11">
        <f>IF($B594="","",IF(COUNTIF(Players!$A$2:$A$500,$B594)=0,"Player is not on the Players tab",IF(NOT(ISNUMBER($C594)),"Enter a gross score",IF(COUNTIFS($A$5:$A$1668,$A594,$B$5:$B$1668,$B594)&gt;1,"Player is listed twice this week",IF(AND($D594&lt;&gt;"",COUNTIFS($A$5:$A$1668,$A594,$D$5:$D$1668,$D594)&gt;1),"Two players picked as "&amp;$D594,IF(COUNTIFS($A$5:$A$1668,$A594,$D$5:$D$1668,"Gross winner")=0,"Pick this week's gross winner",IF(COUNTIFS($A$5:$A$1668,$A594,$D$5:$D$1668,"Net winner")=0,"Pick this week's net winner","OK")))))))</f>
        <v/>
      </c>
    </row>
    <row r="595" outlineLevel="1">
      <c r="A595" s="13" t="n">
        <v>46519</v>
      </c>
      <c r="E595" s="11">
        <f>IF(OR($B595="",NOT(ISNUMBER($C595))),"",COUNTIFS($A$5:$A$1668,$A595,$C$5:$C$1668,"&lt;"&amp;$C595)+1)</f>
        <v/>
      </c>
      <c r="F595" s="11">
        <f>IF(OR($B595="",NOT(ISNUMBER($C595))),"",COUNTIFS($A$5:$A$1668,$A595,$C$5:$C$1668,"&gt;0"))</f>
        <v/>
      </c>
      <c r="G595" s="11">
        <f>IF(OR($B595="",NOT(ISNUMBER($C595))),"",IF($D595&lt;&gt;"",ROUND(Points!$B$6*IF($F595&lt;Points!$H$4,Points!$H$5,1),0),ROUND(Points!$B$6*IF($F595&lt;=1,1,Points!$H$7+(1-Points!$H$7)*((($F595-$E595)*(($F595-$E595)+1)/2)^2-((($F595-$E595-COUNTIFS($A$5:$A$1668,$A595,$C$5:$C$1668,$C595)+1)-1)*($F595-$E595-COUNTIFS($A$5:$A$1668,$A595,$C$5:$C$1668,$C595)+1)/2)^2)/(COUNTIFS($A$5:$A$1668,$A595,$C$5:$C$1668,$C595)*($F595-1)^3))*IF($F595&lt;Points!$H$4,Points!$H$5,1),0)))</f>
        <v/>
      </c>
      <c r="H595" s="11">
        <f>IF($G595="","",COUNTIFS($B$5:$B$1668,$B595,$G$5:$G$1668,"&gt;"&amp;$G595)+COUNTIFS($B$4:$B594,$B595,$G$4:$G594,$G595)+1)</f>
        <v/>
      </c>
      <c r="I595" s="11">
        <f>IF($G595="","",IF($H595&lt;=Points!$H$6,$G595,0))</f>
        <v/>
      </c>
      <c r="J595" s="11">
        <f>IF($B595="","",IF(COUNTIF(Players!$A$2:$A$500,$B595)=0,"Player is not on the Players tab",IF(NOT(ISNUMBER($C595)),"Enter a gross score",IF(COUNTIFS($A$5:$A$1668,$A595,$B$5:$B$1668,$B595)&gt;1,"Player is listed twice this week",IF(AND($D595&lt;&gt;"",COUNTIFS($A$5:$A$1668,$A595,$D$5:$D$1668,$D595)&gt;1),"Two players picked as "&amp;$D595,IF(COUNTIFS($A$5:$A$1668,$A595,$D$5:$D$1668,"Gross winner")=0,"Pick this week's gross winner",IF(COUNTIFS($A$5:$A$1668,$A595,$D$5:$D$1668,"Net winner")=0,"Pick this week's net winner","OK")))))))</f>
        <v/>
      </c>
    </row>
    <row r="596" outlineLevel="1">
      <c r="A596" s="13" t="n">
        <v>46519</v>
      </c>
      <c r="E596" s="11">
        <f>IF(OR($B596="",NOT(ISNUMBER($C596))),"",COUNTIFS($A$5:$A$1668,$A596,$C$5:$C$1668,"&lt;"&amp;$C596)+1)</f>
        <v/>
      </c>
      <c r="F596" s="11">
        <f>IF(OR($B596="",NOT(ISNUMBER($C596))),"",COUNTIFS($A$5:$A$1668,$A596,$C$5:$C$1668,"&gt;0"))</f>
        <v/>
      </c>
      <c r="G596" s="11">
        <f>IF(OR($B596="",NOT(ISNUMBER($C596))),"",IF($D596&lt;&gt;"",ROUND(Points!$B$6*IF($F596&lt;Points!$H$4,Points!$H$5,1),0),ROUND(Points!$B$6*IF($F596&lt;=1,1,Points!$H$7+(1-Points!$H$7)*((($F596-$E596)*(($F596-$E596)+1)/2)^2-((($F596-$E596-COUNTIFS($A$5:$A$1668,$A596,$C$5:$C$1668,$C596)+1)-1)*($F596-$E596-COUNTIFS($A$5:$A$1668,$A596,$C$5:$C$1668,$C596)+1)/2)^2)/(COUNTIFS($A$5:$A$1668,$A596,$C$5:$C$1668,$C596)*($F596-1)^3))*IF($F596&lt;Points!$H$4,Points!$H$5,1),0)))</f>
        <v/>
      </c>
      <c r="H596" s="11">
        <f>IF($G596="","",COUNTIFS($B$5:$B$1668,$B596,$G$5:$G$1668,"&gt;"&amp;$G596)+COUNTIFS($B$4:$B595,$B596,$G$4:$G595,$G596)+1)</f>
        <v/>
      </c>
      <c r="I596" s="11">
        <f>IF($G596="","",IF($H596&lt;=Points!$H$6,$G596,0))</f>
        <v/>
      </c>
      <c r="J596" s="11">
        <f>IF($B596="","",IF(COUNTIF(Players!$A$2:$A$500,$B596)=0,"Player is not on the Players tab",IF(NOT(ISNUMBER($C596)),"Enter a gross score",IF(COUNTIFS($A$5:$A$1668,$A596,$B$5:$B$1668,$B596)&gt;1,"Player is listed twice this week",IF(AND($D596&lt;&gt;"",COUNTIFS($A$5:$A$1668,$A596,$D$5:$D$1668,$D596)&gt;1),"Two players picked as "&amp;$D596,IF(COUNTIFS($A$5:$A$1668,$A596,$D$5:$D$1668,"Gross winner")=0,"Pick this week's gross winner",IF(COUNTIFS($A$5:$A$1668,$A596,$D$5:$D$1668,"Net winner")=0,"Pick this week's net winner","OK")))))))</f>
        <v/>
      </c>
    </row>
    <row r="597" outlineLevel="1">
      <c r="A597" s="13" t="n">
        <v>46519</v>
      </c>
      <c r="E597" s="11">
        <f>IF(OR($B597="",NOT(ISNUMBER($C597))),"",COUNTIFS($A$5:$A$1668,$A597,$C$5:$C$1668,"&lt;"&amp;$C597)+1)</f>
        <v/>
      </c>
      <c r="F597" s="11">
        <f>IF(OR($B597="",NOT(ISNUMBER($C597))),"",COUNTIFS($A$5:$A$1668,$A597,$C$5:$C$1668,"&gt;0"))</f>
        <v/>
      </c>
      <c r="G597" s="11">
        <f>IF(OR($B597="",NOT(ISNUMBER($C597))),"",IF($D597&lt;&gt;"",ROUND(Points!$B$6*IF($F597&lt;Points!$H$4,Points!$H$5,1),0),ROUND(Points!$B$6*IF($F597&lt;=1,1,Points!$H$7+(1-Points!$H$7)*((($F597-$E597)*(($F597-$E597)+1)/2)^2-((($F597-$E597-COUNTIFS($A$5:$A$1668,$A597,$C$5:$C$1668,$C597)+1)-1)*($F597-$E597-COUNTIFS($A$5:$A$1668,$A597,$C$5:$C$1668,$C597)+1)/2)^2)/(COUNTIFS($A$5:$A$1668,$A597,$C$5:$C$1668,$C597)*($F597-1)^3))*IF($F597&lt;Points!$H$4,Points!$H$5,1),0)))</f>
        <v/>
      </c>
      <c r="H597" s="11">
        <f>IF($G597="","",COUNTIFS($B$5:$B$1668,$B597,$G$5:$G$1668,"&gt;"&amp;$G597)+COUNTIFS($B$4:$B596,$B597,$G$4:$G596,$G597)+1)</f>
        <v/>
      </c>
      <c r="I597" s="11">
        <f>IF($G597="","",IF($H597&lt;=Points!$H$6,$G597,0))</f>
        <v/>
      </c>
      <c r="J597" s="11">
        <f>IF($B597="","",IF(COUNTIF(Players!$A$2:$A$500,$B597)=0,"Player is not on the Players tab",IF(NOT(ISNUMBER($C597)),"Enter a gross score",IF(COUNTIFS($A$5:$A$1668,$A597,$B$5:$B$1668,$B597)&gt;1,"Player is listed twice this week",IF(AND($D597&lt;&gt;"",COUNTIFS($A$5:$A$1668,$A597,$D$5:$D$1668,$D597)&gt;1),"Two players picked as "&amp;$D597,IF(COUNTIFS($A$5:$A$1668,$A597,$D$5:$D$1668,"Gross winner")=0,"Pick this week's gross winner",IF(COUNTIFS($A$5:$A$1668,$A597,$D$5:$D$1668,"Net winner")=0,"Pick this week's net winner","OK")))))))</f>
        <v/>
      </c>
    </row>
    <row r="598" outlineLevel="1">
      <c r="A598" s="13" t="n">
        <v>46519</v>
      </c>
      <c r="E598" s="11">
        <f>IF(OR($B598="",NOT(ISNUMBER($C598))),"",COUNTIFS($A$5:$A$1668,$A598,$C$5:$C$1668,"&lt;"&amp;$C598)+1)</f>
        <v/>
      </c>
      <c r="F598" s="11">
        <f>IF(OR($B598="",NOT(ISNUMBER($C598))),"",COUNTIFS($A$5:$A$1668,$A598,$C$5:$C$1668,"&gt;0"))</f>
        <v/>
      </c>
      <c r="G598" s="11">
        <f>IF(OR($B598="",NOT(ISNUMBER($C598))),"",IF($D598&lt;&gt;"",ROUND(Points!$B$6*IF($F598&lt;Points!$H$4,Points!$H$5,1),0),ROUND(Points!$B$6*IF($F598&lt;=1,1,Points!$H$7+(1-Points!$H$7)*((($F598-$E598)*(($F598-$E598)+1)/2)^2-((($F598-$E598-COUNTIFS($A$5:$A$1668,$A598,$C$5:$C$1668,$C598)+1)-1)*($F598-$E598-COUNTIFS($A$5:$A$1668,$A598,$C$5:$C$1668,$C598)+1)/2)^2)/(COUNTIFS($A$5:$A$1668,$A598,$C$5:$C$1668,$C598)*($F598-1)^3))*IF($F598&lt;Points!$H$4,Points!$H$5,1),0)))</f>
        <v/>
      </c>
      <c r="H598" s="11">
        <f>IF($G598="","",COUNTIFS($B$5:$B$1668,$B598,$G$5:$G$1668,"&gt;"&amp;$G598)+COUNTIFS($B$4:$B597,$B598,$G$4:$G597,$G598)+1)</f>
        <v/>
      </c>
      <c r="I598" s="11">
        <f>IF($G598="","",IF($H598&lt;=Points!$H$6,$G598,0))</f>
        <v/>
      </c>
      <c r="J598" s="11">
        <f>IF($B598="","",IF(COUNTIF(Players!$A$2:$A$500,$B598)=0,"Player is not on the Players tab",IF(NOT(ISNUMBER($C598)),"Enter a gross score",IF(COUNTIFS($A$5:$A$1668,$A598,$B$5:$B$1668,$B598)&gt;1,"Player is listed twice this week",IF(AND($D598&lt;&gt;"",COUNTIFS($A$5:$A$1668,$A598,$D$5:$D$1668,$D598)&gt;1),"Two players picked as "&amp;$D598,IF(COUNTIFS($A$5:$A$1668,$A598,$D$5:$D$1668,"Gross winner")=0,"Pick this week's gross winner",IF(COUNTIFS($A$5:$A$1668,$A598,$D$5:$D$1668,"Net winner")=0,"Pick this week's net winner","OK")))))))</f>
        <v/>
      </c>
    </row>
    <row r="599" outlineLevel="1">
      <c r="A599" s="13" t="n">
        <v>46519</v>
      </c>
      <c r="E599" s="11">
        <f>IF(OR($B599="",NOT(ISNUMBER($C599))),"",COUNTIFS($A$5:$A$1668,$A599,$C$5:$C$1668,"&lt;"&amp;$C599)+1)</f>
        <v/>
      </c>
      <c r="F599" s="11">
        <f>IF(OR($B599="",NOT(ISNUMBER($C599))),"",COUNTIFS($A$5:$A$1668,$A599,$C$5:$C$1668,"&gt;0"))</f>
        <v/>
      </c>
      <c r="G599" s="11">
        <f>IF(OR($B599="",NOT(ISNUMBER($C599))),"",IF($D599&lt;&gt;"",ROUND(Points!$B$6*IF($F599&lt;Points!$H$4,Points!$H$5,1),0),ROUND(Points!$B$6*IF($F599&lt;=1,1,Points!$H$7+(1-Points!$H$7)*((($F599-$E599)*(($F599-$E599)+1)/2)^2-((($F599-$E599-COUNTIFS($A$5:$A$1668,$A599,$C$5:$C$1668,$C599)+1)-1)*($F599-$E599-COUNTIFS($A$5:$A$1668,$A599,$C$5:$C$1668,$C599)+1)/2)^2)/(COUNTIFS($A$5:$A$1668,$A599,$C$5:$C$1668,$C599)*($F599-1)^3))*IF($F599&lt;Points!$H$4,Points!$H$5,1),0)))</f>
        <v/>
      </c>
      <c r="H599" s="11">
        <f>IF($G599="","",COUNTIFS($B$5:$B$1668,$B599,$G$5:$G$1668,"&gt;"&amp;$G599)+COUNTIFS($B$4:$B598,$B599,$G$4:$G598,$G599)+1)</f>
        <v/>
      </c>
      <c r="I599" s="11">
        <f>IF($G599="","",IF($H599&lt;=Points!$H$6,$G599,0))</f>
        <v/>
      </c>
      <c r="J599" s="11">
        <f>IF($B599="","",IF(COUNTIF(Players!$A$2:$A$500,$B599)=0,"Player is not on the Players tab",IF(NOT(ISNUMBER($C599)),"Enter a gross score",IF(COUNTIFS($A$5:$A$1668,$A599,$B$5:$B$1668,$B599)&gt;1,"Player is listed twice this week",IF(AND($D599&lt;&gt;"",COUNTIFS($A$5:$A$1668,$A599,$D$5:$D$1668,$D599)&gt;1),"Two players picked as "&amp;$D599,IF(COUNTIFS($A$5:$A$1668,$A599,$D$5:$D$1668,"Gross winner")=0,"Pick this week's gross winner",IF(COUNTIFS($A$5:$A$1668,$A599,$D$5:$D$1668,"Net winner")=0,"Pick this week's net winner","OK")))))))</f>
        <v/>
      </c>
    </row>
    <row r="600" outlineLevel="1">
      <c r="A600" s="13" t="n">
        <v>46519</v>
      </c>
      <c r="E600" s="11">
        <f>IF(OR($B600="",NOT(ISNUMBER($C600))),"",COUNTIFS($A$5:$A$1668,$A600,$C$5:$C$1668,"&lt;"&amp;$C600)+1)</f>
        <v/>
      </c>
      <c r="F600" s="11">
        <f>IF(OR($B600="",NOT(ISNUMBER($C600))),"",COUNTIFS($A$5:$A$1668,$A600,$C$5:$C$1668,"&gt;0"))</f>
        <v/>
      </c>
      <c r="G600" s="11">
        <f>IF(OR($B600="",NOT(ISNUMBER($C600))),"",IF($D600&lt;&gt;"",ROUND(Points!$B$6*IF($F600&lt;Points!$H$4,Points!$H$5,1),0),ROUND(Points!$B$6*IF($F600&lt;=1,1,Points!$H$7+(1-Points!$H$7)*((($F600-$E600)*(($F600-$E600)+1)/2)^2-((($F600-$E600-COUNTIFS($A$5:$A$1668,$A600,$C$5:$C$1668,$C600)+1)-1)*($F600-$E600-COUNTIFS($A$5:$A$1668,$A600,$C$5:$C$1668,$C600)+1)/2)^2)/(COUNTIFS($A$5:$A$1668,$A600,$C$5:$C$1668,$C600)*($F600-1)^3))*IF($F600&lt;Points!$H$4,Points!$H$5,1),0)))</f>
        <v/>
      </c>
      <c r="H600" s="11">
        <f>IF($G600="","",COUNTIFS($B$5:$B$1668,$B600,$G$5:$G$1668,"&gt;"&amp;$G600)+COUNTIFS($B$4:$B599,$B600,$G$4:$G599,$G600)+1)</f>
        <v/>
      </c>
      <c r="I600" s="11">
        <f>IF($G600="","",IF($H600&lt;=Points!$H$6,$G600,0))</f>
        <v/>
      </c>
      <c r="J600" s="11">
        <f>IF($B600="","",IF(COUNTIF(Players!$A$2:$A$500,$B600)=0,"Player is not on the Players tab",IF(NOT(ISNUMBER($C600)),"Enter a gross score",IF(COUNTIFS($A$5:$A$1668,$A600,$B$5:$B$1668,$B600)&gt;1,"Player is listed twice this week",IF(AND($D600&lt;&gt;"",COUNTIFS($A$5:$A$1668,$A600,$D$5:$D$1668,$D600)&gt;1),"Two players picked as "&amp;$D600,IF(COUNTIFS($A$5:$A$1668,$A600,$D$5:$D$1668,"Gross winner")=0,"Pick this week's gross winner",IF(COUNTIFS($A$5:$A$1668,$A600,$D$5:$D$1668,"Net winner")=0,"Pick this week's net winner","OK")))))))</f>
        <v/>
      </c>
    </row>
    <row r="601" outlineLevel="1">
      <c r="A601" s="13" t="n">
        <v>46519</v>
      </c>
      <c r="E601" s="11">
        <f>IF(OR($B601="",NOT(ISNUMBER($C601))),"",COUNTIFS($A$5:$A$1668,$A601,$C$5:$C$1668,"&lt;"&amp;$C601)+1)</f>
        <v/>
      </c>
      <c r="F601" s="11">
        <f>IF(OR($B601="",NOT(ISNUMBER($C601))),"",COUNTIFS($A$5:$A$1668,$A601,$C$5:$C$1668,"&gt;0"))</f>
        <v/>
      </c>
      <c r="G601" s="11">
        <f>IF(OR($B601="",NOT(ISNUMBER($C601))),"",IF($D601&lt;&gt;"",ROUND(Points!$B$6*IF($F601&lt;Points!$H$4,Points!$H$5,1),0),ROUND(Points!$B$6*IF($F601&lt;=1,1,Points!$H$7+(1-Points!$H$7)*((($F601-$E601)*(($F601-$E601)+1)/2)^2-((($F601-$E601-COUNTIFS($A$5:$A$1668,$A601,$C$5:$C$1668,$C601)+1)-1)*($F601-$E601-COUNTIFS($A$5:$A$1668,$A601,$C$5:$C$1668,$C601)+1)/2)^2)/(COUNTIFS($A$5:$A$1668,$A601,$C$5:$C$1668,$C601)*($F601-1)^3))*IF($F601&lt;Points!$H$4,Points!$H$5,1),0)))</f>
        <v/>
      </c>
      <c r="H601" s="11">
        <f>IF($G601="","",COUNTIFS($B$5:$B$1668,$B601,$G$5:$G$1668,"&gt;"&amp;$G601)+COUNTIFS($B$4:$B600,$B601,$G$4:$G600,$G601)+1)</f>
        <v/>
      </c>
      <c r="I601" s="11">
        <f>IF($G601="","",IF($H601&lt;=Points!$H$6,$G601,0))</f>
        <v/>
      </c>
      <c r="J601" s="11">
        <f>IF($B601="","",IF(COUNTIF(Players!$A$2:$A$500,$B601)=0,"Player is not on the Players tab",IF(NOT(ISNUMBER($C601)),"Enter a gross score",IF(COUNTIFS($A$5:$A$1668,$A601,$B$5:$B$1668,$B601)&gt;1,"Player is listed twice this week",IF(AND($D601&lt;&gt;"",COUNTIFS($A$5:$A$1668,$A601,$D$5:$D$1668,$D601)&gt;1),"Two players picked as "&amp;$D601,IF(COUNTIFS($A$5:$A$1668,$A601,$D$5:$D$1668,"Gross winner")=0,"Pick this week's gross winner",IF(COUNTIFS($A$5:$A$1668,$A601,$D$5:$D$1668,"Net winner")=0,"Pick this week's net winner","OK")))))))</f>
        <v/>
      </c>
    </row>
    <row r="602" outlineLevel="1">
      <c r="A602" s="13" t="n">
        <v>46519</v>
      </c>
      <c r="E602" s="11">
        <f>IF(OR($B602="",NOT(ISNUMBER($C602))),"",COUNTIFS($A$5:$A$1668,$A602,$C$5:$C$1668,"&lt;"&amp;$C602)+1)</f>
        <v/>
      </c>
      <c r="F602" s="11">
        <f>IF(OR($B602="",NOT(ISNUMBER($C602))),"",COUNTIFS($A$5:$A$1668,$A602,$C$5:$C$1668,"&gt;0"))</f>
        <v/>
      </c>
      <c r="G602" s="11">
        <f>IF(OR($B602="",NOT(ISNUMBER($C602))),"",IF($D602&lt;&gt;"",ROUND(Points!$B$6*IF($F602&lt;Points!$H$4,Points!$H$5,1),0),ROUND(Points!$B$6*IF($F602&lt;=1,1,Points!$H$7+(1-Points!$H$7)*((($F602-$E602)*(($F602-$E602)+1)/2)^2-((($F602-$E602-COUNTIFS($A$5:$A$1668,$A602,$C$5:$C$1668,$C602)+1)-1)*($F602-$E602-COUNTIFS($A$5:$A$1668,$A602,$C$5:$C$1668,$C602)+1)/2)^2)/(COUNTIFS($A$5:$A$1668,$A602,$C$5:$C$1668,$C602)*($F602-1)^3))*IF($F602&lt;Points!$H$4,Points!$H$5,1),0)))</f>
        <v/>
      </c>
      <c r="H602" s="11">
        <f>IF($G602="","",COUNTIFS($B$5:$B$1668,$B602,$G$5:$G$1668,"&gt;"&amp;$G602)+COUNTIFS($B$4:$B601,$B602,$G$4:$G601,$G602)+1)</f>
        <v/>
      </c>
      <c r="I602" s="11">
        <f>IF($G602="","",IF($H602&lt;=Points!$H$6,$G602,0))</f>
        <v/>
      </c>
      <c r="J602" s="11">
        <f>IF($B602="","",IF(COUNTIF(Players!$A$2:$A$500,$B602)=0,"Player is not on the Players tab",IF(NOT(ISNUMBER($C602)),"Enter a gross score",IF(COUNTIFS($A$5:$A$1668,$A602,$B$5:$B$1668,$B602)&gt;1,"Player is listed twice this week",IF(AND($D602&lt;&gt;"",COUNTIFS($A$5:$A$1668,$A602,$D$5:$D$1668,$D602)&gt;1),"Two players picked as "&amp;$D602,IF(COUNTIFS($A$5:$A$1668,$A602,$D$5:$D$1668,"Gross winner")=0,"Pick this week's gross winner",IF(COUNTIFS($A$5:$A$1668,$A602,$D$5:$D$1668,"Net winner")=0,"Pick this week's net winner","OK")))))))</f>
        <v/>
      </c>
    </row>
    <row r="603" outlineLevel="1">
      <c r="A603" s="13" t="n">
        <v>46519</v>
      </c>
      <c r="E603" s="11">
        <f>IF(OR($B603="",NOT(ISNUMBER($C603))),"",COUNTIFS($A$5:$A$1668,$A603,$C$5:$C$1668,"&lt;"&amp;$C603)+1)</f>
        <v/>
      </c>
      <c r="F603" s="11">
        <f>IF(OR($B603="",NOT(ISNUMBER($C603))),"",COUNTIFS($A$5:$A$1668,$A603,$C$5:$C$1668,"&gt;0"))</f>
        <v/>
      </c>
      <c r="G603" s="11">
        <f>IF(OR($B603="",NOT(ISNUMBER($C603))),"",IF($D603&lt;&gt;"",ROUND(Points!$B$6*IF($F603&lt;Points!$H$4,Points!$H$5,1),0),ROUND(Points!$B$6*IF($F603&lt;=1,1,Points!$H$7+(1-Points!$H$7)*((($F603-$E603)*(($F603-$E603)+1)/2)^2-((($F603-$E603-COUNTIFS($A$5:$A$1668,$A603,$C$5:$C$1668,$C603)+1)-1)*($F603-$E603-COUNTIFS($A$5:$A$1668,$A603,$C$5:$C$1668,$C603)+1)/2)^2)/(COUNTIFS($A$5:$A$1668,$A603,$C$5:$C$1668,$C603)*($F603-1)^3))*IF($F603&lt;Points!$H$4,Points!$H$5,1),0)))</f>
        <v/>
      </c>
      <c r="H603" s="11">
        <f>IF($G603="","",COUNTIFS($B$5:$B$1668,$B603,$G$5:$G$1668,"&gt;"&amp;$G603)+COUNTIFS($B$4:$B602,$B603,$G$4:$G602,$G603)+1)</f>
        <v/>
      </c>
      <c r="I603" s="11">
        <f>IF($G603="","",IF($H603&lt;=Points!$H$6,$G603,0))</f>
        <v/>
      </c>
      <c r="J603" s="11">
        <f>IF($B603="","",IF(COUNTIF(Players!$A$2:$A$500,$B603)=0,"Player is not on the Players tab",IF(NOT(ISNUMBER($C603)),"Enter a gross score",IF(COUNTIFS($A$5:$A$1668,$A603,$B$5:$B$1668,$B603)&gt;1,"Player is listed twice this week",IF(AND($D603&lt;&gt;"",COUNTIFS($A$5:$A$1668,$A603,$D$5:$D$1668,$D603)&gt;1),"Two players picked as "&amp;$D603,IF(COUNTIFS($A$5:$A$1668,$A603,$D$5:$D$1668,"Gross winner")=0,"Pick this week's gross winner",IF(COUNTIFS($A$5:$A$1668,$A603,$D$5:$D$1668,"Net winner")=0,"Pick this week's net winner","OK")))))))</f>
        <v/>
      </c>
    </row>
    <row r="604" outlineLevel="1">
      <c r="A604" s="13" t="n">
        <v>46519</v>
      </c>
      <c r="E604" s="11">
        <f>IF(OR($B604="",NOT(ISNUMBER($C604))),"",COUNTIFS($A$5:$A$1668,$A604,$C$5:$C$1668,"&lt;"&amp;$C604)+1)</f>
        <v/>
      </c>
      <c r="F604" s="11">
        <f>IF(OR($B604="",NOT(ISNUMBER($C604))),"",COUNTIFS($A$5:$A$1668,$A604,$C$5:$C$1668,"&gt;0"))</f>
        <v/>
      </c>
      <c r="G604" s="11">
        <f>IF(OR($B604="",NOT(ISNUMBER($C604))),"",IF($D604&lt;&gt;"",ROUND(Points!$B$6*IF($F604&lt;Points!$H$4,Points!$H$5,1),0),ROUND(Points!$B$6*IF($F604&lt;=1,1,Points!$H$7+(1-Points!$H$7)*((($F604-$E604)*(($F604-$E604)+1)/2)^2-((($F604-$E604-COUNTIFS($A$5:$A$1668,$A604,$C$5:$C$1668,$C604)+1)-1)*($F604-$E604-COUNTIFS($A$5:$A$1668,$A604,$C$5:$C$1668,$C604)+1)/2)^2)/(COUNTIFS($A$5:$A$1668,$A604,$C$5:$C$1668,$C604)*($F604-1)^3))*IF($F604&lt;Points!$H$4,Points!$H$5,1),0)))</f>
        <v/>
      </c>
      <c r="H604" s="11">
        <f>IF($G604="","",COUNTIFS($B$5:$B$1668,$B604,$G$5:$G$1668,"&gt;"&amp;$G604)+COUNTIFS($B$4:$B603,$B604,$G$4:$G603,$G604)+1)</f>
        <v/>
      </c>
      <c r="I604" s="11">
        <f>IF($G604="","",IF($H604&lt;=Points!$H$6,$G604,0))</f>
        <v/>
      </c>
      <c r="J604" s="11">
        <f>IF($B604="","",IF(COUNTIF(Players!$A$2:$A$500,$B604)=0,"Player is not on the Players tab",IF(NOT(ISNUMBER($C604)),"Enter a gross score",IF(COUNTIFS($A$5:$A$1668,$A604,$B$5:$B$1668,$B604)&gt;1,"Player is listed twice this week",IF(AND($D604&lt;&gt;"",COUNTIFS($A$5:$A$1668,$A604,$D$5:$D$1668,$D604)&gt;1),"Two players picked as "&amp;$D604,IF(COUNTIFS($A$5:$A$1668,$A604,$D$5:$D$1668,"Gross winner")=0,"Pick this week's gross winner",IF(COUNTIFS($A$5:$A$1668,$A604,$D$5:$D$1668,"Net winner")=0,"Pick this week's net winner","OK")))))))</f>
        <v/>
      </c>
    </row>
    <row r="605" outlineLevel="1">
      <c r="A605" s="13" t="n">
        <v>46519</v>
      </c>
      <c r="E605" s="11">
        <f>IF(OR($B605="",NOT(ISNUMBER($C605))),"",COUNTIFS($A$5:$A$1668,$A605,$C$5:$C$1668,"&lt;"&amp;$C605)+1)</f>
        <v/>
      </c>
      <c r="F605" s="11">
        <f>IF(OR($B605="",NOT(ISNUMBER($C605))),"",COUNTIFS($A$5:$A$1668,$A605,$C$5:$C$1668,"&gt;0"))</f>
        <v/>
      </c>
      <c r="G605" s="11">
        <f>IF(OR($B605="",NOT(ISNUMBER($C605))),"",IF($D605&lt;&gt;"",ROUND(Points!$B$6*IF($F605&lt;Points!$H$4,Points!$H$5,1),0),ROUND(Points!$B$6*IF($F605&lt;=1,1,Points!$H$7+(1-Points!$H$7)*((($F605-$E605)*(($F605-$E605)+1)/2)^2-((($F605-$E605-COUNTIFS($A$5:$A$1668,$A605,$C$5:$C$1668,$C605)+1)-1)*($F605-$E605-COUNTIFS($A$5:$A$1668,$A605,$C$5:$C$1668,$C605)+1)/2)^2)/(COUNTIFS($A$5:$A$1668,$A605,$C$5:$C$1668,$C605)*($F605-1)^3))*IF($F605&lt;Points!$H$4,Points!$H$5,1),0)))</f>
        <v/>
      </c>
      <c r="H605" s="11">
        <f>IF($G605="","",COUNTIFS($B$5:$B$1668,$B605,$G$5:$G$1668,"&gt;"&amp;$G605)+COUNTIFS($B$4:$B604,$B605,$G$4:$G604,$G605)+1)</f>
        <v/>
      </c>
      <c r="I605" s="11">
        <f>IF($G605="","",IF($H605&lt;=Points!$H$6,$G605,0))</f>
        <v/>
      </c>
      <c r="J605" s="11">
        <f>IF($B605="","",IF(COUNTIF(Players!$A$2:$A$500,$B605)=0,"Player is not on the Players tab",IF(NOT(ISNUMBER($C605)),"Enter a gross score",IF(COUNTIFS($A$5:$A$1668,$A605,$B$5:$B$1668,$B605)&gt;1,"Player is listed twice this week",IF(AND($D605&lt;&gt;"",COUNTIFS($A$5:$A$1668,$A605,$D$5:$D$1668,$D605)&gt;1),"Two players picked as "&amp;$D605,IF(COUNTIFS($A$5:$A$1668,$A605,$D$5:$D$1668,"Gross winner")=0,"Pick this week's gross winner",IF(COUNTIFS($A$5:$A$1668,$A605,$D$5:$D$1668,"Net winner")=0,"Pick this week's net winner","OK")))))))</f>
        <v/>
      </c>
    </row>
    <row r="606" outlineLevel="1">
      <c r="A606" s="13" t="n">
        <v>46519</v>
      </c>
      <c r="E606" s="11">
        <f>IF(OR($B606="",NOT(ISNUMBER($C606))),"",COUNTIFS($A$5:$A$1668,$A606,$C$5:$C$1668,"&lt;"&amp;$C606)+1)</f>
        <v/>
      </c>
      <c r="F606" s="11">
        <f>IF(OR($B606="",NOT(ISNUMBER($C606))),"",COUNTIFS($A$5:$A$1668,$A606,$C$5:$C$1668,"&gt;0"))</f>
        <v/>
      </c>
      <c r="G606" s="11">
        <f>IF(OR($B606="",NOT(ISNUMBER($C606))),"",IF($D606&lt;&gt;"",ROUND(Points!$B$6*IF($F606&lt;Points!$H$4,Points!$H$5,1),0),ROUND(Points!$B$6*IF($F606&lt;=1,1,Points!$H$7+(1-Points!$H$7)*((($F606-$E606)*(($F606-$E606)+1)/2)^2-((($F606-$E606-COUNTIFS($A$5:$A$1668,$A606,$C$5:$C$1668,$C606)+1)-1)*($F606-$E606-COUNTIFS($A$5:$A$1668,$A606,$C$5:$C$1668,$C606)+1)/2)^2)/(COUNTIFS($A$5:$A$1668,$A606,$C$5:$C$1668,$C606)*($F606-1)^3))*IF($F606&lt;Points!$H$4,Points!$H$5,1),0)))</f>
        <v/>
      </c>
      <c r="H606" s="11">
        <f>IF($G606="","",COUNTIFS($B$5:$B$1668,$B606,$G$5:$G$1668,"&gt;"&amp;$G606)+COUNTIFS($B$4:$B605,$B606,$G$4:$G605,$G606)+1)</f>
        <v/>
      </c>
      <c r="I606" s="11">
        <f>IF($G606="","",IF($H606&lt;=Points!$H$6,$G606,0))</f>
        <v/>
      </c>
      <c r="J606" s="11">
        <f>IF($B606="","",IF(COUNTIF(Players!$A$2:$A$500,$B606)=0,"Player is not on the Players tab",IF(NOT(ISNUMBER($C606)),"Enter a gross score",IF(COUNTIFS($A$5:$A$1668,$A606,$B$5:$B$1668,$B606)&gt;1,"Player is listed twice this week",IF(AND($D606&lt;&gt;"",COUNTIFS($A$5:$A$1668,$A606,$D$5:$D$1668,$D606)&gt;1),"Two players picked as "&amp;$D606,IF(COUNTIFS($A$5:$A$1668,$A606,$D$5:$D$1668,"Gross winner")=0,"Pick this week's gross winner",IF(COUNTIFS($A$5:$A$1668,$A606,$D$5:$D$1668,"Net winner")=0,"Pick this week's net winner","OK")))))))</f>
        <v/>
      </c>
    </row>
    <row r="607" outlineLevel="1">
      <c r="A607" s="13" t="n">
        <v>46519</v>
      </c>
      <c r="E607" s="11">
        <f>IF(OR($B607="",NOT(ISNUMBER($C607))),"",COUNTIFS($A$5:$A$1668,$A607,$C$5:$C$1668,"&lt;"&amp;$C607)+1)</f>
        <v/>
      </c>
      <c r="F607" s="11">
        <f>IF(OR($B607="",NOT(ISNUMBER($C607))),"",COUNTIFS($A$5:$A$1668,$A607,$C$5:$C$1668,"&gt;0"))</f>
        <v/>
      </c>
      <c r="G607" s="11">
        <f>IF(OR($B607="",NOT(ISNUMBER($C607))),"",IF($D607&lt;&gt;"",ROUND(Points!$B$6*IF($F607&lt;Points!$H$4,Points!$H$5,1),0),ROUND(Points!$B$6*IF($F607&lt;=1,1,Points!$H$7+(1-Points!$H$7)*((($F607-$E607)*(($F607-$E607)+1)/2)^2-((($F607-$E607-COUNTIFS($A$5:$A$1668,$A607,$C$5:$C$1668,$C607)+1)-1)*($F607-$E607-COUNTIFS($A$5:$A$1668,$A607,$C$5:$C$1668,$C607)+1)/2)^2)/(COUNTIFS($A$5:$A$1668,$A607,$C$5:$C$1668,$C607)*($F607-1)^3))*IF($F607&lt;Points!$H$4,Points!$H$5,1),0)))</f>
        <v/>
      </c>
      <c r="H607" s="11">
        <f>IF($G607="","",COUNTIFS($B$5:$B$1668,$B607,$G$5:$G$1668,"&gt;"&amp;$G607)+COUNTIFS($B$4:$B606,$B607,$G$4:$G606,$G607)+1)</f>
        <v/>
      </c>
      <c r="I607" s="11">
        <f>IF($G607="","",IF($H607&lt;=Points!$H$6,$G607,0))</f>
        <v/>
      </c>
      <c r="J607" s="11">
        <f>IF($B607="","",IF(COUNTIF(Players!$A$2:$A$500,$B607)=0,"Player is not on the Players tab",IF(NOT(ISNUMBER($C607)),"Enter a gross score",IF(COUNTIFS($A$5:$A$1668,$A607,$B$5:$B$1668,$B607)&gt;1,"Player is listed twice this week",IF(AND($D607&lt;&gt;"",COUNTIFS($A$5:$A$1668,$A607,$D$5:$D$1668,$D607)&gt;1),"Two players picked as "&amp;$D607,IF(COUNTIFS($A$5:$A$1668,$A607,$D$5:$D$1668,"Gross winner")=0,"Pick this week's gross winner",IF(COUNTIFS($A$5:$A$1668,$A607,$D$5:$D$1668,"Net winner")=0,"Pick this week's net winner","OK")))))))</f>
        <v/>
      </c>
    </row>
    <row r="608" outlineLevel="1">
      <c r="A608" s="13" t="n">
        <v>46519</v>
      </c>
      <c r="E608" s="11">
        <f>IF(OR($B608="",NOT(ISNUMBER($C608))),"",COUNTIFS($A$5:$A$1668,$A608,$C$5:$C$1668,"&lt;"&amp;$C608)+1)</f>
        <v/>
      </c>
      <c r="F608" s="11">
        <f>IF(OR($B608="",NOT(ISNUMBER($C608))),"",COUNTIFS($A$5:$A$1668,$A608,$C$5:$C$1668,"&gt;0"))</f>
        <v/>
      </c>
      <c r="G608" s="11">
        <f>IF(OR($B608="",NOT(ISNUMBER($C608))),"",IF($D608&lt;&gt;"",ROUND(Points!$B$6*IF($F608&lt;Points!$H$4,Points!$H$5,1),0),ROUND(Points!$B$6*IF($F608&lt;=1,1,Points!$H$7+(1-Points!$H$7)*((($F608-$E608)*(($F608-$E608)+1)/2)^2-((($F608-$E608-COUNTIFS($A$5:$A$1668,$A608,$C$5:$C$1668,$C608)+1)-1)*($F608-$E608-COUNTIFS($A$5:$A$1668,$A608,$C$5:$C$1668,$C608)+1)/2)^2)/(COUNTIFS($A$5:$A$1668,$A608,$C$5:$C$1668,$C608)*($F608-1)^3))*IF($F608&lt;Points!$H$4,Points!$H$5,1),0)))</f>
        <v/>
      </c>
      <c r="H608" s="11">
        <f>IF($G608="","",COUNTIFS($B$5:$B$1668,$B608,$G$5:$G$1668,"&gt;"&amp;$G608)+COUNTIFS($B$4:$B607,$B608,$G$4:$G607,$G608)+1)</f>
        <v/>
      </c>
      <c r="I608" s="11">
        <f>IF($G608="","",IF($H608&lt;=Points!$H$6,$G608,0))</f>
        <v/>
      </c>
      <c r="J608" s="11">
        <f>IF($B608="","",IF(COUNTIF(Players!$A$2:$A$500,$B608)=0,"Player is not on the Players tab",IF(NOT(ISNUMBER($C608)),"Enter a gross score",IF(COUNTIFS($A$5:$A$1668,$A608,$B$5:$B$1668,$B608)&gt;1,"Player is listed twice this week",IF(AND($D608&lt;&gt;"",COUNTIFS($A$5:$A$1668,$A608,$D$5:$D$1668,$D608)&gt;1),"Two players picked as "&amp;$D608,IF(COUNTIFS($A$5:$A$1668,$A608,$D$5:$D$1668,"Gross winner")=0,"Pick this week's gross winner",IF(COUNTIFS($A$5:$A$1668,$A608,$D$5:$D$1668,"Net winner")=0,"Pick this week's net winner","OK")))))))</f>
        <v/>
      </c>
    </row>
    <row r="609" outlineLevel="1">
      <c r="A609" s="13" t="n">
        <v>46519</v>
      </c>
      <c r="E609" s="11">
        <f>IF(OR($B609="",NOT(ISNUMBER($C609))),"",COUNTIFS($A$5:$A$1668,$A609,$C$5:$C$1668,"&lt;"&amp;$C609)+1)</f>
        <v/>
      </c>
      <c r="F609" s="11">
        <f>IF(OR($B609="",NOT(ISNUMBER($C609))),"",COUNTIFS($A$5:$A$1668,$A609,$C$5:$C$1668,"&gt;0"))</f>
        <v/>
      </c>
      <c r="G609" s="11">
        <f>IF(OR($B609="",NOT(ISNUMBER($C609))),"",IF($D609&lt;&gt;"",ROUND(Points!$B$6*IF($F609&lt;Points!$H$4,Points!$H$5,1),0),ROUND(Points!$B$6*IF($F609&lt;=1,1,Points!$H$7+(1-Points!$H$7)*((($F609-$E609)*(($F609-$E609)+1)/2)^2-((($F609-$E609-COUNTIFS($A$5:$A$1668,$A609,$C$5:$C$1668,$C609)+1)-1)*($F609-$E609-COUNTIFS($A$5:$A$1668,$A609,$C$5:$C$1668,$C609)+1)/2)^2)/(COUNTIFS($A$5:$A$1668,$A609,$C$5:$C$1668,$C609)*($F609-1)^3))*IF($F609&lt;Points!$H$4,Points!$H$5,1),0)))</f>
        <v/>
      </c>
      <c r="H609" s="11">
        <f>IF($G609="","",COUNTIFS($B$5:$B$1668,$B609,$G$5:$G$1668,"&gt;"&amp;$G609)+COUNTIFS($B$4:$B608,$B609,$G$4:$G608,$G609)+1)</f>
        <v/>
      </c>
      <c r="I609" s="11">
        <f>IF($G609="","",IF($H609&lt;=Points!$H$6,$G609,0))</f>
        <v/>
      </c>
      <c r="J609" s="11">
        <f>IF($B609="","",IF(COUNTIF(Players!$A$2:$A$500,$B609)=0,"Player is not on the Players tab",IF(NOT(ISNUMBER($C609)),"Enter a gross score",IF(COUNTIFS($A$5:$A$1668,$A609,$B$5:$B$1668,$B609)&gt;1,"Player is listed twice this week",IF(AND($D609&lt;&gt;"",COUNTIFS($A$5:$A$1668,$A609,$D$5:$D$1668,$D609)&gt;1),"Two players picked as "&amp;$D609,IF(COUNTIFS($A$5:$A$1668,$A609,$D$5:$D$1668,"Gross winner")=0,"Pick this week's gross winner",IF(COUNTIFS($A$5:$A$1668,$A609,$D$5:$D$1668,"Net winner")=0,"Pick this week's net winner","OK")))))))</f>
        <v/>
      </c>
    </row>
    <row r="610" outlineLevel="1">
      <c r="A610" s="13" t="n">
        <v>46519</v>
      </c>
      <c r="E610" s="11">
        <f>IF(OR($B610="",NOT(ISNUMBER($C610))),"",COUNTIFS($A$5:$A$1668,$A610,$C$5:$C$1668,"&lt;"&amp;$C610)+1)</f>
        <v/>
      </c>
      <c r="F610" s="11">
        <f>IF(OR($B610="",NOT(ISNUMBER($C610))),"",COUNTIFS($A$5:$A$1668,$A610,$C$5:$C$1668,"&gt;0"))</f>
        <v/>
      </c>
      <c r="G610" s="11">
        <f>IF(OR($B610="",NOT(ISNUMBER($C610))),"",IF($D610&lt;&gt;"",ROUND(Points!$B$6*IF($F610&lt;Points!$H$4,Points!$H$5,1),0),ROUND(Points!$B$6*IF($F610&lt;=1,1,Points!$H$7+(1-Points!$H$7)*((($F610-$E610)*(($F610-$E610)+1)/2)^2-((($F610-$E610-COUNTIFS($A$5:$A$1668,$A610,$C$5:$C$1668,$C610)+1)-1)*($F610-$E610-COUNTIFS($A$5:$A$1668,$A610,$C$5:$C$1668,$C610)+1)/2)^2)/(COUNTIFS($A$5:$A$1668,$A610,$C$5:$C$1668,$C610)*($F610-1)^3))*IF($F610&lt;Points!$H$4,Points!$H$5,1),0)))</f>
        <v/>
      </c>
      <c r="H610" s="11">
        <f>IF($G610="","",COUNTIFS($B$5:$B$1668,$B610,$G$5:$G$1668,"&gt;"&amp;$G610)+COUNTIFS($B$4:$B609,$B610,$G$4:$G609,$G610)+1)</f>
        <v/>
      </c>
      <c r="I610" s="11">
        <f>IF($G610="","",IF($H610&lt;=Points!$H$6,$G610,0))</f>
        <v/>
      </c>
      <c r="J610" s="11">
        <f>IF($B610="","",IF(COUNTIF(Players!$A$2:$A$500,$B610)=0,"Player is not on the Players tab",IF(NOT(ISNUMBER($C610)),"Enter a gross score",IF(COUNTIFS($A$5:$A$1668,$A610,$B$5:$B$1668,$B610)&gt;1,"Player is listed twice this week",IF(AND($D610&lt;&gt;"",COUNTIFS($A$5:$A$1668,$A610,$D$5:$D$1668,$D610)&gt;1),"Two players picked as "&amp;$D610,IF(COUNTIFS($A$5:$A$1668,$A610,$D$5:$D$1668,"Gross winner")=0,"Pick this week's gross winner",IF(COUNTIFS($A$5:$A$1668,$A610,$D$5:$D$1668,"Net winner")=0,"Pick this week's net winner","OK")))))))</f>
        <v/>
      </c>
    </row>
    <row r="611" outlineLevel="1">
      <c r="A611" s="13" t="n">
        <v>46519</v>
      </c>
      <c r="E611" s="11">
        <f>IF(OR($B611="",NOT(ISNUMBER($C611))),"",COUNTIFS($A$5:$A$1668,$A611,$C$5:$C$1668,"&lt;"&amp;$C611)+1)</f>
        <v/>
      </c>
      <c r="F611" s="11">
        <f>IF(OR($B611="",NOT(ISNUMBER($C611))),"",COUNTIFS($A$5:$A$1668,$A611,$C$5:$C$1668,"&gt;0"))</f>
        <v/>
      </c>
      <c r="G611" s="11">
        <f>IF(OR($B611="",NOT(ISNUMBER($C611))),"",IF($D611&lt;&gt;"",ROUND(Points!$B$6*IF($F611&lt;Points!$H$4,Points!$H$5,1),0),ROUND(Points!$B$6*IF($F611&lt;=1,1,Points!$H$7+(1-Points!$H$7)*((($F611-$E611)*(($F611-$E611)+1)/2)^2-((($F611-$E611-COUNTIFS($A$5:$A$1668,$A611,$C$5:$C$1668,$C611)+1)-1)*($F611-$E611-COUNTIFS($A$5:$A$1668,$A611,$C$5:$C$1668,$C611)+1)/2)^2)/(COUNTIFS($A$5:$A$1668,$A611,$C$5:$C$1668,$C611)*($F611-1)^3))*IF($F611&lt;Points!$H$4,Points!$H$5,1),0)))</f>
        <v/>
      </c>
      <c r="H611" s="11">
        <f>IF($G611="","",COUNTIFS($B$5:$B$1668,$B611,$G$5:$G$1668,"&gt;"&amp;$G611)+COUNTIFS($B$4:$B610,$B611,$G$4:$G610,$G611)+1)</f>
        <v/>
      </c>
      <c r="I611" s="11">
        <f>IF($G611="","",IF($H611&lt;=Points!$H$6,$G611,0))</f>
        <v/>
      </c>
      <c r="J611" s="11">
        <f>IF($B611="","",IF(COUNTIF(Players!$A$2:$A$500,$B611)=0,"Player is not on the Players tab",IF(NOT(ISNUMBER($C611)),"Enter a gross score",IF(COUNTIFS($A$5:$A$1668,$A611,$B$5:$B$1668,$B611)&gt;1,"Player is listed twice this week",IF(AND($D611&lt;&gt;"",COUNTIFS($A$5:$A$1668,$A611,$D$5:$D$1668,$D611)&gt;1),"Two players picked as "&amp;$D611,IF(COUNTIFS($A$5:$A$1668,$A611,$D$5:$D$1668,"Gross winner")=0,"Pick this week's gross winner",IF(COUNTIFS($A$5:$A$1668,$A611,$D$5:$D$1668,"Net winner")=0,"Pick this week's net winner","OK")))))))</f>
        <v/>
      </c>
    </row>
    <row r="612" ht="10" customHeight="1"/>
    <row r="613" ht="22" customHeight="1">
      <c r="A613" s="12" t="inlineStr">
        <is>
          <t>Week 20  ·  Wednesday, May 19</t>
        </is>
      </c>
    </row>
    <row r="614" outlineLevel="1">
      <c r="A614" s="13" t="n">
        <v>46526</v>
      </c>
      <c r="E614" s="11">
        <f>IF(OR($B614="",NOT(ISNUMBER($C614))),"",COUNTIFS($A$5:$A$1668,$A614,$C$5:$C$1668,"&lt;"&amp;$C614)+1)</f>
        <v/>
      </c>
      <c r="F614" s="11">
        <f>IF(OR($B614="",NOT(ISNUMBER($C614))),"",COUNTIFS($A$5:$A$1668,$A614,$C$5:$C$1668,"&gt;0"))</f>
        <v/>
      </c>
      <c r="G614" s="11">
        <f>IF(OR($B614="",NOT(ISNUMBER($C614))),"",IF($D614&lt;&gt;"",ROUND(Points!$B$6*IF($F614&lt;Points!$H$4,Points!$H$5,1),0),ROUND(Points!$B$6*IF($F614&lt;=1,1,Points!$H$7+(1-Points!$H$7)*((($F614-$E614)*(($F614-$E614)+1)/2)^2-((($F614-$E614-COUNTIFS($A$5:$A$1668,$A614,$C$5:$C$1668,$C614)+1)-1)*($F614-$E614-COUNTIFS($A$5:$A$1668,$A614,$C$5:$C$1668,$C614)+1)/2)^2)/(COUNTIFS($A$5:$A$1668,$A614,$C$5:$C$1668,$C614)*($F614-1)^3))*IF($F614&lt;Points!$H$4,Points!$H$5,1),0)))</f>
        <v/>
      </c>
      <c r="H614" s="11">
        <f>IF($G614="","",COUNTIFS($B$5:$B$1668,$B614,$G$5:$G$1668,"&gt;"&amp;$G614)+COUNTIFS($B$4:$B613,$B614,$G$4:$G613,$G614)+1)</f>
        <v/>
      </c>
      <c r="I614" s="11">
        <f>IF($G614="","",IF($H614&lt;=Points!$H$6,$G614,0))</f>
        <v/>
      </c>
      <c r="J614" s="11">
        <f>IF($B614="","",IF(COUNTIF(Players!$A$2:$A$500,$B614)=0,"Player is not on the Players tab",IF(NOT(ISNUMBER($C614)),"Enter a gross score",IF(COUNTIFS($A$5:$A$1668,$A614,$B$5:$B$1668,$B614)&gt;1,"Player is listed twice this week",IF(AND($D614&lt;&gt;"",COUNTIFS($A$5:$A$1668,$A614,$D$5:$D$1668,$D614)&gt;1),"Two players picked as "&amp;$D614,IF(COUNTIFS($A$5:$A$1668,$A614,$D$5:$D$1668,"Gross winner")=0,"Pick this week's gross winner",IF(COUNTIFS($A$5:$A$1668,$A614,$D$5:$D$1668,"Net winner")=0,"Pick this week's net winner","OK")))))))</f>
        <v/>
      </c>
    </row>
    <row r="615" outlineLevel="1">
      <c r="A615" s="13" t="n">
        <v>46526</v>
      </c>
      <c r="E615" s="11">
        <f>IF(OR($B615="",NOT(ISNUMBER($C615))),"",COUNTIFS($A$5:$A$1668,$A615,$C$5:$C$1668,"&lt;"&amp;$C615)+1)</f>
        <v/>
      </c>
      <c r="F615" s="11">
        <f>IF(OR($B615="",NOT(ISNUMBER($C615))),"",COUNTIFS($A$5:$A$1668,$A615,$C$5:$C$1668,"&gt;0"))</f>
        <v/>
      </c>
      <c r="G615" s="11">
        <f>IF(OR($B615="",NOT(ISNUMBER($C615))),"",IF($D615&lt;&gt;"",ROUND(Points!$B$6*IF($F615&lt;Points!$H$4,Points!$H$5,1),0),ROUND(Points!$B$6*IF($F615&lt;=1,1,Points!$H$7+(1-Points!$H$7)*((($F615-$E615)*(($F615-$E615)+1)/2)^2-((($F615-$E615-COUNTIFS($A$5:$A$1668,$A615,$C$5:$C$1668,$C615)+1)-1)*($F615-$E615-COUNTIFS($A$5:$A$1668,$A615,$C$5:$C$1668,$C615)+1)/2)^2)/(COUNTIFS($A$5:$A$1668,$A615,$C$5:$C$1668,$C615)*($F615-1)^3))*IF($F615&lt;Points!$H$4,Points!$H$5,1),0)))</f>
        <v/>
      </c>
      <c r="H615" s="11">
        <f>IF($G615="","",COUNTIFS($B$5:$B$1668,$B615,$G$5:$G$1668,"&gt;"&amp;$G615)+COUNTIFS($B$4:$B614,$B615,$G$4:$G614,$G615)+1)</f>
        <v/>
      </c>
      <c r="I615" s="11">
        <f>IF($G615="","",IF($H615&lt;=Points!$H$6,$G615,0))</f>
        <v/>
      </c>
      <c r="J615" s="11">
        <f>IF($B615="","",IF(COUNTIF(Players!$A$2:$A$500,$B615)=0,"Player is not on the Players tab",IF(NOT(ISNUMBER($C615)),"Enter a gross score",IF(COUNTIFS($A$5:$A$1668,$A615,$B$5:$B$1668,$B615)&gt;1,"Player is listed twice this week",IF(AND($D615&lt;&gt;"",COUNTIFS($A$5:$A$1668,$A615,$D$5:$D$1668,$D615)&gt;1),"Two players picked as "&amp;$D615,IF(COUNTIFS($A$5:$A$1668,$A615,$D$5:$D$1668,"Gross winner")=0,"Pick this week's gross winner",IF(COUNTIFS($A$5:$A$1668,$A615,$D$5:$D$1668,"Net winner")=0,"Pick this week's net winner","OK")))))))</f>
        <v/>
      </c>
    </row>
    <row r="616" outlineLevel="1">
      <c r="A616" s="13" t="n">
        <v>46526</v>
      </c>
      <c r="E616" s="11">
        <f>IF(OR($B616="",NOT(ISNUMBER($C616))),"",COUNTIFS($A$5:$A$1668,$A616,$C$5:$C$1668,"&lt;"&amp;$C616)+1)</f>
        <v/>
      </c>
      <c r="F616" s="11">
        <f>IF(OR($B616="",NOT(ISNUMBER($C616))),"",COUNTIFS($A$5:$A$1668,$A616,$C$5:$C$1668,"&gt;0"))</f>
        <v/>
      </c>
      <c r="G616" s="11">
        <f>IF(OR($B616="",NOT(ISNUMBER($C616))),"",IF($D616&lt;&gt;"",ROUND(Points!$B$6*IF($F616&lt;Points!$H$4,Points!$H$5,1),0),ROUND(Points!$B$6*IF($F616&lt;=1,1,Points!$H$7+(1-Points!$H$7)*((($F616-$E616)*(($F616-$E616)+1)/2)^2-((($F616-$E616-COUNTIFS($A$5:$A$1668,$A616,$C$5:$C$1668,$C616)+1)-1)*($F616-$E616-COUNTIFS($A$5:$A$1668,$A616,$C$5:$C$1668,$C616)+1)/2)^2)/(COUNTIFS($A$5:$A$1668,$A616,$C$5:$C$1668,$C616)*($F616-1)^3))*IF($F616&lt;Points!$H$4,Points!$H$5,1),0)))</f>
        <v/>
      </c>
      <c r="H616" s="11">
        <f>IF($G616="","",COUNTIFS($B$5:$B$1668,$B616,$G$5:$G$1668,"&gt;"&amp;$G616)+COUNTIFS($B$4:$B615,$B616,$G$4:$G615,$G616)+1)</f>
        <v/>
      </c>
      <c r="I616" s="11">
        <f>IF($G616="","",IF($H616&lt;=Points!$H$6,$G616,0))</f>
        <v/>
      </c>
      <c r="J616" s="11">
        <f>IF($B616="","",IF(COUNTIF(Players!$A$2:$A$500,$B616)=0,"Player is not on the Players tab",IF(NOT(ISNUMBER($C616)),"Enter a gross score",IF(COUNTIFS($A$5:$A$1668,$A616,$B$5:$B$1668,$B616)&gt;1,"Player is listed twice this week",IF(AND($D616&lt;&gt;"",COUNTIFS($A$5:$A$1668,$A616,$D$5:$D$1668,$D616)&gt;1),"Two players picked as "&amp;$D616,IF(COUNTIFS($A$5:$A$1668,$A616,$D$5:$D$1668,"Gross winner")=0,"Pick this week's gross winner",IF(COUNTIFS($A$5:$A$1668,$A616,$D$5:$D$1668,"Net winner")=0,"Pick this week's net winner","OK")))))))</f>
        <v/>
      </c>
    </row>
    <row r="617" outlineLevel="1">
      <c r="A617" s="13" t="n">
        <v>46526</v>
      </c>
      <c r="E617" s="11">
        <f>IF(OR($B617="",NOT(ISNUMBER($C617))),"",COUNTIFS($A$5:$A$1668,$A617,$C$5:$C$1668,"&lt;"&amp;$C617)+1)</f>
        <v/>
      </c>
      <c r="F617" s="11">
        <f>IF(OR($B617="",NOT(ISNUMBER($C617))),"",COUNTIFS($A$5:$A$1668,$A617,$C$5:$C$1668,"&gt;0"))</f>
        <v/>
      </c>
      <c r="G617" s="11">
        <f>IF(OR($B617="",NOT(ISNUMBER($C617))),"",IF($D617&lt;&gt;"",ROUND(Points!$B$6*IF($F617&lt;Points!$H$4,Points!$H$5,1),0),ROUND(Points!$B$6*IF($F617&lt;=1,1,Points!$H$7+(1-Points!$H$7)*((($F617-$E617)*(($F617-$E617)+1)/2)^2-((($F617-$E617-COUNTIFS($A$5:$A$1668,$A617,$C$5:$C$1668,$C617)+1)-1)*($F617-$E617-COUNTIFS($A$5:$A$1668,$A617,$C$5:$C$1668,$C617)+1)/2)^2)/(COUNTIFS($A$5:$A$1668,$A617,$C$5:$C$1668,$C617)*($F617-1)^3))*IF($F617&lt;Points!$H$4,Points!$H$5,1),0)))</f>
        <v/>
      </c>
      <c r="H617" s="11">
        <f>IF($G617="","",COUNTIFS($B$5:$B$1668,$B617,$G$5:$G$1668,"&gt;"&amp;$G617)+COUNTIFS($B$4:$B616,$B617,$G$4:$G616,$G617)+1)</f>
        <v/>
      </c>
      <c r="I617" s="11">
        <f>IF($G617="","",IF($H617&lt;=Points!$H$6,$G617,0))</f>
        <v/>
      </c>
      <c r="J617" s="11">
        <f>IF($B617="","",IF(COUNTIF(Players!$A$2:$A$500,$B617)=0,"Player is not on the Players tab",IF(NOT(ISNUMBER($C617)),"Enter a gross score",IF(COUNTIFS($A$5:$A$1668,$A617,$B$5:$B$1668,$B617)&gt;1,"Player is listed twice this week",IF(AND($D617&lt;&gt;"",COUNTIFS($A$5:$A$1668,$A617,$D$5:$D$1668,$D617)&gt;1),"Two players picked as "&amp;$D617,IF(COUNTIFS($A$5:$A$1668,$A617,$D$5:$D$1668,"Gross winner")=0,"Pick this week's gross winner",IF(COUNTIFS($A$5:$A$1668,$A617,$D$5:$D$1668,"Net winner")=0,"Pick this week's net winner","OK")))))))</f>
        <v/>
      </c>
    </row>
    <row r="618" outlineLevel="1">
      <c r="A618" s="13" t="n">
        <v>46526</v>
      </c>
      <c r="E618" s="11">
        <f>IF(OR($B618="",NOT(ISNUMBER($C618))),"",COUNTIFS($A$5:$A$1668,$A618,$C$5:$C$1668,"&lt;"&amp;$C618)+1)</f>
        <v/>
      </c>
      <c r="F618" s="11">
        <f>IF(OR($B618="",NOT(ISNUMBER($C618))),"",COUNTIFS($A$5:$A$1668,$A618,$C$5:$C$1668,"&gt;0"))</f>
        <v/>
      </c>
      <c r="G618" s="11">
        <f>IF(OR($B618="",NOT(ISNUMBER($C618))),"",IF($D618&lt;&gt;"",ROUND(Points!$B$6*IF($F618&lt;Points!$H$4,Points!$H$5,1),0),ROUND(Points!$B$6*IF($F618&lt;=1,1,Points!$H$7+(1-Points!$H$7)*((($F618-$E618)*(($F618-$E618)+1)/2)^2-((($F618-$E618-COUNTIFS($A$5:$A$1668,$A618,$C$5:$C$1668,$C618)+1)-1)*($F618-$E618-COUNTIFS($A$5:$A$1668,$A618,$C$5:$C$1668,$C618)+1)/2)^2)/(COUNTIFS($A$5:$A$1668,$A618,$C$5:$C$1668,$C618)*($F618-1)^3))*IF($F618&lt;Points!$H$4,Points!$H$5,1),0)))</f>
        <v/>
      </c>
      <c r="H618" s="11">
        <f>IF($G618="","",COUNTIFS($B$5:$B$1668,$B618,$G$5:$G$1668,"&gt;"&amp;$G618)+COUNTIFS($B$4:$B617,$B618,$G$4:$G617,$G618)+1)</f>
        <v/>
      </c>
      <c r="I618" s="11">
        <f>IF($G618="","",IF($H618&lt;=Points!$H$6,$G618,0))</f>
        <v/>
      </c>
      <c r="J618" s="11">
        <f>IF($B618="","",IF(COUNTIF(Players!$A$2:$A$500,$B618)=0,"Player is not on the Players tab",IF(NOT(ISNUMBER($C618)),"Enter a gross score",IF(COUNTIFS($A$5:$A$1668,$A618,$B$5:$B$1668,$B618)&gt;1,"Player is listed twice this week",IF(AND($D618&lt;&gt;"",COUNTIFS($A$5:$A$1668,$A618,$D$5:$D$1668,$D618)&gt;1),"Two players picked as "&amp;$D618,IF(COUNTIFS($A$5:$A$1668,$A618,$D$5:$D$1668,"Gross winner")=0,"Pick this week's gross winner",IF(COUNTIFS($A$5:$A$1668,$A618,$D$5:$D$1668,"Net winner")=0,"Pick this week's net winner","OK")))))))</f>
        <v/>
      </c>
    </row>
    <row r="619" outlineLevel="1">
      <c r="A619" s="13" t="n">
        <v>46526</v>
      </c>
      <c r="E619" s="11">
        <f>IF(OR($B619="",NOT(ISNUMBER($C619))),"",COUNTIFS($A$5:$A$1668,$A619,$C$5:$C$1668,"&lt;"&amp;$C619)+1)</f>
        <v/>
      </c>
      <c r="F619" s="11">
        <f>IF(OR($B619="",NOT(ISNUMBER($C619))),"",COUNTIFS($A$5:$A$1668,$A619,$C$5:$C$1668,"&gt;0"))</f>
        <v/>
      </c>
      <c r="G619" s="11">
        <f>IF(OR($B619="",NOT(ISNUMBER($C619))),"",IF($D619&lt;&gt;"",ROUND(Points!$B$6*IF($F619&lt;Points!$H$4,Points!$H$5,1),0),ROUND(Points!$B$6*IF($F619&lt;=1,1,Points!$H$7+(1-Points!$H$7)*((($F619-$E619)*(($F619-$E619)+1)/2)^2-((($F619-$E619-COUNTIFS($A$5:$A$1668,$A619,$C$5:$C$1668,$C619)+1)-1)*($F619-$E619-COUNTIFS($A$5:$A$1668,$A619,$C$5:$C$1668,$C619)+1)/2)^2)/(COUNTIFS($A$5:$A$1668,$A619,$C$5:$C$1668,$C619)*($F619-1)^3))*IF($F619&lt;Points!$H$4,Points!$H$5,1),0)))</f>
        <v/>
      </c>
      <c r="H619" s="11">
        <f>IF($G619="","",COUNTIFS($B$5:$B$1668,$B619,$G$5:$G$1668,"&gt;"&amp;$G619)+COUNTIFS($B$4:$B618,$B619,$G$4:$G618,$G619)+1)</f>
        <v/>
      </c>
      <c r="I619" s="11">
        <f>IF($G619="","",IF($H619&lt;=Points!$H$6,$G619,0))</f>
        <v/>
      </c>
      <c r="J619" s="11">
        <f>IF($B619="","",IF(COUNTIF(Players!$A$2:$A$500,$B619)=0,"Player is not on the Players tab",IF(NOT(ISNUMBER($C619)),"Enter a gross score",IF(COUNTIFS($A$5:$A$1668,$A619,$B$5:$B$1668,$B619)&gt;1,"Player is listed twice this week",IF(AND($D619&lt;&gt;"",COUNTIFS($A$5:$A$1668,$A619,$D$5:$D$1668,$D619)&gt;1),"Two players picked as "&amp;$D619,IF(COUNTIFS($A$5:$A$1668,$A619,$D$5:$D$1668,"Gross winner")=0,"Pick this week's gross winner",IF(COUNTIFS($A$5:$A$1668,$A619,$D$5:$D$1668,"Net winner")=0,"Pick this week's net winner","OK")))))))</f>
        <v/>
      </c>
    </row>
    <row r="620" outlineLevel="1">
      <c r="A620" s="13" t="n">
        <v>46526</v>
      </c>
      <c r="E620" s="11">
        <f>IF(OR($B620="",NOT(ISNUMBER($C620))),"",COUNTIFS($A$5:$A$1668,$A620,$C$5:$C$1668,"&lt;"&amp;$C620)+1)</f>
        <v/>
      </c>
      <c r="F620" s="11">
        <f>IF(OR($B620="",NOT(ISNUMBER($C620))),"",COUNTIFS($A$5:$A$1668,$A620,$C$5:$C$1668,"&gt;0"))</f>
        <v/>
      </c>
      <c r="G620" s="11">
        <f>IF(OR($B620="",NOT(ISNUMBER($C620))),"",IF($D620&lt;&gt;"",ROUND(Points!$B$6*IF($F620&lt;Points!$H$4,Points!$H$5,1),0),ROUND(Points!$B$6*IF($F620&lt;=1,1,Points!$H$7+(1-Points!$H$7)*((($F620-$E620)*(($F620-$E620)+1)/2)^2-((($F620-$E620-COUNTIFS($A$5:$A$1668,$A620,$C$5:$C$1668,$C620)+1)-1)*($F620-$E620-COUNTIFS($A$5:$A$1668,$A620,$C$5:$C$1668,$C620)+1)/2)^2)/(COUNTIFS($A$5:$A$1668,$A620,$C$5:$C$1668,$C620)*($F620-1)^3))*IF($F620&lt;Points!$H$4,Points!$H$5,1),0)))</f>
        <v/>
      </c>
      <c r="H620" s="11">
        <f>IF($G620="","",COUNTIFS($B$5:$B$1668,$B620,$G$5:$G$1668,"&gt;"&amp;$G620)+COUNTIFS($B$4:$B619,$B620,$G$4:$G619,$G620)+1)</f>
        <v/>
      </c>
      <c r="I620" s="11">
        <f>IF($G620="","",IF($H620&lt;=Points!$H$6,$G620,0))</f>
        <v/>
      </c>
      <c r="J620" s="11">
        <f>IF($B620="","",IF(COUNTIF(Players!$A$2:$A$500,$B620)=0,"Player is not on the Players tab",IF(NOT(ISNUMBER($C620)),"Enter a gross score",IF(COUNTIFS($A$5:$A$1668,$A620,$B$5:$B$1668,$B620)&gt;1,"Player is listed twice this week",IF(AND($D620&lt;&gt;"",COUNTIFS($A$5:$A$1668,$A620,$D$5:$D$1668,$D620)&gt;1),"Two players picked as "&amp;$D620,IF(COUNTIFS($A$5:$A$1668,$A620,$D$5:$D$1668,"Gross winner")=0,"Pick this week's gross winner",IF(COUNTIFS($A$5:$A$1668,$A620,$D$5:$D$1668,"Net winner")=0,"Pick this week's net winner","OK")))))))</f>
        <v/>
      </c>
    </row>
    <row r="621" outlineLevel="1">
      <c r="A621" s="13" t="n">
        <v>46526</v>
      </c>
      <c r="E621" s="11">
        <f>IF(OR($B621="",NOT(ISNUMBER($C621))),"",COUNTIFS($A$5:$A$1668,$A621,$C$5:$C$1668,"&lt;"&amp;$C621)+1)</f>
        <v/>
      </c>
      <c r="F621" s="11">
        <f>IF(OR($B621="",NOT(ISNUMBER($C621))),"",COUNTIFS($A$5:$A$1668,$A621,$C$5:$C$1668,"&gt;0"))</f>
        <v/>
      </c>
      <c r="G621" s="11">
        <f>IF(OR($B621="",NOT(ISNUMBER($C621))),"",IF($D621&lt;&gt;"",ROUND(Points!$B$6*IF($F621&lt;Points!$H$4,Points!$H$5,1),0),ROUND(Points!$B$6*IF($F621&lt;=1,1,Points!$H$7+(1-Points!$H$7)*((($F621-$E621)*(($F621-$E621)+1)/2)^2-((($F621-$E621-COUNTIFS($A$5:$A$1668,$A621,$C$5:$C$1668,$C621)+1)-1)*($F621-$E621-COUNTIFS($A$5:$A$1668,$A621,$C$5:$C$1668,$C621)+1)/2)^2)/(COUNTIFS($A$5:$A$1668,$A621,$C$5:$C$1668,$C621)*($F621-1)^3))*IF($F621&lt;Points!$H$4,Points!$H$5,1),0)))</f>
        <v/>
      </c>
      <c r="H621" s="11">
        <f>IF($G621="","",COUNTIFS($B$5:$B$1668,$B621,$G$5:$G$1668,"&gt;"&amp;$G621)+COUNTIFS($B$4:$B620,$B621,$G$4:$G620,$G621)+1)</f>
        <v/>
      </c>
      <c r="I621" s="11">
        <f>IF($G621="","",IF($H621&lt;=Points!$H$6,$G621,0))</f>
        <v/>
      </c>
      <c r="J621" s="11">
        <f>IF($B621="","",IF(COUNTIF(Players!$A$2:$A$500,$B621)=0,"Player is not on the Players tab",IF(NOT(ISNUMBER($C621)),"Enter a gross score",IF(COUNTIFS($A$5:$A$1668,$A621,$B$5:$B$1668,$B621)&gt;1,"Player is listed twice this week",IF(AND($D621&lt;&gt;"",COUNTIFS($A$5:$A$1668,$A621,$D$5:$D$1668,$D621)&gt;1),"Two players picked as "&amp;$D621,IF(COUNTIFS($A$5:$A$1668,$A621,$D$5:$D$1668,"Gross winner")=0,"Pick this week's gross winner",IF(COUNTIFS($A$5:$A$1668,$A621,$D$5:$D$1668,"Net winner")=0,"Pick this week's net winner","OK")))))))</f>
        <v/>
      </c>
    </row>
    <row r="622" outlineLevel="1">
      <c r="A622" s="13" t="n">
        <v>46526</v>
      </c>
      <c r="E622" s="11">
        <f>IF(OR($B622="",NOT(ISNUMBER($C622))),"",COUNTIFS($A$5:$A$1668,$A622,$C$5:$C$1668,"&lt;"&amp;$C622)+1)</f>
        <v/>
      </c>
      <c r="F622" s="11">
        <f>IF(OR($B622="",NOT(ISNUMBER($C622))),"",COUNTIFS($A$5:$A$1668,$A622,$C$5:$C$1668,"&gt;0"))</f>
        <v/>
      </c>
      <c r="G622" s="11">
        <f>IF(OR($B622="",NOT(ISNUMBER($C622))),"",IF($D622&lt;&gt;"",ROUND(Points!$B$6*IF($F622&lt;Points!$H$4,Points!$H$5,1),0),ROUND(Points!$B$6*IF($F622&lt;=1,1,Points!$H$7+(1-Points!$H$7)*((($F622-$E622)*(($F622-$E622)+1)/2)^2-((($F622-$E622-COUNTIFS($A$5:$A$1668,$A622,$C$5:$C$1668,$C622)+1)-1)*($F622-$E622-COUNTIFS($A$5:$A$1668,$A622,$C$5:$C$1668,$C622)+1)/2)^2)/(COUNTIFS($A$5:$A$1668,$A622,$C$5:$C$1668,$C622)*($F622-1)^3))*IF($F622&lt;Points!$H$4,Points!$H$5,1),0)))</f>
        <v/>
      </c>
      <c r="H622" s="11">
        <f>IF($G622="","",COUNTIFS($B$5:$B$1668,$B622,$G$5:$G$1668,"&gt;"&amp;$G622)+COUNTIFS($B$4:$B621,$B622,$G$4:$G621,$G622)+1)</f>
        <v/>
      </c>
      <c r="I622" s="11">
        <f>IF($G622="","",IF($H622&lt;=Points!$H$6,$G622,0))</f>
        <v/>
      </c>
      <c r="J622" s="11">
        <f>IF($B622="","",IF(COUNTIF(Players!$A$2:$A$500,$B622)=0,"Player is not on the Players tab",IF(NOT(ISNUMBER($C622)),"Enter a gross score",IF(COUNTIFS($A$5:$A$1668,$A622,$B$5:$B$1668,$B622)&gt;1,"Player is listed twice this week",IF(AND($D622&lt;&gt;"",COUNTIFS($A$5:$A$1668,$A622,$D$5:$D$1668,$D622)&gt;1),"Two players picked as "&amp;$D622,IF(COUNTIFS($A$5:$A$1668,$A622,$D$5:$D$1668,"Gross winner")=0,"Pick this week's gross winner",IF(COUNTIFS($A$5:$A$1668,$A622,$D$5:$D$1668,"Net winner")=0,"Pick this week's net winner","OK")))))))</f>
        <v/>
      </c>
    </row>
    <row r="623" outlineLevel="1">
      <c r="A623" s="13" t="n">
        <v>46526</v>
      </c>
      <c r="E623" s="11">
        <f>IF(OR($B623="",NOT(ISNUMBER($C623))),"",COUNTIFS($A$5:$A$1668,$A623,$C$5:$C$1668,"&lt;"&amp;$C623)+1)</f>
        <v/>
      </c>
      <c r="F623" s="11">
        <f>IF(OR($B623="",NOT(ISNUMBER($C623))),"",COUNTIFS($A$5:$A$1668,$A623,$C$5:$C$1668,"&gt;0"))</f>
        <v/>
      </c>
      <c r="G623" s="11">
        <f>IF(OR($B623="",NOT(ISNUMBER($C623))),"",IF($D623&lt;&gt;"",ROUND(Points!$B$6*IF($F623&lt;Points!$H$4,Points!$H$5,1),0),ROUND(Points!$B$6*IF($F623&lt;=1,1,Points!$H$7+(1-Points!$H$7)*((($F623-$E623)*(($F623-$E623)+1)/2)^2-((($F623-$E623-COUNTIFS($A$5:$A$1668,$A623,$C$5:$C$1668,$C623)+1)-1)*($F623-$E623-COUNTIFS($A$5:$A$1668,$A623,$C$5:$C$1668,$C623)+1)/2)^2)/(COUNTIFS($A$5:$A$1668,$A623,$C$5:$C$1668,$C623)*($F623-1)^3))*IF($F623&lt;Points!$H$4,Points!$H$5,1),0)))</f>
        <v/>
      </c>
      <c r="H623" s="11">
        <f>IF($G623="","",COUNTIFS($B$5:$B$1668,$B623,$G$5:$G$1668,"&gt;"&amp;$G623)+COUNTIFS($B$4:$B622,$B623,$G$4:$G622,$G623)+1)</f>
        <v/>
      </c>
      <c r="I623" s="11">
        <f>IF($G623="","",IF($H623&lt;=Points!$H$6,$G623,0))</f>
        <v/>
      </c>
      <c r="J623" s="11">
        <f>IF($B623="","",IF(COUNTIF(Players!$A$2:$A$500,$B623)=0,"Player is not on the Players tab",IF(NOT(ISNUMBER($C623)),"Enter a gross score",IF(COUNTIFS($A$5:$A$1668,$A623,$B$5:$B$1668,$B623)&gt;1,"Player is listed twice this week",IF(AND($D623&lt;&gt;"",COUNTIFS($A$5:$A$1668,$A623,$D$5:$D$1668,$D623)&gt;1),"Two players picked as "&amp;$D623,IF(COUNTIFS($A$5:$A$1668,$A623,$D$5:$D$1668,"Gross winner")=0,"Pick this week's gross winner",IF(COUNTIFS($A$5:$A$1668,$A623,$D$5:$D$1668,"Net winner")=0,"Pick this week's net winner","OK")))))))</f>
        <v/>
      </c>
    </row>
    <row r="624" outlineLevel="1">
      <c r="A624" s="13" t="n">
        <v>46526</v>
      </c>
      <c r="E624" s="11">
        <f>IF(OR($B624="",NOT(ISNUMBER($C624))),"",COUNTIFS($A$5:$A$1668,$A624,$C$5:$C$1668,"&lt;"&amp;$C624)+1)</f>
        <v/>
      </c>
      <c r="F624" s="11">
        <f>IF(OR($B624="",NOT(ISNUMBER($C624))),"",COUNTIFS($A$5:$A$1668,$A624,$C$5:$C$1668,"&gt;0"))</f>
        <v/>
      </c>
      <c r="G624" s="11">
        <f>IF(OR($B624="",NOT(ISNUMBER($C624))),"",IF($D624&lt;&gt;"",ROUND(Points!$B$6*IF($F624&lt;Points!$H$4,Points!$H$5,1),0),ROUND(Points!$B$6*IF($F624&lt;=1,1,Points!$H$7+(1-Points!$H$7)*((($F624-$E624)*(($F624-$E624)+1)/2)^2-((($F624-$E624-COUNTIFS($A$5:$A$1668,$A624,$C$5:$C$1668,$C624)+1)-1)*($F624-$E624-COUNTIFS($A$5:$A$1668,$A624,$C$5:$C$1668,$C624)+1)/2)^2)/(COUNTIFS($A$5:$A$1668,$A624,$C$5:$C$1668,$C624)*($F624-1)^3))*IF($F624&lt;Points!$H$4,Points!$H$5,1),0)))</f>
        <v/>
      </c>
      <c r="H624" s="11">
        <f>IF($G624="","",COUNTIFS($B$5:$B$1668,$B624,$G$5:$G$1668,"&gt;"&amp;$G624)+COUNTIFS($B$4:$B623,$B624,$G$4:$G623,$G624)+1)</f>
        <v/>
      </c>
      <c r="I624" s="11">
        <f>IF($G624="","",IF($H624&lt;=Points!$H$6,$G624,0))</f>
        <v/>
      </c>
      <c r="J624" s="11">
        <f>IF($B624="","",IF(COUNTIF(Players!$A$2:$A$500,$B624)=0,"Player is not on the Players tab",IF(NOT(ISNUMBER($C624)),"Enter a gross score",IF(COUNTIFS($A$5:$A$1668,$A624,$B$5:$B$1668,$B624)&gt;1,"Player is listed twice this week",IF(AND($D624&lt;&gt;"",COUNTIFS($A$5:$A$1668,$A624,$D$5:$D$1668,$D624)&gt;1),"Two players picked as "&amp;$D624,IF(COUNTIFS($A$5:$A$1668,$A624,$D$5:$D$1668,"Gross winner")=0,"Pick this week's gross winner",IF(COUNTIFS($A$5:$A$1668,$A624,$D$5:$D$1668,"Net winner")=0,"Pick this week's net winner","OK")))))))</f>
        <v/>
      </c>
    </row>
    <row r="625" outlineLevel="1">
      <c r="A625" s="13" t="n">
        <v>46526</v>
      </c>
      <c r="E625" s="11">
        <f>IF(OR($B625="",NOT(ISNUMBER($C625))),"",COUNTIFS($A$5:$A$1668,$A625,$C$5:$C$1668,"&lt;"&amp;$C625)+1)</f>
        <v/>
      </c>
      <c r="F625" s="11">
        <f>IF(OR($B625="",NOT(ISNUMBER($C625))),"",COUNTIFS($A$5:$A$1668,$A625,$C$5:$C$1668,"&gt;0"))</f>
        <v/>
      </c>
      <c r="G625" s="11">
        <f>IF(OR($B625="",NOT(ISNUMBER($C625))),"",IF($D625&lt;&gt;"",ROUND(Points!$B$6*IF($F625&lt;Points!$H$4,Points!$H$5,1),0),ROUND(Points!$B$6*IF($F625&lt;=1,1,Points!$H$7+(1-Points!$H$7)*((($F625-$E625)*(($F625-$E625)+1)/2)^2-((($F625-$E625-COUNTIFS($A$5:$A$1668,$A625,$C$5:$C$1668,$C625)+1)-1)*($F625-$E625-COUNTIFS($A$5:$A$1668,$A625,$C$5:$C$1668,$C625)+1)/2)^2)/(COUNTIFS($A$5:$A$1668,$A625,$C$5:$C$1668,$C625)*($F625-1)^3))*IF($F625&lt;Points!$H$4,Points!$H$5,1),0)))</f>
        <v/>
      </c>
      <c r="H625" s="11">
        <f>IF($G625="","",COUNTIFS($B$5:$B$1668,$B625,$G$5:$G$1668,"&gt;"&amp;$G625)+COUNTIFS($B$4:$B624,$B625,$G$4:$G624,$G625)+1)</f>
        <v/>
      </c>
      <c r="I625" s="11">
        <f>IF($G625="","",IF($H625&lt;=Points!$H$6,$G625,0))</f>
        <v/>
      </c>
      <c r="J625" s="11">
        <f>IF($B625="","",IF(COUNTIF(Players!$A$2:$A$500,$B625)=0,"Player is not on the Players tab",IF(NOT(ISNUMBER($C625)),"Enter a gross score",IF(COUNTIFS($A$5:$A$1668,$A625,$B$5:$B$1668,$B625)&gt;1,"Player is listed twice this week",IF(AND($D625&lt;&gt;"",COUNTIFS($A$5:$A$1668,$A625,$D$5:$D$1668,$D625)&gt;1),"Two players picked as "&amp;$D625,IF(COUNTIFS($A$5:$A$1668,$A625,$D$5:$D$1668,"Gross winner")=0,"Pick this week's gross winner",IF(COUNTIFS($A$5:$A$1668,$A625,$D$5:$D$1668,"Net winner")=0,"Pick this week's net winner","OK")))))))</f>
        <v/>
      </c>
    </row>
    <row r="626" outlineLevel="1">
      <c r="A626" s="13" t="n">
        <v>46526</v>
      </c>
      <c r="E626" s="11">
        <f>IF(OR($B626="",NOT(ISNUMBER($C626))),"",COUNTIFS($A$5:$A$1668,$A626,$C$5:$C$1668,"&lt;"&amp;$C626)+1)</f>
        <v/>
      </c>
      <c r="F626" s="11">
        <f>IF(OR($B626="",NOT(ISNUMBER($C626))),"",COUNTIFS($A$5:$A$1668,$A626,$C$5:$C$1668,"&gt;0"))</f>
        <v/>
      </c>
      <c r="G626" s="11">
        <f>IF(OR($B626="",NOT(ISNUMBER($C626))),"",IF($D626&lt;&gt;"",ROUND(Points!$B$6*IF($F626&lt;Points!$H$4,Points!$H$5,1),0),ROUND(Points!$B$6*IF($F626&lt;=1,1,Points!$H$7+(1-Points!$H$7)*((($F626-$E626)*(($F626-$E626)+1)/2)^2-((($F626-$E626-COUNTIFS($A$5:$A$1668,$A626,$C$5:$C$1668,$C626)+1)-1)*($F626-$E626-COUNTIFS($A$5:$A$1668,$A626,$C$5:$C$1668,$C626)+1)/2)^2)/(COUNTIFS($A$5:$A$1668,$A626,$C$5:$C$1668,$C626)*($F626-1)^3))*IF($F626&lt;Points!$H$4,Points!$H$5,1),0)))</f>
        <v/>
      </c>
      <c r="H626" s="11">
        <f>IF($G626="","",COUNTIFS($B$5:$B$1668,$B626,$G$5:$G$1668,"&gt;"&amp;$G626)+COUNTIFS($B$4:$B625,$B626,$G$4:$G625,$G626)+1)</f>
        <v/>
      </c>
      <c r="I626" s="11">
        <f>IF($G626="","",IF($H626&lt;=Points!$H$6,$G626,0))</f>
        <v/>
      </c>
      <c r="J626" s="11">
        <f>IF($B626="","",IF(COUNTIF(Players!$A$2:$A$500,$B626)=0,"Player is not on the Players tab",IF(NOT(ISNUMBER($C626)),"Enter a gross score",IF(COUNTIFS($A$5:$A$1668,$A626,$B$5:$B$1668,$B626)&gt;1,"Player is listed twice this week",IF(AND($D626&lt;&gt;"",COUNTIFS($A$5:$A$1668,$A626,$D$5:$D$1668,$D626)&gt;1),"Two players picked as "&amp;$D626,IF(COUNTIFS($A$5:$A$1668,$A626,$D$5:$D$1668,"Gross winner")=0,"Pick this week's gross winner",IF(COUNTIFS($A$5:$A$1668,$A626,$D$5:$D$1668,"Net winner")=0,"Pick this week's net winner","OK")))))))</f>
        <v/>
      </c>
    </row>
    <row r="627" outlineLevel="1">
      <c r="A627" s="13" t="n">
        <v>46526</v>
      </c>
      <c r="E627" s="11">
        <f>IF(OR($B627="",NOT(ISNUMBER($C627))),"",COUNTIFS($A$5:$A$1668,$A627,$C$5:$C$1668,"&lt;"&amp;$C627)+1)</f>
        <v/>
      </c>
      <c r="F627" s="11">
        <f>IF(OR($B627="",NOT(ISNUMBER($C627))),"",COUNTIFS($A$5:$A$1668,$A627,$C$5:$C$1668,"&gt;0"))</f>
        <v/>
      </c>
      <c r="G627" s="11">
        <f>IF(OR($B627="",NOT(ISNUMBER($C627))),"",IF($D627&lt;&gt;"",ROUND(Points!$B$6*IF($F627&lt;Points!$H$4,Points!$H$5,1),0),ROUND(Points!$B$6*IF($F627&lt;=1,1,Points!$H$7+(1-Points!$H$7)*((($F627-$E627)*(($F627-$E627)+1)/2)^2-((($F627-$E627-COUNTIFS($A$5:$A$1668,$A627,$C$5:$C$1668,$C627)+1)-1)*($F627-$E627-COUNTIFS($A$5:$A$1668,$A627,$C$5:$C$1668,$C627)+1)/2)^2)/(COUNTIFS($A$5:$A$1668,$A627,$C$5:$C$1668,$C627)*($F627-1)^3))*IF($F627&lt;Points!$H$4,Points!$H$5,1),0)))</f>
        <v/>
      </c>
      <c r="H627" s="11">
        <f>IF($G627="","",COUNTIFS($B$5:$B$1668,$B627,$G$5:$G$1668,"&gt;"&amp;$G627)+COUNTIFS($B$4:$B626,$B627,$G$4:$G626,$G627)+1)</f>
        <v/>
      </c>
      <c r="I627" s="11">
        <f>IF($G627="","",IF($H627&lt;=Points!$H$6,$G627,0))</f>
        <v/>
      </c>
      <c r="J627" s="11">
        <f>IF($B627="","",IF(COUNTIF(Players!$A$2:$A$500,$B627)=0,"Player is not on the Players tab",IF(NOT(ISNUMBER($C627)),"Enter a gross score",IF(COUNTIFS($A$5:$A$1668,$A627,$B$5:$B$1668,$B627)&gt;1,"Player is listed twice this week",IF(AND($D627&lt;&gt;"",COUNTIFS($A$5:$A$1668,$A627,$D$5:$D$1668,$D627)&gt;1),"Two players picked as "&amp;$D627,IF(COUNTIFS($A$5:$A$1668,$A627,$D$5:$D$1668,"Gross winner")=0,"Pick this week's gross winner",IF(COUNTIFS($A$5:$A$1668,$A627,$D$5:$D$1668,"Net winner")=0,"Pick this week's net winner","OK")))))))</f>
        <v/>
      </c>
    </row>
    <row r="628" outlineLevel="1">
      <c r="A628" s="13" t="n">
        <v>46526</v>
      </c>
      <c r="E628" s="11">
        <f>IF(OR($B628="",NOT(ISNUMBER($C628))),"",COUNTIFS($A$5:$A$1668,$A628,$C$5:$C$1668,"&lt;"&amp;$C628)+1)</f>
        <v/>
      </c>
      <c r="F628" s="11">
        <f>IF(OR($B628="",NOT(ISNUMBER($C628))),"",COUNTIFS($A$5:$A$1668,$A628,$C$5:$C$1668,"&gt;0"))</f>
        <v/>
      </c>
      <c r="G628" s="11">
        <f>IF(OR($B628="",NOT(ISNUMBER($C628))),"",IF($D628&lt;&gt;"",ROUND(Points!$B$6*IF($F628&lt;Points!$H$4,Points!$H$5,1),0),ROUND(Points!$B$6*IF($F628&lt;=1,1,Points!$H$7+(1-Points!$H$7)*((($F628-$E628)*(($F628-$E628)+1)/2)^2-((($F628-$E628-COUNTIFS($A$5:$A$1668,$A628,$C$5:$C$1668,$C628)+1)-1)*($F628-$E628-COUNTIFS($A$5:$A$1668,$A628,$C$5:$C$1668,$C628)+1)/2)^2)/(COUNTIFS($A$5:$A$1668,$A628,$C$5:$C$1668,$C628)*($F628-1)^3))*IF($F628&lt;Points!$H$4,Points!$H$5,1),0)))</f>
        <v/>
      </c>
      <c r="H628" s="11">
        <f>IF($G628="","",COUNTIFS($B$5:$B$1668,$B628,$G$5:$G$1668,"&gt;"&amp;$G628)+COUNTIFS($B$4:$B627,$B628,$G$4:$G627,$G628)+1)</f>
        <v/>
      </c>
      <c r="I628" s="11">
        <f>IF($G628="","",IF($H628&lt;=Points!$H$6,$G628,0))</f>
        <v/>
      </c>
      <c r="J628" s="11">
        <f>IF($B628="","",IF(COUNTIF(Players!$A$2:$A$500,$B628)=0,"Player is not on the Players tab",IF(NOT(ISNUMBER($C628)),"Enter a gross score",IF(COUNTIFS($A$5:$A$1668,$A628,$B$5:$B$1668,$B628)&gt;1,"Player is listed twice this week",IF(AND($D628&lt;&gt;"",COUNTIFS($A$5:$A$1668,$A628,$D$5:$D$1668,$D628)&gt;1),"Two players picked as "&amp;$D628,IF(COUNTIFS($A$5:$A$1668,$A628,$D$5:$D$1668,"Gross winner")=0,"Pick this week's gross winner",IF(COUNTIFS($A$5:$A$1668,$A628,$D$5:$D$1668,"Net winner")=0,"Pick this week's net winner","OK")))))))</f>
        <v/>
      </c>
    </row>
    <row r="629" outlineLevel="1">
      <c r="A629" s="13" t="n">
        <v>46526</v>
      </c>
      <c r="E629" s="11">
        <f>IF(OR($B629="",NOT(ISNUMBER($C629))),"",COUNTIFS($A$5:$A$1668,$A629,$C$5:$C$1668,"&lt;"&amp;$C629)+1)</f>
        <v/>
      </c>
      <c r="F629" s="11">
        <f>IF(OR($B629="",NOT(ISNUMBER($C629))),"",COUNTIFS($A$5:$A$1668,$A629,$C$5:$C$1668,"&gt;0"))</f>
        <v/>
      </c>
      <c r="G629" s="11">
        <f>IF(OR($B629="",NOT(ISNUMBER($C629))),"",IF($D629&lt;&gt;"",ROUND(Points!$B$6*IF($F629&lt;Points!$H$4,Points!$H$5,1),0),ROUND(Points!$B$6*IF($F629&lt;=1,1,Points!$H$7+(1-Points!$H$7)*((($F629-$E629)*(($F629-$E629)+1)/2)^2-((($F629-$E629-COUNTIFS($A$5:$A$1668,$A629,$C$5:$C$1668,$C629)+1)-1)*($F629-$E629-COUNTIFS($A$5:$A$1668,$A629,$C$5:$C$1668,$C629)+1)/2)^2)/(COUNTIFS($A$5:$A$1668,$A629,$C$5:$C$1668,$C629)*($F629-1)^3))*IF($F629&lt;Points!$H$4,Points!$H$5,1),0)))</f>
        <v/>
      </c>
      <c r="H629" s="11">
        <f>IF($G629="","",COUNTIFS($B$5:$B$1668,$B629,$G$5:$G$1668,"&gt;"&amp;$G629)+COUNTIFS($B$4:$B628,$B629,$G$4:$G628,$G629)+1)</f>
        <v/>
      </c>
      <c r="I629" s="11">
        <f>IF($G629="","",IF($H629&lt;=Points!$H$6,$G629,0))</f>
        <v/>
      </c>
      <c r="J629" s="11">
        <f>IF($B629="","",IF(COUNTIF(Players!$A$2:$A$500,$B629)=0,"Player is not on the Players tab",IF(NOT(ISNUMBER($C629)),"Enter a gross score",IF(COUNTIFS($A$5:$A$1668,$A629,$B$5:$B$1668,$B629)&gt;1,"Player is listed twice this week",IF(AND($D629&lt;&gt;"",COUNTIFS($A$5:$A$1668,$A629,$D$5:$D$1668,$D629)&gt;1),"Two players picked as "&amp;$D629,IF(COUNTIFS($A$5:$A$1668,$A629,$D$5:$D$1668,"Gross winner")=0,"Pick this week's gross winner",IF(COUNTIFS($A$5:$A$1668,$A629,$D$5:$D$1668,"Net winner")=0,"Pick this week's net winner","OK")))))))</f>
        <v/>
      </c>
    </row>
    <row r="630" outlineLevel="1">
      <c r="A630" s="13" t="n">
        <v>46526</v>
      </c>
      <c r="E630" s="11">
        <f>IF(OR($B630="",NOT(ISNUMBER($C630))),"",COUNTIFS($A$5:$A$1668,$A630,$C$5:$C$1668,"&lt;"&amp;$C630)+1)</f>
        <v/>
      </c>
      <c r="F630" s="11">
        <f>IF(OR($B630="",NOT(ISNUMBER($C630))),"",COUNTIFS($A$5:$A$1668,$A630,$C$5:$C$1668,"&gt;0"))</f>
        <v/>
      </c>
      <c r="G630" s="11">
        <f>IF(OR($B630="",NOT(ISNUMBER($C630))),"",IF($D630&lt;&gt;"",ROUND(Points!$B$6*IF($F630&lt;Points!$H$4,Points!$H$5,1),0),ROUND(Points!$B$6*IF($F630&lt;=1,1,Points!$H$7+(1-Points!$H$7)*((($F630-$E630)*(($F630-$E630)+1)/2)^2-((($F630-$E630-COUNTIFS($A$5:$A$1668,$A630,$C$5:$C$1668,$C630)+1)-1)*($F630-$E630-COUNTIFS($A$5:$A$1668,$A630,$C$5:$C$1668,$C630)+1)/2)^2)/(COUNTIFS($A$5:$A$1668,$A630,$C$5:$C$1668,$C630)*($F630-1)^3))*IF($F630&lt;Points!$H$4,Points!$H$5,1),0)))</f>
        <v/>
      </c>
      <c r="H630" s="11">
        <f>IF($G630="","",COUNTIFS($B$5:$B$1668,$B630,$G$5:$G$1668,"&gt;"&amp;$G630)+COUNTIFS($B$4:$B629,$B630,$G$4:$G629,$G630)+1)</f>
        <v/>
      </c>
      <c r="I630" s="11">
        <f>IF($G630="","",IF($H630&lt;=Points!$H$6,$G630,0))</f>
        <v/>
      </c>
      <c r="J630" s="11">
        <f>IF($B630="","",IF(COUNTIF(Players!$A$2:$A$500,$B630)=0,"Player is not on the Players tab",IF(NOT(ISNUMBER($C630)),"Enter a gross score",IF(COUNTIFS($A$5:$A$1668,$A630,$B$5:$B$1668,$B630)&gt;1,"Player is listed twice this week",IF(AND($D630&lt;&gt;"",COUNTIFS($A$5:$A$1668,$A630,$D$5:$D$1668,$D630)&gt;1),"Two players picked as "&amp;$D630,IF(COUNTIFS($A$5:$A$1668,$A630,$D$5:$D$1668,"Gross winner")=0,"Pick this week's gross winner",IF(COUNTIFS($A$5:$A$1668,$A630,$D$5:$D$1668,"Net winner")=0,"Pick this week's net winner","OK")))))))</f>
        <v/>
      </c>
    </row>
    <row r="631" outlineLevel="1">
      <c r="A631" s="13" t="n">
        <v>46526</v>
      </c>
      <c r="E631" s="11">
        <f>IF(OR($B631="",NOT(ISNUMBER($C631))),"",COUNTIFS($A$5:$A$1668,$A631,$C$5:$C$1668,"&lt;"&amp;$C631)+1)</f>
        <v/>
      </c>
      <c r="F631" s="11">
        <f>IF(OR($B631="",NOT(ISNUMBER($C631))),"",COUNTIFS($A$5:$A$1668,$A631,$C$5:$C$1668,"&gt;0"))</f>
        <v/>
      </c>
      <c r="G631" s="11">
        <f>IF(OR($B631="",NOT(ISNUMBER($C631))),"",IF($D631&lt;&gt;"",ROUND(Points!$B$6*IF($F631&lt;Points!$H$4,Points!$H$5,1),0),ROUND(Points!$B$6*IF($F631&lt;=1,1,Points!$H$7+(1-Points!$H$7)*((($F631-$E631)*(($F631-$E631)+1)/2)^2-((($F631-$E631-COUNTIFS($A$5:$A$1668,$A631,$C$5:$C$1668,$C631)+1)-1)*($F631-$E631-COUNTIFS($A$5:$A$1668,$A631,$C$5:$C$1668,$C631)+1)/2)^2)/(COUNTIFS($A$5:$A$1668,$A631,$C$5:$C$1668,$C631)*($F631-1)^3))*IF($F631&lt;Points!$H$4,Points!$H$5,1),0)))</f>
        <v/>
      </c>
      <c r="H631" s="11">
        <f>IF($G631="","",COUNTIFS($B$5:$B$1668,$B631,$G$5:$G$1668,"&gt;"&amp;$G631)+COUNTIFS($B$4:$B630,$B631,$G$4:$G630,$G631)+1)</f>
        <v/>
      </c>
      <c r="I631" s="11">
        <f>IF($G631="","",IF($H631&lt;=Points!$H$6,$G631,0))</f>
        <v/>
      </c>
      <c r="J631" s="11">
        <f>IF($B631="","",IF(COUNTIF(Players!$A$2:$A$500,$B631)=0,"Player is not on the Players tab",IF(NOT(ISNUMBER($C631)),"Enter a gross score",IF(COUNTIFS($A$5:$A$1668,$A631,$B$5:$B$1668,$B631)&gt;1,"Player is listed twice this week",IF(AND($D631&lt;&gt;"",COUNTIFS($A$5:$A$1668,$A631,$D$5:$D$1668,$D631)&gt;1),"Two players picked as "&amp;$D631,IF(COUNTIFS($A$5:$A$1668,$A631,$D$5:$D$1668,"Gross winner")=0,"Pick this week's gross winner",IF(COUNTIFS($A$5:$A$1668,$A631,$D$5:$D$1668,"Net winner")=0,"Pick this week's net winner","OK")))))))</f>
        <v/>
      </c>
    </row>
    <row r="632" outlineLevel="1">
      <c r="A632" s="13" t="n">
        <v>46526</v>
      </c>
      <c r="E632" s="11">
        <f>IF(OR($B632="",NOT(ISNUMBER($C632))),"",COUNTIFS($A$5:$A$1668,$A632,$C$5:$C$1668,"&lt;"&amp;$C632)+1)</f>
        <v/>
      </c>
      <c r="F632" s="11">
        <f>IF(OR($B632="",NOT(ISNUMBER($C632))),"",COUNTIFS($A$5:$A$1668,$A632,$C$5:$C$1668,"&gt;0"))</f>
        <v/>
      </c>
      <c r="G632" s="11">
        <f>IF(OR($B632="",NOT(ISNUMBER($C632))),"",IF($D632&lt;&gt;"",ROUND(Points!$B$6*IF($F632&lt;Points!$H$4,Points!$H$5,1),0),ROUND(Points!$B$6*IF($F632&lt;=1,1,Points!$H$7+(1-Points!$H$7)*((($F632-$E632)*(($F632-$E632)+1)/2)^2-((($F632-$E632-COUNTIFS($A$5:$A$1668,$A632,$C$5:$C$1668,$C632)+1)-1)*($F632-$E632-COUNTIFS($A$5:$A$1668,$A632,$C$5:$C$1668,$C632)+1)/2)^2)/(COUNTIFS($A$5:$A$1668,$A632,$C$5:$C$1668,$C632)*($F632-1)^3))*IF($F632&lt;Points!$H$4,Points!$H$5,1),0)))</f>
        <v/>
      </c>
      <c r="H632" s="11">
        <f>IF($G632="","",COUNTIFS($B$5:$B$1668,$B632,$G$5:$G$1668,"&gt;"&amp;$G632)+COUNTIFS($B$4:$B631,$B632,$G$4:$G631,$G632)+1)</f>
        <v/>
      </c>
      <c r="I632" s="11">
        <f>IF($G632="","",IF($H632&lt;=Points!$H$6,$G632,0))</f>
        <v/>
      </c>
      <c r="J632" s="11">
        <f>IF($B632="","",IF(COUNTIF(Players!$A$2:$A$500,$B632)=0,"Player is not on the Players tab",IF(NOT(ISNUMBER($C632)),"Enter a gross score",IF(COUNTIFS($A$5:$A$1668,$A632,$B$5:$B$1668,$B632)&gt;1,"Player is listed twice this week",IF(AND($D632&lt;&gt;"",COUNTIFS($A$5:$A$1668,$A632,$D$5:$D$1668,$D632)&gt;1),"Two players picked as "&amp;$D632,IF(COUNTIFS($A$5:$A$1668,$A632,$D$5:$D$1668,"Gross winner")=0,"Pick this week's gross winner",IF(COUNTIFS($A$5:$A$1668,$A632,$D$5:$D$1668,"Net winner")=0,"Pick this week's net winner","OK")))))))</f>
        <v/>
      </c>
    </row>
    <row r="633" outlineLevel="1">
      <c r="A633" s="13" t="n">
        <v>46526</v>
      </c>
      <c r="E633" s="11">
        <f>IF(OR($B633="",NOT(ISNUMBER($C633))),"",COUNTIFS($A$5:$A$1668,$A633,$C$5:$C$1668,"&lt;"&amp;$C633)+1)</f>
        <v/>
      </c>
      <c r="F633" s="11">
        <f>IF(OR($B633="",NOT(ISNUMBER($C633))),"",COUNTIFS($A$5:$A$1668,$A633,$C$5:$C$1668,"&gt;0"))</f>
        <v/>
      </c>
      <c r="G633" s="11">
        <f>IF(OR($B633="",NOT(ISNUMBER($C633))),"",IF($D633&lt;&gt;"",ROUND(Points!$B$6*IF($F633&lt;Points!$H$4,Points!$H$5,1),0),ROUND(Points!$B$6*IF($F633&lt;=1,1,Points!$H$7+(1-Points!$H$7)*((($F633-$E633)*(($F633-$E633)+1)/2)^2-((($F633-$E633-COUNTIFS($A$5:$A$1668,$A633,$C$5:$C$1668,$C633)+1)-1)*($F633-$E633-COUNTIFS($A$5:$A$1668,$A633,$C$5:$C$1668,$C633)+1)/2)^2)/(COUNTIFS($A$5:$A$1668,$A633,$C$5:$C$1668,$C633)*($F633-1)^3))*IF($F633&lt;Points!$H$4,Points!$H$5,1),0)))</f>
        <v/>
      </c>
      <c r="H633" s="11">
        <f>IF($G633="","",COUNTIFS($B$5:$B$1668,$B633,$G$5:$G$1668,"&gt;"&amp;$G633)+COUNTIFS($B$4:$B632,$B633,$G$4:$G632,$G633)+1)</f>
        <v/>
      </c>
      <c r="I633" s="11">
        <f>IF($G633="","",IF($H633&lt;=Points!$H$6,$G633,0))</f>
        <v/>
      </c>
      <c r="J633" s="11">
        <f>IF($B633="","",IF(COUNTIF(Players!$A$2:$A$500,$B633)=0,"Player is not on the Players tab",IF(NOT(ISNUMBER($C633)),"Enter a gross score",IF(COUNTIFS($A$5:$A$1668,$A633,$B$5:$B$1668,$B633)&gt;1,"Player is listed twice this week",IF(AND($D633&lt;&gt;"",COUNTIFS($A$5:$A$1668,$A633,$D$5:$D$1668,$D633)&gt;1),"Two players picked as "&amp;$D633,IF(COUNTIFS($A$5:$A$1668,$A633,$D$5:$D$1668,"Gross winner")=0,"Pick this week's gross winner",IF(COUNTIFS($A$5:$A$1668,$A633,$D$5:$D$1668,"Net winner")=0,"Pick this week's net winner","OK")))))))</f>
        <v/>
      </c>
    </row>
    <row r="634" outlineLevel="1">
      <c r="A634" s="13" t="n">
        <v>46526</v>
      </c>
      <c r="E634" s="11">
        <f>IF(OR($B634="",NOT(ISNUMBER($C634))),"",COUNTIFS($A$5:$A$1668,$A634,$C$5:$C$1668,"&lt;"&amp;$C634)+1)</f>
        <v/>
      </c>
      <c r="F634" s="11">
        <f>IF(OR($B634="",NOT(ISNUMBER($C634))),"",COUNTIFS($A$5:$A$1668,$A634,$C$5:$C$1668,"&gt;0"))</f>
        <v/>
      </c>
      <c r="G634" s="11">
        <f>IF(OR($B634="",NOT(ISNUMBER($C634))),"",IF($D634&lt;&gt;"",ROUND(Points!$B$6*IF($F634&lt;Points!$H$4,Points!$H$5,1),0),ROUND(Points!$B$6*IF($F634&lt;=1,1,Points!$H$7+(1-Points!$H$7)*((($F634-$E634)*(($F634-$E634)+1)/2)^2-((($F634-$E634-COUNTIFS($A$5:$A$1668,$A634,$C$5:$C$1668,$C634)+1)-1)*($F634-$E634-COUNTIFS($A$5:$A$1668,$A634,$C$5:$C$1668,$C634)+1)/2)^2)/(COUNTIFS($A$5:$A$1668,$A634,$C$5:$C$1668,$C634)*($F634-1)^3))*IF($F634&lt;Points!$H$4,Points!$H$5,1),0)))</f>
        <v/>
      </c>
      <c r="H634" s="11">
        <f>IF($G634="","",COUNTIFS($B$5:$B$1668,$B634,$G$5:$G$1668,"&gt;"&amp;$G634)+COUNTIFS($B$4:$B633,$B634,$G$4:$G633,$G634)+1)</f>
        <v/>
      </c>
      <c r="I634" s="11">
        <f>IF($G634="","",IF($H634&lt;=Points!$H$6,$G634,0))</f>
        <v/>
      </c>
      <c r="J634" s="11">
        <f>IF($B634="","",IF(COUNTIF(Players!$A$2:$A$500,$B634)=0,"Player is not on the Players tab",IF(NOT(ISNUMBER($C634)),"Enter a gross score",IF(COUNTIFS($A$5:$A$1668,$A634,$B$5:$B$1668,$B634)&gt;1,"Player is listed twice this week",IF(AND($D634&lt;&gt;"",COUNTIFS($A$5:$A$1668,$A634,$D$5:$D$1668,$D634)&gt;1),"Two players picked as "&amp;$D634,IF(COUNTIFS($A$5:$A$1668,$A634,$D$5:$D$1668,"Gross winner")=0,"Pick this week's gross winner",IF(COUNTIFS($A$5:$A$1668,$A634,$D$5:$D$1668,"Net winner")=0,"Pick this week's net winner","OK")))))))</f>
        <v/>
      </c>
    </row>
    <row r="635" outlineLevel="1">
      <c r="A635" s="13" t="n">
        <v>46526</v>
      </c>
      <c r="E635" s="11">
        <f>IF(OR($B635="",NOT(ISNUMBER($C635))),"",COUNTIFS($A$5:$A$1668,$A635,$C$5:$C$1668,"&lt;"&amp;$C635)+1)</f>
        <v/>
      </c>
      <c r="F635" s="11">
        <f>IF(OR($B635="",NOT(ISNUMBER($C635))),"",COUNTIFS($A$5:$A$1668,$A635,$C$5:$C$1668,"&gt;0"))</f>
        <v/>
      </c>
      <c r="G635" s="11">
        <f>IF(OR($B635="",NOT(ISNUMBER($C635))),"",IF($D635&lt;&gt;"",ROUND(Points!$B$6*IF($F635&lt;Points!$H$4,Points!$H$5,1),0),ROUND(Points!$B$6*IF($F635&lt;=1,1,Points!$H$7+(1-Points!$H$7)*((($F635-$E635)*(($F635-$E635)+1)/2)^2-((($F635-$E635-COUNTIFS($A$5:$A$1668,$A635,$C$5:$C$1668,$C635)+1)-1)*($F635-$E635-COUNTIFS($A$5:$A$1668,$A635,$C$5:$C$1668,$C635)+1)/2)^2)/(COUNTIFS($A$5:$A$1668,$A635,$C$5:$C$1668,$C635)*($F635-1)^3))*IF($F635&lt;Points!$H$4,Points!$H$5,1),0)))</f>
        <v/>
      </c>
      <c r="H635" s="11">
        <f>IF($G635="","",COUNTIFS($B$5:$B$1668,$B635,$G$5:$G$1668,"&gt;"&amp;$G635)+COUNTIFS($B$4:$B634,$B635,$G$4:$G634,$G635)+1)</f>
        <v/>
      </c>
      <c r="I635" s="11">
        <f>IF($G635="","",IF($H635&lt;=Points!$H$6,$G635,0))</f>
        <v/>
      </c>
      <c r="J635" s="11">
        <f>IF($B635="","",IF(COUNTIF(Players!$A$2:$A$500,$B635)=0,"Player is not on the Players tab",IF(NOT(ISNUMBER($C635)),"Enter a gross score",IF(COUNTIFS($A$5:$A$1668,$A635,$B$5:$B$1668,$B635)&gt;1,"Player is listed twice this week",IF(AND($D635&lt;&gt;"",COUNTIFS($A$5:$A$1668,$A635,$D$5:$D$1668,$D635)&gt;1),"Two players picked as "&amp;$D635,IF(COUNTIFS($A$5:$A$1668,$A635,$D$5:$D$1668,"Gross winner")=0,"Pick this week's gross winner",IF(COUNTIFS($A$5:$A$1668,$A635,$D$5:$D$1668,"Net winner")=0,"Pick this week's net winner","OK")))))))</f>
        <v/>
      </c>
    </row>
    <row r="636" outlineLevel="1">
      <c r="A636" s="13" t="n">
        <v>46526</v>
      </c>
      <c r="E636" s="11">
        <f>IF(OR($B636="",NOT(ISNUMBER($C636))),"",COUNTIFS($A$5:$A$1668,$A636,$C$5:$C$1668,"&lt;"&amp;$C636)+1)</f>
        <v/>
      </c>
      <c r="F636" s="11">
        <f>IF(OR($B636="",NOT(ISNUMBER($C636))),"",COUNTIFS($A$5:$A$1668,$A636,$C$5:$C$1668,"&gt;0"))</f>
        <v/>
      </c>
      <c r="G636" s="11">
        <f>IF(OR($B636="",NOT(ISNUMBER($C636))),"",IF($D636&lt;&gt;"",ROUND(Points!$B$6*IF($F636&lt;Points!$H$4,Points!$H$5,1),0),ROUND(Points!$B$6*IF($F636&lt;=1,1,Points!$H$7+(1-Points!$H$7)*((($F636-$E636)*(($F636-$E636)+1)/2)^2-((($F636-$E636-COUNTIFS($A$5:$A$1668,$A636,$C$5:$C$1668,$C636)+1)-1)*($F636-$E636-COUNTIFS($A$5:$A$1668,$A636,$C$5:$C$1668,$C636)+1)/2)^2)/(COUNTIFS($A$5:$A$1668,$A636,$C$5:$C$1668,$C636)*($F636-1)^3))*IF($F636&lt;Points!$H$4,Points!$H$5,1),0)))</f>
        <v/>
      </c>
      <c r="H636" s="11">
        <f>IF($G636="","",COUNTIFS($B$5:$B$1668,$B636,$G$5:$G$1668,"&gt;"&amp;$G636)+COUNTIFS($B$4:$B635,$B636,$G$4:$G635,$G636)+1)</f>
        <v/>
      </c>
      <c r="I636" s="11">
        <f>IF($G636="","",IF($H636&lt;=Points!$H$6,$G636,0))</f>
        <v/>
      </c>
      <c r="J636" s="11">
        <f>IF($B636="","",IF(COUNTIF(Players!$A$2:$A$500,$B636)=0,"Player is not on the Players tab",IF(NOT(ISNUMBER($C636)),"Enter a gross score",IF(COUNTIFS($A$5:$A$1668,$A636,$B$5:$B$1668,$B636)&gt;1,"Player is listed twice this week",IF(AND($D636&lt;&gt;"",COUNTIFS($A$5:$A$1668,$A636,$D$5:$D$1668,$D636)&gt;1),"Two players picked as "&amp;$D636,IF(COUNTIFS($A$5:$A$1668,$A636,$D$5:$D$1668,"Gross winner")=0,"Pick this week's gross winner",IF(COUNTIFS($A$5:$A$1668,$A636,$D$5:$D$1668,"Net winner")=0,"Pick this week's net winner","OK")))))))</f>
        <v/>
      </c>
    </row>
    <row r="637" outlineLevel="1">
      <c r="A637" s="13" t="n">
        <v>46526</v>
      </c>
      <c r="E637" s="11">
        <f>IF(OR($B637="",NOT(ISNUMBER($C637))),"",COUNTIFS($A$5:$A$1668,$A637,$C$5:$C$1668,"&lt;"&amp;$C637)+1)</f>
        <v/>
      </c>
      <c r="F637" s="11">
        <f>IF(OR($B637="",NOT(ISNUMBER($C637))),"",COUNTIFS($A$5:$A$1668,$A637,$C$5:$C$1668,"&gt;0"))</f>
        <v/>
      </c>
      <c r="G637" s="11">
        <f>IF(OR($B637="",NOT(ISNUMBER($C637))),"",IF($D637&lt;&gt;"",ROUND(Points!$B$6*IF($F637&lt;Points!$H$4,Points!$H$5,1),0),ROUND(Points!$B$6*IF($F637&lt;=1,1,Points!$H$7+(1-Points!$H$7)*((($F637-$E637)*(($F637-$E637)+1)/2)^2-((($F637-$E637-COUNTIFS($A$5:$A$1668,$A637,$C$5:$C$1668,$C637)+1)-1)*($F637-$E637-COUNTIFS($A$5:$A$1668,$A637,$C$5:$C$1668,$C637)+1)/2)^2)/(COUNTIFS($A$5:$A$1668,$A637,$C$5:$C$1668,$C637)*($F637-1)^3))*IF($F637&lt;Points!$H$4,Points!$H$5,1),0)))</f>
        <v/>
      </c>
      <c r="H637" s="11">
        <f>IF($G637="","",COUNTIFS($B$5:$B$1668,$B637,$G$5:$G$1668,"&gt;"&amp;$G637)+COUNTIFS($B$4:$B636,$B637,$G$4:$G636,$G637)+1)</f>
        <v/>
      </c>
      <c r="I637" s="11">
        <f>IF($G637="","",IF($H637&lt;=Points!$H$6,$G637,0))</f>
        <v/>
      </c>
      <c r="J637" s="11">
        <f>IF($B637="","",IF(COUNTIF(Players!$A$2:$A$500,$B637)=0,"Player is not on the Players tab",IF(NOT(ISNUMBER($C637)),"Enter a gross score",IF(COUNTIFS($A$5:$A$1668,$A637,$B$5:$B$1668,$B637)&gt;1,"Player is listed twice this week",IF(AND($D637&lt;&gt;"",COUNTIFS($A$5:$A$1668,$A637,$D$5:$D$1668,$D637)&gt;1),"Two players picked as "&amp;$D637,IF(COUNTIFS($A$5:$A$1668,$A637,$D$5:$D$1668,"Gross winner")=0,"Pick this week's gross winner",IF(COUNTIFS($A$5:$A$1668,$A637,$D$5:$D$1668,"Net winner")=0,"Pick this week's net winner","OK")))))))</f>
        <v/>
      </c>
    </row>
    <row r="638" outlineLevel="1">
      <c r="A638" s="13" t="n">
        <v>46526</v>
      </c>
      <c r="E638" s="11">
        <f>IF(OR($B638="",NOT(ISNUMBER($C638))),"",COUNTIFS($A$5:$A$1668,$A638,$C$5:$C$1668,"&lt;"&amp;$C638)+1)</f>
        <v/>
      </c>
      <c r="F638" s="11">
        <f>IF(OR($B638="",NOT(ISNUMBER($C638))),"",COUNTIFS($A$5:$A$1668,$A638,$C$5:$C$1668,"&gt;0"))</f>
        <v/>
      </c>
      <c r="G638" s="11">
        <f>IF(OR($B638="",NOT(ISNUMBER($C638))),"",IF($D638&lt;&gt;"",ROUND(Points!$B$6*IF($F638&lt;Points!$H$4,Points!$H$5,1),0),ROUND(Points!$B$6*IF($F638&lt;=1,1,Points!$H$7+(1-Points!$H$7)*((($F638-$E638)*(($F638-$E638)+1)/2)^2-((($F638-$E638-COUNTIFS($A$5:$A$1668,$A638,$C$5:$C$1668,$C638)+1)-1)*($F638-$E638-COUNTIFS($A$5:$A$1668,$A638,$C$5:$C$1668,$C638)+1)/2)^2)/(COUNTIFS($A$5:$A$1668,$A638,$C$5:$C$1668,$C638)*($F638-1)^3))*IF($F638&lt;Points!$H$4,Points!$H$5,1),0)))</f>
        <v/>
      </c>
      <c r="H638" s="11">
        <f>IF($G638="","",COUNTIFS($B$5:$B$1668,$B638,$G$5:$G$1668,"&gt;"&amp;$G638)+COUNTIFS($B$4:$B637,$B638,$G$4:$G637,$G638)+1)</f>
        <v/>
      </c>
      <c r="I638" s="11">
        <f>IF($G638="","",IF($H638&lt;=Points!$H$6,$G638,0))</f>
        <v/>
      </c>
      <c r="J638" s="11">
        <f>IF($B638="","",IF(COUNTIF(Players!$A$2:$A$500,$B638)=0,"Player is not on the Players tab",IF(NOT(ISNUMBER($C638)),"Enter a gross score",IF(COUNTIFS($A$5:$A$1668,$A638,$B$5:$B$1668,$B638)&gt;1,"Player is listed twice this week",IF(AND($D638&lt;&gt;"",COUNTIFS($A$5:$A$1668,$A638,$D$5:$D$1668,$D638)&gt;1),"Two players picked as "&amp;$D638,IF(COUNTIFS($A$5:$A$1668,$A638,$D$5:$D$1668,"Gross winner")=0,"Pick this week's gross winner",IF(COUNTIFS($A$5:$A$1668,$A638,$D$5:$D$1668,"Net winner")=0,"Pick this week's net winner","OK")))))))</f>
        <v/>
      </c>
    </row>
    <row r="639" outlineLevel="1">
      <c r="A639" s="13" t="n">
        <v>46526</v>
      </c>
      <c r="E639" s="11">
        <f>IF(OR($B639="",NOT(ISNUMBER($C639))),"",COUNTIFS($A$5:$A$1668,$A639,$C$5:$C$1668,"&lt;"&amp;$C639)+1)</f>
        <v/>
      </c>
      <c r="F639" s="11">
        <f>IF(OR($B639="",NOT(ISNUMBER($C639))),"",COUNTIFS($A$5:$A$1668,$A639,$C$5:$C$1668,"&gt;0"))</f>
        <v/>
      </c>
      <c r="G639" s="11">
        <f>IF(OR($B639="",NOT(ISNUMBER($C639))),"",IF($D639&lt;&gt;"",ROUND(Points!$B$6*IF($F639&lt;Points!$H$4,Points!$H$5,1),0),ROUND(Points!$B$6*IF($F639&lt;=1,1,Points!$H$7+(1-Points!$H$7)*((($F639-$E639)*(($F639-$E639)+1)/2)^2-((($F639-$E639-COUNTIFS($A$5:$A$1668,$A639,$C$5:$C$1668,$C639)+1)-1)*($F639-$E639-COUNTIFS($A$5:$A$1668,$A639,$C$5:$C$1668,$C639)+1)/2)^2)/(COUNTIFS($A$5:$A$1668,$A639,$C$5:$C$1668,$C639)*($F639-1)^3))*IF($F639&lt;Points!$H$4,Points!$H$5,1),0)))</f>
        <v/>
      </c>
      <c r="H639" s="11">
        <f>IF($G639="","",COUNTIFS($B$5:$B$1668,$B639,$G$5:$G$1668,"&gt;"&amp;$G639)+COUNTIFS($B$4:$B638,$B639,$G$4:$G638,$G639)+1)</f>
        <v/>
      </c>
      <c r="I639" s="11">
        <f>IF($G639="","",IF($H639&lt;=Points!$H$6,$G639,0))</f>
        <v/>
      </c>
      <c r="J639" s="11">
        <f>IF($B639="","",IF(COUNTIF(Players!$A$2:$A$500,$B639)=0,"Player is not on the Players tab",IF(NOT(ISNUMBER($C639)),"Enter a gross score",IF(COUNTIFS($A$5:$A$1668,$A639,$B$5:$B$1668,$B639)&gt;1,"Player is listed twice this week",IF(AND($D639&lt;&gt;"",COUNTIFS($A$5:$A$1668,$A639,$D$5:$D$1668,$D639)&gt;1),"Two players picked as "&amp;$D639,IF(COUNTIFS($A$5:$A$1668,$A639,$D$5:$D$1668,"Gross winner")=0,"Pick this week's gross winner",IF(COUNTIFS($A$5:$A$1668,$A639,$D$5:$D$1668,"Net winner")=0,"Pick this week's net winner","OK")))))))</f>
        <v/>
      </c>
    </row>
    <row r="640" outlineLevel="1">
      <c r="A640" s="13" t="n">
        <v>46526</v>
      </c>
      <c r="E640" s="11">
        <f>IF(OR($B640="",NOT(ISNUMBER($C640))),"",COUNTIFS($A$5:$A$1668,$A640,$C$5:$C$1668,"&lt;"&amp;$C640)+1)</f>
        <v/>
      </c>
      <c r="F640" s="11">
        <f>IF(OR($B640="",NOT(ISNUMBER($C640))),"",COUNTIFS($A$5:$A$1668,$A640,$C$5:$C$1668,"&gt;0"))</f>
        <v/>
      </c>
      <c r="G640" s="11">
        <f>IF(OR($B640="",NOT(ISNUMBER($C640))),"",IF($D640&lt;&gt;"",ROUND(Points!$B$6*IF($F640&lt;Points!$H$4,Points!$H$5,1),0),ROUND(Points!$B$6*IF($F640&lt;=1,1,Points!$H$7+(1-Points!$H$7)*((($F640-$E640)*(($F640-$E640)+1)/2)^2-((($F640-$E640-COUNTIFS($A$5:$A$1668,$A640,$C$5:$C$1668,$C640)+1)-1)*($F640-$E640-COUNTIFS($A$5:$A$1668,$A640,$C$5:$C$1668,$C640)+1)/2)^2)/(COUNTIFS($A$5:$A$1668,$A640,$C$5:$C$1668,$C640)*($F640-1)^3))*IF($F640&lt;Points!$H$4,Points!$H$5,1),0)))</f>
        <v/>
      </c>
      <c r="H640" s="11">
        <f>IF($G640="","",COUNTIFS($B$5:$B$1668,$B640,$G$5:$G$1668,"&gt;"&amp;$G640)+COUNTIFS($B$4:$B639,$B640,$G$4:$G639,$G640)+1)</f>
        <v/>
      </c>
      <c r="I640" s="11">
        <f>IF($G640="","",IF($H640&lt;=Points!$H$6,$G640,0))</f>
        <v/>
      </c>
      <c r="J640" s="11">
        <f>IF($B640="","",IF(COUNTIF(Players!$A$2:$A$500,$B640)=0,"Player is not on the Players tab",IF(NOT(ISNUMBER($C640)),"Enter a gross score",IF(COUNTIFS($A$5:$A$1668,$A640,$B$5:$B$1668,$B640)&gt;1,"Player is listed twice this week",IF(AND($D640&lt;&gt;"",COUNTIFS($A$5:$A$1668,$A640,$D$5:$D$1668,$D640)&gt;1),"Two players picked as "&amp;$D640,IF(COUNTIFS($A$5:$A$1668,$A640,$D$5:$D$1668,"Gross winner")=0,"Pick this week's gross winner",IF(COUNTIFS($A$5:$A$1668,$A640,$D$5:$D$1668,"Net winner")=0,"Pick this week's net winner","OK")))))))</f>
        <v/>
      </c>
    </row>
    <row r="641" outlineLevel="1">
      <c r="A641" s="13" t="n">
        <v>46526</v>
      </c>
      <c r="E641" s="11">
        <f>IF(OR($B641="",NOT(ISNUMBER($C641))),"",COUNTIFS($A$5:$A$1668,$A641,$C$5:$C$1668,"&lt;"&amp;$C641)+1)</f>
        <v/>
      </c>
      <c r="F641" s="11">
        <f>IF(OR($B641="",NOT(ISNUMBER($C641))),"",COUNTIFS($A$5:$A$1668,$A641,$C$5:$C$1668,"&gt;0"))</f>
        <v/>
      </c>
      <c r="G641" s="11">
        <f>IF(OR($B641="",NOT(ISNUMBER($C641))),"",IF($D641&lt;&gt;"",ROUND(Points!$B$6*IF($F641&lt;Points!$H$4,Points!$H$5,1),0),ROUND(Points!$B$6*IF($F641&lt;=1,1,Points!$H$7+(1-Points!$H$7)*((($F641-$E641)*(($F641-$E641)+1)/2)^2-((($F641-$E641-COUNTIFS($A$5:$A$1668,$A641,$C$5:$C$1668,$C641)+1)-1)*($F641-$E641-COUNTIFS($A$5:$A$1668,$A641,$C$5:$C$1668,$C641)+1)/2)^2)/(COUNTIFS($A$5:$A$1668,$A641,$C$5:$C$1668,$C641)*($F641-1)^3))*IF($F641&lt;Points!$H$4,Points!$H$5,1),0)))</f>
        <v/>
      </c>
      <c r="H641" s="11">
        <f>IF($G641="","",COUNTIFS($B$5:$B$1668,$B641,$G$5:$G$1668,"&gt;"&amp;$G641)+COUNTIFS($B$4:$B640,$B641,$G$4:$G640,$G641)+1)</f>
        <v/>
      </c>
      <c r="I641" s="11">
        <f>IF($G641="","",IF($H641&lt;=Points!$H$6,$G641,0))</f>
        <v/>
      </c>
      <c r="J641" s="11">
        <f>IF($B641="","",IF(COUNTIF(Players!$A$2:$A$500,$B641)=0,"Player is not on the Players tab",IF(NOT(ISNUMBER($C641)),"Enter a gross score",IF(COUNTIFS($A$5:$A$1668,$A641,$B$5:$B$1668,$B641)&gt;1,"Player is listed twice this week",IF(AND($D641&lt;&gt;"",COUNTIFS($A$5:$A$1668,$A641,$D$5:$D$1668,$D641)&gt;1),"Two players picked as "&amp;$D641,IF(COUNTIFS($A$5:$A$1668,$A641,$D$5:$D$1668,"Gross winner")=0,"Pick this week's gross winner",IF(COUNTIFS($A$5:$A$1668,$A641,$D$5:$D$1668,"Net winner")=0,"Pick this week's net winner","OK")))))))</f>
        <v/>
      </c>
    </row>
    <row r="642" outlineLevel="1">
      <c r="A642" s="13" t="n">
        <v>46526</v>
      </c>
      <c r="E642" s="11">
        <f>IF(OR($B642="",NOT(ISNUMBER($C642))),"",COUNTIFS($A$5:$A$1668,$A642,$C$5:$C$1668,"&lt;"&amp;$C642)+1)</f>
        <v/>
      </c>
      <c r="F642" s="11">
        <f>IF(OR($B642="",NOT(ISNUMBER($C642))),"",COUNTIFS($A$5:$A$1668,$A642,$C$5:$C$1668,"&gt;0"))</f>
        <v/>
      </c>
      <c r="G642" s="11">
        <f>IF(OR($B642="",NOT(ISNUMBER($C642))),"",IF($D642&lt;&gt;"",ROUND(Points!$B$6*IF($F642&lt;Points!$H$4,Points!$H$5,1),0),ROUND(Points!$B$6*IF($F642&lt;=1,1,Points!$H$7+(1-Points!$H$7)*((($F642-$E642)*(($F642-$E642)+1)/2)^2-((($F642-$E642-COUNTIFS($A$5:$A$1668,$A642,$C$5:$C$1668,$C642)+1)-1)*($F642-$E642-COUNTIFS($A$5:$A$1668,$A642,$C$5:$C$1668,$C642)+1)/2)^2)/(COUNTIFS($A$5:$A$1668,$A642,$C$5:$C$1668,$C642)*($F642-1)^3))*IF($F642&lt;Points!$H$4,Points!$H$5,1),0)))</f>
        <v/>
      </c>
      <c r="H642" s="11">
        <f>IF($G642="","",COUNTIFS($B$5:$B$1668,$B642,$G$5:$G$1668,"&gt;"&amp;$G642)+COUNTIFS($B$4:$B641,$B642,$G$4:$G641,$G642)+1)</f>
        <v/>
      </c>
      <c r="I642" s="11">
        <f>IF($G642="","",IF($H642&lt;=Points!$H$6,$G642,0))</f>
        <v/>
      </c>
      <c r="J642" s="11">
        <f>IF($B642="","",IF(COUNTIF(Players!$A$2:$A$500,$B642)=0,"Player is not on the Players tab",IF(NOT(ISNUMBER($C642)),"Enter a gross score",IF(COUNTIFS($A$5:$A$1668,$A642,$B$5:$B$1668,$B642)&gt;1,"Player is listed twice this week",IF(AND($D642&lt;&gt;"",COUNTIFS($A$5:$A$1668,$A642,$D$5:$D$1668,$D642)&gt;1),"Two players picked as "&amp;$D642,IF(COUNTIFS($A$5:$A$1668,$A642,$D$5:$D$1668,"Gross winner")=0,"Pick this week's gross winner",IF(COUNTIFS($A$5:$A$1668,$A642,$D$5:$D$1668,"Net winner")=0,"Pick this week's net winner","OK")))))))</f>
        <v/>
      </c>
    </row>
    <row r="643" outlineLevel="1">
      <c r="A643" s="13" t="n">
        <v>46526</v>
      </c>
      <c r="E643" s="11">
        <f>IF(OR($B643="",NOT(ISNUMBER($C643))),"",COUNTIFS($A$5:$A$1668,$A643,$C$5:$C$1668,"&lt;"&amp;$C643)+1)</f>
        <v/>
      </c>
      <c r="F643" s="11">
        <f>IF(OR($B643="",NOT(ISNUMBER($C643))),"",COUNTIFS($A$5:$A$1668,$A643,$C$5:$C$1668,"&gt;0"))</f>
        <v/>
      </c>
      <c r="G643" s="11">
        <f>IF(OR($B643="",NOT(ISNUMBER($C643))),"",IF($D643&lt;&gt;"",ROUND(Points!$B$6*IF($F643&lt;Points!$H$4,Points!$H$5,1),0),ROUND(Points!$B$6*IF($F643&lt;=1,1,Points!$H$7+(1-Points!$H$7)*((($F643-$E643)*(($F643-$E643)+1)/2)^2-((($F643-$E643-COUNTIFS($A$5:$A$1668,$A643,$C$5:$C$1668,$C643)+1)-1)*($F643-$E643-COUNTIFS($A$5:$A$1668,$A643,$C$5:$C$1668,$C643)+1)/2)^2)/(COUNTIFS($A$5:$A$1668,$A643,$C$5:$C$1668,$C643)*($F643-1)^3))*IF($F643&lt;Points!$H$4,Points!$H$5,1),0)))</f>
        <v/>
      </c>
      <c r="H643" s="11">
        <f>IF($G643="","",COUNTIFS($B$5:$B$1668,$B643,$G$5:$G$1668,"&gt;"&amp;$G643)+COUNTIFS($B$4:$B642,$B643,$G$4:$G642,$G643)+1)</f>
        <v/>
      </c>
      <c r="I643" s="11">
        <f>IF($G643="","",IF($H643&lt;=Points!$H$6,$G643,0))</f>
        <v/>
      </c>
      <c r="J643" s="11">
        <f>IF($B643="","",IF(COUNTIF(Players!$A$2:$A$500,$B643)=0,"Player is not on the Players tab",IF(NOT(ISNUMBER($C643)),"Enter a gross score",IF(COUNTIFS($A$5:$A$1668,$A643,$B$5:$B$1668,$B643)&gt;1,"Player is listed twice this week",IF(AND($D643&lt;&gt;"",COUNTIFS($A$5:$A$1668,$A643,$D$5:$D$1668,$D643)&gt;1),"Two players picked as "&amp;$D643,IF(COUNTIFS($A$5:$A$1668,$A643,$D$5:$D$1668,"Gross winner")=0,"Pick this week's gross winner",IF(COUNTIFS($A$5:$A$1668,$A643,$D$5:$D$1668,"Net winner")=0,"Pick this week's net winner","OK")))))))</f>
        <v/>
      </c>
    </row>
    <row r="644" ht="10" customHeight="1"/>
    <row r="645" ht="22" customHeight="1">
      <c r="A645" s="12" t="inlineStr">
        <is>
          <t>Week 21  ·  Wednesday, May 26</t>
        </is>
      </c>
    </row>
    <row r="646" outlineLevel="1">
      <c r="A646" s="13" t="n">
        <v>46533</v>
      </c>
      <c r="E646" s="11">
        <f>IF(OR($B646="",NOT(ISNUMBER($C646))),"",COUNTIFS($A$5:$A$1668,$A646,$C$5:$C$1668,"&lt;"&amp;$C646)+1)</f>
        <v/>
      </c>
      <c r="F646" s="11">
        <f>IF(OR($B646="",NOT(ISNUMBER($C646))),"",COUNTIFS($A$5:$A$1668,$A646,$C$5:$C$1668,"&gt;0"))</f>
        <v/>
      </c>
      <c r="G646" s="11">
        <f>IF(OR($B646="",NOT(ISNUMBER($C646))),"",IF($D646&lt;&gt;"",ROUND(Points!$B$6*IF($F646&lt;Points!$H$4,Points!$H$5,1),0),ROUND(Points!$B$6*IF($F646&lt;=1,1,Points!$H$7+(1-Points!$H$7)*((($F646-$E646)*(($F646-$E646)+1)/2)^2-((($F646-$E646-COUNTIFS($A$5:$A$1668,$A646,$C$5:$C$1668,$C646)+1)-1)*($F646-$E646-COUNTIFS($A$5:$A$1668,$A646,$C$5:$C$1668,$C646)+1)/2)^2)/(COUNTIFS($A$5:$A$1668,$A646,$C$5:$C$1668,$C646)*($F646-1)^3))*IF($F646&lt;Points!$H$4,Points!$H$5,1),0)))</f>
        <v/>
      </c>
      <c r="H646" s="11">
        <f>IF($G646="","",COUNTIFS($B$5:$B$1668,$B646,$G$5:$G$1668,"&gt;"&amp;$G646)+COUNTIFS($B$4:$B645,$B646,$G$4:$G645,$G646)+1)</f>
        <v/>
      </c>
      <c r="I646" s="11">
        <f>IF($G646="","",IF($H646&lt;=Points!$H$6,$G646,0))</f>
        <v/>
      </c>
      <c r="J646" s="11">
        <f>IF($B646="","",IF(COUNTIF(Players!$A$2:$A$500,$B646)=0,"Player is not on the Players tab",IF(NOT(ISNUMBER($C646)),"Enter a gross score",IF(COUNTIFS($A$5:$A$1668,$A646,$B$5:$B$1668,$B646)&gt;1,"Player is listed twice this week",IF(AND($D646&lt;&gt;"",COUNTIFS($A$5:$A$1668,$A646,$D$5:$D$1668,$D646)&gt;1),"Two players picked as "&amp;$D646,IF(COUNTIFS($A$5:$A$1668,$A646,$D$5:$D$1668,"Gross winner")=0,"Pick this week's gross winner",IF(COUNTIFS($A$5:$A$1668,$A646,$D$5:$D$1668,"Net winner")=0,"Pick this week's net winner","OK")))))))</f>
        <v/>
      </c>
    </row>
    <row r="647" outlineLevel="1">
      <c r="A647" s="13" t="n">
        <v>46533</v>
      </c>
      <c r="E647" s="11">
        <f>IF(OR($B647="",NOT(ISNUMBER($C647))),"",COUNTIFS($A$5:$A$1668,$A647,$C$5:$C$1668,"&lt;"&amp;$C647)+1)</f>
        <v/>
      </c>
      <c r="F647" s="11">
        <f>IF(OR($B647="",NOT(ISNUMBER($C647))),"",COUNTIFS($A$5:$A$1668,$A647,$C$5:$C$1668,"&gt;0"))</f>
        <v/>
      </c>
      <c r="G647" s="11">
        <f>IF(OR($B647="",NOT(ISNUMBER($C647))),"",IF($D647&lt;&gt;"",ROUND(Points!$B$6*IF($F647&lt;Points!$H$4,Points!$H$5,1),0),ROUND(Points!$B$6*IF($F647&lt;=1,1,Points!$H$7+(1-Points!$H$7)*((($F647-$E647)*(($F647-$E647)+1)/2)^2-((($F647-$E647-COUNTIFS($A$5:$A$1668,$A647,$C$5:$C$1668,$C647)+1)-1)*($F647-$E647-COUNTIFS($A$5:$A$1668,$A647,$C$5:$C$1668,$C647)+1)/2)^2)/(COUNTIFS($A$5:$A$1668,$A647,$C$5:$C$1668,$C647)*($F647-1)^3))*IF($F647&lt;Points!$H$4,Points!$H$5,1),0)))</f>
        <v/>
      </c>
      <c r="H647" s="11">
        <f>IF($G647="","",COUNTIFS($B$5:$B$1668,$B647,$G$5:$G$1668,"&gt;"&amp;$G647)+COUNTIFS($B$4:$B646,$B647,$G$4:$G646,$G647)+1)</f>
        <v/>
      </c>
      <c r="I647" s="11">
        <f>IF($G647="","",IF($H647&lt;=Points!$H$6,$G647,0))</f>
        <v/>
      </c>
      <c r="J647" s="11">
        <f>IF($B647="","",IF(COUNTIF(Players!$A$2:$A$500,$B647)=0,"Player is not on the Players tab",IF(NOT(ISNUMBER($C647)),"Enter a gross score",IF(COUNTIFS($A$5:$A$1668,$A647,$B$5:$B$1668,$B647)&gt;1,"Player is listed twice this week",IF(AND($D647&lt;&gt;"",COUNTIFS($A$5:$A$1668,$A647,$D$5:$D$1668,$D647)&gt;1),"Two players picked as "&amp;$D647,IF(COUNTIFS($A$5:$A$1668,$A647,$D$5:$D$1668,"Gross winner")=0,"Pick this week's gross winner",IF(COUNTIFS($A$5:$A$1668,$A647,$D$5:$D$1668,"Net winner")=0,"Pick this week's net winner","OK")))))))</f>
        <v/>
      </c>
    </row>
    <row r="648" outlineLevel="1">
      <c r="A648" s="13" t="n">
        <v>46533</v>
      </c>
      <c r="E648" s="11">
        <f>IF(OR($B648="",NOT(ISNUMBER($C648))),"",COUNTIFS($A$5:$A$1668,$A648,$C$5:$C$1668,"&lt;"&amp;$C648)+1)</f>
        <v/>
      </c>
      <c r="F648" s="11">
        <f>IF(OR($B648="",NOT(ISNUMBER($C648))),"",COUNTIFS($A$5:$A$1668,$A648,$C$5:$C$1668,"&gt;0"))</f>
        <v/>
      </c>
      <c r="G648" s="11">
        <f>IF(OR($B648="",NOT(ISNUMBER($C648))),"",IF($D648&lt;&gt;"",ROUND(Points!$B$6*IF($F648&lt;Points!$H$4,Points!$H$5,1),0),ROUND(Points!$B$6*IF($F648&lt;=1,1,Points!$H$7+(1-Points!$H$7)*((($F648-$E648)*(($F648-$E648)+1)/2)^2-((($F648-$E648-COUNTIFS($A$5:$A$1668,$A648,$C$5:$C$1668,$C648)+1)-1)*($F648-$E648-COUNTIFS($A$5:$A$1668,$A648,$C$5:$C$1668,$C648)+1)/2)^2)/(COUNTIFS($A$5:$A$1668,$A648,$C$5:$C$1668,$C648)*($F648-1)^3))*IF($F648&lt;Points!$H$4,Points!$H$5,1),0)))</f>
        <v/>
      </c>
      <c r="H648" s="11">
        <f>IF($G648="","",COUNTIFS($B$5:$B$1668,$B648,$G$5:$G$1668,"&gt;"&amp;$G648)+COUNTIFS($B$4:$B647,$B648,$G$4:$G647,$G648)+1)</f>
        <v/>
      </c>
      <c r="I648" s="11">
        <f>IF($G648="","",IF($H648&lt;=Points!$H$6,$G648,0))</f>
        <v/>
      </c>
      <c r="J648" s="11">
        <f>IF($B648="","",IF(COUNTIF(Players!$A$2:$A$500,$B648)=0,"Player is not on the Players tab",IF(NOT(ISNUMBER($C648)),"Enter a gross score",IF(COUNTIFS($A$5:$A$1668,$A648,$B$5:$B$1668,$B648)&gt;1,"Player is listed twice this week",IF(AND($D648&lt;&gt;"",COUNTIFS($A$5:$A$1668,$A648,$D$5:$D$1668,$D648)&gt;1),"Two players picked as "&amp;$D648,IF(COUNTIFS($A$5:$A$1668,$A648,$D$5:$D$1668,"Gross winner")=0,"Pick this week's gross winner",IF(COUNTIFS($A$5:$A$1668,$A648,$D$5:$D$1668,"Net winner")=0,"Pick this week's net winner","OK")))))))</f>
        <v/>
      </c>
    </row>
    <row r="649" outlineLevel="1">
      <c r="A649" s="13" t="n">
        <v>46533</v>
      </c>
      <c r="E649" s="11">
        <f>IF(OR($B649="",NOT(ISNUMBER($C649))),"",COUNTIFS($A$5:$A$1668,$A649,$C$5:$C$1668,"&lt;"&amp;$C649)+1)</f>
        <v/>
      </c>
      <c r="F649" s="11">
        <f>IF(OR($B649="",NOT(ISNUMBER($C649))),"",COUNTIFS($A$5:$A$1668,$A649,$C$5:$C$1668,"&gt;0"))</f>
        <v/>
      </c>
      <c r="G649" s="11">
        <f>IF(OR($B649="",NOT(ISNUMBER($C649))),"",IF($D649&lt;&gt;"",ROUND(Points!$B$6*IF($F649&lt;Points!$H$4,Points!$H$5,1),0),ROUND(Points!$B$6*IF($F649&lt;=1,1,Points!$H$7+(1-Points!$H$7)*((($F649-$E649)*(($F649-$E649)+1)/2)^2-((($F649-$E649-COUNTIFS($A$5:$A$1668,$A649,$C$5:$C$1668,$C649)+1)-1)*($F649-$E649-COUNTIFS($A$5:$A$1668,$A649,$C$5:$C$1668,$C649)+1)/2)^2)/(COUNTIFS($A$5:$A$1668,$A649,$C$5:$C$1668,$C649)*($F649-1)^3))*IF($F649&lt;Points!$H$4,Points!$H$5,1),0)))</f>
        <v/>
      </c>
      <c r="H649" s="11">
        <f>IF($G649="","",COUNTIFS($B$5:$B$1668,$B649,$G$5:$G$1668,"&gt;"&amp;$G649)+COUNTIFS($B$4:$B648,$B649,$G$4:$G648,$G649)+1)</f>
        <v/>
      </c>
      <c r="I649" s="11">
        <f>IF($G649="","",IF($H649&lt;=Points!$H$6,$G649,0))</f>
        <v/>
      </c>
      <c r="J649" s="11">
        <f>IF($B649="","",IF(COUNTIF(Players!$A$2:$A$500,$B649)=0,"Player is not on the Players tab",IF(NOT(ISNUMBER($C649)),"Enter a gross score",IF(COUNTIFS($A$5:$A$1668,$A649,$B$5:$B$1668,$B649)&gt;1,"Player is listed twice this week",IF(AND($D649&lt;&gt;"",COUNTIFS($A$5:$A$1668,$A649,$D$5:$D$1668,$D649)&gt;1),"Two players picked as "&amp;$D649,IF(COUNTIFS($A$5:$A$1668,$A649,$D$5:$D$1668,"Gross winner")=0,"Pick this week's gross winner",IF(COUNTIFS($A$5:$A$1668,$A649,$D$5:$D$1668,"Net winner")=0,"Pick this week's net winner","OK")))))))</f>
        <v/>
      </c>
    </row>
    <row r="650" outlineLevel="1">
      <c r="A650" s="13" t="n">
        <v>46533</v>
      </c>
      <c r="E650" s="11">
        <f>IF(OR($B650="",NOT(ISNUMBER($C650))),"",COUNTIFS($A$5:$A$1668,$A650,$C$5:$C$1668,"&lt;"&amp;$C650)+1)</f>
        <v/>
      </c>
      <c r="F650" s="11">
        <f>IF(OR($B650="",NOT(ISNUMBER($C650))),"",COUNTIFS($A$5:$A$1668,$A650,$C$5:$C$1668,"&gt;0"))</f>
        <v/>
      </c>
      <c r="G650" s="11">
        <f>IF(OR($B650="",NOT(ISNUMBER($C650))),"",IF($D650&lt;&gt;"",ROUND(Points!$B$6*IF($F650&lt;Points!$H$4,Points!$H$5,1),0),ROUND(Points!$B$6*IF($F650&lt;=1,1,Points!$H$7+(1-Points!$H$7)*((($F650-$E650)*(($F650-$E650)+1)/2)^2-((($F650-$E650-COUNTIFS($A$5:$A$1668,$A650,$C$5:$C$1668,$C650)+1)-1)*($F650-$E650-COUNTIFS($A$5:$A$1668,$A650,$C$5:$C$1668,$C650)+1)/2)^2)/(COUNTIFS($A$5:$A$1668,$A650,$C$5:$C$1668,$C650)*($F650-1)^3))*IF($F650&lt;Points!$H$4,Points!$H$5,1),0)))</f>
        <v/>
      </c>
      <c r="H650" s="11">
        <f>IF($G650="","",COUNTIFS($B$5:$B$1668,$B650,$G$5:$G$1668,"&gt;"&amp;$G650)+COUNTIFS($B$4:$B649,$B650,$G$4:$G649,$G650)+1)</f>
        <v/>
      </c>
      <c r="I650" s="11">
        <f>IF($G650="","",IF($H650&lt;=Points!$H$6,$G650,0))</f>
        <v/>
      </c>
      <c r="J650" s="11">
        <f>IF($B650="","",IF(COUNTIF(Players!$A$2:$A$500,$B650)=0,"Player is not on the Players tab",IF(NOT(ISNUMBER($C650)),"Enter a gross score",IF(COUNTIFS($A$5:$A$1668,$A650,$B$5:$B$1668,$B650)&gt;1,"Player is listed twice this week",IF(AND($D650&lt;&gt;"",COUNTIFS($A$5:$A$1668,$A650,$D$5:$D$1668,$D650)&gt;1),"Two players picked as "&amp;$D650,IF(COUNTIFS($A$5:$A$1668,$A650,$D$5:$D$1668,"Gross winner")=0,"Pick this week's gross winner",IF(COUNTIFS($A$5:$A$1668,$A650,$D$5:$D$1668,"Net winner")=0,"Pick this week's net winner","OK")))))))</f>
        <v/>
      </c>
    </row>
    <row r="651" outlineLevel="1">
      <c r="A651" s="13" t="n">
        <v>46533</v>
      </c>
      <c r="E651" s="11">
        <f>IF(OR($B651="",NOT(ISNUMBER($C651))),"",COUNTIFS($A$5:$A$1668,$A651,$C$5:$C$1668,"&lt;"&amp;$C651)+1)</f>
        <v/>
      </c>
      <c r="F651" s="11">
        <f>IF(OR($B651="",NOT(ISNUMBER($C651))),"",COUNTIFS($A$5:$A$1668,$A651,$C$5:$C$1668,"&gt;0"))</f>
        <v/>
      </c>
      <c r="G651" s="11">
        <f>IF(OR($B651="",NOT(ISNUMBER($C651))),"",IF($D651&lt;&gt;"",ROUND(Points!$B$6*IF($F651&lt;Points!$H$4,Points!$H$5,1),0),ROUND(Points!$B$6*IF($F651&lt;=1,1,Points!$H$7+(1-Points!$H$7)*((($F651-$E651)*(($F651-$E651)+1)/2)^2-((($F651-$E651-COUNTIFS($A$5:$A$1668,$A651,$C$5:$C$1668,$C651)+1)-1)*($F651-$E651-COUNTIFS($A$5:$A$1668,$A651,$C$5:$C$1668,$C651)+1)/2)^2)/(COUNTIFS($A$5:$A$1668,$A651,$C$5:$C$1668,$C651)*($F651-1)^3))*IF($F651&lt;Points!$H$4,Points!$H$5,1),0)))</f>
        <v/>
      </c>
      <c r="H651" s="11">
        <f>IF($G651="","",COUNTIFS($B$5:$B$1668,$B651,$G$5:$G$1668,"&gt;"&amp;$G651)+COUNTIFS($B$4:$B650,$B651,$G$4:$G650,$G651)+1)</f>
        <v/>
      </c>
      <c r="I651" s="11">
        <f>IF($G651="","",IF($H651&lt;=Points!$H$6,$G651,0))</f>
        <v/>
      </c>
      <c r="J651" s="11">
        <f>IF($B651="","",IF(COUNTIF(Players!$A$2:$A$500,$B651)=0,"Player is not on the Players tab",IF(NOT(ISNUMBER($C651)),"Enter a gross score",IF(COUNTIFS($A$5:$A$1668,$A651,$B$5:$B$1668,$B651)&gt;1,"Player is listed twice this week",IF(AND($D651&lt;&gt;"",COUNTIFS($A$5:$A$1668,$A651,$D$5:$D$1668,$D651)&gt;1),"Two players picked as "&amp;$D651,IF(COUNTIFS($A$5:$A$1668,$A651,$D$5:$D$1668,"Gross winner")=0,"Pick this week's gross winner",IF(COUNTIFS($A$5:$A$1668,$A651,$D$5:$D$1668,"Net winner")=0,"Pick this week's net winner","OK")))))))</f>
        <v/>
      </c>
    </row>
    <row r="652" outlineLevel="1">
      <c r="A652" s="13" t="n">
        <v>46533</v>
      </c>
      <c r="E652" s="11">
        <f>IF(OR($B652="",NOT(ISNUMBER($C652))),"",COUNTIFS($A$5:$A$1668,$A652,$C$5:$C$1668,"&lt;"&amp;$C652)+1)</f>
        <v/>
      </c>
      <c r="F652" s="11">
        <f>IF(OR($B652="",NOT(ISNUMBER($C652))),"",COUNTIFS($A$5:$A$1668,$A652,$C$5:$C$1668,"&gt;0"))</f>
        <v/>
      </c>
      <c r="G652" s="11">
        <f>IF(OR($B652="",NOT(ISNUMBER($C652))),"",IF($D652&lt;&gt;"",ROUND(Points!$B$6*IF($F652&lt;Points!$H$4,Points!$H$5,1),0),ROUND(Points!$B$6*IF($F652&lt;=1,1,Points!$H$7+(1-Points!$H$7)*((($F652-$E652)*(($F652-$E652)+1)/2)^2-((($F652-$E652-COUNTIFS($A$5:$A$1668,$A652,$C$5:$C$1668,$C652)+1)-1)*($F652-$E652-COUNTIFS($A$5:$A$1668,$A652,$C$5:$C$1668,$C652)+1)/2)^2)/(COUNTIFS($A$5:$A$1668,$A652,$C$5:$C$1668,$C652)*($F652-1)^3))*IF($F652&lt;Points!$H$4,Points!$H$5,1),0)))</f>
        <v/>
      </c>
      <c r="H652" s="11">
        <f>IF($G652="","",COUNTIFS($B$5:$B$1668,$B652,$G$5:$G$1668,"&gt;"&amp;$G652)+COUNTIFS($B$4:$B651,$B652,$G$4:$G651,$G652)+1)</f>
        <v/>
      </c>
      <c r="I652" s="11">
        <f>IF($G652="","",IF($H652&lt;=Points!$H$6,$G652,0))</f>
        <v/>
      </c>
      <c r="J652" s="11">
        <f>IF($B652="","",IF(COUNTIF(Players!$A$2:$A$500,$B652)=0,"Player is not on the Players tab",IF(NOT(ISNUMBER($C652)),"Enter a gross score",IF(COUNTIFS($A$5:$A$1668,$A652,$B$5:$B$1668,$B652)&gt;1,"Player is listed twice this week",IF(AND($D652&lt;&gt;"",COUNTIFS($A$5:$A$1668,$A652,$D$5:$D$1668,$D652)&gt;1),"Two players picked as "&amp;$D652,IF(COUNTIFS($A$5:$A$1668,$A652,$D$5:$D$1668,"Gross winner")=0,"Pick this week's gross winner",IF(COUNTIFS($A$5:$A$1668,$A652,$D$5:$D$1668,"Net winner")=0,"Pick this week's net winner","OK")))))))</f>
        <v/>
      </c>
    </row>
    <row r="653" outlineLevel="1">
      <c r="A653" s="13" t="n">
        <v>46533</v>
      </c>
      <c r="E653" s="11">
        <f>IF(OR($B653="",NOT(ISNUMBER($C653))),"",COUNTIFS($A$5:$A$1668,$A653,$C$5:$C$1668,"&lt;"&amp;$C653)+1)</f>
        <v/>
      </c>
      <c r="F653" s="11">
        <f>IF(OR($B653="",NOT(ISNUMBER($C653))),"",COUNTIFS($A$5:$A$1668,$A653,$C$5:$C$1668,"&gt;0"))</f>
        <v/>
      </c>
      <c r="G653" s="11">
        <f>IF(OR($B653="",NOT(ISNUMBER($C653))),"",IF($D653&lt;&gt;"",ROUND(Points!$B$6*IF($F653&lt;Points!$H$4,Points!$H$5,1),0),ROUND(Points!$B$6*IF($F653&lt;=1,1,Points!$H$7+(1-Points!$H$7)*((($F653-$E653)*(($F653-$E653)+1)/2)^2-((($F653-$E653-COUNTIFS($A$5:$A$1668,$A653,$C$5:$C$1668,$C653)+1)-1)*($F653-$E653-COUNTIFS($A$5:$A$1668,$A653,$C$5:$C$1668,$C653)+1)/2)^2)/(COUNTIFS($A$5:$A$1668,$A653,$C$5:$C$1668,$C653)*($F653-1)^3))*IF($F653&lt;Points!$H$4,Points!$H$5,1),0)))</f>
        <v/>
      </c>
      <c r="H653" s="11">
        <f>IF($G653="","",COUNTIFS($B$5:$B$1668,$B653,$G$5:$G$1668,"&gt;"&amp;$G653)+COUNTIFS($B$4:$B652,$B653,$G$4:$G652,$G653)+1)</f>
        <v/>
      </c>
      <c r="I653" s="11">
        <f>IF($G653="","",IF($H653&lt;=Points!$H$6,$G653,0))</f>
        <v/>
      </c>
      <c r="J653" s="11">
        <f>IF($B653="","",IF(COUNTIF(Players!$A$2:$A$500,$B653)=0,"Player is not on the Players tab",IF(NOT(ISNUMBER($C653)),"Enter a gross score",IF(COUNTIFS($A$5:$A$1668,$A653,$B$5:$B$1668,$B653)&gt;1,"Player is listed twice this week",IF(AND($D653&lt;&gt;"",COUNTIFS($A$5:$A$1668,$A653,$D$5:$D$1668,$D653)&gt;1),"Two players picked as "&amp;$D653,IF(COUNTIFS($A$5:$A$1668,$A653,$D$5:$D$1668,"Gross winner")=0,"Pick this week's gross winner",IF(COUNTIFS($A$5:$A$1668,$A653,$D$5:$D$1668,"Net winner")=0,"Pick this week's net winner","OK")))))))</f>
        <v/>
      </c>
    </row>
    <row r="654" outlineLevel="1">
      <c r="A654" s="13" t="n">
        <v>46533</v>
      </c>
      <c r="E654" s="11">
        <f>IF(OR($B654="",NOT(ISNUMBER($C654))),"",COUNTIFS($A$5:$A$1668,$A654,$C$5:$C$1668,"&lt;"&amp;$C654)+1)</f>
        <v/>
      </c>
      <c r="F654" s="11">
        <f>IF(OR($B654="",NOT(ISNUMBER($C654))),"",COUNTIFS($A$5:$A$1668,$A654,$C$5:$C$1668,"&gt;0"))</f>
        <v/>
      </c>
      <c r="G654" s="11">
        <f>IF(OR($B654="",NOT(ISNUMBER($C654))),"",IF($D654&lt;&gt;"",ROUND(Points!$B$6*IF($F654&lt;Points!$H$4,Points!$H$5,1),0),ROUND(Points!$B$6*IF($F654&lt;=1,1,Points!$H$7+(1-Points!$H$7)*((($F654-$E654)*(($F654-$E654)+1)/2)^2-((($F654-$E654-COUNTIFS($A$5:$A$1668,$A654,$C$5:$C$1668,$C654)+1)-1)*($F654-$E654-COUNTIFS($A$5:$A$1668,$A654,$C$5:$C$1668,$C654)+1)/2)^2)/(COUNTIFS($A$5:$A$1668,$A654,$C$5:$C$1668,$C654)*($F654-1)^3))*IF($F654&lt;Points!$H$4,Points!$H$5,1),0)))</f>
        <v/>
      </c>
      <c r="H654" s="11">
        <f>IF($G654="","",COUNTIFS($B$5:$B$1668,$B654,$G$5:$G$1668,"&gt;"&amp;$G654)+COUNTIFS($B$4:$B653,$B654,$G$4:$G653,$G654)+1)</f>
        <v/>
      </c>
      <c r="I654" s="11">
        <f>IF($G654="","",IF($H654&lt;=Points!$H$6,$G654,0))</f>
        <v/>
      </c>
      <c r="J654" s="11">
        <f>IF($B654="","",IF(COUNTIF(Players!$A$2:$A$500,$B654)=0,"Player is not on the Players tab",IF(NOT(ISNUMBER($C654)),"Enter a gross score",IF(COUNTIFS($A$5:$A$1668,$A654,$B$5:$B$1668,$B654)&gt;1,"Player is listed twice this week",IF(AND($D654&lt;&gt;"",COUNTIFS($A$5:$A$1668,$A654,$D$5:$D$1668,$D654)&gt;1),"Two players picked as "&amp;$D654,IF(COUNTIFS($A$5:$A$1668,$A654,$D$5:$D$1668,"Gross winner")=0,"Pick this week's gross winner",IF(COUNTIFS($A$5:$A$1668,$A654,$D$5:$D$1668,"Net winner")=0,"Pick this week's net winner","OK")))))))</f>
        <v/>
      </c>
    </row>
    <row r="655" outlineLevel="1">
      <c r="A655" s="13" t="n">
        <v>46533</v>
      </c>
      <c r="E655" s="11">
        <f>IF(OR($B655="",NOT(ISNUMBER($C655))),"",COUNTIFS($A$5:$A$1668,$A655,$C$5:$C$1668,"&lt;"&amp;$C655)+1)</f>
        <v/>
      </c>
      <c r="F655" s="11">
        <f>IF(OR($B655="",NOT(ISNUMBER($C655))),"",COUNTIFS($A$5:$A$1668,$A655,$C$5:$C$1668,"&gt;0"))</f>
        <v/>
      </c>
      <c r="G655" s="11">
        <f>IF(OR($B655="",NOT(ISNUMBER($C655))),"",IF($D655&lt;&gt;"",ROUND(Points!$B$6*IF($F655&lt;Points!$H$4,Points!$H$5,1),0),ROUND(Points!$B$6*IF($F655&lt;=1,1,Points!$H$7+(1-Points!$H$7)*((($F655-$E655)*(($F655-$E655)+1)/2)^2-((($F655-$E655-COUNTIFS($A$5:$A$1668,$A655,$C$5:$C$1668,$C655)+1)-1)*($F655-$E655-COUNTIFS($A$5:$A$1668,$A655,$C$5:$C$1668,$C655)+1)/2)^2)/(COUNTIFS($A$5:$A$1668,$A655,$C$5:$C$1668,$C655)*($F655-1)^3))*IF($F655&lt;Points!$H$4,Points!$H$5,1),0)))</f>
        <v/>
      </c>
      <c r="H655" s="11">
        <f>IF($G655="","",COUNTIFS($B$5:$B$1668,$B655,$G$5:$G$1668,"&gt;"&amp;$G655)+COUNTIFS($B$4:$B654,$B655,$G$4:$G654,$G655)+1)</f>
        <v/>
      </c>
      <c r="I655" s="11">
        <f>IF($G655="","",IF($H655&lt;=Points!$H$6,$G655,0))</f>
        <v/>
      </c>
      <c r="J655" s="11">
        <f>IF($B655="","",IF(COUNTIF(Players!$A$2:$A$500,$B655)=0,"Player is not on the Players tab",IF(NOT(ISNUMBER($C655)),"Enter a gross score",IF(COUNTIFS($A$5:$A$1668,$A655,$B$5:$B$1668,$B655)&gt;1,"Player is listed twice this week",IF(AND($D655&lt;&gt;"",COUNTIFS($A$5:$A$1668,$A655,$D$5:$D$1668,$D655)&gt;1),"Two players picked as "&amp;$D655,IF(COUNTIFS($A$5:$A$1668,$A655,$D$5:$D$1668,"Gross winner")=0,"Pick this week's gross winner",IF(COUNTIFS($A$5:$A$1668,$A655,$D$5:$D$1668,"Net winner")=0,"Pick this week's net winner","OK")))))))</f>
        <v/>
      </c>
    </row>
    <row r="656" outlineLevel="1">
      <c r="A656" s="13" t="n">
        <v>46533</v>
      </c>
      <c r="E656" s="11">
        <f>IF(OR($B656="",NOT(ISNUMBER($C656))),"",COUNTIFS($A$5:$A$1668,$A656,$C$5:$C$1668,"&lt;"&amp;$C656)+1)</f>
        <v/>
      </c>
      <c r="F656" s="11">
        <f>IF(OR($B656="",NOT(ISNUMBER($C656))),"",COUNTIFS($A$5:$A$1668,$A656,$C$5:$C$1668,"&gt;0"))</f>
        <v/>
      </c>
      <c r="G656" s="11">
        <f>IF(OR($B656="",NOT(ISNUMBER($C656))),"",IF($D656&lt;&gt;"",ROUND(Points!$B$6*IF($F656&lt;Points!$H$4,Points!$H$5,1),0),ROUND(Points!$B$6*IF($F656&lt;=1,1,Points!$H$7+(1-Points!$H$7)*((($F656-$E656)*(($F656-$E656)+1)/2)^2-((($F656-$E656-COUNTIFS($A$5:$A$1668,$A656,$C$5:$C$1668,$C656)+1)-1)*($F656-$E656-COUNTIFS($A$5:$A$1668,$A656,$C$5:$C$1668,$C656)+1)/2)^2)/(COUNTIFS($A$5:$A$1668,$A656,$C$5:$C$1668,$C656)*($F656-1)^3))*IF($F656&lt;Points!$H$4,Points!$H$5,1),0)))</f>
        <v/>
      </c>
      <c r="H656" s="11">
        <f>IF($G656="","",COUNTIFS($B$5:$B$1668,$B656,$G$5:$G$1668,"&gt;"&amp;$G656)+COUNTIFS($B$4:$B655,$B656,$G$4:$G655,$G656)+1)</f>
        <v/>
      </c>
      <c r="I656" s="11">
        <f>IF($G656="","",IF($H656&lt;=Points!$H$6,$G656,0))</f>
        <v/>
      </c>
      <c r="J656" s="11">
        <f>IF($B656="","",IF(COUNTIF(Players!$A$2:$A$500,$B656)=0,"Player is not on the Players tab",IF(NOT(ISNUMBER($C656)),"Enter a gross score",IF(COUNTIFS($A$5:$A$1668,$A656,$B$5:$B$1668,$B656)&gt;1,"Player is listed twice this week",IF(AND($D656&lt;&gt;"",COUNTIFS($A$5:$A$1668,$A656,$D$5:$D$1668,$D656)&gt;1),"Two players picked as "&amp;$D656,IF(COUNTIFS($A$5:$A$1668,$A656,$D$5:$D$1668,"Gross winner")=0,"Pick this week's gross winner",IF(COUNTIFS($A$5:$A$1668,$A656,$D$5:$D$1668,"Net winner")=0,"Pick this week's net winner","OK")))))))</f>
        <v/>
      </c>
    </row>
    <row r="657" outlineLevel="1">
      <c r="A657" s="13" t="n">
        <v>46533</v>
      </c>
      <c r="E657" s="11">
        <f>IF(OR($B657="",NOT(ISNUMBER($C657))),"",COUNTIFS($A$5:$A$1668,$A657,$C$5:$C$1668,"&lt;"&amp;$C657)+1)</f>
        <v/>
      </c>
      <c r="F657" s="11">
        <f>IF(OR($B657="",NOT(ISNUMBER($C657))),"",COUNTIFS($A$5:$A$1668,$A657,$C$5:$C$1668,"&gt;0"))</f>
        <v/>
      </c>
      <c r="G657" s="11">
        <f>IF(OR($B657="",NOT(ISNUMBER($C657))),"",IF($D657&lt;&gt;"",ROUND(Points!$B$6*IF($F657&lt;Points!$H$4,Points!$H$5,1),0),ROUND(Points!$B$6*IF($F657&lt;=1,1,Points!$H$7+(1-Points!$H$7)*((($F657-$E657)*(($F657-$E657)+1)/2)^2-((($F657-$E657-COUNTIFS($A$5:$A$1668,$A657,$C$5:$C$1668,$C657)+1)-1)*($F657-$E657-COUNTIFS($A$5:$A$1668,$A657,$C$5:$C$1668,$C657)+1)/2)^2)/(COUNTIFS($A$5:$A$1668,$A657,$C$5:$C$1668,$C657)*($F657-1)^3))*IF($F657&lt;Points!$H$4,Points!$H$5,1),0)))</f>
        <v/>
      </c>
      <c r="H657" s="11">
        <f>IF($G657="","",COUNTIFS($B$5:$B$1668,$B657,$G$5:$G$1668,"&gt;"&amp;$G657)+COUNTIFS($B$4:$B656,$B657,$G$4:$G656,$G657)+1)</f>
        <v/>
      </c>
      <c r="I657" s="11">
        <f>IF($G657="","",IF($H657&lt;=Points!$H$6,$G657,0))</f>
        <v/>
      </c>
      <c r="J657" s="11">
        <f>IF($B657="","",IF(COUNTIF(Players!$A$2:$A$500,$B657)=0,"Player is not on the Players tab",IF(NOT(ISNUMBER($C657)),"Enter a gross score",IF(COUNTIFS($A$5:$A$1668,$A657,$B$5:$B$1668,$B657)&gt;1,"Player is listed twice this week",IF(AND($D657&lt;&gt;"",COUNTIFS($A$5:$A$1668,$A657,$D$5:$D$1668,$D657)&gt;1),"Two players picked as "&amp;$D657,IF(COUNTIFS($A$5:$A$1668,$A657,$D$5:$D$1668,"Gross winner")=0,"Pick this week's gross winner",IF(COUNTIFS($A$5:$A$1668,$A657,$D$5:$D$1668,"Net winner")=0,"Pick this week's net winner","OK")))))))</f>
        <v/>
      </c>
    </row>
    <row r="658" outlineLevel="1">
      <c r="A658" s="13" t="n">
        <v>46533</v>
      </c>
      <c r="E658" s="11">
        <f>IF(OR($B658="",NOT(ISNUMBER($C658))),"",COUNTIFS($A$5:$A$1668,$A658,$C$5:$C$1668,"&lt;"&amp;$C658)+1)</f>
        <v/>
      </c>
      <c r="F658" s="11">
        <f>IF(OR($B658="",NOT(ISNUMBER($C658))),"",COUNTIFS($A$5:$A$1668,$A658,$C$5:$C$1668,"&gt;0"))</f>
        <v/>
      </c>
      <c r="G658" s="11">
        <f>IF(OR($B658="",NOT(ISNUMBER($C658))),"",IF($D658&lt;&gt;"",ROUND(Points!$B$6*IF($F658&lt;Points!$H$4,Points!$H$5,1),0),ROUND(Points!$B$6*IF($F658&lt;=1,1,Points!$H$7+(1-Points!$H$7)*((($F658-$E658)*(($F658-$E658)+1)/2)^2-((($F658-$E658-COUNTIFS($A$5:$A$1668,$A658,$C$5:$C$1668,$C658)+1)-1)*($F658-$E658-COUNTIFS($A$5:$A$1668,$A658,$C$5:$C$1668,$C658)+1)/2)^2)/(COUNTIFS($A$5:$A$1668,$A658,$C$5:$C$1668,$C658)*($F658-1)^3))*IF($F658&lt;Points!$H$4,Points!$H$5,1),0)))</f>
        <v/>
      </c>
      <c r="H658" s="11">
        <f>IF($G658="","",COUNTIFS($B$5:$B$1668,$B658,$G$5:$G$1668,"&gt;"&amp;$G658)+COUNTIFS($B$4:$B657,$B658,$G$4:$G657,$G658)+1)</f>
        <v/>
      </c>
      <c r="I658" s="11">
        <f>IF($G658="","",IF($H658&lt;=Points!$H$6,$G658,0))</f>
        <v/>
      </c>
      <c r="J658" s="11">
        <f>IF($B658="","",IF(COUNTIF(Players!$A$2:$A$500,$B658)=0,"Player is not on the Players tab",IF(NOT(ISNUMBER($C658)),"Enter a gross score",IF(COUNTIFS($A$5:$A$1668,$A658,$B$5:$B$1668,$B658)&gt;1,"Player is listed twice this week",IF(AND($D658&lt;&gt;"",COUNTIFS($A$5:$A$1668,$A658,$D$5:$D$1668,$D658)&gt;1),"Two players picked as "&amp;$D658,IF(COUNTIFS($A$5:$A$1668,$A658,$D$5:$D$1668,"Gross winner")=0,"Pick this week's gross winner",IF(COUNTIFS($A$5:$A$1668,$A658,$D$5:$D$1668,"Net winner")=0,"Pick this week's net winner","OK")))))))</f>
        <v/>
      </c>
    </row>
    <row r="659" outlineLevel="1">
      <c r="A659" s="13" t="n">
        <v>46533</v>
      </c>
      <c r="E659" s="11">
        <f>IF(OR($B659="",NOT(ISNUMBER($C659))),"",COUNTIFS($A$5:$A$1668,$A659,$C$5:$C$1668,"&lt;"&amp;$C659)+1)</f>
        <v/>
      </c>
      <c r="F659" s="11">
        <f>IF(OR($B659="",NOT(ISNUMBER($C659))),"",COUNTIFS($A$5:$A$1668,$A659,$C$5:$C$1668,"&gt;0"))</f>
        <v/>
      </c>
      <c r="G659" s="11">
        <f>IF(OR($B659="",NOT(ISNUMBER($C659))),"",IF($D659&lt;&gt;"",ROUND(Points!$B$6*IF($F659&lt;Points!$H$4,Points!$H$5,1),0),ROUND(Points!$B$6*IF($F659&lt;=1,1,Points!$H$7+(1-Points!$H$7)*((($F659-$E659)*(($F659-$E659)+1)/2)^2-((($F659-$E659-COUNTIFS($A$5:$A$1668,$A659,$C$5:$C$1668,$C659)+1)-1)*($F659-$E659-COUNTIFS($A$5:$A$1668,$A659,$C$5:$C$1668,$C659)+1)/2)^2)/(COUNTIFS($A$5:$A$1668,$A659,$C$5:$C$1668,$C659)*($F659-1)^3))*IF($F659&lt;Points!$H$4,Points!$H$5,1),0)))</f>
        <v/>
      </c>
      <c r="H659" s="11">
        <f>IF($G659="","",COUNTIFS($B$5:$B$1668,$B659,$G$5:$G$1668,"&gt;"&amp;$G659)+COUNTIFS($B$4:$B658,$B659,$G$4:$G658,$G659)+1)</f>
        <v/>
      </c>
      <c r="I659" s="11">
        <f>IF($G659="","",IF($H659&lt;=Points!$H$6,$G659,0))</f>
        <v/>
      </c>
      <c r="J659" s="11">
        <f>IF($B659="","",IF(COUNTIF(Players!$A$2:$A$500,$B659)=0,"Player is not on the Players tab",IF(NOT(ISNUMBER($C659)),"Enter a gross score",IF(COUNTIFS($A$5:$A$1668,$A659,$B$5:$B$1668,$B659)&gt;1,"Player is listed twice this week",IF(AND($D659&lt;&gt;"",COUNTIFS($A$5:$A$1668,$A659,$D$5:$D$1668,$D659)&gt;1),"Two players picked as "&amp;$D659,IF(COUNTIFS($A$5:$A$1668,$A659,$D$5:$D$1668,"Gross winner")=0,"Pick this week's gross winner",IF(COUNTIFS($A$5:$A$1668,$A659,$D$5:$D$1668,"Net winner")=0,"Pick this week's net winner","OK")))))))</f>
        <v/>
      </c>
    </row>
    <row r="660" outlineLevel="1">
      <c r="A660" s="13" t="n">
        <v>46533</v>
      </c>
      <c r="E660" s="11">
        <f>IF(OR($B660="",NOT(ISNUMBER($C660))),"",COUNTIFS($A$5:$A$1668,$A660,$C$5:$C$1668,"&lt;"&amp;$C660)+1)</f>
        <v/>
      </c>
      <c r="F660" s="11">
        <f>IF(OR($B660="",NOT(ISNUMBER($C660))),"",COUNTIFS($A$5:$A$1668,$A660,$C$5:$C$1668,"&gt;0"))</f>
        <v/>
      </c>
      <c r="G660" s="11">
        <f>IF(OR($B660="",NOT(ISNUMBER($C660))),"",IF($D660&lt;&gt;"",ROUND(Points!$B$6*IF($F660&lt;Points!$H$4,Points!$H$5,1),0),ROUND(Points!$B$6*IF($F660&lt;=1,1,Points!$H$7+(1-Points!$H$7)*((($F660-$E660)*(($F660-$E660)+1)/2)^2-((($F660-$E660-COUNTIFS($A$5:$A$1668,$A660,$C$5:$C$1668,$C660)+1)-1)*($F660-$E660-COUNTIFS($A$5:$A$1668,$A660,$C$5:$C$1668,$C660)+1)/2)^2)/(COUNTIFS($A$5:$A$1668,$A660,$C$5:$C$1668,$C660)*($F660-1)^3))*IF($F660&lt;Points!$H$4,Points!$H$5,1),0)))</f>
        <v/>
      </c>
      <c r="H660" s="11">
        <f>IF($G660="","",COUNTIFS($B$5:$B$1668,$B660,$G$5:$G$1668,"&gt;"&amp;$G660)+COUNTIFS($B$4:$B659,$B660,$G$4:$G659,$G660)+1)</f>
        <v/>
      </c>
      <c r="I660" s="11">
        <f>IF($G660="","",IF($H660&lt;=Points!$H$6,$G660,0))</f>
        <v/>
      </c>
      <c r="J660" s="11">
        <f>IF($B660="","",IF(COUNTIF(Players!$A$2:$A$500,$B660)=0,"Player is not on the Players tab",IF(NOT(ISNUMBER($C660)),"Enter a gross score",IF(COUNTIFS($A$5:$A$1668,$A660,$B$5:$B$1668,$B660)&gt;1,"Player is listed twice this week",IF(AND($D660&lt;&gt;"",COUNTIFS($A$5:$A$1668,$A660,$D$5:$D$1668,$D660)&gt;1),"Two players picked as "&amp;$D660,IF(COUNTIFS($A$5:$A$1668,$A660,$D$5:$D$1668,"Gross winner")=0,"Pick this week's gross winner",IF(COUNTIFS($A$5:$A$1668,$A660,$D$5:$D$1668,"Net winner")=0,"Pick this week's net winner","OK")))))))</f>
        <v/>
      </c>
    </row>
    <row r="661" outlineLevel="1">
      <c r="A661" s="13" t="n">
        <v>46533</v>
      </c>
      <c r="E661" s="11">
        <f>IF(OR($B661="",NOT(ISNUMBER($C661))),"",COUNTIFS($A$5:$A$1668,$A661,$C$5:$C$1668,"&lt;"&amp;$C661)+1)</f>
        <v/>
      </c>
      <c r="F661" s="11">
        <f>IF(OR($B661="",NOT(ISNUMBER($C661))),"",COUNTIFS($A$5:$A$1668,$A661,$C$5:$C$1668,"&gt;0"))</f>
        <v/>
      </c>
      <c r="G661" s="11">
        <f>IF(OR($B661="",NOT(ISNUMBER($C661))),"",IF($D661&lt;&gt;"",ROUND(Points!$B$6*IF($F661&lt;Points!$H$4,Points!$H$5,1),0),ROUND(Points!$B$6*IF($F661&lt;=1,1,Points!$H$7+(1-Points!$H$7)*((($F661-$E661)*(($F661-$E661)+1)/2)^2-((($F661-$E661-COUNTIFS($A$5:$A$1668,$A661,$C$5:$C$1668,$C661)+1)-1)*($F661-$E661-COUNTIFS($A$5:$A$1668,$A661,$C$5:$C$1668,$C661)+1)/2)^2)/(COUNTIFS($A$5:$A$1668,$A661,$C$5:$C$1668,$C661)*($F661-1)^3))*IF($F661&lt;Points!$H$4,Points!$H$5,1),0)))</f>
        <v/>
      </c>
      <c r="H661" s="11">
        <f>IF($G661="","",COUNTIFS($B$5:$B$1668,$B661,$G$5:$G$1668,"&gt;"&amp;$G661)+COUNTIFS($B$4:$B660,$B661,$G$4:$G660,$G661)+1)</f>
        <v/>
      </c>
      <c r="I661" s="11">
        <f>IF($G661="","",IF($H661&lt;=Points!$H$6,$G661,0))</f>
        <v/>
      </c>
      <c r="J661" s="11">
        <f>IF($B661="","",IF(COUNTIF(Players!$A$2:$A$500,$B661)=0,"Player is not on the Players tab",IF(NOT(ISNUMBER($C661)),"Enter a gross score",IF(COUNTIFS($A$5:$A$1668,$A661,$B$5:$B$1668,$B661)&gt;1,"Player is listed twice this week",IF(AND($D661&lt;&gt;"",COUNTIFS($A$5:$A$1668,$A661,$D$5:$D$1668,$D661)&gt;1),"Two players picked as "&amp;$D661,IF(COUNTIFS($A$5:$A$1668,$A661,$D$5:$D$1668,"Gross winner")=0,"Pick this week's gross winner",IF(COUNTIFS($A$5:$A$1668,$A661,$D$5:$D$1668,"Net winner")=0,"Pick this week's net winner","OK")))))))</f>
        <v/>
      </c>
    </row>
    <row r="662" outlineLevel="1">
      <c r="A662" s="13" t="n">
        <v>46533</v>
      </c>
      <c r="E662" s="11">
        <f>IF(OR($B662="",NOT(ISNUMBER($C662))),"",COUNTIFS($A$5:$A$1668,$A662,$C$5:$C$1668,"&lt;"&amp;$C662)+1)</f>
        <v/>
      </c>
      <c r="F662" s="11">
        <f>IF(OR($B662="",NOT(ISNUMBER($C662))),"",COUNTIFS($A$5:$A$1668,$A662,$C$5:$C$1668,"&gt;0"))</f>
        <v/>
      </c>
      <c r="G662" s="11">
        <f>IF(OR($B662="",NOT(ISNUMBER($C662))),"",IF($D662&lt;&gt;"",ROUND(Points!$B$6*IF($F662&lt;Points!$H$4,Points!$H$5,1),0),ROUND(Points!$B$6*IF($F662&lt;=1,1,Points!$H$7+(1-Points!$H$7)*((($F662-$E662)*(($F662-$E662)+1)/2)^2-((($F662-$E662-COUNTIFS($A$5:$A$1668,$A662,$C$5:$C$1668,$C662)+1)-1)*($F662-$E662-COUNTIFS($A$5:$A$1668,$A662,$C$5:$C$1668,$C662)+1)/2)^2)/(COUNTIFS($A$5:$A$1668,$A662,$C$5:$C$1668,$C662)*($F662-1)^3))*IF($F662&lt;Points!$H$4,Points!$H$5,1),0)))</f>
        <v/>
      </c>
      <c r="H662" s="11">
        <f>IF($G662="","",COUNTIFS($B$5:$B$1668,$B662,$G$5:$G$1668,"&gt;"&amp;$G662)+COUNTIFS($B$4:$B661,$B662,$G$4:$G661,$G662)+1)</f>
        <v/>
      </c>
      <c r="I662" s="11">
        <f>IF($G662="","",IF($H662&lt;=Points!$H$6,$G662,0))</f>
        <v/>
      </c>
      <c r="J662" s="11">
        <f>IF($B662="","",IF(COUNTIF(Players!$A$2:$A$500,$B662)=0,"Player is not on the Players tab",IF(NOT(ISNUMBER($C662)),"Enter a gross score",IF(COUNTIFS($A$5:$A$1668,$A662,$B$5:$B$1668,$B662)&gt;1,"Player is listed twice this week",IF(AND($D662&lt;&gt;"",COUNTIFS($A$5:$A$1668,$A662,$D$5:$D$1668,$D662)&gt;1),"Two players picked as "&amp;$D662,IF(COUNTIFS($A$5:$A$1668,$A662,$D$5:$D$1668,"Gross winner")=0,"Pick this week's gross winner",IF(COUNTIFS($A$5:$A$1668,$A662,$D$5:$D$1668,"Net winner")=0,"Pick this week's net winner","OK")))))))</f>
        <v/>
      </c>
    </row>
    <row r="663" outlineLevel="1">
      <c r="A663" s="13" t="n">
        <v>46533</v>
      </c>
      <c r="E663" s="11">
        <f>IF(OR($B663="",NOT(ISNUMBER($C663))),"",COUNTIFS($A$5:$A$1668,$A663,$C$5:$C$1668,"&lt;"&amp;$C663)+1)</f>
        <v/>
      </c>
      <c r="F663" s="11">
        <f>IF(OR($B663="",NOT(ISNUMBER($C663))),"",COUNTIFS($A$5:$A$1668,$A663,$C$5:$C$1668,"&gt;0"))</f>
        <v/>
      </c>
      <c r="G663" s="11">
        <f>IF(OR($B663="",NOT(ISNUMBER($C663))),"",IF($D663&lt;&gt;"",ROUND(Points!$B$6*IF($F663&lt;Points!$H$4,Points!$H$5,1),0),ROUND(Points!$B$6*IF($F663&lt;=1,1,Points!$H$7+(1-Points!$H$7)*((($F663-$E663)*(($F663-$E663)+1)/2)^2-((($F663-$E663-COUNTIFS($A$5:$A$1668,$A663,$C$5:$C$1668,$C663)+1)-1)*($F663-$E663-COUNTIFS($A$5:$A$1668,$A663,$C$5:$C$1668,$C663)+1)/2)^2)/(COUNTIFS($A$5:$A$1668,$A663,$C$5:$C$1668,$C663)*($F663-1)^3))*IF($F663&lt;Points!$H$4,Points!$H$5,1),0)))</f>
        <v/>
      </c>
      <c r="H663" s="11">
        <f>IF($G663="","",COUNTIFS($B$5:$B$1668,$B663,$G$5:$G$1668,"&gt;"&amp;$G663)+COUNTIFS($B$4:$B662,$B663,$G$4:$G662,$G663)+1)</f>
        <v/>
      </c>
      <c r="I663" s="11">
        <f>IF($G663="","",IF($H663&lt;=Points!$H$6,$G663,0))</f>
        <v/>
      </c>
      <c r="J663" s="11">
        <f>IF($B663="","",IF(COUNTIF(Players!$A$2:$A$500,$B663)=0,"Player is not on the Players tab",IF(NOT(ISNUMBER($C663)),"Enter a gross score",IF(COUNTIFS($A$5:$A$1668,$A663,$B$5:$B$1668,$B663)&gt;1,"Player is listed twice this week",IF(AND($D663&lt;&gt;"",COUNTIFS($A$5:$A$1668,$A663,$D$5:$D$1668,$D663)&gt;1),"Two players picked as "&amp;$D663,IF(COUNTIFS($A$5:$A$1668,$A663,$D$5:$D$1668,"Gross winner")=0,"Pick this week's gross winner",IF(COUNTIFS($A$5:$A$1668,$A663,$D$5:$D$1668,"Net winner")=0,"Pick this week's net winner","OK")))))))</f>
        <v/>
      </c>
    </row>
    <row r="664" outlineLevel="1">
      <c r="A664" s="13" t="n">
        <v>46533</v>
      </c>
      <c r="E664" s="11">
        <f>IF(OR($B664="",NOT(ISNUMBER($C664))),"",COUNTIFS($A$5:$A$1668,$A664,$C$5:$C$1668,"&lt;"&amp;$C664)+1)</f>
        <v/>
      </c>
      <c r="F664" s="11">
        <f>IF(OR($B664="",NOT(ISNUMBER($C664))),"",COUNTIFS($A$5:$A$1668,$A664,$C$5:$C$1668,"&gt;0"))</f>
        <v/>
      </c>
      <c r="G664" s="11">
        <f>IF(OR($B664="",NOT(ISNUMBER($C664))),"",IF($D664&lt;&gt;"",ROUND(Points!$B$6*IF($F664&lt;Points!$H$4,Points!$H$5,1),0),ROUND(Points!$B$6*IF($F664&lt;=1,1,Points!$H$7+(1-Points!$H$7)*((($F664-$E664)*(($F664-$E664)+1)/2)^2-((($F664-$E664-COUNTIFS($A$5:$A$1668,$A664,$C$5:$C$1668,$C664)+1)-1)*($F664-$E664-COUNTIFS($A$5:$A$1668,$A664,$C$5:$C$1668,$C664)+1)/2)^2)/(COUNTIFS($A$5:$A$1668,$A664,$C$5:$C$1668,$C664)*($F664-1)^3))*IF($F664&lt;Points!$H$4,Points!$H$5,1),0)))</f>
        <v/>
      </c>
      <c r="H664" s="11">
        <f>IF($G664="","",COUNTIFS($B$5:$B$1668,$B664,$G$5:$G$1668,"&gt;"&amp;$G664)+COUNTIFS($B$4:$B663,$B664,$G$4:$G663,$G664)+1)</f>
        <v/>
      </c>
      <c r="I664" s="11">
        <f>IF($G664="","",IF($H664&lt;=Points!$H$6,$G664,0))</f>
        <v/>
      </c>
      <c r="J664" s="11">
        <f>IF($B664="","",IF(COUNTIF(Players!$A$2:$A$500,$B664)=0,"Player is not on the Players tab",IF(NOT(ISNUMBER($C664)),"Enter a gross score",IF(COUNTIFS($A$5:$A$1668,$A664,$B$5:$B$1668,$B664)&gt;1,"Player is listed twice this week",IF(AND($D664&lt;&gt;"",COUNTIFS($A$5:$A$1668,$A664,$D$5:$D$1668,$D664)&gt;1),"Two players picked as "&amp;$D664,IF(COUNTIFS($A$5:$A$1668,$A664,$D$5:$D$1668,"Gross winner")=0,"Pick this week's gross winner",IF(COUNTIFS($A$5:$A$1668,$A664,$D$5:$D$1668,"Net winner")=0,"Pick this week's net winner","OK")))))))</f>
        <v/>
      </c>
    </row>
    <row r="665" outlineLevel="1">
      <c r="A665" s="13" t="n">
        <v>46533</v>
      </c>
      <c r="E665" s="11">
        <f>IF(OR($B665="",NOT(ISNUMBER($C665))),"",COUNTIFS($A$5:$A$1668,$A665,$C$5:$C$1668,"&lt;"&amp;$C665)+1)</f>
        <v/>
      </c>
      <c r="F665" s="11">
        <f>IF(OR($B665="",NOT(ISNUMBER($C665))),"",COUNTIFS($A$5:$A$1668,$A665,$C$5:$C$1668,"&gt;0"))</f>
        <v/>
      </c>
      <c r="G665" s="11">
        <f>IF(OR($B665="",NOT(ISNUMBER($C665))),"",IF($D665&lt;&gt;"",ROUND(Points!$B$6*IF($F665&lt;Points!$H$4,Points!$H$5,1),0),ROUND(Points!$B$6*IF($F665&lt;=1,1,Points!$H$7+(1-Points!$H$7)*((($F665-$E665)*(($F665-$E665)+1)/2)^2-((($F665-$E665-COUNTIFS($A$5:$A$1668,$A665,$C$5:$C$1668,$C665)+1)-1)*($F665-$E665-COUNTIFS($A$5:$A$1668,$A665,$C$5:$C$1668,$C665)+1)/2)^2)/(COUNTIFS($A$5:$A$1668,$A665,$C$5:$C$1668,$C665)*($F665-1)^3))*IF($F665&lt;Points!$H$4,Points!$H$5,1),0)))</f>
        <v/>
      </c>
      <c r="H665" s="11">
        <f>IF($G665="","",COUNTIFS($B$5:$B$1668,$B665,$G$5:$G$1668,"&gt;"&amp;$G665)+COUNTIFS($B$4:$B664,$B665,$G$4:$G664,$G665)+1)</f>
        <v/>
      </c>
      <c r="I665" s="11">
        <f>IF($G665="","",IF($H665&lt;=Points!$H$6,$G665,0))</f>
        <v/>
      </c>
      <c r="J665" s="11">
        <f>IF($B665="","",IF(COUNTIF(Players!$A$2:$A$500,$B665)=0,"Player is not on the Players tab",IF(NOT(ISNUMBER($C665)),"Enter a gross score",IF(COUNTIFS($A$5:$A$1668,$A665,$B$5:$B$1668,$B665)&gt;1,"Player is listed twice this week",IF(AND($D665&lt;&gt;"",COUNTIFS($A$5:$A$1668,$A665,$D$5:$D$1668,$D665)&gt;1),"Two players picked as "&amp;$D665,IF(COUNTIFS($A$5:$A$1668,$A665,$D$5:$D$1668,"Gross winner")=0,"Pick this week's gross winner",IF(COUNTIFS($A$5:$A$1668,$A665,$D$5:$D$1668,"Net winner")=0,"Pick this week's net winner","OK")))))))</f>
        <v/>
      </c>
    </row>
    <row r="666" outlineLevel="1">
      <c r="A666" s="13" t="n">
        <v>46533</v>
      </c>
      <c r="E666" s="11">
        <f>IF(OR($B666="",NOT(ISNUMBER($C666))),"",COUNTIFS($A$5:$A$1668,$A666,$C$5:$C$1668,"&lt;"&amp;$C666)+1)</f>
        <v/>
      </c>
      <c r="F666" s="11">
        <f>IF(OR($B666="",NOT(ISNUMBER($C666))),"",COUNTIFS($A$5:$A$1668,$A666,$C$5:$C$1668,"&gt;0"))</f>
        <v/>
      </c>
      <c r="G666" s="11">
        <f>IF(OR($B666="",NOT(ISNUMBER($C666))),"",IF($D666&lt;&gt;"",ROUND(Points!$B$6*IF($F666&lt;Points!$H$4,Points!$H$5,1),0),ROUND(Points!$B$6*IF($F666&lt;=1,1,Points!$H$7+(1-Points!$H$7)*((($F666-$E666)*(($F666-$E666)+1)/2)^2-((($F666-$E666-COUNTIFS($A$5:$A$1668,$A666,$C$5:$C$1668,$C666)+1)-1)*($F666-$E666-COUNTIFS($A$5:$A$1668,$A666,$C$5:$C$1668,$C666)+1)/2)^2)/(COUNTIFS($A$5:$A$1668,$A666,$C$5:$C$1668,$C666)*($F666-1)^3))*IF($F666&lt;Points!$H$4,Points!$H$5,1),0)))</f>
        <v/>
      </c>
      <c r="H666" s="11">
        <f>IF($G666="","",COUNTIFS($B$5:$B$1668,$B666,$G$5:$G$1668,"&gt;"&amp;$G666)+COUNTIFS($B$4:$B665,$B666,$G$4:$G665,$G666)+1)</f>
        <v/>
      </c>
      <c r="I666" s="11">
        <f>IF($G666="","",IF($H666&lt;=Points!$H$6,$G666,0))</f>
        <v/>
      </c>
      <c r="J666" s="11">
        <f>IF($B666="","",IF(COUNTIF(Players!$A$2:$A$500,$B666)=0,"Player is not on the Players tab",IF(NOT(ISNUMBER($C666)),"Enter a gross score",IF(COUNTIFS($A$5:$A$1668,$A666,$B$5:$B$1668,$B666)&gt;1,"Player is listed twice this week",IF(AND($D666&lt;&gt;"",COUNTIFS($A$5:$A$1668,$A666,$D$5:$D$1668,$D666)&gt;1),"Two players picked as "&amp;$D666,IF(COUNTIFS($A$5:$A$1668,$A666,$D$5:$D$1668,"Gross winner")=0,"Pick this week's gross winner",IF(COUNTIFS($A$5:$A$1668,$A666,$D$5:$D$1668,"Net winner")=0,"Pick this week's net winner","OK")))))))</f>
        <v/>
      </c>
    </row>
    <row r="667" outlineLevel="1">
      <c r="A667" s="13" t="n">
        <v>46533</v>
      </c>
      <c r="E667" s="11">
        <f>IF(OR($B667="",NOT(ISNUMBER($C667))),"",COUNTIFS($A$5:$A$1668,$A667,$C$5:$C$1668,"&lt;"&amp;$C667)+1)</f>
        <v/>
      </c>
      <c r="F667" s="11">
        <f>IF(OR($B667="",NOT(ISNUMBER($C667))),"",COUNTIFS($A$5:$A$1668,$A667,$C$5:$C$1668,"&gt;0"))</f>
        <v/>
      </c>
      <c r="G667" s="11">
        <f>IF(OR($B667="",NOT(ISNUMBER($C667))),"",IF($D667&lt;&gt;"",ROUND(Points!$B$6*IF($F667&lt;Points!$H$4,Points!$H$5,1),0),ROUND(Points!$B$6*IF($F667&lt;=1,1,Points!$H$7+(1-Points!$H$7)*((($F667-$E667)*(($F667-$E667)+1)/2)^2-((($F667-$E667-COUNTIFS($A$5:$A$1668,$A667,$C$5:$C$1668,$C667)+1)-1)*($F667-$E667-COUNTIFS($A$5:$A$1668,$A667,$C$5:$C$1668,$C667)+1)/2)^2)/(COUNTIFS($A$5:$A$1668,$A667,$C$5:$C$1668,$C667)*($F667-1)^3))*IF($F667&lt;Points!$H$4,Points!$H$5,1),0)))</f>
        <v/>
      </c>
      <c r="H667" s="11">
        <f>IF($G667="","",COUNTIFS($B$5:$B$1668,$B667,$G$5:$G$1668,"&gt;"&amp;$G667)+COUNTIFS($B$4:$B666,$B667,$G$4:$G666,$G667)+1)</f>
        <v/>
      </c>
      <c r="I667" s="11">
        <f>IF($G667="","",IF($H667&lt;=Points!$H$6,$G667,0))</f>
        <v/>
      </c>
      <c r="J667" s="11">
        <f>IF($B667="","",IF(COUNTIF(Players!$A$2:$A$500,$B667)=0,"Player is not on the Players tab",IF(NOT(ISNUMBER($C667)),"Enter a gross score",IF(COUNTIFS($A$5:$A$1668,$A667,$B$5:$B$1668,$B667)&gt;1,"Player is listed twice this week",IF(AND($D667&lt;&gt;"",COUNTIFS($A$5:$A$1668,$A667,$D$5:$D$1668,$D667)&gt;1),"Two players picked as "&amp;$D667,IF(COUNTIFS($A$5:$A$1668,$A667,$D$5:$D$1668,"Gross winner")=0,"Pick this week's gross winner",IF(COUNTIFS($A$5:$A$1668,$A667,$D$5:$D$1668,"Net winner")=0,"Pick this week's net winner","OK")))))))</f>
        <v/>
      </c>
    </row>
    <row r="668" outlineLevel="1">
      <c r="A668" s="13" t="n">
        <v>46533</v>
      </c>
      <c r="E668" s="11">
        <f>IF(OR($B668="",NOT(ISNUMBER($C668))),"",COUNTIFS($A$5:$A$1668,$A668,$C$5:$C$1668,"&lt;"&amp;$C668)+1)</f>
        <v/>
      </c>
      <c r="F668" s="11">
        <f>IF(OR($B668="",NOT(ISNUMBER($C668))),"",COUNTIFS($A$5:$A$1668,$A668,$C$5:$C$1668,"&gt;0"))</f>
        <v/>
      </c>
      <c r="G668" s="11">
        <f>IF(OR($B668="",NOT(ISNUMBER($C668))),"",IF($D668&lt;&gt;"",ROUND(Points!$B$6*IF($F668&lt;Points!$H$4,Points!$H$5,1),0),ROUND(Points!$B$6*IF($F668&lt;=1,1,Points!$H$7+(1-Points!$H$7)*((($F668-$E668)*(($F668-$E668)+1)/2)^2-((($F668-$E668-COUNTIFS($A$5:$A$1668,$A668,$C$5:$C$1668,$C668)+1)-1)*($F668-$E668-COUNTIFS($A$5:$A$1668,$A668,$C$5:$C$1668,$C668)+1)/2)^2)/(COUNTIFS($A$5:$A$1668,$A668,$C$5:$C$1668,$C668)*($F668-1)^3))*IF($F668&lt;Points!$H$4,Points!$H$5,1),0)))</f>
        <v/>
      </c>
      <c r="H668" s="11">
        <f>IF($G668="","",COUNTIFS($B$5:$B$1668,$B668,$G$5:$G$1668,"&gt;"&amp;$G668)+COUNTIFS($B$4:$B667,$B668,$G$4:$G667,$G668)+1)</f>
        <v/>
      </c>
      <c r="I668" s="11">
        <f>IF($G668="","",IF($H668&lt;=Points!$H$6,$G668,0))</f>
        <v/>
      </c>
      <c r="J668" s="11">
        <f>IF($B668="","",IF(COUNTIF(Players!$A$2:$A$500,$B668)=0,"Player is not on the Players tab",IF(NOT(ISNUMBER($C668)),"Enter a gross score",IF(COUNTIFS($A$5:$A$1668,$A668,$B$5:$B$1668,$B668)&gt;1,"Player is listed twice this week",IF(AND($D668&lt;&gt;"",COUNTIFS($A$5:$A$1668,$A668,$D$5:$D$1668,$D668)&gt;1),"Two players picked as "&amp;$D668,IF(COUNTIFS($A$5:$A$1668,$A668,$D$5:$D$1668,"Gross winner")=0,"Pick this week's gross winner",IF(COUNTIFS($A$5:$A$1668,$A668,$D$5:$D$1668,"Net winner")=0,"Pick this week's net winner","OK")))))))</f>
        <v/>
      </c>
    </row>
    <row r="669" outlineLevel="1">
      <c r="A669" s="13" t="n">
        <v>46533</v>
      </c>
      <c r="E669" s="11">
        <f>IF(OR($B669="",NOT(ISNUMBER($C669))),"",COUNTIFS($A$5:$A$1668,$A669,$C$5:$C$1668,"&lt;"&amp;$C669)+1)</f>
        <v/>
      </c>
      <c r="F669" s="11">
        <f>IF(OR($B669="",NOT(ISNUMBER($C669))),"",COUNTIFS($A$5:$A$1668,$A669,$C$5:$C$1668,"&gt;0"))</f>
        <v/>
      </c>
      <c r="G669" s="11">
        <f>IF(OR($B669="",NOT(ISNUMBER($C669))),"",IF($D669&lt;&gt;"",ROUND(Points!$B$6*IF($F669&lt;Points!$H$4,Points!$H$5,1),0),ROUND(Points!$B$6*IF($F669&lt;=1,1,Points!$H$7+(1-Points!$H$7)*((($F669-$E669)*(($F669-$E669)+1)/2)^2-((($F669-$E669-COUNTIFS($A$5:$A$1668,$A669,$C$5:$C$1668,$C669)+1)-1)*($F669-$E669-COUNTIFS($A$5:$A$1668,$A669,$C$5:$C$1668,$C669)+1)/2)^2)/(COUNTIFS($A$5:$A$1668,$A669,$C$5:$C$1668,$C669)*($F669-1)^3))*IF($F669&lt;Points!$H$4,Points!$H$5,1),0)))</f>
        <v/>
      </c>
      <c r="H669" s="11">
        <f>IF($G669="","",COUNTIFS($B$5:$B$1668,$B669,$G$5:$G$1668,"&gt;"&amp;$G669)+COUNTIFS($B$4:$B668,$B669,$G$4:$G668,$G669)+1)</f>
        <v/>
      </c>
      <c r="I669" s="11">
        <f>IF($G669="","",IF($H669&lt;=Points!$H$6,$G669,0))</f>
        <v/>
      </c>
      <c r="J669" s="11">
        <f>IF($B669="","",IF(COUNTIF(Players!$A$2:$A$500,$B669)=0,"Player is not on the Players tab",IF(NOT(ISNUMBER($C669)),"Enter a gross score",IF(COUNTIFS($A$5:$A$1668,$A669,$B$5:$B$1668,$B669)&gt;1,"Player is listed twice this week",IF(AND($D669&lt;&gt;"",COUNTIFS($A$5:$A$1668,$A669,$D$5:$D$1668,$D669)&gt;1),"Two players picked as "&amp;$D669,IF(COUNTIFS($A$5:$A$1668,$A669,$D$5:$D$1668,"Gross winner")=0,"Pick this week's gross winner",IF(COUNTIFS($A$5:$A$1668,$A669,$D$5:$D$1668,"Net winner")=0,"Pick this week's net winner","OK")))))))</f>
        <v/>
      </c>
    </row>
    <row r="670" outlineLevel="1">
      <c r="A670" s="13" t="n">
        <v>46533</v>
      </c>
      <c r="E670" s="11">
        <f>IF(OR($B670="",NOT(ISNUMBER($C670))),"",COUNTIFS($A$5:$A$1668,$A670,$C$5:$C$1668,"&lt;"&amp;$C670)+1)</f>
        <v/>
      </c>
      <c r="F670" s="11">
        <f>IF(OR($B670="",NOT(ISNUMBER($C670))),"",COUNTIFS($A$5:$A$1668,$A670,$C$5:$C$1668,"&gt;0"))</f>
        <v/>
      </c>
      <c r="G670" s="11">
        <f>IF(OR($B670="",NOT(ISNUMBER($C670))),"",IF($D670&lt;&gt;"",ROUND(Points!$B$6*IF($F670&lt;Points!$H$4,Points!$H$5,1),0),ROUND(Points!$B$6*IF($F670&lt;=1,1,Points!$H$7+(1-Points!$H$7)*((($F670-$E670)*(($F670-$E670)+1)/2)^2-((($F670-$E670-COUNTIFS($A$5:$A$1668,$A670,$C$5:$C$1668,$C670)+1)-1)*($F670-$E670-COUNTIFS($A$5:$A$1668,$A670,$C$5:$C$1668,$C670)+1)/2)^2)/(COUNTIFS($A$5:$A$1668,$A670,$C$5:$C$1668,$C670)*($F670-1)^3))*IF($F670&lt;Points!$H$4,Points!$H$5,1),0)))</f>
        <v/>
      </c>
      <c r="H670" s="11">
        <f>IF($G670="","",COUNTIFS($B$5:$B$1668,$B670,$G$5:$G$1668,"&gt;"&amp;$G670)+COUNTIFS($B$4:$B669,$B670,$G$4:$G669,$G670)+1)</f>
        <v/>
      </c>
      <c r="I670" s="11">
        <f>IF($G670="","",IF($H670&lt;=Points!$H$6,$G670,0))</f>
        <v/>
      </c>
      <c r="J670" s="11">
        <f>IF($B670="","",IF(COUNTIF(Players!$A$2:$A$500,$B670)=0,"Player is not on the Players tab",IF(NOT(ISNUMBER($C670)),"Enter a gross score",IF(COUNTIFS($A$5:$A$1668,$A670,$B$5:$B$1668,$B670)&gt;1,"Player is listed twice this week",IF(AND($D670&lt;&gt;"",COUNTIFS($A$5:$A$1668,$A670,$D$5:$D$1668,$D670)&gt;1),"Two players picked as "&amp;$D670,IF(COUNTIFS($A$5:$A$1668,$A670,$D$5:$D$1668,"Gross winner")=0,"Pick this week's gross winner",IF(COUNTIFS($A$5:$A$1668,$A670,$D$5:$D$1668,"Net winner")=0,"Pick this week's net winner","OK")))))))</f>
        <v/>
      </c>
    </row>
    <row r="671" outlineLevel="1">
      <c r="A671" s="13" t="n">
        <v>46533</v>
      </c>
      <c r="E671" s="11">
        <f>IF(OR($B671="",NOT(ISNUMBER($C671))),"",COUNTIFS($A$5:$A$1668,$A671,$C$5:$C$1668,"&lt;"&amp;$C671)+1)</f>
        <v/>
      </c>
      <c r="F671" s="11">
        <f>IF(OR($B671="",NOT(ISNUMBER($C671))),"",COUNTIFS($A$5:$A$1668,$A671,$C$5:$C$1668,"&gt;0"))</f>
        <v/>
      </c>
      <c r="G671" s="11">
        <f>IF(OR($B671="",NOT(ISNUMBER($C671))),"",IF($D671&lt;&gt;"",ROUND(Points!$B$6*IF($F671&lt;Points!$H$4,Points!$H$5,1),0),ROUND(Points!$B$6*IF($F671&lt;=1,1,Points!$H$7+(1-Points!$H$7)*((($F671-$E671)*(($F671-$E671)+1)/2)^2-((($F671-$E671-COUNTIFS($A$5:$A$1668,$A671,$C$5:$C$1668,$C671)+1)-1)*($F671-$E671-COUNTIFS($A$5:$A$1668,$A671,$C$5:$C$1668,$C671)+1)/2)^2)/(COUNTIFS($A$5:$A$1668,$A671,$C$5:$C$1668,$C671)*($F671-1)^3))*IF($F671&lt;Points!$H$4,Points!$H$5,1),0)))</f>
        <v/>
      </c>
      <c r="H671" s="11">
        <f>IF($G671="","",COUNTIFS($B$5:$B$1668,$B671,$G$5:$G$1668,"&gt;"&amp;$G671)+COUNTIFS($B$4:$B670,$B671,$G$4:$G670,$G671)+1)</f>
        <v/>
      </c>
      <c r="I671" s="11">
        <f>IF($G671="","",IF($H671&lt;=Points!$H$6,$G671,0))</f>
        <v/>
      </c>
      <c r="J671" s="11">
        <f>IF($B671="","",IF(COUNTIF(Players!$A$2:$A$500,$B671)=0,"Player is not on the Players tab",IF(NOT(ISNUMBER($C671)),"Enter a gross score",IF(COUNTIFS($A$5:$A$1668,$A671,$B$5:$B$1668,$B671)&gt;1,"Player is listed twice this week",IF(AND($D671&lt;&gt;"",COUNTIFS($A$5:$A$1668,$A671,$D$5:$D$1668,$D671)&gt;1),"Two players picked as "&amp;$D671,IF(COUNTIFS($A$5:$A$1668,$A671,$D$5:$D$1668,"Gross winner")=0,"Pick this week's gross winner",IF(COUNTIFS($A$5:$A$1668,$A671,$D$5:$D$1668,"Net winner")=0,"Pick this week's net winner","OK")))))))</f>
        <v/>
      </c>
    </row>
    <row r="672" outlineLevel="1">
      <c r="A672" s="13" t="n">
        <v>46533</v>
      </c>
      <c r="E672" s="11">
        <f>IF(OR($B672="",NOT(ISNUMBER($C672))),"",COUNTIFS($A$5:$A$1668,$A672,$C$5:$C$1668,"&lt;"&amp;$C672)+1)</f>
        <v/>
      </c>
      <c r="F672" s="11">
        <f>IF(OR($B672="",NOT(ISNUMBER($C672))),"",COUNTIFS($A$5:$A$1668,$A672,$C$5:$C$1668,"&gt;0"))</f>
        <v/>
      </c>
      <c r="G672" s="11">
        <f>IF(OR($B672="",NOT(ISNUMBER($C672))),"",IF($D672&lt;&gt;"",ROUND(Points!$B$6*IF($F672&lt;Points!$H$4,Points!$H$5,1),0),ROUND(Points!$B$6*IF($F672&lt;=1,1,Points!$H$7+(1-Points!$H$7)*((($F672-$E672)*(($F672-$E672)+1)/2)^2-((($F672-$E672-COUNTIFS($A$5:$A$1668,$A672,$C$5:$C$1668,$C672)+1)-1)*($F672-$E672-COUNTIFS($A$5:$A$1668,$A672,$C$5:$C$1668,$C672)+1)/2)^2)/(COUNTIFS($A$5:$A$1668,$A672,$C$5:$C$1668,$C672)*($F672-1)^3))*IF($F672&lt;Points!$H$4,Points!$H$5,1),0)))</f>
        <v/>
      </c>
      <c r="H672" s="11">
        <f>IF($G672="","",COUNTIFS($B$5:$B$1668,$B672,$G$5:$G$1668,"&gt;"&amp;$G672)+COUNTIFS($B$4:$B671,$B672,$G$4:$G671,$G672)+1)</f>
        <v/>
      </c>
      <c r="I672" s="11">
        <f>IF($G672="","",IF($H672&lt;=Points!$H$6,$G672,0))</f>
        <v/>
      </c>
      <c r="J672" s="11">
        <f>IF($B672="","",IF(COUNTIF(Players!$A$2:$A$500,$B672)=0,"Player is not on the Players tab",IF(NOT(ISNUMBER($C672)),"Enter a gross score",IF(COUNTIFS($A$5:$A$1668,$A672,$B$5:$B$1668,$B672)&gt;1,"Player is listed twice this week",IF(AND($D672&lt;&gt;"",COUNTIFS($A$5:$A$1668,$A672,$D$5:$D$1668,$D672)&gt;1),"Two players picked as "&amp;$D672,IF(COUNTIFS($A$5:$A$1668,$A672,$D$5:$D$1668,"Gross winner")=0,"Pick this week's gross winner",IF(COUNTIFS($A$5:$A$1668,$A672,$D$5:$D$1668,"Net winner")=0,"Pick this week's net winner","OK")))))))</f>
        <v/>
      </c>
    </row>
    <row r="673" outlineLevel="1">
      <c r="A673" s="13" t="n">
        <v>46533</v>
      </c>
      <c r="E673" s="11">
        <f>IF(OR($B673="",NOT(ISNUMBER($C673))),"",COUNTIFS($A$5:$A$1668,$A673,$C$5:$C$1668,"&lt;"&amp;$C673)+1)</f>
        <v/>
      </c>
      <c r="F673" s="11">
        <f>IF(OR($B673="",NOT(ISNUMBER($C673))),"",COUNTIFS($A$5:$A$1668,$A673,$C$5:$C$1668,"&gt;0"))</f>
        <v/>
      </c>
      <c r="G673" s="11">
        <f>IF(OR($B673="",NOT(ISNUMBER($C673))),"",IF($D673&lt;&gt;"",ROUND(Points!$B$6*IF($F673&lt;Points!$H$4,Points!$H$5,1),0),ROUND(Points!$B$6*IF($F673&lt;=1,1,Points!$H$7+(1-Points!$H$7)*((($F673-$E673)*(($F673-$E673)+1)/2)^2-((($F673-$E673-COUNTIFS($A$5:$A$1668,$A673,$C$5:$C$1668,$C673)+1)-1)*($F673-$E673-COUNTIFS($A$5:$A$1668,$A673,$C$5:$C$1668,$C673)+1)/2)^2)/(COUNTIFS($A$5:$A$1668,$A673,$C$5:$C$1668,$C673)*($F673-1)^3))*IF($F673&lt;Points!$H$4,Points!$H$5,1),0)))</f>
        <v/>
      </c>
      <c r="H673" s="11">
        <f>IF($G673="","",COUNTIFS($B$5:$B$1668,$B673,$G$5:$G$1668,"&gt;"&amp;$G673)+COUNTIFS($B$4:$B672,$B673,$G$4:$G672,$G673)+1)</f>
        <v/>
      </c>
      <c r="I673" s="11">
        <f>IF($G673="","",IF($H673&lt;=Points!$H$6,$G673,0))</f>
        <v/>
      </c>
      <c r="J673" s="11">
        <f>IF($B673="","",IF(COUNTIF(Players!$A$2:$A$500,$B673)=0,"Player is not on the Players tab",IF(NOT(ISNUMBER($C673)),"Enter a gross score",IF(COUNTIFS($A$5:$A$1668,$A673,$B$5:$B$1668,$B673)&gt;1,"Player is listed twice this week",IF(AND($D673&lt;&gt;"",COUNTIFS($A$5:$A$1668,$A673,$D$5:$D$1668,$D673)&gt;1),"Two players picked as "&amp;$D673,IF(COUNTIFS($A$5:$A$1668,$A673,$D$5:$D$1668,"Gross winner")=0,"Pick this week's gross winner",IF(COUNTIFS($A$5:$A$1668,$A673,$D$5:$D$1668,"Net winner")=0,"Pick this week's net winner","OK")))))))</f>
        <v/>
      </c>
    </row>
    <row r="674" outlineLevel="1">
      <c r="A674" s="13" t="n">
        <v>46533</v>
      </c>
      <c r="E674" s="11">
        <f>IF(OR($B674="",NOT(ISNUMBER($C674))),"",COUNTIFS($A$5:$A$1668,$A674,$C$5:$C$1668,"&lt;"&amp;$C674)+1)</f>
        <v/>
      </c>
      <c r="F674" s="11">
        <f>IF(OR($B674="",NOT(ISNUMBER($C674))),"",COUNTIFS($A$5:$A$1668,$A674,$C$5:$C$1668,"&gt;0"))</f>
        <v/>
      </c>
      <c r="G674" s="11">
        <f>IF(OR($B674="",NOT(ISNUMBER($C674))),"",IF($D674&lt;&gt;"",ROUND(Points!$B$6*IF($F674&lt;Points!$H$4,Points!$H$5,1),0),ROUND(Points!$B$6*IF($F674&lt;=1,1,Points!$H$7+(1-Points!$H$7)*((($F674-$E674)*(($F674-$E674)+1)/2)^2-((($F674-$E674-COUNTIFS($A$5:$A$1668,$A674,$C$5:$C$1668,$C674)+1)-1)*($F674-$E674-COUNTIFS($A$5:$A$1668,$A674,$C$5:$C$1668,$C674)+1)/2)^2)/(COUNTIFS($A$5:$A$1668,$A674,$C$5:$C$1668,$C674)*($F674-1)^3))*IF($F674&lt;Points!$H$4,Points!$H$5,1),0)))</f>
        <v/>
      </c>
      <c r="H674" s="11">
        <f>IF($G674="","",COUNTIFS($B$5:$B$1668,$B674,$G$5:$G$1668,"&gt;"&amp;$G674)+COUNTIFS($B$4:$B673,$B674,$G$4:$G673,$G674)+1)</f>
        <v/>
      </c>
      <c r="I674" s="11">
        <f>IF($G674="","",IF($H674&lt;=Points!$H$6,$G674,0))</f>
        <v/>
      </c>
      <c r="J674" s="11">
        <f>IF($B674="","",IF(COUNTIF(Players!$A$2:$A$500,$B674)=0,"Player is not on the Players tab",IF(NOT(ISNUMBER($C674)),"Enter a gross score",IF(COUNTIFS($A$5:$A$1668,$A674,$B$5:$B$1668,$B674)&gt;1,"Player is listed twice this week",IF(AND($D674&lt;&gt;"",COUNTIFS($A$5:$A$1668,$A674,$D$5:$D$1668,$D674)&gt;1),"Two players picked as "&amp;$D674,IF(COUNTIFS($A$5:$A$1668,$A674,$D$5:$D$1668,"Gross winner")=0,"Pick this week's gross winner",IF(COUNTIFS($A$5:$A$1668,$A674,$D$5:$D$1668,"Net winner")=0,"Pick this week's net winner","OK")))))))</f>
        <v/>
      </c>
    </row>
    <row r="675" outlineLevel="1">
      <c r="A675" s="13" t="n">
        <v>46533</v>
      </c>
      <c r="E675" s="11">
        <f>IF(OR($B675="",NOT(ISNUMBER($C675))),"",COUNTIFS($A$5:$A$1668,$A675,$C$5:$C$1668,"&lt;"&amp;$C675)+1)</f>
        <v/>
      </c>
      <c r="F675" s="11">
        <f>IF(OR($B675="",NOT(ISNUMBER($C675))),"",COUNTIFS($A$5:$A$1668,$A675,$C$5:$C$1668,"&gt;0"))</f>
        <v/>
      </c>
      <c r="G675" s="11">
        <f>IF(OR($B675="",NOT(ISNUMBER($C675))),"",IF($D675&lt;&gt;"",ROUND(Points!$B$6*IF($F675&lt;Points!$H$4,Points!$H$5,1),0),ROUND(Points!$B$6*IF($F675&lt;=1,1,Points!$H$7+(1-Points!$H$7)*((($F675-$E675)*(($F675-$E675)+1)/2)^2-((($F675-$E675-COUNTIFS($A$5:$A$1668,$A675,$C$5:$C$1668,$C675)+1)-1)*($F675-$E675-COUNTIFS($A$5:$A$1668,$A675,$C$5:$C$1668,$C675)+1)/2)^2)/(COUNTIFS($A$5:$A$1668,$A675,$C$5:$C$1668,$C675)*($F675-1)^3))*IF($F675&lt;Points!$H$4,Points!$H$5,1),0)))</f>
        <v/>
      </c>
      <c r="H675" s="11">
        <f>IF($G675="","",COUNTIFS($B$5:$B$1668,$B675,$G$5:$G$1668,"&gt;"&amp;$G675)+COUNTIFS($B$4:$B674,$B675,$G$4:$G674,$G675)+1)</f>
        <v/>
      </c>
      <c r="I675" s="11">
        <f>IF($G675="","",IF($H675&lt;=Points!$H$6,$G675,0))</f>
        <v/>
      </c>
      <c r="J675" s="11">
        <f>IF($B675="","",IF(COUNTIF(Players!$A$2:$A$500,$B675)=0,"Player is not on the Players tab",IF(NOT(ISNUMBER($C675)),"Enter a gross score",IF(COUNTIFS($A$5:$A$1668,$A675,$B$5:$B$1668,$B675)&gt;1,"Player is listed twice this week",IF(AND($D675&lt;&gt;"",COUNTIFS($A$5:$A$1668,$A675,$D$5:$D$1668,$D675)&gt;1),"Two players picked as "&amp;$D675,IF(COUNTIFS($A$5:$A$1668,$A675,$D$5:$D$1668,"Gross winner")=0,"Pick this week's gross winner",IF(COUNTIFS($A$5:$A$1668,$A675,$D$5:$D$1668,"Net winner")=0,"Pick this week's net winner","OK")))))))</f>
        <v/>
      </c>
    </row>
    <row r="676" ht="10" customHeight="1"/>
    <row r="677" ht="22" customHeight="1">
      <c r="A677" s="12" t="inlineStr">
        <is>
          <t>Week 22  ·  Wednesday, Jun 2</t>
        </is>
      </c>
    </row>
    <row r="678" outlineLevel="1">
      <c r="A678" s="13" t="n">
        <v>46540</v>
      </c>
      <c r="E678" s="11">
        <f>IF(OR($B678="",NOT(ISNUMBER($C678))),"",COUNTIFS($A$5:$A$1668,$A678,$C$5:$C$1668,"&lt;"&amp;$C678)+1)</f>
        <v/>
      </c>
      <c r="F678" s="11">
        <f>IF(OR($B678="",NOT(ISNUMBER($C678))),"",COUNTIFS($A$5:$A$1668,$A678,$C$5:$C$1668,"&gt;0"))</f>
        <v/>
      </c>
      <c r="G678" s="11">
        <f>IF(OR($B678="",NOT(ISNUMBER($C678))),"",IF($D678&lt;&gt;"",ROUND(Points!$B$6*IF($F678&lt;Points!$H$4,Points!$H$5,1),0),ROUND(Points!$B$6*IF($F678&lt;=1,1,Points!$H$7+(1-Points!$H$7)*((($F678-$E678)*(($F678-$E678)+1)/2)^2-((($F678-$E678-COUNTIFS($A$5:$A$1668,$A678,$C$5:$C$1668,$C678)+1)-1)*($F678-$E678-COUNTIFS($A$5:$A$1668,$A678,$C$5:$C$1668,$C678)+1)/2)^2)/(COUNTIFS($A$5:$A$1668,$A678,$C$5:$C$1668,$C678)*($F678-1)^3))*IF($F678&lt;Points!$H$4,Points!$H$5,1),0)))</f>
        <v/>
      </c>
      <c r="H678" s="11">
        <f>IF($G678="","",COUNTIFS($B$5:$B$1668,$B678,$G$5:$G$1668,"&gt;"&amp;$G678)+COUNTIFS($B$4:$B677,$B678,$G$4:$G677,$G678)+1)</f>
        <v/>
      </c>
      <c r="I678" s="11">
        <f>IF($G678="","",IF($H678&lt;=Points!$H$6,$G678,0))</f>
        <v/>
      </c>
      <c r="J678" s="11">
        <f>IF($B678="","",IF(COUNTIF(Players!$A$2:$A$500,$B678)=0,"Player is not on the Players tab",IF(NOT(ISNUMBER($C678)),"Enter a gross score",IF(COUNTIFS($A$5:$A$1668,$A678,$B$5:$B$1668,$B678)&gt;1,"Player is listed twice this week",IF(AND($D678&lt;&gt;"",COUNTIFS($A$5:$A$1668,$A678,$D$5:$D$1668,$D678)&gt;1),"Two players picked as "&amp;$D678,IF(COUNTIFS($A$5:$A$1668,$A678,$D$5:$D$1668,"Gross winner")=0,"Pick this week's gross winner",IF(COUNTIFS($A$5:$A$1668,$A678,$D$5:$D$1668,"Net winner")=0,"Pick this week's net winner","OK")))))))</f>
        <v/>
      </c>
    </row>
    <row r="679" outlineLevel="1">
      <c r="A679" s="13" t="n">
        <v>46540</v>
      </c>
      <c r="E679" s="11">
        <f>IF(OR($B679="",NOT(ISNUMBER($C679))),"",COUNTIFS($A$5:$A$1668,$A679,$C$5:$C$1668,"&lt;"&amp;$C679)+1)</f>
        <v/>
      </c>
      <c r="F679" s="11">
        <f>IF(OR($B679="",NOT(ISNUMBER($C679))),"",COUNTIFS($A$5:$A$1668,$A679,$C$5:$C$1668,"&gt;0"))</f>
        <v/>
      </c>
      <c r="G679" s="11">
        <f>IF(OR($B679="",NOT(ISNUMBER($C679))),"",IF($D679&lt;&gt;"",ROUND(Points!$B$6*IF($F679&lt;Points!$H$4,Points!$H$5,1),0),ROUND(Points!$B$6*IF($F679&lt;=1,1,Points!$H$7+(1-Points!$H$7)*((($F679-$E679)*(($F679-$E679)+1)/2)^2-((($F679-$E679-COUNTIFS($A$5:$A$1668,$A679,$C$5:$C$1668,$C679)+1)-1)*($F679-$E679-COUNTIFS($A$5:$A$1668,$A679,$C$5:$C$1668,$C679)+1)/2)^2)/(COUNTIFS($A$5:$A$1668,$A679,$C$5:$C$1668,$C679)*($F679-1)^3))*IF($F679&lt;Points!$H$4,Points!$H$5,1),0)))</f>
        <v/>
      </c>
      <c r="H679" s="11">
        <f>IF($G679="","",COUNTIFS($B$5:$B$1668,$B679,$G$5:$G$1668,"&gt;"&amp;$G679)+COUNTIFS($B$4:$B678,$B679,$G$4:$G678,$G679)+1)</f>
        <v/>
      </c>
      <c r="I679" s="11">
        <f>IF($G679="","",IF($H679&lt;=Points!$H$6,$G679,0))</f>
        <v/>
      </c>
      <c r="J679" s="11">
        <f>IF($B679="","",IF(COUNTIF(Players!$A$2:$A$500,$B679)=0,"Player is not on the Players tab",IF(NOT(ISNUMBER($C679)),"Enter a gross score",IF(COUNTIFS($A$5:$A$1668,$A679,$B$5:$B$1668,$B679)&gt;1,"Player is listed twice this week",IF(AND($D679&lt;&gt;"",COUNTIFS($A$5:$A$1668,$A679,$D$5:$D$1668,$D679)&gt;1),"Two players picked as "&amp;$D679,IF(COUNTIFS($A$5:$A$1668,$A679,$D$5:$D$1668,"Gross winner")=0,"Pick this week's gross winner",IF(COUNTIFS($A$5:$A$1668,$A679,$D$5:$D$1668,"Net winner")=0,"Pick this week's net winner","OK")))))))</f>
        <v/>
      </c>
    </row>
    <row r="680" outlineLevel="1">
      <c r="A680" s="13" t="n">
        <v>46540</v>
      </c>
      <c r="E680" s="11">
        <f>IF(OR($B680="",NOT(ISNUMBER($C680))),"",COUNTIFS($A$5:$A$1668,$A680,$C$5:$C$1668,"&lt;"&amp;$C680)+1)</f>
        <v/>
      </c>
      <c r="F680" s="11">
        <f>IF(OR($B680="",NOT(ISNUMBER($C680))),"",COUNTIFS($A$5:$A$1668,$A680,$C$5:$C$1668,"&gt;0"))</f>
        <v/>
      </c>
      <c r="G680" s="11">
        <f>IF(OR($B680="",NOT(ISNUMBER($C680))),"",IF($D680&lt;&gt;"",ROUND(Points!$B$6*IF($F680&lt;Points!$H$4,Points!$H$5,1),0),ROUND(Points!$B$6*IF($F680&lt;=1,1,Points!$H$7+(1-Points!$H$7)*((($F680-$E680)*(($F680-$E680)+1)/2)^2-((($F680-$E680-COUNTIFS($A$5:$A$1668,$A680,$C$5:$C$1668,$C680)+1)-1)*($F680-$E680-COUNTIFS($A$5:$A$1668,$A680,$C$5:$C$1668,$C680)+1)/2)^2)/(COUNTIFS($A$5:$A$1668,$A680,$C$5:$C$1668,$C680)*($F680-1)^3))*IF($F680&lt;Points!$H$4,Points!$H$5,1),0)))</f>
        <v/>
      </c>
      <c r="H680" s="11">
        <f>IF($G680="","",COUNTIFS($B$5:$B$1668,$B680,$G$5:$G$1668,"&gt;"&amp;$G680)+COUNTIFS($B$4:$B679,$B680,$G$4:$G679,$G680)+1)</f>
        <v/>
      </c>
      <c r="I680" s="11">
        <f>IF($G680="","",IF($H680&lt;=Points!$H$6,$G680,0))</f>
        <v/>
      </c>
      <c r="J680" s="11">
        <f>IF($B680="","",IF(COUNTIF(Players!$A$2:$A$500,$B680)=0,"Player is not on the Players tab",IF(NOT(ISNUMBER($C680)),"Enter a gross score",IF(COUNTIFS($A$5:$A$1668,$A680,$B$5:$B$1668,$B680)&gt;1,"Player is listed twice this week",IF(AND($D680&lt;&gt;"",COUNTIFS($A$5:$A$1668,$A680,$D$5:$D$1668,$D680)&gt;1),"Two players picked as "&amp;$D680,IF(COUNTIFS($A$5:$A$1668,$A680,$D$5:$D$1668,"Gross winner")=0,"Pick this week's gross winner",IF(COUNTIFS($A$5:$A$1668,$A680,$D$5:$D$1668,"Net winner")=0,"Pick this week's net winner","OK")))))))</f>
        <v/>
      </c>
    </row>
    <row r="681" outlineLevel="1">
      <c r="A681" s="13" t="n">
        <v>46540</v>
      </c>
      <c r="E681" s="11">
        <f>IF(OR($B681="",NOT(ISNUMBER($C681))),"",COUNTIFS($A$5:$A$1668,$A681,$C$5:$C$1668,"&lt;"&amp;$C681)+1)</f>
        <v/>
      </c>
      <c r="F681" s="11">
        <f>IF(OR($B681="",NOT(ISNUMBER($C681))),"",COUNTIFS($A$5:$A$1668,$A681,$C$5:$C$1668,"&gt;0"))</f>
        <v/>
      </c>
      <c r="G681" s="11">
        <f>IF(OR($B681="",NOT(ISNUMBER($C681))),"",IF($D681&lt;&gt;"",ROUND(Points!$B$6*IF($F681&lt;Points!$H$4,Points!$H$5,1),0),ROUND(Points!$B$6*IF($F681&lt;=1,1,Points!$H$7+(1-Points!$H$7)*((($F681-$E681)*(($F681-$E681)+1)/2)^2-((($F681-$E681-COUNTIFS($A$5:$A$1668,$A681,$C$5:$C$1668,$C681)+1)-1)*($F681-$E681-COUNTIFS($A$5:$A$1668,$A681,$C$5:$C$1668,$C681)+1)/2)^2)/(COUNTIFS($A$5:$A$1668,$A681,$C$5:$C$1668,$C681)*($F681-1)^3))*IF($F681&lt;Points!$H$4,Points!$H$5,1),0)))</f>
        <v/>
      </c>
      <c r="H681" s="11">
        <f>IF($G681="","",COUNTIFS($B$5:$B$1668,$B681,$G$5:$G$1668,"&gt;"&amp;$G681)+COUNTIFS($B$4:$B680,$B681,$G$4:$G680,$G681)+1)</f>
        <v/>
      </c>
      <c r="I681" s="11">
        <f>IF($G681="","",IF($H681&lt;=Points!$H$6,$G681,0))</f>
        <v/>
      </c>
      <c r="J681" s="11">
        <f>IF($B681="","",IF(COUNTIF(Players!$A$2:$A$500,$B681)=0,"Player is not on the Players tab",IF(NOT(ISNUMBER($C681)),"Enter a gross score",IF(COUNTIFS($A$5:$A$1668,$A681,$B$5:$B$1668,$B681)&gt;1,"Player is listed twice this week",IF(AND($D681&lt;&gt;"",COUNTIFS($A$5:$A$1668,$A681,$D$5:$D$1668,$D681)&gt;1),"Two players picked as "&amp;$D681,IF(COUNTIFS($A$5:$A$1668,$A681,$D$5:$D$1668,"Gross winner")=0,"Pick this week's gross winner",IF(COUNTIFS($A$5:$A$1668,$A681,$D$5:$D$1668,"Net winner")=0,"Pick this week's net winner","OK")))))))</f>
        <v/>
      </c>
    </row>
    <row r="682" outlineLevel="1">
      <c r="A682" s="13" t="n">
        <v>46540</v>
      </c>
      <c r="E682" s="11">
        <f>IF(OR($B682="",NOT(ISNUMBER($C682))),"",COUNTIFS($A$5:$A$1668,$A682,$C$5:$C$1668,"&lt;"&amp;$C682)+1)</f>
        <v/>
      </c>
      <c r="F682" s="11">
        <f>IF(OR($B682="",NOT(ISNUMBER($C682))),"",COUNTIFS($A$5:$A$1668,$A682,$C$5:$C$1668,"&gt;0"))</f>
        <v/>
      </c>
      <c r="G682" s="11">
        <f>IF(OR($B682="",NOT(ISNUMBER($C682))),"",IF($D682&lt;&gt;"",ROUND(Points!$B$6*IF($F682&lt;Points!$H$4,Points!$H$5,1),0),ROUND(Points!$B$6*IF($F682&lt;=1,1,Points!$H$7+(1-Points!$H$7)*((($F682-$E682)*(($F682-$E682)+1)/2)^2-((($F682-$E682-COUNTIFS($A$5:$A$1668,$A682,$C$5:$C$1668,$C682)+1)-1)*($F682-$E682-COUNTIFS($A$5:$A$1668,$A682,$C$5:$C$1668,$C682)+1)/2)^2)/(COUNTIFS($A$5:$A$1668,$A682,$C$5:$C$1668,$C682)*($F682-1)^3))*IF($F682&lt;Points!$H$4,Points!$H$5,1),0)))</f>
        <v/>
      </c>
      <c r="H682" s="11">
        <f>IF($G682="","",COUNTIFS($B$5:$B$1668,$B682,$G$5:$G$1668,"&gt;"&amp;$G682)+COUNTIFS($B$4:$B681,$B682,$G$4:$G681,$G682)+1)</f>
        <v/>
      </c>
      <c r="I682" s="11">
        <f>IF($G682="","",IF($H682&lt;=Points!$H$6,$G682,0))</f>
        <v/>
      </c>
      <c r="J682" s="11">
        <f>IF($B682="","",IF(COUNTIF(Players!$A$2:$A$500,$B682)=0,"Player is not on the Players tab",IF(NOT(ISNUMBER($C682)),"Enter a gross score",IF(COUNTIFS($A$5:$A$1668,$A682,$B$5:$B$1668,$B682)&gt;1,"Player is listed twice this week",IF(AND($D682&lt;&gt;"",COUNTIFS($A$5:$A$1668,$A682,$D$5:$D$1668,$D682)&gt;1),"Two players picked as "&amp;$D682,IF(COUNTIFS($A$5:$A$1668,$A682,$D$5:$D$1668,"Gross winner")=0,"Pick this week's gross winner",IF(COUNTIFS($A$5:$A$1668,$A682,$D$5:$D$1668,"Net winner")=0,"Pick this week's net winner","OK")))))))</f>
        <v/>
      </c>
    </row>
    <row r="683" outlineLevel="1">
      <c r="A683" s="13" t="n">
        <v>46540</v>
      </c>
      <c r="E683" s="11">
        <f>IF(OR($B683="",NOT(ISNUMBER($C683))),"",COUNTIFS($A$5:$A$1668,$A683,$C$5:$C$1668,"&lt;"&amp;$C683)+1)</f>
        <v/>
      </c>
      <c r="F683" s="11">
        <f>IF(OR($B683="",NOT(ISNUMBER($C683))),"",COUNTIFS($A$5:$A$1668,$A683,$C$5:$C$1668,"&gt;0"))</f>
        <v/>
      </c>
      <c r="G683" s="11">
        <f>IF(OR($B683="",NOT(ISNUMBER($C683))),"",IF($D683&lt;&gt;"",ROUND(Points!$B$6*IF($F683&lt;Points!$H$4,Points!$H$5,1),0),ROUND(Points!$B$6*IF($F683&lt;=1,1,Points!$H$7+(1-Points!$H$7)*((($F683-$E683)*(($F683-$E683)+1)/2)^2-((($F683-$E683-COUNTIFS($A$5:$A$1668,$A683,$C$5:$C$1668,$C683)+1)-1)*($F683-$E683-COUNTIFS($A$5:$A$1668,$A683,$C$5:$C$1668,$C683)+1)/2)^2)/(COUNTIFS($A$5:$A$1668,$A683,$C$5:$C$1668,$C683)*($F683-1)^3))*IF($F683&lt;Points!$H$4,Points!$H$5,1),0)))</f>
        <v/>
      </c>
      <c r="H683" s="11">
        <f>IF($G683="","",COUNTIFS($B$5:$B$1668,$B683,$G$5:$G$1668,"&gt;"&amp;$G683)+COUNTIFS($B$4:$B682,$B683,$G$4:$G682,$G683)+1)</f>
        <v/>
      </c>
      <c r="I683" s="11">
        <f>IF($G683="","",IF($H683&lt;=Points!$H$6,$G683,0))</f>
        <v/>
      </c>
      <c r="J683" s="11">
        <f>IF($B683="","",IF(COUNTIF(Players!$A$2:$A$500,$B683)=0,"Player is not on the Players tab",IF(NOT(ISNUMBER($C683)),"Enter a gross score",IF(COUNTIFS($A$5:$A$1668,$A683,$B$5:$B$1668,$B683)&gt;1,"Player is listed twice this week",IF(AND($D683&lt;&gt;"",COUNTIFS($A$5:$A$1668,$A683,$D$5:$D$1668,$D683)&gt;1),"Two players picked as "&amp;$D683,IF(COUNTIFS($A$5:$A$1668,$A683,$D$5:$D$1668,"Gross winner")=0,"Pick this week's gross winner",IF(COUNTIFS($A$5:$A$1668,$A683,$D$5:$D$1668,"Net winner")=0,"Pick this week's net winner","OK")))))))</f>
        <v/>
      </c>
    </row>
    <row r="684" outlineLevel="1">
      <c r="A684" s="13" t="n">
        <v>46540</v>
      </c>
      <c r="E684" s="11">
        <f>IF(OR($B684="",NOT(ISNUMBER($C684))),"",COUNTIFS($A$5:$A$1668,$A684,$C$5:$C$1668,"&lt;"&amp;$C684)+1)</f>
        <v/>
      </c>
      <c r="F684" s="11">
        <f>IF(OR($B684="",NOT(ISNUMBER($C684))),"",COUNTIFS($A$5:$A$1668,$A684,$C$5:$C$1668,"&gt;0"))</f>
        <v/>
      </c>
      <c r="G684" s="11">
        <f>IF(OR($B684="",NOT(ISNUMBER($C684))),"",IF($D684&lt;&gt;"",ROUND(Points!$B$6*IF($F684&lt;Points!$H$4,Points!$H$5,1),0),ROUND(Points!$B$6*IF($F684&lt;=1,1,Points!$H$7+(1-Points!$H$7)*((($F684-$E684)*(($F684-$E684)+1)/2)^2-((($F684-$E684-COUNTIFS($A$5:$A$1668,$A684,$C$5:$C$1668,$C684)+1)-1)*($F684-$E684-COUNTIFS($A$5:$A$1668,$A684,$C$5:$C$1668,$C684)+1)/2)^2)/(COUNTIFS($A$5:$A$1668,$A684,$C$5:$C$1668,$C684)*($F684-1)^3))*IF($F684&lt;Points!$H$4,Points!$H$5,1),0)))</f>
        <v/>
      </c>
      <c r="H684" s="11">
        <f>IF($G684="","",COUNTIFS($B$5:$B$1668,$B684,$G$5:$G$1668,"&gt;"&amp;$G684)+COUNTIFS($B$4:$B683,$B684,$G$4:$G683,$G684)+1)</f>
        <v/>
      </c>
      <c r="I684" s="11">
        <f>IF($G684="","",IF($H684&lt;=Points!$H$6,$G684,0))</f>
        <v/>
      </c>
      <c r="J684" s="11">
        <f>IF($B684="","",IF(COUNTIF(Players!$A$2:$A$500,$B684)=0,"Player is not on the Players tab",IF(NOT(ISNUMBER($C684)),"Enter a gross score",IF(COUNTIFS($A$5:$A$1668,$A684,$B$5:$B$1668,$B684)&gt;1,"Player is listed twice this week",IF(AND($D684&lt;&gt;"",COUNTIFS($A$5:$A$1668,$A684,$D$5:$D$1668,$D684)&gt;1),"Two players picked as "&amp;$D684,IF(COUNTIFS($A$5:$A$1668,$A684,$D$5:$D$1668,"Gross winner")=0,"Pick this week's gross winner",IF(COUNTIFS($A$5:$A$1668,$A684,$D$5:$D$1668,"Net winner")=0,"Pick this week's net winner","OK")))))))</f>
        <v/>
      </c>
    </row>
    <row r="685" outlineLevel="1">
      <c r="A685" s="13" t="n">
        <v>46540</v>
      </c>
      <c r="E685" s="11">
        <f>IF(OR($B685="",NOT(ISNUMBER($C685))),"",COUNTIFS($A$5:$A$1668,$A685,$C$5:$C$1668,"&lt;"&amp;$C685)+1)</f>
        <v/>
      </c>
      <c r="F685" s="11">
        <f>IF(OR($B685="",NOT(ISNUMBER($C685))),"",COUNTIFS($A$5:$A$1668,$A685,$C$5:$C$1668,"&gt;0"))</f>
        <v/>
      </c>
      <c r="G685" s="11">
        <f>IF(OR($B685="",NOT(ISNUMBER($C685))),"",IF($D685&lt;&gt;"",ROUND(Points!$B$6*IF($F685&lt;Points!$H$4,Points!$H$5,1),0),ROUND(Points!$B$6*IF($F685&lt;=1,1,Points!$H$7+(1-Points!$H$7)*((($F685-$E685)*(($F685-$E685)+1)/2)^2-((($F685-$E685-COUNTIFS($A$5:$A$1668,$A685,$C$5:$C$1668,$C685)+1)-1)*($F685-$E685-COUNTIFS($A$5:$A$1668,$A685,$C$5:$C$1668,$C685)+1)/2)^2)/(COUNTIFS($A$5:$A$1668,$A685,$C$5:$C$1668,$C685)*($F685-1)^3))*IF($F685&lt;Points!$H$4,Points!$H$5,1),0)))</f>
        <v/>
      </c>
      <c r="H685" s="11">
        <f>IF($G685="","",COUNTIFS($B$5:$B$1668,$B685,$G$5:$G$1668,"&gt;"&amp;$G685)+COUNTIFS($B$4:$B684,$B685,$G$4:$G684,$G685)+1)</f>
        <v/>
      </c>
      <c r="I685" s="11">
        <f>IF($G685="","",IF($H685&lt;=Points!$H$6,$G685,0))</f>
        <v/>
      </c>
      <c r="J685" s="11">
        <f>IF($B685="","",IF(COUNTIF(Players!$A$2:$A$500,$B685)=0,"Player is not on the Players tab",IF(NOT(ISNUMBER($C685)),"Enter a gross score",IF(COUNTIFS($A$5:$A$1668,$A685,$B$5:$B$1668,$B685)&gt;1,"Player is listed twice this week",IF(AND($D685&lt;&gt;"",COUNTIFS($A$5:$A$1668,$A685,$D$5:$D$1668,$D685)&gt;1),"Two players picked as "&amp;$D685,IF(COUNTIFS($A$5:$A$1668,$A685,$D$5:$D$1668,"Gross winner")=0,"Pick this week's gross winner",IF(COUNTIFS($A$5:$A$1668,$A685,$D$5:$D$1668,"Net winner")=0,"Pick this week's net winner","OK")))))))</f>
        <v/>
      </c>
    </row>
    <row r="686" outlineLevel="1">
      <c r="A686" s="13" t="n">
        <v>46540</v>
      </c>
      <c r="E686" s="11">
        <f>IF(OR($B686="",NOT(ISNUMBER($C686))),"",COUNTIFS($A$5:$A$1668,$A686,$C$5:$C$1668,"&lt;"&amp;$C686)+1)</f>
        <v/>
      </c>
      <c r="F686" s="11">
        <f>IF(OR($B686="",NOT(ISNUMBER($C686))),"",COUNTIFS($A$5:$A$1668,$A686,$C$5:$C$1668,"&gt;0"))</f>
        <v/>
      </c>
      <c r="G686" s="11">
        <f>IF(OR($B686="",NOT(ISNUMBER($C686))),"",IF($D686&lt;&gt;"",ROUND(Points!$B$6*IF($F686&lt;Points!$H$4,Points!$H$5,1),0),ROUND(Points!$B$6*IF($F686&lt;=1,1,Points!$H$7+(1-Points!$H$7)*((($F686-$E686)*(($F686-$E686)+1)/2)^2-((($F686-$E686-COUNTIFS($A$5:$A$1668,$A686,$C$5:$C$1668,$C686)+1)-1)*($F686-$E686-COUNTIFS($A$5:$A$1668,$A686,$C$5:$C$1668,$C686)+1)/2)^2)/(COUNTIFS($A$5:$A$1668,$A686,$C$5:$C$1668,$C686)*($F686-1)^3))*IF($F686&lt;Points!$H$4,Points!$H$5,1),0)))</f>
        <v/>
      </c>
      <c r="H686" s="11">
        <f>IF($G686="","",COUNTIFS($B$5:$B$1668,$B686,$G$5:$G$1668,"&gt;"&amp;$G686)+COUNTIFS($B$4:$B685,$B686,$G$4:$G685,$G686)+1)</f>
        <v/>
      </c>
      <c r="I686" s="11">
        <f>IF($G686="","",IF($H686&lt;=Points!$H$6,$G686,0))</f>
        <v/>
      </c>
      <c r="J686" s="11">
        <f>IF($B686="","",IF(COUNTIF(Players!$A$2:$A$500,$B686)=0,"Player is not on the Players tab",IF(NOT(ISNUMBER($C686)),"Enter a gross score",IF(COUNTIFS($A$5:$A$1668,$A686,$B$5:$B$1668,$B686)&gt;1,"Player is listed twice this week",IF(AND($D686&lt;&gt;"",COUNTIFS($A$5:$A$1668,$A686,$D$5:$D$1668,$D686)&gt;1),"Two players picked as "&amp;$D686,IF(COUNTIFS($A$5:$A$1668,$A686,$D$5:$D$1668,"Gross winner")=0,"Pick this week's gross winner",IF(COUNTIFS($A$5:$A$1668,$A686,$D$5:$D$1668,"Net winner")=0,"Pick this week's net winner","OK")))))))</f>
        <v/>
      </c>
    </row>
    <row r="687" outlineLevel="1">
      <c r="A687" s="13" t="n">
        <v>46540</v>
      </c>
      <c r="E687" s="11">
        <f>IF(OR($B687="",NOT(ISNUMBER($C687))),"",COUNTIFS($A$5:$A$1668,$A687,$C$5:$C$1668,"&lt;"&amp;$C687)+1)</f>
        <v/>
      </c>
      <c r="F687" s="11">
        <f>IF(OR($B687="",NOT(ISNUMBER($C687))),"",COUNTIFS($A$5:$A$1668,$A687,$C$5:$C$1668,"&gt;0"))</f>
        <v/>
      </c>
      <c r="G687" s="11">
        <f>IF(OR($B687="",NOT(ISNUMBER($C687))),"",IF($D687&lt;&gt;"",ROUND(Points!$B$6*IF($F687&lt;Points!$H$4,Points!$H$5,1),0),ROUND(Points!$B$6*IF($F687&lt;=1,1,Points!$H$7+(1-Points!$H$7)*((($F687-$E687)*(($F687-$E687)+1)/2)^2-((($F687-$E687-COUNTIFS($A$5:$A$1668,$A687,$C$5:$C$1668,$C687)+1)-1)*($F687-$E687-COUNTIFS($A$5:$A$1668,$A687,$C$5:$C$1668,$C687)+1)/2)^2)/(COUNTIFS($A$5:$A$1668,$A687,$C$5:$C$1668,$C687)*($F687-1)^3))*IF($F687&lt;Points!$H$4,Points!$H$5,1),0)))</f>
        <v/>
      </c>
      <c r="H687" s="11">
        <f>IF($G687="","",COUNTIFS($B$5:$B$1668,$B687,$G$5:$G$1668,"&gt;"&amp;$G687)+COUNTIFS($B$4:$B686,$B687,$G$4:$G686,$G687)+1)</f>
        <v/>
      </c>
      <c r="I687" s="11">
        <f>IF($G687="","",IF($H687&lt;=Points!$H$6,$G687,0))</f>
        <v/>
      </c>
      <c r="J687" s="11">
        <f>IF($B687="","",IF(COUNTIF(Players!$A$2:$A$500,$B687)=0,"Player is not on the Players tab",IF(NOT(ISNUMBER($C687)),"Enter a gross score",IF(COUNTIFS($A$5:$A$1668,$A687,$B$5:$B$1668,$B687)&gt;1,"Player is listed twice this week",IF(AND($D687&lt;&gt;"",COUNTIFS($A$5:$A$1668,$A687,$D$5:$D$1668,$D687)&gt;1),"Two players picked as "&amp;$D687,IF(COUNTIFS($A$5:$A$1668,$A687,$D$5:$D$1668,"Gross winner")=0,"Pick this week's gross winner",IF(COUNTIFS($A$5:$A$1668,$A687,$D$5:$D$1668,"Net winner")=0,"Pick this week's net winner","OK")))))))</f>
        <v/>
      </c>
    </row>
    <row r="688" outlineLevel="1">
      <c r="A688" s="13" t="n">
        <v>46540</v>
      </c>
      <c r="E688" s="11">
        <f>IF(OR($B688="",NOT(ISNUMBER($C688))),"",COUNTIFS($A$5:$A$1668,$A688,$C$5:$C$1668,"&lt;"&amp;$C688)+1)</f>
        <v/>
      </c>
      <c r="F688" s="11">
        <f>IF(OR($B688="",NOT(ISNUMBER($C688))),"",COUNTIFS($A$5:$A$1668,$A688,$C$5:$C$1668,"&gt;0"))</f>
        <v/>
      </c>
      <c r="G688" s="11">
        <f>IF(OR($B688="",NOT(ISNUMBER($C688))),"",IF($D688&lt;&gt;"",ROUND(Points!$B$6*IF($F688&lt;Points!$H$4,Points!$H$5,1),0),ROUND(Points!$B$6*IF($F688&lt;=1,1,Points!$H$7+(1-Points!$H$7)*((($F688-$E688)*(($F688-$E688)+1)/2)^2-((($F688-$E688-COUNTIFS($A$5:$A$1668,$A688,$C$5:$C$1668,$C688)+1)-1)*($F688-$E688-COUNTIFS($A$5:$A$1668,$A688,$C$5:$C$1668,$C688)+1)/2)^2)/(COUNTIFS($A$5:$A$1668,$A688,$C$5:$C$1668,$C688)*($F688-1)^3))*IF($F688&lt;Points!$H$4,Points!$H$5,1),0)))</f>
        <v/>
      </c>
      <c r="H688" s="11">
        <f>IF($G688="","",COUNTIFS($B$5:$B$1668,$B688,$G$5:$G$1668,"&gt;"&amp;$G688)+COUNTIFS($B$4:$B687,$B688,$G$4:$G687,$G688)+1)</f>
        <v/>
      </c>
      <c r="I688" s="11">
        <f>IF($G688="","",IF($H688&lt;=Points!$H$6,$G688,0))</f>
        <v/>
      </c>
      <c r="J688" s="11">
        <f>IF($B688="","",IF(COUNTIF(Players!$A$2:$A$500,$B688)=0,"Player is not on the Players tab",IF(NOT(ISNUMBER($C688)),"Enter a gross score",IF(COUNTIFS($A$5:$A$1668,$A688,$B$5:$B$1668,$B688)&gt;1,"Player is listed twice this week",IF(AND($D688&lt;&gt;"",COUNTIFS($A$5:$A$1668,$A688,$D$5:$D$1668,$D688)&gt;1),"Two players picked as "&amp;$D688,IF(COUNTIFS($A$5:$A$1668,$A688,$D$5:$D$1668,"Gross winner")=0,"Pick this week's gross winner",IF(COUNTIFS($A$5:$A$1668,$A688,$D$5:$D$1668,"Net winner")=0,"Pick this week's net winner","OK")))))))</f>
        <v/>
      </c>
    </row>
    <row r="689" outlineLevel="1">
      <c r="A689" s="13" t="n">
        <v>46540</v>
      </c>
      <c r="E689" s="11">
        <f>IF(OR($B689="",NOT(ISNUMBER($C689))),"",COUNTIFS($A$5:$A$1668,$A689,$C$5:$C$1668,"&lt;"&amp;$C689)+1)</f>
        <v/>
      </c>
      <c r="F689" s="11">
        <f>IF(OR($B689="",NOT(ISNUMBER($C689))),"",COUNTIFS($A$5:$A$1668,$A689,$C$5:$C$1668,"&gt;0"))</f>
        <v/>
      </c>
      <c r="G689" s="11">
        <f>IF(OR($B689="",NOT(ISNUMBER($C689))),"",IF($D689&lt;&gt;"",ROUND(Points!$B$6*IF($F689&lt;Points!$H$4,Points!$H$5,1),0),ROUND(Points!$B$6*IF($F689&lt;=1,1,Points!$H$7+(1-Points!$H$7)*((($F689-$E689)*(($F689-$E689)+1)/2)^2-((($F689-$E689-COUNTIFS($A$5:$A$1668,$A689,$C$5:$C$1668,$C689)+1)-1)*($F689-$E689-COUNTIFS($A$5:$A$1668,$A689,$C$5:$C$1668,$C689)+1)/2)^2)/(COUNTIFS($A$5:$A$1668,$A689,$C$5:$C$1668,$C689)*($F689-1)^3))*IF($F689&lt;Points!$H$4,Points!$H$5,1),0)))</f>
        <v/>
      </c>
      <c r="H689" s="11">
        <f>IF($G689="","",COUNTIFS($B$5:$B$1668,$B689,$G$5:$G$1668,"&gt;"&amp;$G689)+COUNTIFS($B$4:$B688,$B689,$G$4:$G688,$G689)+1)</f>
        <v/>
      </c>
      <c r="I689" s="11">
        <f>IF($G689="","",IF($H689&lt;=Points!$H$6,$G689,0))</f>
        <v/>
      </c>
      <c r="J689" s="11">
        <f>IF($B689="","",IF(COUNTIF(Players!$A$2:$A$500,$B689)=0,"Player is not on the Players tab",IF(NOT(ISNUMBER($C689)),"Enter a gross score",IF(COUNTIFS($A$5:$A$1668,$A689,$B$5:$B$1668,$B689)&gt;1,"Player is listed twice this week",IF(AND($D689&lt;&gt;"",COUNTIFS($A$5:$A$1668,$A689,$D$5:$D$1668,$D689)&gt;1),"Two players picked as "&amp;$D689,IF(COUNTIFS($A$5:$A$1668,$A689,$D$5:$D$1668,"Gross winner")=0,"Pick this week's gross winner",IF(COUNTIFS($A$5:$A$1668,$A689,$D$5:$D$1668,"Net winner")=0,"Pick this week's net winner","OK")))))))</f>
        <v/>
      </c>
    </row>
    <row r="690" outlineLevel="1">
      <c r="A690" s="13" t="n">
        <v>46540</v>
      </c>
      <c r="E690" s="11">
        <f>IF(OR($B690="",NOT(ISNUMBER($C690))),"",COUNTIFS($A$5:$A$1668,$A690,$C$5:$C$1668,"&lt;"&amp;$C690)+1)</f>
        <v/>
      </c>
      <c r="F690" s="11">
        <f>IF(OR($B690="",NOT(ISNUMBER($C690))),"",COUNTIFS($A$5:$A$1668,$A690,$C$5:$C$1668,"&gt;0"))</f>
        <v/>
      </c>
      <c r="G690" s="11">
        <f>IF(OR($B690="",NOT(ISNUMBER($C690))),"",IF($D690&lt;&gt;"",ROUND(Points!$B$6*IF($F690&lt;Points!$H$4,Points!$H$5,1),0),ROUND(Points!$B$6*IF($F690&lt;=1,1,Points!$H$7+(1-Points!$H$7)*((($F690-$E690)*(($F690-$E690)+1)/2)^2-((($F690-$E690-COUNTIFS($A$5:$A$1668,$A690,$C$5:$C$1668,$C690)+1)-1)*($F690-$E690-COUNTIFS($A$5:$A$1668,$A690,$C$5:$C$1668,$C690)+1)/2)^2)/(COUNTIFS($A$5:$A$1668,$A690,$C$5:$C$1668,$C690)*($F690-1)^3))*IF($F690&lt;Points!$H$4,Points!$H$5,1),0)))</f>
        <v/>
      </c>
      <c r="H690" s="11">
        <f>IF($G690="","",COUNTIFS($B$5:$B$1668,$B690,$G$5:$G$1668,"&gt;"&amp;$G690)+COUNTIFS($B$4:$B689,$B690,$G$4:$G689,$G690)+1)</f>
        <v/>
      </c>
      <c r="I690" s="11">
        <f>IF($G690="","",IF($H690&lt;=Points!$H$6,$G690,0))</f>
        <v/>
      </c>
      <c r="J690" s="11">
        <f>IF($B690="","",IF(COUNTIF(Players!$A$2:$A$500,$B690)=0,"Player is not on the Players tab",IF(NOT(ISNUMBER($C690)),"Enter a gross score",IF(COUNTIFS($A$5:$A$1668,$A690,$B$5:$B$1668,$B690)&gt;1,"Player is listed twice this week",IF(AND($D690&lt;&gt;"",COUNTIFS($A$5:$A$1668,$A690,$D$5:$D$1668,$D690)&gt;1),"Two players picked as "&amp;$D690,IF(COUNTIFS($A$5:$A$1668,$A690,$D$5:$D$1668,"Gross winner")=0,"Pick this week's gross winner",IF(COUNTIFS($A$5:$A$1668,$A690,$D$5:$D$1668,"Net winner")=0,"Pick this week's net winner","OK")))))))</f>
        <v/>
      </c>
    </row>
    <row r="691" outlineLevel="1">
      <c r="A691" s="13" t="n">
        <v>46540</v>
      </c>
      <c r="E691" s="11">
        <f>IF(OR($B691="",NOT(ISNUMBER($C691))),"",COUNTIFS($A$5:$A$1668,$A691,$C$5:$C$1668,"&lt;"&amp;$C691)+1)</f>
        <v/>
      </c>
      <c r="F691" s="11">
        <f>IF(OR($B691="",NOT(ISNUMBER($C691))),"",COUNTIFS($A$5:$A$1668,$A691,$C$5:$C$1668,"&gt;0"))</f>
        <v/>
      </c>
      <c r="G691" s="11">
        <f>IF(OR($B691="",NOT(ISNUMBER($C691))),"",IF($D691&lt;&gt;"",ROUND(Points!$B$6*IF($F691&lt;Points!$H$4,Points!$H$5,1),0),ROUND(Points!$B$6*IF($F691&lt;=1,1,Points!$H$7+(1-Points!$H$7)*((($F691-$E691)*(($F691-$E691)+1)/2)^2-((($F691-$E691-COUNTIFS($A$5:$A$1668,$A691,$C$5:$C$1668,$C691)+1)-1)*($F691-$E691-COUNTIFS($A$5:$A$1668,$A691,$C$5:$C$1668,$C691)+1)/2)^2)/(COUNTIFS($A$5:$A$1668,$A691,$C$5:$C$1668,$C691)*($F691-1)^3))*IF($F691&lt;Points!$H$4,Points!$H$5,1),0)))</f>
        <v/>
      </c>
      <c r="H691" s="11">
        <f>IF($G691="","",COUNTIFS($B$5:$B$1668,$B691,$G$5:$G$1668,"&gt;"&amp;$G691)+COUNTIFS($B$4:$B690,$B691,$G$4:$G690,$G691)+1)</f>
        <v/>
      </c>
      <c r="I691" s="11">
        <f>IF($G691="","",IF($H691&lt;=Points!$H$6,$G691,0))</f>
        <v/>
      </c>
      <c r="J691" s="11">
        <f>IF($B691="","",IF(COUNTIF(Players!$A$2:$A$500,$B691)=0,"Player is not on the Players tab",IF(NOT(ISNUMBER($C691)),"Enter a gross score",IF(COUNTIFS($A$5:$A$1668,$A691,$B$5:$B$1668,$B691)&gt;1,"Player is listed twice this week",IF(AND($D691&lt;&gt;"",COUNTIFS($A$5:$A$1668,$A691,$D$5:$D$1668,$D691)&gt;1),"Two players picked as "&amp;$D691,IF(COUNTIFS($A$5:$A$1668,$A691,$D$5:$D$1668,"Gross winner")=0,"Pick this week's gross winner",IF(COUNTIFS($A$5:$A$1668,$A691,$D$5:$D$1668,"Net winner")=0,"Pick this week's net winner","OK")))))))</f>
        <v/>
      </c>
    </row>
    <row r="692" outlineLevel="1">
      <c r="A692" s="13" t="n">
        <v>46540</v>
      </c>
      <c r="E692" s="11">
        <f>IF(OR($B692="",NOT(ISNUMBER($C692))),"",COUNTIFS($A$5:$A$1668,$A692,$C$5:$C$1668,"&lt;"&amp;$C692)+1)</f>
        <v/>
      </c>
      <c r="F692" s="11">
        <f>IF(OR($B692="",NOT(ISNUMBER($C692))),"",COUNTIFS($A$5:$A$1668,$A692,$C$5:$C$1668,"&gt;0"))</f>
        <v/>
      </c>
      <c r="G692" s="11">
        <f>IF(OR($B692="",NOT(ISNUMBER($C692))),"",IF($D692&lt;&gt;"",ROUND(Points!$B$6*IF($F692&lt;Points!$H$4,Points!$H$5,1),0),ROUND(Points!$B$6*IF($F692&lt;=1,1,Points!$H$7+(1-Points!$H$7)*((($F692-$E692)*(($F692-$E692)+1)/2)^2-((($F692-$E692-COUNTIFS($A$5:$A$1668,$A692,$C$5:$C$1668,$C692)+1)-1)*($F692-$E692-COUNTIFS($A$5:$A$1668,$A692,$C$5:$C$1668,$C692)+1)/2)^2)/(COUNTIFS($A$5:$A$1668,$A692,$C$5:$C$1668,$C692)*($F692-1)^3))*IF($F692&lt;Points!$H$4,Points!$H$5,1),0)))</f>
        <v/>
      </c>
      <c r="H692" s="11">
        <f>IF($G692="","",COUNTIFS($B$5:$B$1668,$B692,$G$5:$G$1668,"&gt;"&amp;$G692)+COUNTIFS($B$4:$B691,$B692,$G$4:$G691,$G692)+1)</f>
        <v/>
      </c>
      <c r="I692" s="11">
        <f>IF($G692="","",IF($H692&lt;=Points!$H$6,$G692,0))</f>
        <v/>
      </c>
      <c r="J692" s="11">
        <f>IF($B692="","",IF(COUNTIF(Players!$A$2:$A$500,$B692)=0,"Player is not on the Players tab",IF(NOT(ISNUMBER($C692)),"Enter a gross score",IF(COUNTIFS($A$5:$A$1668,$A692,$B$5:$B$1668,$B692)&gt;1,"Player is listed twice this week",IF(AND($D692&lt;&gt;"",COUNTIFS($A$5:$A$1668,$A692,$D$5:$D$1668,$D692)&gt;1),"Two players picked as "&amp;$D692,IF(COUNTIFS($A$5:$A$1668,$A692,$D$5:$D$1668,"Gross winner")=0,"Pick this week's gross winner",IF(COUNTIFS($A$5:$A$1668,$A692,$D$5:$D$1668,"Net winner")=0,"Pick this week's net winner","OK")))))))</f>
        <v/>
      </c>
    </row>
    <row r="693" outlineLevel="1">
      <c r="A693" s="13" t="n">
        <v>46540</v>
      </c>
      <c r="E693" s="11">
        <f>IF(OR($B693="",NOT(ISNUMBER($C693))),"",COUNTIFS($A$5:$A$1668,$A693,$C$5:$C$1668,"&lt;"&amp;$C693)+1)</f>
        <v/>
      </c>
      <c r="F693" s="11">
        <f>IF(OR($B693="",NOT(ISNUMBER($C693))),"",COUNTIFS($A$5:$A$1668,$A693,$C$5:$C$1668,"&gt;0"))</f>
        <v/>
      </c>
      <c r="G693" s="11">
        <f>IF(OR($B693="",NOT(ISNUMBER($C693))),"",IF($D693&lt;&gt;"",ROUND(Points!$B$6*IF($F693&lt;Points!$H$4,Points!$H$5,1),0),ROUND(Points!$B$6*IF($F693&lt;=1,1,Points!$H$7+(1-Points!$H$7)*((($F693-$E693)*(($F693-$E693)+1)/2)^2-((($F693-$E693-COUNTIFS($A$5:$A$1668,$A693,$C$5:$C$1668,$C693)+1)-1)*($F693-$E693-COUNTIFS($A$5:$A$1668,$A693,$C$5:$C$1668,$C693)+1)/2)^2)/(COUNTIFS($A$5:$A$1668,$A693,$C$5:$C$1668,$C693)*($F693-1)^3))*IF($F693&lt;Points!$H$4,Points!$H$5,1),0)))</f>
        <v/>
      </c>
      <c r="H693" s="11">
        <f>IF($G693="","",COUNTIFS($B$5:$B$1668,$B693,$G$5:$G$1668,"&gt;"&amp;$G693)+COUNTIFS($B$4:$B692,$B693,$G$4:$G692,$G693)+1)</f>
        <v/>
      </c>
      <c r="I693" s="11">
        <f>IF($G693="","",IF($H693&lt;=Points!$H$6,$G693,0))</f>
        <v/>
      </c>
      <c r="J693" s="11">
        <f>IF($B693="","",IF(COUNTIF(Players!$A$2:$A$500,$B693)=0,"Player is not on the Players tab",IF(NOT(ISNUMBER($C693)),"Enter a gross score",IF(COUNTIFS($A$5:$A$1668,$A693,$B$5:$B$1668,$B693)&gt;1,"Player is listed twice this week",IF(AND($D693&lt;&gt;"",COUNTIFS($A$5:$A$1668,$A693,$D$5:$D$1668,$D693)&gt;1),"Two players picked as "&amp;$D693,IF(COUNTIFS($A$5:$A$1668,$A693,$D$5:$D$1668,"Gross winner")=0,"Pick this week's gross winner",IF(COUNTIFS($A$5:$A$1668,$A693,$D$5:$D$1668,"Net winner")=0,"Pick this week's net winner","OK")))))))</f>
        <v/>
      </c>
    </row>
    <row r="694" outlineLevel="1">
      <c r="A694" s="13" t="n">
        <v>46540</v>
      </c>
      <c r="E694" s="11">
        <f>IF(OR($B694="",NOT(ISNUMBER($C694))),"",COUNTIFS($A$5:$A$1668,$A694,$C$5:$C$1668,"&lt;"&amp;$C694)+1)</f>
        <v/>
      </c>
      <c r="F694" s="11">
        <f>IF(OR($B694="",NOT(ISNUMBER($C694))),"",COUNTIFS($A$5:$A$1668,$A694,$C$5:$C$1668,"&gt;0"))</f>
        <v/>
      </c>
      <c r="G694" s="11">
        <f>IF(OR($B694="",NOT(ISNUMBER($C694))),"",IF($D694&lt;&gt;"",ROUND(Points!$B$6*IF($F694&lt;Points!$H$4,Points!$H$5,1),0),ROUND(Points!$B$6*IF($F694&lt;=1,1,Points!$H$7+(1-Points!$H$7)*((($F694-$E694)*(($F694-$E694)+1)/2)^2-((($F694-$E694-COUNTIFS($A$5:$A$1668,$A694,$C$5:$C$1668,$C694)+1)-1)*($F694-$E694-COUNTIFS($A$5:$A$1668,$A694,$C$5:$C$1668,$C694)+1)/2)^2)/(COUNTIFS($A$5:$A$1668,$A694,$C$5:$C$1668,$C694)*($F694-1)^3))*IF($F694&lt;Points!$H$4,Points!$H$5,1),0)))</f>
        <v/>
      </c>
      <c r="H694" s="11">
        <f>IF($G694="","",COUNTIFS($B$5:$B$1668,$B694,$G$5:$G$1668,"&gt;"&amp;$G694)+COUNTIFS($B$4:$B693,$B694,$G$4:$G693,$G694)+1)</f>
        <v/>
      </c>
      <c r="I694" s="11">
        <f>IF($G694="","",IF($H694&lt;=Points!$H$6,$G694,0))</f>
        <v/>
      </c>
      <c r="J694" s="11">
        <f>IF($B694="","",IF(COUNTIF(Players!$A$2:$A$500,$B694)=0,"Player is not on the Players tab",IF(NOT(ISNUMBER($C694)),"Enter a gross score",IF(COUNTIFS($A$5:$A$1668,$A694,$B$5:$B$1668,$B694)&gt;1,"Player is listed twice this week",IF(AND($D694&lt;&gt;"",COUNTIFS($A$5:$A$1668,$A694,$D$5:$D$1668,$D694)&gt;1),"Two players picked as "&amp;$D694,IF(COUNTIFS($A$5:$A$1668,$A694,$D$5:$D$1668,"Gross winner")=0,"Pick this week's gross winner",IF(COUNTIFS($A$5:$A$1668,$A694,$D$5:$D$1668,"Net winner")=0,"Pick this week's net winner","OK")))))))</f>
        <v/>
      </c>
    </row>
    <row r="695" outlineLevel="1">
      <c r="A695" s="13" t="n">
        <v>46540</v>
      </c>
      <c r="E695" s="11">
        <f>IF(OR($B695="",NOT(ISNUMBER($C695))),"",COUNTIFS($A$5:$A$1668,$A695,$C$5:$C$1668,"&lt;"&amp;$C695)+1)</f>
        <v/>
      </c>
      <c r="F695" s="11">
        <f>IF(OR($B695="",NOT(ISNUMBER($C695))),"",COUNTIFS($A$5:$A$1668,$A695,$C$5:$C$1668,"&gt;0"))</f>
        <v/>
      </c>
      <c r="G695" s="11">
        <f>IF(OR($B695="",NOT(ISNUMBER($C695))),"",IF($D695&lt;&gt;"",ROUND(Points!$B$6*IF($F695&lt;Points!$H$4,Points!$H$5,1),0),ROUND(Points!$B$6*IF($F695&lt;=1,1,Points!$H$7+(1-Points!$H$7)*((($F695-$E695)*(($F695-$E695)+1)/2)^2-((($F695-$E695-COUNTIFS($A$5:$A$1668,$A695,$C$5:$C$1668,$C695)+1)-1)*($F695-$E695-COUNTIFS($A$5:$A$1668,$A695,$C$5:$C$1668,$C695)+1)/2)^2)/(COUNTIFS($A$5:$A$1668,$A695,$C$5:$C$1668,$C695)*($F695-1)^3))*IF($F695&lt;Points!$H$4,Points!$H$5,1),0)))</f>
        <v/>
      </c>
      <c r="H695" s="11">
        <f>IF($G695="","",COUNTIFS($B$5:$B$1668,$B695,$G$5:$G$1668,"&gt;"&amp;$G695)+COUNTIFS($B$4:$B694,$B695,$G$4:$G694,$G695)+1)</f>
        <v/>
      </c>
      <c r="I695" s="11">
        <f>IF($G695="","",IF($H695&lt;=Points!$H$6,$G695,0))</f>
        <v/>
      </c>
      <c r="J695" s="11">
        <f>IF($B695="","",IF(COUNTIF(Players!$A$2:$A$500,$B695)=0,"Player is not on the Players tab",IF(NOT(ISNUMBER($C695)),"Enter a gross score",IF(COUNTIFS($A$5:$A$1668,$A695,$B$5:$B$1668,$B695)&gt;1,"Player is listed twice this week",IF(AND($D695&lt;&gt;"",COUNTIFS($A$5:$A$1668,$A695,$D$5:$D$1668,$D695)&gt;1),"Two players picked as "&amp;$D695,IF(COUNTIFS($A$5:$A$1668,$A695,$D$5:$D$1668,"Gross winner")=0,"Pick this week's gross winner",IF(COUNTIFS($A$5:$A$1668,$A695,$D$5:$D$1668,"Net winner")=0,"Pick this week's net winner","OK")))))))</f>
        <v/>
      </c>
    </row>
    <row r="696" outlineLevel="1">
      <c r="A696" s="13" t="n">
        <v>46540</v>
      </c>
      <c r="E696" s="11">
        <f>IF(OR($B696="",NOT(ISNUMBER($C696))),"",COUNTIFS($A$5:$A$1668,$A696,$C$5:$C$1668,"&lt;"&amp;$C696)+1)</f>
        <v/>
      </c>
      <c r="F696" s="11">
        <f>IF(OR($B696="",NOT(ISNUMBER($C696))),"",COUNTIFS($A$5:$A$1668,$A696,$C$5:$C$1668,"&gt;0"))</f>
        <v/>
      </c>
      <c r="G696" s="11">
        <f>IF(OR($B696="",NOT(ISNUMBER($C696))),"",IF($D696&lt;&gt;"",ROUND(Points!$B$6*IF($F696&lt;Points!$H$4,Points!$H$5,1),0),ROUND(Points!$B$6*IF($F696&lt;=1,1,Points!$H$7+(1-Points!$H$7)*((($F696-$E696)*(($F696-$E696)+1)/2)^2-((($F696-$E696-COUNTIFS($A$5:$A$1668,$A696,$C$5:$C$1668,$C696)+1)-1)*($F696-$E696-COUNTIFS($A$5:$A$1668,$A696,$C$5:$C$1668,$C696)+1)/2)^2)/(COUNTIFS($A$5:$A$1668,$A696,$C$5:$C$1668,$C696)*($F696-1)^3))*IF($F696&lt;Points!$H$4,Points!$H$5,1),0)))</f>
        <v/>
      </c>
      <c r="H696" s="11">
        <f>IF($G696="","",COUNTIFS($B$5:$B$1668,$B696,$G$5:$G$1668,"&gt;"&amp;$G696)+COUNTIFS($B$4:$B695,$B696,$G$4:$G695,$G696)+1)</f>
        <v/>
      </c>
      <c r="I696" s="11">
        <f>IF($G696="","",IF($H696&lt;=Points!$H$6,$G696,0))</f>
        <v/>
      </c>
      <c r="J696" s="11">
        <f>IF($B696="","",IF(COUNTIF(Players!$A$2:$A$500,$B696)=0,"Player is not on the Players tab",IF(NOT(ISNUMBER($C696)),"Enter a gross score",IF(COUNTIFS($A$5:$A$1668,$A696,$B$5:$B$1668,$B696)&gt;1,"Player is listed twice this week",IF(AND($D696&lt;&gt;"",COUNTIFS($A$5:$A$1668,$A696,$D$5:$D$1668,$D696)&gt;1),"Two players picked as "&amp;$D696,IF(COUNTIFS($A$5:$A$1668,$A696,$D$5:$D$1668,"Gross winner")=0,"Pick this week's gross winner",IF(COUNTIFS($A$5:$A$1668,$A696,$D$5:$D$1668,"Net winner")=0,"Pick this week's net winner","OK")))))))</f>
        <v/>
      </c>
    </row>
    <row r="697" outlineLevel="1">
      <c r="A697" s="13" t="n">
        <v>46540</v>
      </c>
      <c r="E697" s="11">
        <f>IF(OR($B697="",NOT(ISNUMBER($C697))),"",COUNTIFS($A$5:$A$1668,$A697,$C$5:$C$1668,"&lt;"&amp;$C697)+1)</f>
        <v/>
      </c>
      <c r="F697" s="11">
        <f>IF(OR($B697="",NOT(ISNUMBER($C697))),"",COUNTIFS($A$5:$A$1668,$A697,$C$5:$C$1668,"&gt;0"))</f>
        <v/>
      </c>
      <c r="G697" s="11">
        <f>IF(OR($B697="",NOT(ISNUMBER($C697))),"",IF($D697&lt;&gt;"",ROUND(Points!$B$6*IF($F697&lt;Points!$H$4,Points!$H$5,1),0),ROUND(Points!$B$6*IF($F697&lt;=1,1,Points!$H$7+(1-Points!$H$7)*((($F697-$E697)*(($F697-$E697)+1)/2)^2-((($F697-$E697-COUNTIFS($A$5:$A$1668,$A697,$C$5:$C$1668,$C697)+1)-1)*($F697-$E697-COUNTIFS($A$5:$A$1668,$A697,$C$5:$C$1668,$C697)+1)/2)^2)/(COUNTIFS($A$5:$A$1668,$A697,$C$5:$C$1668,$C697)*($F697-1)^3))*IF($F697&lt;Points!$H$4,Points!$H$5,1),0)))</f>
        <v/>
      </c>
      <c r="H697" s="11">
        <f>IF($G697="","",COUNTIFS($B$5:$B$1668,$B697,$G$5:$G$1668,"&gt;"&amp;$G697)+COUNTIFS($B$4:$B696,$B697,$G$4:$G696,$G697)+1)</f>
        <v/>
      </c>
      <c r="I697" s="11">
        <f>IF($G697="","",IF($H697&lt;=Points!$H$6,$G697,0))</f>
        <v/>
      </c>
      <c r="J697" s="11">
        <f>IF($B697="","",IF(COUNTIF(Players!$A$2:$A$500,$B697)=0,"Player is not on the Players tab",IF(NOT(ISNUMBER($C697)),"Enter a gross score",IF(COUNTIFS($A$5:$A$1668,$A697,$B$5:$B$1668,$B697)&gt;1,"Player is listed twice this week",IF(AND($D697&lt;&gt;"",COUNTIFS($A$5:$A$1668,$A697,$D$5:$D$1668,$D697)&gt;1),"Two players picked as "&amp;$D697,IF(COUNTIFS($A$5:$A$1668,$A697,$D$5:$D$1668,"Gross winner")=0,"Pick this week's gross winner",IF(COUNTIFS($A$5:$A$1668,$A697,$D$5:$D$1668,"Net winner")=0,"Pick this week's net winner","OK")))))))</f>
        <v/>
      </c>
    </row>
    <row r="698" outlineLevel="1">
      <c r="A698" s="13" t="n">
        <v>46540</v>
      </c>
      <c r="E698" s="11">
        <f>IF(OR($B698="",NOT(ISNUMBER($C698))),"",COUNTIFS($A$5:$A$1668,$A698,$C$5:$C$1668,"&lt;"&amp;$C698)+1)</f>
        <v/>
      </c>
      <c r="F698" s="11">
        <f>IF(OR($B698="",NOT(ISNUMBER($C698))),"",COUNTIFS($A$5:$A$1668,$A698,$C$5:$C$1668,"&gt;0"))</f>
        <v/>
      </c>
      <c r="G698" s="11">
        <f>IF(OR($B698="",NOT(ISNUMBER($C698))),"",IF($D698&lt;&gt;"",ROUND(Points!$B$6*IF($F698&lt;Points!$H$4,Points!$H$5,1),0),ROUND(Points!$B$6*IF($F698&lt;=1,1,Points!$H$7+(1-Points!$H$7)*((($F698-$E698)*(($F698-$E698)+1)/2)^2-((($F698-$E698-COUNTIFS($A$5:$A$1668,$A698,$C$5:$C$1668,$C698)+1)-1)*($F698-$E698-COUNTIFS($A$5:$A$1668,$A698,$C$5:$C$1668,$C698)+1)/2)^2)/(COUNTIFS($A$5:$A$1668,$A698,$C$5:$C$1668,$C698)*($F698-1)^3))*IF($F698&lt;Points!$H$4,Points!$H$5,1),0)))</f>
        <v/>
      </c>
      <c r="H698" s="11">
        <f>IF($G698="","",COUNTIFS($B$5:$B$1668,$B698,$G$5:$G$1668,"&gt;"&amp;$G698)+COUNTIFS($B$4:$B697,$B698,$G$4:$G697,$G698)+1)</f>
        <v/>
      </c>
      <c r="I698" s="11">
        <f>IF($G698="","",IF($H698&lt;=Points!$H$6,$G698,0))</f>
        <v/>
      </c>
      <c r="J698" s="11">
        <f>IF($B698="","",IF(COUNTIF(Players!$A$2:$A$500,$B698)=0,"Player is not on the Players tab",IF(NOT(ISNUMBER($C698)),"Enter a gross score",IF(COUNTIFS($A$5:$A$1668,$A698,$B$5:$B$1668,$B698)&gt;1,"Player is listed twice this week",IF(AND($D698&lt;&gt;"",COUNTIFS($A$5:$A$1668,$A698,$D$5:$D$1668,$D698)&gt;1),"Two players picked as "&amp;$D698,IF(COUNTIFS($A$5:$A$1668,$A698,$D$5:$D$1668,"Gross winner")=0,"Pick this week's gross winner",IF(COUNTIFS($A$5:$A$1668,$A698,$D$5:$D$1668,"Net winner")=0,"Pick this week's net winner","OK")))))))</f>
        <v/>
      </c>
    </row>
    <row r="699" outlineLevel="1">
      <c r="A699" s="13" t="n">
        <v>46540</v>
      </c>
      <c r="E699" s="11">
        <f>IF(OR($B699="",NOT(ISNUMBER($C699))),"",COUNTIFS($A$5:$A$1668,$A699,$C$5:$C$1668,"&lt;"&amp;$C699)+1)</f>
        <v/>
      </c>
      <c r="F699" s="11">
        <f>IF(OR($B699="",NOT(ISNUMBER($C699))),"",COUNTIFS($A$5:$A$1668,$A699,$C$5:$C$1668,"&gt;0"))</f>
        <v/>
      </c>
      <c r="G699" s="11">
        <f>IF(OR($B699="",NOT(ISNUMBER($C699))),"",IF($D699&lt;&gt;"",ROUND(Points!$B$6*IF($F699&lt;Points!$H$4,Points!$H$5,1),0),ROUND(Points!$B$6*IF($F699&lt;=1,1,Points!$H$7+(1-Points!$H$7)*((($F699-$E699)*(($F699-$E699)+1)/2)^2-((($F699-$E699-COUNTIFS($A$5:$A$1668,$A699,$C$5:$C$1668,$C699)+1)-1)*($F699-$E699-COUNTIFS($A$5:$A$1668,$A699,$C$5:$C$1668,$C699)+1)/2)^2)/(COUNTIFS($A$5:$A$1668,$A699,$C$5:$C$1668,$C699)*($F699-1)^3))*IF($F699&lt;Points!$H$4,Points!$H$5,1),0)))</f>
        <v/>
      </c>
      <c r="H699" s="11">
        <f>IF($G699="","",COUNTIFS($B$5:$B$1668,$B699,$G$5:$G$1668,"&gt;"&amp;$G699)+COUNTIFS($B$4:$B698,$B699,$G$4:$G698,$G699)+1)</f>
        <v/>
      </c>
      <c r="I699" s="11">
        <f>IF($G699="","",IF($H699&lt;=Points!$H$6,$G699,0))</f>
        <v/>
      </c>
      <c r="J699" s="11">
        <f>IF($B699="","",IF(COUNTIF(Players!$A$2:$A$500,$B699)=0,"Player is not on the Players tab",IF(NOT(ISNUMBER($C699)),"Enter a gross score",IF(COUNTIFS($A$5:$A$1668,$A699,$B$5:$B$1668,$B699)&gt;1,"Player is listed twice this week",IF(AND($D699&lt;&gt;"",COUNTIFS($A$5:$A$1668,$A699,$D$5:$D$1668,$D699)&gt;1),"Two players picked as "&amp;$D699,IF(COUNTIFS($A$5:$A$1668,$A699,$D$5:$D$1668,"Gross winner")=0,"Pick this week's gross winner",IF(COUNTIFS($A$5:$A$1668,$A699,$D$5:$D$1668,"Net winner")=0,"Pick this week's net winner","OK")))))))</f>
        <v/>
      </c>
    </row>
    <row r="700" outlineLevel="1">
      <c r="A700" s="13" t="n">
        <v>46540</v>
      </c>
      <c r="E700" s="11">
        <f>IF(OR($B700="",NOT(ISNUMBER($C700))),"",COUNTIFS($A$5:$A$1668,$A700,$C$5:$C$1668,"&lt;"&amp;$C700)+1)</f>
        <v/>
      </c>
      <c r="F700" s="11">
        <f>IF(OR($B700="",NOT(ISNUMBER($C700))),"",COUNTIFS($A$5:$A$1668,$A700,$C$5:$C$1668,"&gt;0"))</f>
        <v/>
      </c>
      <c r="G700" s="11">
        <f>IF(OR($B700="",NOT(ISNUMBER($C700))),"",IF($D700&lt;&gt;"",ROUND(Points!$B$6*IF($F700&lt;Points!$H$4,Points!$H$5,1),0),ROUND(Points!$B$6*IF($F700&lt;=1,1,Points!$H$7+(1-Points!$H$7)*((($F700-$E700)*(($F700-$E700)+1)/2)^2-((($F700-$E700-COUNTIFS($A$5:$A$1668,$A700,$C$5:$C$1668,$C700)+1)-1)*($F700-$E700-COUNTIFS($A$5:$A$1668,$A700,$C$5:$C$1668,$C700)+1)/2)^2)/(COUNTIFS($A$5:$A$1668,$A700,$C$5:$C$1668,$C700)*($F700-1)^3))*IF($F700&lt;Points!$H$4,Points!$H$5,1),0)))</f>
        <v/>
      </c>
      <c r="H700" s="11">
        <f>IF($G700="","",COUNTIFS($B$5:$B$1668,$B700,$G$5:$G$1668,"&gt;"&amp;$G700)+COUNTIFS($B$4:$B699,$B700,$G$4:$G699,$G700)+1)</f>
        <v/>
      </c>
      <c r="I700" s="11">
        <f>IF($G700="","",IF($H700&lt;=Points!$H$6,$G700,0))</f>
        <v/>
      </c>
      <c r="J700" s="11">
        <f>IF($B700="","",IF(COUNTIF(Players!$A$2:$A$500,$B700)=0,"Player is not on the Players tab",IF(NOT(ISNUMBER($C700)),"Enter a gross score",IF(COUNTIFS($A$5:$A$1668,$A700,$B$5:$B$1668,$B700)&gt;1,"Player is listed twice this week",IF(AND($D700&lt;&gt;"",COUNTIFS($A$5:$A$1668,$A700,$D$5:$D$1668,$D700)&gt;1),"Two players picked as "&amp;$D700,IF(COUNTIFS($A$5:$A$1668,$A700,$D$5:$D$1668,"Gross winner")=0,"Pick this week's gross winner",IF(COUNTIFS($A$5:$A$1668,$A700,$D$5:$D$1668,"Net winner")=0,"Pick this week's net winner","OK")))))))</f>
        <v/>
      </c>
    </row>
    <row r="701" outlineLevel="1">
      <c r="A701" s="13" t="n">
        <v>46540</v>
      </c>
      <c r="E701" s="11">
        <f>IF(OR($B701="",NOT(ISNUMBER($C701))),"",COUNTIFS($A$5:$A$1668,$A701,$C$5:$C$1668,"&lt;"&amp;$C701)+1)</f>
        <v/>
      </c>
      <c r="F701" s="11">
        <f>IF(OR($B701="",NOT(ISNUMBER($C701))),"",COUNTIFS($A$5:$A$1668,$A701,$C$5:$C$1668,"&gt;0"))</f>
        <v/>
      </c>
      <c r="G701" s="11">
        <f>IF(OR($B701="",NOT(ISNUMBER($C701))),"",IF($D701&lt;&gt;"",ROUND(Points!$B$6*IF($F701&lt;Points!$H$4,Points!$H$5,1),0),ROUND(Points!$B$6*IF($F701&lt;=1,1,Points!$H$7+(1-Points!$H$7)*((($F701-$E701)*(($F701-$E701)+1)/2)^2-((($F701-$E701-COUNTIFS($A$5:$A$1668,$A701,$C$5:$C$1668,$C701)+1)-1)*($F701-$E701-COUNTIFS($A$5:$A$1668,$A701,$C$5:$C$1668,$C701)+1)/2)^2)/(COUNTIFS($A$5:$A$1668,$A701,$C$5:$C$1668,$C701)*($F701-1)^3))*IF($F701&lt;Points!$H$4,Points!$H$5,1),0)))</f>
        <v/>
      </c>
      <c r="H701" s="11">
        <f>IF($G701="","",COUNTIFS($B$5:$B$1668,$B701,$G$5:$G$1668,"&gt;"&amp;$G701)+COUNTIFS($B$4:$B700,$B701,$G$4:$G700,$G701)+1)</f>
        <v/>
      </c>
      <c r="I701" s="11">
        <f>IF($G701="","",IF($H701&lt;=Points!$H$6,$G701,0))</f>
        <v/>
      </c>
      <c r="J701" s="11">
        <f>IF($B701="","",IF(COUNTIF(Players!$A$2:$A$500,$B701)=0,"Player is not on the Players tab",IF(NOT(ISNUMBER($C701)),"Enter a gross score",IF(COUNTIFS($A$5:$A$1668,$A701,$B$5:$B$1668,$B701)&gt;1,"Player is listed twice this week",IF(AND($D701&lt;&gt;"",COUNTIFS($A$5:$A$1668,$A701,$D$5:$D$1668,$D701)&gt;1),"Two players picked as "&amp;$D701,IF(COUNTIFS($A$5:$A$1668,$A701,$D$5:$D$1668,"Gross winner")=0,"Pick this week's gross winner",IF(COUNTIFS($A$5:$A$1668,$A701,$D$5:$D$1668,"Net winner")=0,"Pick this week's net winner","OK")))))))</f>
        <v/>
      </c>
    </row>
    <row r="702" outlineLevel="1">
      <c r="A702" s="13" t="n">
        <v>46540</v>
      </c>
      <c r="E702" s="11">
        <f>IF(OR($B702="",NOT(ISNUMBER($C702))),"",COUNTIFS($A$5:$A$1668,$A702,$C$5:$C$1668,"&lt;"&amp;$C702)+1)</f>
        <v/>
      </c>
      <c r="F702" s="11">
        <f>IF(OR($B702="",NOT(ISNUMBER($C702))),"",COUNTIFS($A$5:$A$1668,$A702,$C$5:$C$1668,"&gt;0"))</f>
        <v/>
      </c>
      <c r="G702" s="11">
        <f>IF(OR($B702="",NOT(ISNUMBER($C702))),"",IF($D702&lt;&gt;"",ROUND(Points!$B$6*IF($F702&lt;Points!$H$4,Points!$H$5,1),0),ROUND(Points!$B$6*IF($F702&lt;=1,1,Points!$H$7+(1-Points!$H$7)*((($F702-$E702)*(($F702-$E702)+1)/2)^2-((($F702-$E702-COUNTIFS($A$5:$A$1668,$A702,$C$5:$C$1668,$C702)+1)-1)*($F702-$E702-COUNTIFS($A$5:$A$1668,$A702,$C$5:$C$1668,$C702)+1)/2)^2)/(COUNTIFS($A$5:$A$1668,$A702,$C$5:$C$1668,$C702)*($F702-1)^3))*IF($F702&lt;Points!$H$4,Points!$H$5,1),0)))</f>
        <v/>
      </c>
      <c r="H702" s="11">
        <f>IF($G702="","",COUNTIFS($B$5:$B$1668,$B702,$G$5:$G$1668,"&gt;"&amp;$G702)+COUNTIFS($B$4:$B701,$B702,$G$4:$G701,$G702)+1)</f>
        <v/>
      </c>
      <c r="I702" s="11">
        <f>IF($G702="","",IF($H702&lt;=Points!$H$6,$G702,0))</f>
        <v/>
      </c>
      <c r="J702" s="11">
        <f>IF($B702="","",IF(COUNTIF(Players!$A$2:$A$500,$B702)=0,"Player is not on the Players tab",IF(NOT(ISNUMBER($C702)),"Enter a gross score",IF(COUNTIFS($A$5:$A$1668,$A702,$B$5:$B$1668,$B702)&gt;1,"Player is listed twice this week",IF(AND($D702&lt;&gt;"",COUNTIFS($A$5:$A$1668,$A702,$D$5:$D$1668,$D702)&gt;1),"Two players picked as "&amp;$D702,IF(COUNTIFS($A$5:$A$1668,$A702,$D$5:$D$1668,"Gross winner")=0,"Pick this week's gross winner",IF(COUNTIFS($A$5:$A$1668,$A702,$D$5:$D$1668,"Net winner")=0,"Pick this week's net winner","OK")))))))</f>
        <v/>
      </c>
    </row>
    <row r="703" outlineLevel="1">
      <c r="A703" s="13" t="n">
        <v>46540</v>
      </c>
      <c r="E703" s="11">
        <f>IF(OR($B703="",NOT(ISNUMBER($C703))),"",COUNTIFS($A$5:$A$1668,$A703,$C$5:$C$1668,"&lt;"&amp;$C703)+1)</f>
        <v/>
      </c>
      <c r="F703" s="11">
        <f>IF(OR($B703="",NOT(ISNUMBER($C703))),"",COUNTIFS($A$5:$A$1668,$A703,$C$5:$C$1668,"&gt;0"))</f>
        <v/>
      </c>
      <c r="G703" s="11">
        <f>IF(OR($B703="",NOT(ISNUMBER($C703))),"",IF($D703&lt;&gt;"",ROUND(Points!$B$6*IF($F703&lt;Points!$H$4,Points!$H$5,1),0),ROUND(Points!$B$6*IF($F703&lt;=1,1,Points!$H$7+(1-Points!$H$7)*((($F703-$E703)*(($F703-$E703)+1)/2)^2-((($F703-$E703-COUNTIFS($A$5:$A$1668,$A703,$C$5:$C$1668,$C703)+1)-1)*($F703-$E703-COUNTIFS($A$5:$A$1668,$A703,$C$5:$C$1668,$C703)+1)/2)^2)/(COUNTIFS($A$5:$A$1668,$A703,$C$5:$C$1668,$C703)*($F703-1)^3))*IF($F703&lt;Points!$H$4,Points!$H$5,1),0)))</f>
        <v/>
      </c>
      <c r="H703" s="11">
        <f>IF($G703="","",COUNTIFS($B$5:$B$1668,$B703,$G$5:$G$1668,"&gt;"&amp;$G703)+COUNTIFS($B$4:$B702,$B703,$G$4:$G702,$G703)+1)</f>
        <v/>
      </c>
      <c r="I703" s="11">
        <f>IF($G703="","",IF($H703&lt;=Points!$H$6,$G703,0))</f>
        <v/>
      </c>
      <c r="J703" s="11">
        <f>IF($B703="","",IF(COUNTIF(Players!$A$2:$A$500,$B703)=0,"Player is not on the Players tab",IF(NOT(ISNUMBER($C703)),"Enter a gross score",IF(COUNTIFS($A$5:$A$1668,$A703,$B$5:$B$1668,$B703)&gt;1,"Player is listed twice this week",IF(AND($D703&lt;&gt;"",COUNTIFS($A$5:$A$1668,$A703,$D$5:$D$1668,$D703)&gt;1),"Two players picked as "&amp;$D703,IF(COUNTIFS($A$5:$A$1668,$A703,$D$5:$D$1668,"Gross winner")=0,"Pick this week's gross winner",IF(COUNTIFS($A$5:$A$1668,$A703,$D$5:$D$1668,"Net winner")=0,"Pick this week's net winner","OK")))))))</f>
        <v/>
      </c>
    </row>
    <row r="704" outlineLevel="1">
      <c r="A704" s="13" t="n">
        <v>46540</v>
      </c>
      <c r="E704" s="11">
        <f>IF(OR($B704="",NOT(ISNUMBER($C704))),"",COUNTIFS($A$5:$A$1668,$A704,$C$5:$C$1668,"&lt;"&amp;$C704)+1)</f>
        <v/>
      </c>
      <c r="F704" s="11">
        <f>IF(OR($B704="",NOT(ISNUMBER($C704))),"",COUNTIFS($A$5:$A$1668,$A704,$C$5:$C$1668,"&gt;0"))</f>
        <v/>
      </c>
      <c r="G704" s="11">
        <f>IF(OR($B704="",NOT(ISNUMBER($C704))),"",IF($D704&lt;&gt;"",ROUND(Points!$B$6*IF($F704&lt;Points!$H$4,Points!$H$5,1),0),ROUND(Points!$B$6*IF($F704&lt;=1,1,Points!$H$7+(1-Points!$H$7)*((($F704-$E704)*(($F704-$E704)+1)/2)^2-((($F704-$E704-COUNTIFS($A$5:$A$1668,$A704,$C$5:$C$1668,$C704)+1)-1)*($F704-$E704-COUNTIFS($A$5:$A$1668,$A704,$C$5:$C$1668,$C704)+1)/2)^2)/(COUNTIFS($A$5:$A$1668,$A704,$C$5:$C$1668,$C704)*($F704-1)^3))*IF($F704&lt;Points!$H$4,Points!$H$5,1),0)))</f>
        <v/>
      </c>
      <c r="H704" s="11">
        <f>IF($G704="","",COUNTIFS($B$5:$B$1668,$B704,$G$5:$G$1668,"&gt;"&amp;$G704)+COUNTIFS($B$4:$B703,$B704,$G$4:$G703,$G704)+1)</f>
        <v/>
      </c>
      <c r="I704" s="11">
        <f>IF($G704="","",IF($H704&lt;=Points!$H$6,$G704,0))</f>
        <v/>
      </c>
      <c r="J704" s="11">
        <f>IF($B704="","",IF(COUNTIF(Players!$A$2:$A$500,$B704)=0,"Player is not on the Players tab",IF(NOT(ISNUMBER($C704)),"Enter a gross score",IF(COUNTIFS($A$5:$A$1668,$A704,$B$5:$B$1668,$B704)&gt;1,"Player is listed twice this week",IF(AND($D704&lt;&gt;"",COUNTIFS($A$5:$A$1668,$A704,$D$5:$D$1668,$D704)&gt;1),"Two players picked as "&amp;$D704,IF(COUNTIFS($A$5:$A$1668,$A704,$D$5:$D$1668,"Gross winner")=0,"Pick this week's gross winner",IF(COUNTIFS($A$5:$A$1668,$A704,$D$5:$D$1668,"Net winner")=0,"Pick this week's net winner","OK")))))))</f>
        <v/>
      </c>
    </row>
    <row r="705" outlineLevel="1">
      <c r="A705" s="13" t="n">
        <v>46540</v>
      </c>
      <c r="E705" s="11">
        <f>IF(OR($B705="",NOT(ISNUMBER($C705))),"",COUNTIFS($A$5:$A$1668,$A705,$C$5:$C$1668,"&lt;"&amp;$C705)+1)</f>
        <v/>
      </c>
      <c r="F705" s="11">
        <f>IF(OR($B705="",NOT(ISNUMBER($C705))),"",COUNTIFS($A$5:$A$1668,$A705,$C$5:$C$1668,"&gt;0"))</f>
        <v/>
      </c>
      <c r="G705" s="11">
        <f>IF(OR($B705="",NOT(ISNUMBER($C705))),"",IF($D705&lt;&gt;"",ROUND(Points!$B$6*IF($F705&lt;Points!$H$4,Points!$H$5,1),0),ROUND(Points!$B$6*IF($F705&lt;=1,1,Points!$H$7+(1-Points!$H$7)*((($F705-$E705)*(($F705-$E705)+1)/2)^2-((($F705-$E705-COUNTIFS($A$5:$A$1668,$A705,$C$5:$C$1668,$C705)+1)-1)*($F705-$E705-COUNTIFS($A$5:$A$1668,$A705,$C$5:$C$1668,$C705)+1)/2)^2)/(COUNTIFS($A$5:$A$1668,$A705,$C$5:$C$1668,$C705)*($F705-1)^3))*IF($F705&lt;Points!$H$4,Points!$H$5,1),0)))</f>
        <v/>
      </c>
      <c r="H705" s="11">
        <f>IF($G705="","",COUNTIFS($B$5:$B$1668,$B705,$G$5:$G$1668,"&gt;"&amp;$G705)+COUNTIFS($B$4:$B704,$B705,$G$4:$G704,$G705)+1)</f>
        <v/>
      </c>
      <c r="I705" s="11">
        <f>IF($G705="","",IF($H705&lt;=Points!$H$6,$G705,0))</f>
        <v/>
      </c>
      <c r="J705" s="11">
        <f>IF($B705="","",IF(COUNTIF(Players!$A$2:$A$500,$B705)=0,"Player is not on the Players tab",IF(NOT(ISNUMBER($C705)),"Enter a gross score",IF(COUNTIFS($A$5:$A$1668,$A705,$B$5:$B$1668,$B705)&gt;1,"Player is listed twice this week",IF(AND($D705&lt;&gt;"",COUNTIFS($A$5:$A$1668,$A705,$D$5:$D$1668,$D705)&gt;1),"Two players picked as "&amp;$D705,IF(COUNTIFS($A$5:$A$1668,$A705,$D$5:$D$1668,"Gross winner")=0,"Pick this week's gross winner",IF(COUNTIFS($A$5:$A$1668,$A705,$D$5:$D$1668,"Net winner")=0,"Pick this week's net winner","OK")))))))</f>
        <v/>
      </c>
    </row>
    <row r="706" outlineLevel="1">
      <c r="A706" s="13" t="n">
        <v>46540</v>
      </c>
      <c r="E706" s="11">
        <f>IF(OR($B706="",NOT(ISNUMBER($C706))),"",COUNTIFS($A$5:$A$1668,$A706,$C$5:$C$1668,"&lt;"&amp;$C706)+1)</f>
        <v/>
      </c>
      <c r="F706" s="11">
        <f>IF(OR($B706="",NOT(ISNUMBER($C706))),"",COUNTIFS($A$5:$A$1668,$A706,$C$5:$C$1668,"&gt;0"))</f>
        <v/>
      </c>
      <c r="G706" s="11">
        <f>IF(OR($B706="",NOT(ISNUMBER($C706))),"",IF($D706&lt;&gt;"",ROUND(Points!$B$6*IF($F706&lt;Points!$H$4,Points!$H$5,1),0),ROUND(Points!$B$6*IF($F706&lt;=1,1,Points!$H$7+(1-Points!$H$7)*((($F706-$E706)*(($F706-$E706)+1)/2)^2-((($F706-$E706-COUNTIFS($A$5:$A$1668,$A706,$C$5:$C$1668,$C706)+1)-1)*($F706-$E706-COUNTIFS($A$5:$A$1668,$A706,$C$5:$C$1668,$C706)+1)/2)^2)/(COUNTIFS($A$5:$A$1668,$A706,$C$5:$C$1668,$C706)*($F706-1)^3))*IF($F706&lt;Points!$H$4,Points!$H$5,1),0)))</f>
        <v/>
      </c>
      <c r="H706" s="11">
        <f>IF($G706="","",COUNTIFS($B$5:$B$1668,$B706,$G$5:$G$1668,"&gt;"&amp;$G706)+COUNTIFS($B$4:$B705,$B706,$G$4:$G705,$G706)+1)</f>
        <v/>
      </c>
      <c r="I706" s="11">
        <f>IF($G706="","",IF($H706&lt;=Points!$H$6,$G706,0))</f>
        <v/>
      </c>
      <c r="J706" s="11">
        <f>IF($B706="","",IF(COUNTIF(Players!$A$2:$A$500,$B706)=0,"Player is not on the Players tab",IF(NOT(ISNUMBER($C706)),"Enter a gross score",IF(COUNTIFS($A$5:$A$1668,$A706,$B$5:$B$1668,$B706)&gt;1,"Player is listed twice this week",IF(AND($D706&lt;&gt;"",COUNTIFS($A$5:$A$1668,$A706,$D$5:$D$1668,$D706)&gt;1),"Two players picked as "&amp;$D706,IF(COUNTIFS($A$5:$A$1668,$A706,$D$5:$D$1668,"Gross winner")=0,"Pick this week's gross winner",IF(COUNTIFS($A$5:$A$1668,$A706,$D$5:$D$1668,"Net winner")=0,"Pick this week's net winner","OK")))))))</f>
        <v/>
      </c>
    </row>
    <row r="707" outlineLevel="1">
      <c r="A707" s="13" t="n">
        <v>46540</v>
      </c>
      <c r="E707" s="11">
        <f>IF(OR($B707="",NOT(ISNUMBER($C707))),"",COUNTIFS($A$5:$A$1668,$A707,$C$5:$C$1668,"&lt;"&amp;$C707)+1)</f>
        <v/>
      </c>
      <c r="F707" s="11">
        <f>IF(OR($B707="",NOT(ISNUMBER($C707))),"",COUNTIFS($A$5:$A$1668,$A707,$C$5:$C$1668,"&gt;0"))</f>
        <v/>
      </c>
      <c r="G707" s="11">
        <f>IF(OR($B707="",NOT(ISNUMBER($C707))),"",IF($D707&lt;&gt;"",ROUND(Points!$B$6*IF($F707&lt;Points!$H$4,Points!$H$5,1),0),ROUND(Points!$B$6*IF($F707&lt;=1,1,Points!$H$7+(1-Points!$H$7)*((($F707-$E707)*(($F707-$E707)+1)/2)^2-((($F707-$E707-COUNTIFS($A$5:$A$1668,$A707,$C$5:$C$1668,$C707)+1)-1)*($F707-$E707-COUNTIFS($A$5:$A$1668,$A707,$C$5:$C$1668,$C707)+1)/2)^2)/(COUNTIFS($A$5:$A$1668,$A707,$C$5:$C$1668,$C707)*($F707-1)^3))*IF($F707&lt;Points!$H$4,Points!$H$5,1),0)))</f>
        <v/>
      </c>
      <c r="H707" s="11">
        <f>IF($G707="","",COUNTIFS($B$5:$B$1668,$B707,$G$5:$G$1668,"&gt;"&amp;$G707)+COUNTIFS($B$4:$B706,$B707,$G$4:$G706,$G707)+1)</f>
        <v/>
      </c>
      <c r="I707" s="11">
        <f>IF($G707="","",IF($H707&lt;=Points!$H$6,$G707,0))</f>
        <v/>
      </c>
      <c r="J707" s="11">
        <f>IF($B707="","",IF(COUNTIF(Players!$A$2:$A$500,$B707)=0,"Player is not on the Players tab",IF(NOT(ISNUMBER($C707)),"Enter a gross score",IF(COUNTIFS($A$5:$A$1668,$A707,$B$5:$B$1668,$B707)&gt;1,"Player is listed twice this week",IF(AND($D707&lt;&gt;"",COUNTIFS($A$5:$A$1668,$A707,$D$5:$D$1668,$D707)&gt;1),"Two players picked as "&amp;$D707,IF(COUNTIFS($A$5:$A$1668,$A707,$D$5:$D$1668,"Gross winner")=0,"Pick this week's gross winner",IF(COUNTIFS($A$5:$A$1668,$A707,$D$5:$D$1668,"Net winner")=0,"Pick this week's net winner","OK")))))))</f>
        <v/>
      </c>
    </row>
    <row r="708" ht="10" customHeight="1"/>
    <row r="709" ht="22" customHeight="1">
      <c r="A709" s="12" t="inlineStr">
        <is>
          <t>Week 23  ·  Wednesday, Jun 9</t>
        </is>
      </c>
    </row>
    <row r="710" outlineLevel="1">
      <c r="A710" s="13" t="n">
        <v>46547</v>
      </c>
      <c r="E710" s="11">
        <f>IF(OR($B710="",NOT(ISNUMBER($C710))),"",COUNTIFS($A$5:$A$1668,$A710,$C$5:$C$1668,"&lt;"&amp;$C710)+1)</f>
        <v/>
      </c>
      <c r="F710" s="11">
        <f>IF(OR($B710="",NOT(ISNUMBER($C710))),"",COUNTIFS($A$5:$A$1668,$A710,$C$5:$C$1668,"&gt;0"))</f>
        <v/>
      </c>
      <c r="G710" s="11">
        <f>IF(OR($B710="",NOT(ISNUMBER($C710))),"",IF($D710&lt;&gt;"",ROUND(Points!$B$6*IF($F710&lt;Points!$H$4,Points!$H$5,1),0),ROUND(Points!$B$6*IF($F710&lt;=1,1,Points!$H$7+(1-Points!$H$7)*((($F710-$E710)*(($F710-$E710)+1)/2)^2-((($F710-$E710-COUNTIFS($A$5:$A$1668,$A710,$C$5:$C$1668,$C710)+1)-1)*($F710-$E710-COUNTIFS($A$5:$A$1668,$A710,$C$5:$C$1668,$C710)+1)/2)^2)/(COUNTIFS($A$5:$A$1668,$A710,$C$5:$C$1668,$C710)*($F710-1)^3))*IF($F710&lt;Points!$H$4,Points!$H$5,1),0)))</f>
        <v/>
      </c>
      <c r="H710" s="11">
        <f>IF($G710="","",COUNTIFS($B$5:$B$1668,$B710,$G$5:$G$1668,"&gt;"&amp;$G710)+COUNTIFS($B$4:$B709,$B710,$G$4:$G709,$G710)+1)</f>
        <v/>
      </c>
      <c r="I710" s="11">
        <f>IF($G710="","",IF($H710&lt;=Points!$H$6,$G710,0))</f>
        <v/>
      </c>
      <c r="J710" s="11">
        <f>IF($B710="","",IF(COUNTIF(Players!$A$2:$A$500,$B710)=0,"Player is not on the Players tab",IF(NOT(ISNUMBER($C710)),"Enter a gross score",IF(COUNTIFS($A$5:$A$1668,$A710,$B$5:$B$1668,$B710)&gt;1,"Player is listed twice this week",IF(AND($D710&lt;&gt;"",COUNTIFS($A$5:$A$1668,$A710,$D$5:$D$1668,$D710)&gt;1),"Two players picked as "&amp;$D710,IF(COUNTIFS($A$5:$A$1668,$A710,$D$5:$D$1668,"Gross winner")=0,"Pick this week's gross winner",IF(COUNTIFS($A$5:$A$1668,$A710,$D$5:$D$1668,"Net winner")=0,"Pick this week's net winner","OK")))))))</f>
        <v/>
      </c>
    </row>
    <row r="711" outlineLevel="1">
      <c r="A711" s="13" t="n">
        <v>46547</v>
      </c>
      <c r="E711" s="11">
        <f>IF(OR($B711="",NOT(ISNUMBER($C711))),"",COUNTIFS($A$5:$A$1668,$A711,$C$5:$C$1668,"&lt;"&amp;$C711)+1)</f>
        <v/>
      </c>
      <c r="F711" s="11">
        <f>IF(OR($B711="",NOT(ISNUMBER($C711))),"",COUNTIFS($A$5:$A$1668,$A711,$C$5:$C$1668,"&gt;0"))</f>
        <v/>
      </c>
      <c r="G711" s="11">
        <f>IF(OR($B711="",NOT(ISNUMBER($C711))),"",IF($D711&lt;&gt;"",ROUND(Points!$B$6*IF($F711&lt;Points!$H$4,Points!$H$5,1),0),ROUND(Points!$B$6*IF($F711&lt;=1,1,Points!$H$7+(1-Points!$H$7)*((($F711-$E711)*(($F711-$E711)+1)/2)^2-((($F711-$E711-COUNTIFS($A$5:$A$1668,$A711,$C$5:$C$1668,$C711)+1)-1)*($F711-$E711-COUNTIFS($A$5:$A$1668,$A711,$C$5:$C$1668,$C711)+1)/2)^2)/(COUNTIFS($A$5:$A$1668,$A711,$C$5:$C$1668,$C711)*($F711-1)^3))*IF($F711&lt;Points!$H$4,Points!$H$5,1),0)))</f>
        <v/>
      </c>
      <c r="H711" s="11">
        <f>IF($G711="","",COUNTIFS($B$5:$B$1668,$B711,$G$5:$G$1668,"&gt;"&amp;$G711)+COUNTIFS($B$4:$B710,$B711,$G$4:$G710,$G711)+1)</f>
        <v/>
      </c>
      <c r="I711" s="11">
        <f>IF($G711="","",IF($H711&lt;=Points!$H$6,$G711,0))</f>
        <v/>
      </c>
      <c r="J711" s="11">
        <f>IF($B711="","",IF(COUNTIF(Players!$A$2:$A$500,$B711)=0,"Player is not on the Players tab",IF(NOT(ISNUMBER($C711)),"Enter a gross score",IF(COUNTIFS($A$5:$A$1668,$A711,$B$5:$B$1668,$B711)&gt;1,"Player is listed twice this week",IF(AND($D711&lt;&gt;"",COUNTIFS($A$5:$A$1668,$A711,$D$5:$D$1668,$D711)&gt;1),"Two players picked as "&amp;$D711,IF(COUNTIFS($A$5:$A$1668,$A711,$D$5:$D$1668,"Gross winner")=0,"Pick this week's gross winner",IF(COUNTIFS($A$5:$A$1668,$A711,$D$5:$D$1668,"Net winner")=0,"Pick this week's net winner","OK")))))))</f>
        <v/>
      </c>
    </row>
    <row r="712" outlineLevel="1">
      <c r="A712" s="13" t="n">
        <v>46547</v>
      </c>
      <c r="E712" s="11">
        <f>IF(OR($B712="",NOT(ISNUMBER($C712))),"",COUNTIFS($A$5:$A$1668,$A712,$C$5:$C$1668,"&lt;"&amp;$C712)+1)</f>
        <v/>
      </c>
      <c r="F712" s="11">
        <f>IF(OR($B712="",NOT(ISNUMBER($C712))),"",COUNTIFS($A$5:$A$1668,$A712,$C$5:$C$1668,"&gt;0"))</f>
        <v/>
      </c>
      <c r="G712" s="11">
        <f>IF(OR($B712="",NOT(ISNUMBER($C712))),"",IF($D712&lt;&gt;"",ROUND(Points!$B$6*IF($F712&lt;Points!$H$4,Points!$H$5,1),0),ROUND(Points!$B$6*IF($F712&lt;=1,1,Points!$H$7+(1-Points!$H$7)*((($F712-$E712)*(($F712-$E712)+1)/2)^2-((($F712-$E712-COUNTIFS($A$5:$A$1668,$A712,$C$5:$C$1668,$C712)+1)-1)*($F712-$E712-COUNTIFS($A$5:$A$1668,$A712,$C$5:$C$1668,$C712)+1)/2)^2)/(COUNTIFS($A$5:$A$1668,$A712,$C$5:$C$1668,$C712)*($F712-1)^3))*IF($F712&lt;Points!$H$4,Points!$H$5,1),0)))</f>
        <v/>
      </c>
      <c r="H712" s="11">
        <f>IF($G712="","",COUNTIFS($B$5:$B$1668,$B712,$G$5:$G$1668,"&gt;"&amp;$G712)+COUNTIFS($B$4:$B711,$B712,$G$4:$G711,$G712)+1)</f>
        <v/>
      </c>
      <c r="I712" s="11">
        <f>IF($G712="","",IF($H712&lt;=Points!$H$6,$G712,0))</f>
        <v/>
      </c>
      <c r="J712" s="11">
        <f>IF($B712="","",IF(COUNTIF(Players!$A$2:$A$500,$B712)=0,"Player is not on the Players tab",IF(NOT(ISNUMBER($C712)),"Enter a gross score",IF(COUNTIFS($A$5:$A$1668,$A712,$B$5:$B$1668,$B712)&gt;1,"Player is listed twice this week",IF(AND($D712&lt;&gt;"",COUNTIFS($A$5:$A$1668,$A712,$D$5:$D$1668,$D712)&gt;1),"Two players picked as "&amp;$D712,IF(COUNTIFS($A$5:$A$1668,$A712,$D$5:$D$1668,"Gross winner")=0,"Pick this week's gross winner",IF(COUNTIFS($A$5:$A$1668,$A712,$D$5:$D$1668,"Net winner")=0,"Pick this week's net winner","OK")))))))</f>
        <v/>
      </c>
    </row>
    <row r="713" outlineLevel="1">
      <c r="A713" s="13" t="n">
        <v>46547</v>
      </c>
      <c r="E713" s="11">
        <f>IF(OR($B713="",NOT(ISNUMBER($C713))),"",COUNTIFS($A$5:$A$1668,$A713,$C$5:$C$1668,"&lt;"&amp;$C713)+1)</f>
        <v/>
      </c>
      <c r="F713" s="11">
        <f>IF(OR($B713="",NOT(ISNUMBER($C713))),"",COUNTIFS($A$5:$A$1668,$A713,$C$5:$C$1668,"&gt;0"))</f>
        <v/>
      </c>
      <c r="G713" s="11">
        <f>IF(OR($B713="",NOT(ISNUMBER($C713))),"",IF($D713&lt;&gt;"",ROUND(Points!$B$6*IF($F713&lt;Points!$H$4,Points!$H$5,1),0),ROUND(Points!$B$6*IF($F713&lt;=1,1,Points!$H$7+(1-Points!$H$7)*((($F713-$E713)*(($F713-$E713)+1)/2)^2-((($F713-$E713-COUNTIFS($A$5:$A$1668,$A713,$C$5:$C$1668,$C713)+1)-1)*($F713-$E713-COUNTIFS($A$5:$A$1668,$A713,$C$5:$C$1668,$C713)+1)/2)^2)/(COUNTIFS($A$5:$A$1668,$A713,$C$5:$C$1668,$C713)*($F713-1)^3))*IF($F713&lt;Points!$H$4,Points!$H$5,1),0)))</f>
        <v/>
      </c>
      <c r="H713" s="11">
        <f>IF($G713="","",COUNTIFS($B$5:$B$1668,$B713,$G$5:$G$1668,"&gt;"&amp;$G713)+COUNTIFS($B$4:$B712,$B713,$G$4:$G712,$G713)+1)</f>
        <v/>
      </c>
      <c r="I713" s="11">
        <f>IF($G713="","",IF($H713&lt;=Points!$H$6,$G713,0))</f>
        <v/>
      </c>
      <c r="J713" s="11">
        <f>IF($B713="","",IF(COUNTIF(Players!$A$2:$A$500,$B713)=0,"Player is not on the Players tab",IF(NOT(ISNUMBER($C713)),"Enter a gross score",IF(COUNTIFS($A$5:$A$1668,$A713,$B$5:$B$1668,$B713)&gt;1,"Player is listed twice this week",IF(AND($D713&lt;&gt;"",COUNTIFS($A$5:$A$1668,$A713,$D$5:$D$1668,$D713)&gt;1),"Two players picked as "&amp;$D713,IF(COUNTIFS($A$5:$A$1668,$A713,$D$5:$D$1668,"Gross winner")=0,"Pick this week's gross winner",IF(COUNTIFS($A$5:$A$1668,$A713,$D$5:$D$1668,"Net winner")=0,"Pick this week's net winner","OK")))))))</f>
        <v/>
      </c>
    </row>
    <row r="714" outlineLevel="1">
      <c r="A714" s="13" t="n">
        <v>46547</v>
      </c>
      <c r="E714" s="11">
        <f>IF(OR($B714="",NOT(ISNUMBER($C714))),"",COUNTIFS($A$5:$A$1668,$A714,$C$5:$C$1668,"&lt;"&amp;$C714)+1)</f>
        <v/>
      </c>
      <c r="F714" s="11">
        <f>IF(OR($B714="",NOT(ISNUMBER($C714))),"",COUNTIFS($A$5:$A$1668,$A714,$C$5:$C$1668,"&gt;0"))</f>
        <v/>
      </c>
      <c r="G714" s="11">
        <f>IF(OR($B714="",NOT(ISNUMBER($C714))),"",IF($D714&lt;&gt;"",ROUND(Points!$B$6*IF($F714&lt;Points!$H$4,Points!$H$5,1),0),ROUND(Points!$B$6*IF($F714&lt;=1,1,Points!$H$7+(1-Points!$H$7)*((($F714-$E714)*(($F714-$E714)+1)/2)^2-((($F714-$E714-COUNTIFS($A$5:$A$1668,$A714,$C$5:$C$1668,$C714)+1)-1)*($F714-$E714-COUNTIFS($A$5:$A$1668,$A714,$C$5:$C$1668,$C714)+1)/2)^2)/(COUNTIFS($A$5:$A$1668,$A714,$C$5:$C$1668,$C714)*($F714-1)^3))*IF($F714&lt;Points!$H$4,Points!$H$5,1),0)))</f>
        <v/>
      </c>
      <c r="H714" s="11">
        <f>IF($G714="","",COUNTIFS($B$5:$B$1668,$B714,$G$5:$G$1668,"&gt;"&amp;$G714)+COUNTIFS($B$4:$B713,$B714,$G$4:$G713,$G714)+1)</f>
        <v/>
      </c>
      <c r="I714" s="11">
        <f>IF($G714="","",IF($H714&lt;=Points!$H$6,$G714,0))</f>
        <v/>
      </c>
      <c r="J714" s="11">
        <f>IF($B714="","",IF(COUNTIF(Players!$A$2:$A$500,$B714)=0,"Player is not on the Players tab",IF(NOT(ISNUMBER($C714)),"Enter a gross score",IF(COUNTIFS($A$5:$A$1668,$A714,$B$5:$B$1668,$B714)&gt;1,"Player is listed twice this week",IF(AND($D714&lt;&gt;"",COUNTIFS($A$5:$A$1668,$A714,$D$5:$D$1668,$D714)&gt;1),"Two players picked as "&amp;$D714,IF(COUNTIFS($A$5:$A$1668,$A714,$D$5:$D$1668,"Gross winner")=0,"Pick this week's gross winner",IF(COUNTIFS($A$5:$A$1668,$A714,$D$5:$D$1668,"Net winner")=0,"Pick this week's net winner","OK")))))))</f>
        <v/>
      </c>
    </row>
    <row r="715" outlineLevel="1">
      <c r="A715" s="13" t="n">
        <v>46547</v>
      </c>
      <c r="E715" s="11">
        <f>IF(OR($B715="",NOT(ISNUMBER($C715))),"",COUNTIFS($A$5:$A$1668,$A715,$C$5:$C$1668,"&lt;"&amp;$C715)+1)</f>
        <v/>
      </c>
      <c r="F715" s="11">
        <f>IF(OR($B715="",NOT(ISNUMBER($C715))),"",COUNTIFS($A$5:$A$1668,$A715,$C$5:$C$1668,"&gt;0"))</f>
        <v/>
      </c>
      <c r="G715" s="11">
        <f>IF(OR($B715="",NOT(ISNUMBER($C715))),"",IF($D715&lt;&gt;"",ROUND(Points!$B$6*IF($F715&lt;Points!$H$4,Points!$H$5,1),0),ROUND(Points!$B$6*IF($F715&lt;=1,1,Points!$H$7+(1-Points!$H$7)*((($F715-$E715)*(($F715-$E715)+1)/2)^2-((($F715-$E715-COUNTIFS($A$5:$A$1668,$A715,$C$5:$C$1668,$C715)+1)-1)*($F715-$E715-COUNTIFS($A$5:$A$1668,$A715,$C$5:$C$1668,$C715)+1)/2)^2)/(COUNTIFS($A$5:$A$1668,$A715,$C$5:$C$1668,$C715)*($F715-1)^3))*IF($F715&lt;Points!$H$4,Points!$H$5,1),0)))</f>
        <v/>
      </c>
      <c r="H715" s="11">
        <f>IF($G715="","",COUNTIFS($B$5:$B$1668,$B715,$G$5:$G$1668,"&gt;"&amp;$G715)+COUNTIFS($B$4:$B714,$B715,$G$4:$G714,$G715)+1)</f>
        <v/>
      </c>
      <c r="I715" s="11">
        <f>IF($G715="","",IF($H715&lt;=Points!$H$6,$G715,0))</f>
        <v/>
      </c>
      <c r="J715" s="11">
        <f>IF($B715="","",IF(COUNTIF(Players!$A$2:$A$500,$B715)=0,"Player is not on the Players tab",IF(NOT(ISNUMBER($C715)),"Enter a gross score",IF(COUNTIFS($A$5:$A$1668,$A715,$B$5:$B$1668,$B715)&gt;1,"Player is listed twice this week",IF(AND($D715&lt;&gt;"",COUNTIFS($A$5:$A$1668,$A715,$D$5:$D$1668,$D715)&gt;1),"Two players picked as "&amp;$D715,IF(COUNTIFS($A$5:$A$1668,$A715,$D$5:$D$1668,"Gross winner")=0,"Pick this week's gross winner",IF(COUNTIFS($A$5:$A$1668,$A715,$D$5:$D$1668,"Net winner")=0,"Pick this week's net winner","OK")))))))</f>
        <v/>
      </c>
    </row>
    <row r="716" outlineLevel="1">
      <c r="A716" s="13" t="n">
        <v>46547</v>
      </c>
      <c r="E716" s="11">
        <f>IF(OR($B716="",NOT(ISNUMBER($C716))),"",COUNTIFS($A$5:$A$1668,$A716,$C$5:$C$1668,"&lt;"&amp;$C716)+1)</f>
        <v/>
      </c>
      <c r="F716" s="11">
        <f>IF(OR($B716="",NOT(ISNUMBER($C716))),"",COUNTIFS($A$5:$A$1668,$A716,$C$5:$C$1668,"&gt;0"))</f>
        <v/>
      </c>
      <c r="G716" s="11">
        <f>IF(OR($B716="",NOT(ISNUMBER($C716))),"",IF($D716&lt;&gt;"",ROUND(Points!$B$6*IF($F716&lt;Points!$H$4,Points!$H$5,1),0),ROUND(Points!$B$6*IF($F716&lt;=1,1,Points!$H$7+(1-Points!$H$7)*((($F716-$E716)*(($F716-$E716)+1)/2)^2-((($F716-$E716-COUNTIFS($A$5:$A$1668,$A716,$C$5:$C$1668,$C716)+1)-1)*($F716-$E716-COUNTIFS($A$5:$A$1668,$A716,$C$5:$C$1668,$C716)+1)/2)^2)/(COUNTIFS($A$5:$A$1668,$A716,$C$5:$C$1668,$C716)*($F716-1)^3))*IF($F716&lt;Points!$H$4,Points!$H$5,1),0)))</f>
        <v/>
      </c>
      <c r="H716" s="11">
        <f>IF($G716="","",COUNTIFS($B$5:$B$1668,$B716,$G$5:$G$1668,"&gt;"&amp;$G716)+COUNTIFS($B$4:$B715,$B716,$G$4:$G715,$G716)+1)</f>
        <v/>
      </c>
      <c r="I716" s="11">
        <f>IF($G716="","",IF($H716&lt;=Points!$H$6,$G716,0))</f>
        <v/>
      </c>
      <c r="J716" s="11">
        <f>IF($B716="","",IF(COUNTIF(Players!$A$2:$A$500,$B716)=0,"Player is not on the Players tab",IF(NOT(ISNUMBER($C716)),"Enter a gross score",IF(COUNTIFS($A$5:$A$1668,$A716,$B$5:$B$1668,$B716)&gt;1,"Player is listed twice this week",IF(AND($D716&lt;&gt;"",COUNTIFS($A$5:$A$1668,$A716,$D$5:$D$1668,$D716)&gt;1),"Two players picked as "&amp;$D716,IF(COUNTIFS($A$5:$A$1668,$A716,$D$5:$D$1668,"Gross winner")=0,"Pick this week's gross winner",IF(COUNTIFS($A$5:$A$1668,$A716,$D$5:$D$1668,"Net winner")=0,"Pick this week's net winner","OK")))))))</f>
        <v/>
      </c>
    </row>
    <row r="717" outlineLevel="1">
      <c r="A717" s="13" t="n">
        <v>46547</v>
      </c>
      <c r="E717" s="11">
        <f>IF(OR($B717="",NOT(ISNUMBER($C717))),"",COUNTIFS($A$5:$A$1668,$A717,$C$5:$C$1668,"&lt;"&amp;$C717)+1)</f>
        <v/>
      </c>
      <c r="F717" s="11">
        <f>IF(OR($B717="",NOT(ISNUMBER($C717))),"",COUNTIFS($A$5:$A$1668,$A717,$C$5:$C$1668,"&gt;0"))</f>
        <v/>
      </c>
      <c r="G717" s="11">
        <f>IF(OR($B717="",NOT(ISNUMBER($C717))),"",IF($D717&lt;&gt;"",ROUND(Points!$B$6*IF($F717&lt;Points!$H$4,Points!$H$5,1),0),ROUND(Points!$B$6*IF($F717&lt;=1,1,Points!$H$7+(1-Points!$H$7)*((($F717-$E717)*(($F717-$E717)+1)/2)^2-((($F717-$E717-COUNTIFS($A$5:$A$1668,$A717,$C$5:$C$1668,$C717)+1)-1)*($F717-$E717-COUNTIFS($A$5:$A$1668,$A717,$C$5:$C$1668,$C717)+1)/2)^2)/(COUNTIFS($A$5:$A$1668,$A717,$C$5:$C$1668,$C717)*($F717-1)^3))*IF($F717&lt;Points!$H$4,Points!$H$5,1),0)))</f>
        <v/>
      </c>
      <c r="H717" s="11">
        <f>IF($G717="","",COUNTIFS($B$5:$B$1668,$B717,$G$5:$G$1668,"&gt;"&amp;$G717)+COUNTIFS($B$4:$B716,$B717,$G$4:$G716,$G717)+1)</f>
        <v/>
      </c>
      <c r="I717" s="11">
        <f>IF($G717="","",IF($H717&lt;=Points!$H$6,$G717,0))</f>
        <v/>
      </c>
      <c r="J717" s="11">
        <f>IF($B717="","",IF(COUNTIF(Players!$A$2:$A$500,$B717)=0,"Player is not on the Players tab",IF(NOT(ISNUMBER($C717)),"Enter a gross score",IF(COUNTIFS($A$5:$A$1668,$A717,$B$5:$B$1668,$B717)&gt;1,"Player is listed twice this week",IF(AND($D717&lt;&gt;"",COUNTIFS($A$5:$A$1668,$A717,$D$5:$D$1668,$D717)&gt;1),"Two players picked as "&amp;$D717,IF(COUNTIFS($A$5:$A$1668,$A717,$D$5:$D$1668,"Gross winner")=0,"Pick this week's gross winner",IF(COUNTIFS($A$5:$A$1668,$A717,$D$5:$D$1668,"Net winner")=0,"Pick this week's net winner","OK")))))))</f>
        <v/>
      </c>
    </row>
    <row r="718" outlineLevel="1">
      <c r="A718" s="13" t="n">
        <v>46547</v>
      </c>
      <c r="E718" s="11">
        <f>IF(OR($B718="",NOT(ISNUMBER($C718))),"",COUNTIFS($A$5:$A$1668,$A718,$C$5:$C$1668,"&lt;"&amp;$C718)+1)</f>
        <v/>
      </c>
      <c r="F718" s="11">
        <f>IF(OR($B718="",NOT(ISNUMBER($C718))),"",COUNTIFS($A$5:$A$1668,$A718,$C$5:$C$1668,"&gt;0"))</f>
        <v/>
      </c>
      <c r="G718" s="11">
        <f>IF(OR($B718="",NOT(ISNUMBER($C718))),"",IF($D718&lt;&gt;"",ROUND(Points!$B$6*IF($F718&lt;Points!$H$4,Points!$H$5,1),0),ROUND(Points!$B$6*IF($F718&lt;=1,1,Points!$H$7+(1-Points!$H$7)*((($F718-$E718)*(($F718-$E718)+1)/2)^2-((($F718-$E718-COUNTIFS($A$5:$A$1668,$A718,$C$5:$C$1668,$C718)+1)-1)*($F718-$E718-COUNTIFS($A$5:$A$1668,$A718,$C$5:$C$1668,$C718)+1)/2)^2)/(COUNTIFS($A$5:$A$1668,$A718,$C$5:$C$1668,$C718)*($F718-1)^3))*IF($F718&lt;Points!$H$4,Points!$H$5,1),0)))</f>
        <v/>
      </c>
      <c r="H718" s="11">
        <f>IF($G718="","",COUNTIFS($B$5:$B$1668,$B718,$G$5:$G$1668,"&gt;"&amp;$G718)+COUNTIFS($B$4:$B717,$B718,$G$4:$G717,$G718)+1)</f>
        <v/>
      </c>
      <c r="I718" s="11">
        <f>IF($G718="","",IF($H718&lt;=Points!$H$6,$G718,0))</f>
        <v/>
      </c>
      <c r="J718" s="11">
        <f>IF($B718="","",IF(COUNTIF(Players!$A$2:$A$500,$B718)=0,"Player is not on the Players tab",IF(NOT(ISNUMBER($C718)),"Enter a gross score",IF(COUNTIFS($A$5:$A$1668,$A718,$B$5:$B$1668,$B718)&gt;1,"Player is listed twice this week",IF(AND($D718&lt;&gt;"",COUNTIFS($A$5:$A$1668,$A718,$D$5:$D$1668,$D718)&gt;1),"Two players picked as "&amp;$D718,IF(COUNTIFS($A$5:$A$1668,$A718,$D$5:$D$1668,"Gross winner")=0,"Pick this week's gross winner",IF(COUNTIFS($A$5:$A$1668,$A718,$D$5:$D$1668,"Net winner")=0,"Pick this week's net winner","OK")))))))</f>
        <v/>
      </c>
    </row>
    <row r="719" outlineLevel="1">
      <c r="A719" s="13" t="n">
        <v>46547</v>
      </c>
      <c r="E719" s="11">
        <f>IF(OR($B719="",NOT(ISNUMBER($C719))),"",COUNTIFS($A$5:$A$1668,$A719,$C$5:$C$1668,"&lt;"&amp;$C719)+1)</f>
        <v/>
      </c>
      <c r="F719" s="11">
        <f>IF(OR($B719="",NOT(ISNUMBER($C719))),"",COUNTIFS($A$5:$A$1668,$A719,$C$5:$C$1668,"&gt;0"))</f>
        <v/>
      </c>
      <c r="G719" s="11">
        <f>IF(OR($B719="",NOT(ISNUMBER($C719))),"",IF($D719&lt;&gt;"",ROUND(Points!$B$6*IF($F719&lt;Points!$H$4,Points!$H$5,1),0),ROUND(Points!$B$6*IF($F719&lt;=1,1,Points!$H$7+(1-Points!$H$7)*((($F719-$E719)*(($F719-$E719)+1)/2)^2-((($F719-$E719-COUNTIFS($A$5:$A$1668,$A719,$C$5:$C$1668,$C719)+1)-1)*($F719-$E719-COUNTIFS($A$5:$A$1668,$A719,$C$5:$C$1668,$C719)+1)/2)^2)/(COUNTIFS($A$5:$A$1668,$A719,$C$5:$C$1668,$C719)*($F719-1)^3))*IF($F719&lt;Points!$H$4,Points!$H$5,1),0)))</f>
        <v/>
      </c>
      <c r="H719" s="11">
        <f>IF($G719="","",COUNTIFS($B$5:$B$1668,$B719,$G$5:$G$1668,"&gt;"&amp;$G719)+COUNTIFS($B$4:$B718,$B719,$G$4:$G718,$G719)+1)</f>
        <v/>
      </c>
      <c r="I719" s="11">
        <f>IF($G719="","",IF($H719&lt;=Points!$H$6,$G719,0))</f>
        <v/>
      </c>
      <c r="J719" s="11">
        <f>IF($B719="","",IF(COUNTIF(Players!$A$2:$A$500,$B719)=0,"Player is not on the Players tab",IF(NOT(ISNUMBER($C719)),"Enter a gross score",IF(COUNTIFS($A$5:$A$1668,$A719,$B$5:$B$1668,$B719)&gt;1,"Player is listed twice this week",IF(AND($D719&lt;&gt;"",COUNTIFS($A$5:$A$1668,$A719,$D$5:$D$1668,$D719)&gt;1),"Two players picked as "&amp;$D719,IF(COUNTIFS($A$5:$A$1668,$A719,$D$5:$D$1668,"Gross winner")=0,"Pick this week's gross winner",IF(COUNTIFS($A$5:$A$1668,$A719,$D$5:$D$1668,"Net winner")=0,"Pick this week's net winner","OK")))))))</f>
        <v/>
      </c>
    </row>
    <row r="720" outlineLevel="1">
      <c r="A720" s="13" t="n">
        <v>46547</v>
      </c>
      <c r="E720" s="11">
        <f>IF(OR($B720="",NOT(ISNUMBER($C720))),"",COUNTIFS($A$5:$A$1668,$A720,$C$5:$C$1668,"&lt;"&amp;$C720)+1)</f>
        <v/>
      </c>
      <c r="F720" s="11">
        <f>IF(OR($B720="",NOT(ISNUMBER($C720))),"",COUNTIFS($A$5:$A$1668,$A720,$C$5:$C$1668,"&gt;0"))</f>
        <v/>
      </c>
      <c r="G720" s="11">
        <f>IF(OR($B720="",NOT(ISNUMBER($C720))),"",IF($D720&lt;&gt;"",ROUND(Points!$B$6*IF($F720&lt;Points!$H$4,Points!$H$5,1),0),ROUND(Points!$B$6*IF($F720&lt;=1,1,Points!$H$7+(1-Points!$H$7)*((($F720-$E720)*(($F720-$E720)+1)/2)^2-((($F720-$E720-COUNTIFS($A$5:$A$1668,$A720,$C$5:$C$1668,$C720)+1)-1)*($F720-$E720-COUNTIFS($A$5:$A$1668,$A720,$C$5:$C$1668,$C720)+1)/2)^2)/(COUNTIFS($A$5:$A$1668,$A720,$C$5:$C$1668,$C720)*($F720-1)^3))*IF($F720&lt;Points!$H$4,Points!$H$5,1),0)))</f>
        <v/>
      </c>
      <c r="H720" s="11">
        <f>IF($G720="","",COUNTIFS($B$5:$B$1668,$B720,$G$5:$G$1668,"&gt;"&amp;$G720)+COUNTIFS($B$4:$B719,$B720,$G$4:$G719,$G720)+1)</f>
        <v/>
      </c>
      <c r="I720" s="11">
        <f>IF($G720="","",IF($H720&lt;=Points!$H$6,$G720,0))</f>
        <v/>
      </c>
      <c r="J720" s="11">
        <f>IF($B720="","",IF(COUNTIF(Players!$A$2:$A$500,$B720)=0,"Player is not on the Players tab",IF(NOT(ISNUMBER($C720)),"Enter a gross score",IF(COUNTIFS($A$5:$A$1668,$A720,$B$5:$B$1668,$B720)&gt;1,"Player is listed twice this week",IF(AND($D720&lt;&gt;"",COUNTIFS($A$5:$A$1668,$A720,$D$5:$D$1668,$D720)&gt;1),"Two players picked as "&amp;$D720,IF(COUNTIFS($A$5:$A$1668,$A720,$D$5:$D$1668,"Gross winner")=0,"Pick this week's gross winner",IF(COUNTIFS($A$5:$A$1668,$A720,$D$5:$D$1668,"Net winner")=0,"Pick this week's net winner","OK")))))))</f>
        <v/>
      </c>
    </row>
    <row r="721" outlineLevel="1">
      <c r="A721" s="13" t="n">
        <v>46547</v>
      </c>
      <c r="E721" s="11">
        <f>IF(OR($B721="",NOT(ISNUMBER($C721))),"",COUNTIFS($A$5:$A$1668,$A721,$C$5:$C$1668,"&lt;"&amp;$C721)+1)</f>
        <v/>
      </c>
      <c r="F721" s="11">
        <f>IF(OR($B721="",NOT(ISNUMBER($C721))),"",COUNTIFS($A$5:$A$1668,$A721,$C$5:$C$1668,"&gt;0"))</f>
        <v/>
      </c>
      <c r="G721" s="11">
        <f>IF(OR($B721="",NOT(ISNUMBER($C721))),"",IF($D721&lt;&gt;"",ROUND(Points!$B$6*IF($F721&lt;Points!$H$4,Points!$H$5,1),0),ROUND(Points!$B$6*IF($F721&lt;=1,1,Points!$H$7+(1-Points!$H$7)*((($F721-$E721)*(($F721-$E721)+1)/2)^2-((($F721-$E721-COUNTIFS($A$5:$A$1668,$A721,$C$5:$C$1668,$C721)+1)-1)*($F721-$E721-COUNTIFS($A$5:$A$1668,$A721,$C$5:$C$1668,$C721)+1)/2)^2)/(COUNTIFS($A$5:$A$1668,$A721,$C$5:$C$1668,$C721)*($F721-1)^3))*IF($F721&lt;Points!$H$4,Points!$H$5,1),0)))</f>
        <v/>
      </c>
      <c r="H721" s="11">
        <f>IF($G721="","",COUNTIFS($B$5:$B$1668,$B721,$G$5:$G$1668,"&gt;"&amp;$G721)+COUNTIFS($B$4:$B720,$B721,$G$4:$G720,$G721)+1)</f>
        <v/>
      </c>
      <c r="I721" s="11">
        <f>IF($G721="","",IF($H721&lt;=Points!$H$6,$G721,0))</f>
        <v/>
      </c>
      <c r="J721" s="11">
        <f>IF($B721="","",IF(COUNTIF(Players!$A$2:$A$500,$B721)=0,"Player is not on the Players tab",IF(NOT(ISNUMBER($C721)),"Enter a gross score",IF(COUNTIFS($A$5:$A$1668,$A721,$B$5:$B$1668,$B721)&gt;1,"Player is listed twice this week",IF(AND($D721&lt;&gt;"",COUNTIFS($A$5:$A$1668,$A721,$D$5:$D$1668,$D721)&gt;1),"Two players picked as "&amp;$D721,IF(COUNTIFS($A$5:$A$1668,$A721,$D$5:$D$1668,"Gross winner")=0,"Pick this week's gross winner",IF(COUNTIFS($A$5:$A$1668,$A721,$D$5:$D$1668,"Net winner")=0,"Pick this week's net winner","OK")))))))</f>
        <v/>
      </c>
    </row>
    <row r="722" outlineLevel="1">
      <c r="A722" s="13" t="n">
        <v>46547</v>
      </c>
      <c r="E722" s="11">
        <f>IF(OR($B722="",NOT(ISNUMBER($C722))),"",COUNTIFS($A$5:$A$1668,$A722,$C$5:$C$1668,"&lt;"&amp;$C722)+1)</f>
        <v/>
      </c>
      <c r="F722" s="11">
        <f>IF(OR($B722="",NOT(ISNUMBER($C722))),"",COUNTIFS($A$5:$A$1668,$A722,$C$5:$C$1668,"&gt;0"))</f>
        <v/>
      </c>
      <c r="G722" s="11">
        <f>IF(OR($B722="",NOT(ISNUMBER($C722))),"",IF($D722&lt;&gt;"",ROUND(Points!$B$6*IF($F722&lt;Points!$H$4,Points!$H$5,1),0),ROUND(Points!$B$6*IF($F722&lt;=1,1,Points!$H$7+(1-Points!$H$7)*((($F722-$E722)*(($F722-$E722)+1)/2)^2-((($F722-$E722-COUNTIFS($A$5:$A$1668,$A722,$C$5:$C$1668,$C722)+1)-1)*($F722-$E722-COUNTIFS($A$5:$A$1668,$A722,$C$5:$C$1668,$C722)+1)/2)^2)/(COUNTIFS($A$5:$A$1668,$A722,$C$5:$C$1668,$C722)*($F722-1)^3))*IF($F722&lt;Points!$H$4,Points!$H$5,1),0)))</f>
        <v/>
      </c>
      <c r="H722" s="11">
        <f>IF($G722="","",COUNTIFS($B$5:$B$1668,$B722,$G$5:$G$1668,"&gt;"&amp;$G722)+COUNTIFS($B$4:$B721,$B722,$G$4:$G721,$G722)+1)</f>
        <v/>
      </c>
      <c r="I722" s="11">
        <f>IF($G722="","",IF($H722&lt;=Points!$H$6,$G722,0))</f>
        <v/>
      </c>
      <c r="J722" s="11">
        <f>IF($B722="","",IF(COUNTIF(Players!$A$2:$A$500,$B722)=0,"Player is not on the Players tab",IF(NOT(ISNUMBER($C722)),"Enter a gross score",IF(COUNTIFS($A$5:$A$1668,$A722,$B$5:$B$1668,$B722)&gt;1,"Player is listed twice this week",IF(AND($D722&lt;&gt;"",COUNTIFS($A$5:$A$1668,$A722,$D$5:$D$1668,$D722)&gt;1),"Two players picked as "&amp;$D722,IF(COUNTIFS($A$5:$A$1668,$A722,$D$5:$D$1668,"Gross winner")=0,"Pick this week's gross winner",IF(COUNTIFS($A$5:$A$1668,$A722,$D$5:$D$1668,"Net winner")=0,"Pick this week's net winner","OK")))))))</f>
        <v/>
      </c>
    </row>
    <row r="723" outlineLevel="1">
      <c r="A723" s="13" t="n">
        <v>46547</v>
      </c>
      <c r="E723" s="11">
        <f>IF(OR($B723="",NOT(ISNUMBER($C723))),"",COUNTIFS($A$5:$A$1668,$A723,$C$5:$C$1668,"&lt;"&amp;$C723)+1)</f>
        <v/>
      </c>
      <c r="F723" s="11">
        <f>IF(OR($B723="",NOT(ISNUMBER($C723))),"",COUNTIFS($A$5:$A$1668,$A723,$C$5:$C$1668,"&gt;0"))</f>
        <v/>
      </c>
      <c r="G723" s="11">
        <f>IF(OR($B723="",NOT(ISNUMBER($C723))),"",IF($D723&lt;&gt;"",ROUND(Points!$B$6*IF($F723&lt;Points!$H$4,Points!$H$5,1),0),ROUND(Points!$B$6*IF($F723&lt;=1,1,Points!$H$7+(1-Points!$H$7)*((($F723-$E723)*(($F723-$E723)+1)/2)^2-((($F723-$E723-COUNTIFS($A$5:$A$1668,$A723,$C$5:$C$1668,$C723)+1)-1)*($F723-$E723-COUNTIFS($A$5:$A$1668,$A723,$C$5:$C$1668,$C723)+1)/2)^2)/(COUNTIFS($A$5:$A$1668,$A723,$C$5:$C$1668,$C723)*($F723-1)^3))*IF($F723&lt;Points!$H$4,Points!$H$5,1),0)))</f>
        <v/>
      </c>
      <c r="H723" s="11">
        <f>IF($G723="","",COUNTIFS($B$5:$B$1668,$B723,$G$5:$G$1668,"&gt;"&amp;$G723)+COUNTIFS($B$4:$B722,$B723,$G$4:$G722,$G723)+1)</f>
        <v/>
      </c>
      <c r="I723" s="11">
        <f>IF($G723="","",IF($H723&lt;=Points!$H$6,$G723,0))</f>
        <v/>
      </c>
      <c r="J723" s="11">
        <f>IF($B723="","",IF(COUNTIF(Players!$A$2:$A$500,$B723)=0,"Player is not on the Players tab",IF(NOT(ISNUMBER($C723)),"Enter a gross score",IF(COUNTIFS($A$5:$A$1668,$A723,$B$5:$B$1668,$B723)&gt;1,"Player is listed twice this week",IF(AND($D723&lt;&gt;"",COUNTIFS($A$5:$A$1668,$A723,$D$5:$D$1668,$D723)&gt;1),"Two players picked as "&amp;$D723,IF(COUNTIFS($A$5:$A$1668,$A723,$D$5:$D$1668,"Gross winner")=0,"Pick this week's gross winner",IF(COUNTIFS($A$5:$A$1668,$A723,$D$5:$D$1668,"Net winner")=0,"Pick this week's net winner","OK")))))))</f>
        <v/>
      </c>
    </row>
    <row r="724" outlineLevel="1">
      <c r="A724" s="13" t="n">
        <v>46547</v>
      </c>
      <c r="E724" s="11">
        <f>IF(OR($B724="",NOT(ISNUMBER($C724))),"",COUNTIFS($A$5:$A$1668,$A724,$C$5:$C$1668,"&lt;"&amp;$C724)+1)</f>
        <v/>
      </c>
      <c r="F724" s="11">
        <f>IF(OR($B724="",NOT(ISNUMBER($C724))),"",COUNTIFS($A$5:$A$1668,$A724,$C$5:$C$1668,"&gt;0"))</f>
        <v/>
      </c>
      <c r="G724" s="11">
        <f>IF(OR($B724="",NOT(ISNUMBER($C724))),"",IF($D724&lt;&gt;"",ROUND(Points!$B$6*IF($F724&lt;Points!$H$4,Points!$H$5,1),0),ROUND(Points!$B$6*IF($F724&lt;=1,1,Points!$H$7+(1-Points!$H$7)*((($F724-$E724)*(($F724-$E724)+1)/2)^2-((($F724-$E724-COUNTIFS($A$5:$A$1668,$A724,$C$5:$C$1668,$C724)+1)-1)*($F724-$E724-COUNTIFS($A$5:$A$1668,$A724,$C$5:$C$1668,$C724)+1)/2)^2)/(COUNTIFS($A$5:$A$1668,$A724,$C$5:$C$1668,$C724)*($F724-1)^3))*IF($F724&lt;Points!$H$4,Points!$H$5,1),0)))</f>
        <v/>
      </c>
      <c r="H724" s="11">
        <f>IF($G724="","",COUNTIFS($B$5:$B$1668,$B724,$G$5:$G$1668,"&gt;"&amp;$G724)+COUNTIFS($B$4:$B723,$B724,$G$4:$G723,$G724)+1)</f>
        <v/>
      </c>
      <c r="I724" s="11">
        <f>IF($G724="","",IF($H724&lt;=Points!$H$6,$G724,0))</f>
        <v/>
      </c>
      <c r="J724" s="11">
        <f>IF($B724="","",IF(COUNTIF(Players!$A$2:$A$500,$B724)=0,"Player is not on the Players tab",IF(NOT(ISNUMBER($C724)),"Enter a gross score",IF(COUNTIFS($A$5:$A$1668,$A724,$B$5:$B$1668,$B724)&gt;1,"Player is listed twice this week",IF(AND($D724&lt;&gt;"",COUNTIFS($A$5:$A$1668,$A724,$D$5:$D$1668,$D724)&gt;1),"Two players picked as "&amp;$D724,IF(COUNTIFS($A$5:$A$1668,$A724,$D$5:$D$1668,"Gross winner")=0,"Pick this week's gross winner",IF(COUNTIFS($A$5:$A$1668,$A724,$D$5:$D$1668,"Net winner")=0,"Pick this week's net winner","OK")))))))</f>
        <v/>
      </c>
    </row>
    <row r="725" outlineLevel="1">
      <c r="A725" s="13" t="n">
        <v>46547</v>
      </c>
      <c r="E725" s="11">
        <f>IF(OR($B725="",NOT(ISNUMBER($C725))),"",COUNTIFS($A$5:$A$1668,$A725,$C$5:$C$1668,"&lt;"&amp;$C725)+1)</f>
        <v/>
      </c>
      <c r="F725" s="11">
        <f>IF(OR($B725="",NOT(ISNUMBER($C725))),"",COUNTIFS($A$5:$A$1668,$A725,$C$5:$C$1668,"&gt;0"))</f>
        <v/>
      </c>
      <c r="G725" s="11">
        <f>IF(OR($B725="",NOT(ISNUMBER($C725))),"",IF($D725&lt;&gt;"",ROUND(Points!$B$6*IF($F725&lt;Points!$H$4,Points!$H$5,1),0),ROUND(Points!$B$6*IF($F725&lt;=1,1,Points!$H$7+(1-Points!$H$7)*((($F725-$E725)*(($F725-$E725)+1)/2)^2-((($F725-$E725-COUNTIFS($A$5:$A$1668,$A725,$C$5:$C$1668,$C725)+1)-1)*($F725-$E725-COUNTIFS($A$5:$A$1668,$A725,$C$5:$C$1668,$C725)+1)/2)^2)/(COUNTIFS($A$5:$A$1668,$A725,$C$5:$C$1668,$C725)*($F725-1)^3))*IF($F725&lt;Points!$H$4,Points!$H$5,1),0)))</f>
        <v/>
      </c>
      <c r="H725" s="11">
        <f>IF($G725="","",COUNTIFS($B$5:$B$1668,$B725,$G$5:$G$1668,"&gt;"&amp;$G725)+COUNTIFS($B$4:$B724,$B725,$G$4:$G724,$G725)+1)</f>
        <v/>
      </c>
      <c r="I725" s="11">
        <f>IF($G725="","",IF($H725&lt;=Points!$H$6,$G725,0))</f>
        <v/>
      </c>
      <c r="J725" s="11">
        <f>IF($B725="","",IF(COUNTIF(Players!$A$2:$A$500,$B725)=0,"Player is not on the Players tab",IF(NOT(ISNUMBER($C725)),"Enter a gross score",IF(COUNTIFS($A$5:$A$1668,$A725,$B$5:$B$1668,$B725)&gt;1,"Player is listed twice this week",IF(AND($D725&lt;&gt;"",COUNTIFS($A$5:$A$1668,$A725,$D$5:$D$1668,$D725)&gt;1),"Two players picked as "&amp;$D725,IF(COUNTIFS($A$5:$A$1668,$A725,$D$5:$D$1668,"Gross winner")=0,"Pick this week's gross winner",IF(COUNTIFS($A$5:$A$1668,$A725,$D$5:$D$1668,"Net winner")=0,"Pick this week's net winner","OK")))))))</f>
        <v/>
      </c>
    </row>
    <row r="726" outlineLevel="1">
      <c r="A726" s="13" t="n">
        <v>46547</v>
      </c>
      <c r="E726" s="11">
        <f>IF(OR($B726="",NOT(ISNUMBER($C726))),"",COUNTIFS($A$5:$A$1668,$A726,$C$5:$C$1668,"&lt;"&amp;$C726)+1)</f>
        <v/>
      </c>
      <c r="F726" s="11">
        <f>IF(OR($B726="",NOT(ISNUMBER($C726))),"",COUNTIFS($A$5:$A$1668,$A726,$C$5:$C$1668,"&gt;0"))</f>
        <v/>
      </c>
      <c r="G726" s="11">
        <f>IF(OR($B726="",NOT(ISNUMBER($C726))),"",IF($D726&lt;&gt;"",ROUND(Points!$B$6*IF($F726&lt;Points!$H$4,Points!$H$5,1),0),ROUND(Points!$B$6*IF($F726&lt;=1,1,Points!$H$7+(1-Points!$H$7)*((($F726-$E726)*(($F726-$E726)+1)/2)^2-((($F726-$E726-COUNTIFS($A$5:$A$1668,$A726,$C$5:$C$1668,$C726)+1)-1)*($F726-$E726-COUNTIFS($A$5:$A$1668,$A726,$C$5:$C$1668,$C726)+1)/2)^2)/(COUNTIFS($A$5:$A$1668,$A726,$C$5:$C$1668,$C726)*($F726-1)^3))*IF($F726&lt;Points!$H$4,Points!$H$5,1),0)))</f>
        <v/>
      </c>
      <c r="H726" s="11">
        <f>IF($G726="","",COUNTIFS($B$5:$B$1668,$B726,$G$5:$G$1668,"&gt;"&amp;$G726)+COUNTIFS($B$4:$B725,$B726,$G$4:$G725,$G726)+1)</f>
        <v/>
      </c>
      <c r="I726" s="11">
        <f>IF($G726="","",IF($H726&lt;=Points!$H$6,$G726,0))</f>
        <v/>
      </c>
      <c r="J726" s="11">
        <f>IF($B726="","",IF(COUNTIF(Players!$A$2:$A$500,$B726)=0,"Player is not on the Players tab",IF(NOT(ISNUMBER($C726)),"Enter a gross score",IF(COUNTIFS($A$5:$A$1668,$A726,$B$5:$B$1668,$B726)&gt;1,"Player is listed twice this week",IF(AND($D726&lt;&gt;"",COUNTIFS($A$5:$A$1668,$A726,$D$5:$D$1668,$D726)&gt;1),"Two players picked as "&amp;$D726,IF(COUNTIFS($A$5:$A$1668,$A726,$D$5:$D$1668,"Gross winner")=0,"Pick this week's gross winner",IF(COUNTIFS($A$5:$A$1668,$A726,$D$5:$D$1668,"Net winner")=0,"Pick this week's net winner","OK")))))))</f>
        <v/>
      </c>
    </row>
    <row r="727" outlineLevel="1">
      <c r="A727" s="13" t="n">
        <v>46547</v>
      </c>
      <c r="E727" s="11">
        <f>IF(OR($B727="",NOT(ISNUMBER($C727))),"",COUNTIFS($A$5:$A$1668,$A727,$C$5:$C$1668,"&lt;"&amp;$C727)+1)</f>
        <v/>
      </c>
      <c r="F727" s="11">
        <f>IF(OR($B727="",NOT(ISNUMBER($C727))),"",COUNTIFS($A$5:$A$1668,$A727,$C$5:$C$1668,"&gt;0"))</f>
        <v/>
      </c>
      <c r="G727" s="11">
        <f>IF(OR($B727="",NOT(ISNUMBER($C727))),"",IF($D727&lt;&gt;"",ROUND(Points!$B$6*IF($F727&lt;Points!$H$4,Points!$H$5,1),0),ROUND(Points!$B$6*IF($F727&lt;=1,1,Points!$H$7+(1-Points!$H$7)*((($F727-$E727)*(($F727-$E727)+1)/2)^2-((($F727-$E727-COUNTIFS($A$5:$A$1668,$A727,$C$5:$C$1668,$C727)+1)-1)*($F727-$E727-COUNTIFS($A$5:$A$1668,$A727,$C$5:$C$1668,$C727)+1)/2)^2)/(COUNTIFS($A$5:$A$1668,$A727,$C$5:$C$1668,$C727)*($F727-1)^3))*IF($F727&lt;Points!$H$4,Points!$H$5,1),0)))</f>
        <v/>
      </c>
      <c r="H727" s="11">
        <f>IF($G727="","",COUNTIFS($B$5:$B$1668,$B727,$G$5:$G$1668,"&gt;"&amp;$G727)+COUNTIFS($B$4:$B726,$B727,$G$4:$G726,$G727)+1)</f>
        <v/>
      </c>
      <c r="I727" s="11">
        <f>IF($G727="","",IF($H727&lt;=Points!$H$6,$G727,0))</f>
        <v/>
      </c>
      <c r="J727" s="11">
        <f>IF($B727="","",IF(COUNTIF(Players!$A$2:$A$500,$B727)=0,"Player is not on the Players tab",IF(NOT(ISNUMBER($C727)),"Enter a gross score",IF(COUNTIFS($A$5:$A$1668,$A727,$B$5:$B$1668,$B727)&gt;1,"Player is listed twice this week",IF(AND($D727&lt;&gt;"",COUNTIFS($A$5:$A$1668,$A727,$D$5:$D$1668,$D727)&gt;1),"Two players picked as "&amp;$D727,IF(COUNTIFS($A$5:$A$1668,$A727,$D$5:$D$1668,"Gross winner")=0,"Pick this week's gross winner",IF(COUNTIFS($A$5:$A$1668,$A727,$D$5:$D$1668,"Net winner")=0,"Pick this week's net winner","OK")))))))</f>
        <v/>
      </c>
    </row>
    <row r="728" outlineLevel="1">
      <c r="A728" s="13" t="n">
        <v>46547</v>
      </c>
      <c r="E728" s="11">
        <f>IF(OR($B728="",NOT(ISNUMBER($C728))),"",COUNTIFS($A$5:$A$1668,$A728,$C$5:$C$1668,"&lt;"&amp;$C728)+1)</f>
        <v/>
      </c>
      <c r="F728" s="11">
        <f>IF(OR($B728="",NOT(ISNUMBER($C728))),"",COUNTIFS($A$5:$A$1668,$A728,$C$5:$C$1668,"&gt;0"))</f>
        <v/>
      </c>
      <c r="G728" s="11">
        <f>IF(OR($B728="",NOT(ISNUMBER($C728))),"",IF($D728&lt;&gt;"",ROUND(Points!$B$6*IF($F728&lt;Points!$H$4,Points!$H$5,1),0),ROUND(Points!$B$6*IF($F728&lt;=1,1,Points!$H$7+(1-Points!$H$7)*((($F728-$E728)*(($F728-$E728)+1)/2)^2-((($F728-$E728-COUNTIFS($A$5:$A$1668,$A728,$C$5:$C$1668,$C728)+1)-1)*($F728-$E728-COUNTIFS($A$5:$A$1668,$A728,$C$5:$C$1668,$C728)+1)/2)^2)/(COUNTIFS($A$5:$A$1668,$A728,$C$5:$C$1668,$C728)*($F728-1)^3))*IF($F728&lt;Points!$H$4,Points!$H$5,1),0)))</f>
        <v/>
      </c>
      <c r="H728" s="11">
        <f>IF($G728="","",COUNTIFS($B$5:$B$1668,$B728,$G$5:$G$1668,"&gt;"&amp;$G728)+COUNTIFS($B$4:$B727,$B728,$G$4:$G727,$G728)+1)</f>
        <v/>
      </c>
      <c r="I728" s="11">
        <f>IF($G728="","",IF($H728&lt;=Points!$H$6,$G728,0))</f>
        <v/>
      </c>
      <c r="J728" s="11">
        <f>IF($B728="","",IF(COUNTIF(Players!$A$2:$A$500,$B728)=0,"Player is not on the Players tab",IF(NOT(ISNUMBER($C728)),"Enter a gross score",IF(COUNTIFS($A$5:$A$1668,$A728,$B$5:$B$1668,$B728)&gt;1,"Player is listed twice this week",IF(AND($D728&lt;&gt;"",COUNTIFS($A$5:$A$1668,$A728,$D$5:$D$1668,$D728)&gt;1),"Two players picked as "&amp;$D728,IF(COUNTIFS($A$5:$A$1668,$A728,$D$5:$D$1668,"Gross winner")=0,"Pick this week's gross winner",IF(COUNTIFS($A$5:$A$1668,$A728,$D$5:$D$1668,"Net winner")=0,"Pick this week's net winner","OK")))))))</f>
        <v/>
      </c>
    </row>
    <row r="729" outlineLevel="1">
      <c r="A729" s="13" t="n">
        <v>46547</v>
      </c>
      <c r="E729" s="11">
        <f>IF(OR($B729="",NOT(ISNUMBER($C729))),"",COUNTIFS($A$5:$A$1668,$A729,$C$5:$C$1668,"&lt;"&amp;$C729)+1)</f>
        <v/>
      </c>
      <c r="F729" s="11">
        <f>IF(OR($B729="",NOT(ISNUMBER($C729))),"",COUNTIFS($A$5:$A$1668,$A729,$C$5:$C$1668,"&gt;0"))</f>
        <v/>
      </c>
      <c r="G729" s="11">
        <f>IF(OR($B729="",NOT(ISNUMBER($C729))),"",IF($D729&lt;&gt;"",ROUND(Points!$B$6*IF($F729&lt;Points!$H$4,Points!$H$5,1),0),ROUND(Points!$B$6*IF($F729&lt;=1,1,Points!$H$7+(1-Points!$H$7)*((($F729-$E729)*(($F729-$E729)+1)/2)^2-((($F729-$E729-COUNTIFS($A$5:$A$1668,$A729,$C$5:$C$1668,$C729)+1)-1)*($F729-$E729-COUNTIFS($A$5:$A$1668,$A729,$C$5:$C$1668,$C729)+1)/2)^2)/(COUNTIFS($A$5:$A$1668,$A729,$C$5:$C$1668,$C729)*($F729-1)^3))*IF($F729&lt;Points!$H$4,Points!$H$5,1),0)))</f>
        <v/>
      </c>
      <c r="H729" s="11">
        <f>IF($G729="","",COUNTIFS($B$5:$B$1668,$B729,$G$5:$G$1668,"&gt;"&amp;$G729)+COUNTIFS($B$4:$B728,$B729,$G$4:$G728,$G729)+1)</f>
        <v/>
      </c>
      <c r="I729" s="11">
        <f>IF($G729="","",IF($H729&lt;=Points!$H$6,$G729,0))</f>
        <v/>
      </c>
      <c r="J729" s="11">
        <f>IF($B729="","",IF(COUNTIF(Players!$A$2:$A$500,$B729)=0,"Player is not on the Players tab",IF(NOT(ISNUMBER($C729)),"Enter a gross score",IF(COUNTIFS($A$5:$A$1668,$A729,$B$5:$B$1668,$B729)&gt;1,"Player is listed twice this week",IF(AND($D729&lt;&gt;"",COUNTIFS($A$5:$A$1668,$A729,$D$5:$D$1668,$D729)&gt;1),"Two players picked as "&amp;$D729,IF(COUNTIFS($A$5:$A$1668,$A729,$D$5:$D$1668,"Gross winner")=0,"Pick this week's gross winner",IF(COUNTIFS($A$5:$A$1668,$A729,$D$5:$D$1668,"Net winner")=0,"Pick this week's net winner","OK")))))))</f>
        <v/>
      </c>
    </row>
    <row r="730" outlineLevel="1">
      <c r="A730" s="13" t="n">
        <v>46547</v>
      </c>
      <c r="E730" s="11">
        <f>IF(OR($B730="",NOT(ISNUMBER($C730))),"",COUNTIFS($A$5:$A$1668,$A730,$C$5:$C$1668,"&lt;"&amp;$C730)+1)</f>
        <v/>
      </c>
      <c r="F730" s="11">
        <f>IF(OR($B730="",NOT(ISNUMBER($C730))),"",COUNTIFS($A$5:$A$1668,$A730,$C$5:$C$1668,"&gt;0"))</f>
        <v/>
      </c>
      <c r="G730" s="11">
        <f>IF(OR($B730="",NOT(ISNUMBER($C730))),"",IF($D730&lt;&gt;"",ROUND(Points!$B$6*IF($F730&lt;Points!$H$4,Points!$H$5,1),0),ROUND(Points!$B$6*IF($F730&lt;=1,1,Points!$H$7+(1-Points!$H$7)*((($F730-$E730)*(($F730-$E730)+1)/2)^2-((($F730-$E730-COUNTIFS($A$5:$A$1668,$A730,$C$5:$C$1668,$C730)+1)-1)*($F730-$E730-COUNTIFS($A$5:$A$1668,$A730,$C$5:$C$1668,$C730)+1)/2)^2)/(COUNTIFS($A$5:$A$1668,$A730,$C$5:$C$1668,$C730)*($F730-1)^3))*IF($F730&lt;Points!$H$4,Points!$H$5,1),0)))</f>
        <v/>
      </c>
      <c r="H730" s="11">
        <f>IF($G730="","",COUNTIFS($B$5:$B$1668,$B730,$G$5:$G$1668,"&gt;"&amp;$G730)+COUNTIFS($B$4:$B729,$B730,$G$4:$G729,$G730)+1)</f>
        <v/>
      </c>
      <c r="I730" s="11">
        <f>IF($G730="","",IF($H730&lt;=Points!$H$6,$G730,0))</f>
        <v/>
      </c>
      <c r="J730" s="11">
        <f>IF($B730="","",IF(COUNTIF(Players!$A$2:$A$500,$B730)=0,"Player is not on the Players tab",IF(NOT(ISNUMBER($C730)),"Enter a gross score",IF(COUNTIFS($A$5:$A$1668,$A730,$B$5:$B$1668,$B730)&gt;1,"Player is listed twice this week",IF(AND($D730&lt;&gt;"",COUNTIFS($A$5:$A$1668,$A730,$D$5:$D$1668,$D730)&gt;1),"Two players picked as "&amp;$D730,IF(COUNTIFS($A$5:$A$1668,$A730,$D$5:$D$1668,"Gross winner")=0,"Pick this week's gross winner",IF(COUNTIFS($A$5:$A$1668,$A730,$D$5:$D$1668,"Net winner")=0,"Pick this week's net winner","OK")))))))</f>
        <v/>
      </c>
    </row>
    <row r="731" outlineLevel="1">
      <c r="A731" s="13" t="n">
        <v>46547</v>
      </c>
      <c r="E731" s="11">
        <f>IF(OR($B731="",NOT(ISNUMBER($C731))),"",COUNTIFS($A$5:$A$1668,$A731,$C$5:$C$1668,"&lt;"&amp;$C731)+1)</f>
        <v/>
      </c>
      <c r="F731" s="11">
        <f>IF(OR($B731="",NOT(ISNUMBER($C731))),"",COUNTIFS($A$5:$A$1668,$A731,$C$5:$C$1668,"&gt;0"))</f>
        <v/>
      </c>
      <c r="G731" s="11">
        <f>IF(OR($B731="",NOT(ISNUMBER($C731))),"",IF($D731&lt;&gt;"",ROUND(Points!$B$6*IF($F731&lt;Points!$H$4,Points!$H$5,1),0),ROUND(Points!$B$6*IF($F731&lt;=1,1,Points!$H$7+(1-Points!$H$7)*((($F731-$E731)*(($F731-$E731)+1)/2)^2-((($F731-$E731-COUNTIFS($A$5:$A$1668,$A731,$C$5:$C$1668,$C731)+1)-1)*($F731-$E731-COUNTIFS($A$5:$A$1668,$A731,$C$5:$C$1668,$C731)+1)/2)^2)/(COUNTIFS($A$5:$A$1668,$A731,$C$5:$C$1668,$C731)*($F731-1)^3))*IF($F731&lt;Points!$H$4,Points!$H$5,1),0)))</f>
        <v/>
      </c>
      <c r="H731" s="11">
        <f>IF($G731="","",COUNTIFS($B$5:$B$1668,$B731,$G$5:$G$1668,"&gt;"&amp;$G731)+COUNTIFS($B$4:$B730,$B731,$G$4:$G730,$G731)+1)</f>
        <v/>
      </c>
      <c r="I731" s="11">
        <f>IF($G731="","",IF($H731&lt;=Points!$H$6,$G731,0))</f>
        <v/>
      </c>
      <c r="J731" s="11">
        <f>IF($B731="","",IF(COUNTIF(Players!$A$2:$A$500,$B731)=0,"Player is not on the Players tab",IF(NOT(ISNUMBER($C731)),"Enter a gross score",IF(COUNTIFS($A$5:$A$1668,$A731,$B$5:$B$1668,$B731)&gt;1,"Player is listed twice this week",IF(AND($D731&lt;&gt;"",COUNTIFS($A$5:$A$1668,$A731,$D$5:$D$1668,$D731)&gt;1),"Two players picked as "&amp;$D731,IF(COUNTIFS($A$5:$A$1668,$A731,$D$5:$D$1668,"Gross winner")=0,"Pick this week's gross winner",IF(COUNTIFS($A$5:$A$1668,$A731,$D$5:$D$1668,"Net winner")=0,"Pick this week's net winner","OK")))))))</f>
        <v/>
      </c>
    </row>
    <row r="732" outlineLevel="1">
      <c r="A732" s="13" t="n">
        <v>46547</v>
      </c>
      <c r="E732" s="11">
        <f>IF(OR($B732="",NOT(ISNUMBER($C732))),"",COUNTIFS($A$5:$A$1668,$A732,$C$5:$C$1668,"&lt;"&amp;$C732)+1)</f>
        <v/>
      </c>
      <c r="F732" s="11">
        <f>IF(OR($B732="",NOT(ISNUMBER($C732))),"",COUNTIFS($A$5:$A$1668,$A732,$C$5:$C$1668,"&gt;0"))</f>
        <v/>
      </c>
      <c r="G732" s="11">
        <f>IF(OR($B732="",NOT(ISNUMBER($C732))),"",IF($D732&lt;&gt;"",ROUND(Points!$B$6*IF($F732&lt;Points!$H$4,Points!$H$5,1),0),ROUND(Points!$B$6*IF($F732&lt;=1,1,Points!$H$7+(1-Points!$H$7)*((($F732-$E732)*(($F732-$E732)+1)/2)^2-((($F732-$E732-COUNTIFS($A$5:$A$1668,$A732,$C$5:$C$1668,$C732)+1)-1)*($F732-$E732-COUNTIFS($A$5:$A$1668,$A732,$C$5:$C$1668,$C732)+1)/2)^2)/(COUNTIFS($A$5:$A$1668,$A732,$C$5:$C$1668,$C732)*($F732-1)^3))*IF($F732&lt;Points!$H$4,Points!$H$5,1),0)))</f>
        <v/>
      </c>
      <c r="H732" s="11">
        <f>IF($G732="","",COUNTIFS($B$5:$B$1668,$B732,$G$5:$G$1668,"&gt;"&amp;$G732)+COUNTIFS($B$4:$B731,$B732,$G$4:$G731,$G732)+1)</f>
        <v/>
      </c>
      <c r="I732" s="11">
        <f>IF($G732="","",IF($H732&lt;=Points!$H$6,$G732,0))</f>
        <v/>
      </c>
      <c r="J732" s="11">
        <f>IF($B732="","",IF(COUNTIF(Players!$A$2:$A$500,$B732)=0,"Player is not on the Players tab",IF(NOT(ISNUMBER($C732)),"Enter a gross score",IF(COUNTIFS($A$5:$A$1668,$A732,$B$5:$B$1668,$B732)&gt;1,"Player is listed twice this week",IF(AND($D732&lt;&gt;"",COUNTIFS($A$5:$A$1668,$A732,$D$5:$D$1668,$D732)&gt;1),"Two players picked as "&amp;$D732,IF(COUNTIFS($A$5:$A$1668,$A732,$D$5:$D$1668,"Gross winner")=0,"Pick this week's gross winner",IF(COUNTIFS($A$5:$A$1668,$A732,$D$5:$D$1668,"Net winner")=0,"Pick this week's net winner","OK")))))))</f>
        <v/>
      </c>
    </row>
    <row r="733" outlineLevel="1">
      <c r="A733" s="13" t="n">
        <v>46547</v>
      </c>
      <c r="E733" s="11">
        <f>IF(OR($B733="",NOT(ISNUMBER($C733))),"",COUNTIFS($A$5:$A$1668,$A733,$C$5:$C$1668,"&lt;"&amp;$C733)+1)</f>
        <v/>
      </c>
      <c r="F733" s="11">
        <f>IF(OR($B733="",NOT(ISNUMBER($C733))),"",COUNTIFS($A$5:$A$1668,$A733,$C$5:$C$1668,"&gt;0"))</f>
        <v/>
      </c>
      <c r="G733" s="11">
        <f>IF(OR($B733="",NOT(ISNUMBER($C733))),"",IF($D733&lt;&gt;"",ROUND(Points!$B$6*IF($F733&lt;Points!$H$4,Points!$H$5,1),0),ROUND(Points!$B$6*IF($F733&lt;=1,1,Points!$H$7+(1-Points!$H$7)*((($F733-$E733)*(($F733-$E733)+1)/2)^2-((($F733-$E733-COUNTIFS($A$5:$A$1668,$A733,$C$5:$C$1668,$C733)+1)-1)*($F733-$E733-COUNTIFS($A$5:$A$1668,$A733,$C$5:$C$1668,$C733)+1)/2)^2)/(COUNTIFS($A$5:$A$1668,$A733,$C$5:$C$1668,$C733)*($F733-1)^3))*IF($F733&lt;Points!$H$4,Points!$H$5,1),0)))</f>
        <v/>
      </c>
      <c r="H733" s="11">
        <f>IF($G733="","",COUNTIFS($B$5:$B$1668,$B733,$G$5:$G$1668,"&gt;"&amp;$G733)+COUNTIFS($B$4:$B732,$B733,$G$4:$G732,$G733)+1)</f>
        <v/>
      </c>
      <c r="I733" s="11">
        <f>IF($G733="","",IF($H733&lt;=Points!$H$6,$G733,0))</f>
        <v/>
      </c>
      <c r="J733" s="11">
        <f>IF($B733="","",IF(COUNTIF(Players!$A$2:$A$500,$B733)=0,"Player is not on the Players tab",IF(NOT(ISNUMBER($C733)),"Enter a gross score",IF(COUNTIFS($A$5:$A$1668,$A733,$B$5:$B$1668,$B733)&gt;1,"Player is listed twice this week",IF(AND($D733&lt;&gt;"",COUNTIFS($A$5:$A$1668,$A733,$D$5:$D$1668,$D733)&gt;1),"Two players picked as "&amp;$D733,IF(COUNTIFS($A$5:$A$1668,$A733,$D$5:$D$1668,"Gross winner")=0,"Pick this week's gross winner",IF(COUNTIFS($A$5:$A$1668,$A733,$D$5:$D$1668,"Net winner")=0,"Pick this week's net winner","OK")))))))</f>
        <v/>
      </c>
    </row>
    <row r="734" outlineLevel="1">
      <c r="A734" s="13" t="n">
        <v>46547</v>
      </c>
      <c r="E734" s="11">
        <f>IF(OR($B734="",NOT(ISNUMBER($C734))),"",COUNTIFS($A$5:$A$1668,$A734,$C$5:$C$1668,"&lt;"&amp;$C734)+1)</f>
        <v/>
      </c>
      <c r="F734" s="11">
        <f>IF(OR($B734="",NOT(ISNUMBER($C734))),"",COUNTIFS($A$5:$A$1668,$A734,$C$5:$C$1668,"&gt;0"))</f>
        <v/>
      </c>
      <c r="G734" s="11">
        <f>IF(OR($B734="",NOT(ISNUMBER($C734))),"",IF($D734&lt;&gt;"",ROUND(Points!$B$6*IF($F734&lt;Points!$H$4,Points!$H$5,1),0),ROUND(Points!$B$6*IF($F734&lt;=1,1,Points!$H$7+(1-Points!$H$7)*((($F734-$E734)*(($F734-$E734)+1)/2)^2-((($F734-$E734-COUNTIFS($A$5:$A$1668,$A734,$C$5:$C$1668,$C734)+1)-1)*($F734-$E734-COUNTIFS($A$5:$A$1668,$A734,$C$5:$C$1668,$C734)+1)/2)^2)/(COUNTIFS($A$5:$A$1668,$A734,$C$5:$C$1668,$C734)*($F734-1)^3))*IF($F734&lt;Points!$H$4,Points!$H$5,1),0)))</f>
        <v/>
      </c>
      <c r="H734" s="11">
        <f>IF($G734="","",COUNTIFS($B$5:$B$1668,$B734,$G$5:$G$1668,"&gt;"&amp;$G734)+COUNTIFS($B$4:$B733,$B734,$G$4:$G733,$G734)+1)</f>
        <v/>
      </c>
      <c r="I734" s="11">
        <f>IF($G734="","",IF($H734&lt;=Points!$H$6,$G734,0))</f>
        <v/>
      </c>
      <c r="J734" s="11">
        <f>IF($B734="","",IF(COUNTIF(Players!$A$2:$A$500,$B734)=0,"Player is not on the Players tab",IF(NOT(ISNUMBER($C734)),"Enter a gross score",IF(COUNTIFS($A$5:$A$1668,$A734,$B$5:$B$1668,$B734)&gt;1,"Player is listed twice this week",IF(AND($D734&lt;&gt;"",COUNTIFS($A$5:$A$1668,$A734,$D$5:$D$1668,$D734)&gt;1),"Two players picked as "&amp;$D734,IF(COUNTIFS($A$5:$A$1668,$A734,$D$5:$D$1668,"Gross winner")=0,"Pick this week's gross winner",IF(COUNTIFS($A$5:$A$1668,$A734,$D$5:$D$1668,"Net winner")=0,"Pick this week's net winner","OK")))))))</f>
        <v/>
      </c>
    </row>
    <row r="735" outlineLevel="1">
      <c r="A735" s="13" t="n">
        <v>46547</v>
      </c>
      <c r="E735" s="11">
        <f>IF(OR($B735="",NOT(ISNUMBER($C735))),"",COUNTIFS($A$5:$A$1668,$A735,$C$5:$C$1668,"&lt;"&amp;$C735)+1)</f>
        <v/>
      </c>
      <c r="F735" s="11">
        <f>IF(OR($B735="",NOT(ISNUMBER($C735))),"",COUNTIFS($A$5:$A$1668,$A735,$C$5:$C$1668,"&gt;0"))</f>
        <v/>
      </c>
      <c r="G735" s="11">
        <f>IF(OR($B735="",NOT(ISNUMBER($C735))),"",IF($D735&lt;&gt;"",ROUND(Points!$B$6*IF($F735&lt;Points!$H$4,Points!$H$5,1),0),ROUND(Points!$B$6*IF($F735&lt;=1,1,Points!$H$7+(1-Points!$H$7)*((($F735-$E735)*(($F735-$E735)+1)/2)^2-((($F735-$E735-COUNTIFS($A$5:$A$1668,$A735,$C$5:$C$1668,$C735)+1)-1)*($F735-$E735-COUNTIFS($A$5:$A$1668,$A735,$C$5:$C$1668,$C735)+1)/2)^2)/(COUNTIFS($A$5:$A$1668,$A735,$C$5:$C$1668,$C735)*($F735-1)^3))*IF($F735&lt;Points!$H$4,Points!$H$5,1),0)))</f>
        <v/>
      </c>
      <c r="H735" s="11">
        <f>IF($G735="","",COUNTIFS($B$5:$B$1668,$B735,$G$5:$G$1668,"&gt;"&amp;$G735)+COUNTIFS($B$4:$B734,$B735,$G$4:$G734,$G735)+1)</f>
        <v/>
      </c>
      <c r="I735" s="11">
        <f>IF($G735="","",IF($H735&lt;=Points!$H$6,$G735,0))</f>
        <v/>
      </c>
      <c r="J735" s="11">
        <f>IF($B735="","",IF(COUNTIF(Players!$A$2:$A$500,$B735)=0,"Player is not on the Players tab",IF(NOT(ISNUMBER($C735)),"Enter a gross score",IF(COUNTIFS($A$5:$A$1668,$A735,$B$5:$B$1668,$B735)&gt;1,"Player is listed twice this week",IF(AND($D735&lt;&gt;"",COUNTIFS($A$5:$A$1668,$A735,$D$5:$D$1668,$D735)&gt;1),"Two players picked as "&amp;$D735,IF(COUNTIFS($A$5:$A$1668,$A735,$D$5:$D$1668,"Gross winner")=0,"Pick this week's gross winner",IF(COUNTIFS($A$5:$A$1668,$A735,$D$5:$D$1668,"Net winner")=0,"Pick this week's net winner","OK")))))))</f>
        <v/>
      </c>
    </row>
    <row r="736" outlineLevel="1">
      <c r="A736" s="13" t="n">
        <v>46547</v>
      </c>
      <c r="E736" s="11">
        <f>IF(OR($B736="",NOT(ISNUMBER($C736))),"",COUNTIFS($A$5:$A$1668,$A736,$C$5:$C$1668,"&lt;"&amp;$C736)+1)</f>
        <v/>
      </c>
      <c r="F736" s="11">
        <f>IF(OR($B736="",NOT(ISNUMBER($C736))),"",COUNTIFS($A$5:$A$1668,$A736,$C$5:$C$1668,"&gt;0"))</f>
        <v/>
      </c>
      <c r="G736" s="11">
        <f>IF(OR($B736="",NOT(ISNUMBER($C736))),"",IF($D736&lt;&gt;"",ROUND(Points!$B$6*IF($F736&lt;Points!$H$4,Points!$H$5,1),0),ROUND(Points!$B$6*IF($F736&lt;=1,1,Points!$H$7+(1-Points!$H$7)*((($F736-$E736)*(($F736-$E736)+1)/2)^2-((($F736-$E736-COUNTIFS($A$5:$A$1668,$A736,$C$5:$C$1668,$C736)+1)-1)*($F736-$E736-COUNTIFS($A$5:$A$1668,$A736,$C$5:$C$1668,$C736)+1)/2)^2)/(COUNTIFS($A$5:$A$1668,$A736,$C$5:$C$1668,$C736)*($F736-1)^3))*IF($F736&lt;Points!$H$4,Points!$H$5,1),0)))</f>
        <v/>
      </c>
      <c r="H736" s="11">
        <f>IF($G736="","",COUNTIFS($B$5:$B$1668,$B736,$G$5:$G$1668,"&gt;"&amp;$G736)+COUNTIFS($B$4:$B735,$B736,$G$4:$G735,$G736)+1)</f>
        <v/>
      </c>
      <c r="I736" s="11">
        <f>IF($G736="","",IF($H736&lt;=Points!$H$6,$G736,0))</f>
        <v/>
      </c>
      <c r="J736" s="11">
        <f>IF($B736="","",IF(COUNTIF(Players!$A$2:$A$500,$B736)=0,"Player is not on the Players tab",IF(NOT(ISNUMBER($C736)),"Enter a gross score",IF(COUNTIFS($A$5:$A$1668,$A736,$B$5:$B$1668,$B736)&gt;1,"Player is listed twice this week",IF(AND($D736&lt;&gt;"",COUNTIFS($A$5:$A$1668,$A736,$D$5:$D$1668,$D736)&gt;1),"Two players picked as "&amp;$D736,IF(COUNTIFS($A$5:$A$1668,$A736,$D$5:$D$1668,"Gross winner")=0,"Pick this week's gross winner",IF(COUNTIFS($A$5:$A$1668,$A736,$D$5:$D$1668,"Net winner")=0,"Pick this week's net winner","OK")))))))</f>
        <v/>
      </c>
    </row>
    <row r="737" outlineLevel="1">
      <c r="A737" s="13" t="n">
        <v>46547</v>
      </c>
      <c r="E737" s="11">
        <f>IF(OR($B737="",NOT(ISNUMBER($C737))),"",COUNTIFS($A$5:$A$1668,$A737,$C$5:$C$1668,"&lt;"&amp;$C737)+1)</f>
        <v/>
      </c>
      <c r="F737" s="11">
        <f>IF(OR($B737="",NOT(ISNUMBER($C737))),"",COUNTIFS($A$5:$A$1668,$A737,$C$5:$C$1668,"&gt;0"))</f>
        <v/>
      </c>
      <c r="G737" s="11">
        <f>IF(OR($B737="",NOT(ISNUMBER($C737))),"",IF($D737&lt;&gt;"",ROUND(Points!$B$6*IF($F737&lt;Points!$H$4,Points!$H$5,1),0),ROUND(Points!$B$6*IF($F737&lt;=1,1,Points!$H$7+(1-Points!$H$7)*((($F737-$E737)*(($F737-$E737)+1)/2)^2-((($F737-$E737-COUNTIFS($A$5:$A$1668,$A737,$C$5:$C$1668,$C737)+1)-1)*($F737-$E737-COUNTIFS($A$5:$A$1668,$A737,$C$5:$C$1668,$C737)+1)/2)^2)/(COUNTIFS($A$5:$A$1668,$A737,$C$5:$C$1668,$C737)*($F737-1)^3))*IF($F737&lt;Points!$H$4,Points!$H$5,1),0)))</f>
        <v/>
      </c>
      <c r="H737" s="11">
        <f>IF($G737="","",COUNTIFS($B$5:$B$1668,$B737,$G$5:$G$1668,"&gt;"&amp;$G737)+COUNTIFS($B$4:$B736,$B737,$G$4:$G736,$G737)+1)</f>
        <v/>
      </c>
      <c r="I737" s="11">
        <f>IF($G737="","",IF($H737&lt;=Points!$H$6,$G737,0))</f>
        <v/>
      </c>
      <c r="J737" s="11">
        <f>IF($B737="","",IF(COUNTIF(Players!$A$2:$A$500,$B737)=0,"Player is not on the Players tab",IF(NOT(ISNUMBER($C737)),"Enter a gross score",IF(COUNTIFS($A$5:$A$1668,$A737,$B$5:$B$1668,$B737)&gt;1,"Player is listed twice this week",IF(AND($D737&lt;&gt;"",COUNTIFS($A$5:$A$1668,$A737,$D$5:$D$1668,$D737)&gt;1),"Two players picked as "&amp;$D737,IF(COUNTIFS($A$5:$A$1668,$A737,$D$5:$D$1668,"Gross winner")=0,"Pick this week's gross winner",IF(COUNTIFS($A$5:$A$1668,$A737,$D$5:$D$1668,"Net winner")=0,"Pick this week's net winner","OK")))))))</f>
        <v/>
      </c>
    </row>
    <row r="738" outlineLevel="1">
      <c r="A738" s="13" t="n">
        <v>46547</v>
      </c>
      <c r="E738" s="11">
        <f>IF(OR($B738="",NOT(ISNUMBER($C738))),"",COUNTIFS($A$5:$A$1668,$A738,$C$5:$C$1668,"&lt;"&amp;$C738)+1)</f>
        <v/>
      </c>
      <c r="F738" s="11">
        <f>IF(OR($B738="",NOT(ISNUMBER($C738))),"",COUNTIFS($A$5:$A$1668,$A738,$C$5:$C$1668,"&gt;0"))</f>
        <v/>
      </c>
      <c r="G738" s="11">
        <f>IF(OR($B738="",NOT(ISNUMBER($C738))),"",IF($D738&lt;&gt;"",ROUND(Points!$B$6*IF($F738&lt;Points!$H$4,Points!$H$5,1),0),ROUND(Points!$B$6*IF($F738&lt;=1,1,Points!$H$7+(1-Points!$H$7)*((($F738-$E738)*(($F738-$E738)+1)/2)^2-((($F738-$E738-COUNTIFS($A$5:$A$1668,$A738,$C$5:$C$1668,$C738)+1)-1)*($F738-$E738-COUNTIFS($A$5:$A$1668,$A738,$C$5:$C$1668,$C738)+1)/2)^2)/(COUNTIFS($A$5:$A$1668,$A738,$C$5:$C$1668,$C738)*($F738-1)^3))*IF($F738&lt;Points!$H$4,Points!$H$5,1),0)))</f>
        <v/>
      </c>
      <c r="H738" s="11">
        <f>IF($G738="","",COUNTIFS($B$5:$B$1668,$B738,$G$5:$G$1668,"&gt;"&amp;$G738)+COUNTIFS($B$4:$B737,$B738,$G$4:$G737,$G738)+1)</f>
        <v/>
      </c>
      <c r="I738" s="11">
        <f>IF($G738="","",IF($H738&lt;=Points!$H$6,$G738,0))</f>
        <v/>
      </c>
      <c r="J738" s="11">
        <f>IF($B738="","",IF(COUNTIF(Players!$A$2:$A$500,$B738)=0,"Player is not on the Players tab",IF(NOT(ISNUMBER($C738)),"Enter a gross score",IF(COUNTIFS($A$5:$A$1668,$A738,$B$5:$B$1668,$B738)&gt;1,"Player is listed twice this week",IF(AND($D738&lt;&gt;"",COUNTIFS($A$5:$A$1668,$A738,$D$5:$D$1668,$D738)&gt;1),"Two players picked as "&amp;$D738,IF(COUNTIFS($A$5:$A$1668,$A738,$D$5:$D$1668,"Gross winner")=0,"Pick this week's gross winner",IF(COUNTIFS($A$5:$A$1668,$A738,$D$5:$D$1668,"Net winner")=0,"Pick this week's net winner","OK")))))))</f>
        <v/>
      </c>
    </row>
    <row r="739" outlineLevel="1">
      <c r="A739" s="13" t="n">
        <v>46547</v>
      </c>
      <c r="E739" s="11">
        <f>IF(OR($B739="",NOT(ISNUMBER($C739))),"",COUNTIFS($A$5:$A$1668,$A739,$C$5:$C$1668,"&lt;"&amp;$C739)+1)</f>
        <v/>
      </c>
      <c r="F739" s="11">
        <f>IF(OR($B739="",NOT(ISNUMBER($C739))),"",COUNTIFS($A$5:$A$1668,$A739,$C$5:$C$1668,"&gt;0"))</f>
        <v/>
      </c>
      <c r="G739" s="11">
        <f>IF(OR($B739="",NOT(ISNUMBER($C739))),"",IF($D739&lt;&gt;"",ROUND(Points!$B$6*IF($F739&lt;Points!$H$4,Points!$H$5,1),0),ROUND(Points!$B$6*IF($F739&lt;=1,1,Points!$H$7+(1-Points!$H$7)*((($F739-$E739)*(($F739-$E739)+1)/2)^2-((($F739-$E739-COUNTIFS($A$5:$A$1668,$A739,$C$5:$C$1668,$C739)+1)-1)*($F739-$E739-COUNTIFS($A$5:$A$1668,$A739,$C$5:$C$1668,$C739)+1)/2)^2)/(COUNTIFS($A$5:$A$1668,$A739,$C$5:$C$1668,$C739)*($F739-1)^3))*IF($F739&lt;Points!$H$4,Points!$H$5,1),0)))</f>
        <v/>
      </c>
      <c r="H739" s="11">
        <f>IF($G739="","",COUNTIFS($B$5:$B$1668,$B739,$G$5:$G$1668,"&gt;"&amp;$G739)+COUNTIFS($B$4:$B738,$B739,$G$4:$G738,$G739)+1)</f>
        <v/>
      </c>
      <c r="I739" s="11">
        <f>IF($G739="","",IF($H739&lt;=Points!$H$6,$G739,0))</f>
        <v/>
      </c>
      <c r="J739" s="11">
        <f>IF($B739="","",IF(COUNTIF(Players!$A$2:$A$500,$B739)=0,"Player is not on the Players tab",IF(NOT(ISNUMBER($C739)),"Enter a gross score",IF(COUNTIFS($A$5:$A$1668,$A739,$B$5:$B$1668,$B739)&gt;1,"Player is listed twice this week",IF(AND($D739&lt;&gt;"",COUNTIFS($A$5:$A$1668,$A739,$D$5:$D$1668,$D739)&gt;1),"Two players picked as "&amp;$D739,IF(COUNTIFS($A$5:$A$1668,$A739,$D$5:$D$1668,"Gross winner")=0,"Pick this week's gross winner",IF(COUNTIFS($A$5:$A$1668,$A739,$D$5:$D$1668,"Net winner")=0,"Pick this week's net winner","OK")))))))</f>
        <v/>
      </c>
    </row>
    <row r="740" ht="10" customHeight="1"/>
    <row r="741" ht="22" customHeight="1">
      <c r="A741" s="12" t="inlineStr">
        <is>
          <t>Week 24  ·  Wednesday, Jun 16</t>
        </is>
      </c>
    </row>
    <row r="742" outlineLevel="1">
      <c r="A742" s="13" t="n">
        <v>46554</v>
      </c>
      <c r="E742" s="11">
        <f>IF(OR($B742="",NOT(ISNUMBER($C742))),"",COUNTIFS($A$5:$A$1668,$A742,$C$5:$C$1668,"&lt;"&amp;$C742)+1)</f>
        <v/>
      </c>
      <c r="F742" s="11">
        <f>IF(OR($B742="",NOT(ISNUMBER($C742))),"",COUNTIFS($A$5:$A$1668,$A742,$C$5:$C$1668,"&gt;0"))</f>
        <v/>
      </c>
      <c r="G742" s="11">
        <f>IF(OR($B742="",NOT(ISNUMBER($C742))),"",IF($D742&lt;&gt;"",ROUND(Points!$B$6*IF($F742&lt;Points!$H$4,Points!$H$5,1),0),ROUND(Points!$B$6*IF($F742&lt;=1,1,Points!$H$7+(1-Points!$H$7)*((($F742-$E742)*(($F742-$E742)+1)/2)^2-((($F742-$E742-COUNTIFS($A$5:$A$1668,$A742,$C$5:$C$1668,$C742)+1)-1)*($F742-$E742-COUNTIFS($A$5:$A$1668,$A742,$C$5:$C$1668,$C742)+1)/2)^2)/(COUNTIFS($A$5:$A$1668,$A742,$C$5:$C$1668,$C742)*($F742-1)^3))*IF($F742&lt;Points!$H$4,Points!$H$5,1),0)))</f>
        <v/>
      </c>
      <c r="H742" s="11">
        <f>IF($G742="","",COUNTIFS($B$5:$B$1668,$B742,$G$5:$G$1668,"&gt;"&amp;$G742)+COUNTIFS($B$4:$B741,$B742,$G$4:$G741,$G742)+1)</f>
        <v/>
      </c>
      <c r="I742" s="11">
        <f>IF($G742="","",IF($H742&lt;=Points!$H$6,$G742,0))</f>
        <v/>
      </c>
      <c r="J742" s="11">
        <f>IF($B742="","",IF(COUNTIF(Players!$A$2:$A$500,$B742)=0,"Player is not on the Players tab",IF(NOT(ISNUMBER($C742)),"Enter a gross score",IF(COUNTIFS($A$5:$A$1668,$A742,$B$5:$B$1668,$B742)&gt;1,"Player is listed twice this week",IF(AND($D742&lt;&gt;"",COUNTIFS($A$5:$A$1668,$A742,$D$5:$D$1668,$D742)&gt;1),"Two players picked as "&amp;$D742,IF(COUNTIFS($A$5:$A$1668,$A742,$D$5:$D$1668,"Gross winner")=0,"Pick this week's gross winner",IF(COUNTIFS($A$5:$A$1668,$A742,$D$5:$D$1668,"Net winner")=0,"Pick this week's net winner","OK")))))))</f>
        <v/>
      </c>
    </row>
    <row r="743" outlineLevel="1">
      <c r="A743" s="13" t="n">
        <v>46554</v>
      </c>
      <c r="E743" s="11">
        <f>IF(OR($B743="",NOT(ISNUMBER($C743))),"",COUNTIFS($A$5:$A$1668,$A743,$C$5:$C$1668,"&lt;"&amp;$C743)+1)</f>
        <v/>
      </c>
      <c r="F743" s="11">
        <f>IF(OR($B743="",NOT(ISNUMBER($C743))),"",COUNTIFS($A$5:$A$1668,$A743,$C$5:$C$1668,"&gt;0"))</f>
        <v/>
      </c>
      <c r="G743" s="11">
        <f>IF(OR($B743="",NOT(ISNUMBER($C743))),"",IF($D743&lt;&gt;"",ROUND(Points!$B$6*IF($F743&lt;Points!$H$4,Points!$H$5,1),0),ROUND(Points!$B$6*IF($F743&lt;=1,1,Points!$H$7+(1-Points!$H$7)*((($F743-$E743)*(($F743-$E743)+1)/2)^2-((($F743-$E743-COUNTIFS($A$5:$A$1668,$A743,$C$5:$C$1668,$C743)+1)-1)*($F743-$E743-COUNTIFS($A$5:$A$1668,$A743,$C$5:$C$1668,$C743)+1)/2)^2)/(COUNTIFS($A$5:$A$1668,$A743,$C$5:$C$1668,$C743)*($F743-1)^3))*IF($F743&lt;Points!$H$4,Points!$H$5,1),0)))</f>
        <v/>
      </c>
      <c r="H743" s="11">
        <f>IF($G743="","",COUNTIFS($B$5:$B$1668,$B743,$G$5:$G$1668,"&gt;"&amp;$G743)+COUNTIFS($B$4:$B742,$B743,$G$4:$G742,$G743)+1)</f>
        <v/>
      </c>
      <c r="I743" s="11">
        <f>IF($G743="","",IF($H743&lt;=Points!$H$6,$G743,0))</f>
        <v/>
      </c>
      <c r="J743" s="11">
        <f>IF($B743="","",IF(COUNTIF(Players!$A$2:$A$500,$B743)=0,"Player is not on the Players tab",IF(NOT(ISNUMBER($C743)),"Enter a gross score",IF(COUNTIFS($A$5:$A$1668,$A743,$B$5:$B$1668,$B743)&gt;1,"Player is listed twice this week",IF(AND($D743&lt;&gt;"",COUNTIFS($A$5:$A$1668,$A743,$D$5:$D$1668,$D743)&gt;1),"Two players picked as "&amp;$D743,IF(COUNTIFS($A$5:$A$1668,$A743,$D$5:$D$1668,"Gross winner")=0,"Pick this week's gross winner",IF(COUNTIFS($A$5:$A$1668,$A743,$D$5:$D$1668,"Net winner")=0,"Pick this week's net winner","OK")))))))</f>
        <v/>
      </c>
    </row>
    <row r="744" outlineLevel="1">
      <c r="A744" s="13" t="n">
        <v>46554</v>
      </c>
      <c r="E744" s="11">
        <f>IF(OR($B744="",NOT(ISNUMBER($C744))),"",COUNTIFS($A$5:$A$1668,$A744,$C$5:$C$1668,"&lt;"&amp;$C744)+1)</f>
        <v/>
      </c>
      <c r="F744" s="11">
        <f>IF(OR($B744="",NOT(ISNUMBER($C744))),"",COUNTIFS($A$5:$A$1668,$A744,$C$5:$C$1668,"&gt;0"))</f>
        <v/>
      </c>
      <c r="G744" s="11">
        <f>IF(OR($B744="",NOT(ISNUMBER($C744))),"",IF($D744&lt;&gt;"",ROUND(Points!$B$6*IF($F744&lt;Points!$H$4,Points!$H$5,1),0),ROUND(Points!$B$6*IF($F744&lt;=1,1,Points!$H$7+(1-Points!$H$7)*((($F744-$E744)*(($F744-$E744)+1)/2)^2-((($F744-$E744-COUNTIFS($A$5:$A$1668,$A744,$C$5:$C$1668,$C744)+1)-1)*($F744-$E744-COUNTIFS($A$5:$A$1668,$A744,$C$5:$C$1668,$C744)+1)/2)^2)/(COUNTIFS($A$5:$A$1668,$A744,$C$5:$C$1668,$C744)*($F744-1)^3))*IF($F744&lt;Points!$H$4,Points!$H$5,1),0)))</f>
        <v/>
      </c>
      <c r="H744" s="11">
        <f>IF($G744="","",COUNTIFS($B$5:$B$1668,$B744,$G$5:$G$1668,"&gt;"&amp;$G744)+COUNTIFS($B$4:$B743,$B744,$G$4:$G743,$G744)+1)</f>
        <v/>
      </c>
      <c r="I744" s="11">
        <f>IF($G744="","",IF($H744&lt;=Points!$H$6,$G744,0))</f>
        <v/>
      </c>
      <c r="J744" s="11">
        <f>IF($B744="","",IF(COUNTIF(Players!$A$2:$A$500,$B744)=0,"Player is not on the Players tab",IF(NOT(ISNUMBER($C744)),"Enter a gross score",IF(COUNTIFS($A$5:$A$1668,$A744,$B$5:$B$1668,$B744)&gt;1,"Player is listed twice this week",IF(AND($D744&lt;&gt;"",COUNTIFS($A$5:$A$1668,$A744,$D$5:$D$1668,$D744)&gt;1),"Two players picked as "&amp;$D744,IF(COUNTIFS($A$5:$A$1668,$A744,$D$5:$D$1668,"Gross winner")=0,"Pick this week's gross winner",IF(COUNTIFS($A$5:$A$1668,$A744,$D$5:$D$1668,"Net winner")=0,"Pick this week's net winner","OK")))))))</f>
        <v/>
      </c>
    </row>
    <row r="745" outlineLevel="1">
      <c r="A745" s="13" t="n">
        <v>46554</v>
      </c>
      <c r="E745" s="11">
        <f>IF(OR($B745="",NOT(ISNUMBER($C745))),"",COUNTIFS($A$5:$A$1668,$A745,$C$5:$C$1668,"&lt;"&amp;$C745)+1)</f>
        <v/>
      </c>
      <c r="F745" s="11">
        <f>IF(OR($B745="",NOT(ISNUMBER($C745))),"",COUNTIFS($A$5:$A$1668,$A745,$C$5:$C$1668,"&gt;0"))</f>
        <v/>
      </c>
      <c r="G745" s="11">
        <f>IF(OR($B745="",NOT(ISNUMBER($C745))),"",IF($D745&lt;&gt;"",ROUND(Points!$B$6*IF($F745&lt;Points!$H$4,Points!$H$5,1),0),ROUND(Points!$B$6*IF($F745&lt;=1,1,Points!$H$7+(1-Points!$H$7)*((($F745-$E745)*(($F745-$E745)+1)/2)^2-((($F745-$E745-COUNTIFS($A$5:$A$1668,$A745,$C$5:$C$1668,$C745)+1)-1)*($F745-$E745-COUNTIFS($A$5:$A$1668,$A745,$C$5:$C$1668,$C745)+1)/2)^2)/(COUNTIFS($A$5:$A$1668,$A745,$C$5:$C$1668,$C745)*($F745-1)^3))*IF($F745&lt;Points!$H$4,Points!$H$5,1),0)))</f>
        <v/>
      </c>
      <c r="H745" s="11">
        <f>IF($G745="","",COUNTIFS($B$5:$B$1668,$B745,$G$5:$G$1668,"&gt;"&amp;$G745)+COUNTIFS($B$4:$B744,$B745,$G$4:$G744,$G745)+1)</f>
        <v/>
      </c>
      <c r="I745" s="11">
        <f>IF($G745="","",IF($H745&lt;=Points!$H$6,$G745,0))</f>
        <v/>
      </c>
      <c r="J745" s="11">
        <f>IF($B745="","",IF(COUNTIF(Players!$A$2:$A$500,$B745)=0,"Player is not on the Players tab",IF(NOT(ISNUMBER($C745)),"Enter a gross score",IF(COUNTIFS($A$5:$A$1668,$A745,$B$5:$B$1668,$B745)&gt;1,"Player is listed twice this week",IF(AND($D745&lt;&gt;"",COUNTIFS($A$5:$A$1668,$A745,$D$5:$D$1668,$D745)&gt;1),"Two players picked as "&amp;$D745,IF(COUNTIFS($A$5:$A$1668,$A745,$D$5:$D$1668,"Gross winner")=0,"Pick this week's gross winner",IF(COUNTIFS($A$5:$A$1668,$A745,$D$5:$D$1668,"Net winner")=0,"Pick this week's net winner","OK")))))))</f>
        <v/>
      </c>
    </row>
    <row r="746" outlineLevel="1">
      <c r="A746" s="13" t="n">
        <v>46554</v>
      </c>
      <c r="E746" s="11">
        <f>IF(OR($B746="",NOT(ISNUMBER($C746))),"",COUNTIFS($A$5:$A$1668,$A746,$C$5:$C$1668,"&lt;"&amp;$C746)+1)</f>
        <v/>
      </c>
      <c r="F746" s="11">
        <f>IF(OR($B746="",NOT(ISNUMBER($C746))),"",COUNTIFS($A$5:$A$1668,$A746,$C$5:$C$1668,"&gt;0"))</f>
        <v/>
      </c>
      <c r="G746" s="11">
        <f>IF(OR($B746="",NOT(ISNUMBER($C746))),"",IF($D746&lt;&gt;"",ROUND(Points!$B$6*IF($F746&lt;Points!$H$4,Points!$H$5,1),0),ROUND(Points!$B$6*IF($F746&lt;=1,1,Points!$H$7+(1-Points!$H$7)*((($F746-$E746)*(($F746-$E746)+1)/2)^2-((($F746-$E746-COUNTIFS($A$5:$A$1668,$A746,$C$5:$C$1668,$C746)+1)-1)*($F746-$E746-COUNTIFS($A$5:$A$1668,$A746,$C$5:$C$1668,$C746)+1)/2)^2)/(COUNTIFS($A$5:$A$1668,$A746,$C$5:$C$1668,$C746)*($F746-1)^3))*IF($F746&lt;Points!$H$4,Points!$H$5,1),0)))</f>
        <v/>
      </c>
      <c r="H746" s="11">
        <f>IF($G746="","",COUNTIFS($B$5:$B$1668,$B746,$G$5:$G$1668,"&gt;"&amp;$G746)+COUNTIFS($B$4:$B745,$B746,$G$4:$G745,$G746)+1)</f>
        <v/>
      </c>
      <c r="I746" s="11">
        <f>IF($G746="","",IF($H746&lt;=Points!$H$6,$G746,0))</f>
        <v/>
      </c>
      <c r="J746" s="11">
        <f>IF($B746="","",IF(COUNTIF(Players!$A$2:$A$500,$B746)=0,"Player is not on the Players tab",IF(NOT(ISNUMBER($C746)),"Enter a gross score",IF(COUNTIFS($A$5:$A$1668,$A746,$B$5:$B$1668,$B746)&gt;1,"Player is listed twice this week",IF(AND($D746&lt;&gt;"",COUNTIFS($A$5:$A$1668,$A746,$D$5:$D$1668,$D746)&gt;1),"Two players picked as "&amp;$D746,IF(COUNTIFS($A$5:$A$1668,$A746,$D$5:$D$1668,"Gross winner")=0,"Pick this week's gross winner",IF(COUNTIFS($A$5:$A$1668,$A746,$D$5:$D$1668,"Net winner")=0,"Pick this week's net winner","OK")))))))</f>
        <v/>
      </c>
    </row>
    <row r="747" outlineLevel="1">
      <c r="A747" s="13" t="n">
        <v>46554</v>
      </c>
      <c r="E747" s="11">
        <f>IF(OR($B747="",NOT(ISNUMBER($C747))),"",COUNTIFS($A$5:$A$1668,$A747,$C$5:$C$1668,"&lt;"&amp;$C747)+1)</f>
        <v/>
      </c>
      <c r="F747" s="11">
        <f>IF(OR($B747="",NOT(ISNUMBER($C747))),"",COUNTIFS($A$5:$A$1668,$A747,$C$5:$C$1668,"&gt;0"))</f>
        <v/>
      </c>
      <c r="G747" s="11">
        <f>IF(OR($B747="",NOT(ISNUMBER($C747))),"",IF($D747&lt;&gt;"",ROUND(Points!$B$6*IF($F747&lt;Points!$H$4,Points!$H$5,1),0),ROUND(Points!$B$6*IF($F747&lt;=1,1,Points!$H$7+(1-Points!$H$7)*((($F747-$E747)*(($F747-$E747)+1)/2)^2-((($F747-$E747-COUNTIFS($A$5:$A$1668,$A747,$C$5:$C$1668,$C747)+1)-1)*($F747-$E747-COUNTIFS($A$5:$A$1668,$A747,$C$5:$C$1668,$C747)+1)/2)^2)/(COUNTIFS($A$5:$A$1668,$A747,$C$5:$C$1668,$C747)*($F747-1)^3))*IF($F747&lt;Points!$H$4,Points!$H$5,1),0)))</f>
        <v/>
      </c>
      <c r="H747" s="11">
        <f>IF($G747="","",COUNTIFS($B$5:$B$1668,$B747,$G$5:$G$1668,"&gt;"&amp;$G747)+COUNTIFS($B$4:$B746,$B747,$G$4:$G746,$G747)+1)</f>
        <v/>
      </c>
      <c r="I747" s="11">
        <f>IF($G747="","",IF($H747&lt;=Points!$H$6,$G747,0))</f>
        <v/>
      </c>
      <c r="J747" s="11">
        <f>IF($B747="","",IF(COUNTIF(Players!$A$2:$A$500,$B747)=0,"Player is not on the Players tab",IF(NOT(ISNUMBER($C747)),"Enter a gross score",IF(COUNTIFS($A$5:$A$1668,$A747,$B$5:$B$1668,$B747)&gt;1,"Player is listed twice this week",IF(AND($D747&lt;&gt;"",COUNTIFS($A$5:$A$1668,$A747,$D$5:$D$1668,$D747)&gt;1),"Two players picked as "&amp;$D747,IF(COUNTIFS($A$5:$A$1668,$A747,$D$5:$D$1668,"Gross winner")=0,"Pick this week's gross winner",IF(COUNTIFS($A$5:$A$1668,$A747,$D$5:$D$1668,"Net winner")=0,"Pick this week's net winner","OK")))))))</f>
        <v/>
      </c>
    </row>
    <row r="748" outlineLevel="1">
      <c r="A748" s="13" t="n">
        <v>46554</v>
      </c>
      <c r="E748" s="11">
        <f>IF(OR($B748="",NOT(ISNUMBER($C748))),"",COUNTIFS($A$5:$A$1668,$A748,$C$5:$C$1668,"&lt;"&amp;$C748)+1)</f>
        <v/>
      </c>
      <c r="F748" s="11">
        <f>IF(OR($B748="",NOT(ISNUMBER($C748))),"",COUNTIFS($A$5:$A$1668,$A748,$C$5:$C$1668,"&gt;0"))</f>
        <v/>
      </c>
      <c r="G748" s="11">
        <f>IF(OR($B748="",NOT(ISNUMBER($C748))),"",IF($D748&lt;&gt;"",ROUND(Points!$B$6*IF($F748&lt;Points!$H$4,Points!$H$5,1),0),ROUND(Points!$B$6*IF($F748&lt;=1,1,Points!$H$7+(1-Points!$H$7)*((($F748-$E748)*(($F748-$E748)+1)/2)^2-((($F748-$E748-COUNTIFS($A$5:$A$1668,$A748,$C$5:$C$1668,$C748)+1)-1)*($F748-$E748-COUNTIFS($A$5:$A$1668,$A748,$C$5:$C$1668,$C748)+1)/2)^2)/(COUNTIFS($A$5:$A$1668,$A748,$C$5:$C$1668,$C748)*($F748-1)^3))*IF($F748&lt;Points!$H$4,Points!$H$5,1),0)))</f>
        <v/>
      </c>
      <c r="H748" s="11">
        <f>IF($G748="","",COUNTIFS($B$5:$B$1668,$B748,$G$5:$G$1668,"&gt;"&amp;$G748)+COUNTIFS($B$4:$B747,$B748,$G$4:$G747,$G748)+1)</f>
        <v/>
      </c>
      <c r="I748" s="11">
        <f>IF($G748="","",IF($H748&lt;=Points!$H$6,$G748,0))</f>
        <v/>
      </c>
      <c r="J748" s="11">
        <f>IF($B748="","",IF(COUNTIF(Players!$A$2:$A$500,$B748)=0,"Player is not on the Players tab",IF(NOT(ISNUMBER($C748)),"Enter a gross score",IF(COUNTIFS($A$5:$A$1668,$A748,$B$5:$B$1668,$B748)&gt;1,"Player is listed twice this week",IF(AND($D748&lt;&gt;"",COUNTIFS($A$5:$A$1668,$A748,$D$5:$D$1668,$D748)&gt;1),"Two players picked as "&amp;$D748,IF(COUNTIFS($A$5:$A$1668,$A748,$D$5:$D$1668,"Gross winner")=0,"Pick this week's gross winner",IF(COUNTIFS($A$5:$A$1668,$A748,$D$5:$D$1668,"Net winner")=0,"Pick this week's net winner","OK")))))))</f>
        <v/>
      </c>
    </row>
    <row r="749" outlineLevel="1">
      <c r="A749" s="13" t="n">
        <v>46554</v>
      </c>
      <c r="E749" s="11">
        <f>IF(OR($B749="",NOT(ISNUMBER($C749))),"",COUNTIFS($A$5:$A$1668,$A749,$C$5:$C$1668,"&lt;"&amp;$C749)+1)</f>
        <v/>
      </c>
      <c r="F749" s="11">
        <f>IF(OR($B749="",NOT(ISNUMBER($C749))),"",COUNTIFS($A$5:$A$1668,$A749,$C$5:$C$1668,"&gt;0"))</f>
        <v/>
      </c>
      <c r="G749" s="11">
        <f>IF(OR($B749="",NOT(ISNUMBER($C749))),"",IF($D749&lt;&gt;"",ROUND(Points!$B$6*IF($F749&lt;Points!$H$4,Points!$H$5,1),0),ROUND(Points!$B$6*IF($F749&lt;=1,1,Points!$H$7+(1-Points!$H$7)*((($F749-$E749)*(($F749-$E749)+1)/2)^2-((($F749-$E749-COUNTIFS($A$5:$A$1668,$A749,$C$5:$C$1668,$C749)+1)-1)*($F749-$E749-COUNTIFS($A$5:$A$1668,$A749,$C$5:$C$1668,$C749)+1)/2)^2)/(COUNTIFS($A$5:$A$1668,$A749,$C$5:$C$1668,$C749)*($F749-1)^3))*IF($F749&lt;Points!$H$4,Points!$H$5,1),0)))</f>
        <v/>
      </c>
      <c r="H749" s="11">
        <f>IF($G749="","",COUNTIFS($B$5:$B$1668,$B749,$G$5:$G$1668,"&gt;"&amp;$G749)+COUNTIFS($B$4:$B748,$B749,$G$4:$G748,$G749)+1)</f>
        <v/>
      </c>
      <c r="I749" s="11">
        <f>IF($G749="","",IF($H749&lt;=Points!$H$6,$G749,0))</f>
        <v/>
      </c>
      <c r="J749" s="11">
        <f>IF($B749="","",IF(COUNTIF(Players!$A$2:$A$500,$B749)=0,"Player is not on the Players tab",IF(NOT(ISNUMBER($C749)),"Enter a gross score",IF(COUNTIFS($A$5:$A$1668,$A749,$B$5:$B$1668,$B749)&gt;1,"Player is listed twice this week",IF(AND($D749&lt;&gt;"",COUNTIFS($A$5:$A$1668,$A749,$D$5:$D$1668,$D749)&gt;1),"Two players picked as "&amp;$D749,IF(COUNTIFS($A$5:$A$1668,$A749,$D$5:$D$1668,"Gross winner")=0,"Pick this week's gross winner",IF(COUNTIFS($A$5:$A$1668,$A749,$D$5:$D$1668,"Net winner")=0,"Pick this week's net winner","OK")))))))</f>
        <v/>
      </c>
    </row>
    <row r="750" outlineLevel="1">
      <c r="A750" s="13" t="n">
        <v>46554</v>
      </c>
      <c r="E750" s="11">
        <f>IF(OR($B750="",NOT(ISNUMBER($C750))),"",COUNTIFS($A$5:$A$1668,$A750,$C$5:$C$1668,"&lt;"&amp;$C750)+1)</f>
        <v/>
      </c>
      <c r="F750" s="11">
        <f>IF(OR($B750="",NOT(ISNUMBER($C750))),"",COUNTIFS($A$5:$A$1668,$A750,$C$5:$C$1668,"&gt;0"))</f>
        <v/>
      </c>
      <c r="G750" s="11">
        <f>IF(OR($B750="",NOT(ISNUMBER($C750))),"",IF($D750&lt;&gt;"",ROUND(Points!$B$6*IF($F750&lt;Points!$H$4,Points!$H$5,1),0),ROUND(Points!$B$6*IF($F750&lt;=1,1,Points!$H$7+(1-Points!$H$7)*((($F750-$E750)*(($F750-$E750)+1)/2)^2-((($F750-$E750-COUNTIFS($A$5:$A$1668,$A750,$C$5:$C$1668,$C750)+1)-1)*($F750-$E750-COUNTIFS($A$5:$A$1668,$A750,$C$5:$C$1668,$C750)+1)/2)^2)/(COUNTIFS($A$5:$A$1668,$A750,$C$5:$C$1668,$C750)*($F750-1)^3))*IF($F750&lt;Points!$H$4,Points!$H$5,1),0)))</f>
        <v/>
      </c>
      <c r="H750" s="11">
        <f>IF($G750="","",COUNTIFS($B$5:$B$1668,$B750,$G$5:$G$1668,"&gt;"&amp;$G750)+COUNTIFS($B$4:$B749,$B750,$G$4:$G749,$G750)+1)</f>
        <v/>
      </c>
      <c r="I750" s="11">
        <f>IF($G750="","",IF($H750&lt;=Points!$H$6,$G750,0))</f>
        <v/>
      </c>
      <c r="J750" s="11">
        <f>IF($B750="","",IF(COUNTIF(Players!$A$2:$A$500,$B750)=0,"Player is not on the Players tab",IF(NOT(ISNUMBER($C750)),"Enter a gross score",IF(COUNTIFS($A$5:$A$1668,$A750,$B$5:$B$1668,$B750)&gt;1,"Player is listed twice this week",IF(AND($D750&lt;&gt;"",COUNTIFS($A$5:$A$1668,$A750,$D$5:$D$1668,$D750)&gt;1),"Two players picked as "&amp;$D750,IF(COUNTIFS($A$5:$A$1668,$A750,$D$5:$D$1668,"Gross winner")=0,"Pick this week's gross winner",IF(COUNTIFS($A$5:$A$1668,$A750,$D$5:$D$1668,"Net winner")=0,"Pick this week's net winner","OK")))))))</f>
        <v/>
      </c>
    </row>
    <row r="751" outlineLevel="1">
      <c r="A751" s="13" t="n">
        <v>46554</v>
      </c>
      <c r="E751" s="11">
        <f>IF(OR($B751="",NOT(ISNUMBER($C751))),"",COUNTIFS($A$5:$A$1668,$A751,$C$5:$C$1668,"&lt;"&amp;$C751)+1)</f>
        <v/>
      </c>
      <c r="F751" s="11">
        <f>IF(OR($B751="",NOT(ISNUMBER($C751))),"",COUNTIFS($A$5:$A$1668,$A751,$C$5:$C$1668,"&gt;0"))</f>
        <v/>
      </c>
      <c r="G751" s="11">
        <f>IF(OR($B751="",NOT(ISNUMBER($C751))),"",IF($D751&lt;&gt;"",ROUND(Points!$B$6*IF($F751&lt;Points!$H$4,Points!$H$5,1),0),ROUND(Points!$B$6*IF($F751&lt;=1,1,Points!$H$7+(1-Points!$H$7)*((($F751-$E751)*(($F751-$E751)+1)/2)^2-((($F751-$E751-COUNTIFS($A$5:$A$1668,$A751,$C$5:$C$1668,$C751)+1)-1)*($F751-$E751-COUNTIFS($A$5:$A$1668,$A751,$C$5:$C$1668,$C751)+1)/2)^2)/(COUNTIFS($A$5:$A$1668,$A751,$C$5:$C$1668,$C751)*($F751-1)^3))*IF($F751&lt;Points!$H$4,Points!$H$5,1),0)))</f>
        <v/>
      </c>
      <c r="H751" s="11">
        <f>IF($G751="","",COUNTIFS($B$5:$B$1668,$B751,$G$5:$G$1668,"&gt;"&amp;$G751)+COUNTIFS($B$4:$B750,$B751,$G$4:$G750,$G751)+1)</f>
        <v/>
      </c>
      <c r="I751" s="11">
        <f>IF($G751="","",IF($H751&lt;=Points!$H$6,$G751,0))</f>
        <v/>
      </c>
      <c r="J751" s="11">
        <f>IF($B751="","",IF(COUNTIF(Players!$A$2:$A$500,$B751)=0,"Player is not on the Players tab",IF(NOT(ISNUMBER($C751)),"Enter a gross score",IF(COUNTIFS($A$5:$A$1668,$A751,$B$5:$B$1668,$B751)&gt;1,"Player is listed twice this week",IF(AND($D751&lt;&gt;"",COUNTIFS($A$5:$A$1668,$A751,$D$5:$D$1668,$D751)&gt;1),"Two players picked as "&amp;$D751,IF(COUNTIFS($A$5:$A$1668,$A751,$D$5:$D$1668,"Gross winner")=0,"Pick this week's gross winner",IF(COUNTIFS($A$5:$A$1668,$A751,$D$5:$D$1668,"Net winner")=0,"Pick this week's net winner","OK")))))))</f>
        <v/>
      </c>
    </row>
    <row r="752" outlineLevel="1">
      <c r="A752" s="13" t="n">
        <v>46554</v>
      </c>
      <c r="E752" s="11">
        <f>IF(OR($B752="",NOT(ISNUMBER($C752))),"",COUNTIFS($A$5:$A$1668,$A752,$C$5:$C$1668,"&lt;"&amp;$C752)+1)</f>
        <v/>
      </c>
      <c r="F752" s="11">
        <f>IF(OR($B752="",NOT(ISNUMBER($C752))),"",COUNTIFS($A$5:$A$1668,$A752,$C$5:$C$1668,"&gt;0"))</f>
        <v/>
      </c>
      <c r="G752" s="11">
        <f>IF(OR($B752="",NOT(ISNUMBER($C752))),"",IF($D752&lt;&gt;"",ROUND(Points!$B$6*IF($F752&lt;Points!$H$4,Points!$H$5,1),0),ROUND(Points!$B$6*IF($F752&lt;=1,1,Points!$H$7+(1-Points!$H$7)*((($F752-$E752)*(($F752-$E752)+1)/2)^2-((($F752-$E752-COUNTIFS($A$5:$A$1668,$A752,$C$5:$C$1668,$C752)+1)-1)*($F752-$E752-COUNTIFS($A$5:$A$1668,$A752,$C$5:$C$1668,$C752)+1)/2)^2)/(COUNTIFS($A$5:$A$1668,$A752,$C$5:$C$1668,$C752)*($F752-1)^3))*IF($F752&lt;Points!$H$4,Points!$H$5,1),0)))</f>
        <v/>
      </c>
      <c r="H752" s="11">
        <f>IF($G752="","",COUNTIFS($B$5:$B$1668,$B752,$G$5:$G$1668,"&gt;"&amp;$G752)+COUNTIFS($B$4:$B751,$B752,$G$4:$G751,$G752)+1)</f>
        <v/>
      </c>
      <c r="I752" s="11">
        <f>IF($G752="","",IF($H752&lt;=Points!$H$6,$G752,0))</f>
        <v/>
      </c>
      <c r="J752" s="11">
        <f>IF($B752="","",IF(COUNTIF(Players!$A$2:$A$500,$B752)=0,"Player is not on the Players tab",IF(NOT(ISNUMBER($C752)),"Enter a gross score",IF(COUNTIFS($A$5:$A$1668,$A752,$B$5:$B$1668,$B752)&gt;1,"Player is listed twice this week",IF(AND($D752&lt;&gt;"",COUNTIFS($A$5:$A$1668,$A752,$D$5:$D$1668,$D752)&gt;1),"Two players picked as "&amp;$D752,IF(COUNTIFS($A$5:$A$1668,$A752,$D$5:$D$1668,"Gross winner")=0,"Pick this week's gross winner",IF(COUNTIFS($A$5:$A$1668,$A752,$D$5:$D$1668,"Net winner")=0,"Pick this week's net winner","OK")))))))</f>
        <v/>
      </c>
    </row>
    <row r="753" outlineLevel="1">
      <c r="A753" s="13" t="n">
        <v>46554</v>
      </c>
      <c r="E753" s="11">
        <f>IF(OR($B753="",NOT(ISNUMBER($C753))),"",COUNTIFS($A$5:$A$1668,$A753,$C$5:$C$1668,"&lt;"&amp;$C753)+1)</f>
        <v/>
      </c>
      <c r="F753" s="11">
        <f>IF(OR($B753="",NOT(ISNUMBER($C753))),"",COUNTIFS($A$5:$A$1668,$A753,$C$5:$C$1668,"&gt;0"))</f>
        <v/>
      </c>
      <c r="G753" s="11">
        <f>IF(OR($B753="",NOT(ISNUMBER($C753))),"",IF($D753&lt;&gt;"",ROUND(Points!$B$6*IF($F753&lt;Points!$H$4,Points!$H$5,1),0),ROUND(Points!$B$6*IF($F753&lt;=1,1,Points!$H$7+(1-Points!$H$7)*((($F753-$E753)*(($F753-$E753)+1)/2)^2-((($F753-$E753-COUNTIFS($A$5:$A$1668,$A753,$C$5:$C$1668,$C753)+1)-1)*($F753-$E753-COUNTIFS($A$5:$A$1668,$A753,$C$5:$C$1668,$C753)+1)/2)^2)/(COUNTIFS($A$5:$A$1668,$A753,$C$5:$C$1668,$C753)*($F753-1)^3))*IF($F753&lt;Points!$H$4,Points!$H$5,1),0)))</f>
        <v/>
      </c>
      <c r="H753" s="11">
        <f>IF($G753="","",COUNTIFS($B$5:$B$1668,$B753,$G$5:$G$1668,"&gt;"&amp;$G753)+COUNTIFS($B$4:$B752,$B753,$G$4:$G752,$G753)+1)</f>
        <v/>
      </c>
      <c r="I753" s="11">
        <f>IF($G753="","",IF($H753&lt;=Points!$H$6,$G753,0))</f>
        <v/>
      </c>
      <c r="J753" s="11">
        <f>IF($B753="","",IF(COUNTIF(Players!$A$2:$A$500,$B753)=0,"Player is not on the Players tab",IF(NOT(ISNUMBER($C753)),"Enter a gross score",IF(COUNTIFS($A$5:$A$1668,$A753,$B$5:$B$1668,$B753)&gt;1,"Player is listed twice this week",IF(AND($D753&lt;&gt;"",COUNTIFS($A$5:$A$1668,$A753,$D$5:$D$1668,$D753)&gt;1),"Two players picked as "&amp;$D753,IF(COUNTIFS($A$5:$A$1668,$A753,$D$5:$D$1668,"Gross winner")=0,"Pick this week's gross winner",IF(COUNTIFS($A$5:$A$1668,$A753,$D$5:$D$1668,"Net winner")=0,"Pick this week's net winner","OK")))))))</f>
        <v/>
      </c>
    </row>
    <row r="754" outlineLevel="1">
      <c r="A754" s="13" t="n">
        <v>46554</v>
      </c>
      <c r="E754" s="11">
        <f>IF(OR($B754="",NOT(ISNUMBER($C754))),"",COUNTIFS($A$5:$A$1668,$A754,$C$5:$C$1668,"&lt;"&amp;$C754)+1)</f>
        <v/>
      </c>
      <c r="F754" s="11">
        <f>IF(OR($B754="",NOT(ISNUMBER($C754))),"",COUNTIFS($A$5:$A$1668,$A754,$C$5:$C$1668,"&gt;0"))</f>
        <v/>
      </c>
      <c r="G754" s="11">
        <f>IF(OR($B754="",NOT(ISNUMBER($C754))),"",IF($D754&lt;&gt;"",ROUND(Points!$B$6*IF($F754&lt;Points!$H$4,Points!$H$5,1),0),ROUND(Points!$B$6*IF($F754&lt;=1,1,Points!$H$7+(1-Points!$H$7)*((($F754-$E754)*(($F754-$E754)+1)/2)^2-((($F754-$E754-COUNTIFS($A$5:$A$1668,$A754,$C$5:$C$1668,$C754)+1)-1)*($F754-$E754-COUNTIFS($A$5:$A$1668,$A754,$C$5:$C$1668,$C754)+1)/2)^2)/(COUNTIFS($A$5:$A$1668,$A754,$C$5:$C$1668,$C754)*($F754-1)^3))*IF($F754&lt;Points!$H$4,Points!$H$5,1),0)))</f>
        <v/>
      </c>
      <c r="H754" s="11">
        <f>IF($G754="","",COUNTIFS($B$5:$B$1668,$B754,$G$5:$G$1668,"&gt;"&amp;$G754)+COUNTIFS($B$4:$B753,$B754,$G$4:$G753,$G754)+1)</f>
        <v/>
      </c>
      <c r="I754" s="11">
        <f>IF($G754="","",IF($H754&lt;=Points!$H$6,$G754,0))</f>
        <v/>
      </c>
      <c r="J754" s="11">
        <f>IF($B754="","",IF(COUNTIF(Players!$A$2:$A$500,$B754)=0,"Player is not on the Players tab",IF(NOT(ISNUMBER($C754)),"Enter a gross score",IF(COUNTIFS($A$5:$A$1668,$A754,$B$5:$B$1668,$B754)&gt;1,"Player is listed twice this week",IF(AND($D754&lt;&gt;"",COUNTIFS($A$5:$A$1668,$A754,$D$5:$D$1668,$D754)&gt;1),"Two players picked as "&amp;$D754,IF(COUNTIFS($A$5:$A$1668,$A754,$D$5:$D$1668,"Gross winner")=0,"Pick this week's gross winner",IF(COUNTIFS($A$5:$A$1668,$A754,$D$5:$D$1668,"Net winner")=0,"Pick this week's net winner","OK")))))))</f>
        <v/>
      </c>
    </row>
    <row r="755" outlineLevel="1">
      <c r="A755" s="13" t="n">
        <v>46554</v>
      </c>
      <c r="E755" s="11">
        <f>IF(OR($B755="",NOT(ISNUMBER($C755))),"",COUNTIFS($A$5:$A$1668,$A755,$C$5:$C$1668,"&lt;"&amp;$C755)+1)</f>
        <v/>
      </c>
      <c r="F755" s="11">
        <f>IF(OR($B755="",NOT(ISNUMBER($C755))),"",COUNTIFS($A$5:$A$1668,$A755,$C$5:$C$1668,"&gt;0"))</f>
        <v/>
      </c>
      <c r="G755" s="11">
        <f>IF(OR($B755="",NOT(ISNUMBER($C755))),"",IF($D755&lt;&gt;"",ROUND(Points!$B$6*IF($F755&lt;Points!$H$4,Points!$H$5,1),0),ROUND(Points!$B$6*IF($F755&lt;=1,1,Points!$H$7+(1-Points!$H$7)*((($F755-$E755)*(($F755-$E755)+1)/2)^2-((($F755-$E755-COUNTIFS($A$5:$A$1668,$A755,$C$5:$C$1668,$C755)+1)-1)*($F755-$E755-COUNTIFS($A$5:$A$1668,$A755,$C$5:$C$1668,$C755)+1)/2)^2)/(COUNTIFS($A$5:$A$1668,$A755,$C$5:$C$1668,$C755)*($F755-1)^3))*IF($F755&lt;Points!$H$4,Points!$H$5,1),0)))</f>
        <v/>
      </c>
      <c r="H755" s="11">
        <f>IF($G755="","",COUNTIFS($B$5:$B$1668,$B755,$G$5:$G$1668,"&gt;"&amp;$G755)+COUNTIFS($B$4:$B754,$B755,$G$4:$G754,$G755)+1)</f>
        <v/>
      </c>
      <c r="I755" s="11">
        <f>IF($G755="","",IF($H755&lt;=Points!$H$6,$G755,0))</f>
        <v/>
      </c>
      <c r="J755" s="11">
        <f>IF($B755="","",IF(COUNTIF(Players!$A$2:$A$500,$B755)=0,"Player is not on the Players tab",IF(NOT(ISNUMBER($C755)),"Enter a gross score",IF(COUNTIFS($A$5:$A$1668,$A755,$B$5:$B$1668,$B755)&gt;1,"Player is listed twice this week",IF(AND($D755&lt;&gt;"",COUNTIFS($A$5:$A$1668,$A755,$D$5:$D$1668,$D755)&gt;1),"Two players picked as "&amp;$D755,IF(COUNTIFS($A$5:$A$1668,$A755,$D$5:$D$1668,"Gross winner")=0,"Pick this week's gross winner",IF(COUNTIFS($A$5:$A$1668,$A755,$D$5:$D$1668,"Net winner")=0,"Pick this week's net winner","OK")))))))</f>
        <v/>
      </c>
    </row>
    <row r="756" outlineLevel="1">
      <c r="A756" s="13" t="n">
        <v>46554</v>
      </c>
      <c r="E756" s="11">
        <f>IF(OR($B756="",NOT(ISNUMBER($C756))),"",COUNTIFS($A$5:$A$1668,$A756,$C$5:$C$1668,"&lt;"&amp;$C756)+1)</f>
        <v/>
      </c>
      <c r="F756" s="11">
        <f>IF(OR($B756="",NOT(ISNUMBER($C756))),"",COUNTIFS($A$5:$A$1668,$A756,$C$5:$C$1668,"&gt;0"))</f>
        <v/>
      </c>
      <c r="G756" s="11">
        <f>IF(OR($B756="",NOT(ISNUMBER($C756))),"",IF($D756&lt;&gt;"",ROUND(Points!$B$6*IF($F756&lt;Points!$H$4,Points!$H$5,1),0),ROUND(Points!$B$6*IF($F756&lt;=1,1,Points!$H$7+(1-Points!$H$7)*((($F756-$E756)*(($F756-$E756)+1)/2)^2-((($F756-$E756-COUNTIFS($A$5:$A$1668,$A756,$C$5:$C$1668,$C756)+1)-1)*($F756-$E756-COUNTIFS($A$5:$A$1668,$A756,$C$5:$C$1668,$C756)+1)/2)^2)/(COUNTIFS($A$5:$A$1668,$A756,$C$5:$C$1668,$C756)*($F756-1)^3))*IF($F756&lt;Points!$H$4,Points!$H$5,1),0)))</f>
        <v/>
      </c>
      <c r="H756" s="11">
        <f>IF($G756="","",COUNTIFS($B$5:$B$1668,$B756,$G$5:$G$1668,"&gt;"&amp;$G756)+COUNTIFS($B$4:$B755,$B756,$G$4:$G755,$G756)+1)</f>
        <v/>
      </c>
      <c r="I756" s="11">
        <f>IF($G756="","",IF($H756&lt;=Points!$H$6,$G756,0))</f>
        <v/>
      </c>
      <c r="J756" s="11">
        <f>IF($B756="","",IF(COUNTIF(Players!$A$2:$A$500,$B756)=0,"Player is not on the Players tab",IF(NOT(ISNUMBER($C756)),"Enter a gross score",IF(COUNTIFS($A$5:$A$1668,$A756,$B$5:$B$1668,$B756)&gt;1,"Player is listed twice this week",IF(AND($D756&lt;&gt;"",COUNTIFS($A$5:$A$1668,$A756,$D$5:$D$1668,$D756)&gt;1),"Two players picked as "&amp;$D756,IF(COUNTIFS($A$5:$A$1668,$A756,$D$5:$D$1668,"Gross winner")=0,"Pick this week's gross winner",IF(COUNTIFS($A$5:$A$1668,$A756,$D$5:$D$1668,"Net winner")=0,"Pick this week's net winner","OK")))))))</f>
        <v/>
      </c>
    </row>
    <row r="757" outlineLevel="1">
      <c r="A757" s="13" t="n">
        <v>46554</v>
      </c>
      <c r="E757" s="11">
        <f>IF(OR($B757="",NOT(ISNUMBER($C757))),"",COUNTIFS($A$5:$A$1668,$A757,$C$5:$C$1668,"&lt;"&amp;$C757)+1)</f>
        <v/>
      </c>
      <c r="F757" s="11">
        <f>IF(OR($B757="",NOT(ISNUMBER($C757))),"",COUNTIFS($A$5:$A$1668,$A757,$C$5:$C$1668,"&gt;0"))</f>
        <v/>
      </c>
      <c r="G757" s="11">
        <f>IF(OR($B757="",NOT(ISNUMBER($C757))),"",IF($D757&lt;&gt;"",ROUND(Points!$B$6*IF($F757&lt;Points!$H$4,Points!$H$5,1),0),ROUND(Points!$B$6*IF($F757&lt;=1,1,Points!$H$7+(1-Points!$H$7)*((($F757-$E757)*(($F757-$E757)+1)/2)^2-((($F757-$E757-COUNTIFS($A$5:$A$1668,$A757,$C$5:$C$1668,$C757)+1)-1)*($F757-$E757-COUNTIFS($A$5:$A$1668,$A757,$C$5:$C$1668,$C757)+1)/2)^2)/(COUNTIFS($A$5:$A$1668,$A757,$C$5:$C$1668,$C757)*($F757-1)^3))*IF($F757&lt;Points!$H$4,Points!$H$5,1),0)))</f>
        <v/>
      </c>
      <c r="H757" s="11">
        <f>IF($G757="","",COUNTIFS($B$5:$B$1668,$B757,$G$5:$G$1668,"&gt;"&amp;$G757)+COUNTIFS($B$4:$B756,$B757,$G$4:$G756,$G757)+1)</f>
        <v/>
      </c>
      <c r="I757" s="11">
        <f>IF($G757="","",IF($H757&lt;=Points!$H$6,$G757,0))</f>
        <v/>
      </c>
      <c r="J757" s="11">
        <f>IF($B757="","",IF(COUNTIF(Players!$A$2:$A$500,$B757)=0,"Player is not on the Players tab",IF(NOT(ISNUMBER($C757)),"Enter a gross score",IF(COUNTIFS($A$5:$A$1668,$A757,$B$5:$B$1668,$B757)&gt;1,"Player is listed twice this week",IF(AND($D757&lt;&gt;"",COUNTIFS($A$5:$A$1668,$A757,$D$5:$D$1668,$D757)&gt;1),"Two players picked as "&amp;$D757,IF(COUNTIFS($A$5:$A$1668,$A757,$D$5:$D$1668,"Gross winner")=0,"Pick this week's gross winner",IF(COUNTIFS($A$5:$A$1668,$A757,$D$5:$D$1668,"Net winner")=0,"Pick this week's net winner","OK")))))))</f>
        <v/>
      </c>
    </row>
    <row r="758" outlineLevel="1">
      <c r="A758" s="13" t="n">
        <v>46554</v>
      </c>
      <c r="E758" s="11">
        <f>IF(OR($B758="",NOT(ISNUMBER($C758))),"",COUNTIFS($A$5:$A$1668,$A758,$C$5:$C$1668,"&lt;"&amp;$C758)+1)</f>
        <v/>
      </c>
      <c r="F758" s="11">
        <f>IF(OR($B758="",NOT(ISNUMBER($C758))),"",COUNTIFS($A$5:$A$1668,$A758,$C$5:$C$1668,"&gt;0"))</f>
        <v/>
      </c>
      <c r="G758" s="11">
        <f>IF(OR($B758="",NOT(ISNUMBER($C758))),"",IF($D758&lt;&gt;"",ROUND(Points!$B$6*IF($F758&lt;Points!$H$4,Points!$H$5,1),0),ROUND(Points!$B$6*IF($F758&lt;=1,1,Points!$H$7+(1-Points!$H$7)*((($F758-$E758)*(($F758-$E758)+1)/2)^2-((($F758-$E758-COUNTIFS($A$5:$A$1668,$A758,$C$5:$C$1668,$C758)+1)-1)*($F758-$E758-COUNTIFS($A$5:$A$1668,$A758,$C$5:$C$1668,$C758)+1)/2)^2)/(COUNTIFS($A$5:$A$1668,$A758,$C$5:$C$1668,$C758)*($F758-1)^3))*IF($F758&lt;Points!$H$4,Points!$H$5,1),0)))</f>
        <v/>
      </c>
      <c r="H758" s="11">
        <f>IF($G758="","",COUNTIFS($B$5:$B$1668,$B758,$G$5:$G$1668,"&gt;"&amp;$G758)+COUNTIFS($B$4:$B757,$B758,$G$4:$G757,$G758)+1)</f>
        <v/>
      </c>
      <c r="I758" s="11">
        <f>IF($G758="","",IF($H758&lt;=Points!$H$6,$G758,0))</f>
        <v/>
      </c>
      <c r="J758" s="11">
        <f>IF($B758="","",IF(COUNTIF(Players!$A$2:$A$500,$B758)=0,"Player is not on the Players tab",IF(NOT(ISNUMBER($C758)),"Enter a gross score",IF(COUNTIFS($A$5:$A$1668,$A758,$B$5:$B$1668,$B758)&gt;1,"Player is listed twice this week",IF(AND($D758&lt;&gt;"",COUNTIFS($A$5:$A$1668,$A758,$D$5:$D$1668,$D758)&gt;1),"Two players picked as "&amp;$D758,IF(COUNTIFS($A$5:$A$1668,$A758,$D$5:$D$1668,"Gross winner")=0,"Pick this week's gross winner",IF(COUNTIFS($A$5:$A$1668,$A758,$D$5:$D$1668,"Net winner")=0,"Pick this week's net winner","OK")))))))</f>
        <v/>
      </c>
    </row>
    <row r="759" outlineLevel="1">
      <c r="A759" s="13" t="n">
        <v>46554</v>
      </c>
      <c r="E759" s="11">
        <f>IF(OR($B759="",NOT(ISNUMBER($C759))),"",COUNTIFS($A$5:$A$1668,$A759,$C$5:$C$1668,"&lt;"&amp;$C759)+1)</f>
        <v/>
      </c>
      <c r="F759" s="11">
        <f>IF(OR($B759="",NOT(ISNUMBER($C759))),"",COUNTIFS($A$5:$A$1668,$A759,$C$5:$C$1668,"&gt;0"))</f>
        <v/>
      </c>
      <c r="G759" s="11">
        <f>IF(OR($B759="",NOT(ISNUMBER($C759))),"",IF($D759&lt;&gt;"",ROUND(Points!$B$6*IF($F759&lt;Points!$H$4,Points!$H$5,1),0),ROUND(Points!$B$6*IF($F759&lt;=1,1,Points!$H$7+(1-Points!$H$7)*((($F759-$E759)*(($F759-$E759)+1)/2)^2-((($F759-$E759-COUNTIFS($A$5:$A$1668,$A759,$C$5:$C$1668,$C759)+1)-1)*($F759-$E759-COUNTIFS($A$5:$A$1668,$A759,$C$5:$C$1668,$C759)+1)/2)^2)/(COUNTIFS($A$5:$A$1668,$A759,$C$5:$C$1668,$C759)*($F759-1)^3))*IF($F759&lt;Points!$H$4,Points!$H$5,1),0)))</f>
        <v/>
      </c>
      <c r="H759" s="11">
        <f>IF($G759="","",COUNTIFS($B$5:$B$1668,$B759,$G$5:$G$1668,"&gt;"&amp;$G759)+COUNTIFS($B$4:$B758,$B759,$G$4:$G758,$G759)+1)</f>
        <v/>
      </c>
      <c r="I759" s="11">
        <f>IF($G759="","",IF($H759&lt;=Points!$H$6,$G759,0))</f>
        <v/>
      </c>
      <c r="J759" s="11">
        <f>IF($B759="","",IF(COUNTIF(Players!$A$2:$A$500,$B759)=0,"Player is not on the Players tab",IF(NOT(ISNUMBER($C759)),"Enter a gross score",IF(COUNTIFS($A$5:$A$1668,$A759,$B$5:$B$1668,$B759)&gt;1,"Player is listed twice this week",IF(AND($D759&lt;&gt;"",COUNTIFS($A$5:$A$1668,$A759,$D$5:$D$1668,$D759)&gt;1),"Two players picked as "&amp;$D759,IF(COUNTIFS($A$5:$A$1668,$A759,$D$5:$D$1668,"Gross winner")=0,"Pick this week's gross winner",IF(COUNTIFS($A$5:$A$1668,$A759,$D$5:$D$1668,"Net winner")=0,"Pick this week's net winner","OK")))))))</f>
        <v/>
      </c>
    </row>
    <row r="760" outlineLevel="1">
      <c r="A760" s="13" t="n">
        <v>46554</v>
      </c>
      <c r="E760" s="11">
        <f>IF(OR($B760="",NOT(ISNUMBER($C760))),"",COUNTIFS($A$5:$A$1668,$A760,$C$5:$C$1668,"&lt;"&amp;$C760)+1)</f>
        <v/>
      </c>
      <c r="F760" s="11">
        <f>IF(OR($B760="",NOT(ISNUMBER($C760))),"",COUNTIFS($A$5:$A$1668,$A760,$C$5:$C$1668,"&gt;0"))</f>
        <v/>
      </c>
      <c r="G760" s="11">
        <f>IF(OR($B760="",NOT(ISNUMBER($C760))),"",IF($D760&lt;&gt;"",ROUND(Points!$B$6*IF($F760&lt;Points!$H$4,Points!$H$5,1),0),ROUND(Points!$B$6*IF($F760&lt;=1,1,Points!$H$7+(1-Points!$H$7)*((($F760-$E760)*(($F760-$E760)+1)/2)^2-((($F760-$E760-COUNTIFS($A$5:$A$1668,$A760,$C$5:$C$1668,$C760)+1)-1)*($F760-$E760-COUNTIFS($A$5:$A$1668,$A760,$C$5:$C$1668,$C760)+1)/2)^2)/(COUNTIFS($A$5:$A$1668,$A760,$C$5:$C$1668,$C760)*($F760-1)^3))*IF($F760&lt;Points!$H$4,Points!$H$5,1),0)))</f>
        <v/>
      </c>
      <c r="H760" s="11">
        <f>IF($G760="","",COUNTIFS($B$5:$B$1668,$B760,$G$5:$G$1668,"&gt;"&amp;$G760)+COUNTIFS($B$4:$B759,$B760,$G$4:$G759,$G760)+1)</f>
        <v/>
      </c>
      <c r="I760" s="11">
        <f>IF($G760="","",IF($H760&lt;=Points!$H$6,$G760,0))</f>
        <v/>
      </c>
      <c r="J760" s="11">
        <f>IF($B760="","",IF(COUNTIF(Players!$A$2:$A$500,$B760)=0,"Player is not on the Players tab",IF(NOT(ISNUMBER($C760)),"Enter a gross score",IF(COUNTIFS($A$5:$A$1668,$A760,$B$5:$B$1668,$B760)&gt;1,"Player is listed twice this week",IF(AND($D760&lt;&gt;"",COUNTIFS($A$5:$A$1668,$A760,$D$5:$D$1668,$D760)&gt;1),"Two players picked as "&amp;$D760,IF(COUNTIFS($A$5:$A$1668,$A760,$D$5:$D$1668,"Gross winner")=0,"Pick this week's gross winner",IF(COUNTIFS($A$5:$A$1668,$A760,$D$5:$D$1668,"Net winner")=0,"Pick this week's net winner","OK")))))))</f>
        <v/>
      </c>
    </row>
    <row r="761" outlineLevel="1">
      <c r="A761" s="13" t="n">
        <v>46554</v>
      </c>
      <c r="E761" s="11">
        <f>IF(OR($B761="",NOT(ISNUMBER($C761))),"",COUNTIFS($A$5:$A$1668,$A761,$C$5:$C$1668,"&lt;"&amp;$C761)+1)</f>
        <v/>
      </c>
      <c r="F761" s="11">
        <f>IF(OR($B761="",NOT(ISNUMBER($C761))),"",COUNTIFS($A$5:$A$1668,$A761,$C$5:$C$1668,"&gt;0"))</f>
        <v/>
      </c>
      <c r="G761" s="11">
        <f>IF(OR($B761="",NOT(ISNUMBER($C761))),"",IF($D761&lt;&gt;"",ROUND(Points!$B$6*IF($F761&lt;Points!$H$4,Points!$H$5,1),0),ROUND(Points!$B$6*IF($F761&lt;=1,1,Points!$H$7+(1-Points!$H$7)*((($F761-$E761)*(($F761-$E761)+1)/2)^2-((($F761-$E761-COUNTIFS($A$5:$A$1668,$A761,$C$5:$C$1668,$C761)+1)-1)*($F761-$E761-COUNTIFS($A$5:$A$1668,$A761,$C$5:$C$1668,$C761)+1)/2)^2)/(COUNTIFS($A$5:$A$1668,$A761,$C$5:$C$1668,$C761)*($F761-1)^3))*IF($F761&lt;Points!$H$4,Points!$H$5,1),0)))</f>
        <v/>
      </c>
      <c r="H761" s="11">
        <f>IF($G761="","",COUNTIFS($B$5:$B$1668,$B761,$G$5:$G$1668,"&gt;"&amp;$G761)+COUNTIFS($B$4:$B760,$B761,$G$4:$G760,$G761)+1)</f>
        <v/>
      </c>
      <c r="I761" s="11">
        <f>IF($G761="","",IF($H761&lt;=Points!$H$6,$G761,0))</f>
        <v/>
      </c>
      <c r="J761" s="11">
        <f>IF($B761="","",IF(COUNTIF(Players!$A$2:$A$500,$B761)=0,"Player is not on the Players tab",IF(NOT(ISNUMBER($C761)),"Enter a gross score",IF(COUNTIFS($A$5:$A$1668,$A761,$B$5:$B$1668,$B761)&gt;1,"Player is listed twice this week",IF(AND($D761&lt;&gt;"",COUNTIFS($A$5:$A$1668,$A761,$D$5:$D$1668,$D761)&gt;1),"Two players picked as "&amp;$D761,IF(COUNTIFS($A$5:$A$1668,$A761,$D$5:$D$1668,"Gross winner")=0,"Pick this week's gross winner",IF(COUNTIFS($A$5:$A$1668,$A761,$D$5:$D$1668,"Net winner")=0,"Pick this week's net winner","OK")))))))</f>
        <v/>
      </c>
    </row>
    <row r="762" outlineLevel="1">
      <c r="A762" s="13" t="n">
        <v>46554</v>
      </c>
      <c r="E762" s="11">
        <f>IF(OR($B762="",NOT(ISNUMBER($C762))),"",COUNTIFS($A$5:$A$1668,$A762,$C$5:$C$1668,"&lt;"&amp;$C762)+1)</f>
        <v/>
      </c>
      <c r="F762" s="11">
        <f>IF(OR($B762="",NOT(ISNUMBER($C762))),"",COUNTIFS($A$5:$A$1668,$A762,$C$5:$C$1668,"&gt;0"))</f>
        <v/>
      </c>
      <c r="G762" s="11">
        <f>IF(OR($B762="",NOT(ISNUMBER($C762))),"",IF($D762&lt;&gt;"",ROUND(Points!$B$6*IF($F762&lt;Points!$H$4,Points!$H$5,1),0),ROUND(Points!$B$6*IF($F762&lt;=1,1,Points!$H$7+(1-Points!$H$7)*((($F762-$E762)*(($F762-$E762)+1)/2)^2-((($F762-$E762-COUNTIFS($A$5:$A$1668,$A762,$C$5:$C$1668,$C762)+1)-1)*($F762-$E762-COUNTIFS($A$5:$A$1668,$A762,$C$5:$C$1668,$C762)+1)/2)^2)/(COUNTIFS($A$5:$A$1668,$A762,$C$5:$C$1668,$C762)*($F762-1)^3))*IF($F762&lt;Points!$H$4,Points!$H$5,1),0)))</f>
        <v/>
      </c>
      <c r="H762" s="11">
        <f>IF($G762="","",COUNTIFS($B$5:$B$1668,$B762,$G$5:$G$1668,"&gt;"&amp;$G762)+COUNTIFS($B$4:$B761,$B762,$G$4:$G761,$G762)+1)</f>
        <v/>
      </c>
      <c r="I762" s="11">
        <f>IF($G762="","",IF($H762&lt;=Points!$H$6,$G762,0))</f>
        <v/>
      </c>
      <c r="J762" s="11">
        <f>IF($B762="","",IF(COUNTIF(Players!$A$2:$A$500,$B762)=0,"Player is not on the Players tab",IF(NOT(ISNUMBER($C762)),"Enter a gross score",IF(COUNTIFS($A$5:$A$1668,$A762,$B$5:$B$1668,$B762)&gt;1,"Player is listed twice this week",IF(AND($D762&lt;&gt;"",COUNTIFS($A$5:$A$1668,$A762,$D$5:$D$1668,$D762)&gt;1),"Two players picked as "&amp;$D762,IF(COUNTIFS($A$5:$A$1668,$A762,$D$5:$D$1668,"Gross winner")=0,"Pick this week's gross winner",IF(COUNTIFS($A$5:$A$1668,$A762,$D$5:$D$1668,"Net winner")=0,"Pick this week's net winner","OK")))))))</f>
        <v/>
      </c>
    </row>
    <row r="763" outlineLevel="1">
      <c r="A763" s="13" t="n">
        <v>46554</v>
      </c>
      <c r="E763" s="11">
        <f>IF(OR($B763="",NOT(ISNUMBER($C763))),"",COUNTIFS($A$5:$A$1668,$A763,$C$5:$C$1668,"&lt;"&amp;$C763)+1)</f>
        <v/>
      </c>
      <c r="F763" s="11">
        <f>IF(OR($B763="",NOT(ISNUMBER($C763))),"",COUNTIFS($A$5:$A$1668,$A763,$C$5:$C$1668,"&gt;0"))</f>
        <v/>
      </c>
      <c r="G763" s="11">
        <f>IF(OR($B763="",NOT(ISNUMBER($C763))),"",IF($D763&lt;&gt;"",ROUND(Points!$B$6*IF($F763&lt;Points!$H$4,Points!$H$5,1),0),ROUND(Points!$B$6*IF($F763&lt;=1,1,Points!$H$7+(1-Points!$H$7)*((($F763-$E763)*(($F763-$E763)+1)/2)^2-((($F763-$E763-COUNTIFS($A$5:$A$1668,$A763,$C$5:$C$1668,$C763)+1)-1)*($F763-$E763-COUNTIFS($A$5:$A$1668,$A763,$C$5:$C$1668,$C763)+1)/2)^2)/(COUNTIFS($A$5:$A$1668,$A763,$C$5:$C$1668,$C763)*($F763-1)^3))*IF($F763&lt;Points!$H$4,Points!$H$5,1),0)))</f>
        <v/>
      </c>
      <c r="H763" s="11">
        <f>IF($G763="","",COUNTIFS($B$5:$B$1668,$B763,$G$5:$G$1668,"&gt;"&amp;$G763)+COUNTIFS($B$4:$B762,$B763,$G$4:$G762,$G763)+1)</f>
        <v/>
      </c>
      <c r="I763" s="11">
        <f>IF($G763="","",IF($H763&lt;=Points!$H$6,$G763,0))</f>
        <v/>
      </c>
      <c r="J763" s="11">
        <f>IF($B763="","",IF(COUNTIF(Players!$A$2:$A$500,$B763)=0,"Player is not on the Players tab",IF(NOT(ISNUMBER($C763)),"Enter a gross score",IF(COUNTIFS($A$5:$A$1668,$A763,$B$5:$B$1668,$B763)&gt;1,"Player is listed twice this week",IF(AND($D763&lt;&gt;"",COUNTIFS($A$5:$A$1668,$A763,$D$5:$D$1668,$D763)&gt;1),"Two players picked as "&amp;$D763,IF(COUNTIFS($A$5:$A$1668,$A763,$D$5:$D$1668,"Gross winner")=0,"Pick this week's gross winner",IF(COUNTIFS($A$5:$A$1668,$A763,$D$5:$D$1668,"Net winner")=0,"Pick this week's net winner","OK")))))))</f>
        <v/>
      </c>
    </row>
    <row r="764" outlineLevel="1">
      <c r="A764" s="13" t="n">
        <v>46554</v>
      </c>
      <c r="E764" s="11">
        <f>IF(OR($B764="",NOT(ISNUMBER($C764))),"",COUNTIFS($A$5:$A$1668,$A764,$C$5:$C$1668,"&lt;"&amp;$C764)+1)</f>
        <v/>
      </c>
      <c r="F764" s="11">
        <f>IF(OR($B764="",NOT(ISNUMBER($C764))),"",COUNTIFS($A$5:$A$1668,$A764,$C$5:$C$1668,"&gt;0"))</f>
        <v/>
      </c>
      <c r="G764" s="11">
        <f>IF(OR($B764="",NOT(ISNUMBER($C764))),"",IF($D764&lt;&gt;"",ROUND(Points!$B$6*IF($F764&lt;Points!$H$4,Points!$H$5,1),0),ROUND(Points!$B$6*IF($F764&lt;=1,1,Points!$H$7+(1-Points!$H$7)*((($F764-$E764)*(($F764-$E764)+1)/2)^2-((($F764-$E764-COUNTIFS($A$5:$A$1668,$A764,$C$5:$C$1668,$C764)+1)-1)*($F764-$E764-COUNTIFS($A$5:$A$1668,$A764,$C$5:$C$1668,$C764)+1)/2)^2)/(COUNTIFS($A$5:$A$1668,$A764,$C$5:$C$1668,$C764)*($F764-1)^3))*IF($F764&lt;Points!$H$4,Points!$H$5,1),0)))</f>
        <v/>
      </c>
      <c r="H764" s="11">
        <f>IF($G764="","",COUNTIFS($B$5:$B$1668,$B764,$G$5:$G$1668,"&gt;"&amp;$G764)+COUNTIFS($B$4:$B763,$B764,$G$4:$G763,$G764)+1)</f>
        <v/>
      </c>
      <c r="I764" s="11">
        <f>IF($G764="","",IF($H764&lt;=Points!$H$6,$G764,0))</f>
        <v/>
      </c>
      <c r="J764" s="11">
        <f>IF($B764="","",IF(COUNTIF(Players!$A$2:$A$500,$B764)=0,"Player is not on the Players tab",IF(NOT(ISNUMBER($C764)),"Enter a gross score",IF(COUNTIFS($A$5:$A$1668,$A764,$B$5:$B$1668,$B764)&gt;1,"Player is listed twice this week",IF(AND($D764&lt;&gt;"",COUNTIFS($A$5:$A$1668,$A764,$D$5:$D$1668,$D764)&gt;1),"Two players picked as "&amp;$D764,IF(COUNTIFS($A$5:$A$1668,$A764,$D$5:$D$1668,"Gross winner")=0,"Pick this week's gross winner",IF(COUNTIFS($A$5:$A$1668,$A764,$D$5:$D$1668,"Net winner")=0,"Pick this week's net winner","OK")))))))</f>
        <v/>
      </c>
    </row>
    <row r="765" outlineLevel="1">
      <c r="A765" s="13" t="n">
        <v>46554</v>
      </c>
      <c r="E765" s="11">
        <f>IF(OR($B765="",NOT(ISNUMBER($C765))),"",COUNTIFS($A$5:$A$1668,$A765,$C$5:$C$1668,"&lt;"&amp;$C765)+1)</f>
        <v/>
      </c>
      <c r="F765" s="11">
        <f>IF(OR($B765="",NOT(ISNUMBER($C765))),"",COUNTIFS($A$5:$A$1668,$A765,$C$5:$C$1668,"&gt;0"))</f>
        <v/>
      </c>
      <c r="G765" s="11">
        <f>IF(OR($B765="",NOT(ISNUMBER($C765))),"",IF($D765&lt;&gt;"",ROUND(Points!$B$6*IF($F765&lt;Points!$H$4,Points!$H$5,1),0),ROUND(Points!$B$6*IF($F765&lt;=1,1,Points!$H$7+(1-Points!$H$7)*((($F765-$E765)*(($F765-$E765)+1)/2)^2-((($F765-$E765-COUNTIFS($A$5:$A$1668,$A765,$C$5:$C$1668,$C765)+1)-1)*($F765-$E765-COUNTIFS($A$5:$A$1668,$A765,$C$5:$C$1668,$C765)+1)/2)^2)/(COUNTIFS($A$5:$A$1668,$A765,$C$5:$C$1668,$C765)*($F765-1)^3))*IF($F765&lt;Points!$H$4,Points!$H$5,1),0)))</f>
        <v/>
      </c>
      <c r="H765" s="11">
        <f>IF($G765="","",COUNTIFS($B$5:$B$1668,$B765,$G$5:$G$1668,"&gt;"&amp;$G765)+COUNTIFS($B$4:$B764,$B765,$G$4:$G764,$G765)+1)</f>
        <v/>
      </c>
      <c r="I765" s="11">
        <f>IF($G765="","",IF($H765&lt;=Points!$H$6,$G765,0))</f>
        <v/>
      </c>
      <c r="J765" s="11">
        <f>IF($B765="","",IF(COUNTIF(Players!$A$2:$A$500,$B765)=0,"Player is not on the Players tab",IF(NOT(ISNUMBER($C765)),"Enter a gross score",IF(COUNTIFS($A$5:$A$1668,$A765,$B$5:$B$1668,$B765)&gt;1,"Player is listed twice this week",IF(AND($D765&lt;&gt;"",COUNTIFS($A$5:$A$1668,$A765,$D$5:$D$1668,$D765)&gt;1),"Two players picked as "&amp;$D765,IF(COUNTIFS($A$5:$A$1668,$A765,$D$5:$D$1668,"Gross winner")=0,"Pick this week's gross winner",IF(COUNTIFS($A$5:$A$1668,$A765,$D$5:$D$1668,"Net winner")=0,"Pick this week's net winner","OK")))))))</f>
        <v/>
      </c>
    </row>
    <row r="766" outlineLevel="1">
      <c r="A766" s="13" t="n">
        <v>46554</v>
      </c>
      <c r="E766" s="11">
        <f>IF(OR($B766="",NOT(ISNUMBER($C766))),"",COUNTIFS($A$5:$A$1668,$A766,$C$5:$C$1668,"&lt;"&amp;$C766)+1)</f>
        <v/>
      </c>
      <c r="F766" s="11">
        <f>IF(OR($B766="",NOT(ISNUMBER($C766))),"",COUNTIFS($A$5:$A$1668,$A766,$C$5:$C$1668,"&gt;0"))</f>
        <v/>
      </c>
      <c r="G766" s="11">
        <f>IF(OR($B766="",NOT(ISNUMBER($C766))),"",IF($D766&lt;&gt;"",ROUND(Points!$B$6*IF($F766&lt;Points!$H$4,Points!$H$5,1),0),ROUND(Points!$B$6*IF($F766&lt;=1,1,Points!$H$7+(1-Points!$H$7)*((($F766-$E766)*(($F766-$E766)+1)/2)^2-((($F766-$E766-COUNTIFS($A$5:$A$1668,$A766,$C$5:$C$1668,$C766)+1)-1)*($F766-$E766-COUNTIFS($A$5:$A$1668,$A766,$C$5:$C$1668,$C766)+1)/2)^2)/(COUNTIFS($A$5:$A$1668,$A766,$C$5:$C$1668,$C766)*($F766-1)^3))*IF($F766&lt;Points!$H$4,Points!$H$5,1),0)))</f>
        <v/>
      </c>
      <c r="H766" s="11">
        <f>IF($G766="","",COUNTIFS($B$5:$B$1668,$B766,$G$5:$G$1668,"&gt;"&amp;$G766)+COUNTIFS($B$4:$B765,$B766,$G$4:$G765,$G766)+1)</f>
        <v/>
      </c>
      <c r="I766" s="11">
        <f>IF($G766="","",IF($H766&lt;=Points!$H$6,$G766,0))</f>
        <v/>
      </c>
      <c r="J766" s="11">
        <f>IF($B766="","",IF(COUNTIF(Players!$A$2:$A$500,$B766)=0,"Player is not on the Players tab",IF(NOT(ISNUMBER($C766)),"Enter a gross score",IF(COUNTIFS($A$5:$A$1668,$A766,$B$5:$B$1668,$B766)&gt;1,"Player is listed twice this week",IF(AND($D766&lt;&gt;"",COUNTIFS($A$5:$A$1668,$A766,$D$5:$D$1668,$D766)&gt;1),"Two players picked as "&amp;$D766,IF(COUNTIFS($A$5:$A$1668,$A766,$D$5:$D$1668,"Gross winner")=0,"Pick this week's gross winner",IF(COUNTIFS($A$5:$A$1668,$A766,$D$5:$D$1668,"Net winner")=0,"Pick this week's net winner","OK")))))))</f>
        <v/>
      </c>
    </row>
    <row r="767" outlineLevel="1">
      <c r="A767" s="13" t="n">
        <v>46554</v>
      </c>
      <c r="E767" s="11">
        <f>IF(OR($B767="",NOT(ISNUMBER($C767))),"",COUNTIFS($A$5:$A$1668,$A767,$C$5:$C$1668,"&lt;"&amp;$C767)+1)</f>
        <v/>
      </c>
      <c r="F767" s="11">
        <f>IF(OR($B767="",NOT(ISNUMBER($C767))),"",COUNTIFS($A$5:$A$1668,$A767,$C$5:$C$1668,"&gt;0"))</f>
        <v/>
      </c>
      <c r="G767" s="11">
        <f>IF(OR($B767="",NOT(ISNUMBER($C767))),"",IF($D767&lt;&gt;"",ROUND(Points!$B$6*IF($F767&lt;Points!$H$4,Points!$H$5,1),0),ROUND(Points!$B$6*IF($F767&lt;=1,1,Points!$H$7+(1-Points!$H$7)*((($F767-$E767)*(($F767-$E767)+1)/2)^2-((($F767-$E767-COUNTIFS($A$5:$A$1668,$A767,$C$5:$C$1668,$C767)+1)-1)*($F767-$E767-COUNTIFS($A$5:$A$1668,$A767,$C$5:$C$1668,$C767)+1)/2)^2)/(COUNTIFS($A$5:$A$1668,$A767,$C$5:$C$1668,$C767)*($F767-1)^3))*IF($F767&lt;Points!$H$4,Points!$H$5,1),0)))</f>
        <v/>
      </c>
      <c r="H767" s="11">
        <f>IF($G767="","",COUNTIFS($B$5:$B$1668,$B767,$G$5:$G$1668,"&gt;"&amp;$G767)+COUNTIFS($B$4:$B766,$B767,$G$4:$G766,$G767)+1)</f>
        <v/>
      </c>
      <c r="I767" s="11">
        <f>IF($G767="","",IF($H767&lt;=Points!$H$6,$G767,0))</f>
        <v/>
      </c>
      <c r="J767" s="11">
        <f>IF($B767="","",IF(COUNTIF(Players!$A$2:$A$500,$B767)=0,"Player is not on the Players tab",IF(NOT(ISNUMBER($C767)),"Enter a gross score",IF(COUNTIFS($A$5:$A$1668,$A767,$B$5:$B$1668,$B767)&gt;1,"Player is listed twice this week",IF(AND($D767&lt;&gt;"",COUNTIFS($A$5:$A$1668,$A767,$D$5:$D$1668,$D767)&gt;1),"Two players picked as "&amp;$D767,IF(COUNTIFS($A$5:$A$1668,$A767,$D$5:$D$1668,"Gross winner")=0,"Pick this week's gross winner",IF(COUNTIFS($A$5:$A$1668,$A767,$D$5:$D$1668,"Net winner")=0,"Pick this week's net winner","OK")))))))</f>
        <v/>
      </c>
    </row>
    <row r="768" outlineLevel="1">
      <c r="A768" s="13" t="n">
        <v>46554</v>
      </c>
      <c r="E768" s="11">
        <f>IF(OR($B768="",NOT(ISNUMBER($C768))),"",COUNTIFS($A$5:$A$1668,$A768,$C$5:$C$1668,"&lt;"&amp;$C768)+1)</f>
        <v/>
      </c>
      <c r="F768" s="11">
        <f>IF(OR($B768="",NOT(ISNUMBER($C768))),"",COUNTIFS($A$5:$A$1668,$A768,$C$5:$C$1668,"&gt;0"))</f>
        <v/>
      </c>
      <c r="G768" s="11">
        <f>IF(OR($B768="",NOT(ISNUMBER($C768))),"",IF($D768&lt;&gt;"",ROUND(Points!$B$6*IF($F768&lt;Points!$H$4,Points!$H$5,1),0),ROUND(Points!$B$6*IF($F768&lt;=1,1,Points!$H$7+(1-Points!$H$7)*((($F768-$E768)*(($F768-$E768)+1)/2)^2-((($F768-$E768-COUNTIFS($A$5:$A$1668,$A768,$C$5:$C$1668,$C768)+1)-1)*($F768-$E768-COUNTIFS($A$5:$A$1668,$A768,$C$5:$C$1668,$C768)+1)/2)^2)/(COUNTIFS($A$5:$A$1668,$A768,$C$5:$C$1668,$C768)*($F768-1)^3))*IF($F768&lt;Points!$H$4,Points!$H$5,1),0)))</f>
        <v/>
      </c>
      <c r="H768" s="11">
        <f>IF($G768="","",COUNTIFS($B$5:$B$1668,$B768,$G$5:$G$1668,"&gt;"&amp;$G768)+COUNTIFS($B$4:$B767,$B768,$G$4:$G767,$G768)+1)</f>
        <v/>
      </c>
      <c r="I768" s="11">
        <f>IF($G768="","",IF($H768&lt;=Points!$H$6,$G768,0))</f>
        <v/>
      </c>
      <c r="J768" s="11">
        <f>IF($B768="","",IF(COUNTIF(Players!$A$2:$A$500,$B768)=0,"Player is not on the Players tab",IF(NOT(ISNUMBER($C768)),"Enter a gross score",IF(COUNTIFS($A$5:$A$1668,$A768,$B$5:$B$1668,$B768)&gt;1,"Player is listed twice this week",IF(AND($D768&lt;&gt;"",COUNTIFS($A$5:$A$1668,$A768,$D$5:$D$1668,$D768)&gt;1),"Two players picked as "&amp;$D768,IF(COUNTIFS($A$5:$A$1668,$A768,$D$5:$D$1668,"Gross winner")=0,"Pick this week's gross winner",IF(COUNTIFS($A$5:$A$1668,$A768,$D$5:$D$1668,"Net winner")=0,"Pick this week's net winner","OK")))))))</f>
        <v/>
      </c>
    </row>
    <row r="769" outlineLevel="1">
      <c r="A769" s="13" t="n">
        <v>46554</v>
      </c>
      <c r="E769" s="11">
        <f>IF(OR($B769="",NOT(ISNUMBER($C769))),"",COUNTIFS($A$5:$A$1668,$A769,$C$5:$C$1668,"&lt;"&amp;$C769)+1)</f>
        <v/>
      </c>
      <c r="F769" s="11">
        <f>IF(OR($B769="",NOT(ISNUMBER($C769))),"",COUNTIFS($A$5:$A$1668,$A769,$C$5:$C$1668,"&gt;0"))</f>
        <v/>
      </c>
      <c r="G769" s="11">
        <f>IF(OR($B769="",NOT(ISNUMBER($C769))),"",IF($D769&lt;&gt;"",ROUND(Points!$B$6*IF($F769&lt;Points!$H$4,Points!$H$5,1),0),ROUND(Points!$B$6*IF($F769&lt;=1,1,Points!$H$7+(1-Points!$H$7)*((($F769-$E769)*(($F769-$E769)+1)/2)^2-((($F769-$E769-COUNTIFS($A$5:$A$1668,$A769,$C$5:$C$1668,$C769)+1)-1)*($F769-$E769-COUNTIFS($A$5:$A$1668,$A769,$C$5:$C$1668,$C769)+1)/2)^2)/(COUNTIFS($A$5:$A$1668,$A769,$C$5:$C$1668,$C769)*($F769-1)^3))*IF($F769&lt;Points!$H$4,Points!$H$5,1),0)))</f>
        <v/>
      </c>
      <c r="H769" s="11">
        <f>IF($G769="","",COUNTIFS($B$5:$B$1668,$B769,$G$5:$G$1668,"&gt;"&amp;$G769)+COUNTIFS($B$4:$B768,$B769,$G$4:$G768,$G769)+1)</f>
        <v/>
      </c>
      <c r="I769" s="11">
        <f>IF($G769="","",IF($H769&lt;=Points!$H$6,$G769,0))</f>
        <v/>
      </c>
      <c r="J769" s="11">
        <f>IF($B769="","",IF(COUNTIF(Players!$A$2:$A$500,$B769)=0,"Player is not on the Players tab",IF(NOT(ISNUMBER($C769)),"Enter a gross score",IF(COUNTIFS($A$5:$A$1668,$A769,$B$5:$B$1668,$B769)&gt;1,"Player is listed twice this week",IF(AND($D769&lt;&gt;"",COUNTIFS($A$5:$A$1668,$A769,$D$5:$D$1668,$D769)&gt;1),"Two players picked as "&amp;$D769,IF(COUNTIFS($A$5:$A$1668,$A769,$D$5:$D$1668,"Gross winner")=0,"Pick this week's gross winner",IF(COUNTIFS($A$5:$A$1668,$A769,$D$5:$D$1668,"Net winner")=0,"Pick this week's net winner","OK")))))))</f>
        <v/>
      </c>
    </row>
    <row r="770" outlineLevel="1">
      <c r="A770" s="13" t="n">
        <v>46554</v>
      </c>
      <c r="E770" s="11">
        <f>IF(OR($B770="",NOT(ISNUMBER($C770))),"",COUNTIFS($A$5:$A$1668,$A770,$C$5:$C$1668,"&lt;"&amp;$C770)+1)</f>
        <v/>
      </c>
      <c r="F770" s="11">
        <f>IF(OR($B770="",NOT(ISNUMBER($C770))),"",COUNTIFS($A$5:$A$1668,$A770,$C$5:$C$1668,"&gt;0"))</f>
        <v/>
      </c>
      <c r="G770" s="11">
        <f>IF(OR($B770="",NOT(ISNUMBER($C770))),"",IF($D770&lt;&gt;"",ROUND(Points!$B$6*IF($F770&lt;Points!$H$4,Points!$H$5,1),0),ROUND(Points!$B$6*IF($F770&lt;=1,1,Points!$H$7+(1-Points!$H$7)*((($F770-$E770)*(($F770-$E770)+1)/2)^2-((($F770-$E770-COUNTIFS($A$5:$A$1668,$A770,$C$5:$C$1668,$C770)+1)-1)*($F770-$E770-COUNTIFS($A$5:$A$1668,$A770,$C$5:$C$1668,$C770)+1)/2)^2)/(COUNTIFS($A$5:$A$1668,$A770,$C$5:$C$1668,$C770)*($F770-1)^3))*IF($F770&lt;Points!$H$4,Points!$H$5,1),0)))</f>
        <v/>
      </c>
      <c r="H770" s="11">
        <f>IF($G770="","",COUNTIFS($B$5:$B$1668,$B770,$G$5:$G$1668,"&gt;"&amp;$G770)+COUNTIFS($B$4:$B769,$B770,$G$4:$G769,$G770)+1)</f>
        <v/>
      </c>
      <c r="I770" s="11">
        <f>IF($G770="","",IF($H770&lt;=Points!$H$6,$G770,0))</f>
        <v/>
      </c>
      <c r="J770" s="11">
        <f>IF($B770="","",IF(COUNTIF(Players!$A$2:$A$500,$B770)=0,"Player is not on the Players tab",IF(NOT(ISNUMBER($C770)),"Enter a gross score",IF(COUNTIFS($A$5:$A$1668,$A770,$B$5:$B$1668,$B770)&gt;1,"Player is listed twice this week",IF(AND($D770&lt;&gt;"",COUNTIFS($A$5:$A$1668,$A770,$D$5:$D$1668,$D770)&gt;1),"Two players picked as "&amp;$D770,IF(COUNTIFS($A$5:$A$1668,$A770,$D$5:$D$1668,"Gross winner")=0,"Pick this week's gross winner",IF(COUNTIFS($A$5:$A$1668,$A770,$D$5:$D$1668,"Net winner")=0,"Pick this week's net winner","OK")))))))</f>
        <v/>
      </c>
    </row>
    <row r="771" outlineLevel="1">
      <c r="A771" s="13" t="n">
        <v>46554</v>
      </c>
      <c r="E771" s="11">
        <f>IF(OR($B771="",NOT(ISNUMBER($C771))),"",COUNTIFS($A$5:$A$1668,$A771,$C$5:$C$1668,"&lt;"&amp;$C771)+1)</f>
        <v/>
      </c>
      <c r="F771" s="11">
        <f>IF(OR($B771="",NOT(ISNUMBER($C771))),"",COUNTIFS($A$5:$A$1668,$A771,$C$5:$C$1668,"&gt;0"))</f>
        <v/>
      </c>
      <c r="G771" s="11">
        <f>IF(OR($B771="",NOT(ISNUMBER($C771))),"",IF($D771&lt;&gt;"",ROUND(Points!$B$6*IF($F771&lt;Points!$H$4,Points!$H$5,1),0),ROUND(Points!$B$6*IF($F771&lt;=1,1,Points!$H$7+(1-Points!$H$7)*((($F771-$E771)*(($F771-$E771)+1)/2)^2-((($F771-$E771-COUNTIFS($A$5:$A$1668,$A771,$C$5:$C$1668,$C771)+1)-1)*($F771-$E771-COUNTIFS($A$5:$A$1668,$A771,$C$5:$C$1668,$C771)+1)/2)^2)/(COUNTIFS($A$5:$A$1668,$A771,$C$5:$C$1668,$C771)*($F771-1)^3))*IF($F771&lt;Points!$H$4,Points!$H$5,1),0)))</f>
        <v/>
      </c>
      <c r="H771" s="11">
        <f>IF($G771="","",COUNTIFS($B$5:$B$1668,$B771,$G$5:$G$1668,"&gt;"&amp;$G771)+COUNTIFS($B$4:$B770,$B771,$G$4:$G770,$G771)+1)</f>
        <v/>
      </c>
      <c r="I771" s="11">
        <f>IF($G771="","",IF($H771&lt;=Points!$H$6,$G771,0))</f>
        <v/>
      </c>
      <c r="J771" s="11">
        <f>IF($B771="","",IF(COUNTIF(Players!$A$2:$A$500,$B771)=0,"Player is not on the Players tab",IF(NOT(ISNUMBER($C771)),"Enter a gross score",IF(COUNTIFS($A$5:$A$1668,$A771,$B$5:$B$1668,$B771)&gt;1,"Player is listed twice this week",IF(AND($D771&lt;&gt;"",COUNTIFS($A$5:$A$1668,$A771,$D$5:$D$1668,$D771)&gt;1),"Two players picked as "&amp;$D771,IF(COUNTIFS($A$5:$A$1668,$A771,$D$5:$D$1668,"Gross winner")=0,"Pick this week's gross winner",IF(COUNTIFS($A$5:$A$1668,$A771,$D$5:$D$1668,"Net winner")=0,"Pick this week's net winner","OK")))))))</f>
        <v/>
      </c>
    </row>
    <row r="772" ht="10" customHeight="1"/>
    <row r="773" ht="22" customHeight="1">
      <c r="A773" s="12" t="inlineStr">
        <is>
          <t>Week 25  ·  Wednesday, Jun 23</t>
        </is>
      </c>
    </row>
    <row r="774" outlineLevel="1">
      <c r="A774" s="13" t="n">
        <v>46561</v>
      </c>
      <c r="E774" s="11">
        <f>IF(OR($B774="",NOT(ISNUMBER($C774))),"",COUNTIFS($A$5:$A$1668,$A774,$C$5:$C$1668,"&lt;"&amp;$C774)+1)</f>
        <v/>
      </c>
      <c r="F774" s="11">
        <f>IF(OR($B774="",NOT(ISNUMBER($C774))),"",COUNTIFS($A$5:$A$1668,$A774,$C$5:$C$1668,"&gt;0"))</f>
        <v/>
      </c>
      <c r="G774" s="11">
        <f>IF(OR($B774="",NOT(ISNUMBER($C774))),"",IF($D774&lt;&gt;"",ROUND(Points!$B$6*IF($F774&lt;Points!$H$4,Points!$H$5,1),0),ROUND(Points!$B$6*IF($F774&lt;=1,1,Points!$H$7+(1-Points!$H$7)*((($F774-$E774)*(($F774-$E774)+1)/2)^2-((($F774-$E774-COUNTIFS($A$5:$A$1668,$A774,$C$5:$C$1668,$C774)+1)-1)*($F774-$E774-COUNTIFS($A$5:$A$1668,$A774,$C$5:$C$1668,$C774)+1)/2)^2)/(COUNTIFS($A$5:$A$1668,$A774,$C$5:$C$1668,$C774)*($F774-1)^3))*IF($F774&lt;Points!$H$4,Points!$H$5,1),0)))</f>
        <v/>
      </c>
      <c r="H774" s="11">
        <f>IF($G774="","",COUNTIFS($B$5:$B$1668,$B774,$G$5:$G$1668,"&gt;"&amp;$G774)+COUNTIFS($B$4:$B773,$B774,$G$4:$G773,$G774)+1)</f>
        <v/>
      </c>
      <c r="I774" s="11">
        <f>IF($G774="","",IF($H774&lt;=Points!$H$6,$G774,0))</f>
        <v/>
      </c>
      <c r="J774" s="11">
        <f>IF($B774="","",IF(COUNTIF(Players!$A$2:$A$500,$B774)=0,"Player is not on the Players tab",IF(NOT(ISNUMBER($C774)),"Enter a gross score",IF(COUNTIFS($A$5:$A$1668,$A774,$B$5:$B$1668,$B774)&gt;1,"Player is listed twice this week",IF(AND($D774&lt;&gt;"",COUNTIFS($A$5:$A$1668,$A774,$D$5:$D$1668,$D774)&gt;1),"Two players picked as "&amp;$D774,IF(COUNTIFS($A$5:$A$1668,$A774,$D$5:$D$1668,"Gross winner")=0,"Pick this week's gross winner",IF(COUNTIFS($A$5:$A$1668,$A774,$D$5:$D$1668,"Net winner")=0,"Pick this week's net winner","OK")))))))</f>
        <v/>
      </c>
    </row>
    <row r="775" outlineLevel="1">
      <c r="A775" s="13" t="n">
        <v>46561</v>
      </c>
      <c r="E775" s="11">
        <f>IF(OR($B775="",NOT(ISNUMBER($C775))),"",COUNTIFS($A$5:$A$1668,$A775,$C$5:$C$1668,"&lt;"&amp;$C775)+1)</f>
        <v/>
      </c>
      <c r="F775" s="11">
        <f>IF(OR($B775="",NOT(ISNUMBER($C775))),"",COUNTIFS($A$5:$A$1668,$A775,$C$5:$C$1668,"&gt;0"))</f>
        <v/>
      </c>
      <c r="G775" s="11">
        <f>IF(OR($B775="",NOT(ISNUMBER($C775))),"",IF($D775&lt;&gt;"",ROUND(Points!$B$6*IF($F775&lt;Points!$H$4,Points!$H$5,1),0),ROUND(Points!$B$6*IF($F775&lt;=1,1,Points!$H$7+(1-Points!$H$7)*((($F775-$E775)*(($F775-$E775)+1)/2)^2-((($F775-$E775-COUNTIFS($A$5:$A$1668,$A775,$C$5:$C$1668,$C775)+1)-1)*($F775-$E775-COUNTIFS($A$5:$A$1668,$A775,$C$5:$C$1668,$C775)+1)/2)^2)/(COUNTIFS($A$5:$A$1668,$A775,$C$5:$C$1668,$C775)*($F775-1)^3))*IF($F775&lt;Points!$H$4,Points!$H$5,1),0)))</f>
        <v/>
      </c>
      <c r="H775" s="11">
        <f>IF($G775="","",COUNTIFS($B$5:$B$1668,$B775,$G$5:$G$1668,"&gt;"&amp;$G775)+COUNTIFS($B$4:$B774,$B775,$G$4:$G774,$G775)+1)</f>
        <v/>
      </c>
      <c r="I775" s="11">
        <f>IF($G775="","",IF($H775&lt;=Points!$H$6,$G775,0))</f>
        <v/>
      </c>
      <c r="J775" s="11">
        <f>IF($B775="","",IF(COUNTIF(Players!$A$2:$A$500,$B775)=0,"Player is not on the Players tab",IF(NOT(ISNUMBER($C775)),"Enter a gross score",IF(COUNTIFS($A$5:$A$1668,$A775,$B$5:$B$1668,$B775)&gt;1,"Player is listed twice this week",IF(AND($D775&lt;&gt;"",COUNTIFS($A$5:$A$1668,$A775,$D$5:$D$1668,$D775)&gt;1),"Two players picked as "&amp;$D775,IF(COUNTIFS($A$5:$A$1668,$A775,$D$5:$D$1668,"Gross winner")=0,"Pick this week's gross winner",IF(COUNTIFS($A$5:$A$1668,$A775,$D$5:$D$1668,"Net winner")=0,"Pick this week's net winner","OK")))))))</f>
        <v/>
      </c>
    </row>
    <row r="776" outlineLevel="1">
      <c r="A776" s="13" t="n">
        <v>46561</v>
      </c>
      <c r="E776" s="11">
        <f>IF(OR($B776="",NOT(ISNUMBER($C776))),"",COUNTIFS($A$5:$A$1668,$A776,$C$5:$C$1668,"&lt;"&amp;$C776)+1)</f>
        <v/>
      </c>
      <c r="F776" s="11">
        <f>IF(OR($B776="",NOT(ISNUMBER($C776))),"",COUNTIFS($A$5:$A$1668,$A776,$C$5:$C$1668,"&gt;0"))</f>
        <v/>
      </c>
      <c r="G776" s="11">
        <f>IF(OR($B776="",NOT(ISNUMBER($C776))),"",IF($D776&lt;&gt;"",ROUND(Points!$B$6*IF($F776&lt;Points!$H$4,Points!$H$5,1),0),ROUND(Points!$B$6*IF($F776&lt;=1,1,Points!$H$7+(1-Points!$H$7)*((($F776-$E776)*(($F776-$E776)+1)/2)^2-((($F776-$E776-COUNTIFS($A$5:$A$1668,$A776,$C$5:$C$1668,$C776)+1)-1)*($F776-$E776-COUNTIFS($A$5:$A$1668,$A776,$C$5:$C$1668,$C776)+1)/2)^2)/(COUNTIFS($A$5:$A$1668,$A776,$C$5:$C$1668,$C776)*($F776-1)^3))*IF($F776&lt;Points!$H$4,Points!$H$5,1),0)))</f>
        <v/>
      </c>
      <c r="H776" s="11">
        <f>IF($G776="","",COUNTIFS($B$5:$B$1668,$B776,$G$5:$G$1668,"&gt;"&amp;$G776)+COUNTIFS($B$4:$B775,$B776,$G$4:$G775,$G776)+1)</f>
        <v/>
      </c>
      <c r="I776" s="11">
        <f>IF($G776="","",IF($H776&lt;=Points!$H$6,$G776,0))</f>
        <v/>
      </c>
      <c r="J776" s="11">
        <f>IF($B776="","",IF(COUNTIF(Players!$A$2:$A$500,$B776)=0,"Player is not on the Players tab",IF(NOT(ISNUMBER($C776)),"Enter a gross score",IF(COUNTIFS($A$5:$A$1668,$A776,$B$5:$B$1668,$B776)&gt;1,"Player is listed twice this week",IF(AND($D776&lt;&gt;"",COUNTIFS($A$5:$A$1668,$A776,$D$5:$D$1668,$D776)&gt;1),"Two players picked as "&amp;$D776,IF(COUNTIFS($A$5:$A$1668,$A776,$D$5:$D$1668,"Gross winner")=0,"Pick this week's gross winner",IF(COUNTIFS($A$5:$A$1668,$A776,$D$5:$D$1668,"Net winner")=0,"Pick this week's net winner","OK")))))))</f>
        <v/>
      </c>
    </row>
    <row r="777" outlineLevel="1">
      <c r="A777" s="13" t="n">
        <v>46561</v>
      </c>
      <c r="E777" s="11">
        <f>IF(OR($B777="",NOT(ISNUMBER($C777))),"",COUNTIFS($A$5:$A$1668,$A777,$C$5:$C$1668,"&lt;"&amp;$C777)+1)</f>
        <v/>
      </c>
      <c r="F777" s="11">
        <f>IF(OR($B777="",NOT(ISNUMBER($C777))),"",COUNTIFS($A$5:$A$1668,$A777,$C$5:$C$1668,"&gt;0"))</f>
        <v/>
      </c>
      <c r="G777" s="11">
        <f>IF(OR($B777="",NOT(ISNUMBER($C777))),"",IF($D777&lt;&gt;"",ROUND(Points!$B$6*IF($F777&lt;Points!$H$4,Points!$H$5,1),0),ROUND(Points!$B$6*IF($F777&lt;=1,1,Points!$H$7+(1-Points!$H$7)*((($F777-$E777)*(($F777-$E777)+1)/2)^2-((($F777-$E777-COUNTIFS($A$5:$A$1668,$A777,$C$5:$C$1668,$C777)+1)-1)*($F777-$E777-COUNTIFS($A$5:$A$1668,$A777,$C$5:$C$1668,$C777)+1)/2)^2)/(COUNTIFS($A$5:$A$1668,$A777,$C$5:$C$1668,$C777)*($F777-1)^3))*IF($F777&lt;Points!$H$4,Points!$H$5,1),0)))</f>
        <v/>
      </c>
      <c r="H777" s="11">
        <f>IF($G777="","",COUNTIFS($B$5:$B$1668,$B777,$G$5:$G$1668,"&gt;"&amp;$G777)+COUNTIFS($B$4:$B776,$B777,$G$4:$G776,$G777)+1)</f>
        <v/>
      </c>
      <c r="I777" s="11">
        <f>IF($G777="","",IF($H777&lt;=Points!$H$6,$G777,0))</f>
        <v/>
      </c>
      <c r="J777" s="11">
        <f>IF($B777="","",IF(COUNTIF(Players!$A$2:$A$500,$B777)=0,"Player is not on the Players tab",IF(NOT(ISNUMBER($C777)),"Enter a gross score",IF(COUNTIFS($A$5:$A$1668,$A777,$B$5:$B$1668,$B777)&gt;1,"Player is listed twice this week",IF(AND($D777&lt;&gt;"",COUNTIFS($A$5:$A$1668,$A777,$D$5:$D$1668,$D777)&gt;1),"Two players picked as "&amp;$D777,IF(COUNTIFS($A$5:$A$1668,$A777,$D$5:$D$1668,"Gross winner")=0,"Pick this week's gross winner",IF(COUNTIFS($A$5:$A$1668,$A777,$D$5:$D$1668,"Net winner")=0,"Pick this week's net winner","OK")))))))</f>
        <v/>
      </c>
    </row>
    <row r="778" outlineLevel="1">
      <c r="A778" s="13" t="n">
        <v>46561</v>
      </c>
      <c r="E778" s="11">
        <f>IF(OR($B778="",NOT(ISNUMBER($C778))),"",COUNTIFS($A$5:$A$1668,$A778,$C$5:$C$1668,"&lt;"&amp;$C778)+1)</f>
        <v/>
      </c>
      <c r="F778" s="11">
        <f>IF(OR($B778="",NOT(ISNUMBER($C778))),"",COUNTIFS($A$5:$A$1668,$A778,$C$5:$C$1668,"&gt;0"))</f>
        <v/>
      </c>
      <c r="G778" s="11">
        <f>IF(OR($B778="",NOT(ISNUMBER($C778))),"",IF($D778&lt;&gt;"",ROUND(Points!$B$6*IF($F778&lt;Points!$H$4,Points!$H$5,1),0),ROUND(Points!$B$6*IF($F778&lt;=1,1,Points!$H$7+(1-Points!$H$7)*((($F778-$E778)*(($F778-$E778)+1)/2)^2-((($F778-$E778-COUNTIFS($A$5:$A$1668,$A778,$C$5:$C$1668,$C778)+1)-1)*($F778-$E778-COUNTIFS($A$5:$A$1668,$A778,$C$5:$C$1668,$C778)+1)/2)^2)/(COUNTIFS($A$5:$A$1668,$A778,$C$5:$C$1668,$C778)*($F778-1)^3))*IF($F778&lt;Points!$H$4,Points!$H$5,1),0)))</f>
        <v/>
      </c>
      <c r="H778" s="11">
        <f>IF($G778="","",COUNTIFS($B$5:$B$1668,$B778,$G$5:$G$1668,"&gt;"&amp;$G778)+COUNTIFS($B$4:$B777,$B778,$G$4:$G777,$G778)+1)</f>
        <v/>
      </c>
      <c r="I778" s="11">
        <f>IF($G778="","",IF($H778&lt;=Points!$H$6,$G778,0))</f>
        <v/>
      </c>
      <c r="J778" s="11">
        <f>IF($B778="","",IF(COUNTIF(Players!$A$2:$A$500,$B778)=0,"Player is not on the Players tab",IF(NOT(ISNUMBER($C778)),"Enter a gross score",IF(COUNTIFS($A$5:$A$1668,$A778,$B$5:$B$1668,$B778)&gt;1,"Player is listed twice this week",IF(AND($D778&lt;&gt;"",COUNTIFS($A$5:$A$1668,$A778,$D$5:$D$1668,$D778)&gt;1),"Two players picked as "&amp;$D778,IF(COUNTIFS($A$5:$A$1668,$A778,$D$5:$D$1668,"Gross winner")=0,"Pick this week's gross winner",IF(COUNTIFS($A$5:$A$1668,$A778,$D$5:$D$1668,"Net winner")=0,"Pick this week's net winner","OK")))))))</f>
        <v/>
      </c>
    </row>
    <row r="779" outlineLevel="1">
      <c r="A779" s="13" t="n">
        <v>46561</v>
      </c>
      <c r="E779" s="11">
        <f>IF(OR($B779="",NOT(ISNUMBER($C779))),"",COUNTIFS($A$5:$A$1668,$A779,$C$5:$C$1668,"&lt;"&amp;$C779)+1)</f>
        <v/>
      </c>
      <c r="F779" s="11">
        <f>IF(OR($B779="",NOT(ISNUMBER($C779))),"",COUNTIFS($A$5:$A$1668,$A779,$C$5:$C$1668,"&gt;0"))</f>
        <v/>
      </c>
      <c r="G779" s="11">
        <f>IF(OR($B779="",NOT(ISNUMBER($C779))),"",IF($D779&lt;&gt;"",ROUND(Points!$B$6*IF($F779&lt;Points!$H$4,Points!$H$5,1),0),ROUND(Points!$B$6*IF($F779&lt;=1,1,Points!$H$7+(1-Points!$H$7)*((($F779-$E779)*(($F779-$E779)+1)/2)^2-((($F779-$E779-COUNTIFS($A$5:$A$1668,$A779,$C$5:$C$1668,$C779)+1)-1)*($F779-$E779-COUNTIFS($A$5:$A$1668,$A779,$C$5:$C$1668,$C779)+1)/2)^2)/(COUNTIFS($A$5:$A$1668,$A779,$C$5:$C$1668,$C779)*($F779-1)^3))*IF($F779&lt;Points!$H$4,Points!$H$5,1),0)))</f>
        <v/>
      </c>
      <c r="H779" s="11">
        <f>IF($G779="","",COUNTIFS($B$5:$B$1668,$B779,$G$5:$G$1668,"&gt;"&amp;$G779)+COUNTIFS($B$4:$B778,$B779,$G$4:$G778,$G779)+1)</f>
        <v/>
      </c>
      <c r="I779" s="11">
        <f>IF($G779="","",IF($H779&lt;=Points!$H$6,$G779,0))</f>
        <v/>
      </c>
      <c r="J779" s="11">
        <f>IF($B779="","",IF(COUNTIF(Players!$A$2:$A$500,$B779)=0,"Player is not on the Players tab",IF(NOT(ISNUMBER($C779)),"Enter a gross score",IF(COUNTIFS($A$5:$A$1668,$A779,$B$5:$B$1668,$B779)&gt;1,"Player is listed twice this week",IF(AND($D779&lt;&gt;"",COUNTIFS($A$5:$A$1668,$A779,$D$5:$D$1668,$D779)&gt;1),"Two players picked as "&amp;$D779,IF(COUNTIFS($A$5:$A$1668,$A779,$D$5:$D$1668,"Gross winner")=0,"Pick this week's gross winner",IF(COUNTIFS($A$5:$A$1668,$A779,$D$5:$D$1668,"Net winner")=0,"Pick this week's net winner","OK")))))))</f>
        <v/>
      </c>
    </row>
    <row r="780" outlineLevel="1">
      <c r="A780" s="13" t="n">
        <v>46561</v>
      </c>
      <c r="E780" s="11">
        <f>IF(OR($B780="",NOT(ISNUMBER($C780))),"",COUNTIFS($A$5:$A$1668,$A780,$C$5:$C$1668,"&lt;"&amp;$C780)+1)</f>
        <v/>
      </c>
      <c r="F780" s="11">
        <f>IF(OR($B780="",NOT(ISNUMBER($C780))),"",COUNTIFS($A$5:$A$1668,$A780,$C$5:$C$1668,"&gt;0"))</f>
        <v/>
      </c>
      <c r="G780" s="11">
        <f>IF(OR($B780="",NOT(ISNUMBER($C780))),"",IF($D780&lt;&gt;"",ROUND(Points!$B$6*IF($F780&lt;Points!$H$4,Points!$H$5,1),0),ROUND(Points!$B$6*IF($F780&lt;=1,1,Points!$H$7+(1-Points!$H$7)*((($F780-$E780)*(($F780-$E780)+1)/2)^2-((($F780-$E780-COUNTIFS($A$5:$A$1668,$A780,$C$5:$C$1668,$C780)+1)-1)*($F780-$E780-COUNTIFS($A$5:$A$1668,$A780,$C$5:$C$1668,$C780)+1)/2)^2)/(COUNTIFS($A$5:$A$1668,$A780,$C$5:$C$1668,$C780)*($F780-1)^3))*IF($F780&lt;Points!$H$4,Points!$H$5,1),0)))</f>
        <v/>
      </c>
      <c r="H780" s="11">
        <f>IF($G780="","",COUNTIFS($B$5:$B$1668,$B780,$G$5:$G$1668,"&gt;"&amp;$G780)+COUNTIFS($B$4:$B779,$B780,$G$4:$G779,$G780)+1)</f>
        <v/>
      </c>
      <c r="I780" s="11">
        <f>IF($G780="","",IF($H780&lt;=Points!$H$6,$G780,0))</f>
        <v/>
      </c>
      <c r="J780" s="11">
        <f>IF($B780="","",IF(COUNTIF(Players!$A$2:$A$500,$B780)=0,"Player is not on the Players tab",IF(NOT(ISNUMBER($C780)),"Enter a gross score",IF(COUNTIFS($A$5:$A$1668,$A780,$B$5:$B$1668,$B780)&gt;1,"Player is listed twice this week",IF(AND($D780&lt;&gt;"",COUNTIFS($A$5:$A$1668,$A780,$D$5:$D$1668,$D780)&gt;1),"Two players picked as "&amp;$D780,IF(COUNTIFS($A$5:$A$1668,$A780,$D$5:$D$1668,"Gross winner")=0,"Pick this week's gross winner",IF(COUNTIFS($A$5:$A$1668,$A780,$D$5:$D$1668,"Net winner")=0,"Pick this week's net winner","OK")))))))</f>
        <v/>
      </c>
    </row>
    <row r="781" outlineLevel="1">
      <c r="A781" s="13" t="n">
        <v>46561</v>
      </c>
      <c r="E781" s="11">
        <f>IF(OR($B781="",NOT(ISNUMBER($C781))),"",COUNTIFS($A$5:$A$1668,$A781,$C$5:$C$1668,"&lt;"&amp;$C781)+1)</f>
        <v/>
      </c>
      <c r="F781" s="11">
        <f>IF(OR($B781="",NOT(ISNUMBER($C781))),"",COUNTIFS($A$5:$A$1668,$A781,$C$5:$C$1668,"&gt;0"))</f>
        <v/>
      </c>
      <c r="G781" s="11">
        <f>IF(OR($B781="",NOT(ISNUMBER($C781))),"",IF($D781&lt;&gt;"",ROUND(Points!$B$6*IF($F781&lt;Points!$H$4,Points!$H$5,1),0),ROUND(Points!$B$6*IF($F781&lt;=1,1,Points!$H$7+(1-Points!$H$7)*((($F781-$E781)*(($F781-$E781)+1)/2)^2-((($F781-$E781-COUNTIFS($A$5:$A$1668,$A781,$C$5:$C$1668,$C781)+1)-1)*($F781-$E781-COUNTIFS($A$5:$A$1668,$A781,$C$5:$C$1668,$C781)+1)/2)^2)/(COUNTIFS($A$5:$A$1668,$A781,$C$5:$C$1668,$C781)*($F781-1)^3))*IF($F781&lt;Points!$H$4,Points!$H$5,1),0)))</f>
        <v/>
      </c>
      <c r="H781" s="11">
        <f>IF($G781="","",COUNTIFS($B$5:$B$1668,$B781,$G$5:$G$1668,"&gt;"&amp;$G781)+COUNTIFS($B$4:$B780,$B781,$G$4:$G780,$G781)+1)</f>
        <v/>
      </c>
      <c r="I781" s="11">
        <f>IF($G781="","",IF($H781&lt;=Points!$H$6,$G781,0))</f>
        <v/>
      </c>
      <c r="J781" s="11">
        <f>IF($B781="","",IF(COUNTIF(Players!$A$2:$A$500,$B781)=0,"Player is not on the Players tab",IF(NOT(ISNUMBER($C781)),"Enter a gross score",IF(COUNTIFS($A$5:$A$1668,$A781,$B$5:$B$1668,$B781)&gt;1,"Player is listed twice this week",IF(AND($D781&lt;&gt;"",COUNTIFS($A$5:$A$1668,$A781,$D$5:$D$1668,$D781)&gt;1),"Two players picked as "&amp;$D781,IF(COUNTIFS($A$5:$A$1668,$A781,$D$5:$D$1668,"Gross winner")=0,"Pick this week's gross winner",IF(COUNTIFS($A$5:$A$1668,$A781,$D$5:$D$1668,"Net winner")=0,"Pick this week's net winner","OK")))))))</f>
        <v/>
      </c>
    </row>
    <row r="782" outlineLevel="1">
      <c r="A782" s="13" t="n">
        <v>46561</v>
      </c>
      <c r="E782" s="11">
        <f>IF(OR($B782="",NOT(ISNUMBER($C782))),"",COUNTIFS($A$5:$A$1668,$A782,$C$5:$C$1668,"&lt;"&amp;$C782)+1)</f>
        <v/>
      </c>
      <c r="F782" s="11">
        <f>IF(OR($B782="",NOT(ISNUMBER($C782))),"",COUNTIFS($A$5:$A$1668,$A782,$C$5:$C$1668,"&gt;0"))</f>
        <v/>
      </c>
      <c r="G782" s="11">
        <f>IF(OR($B782="",NOT(ISNUMBER($C782))),"",IF($D782&lt;&gt;"",ROUND(Points!$B$6*IF($F782&lt;Points!$H$4,Points!$H$5,1),0),ROUND(Points!$B$6*IF($F782&lt;=1,1,Points!$H$7+(1-Points!$H$7)*((($F782-$E782)*(($F782-$E782)+1)/2)^2-((($F782-$E782-COUNTIFS($A$5:$A$1668,$A782,$C$5:$C$1668,$C782)+1)-1)*($F782-$E782-COUNTIFS($A$5:$A$1668,$A782,$C$5:$C$1668,$C782)+1)/2)^2)/(COUNTIFS($A$5:$A$1668,$A782,$C$5:$C$1668,$C782)*($F782-1)^3))*IF($F782&lt;Points!$H$4,Points!$H$5,1),0)))</f>
        <v/>
      </c>
      <c r="H782" s="11">
        <f>IF($G782="","",COUNTIFS($B$5:$B$1668,$B782,$G$5:$G$1668,"&gt;"&amp;$G782)+COUNTIFS($B$4:$B781,$B782,$G$4:$G781,$G782)+1)</f>
        <v/>
      </c>
      <c r="I782" s="11">
        <f>IF($G782="","",IF($H782&lt;=Points!$H$6,$G782,0))</f>
        <v/>
      </c>
      <c r="J782" s="11">
        <f>IF($B782="","",IF(COUNTIF(Players!$A$2:$A$500,$B782)=0,"Player is not on the Players tab",IF(NOT(ISNUMBER($C782)),"Enter a gross score",IF(COUNTIFS($A$5:$A$1668,$A782,$B$5:$B$1668,$B782)&gt;1,"Player is listed twice this week",IF(AND($D782&lt;&gt;"",COUNTIFS($A$5:$A$1668,$A782,$D$5:$D$1668,$D782)&gt;1),"Two players picked as "&amp;$D782,IF(COUNTIFS($A$5:$A$1668,$A782,$D$5:$D$1668,"Gross winner")=0,"Pick this week's gross winner",IF(COUNTIFS($A$5:$A$1668,$A782,$D$5:$D$1668,"Net winner")=0,"Pick this week's net winner","OK")))))))</f>
        <v/>
      </c>
    </row>
    <row r="783" outlineLevel="1">
      <c r="A783" s="13" t="n">
        <v>46561</v>
      </c>
      <c r="E783" s="11">
        <f>IF(OR($B783="",NOT(ISNUMBER($C783))),"",COUNTIFS($A$5:$A$1668,$A783,$C$5:$C$1668,"&lt;"&amp;$C783)+1)</f>
        <v/>
      </c>
      <c r="F783" s="11">
        <f>IF(OR($B783="",NOT(ISNUMBER($C783))),"",COUNTIFS($A$5:$A$1668,$A783,$C$5:$C$1668,"&gt;0"))</f>
        <v/>
      </c>
      <c r="G783" s="11">
        <f>IF(OR($B783="",NOT(ISNUMBER($C783))),"",IF($D783&lt;&gt;"",ROUND(Points!$B$6*IF($F783&lt;Points!$H$4,Points!$H$5,1),0),ROUND(Points!$B$6*IF($F783&lt;=1,1,Points!$H$7+(1-Points!$H$7)*((($F783-$E783)*(($F783-$E783)+1)/2)^2-((($F783-$E783-COUNTIFS($A$5:$A$1668,$A783,$C$5:$C$1668,$C783)+1)-1)*($F783-$E783-COUNTIFS($A$5:$A$1668,$A783,$C$5:$C$1668,$C783)+1)/2)^2)/(COUNTIFS($A$5:$A$1668,$A783,$C$5:$C$1668,$C783)*($F783-1)^3))*IF($F783&lt;Points!$H$4,Points!$H$5,1),0)))</f>
        <v/>
      </c>
      <c r="H783" s="11">
        <f>IF($G783="","",COUNTIFS($B$5:$B$1668,$B783,$G$5:$G$1668,"&gt;"&amp;$G783)+COUNTIFS($B$4:$B782,$B783,$G$4:$G782,$G783)+1)</f>
        <v/>
      </c>
      <c r="I783" s="11">
        <f>IF($G783="","",IF($H783&lt;=Points!$H$6,$G783,0))</f>
        <v/>
      </c>
      <c r="J783" s="11">
        <f>IF($B783="","",IF(COUNTIF(Players!$A$2:$A$500,$B783)=0,"Player is not on the Players tab",IF(NOT(ISNUMBER($C783)),"Enter a gross score",IF(COUNTIFS($A$5:$A$1668,$A783,$B$5:$B$1668,$B783)&gt;1,"Player is listed twice this week",IF(AND($D783&lt;&gt;"",COUNTIFS($A$5:$A$1668,$A783,$D$5:$D$1668,$D783)&gt;1),"Two players picked as "&amp;$D783,IF(COUNTIFS($A$5:$A$1668,$A783,$D$5:$D$1668,"Gross winner")=0,"Pick this week's gross winner",IF(COUNTIFS($A$5:$A$1668,$A783,$D$5:$D$1668,"Net winner")=0,"Pick this week's net winner","OK")))))))</f>
        <v/>
      </c>
    </row>
    <row r="784" outlineLevel="1">
      <c r="A784" s="13" t="n">
        <v>46561</v>
      </c>
      <c r="E784" s="11">
        <f>IF(OR($B784="",NOT(ISNUMBER($C784))),"",COUNTIFS($A$5:$A$1668,$A784,$C$5:$C$1668,"&lt;"&amp;$C784)+1)</f>
        <v/>
      </c>
      <c r="F784" s="11">
        <f>IF(OR($B784="",NOT(ISNUMBER($C784))),"",COUNTIFS($A$5:$A$1668,$A784,$C$5:$C$1668,"&gt;0"))</f>
        <v/>
      </c>
      <c r="G784" s="11">
        <f>IF(OR($B784="",NOT(ISNUMBER($C784))),"",IF($D784&lt;&gt;"",ROUND(Points!$B$6*IF($F784&lt;Points!$H$4,Points!$H$5,1),0),ROUND(Points!$B$6*IF($F784&lt;=1,1,Points!$H$7+(1-Points!$H$7)*((($F784-$E784)*(($F784-$E784)+1)/2)^2-((($F784-$E784-COUNTIFS($A$5:$A$1668,$A784,$C$5:$C$1668,$C784)+1)-1)*($F784-$E784-COUNTIFS($A$5:$A$1668,$A784,$C$5:$C$1668,$C784)+1)/2)^2)/(COUNTIFS($A$5:$A$1668,$A784,$C$5:$C$1668,$C784)*($F784-1)^3))*IF($F784&lt;Points!$H$4,Points!$H$5,1),0)))</f>
        <v/>
      </c>
      <c r="H784" s="11">
        <f>IF($G784="","",COUNTIFS($B$5:$B$1668,$B784,$G$5:$G$1668,"&gt;"&amp;$G784)+COUNTIFS($B$4:$B783,$B784,$G$4:$G783,$G784)+1)</f>
        <v/>
      </c>
      <c r="I784" s="11">
        <f>IF($G784="","",IF($H784&lt;=Points!$H$6,$G784,0))</f>
        <v/>
      </c>
      <c r="J784" s="11">
        <f>IF($B784="","",IF(COUNTIF(Players!$A$2:$A$500,$B784)=0,"Player is not on the Players tab",IF(NOT(ISNUMBER($C784)),"Enter a gross score",IF(COUNTIFS($A$5:$A$1668,$A784,$B$5:$B$1668,$B784)&gt;1,"Player is listed twice this week",IF(AND($D784&lt;&gt;"",COUNTIFS($A$5:$A$1668,$A784,$D$5:$D$1668,$D784)&gt;1),"Two players picked as "&amp;$D784,IF(COUNTIFS($A$5:$A$1668,$A784,$D$5:$D$1668,"Gross winner")=0,"Pick this week's gross winner",IF(COUNTIFS($A$5:$A$1668,$A784,$D$5:$D$1668,"Net winner")=0,"Pick this week's net winner","OK")))))))</f>
        <v/>
      </c>
    </row>
    <row r="785" outlineLevel="1">
      <c r="A785" s="13" t="n">
        <v>46561</v>
      </c>
      <c r="E785" s="11">
        <f>IF(OR($B785="",NOT(ISNUMBER($C785))),"",COUNTIFS($A$5:$A$1668,$A785,$C$5:$C$1668,"&lt;"&amp;$C785)+1)</f>
        <v/>
      </c>
      <c r="F785" s="11">
        <f>IF(OR($B785="",NOT(ISNUMBER($C785))),"",COUNTIFS($A$5:$A$1668,$A785,$C$5:$C$1668,"&gt;0"))</f>
        <v/>
      </c>
      <c r="G785" s="11">
        <f>IF(OR($B785="",NOT(ISNUMBER($C785))),"",IF($D785&lt;&gt;"",ROUND(Points!$B$6*IF($F785&lt;Points!$H$4,Points!$H$5,1),0),ROUND(Points!$B$6*IF($F785&lt;=1,1,Points!$H$7+(1-Points!$H$7)*((($F785-$E785)*(($F785-$E785)+1)/2)^2-((($F785-$E785-COUNTIFS($A$5:$A$1668,$A785,$C$5:$C$1668,$C785)+1)-1)*($F785-$E785-COUNTIFS($A$5:$A$1668,$A785,$C$5:$C$1668,$C785)+1)/2)^2)/(COUNTIFS($A$5:$A$1668,$A785,$C$5:$C$1668,$C785)*($F785-1)^3))*IF($F785&lt;Points!$H$4,Points!$H$5,1),0)))</f>
        <v/>
      </c>
      <c r="H785" s="11">
        <f>IF($G785="","",COUNTIFS($B$5:$B$1668,$B785,$G$5:$G$1668,"&gt;"&amp;$G785)+COUNTIFS($B$4:$B784,$B785,$G$4:$G784,$G785)+1)</f>
        <v/>
      </c>
      <c r="I785" s="11">
        <f>IF($G785="","",IF($H785&lt;=Points!$H$6,$G785,0))</f>
        <v/>
      </c>
      <c r="J785" s="11">
        <f>IF($B785="","",IF(COUNTIF(Players!$A$2:$A$500,$B785)=0,"Player is not on the Players tab",IF(NOT(ISNUMBER($C785)),"Enter a gross score",IF(COUNTIFS($A$5:$A$1668,$A785,$B$5:$B$1668,$B785)&gt;1,"Player is listed twice this week",IF(AND($D785&lt;&gt;"",COUNTIFS($A$5:$A$1668,$A785,$D$5:$D$1668,$D785)&gt;1),"Two players picked as "&amp;$D785,IF(COUNTIFS($A$5:$A$1668,$A785,$D$5:$D$1668,"Gross winner")=0,"Pick this week's gross winner",IF(COUNTIFS($A$5:$A$1668,$A785,$D$5:$D$1668,"Net winner")=0,"Pick this week's net winner","OK")))))))</f>
        <v/>
      </c>
    </row>
    <row r="786" outlineLevel="1">
      <c r="A786" s="13" t="n">
        <v>46561</v>
      </c>
      <c r="E786" s="11">
        <f>IF(OR($B786="",NOT(ISNUMBER($C786))),"",COUNTIFS($A$5:$A$1668,$A786,$C$5:$C$1668,"&lt;"&amp;$C786)+1)</f>
        <v/>
      </c>
      <c r="F786" s="11">
        <f>IF(OR($B786="",NOT(ISNUMBER($C786))),"",COUNTIFS($A$5:$A$1668,$A786,$C$5:$C$1668,"&gt;0"))</f>
        <v/>
      </c>
      <c r="G786" s="11">
        <f>IF(OR($B786="",NOT(ISNUMBER($C786))),"",IF($D786&lt;&gt;"",ROUND(Points!$B$6*IF($F786&lt;Points!$H$4,Points!$H$5,1),0),ROUND(Points!$B$6*IF($F786&lt;=1,1,Points!$H$7+(1-Points!$H$7)*((($F786-$E786)*(($F786-$E786)+1)/2)^2-((($F786-$E786-COUNTIFS($A$5:$A$1668,$A786,$C$5:$C$1668,$C786)+1)-1)*($F786-$E786-COUNTIFS($A$5:$A$1668,$A786,$C$5:$C$1668,$C786)+1)/2)^2)/(COUNTIFS($A$5:$A$1668,$A786,$C$5:$C$1668,$C786)*($F786-1)^3))*IF($F786&lt;Points!$H$4,Points!$H$5,1),0)))</f>
        <v/>
      </c>
      <c r="H786" s="11">
        <f>IF($G786="","",COUNTIFS($B$5:$B$1668,$B786,$G$5:$G$1668,"&gt;"&amp;$G786)+COUNTIFS($B$4:$B785,$B786,$G$4:$G785,$G786)+1)</f>
        <v/>
      </c>
      <c r="I786" s="11">
        <f>IF($G786="","",IF($H786&lt;=Points!$H$6,$G786,0))</f>
        <v/>
      </c>
      <c r="J786" s="11">
        <f>IF($B786="","",IF(COUNTIF(Players!$A$2:$A$500,$B786)=0,"Player is not on the Players tab",IF(NOT(ISNUMBER($C786)),"Enter a gross score",IF(COUNTIFS($A$5:$A$1668,$A786,$B$5:$B$1668,$B786)&gt;1,"Player is listed twice this week",IF(AND($D786&lt;&gt;"",COUNTIFS($A$5:$A$1668,$A786,$D$5:$D$1668,$D786)&gt;1),"Two players picked as "&amp;$D786,IF(COUNTIFS($A$5:$A$1668,$A786,$D$5:$D$1668,"Gross winner")=0,"Pick this week's gross winner",IF(COUNTIFS($A$5:$A$1668,$A786,$D$5:$D$1668,"Net winner")=0,"Pick this week's net winner","OK")))))))</f>
        <v/>
      </c>
    </row>
    <row r="787" outlineLevel="1">
      <c r="A787" s="13" t="n">
        <v>46561</v>
      </c>
      <c r="E787" s="11">
        <f>IF(OR($B787="",NOT(ISNUMBER($C787))),"",COUNTIFS($A$5:$A$1668,$A787,$C$5:$C$1668,"&lt;"&amp;$C787)+1)</f>
        <v/>
      </c>
      <c r="F787" s="11">
        <f>IF(OR($B787="",NOT(ISNUMBER($C787))),"",COUNTIFS($A$5:$A$1668,$A787,$C$5:$C$1668,"&gt;0"))</f>
        <v/>
      </c>
      <c r="G787" s="11">
        <f>IF(OR($B787="",NOT(ISNUMBER($C787))),"",IF($D787&lt;&gt;"",ROUND(Points!$B$6*IF($F787&lt;Points!$H$4,Points!$H$5,1),0),ROUND(Points!$B$6*IF($F787&lt;=1,1,Points!$H$7+(1-Points!$H$7)*((($F787-$E787)*(($F787-$E787)+1)/2)^2-((($F787-$E787-COUNTIFS($A$5:$A$1668,$A787,$C$5:$C$1668,$C787)+1)-1)*($F787-$E787-COUNTIFS($A$5:$A$1668,$A787,$C$5:$C$1668,$C787)+1)/2)^2)/(COUNTIFS($A$5:$A$1668,$A787,$C$5:$C$1668,$C787)*($F787-1)^3))*IF($F787&lt;Points!$H$4,Points!$H$5,1),0)))</f>
        <v/>
      </c>
      <c r="H787" s="11">
        <f>IF($G787="","",COUNTIFS($B$5:$B$1668,$B787,$G$5:$G$1668,"&gt;"&amp;$G787)+COUNTIFS($B$4:$B786,$B787,$G$4:$G786,$G787)+1)</f>
        <v/>
      </c>
      <c r="I787" s="11">
        <f>IF($G787="","",IF($H787&lt;=Points!$H$6,$G787,0))</f>
        <v/>
      </c>
      <c r="J787" s="11">
        <f>IF($B787="","",IF(COUNTIF(Players!$A$2:$A$500,$B787)=0,"Player is not on the Players tab",IF(NOT(ISNUMBER($C787)),"Enter a gross score",IF(COUNTIFS($A$5:$A$1668,$A787,$B$5:$B$1668,$B787)&gt;1,"Player is listed twice this week",IF(AND($D787&lt;&gt;"",COUNTIFS($A$5:$A$1668,$A787,$D$5:$D$1668,$D787)&gt;1),"Two players picked as "&amp;$D787,IF(COUNTIFS($A$5:$A$1668,$A787,$D$5:$D$1668,"Gross winner")=0,"Pick this week's gross winner",IF(COUNTIFS($A$5:$A$1668,$A787,$D$5:$D$1668,"Net winner")=0,"Pick this week's net winner","OK")))))))</f>
        <v/>
      </c>
    </row>
    <row r="788" outlineLevel="1">
      <c r="A788" s="13" t="n">
        <v>46561</v>
      </c>
      <c r="E788" s="11">
        <f>IF(OR($B788="",NOT(ISNUMBER($C788))),"",COUNTIFS($A$5:$A$1668,$A788,$C$5:$C$1668,"&lt;"&amp;$C788)+1)</f>
        <v/>
      </c>
      <c r="F788" s="11">
        <f>IF(OR($B788="",NOT(ISNUMBER($C788))),"",COUNTIFS($A$5:$A$1668,$A788,$C$5:$C$1668,"&gt;0"))</f>
        <v/>
      </c>
      <c r="G788" s="11">
        <f>IF(OR($B788="",NOT(ISNUMBER($C788))),"",IF($D788&lt;&gt;"",ROUND(Points!$B$6*IF($F788&lt;Points!$H$4,Points!$H$5,1),0),ROUND(Points!$B$6*IF($F788&lt;=1,1,Points!$H$7+(1-Points!$H$7)*((($F788-$E788)*(($F788-$E788)+1)/2)^2-((($F788-$E788-COUNTIFS($A$5:$A$1668,$A788,$C$5:$C$1668,$C788)+1)-1)*($F788-$E788-COUNTIFS($A$5:$A$1668,$A788,$C$5:$C$1668,$C788)+1)/2)^2)/(COUNTIFS($A$5:$A$1668,$A788,$C$5:$C$1668,$C788)*($F788-1)^3))*IF($F788&lt;Points!$H$4,Points!$H$5,1),0)))</f>
        <v/>
      </c>
      <c r="H788" s="11">
        <f>IF($G788="","",COUNTIFS($B$5:$B$1668,$B788,$G$5:$G$1668,"&gt;"&amp;$G788)+COUNTIFS($B$4:$B787,$B788,$G$4:$G787,$G788)+1)</f>
        <v/>
      </c>
      <c r="I788" s="11">
        <f>IF($G788="","",IF($H788&lt;=Points!$H$6,$G788,0))</f>
        <v/>
      </c>
      <c r="J788" s="11">
        <f>IF($B788="","",IF(COUNTIF(Players!$A$2:$A$500,$B788)=0,"Player is not on the Players tab",IF(NOT(ISNUMBER($C788)),"Enter a gross score",IF(COUNTIFS($A$5:$A$1668,$A788,$B$5:$B$1668,$B788)&gt;1,"Player is listed twice this week",IF(AND($D788&lt;&gt;"",COUNTIFS($A$5:$A$1668,$A788,$D$5:$D$1668,$D788)&gt;1),"Two players picked as "&amp;$D788,IF(COUNTIFS($A$5:$A$1668,$A788,$D$5:$D$1668,"Gross winner")=0,"Pick this week's gross winner",IF(COUNTIFS($A$5:$A$1668,$A788,$D$5:$D$1668,"Net winner")=0,"Pick this week's net winner","OK")))))))</f>
        <v/>
      </c>
    </row>
    <row r="789" outlineLevel="1">
      <c r="A789" s="13" t="n">
        <v>46561</v>
      </c>
      <c r="E789" s="11">
        <f>IF(OR($B789="",NOT(ISNUMBER($C789))),"",COUNTIFS($A$5:$A$1668,$A789,$C$5:$C$1668,"&lt;"&amp;$C789)+1)</f>
        <v/>
      </c>
      <c r="F789" s="11">
        <f>IF(OR($B789="",NOT(ISNUMBER($C789))),"",COUNTIFS($A$5:$A$1668,$A789,$C$5:$C$1668,"&gt;0"))</f>
        <v/>
      </c>
      <c r="G789" s="11">
        <f>IF(OR($B789="",NOT(ISNUMBER($C789))),"",IF($D789&lt;&gt;"",ROUND(Points!$B$6*IF($F789&lt;Points!$H$4,Points!$H$5,1),0),ROUND(Points!$B$6*IF($F789&lt;=1,1,Points!$H$7+(1-Points!$H$7)*((($F789-$E789)*(($F789-$E789)+1)/2)^2-((($F789-$E789-COUNTIFS($A$5:$A$1668,$A789,$C$5:$C$1668,$C789)+1)-1)*($F789-$E789-COUNTIFS($A$5:$A$1668,$A789,$C$5:$C$1668,$C789)+1)/2)^2)/(COUNTIFS($A$5:$A$1668,$A789,$C$5:$C$1668,$C789)*($F789-1)^3))*IF($F789&lt;Points!$H$4,Points!$H$5,1),0)))</f>
        <v/>
      </c>
      <c r="H789" s="11">
        <f>IF($G789="","",COUNTIFS($B$5:$B$1668,$B789,$G$5:$G$1668,"&gt;"&amp;$G789)+COUNTIFS($B$4:$B788,$B789,$G$4:$G788,$G789)+1)</f>
        <v/>
      </c>
      <c r="I789" s="11">
        <f>IF($G789="","",IF($H789&lt;=Points!$H$6,$G789,0))</f>
        <v/>
      </c>
      <c r="J789" s="11">
        <f>IF($B789="","",IF(COUNTIF(Players!$A$2:$A$500,$B789)=0,"Player is not on the Players tab",IF(NOT(ISNUMBER($C789)),"Enter a gross score",IF(COUNTIFS($A$5:$A$1668,$A789,$B$5:$B$1668,$B789)&gt;1,"Player is listed twice this week",IF(AND($D789&lt;&gt;"",COUNTIFS($A$5:$A$1668,$A789,$D$5:$D$1668,$D789)&gt;1),"Two players picked as "&amp;$D789,IF(COUNTIFS($A$5:$A$1668,$A789,$D$5:$D$1668,"Gross winner")=0,"Pick this week's gross winner",IF(COUNTIFS($A$5:$A$1668,$A789,$D$5:$D$1668,"Net winner")=0,"Pick this week's net winner","OK")))))))</f>
        <v/>
      </c>
    </row>
    <row r="790" outlineLevel="1">
      <c r="A790" s="13" t="n">
        <v>46561</v>
      </c>
      <c r="E790" s="11">
        <f>IF(OR($B790="",NOT(ISNUMBER($C790))),"",COUNTIFS($A$5:$A$1668,$A790,$C$5:$C$1668,"&lt;"&amp;$C790)+1)</f>
        <v/>
      </c>
      <c r="F790" s="11">
        <f>IF(OR($B790="",NOT(ISNUMBER($C790))),"",COUNTIFS($A$5:$A$1668,$A790,$C$5:$C$1668,"&gt;0"))</f>
        <v/>
      </c>
      <c r="G790" s="11">
        <f>IF(OR($B790="",NOT(ISNUMBER($C790))),"",IF($D790&lt;&gt;"",ROUND(Points!$B$6*IF($F790&lt;Points!$H$4,Points!$H$5,1),0),ROUND(Points!$B$6*IF($F790&lt;=1,1,Points!$H$7+(1-Points!$H$7)*((($F790-$E790)*(($F790-$E790)+1)/2)^2-((($F790-$E790-COUNTIFS($A$5:$A$1668,$A790,$C$5:$C$1668,$C790)+1)-1)*($F790-$E790-COUNTIFS($A$5:$A$1668,$A790,$C$5:$C$1668,$C790)+1)/2)^2)/(COUNTIFS($A$5:$A$1668,$A790,$C$5:$C$1668,$C790)*($F790-1)^3))*IF($F790&lt;Points!$H$4,Points!$H$5,1),0)))</f>
        <v/>
      </c>
      <c r="H790" s="11">
        <f>IF($G790="","",COUNTIFS($B$5:$B$1668,$B790,$G$5:$G$1668,"&gt;"&amp;$G790)+COUNTIFS($B$4:$B789,$B790,$G$4:$G789,$G790)+1)</f>
        <v/>
      </c>
      <c r="I790" s="11">
        <f>IF($G790="","",IF($H790&lt;=Points!$H$6,$G790,0))</f>
        <v/>
      </c>
      <c r="J790" s="11">
        <f>IF($B790="","",IF(COUNTIF(Players!$A$2:$A$500,$B790)=0,"Player is not on the Players tab",IF(NOT(ISNUMBER($C790)),"Enter a gross score",IF(COUNTIFS($A$5:$A$1668,$A790,$B$5:$B$1668,$B790)&gt;1,"Player is listed twice this week",IF(AND($D790&lt;&gt;"",COUNTIFS($A$5:$A$1668,$A790,$D$5:$D$1668,$D790)&gt;1),"Two players picked as "&amp;$D790,IF(COUNTIFS($A$5:$A$1668,$A790,$D$5:$D$1668,"Gross winner")=0,"Pick this week's gross winner",IF(COUNTIFS($A$5:$A$1668,$A790,$D$5:$D$1668,"Net winner")=0,"Pick this week's net winner","OK")))))))</f>
        <v/>
      </c>
    </row>
    <row r="791" outlineLevel="1">
      <c r="A791" s="13" t="n">
        <v>46561</v>
      </c>
      <c r="E791" s="11">
        <f>IF(OR($B791="",NOT(ISNUMBER($C791))),"",COUNTIFS($A$5:$A$1668,$A791,$C$5:$C$1668,"&lt;"&amp;$C791)+1)</f>
        <v/>
      </c>
      <c r="F791" s="11">
        <f>IF(OR($B791="",NOT(ISNUMBER($C791))),"",COUNTIFS($A$5:$A$1668,$A791,$C$5:$C$1668,"&gt;0"))</f>
        <v/>
      </c>
      <c r="G791" s="11">
        <f>IF(OR($B791="",NOT(ISNUMBER($C791))),"",IF($D791&lt;&gt;"",ROUND(Points!$B$6*IF($F791&lt;Points!$H$4,Points!$H$5,1),0),ROUND(Points!$B$6*IF($F791&lt;=1,1,Points!$H$7+(1-Points!$H$7)*((($F791-$E791)*(($F791-$E791)+1)/2)^2-((($F791-$E791-COUNTIFS($A$5:$A$1668,$A791,$C$5:$C$1668,$C791)+1)-1)*($F791-$E791-COUNTIFS($A$5:$A$1668,$A791,$C$5:$C$1668,$C791)+1)/2)^2)/(COUNTIFS($A$5:$A$1668,$A791,$C$5:$C$1668,$C791)*($F791-1)^3))*IF($F791&lt;Points!$H$4,Points!$H$5,1),0)))</f>
        <v/>
      </c>
      <c r="H791" s="11">
        <f>IF($G791="","",COUNTIFS($B$5:$B$1668,$B791,$G$5:$G$1668,"&gt;"&amp;$G791)+COUNTIFS($B$4:$B790,$B791,$G$4:$G790,$G791)+1)</f>
        <v/>
      </c>
      <c r="I791" s="11">
        <f>IF($G791="","",IF($H791&lt;=Points!$H$6,$G791,0))</f>
        <v/>
      </c>
      <c r="J791" s="11">
        <f>IF($B791="","",IF(COUNTIF(Players!$A$2:$A$500,$B791)=0,"Player is not on the Players tab",IF(NOT(ISNUMBER($C791)),"Enter a gross score",IF(COUNTIFS($A$5:$A$1668,$A791,$B$5:$B$1668,$B791)&gt;1,"Player is listed twice this week",IF(AND($D791&lt;&gt;"",COUNTIFS($A$5:$A$1668,$A791,$D$5:$D$1668,$D791)&gt;1),"Two players picked as "&amp;$D791,IF(COUNTIFS($A$5:$A$1668,$A791,$D$5:$D$1668,"Gross winner")=0,"Pick this week's gross winner",IF(COUNTIFS($A$5:$A$1668,$A791,$D$5:$D$1668,"Net winner")=0,"Pick this week's net winner","OK")))))))</f>
        <v/>
      </c>
    </row>
    <row r="792" outlineLevel="1">
      <c r="A792" s="13" t="n">
        <v>46561</v>
      </c>
      <c r="E792" s="11">
        <f>IF(OR($B792="",NOT(ISNUMBER($C792))),"",COUNTIFS($A$5:$A$1668,$A792,$C$5:$C$1668,"&lt;"&amp;$C792)+1)</f>
        <v/>
      </c>
      <c r="F792" s="11">
        <f>IF(OR($B792="",NOT(ISNUMBER($C792))),"",COUNTIFS($A$5:$A$1668,$A792,$C$5:$C$1668,"&gt;0"))</f>
        <v/>
      </c>
      <c r="G792" s="11">
        <f>IF(OR($B792="",NOT(ISNUMBER($C792))),"",IF($D792&lt;&gt;"",ROUND(Points!$B$6*IF($F792&lt;Points!$H$4,Points!$H$5,1),0),ROUND(Points!$B$6*IF($F792&lt;=1,1,Points!$H$7+(1-Points!$H$7)*((($F792-$E792)*(($F792-$E792)+1)/2)^2-((($F792-$E792-COUNTIFS($A$5:$A$1668,$A792,$C$5:$C$1668,$C792)+1)-1)*($F792-$E792-COUNTIFS($A$5:$A$1668,$A792,$C$5:$C$1668,$C792)+1)/2)^2)/(COUNTIFS($A$5:$A$1668,$A792,$C$5:$C$1668,$C792)*($F792-1)^3))*IF($F792&lt;Points!$H$4,Points!$H$5,1),0)))</f>
        <v/>
      </c>
      <c r="H792" s="11">
        <f>IF($G792="","",COUNTIFS($B$5:$B$1668,$B792,$G$5:$G$1668,"&gt;"&amp;$G792)+COUNTIFS($B$4:$B791,$B792,$G$4:$G791,$G792)+1)</f>
        <v/>
      </c>
      <c r="I792" s="11">
        <f>IF($G792="","",IF($H792&lt;=Points!$H$6,$G792,0))</f>
        <v/>
      </c>
      <c r="J792" s="11">
        <f>IF($B792="","",IF(COUNTIF(Players!$A$2:$A$500,$B792)=0,"Player is not on the Players tab",IF(NOT(ISNUMBER($C792)),"Enter a gross score",IF(COUNTIFS($A$5:$A$1668,$A792,$B$5:$B$1668,$B792)&gt;1,"Player is listed twice this week",IF(AND($D792&lt;&gt;"",COUNTIFS($A$5:$A$1668,$A792,$D$5:$D$1668,$D792)&gt;1),"Two players picked as "&amp;$D792,IF(COUNTIFS($A$5:$A$1668,$A792,$D$5:$D$1668,"Gross winner")=0,"Pick this week's gross winner",IF(COUNTIFS($A$5:$A$1668,$A792,$D$5:$D$1668,"Net winner")=0,"Pick this week's net winner","OK")))))))</f>
        <v/>
      </c>
    </row>
    <row r="793" outlineLevel="1">
      <c r="A793" s="13" t="n">
        <v>46561</v>
      </c>
      <c r="E793" s="11">
        <f>IF(OR($B793="",NOT(ISNUMBER($C793))),"",COUNTIFS($A$5:$A$1668,$A793,$C$5:$C$1668,"&lt;"&amp;$C793)+1)</f>
        <v/>
      </c>
      <c r="F793" s="11">
        <f>IF(OR($B793="",NOT(ISNUMBER($C793))),"",COUNTIFS($A$5:$A$1668,$A793,$C$5:$C$1668,"&gt;0"))</f>
        <v/>
      </c>
      <c r="G793" s="11">
        <f>IF(OR($B793="",NOT(ISNUMBER($C793))),"",IF($D793&lt;&gt;"",ROUND(Points!$B$6*IF($F793&lt;Points!$H$4,Points!$H$5,1),0),ROUND(Points!$B$6*IF($F793&lt;=1,1,Points!$H$7+(1-Points!$H$7)*((($F793-$E793)*(($F793-$E793)+1)/2)^2-((($F793-$E793-COUNTIFS($A$5:$A$1668,$A793,$C$5:$C$1668,$C793)+1)-1)*($F793-$E793-COUNTIFS($A$5:$A$1668,$A793,$C$5:$C$1668,$C793)+1)/2)^2)/(COUNTIFS($A$5:$A$1668,$A793,$C$5:$C$1668,$C793)*($F793-1)^3))*IF($F793&lt;Points!$H$4,Points!$H$5,1),0)))</f>
        <v/>
      </c>
      <c r="H793" s="11">
        <f>IF($G793="","",COUNTIFS($B$5:$B$1668,$B793,$G$5:$G$1668,"&gt;"&amp;$G793)+COUNTIFS($B$4:$B792,$B793,$G$4:$G792,$G793)+1)</f>
        <v/>
      </c>
      <c r="I793" s="11">
        <f>IF($G793="","",IF($H793&lt;=Points!$H$6,$G793,0))</f>
        <v/>
      </c>
      <c r="J793" s="11">
        <f>IF($B793="","",IF(COUNTIF(Players!$A$2:$A$500,$B793)=0,"Player is not on the Players tab",IF(NOT(ISNUMBER($C793)),"Enter a gross score",IF(COUNTIFS($A$5:$A$1668,$A793,$B$5:$B$1668,$B793)&gt;1,"Player is listed twice this week",IF(AND($D793&lt;&gt;"",COUNTIFS($A$5:$A$1668,$A793,$D$5:$D$1668,$D793)&gt;1),"Two players picked as "&amp;$D793,IF(COUNTIFS($A$5:$A$1668,$A793,$D$5:$D$1668,"Gross winner")=0,"Pick this week's gross winner",IF(COUNTIFS($A$5:$A$1668,$A793,$D$5:$D$1668,"Net winner")=0,"Pick this week's net winner","OK")))))))</f>
        <v/>
      </c>
    </row>
    <row r="794" outlineLevel="1">
      <c r="A794" s="13" t="n">
        <v>46561</v>
      </c>
      <c r="E794" s="11">
        <f>IF(OR($B794="",NOT(ISNUMBER($C794))),"",COUNTIFS($A$5:$A$1668,$A794,$C$5:$C$1668,"&lt;"&amp;$C794)+1)</f>
        <v/>
      </c>
      <c r="F794" s="11">
        <f>IF(OR($B794="",NOT(ISNUMBER($C794))),"",COUNTIFS($A$5:$A$1668,$A794,$C$5:$C$1668,"&gt;0"))</f>
        <v/>
      </c>
      <c r="G794" s="11">
        <f>IF(OR($B794="",NOT(ISNUMBER($C794))),"",IF($D794&lt;&gt;"",ROUND(Points!$B$6*IF($F794&lt;Points!$H$4,Points!$H$5,1),0),ROUND(Points!$B$6*IF($F794&lt;=1,1,Points!$H$7+(1-Points!$H$7)*((($F794-$E794)*(($F794-$E794)+1)/2)^2-((($F794-$E794-COUNTIFS($A$5:$A$1668,$A794,$C$5:$C$1668,$C794)+1)-1)*($F794-$E794-COUNTIFS($A$5:$A$1668,$A794,$C$5:$C$1668,$C794)+1)/2)^2)/(COUNTIFS($A$5:$A$1668,$A794,$C$5:$C$1668,$C794)*($F794-1)^3))*IF($F794&lt;Points!$H$4,Points!$H$5,1),0)))</f>
        <v/>
      </c>
      <c r="H794" s="11">
        <f>IF($G794="","",COUNTIFS($B$5:$B$1668,$B794,$G$5:$G$1668,"&gt;"&amp;$G794)+COUNTIFS($B$4:$B793,$B794,$G$4:$G793,$G794)+1)</f>
        <v/>
      </c>
      <c r="I794" s="11">
        <f>IF($G794="","",IF($H794&lt;=Points!$H$6,$G794,0))</f>
        <v/>
      </c>
      <c r="J794" s="11">
        <f>IF($B794="","",IF(COUNTIF(Players!$A$2:$A$500,$B794)=0,"Player is not on the Players tab",IF(NOT(ISNUMBER($C794)),"Enter a gross score",IF(COUNTIFS($A$5:$A$1668,$A794,$B$5:$B$1668,$B794)&gt;1,"Player is listed twice this week",IF(AND($D794&lt;&gt;"",COUNTIFS($A$5:$A$1668,$A794,$D$5:$D$1668,$D794)&gt;1),"Two players picked as "&amp;$D794,IF(COUNTIFS($A$5:$A$1668,$A794,$D$5:$D$1668,"Gross winner")=0,"Pick this week's gross winner",IF(COUNTIFS($A$5:$A$1668,$A794,$D$5:$D$1668,"Net winner")=0,"Pick this week's net winner","OK")))))))</f>
        <v/>
      </c>
    </row>
    <row r="795" outlineLevel="1">
      <c r="A795" s="13" t="n">
        <v>46561</v>
      </c>
      <c r="E795" s="11">
        <f>IF(OR($B795="",NOT(ISNUMBER($C795))),"",COUNTIFS($A$5:$A$1668,$A795,$C$5:$C$1668,"&lt;"&amp;$C795)+1)</f>
        <v/>
      </c>
      <c r="F795" s="11">
        <f>IF(OR($B795="",NOT(ISNUMBER($C795))),"",COUNTIFS($A$5:$A$1668,$A795,$C$5:$C$1668,"&gt;0"))</f>
        <v/>
      </c>
      <c r="G795" s="11">
        <f>IF(OR($B795="",NOT(ISNUMBER($C795))),"",IF($D795&lt;&gt;"",ROUND(Points!$B$6*IF($F795&lt;Points!$H$4,Points!$H$5,1),0),ROUND(Points!$B$6*IF($F795&lt;=1,1,Points!$H$7+(1-Points!$H$7)*((($F795-$E795)*(($F795-$E795)+1)/2)^2-((($F795-$E795-COUNTIFS($A$5:$A$1668,$A795,$C$5:$C$1668,$C795)+1)-1)*($F795-$E795-COUNTIFS($A$5:$A$1668,$A795,$C$5:$C$1668,$C795)+1)/2)^2)/(COUNTIFS($A$5:$A$1668,$A795,$C$5:$C$1668,$C795)*($F795-1)^3))*IF($F795&lt;Points!$H$4,Points!$H$5,1),0)))</f>
        <v/>
      </c>
      <c r="H795" s="11">
        <f>IF($G795="","",COUNTIFS($B$5:$B$1668,$B795,$G$5:$G$1668,"&gt;"&amp;$G795)+COUNTIFS($B$4:$B794,$B795,$G$4:$G794,$G795)+1)</f>
        <v/>
      </c>
      <c r="I795" s="11">
        <f>IF($G795="","",IF($H795&lt;=Points!$H$6,$G795,0))</f>
        <v/>
      </c>
      <c r="J795" s="11">
        <f>IF($B795="","",IF(COUNTIF(Players!$A$2:$A$500,$B795)=0,"Player is not on the Players tab",IF(NOT(ISNUMBER($C795)),"Enter a gross score",IF(COUNTIFS($A$5:$A$1668,$A795,$B$5:$B$1668,$B795)&gt;1,"Player is listed twice this week",IF(AND($D795&lt;&gt;"",COUNTIFS($A$5:$A$1668,$A795,$D$5:$D$1668,$D795)&gt;1),"Two players picked as "&amp;$D795,IF(COUNTIFS($A$5:$A$1668,$A795,$D$5:$D$1668,"Gross winner")=0,"Pick this week's gross winner",IF(COUNTIFS($A$5:$A$1668,$A795,$D$5:$D$1668,"Net winner")=0,"Pick this week's net winner","OK")))))))</f>
        <v/>
      </c>
    </row>
    <row r="796" outlineLevel="1">
      <c r="A796" s="13" t="n">
        <v>46561</v>
      </c>
      <c r="E796" s="11">
        <f>IF(OR($B796="",NOT(ISNUMBER($C796))),"",COUNTIFS($A$5:$A$1668,$A796,$C$5:$C$1668,"&lt;"&amp;$C796)+1)</f>
        <v/>
      </c>
      <c r="F796" s="11">
        <f>IF(OR($B796="",NOT(ISNUMBER($C796))),"",COUNTIFS($A$5:$A$1668,$A796,$C$5:$C$1668,"&gt;0"))</f>
        <v/>
      </c>
      <c r="G796" s="11">
        <f>IF(OR($B796="",NOT(ISNUMBER($C796))),"",IF($D796&lt;&gt;"",ROUND(Points!$B$6*IF($F796&lt;Points!$H$4,Points!$H$5,1),0),ROUND(Points!$B$6*IF($F796&lt;=1,1,Points!$H$7+(1-Points!$H$7)*((($F796-$E796)*(($F796-$E796)+1)/2)^2-((($F796-$E796-COUNTIFS($A$5:$A$1668,$A796,$C$5:$C$1668,$C796)+1)-1)*($F796-$E796-COUNTIFS($A$5:$A$1668,$A796,$C$5:$C$1668,$C796)+1)/2)^2)/(COUNTIFS($A$5:$A$1668,$A796,$C$5:$C$1668,$C796)*($F796-1)^3))*IF($F796&lt;Points!$H$4,Points!$H$5,1),0)))</f>
        <v/>
      </c>
      <c r="H796" s="11">
        <f>IF($G796="","",COUNTIFS($B$5:$B$1668,$B796,$G$5:$G$1668,"&gt;"&amp;$G796)+COUNTIFS($B$4:$B795,$B796,$G$4:$G795,$G796)+1)</f>
        <v/>
      </c>
      <c r="I796" s="11">
        <f>IF($G796="","",IF($H796&lt;=Points!$H$6,$G796,0))</f>
        <v/>
      </c>
      <c r="J796" s="11">
        <f>IF($B796="","",IF(COUNTIF(Players!$A$2:$A$500,$B796)=0,"Player is not on the Players tab",IF(NOT(ISNUMBER($C796)),"Enter a gross score",IF(COUNTIFS($A$5:$A$1668,$A796,$B$5:$B$1668,$B796)&gt;1,"Player is listed twice this week",IF(AND($D796&lt;&gt;"",COUNTIFS($A$5:$A$1668,$A796,$D$5:$D$1668,$D796)&gt;1),"Two players picked as "&amp;$D796,IF(COUNTIFS($A$5:$A$1668,$A796,$D$5:$D$1668,"Gross winner")=0,"Pick this week's gross winner",IF(COUNTIFS($A$5:$A$1668,$A796,$D$5:$D$1668,"Net winner")=0,"Pick this week's net winner","OK")))))))</f>
        <v/>
      </c>
    </row>
    <row r="797" outlineLevel="1">
      <c r="A797" s="13" t="n">
        <v>46561</v>
      </c>
      <c r="E797" s="11">
        <f>IF(OR($B797="",NOT(ISNUMBER($C797))),"",COUNTIFS($A$5:$A$1668,$A797,$C$5:$C$1668,"&lt;"&amp;$C797)+1)</f>
        <v/>
      </c>
      <c r="F797" s="11">
        <f>IF(OR($B797="",NOT(ISNUMBER($C797))),"",COUNTIFS($A$5:$A$1668,$A797,$C$5:$C$1668,"&gt;0"))</f>
        <v/>
      </c>
      <c r="G797" s="11">
        <f>IF(OR($B797="",NOT(ISNUMBER($C797))),"",IF($D797&lt;&gt;"",ROUND(Points!$B$6*IF($F797&lt;Points!$H$4,Points!$H$5,1),0),ROUND(Points!$B$6*IF($F797&lt;=1,1,Points!$H$7+(1-Points!$H$7)*((($F797-$E797)*(($F797-$E797)+1)/2)^2-((($F797-$E797-COUNTIFS($A$5:$A$1668,$A797,$C$5:$C$1668,$C797)+1)-1)*($F797-$E797-COUNTIFS($A$5:$A$1668,$A797,$C$5:$C$1668,$C797)+1)/2)^2)/(COUNTIFS($A$5:$A$1668,$A797,$C$5:$C$1668,$C797)*($F797-1)^3))*IF($F797&lt;Points!$H$4,Points!$H$5,1),0)))</f>
        <v/>
      </c>
      <c r="H797" s="11">
        <f>IF($G797="","",COUNTIFS($B$5:$B$1668,$B797,$G$5:$G$1668,"&gt;"&amp;$G797)+COUNTIFS($B$4:$B796,$B797,$G$4:$G796,$G797)+1)</f>
        <v/>
      </c>
      <c r="I797" s="11">
        <f>IF($G797="","",IF($H797&lt;=Points!$H$6,$G797,0))</f>
        <v/>
      </c>
      <c r="J797" s="11">
        <f>IF($B797="","",IF(COUNTIF(Players!$A$2:$A$500,$B797)=0,"Player is not on the Players tab",IF(NOT(ISNUMBER($C797)),"Enter a gross score",IF(COUNTIFS($A$5:$A$1668,$A797,$B$5:$B$1668,$B797)&gt;1,"Player is listed twice this week",IF(AND($D797&lt;&gt;"",COUNTIFS($A$5:$A$1668,$A797,$D$5:$D$1668,$D797)&gt;1),"Two players picked as "&amp;$D797,IF(COUNTIFS($A$5:$A$1668,$A797,$D$5:$D$1668,"Gross winner")=0,"Pick this week's gross winner",IF(COUNTIFS($A$5:$A$1668,$A797,$D$5:$D$1668,"Net winner")=0,"Pick this week's net winner","OK")))))))</f>
        <v/>
      </c>
    </row>
    <row r="798" outlineLevel="1">
      <c r="A798" s="13" t="n">
        <v>46561</v>
      </c>
      <c r="E798" s="11">
        <f>IF(OR($B798="",NOT(ISNUMBER($C798))),"",COUNTIFS($A$5:$A$1668,$A798,$C$5:$C$1668,"&lt;"&amp;$C798)+1)</f>
        <v/>
      </c>
      <c r="F798" s="11">
        <f>IF(OR($B798="",NOT(ISNUMBER($C798))),"",COUNTIFS($A$5:$A$1668,$A798,$C$5:$C$1668,"&gt;0"))</f>
        <v/>
      </c>
      <c r="G798" s="11">
        <f>IF(OR($B798="",NOT(ISNUMBER($C798))),"",IF($D798&lt;&gt;"",ROUND(Points!$B$6*IF($F798&lt;Points!$H$4,Points!$H$5,1),0),ROUND(Points!$B$6*IF($F798&lt;=1,1,Points!$H$7+(1-Points!$H$7)*((($F798-$E798)*(($F798-$E798)+1)/2)^2-((($F798-$E798-COUNTIFS($A$5:$A$1668,$A798,$C$5:$C$1668,$C798)+1)-1)*($F798-$E798-COUNTIFS($A$5:$A$1668,$A798,$C$5:$C$1668,$C798)+1)/2)^2)/(COUNTIFS($A$5:$A$1668,$A798,$C$5:$C$1668,$C798)*($F798-1)^3))*IF($F798&lt;Points!$H$4,Points!$H$5,1),0)))</f>
        <v/>
      </c>
      <c r="H798" s="11">
        <f>IF($G798="","",COUNTIFS($B$5:$B$1668,$B798,$G$5:$G$1668,"&gt;"&amp;$G798)+COUNTIFS($B$4:$B797,$B798,$G$4:$G797,$G798)+1)</f>
        <v/>
      </c>
      <c r="I798" s="11">
        <f>IF($G798="","",IF($H798&lt;=Points!$H$6,$G798,0))</f>
        <v/>
      </c>
      <c r="J798" s="11">
        <f>IF($B798="","",IF(COUNTIF(Players!$A$2:$A$500,$B798)=0,"Player is not on the Players tab",IF(NOT(ISNUMBER($C798)),"Enter a gross score",IF(COUNTIFS($A$5:$A$1668,$A798,$B$5:$B$1668,$B798)&gt;1,"Player is listed twice this week",IF(AND($D798&lt;&gt;"",COUNTIFS($A$5:$A$1668,$A798,$D$5:$D$1668,$D798)&gt;1),"Two players picked as "&amp;$D798,IF(COUNTIFS($A$5:$A$1668,$A798,$D$5:$D$1668,"Gross winner")=0,"Pick this week's gross winner",IF(COUNTIFS($A$5:$A$1668,$A798,$D$5:$D$1668,"Net winner")=0,"Pick this week's net winner","OK")))))))</f>
        <v/>
      </c>
    </row>
    <row r="799" outlineLevel="1">
      <c r="A799" s="13" t="n">
        <v>46561</v>
      </c>
      <c r="E799" s="11">
        <f>IF(OR($B799="",NOT(ISNUMBER($C799))),"",COUNTIFS($A$5:$A$1668,$A799,$C$5:$C$1668,"&lt;"&amp;$C799)+1)</f>
        <v/>
      </c>
      <c r="F799" s="11">
        <f>IF(OR($B799="",NOT(ISNUMBER($C799))),"",COUNTIFS($A$5:$A$1668,$A799,$C$5:$C$1668,"&gt;0"))</f>
        <v/>
      </c>
      <c r="G799" s="11">
        <f>IF(OR($B799="",NOT(ISNUMBER($C799))),"",IF($D799&lt;&gt;"",ROUND(Points!$B$6*IF($F799&lt;Points!$H$4,Points!$H$5,1),0),ROUND(Points!$B$6*IF($F799&lt;=1,1,Points!$H$7+(1-Points!$H$7)*((($F799-$E799)*(($F799-$E799)+1)/2)^2-((($F799-$E799-COUNTIFS($A$5:$A$1668,$A799,$C$5:$C$1668,$C799)+1)-1)*($F799-$E799-COUNTIFS($A$5:$A$1668,$A799,$C$5:$C$1668,$C799)+1)/2)^2)/(COUNTIFS($A$5:$A$1668,$A799,$C$5:$C$1668,$C799)*($F799-1)^3))*IF($F799&lt;Points!$H$4,Points!$H$5,1),0)))</f>
        <v/>
      </c>
      <c r="H799" s="11">
        <f>IF($G799="","",COUNTIFS($B$5:$B$1668,$B799,$G$5:$G$1668,"&gt;"&amp;$G799)+COUNTIFS($B$4:$B798,$B799,$G$4:$G798,$G799)+1)</f>
        <v/>
      </c>
      <c r="I799" s="11">
        <f>IF($G799="","",IF($H799&lt;=Points!$H$6,$G799,0))</f>
        <v/>
      </c>
      <c r="J799" s="11">
        <f>IF($B799="","",IF(COUNTIF(Players!$A$2:$A$500,$B799)=0,"Player is not on the Players tab",IF(NOT(ISNUMBER($C799)),"Enter a gross score",IF(COUNTIFS($A$5:$A$1668,$A799,$B$5:$B$1668,$B799)&gt;1,"Player is listed twice this week",IF(AND($D799&lt;&gt;"",COUNTIFS($A$5:$A$1668,$A799,$D$5:$D$1668,$D799)&gt;1),"Two players picked as "&amp;$D799,IF(COUNTIFS($A$5:$A$1668,$A799,$D$5:$D$1668,"Gross winner")=0,"Pick this week's gross winner",IF(COUNTIFS($A$5:$A$1668,$A799,$D$5:$D$1668,"Net winner")=0,"Pick this week's net winner","OK")))))))</f>
        <v/>
      </c>
    </row>
    <row r="800" outlineLevel="1">
      <c r="A800" s="13" t="n">
        <v>46561</v>
      </c>
      <c r="E800" s="11">
        <f>IF(OR($B800="",NOT(ISNUMBER($C800))),"",COUNTIFS($A$5:$A$1668,$A800,$C$5:$C$1668,"&lt;"&amp;$C800)+1)</f>
        <v/>
      </c>
      <c r="F800" s="11">
        <f>IF(OR($B800="",NOT(ISNUMBER($C800))),"",COUNTIFS($A$5:$A$1668,$A800,$C$5:$C$1668,"&gt;0"))</f>
        <v/>
      </c>
      <c r="G800" s="11">
        <f>IF(OR($B800="",NOT(ISNUMBER($C800))),"",IF($D800&lt;&gt;"",ROUND(Points!$B$6*IF($F800&lt;Points!$H$4,Points!$H$5,1),0),ROUND(Points!$B$6*IF($F800&lt;=1,1,Points!$H$7+(1-Points!$H$7)*((($F800-$E800)*(($F800-$E800)+1)/2)^2-((($F800-$E800-COUNTIFS($A$5:$A$1668,$A800,$C$5:$C$1668,$C800)+1)-1)*($F800-$E800-COUNTIFS($A$5:$A$1668,$A800,$C$5:$C$1668,$C800)+1)/2)^2)/(COUNTIFS($A$5:$A$1668,$A800,$C$5:$C$1668,$C800)*($F800-1)^3))*IF($F800&lt;Points!$H$4,Points!$H$5,1),0)))</f>
        <v/>
      </c>
      <c r="H800" s="11">
        <f>IF($G800="","",COUNTIFS($B$5:$B$1668,$B800,$G$5:$G$1668,"&gt;"&amp;$G800)+COUNTIFS($B$4:$B799,$B800,$G$4:$G799,$G800)+1)</f>
        <v/>
      </c>
      <c r="I800" s="11">
        <f>IF($G800="","",IF($H800&lt;=Points!$H$6,$G800,0))</f>
        <v/>
      </c>
      <c r="J800" s="11">
        <f>IF($B800="","",IF(COUNTIF(Players!$A$2:$A$500,$B800)=0,"Player is not on the Players tab",IF(NOT(ISNUMBER($C800)),"Enter a gross score",IF(COUNTIFS($A$5:$A$1668,$A800,$B$5:$B$1668,$B800)&gt;1,"Player is listed twice this week",IF(AND($D800&lt;&gt;"",COUNTIFS($A$5:$A$1668,$A800,$D$5:$D$1668,$D800)&gt;1),"Two players picked as "&amp;$D800,IF(COUNTIFS($A$5:$A$1668,$A800,$D$5:$D$1668,"Gross winner")=0,"Pick this week's gross winner",IF(COUNTIFS($A$5:$A$1668,$A800,$D$5:$D$1668,"Net winner")=0,"Pick this week's net winner","OK")))))))</f>
        <v/>
      </c>
    </row>
    <row r="801" outlineLevel="1">
      <c r="A801" s="13" t="n">
        <v>46561</v>
      </c>
      <c r="E801" s="11">
        <f>IF(OR($B801="",NOT(ISNUMBER($C801))),"",COUNTIFS($A$5:$A$1668,$A801,$C$5:$C$1668,"&lt;"&amp;$C801)+1)</f>
        <v/>
      </c>
      <c r="F801" s="11">
        <f>IF(OR($B801="",NOT(ISNUMBER($C801))),"",COUNTIFS($A$5:$A$1668,$A801,$C$5:$C$1668,"&gt;0"))</f>
        <v/>
      </c>
      <c r="G801" s="11">
        <f>IF(OR($B801="",NOT(ISNUMBER($C801))),"",IF($D801&lt;&gt;"",ROUND(Points!$B$6*IF($F801&lt;Points!$H$4,Points!$H$5,1),0),ROUND(Points!$B$6*IF($F801&lt;=1,1,Points!$H$7+(1-Points!$H$7)*((($F801-$E801)*(($F801-$E801)+1)/2)^2-((($F801-$E801-COUNTIFS($A$5:$A$1668,$A801,$C$5:$C$1668,$C801)+1)-1)*($F801-$E801-COUNTIFS($A$5:$A$1668,$A801,$C$5:$C$1668,$C801)+1)/2)^2)/(COUNTIFS($A$5:$A$1668,$A801,$C$5:$C$1668,$C801)*($F801-1)^3))*IF($F801&lt;Points!$H$4,Points!$H$5,1),0)))</f>
        <v/>
      </c>
      <c r="H801" s="11">
        <f>IF($G801="","",COUNTIFS($B$5:$B$1668,$B801,$G$5:$G$1668,"&gt;"&amp;$G801)+COUNTIFS($B$4:$B800,$B801,$G$4:$G800,$G801)+1)</f>
        <v/>
      </c>
      <c r="I801" s="11">
        <f>IF($G801="","",IF($H801&lt;=Points!$H$6,$G801,0))</f>
        <v/>
      </c>
      <c r="J801" s="11">
        <f>IF($B801="","",IF(COUNTIF(Players!$A$2:$A$500,$B801)=0,"Player is not on the Players tab",IF(NOT(ISNUMBER($C801)),"Enter a gross score",IF(COUNTIFS($A$5:$A$1668,$A801,$B$5:$B$1668,$B801)&gt;1,"Player is listed twice this week",IF(AND($D801&lt;&gt;"",COUNTIFS($A$5:$A$1668,$A801,$D$5:$D$1668,$D801)&gt;1),"Two players picked as "&amp;$D801,IF(COUNTIFS($A$5:$A$1668,$A801,$D$5:$D$1668,"Gross winner")=0,"Pick this week's gross winner",IF(COUNTIFS($A$5:$A$1668,$A801,$D$5:$D$1668,"Net winner")=0,"Pick this week's net winner","OK")))))))</f>
        <v/>
      </c>
    </row>
    <row r="802" outlineLevel="1">
      <c r="A802" s="13" t="n">
        <v>46561</v>
      </c>
      <c r="E802" s="11">
        <f>IF(OR($B802="",NOT(ISNUMBER($C802))),"",COUNTIFS($A$5:$A$1668,$A802,$C$5:$C$1668,"&lt;"&amp;$C802)+1)</f>
        <v/>
      </c>
      <c r="F802" s="11">
        <f>IF(OR($B802="",NOT(ISNUMBER($C802))),"",COUNTIFS($A$5:$A$1668,$A802,$C$5:$C$1668,"&gt;0"))</f>
        <v/>
      </c>
      <c r="G802" s="11">
        <f>IF(OR($B802="",NOT(ISNUMBER($C802))),"",IF($D802&lt;&gt;"",ROUND(Points!$B$6*IF($F802&lt;Points!$H$4,Points!$H$5,1),0),ROUND(Points!$B$6*IF($F802&lt;=1,1,Points!$H$7+(1-Points!$H$7)*((($F802-$E802)*(($F802-$E802)+1)/2)^2-((($F802-$E802-COUNTIFS($A$5:$A$1668,$A802,$C$5:$C$1668,$C802)+1)-1)*($F802-$E802-COUNTIFS($A$5:$A$1668,$A802,$C$5:$C$1668,$C802)+1)/2)^2)/(COUNTIFS($A$5:$A$1668,$A802,$C$5:$C$1668,$C802)*($F802-1)^3))*IF($F802&lt;Points!$H$4,Points!$H$5,1),0)))</f>
        <v/>
      </c>
      <c r="H802" s="11">
        <f>IF($G802="","",COUNTIFS($B$5:$B$1668,$B802,$G$5:$G$1668,"&gt;"&amp;$G802)+COUNTIFS($B$4:$B801,$B802,$G$4:$G801,$G802)+1)</f>
        <v/>
      </c>
      <c r="I802" s="11">
        <f>IF($G802="","",IF($H802&lt;=Points!$H$6,$G802,0))</f>
        <v/>
      </c>
      <c r="J802" s="11">
        <f>IF($B802="","",IF(COUNTIF(Players!$A$2:$A$500,$B802)=0,"Player is not on the Players tab",IF(NOT(ISNUMBER($C802)),"Enter a gross score",IF(COUNTIFS($A$5:$A$1668,$A802,$B$5:$B$1668,$B802)&gt;1,"Player is listed twice this week",IF(AND($D802&lt;&gt;"",COUNTIFS($A$5:$A$1668,$A802,$D$5:$D$1668,$D802)&gt;1),"Two players picked as "&amp;$D802,IF(COUNTIFS($A$5:$A$1668,$A802,$D$5:$D$1668,"Gross winner")=0,"Pick this week's gross winner",IF(COUNTIFS($A$5:$A$1668,$A802,$D$5:$D$1668,"Net winner")=0,"Pick this week's net winner","OK")))))))</f>
        <v/>
      </c>
    </row>
    <row r="803" outlineLevel="1">
      <c r="A803" s="13" t="n">
        <v>46561</v>
      </c>
      <c r="E803" s="11">
        <f>IF(OR($B803="",NOT(ISNUMBER($C803))),"",COUNTIFS($A$5:$A$1668,$A803,$C$5:$C$1668,"&lt;"&amp;$C803)+1)</f>
        <v/>
      </c>
      <c r="F803" s="11">
        <f>IF(OR($B803="",NOT(ISNUMBER($C803))),"",COUNTIFS($A$5:$A$1668,$A803,$C$5:$C$1668,"&gt;0"))</f>
        <v/>
      </c>
      <c r="G803" s="11">
        <f>IF(OR($B803="",NOT(ISNUMBER($C803))),"",IF($D803&lt;&gt;"",ROUND(Points!$B$6*IF($F803&lt;Points!$H$4,Points!$H$5,1),0),ROUND(Points!$B$6*IF($F803&lt;=1,1,Points!$H$7+(1-Points!$H$7)*((($F803-$E803)*(($F803-$E803)+1)/2)^2-((($F803-$E803-COUNTIFS($A$5:$A$1668,$A803,$C$5:$C$1668,$C803)+1)-1)*($F803-$E803-COUNTIFS($A$5:$A$1668,$A803,$C$5:$C$1668,$C803)+1)/2)^2)/(COUNTIFS($A$5:$A$1668,$A803,$C$5:$C$1668,$C803)*($F803-1)^3))*IF($F803&lt;Points!$H$4,Points!$H$5,1),0)))</f>
        <v/>
      </c>
      <c r="H803" s="11">
        <f>IF($G803="","",COUNTIFS($B$5:$B$1668,$B803,$G$5:$G$1668,"&gt;"&amp;$G803)+COUNTIFS($B$4:$B802,$B803,$G$4:$G802,$G803)+1)</f>
        <v/>
      </c>
      <c r="I803" s="11">
        <f>IF($G803="","",IF($H803&lt;=Points!$H$6,$G803,0))</f>
        <v/>
      </c>
      <c r="J803" s="11">
        <f>IF($B803="","",IF(COUNTIF(Players!$A$2:$A$500,$B803)=0,"Player is not on the Players tab",IF(NOT(ISNUMBER($C803)),"Enter a gross score",IF(COUNTIFS($A$5:$A$1668,$A803,$B$5:$B$1668,$B803)&gt;1,"Player is listed twice this week",IF(AND($D803&lt;&gt;"",COUNTIFS($A$5:$A$1668,$A803,$D$5:$D$1668,$D803)&gt;1),"Two players picked as "&amp;$D803,IF(COUNTIFS($A$5:$A$1668,$A803,$D$5:$D$1668,"Gross winner")=0,"Pick this week's gross winner",IF(COUNTIFS($A$5:$A$1668,$A803,$D$5:$D$1668,"Net winner")=0,"Pick this week's net winner","OK")))))))</f>
        <v/>
      </c>
    </row>
    <row r="804" ht="10" customHeight="1"/>
    <row r="805" ht="22" customHeight="1">
      <c r="A805" s="12" t="inlineStr">
        <is>
          <t>Week 26  ·  Wednesday, Jun 30</t>
        </is>
      </c>
    </row>
    <row r="806" outlineLevel="1">
      <c r="A806" s="13" t="n">
        <v>46568</v>
      </c>
      <c r="E806" s="11">
        <f>IF(OR($B806="",NOT(ISNUMBER($C806))),"",COUNTIFS($A$5:$A$1668,$A806,$C$5:$C$1668,"&lt;"&amp;$C806)+1)</f>
        <v/>
      </c>
      <c r="F806" s="11">
        <f>IF(OR($B806="",NOT(ISNUMBER($C806))),"",COUNTIFS($A$5:$A$1668,$A806,$C$5:$C$1668,"&gt;0"))</f>
        <v/>
      </c>
      <c r="G806" s="11">
        <f>IF(OR($B806="",NOT(ISNUMBER($C806))),"",IF($D806&lt;&gt;"",ROUND(Points!$B$6*IF($F806&lt;Points!$H$4,Points!$H$5,1),0),ROUND(Points!$B$6*IF($F806&lt;=1,1,Points!$H$7+(1-Points!$H$7)*((($F806-$E806)*(($F806-$E806)+1)/2)^2-((($F806-$E806-COUNTIFS($A$5:$A$1668,$A806,$C$5:$C$1668,$C806)+1)-1)*($F806-$E806-COUNTIFS($A$5:$A$1668,$A806,$C$5:$C$1668,$C806)+1)/2)^2)/(COUNTIFS($A$5:$A$1668,$A806,$C$5:$C$1668,$C806)*($F806-1)^3))*IF($F806&lt;Points!$H$4,Points!$H$5,1),0)))</f>
        <v/>
      </c>
      <c r="H806" s="11">
        <f>IF($G806="","",COUNTIFS($B$5:$B$1668,$B806,$G$5:$G$1668,"&gt;"&amp;$G806)+COUNTIFS($B$4:$B805,$B806,$G$4:$G805,$G806)+1)</f>
        <v/>
      </c>
      <c r="I806" s="11">
        <f>IF($G806="","",IF($H806&lt;=Points!$H$6,$G806,0))</f>
        <v/>
      </c>
      <c r="J806" s="11">
        <f>IF($B806="","",IF(COUNTIF(Players!$A$2:$A$500,$B806)=0,"Player is not on the Players tab",IF(NOT(ISNUMBER($C806)),"Enter a gross score",IF(COUNTIFS($A$5:$A$1668,$A806,$B$5:$B$1668,$B806)&gt;1,"Player is listed twice this week",IF(AND($D806&lt;&gt;"",COUNTIFS($A$5:$A$1668,$A806,$D$5:$D$1668,$D806)&gt;1),"Two players picked as "&amp;$D806,IF(COUNTIFS($A$5:$A$1668,$A806,$D$5:$D$1668,"Gross winner")=0,"Pick this week's gross winner",IF(COUNTIFS($A$5:$A$1668,$A806,$D$5:$D$1668,"Net winner")=0,"Pick this week's net winner","OK")))))))</f>
        <v/>
      </c>
    </row>
    <row r="807" outlineLevel="1">
      <c r="A807" s="13" t="n">
        <v>46568</v>
      </c>
      <c r="E807" s="11">
        <f>IF(OR($B807="",NOT(ISNUMBER($C807))),"",COUNTIFS($A$5:$A$1668,$A807,$C$5:$C$1668,"&lt;"&amp;$C807)+1)</f>
        <v/>
      </c>
      <c r="F807" s="11">
        <f>IF(OR($B807="",NOT(ISNUMBER($C807))),"",COUNTIFS($A$5:$A$1668,$A807,$C$5:$C$1668,"&gt;0"))</f>
        <v/>
      </c>
      <c r="G807" s="11">
        <f>IF(OR($B807="",NOT(ISNUMBER($C807))),"",IF($D807&lt;&gt;"",ROUND(Points!$B$6*IF($F807&lt;Points!$H$4,Points!$H$5,1),0),ROUND(Points!$B$6*IF($F807&lt;=1,1,Points!$H$7+(1-Points!$H$7)*((($F807-$E807)*(($F807-$E807)+1)/2)^2-((($F807-$E807-COUNTIFS($A$5:$A$1668,$A807,$C$5:$C$1668,$C807)+1)-1)*($F807-$E807-COUNTIFS($A$5:$A$1668,$A807,$C$5:$C$1668,$C807)+1)/2)^2)/(COUNTIFS($A$5:$A$1668,$A807,$C$5:$C$1668,$C807)*($F807-1)^3))*IF($F807&lt;Points!$H$4,Points!$H$5,1),0)))</f>
        <v/>
      </c>
      <c r="H807" s="11">
        <f>IF($G807="","",COUNTIFS($B$5:$B$1668,$B807,$G$5:$G$1668,"&gt;"&amp;$G807)+COUNTIFS($B$4:$B806,$B807,$G$4:$G806,$G807)+1)</f>
        <v/>
      </c>
      <c r="I807" s="11">
        <f>IF($G807="","",IF($H807&lt;=Points!$H$6,$G807,0))</f>
        <v/>
      </c>
      <c r="J807" s="11">
        <f>IF($B807="","",IF(COUNTIF(Players!$A$2:$A$500,$B807)=0,"Player is not on the Players tab",IF(NOT(ISNUMBER($C807)),"Enter a gross score",IF(COUNTIFS($A$5:$A$1668,$A807,$B$5:$B$1668,$B807)&gt;1,"Player is listed twice this week",IF(AND($D807&lt;&gt;"",COUNTIFS($A$5:$A$1668,$A807,$D$5:$D$1668,$D807)&gt;1),"Two players picked as "&amp;$D807,IF(COUNTIFS($A$5:$A$1668,$A807,$D$5:$D$1668,"Gross winner")=0,"Pick this week's gross winner",IF(COUNTIFS($A$5:$A$1668,$A807,$D$5:$D$1668,"Net winner")=0,"Pick this week's net winner","OK")))))))</f>
        <v/>
      </c>
    </row>
    <row r="808" outlineLevel="1">
      <c r="A808" s="13" t="n">
        <v>46568</v>
      </c>
      <c r="E808" s="11">
        <f>IF(OR($B808="",NOT(ISNUMBER($C808))),"",COUNTIFS($A$5:$A$1668,$A808,$C$5:$C$1668,"&lt;"&amp;$C808)+1)</f>
        <v/>
      </c>
      <c r="F808" s="11">
        <f>IF(OR($B808="",NOT(ISNUMBER($C808))),"",COUNTIFS($A$5:$A$1668,$A808,$C$5:$C$1668,"&gt;0"))</f>
        <v/>
      </c>
      <c r="G808" s="11">
        <f>IF(OR($B808="",NOT(ISNUMBER($C808))),"",IF($D808&lt;&gt;"",ROUND(Points!$B$6*IF($F808&lt;Points!$H$4,Points!$H$5,1),0),ROUND(Points!$B$6*IF($F808&lt;=1,1,Points!$H$7+(1-Points!$H$7)*((($F808-$E808)*(($F808-$E808)+1)/2)^2-((($F808-$E808-COUNTIFS($A$5:$A$1668,$A808,$C$5:$C$1668,$C808)+1)-1)*($F808-$E808-COUNTIFS($A$5:$A$1668,$A808,$C$5:$C$1668,$C808)+1)/2)^2)/(COUNTIFS($A$5:$A$1668,$A808,$C$5:$C$1668,$C808)*($F808-1)^3))*IF($F808&lt;Points!$H$4,Points!$H$5,1),0)))</f>
        <v/>
      </c>
      <c r="H808" s="11">
        <f>IF($G808="","",COUNTIFS($B$5:$B$1668,$B808,$G$5:$G$1668,"&gt;"&amp;$G808)+COUNTIFS($B$4:$B807,$B808,$G$4:$G807,$G808)+1)</f>
        <v/>
      </c>
      <c r="I808" s="11">
        <f>IF($G808="","",IF($H808&lt;=Points!$H$6,$G808,0))</f>
        <v/>
      </c>
      <c r="J808" s="11">
        <f>IF($B808="","",IF(COUNTIF(Players!$A$2:$A$500,$B808)=0,"Player is not on the Players tab",IF(NOT(ISNUMBER($C808)),"Enter a gross score",IF(COUNTIFS($A$5:$A$1668,$A808,$B$5:$B$1668,$B808)&gt;1,"Player is listed twice this week",IF(AND($D808&lt;&gt;"",COUNTIFS($A$5:$A$1668,$A808,$D$5:$D$1668,$D808)&gt;1),"Two players picked as "&amp;$D808,IF(COUNTIFS($A$5:$A$1668,$A808,$D$5:$D$1668,"Gross winner")=0,"Pick this week's gross winner",IF(COUNTIFS($A$5:$A$1668,$A808,$D$5:$D$1668,"Net winner")=0,"Pick this week's net winner","OK")))))))</f>
        <v/>
      </c>
    </row>
    <row r="809" outlineLevel="1">
      <c r="A809" s="13" t="n">
        <v>46568</v>
      </c>
      <c r="E809" s="11">
        <f>IF(OR($B809="",NOT(ISNUMBER($C809))),"",COUNTIFS($A$5:$A$1668,$A809,$C$5:$C$1668,"&lt;"&amp;$C809)+1)</f>
        <v/>
      </c>
      <c r="F809" s="11">
        <f>IF(OR($B809="",NOT(ISNUMBER($C809))),"",COUNTIFS($A$5:$A$1668,$A809,$C$5:$C$1668,"&gt;0"))</f>
        <v/>
      </c>
      <c r="G809" s="11">
        <f>IF(OR($B809="",NOT(ISNUMBER($C809))),"",IF($D809&lt;&gt;"",ROUND(Points!$B$6*IF($F809&lt;Points!$H$4,Points!$H$5,1),0),ROUND(Points!$B$6*IF($F809&lt;=1,1,Points!$H$7+(1-Points!$H$7)*((($F809-$E809)*(($F809-$E809)+1)/2)^2-((($F809-$E809-COUNTIFS($A$5:$A$1668,$A809,$C$5:$C$1668,$C809)+1)-1)*($F809-$E809-COUNTIFS($A$5:$A$1668,$A809,$C$5:$C$1668,$C809)+1)/2)^2)/(COUNTIFS($A$5:$A$1668,$A809,$C$5:$C$1668,$C809)*($F809-1)^3))*IF($F809&lt;Points!$H$4,Points!$H$5,1),0)))</f>
        <v/>
      </c>
      <c r="H809" s="11">
        <f>IF($G809="","",COUNTIFS($B$5:$B$1668,$B809,$G$5:$G$1668,"&gt;"&amp;$G809)+COUNTIFS($B$4:$B808,$B809,$G$4:$G808,$G809)+1)</f>
        <v/>
      </c>
      <c r="I809" s="11">
        <f>IF($G809="","",IF($H809&lt;=Points!$H$6,$G809,0))</f>
        <v/>
      </c>
      <c r="J809" s="11">
        <f>IF($B809="","",IF(COUNTIF(Players!$A$2:$A$500,$B809)=0,"Player is not on the Players tab",IF(NOT(ISNUMBER($C809)),"Enter a gross score",IF(COUNTIFS($A$5:$A$1668,$A809,$B$5:$B$1668,$B809)&gt;1,"Player is listed twice this week",IF(AND($D809&lt;&gt;"",COUNTIFS($A$5:$A$1668,$A809,$D$5:$D$1668,$D809)&gt;1),"Two players picked as "&amp;$D809,IF(COUNTIFS($A$5:$A$1668,$A809,$D$5:$D$1668,"Gross winner")=0,"Pick this week's gross winner",IF(COUNTIFS($A$5:$A$1668,$A809,$D$5:$D$1668,"Net winner")=0,"Pick this week's net winner","OK")))))))</f>
        <v/>
      </c>
    </row>
    <row r="810" outlineLevel="1">
      <c r="A810" s="13" t="n">
        <v>46568</v>
      </c>
      <c r="E810" s="11">
        <f>IF(OR($B810="",NOT(ISNUMBER($C810))),"",COUNTIFS($A$5:$A$1668,$A810,$C$5:$C$1668,"&lt;"&amp;$C810)+1)</f>
        <v/>
      </c>
      <c r="F810" s="11">
        <f>IF(OR($B810="",NOT(ISNUMBER($C810))),"",COUNTIFS($A$5:$A$1668,$A810,$C$5:$C$1668,"&gt;0"))</f>
        <v/>
      </c>
      <c r="G810" s="11">
        <f>IF(OR($B810="",NOT(ISNUMBER($C810))),"",IF($D810&lt;&gt;"",ROUND(Points!$B$6*IF($F810&lt;Points!$H$4,Points!$H$5,1),0),ROUND(Points!$B$6*IF($F810&lt;=1,1,Points!$H$7+(1-Points!$H$7)*((($F810-$E810)*(($F810-$E810)+1)/2)^2-((($F810-$E810-COUNTIFS($A$5:$A$1668,$A810,$C$5:$C$1668,$C810)+1)-1)*($F810-$E810-COUNTIFS($A$5:$A$1668,$A810,$C$5:$C$1668,$C810)+1)/2)^2)/(COUNTIFS($A$5:$A$1668,$A810,$C$5:$C$1668,$C810)*($F810-1)^3))*IF($F810&lt;Points!$H$4,Points!$H$5,1),0)))</f>
        <v/>
      </c>
      <c r="H810" s="11">
        <f>IF($G810="","",COUNTIFS($B$5:$B$1668,$B810,$G$5:$G$1668,"&gt;"&amp;$G810)+COUNTIFS($B$4:$B809,$B810,$G$4:$G809,$G810)+1)</f>
        <v/>
      </c>
      <c r="I810" s="11">
        <f>IF($G810="","",IF($H810&lt;=Points!$H$6,$G810,0))</f>
        <v/>
      </c>
      <c r="J810" s="11">
        <f>IF($B810="","",IF(COUNTIF(Players!$A$2:$A$500,$B810)=0,"Player is not on the Players tab",IF(NOT(ISNUMBER($C810)),"Enter a gross score",IF(COUNTIFS($A$5:$A$1668,$A810,$B$5:$B$1668,$B810)&gt;1,"Player is listed twice this week",IF(AND($D810&lt;&gt;"",COUNTIFS($A$5:$A$1668,$A810,$D$5:$D$1668,$D810)&gt;1),"Two players picked as "&amp;$D810,IF(COUNTIFS($A$5:$A$1668,$A810,$D$5:$D$1668,"Gross winner")=0,"Pick this week's gross winner",IF(COUNTIFS($A$5:$A$1668,$A810,$D$5:$D$1668,"Net winner")=0,"Pick this week's net winner","OK")))))))</f>
        <v/>
      </c>
    </row>
    <row r="811" outlineLevel="1">
      <c r="A811" s="13" t="n">
        <v>46568</v>
      </c>
      <c r="E811" s="11">
        <f>IF(OR($B811="",NOT(ISNUMBER($C811))),"",COUNTIFS($A$5:$A$1668,$A811,$C$5:$C$1668,"&lt;"&amp;$C811)+1)</f>
        <v/>
      </c>
      <c r="F811" s="11">
        <f>IF(OR($B811="",NOT(ISNUMBER($C811))),"",COUNTIFS($A$5:$A$1668,$A811,$C$5:$C$1668,"&gt;0"))</f>
        <v/>
      </c>
      <c r="G811" s="11">
        <f>IF(OR($B811="",NOT(ISNUMBER($C811))),"",IF($D811&lt;&gt;"",ROUND(Points!$B$6*IF($F811&lt;Points!$H$4,Points!$H$5,1),0),ROUND(Points!$B$6*IF($F811&lt;=1,1,Points!$H$7+(1-Points!$H$7)*((($F811-$E811)*(($F811-$E811)+1)/2)^2-((($F811-$E811-COUNTIFS($A$5:$A$1668,$A811,$C$5:$C$1668,$C811)+1)-1)*($F811-$E811-COUNTIFS($A$5:$A$1668,$A811,$C$5:$C$1668,$C811)+1)/2)^2)/(COUNTIFS($A$5:$A$1668,$A811,$C$5:$C$1668,$C811)*($F811-1)^3))*IF($F811&lt;Points!$H$4,Points!$H$5,1),0)))</f>
        <v/>
      </c>
      <c r="H811" s="11">
        <f>IF($G811="","",COUNTIFS($B$5:$B$1668,$B811,$G$5:$G$1668,"&gt;"&amp;$G811)+COUNTIFS($B$4:$B810,$B811,$G$4:$G810,$G811)+1)</f>
        <v/>
      </c>
      <c r="I811" s="11">
        <f>IF($G811="","",IF($H811&lt;=Points!$H$6,$G811,0))</f>
        <v/>
      </c>
      <c r="J811" s="11">
        <f>IF($B811="","",IF(COUNTIF(Players!$A$2:$A$500,$B811)=0,"Player is not on the Players tab",IF(NOT(ISNUMBER($C811)),"Enter a gross score",IF(COUNTIFS($A$5:$A$1668,$A811,$B$5:$B$1668,$B811)&gt;1,"Player is listed twice this week",IF(AND($D811&lt;&gt;"",COUNTIFS($A$5:$A$1668,$A811,$D$5:$D$1668,$D811)&gt;1),"Two players picked as "&amp;$D811,IF(COUNTIFS($A$5:$A$1668,$A811,$D$5:$D$1668,"Gross winner")=0,"Pick this week's gross winner",IF(COUNTIFS($A$5:$A$1668,$A811,$D$5:$D$1668,"Net winner")=0,"Pick this week's net winner","OK")))))))</f>
        <v/>
      </c>
    </row>
    <row r="812" outlineLevel="1">
      <c r="A812" s="13" t="n">
        <v>46568</v>
      </c>
      <c r="E812" s="11">
        <f>IF(OR($B812="",NOT(ISNUMBER($C812))),"",COUNTIFS($A$5:$A$1668,$A812,$C$5:$C$1668,"&lt;"&amp;$C812)+1)</f>
        <v/>
      </c>
      <c r="F812" s="11">
        <f>IF(OR($B812="",NOT(ISNUMBER($C812))),"",COUNTIFS($A$5:$A$1668,$A812,$C$5:$C$1668,"&gt;0"))</f>
        <v/>
      </c>
      <c r="G812" s="11">
        <f>IF(OR($B812="",NOT(ISNUMBER($C812))),"",IF($D812&lt;&gt;"",ROUND(Points!$B$6*IF($F812&lt;Points!$H$4,Points!$H$5,1),0),ROUND(Points!$B$6*IF($F812&lt;=1,1,Points!$H$7+(1-Points!$H$7)*((($F812-$E812)*(($F812-$E812)+1)/2)^2-((($F812-$E812-COUNTIFS($A$5:$A$1668,$A812,$C$5:$C$1668,$C812)+1)-1)*($F812-$E812-COUNTIFS($A$5:$A$1668,$A812,$C$5:$C$1668,$C812)+1)/2)^2)/(COUNTIFS($A$5:$A$1668,$A812,$C$5:$C$1668,$C812)*($F812-1)^3))*IF($F812&lt;Points!$H$4,Points!$H$5,1),0)))</f>
        <v/>
      </c>
      <c r="H812" s="11">
        <f>IF($G812="","",COUNTIFS($B$5:$B$1668,$B812,$G$5:$G$1668,"&gt;"&amp;$G812)+COUNTIFS($B$4:$B811,$B812,$G$4:$G811,$G812)+1)</f>
        <v/>
      </c>
      <c r="I812" s="11">
        <f>IF($G812="","",IF($H812&lt;=Points!$H$6,$G812,0))</f>
        <v/>
      </c>
      <c r="J812" s="11">
        <f>IF($B812="","",IF(COUNTIF(Players!$A$2:$A$500,$B812)=0,"Player is not on the Players tab",IF(NOT(ISNUMBER($C812)),"Enter a gross score",IF(COUNTIFS($A$5:$A$1668,$A812,$B$5:$B$1668,$B812)&gt;1,"Player is listed twice this week",IF(AND($D812&lt;&gt;"",COUNTIFS($A$5:$A$1668,$A812,$D$5:$D$1668,$D812)&gt;1),"Two players picked as "&amp;$D812,IF(COUNTIFS($A$5:$A$1668,$A812,$D$5:$D$1668,"Gross winner")=0,"Pick this week's gross winner",IF(COUNTIFS($A$5:$A$1668,$A812,$D$5:$D$1668,"Net winner")=0,"Pick this week's net winner","OK")))))))</f>
        <v/>
      </c>
    </row>
    <row r="813" outlineLevel="1">
      <c r="A813" s="13" t="n">
        <v>46568</v>
      </c>
      <c r="E813" s="11">
        <f>IF(OR($B813="",NOT(ISNUMBER($C813))),"",COUNTIFS($A$5:$A$1668,$A813,$C$5:$C$1668,"&lt;"&amp;$C813)+1)</f>
        <v/>
      </c>
      <c r="F813" s="11">
        <f>IF(OR($B813="",NOT(ISNUMBER($C813))),"",COUNTIFS($A$5:$A$1668,$A813,$C$5:$C$1668,"&gt;0"))</f>
        <v/>
      </c>
      <c r="G813" s="11">
        <f>IF(OR($B813="",NOT(ISNUMBER($C813))),"",IF($D813&lt;&gt;"",ROUND(Points!$B$6*IF($F813&lt;Points!$H$4,Points!$H$5,1),0),ROUND(Points!$B$6*IF($F813&lt;=1,1,Points!$H$7+(1-Points!$H$7)*((($F813-$E813)*(($F813-$E813)+1)/2)^2-((($F813-$E813-COUNTIFS($A$5:$A$1668,$A813,$C$5:$C$1668,$C813)+1)-1)*($F813-$E813-COUNTIFS($A$5:$A$1668,$A813,$C$5:$C$1668,$C813)+1)/2)^2)/(COUNTIFS($A$5:$A$1668,$A813,$C$5:$C$1668,$C813)*($F813-1)^3))*IF($F813&lt;Points!$H$4,Points!$H$5,1),0)))</f>
        <v/>
      </c>
      <c r="H813" s="11">
        <f>IF($G813="","",COUNTIFS($B$5:$B$1668,$B813,$G$5:$G$1668,"&gt;"&amp;$G813)+COUNTIFS($B$4:$B812,$B813,$G$4:$G812,$G813)+1)</f>
        <v/>
      </c>
      <c r="I813" s="11">
        <f>IF($G813="","",IF($H813&lt;=Points!$H$6,$G813,0))</f>
        <v/>
      </c>
      <c r="J813" s="11">
        <f>IF($B813="","",IF(COUNTIF(Players!$A$2:$A$500,$B813)=0,"Player is not on the Players tab",IF(NOT(ISNUMBER($C813)),"Enter a gross score",IF(COUNTIFS($A$5:$A$1668,$A813,$B$5:$B$1668,$B813)&gt;1,"Player is listed twice this week",IF(AND($D813&lt;&gt;"",COUNTIFS($A$5:$A$1668,$A813,$D$5:$D$1668,$D813)&gt;1),"Two players picked as "&amp;$D813,IF(COUNTIFS($A$5:$A$1668,$A813,$D$5:$D$1668,"Gross winner")=0,"Pick this week's gross winner",IF(COUNTIFS($A$5:$A$1668,$A813,$D$5:$D$1668,"Net winner")=0,"Pick this week's net winner","OK")))))))</f>
        <v/>
      </c>
    </row>
    <row r="814" outlineLevel="1">
      <c r="A814" s="13" t="n">
        <v>46568</v>
      </c>
      <c r="E814" s="11">
        <f>IF(OR($B814="",NOT(ISNUMBER($C814))),"",COUNTIFS($A$5:$A$1668,$A814,$C$5:$C$1668,"&lt;"&amp;$C814)+1)</f>
        <v/>
      </c>
      <c r="F814" s="11">
        <f>IF(OR($B814="",NOT(ISNUMBER($C814))),"",COUNTIFS($A$5:$A$1668,$A814,$C$5:$C$1668,"&gt;0"))</f>
        <v/>
      </c>
      <c r="G814" s="11">
        <f>IF(OR($B814="",NOT(ISNUMBER($C814))),"",IF($D814&lt;&gt;"",ROUND(Points!$B$6*IF($F814&lt;Points!$H$4,Points!$H$5,1),0),ROUND(Points!$B$6*IF($F814&lt;=1,1,Points!$H$7+(1-Points!$H$7)*((($F814-$E814)*(($F814-$E814)+1)/2)^2-((($F814-$E814-COUNTIFS($A$5:$A$1668,$A814,$C$5:$C$1668,$C814)+1)-1)*($F814-$E814-COUNTIFS($A$5:$A$1668,$A814,$C$5:$C$1668,$C814)+1)/2)^2)/(COUNTIFS($A$5:$A$1668,$A814,$C$5:$C$1668,$C814)*($F814-1)^3))*IF($F814&lt;Points!$H$4,Points!$H$5,1),0)))</f>
        <v/>
      </c>
      <c r="H814" s="11">
        <f>IF($G814="","",COUNTIFS($B$5:$B$1668,$B814,$G$5:$G$1668,"&gt;"&amp;$G814)+COUNTIFS($B$4:$B813,$B814,$G$4:$G813,$G814)+1)</f>
        <v/>
      </c>
      <c r="I814" s="11">
        <f>IF($G814="","",IF($H814&lt;=Points!$H$6,$G814,0))</f>
        <v/>
      </c>
      <c r="J814" s="11">
        <f>IF($B814="","",IF(COUNTIF(Players!$A$2:$A$500,$B814)=0,"Player is not on the Players tab",IF(NOT(ISNUMBER($C814)),"Enter a gross score",IF(COUNTIFS($A$5:$A$1668,$A814,$B$5:$B$1668,$B814)&gt;1,"Player is listed twice this week",IF(AND($D814&lt;&gt;"",COUNTIFS($A$5:$A$1668,$A814,$D$5:$D$1668,$D814)&gt;1),"Two players picked as "&amp;$D814,IF(COUNTIFS($A$5:$A$1668,$A814,$D$5:$D$1668,"Gross winner")=0,"Pick this week's gross winner",IF(COUNTIFS($A$5:$A$1668,$A814,$D$5:$D$1668,"Net winner")=0,"Pick this week's net winner","OK")))))))</f>
        <v/>
      </c>
    </row>
    <row r="815" outlineLevel="1">
      <c r="A815" s="13" t="n">
        <v>46568</v>
      </c>
      <c r="E815" s="11">
        <f>IF(OR($B815="",NOT(ISNUMBER($C815))),"",COUNTIFS($A$5:$A$1668,$A815,$C$5:$C$1668,"&lt;"&amp;$C815)+1)</f>
        <v/>
      </c>
      <c r="F815" s="11">
        <f>IF(OR($B815="",NOT(ISNUMBER($C815))),"",COUNTIFS($A$5:$A$1668,$A815,$C$5:$C$1668,"&gt;0"))</f>
        <v/>
      </c>
      <c r="G815" s="11">
        <f>IF(OR($B815="",NOT(ISNUMBER($C815))),"",IF($D815&lt;&gt;"",ROUND(Points!$B$6*IF($F815&lt;Points!$H$4,Points!$H$5,1),0),ROUND(Points!$B$6*IF($F815&lt;=1,1,Points!$H$7+(1-Points!$H$7)*((($F815-$E815)*(($F815-$E815)+1)/2)^2-((($F815-$E815-COUNTIFS($A$5:$A$1668,$A815,$C$5:$C$1668,$C815)+1)-1)*($F815-$E815-COUNTIFS($A$5:$A$1668,$A815,$C$5:$C$1668,$C815)+1)/2)^2)/(COUNTIFS($A$5:$A$1668,$A815,$C$5:$C$1668,$C815)*($F815-1)^3))*IF($F815&lt;Points!$H$4,Points!$H$5,1),0)))</f>
        <v/>
      </c>
      <c r="H815" s="11">
        <f>IF($G815="","",COUNTIFS($B$5:$B$1668,$B815,$G$5:$G$1668,"&gt;"&amp;$G815)+COUNTIFS($B$4:$B814,$B815,$G$4:$G814,$G815)+1)</f>
        <v/>
      </c>
      <c r="I815" s="11">
        <f>IF($G815="","",IF($H815&lt;=Points!$H$6,$G815,0))</f>
        <v/>
      </c>
      <c r="J815" s="11">
        <f>IF($B815="","",IF(COUNTIF(Players!$A$2:$A$500,$B815)=0,"Player is not on the Players tab",IF(NOT(ISNUMBER($C815)),"Enter a gross score",IF(COUNTIFS($A$5:$A$1668,$A815,$B$5:$B$1668,$B815)&gt;1,"Player is listed twice this week",IF(AND($D815&lt;&gt;"",COUNTIFS($A$5:$A$1668,$A815,$D$5:$D$1668,$D815)&gt;1),"Two players picked as "&amp;$D815,IF(COUNTIFS($A$5:$A$1668,$A815,$D$5:$D$1668,"Gross winner")=0,"Pick this week's gross winner",IF(COUNTIFS($A$5:$A$1668,$A815,$D$5:$D$1668,"Net winner")=0,"Pick this week's net winner","OK")))))))</f>
        <v/>
      </c>
    </row>
    <row r="816" outlineLevel="1">
      <c r="A816" s="13" t="n">
        <v>46568</v>
      </c>
      <c r="E816" s="11">
        <f>IF(OR($B816="",NOT(ISNUMBER($C816))),"",COUNTIFS($A$5:$A$1668,$A816,$C$5:$C$1668,"&lt;"&amp;$C816)+1)</f>
        <v/>
      </c>
      <c r="F816" s="11">
        <f>IF(OR($B816="",NOT(ISNUMBER($C816))),"",COUNTIFS($A$5:$A$1668,$A816,$C$5:$C$1668,"&gt;0"))</f>
        <v/>
      </c>
      <c r="G816" s="11">
        <f>IF(OR($B816="",NOT(ISNUMBER($C816))),"",IF($D816&lt;&gt;"",ROUND(Points!$B$6*IF($F816&lt;Points!$H$4,Points!$H$5,1),0),ROUND(Points!$B$6*IF($F816&lt;=1,1,Points!$H$7+(1-Points!$H$7)*((($F816-$E816)*(($F816-$E816)+1)/2)^2-((($F816-$E816-COUNTIFS($A$5:$A$1668,$A816,$C$5:$C$1668,$C816)+1)-1)*($F816-$E816-COUNTIFS($A$5:$A$1668,$A816,$C$5:$C$1668,$C816)+1)/2)^2)/(COUNTIFS($A$5:$A$1668,$A816,$C$5:$C$1668,$C816)*($F816-1)^3))*IF($F816&lt;Points!$H$4,Points!$H$5,1),0)))</f>
        <v/>
      </c>
      <c r="H816" s="11">
        <f>IF($G816="","",COUNTIFS($B$5:$B$1668,$B816,$G$5:$G$1668,"&gt;"&amp;$G816)+COUNTIFS($B$4:$B815,$B816,$G$4:$G815,$G816)+1)</f>
        <v/>
      </c>
      <c r="I816" s="11">
        <f>IF($G816="","",IF($H816&lt;=Points!$H$6,$G816,0))</f>
        <v/>
      </c>
      <c r="J816" s="11">
        <f>IF($B816="","",IF(COUNTIF(Players!$A$2:$A$500,$B816)=0,"Player is not on the Players tab",IF(NOT(ISNUMBER($C816)),"Enter a gross score",IF(COUNTIFS($A$5:$A$1668,$A816,$B$5:$B$1668,$B816)&gt;1,"Player is listed twice this week",IF(AND($D816&lt;&gt;"",COUNTIFS($A$5:$A$1668,$A816,$D$5:$D$1668,$D816)&gt;1),"Two players picked as "&amp;$D816,IF(COUNTIFS($A$5:$A$1668,$A816,$D$5:$D$1668,"Gross winner")=0,"Pick this week's gross winner",IF(COUNTIFS($A$5:$A$1668,$A816,$D$5:$D$1668,"Net winner")=0,"Pick this week's net winner","OK")))))))</f>
        <v/>
      </c>
    </row>
    <row r="817" outlineLevel="1">
      <c r="A817" s="13" t="n">
        <v>46568</v>
      </c>
      <c r="E817" s="11">
        <f>IF(OR($B817="",NOT(ISNUMBER($C817))),"",COUNTIFS($A$5:$A$1668,$A817,$C$5:$C$1668,"&lt;"&amp;$C817)+1)</f>
        <v/>
      </c>
      <c r="F817" s="11">
        <f>IF(OR($B817="",NOT(ISNUMBER($C817))),"",COUNTIFS($A$5:$A$1668,$A817,$C$5:$C$1668,"&gt;0"))</f>
        <v/>
      </c>
      <c r="G817" s="11">
        <f>IF(OR($B817="",NOT(ISNUMBER($C817))),"",IF($D817&lt;&gt;"",ROUND(Points!$B$6*IF($F817&lt;Points!$H$4,Points!$H$5,1),0),ROUND(Points!$B$6*IF($F817&lt;=1,1,Points!$H$7+(1-Points!$H$7)*((($F817-$E817)*(($F817-$E817)+1)/2)^2-((($F817-$E817-COUNTIFS($A$5:$A$1668,$A817,$C$5:$C$1668,$C817)+1)-1)*($F817-$E817-COUNTIFS($A$5:$A$1668,$A817,$C$5:$C$1668,$C817)+1)/2)^2)/(COUNTIFS($A$5:$A$1668,$A817,$C$5:$C$1668,$C817)*($F817-1)^3))*IF($F817&lt;Points!$H$4,Points!$H$5,1),0)))</f>
        <v/>
      </c>
      <c r="H817" s="11">
        <f>IF($G817="","",COUNTIFS($B$5:$B$1668,$B817,$G$5:$G$1668,"&gt;"&amp;$G817)+COUNTIFS($B$4:$B816,$B817,$G$4:$G816,$G817)+1)</f>
        <v/>
      </c>
      <c r="I817" s="11">
        <f>IF($G817="","",IF($H817&lt;=Points!$H$6,$G817,0))</f>
        <v/>
      </c>
      <c r="J817" s="11">
        <f>IF($B817="","",IF(COUNTIF(Players!$A$2:$A$500,$B817)=0,"Player is not on the Players tab",IF(NOT(ISNUMBER($C817)),"Enter a gross score",IF(COUNTIFS($A$5:$A$1668,$A817,$B$5:$B$1668,$B817)&gt;1,"Player is listed twice this week",IF(AND($D817&lt;&gt;"",COUNTIFS($A$5:$A$1668,$A817,$D$5:$D$1668,$D817)&gt;1),"Two players picked as "&amp;$D817,IF(COUNTIFS($A$5:$A$1668,$A817,$D$5:$D$1668,"Gross winner")=0,"Pick this week's gross winner",IF(COUNTIFS($A$5:$A$1668,$A817,$D$5:$D$1668,"Net winner")=0,"Pick this week's net winner","OK")))))))</f>
        <v/>
      </c>
    </row>
    <row r="818" outlineLevel="1">
      <c r="A818" s="13" t="n">
        <v>46568</v>
      </c>
      <c r="E818" s="11">
        <f>IF(OR($B818="",NOT(ISNUMBER($C818))),"",COUNTIFS($A$5:$A$1668,$A818,$C$5:$C$1668,"&lt;"&amp;$C818)+1)</f>
        <v/>
      </c>
      <c r="F818" s="11">
        <f>IF(OR($B818="",NOT(ISNUMBER($C818))),"",COUNTIFS($A$5:$A$1668,$A818,$C$5:$C$1668,"&gt;0"))</f>
        <v/>
      </c>
      <c r="G818" s="11">
        <f>IF(OR($B818="",NOT(ISNUMBER($C818))),"",IF($D818&lt;&gt;"",ROUND(Points!$B$6*IF($F818&lt;Points!$H$4,Points!$H$5,1),0),ROUND(Points!$B$6*IF($F818&lt;=1,1,Points!$H$7+(1-Points!$H$7)*((($F818-$E818)*(($F818-$E818)+1)/2)^2-((($F818-$E818-COUNTIFS($A$5:$A$1668,$A818,$C$5:$C$1668,$C818)+1)-1)*($F818-$E818-COUNTIFS($A$5:$A$1668,$A818,$C$5:$C$1668,$C818)+1)/2)^2)/(COUNTIFS($A$5:$A$1668,$A818,$C$5:$C$1668,$C818)*($F818-1)^3))*IF($F818&lt;Points!$H$4,Points!$H$5,1),0)))</f>
        <v/>
      </c>
      <c r="H818" s="11">
        <f>IF($G818="","",COUNTIFS($B$5:$B$1668,$B818,$G$5:$G$1668,"&gt;"&amp;$G818)+COUNTIFS($B$4:$B817,$B818,$G$4:$G817,$G818)+1)</f>
        <v/>
      </c>
      <c r="I818" s="11">
        <f>IF($G818="","",IF($H818&lt;=Points!$H$6,$G818,0))</f>
        <v/>
      </c>
      <c r="J818" s="11">
        <f>IF($B818="","",IF(COUNTIF(Players!$A$2:$A$500,$B818)=0,"Player is not on the Players tab",IF(NOT(ISNUMBER($C818)),"Enter a gross score",IF(COUNTIFS($A$5:$A$1668,$A818,$B$5:$B$1668,$B818)&gt;1,"Player is listed twice this week",IF(AND($D818&lt;&gt;"",COUNTIFS($A$5:$A$1668,$A818,$D$5:$D$1668,$D818)&gt;1),"Two players picked as "&amp;$D818,IF(COUNTIFS($A$5:$A$1668,$A818,$D$5:$D$1668,"Gross winner")=0,"Pick this week's gross winner",IF(COUNTIFS($A$5:$A$1668,$A818,$D$5:$D$1668,"Net winner")=0,"Pick this week's net winner","OK")))))))</f>
        <v/>
      </c>
    </row>
    <row r="819" outlineLevel="1">
      <c r="A819" s="13" t="n">
        <v>46568</v>
      </c>
      <c r="E819" s="11">
        <f>IF(OR($B819="",NOT(ISNUMBER($C819))),"",COUNTIFS($A$5:$A$1668,$A819,$C$5:$C$1668,"&lt;"&amp;$C819)+1)</f>
        <v/>
      </c>
      <c r="F819" s="11">
        <f>IF(OR($B819="",NOT(ISNUMBER($C819))),"",COUNTIFS($A$5:$A$1668,$A819,$C$5:$C$1668,"&gt;0"))</f>
        <v/>
      </c>
      <c r="G819" s="11">
        <f>IF(OR($B819="",NOT(ISNUMBER($C819))),"",IF($D819&lt;&gt;"",ROUND(Points!$B$6*IF($F819&lt;Points!$H$4,Points!$H$5,1),0),ROUND(Points!$B$6*IF($F819&lt;=1,1,Points!$H$7+(1-Points!$H$7)*((($F819-$E819)*(($F819-$E819)+1)/2)^2-((($F819-$E819-COUNTIFS($A$5:$A$1668,$A819,$C$5:$C$1668,$C819)+1)-1)*($F819-$E819-COUNTIFS($A$5:$A$1668,$A819,$C$5:$C$1668,$C819)+1)/2)^2)/(COUNTIFS($A$5:$A$1668,$A819,$C$5:$C$1668,$C819)*($F819-1)^3))*IF($F819&lt;Points!$H$4,Points!$H$5,1),0)))</f>
        <v/>
      </c>
      <c r="H819" s="11">
        <f>IF($G819="","",COUNTIFS($B$5:$B$1668,$B819,$G$5:$G$1668,"&gt;"&amp;$G819)+COUNTIFS($B$4:$B818,$B819,$G$4:$G818,$G819)+1)</f>
        <v/>
      </c>
      <c r="I819" s="11">
        <f>IF($G819="","",IF($H819&lt;=Points!$H$6,$G819,0))</f>
        <v/>
      </c>
      <c r="J819" s="11">
        <f>IF($B819="","",IF(COUNTIF(Players!$A$2:$A$500,$B819)=0,"Player is not on the Players tab",IF(NOT(ISNUMBER($C819)),"Enter a gross score",IF(COUNTIFS($A$5:$A$1668,$A819,$B$5:$B$1668,$B819)&gt;1,"Player is listed twice this week",IF(AND($D819&lt;&gt;"",COUNTIFS($A$5:$A$1668,$A819,$D$5:$D$1668,$D819)&gt;1),"Two players picked as "&amp;$D819,IF(COUNTIFS($A$5:$A$1668,$A819,$D$5:$D$1668,"Gross winner")=0,"Pick this week's gross winner",IF(COUNTIFS($A$5:$A$1668,$A819,$D$5:$D$1668,"Net winner")=0,"Pick this week's net winner","OK")))))))</f>
        <v/>
      </c>
    </row>
    <row r="820" outlineLevel="1">
      <c r="A820" s="13" t="n">
        <v>46568</v>
      </c>
      <c r="E820" s="11">
        <f>IF(OR($B820="",NOT(ISNUMBER($C820))),"",COUNTIFS($A$5:$A$1668,$A820,$C$5:$C$1668,"&lt;"&amp;$C820)+1)</f>
        <v/>
      </c>
      <c r="F820" s="11">
        <f>IF(OR($B820="",NOT(ISNUMBER($C820))),"",COUNTIFS($A$5:$A$1668,$A820,$C$5:$C$1668,"&gt;0"))</f>
        <v/>
      </c>
      <c r="G820" s="11">
        <f>IF(OR($B820="",NOT(ISNUMBER($C820))),"",IF($D820&lt;&gt;"",ROUND(Points!$B$6*IF($F820&lt;Points!$H$4,Points!$H$5,1),0),ROUND(Points!$B$6*IF($F820&lt;=1,1,Points!$H$7+(1-Points!$H$7)*((($F820-$E820)*(($F820-$E820)+1)/2)^2-((($F820-$E820-COUNTIFS($A$5:$A$1668,$A820,$C$5:$C$1668,$C820)+1)-1)*($F820-$E820-COUNTIFS($A$5:$A$1668,$A820,$C$5:$C$1668,$C820)+1)/2)^2)/(COUNTIFS($A$5:$A$1668,$A820,$C$5:$C$1668,$C820)*($F820-1)^3))*IF($F820&lt;Points!$H$4,Points!$H$5,1),0)))</f>
        <v/>
      </c>
      <c r="H820" s="11">
        <f>IF($G820="","",COUNTIFS($B$5:$B$1668,$B820,$G$5:$G$1668,"&gt;"&amp;$G820)+COUNTIFS($B$4:$B819,$B820,$G$4:$G819,$G820)+1)</f>
        <v/>
      </c>
      <c r="I820" s="11">
        <f>IF($G820="","",IF($H820&lt;=Points!$H$6,$G820,0))</f>
        <v/>
      </c>
      <c r="J820" s="11">
        <f>IF($B820="","",IF(COUNTIF(Players!$A$2:$A$500,$B820)=0,"Player is not on the Players tab",IF(NOT(ISNUMBER($C820)),"Enter a gross score",IF(COUNTIFS($A$5:$A$1668,$A820,$B$5:$B$1668,$B820)&gt;1,"Player is listed twice this week",IF(AND($D820&lt;&gt;"",COUNTIFS($A$5:$A$1668,$A820,$D$5:$D$1668,$D820)&gt;1),"Two players picked as "&amp;$D820,IF(COUNTIFS($A$5:$A$1668,$A820,$D$5:$D$1668,"Gross winner")=0,"Pick this week's gross winner",IF(COUNTIFS($A$5:$A$1668,$A820,$D$5:$D$1668,"Net winner")=0,"Pick this week's net winner","OK")))))))</f>
        <v/>
      </c>
    </row>
    <row r="821" outlineLevel="1">
      <c r="A821" s="13" t="n">
        <v>46568</v>
      </c>
      <c r="E821" s="11">
        <f>IF(OR($B821="",NOT(ISNUMBER($C821))),"",COUNTIFS($A$5:$A$1668,$A821,$C$5:$C$1668,"&lt;"&amp;$C821)+1)</f>
        <v/>
      </c>
      <c r="F821" s="11">
        <f>IF(OR($B821="",NOT(ISNUMBER($C821))),"",COUNTIFS($A$5:$A$1668,$A821,$C$5:$C$1668,"&gt;0"))</f>
        <v/>
      </c>
      <c r="G821" s="11">
        <f>IF(OR($B821="",NOT(ISNUMBER($C821))),"",IF($D821&lt;&gt;"",ROUND(Points!$B$6*IF($F821&lt;Points!$H$4,Points!$H$5,1),0),ROUND(Points!$B$6*IF($F821&lt;=1,1,Points!$H$7+(1-Points!$H$7)*((($F821-$E821)*(($F821-$E821)+1)/2)^2-((($F821-$E821-COUNTIFS($A$5:$A$1668,$A821,$C$5:$C$1668,$C821)+1)-1)*($F821-$E821-COUNTIFS($A$5:$A$1668,$A821,$C$5:$C$1668,$C821)+1)/2)^2)/(COUNTIFS($A$5:$A$1668,$A821,$C$5:$C$1668,$C821)*($F821-1)^3))*IF($F821&lt;Points!$H$4,Points!$H$5,1),0)))</f>
        <v/>
      </c>
      <c r="H821" s="11">
        <f>IF($G821="","",COUNTIFS($B$5:$B$1668,$B821,$G$5:$G$1668,"&gt;"&amp;$G821)+COUNTIFS($B$4:$B820,$B821,$G$4:$G820,$G821)+1)</f>
        <v/>
      </c>
      <c r="I821" s="11">
        <f>IF($G821="","",IF($H821&lt;=Points!$H$6,$G821,0))</f>
        <v/>
      </c>
      <c r="J821" s="11">
        <f>IF($B821="","",IF(COUNTIF(Players!$A$2:$A$500,$B821)=0,"Player is not on the Players tab",IF(NOT(ISNUMBER($C821)),"Enter a gross score",IF(COUNTIFS($A$5:$A$1668,$A821,$B$5:$B$1668,$B821)&gt;1,"Player is listed twice this week",IF(AND($D821&lt;&gt;"",COUNTIFS($A$5:$A$1668,$A821,$D$5:$D$1668,$D821)&gt;1),"Two players picked as "&amp;$D821,IF(COUNTIFS($A$5:$A$1668,$A821,$D$5:$D$1668,"Gross winner")=0,"Pick this week's gross winner",IF(COUNTIFS($A$5:$A$1668,$A821,$D$5:$D$1668,"Net winner")=0,"Pick this week's net winner","OK")))))))</f>
        <v/>
      </c>
    </row>
    <row r="822" outlineLevel="1">
      <c r="A822" s="13" t="n">
        <v>46568</v>
      </c>
      <c r="E822" s="11">
        <f>IF(OR($B822="",NOT(ISNUMBER($C822))),"",COUNTIFS($A$5:$A$1668,$A822,$C$5:$C$1668,"&lt;"&amp;$C822)+1)</f>
        <v/>
      </c>
      <c r="F822" s="11">
        <f>IF(OR($B822="",NOT(ISNUMBER($C822))),"",COUNTIFS($A$5:$A$1668,$A822,$C$5:$C$1668,"&gt;0"))</f>
        <v/>
      </c>
      <c r="G822" s="11">
        <f>IF(OR($B822="",NOT(ISNUMBER($C822))),"",IF($D822&lt;&gt;"",ROUND(Points!$B$6*IF($F822&lt;Points!$H$4,Points!$H$5,1),0),ROUND(Points!$B$6*IF($F822&lt;=1,1,Points!$H$7+(1-Points!$H$7)*((($F822-$E822)*(($F822-$E822)+1)/2)^2-((($F822-$E822-COUNTIFS($A$5:$A$1668,$A822,$C$5:$C$1668,$C822)+1)-1)*($F822-$E822-COUNTIFS($A$5:$A$1668,$A822,$C$5:$C$1668,$C822)+1)/2)^2)/(COUNTIFS($A$5:$A$1668,$A822,$C$5:$C$1668,$C822)*($F822-1)^3))*IF($F822&lt;Points!$H$4,Points!$H$5,1),0)))</f>
        <v/>
      </c>
      <c r="H822" s="11">
        <f>IF($G822="","",COUNTIFS($B$5:$B$1668,$B822,$G$5:$G$1668,"&gt;"&amp;$G822)+COUNTIFS($B$4:$B821,$B822,$G$4:$G821,$G822)+1)</f>
        <v/>
      </c>
      <c r="I822" s="11">
        <f>IF($G822="","",IF($H822&lt;=Points!$H$6,$G822,0))</f>
        <v/>
      </c>
      <c r="J822" s="11">
        <f>IF($B822="","",IF(COUNTIF(Players!$A$2:$A$500,$B822)=0,"Player is not on the Players tab",IF(NOT(ISNUMBER($C822)),"Enter a gross score",IF(COUNTIFS($A$5:$A$1668,$A822,$B$5:$B$1668,$B822)&gt;1,"Player is listed twice this week",IF(AND($D822&lt;&gt;"",COUNTIFS($A$5:$A$1668,$A822,$D$5:$D$1668,$D822)&gt;1),"Two players picked as "&amp;$D822,IF(COUNTIFS($A$5:$A$1668,$A822,$D$5:$D$1668,"Gross winner")=0,"Pick this week's gross winner",IF(COUNTIFS($A$5:$A$1668,$A822,$D$5:$D$1668,"Net winner")=0,"Pick this week's net winner","OK")))))))</f>
        <v/>
      </c>
    </row>
    <row r="823" outlineLevel="1">
      <c r="A823" s="13" t="n">
        <v>46568</v>
      </c>
      <c r="E823" s="11">
        <f>IF(OR($B823="",NOT(ISNUMBER($C823))),"",COUNTIFS($A$5:$A$1668,$A823,$C$5:$C$1668,"&lt;"&amp;$C823)+1)</f>
        <v/>
      </c>
      <c r="F823" s="11">
        <f>IF(OR($B823="",NOT(ISNUMBER($C823))),"",COUNTIFS($A$5:$A$1668,$A823,$C$5:$C$1668,"&gt;0"))</f>
        <v/>
      </c>
      <c r="G823" s="11">
        <f>IF(OR($B823="",NOT(ISNUMBER($C823))),"",IF($D823&lt;&gt;"",ROUND(Points!$B$6*IF($F823&lt;Points!$H$4,Points!$H$5,1),0),ROUND(Points!$B$6*IF($F823&lt;=1,1,Points!$H$7+(1-Points!$H$7)*((($F823-$E823)*(($F823-$E823)+1)/2)^2-((($F823-$E823-COUNTIFS($A$5:$A$1668,$A823,$C$5:$C$1668,$C823)+1)-1)*($F823-$E823-COUNTIFS($A$5:$A$1668,$A823,$C$5:$C$1668,$C823)+1)/2)^2)/(COUNTIFS($A$5:$A$1668,$A823,$C$5:$C$1668,$C823)*($F823-1)^3))*IF($F823&lt;Points!$H$4,Points!$H$5,1),0)))</f>
        <v/>
      </c>
      <c r="H823" s="11">
        <f>IF($G823="","",COUNTIFS($B$5:$B$1668,$B823,$G$5:$G$1668,"&gt;"&amp;$G823)+COUNTIFS($B$4:$B822,$B823,$G$4:$G822,$G823)+1)</f>
        <v/>
      </c>
      <c r="I823" s="11">
        <f>IF($G823="","",IF($H823&lt;=Points!$H$6,$G823,0))</f>
        <v/>
      </c>
      <c r="J823" s="11">
        <f>IF($B823="","",IF(COUNTIF(Players!$A$2:$A$500,$B823)=0,"Player is not on the Players tab",IF(NOT(ISNUMBER($C823)),"Enter a gross score",IF(COUNTIFS($A$5:$A$1668,$A823,$B$5:$B$1668,$B823)&gt;1,"Player is listed twice this week",IF(AND($D823&lt;&gt;"",COUNTIFS($A$5:$A$1668,$A823,$D$5:$D$1668,$D823)&gt;1),"Two players picked as "&amp;$D823,IF(COUNTIFS($A$5:$A$1668,$A823,$D$5:$D$1668,"Gross winner")=0,"Pick this week's gross winner",IF(COUNTIFS($A$5:$A$1668,$A823,$D$5:$D$1668,"Net winner")=0,"Pick this week's net winner","OK")))))))</f>
        <v/>
      </c>
    </row>
    <row r="824" outlineLevel="1">
      <c r="A824" s="13" t="n">
        <v>46568</v>
      </c>
      <c r="E824" s="11">
        <f>IF(OR($B824="",NOT(ISNUMBER($C824))),"",COUNTIFS($A$5:$A$1668,$A824,$C$5:$C$1668,"&lt;"&amp;$C824)+1)</f>
        <v/>
      </c>
      <c r="F824" s="11">
        <f>IF(OR($B824="",NOT(ISNUMBER($C824))),"",COUNTIFS($A$5:$A$1668,$A824,$C$5:$C$1668,"&gt;0"))</f>
        <v/>
      </c>
      <c r="G824" s="11">
        <f>IF(OR($B824="",NOT(ISNUMBER($C824))),"",IF($D824&lt;&gt;"",ROUND(Points!$B$6*IF($F824&lt;Points!$H$4,Points!$H$5,1),0),ROUND(Points!$B$6*IF($F824&lt;=1,1,Points!$H$7+(1-Points!$H$7)*((($F824-$E824)*(($F824-$E824)+1)/2)^2-((($F824-$E824-COUNTIFS($A$5:$A$1668,$A824,$C$5:$C$1668,$C824)+1)-1)*($F824-$E824-COUNTIFS($A$5:$A$1668,$A824,$C$5:$C$1668,$C824)+1)/2)^2)/(COUNTIFS($A$5:$A$1668,$A824,$C$5:$C$1668,$C824)*($F824-1)^3))*IF($F824&lt;Points!$H$4,Points!$H$5,1),0)))</f>
        <v/>
      </c>
      <c r="H824" s="11">
        <f>IF($G824="","",COUNTIFS($B$5:$B$1668,$B824,$G$5:$G$1668,"&gt;"&amp;$G824)+COUNTIFS($B$4:$B823,$B824,$G$4:$G823,$G824)+1)</f>
        <v/>
      </c>
      <c r="I824" s="11">
        <f>IF($G824="","",IF($H824&lt;=Points!$H$6,$G824,0))</f>
        <v/>
      </c>
      <c r="J824" s="11">
        <f>IF($B824="","",IF(COUNTIF(Players!$A$2:$A$500,$B824)=0,"Player is not on the Players tab",IF(NOT(ISNUMBER($C824)),"Enter a gross score",IF(COUNTIFS($A$5:$A$1668,$A824,$B$5:$B$1668,$B824)&gt;1,"Player is listed twice this week",IF(AND($D824&lt;&gt;"",COUNTIFS($A$5:$A$1668,$A824,$D$5:$D$1668,$D824)&gt;1),"Two players picked as "&amp;$D824,IF(COUNTIFS($A$5:$A$1668,$A824,$D$5:$D$1668,"Gross winner")=0,"Pick this week's gross winner",IF(COUNTIFS($A$5:$A$1668,$A824,$D$5:$D$1668,"Net winner")=0,"Pick this week's net winner","OK")))))))</f>
        <v/>
      </c>
    </row>
    <row r="825" outlineLevel="1">
      <c r="A825" s="13" t="n">
        <v>46568</v>
      </c>
      <c r="E825" s="11">
        <f>IF(OR($B825="",NOT(ISNUMBER($C825))),"",COUNTIFS($A$5:$A$1668,$A825,$C$5:$C$1668,"&lt;"&amp;$C825)+1)</f>
        <v/>
      </c>
      <c r="F825" s="11">
        <f>IF(OR($B825="",NOT(ISNUMBER($C825))),"",COUNTIFS($A$5:$A$1668,$A825,$C$5:$C$1668,"&gt;0"))</f>
        <v/>
      </c>
      <c r="G825" s="11">
        <f>IF(OR($B825="",NOT(ISNUMBER($C825))),"",IF($D825&lt;&gt;"",ROUND(Points!$B$6*IF($F825&lt;Points!$H$4,Points!$H$5,1),0),ROUND(Points!$B$6*IF($F825&lt;=1,1,Points!$H$7+(1-Points!$H$7)*((($F825-$E825)*(($F825-$E825)+1)/2)^2-((($F825-$E825-COUNTIFS($A$5:$A$1668,$A825,$C$5:$C$1668,$C825)+1)-1)*($F825-$E825-COUNTIFS($A$5:$A$1668,$A825,$C$5:$C$1668,$C825)+1)/2)^2)/(COUNTIFS($A$5:$A$1668,$A825,$C$5:$C$1668,$C825)*($F825-1)^3))*IF($F825&lt;Points!$H$4,Points!$H$5,1),0)))</f>
        <v/>
      </c>
      <c r="H825" s="11">
        <f>IF($G825="","",COUNTIFS($B$5:$B$1668,$B825,$G$5:$G$1668,"&gt;"&amp;$G825)+COUNTIFS($B$4:$B824,$B825,$G$4:$G824,$G825)+1)</f>
        <v/>
      </c>
      <c r="I825" s="11">
        <f>IF($G825="","",IF($H825&lt;=Points!$H$6,$G825,0))</f>
        <v/>
      </c>
      <c r="J825" s="11">
        <f>IF($B825="","",IF(COUNTIF(Players!$A$2:$A$500,$B825)=0,"Player is not on the Players tab",IF(NOT(ISNUMBER($C825)),"Enter a gross score",IF(COUNTIFS($A$5:$A$1668,$A825,$B$5:$B$1668,$B825)&gt;1,"Player is listed twice this week",IF(AND($D825&lt;&gt;"",COUNTIFS($A$5:$A$1668,$A825,$D$5:$D$1668,$D825)&gt;1),"Two players picked as "&amp;$D825,IF(COUNTIFS($A$5:$A$1668,$A825,$D$5:$D$1668,"Gross winner")=0,"Pick this week's gross winner",IF(COUNTIFS($A$5:$A$1668,$A825,$D$5:$D$1668,"Net winner")=0,"Pick this week's net winner","OK")))))))</f>
        <v/>
      </c>
    </row>
    <row r="826" outlineLevel="1">
      <c r="A826" s="13" t="n">
        <v>46568</v>
      </c>
      <c r="E826" s="11">
        <f>IF(OR($B826="",NOT(ISNUMBER($C826))),"",COUNTIFS($A$5:$A$1668,$A826,$C$5:$C$1668,"&lt;"&amp;$C826)+1)</f>
        <v/>
      </c>
      <c r="F826" s="11">
        <f>IF(OR($B826="",NOT(ISNUMBER($C826))),"",COUNTIFS($A$5:$A$1668,$A826,$C$5:$C$1668,"&gt;0"))</f>
        <v/>
      </c>
      <c r="G826" s="11">
        <f>IF(OR($B826="",NOT(ISNUMBER($C826))),"",IF($D826&lt;&gt;"",ROUND(Points!$B$6*IF($F826&lt;Points!$H$4,Points!$H$5,1),0),ROUND(Points!$B$6*IF($F826&lt;=1,1,Points!$H$7+(1-Points!$H$7)*((($F826-$E826)*(($F826-$E826)+1)/2)^2-((($F826-$E826-COUNTIFS($A$5:$A$1668,$A826,$C$5:$C$1668,$C826)+1)-1)*($F826-$E826-COUNTIFS($A$5:$A$1668,$A826,$C$5:$C$1668,$C826)+1)/2)^2)/(COUNTIFS($A$5:$A$1668,$A826,$C$5:$C$1668,$C826)*($F826-1)^3))*IF($F826&lt;Points!$H$4,Points!$H$5,1),0)))</f>
        <v/>
      </c>
      <c r="H826" s="11">
        <f>IF($G826="","",COUNTIFS($B$5:$B$1668,$B826,$G$5:$G$1668,"&gt;"&amp;$G826)+COUNTIFS($B$4:$B825,$B826,$G$4:$G825,$G826)+1)</f>
        <v/>
      </c>
      <c r="I826" s="11">
        <f>IF($G826="","",IF($H826&lt;=Points!$H$6,$G826,0))</f>
        <v/>
      </c>
      <c r="J826" s="11">
        <f>IF($B826="","",IF(COUNTIF(Players!$A$2:$A$500,$B826)=0,"Player is not on the Players tab",IF(NOT(ISNUMBER($C826)),"Enter a gross score",IF(COUNTIFS($A$5:$A$1668,$A826,$B$5:$B$1668,$B826)&gt;1,"Player is listed twice this week",IF(AND($D826&lt;&gt;"",COUNTIFS($A$5:$A$1668,$A826,$D$5:$D$1668,$D826)&gt;1),"Two players picked as "&amp;$D826,IF(COUNTIFS($A$5:$A$1668,$A826,$D$5:$D$1668,"Gross winner")=0,"Pick this week's gross winner",IF(COUNTIFS($A$5:$A$1668,$A826,$D$5:$D$1668,"Net winner")=0,"Pick this week's net winner","OK")))))))</f>
        <v/>
      </c>
    </row>
    <row r="827" outlineLevel="1">
      <c r="A827" s="13" t="n">
        <v>46568</v>
      </c>
      <c r="E827" s="11">
        <f>IF(OR($B827="",NOT(ISNUMBER($C827))),"",COUNTIFS($A$5:$A$1668,$A827,$C$5:$C$1668,"&lt;"&amp;$C827)+1)</f>
        <v/>
      </c>
      <c r="F827" s="11">
        <f>IF(OR($B827="",NOT(ISNUMBER($C827))),"",COUNTIFS($A$5:$A$1668,$A827,$C$5:$C$1668,"&gt;0"))</f>
        <v/>
      </c>
      <c r="G827" s="11">
        <f>IF(OR($B827="",NOT(ISNUMBER($C827))),"",IF($D827&lt;&gt;"",ROUND(Points!$B$6*IF($F827&lt;Points!$H$4,Points!$H$5,1),0),ROUND(Points!$B$6*IF($F827&lt;=1,1,Points!$H$7+(1-Points!$H$7)*((($F827-$E827)*(($F827-$E827)+1)/2)^2-((($F827-$E827-COUNTIFS($A$5:$A$1668,$A827,$C$5:$C$1668,$C827)+1)-1)*($F827-$E827-COUNTIFS($A$5:$A$1668,$A827,$C$5:$C$1668,$C827)+1)/2)^2)/(COUNTIFS($A$5:$A$1668,$A827,$C$5:$C$1668,$C827)*($F827-1)^3))*IF($F827&lt;Points!$H$4,Points!$H$5,1),0)))</f>
        <v/>
      </c>
      <c r="H827" s="11">
        <f>IF($G827="","",COUNTIFS($B$5:$B$1668,$B827,$G$5:$G$1668,"&gt;"&amp;$G827)+COUNTIFS($B$4:$B826,$B827,$G$4:$G826,$G827)+1)</f>
        <v/>
      </c>
      <c r="I827" s="11">
        <f>IF($G827="","",IF($H827&lt;=Points!$H$6,$G827,0))</f>
        <v/>
      </c>
      <c r="J827" s="11">
        <f>IF($B827="","",IF(COUNTIF(Players!$A$2:$A$500,$B827)=0,"Player is not on the Players tab",IF(NOT(ISNUMBER($C827)),"Enter a gross score",IF(COUNTIFS($A$5:$A$1668,$A827,$B$5:$B$1668,$B827)&gt;1,"Player is listed twice this week",IF(AND($D827&lt;&gt;"",COUNTIFS($A$5:$A$1668,$A827,$D$5:$D$1668,$D827)&gt;1),"Two players picked as "&amp;$D827,IF(COUNTIFS($A$5:$A$1668,$A827,$D$5:$D$1668,"Gross winner")=0,"Pick this week's gross winner",IF(COUNTIFS($A$5:$A$1668,$A827,$D$5:$D$1668,"Net winner")=0,"Pick this week's net winner","OK")))))))</f>
        <v/>
      </c>
    </row>
    <row r="828" outlineLevel="1">
      <c r="A828" s="13" t="n">
        <v>46568</v>
      </c>
      <c r="E828" s="11">
        <f>IF(OR($B828="",NOT(ISNUMBER($C828))),"",COUNTIFS($A$5:$A$1668,$A828,$C$5:$C$1668,"&lt;"&amp;$C828)+1)</f>
        <v/>
      </c>
      <c r="F828" s="11">
        <f>IF(OR($B828="",NOT(ISNUMBER($C828))),"",COUNTIFS($A$5:$A$1668,$A828,$C$5:$C$1668,"&gt;0"))</f>
        <v/>
      </c>
      <c r="G828" s="11">
        <f>IF(OR($B828="",NOT(ISNUMBER($C828))),"",IF($D828&lt;&gt;"",ROUND(Points!$B$6*IF($F828&lt;Points!$H$4,Points!$H$5,1),0),ROUND(Points!$B$6*IF($F828&lt;=1,1,Points!$H$7+(1-Points!$H$7)*((($F828-$E828)*(($F828-$E828)+1)/2)^2-((($F828-$E828-COUNTIFS($A$5:$A$1668,$A828,$C$5:$C$1668,$C828)+1)-1)*($F828-$E828-COUNTIFS($A$5:$A$1668,$A828,$C$5:$C$1668,$C828)+1)/2)^2)/(COUNTIFS($A$5:$A$1668,$A828,$C$5:$C$1668,$C828)*($F828-1)^3))*IF($F828&lt;Points!$H$4,Points!$H$5,1),0)))</f>
        <v/>
      </c>
      <c r="H828" s="11">
        <f>IF($G828="","",COUNTIFS($B$5:$B$1668,$B828,$G$5:$G$1668,"&gt;"&amp;$G828)+COUNTIFS($B$4:$B827,$B828,$G$4:$G827,$G828)+1)</f>
        <v/>
      </c>
      <c r="I828" s="11">
        <f>IF($G828="","",IF($H828&lt;=Points!$H$6,$G828,0))</f>
        <v/>
      </c>
      <c r="J828" s="11">
        <f>IF($B828="","",IF(COUNTIF(Players!$A$2:$A$500,$B828)=0,"Player is not on the Players tab",IF(NOT(ISNUMBER($C828)),"Enter a gross score",IF(COUNTIFS($A$5:$A$1668,$A828,$B$5:$B$1668,$B828)&gt;1,"Player is listed twice this week",IF(AND($D828&lt;&gt;"",COUNTIFS($A$5:$A$1668,$A828,$D$5:$D$1668,$D828)&gt;1),"Two players picked as "&amp;$D828,IF(COUNTIFS($A$5:$A$1668,$A828,$D$5:$D$1668,"Gross winner")=0,"Pick this week's gross winner",IF(COUNTIFS($A$5:$A$1668,$A828,$D$5:$D$1668,"Net winner")=0,"Pick this week's net winner","OK")))))))</f>
        <v/>
      </c>
    </row>
    <row r="829" outlineLevel="1">
      <c r="A829" s="13" t="n">
        <v>46568</v>
      </c>
      <c r="E829" s="11">
        <f>IF(OR($B829="",NOT(ISNUMBER($C829))),"",COUNTIFS($A$5:$A$1668,$A829,$C$5:$C$1668,"&lt;"&amp;$C829)+1)</f>
        <v/>
      </c>
      <c r="F829" s="11">
        <f>IF(OR($B829="",NOT(ISNUMBER($C829))),"",COUNTIFS($A$5:$A$1668,$A829,$C$5:$C$1668,"&gt;0"))</f>
        <v/>
      </c>
      <c r="G829" s="11">
        <f>IF(OR($B829="",NOT(ISNUMBER($C829))),"",IF($D829&lt;&gt;"",ROUND(Points!$B$6*IF($F829&lt;Points!$H$4,Points!$H$5,1),0),ROUND(Points!$B$6*IF($F829&lt;=1,1,Points!$H$7+(1-Points!$H$7)*((($F829-$E829)*(($F829-$E829)+1)/2)^2-((($F829-$E829-COUNTIFS($A$5:$A$1668,$A829,$C$5:$C$1668,$C829)+1)-1)*($F829-$E829-COUNTIFS($A$5:$A$1668,$A829,$C$5:$C$1668,$C829)+1)/2)^2)/(COUNTIFS($A$5:$A$1668,$A829,$C$5:$C$1668,$C829)*($F829-1)^3))*IF($F829&lt;Points!$H$4,Points!$H$5,1),0)))</f>
        <v/>
      </c>
      <c r="H829" s="11">
        <f>IF($G829="","",COUNTIFS($B$5:$B$1668,$B829,$G$5:$G$1668,"&gt;"&amp;$G829)+COUNTIFS($B$4:$B828,$B829,$G$4:$G828,$G829)+1)</f>
        <v/>
      </c>
      <c r="I829" s="11">
        <f>IF($G829="","",IF($H829&lt;=Points!$H$6,$G829,0))</f>
        <v/>
      </c>
      <c r="J829" s="11">
        <f>IF($B829="","",IF(COUNTIF(Players!$A$2:$A$500,$B829)=0,"Player is not on the Players tab",IF(NOT(ISNUMBER($C829)),"Enter a gross score",IF(COUNTIFS($A$5:$A$1668,$A829,$B$5:$B$1668,$B829)&gt;1,"Player is listed twice this week",IF(AND($D829&lt;&gt;"",COUNTIFS($A$5:$A$1668,$A829,$D$5:$D$1668,$D829)&gt;1),"Two players picked as "&amp;$D829,IF(COUNTIFS($A$5:$A$1668,$A829,$D$5:$D$1668,"Gross winner")=0,"Pick this week's gross winner",IF(COUNTIFS($A$5:$A$1668,$A829,$D$5:$D$1668,"Net winner")=0,"Pick this week's net winner","OK")))))))</f>
        <v/>
      </c>
    </row>
    <row r="830" outlineLevel="1">
      <c r="A830" s="13" t="n">
        <v>46568</v>
      </c>
      <c r="E830" s="11">
        <f>IF(OR($B830="",NOT(ISNUMBER($C830))),"",COUNTIFS($A$5:$A$1668,$A830,$C$5:$C$1668,"&lt;"&amp;$C830)+1)</f>
        <v/>
      </c>
      <c r="F830" s="11">
        <f>IF(OR($B830="",NOT(ISNUMBER($C830))),"",COUNTIFS($A$5:$A$1668,$A830,$C$5:$C$1668,"&gt;0"))</f>
        <v/>
      </c>
      <c r="G830" s="11">
        <f>IF(OR($B830="",NOT(ISNUMBER($C830))),"",IF($D830&lt;&gt;"",ROUND(Points!$B$6*IF($F830&lt;Points!$H$4,Points!$H$5,1),0),ROUND(Points!$B$6*IF($F830&lt;=1,1,Points!$H$7+(1-Points!$H$7)*((($F830-$E830)*(($F830-$E830)+1)/2)^2-((($F830-$E830-COUNTIFS($A$5:$A$1668,$A830,$C$5:$C$1668,$C830)+1)-1)*($F830-$E830-COUNTIFS($A$5:$A$1668,$A830,$C$5:$C$1668,$C830)+1)/2)^2)/(COUNTIFS($A$5:$A$1668,$A830,$C$5:$C$1668,$C830)*($F830-1)^3))*IF($F830&lt;Points!$H$4,Points!$H$5,1),0)))</f>
        <v/>
      </c>
      <c r="H830" s="11">
        <f>IF($G830="","",COUNTIFS($B$5:$B$1668,$B830,$G$5:$G$1668,"&gt;"&amp;$G830)+COUNTIFS($B$4:$B829,$B830,$G$4:$G829,$G830)+1)</f>
        <v/>
      </c>
      <c r="I830" s="11">
        <f>IF($G830="","",IF($H830&lt;=Points!$H$6,$G830,0))</f>
        <v/>
      </c>
      <c r="J830" s="11">
        <f>IF($B830="","",IF(COUNTIF(Players!$A$2:$A$500,$B830)=0,"Player is not on the Players tab",IF(NOT(ISNUMBER($C830)),"Enter a gross score",IF(COUNTIFS($A$5:$A$1668,$A830,$B$5:$B$1668,$B830)&gt;1,"Player is listed twice this week",IF(AND($D830&lt;&gt;"",COUNTIFS($A$5:$A$1668,$A830,$D$5:$D$1668,$D830)&gt;1),"Two players picked as "&amp;$D830,IF(COUNTIFS($A$5:$A$1668,$A830,$D$5:$D$1668,"Gross winner")=0,"Pick this week's gross winner",IF(COUNTIFS($A$5:$A$1668,$A830,$D$5:$D$1668,"Net winner")=0,"Pick this week's net winner","OK")))))))</f>
        <v/>
      </c>
    </row>
    <row r="831" outlineLevel="1">
      <c r="A831" s="13" t="n">
        <v>46568</v>
      </c>
      <c r="E831" s="11">
        <f>IF(OR($B831="",NOT(ISNUMBER($C831))),"",COUNTIFS($A$5:$A$1668,$A831,$C$5:$C$1668,"&lt;"&amp;$C831)+1)</f>
        <v/>
      </c>
      <c r="F831" s="11">
        <f>IF(OR($B831="",NOT(ISNUMBER($C831))),"",COUNTIFS($A$5:$A$1668,$A831,$C$5:$C$1668,"&gt;0"))</f>
        <v/>
      </c>
      <c r="G831" s="11">
        <f>IF(OR($B831="",NOT(ISNUMBER($C831))),"",IF($D831&lt;&gt;"",ROUND(Points!$B$6*IF($F831&lt;Points!$H$4,Points!$H$5,1),0),ROUND(Points!$B$6*IF($F831&lt;=1,1,Points!$H$7+(1-Points!$H$7)*((($F831-$E831)*(($F831-$E831)+1)/2)^2-((($F831-$E831-COUNTIFS($A$5:$A$1668,$A831,$C$5:$C$1668,$C831)+1)-1)*($F831-$E831-COUNTIFS($A$5:$A$1668,$A831,$C$5:$C$1668,$C831)+1)/2)^2)/(COUNTIFS($A$5:$A$1668,$A831,$C$5:$C$1668,$C831)*($F831-1)^3))*IF($F831&lt;Points!$H$4,Points!$H$5,1),0)))</f>
        <v/>
      </c>
      <c r="H831" s="11">
        <f>IF($G831="","",COUNTIFS($B$5:$B$1668,$B831,$G$5:$G$1668,"&gt;"&amp;$G831)+COUNTIFS($B$4:$B830,$B831,$G$4:$G830,$G831)+1)</f>
        <v/>
      </c>
      <c r="I831" s="11">
        <f>IF($G831="","",IF($H831&lt;=Points!$H$6,$G831,0))</f>
        <v/>
      </c>
      <c r="J831" s="11">
        <f>IF($B831="","",IF(COUNTIF(Players!$A$2:$A$500,$B831)=0,"Player is not on the Players tab",IF(NOT(ISNUMBER($C831)),"Enter a gross score",IF(COUNTIFS($A$5:$A$1668,$A831,$B$5:$B$1668,$B831)&gt;1,"Player is listed twice this week",IF(AND($D831&lt;&gt;"",COUNTIFS($A$5:$A$1668,$A831,$D$5:$D$1668,$D831)&gt;1),"Two players picked as "&amp;$D831,IF(COUNTIFS($A$5:$A$1668,$A831,$D$5:$D$1668,"Gross winner")=0,"Pick this week's gross winner",IF(COUNTIFS($A$5:$A$1668,$A831,$D$5:$D$1668,"Net winner")=0,"Pick this week's net winner","OK")))))))</f>
        <v/>
      </c>
    </row>
    <row r="832" outlineLevel="1">
      <c r="A832" s="13" t="n">
        <v>46568</v>
      </c>
      <c r="E832" s="11">
        <f>IF(OR($B832="",NOT(ISNUMBER($C832))),"",COUNTIFS($A$5:$A$1668,$A832,$C$5:$C$1668,"&lt;"&amp;$C832)+1)</f>
        <v/>
      </c>
      <c r="F832" s="11">
        <f>IF(OR($B832="",NOT(ISNUMBER($C832))),"",COUNTIFS($A$5:$A$1668,$A832,$C$5:$C$1668,"&gt;0"))</f>
        <v/>
      </c>
      <c r="G832" s="11">
        <f>IF(OR($B832="",NOT(ISNUMBER($C832))),"",IF($D832&lt;&gt;"",ROUND(Points!$B$6*IF($F832&lt;Points!$H$4,Points!$H$5,1),0),ROUND(Points!$B$6*IF($F832&lt;=1,1,Points!$H$7+(1-Points!$H$7)*((($F832-$E832)*(($F832-$E832)+1)/2)^2-((($F832-$E832-COUNTIFS($A$5:$A$1668,$A832,$C$5:$C$1668,$C832)+1)-1)*($F832-$E832-COUNTIFS($A$5:$A$1668,$A832,$C$5:$C$1668,$C832)+1)/2)^2)/(COUNTIFS($A$5:$A$1668,$A832,$C$5:$C$1668,$C832)*($F832-1)^3))*IF($F832&lt;Points!$H$4,Points!$H$5,1),0)))</f>
        <v/>
      </c>
      <c r="H832" s="11">
        <f>IF($G832="","",COUNTIFS($B$5:$B$1668,$B832,$G$5:$G$1668,"&gt;"&amp;$G832)+COUNTIFS($B$4:$B831,$B832,$G$4:$G831,$G832)+1)</f>
        <v/>
      </c>
      <c r="I832" s="11">
        <f>IF($G832="","",IF($H832&lt;=Points!$H$6,$G832,0))</f>
        <v/>
      </c>
      <c r="J832" s="11">
        <f>IF($B832="","",IF(COUNTIF(Players!$A$2:$A$500,$B832)=0,"Player is not on the Players tab",IF(NOT(ISNUMBER($C832)),"Enter a gross score",IF(COUNTIFS($A$5:$A$1668,$A832,$B$5:$B$1668,$B832)&gt;1,"Player is listed twice this week",IF(AND($D832&lt;&gt;"",COUNTIFS($A$5:$A$1668,$A832,$D$5:$D$1668,$D832)&gt;1),"Two players picked as "&amp;$D832,IF(COUNTIFS($A$5:$A$1668,$A832,$D$5:$D$1668,"Gross winner")=0,"Pick this week's gross winner",IF(COUNTIFS($A$5:$A$1668,$A832,$D$5:$D$1668,"Net winner")=0,"Pick this week's net winner","OK")))))))</f>
        <v/>
      </c>
    </row>
    <row r="833" outlineLevel="1">
      <c r="A833" s="13" t="n">
        <v>46568</v>
      </c>
      <c r="E833" s="11">
        <f>IF(OR($B833="",NOT(ISNUMBER($C833))),"",COUNTIFS($A$5:$A$1668,$A833,$C$5:$C$1668,"&lt;"&amp;$C833)+1)</f>
        <v/>
      </c>
      <c r="F833" s="11">
        <f>IF(OR($B833="",NOT(ISNUMBER($C833))),"",COUNTIFS($A$5:$A$1668,$A833,$C$5:$C$1668,"&gt;0"))</f>
        <v/>
      </c>
      <c r="G833" s="11">
        <f>IF(OR($B833="",NOT(ISNUMBER($C833))),"",IF($D833&lt;&gt;"",ROUND(Points!$B$6*IF($F833&lt;Points!$H$4,Points!$H$5,1),0),ROUND(Points!$B$6*IF($F833&lt;=1,1,Points!$H$7+(1-Points!$H$7)*((($F833-$E833)*(($F833-$E833)+1)/2)^2-((($F833-$E833-COUNTIFS($A$5:$A$1668,$A833,$C$5:$C$1668,$C833)+1)-1)*($F833-$E833-COUNTIFS($A$5:$A$1668,$A833,$C$5:$C$1668,$C833)+1)/2)^2)/(COUNTIFS($A$5:$A$1668,$A833,$C$5:$C$1668,$C833)*($F833-1)^3))*IF($F833&lt;Points!$H$4,Points!$H$5,1),0)))</f>
        <v/>
      </c>
      <c r="H833" s="11">
        <f>IF($G833="","",COUNTIFS($B$5:$B$1668,$B833,$G$5:$G$1668,"&gt;"&amp;$G833)+COUNTIFS($B$4:$B832,$B833,$G$4:$G832,$G833)+1)</f>
        <v/>
      </c>
      <c r="I833" s="11">
        <f>IF($G833="","",IF($H833&lt;=Points!$H$6,$G833,0))</f>
        <v/>
      </c>
      <c r="J833" s="11">
        <f>IF($B833="","",IF(COUNTIF(Players!$A$2:$A$500,$B833)=0,"Player is not on the Players tab",IF(NOT(ISNUMBER($C833)),"Enter a gross score",IF(COUNTIFS($A$5:$A$1668,$A833,$B$5:$B$1668,$B833)&gt;1,"Player is listed twice this week",IF(AND($D833&lt;&gt;"",COUNTIFS($A$5:$A$1668,$A833,$D$5:$D$1668,$D833)&gt;1),"Two players picked as "&amp;$D833,IF(COUNTIFS($A$5:$A$1668,$A833,$D$5:$D$1668,"Gross winner")=0,"Pick this week's gross winner",IF(COUNTIFS($A$5:$A$1668,$A833,$D$5:$D$1668,"Net winner")=0,"Pick this week's net winner","OK")))))))</f>
        <v/>
      </c>
    </row>
    <row r="834" outlineLevel="1">
      <c r="A834" s="13" t="n">
        <v>46568</v>
      </c>
      <c r="E834" s="11">
        <f>IF(OR($B834="",NOT(ISNUMBER($C834))),"",COUNTIFS($A$5:$A$1668,$A834,$C$5:$C$1668,"&lt;"&amp;$C834)+1)</f>
        <v/>
      </c>
      <c r="F834" s="11">
        <f>IF(OR($B834="",NOT(ISNUMBER($C834))),"",COUNTIFS($A$5:$A$1668,$A834,$C$5:$C$1668,"&gt;0"))</f>
        <v/>
      </c>
      <c r="G834" s="11">
        <f>IF(OR($B834="",NOT(ISNUMBER($C834))),"",IF($D834&lt;&gt;"",ROUND(Points!$B$6*IF($F834&lt;Points!$H$4,Points!$H$5,1),0),ROUND(Points!$B$6*IF($F834&lt;=1,1,Points!$H$7+(1-Points!$H$7)*((($F834-$E834)*(($F834-$E834)+1)/2)^2-((($F834-$E834-COUNTIFS($A$5:$A$1668,$A834,$C$5:$C$1668,$C834)+1)-1)*($F834-$E834-COUNTIFS($A$5:$A$1668,$A834,$C$5:$C$1668,$C834)+1)/2)^2)/(COUNTIFS($A$5:$A$1668,$A834,$C$5:$C$1668,$C834)*($F834-1)^3))*IF($F834&lt;Points!$H$4,Points!$H$5,1),0)))</f>
        <v/>
      </c>
      <c r="H834" s="11">
        <f>IF($G834="","",COUNTIFS($B$5:$B$1668,$B834,$G$5:$G$1668,"&gt;"&amp;$G834)+COUNTIFS($B$4:$B833,$B834,$G$4:$G833,$G834)+1)</f>
        <v/>
      </c>
      <c r="I834" s="11">
        <f>IF($G834="","",IF($H834&lt;=Points!$H$6,$G834,0))</f>
        <v/>
      </c>
      <c r="J834" s="11">
        <f>IF($B834="","",IF(COUNTIF(Players!$A$2:$A$500,$B834)=0,"Player is not on the Players tab",IF(NOT(ISNUMBER($C834)),"Enter a gross score",IF(COUNTIFS($A$5:$A$1668,$A834,$B$5:$B$1668,$B834)&gt;1,"Player is listed twice this week",IF(AND($D834&lt;&gt;"",COUNTIFS($A$5:$A$1668,$A834,$D$5:$D$1668,$D834)&gt;1),"Two players picked as "&amp;$D834,IF(COUNTIFS($A$5:$A$1668,$A834,$D$5:$D$1668,"Gross winner")=0,"Pick this week's gross winner",IF(COUNTIFS($A$5:$A$1668,$A834,$D$5:$D$1668,"Net winner")=0,"Pick this week's net winner","OK")))))))</f>
        <v/>
      </c>
    </row>
    <row r="835" outlineLevel="1">
      <c r="A835" s="13" t="n">
        <v>46568</v>
      </c>
      <c r="E835" s="11">
        <f>IF(OR($B835="",NOT(ISNUMBER($C835))),"",COUNTIFS($A$5:$A$1668,$A835,$C$5:$C$1668,"&lt;"&amp;$C835)+1)</f>
        <v/>
      </c>
      <c r="F835" s="11">
        <f>IF(OR($B835="",NOT(ISNUMBER($C835))),"",COUNTIFS($A$5:$A$1668,$A835,$C$5:$C$1668,"&gt;0"))</f>
        <v/>
      </c>
      <c r="G835" s="11">
        <f>IF(OR($B835="",NOT(ISNUMBER($C835))),"",IF($D835&lt;&gt;"",ROUND(Points!$B$6*IF($F835&lt;Points!$H$4,Points!$H$5,1),0),ROUND(Points!$B$6*IF($F835&lt;=1,1,Points!$H$7+(1-Points!$H$7)*((($F835-$E835)*(($F835-$E835)+1)/2)^2-((($F835-$E835-COUNTIFS($A$5:$A$1668,$A835,$C$5:$C$1668,$C835)+1)-1)*($F835-$E835-COUNTIFS($A$5:$A$1668,$A835,$C$5:$C$1668,$C835)+1)/2)^2)/(COUNTIFS($A$5:$A$1668,$A835,$C$5:$C$1668,$C835)*($F835-1)^3))*IF($F835&lt;Points!$H$4,Points!$H$5,1),0)))</f>
        <v/>
      </c>
      <c r="H835" s="11">
        <f>IF($G835="","",COUNTIFS($B$5:$B$1668,$B835,$G$5:$G$1668,"&gt;"&amp;$G835)+COUNTIFS($B$4:$B834,$B835,$G$4:$G834,$G835)+1)</f>
        <v/>
      </c>
      <c r="I835" s="11">
        <f>IF($G835="","",IF($H835&lt;=Points!$H$6,$G835,0))</f>
        <v/>
      </c>
      <c r="J835" s="11">
        <f>IF($B835="","",IF(COUNTIF(Players!$A$2:$A$500,$B835)=0,"Player is not on the Players tab",IF(NOT(ISNUMBER($C835)),"Enter a gross score",IF(COUNTIFS($A$5:$A$1668,$A835,$B$5:$B$1668,$B835)&gt;1,"Player is listed twice this week",IF(AND($D835&lt;&gt;"",COUNTIFS($A$5:$A$1668,$A835,$D$5:$D$1668,$D835)&gt;1),"Two players picked as "&amp;$D835,IF(COUNTIFS($A$5:$A$1668,$A835,$D$5:$D$1668,"Gross winner")=0,"Pick this week's gross winner",IF(COUNTIFS($A$5:$A$1668,$A835,$D$5:$D$1668,"Net winner")=0,"Pick this week's net winner","OK")))))))</f>
        <v/>
      </c>
    </row>
    <row r="836" ht="10" customHeight="1"/>
    <row r="837" ht="22" customHeight="1">
      <c r="A837" s="12" t="inlineStr">
        <is>
          <t>Week 27  ·  Wednesday, Jul 7</t>
        </is>
      </c>
    </row>
    <row r="838" outlineLevel="1">
      <c r="A838" s="13" t="n">
        <v>46575</v>
      </c>
      <c r="E838" s="11">
        <f>IF(OR($B838="",NOT(ISNUMBER($C838))),"",COUNTIFS($A$5:$A$1668,$A838,$C$5:$C$1668,"&lt;"&amp;$C838)+1)</f>
        <v/>
      </c>
      <c r="F838" s="11">
        <f>IF(OR($B838="",NOT(ISNUMBER($C838))),"",COUNTIFS($A$5:$A$1668,$A838,$C$5:$C$1668,"&gt;0"))</f>
        <v/>
      </c>
      <c r="G838" s="11">
        <f>IF(OR($B838="",NOT(ISNUMBER($C838))),"",IF($D838&lt;&gt;"",ROUND(Points!$B$6*IF($F838&lt;Points!$H$4,Points!$H$5,1),0),ROUND(Points!$B$6*IF($F838&lt;=1,1,Points!$H$7+(1-Points!$H$7)*((($F838-$E838)*(($F838-$E838)+1)/2)^2-((($F838-$E838-COUNTIFS($A$5:$A$1668,$A838,$C$5:$C$1668,$C838)+1)-1)*($F838-$E838-COUNTIFS($A$5:$A$1668,$A838,$C$5:$C$1668,$C838)+1)/2)^2)/(COUNTIFS($A$5:$A$1668,$A838,$C$5:$C$1668,$C838)*($F838-1)^3))*IF($F838&lt;Points!$H$4,Points!$H$5,1),0)))</f>
        <v/>
      </c>
      <c r="H838" s="11">
        <f>IF($G838="","",COUNTIFS($B$5:$B$1668,$B838,$G$5:$G$1668,"&gt;"&amp;$G838)+COUNTIFS($B$4:$B837,$B838,$G$4:$G837,$G838)+1)</f>
        <v/>
      </c>
      <c r="I838" s="11">
        <f>IF($G838="","",IF($H838&lt;=Points!$H$6,$G838,0))</f>
        <v/>
      </c>
      <c r="J838" s="11">
        <f>IF($B838="","",IF(COUNTIF(Players!$A$2:$A$500,$B838)=0,"Player is not on the Players tab",IF(NOT(ISNUMBER($C838)),"Enter a gross score",IF(COUNTIFS($A$5:$A$1668,$A838,$B$5:$B$1668,$B838)&gt;1,"Player is listed twice this week",IF(AND($D838&lt;&gt;"",COUNTIFS($A$5:$A$1668,$A838,$D$5:$D$1668,$D838)&gt;1),"Two players picked as "&amp;$D838,IF(COUNTIFS($A$5:$A$1668,$A838,$D$5:$D$1668,"Gross winner")=0,"Pick this week's gross winner",IF(COUNTIFS($A$5:$A$1668,$A838,$D$5:$D$1668,"Net winner")=0,"Pick this week's net winner","OK")))))))</f>
        <v/>
      </c>
    </row>
    <row r="839" outlineLevel="1">
      <c r="A839" s="13" t="n">
        <v>46575</v>
      </c>
      <c r="E839" s="11">
        <f>IF(OR($B839="",NOT(ISNUMBER($C839))),"",COUNTIFS($A$5:$A$1668,$A839,$C$5:$C$1668,"&lt;"&amp;$C839)+1)</f>
        <v/>
      </c>
      <c r="F839" s="11">
        <f>IF(OR($B839="",NOT(ISNUMBER($C839))),"",COUNTIFS($A$5:$A$1668,$A839,$C$5:$C$1668,"&gt;0"))</f>
        <v/>
      </c>
      <c r="G839" s="11">
        <f>IF(OR($B839="",NOT(ISNUMBER($C839))),"",IF($D839&lt;&gt;"",ROUND(Points!$B$6*IF($F839&lt;Points!$H$4,Points!$H$5,1),0),ROUND(Points!$B$6*IF($F839&lt;=1,1,Points!$H$7+(1-Points!$H$7)*((($F839-$E839)*(($F839-$E839)+1)/2)^2-((($F839-$E839-COUNTIFS($A$5:$A$1668,$A839,$C$5:$C$1668,$C839)+1)-1)*($F839-$E839-COUNTIFS($A$5:$A$1668,$A839,$C$5:$C$1668,$C839)+1)/2)^2)/(COUNTIFS($A$5:$A$1668,$A839,$C$5:$C$1668,$C839)*($F839-1)^3))*IF($F839&lt;Points!$H$4,Points!$H$5,1),0)))</f>
        <v/>
      </c>
      <c r="H839" s="11">
        <f>IF($G839="","",COUNTIFS($B$5:$B$1668,$B839,$G$5:$G$1668,"&gt;"&amp;$G839)+COUNTIFS($B$4:$B838,$B839,$G$4:$G838,$G839)+1)</f>
        <v/>
      </c>
      <c r="I839" s="11">
        <f>IF($G839="","",IF($H839&lt;=Points!$H$6,$G839,0))</f>
        <v/>
      </c>
      <c r="J839" s="11">
        <f>IF($B839="","",IF(COUNTIF(Players!$A$2:$A$500,$B839)=0,"Player is not on the Players tab",IF(NOT(ISNUMBER($C839)),"Enter a gross score",IF(COUNTIFS($A$5:$A$1668,$A839,$B$5:$B$1668,$B839)&gt;1,"Player is listed twice this week",IF(AND($D839&lt;&gt;"",COUNTIFS($A$5:$A$1668,$A839,$D$5:$D$1668,$D839)&gt;1),"Two players picked as "&amp;$D839,IF(COUNTIFS($A$5:$A$1668,$A839,$D$5:$D$1668,"Gross winner")=0,"Pick this week's gross winner",IF(COUNTIFS($A$5:$A$1668,$A839,$D$5:$D$1668,"Net winner")=0,"Pick this week's net winner","OK")))))))</f>
        <v/>
      </c>
    </row>
    <row r="840" outlineLevel="1">
      <c r="A840" s="13" t="n">
        <v>46575</v>
      </c>
      <c r="E840" s="11">
        <f>IF(OR($B840="",NOT(ISNUMBER($C840))),"",COUNTIFS($A$5:$A$1668,$A840,$C$5:$C$1668,"&lt;"&amp;$C840)+1)</f>
        <v/>
      </c>
      <c r="F840" s="11">
        <f>IF(OR($B840="",NOT(ISNUMBER($C840))),"",COUNTIFS($A$5:$A$1668,$A840,$C$5:$C$1668,"&gt;0"))</f>
        <v/>
      </c>
      <c r="G840" s="11">
        <f>IF(OR($B840="",NOT(ISNUMBER($C840))),"",IF($D840&lt;&gt;"",ROUND(Points!$B$6*IF($F840&lt;Points!$H$4,Points!$H$5,1),0),ROUND(Points!$B$6*IF($F840&lt;=1,1,Points!$H$7+(1-Points!$H$7)*((($F840-$E840)*(($F840-$E840)+1)/2)^2-((($F840-$E840-COUNTIFS($A$5:$A$1668,$A840,$C$5:$C$1668,$C840)+1)-1)*($F840-$E840-COUNTIFS($A$5:$A$1668,$A840,$C$5:$C$1668,$C840)+1)/2)^2)/(COUNTIFS($A$5:$A$1668,$A840,$C$5:$C$1668,$C840)*($F840-1)^3))*IF($F840&lt;Points!$H$4,Points!$H$5,1),0)))</f>
        <v/>
      </c>
      <c r="H840" s="11">
        <f>IF($G840="","",COUNTIFS($B$5:$B$1668,$B840,$G$5:$G$1668,"&gt;"&amp;$G840)+COUNTIFS($B$4:$B839,$B840,$G$4:$G839,$G840)+1)</f>
        <v/>
      </c>
      <c r="I840" s="11">
        <f>IF($G840="","",IF($H840&lt;=Points!$H$6,$G840,0))</f>
        <v/>
      </c>
      <c r="J840" s="11">
        <f>IF($B840="","",IF(COUNTIF(Players!$A$2:$A$500,$B840)=0,"Player is not on the Players tab",IF(NOT(ISNUMBER($C840)),"Enter a gross score",IF(COUNTIFS($A$5:$A$1668,$A840,$B$5:$B$1668,$B840)&gt;1,"Player is listed twice this week",IF(AND($D840&lt;&gt;"",COUNTIFS($A$5:$A$1668,$A840,$D$5:$D$1668,$D840)&gt;1),"Two players picked as "&amp;$D840,IF(COUNTIFS($A$5:$A$1668,$A840,$D$5:$D$1668,"Gross winner")=0,"Pick this week's gross winner",IF(COUNTIFS($A$5:$A$1668,$A840,$D$5:$D$1668,"Net winner")=0,"Pick this week's net winner","OK")))))))</f>
        <v/>
      </c>
    </row>
    <row r="841" outlineLevel="1">
      <c r="A841" s="13" t="n">
        <v>46575</v>
      </c>
      <c r="E841" s="11">
        <f>IF(OR($B841="",NOT(ISNUMBER($C841))),"",COUNTIFS($A$5:$A$1668,$A841,$C$5:$C$1668,"&lt;"&amp;$C841)+1)</f>
        <v/>
      </c>
      <c r="F841" s="11">
        <f>IF(OR($B841="",NOT(ISNUMBER($C841))),"",COUNTIFS($A$5:$A$1668,$A841,$C$5:$C$1668,"&gt;0"))</f>
        <v/>
      </c>
      <c r="G841" s="11">
        <f>IF(OR($B841="",NOT(ISNUMBER($C841))),"",IF($D841&lt;&gt;"",ROUND(Points!$B$6*IF($F841&lt;Points!$H$4,Points!$H$5,1),0),ROUND(Points!$B$6*IF($F841&lt;=1,1,Points!$H$7+(1-Points!$H$7)*((($F841-$E841)*(($F841-$E841)+1)/2)^2-((($F841-$E841-COUNTIFS($A$5:$A$1668,$A841,$C$5:$C$1668,$C841)+1)-1)*($F841-$E841-COUNTIFS($A$5:$A$1668,$A841,$C$5:$C$1668,$C841)+1)/2)^2)/(COUNTIFS($A$5:$A$1668,$A841,$C$5:$C$1668,$C841)*($F841-1)^3))*IF($F841&lt;Points!$H$4,Points!$H$5,1),0)))</f>
        <v/>
      </c>
      <c r="H841" s="11">
        <f>IF($G841="","",COUNTIFS($B$5:$B$1668,$B841,$G$5:$G$1668,"&gt;"&amp;$G841)+COUNTIFS($B$4:$B840,$B841,$G$4:$G840,$G841)+1)</f>
        <v/>
      </c>
      <c r="I841" s="11">
        <f>IF($G841="","",IF($H841&lt;=Points!$H$6,$G841,0))</f>
        <v/>
      </c>
      <c r="J841" s="11">
        <f>IF($B841="","",IF(COUNTIF(Players!$A$2:$A$500,$B841)=0,"Player is not on the Players tab",IF(NOT(ISNUMBER($C841)),"Enter a gross score",IF(COUNTIFS($A$5:$A$1668,$A841,$B$5:$B$1668,$B841)&gt;1,"Player is listed twice this week",IF(AND($D841&lt;&gt;"",COUNTIFS($A$5:$A$1668,$A841,$D$5:$D$1668,$D841)&gt;1),"Two players picked as "&amp;$D841,IF(COUNTIFS($A$5:$A$1668,$A841,$D$5:$D$1668,"Gross winner")=0,"Pick this week's gross winner",IF(COUNTIFS($A$5:$A$1668,$A841,$D$5:$D$1668,"Net winner")=0,"Pick this week's net winner","OK")))))))</f>
        <v/>
      </c>
    </row>
    <row r="842" outlineLevel="1">
      <c r="A842" s="13" t="n">
        <v>46575</v>
      </c>
      <c r="E842" s="11">
        <f>IF(OR($B842="",NOT(ISNUMBER($C842))),"",COUNTIFS($A$5:$A$1668,$A842,$C$5:$C$1668,"&lt;"&amp;$C842)+1)</f>
        <v/>
      </c>
      <c r="F842" s="11">
        <f>IF(OR($B842="",NOT(ISNUMBER($C842))),"",COUNTIFS($A$5:$A$1668,$A842,$C$5:$C$1668,"&gt;0"))</f>
        <v/>
      </c>
      <c r="G842" s="11">
        <f>IF(OR($B842="",NOT(ISNUMBER($C842))),"",IF($D842&lt;&gt;"",ROUND(Points!$B$6*IF($F842&lt;Points!$H$4,Points!$H$5,1),0),ROUND(Points!$B$6*IF($F842&lt;=1,1,Points!$H$7+(1-Points!$H$7)*((($F842-$E842)*(($F842-$E842)+1)/2)^2-((($F842-$E842-COUNTIFS($A$5:$A$1668,$A842,$C$5:$C$1668,$C842)+1)-1)*($F842-$E842-COUNTIFS($A$5:$A$1668,$A842,$C$5:$C$1668,$C842)+1)/2)^2)/(COUNTIFS($A$5:$A$1668,$A842,$C$5:$C$1668,$C842)*($F842-1)^3))*IF($F842&lt;Points!$H$4,Points!$H$5,1),0)))</f>
        <v/>
      </c>
      <c r="H842" s="11">
        <f>IF($G842="","",COUNTIFS($B$5:$B$1668,$B842,$G$5:$G$1668,"&gt;"&amp;$G842)+COUNTIFS($B$4:$B841,$B842,$G$4:$G841,$G842)+1)</f>
        <v/>
      </c>
      <c r="I842" s="11">
        <f>IF($G842="","",IF($H842&lt;=Points!$H$6,$G842,0))</f>
        <v/>
      </c>
      <c r="J842" s="11">
        <f>IF($B842="","",IF(COUNTIF(Players!$A$2:$A$500,$B842)=0,"Player is not on the Players tab",IF(NOT(ISNUMBER($C842)),"Enter a gross score",IF(COUNTIFS($A$5:$A$1668,$A842,$B$5:$B$1668,$B842)&gt;1,"Player is listed twice this week",IF(AND($D842&lt;&gt;"",COUNTIFS($A$5:$A$1668,$A842,$D$5:$D$1668,$D842)&gt;1),"Two players picked as "&amp;$D842,IF(COUNTIFS($A$5:$A$1668,$A842,$D$5:$D$1668,"Gross winner")=0,"Pick this week's gross winner",IF(COUNTIFS($A$5:$A$1668,$A842,$D$5:$D$1668,"Net winner")=0,"Pick this week's net winner","OK")))))))</f>
        <v/>
      </c>
    </row>
    <row r="843" outlineLevel="1">
      <c r="A843" s="13" t="n">
        <v>46575</v>
      </c>
      <c r="E843" s="11">
        <f>IF(OR($B843="",NOT(ISNUMBER($C843))),"",COUNTIFS($A$5:$A$1668,$A843,$C$5:$C$1668,"&lt;"&amp;$C843)+1)</f>
        <v/>
      </c>
      <c r="F843" s="11">
        <f>IF(OR($B843="",NOT(ISNUMBER($C843))),"",COUNTIFS($A$5:$A$1668,$A843,$C$5:$C$1668,"&gt;0"))</f>
        <v/>
      </c>
      <c r="G843" s="11">
        <f>IF(OR($B843="",NOT(ISNUMBER($C843))),"",IF($D843&lt;&gt;"",ROUND(Points!$B$6*IF($F843&lt;Points!$H$4,Points!$H$5,1),0),ROUND(Points!$B$6*IF($F843&lt;=1,1,Points!$H$7+(1-Points!$H$7)*((($F843-$E843)*(($F843-$E843)+1)/2)^2-((($F843-$E843-COUNTIFS($A$5:$A$1668,$A843,$C$5:$C$1668,$C843)+1)-1)*($F843-$E843-COUNTIFS($A$5:$A$1668,$A843,$C$5:$C$1668,$C843)+1)/2)^2)/(COUNTIFS($A$5:$A$1668,$A843,$C$5:$C$1668,$C843)*($F843-1)^3))*IF($F843&lt;Points!$H$4,Points!$H$5,1),0)))</f>
        <v/>
      </c>
      <c r="H843" s="11">
        <f>IF($G843="","",COUNTIFS($B$5:$B$1668,$B843,$G$5:$G$1668,"&gt;"&amp;$G843)+COUNTIFS($B$4:$B842,$B843,$G$4:$G842,$G843)+1)</f>
        <v/>
      </c>
      <c r="I843" s="11">
        <f>IF($G843="","",IF($H843&lt;=Points!$H$6,$G843,0))</f>
        <v/>
      </c>
      <c r="J843" s="11">
        <f>IF($B843="","",IF(COUNTIF(Players!$A$2:$A$500,$B843)=0,"Player is not on the Players tab",IF(NOT(ISNUMBER($C843)),"Enter a gross score",IF(COUNTIFS($A$5:$A$1668,$A843,$B$5:$B$1668,$B843)&gt;1,"Player is listed twice this week",IF(AND($D843&lt;&gt;"",COUNTIFS($A$5:$A$1668,$A843,$D$5:$D$1668,$D843)&gt;1),"Two players picked as "&amp;$D843,IF(COUNTIFS($A$5:$A$1668,$A843,$D$5:$D$1668,"Gross winner")=0,"Pick this week's gross winner",IF(COUNTIFS($A$5:$A$1668,$A843,$D$5:$D$1668,"Net winner")=0,"Pick this week's net winner","OK")))))))</f>
        <v/>
      </c>
    </row>
    <row r="844" outlineLevel="1">
      <c r="A844" s="13" t="n">
        <v>46575</v>
      </c>
      <c r="E844" s="11">
        <f>IF(OR($B844="",NOT(ISNUMBER($C844))),"",COUNTIFS($A$5:$A$1668,$A844,$C$5:$C$1668,"&lt;"&amp;$C844)+1)</f>
        <v/>
      </c>
      <c r="F844" s="11">
        <f>IF(OR($B844="",NOT(ISNUMBER($C844))),"",COUNTIFS($A$5:$A$1668,$A844,$C$5:$C$1668,"&gt;0"))</f>
        <v/>
      </c>
      <c r="G844" s="11">
        <f>IF(OR($B844="",NOT(ISNUMBER($C844))),"",IF($D844&lt;&gt;"",ROUND(Points!$B$6*IF($F844&lt;Points!$H$4,Points!$H$5,1),0),ROUND(Points!$B$6*IF($F844&lt;=1,1,Points!$H$7+(1-Points!$H$7)*((($F844-$E844)*(($F844-$E844)+1)/2)^2-((($F844-$E844-COUNTIFS($A$5:$A$1668,$A844,$C$5:$C$1668,$C844)+1)-1)*($F844-$E844-COUNTIFS($A$5:$A$1668,$A844,$C$5:$C$1668,$C844)+1)/2)^2)/(COUNTIFS($A$5:$A$1668,$A844,$C$5:$C$1668,$C844)*($F844-1)^3))*IF($F844&lt;Points!$H$4,Points!$H$5,1),0)))</f>
        <v/>
      </c>
      <c r="H844" s="11">
        <f>IF($G844="","",COUNTIFS($B$5:$B$1668,$B844,$G$5:$G$1668,"&gt;"&amp;$G844)+COUNTIFS($B$4:$B843,$B844,$G$4:$G843,$G844)+1)</f>
        <v/>
      </c>
      <c r="I844" s="11">
        <f>IF($G844="","",IF($H844&lt;=Points!$H$6,$G844,0))</f>
        <v/>
      </c>
      <c r="J844" s="11">
        <f>IF($B844="","",IF(COUNTIF(Players!$A$2:$A$500,$B844)=0,"Player is not on the Players tab",IF(NOT(ISNUMBER($C844)),"Enter a gross score",IF(COUNTIFS($A$5:$A$1668,$A844,$B$5:$B$1668,$B844)&gt;1,"Player is listed twice this week",IF(AND($D844&lt;&gt;"",COUNTIFS($A$5:$A$1668,$A844,$D$5:$D$1668,$D844)&gt;1),"Two players picked as "&amp;$D844,IF(COUNTIFS($A$5:$A$1668,$A844,$D$5:$D$1668,"Gross winner")=0,"Pick this week's gross winner",IF(COUNTIFS($A$5:$A$1668,$A844,$D$5:$D$1668,"Net winner")=0,"Pick this week's net winner","OK")))))))</f>
        <v/>
      </c>
    </row>
    <row r="845" outlineLevel="1">
      <c r="A845" s="13" t="n">
        <v>46575</v>
      </c>
      <c r="E845" s="11">
        <f>IF(OR($B845="",NOT(ISNUMBER($C845))),"",COUNTIFS($A$5:$A$1668,$A845,$C$5:$C$1668,"&lt;"&amp;$C845)+1)</f>
        <v/>
      </c>
      <c r="F845" s="11">
        <f>IF(OR($B845="",NOT(ISNUMBER($C845))),"",COUNTIFS($A$5:$A$1668,$A845,$C$5:$C$1668,"&gt;0"))</f>
        <v/>
      </c>
      <c r="G845" s="11">
        <f>IF(OR($B845="",NOT(ISNUMBER($C845))),"",IF($D845&lt;&gt;"",ROUND(Points!$B$6*IF($F845&lt;Points!$H$4,Points!$H$5,1),0),ROUND(Points!$B$6*IF($F845&lt;=1,1,Points!$H$7+(1-Points!$H$7)*((($F845-$E845)*(($F845-$E845)+1)/2)^2-((($F845-$E845-COUNTIFS($A$5:$A$1668,$A845,$C$5:$C$1668,$C845)+1)-1)*($F845-$E845-COUNTIFS($A$5:$A$1668,$A845,$C$5:$C$1668,$C845)+1)/2)^2)/(COUNTIFS($A$5:$A$1668,$A845,$C$5:$C$1668,$C845)*($F845-1)^3))*IF($F845&lt;Points!$H$4,Points!$H$5,1),0)))</f>
        <v/>
      </c>
      <c r="H845" s="11">
        <f>IF($G845="","",COUNTIFS($B$5:$B$1668,$B845,$G$5:$G$1668,"&gt;"&amp;$G845)+COUNTIFS($B$4:$B844,$B845,$G$4:$G844,$G845)+1)</f>
        <v/>
      </c>
      <c r="I845" s="11">
        <f>IF($G845="","",IF($H845&lt;=Points!$H$6,$G845,0))</f>
        <v/>
      </c>
      <c r="J845" s="11">
        <f>IF($B845="","",IF(COUNTIF(Players!$A$2:$A$500,$B845)=0,"Player is not on the Players tab",IF(NOT(ISNUMBER($C845)),"Enter a gross score",IF(COUNTIFS($A$5:$A$1668,$A845,$B$5:$B$1668,$B845)&gt;1,"Player is listed twice this week",IF(AND($D845&lt;&gt;"",COUNTIFS($A$5:$A$1668,$A845,$D$5:$D$1668,$D845)&gt;1),"Two players picked as "&amp;$D845,IF(COUNTIFS($A$5:$A$1668,$A845,$D$5:$D$1668,"Gross winner")=0,"Pick this week's gross winner",IF(COUNTIFS($A$5:$A$1668,$A845,$D$5:$D$1668,"Net winner")=0,"Pick this week's net winner","OK")))))))</f>
        <v/>
      </c>
    </row>
    <row r="846" outlineLevel="1">
      <c r="A846" s="13" t="n">
        <v>46575</v>
      </c>
      <c r="E846" s="11">
        <f>IF(OR($B846="",NOT(ISNUMBER($C846))),"",COUNTIFS($A$5:$A$1668,$A846,$C$5:$C$1668,"&lt;"&amp;$C846)+1)</f>
        <v/>
      </c>
      <c r="F846" s="11">
        <f>IF(OR($B846="",NOT(ISNUMBER($C846))),"",COUNTIFS($A$5:$A$1668,$A846,$C$5:$C$1668,"&gt;0"))</f>
        <v/>
      </c>
      <c r="G846" s="11">
        <f>IF(OR($B846="",NOT(ISNUMBER($C846))),"",IF($D846&lt;&gt;"",ROUND(Points!$B$6*IF($F846&lt;Points!$H$4,Points!$H$5,1),0),ROUND(Points!$B$6*IF($F846&lt;=1,1,Points!$H$7+(1-Points!$H$7)*((($F846-$E846)*(($F846-$E846)+1)/2)^2-((($F846-$E846-COUNTIFS($A$5:$A$1668,$A846,$C$5:$C$1668,$C846)+1)-1)*($F846-$E846-COUNTIFS($A$5:$A$1668,$A846,$C$5:$C$1668,$C846)+1)/2)^2)/(COUNTIFS($A$5:$A$1668,$A846,$C$5:$C$1668,$C846)*($F846-1)^3))*IF($F846&lt;Points!$H$4,Points!$H$5,1),0)))</f>
        <v/>
      </c>
      <c r="H846" s="11">
        <f>IF($G846="","",COUNTIFS($B$5:$B$1668,$B846,$G$5:$G$1668,"&gt;"&amp;$G846)+COUNTIFS($B$4:$B845,$B846,$G$4:$G845,$G846)+1)</f>
        <v/>
      </c>
      <c r="I846" s="11">
        <f>IF($G846="","",IF($H846&lt;=Points!$H$6,$G846,0))</f>
        <v/>
      </c>
      <c r="J846" s="11">
        <f>IF($B846="","",IF(COUNTIF(Players!$A$2:$A$500,$B846)=0,"Player is not on the Players tab",IF(NOT(ISNUMBER($C846)),"Enter a gross score",IF(COUNTIFS($A$5:$A$1668,$A846,$B$5:$B$1668,$B846)&gt;1,"Player is listed twice this week",IF(AND($D846&lt;&gt;"",COUNTIFS($A$5:$A$1668,$A846,$D$5:$D$1668,$D846)&gt;1),"Two players picked as "&amp;$D846,IF(COUNTIFS($A$5:$A$1668,$A846,$D$5:$D$1668,"Gross winner")=0,"Pick this week's gross winner",IF(COUNTIFS($A$5:$A$1668,$A846,$D$5:$D$1668,"Net winner")=0,"Pick this week's net winner","OK")))))))</f>
        <v/>
      </c>
    </row>
    <row r="847" outlineLevel="1">
      <c r="A847" s="13" t="n">
        <v>46575</v>
      </c>
      <c r="E847" s="11">
        <f>IF(OR($B847="",NOT(ISNUMBER($C847))),"",COUNTIFS($A$5:$A$1668,$A847,$C$5:$C$1668,"&lt;"&amp;$C847)+1)</f>
        <v/>
      </c>
      <c r="F847" s="11">
        <f>IF(OR($B847="",NOT(ISNUMBER($C847))),"",COUNTIFS($A$5:$A$1668,$A847,$C$5:$C$1668,"&gt;0"))</f>
        <v/>
      </c>
      <c r="G847" s="11">
        <f>IF(OR($B847="",NOT(ISNUMBER($C847))),"",IF($D847&lt;&gt;"",ROUND(Points!$B$6*IF($F847&lt;Points!$H$4,Points!$H$5,1),0),ROUND(Points!$B$6*IF($F847&lt;=1,1,Points!$H$7+(1-Points!$H$7)*((($F847-$E847)*(($F847-$E847)+1)/2)^2-((($F847-$E847-COUNTIFS($A$5:$A$1668,$A847,$C$5:$C$1668,$C847)+1)-1)*($F847-$E847-COUNTIFS($A$5:$A$1668,$A847,$C$5:$C$1668,$C847)+1)/2)^2)/(COUNTIFS($A$5:$A$1668,$A847,$C$5:$C$1668,$C847)*($F847-1)^3))*IF($F847&lt;Points!$H$4,Points!$H$5,1),0)))</f>
        <v/>
      </c>
      <c r="H847" s="11">
        <f>IF($G847="","",COUNTIFS($B$5:$B$1668,$B847,$G$5:$G$1668,"&gt;"&amp;$G847)+COUNTIFS($B$4:$B846,$B847,$G$4:$G846,$G847)+1)</f>
        <v/>
      </c>
      <c r="I847" s="11">
        <f>IF($G847="","",IF($H847&lt;=Points!$H$6,$G847,0))</f>
        <v/>
      </c>
      <c r="J847" s="11">
        <f>IF($B847="","",IF(COUNTIF(Players!$A$2:$A$500,$B847)=0,"Player is not on the Players tab",IF(NOT(ISNUMBER($C847)),"Enter a gross score",IF(COUNTIFS($A$5:$A$1668,$A847,$B$5:$B$1668,$B847)&gt;1,"Player is listed twice this week",IF(AND($D847&lt;&gt;"",COUNTIFS($A$5:$A$1668,$A847,$D$5:$D$1668,$D847)&gt;1),"Two players picked as "&amp;$D847,IF(COUNTIFS($A$5:$A$1668,$A847,$D$5:$D$1668,"Gross winner")=0,"Pick this week's gross winner",IF(COUNTIFS($A$5:$A$1668,$A847,$D$5:$D$1668,"Net winner")=0,"Pick this week's net winner","OK")))))))</f>
        <v/>
      </c>
    </row>
    <row r="848" outlineLevel="1">
      <c r="A848" s="13" t="n">
        <v>46575</v>
      </c>
      <c r="E848" s="11">
        <f>IF(OR($B848="",NOT(ISNUMBER($C848))),"",COUNTIFS($A$5:$A$1668,$A848,$C$5:$C$1668,"&lt;"&amp;$C848)+1)</f>
        <v/>
      </c>
      <c r="F848" s="11">
        <f>IF(OR($B848="",NOT(ISNUMBER($C848))),"",COUNTIFS($A$5:$A$1668,$A848,$C$5:$C$1668,"&gt;0"))</f>
        <v/>
      </c>
      <c r="G848" s="11">
        <f>IF(OR($B848="",NOT(ISNUMBER($C848))),"",IF($D848&lt;&gt;"",ROUND(Points!$B$6*IF($F848&lt;Points!$H$4,Points!$H$5,1),0),ROUND(Points!$B$6*IF($F848&lt;=1,1,Points!$H$7+(1-Points!$H$7)*((($F848-$E848)*(($F848-$E848)+1)/2)^2-((($F848-$E848-COUNTIFS($A$5:$A$1668,$A848,$C$5:$C$1668,$C848)+1)-1)*($F848-$E848-COUNTIFS($A$5:$A$1668,$A848,$C$5:$C$1668,$C848)+1)/2)^2)/(COUNTIFS($A$5:$A$1668,$A848,$C$5:$C$1668,$C848)*($F848-1)^3))*IF($F848&lt;Points!$H$4,Points!$H$5,1),0)))</f>
        <v/>
      </c>
      <c r="H848" s="11">
        <f>IF($G848="","",COUNTIFS($B$5:$B$1668,$B848,$G$5:$G$1668,"&gt;"&amp;$G848)+COUNTIFS($B$4:$B847,$B848,$G$4:$G847,$G848)+1)</f>
        <v/>
      </c>
      <c r="I848" s="11">
        <f>IF($G848="","",IF($H848&lt;=Points!$H$6,$G848,0))</f>
        <v/>
      </c>
      <c r="J848" s="11">
        <f>IF($B848="","",IF(COUNTIF(Players!$A$2:$A$500,$B848)=0,"Player is not on the Players tab",IF(NOT(ISNUMBER($C848)),"Enter a gross score",IF(COUNTIFS($A$5:$A$1668,$A848,$B$5:$B$1668,$B848)&gt;1,"Player is listed twice this week",IF(AND($D848&lt;&gt;"",COUNTIFS($A$5:$A$1668,$A848,$D$5:$D$1668,$D848)&gt;1),"Two players picked as "&amp;$D848,IF(COUNTIFS($A$5:$A$1668,$A848,$D$5:$D$1668,"Gross winner")=0,"Pick this week's gross winner",IF(COUNTIFS($A$5:$A$1668,$A848,$D$5:$D$1668,"Net winner")=0,"Pick this week's net winner","OK")))))))</f>
        <v/>
      </c>
    </row>
    <row r="849" outlineLevel="1">
      <c r="A849" s="13" t="n">
        <v>46575</v>
      </c>
      <c r="E849" s="11">
        <f>IF(OR($B849="",NOT(ISNUMBER($C849))),"",COUNTIFS($A$5:$A$1668,$A849,$C$5:$C$1668,"&lt;"&amp;$C849)+1)</f>
        <v/>
      </c>
      <c r="F849" s="11">
        <f>IF(OR($B849="",NOT(ISNUMBER($C849))),"",COUNTIFS($A$5:$A$1668,$A849,$C$5:$C$1668,"&gt;0"))</f>
        <v/>
      </c>
      <c r="G849" s="11">
        <f>IF(OR($B849="",NOT(ISNUMBER($C849))),"",IF($D849&lt;&gt;"",ROUND(Points!$B$6*IF($F849&lt;Points!$H$4,Points!$H$5,1),0),ROUND(Points!$B$6*IF($F849&lt;=1,1,Points!$H$7+(1-Points!$H$7)*((($F849-$E849)*(($F849-$E849)+1)/2)^2-((($F849-$E849-COUNTIFS($A$5:$A$1668,$A849,$C$5:$C$1668,$C849)+1)-1)*($F849-$E849-COUNTIFS($A$5:$A$1668,$A849,$C$5:$C$1668,$C849)+1)/2)^2)/(COUNTIFS($A$5:$A$1668,$A849,$C$5:$C$1668,$C849)*($F849-1)^3))*IF($F849&lt;Points!$H$4,Points!$H$5,1),0)))</f>
        <v/>
      </c>
      <c r="H849" s="11">
        <f>IF($G849="","",COUNTIFS($B$5:$B$1668,$B849,$G$5:$G$1668,"&gt;"&amp;$G849)+COUNTIFS($B$4:$B848,$B849,$G$4:$G848,$G849)+1)</f>
        <v/>
      </c>
      <c r="I849" s="11">
        <f>IF($G849="","",IF($H849&lt;=Points!$H$6,$G849,0))</f>
        <v/>
      </c>
      <c r="J849" s="11">
        <f>IF($B849="","",IF(COUNTIF(Players!$A$2:$A$500,$B849)=0,"Player is not on the Players tab",IF(NOT(ISNUMBER($C849)),"Enter a gross score",IF(COUNTIFS($A$5:$A$1668,$A849,$B$5:$B$1668,$B849)&gt;1,"Player is listed twice this week",IF(AND($D849&lt;&gt;"",COUNTIFS($A$5:$A$1668,$A849,$D$5:$D$1668,$D849)&gt;1),"Two players picked as "&amp;$D849,IF(COUNTIFS($A$5:$A$1668,$A849,$D$5:$D$1668,"Gross winner")=0,"Pick this week's gross winner",IF(COUNTIFS($A$5:$A$1668,$A849,$D$5:$D$1668,"Net winner")=0,"Pick this week's net winner","OK")))))))</f>
        <v/>
      </c>
    </row>
    <row r="850" outlineLevel="1">
      <c r="A850" s="13" t="n">
        <v>46575</v>
      </c>
      <c r="E850" s="11">
        <f>IF(OR($B850="",NOT(ISNUMBER($C850))),"",COUNTIFS($A$5:$A$1668,$A850,$C$5:$C$1668,"&lt;"&amp;$C850)+1)</f>
        <v/>
      </c>
      <c r="F850" s="11">
        <f>IF(OR($B850="",NOT(ISNUMBER($C850))),"",COUNTIFS($A$5:$A$1668,$A850,$C$5:$C$1668,"&gt;0"))</f>
        <v/>
      </c>
      <c r="G850" s="11">
        <f>IF(OR($B850="",NOT(ISNUMBER($C850))),"",IF($D850&lt;&gt;"",ROUND(Points!$B$6*IF($F850&lt;Points!$H$4,Points!$H$5,1),0),ROUND(Points!$B$6*IF($F850&lt;=1,1,Points!$H$7+(1-Points!$H$7)*((($F850-$E850)*(($F850-$E850)+1)/2)^2-((($F850-$E850-COUNTIFS($A$5:$A$1668,$A850,$C$5:$C$1668,$C850)+1)-1)*($F850-$E850-COUNTIFS($A$5:$A$1668,$A850,$C$5:$C$1668,$C850)+1)/2)^2)/(COUNTIFS($A$5:$A$1668,$A850,$C$5:$C$1668,$C850)*($F850-1)^3))*IF($F850&lt;Points!$H$4,Points!$H$5,1),0)))</f>
        <v/>
      </c>
      <c r="H850" s="11">
        <f>IF($G850="","",COUNTIFS($B$5:$B$1668,$B850,$G$5:$G$1668,"&gt;"&amp;$G850)+COUNTIFS($B$4:$B849,$B850,$G$4:$G849,$G850)+1)</f>
        <v/>
      </c>
      <c r="I850" s="11">
        <f>IF($G850="","",IF($H850&lt;=Points!$H$6,$G850,0))</f>
        <v/>
      </c>
      <c r="J850" s="11">
        <f>IF($B850="","",IF(COUNTIF(Players!$A$2:$A$500,$B850)=0,"Player is not on the Players tab",IF(NOT(ISNUMBER($C850)),"Enter a gross score",IF(COUNTIFS($A$5:$A$1668,$A850,$B$5:$B$1668,$B850)&gt;1,"Player is listed twice this week",IF(AND($D850&lt;&gt;"",COUNTIFS($A$5:$A$1668,$A850,$D$5:$D$1668,$D850)&gt;1),"Two players picked as "&amp;$D850,IF(COUNTIFS($A$5:$A$1668,$A850,$D$5:$D$1668,"Gross winner")=0,"Pick this week's gross winner",IF(COUNTIFS($A$5:$A$1668,$A850,$D$5:$D$1668,"Net winner")=0,"Pick this week's net winner","OK")))))))</f>
        <v/>
      </c>
    </row>
    <row r="851" outlineLevel="1">
      <c r="A851" s="13" t="n">
        <v>46575</v>
      </c>
      <c r="E851" s="11">
        <f>IF(OR($B851="",NOT(ISNUMBER($C851))),"",COUNTIFS($A$5:$A$1668,$A851,$C$5:$C$1668,"&lt;"&amp;$C851)+1)</f>
        <v/>
      </c>
      <c r="F851" s="11">
        <f>IF(OR($B851="",NOT(ISNUMBER($C851))),"",COUNTIFS($A$5:$A$1668,$A851,$C$5:$C$1668,"&gt;0"))</f>
        <v/>
      </c>
      <c r="G851" s="11">
        <f>IF(OR($B851="",NOT(ISNUMBER($C851))),"",IF($D851&lt;&gt;"",ROUND(Points!$B$6*IF($F851&lt;Points!$H$4,Points!$H$5,1),0),ROUND(Points!$B$6*IF($F851&lt;=1,1,Points!$H$7+(1-Points!$H$7)*((($F851-$E851)*(($F851-$E851)+1)/2)^2-((($F851-$E851-COUNTIFS($A$5:$A$1668,$A851,$C$5:$C$1668,$C851)+1)-1)*($F851-$E851-COUNTIFS($A$5:$A$1668,$A851,$C$5:$C$1668,$C851)+1)/2)^2)/(COUNTIFS($A$5:$A$1668,$A851,$C$5:$C$1668,$C851)*($F851-1)^3))*IF($F851&lt;Points!$H$4,Points!$H$5,1),0)))</f>
        <v/>
      </c>
      <c r="H851" s="11">
        <f>IF($G851="","",COUNTIFS($B$5:$B$1668,$B851,$G$5:$G$1668,"&gt;"&amp;$G851)+COUNTIFS($B$4:$B850,$B851,$G$4:$G850,$G851)+1)</f>
        <v/>
      </c>
      <c r="I851" s="11">
        <f>IF($G851="","",IF($H851&lt;=Points!$H$6,$G851,0))</f>
        <v/>
      </c>
      <c r="J851" s="11">
        <f>IF($B851="","",IF(COUNTIF(Players!$A$2:$A$500,$B851)=0,"Player is not on the Players tab",IF(NOT(ISNUMBER($C851)),"Enter a gross score",IF(COUNTIFS($A$5:$A$1668,$A851,$B$5:$B$1668,$B851)&gt;1,"Player is listed twice this week",IF(AND($D851&lt;&gt;"",COUNTIFS($A$5:$A$1668,$A851,$D$5:$D$1668,$D851)&gt;1),"Two players picked as "&amp;$D851,IF(COUNTIFS($A$5:$A$1668,$A851,$D$5:$D$1668,"Gross winner")=0,"Pick this week's gross winner",IF(COUNTIFS($A$5:$A$1668,$A851,$D$5:$D$1668,"Net winner")=0,"Pick this week's net winner","OK")))))))</f>
        <v/>
      </c>
    </row>
    <row r="852" outlineLevel="1">
      <c r="A852" s="13" t="n">
        <v>46575</v>
      </c>
      <c r="E852" s="11">
        <f>IF(OR($B852="",NOT(ISNUMBER($C852))),"",COUNTIFS($A$5:$A$1668,$A852,$C$5:$C$1668,"&lt;"&amp;$C852)+1)</f>
        <v/>
      </c>
      <c r="F852" s="11">
        <f>IF(OR($B852="",NOT(ISNUMBER($C852))),"",COUNTIFS($A$5:$A$1668,$A852,$C$5:$C$1668,"&gt;0"))</f>
        <v/>
      </c>
      <c r="G852" s="11">
        <f>IF(OR($B852="",NOT(ISNUMBER($C852))),"",IF($D852&lt;&gt;"",ROUND(Points!$B$6*IF($F852&lt;Points!$H$4,Points!$H$5,1),0),ROUND(Points!$B$6*IF($F852&lt;=1,1,Points!$H$7+(1-Points!$H$7)*((($F852-$E852)*(($F852-$E852)+1)/2)^2-((($F852-$E852-COUNTIFS($A$5:$A$1668,$A852,$C$5:$C$1668,$C852)+1)-1)*($F852-$E852-COUNTIFS($A$5:$A$1668,$A852,$C$5:$C$1668,$C852)+1)/2)^2)/(COUNTIFS($A$5:$A$1668,$A852,$C$5:$C$1668,$C852)*($F852-1)^3))*IF($F852&lt;Points!$H$4,Points!$H$5,1),0)))</f>
        <v/>
      </c>
      <c r="H852" s="11">
        <f>IF($G852="","",COUNTIFS($B$5:$B$1668,$B852,$G$5:$G$1668,"&gt;"&amp;$G852)+COUNTIFS($B$4:$B851,$B852,$G$4:$G851,$G852)+1)</f>
        <v/>
      </c>
      <c r="I852" s="11">
        <f>IF($G852="","",IF($H852&lt;=Points!$H$6,$G852,0))</f>
        <v/>
      </c>
      <c r="J852" s="11">
        <f>IF($B852="","",IF(COUNTIF(Players!$A$2:$A$500,$B852)=0,"Player is not on the Players tab",IF(NOT(ISNUMBER($C852)),"Enter a gross score",IF(COUNTIFS($A$5:$A$1668,$A852,$B$5:$B$1668,$B852)&gt;1,"Player is listed twice this week",IF(AND($D852&lt;&gt;"",COUNTIFS($A$5:$A$1668,$A852,$D$5:$D$1668,$D852)&gt;1),"Two players picked as "&amp;$D852,IF(COUNTIFS($A$5:$A$1668,$A852,$D$5:$D$1668,"Gross winner")=0,"Pick this week's gross winner",IF(COUNTIFS($A$5:$A$1668,$A852,$D$5:$D$1668,"Net winner")=0,"Pick this week's net winner","OK")))))))</f>
        <v/>
      </c>
    </row>
    <row r="853" outlineLevel="1">
      <c r="A853" s="13" t="n">
        <v>46575</v>
      </c>
      <c r="E853" s="11">
        <f>IF(OR($B853="",NOT(ISNUMBER($C853))),"",COUNTIFS($A$5:$A$1668,$A853,$C$5:$C$1668,"&lt;"&amp;$C853)+1)</f>
        <v/>
      </c>
      <c r="F853" s="11">
        <f>IF(OR($B853="",NOT(ISNUMBER($C853))),"",COUNTIFS($A$5:$A$1668,$A853,$C$5:$C$1668,"&gt;0"))</f>
        <v/>
      </c>
      <c r="G853" s="11">
        <f>IF(OR($B853="",NOT(ISNUMBER($C853))),"",IF($D853&lt;&gt;"",ROUND(Points!$B$6*IF($F853&lt;Points!$H$4,Points!$H$5,1),0),ROUND(Points!$B$6*IF($F853&lt;=1,1,Points!$H$7+(1-Points!$H$7)*((($F853-$E853)*(($F853-$E853)+1)/2)^2-((($F853-$E853-COUNTIFS($A$5:$A$1668,$A853,$C$5:$C$1668,$C853)+1)-1)*($F853-$E853-COUNTIFS($A$5:$A$1668,$A853,$C$5:$C$1668,$C853)+1)/2)^2)/(COUNTIFS($A$5:$A$1668,$A853,$C$5:$C$1668,$C853)*($F853-1)^3))*IF($F853&lt;Points!$H$4,Points!$H$5,1),0)))</f>
        <v/>
      </c>
      <c r="H853" s="11">
        <f>IF($G853="","",COUNTIFS($B$5:$B$1668,$B853,$G$5:$G$1668,"&gt;"&amp;$G853)+COUNTIFS($B$4:$B852,$B853,$G$4:$G852,$G853)+1)</f>
        <v/>
      </c>
      <c r="I853" s="11">
        <f>IF($G853="","",IF($H853&lt;=Points!$H$6,$G853,0))</f>
        <v/>
      </c>
      <c r="J853" s="11">
        <f>IF($B853="","",IF(COUNTIF(Players!$A$2:$A$500,$B853)=0,"Player is not on the Players tab",IF(NOT(ISNUMBER($C853)),"Enter a gross score",IF(COUNTIFS($A$5:$A$1668,$A853,$B$5:$B$1668,$B853)&gt;1,"Player is listed twice this week",IF(AND($D853&lt;&gt;"",COUNTIFS($A$5:$A$1668,$A853,$D$5:$D$1668,$D853)&gt;1),"Two players picked as "&amp;$D853,IF(COUNTIFS($A$5:$A$1668,$A853,$D$5:$D$1668,"Gross winner")=0,"Pick this week's gross winner",IF(COUNTIFS($A$5:$A$1668,$A853,$D$5:$D$1668,"Net winner")=0,"Pick this week's net winner","OK")))))))</f>
        <v/>
      </c>
    </row>
    <row r="854" outlineLevel="1">
      <c r="A854" s="13" t="n">
        <v>46575</v>
      </c>
      <c r="E854" s="11">
        <f>IF(OR($B854="",NOT(ISNUMBER($C854))),"",COUNTIFS($A$5:$A$1668,$A854,$C$5:$C$1668,"&lt;"&amp;$C854)+1)</f>
        <v/>
      </c>
      <c r="F854" s="11">
        <f>IF(OR($B854="",NOT(ISNUMBER($C854))),"",COUNTIFS($A$5:$A$1668,$A854,$C$5:$C$1668,"&gt;0"))</f>
        <v/>
      </c>
      <c r="G854" s="11">
        <f>IF(OR($B854="",NOT(ISNUMBER($C854))),"",IF($D854&lt;&gt;"",ROUND(Points!$B$6*IF($F854&lt;Points!$H$4,Points!$H$5,1),0),ROUND(Points!$B$6*IF($F854&lt;=1,1,Points!$H$7+(1-Points!$H$7)*((($F854-$E854)*(($F854-$E854)+1)/2)^2-((($F854-$E854-COUNTIFS($A$5:$A$1668,$A854,$C$5:$C$1668,$C854)+1)-1)*($F854-$E854-COUNTIFS($A$5:$A$1668,$A854,$C$5:$C$1668,$C854)+1)/2)^2)/(COUNTIFS($A$5:$A$1668,$A854,$C$5:$C$1668,$C854)*($F854-1)^3))*IF($F854&lt;Points!$H$4,Points!$H$5,1),0)))</f>
        <v/>
      </c>
      <c r="H854" s="11">
        <f>IF($G854="","",COUNTIFS($B$5:$B$1668,$B854,$G$5:$G$1668,"&gt;"&amp;$G854)+COUNTIFS($B$4:$B853,$B854,$G$4:$G853,$G854)+1)</f>
        <v/>
      </c>
      <c r="I854" s="11">
        <f>IF($G854="","",IF($H854&lt;=Points!$H$6,$G854,0))</f>
        <v/>
      </c>
      <c r="J854" s="11">
        <f>IF($B854="","",IF(COUNTIF(Players!$A$2:$A$500,$B854)=0,"Player is not on the Players tab",IF(NOT(ISNUMBER($C854)),"Enter a gross score",IF(COUNTIFS($A$5:$A$1668,$A854,$B$5:$B$1668,$B854)&gt;1,"Player is listed twice this week",IF(AND($D854&lt;&gt;"",COUNTIFS($A$5:$A$1668,$A854,$D$5:$D$1668,$D854)&gt;1),"Two players picked as "&amp;$D854,IF(COUNTIFS($A$5:$A$1668,$A854,$D$5:$D$1668,"Gross winner")=0,"Pick this week's gross winner",IF(COUNTIFS($A$5:$A$1668,$A854,$D$5:$D$1668,"Net winner")=0,"Pick this week's net winner","OK")))))))</f>
        <v/>
      </c>
    </row>
    <row r="855" outlineLevel="1">
      <c r="A855" s="13" t="n">
        <v>46575</v>
      </c>
      <c r="E855" s="11">
        <f>IF(OR($B855="",NOT(ISNUMBER($C855))),"",COUNTIFS($A$5:$A$1668,$A855,$C$5:$C$1668,"&lt;"&amp;$C855)+1)</f>
        <v/>
      </c>
      <c r="F855" s="11">
        <f>IF(OR($B855="",NOT(ISNUMBER($C855))),"",COUNTIFS($A$5:$A$1668,$A855,$C$5:$C$1668,"&gt;0"))</f>
        <v/>
      </c>
      <c r="G855" s="11">
        <f>IF(OR($B855="",NOT(ISNUMBER($C855))),"",IF($D855&lt;&gt;"",ROUND(Points!$B$6*IF($F855&lt;Points!$H$4,Points!$H$5,1),0),ROUND(Points!$B$6*IF($F855&lt;=1,1,Points!$H$7+(1-Points!$H$7)*((($F855-$E855)*(($F855-$E855)+1)/2)^2-((($F855-$E855-COUNTIFS($A$5:$A$1668,$A855,$C$5:$C$1668,$C855)+1)-1)*($F855-$E855-COUNTIFS($A$5:$A$1668,$A855,$C$5:$C$1668,$C855)+1)/2)^2)/(COUNTIFS($A$5:$A$1668,$A855,$C$5:$C$1668,$C855)*($F855-1)^3))*IF($F855&lt;Points!$H$4,Points!$H$5,1),0)))</f>
        <v/>
      </c>
      <c r="H855" s="11">
        <f>IF($G855="","",COUNTIFS($B$5:$B$1668,$B855,$G$5:$G$1668,"&gt;"&amp;$G855)+COUNTIFS($B$4:$B854,$B855,$G$4:$G854,$G855)+1)</f>
        <v/>
      </c>
      <c r="I855" s="11">
        <f>IF($G855="","",IF($H855&lt;=Points!$H$6,$G855,0))</f>
        <v/>
      </c>
      <c r="J855" s="11">
        <f>IF($B855="","",IF(COUNTIF(Players!$A$2:$A$500,$B855)=0,"Player is not on the Players tab",IF(NOT(ISNUMBER($C855)),"Enter a gross score",IF(COUNTIFS($A$5:$A$1668,$A855,$B$5:$B$1668,$B855)&gt;1,"Player is listed twice this week",IF(AND($D855&lt;&gt;"",COUNTIFS($A$5:$A$1668,$A855,$D$5:$D$1668,$D855)&gt;1),"Two players picked as "&amp;$D855,IF(COUNTIFS($A$5:$A$1668,$A855,$D$5:$D$1668,"Gross winner")=0,"Pick this week's gross winner",IF(COUNTIFS($A$5:$A$1668,$A855,$D$5:$D$1668,"Net winner")=0,"Pick this week's net winner","OK")))))))</f>
        <v/>
      </c>
    </row>
    <row r="856" outlineLevel="1">
      <c r="A856" s="13" t="n">
        <v>46575</v>
      </c>
      <c r="E856" s="11">
        <f>IF(OR($B856="",NOT(ISNUMBER($C856))),"",COUNTIFS($A$5:$A$1668,$A856,$C$5:$C$1668,"&lt;"&amp;$C856)+1)</f>
        <v/>
      </c>
      <c r="F856" s="11">
        <f>IF(OR($B856="",NOT(ISNUMBER($C856))),"",COUNTIFS($A$5:$A$1668,$A856,$C$5:$C$1668,"&gt;0"))</f>
        <v/>
      </c>
      <c r="G856" s="11">
        <f>IF(OR($B856="",NOT(ISNUMBER($C856))),"",IF($D856&lt;&gt;"",ROUND(Points!$B$6*IF($F856&lt;Points!$H$4,Points!$H$5,1),0),ROUND(Points!$B$6*IF($F856&lt;=1,1,Points!$H$7+(1-Points!$H$7)*((($F856-$E856)*(($F856-$E856)+1)/2)^2-((($F856-$E856-COUNTIFS($A$5:$A$1668,$A856,$C$5:$C$1668,$C856)+1)-1)*($F856-$E856-COUNTIFS($A$5:$A$1668,$A856,$C$5:$C$1668,$C856)+1)/2)^2)/(COUNTIFS($A$5:$A$1668,$A856,$C$5:$C$1668,$C856)*($F856-1)^3))*IF($F856&lt;Points!$H$4,Points!$H$5,1),0)))</f>
        <v/>
      </c>
      <c r="H856" s="11">
        <f>IF($G856="","",COUNTIFS($B$5:$B$1668,$B856,$G$5:$G$1668,"&gt;"&amp;$G856)+COUNTIFS($B$4:$B855,$B856,$G$4:$G855,$G856)+1)</f>
        <v/>
      </c>
      <c r="I856" s="11">
        <f>IF($G856="","",IF($H856&lt;=Points!$H$6,$G856,0))</f>
        <v/>
      </c>
      <c r="J856" s="11">
        <f>IF($B856="","",IF(COUNTIF(Players!$A$2:$A$500,$B856)=0,"Player is not on the Players tab",IF(NOT(ISNUMBER($C856)),"Enter a gross score",IF(COUNTIFS($A$5:$A$1668,$A856,$B$5:$B$1668,$B856)&gt;1,"Player is listed twice this week",IF(AND($D856&lt;&gt;"",COUNTIFS($A$5:$A$1668,$A856,$D$5:$D$1668,$D856)&gt;1),"Two players picked as "&amp;$D856,IF(COUNTIFS($A$5:$A$1668,$A856,$D$5:$D$1668,"Gross winner")=0,"Pick this week's gross winner",IF(COUNTIFS($A$5:$A$1668,$A856,$D$5:$D$1668,"Net winner")=0,"Pick this week's net winner","OK")))))))</f>
        <v/>
      </c>
    </row>
    <row r="857" outlineLevel="1">
      <c r="A857" s="13" t="n">
        <v>46575</v>
      </c>
      <c r="E857" s="11">
        <f>IF(OR($B857="",NOT(ISNUMBER($C857))),"",COUNTIFS($A$5:$A$1668,$A857,$C$5:$C$1668,"&lt;"&amp;$C857)+1)</f>
        <v/>
      </c>
      <c r="F857" s="11">
        <f>IF(OR($B857="",NOT(ISNUMBER($C857))),"",COUNTIFS($A$5:$A$1668,$A857,$C$5:$C$1668,"&gt;0"))</f>
        <v/>
      </c>
      <c r="G857" s="11">
        <f>IF(OR($B857="",NOT(ISNUMBER($C857))),"",IF($D857&lt;&gt;"",ROUND(Points!$B$6*IF($F857&lt;Points!$H$4,Points!$H$5,1),0),ROUND(Points!$B$6*IF($F857&lt;=1,1,Points!$H$7+(1-Points!$H$7)*((($F857-$E857)*(($F857-$E857)+1)/2)^2-((($F857-$E857-COUNTIFS($A$5:$A$1668,$A857,$C$5:$C$1668,$C857)+1)-1)*($F857-$E857-COUNTIFS($A$5:$A$1668,$A857,$C$5:$C$1668,$C857)+1)/2)^2)/(COUNTIFS($A$5:$A$1668,$A857,$C$5:$C$1668,$C857)*($F857-1)^3))*IF($F857&lt;Points!$H$4,Points!$H$5,1),0)))</f>
        <v/>
      </c>
      <c r="H857" s="11">
        <f>IF($G857="","",COUNTIFS($B$5:$B$1668,$B857,$G$5:$G$1668,"&gt;"&amp;$G857)+COUNTIFS($B$4:$B856,$B857,$G$4:$G856,$G857)+1)</f>
        <v/>
      </c>
      <c r="I857" s="11">
        <f>IF($G857="","",IF($H857&lt;=Points!$H$6,$G857,0))</f>
        <v/>
      </c>
      <c r="J857" s="11">
        <f>IF($B857="","",IF(COUNTIF(Players!$A$2:$A$500,$B857)=0,"Player is not on the Players tab",IF(NOT(ISNUMBER($C857)),"Enter a gross score",IF(COUNTIFS($A$5:$A$1668,$A857,$B$5:$B$1668,$B857)&gt;1,"Player is listed twice this week",IF(AND($D857&lt;&gt;"",COUNTIFS($A$5:$A$1668,$A857,$D$5:$D$1668,$D857)&gt;1),"Two players picked as "&amp;$D857,IF(COUNTIFS($A$5:$A$1668,$A857,$D$5:$D$1668,"Gross winner")=0,"Pick this week's gross winner",IF(COUNTIFS($A$5:$A$1668,$A857,$D$5:$D$1668,"Net winner")=0,"Pick this week's net winner","OK")))))))</f>
        <v/>
      </c>
    </row>
    <row r="858" outlineLevel="1">
      <c r="A858" s="13" t="n">
        <v>46575</v>
      </c>
      <c r="E858" s="11">
        <f>IF(OR($B858="",NOT(ISNUMBER($C858))),"",COUNTIFS($A$5:$A$1668,$A858,$C$5:$C$1668,"&lt;"&amp;$C858)+1)</f>
        <v/>
      </c>
      <c r="F858" s="11">
        <f>IF(OR($B858="",NOT(ISNUMBER($C858))),"",COUNTIFS($A$5:$A$1668,$A858,$C$5:$C$1668,"&gt;0"))</f>
        <v/>
      </c>
      <c r="G858" s="11">
        <f>IF(OR($B858="",NOT(ISNUMBER($C858))),"",IF($D858&lt;&gt;"",ROUND(Points!$B$6*IF($F858&lt;Points!$H$4,Points!$H$5,1),0),ROUND(Points!$B$6*IF($F858&lt;=1,1,Points!$H$7+(1-Points!$H$7)*((($F858-$E858)*(($F858-$E858)+1)/2)^2-((($F858-$E858-COUNTIFS($A$5:$A$1668,$A858,$C$5:$C$1668,$C858)+1)-1)*($F858-$E858-COUNTIFS($A$5:$A$1668,$A858,$C$5:$C$1668,$C858)+1)/2)^2)/(COUNTIFS($A$5:$A$1668,$A858,$C$5:$C$1668,$C858)*($F858-1)^3))*IF($F858&lt;Points!$H$4,Points!$H$5,1),0)))</f>
        <v/>
      </c>
      <c r="H858" s="11">
        <f>IF($G858="","",COUNTIFS($B$5:$B$1668,$B858,$G$5:$G$1668,"&gt;"&amp;$G858)+COUNTIFS($B$4:$B857,$B858,$G$4:$G857,$G858)+1)</f>
        <v/>
      </c>
      <c r="I858" s="11">
        <f>IF($G858="","",IF($H858&lt;=Points!$H$6,$G858,0))</f>
        <v/>
      </c>
      <c r="J858" s="11">
        <f>IF($B858="","",IF(COUNTIF(Players!$A$2:$A$500,$B858)=0,"Player is not on the Players tab",IF(NOT(ISNUMBER($C858)),"Enter a gross score",IF(COUNTIFS($A$5:$A$1668,$A858,$B$5:$B$1668,$B858)&gt;1,"Player is listed twice this week",IF(AND($D858&lt;&gt;"",COUNTIFS($A$5:$A$1668,$A858,$D$5:$D$1668,$D858)&gt;1),"Two players picked as "&amp;$D858,IF(COUNTIFS($A$5:$A$1668,$A858,$D$5:$D$1668,"Gross winner")=0,"Pick this week's gross winner",IF(COUNTIFS($A$5:$A$1668,$A858,$D$5:$D$1668,"Net winner")=0,"Pick this week's net winner","OK")))))))</f>
        <v/>
      </c>
    </row>
    <row r="859" outlineLevel="1">
      <c r="A859" s="13" t="n">
        <v>46575</v>
      </c>
      <c r="E859" s="11">
        <f>IF(OR($B859="",NOT(ISNUMBER($C859))),"",COUNTIFS($A$5:$A$1668,$A859,$C$5:$C$1668,"&lt;"&amp;$C859)+1)</f>
        <v/>
      </c>
      <c r="F859" s="11">
        <f>IF(OR($B859="",NOT(ISNUMBER($C859))),"",COUNTIFS($A$5:$A$1668,$A859,$C$5:$C$1668,"&gt;0"))</f>
        <v/>
      </c>
      <c r="G859" s="11">
        <f>IF(OR($B859="",NOT(ISNUMBER($C859))),"",IF($D859&lt;&gt;"",ROUND(Points!$B$6*IF($F859&lt;Points!$H$4,Points!$H$5,1),0),ROUND(Points!$B$6*IF($F859&lt;=1,1,Points!$H$7+(1-Points!$H$7)*((($F859-$E859)*(($F859-$E859)+1)/2)^2-((($F859-$E859-COUNTIFS($A$5:$A$1668,$A859,$C$5:$C$1668,$C859)+1)-1)*($F859-$E859-COUNTIFS($A$5:$A$1668,$A859,$C$5:$C$1668,$C859)+1)/2)^2)/(COUNTIFS($A$5:$A$1668,$A859,$C$5:$C$1668,$C859)*($F859-1)^3))*IF($F859&lt;Points!$H$4,Points!$H$5,1),0)))</f>
        <v/>
      </c>
      <c r="H859" s="11">
        <f>IF($G859="","",COUNTIFS($B$5:$B$1668,$B859,$G$5:$G$1668,"&gt;"&amp;$G859)+COUNTIFS($B$4:$B858,$B859,$G$4:$G858,$G859)+1)</f>
        <v/>
      </c>
      <c r="I859" s="11">
        <f>IF($G859="","",IF($H859&lt;=Points!$H$6,$G859,0))</f>
        <v/>
      </c>
      <c r="J859" s="11">
        <f>IF($B859="","",IF(COUNTIF(Players!$A$2:$A$500,$B859)=0,"Player is not on the Players tab",IF(NOT(ISNUMBER($C859)),"Enter a gross score",IF(COUNTIFS($A$5:$A$1668,$A859,$B$5:$B$1668,$B859)&gt;1,"Player is listed twice this week",IF(AND($D859&lt;&gt;"",COUNTIFS($A$5:$A$1668,$A859,$D$5:$D$1668,$D859)&gt;1),"Two players picked as "&amp;$D859,IF(COUNTIFS($A$5:$A$1668,$A859,$D$5:$D$1668,"Gross winner")=0,"Pick this week's gross winner",IF(COUNTIFS($A$5:$A$1668,$A859,$D$5:$D$1668,"Net winner")=0,"Pick this week's net winner","OK")))))))</f>
        <v/>
      </c>
    </row>
    <row r="860" outlineLevel="1">
      <c r="A860" s="13" t="n">
        <v>46575</v>
      </c>
      <c r="E860" s="11">
        <f>IF(OR($B860="",NOT(ISNUMBER($C860))),"",COUNTIFS($A$5:$A$1668,$A860,$C$5:$C$1668,"&lt;"&amp;$C860)+1)</f>
        <v/>
      </c>
      <c r="F860" s="11">
        <f>IF(OR($B860="",NOT(ISNUMBER($C860))),"",COUNTIFS($A$5:$A$1668,$A860,$C$5:$C$1668,"&gt;0"))</f>
        <v/>
      </c>
      <c r="G860" s="11">
        <f>IF(OR($B860="",NOT(ISNUMBER($C860))),"",IF($D860&lt;&gt;"",ROUND(Points!$B$6*IF($F860&lt;Points!$H$4,Points!$H$5,1),0),ROUND(Points!$B$6*IF($F860&lt;=1,1,Points!$H$7+(1-Points!$H$7)*((($F860-$E860)*(($F860-$E860)+1)/2)^2-((($F860-$E860-COUNTIFS($A$5:$A$1668,$A860,$C$5:$C$1668,$C860)+1)-1)*($F860-$E860-COUNTIFS($A$5:$A$1668,$A860,$C$5:$C$1668,$C860)+1)/2)^2)/(COUNTIFS($A$5:$A$1668,$A860,$C$5:$C$1668,$C860)*($F860-1)^3))*IF($F860&lt;Points!$H$4,Points!$H$5,1),0)))</f>
        <v/>
      </c>
      <c r="H860" s="11">
        <f>IF($G860="","",COUNTIFS($B$5:$B$1668,$B860,$G$5:$G$1668,"&gt;"&amp;$G860)+COUNTIFS($B$4:$B859,$B860,$G$4:$G859,$G860)+1)</f>
        <v/>
      </c>
      <c r="I860" s="11">
        <f>IF($G860="","",IF($H860&lt;=Points!$H$6,$G860,0))</f>
        <v/>
      </c>
      <c r="J860" s="11">
        <f>IF($B860="","",IF(COUNTIF(Players!$A$2:$A$500,$B860)=0,"Player is not on the Players tab",IF(NOT(ISNUMBER($C860)),"Enter a gross score",IF(COUNTIFS($A$5:$A$1668,$A860,$B$5:$B$1668,$B860)&gt;1,"Player is listed twice this week",IF(AND($D860&lt;&gt;"",COUNTIFS($A$5:$A$1668,$A860,$D$5:$D$1668,$D860)&gt;1),"Two players picked as "&amp;$D860,IF(COUNTIFS($A$5:$A$1668,$A860,$D$5:$D$1668,"Gross winner")=0,"Pick this week's gross winner",IF(COUNTIFS($A$5:$A$1668,$A860,$D$5:$D$1668,"Net winner")=0,"Pick this week's net winner","OK")))))))</f>
        <v/>
      </c>
    </row>
    <row r="861" outlineLevel="1">
      <c r="A861" s="13" t="n">
        <v>46575</v>
      </c>
      <c r="E861" s="11">
        <f>IF(OR($B861="",NOT(ISNUMBER($C861))),"",COUNTIFS($A$5:$A$1668,$A861,$C$5:$C$1668,"&lt;"&amp;$C861)+1)</f>
        <v/>
      </c>
      <c r="F861" s="11">
        <f>IF(OR($B861="",NOT(ISNUMBER($C861))),"",COUNTIFS($A$5:$A$1668,$A861,$C$5:$C$1668,"&gt;0"))</f>
        <v/>
      </c>
      <c r="G861" s="11">
        <f>IF(OR($B861="",NOT(ISNUMBER($C861))),"",IF($D861&lt;&gt;"",ROUND(Points!$B$6*IF($F861&lt;Points!$H$4,Points!$H$5,1),0),ROUND(Points!$B$6*IF($F861&lt;=1,1,Points!$H$7+(1-Points!$H$7)*((($F861-$E861)*(($F861-$E861)+1)/2)^2-((($F861-$E861-COUNTIFS($A$5:$A$1668,$A861,$C$5:$C$1668,$C861)+1)-1)*($F861-$E861-COUNTIFS($A$5:$A$1668,$A861,$C$5:$C$1668,$C861)+1)/2)^2)/(COUNTIFS($A$5:$A$1668,$A861,$C$5:$C$1668,$C861)*($F861-1)^3))*IF($F861&lt;Points!$H$4,Points!$H$5,1),0)))</f>
        <v/>
      </c>
      <c r="H861" s="11">
        <f>IF($G861="","",COUNTIFS($B$5:$B$1668,$B861,$G$5:$G$1668,"&gt;"&amp;$G861)+COUNTIFS($B$4:$B860,$B861,$G$4:$G860,$G861)+1)</f>
        <v/>
      </c>
      <c r="I861" s="11">
        <f>IF($G861="","",IF($H861&lt;=Points!$H$6,$G861,0))</f>
        <v/>
      </c>
      <c r="J861" s="11">
        <f>IF($B861="","",IF(COUNTIF(Players!$A$2:$A$500,$B861)=0,"Player is not on the Players tab",IF(NOT(ISNUMBER($C861)),"Enter a gross score",IF(COUNTIFS($A$5:$A$1668,$A861,$B$5:$B$1668,$B861)&gt;1,"Player is listed twice this week",IF(AND($D861&lt;&gt;"",COUNTIFS($A$5:$A$1668,$A861,$D$5:$D$1668,$D861)&gt;1),"Two players picked as "&amp;$D861,IF(COUNTIFS($A$5:$A$1668,$A861,$D$5:$D$1668,"Gross winner")=0,"Pick this week's gross winner",IF(COUNTIFS($A$5:$A$1668,$A861,$D$5:$D$1668,"Net winner")=0,"Pick this week's net winner","OK")))))))</f>
        <v/>
      </c>
    </row>
    <row r="862" outlineLevel="1">
      <c r="A862" s="13" t="n">
        <v>46575</v>
      </c>
      <c r="E862" s="11">
        <f>IF(OR($B862="",NOT(ISNUMBER($C862))),"",COUNTIFS($A$5:$A$1668,$A862,$C$5:$C$1668,"&lt;"&amp;$C862)+1)</f>
        <v/>
      </c>
      <c r="F862" s="11">
        <f>IF(OR($B862="",NOT(ISNUMBER($C862))),"",COUNTIFS($A$5:$A$1668,$A862,$C$5:$C$1668,"&gt;0"))</f>
        <v/>
      </c>
      <c r="G862" s="11">
        <f>IF(OR($B862="",NOT(ISNUMBER($C862))),"",IF($D862&lt;&gt;"",ROUND(Points!$B$6*IF($F862&lt;Points!$H$4,Points!$H$5,1),0),ROUND(Points!$B$6*IF($F862&lt;=1,1,Points!$H$7+(1-Points!$H$7)*((($F862-$E862)*(($F862-$E862)+1)/2)^2-((($F862-$E862-COUNTIFS($A$5:$A$1668,$A862,$C$5:$C$1668,$C862)+1)-1)*($F862-$E862-COUNTIFS($A$5:$A$1668,$A862,$C$5:$C$1668,$C862)+1)/2)^2)/(COUNTIFS($A$5:$A$1668,$A862,$C$5:$C$1668,$C862)*($F862-1)^3))*IF($F862&lt;Points!$H$4,Points!$H$5,1),0)))</f>
        <v/>
      </c>
      <c r="H862" s="11">
        <f>IF($G862="","",COUNTIFS($B$5:$B$1668,$B862,$G$5:$G$1668,"&gt;"&amp;$G862)+COUNTIFS($B$4:$B861,$B862,$G$4:$G861,$G862)+1)</f>
        <v/>
      </c>
      <c r="I862" s="11">
        <f>IF($G862="","",IF($H862&lt;=Points!$H$6,$G862,0))</f>
        <v/>
      </c>
      <c r="J862" s="11">
        <f>IF($B862="","",IF(COUNTIF(Players!$A$2:$A$500,$B862)=0,"Player is not on the Players tab",IF(NOT(ISNUMBER($C862)),"Enter a gross score",IF(COUNTIFS($A$5:$A$1668,$A862,$B$5:$B$1668,$B862)&gt;1,"Player is listed twice this week",IF(AND($D862&lt;&gt;"",COUNTIFS($A$5:$A$1668,$A862,$D$5:$D$1668,$D862)&gt;1),"Two players picked as "&amp;$D862,IF(COUNTIFS($A$5:$A$1668,$A862,$D$5:$D$1668,"Gross winner")=0,"Pick this week's gross winner",IF(COUNTIFS($A$5:$A$1668,$A862,$D$5:$D$1668,"Net winner")=0,"Pick this week's net winner","OK")))))))</f>
        <v/>
      </c>
    </row>
    <row r="863" outlineLevel="1">
      <c r="A863" s="13" t="n">
        <v>46575</v>
      </c>
      <c r="E863" s="11">
        <f>IF(OR($B863="",NOT(ISNUMBER($C863))),"",COUNTIFS($A$5:$A$1668,$A863,$C$5:$C$1668,"&lt;"&amp;$C863)+1)</f>
        <v/>
      </c>
      <c r="F863" s="11">
        <f>IF(OR($B863="",NOT(ISNUMBER($C863))),"",COUNTIFS($A$5:$A$1668,$A863,$C$5:$C$1668,"&gt;0"))</f>
        <v/>
      </c>
      <c r="G863" s="11">
        <f>IF(OR($B863="",NOT(ISNUMBER($C863))),"",IF($D863&lt;&gt;"",ROUND(Points!$B$6*IF($F863&lt;Points!$H$4,Points!$H$5,1),0),ROUND(Points!$B$6*IF($F863&lt;=1,1,Points!$H$7+(1-Points!$H$7)*((($F863-$E863)*(($F863-$E863)+1)/2)^2-((($F863-$E863-COUNTIFS($A$5:$A$1668,$A863,$C$5:$C$1668,$C863)+1)-1)*($F863-$E863-COUNTIFS($A$5:$A$1668,$A863,$C$5:$C$1668,$C863)+1)/2)^2)/(COUNTIFS($A$5:$A$1668,$A863,$C$5:$C$1668,$C863)*($F863-1)^3))*IF($F863&lt;Points!$H$4,Points!$H$5,1),0)))</f>
        <v/>
      </c>
      <c r="H863" s="11">
        <f>IF($G863="","",COUNTIFS($B$5:$B$1668,$B863,$G$5:$G$1668,"&gt;"&amp;$G863)+COUNTIFS($B$4:$B862,$B863,$G$4:$G862,$G863)+1)</f>
        <v/>
      </c>
      <c r="I863" s="11">
        <f>IF($G863="","",IF($H863&lt;=Points!$H$6,$G863,0))</f>
        <v/>
      </c>
      <c r="J863" s="11">
        <f>IF($B863="","",IF(COUNTIF(Players!$A$2:$A$500,$B863)=0,"Player is not on the Players tab",IF(NOT(ISNUMBER($C863)),"Enter a gross score",IF(COUNTIFS($A$5:$A$1668,$A863,$B$5:$B$1668,$B863)&gt;1,"Player is listed twice this week",IF(AND($D863&lt;&gt;"",COUNTIFS($A$5:$A$1668,$A863,$D$5:$D$1668,$D863)&gt;1),"Two players picked as "&amp;$D863,IF(COUNTIFS($A$5:$A$1668,$A863,$D$5:$D$1668,"Gross winner")=0,"Pick this week's gross winner",IF(COUNTIFS($A$5:$A$1668,$A863,$D$5:$D$1668,"Net winner")=0,"Pick this week's net winner","OK")))))))</f>
        <v/>
      </c>
    </row>
    <row r="864" outlineLevel="1">
      <c r="A864" s="13" t="n">
        <v>46575</v>
      </c>
      <c r="E864" s="11">
        <f>IF(OR($B864="",NOT(ISNUMBER($C864))),"",COUNTIFS($A$5:$A$1668,$A864,$C$5:$C$1668,"&lt;"&amp;$C864)+1)</f>
        <v/>
      </c>
      <c r="F864" s="11">
        <f>IF(OR($B864="",NOT(ISNUMBER($C864))),"",COUNTIFS($A$5:$A$1668,$A864,$C$5:$C$1668,"&gt;0"))</f>
        <v/>
      </c>
      <c r="G864" s="11">
        <f>IF(OR($B864="",NOT(ISNUMBER($C864))),"",IF($D864&lt;&gt;"",ROUND(Points!$B$6*IF($F864&lt;Points!$H$4,Points!$H$5,1),0),ROUND(Points!$B$6*IF($F864&lt;=1,1,Points!$H$7+(1-Points!$H$7)*((($F864-$E864)*(($F864-$E864)+1)/2)^2-((($F864-$E864-COUNTIFS($A$5:$A$1668,$A864,$C$5:$C$1668,$C864)+1)-1)*($F864-$E864-COUNTIFS($A$5:$A$1668,$A864,$C$5:$C$1668,$C864)+1)/2)^2)/(COUNTIFS($A$5:$A$1668,$A864,$C$5:$C$1668,$C864)*($F864-1)^3))*IF($F864&lt;Points!$H$4,Points!$H$5,1),0)))</f>
        <v/>
      </c>
      <c r="H864" s="11">
        <f>IF($G864="","",COUNTIFS($B$5:$B$1668,$B864,$G$5:$G$1668,"&gt;"&amp;$G864)+COUNTIFS($B$4:$B863,$B864,$G$4:$G863,$G864)+1)</f>
        <v/>
      </c>
      <c r="I864" s="11">
        <f>IF($G864="","",IF($H864&lt;=Points!$H$6,$G864,0))</f>
        <v/>
      </c>
      <c r="J864" s="11">
        <f>IF($B864="","",IF(COUNTIF(Players!$A$2:$A$500,$B864)=0,"Player is not on the Players tab",IF(NOT(ISNUMBER($C864)),"Enter a gross score",IF(COUNTIFS($A$5:$A$1668,$A864,$B$5:$B$1668,$B864)&gt;1,"Player is listed twice this week",IF(AND($D864&lt;&gt;"",COUNTIFS($A$5:$A$1668,$A864,$D$5:$D$1668,$D864)&gt;1),"Two players picked as "&amp;$D864,IF(COUNTIFS($A$5:$A$1668,$A864,$D$5:$D$1668,"Gross winner")=0,"Pick this week's gross winner",IF(COUNTIFS($A$5:$A$1668,$A864,$D$5:$D$1668,"Net winner")=0,"Pick this week's net winner","OK")))))))</f>
        <v/>
      </c>
    </row>
    <row r="865" outlineLevel="1">
      <c r="A865" s="13" t="n">
        <v>46575</v>
      </c>
      <c r="E865" s="11">
        <f>IF(OR($B865="",NOT(ISNUMBER($C865))),"",COUNTIFS($A$5:$A$1668,$A865,$C$5:$C$1668,"&lt;"&amp;$C865)+1)</f>
        <v/>
      </c>
      <c r="F865" s="11">
        <f>IF(OR($B865="",NOT(ISNUMBER($C865))),"",COUNTIFS($A$5:$A$1668,$A865,$C$5:$C$1668,"&gt;0"))</f>
        <v/>
      </c>
      <c r="G865" s="11">
        <f>IF(OR($B865="",NOT(ISNUMBER($C865))),"",IF($D865&lt;&gt;"",ROUND(Points!$B$6*IF($F865&lt;Points!$H$4,Points!$H$5,1),0),ROUND(Points!$B$6*IF($F865&lt;=1,1,Points!$H$7+(1-Points!$H$7)*((($F865-$E865)*(($F865-$E865)+1)/2)^2-((($F865-$E865-COUNTIFS($A$5:$A$1668,$A865,$C$5:$C$1668,$C865)+1)-1)*($F865-$E865-COUNTIFS($A$5:$A$1668,$A865,$C$5:$C$1668,$C865)+1)/2)^2)/(COUNTIFS($A$5:$A$1668,$A865,$C$5:$C$1668,$C865)*($F865-1)^3))*IF($F865&lt;Points!$H$4,Points!$H$5,1),0)))</f>
        <v/>
      </c>
      <c r="H865" s="11">
        <f>IF($G865="","",COUNTIFS($B$5:$B$1668,$B865,$G$5:$G$1668,"&gt;"&amp;$G865)+COUNTIFS($B$4:$B864,$B865,$G$4:$G864,$G865)+1)</f>
        <v/>
      </c>
      <c r="I865" s="11">
        <f>IF($G865="","",IF($H865&lt;=Points!$H$6,$G865,0))</f>
        <v/>
      </c>
      <c r="J865" s="11">
        <f>IF($B865="","",IF(COUNTIF(Players!$A$2:$A$500,$B865)=0,"Player is not on the Players tab",IF(NOT(ISNUMBER($C865)),"Enter a gross score",IF(COUNTIFS($A$5:$A$1668,$A865,$B$5:$B$1668,$B865)&gt;1,"Player is listed twice this week",IF(AND($D865&lt;&gt;"",COUNTIFS($A$5:$A$1668,$A865,$D$5:$D$1668,$D865)&gt;1),"Two players picked as "&amp;$D865,IF(COUNTIFS($A$5:$A$1668,$A865,$D$5:$D$1668,"Gross winner")=0,"Pick this week's gross winner",IF(COUNTIFS($A$5:$A$1668,$A865,$D$5:$D$1668,"Net winner")=0,"Pick this week's net winner","OK")))))))</f>
        <v/>
      </c>
    </row>
    <row r="866" outlineLevel="1">
      <c r="A866" s="13" t="n">
        <v>46575</v>
      </c>
      <c r="E866" s="11">
        <f>IF(OR($B866="",NOT(ISNUMBER($C866))),"",COUNTIFS($A$5:$A$1668,$A866,$C$5:$C$1668,"&lt;"&amp;$C866)+1)</f>
        <v/>
      </c>
      <c r="F866" s="11">
        <f>IF(OR($B866="",NOT(ISNUMBER($C866))),"",COUNTIFS($A$5:$A$1668,$A866,$C$5:$C$1668,"&gt;0"))</f>
        <v/>
      </c>
      <c r="G866" s="11">
        <f>IF(OR($B866="",NOT(ISNUMBER($C866))),"",IF($D866&lt;&gt;"",ROUND(Points!$B$6*IF($F866&lt;Points!$H$4,Points!$H$5,1),0),ROUND(Points!$B$6*IF($F866&lt;=1,1,Points!$H$7+(1-Points!$H$7)*((($F866-$E866)*(($F866-$E866)+1)/2)^2-((($F866-$E866-COUNTIFS($A$5:$A$1668,$A866,$C$5:$C$1668,$C866)+1)-1)*($F866-$E866-COUNTIFS($A$5:$A$1668,$A866,$C$5:$C$1668,$C866)+1)/2)^2)/(COUNTIFS($A$5:$A$1668,$A866,$C$5:$C$1668,$C866)*($F866-1)^3))*IF($F866&lt;Points!$H$4,Points!$H$5,1),0)))</f>
        <v/>
      </c>
      <c r="H866" s="11">
        <f>IF($G866="","",COUNTIFS($B$5:$B$1668,$B866,$G$5:$G$1668,"&gt;"&amp;$G866)+COUNTIFS($B$4:$B865,$B866,$G$4:$G865,$G866)+1)</f>
        <v/>
      </c>
      <c r="I866" s="11">
        <f>IF($G866="","",IF($H866&lt;=Points!$H$6,$G866,0))</f>
        <v/>
      </c>
      <c r="J866" s="11">
        <f>IF($B866="","",IF(COUNTIF(Players!$A$2:$A$500,$B866)=0,"Player is not on the Players tab",IF(NOT(ISNUMBER($C866)),"Enter a gross score",IF(COUNTIFS($A$5:$A$1668,$A866,$B$5:$B$1668,$B866)&gt;1,"Player is listed twice this week",IF(AND($D866&lt;&gt;"",COUNTIFS($A$5:$A$1668,$A866,$D$5:$D$1668,$D866)&gt;1),"Two players picked as "&amp;$D866,IF(COUNTIFS($A$5:$A$1668,$A866,$D$5:$D$1668,"Gross winner")=0,"Pick this week's gross winner",IF(COUNTIFS($A$5:$A$1668,$A866,$D$5:$D$1668,"Net winner")=0,"Pick this week's net winner","OK")))))))</f>
        <v/>
      </c>
    </row>
    <row r="867" outlineLevel="1">
      <c r="A867" s="13" t="n">
        <v>46575</v>
      </c>
      <c r="E867" s="11">
        <f>IF(OR($B867="",NOT(ISNUMBER($C867))),"",COUNTIFS($A$5:$A$1668,$A867,$C$5:$C$1668,"&lt;"&amp;$C867)+1)</f>
        <v/>
      </c>
      <c r="F867" s="11">
        <f>IF(OR($B867="",NOT(ISNUMBER($C867))),"",COUNTIFS($A$5:$A$1668,$A867,$C$5:$C$1668,"&gt;0"))</f>
        <v/>
      </c>
      <c r="G867" s="11">
        <f>IF(OR($B867="",NOT(ISNUMBER($C867))),"",IF($D867&lt;&gt;"",ROUND(Points!$B$6*IF($F867&lt;Points!$H$4,Points!$H$5,1),0),ROUND(Points!$B$6*IF($F867&lt;=1,1,Points!$H$7+(1-Points!$H$7)*((($F867-$E867)*(($F867-$E867)+1)/2)^2-((($F867-$E867-COUNTIFS($A$5:$A$1668,$A867,$C$5:$C$1668,$C867)+1)-1)*($F867-$E867-COUNTIFS($A$5:$A$1668,$A867,$C$5:$C$1668,$C867)+1)/2)^2)/(COUNTIFS($A$5:$A$1668,$A867,$C$5:$C$1668,$C867)*($F867-1)^3))*IF($F867&lt;Points!$H$4,Points!$H$5,1),0)))</f>
        <v/>
      </c>
      <c r="H867" s="11">
        <f>IF($G867="","",COUNTIFS($B$5:$B$1668,$B867,$G$5:$G$1668,"&gt;"&amp;$G867)+COUNTIFS($B$4:$B866,$B867,$G$4:$G866,$G867)+1)</f>
        <v/>
      </c>
      <c r="I867" s="11">
        <f>IF($G867="","",IF($H867&lt;=Points!$H$6,$G867,0))</f>
        <v/>
      </c>
      <c r="J867" s="11">
        <f>IF($B867="","",IF(COUNTIF(Players!$A$2:$A$500,$B867)=0,"Player is not on the Players tab",IF(NOT(ISNUMBER($C867)),"Enter a gross score",IF(COUNTIFS($A$5:$A$1668,$A867,$B$5:$B$1668,$B867)&gt;1,"Player is listed twice this week",IF(AND($D867&lt;&gt;"",COUNTIFS($A$5:$A$1668,$A867,$D$5:$D$1668,$D867)&gt;1),"Two players picked as "&amp;$D867,IF(COUNTIFS($A$5:$A$1668,$A867,$D$5:$D$1668,"Gross winner")=0,"Pick this week's gross winner",IF(COUNTIFS($A$5:$A$1668,$A867,$D$5:$D$1668,"Net winner")=0,"Pick this week's net winner","OK")))))))</f>
        <v/>
      </c>
    </row>
    <row r="868" ht="10" customHeight="1"/>
    <row r="869" ht="22" customHeight="1">
      <c r="A869" s="12" t="inlineStr">
        <is>
          <t>Week 28  ·  Wednesday, Jul 14</t>
        </is>
      </c>
    </row>
    <row r="870" outlineLevel="1">
      <c r="A870" s="13" t="n">
        <v>46582</v>
      </c>
      <c r="E870" s="11">
        <f>IF(OR($B870="",NOT(ISNUMBER($C870))),"",COUNTIFS($A$5:$A$1668,$A870,$C$5:$C$1668,"&lt;"&amp;$C870)+1)</f>
        <v/>
      </c>
      <c r="F870" s="11">
        <f>IF(OR($B870="",NOT(ISNUMBER($C870))),"",COUNTIFS($A$5:$A$1668,$A870,$C$5:$C$1668,"&gt;0"))</f>
        <v/>
      </c>
      <c r="G870" s="11">
        <f>IF(OR($B870="",NOT(ISNUMBER($C870))),"",IF($D870&lt;&gt;"",ROUND(Points!$B$6*IF($F870&lt;Points!$H$4,Points!$H$5,1),0),ROUND(Points!$B$6*IF($F870&lt;=1,1,Points!$H$7+(1-Points!$H$7)*((($F870-$E870)*(($F870-$E870)+1)/2)^2-((($F870-$E870-COUNTIFS($A$5:$A$1668,$A870,$C$5:$C$1668,$C870)+1)-1)*($F870-$E870-COUNTIFS($A$5:$A$1668,$A870,$C$5:$C$1668,$C870)+1)/2)^2)/(COUNTIFS($A$5:$A$1668,$A870,$C$5:$C$1668,$C870)*($F870-1)^3))*IF($F870&lt;Points!$H$4,Points!$H$5,1),0)))</f>
        <v/>
      </c>
      <c r="H870" s="11">
        <f>IF($G870="","",COUNTIFS($B$5:$B$1668,$B870,$G$5:$G$1668,"&gt;"&amp;$G870)+COUNTIFS($B$4:$B869,$B870,$G$4:$G869,$G870)+1)</f>
        <v/>
      </c>
      <c r="I870" s="11">
        <f>IF($G870="","",IF($H870&lt;=Points!$H$6,$G870,0))</f>
        <v/>
      </c>
      <c r="J870" s="11">
        <f>IF($B870="","",IF(COUNTIF(Players!$A$2:$A$500,$B870)=0,"Player is not on the Players tab",IF(NOT(ISNUMBER($C870)),"Enter a gross score",IF(COUNTIFS($A$5:$A$1668,$A870,$B$5:$B$1668,$B870)&gt;1,"Player is listed twice this week",IF(AND($D870&lt;&gt;"",COUNTIFS($A$5:$A$1668,$A870,$D$5:$D$1668,$D870)&gt;1),"Two players picked as "&amp;$D870,IF(COUNTIFS($A$5:$A$1668,$A870,$D$5:$D$1668,"Gross winner")=0,"Pick this week's gross winner",IF(COUNTIFS($A$5:$A$1668,$A870,$D$5:$D$1668,"Net winner")=0,"Pick this week's net winner","OK")))))))</f>
        <v/>
      </c>
    </row>
    <row r="871" outlineLevel="1">
      <c r="A871" s="13" t="n">
        <v>46582</v>
      </c>
      <c r="E871" s="11">
        <f>IF(OR($B871="",NOT(ISNUMBER($C871))),"",COUNTIFS($A$5:$A$1668,$A871,$C$5:$C$1668,"&lt;"&amp;$C871)+1)</f>
        <v/>
      </c>
      <c r="F871" s="11">
        <f>IF(OR($B871="",NOT(ISNUMBER($C871))),"",COUNTIFS($A$5:$A$1668,$A871,$C$5:$C$1668,"&gt;0"))</f>
        <v/>
      </c>
      <c r="G871" s="11">
        <f>IF(OR($B871="",NOT(ISNUMBER($C871))),"",IF($D871&lt;&gt;"",ROUND(Points!$B$6*IF($F871&lt;Points!$H$4,Points!$H$5,1),0),ROUND(Points!$B$6*IF($F871&lt;=1,1,Points!$H$7+(1-Points!$H$7)*((($F871-$E871)*(($F871-$E871)+1)/2)^2-((($F871-$E871-COUNTIFS($A$5:$A$1668,$A871,$C$5:$C$1668,$C871)+1)-1)*($F871-$E871-COUNTIFS($A$5:$A$1668,$A871,$C$5:$C$1668,$C871)+1)/2)^2)/(COUNTIFS($A$5:$A$1668,$A871,$C$5:$C$1668,$C871)*($F871-1)^3))*IF($F871&lt;Points!$H$4,Points!$H$5,1),0)))</f>
        <v/>
      </c>
      <c r="H871" s="11">
        <f>IF($G871="","",COUNTIFS($B$5:$B$1668,$B871,$G$5:$G$1668,"&gt;"&amp;$G871)+COUNTIFS($B$4:$B870,$B871,$G$4:$G870,$G871)+1)</f>
        <v/>
      </c>
      <c r="I871" s="11">
        <f>IF($G871="","",IF($H871&lt;=Points!$H$6,$G871,0))</f>
        <v/>
      </c>
      <c r="J871" s="11">
        <f>IF($B871="","",IF(COUNTIF(Players!$A$2:$A$500,$B871)=0,"Player is not on the Players tab",IF(NOT(ISNUMBER($C871)),"Enter a gross score",IF(COUNTIFS($A$5:$A$1668,$A871,$B$5:$B$1668,$B871)&gt;1,"Player is listed twice this week",IF(AND($D871&lt;&gt;"",COUNTIFS($A$5:$A$1668,$A871,$D$5:$D$1668,$D871)&gt;1),"Two players picked as "&amp;$D871,IF(COUNTIFS($A$5:$A$1668,$A871,$D$5:$D$1668,"Gross winner")=0,"Pick this week's gross winner",IF(COUNTIFS($A$5:$A$1668,$A871,$D$5:$D$1668,"Net winner")=0,"Pick this week's net winner","OK")))))))</f>
        <v/>
      </c>
    </row>
    <row r="872" outlineLevel="1">
      <c r="A872" s="13" t="n">
        <v>46582</v>
      </c>
      <c r="E872" s="11">
        <f>IF(OR($B872="",NOT(ISNUMBER($C872))),"",COUNTIFS($A$5:$A$1668,$A872,$C$5:$C$1668,"&lt;"&amp;$C872)+1)</f>
        <v/>
      </c>
      <c r="F872" s="11">
        <f>IF(OR($B872="",NOT(ISNUMBER($C872))),"",COUNTIFS($A$5:$A$1668,$A872,$C$5:$C$1668,"&gt;0"))</f>
        <v/>
      </c>
      <c r="G872" s="11">
        <f>IF(OR($B872="",NOT(ISNUMBER($C872))),"",IF($D872&lt;&gt;"",ROUND(Points!$B$6*IF($F872&lt;Points!$H$4,Points!$H$5,1),0),ROUND(Points!$B$6*IF($F872&lt;=1,1,Points!$H$7+(1-Points!$H$7)*((($F872-$E872)*(($F872-$E872)+1)/2)^2-((($F872-$E872-COUNTIFS($A$5:$A$1668,$A872,$C$5:$C$1668,$C872)+1)-1)*($F872-$E872-COUNTIFS($A$5:$A$1668,$A872,$C$5:$C$1668,$C872)+1)/2)^2)/(COUNTIFS($A$5:$A$1668,$A872,$C$5:$C$1668,$C872)*($F872-1)^3))*IF($F872&lt;Points!$H$4,Points!$H$5,1),0)))</f>
        <v/>
      </c>
      <c r="H872" s="11">
        <f>IF($G872="","",COUNTIFS($B$5:$B$1668,$B872,$G$5:$G$1668,"&gt;"&amp;$G872)+COUNTIFS($B$4:$B871,$B872,$G$4:$G871,$G872)+1)</f>
        <v/>
      </c>
      <c r="I872" s="11">
        <f>IF($G872="","",IF($H872&lt;=Points!$H$6,$G872,0))</f>
        <v/>
      </c>
      <c r="J872" s="11">
        <f>IF($B872="","",IF(COUNTIF(Players!$A$2:$A$500,$B872)=0,"Player is not on the Players tab",IF(NOT(ISNUMBER($C872)),"Enter a gross score",IF(COUNTIFS($A$5:$A$1668,$A872,$B$5:$B$1668,$B872)&gt;1,"Player is listed twice this week",IF(AND($D872&lt;&gt;"",COUNTIFS($A$5:$A$1668,$A872,$D$5:$D$1668,$D872)&gt;1),"Two players picked as "&amp;$D872,IF(COUNTIFS($A$5:$A$1668,$A872,$D$5:$D$1668,"Gross winner")=0,"Pick this week's gross winner",IF(COUNTIFS($A$5:$A$1668,$A872,$D$5:$D$1668,"Net winner")=0,"Pick this week's net winner","OK")))))))</f>
        <v/>
      </c>
    </row>
    <row r="873" outlineLevel="1">
      <c r="A873" s="13" t="n">
        <v>46582</v>
      </c>
      <c r="E873" s="11">
        <f>IF(OR($B873="",NOT(ISNUMBER($C873))),"",COUNTIFS($A$5:$A$1668,$A873,$C$5:$C$1668,"&lt;"&amp;$C873)+1)</f>
        <v/>
      </c>
      <c r="F873" s="11">
        <f>IF(OR($B873="",NOT(ISNUMBER($C873))),"",COUNTIFS($A$5:$A$1668,$A873,$C$5:$C$1668,"&gt;0"))</f>
        <v/>
      </c>
      <c r="G873" s="11">
        <f>IF(OR($B873="",NOT(ISNUMBER($C873))),"",IF($D873&lt;&gt;"",ROUND(Points!$B$6*IF($F873&lt;Points!$H$4,Points!$H$5,1),0),ROUND(Points!$B$6*IF($F873&lt;=1,1,Points!$H$7+(1-Points!$H$7)*((($F873-$E873)*(($F873-$E873)+1)/2)^2-((($F873-$E873-COUNTIFS($A$5:$A$1668,$A873,$C$5:$C$1668,$C873)+1)-1)*($F873-$E873-COUNTIFS($A$5:$A$1668,$A873,$C$5:$C$1668,$C873)+1)/2)^2)/(COUNTIFS($A$5:$A$1668,$A873,$C$5:$C$1668,$C873)*($F873-1)^3))*IF($F873&lt;Points!$H$4,Points!$H$5,1),0)))</f>
        <v/>
      </c>
      <c r="H873" s="11">
        <f>IF($G873="","",COUNTIFS($B$5:$B$1668,$B873,$G$5:$G$1668,"&gt;"&amp;$G873)+COUNTIFS($B$4:$B872,$B873,$G$4:$G872,$G873)+1)</f>
        <v/>
      </c>
      <c r="I873" s="11">
        <f>IF($G873="","",IF($H873&lt;=Points!$H$6,$G873,0))</f>
        <v/>
      </c>
      <c r="J873" s="11">
        <f>IF($B873="","",IF(COUNTIF(Players!$A$2:$A$500,$B873)=0,"Player is not on the Players tab",IF(NOT(ISNUMBER($C873)),"Enter a gross score",IF(COUNTIFS($A$5:$A$1668,$A873,$B$5:$B$1668,$B873)&gt;1,"Player is listed twice this week",IF(AND($D873&lt;&gt;"",COUNTIFS($A$5:$A$1668,$A873,$D$5:$D$1668,$D873)&gt;1),"Two players picked as "&amp;$D873,IF(COUNTIFS($A$5:$A$1668,$A873,$D$5:$D$1668,"Gross winner")=0,"Pick this week's gross winner",IF(COUNTIFS($A$5:$A$1668,$A873,$D$5:$D$1668,"Net winner")=0,"Pick this week's net winner","OK")))))))</f>
        <v/>
      </c>
    </row>
    <row r="874" outlineLevel="1">
      <c r="A874" s="13" t="n">
        <v>46582</v>
      </c>
      <c r="E874" s="11">
        <f>IF(OR($B874="",NOT(ISNUMBER($C874))),"",COUNTIFS($A$5:$A$1668,$A874,$C$5:$C$1668,"&lt;"&amp;$C874)+1)</f>
        <v/>
      </c>
      <c r="F874" s="11">
        <f>IF(OR($B874="",NOT(ISNUMBER($C874))),"",COUNTIFS($A$5:$A$1668,$A874,$C$5:$C$1668,"&gt;0"))</f>
        <v/>
      </c>
      <c r="G874" s="11">
        <f>IF(OR($B874="",NOT(ISNUMBER($C874))),"",IF($D874&lt;&gt;"",ROUND(Points!$B$6*IF($F874&lt;Points!$H$4,Points!$H$5,1),0),ROUND(Points!$B$6*IF($F874&lt;=1,1,Points!$H$7+(1-Points!$H$7)*((($F874-$E874)*(($F874-$E874)+1)/2)^2-((($F874-$E874-COUNTIFS($A$5:$A$1668,$A874,$C$5:$C$1668,$C874)+1)-1)*($F874-$E874-COUNTIFS($A$5:$A$1668,$A874,$C$5:$C$1668,$C874)+1)/2)^2)/(COUNTIFS($A$5:$A$1668,$A874,$C$5:$C$1668,$C874)*($F874-1)^3))*IF($F874&lt;Points!$H$4,Points!$H$5,1),0)))</f>
        <v/>
      </c>
      <c r="H874" s="11">
        <f>IF($G874="","",COUNTIFS($B$5:$B$1668,$B874,$G$5:$G$1668,"&gt;"&amp;$G874)+COUNTIFS($B$4:$B873,$B874,$G$4:$G873,$G874)+1)</f>
        <v/>
      </c>
      <c r="I874" s="11">
        <f>IF($G874="","",IF($H874&lt;=Points!$H$6,$G874,0))</f>
        <v/>
      </c>
      <c r="J874" s="11">
        <f>IF($B874="","",IF(COUNTIF(Players!$A$2:$A$500,$B874)=0,"Player is not on the Players tab",IF(NOT(ISNUMBER($C874)),"Enter a gross score",IF(COUNTIFS($A$5:$A$1668,$A874,$B$5:$B$1668,$B874)&gt;1,"Player is listed twice this week",IF(AND($D874&lt;&gt;"",COUNTIFS($A$5:$A$1668,$A874,$D$5:$D$1668,$D874)&gt;1),"Two players picked as "&amp;$D874,IF(COUNTIFS($A$5:$A$1668,$A874,$D$5:$D$1668,"Gross winner")=0,"Pick this week's gross winner",IF(COUNTIFS($A$5:$A$1668,$A874,$D$5:$D$1668,"Net winner")=0,"Pick this week's net winner","OK")))))))</f>
        <v/>
      </c>
    </row>
    <row r="875" outlineLevel="1">
      <c r="A875" s="13" t="n">
        <v>46582</v>
      </c>
      <c r="E875" s="11">
        <f>IF(OR($B875="",NOT(ISNUMBER($C875))),"",COUNTIFS($A$5:$A$1668,$A875,$C$5:$C$1668,"&lt;"&amp;$C875)+1)</f>
        <v/>
      </c>
      <c r="F875" s="11">
        <f>IF(OR($B875="",NOT(ISNUMBER($C875))),"",COUNTIFS($A$5:$A$1668,$A875,$C$5:$C$1668,"&gt;0"))</f>
        <v/>
      </c>
      <c r="G875" s="11">
        <f>IF(OR($B875="",NOT(ISNUMBER($C875))),"",IF($D875&lt;&gt;"",ROUND(Points!$B$6*IF($F875&lt;Points!$H$4,Points!$H$5,1),0),ROUND(Points!$B$6*IF($F875&lt;=1,1,Points!$H$7+(1-Points!$H$7)*((($F875-$E875)*(($F875-$E875)+1)/2)^2-((($F875-$E875-COUNTIFS($A$5:$A$1668,$A875,$C$5:$C$1668,$C875)+1)-1)*($F875-$E875-COUNTIFS($A$5:$A$1668,$A875,$C$5:$C$1668,$C875)+1)/2)^2)/(COUNTIFS($A$5:$A$1668,$A875,$C$5:$C$1668,$C875)*($F875-1)^3))*IF($F875&lt;Points!$H$4,Points!$H$5,1),0)))</f>
        <v/>
      </c>
      <c r="H875" s="11">
        <f>IF($G875="","",COUNTIFS($B$5:$B$1668,$B875,$G$5:$G$1668,"&gt;"&amp;$G875)+COUNTIFS($B$4:$B874,$B875,$G$4:$G874,$G875)+1)</f>
        <v/>
      </c>
      <c r="I875" s="11">
        <f>IF($G875="","",IF($H875&lt;=Points!$H$6,$G875,0))</f>
        <v/>
      </c>
      <c r="J875" s="11">
        <f>IF($B875="","",IF(COUNTIF(Players!$A$2:$A$500,$B875)=0,"Player is not on the Players tab",IF(NOT(ISNUMBER($C875)),"Enter a gross score",IF(COUNTIFS($A$5:$A$1668,$A875,$B$5:$B$1668,$B875)&gt;1,"Player is listed twice this week",IF(AND($D875&lt;&gt;"",COUNTIFS($A$5:$A$1668,$A875,$D$5:$D$1668,$D875)&gt;1),"Two players picked as "&amp;$D875,IF(COUNTIFS($A$5:$A$1668,$A875,$D$5:$D$1668,"Gross winner")=0,"Pick this week's gross winner",IF(COUNTIFS($A$5:$A$1668,$A875,$D$5:$D$1668,"Net winner")=0,"Pick this week's net winner","OK")))))))</f>
        <v/>
      </c>
    </row>
    <row r="876" outlineLevel="1">
      <c r="A876" s="13" t="n">
        <v>46582</v>
      </c>
      <c r="E876" s="11">
        <f>IF(OR($B876="",NOT(ISNUMBER($C876))),"",COUNTIFS($A$5:$A$1668,$A876,$C$5:$C$1668,"&lt;"&amp;$C876)+1)</f>
        <v/>
      </c>
      <c r="F876" s="11">
        <f>IF(OR($B876="",NOT(ISNUMBER($C876))),"",COUNTIFS($A$5:$A$1668,$A876,$C$5:$C$1668,"&gt;0"))</f>
        <v/>
      </c>
      <c r="G876" s="11">
        <f>IF(OR($B876="",NOT(ISNUMBER($C876))),"",IF($D876&lt;&gt;"",ROUND(Points!$B$6*IF($F876&lt;Points!$H$4,Points!$H$5,1),0),ROUND(Points!$B$6*IF($F876&lt;=1,1,Points!$H$7+(1-Points!$H$7)*((($F876-$E876)*(($F876-$E876)+1)/2)^2-((($F876-$E876-COUNTIFS($A$5:$A$1668,$A876,$C$5:$C$1668,$C876)+1)-1)*($F876-$E876-COUNTIFS($A$5:$A$1668,$A876,$C$5:$C$1668,$C876)+1)/2)^2)/(COUNTIFS($A$5:$A$1668,$A876,$C$5:$C$1668,$C876)*($F876-1)^3))*IF($F876&lt;Points!$H$4,Points!$H$5,1),0)))</f>
        <v/>
      </c>
      <c r="H876" s="11">
        <f>IF($G876="","",COUNTIFS($B$5:$B$1668,$B876,$G$5:$G$1668,"&gt;"&amp;$G876)+COUNTIFS($B$4:$B875,$B876,$G$4:$G875,$G876)+1)</f>
        <v/>
      </c>
      <c r="I876" s="11">
        <f>IF($G876="","",IF($H876&lt;=Points!$H$6,$G876,0))</f>
        <v/>
      </c>
      <c r="J876" s="11">
        <f>IF($B876="","",IF(COUNTIF(Players!$A$2:$A$500,$B876)=0,"Player is not on the Players tab",IF(NOT(ISNUMBER($C876)),"Enter a gross score",IF(COUNTIFS($A$5:$A$1668,$A876,$B$5:$B$1668,$B876)&gt;1,"Player is listed twice this week",IF(AND($D876&lt;&gt;"",COUNTIFS($A$5:$A$1668,$A876,$D$5:$D$1668,$D876)&gt;1),"Two players picked as "&amp;$D876,IF(COUNTIFS($A$5:$A$1668,$A876,$D$5:$D$1668,"Gross winner")=0,"Pick this week's gross winner",IF(COUNTIFS($A$5:$A$1668,$A876,$D$5:$D$1668,"Net winner")=0,"Pick this week's net winner","OK")))))))</f>
        <v/>
      </c>
    </row>
    <row r="877" outlineLevel="1">
      <c r="A877" s="13" t="n">
        <v>46582</v>
      </c>
      <c r="E877" s="11">
        <f>IF(OR($B877="",NOT(ISNUMBER($C877))),"",COUNTIFS($A$5:$A$1668,$A877,$C$5:$C$1668,"&lt;"&amp;$C877)+1)</f>
        <v/>
      </c>
      <c r="F877" s="11">
        <f>IF(OR($B877="",NOT(ISNUMBER($C877))),"",COUNTIFS($A$5:$A$1668,$A877,$C$5:$C$1668,"&gt;0"))</f>
        <v/>
      </c>
      <c r="G877" s="11">
        <f>IF(OR($B877="",NOT(ISNUMBER($C877))),"",IF($D877&lt;&gt;"",ROUND(Points!$B$6*IF($F877&lt;Points!$H$4,Points!$H$5,1),0),ROUND(Points!$B$6*IF($F877&lt;=1,1,Points!$H$7+(1-Points!$H$7)*((($F877-$E877)*(($F877-$E877)+1)/2)^2-((($F877-$E877-COUNTIFS($A$5:$A$1668,$A877,$C$5:$C$1668,$C877)+1)-1)*($F877-$E877-COUNTIFS($A$5:$A$1668,$A877,$C$5:$C$1668,$C877)+1)/2)^2)/(COUNTIFS($A$5:$A$1668,$A877,$C$5:$C$1668,$C877)*($F877-1)^3))*IF($F877&lt;Points!$H$4,Points!$H$5,1),0)))</f>
        <v/>
      </c>
      <c r="H877" s="11">
        <f>IF($G877="","",COUNTIFS($B$5:$B$1668,$B877,$G$5:$G$1668,"&gt;"&amp;$G877)+COUNTIFS($B$4:$B876,$B877,$G$4:$G876,$G877)+1)</f>
        <v/>
      </c>
      <c r="I877" s="11">
        <f>IF($G877="","",IF($H877&lt;=Points!$H$6,$G877,0))</f>
        <v/>
      </c>
      <c r="J877" s="11">
        <f>IF($B877="","",IF(COUNTIF(Players!$A$2:$A$500,$B877)=0,"Player is not on the Players tab",IF(NOT(ISNUMBER($C877)),"Enter a gross score",IF(COUNTIFS($A$5:$A$1668,$A877,$B$5:$B$1668,$B877)&gt;1,"Player is listed twice this week",IF(AND($D877&lt;&gt;"",COUNTIFS($A$5:$A$1668,$A877,$D$5:$D$1668,$D877)&gt;1),"Two players picked as "&amp;$D877,IF(COUNTIFS($A$5:$A$1668,$A877,$D$5:$D$1668,"Gross winner")=0,"Pick this week's gross winner",IF(COUNTIFS($A$5:$A$1668,$A877,$D$5:$D$1668,"Net winner")=0,"Pick this week's net winner","OK")))))))</f>
        <v/>
      </c>
    </row>
    <row r="878" outlineLevel="1">
      <c r="A878" s="13" t="n">
        <v>46582</v>
      </c>
      <c r="E878" s="11">
        <f>IF(OR($B878="",NOT(ISNUMBER($C878))),"",COUNTIFS($A$5:$A$1668,$A878,$C$5:$C$1668,"&lt;"&amp;$C878)+1)</f>
        <v/>
      </c>
      <c r="F878" s="11">
        <f>IF(OR($B878="",NOT(ISNUMBER($C878))),"",COUNTIFS($A$5:$A$1668,$A878,$C$5:$C$1668,"&gt;0"))</f>
        <v/>
      </c>
      <c r="G878" s="11">
        <f>IF(OR($B878="",NOT(ISNUMBER($C878))),"",IF($D878&lt;&gt;"",ROUND(Points!$B$6*IF($F878&lt;Points!$H$4,Points!$H$5,1),0),ROUND(Points!$B$6*IF($F878&lt;=1,1,Points!$H$7+(1-Points!$H$7)*((($F878-$E878)*(($F878-$E878)+1)/2)^2-((($F878-$E878-COUNTIFS($A$5:$A$1668,$A878,$C$5:$C$1668,$C878)+1)-1)*($F878-$E878-COUNTIFS($A$5:$A$1668,$A878,$C$5:$C$1668,$C878)+1)/2)^2)/(COUNTIFS($A$5:$A$1668,$A878,$C$5:$C$1668,$C878)*($F878-1)^3))*IF($F878&lt;Points!$H$4,Points!$H$5,1),0)))</f>
        <v/>
      </c>
      <c r="H878" s="11">
        <f>IF($G878="","",COUNTIFS($B$5:$B$1668,$B878,$G$5:$G$1668,"&gt;"&amp;$G878)+COUNTIFS($B$4:$B877,$B878,$G$4:$G877,$G878)+1)</f>
        <v/>
      </c>
      <c r="I878" s="11">
        <f>IF($G878="","",IF($H878&lt;=Points!$H$6,$G878,0))</f>
        <v/>
      </c>
      <c r="J878" s="11">
        <f>IF($B878="","",IF(COUNTIF(Players!$A$2:$A$500,$B878)=0,"Player is not on the Players tab",IF(NOT(ISNUMBER($C878)),"Enter a gross score",IF(COUNTIFS($A$5:$A$1668,$A878,$B$5:$B$1668,$B878)&gt;1,"Player is listed twice this week",IF(AND($D878&lt;&gt;"",COUNTIFS($A$5:$A$1668,$A878,$D$5:$D$1668,$D878)&gt;1),"Two players picked as "&amp;$D878,IF(COUNTIFS($A$5:$A$1668,$A878,$D$5:$D$1668,"Gross winner")=0,"Pick this week's gross winner",IF(COUNTIFS($A$5:$A$1668,$A878,$D$5:$D$1668,"Net winner")=0,"Pick this week's net winner","OK")))))))</f>
        <v/>
      </c>
    </row>
    <row r="879" outlineLevel="1">
      <c r="A879" s="13" t="n">
        <v>46582</v>
      </c>
      <c r="E879" s="11">
        <f>IF(OR($B879="",NOT(ISNUMBER($C879))),"",COUNTIFS($A$5:$A$1668,$A879,$C$5:$C$1668,"&lt;"&amp;$C879)+1)</f>
        <v/>
      </c>
      <c r="F879" s="11">
        <f>IF(OR($B879="",NOT(ISNUMBER($C879))),"",COUNTIFS($A$5:$A$1668,$A879,$C$5:$C$1668,"&gt;0"))</f>
        <v/>
      </c>
      <c r="G879" s="11">
        <f>IF(OR($B879="",NOT(ISNUMBER($C879))),"",IF($D879&lt;&gt;"",ROUND(Points!$B$6*IF($F879&lt;Points!$H$4,Points!$H$5,1),0),ROUND(Points!$B$6*IF($F879&lt;=1,1,Points!$H$7+(1-Points!$H$7)*((($F879-$E879)*(($F879-$E879)+1)/2)^2-((($F879-$E879-COUNTIFS($A$5:$A$1668,$A879,$C$5:$C$1668,$C879)+1)-1)*($F879-$E879-COUNTIFS($A$5:$A$1668,$A879,$C$5:$C$1668,$C879)+1)/2)^2)/(COUNTIFS($A$5:$A$1668,$A879,$C$5:$C$1668,$C879)*($F879-1)^3))*IF($F879&lt;Points!$H$4,Points!$H$5,1),0)))</f>
        <v/>
      </c>
      <c r="H879" s="11">
        <f>IF($G879="","",COUNTIFS($B$5:$B$1668,$B879,$G$5:$G$1668,"&gt;"&amp;$G879)+COUNTIFS($B$4:$B878,$B879,$G$4:$G878,$G879)+1)</f>
        <v/>
      </c>
      <c r="I879" s="11">
        <f>IF($G879="","",IF($H879&lt;=Points!$H$6,$G879,0))</f>
        <v/>
      </c>
      <c r="J879" s="11">
        <f>IF($B879="","",IF(COUNTIF(Players!$A$2:$A$500,$B879)=0,"Player is not on the Players tab",IF(NOT(ISNUMBER($C879)),"Enter a gross score",IF(COUNTIFS($A$5:$A$1668,$A879,$B$5:$B$1668,$B879)&gt;1,"Player is listed twice this week",IF(AND($D879&lt;&gt;"",COUNTIFS($A$5:$A$1668,$A879,$D$5:$D$1668,$D879)&gt;1),"Two players picked as "&amp;$D879,IF(COUNTIFS($A$5:$A$1668,$A879,$D$5:$D$1668,"Gross winner")=0,"Pick this week's gross winner",IF(COUNTIFS($A$5:$A$1668,$A879,$D$5:$D$1668,"Net winner")=0,"Pick this week's net winner","OK")))))))</f>
        <v/>
      </c>
    </row>
    <row r="880" outlineLevel="1">
      <c r="A880" s="13" t="n">
        <v>46582</v>
      </c>
      <c r="E880" s="11">
        <f>IF(OR($B880="",NOT(ISNUMBER($C880))),"",COUNTIFS($A$5:$A$1668,$A880,$C$5:$C$1668,"&lt;"&amp;$C880)+1)</f>
        <v/>
      </c>
      <c r="F880" s="11">
        <f>IF(OR($B880="",NOT(ISNUMBER($C880))),"",COUNTIFS($A$5:$A$1668,$A880,$C$5:$C$1668,"&gt;0"))</f>
        <v/>
      </c>
      <c r="G880" s="11">
        <f>IF(OR($B880="",NOT(ISNUMBER($C880))),"",IF($D880&lt;&gt;"",ROUND(Points!$B$6*IF($F880&lt;Points!$H$4,Points!$H$5,1),0),ROUND(Points!$B$6*IF($F880&lt;=1,1,Points!$H$7+(1-Points!$H$7)*((($F880-$E880)*(($F880-$E880)+1)/2)^2-((($F880-$E880-COUNTIFS($A$5:$A$1668,$A880,$C$5:$C$1668,$C880)+1)-1)*($F880-$E880-COUNTIFS($A$5:$A$1668,$A880,$C$5:$C$1668,$C880)+1)/2)^2)/(COUNTIFS($A$5:$A$1668,$A880,$C$5:$C$1668,$C880)*($F880-1)^3))*IF($F880&lt;Points!$H$4,Points!$H$5,1),0)))</f>
        <v/>
      </c>
      <c r="H880" s="11">
        <f>IF($G880="","",COUNTIFS($B$5:$B$1668,$B880,$G$5:$G$1668,"&gt;"&amp;$G880)+COUNTIFS($B$4:$B879,$B880,$G$4:$G879,$G880)+1)</f>
        <v/>
      </c>
      <c r="I880" s="11">
        <f>IF($G880="","",IF($H880&lt;=Points!$H$6,$G880,0))</f>
        <v/>
      </c>
      <c r="J880" s="11">
        <f>IF($B880="","",IF(COUNTIF(Players!$A$2:$A$500,$B880)=0,"Player is not on the Players tab",IF(NOT(ISNUMBER($C880)),"Enter a gross score",IF(COUNTIFS($A$5:$A$1668,$A880,$B$5:$B$1668,$B880)&gt;1,"Player is listed twice this week",IF(AND($D880&lt;&gt;"",COUNTIFS($A$5:$A$1668,$A880,$D$5:$D$1668,$D880)&gt;1),"Two players picked as "&amp;$D880,IF(COUNTIFS($A$5:$A$1668,$A880,$D$5:$D$1668,"Gross winner")=0,"Pick this week's gross winner",IF(COUNTIFS($A$5:$A$1668,$A880,$D$5:$D$1668,"Net winner")=0,"Pick this week's net winner","OK")))))))</f>
        <v/>
      </c>
    </row>
    <row r="881" outlineLevel="1">
      <c r="A881" s="13" t="n">
        <v>46582</v>
      </c>
      <c r="E881" s="11">
        <f>IF(OR($B881="",NOT(ISNUMBER($C881))),"",COUNTIFS($A$5:$A$1668,$A881,$C$5:$C$1668,"&lt;"&amp;$C881)+1)</f>
        <v/>
      </c>
      <c r="F881" s="11">
        <f>IF(OR($B881="",NOT(ISNUMBER($C881))),"",COUNTIFS($A$5:$A$1668,$A881,$C$5:$C$1668,"&gt;0"))</f>
        <v/>
      </c>
      <c r="G881" s="11">
        <f>IF(OR($B881="",NOT(ISNUMBER($C881))),"",IF($D881&lt;&gt;"",ROUND(Points!$B$6*IF($F881&lt;Points!$H$4,Points!$H$5,1),0),ROUND(Points!$B$6*IF($F881&lt;=1,1,Points!$H$7+(1-Points!$H$7)*((($F881-$E881)*(($F881-$E881)+1)/2)^2-((($F881-$E881-COUNTIFS($A$5:$A$1668,$A881,$C$5:$C$1668,$C881)+1)-1)*($F881-$E881-COUNTIFS($A$5:$A$1668,$A881,$C$5:$C$1668,$C881)+1)/2)^2)/(COUNTIFS($A$5:$A$1668,$A881,$C$5:$C$1668,$C881)*($F881-1)^3))*IF($F881&lt;Points!$H$4,Points!$H$5,1),0)))</f>
        <v/>
      </c>
      <c r="H881" s="11">
        <f>IF($G881="","",COUNTIFS($B$5:$B$1668,$B881,$G$5:$G$1668,"&gt;"&amp;$G881)+COUNTIFS($B$4:$B880,$B881,$G$4:$G880,$G881)+1)</f>
        <v/>
      </c>
      <c r="I881" s="11">
        <f>IF($G881="","",IF($H881&lt;=Points!$H$6,$G881,0))</f>
        <v/>
      </c>
      <c r="J881" s="11">
        <f>IF($B881="","",IF(COUNTIF(Players!$A$2:$A$500,$B881)=0,"Player is not on the Players tab",IF(NOT(ISNUMBER($C881)),"Enter a gross score",IF(COUNTIFS($A$5:$A$1668,$A881,$B$5:$B$1668,$B881)&gt;1,"Player is listed twice this week",IF(AND($D881&lt;&gt;"",COUNTIFS($A$5:$A$1668,$A881,$D$5:$D$1668,$D881)&gt;1),"Two players picked as "&amp;$D881,IF(COUNTIFS($A$5:$A$1668,$A881,$D$5:$D$1668,"Gross winner")=0,"Pick this week's gross winner",IF(COUNTIFS($A$5:$A$1668,$A881,$D$5:$D$1668,"Net winner")=0,"Pick this week's net winner","OK")))))))</f>
        <v/>
      </c>
    </row>
    <row r="882" outlineLevel="1">
      <c r="A882" s="13" t="n">
        <v>46582</v>
      </c>
      <c r="E882" s="11">
        <f>IF(OR($B882="",NOT(ISNUMBER($C882))),"",COUNTIFS($A$5:$A$1668,$A882,$C$5:$C$1668,"&lt;"&amp;$C882)+1)</f>
        <v/>
      </c>
      <c r="F882" s="11">
        <f>IF(OR($B882="",NOT(ISNUMBER($C882))),"",COUNTIFS($A$5:$A$1668,$A882,$C$5:$C$1668,"&gt;0"))</f>
        <v/>
      </c>
      <c r="G882" s="11">
        <f>IF(OR($B882="",NOT(ISNUMBER($C882))),"",IF($D882&lt;&gt;"",ROUND(Points!$B$6*IF($F882&lt;Points!$H$4,Points!$H$5,1),0),ROUND(Points!$B$6*IF($F882&lt;=1,1,Points!$H$7+(1-Points!$H$7)*((($F882-$E882)*(($F882-$E882)+1)/2)^2-((($F882-$E882-COUNTIFS($A$5:$A$1668,$A882,$C$5:$C$1668,$C882)+1)-1)*($F882-$E882-COUNTIFS($A$5:$A$1668,$A882,$C$5:$C$1668,$C882)+1)/2)^2)/(COUNTIFS($A$5:$A$1668,$A882,$C$5:$C$1668,$C882)*($F882-1)^3))*IF($F882&lt;Points!$H$4,Points!$H$5,1),0)))</f>
        <v/>
      </c>
      <c r="H882" s="11">
        <f>IF($G882="","",COUNTIFS($B$5:$B$1668,$B882,$G$5:$G$1668,"&gt;"&amp;$G882)+COUNTIFS($B$4:$B881,$B882,$G$4:$G881,$G882)+1)</f>
        <v/>
      </c>
      <c r="I882" s="11">
        <f>IF($G882="","",IF($H882&lt;=Points!$H$6,$G882,0))</f>
        <v/>
      </c>
      <c r="J882" s="11">
        <f>IF($B882="","",IF(COUNTIF(Players!$A$2:$A$500,$B882)=0,"Player is not on the Players tab",IF(NOT(ISNUMBER($C882)),"Enter a gross score",IF(COUNTIFS($A$5:$A$1668,$A882,$B$5:$B$1668,$B882)&gt;1,"Player is listed twice this week",IF(AND($D882&lt;&gt;"",COUNTIFS($A$5:$A$1668,$A882,$D$5:$D$1668,$D882)&gt;1),"Two players picked as "&amp;$D882,IF(COUNTIFS($A$5:$A$1668,$A882,$D$5:$D$1668,"Gross winner")=0,"Pick this week's gross winner",IF(COUNTIFS($A$5:$A$1668,$A882,$D$5:$D$1668,"Net winner")=0,"Pick this week's net winner","OK")))))))</f>
        <v/>
      </c>
    </row>
    <row r="883" outlineLevel="1">
      <c r="A883" s="13" t="n">
        <v>46582</v>
      </c>
      <c r="E883" s="11">
        <f>IF(OR($B883="",NOT(ISNUMBER($C883))),"",COUNTIFS($A$5:$A$1668,$A883,$C$5:$C$1668,"&lt;"&amp;$C883)+1)</f>
        <v/>
      </c>
      <c r="F883" s="11">
        <f>IF(OR($B883="",NOT(ISNUMBER($C883))),"",COUNTIFS($A$5:$A$1668,$A883,$C$5:$C$1668,"&gt;0"))</f>
        <v/>
      </c>
      <c r="G883" s="11">
        <f>IF(OR($B883="",NOT(ISNUMBER($C883))),"",IF($D883&lt;&gt;"",ROUND(Points!$B$6*IF($F883&lt;Points!$H$4,Points!$H$5,1),0),ROUND(Points!$B$6*IF($F883&lt;=1,1,Points!$H$7+(1-Points!$H$7)*((($F883-$E883)*(($F883-$E883)+1)/2)^2-((($F883-$E883-COUNTIFS($A$5:$A$1668,$A883,$C$5:$C$1668,$C883)+1)-1)*($F883-$E883-COUNTIFS($A$5:$A$1668,$A883,$C$5:$C$1668,$C883)+1)/2)^2)/(COUNTIFS($A$5:$A$1668,$A883,$C$5:$C$1668,$C883)*($F883-1)^3))*IF($F883&lt;Points!$H$4,Points!$H$5,1),0)))</f>
        <v/>
      </c>
      <c r="H883" s="11">
        <f>IF($G883="","",COUNTIFS($B$5:$B$1668,$B883,$G$5:$G$1668,"&gt;"&amp;$G883)+COUNTIFS($B$4:$B882,$B883,$G$4:$G882,$G883)+1)</f>
        <v/>
      </c>
      <c r="I883" s="11">
        <f>IF($G883="","",IF($H883&lt;=Points!$H$6,$G883,0))</f>
        <v/>
      </c>
      <c r="J883" s="11">
        <f>IF($B883="","",IF(COUNTIF(Players!$A$2:$A$500,$B883)=0,"Player is not on the Players tab",IF(NOT(ISNUMBER($C883)),"Enter a gross score",IF(COUNTIFS($A$5:$A$1668,$A883,$B$5:$B$1668,$B883)&gt;1,"Player is listed twice this week",IF(AND($D883&lt;&gt;"",COUNTIFS($A$5:$A$1668,$A883,$D$5:$D$1668,$D883)&gt;1),"Two players picked as "&amp;$D883,IF(COUNTIFS($A$5:$A$1668,$A883,$D$5:$D$1668,"Gross winner")=0,"Pick this week's gross winner",IF(COUNTIFS($A$5:$A$1668,$A883,$D$5:$D$1668,"Net winner")=0,"Pick this week's net winner","OK")))))))</f>
        <v/>
      </c>
    </row>
    <row r="884" outlineLevel="1">
      <c r="A884" s="13" t="n">
        <v>46582</v>
      </c>
      <c r="E884" s="11">
        <f>IF(OR($B884="",NOT(ISNUMBER($C884))),"",COUNTIFS($A$5:$A$1668,$A884,$C$5:$C$1668,"&lt;"&amp;$C884)+1)</f>
        <v/>
      </c>
      <c r="F884" s="11">
        <f>IF(OR($B884="",NOT(ISNUMBER($C884))),"",COUNTIFS($A$5:$A$1668,$A884,$C$5:$C$1668,"&gt;0"))</f>
        <v/>
      </c>
      <c r="G884" s="11">
        <f>IF(OR($B884="",NOT(ISNUMBER($C884))),"",IF($D884&lt;&gt;"",ROUND(Points!$B$6*IF($F884&lt;Points!$H$4,Points!$H$5,1),0),ROUND(Points!$B$6*IF($F884&lt;=1,1,Points!$H$7+(1-Points!$H$7)*((($F884-$E884)*(($F884-$E884)+1)/2)^2-((($F884-$E884-COUNTIFS($A$5:$A$1668,$A884,$C$5:$C$1668,$C884)+1)-1)*($F884-$E884-COUNTIFS($A$5:$A$1668,$A884,$C$5:$C$1668,$C884)+1)/2)^2)/(COUNTIFS($A$5:$A$1668,$A884,$C$5:$C$1668,$C884)*($F884-1)^3))*IF($F884&lt;Points!$H$4,Points!$H$5,1),0)))</f>
        <v/>
      </c>
      <c r="H884" s="11">
        <f>IF($G884="","",COUNTIFS($B$5:$B$1668,$B884,$G$5:$G$1668,"&gt;"&amp;$G884)+COUNTIFS($B$4:$B883,$B884,$G$4:$G883,$G884)+1)</f>
        <v/>
      </c>
      <c r="I884" s="11">
        <f>IF($G884="","",IF($H884&lt;=Points!$H$6,$G884,0))</f>
        <v/>
      </c>
      <c r="J884" s="11">
        <f>IF($B884="","",IF(COUNTIF(Players!$A$2:$A$500,$B884)=0,"Player is not on the Players tab",IF(NOT(ISNUMBER($C884)),"Enter a gross score",IF(COUNTIFS($A$5:$A$1668,$A884,$B$5:$B$1668,$B884)&gt;1,"Player is listed twice this week",IF(AND($D884&lt;&gt;"",COUNTIFS($A$5:$A$1668,$A884,$D$5:$D$1668,$D884)&gt;1),"Two players picked as "&amp;$D884,IF(COUNTIFS($A$5:$A$1668,$A884,$D$5:$D$1668,"Gross winner")=0,"Pick this week's gross winner",IF(COUNTIFS($A$5:$A$1668,$A884,$D$5:$D$1668,"Net winner")=0,"Pick this week's net winner","OK")))))))</f>
        <v/>
      </c>
    </row>
    <row r="885" outlineLevel="1">
      <c r="A885" s="13" t="n">
        <v>46582</v>
      </c>
      <c r="E885" s="11">
        <f>IF(OR($B885="",NOT(ISNUMBER($C885))),"",COUNTIFS($A$5:$A$1668,$A885,$C$5:$C$1668,"&lt;"&amp;$C885)+1)</f>
        <v/>
      </c>
      <c r="F885" s="11">
        <f>IF(OR($B885="",NOT(ISNUMBER($C885))),"",COUNTIFS($A$5:$A$1668,$A885,$C$5:$C$1668,"&gt;0"))</f>
        <v/>
      </c>
      <c r="G885" s="11">
        <f>IF(OR($B885="",NOT(ISNUMBER($C885))),"",IF($D885&lt;&gt;"",ROUND(Points!$B$6*IF($F885&lt;Points!$H$4,Points!$H$5,1),0),ROUND(Points!$B$6*IF($F885&lt;=1,1,Points!$H$7+(1-Points!$H$7)*((($F885-$E885)*(($F885-$E885)+1)/2)^2-((($F885-$E885-COUNTIFS($A$5:$A$1668,$A885,$C$5:$C$1668,$C885)+1)-1)*($F885-$E885-COUNTIFS($A$5:$A$1668,$A885,$C$5:$C$1668,$C885)+1)/2)^2)/(COUNTIFS($A$5:$A$1668,$A885,$C$5:$C$1668,$C885)*($F885-1)^3))*IF($F885&lt;Points!$H$4,Points!$H$5,1),0)))</f>
        <v/>
      </c>
      <c r="H885" s="11">
        <f>IF($G885="","",COUNTIFS($B$5:$B$1668,$B885,$G$5:$G$1668,"&gt;"&amp;$G885)+COUNTIFS($B$4:$B884,$B885,$G$4:$G884,$G885)+1)</f>
        <v/>
      </c>
      <c r="I885" s="11">
        <f>IF($G885="","",IF($H885&lt;=Points!$H$6,$G885,0))</f>
        <v/>
      </c>
      <c r="J885" s="11">
        <f>IF($B885="","",IF(COUNTIF(Players!$A$2:$A$500,$B885)=0,"Player is not on the Players tab",IF(NOT(ISNUMBER($C885)),"Enter a gross score",IF(COUNTIFS($A$5:$A$1668,$A885,$B$5:$B$1668,$B885)&gt;1,"Player is listed twice this week",IF(AND($D885&lt;&gt;"",COUNTIFS($A$5:$A$1668,$A885,$D$5:$D$1668,$D885)&gt;1),"Two players picked as "&amp;$D885,IF(COUNTIFS($A$5:$A$1668,$A885,$D$5:$D$1668,"Gross winner")=0,"Pick this week's gross winner",IF(COUNTIFS($A$5:$A$1668,$A885,$D$5:$D$1668,"Net winner")=0,"Pick this week's net winner","OK")))))))</f>
        <v/>
      </c>
    </row>
    <row r="886" outlineLevel="1">
      <c r="A886" s="13" t="n">
        <v>46582</v>
      </c>
      <c r="E886" s="11">
        <f>IF(OR($B886="",NOT(ISNUMBER($C886))),"",COUNTIFS($A$5:$A$1668,$A886,$C$5:$C$1668,"&lt;"&amp;$C886)+1)</f>
        <v/>
      </c>
      <c r="F886" s="11">
        <f>IF(OR($B886="",NOT(ISNUMBER($C886))),"",COUNTIFS($A$5:$A$1668,$A886,$C$5:$C$1668,"&gt;0"))</f>
        <v/>
      </c>
      <c r="G886" s="11">
        <f>IF(OR($B886="",NOT(ISNUMBER($C886))),"",IF($D886&lt;&gt;"",ROUND(Points!$B$6*IF($F886&lt;Points!$H$4,Points!$H$5,1),0),ROUND(Points!$B$6*IF($F886&lt;=1,1,Points!$H$7+(1-Points!$H$7)*((($F886-$E886)*(($F886-$E886)+1)/2)^2-((($F886-$E886-COUNTIFS($A$5:$A$1668,$A886,$C$5:$C$1668,$C886)+1)-1)*($F886-$E886-COUNTIFS($A$5:$A$1668,$A886,$C$5:$C$1668,$C886)+1)/2)^2)/(COUNTIFS($A$5:$A$1668,$A886,$C$5:$C$1668,$C886)*($F886-1)^3))*IF($F886&lt;Points!$H$4,Points!$H$5,1),0)))</f>
        <v/>
      </c>
      <c r="H886" s="11">
        <f>IF($G886="","",COUNTIFS($B$5:$B$1668,$B886,$G$5:$G$1668,"&gt;"&amp;$G886)+COUNTIFS($B$4:$B885,$B886,$G$4:$G885,$G886)+1)</f>
        <v/>
      </c>
      <c r="I886" s="11">
        <f>IF($G886="","",IF($H886&lt;=Points!$H$6,$G886,0))</f>
        <v/>
      </c>
      <c r="J886" s="11">
        <f>IF($B886="","",IF(COUNTIF(Players!$A$2:$A$500,$B886)=0,"Player is not on the Players tab",IF(NOT(ISNUMBER($C886)),"Enter a gross score",IF(COUNTIFS($A$5:$A$1668,$A886,$B$5:$B$1668,$B886)&gt;1,"Player is listed twice this week",IF(AND($D886&lt;&gt;"",COUNTIFS($A$5:$A$1668,$A886,$D$5:$D$1668,$D886)&gt;1),"Two players picked as "&amp;$D886,IF(COUNTIFS($A$5:$A$1668,$A886,$D$5:$D$1668,"Gross winner")=0,"Pick this week's gross winner",IF(COUNTIFS($A$5:$A$1668,$A886,$D$5:$D$1668,"Net winner")=0,"Pick this week's net winner","OK")))))))</f>
        <v/>
      </c>
    </row>
    <row r="887" outlineLevel="1">
      <c r="A887" s="13" t="n">
        <v>46582</v>
      </c>
      <c r="E887" s="11">
        <f>IF(OR($B887="",NOT(ISNUMBER($C887))),"",COUNTIFS($A$5:$A$1668,$A887,$C$5:$C$1668,"&lt;"&amp;$C887)+1)</f>
        <v/>
      </c>
      <c r="F887" s="11">
        <f>IF(OR($B887="",NOT(ISNUMBER($C887))),"",COUNTIFS($A$5:$A$1668,$A887,$C$5:$C$1668,"&gt;0"))</f>
        <v/>
      </c>
      <c r="G887" s="11">
        <f>IF(OR($B887="",NOT(ISNUMBER($C887))),"",IF($D887&lt;&gt;"",ROUND(Points!$B$6*IF($F887&lt;Points!$H$4,Points!$H$5,1),0),ROUND(Points!$B$6*IF($F887&lt;=1,1,Points!$H$7+(1-Points!$H$7)*((($F887-$E887)*(($F887-$E887)+1)/2)^2-((($F887-$E887-COUNTIFS($A$5:$A$1668,$A887,$C$5:$C$1668,$C887)+1)-1)*($F887-$E887-COUNTIFS($A$5:$A$1668,$A887,$C$5:$C$1668,$C887)+1)/2)^2)/(COUNTIFS($A$5:$A$1668,$A887,$C$5:$C$1668,$C887)*($F887-1)^3))*IF($F887&lt;Points!$H$4,Points!$H$5,1),0)))</f>
        <v/>
      </c>
      <c r="H887" s="11">
        <f>IF($G887="","",COUNTIFS($B$5:$B$1668,$B887,$G$5:$G$1668,"&gt;"&amp;$G887)+COUNTIFS($B$4:$B886,$B887,$G$4:$G886,$G887)+1)</f>
        <v/>
      </c>
      <c r="I887" s="11">
        <f>IF($G887="","",IF($H887&lt;=Points!$H$6,$G887,0))</f>
        <v/>
      </c>
      <c r="J887" s="11">
        <f>IF($B887="","",IF(COUNTIF(Players!$A$2:$A$500,$B887)=0,"Player is not on the Players tab",IF(NOT(ISNUMBER($C887)),"Enter a gross score",IF(COUNTIFS($A$5:$A$1668,$A887,$B$5:$B$1668,$B887)&gt;1,"Player is listed twice this week",IF(AND($D887&lt;&gt;"",COUNTIFS($A$5:$A$1668,$A887,$D$5:$D$1668,$D887)&gt;1),"Two players picked as "&amp;$D887,IF(COUNTIFS($A$5:$A$1668,$A887,$D$5:$D$1668,"Gross winner")=0,"Pick this week's gross winner",IF(COUNTIFS($A$5:$A$1668,$A887,$D$5:$D$1668,"Net winner")=0,"Pick this week's net winner","OK")))))))</f>
        <v/>
      </c>
    </row>
    <row r="888" outlineLevel="1">
      <c r="A888" s="13" t="n">
        <v>46582</v>
      </c>
      <c r="E888" s="11">
        <f>IF(OR($B888="",NOT(ISNUMBER($C888))),"",COUNTIFS($A$5:$A$1668,$A888,$C$5:$C$1668,"&lt;"&amp;$C888)+1)</f>
        <v/>
      </c>
      <c r="F888" s="11">
        <f>IF(OR($B888="",NOT(ISNUMBER($C888))),"",COUNTIFS($A$5:$A$1668,$A888,$C$5:$C$1668,"&gt;0"))</f>
        <v/>
      </c>
      <c r="G888" s="11">
        <f>IF(OR($B888="",NOT(ISNUMBER($C888))),"",IF($D888&lt;&gt;"",ROUND(Points!$B$6*IF($F888&lt;Points!$H$4,Points!$H$5,1),0),ROUND(Points!$B$6*IF($F888&lt;=1,1,Points!$H$7+(1-Points!$H$7)*((($F888-$E888)*(($F888-$E888)+1)/2)^2-((($F888-$E888-COUNTIFS($A$5:$A$1668,$A888,$C$5:$C$1668,$C888)+1)-1)*($F888-$E888-COUNTIFS($A$5:$A$1668,$A888,$C$5:$C$1668,$C888)+1)/2)^2)/(COUNTIFS($A$5:$A$1668,$A888,$C$5:$C$1668,$C888)*($F888-1)^3))*IF($F888&lt;Points!$H$4,Points!$H$5,1),0)))</f>
        <v/>
      </c>
      <c r="H888" s="11">
        <f>IF($G888="","",COUNTIFS($B$5:$B$1668,$B888,$G$5:$G$1668,"&gt;"&amp;$G888)+COUNTIFS($B$4:$B887,$B888,$G$4:$G887,$G888)+1)</f>
        <v/>
      </c>
      <c r="I888" s="11">
        <f>IF($G888="","",IF($H888&lt;=Points!$H$6,$G888,0))</f>
        <v/>
      </c>
      <c r="J888" s="11">
        <f>IF($B888="","",IF(COUNTIF(Players!$A$2:$A$500,$B888)=0,"Player is not on the Players tab",IF(NOT(ISNUMBER($C888)),"Enter a gross score",IF(COUNTIFS($A$5:$A$1668,$A888,$B$5:$B$1668,$B888)&gt;1,"Player is listed twice this week",IF(AND($D888&lt;&gt;"",COUNTIFS($A$5:$A$1668,$A888,$D$5:$D$1668,$D888)&gt;1),"Two players picked as "&amp;$D888,IF(COUNTIFS($A$5:$A$1668,$A888,$D$5:$D$1668,"Gross winner")=0,"Pick this week's gross winner",IF(COUNTIFS($A$5:$A$1668,$A888,$D$5:$D$1668,"Net winner")=0,"Pick this week's net winner","OK")))))))</f>
        <v/>
      </c>
    </row>
    <row r="889" outlineLevel="1">
      <c r="A889" s="13" t="n">
        <v>46582</v>
      </c>
      <c r="E889" s="11">
        <f>IF(OR($B889="",NOT(ISNUMBER($C889))),"",COUNTIFS($A$5:$A$1668,$A889,$C$5:$C$1668,"&lt;"&amp;$C889)+1)</f>
        <v/>
      </c>
      <c r="F889" s="11">
        <f>IF(OR($B889="",NOT(ISNUMBER($C889))),"",COUNTIFS($A$5:$A$1668,$A889,$C$5:$C$1668,"&gt;0"))</f>
        <v/>
      </c>
      <c r="G889" s="11">
        <f>IF(OR($B889="",NOT(ISNUMBER($C889))),"",IF($D889&lt;&gt;"",ROUND(Points!$B$6*IF($F889&lt;Points!$H$4,Points!$H$5,1),0),ROUND(Points!$B$6*IF($F889&lt;=1,1,Points!$H$7+(1-Points!$H$7)*((($F889-$E889)*(($F889-$E889)+1)/2)^2-((($F889-$E889-COUNTIFS($A$5:$A$1668,$A889,$C$5:$C$1668,$C889)+1)-1)*($F889-$E889-COUNTIFS($A$5:$A$1668,$A889,$C$5:$C$1668,$C889)+1)/2)^2)/(COUNTIFS($A$5:$A$1668,$A889,$C$5:$C$1668,$C889)*($F889-1)^3))*IF($F889&lt;Points!$H$4,Points!$H$5,1),0)))</f>
        <v/>
      </c>
      <c r="H889" s="11">
        <f>IF($G889="","",COUNTIFS($B$5:$B$1668,$B889,$G$5:$G$1668,"&gt;"&amp;$G889)+COUNTIFS($B$4:$B888,$B889,$G$4:$G888,$G889)+1)</f>
        <v/>
      </c>
      <c r="I889" s="11">
        <f>IF($G889="","",IF($H889&lt;=Points!$H$6,$G889,0))</f>
        <v/>
      </c>
      <c r="J889" s="11">
        <f>IF($B889="","",IF(COUNTIF(Players!$A$2:$A$500,$B889)=0,"Player is not on the Players tab",IF(NOT(ISNUMBER($C889)),"Enter a gross score",IF(COUNTIFS($A$5:$A$1668,$A889,$B$5:$B$1668,$B889)&gt;1,"Player is listed twice this week",IF(AND($D889&lt;&gt;"",COUNTIFS($A$5:$A$1668,$A889,$D$5:$D$1668,$D889)&gt;1),"Two players picked as "&amp;$D889,IF(COUNTIFS($A$5:$A$1668,$A889,$D$5:$D$1668,"Gross winner")=0,"Pick this week's gross winner",IF(COUNTIFS($A$5:$A$1668,$A889,$D$5:$D$1668,"Net winner")=0,"Pick this week's net winner","OK")))))))</f>
        <v/>
      </c>
    </row>
    <row r="890" outlineLevel="1">
      <c r="A890" s="13" t="n">
        <v>46582</v>
      </c>
      <c r="E890" s="11">
        <f>IF(OR($B890="",NOT(ISNUMBER($C890))),"",COUNTIFS($A$5:$A$1668,$A890,$C$5:$C$1668,"&lt;"&amp;$C890)+1)</f>
        <v/>
      </c>
      <c r="F890" s="11">
        <f>IF(OR($B890="",NOT(ISNUMBER($C890))),"",COUNTIFS($A$5:$A$1668,$A890,$C$5:$C$1668,"&gt;0"))</f>
        <v/>
      </c>
      <c r="G890" s="11">
        <f>IF(OR($B890="",NOT(ISNUMBER($C890))),"",IF($D890&lt;&gt;"",ROUND(Points!$B$6*IF($F890&lt;Points!$H$4,Points!$H$5,1),0),ROUND(Points!$B$6*IF($F890&lt;=1,1,Points!$H$7+(1-Points!$H$7)*((($F890-$E890)*(($F890-$E890)+1)/2)^2-((($F890-$E890-COUNTIFS($A$5:$A$1668,$A890,$C$5:$C$1668,$C890)+1)-1)*($F890-$E890-COUNTIFS($A$5:$A$1668,$A890,$C$5:$C$1668,$C890)+1)/2)^2)/(COUNTIFS($A$5:$A$1668,$A890,$C$5:$C$1668,$C890)*($F890-1)^3))*IF($F890&lt;Points!$H$4,Points!$H$5,1),0)))</f>
        <v/>
      </c>
      <c r="H890" s="11">
        <f>IF($G890="","",COUNTIFS($B$5:$B$1668,$B890,$G$5:$G$1668,"&gt;"&amp;$G890)+COUNTIFS($B$4:$B889,$B890,$G$4:$G889,$G890)+1)</f>
        <v/>
      </c>
      <c r="I890" s="11">
        <f>IF($G890="","",IF($H890&lt;=Points!$H$6,$G890,0))</f>
        <v/>
      </c>
      <c r="J890" s="11">
        <f>IF($B890="","",IF(COUNTIF(Players!$A$2:$A$500,$B890)=0,"Player is not on the Players tab",IF(NOT(ISNUMBER($C890)),"Enter a gross score",IF(COUNTIFS($A$5:$A$1668,$A890,$B$5:$B$1668,$B890)&gt;1,"Player is listed twice this week",IF(AND($D890&lt;&gt;"",COUNTIFS($A$5:$A$1668,$A890,$D$5:$D$1668,$D890)&gt;1),"Two players picked as "&amp;$D890,IF(COUNTIFS($A$5:$A$1668,$A890,$D$5:$D$1668,"Gross winner")=0,"Pick this week's gross winner",IF(COUNTIFS($A$5:$A$1668,$A890,$D$5:$D$1668,"Net winner")=0,"Pick this week's net winner","OK")))))))</f>
        <v/>
      </c>
    </row>
    <row r="891" outlineLevel="1">
      <c r="A891" s="13" t="n">
        <v>46582</v>
      </c>
      <c r="E891" s="11">
        <f>IF(OR($B891="",NOT(ISNUMBER($C891))),"",COUNTIFS($A$5:$A$1668,$A891,$C$5:$C$1668,"&lt;"&amp;$C891)+1)</f>
        <v/>
      </c>
      <c r="F891" s="11">
        <f>IF(OR($B891="",NOT(ISNUMBER($C891))),"",COUNTIFS($A$5:$A$1668,$A891,$C$5:$C$1668,"&gt;0"))</f>
        <v/>
      </c>
      <c r="G891" s="11">
        <f>IF(OR($B891="",NOT(ISNUMBER($C891))),"",IF($D891&lt;&gt;"",ROUND(Points!$B$6*IF($F891&lt;Points!$H$4,Points!$H$5,1),0),ROUND(Points!$B$6*IF($F891&lt;=1,1,Points!$H$7+(1-Points!$H$7)*((($F891-$E891)*(($F891-$E891)+1)/2)^2-((($F891-$E891-COUNTIFS($A$5:$A$1668,$A891,$C$5:$C$1668,$C891)+1)-1)*($F891-$E891-COUNTIFS($A$5:$A$1668,$A891,$C$5:$C$1668,$C891)+1)/2)^2)/(COUNTIFS($A$5:$A$1668,$A891,$C$5:$C$1668,$C891)*($F891-1)^3))*IF($F891&lt;Points!$H$4,Points!$H$5,1),0)))</f>
        <v/>
      </c>
      <c r="H891" s="11">
        <f>IF($G891="","",COUNTIFS($B$5:$B$1668,$B891,$G$5:$G$1668,"&gt;"&amp;$G891)+COUNTIFS($B$4:$B890,$B891,$G$4:$G890,$G891)+1)</f>
        <v/>
      </c>
      <c r="I891" s="11">
        <f>IF($G891="","",IF($H891&lt;=Points!$H$6,$G891,0))</f>
        <v/>
      </c>
      <c r="J891" s="11">
        <f>IF($B891="","",IF(COUNTIF(Players!$A$2:$A$500,$B891)=0,"Player is not on the Players tab",IF(NOT(ISNUMBER($C891)),"Enter a gross score",IF(COUNTIFS($A$5:$A$1668,$A891,$B$5:$B$1668,$B891)&gt;1,"Player is listed twice this week",IF(AND($D891&lt;&gt;"",COUNTIFS($A$5:$A$1668,$A891,$D$5:$D$1668,$D891)&gt;1),"Two players picked as "&amp;$D891,IF(COUNTIFS($A$5:$A$1668,$A891,$D$5:$D$1668,"Gross winner")=0,"Pick this week's gross winner",IF(COUNTIFS($A$5:$A$1668,$A891,$D$5:$D$1668,"Net winner")=0,"Pick this week's net winner","OK")))))))</f>
        <v/>
      </c>
    </row>
    <row r="892" outlineLevel="1">
      <c r="A892" s="13" t="n">
        <v>46582</v>
      </c>
      <c r="E892" s="11">
        <f>IF(OR($B892="",NOT(ISNUMBER($C892))),"",COUNTIFS($A$5:$A$1668,$A892,$C$5:$C$1668,"&lt;"&amp;$C892)+1)</f>
        <v/>
      </c>
      <c r="F892" s="11">
        <f>IF(OR($B892="",NOT(ISNUMBER($C892))),"",COUNTIFS($A$5:$A$1668,$A892,$C$5:$C$1668,"&gt;0"))</f>
        <v/>
      </c>
      <c r="G892" s="11">
        <f>IF(OR($B892="",NOT(ISNUMBER($C892))),"",IF($D892&lt;&gt;"",ROUND(Points!$B$6*IF($F892&lt;Points!$H$4,Points!$H$5,1),0),ROUND(Points!$B$6*IF($F892&lt;=1,1,Points!$H$7+(1-Points!$H$7)*((($F892-$E892)*(($F892-$E892)+1)/2)^2-((($F892-$E892-COUNTIFS($A$5:$A$1668,$A892,$C$5:$C$1668,$C892)+1)-1)*($F892-$E892-COUNTIFS($A$5:$A$1668,$A892,$C$5:$C$1668,$C892)+1)/2)^2)/(COUNTIFS($A$5:$A$1668,$A892,$C$5:$C$1668,$C892)*($F892-1)^3))*IF($F892&lt;Points!$H$4,Points!$H$5,1),0)))</f>
        <v/>
      </c>
      <c r="H892" s="11">
        <f>IF($G892="","",COUNTIFS($B$5:$B$1668,$B892,$G$5:$G$1668,"&gt;"&amp;$G892)+COUNTIFS($B$4:$B891,$B892,$G$4:$G891,$G892)+1)</f>
        <v/>
      </c>
      <c r="I892" s="11">
        <f>IF($G892="","",IF($H892&lt;=Points!$H$6,$G892,0))</f>
        <v/>
      </c>
      <c r="J892" s="11">
        <f>IF($B892="","",IF(COUNTIF(Players!$A$2:$A$500,$B892)=0,"Player is not on the Players tab",IF(NOT(ISNUMBER($C892)),"Enter a gross score",IF(COUNTIFS($A$5:$A$1668,$A892,$B$5:$B$1668,$B892)&gt;1,"Player is listed twice this week",IF(AND($D892&lt;&gt;"",COUNTIFS($A$5:$A$1668,$A892,$D$5:$D$1668,$D892)&gt;1),"Two players picked as "&amp;$D892,IF(COUNTIFS($A$5:$A$1668,$A892,$D$5:$D$1668,"Gross winner")=0,"Pick this week's gross winner",IF(COUNTIFS($A$5:$A$1668,$A892,$D$5:$D$1668,"Net winner")=0,"Pick this week's net winner","OK")))))))</f>
        <v/>
      </c>
    </row>
    <row r="893" outlineLevel="1">
      <c r="A893" s="13" t="n">
        <v>46582</v>
      </c>
      <c r="E893" s="11">
        <f>IF(OR($B893="",NOT(ISNUMBER($C893))),"",COUNTIFS($A$5:$A$1668,$A893,$C$5:$C$1668,"&lt;"&amp;$C893)+1)</f>
        <v/>
      </c>
      <c r="F893" s="11">
        <f>IF(OR($B893="",NOT(ISNUMBER($C893))),"",COUNTIFS($A$5:$A$1668,$A893,$C$5:$C$1668,"&gt;0"))</f>
        <v/>
      </c>
      <c r="G893" s="11">
        <f>IF(OR($B893="",NOT(ISNUMBER($C893))),"",IF($D893&lt;&gt;"",ROUND(Points!$B$6*IF($F893&lt;Points!$H$4,Points!$H$5,1),0),ROUND(Points!$B$6*IF($F893&lt;=1,1,Points!$H$7+(1-Points!$H$7)*((($F893-$E893)*(($F893-$E893)+1)/2)^2-((($F893-$E893-COUNTIFS($A$5:$A$1668,$A893,$C$5:$C$1668,$C893)+1)-1)*($F893-$E893-COUNTIFS($A$5:$A$1668,$A893,$C$5:$C$1668,$C893)+1)/2)^2)/(COUNTIFS($A$5:$A$1668,$A893,$C$5:$C$1668,$C893)*($F893-1)^3))*IF($F893&lt;Points!$H$4,Points!$H$5,1),0)))</f>
        <v/>
      </c>
      <c r="H893" s="11">
        <f>IF($G893="","",COUNTIFS($B$5:$B$1668,$B893,$G$5:$G$1668,"&gt;"&amp;$G893)+COUNTIFS($B$4:$B892,$B893,$G$4:$G892,$G893)+1)</f>
        <v/>
      </c>
      <c r="I893" s="11">
        <f>IF($G893="","",IF($H893&lt;=Points!$H$6,$G893,0))</f>
        <v/>
      </c>
      <c r="J893" s="11">
        <f>IF($B893="","",IF(COUNTIF(Players!$A$2:$A$500,$B893)=0,"Player is not on the Players tab",IF(NOT(ISNUMBER($C893)),"Enter a gross score",IF(COUNTIFS($A$5:$A$1668,$A893,$B$5:$B$1668,$B893)&gt;1,"Player is listed twice this week",IF(AND($D893&lt;&gt;"",COUNTIFS($A$5:$A$1668,$A893,$D$5:$D$1668,$D893)&gt;1),"Two players picked as "&amp;$D893,IF(COUNTIFS($A$5:$A$1668,$A893,$D$5:$D$1668,"Gross winner")=0,"Pick this week's gross winner",IF(COUNTIFS($A$5:$A$1668,$A893,$D$5:$D$1668,"Net winner")=0,"Pick this week's net winner","OK")))))))</f>
        <v/>
      </c>
    </row>
    <row r="894" outlineLevel="1">
      <c r="A894" s="13" t="n">
        <v>46582</v>
      </c>
      <c r="E894" s="11">
        <f>IF(OR($B894="",NOT(ISNUMBER($C894))),"",COUNTIFS($A$5:$A$1668,$A894,$C$5:$C$1668,"&lt;"&amp;$C894)+1)</f>
        <v/>
      </c>
      <c r="F894" s="11">
        <f>IF(OR($B894="",NOT(ISNUMBER($C894))),"",COUNTIFS($A$5:$A$1668,$A894,$C$5:$C$1668,"&gt;0"))</f>
        <v/>
      </c>
      <c r="G894" s="11">
        <f>IF(OR($B894="",NOT(ISNUMBER($C894))),"",IF($D894&lt;&gt;"",ROUND(Points!$B$6*IF($F894&lt;Points!$H$4,Points!$H$5,1),0),ROUND(Points!$B$6*IF($F894&lt;=1,1,Points!$H$7+(1-Points!$H$7)*((($F894-$E894)*(($F894-$E894)+1)/2)^2-((($F894-$E894-COUNTIFS($A$5:$A$1668,$A894,$C$5:$C$1668,$C894)+1)-1)*($F894-$E894-COUNTIFS($A$5:$A$1668,$A894,$C$5:$C$1668,$C894)+1)/2)^2)/(COUNTIFS($A$5:$A$1668,$A894,$C$5:$C$1668,$C894)*($F894-1)^3))*IF($F894&lt;Points!$H$4,Points!$H$5,1),0)))</f>
        <v/>
      </c>
      <c r="H894" s="11">
        <f>IF($G894="","",COUNTIFS($B$5:$B$1668,$B894,$G$5:$G$1668,"&gt;"&amp;$G894)+COUNTIFS($B$4:$B893,$B894,$G$4:$G893,$G894)+1)</f>
        <v/>
      </c>
      <c r="I894" s="11">
        <f>IF($G894="","",IF($H894&lt;=Points!$H$6,$G894,0))</f>
        <v/>
      </c>
      <c r="J894" s="11">
        <f>IF($B894="","",IF(COUNTIF(Players!$A$2:$A$500,$B894)=0,"Player is not on the Players tab",IF(NOT(ISNUMBER($C894)),"Enter a gross score",IF(COUNTIFS($A$5:$A$1668,$A894,$B$5:$B$1668,$B894)&gt;1,"Player is listed twice this week",IF(AND($D894&lt;&gt;"",COUNTIFS($A$5:$A$1668,$A894,$D$5:$D$1668,$D894)&gt;1),"Two players picked as "&amp;$D894,IF(COUNTIFS($A$5:$A$1668,$A894,$D$5:$D$1668,"Gross winner")=0,"Pick this week's gross winner",IF(COUNTIFS($A$5:$A$1668,$A894,$D$5:$D$1668,"Net winner")=0,"Pick this week's net winner","OK")))))))</f>
        <v/>
      </c>
    </row>
    <row r="895" outlineLevel="1">
      <c r="A895" s="13" t="n">
        <v>46582</v>
      </c>
      <c r="E895" s="11">
        <f>IF(OR($B895="",NOT(ISNUMBER($C895))),"",COUNTIFS($A$5:$A$1668,$A895,$C$5:$C$1668,"&lt;"&amp;$C895)+1)</f>
        <v/>
      </c>
      <c r="F895" s="11">
        <f>IF(OR($B895="",NOT(ISNUMBER($C895))),"",COUNTIFS($A$5:$A$1668,$A895,$C$5:$C$1668,"&gt;0"))</f>
        <v/>
      </c>
      <c r="G895" s="11">
        <f>IF(OR($B895="",NOT(ISNUMBER($C895))),"",IF($D895&lt;&gt;"",ROUND(Points!$B$6*IF($F895&lt;Points!$H$4,Points!$H$5,1),0),ROUND(Points!$B$6*IF($F895&lt;=1,1,Points!$H$7+(1-Points!$H$7)*((($F895-$E895)*(($F895-$E895)+1)/2)^2-((($F895-$E895-COUNTIFS($A$5:$A$1668,$A895,$C$5:$C$1668,$C895)+1)-1)*($F895-$E895-COUNTIFS($A$5:$A$1668,$A895,$C$5:$C$1668,$C895)+1)/2)^2)/(COUNTIFS($A$5:$A$1668,$A895,$C$5:$C$1668,$C895)*($F895-1)^3))*IF($F895&lt;Points!$H$4,Points!$H$5,1),0)))</f>
        <v/>
      </c>
      <c r="H895" s="11">
        <f>IF($G895="","",COUNTIFS($B$5:$B$1668,$B895,$G$5:$G$1668,"&gt;"&amp;$G895)+COUNTIFS($B$4:$B894,$B895,$G$4:$G894,$G895)+1)</f>
        <v/>
      </c>
      <c r="I895" s="11">
        <f>IF($G895="","",IF($H895&lt;=Points!$H$6,$G895,0))</f>
        <v/>
      </c>
      <c r="J895" s="11">
        <f>IF($B895="","",IF(COUNTIF(Players!$A$2:$A$500,$B895)=0,"Player is not on the Players tab",IF(NOT(ISNUMBER($C895)),"Enter a gross score",IF(COUNTIFS($A$5:$A$1668,$A895,$B$5:$B$1668,$B895)&gt;1,"Player is listed twice this week",IF(AND($D895&lt;&gt;"",COUNTIFS($A$5:$A$1668,$A895,$D$5:$D$1668,$D895)&gt;1),"Two players picked as "&amp;$D895,IF(COUNTIFS($A$5:$A$1668,$A895,$D$5:$D$1668,"Gross winner")=0,"Pick this week's gross winner",IF(COUNTIFS($A$5:$A$1668,$A895,$D$5:$D$1668,"Net winner")=0,"Pick this week's net winner","OK")))))))</f>
        <v/>
      </c>
    </row>
    <row r="896" outlineLevel="1">
      <c r="A896" s="13" t="n">
        <v>46582</v>
      </c>
      <c r="E896" s="11">
        <f>IF(OR($B896="",NOT(ISNUMBER($C896))),"",COUNTIFS($A$5:$A$1668,$A896,$C$5:$C$1668,"&lt;"&amp;$C896)+1)</f>
        <v/>
      </c>
      <c r="F896" s="11">
        <f>IF(OR($B896="",NOT(ISNUMBER($C896))),"",COUNTIFS($A$5:$A$1668,$A896,$C$5:$C$1668,"&gt;0"))</f>
        <v/>
      </c>
      <c r="G896" s="11">
        <f>IF(OR($B896="",NOT(ISNUMBER($C896))),"",IF($D896&lt;&gt;"",ROUND(Points!$B$6*IF($F896&lt;Points!$H$4,Points!$H$5,1),0),ROUND(Points!$B$6*IF($F896&lt;=1,1,Points!$H$7+(1-Points!$H$7)*((($F896-$E896)*(($F896-$E896)+1)/2)^2-((($F896-$E896-COUNTIFS($A$5:$A$1668,$A896,$C$5:$C$1668,$C896)+1)-1)*($F896-$E896-COUNTIFS($A$5:$A$1668,$A896,$C$5:$C$1668,$C896)+1)/2)^2)/(COUNTIFS($A$5:$A$1668,$A896,$C$5:$C$1668,$C896)*($F896-1)^3))*IF($F896&lt;Points!$H$4,Points!$H$5,1),0)))</f>
        <v/>
      </c>
      <c r="H896" s="11">
        <f>IF($G896="","",COUNTIFS($B$5:$B$1668,$B896,$G$5:$G$1668,"&gt;"&amp;$G896)+COUNTIFS($B$4:$B895,$B896,$G$4:$G895,$G896)+1)</f>
        <v/>
      </c>
      <c r="I896" s="11">
        <f>IF($G896="","",IF($H896&lt;=Points!$H$6,$G896,0))</f>
        <v/>
      </c>
      <c r="J896" s="11">
        <f>IF($B896="","",IF(COUNTIF(Players!$A$2:$A$500,$B896)=0,"Player is not on the Players tab",IF(NOT(ISNUMBER($C896)),"Enter a gross score",IF(COUNTIFS($A$5:$A$1668,$A896,$B$5:$B$1668,$B896)&gt;1,"Player is listed twice this week",IF(AND($D896&lt;&gt;"",COUNTIFS($A$5:$A$1668,$A896,$D$5:$D$1668,$D896)&gt;1),"Two players picked as "&amp;$D896,IF(COUNTIFS($A$5:$A$1668,$A896,$D$5:$D$1668,"Gross winner")=0,"Pick this week's gross winner",IF(COUNTIFS($A$5:$A$1668,$A896,$D$5:$D$1668,"Net winner")=0,"Pick this week's net winner","OK")))))))</f>
        <v/>
      </c>
    </row>
    <row r="897" outlineLevel="1">
      <c r="A897" s="13" t="n">
        <v>46582</v>
      </c>
      <c r="E897" s="11">
        <f>IF(OR($B897="",NOT(ISNUMBER($C897))),"",COUNTIFS($A$5:$A$1668,$A897,$C$5:$C$1668,"&lt;"&amp;$C897)+1)</f>
        <v/>
      </c>
      <c r="F897" s="11">
        <f>IF(OR($B897="",NOT(ISNUMBER($C897))),"",COUNTIFS($A$5:$A$1668,$A897,$C$5:$C$1668,"&gt;0"))</f>
        <v/>
      </c>
      <c r="G897" s="11">
        <f>IF(OR($B897="",NOT(ISNUMBER($C897))),"",IF($D897&lt;&gt;"",ROUND(Points!$B$6*IF($F897&lt;Points!$H$4,Points!$H$5,1),0),ROUND(Points!$B$6*IF($F897&lt;=1,1,Points!$H$7+(1-Points!$H$7)*((($F897-$E897)*(($F897-$E897)+1)/2)^2-((($F897-$E897-COUNTIFS($A$5:$A$1668,$A897,$C$5:$C$1668,$C897)+1)-1)*($F897-$E897-COUNTIFS($A$5:$A$1668,$A897,$C$5:$C$1668,$C897)+1)/2)^2)/(COUNTIFS($A$5:$A$1668,$A897,$C$5:$C$1668,$C897)*($F897-1)^3))*IF($F897&lt;Points!$H$4,Points!$H$5,1),0)))</f>
        <v/>
      </c>
      <c r="H897" s="11">
        <f>IF($G897="","",COUNTIFS($B$5:$B$1668,$B897,$G$5:$G$1668,"&gt;"&amp;$G897)+COUNTIFS($B$4:$B896,$B897,$G$4:$G896,$G897)+1)</f>
        <v/>
      </c>
      <c r="I897" s="11">
        <f>IF($G897="","",IF($H897&lt;=Points!$H$6,$G897,0))</f>
        <v/>
      </c>
      <c r="J897" s="11">
        <f>IF($B897="","",IF(COUNTIF(Players!$A$2:$A$500,$B897)=0,"Player is not on the Players tab",IF(NOT(ISNUMBER($C897)),"Enter a gross score",IF(COUNTIFS($A$5:$A$1668,$A897,$B$5:$B$1668,$B897)&gt;1,"Player is listed twice this week",IF(AND($D897&lt;&gt;"",COUNTIFS($A$5:$A$1668,$A897,$D$5:$D$1668,$D897)&gt;1),"Two players picked as "&amp;$D897,IF(COUNTIFS($A$5:$A$1668,$A897,$D$5:$D$1668,"Gross winner")=0,"Pick this week's gross winner",IF(COUNTIFS($A$5:$A$1668,$A897,$D$5:$D$1668,"Net winner")=0,"Pick this week's net winner","OK")))))))</f>
        <v/>
      </c>
    </row>
    <row r="898" outlineLevel="1">
      <c r="A898" s="13" t="n">
        <v>46582</v>
      </c>
      <c r="E898" s="11">
        <f>IF(OR($B898="",NOT(ISNUMBER($C898))),"",COUNTIFS($A$5:$A$1668,$A898,$C$5:$C$1668,"&lt;"&amp;$C898)+1)</f>
        <v/>
      </c>
      <c r="F898" s="11">
        <f>IF(OR($B898="",NOT(ISNUMBER($C898))),"",COUNTIFS($A$5:$A$1668,$A898,$C$5:$C$1668,"&gt;0"))</f>
        <v/>
      </c>
      <c r="G898" s="11">
        <f>IF(OR($B898="",NOT(ISNUMBER($C898))),"",IF($D898&lt;&gt;"",ROUND(Points!$B$6*IF($F898&lt;Points!$H$4,Points!$H$5,1),0),ROUND(Points!$B$6*IF($F898&lt;=1,1,Points!$H$7+(1-Points!$H$7)*((($F898-$E898)*(($F898-$E898)+1)/2)^2-((($F898-$E898-COUNTIFS($A$5:$A$1668,$A898,$C$5:$C$1668,$C898)+1)-1)*($F898-$E898-COUNTIFS($A$5:$A$1668,$A898,$C$5:$C$1668,$C898)+1)/2)^2)/(COUNTIFS($A$5:$A$1668,$A898,$C$5:$C$1668,$C898)*($F898-1)^3))*IF($F898&lt;Points!$H$4,Points!$H$5,1),0)))</f>
        <v/>
      </c>
      <c r="H898" s="11">
        <f>IF($G898="","",COUNTIFS($B$5:$B$1668,$B898,$G$5:$G$1668,"&gt;"&amp;$G898)+COUNTIFS($B$4:$B897,$B898,$G$4:$G897,$G898)+1)</f>
        <v/>
      </c>
      <c r="I898" s="11">
        <f>IF($G898="","",IF($H898&lt;=Points!$H$6,$G898,0))</f>
        <v/>
      </c>
      <c r="J898" s="11">
        <f>IF($B898="","",IF(COUNTIF(Players!$A$2:$A$500,$B898)=0,"Player is not on the Players tab",IF(NOT(ISNUMBER($C898)),"Enter a gross score",IF(COUNTIFS($A$5:$A$1668,$A898,$B$5:$B$1668,$B898)&gt;1,"Player is listed twice this week",IF(AND($D898&lt;&gt;"",COUNTIFS($A$5:$A$1668,$A898,$D$5:$D$1668,$D898)&gt;1),"Two players picked as "&amp;$D898,IF(COUNTIFS($A$5:$A$1668,$A898,$D$5:$D$1668,"Gross winner")=0,"Pick this week's gross winner",IF(COUNTIFS($A$5:$A$1668,$A898,$D$5:$D$1668,"Net winner")=0,"Pick this week's net winner","OK")))))))</f>
        <v/>
      </c>
    </row>
    <row r="899" outlineLevel="1">
      <c r="A899" s="13" t="n">
        <v>46582</v>
      </c>
      <c r="E899" s="11">
        <f>IF(OR($B899="",NOT(ISNUMBER($C899))),"",COUNTIFS($A$5:$A$1668,$A899,$C$5:$C$1668,"&lt;"&amp;$C899)+1)</f>
        <v/>
      </c>
      <c r="F899" s="11">
        <f>IF(OR($B899="",NOT(ISNUMBER($C899))),"",COUNTIFS($A$5:$A$1668,$A899,$C$5:$C$1668,"&gt;0"))</f>
        <v/>
      </c>
      <c r="G899" s="11">
        <f>IF(OR($B899="",NOT(ISNUMBER($C899))),"",IF($D899&lt;&gt;"",ROUND(Points!$B$6*IF($F899&lt;Points!$H$4,Points!$H$5,1),0),ROUND(Points!$B$6*IF($F899&lt;=1,1,Points!$H$7+(1-Points!$H$7)*((($F899-$E899)*(($F899-$E899)+1)/2)^2-((($F899-$E899-COUNTIFS($A$5:$A$1668,$A899,$C$5:$C$1668,$C899)+1)-1)*($F899-$E899-COUNTIFS($A$5:$A$1668,$A899,$C$5:$C$1668,$C899)+1)/2)^2)/(COUNTIFS($A$5:$A$1668,$A899,$C$5:$C$1668,$C899)*($F899-1)^3))*IF($F899&lt;Points!$H$4,Points!$H$5,1),0)))</f>
        <v/>
      </c>
      <c r="H899" s="11">
        <f>IF($G899="","",COUNTIFS($B$5:$B$1668,$B899,$G$5:$G$1668,"&gt;"&amp;$G899)+COUNTIFS($B$4:$B898,$B899,$G$4:$G898,$G899)+1)</f>
        <v/>
      </c>
      <c r="I899" s="11">
        <f>IF($G899="","",IF($H899&lt;=Points!$H$6,$G899,0))</f>
        <v/>
      </c>
      <c r="J899" s="11">
        <f>IF($B899="","",IF(COUNTIF(Players!$A$2:$A$500,$B899)=0,"Player is not on the Players tab",IF(NOT(ISNUMBER($C899)),"Enter a gross score",IF(COUNTIFS($A$5:$A$1668,$A899,$B$5:$B$1668,$B899)&gt;1,"Player is listed twice this week",IF(AND($D899&lt;&gt;"",COUNTIFS($A$5:$A$1668,$A899,$D$5:$D$1668,$D899)&gt;1),"Two players picked as "&amp;$D899,IF(COUNTIFS($A$5:$A$1668,$A899,$D$5:$D$1668,"Gross winner")=0,"Pick this week's gross winner",IF(COUNTIFS($A$5:$A$1668,$A899,$D$5:$D$1668,"Net winner")=0,"Pick this week's net winner","OK")))))))</f>
        <v/>
      </c>
    </row>
    <row r="900" ht="10" customHeight="1"/>
    <row r="901" ht="22" customHeight="1">
      <c r="A901" s="12" t="inlineStr">
        <is>
          <t>Week 29  ·  Wednesday, Jul 21</t>
        </is>
      </c>
    </row>
    <row r="902" outlineLevel="1">
      <c r="A902" s="13" t="n">
        <v>46589</v>
      </c>
      <c r="E902" s="11">
        <f>IF(OR($B902="",NOT(ISNUMBER($C902))),"",COUNTIFS($A$5:$A$1668,$A902,$C$5:$C$1668,"&lt;"&amp;$C902)+1)</f>
        <v/>
      </c>
      <c r="F902" s="11">
        <f>IF(OR($B902="",NOT(ISNUMBER($C902))),"",COUNTIFS($A$5:$A$1668,$A902,$C$5:$C$1668,"&gt;0"))</f>
        <v/>
      </c>
      <c r="G902" s="11">
        <f>IF(OR($B902="",NOT(ISNUMBER($C902))),"",IF($D902&lt;&gt;"",ROUND(Points!$B$6*IF($F902&lt;Points!$H$4,Points!$H$5,1),0),ROUND(Points!$B$6*IF($F902&lt;=1,1,Points!$H$7+(1-Points!$H$7)*((($F902-$E902)*(($F902-$E902)+1)/2)^2-((($F902-$E902-COUNTIFS($A$5:$A$1668,$A902,$C$5:$C$1668,$C902)+1)-1)*($F902-$E902-COUNTIFS($A$5:$A$1668,$A902,$C$5:$C$1668,$C902)+1)/2)^2)/(COUNTIFS($A$5:$A$1668,$A902,$C$5:$C$1668,$C902)*($F902-1)^3))*IF($F902&lt;Points!$H$4,Points!$H$5,1),0)))</f>
        <v/>
      </c>
      <c r="H902" s="11">
        <f>IF($G902="","",COUNTIFS($B$5:$B$1668,$B902,$G$5:$G$1668,"&gt;"&amp;$G902)+COUNTIFS($B$4:$B901,$B902,$G$4:$G901,$G902)+1)</f>
        <v/>
      </c>
      <c r="I902" s="11">
        <f>IF($G902="","",IF($H902&lt;=Points!$H$6,$G902,0))</f>
        <v/>
      </c>
      <c r="J902" s="11">
        <f>IF($B902="","",IF(COUNTIF(Players!$A$2:$A$500,$B902)=0,"Player is not on the Players tab",IF(NOT(ISNUMBER($C902)),"Enter a gross score",IF(COUNTIFS($A$5:$A$1668,$A902,$B$5:$B$1668,$B902)&gt;1,"Player is listed twice this week",IF(AND($D902&lt;&gt;"",COUNTIFS($A$5:$A$1668,$A902,$D$5:$D$1668,$D902)&gt;1),"Two players picked as "&amp;$D902,IF(COUNTIFS($A$5:$A$1668,$A902,$D$5:$D$1668,"Gross winner")=0,"Pick this week's gross winner",IF(COUNTIFS($A$5:$A$1668,$A902,$D$5:$D$1668,"Net winner")=0,"Pick this week's net winner","OK")))))))</f>
        <v/>
      </c>
    </row>
    <row r="903" outlineLevel="1">
      <c r="A903" s="13" t="n">
        <v>46589</v>
      </c>
      <c r="E903" s="11">
        <f>IF(OR($B903="",NOT(ISNUMBER($C903))),"",COUNTIFS($A$5:$A$1668,$A903,$C$5:$C$1668,"&lt;"&amp;$C903)+1)</f>
        <v/>
      </c>
      <c r="F903" s="11">
        <f>IF(OR($B903="",NOT(ISNUMBER($C903))),"",COUNTIFS($A$5:$A$1668,$A903,$C$5:$C$1668,"&gt;0"))</f>
        <v/>
      </c>
      <c r="G903" s="11">
        <f>IF(OR($B903="",NOT(ISNUMBER($C903))),"",IF($D903&lt;&gt;"",ROUND(Points!$B$6*IF($F903&lt;Points!$H$4,Points!$H$5,1),0),ROUND(Points!$B$6*IF($F903&lt;=1,1,Points!$H$7+(1-Points!$H$7)*((($F903-$E903)*(($F903-$E903)+1)/2)^2-((($F903-$E903-COUNTIFS($A$5:$A$1668,$A903,$C$5:$C$1668,$C903)+1)-1)*($F903-$E903-COUNTIFS($A$5:$A$1668,$A903,$C$5:$C$1668,$C903)+1)/2)^2)/(COUNTIFS($A$5:$A$1668,$A903,$C$5:$C$1668,$C903)*($F903-1)^3))*IF($F903&lt;Points!$H$4,Points!$H$5,1),0)))</f>
        <v/>
      </c>
      <c r="H903" s="11">
        <f>IF($G903="","",COUNTIFS($B$5:$B$1668,$B903,$G$5:$G$1668,"&gt;"&amp;$G903)+COUNTIFS($B$4:$B902,$B903,$G$4:$G902,$G903)+1)</f>
        <v/>
      </c>
      <c r="I903" s="11">
        <f>IF($G903="","",IF($H903&lt;=Points!$H$6,$G903,0))</f>
        <v/>
      </c>
      <c r="J903" s="11">
        <f>IF($B903="","",IF(COUNTIF(Players!$A$2:$A$500,$B903)=0,"Player is not on the Players tab",IF(NOT(ISNUMBER($C903)),"Enter a gross score",IF(COUNTIFS($A$5:$A$1668,$A903,$B$5:$B$1668,$B903)&gt;1,"Player is listed twice this week",IF(AND($D903&lt;&gt;"",COUNTIFS($A$5:$A$1668,$A903,$D$5:$D$1668,$D903)&gt;1),"Two players picked as "&amp;$D903,IF(COUNTIFS($A$5:$A$1668,$A903,$D$5:$D$1668,"Gross winner")=0,"Pick this week's gross winner",IF(COUNTIFS($A$5:$A$1668,$A903,$D$5:$D$1668,"Net winner")=0,"Pick this week's net winner","OK")))))))</f>
        <v/>
      </c>
    </row>
    <row r="904" outlineLevel="1">
      <c r="A904" s="13" t="n">
        <v>46589</v>
      </c>
      <c r="E904" s="11">
        <f>IF(OR($B904="",NOT(ISNUMBER($C904))),"",COUNTIFS($A$5:$A$1668,$A904,$C$5:$C$1668,"&lt;"&amp;$C904)+1)</f>
        <v/>
      </c>
      <c r="F904" s="11">
        <f>IF(OR($B904="",NOT(ISNUMBER($C904))),"",COUNTIFS($A$5:$A$1668,$A904,$C$5:$C$1668,"&gt;0"))</f>
        <v/>
      </c>
      <c r="G904" s="11">
        <f>IF(OR($B904="",NOT(ISNUMBER($C904))),"",IF($D904&lt;&gt;"",ROUND(Points!$B$6*IF($F904&lt;Points!$H$4,Points!$H$5,1),0),ROUND(Points!$B$6*IF($F904&lt;=1,1,Points!$H$7+(1-Points!$H$7)*((($F904-$E904)*(($F904-$E904)+1)/2)^2-((($F904-$E904-COUNTIFS($A$5:$A$1668,$A904,$C$5:$C$1668,$C904)+1)-1)*($F904-$E904-COUNTIFS($A$5:$A$1668,$A904,$C$5:$C$1668,$C904)+1)/2)^2)/(COUNTIFS($A$5:$A$1668,$A904,$C$5:$C$1668,$C904)*($F904-1)^3))*IF($F904&lt;Points!$H$4,Points!$H$5,1),0)))</f>
        <v/>
      </c>
      <c r="H904" s="11">
        <f>IF($G904="","",COUNTIFS($B$5:$B$1668,$B904,$G$5:$G$1668,"&gt;"&amp;$G904)+COUNTIFS($B$4:$B903,$B904,$G$4:$G903,$G904)+1)</f>
        <v/>
      </c>
      <c r="I904" s="11">
        <f>IF($G904="","",IF($H904&lt;=Points!$H$6,$G904,0))</f>
        <v/>
      </c>
      <c r="J904" s="11">
        <f>IF($B904="","",IF(COUNTIF(Players!$A$2:$A$500,$B904)=0,"Player is not on the Players tab",IF(NOT(ISNUMBER($C904)),"Enter a gross score",IF(COUNTIFS($A$5:$A$1668,$A904,$B$5:$B$1668,$B904)&gt;1,"Player is listed twice this week",IF(AND($D904&lt;&gt;"",COUNTIFS($A$5:$A$1668,$A904,$D$5:$D$1668,$D904)&gt;1),"Two players picked as "&amp;$D904,IF(COUNTIFS($A$5:$A$1668,$A904,$D$5:$D$1668,"Gross winner")=0,"Pick this week's gross winner",IF(COUNTIFS($A$5:$A$1668,$A904,$D$5:$D$1668,"Net winner")=0,"Pick this week's net winner","OK")))))))</f>
        <v/>
      </c>
    </row>
    <row r="905" outlineLevel="1">
      <c r="A905" s="13" t="n">
        <v>46589</v>
      </c>
      <c r="E905" s="11">
        <f>IF(OR($B905="",NOT(ISNUMBER($C905))),"",COUNTIFS($A$5:$A$1668,$A905,$C$5:$C$1668,"&lt;"&amp;$C905)+1)</f>
        <v/>
      </c>
      <c r="F905" s="11">
        <f>IF(OR($B905="",NOT(ISNUMBER($C905))),"",COUNTIFS($A$5:$A$1668,$A905,$C$5:$C$1668,"&gt;0"))</f>
        <v/>
      </c>
      <c r="G905" s="11">
        <f>IF(OR($B905="",NOT(ISNUMBER($C905))),"",IF($D905&lt;&gt;"",ROUND(Points!$B$6*IF($F905&lt;Points!$H$4,Points!$H$5,1),0),ROUND(Points!$B$6*IF($F905&lt;=1,1,Points!$H$7+(1-Points!$H$7)*((($F905-$E905)*(($F905-$E905)+1)/2)^2-((($F905-$E905-COUNTIFS($A$5:$A$1668,$A905,$C$5:$C$1668,$C905)+1)-1)*($F905-$E905-COUNTIFS($A$5:$A$1668,$A905,$C$5:$C$1668,$C905)+1)/2)^2)/(COUNTIFS($A$5:$A$1668,$A905,$C$5:$C$1668,$C905)*($F905-1)^3))*IF($F905&lt;Points!$H$4,Points!$H$5,1),0)))</f>
        <v/>
      </c>
      <c r="H905" s="11">
        <f>IF($G905="","",COUNTIFS($B$5:$B$1668,$B905,$G$5:$G$1668,"&gt;"&amp;$G905)+COUNTIFS($B$4:$B904,$B905,$G$4:$G904,$G905)+1)</f>
        <v/>
      </c>
      <c r="I905" s="11">
        <f>IF($G905="","",IF($H905&lt;=Points!$H$6,$G905,0))</f>
        <v/>
      </c>
      <c r="J905" s="11">
        <f>IF($B905="","",IF(COUNTIF(Players!$A$2:$A$500,$B905)=0,"Player is not on the Players tab",IF(NOT(ISNUMBER($C905)),"Enter a gross score",IF(COUNTIFS($A$5:$A$1668,$A905,$B$5:$B$1668,$B905)&gt;1,"Player is listed twice this week",IF(AND($D905&lt;&gt;"",COUNTIFS($A$5:$A$1668,$A905,$D$5:$D$1668,$D905)&gt;1),"Two players picked as "&amp;$D905,IF(COUNTIFS($A$5:$A$1668,$A905,$D$5:$D$1668,"Gross winner")=0,"Pick this week's gross winner",IF(COUNTIFS($A$5:$A$1668,$A905,$D$5:$D$1668,"Net winner")=0,"Pick this week's net winner","OK")))))))</f>
        <v/>
      </c>
    </row>
    <row r="906" outlineLevel="1">
      <c r="A906" s="13" t="n">
        <v>46589</v>
      </c>
      <c r="E906" s="11">
        <f>IF(OR($B906="",NOT(ISNUMBER($C906))),"",COUNTIFS($A$5:$A$1668,$A906,$C$5:$C$1668,"&lt;"&amp;$C906)+1)</f>
        <v/>
      </c>
      <c r="F906" s="11">
        <f>IF(OR($B906="",NOT(ISNUMBER($C906))),"",COUNTIFS($A$5:$A$1668,$A906,$C$5:$C$1668,"&gt;0"))</f>
        <v/>
      </c>
      <c r="G906" s="11">
        <f>IF(OR($B906="",NOT(ISNUMBER($C906))),"",IF($D906&lt;&gt;"",ROUND(Points!$B$6*IF($F906&lt;Points!$H$4,Points!$H$5,1),0),ROUND(Points!$B$6*IF($F906&lt;=1,1,Points!$H$7+(1-Points!$H$7)*((($F906-$E906)*(($F906-$E906)+1)/2)^2-((($F906-$E906-COUNTIFS($A$5:$A$1668,$A906,$C$5:$C$1668,$C906)+1)-1)*($F906-$E906-COUNTIFS($A$5:$A$1668,$A906,$C$5:$C$1668,$C906)+1)/2)^2)/(COUNTIFS($A$5:$A$1668,$A906,$C$5:$C$1668,$C906)*($F906-1)^3))*IF($F906&lt;Points!$H$4,Points!$H$5,1),0)))</f>
        <v/>
      </c>
      <c r="H906" s="11">
        <f>IF($G906="","",COUNTIFS($B$5:$B$1668,$B906,$G$5:$G$1668,"&gt;"&amp;$G906)+COUNTIFS($B$4:$B905,$B906,$G$4:$G905,$G906)+1)</f>
        <v/>
      </c>
      <c r="I906" s="11">
        <f>IF($G906="","",IF($H906&lt;=Points!$H$6,$G906,0))</f>
        <v/>
      </c>
      <c r="J906" s="11">
        <f>IF($B906="","",IF(COUNTIF(Players!$A$2:$A$500,$B906)=0,"Player is not on the Players tab",IF(NOT(ISNUMBER($C906)),"Enter a gross score",IF(COUNTIFS($A$5:$A$1668,$A906,$B$5:$B$1668,$B906)&gt;1,"Player is listed twice this week",IF(AND($D906&lt;&gt;"",COUNTIFS($A$5:$A$1668,$A906,$D$5:$D$1668,$D906)&gt;1),"Two players picked as "&amp;$D906,IF(COUNTIFS($A$5:$A$1668,$A906,$D$5:$D$1668,"Gross winner")=0,"Pick this week's gross winner",IF(COUNTIFS($A$5:$A$1668,$A906,$D$5:$D$1668,"Net winner")=0,"Pick this week's net winner","OK")))))))</f>
        <v/>
      </c>
    </row>
    <row r="907" outlineLevel="1">
      <c r="A907" s="13" t="n">
        <v>46589</v>
      </c>
      <c r="E907" s="11">
        <f>IF(OR($B907="",NOT(ISNUMBER($C907))),"",COUNTIFS($A$5:$A$1668,$A907,$C$5:$C$1668,"&lt;"&amp;$C907)+1)</f>
        <v/>
      </c>
      <c r="F907" s="11">
        <f>IF(OR($B907="",NOT(ISNUMBER($C907))),"",COUNTIFS($A$5:$A$1668,$A907,$C$5:$C$1668,"&gt;0"))</f>
        <v/>
      </c>
      <c r="G907" s="11">
        <f>IF(OR($B907="",NOT(ISNUMBER($C907))),"",IF($D907&lt;&gt;"",ROUND(Points!$B$6*IF($F907&lt;Points!$H$4,Points!$H$5,1),0),ROUND(Points!$B$6*IF($F907&lt;=1,1,Points!$H$7+(1-Points!$H$7)*((($F907-$E907)*(($F907-$E907)+1)/2)^2-((($F907-$E907-COUNTIFS($A$5:$A$1668,$A907,$C$5:$C$1668,$C907)+1)-1)*($F907-$E907-COUNTIFS($A$5:$A$1668,$A907,$C$5:$C$1668,$C907)+1)/2)^2)/(COUNTIFS($A$5:$A$1668,$A907,$C$5:$C$1668,$C907)*($F907-1)^3))*IF($F907&lt;Points!$H$4,Points!$H$5,1),0)))</f>
        <v/>
      </c>
      <c r="H907" s="11">
        <f>IF($G907="","",COUNTIFS($B$5:$B$1668,$B907,$G$5:$G$1668,"&gt;"&amp;$G907)+COUNTIFS($B$4:$B906,$B907,$G$4:$G906,$G907)+1)</f>
        <v/>
      </c>
      <c r="I907" s="11">
        <f>IF($G907="","",IF($H907&lt;=Points!$H$6,$G907,0))</f>
        <v/>
      </c>
      <c r="J907" s="11">
        <f>IF($B907="","",IF(COUNTIF(Players!$A$2:$A$500,$B907)=0,"Player is not on the Players tab",IF(NOT(ISNUMBER($C907)),"Enter a gross score",IF(COUNTIFS($A$5:$A$1668,$A907,$B$5:$B$1668,$B907)&gt;1,"Player is listed twice this week",IF(AND($D907&lt;&gt;"",COUNTIFS($A$5:$A$1668,$A907,$D$5:$D$1668,$D907)&gt;1),"Two players picked as "&amp;$D907,IF(COUNTIFS($A$5:$A$1668,$A907,$D$5:$D$1668,"Gross winner")=0,"Pick this week's gross winner",IF(COUNTIFS($A$5:$A$1668,$A907,$D$5:$D$1668,"Net winner")=0,"Pick this week's net winner","OK")))))))</f>
        <v/>
      </c>
    </row>
    <row r="908" outlineLevel="1">
      <c r="A908" s="13" t="n">
        <v>46589</v>
      </c>
      <c r="E908" s="11">
        <f>IF(OR($B908="",NOT(ISNUMBER($C908))),"",COUNTIFS($A$5:$A$1668,$A908,$C$5:$C$1668,"&lt;"&amp;$C908)+1)</f>
        <v/>
      </c>
      <c r="F908" s="11">
        <f>IF(OR($B908="",NOT(ISNUMBER($C908))),"",COUNTIFS($A$5:$A$1668,$A908,$C$5:$C$1668,"&gt;0"))</f>
        <v/>
      </c>
      <c r="G908" s="11">
        <f>IF(OR($B908="",NOT(ISNUMBER($C908))),"",IF($D908&lt;&gt;"",ROUND(Points!$B$6*IF($F908&lt;Points!$H$4,Points!$H$5,1),0),ROUND(Points!$B$6*IF($F908&lt;=1,1,Points!$H$7+(1-Points!$H$7)*((($F908-$E908)*(($F908-$E908)+1)/2)^2-((($F908-$E908-COUNTIFS($A$5:$A$1668,$A908,$C$5:$C$1668,$C908)+1)-1)*($F908-$E908-COUNTIFS($A$5:$A$1668,$A908,$C$5:$C$1668,$C908)+1)/2)^2)/(COUNTIFS($A$5:$A$1668,$A908,$C$5:$C$1668,$C908)*($F908-1)^3))*IF($F908&lt;Points!$H$4,Points!$H$5,1),0)))</f>
        <v/>
      </c>
      <c r="H908" s="11">
        <f>IF($G908="","",COUNTIFS($B$5:$B$1668,$B908,$G$5:$G$1668,"&gt;"&amp;$G908)+COUNTIFS($B$4:$B907,$B908,$G$4:$G907,$G908)+1)</f>
        <v/>
      </c>
      <c r="I908" s="11">
        <f>IF($G908="","",IF($H908&lt;=Points!$H$6,$G908,0))</f>
        <v/>
      </c>
      <c r="J908" s="11">
        <f>IF($B908="","",IF(COUNTIF(Players!$A$2:$A$500,$B908)=0,"Player is not on the Players tab",IF(NOT(ISNUMBER($C908)),"Enter a gross score",IF(COUNTIFS($A$5:$A$1668,$A908,$B$5:$B$1668,$B908)&gt;1,"Player is listed twice this week",IF(AND($D908&lt;&gt;"",COUNTIFS($A$5:$A$1668,$A908,$D$5:$D$1668,$D908)&gt;1),"Two players picked as "&amp;$D908,IF(COUNTIFS($A$5:$A$1668,$A908,$D$5:$D$1668,"Gross winner")=0,"Pick this week's gross winner",IF(COUNTIFS($A$5:$A$1668,$A908,$D$5:$D$1668,"Net winner")=0,"Pick this week's net winner","OK")))))))</f>
        <v/>
      </c>
    </row>
    <row r="909" outlineLevel="1">
      <c r="A909" s="13" t="n">
        <v>46589</v>
      </c>
      <c r="E909" s="11">
        <f>IF(OR($B909="",NOT(ISNUMBER($C909))),"",COUNTIFS($A$5:$A$1668,$A909,$C$5:$C$1668,"&lt;"&amp;$C909)+1)</f>
        <v/>
      </c>
      <c r="F909" s="11">
        <f>IF(OR($B909="",NOT(ISNUMBER($C909))),"",COUNTIFS($A$5:$A$1668,$A909,$C$5:$C$1668,"&gt;0"))</f>
        <v/>
      </c>
      <c r="G909" s="11">
        <f>IF(OR($B909="",NOT(ISNUMBER($C909))),"",IF($D909&lt;&gt;"",ROUND(Points!$B$6*IF($F909&lt;Points!$H$4,Points!$H$5,1),0),ROUND(Points!$B$6*IF($F909&lt;=1,1,Points!$H$7+(1-Points!$H$7)*((($F909-$E909)*(($F909-$E909)+1)/2)^2-((($F909-$E909-COUNTIFS($A$5:$A$1668,$A909,$C$5:$C$1668,$C909)+1)-1)*($F909-$E909-COUNTIFS($A$5:$A$1668,$A909,$C$5:$C$1668,$C909)+1)/2)^2)/(COUNTIFS($A$5:$A$1668,$A909,$C$5:$C$1668,$C909)*($F909-1)^3))*IF($F909&lt;Points!$H$4,Points!$H$5,1),0)))</f>
        <v/>
      </c>
      <c r="H909" s="11">
        <f>IF($G909="","",COUNTIFS($B$5:$B$1668,$B909,$G$5:$G$1668,"&gt;"&amp;$G909)+COUNTIFS($B$4:$B908,$B909,$G$4:$G908,$G909)+1)</f>
        <v/>
      </c>
      <c r="I909" s="11">
        <f>IF($G909="","",IF($H909&lt;=Points!$H$6,$G909,0))</f>
        <v/>
      </c>
      <c r="J909" s="11">
        <f>IF($B909="","",IF(COUNTIF(Players!$A$2:$A$500,$B909)=0,"Player is not on the Players tab",IF(NOT(ISNUMBER($C909)),"Enter a gross score",IF(COUNTIFS($A$5:$A$1668,$A909,$B$5:$B$1668,$B909)&gt;1,"Player is listed twice this week",IF(AND($D909&lt;&gt;"",COUNTIFS($A$5:$A$1668,$A909,$D$5:$D$1668,$D909)&gt;1),"Two players picked as "&amp;$D909,IF(COUNTIFS($A$5:$A$1668,$A909,$D$5:$D$1668,"Gross winner")=0,"Pick this week's gross winner",IF(COUNTIFS($A$5:$A$1668,$A909,$D$5:$D$1668,"Net winner")=0,"Pick this week's net winner","OK")))))))</f>
        <v/>
      </c>
    </row>
    <row r="910" outlineLevel="1">
      <c r="A910" s="13" t="n">
        <v>46589</v>
      </c>
      <c r="E910" s="11">
        <f>IF(OR($B910="",NOT(ISNUMBER($C910))),"",COUNTIFS($A$5:$A$1668,$A910,$C$5:$C$1668,"&lt;"&amp;$C910)+1)</f>
        <v/>
      </c>
      <c r="F910" s="11">
        <f>IF(OR($B910="",NOT(ISNUMBER($C910))),"",COUNTIFS($A$5:$A$1668,$A910,$C$5:$C$1668,"&gt;0"))</f>
        <v/>
      </c>
      <c r="G910" s="11">
        <f>IF(OR($B910="",NOT(ISNUMBER($C910))),"",IF($D910&lt;&gt;"",ROUND(Points!$B$6*IF($F910&lt;Points!$H$4,Points!$H$5,1),0),ROUND(Points!$B$6*IF($F910&lt;=1,1,Points!$H$7+(1-Points!$H$7)*((($F910-$E910)*(($F910-$E910)+1)/2)^2-((($F910-$E910-COUNTIFS($A$5:$A$1668,$A910,$C$5:$C$1668,$C910)+1)-1)*($F910-$E910-COUNTIFS($A$5:$A$1668,$A910,$C$5:$C$1668,$C910)+1)/2)^2)/(COUNTIFS($A$5:$A$1668,$A910,$C$5:$C$1668,$C910)*($F910-1)^3))*IF($F910&lt;Points!$H$4,Points!$H$5,1),0)))</f>
        <v/>
      </c>
      <c r="H910" s="11">
        <f>IF($G910="","",COUNTIFS($B$5:$B$1668,$B910,$G$5:$G$1668,"&gt;"&amp;$G910)+COUNTIFS($B$4:$B909,$B910,$G$4:$G909,$G910)+1)</f>
        <v/>
      </c>
      <c r="I910" s="11">
        <f>IF($G910="","",IF($H910&lt;=Points!$H$6,$G910,0))</f>
        <v/>
      </c>
      <c r="J910" s="11">
        <f>IF($B910="","",IF(COUNTIF(Players!$A$2:$A$500,$B910)=0,"Player is not on the Players tab",IF(NOT(ISNUMBER($C910)),"Enter a gross score",IF(COUNTIFS($A$5:$A$1668,$A910,$B$5:$B$1668,$B910)&gt;1,"Player is listed twice this week",IF(AND($D910&lt;&gt;"",COUNTIFS($A$5:$A$1668,$A910,$D$5:$D$1668,$D910)&gt;1),"Two players picked as "&amp;$D910,IF(COUNTIFS($A$5:$A$1668,$A910,$D$5:$D$1668,"Gross winner")=0,"Pick this week's gross winner",IF(COUNTIFS($A$5:$A$1668,$A910,$D$5:$D$1668,"Net winner")=0,"Pick this week's net winner","OK")))))))</f>
        <v/>
      </c>
    </row>
    <row r="911" outlineLevel="1">
      <c r="A911" s="13" t="n">
        <v>46589</v>
      </c>
      <c r="E911" s="11">
        <f>IF(OR($B911="",NOT(ISNUMBER($C911))),"",COUNTIFS($A$5:$A$1668,$A911,$C$5:$C$1668,"&lt;"&amp;$C911)+1)</f>
        <v/>
      </c>
      <c r="F911" s="11">
        <f>IF(OR($B911="",NOT(ISNUMBER($C911))),"",COUNTIFS($A$5:$A$1668,$A911,$C$5:$C$1668,"&gt;0"))</f>
        <v/>
      </c>
      <c r="G911" s="11">
        <f>IF(OR($B911="",NOT(ISNUMBER($C911))),"",IF($D911&lt;&gt;"",ROUND(Points!$B$6*IF($F911&lt;Points!$H$4,Points!$H$5,1),0),ROUND(Points!$B$6*IF($F911&lt;=1,1,Points!$H$7+(1-Points!$H$7)*((($F911-$E911)*(($F911-$E911)+1)/2)^2-((($F911-$E911-COUNTIFS($A$5:$A$1668,$A911,$C$5:$C$1668,$C911)+1)-1)*($F911-$E911-COUNTIFS($A$5:$A$1668,$A911,$C$5:$C$1668,$C911)+1)/2)^2)/(COUNTIFS($A$5:$A$1668,$A911,$C$5:$C$1668,$C911)*($F911-1)^3))*IF($F911&lt;Points!$H$4,Points!$H$5,1),0)))</f>
        <v/>
      </c>
      <c r="H911" s="11">
        <f>IF($G911="","",COUNTIFS($B$5:$B$1668,$B911,$G$5:$G$1668,"&gt;"&amp;$G911)+COUNTIFS($B$4:$B910,$B911,$G$4:$G910,$G911)+1)</f>
        <v/>
      </c>
      <c r="I911" s="11">
        <f>IF($G911="","",IF($H911&lt;=Points!$H$6,$G911,0))</f>
        <v/>
      </c>
      <c r="J911" s="11">
        <f>IF($B911="","",IF(COUNTIF(Players!$A$2:$A$500,$B911)=0,"Player is not on the Players tab",IF(NOT(ISNUMBER($C911)),"Enter a gross score",IF(COUNTIFS($A$5:$A$1668,$A911,$B$5:$B$1668,$B911)&gt;1,"Player is listed twice this week",IF(AND($D911&lt;&gt;"",COUNTIFS($A$5:$A$1668,$A911,$D$5:$D$1668,$D911)&gt;1),"Two players picked as "&amp;$D911,IF(COUNTIFS($A$5:$A$1668,$A911,$D$5:$D$1668,"Gross winner")=0,"Pick this week's gross winner",IF(COUNTIFS($A$5:$A$1668,$A911,$D$5:$D$1668,"Net winner")=0,"Pick this week's net winner","OK")))))))</f>
        <v/>
      </c>
    </row>
    <row r="912" outlineLevel="1">
      <c r="A912" s="13" t="n">
        <v>46589</v>
      </c>
      <c r="E912" s="11">
        <f>IF(OR($B912="",NOT(ISNUMBER($C912))),"",COUNTIFS($A$5:$A$1668,$A912,$C$5:$C$1668,"&lt;"&amp;$C912)+1)</f>
        <v/>
      </c>
      <c r="F912" s="11">
        <f>IF(OR($B912="",NOT(ISNUMBER($C912))),"",COUNTIFS($A$5:$A$1668,$A912,$C$5:$C$1668,"&gt;0"))</f>
        <v/>
      </c>
      <c r="G912" s="11">
        <f>IF(OR($B912="",NOT(ISNUMBER($C912))),"",IF($D912&lt;&gt;"",ROUND(Points!$B$6*IF($F912&lt;Points!$H$4,Points!$H$5,1),0),ROUND(Points!$B$6*IF($F912&lt;=1,1,Points!$H$7+(1-Points!$H$7)*((($F912-$E912)*(($F912-$E912)+1)/2)^2-((($F912-$E912-COUNTIFS($A$5:$A$1668,$A912,$C$5:$C$1668,$C912)+1)-1)*($F912-$E912-COUNTIFS($A$5:$A$1668,$A912,$C$5:$C$1668,$C912)+1)/2)^2)/(COUNTIFS($A$5:$A$1668,$A912,$C$5:$C$1668,$C912)*($F912-1)^3))*IF($F912&lt;Points!$H$4,Points!$H$5,1),0)))</f>
        <v/>
      </c>
      <c r="H912" s="11">
        <f>IF($G912="","",COUNTIFS($B$5:$B$1668,$B912,$G$5:$G$1668,"&gt;"&amp;$G912)+COUNTIFS($B$4:$B911,$B912,$G$4:$G911,$G912)+1)</f>
        <v/>
      </c>
      <c r="I912" s="11">
        <f>IF($G912="","",IF($H912&lt;=Points!$H$6,$G912,0))</f>
        <v/>
      </c>
      <c r="J912" s="11">
        <f>IF($B912="","",IF(COUNTIF(Players!$A$2:$A$500,$B912)=0,"Player is not on the Players tab",IF(NOT(ISNUMBER($C912)),"Enter a gross score",IF(COUNTIFS($A$5:$A$1668,$A912,$B$5:$B$1668,$B912)&gt;1,"Player is listed twice this week",IF(AND($D912&lt;&gt;"",COUNTIFS($A$5:$A$1668,$A912,$D$5:$D$1668,$D912)&gt;1),"Two players picked as "&amp;$D912,IF(COUNTIFS($A$5:$A$1668,$A912,$D$5:$D$1668,"Gross winner")=0,"Pick this week's gross winner",IF(COUNTIFS($A$5:$A$1668,$A912,$D$5:$D$1668,"Net winner")=0,"Pick this week's net winner","OK")))))))</f>
        <v/>
      </c>
    </row>
    <row r="913" outlineLevel="1">
      <c r="A913" s="13" t="n">
        <v>46589</v>
      </c>
      <c r="E913" s="11">
        <f>IF(OR($B913="",NOT(ISNUMBER($C913))),"",COUNTIFS($A$5:$A$1668,$A913,$C$5:$C$1668,"&lt;"&amp;$C913)+1)</f>
        <v/>
      </c>
      <c r="F913" s="11">
        <f>IF(OR($B913="",NOT(ISNUMBER($C913))),"",COUNTIFS($A$5:$A$1668,$A913,$C$5:$C$1668,"&gt;0"))</f>
        <v/>
      </c>
      <c r="G913" s="11">
        <f>IF(OR($B913="",NOT(ISNUMBER($C913))),"",IF($D913&lt;&gt;"",ROUND(Points!$B$6*IF($F913&lt;Points!$H$4,Points!$H$5,1),0),ROUND(Points!$B$6*IF($F913&lt;=1,1,Points!$H$7+(1-Points!$H$7)*((($F913-$E913)*(($F913-$E913)+1)/2)^2-((($F913-$E913-COUNTIFS($A$5:$A$1668,$A913,$C$5:$C$1668,$C913)+1)-1)*($F913-$E913-COUNTIFS($A$5:$A$1668,$A913,$C$5:$C$1668,$C913)+1)/2)^2)/(COUNTIFS($A$5:$A$1668,$A913,$C$5:$C$1668,$C913)*($F913-1)^3))*IF($F913&lt;Points!$H$4,Points!$H$5,1),0)))</f>
        <v/>
      </c>
      <c r="H913" s="11">
        <f>IF($G913="","",COUNTIFS($B$5:$B$1668,$B913,$G$5:$G$1668,"&gt;"&amp;$G913)+COUNTIFS($B$4:$B912,$B913,$G$4:$G912,$G913)+1)</f>
        <v/>
      </c>
      <c r="I913" s="11">
        <f>IF($G913="","",IF($H913&lt;=Points!$H$6,$G913,0))</f>
        <v/>
      </c>
      <c r="J913" s="11">
        <f>IF($B913="","",IF(COUNTIF(Players!$A$2:$A$500,$B913)=0,"Player is not on the Players tab",IF(NOT(ISNUMBER($C913)),"Enter a gross score",IF(COUNTIFS($A$5:$A$1668,$A913,$B$5:$B$1668,$B913)&gt;1,"Player is listed twice this week",IF(AND($D913&lt;&gt;"",COUNTIFS($A$5:$A$1668,$A913,$D$5:$D$1668,$D913)&gt;1),"Two players picked as "&amp;$D913,IF(COUNTIFS($A$5:$A$1668,$A913,$D$5:$D$1668,"Gross winner")=0,"Pick this week's gross winner",IF(COUNTIFS($A$5:$A$1668,$A913,$D$5:$D$1668,"Net winner")=0,"Pick this week's net winner","OK")))))))</f>
        <v/>
      </c>
    </row>
    <row r="914" outlineLevel="1">
      <c r="A914" s="13" t="n">
        <v>46589</v>
      </c>
      <c r="E914" s="11">
        <f>IF(OR($B914="",NOT(ISNUMBER($C914))),"",COUNTIFS($A$5:$A$1668,$A914,$C$5:$C$1668,"&lt;"&amp;$C914)+1)</f>
        <v/>
      </c>
      <c r="F914" s="11">
        <f>IF(OR($B914="",NOT(ISNUMBER($C914))),"",COUNTIFS($A$5:$A$1668,$A914,$C$5:$C$1668,"&gt;0"))</f>
        <v/>
      </c>
      <c r="G914" s="11">
        <f>IF(OR($B914="",NOT(ISNUMBER($C914))),"",IF($D914&lt;&gt;"",ROUND(Points!$B$6*IF($F914&lt;Points!$H$4,Points!$H$5,1),0),ROUND(Points!$B$6*IF($F914&lt;=1,1,Points!$H$7+(1-Points!$H$7)*((($F914-$E914)*(($F914-$E914)+1)/2)^2-((($F914-$E914-COUNTIFS($A$5:$A$1668,$A914,$C$5:$C$1668,$C914)+1)-1)*($F914-$E914-COUNTIFS($A$5:$A$1668,$A914,$C$5:$C$1668,$C914)+1)/2)^2)/(COUNTIFS($A$5:$A$1668,$A914,$C$5:$C$1668,$C914)*($F914-1)^3))*IF($F914&lt;Points!$H$4,Points!$H$5,1),0)))</f>
        <v/>
      </c>
      <c r="H914" s="11">
        <f>IF($G914="","",COUNTIFS($B$5:$B$1668,$B914,$G$5:$G$1668,"&gt;"&amp;$G914)+COUNTIFS($B$4:$B913,$B914,$G$4:$G913,$G914)+1)</f>
        <v/>
      </c>
      <c r="I914" s="11">
        <f>IF($G914="","",IF($H914&lt;=Points!$H$6,$G914,0))</f>
        <v/>
      </c>
      <c r="J914" s="11">
        <f>IF($B914="","",IF(COUNTIF(Players!$A$2:$A$500,$B914)=0,"Player is not on the Players tab",IF(NOT(ISNUMBER($C914)),"Enter a gross score",IF(COUNTIFS($A$5:$A$1668,$A914,$B$5:$B$1668,$B914)&gt;1,"Player is listed twice this week",IF(AND($D914&lt;&gt;"",COUNTIFS($A$5:$A$1668,$A914,$D$5:$D$1668,$D914)&gt;1),"Two players picked as "&amp;$D914,IF(COUNTIFS($A$5:$A$1668,$A914,$D$5:$D$1668,"Gross winner")=0,"Pick this week's gross winner",IF(COUNTIFS($A$5:$A$1668,$A914,$D$5:$D$1668,"Net winner")=0,"Pick this week's net winner","OK")))))))</f>
        <v/>
      </c>
    </row>
    <row r="915" outlineLevel="1">
      <c r="A915" s="13" t="n">
        <v>46589</v>
      </c>
      <c r="E915" s="11">
        <f>IF(OR($B915="",NOT(ISNUMBER($C915))),"",COUNTIFS($A$5:$A$1668,$A915,$C$5:$C$1668,"&lt;"&amp;$C915)+1)</f>
        <v/>
      </c>
      <c r="F915" s="11">
        <f>IF(OR($B915="",NOT(ISNUMBER($C915))),"",COUNTIFS($A$5:$A$1668,$A915,$C$5:$C$1668,"&gt;0"))</f>
        <v/>
      </c>
      <c r="G915" s="11">
        <f>IF(OR($B915="",NOT(ISNUMBER($C915))),"",IF($D915&lt;&gt;"",ROUND(Points!$B$6*IF($F915&lt;Points!$H$4,Points!$H$5,1),0),ROUND(Points!$B$6*IF($F915&lt;=1,1,Points!$H$7+(1-Points!$H$7)*((($F915-$E915)*(($F915-$E915)+1)/2)^2-((($F915-$E915-COUNTIFS($A$5:$A$1668,$A915,$C$5:$C$1668,$C915)+1)-1)*($F915-$E915-COUNTIFS($A$5:$A$1668,$A915,$C$5:$C$1668,$C915)+1)/2)^2)/(COUNTIFS($A$5:$A$1668,$A915,$C$5:$C$1668,$C915)*($F915-1)^3))*IF($F915&lt;Points!$H$4,Points!$H$5,1),0)))</f>
        <v/>
      </c>
      <c r="H915" s="11">
        <f>IF($G915="","",COUNTIFS($B$5:$B$1668,$B915,$G$5:$G$1668,"&gt;"&amp;$G915)+COUNTIFS($B$4:$B914,$B915,$G$4:$G914,$G915)+1)</f>
        <v/>
      </c>
      <c r="I915" s="11">
        <f>IF($G915="","",IF($H915&lt;=Points!$H$6,$G915,0))</f>
        <v/>
      </c>
      <c r="J915" s="11">
        <f>IF($B915="","",IF(COUNTIF(Players!$A$2:$A$500,$B915)=0,"Player is not on the Players tab",IF(NOT(ISNUMBER($C915)),"Enter a gross score",IF(COUNTIFS($A$5:$A$1668,$A915,$B$5:$B$1668,$B915)&gt;1,"Player is listed twice this week",IF(AND($D915&lt;&gt;"",COUNTIFS($A$5:$A$1668,$A915,$D$5:$D$1668,$D915)&gt;1),"Two players picked as "&amp;$D915,IF(COUNTIFS($A$5:$A$1668,$A915,$D$5:$D$1668,"Gross winner")=0,"Pick this week's gross winner",IF(COUNTIFS($A$5:$A$1668,$A915,$D$5:$D$1668,"Net winner")=0,"Pick this week's net winner","OK")))))))</f>
        <v/>
      </c>
    </row>
    <row r="916" outlineLevel="1">
      <c r="A916" s="13" t="n">
        <v>46589</v>
      </c>
      <c r="E916" s="11">
        <f>IF(OR($B916="",NOT(ISNUMBER($C916))),"",COUNTIFS($A$5:$A$1668,$A916,$C$5:$C$1668,"&lt;"&amp;$C916)+1)</f>
        <v/>
      </c>
      <c r="F916" s="11">
        <f>IF(OR($B916="",NOT(ISNUMBER($C916))),"",COUNTIFS($A$5:$A$1668,$A916,$C$5:$C$1668,"&gt;0"))</f>
        <v/>
      </c>
      <c r="G916" s="11">
        <f>IF(OR($B916="",NOT(ISNUMBER($C916))),"",IF($D916&lt;&gt;"",ROUND(Points!$B$6*IF($F916&lt;Points!$H$4,Points!$H$5,1),0),ROUND(Points!$B$6*IF($F916&lt;=1,1,Points!$H$7+(1-Points!$H$7)*((($F916-$E916)*(($F916-$E916)+1)/2)^2-((($F916-$E916-COUNTIFS($A$5:$A$1668,$A916,$C$5:$C$1668,$C916)+1)-1)*($F916-$E916-COUNTIFS($A$5:$A$1668,$A916,$C$5:$C$1668,$C916)+1)/2)^2)/(COUNTIFS($A$5:$A$1668,$A916,$C$5:$C$1668,$C916)*($F916-1)^3))*IF($F916&lt;Points!$H$4,Points!$H$5,1),0)))</f>
        <v/>
      </c>
      <c r="H916" s="11">
        <f>IF($G916="","",COUNTIFS($B$5:$B$1668,$B916,$G$5:$G$1668,"&gt;"&amp;$G916)+COUNTIFS($B$4:$B915,$B916,$G$4:$G915,$G916)+1)</f>
        <v/>
      </c>
      <c r="I916" s="11">
        <f>IF($G916="","",IF($H916&lt;=Points!$H$6,$G916,0))</f>
        <v/>
      </c>
      <c r="J916" s="11">
        <f>IF($B916="","",IF(COUNTIF(Players!$A$2:$A$500,$B916)=0,"Player is not on the Players tab",IF(NOT(ISNUMBER($C916)),"Enter a gross score",IF(COUNTIFS($A$5:$A$1668,$A916,$B$5:$B$1668,$B916)&gt;1,"Player is listed twice this week",IF(AND($D916&lt;&gt;"",COUNTIFS($A$5:$A$1668,$A916,$D$5:$D$1668,$D916)&gt;1),"Two players picked as "&amp;$D916,IF(COUNTIFS($A$5:$A$1668,$A916,$D$5:$D$1668,"Gross winner")=0,"Pick this week's gross winner",IF(COUNTIFS($A$5:$A$1668,$A916,$D$5:$D$1668,"Net winner")=0,"Pick this week's net winner","OK")))))))</f>
        <v/>
      </c>
    </row>
    <row r="917" outlineLevel="1">
      <c r="A917" s="13" t="n">
        <v>46589</v>
      </c>
      <c r="E917" s="11">
        <f>IF(OR($B917="",NOT(ISNUMBER($C917))),"",COUNTIFS($A$5:$A$1668,$A917,$C$5:$C$1668,"&lt;"&amp;$C917)+1)</f>
        <v/>
      </c>
      <c r="F917" s="11">
        <f>IF(OR($B917="",NOT(ISNUMBER($C917))),"",COUNTIFS($A$5:$A$1668,$A917,$C$5:$C$1668,"&gt;0"))</f>
        <v/>
      </c>
      <c r="G917" s="11">
        <f>IF(OR($B917="",NOT(ISNUMBER($C917))),"",IF($D917&lt;&gt;"",ROUND(Points!$B$6*IF($F917&lt;Points!$H$4,Points!$H$5,1),0),ROUND(Points!$B$6*IF($F917&lt;=1,1,Points!$H$7+(1-Points!$H$7)*((($F917-$E917)*(($F917-$E917)+1)/2)^2-((($F917-$E917-COUNTIFS($A$5:$A$1668,$A917,$C$5:$C$1668,$C917)+1)-1)*($F917-$E917-COUNTIFS($A$5:$A$1668,$A917,$C$5:$C$1668,$C917)+1)/2)^2)/(COUNTIFS($A$5:$A$1668,$A917,$C$5:$C$1668,$C917)*($F917-1)^3))*IF($F917&lt;Points!$H$4,Points!$H$5,1),0)))</f>
        <v/>
      </c>
      <c r="H917" s="11">
        <f>IF($G917="","",COUNTIFS($B$5:$B$1668,$B917,$G$5:$G$1668,"&gt;"&amp;$G917)+COUNTIFS($B$4:$B916,$B917,$G$4:$G916,$G917)+1)</f>
        <v/>
      </c>
      <c r="I917" s="11">
        <f>IF($G917="","",IF($H917&lt;=Points!$H$6,$G917,0))</f>
        <v/>
      </c>
      <c r="J917" s="11">
        <f>IF($B917="","",IF(COUNTIF(Players!$A$2:$A$500,$B917)=0,"Player is not on the Players tab",IF(NOT(ISNUMBER($C917)),"Enter a gross score",IF(COUNTIFS($A$5:$A$1668,$A917,$B$5:$B$1668,$B917)&gt;1,"Player is listed twice this week",IF(AND($D917&lt;&gt;"",COUNTIFS($A$5:$A$1668,$A917,$D$5:$D$1668,$D917)&gt;1),"Two players picked as "&amp;$D917,IF(COUNTIFS($A$5:$A$1668,$A917,$D$5:$D$1668,"Gross winner")=0,"Pick this week's gross winner",IF(COUNTIFS($A$5:$A$1668,$A917,$D$5:$D$1668,"Net winner")=0,"Pick this week's net winner","OK")))))))</f>
        <v/>
      </c>
    </row>
    <row r="918" outlineLevel="1">
      <c r="A918" s="13" t="n">
        <v>46589</v>
      </c>
      <c r="E918" s="11">
        <f>IF(OR($B918="",NOT(ISNUMBER($C918))),"",COUNTIFS($A$5:$A$1668,$A918,$C$5:$C$1668,"&lt;"&amp;$C918)+1)</f>
        <v/>
      </c>
      <c r="F918" s="11">
        <f>IF(OR($B918="",NOT(ISNUMBER($C918))),"",COUNTIFS($A$5:$A$1668,$A918,$C$5:$C$1668,"&gt;0"))</f>
        <v/>
      </c>
      <c r="G918" s="11">
        <f>IF(OR($B918="",NOT(ISNUMBER($C918))),"",IF($D918&lt;&gt;"",ROUND(Points!$B$6*IF($F918&lt;Points!$H$4,Points!$H$5,1),0),ROUND(Points!$B$6*IF($F918&lt;=1,1,Points!$H$7+(1-Points!$H$7)*((($F918-$E918)*(($F918-$E918)+1)/2)^2-((($F918-$E918-COUNTIFS($A$5:$A$1668,$A918,$C$5:$C$1668,$C918)+1)-1)*($F918-$E918-COUNTIFS($A$5:$A$1668,$A918,$C$5:$C$1668,$C918)+1)/2)^2)/(COUNTIFS($A$5:$A$1668,$A918,$C$5:$C$1668,$C918)*($F918-1)^3))*IF($F918&lt;Points!$H$4,Points!$H$5,1),0)))</f>
        <v/>
      </c>
      <c r="H918" s="11">
        <f>IF($G918="","",COUNTIFS($B$5:$B$1668,$B918,$G$5:$G$1668,"&gt;"&amp;$G918)+COUNTIFS($B$4:$B917,$B918,$G$4:$G917,$G918)+1)</f>
        <v/>
      </c>
      <c r="I918" s="11">
        <f>IF($G918="","",IF($H918&lt;=Points!$H$6,$G918,0))</f>
        <v/>
      </c>
      <c r="J918" s="11">
        <f>IF($B918="","",IF(COUNTIF(Players!$A$2:$A$500,$B918)=0,"Player is not on the Players tab",IF(NOT(ISNUMBER($C918)),"Enter a gross score",IF(COUNTIFS($A$5:$A$1668,$A918,$B$5:$B$1668,$B918)&gt;1,"Player is listed twice this week",IF(AND($D918&lt;&gt;"",COUNTIFS($A$5:$A$1668,$A918,$D$5:$D$1668,$D918)&gt;1),"Two players picked as "&amp;$D918,IF(COUNTIFS($A$5:$A$1668,$A918,$D$5:$D$1668,"Gross winner")=0,"Pick this week's gross winner",IF(COUNTIFS($A$5:$A$1668,$A918,$D$5:$D$1668,"Net winner")=0,"Pick this week's net winner","OK")))))))</f>
        <v/>
      </c>
    </row>
    <row r="919" outlineLevel="1">
      <c r="A919" s="13" t="n">
        <v>46589</v>
      </c>
      <c r="E919" s="11">
        <f>IF(OR($B919="",NOT(ISNUMBER($C919))),"",COUNTIFS($A$5:$A$1668,$A919,$C$5:$C$1668,"&lt;"&amp;$C919)+1)</f>
        <v/>
      </c>
      <c r="F919" s="11">
        <f>IF(OR($B919="",NOT(ISNUMBER($C919))),"",COUNTIFS($A$5:$A$1668,$A919,$C$5:$C$1668,"&gt;0"))</f>
        <v/>
      </c>
      <c r="G919" s="11">
        <f>IF(OR($B919="",NOT(ISNUMBER($C919))),"",IF($D919&lt;&gt;"",ROUND(Points!$B$6*IF($F919&lt;Points!$H$4,Points!$H$5,1),0),ROUND(Points!$B$6*IF($F919&lt;=1,1,Points!$H$7+(1-Points!$H$7)*((($F919-$E919)*(($F919-$E919)+1)/2)^2-((($F919-$E919-COUNTIFS($A$5:$A$1668,$A919,$C$5:$C$1668,$C919)+1)-1)*($F919-$E919-COUNTIFS($A$5:$A$1668,$A919,$C$5:$C$1668,$C919)+1)/2)^2)/(COUNTIFS($A$5:$A$1668,$A919,$C$5:$C$1668,$C919)*($F919-1)^3))*IF($F919&lt;Points!$H$4,Points!$H$5,1),0)))</f>
        <v/>
      </c>
      <c r="H919" s="11">
        <f>IF($G919="","",COUNTIFS($B$5:$B$1668,$B919,$G$5:$G$1668,"&gt;"&amp;$G919)+COUNTIFS($B$4:$B918,$B919,$G$4:$G918,$G919)+1)</f>
        <v/>
      </c>
      <c r="I919" s="11">
        <f>IF($G919="","",IF($H919&lt;=Points!$H$6,$G919,0))</f>
        <v/>
      </c>
      <c r="J919" s="11">
        <f>IF($B919="","",IF(COUNTIF(Players!$A$2:$A$500,$B919)=0,"Player is not on the Players tab",IF(NOT(ISNUMBER($C919)),"Enter a gross score",IF(COUNTIFS($A$5:$A$1668,$A919,$B$5:$B$1668,$B919)&gt;1,"Player is listed twice this week",IF(AND($D919&lt;&gt;"",COUNTIFS($A$5:$A$1668,$A919,$D$5:$D$1668,$D919)&gt;1),"Two players picked as "&amp;$D919,IF(COUNTIFS($A$5:$A$1668,$A919,$D$5:$D$1668,"Gross winner")=0,"Pick this week's gross winner",IF(COUNTIFS($A$5:$A$1668,$A919,$D$5:$D$1668,"Net winner")=0,"Pick this week's net winner","OK")))))))</f>
        <v/>
      </c>
    </row>
    <row r="920" outlineLevel="1">
      <c r="A920" s="13" t="n">
        <v>46589</v>
      </c>
      <c r="E920" s="11">
        <f>IF(OR($B920="",NOT(ISNUMBER($C920))),"",COUNTIFS($A$5:$A$1668,$A920,$C$5:$C$1668,"&lt;"&amp;$C920)+1)</f>
        <v/>
      </c>
      <c r="F920" s="11">
        <f>IF(OR($B920="",NOT(ISNUMBER($C920))),"",COUNTIFS($A$5:$A$1668,$A920,$C$5:$C$1668,"&gt;0"))</f>
        <v/>
      </c>
      <c r="G920" s="11">
        <f>IF(OR($B920="",NOT(ISNUMBER($C920))),"",IF($D920&lt;&gt;"",ROUND(Points!$B$6*IF($F920&lt;Points!$H$4,Points!$H$5,1),0),ROUND(Points!$B$6*IF($F920&lt;=1,1,Points!$H$7+(1-Points!$H$7)*((($F920-$E920)*(($F920-$E920)+1)/2)^2-((($F920-$E920-COUNTIFS($A$5:$A$1668,$A920,$C$5:$C$1668,$C920)+1)-1)*($F920-$E920-COUNTIFS($A$5:$A$1668,$A920,$C$5:$C$1668,$C920)+1)/2)^2)/(COUNTIFS($A$5:$A$1668,$A920,$C$5:$C$1668,$C920)*($F920-1)^3))*IF($F920&lt;Points!$H$4,Points!$H$5,1),0)))</f>
        <v/>
      </c>
      <c r="H920" s="11">
        <f>IF($G920="","",COUNTIFS($B$5:$B$1668,$B920,$G$5:$G$1668,"&gt;"&amp;$G920)+COUNTIFS($B$4:$B919,$B920,$G$4:$G919,$G920)+1)</f>
        <v/>
      </c>
      <c r="I920" s="11">
        <f>IF($G920="","",IF($H920&lt;=Points!$H$6,$G920,0))</f>
        <v/>
      </c>
      <c r="J920" s="11">
        <f>IF($B920="","",IF(COUNTIF(Players!$A$2:$A$500,$B920)=0,"Player is not on the Players tab",IF(NOT(ISNUMBER($C920)),"Enter a gross score",IF(COUNTIFS($A$5:$A$1668,$A920,$B$5:$B$1668,$B920)&gt;1,"Player is listed twice this week",IF(AND($D920&lt;&gt;"",COUNTIFS($A$5:$A$1668,$A920,$D$5:$D$1668,$D920)&gt;1),"Two players picked as "&amp;$D920,IF(COUNTIFS($A$5:$A$1668,$A920,$D$5:$D$1668,"Gross winner")=0,"Pick this week's gross winner",IF(COUNTIFS($A$5:$A$1668,$A920,$D$5:$D$1668,"Net winner")=0,"Pick this week's net winner","OK")))))))</f>
        <v/>
      </c>
    </row>
    <row r="921" outlineLevel="1">
      <c r="A921" s="13" t="n">
        <v>46589</v>
      </c>
      <c r="E921" s="11">
        <f>IF(OR($B921="",NOT(ISNUMBER($C921))),"",COUNTIFS($A$5:$A$1668,$A921,$C$5:$C$1668,"&lt;"&amp;$C921)+1)</f>
        <v/>
      </c>
      <c r="F921" s="11">
        <f>IF(OR($B921="",NOT(ISNUMBER($C921))),"",COUNTIFS($A$5:$A$1668,$A921,$C$5:$C$1668,"&gt;0"))</f>
        <v/>
      </c>
      <c r="G921" s="11">
        <f>IF(OR($B921="",NOT(ISNUMBER($C921))),"",IF($D921&lt;&gt;"",ROUND(Points!$B$6*IF($F921&lt;Points!$H$4,Points!$H$5,1),0),ROUND(Points!$B$6*IF($F921&lt;=1,1,Points!$H$7+(1-Points!$H$7)*((($F921-$E921)*(($F921-$E921)+1)/2)^2-((($F921-$E921-COUNTIFS($A$5:$A$1668,$A921,$C$5:$C$1668,$C921)+1)-1)*($F921-$E921-COUNTIFS($A$5:$A$1668,$A921,$C$5:$C$1668,$C921)+1)/2)^2)/(COUNTIFS($A$5:$A$1668,$A921,$C$5:$C$1668,$C921)*($F921-1)^3))*IF($F921&lt;Points!$H$4,Points!$H$5,1),0)))</f>
        <v/>
      </c>
      <c r="H921" s="11">
        <f>IF($G921="","",COUNTIFS($B$5:$B$1668,$B921,$G$5:$G$1668,"&gt;"&amp;$G921)+COUNTIFS($B$4:$B920,$B921,$G$4:$G920,$G921)+1)</f>
        <v/>
      </c>
      <c r="I921" s="11">
        <f>IF($G921="","",IF($H921&lt;=Points!$H$6,$G921,0))</f>
        <v/>
      </c>
      <c r="J921" s="11">
        <f>IF($B921="","",IF(COUNTIF(Players!$A$2:$A$500,$B921)=0,"Player is not on the Players tab",IF(NOT(ISNUMBER($C921)),"Enter a gross score",IF(COUNTIFS($A$5:$A$1668,$A921,$B$5:$B$1668,$B921)&gt;1,"Player is listed twice this week",IF(AND($D921&lt;&gt;"",COUNTIFS($A$5:$A$1668,$A921,$D$5:$D$1668,$D921)&gt;1),"Two players picked as "&amp;$D921,IF(COUNTIFS($A$5:$A$1668,$A921,$D$5:$D$1668,"Gross winner")=0,"Pick this week's gross winner",IF(COUNTIFS($A$5:$A$1668,$A921,$D$5:$D$1668,"Net winner")=0,"Pick this week's net winner","OK")))))))</f>
        <v/>
      </c>
    </row>
    <row r="922" outlineLevel="1">
      <c r="A922" s="13" t="n">
        <v>46589</v>
      </c>
      <c r="E922" s="11">
        <f>IF(OR($B922="",NOT(ISNUMBER($C922))),"",COUNTIFS($A$5:$A$1668,$A922,$C$5:$C$1668,"&lt;"&amp;$C922)+1)</f>
        <v/>
      </c>
      <c r="F922" s="11">
        <f>IF(OR($B922="",NOT(ISNUMBER($C922))),"",COUNTIFS($A$5:$A$1668,$A922,$C$5:$C$1668,"&gt;0"))</f>
        <v/>
      </c>
      <c r="G922" s="11">
        <f>IF(OR($B922="",NOT(ISNUMBER($C922))),"",IF($D922&lt;&gt;"",ROUND(Points!$B$6*IF($F922&lt;Points!$H$4,Points!$H$5,1),0),ROUND(Points!$B$6*IF($F922&lt;=1,1,Points!$H$7+(1-Points!$H$7)*((($F922-$E922)*(($F922-$E922)+1)/2)^2-((($F922-$E922-COUNTIFS($A$5:$A$1668,$A922,$C$5:$C$1668,$C922)+1)-1)*($F922-$E922-COUNTIFS($A$5:$A$1668,$A922,$C$5:$C$1668,$C922)+1)/2)^2)/(COUNTIFS($A$5:$A$1668,$A922,$C$5:$C$1668,$C922)*($F922-1)^3))*IF($F922&lt;Points!$H$4,Points!$H$5,1),0)))</f>
        <v/>
      </c>
      <c r="H922" s="11">
        <f>IF($G922="","",COUNTIFS($B$5:$B$1668,$B922,$G$5:$G$1668,"&gt;"&amp;$G922)+COUNTIFS($B$4:$B921,$B922,$G$4:$G921,$G922)+1)</f>
        <v/>
      </c>
      <c r="I922" s="11">
        <f>IF($G922="","",IF($H922&lt;=Points!$H$6,$G922,0))</f>
        <v/>
      </c>
      <c r="J922" s="11">
        <f>IF($B922="","",IF(COUNTIF(Players!$A$2:$A$500,$B922)=0,"Player is not on the Players tab",IF(NOT(ISNUMBER($C922)),"Enter a gross score",IF(COUNTIFS($A$5:$A$1668,$A922,$B$5:$B$1668,$B922)&gt;1,"Player is listed twice this week",IF(AND($D922&lt;&gt;"",COUNTIFS($A$5:$A$1668,$A922,$D$5:$D$1668,$D922)&gt;1),"Two players picked as "&amp;$D922,IF(COUNTIFS($A$5:$A$1668,$A922,$D$5:$D$1668,"Gross winner")=0,"Pick this week's gross winner",IF(COUNTIFS($A$5:$A$1668,$A922,$D$5:$D$1668,"Net winner")=0,"Pick this week's net winner","OK")))))))</f>
        <v/>
      </c>
    </row>
    <row r="923" outlineLevel="1">
      <c r="A923" s="13" t="n">
        <v>46589</v>
      </c>
      <c r="E923" s="11">
        <f>IF(OR($B923="",NOT(ISNUMBER($C923))),"",COUNTIFS($A$5:$A$1668,$A923,$C$5:$C$1668,"&lt;"&amp;$C923)+1)</f>
        <v/>
      </c>
      <c r="F923" s="11">
        <f>IF(OR($B923="",NOT(ISNUMBER($C923))),"",COUNTIFS($A$5:$A$1668,$A923,$C$5:$C$1668,"&gt;0"))</f>
        <v/>
      </c>
      <c r="G923" s="11">
        <f>IF(OR($B923="",NOT(ISNUMBER($C923))),"",IF($D923&lt;&gt;"",ROUND(Points!$B$6*IF($F923&lt;Points!$H$4,Points!$H$5,1),0),ROUND(Points!$B$6*IF($F923&lt;=1,1,Points!$H$7+(1-Points!$H$7)*((($F923-$E923)*(($F923-$E923)+1)/2)^2-((($F923-$E923-COUNTIFS($A$5:$A$1668,$A923,$C$5:$C$1668,$C923)+1)-1)*($F923-$E923-COUNTIFS($A$5:$A$1668,$A923,$C$5:$C$1668,$C923)+1)/2)^2)/(COUNTIFS($A$5:$A$1668,$A923,$C$5:$C$1668,$C923)*($F923-1)^3))*IF($F923&lt;Points!$H$4,Points!$H$5,1),0)))</f>
        <v/>
      </c>
      <c r="H923" s="11">
        <f>IF($G923="","",COUNTIFS($B$5:$B$1668,$B923,$G$5:$G$1668,"&gt;"&amp;$G923)+COUNTIFS($B$4:$B922,$B923,$G$4:$G922,$G923)+1)</f>
        <v/>
      </c>
      <c r="I923" s="11">
        <f>IF($G923="","",IF($H923&lt;=Points!$H$6,$G923,0))</f>
        <v/>
      </c>
      <c r="J923" s="11">
        <f>IF($B923="","",IF(COUNTIF(Players!$A$2:$A$500,$B923)=0,"Player is not on the Players tab",IF(NOT(ISNUMBER($C923)),"Enter a gross score",IF(COUNTIFS($A$5:$A$1668,$A923,$B$5:$B$1668,$B923)&gt;1,"Player is listed twice this week",IF(AND($D923&lt;&gt;"",COUNTIFS($A$5:$A$1668,$A923,$D$5:$D$1668,$D923)&gt;1),"Two players picked as "&amp;$D923,IF(COUNTIFS($A$5:$A$1668,$A923,$D$5:$D$1668,"Gross winner")=0,"Pick this week's gross winner",IF(COUNTIFS($A$5:$A$1668,$A923,$D$5:$D$1668,"Net winner")=0,"Pick this week's net winner","OK")))))))</f>
        <v/>
      </c>
    </row>
    <row r="924" outlineLevel="1">
      <c r="A924" s="13" t="n">
        <v>46589</v>
      </c>
      <c r="E924" s="11">
        <f>IF(OR($B924="",NOT(ISNUMBER($C924))),"",COUNTIFS($A$5:$A$1668,$A924,$C$5:$C$1668,"&lt;"&amp;$C924)+1)</f>
        <v/>
      </c>
      <c r="F924" s="11">
        <f>IF(OR($B924="",NOT(ISNUMBER($C924))),"",COUNTIFS($A$5:$A$1668,$A924,$C$5:$C$1668,"&gt;0"))</f>
        <v/>
      </c>
      <c r="G924" s="11">
        <f>IF(OR($B924="",NOT(ISNUMBER($C924))),"",IF($D924&lt;&gt;"",ROUND(Points!$B$6*IF($F924&lt;Points!$H$4,Points!$H$5,1),0),ROUND(Points!$B$6*IF($F924&lt;=1,1,Points!$H$7+(1-Points!$H$7)*((($F924-$E924)*(($F924-$E924)+1)/2)^2-((($F924-$E924-COUNTIFS($A$5:$A$1668,$A924,$C$5:$C$1668,$C924)+1)-1)*($F924-$E924-COUNTIFS($A$5:$A$1668,$A924,$C$5:$C$1668,$C924)+1)/2)^2)/(COUNTIFS($A$5:$A$1668,$A924,$C$5:$C$1668,$C924)*($F924-1)^3))*IF($F924&lt;Points!$H$4,Points!$H$5,1),0)))</f>
        <v/>
      </c>
      <c r="H924" s="11">
        <f>IF($G924="","",COUNTIFS($B$5:$B$1668,$B924,$G$5:$G$1668,"&gt;"&amp;$G924)+COUNTIFS($B$4:$B923,$B924,$G$4:$G923,$G924)+1)</f>
        <v/>
      </c>
      <c r="I924" s="11">
        <f>IF($G924="","",IF($H924&lt;=Points!$H$6,$G924,0))</f>
        <v/>
      </c>
      <c r="J924" s="11">
        <f>IF($B924="","",IF(COUNTIF(Players!$A$2:$A$500,$B924)=0,"Player is not on the Players tab",IF(NOT(ISNUMBER($C924)),"Enter a gross score",IF(COUNTIFS($A$5:$A$1668,$A924,$B$5:$B$1668,$B924)&gt;1,"Player is listed twice this week",IF(AND($D924&lt;&gt;"",COUNTIFS($A$5:$A$1668,$A924,$D$5:$D$1668,$D924)&gt;1),"Two players picked as "&amp;$D924,IF(COUNTIFS($A$5:$A$1668,$A924,$D$5:$D$1668,"Gross winner")=0,"Pick this week's gross winner",IF(COUNTIFS($A$5:$A$1668,$A924,$D$5:$D$1668,"Net winner")=0,"Pick this week's net winner","OK")))))))</f>
        <v/>
      </c>
    </row>
    <row r="925" outlineLevel="1">
      <c r="A925" s="13" t="n">
        <v>46589</v>
      </c>
      <c r="E925" s="11">
        <f>IF(OR($B925="",NOT(ISNUMBER($C925))),"",COUNTIFS($A$5:$A$1668,$A925,$C$5:$C$1668,"&lt;"&amp;$C925)+1)</f>
        <v/>
      </c>
      <c r="F925" s="11">
        <f>IF(OR($B925="",NOT(ISNUMBER($C925))),"",COUNTIFS($A$5:$A$1668,$A925,$C$5:$C$1668,"&gt;0"))</f>
        <v/>
      </c>
      <c r="G925" s="11">
        <f>IF(OR($B925="",NOT(ISNUMBER($C925))),"",IF($D925&lt;&gt;"",ROUND(Points!$B$6*IF($F925&lt;Points!$H$4,Points!$H$5,1),0),ROUND(Points!$B$6*IF($F925&lt;=1,1,Points!$H$7+(1-Points!$H$7)*((($F925-$E925)*(($F925-$E925)+1)/2)^2-((($F925-$E925-COUNTIFS($A$5:$A$1668,$A925,$C$5:$C$1668,$C925)+1)-1)*($F925-$E925-COUNTIFS($A$5:$A$1668,$A925,$C$5:$C$1668,$C925)+1)/2)^2)/(COUNTIFS($A$5:$A$1668,$A925,$C$5:$C$1668,$C925)*($F925-1)^3))*IF($F925&lt;Points!$H$4,Points!$H$5,1),0)))</f>
        <v/>
      </c>
      <c r="H925" s="11">
        <f>IF($G925="","",COUNTIFS($B$5:$B$1668,$B925,$G$5:$G$1668,"&gt;"&amp;$G925)+COUNTIFS($B$4:$B924,$B925,$G$4:$G924,$G925)+1)</f>
        <v/>
      </c>
      <c r="I925" s="11">
        <f>IF($G925="","",IF($H925&lt;=Points!$H$6,$G925,0))</f>
        <v/>
      </c>
      <c r="J925" s="11">
        <f>IF($B925="","",IF(COUNTIF(Players!$A$2:$A$500,$B925)=0,"Player is not on the Players tab",IF(NOT(ISNUMBER($C925)),"Enter a gross score",IF(COUNTIFS($A$5:$A$1668,$A925,$B$5:$B$1668,$B925)&gt;1,"Player is listed twice this week",IF(AND($D925&lt;&gt;"",COUNTIFS($A$5:$A$1668,$A925,$D$5:$D$1668,$D925)&gt;1),"Two players picked as "&amp;$D925,IF(COUNTIFS($A$5:$A$1668,$A925,$D$5:$D$1668,"Gross winner")=0,"Pick this week's gross winner",IF(COUNTIFS($A$5:$A$1668,$A925,$D$5:$D$1668,"Net winner")=0,"Pick this week's net winner","OK")))))))</f>
        <v/>
      </c>
    </row>
    <row r="926" outlineLevel="1">
      <c r="A926" s="13" t="n">
        <v>46589</v>
      </c>
      <c r="E926" s="11">
        <f>IF(OR($B926="",NOT(ISNUMBER($C926))),"",COUNTIFS($A$5:$A$1668,$A926,$C$5:$C$1668,"&lt;"&amp;$C926)+1)</f>
        <v/>
      </c>
      <c r="F926" s="11">
        <f>IF(OR($B926="",NOT(ISNUMBER($C926))),"",COUNTIFS($A$5:$A$1668,$A926,$C$5:$C$1668,"&gt;0"))</f>
        <v/>
      </c>
      <c r="G926" s="11">
        <f>IF(OR($B926="",NOT(ISNUMBER($C926))),"",IF($D926&lt;&gt;"",ROUND(Points!$B$6*IF($F926&lt;Points!$H$4,Points!$H$5,1),0),ROUND(Points!$B$6*IF($F926&lt;=1,1,Points!$H$7+(1-Points!$H$7)*((($F926-$E926)*(($F926-$E926)+1)/2)^2-((($F926-$E926-COUNTIFS($A$5:$A$1668,$A926,$C$5:$C$1668,$C926)+1)-1)*($F926-$E926-COUNTIFS($A$5:$A$1668,$A926,$C$5:$C$1668,$C926)+1)/2)^2)/(COUNTIFS($A$5:$A$1668,$A926,$C$5:$C$1668,$C926)*($F926-1)^3))*IF($F926&lt;Points!$H$4,Points!$H$5,1),0)))</f>
        <v/>
      </c>
      <c r="H926" s="11">
        <f>IF($G926="","",COUNTIFS($B$5:$B$1668,$B926,$G$5:$G$1668,"&gt;"&amp;$G926)+COUNTIFS($B$4:$B925,$B926,$G$4:$G925,$G926)+1)</f>
        <v/>
      </c>
      <c r="I926" s="11">
        <f>IF($G926="","",IF($H926&lt;=Points!$H$6,$G926,0))</f>
        <v/>
      </c>
      <c r="J926" s="11">
        <f>IF($B926="","",IF(COUNTIF(Players!$A$2:$A$500,$B926)=0,"Player is not on the Players tab",IF(NOT(ISNUMBER($C926)),"Enter a gross score",IF(COUNTIFS($A$5:$A$1668,$A926,$B$5:$B$1668,$B926)&gt;1,"Player is listed twice this week",IF(AND($D926&lt;&gt;"",COUNTIFS($A$5:$A$1668,$A926,$D$5:$D$1668,$D926)&gt;1),"Two players picked as "&amp;$D926,IF(COUNTIFS($A$5:$A$1668,$A926,$D$5:$D$1668,"Gross winner")=0,"Pick this week's gross winner",IF(COUNTIFS($A$5:$A$1668,$A926,$D$5:$D$1668,"Net winner")=0,"Pick this week's net winner","OK")))))))</f>
        <v/>
      </c>
    </row>
    <row r="927" outlineLevel="1">
      <c r="A927" s="13" t="n">
        <v>46589</v>
      </c>
      <c r="E927" s="11">
        <f>IF(OR($B927="",NOT(ISNUMBER($C927))),"",COUNTIFS($A$5:$A$1668,$A927,$C$5:$C$1668,"&lt;"&amp;$C927)+1)</f>
        <v/>
      </c>
      <c r="F927" s="11">
        <f>IF(OR($B927="",NOT(ISNUMBER($C927))),"",COUNTIFS($A$5:$A$1668,$A927,$C$5:$C$1668,"&gt;0"))</f>
        <v/>
      </c>
      <c r="G927" s="11">
        <f>IF(OR($B927="",NOT(ISNUMBER($C927))),"",IF($D927&lt;&gt;"",ROUND(Points!$B$6*IF($F927&lt;Points!$H$4,Points!$H$5,1),0),ROUND(Points!$B$6*IF($F927&lt;=1,1,Points!$H$7+(1-Points!$H$7)*((($F927-$E927)*(($F927-$E927)+1)/2)^2-((($F927-$E927-COUNTIFS($A$5:$A$1668,$A927,$C$5:$C$1668,$C927)+1)-1)*($F927-$E927-COUNTIFS($A$5:$A$1668,$A927,$C$5:$C$1668,$C927)+1)/2)^2)/(COUNTIFS($A$5:$A$1668,$A927,$C$5:$C$1668,$C927)*($F927-1)^3))*IF($F927&lt;Points!$H$4,Points!$H$5,1),0)))</f>
        <v/>
      </c>
      <c r="H927" s="11">
        <f>IF($G927="","",COUNTIFS($B$5:$B$1668,$B927,$G$5:$G$1668,"&gt;"&amp;$G927)+COUNTIFS($B$4:$B926,$B927,$G$4:$G926,$G927)+1)</f>
        <v/>
      </c>
      <c r="I927" s="11">
        <f>IF($G927="","",IF($H927&lt;=Points!$H$6,$G927,0))</f>
        <v/>
      </c>
      <c r="J927" s="11">
        <f>IF($B927="","",IF(COUNTIF(Players!$A$2:$A$500,$B927)=0,"Player is not on the Players tab",IF(NOT(ISNUMBER($C927)),"Enter a gross score",IF(COUNTIFS($A$5:$A$1668,$A927,$B$5:$B$1668,$B927)&gt;1,"Player is listed twice this week",IF(AND($D927&lt;&gt;"",COUNTIFS($A$5:$A$1668,$A927,$D$5:$D$1668,$D927)&gt;1),"Two players picked as "&amp;$D927,IF(COUNTIFS($A$5:$A$1668,$A927,$D$5:$D$1668,"Gross winner")=0,"Pick this week's gross winner",IF(COUNTIFS($A$5:$A$1668,$A927,$D$5:$D$1668,"Net winner")=0,"Pick this week's net winner","OK")))))))</f>
        <v/>
      </c>
    </row>
    <row r="928" outlineLevel="1">
      <c r="A928" s="13" t="n">
        <v>46589</v>
      </c>
      <c r="E928" s="11">
        <f>IF(OR($B928="",NOT(ISNUMBER($C928))),"",COUNTIFS($A$5:$A$1668,$A928,$C$5:$C$1668,"&lt;"&amp;$C928)+1)</f>
        <v/>
      </c>
      <c r="F928" s="11">
        <f>IF(OR($B928="",NOT(ISNUMBER($C928))),"",COUNTIFS($A$5:$A$1668,$A928,$C$5:$C$1668,"&gt;0"))</f>
        <v/>
      </c>
      <c r="G928" s="11">
        <f>IF(OR($B928="",NOT(ISNUMBER($C928))),"",IF($D928&lt;&gt;"",ROUND(Points!$B$6*IF($F928&lt;Points!$H$4,Points!$H$5,1),0),ROUND(Points!$B$6*IF($F928&lt;=1,1,Points!$H$7+(1-Points!$H$7)*((($F928-$E928)*(($F928-$E928)+1)/2)^2-((($F928-$E928-COUNTIFS($A$5:$A$1668,$A928,$C$5:$C$1668,$C928)+1)-1)*($F928-$E928-COUNTIFS($A$5:$A$1668,$A928,$C$5:$C$1668,$C928)+1)/2)^2)/(COUNTIFS($A$5:$A$1668,$A928,$C$5:$C$1668,$C928)*($F928-1)^3))*IF($F928&lt;Points!$H$4,Points!$H$5,1),0)))</f>
        <v/>
      </c>
      <c r="H928" s="11">
        <f>IF($G928="","",COUNTIFS($B$5:$B$1668,$B928,$G$5:$G$1668,"&gt;"&amp;$G928)+COUNTIFS($B$4:$B927,$B928,$G$4:$G927,$G928)+1)</f>
        <v/>
      </c>
      <c r="I928" s="11">
        <f>IF($G928="","",IF($H928&lt;=Points!$H$6,$G928,0))</f>
        <v/>
      </c>
      <c r="J928" s="11">
        <f>IF($B928="","",IF(COUNTIF(Players!$A$2:$A$500,$B928)=0,"Player is not on the Players tab",IF(NOT(ISNUMBER($C928)),"Enter a gross score",IF(COUNTIFS($A$5:$A$1668,$A928,$B$5:$B$1668,$B928)&gt;1,"Player is listed twice this week",IF(AND($D928&lt;&gt;"",COUNTIFS($A$5:$A$1668,$A928,$D$5:$D$1668,$D928)&gt;1),"Two players picked as "&amp;$D928,IF(COUNTIFS($A$5:$A$1668,$A928,$D$5:$D$1668,"Gross winner")=0,"Pick this week's gross winner",IF(COUNTIFS($A$5:$A$1668,$A928,$D$5:$D$1668,"Net winner")=0,"Pick this week's net winner","OK")))))))</f>
        <v/>
      </c>
    </row>
    <row r="929" outlineLevel="1">
      <c r="A929" s="13" t="n">
        <v>46589</v>
      </c>
      <c r="E929" s="11">
        <f>IF(OR($B929="",NOT(ISNUMBER($C929))),"",COUNTIFS($A$5:$A$1668,$A929,$C$5:$C$1668,"&lt;"&amp;$C929)+1)</f>
        <v/>
      </c>
      <c r="F929" s="11">
        <f>IF(OR($B929="",NOT(ISNUMBER($C929))),"",COUNTIFS($A$5:$A$1668,$A929,$C$5:$C$1668,"&gt;0"))</f>
        <v/>
      </c>
      <c r="G929" s="11">
        <f>IF(OR($B929="",NOT(ISNUMBER($C929))),"",IF($D929&lt;&gt;"",ROUND(Points!$B$6*IF($F929&lt;Points!$H$4,Points!$H$5,1),0),ROUND(Points!$B$6*IF($F929&lt;=1,1,Points!$H$7+(1-Points!$H$7)*((($F929-$E929)*(($F929-$E929)+1)/2)^2-((($F929-$E929-COUNTIFS($A$5:$A$1668,$A929,$C$5:$C$1668,$C929)+1)-1)*($F929-$E929-COUNTIFS($A$5:$A$1668,$A929,$C$5:$C$1668,$C929)+1)/2)^2)/(COUNTIFS($A$5:$A$1668,$A929,$C$5:$C$1668,$C929)*($F929-1)^3))*IF($F929&lt;Points!$H$4,Points!$H$5,1),0)))</f>
        <v/>
      </c>
      <c r="H929" s="11">
        <f>IF($G929="","",COUNTIFS($B$5:$B$1668,$B929,$G$5:$G$1668,"&gt;"&amp;$G929)+COUNTIFS($B$4:$B928,$B929,$G$4:$G928,$G929)+1)</f>
        <v/>
      </c>
      <c r="I929" s="11">
        <f>IF($G929="","",IF($H929&lt;=Points!$H$6,$G929,0))</f>
        <v/>
      </c>
      <c r="J929" s="11">
        <f>IF($B929="","",IF(COUNTIF(Players!$A$2:$A$500,$B929)=0,"Player is not on the Players tab",IF(NOT(ISNUMBER($C929)),"Enter a gross score",IF(COUNTIFS($A$5:$A$1668,$A929,$B$5:$B$1668,$B929)&gt;1,"Player is listed twice this week",IF(AND($D929&lt;&gt;"",COUNTIFS($A$5:$A$1668,$A929,$D$5:$D$1668,$D929)&gt;1),"Two players picked as "&amp;$D929,IF(COUNTIFS($A$5:$A$1668,$A929,$D$5:$D$1668,"Gross winner")=0,"Pick this week's gross winner",IF(COUNTIFS($A$5:$A$1668,$A929,$D$5:$D$1668,"Net winner")=0,"Pick this week's net winner","OK")))))))</f>
        <v/>
      </c>
    </row>
    <row r="930" outlineLevel="1">
      <c r="A930" s="13" t="n">
        <v>46589</v>
      </c>
      <c r="E930" s="11">
        <f>IF(OR($B930="",NOT(ISNUMBER($C930))),"",COUNTIFS($A$5:$A$1668,$A930,$C$5:$C$1668,"&lt;"&amp;$C930)+1)</f>
        <v/>
      </c>
      <c r="F930" s="11">
        <f>IF(OR($B930="",NOT(ISNUMBER($C930))),"",COUNTIFS($A$5:$A$1668,$A930,$C$5:$C$1668,"&gt;0"))</f>
        <v/>
      </c>
      <c r="G930" s="11">
        <f>IF(OR($B930="",NOT(ISNUMBER($C930))),"",IF($D930&lt;&gt;"",ROUND(Points!$B$6*IF($F930&lt;Points!$H$4,Points!$H$5,1),0),ROUND(Points!$B$6*IF($F930&lt;=1,1,Points!$H$7+(1-Points!$H$7)*((($F930-$E930)*(($F930-$E930)+1)/2)^2-((($F930-$E930-COUNTIFS($A$5:$A$1668,$A930,$C$5:$C$1668,$C930)+1)-1)*($F930-$E930-COUNTIFS($A$5:$A$1668,$A930,$C$5:$C$1668,$C930)+1)/2)^2)/(COUNTIFS($A$5:$A$1668,$A930,$C$5:$C$1668,$C930)*($F930-1)^3))*IF($F930&lt;Points!$H$4,Points!$H$5,1),0)))</f>
        <v/>
      </c>
      <c r="H930" s="11">
        <f>IF($G930="","",COUNTIFS($B$5:$B$1668,$B930,$G$5:$G$1668,"&gt;"&amp;$G930)+COUNTIFS($B$4:$B929,$B930,$G$4:$G929,$G930)+1)</f>
        <v/>
      </c>
      <c r="I930" s="11">
        <f>IF($G930="","",IF($H930&lt;=Points!$H$6,$G930,0))</f>
        <v/>
      </c>
      <c r="J930" s="11">
        <f>IF($B930="","",IF(COUNTIF(Players!$A$2:$A$500,$B930)=0,"Player is not on the Players tab",IF(NOT(ISNUMBER($C930)),"Enter a gross score",IF(COUNTIFS($A$5:$A$1668,$A930,$B$5:$B$1668,$B930)&gt;1,"Player is listed twice this week",IF(AND($D930&lt;&gt;"",COUNTIFS($A$5:$A$1668,$A930,$D$5:$D$1668,$D930)&gt;1),"Two players picked as "&amp;$D930,IF(COUNTIFS($A$5:$A$1668,$A930,$D$5:$D$1668,"Gross winner")=0,"Pick this week's gross winner",IF(COUNTIFS($A$5:$A$1668,$A930,$D$5:$D$1668,"Net winner")=0,"Pick this week's net winner","OK")))))))</f>
        <v/>
      </c>
    </row>
    <row r="931" outlineLevel="1">
      <c r="A931" s="13" t="n">
        <v>46589</v>
      </c>
      <c r="E931" s="11">
        <f>IF(OR($B931="",NOT(ISNUMBER($C931))),"",COUNTIFS($A$5:$A$1668,$A931,$C$5:$C$1668,"&lt;"&amp;$C931)+1)</f>
        <v/>
      </c>
      <c r="F931" s="11">
        <f>IF(OR($B931="",NOT(ISNUMBER($C931))),"",COUNTIFS($A$5:$A$1668,$A931,$C$5:$C$1668,"&gt;0"))</f>
        <v/>
      </c>
      <c r="G931" s="11">
        <f>IF(OR($B931="",NOT(ISNUMBER($C931))),"",IF($D931&lt;&gt;"",ROUND(Points!$B$6*IF($F931&lt;Points!$H$4,Points!$H$5,1),0),ROUND(Points!$B$6*IF($F931&lt;=1,1,Points!$H$7+(1-Points!$H$7)*((($F931-$E931)*(($F931-$E931)+1)/2)^2-((($F931-$E931-COUNTIFS($A$5:$A$1668,$A931,$C$5:$C$1668,$C931)+1)-1)*($F931-$E931-COUNTIFS($A$5:$A$1668,$A931,$C$5:$C$1668,$C931)+1)/2)^2)/(COUNTIFS($A$5:$A$1668,$A931,$C$5:$C$1668,$C931)*($F931-1)^3))*IF($F931&lt;Points!$H$4,Points!$H$5,1),0)))</f>
        <v/>
      </c>
      <c r="H931" s="11">
        <f>IF($G931="","",COUNTIFS($B$5:$B$1668,$B931,$G$5:$G$1668,"&gt;"&amp;$G931)+COUNTIFS($B$4:$B930,$B931,$G$4:$G930,$G931)+1)</f>
        <v/>
      </c>
      <c r="I931" s="11">
        <f>IF($G931="","",IF($H931&lt;=Points!$H$6,$G931,0))</f>
        <v/>
      </c>
      <c r="J931" s="11">
        <f>IF($B931="","",IF(COUNTIF(Players!$A$2:$A$500,$B931)=0,"Player is not on the Players tab",IF(NOT(ISNUMBER($C931)),"Enter a gross score",IF(COUNTIFS($A$5:$A$1668,$A931,$B$5:$B$1668,$B931)&gt;1,"Player is listed twice this week",IF(AND($D931&lt;&gt;"",COUNTIFS($A$5:$A$1668,$A931,$D$5:$D$1668,$D931)&gt;1),"Two players picked as "&amp;$D931,IF(COUNTIFS($A$5:$A$1668,$A931,$D$5:$D$1668,"Gross winner")=0,"Pick this week's gross winner",IF(COUNTIFS($A$5:$A$1668,$A931,$D$5:$D$1668,"Net winner")=0,"Pick this week's net winner","OK")))))))</f>
        <v/>
      </c>
    </row>
    <row r="932" ht="10" customHeight="1"/>
    <row r="933" ht="22" customHeight="1">
      <c r="A933" s="12" t="inlineStr">
        <is>
          <t>Week 30  ·  Wednesday, Jul 28</t>
        </is>
      </c>
    </row>
    <row r="934" outlineLevel="1">
      <c r="A934" s="13" t="n">
        <v>46596</v>
      </c>
      <c r="E934" s="11">
        <f>IF(OR($B934="",NOT(ISNUMBER($C934))),"",COUNTIFS($A$5:$A$1668,$A934,$C$5:$C$1668,"&lt;"&amp;$C934)+1)</f>
        <v/>
      </c>
      <c r="F934" s="11">
        <f>IF(OR($B934="",NOT(ISNUMBER($C934))),"",COUNTIFS($A$5:$A$1668,$A934,$C$5:$C$1668,"&gt;0"))</f>
        <v/>
      </c>
      <c r="G934" s="11">
        <f>IF(OR($B934="",NOT(ISNUMBER($C934))),"",IF($D934&lt;&gt;"",ROUND(Points!$B$6*IF($F934&lt;Points!$H$4,Points!$H$5,1),0),ROUND(Points!$B$6*IF($F934&lt;=1,1,Points!$H$7+(1-Points!$H$7)*((($F934-$E934)*(($F934-$E934)+1)/2)^2-((($F934-$E934-COUNTIFS($A$5:$A$1668,$A934,$C$5:$C$1668,$C934)+1)-1)*($F934-$E934-COUNTIFS($A$5:$A$1668,$A934,$C$5:$C$1668,$C934)+1)/2)^2)/(COUNTIFS($A$5:$A$1668,$A934,$C$5:$C$1668,$C934)*($F934-1)^3))*IF($F934&lt;Points!$H$4,Points!$H$5,1),0)))</f>
        <v/>
      </c>
      <c r="H934" s="11">
        <f>IF($G934="","",COUNTIFS($B$5:$B$1668,$B934,$G$5:$G$1668,"&gt;"&amp;$G934)+COUNTIFS($B$4:$B933,$B934,$G$4:$G933,$G934)+1)</f>
        <v/>
      </c>
      <c r="I934" s="11">
        <f>IF($G934="","",IF($H934&lt;=Points!$H$6,$G934,0))</f>
        <v/>
      </c>
      <c r="J934" s="11">
        <f>IF($B934="","",IF(COUNTIF(Players!$A$2:$A$500,$B934)=0,"Player is not on the Players tab",IF(NOT(ISNUMBER($C934)),"Enter a gross score",IF(COUNTIFS($A$5:$A$1668,$A934,$B$5:$B$1668,$B934)&gt;1,"Player is listed twice this week",IF(AND($D934&lt;&gt;"",COUNTIFS($A$5:$A$1668,$A934,$D$5:$D$1668,$D934)&gt;1),"Two players picked as "&amp;$D934,IF(COUNTIFS($A$5:$A$1668,$A934,$D$5:$D$1668,"Gross winner")=0,"Pick this week's gross winner",IF(COUNTIFS($A$5:$A$1668,$A934,$D$5:$D$1668,"Net winner")=0,"Pick this week's net winner","OK")))))))</f>
        <v/>
      </c>
    </row>
    <row r="935" outlineLevel="1">
      <c r="A935" s="13" t="n">
        <v>46596</v>
      </c>
      <c r="E935" s="11">
        <f>IF(OR($B935="",NOT(ISNUMBER($C935))),"",COUNTIFS($A$5:$A$1668,$A935,$C$5:$C$1668,"&lt;"&amp;$C935)+1)</f>
        <v/>
      </c>
      <c r="F935" s="11">
        <f>IF(OR($B935="",NOT(ISNUMBER($C935))),"",COUNTIFS($A$5:$A$1668,$A935,$C$5:$C$1668,"&gt;0"))</f>
        <v/>
      </c>
      <c r="G935" s="11">
        <f>IF(OR($B935="",NOT(ISNUMBER($C935))),"",IF($D935&lt;&gt;"",ROUND(Points!$B$6*IF($F935&lt;Points!$H$4,Points!$H$5,1),0),ROUND(Points!$B$6*IF($F935&lt;=1,1,Points!$H$7+(1-Points!$H$7)*((($F935-$E935)*(($F935-$E935)+1)/2)^2-((($F935-$E935-COUNTIFS($A$5:$A$1668,$A935,$C$5:$C$1668,$C935)+1)-1)*($F935-$E935-COUNTIFS($A$5:$A$1668,$A935,$C$5:$C$1668,$C935)+1)/2)^2)/(COUNTIFS($A$5:$A$1668,$A935,$C$5:$C$1668,$C935)*($F935-1)^3))*IF($F935&lt;Points!$H$4,Points!$H$5,1),0)))</f>
        <v/>
      </c>
      <c r="H935" s="11">
        <f>IF($G935="","",COUNTIFS($B$5:$B$1668,$B935,$G$5:$G$1668,"&gt;"&amp;$G935)+COUNTIFS($B$4:$B934,$B935,$G$4:$G934,$G935)+1)</f>
        <v/>
      </c>
      <c r="I935" s="11">
        <f>IF($G935="","",IF($H935&lt;=Points!$H$6,$G935,0))</f>
        <v/>
      </c>
      <c r="J935" s="11">
        <f>IF($B935="","",IF(COUNTIF(Players!$A$2:$A$500,$B935)=0,"Player is not on the Players tab",IF(NOT(ISNUMBER($C935)),"Enter a gross score",IF(COUNTIFS($A$5:$A$1668,$A935,$B$5:$B$1668,$B935)&gt;1,"Player is listed twice this week",IF(AND($D935&lt;&gt;"",COUNTIFS($A$5:$A$1668,$A935,$D$5:$D$1668,$D935)&gt;1),"Two players picked as "&amp;$D935,IF(COUNTIFS($A$5:$A$1668,$A935,$D$5:$D$1668,"Gross winner")=0,"Pick this week's gross winner",IF(COUNTIFS($A$5:$A$1668,$A935,$D$5:$D$1668,"Net winner")=0,"Pick this week's net winner","OK")))))))</f>
        <v/>
      </c>
    </row>
    <row r="936" outlineLevel="1">
      <c r="A936" s="13" t="n">
        <v>46596</v>
      </c>
      <c r="E936" s="11">
        <f>IF(OR($B936="",NOT(ISNUMBER($C936))),"",COUNTIFS($A$5:$A$1668,$A936,$C$5:$C$1668,"&lt;"&amp;$C936)+1)</f>
        <v/>
      </c>
      <c r="F936" s="11">
        <f>IF(OR($B936="",NOT(ISNUMBER($C936))),"",COUNTIFS($A$5:$A$1668,$A936,$C$5:$C$1668,"&gt;0"))</f>
        <v/>
      </c>
      <c r="G936" s="11">
        <f>IF(OR($B936="",NOT(ISNUMBER($C936))),"",IF($D936&lt;&gt;"",ROUND(Points!$B$6*IF($F936&lt;Points!$H$4,Points!$H$5,1),0),ROUND(Points!$B$6*IF($F936&lt;=1,1,Points!$H$7+(1-Points!$H$7)*((($F936-$E936)*(($F936-$E936)+1)/2)^2-((($F936-$E936-COUNTIFS($A$5:$A$1668,$A936,$C$5:$C$1668,$C936)+1)-1)*($F936-$E936-COUNTIFS($A$5:$A$1668,$A936,$C$5:$C$1668,$C936)+1)/2)^2)/(COUNTIFS($A$5:$A$1668,$A936,$C$5:$C$1668,$C936)*($F936-1)^3))*IF($F936&lt;Points!$H$4,Points!$H$5,1),0)))</f>
        <v/>
      </c>
      <c r="H936" s="11">
        <f>IF($G936="","",COUNTIFS($B$5:$B$1668,$B936,$G$5:$G$1668,"&gt;"&amp;$G936)+COUNTIFS($B$4:$B935,$B936,$G$4:$G935,$G936)+1)</f>
        <v/>
      </c>
      <c r="I936" s="11">
        <f>IF($G936="","",IF($H936&lt;=Points!$H$6,$G936,0))</f>
        <v/>
      </c>
      <c r="J936" s="11">
        <f>IF($B936="","",IF(COUNTIF(Players!$A$2:$A$500,$B936)=0,"Player is not on the Players tab",IF(NOT(ISNUMBER($C936)),"Enter a gross score",IF(COUNTIFS($A$5:$A$1668,$A936,$B$5:$B$1668,$B936)&gt;1,"Player is listed twice this week",IF(AND($D936&lt;&gt;"",COUNTIFS($A$5:$A$1668,$A936,$D$5:$D$1668,$D936)&gt;1),"Two players picked as "&amp;$D936,IF(COUNTIFS($A$5:$A$1668,$A936,$D$5:$D$1668,"Gross winner")=0,"Pick this week's gross winner",IF(COUNTIFS($A$5:$A$1668,$A936,$D$5:$D$1668,"Net winner")=0,"Pick this week's net winner","OK")))))))</f>
        <v/>
      </c>
    </row>
    <row r="937" outlineLevel="1">
      <c r="A937" s="13" t="n">
        <v>46596</v>
      </c>
      <c r="E937" s="11">
        <f>IF(OR($B937="",NOT(ISNUMBER($C937))),"",COUNTIFS($A$5:$A$1668,$A937,$C$5:$C$1668,"&lt;"&amp;$C937)+1)</f>
        <v/>
      </c>
      <c r="F937" s="11">
        <f>IF(OR($B937="",NOT(ISNUMBER($C937))),"",COUNTIFS($A$5:$A$1668,$A937,$C$5:$C$1668,"&gt;0"))</f>
        <v/>
      </c>
      <c r="G937" s="11">
        <f>IF(OR($B937="",NOT(ISNUMBER($C937))),"",IF($D937&lt;&gt;"",ROUND(Points!$B$6*IF($F937&lt;Points!$H$4,Points!$H$5,1),0),ROUND(Points!$B$6*IF($F937&lt;=1,1,Points!$H$7+(1-Points!$H$7)*((($F937-$E937)*(($F937-$E937)+1)/2)^2-((($F937-$E937-COUNTIFS($A$5:$A$1668,$A937,$C$5:$C$1668,$C937)+1)-1)*($F937-$E937-COUNTIFS($A$5:$A$1668,$A937,$C$5:$C$1668,$C937)+1)/2)^2)/(COUNTIFS($A$5:$A$1668,$A937,$C$5:$C$1668,$C937)*($F937-1)^3))*IF($F937&lt;Points!$H$4,Points!$H$5,1),0)))</f>
        <v/>
      </c>
      <c r="H937" s="11">
        <f>IF($G937="","",COUNTIFS($B$5:$B$1668,$B937,$G$5:$G$1668,"&gt;"&amp;$G937)+COUNTIFS($B$4:$B936,$B937,$G$4:$G936,$G937)+1)</f>
        <v/>
      </c>
      <c r="I937" s="11">
        <f>IF($G937="","",IF($H937&lt;=Points!$H$6,$G937,0))</f>
        <v/>
      </c>
      <c r="J937" s="11">
        <f>IF($B937="","",IF(COUNTIF(Players!$A$2:$A$500,$B937)=0,"Player is not on the Players tab",IF(NOT(ISNUMBER($C937)),"Enter a gross score",IF(COUNTIFS($A$5:$A$1668,$A937,$B$5:$B$1668,$B937)&gt;1,"Player is listed twice this week",IF(AND($D937&lt;&gt;"",COUNTIFS($A$5:$A$1668,$A937,$D$5:$D$1668,$D937)&gt;1),"Two players picked as "&amp;$D937,IF(COUNTIFS($A$5:$A$1668,$A937,$D$5:$D$1668,"Gross winner")=0,"Pick this week's gross winner",IF(COUNTIFS($A$5:$A$1668,$A937,$D$5:$D$1668,"Net winner")=0,"Pick this week's net winner","OK")))))))</f>
        <v/>
      </c>
    </row>
    <row r="938" outlineLevel="1">
      <c r="A938" s="13" t="n">
        <v>46596</v>
      </c>
      <c r="E938" s="11">
        <f>IF(OR($B938="",NOT(ISNUMBER($C938))),"",COUNTIFS($A$5:$A$1668,$A938,$C$5:$C$1668,"&lt;"&amp;$C938)+1)</f>
        <v/>
      </c>
      <c r="F938" s="11">
        <f>IF(OR($B938="",NOT(ISNUMBER($C938))),"",COUNTIFS($A$5:$A$1668,$A938,$C$5:$C$1668,"&gt;0"))</f>
        <v/>
      </c>
      <c r="G938" s="11">
        <f>IF(OR($B938="",NOT(ISNUMBER($C938))),"",IF($D938&lt;&gt;"",ROUND(Points!$B$6*IF($F938&lt;Points!$H$4,Points!$H$5,1),0),ROUND(Points!$B$6*IF($F938&lt;=1,1,Points!$H$7+(1-Points!$H$7)*((($F938-$E938)*(($F938-$E938)+1)/2)^2-((($F938-$E938-COUNTIFS($A$5:$A$1668,$A938,$C$5:$C$1668,$C938)+1)-1)*($F938-$E938-COUNTIFS($A$5:$A$1668,$A938,$C$5:$C$1668,$C938)+1)/2)^2)/(COUNTIFS($A$5:$A$1668,$A938,$C$5:$C$1668,$C938)*($F938-1)^3))*IF($F938&lt;Points!$H$4,Points!$H$5,1),0)))</f>
        <v/>
      </c>
      <c r="H938" s="11">
        <f>IF($G938="","",COUNTIFS($B$5:$B$1668,$B938,$G$5:$G$1668,"&gt;"&amp;$G938)+COUNTIFS($B$4:$B937,$B938,$G$4:$G937,$G938)+1)</f>
        <v/>
      </c>
      <c r="I938" s="11">
        <f>IF($G938="","",IF($H938&lt;=Points!$H$6,$G938,0))</f>
        <v/>
      </c>
      <c r="J938" s="11">
        <f>IF($B938="","",IF(COUNTIF(Players!$A$2:$A$500,$B938)=0,"Player is not on the Players tab",IF(NOT(ISNUMBER($C938)),"Enter a gross score",IF(COUNTIFS($A$5:$A$1668,$A938,$B$5:$B$1668,$B938)&gt;1,"Player is listed twice this week",IF(AND($D938&lt;&gt;"",COUNTIFS($A$5:$A$1668,$A938,$D$5:$D$1668,$D938)&gt;1),"Two players picked as "&amp;$D938,IF(COUNTIFS($A$5:$A$1668,$A938,$D$5:$D$1668,"Gross winner")=0,"Pick this week's gross winner",IF(COUNTIFS($A$5:$A$1668,$A938,$D$5:$D$1668,"Net winner")=0,"Pick this week's net winner","OK")))))))</f>
        <v/>
      </c>
    </row>
    <row r="939" outlineLevel="1">
      <c r="A939" s="13" t="n">
        <v>46596</v>
      </c>
      <c r="E939" s="11">
        <f>IF(OR($B939="",NOT(ISNUMBER($C939))),"",COUNTIFS($A$5:$A$1668,$A939,$C$5:$C$1668,"&lt;"&amp;$C939)+1)</f>
        <v/>
      </c>
      <c r="F939" s="11">
        <f>IF(OR($B939="",NOT(ISNUMBER($C939))),"",COUNTIFS($A$5:$A$1668,$A939,$C$5:$C$1668,"&gt;0"))</f>
        <v/>
      </c>
      <c r="G939" s="11">
        <f>IF(OR($B939="",NOT(ISNUMBER($C939))),"",IF($D939&lt;&gt;"",ROUND(Points!$B$6*IF($F939&lt;Points!$H$4,Points!$H$5,1),0),ROUND(Points!$B$6*IF($F939&lt;=1,1,Points!$H$7+(1-Points!$H$7)*((($F939-$E939)*(($F939-$E939)+1)/2)^2-((($F939-$E939-COUNTIFS($A$5:$A$1668,$A939,$C$5:$C$1668,$C939)+1)-1)*($F939-$E939-COUNTIFS($A$5:$A$1668,$A939,$C$5:$C$1668,$C939)+1)/2)^2)/(COUNTIFS($A$5:$A$1668,$A939,$C$5:$C$1668,$C939)*($F939-1)^3))*IF($F939&lt;Points!$H$4,Points!$H$5,1),0)))</f>
        <v/>
      </c>
      <c r="H939" s="11">
        <f>IF($G939="","",COUNTIFS($B$5:$B$1668,$B939,$G$5:$G$1668,"&gt;"&amp;$G939)+COUNTIFS($B$4:$B938,$B939,$G$4:$G938,$G939)+1)</f>
        <v/>
      </c>
      <c r="I939" s="11">
        <f>IF($G939="","",IF($H939&lt;=Points!$H$6,$G939,0))</f>
        <v/>
      </c>
      <c r="J939" s="11">
        <f>IF($B939="","",IF(COUNTIF(Players!$A$2:$A$500,$B939)=0,"Player is not on the Players tab",IF(NOT(ISNUMBER($C939)),"Enter a gross score",IF(COUNTIFS($A$5:$A$1668,$A939,$B$5:$B$1668,$B939)&gt;1,"Player is listed twice this week",IF(AND($D939&lt;&gt;"",COUNTIFS($A$5:$A$1668,$A939,$D$5:$D$1668,$D939)&gt;1),"Two players picked as "&amp;$D939,IF(COUNTIFS($A$5:$A$1668,$A939,$D$5:$D$1668,"Gross winner")=0,"Pick this week's gross winner",IF(COUNTIFS($A$5:$A$1668,$A939,$D$5:$D$1668,"Net winner")=0,"Pick this week's net winner","OK")))))))</f>
        <v/>
      </c>
    </row>
    <row r="940" outlineLevel="1">
      <c r="A940" s="13" t="n">
        <v>46596</v>
      </c>
      <c r="E940" s="11">
        <f>IF(OR($B940="",NOT(ISNUMBER($C940))),"",COUNTIFS($A$5:$A$1668,$A940,$C$5:$C$1668,"&lt;"&amp;$C940)+1)</f>
        <v/>
      </c>
      <c r="F940" s="11">
        <f>IF(OR($B940="",NOT(ISNUMBER($C940))),"",COUNTIFS($A$5:$A$1668,$A940,$C$5:$C$1668,"&gt;0"))</f>
        <v/>
      </c>
      <c r="G940" s="11">
        <f>IF(OR($B940="",NOT(ISNUMBER($C940))),"",IF($D940&lt;&gt;"",ROUND(Points!$B$6*IF($F940&lt;Points!$H$4,Points!$H$5,1),0),ROUND(Points!$B$6*IF($F940&lt;=1,1,Points!$H$7+(1-Points!$H$7)*((($F940-$E940)*(($F940-$E940)+1)/2)^2-((($F940-$E940-COUNTIFS($A$5:$A$1668,$A940,$C$5:$C$1668,$C940)+1)-1)*($F940-$E940-COUNTIFS($A$5:$A$1668,$A940,$C$5:$C$1668,$C940)+1)/2)^2)/(COUNTIFS($A$5:$A$1668,$A940,$C$5:$C$1668,$C940)*($F940-1)^3))*IF($F940&lt;Points!$H$4,Points!$H$5,1),0)))</f>
        <v/>
      </c>
      <c r="H940" s="11">
        <f>IF($G940="","",COUNTIFS($B$5:$B$1668,$B940,$G$5:$G$1668,"&gt;"&amp;$G940)+COUNTIFS($B$4:$B939,$B940,$G$4:$G939,$G940)+1)</f>
        <v/>
      </c>
      <c r="I940" s="11">
        <f>IF($G940="","",IF($H940&lt;=Points!$H$6,$G940,0))</f>
        <v/>
      </c>
      <c r="J940" s="11">
        <f>IF($B940="","",IF(COUNTIF(Players!$A$2:$A$500,$B940)=0,"Player is not on the Players tab",IF(NOT(ISNUMBER($C940)),"Enter a gross score",IF(COUNTIFS($A$5:$A$1668,$A940,$B$5:$B$1668,$B940)&gt;1,"Player is listed twice this week",IF(AND($D940&lt;&gt;"",COUNTIFS($A$5:$A$1668,$A940,$D$5:$D$1668,$D940)&gt;1),"Two players picked as "&amp;$D940,IF(COUNTIFS($A$5:$A$1668,$A940,$D$5:$D$1668,"Gross winner")=0,"Pick this week's gross winner",IF(COUNTIFS($A$5:$A$1668,$A940,$D$5:$D$1668,"Net winner")=0,"Pick this week's net winner","OK")))))))</f>
        <v/>
      </c>
    </row>
    <row r="941" outlineLevel="1">
      <c r="A941" s="13" t="n">
        <v>46596</v>
      </c>
      <c r="E941" s="11">
        <f>IF(OR($B941="",NOT(ISNUMBER($C941))),"",COUNTIFS($A$5:$A$1668,$A941,$C$5:$C$1668,"&lt;"&amp;$C941)+1)</f>
        <v/>
      </c>
      <c r="F941" s="11">
        <f>IF(OR($B941="",NOT(ISNUMBER($C941))),"",COUNTIFS($A$5:$A$1668,$A941,$C$5:$C$1668,"&gt;0"))</f>
        <v/>
      </c>
      <c r="G941" s="11">
        <f>IF(OR($B941="",NOT(ISNUMBER($C941))),"",IF($D941&lt;&gt;"",ROUND(Points!$B$6*IF($F941&lt;Points!$H$4,Points!$H$5,1),0),ROUND(Points!$B$6*IF($F941&lt;=1,1,Points!$H$7+(1-Points!$H$7)*((($F941-$E941)*(($F941-$E941)+1)/2)^2-((($F941-$E941-COUNTIFS($A$5:$A$1668,$A941,$C$5:$C$1668,$C941)+1)-1)*($F941-$E941-COUNTIFS($A$5:$A$1668,$A941,$C$5:$C$1668,$C941)+1)/2)^2)/(COUNTIFS($A$5:$A$1668,$A941,$C$5:$C$1668,$C941)*($F941-1)^3))*IF($F941&lt;Points!$H$4,Points!$H$5,1),0)))</f>
        <v/>
      </c>
      <c r="H941" s="11">
        <f>IF($G941="","",COUNTIFS($B$5:$B$1668,$B941,$G$5:$G$1668,"&gt;"&amp;$G941)+COUNTIFS($B$4:$B940,$B941,$G$4:$G940,$G941)+1)</f>
        <v/>
      </c>
      <c r="I941" s="11">
        <f>IF($G941="","",IF($H941&lt;=Points!$H$6,$G941,0))</f>
        <v/>
      </c>
      <c r="J941" s="11">
        <f>IF($B941="","",IF(COUNTIF(Players!$A$2:$A$500,$B941)=0,"Player is not on the Players tab",IF(NOT(ISNUMBER($C941)),"Enter a gross score",IF(COUNTIFS($A$5:$A$1668,$A941,$B$5:$B$1668,$B941)&gt;1,"Player is listed twice this week",IF(AND($D941&lt;&gt;"",COUNTIFS($A$5:$A$1668,$A941,$D$5:$D$1668,$D941)&gt;1),"Two players picked as "&amp;$D941,IF(COUNTIFS($A$5:$A$1668,$A941,$D$5:$D$1668,"Gross winner")=0,"Pick this week's gross winner",IF(COUNTIFS($A$5:$A$1668,$A941,$D$5:$D$1668,"Net winner")=0,"Pick this week's net winner","OK")))))))</f>
        <v/>
      </c>
    </row>
    <row r="942" outlineLevel="1">
      <c r="A942" s="13" t="n">
        <v>46596</v>
      </c>
      <c r="E942" s="11">
        <f>IF(OR($B942="",NOT(ISNUMBER($C942))),"",COUNTIFS($A$5:$A$1668,$A942,$C$5:$C$1668,"&lt;"&amp;$C942)+1)</f>
        <v/>
      </c>
      <c r="F942" s="11">
        <f>IF(OR($B942="",NOT(ISNUMBER($C942))),"",COUNTIFS($A$5:$A$1668,$A942,$C$5:$C$1668,"&gt;0"))</f>
        <v/>
      </c>
      <c r="G942" s="11">
        <f>IF(OR($B942="",NOT(ISNUMBER($C942))),"",IF($D942&lt;&gt;"",ROUND(Points!$B$6*IF($F942&lt;Points!$H$4,Points!$H$5,1),0),ROUND(Points!$B$6*IF($F942&lt;=1,1,Points!$H$7+(1-Points!$H$7)*((($F942-$E942)*(($F942-$E942)+1)/2)^2-((($F942-$E942-COUNTIFS($A$5:$A$1668,$A942,$C$5:$C$1668,$C942)+1)-1)*($F942-$E942-COUNTIFS($A$5:$A$1668,$A942,$C$5:$C$1668,$C942)+1)/2)^2)/(COUNTIFS($A$5:$A$1668,$A942,$C$5:$C$1668,$C942)*($F942-1)^3))*IF($F942&lt;Points!$H$4,Points!$H$5,1),0)))</f>
        <v/>
      </c>
      <c r="H942" s="11">
        <f>IF($G942="","",COUNTIFS($B$5:$B$1668,$B942,$G$5:$G$1668,"&gt;"&amp;$G942)+COUNTIFS($B$4:$B941,$B942,$G$4:$G941,$G942)+1)</f>
        <v/>
      </c>
      <c r="I942" s="11">
        <f>IF($G942="","",IF($H942&lt;=Points!$H$6,$G942,0))</f>
        <v/>
      </c>
      <c r="J942" s="11">
        <f>IF($B942="","",IF(COUNTIF(Players!$A$2:$A$500,$B942)=0,"Player is not on the Players tab",IF(NOT(ISNUMBER($C942)),"Enter a gross score",IF(COUNTIFS($A$5:$A$1668,$A942,$B$5:$B$1668,$B942)&gt;1,"Player is listed twice this week",IF(AND($D942&lt;&gt;"",COUNTIFS($A$5:$A$1668,$A942,$D$5:$D$1668,$D942)&gt;1),"Two players picked as "&amp;$D942,IF(COUNTIFS($A$5:$A$1668,$A942,$D$5:$D$1668,"Gross winner")=0,"Pick this week's gross winner",IF(COUNTIFS($A$5:$A$1668,$A942,$D$5:$D$1668,"Net winner")=0,"Pick this week's net winner","OK")))))))</f>
        <v/>
      </c>
    </row>
    <row r="943" outlineLevel="1">
      <c r="A943" s="13" t="n">
        <v>46596</v>
      </c>
      <c r="E943" s="11">
        <f>IF(OR($B943="",NOT(ISNUMBER($C943))),"",COUNTIFS($A$5:$A$1668,$A943,$C$5:$C$1668,"&lt;"&amp;$C943)+1)</f>
        <v/>
      </c>
      <c r="F943" s="11">
        <f>IF(OR($B943="",NOT(ISNUMBER($C943))),"",COUNTIFS($A$5:$A$1668,$A943,$C$5:$C$1668,"&gt;0"))</f>
        <v/>
      </c>
      <c r="G943" s="11">
        <f>IF(OR($B943="",NOT(ISNUMBER($C943))),"",IF($D943&lt;&gt;"",ROUND(Points!$B$6*IF($F943&lt;Points!$H$4,Points!$H$5,1),0),ROUND(Points!$B$6*IF($F943&lt;=1,1,Points!$H$7+(1-Points!$H$7)*((($F943-$E943)*(($F943-$E943)+1)/2)^2-((($F943-$E943-COUNTIFS($A$5:$A$1668,$A943,$C$5:$C$1668,$C943)+1)-1)*($F943-$E943-COUNTIFS($A$5:$A$1668,$A943,$C$5:$C$1668,$C943)+1)/2)^2)/(COUNTIFS($A$5:$A$1668,$A943,$C$5:$C$1668,$C943)*($F943-1)^3))*IF($F943&lt;Points!$H$4,Points!$H$5,1),0)))</f>
        <v/>
      </c>
      <c r="H943" s="11">
        <f>IF($G943="","",COUNTIFS($B$5:$B$1668,$B943,$G$5:$G$1668,"&gt;"&amp;$G943)+COUNTIFS($B$4:$B942,$B943,$G$4:$G942,$G943)+1)</f>
        <v/>
      </c>
      <c r="I943" s="11">
        <f>IF($G943="","",IF($H943&lt;=Points!$H$6,$G943,0))</f>
        <v/>
      </c>
      <c r="J943" s="11">
        <f>IF($B943="","",IF(COUNTIF(Players!$A$2:$A$500,$B943)=0,"Player is not on the Players tab",IF(NOT(ISNUMBER($C943)),"Enter a gross score",IF(COUNTIFS($A$5:$A$1668,$A943,$B$5:$B$1668,$B943)&gt;1,"Player is listed twice this week",IF(AND($D943&lt;&gt;"",COUNTIFS($A$5:$A$1668,$A943,$D$5:$D$1668,$D943)&gt;1),"Two players picked as "&amp;$D943,IF(COUNTIFS($A$5:$A$1668,$A943,$D$5:$D$1668,"Gross winner")=0,"Pick this week's gross winner",IF(COUNTIFS($A$5:$A$1668,$A943,$D$5:$D$1668,"Net winner")=0,"Pick this week's net winner","OK")))))))</f>
        <v/>
      </c>
    </row>
    <row r="944" outlineLevel="1">
      <c r="A944" s="13" t="n">
        <v>46596</v>
      </c>
      <c r="E944" s="11">
        <f>IF(OR($B944="",NOT(ISNUMBER($C944))),"",COUNTIFS($A$5:$A$1668,$A944,$C$5:$C$1668,"&lt;"&amp;$C944)+1)</f>
        <v/>
      </c>
      <c r="F944" s="11">
        <f>IF(OR($B944="",NOT(ISNUMBER($C944))),"",COUNTIFS($A$5:$A$1668,$A944,$C$5:$C$1668,"&gt;0"))</f>
        <v/>
      </c>
      <c r="G944" s="11">
        <f>IF(OR($B944="",NOT(ISNUMBER($C944))),"",IF($D944&lt;&gt;"",ROUND(Points!$B$6*IF($F944&lt;Points!$H$4,Points!$H$5,1),0),ROUND(Points!$B$6*IF($F944&lt;=1,1,Points!$H$7+(1-Points!$H$7)*((($F944-$E944)*(($F944-$E944)+1)/2)^2-((($F944-$E944-COUNTIFS($A$5:$A$1668,$A944,$C$5:$C$1668,$C944)+1)-1)*($F944-$E944-COUNTIFS($A$5:$A$1668,$A944,$C$5:$C$1668,$C944)+1)/2)^2)/(COUNTIFS($A$5:$A$1668,$A944,$C$5:$C$1668,$C944)*($F944-1)^3))*IF($F944&lt;Points!$H$4,Points!$H$5,1),0)))</f>
        <v/>
      </c>
      <c r="H944" s="11">
        <f>IF($G944="","",COUNTIFS($B$5:$B$1668,$B944,$G$5:$G$1668,"&gt;"&amp;$G944)+COUNTIFS($B$4:$B943,$B944,$G$4:$G943,$G944)+1)</f>
        <v/>
      </c>
      <c r="I944" s="11">
        <f>IF($G944="","",IF($H944&lt;=Points!$H$6,$G944,0))</f>
        <v/>
      </c>
      <c r="J944" s="11">
        <f>IF($B944="","",IF(COUNTIF(Players!$A$2:$A$500,$B944)=0,"Player is not on the Players tab",IF(NOT(ISNUMBER($C944)),"Enter a gross score",IF(COUNTIFS($A$5:$A$1668,$A944,$B$5:$B$1668,$B944)&gt;1,"Player is listed twice this week",IF(AND($D944&lt;&gt;"",COUNTIFS($A$5:$A$1668,$A944,$D$5:$D$1668,$D944)&gt;1),"Two players picked as "&amp;$D944,IF(COUNTIFS($A$5:$A$1668,$A944,$D$5:$D$1668,"Gross winner")=0,"Pick this week's gross winner",IF(COUNTIFS($A$5:$A$1668,$A944,$D$5:$D$1668,"Net winner")=0,"Pick this week's net winner","OK")))))))</f>
        <v/>
      </c>
    </row>
    <row r="945" outlineLevel="1">
      <c r="A945" s="13" t="n">
        <v>46596</v>
      </c>
      <c r="E945" s="11">
        <f>IF(OR($B945="",NOT(ISNUMBER($C945))),"",COUNTIFS($A$5:$A$1668,$A945,$C$5:$C$1668,"&lt;"&amp;$C945)+1)</f>
        <v/>
      </c>
      <c r="F945" s="11">
        <f>IF(OR($B945="",NOT(ISNUMBER($C945))),"",COUNTIFS($A$5:$A$1668,$A945,$C$5:$C$1668,"&gt;0"))</f>
        <v/>
      </c>
      <c r="G945" s="11">
        <f>IF(OR($B945="",NOT(ISNUMBER($C945))),"",IF($D945&lt;&gt;"",ROUND(Points!$B$6*IF($F945&lt;Points!$H$4,Points!$H$5,1),0),ROUND(Points!$B$6*IF($F945&lt;=1,1,Points!$H$7+(1-Points!$H$7)*((($F945-$E945)*(($F945-$E945)+1)/2)^2-((($F945-$E945-COUNTIFS($A$5:$A$1668,$A945,$C$5:$C$1668,$C945)+1)-1)*($F945-$E945-COUNTIFS($A$5:$A$1668,$A945,$C$5:$C$1668,$C945)+1)/2)^2)/(COUNTIFS($A$5:$A$1668,$A945,$C$5:$C$1668,$C945)*($F945-1)^3))*IF($F945&lt;Points!$H$4,Points!$H$5,1),0)))</f>
        <v/>
      </c>
      <c r="H945" s="11">
        <f>IF($G945="","",COUNTIFS($B$5:$B$1668,$B945,$G$5:$G$1668,"&gt;"&amp;$G945)+COUNTIFS($B$4:$B944,$B945,$G$4:$G944,$G945)+1)</f>
        <v/>
      </c>
      <c r="I945" s="11">
        <f>IF($G945="","",IF($H945&lt;=Points!$H$6,$G945,0))</f>
        <v/>
      </c>
      <c r="J945" s="11">
        <f>IF($B945="","",IF(COUNTIF(Players!$A$2:$A$500,$B945)=0,"Player is not on the Players tab",IF(NOT(ISNUMBER($C945)),"Enter a gross score",IF(COUNTIFS($A$5:$A$1668,$A945,$B$5:$B$1668,$B945)&gt;1,"Player is listed twice this week",IF(AND($D945&lt;&gt;"",COUNTIFS($A$5:$A$1668,$A945,$D$5:$D$1668,$D945)&gt;1),"Two players picked as "&amp;$D945,IF(COUNTIFS($A$5:$A$1668,$A945,$D$5:$D$1668,"Gross winner")=0,"Pick this week's gross winner",IF(COUNTIFS($A$5:$A$1668,$A945,$D$5:$D$1668,"Net winner")=0,"Pick this week's net winner","OK")))))))</f>
        <v/>
      </c>
    </row>
    <row r="946" outlineLevel="1">
      <c r="A946" s="13" t="n">
        <v>46596</v>
      </c>
      <c r="E946" s="11">
        <f>IF(OR($B946="",NOT(ISNUMBER($C946))),"",COUNTIFS($A$5:$A$1668,$A946,$C$5:$C$1668,"&lt;"&amp;$C946)+1)</f>
        <v/>
      </c>
      <c r="F946" s="11">
        <f>IF(OR($B946="",NOT(ISNUMBER($C946))),"",COUNTIFS($A$5:$A$1668,$A946,$C$5:$C$1668,"&gt;0"))</f>
        <v/>
      </c>
      <c r="G946" s="11">
        <f>IF(OR($B946="",NOT(ISNUMBER($C946))),"",IF($D946&lt;&gt;"",ROUND(Points!$B$6*IF($F946&lt;Points!$H$4,Points!$H$5,1),0),ROUND(Points!$B$6*IF($F946&lt;=1,1,Points!$H$7+(1-Points!$H$7)*((($F946-$E946)*(($F946-$E946)+1)/2)^2-((($F946-$E946-COUNTIFS($A$5:$A$1668,$A946,$C$5:$C$1668,$C946)+1)-1)*($F946-$E946-COUNTIFS($A$5:$A$1668,$A946,$C$5:$C$1668,$C946)+1)/2)^2)/(COUNTIFS($A$5:$A$1668,$A946,$C$5:$C$1668,$C946)*($F946-1)^3))*IF($F946&lt;Points!$H$4,Points!$H$5,1),0)))</f>
        <v/>
      </c>
      <c r="H946" s="11">
        <f>IF($G946="","",COUNTIFS($B$5:$B$1668,$B946,$G$5:$G$1668,"&gt;"&amp;$G946)+COUNTIFS($B$4:$B945,$B946,$G$4:$G945,$G946)+1)</f>
        <v/>
      </c>
      <c r="I946" s="11">
        <f>IF($G946="","",IF($H946&lt;=Points!$H$6,$G946,0))</f>
        <v/>
      </c>
      <c r="J946" s="11">
        <f>IF($B946="","",IF(COUNTIF(Players!$A$2:$A$500,$B946)=0,"Player is not on the Players tab",IF(NOT(ISNUMBER($C946)),"Enter a gross score",IF(COUNTIFS($A$5:$A$1668,$A946,$B$5:$B$1668,$B946)&gt;1,"Player is listed twice this week",IF(AND($D946&lt;&gt;"",COUNTIFS($A$5:$A$1668,$A946,$D$5:$D$1668,$D946)&gt;1),"Two players picked as "&amp;$D946,IF(COUNTIFS($A$5:$A$1668,$A946,$D$5:$D$1668,"Gross winner")=0,"Pick this week's gross winner",IF(COUNTIFS($A$5:$A$1668,$A946,$D$5:$D$1668,"Net winner")=0,"Pick this week's net winner","OK")))))))</f>
        <v/>
      </c>
    </row>
    <row r="947" outlineLevel="1">
      <c r="A947" s="13" t="n">
        <v>46596</v>
      </c>
      <c r="E947" s="11">
        <f>IF(OR($B947="",NOT(ISNUMBER($C947))),"",COUNTIFS($A$5:$A$1668,$A947,$C$5:$C$1668,"&lt;"&amp;$C947)+1)</f>
        <v/>
      </c>
      <c r="F947" s="11">
        <f>IF(OR($B947="",NOT(ISNUMBER($C947))),"",COUNTIFS($A$5:$A$1668,$A947,$C$5:$C$1668,"&gt;0"))</f>
        <v/>
      </c>
      <c r="G947" s="11">
        <f>IF(OR($B947="",NOT(ISNUMBER($C947))),"",IF($D947&lt;&gt;"",ROUND(Points!$B$6*IF($F947&lt;Points!$H$4,Points!$H$5,1),0),ROUND(Points!$B$6*IF($F947&lt;=1,1,Points!$H$7+(1-Points!$H$7)*((($F947-$E947)*(($F947-$E947)+1)/2)^2-((($F947-$E947-COUNTIFS($A$5:$A$1668,$A947,$C$5:$C$1668,$C947)+1)-1)*($F947-$E947-COUNTIFS($A$5:$A$1668,$A947,$C$5:$C$1668,$C947)+1)/2)^2)/(COUNTIFS($A$5:$A$1668,$A947,$C$5:$C$1668,$C947)*($F947-1)^3))*IF($F947&lt;Points!$H$4,Points!$H$5,1),0)))</f>
        <v/>
      </c>
      <c r="H947" s="11">
        <f>IF($G947="","",COUNTIFS($B$5:$B$1668,$B947,$G$5:$G$1668,"&gt;"&amp;$G947)+COUNTIFS($B$4:$B946,$B947,$G$4:$G946,$G947)+1)</f>
        <v/>
      </c>
      <c r="I947" s="11">
        <f>IF($G947="","",IF($H947&lt;=Points!$H$6,$G947,0))</f>
        <v/>
      </c>
      <c r="J947" s="11">
        <f>IF($B947="","",IF(COUNTIF(Players!$A$2:$A$500,$B947)=0,"Player is not on the Players tab",IF(NOT(ISNUMBER($C947)),"Enter a gross score",IF(COUNTIFS($A$5:$A$1668,$A947,$B$5:$B$1668,$B947)&gt;1,"Player is listed twice this week",IF(AND($D947&lt;&gt;"",COUNTIFS($A$5:$A$1668,$A947,$D$5:$D$1668,$D947)&gt;1),"Two players picked as "&amp;$D947,IF(COUNTIFS($A$5:$A$1668,$A947,$D$5:$D$1668,"Gross winner")=0,"Pick this week's gross winner",IF(COUNTIFS($A$5:$A$1668,$A947,$D$5:$D$1668,"Net winner")=0,"Pick this week's net winner","OK")))))))</f>
        <v/>
      </c>
    </row>
    <row r="948" outlineLevel="1">
      <c r="A948" s="13" t="n">
        <v>46596</v>
      </c>
      <c r="E948" s="11">
        <f>IF(OR($B948="",NOT(ISNUMBER($C948))),"",COUNTIFS($A$5:$A$1668,$A948,$C$5:$C$1668,"&lt;"&amp;$C948)+1)</f>
        <v/>
      </c>
      <c r="F948" s="11">
        <f>IF(OR($B948="",NOT(ISNUMBER($C948))),"",COUNTIFS($A$5:$A$1668,$A948,$C$5:$C$1668,"&gt;0"))</f>
        <v/>
      </c>
      <c r="G948" s="11">
        <f>IF(OR($B948="",NOT(ISNUMBER($C948))),"",IF($D948&lt;&gt;"",ROUND(Points!$B$6*IF($F948&lt;Points!$H$4,Points!$H$5,1),0),ROUND(Points!$B$6*IF($F948&lt;=1,1,Points!$H$7+(1-Points!$H$7)*((($F948-$E948)*(($F948-$E948)+1)/2)^2-((($F948-$E948-COUNTIFS($A$5:$A$1668,$A948,$C$5:$C$1668,$C948)+1)-1)*($F948-$E948-COUNTIFS($A$5:$A$1668,$A948,$C$5:$C$1668,$C948)+1)/2)^2)/(COUNTIFS($A$5:$A$1668,$A948,$C$5:$C$1668,$C948)*($F948-1)^3))*IF($F948&lt;Points!$H$4,Points!$H$5,1),0)))</f>
        <v/>
      </c>
      <c r="H948" s="11">
        <f>IF($G948="","",COUNTIFS($B$5:$B$1668,$B948,$G$5:$G$1668,"&gt;"&amp;$G948)+COUNTIFS($B$4:$B947,$B948,$G$4:$G947,$G948)+1)</f>
        <v/>
      </c>
      <c r="I948" s="11">
        <f>IF($G948="","",IF($H948&lt;=Points!$H$6,$G948,0))</f>
        <v/>
      </c>
      <c r="J948" s="11">
        <f>IF($B948="","",IF(COUNTIF(Players!$A$2:$A$500,$B948)=0,"Player is not on the Players tab",IF(NOT(ISNUMBER($C948)),"Enter a gross score",IF(COUNTIFS($A$5:$A$1668,$A948,$B$5:$B$1668,$B948)&gt;1,"Player is listed twice this week",IF(AND($D948&lt;&gt;"",COUNTIFS($A$5:$A$1668,$A948,$D$5:$D$1668,$D948)&gt;1),"Two players picked as "&amp;$D948,IF(COUNTIFS($A$5:$A$1668,$A948,$D$5:$D$1668,"Gross winner")=0,"Pick this week's gross winner",IF(COUNTIFS($A$5:$A$1668,$A948,$D$5:$D$1668,"Net winner")=0,"Pick this week's net winner","OK")))))))</f>
        <v/>
      </c>
    </row>
    <row r="949" outlineLevel="1">
      <c r="A949" s="13" t="n">
        <v>46596</v>
      </c>
      <c r="E949" s="11">
        <f>IF(OR($B949="",NOT(ISNUMBER($C949))),"",COUNTIFS($A$5:$A$1668,$A949,$C$5:$C$1668,"&lt;"&amp;$C949)+1)</f>
        <v/>
      </c>
      <c r="F949" s="11">
        <f>IF(OR($B949="",NOT(ISNUMBER($C949))),"",COUNTIFS($A$5:$A$1668,$A949,$C$5:$C$1668,"&gt;0"))</f>
        <v/>
      </c>
      <c r="G949" s="11">
        <f>IF(OR($B949="",NOT(ISNUMBER($C949))),"",IF($D949&lt;&gt;"",ROUND(Points!$B$6*IF($F949&lt;Points!$H$4,Points!$H$5,1),0),ROUND(Points!$B$6*IF($F949&lt;=1,1,Points!$H$7+(1-Points!$H$7)*((($F949-$E949)*(($F949-$E949)+1)/2)^2-((($F949-$E949-COUNTIFS($A$5:$A$1668,$A949,$C$5:$C$1668,$C949)+1)-1)*($F949-$E949-COUNTIFS($A$5:$A$1668,$A949,$C$5:$C$1668,$C949)+1)/2)^2)/(COUNTIFS($A$5:$A$1668,$A949,$C$5:$C$1668,$C949)*($F949-1)^3))*IF($F949&lt;Points!$H$4,Points!$H$5,1),0)))</f>
        <v/>
      </c>
      <c r="H949" s="11">
        <f>IF($G949="","",COUNTIFS($B$5:$B$1668,$B949,$G$5:$G$1668,"&gt;"&amp;$G949)+COUNTIFS($B$4:$B948,$B949,$G$4:$G948,$G949)+1)</f>
        <v/>
      </c>
      <c r="I949" s="11">
        <f>IF($G949="","",IF($H949&lt;=Points!$H$6,$G949,0))</f>
        <v/>
      </c>
      <c r="J949" s="11">
        <f>IF($B949="","",IF(COUNTIF(Players!$A$2:$A$500,$B949)=0,"Player is not on the Players tab",IF(NOT(ISNUMBER($C949)),"Enter a gross score",IF(COUNTIFS($A$5:$A$1668,$A949,$B$5:$B$1668,$B949)&gt;1,"Player is listed twice this week",IF(AND($D949&lt;&gt;"",COUNTIFS($A$5:$A$1668,$A949,$D$5:$D$1668,$D949)&gt;1),"Two players picked as "&amp;$D949,IF(COUNTIFS($A$5:$A$1668,$A949,$D$5:$D$1668,"Gross winner")=0,"Pick this week's gross winner",IF(COUNTIFS($A$5:$A$1668,$A949,$D$5:$D$1668,"Net winner")=0,"Pick this week's net winner","OK")))))))</f>
        <v/>
      </c>
    </row>
    <row r="950" outlineLevel="1">
      <c r="A950" s="13" t="n">
        <v>46596</v>
      </c>
      <c r="E950" s="11">
        <f>IF(OR($B950="",NOT(ISNUMBER($C950))),"",COUNTIFS($A$5:$A$1668,$A950,$C$5:$C$1668,"&lt;"&amp;$C950)+1)</f>
        <v/>
      </c>
      <c r="F950" s="11">
        <f>IF(OR($B950="",NOT(ISNUMBER($C950))),"",COUNTIFS($A$5:$A$1668,$A950,$C$5:$C$1668,"&gt;0"))</f>
        <v/>
      </c>
      <c r="G950" s="11">
        <f>IF(OR($B950="",NOT(ISNUMBER($C950))),"",IF($D950&lt;&gt;"",ROUND(Points!$B$6*IF($F950&lt;Points!$H$4,Points!$H$5,1),0),ROUND(Points!$B$6*IF($F950&lt;=1,1,Points!$H$7+(1-Points!$H$7)*((($F950-$E950)*(($F950-$E950)+1)/2)^2-((($F950-$E950-COUNTIFS($A$5:$A$1668,$A950,$C$5:$C$1668,$C950)+1)-1)*($F950-$E950-COUNTIFS($A$5:$A$1668,$A950,$C$5:$C$1668,$C950)+1)/2)^2)/(COUNTIFS($A$5:$A$1668,$A950,$C$5:$C$1668,$C950)*($F950-1)^3))*IF($F950&lt;Points!$H$4,Points!$H$5,1),0)))</f>
        <v/>
      </c>
      <c r="H950" s="11">
        <f>IF($G950="","",COUNTIFS($B$5:$B$1668,$B950,$G$5:$G$1668,"&gt;"&amp;$G950)+COUNTIFS($B$4:$B949,$B950,$G$4:$G949,$G950)+1)</f>
        <v/>
      </c>
      <c r="I950" s="11">
        <f>IF($G950="","",IF($H950&lt;=Points!$H$6,$G950,0))</f>
        <v/>
      </c>
      <c r="J950" s="11">
        <f>IF($B950="","",IF(COUNTIF(Players!$A$2:$A$500,$B950)=0,"Player is not on the Players tab",IF(NOT(ISNUMBER($C950)),"Enter a gross score",IF(COUNTIFS($A$5:$A$1668,$A950,$B$5:$B$1668,$B950)&gt;1,"Player is listed twice this week",IF(AND($D950&lt;&gt;"",COUNTIFS($A$5:$A$1668,$A950,$D$5:$D$1668,$D950)&gt;1),"Two players picked as "&amp;$D950,IF(COUNTIFS($A$5:$A$1668,$A950,$D$5:$D$1668,"Gross winner")=0,"Pick this week's gross winner",IF(COUNTIFS($A$5:$A$1668,$A950,$D$5:$D$1668,"Net winner")=0,"Pick this week's net winner","OK")))))))</f>
        <v/>
      </c>
    </row>
    <row r="951" outlineLevel="1">
      <c r="A951" s="13" t="n">
        <v>46596</v>
      </c>
      <c r="E951" s="11">
        <f>IF(OR($B951="",NOT(ISNUMBER($C951))),"",COUNTIFS($A$5:$A$1668,$A951,$C$5:$C$1668,"&lt;"&amp;$C951)+1)</f>
        <v/>
      </c>
      <c r="F951" s="11">
        <f>IF(OR($B951="",NOT(ISNUMBER($C951))),"",COUNTIFS($A$5:$A$1668,$A951,$C$5:$C$1668,"&gt;0"))</f>
        <v/>
      </c>
      <c r="G951" s="11">
        <f>IF(OR($B951="",NOT(ISNUMBER($C951))),"",IF($D951&lt;&gt;"",ROUND(Points!$B$6*IF($F951&lt;Points!$H$4,Points!$H$5,1),0),ROUND(Points!$B$6*IF($F951&lt;=1,1,Points!$H$7+(1-Points!$H$7)*((($F951-$E951)*(($F951-$E951)+1)/2)^2-((($F951-$E951-COUNTIFS($A$5:$A$1668,$A951,$C$5:$C$1668,$C951)+1)-1)*($F951-$E951-COUNTIFS($A$5:$A$1668,$A951,$C$5:$C$1668,$C951)+1)/2)^2)/(COUNTIFS($A$5:$A$1668,$A951,$C$5:$C$1668,$C951)*($F951-1)^3))*IF($F951&lt;Points!$H$4,Points!$H$5,1),0)))</f>
        <v/>
      </c>
      <c r="H951" s="11">
        <f>IF($G951="","",COUNTIFS($B$5:$B$1668,$B951,$G$5:$G$1668,"&gt;"&amp;$G951)+COUNTIFS($B$4:$B950,$B951,$G$4:$G950,$G951)+1)</f>
        <v/>
      </c>
      <c r="I951" s="11">
        <f>IF($G951="","",IF($H951&lt;=Points!$H$6,$G951,0))</f>
        <v/>
      </c>
      <c r="J951" s="11">
        <f>IF($B951="","",IF(COUNTIF(Players!$A$2:$A$500,$B951)=0,"Player is not on the Players tab",IF(NOT(ISNUMBER($C951)),"Enter a gross score",IF(COUNTIFS($A$5:$A$1668,$A951,$B$5:$B$1668,$B951)&gt;1,"Player is listed twice this week",IF(AND($D951&lt;&gt;"",COUNTIFS($A$5:$A$1668,$A951,$D$5:$D$1668,$D951)&gt;1),"Two players picked as "&amp;$D951,IF(COUNTIFS($A$5:$A$1668,$A951,$D$5:$D$1668,"Gross winner")=0,"Pick this week's gross winner",IF(COUNTIFS($A$5:$A$1668,$A951,$D$5:$D$1668,"Net winner")=0,"Pick this week's net winner","OK")))))))</f>
        <v/>
      </c>
    </row>
    <row r="952" outlineLevel="1">
      <c r="A952" s="13" t="n">
        <v>46596</v>
      </c>
      <c r="E952" s="11">
        <f>IF(OR($B952="",NOT(ISNUMBER($C952))),"",COUNTIFS($A$5:$A$1668,$A952,$C$5:$C$1668,"&lt;"&amp;$C952)+1)</f>
        <v/>
      </c>
      <c r="F952" s="11">
        <f>IF(OR($B952="",NOT(ISNUMBER($C952))),"",COUNTIFS($A$5:$A$1668,$A952,$C$5:$C$1668,"&gt;0"))</f>
        <v/>
      </c>
      <c r="G952" s="11">
        <f>IF(OR($B952="",NOT(ISNUMBER($C952))),"",IF($D952&lt;&gt;"",ROUND(Points!$B$6*IF($F952&lt;Points!$H$4,Points!$H$5,1),0),ROUND(Points!$B$6*IF($F952&lt;=1,1,Points!$H$7+(1-Points!$H$7)*((($F952-$E952)*(($F952-$E952)+1)/2)^2-((($F952-$E952-COUNTIFS($A$5:$A$1668,$A952,$C$5:$C$1668,$C952)+1)-1)*($F952-$E952-COUNTIFS($A$5:$A$1668,$A952,$C$5:$C$1668,$C952)+1)/2)^2)/(COUNTIFS($A$5:$A$1668,$A952,$C$5:$C$1668,$C952)*($F952-1)^3))*IF($F952&lt;Points!$H$4,Points!$H$5,1),0)))</f>
        <v/>
      </c>
      <c r="H952" s="11">
        <f>IF($G952="","",COUNTIFS($B$5:$B$1668,$B952,$G$5:$G$1668,"&gt;"&amp;$G952)+COUNTIFS($B$4:$B951,$B952,$G$4:$G951,$G952)+1)</f>
        <v/>
      </c>
      <c r="I952" s="11">
        <f>IF($G952="","",IF($H952&lt;=Points!$H$6,$G952,0))</f>
        <v/>
      </c>
      <c r="J952" s="11">
        <f>IF($B952="","",IF(COUNTIF(Players!$A$2:$A$500,$B952)=0,"Player is not on the Players tab",IF(NOT(ISNUMBER($C952)),"Enter a gross score",IF(COUNTIFS($A$5:$A$1668,$A952,$B$5:$B$1668,$B952)&gt;1,"Player is listed twice this week",IF(AND($D952&lt;&gt;"",COUNTIFS($A$5:$A$1668,$A952,$D$5:$D$1668,$D952)&gt;1),"Two players picked as "&amp;$D952,IF(COUNTIFS($A$5:$A$1668,$A952,$D$5:$D$1668,"Gross winner")=0,"Pick this week's gross winner",IF(COUNTIFS($A$5:$A$1668,$A952,$D$5:$D$1668,"Net winner")=0,"Pick this week's net winner","OK")))))))</f>
        <v/>
      </c>
    </row>
    <row r="953" outlineLevel="1">
      <c r="A953" s="13" t="n">
        <v>46596</v>
      </c>
      <c r="E953" s="11">
        <f>IF(OR($B953="",NOT(ISNUMBER($C953))),"",COUNTIFS($A$5:$A$1668,$A953,$C$5:$C$1668,"&lt;"&amp;$C953)+1)</f>
        <v/>
      </c>
      <c r="F953" s="11">
        <f>IF(OR($B953="",NOT(ISNUMBER($C953))),"",COUNTIFS($A$5:$A$1668,$A953,$C$5:$C$1668,"&gt;0"))</f>
        <v/>
      </c>
      <c r="G953" s="11">
        <f>IF(OR($B953="",NOT(ISNUMBER($C953))),"",IF($D953&lt;&gt;"",ROUND(Points!$B$6*IF($F953&lt;Points!$H$4,Points!$H$5,1),0),ROUND(Points!$B$6*IF($F953&lt;=1,1,Points!$H$7+(1-Points!$H$7)*((($F953-$E953)*(($F953-$E953)+1)/2)^2-((($F953-$E953-COUNTIFS($A$5:$A$1668,$A953,$C$5:$C$1668,$C953)+1)-1)*($F953-$E953-COUNTIFS($A$5:$A$1668,$A953,$C$5:$C$1668,$C953)+1)/2)^2)/(COUNTIFS($A$5:$A$1668,$A953,$C$5:$C$1668,$C953)*($F953-1)^3))*IF($F953&lt;Points!$H$4,Points!$H$5,1),0)))</f>
        <v/>
      </c>
      <c r="H953" s="11">
        <f>IF($G953="","",COUNTIFS($B$5:$B$1668,$B953,$G$5:$G$1668,"&gt;"&amp;$G953)+COUNTIFS($B$4:$B952,$B953,$G$4:$G952,$G953)+1)</f>
        <v/>
      </c>
      <c r="I953" s="11">
        <f>IF($G953="","",IF($H953&lt;=Points!$H$6,$G953,0))</f>
        <v/>
      </c>
      <c r="J953" s="11">
        <f>IF($B953="","",IF(COUNTIF(Players!$A$2:$A$500,$B953)=0,"Player is not on the Players tab",IF(NOT(ISNUMBER($C953)),"Enter a gross score",IF(COUNTIFS($A$5:$A$1668,$A953,$B$5:$B$1668,$B953)&gt;1,"Player is listed twice this week",IF(AND($D953&lt;&gt;"",COUNTIFS($A$5:$A$1668,$A953,$D$5:$D$1668,$D953)&gt;1),"Two players picked as "&amp;$D953,IF(COUNTIFS($A$5:$A$1668,$A953,$D$5:$D$1668,"Gross winner")=0,"Pick this week's gross winner",IF(COUNTIFS($A$5:$A$1668,$A953,$D$5:$D$1668,"Net winner")=0,"Pick this week's net winner","OK")))))))</f>
        <v/>
      </c>
    </row>
    <row r="954" outlineLevel="1">
      <c r="A954" s="13" t="n">
        <v>46596</v>
      </c>
      <c r="E954" s="11">
        <f>IF(OR($B954="",NOT(ISNUMBER($C954))),"",COUNTIFS($A$5:$A$1668,$A954,$C$5:$C$1668,"&lt;"&amp;$C954)+1)</f>
        <v/>
      </c>
      <c r="F954" s="11">
        <f>IF(OR($B954="",NOT(ISNUMBER($C954))),"",COUNTIFS($A$5:$A$1668,$A954,$C$5:$C$1668,"&gt;0"))</f>
        <v/>
      </c>
      <c r="G954" s="11">
        <f>IF(OR($B954="",NOT(ISNUMBER($C954))),"",IF($D954&lt;&gt;"",ROUND(Points!$B$6*IF($F954&lt;Points!$H$4,Points!$H$5,1),0),ROUND(Points!$B$6*IF($F954&lt;=1,1,Points!$H$7+(1-Points!$H$7)*((($F954-$E954)*(($F954-$E954)+1)/2)^2-((($F954-$E954-COUNTIFS($A$5:$A$1668,$A954,$C$5:$C$1668,$C954)+1)-1)*($F954-$E954-COUNTIFS($A$5:$A$1668,$A954,$C$5:$C$1668,$C954)+1)/2)^2)/(COUNTIFS($A$5:$A$1668,$A954,$C$5:$C$1668,$C954)*($F954-1)^3))*IF($F954&lt;Points!$H$4,Points!$H$5,1),0)))</f>
        <v/>
      </c>
      <c r="H954" s="11">
        <f>IF($G954="","",COUNTIFS($B$5:$B$1668,$B954,$G$5:$G$1668,"&gt;"&amp;$G954)+COUNTIFS($B$4:$B953,$B954,$G$4:$G953,$G954)+1)</f>
        <v/>
      </c>
      <c r="I954" s="11">
        <f>IF($G954="","",IF($H954&lt;=Points!$H$6,$G954,0))</f>
        <v/>
      </c>
      <c r="J954" s="11">
        <f>IF($B954="","",IF(COUNTIF(Players!$A$2:$A$500,$B954)=0,"Player is not on the Players tab",IF(NOT(ISNUMBER($C954)),"Enter a gross score",IF(COUNTIFS($A$5:$A$1668,$A954,$B$5:$B$1668,$B954)&gt;1,"Player is listed twice this week",IF(AND($D954&lt;&gt;"",COUNTIFS($A$5:$A$1668,$A954,$D$5:$D$1668,$D954)&gt;1),"Two players picked as "&amp;$D954,IF(COUNTIFS($A$5:$A$1668,$A954,$D$5:$D$1668,"Gross winner")=0,"Pick this week's gross winner",IF(COUNTIFS($A$5:$A$1668,$A954,$D$5:$D$1668,"Net winner")=0,"Pick this week's net winner","OK")))))))</f>
        <v/>
      </c>
    </row>
    <row r="955" outlineLevel="1">
      <c r="A955" s="13" t="n">
        <v>46596</v>
      </c>
      <c r="E955" s="11">
        <f>IF(OR($B955="",NOT(ISNUMBER($C955))),"",COUNTIFS($A$5:$A$1668,$A955,$C$5:$C$1668,"&lt;"&amp;$C955)+1)</f>
        <v/>
      </c>
      <c r="F955" s="11">
        <f>IF(OR($B955="",NOT(ISNUMBER($C955))),"",COUNTIFS($A$5:$A$1668,$A955,$C$5:$C$1668,"&gt;0"))</f>
        <v/>
      </c>
      <c r="G955" s="11">
        <f>IF(OR($B955="",NOT(ISNUMBER($C955))),"",IF($D955&lt;&gt;"",ROUND(Points!$B$6*IF($F955&lt;Points!$H$4,Points!$H$5,1),0),ROUND(Points!$B$6*IF($F955&lt;=1,1,Points!$H$7+(1-Points!$H$7)*((($F955-$E955)*(($F955-$E955)+1)/2)^2-((($F955-$E955-COUNTIFS($A$5:$A$1668,$A955,$C$5:$C$1668,$C955)+1)-1)*($F955-$E955-COUNTIFS($A$5:$A$1668,$A955,$C$5:$C$1668,$C955)+1)/2)^2)/(COUNTIFS($A$5:$A$1668,$A955,$C$5:$C$1668,$C955)*($F955-1)^3))*IF($F955&lt;Points!$H$4,Points!$H$5,1),0)))</f>
        <v/>
      </c>
      <c r="H955" s="11">
        <f>IF($G955="","",COUNTIFS($B$5:$B$1668,$B955,$G$5:$G$1668,"&gt;"&amp;$G955)+COUNTIFS($B$4:$B954,$B955,$G$4:$G954,$G955)+1)</f>
        <v/>
      </c>
      <c r="I955" s="11">
        <f>IF($G955="","",IF($H955&lt;=Points!$H$6,$G955,0))</f>
        <v/>
      </c>
      <c r="J955" s="11">
        <f>IF($B955="","",IF(COUNTIF(Players!$A$2:$A$500,$B955)=0,"Player is not on the Players tab",IF(NOT(ISNUMBER($C955)),"Enter a gross score",IF(COUNTIFS($A$5:$A$1668,$A955,$B$5:$B$1668,$B955)&gt;1,"Player is listed twice this week",IF(AND($D955&lt;&gt;"",COUNTIFS($A$5:$A$1668,$A955,$D$5:$D$1668,$D955)&gt;1),"Two players picked as "&amp;$D955,IF(COUNTIFS($A$5:$A$1668,$A955,$D$5:$D$1668,"Gross winner")=0,"Pick this week's gross winner",IF(COUNTIFS($A$5:$A$1668,$A955,$D$5:$D$1668,"Net winner")=0,"Pick this week's net winner","OK")))))))</f>
        <v/>
      </c>
    </row>
    <row r="956" outlineLevel="1">
      <c r="A956" s="13" t="n">
        <v>46596</v>
      </c>
      <c r="E956" s="11">
        <f>IF(OR($B956="",NOT(ISNUMBER($C956))),"",COUNTIFS($A$5:$A$1668,$A956,$C$5:$C$1668,"&lt;"&amp;$C956)+1)</f>
        <v/>
      </c>
      <c r="F956" s="11">
        <f>IF(OR($B956="",NOT(ISNUMBER($C956))),"",COUNTIFS($A$5:$A$1668,$A956,$C$5:$C$1668,"&gt;0"))</f>
        <v/>
      </c>
      <c r="G956" s="11">
        <f>IF(OR($B956="",NOT(ISNUMBER($C956))),"",IF($D956&lt;&gt;"",ROUND(Points!$B$6*IF($F956&lt;Points!$H$4,Points!$H$5,1),0),ROUND(Points!$B$6*IF($F956&lt;=1,1,Points!$H$7+(1-Points!$H$7)*((($F956-$E956)*(($F956-$E956)+1)/2)^2-((($F956-$E956-COUNTIFS($A$5:$A$1668,$A956,$C$5:$C$1668,$C956)+1)-1)*($F956-$E956-COUNTIFS($A$5:$A$1668,$A956,$C$5:$C$1668,$C956)+1)/2)^2)/(COUNTIFS($A$5:$A$1668,$A956,$C$5:$C$1668,$C956)*($F956-1)^3))*IF($F956&lt;Points!$H$4,Points!$H$5,1),0)))</f>
        <v/>
      </c>
      <c r="H956" s="11">
        <f>IF($G956="","",COUNTIFS($B$5:$B$1668,$B956,$G$5:$G$1668,"&gt;"&amp;$G956)+COUNTIFS($B$4:$B955,$B956,$G$4:$G955,$G956)+1)</f>
        <v/>
      </c>
      <c r="I956" s="11">
        <f>IF($G956="","",IF($H956&lt;=Points!$H$6,$G956,0))</f>
        <v/>
      </c>
      <c r="J956" s="11">
        <f>IF($B956="","",IF(COUNTIF(Players!$A$2:$A$500,$B956)=0,"Player is not on the Players tab",IF(NOT(ISNUMBER($C956)),"Enter a gross score",IF(COUNTIFS($A$5:$A$1668,$A956,$B$5:$B$1668,$B956)&gt;1,"Player is listed twice this week",IF(AND($D956&lt;&gt;"",COUNTIFS($A$5:$A$1668,$A956,$D$5:$D$1668,$D956)&gt;1),"Two players picked as "&amp;$D956,IF(COUNTIFS($A$5:$A$1668,$A956,$D$5:$D$1668,"Gross winner")=0,"Pick this week's gross winner",IF(COUNTIFS($A$5:$A$1668,$A956,$D$5:$D$1668,"Net winner")=0,"Pick this week's net winner","OK")))))))</f>
        <v/>
      </c>
    </row>
    <row r="957" outlineLevel="1">
      <c r="A957" s="13" t="n">
        <v>46596</v>
      </c>
      <c r="E957" s="11">
        <f>IF(OR($B957="",NOT(ISNUMBER($C957))),"",COUNTIFS($A$5:$A$1668,$A957,$C$5:$C$1668,"&lt;"&amp;$C957)+1)</f>
        <v/>
      </c>
      <c r="F957" s="11">
        <f>IF(OR($B957="",NOT(ISNUMBER($C957))),"",COUNTIFS($A$5:$A$1668,$A957,$C$5:$C$1668,"&gt;0"))</f>
        <v/>
      </c>
      <c r="G957" s="11">
        <f>IF(OR($B957="",NOT(ISNUMBER($C957))),"",IF($D957&lt;&gt;"",ROUND(Points!$B$6*IF($F957&lt;Points!$H$4,Points!$H$5,1),0),ROUND(Points!$B$6*IF($F957&lt;=1,1,Points!$H$7+(1-Points!$H$7)*((($F957-$E957)*(($F957-$E957)+1)/2)^2-((($F957-$E957-COUNTIFS($A$5:$A$1668,$A957,$C$5:$C$1668,$C957)+1)-1)*($F957-$E957-COUNTIFS($A$5:$A$1668,$A957,$C$5:$C$1668,$C957)+1)/2)^2)/(COUNTIFS($A$5:$A$1668,$A957,$C$5:$C$1668,$C957)*($F957-1)^3))*IF($F957&lt;Points!$H$4,Points!$H$5,1),0)))</f>
        <v/>
      </c>
      <c r="H957" s="11">
        <f>IF($G957="","",COUNTIFS($B$5:$B$1668,$B957,$G$5:$G$1668,"&gt;"&amp;$G957)+COUNTIFS($B$4:$B956,$B957,$G$4:$G956,$G957)+1)</f>
        <v/>
      </c>
      <c r="I957" s="11">
        <f>IF($G957="","",IF($H957&lt;=Points!$H$6,$G957,0))</f>
        <v/>
      </c>
      <c r="J957" s="11">
        <f>IF($B957="","",IF(COUNTIF(Players!$A$2:$A$500,$B957)=0,"Player is not on the Players tab",IF(NOT(ISNUMBER($C957)),"Enter a gross score",IF(COUNTIFS($A$5:$A$1668,$A957,$B$5:$B$1668,$B957)&gt;1,"Player is listed twice this week",IF(AND($D957&lt;&gt;"",COUNTIFS($A$5:$A$1668,$A957,$D$5:$D$1668,$D957)&gt;1),"Two players picked as "&amp;$D957,IF(COUNTIFS($A$5:$A$1668,$A957,$D$5:$D$1668,"Gross winner")=0,"Pick this week's gross winner",IF(COUNTIFS($A$5:$A$1668,$A957,$D$5:$D$1668,"Net winner")=0,"Pick this week's net winner","OK")))))))</f>
        <v/>
      </c>
    </row>
    <row r="958" outlineLevel="1">
      <c r="A958" s="13" t="n">
        <v>46596</v>
      </c>
      <c r="E958" s="11">
        <f>IF(OR($B958="",NOT(ISNUMBER($C958))),"",COUNTIFS($A$5:$A$1668,$A958,$C$5:$C$1668,"&lt;"&amp;$C958)+1)</f>
        <v/>
      </c>
      <c r="F958" s="11">
        <f>IF(OR($B958="",NOT(ISNUMBER($C958))),"",COUNTIFS($A$5:$A$1668,$A958,$C$5:$C$1668,"&gt;0"))</f>
        <v/>
      </c>
      <c r="G958" s="11">
        <f>IF(OR($B958="",NOT(ISNUMBER($C958))),"",IF($D958&lt;&gt;"",ROUND(Points!$B$6*IF($F958&lt;Points!$H$4,Points!$H$5,1),0),ROUND(Points!$B$6*IF($F958&lt;=1,1,Points!$H$7+(1-Points!$H$7)*((($F958-$E958)*(($F958-$E958)+1)/2)^2-((($F958-$E958-COUNTIFS($A$5:$A$1668,$A958,$C$5:$C$1668,$C958)+1)-1)*($F958-$E958-COUNTIFS($A$5:$A$1668,$A958,$C$5:$C$1668,$C958)+1)/2)^2)/(COUNTIFS($A$5:$A$1668,$A958,$C$5:$C$1668,$C958)*($F958-1)^3))*IF($F958&lt;Points!$H$4,Points!$H$5,1),0)))</f>
        <v/>
      </c>
      <c r="H958" s="11">
        <f>IF($G958="","",COUNTIFS($B$5:$B$1668,$B958,$G$5:$G$1668,"&gt;"&amp;$G958)+COUNTIFS($B$4:$B957,$B958,$G$4:$G957,$G958)+1)</f>
        <v/>
      </c>
      <c r="I958" s="11">
        <f>IF($G958="","",IF($H958&lt;=Points!$H$6,$G958,0))</f>
        <v/>
      </c>
      <c r="J958" s="11">
        <f>IF($B958="","",IF(COUNTIF(Players!$A$2:$A$500,$B958)=0,"Player is not on the Players tab",IF(NOT(ISNUMBER($C958)),"Enter a gross score",IF(COUNTIFS($A$5:$A$1668,$A958,$B$5:$B$1668,$B958)&gt;1,"Player is listed twice this week",IF(AND($D958&lt;&gt;"",COUNTIFS($A$5:$A$1668,$A958,$D$5:$D$1668,$D958)&gt;1),"Two players picked as "&amp;$D958,IF(COUNTIFS($A$5:$A$1668,$A958,$D$5:$D$1668,"Gross winner")=0,"Pick this week's gross winner",IF(COUNTIFS($A$5:$A$1668,$A958,$D$5:$D$1668,"Net winner")=0,"Pick this week's net winner","OK")))))))</f>
        <v/>
      </c>
    </row>
    <row r="959" outlineLevel="1">
      <c r="A959" s="13" t="n">
        <v>46596</v>
      </c>
      <c r="E959" s="11">
        <f>IF(OR($B959="",NOT(ISNUMBER($C959))),"",COUNTIFS($A$5:$A$1668,$A959,$C$5:$C$1668,"&lt;"&amp;$C959)+1)</f>
        <v/>
      </c>
      <c r="F959" s="11">
        <f>IF(OR($B959="",NOT(ISNUMBER($C959))),"",COUNTIFS($A$5:$A$1668,$A959,$C$5:$C$1668,"&gt;0"))</f>
        <v/>
      </c>
      <c r="G959" s="11">
        <f>IF(OR($B959="",NOT(ISNUMBER($C959))),"",IF($D959&lt;&gt;"",ROUND(Points!$B$6*IF($F959&lt;Points!$H$4,Points!$H$5,1),0),ROUND(Points!$B$6*IF($F959&lt;=1,1,Points!$H$7+(1-Points!$H$7)*((($F959-$E959)*(($F959-$E959)+1)/2)^2-((($F959-$E959-COUNTIFS($A$5:$A$1668,$A959,$C$5:$C$1668,$C959)+1)-1)*($F959-$E959-COUNTIFS($A$5:$A$1668,$A959,$C$5:$C$1668,$C959)+1)/2)^2)/(COUNTIFS($A$5:$A$1668,$A959,$C$5:$C$1668,$C959)*($F959-1)^3))*IF($F959&lt;Points!$H$4,Points!$H$5,1),0)))</f>
        <v/>
      </c>
      <c r="H959" s="11">
        <f>IF($G959="","",COUNTIFS($B$5:$B$1668,$B959,$G$5:$G$1668,"&gt;"&amp;$G959)+COUNTIFS($B$4:$B958,$B959,$G$4:$G958,$G959)+1)</f>
        <v/>
      </c>
      <c r="I959" s="11">
        <f>IF($G959="","",IF($H959&lt;=Points!$H$6,$G959,0))</f>
        <v/>
      </c>
      <c r="J959" s="11">
        <f>IF($B959="","",IF(COUNTIF(Players!$A$2:$A$500,$B959)=0,"Player is not on the Players tab",IF(NOT(ISNUMBER($C959)),"Enter a gross score",IF(COUNTIFS($A$5:$A$1668,$A959,$B$5:$B$1668,$B959)&gt;1,"Player is listed twice this week",IF(AND($D959&lt;&gt;"",COUNTIFS($A$5:$A$1668,$A959,$D$5:$D$1668,$D959)&gt;1),"Two players picked as "&amp;$D959,IF(COUNTIFS($A$5:$A$1668,$A959,$D$5:$D$1668,"Gross winner")=0,"Pick this week's gross winner",IF(COUNTIFS($A$5:$A$1668,$A959,$D$5:$D$1668,"Net winner")=0,"Pick this week's net winner","OK")))))))</f>
        <v/>
      </c>
    </row>
    <row r="960" outlineLevel="1">
      <c r="A960" s="13" t="n">
        <v>46596</v>
      </c>
      <c r="E960" s="11">
        <f>IF(OR($B960="",NOT(ISNUMBER($C960))),"",COUNTIFS($A$5:$A$1668,$A960,$C$5:$C$1668,"&lt;"&amp;$C960)+1)</f>
        <v/>
      </c>
      <c r="F960" s="11">
        <f>IF(OR($B960="",NOT(ISNUMBER($C960))),"",COUNTIFS($A$5:$A$1668,$A960,$C$5:$C$1668,"&gt;0"))</f>
        <v/>
      </c>
      <c r="G960" s="11">
        <f>IF(OR($B960="",NOT(ISNUMBER($C960))),"",IF($D960&lt;&gt;"",ROUND(Points!$B$6*IF($F960&lt;Points!$H$4,Points!$H$5,1),0),ROUND(Points!$B$6*IF($F960&lt;=1,1,Points!$H$7+(1-Points!$H$7)*((($F960-$E960)*(($F960-$E960)+1)/2)^2-((($F960-$E960-COUNTIFS($A$5:$A$1668,$A960,$C$5:$C$1668,$C960)+1)-1)*($F960-$E960-COUNTIFS($A$5:$A$1668,$A960,$C$5:$C$1668,$C960)+1)/2)^2)/(COUNTIFS($A$5:$A$1668,$A960,$C$5:$C$1668,$C960)*($F960-1)^3))*IF($F960&lt;Points!$H$4,Points!$H$5,1),0)))</f>
        <v/>
      </c>
      <c r="H960" s="11">
        <f>IF($G960="","",COUNTIFS($B$5:$B$1668,$B960,$G$5:$G$1668,"&gt;"&amp;$G960)+COUNTIFS($B$4:$B959,$B960,$G$4:$G959,$G960)+1)</f>
        <v/>
      </c>
      <c r="I960" s="11">
        <f>IF($G960="","",IF($H960&lt;=Points!$H$6,$G960,0))</f>
        <v/>
      </c>
      <c r="J960" s="11">
        <f>IF($B960="","",IF(COUNTIF(Players!$A$2:$A$500,$B960)=0,"Player is not on the Players tab",IF(NOT(ISNUMBER($C960)),"Enter a gross score",IF(COUNTIFS($A$5:$A$1668,$A960,$B$5:$B$1668,$B960)&gt;1,"Player is listed twice this week",IF(AND($D960&lt;&gt;"",COUNTIFS($A$5:$A$1668,$A960,$D$5:$D$1668,$D960)&gt;1),"Two players picked as "&amp;$D960,IF(COUNTIFS($A$5:$A$1668,$A960,$D$5:$D$1668,"Gross winner")=0,"Pick this week's gross winner",IF(COUNTIFS($A$5:$A$1668,$A960,$D$5:$D$1668,"Net winner")=0,"Pick this week's net winner","OK")))))))</f>
        <v/>
      </c>
    </row>
    <row r="961" outlineLevel="1">
      <c r="A961" s="13" t="n">
        <v>46596</v>
      </c>
      <c r="E961" s="11">
        <f>IF(OR($B961="",NOT(ISNUMBER($C961))),"",COUNTIFS($A$5:$A$1668,$A961,$C$5:$C$1668,"&lt;"&amp;$C961)+1)</f>
        <v/>
      </c>
      <c r="F961" s="11">
        <f>IF(OR($B961="",NOT(ISNUMBER($C961))),"",COUNTIFS($A$5:$A$1668,$A961,$C$5:$C$1668,"&gt;0"))</f>
        <v/>
      </c>
      <c r="G961" s="11">
        <f>IF(OR($B961="",NOT(ISNUMBER($C961))),"",IF($D961&lt;&gt;"",ROUND(Points!$B$6*IF($F961&lt;Points!$H$4,Points!$H$5,1),0),ROUND(Points!$B$6*IF($F961&lt;=1,1,Points!$H$7+(1-Points!$H$7)*((($F961-$E961)*(($F961-$E961)+1)/2)^2-((($F961-$E961-COUNTIFS($A$5:$A$1668,$A961,$C$5:$C$1668,$C961)+1)-1)*($F961-$E961-COUNTIFS($A$5:$A$1668,$A961,$C$5:$C$1668,$C961)+1)/2)^2)/(COUNTIFS($A$5:$A$1668,$A961,$C$5:$C$1668,$C961)*($F961-1)^3))*IF($F961&lt;Points!$H$4,Points!$H$5,1),0)))</f>
        <v/>
      </c>
      <c r="H961" s="11">
        <f>IF($G961="","",COUNTIFS($B$5:$B$1668,$B961,$G$5:$G$1668,"&gt;"&amp;$G961)+COUNTIFS($B$4:$B960,$B961,$G$4:$G960,$G961)+1)</f>
        <v/>
      </c>
      <c r="I961" s="11">
        <f>IF($G961="","",IF($H961&lt;=Points!$H$6,$G961,0))</f>
        <v/>
      </c>
      <c r="J961" s="11">
        <f>IF($B961="","",IF(COUNTIF(Players!$A$2:$A$500,$B961)=0,"Player is not on the Players tab",IF(NOT(ISNUMBER($C961)),"Enter a gross score",IF(COUNTIFS($A$5:$A$1668,$A961,$B$5:$B$1668,$B961)&gt;1,"Player is listed twice this week",IF(AND($D961&lt;&gt;"",COUNTIFS($A$5:$A$1668,$A961,$D$5:$D$1668,$D961)&gt;1),"Two players picked as "&amp;$D961,IF(COUNTIFS($A$5:$A$1668,$A961,$D$5:$D$1668,"Gross winner")=0,"Pick this week's gross winner",IF(COUNTIFS($A$5:$A$1668,$A961,$D$5:$D$1668,"Net winner")=0,"Pick this week's net winner","OK")))))))</f>
        <v/>
      </c>
    </row>
    <row r="962" outlineLevel="1">
      <c r="A962" s="13" t="n">
        <v>46596</v>
      </c>
      <c r="E962" s="11">
        <f>IF(OR($B962="",NOT(ISNUMBER($C962))),"",COUNTIFS($A$5:$A$1668,$A962,$C$5:$C$1668,"&lt;"&amp;$C962)+1)</f>
        <v/>
      </c>
      <c r="F962" s="11">
        <f>IF(OR($B962="",NOT(ISNUMBER($C962))),"",COUNTIFS($A$5:$A$1668,$A962,$C$5:$C$1668,"&gt;0"))</f>
        <v/>
      </c>
      <c r="G962" s="11">
        <f>IF(OR($B962="",NOT(ISNUMBER($C962))),"",IF($D962&lt;&gt;"",ROUND(Points!$B$6*IF($F962&lt;Points!$H$4,Points!$H$5,1),0),ROUND(Points!$B$6*IF($F962&lt;=1,1,Points!$H$7+(1-Points!$H$7)*((($F962-$E962)*(($F962-$E962)+1)/2)^2-((($F962-$E962-COUNTIFS($A$5:$A$1668,$A962,$C$5:$C$1668,$C962)+1)-1)*($F962-$E962-COUNTIFS($A$5:$A$1668,$A962,$C$5:$C$1668,$C962)+1)/2)^2)/(COUNTIFS($A$5:$A$1668,$A962,$C$5:$C$1668,$C962)*($F962-1)^3))*IF($F962&lt;Points!$H$4,Points!$H$5,1),0)))</f>
        <v/>
      </c>
      <c r="H962" s="11">
        <f>IF($G962="","",COUNTIFS($B$5:$B$1668,$B962,$G$5:$G$1668,"&gt;"&amp;$G962)+COUNTIFS($B$4:$B961,$B962,$G$4:$G961,$G962)+1)</f>
        <v/>
      </c>
      <c r="I962" s="11">
        <f>IF($G962="","",IF($H962&lt;=Points!$H$6,$G962,0))</f>
        <v/>
      </c>
      <c r="J962" s="11">
        <f>IF($B962="","",IF(COUNTIF(Players!$A$2:$A$500,$B962)=0,"Player is not on the Players tab",IF(NOT(ISNUMBER($C962)),"Enter a gross score",IF(COUNTIFS($A$5:$A$1668,$A962,$B$5:$B$1668,$B962)&gt;1,"Player is listed twice this week",IF(AND($D962&lt;&gt;"",COUNTIFS($A$5:$A$1668,$A962,$D$5:$D$1668,$D962)&gt;1),"Two players picked as "&amp;$D962,IF(COUNTIFS($A$5:$A$1668,$A962,$D$5:$D$1668,"Gross winner")=0,"Pick this week's gross winner",IF(COUNTIFS($A$5:$A$1668,$A962,$D$5:$D$1668,"Net winner")=0,"Pick this week's net winner","OK")))))))</f>
        <v/>
      </c>
    </row>
    <row r="963" outlineLevel="1">
      <c r="A963" s="13" t="n">
        <v>46596</v>
      </c>
      <c r="E963" s="11">
        <f>IF(OR($B963="",NOT(ISNUMBER($C963))),"",COUNTIFS($A$5:$A$1668,$A963,$C$5:$C$1668,"&lt;"&amp;$C963)+1)</f>
        <v/>
      </c>
      <c r="F963" s="11">
        <f>IF(OR($B963="",NOT(ISNUMBER($C963))),"",COUNTIFS($A$5:$A$1668,$A963,$C$5:$C$1668,"&gt;0"))</f>
        <v/>
      </c>
      <c r="G963" s="11">
        <f>IF(OR($B963="",NOT(ISNUMBER($C963))),"",IF($D963&lt;&gt;"",ROUND(Points!$B$6*IF($F963&lt;Points!$H$4,Points!$H$5,1),0),ROUND(Points!$B$6*IF($F963&lt;=1,1,Points!$H$7+(1-Points!$H$7)*((($F963-$E963)*(($F963-$E963)+1)/2)^2-((($F963-$E963-COUNTIFS($A$5:$A$1668,$A963,$C$5:$C$1668,$C963)+1)-1)*($F963-$E963-COUNTIFS($A$5:$A$1668,$A963,$C$5:$C$1668,$C963)+1)/2)^2)/(COUNTIFS($A$5:$A$1668,$A963,$C$5:$C$1668,$C963)*($F963-1)^3))*IF($F963&lt;Points!$H$4,Points!$H$5,1),0)))</f>
        <v/>
      </c>
      <c r="H963" s="11">
        <f>IF($G963="","",COUNTIFS($B$5:$B$1668,$B963,$G$5:$G$1668,"&gt;"&amp;$G963)+COUNTIFS($B$4:$B962,$B963,$G$4:$G962,$G963)+1)</f>
        <v/>
      </c>
      <c r="I963" s="11">
        <f>IF($G963="","",IF($H963&lt;=Points!$H$6,$G963,0))</f>
        <v/>
      </c>
      <c r="J963" s="11">
        <f>IF($B963="","",IF(COUNTIF(Players!$A$2:$A$500,$B963)=0,"Player is not on the Players tab",IF(NOT(ISNUMBER($C963)),"Enter a gross score",IF(COUNTIFS($A$5:$A$1668,$A963,$B$5:$B$1668,$B963)&gt;1,"Player is listed twice this week",IF(AND($D963&lt;&gt;"",COUNTIFS($A$5:$A$1668,$A963,$D$5:$D$1668,$D963)&gt;1),"Two players picked as "&amp;$D963,IF(COUNTIFS($A$5:$A$1668,$A963,$D$5:$D$1668,"Gross winner")=0,"Pick this week's gross winner",IF(COUNTIFS($A$5:$A$1668,$A963,$D$5:$D$1668,"Net winner")=0,"Pick this week's net winner","OK")))))))</f>
        <v/>
      </c>
    </row>
    <row r="964" ht="10" customHeight="1"/>
    <row r="965" ht="22" customHeight="1">
      <c r="A965" s="12" t="inlineStr">
        <is>
          <t>Week 31  ·  Wednesday, Aug 4</t>
        </is>
      </c>
    </row>
    <row r="966" outlineLevel="1">
      <c r="A966" s="13" t="n">
        <v>46603</v>
      </c>
      <c r="E966" s="11">
        <f>IF(OR($B966="",NOT(ISNUMBER($C966))),"",COUNTIFS($A$5:$A$1668,$A966,$C$5:$C$1668,"&lt;"&amp;$C966)+1)</f>
        <v/>
      </c>
      <c r="F966" s="11">
        <f>IF(OR($B966="",NOT(ISNUMBER($C966))),"",COUNTIFS($A$5:$A$1668,$A966,$C$5:$C$1668,"&gt;0"))</f>
        <v/>
      </c>
      <c r="G966" s="11">
        <f>IF(OR($B966="",NOT(ISNUMBER($C966))),"",IF($D966&lt;&gt;"",ROUND(Points!$B$6*IF($F966&lt;Points!$H$4,Points!$H$5,1),0),ROUND(Points!$B$6*IF($F966&lt;=1,1,Points!$H$7+(1-Points!$H$7)*((($F966-$E966)*(($F966-$E966)+1)/2)^2-((($F966-$E966-COUNTIFS($A$5:$A$1668,$A966,$C$5:$C$1668,$C966)+1)-1)*($F966-$E966-COUNTIFS($A$5:$A$1668,$A966,$C$5:$C$1668,$C966)+1)/2)^2)/(COUNTIFS($A$5:$A$1668,$A966,$C$5:$C$1668,$C966)*($F966-1)^3))*IF($F966&lt;Points!$H$4,Points!$H$5,1),0)))</f>
        <v/>
      </c>
      <c r="H966" s="11">
        <f>IF($G966="","",COUNTIFS($B$5:$B$1668,$B966,$G$5:$G$1668,"&gt;"&amp;$G966)+COUNTIFS($B$4:$B965,$B966,$G$4:$G965,$G966)+1)</f>
        <v/>
      </c>
      <c r="I966" s="11">
        <f>IF($G966="","",IF($H966&lt;=Points!$H$6,$G966,0))</f>
        <v/>
      </c>
      <c r="J966" s="11">
        <f>IF($B966="","",IF(COUNTIF(Players!$A$2:$A$500,$B966)=0,"Player is not on the Players tab",IF(NOT(ISNUMBER($C966)),"Enter a gross score",IF(COUNTIFS($A$5:$A$1668,$A966,$B$5:$B$1668,$B966)&gt;1,"Player is listed twice this week",IF(AND($D966&lt;&gt;"",COUNTIFS($A$5:$A$1668,$A966,$D$5:$D$1668,$D966)&gt;1),"Two players picked as "&amp;$D966,IF(COUNTIFS($A$5:$A$1668,$A966,$D$5:$D$1668,"Gross winner")=0,"Pick this week's gross winner",IF(COUNTIFS($A$5:$A$1668,$A966,$D$5:$D$1668,"Net winner")=0,"Pick this week's net winner","OK")))))))</f>
        <v/>
      </c>
    </row>
    <row r="967" outlineLevel="1">
      <c r="A967" s="13" t="n">
        <v>46603</v>
      </c>
      <c r="E967" s="11">
        <f>IF(OR($B967="",NOT(ISNUMBER($C967))),"",COUNTIFS($A$5:$A$1668,$A967,$C$5:$C$1668,"&lt;"&amp;$C967)+1)</f>
        <v/>
      </c>
      <c r="F967" s="11">
        <f>IF(OR($B967="",NOT(ISNUMBER($C967))),"",COUNTIFS($A$5:$A$1668,$A967,$C$5:$C$1668,"&gt;0"))</f>
        <v/>
      </c>
      <c r="G967" s="11">
        <f>IF(OR($B967="",NOT(ISNUMBER($C967))),"",IF($D967&lt;&gt;"",ROUND(Points!$B$6*IF($F967&lt;Points!$H$4,Points!$H$5,1),0),ROUND(Points!$B$6*IF($F967&lt;=1,1,Points!$H$7+(1-Points!$H$7)*((($F967-$E967)*(($F967-$E967)+1)/2)^2-((($F967-$E967-COUNTIFS($A$5:$A$1668,$A967,$C$5:$C$1668,$C967)+1)-1)*($F967-$E967-COUNTIFS($A$5:$A$1668,$A967,$C$5:$C$1668,$C967)+1)/2)^2)/(COUNTIFS($A$5:$A$1668,$A967,$C$5:$C$1668,$C967)*($F967-1)^3))*IF($F967&lt;Points!$H$4,Points!$H$5,1),0)))</f>
        <v/>
      </c>
      <c r="H967" s="11">
        <f>IF($G967="","",COUNTIFS($B$5:$B$1668,$B967,$G$5:$G$1668,"&gt;"&amp;$G967)+COUNTIFS($B$4:$B966,$B967,$G$4:$G966,$G967)+1)</f>
        <v/>
      </c>
      <c r="I967" s="11">
        <f>IF($G967="","",IF($H967&lt;=Points!$H$6,$G967,0))</f>
        <v/>
      </c>
      <c r="J967" s="11">
        <f>IF($B967="","",IF(COUNTIF(Players!$A$2:$A$500,$B967)=0,"Player is not on the Players tab",IF(NOT(ISNUMBER($C967)),"Enter a gross score",IF(COUNTIFS($A$5:$A$1668,$A967,$B$5:$B$1668,$B967)&gt;1,"Player is listed twice this week",IF(AND($D967&lt;&gt;"",COUNTIFS($A$5:$A$1668,$A967,$D$5:$D$1668,$D967)&gt;1),"Two players picked as "&amp;$D967,IF(COUNTIFS($A$5:$A$1668,$A967,$D$5:$D$1668,"Gross winner")=0,"Pick this week's gross winner",IF(COUNTIFS($A$5:$A$1668,$A967,$D$5:$D$1668,"Net winner")=0,"Pick this week's net winner","OK")))))))</f>
        <v/>
      </c>
    </row>
    <row r="968" outlineLevel="1">
      <c r="A968" s="13" t="n">
        <v>46603</v>
      </c>
      <c r="E968" s="11">
        <f>IF(OR($B968="",NOT(ISNUMBER($C968))),"",COUNTIFS($A$5:$A$1668,$A968,$C$5:$C$1668,"&lt;"&amp;$C968)+1)</f>
        <v/>
      </c>
      <c r="F968" s="11">
        <f>IF(OR($B968="",NOT(ISNUMBER($C968))),"",COUNTIFS($A$5:$A$1668,$A968,$C$5:$C$1668,"&gt;0"))</f>
        <v/>
      </c>
      <c r="G968" s="11">
        <f>IF(OR($B968="",NOT(ISNUMBER($C968))),"",IF($D968&lt;&gt;"",ROUND(Points!$B$6*IF($F968&lt;Points!$H$4,Points!$H$5,1),0),ROUND(Points!$B$6*IF($F968&lt;=1,1,Points!$H$7+(1-Points!$H$7)*((($F968-$E968)*(($F968-$E968)+1)/2)^2-((($F968-$E968-COUNTIFS($A$5:$A$1668,$A968,$C$5:$C$1668,$C968)+1)-1)*($F968-$E968-COUNTIFS($A$5:$A$1668,$A968,$C$5:$C$1668,$C968)+1)/2)^2)/(COUNTIFS($A$5:$A$1668,$A968,$C$5:$C$1668,$C968)*($F968-1)^3))*IF($F968&lt;Points!$H$4,Points!$H$5,1),0)))</f>
        <v/>
      </c>
      <c r="H968" s="11">
        <f>IF($G968="","",COUNTIFS($B$5:$B$1668,$B968,$G$5:$G$1668,"&gt;"&amp;$G968)+COUNTIFS($B$4:$B967,$B968,$G$4:$G967,$G968)+1)</f>
        <v/>
      </c>
      <c r="I968" s="11">
        <f>IF($G968="","",IF($H968&lt;=Points!$H$6,$G968,0))</f>
        <v/>
      </c>
      <c r="J968" s="11">
        <f>IF($B968="","",IF(COUNTIF(Players!$A$2:$A$500,$B968)=0,"Player is not on the Players tab",IF(NOT(ISNUMBER($C968)),"Enter a gross score",IF(COUNTIFS($A$5:$A$1668,$A968,$B$5:$B$1668,$B968)&gt;1,"Player is listed twice this week",IF(AND($D968&lt;&gt;"",COUNTIFS($A$5:$A$1668,$A968,$D$5:$D$1668,$D968)&gt;1),"Two players picked as "&amp;$D968,IF(COUNTIFS($A$5:$A$1668,$A968,$D$5:$D$1668,"Gross winner")=0,"Pick this week's gross winner",IF(COUNTIFS($A$5:$A$1668,$A968,$D$5:$D$1668,"Net winner")=0,"Pick this week's net winner","OK")))))))</f>
        <v/>
      </c>
    </row>
    <row r="969" outlineLevel="1">
      <c r="A969" s="13" t="n">
        <v>46603</v>
      </c>
      <c r="E969" s="11">
        <f>IF(OR($B969="",NOT(ISNUMBER($C969))),"",COUNTIFS($A$5:$A$1668,$A969,$C$5:$C$1668,"&lt;"&amp;$C969)+1)</f>
        <v/>
      </c>
      <c r="F969" s="11">
        <f>IF(OR($B969="",NOT(ISNUMBER($C969))),"",COUNTIFS($A$5:$A$1668,$A969,$C$5:$C$1668,"&gt;0"))</f>
        <v/>
      </c>
      <c r="G969" s="11">
        <f>IF(OR($B969="",NOT(ISNUMBER($C969))),"",IF($D969&lt;&gt;"",ROUND(Points!$B$6*IF($F969&lt;Points!$H$4,Points!$H$5,1),0),ROUND(Points!$B$6*IF($F969&lt;=1,1,Points!$H$7+(1-Points!$H$7)*((($F969-$E969)*(($F969-$E969)+1)/2)^2-((($F969-$E969-COUNTIFS($A$5:$A$1668,$A969,$C$5:$C$1668,$C969)+1)-1)*($F969-$E969-COUNTIFS($A$5:$A$1668,$A969,$C$5:$C$1668,$C969)+1)/2)^2)/(COUNTIFS($A$5:$A$1668,$A969,$C$5:$C$1668,$C969)*($F969-1)^3))*IF($F969&lt;Points!$H$4,Points!$H$5,1),0)))</f>
        <v/>
      </c>
      <c r="H969" s="11">
        <f>IF($G969="","",COUNTIFS($B$5:$B$1668,$B969,$G$5:$G$1668,"&gt;"&amp;$G969)+COUNTIFS($B$4:$B968,$B969,$G$4:$G968,$G969)+1)</f>
        <v/>
      </c>
      <c r="I969" s="11">
        <f>IF($G969="","",IF($H969&lt;=Points!$H$6,$G969,0))</f>
        <v/>
      </c>
      <c r="J969" s="11">
        <f>IF($B969="","",IF(COUNTIF(Players!$A$2:$A$500,$B969)=0,"Player is not on the Players tab",IF(NOT(ISNUMBER($C969)),"Enter a gross score",IF(COUNTIFS($A$5:$A$1668,$A969,$B$5:$B$1668,$B969)&gt;1,"Player is listed twice this week",IF(AND($D969&lt;&gt;"",COUNTIFS($A$5:$A$1668,$A969,$D$5:$D$1668,$D969)&gt;1),"Two players picked as "&amp;$D969,IF(COUNTIFS($A$5:$A$1668,$A969,$D$5:$D$1668,"Gross winner")=0,"Pick this week's gross winner",IF(COUNTIFS($A$5:$A$1668,$A969,$D$5:$D$1668,"Net winner")=0,"Pick this week's net winner","OK")))))))</f>
        <v/>
      </c>
    </row>
    <row r="970" outlineLevel="1">
      <c r="A970" s="13" t="n">
        <v>46603</v>
      </c>
      <c r="E970" s="11">
        <f>IF(OR($B970="",NOT(ISNUMBER($C970))),"",COUNTIFS($A$5:$A$1668,$A970,$C$5:$C$1668,"&lt;"&amp;$C970)+1)</f>
        <v/>
      </c>
      <c r="F970" s="11">
        <f>IF(OR($B970="",NOT(ISNUMBER($C970))),"",COUNTIFS($A$5:$A$1668,$A970,$C$5:$C$1668,"&gt;0"))</f>
        <v/>
      </c>
      <c r="G970" s="11">
        <f>IF(OR($B970="",NOT(ISNUMBER($C970))),"",IF($D970&lt;&gt;"",ROUND(Points!$B$6*IF($F970&lt;Points!$H$4,Points!$H$5,1),0),ROUND(Points!$B$6*IF($F970&lt;=1,1,Points!$H$7+(1-Points!$H$7)*((($F970-$E970)*(($F970-$E970)+1)/2)^2-((($F970-$E970-COUNTIFS($A$5:$A$1668,$A970,$C$5:$C$1668,$C970)+1)-1)*($F970-$E970-COUNTIFS($A$5:$A$1668,$A970,$C$5:$C$1668,$C970)+1)/2)^2)/(COUNTIFS($A$5:$A$1668,$A970,$C$5:$C$1668,$C970)*($F970-1)^3))*IF($F970&lt;Points!$H$4,Points!$H$5,1),0)))</f>
        <v/>
      </c>
      <c r="H970" s="11">
        <f>IF($G970="","",COUNTIFS($B$5:$B$1668,$B970,$G$5:$G$1668,"&gt;"&amp;$G970)+COUNTIFS($B$4:$B969,$B970,$G$4:$G969,$G970)+1)</f>
        <v/>
      </c>
      <c r="I970" s="11">
        <f>IF($G970="","",IF($H970&lt;=Points!$H$6,$G970,0))</f>
        <v/>
      </c>
      <c r="J970" s="11">
        <f>IF($B970="","",IF(COUNTIF(Players!$A$2:$A$500,$B970)=0,"Player is not on the Players tab",IF(NOT(ISNUMBER($C970)),"Enter a gross score",IF(COUNTIFS($A$5:$A$1668,$A970,$B$5:$B$1668,$B970)&gt;1,"Player is listed twice this week",IF(AND($D970&lt;&gt;"",COUNTIFS($A$5:$A$1668,$A970,$D$5:$D$1668,$D970)&gt;1),"Two players picked as "&amp;$D970,IF(COUNTIFS($A$5:$A$1668,$A970,$D$5:$D$1668,"Gross winner")=0,"Pick this week's gross winner",IF(COUNTIFS($A$5:$A$1668,$A970,$D$5:$D$1668,"Net winner")=0,"Pick this week's net winner","OK")))))))</f>
        <v/>
      </c>
    </row>
    <row r="971" outlineLevel="1">
      <c r="A971" s="13" t="n">
        <v>46603</v>
      </c>
      <c r="E971" s="11">
        <f>IF(OR($B971="",NOT(ISNUMBER($C971))),"",COUNTIFS($A$5:$A$1668,$A971,$C$5:$C$1668,"&lt;"&amp;$C971)+1)</f>
        <v/>
      </c>
      <c r="F971" s="11">
        <f>IF(OR($B971="",NOT(ISNUMBER($C971))),"",COUNTIFS($A$5:$A$1668,$A971,$C$5:$C$1668,"&gt;0"))</f>
        <v/>
      </c>
      <c r="G971" s="11">
        <f>IF(OR($B971="",NOT(ISNUMBER($C971))),"",IF($D971&lt;&gt;"",ROUND(Points!$B$6*IF($F971&lt;Points!$H$4,Points!$H$5,1),0),ROUND(Points!$B$6*IF($F971&lt;=1,1,Points!$H$7+(1-Points!$H$7)*((($F971-$E971)*(($F971-$E971)+1)/2)^2-((($F971-$E971-COUNTIFS($A$5:$A$1668,$A971,$C$5:$C$1668,$C971)+1)-1)*($F971-$E971-COUNTIFS($A$5:$A$1668,$A971,$C$5:$C$1668,$C971)+1)/2)^2)/(COUNTIFS($A$5:$A$1668,$A971,$C$5:$C$1668,$C971)*($F971-1)^3))*IF($F971&lt;Points!$H$4,Points!$H$5,1),0)))</f>
        <v/>
      </c>
      <c r="H971" s="11">
        <f>IF($G971="","",COUNTIFS($B$5:$B$1668,$B971,$G$5:$G$1668,"&gt;"&amp;$G971)+COUNTIFS($B$4:$B970,$B971,$G$4:$G970,$G971)+1)</f>
        <v/>
      </c>
      <c r="I971" s="11">
        <f>IF($G971="","",IF($H971&lt;=Points!$H$6,$G971,0))</f>
        <v/>
      </c>
      <c r="J971" s="11">
        <f>IF($B971="","",IF(COUNTIF(Players!$A$2:$A$500,$B971)=0,"Player is not on the Players tab",IF(NOT(ISNUMBER($C971)),"Enter a gross score",IF(COUNTIFS($A$5:$A$1668,$A971,$B$5:$B$1668,$B971)&gt;1,"Player is listed twice this week",IF(AND($D971&lt;&gt;"",COUNTIFS($A$5:$A$1668,$A971,$D$5:$D$1668,$D971)&gt;1),"Two players picked as "&amp;$D971,IF(COUNTIFS($A$5:$A$1668,$A971,$D$5:$D$1668,"Gross winner")=0,"Pick this week's gross winner",IF(COUNTIFS($A$5:$A$1668,$A971,$D$5:$D$1668,"Net winner")=0,"Pick this week's net winner","OK")))))))</f>
        <v/>
      </c>
    </row>
    <row r="972" outlineLevel="1">
      <c r="A972" s="13" t="n">
        <v>46603</v>
      </c>
      <c r="E972" s="11">
        <f>IF(OR($B972="",NOT(ISNUMBER($C972))),"",COUNTIFS($A$5:$A$1668,$A972,$C$5:$C$1668,"&lt;"&amp;$C972)+1)</f>
        <v/>
      </c>
      <c r="F972" s="11">
        <f>IF(OR($B972="",NOT(ISNUMBER($C972))),"",COUNTIFS($A$5:$A$1668,$A972,$C$5:$C$1668,"&gt;0"))</f>
        <v/>
      </c>
      <c r="G972" s="11">
        <f>IF(OR($B972="",NOT(ISNUMBER($C972))),"",IF($D972&lt;&gt;"",ROUND(Points!$B$6*IF($F972&lt;Points!$H$4,Points!$H$5,1),0),ROUND(Points!$B$6*IF($F972&lt;=1,1,Points!$H$7+(1-Points!$H$7)*((($F972-$E972)*(($F972-$E972)+1)/2)^2-((($F972-$E972-COUNTIFS($A$5:$A$1668,$A972,$C$5:$C$1668,$C972)+1)-1)*($F972-$E972-COUNTIFS($A$5:$A$1668,$A972,$C$5:$C$1668,$C972)+1)/2)^2)/(COUNTIFS($A$5:$A$1668,$A972,$C$5:$C$1668,$C972)*($F972-1)^3))*IF($F972&lt;Points!$H$4,Points!$H$5,1),0)))</f>
        <v/>
      </c>
      <c r="H972" s="11">
        <f>IF($G972="","",COUNTIFS($B$5:$B$1668,$B972,$G$5:$G$1668,"&gt;"&amp;$G972)+COUNTIFS($B$4:$B971,$B972,$G$4:$G971,$G972)+1)</f>
        <v/>
      </c>
      <c r="I972" s="11">
        <f>IF($G972="","",IF($H972&lt;=Points!$H$6,$G972,0))</f>
        <v/>
      </c>
      <c r="J972" s="11">
        <f>IF($B972="","",IF(COUNTIF(Players!$A$2:$A$500,$B972)=0,"Player is not on the Players tab",IF(NOT(ISNUMBER($C972)),"Enter a gross score",IF(COUNTIFS($A$5:$A$1668,$A972,$B$5:$B$1668,$B972)&gt;1,"Player is listed twice this week",IF(AND($D972&lt;&gt;"",COUNTIFS($A$5:$A$1668,$A972,$D$5:$D$1668,$D972)&gt;1),"Two players picked as "&amp;$D972,IF(COUNTIFS($A$5:$A$1668,$A972,$D$5:$D$1668,"Gross winner")=0,"Pick this week's gross winner",IF(COUNTIFS($A$5:$A$1668,$A972,$D$5:$D$1668,"Net winner")=0,"Pick this week's net winner","OK")))))))</f>
        <v/>
      </c>
    </row>
    <row r="973" outlineLevel="1">
      <c r="A973" s="13" t="n">
        <v>46603</v>
      </c>
      <c r="E973" s="11">
        <f>IF(OR($B973="",NOT(ISNUMBER($C973))),"",COUNTIFS($A$5:$A$1668,$A973,$C$5:$C$1668,"&lt;"&amp;$C973)+1)</f>
        <v/>
      </c>
      <c r="F973" s="11">
        <f>IF(OR($B973="",NOT(ISNUMBER($C973))),"",COUNTIFS($A$5:$A$1668,$A973,$C$5:$C$1668,"&gt;0"))</f>
        <v/>
      </c>
      <c r="G973" s="11">
        <f>IF(OR($B973="",NOT(ISNUMBER($C973))),"",IF($D973&lt;&gt;"",ROUND(Points!$B$6*IF($F973&lt;Points!$H$4,Points!$H$5,1),0),ROUND(Points!$B$6*IF($F973&lt;=1,1,Points!$H$7+(1-Points!$H$7)*((($F973-$E973)*(($F973-$E973)+1)/2)^2-((($F973-$E973-COUNTIFS($A$5:$A$1668,$A973,$C$5:$C$1668,$C973)+1)-1)*($F973-$E973-COUNTIFS($A$5:$A$1668,$A973,$C$5:$C$1668,$C973)+1)/2)^2)/(COUNTIFS($A$5:$A$1668,$A973,$C$5:$C$1668,$C973)*($F973-1)^3))*IF($F973&lt;Points!$H$4,Points!$H$5,1),0)))</f>
        <v/>
      </c>
      <c r="H973" s="11">
        <f>IF($G973="","",COUNTIFS($B$5:$B$1668,$B973,$G$5:$G$1668,"&gt;"&amp;$G973)+COUNTIFS($B$4:$B972,$B973,$G$4:$G972,$G973)+1)</f>
        <v/>
      </c>
      <c r="I973" s="11">
        <f>IF($G973="","",IF($H973&lt;=Points!$H$6,$G973,0))</f>
        <v/>
      </c>
      <c r="J973" s="11">
        <f>IF($B973="","",IF(COUNTIF(Players!$A$2:$A$500,$B973)=0,"Player is not on the Players tab",IF(NOT(ISNUMBER($C973)),"Enter a gross score",IF(COUNTIFS($A$5:$A$1668,$A973,$B$5:$B$1668,$B973)&gt;1,"Player is listed twice this week",IF(AND($D973&lt;&gt;"",COUNTIFS($A$5:$A$1668,$A973,$D$5:$D$1668,$D973)&gt;1),"Two players picked as "&amp;$D973,IF(COUNTIFS($A$5:$A$1668,$A973,$D$5:$D$1668,"Gross winner")=0,"Pick this week's gross winner",IF(COUNTIFS($A$5:$A$1668,$A973,$D$5:$D$1668,"Net winner")=0,"Pick this week's net winner","OK")))))))</f>
        <v/>
      </c>
    </row>
    <row r="974" outlineLevel="1">
      <c r="A974" s="13" t="n">
        <v>46603</v>
      </c>
      <c r="E974" s="11">
        <f>IF(OR($B974="",NOT(ISNUMBER($C974))),"",COUNTIFS($A$5:$A$1668,$A974,$C$5:$C$1668,"&lt;"&amp;$C974)+1)</f>
        <v/>
      </c>
      <c r="F974" s="11">
        <f>IF(OR($B974="",NOT(ISNUMBER($C974))),"",COUNTIFS($A$5:$A$1668,$A974,$C$5:$C$1668,"&gt;0"))</f>
        <v/>
      </c>
      <c r="G974" s="11">
        <f>IF(OR($B974="",NOT(ISNUMBER($C974))),"",IF($D974&lt;&gt;"",ROUND(Points!$B$6*IF($F974&lt;Points!$H$4,Points!$H$5,1),0),ROUND(Points!$B$6*IF($F974&lt;=1,1,Points!$H$7+(1-Points!$H$7)*((($F974-$E974)*(($F974-$E974)+1)/2)^2-((($F974-$E974-COUNTIFS($A$5:$A$1668,$A974,$C$5:$C$1668,$C974)+1)-1)*($F974-$E974-COUNTIFS($A$5:$A$1668,$A974,$C$5:$C$1668,$C974)+1)/2)^2)/(COUNTIFS($A$5:$A$1668,$A974,$C$5:$C$1668,$C974)*($F974-1)^3))*IF($F974&lt;Points!$H$4,Points!$H$5,1),0)))</f>
        <v/>
      </c>
      <c r="H974" s="11">
        <f>IF($G974="","",COUNTIFS($B$5:$B$1668,$B974,$G$5:$G$1668,"&gt;"&amp;$G974)+COUNTIFS($B$4:$B973,$B974,$G$4:$G973,$G974)+1)</f>
        <v/>
      </c>
      <c r="I974" s="11">
        <f>IF($G974="","",IF($H974&lt;=Points!$H$6,$G974,0))</f>
        <v/>
      </c>
      <c r="J974" s="11">
        <f>IF($B974="","",IF(COUNTIF(Players!$A$2:$A$500,$B974)=0,"Player is not on the Players tab",IF(NOT(ISNUMBER($C974)),"Enter a gross score",IF(COUNTIFS($A$5:$A$1668,$A974,$B$5:$B$1668,$B974)&gt;1,"Player is listed twice this week",IF(AND($D974&lt;&gt;"",COUNTIFS($A$5:$A$1668,$A974,$D$5:$D$1668,$D974)&gt;1),"Two players picked as "&amp;$D974,IF(COUNTIFS($A$5:$A$1668,$A974,$D$5:$D$1668,"Gross winner")=0,"Pick this week's gross winner",IF(COUNTIFS($A$5:$A$1668,$A974,$D$5:$D$1668,"Net winner")=0,"Pick this week's net winner","OK")))))))</f>
        <v/>
      </c>
    </row>
    <row r="975" outlineLevel="1">
      <c r="A975" s="13" t="n">
        <v>46603</v>
      </c>
      <c r="E975" s="11">
        <f>IF(OR($B975="",NOT(ISNUMBER($C975))),"",COUNTIFS($A$5:$A$1668,$A975,$C$5:$C$1668,"&lt;"&amp;$C975)+1)</f>
        <v/>
      </c>
      <c r="F975" s="11">
        <f>IF(OR($B975="",NOT(ISNUMBER($C975))),"",COUNTIFS($A$5:$A$1668,$A975,$C$5:$C$1668,"&gt;0"))</f>
        <v/>
      </c>
      <c r="G975" s="11">
        <f>IF(OR($B975="",NOT(ISNUMBER($C975))),"",IF($D975&lt;&gt;"",ROUND(Points!$B$6*IF($F975&lt;Points!$H$4,Points!$H$5,1),0),ROUND(Points!$B$6*IF($F975&lt;=1,1,Points!$H$7+(1-Points!$H$7)*((($F975-$E975)*(($F975-$E975)+1)/2)^2-((($F975-$E975-COUNTIFS($A$5:$A$1668,$A975,$C$5:$C$1668,$C975)+1)-1)*($F975-$E975-COUNTIFS($A$5:$A$1668,$A975,$C$5:$C$1668,$C975)+1)/2)^2)/(COUNTIFS($A$5:$A$1668,$A975,$C$5:$C$1668,$C975)*($F975-1)^3))*IF($F975&lt;Points!$H$4,Points!$H$5,1),0)))</f>
        <v/>
      </c>
      <c r="H975" s="11">
        <f>IF($G975="","",COUNTIFS($B$5:$B$1668,$B975,$G$5:$G$1668,"&gt;"&amp;$G975)+COUNTIFS($B$4:$B974,$B975,$G$4:$G974,$G975)+1)</f>
        <v/>
      </c>
      <c r="I975" s="11">
        <f>IF($G975="","",IF($H975&lt;=Points!$H$6,$G975,0))</f>
        <v/>
      </c>
      <c r="J975" s="11">
        <f>IF($B975="","",IF(COUNTIF(Players!$A$2:$A$500,$B975)=0,"Player is not on the Players tab",IF(NOT(ISNUMBER($C975)),"Enter a gross score",IF(COUNTIFS($A$5:$A$1668,$A975,$B$5:$B$1668,$B975)&gt;1,"Player is listed twice this week",IF(AND($D975&lt;&gt;"",COUNTIFS($A$5:$A$1668,$A975,$D$5:$D$1668,$D975)&gt;1),"Two players picked as "&amp;$D975,IF(COUNTIFS($A$5:$A$1668,$A975,$D$5:$D$1668,"Gross winner")=0,"Pick this week's gross winner",IF(COUNTIFS($A$5:$A$1668,$A975,$D$5:$D$1668,"Net winner")=0,"Pick this week's net winner","OK")))))))</f>
        <v/>
      </c>
    </row>
    <row r="976" outlineLevel="1">
      <c r="A976" s="13" t="n">
        <v>46603</v>
      </c>
      <c r="E976" s="11">
        <f>IF(OR($B976="",NOT(ISNUMBER($C976))),"",COUNTIFS($A$5:$A$1668,$A976,$C$5:$C$1668,"&lt;"&amp;$C976)+1)</f>
        <v/>
      </c>
      <c r="F976" s="11">
        <f>IF(OR($B976="",NOT(ISNUMBER($C976))),"",COUNTIFS($A$5:$A$1668,$A976,$C$5:$C$1668,"&gt;0"))</f>
        <v/>
      </c>
      <c r="G976" s="11">
        <f>IF(OR($B976="",NOT(ISNUMBER($C976))),"",IF($D976&lt;&gt;"",ROUND(Points!$B$6*IF($F976&lt;Points!$H$4,Points!$H$5,1),0),ROUND(Points!$B$6*IF($F976&lt;=1,1,Points!$H$7+(1-Points!$H$7)*((($F976-$E976)*(($F976-$E976)+1)/2)^2-((($F976-$E976-COUNTIFS($A$5:$A$1668,$A976,$C$5:$C$1668,$C976)+1)-1)*($F976-$E976-COUNTIFS($A$5:$A$1668,$A976,$C$5:$C$1668,$C976)+1)/2)^2)/(COUNTIFS($A$5:$A$1668,$A976,$C$5:$C$1668,$C976)*($F976-1)^3))*IF($F976&lt;Points!$H$4,Points!$H$5,1),0)))</f>
        <v/>
      </c>
      <c r="H976" s="11">
        <f>IF($G976="","",COUNTIFS($B$5:$B$1668,$B976,$G$5:$G$1668,"&gt;"&amp;$G976)+COUNTIFS($B$4:$B975,$B976,$G$4:$G975,$G976)+1)</f>
        <v/>
      </c>
      <c r="I976" s="11">
        <f>IF($G976="","",IF($H976&lt;=Points!$H$6,$G976,0))</f>
        <v/>
      </c>
      <c r="J976" s="11">
        <f>IF($B976="","",IF(COUNTIF(Players!$A$2:$A$500,$B976)=0,"Player is not on the Players tab",IF(NOT(ISNUMBER($C976)),"Enter a gross score",IF(COUNTIFS($A$5:$A$1668,$A976,$B$5:$B$1668,$B976)&gt;1,"Player is listed twice this week",IF(AND($D976&lt;&gt;"",COUNTIFS($A$5:$A$1668,$A976,$D$5:$D$1668,$D976)&gt;1),"Two players picked as "&amp;$D976,IF(COUNTIFS($A$5:$A$1668,$A976,$D$5:$D$1668,"Gross winner")=0,"Pick this week's gross winner",IF(COUNTIFS($A$5:$A$1668,$A976,$D$5:$D$1668,"Net winner")=0,"Pick this week's net winner","OK")))))))</f>
        <v/>
      </c>
    </row>
    <row r="977" outlineLevel="1">
      <c r="A977" s="13" t="n">
        <v>46603</v>
      </c>
      <c r="E977" s="11">
        <f>IF(OR($B977="",NOT(ISNUMBER($C977))),"",COUNTIFS($A$5:$A$1668,$A977,$C$5:$C$1668,"&lt;"&amp;$C977)+1)</f>
        <v/>
      </c>
      <c r="F977" s="11">
        <f>IF(OR($B977="",NOT(ISNUMBER($C977))),"",COUNTIFS($A$5:$A$1668,$A977,$C$5:$C$1668,"&gt;0"))</f>
        <v/>
      </c>
      <c r="G977" s="11">
        <f>IF(OR($B977="",NOT(ISNUMBER($C977))),"",IF($D977&lt;&gt;"",ROUND(Points!$B$6*IF($F977&lt;Points!$H$4,Points!$H$5,1),0),ROUND(Points!$B$6*IF($F977&lt;=1,1,Points!$H$7+(1-Points!$H$7)*((($F977-$E977)*(($F977-$E977)+1)/2)^2-((($F977-$E977-COUNTIFS($A$5:$A$1668,$A977,$C$5:$C$1668,$C977)+1)-1)*($F977-$E977-COUNTIFS($A$5:$A$1668,$A977,$C$5:$C$1668,$C977)+1)/2)^2)/(COUNTIFS($A$5:$A$1668,$A977,$C$5:$C$1668,$C977)*($F977-1)^3))*IF($F977&lt;Points!$H$4,Points!$H$5,1),0)))</f>
        <v/>
      </c>
      <c r="H977" s="11">
        <f>IF($G977="","",COUNTIFS($B$5:$B$1668,$B977,$G$5:$G$1668,"&gt;"&amp;$G977)+COUNTIFS($B$4:$B976,$B977,$G$4:$G976,$G977)+1)</f>
        <v/>
      </c>
      <c r="I977" s="11">
        <f>IF($G977="","",IF($H977&lt;=Points!$H$6,$G977,0))</f>
        <v/>
      </c>
      <c r="J977" s="11">
        <f>IF($B977="","",IF(COUNTIF(Players!$A$2:$A$500,$B977)=0,"Player is not on the Players tab",IF(NOT(ISNUMBER($C977)),"Enter a gross score",IF(COUNTIFS($A$5:$A$1668,$A977,$B$5:$B$1668,$B977)&gt;1,"Player is listed twice this week",IF(AND($D977&lt;&gt;"",COUNTIFS($A$5:$A$1668,$A977,$D$5:$D$1668,$D977)&gt;1),"Two players picked as "&amp;$D977,IF(COUNTIFS($A$5:$A$1668,$A977,$D$5:$D$1668,"Gross winner")=0,"Pick this week's gross winner",IF(COUNTIFS($A$5:$A$1668,$A977,$D$5:$D$1668,"Net winner")=0,"Pick this week's net winner","OK")))))))</f>
        <v/>
      </c>
    </row>
    <row r="978" outlineLevel="1">
      <c r="A978" s="13" t="n">
        <v>46603</v>
      </c>
      <c r="E978" s="11">
        <f>IF(OR($B978="",NOT(ISNUMBER($C978))),"",COUNTIFS($A$5:$A$1668,$A978,$C$5:$C$1668,"&lt;"&amp;$C978)+1)</f>
        <v/>
      </c>
      <c r="F978" s="11">
        <f>IF(OR($B978="",NOT(ISNUMBER($C978))),"",COUNTIFS($A$5:$A$1668,$A978,$C$5:$C$1668,"&gt;0"))</f>
        <v/>
      </c>
      <c r="G978" s="11">
        <f>IF(OR($B978="",NOT(ISNUMBER($C978))),"",IF($D978&lt;&gt;"",ROUND(Points!$B$6*IF($F978&lt;Points!$H$4,Points!$H$5,1),0),ROUND(Points!$B$6*IF($F978&lt;=1,1,Points!$H$7+(1-Points!$H$7)*((($F978-$E978)*(($F978-$E978)+1)/2)^2-((($F978-$E978-COUNTIFS($A$5:$A$1668,$A978,$C$5:$C$1668,$C978)+1)-1)*($F978-$E978-COUNTIFS($A$5:$A$1668,$A978,$C$5:$C$1668,$C978)+1)/2)^2)/(COUNTIFS($A$5:$A$1668,$A978,$C$5:$C$1668,$C978)*($F978-1)^3))*IF($F978&lt;Points!$H$4,Points!$H$5,1),0)))</f>
        <v/>
      </c>
      <c r="H978" s="11">
        <f>IF($G978="","",COUNTIFS($B$5:$B$1668,$B978,$G$5:$G$1668,"&gt;"&amp;$G978)+COUNTIFS($B$4:$B977,$B978,$G$4:$G977,$G978)+1)</f>
        <v/>
      </c>
      <c r="I978" s="11">
        <f>IF($G978="","",IF($H978&lt;=Points!$H$6,$G978,0))</f>
        <v/>
      </c>
      <c r="J978" s="11">
        <f>IF($B978="","",IF(COUNTIF(Players!$A$2:$A$500,$B978)=0,"Player is not on the Players tab",IF(NOT(ISNUMBER($C978)),"Enter a gross score",IF(COUNTIFS($A$5:$A$1668,$A978,$B$5:$B$1668,$B978)&gt;1,"Player is listed twice this week",IF(AND($D978&lt;&gt;"",COUNTIFS($A$5:$A$1668,$A978,$D$5:$D$1668,$D978)&gt;1),"Two players picked as "&amp;$D978,IF(COUNTIFS($A$5:$A$1668,$A978,$D$5:$D$1668,"Gross winner")=0,"Pick this week's gross winner",IF(COUNTIFS($A$5:$A$1668,$A978,$D$5:$D$1668,"Net winner")=0,"Pick this week's net winner","OK")))))))</f>
        <v/>
      </c>
    </row>
    <row r="979" outlineLevel="1">
      <c r="A979" s="13" t="n">
        <v>46603</v>
      </c>
      <c r="E979" s="11">
        <f>IF(OR($B979="",NOT(ISNUMBER($C979))),"",COUNTIFS($A$5:$A$1668,$A979,$C$5:$C$1668,"&lt;"&amp;$C979)+1)</f>
        <v/>
      </c>
      <c r="F979" s="11">
        <f>IF(OR($B979="",NOT(ISNUMBER($C979))),"",COUNTIFS($A$5:$A$1668,$A979,$C$5:$C$1668,"&gt;0"))</f>
        <v/>
      </c>
      <c r="G979" s="11">
        <f>IF(OR($B979="",NOT(ISNUMBER($C979))),"",IF($D979&lt;&gt;"",ROUND(Points!$B$6*IF($F979&lt;Points!$H$4,Points!$H$5,1),0),ROUND(Points!$B$6*IF($F979&lt;=1,1,Points!$H$7+(1-Points!$H$7)*((($F979-$E979)*(($F979-$E979)+1)/2)^2-((($F979-$E979-COUNTIFS($A$5:$A$1668,$A979,$C$5:$C$1668,$C979)+1)-1)*($F979-$E979-COUNTIFS($A$5:$A$1668,$A979,$C$5:$C$1668,$C979)+1)/2)^2)/(COUNTIFS($A$5:$A$1668,$A979,$C$5:$C$1668,$C979)*($F979-1)^3))*IF($F979&lt;Points!$H$4,Points!$H$5,1),0)))</f>
        <v/>
      </c>
      <c r="H979" s="11">
        <f>IF($G979="","",COUNTIFS($B$5:$B$1668,$B979,$G$5:$G$1668,"&gt;"&amp;$G979)+COUNTIFS($B$4:$B978,$B979,$G$4:$G978,$G979)+1)</f>
        <v/>
      </c>
      <c r="I979" s="11">
        <f>IF($G979="","",IF($H979&lt;=Points!$H$6,$G979,0))</f>
        <v/>
      </c>
      <c r="J979" s="11">
        <f>IF($B979="","",IF(COUNTIF(Players!$A$2:$A$500,$B979)=0,"Player is not on the Players tab",IF(NOT(ISNUMBER($C979)),"Enter a gross score",IF(COUNTIFS($A$5:$A$1668,$A979,$B$5:$B$1668,$B979)&gt;1,"Player is listed twice this week",IF(AND($D979&lt;&gt;"",COUNTIFS($A$5:$A$1668,$A979,$D$5:$D$1668,$D979)&gt;1),"Two players picked as "&amp;$D979,IF(COUNTIFS($A$5:$A$1668,$A979,$D$5:$D$1668,"Gross winner")=0,"Pick this week's gross winner",IF(COUNTIFS($A$5:$A$1668,$A979,$D$5:$D$1668,"Net winner")=0,"Pick this week's net winner","OK")))))))</f>
        <v/>
      </c>
    </row>
    <row r="980" outlineLevel="1">
      <c r="A980" s="13" t="n">
        <v>46603</v>
      </c>
      <c r="E980" s="11">
        <f>IF(OR($B980="",NOT(ISNUMBER($C980))),"",COUNTIFS($A$5:$A$1668,$A980,$C$5:$C$1668,"&lt;"&amp;$C980)+1)</f>
        <v/>
      </c>
      <c r="F980" s="11">
        <f>IF(OR($B980="",NOT(ISNUMBER($C980))),"",COUNTIFS($A$5:$A$1668,$A980,$C$5:$C$1668,"&gt;0"))</f>
        <v/>
      </c>
      <c r="G980" s="11">
        <f>IF(OR($B980="",NOT(ISNUMBER($C980))),"",IF($D980&lt;&gt;"",ROUND(Points!$B$6*IF($F980&lt;Points!$H$4,Points!$H$5,1),0),ROUND(Points!$B$6*IF($F980&lt;=1,1,Points!$H$7+(1-Points!$H$7)*((($F980-$E980)*(($F980-$E980)+1)/2)^2-((($F980-$E980-COUNTIFS($A$5:$A$1668,$A980,$C$5:$C$1668,$C980)+1)-1)*($F980-$E980-COUNTIFS($A$5:$A$1668,$A980,$C$5:$C$1668,$C980)+1)/2)^2)/(COUNTIFS($A$5:$A$1668,$A980,$C$5:$C$1668,$C980)*($F980-1)^3))*IF($F980&lt;Points!$H$4,Points!$H$5,1),0)))</f>
        <v/>
      </c>
      <c r="H980" s="11">
        <f>IF($G980="","",COUNTIFS($B$5:$B$1668,$B980,$G$5:$G$1668,"&gt;"&amp;$G980)+COUNTIFS($B$4:$B979,$B980,$G$4:$G979,$G980)+1)</f>
        <v/>
      </c>
      <c r="I980" s="11">
        <f>IF($G980="","",IF($H980&lt;=Points!$H$6,$G980,0))</f>
        <v/>
      </c>
      <c r="J980" s="11">
        <f>IF($B980="","",IF(COUNTIF(Players!$A$2:$A$500,$B980)=0,"Player is not on the Players tab",IF(NOT(ISNUMBER($C980)),"Enter a gross score",IF(COUNTIFS($A$5:$A$1668,$A980,$B$5:$B$1668,$B980)&gt;1,"Player is listed twice this week",IF(AND($D980&lt;&gt;"",COUNTIFS($A$5:$A$1668,$A980,$D$5:$D$1668,$D980)&gt;1),"Two players picked as "&amp;$D980,IF(COUNTIFS($A$5:$A$1668,$A980,$D$5:$D$1668,"Gross winner")=0,"Pick this week's gross winner",IF(COUNTIFS($A$5:$A$1668,$A980,$D$5:$D$1668,"Net winner")=0,"Pick this week's net winner","OK")))))))</f>
        <v/>
      </c>
    </row>
    <row r="981" outlineLevel="1">
      <c r="A981" s="13" t="n">
        <v>46603</v>
      </c>
      <c r="E981" s="11">
        <f>IF(OR($B981="",NOT(ISNUMBER($C981))),"",COUNTIFS($A$5:$A$1668,$A981,$C$5:$C$1668,"&lt;"&amp;$C981)+1)</f>
        <v/>
      </c>
      <c r="F981" s="11">
        <f>IF(OR($B981="",NOT(ISNUMBER($C981))),"",COUNTIFS($A$5:$A$1668,$A981,$C$5:$C$1668,"&gt;0"))</f>
        <v/>
      </c>
      <c r="G981" s="11">
        <f>IF(OR($B981="",NOT(ISNUMBER($C981))),"",IF($D981&lt;&gt;"",ROUND(Points!$B$6*IF($F981&lt;Points!$H$4,Points!$H$5,1),0),ROUND(Points!$B$6*IF($F981&lt;=1,1,Points!$H$7+(1-Points!$H$7)*((($F981-$E981)*(($F981-$E981)+1)/2)^2-((($F981-$E981-COUNTIFS($A$5:$A$1668,$A981,$C$5:$C$1668,$C981)+1)-1)*($F981-$E981-COUNTIFS($A$5:$A$1668,$A981,$C$5:$C$1668,$C981)+1)/2)^2)/(COUNTIFS($A$5:$A$1668,$A981,$C$5:$C$1668,$C981)*($F981-1)^3))*IF($F981&lt;Points!$H$4,Points!$H$5,1),0)))</f>
        <v/>
      </c>
      <c r="H981" s="11">
        <f>IF($G981="","",COUNTIFS($B$5:$B$1668,$B981,$G$5:$G$1668,"&gt;"&amp;$G981)+COUNTIFS($B$4:$B980,$B981,$G$4:$G980,$G981)+1)</f>
        <v/>
      </c>
      <c r="I981" s="11">
        <f>IF($G981="","",IF($H981&lt;=Points!$H$6,$G981,0))</f>
        <v/>
      </c>
      <c r="J981" s="11">
        <f>IF($B981="","",IF(COUNTIF(Players!$A$2:$A$500,$B981)=0,"Player is not on the Players tab",IF(NOT(ISNUMBER($C981)),"Enter a gross score",IF(COUNTIFS($A$5:$A$1668,$A981,$B$5:$B$1668,$B981)&gt;1,"Player is listed twice this week",IF(AND($D981&lt;&gt;"",COUNTIFS($A$5:$A$1668,$A981,$D$5:$D$1668,$D981)&gt;1),"Two players picked as "&amp;$D981,IF(COUNTIFS($A$5:$A$1668,$A981,$D$5:$D$1668,"Gross winner")=0,"Pick this week's gross winner",IF(COUNTIFS($A$5:$A$1668,$A981,$D$5:$D$1668,"Net winner")=0,"Pick this week's net winner","OK")))))))</f>
        <v/>
      </c>
    </row>
    <row r="982" outlineLevel="1">
      <c r="A982" s="13" t="n">
        <v>46603</v>
      </c>
      <c r="E982" s="11">
        <f>IF(OR($B982="",NOT(ISNUMBER($C982))),"",COUNTIFS($A$5:$A$1668,$A982,$C$5:$C$1668,"&lt;"&amp;$C982)+1)</f>
        <v/>
      </c>
      <c r="F982" s="11">
        <f>IF(OR($B982="",NOT(ISNUMBER($C982))),"",COUNTIFS($A$5:$A$1668,$A982,$C$5:$C$1668,"&gt;0"))</f>
        <v/>
      </c>
      <c r="G982" s="11">
        <f>IF(OR($B982="",NOT(ISNUMBER($C982))),"",IF($D982&lt;&gt;"",ROUND(Points!$B$6*IF($F982&lt;Points!$H$4,Points!$H$5,1),0),ROUND(Points!$B$6*IF($F982&lt;=1,1,Points!$H$7+(1-Points!$H$7)*((($F982-$E982)*(($F982-$E982)+1)/2)^2-((($F982-$E982-COUNTIFS($A$5:$A$1668,$A982,$C$5:$C$1668,$C982)+1)-1)*($F982-$E982-COUNTIFS($A$5:$A$1668,$A982,$C$5:$C$1668,$C982)+1)/2)^2)/(COUNTIFS($A$5:$A$1668,$A982,$C$5:$C$1668,$C982)*($F982-1)^3))*IF($F982&lt;Points!$H$4,Points!$H$5,1),0)))</f>
        <v/>
      </c>
      <c r="H982" s="11">
        <f>IF($G982="","",COUNTIFS($B$5:$B$1668,$B982,$G$5:$G$1668,"&gt;"&amp;$G982)+COUNTIFS($B$4:$B981,$B982,$G$4:$G981,$G982)+1)</f>
        <v/>
      </c>
      <c r="I982" s="11">
        <f>IF($G982="","",IF($H982&lt;=Points!$H$6,$G982,0))</f>
        <v/>
      </c>
      <c r="J982" s="11">
        <f>IF($B982="","",IF(COUNTIF(Players!$A$2:$A$500,$B982)=0,"Player is not on the Players tab",IF(NOT(ISNUMBER($C982)),"Enter a gross score",IF(COUNTIFS($A$5:$A$1668,$A982,$B$5:$B$1668,$B982)&gt;1,"Player is listed twice this week",IF(AND($D982&lt;&gt;"",COUNTIFS($A$5:$A$1668,$A982,$D$5:$D$1668,$D982)&gt;1),"Two players picked as "&amp;$D982,IF(COUNTIFS($A$5:$A$1668,$A982,$D$5:$D$1668,"Gross winner")=0,"Pick this week's gross winner",IF(COUNTIFS($A$5:$A$1668,$A982,$D$5:$D$1668,"Net winner")=0,"Pick this week's net winner","OK")))))))</f>
        <v/>
      </c>
    </row>
    <row r="983" outlineLevel="1">
      <c r="A983" s="13" t="n">
        <v>46603</v>
      </c>
      <c r="E983" s="11">
        <f>IF(OR($B983="",NOT(ISNUMBER($C983))),"",COUNTIFS($A$5:$A$1668,$A983,$C$5:$C$1668,"&lt;"&amp;$C983)+1)</f>
        <v/>
      </c>
      <c r="F983" s="11">
        <f>IF(OR($B983="",NOT(ISNUMBER($C983))),"",COUNTIFS($A$5:$A$1668,$A983,$C$5:$C$1668,"&gt;0"))</f>
        <v/>
      </c>
      <c r="G983" s="11">
        <f>IF(OR($B983="",NOT(ISNUMBER($C983))),"",IF($D983&lt;&gt;"",ROUND(Points!$B$6*IF($F983&lt;Points!$H$4,Points!$H$5,1),0),ROUND(Points!$B$6*IF($F983&lt;=1,1,Points!$H$7+(1-Points!$H$7)*((($F983-$E983)*(($F983-$E983)+1)/2)^2-((($F983-$E983-COUNTIFS($A$5:$A$1668,$A983,$C$5:$C$1668,$C983)+1)-1)*($F983-$E983-COUNTIFS($A$5:$A$1668,$A983,$C$5:$C$1668,$C983)+1)/2)^2)/(COUNTIFS($A$5:$A$1668,$A983,$C$5:$C$1668,$C983)*($F983-1)^3))*IF($F983&lt;Points!$H$4,Points!$H$5,1),0)))</f>
        <v/>
      </c>
      <c r="H983" s="11">
        <f>IF($G983="","",COUNTIFS($B$5:$B$1668,$B983,$G$5:$G$1668,"&gt;"&amp;$G983)+COUNTIFS($B$4:$B982,$B983,$G$4:$G982,$G983)+1)</f>
        <v/>
      </c>
      <c r="I983" s="11">
        <f>IF($G983="","",IF($H983&lt;=Points!$H$6,$G983,0))</f>
        <v/>
      </c>
      <c r="J983" s="11">
        <f>IF($B983="","",IF(COUNTIF(Players!$A$2:$A$500,$B983)=0,"Player is not on the Players tab",IF(NOT(ISNUMBER($C983)),"Enter a gross score",IF(COUNTIFS($A$5:$A$1668,$A983,$B$5:$B$1668,$B983)&gt;1,"Player is listed twice this week",IF(AND($D983&lt;&gt;"",COUNTIFS($A$5:$A$1668,$A983,$D$5:$D$1668,$D983)&gt;1),"Two players picked as "&amp;$D983,IF(COUNTIFS($A$5:$A$1668,$A983,$D$5:$D$1668,"Gross winner")=0,"Pick this week's gross winner",IF(COUNTIFS($A$5:$A$1668,$A983,$D$5:$D$1668,"Net winner")=0,"Pick this week's net winner","OK")))))))</f>
        <v/>
      </c>
    </row>
    <row r="984" outlineLevel="1">
      <c r="A984" s="13" t="n">
        <v>46603</v>
      </c>
      <c r="E984" s="11">
        <f>IF(OR($B984="",NOT(ISNUMBER($C984))),"",COUNTIFS($A$5:$A$1668,$A984,$C$5:$C$1668,"&lt;"&amp;$C984)+1)</f>
        <v/>
      </c>
      <c r="F984" s="11">
        <f>IF(OR($B984="",NOT(ISNUMBER($C984))),"",COUNTIFS($A$5:$A$1668,$A984,$C$5:$C$1668,"&gt;0"))</f>
        <v/>
      </c>
      <c r="G984" s="11">
        <f>IF(OR($B984="",NOT(ISNUMBER($C984))),"",IF($D984&lt;&gt;"",ROUND(Points!$B$6*IF($F984&lt;Points!$H$4,Points!$H$5,1),0),ROUND(Points!$B$6*IF($F984&lt;=1,1,Points!$H$7+(1-Points!$H$7)*((($F984-$E984)*(($F984-$E984)+1)/2)^2-((($F984-$E984-COUNTIFS($A$5:$A$1668,$A984,$C$5:$C$1668,$C984)+1)-1)*($F984-$E984-COUNTIFS($A$5:$A$1668,$A984,$C$5:$C$1668,$C984)+1)/2)^2)/(COUNTIFS($A$5:$A$1668,$A984,$C$5:$C$1668,$C984)*($F984-1)^3))*IF($F984&lt;Points!$H$4,Points!$H$5,1),0)))</f>
        <v/>
      </c>
      <c r="H984" s="11">
        <f>IF($G984="","",COUNTIFS($B$5:$B$1668,$B984,$G$5:$G$1668,"&gt;"&amp;$G984)+COUNTIFS($B$4:$B983,$B984,$G$4:$G983,$G984)+1)</f>
        <v/>
      </c>
      <c r="I984" s="11">
        <f>IF($G984="","",IF($H984&lt;=Points!$H$6,$G984,0))</f>
        <v/>
      </c>
      <c r="J984" s="11">
        <f>IF($B984="","",IF(COUNTIF(Players!$A$2:$A$500,$B984)=0,"Player is not on the Players tab",IF(NOT(ISNUMBER($C984)),"Enter a gross score",IF(COUNTIFS($A$5:$A$1668,$A984,$B$5:$B$1668,$B984)&gt;1,"Player is listed twice this week",IF(AND($D984&lt;&gt;"",COUNTIFS($A$5:$A$1668,$A984,$D$5:$D$1668,$D984)&gt;1),"Two players picked as "&amp;$D984,IF(COUNTIFS($A$5:$A$1668,$A984,$D$5:$D$1668,"Gross winner")=0,"Pick this week's gross winner",IF(COUNTIFS($A$5:$A$1668,$A984,$D$5:$D$1668,"Net winner")=0,"Pick this week's net winner","OK")))))))</f>
        <v/>
      </c>
    </row>
    <row r="985" outlineLevel="1">
      <c r="A985" s="13" t="n">
        <v>46603</v>
      </c>
      <c r="E985" s="11">
        <f>IF(OR($B985="",NOT(ISNUMBER($C985))),"",COUNTIFS($A$5:$A$1668,$A985,$C$5:$C$1668,"&lt;"&amp;$C985)+1)</f>
        <v/>
      </c>
      <c r="F985" s="11">
        <f>IF(OR($B985="",NOT(ISNUMBER($C985))),"",COUNTIFS($A$5:$A$1668,$A985,$C$5:$C$1668,"&gt;0"))</f>
        <v/>
      </c>
      <c r="G985" s="11">
        <f>IF(OR($B985="",NOT(ISNUMBER($C985))),"",IF($D985&lt;&gt;"",ROUND(Points!$B$6*IF($F985&lt;Points!$H$4,Points!$H$5,1),0),ROUND(Points!$B$6*IF($F985&lt;=1,1,Points!$H$7+(1-Points!$H$7)*((($F985-$E985)*(($F985-$E985)+1)/2)^2-((($F985-$E985-COUNTIFS($A$5:$A$1668,$A985,$C$5:$C$1668,$C985)+1)-1)*($F985-$E985-COUNTIFS($A$5:$A$1668,$A985,$C$5:$C$1668,$C985)+1)/2)^2)/(COUNTIFS($A$5:$A$1668,$A985,$C$5:$C$1668,$C985)*($F985-1)^3))*IF($F985&lt;Points!$H$4,Points!$H$5,1),0)))</f>
        <v/>
      </c>
      <c r="H985" s="11">
        <f>IF($G985="","",COUNTIFS($B$5:$B$1668,$B985,$G$5:$G$1668,"&gt;"&amp;$G985)+COUNTIFS($B$4:$B984,$B985,$G$4:$G984,$G985)+1)</f>
        <v/>
      </c>
      <c r="I985" s="11">
        <f>IF($G985="","",IF($H985&lt;=Points!$H$6,$G985,0))</f>
        <v/>
      </c>
      <c r="J985" s="11">
        <f>IF($B985="","",IF(COUNTIF(Players!$A$2:$A$500,$B985)=0,"Player is not on the Players tab",IF(NOT(ISNUMBER($C985)),"Enter a gross score",IF(COUNTIFS($A$5:$A$1668,$A985,$B$5:$B$1668,$B985)&gt;1,"Player is listed twice this week",IF(AND($D985&lt;&gt;"",COUNTIFS($A$5:$A$1668,$A985,$D$5:$D$1668,$D985)&gt;1),"Two players picked as "&amp;$D985,IF(COUNTIFS($A$5:$A$1668,$A985,$D$5:$D$1668,"Gross winner")=0,"Pick this week's gross winner",IF(COUNTIFS($A$5:$A$1668,$A985,$D$5:$D$1668,"Net winner")=0,"Pick this week's net winner","OK")))))))</f>
        <v/>
      </c>
    </row>
    <row r="986" outlineLevel="1">
      <c r="A986" s="13" t="n">
        <v>46603</v>
      </c>
      <c r="E986" s="11">
        <f>IF(OR($B986="",NOT(ISNUMBER($C986))),"",COUNTIFS($A$5:$A$1668,$A986,$C$5:$C$1668,"&lt;"&amp;$C986)+1)</f>
        <v/>
      </c>
      <c r="F986" s="11">
        <f>IF(OR($B986="",NOT(ISNUMBER($C986))),"",COUNTIFS($A$5:$A$1668,$A986,$C$5:$C$1668,"&gt;0"))</f>
        <v/>
      </c>
      <c r="G986" s="11">
        <f>IF(OR($B986="",NOT(ISNUMBER($C986))),"",IF($D986&lt;&gt;"",ROUND(Points!$B$6*IF($F986&lt;Points!$H$4,Points!$H$5,1),0),ROUND(Points!$B$6*IF($F986&lt;=1,1,Points!$H$7+(1-Points!$H$7)*((($F986-$E986)*(($F986-$E986)+1)/2)^2-((($F986-$E986-COUNTIFS($A$5:$A$1668,$A986,$C$5:$C$1668,$C986)+1)-1)*($F986-$E986-COUNTIFS($A$5:$A$1668,$A986,$C$5:$C$1668,$C986)+1)/2)^2)/(COUNTIFS($A$5:$A$1668,$A986,$C$5:$C$1668,$C986)*($F986-1)^3))*IF($F986&lt;Points!$H$4,Points!$H$5,1),0)))</f>
        <v/>
      </c>
      <c r="H986" s="11">
        <f>IF($G986="","",COUNTIFS($B$5:$B$1668,$B986,$G$5:$G$1668,"&gt;"&amp;$G986)+COUNTIFS($B$4:$B985,$B986,$G$4:$G985,$G986)+1)</f>
        <v/>
      </c>
      <c r="I986" s="11">
        <f>IF($G986="","",IF($H986&lt;=Points!$H$6,$G986,0))</f>
        <v/>
      </c>
      <c r="J986" s="11">
        <f>IF($B986="","",IF(COUNTIF(Players!$A$2:$A$500,$B986)=0,"Player is not on the Players tab",IF(NOT(ISNUMBER($C986)),"Enter a gross score",IF(COUNTIFS($A$5:$A$1668,$A986,$B$5:$B$1668,$B986)&gt;1,"Player is listed twice this week",IF(AND($D986&lt;&gt;"",COUNTIFS($A$5:$A$1668,$A986,$D$5:$D$1668,$D986)&gt;1),"Two players picked as "&amp;$D986,IF(COUNTIFS($A$5:$A$1668,$A986,$D$5:$D$1668,"Gross winner")=0,"Pick this week's gross winner",IF(COUNTIFS($A$5:$A$1668,$A986,$D$5:$D$1668,"Net winner")=0,"Pick this week's net winner","OK")))))))</f>
        <v/>
      </c>
    </row>
    <row r="987" outlineLevel="1">
      <c r="A987" s="13" t="n">
        <v>46603</v>
      </c>
      <c r="E987" s="11">
        <f>IF(OR($B987="",NOT(ISNUMBER($C987))),"",COUNTIFS($A$5:$A$1668,$A987,$C$5:$C$1668,"&lt;"&amp;$C987)+1)</f>
        <v/>
      </c>
      <c r="F987" s="11">
        <f>IF(OR($B987="",NOT(ISNUMBER($C987))),"",COUNTIFS($A$5:$A$1668,$A987,$C$5:$C$1668,"&gt;0"))</f>
        <v/>
      </c>
      <c r="G987" s="11">
        <f>IF(OR($B987="",NOT(ISNUMBER($C987))),"",IF($D987&lt;&gt;"",ROUND(Points!$B$6*IF($F987&lt;Points!$H$4,Points!$H$5,1),0),ROUND(Points!$B$6*IF($F987&lt;=1,1,Points!$H$7+(1-Points!$H$7)*((($F987-$E987)*(($F987-$E987)+1)/2)^2-((($F987-$E987-COUNTIFS($A$5:$A$1668,$A987,$C$5:$C$1668,$C987)+1)-1)*($F987-$E987-COUNTIFS($A$5:$A$1668,$A987,$C$5:$C$1668,$C987)+1)/2)^2)/(COUNTIFS($A$5:$A$1668,$A987,$C$5:$C$1668,$C987)*($F987-1)^3))*IF($F987&lt;Points!$H$4,Points!$H$5,1),0)))</f>
        <v/>
      </c>
      <c r="H987" s="11">
        <f>IF($G987="","",COUNTIFS($B$5:$B$1668,$B987,$G$5:$G$1668,"&gt;"&amp;$G987)+COUNTIFS($B$4:$B986,$B987,$G$4:$G986,$G987)+1)</f>
        <v/>
      </c>
      <c r="I987" s="11">
        <f>IF($G987="","",IF($H987&lt;=Points!$H$6,$G987,0))</f>
        <v/>
      </c>
      <c r="J987" s="11">
        <f>IF($B987="","",IF(COUNTIF(Players!$A$2:$A$500,$B987)=0,"Player is not on the Players tab",IF(NOT(ISNUMBER($C987)),"Enter a gross score",IF(COUNTIFS($A$5:$A$1668,$A987,$B$5:$B$1668,$B987)&gt;1,"Player is listed twice this week",IF(AND($D987&lt;&gt;"",COUNTIFS($A$5:$A$1668,$A987,$D$5:$D$1668,$D987)&gt;1),"Two players picked as "&amp;$D987,IF(COUNTIFS($A$5:$A$1668,$A987,$D$5:$D$1668,"Gross winner")=0,"Pick this week's gross winner",IF(COUNTIFS($A$5:$A$1668,$A987,$D$5:$D$1668,"Net winner")=0,"Pick this week's net winner","OK")))))))</f>
        <v/>
      </c>
    </row>
    <row r="988" outlineLevel="1">
      <c r="A988" s="13" t="n">
        <v>46603</v>
      </c>
      <c r="E988" s="11">
        <f>IF(OR($B988="",NOT(ISNUMBER($C988))),"",COUNTIFS($A$5:$A$1668,$A988,$C$5:$C$1668,"&lt;"&amp;$C988)+1)</f>
        <v/>
      </c>
      <c r="F988" s="11">
        <f>IF(OR($B988="",NOT(ISNUMBER($C988))),"",COUNTIFS($A$5:$A$1668,$A988,$C$5:$C$1668,"&gt;0"))</f>
        <v/>
      </c>
      <c r="G988" s="11">
        <f>IF(OR($B988="",NOT(ISNUMBER($C988))),"",IF($D988&lt;&gt;"",ROUND(Points!$B$6*IF($F988&lt;Points!$H$4,Points!$H$5,1),0),ROUND(Points!$B$6*IF($F988&lt;=1,1,Points!$H$7+(1-Points!$H$7)*((($F988-$E988)*(($F988-$E988)+1)/2)^2-((($F988-$E988-COUNTIFS($A$5:$A$1668,$A988,$C$5:$C$1668,$C988)+1)-1)*($F988-$E988-COUNTIFS($A$5:$A$1668,$A988,$C$5:$C$1668,$C988)+1)/2)^2)/(COUNTIFS($A$5:$A$1668,$A988,$C$5:$C$1668,$C988)*($F988-1)^3))*IF($F988&lt;Points!$H$4,Points!$H$5,1),0)))</f>
        <v/>
      </c>
      <c r="H988" s="11">
        <f>IF($G988="","",COUNTIFS($B$5:$B$1668,$B988,$G$5:$G$1668,"&gt;"&amp;$G988)+COUNTIFS($B$4:$B987,$B988,$G$4:$G987,$G988)+1)</f>
        <v/>
      </c>
      <c r="I988" s="11">
        <f>IF($G988="","",IF($H988&lt;=Points!$H$6,$G988,0))</f>
        <v/>
      </c>
      <c r="J988" s="11">
        <f>IF($B988="","",IF(COUNTIF(Players!$A$2:$A$500,$B988)=0,"Player is not on the Players tab",IF(NOT(ISNUMBER($C988)),"Enter a gross score",IF(COUNTIFS($A$5:$A$1668,$A988,$B$5:$B$1668,$B988)&gt;1,"Player is listed twice this week",IF(AND($D988&lt;&gt;"",COUNTIFS($A$5:$A$1668,$A988,$D$5:$D$1668,$D988)&gt;1),"Two players picked as "&amp;$D988,IF(COUNTIFS($A$5:$A$1668,$A988,$D$5:$D$1668,"Gross winner")=0,"Pick this week's gross winner",IF(COUNTIFS($A$5:$A$1668,$A988,$D$5:$D$1668,"Net winner")=0,"Pick this week's net winner","OK")))))))</f>
        <v/>
      </c>
    </row>
    <row r="989" outlineLevel="1">
      <c r="A989" s="13" t="n">
        <v>46603</v>
      </c>
      <c r="E989" s="11">
        <f>IF(OR($B989="",NOT(ISNUMBER($C989))),"",COUNTIFS($A$5:$A$1668,$A989,$C$5:$C$1668,"&lt;"&amp;$C989)+1)</f>
        <v/>
      </c>
      <c r="F989" s="11">
        <f>IF(OR($B989="",NOT(ISNUMBER($C989))),"",COUNTIFS($A$5:$A$1668,$A989,$C$5:$C$1668,"&gt;0"))</f>
        <v/>
      </c>
      <c r="G989" s="11">
        <f>IF(OR($B989="",NOT(ISNUMBER($C989))),"",IF($D989&lt;&gt;"",ROUND(Points!$B$6*IF($F989&lt;Points!$H$4,Points!$H$5,1),0),ROUND(Points!$B$6*IF($F989&lt;=1,1,Points!$H$7+(1-Points!$H$7)*((($F989-$E989)*(($F989-$E989)+1)/2)^2-((($F989-$E989-COUNTIFS($A$5:$A$1668,$A989,$C$5:$C$1668,$C989)+1)-1)*($F989-$E989-COUNTIFS($A$5:$A$1668,$A989,$C$5:$C$1668,$C989)+1)/2)^2)/(COUNTIFS($A$5:$A$1668,$A989,$C$5:$C$1668,$C989)*($F989-1)^3))*IF($F989&lt;Points!$H$4,Points!$H$5,1),0)))</f>
        <v/>
      </c>
      <c r="H989" s="11">
        <f>IF($G989="","",COUNTIFS($B$5:$B$1668,$B989,$G$5:$G$1668,"&gt;"&amp;$G989)+COUNTIFS($B$4:$B988,$B989,$G$4:$G988,$G989)+1)</f>
        <v/>
      </c>
      <c r="I989" s="11">
        <f>IF($G989="","",IF($H989&lt;=Points!$H$6,$G989,0))</f>
        <v/>
      </c>
      <c r="J989" s="11">
        <f>IF($B989="","",IF(COUNTIF(Players!$A$2:$A$500,$B989)=0,"Player is not on the Players tab",IF(NOT(ISNUMBER($C989)),"Enter a gross score",IF(COUNTIFS($A$5:$A$1668,$A989,$B$5:$B$1668,$B989)&gt;1,"Player is listed twice this week",IF(AND($D989&lt;&gt;"",COUNTIFS($A$5:$A$1668,$A989,$D$5:$D$1668,$D989)&gt;1),"Two players picked as "&amp;$D989,IF(COUNTIFS($A$5:$A$1668,$A989,$D$5:$D$1668,"Gross winner")=0,"Pick this week's gross winner",IF(COUNTIFS($A$5:$A$1668,$A989,$D$5:$D$1668,"Net winner")=0,"Pick this week's net winner","OK")))))))</f>
        <v/>
      </c>
    </row>
    <row r="990" outlineLevel="1">
      <c r="A990" s="13" t="n">
        <v>46603</v>
      </c>
      <c r="E990" s="11">
        <f>IF(OR($B990="",NOT(ISNUMBER($C990))),"",COUNTIFS($A$5:$A$1668,$A990,$C$5:$C$1668,"&lt;"&amp;$C990)+1)</f>
        <v/>
      </c>
      <c r="F990" s="11">
        <f>IF(OR($B990="",NOT(ISNUMBER($C990))),"",COUNTIFS($A$5:$A$1668,$A990,$C$5:$C$1668,"&gt;0"))</f>
        <v/>
      </c>
      <c r="G990" s="11">
        <f>IF(OR($B990="",NOT(ISNUMBER($C990))),"",IF($D990&lt;&gt;"",ROUND(Points!$B$6*IF($F990&lt;Points!$H$4,Points!$H$5,1),0),ROUND(Points!$B$6*IF($F990&lt;=1,1,Points!$H$7+(1-Points!$H$7)*((($F990-$E990)*(($F990-$E990)+1)/2)^2-((($F990-$E990-COUNTIFS($A$5:$A$1668,$A990,$C$5:$C$1668,$C990)+1)-1)*($F990-$E990-COUNTIFS($A$5:$A$1668,$A990,$C$5:$C$1668,$C990)+1)/2)^2)/(COUNTIFS($A$5:$A$1668,$A990,$C$5:$C$1668,$C990)*($F990-1)^3))*IF($F990&lt;Points!$H$4,Points!$H$5,1),0)))</f>
        <v/>
      </c>
      <c r="H990" s="11">
        <f>IF($G990="","",COUNTIFS($B$5:$B$1668,$B990,$G$5:$G$1668,"&gt;"&amp;$G990)+COUNTIFS($B$4:$B989,$B990,$G$4:$G989,$G990)+1)</f>
        <v/>
      </c>
      <c r="I990" s="11">
        <f>IF($G990="","",IF($H990&lt;=Points!$H$6,$G990,0))</f>
        <v/>
      </c>
      <c r="J990" s="11">
        <f>IF($B990="","",IF(COUNTIF(Players!$A$2:$A$500,$B990)=0,"Player is not on the Players tab",IF(NOT(ISNUMBER($C990)),"Enter a gross score",IF(COUNTIFS($A$5:$A$1668,$A990,$B$5:$B$1668,$B990)&gt;1,"Player is listed twice this week",IF(AND($D990&lt;&gt;"",COUNTIFS($A$5:$A$1668,$A990,$D$5:$D$1668,$D990)&gt;1),"Two players picked as "&amp;$D990,IF(COUNTIFS($A$5:$A$1668,$A990,$D$5:$D$1668,"Gross winner")=0,"Pick this week's gross winner",IF(COUNTIFS($A$5:$A$1668,$A990,$D$5:$D$1668,"Net winner")=0,"Pick this week's net winner","OK")))))))</f>
        <v/>
      </c>
    </row>
    <row r="991" outlineLevel="1">
      <c r="A991" s="13" t="n">
        <v>46603</v>
      </c>
      <c r="E991" s="11">
        <f>IF(OR($B991="",NOT(ISNUMBER($C991))),"",COUNTIFS($A$5:$A$1668,$A991,$C$5:$C$1668,"&lt;"&amp;$C991)+1)</f>
        <v/>
      </c>
      <c r="F991" s="11">
        <f>IF(OR($B991="",NOT(ISNUMBER($C991))),"",COUNTIFS($A$5:$A$1668,$A991,$C$5:$C$1668,"&gt;0"))</f>
        <v/>
      </c>
      <c r="G991" s="11">
        <f>IF(OR($B991="",NOT(ISNUMBER($C991))),"",IF($D991&lt;&gt;"",ROUND(Points!$B$6*IF($F991&lt;Points!$H$4,Points!$H$5,1),0),ROUND(Points!$B$6*IF($F991&lt;=1,1,Points!$H$7+(1-Points!$H$7)*((($F991-$E991)*(($F991-$E991)+1)/2)^2-((($F991-$E991-COUNTIFS($A$5:$A$1668,$A991,$C$5:$C$1668,$C991)+1)-1)*($F991-$E991-COUNTIFS($A$5:$A$1668,$A991,$C$5:$C$1668,$C991)+1)/2)^2)/(COUNTIFS($A$5:$A$1668,$A991,$C$5:$C$1668,$C991)*($F991-1)^3))*IF($F991&lt;Points!$H$4,Points!$H$5,1),0)))</f>
        <v/>
      </c>
      <c r="H991" s="11">
        <f>IF($G991="","",COUNTIFS($B$5:$B$1668,$B991,$G$5:$G$1668,"&gt;"&amp;$G991)+COUNTIFS($B$4:$B990,$B991,$G$4:$G990,$G991)+1)</f>
        <v/>
      </c>
      <c r="I991" s="11">
        <f>IF($G991="","",IF($H991&lt;=Points!$H$6,$G991,0))</f>
        <v/>
      </c>
      <c r="J991" s="11">
        <f>IF($B991="","",IF(COUNTIF(Players!$A$2:$A$500,$B991)=0,"Player is not on the Players tab",IF(NOT(ISNUMBER($C991)),"Enter a gross score",IF(COUNTIFS($A$5:$A$1668,$A991,$B$5:$B$1668,$B991)&gt;1,"Player is listed twice this week",IF(AND($D991&lt;&gt;"",COUNTIFS($A$5:$A$1668,$A991,$D$5:$D$1668,$D991)&gt;1),"Two players picked as "&amp;$D991,IF(COUNTIFS($A$5:$A$1668,$A991,$D$5:$D$1668,"Gross winner")=0,"Pick this week's gross winner",IF(COUNTIFS($A$5:$A$1668,$A991,$D$5:$D$1668,"Net winner")=0,"Pick this week's net winner","OK")))))))</f>
        <v/>
      </c>
    </row>
    <row r="992" outlineLevel="1">
      <c r="A992" s="13" t="n">
        <v>46603</v>
      </c>
      <c r="E992" s="11">
        <f>IF(OR($B992="",NOT(ISNUMBER($C992))),"",COUNTIFS($A$5:$A$1668,$A992,$C$5:$C$1668,"&lt;"&amp;$C992)+1)</f>
        <v/>
      </c>
      <c r="F992" s="11">
        <f>IF(OR($B992="",NOT(ISNUMBER($C992))),"",COUNTIFS($A$5:$A$1668,$A992,$C$5:$C$1668,"&gt;0"))</f>
        <v/>
      </c>
      <c r="G992" s="11">
        <f>IF(OR($B992="",NOT(ISNUMBER($C992))),"",IF($D992&lt;&gt;"",ROUND(Points!$B$6*IF($F992&lt;Points!$H$4,Points!$H$5,1),0),ROUND(Points!$B$6*IF($F992&lt;=1,1,Points!$H$7+(1-Points!$H$7)*((($F992-$E992)*(($F992-$E992)+1)/2)^2-((($F992-$E992-COUNTIFS($A$5:$A$1668,$A992,$C$5:$C$1668,$C992)+1)-1)*($F992-$E992-COUNTIFS($A$5:$A$1668,$A992,$C$5:$C$1668,$C992)+1)/2)^2)/(COUNTIFS($A$5:$A$1668,$A992,$C$5:$C$1668,$C992)*($F992-1)^3))*IF($F992&lt;Points!$H$4,Points!$H$5,1),0)))</f>
        <v/>
      </c>
      <c r="H992" s="11">
        <f>IF($G992="","",COUNTIFS($B$5:$B$1668,$B992,$G$5:$G$1668,"&gt;"&amp;$G992)+COUNTIFS($B$4:$B991,$B992,$G$4:$G991,$G992)+1)</f>
        <v/>
      </c>
      <c r="I992" s="11">
        <f>IF($G992="","",IF($H992&lt;=Points!$H$6,$G992,0))</f>
        <v/>
      </c>
      <c r="J992" s="11">
        <f>IF($B992="","",IF(COUNTIF(Players!$A$2:$A$500,$B992)=0,"Player is not on the Players tab",IF(NOT(ISNUMBER($C992)),"Enter a gross score",IF(COUNTIFS($A$5:$A$1668,$A992,$B$5:$B$1668,$B992)&gt;1,"Player is listed twice this week",IF(AND($D992&lt;&gt;"",COUNTIFS($A$5:$A$1668,$A992,$D$5:$D$1668,$D992)&gt;1),"Two players picked as "&amp;$D992,IF(COUNTIFS($A$5:$A$1668,$A992,$D$5:$D$1668,"Gross winner")=0,"Pick this week's gross winner",IF(COUNTIFS($A$5:$A$1668,$A992,$D$5:$D$1668,"Net winner")=0,"Pick this week's net winner","OK")))))))</f>
        <v/>
      </c>
    </row>
    <row r="993" outlineLevel="1">
      <c r="A993" s="13" t="n">
        <v>46603</v>
      </c>
      <c r="E993" s="11">
        <f>IF(OR($B993="",NOT(ISNUMBER($C993))),"",COUNTIFS($A$5:$A$1668,$A993,$C$5:$C$1668,"&lt;"&amp;$C993)+1)</f>
        <v/>
      </c>
      <c r="F993" s="11">
        <f>IF(OR($B993="",NOT(ISNUMBER($C993))),"",COUNTIFS($A$5:$A$1668,$A993,$C$5:$C$1668,"&gt;0"))</f>
        <v/>
      </c>
      <c r="G993" s="11">
        <f>IF(OR($B993="",NOT(ISNUMBER($C993))),"",IF($D993&lt;&gt;"",ROUND(Points!$B$6*IF($F993&lt;Points!$H$4,Points!$H$5,1),0),ROUND(Points!$B$6*IF($F993&lt;=1,1,Points!$H$7+(1-Points!$H$7)*((($F993-$E993)*(($F993-$E993)+1)/2)^2-((($F993-$E993-COUNTIFS($A$5:$A$1668,$A993,$C$5:$C$1668,$C993)+1)-1)*($F993-$E993-COUNTIFS($A$5:$A$1668,$A993,$C$5:$C$1668,$C993)+1)/2)^2)/(COUNTIFS($A$5:$A$1668,$A993,$C$5:$C$1668,$C993)*($F993-1)^3))*IF($F993&lt;Points!$H$4,Points!$H$5,1),0)))</f>
        <v/>
      </c>
      <c r="H993" s="11">
        <f>IF($G993="","",COUNTIFS($B$5:$B$1668,$B993,$G$5:$G$1668,"&gt;"&amp;$G993)+COUNTIFS($B$4:$B992,$B993,$G$4:$G992,$G993)+1)</f>
        <v/>
      </c>
      <c r="I993" s="11">
        <f>IF($G993="","",IF($H993&lt;=Points!$H$6,$G993,0))</f>
        <v/>
      </c>
      <c r="J993" s="11">
        <f>IF($B993="","",IF(COUNTIF(Players!$A$2:$A$500,$B993)=0,"Player is not on the Players tab",IF(NOT(ISNUMBER($C993)),"Enter a gross score",IF(COUNTIFS($A$5:$A$1668,$A993,$B$5:$B$1668,$B993)&gt;1,"Player is listed twice this week",IF(AND($D993&lt;&gt;"",COUNTIFS($A$5:$A$1668,$A993,$D$5:$D$1668,$D993)&gt;1),"Two players picked as "&amp;$D993,IF(COUNTIFS($A$5:$A$1668,$A993,$D$5:$D$1668,"Gross winner")=0,"Pick this week's gross winner",IF(COUNTIFS($A$5:$A$1668,$A993,$D$5:$D$1668,"Net winner")=0,"Pick this week's net winner","OK")))))))</f>
        <v/>
      </c>
    </row>
    <row r="994" outlineLevel="1">
      <c r="A994" s="13" t="n">
        <v>46603</v>
      </c>
      <c r="E994" s="11">
        <f>IF(OR($B994="",NOT(ISNUMBER($C994))),"",COUNTIFS($A$5:$A$1668,$A994,$C$5:$C$1668,"&lt;"&amp;$C994)+1)</f>
        <v/>
      </c>
      <c r="F994" s="11">
        <f>IF(OR($B994="",NOT(ISNUMBER($C994))),"",COUNTIFS($A$5:$A$1668,$A994,$C$5:$C$1668,"&gt;0"))</f>
        <v/>
      </c>
      <c r="G994" s="11">
        <f>IF(OR($B994="",NOT(ISNUMBER($C994))),"",IF($D994&lt;&gt;"",ROUND(Points!$B$6*IF($F994&lt;Points!$H$4,Points!$H$5,1),0),ROUND(Points!$B$6*IF($F994&lt;=1,1,Points!$H$7+(1-Points!$H$7)*((($F994-$E994)*(($F994-$E994)+1)/2)^2-((($F994-$E994-COUNTIFS($A$5:$A$1668,$A994,$C$5:$C$1668,$C994)+1)-1)*($F994-$E994-COUNTIFS($A$5:$A$1668,$A994,$C$5:$C$1668,$C994)+1)/2)^2)/(COUNTIFS($A$5:$A$1668,$A994,$C$5:$C$1668,$C994)*($F994-1)^3))*IF($F994&lt;Points!$H$4,Points!$H$5,1),0)))</f>
        <v/>
      </c>
      <c r="H994" s="11">
        <f>IF($G994="","",COUNTIFS($B$5:$B$1668,$B994,$G$5:$G$1668,"&gt;"&amp;$G994)+COUNTIFS($B$4:$B993,$B994,$G$4:$G993,$G994)+1)</f>
        <v/>
      </c>
      <c r="I994" s="11">
        <f>IF($G994="","",IF($H994&lt;=Points!$H$6,$G994,0))</f>
        <v/>
      </c>
      <c r="J994" s="11">
        <f>IF($B994="","",IF(COUNTIF(Players!$A$2:$A$500,$B994)=0,"Player is not on the Players tab",IF(NOT(ISNUMBER($C994)),"Enter a gross score",IF(COUNTIFS($A$5:$A$1668,$A994,$B$5:$B$1668,$B994)&gt;1,"Player is listed twice this week",IF(AND($D994&lt;&gt;"",COUNTIFS($A$5:$A$1668,$A994,$D$5:$D$1668,$D994)&gt;1),"Two players picked as "&amp;$D994,IF(COUNTIFS($A$5:$A$1668,$A994,$D$5:$D$1668,"Gross winner")=0,"Pick this week's gross winner",IF(COUNTIFS($A$5:$A$1668,$A994,$D$5:$D$1668,"Net winner")=0,"Pick this week's net winner","OK")))))))</f>
        <v/>
      </c>
    </row>
    <row r="995" outlineLevel="1">
      <c r="A995" s="13" t="n">
        <v>46603</v>
      </c>
      <c r="E995" s="11">
        <f>IF(OR($B995="",NOT(ISNUMBER($C995))),"",COUNTIFS($A$5:$A$1668,$A995,$C$5:$C$1668,"&lt;"&amp;$C995)+1)</f>
        <v/>
      </c>
      <c r="F995" s="11">
        <f>IF(OR($B995="",NOT(ISNUMBER($C995))),"",COUNTIFS($A$5:$A$1668,$A995,$C$5:$C$1668,"&gt;0"))</f>
        <v/>
      </c>
      <c r="G995" s="11">
        <f>IF(OR($B995="",NOT(ISNUMBER($C995))),"",IF($D995&lt;&gt;"",ROUND(Points!$B$6*IF($F995&lt;Points!$H$4,Points!$H$5,1),0),ROUND(Points!$B$6*IF($F995&lt;=1,1,Points!$H$7+(1-Points!$H$7)*((($F995-$E995)*(($F995-$E995)+1)/2)^2-((($F995-$E995-COUNTIFS($A$5:$A$1668,$A995,$C$5:$C$1668,$C995)+1)-1)*($F995-$E995-COUNTIFS($A$5:$A$1668,$A995,$C$5:$C$1668,$C995)+1)/2)^2)/(COUNTIFS($A$5:$A$1668,$A995,$C$5:$C$1668,$C995)*($F995-1)^3))*IF($F995&lt;Points!$H$4,Points!$H$5,1),0)))</f>
        <v/>
      </c>
      <c r="H995" s="11">
        <f>IF($G995="","",COUNTIFS($B$5:$B$1668,$B995,$G$5:$G$1668,"&gt;"&amp;$G995)+COUNTIFS($B$4:$B994,$B995,$G$4:$G994,$G995)+1)</f>
        <v/>
      </c>
      <c r="I995" s="11">
        <f>IF($G995="","",IF($H995&lt;=Points!$H$6,$G995,0))</f>
        <v/>
      </c>
      <c r="J995" s="11">
        <f>IF($B995="","",IF(COUNTIF(Players!$A$2:$A$500,$B995)=0,"Player is not on the Players tab",IF(NOT(ISNUMBER($C995)),"Enter a gross score",IF(COUNTIFS($A$5:$A$1668,$A995,$B$5:$B$1668,$B995)&gt;1,"Player is listed twice this week",IF(AND($D995&lt;&gt;"",COUNTIFS($A$5:$A$1668,$A995,$D$5:$D$1668,$D995)&gt;1),"Two players picked as "&amp;$D995,IF(COUNTIFS($A$5:$A$1668,$A995,$D$5:$D$1668,"Gross winner")=0,"Pick this week's gross winner",IF(COUNTIFS($A$5:$A$1668,$A995,$D$5:$D$1668,"Net winner")=0,"Pick this week's net winner","OK")))))))</f>
        <v/>
      </c>
    </row>
    <row r="996" ht="10" customHeight="1"/>
    <row r="997" ht="22" customHeight="1">
      <c r="A997" s="12" t="inlineStr">
        <is>
          <t>Week 32  ·  Wednesday, Aug 11</t>
        </is>
      </c>
    </row>
    <row r="998" outlineLevel="1">
      <c r="A998" s="13" t="n">
        <v>46610</v>
      </c>
      <c r="E998" s="11">
        <f>IF(OR($B998="",NOT(ISNUMBER($C998))),"",COUNTIFS($A$5:$A$1668,$A998,$C$5:$C$1668,"&lt;"&amp;$C998)+1)</f>
        <v/>
      </c>
      <c r="F998" s="11">
        <f>IF(OR($B998="",NOT(ISNUMBER($C998))),"",COUNTIFS($A$5:$A$1668,$A998,$C$5:$C$1668,"&gt;0"))</f>
        <v/>
      </c>
      <c r="G998" s="11">
        <f>IF(OR($B998="",NOT(ISNUMBER($C998))),"",IF($D998&lt;&gt;"",ROUND(Points!$B$6*IF($F998&lt;Points!$H$4,Points!$H$5,1),0),ROUND(Points!$B$6*IF($F998&lt;=1,1,Points!$H$7+(1-Points!$H$7)*((($F998-$E998)*(($F998-$E998)+1)/2)^2-((($F998-$E998-COUNTIFS($A$5:$A$1668,$A998,$C$5:$C$1668,$C998)+1)-1)*($F998-$E998-COUNTIFS($A$5:$A$1668,$A998,$C$5:$C$1668,$C998)+1)/2)^2)/(COUNTIFS($A$5:$A$1668,$A998,$C$5:$C$1668,$C998)*($F998-1)^3))*IF($F998&lt;Points!$H$4,Points!$H$5,1),0)))</f>
        <v/>
      </c>
      <c r="H998" s="11">
        <f>IF($G998="","",COUNTIFS($B$5:$B$1668,$B998,$G$5:$G$1668,"&gt;"&amp;$G998)+COUNTIFS($B$4:$B997,$B998,$G$4:$G997,$G998)+1)</f>
        <v/>
      </c>
      <c r="I998" s="11">
        <f>IF($G998="","",IF($H998&lt;=Points!$H$6,$G998,0))</f>
        <v/>
      </c>
      <c r="J998" s="11">
        <f>IF($B998="","",IF(COUNTIF(Players!$A$2:$A$500,$B998)=0,"Player is not on the Players tab",IF(NOT(ISNUMBER($C998)),"Enter a gross score",IF(COUNTIFS($A$5:$A$1668,$A998,$B$5:$B$1668,$B998)&gt;1,"Player is listed twice this week",IF(AND($D998&lt;&gt;"",COUNTIFS($A$5:$A$1668,$A998,$D$5:$D$1668,$D998)&gt;1),"Two players picked as "&amp;$D998,IF(COUNTIFS($A$5:$A$1668,$A998,$D$5:$D$1668,"Gross winner")=0,"Pick this week's gross winner",IF(COUNTIFS($A$5:$A$1668,$A998,$D$5:$D$1668,"Net winner")=0,"Pick this week's net winner","OK")))))))</f>
        <v/>
      </c>
    </row>
    <row r="999" outlineLevel="1">
      <c r="A999" s="13" t="n">
        <v>46610</v>
      </c>
      <c r="E999" s="11">
        <f>IF(OR($B999="",NOT(ISNUMBER($C999))),"",COUNTIFS($A$5:$A$1668,$A999,$C$5:$C$1668,"&lt;"&amp;$C999)+1)</f>
        <v/>
      </c>
      <c r="F999" s="11">
        <f>IF(OR($B999="",NOT(ISNUMBER($C999))),"",COUNTIFS($A$5:$A$1668,$A999,$C$5:$C$1668,"&gt;0"))</f>
        <v/>
      </c>
      <c r="G999" s="11">
        <f>IF(OR($B999="",NOT(ISNUMBER($C999))),"",IF($D999&lt;&gt;"",ROUND(Points!$B$6*IF($F999&lt;Points!$H$4,Points!$H$5,1),0),ROUND(Points!$B$6*IF($F999&lt;=1,1,Points!$H$7+(1-Points!$H$7)*((($F999-$E999)*(($F999-$E999)+1)/2)^2-((($F999-$E999-COUNTIFS($A$5:$A$1668,$A999,$C$5:$C$1668,$C999)+1)-1)*($F999-$E999-COUNTIFS($A$5:$A$1668,$A999,$C$5:$C$1668,$C999)+1)/2)^2)/(COUNTIFS($A$5:$A$1668,$A999,$C$5:$C$1668,$C999)*($F999-1)^3))*IF($F999&lt;Points!$H$4,Points!$H$5,1),0)))</f>
        <v/>
      </c>
      <c r="H999" s="11">
        <f>IF($G999="","",COUNTIFS($B$5:$B$1668,$B999,$G$5:$G$1668,"&gt;"&amp;$G999)+COUNTIFS($B$4:$B998,$B999,$G$4:$G998,$G999)+1)</f>
        <v/>
      </c>
      <c r="I999" s="11">
        <f>IF($G999="","",IF($H999&lt;=Points!$H$6,$G999,0))</f>
        <v/>
      </c>
      <c r="J999" s="11">
        <f>IF($B999="","",IF(COUNTIF(Players!$A$2:$A$500,$B999)=0,"Player is not on the Players tab",IF(NOT(ISNUMBER($C999)),"Enter a gross score",IF(COUNTIFS($A$5:$A$1668,$A999,$B$5:$B$1668,$B999)&gt;1,"Player is listed twice this week",IF(AND($D999&lt;&gt;"",COUNTIFS($A$5:$A$1668,$A999,$D$5:$D$1668,$D999)&gt;1),"Two players picked as "&amp;$D999,IF(COUNTIFS($A$5:$A$1668,$A999,$D$5:$D$1668,"Gross winner")=0,"Pick this week's gross winner",IF(COUNTIFS($A$5:$A$1668,$A999,$D$5:$D$1668,"Net winner")=0,"Pick this week's net winner","OK")))))))</f>
        <v/>
      </c>
    </row>
    <row r="1000" outlineLevel="1">
      <c r="A1000" s="13" t="n">
        <v>46610</v>
      </c>
      <c r="E1000" s="11">
        <f>IF(OR($B1000="",NOT(ISNUMBER($C1000))),"",COUNTIFS($A$5:$A$1668,$A1000,$C$5:$C$1668,"&lt;"&amp;$C1000)+1)</f>
        <v/>
      </c>
      <c r="F1000" s="11">
        <f>IF(OR($B1000="",NOT(ISNUMBER($C1000))),"",COUNTIFS($A$5:$A$1668,$A1000,$C$5:$C$1668,"&gt;0"))</f>
        <v/>
      </c>
      <c r="G1000" s="11">
        <f>IF(OR($B1000="",NOT(ISNUMBER($C1000))),"",IF($D1000&lt;&gt;"",ROUND(Points!$B$6*IF($F1000&lt;Points!$H$4,Points!$H$5,1),0),ROUND(Points!$B$6*IF($F1000&lt;=1,1,Points!$H$7+(1-Points!$H$7)*((($F1000-$E1000)*(($F1000-$E1000)+1)/2)^2-((($F1000-$E1000-COUNTIFS($A$5:$A$1668,$A1000,$C$5:$C$1668,$C1000)+1)-1)*($F1000-$E1000-COUNTIFS($A$5:$A$1668,$A1000,$C$5:$C$1668,$C1000)+1)/2)^2)/(COUNTIFS($A$5:$A$1668,$A1000,$C$5:$C$1668,$C1000)*($F1000-1)^3))*IF($F1000&lt;Points!$H$4,Points!$H$5,1),0)))</f>
        <v/>
      </c>
      <c r="H1000" s="11">
        <f>IF($G1000="","",COUNTIFS($B$5:$B$1668,$B1000,$G$5:$G$1668,"&gt;"&amp;$G1000)+COUNTIFS($B$4:$B999,$B1000,$G$4:$G999,$G1000)+1)</f>
        <v/>
      </c>
      <c r="I1000" s="11">
        <f>IF($G1000="","",IF($H1000&lt;=Points!$H$6,$G1000,0))</f>
        <v/>
      </c>
      <c r="J1000" s="11">
        <f>IF($B1000="","",IF(COUNTIF(Players!$A$2:$A$500,$B1000)=0,"Player is not on the Players tab",IF(NOT(ISNUMBER($C1000)),"Enter a gross score",IF(COUNTIFS($A$5:$A$1668,$A1000,$B$5:$B$1668,$B1000)&gt;1,"Player is listed twice this week",IF(AND($D1000&lt;&gt;"",COUNTIFS($A$5:$A$1668,$A1000,$D$5:$D$1668,$D1000)&gt;1),"Two players picked as "&amp;$D1000,IF(COUNTIFS($A$5:$A$1668,$A1000,$D$5:$D$1668,"Gross winner")=0,"Pick this week's gross winner",IF(COUNTIFS($A$5:$A$1668,$A1000,$D$5:$D$1668,"Net winner")=0,"Pick this week's net winner","OK")))))))</f>
        <v/>
      </c>
    </row>
    <row r="1001" outlineLevel="1">
      <c r="A1001" s="13" t="n">
        <v>46610</v>
      </c>
      <c r="E1001" s="11">
        <f>IF(OR($B1001="",NOT(ISNUMBER($C1001))),"",COUNTIFS($A$5:$A$1668,$A1001,$C$5:$C$1668,"&lt;"&amp;$C1001)+1)</f>
        <v/>
      </c>
      <c r="F1001" s="11">
        <f>IF(OR($B1001="",NOT(ISNUMBER($C1001))),"",COUNTIFS($A$5:$A$1668,$A1001,$C$5:$C$1668,"&gt;0"))</f>
        <v/>
      </c>
      <c r="G1001" s="11">
        <f>IF(OR($B1001="",NOT(ISNUMBER($C1001))),"",IF($D1001&lt;&gt;"",ROUND(Points!$B$6*IF($F1001&lt;Points!$H$4,Points!$H$5,1),0),ROUND(Points!$B$6*IF($F1001&lt;=1,1,Points!$H$7+(1-Points!$H$7)*((($F1001-$E1001)*(($F1001-$E1001)+1)/2)^2-((($F1001-$E1001-COUNTIFS($A$5:$A$1668,$A1001,$C$5:$C$1668,$C1001)+1)-1)*($F1001-$E1001-COUNTIFS($A$5:$A$1668,$A1001,$C$5:$C$1668,$C1001)+1)/2)^2)/(COUNTIFS($A$5:$A$1668,$A1001,$C$5:$C$1668,$C1001)*($F1001-1)^3))*IF($F1001&lt;Points!$H$4,Points!$H$5,1),0)))</f>
        <v/>
      </c>
      <c r="H1001" s="11">
        <f>IF($G1001="","",COUNTIFS($B$5:$B$1668,$B1001,$G$5:$G$1668,"&gt;"&amp;$G1001)+COUNTIFS($B$4:$B1000,$B1001,$G$4:$G1000,$G1001)+1)</f>
        <v/>
      </c>
      <c r="I1001" s="11">
        <f>IF($G1001="","",IF($H1001&lt;=Points!$H$6,$G1001,0))</f>
        <v/>
      </c>
      <c r="J1001" s="11">
        <f>IF($B1001="","",IF(COUNTIF(Players!$A$2:$A$500,$B1001)=0,"Player is not on the Players tab",IF(NOT(ISNUMBER($C1001)),"Enter a gross score",IF(COUNTIFS($A$5:$A$1668,$A1001,$B$5:$B$1668,$B1001)&gt;1,"Player is listed twice this week",IF(AND($D1001&lt;&gt;"",COUNTIFS($A$5:$A$1668,$A1001,$D$5:$D$1668,$D1001)&gt;1),"Two players picked as "&amp;$D1001,IF(COUNTIFS($A$5:$A$1668,$A1001,$D$5:$D$1668,"Gross winner")=0,"Pick this week's gross winner",IF(COUNTIFS($A$5:$A$1668,$A1001,$D$5:$D$1668,"Net winner")=0,"Pick this week's net winner","OK")))))))</f>
        <v/>
      </c>
    </row>
    <row r="1002" outlineLevel="1">
      <c r="A1002" s="13" t="n">
        <v>46610</v>
      </c>
      <c r="E1002" s="11">
        <f>IF(OR($B1002="",NOT(ISNUMBER($C1002))),"",COUNTIFS($A$5:$A$1668,$A1002,$C$5:$C$1668,"&lt;"&amp;$C1002)+1)</f>
        <v/>
      </c>
      <c r="F1002" s="11">
        <f>IF(OR($B1002="",NOT(ISNUMBER($C1002))),"",COUNTIFS($A$5:$A$1668,$A1002,$C$5:$C$1668,"&gt;0"))</f>
        <v/>
      </c>
      <c r="G1002" s="11">
        <f>IF(OR($B1002="",NOT(ISNUMBER($C1002))),"",IF($D1002&lt;&gt;"",ROUND(Points!$B$6*IF($F1002&lt;Points!$H$4,Points!$H$5,1),0),ROUND(Points!$B$6*IF($F1002&lt;=1,1,Points!$H$7+(1-Points!$H$7)*((($F1002-$E1002)*(($F1002-$E1002)+1)/2)^2-((($F1002-$E1002-COUNTIFS($A$5:$A$1668,$A1002,$C$5:$C$1668,$C1002)+1)-1)*($F1002-$E1002-COUNTIFS($A$5:$A$1668,$A1002,$C$5:$C$1668,$C1002)+1)/2)^2)/(COUNTIFS($A$5:$A$1668,$A1002,$C$5:$C$1668,$C1002)*($F1002-1)^3))*IF($F1002&lt;Points!$H$4,Points!$H$5,1),0)))</f>
        <v/>
      </c>
      <c r="H1002" s="11">
        <f>IF($G1002="","",COUNTIFS($B$5:$B$1668,$B1002,$G$5:$G$1668,"&gt;"&amp;$G1002)+COUNTIFS($B$4:$B1001,$B1002,$G$4:$G1001,$G1002)+1)</f>
        <v/>
      </c>
      <c r="I1002" s="11">
        <f>IF($G1002="","",IF($H1002&lt;=Points!$H$6,$G1002,0))</f>
        <v/>
      </c>
      <c r="J1002" s="11">
        <f>IF($B1002="","",IF(COUNTIF(Players!$A$2:$A$500,$B1002)=0,"Player is not on the Players tab",IF(NOT(ISNUMBER($C1002)),"Enter a gross score",IF(COUNTIFS($A$5:$A$1668,$A1002,$B$5:$B$1668,$B1002)&gt;1,"Player is listed twice this week",IF(AND($D1002&lt;&gt;"",COUNTIFS($A$5:$A$1668,$A1002,$D$5:$D$1668,$D1002)&gt;1),"Two players picked as "&amp;$D1002,IF(COUNTIFS($A$5:$A$1668,$A1002,$D$5:$D$1668,"Gross winner")=0,"Pick this week's gross winner",IF(COUNTIFS($A$5:$A$1668,$A1002,$D$5:$D$1668,"Net winner")=0,"Pick this week's net winner","OK")))))))</f>
        <v/>
      </c>
    </row>
    <row r="1003" outlineLevel="1">
      <c r="A1003" s="13" t="n">
        <v>46610</v>
      </c>
      <c r="E1003" s="11">
        <f>IF(OR($B1003="",NOT(ISNUMBER($C1003))),"",COUNTIFS($A$5:$A$1668,$A1003,$C$5:$C$1668,"&lt;"&amp;$C1003)+1)</f>
        <v/>
      </c>
      <c r="F1003" s="11">
        <f>IF(OR($B1003="",NOT(ISNUMBER($C1003))),"",COUNTIFS($A$5:$A$1668,$A1003,$C$5:$C$1668,"&gt;0"))</f>
        <v/>
      </c>
      <c r="G1003" s="11">
        <f>IF(OR($B1003="",NOT(ISNUMBER($C1003))),"",IF($D1003&lt;&gt;"",ROUND(Points!$B$6*IF($F1003&lt;Points!$H$4,Points!$H$5,1),0),ROUND(Points!$B$6*IF($F1003&lt;=1,1,Points!$H$7+(1-Points!$H$7)*((($F1003-$E1003)*(($F1003-$E1003)+1)/2)^2-((($F1003-$E1003-COUNTIFS($A$5:$A$1668,$A1003,$C$5:$C$1668,$C1003)+1)-1)*($F1003-$E1003-COUNTIFS($A$5:$A$1668,$A1003,$C$5:$C$1668,$C1003)+1)/2)^2)/(COUNTIFS($A$5:$A$1668,$A1003,$C$5:$C$1668,$C1003)*($F1003-1)^3))*IF($F1003&lt;Points!$H$4,Points!$H$5,1),0)))</f>
        <v/>
      </c>
      <c r="H1003" s="11">
        <f>IF($G1003="","",COUNTIFS($B$5:$B$1668,$B1003,$G$5:$G$1668,"&gt;"&amp;$G1003)+COUNTIFS($B$4:$B1002,$B1003,$G$4:$G1002,$G1003)+1)</f>
        <v/>
      </c>
      <c r="I1003" s="11">
        <f>IF($G1003="","",IF($H1003&lt;=Points!$H$6,$G1003,0))</f>
        <v/>
      </c>
      <c r="J1003" s="11">
        <f>IF($B1003="","",IF(COUNTIF(Players!$A$2:$A$500,$B1003)=0,"Player is not on the Players tab",IF(NOT(ISNUMBER($C1003)),"Enter a gross score",IF(COUNTIFS($A$5:$A$1668,$A1003,$B$5:$B$1668,$B1003)&gt;1,"Player is listed twice this week",IF(AND($D1003&lt;&gt;"",COUNTIFS($A$5:$A$1668,$A1003,$D$5:$D$1668,$D1003)&gt;1),"Two players picked as "&amp;$D1003,IF(COUNTIFS($A$5:$A$1668,$A1003,$D$5:$D$1668,"Gross winner")=0,"Pick this week's gross winner",IF(COUNTIFS($A$5:$A$1668,$A1003,$D$5:$D$1668,"Net winner")=0,"Pick this week's net winner","OK")))))))</f>
        <v/>
      </c>
    </row>
    <row r="1004" outlineLevel="1">
      <c r="A1004" s="13" t="n">
        <v>46610</v>
      </c>
      <c r="E1004" s="11">
        <f>IF(OR($B1004="",NOT(ISNUMBER($C1004))),"",COUNTIFS($A$5:$A$1668,$A1004,$C$5:$C$1668,"&lt;"&amp;$C1004)+1)</f>
        <v/>
      </c>
      <c r="F1004" s="11">
        <f>IF(OR($B1004="",NOT(ISNUMBER($C1004))),"",COUNTIFS($A$5:$A$1668,$A1004,$C$5:$C$1668,"&gt;0"))</f>
        <v/>
      </c>
      <c r="G1004" s="11">
        <f>IF(OR($B1004="",NOT(ISNUMBER($C1004))),"",IF($D1004&lt;&gt;"",ROUND(Points!$B$6*IF($F1004&lt;Points!$H$4,Points!$H$5,1),0),ROUND(Points!$B$6*IF($F1004&lt;=1,1,Points!$H$7+(1-Points!$H$7)*((($F1004-$E1004)*(($F1004-$E1004)+1)/2)^2-((($F1004-$E1004-COUNTIFS($A$5:$A$1668,$A1004,$C$5:$C$1668,$C1004)+1)-1)*($F1004-$E1004-COUNTIFS($A$5:$A$1668,$A1004,$C$5:$C$1668,$C1004)+1)/2)^2)/(COUNTIFS($A$5:$A$1668,$A1004,$C$5:$C$1668,$C1004)*($F1004-1)^3))*IF($F1004&lt;Points!$H$4,Points!$H$5,1),0)))</f>
        <v/>
      </c>
      <c r="H1004" s="11">
        <f>IF($G1004="","",COUNTIFS($B$5:$B$1668,$B1004,$G$5:$G$1668,"&gt;"&amp;$G1004)+COUNTIFS($B$4:$B1003,$B1004,$G$4:$G1003,$G1004)+1)</f>
        <v/>
      </c>
      <c r="I1004" s="11">
        <f>IF($G1004="","",IF($H1004&lt;=Points!$H$6,$G1004,0))</f>
        <v/>
      </c>
      <c r="J1004" s="11">
        <f>IF($B1004="","",IF(COUNTIF(Players!$A$2:$A$500,$B1004)=0,"Player is not on the Players tab",IF(NOT(ISNUMBER($C1004)),"Enter a gross score",IF(COUNTIFS($A$5:$A$1668,$A1004,$B$5:$B$1668,$B1004)&gt;1,"Player is listed twice this week",IF(AND($D1004&lt;&gt;"",COUNTIFS($A$5:$A$1668,$A1004,$D$5:$D$1668,$D1004)&gt;1),"Two players picked as "&amp;$D1004,IF(COUNTIFS($A$5:$A$1668,$A1004,$D$5:$D$1668,"Gross winner")=0,"Pick this week's gross winner",IF(COUNTIFS($A$5:$A$1668,$A1004,$D$5:$D$1668,"Net winner")=0,"Pick this week's net winner","OK")))))))</f>
        <v/>
      </c>
    </row>
    <row r="1005" outlineLevel="1">
      <c r="A1005" s="13" t="n">
        <v>46610</v>
      </c>
      <c r="E1005" s="11">
        <f>IF(OR($B1005="",NOT(ISNUMBER($C1005))),"",COUNTIFS($A$5:$A$1668,$A1005,$C$5:$C$1668,"&lt;"&amp;$C1005)+1)</f>
        <v/>
      </c>
      <c r="F1005" s="11">
        <f>IF(OR($B1005="",NOT(ISNUMBER($C1005))),"",COUNTIFS($A$5:$A$1668,$A1005,$C$5:$C$1668,"&gt;0"))</f>
        <v/>
      </c>
      <c r="G1005" s="11">
        <f>IF(OR($B1005="",NOT(ISNUMBER($C1005))),"",IF($D1005&lt;&gt;"",ROUND(Points!$B$6*IF($F1005&lt;Points!$H$4,Points!$H$5,1),0),ROUND(Points!$B$6*IF($F1005&lt;=1,1,Points!$H$7+(1-Points!$H$7)*((($F1005-$E1005)*(($F1005-$E1005)+1)/2)^2-((($F1005-$E1005-COUNTIFS($A$5:$A$1668,$A1005,$C$5:$C$1668,$C1005)+1)-1)*($F1005-$E1005-COUNTIFS($A$5:$A$1668,$A1005,$C$5:$C$1668,$C1005)+1)/2)^2)/(COUNTIFS($A$5:$A$1668,$A1005,$C$5:$C$1668,$C1005)*($F1005-1)^3))*IF($F1005&lt;Points!$H$4,Points!$H$5,1),0)))</f>
        <v/>
      </c>
      <c r="H1005" s="11">
        <f>IF($G1005="","",COUNTIFS($B$5:$B$1668,$B1005,$G$5:$G$1668,"&gt;"&amp;$G1005)+COUNTIFS($B$4:$B1004,$B1005,$G$4:$G1004,$G1005)+1)</f>
        <v/>
      </c>
      <c r="I1005" s="11">
        <f>IF($G1005="","",IF($H1005&lt;=Points!$H$6,$G1005,0))</f>
        <v/>
      </c>
      <c r="J1005" s="11">
        <f>IF($B1005="","",IF(COUNTIF(Players!$A$2:$A$500,$B1005)=0,"Player is not on the Players tab",IF(NOT(ISNUMBER($C1005)),"Enter a gross score",IF(COUNTIFS($A$5:$A$1668,$A1005,$B$5:$B$1668,$B1005)&gt;1,"Player is listed twice this week",IF(AND($D1005&lt;&gt;"",COUNTIFS($A$5:$A$1668,$A1005,$D$5:$D$1668,$D1005)&gt;1),"Two players picked as "&amp;$D1005,IF(COUNTIFS($A$5:$A$1668,$A1005,$D$5:$D$1668,"Gross winner")=0,"Pick this week's gross winner",IF(COUNTIFS($A$5:$A$1668,$A1005,$D$5:$D$1668,"Net winner")=0,"Pick this week's net winner","OK")))))))</f>
        <v/>
      </c>
    </row>
    <row r="1006" outlineLevel="1">
      <c r="A1006" s="13" t="n">
        <v>46610</v>
      </c>
      <c r="E1006" s="11">
        <f>IF(OR($B1006="",NOT(ISNUMBER($C1006))),"",COUNTIFS($A$5:$A$1668,$A1006,$C$5:$C$1668,"&lt;"&amp;$C1006)+1)</f>
        <v/>
      </c>
      <c r="F1006" s="11">
        <f>IF(OR($B1006="",NOT(ISNUMBER($C1006))),"",COUNTIFS($A$5:$A$1668,$A1006,$C$5:$C$1668,"&gt;0"))</f>
        <v/>
      </c>
      <c r="G1006" s="11">
        <f>IF(OR($B1006="",NOT(ISNUMBER($C1006))),"",IF($D1006&lt;&gt;"",ROUND(Points!$B$6*IF($F1006&lt;Points!$H$4,Points!$H$5,1),0),ROUND(Points!$B$6*IF($F1006&lt;=1,1,Points!$H$7+(1-Points!$H$7)*((($F1006-$E1006)*(($F1006-$E1006)+1)/2)^2-((($F1006-$E1006-COUNTIFS($A$5:$A$1668,$A1006,$C$5:$C$1668,$C1006)+1)-1)*($F1006-$E1006-COUNTIFS($A$5:$A$1668,$A1006,$C$5:$C$1668,$C1006)+1)/2)^2)/(COUNTIFS($A$5:$A$1668,$A1006,$C$5:$C$1668,$C1006)*($F1006-1)^3))*IF($F1006&lt;Points!$H$4,Points!$H$5,1),0)))</f>
        <v/>
      </c>
      <c r="H1006" s="11">
        <f>IF($G1006="","",COUNTIFS($B$5:$B$1668,$B1006,$G$5:$G$1668,"&gt;"&amp;$G1006)+COUNTIFS($B$4:$B1005,$B1006,$G$4:$G1005,$G1006)+1)</f>
        <v/>
      </c>
      <c r="I1006" s="11">
        <f>IF($G1006="","",IF($H1006&lt;=Points!$H$6,$G1006,0))</f>
        <v/>
      </c>
      <c r="J1006" s="11">
        <f>IF($B1006="","",IF(COUNTIF(Players!$A$2:$A$500,$B1006)=0,"Player is not on the Players tab",IF(NOT(ISNUMBER($C1006)),"Enter a gross score",IF(COUNTIFS($A$5:$A$1668,$A1006,$B$5:$B$1668,$B1006)&gt;1,"Player is listed twice this week",IF(AND($D1006&lt;&gt;"",COUNTIFS($A$5:$A$1668,$A1006,$D$5:$D$1668,$D1006)&gt;1),"Two players picked as "&amp;$D1006,IF(COUNTIFS($A$5:$A$1668,$A1006,$D$5:$D$1668,"Gross winner")=0,"Pick this week's gross winner",IF(COUNTIFS($A$5:$A$1668,$A1006,$D$5:$D$1668,"Net winner")=0,"Pick this week's net winner","OK")))))))</f>
        <v/>
      </c>
    </row>
    <row r="1007" outlineLevel="1">
      <c r="A1007" s="13" t="n">
        <v>46610</v>
      </c>
      <c r="E1007" s="11">
        <f>IF(OR($B1007="",NOT(ISNUMBER($C1007))),"",COUNTIFS($A$5:$A$1668,$A1007,$C$5:$C$1668,"&lt;"&amp;$C1007)+1)</f>
        <v/>
      </c>
      <c r="F1007" s="11">
        <f>IF(OR($B1007="",NOT(ISNUMBER($C1007))),"",COUNTIFS($A$5:$A$1668,$A1007,$C$5:$C$1668,"&gt;0"))</f>
        <v/>
      </c>
      <c r="G1007" s="11">
        <f>IF(OR($B1007="",NOT(ISNUMBER($C1007))),"",IF($D1007&lt;&gt;"",ROUND(Points!$B$6*IF($F1007&lt;Points!$H$4,Points!$H$5,1),0),ROUND(Points!$B$6*IF($F1007&lt;=1,1,Points!$H$7+(1-Points!$H$7)*((($F1007-$E1007)*(($F1007-$E1007)+1)/2)^2-((($F1007-$E1007-COUNTIFS($A$5:$A$1668,$A1007,$C$5:$C$1668,$C1007)+1)-1)*($F1007-$E1007-COUNTIFS($A$5:$A$1668,$A1007,$C$5:$C$1668,$C1007)+1)/2)^2)/(COUNTIFS($A$5:$A$1668,$A1007,$C$5:$C$1668,$C1007)*($F1007-1)^3))*IF($F1007&lt;Points!$H$4,Points!$H$5,1),0)))</f>
        <v/>
      </c>
      <c r="H1007" s="11">
        <f>IF($G1007="","",COUNTIFS($B$5:$B$1668,$B1007,$G$5:$G$1668,"&gt;"&amp;$G1007)+COUNTIFS($B$4:$B1006,$B1007,$G$4:$G1006,$G1007)+1)</f>
        <v/>
      </c>
      <c r="I1007" s="11">
        <f>IF($G1007="","",IF($H1007&lt;=Points!$H$6,$G1007,0))</f>
        <v/>
      </c>
      <c r="J1007" s="11">
        <f>IF($B1007="","",IF(COUNTIF(Players!$A$2:$A$500,$B1007)=0,"Player is not on the Players tab",IF(NOT(ISNUMBER($C1007)),"Enter a gross score",IF(COUNTIFS($A$5:$A$1668,$A1007,$B$5:$B$1668,$B1007)&gt;1,"Player is listed twice this week",IF(AND($D1007&lt;&gt;"",COUNTIFS($A$5:$A$1668,$A1007,$D$5:$D$1668,$D1007)&gt;1),"Two players picked as "&amp;$D1007,IF(COUNTIFS($A$5:$A$1668,$A1007,$D$5:$D$1668,"Gross winner")=0,"Pick this week's gross winner",IF(COUNTIFS($A$5:$A$1668,$A1007,$D$5:$D$1668,"Net winner")=0,"Pick this week's net winner","OK")))))))</f>
        <v/>
      </c>
    </row>
    <row r="1008" outlineLevel="1">
      <c r="A1008" s="13" t="n">
        <v>46610</v>
      </c>
      <c r="E1008" s="11">
        <f>IF(OR($B1008="",NOT(ISNUMBER($C1008))),"",COUNTIFS($A$5:$A$1668,$A1008,$C$5:$C$1668,"&lt;"&amp;$C1008)+1)</f>
        <v/>
      </c>
      <c r="F1008" s="11">
        <f>IF(OR($B1008="",NOT(ISNUMBER($C1008))),"",COUNTIFS($A$5:$A$1668,$A1008,$C$5:$C$1668,"&gt;0"))</f>
        <v/>
      </c>
      <c r="G1008" s="11">
        <f>IF(OR($B1008="",NOT(ISNUMBER($C1008))),"",IF($D1008&lt;&gt;"",ROUND(Points!$B$6*IF($F1008&lt;Points!$H$4,Points!$H$5,1),0),ROUND(Points!$B$6*IF($F1008&lt;=1,1,Points!$H$7+(1-Points!$H$7)*((($F1008-$E1008)*(($F1008-$E1008)+1)/2)^2-((($F1008-$E1008-COUNTIFS($A$5:$A$1668,$A1008,$C$5:$C$1668,$C1008)+1)-1)*($F1008-$E1008-COUNTIFS($A$5:$A$1668,$A1008,$C$5:$C$1668,$C1008)+1)/2)^2)/(COUNTIFS($A$5:$A$1668,$A1008,$C$5:$C$1668,$C1008)*($F1008-1)^3))*IF($F1008&lt;Points!$H$4,Points!$H$5,1),0)))</f>
        <v/>
      </c>
      <c r="H1008" s="11">
        <f>IF($G1008="","",COUNTIFS($B$5:$B$1668,$B1008,$G$5:$G$1668,"&gt;"&amp;$G1008)+COUNTIFS($B$4:$B1007,$B1008,$G$4:$G1007,$G1008)+1)</f>
        <v/>
      </c>
      <c r="I1008" s="11">
        <f>IF($G1008="","",IF($H1008&lt;=Points!$H$6,$G1008,0))</f>
        <v/>
      </c>
      <c r="J1008" s="11">
        <f>IF($B1008="","",IF(COUNTIF(Players!$A$2:$A$500,$B1008)=0,"Player is not on the Players tab",IF(NOT(ISNUMBER($C1008)),"Enter a gross score",IF(COUNTIFS($A$5:$A$1668,$A1008,$B$5:$B$1668,$B1008)&gt;1,"Player is listed twice this week",IF(AND($D1008&lt;&gt;"",COUNTIFS($A$5:$A$1668,$A1008,$D$5:$D$1668,$D1008)&gt;1),"Two players picked as "&amp;$D1008,IF(COUNTIFS($A$5:$A$1668,$A1008,$D$5:$D$1668,"Gross winner")=0,"Pick this week's gross winner",IF(COUNTIFS($A$5:$A$1668,$A1008,$D$5:$D$1668,"Net winner")=0,"Pick this week's net winner","OK")))))))</f>
        <v/>
      </c>
    </row>
    <row r="1009" outlineLevel="1">
      <c r="A1009" s="13" t="n">
        <v>46610</v>
      </c>
      <c r="E1009" s="11">
        <f>IF(OR($B1009="",NOT(ISNUMBER($C1009))),"",COUNTIFS($A$5:$A$1668,$A1009,$C$5:$C$1668,"&lt;"&amp;$C1009)+1)</f>
        <v/>
      </c>
      <c r="F1009" s="11">
        <f>IF(OR($B1009="",NOT(ISNUMBER($C1009))),"",COUNTIFS($A$5:$A$1668,$A1009,$C$5:$C$1668,"&gt;0"))</f>
        <v/>
      </c>
      <c r="G1009" s="11">
        <f>IF(OR($B1009="",NOT(ISNUMBER($C1009))),"",IF($D1009&lt;&gt;"",ROUND(Points!$B$6*IF($F1009&lt;Points!$H$4,Points!$H$5,1),0),ROUND(Points!$B$6*IF($F1009&lt;=1,1,Points!$H$7+(1-Points!$H$7)*((($F1009-$E1009)*(($F1009-$E1009)+1)/2)^2-((($F1009-$E1009-COUNTIFS($A$5:$A$1668,$A1009,$C$5:$C$1668,$C1009)+1)-1)*($F1009-$E1009-COUNTIFS($A$5:$A$1668,$A1009,$C$5:$C$1668,$C1009)+1)/2)^2)/(COUNTIFS($A$5:$A$1668,$A1009,$C$5:$C$1668,$C1009)*($F1009-1)^3))*IF($F1009&lt;Points!$H$4,Points!$H$5,1),0)))</f>
        <v/>
      </c>
      <c r="H1009" s="11">
        <f>IF($G1009="","",COUNTIFS($B$5:$B$1668,$B1009,$G$5:$G$1668,"&gt;"&amp;$G1009)+COUNTIFS($B$4:$B1008,$B1009,$G$4:$G1008,$G1009)+1)</f>
        <v/>
      </c>
      <c r="I1009" s="11">
        <f>IF($G1009="","",IF($H1009&lt;=Points!$H$6,$G1009,0))</f>
        <v/>
      </c>
      <c r="J1009" s="11">
        <f>IF($B1009="","",IF(COUNTIF(Players!$A$2:$A$500,$B1009)=0,"Player is not on the Players tab",IF(NOT(ISNUMBER($C1009)),"Enter a gross score",IF(COUNTIFS($A$5:$A$1668,$A1009,$B$5:$B$1668,$B1009)&gt;1,"Player is listed twice this week",IF(AND($D1009&lt;&gt;"",COUNTIFS($A$5:$A$1668,$A1009,$D$5:$D$1668,$D1009)&gt;1),"Two players picked as "&amp;$D1009,IF(COUNTIFS($A$5:$A$1668,$A1009,$D$5:$D$1668,"Gross winner")=0,"Pick this week's gross winner",IF(COUNTIFS($A$5:$A$1668,$A1009,$D$5:$D$1668,"Net winner")=0,"Pick this week's net winner","OK")))))))</f>
        <v/>
      </c>
    </row>
    <row r="1010" outlineLevel="1">
      <c r="A1010" s="13" t="n">
        <v>46610</v>
      </c>
      <c r="E1010" s="11">
        <f>IF(OR($B1010="",NOT(ISNUMBER($C1010))),"",COUNTIFS($A$5:$A$1668,$A1010,$C$5:$C$1668,"&lt;"&amp;$C1010)+1)</f>
        <v/>
      </c>
      <c r="F1010" s="11">
        <f>IF(OR($B1010="",NOT(ISNUMBER($C1010))),"",COUNTIFS($A$5:$A$1668,$A1010,$C$5:$C$1668,"&gt;0"))</f>
        <v/>
      </c>
      <c r="G1010" s="11">
        <f>IF(OR($B1010="",NOT(ISNUMBER($C1010))),"",IF($D1010&lt;&gt;"",ROUND(Points!$B$6*IF($F1010&lt;Points!$H$4,Points!$H$5,1),0),ROUND(Points!$B$6*IF($F1010&lt;=1,1,Points!$H$7+(1-Points!$H$7)*((($F1010-$E1010)*(($F1010-$E1010)+1)/2)^2-((($F1010-$E1010-COUNTIFS($A$5:$A$1668,$A1010,$C$5:$C$1668,$C1010)+1)-1)*($F1010-$E1010-COUNTIFS($A$5:$A$1668,$A1010,$C$5:$C$1668,$C1010)+1)/2)^2)/(COUNTIFS($A$5:$A$1668,$A1010,$C$5:$C$1668,$C1010)*($F1010-1)^3))*IF($F1010&lt;Points!$H$4,Points!$H$5,1),0)))</f>
        <v/>
      </c>
      <c r="H1010" s="11">
        <f>IF($G1010="","",COUNTIFS($B$5:$B$1668,$B1010,$G$5:$G$1668,"&gt;"&amp;$G1010)+COUNTIFS($B$4:$B1009,$B1010,$G$4:$G1009,$G1010)+1)</f>
        <v/>
      </c>
      <c r="I1010" s="11">
        <f>IF($G1010="","",IF($H1010&lt;=Points!$H$6,$G1010,0))</f>
        <v/>
      </c>
      <c r="J1010" s="11">
        <f>IF($B1010="","",IF(COUNTIF(Players!$A$2:$A$500,$B1010)=0,"Player is not on the Players tab",IF(NOT(ISNUMBER($C1010)),"Enter a gross score",IF(COUNTIFS($A$5:$A$1668,$A1010,$B$5:$B$1668,$B1010)&gt;1,"Player is listed twice this week",IF(AND($D1010&lt;&gt;"",COUNTIFS($A$5:$A$1668,$A1010,$D$5:$D$1668,$D1010)&gt;1),"Two players picked as "&amp;$D1010,IF(COUNTIFS($A$5:$A$1668,$A1010,$D$5:$D$1668,"Gross winner")=0,"Pick this week's gross winner",IF(COUNTIFS($A$5:$A$1668,$A1010,$D$5:$D$1668,"Net winner")=0,"Pick this week's net winner","OK")))))))</f>
        <v/>
      </c>
    </row>
    <row r="1011" outlineLevel="1">
      <c r="A1011" s="13" t="n">
        <v>46610</v>
      </c>
      <c r="E1011" s="11">
        <f>IF(OR($B1011="",NOT(ISNUMBER($C1011))),"",COUNTIFS($A$5:$A$1668,$A1011,$C$5:$C$1668,"&lt;"&amp;$C1011)+1)</f>
        <v/>
      </c>
      <c r="F1011" s="11">
        <f>IF(OR($B1011="",NOT(ISNUMBER($C1011))),"",COUNTIFS($A$5:$A$1668,$A1011,$C$5:$C$1668,"&gt;0"))</f>
        <v/>
      </c>
      <c r="G1011" s="11">
        <f>IF(OR($B1011="",NOT(ISNUMBER($C1011))),"",IF($D1011&lt;&gt;"",ROUND(Points!$B$6*IF($F1011&lt;Points!$H$4,Points!$H$5,1),0),ROUND(Points!$B$6*IF($F1011&lt;=1,1,Points!$H$7+(1-Points!$H$7)*((($F1011-$E1011)*(($F1011-$E1011)+1)/2)^2-((($F1011-$E1011-COUNTIFS($A$5:$A$1668,$A1011,$C$5:$C$1668,$C1011)+1)-1)*($F1011-$E1011-COUNTIFS($A$5:$A$1668,$A1011,$C$5:$C$1668,$C1011)+1)/2)^2)/(COUNTIFS($A$5:$A$1668,$A1011,$C$5:$C$1668,$C1011)*($F1011-1)^3))*IF($F1011&lt;Points!$H$4,Points!$H$5,1),0)))</f>
        <v/>
      </c>
      <c r="H1011" s="11">
        <f>IF($G1011="","",COUNTIFS($B$5:$B$1668,$B1011,$G$5:$G$1668,"&gt;"&amp;$G1011)+COUNTIFS($B$4:$B1010,$B1011,$G$4:$G1010,$G1011)+1)</f>
        <v/>
      </c>
      <c r="I1011" s="11">
        <f>IF($G1011="","",IF($H1011&lt;=Points!$H$6,$G1011,0))</f>
        <v/>
      </c>
      <c r="J1011" s="11">
        <f>IF($B1011="","",IF(COUNTIF(Players!$A$2:$A$500,$B1011)=0,"Player is not on the Players tab",IF(NOT(ISNUMBER($C1011)),"Enter a gross score",IF(COUNTIFS($A$5:$A$1668,$A1011,$B$5:$B$1668,$B1011)&gt;1,"Player is listed twice this week",IF(AND($D1011&lt;&gt;"",COUNTIFS($A$5:$A$1668,$A1011,$D$5:$D$1668,$D1011)&gt;1),"Two players picked as "&amp;$D1011,IF(COUNTIFS($A$5:$A$1668,$A1011,$D$5:$D$1668,"Gross winner")=0,"Pick this week's gross winner",IF(COUNTIFS($A$5:$A$1668,$A1011,$D$5:$D$1668,"Net winner")=0,"Pick this week's net winner","OK")))))))</f>
        <v/>
      </c>
    </row>
    <row r="1012" outlineLevel="1">
      <c r="A1012" s="13" t="n">
        <v>46610</v>
      </c>
      <c r="E1012" s="11">
        <f>IF(OR($B1012="",NOT(ISNUMBER($C1012))),"",COUNTIFS($A$5:$A$1668,$A1012,$C$5:$C$1668,"&lt;"&amp;$C1012)+1)</f>
        <v/>
      </c>
      <c r="F1012" s="11">
        <f>IF(OR($B1012="",NOT(ISNUMBER($C1012))),"",COUNTIFS($A$5:$A$1668,$A1012,$C$5:$C$1668,"&gt;0"))</f>
        <v/>
      </c>
      <c r="G1012" s="11">
        <f>IF(OR($B1012="",NOT(ISNUMBER($C1012))),"",IF($D1012&lt;&gt;"",ROUND(Points!$B$6*IF($F1012&lt;Points!$H$4,Points!$H$5,1),0),ROUND(Points!$B$6*IF($F1012&lt;=1,1,Points!$H$7+(1-Points!$H$7)*((($F1012-$E1012)*(($F1012-$E1012)+1)/2)^2-((($F1012-$E1012-COUNTIFS($A$5:$A$1668,$A1012,$C$5:$C$1668,$C1012)+1)-1)*($F1012-$E1012-COUNTIFS($A$5:$A$1668,$A1012,$C$5:$C$1668,$C1012)+1)/2)^2)/(COUNTIFS($A$5:$A$1668,$A1012,$C$5:$C$1668,$C1012)*($F1012-1)^3))*IF($F1012&lt;Points!$H$4,Points!$H$5,1),0)))</f>
        <v/>
      </c>
      <c r="H1012" s="11">
        <f>IF($G1012="","",COUNTIFS($B$5:$B$1668,$B1012,$G$5:$G$1668,"&gt;"&amp;$G1012)+COUNTIFS($B$4:$B1011,$B1012,$G$4:$G1011,$G1012)+1)</f>
        <v/>
      </c>
      <c r="I1012" s="11">
        <f>IF($G1012="","",IF($H1012&lt;=Points!$H$6,$G1012,0))</f>
        <v/>
      </c>
      <c r="J1012" s="11">
        <f>IF($B1012="","",IF(COUNTIF(Players!$A$2:$A$500,$B1012)=0,"Player is not on the Players tab",IF(NOT(ISNUMBER($C1012)),"Enter a gross score",IF(COUNTIFS($A$5:$A$1668,$A1012,$B$5:$B$1668,$B1012)&gt;1,"Player is listed twice this week",IF(AND($D1012&lt;&gt;"",COUNTIFS($A$5:$A$1668,$A1012,$D$5:$D$1668,$D1012)&gt;1),"Two players picked as "&amp;$D1012,IF(COUNTIFS($A$5:$A$1668,$A1012,$D$5:$D$1668,"Gross winner")=0,"Pick this week's gross winner",IF(COUNTIFS($A$5:$A$1668,$A1012,$D$5:$D$1668,"Net winner")=0,"Pick this week's net winner","OK")))))))</f>
        <v/>
      </c>
    </row>
    <row r="1013" outlineLevel="1">
      <c r="A1013" s="13" t="n">
        <v>46610</v>
      </c>
      <c r="E1013" s="11">
        <f>IF(OR($B1013="",NOT(ISNUMBER($C1013))),"",COUNTIFS($A$5:$A$1668,$A1013,$C$5:$C$1668,"&lt;"&amp;$C1013)+1)</f>
        <v/>
      </c>
      <c r="F1013" s="11">
        <f>IF(OR($B1013="",NOT(ISNUMBER($C1013))),"",COUNTIFS($A$5:$A$1668,$A1013,$C$5:$C$1668,"&gt;0"))</f>
        <v/>
      </c>
      <c r="G1013" s="11">
        <f>IF(OR($B1013="",NOT(ISNUMBER($C1013))),"",IF($D1013&lt;&gt;"",ROUND(Points!$B$6*IF($F1013&lt;Points!$H$4,Points!$H$5,1),0),ROUND(Points!$B$6*IF($F1013&lt;=1,1,Points!$H$7+(1-Points!$H$7)*((($F1013-$E1013)*(($F1013-$E1013)+1)/2)^2-((($F1013-$E1013-COUNTIFS($A$5:$A$1668,$A1013,$C$5:$C$1668,$C1013)+1)-1)*($F1013-$E1013-COUNTIFS($A$5:$A$1668,$A1013,$C$5:$C$1668,$C1013)+1)/2)^2)/(COUNTIFS($A$5:$A$1668,$A1013,$C$5:$C$1668,$C1013)*($F1013-1)^3))*IF($F1013&lt;Points!$H$4,Points!$H$5,1),0)))</f>
        <v/>
      </c>
      <c r="H1013" s="11">
        <f>IF($G1013="","",COUNTIFS($B$5:$B$1668,$B1013,$G$5:$G$1668,"&gt;"&amp;$G1013)+COUNTIFS($B$4:$B1012,$B1013,$G$4:$G1012,$G1013)+1)</f>
        <v/>
      </c>
      <c r="I1013" s="11">
        <f>IF($G1013="","",IF($H1013&lt;=Points!$H$6,$G1013,0))</f>
        <v/>
      </c>
      <c r="J1013" s="11">
        <f>IF($B1013="","",IF(COUNTIF(Players!$A$2:$A$500,$B1013)=0,"Player is not on the Players tab",IF(NOT(ISNUMBER($C1013)),"Enter a gross score",IF(COUNTIFS($A$5:$A$1668,$A1013,$B$5:$B$1668,$B1013)&gt;1,"Player is listed twice this week",IF(AND($D1013&lt;&gt;"",COUNTIFS($A$5:$A$1668,$A1013,$D$5:$D$1668,$D1013)&gt;1),"Two players picked as "&amp;$D1013,IF(COUNTIFS($A$5:$A$1668,$A1013,$D$5:$D$1668,"Gross winner")=0,"Pick this week's gross winner",IF(COUNTIFS($A$5:$A$1668,$A1013,$D$5:$D$1668,"Net winner")=0,"Pick this week's net winner","OK")))))))</f>
        <v/>
      </c>
    </row>
    <row r="1014" outlineLevel="1">
      <c r="A1014" s="13" t="n">
        <v>46610</v>
      </c>
      <c r="E1014" s="11">
        <f>IF(OR($B1014="",NOT(ISNUMBER($C1014))),"",COUNTIFS($A$5:$A$1668,$A1014,$C$5:$C$1668,"&lt;"&amp;$C1014)+1)</f>
        <v/>
      </c>
      <c r="F1014" s="11">
        <f>IF(OR($B1014="",NOT(ISNUMBER($C1014))),"",COUNTIFS($A$5:$A$1668,$A1014,$C$5:$C$1668,"&gt;0"))</f>
        <v/>
      </c>
      <c r="G1014" s="11">
        <f>IF(OR($B1014="",NOT(ISNUMBER($C1014))),"",IF($D1014&lt;&gt;"",ROUND(Points!$B$6*IF($F1014&lt;Points!$H$4,Points!$H$5,1),0),ROUND(Points!$B$6*IF($F1014&lt;=1,1,Points!$H$7+(1-Points!$H$7)*((($F1014-$E1014)*(($F1014-$E1014)+1)/2)^2-((($F1014-$E1014-COUNTIFS($A$5:$A$1668,$A1014,$C$5:$C$1668,$C1014)+1)-1)*($F1014-$E1014-COUNTIFS($A$5:$A$1668,$A1014,$C$5:$C$1668,$C1014)+1)/2)^2)/(COUNTIFS($A$5:$A$1668,$A1014,$C$5:$C$1668,$C1014)*($F1014-1)^3))*IF($F1014&lt;Points!$H$4,Points!$H$5,1),0)))</f>
        <v/>
      </c>
      <c r="H1014" s="11">
        <f>IF($G1014="","",COUNTIFS($B$5:$B$1668,$B1014,$G$5:$G$1668,"&gt;"&amp;$G1014)+COUNTIFS($B$4:$B1013,$B1014,$G$4:$G1013,$G1014)+1)</f>
        <v/>
      </c>
      <c r="I1014" s="11">
        <f>IF($G1014="","",IF($H1014&lt;=Points!$H$6,$G1014,0))</f>
        <v/>
      </c>
      <c r="J1014" s="11">
        <f>IF($B1014="","",IF(COUNTIF(Players!$A$2:$A$500,$B1014)=0,"Player is not on the Players tab",IF(NOT(ISNUMBER($C1014)),"Enter a gross score",IF(COUNTIFS($A$5:$A$1668,$A1014,$B$5:$B$1668,$B1014)&gt;1,"Player is listed twice this week",IF(AND($D1014&lt;&gt;"",COUNTIFS($A$5:$A$1668,$A1014,$D$5:$D$1668,$D1014)&gt;1),"Two players picked as "&amp;$D1014,IF(COUNTIFS($A$5:$A$1668,$A1014,$D$5:$D$1668,"Gross winner")=0,"Pick this week's gross winner",IF(COUNTIFS($A$5:$A$1668,$A1014,$D$5:$D$1668,"Net winner")=0,"Pick this week's net winner","OK")))))))</f>
        <v/>
      </c>
    </row>
    <row r="1015" outlineLevel="1">
      <c r="A1015" s="13" t="n">
        <v>46610</v>
      </c>
      <c r="E1015" s="11">
        <f>IF(OR($B1015="",NOT(ISNUMBER($C1015))),"",COUNTIFS($A$5:$A$1668,$A1015,$C$5:$C$1668,"&lt;"&amp;$C1015)+1)</f>
        <v/>
      </c>
      <c r="F1015" s="11">
        <f>IF(OR($B1015="",NOT(ISNUMBER($C1015))),"",COUNTIFS($A$5:$A$1668,$A1015,$C$5:$C$1668,"&gt;0"))</f>
        <v/>
      </c>
      <c r="G1015" s="11">
        <f>IF(OR($B1015="",NOT(ISNUMBER($C1015))),"",IF($D1015&lt;&gt;"",ROUND(Points!$B$6*IF($F1015&lt;Points!$H$4,Points!$H$5,1),0),ROUND(Points!$B$6*IF($F1015&lt;=1,1,Points!$H$7+(1-Points!$H$7)*((($F1015-$E1015)*(($F1015-$E1015)+1)/2)^2-((($F1015-$E1015-COUNTIFS($A$5:$A$1668,$A1015,$C$5:$C$1668,$C1015)+1)-1)*($F1015-$E1015-COUNTIFS($A$5:$A$1668,$A1015,$C$5:$C$1668,$C1015)+1)/2)^2)/(COUNTIFS($A$5:$A$1668,$A1015,$C$5:$C$1668,$C1015)*($F1015-1)^3))*IF($F1015&lt;Points!$H$4,Points!$H$5,1),0)))</f>
        <v/>
      </c>
      <c r="H1015" s="11">
        <f>IF($G1015="","",COUNTIFS($B$5:$B$1668,$B1015,$G$5:$G$1668,"&gt;"&amp;$G1015)+COUNTIFS($B$4:$B1014,$B1015,$G$4:$G1014,$G1015)+1)</f>
        <v/>
      </c>
      <c r="I1015" s="11">
        <f>IF($G1015="","",IF($H1015&lt;=Points!$H$6,$G1015,0))</f>
        <v/>
      </c>
      <c r="J1015" s="11">
        <f>IF($B1015="","",IF(COUNTIF(Players!$A$2:$A$500,$B1015)=0,"Player is not on the Players tab",IF(NOT(ISNUMBER($C1015)),"Enter a gross score",IF(COUNTIFS($A$5:$A$1668,$A1015,$B$5:$B$1668,$B1015)&gt;1,"Player is listed twice this week",IF(AND($D1015&lt;&gt;"",COUNTIFS($A$5:$A$1668,$A1015,$D$5:$D$1668,$D1015)&gt;1),"Two players picked as "&amp;$D1015,IF(COUNTIFS($A$5:$A$1668,$A1015,$D$5:$D$1668,"Gross winner")=0,"Pick this week's gross winner",IF(COUNTIFS($A$5:$A$1668,$A1015,$D$5:$D$1668,"Net winner")=0,"Pick this week's net winner","OK")))))))</f>
        <v/>
      </c>
    </row>
    <row r="1016" outlineLevel="1">
      <c r="A1016" s="13" t="n">
        <v>46610</v>
      </c>
      <c r="E1016" s="11">
        <f>IF(OR($B1016="",NOT(ISNUMBER($C1016))),"",COUNTIFS($A$5:$A$1668,$A1016,$C$5:$C$1668,"&lt;"&amp;$C1016)+1)</f>
        <v/>
      </c>
      <c r="F1016" s="11">
        <f>IF(OR($B1016="",NOT(ISNUMBER($C1016))),"",COUNTIFS($A$5:$A$1668,$A1016,$C$5:$C$1668,"&gt;0"))</f>
        <v/>
      </c>
      <c r="G1016" s="11">
        <f>IF(OR($B1016="",NOT(ISNUMBER($C1016))),"",IF($D1016&lt;&gt;"",ROUND(Points!$B$6*IF($F1016&lt;Points!$H$4,Points!$H$5,1),0),ROUND(Points!$B$6*IF($F1016&lt;=1,1,Points!$H$7+(1-Points!$H$7)*((($F1016-$E1016)*(($F1016-$E1016)+1)/2)^2-((($F1016-$E1016-COUNTIFS($A$5:$A$1668,$A1016,$C$5:$C$1668,$C1016)+1)-1)*($F1016-$E1016-COUNTIFS($A$5:$A$1668,$A1016,$C$5:$C$1668,$C1016)+1)/2)^2)/(COUNTIFS($A$5:$A$1668,$A1016,$C$5:$C$1668,$C1016)*($F1016-1)^3))*IF($F1016&lt;Points!$H$4,Points!$H$5,1),0)))</f>
        <v/>
      </c>
      <c r="H1016" s="11">
        <f>IF($G1016="","",COUNTIFS($B$5:$B$1668,$B1016,$G$5:$G$1668,"&gt;"&amp;$G1016)+COUNTIFS($B$4:$B1015,$B1016,$G$4:$G1015,$G1016)+1)</f>
        <v/>
      </c>
      <c r="I1016" s="11">
        <f>IF($G1016="","",IF($H1016&lt;=Points!$H$6,$G1016,0))</f>
        <v/>
      </c>
      <c r="J1016" s="11">
        <f>IF($B1016="","",IF(COUNTIF(Players!$A$2:$A$500,$B1016)=0,"Player is not on the Players tab",IF(NOT(ISNUMBER($C1016)),"Enter a gross score",IF(COUNTIFS($A$5:$A$1668,$A1016,$B$5:$B$1668,$B1016)&gt;1,"Player is listed twice this week",IF(AND($D1016&lt;&gt;"",COUNTIFS($A$5:$A$1668,$A1016,$D$5:$D$1668,$D1016)&gt;1),"Two players picked as "&amp;$D1016,IF(COUNTIFS($A$5:$A$1668,$A1016,$D$5:$D$1668,"Gross winner")=0,"Pick this week's gross winner",IF(COUNTIFS($A$5:$A$1668,$A1016,$D$5:$D$1668,"Net winner")=0,"Pick this week's net winner","OK")))))))</f>
        <v/>
      </c>
    </row>
    <row r="1017" outlineLevel="1">
      <c r="A1017" s="13" t="n">
        <v>46610</v>
      </c>
      <c r="E1017" s="11">
        <f>IF(OR($B1017="",NOT(ISNUMBER($C1017))),"",COUNTIFS($A$5:$A$1668,$A1017,$C$5:$C$1668,"&lt;"&amp;$C1017)+1)</f>
        <v/>
      </c>
      <c r="F1017" s="11">
        <f>IF(OR($B1017="",NOT(ISNUMBER($C1017))),"",COUNTIFS($A$5:$A$1668,$A1017,$C$5:$C$1668,"&gt;0"))</f>
        <v/>
      </c>
      <c r="G1017" s="11">
        <f>IF(OR($B1017="",NOT(ISNUMBER($C1017))),"",IF($D1017&lt;&gt;"",ROUND(Points!$B$6*IF($F1017&lt;Points!$H$4,Points!$H$5,1),0),ROUND(Points!$B$6*IF($F1017&lt;=1,1,Points!$H$7+(1-Points!$H$7)*((($F1017-$E1017)*(($F1017-$E1017)+1)/2)^2-((($F1017-$E1017-COUNTIFS($A$5:$A$1668,$A1017,$C$5:$C$1668,$C1017)+1)-1)*($F1017-$E1017-COUNTIFS($A$5:$A$1668,$A1017,$C$5:$C$1668,$C1017)+1)/2)^2)/(COUNTIFS($A$5:$A$1668,$A1017,$C$5:$C$1668,$C1017)*($F1017-1)^3))*IF($F1017&lt;Points!$H$4,Points!$H$5,1),0)))</f>
        <v/>
      </c>
      <c r="H1017" s="11">
        <f>IF($G1017="","",COUNTIFS($B$5:$B$1668,$B1017,$G$5:$G$1668,"&gt;"&amp;$G1017)+COUNTIFS($B$4:$B1016,$B1017,$G$4:$G1016,$G1017)+1)</f>
        <v/>
      </c>
      <c r="I1017" s="11">
        <f>IF($G1017="","",IF($H1017&lt;=Points!$H$6,$G1017,0))</f>
        <v/>
      </c>
      <c r="J1017" s="11">
        <f>IF($B1017="","",IF(COUNTIF(Players!$A$2:$A$500,$B1017)=0,"Player is not on the Players tab",IF(NOT(ISNUMBER($C1017)),"Enter a gross score",IF(COUNTIFS($A$5:$A$1668,$A1017,$B$5:$B$1668,$B1017)&gt;1,"Player is listed twice this week",IF(AND($D1017&lt;&gt;"",COUNTIFS($A$5:$A$1668,$A1017,$D$5:$D$1668,$D1017)&gt;1),"Two players picked as "&amp;$D1017,IF(COUNTIFS($A$5:$A$1668,$A1017,$D$5:$D$1668,"Gross winner")=0,"Pick this week's gross winner",IF(COUNTIFS($A$5:$A$1668,$A1017,$D$5:$D$1668,"Net winner")=0,"Pick this week's net winner","OK")))))))</f>
        <v/>
      </c>
    </row>
    <row r="1018" outlineLevel="1">
      <c r="A1018" s="13" t="n">
        <v>46610</v>
      </c>
      <c r="E1018" s="11">
        <f>IF(OR($B1018="",NOT(ISNUMBER($C1018))),"",COUNTIFS($A$5:$A$1668,$A1018,$C$5:$C$1668,"&lt;"&amp;$C1018)+1)</f>
        <v/>
      </c>
      <c r="F1018" s="11">
        <f>IF(OR($B1018="",NOT(ISNUMBER($C1018))),"",COUNTIFS($A$5:$A$1668,$A1018,$C$5:$C$1668,"&gt;0"))</f>
        <v/>
      </c>
      <c r="G1018" s="11">
        <f>IF(OR($B1018="",NOT(ISNUMBER($C1018))),"",IF($D1018&lt;&gt;"",ROUND(Points!$B$6*IF($F1018&lt;Points!$H$4,Points!$H$5,1),0),ROUND(Points!$B$6*IF($F1018&lt;=1,1,Points!$H$7+(1-Points!$H$7)*((($F1018-$E1018)*(($F1018-$E1018)+1)/2)^2-((($F1018-$E1018-COUNTIFS($A$5:$A$1668,$A1018,$C$5:$C$1668,$C1018)+1)-1)*($F1018-$E1018-COUNTIFS($A$5:$A$1668,$A1018,$C$5:$C$1668,$C1018)+1)/2)^2)/(COUNTIFS($A$5:$A$1668,$A1018,$C$5:$C$1668,$C1018)*($F1018-1)^3))*IF($F1018&lt;Points!$H$4,Points!$H$5,1),0)))</f>
        <v/>
      </c>
      <c r="H1018" s="11">
        <f>IF($G1018="","",COUNTIFS($B$5:$B$1668,$B1018,$G$5:$G$1668,"&gt;"&amp;$G1018)+COUNTIFS($B$4:$B1017,$B1018,$G$4:$G1017,$G1018)+1)</f>
        <v/>
      </c>
      <c r="I1018" s="11">
        <f>IF($G1018="","",IF($H1018&lt;=Points!$H$6,$G1018,0))</f>
        <v/>
      </c>
      <c r="J1018" s="11">
        <f>IF($B1018="","",IF(COUNTIF(Players!$A$2:$A$500,$B1018)=0,"Player is not on the Players tab",IF(NOT(ISNUMBER($C1018)),"Enter a gross score",IF(COUNTIFS($A$5:$A$1668,$A1018,$B$5:$B$1668,$B1018)&gt;1,"Player is listed twice this week",IF(AND($D1018&lt;&gt;"",COUNTIFS($A$5:$A$1668,$A1018,$D$5:$D$1668,$D1018)&gt;1),"Two players picked as "&amp;$D1018,IF(COUNTIFS($A$5:$A$1668,$A1018,$D$5:$D$1668,"Gross winner")=0,"Pick this week's gross winner",IF(COUNTIFS($A$5:$A$1668,$A1018,$D$5:$D$1668,"Net winner")=0,"Pick this week's net winner","OK")))))))</f>
        <v/>
      </c>
    </row>
    <row r="1019" outlineLevel="1">
      <c r="A1019" s="13" t="n">
        <v>46610</v>
      </c>
      <c r="E1019" s="11">
        <f>IF(OR($B1019="",NOT(ISNUMBER($C1019))),"",COUNTIFS($A$5:$A$1668,$A1019,$C$5:$C$1668,"&lt;"&amp;$C1019)+1)</f>
        <v/>
      </c>
      <c r="F1019" s="11">
        <f>IF(OR($B1019="",NOT(ISNUMBER($C1019))),"",COUNTIFS($A$5:$A$1668,$A1019,$C$5:$C$1668,"&gt;0"))</f>
        <v/>
      </c>
      <c r="G1019" s="11">
        <f>IF(OR($B1019="",NOT(ISNUMBER($C1019))),"",IF($D1019&lt;&gt;"",ROUND(Points!$B$6*IF($F1019&lt;Points!$H$4,Points!$H$5,1),0),ROUND(Points!$B$6*IF($F1019&lt;=1,1,Points!$H$7+(1-Points!$H$7)*((($F1019-$E1019)*(($F1019-$E1019)+1)/2)^2-((($F1019-$E1019-COUNTIFS($A$5:$A$1668,$A1019,$C$5:$C$1668,$C1019)+1)-1)*($F1019-$E1019-COUNTIFS($A$5:$A$1668,$A1019,$C$5:$C$1668,$C1019)+1)/2)^2)/(COUNTIFS($A$5:$A$1668,$A1019,$C$5:$C$1668,$C1019)*($F1019-1)^3))*IF($F1019&lt;Points!$H$4,Points!$H$5,1),0)))</f>
        <v/>
      </c>
      <c r="H1019" s="11">
        <f>IF($G1019="","",COUNTIFS($B$5:$B$1668,$B1019,$G$5:$G$1668,"&gt;"&amp;$G1019)+COUNTIFS($B$4:$B1018,$B1019,$G$4:$G1018,$G1019)+1)</f>
        <v/>
      </c>
      <c r="I1019" s="11">
        <f>IF($G1019="","",IF($H1019&lt;=Points!$H$6,$G1019,0))</f>
        <v/>
      </c>
      <c r="J1019" s="11">
        <f>IF($B1019="","",IF(COUNTIF(Players!$A$2:$A$500,$B1019)=0,"Player is not on the Players tab",IF(NOT(ISNUMBER($C1019)),"Enter a gross score",IF(COUNTIFS($A$5:$A$1668,$A1019,$B$5:$B$1668,$B1019)&gt;1,"Player is listed twice this week",IF(AND($D1019&lt;&gt;"",COUNTIFS($A$5:$A$1668,$A1019,$D$5:$D$1668,$D1019)&gt;1),"Two players picked as "&amp;$D1019,IF(COUNTIFS($A$5:$A$1668,$A1019,$D$5:$D$1668,"Gross winner")=0,"Pick this week's gross winner",IF(COUNTIFS($A$5:$A$1668,$A1019,$D$5:$D$1668,"Net winner")=0,"Pick this week's net winner","OK")))))))</f>
        <v/>
      </c>
    </row>
    <row r="1020" outlineLevel="1">
      <c r="A1020" s="13" t="n">
        <v>46610</v>
      </c>
      <c r="E1020" s="11">
        <f>IF(OR($B1020="",NOT(ISNUMBER($C1020))),"",COUNTIFS($A$5:$A$1668,$A1020,$C$5:$C$1668,"&lt;"&amp;$C1020)+1)</f>
        <v/>
      </c>
      <c r="F1020" s="11">
        <f>IF(OR($B1020="",NOT(ISNUMBER($C1020))),"",COUNTIFS($A$5:$A$1668,$A1020,$C$5:$C$1668,"&gt;0"))</f>
        <v/>
      </c>
      <c r="G1020" s="11">
        <f>IF(OR($B1020="",NOT(ISNUMBER($C1020))),"",IF($D1020&lt;&gt;"",ROUND(Points!$B$6*IF($F1020&lt;Points!$H$4,Points!$H$5,1),0),ROUND(Points!$B$6*IF($F1020&lt;=1,1,Points!$H$7+(1-Points!$H$7)*((($F1020-$E1020)*(($F1020-$E1020)+1)/2)^2-((($F1020-$E1020-COUNTIFS($A$5:$A$1668,$A1020,$C$5:$C$1668,$C1020)+1)-1)*($F1020-$E1020-COUNTIFS($A$5:$A$1668,$A1020,$C$5:$C$1668,$C1020)+1)/2)^2)/(COUNTIFS($A$5:$A$1668,$A1020,$C$5:$C$1668,$C1020)*($F1020-1)^3))*IF($F1020&lt;Points!$H$4,Points!$H$5,1),0)))</f>
        <v/>
      </c>
      <c r="H1020" s="11">
        <f>IF($G1020="","",COUNTIFS($B$5:$B$1668,$B1020,$G$5:$G$1668,"&gt;"&amp;$G1020)+COUNTIFS($B$4:$B1019,$B1020,$G$4:$G1019,$G1020)+1)</f>
        <v/>
      </c>
      <c r="I1020" s="11">
        <f>IF($G1020="","",IF($H1020&lt;=Points!$H$6,$G1020,0))</f>
        <v/>
      </c>
      <c r="J1020" s="11">
        <f>IF($B1020="","",IF(COUNTIF(Players!$A$2:$A$500,$B1020)=0,"Player is not on the Players tab",IF(NOT(ISNUMBER($C1020)),"Enter a gross score",IF(COUNTIFS($A$5:$A$1668,$A1020,$B$5:$B$1668,$B1020)&gt;1,"Player is listed twice this week",IF(AND($D1020&lt;&gt;"",COUNTIFS($A$5:$A$1668,$A1020,$D$5:$D$1668,$D1020)&gt;1),"Two players picked as "&amp;$D1020,IF(COUNTIFS($A$5:$A$1668,$A1020,$D$5:$D$1668,"Gross winner")=0,"Pick this week's gross winner",IF(COUNTIFS($A$5:$A$1668,$A1020,$D$5:$D$1668,"Net winner")=0,"Pick this week's net winner","OK")))))))</f>
        <v/>
      </c>
    </row>
    <row r="1021" outlineLevel="1">
      <c r="A1021" s="13" t="n">
        <v>46610</v>
      </c>
      <c r="E1021" s="11">
        <f>IF(OR($B1021="",NOT(ISNUMBER($C1021))),"",COUNTIFS($A$5:$A$1668,$A1021,$C$5:$C$1668,"&lt;"&amp;$C1021)+1)</f>
        <v/>
      </c>
      <c r="F1021" s="11">
        <f>IF(OR($B1021="",NOT(ISNUMBER($C1021))),"",COUNTIFS($A$5:$A$1668,$A1021,$C$5:$C$1668,"&gt;0"))</f>
        <v/>
      </c>
      <c r="G1021" s="11">
        <f>IF(OR($B1021="",NOT(ISNUMBER($C1021))),"",IF($D1021&lt;&gt;"",ROUND(Points!$B$6*IF($F1021&lt;Points!$H$4,Points!$H$5,1),0),ROUND(Points!$B$6*IF($F1021&lt;=1,1,Points!$H$7+(1-Points!$H$7)*((($F1021-$E1021)*(($F1021-$E1021)+1)/2)^2-((($F1021-$E1021-COUNTIFS($A$5:$A$1668,$A1021,$C$5:$C$1668,$C1021)+1)-1)*($F1021-$E1021-COUNTIFS($A$5:$A$1668,$A1021,$C$5:$C$1668,$C1021)+1)/2)^2)/(COUNTIFS($A$5:$A$1668,$A1021,$C$5:$C$1668,$C1021)*($F1021-1)^3))*IF($F1021&lt;Points!$H$4,Points!$H$5,1),0)))</f>
        <v/>
      </c>
      <c r="H1021" s="11">
        <f>IF($G1021="","",COUNTIFS($B$5:$B$1668,$B1021,$G$5:$G$1668,"&gt;"&amp;$G1021)+COUNTIFS($B$4:$B1020,$B1021,$G$4:$G1020,$G1021)+1)</f>
        <v/>
      </c>
      <c r="I1021" s="11">
        <f>IF($G1021="","",IF($H1021&lt;=Points!$H$6,$G1021,0))</f>
        <v/>
      </c>
      <c r="J1021" s="11">
        <f>IF($B1021="","",IF(COUNTIF(Players!$A$2:$A$500,$B1021)=0,"Player is not on the Players tab",IF(NOT(ISNUMBER($C1021)),"Enter a gross score",IF(COUNTIFS($A$5:$A$1668,$A1021,$B$5:$B$1668,$B1021)&gt;1,"Player is listed twice this week",IF(AND($D1021&lt;&gt;"",COUNTIFS($A$5:$A$1668,$A1021,$D$5:$D$1668,$D1021)&gt;1),"Two players picked as "&amp;$D1021,IF(COUNTIFS($A$5:$A$1668,$A1021,$D$5:$D$1668,"Gross winner")=0,"Pick this week's gross winner",IF(COUNTIFS($A$5:$A$1668,$A1021,$D$5:$D$1668,"Net winner")=0,"Pick this week's net winner","OK")))))))</f>
        <v/>
      </c>
    </row>
    <row r="1022" outlineLevel="1">
      <c r="A1022" s="13" t="n">
        <v>46610</v>
      </c>
      <c r="E1022" s="11">
        <f>IF(OR($B1022="",NOT(ISNUMBER($C1022))),"",COUNTIFS($A$5:$A$1668,$A1022,$C$5:$C$1668,"&lt;"&amp;$C1022)+1)</f>
        <v/>
      </c>
      <c r="F1022" s="11">
        <f>IF(OR($B1022="",NOT(ISNUMBER($C1022))),"",COUNTIFS($A$5:$A$1668,$A1022,$C$5:$C$1668,"&gt;0"))</f>
        <v/>
      </c>
      <c r="G1022" s="11">
        <f>IF(OR($B1022="",NOT(ISNUMBER($C1022))),"",IF($D1022&lt;&gt;"",ROUND(Points!$B$6*IF($F1022&lt;Points!$H$4,Points!$H$5,1),0),ROUND(Points!$B$6*IF($F1022&lt;=1,1,Points!$H$7+(1-Points!$H$7)*((($F1022-$E1022)*(($F1022-$E1022)+1)/2)^2-((($F1022-$E1022-COUNTIFS($A$5:$A$1668,$A1022,$C$5:$C$1668,$C1022)+1)-1)*($F1022-$E1022-COUNTIFS($A$5:$A$1668,$A1022,$C$5:$C$1668,$C1022)+1)/2)^2)/(COUNTIFS($A$5:$A$1668,$A1022,$C$5:$C$1668,$C1022)*($F1022-1)^3))*IF($F1022&lt;Points!$H$4,Points!$H$5,1),0)))</f>
        <v/>
      </c>
      <c r="H1022" s="11">
        <f>IF($G1022="","",COUNTIFS($B$5:$B$1668,$B1022,$G$5:$G$1668,"&gt;"&amp;$G1022)+COUNTIFS($B$4:$B1021,$B1022,$G$4:$G1021,$G1022)+1)</f>
        <v/>
      </c>
      <c r="I1022" s="11">
        <f>IF($G1022="","",IF($H1022&lt;=Points!$H$6,$G1022,0))</f>
        <v/>
      </c>
      <c r="J1022" s="11">
        <f>IF($B1022="","",IF(COUNTIF(Players!$A$2:$A$500,$B1022)=0,"Player is not on the Players tab",IF(NOT(ISNUMBER($C1022)),"Enter a gross score",IF(COUNTIFS($A$5:$A$1668,$A1022,$B$5:$B$1668,$B1022)&gt;1,"Player is listed twice this week",IF(AND($D1022&lt;&gt;"",COUNTIFS($A$5:$A$1668,$A1022,$D$5:$D$1668,$D1022)&gt;1),"Two players picked as "&amp;$D1022,IF(COUNTIFS($A$5:$A$1668,$A1022,$D$5:$D$1668,"Gross winner")=0,"Pick this week's gross winner",IF(COUNTIFS($A$5:$A$1668,$A1022,$D$5:$D$1668,"Net winner")=0,"Pick this week's net winner","OK")))))))</f>
        <v/>
      </c>
    </row>
    <row r="1023" outlineLevel="1">
      <c r="A1023" s="13" t="n">
        <v>46610</v>
      </c>
      <c r="E1023" s="11">
        <f>IF(OR($B1023="",NOT(ISNUMBER($C1023))),"",COUNTIFS($A$5:$A$1668,$A1023,$C$5:$C$1668,"&lt;"&amp;$C1023)+1)</f>
        <v/>
      </c>
      <c r="F1023" s="11">
        <f>IF(OR($B1023="",NOT(ISNUMBER($C1023))),"",COUNTIFS($A$5:$A$1668,$A1023,$C$5:$C$1668,"&gt;0"))</f>
        <v/>
      </c>
      <c r="G1023" s="11">
        <f>IF(OR($B1023="",NOT(ISNUMBER($C1023))),"",IF($D1023&lt;&gt;"",ROUND(Points!$B$6*IF($F1023&lt;Points!$H$4,Points!$H$5,1),0),ROUND(Points!$B$6*IF($F1023&lt;=1,1,Points!$H$7+(1-Points!$H$7)*((($F1023-$E1023)*(($F1023-$E1023)+1)/2)^2-((($F1023-$E1023-COUNTIFS($A$5:$A$1668,$A1023,$C$5:$C$1668,$C1023)+1)-1)*($F1023-$E1023-COUNTIFS($A$5:$A$1668,$A1023,$C$5:$C$1668,$C1023)+1)/2)^2)/(COUNTIFS($A$5:$A$1668,$A1023,$C$5:$C$1668,$C1023)*($F1023-1)^3))*IF($F1023&lt;Points!$H$4,Points!$H$5,1),0)))</f>
        <v/>
      </c>
      <c r="H1023" s="11">
        <f>IF($G1023="","",COUNTIFS($B$5:$B$1668,$B1023,$G$5:$G$1668,"&gt;"&amp;$G1023)+COUNTIFS($B$4:$B1022,$B1023,$G$4:$G1022,$G1023)+1)</f>
        <v/>
      </c>
      <c r="I1023" s="11">
        <f>IF($G1023="","",IF($H1023&lt;=Points!$H$6,$G1023,0))</f>
        <v/>
      </c>
      <c r="J1023" s="11">
        <f>IF($B1023="","",IF(COUNTIF(Players!$A$2:$A$500,$B1023)=0,"Player is not on the Players tab",IF(NOT(ISNUMBER($C1023)),"Enter a gross score",IF(COUNTIFS($A$5:$A$1668,$A1023,$B$5:$B$1668,$B1023)&gt;1,"Player is listed twice this week",IF(AND($D1023&lt;&gt;"",COUNTIFS($A$5:$A$1668,$A1023,$D$5:$D$1668,$D1023)&gt;1),"Two players picked as "&amp;$D1023,IF(COUNTIFS($A$5:$A$1668,$A1023,$D$5:$D$1668,"Gross winner")=0,"Pick this week's gross winner",IF(COUNTIFS($A$5:$A$1668,$A1023,$D$5:$D$1668,"Net winner")=0,"Pick this week's net winner","OK")))))))</f>
        <v/>
      </c>
    </row>
    <row r="1024" outlineLevel="1">
      <c r="A1024" s="13" t="n">
        <v>46610</v>
      </c>
      <c r="E1024" s="11">
        <f>IF(OR($B1024="",NOT(ISNUMBER($C1024))),"",COUNTIFS($A$5:$A$1668,$A1024,$C$5:$C$1668,"&lt;"&amp;$C1024)+1)</f>
        <v/>
      </c>
      <c r="F1024" s="11">
        <f>IF(OR($B1024="",NOT(ISNUMBER($C1024))),"",COUNTIFS($A$5:$A$1668,$A1024,$C$5:$C$1668,"&gt;0"))</f>
        <v/>
      </c>
      <c r="G1024" s="11">
        <f>IF(OR($B1024="",NOT(ISNUMBER($C1024))),"",IF($D1024&lt;&gt;"",ROUND(Points!$B$6*IF($F1024&lt;Points!$H$4,Points!$H$5,1),0),ROUND(Points!$B$6*IF($F1024&lt;=1,1,Points!$H$7+(1-Points!$H$7)*((($F1024-$E1024)*(($F1024-$E1024)+1)/2)^2-((($F1024-$E1024-COUNTIFS($A$5:$A$1668,$A1024,$C$5:$C$1668,$C1024)+1)-1)*($F1024-$E1024-COUNTIFS($A$5:$A$1668,$A1024,$C$5:$C$1668,$C1024)+1)/2)^2)/(COUNTIFS($A$5:$A$1668,$A1024,$C$5:$C$1668,$C1024)*($F1024-1)^3))*IF($F1024&lt;Points!$H$4,Points!$H$5,1),0)))</f>
        <v/>
      </c>
      <c r="H1024" s="11">
        <f>IF($G1024="","",COUNTIFS($B$5:$B$1668,$B1024,$G$5:$G$1668,"&gt;"&amp;$G1024)+COUNTIFS($B$4:$B1023,$B1024,$G$4:$G1023,$G1024)+1)</f>
        <v/>
      </c>
      <c r="I1024" s="11">
        <f>IF($G1024="","",IF($H1024&lt;=Points!$H$6,$G1024,0))</f>
        <v/>
      </c>
      <c r="J1024" s="11">
        <f>IF($B1024="","",IF(COUNTIF(Players!$A$2:$A$500,$B1024)=0,"Player is not on the Players tab",IF(NOT(ISNUMBER($C1024)),"Enter a gross score",IF(COUNTIFS($A$5:$A$1668,$A1024,$B$5:$B$1668,$B1024)&gt;1,"Player is listed twice this week",IF(AND($D1024&lt;&gt;"",COUNTIFS($A$5:$A$1668,$A1024,$D$5:$D$1668,$D1024)&gt;1),"Two players picked as "&amp;$D1024,IF(COUNTIFS($A$5:$A$1668,$A1024,$D$5:$D$1668,"Gross winner")=0,"Pick this week's gross winner",IF(COUNTIFS($A$5:$A$1668,$A1024,$D$5:$D$1668,"Net winner")=0,"Pick this week's net winner","OK")))))))</f>
        <v/>
      </c>
    </row>
    <row r="1025" outlineLevel="1">
      <c r="A1025" s="13" t="n">
        <v>46610</v>
      </c>
      <c r="E1025" s="11">
        <f>IF(OR($B1025="",NOT(ISNUMBER($C1025))),"",COUNTIFS($A$5:$A$1668,$A1025,$C$5:$C$1668,"&lt;"&amp;$C1025)+1)</f>
        <v/>
      </c>
      <c r="F1025" s="11">
        <f>IF(OR($B1025="",NOT(ISNUMBER($C1025))),"",COUNTIFS($A$5:$A$1668,$A1025,$C$5:$C$1668,"&gt;0"))</f>
        <v/>
      </c>
      <c r="G1025" s="11">
        <f>IF(OR($B1025="",NOT(ISNUMBER($C1025))),"",IF($D1025&lt;&gt;"",ROUND(Points!$B$6*IF($F1025&lt;Points!$H$4,Points!$H$5,1),0),ROUND(Points!$B$6*IF($F1025&lt;=1,1,Points!$H$7+(1-Points!$H$7)*((($F1025-$E1025)*(($F1025-$E1025)+1)/2)^2-((($F1025-$E1025-COUNTIFS($A$5:$A$1668,$A1025,$C$5:$C$1668,$C1025)+1)-1)*($F1025-$E1025-COUNTIFS($A$5:$A$1668,$A1025,$C$5:$C$1668,$C1025)+1)/2)^2)/(COUNTIFS($A$5:$A$1668,$A1025,$C$5:$C$1668,$C1025)*($F1025-1)^3))*IF($F1025&lt;Points!$H$4,Points!$H$5,1),0)))</f>
        <v/>
      </c>
      <c r="H1025" s="11">
        <f>IF($G1025="","",COUNTIFS($B$5:$B$1668,$B1025,$G$5:$G$1668,"&gt;"&amp;$G1025)+COUNTIFS($B$4:$B1024,$B1025,$G$4:$G1024,$G1025)+1)</f>
        <v/>
      </c>
      <c r="I1025" s="11">
        <f>IF($G1025="","",IF($H1025&lt;=Points!$H$6,$G1025,0))</f>
        <v/>
      </c>
      <c r="J1025" s="11">
        <f>IF($B1025="","",IF(COUNTIF(Players!$A$2:$A$500,$B1025)=0,"Player is not on the Players tab",IF(NOT(ISNUMBER($C1025)),"Enter a gross score",IF(COUNTIFS($A$5:$A$1668,$A1025,$B$5:$B$1668,$B1025)&gt;1,"Player is listed twice this week",IF(AND($D1025&lt;&gt;"",COUNTIFS($A$5:$A$1668,$A1025,$D$5:$D$1668,$D1025)&gt;1),"Two players picked as "&amp;$D1025,IF(COUNTIFS($A$5:$A$1668,$A1025,$D$5:$D$1668,"Gross winner")=0,"Pick this week's gross winner",IF(COUNTIFS($A$5:$A$1668,$A1025,$D$5:$D$1668,"Net winner")=0,"Pick this week's net winner","OK")))))))</f>
        <v/>
      </c>
    </row>
    <row r="1026" outlineLevel="1">
      <c r="A1026" s="13" t="n">
        <v>46610</v>
      </c>
      <c r="E1026" s="11">
        <f>IF(OR($B1026="",NOT(ISNUMBER($C1026))),"",COUNTIFS($A$5:$A$1668,$A1026,$C$5:$C$1668,"&lt;"&amp;$C1026)+1)</f>
        <v/>
      </c>
      <c r="F1026" s="11">
        <f>IF(OR($B1026="",NOT(ISNUMBER($C1026))),"",COUNTIFS($A$5:$A$1668,$A1026,$C$5:$C$1668,"&gt;0"))</f>
        <v/>
      </c>
      <c r="G1026" s="11">
        <f>IF(OR($B1026="",NOT(ISNUMBER($C1026))),"",IF($D1026&lt;&gt;"",ROUND(Points!$B$6*IF($F1026&lt;Points!$H$4,Points!$H$5,1),0),ROUND(Points!$B$6*IF($F1026&lt;=1,1,Points!$H$7+(1-Points!$H$7)*((($F1026-$E1026)*(($F1026-$E1026)+1)/2)^2-((($F1026-$E1026-COUNTIFS($A$5:$A$1668,$A1026,$C$5:$C$1668,$C1026)+1)-1)*($F1026-$E1026-COUNTIFS($A$5:$A$1668,$A1026,$C$5:$C$1668,$C1026)+1)/2)^2)/(COUNTIFS($A$5:$A$1668,$A1026,$C$5:$C$1668,$C1026)*($F1026-1)^3))*IF($F1026&lt;Points!$H$4,Points!$H$5,1),0)))</f>
        <v/>
      </c>
      <c r="H1026" s="11">
        <f>IF($G1026="","",COUNTIFS($B$5:$B$1668,$B1026,$G$5:$G$1668,"&gt;"&amp;$G1026)+COUNTIFS($B$4:$B1025,$B1026,$G$4:$G1025,$G1026)+1)</f>
        <v/>
      </c>
      <c r="I1026" s="11">
        <f>IF($G1026="","",IF($H1026&lt;=Points!$H$6,$G1026,0))</f>
        <v/>
      </c>
      <c r="J1026" s="11">
        <f>IF($B1026="","",IF(COUNTIF(Players!$A$2:$A$500,$B1026)=0,"Player is not on the Players tab",IF(NOT(ISNUMBER($C1026)),"Enter a gross score",IF(COUNTIFS($A$5:$A$1668,$A1026,$B$5:$B$1668,$B1026)&gt;1,"Player is listed twice this week",IF(AND($D1026&lt;&gt;"",COUNTIFS($A$5:$A$1668,$A1026,$D$5:$D$1668,$D1026)&gt;1),"Two players picked as "&amp;$D1026,IF(COUNTIFS($A$5:$A$1668,$A1026,$D$5:$D$1668,"Gross winner")=0,"Pick this week's gross winner",IF(COUNTIFS($A$5:$A$1668,$A1026,$D$5:$D$1668,"Net winner")=0,"Pick this week's net winner","OK")))))))</f>
        <v/>
      </c>
    </row>
    <row r="1027" outlineLevel="1">
      <c r="A1027" s="13" t="n">
        <v>46610</v>
      </c>
      <c r="E1027" s="11">
        <f>IF(OR($B1027="",NOT(ISNUMBER($C1027))),"",COUNTIFS($A$5:$A$1668,$A1027,$C$5:$C$1668,"&lt;"&amp;$C1027)+1)</f>
        <v/>
      </c>
      <c r="F1027" s="11">
        <f>IF(OR($B1027="",NOT(ISNUMBER($C1027))),"",COUNTIFS($A$5:$A$1668,$A1027,$C$5:$C$1668,"&gt;0"))</f>
        <v/>
      </c>
      <c r="G1027" s="11">
        <f>IF(OR($B1027="",NOT(ISNUMBER($C1027))),"",IF($D1027&lt;&gt;"",ROUND(Points!$B$6*IF($F1027&lt;Points!$H$4,Points!$H$5,1),0),ROUND(Points!$B$6*IF($F1027&lt;=1,1,Points!$H$7+(1-Points!$H$7)*((($F1027-$E1027)*(($F1027-$E1027)+1)/2)^2-((($F1027-$E1027-COUNTIFS($A$5:$A$1668,$A1027,$C$5:$C$1668,$C1027)+1)-1)*($F1027-$E1027-COUNTIFS($A$5:$A$1668,$A1027,$C$5:$C$1668,$C1027)+1)/2)^2)/(COUNTIFS($A$5:$A$1668,$A1027,$C$5:$C$1668,$C1027)*($F1027-1)^3))*IF($F1027&lt;Points!$H$4,Points!$H$5,1),0)))</f>
        <v/>
      </c>
      <c r="H1027" s="11">
        <f>IF($G1027="","",COUNTIFS($B$5:$B$1668,$B1027,$G$5:$G$1668,"&gt;"&amp;$G1027)+COUNTIFS($B$4:$B1026,$B1027,$G$4:$G1026,$G1027)+1)</f>
        <v/>
      </c>
      <c r="I1027" s="11">
        <f>IF($G1027="","",IF($H1027&lt;=Points!$H$6,$G1027,0))</f>
        <v/>
      </c>
      <c r="J1027" s="11">
        <f>IF($B1027="","",IF(COUNTIF(Players!$A$2:$A$500,$B1027)=0,"Player is not on the Players tab",IF(NOT(ISNUMBER($C1027)),"Enter a gross score",IF(COUNTIFS($A$5:$A$1668,$A1027,$B$5:$B$1668,$B1027)&gt;1,"Player is listed twice this week",IF(AND($D1027&lt;&gt;"",COUNTIFS($A$5:$A$1668,$A1027,$D$5:$D$1668,$D1027)&gt;1),"Two players picked as "&amp;$D1027,IF(COUNTIFS($A$5:$A$1668,$A1027,$D$5:$D$1668,"Gross winner")=0,"Pick this week's gross winner",IF(COUNTIFS($A$5:$A$1668,$A1027,$D$5:$D$1668,"Net winner")=0,"Pick this week's net winner","OK")))))))</f>
        <v/>
      </c>
    </row>
    <row r="1028" ht="10" customHeight="1"/>
    <row r="1029" ht="22" customHeight="1">
      <c r="A1029" s="12" t="inlineStr">
        <is>
          <t>Week 33  ·  Wednesday, Aug 18</t>
        </is>
      </c>
    </row>
    <row r="1030" outlineLevel="1">
      <c r="A1030" s="13" t="n">
        <v>46617</v>
      </c>
      <c r="E1030" s="11">
        <f>IF(OR($B1030="",NOT(ISNUMBER($C1030))),"",COUNTIFS($A$5:$A$1668,$A1030,$C$5:$C$1668,"&lt;"&amp;$C1030)+1)</f>
        <v/>
      </c>
      <c r="F1030" s="11">
        <f>IF(OR($B1030="",NOT(ISNUMBER($C1030))),"",COUNTIFS($A$5:$A$1668,$A1030,$C$5:$C$1668,"&gt;0"))</f>
        <v/>
      </c>
      <c r="G1030" s="11">
        <f>IF(OR($B1030="",NOT(ISNUMBER($C1030))),"",IF($D1030&lt;&gt;"",ROUND(Points!$B$6*IF($F1030&lt;Points!$H$4,Points!$H$5,1),0),ROUND(Points!$B$6*IF($F1030&lt;=1,1,Points!$H$7+(1-Points!$H$7)*((($F1030-$E1030)*(($F1030-$E1030)+1)/2)^2-((($F1030-$E1030-COUNTIFS($A$5:$A$1668,$A1030,$C$5:$C$1668,$C1030)+1)-1)*($F1030-$E1030-COUNTIFS($A$5:$A$1668,$A1030,$C$5:$C$1668,$C1030)+1)/2)^2)/(COUNTIFS($A$5:$A$1668,$A1030,$C$5:$C$1668,$C1030)*($F1030-1)^3))*IF($F1030&lt;Points!$H$4,Points!$H$5,1),0)))</f>
        <v/>
      </c>
      <c r="H1030" s="11">
        <f>IF($G1030="","",COUNTIFS($B$5:$B$1668,$B1030,$G$5:$G$1668,"&gt;"&amp;$G1030)+COUNTIFS($B$4:$B1029,$B1030,$G$4:$G1029,$G1030)+1)</f>
        <v/>
      </c>
      <c r="I1030" s="11">
        <f>IF($G1030="","",IF($H1030&lt;=Points!$H$6,$G1030,0))</f>
        <v/>
      </c>
      <c r="J1030" s="11">
        <f>IF($B1030="","",IF(COUNTIF(Players!$A$2:$A$500,$B1030)=0,"Player is not on the Players tab",IF(NOT(ISNUMBER($C1030)),"Enter a gross score",IF(COUNTIFS($A$5:$A$1668,$A1030,$B$5:$B$1668,$B1030)&gt;1,"Player is listed twice this week",IF(AND($D1030&lt;&gt;"",COUNTIFS($A$5:$A$1668,$A1030,$D$5:$D$1668,$D1030)&gt;1),"Two players picked as "&amp;$D1030,IF(COUNTIFS($A$5:$A$1668,$A1030,$D$5:$D$1668,"Gross winner")=0,"Pick this week's gross winner",IF(COUNTIFS($A$5:$A$1668,$A1030,$D$5:$D$1668,"Net winner")=0,"Pick this week's net winner","OK")))))))</f>
        <v/>
      </c>
    </row>
    <row r="1031" outlineLevel="1">
      <c r="A1031" s="13" t="n">
        <v>46617</v>
      </c>
      <c r="E1031" s="11">
        <f>IF(OR($B1031="",NOT(ISNUMBER($C1031))),"",COUNTIFS($A$5:$A$1668,$A1031,$C$5:$C$1668,"&lt;"&amp;$C1031)+1)</f>
        <v/>
      </c>
      <c r="F1031" s="11">
        <f>IF(OR($B1031="",NOT(ISNUMBER($C1031))),"",COUNTIFS($A$5:$A$1668,$A1031,$C$5:$C$1668,"&gt;0"))</f>
        <v/>
      </c>
      <c r="G1031" s="11">
        <f>IF(OR($B1031="",NOT(ISNUMBER($C1031))),"",IF($D1031&lt;&gt;"",ROUND(Points!$B$6*IF($F1031&lt;Points!$H$4,Points!$H$5,1),0),ROUND(Points!$B$6*IF($F1031&lt;=1,1,Points!$H$7+(1-Points!$H$7)*((($F1031-$E1031)*(($F1031-$E1031)+1)/2)^2-((($F1031-$E1031-COUNTIFS($A$5:$A$1668,$A1031,$C$5:$C$1668,$C1031)+1)-1)*($F1031-$E1031-COUNTIFS($A$5:$A$1668,$A1031,$C$5:$C$1668,$C1031)+1)/2)^2)/(COUNTIFS($A$5:$A$1668,$A1031,$C$5:$C$1668,$C1031)*($F1031-1)^3))*IF($F1031&lt;Points!$H$4,Points!$H$5,1),0)))</f>
        <v/>
      </c>
      <c r="H1031" s="11">
        <f>IF($G1031="","",COUNTIFS($B$5:$B$1668,$B1031,$G$5:$G$1668,"&gt;"&amp;$G1031)+COUNTIFS($B$4:$B1030,$B1031,$G$4:$G1030,$G1031)+1)</f>
        <v/>
      </c>
      <c r="I1031" s="11">
        <f>IF($G1031="","",IF($H1031&lt;=Points!$H$6,$G1031,0))</f>
        <v/>
      </c>
      <c r="J1031" s="11">
        <f>IF($B1031="","",IF(COUNTIF(Players!$A$2:$A$500,$B1031)=0,"Player is not on the Players tab",IF(NOT(ISNUMBER($C1031)),"Enter a gross score",IF(COUNTIFS($A$5:$A$1668,$A1031,$B$5:$B$1668,$B1031)&gt;1,"Player is listed twice this week",IF(AND($D1031&lt;&gt;"",COUNTIFS($A$5:$A$1668,$A1031,$D$5:$D$1668,$D1031)&gt;1),"Two players picked as "&amp;$D1031,IF(COUNTIFS($A$5:$A$1668,$A1031,$D$5:$D$1668,"Gross winner")=0,"Pick this week's gross winner",IF(COUNTIFS($A$5:$A$1668,$A1031,$D$5:$D$1668,"Net winner")=0,"Pick this week's net winner","OK")))))))</f>
        <v/>
      </c>
    </row>
    <row r="1032" outlineLevel="1">
      <c r="A1032" s="13" t="n">
        <v>46617</v>
      </c>
      <c r="E1032" s="11">
        <f>IF(OR($B1032="",NOT(ISNUMBER($C1032))),"",COUNTIFS($A$5:$A$1668,$A1032,$C$5:$C$1668,"&lt;"&amp;$C1032)+1)</f>
        <v/>
      </c>
      <c r="F1032" s="11">
        <f>IF(OR($B1032="",NOT(ISNUMBER($C1032))),"",COUNTIFS($A$5:$A$1668,$A1032,$C$5:$C$1668,"&gt;0"))</f>
        <v/>
      </c>
      <c r="G1032" s="11">
        <f>IF(OR($B1032="",NOT(ISNUMBER($C1032))),"",IF($D1032&lt;&gt;"",ROUND(Points!$B$6*IF($F1032&lt;Points!$H$4,Points!$H$5,1),0),ROUND(Points!$B$6*IF($F1032&lt;=1,1,Points!$H$7+(1-Points!$H$7)*((($F1032-$E1032)*(($F1032-$E1032)+1)/2)^2-((($F1032-$E1032-COUNTIFS($A$5:$A$1668,$A1032,$C$5:$C$1668,$C1032)+1)-1)*($F1032-$E1032-COUNTIFS($A$5:$A$1668,$A1032,$C$5:$C$1668,$C1032)+1)/2)^2)/(COUNTIFS($A$5:$A$1668,$A1032,$C$5:$C$1668,$C1032)*($F1032-1)^3))*IF($F1032&lt;Points!$H$4,Points!$H$5,1),0)))</f>
        <v/>
      </c>
      <c r="H1032" s="11">
        <f>IF($G1032="","",COUNTIFS($B$5:$B$1668,$B1032,$G$5:$G$1668,"&gt;"&amp;$G1032)+COUNTIFS($B$4:$B1031,$B1032,$G$4:$G1031,$G1032)+1)</f>
        <v/>
      </c>
      <c r="I1032" s="11">
        <f>IF($G1032="","",IF($H1032&lt;=Points!$H$6,$G1032,0))</f>
        <v/>
      </c>
      <c r="J1032" s="11">
        <f>IF($B1032="","",IF(COUNTIF(Players!$A$2:$A$500,$B1032)=0,"Player is not on the Players tab",IF(NOT(ISNUMBER($C1032)),"Enter a gross score",IF(COUNTIFS($A$5:$A$1668,$A1032,$B$5:$B$1668,$B1032)&gt;1,"Player is listed twice this week",IF(AND($D1032&lt;&gt;"",COUNTIFS($A$5:$A$1668,$A1032,$D$5:$D$1668,$D1032)&gt;1),"Two players picked as "&amp;$D1032,IF(COUNTIFS($A$5:$A$1668,$A1032,$D$5:$D$1668,"Gross winner")=0,"Pick this week's gross winner",IF(COUNTIFS($A$5:$A$1668,$A1032,$D$5:$D$1668,"Net winner")=0,"Pick this week's net winner","OK")))))))</f>
        <v/>
      </c>
    </row>
    <row r="1033" outlineLevel="1">
      <c r="A1033" s="13" t="n">
        <v>46617</v>
      </c>
      <c r="E1033" s="11">
        <f>IF(OR($B1033="",NOT(ISNUMBER($C1033))),"",COUNTIFS($A$5:$A$1668,$A1033,$C$5:$C$1668,"&lt;"&amp;$C1033)+1)</f>
        <v/>
      </c>
      <c r="F1033" s="11">
        <f>IF(OR($B1033="",NOT(ISNUMBER($C1033))),"",COUNTIFS($A$5:$A$1668,$A1033,$C$5:$C$1668,"&gt;0"))</f>
        <v/>
      </c>
      <c r="G1033" s="11">
        <f>IF(OR($B1033="",NOT(ISNUMBER($C1033))),"",IF($D1033&lt;&gt;"",ROUND(Points!$B$6*IF($F1033&lt;Points!$H$4,Points!$H$5,1),0),ROUND(Points!$B$6*IF($F1033&lt;=1,1,Points!$H$7+(1-Points!$H$7)*((($F1033-$E1033)*(($F1033-$E1033)+1)/2)^2-((($F1033-$E1033-COUNTIFS($A$5:$A$1668,$A1033,$C$5:$C$1668,$C1033)+1)-1)*($F1033-$E1033-COUNTIFS($A$5:$A$1668,$A1033,$C$5:$C$1668,$C1033)+1)/2)^2)/(COUNTIFS($A$5:$A$1668,$A1033,$C$5:$C$1668,$C1033)*($F1033-1)^3))*IF($F1033&lt;Points!$H$4,Points!$H$5,1),0)))</f>
        <v/>
      </c>
      <c r="H1033" s="11">
        <f>IF($G1033="","",COUNTIFS($B$5:$B$1668,$B1033,$G$5:$G$1668,"&gt;"&amp;$G1033)+COUNTIFS($B$4:$B1032,$B1033,$G$4:$G1032,$G1033)+1)</f>
        <v/>
      </c>
      <c r="I1033" s="11">
        <f>IF($G1033="","",IF($H1033&lt;=Points!$H$6,$G1033,0))</f>
        <v/>
      </c>
      <c r="J1033" s="11">
        <f>IF($B1033="","",IF(COUNTIF(Players!$A$2:$A$500,$B1033)=0,"Player is not on the Players tab",IF(NOT(ISNUMBER($C1033)),"Enter a gross score",IF(COUNTIFS($A$5:$A$1668,$A1033,$B$5:$B$1668,$B1033)&gt;1,"Player is listed twice this week",IF(AND($D1033&lt;&gt;"",COUNTIFS($A$5:$A$1668,$A1033,$D$5:$D$1668,$D1033)&gt;1),"Two players picked as "&amp;$D1033,IF(COUNTIFS($A$5:$A$1668,$A1033,$D$5:$D$1668,"Gross winner")=0,"Pick this week's gross winner",IF(COUNTIFS($A$5:$A$1668,$A1033,$D$5:$D$1668,"Net winner")=0,"Pick this week's net winner","OK")))))))</f>
        <v/>
      </c>
    </row>
    <row r="1034" outlineLevel="1">
      <c r="A1034" s="13" t="n">
        <v>46617</v>
      </c>
      <c r="E1034" s="11">
        <f>IF(OR($B1034="",NOT(ISNUMBER($C1034))),"",COUNTIFS($A$5:$A$1668,$A1034,$C$5:$C$1668,"&lt;"&amp;$C1034)+1)</f>
        <v/>
      </c>
      <c r="F1034" s="11">
        <f>IF(OR($B1034="",NOT(ISNUMBER($C1034))),"",COUNTIFS($A$5:$A$1668,$A1034,$C$5:$C$1668,"&gt;0"))</f>
        <v/>
      </c>
      <c r="G1034" s="11">
        <f>IF(OR($B1034="",NOT(ISNUMBER($C1034))),"",IF($D1034&lt;&gt;"",ROUND(Points!$B$6*IF($F1034&lt;Points!$H$4,Points!$H$5,1),0),ROUND(Points!$B$6*IF($F1034&lt;=1,1,Points!$H$7+(1-Points!$H$7)*((($F1034-$E1034)*(($F1034-$E1034)+1)/2)^2-((($F1034-$E1034-COUNTIFS($A$5:$A$1668,$A1034,$C$5:$C$1668,$C1034)+1)-1)*($F1034-$E1034-COUNTIFS($A$5:$A$1668,$A1034,$C$5:$C$1668,$C1034)+1)/2)^2)/(COUNTIFS($A$5:$A$1668,$A1034,$C$5:$C$1668,$C1034)*($F1034-1)^3))*IF($F1034&lt;Points!$H$4,Points!$H$5,1),0)))</f>
        <v/>
      </c>
      <c r="H1034" s="11">
        <f>IF($G1034="","",COUNTIFS($B$5:$B$1668,$B1034,$G$5:$G$1668,"&gt;"&amp;$G1034)+COUNTIFS($B$4:$B1033,$B1034,$G$4:$G1033,$G1034)+1)</f>
        <v/>
      </c>
      <c r="I1034" s="11">
        <f>IF($G1034="","",IF($H1034&lt;=Points!$H$6,$G1034,0))</f>
        <v/>
      </c>
      <c r="J1034" s="11">
        <f>IF($B1034="","",IF(COUNTIF(Players!$A$2:$A$500,$B1034)=0,"Player is not on the Players tab",IF(NOT(ISNUMBER($C1034)),"Enter a gross score",IF(COUNTIFS($A$5:$A$1668,$A1034,$B$5:$B$1668,$B1034)&gt;1,"Player is listed twice this week",IF(AND($D1034&lt;&gt;"",COUNTIFS($A$5:$A$1668,$A1034,$D$5:$D$1668,$D1034)&gt;1),"Two players picked as "&amp;$D1034,IF(COUNTIFS($A$5:$A$1668,$A1034,$D$5:$D$1668,"Gross winner")=0,"Pick this week's gross winner",IF(COUNTIFS($A$5:$A$1668,$A1034,$D$5:$D$1668,"Net winner")=0,"Pick this week's net winner","OK")))))))</f>
        <v/>
      </c>
    </row>
    <row r="1035" outlineLevel="1">
      <c r="A1035" s="13" t="n">
        <v>46617</v>
      </c>
      <c r="E1035" s="11">
        <f>IF(OR($B1035="",NOT(ISNUMBER($C1035))),"",COUNTIFS($A$5:$A$1668,$A1035,$C$5:$C$1668,"&lt;"&amp;$C1035)+1)</f>
        <v/>
      </c>
      <c r="F1035" s="11">
        <f>IF(OR($B1035="",NOT(ISNUMBER($C1035))),"",COUNTIFS($A$5:$A$1668,$A1035,$C$5:$C$1668,"&gt;0"))</f>
        <v/>
      </c>
      <c r="G1035" s="11">
        <f>IF(OR($B1035="",NOT(ISNUMBER($C1035))),"",IF($D1035&lt;&gt;"",ROUND(Points!$B$6*IF($F1035&lt;Points!$H$4,Points!$H$5,1),0),ROUND(Points!$B$6*IF($F1035&lt;=1,1,Points!$H$7+(1-Points!$H$7)*((($F1035-$E1035)*(($F1035-$E1035)+1)/2)^2-((($F1035-$E1035-COUNTIFS($A$5:$A$1668,$A1035,$C$5:$C$1668,$C1035)+1)-1)*($F1035-$E1035-COUNTIFS($A$5:$A$1668,$A1035,$C$5:$C$1668,$C1035)+1)/2)^2)/(COUNTIFS($A$5:$A$1668,$A1035,$C$5:$C$1668,$C1035)*($F1035-1)^3))*IF($F1035&lt;Points!$H$4,Points!$H$5,1),0)))</f>
        <v/>
      </c>
      <c r="H1035" s="11">
        <f>IF($G1035="","",COUNTIFS($B$5:$B$1668,$B1035,$G$5:$G$1668,"&gt;"&amp;$G1035)+COUNTIFS($B$4:$B1034,$B1035,$G$4:$G1034,$G1035)+1)</f>
        <v/>
      </c>
      <c r="I1035" s="11">
        <f>IF($G1035="","",IF($H1035&lt;=Points!$H$6,$G1035,0))</f>
        <v/>
      </c>
      <c r="J1035" s="11">
        <f>IF($B1035="","",IF(COUNTIF(Players!$A$2:$A$500,$B1035)=0,"Player is not on the Players tab",IF(NOT(ISNUMBER($C1035)),"Enter a gross score",IF(COUNTIFS($A$5:$A$1668,$A1035,$B$5:$B$1668,$B1035)&gt;1,"Player is listed twice this week",IF(AND($D1035&lt;&gt;"",COUNTIFS($A$5:$A$1668,$A1035,$D$5:$D$1668,$D1035)&gt;1),"Two players picked as "&amp;$D1035,IF(COUNTIFS($A$5:$A$1668,$A1035,$D$5:$D$1668,"Gross winner")=0,"Pick this week's gross winner",IF(COUNTIFS($A$5:$A$1668,$A1035,$D$5:$D$1668,"Net winner")=0,"Pick this week's net winner","OK")))))))</f>
        <v/>
      </c>
    </row>
    <row r="1036" outlineLevel="1">
      <c r="A1036" s="13" t="n">
        <v>46617</v>
      </c>
      <c r="E1036" s="11">
        <f>IF(OR($B1036="",NOT(ISNUMBER($C1036))),"",COUNTIFS($A$5:$A$1668,$A1036,$C$5:$C$1668,"&lt;"&amp;$C1036)+1)</f>
        <v/>
      </c>
      <c r="F1036" s="11">
        <f>IF(OR($B1036="",NOT(ISNUMBER($C1036))),"",COUNTIFS($A$5:$A$1668,$A1036,$C$5:$C$1668,"&gt;0"))</f>
        <v/>
      </c>
      <c r="G1036" s="11">
        <f>IF(OR($B1036="",NOT(ISNUMBER($C1036))),"",IF($D1036&lt;&gt;"",ROUND(Points!$B$6*IF($F1036&lt;Points!$H$4,Points!$H$5,1),0),ROUND(Points!$B$6*IF($F1036&lt;=1,1,Points!$H$7+(1-Points!$H$7)*((($F1036-$E1036)*(($F1036-$E1036)+1)/2)^2-((($F1036-$E1036-COUNTIFS($A$5:$A$1668,$A1036,$C$5:$C$1668,$C1036)+1)-1)*($F1036-$E1036-COUNTIFS($A$5:$A$1668,$A1036,$C$5:$C$1668,$C1036)+1)/2)^2)/(COUNTIFS($A$5:$A$1668,$A1036,$C$5:$C$1668,$C1036)*($F1036-1)^3))*IF($F1036&lt;Points!$H$4,Points!$H$5,1),0)))</f>
        <v/>
      </c>
      <c r="H1036" s="11">
        <f>IF($G1036="","",COUNTIFS($B$5:$B$1668,$B1036,$G$5:$G$1668,"&gt;"&amp;$G1036)+COUNTIFS($B$4:$B1035,$B1036,$G$4:$G1035,$G1036)+1)</f>
        <v/>
      </c>
      <c r="I1036" s="11">
        <f>IF($G1036="","",IF($H1036&lt;=Points!$H$6,$G1036,0))</f>
        <v/>
      </c>
      <c r="J1036" s="11">
        <f>IF($B1036="","",IF(COUNTIF(Players!$A$2:$A$500,$B1036)=0,"Player is not on the Players tab",IF(NOT(ISNUMBER($C1036)),"Enter a gross score",IF(COUNTIFS($A$5:$A$1668,$A1036,$B$5:$B$1668,$B1036)&gt;1,"Player is listed twice this week",IF(AND($D1036&lt;&gt;"",COUNTIFS($A$5:$A$1668,$A1036,$D$5:$D$1668,$D1036)&gt;1),"Two players picked as "&amp;$D1036,IF(COUNTIFS($A$5:$A$1668,$A1036,$D$5:$D$1668,"Gross winner")=0,"Pick this week's gross winner",IF(COUNTIFS($A$5:$A$1668,$A1036,$D$5:$D$1668,"Net winner")=0,"Pick this week's net winner","OK")))))))</f>
        <v/>
      </c>
    </row>
    <row r="1037" outlineLevel="1">
      <c r="A1037" s="13" t="n">
        <v>46617</v>
      </c>
      <c r="E1037" s="11">
        <f>IF(OR($B1037="",NOT(ISNUMBER($C1037))),"",COUNTIFS($A$5:$A$1668,$A1037,$C$5:$C$1668,"&lt;"&amp;$C1037)+1)</f>
        <v/>
      </c>
      <c r="F1037" s="11">
        <f>IF(OR($B1037="",NOT(ISNUMBER($C1037))),"",COUNTIFS($A$5:$A$1668,$A1037,$C$5:$C$1668,"&gt;0"))</f>
        <v/>
      </c>
      <c r="G1037" s="11">
        <f>IF(OR($B1037="",NOT(ISNUMBER($C1037))),"",IF($D1037&lt;&gt;"",ROUND(Points!$B$6*IF($F1037&lt;Points!$H$4,Points!$H$5,1),0),ROUND(Points!$B$6*IF($F1037&lt;=1,1,Points!$H$7+(1-Points!$H$7)*((($F1037-$E1037)*(($F1037-$E1037)+1)/2)^2-((($F1037-$E1037-COUNTIFS($A$5:$A$1668,$A1037,$C$5:$C$1668,$C1037)+1)-1)*($F1037-$E1037-COUNTIFS($A$5:$A$1668,$A1037,$C$5:$C$1668,$C1037)+1)/2)^2)/(COUNTIFS($A$5:$A$1668,$A1037,$C$5:$C$1668,$C1037)*($F1037-1)^3))*IF($F1037&lt;Points!$H$4,Points!$H$5,1),0)))</f>
        <v/>
      </c>
      <c r="H1037" s="11">
        <f>IF($G1037="","",COUNTIFS($B$5:$B$1668,$B1037,$G$5:$G$1668,"&gt;"&amp;$G1037)+COUNTIFS($B$4:$B1036,$B1037,$G$4:$G1036,$G1037)+1)</f>
        <v/>
      </c>
      <c r="I1037" s="11">
        <f>IF($G1037="","",IF($H1037&lt;=Points!$H$6,$G1037,0))</f>
        <v/>
      </c>
      <c r="J1037" s="11">
        <f>IF($B1037="","",IF(COUNTIF(Players!$A$2:$A$500,$B1037)=0,"Player is not on the Players tab",IF(NOT(ISNUMBER($C1037)),"Enter a gross score",IF(COUNTIFS($A$5:$A$1668,$A1037,$B$5:$B$1668,$B1037)&gt;1,"Player is listed twice this week",IF(AND($D1037&lt;&gt;"",COUNTIFS($A$5:$A$1668,$A1037,$D$5:$D$1668,$D1037)&gt;1),"Two players picked as "&amp;$D1037,IF(COUNTIFS($A$5:$A$1668,$A1037,$D$5:$D$1668,"Gross winner")=0,"Pick this week's gross winner",IF(COUNTIFS($A$5:$A$1668,$A1037,$D$5:$D$1668,"Net winner")=0,"Pick this week's net winner","OK")))))))</f>
        <v/>
      </c>
    </row>
    <row r="1038" outlineLevel="1">
      <c r="A1038" s="13" t="n">
        <v>46617</v>
      </c>
      <c r="E1038" s="11">
        <f>IF(OR($B1038="",NOT(ISNUMBER($C1038))),"",COUNTIFS($A$5:$A$1668,$A1038,$C$5:$C$1668,"&lt;"&amp;$C1038)+1)</f>
        <v/>
      </c>
      <c r="F1038" s="11">
        <f>IF(OR($B1038="",NOT(ISNUMBER($C1038))),"",COUNTIFS($A$5:$A$1668,$A1038,$C$5:$C$1668,"&gt;0"))</f>
        <v/>
      </c>
      <c r="G1038" s="11">
        <f>IF(OR($B1038="",NOT(ISNUMBER($C1038))),"",IF($D1038&lt;&gt;"",ROUND(Points!$B$6*IF($F1038&lt;Points!$H$4,Points!$H$5,1),0),ROUND(Points!$B$6*IF($F1038&lt;=1,1,Points!$H$7+(1-Points!$H$7)*((($F1038-$E1038)*(($F1038-$E1038)+1)/2)^2-((($F1038-$E1038-COUNTIFS($A$5:$A$1668,$A1038,$C$5:$C$1668,$C1038)+1)-1)*($F1038-$E1038-COUNTIFS($A$5:$A$1668,$A1038,$C$5:$C$1668,$C1038)+1)/2)^2)/(COUNTIFS($A$5:$A$1668,$A1038,$C$5:$C$1668,$C1038)*($F1038-1)^3))*IF($F1038&lt;Points!$H$4,Points!$H$5,1),0)))</f>
        <v/>
      </c>
      <c r="H1038" s="11">
        <f>IF($G1038="","",COUNTIFS($B$5:$B$1668,$B1038,$G$5:$G$1668,"&gt;"&amp;$G1038)+COUNTIFS($B$4:$B1037,$B1038,$G$4:$G1037,$G1038)+1)</f>
        <v/>
      </c>
      <c r="I1038" s="11">
        <f>IF($G1038="","",IF($H1038&lt;=Points!$H$6,$G1038,0))</f>
        <v/>
      </c>
      <c r="J1038" s="11">
        <f>IF($B1038="","",IF(COUNTIF(Players!$A$2:$A$500,$B1038)=0,"Player is not on the Players tab",IF(NOT(ISNUMBER($C1038)),"Enter a gross score",IF(COUNTIFS($A$5:$A$1668,$A1038,$B$5:$B$1668,$B1038)&gt;1,"Player is listed twice this week",IF(AND($D1038&lt;&gt;"",COUNTIFS($A$5:$A$1668,$A1038,$D$5:$D$1668,$D1038)&gt;1),"Two players picked as "&amp;$D1038,IF(COUNTIFS($A$5:$A$1668,$A1038,$D$5:$D$1668,"Gross winner")=0,"Pick this week's gross winner",IF(COUNTIFS($A$5:$A$1668,$A1038,$D$5:$D$1668,"Net winner")=0,"Pick this week's net winner","OK")))))))</f>
        <v/>
      </c>
    </row>
    <row r="1039" outlineLevel="1">
      <c r="A1039" s="13" t="n">
        <v>46617</v>
      </c>
      <c r="E1039" s="11">
        <f>IF(OR($B1039="",NOT(ISNUMBER($C1039))),"",COUNTIFS($A$5:$A$1668,$A1039,$C$5:$C$1668,"&lt;"&amp;$C1039)+1)</f>
        <v/>
      </c>
      <c r="F1039" s="11">
        <f>IF(OR($B1039="",NOT(ISNUMBER($C1039))),"",COUNTIFS($A$5:$A$1668,$A1039,$C$5:$C$1668,"&gt;0"))</f>
        <v/>
      </c>
      <c r="G1039" s="11">
        <f>IF(OR($B1039="",NOT(ISNUMBER($C1039))),"",IF($D1039&lt;&gt;"",ROUND(Points!$B$6*IF($F1039&lt;Points!$H$4,Points!$H$5,1),0),ROUND(Points!$B$6*IF($F1039&lt;=1,1,Points!$H$7+(1-Points!$H$7)*((($F1039-$E1039)*(($F1039-$E1039)+1)/2)^2-((($F1039-$E1039-COUNTIFS($A$5:$A$1668,$A1039,$C$5:$C$1668,$C1039)+1)-1)*($F1039-$E1039-COUNTIFS($A$5:$A$1668,$A1039,$C$5:$C$1668,$C1039)+1)/2)^2)/(COUNTIFS($A$5:$A$1668,$A1039,$C$5:$C$1668,$C1039)*($F1039-1)^3))*IF($F1039&lt;Points!$H$4,Points!$H$5,1),0)))</f>
        <v/>
      </c>
      <c r="H1039" s="11">
        <f>IF($G1039="","",COUNTIFS($B$5:$B$1668,$B1039,$G$5:$G$1668,"&gt;"&amp;$G1039)+COUNTIFS($B$4:$B1038,$B1039,$G$4:$G1038,$G1039)+1)</f>
        <v/>
      </c>
      <c r="I1039" s="11">
        <f>IF($G1039="","",IF($H1039&lt;=Points!$H$6,$G1039,0))</f>
        <v/>
      </c>
      <c r="J1039" s="11">
        <f>IF($B1039="","",IF(COUNTIF(Players!$A$2:$A$500,$B1039)=0,"Player is not on the Players tab",IF(NOT(ISNUMBER($C1039)),"Enter a gross score",IF(COUNTIFS($A$5:$A$1668,$A1039,$B$5:$B$1668,$B1039)&gt;1,"Player is listed twice this week",IF(AND($D1039&lt;&gt;"",COUNTIFS($A$5:$A$1668,$A1039,$D$5:$D$1668,$D1039)&gt;1),"Two players picked as "&amp;$D1039,IF(COUNTIFS($A$5:$A$1668,$A1039,$D$5:$D$1668,"Gross winner")=0,"Pick this week's gross winner",IF(COUNTIFS($A$5:$A$1668,$A1039,$D$5:$D$1668,"Net winner")=0,"Pick this week's net winner","OK")))))))</f>
        <v/>
      </c>
    </row>
    <row r="1040" outlineLevel="1">
      <c r="A1040" s="13" t="n">
        <v>46617</v>
      </c>
      <c r="E1040" s="11">
        <f>IF(OR($B1040="",NOT(ISNUMBER($C1040))),"",COUNTIFS($A$5:$A$1668,$A1040,$C$5:$C$1668,"&lt;"&amp;$C1040)+1)</f>
        <v/>
      </c>
      <c r="F1040" s="11">
        <f>IF(OR($B1040="",NOT(ISNUMBER($C1040))),"",COUNTIFS($A$5:$A$1668,$A1040,$C$5:$C$1668,"&gt;0"))</f>
        <v/>
      </c>
      <c r="G1040" s="11">
        <f>IF(OR($B1040="",NOT(ISNUMBER($C1040))),"",IF($D1040&lt;&gt;"",ROUND(Points!$B$6*IF($F1040&lt;Points!$H$4,Points!$H$5,1),0),ROUND(Points!$B$6*IF($F1040&lt;=1,1,Points!$H$7+(1-Points!$H$7)*((($F1040-$E1040)*(($F1040-$E1040)+1)/2)^2-((($F1040-$E1040-COUNTIFS($A$5:$A$1668,$A1040,$C$5:$C$1668,$C1040)+1)-1)*($F1040-$E1040-COUNTIFS($A$5:$A$1668,$A1040,$C$5:$C$1668,$C1040)+1)/2)^2)/(COUNTIFS($A$5:$A$1668,$A1040,$C$5:$C$1668,$C1040)*($F1040-1)^3))*IF($F1040&lt;Points!$H$4,Points!$H$5,1),0)))</f>
        <v/>
      </c>
      <c r="H1040" s="11">
        <f>IF($G1040="","",COUNTIFS($B$5:$B$1668,$B1040,$G$5:$G$1668,"&gt;"&amp;$G1040)+COUNTIFS($B$4:$B1039,$B1040,$G$4:$G1039,$G1040)+1)</f>
        <v/>
      </c>
      <c r="I1040" s="11">
        <f>IF($G1040="","",IF($H1040&lt;=Points!$H$6,$G1040,0))</f>
        <v/>
      </c>
      <c r="J1040" s="11">
        <f>IF($B1040="","",IF(COUNTIF(Players!$A$2:$A$500,$B1040)=0,"Player is not on the Players tab",IF(NOT(ISNUMBER($C1040)),"Enter a gross score",IF(COUNTIFS($A$5:$A$1668,$A1040,$B$5:$B$1668,$B1040)&gt;1,"Player is listed twice this week",IF(AND($D1040&lt;&gt;"",COUNTIFS($A$5:$A$1668,$A1040,$D$5:$D$1668,$D1040)&gt;1),"Two players picked as "&amp;$D1040,IF(COUNTIFS($A$5:$A$1668,$A1040,$D$5:$D$1668,"Gross winner")=0,"Pick this week's gross winner",IF(COUNTIFS($A$5:$A$1668,$A1040,$D$5:$D$1668,"Net winner")=0,"Pick this week's net winner","OK")))))))</f>
        <v/>
      </c>
    </row>
    <row r="1041" outlineLevel="1">
      <c r="A1041" s="13" t="n">
        <v>46617</v>
      </c>
      <c r="E1041" s="11">
        <f>IF(OR($B1041="",NOT(ISNUMBER($C1041))),"",COUNTIFS($A$5:$A$1668,$A1041,$C$5:$C$1668,"&lt;"&amp;$C1041)+1)</f>
        <v/>
      </c>
      <c r="F1041" s="11">
        <f>IF(OR($B1041="",NOT(ISNUMBER($C1041))),"",COUNTIFS($A$5:$A$1668,$A1041,$C$5:$C$1668,"&gt;0"))</f>
        <v/>
      </c>
      <c r="G1041" s="11">
        <f>IF(OR($B1041="",NOT(ISNUMBER($C1041))),"",IF($D1041&lt;&gt;"",ROUND(Points!$B$6*IF($F1041&lt;Points!$H$4,Points!$H$5,1),0),ROUND(Points!$B$6*IF($F1041&lt;=1,1,Points!$H$7+(1-Points!$H$7)*((($F1041-$E1041)*(($F1041-$E1041)+1)/2)^2-((($F1041-$E1041-COUNTIFS($A$5:$A$1668,$A1041,$C$5:$C$1668,$C1041)+1)-1)*($F1041-$E1041-COUNTIFS($A$5:$A$1668,$A1041,$C$5:$C$1668,$C1041)+1)/2)^2)/(COUNTIFS($A$5:$A$1668,$A1041,$C$5:$C$1668,$C1041)*($F1041-1)^3))*IF($F1041&lt;Points!$H$4,Points!$H$5,1),0)))</f>
        <v/>
      </c>
      <c r="H1041" s="11">
        <f>IF($G1041="","",COUNTIFS($B$5:$B$1668,$B1041,$G$5:$G$1668,"&gt;"&amp;$G1041)+COUNTIFS($B$4:$B1040,$B1041,$G$4:$G1040,$G1041)+1)</f>
        <v/>
      </c>
      <c r="I1041" s="11">
        <f>IF($G1041="","",IF($H1041&lt;=Points!$H$6,$G1041,0))</f>
        <v/>
      </c>
      <c r="J1041" s="11">
        <f>IF($B1041="","",IF(COUNTIF(Players!$A$2:$A$500,$B1041)=0,"Player is not on the Players tab",IF(NOT(ISNUMBER($C1041)),"Enter a gross score",IF(COUNTIFS($A$5:$A$1668,$A1041,$B$5:$B$1668,$B1041)&gt;1,"Player is listed twice this week",IF(AND($D1041&lt;&gt;"",COUNTIFS($A$5:$A$1668,$A1041,$D$5:$D$1668,$D1041)&gt;1),"Two players picked as "&amp;$D1041,IF(COUNTIFS($A$5:$A$1668,$A1041,$D$5:$D$1668,"Gross winner")=0,"Pick this week's gross winner",IF(COUNTIFS($A$5:$A$1668,$A1041,$D$5:$D$1668,"Net winner")=0,"Pick this week's net winner","OK")))))))</f>
        <v/>
      </c>
    </row>
    <row r="1042" outlineLevel="1">
      <c r="A1042" s="13" t="n">
        <v>46617</v>
      </c>
      <c r="E1042" s="11">
        <f>IF(OR($B1042="",NOT(ISNUMBER($C1042))),"",COUNTIFS($A$5:$A$1668,$A1042,$C$5:$C$1668,"&lt;"&amp;$C1042)+1)</f>
        <v/>
      </c>
      <c r="F1042" s="11">
        <f>IF(OR($B1042="",NOT(ISNUMBER($C1042))),"",COUNTIFS($A$5:$A$1668,$A1042,$C$5:$C$1668,"&gt;0"))</f>
        <v/>
      </c>
      <c r="G1042" s="11">
        <f>IF(OR($B1042="",NOT(ISNUMBER($C1042))),"",IF($D1042&lt;&gt;"",ROUND(Points!$B$6*IF($F1042&lt;Points!$H$4,Points!$H$5,1),0),ROUND(Points!$B$6*IF($F1042&lt;=1,1,Points!$H$7+(1-Points!$H$7)*((($F1042-$E1042)*(($F1042-$E1042)+1)/2)^2-((($F1042-$E1042-COUNTIFS($A$5:$A$1668,$A1042,$C$5:$C$1668,$C1042)+1)-1)*($F1042-$E1042-COUNTIFS($A$5:$A$1668,$A1042,$C$5:$C$1668,$C1042)+1)/2)^2)/(COUNTIFS($A$5:$A$1668,$A1042,$C$5:$C$1668,$C1042)*($F1042-1)^3))*IF($F1042&lt;Points!$H$4,Points!$H$5,1),0)))</f>
        <v/>
      </c>
      <c r="H1042" s="11">
        <f>IF($G1042="","",COUNTIFS($B$5:$B$1668,$B1042,$G$5:$G$1668,"&gt;"&amp;$G1042)+COUNTIFS($B$4:$B1041,$B1042,$G$4:$G1041,$G1042)+1)</f>
        <v/>
      </c>
      <c r="I1042" s="11">
        <f>IF($G1042="","",IF($H1042&lt;=Points!$H$6,$G1042,0))</f>
        <v/>
      </c>
      <c r="J1042" s="11">
        <f>IF($B1042="","",IF(COUNTIF(Players!$A$2:$A$500,$B1042)=0,"Player is not on the Players tab",IF(NOT(ISNUMBER($C1042)),"Enter a gross score",IF(COUNTIFS($A$5:$A$1668,$A1042,$B$5:$B$1668,$B1042)&gt;1,"Player is listed twice this week",IF(AND($D1042&lt;&gt;"",COUNTIFS($A$5:$A$1668,$A1042,$D$5:$D$1668,$D1042)&gt;1),"Two players picked as "&amp;$D1042,IF(COUNTIFS($A$5:$A$1668,$A1042,$D$5:$D$1668,"Gross winner")=0,"Pick this week's gross winner",IF(COUNTIFS($A$5:$A$1668,$A1042,$D$5:$D$1668,"Net winner")=0,"Pick this week's net winner","OK")))))))</f>
        <v/>
      </c>
    </row>
    <row r="1043" outlineLevel="1">
      <c r="A1043" s="13" t="n">
        <v>46617</v>
      </c>
      <c r="E1043" s="11">
        <f>IF(OR($B1043="",NOT(ISNUMBER($C1043))),"",COUNTIFS($A$5:$A$1668,$A1043,$C$5:$C$1668,"&lt;"&amp;$C1043)+1)</f>
        <v/>
      </c>
      <c r="F1043" s="11">
        <f>IF(OR($B1043="",NOT(ISNUMBER($C1043))),"",COUNTIFS($A$5:$A$1668,$A1043,$C$5:$C$1668,"&gt;0"))</f>
        <v/>
      </c>
      <c r="G1043" s="11">
        <f>IF(OR($B1043="",NOT(ISNUMBER($C1043))),"",IF($D1043&lt;&gt;"",ROUND(Points!$B$6*IF($F1043&lt;Points!$H$4,Points!$H$5,1),0),ROUND(Points!$B$6*IF($F1043&lt;=1,1,Points!$H$7+(1-Points!$H$7)*((($F1043-$E1043)*(($F1043-$E1043)+1)/2)^2-((($F1043-$E1043-COUNTIFS($A$5:$A$1668,$A1043,$C$5:$C$1668,$C1043)+1)-1)*($F1043-$E1043-COUNTIFS($A$5:$A$1668,$A1043,$C$5:$C$1668,$C1043)+1)/2)^2)/(COUNTIFS($A$5:$A$1668,$A1043,$C$5:$C$1668,$C1043)*($F1043-1)^3))*IF($F1043&lt;Points!$H$4,Points!$H$5,1),0)))</f>
        <v/>
      </c>
      <c r="H1043" s="11">
        <f>IF($G1043="","",COUNTIFS($B$5:$B$1668,$B1043,$G$5:$G$1668,"&gt;"&amp;$G1043)+COUNTIFS($B$4:$B1042,$B1043,$G$4:$G1042,$G1043)+1)</f>
        <v/>
      </c>
      <c r="I1043" s="11">
        <f>IF($G1043="","",IF($H1043&lt;=Points!$H$6,$G1043,0))</f>
        <v/>
      </c>
      <c r="J1043" s="11">
        <f>IF($B1043="","",IF(COUNTIF(Players!$A$2:$A$500,$B1043)=0,"Player is not on the Players tab",IF(NOT(ISNUMBER($C1043)),"Enter a gross score",IF(COUNTIFS($A$5:$A$1668,$A1043,$B$5:$B$1668,$B1043)&gt;1,"Player is listed twice this week",IF(AND($D1043&lt;&gt;"",COUNTIFS($A$5:$A$1668,$A1043,$D$5:$D$1668,$D1043)&gt;1),"Two players picked as "&amp;$D1043,IF(COUNTIFS($A$5:$A$1668,$A1043,$D$5:$D$1668,"Gross winner")=0,"Pick this week's gross winner",IF(COUNTIFS($A$5:$A$1668,$A1043,$D$5:$D$1668,"Net winner")=0,"Pick this week's net winner","OK")))))))</f>
        <v/>
      </c>
    </row>
    <row r="1044" outlineLevel="1">
      <c r="A1044" s="13" t="n">
        <v>46617</v>
      </c>
      <c r="E1044" s="11">
        <f>IF(OR($B1044="",NOT(ISNUMBER($C1044))),"",COUNTIFS($A$5:$A$1668,$A1044,$C$5:$C$1668,"&lt;"&amp;$C1044)+1)</f>
        <v/>
      </c>
      <c r="F1044" s="11">
        <f>IF(OR($B1044="",NOT(ISNUMBER($C1044))),"",COUNTIFS($A$5:$A$1668,$A1044,$C$5:$C$1668,"&gt;0"))</f>
        <v/>
      </c>
      <c r="G1044" s="11">
        <f>IF(OR($B1044="",NOT(ISNUMBER($C1044))),"",IF($D1044&lt;&gt;"",ROUND(Points!$B$6*IF($F1044&lt;Points!$H$4,Points!$H$5,1),0),ROUND(Points!$B$6*IF($F1044&lt;=1,1,Points!$H$7+(1-Points!$H$7)*((($F1044-$E1044)*(($F1044-$E1044)+1)/2)^2-((($F1044-$E1044-COUNTIFS($A$5:$A$1668,$A1044,$C$5:$C$1668,$C1044)+1)-1)*($F1044-$E1044-COUNTIFS($A$5:$A$1668,$A1044,$C$5:$C$1668,$C1044)+1)/2)^2)/(COUNTIFS($A$5:$A$1668,$A1044,$C$5:$C$1668,$C1044)*($F1044-1)^3))*IF($F1044&lt;Points!$H$4,Points!$H$5,1),0)))</f>
        <v/>
      </c>
      <c r="H1044" s="11">
        <f>IF($G1044="","",COUNTIFS($B$5:$B$1668,$B1044,$G$5:$G$1668,"&gt;"&amp;$G1044)+COUNTIFS($B$4:$B1043,$B1044,$G$4:$G1043,$G1044)+1)</f>
        <v/>
      </c>
      <c r="I1044" s="11">
        <f>IF($G1044="","",IF($H1044&lt;=Points!$H$6,$G1044,0))</f>
        <v/>
      </c>
      <c r="J1044" s="11">
        <f>IF($B1044="","",IF(COUNTIF(Players!$A$2:$A$500,$B1044)=0,"Player is not on the Players tab",IF(NOT(ISNUMBER($C1044)),"Enter a gross score",IF(COUNTIFS($A$5:$A$1668,$A1044,$B$5:$B$1668,$B1044)&gt;1,"Player is listed twice this week",IF(AND($D1044&lt;&gt;"",COUNTIFS($A$5:$A$1668,$A1044,$D$5:$D$1668,$D1044)&gt;1),"Two players picked as "&amp;$D1044,IF(COUNTIFS($A$5:$A$1668,$A1044,$D$5:$D$1668,"Gross winner")=0,"Pick this week's gross winner",IF(COUNTIFS($A$5:$A$1668,$A1044,$D$5:$D$1668,"Net winner")=0,"Pick this week's net winner","OK")))))))</f>
        <v/>
      </c>
    </row>
    <row r="1045" outlineLevel="1">
      <c r="A1045" s="13" t="n">
        <v>46617</v>
      </c>
      <c r="E1045" s="11">
        <f>IF(OR($B1045="",NOT(ISNUMBER($C1045))),"",COUNTIFS($A$5:$A$1668,$A1045,$C$5:$C$1668,"&lt;"&amp;$C1045)+1)</f>
        <v/>
      </c>
      <c r="F1045" s="11">
        <f>IF(OR($B1045="",NOT(ISNUMBER($C1045))),"",COUNTIFS($A$5:$A$1668,$A1045,$C$5:$C$1668,"&gt;0"))</f>
        <v/>
      </c>
      <c r="G1045" s="11">
        <f>IF(OR($B1045="",NOT(ISNUMBER($C1045))),"",IF($D1045&lt;&gt;"",ROUND(Points!$B$6*IF($F1045&lt;Points!$H$4,Points!$H$5,1),0),ROUND(Points!$B$6*IF($F1045&lt;=1,1,Points!$H$7+(1-Points!$H$7)*((($F1045-$E1045)*(($F1045-$E1045)+1)/2)^2-((($F1045-$E1045-COUNTIFS($A$5:$A$1668,$A1045,$C$5:$C$1668,$C1045)+1)-1)*($F1045-$E1045-COUNTIFS($A$5:$A$1668,$A1045,$C$5:$C$1668,$C1045)+1)/2)^2)/(COUNTIFS($A$5:$A$1668,$A1045,$C$5:$C$1668,$C1045)*($F1045-1)^3))*IF($F1045&lt;Points!$H$4,Points!$H$5,1),0)))</f>
        <v/>
      </c>
      <c r="H1045" s="11">
        <f>IF($G1045="","",COUNTIFS($B$5:$B$1668,$B1045,$G$5:$G$1668,"&gt;"&amp;$G1045)+COUNTIFS($B$4:$B1044,$B1045,$G$4:$G1044,$G1045)+1)</f>
        <v/>
      </c>
      <c r="I1045" s="11">
        <f>IF($G1045="","",IF($H1045&lt;=Points!$H$6,$G1045,0))</f>
        <v/>
      </c>
      <c r="J1045" s="11">
        <f>IF($B1045="","",IF(COUNTIF(Players!$A$2:$A$500,$B1045)=0,"Player is not on the Players tab",IF(NOT(ISNUMBER($C1045)),"Enter a gross score",IF(COUNTIFS($A$5:$A$1668,$A1045,$B$5:$B$1668,$B1045)&gt;1,"Player is listed twice this week",IF(AND($D1045&lt;&gt;"",COUNTIFS($A$5:$A$1668,$A1045,$D$5:$D$1668,$D1045)&gt;1),"Two players picked as "&amp;$D1045,IF(COUNTIFS($A$5:$A$1668,$A1045,$D$5:$D$1668,"Gross winner")=0,"Pick this week's gross winner",IF(COUNTIFS($A$5:$A$1668,$A1045,$D$5:$D$1668,"Net winner")=0,"Pick this week's net winner","OK")))))))</f>
        <v/>
      </c>
    </row>
    <row r="1046" outlineLevel="1">
      <c r="A1046" s="13" t="n">
        <v>46617</v>
      </c>
      <c r="E1046" s="11">
        <f>IF(OR($B1046="",NOT(ISNUMBER($C1046))),"",COUNTIFS($A$5:$A$1668,$A1046,$C$5:$C$1668,"&lt;"&amp;$C1046)+1)</f>
        <v/>
      </c>
      <c r="F1046" s="11">
        <f>IF(OR($B1046="",NOT(ISNUMBER($C1046))),"",COUNTIFS($A$5:$A$1668,$A1046,$C$5:$C$1668,"&gt;0"))</f>
        <v/>
      </c>
      <c r="G1046" s="11">
        <f>IF(OR($B1046="",NOT(ISNUMBER($C1046))),"",IF($D1046&lt;&gt;"",ROUND(Points!$B$6*IF($F1046&lt;Points!$H$4,Points!$H$5,1),0),ROUND(Points!$B$6*IF($F1046&lt;=1,1,Points!$H$7+(1-Points!$H$7)*((($F1046-$E1046)*(($F1046-$E1046)+1)/2)^2-((($F1046-$E1046-COUNTIFS($A$5:$A$1668,$A1046,$C$5:$C$1668,$C1046)+1)-1)*($F1046-$E1046-COUNTIFS($A$5:$A$1668,$A1046,$C$5:$C$1668,$C1046)+1)/2)^2)/(COUNTIFS($A$5:$A$1668,$A1046,$C$5:$C$1668,$C1046)*($F1046-1)^3))*IF($F1046&lt;Points!$H$4,Points!$H$5,1),0)))</f>
        <v/>
      </c>
      <c r="H1046" s="11">
        <f>IF($G1046="","",COUNTIFS($B$5:$B$1668,$B1046,$G$5:$G$1668,"&gt;"&amp;$G1046)+COUNTIFS($B$4:$B1045,$B1046,$G$4:$G1045,$G1046)+1)</f>
        <v/>
      </c>
      <c r="I1046" s="11">
        <f>IF($G1046="","",IF($H1046&lt;=Points!$H$6,$G1046,0))</f>
        <v/>
      </c>
      <c r="J1046" s="11">
        <f>IF($B1046="","",IF(COUNTIF(Players!$A$2:$A$500,$B1046)=0,"Player is not on the Players tab",IF(NOT(ISNUMBER($C1046)),"Enter a gross score",IF(COUNTIFS($A$5:$A$1668,$A1046,$B$5:$B$1668,$B1046)&gt;1,"Player is listed twice this week",IF(AND($D1046&lt;&gt;"",COUNTIFS($A$5:$A$1668,$A1046,$D$5:$D$1668,$D1046)&gt;1),"Two players picked as "&amp;$D1046,IF(COUNTIFS($A$5:$A$1668,$A1046,$D$5:$D$1668,"Gross winner")=0,"Pick this week's gross winner",IF(COUNTIFS($A$5:$A$1668,$A1046,$D$5:$D$1668,"Net winner")=0,"Pick this week's net winner","OK")))))))</f>
        <v/>
      </c>
    </row>
    <row r="1047" outlineLevel="1">
      <c r="A1047" s="13" t="n">
        <v>46617</v>
      </c>
      <c r="E1047" s="11">
        <f>IF(OR($B1047="",NOT(ISNUMBER($C1047))),"",COUNTIFS($A$5:$A$1668,$A1047,$C$5:$C$1668,"&lt;"&amp;$C1047)+1)</f>
        <v/>
      </c>
      <c r="F1047" s="11">
        <f>IF(OR($B1047="",NOT(ISNUMBER($C1047))),"",COUNTIFS($A$5:$A$1668,$A1047,$C$5:$C$1668,"&gt;0"))</f>
        <v/>
      </c>
      <c r="G1047" s="11">
        <f>IF(OR($B1047="",NOT(ISNUMBER($C1047))),"",IF($D1047&lt;&gt;"",ROUND(Points!$B$6*IF($F1047&lt;Points!$H$4,Points!$H$5,1),0),ROUND(Points!$B$6*IF($F1047&lt;=1,1,Points!$H$7+(1-Points!$H$7)*((($F1047-$E1047)*(($F1047-$E1047)+1)/2)^2-((($F1047-$E1047-COUNTIFS($A$5:$A$1668,$A1047,$C$5:$C$1668,$C1047)+1)-1)*($F1047-$E1047-COUNTIFS($A$5:$A$1668,$A1047,$C$5:$C$1668,$C1047)+1)/2)^2)/(COUNTIFS($A$5:$A$1668,$A1047,$C$5:$C$1668,$C1047)*($F1047-1)^3))*IF($F1047&lt;Points!$H$4,Points!$H$5,1),0)))</f>
        <v/>
      </c>
      <c r="H1047" s="11">
        <f>IF($G1047="","",COUNTIFS($B$5:$B$1668,$B1047,$G$5:$G$1668,"&gt;"&amp;$G1047)+COUNTIFS($B$4:$B1046,$B1047,$G$4:$G1046,$G1047)+1)</f>
        <v/>
      </c>
      <c r="I1047" s="11">
        <f>IF($G1047="","",IF($H1047&lt;=Points!$H$6,$G1047,0))</f>
        <v/>
      </c>
      <c r="J1047" s="11">
        <f>IF($B1047="","",IF(COUNTIF(Players!$A$2:$A$500,$B1047)=0,"Player is not on the Players tab",IF(NOT(ISNUMBER($C1047)),"Enter a gross score",IF(COUNTIFS($A$5:$A$1668,$A1047,$B$5:$B$1668,$B1047)&gt;1,"Player is listed twice this week",IF(AND($D1047&lt;&gt;"",COUNTIFS($A$5:$A$1668,$A1047,$D$5:$D$1668,$D1047)&gt;1),"Two players picked as "&amp;$D1047,IF(COUNTIFS($A$5:$A$1668,$A1047,$D$5:$D$1668,"Gross winner")=0,"Pick this week's gross winner",IF(COUNTIFS($A$5:$A$1668,$A1047,$D$5:$D$1668,"Net winner")=0,"Pick this week's net winner","OK")))))))</f>
        <v/>
      </c>
    </row>
    <row r="1048" outlineLevel="1">
      <c r="A1048" s="13" t="n">
        <v>46617</v>
      </c>
      <c r="E1048" s="11">
        <f>IF(OR($B1048="",NOT(ISNUMBER($C1048))),"",COUNTIFS($A$5:$A$1668,$A1048,$C$5:$C$1668,"&lt;"&amp;$C1048)+1)</f>
        <v/>
      </c>
      <c r="F1048" s="11">
        <f>IF(OR($B1048="",NOT(ISNUMBER($C1048))),"",COUNTIFS($A$5:$A$1668,$A1048,$C$5:$C$1668,"&gt;0"))</f>
        <v/>
      </c>
      <c r="G1048" s="11">
        <f>IF(OR($B1048="",NOT(ISNUMBER($C1048))),"",IF($D1048&lt;&gt;"",ROUND(Points!$B$6*IF($F1048&lt;Points!$H$4,Points!$H$5,1),0),ROUND(Points!$B$6*IF($F1048&lt;=1,1,Points!$H$7+(1-Points!$H$7)*((($F1048-$E1048)*(($F1048-$E1048)+1)/2)^2-((($F1048-$E1048-COUNTIFS($A$5:$A$1668,$A1048,$C$5:$C$1668,$C1048)+1)-1)*($F1048-$E1048-COUNTIFS($A$5:$A$1668,$A1048,$C$5:$C$1668,$C1048)+1)/2)^2)/(COUNTIFS($A$5:$A$1668,$A1048,$C$5:$C$1668,$C1048)*($F1048-1)^3))*IF($F1048&lt;Points!$H$4,Points!$H$5,1),0)))</f>
        <v/>
      </c>
      <c r="H1048" s="11">
        <f>IF($G1048="","",COUNTIFS($B$5:$B$1668,$B1048,$G$5:$G$1668,"&gt;"&amp;$G1048)+COUNTIFS($B$4:$B1047,$B1048,$G$4:$G1047,$G1048)+1)</f>
        <v/>
      </c>
      <c r="I1048" s="11">
        <f>IF($G1048="","",IF($H1048&lt;=Points!$H$6,$G1048,0))</f>
        <v/>
      </c>
      <c r="J1048" s="11">
        <f>IF($B1048="","",IF(COUNTIF(Players!$A$2:$A$500,$B1048)=0,"Player is not on the Players tab",IF(NOT(ISNUMBER($C1048)),"Enter a gross score",IF(COUNTIFS($A$5:$A$1668,$A1048,$B$5:$B$1668,$B1048)&gt;1,"Player is listed twice this week",IF(AND($D1048&lt;&gt;"",COUNTIFS($A$5:$A$1668,$A1048,$D$5:$D$1668,$D1048)&gt;1),"Two players picked as "&amp;$D1048,IF(COUNTIFS($A$5:$A$1668,$A1048,$D$5:$D$1668,"Gross winner")=0,"Pick this week's gross winner",IF(COUNTIFS($A$5:$A$1668,$A1048,$D$5:$D$1668,"Net winner")=0,"Pick this week's net winner","OK")))))))</f>
        <v/>
      </c>
    </row>
    <row r="1049" outlineLevel="1">
      <c r="A1049" s="13" t="n">
        <v>46617</v>
      </c>
      <c r="E1049" s="11">
        <f>IF(OR($B1049="",NOT(ISNUMBER($C1049))),"",COUNTIFS($A$5:$A$1668,$A1049,$C$5:$C$1668,"&lt;"&amp;$C1049)+1)</f>
        <v/>
      </c>
      <c r="F1049" s="11">
        <f>IF(OR($B1049="",NOT(ISNUMBER($C1049))),"",COUNTIFS($A$5:$A$1668,$A1049,$C$5:$C$1668,"&gt;0"))</f>
        <v/>
      </c>
      <c r="G1049" s="11">
        <f>IF(OR($B1049="",NOT(ISNUMBER($C1049))),"",IF($D1049&lt;&gt;"",ROUND(Points!$B$6*IF($F1049&lt;Points!$H$4,Points!$H$5,1),0),ROUND(Points!$B$6*IF($F1049&lt;=1,1,Points!$H$7+(1-Points!$H$7)*((($F1049-$E1049)*(($F1049-$E1049)+1)/2)^2-((($F1049-$E1049-COUNTIFS($A$5:$A$1668,$A1049,$C$5:$C$1668,$C1049)+1)-1)*($F1049-$E1049-COUNTIFS($A$5:$A$1668,$A1049,$C$5:$C$1668,$C1049)+1)/2)^2)/(COUNTIFS($A$5:$A$1668,$A1049,$C$5:$C$1668,$C1049)*($F1049-1)^3))*IF($F1049&lt;Points!$H$4,Points!$H$5,1),0)))</f>
        <v/>
      </c>
      <c r="H1049" s="11">
        <f>IF($G1049="","",COUNTIFS($B$5:$B$1668,$B1049,$G$5:$G$1668,"&gt;"&amp;$G1049)+COUNTIFS($B$4:$B1048,$B1049,$G$4:$G1048,$G1049)+1)</f>
        <v/>
      </c>
      <c r="I1049" s="11">
        <f>IF($G1049="","",IF($H1049&lt;=Points!$H$6,$G1049,0))</f>
        <v/>
      </c>
      <c r="J1049" s="11">
        <f>IF($B1049="","",IF(COUNTIF(Players!$A$2:$A$500,$B1049)=0,"Player is not on the Players tab",IF(NOT(ISNUMBER($C1049)),"Enter a gross score",IF(COUNTIFS($A$5:$A$1668,$A1049,$B$5:$B$1668,$B1049)&gt;1,"Player is listed twice this week",IF(AND($D1049&lt;&gt;"",COUNTIFS($A$5:$A$1668,$A1049,$D$5:$D$1668,$D1049)&gt;1),"Two players picked as "&amp;$D1049,IF(COUNTIFS($A$5:$A$1668,$A1049,$D$5:$D$1668,"Gross winner")=0,"Pick this week's gross winner",IF(COUNTIFS($A$5:$A$1668,$A1049,$D$5:$D$1668,"Net winner")=0,"Pick this week's net winner","OK")))))))</f>
        <v/>
      </c>
    </row>
    <row r="1050" outlineLevel="1">
      <c r="A1050" s="13" t="n">
        <v>46617</v>
      </c>
      <c r="E1050" s="11">
        <f>IF(OR($B1050="",NOT(ISNUMBER($C1050))),"",COUNTIFS($A$5:$A$1668,$A1050,$C$5:$C$1668,"&lt;"&amp;$C1050)+1)</f>
        <v/>
      </c>
      <c r="F1050" s="11">
        <f>IF(OR($B1050="",NOT(ISNUMBER($C1050))),"",COUNTIFS($A$5:$A$1668,$A1050,$C$5:$C$1668,"&gt;0"))</f>
        <v/>
      </c>
      <c r="G1050" s="11">
        <f>IF(OR($B1050="",NOT(ISNUMBER($C1050))),"",IF($D1050&lt;&gt;"",ROUND(Points!$B$6*IF($F1050&lt;Points!$H$4,Points!$H$5,1),0),ROUND(Points!$B$6*IF($F1050&lt;=1,1,Points!$H$7+(1-Points!$H$7)*((($F1050-$E1050)*(($F1050-$E1050)+1)/2)^2-((($F1050-$E1050-COUNTIFS($A$5:$A$1668,$A1050,$C$5:$C$1668,$C1050)+1)-1)*($F1050-$E1050-COUNTIFS($A$5:$A$1668,$A1050,$C$5:$C$1668,$C1050)+1)/2)^2)/(COUNTIFS($A$5:$A$1668,$A1050,$C$5:$C$1668,$C1050)*($F1050-1)^3))*IF($F1050&lt;Points!$H$4,Points!$H$5,1),0)))</f>
        <v/>
      </c>
      <c r="H1050" s="11">
        <f>IF($G1050="","",COUNTIFS($B$5:$B$1668,$B1050,$G$5:$G$1668,"&gt;"&amp;$G1050)+COUNTIFS($B$4:$B1049,$B1050,$G$4:$G1049,$G1050)+1)</f>
        <v/>
      </c>
      <c r="I1050" s="11">
        <f>IF($G1050="","",IF($H1050&lt;=Points!$H$6,$G1050,0))</f>
        <v/>
      </c>
      <c r="J1050" s="11">
        <f>IF($B1050="","",IF(COUNTIF(Players!$A$2:$A$500,$B1050)=0,"Player is not on the Players tab",IF(NOT(ISNUMBER($C1050)),"Enter a gross score",IF(COUNTIFS($A$5:$A$1668,$A1050,$B$5:$B$1668,$B1050)&gt;1,"Player is listed twice this week",IF(AND($D1050&lt;&gt;"",COUNTIFS($A$5:$A$1668,$A1050,$D$5:$D$1668,$D1050)&gt;1),"Two players picked as "&amp;$D1050,IF(COUNTIFS($A$5:$A$1668,$A1050,$D$5:$D$1668,"Gross winner")=0,"Pick this week's gross winner",IF(COUNTIFS($A$5:$A$1668,$A1050,$D$5:$D$1668,"Net winner")=0,"Pick this week's net winner","OK")))))))</f>
        <v/>
      </c>
    </row>
    <row r="1051" outlineLevel="1">
      <c r="A1051" s="13" t="n">
        <v>46617</v>
      </c>
      <c r="E1051" s="11">
        <f>IF(OR($B1051="",NOT(ISNUMBER($C1051))),"",COUNTIFS($A$5:$A$1668,$A1051,$C$5:$C$1668,"&lt;"&amp;$C1051)+1)</f>
        <v/>
      </c>
      <c r="F1051" s="11">
        <f>IF(OR($B1051="",NOT(ISNUMBER($C1051))),"",COUNTIFS($A$5:$A$1668,$A1051,$C$5:$C$1668,"&gt;0"))</f>
        <v/>
      </c>
      <c r="G1051" s="11">
        <f>IF(OR($B1051="",NOT(ISNUMBER($C1051))),"",IF($D1051&lt;&gt;"",ROUND(Points!$B$6*IF($F1051&lt;Points!$H$4,Points!$H$5,1),0),ROUND(Points!$B$6*IF($F1051&lt;=1,1,Points!$H$7+(1-Points!$H$7)*((($F1051-$E1051)*(($F1051-$E1051)+1)/2)^2-((($F1051-$E1051-COUNTIFS($A$5:$A$1668,$A1051,$C$5:$C$1668,$C1051)+1)-1)*($F1051-$E1051-COUNTIFS($A$5:$A$1668,$A1051,$C$5:$C$1668,$C1051)+1)/2)^2)/(COUNTIFS($A$5:$A$1668,$A1051,$C$5:$C$1668,$C1051)*($F1051-1)^3))*IF($F1051&lt;Points!$H$4,Points!$H$5,1),0)))</f>
        <v/>
      </c>
      <c r="H1051" s="11">
        <f>IF($G1051="","",COUNTIFS($B$5:$B$1668,$B1051,$G$5:$G$1668,"&gt;"&amp;$G1051)+COUNTIFS($B$4:$B1050,$B1051,$G$4:$G1050,$G1051)+1)</f>
        <v/>
      </c>
      <c r="I1051" s="11">
        <f>IF($G1051="","",IF($H1051&lt;=Points!$H$6,$G1051,0))</f>
        <v/>
      </c>
      <c r="J1051" s="11">
        <f>IF($B1051="","",IF(COUNTIF(Players!$A$2:$A$500,$B1051)=0,"Player is not on the Players tab",IF(NOT(ISNUMBER($C1051)),"Enter a gross score",IF(COUNTIFS($A$5:$A$1668,$A1051,$B$5:$B$1668,$B1051)&gt;1,"Player is listed twice this week",IF(AND($D1051&lt;&gt;"",COUNTIFS($A$5:$A$1668,$A1051,$D$5:$D$1668,$D1051)&gt;1),"Two players picked as "&amp;$D1051,IF(COUNTIFS($A$5:$A$1668,$A1051,$D$5:$D$1668,"Gross winner")=0,"Pick this week's gross winner",IF(COUNTIFS($A$5:$A$1668,$A1051,$D$5:$D$1668,"Net winner")=0,"Pick this week's net winner","OK")))))))</f>
        <v/>
      </c>
    </row>
    <row r="1052" outlineLevel="1">
      <c r="A1052" s="13" t="n">
        <v>46617</v>
      </c>
      <c r="E1052" s="11">
        <f>IF(OR($B1052="",NOT(ISNUMBER($C1052))),"",COUNTIFS($A$5:$A$1668,$A1052,$C$5:$C$1668,"&lt;"&amp;$C1052)+1)</f>
        <v/>
      </c>
      <c r="F1052" s="11">
        <f>IF(OR($B1052="",NOT(ISNUMBER($C1052))),"",COUNTIFS($A$5:$A$1668,$A1052,$C$5:$C$1668,"&gt;0"))</f>
        <v/>
      </c>
      <c r="G1052" s="11">
        <f>IF(OR($B1052="",NOT(ISNUMBER($C1052))),"",IF($D1052&lt;&gt;"",ROUND(Points!$B$6*IF($F1052&lt;Points!$H$4,Points!$H$5,1),0),ROUND(Points!$B$6*IF($F1052&lt;=1,1,Points!$H$7+(1-Points!$H$7)*((($F1052-$E1052)*(($F1052-$E1052)+1)/2)^2-((($F1052-$E1052-COUNTIFS($A$5:$A$1668,$A1052,$C$5:$C$1668,$C1052)+1)-1)*($F1052-$E1052-COUNTIFS($A$5:$A$1668,$A1052,$C$5:$C$1668,$C1052)+1)/2)^2)/(COUNTIFS($A$5:$A$1668,$A1052,$C$5:$C$1668,$C1052)*($F1052-1)^3))*IF($F1052&lt;Points!$H$4,Points!$H$5,1),0)))</f>
        <v/>
      </c>
      <c r="H1052" s="11">
        <f>IF($G1052="","",COUNTIFS($B$5:$B$1668,$B1052,$G$5:$G$1668,"&gt;"&amp;$G1052)+COUNTIFS($B$4:$B1051,$B1052,$G$4:$G1051,$G1052)+1)</f>
        <v/>
      </c>
      <c r="I1052" s="11">
        <f>IF($G1052="","",IF($H1052&lt;=Points!$H$6,$G1052,0))</f>
        <v/>
      </c>
      <c r="J1052" s="11">
        <f>IF($B1052="","",IF(COUNTIF(Players!$A$2:$A$500,$B1052)=0,"Player is not on the Players tab",IF(NOT(ISNUMBER($C1052)),"Enter a gross score",IF(COUNTIFS($A$5:$A$1668,$A1052,$B$5:$B$1668,$B1052)&gt;1,"Player is listed twice this week",IF(AND($D1052&lt;&gt;"",COUNTIFS($A$5:$A$1668,$A1052,$D$5:$D$1668,$D1052)&gt;1),"Two players picked as "&amp;$D1052,IF(COUNTIFS($A$5:$A$1668,$A1052,$D$5:$D$1668,"Gross winner")=0,"Pick this week's gross winner",IF(COUNTIFS($A$5:$A$1668,$A1052,$D$5:$D$1668,"Net winner")=0,"Pick this week's net winner","OK")))))))</f>
        <v/>
      </c>
    </row>
    <row r="1053" outlineLevel="1">
      <c r="A1053" s="13" t="n">
        <v>46617</v>
      </c>
      <c r="E1053" s="11">
        <f>IF(OR($B1053="",NOT(ISNUMBER($C1053))),"",COUNTIFS($A$5:$A$1668,$A1053,$C$5:$C$1668,"&lt;"&amp;$C1053)+1)</f>
        <v/>
      </c>
      <c r="F1053" s="11">
        <f>IF(OR($B1053="",NOT(ISNUMBER($C1053))),"",COUNTIFS($A$5:$A$1668,$A1053,$C$5:$C$1668,"&gt;0"))</f>
        <v/>
      </c>
      <c r="G1053" s="11">
        <f>IF(OR($B1053="",NOT(ISNUMBER($C1053))),"",IF($D1053&lt;&gt;"",ROUND(Points!$B$6*IF($F1053&lt;Points!$H$4,Points!$H$5,1),0),ROUND(Points!$B$6*IF($F1053&lt;=1,1,Points!$H$7+(1-Points!$H$7)*((($F1053-$E1053)*(($F1053-$E1053)+1)/2)^2-((($F1053-$E1053-COUNTIFS($A$5:$A$1668,$A1053,$C$5:$C$1668,$C1053)+1)-1)*($F1053-$E1053-COUNTIFS($A$5:$A$1668,$A1053,$C$5:$C$1668,$C1053)+1)/2)^2)/(COUNTIFS($A$5:$A$1668,$A1053,$C$5:$C$1668,$C1053)*($F1053-1)^3))*IF($F1053&lt;Points!$H$4,Points!$H$5,1),0)))</f>
        <v/>
      </c>
      <c r="H1053" s="11">
        <f>IF($G1053="","",COUNTIFS($B$5:$B$1668,$B1053,$G$5:$G$1668,"&gt;"&amp;$G1053)+COUNTIFS($B$4:$B1052,$B1053,$G$4:$G1052,$G1053)+1)</f>
        <v/>
      </c>
      <c r="I1053" s="11">
        <f>IF($G1053="","",IF($H1053&lt;=Points!$H$6,$G1053,0))</f>
        <v/>
      </c>
      <c r="J1053" s="11">
        <f>IF($B1053="","",IF(COUNTIF(Players!$A$2:$A$500,$B1053)=0,"Player is not on the Players tab",IF(NOT(ISNUMBER($C1053)),"Enter a gross score",IF(COUNTIFS($A$5:$A$1668,$A1053,$B$5:$B$1668,$B1053)&gt;1,"Player is listed twice this week",IF(AND($D1053&lt;&gt;"",COUNTIFS($A$5:$A$1668,$A1053,$D$5:$D$1668,$D1053)&gt;1),"Two players picked as "&amp;$D1053,IF(COUNTIFS($A$5:$A$1668,$A1053,$D$5:$D$1668,"Gross winner")=0,"Pick this week's gross winner",IF(COUNTIFS($A$5:$A$1668,$A1053,$D$5:$D$1668,"Net winner")=0,"Pick this week's net winner","OK")))))))</f>
        <v/>
      </c>
    </row>
    <row r="1054" outlineLevel="1">
      <c r="A1054" s="13" t="n">
        <v>46617</v>
      </c>
      <c r="E1054" s="11">
        <f>IF(OR($B1054="",NOT(ISNUMBER($C1054))),"",COUNTIFS($A$5:$A$1668,$A1054,$C$5:$C$1668,"&lt;"&amp;$C1054)+1)</f>
        <v/>
      </c>
      <c r="F1054" s="11">
        <f>IF(OR($B1054="",NOT(ISNUMBER($C1054))),"",COUNTIFS($A$5:$A$1668,$A1054,$C$5:$C$1668,"&gt;0"))</f>
        <v/>
      </c>
      <c r="G1054" s="11">
        <f>IF(OR($B1054="",NOT(ISNUMBER($C1054))),"",IF($D1054&lt;&gt;"",ROUND(Points!$B$6*IF($F1054&lt;Points!$H$4,Points!$H$5,1),0),ROUND(Points!$B$6*IF($F1054&lt;=1,1,Points!$H$7+(1-Points!$H$7)*((($F1054-$E1054)*(($F1054-$E1054)+1)/2)^2-((($F1054-$E1054-COUNTIFS($A$5:$A$1668,$A1054,$C$5:$C$1668,$C1054)+1)-1)*($F1054-$E1054-COUNTIFS($A$5:$A$1668,$A1054,$C$5:$C$1668,$C1054)+1)/2)^2)/(COUNTIFS($A$5:$A$1668,$A1054,$C$5:$C$1668,$C1054)*($F1054-1)^3))*IF($F1054&lt;Points!$H$4,Points!$H$5,1),0)))</f>
        <v/>
      </c>
      <c r="H1054" s="11">
        <f>IF($G1054="","",COUNTIFS($B$5:$B$1668,$B1054,$G$5:$G$1668,"&gt;"&amp;$G1054)+COUNTIFS($B$4:$B1053,$B1054,$G$4:$G1053,$G1054)+1)</f>
        <v/>
      </c>
      <c r="I1054" s="11">
        <f>IF($G1054="","",IF($H1054&lt;=Points!$H$6,$G1054,0))</f>
        <v/>
      </c>
      <c r="J1054" s="11">
        <f>IF($B1054="","",IF(COUNTIF(Players!$A$2:$A$500,$B1054)=0,"Player is not on the Players tab",IF(NOT(ISNUMBER($C1054)),"Enter a gross score",IF(COUNTIFS($A$5:$A$1668,$A1054,$B$5:$B$1668,$B1054)&gt;1,"Player is listed twice this week",IF(AND($D1054&lt;&gt;"",COUNTIFS($A$5:$A$1668,$A1054,$D$5:$D$1668,$D1054)&gt;1),"Two players picked as "&amp;$D1054,IF(COUNTIFS($A$5:$A$1668,$A1054,$D$5:$D$1668,"Gross winner")=0,"Pick this week's gross winner",IF(COUNTIFS($A$5:$A$1668,$A1054,$D$5:$D$1668,"Net winner")=0,"Pick this week's net winner","OK")))))))</f>
        <v/>
      </c>
    </row>
    <row r="1055" outlineLevel="1">
      <c r="A1055" s="13" t="n">
        <v>46617</v>
      </c>
      <c r="E1055" s="11">
        <f>IF(OR($B1055="",NOT(ISNUMBER($C1055))),"",COUNTIFS($A$5:$A$1668,$A1055,$C$5:$C$1668,"&lt;"&amp;$C1055)+1)</f>
        <v/>
      </c>
      <c r="F1055" s="11">
        <f>IF(OR($B1055="",NOT(ISNUMBER($C1055))),"",COUNTIFS($A$5:$A$1668,$A1055,$C$5:$C$1668,"&gt;0"))</f>
        <v/>
      </c>
      <c r="G1055" s="11">
        <f>IF(OR($B1055="",NOT(ISNUMBER($C1055))),"",IF($D1055&lt;&gt;"",ROUND(Points!$B$6*IF($F1055&lt;Points!$H$4,Points!$H$5,1),0),ROUND(Points!$B$6*IF($F1055&lt;=1,1,Points!$H$7+(1-Points!$H$7)*((($F1055-$E1055)*(($F1055-$E1055)+1)/2)^2-((($F1055-$E1055-COUNTIFS($A$5:$A$1668,$A1055,$C$5:$C$1668,$C1055)+1)-1)*($F1055-$E1055-COUNTIFS($A$5:$A$1668,$A1055,$C$5:$C$1668,$C1055)+1)/2)^2)/(COUNTIFS($A$5:$A$1668,$A1055,$C$5:$C$1668,$C1055)*($F1055-1)^3))*IF($F1055&lt;Points!$H$4,Points!$H$5,1),0)))</f>
        <v/>
      </c>
      <c r="H1055" s="11">
        <f>IF($G1055="","",COUNTIFS($B$5:$B$1668,$B1055,$G$5:$G$1668,"&gt;"&amp;$G1055)+COUNTIFS($B$4:$B1054,$B1055,$G$4:$G1054,$G1055)+1)</f>
        <v/>
      </c>
      <c r="I1055" s="11">
        <f>IF($G1055="","",IF($H1055&lt;=Points!$H$6,$G1055,0))</f>
        <v/>
      </c>
      <c r="J1055" s="11">
        <f>IF($B1055="","",IF(COUNTIF(Players!$A$2:$A$500,$B1055)=0,"Player is not on the Players tab",IF(NOT(ISNUMBER($C1055)),"Enter a gross score",IF(COUNTIFS($A$5:$A$1668,$A1055,$B$5:$B$1668,$B1055)&gt;1,"Player is listed twice this week",IF(AND($D1055&lt;&gt;"",COUNTIFS($A$5:$A$1668,$A1055,$D$5:$D$1668,$D1055)&gt;1),"Two players picked as "&amp;$D1055,IF(COUNTIFS($A$5:$A$1668,$A1055,$D$5:$D$1668,"Gross winner")=0,"Pick this week's gross winner",IF(COUNTIFS($A$5:$A$1668,$A1055,$D$5:$D$1668,"Net winner")=0,"Pick this week's net winner","OK")))))))</f>
        <v/>
      </c>
    </row>
    <row r="1056" outlineLevel="1">
      <c r="A1056" s="13" t="n">
        <v>46617</v>
      </c>
      <c r="E1056" s="11">
        <f>IF(OR($B1056="",NOT(ISNUMBER($C1056))),"",COUNTIFS($A$5:$A$1668,$A1056,$C$5:$C$1668,"&lt;"&amp;$C1056)+1)</f>
        <v/>
      </c>
      <c r="F1056" s="11">
        <f>IF(OR($B1056="",NOT(ISNUMBER($C1056))),"",COUNTIFS($A$5:$A$1668,$A1056,$C$5:$C$1668,"&gt;0"))</f>
        <v/>
      </c>
      <c r="G1056" s="11">
        <f>IF(OR($B1056="",NOT(ISNUMBER($C1056))),"",IF($D1056&lt;&gt;"",ROUND(Points!$B$6*IF($F1056&lt;Points!$H$4,Points!$H$5,1),0),ROUND(Points!$B$6*IF($F1056&lt;=1,1,Points!$H$7+(1-Points!$H$7)*((($F1056-$E1056)*(($F1056-$E1056)+1)/2)^2-((($F1056-$E1056-COUNTIFS($A$5:$A$1668,$A1056,$C$5:$C$1668,$C1056)+1)-1)*($F1056-$E1056-COUNTIFS($A$5:$A$1668,$A1056,$C$5:$C$1668,$C1056)+1)/2)^2)/(COUNTIFS($A$5:$A$1668,$A1056,$C$5:$C$1668,$C1056)*($F1056-1)^3))*IF($F1056&lt;Points!$H$4,Points!$H$5,1),0)))</f>
        <v/>
      </c>
      <c r="H1056" s="11">
        <f>IF($G1056="","",COUNTIFS($B$5:$B$1668,$B1056,$G$5:$G$1668,"&gt;"&amp;$G1056)+COUNTIFS($B$4:$B1055,$B1056,$G$4:$G1055,$G1056)+1)</f>
        <v/>
      </c>
      <c r="I1056" s="11">
        <f>IF($G1056="","",IF($H1056&lt;=Points!$H$6,$G1056,0))</f>
        <v/>
      </c>
      <c r="J1056" s="11">
        <f>IF($B1056="","",IF(COUNTIF(Players!$A$2:$A$500,$B1056)=0,"Player is not on the Players tab",IF(NOT(ISNUMBER($C1056)),"Enter a gross score",IF(COUNTIFS($A$5:$A$1668,$A1056,$B$5:$B$1668,$B1056)&gt;1,"Player is listed twice this week",IF(AND($D1056&lt;&gt;"",COUNTIFS($A$5:$A$1668,$A1056,$D$5:$D$1668,$D1056)&gt;1),"Two players picked as "&amp;$D1056,IF(COUNTIFS($A$5:$A$1668,$A1056,$D$5:$D$1668,"Gross winner")=0,"Pick this week's gross winner",IF(COUNTIFS($A$5:$A$1668,$A1056,$D$5:$D$1668,"Net winner")=0,"Pick this week's net winner","OK")))))))</f>
        <v/>
      </c>
    </row>
    <row r="1057" outlineLevel="1">
      <c r="A1057" s="13" t="n">
        <v>46617</v>
      </c>
      <c r="E1057" s="11">
        <f>IF(OR($B1057="",NOT(ISNUMBER($C1057))),"",COUNTIFS($A$5:$A$1668,$A1057,$C$5:$C$1668,"&lt;"&amp;$C1057)+1)</f>
        <v/>
      </c>
      <c r="F1057" s="11">
        <f>IF(OR($B1057="",NOT(ISNUMBER($C1057))),"",COUNTIFS($A$5:$A$1668,$A1057,$C$5:$C$1668,"&gt;0"))</f>
        <v/>
      </c>
      <c r="G1057" s="11">
        <f>IF(OR($B1057="",NOT(ISNUMBER($C1057))),"",IF($D1057&lt;&gt;"",ROUND(Points!$B$6*IF($F1057&lt;Points!$H$4,Points!$H$5,1),0),ROUND(Points!$B$6*IF($F1057&lt;=1,1,Points!$H$7+(1-Points!$H$7)*((($F1057-$E1057)*(($F1057-$E1057)+1)/2)^2-((($F1057-$E1057-COUNTIFS($A$5:$A$1668,$A1057,$C$5:$C$1668,$C1057)+1)-1)*($F1057-$E1057-COUNTIFS($A$5:$A$1668,$A1057,$C$5:$C$1668,$C1057)+1)/2)^2)/(COUNTIFS($A$5:$A$1668,$A1057,$C$5:$C$1668,$C1057)*($F1057-1)^3))*IF($F1057&lt;Points!$H$4,Points!$H$5,1),0)))</f>
        <v/>
      </c>
      <c r="H1057" s="11">
        <f>IF($G1057="","",COUNTIFS($B$5:$B$1668,$B1057,$G$5:$G$1668,"&gt;"&amp;$G1057)+COUNTIFS($B$4:$B1056,$B1057,$G$4:$G1056,$G1057)+1)</f>
        <v/>
      </c>
      <c r="I1057" s="11">
        <f>IF($G1057="","",IF($H1057&lt;=Points!$H$6,$G1057,0))</f>
        <v/>
      </c>
      <c r="J1057" s="11">
        <f>IF($B1057="","",IF(COUNTIF(Players!$A$2:$A$500,$B1057)=0,"Player is not on the Players tab",IF(NOT(ISNUMBER($C1057)),"Enter a gross score",IF(COUNTIFS($A$5:$A$1668,$A1057,$B$5:$B$1668,$B1057)&gt;1,"Player is listed twice this week",IF(AND($D1057&lt;&gt;"",COUNTIFS($A$5:$A$1668,$A1057,$D$5:$D$1668,$D1057)&gt;1),"Two players picked as "&amp;$D1057,IF(COUNTIFS($A$5:$A$1668,$A1057,$D$5:$D$1668,"Gross winner")=0,"Pick this week's gross winner",IF(COUNTIFS($A$5:$A$1668,$A1057,$D$5:$D$1668,"Net winner")=0,"Pick this week's net winner","OK")))))))</f>
        <v/>
      </c>
    </row>
    <row r="1058" outlineLevel="1">
      <c r="A1058" s="13" t="n">
        <v>46617</v>
      </c>
      <c r="E1058" s="11">
        <f>IF(OR($B1058="",NOT(ISNUMBER($C1058))),"",COUNTIFS($A$5:$A$1668,$A1058,$C$5:$C$1668,"&lt;"&amp;$C1058)+1)</f>
        <v/>
      </c>
      <c r="F1058" s="11">
        <f>IF(OR($B1058="",NOT(ISNUMBER($C1058))),"",COUNTIFS($A$5:$A$1668,$A1058,$C$5:$C$1668,"&gt;0"))</f>
        <v/>
      </c>
      <c r="G1058" s="11">
        <f>IF(OR($B1058="",NOT(ISNUMBER($C1058))),"",IF($D1058&lt;&gt;"",ROUND(Points!$B$6*IF($F1058&lt;Points!$H$4,Points!$H$5,1),0),ROUND(Points!$B$6*IF($F1058&lt;=1,1,Points!$H$7+(1-Points!$H$7)*((($F1058-$E1058)*(($F1058-$E1058)+1)/2)^2-((($F1058-$E1058-COUNTIFS($A$5:$A$1668,$A1058,$C$5:$C$1668,$C1058)+1)-1)*($F1058-$E1058-COUNTIFS($A$5:$A$1668,$A1058,$C$5:$C$1668,$C1058)+1)/2)^2)/(COUNTIFS($A$5:$A$1668,$A1058,$C$5:$C$1668,$C1058)*($F1058-1)^3))*IF($F1058&lt;Points!$H$4,Points!$H$5,1),0)))</f>
        <v/>
      </c>
      <c r="H1058" s="11">
        <f>IF($G1058="","",COUNTIFS($B$5:$B$1668,$B1058,$G$5:$G$1668,"&gt;"&amp;$G1058)+COUNTIFS($B$4:$B1057,$B1058,$G$4:$G1057,$G1058)+1)</f>
        <v/>
      </c>
      <c r="I1058" s="11">
        <f>IF($G1058="","",IF($H1058&lt;=Points!$H$6,$G1058,0))</f>
        <v/>
      </c>
      <c r="J1058" s="11">
        <f>IF($B1058="","",IF(COUNTIF(Players!$A$2:$A$500,$B1058)=0,"Player is not on the Players tab",IF(NOT(ISNUMBER($C1058)),"Enter a gross score",IF(COUNTIFS($A$5:$A$1668,$A1058,$B$5:$B$1668,$B1058)&gt;1,"Player is listed twice this week",IF(AND($D1058&lt;&gt;"",COUNTIFS($A$5:$A$1668,$A1058,$D$5:$D$1668,$D1058)&gt;1),"Two players picked as "&amp;$D1058,IF(COUNTIFS($A$5:$A$1668,$A1058,$D$5:$D$1668,"Gross winner")=0,"Pick this week's gross winner",IF(COUNTIFS($A$5:$A$1668,$A1058,$D$5:$D$1668,"Net winner")=0,"Pick this week's net winner","OK")))))))</f>
        <v/>
      </c>
    </row>
    <row r="1059" outlineLevel="1">
      <c r="A1059" s="13" t="n">
        <v>46617</v>
      </c>
      <c r="E1059" s="11">
        <f>IF(OR($B1059="",NOT(ISNUMBER($C1059))),"",COUNTIFS($A$5:$A$1668,$A1059,$C$5:$C$1668,"&lt;"&amp;$C1059)+1)</f>
        <v/>
      </c>
      <c r="F1059" s="11">
        <f>IF(OR($B1059="",NOT(ISNUMBER($C1059))),"",COUNTIFS($A$5:$A$1668,$A1059,$C$5:$C$1668,"&gt;0"))</f>
        <v/>
      </c>
      <c r="G1059" s="11">
        <f>IF(OR($B1059="",NOT(ISNUMBER($C1059))),"",IF($D1059&lt;&gt;"",ROUND(Points!$B$6*IF($F1059&lt;Points!$H$4,Points!$H$5,1),0),ROUND(Points!$B$6*IF($F1059&lt;=1,1,Points!$H$7+(1-Points!$H$7)*((($F1059-$E1059)*(($F1059-$E1059)+1)/2)^2-((($F1059-$E1059-COUNTIFS($A$5:$A$1668,$A1059,$C$5:$C$1668,$C1059)+1)-1)*($F1059-$E1059-COUNTIFS($A$5:$A$1668,$A1059,$C$5:$C$1668,$C1059)+1)/2)^2)/(COUNTIFS($A$5:$A$1668,$A1059,$C$5:$C$1668,$C1059)*($F1059-1)^3))*IF($F1059&lt;Points!$H$4,Points!$H$5,1),0)))</f>
        <v/>
      </c>
      <c r="H1059" s="11">
        <f>IF($G1059="","",COUNTIFS($B$5:$B$1668,$B1059,$G$5:$G$1668,"&gt;"&amp;$G1059)+COUNTIFS($B$4:$B1058,$B1059,$G$4:$G1058,$G1059)+1)</f>
        <v/>
      </c>
      <c r="I1059" s="11">
        <f>IF($G1059="","",IF($H1059&lt;=Points!$H$6,$G1059,0))</f>
        <v/>
      </c>
      <c r="J1059" s="11">
        <f>IF($B1059="","",IF(COUNTIF(Players!$A$2:$A$500,$B1059)=0,"Player is not on the Players tab",IF(NOT(ISNUMBER($C1059)),"Enter a gross score",IF(COUNTIFS($A$5:$A$1668,$A1059,$B$5:$B$1668,$B1059)&gt;1,"Player is listed twice this week",IF(AND($D1059&lt;&gt;"",COUNTIFS($A$5:$A$1668,$A1059,$D$5:$D$1668,$D1059)&gt;1),"Two players picked as "&amp;$D1059,IF(COUNTIFS($A$5:$A$1668,$A1059,$D$5:$D$1668,"Gross winner")=0,"Pick this week's gross winner",IF(COUNTIFS($A$5:$A$1668,$A1059,$D$5:$D$1668,"Net winner")=0,"Pick this week's net winner","OK")))))))</f>
        <v/>
      </c>
    </row>
    <row r="1060" ht="10" customHeight="1"/>
    <row r="1061" ht="22" customHeight="1">
      <c r="A1061" s="12" t="inlineStr">
        <is>
          <t>Week 34  ·  Wednesday, Aug 25</t>
        </is>
      </c>
    </row>
    <row r="1062" outlineLevel="1">
      <c r="A1062" s="13" t="n">
        <v>46624</v>
      </c>
      <c r="E1062" s="11">
        <f>IF(OR($B1062="",NOT(ISNUMBER($C1062))),"",COUNTIFS($A$5:$A$1668,$A1062,$C$5:$C$1668,"&lt;"&amp;$C1062)+1)</f>
        <v/>
      </c>
      <c r="F1062" s="11">
        <f>IF(OR($B1062="",NOT(ISNUMBER($C1062))),"",COUNTIFS($A$5:$A$1668,$A1062,$C$5:$C$1668,"&gt;0"))</f>
        <v/>
      </c>
      <c r="G1062" s="11">
        <f>IF(OR($B1062="",NOT(ISNUMBER($C1062))),"",IF($D1062&lt;&gt;"",ROUND(Points!$B$6*IF($F1062&lt;Points!$H$4,Points!$H$5,1),0),ROUND(Points!$B$6*IF($F1062&lt;=1,1,Points!$H$7+(1-Points!$H$7)*((($F1062-$E1062)*(($F1062-$E1062)+1)/2)^2-((($F1062-$E1062-COUNTIFS($A$5:$A$1668,$A1062,$C$5:$C$1668,$C1062)+1)-1)*($F1062-$E1062-COUNTIFS($A$5:$A$1668,$A1062,$C$5:$C$1668,$C1062)+1)/2)^2)/(COUNTIFS($A$5:$A$1668,$A1062,$C$5:$C$1668,$C1062)*($F1062-1)^3))*IF($F1062&lt;Points!$H$4,Points!$H$5,1),0)))</f>
        <v/>
      </c>
      <c r="H1062" s="11">
        <f>IF($G1062="","",COUNTIFS($B$5:$B$1668,$B1062,$G$5:$G$1668,"&gt;"&amp;$G1062)+COUNTIFS($B$4:$B1061,$B1062,$G$4:$G1061,$G1062)+1)</f>
        <v/>
      </c>
      <c r="I1062" s="11">
        <f>IF($G1062="","",IF($H1062&lt;=Points!$H$6,$G1062,0))</f>
        <v/>
      </c>
      <c r="J1062" s="11">
        <f>IF($B1062="","",IF(COUNTIF(Players!$A$2:$A$500,$B1062)=0,"Player is not on the Players tab",IF(NOT(ISNUMBER($C1062)),"Enter a gross score",IF(COUNTIFS($A$5:$A$1668,$A1062,$B$5:$B$1668,$B1062)&gt;1,"Player is listed twice this week",IF(AND($D1062&lt;&gt;"",COUNTIFS($A$5:$A$1668,$A1062,$D$5:$D$1668,$D1062)&gt;1),"Two players picked as "&amp;$D1062,IF(COUNTIFS($A$5:$A$1668,$A1062,$D$5:$D$1668,"Gross winner")=0,"Pick this week's gross winner",IF(COUNTIFS($A$5:$A$1668,$A1062,$D$5:$D$1668,"Net winner")=0,"Pick this week's net winner","OK")))))))</f>
        <v/>
      </c>
    </row>
    <row r="1063" outlineLevel="1">
      <c r="A1063" s="13" t="n">
        <v>46624</v>
      </c>
      <c r="E1063" s="11">
        <f>IF(OR($B1063="",NOT(ISNUMBER($C1063))),"",COUNTIFS($A$5:$A$1668,$A1063,$C$5:$C$1668,"&lt;"&amp;$C1063)+1)</f>
        <v/>
      </c>
      <c r="F1063" s="11">
        <f>IF(OR($B1063="",NOT(ISNUMBER($C1063))),"",COUNTIFS($A$5:$A$1668,$A1063,$C$5:$C$1668,"&gt;0"))</f>
        <v/>
      </c>
      <c r="G1063" s="11">
        <f>IF(OR($B1063="",NOT(ISNUMBER($C1063))),"",IF($D1063&lt;&gt;"",ROUND(Points!$B$6*IF($F1063&lt;Points!$H$4,Points!$H$5,1),0),ROUND(Points!$B$6*IF($F1063&lt;=1,1,Points!$H$7+(1-Points!$H$7)*((($F1063-$E1063)*(($F1063-$E1063)+1)/2)^2-((($F1063-$E1063-COUNTIFS($A$5:$A$1668,$A1063,$C$5:$C$1668,$C1063)+1)-1)*($F1063-$E1063-COUNTIFS($A$5:$A$1668,$A1063,$C$5:$C$1668,$C1063)+1)/2)^2)/(COUNTIFS($A$5:$A$1668,$A1063,$C$5:$C$1668,$C1063)*($F1063-1)^3))*IF($F1063&lt;Points!$H$4,Points!$H$5,1),0)))</f>
        <v/>
      </c>
      <c r="H1063" s="11">
        <f>IF($G1063="","",COUNTIFS($B$5:$B$1668,$B1063,$G$5:$G$1668,"&gt;"&amp;$G1063)+COUNTIFS($B$4:$B1062,$B1063,$G$4:$G1062,$G1063)+1)</f>
        <v/>
      </c>
      <c r="I1063" s="11">
        <f>IF($G1063="","",IF($H1063&lt;=Points!$H$6,$G1063,0))</f>
        <v/>
      </c>
      <c r="J1063" s="11">
        <f>IF($B1063="","",IF(COUNTIF(Players!$A$2:$A$500,$B1063)=0,"Player is not on the Players tab",IF(NOT(ISNUMBER($C1063)),"Enter a gross score",IF(COUNTIFS($A$5:$A$1668,$A1063,$B$5:$B$1668,$B1063)&gt;1,"Player is listed twice this week",IF(AND($D1063&lt;&gt;"",COUNTIFS($A$5:$A$1668,$A1063,$D$5:$D$1668,$D1063)&gt;1),"Two players picked as "&amp;$D1063,IF(COUNTIFS($A$5:$A$1668,$A1063,$D$5:$D$1668,"Gross winner")=0,"Pick this week's gross winner",IF(COUNTIFS($A$5:$A$1668,$A1063,$D$5:$D$1668,"Net winner")=0,"Pick this week's net winner","OK")))))))</f>
        <v/>
      </c>
    </row>
    <row r="1064" outlineLevel="1">
      <c r="A1064" s="13" t="n">
        <v>46624</v>
      </c>
      <c r="E1064" s="11">
        <f>IF(OR($B1064="",NOT(ISNUMBER($C1064))),"",COUNTIFS($A$5:$A$1668,$A1064,$C$5:$C$1668,"&lt;"&amp;$C1064)+1)</f>
        <v/>
      </c>
      <c r="F1064" s="11">
        <f>IF(OR($B1064="",NOT(ISNUMBER($C1064))),"",COUNTIFS($A$5:$A$1668,$A1064,$C$5:$C$1668,"&gt;0"))</f>
        <v/>
      </c>
      <c r="G1064" s="11">
        <f>IF(OR($B1064="",NOT(ISNUMBER($C1064))),"",IF($D1064&lt;&gt;"",ROUND(Points!$B$6*IF($F1064&lt;Points!$H$4,Points!$H$5,1),0),ROUND(Points!$B$6*IF($F1064&lt;=1,1,Points!$H$7+(1-Points!$H$7)*((($F1064-$E1064)*(($F1064-$E1064)+1)/2)^2-((($F1064-$E1064-COUNTIFS($A$5:$A$1668,$A1064,$C$5:$C$1668,$C1064)+1)-1)*($F1064-$E1064-COUNTIFS($A$5:$A$1668,$A1064,$C$5:$C$1668,$C1064)+1)/2)^2)/(COUNTIFS($A$5:$A$1668,$A1064,$C$5:$C$1668,$C1064)*($F1064-1)^3))*IF($F1064&lt;Points!$H$4,Points!$H$5,1),0)))</f>
        <v/>
      </c>
      <c r="H1064" s="11">
        <f>IF($G1064="","",COUNTIFS($B$5:$B$1668,$B1064,$G$5:$G$1668,"&gt;"&amp;$G1064)+COUNTIFS($B$4:$B1063,$B1064,$G$4:$G1063,$G1064)+1)</f>
        <v/>
      </c>
      <c r="I1064" s="11">
        <f>IF($G1064="","",IF($H1064&lt;=Points!$H$6,$G1064,0))</f>
        <v/>
      </c>
      <c r="J1064" s="11">
        <f>IF($B1064="","",IF(COUNTIF(Players!$A$2:$A$500,$B1064)=0,"Player is not on the Players tab",IF(NOT(ISNUMBER($C1064)),"Enter a gross score",IF(COUNTIFS($A$5:$A$1668,$A1064,$B$5:$B$1668,$B1064)&gt;1,"Player is listed twice this week",IF(AND($D1064&lt;&gt;"",COUNTIFS($A$5:$A$1668,$A1064,$D$5:$D$1668,$D1064)&gt;1),"Two players picked as "&amp;$D1064,IF(COUNTIFS($A$5:$A$1668,$A1064,$D$5:$D$1668,"Gross winner")=0,"Pick this week's gross winner",IF(COUNTIFS($A$5:$A$1668,$A1064,$D$5:$D$1668,"Net winner")=0,"Pick this week's net winner","OK")))))))</f>
        <v/>
      </c>
    </row>
    <row r="1065" outlineLevel="1">
      <c r="A1065" s="13" t="n">
        <v>46624</v>
      </c>
      <c r="E1065" s="11">
        <f>IF(OR($B1065="",NOT(ISNUMBER($C1065))),"",COUNTIFS($A$5:$A$1668,$A1065,$C$5:$C$1668,"&lt;"&amp;$C1065)+1)</f>
        <v/>
      </c>
      <c r="F1065" s="11">
        <f>IF(OR($B1065="",NOT(ISNUMBER($C1065))),"",COUNTIFS($A$5:$A$1668,$A1065,$C$5:$C$1668,"&gt;0"))</f>
        <v/>
      </c>
      <c r="G1065" s="11">
        <f>IF(OR($B1065="",NOT(ISNUMBER($C1065))),"",IF($D1065&lt;&gt;"",ROUND(Points!$B$6*IF($F1065&lt;Points!$H$4,Points!$H$5,1),0),ROUND(Points!$B$6*IF($F1065&lt;=1,1,Points!$H$7+(1-Points!$H$7)*((($F1065-$E1065)*(($F1065-$E1065)+1)/2)^2-((($F1065-$E1065-COUNTIFS($A$5:$A$1668,$A1065,$C$5:$C$1668,$C1065)+1)-1)*($F1065-$E1065-COUNTIFS($A$5:$A$1668,$A1065,$C$5:$C$1668,$C1065)+1)/2)^2)/(COUNTIFS($A$5:$A$1668,$A1065,$C$5:$C$1668,$C1065)*($F1065-1)^3))*IF($F1065&lt;Points!$H$4,Points!$H$5,1),0)))</f>
        <v/>
      </c>
      <c r="H1065" s="11">
        <f>IF($G1065="","",COUNTIFS($B$5:$B$1668,$B1065,$G$5:$G$1668,"&gt;"&amp;$G1065)+COUNTIFS($B$4:$B1064,$B1065,$G$4:$G1064,$G1065)+1)</f>
        <v/>
      </c>
      <c r="I1065" s="11">
        <f>IF($G1065="","",IF($H1065&lt;=Points!$H$6,$G1065,0))</f>
        <v/>
      </c>
      <c r="J1065" s="11">
        <f>IF($B1065="","",IF(COUNTIF(Players!$A$2:$A$500,$B1065)=0,"Player is not on the Players tab",IF(NOT(ISNUMBER($C1065)),"Enter a gross score",IF(COUNTIFS($A$5:$A$1668,$A1065,$B$5:$B$1668,$B1065)&gt;1,"Player is listed twice this week",IF(AND($D1065&lt;&gt;"",COUNTIFS($A$5:$A$1668,$A1065,$D$5:$D$1668,$D1065)&gt;1),"Two players picked as "&amp;$D1065,IF(COUNTIFS($A$5:$A$1668,$A1065,$D$5:$D$1668,"Gross winner")=0,"Pick this week's gross winner",IF(COUNTIFS($A$5:$A$1668,$A1065,$D$5:$D$1668,"Net winner")=0,"Pick this week's net winner","OK")))))))</f>
        <v/>
      </c>
    </row>
    <row r="1066" outlineLevel="1">
      <c r="A1066" s="13" t="n">
        <v>46624</v>
      </c>
      <c r="E1066" s="11">
        <f>IF(OR($B1066="",NOT(ISNUMBER($C1066))),"",COUNTIFS($A$5:$A$1668,$A1066,$C$5:$C$1668,"&lt;"&amp;$C1066)+1)</f>
        <v/>
      </c>
      <c r="F1066" s="11">
        <f>IF(OR($B1066="",NOT(ISNUMBER($C1066))),"",COUNTIFS($A$5:$A$1668,$A1066,$C$5:$C$1668,"&gt;0"))</f>
        <v/>
      </c>
      <c r="G1066" s="11">
        <f>IF(OR($B1066="",NOT(ISNUMBER($C1066))),"",IF($D1066&lt;&gt;"",ROUND(Points!$B$6*IF($F1066&lt;Points!$H$4,Points!$H$5,1),0),ROUND(Points!$B$6*IF($F1066&lt;=1,1,Points!$H$7+(1-Points!$H$7)*((($F1066-$E1066)*(($F1066-$E1066)+1)/2)^2-((($F1066-$E1066-COUNTIFS($A$5:$A$1668,$A1066,$C$5:$C$1668,$C1066)+1)-1)*($F1066-$E1066-COUNTIFS($A$5:$A$1668,$A1066,$C$5:$C$1668,$C1066)+1)/2)^2)/(COUNTIFS($A$5:$A$1668,$A1066,$C$5:$C$1668,$C1066)*($F1066-1)^3))*IF($F1066&lt;Points!$H$4,Points!$H$5,1),0)))</f>
        <v/>
      </c>
      <c r="H1066" s="11">
        <f>IF($G1066="","",COUNTIFS($B$5:$B$1668,$B1066,$G$5:$G$1668,"&gt;"&amp;$G1066)+COUNTIFS($B$4:$B1065,$B1066,$G$4:$G1065,$G1066)+1)</f>
        <v/>
      </c>
      <c r="I1066" s="11">
        <f>IF($G1066="","",IF($H1066&lt;=Points!$H$6,$G1066,0))</f>
        <v/>
      </c>
      <c r="J1066" s="11">
        <f>IF($B1066="","",IF(COUNTIF(Players!$A$2:$A$500,$B1066)=0,"Player is not on the Players tab",IF(NOT(ISNUMBER($C1066)),"Enter a gross score",IF(COUNTIFS($A$5:$A$1668,$A1066,$B$5:$B$1668,$B1066)&gt;1,"Player is listed twice this week",IF(AND($D1066&lt;&gt;"",COUNTIFS($A$5:$A$1668,$A1066,$D$5:$D$1668,$D1066)&gt;1),"Two players picked as "&amp;$D1066,IF(COUNTIFS($A$5:$A$1668,$A1066,$D$5:$D$1668,"Gross winner")=0,"Pick this week's gross winner",IF(COUNTIFS($A$5:$A$1668,$A1066,$D$5:$D$1668,"Net winner")=0,"Pick this week's net winner","OK")))))))</f>
        <v/>
      </c>
    </row>
    <row r="1067" outlineLevel="1">
      <c r="A1067" s="13" t="n">
        <v>46624</v>
      </c>
      <c r="E1067" s="11">
        <f>IF(OR($B1067="",NOT(ISNUMBER($C1067))),"",COUNTIFS($A$5:$A$1668,$A1067,$C$5:$C$1668,"&lt;"&amp;$C1067)+1)</f>
        <v/>
      </c>
      <c r="F1067" s="11">
        <f>IF(OR($B1067="",NOT(ISNUMBER($C1067))),"",COUNTIFS($A$5:$A$1668,$A1067,$C$5:$C$1668,"&gt;0"))</f>
        <v/>
      </c>
      <c r="G1067" s="11">
        <f>IF(OR($B1067="",NOT(ISNUMBER($C1067))),"",IF($D1067&lt;&gt;"",ROUND(Points!$B$6*IF($F1067&lt;Points!$H$4,Points!$H$5,1),0),ROUND(Points!$B$6*IF($F1067&lt;=1,1,Points!$H$7+(1-Points!$H$7)*((($F1067-$E1067)*(($F1067-$E1067)+1)/2)^2-((($F1067-$E1067-COUNTIFS($A$5:$A$1668,$A1067,$C$5:$C$1668,$C1067)+1)-1)*($F1067-$E1067-COUNTIFS($A$5:$A$1668,$A1067,$C$5:$C$1668,$C1067)+1)/2)^2)/(COUNTIFS($A$5:$A$1668,$A1067,$C$5:$C$1668,$C1067)*($F1067-1)^3))*IF($F1067&lt;Points!$H$4,Points!$H$5,1),0)))</f>
        <v/>
      </c>
      <c r="H1067" s="11">
        <f>IF($G1067="","",COUNTIFS($B$5:$B$1668,$B1067,$G$5:$G$1668,"&gt;"&amp;$G1067)+COUNTIFS($B$4:$B1066,$B1067,$G$4:$G1066,$G1067)+1)</f>
        <v/>
      </c>
      <c r="I1067" s="11">
        <f>IF($G1067="","",IF($H1067&lt;=Points!$H$6,$G1067,0))</f>
        <v/>
      </c>
      <c r="J1067" s="11">
        <f>IF($B1067="","",IF(COUNTIF(Players!$A$2:$A$500,$B1067)=0,"Player is not on the Players tab",IF(NOT(ISNUMBER($C1067)),"Enter a gross score",IF(COUNTIFS($A$5:$A$1668,$A1067,$B$5:$B$1668,$B1067)&gt;1,"Player is listed twice this week",IF(AND($D1067&lt;&gt;"",COUNTIFS($A$5:$A$1668,$A1067,$D$5:$D$1668,$D1067)&gt;1),"Two players picked as "&amp;$D1067,IF(COUNTIFS($A$5:$A$1668,$A1067,$D$5:$D$1668,"Gross winner")=0,"Pick this week's gross winner",IF(COUNTIFS($A$5:$A$1668,$A1067,$D$5:$D$1668,"Net winner")=0,"Pick this week's net winner","OK")))))))</f>
        <v/>
      </c>
    </row>
    <row r="1068" outlineLevel="1">
      <c r="A1068" s="13" t="n">
        <v>46624</v>
      </c>
      <c r="E1068" s="11">
        <f>IF(OR($B1068="",NOT(ISNUMBER($C1068))),"",COUNTIFS($A$5:$A$1668,$A1068,$C$5:$C$1668,"&lt;"&amp;$C1068)+1)</f>
        <v/>
      </c>
      <c r="F1068" s="11">
        <f>IF(OR($B1068="",NOT(ISNUMBER($C1068))),"",COUNTIFS($A$5:$A$1668,$A1068,$C$5:$C$1668,"&gt;0"))</f>
        <v/>
      </c>
      <c r="G1068" s="11">
        <f>IF(OR($B1068="",NOT(ISNUMBER($C1068))),"",IF($D1068&lt;&gt;"",ROUND(Points!$B$6*IF($F1068&lt;Points!$H$4,Points!$H$5,1),0),ROUND(Points!$B$6*IF($F1068&lt;=1,1,Points!$H$7+(1-Points!$H$7)*((($F1068-$E1068)*(($F1068-$E1068)+1)/2)^2-((($F1068-$E1068-COUNTIFS($A$5:$A$1668,$A1068,$C$5:$C$1668,$C1068)+1)-1)*($F1068-$E1068-COUNTIFS($A$5:$A$1668,$A1068,$C$5:$C$1668,$C1068)+1)/2)^2)/(COUNTIFS($A$5:$A$1668,$A1068,$C$5:$C$1668,$C1068)*($F1068-1)^3))*IF($F1068&lt;Points!$H$4,Points!$H$5,1),0)))</f>
        <v/>
      </c>
      <c r="H1068" s="11">
        <f>IF($G1068="","",COUNTIFS($B$5:$B$1668,$B1068,$G$5:$G$1668,"&gt;"&amp;$G1068)+COUNTIFS($B$4:$B1067,$B1068,$G$4:$G1067,$G1068)+1)</f>
        <v/>
      </c>
      <c r="I1068" s="11">
        <f>IF($G1068="","",IF($H1068&lt;=Points!$H$6,$G1068,0))</f>
        <v/>
      </c>
      <c r="J1068" s="11">
        <f>IF($B1068="","",IF(COUNTIF(Players!$A$2:$A$500,$B1068)=0,"Player is not on the Players tab",IF(NOT(ISNUMBER($C1068)),"Enter a gross score",IF(COUNTIFS($A$5:$A$1668,$A1068,$B$5:$B$1668,$B1068)&gt;1,"Player is listed twice this week",IF(AND($D1068&lt;&gt;"",COUNTIFS($A$5:$A$1668,$A1068,$D$5:$D$1668,$D1068)&gt;1),"Two players picked as "&amp;$D1068,IF(COUNTIFS($A$5:$A$1668,$A1068,$D$5:$D$1668,"Gross winner")=0,"Pick this week's gross winner",IF(COUNTIFS($A$5:$A$1668,$A1068,$D$5:$D$1668,"Net winner")=0,"Pick this week's net winner","OK")))))))</f>
        <v/>
      </c>
    </row>
    <row r="1069" outlineLevel="1">
      <c r="A1069" s="13" t="n">
        <v>46624</v>
      </c>
      <c r="E1069" s="11">
        <f>IF(OR($B1069="",NOT(ISNUMBER($C1069))),"",COUNTIFS($A$5:$A$1668,$A1069,$C$5:$C$1668,"&lt;"&amp;$C1069)+1)</f>
        <v/>
      </c>
      <c r="F1069" s="11">
        <f>IF(OR($B1069="",NOT(ISNUMBER($C1069))),"",COUNTIFS($A$5:$A$1668,$A1069,$C$5:$C$1668,"&gt;0"))</f>
        <v/>
      </c>
      <c r="G1069" s="11">
        <f>IF(OR($B1069="",NOT(ISNUMBER($C1069))),"",IF($D1069&lt;&gt;"",ROUND(Points!$B$6*IF($F1069&lt;Points!$H$4,Points!$H$5,1),0),ROUND(Points!$B$6*IF($F1069&lt;=1,1,Points!$H$7+(1-Points!$H$7)*((($F1069-$E1069)*(($F1069-$E1069)+1)/2)^2-((($F1069-$E1069-COUNTIFS($A$5:$A$1668,$A1069,$C$5:$C$1668,$C1069)+1)-1)*($F1069-$E1069-COUNTIFS($A$5:$A$1668,$A1069,$C$5:$C$1668,$C1069)+1)/2)^2)/(COUNTIFS($A$5:$A$1668,$A1069,$C$5:$C$1668,$C1069)*($F1069-1)^3))*IF($F1069&lt;Points!$H$4,Points!$H$5,1),0)))</f>
        <v/>
      </c>
      <c r="H1069" s="11">
        <f>IF($G1069="","",COUNTIFS($B$5:$B$1668,$B1069,$G$5:$G$1668,"&gt;"&amp;$G1069)+COUNTIFS($B$4:$B1068,$B1069,$G$4:$G1068,$G1069)+1)</f>
        <v/>
      </c>
      <c r="I1069" s="11">
        <f>IF($G1069="","",IF($H1069&lt;=Points!$H$6,$G1069,0))</f>
        <v/>
      </c>
      <c r="J1069" s="11">
        <f>IF($B1069="","",IF(COUNTIF(Players!$A$2:$A$500,$B1069)=0,"Player is not on the Players tab",IF(NOT(ISNUMBER($C1069)),"Enter a gross score",IF(COUNTIFS($A$5:$A$1668,$A1069,$B$5:$B$1668,$B1069)&gt;1,"Player is listed twice this week",IF(AND($D1069&lt;&gt;"",COUNTIFS($A$5:$A$1668,$A1069,$D$5:$D$1668,$D1069)&gt;1),"Two players picked as "&amp;$D1069,IF(COUNTIFS($A$5:$A$1668,$A1069,$D$5:$D$1668,"Gross winner")=0,"Pick this week's gross winner",IF(COUNTIFS($A$5:$A$1668,$A1069,$D$5:$D$1668,"Net winner")=0,"Pick this week's net winner","OK")))))))</f>
        <v/>
      </c>
    </row>
    <row r="1070" outlineLevel="1">
      <c r="A1070" s="13" t="n">
        <v>46624</v>
      </c>
      <c r="E1070" s="11">
        <f>IF(OR($B1070="",NOT(ISNUMBER($C1070))),"",COUNTIFS($A$5:$A$1668,$A1070,$C$5:$C$1668,"&lt;"&amp;$C1070)+1)</f>
        <v/>
      </c>
      <c r="F1070" s="11">
        <f>IF(OR($B1070="",NOT(ISNUMBER($C1070))),"",COUNTIFS($A$5:$A$1668,$A1070,$C$5:$C$1668,"&gt;0"))</f>
        <v/>
      </c>
      <c r="G1070" s="11">
        <f>IF(OR($B1070="",NOT(ISNUMBER($C1070))),"",IF($D1070&lt;&gt;"",ROUND(Points!$B$6*IF($F1070&lt;Points!$H$4,Points!$H$5,1),0),ROUND(Points!$B$6*IF($F1070&lt;=1,1,Points!$H$7+(1-Points!$H$7)*((($F1070-$E1070)*(($F1070-$E1070)+1)/2)^2-((($F1070-$E1070-COUNTIFS($A$5:$A$1668,$A1070,$C$5:$C$1668,$C1070)+1)-1)*($F1070-$E1070-COUNTIFS($A$5:$A$1668,$A1070,$C$5:$C$1668,$C1070)+1)/2)^2)/(COUNTIFS($A$5:$A$1668,$A1070,$C$5:$C$1668,$C1070)*($F1070-1)^3))*IF($F1070&lt;Points!$H$4,Points!$H$5,1),0)))</f>
        <v/>
      </c>
      <c r="H1070" s="11">
        <f>IF($G1070="","",COUNTIFS($B$5:$B$1668,$B1070,$G$5:$G$1668,"&gt;"&amp;$G1070)+COUNTIFS($B$4:$B1069,$B1070,$G$4:$G1069,$G1070)+1)</f>
        <v/>
      </c>
      <c r="I1070" s="11">
        <f>IF($G1070="","",IF($H1070&lt;=Points!$H$6,$G1070,0))</f>
        <v/>
      </c>
      <c r="J1070" s="11">
        <f>IF($B1070="","",IF(COUNTIF(Players!$A$2:$A$500,$B1070)=0,"Player is not on the Players tab",IF(NOT(ISNUMBER($C1070)),"Enter a gross score",IF(COUNTIFS($A$5:$A$1668,$A1070,$B$5:$B$1668,$B1070)&gt;1,"Player is listed twice this week",IF(AND($D1070&lt;&gt;"",COUNTIFS($A$5:$A$1668,$A1070,$D$5:$D$1668,$D1070)&gt;1),"Two players picked as "&amp;$D1070,IF(COUNTIFS($A$5:$A$1668,$A1070,$D$5:$D$1668,"Gross winner")=0,"Pick this week's gross winner",IF(COUNTIFS($A$5:$A$1668,$A1070,$D$5:$D$1668,"Net winner")=0,"Pick this week's net winner","OK")))))))</f>
        <v/>
      </c>
    </row>
    <row r="1071" outlineLevel="1">
      <c r="A1071" s="13" t="n">
        <v>46624</v>
      </c>
      <c r="E1071" s="11">
        <f>IF(OR($B1071="",NOT(ISNUMBER($C1071))),"",COUNTIFS($A$5:$A$1668,$A1071,$C$5:$C$1668,"&lt;"&amp;$C1071)+1)</f>
        <v/>
      </c>
      <c r="F1071" s="11">
        <f>IF(OR($B1071="",NOT(ISNUMBER($C1071))),"",COUNTIFS($A$5:$A$1668,$A1071,$C$5:$C$1668,"&gt;0"))</f>
        <v/>
      </c>
      <c r="G1071" s="11">
        <f>IF(OR($B1071="",NOT(ISNUMBER($C1071))),"",IF($D1071&lt;&gt;"",ROUND(Points!$B$6*IF($F1071&lt;Points!$H$4,Points!$H$5,1),0),ROUND(Points!$B$6*IF($F1071&lt;=1,1,Points!$H$7+(1-Points!$H$7)*((($F1071-$E1071)*(($F1071-$E1071)+1)/2)^2-((($F1071-$E1071-COUNTIFS($A$5:$A$1668,$A1071,$C$5:$C$1668,$C1071)+1)-1)*($F1071-$E1071-COUNTIFS($A$5:$A$1668,$A1071,$C$5:$C$1668,$C1071)+1)/2)^2)/(COUNTIFS($A$5:$A$1668,$A1071,$C$5:$C$1668,$C1071)*($F1071-1)^3))*IF($F1071&lt;Points!$H$4,Points!$H$5,1),0)))</f>
        <v/>
      </c>
      <c r="H1071" s="11">
        <f>IF($G1071="","",COUNTIFS($B$5:$B$1668,$B1071,$G$5:$G$1668,"&gt;"&amp;$G1071)+COUNTIFS($B$4:$B1070,$B1071,$G$4:$G1070,$G1071)+1)</f>
        <v/>
      </c>
      <c r="I1071" s="11">
        <f>IF($G1071="","",IF($H1071&lt;=Points!$H$6,$G1071,0))</f>
        <v/>
      </c>
      <c r="J1071" s="11">
        <f>IF($B1071="","",IF(COUNTIF(Players!$A$2:$A$500,$B1071)=0,"Player is not on the Players tab",IF(NOT(ISNUMBER($C1071)),"Enter a gross score",IF(COUNTIFS($A$5:$A$1668,$A1071,$B$5:$B$1668,$B1071)&gt;1,"Player is listed twice this week",IF(AND($D1071&lt;&gt;"",COUNTIFS($A$5:$A$1668,$A1071,$D$5:$D$1668,$D1071)&gt;1),"Two players picked as "&amp;$D1071,IF(COUNTIFS($A$5:$A$1668,$A1071,$D$5:$D$1668,"Gross winner")=0,"Pick this week's gross winner",IF(COUNTIFS($A$5:$A$1668,$A1071,$D$5:$D$1668,"Net winner")=0,"Pick this week's net winner","OK")))))))</f>
        <v/>
      </c>
    </row>
    <row r="1072" outlineLevel="1">
      <c r="A1072" s="13" t="n">
        <v>46624</v>
      </c>
      <c r="E1072" s="11">
        <f>IF(OR($B1072="",NOT(ISNUMBER($C1072))),"",COUNTIFS($A$5:$A$1668,$A1072,$C$5:$C$1668,"&lt;"&amp;$C1072)+1)</f>
        <v/>
      </c>
      <c r="F1072" s="11">
        <f>IF(OR($B1072="",NOT(ISNUMBER($C1072))),"",COUNTIFS($A$5:$A$1668,$A1072,$C$5:$C$1668,"&gt;0"))</f>
        <v/>
      </c>
      <c r="G1072" s="11">
        <f>IF(OR($B1072="",NOT(ISNUMBER($C1072))),"",IF($D1072&lt;&gt;"",ROUND(Points!$B$6*IF($F1072&lt;Points!$H$4,Points!$H$5,1),0),ROUND(Points!$B$6*IF($F1072&lt;=1,1,Points!$H$7+(1-Points!$H$7)*((($F1072-$E1072)*(($F1072-$E1072)+1)/2)^2-((($F1072-$E1072-COUNTIFS($A$5:$A$1668,$A1072,$C$5:$C$1668,$C1072)+1)-1)*($F1072-$E1072-COUNTIFS($A$5:$A$1668,$A1072,$C$5:$C$1668,$C1072)+1)/2)^2)/(COUNTIFS($A$5:$A$1668,$A1072,$C$5:$C$1668,$C1072)*($F1072-1)^3))*IF($F1072&lt;Points!$H$4,Points!$H$5,1),0)))</f>
        <v/>
      </c>
      <c r="H1072" s="11">
        <f>IF($G1072="","",COUNTIFS($B$5:$B$1668,$B1072,$G$5:$G$1668,"&gt;"&amp;$G1072)+COUNTIFS($B$4:$B1071,$B1072,$G$4:$G1071,$G1072)+1)</f>
        <v/>
      </c>
      <c r="I1072" s="11">
        <f>IF($G1072="","",IF($H1072&lt;=Points!$H$6,$G1072,0))</f>
        <v/>
      </c>
      <c r="J1072" s="11">
        <f>IF($B1072="","",IF(COUNTIF(Players!$A$2:$A$500,$B1072)=0,"Player is not on the Players tab",IF(NOT(ISNUMBER($C1072)),"Enter a gross score",IF(COUNTIFS($A$5:$A$1668,$A1072,$B$5:$B$1668,$B1072)&gt;1,"Player is listed twice this week",IF(AND($D1072&lt;&gt;"",COUNTIFS($A$5:$A$1668,$A1072,$D$5:$D$1668,$D1072)&gt;1),"Two players picked as "&amp;$D1072,IF(COUNTIFS($A$5:$A$1668,$A1072,$D$5:$D$1668,"Gross winner")=0,"Pick this week's gross winner",IF(COUNTIFS($A$5:$A$1668,$A1072,$D$5:$D$1668,"Net winner")=0,"Pick this week's net winner","OK")))))))</f>
        <v/>
      </c>
    </row>
    <row r="1073" outlineLevel="1">
      <c r="A1073" s="13" t="n">
        <v>46624</v>
      </c>
      <c r="E1073" s="11">
        <f>IF(OR($B1073="",NOT(ISNUMBER($C1073))),"",COUNTIFS($A$5:$A$1668,$A1073,$C$5:$C$1668,"&lt;"&amp;$C1073)+1)</f>
        <v/>
      </c>
      <c r="F1073" s="11">
        <f>IF(OR($B1073="",NOT(ISNUMBER($C1073))),"",COUNTIFS($A$5:$A$1668,$A1073,$C$5:$C$1668,"&gt;0"))</f>
        <v/>
      </c>
      <c r="G1073" s="11">
        <f>IF(OR($B1073="",NOT(ISNUMBER($C1073))),"",IF($D1073&lt;&gt;"",ROUND(Points!$B$6*IF($F1073&lt;Points!$H$4,Points!$H$5,1),0),ROUND(Points!$B$6*IF($F1073&lt;=1,1,Points!$H$7+(1-Points!$H$7)*((($F1073-$E1073)*(($F1073-$E1073)+1)/2)^2-((($F1073-$E1073-COUNTIFS($A$5:$A$1668,$A1073,$C$5:$C$1668,$C1073)+1)-1)*($F1073-$E1073-COUNTIFS($A$5:$A$1668,$A1073,$C$5:$C$1668,$C1073)+1)/2)^2)/(COUNTIFS($A$5:$A$1668,$A1073,$C$5:$C$1668,$C1073)*($F1073-1)^3))*IF($F1073&lt;Points!$H$4,Points!$H$5,1),0)))</f>
        <v/>
      </c>
      <c r="H1073" s="11">
        <f>IF($G1073="","",COUNTIFS($B$5:$B$1668,$B1073,$G$5:$G$1668,"&gt;"&amp;$G1073)+COUNTIFS($B$4:$B1072,$B1073,$G$4:$G1072,$G1073)+1)</f>
        <v/>
      </c>
      <c r="I1073" s="11">
        <f>IF($G1073="","",IF($H1073&lt;=Points!$H$6,$G1073,0))</f>
        <v/>
      </c>
      <c r="J1073" s="11">
        <f>IF($B1073="","",IF(COUNTIF(Players!$A$2:$A$500,$B1073)=0,"Player is not on the Players tab",IF(NOT(ISNUMBER($C1073)),"Enter a gross score",IF(COUNTIFS($A$5:$A$1668,$A1073,$B$5:$B$1668,$B1073)&gt;1,"Player is listed twice this week",IF(AND($D1073&lt;&gt;"",COUNTIFS($A$5:$A$1668,$A1073,$D$5:$D$1668,$D1073)&gt;1),"Two players picked as "&amp;$D1073,IF(COUNTIFS($A$5:$A$1668,$A1073,$D$5:$D$1668,"Gross winner")=0,"Pick this week's gross winner",IF(COUNTIFS($A$5:$A$1668,$A1073,$D$5:$D$1668,"Net winner")=0,"Pick this week's net winner","OK")))))))</f>
        <v/>
      </c>
    </row>
    <row r="1074" outlineLevel="1">
      <c r="A1074" s="13" t="n">
        <v>46624</v>
      </c>
      <c r="E1074" s="11">
        <f>IF(OR($B1074="",NOT(ISNUMBER($C1074))),"",COUNTIFS($A$5:$A$1668,$A1074,$C$5:$C$1668,"&lt;"&amp;$C1074)+1)</f>
        <v/>
      </c>
      <c r="F1074" s="11">
        <f>IF(OR($B1074="",NOT(ISNUMBER($C1074))),"",COUNTIFS($A$5:$A$1668,$A1074,$C$5:$C$1668,"&gt;0"))</f>
        <v/>
      </c>
      <c r="G1074" s="11">
        <f>IF(OR($B1074="",NOT(ISNUMBER($C1074))),"",IF($D1074&lt;&gt;"",ROUND(Points!$B$6*IF($F1074&lt;Points!$H$4,Points!$H$5,1),0),ROUND(Points!$B$6*IF($F1074&lt;=1,1,Points!$H$7+(1-Points!$H$7)*((($F1074-$E1074)*(($F1074-$E1074)+1)/2)^2-((($F1074-$E1074-COUNTIFS($A$5:$A$1668,$A1074,$C$5:$C$1668,$C1074)+1)-1)*($F1074-$E1074-COUNTIFS($A$5:$A$1668,$A1074,$C$5:$C$1668,$C1074)+1)/2)^2)/(COUNTIFS($A$5:$A$1668,$A1074,$C$5:$C$1668,$C1074)*($F1074-1)^3))*IF($F1074&lt;Points!$H$4,Points!$H$5,1),0)))</f>
        <v/>
      </c>
      <c r="H1074" s="11">
        <f>IF($G1074="","",COUNTIFS($B$5:$B$1668,$B1074,$G$5:$G$1668,"&gt;"&amp;$G1074)+COUNTIFS($B$4:$B1073,$B1074,$G$4:$G1073,$G1074)+1)</f>
        <v/>
      </c>
      <c r="I1074" s="11">
        <f>IF($G1074="","",IF($H1074&lt;=Points!$H$6,$G1074,0))</f>
        <v/>
      </c>
      <c r="J1074" s="11">
        <f>IF($B1074="","",IF(COUNTIF(Players!$A$2:$A$500,$B1074)=0,"Player is not on the Players tab",IF(NOT(ISNUMBER($C1074)),"Enter a gross score",IF(COUNTIFS($A$5:$A$1668,$A1074,$B$5:$B$1668,$B1074)&gt;1,"Player is listed twice this week",IF(AND($D1074&lt;&gt;"",COUNTIFS($A$5:$A$1668,$A1074,$D$5:$D$1668,$D1074)&gt;1),"Two players picked as "&amp;$D1074,IF(COUNTIFS($A$5:$A$1668,$A1074,$D$5:$D$1668,"Gross winner")=0,"Pick this week's gross winner",IF(COUNTIFS($A$5:$A$1668,$A1074,$D$5:$D$1668,"Net winner")=0,"Pick this week's net winner","OK")))))))</f>
        <v/>
      </c>
    </row>
    <row r="1075" outlineLevel="1">
      <c r="A1075" s="13" t="n">
        <v>46624</v>
      </c>
      <c r="E1075" s="11">
        <f>IF(OR($B1075="",NOT(ISNUMBER($C1075))),"",COUNTIFS($A$5:$A$1668,$A1075,$C$5:$C$1668,"&lt;"&amp;$C1075)+1)</f>
        <v/>
      </c>
      <c r="F1075" s="11">
        <f>IF(OR($B1075="",NOT(ISNUMBER($C1075))),"",COUNTIFS($A$5:$A$1668,$A1075,$C$5:$C$1668,"&gt;0"))</f>
        <v/>
      </c>
      <c r="G1075" s="11">
        <f>IF(OR($B1075="",NOT(ISNUMBER($C1075))),"",IF($D1075&lt;&gt;"",ROUND(Points!$B$6*IF($F1075&lt;Points!$H$4,Points!$H$5,1),0),ROUND(Points!$B$6*IF($F1075&lt;=1,1,Points!$H$7+(1-Points!$H$7)*((($F1075-$E1075)*(($F1075-$E1075)+1)/2)^2-((($F1075-$E1075-COUNTIFS($A$5:$A$1668,$A1075,$C$5:$C$1668,$C1075)+1)-1)*($F1075-$E1075-COUNTIFS($A$5:$A$1668,$A1075,$C$5:$C$1668,$C1075)+1)/2)^2)/(COUNTIFS($A$5:$A$1668,$A1075,$C$5:$C$1668,$C1075)*($F1075-1)^3))*IF($F1075&lt;Points!$H$4,Points!$H$5,1),0)))</f>
        <v/>
      </c>
      <c r="H1075" s="11">
        <f>IF($G1075="","",COUNTIFS($B$5:$B$1668,$B1075,$G$5:$G$1668,"&gt;"&amp;$G1075)+COUNTIFS($B$4:$B1074,$B1075,$G$4:$G1074,$G1075)+1)</f>
        <v/>
      </c>
      <c r="I1075" s="11">
        <f>IF($G1075="","",IF($H1075&lt;=Points!$H$6,$G1075,0))</f>
        <v/>
      </c>
      <c r="J1075" s="11">
        <f>IF($B1075="","",IF(COUNTIF(Players!$A$2:$A$500,$B1075)=0,"Player is not on the Players tab",IF(NOT(ISNUMBER($C1075)),"Enter a gross score",IF(COUNTIFS($A$5:$A$1668,$A1075,$B$5:$B$1668,$B1075)&gt;1,"Player is listed twice this week",IF(AND($D1075&lt;&gt;"",COUNTIFS($A$5:$A$1668,$A1075,$D$5:$D$1668,$D1075)&gt;1),"Two players picked as "&amp;$D1075,IF(COUNTIFS($A$5:$A$1668,$A1075,$D$5:$D$1668,"Gross winner")=0,"Pick this week's gross winner",IF(COUNTIFS($A$5:$A$1668,$A1075,$D$5:$D$1668,"Net winner")=0,"Pick this week's net winner","OK")))))))</f>
        <v/>
      </c>
    </row>
    <row r="1076" outlineLevel="1">
      <c r="A1076" s="13" t="n">
        <v>46624</v>
      </c>
      <c r="E1076" s="11">
        <f>IF(OR($B1076="",NOT(ISNUMBER($C1076))),"",COUNTIFS($A$5:$A$1668,$A1076,$C$5:$C$1668,"&lt;"&amp;$C1076)+1)</f>
        <v/>
      </c>
      <c r="F1076" s="11">
        <f>IF(OR($B1076="",NOT(ISNUMBER($C1076))),"",COUNTIFS($A$5:$A$1668,$A1076,$C$5:$C$1668,"&gt;0"))</f>
        <v/>
      </c>
      <c r="G1076" s="11">
        <f>IF(OR($B1076="",NOT(ISNUMBER($C1076))),"",IF($D1076&lt;&gt;"",ROUND(Points!$B$6*IF($F1076&lt;Points!$H$4,Points!$H$5,1),0),ROUND(Points!$B$6*IF($F1076&lt;=1,1,Points!$H$7+(1-Points!$H$7)*((($F1076-$E1076)*(($F1076-$E1076)+1)/2)^2-((($F1076-$E1076-COUNTIFS($A$5:$A$1668,$A1076,$C$5:$C$1668,$C1076)+1)-1)*($F1076-$E1076-COUNTIFS($A$5:$A$1668,$A1076,$C$5:$C$1668,$C1076)+1)/2)^2)/(COUNTIFS($A$5:$A$1668,$A1076,$C$5:$C$1668,$C1076)*($F1076-1)^3))*IF($F1076&lt;Points!$H$4,Points!$H$5,1),0)))</f>
        <v/>
      </c>
      <c r="H1076" s="11">
        <f>IF($G1076="","",COUNTIFS($B$5:$B$1668,$B1076,$G$5:$G$1668,"&gt;"&amp;$G1076)+COUNTIFS($B$4:$B1075,$B1076,$G$4:$G1075,$G1076)+1)</f>
        <v/>
      </c>
      <c r="I1076" s="11">
        <f>IF($G1076="","",IF($H1076&lt;=Points!$H$6,$G1076,0))</f>
        <v/>
      </c>
      <c r="J1076" s="11">
        <f>IF($B1076="","",IF(COUNTIF(Players!$A$2:$A$500,$B1076)=0,"Player is not on the Players tab",IF(NOT(ISNUMBER($C1076)),"Enter a gross score",IF(COUNTIFS($A$5:$A$1668,$A1076,$B$5:$B$1668,$B1076)&gt;1,"Player is listed twice this week",IF(AND($D1076&lt;&gt;"",COUNTIFS($A$5:$A$1668,$A1076,$D$5:$D$1668,$D1076)&gt;1),"Two players picked as "&amp;$D1076,IF(COUNTIFS($A$5:$A$1668,$A1076,$D$5:$D$1668,"Gross winner")=0,"Pick this week's gross winner",IF(COUNTIFS($A$5:$A$1668,$A1076,$D$5:$D$1668,"Net winner")=0,"Pick this week's net winner","OK")))))))</f>
        <v/>
      </c>
    </row>
    <row r="1077" outlineLevel="1">
      <c r="A1077" s="13" t="n">
        <v>46624</v>
      </c>
      <c r="E1077" s="11">
        <f>IF(OR($B1077="",NOT(ISNUMBER($C1077))),"",COUNTIFS($A$5:$A$1668,$A1077,$C$5:$C$1668,"&lt;"&amp;$C1077)+1)</f>
        <v/>
      </c>
      <c r="F1077" s="11">
        <f>IF(OR($B1077="",NOT(ISNUMBER($C1077))),"",COUNTIFS($A$5:$A$1668,$A1077,$C$5:$C$1668,"&gt;0"))</f>
        <v/>
      </c>
      <c r="G1077" s="11">
        <f>IF(OR($B1077="",NOT(ISNUMBER($C1077))),"",IF($D1077&lt;&gt;"",ROUND(Points!$B$6*IF($F1077&lt;Points!$H$4,Points!$H$5,1),0),ROUND(Points!$B$6*IF($F1077&lt;=1,1,Points!$H$7+(1-Points!$H$7)*((($F1077-$E1077)*(($F1077-$E1077)+1)/2)^2-((($F1077-$E1077-COUNTIFS($A$5:$A$1668,$A1077,$C$5:$C$1668,$C1077)+1)-1)*($F1077-$E1077-COUNTIFS($A$5:$A$1668,$A1077,$C$5:$C$1668,$C1077)+1)/2)^2)/(COUNTIFS($A$5:$A$1668,$A1077,$C$5:$C$1668,$C1077)*($F1077-1)^3))*IF($F1077&lt;Points!$H$4,Points!$H$5,1),0)))</f>
        <v/>
      </c>
      <c r="H1077" s="11">
        <f>IF($G1077="","",COUNTIFS($B$5:$B$1668,$B1077,$G$5:$G$1668,"&gt;"&amp;$G1077)+COUNTIFS($B$4:$B1076,$B1077,$G$4:$G1076,$G1077)+1)</f>
        <v/>
      </c>
      <c r="I1077" s="11">
        <f>IF($G1077="","",IF($H1077&lt;=Points!$H$6,$G1077,0))</f>
        <v/>
      </c>
      <c r="J1077" s="11">
        <f>IF($B1077="","",IF(COUNTIF(Players!$A$2:$A$500,$B1077)=0,"Player is not on the Players tab",IF(NOT(ISNUMBER($C1077)),"Enter a gross score",IF(COUNTIFS($A$5:$A$1668,$A1077,$B$5:$B$1668,$B1077)&gt;1,"Player is listed twice this week",IF(AND($D1077&lt;&gt;"",COUNTIFS($A$5:$A$1668,$A1077,$D$5:$D$1668,$D1077)&gt;1),"Two players picked as "&amp;$D1077,IF(COUNTIFS($A$5:$A$1668,$A1077,$D$5:$D$1668,"Gross winner")=0,"Pick this week's gross winner",IF(COUNTIFS($A$5:$A$1668,$A1077,$D$5:$D$1668,"Net winner")=0,"Pick this week's net winner","OK")))))))</f>
        <v/>
      </c>
    </row>
    <row r="1078" outlineLevel="1">
      <c r="A1078" s="13" t="n">
        <v>46624</v>
      </c>
      <c r="E1078" s="11">
        <f>IF(OR($B1078="",NOT(ISNUMBER($C1078))),"",COUNTIFS($A$5:$A$1668,$A1078,$C$5:$C$1668,"&lt;"&amp;$C1078)+1)</f>
        <v/>
      </c>
      <c r="F1078" s="11">
        <f>IF(OR($B1078="",NOT(ISNUMBER($C1078))),"",COUNTIFS($A$5:$A$1668,$A1078,$C$5:$C$1668,"&gt;0"))</f>
        <v/>
      </c>
      <c r="G1078" s="11">
        <f>IF(OR($B1078="",NOT(ISNUMBER($C1078))),"",IF($D1078&lt;&gt;"",ROUND(Points!$B$6*IF($F1078&lt;Points!$H$4,Points!$H$5,1),0),ROUND(Points!$B$6*IF($F1078&lt;=1,1,Points!$H$7+(1-Points!$H$7)*((($F1078-$E1078)*(($F1078-$E1078)+1)/2)^2-((($F1078-$E1078-COUNTIFS($A$5:$A$1668,$A1078,$C$5:$C$1668,$C1078)+1)-1)*($F1078-$E1078-COUNTIFS($A$5:$A$1668,$A1078,$C$5:$C$1668,$C1078)+1)/2)^2)/(COUNTIFS($A$5:$A$1668,$A1078,$C$5:$C$1668,$C1078)*($F1078-1)^3))*IF($F1078&lt;Points!$H$4,Points!$H$5,1),0)))</f>
        <v/>
      </c>
      <c r="H1078" s="11">
        <f>IF($G1078="","",COUNTIFS($B$5:$B$1668,$B1078,$G$5:$G$1668,"&gt;"&amp;$G1078)+COUNTIFS($B$4:$B1077,$B1078,$G$4:$G1077,$G1078)+1)</f>
        <v/>
      </c>
      <c r="I1078" s="11">
        <f>IF($G1078="","",IF($H1078&lt;=Points!$H$6,$G1078,0))</f>
        <v/>
      </c>
      <c r="J1078" s="11">
        <f>IF($B1078="","",IF(COUNTIF(Players!$A$2:$A$500,$B1078)=0,"Player is not on the Players tab",IF(NOT(ISNUMBER($C1078)),"Enter a gross score",IF(COUNTIFS($A$5:$A$1668,$A1078,$B$5:$B$1668,$B1078)&gt;1,"Player is listed twice this week",IF(AND($D1078&lt;&gt;"",COUNTIFS($A$5:$A$1668,$A1078,$D$5:$D$1668,$D1078)&gt;1),"Two players picked as "&amp;$D1078,IF(COUNTIFS($A$5:$A$1668,$A1078,$D$5:$D$1668,"Gross winner")=0,"Pick this week's gross winner",IF(COUNTIFS($A$5:$A$1668,$A1078,$D$5:$D$1668,"Net winner")=0,"Pick this week's net winner","OK")))))))</f>
        <v/>
      </c>
    </row>
    <row r="1079" outlineLevel="1">
      <c r="A1079" s="13" t="n">
        <v>46624</v>
      </c>
      <c r="E1079" s="11">
        <f>IF(OR($B1079="",NOT(ISNUMBER($C1079))),"",COUNTIFS($A$5:$A$1668,$A1079,$C$5:$C$1668,"&lt;"&amp;$C1079)+1)</f>
        <v/>
      </c>
      <c r="F1079" s="11">
        <f>IF(OR($B1079="",NOT(ISNUMBER($C1079))),"",COUNTIFS($A$5:$A$1668,$A1079,$C$5:$C$1668,"&gt;0"))</f>
        <v/>
      </c>
      <c r="G1079" s="11">
        <f>IF(OR($B1079="",NOT(ISNUMBER($C1079))),"",IF($D1079&lt;&gt;"",ROUND(Points!$B$6*IF($F1079&lt;Points!$H$4,Points!$H$5,1),0),ROUND(Points!$B$6*IF($F1079&lt;=1,1,Points!$H$7+(1-Points!$H$7)*((($F1079-$E1079)*(($F1079-$E1079)+1)/2)^2-((($F1079-$E1079-COUNTIFS($A$5:$A$1668,$A1079,$C$5:$C$1668,$C1079)+1)-1)*($F1079-$E1079-COUNTIFS($A$5:$A$1668,$A1079,$C$5:$C$1668,$C1079)+1)/2)^2)/(COUNTIFS($A$5:$A$1668,$A1079,$C$5:$C$1668,$C1079)*($F1079-1)^3))*IF($F1079&lt;Points!$H$4,Points!$H$5,1),0)))</f>
        <v/>
      </c>
      <c r="H1079" s="11">
        <f>IF($G1079="","",COUNTIFS($B$5:$B$1668,$B1079,$G$5:$G$1668,"&gt;"&amp;$G1079)+COUNTIFS($B$4:$B1078,$B1079,$G$4:$G1078,$G1079)+1)</f>
        <v/>
      </c>
      <c r="I1079" s="11">
        <f>IF($G1079="","",IF($H1079&lt;=Points!$H$6,$G1079,0))</f>
        <v/>
      </c>
      <c r="J1079" s="11">
        <f>IF($B1079="","",IF(COUNTIF(Players!$A$2:$A$500,$B1079)=0,"Player is not on the Players tab",IF(NOT(ISNUMBER($C1079)),"Enter a gross score",IF(COUNTIFS($A$5:$A$1668,$A1079,$B$5:$B$1668,$B1079)&gt;1,"Player is listed twice this week",IF(AND($D1079&lt;&gt;"",COUNTIFS($A$5:$A$1668,$A1079,$D$5:$D$1668,$D1079)&gt;1),"Two players picked as "&amp;$D1079,IF(COUNTIFS($A$5:$A$1668,$A1079,$D$5:$D$1668,"Gross winner")=0,"Pick this week's gross winner",IF(COUNTIFS($A$5:$A$1668,$A1079,$D$5:$D$1668,"Net winner")=0,"Pick this week's net winner","OK")))))))</f>
        <v/>
      </c>
    </row>
    <row r="1080" outlineLevel="1">
      <c r="A1080" s="13" t="n">
        <v>46624</v>
      </c>
      <c r="E1080" s="11">
        <f>IF(OR($B1080="",NOT(ISNUMBER($C1080))),"",COUNTIFS($A$5:$A$1668,$A1080,$C$5:$C$1668,"&lt;"&amp;$C1080)+1)</f>
        <v/>
      </c>
      <c r="F1080" s="11">
        <f>IF(OR($B1080="",NOT(ISNUMBER($C1080))),"",COUNTIFS($A$5:$A$1668,$A1080,$C$5:$C$1668,"&gt;0"))</f>
        <v/>
      </c>
      <c r="G1080" s="11">
        <f>IF(OR($B1080="",NOT(ISNUMBER($C1080))),"",IF($D1080&lt;&gt;"",ROUND(Points!$B$6*IF($F1080&lt;Points!$H$4,Points!$H$5,1),0),ROUND(Points!$B$6*IF($F1080&lt;=1,1,Points!$H$7+(1-Points!$H$7)*((($F1080-$E1080)*(($F1080-$E1080)+1)/2)^2-((($F1080-$E1080-COUNTIFS($A$5:$A$1668,$A1080,$C$5:$C$1668,$C1080)+1)-1)*($F1080-$E1080-COUNTIFS($A$5:$A$1668,$A1080,$C$5:$C$1668,$C1080)+1)/2)^2)/(COUNTIFS($A$5:$A$1668,$A1080,$C$5:$C$1668,$C1080)*($F1080-1)^3))*IF($F1080&lt;Points!$H$4,Points!$H$5,1),0)))</f>
        <v/>
      </c>
      <c r="H1080" s="11">
        <f>IF($G1080="","",COUNTIFS($B$5:$B$1668,$B1080,$G$5:$G$1668,"&gt;"&amp;$G1080)+COUNTIFS($B$4:$B1079,$B1080,$G$4:$G1079,$G1080)+1)</f>
        <v/>
      </c>
      <c r="I1080" s="11">
        <f>IF($G1080="","",IF($H1080&lt;=Points!$H$6,$G1080,0))</f>
        <v/>
      </c>
      <c r="J1080" s="11">
        <f>IF($B1080="","",IF(COUNTIF(Players!$A$2:$A$500,$B1080)=0,"Player is not on the Players tab",IF(NOT(ISNUMBER($C1080)),"Enter a gross score",IF(COUNTIFS($A$5:$A$1668,$A1080,$B$5:$B$1668,$B1080)&gt;1,"Player is listed twice this week",IF(AND($D1080&lt;&gt;"",COUNTIFS($A$5:$A$1668,$A1080,$D$5:$D$1668,$D1080)&gt;1),"Two players picked as "&amp;$D1080,IF(COUNTIFS($A$5:$A$1668,$A1080,$D$5:$D$1668,"Gross winner")=0,"Pick this week's gross winner",IF(COUNTIFS($A$5:$A$1668,$A1080,$D$5:$D$1668,"Net winner")=0,"Pick this week's net winner","OK")))))))</f>
        <v/>
      </c>
    </row>
    <row r="1081" outlineLevel="1">
      <c r="A1081" s="13" t="n">
        <v>46624</v>
      </c>
      <c r="E1081" s="11">
        <f>IF(OR($B1081="",NOT(ISNUMBER($C1081))),"",COUNTIFS($A$5:$A$1668,$A1081,$C$5:$C$1668,"&lt;"&amp;$C1081)+1)</f>
        <v/>
      </c>
      <c r="F1081" s="11">
        <f>IF(OR($B1081="",NOT(ISNUMBER($C1081))),"",COUNTIFS($A$5:$A$1668,$A1081,$C$5:$C$1668,"&gt;0"))</f>
        <v/>
      </c>
      <c r="G1081" s="11">
        <f>IF(OR($B1081="",NOT(ISNUMBER($C1081))),"",IF($D1081&lt;&gt;"",ROUND(Points!$B$6*IF($F1081&lt;Points!$H$4,Points!$H$5,1),0),ROUND(Points!$B$6*IF($F1081&lt;=1,1,Points!$H$7+(1-Points!$H$7)*((($F1081-$E1081)*(($F1081-$E1081)+1)/2)^2-((($F1081-$E1081-COUNTIFS($A$5:$A$1668,$A1081,$C$5:$C$1668,$C1081)+1)-1)*($F1081-$E1081-COUNTIFS($A$5:$A$1668,$A1081,$C$5:$C$1668,$C1081)+1)/2)^2)/(COUNTIFS($A$5:$A$1668,$A1081,$C$5:$C$1668,$C1081)*($F1081-1)^3))*IF($F1081&lt;Points!$H$4,Points!$H$5,1),0)))</f>
        <v/>
      </c>
      <c r="H1081" s="11">
        <f>IF($G1081="","",COUNTIFS($B$5:$B$1668,$B1081,$G$5:$G$1668,"&gt;"&amp;$G1081)+COUNTIFS($B$4:$B1080,$B1081,$G$4:$G1080,$G1081)+1)</f>
        <v/>
      </c>
      <c r="I1081" s="11">
        <f>IF($G1081="","",IF($H1081&lt;=Points!$H$6,$G1081,0))</f>
        <v/>
      </c>
      <c r="J1081" s="11">
        <f>IF($B1081="","",IF(COUNTIF(Players!$A$2:$A$500,$B1081)=0,"Player is not on the Players tab",IF(NOT(ISNUMBER($C1081)),"Enter a gross score",IF(COUNTIFS($A$5:$A$1668,$A1081,$B$5:$B$1668,$B1081)&gt;1,"Player is listed twice this week",IF(AND($D1081&lt;&gt;"",COUNTIFS($A$5:$A$1668,$A1081,$D$5:$D$1668,$D1081)&gt;1),"Two players picked as "&amp;$D1081,IF(COUNTIFS($A$5:$A$1668,$A1081,$D$5:$D$1668,"Gross winner")=0,"Pick this week's gross winner",IF(COUNTIFS($A$5:$A$1668,$A1081,$D$5:$D$1668,"Net winner")=0,"Pick this week's net winner","OK")))))))</f>
        <v/>
      </c>
    </row>
    <row r="1082" outlineLevel="1">
      <c r="A1082" s="13" t="n">
        <v>46624</v>
      </c>
      <c r="E1082" s="11">
        <f>IF(OR($B1082="",NOT(ISNUMBER($C1082))),"",COUNTIFS($A$5:$A$1668,$A1082,$C$5:$C$1668,"&lt;"&amp;$C1082)+1)</f>
        <v/>
      </c>
      <c r="F1082" s="11">
        <f>IF(OR($B1082="",NOT(ISNUMBER($C1082))),"",COUNTIFS($A$5:$A$1668,$A1082,$C$5:$C$1668,"&gt;0"))</f>
        <v/>
      </c>
      <c r="G1082" s="11">
        <f>IF(OR($B1082="",NOT(ISNUMBER($C1082))),"",IF($D1082&lt;&gt;"",ROUND(Points!$B$6*IF($F1082&lt;Points!$H$4,Points!$H$5,1),0),ROUND(Points!$B$6*IF($F1082&lt;=1,1,Points!$H$7+(1-Points!$H$7)*((($F1082-$E1082)*(($F1082-$E1082)+1)/2)^2-((($F1082-$E1082-COUNTIFS($A$5:$A$1668,$A1082,$C$5:$C$1668,$C1082)+1)-1)*($F1082-$E1082-COUNTIFS($A$5:$A$1668,$A1082,$C$5:$C$1668,$C1082)+1)/2)^2)/(COUNTIFS($A$5:$A$1668,$A1082,$C$5:$C$1668,$C1082)*($F1082-1)^3))*IF($F1082&lt;Points!$H$4,Points!$H$5,1),0)))</f>
        <v/>
      </c>
      <c r="H1082" s="11">
        <f>IF($G1082="","",COUNTIFS($B$5:$B$1668,$B1082,$G$5:$G$1668,"&gt;"&amp;$G1082)+COUNTIFS($B$4:$B1081,$B1082,$G$4:$G1081,$G1082)+1)</f>
        <v/>
      </c>
      <c r="I1082" s="11">
        <f>IF($G1082="","",IF($H1082&lt;=Points!$H$6,$G1082,0))</f>
        <v/>
      </c>
      <c r="J1082" s="11">
        <f>IF($B1082="","",IF(COUNTIF(Players!$A$2:$A$500,$B1082)=0,"Player is not on the Players tab",IF(NOT(ISNUMBER($C1082)),"Enter a gross score",IF(COUNTIFS($A$5:$A$1668,$A1082,$B$5:$B$1668,$B1082)&gt;1,"Player is listed twice this week",IF(AND($D1082&lt;&gt;"",COUNTIFS($A$5:$A$1668,$A1082,$D$5:$D$1668,$D1082)&gt;1),"Two players picked as "&amp;$D1082,IF(COUNTIFS($A$5:$A$1668,$A1082,$D$5:$D$1668,"Gross winner")=0,"Pick this week's gross winner",IF(COUNTIFS($A$5:$A$1668,$A1082,$D$5:$D$1668,"Net winner")=0,"Pick this week's net winner","OK")))))))</f>
        <v/>
      </c>
    </row>
    <row r="1083" outlineLevel="1">
      <c r="A1083" s="13" t="n">
        <v>46624</v>
      </c>
      <c r="E1083" s="11">
        <f>IF(OR($B1083="",NOT(ISNUMBER($C1083))),"",COUNTIFS($A$5:$A$1668,$A1083,$C$5:$C$1668,"&lt;"&amp;$C1083)+1)</f>
        <v/>
      </c>
      <c r="F1083" s="11">
        <f>IF(OR($B1083="",NOT(ISNUMBER($C1083))),"",COUNTIFS($A$5:$A$1668,$A1083,$C$5:$C$1668,"&gt;0"))</f>
        <v/>
      </c>
      <c r="G1083" s="11">
        <f>IF(OR($B1083="",NOT(ISNUMBER($C1083))),"",IF($D1083&lt;&gt;"",ROUND(Points!$B$6*IF($F1083&lt;Points!$H$4,Points!$H$5,1),0),ROUND(Points!$B$6*IF($F1083&lt;=1,1,Points!$H$7+(1-Points!$H$7)*((($F1083-$E1083)*(($F1083-$E1083)+1)/2)^2-((($F1083-$E1083-COUNTIFS($A$5:$A$1668,$A1083,$C$5:$C$1668,$C1083)+1)-1)*($F1083-$E1083-COUNTIFS($A$5:$A$1668,$A1083,$C$5:$C$1668,$C1083)+1)/2)^2)/(COUNTIFS($A$5:$A$1668,$A1083,$C$5:$C$1668,$C1083)*($F1083-1)^3))*IF($F1083&lt;Points!$H$4,Points!$H$5,1),0)))</f>
        <v/>
      </c>
      <c r="H1083" s="11">
        <f>IF($G1083="","",COUNTIFS($B$5:$B$1668,$B1083,$G$5:$G$1668,"&gt;"&amp;$G1083)+COUNTIFS($B$4:$B1082,$B1083,$G$4:$G1082,$G1083)+1)</f>
        <v/>
      </c>
      <c r="I1083" s="11">
        <f>IF($G1083="","",IF($H1083&lt;=Points!$H$6,$G1083,0))</f>
        <v/>
      </c>
      <c r="J1083" s="11">
        <f>IF($B1083="","",IF(COUNTIF(Players!$A$2:$A$500,$B1083)=0,"Player is not on the Players tab",IF(NOT(ISNUMBER($C1083)),"Enter a gross score",IF(COUNTIFS($A$5:$A$1668,$A1083,$B$5:$B$1668,$B1083)&gt;1,"Player is listed twice this week",IF(AND($D1083&lt;&gt;"",COUNTIFS($A$5:$A$1668,$A1083,$D$5:$D$1668,$D1083)&gt;1),"Two players picked as "&amp;$D1083,IF(COUNTIFS($A$5:$A$1668,$A1083,$D$5:$D$1668,"Gross winner")=0,"Pick this week's gross winner",IF(COUNTIFS($A$5:$A$1668,$A1083,$D$5:$D$1668,"Net winner")=0,"Pick this week's net winner","OK")))))))</f>
        <v/>
      </c>
    </row>
    <row r="1084" outlineLevel="1">
      <c r="A1084" s="13" t="n">
        <v>46624</v>
      </c>
      <c r="E1084" s="11">
        <f>IF(OR($B1084="",NOT(ISNUMBER($C1084))),"",COUNTIFS($A$5:$A$1668,$A1084,$C$5:$C$1668,"&lt;"&amp;$C1084)+1)</f>
        <v/>
      </c>
      <c r="F1084" s="11">
        <f>IF(OR($B1084="",NOT(ISNUMBER($C1084))),"",COUNTIFS($A$5:$A$1668,$A1084,$C$5:$C$1668,"&gt;0"))</f>
        <v/>
      </c>
      <c r="G1084" s="11">
        <f>IF(OR($B1084="",NOT(ISNUMBER($C1084))),"",IF($D1084&lt;&gt;"",ROUND(Points!$B$6*IF($F1084&lt;Points!$H$4,Points!$H$5,1),0),ROUND(Points!$B$6*IF($F1084&lt;=1,1,Points!$H$7+(1-Points!$H$7)*((($F1084-$E1084)*(($F1084-$E1084)+1)/2)^2-((($F1084-$E1084-COUNTIFS($A$5:$A$1668,$A1084,$C$5:$C$1668,$C1084)+1)-1)*($F1084-$E1084-COUNTIFS($A$5:$A$1668,$A1084,$C$5:$C$1668,$C1084)+1)/2)^2)/(COUNTIFS($A$5:$A$1668,$A1084,$C$5:$C$1668,$C1084)*($F1084-1)^3))*IF($F1084&lt;Points!$H$4,Points!$H$5,1),0)))</f>
        <v/>
      </c>
      <c r="H1084" s="11">
        <f>IF($G1084="","",COUNTIFS($B$5:$B$1668,$B1084,$G$5:$G$1668,"&gt;"&amp;$G1084)+COUNTIFS($B$4:$B1083,$B1084,$G$4:$G1083,$G1084)+1)</f>
        <v/>
      </c>
      <c r="I1084" s="11">
        <f>IF($G1084="","",IF($H1084&lt;=Points!$H$6,$G1084,0))</f>
        <v/>
      </c>
      <c r="J1084" s="11">
        <f>IF($B1084="","",IF(COUNTIF(Players!$A$2:$A$500,$B1084)=0,"Player is not on the Players tab",IF(NOT(ISNUMBER($C1084)),"Enter a gross score",IF(COUNTIFS($A$5:$A$1668,$A1084,$B$5:$B$1668,$B1084)&gt;1,"Player is listed twice this week",IF(AND($D1084&lt;&gt;"",COUNTIFS($A$5:$A$1668,$A1084,$D$5:$D$1668,$D1084)&gt;1),"Two players picked as "&amp;$D1084,IF(COUNTIFS($A$5:$A$1668,$A1084,$D$5:$D$1668,"Gross winner")=0,"Pick this week's gross winner",IF(COUNTIFS($A$5:$A$1668,$A1084,$D$5:$D$1668,"Net winner")=0,"Pick this week's net winner","OK")))))))</f>
        <v/>
      </c>
    </row>
    <row r="1085" outlineLevel="1">
      <c r="A1085" s="13" t="n">
        <v>46624</v>
      </c>
      <c r="E1085" s="11">
        <f>IF(OR($B1085="",NOT(ISNUMBER($C1085))),"",COUNTIFS($A$5:$A$1668,$A1085,$C$5:$C$1668,"&lt;"&amp;$C1085)+1)</f>
        <v/>
      </c>
      <c r="F1085" s="11">
        <f>IF(OR($B1085="",NOT(ISNUMBER($C1085))),"",COUNTIFS($A$5:$A$1668,$A1085,$C$5:$C$1668,"&gt;0"))</f>
        <v/>
      </c>
      <c r="G1085" s="11">
        <f>IF(OR($B1085="",NOT(ISNUMBER($C1085))),"",IF($D1085&lt;&gt;"",ROUND(Points!$B$6*IF($F1085&lt;Points!$H$4,Points!$H$5,1),0),ROUND(Points!$B$6*IF($F1085&lt;=1,1,Points!$H$7+(1-Points!$H$7)*((($F1085-$E1085)*(($F1085-$E1085)+1)/2)^2-((($F1085-$E1085-COUNTIFS($A$5:$A$1668,$A1085,$C$5:$C$1668,$C1085)+1)-1)*($F1085-$E1085-COUNTIFS($A$5:$A$1668,$A1085,$C$5:$C$1668,$C1085)+1)/2)^2)/(COUNTIFS($A$5:$A$1668,$A1085,$C$5:$C$1668,$C1085)*($F1085-1)^3))*IF($F1085&lt;Points!$H$4,Points!$H$5,1),0)))</f>
        <v/>
      </c>
      <c r="H1085" s="11">
        <f>IF($G1085="","",COUNTIFS($B$5:$B$1668,$B1085,$G$5:$G$1668,"&gt;"&amp;$G1085)+COUNTIFS($B$4:$B1084,$B1085,$G$4:$G1084,$G1085)+1)</f>
        <v/>
      </c>
      <c r="I1085" s="11">
        <f>IF($G1085="","",IF($H1085&lt;=Points!$H$6,$G1085,0))</f>
        <v/>
      </c>
      <c r="J1085" s="11">
        <f>IF($B1085="","",IF(COUNTIF(Players!$A$2:$A$500,$B1085)=0,"Player is not on the Players tab",IF(NOT(ISNUMBER($C1085)),"Enter a gross score",IF(COUNTIFS($A$5:$A$1668,$A1085,$B$5:$B$1668,$B1085)&gt;1,"Player is listed twice this week",IF(AND($D1085&lt;&gt;"",COUNTIFS($A$5:$A$1668,$A1085,$D$5:$D$1668,$D1085)&gt;1),"Two players picked as "&amp;$D1085,IF(COUNTIFS($A$5:$A$1668,$A1085,$D$5:$D$1668,"Gross winner")=0,"Pick this week's gross winner",IF(COUNTIFS($A$5:$A$1668,$A1085,$D$5:$D$1668,"Net winner")=0,"Pick this week's net winner","OK")))))))</f>
        <v/>
      </c>
    </row>
    <row r="1086" outlineLevel="1">
      <c r="A1086" s="13" t="n">
        <v>46624</v>
      </c>
      <c r="E1086" s="11">
        <f>IF(OR($B1086="",NOT(ISNUMBER($C1086))),"",COUNTIFS($A$5:$A$1668,$A1086,$C$5:$C$1668,"&lt;"&amp;$C1086)+1)</f>
        <v/>
      </c>
      <c r="F1086" s="11">
        <f>IF(OR($B1086="",NOT(ISNUMBER($C1086))),"",COUNTIFS($A$5:$A$1668,$A1086,$C$5:$C$1668,"&gt;0"))</f>
        <v/>
      </c>
      <c r="G1086" s="11">
        <f>IF(OR($B1086="",NOT(ISNUMBER($C1086))),"",IF($D1086&lt;&gt;"",ROUND(Points!$B$6*IF($F1086&lt;Points!$H$4,Points!$H$5,1),0),ROUND(Points!$B$6*IF($F1086&lt;=1,1,Points!$H$7+(1-Points!$H$7)*((($F1086-$E1086)*(($F1086-$E1086)+1)/2)^2-((($F1086-$E1086-COUNTIFS($A$5:$A$1668,$A1086,$C$5:$C$1668,$C1086)+1)-1)*($F1086-$E1086-COUNTIFS($A$5:$A$1668,$A1086,$C$5:$C$1668,$C1086)+1)/2)^2)/(COUNTIFS($A$5:$A$1668,$A1086,$C$5:$C$1668,$C1086)*($F1086-1)^3))*IF($F1086&lt;Points!$H$4,Points!$H$5,1),0)))</f>
        <v/>
      </c>
      <c r="H1086" s="11">
        <f>IF($G1086="","",COUNTIFS($B$5:$B$1668,$B1086,$G$5:$G$1668,"&gt;"&amp;$G1086)+COUNTIFS($B$4:$B1085,$B1086,$G$4:$G1085,$G1086)+1)</f>
        <v/>
      </c>
      <c r="I1086" s="11">
        <f>IF($G1086="","",IF($H1086&lt;=Points!$H$6,$G1086,0))</f>
        <v/>
      </c>
      <c r="J1086" s="11">
        <f>IF($B1086="","",IF(COUNTIF(Players!$A$2:$A$500,$B1086)=0,"Player is not on the Players tab",IF(NOT(ISNUMBER($C1086)),"Enter a gross score",IF(COUNTIFS($A$5:$A$1668,$A1086,$B$5:$B$1668,$B1086)&gt;1,"Player is listed twice this week",IF(AND($D1086&lt;&gt;"",COUNTIFS($A$5:$A$1668,$A1086,$D$5:$D$1668,$D1086)&gt;1),"Two players picked as "&amp;$D1086,IF(COUNTIFS($A$5:$A$1668,$A1086,$D$5:$D$1668,"Gross winner")=0,"Pick this week's gross winner",IF(COUNTIFS($A$5:$A$1668,$A1086,$D$5:$D$1668,"Net winner")=0,"Pick this week's net winner","OK")))))))</f>
        <v/>
      </c>
    </row>
    <row r="1087" outlineLevel="1">
      <c r="A1087" s="13" t="n">
        <v>46624</v>
      </c>
      <c r="E1087" s="11">
        <f>IF(OR($B1087="",NOT(ISNUMBER($C1087))),"",COUNTIFS($A$5:$A$1668,$A1087,$C$5:$C$1668,"&lt;"&amp;$C1087)+1)</f>
        <v/>
      </c>
      <c r="F1087" s="11">
        <f>IF(OR($B1087="",NOT(ISNUMBER($C1087))),"",COUNTIFS($A$5:$A$1668,$A1087,$C$5:$C$1668,"&gt;0"))</f>
        <v/>
      </c>
      <c r="G1087" s="11">
        <f>IF(OR($B1087="",NOT(ISNUMBER($C1087))),"",IF($D1087&lt;&gt;"",ROUND(Points!$B$6*IF($F1087&lt;Points!$H$4,Points!$H$5,1),0),ROUND(Points!$B$6*IF($F1087&lt;=1,1,Points!$H$7+(1-Points!$H$7)*((($F1087-$E1087)*(($F1087-$E1087)+1)/2)^2-((($F1087-$E1087-COUNTIFS($A$5:$A$1668,$A1087,$C$5:$C$1668,$C1087)+1)-1)*($F1087-$E1087-COUNTIFS($A$5:$A$1668,$A1087,$C$5:$C$1668,$C1087)+1)/2)^2)/(COUNTIFS($A$5:$A$1668,$A1087,$C$5:$C$1668,$C1087)*($F1087-1)^3))*IF($F1087&lt;Points!$H$4,Points!$H$5,1),0)))</f>
        <v/>
      </c>
      <c r="H1087" s="11">
        <f>IF($G1087="","",COUNTIFS($B$5:$B$1668,$B1087,$G$5:$G$1668,"&gt;"&amp;$G1087)+COUNTIFS($B$4:$B1086,$B1087,$G$4:$G1086,$G1087)+1)</f>
        <v/>
      </c>
      <c r="I1087" s="11">
        <f>IF($G1087="","",IF($H1087&lt;=Points!$H$6,$G1087,0))</f>
        <v/>
      </c>
      <c r="J1087" s="11">
        <f>IF($B1087="","",IF(COUNTIF(Players!$A$2:$A$500,$B1087)=0,"Player is not on the Players tab",IF(NOT(ISNUMBER($C1087)),"Enter a gross score",IF(COUNTIFS($A$5:$A$1668,$A1087,$B$5:$B$1668,$B1087)&gt;1,"Player is listed twice this week",IF(AND($D1087&lt;&gt;"",COUNTIFS($A$5:$A$1668,$A1087,$D$5:$D$1668,$D1087)&gt;1),"Two players picked as "&amp;$D1087,IF(COUNTIFS($A$5:$A$1668,$A1087,$D$5:$D$1668,"Gross winner")=0,"Pick this week's gross winner",IF(COUNTIFS($A$5:$A$1668,$A1087,$D$5:$D$1668,"Net winner")=0,"Pick this week's net winner","OK")))))))</f>
        <v/>
      </c>
    </row>
    <row r="1088" outlineLevel="1">
      <c r="A1088" s="13" t="n">
        <v>46624</v>
      </c>
      <c r="E1088" s="11">
        <f>IF(OR($B1088="",NOT(ISNUMBER($C1088))),"",COUNTIFS($A$5:$A$1668,$A1088,$C$5:$C$1668,"&lt;"&amp;$C1088)+1)</f>
        <v/>
      </c>
      <c r="F1088" s="11">
        <f>IF(OR($B1088="",NOT(ISNUMBER($C1088))),"",COUNTIFS($A$5:$A$1668,$A1088,$C$5:$C$1668,"&gt;0"))</f>
        <v/>
      </c>
      <c r="G1088" s="11">
        <f>IF(OR($B1088="",NOT(ISNUMBER($C1088))),"",IF($D1088&lt;&gt;"",ROUND(Points!$B$6*IF($F1088&lt;Points!$H$4,Points!$H$5,1),0),ROUND(Points!$B$6*IF($F1088&lt;=1,1,Points!$H$7+(1-Points!$H$7)*((($F1088-$E1088)*(($F1088-$E1088)+1)/2)^2-((($F1088-$E1088-COUNTIFS($A$5:$A$1668,$A1088,$C$5:$C$1668,$C1088)+1)-1)*($F1088-$E1088-COUNTIFS($A$5:$A$1668,$A1088,$C$5:$C$1668,$C1088)+1)/2)^2)/(COUNTIFS($A$5:$A$1668,$A1088,$C$5:$C$1668,$C1088)*($F1088-1)^3))*IF($F1088&lt;Points!$H$4,Points!$H$5,1),0)))</f>
        <v/>
      </c>
      <c r="H1088" s="11">
        <f>IF($G1088="","",COUNTIFS($B$5:$B$1668,$B1088,$G$5:$G$1668,"&gt;"&amp;$G1088)+COUNTIFS($B$4:$B1087,$B1088,$G$4:$G1087,$G1088)+1)</f>
        <v/>
      </c>
      <c r="I1088" s="11">
        <f>IF($G1088="","",IF($H1088&lt;=Points!$H$6,$G1088,0))</f>
        <v/>
      </c>
      <c r="J1088" s="11">
        <f>IF($B1088="","",IF(COUNTIF(Players!$A$2:$A$500,$B1088)=0,"Player is not on the Players tab",IF(NOT(ISNUMBER($C1088)),"Enter a gross score",IF(COUNTIFS($A$5:$A$1668,$A1088,$B$5:$B$1668,$B1088)&gt;1,"Player is listed twice this week",IF(AND($D1088&lt;&gt;"",COUNTIFS($A$5:$A$1668,$A1088,$D$5:$D$1668,$D1088)&gt;1),"Two players picked as "&amp;$D1088,IF(COUNTIFS($A$5:$A$1668,$A1088,$D$5:$D$1668,"Gross winner")=0,"Pick this week's gross winner",IF(COUNTIFS($A$5:$A$1668,$A1088,$D$5:$D$1668,"Net winner")=0,"Pick this week's net winner","OK")))))))</f>
        <v/>
      </c>
    </row>
    <row r="1089" outlineLevel="1">
      <c r="A1089" s="13" t="n">
        <v>46624</v>
      </c>
      <c r="E1089" s="11">
        <f>IF(OR($B1089="",NOT(ISNUMBER($C1089))),"",COUNTIFS($A$5:$A$1668,$A1089,$C$5:$C$1668,"&lt;"&amp;$C1089)+1)</f>
        <v/>
      </c>
      <c r="F1089" s="11">
        <f>IF(OR($B1089="",NOT(ISNUMBER($C1089))),"",COUNTIFS($A$5:$A$1668,$A1089,$C$5:$C$1668,"&gt;0"))</f>
        <v/>
      </c>
      <c r="G1089" s="11">
        <f>IF(OR($B1089="",NOT(ISNUMBER($C1089))),"",IF($D1089&lt;&gt;"",ROUND(Points!$B$6*IF($F1089&lt;Points!$H$4,Points!$H$5,1),0),ROUND(Points!$B$6*IF($F1089&lt;=1,1,Points!$H$7+(1-Points!$H$7)*((($F1089-$E1089)*(($F1089-$E1089)+1)/2)^2-((($F1089-$E1089-COUNTIFS($A$5:$A$1668,$A1089,$C$5:$C$1668,$C1089)+1)-1)*($F1089-$E1089-COUNTIFS($A$5:$A$1668,$A1089,$C$5:$C$1668,$C1089)+1)/2)^2)/(COUNTIFS($A$5:$A$1668,$A1089,$C$5:$C$1668,$C1089)*($F1089-1)^3))*IF($F1089&lt;Points!$H$4,Points!$H$5,1),0)))</f>
        <v/>
      </c>
      <c r="H1089" s="11">
        <f>IF($G1089="","",COUNTIFS($B$5:$B$1668,$B1089,$G$5:$G$1668,"&gt;"&amp;$G1089)+COUNTIFS($B$4:$B1088,$B1089,$G$4:$G1088,$G1089)+1)</f>
        <v/>
      </c>
      <c r="I1089" s="11">
        <f>IF($G1089="","",IF($H1089&lt;=Points!$H$6,$G1089,0))</f>
        <v/>
      </c>
      <c r="J1089" s="11">
        <f>IF($B1089="","",IF(COUNTIF(Players!$A$2:$A$500,$B1089)=0,"Player is not on the Players tab",IF(NOT(ISNUMBER($C1089)),"Enter a gross score",IF(COUNTIFS($A$5:$A$1668,$A1089,$B$5:$B$1668,$B1089)&gt;1,"Player is listed twice this week",IF(AND($D1089&lt;&gt;"",COUNTIFS($A$5:$A$1668,$A1089,$D$5:$D$1668,$D1089)&gt;1),"Two players picked as "&amp;$D1089,IF(COUNTIFS($A$5:$A$1668,$A1089,$D$5:$D$1668,"Gross winner")=0,"Pick this week's gross winner",IF(COUNTIFS($A$5:$A$1668,$A1089,$D$5:$D$1668,"Net winner")=0,"Pick this week's net winner","OK")))))))</f>
        <v/>
      </c>
    </row>
    <row r="1090" outlineLevel="1">
      <c r="A1090" s="13" t="n">
        <v>46624</v>
      </c>
      <c r="E1090" s="11">
        <f>IF(OR($B1090="",NOT(ISNUMBER($C1090))),"",COUNTIFS($A$5:$A$1668,$A1090,$C$5:$C$1668,"&lt;"&amp;$C1090)+1)</f>
        <v/>
      </c>
      <c r="F1090" s="11">
        <f>IF(OR($B1090="",NOT(ISNUMBER($C1090))),"",COUNTIFS($A$5:$A$1668,$A1090,$C$5:$C$1668,"&gt;0"))</f>
        <v/>
      </c>
      <c r="G1090" s="11">
        <f>IF(OR($B1090="",NOT(ISNUMBER($C1090))),"",IF($D1090&lt;&gt;"",ROUND(Points!$B$6*IF($F1090&lt;Points!$H$4,Points!$H$5,1),0),ROUND(Points!$B$6*IF($F1090&lt;=1,1,Points!$H$7+(1-Points!$H$7)*((($F1090-$E1090)*(($F1090-$E1090)+1)/2)^2-((($F1090-$E1090-COUNTIFS($A$5:$A$1668,$A1090,$C$5:$C$1668,$C1090)+1)-1)*($F1090-$E1090-COUNTIFS($A$5:$A$1668,$A1090,$C$5:$C$1668,$C1090)+1)/2)^2)/(COUNTIFS($A$5:$A$1668,$A1090,$C$5:$C$1668,$C1090)*($F1090-1)^3))*IF($F1090&lt;Points!$H$4,Points!$H$5,1),0)))</f>
        <v/>
      </c>
      <c r="H1090" s="11">
        <f>IF($G1090="","",COUNTIFS($B$5:$B$1668,$B1090,$G$5:$G$1668,"&gt;"&amp;$G1090)+COUNTIFS($B$4:$B1089,$B1090,$G$4:$G1089,$G1090)+1)</f>
        <v/>
      </c>
      <c r="I1090" s="11">
        <f>IF($G1090="","",IF($H1090&lt;=Points!$H$6,$G1090,0))</f>
        <v/>
      </c>
      <c r="J1090" s="11">
        <f>IF($B1090="","",IF(COUNTIF(Players!$A$2:$A$500,$B1090)=0,"Player is not on the Players tab",IF(NOT(ISNUMBER($C1090)),"Enter a gross score",IF(COUNTIFS($A$5:$A$1668,$A1090,$B$5:$B$1668,$B1090)&gt;1,"Player is listed twice this week",IF(AND($D1090&lt;&gt;"",COUNTIFS($A$5:$A$1668,$A1090,$D$5:$D$1668,$D1090)&gt;1),"Two players picked as "&amp;$D1090,IF(COUNTIFS($A$5:$A$1668,$A1090,$D$5:$D$1668,"Gross winner")=0,"Pick this week's gross winner",IF(COUNTIFS($A$5:$A$1668,$A1090,$D$5:$D$1668,"Net winner")=0,"Pick this week's net winner","OK")))))))</f>
        <v/>
      </c>
    </row>
    <row r="1091" outlineLevel="1">
      <c r="A1091" s="13" t="n">
        <v>46624</v>
      </c>
      <c r="E1091" s="11">
        <f>IF(OR($B1091="",NOT(ISNUMBER($C1091))),"",COUNTIFS($A$5:$A$1668,$A1091,$C$5:$C$1668,"&lt;"&amp;$C1091)+1)</f>
        <v/>
      </c>
      <c r="F1091" s="11">
        <f>IF(OR($B1091="",NOT(ISNUMBER($C1091))),"",COUNTIFS($A$5:$A$1668,$A1091,$C$5:$C$1668,"&gt;0"))</f>
        <v/>
      </c>
      <c r="G1091" s="11">
        <f>IF(OR($B1091="",NOT(ISNUMBER($C1091))),"",IF($D1091&lt;&gt;"",ROUND(Points!$B$6*IF($F1091&lt;Points!$H$4,Points!$H$5,1),0),ROUND(Points!$B$6*IF($F1091&lt;=1,1,Points!$H$7+(1-Points!$H$7)*((($F1091-$E1091)*(($F1091-$E1091)+1)/2)^2-((($F1091-$E1091-COUNTIFS($A$5:$A$1668,$A1091,$C$5:$C$1668,$C1091)+1)-1)*($F1091-$E1091-COUNTIFS($A$5:$A$1668,$A1091,$C$5:$C$1668,$C1091)+1)/2)^2)/(COUNTIFS($A$5:$A$1668,$A1091,$C$5:$C$1668,$C1091)*($F1091-1)^3))*IF($F1091&lt;Points!$H$4,Points!$H$5,1),0)))</f>
        <v/>
      </c>
      <c r="H1091" s="11">
        <f>IF($G1091="","",COUNTIFS($B$5:$B$1668,$B1091,$G$5:$G$1668,"&gt;"&amp;$G1091)+COUNTIFS($B$4:$B1090,$B1091,$G$4:$G1090,$G1091)+1)</f>
        <v/>
      </c>
      <c r="I1091" s="11">
        <f>IF($G1091="","",IF($H1091&lt;=Points!$H$6,$G1091,0))</f>
        <v/>
      </c>
      <c r="J1091" s="11">
        <f>IF($B1091="","",IF(COUNTIF(Players!$A$2:$A$500,$B1091)=0,"Player is not on the Players tab",IF(NOT(ISNUMBER($C1091)),"Enter a gross score",IF(COUNTIFS($A$5:$A$1668,$A1091,$B$5:$B$1668,$B1091)&gt;1,"Player is listed twice this week",IF(AND($D1091&lt;&gt;"",COUNTIFS($A$5:$A$1668,$A1091,$D$5:$D$1668,$D1091)&gt;1),"Two players picked as "&amp;$D1091,IF(COUNTIFS($A$5:$A$1668,$A1091,$D$5:$D$1668,"Gross winner")=0,"Pick this week's gross winner",IF(COUNTIFS($A$5:$A$1668,$A1091,$D$5:$D$1668,"Net winner")=0,"Pick this week's net winner","OK")))))))</f>
        <v/>
      </c>
    </row>
    <row r="1092" ht="10" customHeight="1"/>
    <row r="1093" ht="22" customHeight="1">
      <c r="A1093" s="12" t="inlineStr">
        <is>
          <t>Week 35  ·  Wednesday, Sep 1</t>
        </is>
      </c>
    </row>
    <row r="1094" outlineLevel="1">
      <c r="A1094" s="13" t="n">
        <v>46631</v>
      </c>
      <c r="E1094" s="11">
        <f>IF(OR($B1094="",NOT(ISNUMBER($C1094))),"",COUNTIFS($A$5:$A$1668,$A1094,$C$5:$C$1668,"&lt;"&amp;$C1094)+1)</f>
        <v/>
      </c>
      <c r="F1094" s="11">
        <f>IF(OR($B1094="",NOT(ISNUMBER($C1094))),"",COUNTIFS($A$5:$A$1668,$A1094,$C$5:$C$1668,"&gt;0"))</f>
        <v/>
      </c>
      <c r="G1094" s="11">
        <f>IF(OR($B1094="",NOT(ISNUMBER($C1094))),"",IF($D1094&lt;&gt;"",ROUND(Points!$B$6*IF($F1094&lt;Points!$H$4,Points!$H$5,1),0),ROUND(Points!$B$6*IF($F1094&lt;=1,1,Points!$H$7+(1-Points!$H$7)*((($F1094-$E1094)*(($F1094-$E1094)+1)/2)^2-((($F1094-$E1094-COUNTIFS($A$5:$A$1668,$A1094,$C$5:$C$1668,$C1094)+1)-1)*($F1094-$E1094-COUNTIFS($A$5:$A$1668,$A1094,$C$5:$C$1668,$C1094)+1)/2)^2)/(COUNTIFS($A$5:$A$1668,$A1094,$C$5:$C$1668,$C1094)*($F1094-1)^3))*IF($F1094&lt;Points!$H$4,Points!$H$5,1),0)))</f>
        <v/>
      </c>
      <c r="H1094" s="11">
        <f>IF($G1094="","",COUNTIFS($B$5:$B$1668,$B1094,$G$5:$G$1668,"&gt;"&amp;$G1094)+COUNTIFS($B$4:$B1093,$B1094,$G$4:$G1093,$G1094)+1)</f>
        <v/>
      </c>
      <c r="I1094" s="11">
        <f>IF($G1094="","",IF($H1094&lt;=Points!$H$6,$G1094,0))</f>
        <v/>
      </c>
      <c r="J1094" s="11">
        <f>IF($B1094="","",IF(COUNTIF(Players!$A$2:$A$500,$B1094)=0,"Player is not on the Players tab",IF(NOT(ISNUMBER($C1094)),"Enter a gross score",IF(COUNTIFS($A$5:$A$1668,$A1094,$B$5:$B$1668,$B1094)&gt;1,"Player is listed twice this week",IF(AND($D1094&lt;&gt;"",COUNTIFS($A$5:$A$1668,$A1094,$D$5:$D$1668,$D1094)&gt;1),"Two players picked as "&amp;$D1094,IF(COUNTIFS($A$5:$A$1668,$A1094,$D$5:$D$1668,"Gross winner")=0,"Pick this week's gross winner",IF(COUNTIFS($A$5:$A$1668,$A1094,$D$5:$D$1668,"Net winner")=0,"Pick this week's net winner","OK")))))))</f>
        <v/>
      </c>
    </row>
    <row r="1095" outlineLevel="1">
      <c r="A1095" s="13" t="n">
        <v>46631</v>
      </c>
      <c r="E1095" s="11">
        <f>IF(OR($B1095="",NOT(ISNUMBER($C1095))),"",COUNTIFS($A$5:$A$1668,$A1095,$C$5:$C$1668,"&lt;"&amp;$C1095)+1)</f>
        <v/>
      </c>
      <c r="F1095" s="11">
        <f>IF(OR($B1095="",NOT(ISNUMBER($C1095))),"",COUNTIFS($A$5:$A$1668,$A1095,$C$5:$C$1668,"&gt;0"))</f>
        <v/>
      </c>
      <c r="G1095" s="11">
        <f>IF(OR($B1095="",NOT(ISNUMBER($C1095))),"",IF($D1095&lt;&gt;"",ROUND(Points!$B$6*IF($F1095&lt;Points!$H$4,Points!$H$5,1),0),ROUND(Points!$B$6*IF($F1095&lt;=1,1,Points!$H$7+(1-Points!$H$7)*((($F1095-$E1095)*(($F1095-$E1095)+1)/2)^2-((($F1095-$E1095-COUNTIFS($A$5:$A$1668,$A1095,$C$5:$C$1668,$C1095)+1)-1)*($F1095-$E1095-COUNTIFS($A$5:$A$1668,$A1095,$C$5:$C$1668,$C1095)+1)/2)^2)/(COUNTIFS($A$5:$A$1668,$A1095,$C$5:$C$1668,$C1095)*($F1095-1)^3))*IF($F1095&lt;Points!$H$4,Points!$H$5,1),0)))</f>
        <v/>
      </c>
      <c r="H1095" s="11">
        <f>IF($G1095="","",COUNTIFS($B$5:$B$1668,$B1095,$G$5:$G$1668,"&gt;"&amp;$G1095)+COUNTIFS($B$4:$B1094,$B1095,$G$4:$G1094,$G1095)+1)</f>
        <v/>
      </c>
      <c r="I1095" s="11">
        <f>IF($G1095="","",IF($H1095&lt;=Points!$H$6,$G1095,0))</f>
        <v/>
      </c>
      <c r="J1095" s="11">
        <f>IF($B1095="","",IF(COUNTIF(Players!$A$2:$A$500,$B1095)=0,"Player is not on the Players tab",IF(NOT(ISNUMBER($C1095)),"Enter a gross score",IF(COUNTIFS($A$5:$A$1668,$A1095,$B$5:$B$1668,$B1095)&gt;1,"Player is listed twice this week",IF(AND($D1095&lt;&gt;"",COUNTIFS($A$5:$A$1668,$A1095,$D$5:$D$1668,$D1095)&gt;1),"Two players picked as "&amp;$D1095,IF(COUNTIFS($A$5:$A$1668,$A1095,$D$5:$D$1668,"Gross winner")=0,"Pick this week's gross winner",IF(COUNTIFS($A$5:$A$1668,$A1095,$D$5:$D$1668,"Net winner")=0,"Pick this week's net winner","OK")))))))</f>
        <v/>
      </c>
    </row>
    <row r="1096" outlineLevel="1">
      <c r="A1096" s="13" t="n">
        <v>46631</v>
      </c>
      <c r="E1096" s="11">
        <f>IF(OR($B1096="",NOT(ISNUMBER($C1096))),"",COUNTIFS($A$5:$A$1668,$A1096,$C$5:$C$1668,"&lt;"&amp;$C1096)+1)</f>
        <v/>
      </c>
      <c r="F1096" s="11">
        <f>IF(OR($B1096="",NOT(ISNUMBER($C1096))),"",COUNTIFS($A$5:$A$1668,$A1096,$C$5:$C$1668,"&gt;0"))</f>
        <v/>
      </c>
      <c r="G1096" s="11">
        <f>IF(OR($B1096="",NOT(ISNUMBER($C1096))),"",IF($D1096&lt;&gt;"",ROUND(Points!$B$6*IF($F1096&lt;Points!$H$4,Points!$H$5,1),0),ROUND(Points!$B$6*IF($F1096&lt;=1,1,Points!$H$7+(1-Points!$H$7)*((($F1096-$E1096)*(($F1096-$E1096)+1)/2)^2-((($F1096-$E1096-COUNTIFS($A$5:$A$1668,$A1096,$C$5:$C$1668,$C1096)+1)-1)*($F1096-$E1096-COUNTIFS($A$5:$A$1668,$A1096,$C$5:$C$1668,$C1096)+1)/2)^2)/(COUNTIFS($A$5:$A$1668,$A1096,$C$5:$C$1668,$C1096)*($F1096-1)^3))*IF($F1096&lt;Points!$H$4,Points!$H$5,1),0)))</f>
        <v/>
      </c>
      <c r="H1096" s="11">
        <f>IF($G1096="","",COUNTIFS($B$5:$B$1668,$B1096,$G$5:$G$1668,"&gt;"&amp;$G1096)+COUNTIFS($B$4:$B1095,$B1096,$G$4:$G1095,$G1096)+1)</f>
        <v/>
      </c>
      <c r="I1096" s="11">
        <f>IF($G1096="","",IF($H1096&lt;=Points!$H$6,$G1096,0))</f>
        <v/>
      </c>
      <c r="J1096" s="11">
        <f>IF($B1096="","",IF(COUNTIF(Players!$A$2:$A$500,$B1096)=0,"Player is not on the Players tab",IF(NOT(ISNUMBER($C1096)),"Enter a gross score",IF(COUNTIFS($A$5:$A$1668,$A1096,$B$5:$B$1668,$B1096)&gt;1,"Player is listed twice this week",IF(AND($D1096&lt;&gt;"",COUNTIFS($A$5:$A$1668,$A1096,$D$5:$D$1668,$D1096)&gt;1),"Two players picked as "&amp;$D1096,IF(COUNTIFS($A$5:$A$1668,$A1096,$D$5:$D$1668,"Gross winner")=0,"Pick this week's gross winner",IF(COUNTIFS($A$5:$A$1668,$A1096,$D$5:$D$1668,"Net winner")=0,"Pick this week's net winner","OK")))))))</f>
        <v/>
      </c>
    </row>
    <row r="1097" outlineLevel="1">
      <c r="A1097" s="13" t="n">
        <v>46631</v>
      </c>
      <c r="E1097" s="11">
        <f>IF(OR($B1097="",NOT(ISNUMBER($C1097))),"",COUNTIFS($A$5:$A$1668,$A1097,$C$5:$C$1668,"&lt;"&amp;$C1097)+1)</f>
        <v/>
      </c>
      <c r="F1097" s="11">
        <f>IF(OR($B1097="",NOT(ISNUMBER($C1097))),"",COUNTIFS($A$5:$A$1668,$A1097,$C$5:$C$1668,"&gt;0"))</f>
        <v/>
      </c>
      <c r="G1097" s="11">
        <f>IF(OR($B1097="",NOT(ISNUMBER($C1097))),"",IF($D1097&lt;&gt;"",ROUND(Points!$B$6*IF($F1097&lt;Points!$H$4,Points!$H$5,1),0),ROUND(Points!$B$6*IF($F1097&lt;=1,1,Points!$H$7+(1-Points!$H$7)*((($F1097-$E1097)*(($F1097-$E1097)+1)/2)^2-((($F1097-$E1097-COUNTIFS($A$5:$A$1668,$A1097,$C$5:$C$1668,$C1097)+1)-1)*($F1097-$E1097-COUNTIFS($A$5:$A$1668,$A1097,$C$5:$C$1668,$C1097)+1)/2)^2)/(COUNTIFS($A$5:$A$1668,$A1097,$C$5:$C$1668,$C1097)*($F1097-1)^3))*IF($F1097&lt;Points!$H$4,Points!$H$5,1),0)))</f>
        <v/>
      </c>
      <c r="H1097" s="11">
        <f>IF($G1097="","",COUNTIFS($B$5:$B$1668,$B1097,$G$5:$G$1668,"&gt;"&amp;$G1097)+COUNTIFS($B$4:$B1096,$B1097,$G$4:$G1096,$G1097)+1)</f>
        <v/>
      </c>
      <c r="I1097" s="11">
        <f>IF($G1097="","",IF($H1097&lt;=Points!$H$6,$G1097,0))</f>
        <v/>
      </c>
      <c r="J1097" s="11">
        <f>IF($B1097="","",IF(COUNTIF(Players!$A$2:$A$500,$B1097)=0,"Player is not on the Players tab",IF(NOT(ISNUMBER($C1097)),"Enter a gross score",IF(COUNTIFS($A$5:$A$1668,$A1097,$B$5:$B$1668,$B1097)&gt;1,"Player is listed twice this week",IF(AND($D1097&lt;&gt;"",COUNTIFS($A$5:$A$1668,$A1097,$D$5:$D$1668,$D1097)&gt;1),"Two players picked as "&amp;$D1097,IF(COUNTIFS($A$5:$A$1668,$A1097,$D$5:$D$1668,"Gross winner")=0,"Pick this week's gross winner",IF(COUNTIFS($A$5:$A$1668,$A1097,$D$5:$D$1668,"Net winner")=0,"Pick this week's net winner","OK")))))))</f>
        <v/>
      </c>
    </row>
    <row r="1098" outlineLevel="1">
      <c r="A1098" s="13" t="n">
        <v>46631</v>
      </c>
      <c r="E1098" s="11">
        <f>IF(OR($B1098="",NOT(ISNUMBER($C1098))),"",COUNTIFS($A$5:$A$1668,$A1098,$C$5:$C$1668,"&lt;"&amp;$C1098)+1)</f>
        <v/>
      </c>
      <c r="F1098" s="11">
        <f>IF(OR($B1098="",NOT(ISNUMBER($C1098))),"",COUNTIFS($A$5:$A$1668,$A1098,$C$5:$C$1668,"&gt;0"))</f>
        <v/>
      </c>
      <c r="G1098" s="11">
        <f>IF(OR($B1098="",NOT(ISNUMBER($C1098))),"",IF($D1098&lt;&gt;"",ROUND(Points!$B$6*IF($F1098&lt;Points!$H$4,Points!$H$5,1),0),ROUND(Points!$B$6*IF($F1098&lt;=1,1,Points!$H$7+(1-Points!$H$7)*((($F1098-$E1098)*(($F1098-$E1098)+1)/2)^2-((($F1098-$E1098-COUNTIFS($A$5:$A$1668,$A1098,$C$5:$C$1668,$C1098)+1)-1)*($F1098-$E1098-COUNTIFS($A$5:$A$1668,$A1098,$C$5:$C$1668,$C1098)+1)/2)^2)/(COUNTIFS($A$5:$A$1668,$A1098,$C$5:$C$1668,$C1098)*($F1098-1)^3))*IF($F1098&lt;Points!$H$4,Points!$H$5,1),0)))</f>
        <v/>
      </c>
      <c r="H1098" s="11">
        <f>IF($G1098="","",COUNTIFS($B$5:$B$1668,$B1098,$G$5:$G$1668,"&gt;"&amp;$G1098)+COUNTIFS($B$4:$B1097,$B1098,$G$4:$G1097,$G1098)+1)</f>
        <v/>
      </c>
      <c r="I1098" s="11">
        <f>IF($G1098="","",IF($H1098&lt;=Points!$H$6,$G1098,0))</f>
        <v/>
      </c>
      <c r="J1098" s="11">
        <f>IF($B1098="","",IF(COUNTIF(Players!$A$2:$A$500,$B1098)=0,"Player is not on the Players tab",IF(NOT(ISNUMBER($C1098)),"Enter a gross score",IF(COUNTIFS($A$5:$A$1668,$A1098,$B$5:$B$1668,$B1098)&gt;1,"Player is listed twice this week",IF(AND($D1098&lt;&gt;"",COUNTIFS($A$5:$A$1668,$A1098,$D$5:$D$1668,$D1098)&gt;1),"Two players picked as "&amp;$D1098,IF(COUNTIFS($A$5:$A$1668,$A1098,$D$5:$D$1668,"Gross winner")=0,"Pick this week's gross winner",IF(COUNTIFS($A$5:$A$1668,$A1098,$D$5:$D$1668,"Net winner")=0,"Pick this week's net winner","OK")))))))</f>
        <v/>
      </c>
    </row>
    <row r="1099" outlineLevel="1">
      <c r="A1099" s="13" t="n">
        <v>46631</v>
      </c>
      <c r="E1099" s="11">
        <f>IF(OR($B1099="",NOT(ISNUMBER($C1099))),"",COUNTIFS($A$5:$A$1668,$A1099,$C$5:$C$1668,"&lt;"&amp;$C1099)+1)</f>
        <v/>
      </c>
      <c r="F1099" s="11">
        <f>IF(OR($B1099="",NOT(ISNUMBER($C1099))),"",COUNTIFS($A$5:$A$1668,$A1099,$C$5:$C$1668,"&gt;0"))</f>
        <v/>
      </c>
      <c r="G1099" s="11">
        <f>IF(OR($B1099="",NOT(ISNUMBER($C1099))),"",IF($D1099&lt;&gt;"",ROUND(Points!$B$6*IF($F1099&lt;Points!$H$4,Points!$H$5,1),0),ROUND(Points!$B$6*IF($F1099&lt;=1,1,Points!$H$7+(1-Points!$H$7)*((($F1099-$E1099)*(($F1099-$E1099)+1)/2)^2-((($F1099-$E1099-COUNTIFS($A$5:$A$1668,$A1099,$C$5:$C$1668,$C1099)+1)-1)*($F1099-$E1099-COUNTIFS($A$5:$A$1668,$A1099,$C$5:$C$1668,$C1099)+1)/2)^2)/(COUNTIFS($A$5:$A$1668,$A1099,$C$5:$C$1668,$C1099)*($F1099-1)^3))*IF($F1099&lt;Points!$H$4,Points!$H$5,1),0)))</f>
        <v/>
      </c>
      <c r="H1099" s="11">
        <f>IF($G1099="","",COUNTIFS($B$5:$B$1668,$B1099,$G$5:$G$1668,"&gt;"&amp;$G1099)+COUNTIFS($B$4:$B1098,$B1099,$G$4:$G1098,$G1099)+1)</f>
        <v/>
      </c>
      <c r="I1099" s="11">
        <f>IF($G1099="","",IF($H1099&lt;=Points!$H$6,$G1099,0))</f>
        <v/>
      </c>
      <c r="J1099" s="11">
        <f>IF($B1099="","",IF(COUNTIF(Players!$A$2:$A$500,$B1099)=0,"Player is not on the Players tab",IF(NOT(ISNUMBER($C1099)),"Enter a gross score",IF(COUNTIFS($A$5:$A$1668,$A1099,$B$5:$B$1668,$B1099)&gt;1,"Player is listed twice this week",IF(AND($D1099&lt;&gt;"",COUNTIFS($A$5:$A$1668,$A1099,$D$5:$D$1668,$D1099)&gt;1),"Two players picked as "&amp;$D1099,IF(COUNTIFS($A$5:$A$1668,$A1099,$D$5:$D$1668,"Gross winner")=0,"Pick this week's gross winner",IF(COUNTIFS($A$5:$A$1668,$A1099,$D$5:$D$1668,"Net winner")=0,"Pick this week's net winner","OK")))))))</f>
        <v/>
      </c>
    </row>
    <row r="1100" outlineLevel="1">
      <c r="A1100" s="13" t="n">
        <v>46631</v>
      </c>
      <c r="E1100" s="11">
        <f>IF(OR($B1100="",NOT(ISNUMBER($C1100))),"",COUNTIFS($A$5:$A$1668,$A1100,$C$5:$C$1668,"&lt;"&amp;$C1100)+1)</f>
        <v/>
      </c>
      <c r="F1100" s="11">
        <f>IF(OR($B1100="",NOT(ISNUMBER($C1100))),"",COUNTIFS($A$5:$A$1668,$A1100,$C$5:$C$1668,"&gt;0"))</f>
        <v/>
      </c>
      <c r="G1100" s="11">
        <f>IF(OR($B1100="",NOT(ISNUMBER($C1100))),"",IF($D1100&lt;&gt;"",ROUND(Points!$B$6*IF($F1100&lt;Points!$H$4,Points!$H$5,1),0),ROUND(Points!$B$6*IF($F1100&lt;=1,1,Points!$H$7+(1-Points!$H$7)*((($F1100-$E1100)*(($F1100-$E1100)+1)/2)^2-((($F1100-$E1100-COUNTIFS($A$5:$A$1668,$A1100,$C$5:$C$1668,$C1100)+1)-1)*($F1100-$E1100-COUNTIFS($A$5:$A$1668,$A1100,$C$5:$C$1668,$C1100)+1)/2)^2)/(COUNTIFS($A$5:$A$1668,$A1100,$C$5:$C$1668,$C1100)*($F1100-1)^3))*IF($F1100&lt;Points!$H$4,Points!$H$5,1),0)))</f>
        <v/>
      </c>
      <c r="H1100" s="11">
        <f>IF($G1100="","",COUNTIFS($B$5:$B$1668,$B1100,$G$5:$G$1668,"&gt;"&amp;$G1100)+COUNTIFS($B$4:$B1099,$B1100,$G$4:$G1099,$G1100)+1)</f>
        <v/>
      </c>
      <c r="I1100" s="11">
        <f>IF($G1100="","",IF($H1100&lt;=Points!$H$6,$G1100,0))</f>
        <v/>
      </c>
      <c r="J1100" s="11">
        <f>IF($B1100="","",IF(COUNTIF(Players!$A$2:$A$500,$B1100)=0,"Player is not on the Players tab",IF(NOT(ISNUMBER($C1100)),"Enter a gross score",IF(COUNTIFS($A$5:$A$1668,$A1100,$B$5:$B$1668,$B1100)&gt;1,"Player is listed twice this week",IF(AND($D1100&lt;&gt;"",COUNTIFS($A$5:$A$1668,$A1100,$D$5:$D$1668,$D1100)&gt;1),"Two players picked as "&amp;$D1100,IF(COUNTIFS($A$5:$A$1668,$A1100,$D$5:$D$1668,"Gross winner")=0,"Pick this week's gross winner",IF(COUNTIFS($A$5:$A$1668,$A1100,$D$5:$D$1668,"Net winner")=0,"Pick this week's net winner","OK")))))))</f>
        <v/>
      </c>
    </row>
    <row r="1101" outlineLevel="1">
      <c r="A1101" s="13" t="n">
        <v>46631</v>
      </c>
      <c r="E1101" s="11">
        <f>IF(OR($B1101="",NOT(ISNUMBER($C1101))),"",COUNTIFS($A$5:$A$1668,$A1101,$C$5:$C$1668,"&lt;"&amp;$C1101)+1)</f>
        <v/>
      </c>
      <c r="F1101" s="11">
        <f>IF(OR($B1101="",NOT(ISNUMBER($C1101))),"",COUNTIFS($A$5:$A$1668,$A1101,$C$5:$C$1668,"&gt;0"))</f>
        <v/>
      </c>
      <c r="G1101" s="11">
        <f>IF(OR($B1101="",NOT(ISNUMBER($C1101))),"",IF($D1101&lt;&gt;"",ROUND(Points!$B$6*IF($F1101&lt;Points!$H$4,Points!$H$5,1),0),ROUND(Points!$B$6*IF($F1101&lt;=1,1,Points!$H$7+(1-Points!$H$7)*((($F1101-$E1101)*(($F1101-$E1101)+1)/2)^2-((($F1101-$E1101-COUNTIFS($A$5:$A$1668,$A1101,$C$5:$C$1668,$C1101)+1)-1)*($F1101-$E1101-COUNTIFS($A$5:$A$1668,$A1101,$C$5:$C$1668,$C1101)+1)/2)^2)/(COUNTIFS($A$5:$A$1668,$A1101,$C$5:$C$1668,$C1101)*($F1101-1)^3))*IF($F1101&lt;Points!$H$4,Points!$H$5,1),0)))</f>
        <v/>
      </c>
      <c r="H1101" s="11">
        <f>IF($G1101="","",COUNTIFS($B$5:$B$1668,$B1101,$G$5:$G$1668,"&gt;"&amp;$G1101)+COUNTIFS($B$4:$B1100,$B1101,$G$4:$G1100,$G1101)+1)</f>
        <v/>
      </c>
      <c r="I1101" s="11">
        <f>IF($G1101="","",IF($H1101&lt;=Points!$H$6,$G1101,0))</f>
        <v/>
      </c>
      <c r="J1101" s="11">
        <f>IF($B1101="","",IF(COUNTIF(Players!$A$2:$A$500,$B1101)=0,"Player is not on the Players tab",IF(NOT(ISNUMBER($C1101)),"Enter a gross score",IF(COUNTIFS($A$5:$A$1668,$A1101,$B$5:$B$1668,$B1101)&gt;1,"Player is listed twice this week",IF(AND($D1101&lt;&gt;"",COUNTIFS($A$5:$A$1668,$A1101,$D$5:$D$1668,$D1101)&gt;1),"Two players picked as "&amp;$D1101,IF(COUNTIFS($A$5:$A$1668,$A1101,$D$5:$D$1668,"Gross winner")=0,"Pick this week's gross winner",IF(COUNTIFS($A$5:$A$1668,$A1101,$D$5:$D$1668,"Net winner")=0,"Pick this week's net winner","OK")))))))</f>
        <v/>
      </c>
    </row>
    <row r="1102" outlineLevel="1">
      <c r="A1102" s="13" t="n">
        <v>46631</v>
      </c>
      <c r="E1102" s="11">
        <f>IF(OR($B1102="",NOT(ISNUMBER($C1102))),"",COUNTIFS($A$5:$A$1668,$A1102,$C$5:$C$1668,"&lt;"&amp;$C1102)+1)</f>
        <v/>
      </c>
      <c r="F1102" s="11">
        <f>IF(OR($B1102="",NOT(ISNUMBER($C1102))),"",COUNTIFS($A$5:$A$1668,$A1102,$C$5:$C$1668,"&gt;0"))</f>
        <v/>
      </c>
      <c r="G1102" s="11">
        <f>IF(OR($B1102="",NOT(ISNUMBER($C1102))),"",IF($D1102&lt;&gt;"",ROUND(Points!$B$6*IF($F1102&lt;Points!$H$4,Points!$H$5,1),0),ROUND(Points!$B$6*IF($F1102&lt;=1,1,Points!$H$7+(1-Points!$H$7)*((($F1102-$E1102)*(($F1102-$E1102)+1)/2)^2-((($F1102-$E1102-COUNTIFS($A$5:$A$1668,$A1102,$C$5:$C$1668,$C1102)+1)-1)*($F1102-$E1102-COUNTIFS($A$5:$A$1668,$A1102,$C$5:$C$1668,$C1102)+1)/2)^2)/(COUNTIFS($A$5:$A$1668,$A1102,$C$5:$C$1668,$C1102)*($F1102-1)^3))*IF($F1102&lt;Points!$H$4,Points!$H$5,1),0)))</f>
        <v/>
      </c>
      <c r="H1102" s="11">
        <f>IF($G1102="","",COUNTIFS($B$5:$B$1668,$B1102,$G$5:$G$1668,"&gt;"&amp;$G1102)+COUNTIFS($B$4:$B1101,$B1102,$G$4:$G1101,$G1102)+1)</f>
        <v/>
      </c>
      <c r="I1102" s="11">
        <f>IF($G1102="","",IF($H1102&lt;=Points!$H$6,$G1102,0))</f>
        <v/>
      </c>
      <c r="J1102" s="11">
        <f>IF($B1102="","",IF(COUNTIF(Players!$A$2:$A$500,$B1102)=0,"Player is not on the Players tab",IF(NOT(ISNUMBER($C1102)),"Enter a gross score",IF(COUNTIFS($A$5:$A$1668,$A1102,$B$5:$B$1668,$B1102)&gt;1,"Player is listed twice this week",IF(AND($D1102&lt;&gt;"",COUNTIFS($A$5:$A$1668,$A1102,$D$5:$D$1668,$D1102)&gt;1),"Two players picked as "&amp;$D1102,IF(COUNTIFS($A$5:$A$1668,$A1102,$D$5:$D$1668,"Gross winner")=0,"Pick this week's gross winner",IF(COUNTIFS($A$5:$A$1668,$A1102,$D$5:$D$1668,"Net winner")=0,"Pick this week's net winner","OK")))))))</f>
        <v/>
      </c>
    </row>
    <row r="1103" outlineLevel="1">
      <c r="A1103" s="13" t="n">
        <v>46631</v>
      </c>
      <c r="E1103" s="11">
        <f>IF(OR($B1103="",NOT(ISNUMBER($C1103))),"",COUNTIFS($A$5:$A$1668,$A1103,$C$5:$C$1668,"&lt;"&amp;$C1103)+1)</f>
        <v/>
      </c>
      <c r="F1103" s="11">
        <f>IF(OR($B1103="",NOT(ISNUMBER($C1103))),"",COUNTIFS($A$5:$A$1668,$A1103,$C$5:$C$1668,"&gt;0"))</f>
        <v/>
      </c>
      <c r="G1103" s="11">
        <f>IF(OR($B1103="",NOT(ISNUMBER($C1103))),"",IF($D1103&lt;&gt;"",ROUND(Points!$B$6*IF($F1103&lt;Points!$H$4,Points!$H$5,1),0),ROUND(Points!$B$6*IF($F1103&lt;=1,1,Points!$H$7+(1-Points!$H$7)*((($F1103-$E1103)*(($F1103-$E1103)+1)/2)^2-((($F1103-$E1103-COUNTIFS($A$5:$A$1668,$A1103,$C$5:$C$1668,$C1103)+1)-1)*($F1103-$E1103-COUNTIFS($A$5:$A$1668,$A1103,$C$5:$C$1668,$C1103)+1)/2)^2)/(COUNTIFS($A$5:$A$1668,$A1103,$C$5:$C$1668,$C1103)*($F1103-1)^3))*IF($F1103&lt;Points!$H$4,Points!$H$5,1),0)))</f>
        <v/>
      </c>
      <c r="H1103" s="11">
        <f>IF($G1103="","",COUNTIFS($B$5:$B$1668,$B1103,$G$5:$G$1668,"&gt;"&amp;$G1103)+COUNTIFS($B$4:$B1102,$B1103,$G$4:$G1102,$G1103)+1)</f>
        <v/>
      </c>
      <c r="I1103" s="11">
        <f>IF($G1103="","",IF($H1103&lt;=Points!$H$6,$G1103,0))</f>
        <v/>
      </c>
      <c r="J1103" s="11">
        <f>IF($B1103="","",IF(COUNTIF(Players!$A$2:$A$500,$B1103)=0,"Player is not on the Players tab",IF(NOT(ISNUMBER($C1103)),"Enter a gross score",IF(COUNTIFS($A$5:$A$1668,$A1103,$B$5:$B$1668,$B1103)&gt;1,"Player is listed twice this week",IF(AND($D1103&lt;&gt;"",COUNTIFS($A$5:$A$1668,$A1103,$D$5:$D$1668,$D1103)&gt;1),"Two players picked as "&amp;$D1103,IF(COUNTIFS($A$5:$A$1668,$A1103,$D$5:$D$1668,"Gross winner")=0,"Pick this week's gross winner",IF(COUNTIFS($A$5:$A$1668,$A1103,$D$5:$D$1668,"Net winner")=0,"Pick this week's net winner","OK")))))))</f>
        <v/>
      </c>
    </row>
    <row r="1104" outlineLevel="1">
      <c r="A1104" s="13" t="n">
        <v>46631</v>
      </c>
      <c r="E1104" s="11">
        <f>IF(OR($B1104="",NOT(ISNUMBER($C1104))),"",COUNTIFS($A$5:$A$1668,$A1104,$C$5:$C$1668,"&lt;"&amp;$C1104)+1)</f>
        <v/>
      </c>
      <c r="F1104" s="11">
        <f>IF(OR($B1104="",NOT(ISNUMBER($C1104))),"",COUNTIFS($A$5:$A$1668,$A1104,$C$5:$C$1668,"&gt;0"))</f>
        <v/>
      </c>
      <c r="G1104" s="11">
        <f>IF(OR($B1104="",NOT(ISNUMBER($C1104))),"",IF($D1104&lt;&gt;"",ROUND(Points!$B$6*IF($F1104&lt;Points!$H$4,Points!$H$5,1),0),ROUND(Points!$B$6*IF($F1104&lt;=1,1,Points!$H$7+(1-Points!$H$7)*((($F1104-$E1104)*(($F1104-$E1104)+1)/2)^2-((($F1104-$E1104-COUNTIFS($A$5:$A$1668,$A1104,$C$5:$C$1668,$C1104)+1)-1)*($F1104-$E1104-COUNTIFS($A$5:$A$1668,$A1104,$C$5:$C$1668,$C1104)+1)/2)^2)/(COUNTIFS($A$5:$A$1668,$A1104,$C$5:$C$1668,$C1104)*($F1104-1)^3))*IF($F1104&lt;Points!$H$4,Points!$H$5,1),0)))</f>
        <v/>
      </c>
      <c r="H1104" s="11">
        <f>IF($G1104="","",COUNTIFS($B$5:$B$1668,$B1104,$G$5:$G$1668,"&gt;"&amp;$G1104)+COUNTIFS($B$4:$B1103,$B1104,$G$4:$G1103,$G1104)+1)</f>
        <v/>
      </c>
      <c r="I1104" s="11">
        <f>IF($G1104="","",IF($H1104&lt;=Points!$H$6,$G1104,0))</f>
        <v/>
      </c>
      <c r="J1104" s="11">
        <f>IF($B1104="","",IF(COUNTIF(Players!$A$2:$A$500,$B1104)=0,"Player is not on the Players tab",IF(NOT(ISNUMBER($C1104)),"Enter a gross score",IF(COUNTIFS($A$5:$A$1668,$A1104,$B$5:$B$1668,$B1104)&gt;1,"Player is listed twice this week",IF(AND($D1104&lt;&gt;"",COUNTIFS($A$5:$A$1668,$A1104,$D$5:$D$1668,$D1104)&gt;1),"Two players picked as "&amp;$D1104,IF(COUNTIFS($A$5:$A$1668,$A1104,$D$5:$D$1668,"Gross winner")=0,"Pick this week's gross winner",IF(COUNTIFS($A$5:$A$1668,$A1104,$D$5:$D$1668,"Net winner")=0,"Pick this week's net winner","OK")))))))</f>
        <v/>
      </c>
    </row>
    <row r="1105" outlineLevel="1">
      <c r="A1105" s="13" t="n">
        <v>46631</v>
      </c>
      <c r="E1105" s="11">
        <f>IF(OR($B1105="",NOT(ISNUMBER($C1105))),"",COUNTIFS($A$5:$A$1668,$A1105,$C$5:$C$1668,"&lt;"&amp;$C1105)+1)</f>
        <v/>
      </c>
      <c r="F1105" s="11">
        <f>IF(OR($B1105="",NOT(ISNUMBER($C1105))),"",COUNTIFS($A$5:$A$1668,$A1105,$C$5:$C$1668,"&gt;0"))</f>
        <v/>
      </c>
      <c r="G1105" s="11">
        <f>IF(OR($B1105="",NOT(ISNUMBER($C1105))),"",IF($D1105&lt;&gt;"",ROUND(Points!$B$6*IF($F1105&lt;Points!$H$4,Points!$H$5,1),0),ROUND(Points!$B$6*IF($F1105&lt;=1,1,Points!$H$7+(1-Points!$H$7)*((($F1105-$E1105)*(($F1105-$E1105)+1)/2)^2-((($F1105-$E1105-COUNTIFS($A$5:$A$1668,$A1105,$C$5:$C$1668,$C1105)+1)-1)*($F1105-$E1105-COUNTIFS($A$5:$A$1668,$A1105,$C$5:$C$1668,$C1105)+1)/2)^2)/(COUNTIFS($A$5:$A$1668,$A1105,$C$5:$C$1668,$C1105)*($F1105-1)^3))*IF($F1105&lt;Points!$H$4,Points!$H$5,1),0)))</f>
        <v/>
      </c>
      <c r="H1105" s="11">
        <f>IF($G1105="","",COUNTIFS($B$5:$B$1668,$B1105,$G$5:$G$1668,"&gt;"&amp;$G1105)+COUNTIFS($B$4:$B1104,$B1105,$G$4:$G1104,$G1105)+1)</f>
        <v/>
      </c>
      <c r="I1105" s="11">
        <f>IF($G1105="","",IF($H1105&lt;=Points!$H$6,$G1105,0))</f>
        <v/>
      </c>
      <c r="J1105" s="11">
        <f>IF($B1105="","",IF(COUNTIF(Players!$A$2:$A$500,$B1105)=0,"Player is not on the Players tab",IF(NOT(ISNUMBER($C1105)),"Enter a gross score",IF(COUNTIFS($A$5:$A$1668,$A1105,$B$5:$B$1668,$B1105)&gt;1,"Player is listed twice this week",IF(AND($D1105&lt;&gt;"",COUNTIFS($A$5:$A$1668,$A1105,$D$5:$D$1668,$D1105)&gt;1),"Two players picked as "&amp;$D1105,IF(COUNTIFS($A$5:$A$1668,$A1105,$D$5:$D$1668,"Gross winner")=0,"Pick this week's gross winner",IF(COUNTIFS($A$5:$A$1668,$A1105,$D$5:$D$1668,"Net winner")=0,"Pick this week's net winner","OK")))))))</f>
        <v/>
      </c>
    </row>
    <row r="1106" outlineLevel="1">
      <c r="A1106" s="13" t="n">
        <v>46631</v>
      </c>
      <c r="E1106" s="11">
        <f>IF(OR($B1106="",NOT(ISNUMBER($C1106))),"",COUNTIFS($A$5:$A$1668,$A1106,$C$5:$C$1668,"&lt;"&amp;$C1106)+1)</f>
        <v/>
      </c>
      <c r="F1106" s="11">
        <f>IF(OR($B1106="",NOT(ISNUMBER($C1106))),"",COUNTIFS($A$5:$A$1668,$A1106,$C$5:$C$1668,"&gt;0"))</f>
        <v/>
      </c>
      <c r="G1106" s="11">
        <f>IF(OR($B1106="",NOT(ISNUMBER($C1106))),"",IF($D1106&lt;&gt;"",ROUND(Points!$B$6*IF($F1106&lt;Points!$H$4,Points!$H$5,1),0),ROUND(Points!$B$6*IF($F1106&lt;=1,1,Points!$H$7+(1-Points!$H$7)*((($F1106-$E1106)*(($F1106-$E1106)+1)/2)^2-((($F1106-$E1106-COUNTIFS($A$5:$A$1668,$A1106,$C$5:$C$1668,$C1106)+1)-1)*($F1106-$E1106-COUNTIFS($A$5:$A$1668,$A1106,$C$5:$C$1668,$C1106)+1)/2)^2)/(COUNTIFS($A$5:$A$1668,$A1106,$C$5:$C$1668,$C1106)*($F1106-1)^3))*IF($F1106&lt;Points!$H$4,Points!$H$5,1),0)))</f>
        <v/>
      </c>
      <c r="H1106" s="11">
        <f>IF($G1106="","",COUNTIFS($B$5:$B$1668,$B1106,$G$5:$G$1668,"&gt;"&amp;$G1106)+COUNTIFS($B$4:$B1105,$B1106,$G$4:$G1105,$G1106)+1)</f>
        <v/>
      </c>
      <c r="I1106" s="11">
        <f>IF($G1106="","",IF($H1106&lt;=Points!$H$6,$G1106,0))</f>
        <v/>
      </c>
      <c r="J1106" s="11">
        <f>IF($B1106="","",IF(COUNTIF(Players!$A$2:$A$500,$B1106)=0,"Player is not on the Players tab",IF(NOT(ISNUMBER($C1106)),"Enter a gross score",IF(COUNTIFS($A$5:$A$1668,$A1106,$B$5:$B$1668,$B1106)&gt;1,"Player is listed twice this week",IF(AND($D1106&lt;&gt;"",COUNTIFS($A$5:$A$1668,$A1106,$D$5:$D$1668,$D1106)&gt;1),"Two players picked as "&amp;$D1106,IF(COUNTIFS($A$5:$A$1668,$A1106,$D$5:$D$1668,"Gross winner")=0,"Pick this week's gross winner",IF(COUNTIFS($A$5:$A$1668,$A1106,$D$5:$D$1668,"Net winner")=0,"Pick this week's net winner","OK")))))))</f>
        <v/>
      </c>
    </row>
    <row r="1107" outlineLevel="1">
      <c r="A1107" s="13" t="n">
        <v>46631</v>
      </c>
      <c r="E1107" s="11">
        <f>IF(OR($B1107="",NOT(ISNUMBER($C1107))),"",COUNTIFS($A$5:$A$1668,$A1107,$C$5:$C$1668,"&lt;"&amp;$C1107)+1)</f>
        <v/>
      </c>
      <c r="F1107" s="11">
        <f>IF(OR($B1107="",NOT(ISNUMBER($C1107))),"",COUNTIFS($A$5:$A$1668,$A1107,$C$5:$C$1668,"&gt;0"))</f>
        <v/>
      </c>
      <c r="G1107" s="11">
        <f>IF(OR($B1107="",NOT(ISNUMBER($C1107))),"",IF($D1107&lt;&gt;"",ROUND(Points!$B$6*IF($F1107&lt;Points!$H$4,Points!$H$5,1),0),ROUND(Points!$B$6*IF($F1107&lt;=1,1,Points!$H$7+(1-Points!$H$7)*((($F1107-$E1107)*(($F1107-$E1107)+1)/2)^2-((($F1107-$E1107-COUNTIFS($A$5:$A$1668,$A1107,$C$5:$C$1668,$C1107)+1)-1)*($F1107-$E1107-COUNTIFS($A$5:$A$1668,$A1107,$C$5:$C$1668,$C1107)+1)/2)^2)/(COUNTIFS($A$5:$A$1668,$A1107,$C$5:$C$1668,$C1107)*($F1107-1)^3))*IF($F1107&lt;Points!$H$4,Points!$H$5,1),0)))</f>
        <v/>
      </c>
      <c r="H1107" s="11">
        <f>IF($G1107="","",COUNTIFS($B$5:$B$1668,$B1107,$G$5:$G$1668,"&gt;"&amp;$G1107)+COUNTIFS($B$4:$B1106,$B1107,$G$4:$G1106,$G1107)+1)</f>
        <v/>
      </c>
      <c r="I1107" s="11">
        <f>IF($G1107="","",IF($H1107&lt;=Points!$H$6,$G1107,0))</f>
        <v/>
      </c>
      <c r="J1107" s="11">
        <f>IF($B1107="","",IF(COUNTIF(Players!$A$2:$A$500,$B1107)=0,"Player is not on the Players tab",IF(NOT(ISNUMBER($C1107)),"Enter a gross score",IF(COUNTIFS($A$5:$A$1668,$A1107,$B$5:$B$1668,$B1107)&gt;1,"Player is listed twice this week",IF(AND($D1107&lt;&gt;"",COUNTIFS($A$5:$A$1668,$A1107,$D$5:$D$1668,$D1107)&gt;1),"Two players picked as "&amp;$D1107,IF(COUNTIFS($A$5:$A$1668,$A1107,$D$5:$D$1668,"Gross winner")=0,"Pick this week's gross winner",IF(COUNTIFS($A$5:$A$1668,$A1107,$D$5:$D$1668,"Net winner")=0,"Pick this week's net winner","OK")))))))</f>
        <v/>
      </c>
    </row>
    <row r="1108" outlineLevel="1">
      <c r="A1108" s="13" t="n">
        <v>46631</v>
      </c>
      <c r="E1108" s="11">
        <f>IF(OR($B1108="",NOT(ISNUMBER($C1108))),"",COUNTIFS($A$5:$A$1668,$A1108,$C$5:$C$1668,"&lt;"&amp;$C1108)+1)</f>
        <v/>
      </c>
      <c r="F1108" s="11">
        <f>IF(OR($B1108="",NOT(ISNUMBER($C1108))),"",COUNTIFS($A$5:$A$1668,$A1108,$C$5:$C$1668,"&gt;0"))</f>
        <v/>
      </c>
      <c r="G1108" s="11">
        <f>IF(OR($B1108="",NOT(ISNUMBER($C1108))),"",IF($D1108&lt;&gt;"",ROUND(Points!$B$6*IF($F1108&lt;Points!$H$4,Points!$H$5,1),0),ROUND(Points!$B$6*IF($F1108&lt;=1,1,Points!$H$7+(1-Points!$H$7)*((($F1108-$E1108)*(($F1108-$E1108)+1)/2)^2-((($F1108-$E1108-COUNTIFS($A$5:$A$1668,$A1108,$C$5:$C$1668,$C1108)+1)-1)*($F1108-$E1108-COUNTIFS($A$5:$A$1668,$A1108,$C$5:$C$1668,$C1108)+1)/2)^2)/(COUNTIFS($A$5:$A$1668,$A1108,$C$5:$C$1668,$C1108)*($F1108-1)^3))*IF($F1108&lt;Points!$H$4,Points!$H$5,1),0)))</f>
        <v/>
      </c>
      <c r="H1108" s="11">
        <f>IF($G1108="","",COUNTIFS($B$5:$B$1668,$B1108,$G$5:$G$1668,"&gt;"&amp;$G1108)+COUNTIFS($B$4:$B1107,$B1108,$G$4:$G1107,$G1108)+1)</f>
        <v/>
      </c>
      <c r="I1108" s="11">
        <f>IF($G1108="","",IF($H1108&lt;=Points!$H$6,$G1108,0))</f>
        <v/>
      </c>
      <c r="J1108" s="11">
        <f>IF($B1108="","",IF(COUNTIF(Players!$A$2:$A$500,$B1108)=0,"Player is not on the Players tab",IF(NOT(ISNUMBER($C1108)),"Enter a gross score",IF(COUNTIFS($A$5:$A$1668,$A1108,$B$5:$B$1668,$B1108)&gt;1,"Player is listed twice this week",IF(AND($D1108&lt;&gt;"",COUNTIFS($A$5:$A$1668,$A1108,$D$5:$D$1668,$D1108)&gt;1),"Two players picked as "&amp;$D1108,IF(COUNTIFS($A$5:$A$1668,$A1108,$D$5:$D$1668,"Gross winner")=0,"Pick this week's gross winner",IF(COUNTIFS($A$5:$A$1668,$A1108,$D$5:$D$1668,"Net winner")=0,"Pick this week's net winner","OK")))))))</f>
        <v/>
      </c>
    </row>
    <row r="1109" outlineLevel="1">
      <c r="A1109" s="13" t="n">
        <v>46631</v>
      </c>
      <c r="E1109" s="11">
        <f>IF(OR($B1109="",NOT(ISNUMBER($C1109))),"",COUNTIFS($A$5:$A$1668,$A1109,$C$5:$C$1668,"&lt;"&amp;$C1109)+1)</f>
        <v/>
      </c>
      <c r="F1109" s="11">
        <f>IF(OR($B1109="",NOT(ISNUMBER($C1109))),"",COUNTIFS($A$5:$A$1668,$A1109,$C$5:$C$1668,"&gt;0"))</f>
        <v/>
      </c>
      <c r="G1109" s="11">
        <f>IF(OR($B1109="",NOT(ISNUMBER($C1109))),"",IF($D1109&lt;&gt;"",ROUND(Points!$B$6*IF($F1109&lt;Points!$H$4,Points!$H$5,1),0),ROUND(Points!$B$6*IF($F1109&lt;=1,1,Points!$H$7+(1-Points!$H$7)*((($F1109-$E1109)*(($F1109-$E1109)+1)/2)^2-((($F1109-$E1109-COUNTIFS($A$5:$A$1668,$A1109,$C$5:$C$1668,$C1109)+1)-1)*($F1109-$E1109-COUNTIFS($A$5:$A$1668,$A1109,$C$5:$C$1668,$C1109)+1)/2)^2)/(COUNTIFS($A$5:$A$1668,$A1109,$C$5:$C$1668,$C1109)*($F1109-1)^3))*IF($F1109&lt;Points!$H$4,Points!$H$5,1),0)))</f>
        <v/>
      </c>
      <c r="H1109" s="11">
        <f>IF($G1109="","",COUNTIFS($B$5:$B$1668,$B1109,$G$5:$G$1668,"&gt;"&amp;$G1109)+COUNTIFS($B$4:$B1108,$B1109,$G$4:$G1108,$G1109)+1)</f>
        <v/>
      </c>
      <c r="I1109" s="11">
        <f>IF($G1109="","",IF($H1109&lt;=Points!$H$6,$G1109,0))</f>
        <v/>
      </c>
      <c r="J1109" s="11">
        <f>IF($B1109="","",IF(COUNTIF(Players!$A$2:$A$500,$B1109)=0,"Player is not on the Players tab",IF(NOT(ISNUMBER($C1109)),"Enter a gross score",IF(COUNTIFS($A$5:$A$1668,$A1109,$B$5:$B$1668,$B1109)&gt;1,"Player is listed twice this week",IF(AND($D1109&lt;&gt;"",COUNTIFS($A$5:$A$1668,$A1109,$D$5:$D$1668,$D1109)&gt;1),"Two players picked as "&amp;$D1109,IF(COUNTIFS($A$5:$A$1668,$A1109,$D$5:$D$1668,"Gross winner")=0,"Pick this week's gross winner",IF(COUNTIFS($A$5:$A$1668,$A1109,$D$5:$D$1668,"Net winner")=0,"Pick this week's net winner","OK")))))))</f>
        <v/>
      </c>
    </row>
    <row r="1110" outlineLevel="1">
      <c r="A1110" s="13" t="n">
        <v>46631</v>
      </c>
      <c r="E1110" s="11">
        <f>IF(OR($B1110="",NOT(ISNUMBER($C1110))),"",COUNTIFS($A$5:$A$1668,$A1110,$C$5:$C$1668,"&lt;"&amp;$C1110)+1)</f>
        <v/>
      </c>
      <c r="F1110" s="11">
        <f>IF(OR($B1110="",NOT(ISNUMBER($C1110))),"",COUNTIFS($A$5:$A$1668,$A1110,$C$5:$C$1668,"&gt;0"))</f>
        <v/>
      </c>
      <c r="G1110" s="11">
        <f>IF(OR($B1110="",NOT(ISNUMBER($C1110))),"",IF($D1110&lt;&gt;"",ROUND(Points!$B$6*IF($F1110&lt;Points!$H$4,Points!$H$5,1),0),ROUND(Points!$B$6*IF($F1110&lt;=1,1,Points!$H$7+(1-Points!$H$7)*((($F1110-$E1110)*(($F1110-$E1110)+1)/2)^2-((($F1110-$E1110-COUNTIFS($A$5:$A$1668,$A1110,$C$5:$C$1668,$C1110)+1)-1)*($F1110-$E1110-COUNTIFS($A$5:$A$1668,$A1110,$C$5:$C$1668,$C1110)+1)/2)^2)/(COUNTIFS($A$5:$A$1668,$A1110,$C$5:$C$1668,$C1110)*($F1110-1)^3))*IF($F1110&lt;Points!$H$4,Points!$H$5,1),0)))</f>
        <v/>
      </c>
      <c r="H1110" s="11">
        <f>IF($G1110="","",COUNTIFS($B$5:$B$1668,$B1110,$G$5:$G$1668,"&gt;"&amp;$G1110)+COUNTIFS($B$4:$B1109,$B1110,$G$4:$G1109,$G1110)+1)</f>
        <v/>
      </c>
      <c r="I1110" s="11">
        <f>IF($G1110="","",IF($H1110&lt;=Points!$H$6,$G1110,0))</f>
        <v/>
      </c>
      <c r="J1110" s="11">
        <f>IF($B1110="","",IF(COUNTIF(Players!$A$2:$A$500,$B1110)=0,"Player is not on the Players tab",IF(NOT(ISNUMBER($C1110)),"Enter a gross score",IF(COUNTIFS($A$5:$A$1668,$A1110,$B$5:$B$1668,$B1110)&gt;1,"Player is listed twice this week",IF(AND($D1110&lt;&gt;"",COUNTIFS($A$5:$A$1668,$A1110,$D$5:$D$1668,$D1110)&gt;1),"Two players picked as "&amp;$D1110,IF(COUNTIFS($A$5:$A$1668,$A1110,$D$5:$D$1668,"Gross winner")=0,"Pick this week's gross winner",IF(COUNTIFS($A$5:$A$1668,$A1110,$D$5:$D$1668,"Net winner")=0,"Pick this week's net winner","OK")))))))</f>
        <v/>
      </c>
    </row>
    <row r="1111" outlineLevel="1">
      <c r="A1111" s="13" t="n">
        <v>46631</v>
      </c>
      <c r="E1111" s="11">
        <f>IF(OR($B1111="",NOT(ISNUMBER($C1111))),"",COUNTIFS($A$5:$A$1668,$A1111,$C$5:$C$1668,"&lt;"&amp;$C1111)+1)</f>
        <v/>
      </c>
      <c r="F1111" s="11">
        <f>IF(OR($B1111="",NOT(ISNUMBER($C1111))),"",COUNTIFS($A$5:$A$1668,$A1111,$C$5:$C$1668,"&gt;0"))</f>
        <v/>
      </c>
      <c r="G1111" s="11">
        <f>IF(OR($B1111="",NOT(ISNUMBER($C1111))),"",IF($D1111&lt;&gt;"",ROUND(Points!$B$6*IF($F1111&lt;Points!$H$4,Points!$H$5,1),0),ROUND(Points!$B$6*IF($F1111&lt;=1,1,Points!$H$7+(1-Points!$H$7)*((($F1111-$E1111)*(($F1111-$E1111)+1)/2)^2-((($F1111-$E1111-COUNTIFS($A$5:$A$1668,$A1111,$C$5:$C$1668,$C1111)+1)-1)*($F1111-$E1111-COUNTIFS($A$5:$A$1668,$A1111,$C$5:$C$1668,$C1111)+1)/2)^2)/(COUNTIFS($A$5:$A$1668,$A1111,$C$5:$C$1668,$C1111)*($F1111-1)^3))*IF($F1111&lt;Points!$H$4,Points!$H$5,1),0)))</f>
        <v/>
      </c>
      <c r="H1111" s="11">
        <f>IF($G1111="","",COUNTIFS($B$5:$B$1668,$B1111,$G$5:$G$1668,"&gt;"&amp;$G1111)+COUNTIFS($B$4:$B1110,$B1111,$G$4:$G1110,$G1111)+1)</f>
        <v/>
      </c>
      <c r="I1111" s="11">
        <f>IF($G1111="","",IF($H1111&lt;=Points!$H$6,$G1111,0))</f>
        <v/>
      </c>
      <c r="J1111" s="11">
        <f>IF($B1111="","",IF(COUNTIF(Players!$A$2:$A$500,$B1111)=0,"Player is not on the Players tab",IF(NOT(ISNUMBER($C1111)),"Enter a gross score",IF(COUNTIFS($A$5:$A$1668,$A1111,$B$5:$B$1668,$B1111)&gt;1,"Player is listed twice this week",IF(AND($D1111&lt;&gt;"",COUNTIFS($A$5:$A$1668,$A1111,$D$5:$D$1668,$D1111)&gt;1),"Two players picked as "&amp;$D1111,IF(COUNTIFS($A$5:$A$1668,$A1111,$D$5:$D$1668,"Gross winner")=0,"Pick this week's gross winner",IF(COUNTIFS($A$5:$A$1668,$A1111,$D$5:$D$1668,"Net winner")=0,"Pick this week's net winner","OK")))))))</f>
        <v/>
      </c>
    </row>
    <row r="1112" outlineLevel="1">
      <c r="A1112" s="13" t="n">
        <v>46631</v>
      </c>
      <c r="E1112" s="11">
        <f>IF(OR($B1112="",NOT(ISNUMBER($C1112))),"",COUNTIFS($A$5:$A$1668,$A1112,$C$5:$C$1668,"&lt;"&amp;$C1112)+1)</f>
        <v/>
      </c>
      <c r="F1112" s="11">
        <f>IF(OR($B1112="",NOT(ISNUMBER($C1112))),"",COUNTIFS($A$5:$A$1668,$A1112,$C$5:$C$1668,"&gt;0"))</f>
        <v/>
      </c>
      <c r="G1112" s="11">
        <f>IF(OR($B1112="",NOT(ISNUMBER($C1112))),"",IF($D1112&lt;&gt;"",ROUND(Points!$B$6*IF($F1112&lt;Points!$H$4,Points!$H$5,1),0),ROUND(Points!$B$6*IF($F1112&lt;=1,1,Points!$H$7+(1-Points!$H$7)*((($F1112-$E1112)*(($F1112-$E1112)+1)/2)^2-((($F1112-$E1112-COUNTIFS($A$5:$A$1668,$A1112,$C$5:$C$1668,$C1112)+1)-1)*($F1112-$E1112-COUNTIFS($A$5:$A$1668,$A1112,$C$5:$C$1668,$C1112)+1)/2)^2)/(COUNTIFS($A$5:$A$1668,$A1112,$C$5:$C$1668,$C1112)*($F1112-1)^3))*IF($F1112&lt;Points!$H$4,Points!$H$5,1),0)))</f>
        <v/>
      </c>
      <c r="H1112" s="11">
        <f>IF($G1112="","",COUNTIFS($B$5:$B$1668,$B1112,$G$5:$G$1668,"&gt;"&amp;$G1112)+COUNTIFS($B$4:$B1111,$B1112,$G$4:$G1111,$G1112)+1)</f>
        <v/>
      </c>
      <c r="I1112" s="11">
        <f>IF($G1112="","",IF($H1112&lt;=Points!$H$6,$G1112,0))</f>
        <v/>
      </c>
      <c r="J1112" s="11">
        <f>IF($B1112="","",IF(COUNTIF(Players!$A$2:$A$500,$B1112)=0,"Player is not on the Players tab",IF(NOT(ISNUMBER($C1112)),"Enter a gross score",IF(COUNTIFS($A$5:$A$1668,$A1112,$B$5:$B$1668,$B1112)&gt;1,"Player is listed twice this week",IF(AND($D1112&lt;&gt;"",COUNTIFS($A$5:$A$1668,$A1112,$D$5:$D$1668,$D1112)&gt;1),"Two players picked as "&amp;$D1112,IF(COUNTIFS($A$5:$A$1668,$A1112,$D$5:$D$1668,"Gross winner")=0,"Pick this week's gross winner",IF(COUNTIFS($A$5:$A$1668,$A1112,$D$5:$D$1668,"Net winner")=0,"Pick this week's net winner","OK")))))))</f>
        <v/>
      </c>
    </row>
    <row r="1113" outlineLevel="1">
      <c r="A1113" s="13" t="n">
        <v>46631</v>
      </c>
      <c r="E1113" s="11">
        <f>IF(OR($B1113="",NOT(ISNUMBER($C1113))),"",COUNTIFS($A$5:$A$1668,$A1113,$C$5:$C$1668,"&lt;"&amp;$C1113)+1)</f>
        <v/>
      </c>
      <c r="F1113" s="11">
        <f>IF(OR($B1113="",NOT(ISNUMBER($C1113))),"",COUNTIFS($A$5:$A$1668,$A1113,$C$5:$C$1668,"&gt;0"))</f>
        <v/>
      </c>
      <c r="G1113" s="11">
        <f>IF(OR($B1113="",NOT(ISNUMBER($C1113))),"",IF($D1113&lt;&gt;"",ROUND(Points!$B$6*IF($F1113&lt;Points!$H$4,Points!$H$5,1),0),ROUND(Points!$B$6*IF($F1113&lt;=1,1,Points!$H$7+(1-Points!$H$7)*((($F1113-$E1113)*(($F1113-$E1113)+1)/2)^2-((($F1113-$E1113-COUNTIFS($A$5:$A$1668,$A1113,$C$5:$C$1668,$C1113)+1)-1)*($F1113-$E1113-COUNTIFS($A$5:$A$1668,$A1113,$C$5:$C$1668,$C1113)+1)/2)^2)/(COUNTIFS($A$5:$A$1668,$A1113,$C$5:$C$1668,$C1113)*($F1113-1)^3))*IF($F1113&lt;Points!$H$4,Points!$H$5,1),0)))</f>
        <v/>
      </c>
      <c r="H1113" s="11">
        <f>IF($G1113="","",COUNTIFS($B$5:$B$1668,$B1113,$G$5:$G$1668,"&gt;"&amp;$G1113)+COUNTIFS($B$4:$B1112,$B1113,$G$4:$G1112,$G1113)+1)</f>
        <v/>
      </c>
      <c r="I1113" s="11">
        <f>IF($G1113="","",IF($H1113&lt;=Points!$H$6,$G1113,0))</f>
        <v/>
      </c>
      <c r="J1113" s="11">
        <f>IF($B1113="","",IF(COUNTIF(Players!$A$2:$A$500,$B1113)=0,"Player is not on the Players tab",IF(NOT(ISNUMBER($C1113)),"Enter a gross score",IF(COUNTIFS($A$5:$A$1668,$A1113,$B$5:$B$1668,$B1113)&gt;1,"Player is listed twice this week",IF(AND($D1113&lt;&gt;"",COUNTIFS($A$5:$A$1668,$A1113,$D$5:$D$1668,$D1113)&gt;1),"Two players picked as "&amp;$D1113,IF(COUNTIFS($A$5:$A$1668,$A1113,$D$5:$D$1668,"Gross winner")=0,"Pick this week's gross winner",IF(COUNTIFS($A$5:$A$1668,$A1113,$D$5:$D$1668,"Net winner")=0,"Pick this week's net winner","OK")))))))</f>
        <v/>
      </c>
    </row>
    <row r="1114" outlineLevel="1">
      <c r="A1114" s="13" t="n">
        <v>46631</v>
      </c>
      <c r="E1114" s="11">
        <f>IF(OR($B1114="",NOT(ISNUMBER($C1114))),"",COUNTIFS($A$5:$A$1668,$A1114,$C$5:$C$1668,"&lt;"&amp;$C1114)+1)</f>
        <v/>
      </c>
      <c r="F1114" s="11">
        <f>IF(OR($B1114="",NOT(ISNUMBER($C1114))),"",COUNTIFS($A$5:$A$1668,$A1114,$C$5:$C$1668,"&gt;0"))</f>
        <v/>
      </c>
      <c r="G1114" s="11">
        <f>IF(OR($B1114="",NOT(ISNUMBER($C1114))),"",IF($D1114&lt;&gt;"",ROUND(Points!$B$6*IF($F1114&lt;Points!$H$4,Points!$H$5,1),0),ROUND(Points!$B$6*IF($F1114&lt;=1,1,Points!$H$7+(1-Points!$H$7)*((($F1114-$E1114)*(($F1114-$E1114)+1)/2)^2-((($F1114-$E1114-COUNTIFS($A$5:$A$1668,$A1114,$C$5:$C$1668,$C1114)+1)-1)*($F1114-$E1114-COUNTIFS($A$5:$A$1668,$A1114,$C$5:$C$1668,$C1114)+1)/2)^2)/(COUNTIFS($A$5:$A$1668,$A1114,$C$5:$C$1668,$C1114)*($F1114-1)^3))*IF($F1114&lt;Points!$H$4,Points!$H$5,1),0)))</f>
        <v/>
      </c>
      <c r="H1114" s="11">
        <f>IF($G1114="","",COUNTIFS($B$5:$B$1668,$B1114,$G$5:$G$1668,"&gt;"&amp;$G1114)+COUNTIFS($B$4:$B1113,$B1114,$G$4:$G1113,$G1114)+1)</f>
        <v/>
      </c>
      <c r="I1114" s="11">
        <f>IF($G1114="","",IF($H1114&lt;=Points!$H$6,$G1114,0))</f>
        <v/>
      </c>
      <c r="J1114" s="11">
        <f>IF($B1114="","",IF(COUNTIF(Players!$A$2:$A$500,$B1114)=0,"Player is not on the Players tab",IF(NOT(ISNUMBER($C1114)),"Enter a gross score",IF(COUNTIFS($A$5:$A$1668,$A1114,$B$5:$B$1668,$B1114)&gt;1,"Player is listed twice this week",IF(AND($D1114&lt;&gt;"",COUNTIFS($A$5:$A$1668,$A1114,$D$5:$D$1668,$D1114)&gt;1),"Two players picked as "&amp;$D1114,IF(COUNTIFS($A$5:$A$1668,$A1114,$D$5:$D$1668,"Gross winner")=0,"Pick this week's gross winner",IF(COUNTIFS($A$5:$A$1668,$A1114,$D$5:$D$1668,"Net winner")=0,"Pick this week's net winner","OK")))))))</f>
        <v/>
      </c>
    </row>
    <row r="1115" outlineLevel="1">
      <c r="A1115" s="13" t="n">
        <v>46631</v>
      </c>
      <c r="E1115" s="11">
        <f>IF(OR($B1115="",NOT(ISNUMBER($C1115))),"",COUNTIFS($A$5:$A$1668,$A1115,$C$5:$C$1668,"&lt;"&amp;$C1115)+1)</f>
        <v/>
      </c>
      <c r="F1115" s="11">
        <f>IF(OR($B1115="",NOT(ISNUMBER($C1115))),"",COUNTIFS($A$5:$A$1668,$A1115,$C$5:$C$1668,"&gt;0"))</f>
        <v/>
      </c>
      <c r="G1115" s="11">
        <f>IF(OR($B1115="",NOT(ISNUMBER($C1115))),"",IF($D1115&lt;&gt;"",ROUND(Points!$B$6*IF($F1115&lt;Points!$H$4,Points!$H$5,1),0),ROUND(Points!$B$6*IF($F1115&lt;=1,1,Points!$H$7+(1-Points!$H$7)*((($F1115-$E1115)*(($F1115-$E1115)+1)/2)^2-((($F1115-$E1115-COUNTIFS($A$5:$A$1668,$A1115,$C$5:$C$1668,$C1115)+1)-1)*($F1115-$E1115-COUNTIFS($A$5:$A$1668,$A1115,$C$5:$C$1668,$C1115)+1)/2)^2)/(COUNTIFS($A$5:$A$1668,$A1115,$C$5:$C$1668,$C1115)*($F1115-1)^3))*IF($F1115&lt;Points!$H$4,Points!$H$5,1),0)))</f>
        <v/>
      </c>
      <c r="H1115" s="11">
        <f>IF($G1115="","",COUNTIFS($B$5:$B$1668,$B1115,$G$5:$G$1668,"&gt;"&amp;$G1115)+COUNTIFS($B$4:$B1114,$B1115,$G$4:$G1114,$G1115)+1)</f>
        <v/>
      </c>
      <c r="I1115" s="11">
        <f>IF($G1115="","",IF($H1115&lt;=Points!$H$6,$G1115,0))</f>
        <v/>
      </c>
      <c r="J1115" s="11">
        <f>IF($B1115="","",IF(COUNTIF(Players!$A$2:$A$500,$B1115)=0,"Player is not on the Players tab",IF(NOT(ISNUMBER($C1115)),"Enter a gross score",IF(COUNTIFS($A$5:$A$1668,$A1115,$B$5:$B$1668,$B1115)&gt;1,"Player is listed twice this week",IF(AND($D1115&lt;&gt;"",COUNTIFS($A$5:$A$1668,$A1115,$D$5:$D$1668,$D1115)&gt;1),"Two players picked as "&amp;$D1115,IF(COUNTIFS($A$5:$A$1668,$A1115,$D$5:$D$1668,"Gross winner")=0,"Pick this week's gross winner",IF(COUNTIFS($A$5:$A$1668,$A1115,$D$5:$D$1668,"Net winner")=0,"Pick this week's net winner","OK")))))))</f>
        <v/>
      </c>
    </row>
    <row r="1116" outlineLevel="1">
      <c r="A1116" s="13" t="n">
        <v>46631</v>
      </c>
      <c r="E1116" s="11">
        <f>IF(OR($B1116="",NOT(ISNUMBER($C1116))),"",COUNTIFS($A$5:$A$1668,$A1116,$C$5:$C$1668,"&lt;"&amp;$C1116)+1)</f>
        <v/>
      </c>
      <c r="F1116" s="11">
        <f>IF(OR($B1116="",NOT(ISNUMBER($C1116))),"",COUNTIFS($A$5:$A$1668,$A1116,$C$5:$C$1668,"&gt;0"))</f>
        <v/>
      </c>
      <c r="G1116" s="11">
        <f>IF(OR($B1116="",NOT(ISNUMBER($C1116))),"",IF($D1116&lt;&gt;"",ROUND(Points!$B$6*IF($F1116&lt;Points!$H$4,Points!$H$5,1),0),ROUND(Points!$B$6*IF($F1116&lt;=1,1,Points!$H$7+(1-Points!$H$7)*((($F1116-$E1116)*(($F1116-$E1116)+1)/2)^2-((($F1116-$E1116-COUNTIFS($A$5:$A$1668,$A1116,$C$5:$C$1668,$C1116)+1)-1)*($F1116-$E1116-COUNTIFS($A$5:$A$1668,$A1116,$C$5:$C$1668,$C1116)+1)/2)^2)/(COUNTIFS($A$5:$A$1668,$A1116,$C$5:$C$1668,$C1116)*($F1116-1)^3))*IF($F1116&lt;Points!$H$4,Points!$H$5,1),0)))</f>
        <v/>
      </c>
      <c r="H1116" s="11">
        <f>IF($G1116="","",COUNTIFS($B$5:$B$1668,$B1116,$G$5:$G$1668,"&gt;"&amp;$G1116)+COUNTIFS($B$4:$B1115,$B1116,$G$4:$G1115,$G1116)+1)</f>
        <v/>
      </c>
      <c r="I1116" s="11">
        <f>IF($G1116="","",IF($H1116&lt;=Points!$H$6,$G1116,0))</f>
        <v/>
      </c>
      <c r="J1116" s="11">
        <f>IF($B1116="","",IF(COUNTIF(Players!$A$2:$A$500,$B1116)=0,"Player is not on the Players tab",IF(NOT(ISNUMBER($C1116)),"Enter a gross score",IF(COUNTIFS($A$5:$A$1668,$A1116,$B$5:$B$1668,$B1116)&gt;1,"Player is listed twice this week",IF(AND($D1116&lt;&gt;"",COUNTIFS($A$5:$A$1668,$A1116,$D$5:$D$1668,$D1116)&gt;1),"Two players picked as "&amp;$D1116,IF(COUNTIFS($A$5:$A$1668,$A1116,$D$5:$D$1668,"Gross winner")=0,"Pick this week's gross winner",IF(COUNTIFS($A$5:$A$1668,$A1116,$D$5:$D$1668,"Net winner")=0,"Pick this week's net winner","OK")))))))</f>
        <v/>
      </c>
    </row>
    <row r="1117" outlineLevel="1">
      <c r="A1117" s="13" t="n">
        <v>46631</v>
      </c>
      <c r="E1117" s="11">
        <f>IF(OR($B1117="",NOT(ISNUMBER($C1117))),"",COUNTIFS($A$5:$A$1668,$A1117,$C$5:$C$1668,"&lt;"&amp;$C1117)+1)</f>
        <v/>
      </c>
      <c r="F1117" s="11">
        <f>IF(OR($B1117="",NOT(ISNUMBER($C1117))),"",COUNTIFS($A$5:$A$1668,$A1117,$C$5:$C$1668,"&gt;0"))</f>
        <v/>
      </c>
      <c r="G1117" s="11">
        <f>IF(OR($B1117="",NOT(ISNUMBER($C1117))),"",IF($D1117&lt;&gt;"",ROUND(Points!$B$6*IF($F1117&lt;Points!$H$4,Points!$H$5,1),0),ROUND(Points!$B$6*IF($F1117&lt;=1,1,Points!$H$7+(1-Points!$H$7)*((($F1117-$E1117)*(($F1117-$E1117)+1)/2)^2-((($F1117-$E1117-COUNTIFS($A$5:$A$1668,$A1117,$C$5:$C$1668,$C1117)+1)-1)*($F1117-$E1117-COUNTIFS($A$5:$A$1668,$A1117,$C$5:$C$1668,$C1117)+1)/2)^2)/(COUNTIFS($A$5:$A$1668,$A1117,$C$5:$C$1668,$C1117)*($F1117-1)^3))*IF($F1117&lt;Points!$H$4,Points!$H$5,1),0)))</f>
        <v/>
      </c>
      <c r="H1117" s="11">
        <f>IF($G1117="","",COUNTIFS($B$5:$B$1668,$B1117,$G$5:$G$1668,"&gt;"&amp;$G1117)+COUNTIFS($B$4:$B1116,$B1117,$G$4:$G1116,$G1117)+1)</f>
        <v/>
      </c>
      <c r="I1117" s="11">
        <f>IF($G1117="","",IF($H1117&lt;=Points!$H$6,$G1117,0))</f>
        <v/>
      </c>
      <c r="J1117" s="11">
        <f>IF($B1117="","",IF(COUNTIF(Players!$A$2:$A$500,$B1117)=0,"Player is not on the Players tab",IF(NOT(ISNUMBER($C1117)),"Enter a gross score",IF(COUNTIFS($A$5:$A$1668,$A1117,$B$5:$B$1668,$B1117)&gt;1,"Player is listed twice this week",IF(AND($D1117&lt;&gt;"",COUNTIFS($A$5:$A$1668,$A1117,$D$5:$D$1668,$D1117)&gt;1),"Two players picked as "&amp;$D1117,IF(COUNTIFS($A$5:$A$1668,$A1117,$D$5:$D$1668,"Gross winner")=0,"Pick this week's gross winner",IF(COUNTIFS($A$5:$A$1668,$A1117,$D$5:$D$1668,"Net winner")=0,"Pick this week's net winner","OK")))))))</f>
        <v/>
      </c>
    </row>
    <row r="1118" outlineLevel="1">
      <c r="A1118" s="13" t="n">
        <v>46631</v>
      </c>
      <c r="E1118" s="11">
        <f>IF(OR($B1118="",NOT(ISNUMBER($C1118))),"",COUNTIFS($A$5:$A$1668,$A1118,$C$5:$C$1668,"&lt;"&amp;$C1118)+1)</f>
        <v/>
      </c>
      <c r="F1118" s="11">
        <f>IF(OR($B1118="",NOT(ISNUMBER($C1118))),"",COUNTIFS($A$5:$A$1668,$A1118,$C$5:$C$1668,"&gt;0"))</f>
        <v/>
      </c>
      <c r="G1118" s="11">
        <f>IF(OR($B1118="",NOT(ISNUMBER($C1118))),"",IF($D1118&lt;&gt;"",ROUND(Points!$B$6*IF($F1118&lt;Points!$H$4,Points!$H$5,1),0),ROUND(Points!$B$6*IF($F1118&lt;=1,1,Points!$H$7+(1-Points!$H$7)*((($F1118-$E1118)*(($F1118-$E1118)+1)/2)^2-((($F1118-$E1118-COUNTIFS($A$5:$A$1668,$A1118,$C$5:$C$1668,$C1118)+1)-1)*($F1118-$E1118-COUNTIFS($A$5:$A$1668,$A1118,$C$5:$C$1668,$C1118)+1)/2)^2)/(COUNTIFS($A$5:$A$1668,$A1118,$C$5:$C$1668,$C1118)*($F1118-1)^3))*IF($F1118&lt;Points!$H$4,Points!$H$5,1),0)))</f>
        <v/>
      </c>
      <c r="H1118" s="11">
        <f>IF($G1118="","",COUNTIFS($B$5:$B$1668,$B1118,$G$5:$G$1668,"&gt;"&amp;$G1118)+COUNTIFS($B$4:$B1117,$B1118,$G$4:$G1117,$G1118)+1)</f>
        <v/>
      </c>
      <c r="I1118" s="11">
        <f>IF($G1118="","",IF($H1118&lt;=Points!$H$6,$G1118,0))</f>
        <v/>
      </c>
      <c r="J1118" s="11">
        <f>IF($B1118="","",IF(COUNTIF(Players!$A$2:$A$500,$B1118)=0,"Player is not on the Players tab",IF(NOT(ISNUMBER($C1118)),"Enter a gross score",IF(COUNTIFS($A$5:$A$1668,$A1118,$B$5:$B$1668,$B1118)&gt;1,"Player is listed twice this week",IF(AND($D1118&lt;&gt;"",COUNTIFS($A$5:$A$1668,$A1118,$D$5:$D$1668,$D1118)&gt;1),"Two players picked as "&amp;$D1118,IF(COUNTIFS($A$5:$A$1668,$A1118,$D$5:$D$1668,"Gross winner")=0,"Pick this week's gross winner",IF(COUNTIFS($A$5:$A$1668,$A1118,$D$5:$D$1668,"Net winner")=0,"Pick this week's net winner","OK")))))))</f>
        <v/>
      </c>
    </row>
    <row r="1119" outlineLevel="1">
      <c r="A1119" s="13" t="n">
        <v>46631</v>
      </c>
      <c r="E1119" s="11">
        <f>IF(OR($B1119="",NOT(ISNUMBER($C1119))),"",COUNTIFS($A$5:$A$1668,$A1119,$C$5:$C$1668,"&lt;"&amp;$C1119)+1)</f>
        <v/>
      </c>
      <c r="F1119" s="11">
        <f>IF(OR($B1119="",NOT(ISNUMBER($C1119))),"",COUNTIFS($A$5:$A$1668,$A1119,$C$5:$C$1668,"&gt;0"))</f>
        <v/>
      </c>
      <c r="G1119" s="11">
        <f>IF(OR($B1119="",NOT(ISNUMBER($C1119))),"",IF($D1119&lt;&gt;"",ROUND(Points!$B$6*IF($F1119&lt;Points!$H$4,Points!$H$5,1),0),ROUND(Points!$B$6*IF($F1119&lt;=1,1,Points!$H$7+(1-Points!$H$7)*((($F1119-$E1119)*(($F1119-$E1119)+1)/2)^2-((($F1119-$E1119-COUNTIFS($A$5:$A$1668,$A1119,$C$5:$C$1668,$C1119)+1)-1)*($F1119-$E1119-COUNTIFS($A$5:$A$1668,$A1119,$C$5:$C$1668,$C1119)+1)/2)^2)/(COUNTIFS($A$5:$A$1668,$A1119,$C$5:$C$1668,$C1119)*($F1119-1)^3))*IF($F1119&lt;Points!$H$4,Points!$H$5,1),0)))</f>
        <v/>
      </c>
      <c r="H1119" s="11">
        <f>IF($G1119="","",COUNTIFS($B$5:$B$1668,$B1119,$G$5:$G$1668,"&gt;"&amp;$G1119)+COUNTIFS($B$4:$B1118,$B1119,$G$4:$G1118,$G1119)+1)</f>
        <v/>
      </c>
      <c r="I1119" s="11">
        <f>IF($G1119="","",IF($H1119&lt;=Points!$H$6,$G1119,0))</f>
        <v/>
      </c>
      <c r="J1119" s="11">
        <f>IF($B1119="","",IF(COUNTIF(Players!$A$2:$A$500,$B1119)=0,"Player is not on the Players tab",IF(NOT(ISNUMBER($C1119)),"Enter a gross score",IF(COUNTIFS($A$5:$A$1668,$A1119,$B$5:$B$1668,$B1119)&gt;1,"Player is listed twice this week",IF(AND($D1119&lt;&gt;"",COUNTIFS($A$5:$A$1668,$A1119,$D$5:$D$1668,$D1119)&gt;1),"Two players picked as "&amp;$D1119,IF(COUNTIFS($A$5:$A$1668,$A1119,$D$5:$D$1668,"Gross winner")=0,"Pick this week's gross winner",IF(COUNTIFS($A$5:$A$1668,$A1119,$D$5:$D$1668,"Net winner")=0,"Pick this week's net winner","OK")))))))</f>
        <v/>
      </c>
    </row>
    <row r="1120" outlineLevel="1">
      <c r="A1120" s="13" t="n">
        <v>46631</v>
      </c>
      <c r="E1120" s="11">
        <f>IF(OR($B1120="",NOT(ISNUMBER($C1120))),"",COUNTIFS($A$5:$A$1668,$A1120,$C$5:$C$1668,"&lt;"&amp;$C1120)+1)</f>
        <v/>
      </c>
      <c r="F1120" s="11">
        <f>IF(OR($B1120="",NOT(ISNUMBER($C1120))),"",COUNTIFS($A$5:$A$1668,$A1120,$C$5:$C$1668,"&gt;0"))</f>
        <v/>
      </c>
      <c r="G1120" s="11">
        <f>IF(OR($B1120="",NOT(ISNUMBER($C1120))),"",IF($D1120&lt;&gt;"",ROUND(Points!$B$6*IF($F1120&lt;Points!$H$4,Points!$H$5,1),0),ROUND(Points!$B$6*IF($F1120&lt;=1,1,Points!$H$7+(1-Points!$H$7)*((($F1120-$E1120)*(($F1120-$E1120)+1)/2)^2-((($F1120-$E1120-COUNTIFS($A$5:$A$1668,$A1120,$C$5:$C$1668,$C1120)+1)-1)*($F1120-$E1120-COUNTIFS($A$5:$A$1668,$A1120,$C$5:$C$1668,$C1120)+1)/2)^2)/(COUNTIFS($A$5:$A$1668,$A1120,$C$5:$C$1668,$C1120)*($F1120-1)^3))*IF($F1120&lt;Points!$H$4,Points!$H$5,1),0)))</f>
        <v/>
      </c>
      <c r="H1120" s="11">
        <f>IF($G1120="","",COUNTIFS($B$5:$B$1668,$B1120,$G$5:$G$1668,"&gt;"&amp;$G1120)+COUNTIFS($B$4:$B1119,$B1120,$G$4:$G1119,$G1120)+1)</f>
        <v/>
      </c>
      <c r="I1120" s="11">
        <f>IF($G1120="","",IF($H1120&lt;=Points!$H$6,$G1120,0))</f>
        <v/>
      </c>
      <c r="J1120" s="11">
        <f>IF($B1120="","",IF(COUNTIF(Players!$A$2:$A$500,$B1120)=0,"Player is not on the Players tab",IF(NOT(ISNUMBER($C1120)),"Enter a gross score",IF(COUNTIFS($A$5:$A$1668,$A1120,$B$5:$B$1668,$B1120)&gt;1,"Player is listed twice this week",IF(AND($D1120&lt;&gt;"",COUNTIFS($A$5:$A$1668,$A1120,$D$5:$D$1668,$D1120)&gt;1),"Two players picked as "&amp;$D1120,IF(COUNTIFS($A$5:$A$1668,$A1120,$D$5:$D$1668,"Gross winner")=0,"Pick this week's gross winner",IF(COUNTIFS($A$5:$A$1668,$A1120,$D$5:$D$1668,"Net winner")=0,"Pick this week's net winner","OK")))))))</f>
        <v/>
      </c>
    </row>
    <row r="1121" outlineLevel="1">
      <c r="A1121" s="13" t="n">
        <v>46631</v>
      </c>
      <c r="E1121" s="11">
        <f>IF(OR($B1121="",NOT(ISNUMBER($C1121))),"",COUNTIFS($A$5:$A$1668,$A1121,$C$5:$C$1668,"&lt;"&amp;$C1121)+1)</f>
        <v/>
      </c>
      <c r="F1121" s="11">
        <f>IF(OR($B1121="",NOT(ISNUMBER($C1121))),"",COUNTIFS($A$5:$A$1668,$A1121,$C$5:$C$1668,"&gt;0"))</f>
        <v/>
      </c>
      <c r="G1121" s="11">
        <f>IF(OR($B1121="",NOT(ISNUMBER($C1121))),"",IF($D1121&lt;&gt;"",ROUND(Points!$B$6*IF($F1121&lt;Points!$H$4,Points!$H$5,1),0),ROUND(Points!$B$6*IF($F1121&lt;=1,1,Points!$H$7+(1-Points!$H$7)*((($F1121-$E1121)*(($F1121-$E1121)+1)/2)^2-((($F1121-$E1121-COUNTIFS($A$5:$A$1668,$A1121,$C$5:$C$1668,$C1121)+1)-1)*($F1121-$E1121-COUNTIFS($A$5:$A$1668,$A1121,$C$5:$C$1668,$C1121)+1)/2)^2)/(COUNTIFS($A$5:$A$1668,$A1121,$C$5:$C$1668,$C1121)*($F1121-1)^3))*IF($F1121&lt;Points!$H$4,Points!$H$5,1),0)))</f>
        <v/>
      </c>
      <c r="H1121" s="11">
        <f>IF($G1121="","",COUNTIFS($B$5:$B$1668,$B1121,$G$5:$G$1668,"&gt;"&amp;$G1121)+COUNTIFS($B$4:$B1120,$B1121,$G$4:$G1120,$G1121)+1)</f>
        <v/>
      </c>
      <c r="I1121" s="11">
        <f>IF($G1121="","",IF($H1121&lt;=Points!$H$6,$G1121,0))</f>
        <v/>
      </c>
      <c r="J1121" s="11">
        <f>IF($B1121="","",IF(COUNTIF(Players!$A$2:$A$500,$B1121)=0,"Player is not on the Players tab",IF(NOT(ISNUMBER($C1121)),"Enter a gross score",IF(COUNTIFS($A$5:$A$1668,$A1121,$B$5:$B$1668,$B1121)&gt;1,"Player is listed twice this week",IF(AND($D1121&lt;&gt;"",COUNTIFS($A$5:$A$1668,$A1121,$D$5:$D$1668,$D1121)&gt;1),"Two players picked as "&amp;$D1121,IF(COUNTIFS($A$5:$A$1668,$A1121,$D$5:$D$1668,"Gross winner")=0,"Pick this week's gross winner",IF(COUNTIFS($A$5:$A$1668,$A1121,$D$5:$D$1668,"Net winner")=0,"Pick this week's net winner","OK")))))))</f>
        <v/>
      </c>
    </row>
    <row r="1122" outlineLevel="1">
      <c r="A1122" s="13" t="n">
        <v>46631</v>
      </c>
      <c r="E1122" s="11">
        <f>IF(OR($B1122="",NOT(ISNUMBER($C1122))),"",COUNTIFS($A$5:$A$1668,$A1122,$C$5:$C$1668,"&lt;"&amp;$C1122)+1)</f>
        <v/>
      </c>
      <c r="F1122" s="11">
        <f>IF(OR($B1122="",NOT(ISNUMBER($C1122))),"",COUNTIFS($A$5:$A$1668,$A1122,$C$5:$C$1668,"&gt;0"))</f>
        <v/>
      </c>
      <c r="G1122" s="11">
        <f>IF(OR($B1122="",NOT(ISNUMBER($C1122))),"",IF($D1122&lt;&gt;"",ROUND(Points!$B$6*IF($F1122&lt;Points!$H$4,Points!$H$5,1),0),ROUND(Points!$B$6*IF($F1122&lt;=1,1,Points!$H$7+(1-Points!$H$7)*((($F1122-$E1122)*(($F1122-$E1122)+1)/2)^2-((($F1122-$E1122-COUNTIFS($A$5:$A$1668,$A1122,$C$5:$C$1668,$C1122)+1)-1)*($F1122-$E1122-COUNTIFS($A$5:$A$1668,$A1122,$C$5:$C$1668,$C1122)+1)/2)^2)/(COUNTIFS($A$5:$A$1668,$A1122,$C$5:$C$1668,$C1122)*($F1122-1)^3))*IF($F1122&lt;Points!$H$4,Points!$H$5,1),0)))</f>
        <v/>
      </c>
      <c r="H1122" s="11">
        <f>IF($G1122="","",COUNTIFS($B$5:$B$1668,$B1122,$G$5:$G$1668,"&gt;"&amp;$G1122)+COUNTIFS($B$4:$B1121,$B1122,$G$4:$G1121,$G1122)+1)</f>
        <v/>
      </c>
      <c r="I1122" s="11">
        <f>IF($G1122="","",IF($H1122&lt;=Points!$H$6,$G1122,0))</f>
        <v/>
      </c>
      <c r="J1122" s="11">
        <f>IF($B1122="","",IF(COUNTIF(Players!$A$2:$A$500,$B1122)=0,"Player is not on the Players tab",IF(NOT(ISNUMBER($C1122)),"Enter a gross score",IF(COUNTIFS($A$5:$A$1668,$A1122,$B$5:$B$1668,$B1122)&gt;1,"Player is listed twice this week",IF(AND($D1122&lt;&gt;"",COUNTIFS($A$5:$A$1668,$A1122,$D$5:$D$1668,$D1122)&gt;1),"Two players picked as "&amp;$D1122,IF(COUNTIFS($A$5:$A$1668,$A1122,$D$5:$D$1668,"Gross winner")=0,"Pick this week's gross winner",IF(COUNTIFS($A$5:$A$1668,$A1122,$D$5:$D$1668,"Net winner")=0,"Pick this week's net winner","OK")))))))</f>
        <v/>
      </c>
    </row>
    <row r="1123" outlineLevel="1">
      <c r="A1123" s="13" t="n">
        <v>46631</v>
      </c>
      <c r="E1123" s="11">
        <f>IF(OR($B1123="",NOT(ISNUMBER($C1123))),"",COUNTIFS($A$5:$A$1668,$A1123,$C$5:$C$1668,"&lt;"&amp;$C1123)+1)</f>
        <v/>
      </c>
      <c r="F1123" s="11">
        <f>IF(OR($B1123="",NOT(ISNUMBER($C1123))),"",COUNTIFS($A$5:$A$1668,$A1123,$C$5:$C$1668,"&gt;0"))</f>
        <v/>
      </c>
      <c r="G1123" s="11">
        <f>IF(OR($B1123="",NOT(ISNUMBER($C1123))),"",IF($D1123&lt;&gt;"",ROUND(Points!$B$6*IF($F1123&lt;Points!$H$4,Points!$H$5,1),0),ROUND(Points!$B$6*IF($F1123&lt;=1,1,Points!$H$7+(1-Points!$H$7)*((($F1123-$E1123)*(($F1123-$E1123)+1)/2)^2-((($F1123-$E1123-COUNTIFS($A$5:$A$1668,$A1123,$C$5:$C$1668,$C1123)+1)-1)*($F1123-$E1123-COUNTIFS($A$5:$A$1668,$A1123,$C$5:$C$1668,$C1123)+1)/2)^2)/(COUNTIFS($A$5:$A$1668,$A1123,$C$5:$C$1668,$C1123)*($F1123-1)^3))*IF($F1123&lt;Points!$H$4,Points!$H$5,1),0)))</f>
        <v/>
      </c>
      <c r="H1123" s="11">
        <f>IF($G1123="","",COUNTIFS($B$5:$B$1668,$B1123,$G$5:$G$1668,"&gt;"&amp;$G1123)+COUNTIFS($B$4:$B1122,$B1123,$G$4:$G1122,$G1123)+1)</f>
        <v/>
      </c>
      <c r="I1123" s="11">
        <f>IF($G1123="","",IF($H1123&lt;=Points!$H$6,$G1123,0))</f>
        <v/>
      </c>
      <c r="J1123" s="11">
        <f>IF($B1123="","",IF(COUNTIF(Players!$A$2:$A$500,$B1123)=0,"Player is not on the Players tab",IF(NOT(ISNUMBER($C1123)),"Enter a gross score",IF(COUNTIFS($A$5:$A$1668,$A1123,$B$5:$B$1668,$B1123)&gt;1,"Player is listed twice this week",IF(AND($D1123&lt;&gt;"",COUNTIFS($A$5:$A$1668,$A1123,$D$5:$D$1668,$D1123)&gt;1),"Two players picked as "&amp;$D1123,IF(COUNTIFS($A$5:$A$1668,$A1123,$D$5:$D$1668,"Gross winner")=0,"Pick this week's gross winner",IF(COUNTIFS($A$5:$A$1668,$A1123,$D$5:$D$1668,"Net winner")=0,"Pick this week's net winner","OK")))))))</f>
        <v/>
      </c>
    </row>
    <row r="1124" ht="10" customHeight="1"/>
    <row r="1125" ht="22" customHeight="1">
      <c r="A1125" s="12" t="inlineStr">
        <is>
          <t>Week 36  ·  Wednesday, Sep 8</t>
        </is>
      </c>
    </row>
    <row r="1126" outlineLevel="1">
      <c r="A1126" s="13" t="n">
        <v>46638</v>
      </c>
      <c r="E1126" s="11">
        <f>IF(OR($B1126="",NOT(ISNUMBER($C1126))),"",COUNTIFS($A$5:$A$1668,$A1126,$C$5:$C$1668,"&lt;"&amp;$C1126)+1)</f>
        <v/>
      </c>
      <c r="F1126" s="11">
        <f>IF(OR($B1126="",NOT(ISNUMBER($C1126))),"",COUNTIFS($A$5:$A$1668,$A1126,$C$5:$C$1668,"&gt;0"))</f>
        <v/>
      </c>
      <c r="G1126" s="11">
        <f>IF(OR($B1126="",NOT(ISNUMBER($C1126))),"",IF($D1126&lt;&gt;"",ROUND(Points!$B$6*IF($F1126&lt;Points!$H$4,Points!$H$5,1),0),ROUND(Points!$B$6*IF($F1126&lt;=1,1,Points!$H$7+(1-Points!$H$7)*((($F1126-$E1126)*(($F1126-$E1126)+1)/2)^2-((($F1126-$E1126-COUNTIFS($A$5:$A$1668,$A1126,$C$5:$C$1668,$C1126)+1)-1)*($F1126-$E1126-COUNTIFS($A$5:$A$1668,$A1126,$C$5:$C$1668,$C1126)+1)/2)^2)/(COUNTIFS($A$5:$A$1668,$A1126,$C$5:$C$1668,$C1126)*($F1126-1)^3))*IF($F1126&lt;Points!$H$4,Points!$H$5,1),0)))</f>
        <v/>
      </c>
      <c r="H1126" s="11">
        <f>IF($G1126="","",COUNTIFS($B$5:$B$1668,$B1126,$G$5:$G$1668,"&gt;"&amp;$G1126)+COUNTIFS($B$4:$B1125,$B1126,$G$4:$G1125,$G1126)+1)</f>
        <v/>
      </c>
      <c r="I1126" s="11">
        <f>IF($G1126="","",IF($H1126&lt;=Points!$H$6,$G1126,0))</f>
        <v/>
      </c>
      <c r="J1126" s="11">
        <f>IF($B1126="","",IF(COUNTIF(Players!$A$2:$A$500,$B1126)=0,"Player is not on the Players tab",IF(NOT(ISNUMBER($C1126)),"Enter a gross score",IF(COUNTIFS($A$5:$A$1668,$A1126,$B$5:$B$1668,$B1126)&gt;1,"Player is listed twice this week",IF(AND($D1126&lt;&gt;"",COUNTIFS($A$5:$A$1668,$A1126,$D$5:$D$1668,$D1126)&gt;1),"Two players picked as "&amp;$D1126,IF(COUNTIFS($A$5:$A$1668,$A1126,$D$5:$D$1668,"Gross winner")=0,"Pick this week's gross winner",IF(COUNTIFS($A$5:$A$1668,$A1126,$D$5:$D$1668,"Net winner")=0,"Pick this week's net winner","OK")))))))</f>
        <v/>
      </c>
    </row>
    <row r="1127" outlineLevel="1">
      <c r="A1127" s="13" t="n">
        <v>46638</v>
      </c>
      <c r="E1127" s="11">
        <f>IF(OR($B1127="",NOT(ISNUMBER($C1127))),"",COUNTIFS($A$5:$A$1668,$A1127,$C$5:$C$1668,"&lt;"&amp;$C1127)+1)</f>
        <v/>
      </c>
      <c r="F1127" s="11">
        <f>IF(OR($B1127="",NOT(ISNUMBER($C1127))),"",COUNTIFS($A$5:$A$1668,$A1127,$C$5:$C$1668,"&gt;0"))</f>
        <v/>
      </c>
      <c r="G1127" s="11">
        <f>IF(OR($B1127="",NOT(ISNUMBER($C1127))),"",IF($D1127&lt;&gt;"",ROUND(Points!$B$6*IF($F1127&lt;Points!$H$4,Points!$H$5,1),0),ROUND(Points!$B$6*IF($F1127&lt;=1,1,Points!$H$7+(1-Points!$H$7)*((($F1127-$E1127)*(($F1127-$E1127)+1)/2)^2-((($F1127-$E1127-COUNTIFS($A$5:$A$1668,$A1127,$C$5:$C$1668,$C1127)+1)-1)*($F1127-$E1127-COUNTIFS($A$5:$A$1668,$A1127,$C$5:$C$1668,$C1127)+1)/2)^2)/(COUNTIFS($A$5:$A$1668,$A1127,$C$5:$C$1668,$C1127)*($F1127-1)^3))*IF($F1127&lt;Points!$H$4,Points!$H$5,1),0)))</f>
        <v/>
      </c>
      <c r="H1127" s="11">
        <f>IF($G1127="","",COUNTIFS($B$5:$B$1668,$B1127,$G$5:$G$1668,"&gt;"&amp;$G1127)+COUNTIFS($B$4:$B1126,$B1127,$G$4:$G1126,$G1127)+1)</f>
        <v/>
      </c>
      <c r="I1127" s="11">
        <f>IF($G1127="","",IF($H1127&lt;=Points!$H$6,$G1127,0))</f>
        <v/>
      </c>
      <c r="J1127" s="11">
        <f>IF($B1127="","",IF(COUNTIF(Players!$A$2:$A$500,$B1127)=0,"Player is not on the Players tab",IF(NOT(ISNUMBER($C1127)),"Enter a gross score",IF(COUNTIFS($A$5:$A$1668,$A1127,$B$5:$B$1668,$B1127)&gt;1,"Player is listed twice this week",IF(AND($D1127&lt;&gt;"",COUNTIFS($A$5:$A$1668,$A1127,$D$5:$D$1668,$D1127)&gt;1),"Two players picked as "&amp;$D1127,IF(COUNTIFS($A$5:$A$1668,$A1127,$D$5:$D$1668,"Gross winner")=0,"Pick this week's gross winner",IF(COUNTIFS($A$5:$A$1668,$A1127,$D$5:$D$1668,"Net winner")=0,"Pick this week's net winner","OK")))))))</f>
        <v/>
      </c>
    </row>
    <row r="1128" outlineLevel="1">
      <c r="A1128" s="13" t="n">
        <v>46638</v>
      </c>
      <c r="E1128" s="11">
        <f>IF(OR($B1128="",NOT(ISNUMBER($C1128))),"",COUNTIFS($A$5:$A$1668,$A1128,$C$5:$C$1668,"&lt;"&amp;$C1128)+1)</f>
        <v/>
      </c>
      <c r="F1128" s="11">
        <f>IF(OR($B1128="",NOT(ISNUMBER($C1128))),"",COUNTIFS($A$5:$A$1668,$A1128,$C$5:$C$1668,"&gt;0"))</f>
        <v/>
      </c>
      <c r="G1128" s="11">
        <f>IF(OR($B1128="",NOT(ISNUMBER($C1128))),"",IF($D1128&lt;&gt;"",ROUND(Points!$B$6*IF($F1128&lt;Points!$H$4,Points!$H$5,1),0),ROUND(Points!$B$6*IF($F1128&lt;=1,1,Points!$H$7+(1-Points!$H$7)*((($F1128-$E1128)*(($F1128-$E1128)+1)/2)^2-((($F1128-$E1128-COUNTIFS($A$5:$A$1668,$A1128,$C$5:$C$1668,$C1128)+1)-1)*($F1128-$E1128-COUNTIFS($A$5:$A$1668,$A1128,$C$5:$C$1668,$C1128)+1)/2)^2)/(COUNTIFS($A$5:$A$1668,$A1128,$C$5:$C$1668,$C1128)*($F1128-1)^3))*IF($F1128&lt;Points!$H$4,Points!$H$5,1),0)))</f>
        <v/>
      </c>
      <c r="H1128" s="11">
        <f>IF($G1128="","",COUNTIFS($B$5:$B$1668,$B1128,$G$5:$G$1668,"&gt;"&amp;$G1128)+COUNTIFS($B$4:$B1127,$B1128,$G$4:$G1127,$G1128)+1)</f>
        <v/>
      </c>
      <c r="I1128" s="11">
        <f>IF($G1128="","",IF($H1128&lt;=Points!$H$6,$G1128,0))</f>
        <v/>
      </c>
      <c r="J1128" s="11">
        <f>IF($B1128="","",IF(COUNTIF(Players!$A$2:$A$500,$B1128)=0,"Player is not on the Players tab",IF(NOT(ISNUMBER($C1128)),"Enter a gross score",IF(COUNTIFS($A$5:$A$1668,$A1128,$B$5:$B$1668,$B1128)&gt;1,"Player is listed twice this week",IF(AND($D1128&lt;&gt;"",COUNTIFS($A$5:$A$1668,$A1128,$D$5:$D$1668,$D1128)&gt;1),"Two players picked as "&amp;$D1128,IF(COUNTIFS($A$5:$A$1668,$A1128,$D$5:$D$1668,"Gross winner")=0,"Pick this week's gross winner",IF(COUNTIFS($A$5:$A$1668,$A1128,$D$5:$D$1668,"Net winner")=0,"Pick this week's net winner","OK")))))))</f>
        <v/>
      </c>
    </row>
    <row r="1129" outlineLevel="1">
      <c r="A1129" s="13" t="n">
        <v>46638</v>
      </c>
      <c r="E1129" s="11">
        <f>IF(OR($B1129="",NOT(ISNUMBER($C1129))),"",COUNTIFS($A$5:$A$1668,$A1129,$C$5:$C$1668,"&lt;"&amp;$C1129)+1)</f>
        <v/>
      </c>
      <c r="F1129" s="11">
        <f>IF(OR($B1129="",NOT(ISNUMBER($C1129))),"",COUNTIFS($A$5:$A$1668,$A1129,$C$5:$C$1668,"&gt;0"))</f>
        <v/>
      </c>
      <c r="G1129" s="11">
        <f>IF(OR($B1129="",NOT(ISNUMBER($C1129))),"",IF($D1129&lt;&gt;"",ROUND(Points!$B$6*IF($F1129&lt;Points!$H$4,Points!$H$5,1),0),ROUND(Points!$B$6*IF($F1129&lt;=1,1,Points!$H$7+(1-Points!$H$7)*((($F1129-$E1129)*(($F1129-$E1129)+1)/2)^2-((($F1129-$E1129-COUNTIFS($A$5:$A$1668,$A1129,$C$5:$C$1668,$C1129)+1)-1)*($F1129-$E1129-COUNTIFS($A$5:$A$1668,$A1129,$C$5:$C$1668,$C1129)+1)/2)^2)/(COUNTIFS($A$5:$A$1668,$A1129,$C$5:$C$1668,$C1129)*($F1129-1)^3))*IF($F1129&lt;Points!$H$4,Points!$H$5,1),0)))</f>
        <v/>
      </c>
      <c r="H1129" s="11">
        <f>IF($G1129="","",COUNTIFS($B$5:$B$1668,$B1129,$G$5:$G$1668,"&gt;"&amp;$G1129)+COUNTIFS($B$4:$B1128,$B1129,$G$4:$G1128,$G1129)+1)</f>
        <v/>
      </c>
      <c r="I1129" s="11">
        <f>IF($G1129="","",IF($H1129&lt;=Points!$H$6,$G1129,0))</f>
        <v/>
      </c>
      <c r="J1129" s="11">
        <f>IF($B1129="","",IF(COUNTIF(Players!$A$2:$A$500,$B1129)=0,"Player is not on the Players tab",IF(NOT(ISNUMBER($C1129)),"Enter a gross score",IF(COUNTIFS($A$5:$A$1668,$A1129,$B$5:$B$1668,$B1129)&gt;1,"Player is listed twice this week",IF(AND($D1129&lt;&gt;"",COUNTIFS($A$5:$A$1668,$A1129,$D$5:$D$1668,$D1129)&gt;1),"Two players picked as "&amp;$D1129,IF(COUNTIFS($A$5:$A$1668,$A1129,$D$5:$D$1668,"Gross winner")=0,"Pick this week's gross winner",IF(COUNTIFS($A$5:$A$1668,$A1129,$D$5:$D$1668,"Net winner")=0,"Pick this week's net winner","OK")))))))</f>
        <v/>
      </c>
    </row>
    <row r="1130" outlineLevel="1">
      <c r="A1130" s="13" t="n">
        <v>46638</v>
      </c>
      <c r="E1130" s="11">
        <f>IF(OR($B1130="",NOT(ISNUMBER($C1130))),"",COUNTIFS($A$5:$A$1668,$A1130,$C$5:$C$1668,"&lt;"&amp;$C1130)+1)</f>
        <v/>
      </c>
      <c r="F1130" s="11">
        <f>IF(OR($B1130="",NOT(ISNUMBER($C1130))),"",COUNTIFS($A$5:$A$1668,$A1130,$C$5:$C$1668,"&gt;0"))</f>
        <v/>
      </c>
      <c r="G1130" s="11">
        <f>IF(OR($B1130="",NOT(ISNUMBER($C1130))),"",IF($D1130&lt;&gt;"",ROUND(Points!$B$6*IF($F1130&lt;Points!$H$4,Points!$H$5,1),0),ROUND(Points!$B$6*IF($F1130&lt;=1,1,Points!$H$7+(1-Points!$H$7)*((($F1130-$E1130)*(($F1130-$E1130)+1)/2)^2-((($F1130-$E1130-COUNTIFS($A$5:$A$1668,$A1130,$C$5:$C$1668,$C1130)+1)-1)*($F1130-$E1130-COUNTIFS($A$5:$A$1668,$A1130,$C$5:$C$1668,$C1130)+1)/2)^2)/(COUNTIFS($A$5:$A$1668,$A1130,$C$5:$C$1668,$C1130)*($F1130-1)^3))*IF($F1130&lt;Points!$H$4,Points!$H$5,1),0)))</f>
        <v/>
      </c>
      <c r="H1130" s="11">
        <f>IF($G1130="","",COUNTIFS($B$5:$B$1668,$B1130,$G$5:$G$1668,"&gt;"&amp;$G1130)+COUNTIFS($B$4:$B1129,$B1130,$G$4:$G1129,$G1130)+1)</f>
        <v/>
      </c>
      <c r="I1130" s="11">
        <f>IF($G1130="","",IF($H1130&lt;=Points!$H$6,$G1130,0))</f>
        <v/>
      </c>
      <c r="J1130" s="11">
        <f>IF($B1130="","",IF(COUNTIF(Players!$A$2:$A$500,$B1130)=0,"Player is not on the Players tab",IF(NOT(ISNUMBER($C1130)),"Enter a gross score",IF(COUNTIFS($A$5:$A$1668,$A1130,$B$5:$B$1668,$B1130)&gt;1,"Player is listed twice this week",IF(AND($D1130&lt;&gt;"",COUNTIFS($A$5:$A$1668,$A1130,$D$5:$D$1668,$D1130)&gt;1),"Two players picked as "&amp;$D1130,IF(COUNTIFS($A$5:$A$1668,$A1130,$D$5:$D$1668,"Gross winner")=0,"Pick this week's gross winner",IF(COUNTIFS($A$5:$A$1668,$A1130,$D$5:$D$1668,"Net winner")=0,"Pick this week's net winner","OK")))))))</f>
        <v/>
      </c>
    </row>
    <row r="1131" outlineLevel="1">
      <c r="A1131" s="13" t="n">
        <v>46638</v>
      </c>
      <c r="E1131" s="11">
        <f>IF(OR($B1131="",NOT(ISNUMBER($C1131))),"",COUNTIFS($A$5:$A$1668,$A1131,$C$5:$C$1668,"&lt;"&amp;$C1131)+1)</f>
        <v/>
      </c>
      <c r="F1131" s="11">
        <f>IF(OR($B1131="",NOT(ISNUMBER($C1131))),"",COUNTIFS($A$5:$A$1668,$A1131,$C$5:$C$1668,"&gt;0"))</f>
        <v/>
      </c>
      <c r="G1131" s="11">
        <f>IF(OR($B1131="",NOT(ISNUMBER($C1131))),"",IF($D1131&lt;&gt;"",ROUND(Points!$B$6*IF($F1131&lt;Points!$H$4,Points!$H$5,1),0),ROUND(Points!$B$6*IF($F1131&lt;=1,1,Points!$H$7+(1-Points!$H$7)*((($F1131-$E1131)*(($F1131-$E1131)+1)/2)^2-((($F1131-$E1131-COUNTIFS($A$5:$A$1668,$A1131,$C$5:$C$1668,$C1131)+1)-1)*($F1131-$E1131-COUNTIFS($A$5:$A$1668,$A1131,$C$5:$C$1668,$C1131)+1)/2)^2)/(COUNTIFS($A$5:$A$1668,$A1131,$C$5:$C$1668,$C1131)*($F1131-1)^3))*IF($F1131&lt;Points!$H$4,Points!$H$5,1),0)))</f>
        <v/>
      </c>
      <c r="H1131" s="11">
        <f>IF($G1131="","",COUNTIFS($B$5:$B$1668,$B1131,$G$5:$G$1668,"&gt;"&amp;$G1131)+COUNTIFS($B$4:$B1130,$B1131,$G$4:$G1130,$G1131)+1)</f>
        <v/>
      </c>
      <c r="I1131" s="11">
        <f>IF($G1131="","",IF($H1131&lt;=Points!$H$6,$G1131,0))</f>
        <v/>
      </c>
      <c r="J1131" s="11">
        <f>IF($B1131="","",IF(COUNTIF(Players!$A$2:$A$500,$B1131)=0,"Player is not on the Players tab",IF(NOT(ISNUMBER($C1131)),"Enter a gross score",IF(COUNTIFS($A$5:$A$1668,$A1131,$B$5:$B$1668,$B1131)&gt;1,"Player is listed twice this week",IF(AND($D1131&lt;&gt;"",COUNTIFS($A$5:$A$1668,$A1131,$D$5:$D$1668,$D1131)&gt;1),"Two players picked as "&amp;$D1131,IF(COUNTIFS($A$5:$A$1668,$A1131,$D$5:$D$1668,"Gross winner")=0,"Pick this week's gross winner",IF(COUNTIFS($A$5:$A$1668,$A1131,$D$5:$D$1668,"Net winner")=0,"Pick this week's net winner","OK")))))))</f>
        <v/>
      </c>
    </row>
    <row r="1132" outlineLevel="1">
      <c r="A1132" s="13" t="n">
        <v>46638</v>
      </c>
      <c r="E1132" s="11">
        <f>IF(OR($B1132="",NOT(ISNUMBER($C1132))),"",COUNTIFS($A$5:$A$1668,$A1132,$C$5:$C$1668,"&lt;"&amp;$C1132)+1)</f>
        <v/>
      </c>
      <c r="F1132" s="11">
        <f>IF(OR($B1132="",NOT(ISNUMBER($C1132))),"",COUNTIFS($A$5:$A$1668,$A1132,$C$5:$C$1668,"&gt;0"))</f>
        <v/>
      </c>
      <c r="G1132" s="11">
        <f>IF(OR($B1132="",NOT(ISNUMBER($C1132))),"",IF($D1132&lt;&gt;"",ROUND(Points!$B$6*IF($F1132&lt;Points!$H$4,Points!$H$5,1),0),ROUND(Points!$B$6*IF($F1132&lt;=1,1,Points!$H$7+(1-Points!$H$7)*((($F1132-$E1132)*(($F1132-$E1132)+1)/2)^2-((($F1132-$E1132-COUNTIFS($A$5:$A$1668,$A1132,$C$5:$C$1668,$C1132)+1)-1)*($F1132-$E1132-COUNTIFS($A$5:$A$1668,$A1132,$C$5:$C$1668,$C1132)+1)/2)^2)/(COUNTIFS($A$5:$A$1668,$A1132,$C$5:$C$1668,$C1132)*($F1132-1)^3))*IF($F1132&lt;Points!$H$4,Points!$H$5,1),0)))</f>
        <v/>
      </c>
      <c r="H1132" s="11">
        <f>IF($G1132="","",COUNTIFS($B$5:$B$1668,$B1132,$G$5:$G$1668,"&gt;"&amp;$G1132)+COUNTIFS($B$4:$B1131,$B1132,$G$4:$G1131,$G1132)+1)</f>
        <v/>
      </c>
      <c r="I1132" s="11">
        <f>IF($G1132="","",IF($H1132&lt;=Points!$H$6,$G1132,0))</f>
        <v/>
      </c>
      <c r="J1132" s="11">
        <f>IF($B1132="","",IF(COUNTIF(Players!$A$2:$A$500,$B1132)=0,"Player is not on the Players tab",IF(NOT(ISNUMBER($C1132)),"Enter a gross score",IF(COUNTIFS($A$5:$A$1668,$A1132,$B$5:$B$1668,$B1132)&gt;1,"Player is listed twice this week",IF(AND($D1132&lt;&gt;"",COUNTIFS($A$5:$A$1668,$A1132,$D$5:$D$1668,$D1132)&gt;1),"Two players picked as "&amp;$D1132,IF(COUNTIFS($A$5:$A$1668,$A1132,$D$5:$D$1668,"Gross winner")=0,"Pick this week's gross winner",IF(COUNTIFS($A$5:$A$1668,$A1132,$D$5:$D$1668,"Net winner")=0,"Pick this week's net winner","OK")))))))</f>
        <v/>
      </c>
    </row>
    <row r="1133" outlineLevel="1">
      <c r="A1133" s="13" t="n">
        <v>46638</v>
      </c>
      <c r="E1133" s="11">
        <f>IF(OR($B1133="",NOT(ISNUMBER($C1133))),"",COUNTIFS($A$5:$A$1668,$A1133,$C$5:$C$1668,"&lt;"&amp;$C1133)+1)</f>
        <v/>
      </c>
      <c r="F1133" s="11">
        <f>IF(OR($B1133="",NOT(ISNUMBER($C1133))),"",COUNTIFS($A$5:$A$1668,$A1133,$C$5:$C$1668,"&gt;0"))</f>
        <v/>
      </c>
      <c r="G1133" s="11">
        <f>IF(OR($B1133="",NOT(ISNUMBER($C1133))),"",IF($D1133&lt;&gt;"",ROUND(Points!$B$6*IF($F1133&lt;Points!$H$4,Points!$H$5,1),0),ROUND(Points!$B$6*IF($F1133&lt;=1,1,Points!$H$7+(1-Points!$H$7)*((($F1133-$E1133)*(($F1133-$E1133)+1)/2)^2-((($F1133-$E1133-COUNTIFS($A$5:$A$1668,$A1133,$C$5:$C$1668,$C1133)+1)-1)*($F1133-$E1133-COUNTIFS($A$5:$A$1668,$A1133,$C$5:$C$1668,$C1133)+1)/2)^2)/(COUNTIFS($A$5:$A$1668,$A1133,$C$5:$C$1668,$C1133)*($F1133-1)^3))*IF($F1133&lt;Points!$H$4,Points!$H$5,1),0)))</f>
        <v/>
      </c>
      <c r="H1133" s="11">
        <f>IF($G1133="","",COUNTIFS($B$5:$B$1668,$B1133,$G$5:$G$1668,"&gt;"&amp;$G1133)+COUNTIFS($B$4:$B1132,$B1133,$G$4:$G1132,$G1133)+1)</f>
        <v/>
      </c>
      <c r="I1133" s="11">
        <f>IF($G1133="","",IF($H1133&lt;=Points!$H$6,$G1133,0))</f>
        <v/>
      </c>
      <c r="J1133" s="11">
        <f>IF($B1133="","",IF(COUNTIF(Players!$A$2:$A$500,$B1133)=0,"Player is not on the Players tab",IF(NOT(ISNUMBER($C1133)),"Enter a gross score",IF(COUNTIFS($A$5:$A$1668,$A1133,$B$5:$B$1668,$B1133)&gt;1,"Player is listed twice this week",IF(AND($D1133&lt;&gt;"",COUNTIFS($A$5:$A$1668,$A1133,$D$5:$D$1668,$D1133)&gt;1),"Two players picked as "&amp;$D1133,IF(COUNTIFS($A$5:$A$1668,$A1133,$D$5:$D$1668,"Gross winner")=0,"Pick this week's gross winner",IF(COUNTIFS($A$5:$A$1668,$A1133,$D$5:$D$1668,"Net winner")=0,"Pick this week's net winner","OK")))))))</f>
        <v/>
      </c>
    </row>
    <row r="1134" outlineLevel="1">
      <c r="A1134" s="13" t="n">
        <v>46638</v>
      </c>
      <c r="E1134" s="11">
        <f>IF(OR($B1134="",NOT(ISNUMBER($C1134))),"",COUNTIFS($A$5:$A$1668,$A1134,$C$5:$C$1668,"&lt;"&amp;$C1134)+1)</f>
        <v/>
      </c>
      <c r="F1134" s="11">
        <f>IF(OR($B1134="",NOT(ISNUMBER($C1134))),"",COUNTIFS($A$5:$A$1668,$A1134,$C$5:$C$1668,"&gt;0"))</f>
        <v/>
      </c>
      <c r="G1134" s="11">
        <f>IF(OR($B1134="",NOT(ISNUMBER($C1134))),"",IF($D1134&lt;&gt;"",ROUND(Points!$B$6*IF($F1134&lt;Points!$H$4,Points!$H$5,1),0),ROUND(Points!$B$6*IF($F1134&lt;=1,1,Points!$H$7+(1-Points!$H$7)*((($F1134-$E1134)*(($F1134-$E1134)+1)/2)^2-((($F1134-$E1134-COUNTIFS($A$5:$A$1668,$A1134,$C$5:$C$1668,$C1134)+1)-1)*($F1134-$E1134-COUNTIFS($A$5:$A$1668,$A1134,$C$5:$C$1668,$C1134)+1)/2)^2)/(COUNTIFS($A$5:$A$1668,$A1134,$C$5:$C$1668,$C1134)*($F1134-1)^3))*IF($F1134&lt;Points!$H$4,Points!$H$5,1),0)))</f>
        <v/>
      </c>
      <c r="H1134" s="11">
        <f>IF($G1134="","",COUNTIFS($B$5:$B$1668,$B1134,$G$5:$G$1668,"&gt;"&amp;$G1134)+COUNTIFS($B$4:$B1133,$B1134,$G$4:$G1133,$G1134)+1)</f>
        <v/>
      </c>
      <c r="I1134" s="11">
        <f>IF($G1134="","",IF($H1134&lt;=Points!$H$6,$G1134,0))</f>
        <v/>
      </c>
      <c r="J1134" s="11">
        <f>IF($B1134="","",IF(COUNTIF(Players!$A$2:$A$500,$B1134)=0,"Player is not on the Players tab",IF(NOT(ISNUMBER($C1134)),"Enter a gross score",IF(COUNTIFS($A$5:$A$1668,$A1134,$B$5:$B$1668,$B1134)&gt;1,"Player is listed twice this week",IF(AND($D1134&lt;&gt;"",COUNTIFS($A$5:$A$1668,$A1134,$D$5:$D$1668,$D1134)&gt;1),"Two players picked as "&amp;$D1134,IF(COUNTIFS($A$5:$A$1668,$A1134,$D$5:$D$1668,"Gross winner")=0,"Pick this week's gross winner",IF(COUNTIFS($A$5:$A$1668,$A1134,$D$5:$D$1668,"Net winner")=0,"Pick this week's net winner","OK")))))))</f>
        <v/>
      </c>
    </row>
    <row r="1135" outlineLevel="1">
      <c r="A1135" s="13" t="n">
        <v>46638</v>
      </c>
      <c r="E1135" s="11">
        <f>IF(OR($B1135="",NOT(ISNUMBER($C1135))),"",COUNTIFS($A$5:$A$1668,$A1135,$C$5:$C$1668,"&lt;"&amp;$C1135)+1)</f>
        <v/>
      </c>
      <c r="F1135" s="11">
        <f>IF(OR($B1135="",NOT(ISNUMBER($C1135))),"",COUNTIFS($A$5:$A$1668,$A1135,$C$5:$C$1668,"&gt;0"))</f>
        <v/>
      </c>
      <c r="G1135" s="11">
        <f>IF(OR($B1135="",NOT(ISNUMBER($C1135))),"",IF($D1135&lt;&gt;"",ROUND(Points!$B$6*IF($F1135&lt;Points!$H$4,Points!$H$5,1),0),ROUND(Points!$B$6*IF($F1135&lt;=1,1,Points!$H$7+(1-Points!$H$7)*((($F1135-$E1135)*(($F1135-$E1135)+1)/2)^2-((($F1135-$E1135-COUNTIFS($A$5:$A$1668,$A1135,$C$5:$C$1668,$C1135)+1)-1)*($F1135-$E1135-COUNTIFS($A$5:$A$1668,$A1135,$C$5:$C$1668,$C1135)+1)/2)^2)/(COUNTIFS($A$5:$A$1668,$A1135,$C$5:$C$1668,$C1135)*($F1135-1)^3))*IF($F1135&lt;Points!$H$4,Points!$H$5,1),0)))</f>
        <v/>
      </c>
      <c r="H1135" s="11">
        <f>IF($G1135="","",COUNTIFS($B$5:$B$1668,$B1135,$G$5:$G$1668,"&gt;"&amp;$G1135)+COUNTIFS($B$4:$B1134,$B1135,$G$4:$G1134,$G1135)+1)</f>
        <v/>
      </c>
      <c r="I1135" s="11">
        <f>IF($G1135="","",IF($H1135&lt;=Points!$H$6,$G1135,0))</f>
        <v/>
      </c>
      <c r="J1135" s="11">
        <f>IF($B1135="","",IF(COUNTIF(Players!$A$2:$A$500,$B1135)=0,"Player is not on the Players tab",IF(NOT(ISNUMBER($C1135)),"Enter a gross score",IF(COUNTIFS($A$5:$A$1668,$A1135,$B$5:$B$1668,$B1135)&gt;1,"Player is listed twice this week",IF(AND($D1135&lt;&gt;"",COUNTIFS($A$5:$A$1668,$A1135,$D$5:$D$1668,$D1135)&gt;1),"Two players picked as "&amp;$D1135,IF(COUNTIFS($A$5:$A$1668,$A1135,$D$5:$D$1668,"Gross winner")=0,"Pick this week's gross winner",IF(COUNTIFS($A$5:$A$1668,$A1135,$D$5:$D$1668,"Net winner")=0,"Pick this week's net winner","OK")))))))</f>
        <v/>
      </c>
    </row>
    <row r="1136" outlineLevel="1">
      <c r="A1136" s="13" t="n">
        <v>46638</v>
      </c>
      <c r="E1136" s="11">
        <f>IF(OR($B1136="",NOT(ISNUMBER($C1136))),"",COUNTIFS($A$5:$A$1668,$A1136,$C$5:$C$1668,"&lt;"&amp;$C1136)+1)</f>
        <v/>
      </c>
      <c r="F1136" s="11">
        <f>IF(OR($B1136="",NOT(ISNUMBER($C1136))),"",COUNTIFS($A$5:$A$1668,$A1136,$C$5:$C$1668,"&gt;0"))</f>
        <v/>
      </c>
      <c r="G1136" s="11">
        <f>IF(OR($B1136="",NOT(ISNUMBER($C1136))),"",IF($D1136&lt;&gt;"",ROUND(Points!$B$6*IF($F1136&lt;Points!$H$4,Points!$H$5,1),0),ROUND(Points!$B$6*IF($F1136&lt;=1,1,Points!$H$7+(1-Points!$H$7)*((($F1136-$E1136)*(($F1136-$E1136)+1)/2)^2-((($F1136-$E1136-COUNTIFS($A$5:$A$1668,$A1136,$C$5:$C$1668,$C1136)+1)-1)*($F1136-$E1136-COUNTIFS($A$5:$A$1668,$A1136,$C$5:$C$1668,$C1136)+1)/2)^2)/(COUNTIFS($A$5:$A$1668,$A1136,$C$5:$C$1668,$C1136)*($F1136-1)^3))*IF($F1136&lt;Points!$H$4,Points!$H$5,1),0)))</f>
        <v/>
      </c>
      <c r="H1136" s="11">
        <f>IF($G1136="","",COUNTIFS($B$5:$B$1668,$B1136,$G$5:$G$1668,"&gt;"&amp;$G1136)+COUNTIFS($B$4:$B1135,$B1136,$G$4:$G1135,$G1136)+1)</f>
        <v/>
      </c>
      <c r="I1136" s="11">
        <f>IF($G1136="","",IF($H1136&lt;=Points!$H$6,$G1136,0))</f>
        <v/>
      </c>
      <c r="J1136" s="11">
        <f>IF($B1136="","",IF(COUNTIF(Players!$A$2:$A$500,$B1136)=0,"Player is not on the Players tab",IF(NOT(ISNUMBER($C1136)),"Enter a gross score",IF(COUNTIFS($A$5:$A$1668,$A1136,$B$5:$B$1668,$B1136)&gt;1,"Player is listed twice this week",IF(AND($D1136&lt;&gt;"",COUNTIFS($A$5:$A$1668,$A1136,$D$5:$D$1668,$D1136)&gt;1),"Two players picked as "&amp;$D1136,IF(COUNTIFS($A$5:$A$1668,$A1136,$D$5:$D$1668,"Gross winner")=0,"Pick this week's gross winner",IF(COUNTIFS($A$5:$A$1668,$A1136,$D$5:$D$1668,"Net winner")=0,"Pick this week's net winner","OK")))))))</f>
        <v/>
      </c>
    </row>
    <row r="1137" outlineLevel="1">
      <c r="A1137" s="13" t="n">
        <v>46638</v>
      </c>
      <c r="E1137" s="11">
        <f>IF(OR($B1137="",NOT(ISNUMBER($C1137))),"",COUNTIFS($A$5:$A$1668,$A1137,$C$5:$C$1668,"&lt;"&amp;$C1137)+1)</f>
        <v/>
      </c>
      <c r="F1137" s="11">
        <f>IF(OR($B1137="",NOT(ISNUMBER($C1137))),"",COUNTIFS($A$5:$A$1668,$A1137,$C$5:$C$1668,"&gt;0"))</f>
        <v/>
      </c>
      <c r="G1137" s="11">
        <f>IF(OR($B1137="",NOT(ISNUMBER($C1137))),"",IF($D1137&lt;&gt;"",ROUND(Points!$B$6*IF($F1137&lt;Points!$H$4,Points!$H$5,1),0),ROUND(Points!$B$6*IF($F1137&lt;=1,1,Points!$H$7+(1-Points!$H$7)*((($F1137-$E1137)*(($F1137-$E1137)+1)/2)^2-((($F1137-$E1137-COUNTIFS($A$5:$A$1668,$A1137,$C$5:$C$1668,$C1137)+1)-1)*($F1137-$E1137-COUNTIFS($A$5:$A$1668,$A1137,$C$5:$C$1668,$C1137)+1)/2)^2)/(COUNTIFS($A$5:$A$1668,$A1137,$C$5:$C$1668,$C1137)*($F1137-1)^3))*IF($F1137&lt;Points!$H$4,Points!$H$5,1),0)))</f>
        <v/>
      </c>
      <c r="H1137" s="11">
        <f>IF($G1137="","",COUNTIFS($B$5:$B$1668,$B1137,$G$5:$G$1668,"&gt;"&amp;$G1137)+COUNTIFS($B$4:$B1136,$B1137,$G$4:$G1136,$G1137)+1)</f>
        <v/>
      </c>
      <c r="I1137" s="11">
        <f>IF($G1137="","",IF($H1137&lt;=Points!$H$6,$G1137,0))</f>
        <v/>
      </c>
      <c r="J1137" s="11">
        <f>IF($B1137="","",IF(COUNTIF(Players!$A$2:$A$500,$B1137)=0,"Player is not on the Players tab",IF(NOT(ISNUMBER($C1137)),"Enter a gross score",IF(COUNTIFS($A$5:$A$1668,$A1137,$B$5:$B$1668,$B1137)&gt;1,"Player is listed twice this week",IF(AND($D1137&lt;&gt;"",COUNTIFS($A$5:$A$1668,$A1137,$D$5:$D$1668,$D1137)&gt;1),"Two players picked as "&amp;$D1137,IF(COUNTIFS($A$5:$A$1668,$A1137,$D$5:$D$1668,"Gross winner")=0,"Pick this week's gross winner",IF(COUNTIFS($A$5:$A$1668,$A1137,$D$5:$D$1668,"Net winner")=0,"Pick this week's net winner","OK")))))))</f>
        <v/>
      </c>
    </row>
    <row r="1138" outlineLevel="1">
      <c r="A1138" s="13" t="n">
        <v>46638</v>
      </c>
      <c r="E1138" s="11">
        <f>IF(OR($B1138="",NOT(ISNUMBER($C1138))),"",COUNTIFS($A$5:$A$1668,$A1138,$C$5:$C$1668,"&lt;"&amp;$C1138)+1)</f>
        <v/>
      </c>
      <c r="F1138" s="11">
        <f>IF(OR($B1138="",NOT(ISNUMBER($C1138))),"",COUNTIFS($A$5:$A$1668,$A1138,$C$5:$C$1668,"&gt;0"))</f>
        <v/>
      </c>
      <c r="G1138" s="11">
        <f>IF(OR($B1138="",NOT(ISNUMBER($C1138))),"",IF($D1138&lt;&gt;"",ROUND(Points!$B$6*IF($F1138&lt;Points!$H$4,Points!$H$5,1),0),ROUND(Points!$B$6*IF($F1138&lt;=1,1,Points!$H$7+(1-Points!$H$7)*((($F1138-$E1138)*(($F1138-$E1138)+1)/2)^2-((($F1138-$E1138-COUNTIFS($A$5:$A$1668,$A1138,$C$5:$C$1668,$C1138)+1)-1)*($F1138-$E1138-COUNTIFS($A$5:$A$1668,$A1138,$C$5:$C$1668,$C1138)+1)/2)^2)/(COUNTIFS($A$5:$A$1668,$A1138,$C$5:$C$1668,$C1138)*($F1138-1)^3))*IF($F1138&lt;Points!$H$4,Points!$H$5,1),0)))</f>
        <v/>
      </c>
      <c r="H1138" s="11">
        <f>IF($G1138="","",COUNTIFS($B$5:$B$1668,$B1138,$G$5:$G$1668,"&gt;"&amp;$G1138)+COUNTIFS($B$4:$B1137,$B1138,$G$4:$G1137,$G1138)+1)</f>
        <v/>
      </c>
      <c r="I1138" s="11">
        <f>IF($G1138="","",IF($H1138&lt;=Points!$H$6,$G1138,0))</f>
        <v/>
      </c>
      <c r="J1138" s="11">
        <f>IF($B1138="","",IF(COUNTIF(Players!$A$2:$A$500,$B1138)=0,"Player is not on the Players tab",IF(NOT(ISNUMBER($C1138)),"Enter a gross score",IF(COUNTIFS($A$5:$A$1668,$A1138,$B$5:$B$1668,$B1138)&gt;1,"Player is listed twice this week",IF(AND($D1138&lt;&gt;"",COUNTIFS($A$5:$A$1668,$A1138,$D$5:$D$1668,$D1138)&gt;1),"Two players picked as "&amp;$D1138,IF(COUNTIFS($A$5:$A$1668,$A1138,$D$5:$D$1668,"Gross winner")=0,"Pick this week's gross winner",IF(COUNTIFS($A$5:$A$1668,$A1138,$D$5:$D$1668,"Net winner")=0,"Pick this week's net winner","OK")))))))</f>
        <v/>
      </c>
    </row>
    <row r="1139" outlineLevel="1">
      <c r="A1139" s="13" t="n">
        <v>46638</v>
      </c>
      <c r="E1139" s="11">
        <f>IF(OR($B1139="",NOT(ISNUMBER($C1139))),"",COUNTIFS($A$5:$A$1668,$A1139,$C$5:$C$1668,"&lt;"&amp;$C1139)+1)</f>
        <v/>
      </c>
      <c r="F1139" s="11">
        <f>IF(OR($B1139="",NOT(ISNUMBER($C1139))),"",COUNTIFS($A$5:$A$1668,$A1139,$C$5:$C$1668,"&gt;0"))</f>
        <v/>
      </c>
      <c r="G1139" s="11">
        <f>IF(OR($B1139="",NOT(ISNUMBER($C1139))),"",IF($D1139&lt;&gt;"",ROUND(Points!$B$6*IF($F1139&lt;Points!$H$4,Points!$H$5,1),0),ROUND(Points!$B$6*IF($F1139&lt;=1,1,Points!$H$7+(1-Points!$H$7)*((($F1139-$E1139)*(($F1139-$E1139)+1)/2)^2-((($F1139-$E1139-COUNTIFS($A$5:$A$1668,$A1139,$C$5:$C$1668,$C1139)+1)-1)*($F1139-$E1139-COUNTIFS($A$5:$A$1668,$A1139,$C$5:$C$1668,$C1139)+1)/2)^2)/(COUNTIFS($A$5:$A$1668,$A1139,$C$5:$C$1668,$C1139)*($F1139-1)^3))*IF($F1139&lt;Points!$H$4,Points!$H$5,1),0)))</f>
        <v/>
      </c>
      <c r="H1139" s="11">
        <f>IF($G1139="","",COUNTIFS($B$5:$B$1668,$B1139,$G$5:$G$1668,"&gt;"&amp;$G1139)+COUNTIFS($B$4:$B1138,$B1139,$G$4:$G1138,$G1139)+1)</f>
        <v/>
      </c>
      <c r="I1139" s="11">
        <f>IF($G1139="","",IF($H1139&lt;=Points!$H$6,$G1139,0))</f>
        <v/>
      </c>
      <c r="J1139" s="11">
        <f>IF($B1139="","",IF(COUNTIF(Players!$A$2:$A$500,$B1139)=0,"Player is not on the Players tab",IF(NOT(ISNUMBER($C1139)),"Enter a gross score",IF(COUNTIFS($A$5:$A$1668,$A1139,$B$5:$B$1668,$B1139)&gt;1,"Player is listed twice this week",IF(AND($D1139&lt;&gt;"",COUNTIFS($A$5:$A$1668,$A1139,$D$5:$D$1668,$D1139)&gt;1),"Two players picked as "&amp;$D1139,IF(COUNTIFS($A$5:$A$1668,$A1139,$D$5:$D$1668,"Gross winner")=0,"Pick this week's gross winner",IF(COUNTIFS($A$5:$A$1668,$A1139,$D$5:$D$1668,"Net winner")=0,"Pick this week's net winner","OK")))))))</f>
        <v/>
      </c>
    </row>
    <row r="1140" outlineLevel="1">
      <c r="A1140" s="13" t="n">
        <v>46638</v>
      </c>
      <c r="E1140" s="11">
        <f>IF(OR($B1140="",NOT(ISNUMBER($C1140))),"",COUNTIFS($A$5:$A$1668,$A1140,$C$5:$C$1668,"&lt;"&amp;$C1140)+1)</f>
        <v/>
      </c>
      <c r="F1140" s="11">
        <f>IF(OR($B1140="",NOT(ISNUMBER($C1140))),"",COUNTIFS($A$5:$A$1668,$A1140,$C$5:$C$1668,"&gt;0"))</f>
        <v/>
      </c>
      <c r="G1140" s="11">
        <f>IF(OR($B1140="",NOT(ISNUMBER($C1140))),"",IF($D1140&lt;&gt;"",ROUND(Points!$B$6*IF($F1140&lt;Points!$H$4,Points!$H$5,1),0),ROUND(Points!$B$6*IF($F1140&lt;=1,1,Points!$H$7+(1-Points!$H$7)*((($F1140-$E1140)*(($F1140-$E1140)+1)/2)^2-((($F1140-$E1140-COUNTIFS($A$5:$A$1668,$A1140,$C$5:$C$1668,$C1140)+1)-1)*($F1140-$E1140-COUNTIFS($A$5:$A$1668,$A1140,$C$5:$C$1668,$C1140)+1)/2)^2)/(COUNTIFS($A$5:$A$1668,$A1140,$C$5:$C$1668,$C1140)*($F1140-1)^3))*IF($F1140&lt;Points!$H$4,Points!$H$5,1),0)))</f>
        <v/>
      </c>
      <c r="H1140" s="11">
        <f>IF($G1140="","",COUNTIFS($B$5:$B$1668,$B1140,$G$5:$G$1668,"&gt;"&amp;$G1140)+COUNTIFS($B$4:$B1139,$B1140,$G$4:$G1139,$G1140)+1)</f>
        <v/>
      </c>
      <c r="I1140" s="11">
        <f>IF($G1140="","",IF($H1140&lt;=Points!$H$6,$G1140,0))</f>
        <v/>
      </c>
      <c r="J1140" s="11">
        <f>IF($B1140="","",IF(COUNTIF(Players!$A$2:$A$500,$B1140)=0,"Player is not on the Players tab",IF(NOT(ISNUMBER($C1140)),"Enter a gross score",IF(COUNTIFS($A$5:$A$1668,$A1140,$B$5:$B$1668,$B1140)&gt;1,"Player is listed twice this week",IF(AND($D1140&lt;&gt;"",COUNTIFS($A$5:$A$1668,$A1140,$D$5:$D$1668,$D1140)&gt;1),"Two players picked as "&amp;$D1140,IF(COUNTIFS($A$5:$A$1668,$A1140,$D$5:$D$1668,"Gross winner")=0,"Pick this week's gross winner",IF(COUNTIFS($A$5:$A$1668,$A1140,$D$5:$D$1668,"Net winner")=0,"Pick this week's net winner","OK")))))))</f>
        <v/>
      </c>
    </row>
    <row r="1141" outlineLevel="1">
      <c r="A1141" s="13" t="n">
        <v>46638</v>
      </c>
      <c r="E1141" s="11">
        <f>IF(OR($B1141="",NOT(ISNUMBER($C1141))),"",COUNTIFS($A$5:$A$1668,$A1141,$C$5:$C$1668,"&lt;"&amp;$C1141)+1)</f>
        <v/>
      </c>
      <c r="F1141" s="11">
        <f>IF(OR($B1141="",NOT(ISNUMBER($C1141))),"",COUNTIFS($A$5:$A$1668,$A1141,$C$5:$C$1668,"&gt;0"))</f>
        <v/>
      </c>
      <c r="G1141" s="11">
        <f>IF(OR($B1141="",NOT(ISNUMBER($C1141))),"",IF($D1141&lt;&gt;"",ROUND(Points!$B$6*IF($F1141&lt;Points!$H$4,Points!$H$5,1),0),ROUND(Points!$B$6*IF($F1141&lt;=1,1,Points!$H$7+(1-Points!$H$7)*((($F1141-$E1141)*(($F1141-$E1141)+1)/2)^2-((($F1141-$E1141-COUNTIFS($A$5:$A$1668,$A1141,$C$5:$C$1668,$C1141)+1)-1)*($F1141-$E1141-COUNTIFS($A$5:$A$1668,$A1141,$C$5:$C$1668,$C1141)+1)/2)^2)/(COUNTIFS($A$5:$A$1668,$A1141,$C$5:$C$1668,$C1141)*($F1141-1)^3))*IF($F1141&lt;Points!$H$4,Points!$H$5,1),0)))</f>
        <v/>
      </c>
      <c r="H1141" s="11">
        <f>IF($G1141="","",COUNTIFS($B$5:$B$1668,$B1141,$G$5:$G$1668,"&gt;"&amp;$G1141)+COUNTIFS($B$4:$B1140,$B1141,$G$4:$G1140,$G1141)+1)</f>
        <v/>
      </c>
      <c r="I1141" s="11">
        <f>IF($G1141="","",IF($H1141&lt;=Points!$H$6,$G1141,0))</f>
        <v/>
      </c>
      <c r="J1141" s="11">
        <f>IF($B1141="","",IF(COUNTIF(Players!$A$2:$A$500,$B1141)=0,"Player is not on the Players tab",IF(NOT(ISNUMBER($C1141)),"Enter a gross score",IF(COUNTIFS($A$5:$A$1668,$A1141,$B$5:$B$1668,$B1141)&gt;1,"Player is listed twice this week",IF(AND($D1141&lt;&gt;"",COUNTIFS($A$5:$A$1668,$A1141,$D$5:$D$1668,$D1141)&gt;1),"Two players picked as "&amp;$D1141,IF(COUNTIFS($A$5:$A$1668,$A1141,$D$5:$D$1668,"Gross winner")=0,"Pick this week's gross winner",IF(COUNTIFS($A$5:$A$1668,$A1141,$D$5:$D$1668,"Net winner")=0,"Pick this week's net winner","OK")))))))</f>
        <v/>
      </c>
    </row>
    <row r="1142" outlineLevel="1">
      <c r="A1142" s="13" t="n">
        <v>46638</v>
      </c>
      <c r="E1142" s="11">
        <f>IF(OR($B1142="",NOT(ISNUMBER($C1142))),"",COUNTIFS($A$5:$A$1668,$A1142,$C$5:$C$1668,"&lt;"&amp;$C1142)+1)</f>
        <v/>
      </c>
      <c r="F1142" s="11">
        <f>IF(OR($B1142="",NOT(ISNUMBER($C1142))),"",COUNTIFS($A$5:$A$1668,$A1142,$C$5:$C$1668,"&gt;0"))</f>
        <v/>
      </c>
      <c r="G1142" s="11">
        <f>IF(OR($B1142="",NOT(ISNUMBER($C1142))),"",IF($D1142&lt;&gt;"",ROUND(Points!$B$6*IF($F1142&lt;Points!$H$4,Points!$H$5,1),0),ROUND(Points!$B$6*IF($F1142&lt;=1,1,Points!$H$7+(1-Points!$H$7)*((($F1142-$E1142)*(($F1142-$E1142)+1)/2)^2-((($F1142-$E1142-COUNTIFS($A$5:$A$1668,$A1142,$C$5:$C$1668,$C1142)+1)-1)*($F1142-$E1142-COUNTIFS($A$5:$A$1668,$A1142,$C$5:$C$1668,$C1142)+1)/2)^2)/(COUNTIFS($A$5:$A$1668,$A1142,$C$5:$C$1668,$C1142)*($F1142-1)^3))*IF($F1142&lt;Points!$H$4,Points!$H$5,1),0)))</f>
        <v/>
      </c>
      <c r="H1142" s="11">
        <f>IF($G1142="","",COUNTIFS($B$5:$B$1668,$B1142,$G$5:$G$1668,"&gt;"&amp;$G1142)+COUNTIFS($B$4:$B1141,$B1142,$G$4:$G1141,$G1142)+1)</f>
        <v/>
      </c>
      <c r="I1142" s="11">
        <f>IF($G1142="","",IF($H1142&lt;=Points!$H$6,$G1142,0))</f>
        <v/>
      </c>
      <c r="J1142" s="11">
        <f>IF($B1142="","",IF(COUNTIF(Players!$A$2:$A$500,$B1142)=0,"Player is not on the Players tab",IF(NOT(ISNUMBER($C1142)),"Enter a gross score",IF(COUNTIFS($A$5:$A$1668,$A1142,$B$5:$B$1668,$B1142)&gt;1,"Player is listed twice this week",IF(AND($D1142&lt;&gt;"",COUNTIFS($A$5:$A$1668,$A1142,$D$5:$D$1668,$D1142)&gt;1),"Two players picked as "&amp;$D1142,IF(COUNTIFS($A$5:$A$1668,$A1142,$D$5:$D$1668,"Gross winner")=0,"Pick this week's gross winner",IF(COUNTIFS($A$5:$A$1668,$A1142,$D$5:$D$1668,"Net winner")=0,"Pick this week's net winner","OK")))))))</f>
        <v/>
      </c>
    </row>
    <row r="1143" outlineLevel="1">
      <c r="A1143" s="13" t="n">
        <v>46638</v>
      </c>
      <c r="E1143" s="11">
        <f>IF(OR($B1143="",NOT(ISNUMBER($C1143))),"",COUNTIFS($A$5:$A$1668,$A1143,$C$5:$C$1668,"&lt;"&amp;$C1143)+1)</f>
        <v/>
      </c>
      <c r="F1143" s="11">
        <f>IF(OR($B1143="",NOT(ISNUMBER($C1143))),"",COUNTIFS($A$5:$A$1668,$A1143,$C$5:$C$1668,"&gt;0"))</f>
        <v/>
      </c>
      <c r="G1143" s="11">
        <f>IF(OR($B1143="",NOT(ISNUMBER($C1143))),"",IF($D1143&lt;&gt;"",ROUND(Points!$B$6*IF($F1143&lt;Points!$H$4,Points!$H$5,1),0),ROUND(Points!$B$6*IF($F1143&lt;=1,1,Points!$H$7+(1-Points!$H$7)*((($F1143-$E1143)*(($F1143-$E1143)+1)/2)^2-((($F1143-$E1143-COUNTIFS($A$5:$A$1668,$A1143,$C$5:$C$1668,$C1143)+1)-1)*($F1143-$E1143-COUNTIFS($A$5:$A$1668,$A1143,$C$5:$C$1668,$C1143)+1)/2)^2)/(COUNTIFS($A$5:$A$1668,$A1143,$C$5:$C$1668,$C1143)*($F1143-1)^3))*IF($F1143&lt;Points!$H$4,Points!$H$5,1),0)))</f>
        <v/>
      </c>
      <c r="H1143" s="11">
        <f>IF($G1143="","",COUNTIFS($B$5:$B$1668,$B1143,$G$5:$G$1668,"&gt;"&amp;$G1143)+COUNTIFS($B$4:$B1142,$B1143,$G$4:$G1142,$G1143)+1)</f>
        <v/>
      </c>
      <c r="I1143" s="11">
        <f>IF($G1143="","",IF($H1143&lt;=Points!$H$6,$G1143,0))</f>
        <v/>
      </c>
      <c r="J1143" s="11">
        <f>IF($B1143="","",IF(COUNTIF(Players!$A$2:$A$500,$B1143)=0,"Player is not on the Players tab",IF(NOT(ISNUMBER($C1143)),"Enter a gross score",IF(COUNTIFS($A$5:$A$1668,$A1143,$B$5:$B$1668,$B1143)&gt;1,"Player is listed twice this week",IF(AND($D1143&lt;&gt;"",COUNTIFS($A$5:$A$1668,$A1143,$D$5:$D$1668,$D1143)&gt;1),"Two players picked as "&amp;$D1143,IF(COUNTIFS($A$5:$A$1668,$A1143,$D$5:$D$1668,"Gross winner")=0,"Pick this week's gross winner",IF(COUNTIFS($A$5:$A$1668,$A1143,$D$5:$D$1668,"Net winner")=0,"Pick this week's net winner","OK")))))))</f>
        <v/>
      </c>
    </row>
    <row r="1144" outlineLevel="1">
      <c r="A1144" s="13" t="n">
        <v>46638</v>
      </c>
      <c r="E1144" s="11">
        <f>IF(OR($B1144="",NOT(ISNUMBER($C1144))),"",COUNTIFS($A$5:$A$1668,$A1144,$C$5:$C$1668,"&lt;"&amp;$C1144)+1)</f>
        <v/>
      </c>
      <c r="F1144" s="11">
        <f>IF(OR($B1144="",NOT(ISNUMBER($C1144))),"",COUNTIFS($A$5:$A$1668,$A1144,$C$5:$C$1668,"&gt;0"))</f>
        <v/>
      </c>
      <c r="G1144" s="11">
        <f>IF(OR($B1144="",NOT(ISNUMBER($C1144))),"",IF($D1144&lt;&gt;"",ROUND(Points!$B$6*IF($F1144&lt;Points!$H$4,Points!$H$5,1),0),ROUND(Points!$B$6*IF($F1144&lt;=1,1,Points!$H$7+(1-Points!$H$7)*((($F1144-$E1144)*(($F1144-$E1144)+1)/2)^2-((($F1144-$E1144-COUNTIFS($A$5:$A$1668,$A1144,$C$5:$C$1668,$C1144)+1)-1)*($F1144-$E1144-COUNTIFS($A$5:$A$1668,$A1144,$C$5:$C$1668,$C1144)+1)/2)^2)/(COUNTIFS($A$5:$A$1668,$A1144,$C$5:$C$1668,$C1144)*($F1144-1)^3))*IF($F1144&lt;Points!$H$4,Points!$H$5,1),0)))</f>
        <v/>
      </c>
      <c r="H1144" s="11">
        <f>IF($G1144="","",COUNTIFS($B$5:$B$1668,$B1144,$G$5:$G$1668,"&gt;"&amp;$G1144)+COUNTIFS($B$4:$B1143,$B1144,$G$4:$G1143,$G1144)+1)</f>
        <v/>
      </c>
      <c r="I1144" s="11">
        <f>IF($G1144="","",IF($H1144&lt;=Points!$H$6,$G1144,0))</f>
        <v/>
      </c>
      <c r="J1144" s="11">
        <f>IF($B1144="","",IF(COUNTIF(Players!$A$2:$A$500,$B1144)=0,"Player is not on the Players tab",IF(NOT(ISNUMBER($C1144)),"Enter a gross score",IF(COUNTIFS($A$5:$A$1668,$A1144,$B$5:$B$1668,$B1144)&gt;1,"Player is listed twice this week",IF(AND($D1144&lt;&gt;"",COUNTIFS($A$5:$A$1668,$A1144,$D$5:$D$1668,$D1144)&gt;1),"Two players picked as "&amp;$D1144,IF(COUNTIFS($A$5:$A$1668,$A1144,$D$5:$D$1668,"Gross winner")=0,"Pick this week's gross winner",IF(COUNTIFS($A$5:$A$1668,$A1144,$D$5:$D$1668,"Net winner")=0,"Pick this week's net winner","OK")))))))</f>
        <v/>
      </c>
    </row>
    <row r="1145" outlineLevel="1">
      <c r="A1145" s="13" t="n">
        <v>46638</v>
      </c>
      <c r="E1145" s="11">
        <f>IF(OR($B1145="",NOT(ISNUMBER($C1145))),"",COUNTIFS($A$5:$A$1668,$A1145,$C$5:$C$1668,"&lt;"&amp;$C1145)+1)</f>
        <v/>
      </c>
      <c r="F1145" s="11">
        <f>IF(OR($B1145="",NOT(ISNUMBER($C1145))),"",COUNTIFS($A$5:$A$1668,$A1145,$C$5:$C$1668,"&gt;0"))</f>
        <v/>
      </c>
      <c r="G1145" s="11">
        <f>IF(OR($B1145="",NOT(ISNUMBER($C1145))),"",IF($D1145&lt;&gt;"",ROUND(Points!$B$6*IF($F1145&lt;Points!$H$4,Points!$H$5,1),0),ROUND(Points!$B$6*IF($F1145&lt;=1,1,Points!$H$7+(1-Points!$H$7)*((($F1145-$E1145)*(($F1145-$E1145)+1)/2)^2-((($F1145-$E1145-COUNTIFS($A$5:$A$1668,$A1145,$C$5:$C$1668,$C1145)+1)-1)*($F1145-$E1145-COUNTIFS($A$5:$A$1668,$A1145,$C$5:$C$1668,$C1145)+1)/2)^2)/(COUNTIFS($A$5:$A$1668,$A1145,$C$5:$C$1668,$C1145)*($F1145-1)^3))*IF($F1145&lt;Points!$H$4,Points!$H$5,1),0)))</f>
        <v/>
      </c>
      <c r="H1145" s="11">
        <f>IF($G1145="","",COUNTIFS($B$5:$B$1668,$B1145,$G$5:$G$1668,"&gt;"&amp;$G1145)+COUNTIFS($B$4:$B1144,$B1145,$G$4:$G1144,$G1145)+1)</f>
        <v/>
      </c>
      <c r="I1145" s="11">
        <f>IF($G1145="","",IF($H1145&lt;=Points!$H$6,$G1145,0))</f>
        <v/>
      </c>
      <c r="J1145" s="11">
        <f>IF($B1145="","",IF(COUNTIF(Players!$A$2:$A$500,$B1145)=0,"Player is not on the Players tab",IF(NOT(ISNUMBER($C1145)),"Enter a gross score",IF(COUNTIFS($A$5:$A$1668,$A1145,$B$5:$B$1668,$B1145)&gt;1,"Player is listed twice this week",IF(AND($D1145&lt;&gt;"",COUNTIFS($A$5:$A$1668,$A1145,$D$5:$D$1668,$D1145)&gt;1),"Two players picked as "&amp;$D1145,IF(COUNTIFS($A$5:$A$1668,$A1145,$D$5:$D$1668,"Gross winner")=0,"Pick this week's gross winner",IF(COUNTIFS($A$5:$A$1668,$A1145,$D$5:$D$1668,"Net winner")=0,"Pick this week's net winner","OK")))))))</f>
        <v/>
      </c>
    </row>
    <row r="1146" outlineLevel="1">
      <c r="A1146" s="13" t="n">
        <v>46638</v>
      </c>
      <c r="E1146" s="11">
        <f>IF(OR($B1146="",NOT(ISNUMBER($C1146))),"",COUNTIFS($A$5:$A$1668,$A1146,$C$5:$C$1668,"&lt;"&amp;$C1146)+1)</f>
        <v/>
      </c>
      <c r="F1146" s="11">
        <f>IF(OR($B1146="",NOT(ISNUMBER($C1146))),"",COUNTIFS($A$5:$A$1668,$A1146,$C$5:$C$1668,"&gt;0"))</f>
        <v/>
      </c>
      <c r="G1146" s="11">
        <f>IF(OR($B1146="",NOT(ISNUMBER($C1146))),"",IF($D1146&lt;&gt;"",ROUND(Points!$B$6*IF($F1146&lt;Points!$H$4,Points!$H$5,1),0),ROUND(Points!$B$6*IF($F1146&lt;=1,1,Points!$H$7+(1-Points!$H$7)*((($F1146-$E1146)*(($F1146-$E1146)+1)/2)^2-((($F1146-$E1146-COUNTIFS($A$5:$A$1668,$A1146,$C$5:$C$1668,$C1146)+1)-1)*($F1146-$E1146-COUNTIFS($A$5:$A$1668,$A1146,$C$5:$C$1668,$C1146)+1)/2)^2)/(COUNTIFS($A$5:$A$1668,$A1146,$C$5:$C$1668,$C1146)*($F1146-1)^3))*IF($F1146&lt;Points!$H$4,Points!$H$5,1),0)))</f>
        <v/>
      </c>
      <c r="H1146" s="11">
        <f>IF($G1146="","",COUNTIFS($B$5:$B$1668,$B1146,$G$5:$G$1668,"&gt;"&amp;$G1146)+COUNTIFS($B$4:$B1145,$B1146,$G$4:$G1145,$G1146)+1)</f>
        <v/>
      </c>
      <c r="I1146" s="11">
        <f>IF($G1146="","",IF($H1146&lt;=Points!$H$6,$G1146,0))</f>
        <v/>
      </c>
      <c r="J1146" s="11">
        <f>IF($B1146="","",IF(COUNTIF(Players!$A$2:$A$500,$B1146)=0,"Player is not on the Players tab",IF(NOT(ISNUMBER($C1146)),"Enter a gross score",IF(COUNTIFS($A$5:$A$1668,$A1146,$B$5:$B$1668,$B1146)&gt;1,"Player is listed twice this week",IF(AND($D1146&lt;&gt;"",COUNTIFS($A$5:$A$1668,$A1146,$D$5:$D$1668,$D1146)&gt;1),"Two players picked as "&amp;$D1146,IF(COUNTIFS($A$5:$A$1668,$A1146,$D$5:$D$1668,"Gross winner")=0,"Pick this week's gross winner",IF(COUNTIFS($A$5:$A$1668,$A1146,$D$5:$D$1668,"Net winner")=0,"Pick this week's net winner","OK")))))))</f>
        <v/>
      </c>
    </row>
    <row r="1147" outlineLevel="1">
      <c r="A1147" s="13" t="n">
        <v>46638</v>
      </c>
      <c r="E1147" s="11">
        <f>IF(OR($B1147="",NOT(ISNUMBER($C1147))),"",COUNTIFS($A$5:$A$1668,$A1147,$C$5:$C$1668,"&lt;"&amp;$C1147)+1)</f>
        <v/>
      </c>
      <c r="F1147" s="11">
        <f>IF(OR($B1147="",NOT(ISNUMBER($C1147))),"",COUNTIFS($A$5:$A$1668,$A1147,$C$5:$C$1668,"&gt;0"))</f>
        <v/>
      </c>
      <c r="G1147" s="11">
        <f>IF(OR($B1147="",NOT(ISNUMBER($C1147))),"",IF($D1147&lt;&gt;"",ROUND(Points!$B$6*IF($F1147&lt;Points!$H$4,Points!$H$5,1),0),ROUND(Points!$B$6*IF($F1147&lt;=1,1,Points!$H$7+(1-Points!$H$7)*((($F1147-$E1147)*(($F1147-$E1147)+1)/2)^2-((($F1147-$E1147-COUNTIFS($A$5:$A$1668,$A1147,$C$5:$C$1668,$C1147)+1)-1)*($F1147-$E1147-COUNTIFS($A$5:$A$1668,$A1147,$C$5:$C$1668,$C1147)+1)/2)^2)/(COUNTIFS($A$5:$A$1668,$A1147,$C$5:$C$1668,$C1147)*($F1147-1)^3))*IF($F1147&lt;Points!$H$4,Points!$H$5,1),0)))</f>
        <v/>
      </c>
      <c r="H1147" s="11">
        <f>IF($G1147="","",COUNTIFS($B$5:$B$1668,$B1147,$G$5:$G$1668,"&gt;"&amp;$G1147)+COUNTIFS($B$4:$B1146,$B1147,$G$4:$G1146,$G1147)+1)</f>
        <v/>
      </c>
      <c r="I1147" s="11">
        <f>IF($G1147="","",IF($H1147&lt;=Points!$H$6,$G1147,0))</f>
        <v/>
      </c>
      <c r="J1147" s="11">
        <f>IF($B1147="","",IF(COUNTIF(Players!$A$2:$A$500,$B1147)=0,"Player is not on the Players tab",IF(NOT(ISNUMBER($C1147)),"Enter a gross score",IF(COUNTIFS($A$5:$A$1668,$A1147,$B$5:$B$1668,$B1147)&gt;1,"Player is listed twice this week",IF(AND($D1147&lt;&gt;"",COUNTIFS($A$5:$A$1668,$A1147,$D$5:$D$1668,$D1147)&gt;1),"Two players picked as "&amp;$D1147,IF(COUNTIFS($A$5:$A$1668,$A1147,$D$5:$D$1668,"Gross winner")=0,"Pick this week's gross winner",IF(COUNTIFS($A$5:$A$1668,$A1147,$D$5:$D$1668,"Net winner")=0,"Pick this week's net winner","OK")))))))</f>
        <v/>
      </c>
    </row>
    <row r="1148" outlineLevel="1">
      <c r="A1148" s="13" t="n">
        <v>46638</v>
      </c>
      <c r="E1148" s="11">
        <f>IF(OR($B1148="",NOT(ISNUMBER($C1148))),"",COUNTIFS($A$5:$A$1668,$A1148,$C$5:$C$1668,"&lt;"&amp;$C1148)+1)</f>
        <v/>
      </c>
      <c r="F1148" s="11">
        <f>IF(OR($B1148="",NOT(ISNUMBER($C1148))),"",COUNTIFS($A$5:$A$1668,$A1148,$C$5:$C$1668,"&gt;0"))</f>
        <v/>
      </c>
      <c r="G1148" s="11">
        <f>IF(OR($B1148="",NOT(ISNUMBER($C1148))),"",IF($D1148&lt;&gt;"",ROUND(Points!$B$6*IF($F1148&lt;Points!$H$4,Points!$H$5,1),0),ROUND(Points!$B$6*IF($F1148&lt;=1,1,Points!$H$7+(1-Points!$H$7)*((($F1148-$E1148)*(($F1148-$E1148)+1)/2)^2-((($F1148-$E1148-COUNTIFS($A$5:$A$1668,$A1148,$C$5:$C$1668,$C1148)+1)-1)*($F1148-$E1148-COUNTIFS($A$5:$A$1668,$A1148,$C$5:$C$1668,$C1148)+1)/2)^2)/(COUNTIFS($A$5:$A$1668,$A1148,$C$5:$C$1668,$C1148)*($F1148-1)^3))*IF($F1148&lt;Points!$H$4,Points!$H$5,1),0)))</f>
        <v/>
      </c>
      <c r="H1148" s="11">
        <f>IF($G1148="","",COUNTIFS($B$5:$B$1668,$B1148,$G$5:$G$1668,"&gt;"&amp;$G1148)+COUNTIFS($B$4:$B1147,$B1148,$G$4:$G1147,$G1148)+1)</f>
        <v/>
      </c>
      <c r="I1148" s="11">
        <f>IF($G1148="","",IF($H1148&lt;=Points!$H$6,$G1148,0))</f>
        <v/>
      </c>
      <c r="J1148" s="11">
        <f>IF($B1148="","",IF(COUNTIF(Players!$A$2:$A$500,$B1148)=0,"Player is not on the Players tab",IF(NOT(ISNUMBER($C1148)),"Enter a gross score",IF(COUNTIFS($A$5:$A$1668,$A1148,$B$5:$B$1668,$B1148)&gt;1,"Player is listed twice this week",IF(AND($D1148&lt;&gt;"",COUNTIFS($A$5:$A$1668,$A1148,$D$5:$D$1668,$D1148)&gt;1),"Two players picked as "&amp;$D1148,IF(COUNTIFS($A$5:$A$1668,$A1148,$D$5:$D$1668,"Gross winner")=0,"Pick this week's gross winner",IF(COUNTIFS($A$5:$A$1668,$A1148,$D$5:$D$1668,"Net winner")=0,"Pick this week's net winner","OK")))))))</f>
        <v/>
      </c>
    </row>
    <row r="1149" outlineLevel="1">
      <c r="A1149" s="13" t="n">
        <v>46638</v>
      </c>
      <c r="E1149" s="11">
        <f>IF(OR($B1149="",NOT(ISNUMBER($C1149))),"",COUNTIFS($A$5:$A$1668,$A1149,$C$5:$C$1668,"&lt;"&amp;$C1149)+1)</f>
        <v/>
      </c>
      <c r="F1149" s="11">
        <f>IF(OR($B1149="",NOT(ISNUMBER($C1149))),"",COUNTIFS($A$5:$A$1668,$A1149,$C$5:$C$1668,"&gt;0"))</f>
        <v/>
      </c>
      <c r="G1149" s="11">
        <f>IF(OR($B1149="",NOT(ISNUMBER($C1149))),"",IF($D1149&lt;&gt;"",ROUND(Points!$B$6*IF($F1149&lt;Points!$H$4,Points!$H$5,1),0),ROUND(Points!$B$6*IF($F1149&lt;=1,1,Points!$H$7+(1-Points!$H$7)*((($F1149-$E1149)*(($F1149-$E1149)+1)/2)^2-((($F1149-$E1149-COUNTIFS($A$5:$A$1668,$A1149,$C$5:$C$1668,$C1149)+1)-1)*($F1149-$E1149-COUNTIFS($A$5:$A$1668,$A1149,$C$5:$C$1668,$C1149)+1)/2)^2)/(COUNTIFS($A$5:$A$1668,$A1149,$C$5:$C$1668,$C1149)*($F1149-1)^3))*IF($F1149&lt;Points!$H$4,Points!$H$5,1),0)))</f>
        <v/>
      </c>
      <c r="H1149" s="11">
        <f>IF($G1149="","",COUNTIFS($B$5:$B$1668,$B1149,$G$5:$G$1668,"&gt;"&amp;$G1149)+COUNTIFS($B$4:$B1148,$B1149,$G$4:$G1148,$G1149)+1)</f>
        <v/>
      </c>
      <c r="I1149" s="11">
        <f>IF($G1149="","",IF($H1149&lt;=Points!$H$6,$G1149,0))</f>
        <v/>
      </c>
      <c r="J1149" s="11">
        <f>IF($B1149="","",IF(COUNTIF(Players!$A$2:$A$500,$B1149)=0,"Player is not on the Players tab",IF(NOT(ISNUMBER($C1149)),"Enter a gross score",IF(COUNTIFS($A$5:$A$1668,$A1149,$B$5:$B$1668,$B1149)&gt;1,"Player is listed twice this week",IF(AND($D1149&lt;&gt;"",COUNTIFS($A$5:$A$1668,$A1149,$D$5:$D$1668,$D1149)&gt;1),"Two players picked as "&amp;$D1149,IF(COUNTIFS($A$5:$A$1668,$A1149,$D$5:$D$1668,"Gross winner")=0,"Pick this week's gross winner",IF(COUNTIFS($A$5:$A$1668,$A1149,$D$5:$D$1668,"Net winner")=0,"Pick this week's net winner","OK")))))))</f>
        <v/>
      </c>
    </row>
    <row r="1150" outlineLevel="1">
      <c r="A1150" s="13" t="n">
        <v>46638</v>
      </c>
      <c r="E1150" s="11">
        <f>IF(OR($B1150="",NOT(ISNUMBER($C1150))),"",COUNTIFS($A$5:$A$1668,$A1150,$C$5:$C$1668,"&lt;"&amp;$C1150)+1)</f>
        <v/>
      </c>
      <c r="F1150" s="11">
        <f>IF(OR($B1150="",NOT(ISNUMBER($C1150))),"",COUNTIFS($A$5:$A$1668,$A1150,$C$5:$C$1668,"&gt;0"))</f>
        <v/>
      </c>
      <c r="G1150" s="11">
        <f>IF(OR($B1150="",NOT(ISNUMBER($C1150))),"",IF($D1150&lt;&gt;"",ROUND(Points!$B$6*IF($F1150&lt;Points!$H$4,Points!$H$5,1),0),ROUND(Points!$B$6*IF($F1150&lt;=1,1,Points!$H$7+(1-Points!$H$7)*((($F1150-$E1150)*(($F1150-$E1150)+1)/2)^2-((($F1150-$E1150-COUNTIFS($A$5:$A$1668,$A1150,$C$5:$C$1668,$C1150)+1)-1)*($F1150-$E1150-COUNTIFS($A$5:$A$1668,$A1150,$C$5:$C$1668,$C1150)+1)/2)^2)/(COUNTIFS($A$5:$A$1668,$A1150,$C$5:$C$1668,$C1150)*($F1150-1)^3))*IF($F1150&lt;Points!$H$4,Points!$H$5,1),0)))</f>
        <v/>
      </c>
      <c r="H1150" s="11">
        <f>IF($G1150="","",COUNTIFS($B$5:$B$1668,$B1150,$G$5:$G$1668,"&gt;"&amp;$G1150)+COUNTIFS($B$4:$B1149,$B1150,$G$4:$G1149,$G1150)+1)</f>
        <v/>
      </c>
      <c r="I1150" s="11">
        <f>IF($G1150="","",IF($H1150&lt;=Points!$H$6,$G1150,0))</f>
        <v/>
      </c>
      <c r="J1150" s="11">
        <f>IF($B1150="","",IF(COUNTIF(Players!$A$2:$A$500,$B1150)=0,"Player is not on the Players tab",IF(NOT(ISNUMBER($C1150)),"Enter a gross score",IF(COUNTIFS($A$5:$A$1668,$A1150,$B$5:$B$1668,$B1150)&gt;1,"Player is listed twice this week",IF(AND($D1150&lt;&gt;"",COUNTIFS($A$5:$A$1668,$A1150,$D$5:$D$1668,$D1150)&gt;1),"Two players picked as "&amp;$D1150,IF(COUNTIFS($A$5:$A$1668,$A1150,$D$5:$D$1668,"Gross winner")=0,"Pick this week's gross winner",IF(COUNTIFS($A$5:$A$1668,$A1150,$D$5:$D$1668,"Net winner")=0,"Pick this week's net winner","OK")))))))</f>
        <v/>
      </c>
    </row>
    <row r="1151" outlineLevel="1">
      <c r="A1151" s="13" t="n">
        <v>46638</v>
      </c>
      <c r="E1151" s="11">
        <f>IF(OR($B1151="",NOT(ISNUMBER($C1151))),"",COUNTIFS($A$5:$A$1668,$A1151,$C$5:$C$1668,"&lt;"&amp;$C1151)+1)</f>
        <v/>
      </c>
      <c r="F1151" s="11">
        <f>IF(OR($B1151="",NOT(ISNUMBER($C1151))),"",COUNTIFS($A$5:$A$1668,$A1151,$C$5:$C$1668,"&gt;0"))</f>
        <v/>
      </c>
      <c r="G1151" s="11">
        <f>IF(OR($B1151="",NOT(ISNUMBER($C1151))),"",IF($D1151&lt;&gt;"",ROUND(Points!$B$6*IF($F1151&lt;Points!$H$4,Points!$H$5,1),0),ROUND(Points!$B$6*IF($F1151&lt;=1,1,Points!$H$7+(1-Points!$H$7)*((($F1151-$E1151)*(($F1151-$E1151)+1)/2)^2-((($F1151-$E1151-COUNTIFS($A$5:$A$1668,$A1151,$C$5:$C$1668,$C1151)+1)-1)*($F1151-$E1151-COUNTIFS($A$5:$A$1668,$A1151,$C$5:$C$1668,$C1151)+1)/2)^2)/(COUNTIFS($A$5:$A$1668,$A1151,$C$5:$C$1668,$C1151)*($F1151-1)^3))*IF($F1151&lt;Points!$H$4,Points!$H$5,1),0)))</f>
        <v/>
      </c>
      <c r="H1151" s="11">
        <f>IF($G1151="","",COUNTIFS($B$5:$B$1668,$B1151,$G$5:$G$1668,"&gt;"&amp;$G1151)+COUNTIFS($B$4:$B1150,$B1151,$G$4:$G1150,$G1151)+1)</f>
        <v/>
      </c>
      <c r="I1151" s="11">
        <f>IF($G1151="","",IF($H1151&lt;=Points!$H$6,$G1151,0))</f>
        <v/>
      </c>
      <c r="J1151" s="11">
        <f>IF($B1151="","",IF(COUNTIF(Players!$A$2:$A$500,$B1151)=0,"Player is not on the Players tab",IF(NOT(ISNUMBER($C1151)),"Enter a gross score",IF(COUNTIFS($A$5:$A$1668,$A1151,$B$5:$B$1668,$B1151)&gt;1,"Player is listed twice this week",IF(AND($D1151&lt;&gt;"",COUNTIFS($A$5:$A$1668,$A1151,$D$5:$D$1668,$D1151)&gt;1),"Two players picked as "&amp;$D1151,IF(COUNTIFS($A$5:$A$1668,$A1151,$D$5:$D$1668,"Gross winner")=0,"Pick this week's gross winner",IF(COUNTIFS($A$5:$A$1668,$A1151,$D$5:$D$1668,"Net winner")=0,"Pick this week's net winner","OK")))))))</f>
        <v/>
      </c>
    </row>
    <row r="1152" outlineLevel="1">
      <c r="A1152" s="13" t="n">
        <v>46638</v>
      </c>
      <c r="E1152" s="11">
        <f>IF(OR($B1152="",NOT(ISNUMBER($C1152))),"",COUNTIFS($A$5:$A$1668,$A1152,$C$5:$C$1668,"&lt;"&amp;$C1152)+1)</f>
        <v/>
      </c>
      <c r="F1152" s="11">
        <f>IF(OR($B1152="",NOT(ISNUMBER($C1152))),"",COUNTIFS($A$5:$A$1668,$A1152,$C$5:$C$1668,"&gt;0"))</f>
        <v/>
      </c>
      <c r="G1152" s="11">
        <f>IF(OR($B1152="",NOT(ISNUMBER($C1152))),"",IF($D1152&lt;&gt;"",ROUND(Points!$B$6*IF($F1152&lt;Points!$H$4,Points!$H$5,1),0),ROUND(Points!$B$6*IF($F1152&lt;=1,1,Points!$H$7+(1-Points!$H$7)*((($F1152-$E1152)*(($F1152-$E1152)+1)/2)^2-((($F1152-$E1152-COUNTIFS($A$5:$A$1668,$A1152,$C$5:$C$1668,$C1152)+1)-1)*($F1152-$E1152-COUNTIFS($A$5:$A$1668,$A1152,$C$5:$C$1668,$C1152)+1)/2)^2)/(COUNTIFS($A$5:$A$1668,$A1152,$C$5:$C$1668,$C1152)*($F1152-1)^3))*IF($F1152&lt;Points!$H$4,Points!$H$5,1),0)))</f>
        <v/>
      </c>
      <c r="H1152" s="11">
        <f>IF($G1152="","",COUNTIFS($B$5:$B$1668,$B1152,$G$5:$G$1668,"&gt;"&amp;$G1152)+COUNTIFS($B$4:$B1151,$B1152,$G$4:$G1151,$G1152)+1)</f>
        <v/>
      </c>
      <c r="I1152" s="11">
        <f>IF($G1152="","",IF($H1152&lt;=Points!$H$6,$G1152,0))</f>
        <v/>
      </c>
      <c r="J1152" s="11">
        <f>IF($B1152="","",IF(COUNTIF(Players!$A$2:$A$500,$B1152)=0,"Player is not on the Players tab",IF(NOT(ISNUMBER($C1152)),"Enter a gross score",IF(COUNTIFS($A$5:$A$1668,$A1152,$B$5:$B$1668,$B1152)&gt;1,"Player is listed twice this week",IF(AND($D1152&lt;&gt;"",COUNTIFS($A$5:$A$1668,$A1152,$D$5:$D$1668,$D1152)&gt;1),"Two players picked as "&amp;$D1152,IF(COUNTIFS($A$5:$A$1668,$A1152,$D$5:$D$1668,"Gross winner")=0,"Pick this week's gross winner",IF(COUNTIFS($A$5:$A$1668,$A1152,$D$5:$D$1668,"Net winner")=0,"Pick this week's net winner","OK")))))))</f>
        <v/>
      </c>
    </row>
    <row r="1153" outlineLevel="1">
      <c r="A1153" s="13" t="n">
        <v>46638</v>
      </c>
      <c r="E1153" s="11">
        <f>IF(OR($B1153="",NOT(ISNUMBER($C1153))),"",COUNTIFS($A$5:$A$1668,$A1153,$C$5:$C$1668,"&lt;"&amp;$C1153)+1)</f>
        <v/>
      </c>
      <c r="F1153" s="11">
        <f>IF(OR($B1153="",NOT(ISNUMBER($C1153))),"",COUNTIFS($A$5:$A$1668,$A1153,$C$5:$C$1668,"&gt;0"))</f>
        <v/>
      </c>
      <c r="G1153" s="11">
        <f>IF(OR($B1153="",NOT(ISNUMBER($C1153))),"",IF($D1153&lt;&gt;"",ROUND(Points!$B$6*IF($F1153&lt;Points!$H$4,Points!$H$5,1),0),ROUND(Points!$B$6*IF($F1153&lt;=1,1,Points!$H$7+(1-Points!$H$7)*((($F1153-$E1153)*(($F1153-$E1153)+1)/2)^2-((($F1153-$E1153-COUNTIFS($A$5:$A$1668,$A1153,$C$5:$C$1668,$C1153)+1)-1)*($F1153-$E1153-COUNTIFS($A$5:$A$1668,$A1153,$C$5:$C$1668,$C1153)+1)/2)^2)/(COUNTIFS($A$5:$A$1668,$A1153,$C$5:$C$1668,$C1153)*($F1153-1)^3))*IF($F1153&lt;Points!$H$4,Points!$H$5,1),0)))</f>
        <v/>
      </c>
      <c r="H1153" s="11">
        <f>IF($G1153="","",COUNTIFS($B$5:$B$1668,$B1153,$G$5:$G$1668,"&gt;"&amp;$G1153)+COUNTIFS($B$4:$B1152,$B1153,$G$4:$G1152,$G1153)+1)</f>
        <v/>
      </c>
      <c r="I1153" s="11">
        <f>IF($G1153="","",IF($H1153&lt;=Points!$H$6,$G1153,0))</f>
        <v/>
      </c>
      <c r="J1153" s="11">
        <f>IF($B1153="","",IF(COUNTIF(Players!$A$2:$A$500,$B1153)=0,"Player is not on the Players tab",IF(NOT(ISNUMBER($C1153)),"Enter a gross score",IF(COUNTIFS($A$5:$A$1668,$A1153,$B$5:$B$1668,$B1153)&gt;1,"Player is listed twice this week",IF(AND($D1153&lt;&gt;"",COUNTIFS($A$5:$A$1668,$A1153,$D$5:$D$1668,$D1153)&gt;1),"Two players picked as "&amp;$D1153,IF(COUNTIFS($A$5:$A$1668,$A1153,$D$5:$D$1668,"Gross winner")=0,"Pick this week's gross winner",IF(COUNTIFS($A$5:$A$1668,$A1153,$D$5:$D$1668,"Net winner")=0,"Pick this week's net winner","OK")))))))</f>
        <v/>
      </c>
    </row>
    <row r="1154" outlineLevel="1">
      <c r="A1154" s="13" t="n">
        <v>46638</v>
      </c>
      <c r="E1154" s="11">
        <f>IF(OR($B1154="",NOT(ISNUMBER($C1154))),"",COUNTIFS($A$5:$A$1668,$A1154,$C$5:$C$1668,"&lt;"&amp;$C1154)+1)</f>
        <v/>
      </c>
      <c r="F1154" s="11">
        <f>IF(OR($B1154="",NOT(ISNUMBER($C1154))),"",COUNTIFS($A$5:$A$1668,$A1154,$C$5:$C$1668,"&gt;0"))</f>
        <v/>
      </c>
      <c r="G1154" s="11">
        <f>IF(OR($B1154="",NOT(ISNUMBER($C1154))),"",IF($D1154&lt;&gt;"",ROUND(Points!$B$6*IF($F1154&lt;Points!$H$4,Points!$H$5,1),0),ROUND(Points!$B$6*IF($F1154&lt;=1,1,Points!$H$7+(1-Points!$H$7)*((($F1154-$E1154)*(($F1154-$E1154)+1)/2)^2-((($F1154-$E1154-COUNTIFS($A$5:$A$1668,$A1154,$C$5:$C$1668,$C1154)+1)-1)*($F1154-$E1154-COUNTIFS($A$5:$A$1668,$A1154,$C$5:$C$1668,$C1154)+1)/2)^2)/(COUNTIFS($A$5:$A$1668,$A1154,$C$5:$C$1668,$C1154)*($F1154-1)^3))*IF($F1154&lt;Points!$H$4,Points!$H$5,1),0)))</f>
        <v/>
      </c>
      <c r="H1154" s="11">
        <f>IF($G1154="","",COUNTIFS($B$5:$B$1668,$B1154,$G$5:$G$1668,"&gt;"&amp;$G1154)+COUNTIFS($B$4:$B1153,$B1154,$G$4:$G1153,$G1154)+1)</f>
        <v/>
      </c>
      <c r="I1154" s="11">
        <f>IF($G1154="","",IF($H1154&lt;=Points!$H$6,$G1154,0))</f>
        <v/>
      </c>
      <c r="J1154" s="11">
        <f>IF($B1154="","",IF(COUNTIF(Players!$A$2:$A$500,$B1154)=0,"Player is not on the Players tab",IF(NOT(ISNUMBER($C1154)),"Enter a gross score",IF(COUNTIFS($A$5:$A$1668,$A1154,$B$5:$B$1668,$B1154)&gt;1,"Player is listed twice this week",IF(AND($D1154&lt;&gt;"",COUNTIFS($A$5:$A$1668,$A1154,$D$5:$D$1668,$D1154)&gt;1),"Two players picked as "&amp;$D1154,IF(COUNTIFS($A$5:$A$1668,$A1154,$D$5:$D$1668,"Gross winner")=0,"Pick this week's gross winner",IF(COUNTIFS($A$5:$A$1668,$A1154,$D$5:$D$1668,"Net winner")=0,"Pick this week's net winner","OK")))))))</f>
        <v/>
      </c>
    </row>
    <row r="1155" outlineLevel="1">
      <c r="A1155" s="13" t="n">
        <v>46638</v>
      </c>
      <c r="E1155" s="11">
        <f>IF(OR($B1155="",NOT(ISNUMBER($C1155))),"",COUNTIFS($A$5:$A$1668,$A1155,$C$5:$C$1668,"&lt;"&amp;$C1155)+1)</f>
        <v/>
      </c>
      <c r="F1155" s="11">
        <f>IF(OR($B1155="",NOT(ISNUMBER($C1155))),"",COUNTIFS($A$5:$A$1668,$A1155,$C$5:$C$1668,"&gt;0"))</f>
        <v/>
      </c>
      <c r="G1155" s="11">
        <f>IF(OR($B1155="",NOT(ISNUMBER($C1155))),"",IF($D1155&lt;&gt;"",ROUND(Points!$B$6*IF($F1155&lt;Points!$H$4,Points!$H$5,1),0),ROUND(Points!$B$6*IF($F1155&lt;=1,1,Points!$H$7+(1-Points!$H$7)*((($F1155-$E1155)*(($F1155-$E1155)+1)/2)^2-((($F1155-$E1155-COUNTIFS($A$5:$A$1668,$A1155,$C$5:$C$1668,$C1155)+1)-1)*($F1155-$E1155-COUNTIFS($A$5:$A$1668,$A1155,$C$5:$C$1668,$C1155)+1)/2)^2)/(COUNTIFS($A$5:$A$1668,$A1155,$C$5:$C$1668,$C1155)*($F1155-1)^3))*IF($F1155&lt;Points!$H$4,Points!$H$5,1),0)))</f>
        <v/>
      </c>
      <c r="H1155" s="11">
        <f>IF($G1155="","",COUNTIFS($B$5:$B$1668,$B1155,$G$5:$G$1668,"&gt;"&amp;$G1155)+COUNTIFS($B$4:$B1154,$B1155,$G$4:$G1154,$G1155)+1)</f>
        <v/>
      </c>
      <c r="I1155" s="11">
        <f>IF($G1155="","",IF($H1155&lt;=Points!$H$6,$G1155,0))</f>
        <v/>
      </c>
      <c r="J1155" s="11">
        <f>IF($B1155="","",IF(COUNTIF(Players!$A$2:$A$500,$B1155)=0,"Player is not on the Players tab",IF(NOT(ISNUMBER($C1155)),"Enter a gross score",IF(COUNTIFS($A$5:$A$1668,$A1155,$B$5:$B$1668,$B1155)&gt;1,"Player is listed twice this week",IF(AND($D1155&lt;&gt;"",COUNTIFS($A$5:$A$1668,$A1155,$D$5:$D$1668,$D1155)&gt;1),"Two players picked as "&amp;$D1155,IF(COUNTIFS($A$5:$A$1668,$A1155,$D$5:$D$1668,"Gross winner")=0,"Pick this week's gross winner",IF(COUNTIFS($A$5:$A$1668,$A1155,$D$5:$D$1668,"Net winner")=0,"Pick this week's net winner","OK")))))))</f>
        <v/>
      </c>
    </row>
    <row r="1156" ht="10" customHeight="1"/>
    <row r="1157" ht="22" customHeight="1">
      <c r="A1157" s="12" t="inlineStr">
        <is>
          <t>Week 37  ·  Wednesday, Sep 15</t>
        </is>
      </c>
    </row>
    <row r="1158" outlineLevel="1">
      <c r="A1158" s="13" t="n">
        <v>46645</v>
      </c>
      <c r="E1158" s="11">
        <f>IF(OR($B1158="",NOT(ISNUMBER($C1158))),"",COUNTIFS($A$5:$A$1668,$A1158,$C$5:$C$1668,"&lt;"&amp;$C1158)+1)</f>
        <v/>
      </c>
      <c r="F1158" s="11">
        <f>IF(OR($B1158="",NOT(ISNUMBER($C1158))),"",COUNTIFS($A$5:$A$1668,$A1158,$C$5:$C$1668,"&gt;0"))</f>
        <v/>
      </c>
      <c r="G1158" s="11">
        <f>IF(OR($B1158="",NOT(ISNUMBER($C1158))),"",IF($D1158&lt;&gt;"",ROUND(Points!$B$6*IF($F1158&lt;Points!$H$4,Points!$H$5,1),0),ROUND(Points!$B$6*IF($F1158&lt;=1,1,Points!$H$7+(1-Points!$H$7)*((($F1158-$E1158)*(($F1158-$E1158)+1)/2)^2-((($F1158-$E1158-COUNTIFS($A$5:$A$1668,$A1158,$C$5:$C$1668,$C1158)+1)-1)*($F1158-$E1158-COUNTIFS($A$5:$A$1668,$A1158,$C$5:$C$1668,$C1158)+1)/2)^2)/(COUNTIFS($A$5:$A$1668,$A1158,$C$5:$C$1668,$C1158)*($F1158-1)^3))*IF($F1158&lt;Points!$H$4,Points!$H$5,1),0)))</f>
        <v/>
      </c>
      <c r="H1158" s="11">
        <f>IF($G1158="","",COUNTIFS($B$5:$B$1668,$B1158,$G$5:$G$1668,"&gt;"&amp;$G1158)+COUNTIFS($B$4:$B1157,$B1158,$G$4:$G1157,$G1158)+1)</f>
        <v/>
      </c>
      <c r="I1158" s="11">
        <f>IF($G1158="","",IF($H1158&lt;=Points!$H$6,$G1158,0))</f>
        <v/>
      </c>
      <c r="J1158" s="11">
        <f>IF($B1158="","",IF(COUNTIF(Players!$A$2:$A$500,$B1158)=0,"Player is not on the Players tab",IF(NOT(ISNUMBER($C1158)),"Enter a gross score",IF(COUNTIFS($A$5:$A$1668,$A1158,$B$5:$B$1668,$B1158)&gt;1,"Player is listed twice this week",IF(AND($D1158&lt;&gt;"",COUNTIFS($A$5:$A$1668,$A1158,$D$5:$D$1668,$D1158)&gt;1),"Two players picked as "&amp;$D1158,IF(COUNTIFS($A$5:$A$1668,$A1158,$D$5:$D$1668,"Gross winner")=0,"Pick this week's gross winner",IF(COUNTIFS($A$5:$A$1668,$A1158,$D$5:$D$1668,"Net winner")=0,"Pick this week's net winner","OK")))))))</f>
        <v/>
      </c>
    </row>
    <row r="1159" outlineLevel="1">
      <c r="A1159" s="13" t="n">
        <v>46645</v>
      </c>
      <c r="E1159" s="11">
        <f>IF(OR($B1159="",NOT(ISNUMBER($C1159))),"",COUNTIFS($A$5:$A$1668,$A1159,$C$5:$C$1668,"&lt;"&amp;$C1159)+1)</f>
        <v/>
      </c>
      <c r="F1159" s="11">
        <f>IF(OR($B1159="",NOT(ISNUMBER($C1159))),"",COUNTIFS($A$5:$A$1668,$A1159,$C$5:$C$1668,"&gt;0"))</f>
        <v/>
      </c>
      <c r="G1159" s="11">
        <f>IF(OR($B1159="",NOT(ISNUMBER($C1159))),"",IF($D1159&lt;&gt;"",ROUND(Points!$B$6*IF($F1159&lt;Points!$H$4,Points!$H$5,1),0),ROUND(Points!$B$6*IF($F1159&lt;=1,1,Points!$H$7+(1-Points!$H$7)*((($F1159-$E1159)*(($F1159-$E1159)+1)/2)^2-((($F1159-$E1159-COUNTIFS($A$5:$A$1668,$A1159,$C$5:$C$1668,$C1159)+1)-1)*($F1159-$E1159-COUNTIFS($A$5:$A$1668,$A1159,$C$5:$C$1668,$C1159)+1)/2)^2)/(COUNTIFS($A$5:$A$1668,$A1159,$C$5:$C$1668,$C1159)*($F1159-1)^3))*IF($F1159&lt;Points!$H$4,Points!$H$5,1),0)))</f>
        <v/>
      </c>
      <c r="H1159" s="11">
        <f>IF($G1159="","",COUNTIFS($B$5:$B$1668,$B1159,$G$5:$G$1668,"&gt;"&amp;$G1159)+COUNTIFS($B$4:$B1158,$B1159,$G$4:$G1158,$G1159)+1)</f>
        <v/>
      </c>
      <c r="I1159" s="11">
        <f>IF($G1159="","",IF($H1159&lt;=Points!$H$6,$G1159,0))</f>
        <v/>
      </c>
      <c r="J1159" s="11">
        <f>IF($B1159="","",IF(COUNTIF(Players!$A$2:$A$500,$B1159)=0,"Player is not on the Players tab",IF(NOT(ISNUMBER($C1159)),"Enter a gross score",IF(COUNTIFS($A$5:$A$1668,$A1159,$B$5:$B$1668,$B1159)&gt;1,"Player is listed twice this week",IF(AND($D1159&lt;&gt;"",COUNTIFS($A$5:$A$1668,$A1159,$D$5:$D$1668,$D1159)&gt;1),"Two players picked as "&amp;$D1159,IF(COUNTIFS($A$5:$A$1668,$A1159,$D$5:$D$1668,"Gross winner")=0,"Pick this week's gross winner",IF(COUNTIFS($A$5:$A$1668,$A1159,$D$5:$D$1668,"Net winner")=0,"Pick this week's net winner","OK")))))))</f>
        <v/>
      </c>
    </row>
    <row r="1160" outlineLevel="1">
      <c r="A1160" s="13" t="n">
        <v>46645</v>
      </c>
      <c r="E1160" s="11">
        <f>IF(OR($B1160="",NOT(ISNUMBER($C1160))),"",COUNTIFS($A$5:$A$1668,$A1160,$C$5:$C$1668,"&lt;"&amp;$C1160)+1)</f>
        <v/>
      </c>
      <c r="F1160" s="11">
        <f>IF(OR($B1160="",NOT(ISNUMBER($C1160))),"",COUNTIFS($A$5:$A$1668,$A1160,$C$5:$C$1668,"&gt;0"))</f>
        <v/>
      </c>
      <c r="G1160" s="11">
        <f>IF(OR($B1160="",NOT(ISNUMBER($C1160))),"",IF($D1160&lt;&gt;"",ROUND(Points!$B$6*IF($F1160&lt;Points!$H$4,Points!$H$5,1),0),ROUND(Points!$B$6*IF($F1160&lt;=1,1,Points!$H$7+(1-Points!$H$7)*((($F1160-$E1160)*(($F1160-$E1160)+1)/2)^2-((($F1160-$E1160-COUNTIFS($A$5:$A$1668,$A1160,$C$5:$C$1668,$C1160)+1)-1)*($F1160-$E1160-COUNTIFS($A$5:$A$1668,$A1160,$C$5:$C$1668,$C1160)+1)/2)^2)/(COUNTIFS($A$5:$A$1668,$A1160,$C$5:$C$1668,$C1160)*($F1160-1)^3))*IF($F1160&lt;Points!$H$4,Points!$H$5,1),0)))</f>
        <v/>
      </c>
      <c r="H1160" s="11">
        <f>IF($G1160="","",COUNTIFS($B$5:$B$1668,$B1160,$G$5:$G$1668,"&gt;"&amp;$G1160)+COUNTIFS($B$4:$B1159,$B1160,$G$4:$G1159,$G1160)+1)</f>
        <v/>
      </c>
      <c r="I1160" s="11">
        <f>IF($G1160="","",IF($H1160&lt;=Points!$H$6,$G1160,0))</f>
        <v/>
      </c>
      <c r="J1160" s="11">
        <f>IF($B1160="","",IF(COUNTIF(Players!$A$2:$A$500,$B1160)=0,"Player is not on the Players tab",IF(NOT(ISNUMBER($C1160)),"Enter a gross score",IF(COUNTIFS($A$5:$A$1668,$A1160,$B$5:$B$1668,$B1160)&gt;1,"Player is listed twice this week",IF(AND($D1160&lt;&gt;"",COUNTIFS($A$5:$A$1668,$A1160,$D$5:$D$1668,$D1160)&gt;1),"Two players picked as "&amp;$D1160,IF(COUNTIFS($A$5:$A$1668,$A1160,$D$5:$D$1668,"Gross winner")=0,"Pick this week's gross winner",IF(COUNTIFS($A$5:$A$1668,$A1160,$D$5:$D$1668,"Net winner")=0,"Pick this week's net winner","OK")))))))</f>
        <v/>
      </c>
    </row>
    <row r="1161" outlineLevel="1">
      <c r="A1161" s="13" t="n">
        <v>46645</v>
      </c>
      <c r="E1161" s="11">
        <f>IF(OR($B1161="",NOT(ISNUMBER($C1161))),"",COUNTIFS($A$5:$A$1668,$A1161,$C$5:$C$1668,"&lt;"&amp;$C1161)+1)</f>
        <v/>
      </c>
      <c r="F1161" s="11">
        <f>IF(OR($B1161="",NOT(ISNUMBER($C1161))),"",COUNTIFS($A$5:$A$1668,$A1161,$C$5:$C$1668,"&gt;0"))</f>
        <v/>
      </c>
      <c r="G1161" s="11">
        <f>IF(OR($B1161="",NOT(ISNUMBER($C1161))),"",IF($D1161&lt;&gt;"",ROUND(Points!$B$6*IF($F1161&lt;Points!$H$4,Points!$H$5,1),0),ROUND(Points!$B$6*IF($F1161&lt;=1,1,Points!$H$7+(1-Points!$H$7)*((($F1161-$E1161)*(($F1161-$E1161)+1)/2)^2-((($F1161-$E1161-COUNTIFS($A$5:$A$1668,$A1161,$C$5:$C$1668,$C1161)+1)-1)*($F1161-$E1161-COUNTIFS($A$5:$A$1668,$A1161,$C$5:$C$1668,$C1161)+1)/2)^2)/(COUNTIFS($A$5:$A$1668,$A1161,$C$5:$C$1668,$C1161)*($F1161-1)^3))*IF($F1161&lt;Points!$H$4,Points!$H$5,1),0)))</f>
        <v/>
      </c>
      <c r="H1161" s="11">
        <f>IF($G1161="","",COUNTIFS($B$5:$B$1668,$B1161,$G$5:$G$1668,"&gt;"&amp;$G1161)+COUNTIFS($B$4:$B1160,$B1161,$G$4:$G1160,$G1161)+1)</f>
        <v/>
      </c>
      <c r="I1161" s="11">
        <f>IF($G1161="","",IF($H1161&lt;=Points!$H$6,$G1161,0))</f>
        <v/>
      </c>
      <c r="J1161" s="11">
        <f>IF($B1161="","",IF(COUNTIF(Players!$A$2:$A$500,$B1161)=0,"Player is not on the Players tab",IF(NOT(ISNUMBER($C1161)),"Enter a gross score",IF(COUNTIFS($A$5:$A$1668,$A1161,$B$5:$B$1668,$B1161)&gt;1,"Player is listed twice this week",IF(AND($D1161&lt;&gt;"",COUNTIFS($A$5:$A$1668,$A1161,$D$5:$D$1668,$D1161)&gt;1),"Two players picked as "&amp;$D1161,IF(COUNTIFS($A$5:$A$1668,$A1161,$D$5:$D$1668,"Gross winner")=0,"Pick this week's gross winner",IF(COUNTIFS($A$5:$A$1668,$A1161,$D$5:$D$1668,"Net winner")=0,"Pick this week's net winner","OK")))))))</f>
        <v/>
      </c>
    </row>
    <row r="1162" outlineLevel="1">
      <c r="A1162" s="13" t="n">
        <v>46645</v>
      </c>
      <c r="E1162" s="11">
        <f>IF(OR($B1162="",NOT(ISNUMBER($C1162))),"",COUNTIFS($A$5:$A$1668,$A1162,$C$5:$C$1668,"&lt;"&amp;$C1162)+1)</f>
        <v/>
      </c>
      <c r="F1162" s="11">
        <f>IF(OR($B1162="",NOT(ISNUMBER($C1162))),"",COUNTIFS($A$5:$A$1668,$A1162,$C$5:$C$1668,"&gt;0"))</f>
        <v/>
      </c>
      <c r="G1162" s="11">
        <f>IF(OR($B1162="",NOT(ISNUMBER($C1162))),"",IF($D1162&lt;&gt;"",ROUND(Points!$B$6*IF($F1162&lt;Points!$H$4,Points!$H$5,1),0),ROUND(Points!$B$6*IF($F1162&lt;=1,1,Points!$H$7+(1-Points!$H$7)*((($F1162-$E1162)*(($F1162-$E1162)+1)/2)^2-((($F1162-$E1162-COUNTIFS($A$5:$A$1668,$A1162,$C$5:$C$1668,$C1162)+1)-1)*($F1162-$E1162-COUNTIFS($A$5:$A$1668,$A1162,$C$5:$C$1668,$C1162)+1)/2)^2)/(COUNTIFS($A$5:$A$1668,$A1162,$C$5:$C$1668,$C1162)*($F1162-1)^3))*IF($F1162&lt;Points!$H$4,Points!$H$5,1),0)))</f>
        <v/>
      </c>
      <c r="H1162" s="11">
        <f>IF($G1162="","",COUNTIFS($B$5:$B$1668,$B1162,$G$5:$G$1668,"&gt;"&amp;$G1162)+COUNTIFS($B$4:$B1161,$B1162,$G$4:$G1161,$G1162)+1)</f>
        <v/>
      </c>
      <c r="I1162" s="11">
        <f>IF($G1162="","",IF($H1162&lt;=Points!$H$6,$G1162,0))</f>
        <v/>
      </c>
      <c r="J1162" s="11">
        <f>IF($B1162="","",IF(COUNTIF(Players!$A$2:$A$500,$B1162)=0,"Player is not on the Players tab",IF(NOT(ISNUMBER($C1162)),"Enter a gross score",IF(COUNTIFS($A$5:$A$1668,$A1162,$B$5:$B$1668,$B1162)&gt;1,"Player is listed twice this week",IF(AND($D1162&lt;&gt;"",COUNTIFS($A$5:$A$1668,$A1162,$D$5:$D$1668,$D1162)&gt;1),"Two players picked as "&amp;$D1162,IF(COUNTIFS($A$5:$A$1668,$A1162,$D$5:$D$1668,"Gross winner")=0,"Pick this week's gross winner",IF(COUNTIFS($A$5:$A$1668,$A1162,$D$5:$D$1668,"Net winner")=0,"Pick this week's net winner","OK")))))))</f>
        <v/>
      </c>
    </row>
    <row r="1163" outlineLevel="1">
      <c r="A1163" s="13" t="n">
        <v>46645</v>
      </c>
      <c r="E1163" s="11">
        <f>IF(OR($B1163="",NOT(ISNUMBER($C1163))),"",COUNTIFS($A$5:$A$1668,$A1163,$C$5:$C$1668,"&lt;"&amp;$C1163)+1)</f>
        <v/>
      </c>
      <c r="F1163" s="11">
        <f>IF(OR($B1163="",NOT(ISNUMBER($C1163))),"",COUNTIFS($A$5:$A$1668,$A1163,$C$5:$C$1668,"&gt;0"))</f>
        <v/>
      </c>
      <c r="G1163" s="11">
        <f>IF(OR($B1163="",NOT(ISNUMBER($C1163))),"",IF($D1163&lt;&gt;"",ROUND(Points!$B$6*IF($F1163&lt;Points!$H$4,Points!$H$5,1),0),ROUND(Points!$B$6*IF($F1163&lt;=1,1,Points!$H$7+(1-Points!$H$7)*((($F1163-$E1163)*(($F1163-$E1163)+1)/2)^2-((($F1163-$E1163-COUNTIFS($A$5:$A$1668,$A1163,$C$5:$C$1668,$C1163)+1)-1)*($F1163-$E1163-COUNTIFS($A$5:$A$1668,$A1163,$C$5:$C$1668,$C1163)+1)/2)^2)/(COUNTIFS($A$5:$A$1668,$A1163,$C$5:$C$1668,$C1163)*($F1163-1)^3))*IF($F1163&lt;Points!$H$4,Points!$H$5,1),0)))</f>
        <v/>
      </c>
      <c r="H1163" s="11">
        <f>IF($G1163="","",COUNTIFS($B$5:$B$1668,$B1163,$G$5:$G$1668,"&gt;"&amp;$G1163)+COUNTIFS($B$4:$B1162,$B1163,$G$4:$G1162,$G1163)+1)</f>
        <v/>
      </c>
      <c r="I1163" s="11">
        <f>IF($G1163="","",IF($H1163&lt;=Points!$H$6,$G1163,0))</f>
        <v/>
      </c>
      <c r="J1163" s="11">
        <f>IF($B1163="","",IF(COUNTIF(Players!$A$2:$A$500,$B1163)=0,"Player is not on the Players tab",IF(NOT(ISNUMBER($C1163)),"Enter a gross score",IF(COUNTIFS($A$5:$A$1668,$A1163,$B$5:$B$1668,$B1163)&gt;1,"Player is listed twice this week",IF(AND($D1163&lt;&gt;"",COUNTIFS($A$5:$A$1668,$A1163,$D$5:$D$1668,$D1163)&gt;1),"Two players picked as "&amp;$D1163,IF(COUNTIFS($A$5:$A$1668,$A1163,$D$5:$D$1668,"Gross winner")=0,"Pick this week's gross winner",IF(COUNTIFS($A$5:$A$1668,$A1163,$D$5:$D$1668,"Net winner")=0,"Pick this week's net winner","OK")))))))</f>
        <v/>
      </c>
    </row>
    <row r="1164" outlineLevel="1">
      <c r="A1164" s="13" t="n">
        <v>46645</v>
      </c>
      <c r="E1164" s="11">
        <f>IF(OR($B1164="",NOT(ISNUMBER($C1164))),"",COUNTIFS($A$5:$A$1668,$A1164,$C$5:$C$1668,"&lt;"&amp;$C1164)+1)</f>
        <v/>
      </c>
      <c r="F1164" s="11">
        <f>IF(OR($B1164="",NOT(ISNUMBER($C1164))),"",COUNTIFS($A$5:$A$1668,$A1164,$C$5:$C$1668,"&gt;0"))</f>
        <v/>
      </c>
      <c r="G1164" s="11">
        <f>IF(OR($B1164="",NOT(ISNUMBER($C1164))),"",IF($D1164&lt;&gt;"",ROUND(Points!$B$6*IF($F1164&lt;Points!$H$4,Points!$H$5,1),0),ROUND(Points!$B$6*IF($F1164&lt;=1,1,Points!$H$7+(1-Points!$H$7)*((($F1164-$E1164)*(($F1164-$E1164)+1)/2)^2-((($F1164-$E1164-COUNTIFS($A$5:$A$1668,$A1164,$C$5:$C$1668,$C1164)+1)-1)*($F1164-$E1164-COUNTIFS($A$5:$A$1668,$A1164,$C$5:$C$1668,$C1164)+1)/2)^2)/(COUNTIFS($A$5:$A$1668,$A1164,$C$5:$C$1668,$C1164)*($F1164-1)^3))*IF($F1164&lt;Points!$H$4,Points!$H$5,1),0)))</f>
        <v/>
      </c>
      <c r="H1164" s="11">
        <f>IF($G1164="","",COUNTIFS($B$5:$B$1668,$B1164,$G$5:$G$1668,"&gt;"&amp;$G1164)+COUNTIFS($B$4:$B1163,$B1164,$G$4:$G1163,$G1164)+1)</f>
        <v/>
      </c>
      <c r="I1164" s="11">
        <f>IF($G1164="","",IF($H1164&lt;=Points!$H$6,$G1164,0))</f>
        <v/>
      </c>
      <c r="J1164" s="11">
        <f>IF($B1164="","",IF(COUNTIF(Players!$A$2:$A$500,$B1164)=0,"Player is not on the Players tab",IF(NOT(ISNUMBER($C1164)),"Enter a gross score",IF(COUNTIFS($A$5:$A$1668,$A1164,$B$5:$B$1668,$B1164)&gt;1,"Player is listed twice this week",IF(AND($D1164&lt;&gt;"",COUNTIFS($A$5:$A$1668,$A1164,$D$5:$D$1668,$D1164)&gt;1),"Two players picked as "&amp;$D1164,IF(COUNTIFS($A$5:$A$1668,$A1164,$D$5:$D$1668,"Gross winner")=0,"Pick this week's gross winner",IF(COUNTIFS($A$5:$A$1668,$A1164,$D$5:$D$1668,"Net winner")=0,"Pick this week's net winner","OK")))))))</f>
        <v/>
      </c>
    </row>
    <row r="1165" outlineLevel="1">
      <c r="A1165" s="13" t="n">
        <v>46645</v>
      </c>
      <c r="E1165" s="11">
        <f>IF(OR($B1165="",NOT(ISNUMBER($C1165))),"",COUNTIFS($A$5:$A$1668,$A1165,$C$5:$C$1668,"&lt;"&amp;$C1165)+1)</f>
        <v/>
      </c>
      <c r="F1165" s="11">
        <f>IF(OR($B1165="",NOT(ISNUMBER($C1165))),"",COUNTIFS($A$5:$A$1668,$A1165,$C$5:$C$1668,"&gt;0"))</f>
        <v/>
      </c>
      <c r="G1165" s="11">
        <f>IF(OR($B1165="",NOT(ISNUMBER($C1165))),"",IF($D1165&lt;&gt;"",ROUND(Points!$B$6*IF($F1165&lt;Points!$H$4,Points!$H$5,1),0),ROUND(Points!$B$6*IF($F1165&lt;=1,1,Points!$H$7+(1-Points!$H$7)*((($F1165-$E1165)*(($F1165-$E1165)+1)/2)^2-((($F1165-$E1165-COUNTIFS($A$5:$A$1668,$A1165,$C$5:$C$1668,$C1165)+1)-1)*($F1165-$E1165-COUNTIFS($A$5:$A$1668,$A1165,$C$5:$C$1668,$C1165)+1)/2)^2)/(COUNTIFS($A$5:$A$1668,$A1165,$C$5:$C$1668,$C1165)*($F1165-1)^3))*IF($F1165&lt;Points!$H$4,Points!$H$5,1),0)))</f>
        <v/>
      </c>
      <c r="H1165" s="11">
        <f>IF($G1165="","",COUNTIFS($B$5:$B$1668,$B1165,$G$5:$G$1668,"&gt;"&amp;$G1165)+COUNTIFS($B$4:$B1164,$B1165,$G$4:$G1164,$G1165)+1)</f>
        <v/>
      </c>
      <c r="I1165" s="11">
        <f>IF($G1165="","",IF($H1165&lt;=Points!$H$6,$G1165,0))</f>
        <v/>
      </c>
      <c r="J1165" s="11">
        <f>IF($B1165="","",IF(COUNTIF(Players!$A$2:$A$500,$B1165)=0,"Player is not on the Players tab",IF(NOT(ISNUMBER($C1165)),"Enter a gross score",IF(COUNTIFS($A$5:$A$1668,$A1165,$B$5:$B$1668,$B1165)&gt;1,"Player is listed twice this week",IF(AND($D1165&lt;&gt;"",COUNTIFS($A$5:$A$1668,$A1165,$D$5:$D$1668,$D1165)&gt;1),"Two players picked as "&amp;$D1165,IF(COUNTIFS($A$5:$A$1668,$A1165,$D$5:$D$1668,"Gross winner")=0,"Pick this week's gross winner",IF(COUNTIFS($A$5:$A$1668,$A1165,$D$5:$D$1668,"Net winner")=0,"Pick this week's net winner","OK")))))))</f>
        <v/>
      </c>
    </row>
    <row r="1166" outlineLevel="1">
      <c r="A1166" s="13" t="n">
        <v>46645</v>
      </c>
      <c r="E1166" s="11">
        <f>IF(OR($B1166="",NOT(ISNUMBER($C1166))),"",COUNTIFS($A$5:$A$1668,$A1166,$C$5:$C$1668,"&lt;"&amp;$C1166)+1)</f>
        <v/>
      </c>
      <c r="F1166" s="11">
        <f>IF(OR($B1166="",NOT(ISNUMBER($C1166))),"",COUNTIFS($A$5:$A$1668,$A1166,$C$5:$C$1668,"&gt;0"))</f>
        <v/>
      </c>
      <c r="G1166" s="11">
        <f>IF(OR($B1166="",NOT(ISNUMBER($C1166))),"",IF($D1166&lt;&gt;"",ROUND(Points!$B$6*IF($F1166&lt;Points!$H$4,Points!$H$5,1),0),ROUND(Points!$B$6*IF($F1166&lt;=1,1,Points!$H$7+(1-Points!$H$7)*((($F1166-$E1166)*(($F1166-$E1166)+1)/2)^2-((($F1166-$E1166-COUNTIFS($A$5:$A$1668,$A1166,$C$5:$C$1668,$C1166)+1)-1)*($F1166-$E1166-COUNTIFS($A$5:$A$1668,$A1166,$C$5:$C$1668,$C1166)+1)/2)^2)/(COUNTIFS($A$5:$A$1668,$A1166,$C$5:$C$1668,$C1166)*($F1166-1)^3))*IF($F1166&lt;Points!$H$4,Points!$H$5,1),0)))</f>
        <v/>
      </c>
      <c r="H1166" s="11">
        <f>IF($G1166="","",COUNTIFS($B$5:$B$1668,$B1166,$G$5:$G$1668,"&gt;"&amp;$G1166)+COUNTIFS($B$4:$B1165,$B1166,$G$4:$G1165,$G1166)+1)</f>
        <v/>
      </c>
      <c r="I1166" s="11">
        <f>IF($G1166="","",IF($H1166&lt;=Points!$H$6,$G1166,0))</f>
        <v/>
      </c>
      <c r="J1166" s="11">
        <f>IF($B1166="","",IF(COUNTIF(Players!$A$2:$A$500,$B1166)=0,"Player is not on the Players tab",IF(NOT(ISNUMBER($C1166)),"Enter a gross score",IF(COUNTIFS($A$5:$A$1668,$A1166,$B$5:$B$1668,$B1166)&gt;1,"Player is listed twice this week",IF(AND($D1166&lt;&gt;"",COUNTIFS($A$5:$A$1668,$A1166,$D$5:$D$1668,$D1166)&gt;1),"Two players picked as "&amp;$D1166,IF(COUNTIFS($A$5:$A$1668,$A1166,$D$5:$D$1668,"Gross winner")=0,"Pick this week's gross winner",IF(COUNTIFS($A$5:$A$1668,$A1166,$D$5:$D$1668,"Net winner")=0,"Pick this week's net winner","OK")))))))</f>
        <v/>
      </c>
    </row>
    <row r="1167" outlineLevel="1">
      <c r="A1167" s="13" t="n">
        <v>46645</v>
      </c>
      <c r="E1167" s="11">
        <f>IF(OR($B1167="",NOT(ISNUMBER($C1167))),"",COUNTIFS($A$5:$A$1668,$A1167,$C$5:$C$1668,"&lt;"&amp;$C1167)+1)</f>
        <v/>
      </c>
      <c r="F1167" s="11">
        <f>IF(OR($B1167="",NOT(ISNUMBER($C1167))),"",COUNTIFS($A$5:$A$1668,$A1167,$C$5:$C$1668,"&gt;0"))</f>
        <v/>
      </c>
      <c r="G1167" s="11">
        <f>IF(OR($B1167="",NOT(ISNUMBER($C1167))),"",IF($D1167&lt;&gt;"",ROUND(Points!$B$6*IF($F1167&lt;Points!$H$4,Points!$H$5,1),0),ROUND(Points!$B$6*IF($F1167&lt;=1,1,Points!$H$7+(1-Points!$H$7)*((($F1167-$E1167)*(($F1167-$E1167)+1)/2)^2-((($F1167-$E1167-COUNTIFS($A$5:$A$1668,$A1167,$C$5:$C$1668,$C1167)+1)-1)*($F1167-$E1167-COUNTIFS($A$5:$A$1668,$A1167,$C$5:$C$1668,$C1167)+1)/2)^2)/(COUNTIFS($A$5:$A$1668,$A1167,$C$5:$C$1668,$C1167)*($F1167-1)^3))*IF($F1167&lt;Points!$H$4,Points!$H$5,1),0)))</f>
        <v/>
      </c>
      <c r="H1167" s="11">
        <f>IF($G1167="","",COUNTIFS($B$5:$B$1668,$B1167,$G$5:$G$1668,"&gt;"&amp;$G1167)+COUNTIFS($B$4:$B1166,$B1167,$G$4:$G1166,$G1167)+1)</f>
        <v/>
      </c>
      <c r="I1167" s="11">
        <f>IF($G1167="","",IF($H1167&lt;=Points!$H$6,$G1167,0))</f>
        <v/>
      </c>
      <c r="J1167" s="11">
        <f>IF($B1167="","",IF(COUNTIF(Players!$A$2:$A$500,$B1167)=0,"Player is not on the Players tab",IF(NOT(ISNUMBER($C1167)),"Enter a gross score",IF(COUNTIFS($A$5:$A$1668,$A1167,$B$5:$B$1668,$B1167)&gt;1,"Player is listed twice this week",IF(AND($D1167&lt;&gt;"",COUNTIFS($A$5:$A$1668,$A1167,$D$5:$D$1668,$D1167)&gt;1),"Two players picked as "&amp;$D1167,IF(COUNTIFS($A$5:$A$1668,$A1167,$D$5:$D$1668,"Gross winner")=0,"Pick this week's gross winner",IF(COUNTIFS($A$5:$A$1668,$A1167,$D$5:$D$1668,"Net winner")=0,"Pick this week's net winner","OK")))))))</f>
        <v/>
      </c>
    </row>
    <row r="1168" outlineLevel="1">
      <c r="A1168" s="13" t="n">
        <v>46645</v>
      </c>
      <c r="E1168" s="11">
        <f>IF(OR($B1168="",NOT(ISNUMBER($C1168))),"",COUNTIFS($A$5:$A$1668,$A1168,$C$5:$C$1668,"&lt;"&amp;$C1168)+1)</f>
        <v/>
      </c>
      <c r="F1168" s="11">
        <f>IF(OR($B1168="",NOT(ISNUMBER($C1168))),"",COUNTIFS($A$5:$A$1668,$A1168,$C$5:$C$1668,"&gt;0"))</f>
        <v/>
      </c>
      <c r="G1168" s="11">
        <f>IF(OR($B1168="",NOT(ISNUMBER($C1168))),"",IF($D1168&lt;&gt;"",ROUND(Points!$B$6*IF($F1168&lt;Points!$H$4,Points!$H$5,1),0),ROUND(Points!$B$6*IF($F1168&lt;=1,1,Points!$H$7+(1-Points!$H$7)*((($F1168-$E1168)*(($F1168-$E1168)+1)/2)^2-((($F1168-$E1168-COUNTIFS($A$5:$A$1668,$A1168,$C$5:$C$1668,$C1168)+1)-1)*($F1168-$E1168-COUNTIFS($A$5:$A$1668,$A1168,$C$5:$C$1668,$C1168)+1)/2)^2)/(COUNTIFS($A$5:$A$1668,$A1168,$C$5:$C$1668,$C1168)*($F1168-1)^3))*IF($F1168&lt;Points!$H$4,Points!$H$5,1),0)))</f>
        <v/>
      </c>
      <c r="H1168" s="11">
        <f>IF($G1168="","",COUNTIFS($B$5:$B$1668,$B1168,$G$5:$G$1668,"&gt;"&amp;$G1168)+COUNTIFS($B$4:$B1167,$B1168,$G$4:$G1167,$G1168)+1)</f>
        <v/>
      </c>
      <c r="I1168" s="11">
        <f>IF($G1168="","",IF($H1168&lt;=Points!$H$6,$G1168,0))</f>
        <v/>
      </c>
      <c r="J1168" s="11">
        <f>IF($B1168="","",IF(COUNTIF(Players!$A$2:$A$500,$B1168)=0,"Player is not on the Players tab",IF(NOT(ISNUMBER($C1168)),"Enter a gross score",IF(COUNTIFS($A$5:$A$1668,$A1168,$B$5:$B$1668,$B1168)&gt;1,"Player is listed twice this week",IF(AND($D1168&lt;&gt;"",COUNTIFS($A$5:$A$1668,$A1168,$D$5:$D$1668,$D1168)&gt;1),"Two players picked as "&amp;$D1168,IF(COUNTIFS($A$5:$A$1668,$A1168,$D$5:$D$1668,"Gross winner")=0,"Pick this week's gross winner",IF(COUNTIFS($A$5:$A$1668,$A1168,$D$5:$D$1668,"Net winner")=0,"Pick this week's net winner","OK")))))))</f>
        <v/>
      </c>
    </row>
    <row r="1169" outlineLevel="1">
      <c r="A1169" s="13" t="n">
        <v>46645</v>
      </c>
      <c r="E1169" s="11">
        <f>IF(OR($B1169="",NOT(ISNUMBER($C1169))),"",COUNTIFS($A$5:$A$1668,$A1169,$C$5:$C$1668,"&lt;"&amp;$C1169)+1)</f>
        <v/>
      </c>
      <c r="F1169" s="11">
        <f>IF(OR($B1169="",NOT(ISNUMBER($C1169))),"",COUNTIFS($A$5:$A$1668,$A1169,$C$5:$C$1668,"&gt;0"))</f>
        <v/>
      </c>
      <c r="G1169" s="11">
        <f>IF(OR($B1169="",NOT(ISNUMBER($C1169))),"",IF($D1169&lt;&gt;"",ROUND(Points!$B$6*IF($F1169&lt;Points!$H$4,Points!$H$5,1),0),ROUND(Points!$B$6*IF($F1169&lt;=1,1,Points!$H$7+(1-Points!$H$7)*((($F1169-$E1169)*(($F1169-$E1169)+1)/2)^2-((($F1169-$E1169-COUNTIFS($A$5:$A$1668,$A1169,$C$5:$C$1668,$C1169)+1)-1)*($F1169-$E1169-COUNTIFS($A$5:$A$1668,$A1169,$C$5:$C$1668,$C1169)+1)/2)^2)/(COUNTIFS($A$5:$A$1668,$A1169,$C$5:$C$1668,$C1169)*($F1169-1)^3))*IF($F1169&lt;Points!$H$4,Points!$H$5,1),0)))</f>
        <v/>
      </c>
      <c r="H1169" s="11">
        <f>IF($G1169="","",COUNTIFS($B$5:$B$1668,$B1169,$G$5:$G$1668,"&gt;"&amp;$G1169)+COUNTIFS($B$4:$B1168,$B1169,$G$4:$G1168,$G1169)+1)</f>
        <v/>
      </c>
      <c r="I1169" s="11">
        <f>IF($G1169="","",IF($H1169&lt;=Points!$H$6,$G1169,0))</f>
        <v/>
      </c>
      <c r="J1169" s="11">
        <f>IF($B1169="","",IF(COUNTIF(Players!$A$2:$A$500,$B1169)=0,"Player is not on the Players tab",IF(NOT(ISNUMBER($C1169)),"Enter a gross score",IF(COUNTIFS($A$5:$A$1668,$A1169,$B$5:$B$1668,$B1169)&gt;1,"Player is listed twice this week",IF(AND($D1169&lt;&gt;"",COUNTIFS($A$5:$A$1668,$A1169,$D$5:$D$1668,$D1169)&gt;1),"Two players picked as "&amp;$D1169,IF(COUNTIFS($A$5:$A$1668,$A1169,$D$5:$D$1668,"Gross winner")=0,"Pick this week's gross winner",IF(COUNTIFS($A$5:$A$1668,$A1169,$D$5:$D$1668,"Net winner")=0,"Pick this week's net winner","OK")))))))</f>
        <v/>
      </c>
    </row>
    <row r="1170" outlineLevel="1">
      <c r="A1170" s="13" t="n">
        <v>46645</v>
      </c>
      <c r="E1170" s="11">
        <f>IF(OR($B1170="",NOT(ISNUMBER($C1170))),"",COUNTIFS($A$5:$A$1668,$A1170,$C$5:$C$1668,"&lt;"&amp;$C1170)+1)</f>
        <v/>
      </c>
      <c r="F1170" s="11">
        <f>IF(OR($B1170="",NOT(ISNUMBER($C1170))),"",COUNTIFS($A$5:$A$1668,$A1170,$C$5:$C$1668,"&gt;0"))</f>
        <v/>
      </c>
      <c r="G1170" s="11">
        <f>IF(OR($B1170="",NOT(ISNUMBER($C1170))),"",IF($D1170&lt;&gt;"",ROUND(Points!$B$6*IF($F1170&lt;Points!$H$4,Points!$H$5,1),0),ROUND(Points!$B$6*IF($F1170&lt;=1,1,Points!$H$7+(1-Points!$H$7)*((($F1170-$E1170)*(($F1170-$E1170)+1)/2)^2-((($F1170-$E1170-COUNTIFS($A$5:$A$1668,$A1170,$C$5:$C$1668,$C1170)+1)-1)*($F1170-$E1170-COUNTIFS($A$5:$A$1668,$A1170,$C$5:$C$1668,$C1170)+1)/2)^2)/(COUNTIFS($A$5:$A$1668,$A1170,$C$5:$C$1668,$C1170)*($F1170-1)^3))*IF($F1170&lt;Points!$H$4,Points!$H$5,1),0)))</f>
        <v/>
      </c>
      <c r="H1170" s="11">
        <f>IF($G1170="","",COUNTIFS($B$5:$B$1668,$B1170,$G$5:$G$1668,"&gt;"&amp;$G1170)+COUNTIFS($B$4:$B1169,$B1170,$G$4:$G1169,$G1170)+1)</f>
        <v/>
      </c>
      <c r="I1170" s="11">
        <f>IF($G1170="","",IF($H1170&lt;=Points!$H$6,$G1170,0))</f>
        <v/>
      </c>
      <c r="J1170" s="11">
        <f>IF($B1170="","",IF(COUNTIF(Players!$A$2:$A$500,$B1170)=0,"Player is not on the Players tab",IF(NOT(ISNUMBER($C1170)),"Enter a gross score",IF(COUNTIFS($A$5:$A$1668,$A1170,$B$5:$B$1668,$B1170)&gt;1,"Player is listed twice this week",IF(AND($D1170&lt;&gt;"",COUNTIFS($A$5:$A$1668,$A1170,$D$5:$D$1668,$D1170)&gt;1),"Two players picked as "&amp;$D1170,IF(COUNTIFS($A$5:$A$1668,$A1170,$D$5:$D$1668,"Gross winner")=0,"Pick this week's gross winner",IF(COUNTIFS($A$5:$A$1668,$A1170,$D$5:$D$1668,"Net winner")=0,"Pick this week's net winner","OK")))))))</f>
        <v/>
      </c>
    </row>
    <row r="1171" outlineLevel="1">
      <c r="A1171" s="13" t="n">
        <v>46645</v>
      </c>
      <c r="E1171" s="11">
        <f>IF(OR($B1171="",NOT(ISNUMBER($C1171))),"",COUNTIFS($A$5:$A$1668,$A1171,$C$5:$C$1668,"&lt;"&amp;$C1171)+1)</f>
        <v/>
      </c>
      <c r="F1171" s="11">
        <f>IF(OR($B1171="",NOT(ISNUMBER($C1171))),"",COUNTIFS($A$5:$A$1668,$A1171,$C$5:$C$1668,"&gt;0"))</f>
        <v/>
      </c>
      <c r="G1171" s="11">
        <f>IF(OR($B1171="",NOT(ISNUMBER($C1171))),"",IF($D1171&lt;&gt;"",ROUND(Points!$B$6*IF($F1171&lt;Points!$H$4,Points!$H$5,1),0),ROUND(Points!$B$6*IF($F1171&lt;=1,1,Points!$H$7+(1-Points!$H$7)*((($F1171-$E1171)*(($F1171-$E1171)+1)/2)^2-((($F1171-$E1171-COUNTIFS($A$5:$A$1668,$A1171,$C$5:$C$1668,$C1171)+1)-1)*($F1171-$E1171-COUNTIFS($A$5:$A$1668,$A1171,$C$5:$C$1668,$C1171)+1)/2)^2)/(COUNTIFS($A$5:$A$1668,$A1171,$C$5:$C$1668,$C1171)*($F1171-1)^3))*IF($F1171&lt;Points!$H$4,Points!$H$5,1),0)))</f>
        <v/>
      </c>
      <c r="H1171" s="11">
        <f>IF($G1171="","",COUNTIFS($B$5:$B$1668,$B1171,$G$5:$G$1668,"&gt;"&amp;$G1171)+COUNTIFS($B$4:$B1170,$B1171,$G$4:$G1170,$G1171)+1)</f>
        <v/>
      </c>
      <c r="I1171" s="11">
        <f>IF($G1171="","",IF($H1171&lt;=Points!$H$6,$G1171,0))</f>
        <v/>
      </c>
      <c r="J1171" s="11">
        <f>IF($B1171="","",IF(COUNTIF(Players!$A$2:$A$500,$B1171)=0,"Player is not on the Players tab",IF(NOT(ISNUMBER($C1171)),"Enter a gross score",IF(COUNTIFS($A$5:$A$1668,$A1171,$B$5:$B$1668,$B1171)&gt;1,"Player is listed twice this week",IF(AND($D1171&lt;&gt;"",COUNTIFS($A$5:$A$1668,$A1171,$D$5:$D$1668,$D1171)&gt;1),"Two players picked as "&amp;$D1171,IF(COUNTIFS($A$5:$A$1668,$A1171,$D$5:$D$1668,"Gross winner")=0,"Pick this week's gross winner",IF(COUNTIFS($A$5:$A$1668,$A1171,$D$5:$D$1668,"Net winner")=0,"Pick this week's net winner","OK")))))))</f>
        <v/>
      </c>
    </row>
    <row r="1172" outlineLevel="1">
      <c r="A1172" s="13" t="n">
        <v>46645</v>
      </c>
      <c r="E1172" s="11">
        <f>IF(OR($B1172="",NOT(ISNUMBER($C1172))),"",COUNTIFS($A$5:$A$1668,$A1172,$C$5:$C$1668,"&lt;"&amp;$C1172)+1)</f>
        <v/>
      </c>
      <c r="F1172" s="11">
        <f>IF(OR($B1172="",NOT(ISNUMBER($C1172))),"",COUNTIFS($A$5:$A$1668,$A1172,$C$5:$C$1668,"&gt;0"))</f>
        <v/>
      </c>
      <c r="G1172" s="11">
        <f>IF(OR($B1172="",NOT(ISNUMBER($C1172))),"",IF($D1172&lt;&gt;"",ROUND(Points!$B$6*IF($F1172&lt;Points!$H$4,Points!$H$5,1),0),ROUND(Points!$B$6*IF($F1172&lt;=1,1,Points!$H$7+(1-Points!$H$7)*((($F1172-$E1172)*(($F1172-$E1172)+1)/2)^2-((($F1172-$E1172-COUNTIFS($A$5:$A$1668,$A1172,$C$5:$C$1668,$C1172)+1)-1)*($F1172-$E1172-COUNTIFS($A$5:$A$1668,$A1172,$C$5:$C$1668,$C1172)+1)/2)^2)/(COUNTIFS($A$5:$A$1668,$A1172,$C$5:$C$1668,$C1172)*($F1172-1)^3))*IF($F1172&lt;Points!$H$4,Points!$H$5,1),0)))</f>
        <v/>
      </c>
      <c r="H1172" s="11">
        <f>IF($G1172="","",COUNTIFS($B$5:$B$1668,$B1172,$G$5:$G$1668,"&gt;"&amp;$G1172)+COUNTIFS($B$4:$B1171,$B1172,$G$4:$G1171,$G1172)+1)</f>
        <v/>
      </c>
      <c r="I1172" s="11">
        <f>IF($G1172="","",IF($H1172&lt;=Points!$H$6,$G1172,0))</f>
        <v/>
      </c>
      <c r="J1172" s="11">
        <f>IF($B1172="","",IF(COUNTIF(Players!$A$2:$A$500,$B1172)=0,"Player is not on the Players tab",IF(NOT(ISNUMBER($C1172)),"Enter a gross score",IF(COUNTIFS($A$5:$A$1668,$A1172,$B$5:$B$1668,$B1172)&gt;1,"Player is listed twice this week",IF(AND($D1172&lt;&gt;"",COUNTIFS($A$5:$A$1668,$A1172,$D$5:$D$1668,$D1172)&gt;1),"Two players picked as "&amp;$D1172,IF(COUNTIFS($A$5:$A$1668,$A1172,$D$5:$D$1668,"Gross winner")=0,"Pick this week's gross winner",IF(COUNTIFS($A$5:$A$1668,$A1172,$D$5:$D$1668,"Net winner")=0,"Pick this week's net winner","OK")))))))</f>
        <v/>
      </c>
    </row>
    <row r="1173" outlineLevel="1">
      <c r="A1173" s="13" t="n">
        <v>46645</v>
      </c>
      <c r="E1173" s="11">
        <f>IF(OR($B1173="",NOT(ISNUMBER($C1173))),"",COUNTIFS($A$5:$A$1668,$A1173,$C$5:$C$1668,"&lt;"&amp;$C1173)+1)</f>
        <v/>
      </c>
      <c r="F1173" s="11">
        <f>IF(OR($B1173="",NOT(ISNUMBER($C1173))),"",COUNTIFS($A$5:$A$1668,$A1173,$C$5:$C$1668,"&gt;0"))</f>
        <v/>
      </c>
      <c r="G1173" s="11">
        <f>IF(OR($B1173="",NOT(ISNUMBER($C1173))),"",IF($D1173&lt;&gt;"",ROUND(Points!$B$6*IF($F1173&lt;Points!$H$4,Points!$H$5,1),0),ROUND(Points!$B$6*IF($F1173&lt;=1,1,Points!$H$7+(1-Points!$H$7)*((($F1173-$E1173)*(($F1173-$E1173)+1)/2)^2-((($F1173-$E1173-COUNTIFS($A$5:$A$1668,$A1173,$C$5:$C$1668,$C1173)+1)-1)*($F1173-$E1173-COUNTIFS($A$5:$A$1668,$A1173,$C$5:$C$1668,$C1173)+1)/2)^2)/(COUNTIFS($A$5:$A$1668,$A1173,$C$5:$C$1668,$C1173)*($F1173-1)^3))*IF($F1173&lt;Points!$H$4,Points!$H$5,1),0)))</f>
        <v/>
      </c>
      <c r="H1173" s="11">
        <f>IF($G1173="","",COUNTIFS($B$5:$B$1668,$B1173,$G$5:$G$1668,"&gt;"&amp;$G1173)+COUNTIFS($B$4:$B1172,$B1173,$G$4:$G1172,$G1173)+1)</f>
        <v/>
      </c>
      <c r="I1173" s="11">
        <f>IF($G1173="","",IF($H1173&lt;=Points!$H$6,$G1173,0))</f>
        <v/>
      </c>
      <c r="J1173" s="11">
        <f>IF($B1173="","",IF(COUNTIF(Players!$A$2:$A$500,$B1173)=0,"Player is not on the Players tab",IF(NOT(ISNUMBER($C1173)),"Enter a gross score",IF(COUNTIFS($A$5:$A$1668,$A1173,$B$5:$B$1668,$B1173)&gt;1,"Player is listed twice this week",IF(AND($D1173&lt;&gt;"",COUNTIFS($A$5:$A$1668,$A1173,$D$5:$D$1668,$D1173)&gt;1),"Two players picked as "&amp;$D1173,IF(COUNTIFS($A$5:$A$1668,$A1173,$D$5:$D$1668,"Gross winner")=0,"Pick this week's gross winner",IF(COUNTIFS($A$5:$A$1668,$A1173,$D$5:$D$1668,"Net winner")=0,"Pick this week's net winner","OK")))))))</f>
        <v/>
      </c>
    </row>
    <row r="1174" outlineLevel="1">
      <c r="A1174" s="13" t="n">
        <v>46645</v>
      </c>
      <c r="E1174" s="11">
        <f>IF(OR($B1174="",NOT(ISNUMBER($C1174))),"",COUNTIFS($A$5:$A$1668,$A1174,$C$5:$C$1668,"&lt;"&amp;$C1174)+1)</f>
        <v/>
      </c>
      <c r="F1174" s="11">
        <f>IF(OR($B1174="",NOT(ISNUMBER($C1174))),"",COUNTIFS($A$5:$A$1668,$A1174,$C$5:$C$1668,"&gt;0"))</f>
        <v/>
      </c>
      <c r="G1174" s="11">
        <f>IF(OR($B1174="",NOT(ISNUMBER($C1174))),"",IF($D1174&lt;&gt;"",ROUND(Points!$B$6*IF($F1174&lt;Points!$H$4,Points!$H$5,1),0),ROUND(Points!$B$6*IF($F1174&lt;=1,1,Points!$H$7+(1-Points!$H$7)*((($F1174-$E1174)*(($F1174-$E1174)+1)/2)^2-((($F1174-$E1174-COUNTIFS($A$5:$A$1668,$A1174,$C$5:$C$1668,$C1174)+1)-1)*($F1174-$E1174-COUNTIFS($A$5:$A$1668,$A1174,$C$5:$C$1668,$C1174)+1)/2)^2)/(COUNTIFS($A$5:$A$1668,$A1174,$C$5:$C$1668,$C1174)*($F1174-1)^3))*IF($F1174&lt;Points!$H$4,Points!$H$5,1),0)))</f>
        <v/>
      </c>
      <c r="H1174" s="11">
        <f>IF($G1174="","",COUNTIFS($B$5:$B$1668,$B1174,$G$5:$G$1668,"&gt;"&amp;$G1174)+COUNTIFS($B$4:$B1173,$B1174,$G$4:$G1173,$G1174)+1)</f>
        <v/>
      </c>
      <c r="I1174" s="11">
        <f>IF($G1174="","",IF($H1174&lt;=Points!$H$6,$G1174,0))</f>
        <v/>
      </c>
      <c r="J1174" s="11">
        <f>IF($B1174="","",IF(COUNTIF(Players!$A$2:$A$500,$B1174)=0,"Player is not on the Players tab",IF(NOT(ISNUMBER($C1174)),"Enter a gross score",IF(COUNTIFS($A$5:$A$1668,$A1174,$B$5:$B$1668,$B1174)&gt;1,"Player is listed twice this week",IF(AND($D1174&lt;&gt;"",COUNTIFS($A$5:$A$1668,$A1174,$D$5:$D$1668,$D1174)&gt;1),"Two players picked as "&amp;$D1174,IF(COUNTIFS($A$5:$A$1668,$A1174,$D$5:$D$1668,"Gross winner")=0,"Pick this week's gross winner",IF(COUNTIFS($A$5:$A$1668,$A1174,$D$5:$D$1668,"Net winner")=0,"Pick this week's net winner","OK")))))))</f>
        <v/>
      </c>
    </row>
    <row r="1175" outlineLevel="1">
      <c r="A1175" s="13" t="n">
        <v>46645</v>
      </c>
      <c r="E1175" s="11">
        <f>IF(OR($B1175="",NOT(ISNUMBER($C1175))),"",COUNTIFS($A$5:$A$1668,$A1175,$C$5:$C$1668,"&lt;"&amp;$C1175)+1)</f>
        <v/>
      </c>
      <c r="F1175" s="11">
        <f>IF(OR($B1175="",NOT(ISNUMBER($C1175))),"",COUNTIFS($A$5:$A$1668,$A1175,$C$5:$C$1668,"&gt;0"))</f>
        <v/>
      </c>
      <c r="G1175" s="11">
        <f>IF(OR($B1175="",NOT(ISNUMBER($C1175))),"",IF($D1175&lt;&gt;"",ROUND(Points!$B$6*IF($F1175&lt;Points!$H$4,Points!$H$5,1),0),ROUND(Points!$B$6*IF($F1175&lt;=1,1,Points!$H$7+(1-Points!$H$7)*((($F1175-$E1175)*(($F1175-$E1175)+1)/2)^2-((($F1175-$E1175-COUNTIFS($A$5:$A$1668,$A1175,$C$5:$C$1668,$C1175)+1)-1)*($F1175-$E1175-COUNTIFS($A$5:$A$1668,$A1175,$C$5:$C$1668,$C1175)+1)/2)^2)/(COUNTIFS($A$5:$A$1668,$A1175,$C$5:$C$1668,$C1175)*($F1175-1)^3))*IF($F1175&lt;Points!$H$4,Points!$H$5,1),0)))</f>
        <v/>
      </c>
      <c r="H1175" s="11">
        <f>IF($G1175="","",COUNTIFS($B$5:$B$1668,$B1175,$G$5:$G$1668,"&gt;"&amp;$G1175)+COUNTIFS($B$4:$B1174,$B1175,$G$4:$G1174,$G1175)+1)</f>
        <v/>
      </c>
      <c r="I1175" s="11">
        <f>IF($G1175="","",IF($H1175&lt;=Points!$H$6,$G1175,0))</f>
        <v/>
      </c>
      <c r="J1175" s="11">
        <f>IF($B1175="","",IF(COUNTIF(Players!$A$2:$A$500,$B1175)=0,"Player is not on the Players tab",IF(NOT(ISNUMBER($C1175)),"Enter a gross score",IF(COUNTIFS($A$5:$A$1668,$A1175,$B$5:$B$1668,$B1175)&gt;1,"Player is listed twice this week",IF(AND($D1175&lt;&gt;"",COUNTIFS($A$5:$A$1668,$A1175,$D$5:$D$1668,$D1175)&gt;1),"Two players picked as "&amp;$D1175,IF(COUNTIFS($A$5:$A$1668,$A1175,$D$5:$D$1668,"Gross winner")=0,"Pick this week's gross winner",IF(COUNTIFS($A$5:$A$1668,$A1175,$D$5:$D$1668,"Net winner")=0,"Pick this week's net winner","OK")))))))</f>
        <v/>
      </c>
    </row>
    <row r="1176" outlineLevel="1">
      <c r="A1176" s="13" t="n">
        <v>46645</v>
      </c>
      <c r="E1176" s="11">
        <f>IF(OR($B1176="",NOT(ISNUMBER($C1176))),"",COUNTIFS($A$5:$A$1668,$A1176,$C$5:$C$1668,"&lt;"&amp;$C1176)+1)</f>
        <v/>
      </c>
      <c r="F1176" s="11">
        <f>IF(OR($B1176="",NOT(ISNUMBER($C1176))),"",COUNTIFS($A$5:$A$1668,$A1176,$C$5:$C$1668,"&gt;0"))</f>
        <v/>
      </c>
      <c r="G1176" s="11">
        <f>IF(OR($B1176="",NOT(ISNUMBER($C1176))),"",IF($D1176&lt;&gt;"",ROUND(Points!$B$6*IF($F1176&lt;Points!$H$4,Points!$H$5,1),0),ROUND(Points!$B$6*IF($F1176&lt;=1,1,Points!$H$7+(1-Points!$H$7)*((($F1176-$E1176)*(($F1176-$E1176)+1)/2)^2-((($F1176-$E1176-COUNTIFS($A$5:$A$1668,$A1176,$C$5:$C$1668,$C1176)+1)-1)*($F1176-$E1176-COUNTIFS($A$5:$A$1668,$A1176,$C$5:$C$1668,$C1176)+1)/2)^2)/(COUNTIFS($A$5:$A$1668,$A1176,$C$5:$C$1668,$C1176)*($F1176-1)^3))*IF($F1176&lt;Points!$H$4,Points!$H$5,1),0)))</f>
        <v/>
      </c>
      <c r="H1176" s="11">
        <f>IF($G1176="","",COUNTIFS($B$5:$B$1668,$B1176,$G$5:$G$1668,"&gt;"&amp;$G1176)+COUNTIFS($B$4:$B1175,$B1176,$G$4:$G1175,$G1176)+1)</f>
        <v/>
      </c>
      <c r="I1176" s="11">
        <f>IF($G1176="","",IF($H1176&lt;=Points!$H$6,$G1176,0))</f>
        <v/>
      </c>
      <c r="J1176" s="11">
        <f>IF($B1176="","",IF(COUNTIF(Players!$A$2:$A$500,$B1176)=0,"Player is not on the Players tab",IF(NOT(ISNUMBER($C1176)),"Enter a gross score",IF(COUNTIFS($A$5:$A$1668,$A1176,$B$5:$B$1668,$B1176)&gt;1,"Player is listed twice this week",IF(AND($D1176&lt;&gt;"",COUNTIFS($A$5:$A$1668,$A1176,$D$5:$D$1668,$D1176)&gt;1),"Two players picked as "&amp;$D1176,IF(COUNTIFS($A$5:$A$1668,$A1176,$D$5:$D$1668,"Gross winner")=0,"Pick this week's gross winner",IF(COUNTIFS($A$5:$A$1668,$A1176,$D$5:$D$1668,"Net winner")=0,"Pick this week's net winner","OK")))))))</f>
        <v/>
      </c>
    </row>
    <row r="1177" outlineLevel="1">
      <c r="A1177" s="13" t="n">
        <v>46645</v>
      </c>
      <c r="E1177" s="11">
        <f>IF(OR($B1177="",NOT(ISNUMBER($C1177))),"",COUNTIFS($A$5:$A$1668,$A1177,$C$5:$C$1668,"&lt;"&amp;$C1177)+1)</f>
        <v/>
      </c>
      <c r="F1177" s="11">
        <f>IF(OR($B1177="",NOT(ISNUMBER($C1177))),"",COUNTIFS($A$5:$A$1668,$A1177,$C$5:$C$1668,"&gt;0"))</f>
        <v/>
      </c>
      <c r="G1177" s="11">
        <f>IF(OR($B1177="",NOT(ISNUMBER($C1177))),"",IF($D1177&lt;&gt;"",ROUND(Points!$B$6*IF($F1177&lt;Points!$H$4,Points!$H$5,1),0),ROUND(Points!$B$6*IF($F1177&lt;=1,1,Points!$H$7+(1-Points!$H$7)*((($F1177-$E1177)*(($F1177-$E1177)+1)/2)^2-((($F1177-$E1177-COUNTIFS($A$5:$A$1668,$A1177,$C$5:$C$1668,$C1177)+1)-1)*($F1177-$E1177-COUNTIFS($A$5:$A$1668,$A1177,$C$5:$C$1668,$C1177)+1)/2)^2)/(COUNTIFS($A$5:$A$1668,$A1177,$C$5:$C$1668,$C1177)*($F1177-1)^3))*IF($F1177&lt;Points!$H$4,Points!$H$5,1),0)))</f>
        <v/>
      </c>
      <c r="H1177" s="11">
        <f>IF($G1177="","",COUNTIFS($B$5:$B$1668,$B1177,$G$5:$G$1668,"&gt;"&amp;$G1177)+COUNTIFS($B$4:$B1176,$B1177,$G$4:$G1176,$G1177)+1)</f>
        <v/>
      </c>
      <c r="I1177" s="11">
        <f>IF($G1177="","",IF($H1177&lt;=Points!$H$6,$G1177,0))</f>
        <v/>
      </c>
      <c r="J1177" s="11">
        <f>IF($B1177="","",IF(COUNTIF(Players!$A$2:$A$500,$B1177)=0,"Player is not on the Players tab",IF(NOT(ISNUMBER($C1177)),"Enter a gross score",IF(COUNTIFS($A$5:$A$1668,$A1177,$B$5:$B$1668,$B1177)&gt;1,"Player is listed twice this week",IF(AND($D1177&lt;&gt;"",COUNTIFS($A$5:$A$1668,$A1177,$D$5:$D$1668,$D1177)&gt;1),"Two players picked as "&amp;$D1177,IF(COUNTIFS($A$5:$A$1668,$A1177,$D$5:$D$1668,"Gross winner")=0,"Pick this week's gross winner",IF(COUNTIFS($A$5:$A$1668,$A1177,$D$5:$D$1668,"Net winner")=0,"Pick this week's net winner","OK")))))))</f>
        <v/>
      </c>
    </row>
    <row r="1178" outlineLevel="1">
      <c r="A1178" s="13" t="n">
        <v>46645</v>
      </c>
      <c r="E1178" s="11">
        <f>IF(OR($B1178="",NOT(ISNUMBER($C1178))),"",COUNTIFS($A$5:$A$1668,$A1178,$C$5:$C$1668,"&lt;"&amp;$C1178)+1)</f>
        <v/>
      </c>
      <c r="F1178" s="11">
        <f>IF(OR($B1178="",NOT(ISNUMBER($C1178))),"",COUNTIFS($A$5:$A$1668,$A1178,$C$5:$C$1668,"&gt;0"))</f>
        <v/>
      </c>
      <c r="G1178" s="11">
        <f>IF(OR($B1178="",NOT(ISNUMBER($C1178))),"",IF($D1178&lt;&gt;"",ROUND(Points!$B$6*IF($F1178&lt;Points!$H$4,Points!$H$5,1),0),ROUND(Points!$B$6*IF($F1178&lt;=1,1,Points!$H$7+(1-Points!$H$7)*((($F1178-$E1178)*(($F1178-$E1178)+1)/2)^2-((($F1178-$E1178-COUNTIFS($A$5:$A$1668,$A1178,$C$5:$C$1668,$C1178)+1)-1)*($F1178-$E1178-COUNTIFS($A$5:$A$1668,$A1178,$C$5:$C$1668,$C1178)+1)/2)^2)/(COUNTIFS($A$5:$A$1668,$A1178,$C$5:$C$1668,$C1178)*($F1178-1)^3))*IF($F1178&lt;Points!$H$4,Points!$H$5,1),0)))</f>
        <v/>
      </c>
      <c r="H1178" s="11">
        <f>IF($G1178="","",COUNTIFS($B$5:$B$1668,$B1178,$G$5:$G$1668,"&gt;"&amp;$G1178)+COUNTIFS($B$4:$B1177,$B1178,$G$4:$G1177,$G1178)+1)</f>
        <v/>
      </c>
      <c r="I1178" s="11">
        <f>IF($G1178="","",IF($H1178&lt;=Points!$H$6,$G1178,0))</f>
        <v/>
      </c>
      <c r="J1178" s="11">
        <f>IF($B1178="","",IF(COUNTIF(Players!$A$2:$A$500,$B1178)=0,"Player is not on the Players tab",IF(NOT(ISNUMBER($C1178)),"Enter a gross score",IF(COUNTIFS($A$5:$A$1668,$A1178,$B$5:$B$1668,$B1178)&gt;1,"Player is listed twice this week",IF(AND($D1178&lt;&gt;"",COUNTIFS($A$5:$A$1668,$A1178,$D$5:$D$1668,$D1178)&gt;1),"Two players picked as "&amp;$D1178,IF(COUNTIFS($A$5:$A$1668,$A1178,$D$5:$D$1668,"Gross winner")=0,"Pick this week's gross winner",IF(COUNTIFS($A$5:$A$1668,$A1178,$D$5:$D$1668,"Net winner")=0,"Pick this week's net winner","OK")))))))</f>
        <v/>
      </c>
    </row>
    <row r="1179" outlineLevel="1">
      <c r="A1179" s="13" t="n">
        <v>46645</v>
      </c>
      <c r="E1179" s="11">
        <f>IF(OR($B1179="",NOT(ISNUMBER($C1179))),"",COUNTIFS($A$5:$A$1668,$A1179,$C$5:$C$1668,"&lt;"&amp;$C1179)+1)</f>
        <v/>
      </c>
      <c r="F1179" s="11">
        <f>IF(OR($B1179="",NOT(ISNUMBER($C1179))),"",COUNTIFS($A$5:$A$1668,$A1179,$C$5:$C$1668,"&gt;0"))</f>
        <v/>
      </c>
      <c r="G1179" s="11">
        <f>IF(OR($B1179="",NOT(ISNUMBER($C1179))),"",IF($D1179&lt;&gt;"",ROUND(Points!$B$6*IF($F1179&lt;Points!$H$4,Points!$H$5,1),0),ROUND(Points!$B$6*IF($F1179&lt;=1,1,Points!$H$7+(1-Points!$H$7)*((($F1179-$E1179)*(($F1179-$E1179)+1)/2)^2-((($F1179-$E1179-COUNTIFS($A$5:$A$1668,$A1179,$C$5:$C$1668,$C1179)+1)-1)*($F1179-$E1179-COUNTIFS($A$5:$A$1668,$A1179,$C$5:$C$1668,$C1179)+1)/2)^2)/(COUNTIFS($A$5:$A$1668,$A1179,$C$5:$C$1668,$C1179)*($F1179-1)^3))*IF($F1179&lt;Points!$H$4,Points!$H$5,1),0)))</f>
        <v/>
      </c>
      <c r="H1179" s="11">
        <f>IF($G1179="","",COUNTIFS($B$5:$B$1668,$B1179,$G$5:$G$1668,"&gt;"&amp;$G1179)+COUNTIFS($B$4:$B1178,$B1179,$G$4:$G1178,$G1179)+1)</f>
        <v/>
      </c>
      <c r="I1179" s="11">
        <f>IF($G1179="","",IF($H1179&lt;=Points!$H$6,$G1179,0))</f>
        <v/>
      </c>
      <c r="J1179" s="11">
        <f>IF($B1179="","",IF(COUNTIF(Players!$A$2:$A$500,$B1179)=0,"Player is not on the Players tab",IF(NOT(ISNUMBER($C1179)),"Enter a gross score",IF(COUNTIFS($A$5:$A$1668,$A1179,$B$5:$B$1668,$B1179)&gt;1,"Player is listed twice this week",IF(AND($D1179&lt;&gt;"",COUNTIFS($A$5:$A$1668,$A1179,$D$5:$D$1668,$D1179)&gt;1),"Two players picked as "&amp;$D1179,IF(COUNTIFS($A$5:$A$1668,$A1179,$D$5:$D$1668,"Gross winner")=0,"Pick this week's gross winner",IF(COUNTIFS($A$5:$A$1668,$A1179,$D$5:$D$1668,"Net winner")=0,"Pick this week's net winner","OK")))))))</f>
        <v/>
      </c>
    </row>
    <row r="1180" outlineLevel="1">
      <c r="A1180" s="13" t="n">
        <v>46645</v>
      </c>
      <c r="E1180" s="11">
        <f>IF(OR($B1180="",NOT(ISNUMBER($C1180))),"",COUNTIFS($A$5:$A$1668,$A1180,$C$5:$C$1668,"&lt;"&amp;$C1180)+1)</f>
        <v/>
      </c>
      <c r="F1180" s="11">
        <f>IF(OR($B1180="",NOT(ISNUMBER($C1180))),"",COUNTIFS($A$5:$A$1668,$A1180,$C$5:$C$1668,"&gt;0"))</f>
        <v/>
      </c>
      <c r="G1180" s="11">
        <f>IF(OR($B1180="",NOT(ISNUMBER($C1180))),"",IF($D1180&lt;&gt;"",ROUND(Points!$B$6*IF($F1180&lt;Points!$H$4,Points!$H$5,1),0),ROUND(Points!$B$6*IF($F1180&lt;=1,1,Points!$H$7+(1-Points!$H$7)*((($F1180-$E1180)*(($F1180-$E1180)+1)/2)^2-((($F1180-$E1180-COUNTIFS($A$5:$A$1668,$A1180,$C$5:$C$1668,$C1180)+1)-1)*($F1180-$E1180-COUNTIFS($A$5:$A$1668,$A1180,$C$5:$C$1668,$C1180)+1)/2)^2)/(COUNTIFS($A$5:$A$1668,$A1180,$C$5:$C$1668,$C1180)*($F1180-1)^3))*IF($F1180&lt;Points!$H$4,Points!$H$5,1),0)))</f>
        <v/>
      </c>
      <c r="H1180" s="11">
        <f>IF($G1180="","",COUNTIFS($B$5:$B$1668,$B1180,$G$5:$G$1668,"&gt;"&amp;$G1180)+COUNTIFS($B$4:$B1179,$B1180,$G$4:$G1179,$G1180)+1)</f>
        <v/>
      </c>
      <c r="I1180" s="11">
        <f>IF($G1180="","",IF($H1180&lt;=Points!$H$6,$G1180,0))</f>
        <v/>
      </c>
      <c r="J1180" s="11">
        <f>IF($B1180="","",IF(COUNTIF(Players!$A$2:$A$500,$B1180)=0,"Player is not on the Players tab",IF(NOT(ISNUMBER($C1180)),"Enter a gross score",IF(COUNTIFS($A$5:$A$1668,$A1180,$B$5:$B$1668,$B1180)&gt;1,"Player is listed twice this week",IF(AND($D1180&lt;&gt;"",COUNTIFS($A$5:$A$1668,$A1180,$D$5:$D$1668,$D1180)&gt;1),"Two players picked as "&amp;$D1180,IF(COUNTIFS($A$5:$A$1668,$A1180,$D$5:$D$1668,"Gross winner")=0,"Pick this week's gross winner",IF(COUNTIFS($A$5:$A$1668,$A1180,$D$5:$D$1668,"Net winner")=0,"Pick this week's net winner","OK")))))))</f>
        <v/>
      </c>
    </row>
    <row r="1181" outlineLevel="1">
      <c r="A1181" s="13" t="n">
        <v>46645</v>
      </c>
      <c r="E1181" s="11">
        <f>IF(OR($B1181="",NOT(ISNUMBER($C1181))),"",COUNTIFS($A$5:$A$1668,$A1181,$C$5:$C$1668,"&lt;"&amp;$C1181)+1)</f>
        <v/>
      </c>
      <c r="F1181" s="11">
        <f>IF(OR($B1181="",NOT(ISNUMBER($C1181))),"",COUNTIFS($A$5:$A$1668,$A1181,$C$5:$C$1668,"&gt;0"))</f>
        <v/>
      </c>
      <c r="G1181" s="11">
        <f>IF(OR($B1181="",NOT(ISNUMBER($C1181))),"",IF($D1181&lt;&gt;"",ROUND(Points!$B$6*IF($F1181&lt;Points!$H$4,Points!$H$5,1),0),ROUND(Points!$B$6*IF($F1181&lt;=1,1,Points!$H$7+(1-Points!$H$7)*((($F1181-$E1181)*(($F1181-$E1181)+1)/2)^2-((($F1181-$E1181-COUNTIFS($A$5:$A$1668,$A1181,$C$5:$C$1668,$C1181)+1)-1)*($F1181-$E1181-COUNTIFS($A$5:$A$1668,$A1181,$C$5:$C$1668,$C1181)+1)/2)^2)/(COUNTIFS($A$5:$A$1668,$A1181,$C$5:$C$1668,$C1181)*($F1181-1)^3))*IF($F1181&lt;Points!$H$4,Points!$H$5,1),0)))</f>
        <v/>
      </c>
      <c r="H1181" s="11">
        <f>IF($G1181="","",COUNTIFS($B$5:$B$1668,$B1181,$G$5:$G$1668,"&gt;"&amp;$G1181)+COUNTIFS($B$4:$B1180,$B1181,$G$4:$G1180,$G1181)+1)</f>
        <v/>
      </c>
      <c r="I1181" s="11">
        <f>IF($G1181="","",IF($H1181&lt;=Points!$H$6,$G1181,0))</f>
        <v/>
      </c>
      <c r="J1181" s="11">
        <f>IF($B1181="","",IF(COUNTIF(Players!$A$2:$A$500,$B1181)=0,"Player is not on the Players tab",IF(NOT(ISNUMBER($C1181)),"Enter a gross score",IF(COUNTIFS($A$5:$A$1668,$A1181,$B$5:$B$1668,$B1181)&gt;1,"Player is listed twice this week",IF(AND($D1181&lt;&gt;"",COUNTIFS($A$5:$A$1668,$A1181,$D$5:$D$1668,$D1181)&gt;1),"Two players picked as "&amp;$D1181,IF(COUNTIFS($A$5:$A$1668,$A1181,$D$5:$D$1668,"Gross winner")=0,"Pick this week's gross winner",IF(COUNTIFS($A$5:$A$1668,$A1181,$D$5:$D$1668,"Net winner")=0,"Pick this week's net winner","OK")))))))</f>
        <v/>
      </c>
    </row>
    <row r="1182" outlineLevel="1">
      <c r="A1182" s="13" t="n">
        <v>46645</v>
      </c>
      <c r="E1182" s="11">
        <f>IF(OR($B1182="",NOT(ISNUMBER($C1182))),"",COUNTIFS($A$5:$A$1668,$A1182,$C$5:$C$1668,"&lt;"&amp;$C1182)+1)</f>
        <v/>
      </c>
      <c r="F1182" s="11">
        <f>IF(OR($B1182="",NOT(ISNUMBER($C1182))),"",COUNTIFS($A$5:$A$1668,$A1182,$C$5:$C$1668,"&gt;0"))</f>
        <v/>
      </c>
      <c r="G1182" s="11">
        <f>IF(OR($B1182="",NOT(ISNUMBER($C1182))),"",IF($D1182&lt;&gt;"",ROUND(Points!$B$6*IF($F1182&lt;Points!$H$4,Points!$H$5,1),0),ROUND(Points!$B$6*IF($F1182&lt;=1,1,Points!$H$7+(1-Points!$H$7)*((($F1182-$E1182)*(($F1182-$E1182)+1)/2)^2-((($F1182-$E1182-COUNTIFS($A$5:$A$1668,$A1182,$C$5:$C$1668,$C1182)+1)-1)*($F1182-$E1182-COUNTIFS($A$5:$A$1668,$A1182,$C$5:$C$1668,$C1182)+1)/2)^2)/(COUNTIFS($A$5:$A$1668,$A1182,$C$5:$C$1668,$C1182)*($F1182-1)^3))*IF($F1182&lt;Points!$H$4,Points!$H$5,1),0)))</f>
        <v/>
      </c>
      <c r="H1182" s="11">
        <f>IF($G1182="","",COUNTIFS($B$5:$B$1668,$B1182,$G$5:$G$1668,"&gt;"&amp;$G1182)+COUNTIFS($B$4:$B1181,$B1182,$G$4:$G1181,$G1182)+1)</f>
        <v/>
      </c>
      <c r="I1182" s="11">
        <f>IF($G1182="","",IF($H1182&lt;=Points!$H$6,$G1182,0))</f>
        <v/>
      </c>
      <c r="J1182" s="11">
        <f>IF($B1182="","",IF(COUNTIF(Players!$A$2:$A$500,$B1182)=0,"Player is not on the Players tab",IF(NOT(ISNUMBER($C1182)),"Enter a gross score",IF(COUNTIFS($A$5:$A$1668,$A1182,$B$5:$B$1668,$B1182)&gt;1,"Player is listed twice this week",IF(AND($D1182&lt;&gt;"",COUNTIFS($A$5:$A$1668,$A1182,$D$5:$D$1668,$D1182)&gt;1),"Two players picked as "&amp;$D1182,IF(COUNTIFS($A$5:$A$1668,$A1182,$D$5:$D$1668,"Gross winner")=0,"Pick this week's gross winner",IF(COUNTIFS($A$5:$A$1668,$A1182,$D$5:$D$1668,"Net winner")=0,"Pick this week's net winner","OK")))))))</f>
        <v/>
      </c>
    </row>
    <row r="1183" outlineLevel="1">
      <c r="A1183" s="13" t="n">
        <v>46645</v>
      </c>
      <c r="E1183" s="11">
        <f>IF(OR($B1183="",NOT(ISNUMBER($C1183))),"",COUNTIFS($A$5:$A$1668,$A1183,$C$5:$C$1668,"&lt;"&amp;$C1183)+1)</f>
        <v/>
      </c>
      <c r="F1183" s="11">
        <f>IF(OR($B1183="",NOT(ISNUMBER($C1183))),"",COUNTIFS($A$5:$A$1668,$A1183,$C$5:$C$1668,"&gt;0"))</f>
        <v/>
      </c>
      <c r="G1183" s="11">
        <f>IF(OR($B1183="",NOT(ISNUMBER($C1183))),"",IF($D1183&lt;&gt;"",ROUND(Points!$B$6*IF($F1183&lt;Points!$H$4,Points!$H$5,1),0),ROUND(Points!$B$6*IF($F1183&lt;=1,1,Points!$H$7+(1-Points!$H$7)*((($F1183-$E1183)*(($F1183-$E1183)+1)/2)^2-((($F1183-$E1183-COUNTIFS($A$5:$A$1668,$A1183,$C$5:$C$1668,$C1183)+1)-1)*($F1183-$E1183-COUNTIFS($A$5:$A$1668,$A1183,$C$5:$C$1668,$C1183)+1)/2)^2)/(COUNTIFS($A$5:$A$1668,$A1183,$C$5:$C$1668,$C1183)*($F1183-1)^3))*IF($F1183&lt;Points!$H$4,Points!$H$5,1),0)))</f>
        <v/>
      </c>
      <c r="H1183" s="11">
        <f>IF($G1183="","",COUNTIFS($B$5:$B$1668,$B1183,$G$5:$G$1668,"&gt;"&amp;$G1183)+COUNTIFS($B$4:$B1182,$B1183,$G$4:$G1182,$G1183)+1)</f>
        <v/>
      </c>
      <c r="I1183" s="11">
        <f>IF($G1183="","",IF($H1183&lt;=Points!$H$6,$G1183,0))</f>
        <v/>
      </c>
      <c r="J1183" s="11">
        <f>IF($B1183="","",IF(COUNTIF(Players!$A$2:$A$500,$B1183)=0,"Player is not on the Players tab",IF(NOT(ISNUMBER($C1183)),"Enter a gross score",IF(COUNTIFS($A$5:$A$1668,$A1183,$B$5:$B$1668,$B1183)&gt;1,"Player is listed twice this week",IF(AND($D1183&lt;&gt;"",COUNTIFS($A$5:$A$1668,$A1183,$D$5:$D$1668,$D1183)&gt;1),"Two players picked as "&amp;$D1183,IF(COUNTIFS($A$5:$A$1668,$A1183,$D$5:$D$1668,"Gross winner")=0,"Pick this week's gross winner",IF(COUNTIFS($A$5:$A$1668,$A1183,$D$5:$D$1668,"Net winner")=0,"Pick this week's net winner","OK")))))))</f>
        <v/>
      </c>
    </row>
    <row r="1184" outlineLevel="1">
      <c r="A1184" s="13" t="n">
        <v>46645</v>
      </c>
      <c r="E1184" s="11">
        <f>IF(OR($B1184="",NOT(ISNUMBER($C1184))),"",COUNTIFS($A$5:$A$1668,$A1184,$C$5:$C$1668,"&lt;"&amp;$C1184)+1)</f>
        <v/>
      </c>
      <c r="F1184" s="11">
        <f>IF(OR($B1184="",NOT(ISNUMBER($C1184))),"",COUNTIFS($A$5:$A$1668,$A1184,$C$5:$C$1668,"&gt;0"))</f>
        <v/>
      </c>
      <c r="G1184" s="11">
        <f>IF(OR($B1184="",NOT(ISNUMBER($C1184))),"",IF($D1184&lt;&gt;"",ROUND(Points!$B$6*IF($F1184&lt;Points!$H$4,Points!$H$5,1),0),ROUND(Points!$B$6*IF($F1184&lt;=1,1,Points!$H$7+(1-Points!$H$7)*((($F1184-$E1184)*(($F1184-$E1184)+1)/2)^2-((($F1184-$E1184-COUNTIFS($A$5:$A$1668,$A1184,$C$5:$C$1668,$C1184)+1)-1)*($F1184-$E1184-COUNTIFS($A$5:$A$1668,$A1184,$C$5:$C$1668,$C1184)+1)/2)^2)/(COUNTIFS($A$5:$A$1668,$A1184,$C$5:$C$1668,$C1184)*($F1184-1)^3))*IF($F1184&lt;Points!$H$4,Points!$H$5,1),0)))</f>
        <v/>
      </c>
      <c r="H1184" s="11">
        <f>IF($G1184="","",COUNTIFS($B$5:$B$1668,$B1184,$G$5:$G$1668,"&gt;"&amp;$G1184)+COUNTIFS($B$4:$B1183,$B1184,$G$4:$G1183,$G1184)+1)</f>
        <v/>
      </c>
      <c r="I1184" s="11">
        <f>IF($G1184="","",IF($H1184&lt;=Points!$H$6,$G1184,0))</f>
        <v/>
      </c>
      <c r="J1184" s="11">
        <f>IF($B1184="","",IF(COUNTIF(Players!$A$2:$A$500,$B1184)=0,"Player is not on the Players tab",IF(NOT(ISNUMBER($C1184)),"Enter a gross score",IF(COUNTIFS($A$5:$A$1668,$A1184,$B$5:$B$1668,$B1184)&gt;1,"Player is listed twice this week",IF(AND($D1184&lt;&gt;"",COUNTIFS($A$5:$A$1668,$A1184,$D$5:$D$1668,$D1184)&gt;1),"Two players picked as "&amp;$D1184,IF(COUNTIFS($A$5:$A$1668,$A1184,$D$5:$D$1668,"Gross winner")=0,"Pick this week's gross winner",IF(COUNTIFS($A$5:$A$1668,$A1184,$D$5:$D$1668,"Net winner")=0,"Pick this week's net winner","OK")))))))</f>
        <v/>
      </c>
    </row>
    <row r="1185" outlineLevel="1">
      <c r="A1185" s="13" t="n">
        <v>46645</v>
      </c>
      <c r="E1185" s="11">
        <f>IF(OR($B1185="",NOT(ISNUMBER($C1185))),"",COUNTIFS($A$5:$A$1668,$A1185,$C$5:$C$1668,"&lt;"&amp;$C1185)+1)</f>
        <v/>
      </c>
      <c r="F1185" s="11">
        <f>IF(OR($B1185="",NOT(ISNUMBER($C1185))),"",COUNTIFS($A$5:$A$1668,$A1185,$C$5:$C$1668,"&gt;0"))</f>
        <v/>
      </c>
      <c r="G1185" s="11">
        <f>IF(OR($B1185="",NOT(ISNUMBER($C1185))),"",IF($D1185&lt;&gt;"",ROUND(Points!$B$6*IF($F1185&lt;Points!$H$4,Points!$H$5,1),0),ROUND(Points!$B$6*IF($F1185&lt;=1,1,Points!$H$7+(1-Points!$H$7)*((($F1185-$E1185)*(($F1185-$E1185)+1)/2)^2-((($F1185-$E1185-COUNTIFS($A$5:$A$1668,$A1185,$C$5:$C$1668,$C1185)+1)-1)*($F1185-$E1185-COUNTIFS($A$5:$A$1668,$A1185,$C$5:$C$1668,$C1185)+1)/2)^2)/(COUNTIFS($A$5:$A$1668,$A1185,$C$5:$C$1668,$C1185)*($F1185-1)^3))*IF($F1185&lt;Points!$H$4,Points!$H$5,1),0)))</f>
        <v/>
      </c>
      <c r="H1185" s="11">
        <f>IF($G1185="","",COUNTIFS($B$5:$B$1668,$B1185,$G$5:$G$1668,"&gt;"&amp;$G1185)+COUNTIFS($B$4:$B1184,$B1185,$G$4:$G1184,$G1185)+1)</f>
        <v/>
      </c>
      <c r="I1185" s="11">
        <f>IF($G1185="","",IF($H1185&lt;=Points!$H$6,$G1185,0))</f>
        <v/>
      </c>
      <c r="J1185" s="11">
        <f>IF($B1185="","",IF(COUNTIF(Players!$A$2:$A$500,$B1185)=0,"Player is not on the Players tab",IF(NOT(ISNUMBER($C1185)),"Enter a gross score",IF(COUNTIFS($A$5:$A$1668,$A1185,$B$5:$B$1668,$B1185)&gt;1,"Player is listed twice this week",IF(AND($D1185&lt;&gt;"",COUNTIFS($A$5:$A$1668,$A1185,$D$5:$D$1668,$D1185)&gt;1),"Two players picked as "&amp;$D1185,IF(COUNTIFS($A$5:$A$1668,$A1185,$D$5:$D$1668,"Gross winner")=0,"Pick this week's gross winner",IF(COUNTIFS($A$5:$A$1668,$A1185,$D$5:$D$1668,"Net winner")=0,"Pick this week's net winner","OK")))))))</f>
        <v/>
      </c>
    </row>
    <row r="1186" outlineLevel="1">
      <c r="A1186" s="13" t="n">
        <v>46645</v>
      </c>
      <c r="E1186" s="11">
        <f>IF(OR($B1186="",NOT(ISNUMBER($C1186))),"",COUNTIFS($A$5:$A$1668,$A1186,$C$5:$C$1668,"&lt;"&amp;$C1186)+1)</f>
        <v/>
      </c>
      <c r="F1186" s="11">
        <f>IF(OR($B1186="",NOT(ISNUMBER($C1186))),"",COUNTIFS($A$5:$A$1668,$A1186,$C$5:$C$1668,"&gt;0"))</f>
        <v/>
      </c>
      <c r="G1186" s="11">
        <f>IF(OR($B1186="",NOT(ISNUMBER($C1186))),"",IF($D1186&lt;&gt;"",ROUND(Points!$B$6*IF($F1186&lt;Points!$H$4,Points!$H$5,1),0),ROUND(Points!$B$6*IF($F1186&lt;=1,1,Points!$H$7+(1-Points!$H$7)*((($F1186-$E1186)*(($F1186-$E1186)+1)/2)^2-((($F1186-$E1186-COUNTIFS($A$5:$A$1668,$A1186,$C$5:$C$1668,$C1186)+1)-1)*($F1186-$E1186-COUNTIFS($A$5:$A$1668,$A1186,$C$5:$C$1668,$C1186)+1)/2)^2)/(COUNTIFS($A$5:$A$1668,$A1186,$C$5:$C$1668,$C1186)*($F1186-1)^3))*IF($F1186&lt;Points!$H$4,Points!$H$5,1),0)))</f>
        <v/>
      </c>
      <c r="H1186" s="11">
        <f>IF($G1186="","",COUNTIFS($B$5:$B$1668,$B1186,$G$5:$G$1668,"&gt;"&amp;$G1186)+COUNTIFS($B$4:$B1185,$B1186,$G$4:$G1185,$G1186)+1)</f>
        <v/>
      </c>
      <c r="I1186" s="11">
        <f>IF($G1186="","",IF($H1186&lt;=Points!$H$6,$G1186,0))</f>
        <v/>
      </c>
      <c r="J1186" s="11">
        <f>IF($B1186="","",IF(COUNTIF(Players!$A$2:$A$500,$B1186)=0,"Player is not on the Players tab",IF(NOT(ISNUMBER($C1186)),"Enter a gross score",IF(COUNTIFS($A$5:$A$1668,$A1186,$B$5:$B$1668,$B1186)&gt;1,"Player is listed twice this week",IF(AND($D1186&lt;&gt;"",COUNTIFS($A$5:$A$1668,$A1186,$D$5:$D$1668,$D1186)&gt;1),"Two players picked as "&amp;$D1186,IF(COUNTIFS($A$5:$A$1668,$A1186,$D$5:$D$1668,"Gross winner")=0,"Pick this week's gross winner",IF(COUNTIFS($A$5:$A$1668,$A1186,$D$5:$D$1668,"Net winner")=0,"Pick this week's net winner","OK")))))))</f>
        <v/>
      </c>
    </row>
    <row r="1187" outlineLevel="1">
      <c r="A1187" s="13" t="n">
        <v>46645</v>
      </c>
      <c r="E1187" s="11">
        <f>IF(OR($B1187="",NOT(ISNUMBER($C1187))),"",COUNTIFS($A$5:$A$1668,$A1187,$C$5:$C$1668,"&lt;"&amp;$C1187)+1)</f>
        <v/>
      </c>
      <c r="F1187" s="11">
        <f>IF(OR($B1187="",NOT(ISNUMBER($C1187))),"",COUNTIFS($A$5:$A$1668,$A1187,$C$5:$C$1668,"&gt;0"))</f>
        <v/>
      </c>
      <c r="G1187" s="11">
        <f>IF(OR($B1187="",NOT(ISNUMBER($C1187))),"",IF($D1187&lt;&gt;"",ROUND(Points!$B$6*IF($F1187&lt;Points!$H$4,Points!$H$5,1),0),ROUND(Points!$B$6*IF($F1187&lt;=1,1,Points!$H$7+(1-Points!$H$7)*((($F1187-$E1187)*(($F1187-$E1187)+1)/2)^2-((($F1187-$E1187-COUNTIFS($A$5:$A$1668,$A1187,$C$5:$C$1668,$C1187)+1)-1)*($F1187-$E1187-COUNTIFS($A$5:$A$1668,$A1187,$C$5:$C$1668,$C1187)+1)/2)^2)/(COUNTIFS($A$5:$A$1668,$A1187,$C$5:$C$1668,$C1187)*($F1187-1)^3))*IF($F1187&lt;Points!$H$4,Points!$H$5,1),0)))</f>
        <v/>
      </c>
      <c r="H1187" s="11">
        <f>IF($G1187="","",COUNTIFS($B$5:$B$1668,$B1187,$G$5:$G$1668,"&gt;"&amp;$G1187)+COUNTIFS($B$4:$B1186,$B1187,$G$4:$G1186,$G1187)+1)</f>
        <v/>
      </c>
      <c r="I1187" s="11">
        <f>IF($G1187="","",IF($H1187&lt;=Points!$H$6,$G1187,0))</f>
        <v/>
      </c>
      <c r="J1187" s="11">
        <f>IF($B1187="","",IF(COUNTIF(Players!$A$2:$A$500,$B1187)=0,"Player is not on the Players tab",IF(NOT(ISNUMBER($C1187)),"Enter a gross score",IF(COUNTIFS($A$5:$A$1668,$A1187,$B$5:$B$1668,$B1187)&gt;1,"Player is listed twice this week",IF(AND($D1187&lt;&gt;"",COUNTIFS($A$5:$A$1668,$A1187,$D$5:$D$1668,$D1187)&gt;1),"Two players picked as "&amp;$D1187,IF(COUNTIFS($A$5:$A$1668,$A1187,$D$5:$D$1668,"Gross winner")=0,"Pick this week's gross winner",IF(COUNTIFS($A$5:$A$1668,$A1187,$D$5:$D$1668,"Net winner")=0,"Pick this week's net winner","OK")))))))</f>
        <v/>
      </c>
    </row>
    <row r="1188" ht="10" customHeight="1"/>
    <row r="1189" ht="22" customHeight="1">
      <c r="A1189" s="12" t="inlineStr">
        <is>
          <t>Week 38  ·  Wednesday, Sep 22</t>
        </is>
      </c>
    </row>
    <row r="1190" outlineLevel="1">
      <c r="A1190" s="13" t="n">
        <v>46652</v>
      </c>
      <c r="E1190" s="11">
        <f>IF(OR($B1190="",NOT(ISNUMBER($C1190))),"",COUNTIFS($A$5:$A$1668,$A1190,$C$5:$C$1668,"&lt;"&amp;$C1190)+1)</f>
        <v/>
      </c>
      <c r="F1190" s="11">
        <f>IF(OR($B1190="",NOT(ISNUMBER($C1190))),"",COUNTIFS($A$5:$A$1668,$A1190,$C$5:$C$1668,"&gt;0"))</f>
        <v/>
      </c>
      <c r="G1190" s="11">
        <f>IF(OR($B1190="",NOT(ISNUMBER($C1190))),"",IF($D1190&lt;&gt;"",ROUND(Points!$B$6*IF($F1190&lt;Points!$H$4,Points!$H$5,1),0),ROUND(Points!$B$6*IF($F1190&lt;=1,1,Points!$H$7+(1-Points!$H$7)*((($F1190-$E1190)*(($F1190-$E1190)+1)/2)^2-((($F1190-$E1190-COUNTIFS($A$5:$A$1668,$A1190,$C$5:$C$1668,$C1190)+1)-1)*($F1190-$E1190-COUNTIFS($A$5:$A$1668,$A1190,$C$5:$C$1668,$C1190)+1)/2)^2)/(COUNTIFS($A$5:$A$1668,$A1190,$C$5:$C$1668,$C1190)*($F1190-1)^3))*IF($F1190&lt;Points!$H$4,Points!$H$5,1),0)))</f>
        <v/>
      </c>
      <c r="H1190" s="11">
        <f>IF($G1190="","",COUNTIFS($B$5:$B$1668,$B1190,$G$5:$G$1668,"&gt;"&amp;$G1190)+COUNTIFS($B$4:$B1189,$B1190,$G$4:$G1189,$G1190)+1)</f>
        <v/>
      </c>
      <c r="I1190" s="11">
        <f>IF($G1190="","",IF($H1190&lt;=Points!$H$6,$G1190,0))</f>
        <v/>
      </c>
      <c r="J1190" s="11">
        <f>IF($B1190="","",IF(COUNTIF(Players!$A$2:$A$500,$B1190)=0,"Player is not on the Players tab",IF(NOT(ISNUMBER($C1190)),"Enter a gross score",IF(COUNTIFS($A$5:$A$1668,$A1190,$B$5:$B$1668,$B1190)&gt;1,"Player is listed twice this week",IF(AND($D1190&lt;&gt;"",COUNTIFS($A$5:$A$1668,$A1190,$D$5:$D$1668,$D1190)&gt;1),"Two players picked as "&amp;$D1190,IF(COUNTIFS($A$5:$A$1668,$A1190,$D$5:$D$1668,"Gross winner")=0,"Pick this week's gross winner",IF(COUNTIFS($A$5:$A$1668,$A1190,$D$5:$D$1668,"Net winner")=0,"Pick this week's net winner","OK")))))))</f>
        <v/>
      </c>
    </row>
    <row r="1191" outlineLevel="1">
      <c r="A1191" s="13" t="n">
        <v>46652</v>
      </c>
      <c r="E1191" s="11">
        <f>IF(OR($B1191="",NOT(ISNUMBER($C1191))),"",COUNTIFS($A$5:$A$1668,$A1191,$C$5:$C$1668,"&lt;"&amp;$C1191)+1)</f>
        <v/>
      </c>
      <c r="F1191" s="11">
        <f>IF(OR($B1191="",NOT(ISNUMBER($C1191))),"",COUNTIFS($A$5:$A$1668,$A1191,$C$5:$C$1668,"&gt;0"))</f>
        <v/>
      </c>
      <c r="G1191" s="11">
        <f>IF(OR($B1191="",NOT(ISNUMBER($C1191))),"",IF($D1191&lt;&gt;"",ROUND(Points!$B$6*IF($F1191&lt;Points!$H$4,Points!$H$5,1),0),ROUND(Points!$B$6*IF($F1191&lt;=1,1,Points!$H$7+(1-Points!$H$7)*((($F1191-$E1191)*(($F1191-$E1191)+1)/2)^2-((($F1191-$E1191-COUNTIFS($A$5:$A$1668,$A1191,$C$5:$C$1668,$C1191)+1)-1)*($F1191-$E1191-COUNTIFS($A$5:$A$1668,$A1191,$C$5:$C$1668,$C1191)+1)/2)^2)/(COUNTIFS($A$5:$A$1668,$A1191,$C$5:$C$1668,$C1191)*($F1191-1)^3))*IF($F1191&lt;Points!$H$4,Points!$H$5,1),0)))</f>
        <v/>
      </c>
      <c r="H1191" s="11">
        <f>IF($G1191="","",COUNTIFS($B$5:$B$1668,$B1191,$G$5:$G$1668,"&gt;"&amp;$G1191)+COUNTIFS($B$4:$B1190,$B1191,$G$4:$G1190,$G1191)+1)</f>
        <v/>
      </c>
      <c r="I1191" s="11">
        <f>IF($G1191="","",IF($H1191&lt;=Points!$H$6,$G1191,0))</f>
        <v/>
      </c>
      <c r="J1191" s="11">
        <f>IF($B1191="","",IF(COUNTIF(Players!$A$2:$A$500,$B1191)=0,"Player is not on the Players tab",IF(NOT(ISNUMBER($C1191)),"Enter a gross score",IF(COUNTIFS($A$5:$A$1668,$A1191,$B$5:$B$1668,$B1191)&gt;1,"Player is listed twice this week",IF(AND($D1191&lt;&gt;"",COUNTIFS($A$5:$A$1668,$A1191,$D$5:$D$1668,$D1191)&gt;1),"Two players picked as "&amp;$D1191,IF(COUNTIFS($A$5:$A$1668,$A1191,$D$5:$D$1668,"Gross winner")=0,"Pick this week's gross winner",IF(COUNTIFS($A$5:$A$1668,$A1191,$D$5:$D$1668,"Net winner")=0,"Pick this week's net winner","OK")))))))</f>
        <v/>
      </c>
    </row>
    <row r="1192" outlineLevel="1">
      <c r="A1192" s="13" t="n">
        <v>46652</v>
      </c>
      <c r="E1192" s="11">
        <f>IF(OR($B1192="",NOT(ISNUMBER($C1192))),"",COUNTIFS($A$5:$A$1668,$A1192,$C$5:$C$1668,"&lt;"&amp;$C1192)+1)</f>
        <v/>
      </c>
      <c r="F1192" s="11">
        <f>IF(OR($B1192="",NOT(ISNUMBER($C1192))),"",COUNTIFS($A$5:$A$1668,$A1192,$C$5:$C$1668,"&gt;0"))</f>
        <v/>
      </c>
      <c r="G1192" s="11">
        <f>IF(OR($B1192="",NOT(ISNUMBER($C1192))),"",IF($D1192&lt;&gt;"",ROUND(Points!$B$6*IF($F1192&lt;Points!$H$4,Points!$H$5,1),0),ROUND(Points!$B$6*IF($F1192&lt;=1,1,Points!$H$7+(1-Points!$H$7)*((($F1192-$E1192)*(($F1192-$E1192)+1)/2)^2-((($F1192-$E1192-COUNTIFS($A$5:$A$1668,$A1192,$C$5:$C$1668,$C1192)+1)-1)*($F1192-$E1192-COUNTIFS($A$5:$A$1668,$A1192,$C$5:$C$1668,$C1192)+1)/2)^2)/(COUNTIFS($A$5:$A$1668,$A1192,$C$5:$C$1668,$C1192)*($F1192-1)^3))*IF($F1192&lt;Points!$H$4,Points!$H$5,1),0)))</f>
        <v/>
      </c>
      <c r="H1192" s="11">
        <f>IF($G1192="","",COUNTIFS($B$5:$B$1668,$B1192,$G$5:$G$1668,"&gt;"&amp;$G1192)+COUNTIFS($B$4:$B1191,$B1192,$G$4:$G1191,$G1192)+1)</f>
        <v/>
      </c>
      <c r="I1192" s="11">
        <f>IF($G1192="","",IF($H1192&lt;=Points!$H$6,$G1192,0))</f>
        <v/>
      </c>
      <c r="J1192" s="11">
        <f>IF($B1192="","",IF(COUNTIF(Players!$A$2:$A$500,$B1192)=0,"Player is not on the Players tab",IF(NOT(ISNUMBER($C1192)),"Enter a gross score",IF(COUNTIFS($A$5:$A$1668,$A1192,$B$5:$B$1668,$B1192)&gt;1,"Player is listed twice this week",IF(AND($D1192&lt;&gt;"",COUNTIFS($A$5:$A$1668,$A1192,$D$5:$D$1668,$D1192)&gt;1),"Two players picked as "&amp;$D1192,IF(COUNTIFS($A$5:$A$1668,$A1192,$D$5:$D$1668,"Gross winner")=0,"Pick this week's gross winner",IF(COUNTIFS($A$5:$A$1668,$A1192,$D$5:$D$1668,"Net winner")=0,"Pick this week's net winner","OK")))))))</f>
        <v/>
      </c>
    </row>
    <row r="1193" outlineLevel="1">
      <c r="A1193" s="13" t="n">
        <v>46652</v>
      </c>
      <c r="E1193" s="11">
        <f>IF(OR($B1193="",NOT(ISNUMBER($C1193))),"",COUNTIFS($A$5:$A$1668,$A1193,$C$5:$C$1668,"&lt;"&amp;$C1193)+1)</f>
        <v/>
      </c>
      <c r="F1193" s="11">
        <f>IF(OR($B1193="",NOT(ISNUMBER($C1193))),"",COUNTIFS($A$5:$A$1668,$A1193,$C$5:$C$1668,"&gt;0"))</f>
        <v/>
      </c>
      <c r="G1193" s="11">
        <f>IF(OR($B1193="",NOT(ISNUMBER($C1193))),"",IF($D1193&lt;&gt;"",ROUND(Points!$B$6*IF($F1193&lt;Points!$H$4,Points!$H$5,1),0),ROUND(Points!$B$6*IF($F1193&lt;=1,1,Points!$H$7+(1-Points!$H$7)*((($F1193-$E1193)*(($F1193-$E1193)+1)/2)^2-((($F1193-$E1193-COUNTIFS($A$5:$A$1668,$A1193,$C$5:$C$1668,$C1193)+1)-1)*($F1193-$E1193-COUNTIFS($A$5:$A$1668,$A1193,$C$5:$C$1668,$C1193)+1)/2)^2)/(COUNTIFS($A$5:$A$1668,$A1193,$C$5:$C$1668,$C1193)*($F1193-1)^3))*IF($F1193&lt;Points!$H$4,Points!$H$5,1),0)))</f>
        <v/>
      </c>
      <c r="H1193" s="11">
        <f>IF($G1193="","",COUNTIFS($B$5:$B$1668,$B1193,$G$5:$G$1668,"&gt;"&amp;$G1193)+COUNTIFS($B$4:$B1192,$B1193,$G$4:$G1192,$G1193)+1)</f>
        <v/>
      </c>
      <c r="I1193" s="11">
        <f>IF($G1193="","",IF($H1193&lt;=Points!$H$6,$G1193,0))</f>
        <v/>
      </c>
      <c r="J1193" s="11">
        <f>IF($B1193="","",IF(COUNTIF(Players!$A$2:$A$500,$B1193)=0,"Player is not on the Players tab",IF(NOT(ISNUMBER($C1193)),"Enter a gross score",IF(COUNTIFS($A$5:$A$1668,$A1193,$B$5:$B$1668,$B1193)&gt;1,"Player is listed twice this week",IF(AND($D1193&lt;&gt;"",COUNTIFS($A$5:$A$1668,$A1193,$D$5:$D$1668,$D1193)&gt;1),"Two players picked as "&amp;$D1193,IF(COUNTIFS($A$5:$A$1668,$A1193,$D$5:$D$1668,"Gross winner")=0,"Pick this week's gross winner",IF(COUNTIFS($A$5:$A$1668,$A1193,$D$5:$D$1668,"Net winner")=0,"Pick this week's net winner","OK")))))))</f>
        <v/>
      </c>
    </row>
    <row r="1194" outlineLevel="1">
      <c r="A1194" s="13" t="n">
        <v>46652</v>
      </c>
      <c r="E1194" s="11">
        <f>IF(OR($B1194="",NOT(ISNUMBER($C1194))),"",COUNTIFS($A$5:$A$1668,$A1194,$C$5:$C$1668,"&lt;"&amp;$C1194)+1)</f>
        <v/>
      </c>
      <c r="F1194" s="11">
        <f>IF(OR($B1194="",NOT(ISNUMBER($C1194))),"",COUNTIFS($A$5:$A$1668,$A1194,$C$5:$C$1668,"&gt;0"))</f>
        <v/>
      </c>
      <c r="G1194" s="11">
        <f>IF(OR($B1194="",NOT(ISNUMBER($C1194))),"",IF($D1194&lt;&gt;"",ROUND(Points!$B$6*IF($F1194&lt;Points!$H$4,Points!$H$5,1),0),ROUND(Points!$B$6*IF($F1194&lt;=1,1,Points!$H$7+(1-Points!$H$7)*((($F1194-$E1194)*(($F1194-$E1194)+1)/2)^2-((($F1194-$E1194-COUNTIFS($A$5:$A$1668,$A1194,$C$5:$C$1668,$C1194)+1)-1)*($F1194-$E1194-COUNTIFS($A$5:$A$1668,$A1194,$C$5:$C$1668,$C1194)+1)/2)^2)/(COUNTIFS($A$5:$A$1668,$A1194,$C$5:$C$1668,$C1194)*($F1194-1)^3))*IF($F1194&lt;Points!$H$4,Points!$H$5,1),0)))</f>
        <v/>
      </c>
      <c r="H1194" s="11">
        <f>IF($G1194="","",COUNTIFS($B$5:$B$1668,$B1194,$G$5:$G$1668,"&gt;"&amp;$G1194)+COUNTIFS($B$4:$B1193,$B1194,$G$4:$G1193,$G1194)+1)</f>
        <v/>
      </c>
      <c r="I1194" s="11">
        <f>IF($G1194="","",IF($H1194&lt;=Points!$H$6,$G1194,0))</f>
        <v/>
      </c>
      <c r="J1194" s="11">
        <f>IF($B1194="","",IF(COUNTIF(Players!$A$2:$A$500,$B1194)=0,"Player is not on the Players tab",IF(NOT(ISNUMBER($C1194)),"Enter a gross score",IF(COUNTIFS($A$5:$A$1668,$A1194,$B$5:$B$1668,$B1194)&gt;1,"Player is listed twice this week",IF(AND($D1194&lt;&gt;"",COUNTIFS($A$5:$A$1668,$A1194,$D$5:$D$1668,$D1194)&gt;1),"Two players picked as "&amp;$D1194,IF(COUNTIFS($A$5:$A$1668,$A1194,$D$5:$D$1668,"Gross winner")=0,"Pick this week's gross winner",IF(COUNTIFS($A$5:$A$1668,$A1194,$D$5:$D$1668,"Net winner")=0,"Pick this week's net winner","OK")))))))</f>
        <v/>
      </c>
    </row>
    <row r="1195" outlineLevel="1">
      <c r="A1195" s="13" t="n">
        <v>46652</v>
      </c>
      <c r="E1195" s="11">
        <f>IF(OR($B1195="",NOT(ISNUMBER($C1195))),"",COUNTIFS($A$5:$A$1668,$A1195,$C$5:$C$1668,"&lt;"&amp;$C1195)+1)</f>
        <v/>
      </c>
      <c r="F1195" s="11">
        <f>IF(OR($B1195="",NOT(ISNUMBER($C1195))),"",COUNTIFS($A$5:$A$1668,$A1195,$C$5:$C$1668,"&gt;0"))</f>
        <v/>
      </c>
      <c r="G1195" s="11">
        <f>IF(OR($B1195="",NOT(ISNUMBER($C1195))),"",IF($D1195&lt;&gt;"",ROUND(Points!$B$6*IF($F1195&lt;Points!$H$4,Points!$H$5,1),0),ROUND(Points!$B$6*IF($F1195&lt;=1,1,Points!$H$7+(1-Points!$H$7)*((($F1195-$E1195)*(($F1195-$E1195)+1)/2)^2-((($F1195-$E1195-COUNTIFS($A$5:$A$1668,$A1195,$C$5:$C$1668,$C1195)+1)-1)*($F1195-$E1195-COUNTIFS($A$5:$A$1668,$A1195,$C$5:$C$1668,$C1195)+1)/2)^2)/(COUNTIFS($A$5:$A$1668,$A1195,$C$5:$C$1668,$C1195)*($F1195-1)^3))*IF($F1195&lt;Points!$H$4,Points!$H$5,1),0)))</f>
        <v/>
      </c>
      <c r="H1195" s="11">
        <f>IF($G1195="","",COUNTIFS($B$5:$B$1668,$B1195,$G$5:$G$1668,"&gt;"&amp;$G1195)+COUNTIFS($B$4:$B1194,$B1195,$G$4:$G1194,$G1195)+1)</f>
        <v/>
      </c>
      <c r="I1195" s="11">
        <f>IF($G1195="","",IF($H1195&lt;=Points!$H$6,$G1195,0))</f>
        <v/>
      </c>
      <c r="J1195" s="11">
        <f>IF($B1195="","",IF(COUNTIF(Players!$A$2:$A$500,$B1195)=0,"Player is not on the Players tab",IF(NOT(ISNUMBER($C1195)),"Enter a gross score",IF(COUNTIFS($A$5:$A$1668,$A1195,$B$5:$B$1668,$B1195)&gt;1,"Player is listed twice this week",IF(AND($D1195&lt;&gt;"",COUNTIFS($A$5:$A$1668,$A1195,$D$5:$D$1668,$D1195)&gt;1),"Two players picked as "&amp;$D1195,IF(COUNTIFS($A$5:$A$1668,$A1195,$D$5:$D$1668,"Gross winner")=0,"Pick this week's gross winner",IF(COUNTIFS($A$5:$A$1668,$A1195,$D$5:$D$1668,"Net winner")=0,"Pick this week's net winner","OK")))))))</f>
        <v/>
      </c>
    </row>
    <row r="1196" outlineLevel="1">
      <c r="A1196" s="13" t="n">
        <v>46652</v>
      </c>
      <c r="E1196" s="11">
        <f>IF(OR($B1196="",NOT(ISNUMBER($C1196))),"",COUNTIFS($A$5:$A$1668,$A1196,$C$5:$C$1668,"&lt;"&amp;$C1196)+1)</f>
        <v/>
      </c>
      <c r="F1196" s="11">
        <f>IF(OR($B1196="",NOT(ISNUMBER($C1196))),"",COUNTIFS($A$5:$A$1668,$A1196,$C$5:$C$1668,"&gt;0"))</f>
        <v/>
      </c>
      <c r="G1196" s="11">
        <f>IF(OR($B1196="",NOT(ISNUMBER($C1196))),"",IF($D1196&lt;&gt;"",ROUND(Points!$B$6*IF($F1196&lt;Points!$H$4,Points!$H$5,1),0),ROUND(Points!$B$6*IF($F1196&lt;=1,1,Points!$H$7+(1-Points!$H$7)*((($F1196-$E1196)*(($F1196-$E1196)+1)/2)^2-((($F1196-$E1196-COUNTIFS($A$5:$A$1668,$A1196,$C$5:$C$1668,$C1196)+1)-1)*($F1196-$E1196-COUNTIFS($A$5:$A$1668,$A1196,$C$5:$C$1668,$C1196)+1)/2)^2)/(COUNTIFS($A$5:$A$1668,$A1196,$C$5:$C$1668,$C1196)*($F1196-1)^3))*IF($F1196&lt;Points!$H$4,Points!$H$5,1),0)))</f>
        <v/>
      </c>
      <c r="H1196" s="11">
        <f>IF($G1196="","",COUNTIFS($B$5:$B$1668,$B1196,$G$5:$G$1668,"&gt;"&amp;$G1196)+COUNTIFS($B$4:$B1195,$B1196,$G$4:$G1195,$G1196)+1)</f>
        <v/>
      </c>
      <c r="I1196" s="11">
        <f>IF($G1196="","",IF($H1196&lt;=Points!$H$6,$G1196,0))</f>
        <v/>
      </c>
      <c r="J1196" s="11">
        <f>IF($B1196="","",IF(COUNTIF(Players!$A$2:$A$500,$B1196)=0,"Player is not on the Players tab",IF(NOT(ISNUMBER($C1196)),"Enter a gross score",IF(COUNTIFS($A$5:$A$1668,$A1196,$B$5:$B$1668,$B1196)&gt;1,"Player is listed twice this week",IF(AND($D1196&lt;&gt;"",COUNTIFS($A$5:$A$1668,$A1196,$D$5:$D$1668,$D1196)&gt;1),"Two players picked as "&amp;$D1196,IF(COUNTIFS($A$5:$A$1668,$A1196,$D$5:$D$1668,"Gross winner")=0,"Pick this week's gross winner",IF(COUNTIFS($A$5:$A$1668,$A1196,$D$5:$D$1668,"Net winner")=0,"Pick this week's net winner","OK")))))))</f>
        <v/>
      </c>
    </row>
    <row r="1197" outlineLevel="1">
      <c r="A1197" s="13" t="n">
        <v>46652</v>
      </c>
      <c r="E1197" s="11">
        <f>IF(OR($B1197="",NOT(ISNUMBER($C1197))),"",COUNTIFS($A$5:$A$1668,$A1197,$C$5:$C$1668,"&lt;"&amp;$C1197)+1)</f>
        <v/>
      </c>
      <c r="F1197" s="11">
        <f>IF(OR($B1197="",NOT(ISNUMBER($C1197))),"",COUNTIFS($A$5:$A$1668,$A1197,$C$5:$C$1668,"&gt;0"))</f>
        <v/>
      </c>
      <c r="G1197" s="11">
        <f>IF(OR($B1197="",NOT(ISNUMBER($C1197))),"",IF($D1197&lt;&gt;"",ROUND(Points!$B$6*IF($F1197&lt;Points!$H$4,Points!$H$5,1),0),ROUND(Points!$B$6*IF($F1197&lt;=1,1,Points!$H$7+(1-Points!$H$7)*((($F1197-$E1197)*(($F1197-$E1197)+1)/2)^2-((($F1197-$E1197-COUNTIFS($A$5:$A$1668,$A1197,$C$5:$C$1668,$C1197)+1)-1)*($F1197-$E1197-COUNTIFS($A$5:$A$1668,$A1197,$C$5:$C$1668,$C1197)+1)/2)^2)/(COUNTIFS($A$5:$A$1668,$A1197,$C$5:$C$1668,$C1197)*($F1197-1)^3))*IF($F1197&lt;Points!$H$4,Points!$H$5,1),0)))</f>
        <v/>
      </c>
      <c r="H1197" s="11">
        <f>IF($G1197="","",COUNTIFS($B$5:$B$1668,$B1197,$G$5:$G$1668,"&gt;"&amp;$G1197)+COUNTIFS($B$4:$B1196,$B1197,$G$4:$G1196,$G1197)+1)</f>
        <v/>
      </c>
      <c r="I1197" s="11">
        <f>IF($G1197="","",IF($H1197&lt;=Points!$H$6,$G1197,0))</f>
        <v/>
      </c>
      <c r="J1197" s="11">
        <f>IF($B1197="","",IF(COUNTIF(Players!$A$2:$A$500,$B1197)=0,"Player is not on the Players tab",IF(NOT(ISNUMBER($C1197)),"Enter a gross score",IF(COUNTIFS($A$5:$A$1668,$A1197,$B$5:$B$1668,$B1197)&gt;1,"Player is listed twice this week",IF(AND($D1197&lt;&gt;"",COUNTIFS($A$5:$A$1668,$A1197,$D$5:$D$1668,$D1197)&gt;1),"Two players picked as "&amp;$D1197,IF(COUNTIFS($A$5:$A$1668,$A1197,$D$5:$D$1668,"Gross winner")=0,"Pick this week's gross winner",IF(COUNTIFS($A$5:$A$1668,$A1197,$D$5:$D$1668,"Net winner")=0,"Pick this week's net winner","OK")))))))</f>
        <v/>
      </c>
    </row>
    <row r="1198" outlineLevel="1">
      <c r="A1198" s="13" t="n">
        <v>46652</v>
      </c>
      <c r="E1198" s="11">
        <f>IF(OR($B1198="",NOT(ISNUMBER($C1198))),"",COUNTIFS($A$5:$A$1668,$A1198,$C$5:$C$1668,"&lt;"&amp;$C1198)+1)</f>
        <v/>
      </c>
      <c r="F1198" s="11">
        <f>IF(OR($B1198="",NOT(ISNUMBER($C1198))),"",COUNTIFS($A$5:$A$1668,$A1198,$C$5:$C$1668,"&gt;0"))</f>
        <v/>
      </c>
      <c r="G1198" s="11">
        <f>IF(OR($B1198="",NOT(ISNUMBER($C1198))),"",IF($D1198&lt;&gt;"",ROUND(Points!$B$6*IF($F1198&lt;Points!$H$4,Points!$H$5,1),0),ROUND(Points!$B$6*IF($F1198&lt;=1,1,Points!$H$7+(1-Points!$H$7)*((($F1198-$E1198)*(($F1198-$E1198)+1)/2)^2-((($F1198-$E1198-COUNTIFS($A$5:$A$1668,$A1198,$C$5:$C$1668,$C1198)+1)-1)*($F1198-$E1198-COUNTIFS($A$5:$A$1668,$A1198,$C$5:$C$1668,$C1198)+1)/2)^2)/(COUNTIFS($A$5:$A$1668,$A1198,$C$5:$C$1668,$C1198)*($F1198-1)^3))*IF($F1198&lt;Points!$H$4,Points!$H$5,1),0)))</f>
        <v/>
      </c>
      <c r="H1198" s="11">
        <f>IF($G1198="","",COUNTIFS($B$5:$B$1668,$B1198,$G$5:$G$1668,"&gt;"&amp;$G1198)+COUNTIFS($B$4:$B1197,$B1198,$G$4:$G1197,$G1198)+1)</f>
        <v/>
      </c>
      <c r="I1198" s="11">
        <f>IF($G1198="","",IF($H1198&lt;=Points!$H$6,$G1198,0))</f>
        <v/>
      </c>
      <c r="J1198" s="11">
        <f>IF($B1198="","",IF(COUNTIF(Players!$A$2:$A$500,$B1198)=0,"Player is not on the Players tab",IF(NOT(ISNUMBER($C1198)),"Enter a gross score",IF(COUNTIFS($A$5:$A$1668,$A1198,$B$5:$B$1668,$B1198)&gt;1,"Player is listed twice this week",IF(AND($D1198&lt;&gt;"",COUNTIFS($A$5:$A$1668,$A1198,$D$5:$D$1668,$D1198)&gt;1),"Two players picked as "&amp;$D1198,IF(COUNTIFS($A$5:$A$1668,$A1198,$D$5:$D$1668,"Gross winner")=0,"Pick this week's gross winner",IF(COUNTIFS($A$5:$A$1668,$A1198,$D$5:$D$1668,"Net winner")=0,"Pick this week's net winner","OK")))))))</f>
        <v/>
      </c>
    </row>
    <row r="1199" outlineLevel="1">
      <c r="A1199" s="13" t="n">
        <v>46652</v>
      </c>
      <c r="E1199" s="11">
        <f>IF(OR($B1199="",NOT(ISNUMBER($C1199))),"",COUNTIFS($A$5:$A$1668,$A1199,$C$5:$C$1668,"&lt;"&amp;$C1199)+1)</f>
        <v/>
      </c>
      <c r="F1199" s="11">
        <f>IF(OR($B1199="",NOT(ISNUMBER($C1199))),"",COUNTIFS($A$5:$A$1668,$A1199,$C$5:$C$1668,"&gt;0"))</f>
        <v/>
      </c>
      <c r="G1199" s="11">
        <f>IF(OR($B1199="",NOT(ISNUMBER($C1199))),"",IF($D1199&lt;&gt;"",ROUND(Points!$B$6*IF($F1199&lt;Points!$H$4,Points!$H$5,1),0),ROUND(Points!$B$6*IF($F1199&lt;=1,1,Points!$H$7+(1-Points!$H$7)*((($F1199-$E1199)*(($F1199-$E1199)+1)/2)^2-((($F1199-$E1199-COUNTIFS($A$5:$A$1668,$A1199,$C$5:$C$1668,$C1199)+1)-1)*($F1199-$E1199-COUNTIFS($A$5:$A$1668,$A1199,$C$5:$C$1668,$C1199)+1)/2)^2)/(COUNTIFS($A$5:$A$1668,$A1199,$C$5:$C$1668,$C1199)*($F1199-1)^3))*IF($F1199&lt;Points!$H$4,Points!$H$5,1),0)))</f>
        <v/>
      </c>
      <c r="H1199" s="11">
        <f>IF($G1199="","",COUNTIFS($B$5:$B$1668,$B1199,$G$5:$G$1668,"&gt;"&amp;$G1199)+COUNTIFS($B$4:$B1198,$B1199,$G$4:$G1198,$G1199)+1)</f>
        <v/>
      </c>
      <c r="I1199" s="11">
        <f>IF($G1199="","",IF($H1199&lt;=Points!$H$6,$G1199,0))</f>
        <v/>
      </c>
      <c r="J1199" s="11">
        <f>IF($B1199="","",IF(COUNTIF(Players!$A$2:$A$500,$B1199)=0,"Player is not on the Players tab",IF(NOT(ISNUMBER($C1199)),"Enter a gross score",IF(COUNTIFS($A$5:$A$1668,$A1199,$B$5:$B$1668,$B1199)&gt;1,"Player is listed twice this week",IF(AND($D1199&lt;&gt;"",COUNTIFS($A$5:$A$1668,$A1199,$D$5:$D$1668,$D1199)&gt;1),"Two players picked as "&amp;$D1199,IF(COUNTIFS($A$5:$A$1668,$A1199,$D$5:$D$1668,"Gross winner")=0,"Pick this week's gross winner",IF(COUNTIFS($A$5:$A$1668,$A1199,$D$5:$D$1668,"Net winner")=0,"Pick this week's net winner","OK")))))))</f>
        <v/>
      </c>
    </row>
    <row r="1200" outlineLevel="1">
      <c r="A1200" s="13" t="n">
        <v>46652</v>
      </c>
      <c r="E1200" s="11">
        <f>IF(OR($B1200="",NOT(ISNUMBER($C1200))),"",COUNTIFS($A$5:$A$1668,$A1200,$C$5:$C$1668,"&lt;"&amp;$C1200)+1)</f>
        <v/>
      </c>
      <c r="F1200" s="11">
        <f>IF(OR($B1200="",NOT(ISNUMBER($C1200))),"",COUNTIFS($A$5:$A$1668,$A1200,$C$5:$C$1668,"&gt;0"))</f>
        <v/>
      </c>
      <c r="G1200" s="11">
        <f>IF(OR($B1200="",NOT(ISNUMBER($C1200))),"",IF($D1200&lt;&gt;"",ROUND(Points!$B$6*IF($F1200&lt;Points!$H$4,Points!$H$5,1),0),ROUND(Points!$B$6*IF($F1200&lt;=1,1,Points!$H$7+(1-Points!$H$7)*((($F1200-$E1200)*(($F1200-$E1200)+1)/2)^2-((($F1200-$E1200-COUNTIFS($A$5:$A$1668,$A1200,$C$5:$C$1668,$C1200)+1)-1)*($F1200-$E1200-COUNTIFS($A$5:$A$1668,$A1200,$C$5:$C$1668,$C1200)+1)/2)^2)/(COUNTIFS($A$5:$A$1668,$A1200,$C$5:$C$1668,$C1200)*($F1200-1)^3))*IF($F1200&lt;Points!$H$4,Points!$H$5,1),0)))</f>
        <v/>
      </c>
      <c r="H1200" s="11">
        <f>IF($G1200="","",COUNTIFS($B$5:$B$1668,$B1200,$G$5:$G$1668,"&gt;"&amp;$G1200)+COUNTIFS($B$4:$B1199,$B1200,$G$4:$G1199,$G1200)+1)</f>
        <v/>
      </c>
      <c r="I1200" s="11">
        <f>IF($G1200="","",IF($H1200&lt;=Points!$H$6,$G1200,0))</f>
        <v/>
      </c>
      <c r="J1200" s="11">
        <f>IF($B1200="","",IF(COUNTIF(Players!$A$2:$A$500,$B1200)=0,"Player is not on the Players tab",IF(NOT(ISNUMBER($C1200)),"Enter a gross score",IF(COUNTIFS($A$5:$A$1668,$A1200,$B$5:$B$1668,$B1200)&gt;1,"Player is listed twice this week",IF(AND($D1200&lt;&gt;"",COUNTIFS($A$5:$A$1668,$A1200,$D$5:$D$1668,$D1200)&gt;1),"Two players picked as "&amp;$D1200,IF(COUNTIFS($A$5:$A$1668,$A1200,$D$5:$D$1668,"Gross winner")=0,"Pick this week's gross winner",IF(COUNTIFS($A$5:$A$1668,$A1200,$D$5:$D$1668,"Net winner")=0,"Pick this week's net winner","OK")))))))</f>
        <v/>
      </c>
    </row>
    <row r="1201" outlineLevel="1">
      <c r="A1201" s="13" t="n">
        <v>46652</v>
      </c>
      <c r="E1201" s="11">
        <f>IF(OR($B1201="",NOT(ISNUMBER($C1201))),"",COUNTIFS($A$5:$A$1668,$A1201,$C$5:$C$1668,"&lt;"&amp;$C1201)+1)</f>
        <v/>
      </c>
      <c r="F1201" s="11">
        <f>IF(OR($B1201="",NOT(ISNUMBER($C1201))),"",COUNTIFS($A$5:$A$1668,$A1201,$C$5:$C$1668,"&gt;0"))</f>
        <v/>
      </c>
      <c r="G1201" s="11">
        <f>IF(OR($B1201="",NOT(ISNUMBER($C1201))),"",IF($D1201&lt;&gt;"",ROUND(Points!$B$6*IF($F1201&lt;Points!$H$4,Points!$H$5,1),0),ROUND(Points!$B$6*IF($F1201&lt;=1,1,Points!$H$7+(1-Points!$H$7)*((($F1201-$E1201)*(($F1201-$E1201)+1)/2)^2-((($F1201-$E1201-COUNTIFS($A$5:$A$1668,$A1201,$C$5:$C$1668,$C1201)+1)-1)*($F1201-$E1201-COUNTIFS($A$5:$A$1668,$A1201,$C$5:$C$1668,$C1201)+1)/2)^2)/(COUNTIFS($A$5:$A$1668,$A1201,$C$5:$C$1668,$C1201)*($F1201-1)^3))*IF($F1201&lt;Points!$H$4,Points!$H$5,1),0)))</f>
        <v/>
      </c>
      <c r="H1201" s="11">
        <f>IF($G1201="","",COUNTIFS($B$5:$B$1668,$B1201,$G$5:$G$1668,"&gt;"&amp;$G1201)+COUNTIFS($B$4:$B1200,$B1201,$G$4:$G1200,$G1201)+1)</f>
        <v/>
      </c>
      <c r="I1201" s="11">
        <f>IF($G1201="","",IF($H1201&lt;=Points!$H$6,$G1201,0))</f>
        <v/>
      </c>
      <c r="J1201" s="11">
        <f>IF($B1201="","",IF(COUNTIF(Players!$A$2:$A$500,$B1201)=0,"Player is not on the Players tab",IF(NOT(ISNUMBER($C1201)),"Enter a gross score",IF(COUNTIFS($A$5:$A$1668,$A1201,$B$5:$B$1668,$B1201)&gt;1,"Player is listed twice this week",IF(AND($D1201&lt;&gt;"",COUNTIFS($A$5:$A$1668,$A1201,$D$5:$D$1668,$D1201)&gt;1),"Two players picked as "&amp;$D1201,IF(COUNTIFS($A$5:$A$1668,$A1201,$D$5:$D$1668,"Gross winner")=0,"Pick this week's gross winner",IF(COUNTIFS($A$5:$A$1668,$A1201,$D$5:$D$1668,"Net winner")=0,"Pick this week's net winner","OK")))))))</f>
        <v/>
      </c>
    </row>
    <row r="1202" outlineLevel="1">
      <c r="A1202" s="13" t="n">
        <v>46652</v>
      </c>
      <c r="E1202" s="11">
        <f>IF(OR($B1202="",NOT(ISNUMBER($C1202))),"",COUNTIFS($A$5:$A$1668,$A1202,$C$5:$C$1668,"&lt;"&amp;$C1202)+1)</f>
        <v/>
      </c>
      <c r="F1202" s="11">
        <f>IF(OR($B1202="",NOT(ISNUMBER($C1202))),"",COUNTIFS($A$5:$A$1668,$A1202,$C$5:$C$1668,"&gt;0"))</f>
        <v/>
      </c>
      <c r="G1202" s="11">
        <f>IF(OR($B1202="",NOT(ISNUMBER($C1202))),"",IF($D1202&lt;&gt;"",ROUND(Points!$B$6*IF($F1202&lt;Points!$H$4,Points!$H$5,1),0),ROUND(Points!$B$6*IF($F1202&lt;=1,1,Points!$H$7+(1-Points!$H$7)*((($F1202-$E1202)*(($F1202-$E1202)+1)/2)^2-((($F1202-$E1202-COUNTIFS($A$5:$A$1668,$A1202,$C$5:$C$1668,$C1202)+1)-1)*($F1202-$E1202-COUNTIFS($A$5:$A$1668,$A1202,$C$5:$C$1668,$C1202)+1)/2)^2)/(COUNTIFS($A$5:$A$1668,$A1202,$C$5:$C$1668,$C1202)*($F1202-1)^3))*IF($F1202&lt;Points!$H$4,Points!$H$5,1),0)))</f>
        <v/>
      </c>
      <c r="H1202" s="11">
        <f>IF($G1202="","",COUNTIFS($B$5:$B$1668,$B1202,$G$5:$G$1668,"&gt;"&amp;$G1202)+COUNTIFS($B$4:$B1201,$B1202,$G$4:$G1201,$G1202)+1)</f>
        <v/>
      </c>
      <c r="I1202" s="11">
        <f>IF($G1202="","",IF($H1202&lt;=Points!$H$6,$G1202,0))</f>
        <v/>
      </c>
      <c r="J1202" s="11">
        <f>IF($B1202="","",IF(COUNTIF(Players!$A$2:$A$500,$B1202)=0,"Player is not on the Players tab",IF(NOT(ISNUMBER($C1202)),"Enter a gross score",IF(COUNTIFS($A$5:$A$1668,$A1202,$B$5:$B$1668,$B1202)&gt;1,"Player is listed twice this week",IF(AND($D1202&lt;&gt;"",COUNTIFS($A$5:$A$1668,$A1202,$D$5:$D$1668,$D1202)&gt;1),"Two players picked as "&amp;$D1202,IF(COUNTIFS($A$5:$A$1668,$A1202,$D$5:$D$1668,"Gross winner")=0,"Pick this week's gross winner",IF(COUNTIFS($A$5:$A$1668,$A1202,$D$5:$D$1668,"Net winner")=0,"Pick this week's net winner","OK")))))))</f>
        <v/>
      </c>
    </row>
    <row r="1203" outlineLevel="1">
      <c r="A1203" s="13" t="n">
        <v>46652</v>
      </c>
      <c r="E1203" s="11">
        <f>IF(OR($B1203="",NOT(ISNUMBER($C1203))),"",COUNTIFS($A$5:$A$1668,$A1203,$C$5:$C$1668,"&lt;"&amp;$C1203)+1)</f>
        <v/>
      </c>
      <c r="F1203" s="11">
        <f>IF(OR($B1203="",NOT(ISNUMBER($C1203))),"",COUNTIFS($A$5:$A$1668,$A1203,$C$5:$C$1668,"&gt;0"))</f>
        <v/>
      </c>
      <c r="G1203" s="11">
        <f>IF(OR($B1203="",NOT(ISNUMBER($C1203))),"",IF($D1203&lt;&gt;"",ROUND(Points!$B$6*IF($F1203&lt;Points!$H$4,Points!$H$5,1),0),ROUND(Points!$B$6*IF($F1203&lt;=1,1,Points!$H$7+(1-Points!$H$7)*((($F1203-$E1203)*(($F1203-$E1203)+1)/2)^2-((($F1203-$E1203-COUNTIFS($A$5:$A$1668,$A1203,$C$5:$C$1668,$C1203)+1)-1)*($F1203-$E1203-COUNTIFS($A$5:$A$1668,$A1203,$C$5:$C$1668,$C1203)+1)/2)^2)/(COUNTIFS($A$5:$A$1668,$A1203,$C$5:$C$1668,$C1203)*($F1203-1)^3))*IF($F1203&lt;Points!$H$4,Points!$H$5,1),0)))</f>
        <v/>
      </c>
      <c r="H1203" s="11">
        <f>IF($G1203="","",COUNTIFS($B$5:$B$1668,$B1203,$G$5:$G$1668,"&gt;"&amp;$G1203)+COUNTIFS($B$4:$B1202,$B1203,$G$4:$G1202,$G1203)+1)</f>
        <v/>
      </c>
      <c r="I1203" s="11">
        <f>IF($G1203="","",IF($H1203&lt;=Points!$H$6,$G1203,0))</f>
        <v/>
      </c>
      <c r="J1203" s="11">
        <f>IF($B1203="","",IF(COUNTIF(Players!$A$2:$A$500,$B1203)=0,"Player is not on the Players tab",IF(NOT(ISNUMBER($C1203)),"Enter a gross score",IF(COUNTIFS($A$5:$A$1668,$A1203,$B$5:$B$1668,$B1203)&gt;1,"Player is listed twice this week",IF(AND($D1203&lt;&gt;"",COUNTIFS($A$5:$A$1668,$A1203,$D$5:$D$1668,$D1203)&gt;1),"Two players picked as "&amp;$D1203,IF(COUNTIFS($A$5:$A$1668,$A1203,$D$5:$D$1668,"Gross winner")=0,"Pick this week's gross winner",IF(COUNTIFS($A$5:$A$1668,$A1203,$D$5:$D$1668,"Net winner")=0,"Pick this week's net winner","OK")))))))</f>
        <v/>
      </c>
    </row>
    <row r="1204" outlineLevel="1">
      <c r="A1204" s="13" t="n">
        <v>46652</v>
      </c>
      <c r="E1204" s="11">
        <f>IF(OR($B1204="",NOT(ISNUMBER($C1204))),"",COUNTIFS($A$5:$A$1668,$A1204,$C$5:$C$1668,"&lt;"&amp;$C1204)+1)</f>
        <v/>
      </c>
      <c r="F1204" s="11">
        <f>IF(OR($B1204="",NOT(ISNUMBER($C1204))),"",COUNTIFS($A$5:$A$1668,$A1204,$C$5:$C$1668,"&gt;0"))</f>
        <v/>
      </c>
      <c r="G1204" s="11">
        <f>IF(OR($B1204="",NOT(ISNUMBER($C1204))),"",IF($D1204&lt;&gt;"",ROUND(Points!$B$6*IF($F1204&lt;Points!$H$4,Points!$H$5,1),0),ROUND(Points!$B$6*IF($F1204&lt;=1,1,Points!$H$7+(1-Points!$H$7)*((($F1204-$E1204)*(($F1204-$E1204)+1)/2)^2-((($F1204-$E1204-COUNTIFS($A$5:$A$1668,$A1204,$C$5:$C$1668,$C1204)+1)-1)*($F1204-$E1204-COUNTIFS($A$5:$A$1668,$A1204,$C$5:$C$1668,$C1204)+1)/2)^2)/(COUNTIFS($A$5:$A$1668,$A1204,$C$5:$C$1668,$C1204)*($F1204-1)^3))*IF($F1204&lt;Points!$H$4,Points!$H$5,1),0)))</f>
        <v/>
      </c>
      <c r="H1204" s="11">
        <f>IF($G1204="","",COUNTIFS($B$5:$B$1668,$B1204,$G$5:$G$1668,"&gt;"&amp;$G1204)+COUNTIFS($B$4:$B1203,$B1204,$G$4:$G1203,$G1204)+1)</f>
        <v/>
      </c>
      <c r="I1204" s="11">
        <f>IF($G1204="","",IF($H1204&lt;=Points!$H$6,$G1204,0))</f>
        <v/>
      </c>
      <c r="J1204" s="11">
        <f>IF($B1204="","",IF(COUNTIF(Players!$A$2:$A$500,$B1204)=0,"Player is not on the Players tab",IF(NOT(ISNUMBER($C1204)),"Enter a gross score",IF(COUNTIFS($A$5:$A$1668,$A1204,$B$5:$B$1668,$B1204)&gt;1,"Player is listed twice this week",IF(AND($D1204&lt;&gt;"",COUNTIFS($A$5:$A$1668,$A1204,$D$5:$D$1668,$D1204)&gt;1),"Two players picked as "&amp;$D1204,IF(COUNTIFS($A$5:$A$1668,$A1204,$D$5:$D$1668,"Gross winner")=0,"Pick this week's gross winner",IF(COUNTIFS($A$5:$A$1668,$A1204,$D$5:$D$1668,"Net winner")=0,"Pick this week's net winner","OK")))))))</f>
        <v/>
      </c>
    </row>
    <row r="1205" outlineLevel="1">
      <c r="A1205" s="13" t="n">
        <v>46652</v>
      </c>
      <c r="E1205" s="11">
        <f>IF(OR($B1205="",NOT(ISNUMBER($C1205))),"",COUNTIFS($A$5:$A$1668,$A1205,$C$5:$C$1668,"&lt;"&amp;$C1205)+1)</f>
        <v/>
      </c>
      <c r="F1205" s="11">
        <f>IF(OR($B1205="",NOT(ISNUMBER($C1205))),"",COUNTIFS($A$5:$A$1668,$A1205,$C$5:$C$1668,"&gt;0"))</f>
        <v/>
      </c>
      <c r="G1205" s="11">
        <f>IF(OR($B1205="",NOT(ISNUMBER($C1205))),"",IF($D1205&lt;&gt;"",ROUND(Points!$B$6*IF($F1205&lt;Points!$H$4,Points!$H$5,1),0),ROUND(Points!$B$6*IF($F1205&lt;=1,1,Points!$H$7+(1-Points!$H$7)*((($F1205-$E1205)*(($F1205-$E1205)+1)/2)^2-((($F1205-$E1205-COUNTIFS($A$5:$A$1668,$A1205,$C$5:$C$1668,$C1205)+1)-1)*($F1205-$E1205-COUNTIFS($A$5:$A$1668,$A1205,$C$5:$C$1668,$C1205)+1)/2)^2)/(COUNTIFS($A$5:$A$1668,$A1205,$C$5:$C$1668,$C1205)*($F1205-1)^3))*IF($F1205&lt;Points!$H$4,Points!$H$5,1),0)))</f>
        <v/>
      </c>
      <c r="H1205" s="11">
        <f>IF($G1205="","",COUNTIFS($B$5:$B$1668,$B1205,$G$5:$G$1668,"&gt;"&amp;$G1205)+COUNTIFS($B$4:$B1204,$B1205,$G$4:$G1204,$G1205)+1)</f>
        <v/>
      </c>
      <c r="I1205" s="11">
        <f>IF($G1205="","",IF($H1205&lt;=Points!$H$6,$G1205,0))</f>
        <v/>
      </c>
      <c r="J1205" s="11">
        <f>IF($B1205="","",IF(COUNTIF(Players!$A$2:$A$500,$B1205)=0,"Player is not on the Players tab",IF(NOT(ISNUMBER($C1205)),"Enter a gross score",IF(COUNTIFS($A$5:$A$1668,$A1205,$B$5:$B$1668,$B1205)&gt;1,"Player is listed twice this week",IF(AND($D1205&lt;&gt;"",COUNTIFS($A$5:$A$1668,$A1205,$D$5:$D$1668,$D1205)&gt;1),"Two players picked as "&amp;$D1205,IF(COUNTIFS($A$5:$A$1668,$A1205,$D$5:$D$1668,"Gross winner")=0,"Pick this week's gross winner",IF(COUNTIFS($A$5:$A$1668,$A1205,$D$5:$D$1668,"Net winner")=0,"Pick this week's net winner","OK")))))))</f>
        <v/>
      </c>
    </row>
    <row r="1206" outlineLevel="1">
      <c r="A1206" s="13" t="n">
        <v>46652</v>
      </c>
      <c r="E1206" s="11">
        <f>IF(OR($B1206="",NOT(ISNUMBER($C1206))),"",COUNTIFS($A$5:$A$1668,$A1206,$C$5:$C$1668,"&lt;"&amp;$C1206)+1)</f>
        <v/>
      </c>
      <c r="F1206" s="11">
        <f>IF(OR($B1206="",NOT(ISNUMBER($C1206))),"",COUNTIFS($A$5:$A$1668,$A1206,$C$5:$C$1668,"&gt;0"))</f>
        <v/>
      </c>
      <c r="G1206" s="11">
        <f>IF(OR($B1206="",NOT(ISNUMBER($C1206))),"",IF($D1206&lt;&gt;"",ROUND(Points!$B$6*IF($F1206&lt;Points!$H$4,Points!$H$5,1),0),ROUND(Points!$B$6*IF($F1206&lt;=1,1,Points!$H$7+(1-Points!$H$7)*((($F1206-$E1206)*(($F1206-$E1206)+1)/2)^2-((($F1206-$E1206-COUNTIFS($A$5:$A$1668,$A1206,$C$5:$C$1668,$C1206)+1)-1)*($F1206-$E1206-COUNTIFS($A$5:$A$1668,$A1206,$C$5:$C$1668,$C1206)+1)/2)^2)/(COUNTIFS($A$5:$A$1668,$A1206,$C$5:$C$1668,$C1206)*($F1206-1)^3))*IF($F1206&lt;Points!$H$4,Points!$H$5,1),0)))</f>
        <v/>
      </c>
      <c r="H1206" s="11">
        <f>IF($G1206="","",COUNTIFS($B$5:$B$1668,$B1206,$G$5:$G$1668,"&gt;"&amp;$G1206)+COUNTIFS($B$4:$B1205,$B1206,$G$4:$G1205,$G1206)+1)</f>
        <v/>
      </c>
      <c r="I1206" s="11">
        <f>IF($G1206="","",IF($H1206&lt;=Points!$H$6,$G1206,0))</f>
        <v/>
      </c>
      <c r="J1206" s="11">
        <f>IF($B1206="","",IF(COUNTIF(Players!$A$2:$A$500,$B1206)=0,"Player is not on the Players tab",IF(NOT(ISNUMBER($C1206)),"Enter a gross score",IF(COUNTIFS($A$5:$A$1668,$A1206,$B$5:$B$1668,$B1206)&gt;1,"Player is listed twice this week",IF(AND($D1206&lt;&gt;"",COUNTIFS($A$5:$A$1668,$A1206,$D$5:$D$1668,$D1206)&gt;1),"Two players picked as "&amp;$D1206,IF(COUNTIFS($A$5:$A$1668,$A1206,$D$5:$D$1668,"Gross winner")=0,"Pick this week's gross winner",IF(COUNTIFS($A$5:$A$1668,$A1206,$D$5:$D$1668,"Net winner")=0,"Pick this week's net winner","OK")))))))</f>
        <v/>
      </c>
    </row>
    <row r="1207" outlineLevel="1">
      <c r="A1207" s="13" t="n">
        <v>46652</v>
      </c>
      <c r="E1207" s="11">
        <f>IF(OR($B1207="",NOT(ISNUMBER($C1207))),"",COUNTIFS($A$5:$A$1668,$A1207,$C$5:$C$1668,"&lt;"&amp;$C1207)+1)</f>
        <v/>
      </c>
      <c r="F1207" s="11">
        <f>IF(OR($B1207="",NOT(ISNUMBER($C1207))),"",COUNTIFS($A$5:$A$1668,$A1207,$C$5:$C$1668,"&gt;0"))</f>
        <v/>
      </c>
      <c r="G1207" s="11">
        <f>IF(OR($B1207="",NOT(ISNUMBER($C1207))),"",IF($D1207&lt;&gt;"",ROUND(Points!$B$6*IF($F1207&lt;Points!$H$4,Points!$H$5,1),0),ROUND(Points!$B$6*IF($F1207&lt;=1,1,Points!$H$7+(1-Points!$H$7)*((($F1207-$E1207)*(($F1207-$E1207)+1)/2)^2-((($F1207-$E1207-COUNTIFS($A$5:$A$1668,$A1207,$C$5:$C$1668,$C1207)+1)-1)*($F1207-$E1207-COUNTIFS($A$5:$A$1668,$A1207,$C$5:$C$1668,$C1207)+1)/2)^2)/(COUNTIFS($A$5:$A$1668,$A1207,$C$5:$C$1668,$C1207)*($F1207-1)^3))*IF($F1207&lt;Points!$H$4,Points!$H$5,1),0)))</f>
        <v/>
      </c>
      <c r="H1207" s="11">
        <f>IF($G1207="","",COUNTIFS($B$5:$B$1668,$B1207,$G$5:$G$1668,"&gt;"&amp;$G1207)+COUNTIFS($B$4:$B1206,$B1207,$G$4:$G1206,$G1207)+1)</f>
        <v/>
      </c>
      <c r="I1207" s="11">
        <f>IF($G1207="","",IF($H1207&lt;=Points!$H$6,$G1207,0))</f>
        <v/>
      </c>
      <c r="J1207" s="11">
        <f>IF($B1207="","",IF(COUNTIF(Players!$A$2:$A$500,$B1207)=0,"Player is not on the Players tab",IF(NOT(ISNUMBER($C1207)),"Enter a gross score",IF(COUNTIFS($A$5:$A$1668,$A1207,$B$5:$B$1668,$B1207)&gt;1,"Player is listed twice this week",IF(AND($D1207&lt;&gt;"",COUNTIFS($A$5:$A$1668,$A1207,$D$5:$D$1668,$D1207)&gt;1),"Two players picked as "&amp;$D1207,IF(COUNTIFS($A$5:$A$1668,$A1207,$D$5:$D$1668,"Gross winner")=0,"Pick this week's gross winner",IF(COUNTIFS($A$5:$A$1668,$A1207,$D$5:$D$1668,"Net winner")=0,"Pick this week's net winner","OK")))))))</f>
        <v/>
      </c>
    </row>
    <row r="1208" outlineLevel="1">
      <c r="A1208" s="13" t="n">
        <v>46652</v>
      </c>
      <c r="E1208" s="11">
        <f>IF(OR($B1208="",NOT(ISNUMBER($C1208))),"",COUNTIFS($A$5:$A$1668,$A1208,$C$5:$C$1668,"&lt;"&amp;$C1208)+1)</f>
        <v/>
      </c>
      <c r="F1208" s="11">
        <f>IF(OR($B1208="",NOT(ISNUMBER($C1208))),"",COUNTIFS($A$5:$A$1668,$A1208,$C$5:$C$1668,"&gt;0"))</f>
        <v/>
      </c>
      <c r="G1208" s="11">
        <f>IF(OR($B1208="",NOT(ISNUMBER($C1208))),"",IF($D1208&lt;&gt;"",ROUND(Points!$B$6*IF($F1208&lt;Points!$H$4,Points!$H$5,1),0),ROUND(Points!$B$6*IF($F1208&lt;=1,1,Points!$H$7+(1-Points!$H$7)*((($F1208-$E1208)*(($F1208-$E1208)+1)/2)^2-((($F1208-$E1208-COUNTIFS($A$5:$A$1668,$A1208,$C$5:$C$1668,$C1208)+1)-1)*($F1208-$E1208-COUNTIFS($A$5:$A$1668,$A1208,$C$5:$C$1668,$C1208)+1)/2)^2)/(COUNTIFS($A$5:$A$1668,$A1208,$C$5:$C$1668,$C1208)*($F1208-1)^3))*IF($F1208&lt;Points!$H$4,Points!$H$5,1),0)))</f>
        <v/>
      </c>
      <c r="H1208" s="11">
        <f>IF($G1208="","",COUNTIFS($B$5:$B$1668,$B1208,$G$5:$G$1668,"&gt;"&amp;$G1208)+COUNTIFS($B$4:$B1207,$B1208,$G$4:$G1207,$G1208)+1)</f>
        <v/>
      </c>
      <c r="I1208" s="11">
        <f>IF($G1208="","",IF($H1208&lt;=Points!$H$6,$G1208,0))</f>
        <v/>
      </c>
      <c r="J1208" s="11">
        <f>IF($B1208="","",IF(COUNTIF(Players!$A$2:$A$500,$B1208)=0,"Player is not on the Players tab",IF(NOT(ISNUMBER($C1208)),"Enter a gross score",IF(COUNTIFS($A$5:$A$1668,$A1208,$B$5:$B$1668,$B1208)&gt;1,"Player is listed twice this week",IF(AND($D1208&lt;&gt;"",COUNTIFS($A$5:$A$1668,$A1208,$D$5:$D$1668,$D1208)&gt;1),"Two players picked as "&amp;$D1208,IF(COUNTIFS($A$5:$A$1668,$A1208,$D$5:$D$1668,"Gross winner")=0,"Pick this week's gross winner",IF(COUNTIFS($A$5:$A$1668,$A1208,$D$5:$D$1668,"Net winner")=0,"Pick this week's net winner","OK")))))))</f>
        <v/>
      </c>
    </row>
    <row r="1209" outlineLevel="1">
      <c r="A1209" s="13" t="n">
        <v>46652</v>
      </c>
      <c r="E1209" s="11">
        <f>IF(OR($B1209="",NOT(ISNUMBER($C1209))),"",COUNTIFS($A$5:$A$1668,$A1209,$C$5:$C$1668,"&lt;"&amp;$C1209)+1)</f>
        <v/>
      </c>
      <c r="F1209" s="11">
        <f>IF(OR($B1209="",NOT(ISNUMBER($C1209))),"",COUNTIFS($A$5:$A$1668,$A1209,$C$5:$C$1668,"&gt;0"))</f>
        <v/>
      </c>
      <c r="G1209" s="11">
        <f>IF(OR($B1209="",NOT(ISNUMBER($C1209))),"",IF($D1209&lt;&gt;"",ROUND(Points!$B$6*IF($F1209&lt;Points!$H$4,Points!$H$5,1),0),ROUND(Points!$B$6*IF($F1209&lt;=1,1,Points!$H$7+(1-Points!$H$7)*((($F1209-$E1209)*(($F1209-$E1209)+1)/2)^2-((($F1209-$E1209-COUNTIFS($A$5:$A$1668,$A1209,$C$5:$C$1668,$C1209)+1)-1)*($F1209-$E1209-COUNTIFS($A$5:$A$1668,$A1209,$C$5:$C$1668,$C1209)+1)/2)^2)/(COUNTIFS($A$5:$A$1668,$A1209,$C$5:$C$1668,$C1209)*($F1209-1)^3))*IF($F1209&lt;Points!$H$4,Points!$H$5,1),0)))</f>
        <v/>
      </c>
      <c r="H1209" s="11">
        <f>IF($G1209="","",COUNTIFS($B$5:$B$1668,$B1209,$G$5:$G$1668,"&gt;"&amp;$G1209)+COUNTIFS($B$4:$B1208,$B1209,$G$4:$G1208,$G1209)+1)</f>
        <v/>
      </c>
      <c r="I1209" s="11">
        <f>IF($G1209="","",IF($H1209&lt;=Points!$H$6,$G1209,0))</f>
        <v/>
      </c>
      <c r="J1209" s="11">
        <f>IF($B1209="","",IF(COUNTIF(Players!$A$2:$A$500,$B1209)=0,"Player is not on the Players tab",IF(NOT(ISNUMBER($C1209)),"Enter a gross score",IF(COUNTIFS($A$5:$A$1668,$A1209,$B$5:$B$1668,$B1209)&gt;1,"Player is listed twice this week",IF(AND($D1209&lt;&gt;"",COUNTIFS($A$5:$A$1668,$A1209,$D$5:$D$1668,$D1209)&gt;1),"Two players picked as "&amp;$D1209,IF(COUNTIFS($A$5:$A$1668,$A1209,$D$5:$D$1668,"Gross winner")=0,"Pick this week's gross winner",IF(COUNTIFS($A$5:$A$1668,$A1209,$D$5:$D$1668,"Net winner")=0,"Pick this week's net winner","OK")))))))</f>
        <v/>
      </c>
    </row>
    <row r="1210" outlineLevel="1">
      <c r="A1210" s="13" t="n">
        <v>46652</v>
      </c>
      <c r="E1210" s="11">
        <f>IF(OR($B1210="",NOT(ISNUMBER($C1210))),"",COUNTIFS($A$5:$A$1668,$A1210,$C$5:$C$1668,"&lt;"&amp;$C1210)+1)</f>
        <v/>
      </c>
      <c r="F1210" s="11">
        <f>IF(OR($B1210="",NOT(ISNUMBER($C1210))),"",COUNTIFS($A$5:$A$1668,$A1210,$C$5:$C$1668,"&gt;0"))</f>
        <v/>
      </c>
      <c r="G1210" s="11">
        <f>IF(OR($B1210="",NOT(ISNUMBER($C1210))),"",IF($D1210&lt;&gt;"",ROUND(Points!$B$6*IF($F1210&lt;Points!$H$4,Points!$H$5,1),0),ROUND(Points!$B$6*IF($F1210&lt;=1,1,Points!$H$7+(1-Points!$H$7)*((($F1210-$E1210)*(($F1210-$E1210)+1)/2)^2-((($F1210-$E1210-COUNTIFS($A$5:$A$1668,$A1210,$C$5:$C$1668,$C1210)+1)-1)*($F1210-$E1210-COUNTIFS($A$5:$A$1668,$A1210,$C$5:$C$1668,$C1210)+1)/2)^2)/(COUNTIFS($A$5:$A$1668,$A1210,$C$5:$C$1668,$C1210)*($F1210-1)^3))*IF($F1210&lt;Points!$H$4,Points!$H$5,1),0)))</f>
        <v/>
      </c>
      <c r="H1210" s="11">
        <f>IF($G1210="","",COUNTIFS($B$5:$B$1668,$B1210,$G$5:$G$1668,"&gt;"&amp;$G1210)+COUNTIFS($B$4:$B1209,$B1210,$G$4:$G1209,$G1210)+1)</f>
        <v/>
      </c>
      <c r="I1210" s="11">
        <f>IF($G1210="","",IF($H1210&lt;=Points!$H$6,$G1210,0))</f>
        <v/>
      </c>
      <c r="J1210" s="11">
        <f>IF($B1210="","",IF(COUNTIF(Players!$A$2:$A$500,$B1210)=0,"Player is not on the Players tab",IF(NOT(ISNUMBER($C1210)),"Enter a gross score",IF(COUNTIFS($A$5:$A$1668,$A1210,$B$5:$B$1668,$B1210)&gt;1,"Player is listed twice this week",IF(AND($D1210&lt;&gt;"",COUNTIFS($A$5:$A$1668,$A1210,$D$5:$D$1668,$D1210)&gt;1),"Two players picked as "&amp;$D1210,IF(COUNTIFS($A$5:$A$1668,$A1210,$D$5:$D$1668,"Gross winner")=0,"Pick this week's gross winner",IF(COUNTIFS($A$5:$A$1668,$A1210,$D$5:$D$1668,"Net winner")=0,"Pick this week's net winner","OK")))))))</f>
        <v/>
      </c>
    </row>
    <row r="1211" outlineLevel="1">
      <c r="A1211" s="13" t="n">
        <v>46652</v>
      </c>
      <c r="E1211" s="11">
        <f>IF(OR($B1211="",NOT(ISNUMBER($C1211))),"",COUNTIFS($A$5:$A$1668,$A1211,$C$5:$C$1668,"&lt;"&amp;$C1211)+1)</f>
        <v/>
      </c>
      <c r="F1211" s="11">
        <f>IF(OR($B1211="",NOT(ISNUMBER($C1211))),"",COUNTIFS($A$5:$A$1668,$A1211,$C$5:$C$1668,"&gt;0"))</f>
        <v/>
      </c>
      <c r="G1211" s="11">
        <f>IF(OR($B1211="",NOT(ISNUMBER($C1211))),"",IF($D1211&lt;&gt;"",ROUND(Points!$B$6*IF($F1211&lt;Points!$H$4,Points!$H$5,1),0),ROUND(Points!$B$6*IF($F1211&lt;=1,1,Points!$H$7+(1-Points!$H$7)*((($F1211-$E1211)*(($F1211-$E1211)+1)/2)^2-((($F1211-$E1211-COUNTIFS($A$5:$A$1668,$A1211,$C$5:$C$1668,$C1211)+1)-1)*($F1211-$E1211-COUNTIFS($A$5:$A$1668,$A1211,$C$5:$C$1668,$C1211)+1)/2)^2)/(COUNTIFS($A$5:$A$1668,$A1211,$C$5:$C$1668,$C1211)*($F1211-1)^3))*IF($F1211&lt;Points!$H$4,Points!$H$5,1),0)))</f>
        <v/>
      </c>
      <c r="H1211" s="11">
        <f>IF($G1211="","",COUNTIFS($B$5:$B$1668,$B1211,$G$5:$G$1668,"&gt;"&amp;$G1211)+COUNTIFS($B$4:$B1210,$B1211,$G$4:$G1210,$G1211)+1)</f>
        <v/>
      </c>
      <c r="I1211" s="11">
        <f>IF($G1211="","",IF($H1211&lt;=Points!$H$6,$G1211,0))</f>
        <v/>
      </c>
      <c r="J1211" s="11">
        <f>IF($B1211="","",IF(COUNTIF(Players!$A$2:$A$500,$B1211)=0,"Player is not on the Players tab",IF(NOT(ISNUMBER($C1211)),"Enter a gross score",IF(COUNTIFS($A$5:$A$1668,$A1211,$B$5:$B$1668,$B1211)&gt;1,"Player is listed twice this week",IF(AND($D1211&lt;&gt;"",COUNTIFS($A$5:$A$1668,$A1211,$D$5:$D$1668,$D1211)&gt;1),"Two players picked as "&amp;$D1211,IF(COUNTIFS($A$5:$A$1668,$A1211,$D$5:$D$1668,"Gross winner")=0,"Pick this week's gross winner",IF(COUNTIFS($A$5:$A$1668,$A1211,$D$5:$D$1668,"Net winner")=0,"Pick this week's net winner","OK")))))))</f>
        <v/>
      </c>
    </row>
    <row r="1212" outlineLevel="1">
      <c r="A1212" s="13" t="n">
        <v>46652</v>
      </c>
      <c r="E1212" s="11">
        <f>IF(OR($B1212="",NOT(ISNUMBER($C1212))),"",COUNTIFS($A$5:$A$1668,$A1212,$C$5:$C$1668,"&lt;"&amp;$C1212)+1)</f>
        <v/>
      </c>
      <c r="F1212" s="11">
        <f>IF(OR($B1212="",NOT(ISNUMBER($C1212))),"",COUNTIFS($A$5:$A$1668,$A1212,$C$5:$C$1668,"&gt;0"))</f>
        <v/>
      </c>
      <c r="G1212" s="11">
        <f>IF(OR($B1212="",NOT(ISNUMBER($C1212))),"",IF($D1212&lt;&gt;"",ROUND(Points!$B$6*IF($F1212&lt;Points!$H$4,Points!$H$5,1),0),ROUND(Points!$B$6*IF($F1212&lt;=1,1,Points!$H$7+(1-Points!$H$7)*((($F1212-$E1212)*(($F1212-$E1212)+1)/2)^2-((($F1212-$E1212-COUNTIFS($A$5:$A$1668,$A1212,$C$5:$C$1668,$C1212)+1)-1)*($F1212-$E1212-COUNTIFS($A$5:$A$1668,$A1212,$C$5:$C$1668,$C1212)+1)/2)^2)/(COUNTIFS($A$5:$A$1668,$A1212,$C$5:$C$1668,$C1212)*($F1212-1)^3))*IF($F1212&lt;Points!$H$4,Points!$H$5,1),0)))</f>
        <v/>
      </c>
      <c r="H1212" s="11">
        <f>IF($G1212="","",COUNTIFS($B$5:$B$1668,$B1212,$G$5:$G$1668,"&gt;"&amp;$G1212)+COUNTIFS($B$4:$B1211,$B1212,$G$4:$G1211,$G1212)+1)</f>
        <v/>
      </c>
      <c r="I1212" s="11">
        <f>IF($G1212="","",IF($H1212&lt;=Points!$H$6,$G1212,0))</f>
        <v/>
      </c>
      <c r="J1212" s="11">
        <f>IF($B1212="","",IF(COUNTIF(Players!$A$2:$A$500,$B1212)=0,"Player is not on the Players tab",IF(NOT(ISNUMBER($C1212)),"Enter a gross score",IF(COUNTIFS($A$5:$A$1668,$A1212,$B$5:$B$1668,$B1212)&gt;1,"Player is listed twice this week",IF(AND($D1212&lt;&gt;"",COUNTIFS($A$5:$A$1668,$A1212,$D$5:$D$1668,$D1212)&gt;1),"Two players picked as "&amp;$D1212,IF(COUNTIFS($A$5:$A$1668,$A1212,$D$5:$D$1668,"Gross winner")=0,"Pick this week's gross winner",IF(COUNTIFS($A$5:$A$1668,$A1212,$D$5:$D$1668,"Net winner")=0,"Pick this week's net winner","OK")))))))</f>
        <v/>
      </c>
    </row>
    <row r="1213" outlineLevel="1">
      <c r="A1213" s="13" t="n">
        <v>46652</v>
      </c>
      <c r="E1213" s="11">
        <f>IF(OR($B1213="",NOT(ISNUMBER($C1213))),"",COUNTIFS($A$5:$A$1668,$A1213,$C$5:$C$1668,"&lt;"&amp;$C1213)+1)</f>
        <v/>
      </c>
      <c r="F1213" s="11">
        <f>IF(OR($B1213="",NOT(ISNUMBER($C1213))),"",COUNTIFS($A$5:$A$1668,$A1213,$C$5:$C$1668,"&gt;0"))</f>
        <v/>
      </c>
      <c r="G1213" s="11">
        <f>IF(OR($B1213="",NOT(ISNUMBER($C1213))),"",IF($D1213&lt;&gt;"",ROUND(Points!$B$6*IF($F1213&lt;Points!$H$4,Points!$H$5,1),0),ROUND(Points!$B$6*IF($F1213&lt;=1,1,Points!$H$7+(1-Points!$H$7)*((($F1213-$E1213)*(($F1213-$E1213)+1)/2)^2-((($F1213-$E1213-COUNTIFS($A$5:$A$1668,$A1213,$C$5:$C$1668,$C1213)+1)-1)*($F1213-$E1213-COUNTIFS($A$5:$A$1668,$A1213,$C$5:$C$1668,$C1213)+1)/2)^2)/(COUNTIFS($A$5:$A$1668,$A1213,$C$5:$C$1668,$C1213)*($F1213-1)^3))*IF($F1213&lt;Points!$H$4,Points!$H$5,1),0)))</f>
        <v/>
      </c>
      <c r="H1213" s="11">
        <f>IF($G1213="","",COUNTIFS($B$5:$B$1668,$B1213,$G$5:$G$1668,"&gt;"&amp;$G1213)+COUNTIFS($B$4:$B1212,$B1213,$G$4:$G1212,$G1213)+1)</f>
        <v/>
      </c>
      <c r="I1213" s="11">
        <f>IF($G1213="","",IF($H1213&lt;=Points!$H$6,$G1213,0))</f>
        <v/>
      </c>
      <c r="J1213" s="11">
        <f>IF($B1213="","",IF(COUNTIF(Players!$A$2:$A$500,$B1213)=0,"Player is not on the Players tab",IF(NOT(ISNUMBER($C1213)),"Enter a gross score",IF(COUNTIFS($A$5:$A$1668,$A1213,$B$5:$B$1668,$B1213)&gt;1,"Player is listed twice this week",IF(AND($D1213&lt;&gt;"",COUNTIFS($A$5:$A$1668,$A1213,$D$5:$D$1668,$D1213)&gt;1),"Two players picked as "&amp;$D1213,IF(COUNTIFS($A$5:$A$1668,$A1213,$D$5:$D$1668,"Gross winner")=0,"Pick this week's gross winner",IF(COUNTIFS($A$5:$A$1668,$A1213,$D$5:$D$1668,"Net winner")=0,"Pick this week's net winner","OK")))))))</f>
        <v/>
      </c>
    </row>
    <row r="1214" outlineLevel="1">
      <c r="A1214" s="13" t="n">
        <v>46652</v>
      </c>
      <c r="E1214" s="11">
        <f>IF(OR($B1214="",NOT(ISNUMBER($C1214))),"",COUNTIFS($A$5:$A$1668,$A1214,$C$5:$C$1668,"&lt;"&amp;$C1214)+1)</f>
        <v/>
      </c>
      <c r="F1214" s="11">
        <f>IF(OR($B1214="",NOT(ISNUMBER($C1214))),"",COUNTIFS($A$5:$A$1668,$A1214,$C$5:$C$1668,"&gt;0"))</f>
        <v/>
      </c>
      <c r="G1214" s="11">
        <f>IF(OR($B1214="",NOT(ISNUMBER($C1214))),"",IF($D1214&lt;&gt;"",ROUND(Points!$B$6*IF($F1214&lt;Points!$H$4,Points!$H$5,1),0),ROUND(Points!$B$6*IF($F1214&lt;=1,1,Points!$H$7+(1-Points!$H$7)*((($F1214-$E1214)*(($F1214-$E1214)+1)/2)^2-((($F1214-$E1214-COUNTIFS($A$5:$A$1668,$A1214,$C$5:$C$1668,$C1214)+1)-1)*($F1214-$E1214-COUNTIFS($A$5:$A$1668,$A1214,$C$5:$C$1668,$C1214)+1)/2)^2)/(COUNTIFS($A$5:$A$1668,$A1214,$C$5:$C$1668,$C1214)*($F1214-1)^3))*IF($F1214&lt;Points!$H$4,Points!$H$5,1),0)))</f>
        <v/>
      </c>
      <c r="H1214" s="11">
        <f>IF($G1214="","",COUNTIFS($B$5:$B$1668,$B1214,$G$5:$G$1668,"&gt;"&amp;$G1214)+COUNTIFS($B$4:$B1213,$B1214,$G$4:$G1213,$G1214)+1)</f>
        <v/>
      </c>
      <c r="I1214" s="11">
        <f>IF($G1214="","",IF($H1214&lt;=Points!$H$6,$G1214,0))</f>
        <v/>
      </c>
      <c r="J1214" s="11">
        <f>IF($B1214="","",IF(COUNTIF(Players!$A$2:$A$500,$B1214)=0,"Player is not on the Players tab",IF(NOT(ISNUMBER($C1214)),"Enter a gross score",IF(COUNTIFS($A$5:$A$1668,$A1214,$B$5:$B$1668,$B1214)&gt;1,"Player is listed twice this week",IF(AND($D1214&lt;&gt;"",COUNTIFS($A$5:$A$1668,$A1214,$D$5:$D$1668,$D1214)&gt;1),"Two players picked as "&amp;$D1214,IF(COUNTIFS($A$5:$A$1668,$A1214,$D$5:$D$1668,"Gross winner")=0,"Pick this week's gross winner",IF(COUNTIFS($A$5:$A$1668,$A1214,$D$5:$D$1668,"Net winner")=0,"Pick this week's net winner","OK")))))))</f>
        <v/>
      </c>
    </row>
    <row r="1215" outlineLevel="1">
      <c r="A1215" s="13" t="n">
        <v>46652</v>
      </c>
      <c r="E1215" s="11">
        <f>IF(OR($B1215="",NOT(ISNUMBER($C1215))),"",COUNTIFS($A$5:$A$1668,$A1215,$C$5:$C$1668,"&lt;"&amp;$C1215)+1)</f>
        <v/>
      </c>
      <c r="F1215" s="11">
        <f>IF(OR($B1215="",NOT(ISNUMBER($C1215))),"",COUNTIFS($A$5:$A$1668,$A1215,$C$5:$C$1668,"&gt;0"))</f>
        <v/>
      </c>
      <c r="G1215" s="11">
        <f>IF(OR($B1215="",NOT(ISNUMBER($C1215))),"",IF($D1215&lt;&gt;"",ROUND(Points!$B$6*IF($F1215&lt;Points!$H$4,Points!$H$5,1),0),ROUND(Points!$B$6*IF($F1215&lt;=1,1,Points!$H$7+(1-Points!$H$7)*((($F1215-$E1215)*(($F1215-$E1215)+1)/2)^2-((($F1215-$E1215-COUNTIFS($A$5:$A$1668,$A1215,$C$5:$C$1668,$C1215)+1)-1)*($F1215-$E1215-COUNTIFS($A$5:$A$1668,$A1215,$C$5:$C$1668,$C1215)+1)/2)^2)/(COUNTIFS($A$5:$A$1668,$A1215,$C$5:$C$1668,$C1215)*($F1215-1)^3))*IF($F1215&lt;Points!$H$4,Points!$H$5,1),0)))</f>
        <v/>
      </c>
      <c r="H1215" s="11">
        <f>IF($G1215="","",COUNTIFS($B$5:$B$1668,$B1215,$G$5:$G$1668,"&gt;"&amp;$G1215)+COUNTIFS($B$4:$B1214,$B1215,$G$4:$G1214,$G1215)+1)</f>
        <v/>
      </c>
      <c r="I1215" s="11">
        <f>IF($G1215="","",IF($H1215&lt;=Points!$H$6,$G1215,0))</f>
        <v/>
      </c>
      <c r="J1215" s="11">
        <f>IF($B1215="","",IF(COUNTIF(Players!$A$2:$A$500,$B1215)=0,"Player is not on the Players tab",IF(NOT(ISNUMBER($C1215)),"Enter a gross score",IF(COUNTIFS($A$5:$A$1668,$A1215,$B$5:$B$1668,$B1215)&gt;1,"Player is listed twice this week",IF(AND($D1215&lt;&gt;"",COUNTIFS($A$5:$A$1668,$A1215,$D$5:$D$1668,$D1215)&gt;1),"Two players picked as "&amp;$D1215,IF(COUNTIFS($A$5:$A$1668,$A1215,$D$5:$D$1668,"Gross winner")=0,"Pick this week's gross winner",IF(COUNTIFS($A$5:$A$1668,$A1215,$D$5:$D$1668,"Net winner")=0,"Pick this week's net winner","OK")))))))</f>
        <v/>
      </c>
    </row>
    <row r="1216" outlineLevel="1">
      <c r="A1216" s="13" t="n">
        <v>46652</v>
      </c>
      <c r="E1216" s="11">
        <f>IF(OR($B1216="",NOT(ISNUMBER($C1216))),"",COUNTIFS($A$5:$A$1668,$A1216,$C$5:$C$1668,"&lt;"&amp;$C1216)+1)</f>
        <v/>
      </c>
      <c r="F1216" s="11">
        <f>IF(OR($B1216="",NOT(ISNUMBER($C1216))),"",COUNTIFS($A$5:$A$1668,$A1216,$C$5:$C$1668,"&gt;0"))</f>
        <v/>
      </c>
      <c r="G1216" s="11">
        <f>IF(OR($B1216="",NOT(ISNUMBER($C1216))),"",IF($D1216&lt;&gt;"",ROUND(Points!$B$6*IF($F1216&lt;Points!$H$4,Points!$H$5,1),0),ROUND(Points!$B$6*IF($F1216&lt;=1,1,Points!$H$7+(1-Points!$H$7)*((($F1216-$E1216)*(($F1216-$E1216)+1)/2)^2-((($F1216-$E1216-COUNTIFS($A$5:$A$1668,$A1216,$C$5:$C$1668,$C1216)+1)-1)*($F1216-$E1216-COUNTIFS($A$5:$A$1668,$A1216,$C$5:$C$1668,$C1216)+1)/2)^2)/(COUNTIFS($A$5:$A$1668,$A1216,$C$5:$C$1668,$C1216)*($F1216-1)^3))*IF($F1216&lt;Points!$H$4,Points!$H$5,1),0)))</f>
        <v/>
      </c>
      <c r="H1216" s="11">
        <f>IF($G1216="","",COUNTIFS($B$5:$B$1668,$B1216,$G$5:$G$1668,"&gt;"&amp;$G1216)+COUNTIFS($B$4:$B1215,$B1216,$G$4:$G1215,$G1216)+1)</f>
        <v/>
      </c>
      <c r="I1216" s="11">
        <f>IF($G1216="","",IF($H1216&lt;=Points!$H$6,$G1216,0))</f>
        <v/>
      </c>
      <c r="J1216" s="11">
        <f>IF($B1216="","",IF(COUNTIF(Players!$A$2:$A$500,$B1216)=0,"Player is not on the Players tab",IF(NOT(ISNUMBER($C1216)),"Enter a gross score",IF(COUNTIFS($A$5:$A$1668,$A1216,$B$5:$B$1668,$B1216)&gt;1,"Player is listed twice this week",IF(AND($D1216&lt;&gt;"",COUNTIFS($A$5:$A$1668,$A1216,$D$5:$D$1668,$D1216)&gt;1),"Two players picked as "&amp;$D1216,IF(COUNTIFS($A$5:$A$1668,$A1216,$D$5:$D$1668,"Gross winner")=0,"Pick this week's gross winner",IF(COUNTIFS($A$5:$A$1668,$A1216,$D$5:$D$1668,"Net winner")=0,"Pick this week's net winner","OK")))))))</f>
        <v/>
      </c>
    </row>
    <row r="1217" outlineLevel="1">
      <c r="A1217" s="13" t="n">
        <v>46652</v>
      </c>
      <c r="E1217" s="11">
        <f>IF(OR($B1217="",NOT(ISNUMBER($C1217))),"",COUNTIFS($A$5:$A$1668,$A1217,$C$5:$C$1668,"&lt;"&amp;$C1217)+1)</f>
        <v/>
      </c>
      <c r="F1217" s="11">
        <f>IF(OR($B1217="",NOT(ISNUMBER($C1217))),"",COUNTIFS($A$5:$A$1668,$A1217,$C$5:$C$1668,"&gt;0"))</f>
        <v/>
      </c>
      <c r="G1217" s="11">
        <f>IF(OR($B1217="",NOT(ISNUMBER($C1217))),"",IF($D1217&lt;&gt;"",ROUND(Points!$B$6*IF($F1217&lt;Points!$H$4,Points!$H$5,1),0),ROUND(Points!$B$6*IF($F1217&lt;=1,1,Points!$H$7+(1-Points!$H$7)*((($F1217-$E1217)*(($F1217-$E1217)+1)/2)^2-((($F1217-$E1217-COUNTIFS($A$5:$A$1668,$A1217,$C$5:$C$1668,$C1217)+1)-1)*($F1217-$E1217-COUNTIFS($A$5:$A$1668,$A1217,$C$5:$C$1668,$C1217)+1)/2)^2)/(COUNTIFS($A$5:$A$1668,$A1217,$C$5:$C$1668,$C1217)*($F1217-1)^3))*IF($F1217&lt;Points!$H$4,Points!$H$5,1),0)))</f>
        <v/>
      </c>
      <c r="H1217" s="11">
        <f>IF($G1217="","",COUNTIFS($B$5:$B$1668,$B1217,$G$5:$G$1668,"&gt;"&amp;$G1217)+COUNTIFS($B$4:$B1216,$B1217,$G$4:$G1216,$G1217)+1)</f>
        <v/>
      </c>
      <c r="I1217" s="11">
        <f>IF($G1217="","",IF($H1217&lt;=Points!$H$6,$G1217,0))</f>
        <v/>
      </c>
      <c r="J1217" s="11">
        <f>IF($B1217="","",IF(COUNTIF(Players!$A$2:$A$500,$B1217)=0,"Player is not on the Players tab",IF(NOT(ISNUMBER($C1217)),"Enter a gross score",IF(COUNTIFS($A$5:$A$1668,$A1217,$B$5:$B$1668,$B1217)&gt;1,"Player is listed twice this week",IF(AND($D1217&lt;&gt;"",COUNTIFS($A$5:$A$1668,$A1217,$D$5:$D$1668,$D1217)&gt;1),"Two players picked as "&amp;$D1217,IF(COUNTIFS($A$5:$A$1668,$A1217,$D$5:$D$1668,"Gross winner")=0,"Pick this week's gross winner",IF(COUNTIFS($A$5:$A$1668,$A1217,$D$5:$D$1668,"Net winner")=0,"Pick this week's net winner","OK")))))))</f>
        <v/>
      </c>
    </row>
    <row r="1218" outlineLevel="1">
      <c r="A1218" s="13" t="n">
        <v>46652</v>
      </c>
      <c r="E1218" s="11">
        <f>IF(OR($B1218="",NOT(ISNUMBER($C1218))),"",COUNTIFS($A$5:$A$1668,$A1218,$C$5:$C$1668,"&lt;"&amp;$C1218)+1)</f>
        <v/>
      </c>
      <c r="F1218" s="11">
        <f>IF(OR($B1218="",NOT(ISNUMBER($C1218))),"",COUNTIFS($A$5:$A$1668,$A1218,$C$5:$C$1668,"&gt;0"))</f>
        <v/>
      </c>
      <c r="G1218" s="11">
        <f>IF(OR($B1218="",NOT(ISNUMBER($C1218))),"",IF($D1218&lt;&gt;"",ROUND(Points!$B$6*IF($F1218&lt;Points!$H$4,Points!$H$5,1),0),ROUND(Points!$B$6*IF($F1218&lt;=1,1,Points!$H$7+(1-Points!$H$7)*((($F1218-$E1218)*(($F1218-$E1218)+1)/2)^2-((($F1218-$E1218-COUNTIFS($A$5:$A$1668,$A1218,$C$5:$C$1668,$C1218)+1)-1)*($F1218-$E1218-COUNTIFS($A$5:$A$1668,$A1218,$C$5:$C$1668,$C1218)+1)/2)^2)/(COUNTIFS($A$5:$A$1668,$A1218,$C$5:$C$1668,$C1218)*($F1218-1)^3))*IF($F1218&lt;Points!$H$4,Points!$H$5,1),0)))</f>
        <v/>
      </c>
      <c r="H1218" s="11">
        <f>IF($G1218="","",COUNTIFS($B$5:$B$1668,$B1218,$G$5:$G$1668,"&gt;"&amp;$G1218)+COUNTIFS($B$4:$B1217,$B1218,$G$4:$G1217,$G1218)+1)</f>
        <v/>
      </c>
      <c r="I1218" s="11">
        <f>IF($G1218="","",IF($H1218&lt;=Points!$H$6,$G1218,0))</f>
        <v/>
      </c>
      <c r="J1218" s="11">
        <f>IF($B1218="","",IF(COUNTIF(Players!$A$2:$A$500,$B1218)=0,"Player is not on the Players tab",IF(NOT(ISNUMBER($C1218)),"Enter a gross score",IF(COUNTIFS($A$5:$A$1668,$A1218,$B$5:$B$1668,$B1218)&gt;1,"Player is listed twice this week",IF(AND($D1218&lt;&gt;"",COUNTIFS($A$5:$A$1668,$A1218,$D$5:$D$1668,$D1218)&gt;1),"Two players picked as "&amp;$D1218,IF(COUNTIFS($A$5:$A$1668,$A1218,$D$5:$D$1668,"Gross winner")=0,"Pick this week's gross winner",IF(COUNTIFS($A$5:$A$1668,$A1218,$D$5:$D$1668,"Net winner")=0,"Pick this week's net winner","OK")))))))</f>
        <v/>
      </c>
    </row>
    <row r="1219" outlineLevel="1">
      <c r="A1219" s="13" t="n">
        <v>46652</v>
      </c>
      <c r="E1219" s="11">
        <f>IF(OR($B1219="",NOT(ISNUMBER($C1219))),"",COUNTIFS($A$5:$A$1668,$A1219,$C$5:$C$1668,"&lt;"&amp;$C1219)+1)</f>
        <v/>
      </c>
      <c r="F1219" s="11">
        <f>IF(OR($B1219="",NOT(ISNUMBER($C1219))),"",COUNTIFS($A$5:$A$1668,$A1219,$C$5:$C$1668,"&gt;0"))</f>
        <v/>
      </c>
      <c r="G1219" s="11">
        <f>IF(OR($B1219="",NOT(ISNUMBER($C1219))),"",IF($D1219&lt;&gt;"",ROUND(Points!$B$6*IF($F1219&lt;Points!$H$4,Points!$H$5,1),0),ROUND(Points!$B$6*IF($F1219&lt;=1,1,Points!$H$7+(1-Points!$H$7)*((($F1219-$E1219)*(($F1219-$E1219)+1)/2)^2-((($F1219-$E1219-COUNTIFS($A$5:$A$1668,$A1219,$C$5:$C$1668,$C1219)+1)-1)*($F1219-$E1219-COUNTIFS($A$5:$A$1668,$A1219,$C$5:$C$1668,$C1219)+1)/2)^2)/(COUNTIFS($A$5:$A$1668,$A1219,$C$5:$C$1668,$C1219)*($F1219-1)^3))*IF($F1219&lt;Points!$H$4,Points!$H$5,1),0)))</f>
        <v/>
      </c>
      <c r="H1219" s="11">
        <f>IF($G1219="","",COUNTIFS($B$5:$B$1668,$B1219,$G$5:$G$1668,"&gt;"&amp;$G1219)+COUNTIFS($B$4:$B1218,$B1219,$G$4:$G1218,$G1219)+1)</f>
        <v/>
      </c>
      <c r="I1219" s="11">
        <f>IF($G1219="","",IF($H1219&lt;=Points!$H$6,$G1219,0))</f>
        <v/>
      </c>
      <c r="J1219" s="11">
        <f>IF($B1219="","",IF(COUNTIF(Players!$A$2:$A$500,$B1219)=0,"Player is not on the Players tab",IF(NOT(ISNUMBER($C1219)),"Enter a gross score",IF(COUNTIFS($A$5:$A$1668,$A1219,$B$5:$B$1668,$B1219)&gt;1,"Player is listed twice this week",IF(AND($D1219&lt;&gt;"",COUNTIFS($A$5:$A$1668,$A1219,$D$5:$D$1668,$D1219)&gt;1),"Two players picked as "&amp;$D1219,IF(COUNTIFS($A$5:$A$1668,$A1219,$D$5:$D$1668,"Gross winner")=0,"Pick this week's gross winner",IF(COUNTIFS($A$5:$A$1668,$A1219,$D$5:$D$1668,"Net winner")=0,"Pick this week's net winner","OK")))))))</f>
        <v/>
      </c>
    </row>
    <row r="1220" ht="10" customHeight="1"/>
    <row r="1221" ht="22" customHeight="1">
      <c r="A1221" s="12" t="inlineStr">
        <is>
          <t>Week 39  ·  Wednesday, Sep 29</t>
        </is>
      </c>
    </row>
    <row r="1222" outlineLevel="1">
      <c r="A1222" s="13" t="n">
        <v>46659</v>
      </c>
      <c r="E1222" s="11">
        <f>IF(OR($B1222="",NOT(ISNUMBER($C1222))),"",COUNTIFS($A$5:$A$1668,$A1222,$C$5:$C$1668,"&lt;"&amp;$C1222)+1)</f>
        <v/>
      </c>
      <c r="F1222" s="11">
        <f>IF(OR($B1222="",NOT(ISNUMBER($C1222))),"",COUNTIFS($A$5:$A$1668,$A1222,$C$5:$C$1668,"&gt;0"))</f>
        <v/>
      </c>
      <c r="G1222" s="11">
        <f>IF(OR($B1222="",NOT(ISNUMBER($C1222))),"",IF($D1222&lt;&gt;"",ROUND(Points!$B$6*IF($F1222&lt;Points!$H$4,Points!$H$5,1),0),ROUND(Points!$B$6*IF($F1222&lt;=1,1,Points!$H$7+(1-Points!$H$7)*((($F1222-$E1222)*(($F1222-$E1222)+1)/2)^2-((($F1222-$E1222-COUNTIFS($A$5:$A$1668,$A1222,$C$5:$C$1668,$C1222)+1)-1)*($F1222-$E1222-COUNTIFS($A$5:$A$1668,$A1222,$C$5:$C$1668,$C1222)+1)/2)^2)/(COUNTIFS($A$5:$A$1668,$A1222,$C$5:$C$1668,$C1222)*($F1222-1)^3))*IF($F1222&lt;Points!$H$4,Points!$H$5,1),0)))</f>
        <v/>
      </c>
      <c r="H1222" s="11">
        <f>IF($G1222="","",COUNTIFS($B$5:$B$1668,$B1222,$G$5:$G$1668,"&gt;"&amp;$G1222)+COUNTIFS($B$4:$B1221,$B1222,$G$4:$G1221,$G1222)+1)</f>
        <v/>
      </c>
      <c r="I1222" s="11">
        <f>IF($G1222="","",IF($H1222&lt;=Points!$H$6,$G1222,0))</f>
        <v/>
      </c>
      <c r="J1222" s="11">
        <f>IF($B1222="","",IF(COUNTIF(Players!$A$2:$A$500,$B1222)=0,"Player is not on the Players tab",IF(NOT(ISNUMBER($C1222)),"Enter a gross score",IF(COUNTIFS($A$5:$A$1668,$A1222,$B$5:$B$1668,$B1222)&gt;1,"Player is listed twice this week",IF(AND($D1222&lt;&gt;"",COUNTIFS($A$5:$A$1668,$A1222,$D$5:$D$1668,$D1222)&gt;1),"Two players picked as "&amp;$D1222,IF(COUNTIFS($A$5:$A$1668,$A1222,$D$5:$D$1668,"Gross winner")=0,"Pick this week's gross winner",IF(COUNTIFS($A$5:$A$1668,$A1222,$D$5:$D$1668,"Net winner")=0,"Pick this week's net winner","OK")))))))</f>
        <v/>
      </c>
    </row>
    <row r="1223" outlineLevel="1">
      <c r="A1223" s="13" t="n">
        <v>46659</v>
      </c>
      <c r="E1223" s="11">
        <f>IF(OR($B1223="",NOT(ISNUMBER($C1223))),"",COUNTIFS($A$5:$A$1668,$A1223,$C$5:$C$1668,"&lt;"&amp;$C1223)+1)</f>
        <v/>
      </c>
      <c r="F1223" s="11">
        <f>IF(OR($B1223="",NOT(ISNUMBER($C1223))),"",COUNTIFS($A$5:$A$1668,$A1223,$C$5:$C$1668,"&gt;0"))</f>
        <v/>
      </c>
      <c r="G1223" s="11">
        <f>IF(OR($B1223="",NOT(ISNUMBER($C1223))),"",IF($D1223&lt;&gt;"",ROUND(Points!$B$6*IF($F1223&lt;Points!$H$4,Points!$H$5,1),0),ROUND(Points!$B$6*IF($F1223&lt;=1,1,Points!$H$7+(1-Points!$H$7)*((($F1223-$E1223)*(($F1223-$E1223)+1)/2)^2-((($F1223-$E1223-COUNTIFS($A$5:$A$1668,$A1223,$C$5:$C$1668,$C1223)+1)-1)*($F1223-$E1223-COUNTIFS($A$5:$A$1668,$A1223,$C$5:$C$1668,$C1223)+1)/2)^2)/(COUNTIFS($A$5:$A$1668,$A1223,$C$5:$C$1668,$C1223)*($F1223-1)^3))*IF($F1223&lt;Points!$H$4,Points!$H$5,1),0)))</f>
        <v/>
      </c>
      <c r="H1223" s="11">
        <f>IF($G1223="","",COUNTIFS($B$5:$B$1668,$B1223,$G$5:$G$1668,"&gt;"&amp;$G1223)+COUNTIFS($B$4:$B1222,$B1223,$G$4:$G1222,$G1223)+1)</f>
        <v/>
      </c>
      <c r="I1223" s="11">
        <f>IF($G1223="","",IF($H1223&lt;=Points!$H$6,$G1223,0))</f>
        <v/>
      </c>
      <c r="J1223" s="11">
        <f>IF($B1223="","",IF(COUNTIF(Players!$A$2:$A$500,$B1223)=0,"Player is not on the Players tab",IF(NOT(ISNUMBER($C1223)),"Enter a gross score",IF(COUNTIFS($A$5:$A$1668,$A1223,$B$5:$B$1668,$B1223)&gt;1,"Player is listed twice this week",IF(AND($D1223&lt;&gt;"",COUNTIFS($A$5:$A$1668,$A1223,$D$5:$D$1668,$D1223)&gt;1),"Two players picked as "&amp;$D1223,IF(COUNTIFS($A$5:$A$1668,$A1223,$D$5:$D$1668,"Gross winner")=0,"Pick this week's gross winner",IF(COUNTIFS($A$5:$A$1668,$A1223,$D$5:$D$1668,"Net winner")=0,"Pick this week's net winner","OK")))))))</f>
        <v/>
      </c>
    </row>
    <row r="1224" outlineLevel="1">
      <c r="A1224" s="13" t="n">
        <v>46659</v>
      </c>
      <c r="E1224" s="11">
        <f>IF(OR($B1224="",NOT(ISNUMBER($C1224))),"",COUNTIFS($A$5:$A$1668,$A1224,$C$5:$C$1668,"&lt;"&amp;$C1224)+1)</f>
        <v/>
      </c>
      <c r="F1224" s="11">
        <f>IF(OR($B1224="",NOT(ISNUMBER($C1224))),"",COUNTIFS($A$5:$A$1668,$A1224,$C$5:$C$1668,"&gt;0"))</f>
        <v/>
      </c>
      <c r="G1224" s="11">
        <f>IF(OR($B1224="",NOT(ISNUMBER($C1224))),"",IF($D1224&lt;&gt;"",ROUND(Points!$B$6*IF($F1224&lt;Points!$H$4,Points!$H$5,1),0),ROUND(Points!$B$6*IF($F1224&lt;=1,1,Points!$H$7+(1-Points!$H$7)*((($F1224-$E1224)*(($F1224-$E1224)+1)/2)^2-((($F1224-$E1224-COUNTIFS($A$5:$A$1668,$A1224,$C$5:$C$1668,$C1224)+1)-1)*($F1224-$E1224-COUNTIFS($A$5:$A$1668,$A1224,$C$5:$C$1668,$C1224)+1)/2)^2)/(COUNTIFS($A$5:$A$1668,$A1224,$C$5:$C$1668,$C1224)*($F1224-1)^3))*IF($F1224&lt;Points!$H$4,Points!$H$5,1),0)))</f>
        <v/>
      </c>
      <c r="H1224" s="11">
        <f>IF($G1224="","",COUNTIFS($B$5:$B$1668,$B1224,$G$5:$G$1668,"&gt;"&amp;$G1224)+COUNTIFS($B$4:$B1223,$B1224,$G$4:$G1223,$G1224)+1)</f>
        <v/>
      </c>
      <c r="I1224" s="11">
        <f>IF($G1224="","",IF($H1224&lt;=Points!$H$6,$G1224,0))</f>
        <v/>
      </c>
      <c r="J1224" s="11">
        <f>IF($B1224="","",IF(COUNTIF(Players!$A$2:$A$500,$B1224)=0,"Player is not on the Players tab",IF(NOT(ISNUMBER($C1224)),"Enter a gross score",IF(COUNTIFS($A$5:$A$1668,$A1224,$B$5:$B$1668,$B1224)&gt;1,"Player is listed twice this week",IF(AND($D1224&lt;&gt;"",COUNTIFS($A$5:$A$1668,$A1224,$D$5:$D$1668,$D1224)&gt;1),"Two players picked as "&amp;$D1224,IF(COUNTIFS($A$5:$A$1668,$A1224,$D$5:$D$1668,"Gross winner")=0,"Pick this week's gross winner",IF(COUNTIFS($A$5:$A$1668,$A1224,$D$5:$D$1668,"Net winner")=0,"Pick this week's net winner","OK")))))))</f>
        <v/>
      </c>
    </row>
    <row r="1225" outlineLevel="1">
      <c r="A1225" s="13" t="n">
        <v>46659</v>
      </c>
      <c r="E1225" s="11">
        <f>IF(OR($B1225="",NOT(ISNUMBER($C1225))),"",COUNTIFS($A$5:$A$1668,$A1225,$C$5:$C$1668,"&lt;"&amp;$C1225)+1)</f>
        <v/>
      </c>
      <c r="F1225" s="11">
        <f>IF(OR($B1225="",NOT(ISNUMBER($C1225))),"",COUNTIFS($A$5:$A$1668,$A1225,$C$5:$C$1668,"&gt;0"))</f>
        <v/>
      </c>
      <c r="G1225" s="11">
        <f>IF(OR($B1225="",NOT(ISNUMBER($C1225))),"",IF($D1225&lt;&gt;"",ROUND(Points!$B$6*IF($F1225&lt;Points!$H$4,Points!$H$5,1),0),ROUND(Points!$B$6*IF($F1225&lt;=1,1,Points!$H$7+(1-Points!$H$7)*((($F1225-$E1225)*(($F1225-$E1225)+1)/2)^2-((($F1225-$E1225-COUNTIFS($A$5:$A$1668,$A1225,$C$5:$C$1668,$C1225)+1)-1)*($F1225-$E1225-COUNTIFS($A$5:$A$1668,$A1225,$C$5:$C$1668,$C1225)+1)/2)^2)/(COUNTIFS($A$5:$A$1668,$A1225,$C$5:$C$1668,$C1225)*($F1225-1)^3))*IF($F1225&lt;Points!$H$4,Points!$H$5,1),0)))</f>
        <v/>
      </c>
      <c r="H1225" s="11">
        <f>IF($G1225="","",COUNTIFS($B$5:$B$1668,$B1225,$G$5:$G$1668,"&gt;"&amp;$G1225)+COUNTIFS($B$4:$B1224,$B1225,$G$4:$G1224,$G1225)+1)</f>
        <v/>
      </c>
      <c r="I1225" s="11">
        <f>IF($G1225="","",IF($H1225&lt;=Points!$H$6,$G1225,0))</f>
        <v/>
      </c>
      <c r="J1225" s="11">
        <f>IF($B1225="","",IF(COUNTIF(Players!$A$2:$A$500,$B1225)=0,"Player is not on the Players tab",IF(NOT(ISNUMBER($C1225)),"Enter a gross score",IF(COUNTIFS($A$5:$A$1668,$A1225,$B$5:$B$1668,$B1225)&gt;1,"Player is listed twice this week",IF(AND($D1225&lt;&gt;"",COUNTIFS($A$5:$A$1668,$A1225,$D$5:$D$1668,$D1225)&gt;1),"Two players picked as "&amp;$D1225,IF(COUNTIFS($A$5:$A$1668,$A1225,$D$5:$D$1668,"Gross winner")=0,"Pick this week's gross winner",IF(COUNTIFS($A$5:$A$1668,$A1225,$D$5:$D$1668,"Net winner")=0,"Pick this week's net winner","OK")))))))</f>
        <v/>
      </c>
    </row>
    <row r="1226" outlineLevel="1">
      <c r="A1226" s="13" t="n">
        <v>46659</v>
      </c>
      <c r="E1226" s="11">
        <f>IF(OR($B1226="",NOT(ISNUMBER($C1226))),"",COUNTIFS($A$5:$A$1668,$A1226,$C$5:$C$1668,"&lt;"&amp;$C1226)+1)</f>
        <v/>
      </c>
      <c r="F1226" s="11">
        <f>IF(OR($B1226="",NOT(ISNUMBER($C1226))),"",COUNTIFS($A$5:$A$1668,$A1226,$C$5:$C$1668,"&gt;0"))</f>
        <v/>
      </c>
      <c r="G1226" s="11">
        <f>IF(OR($B1226="",NOT(ISNUMBER($C1226))),"",IF($D1226&lt;&gt;"",ROUND(Points!$B$6*IF($F1226&lt;Points!$H$4,Points!$H$5,1),0),ROUND(Points!$B$6*IF($F1226&lt;=1,1,Points!$H$7+(1-Points!$H$7)*((($F1226-$E1226)*(($F1226-$E1226)+1)/2)^2-((($F1226-$E1226-COUNTIFS($A$5:$A$1668,$A1226,$C$5:$C$1668,$C1226)+1)-1)*($F1226-$E1226-COUNTIFS($A$5:$A$1668,$A1226,$C$5:$C$1668,$C1226)+1)/2)^2)/(COUNTIFS($A$5:$A$1668,$A1226,$C$5:$C$1668,$C1226)*($F1226-1)^3))*IF($F1226&lt;Points!$H$4,Points!$H$5,1),0)))</f>
        <v/>
      </c>
      <c r="H1226" s="11">
        <f>IF($G1226="","",COUNTIFS($B$5:$B$1668,$B1226,$G$5:$G$1668,"&gt;"&amp;$G1226)+COUNTIFS($B$4:$B1225,$B1226,$G$4:$G1225,$G1226)+1)</f>
        <v/>
      </c>
      <c r="I1226" s="11">
        <f>IF($G1226="","",IF($H1226&lt;=Points!$H$6,$G1226,0))</f>
        <v/>
      </c>
      <c r="J1226" s="11">
        <f>IF($B1226="","",IF(COUNTIF(Players!$A$2:$A$500,$B1226)=0,"Player is not on the Players tab",IF(NOT(ISNUMBER($C1226)),"Enter a gross score",IF(COUNTIFS($A$5:$A$1668,$A1226,$B$5:$B$1668,$B1226)&gt;1,"Player is listed twice this week",IF(AND($D1226&lt;&gt;"",COUNTIFS($A$5:$A$1668,$A1226,$D$5:$D$1668,$D1226)&gt;1),"Two players picked as "&amp;$D1226,IF(COUNTIFS($A$5:$A$1668,$A1226,$D$5:$D$1668,"Gross winner")=0,"Pick this week's gross winner",IF(COUNTIFS($A$5:$A$1668,$A1226,$D$5:$D$1668,"Net winner")=0,"Pick this week's net winner","OK")))))))</f>
        <v/>
      </c>
    </row>
    <row r="1227" outlineLevel="1">
      <c r="A1227" s="13" t="n">
        <v>46659</v>
      </c>
      <c r="E1227" s="11">
        <f>IF(OR($B1227="",NOT(ISNUMBER($C1227))),"",COUNTIFS($A$5:$A$1668,$A1227,$C$5:$C$1668,"&lt;"&amp;$C1227)+1)</f>
        <v/>
      </c>
      <c r="F1227" s="11">
        <f>IF(OR($B1227="",NOT(ISNUMBER($C1227))),"",COUNTIFS($A$5:$A$1668,$A1227,$C$5:$C$1668,"&gt;0"))</f>
        <v/>
      </c>
      <c r="G1227" s="11">
        <f>IF(OR($B1227="",NOT(ISNUMBER($C1227))),"",IF($D1227&lt;&gt;"",ROUND(Points!$B$6*IF($F1227&lt;Points!$H$4,Points!$H$5,1),0),ROUND(Points!$B$6*IF($F1227&lt;=1,1,Points!$H$7+(1-Points!$H$7)*((($F1227-$E1227)*(($F1227-$E1227)+1)/2)^2-((($F1227-$E1227-COUNTIFS($A$5:$A$1668,$A1227,$C$5:$C$1668,$C1227)+1)-1)*($F1227-$E1227-COUNTIFS($A$5:$A$1668,$A1227,$C$5:$C$1668,$C1227)+1)/2)^2)/(COUNTIFS($A$5:$A$1668,$A1227,$C$5:$C$1668,$C1227)*($F1227-1)^3))*IF($F1227&lt;Points!$H$4,Points!$H$5,1),0)))</f>
        <v/>
      </c>
      <c r="H1227" s="11">
        <f>IF($G1227="","",COUNTIFS($B$5:$B$1668,$B1227,$G$5:$G$1668,"&gt;"&amp;$G1227)+COUNTIFS($B$4:$B1226,$B1227,$G$4:$G1226,$G1227)+1)</f>
        <v/>
      </c>
      <c r="I1227" s="11">
        <f>IF($G1227="","",IF($H1227&lt;=Points!$H$6,$G1227,0))</f>
        <v/>
      </c>
      <c r="J1227" s="11">
        <f>IF($B1227="","",IF(COUNTIF(Players!$A$2:$A$500,$B1227)=0,"Player is not on the Players tab",IF(NOT(ISNUMBER($C1227)),"Enter a gross score",IF(COUNTIFS($A$5:$A$1668,$A1227,$B$5:$B$1668,$B1227)&gt;1,"Player is listed twice this week",IF(AND($D1227&lt;&gt;"",COUNTIFS($A$5:$A$1668,$A1227,$D$5:$D$1668,$D1227)&gt;1),"Two players picked as "&amp;$D1227,IF(COUNTIFS($A$5:$A$1668,$A1227,$D$5:$D$1668,"Gross winner")=0,"Pick this week's gross winner",IF(COUNTIFS($A$5:$A$1668,$A1227,$D$5:$D$1668,"Net winner")=0,"Pick this week's net winner","OK")))))))</f>
        <v/>
      </c>
    </row>
    <row r="1228" outlineLevel="1">
      <c r="A1228" s="13" t="n">
        <v>46659</v>
      </c>
      <c r="E1228" s="11">
        <f>IF(OR($B1228="",NOT(ISNUMBER($C1228))),"",COUNTIFS($A$5:$A$1668,$A1228,$C$5:$C$1668,"&lt;"&amp;$C1228)+1)</f>
        <v/>
      </c>
      <c r="F1228" s="11">
        <f>IF(OR($B1228="",NOT(ISNUMBER($C1228))),"",COUNTIFS($A$5:$A$1668,$A1228,$C$5:$C$1668,"&gt;0"))</f>
        <v/>
      </c>
      <c r="G1228" s="11">
        <f>IF(OR($B1228="",NOT(ISNUMBER($C1228))),"",IF($D1228&lt;&gt;"",ROUND(Points!$B$6*IF($F1228&lt;Points!$H$4,Points!$H$5,1),0),ROUND(Points!$B$6*IF($F1228&lt;=1,1,Points!$H$7+(1-Points!$H$7)*((($F1228-$E1228)*(($F1228-$E1228)+1)/2)^2-((($F1228-$E1228-COUNTIFS($A$5:$A$1668,$A1228,$C$5:$C$1668,$C1228)+1)-1)*($F1228-$E1228-COUNTIFS($A$5:$A$1668,$A1228,$C$5:$C$1668,$C1228)+1)/2)^2)/(COUNTIFS($A$5:$A$1668,$A1228,$C$5:$C$1668,$C1228)*($F1228-1)^3))*IF($F1228&lt;Points!$H$4,Points!$H$5,1),0)))</f>
        <v/>
      </c>
      <c r="H1228" s="11">
        <f>IF($G1228="","",COUNTIFS($B$5:$B$1668,$B1228,$G$5:$G$1668,"&gt;"&amp;$G1228)+COUNTIFS($B$4:$B1227,$B1228,$G$4:$G1227,$G1228)+1)</f>
        <v/>
      </c>
      <c r="I1228" s="11">
        <f>IF($G1228="","",IF($H1228&lt;=Points!$H$6,$G1228,0))</f>
        <v/>
      </c>
      <c r="J1228" s="11">
        <f>IF($B1228="","",IF(COUNTIF(Players!$A$2:$A$500,$B1228)=0,"Player is not on the Players tab",IF(NOT(ISNUMBER($C1228)),"Enter a gross score",IF(COUNTIFS($A$5:$A$1668,$A1228,$B$5:$B$1668,$B1228)&gt;1,"Player is listed twice this week",IF(AND($D1228&lt;&gt;"",COUNTIFS($A$5:$A$1668,$A1228,$D$5:$D$1668,$D1228)&gt;1),"Two players picked as "&amp;$D1228,IF(COUNTIFS($A$5:$A$1668,$A1228,$D$5:$D$1668,"Gross winner")=0,"Pick this week's gross winner",IF(COUNTIFS($A$5:$A$1668,$A1228,$D$5:$D$1668,"Net winner")=0,"Pick this week's net winner","OK")))))))</f>
        <v/>
      </c>
    </row>
    <row r="1229" outlineLevel="1">
      <c r="A1229" s="13" t="n">
        <v>46659</v>
      </c>
      <c r="E1229" s="11">
        <f>IF(OR($B1229="",NOT(ISNUMBER($C1229))),"",COUNTIFS($A$5:$A$1668,$A1229,$C$5:$C$1668,"&lt;"&amp;$C1229)+1)</f>
        <v/>
      </c>
      <c r="F1229" s="11">
        <f>IF(OR($B1229="",NOT(ISNUMBER($C1229))),"",COUNTIFS($A$5:$A$1668,$A1229,$C$5:$C$1668,"&gt;0"))</f>
        <v/>
      </c>
      <c r="G1229" s="11">
        <f>IF(OR($B1229="",NOT(ISNUMBER($C1229))),"",IF($D1229&lt;&gt;"",ROUND(Points!$B$6*IF($F1229&lt;Points!$H$4,Points!$H$5,1),0),ROUND(Points!$B$6*IF($F1229&lt;=1,1,Points!$H$7+(1-Points!$H$7)*((($F1229-$E1229)*(($F1229-$E1229)+1)/2)^2-((($F1229-$E1229-COUNTIFS($A$5:$A$1668,$A1229,$C$5:$C$1668,$C1229)+1)-1)*($F1229-$E1229-COUNTIFS($A$5:$A$1668,$A1229,$C$5:$C$1668,$C1229)+1)/2)^2)/(COUNTIFS($A$5:$A$1668,$A1229,$C$5:$C$1668,$C1229)*($F1229-1)^3))*IF($F1229&lt;Points!$H$4,Points!$H$5,1),0)))</f>
        <v/>
      </c>
      <c r="H1229" s="11">
        <f>IF($G1229="","",COUNTIFS($B$5:$B$1668,$B1229,$G$5:$G$1668,"&gt;"&amp;$G1229)+COUNTIFS($B$4:$B1228,$B1229,$G$4:$G1228,$G1229)+1)</f>
        <v/>
      </c>
      <c r="I1229" s="11">
        <f>IF($G1229="","",IF($H1229&lt;=Points!$H$6,$G1229,0))</f>
        <v/>
      </c>
      <c r="J1229" s="11">
        <f>IF($B1229="","",IF(COUNTIF(Players!$A$2:$A$500,$B1229)=0,"Player is not on the Players tab",IF(NOT(ISNUMBER($C1229)),"Enter a gross score",IF(COUNTIFS($A$5:$A$1668,$A1229,$B$5:$B$1668,$B1229)&gt;1,"Player is listed twice this week",IF(AND($D1229&lt;&gt;"",COUNTIFS($A$5:$A$1668,$A1229,$D$5:$D$1668,$D1229)&gt;1),"Two players picked as "&amp;$D1229,IF(COUNTIFS($A$5:$A$1668,$A1229,$D$5:$D$1668,"Gross winner")=0,"Pick this week's gross winner",IF(COUNTIFS($A$5:$A$1668,$A1229,$D$5:$D$1668,"Net winner")=0,"Pick this week's net winner","OK")))))))</f>
        <v/>
      </c>
    </row>
    <row r="1230" outlineLevel="1">
      <c r="A1230" s="13" t="n">
        <v>46659</v>
      </c>
      <c r="E1230" s="11">
        <f>IF(OR($B1230="",NOT(ISNUMBER($C1230))),"",COUNTIFS($A$5:$A$1668,$A1230,$C$5:$C$1668,"&lt;"&amp;$C1230)+1)</f>
        <v/>
      </c>
      <c r="F1230" s="11">
        <f>IF(OR($B1230="",NOT(ISNUMBER($C1230))),"",COUNTIFS($A$5:$A$1668,$A1230,$C$5:$C$1668,"&gt;0"))</f>
        <v/>
      </c>
      <c r="G1230" s="11">
        <f>IF(OR($B1230="",NOT(ISNUMBER($C1230))),"",IF($D1230&lt;&gt;"",ROUND(Points!$B$6*IF($F1230&lt;Points!$H$4,Points!$H$5,1),0),ROUND(Points!$B$6*IF($F1230&lt;=1,1,Points!$H$7+(1-Points!$H$7)*((($F1230-$E1230)*(($F1230-$E1230)+1)/2)^2-((($F1230-$E1230-COUNTIFS($A$5:$A$1668,$A1230,$C$5:$C$1668,$C1230)+1)-1)*($F1230-$E1230-COUNTIFS($A$5:$A$1668,$A1230,$C$5:$C$1668,$C1230)+1)/2)^2)/(COUNTIFS($A$5:$A$1668,$A1230,$C$5:$C$1668,$C1230)*($F1230-1)^3))*IF($F1230&lt;Points!$H$4,Points!$H$5,1),0)))</f>
        <v/>
      </c>
      <c r="H1230" s="11">
        <f>IF($G1230="","",COUNTIFS($B$5:$B$1668,$B1230,$G$5:$G$1668,"&gt;"&amp;$G1230)+COUNTIFS($B$4:$B1229,$B1230,$G$4:$G1229,$G1230)+1)</f>
        <v/>
      </c>
      <c r="I1230" s="11">
        <f>IF($G1230="","",IF($H1230&lt;=Points!$H$6,$G1230,0))</f>
        <v/>
      </c>
      <c r="J1230" s="11">
        <f>IF($B1230="","",IF(COUNTIF(Players!$A$2:$A$500,$B1230)=0,"Player is not on the Players tab",IF(NOT(ISNUMBER($C1230)),"Enter a gross score",IF(COUNTIFS($A$5:$A$1668,$A1230,$B$5:$B$1668,$B1230)&gt;1,"Player is listed twice this week",IF(AND($D1230&lt;&gt;"",COUNTIFS($A$5:$A$1668,$A1230,$D$5:$D$1668,$D1230)&gt;1),"Two players picked as "&amp;$D1230,IF(COUNTIFS($A$5:$A$1668,$A1230,$D$5:$D$1668,"Gross winner")=0,"Pick this week's gross winner",IF(COUNTIFS($A$5:$A$1668,$A1230,$D$5:$D$1668,"Net winner")=0,"Pick this week's net winner","OK")))))))</f>
        <v/>
      </c>
    </row>
    <row r="1231" outlineLevel="1">
      <c r="A1231" s="13" t="n">
        <v>46659</v>
      </c>
      <c r="E1231" s="11">
        <f>IF(OR($B1231="",NOT(ISNUMBER($C1231))),"",COUNTIFS($A$5:$A$1668,$A1231,$C$5:$C$1668,"&lt;"&amp;$C1231)+1)</f>
        <v/>
      </c>
      <c r="F1231" s="11">
        <f>IF(OR($B1231="",NOT(ISNUMBER($C1231))),"",COUNTIFS($A$5:$A$1668,$A1231,$C$5:$C$1668,"&gt;0"))</f>
        <v/>
      </c>
      <c r="G1231" s="11">
        <f>IF(OR($B1231="",NOT(ISNUMBER($C1231))),"",IF($D1231&lt;&gt;"",ROUND(Points!$B$6*IF($F1231&lt;Points!$H$4,Points!$H$5,1),0),ROUND(Points!$B$6*IF($F1231&lt;=1,1,Points!$H$7+(1-Points!$H$7)*((($F1231-$E1231)*(($F1231-$E1231)+1)/2)^2-((($F1231-$E1231-COUNTIFS($A$5:$A$1668,$A1231,$C$5:$C$1668,$C1231)+1)-1)*($F1231-$E1231-COUNTIFS($A$5:$A$1668,$A1231,$C$5:$C$1668,$C1231)+1)/2)^2)/(COUNTIFS($A$5:$A$1668,$A1231,$C$5:$C$1668,$C1231)*($F1231-1)^3))*IF($F1231&lt;Points!$H$4,Points!$H$5,1),0)))</f>
        <v/>
      </c>
      <c r="H1231" s="11">
        <f>IF($G1231="","",COUNTIFS($B$5:$B$1668,$B1231,$G$5:$G$1668,"&gt;"&amp;$G1231)+COUNTIFS($B$4:$B1230,$B1231,$G$4:$G1230,$G1231)+1)</f>
        <v/>
      </c>
      <c r="I1231" s="11">
        <f>IF($G1231="","",IF($H1231&lt;=Points!$H$6,$G1231,0))</f>
        <v/>
      </c>
      <c r="J1231" s="11">
        <f>IF($B1231="","",IF(COUNTIF(Players!$A$2:$A$500,$B1231)=0,"Player is not on the Players tab",IF(NOT(ISNUMBER($C1231)),"Enter a gross score",IF(COUNTIFS($A$5:$A$1668,$A1231,$B$5:$B$1668,$B1231)&gt;1,"Player is listed twice this week",IF(AND($D1231&lt;&gt;"",COUNTIFS($A$5:$A$1668,$A1231,$D$5:$D$1668,$D1231)&gt;1),"Two players picked as "&amp;$D1231,IF(COUNTIFS($A$5:$A$1668,$A1231,$D$5:$D$1668,"Gross winner")=0,"Pick this week's gross winner",IF(COUNTIFS($A$5:$A$1668,$A1231,$D$5:$D$1668,"Net winner")=0,"Pick this week's net winner","OK")))))))</f>
        <v/>
      </c>
    </row>
    <row r="1232" outlineLevel="1">
      <c r="A1232" s="13" t="n">
        <v>46659</v>
      </c>
      <c r="E1232" s="11">
        <f>IF(OR($B1232="",NOT(ISNUMBER($C1232))),"",COUNTIFS($A$5:$A$1668,$A1232,$C$5:$C$1668,"&lt;"&amp;$C1232)+1)</f>
        <v/>
      </c>
      <c r="F1232" s="11">
        <f>IF(OR($B1232="",NOT(ISNUMBER($C1232))),"",COUNTIFS($A$5:$A$1668,$A1232,$C$5:$C$1668,"&gt;0"))</f>
        <v/>
      </c>
      <c r="G1232" s="11">
        <f>IF(OR($B1232="",NOT(ISNUMBER($C1232))),"",IF($D1232&lt;&gt;"",ROUND(Points!$B$6*IF($F1232&lt;Points!$H$4,Points!$H$5,1),0),ROUND(Points!$B$6*IF($F1232&lt;=1,1,Points!$H$7+(1-Points!$H$7)*((($F1232-$E1232)*(($F1232-$E1232)+1)/2)^2-((($F1232-$E1232-COUNTIFS($A$5:$A$1668,$A1232,$C$5:$C$1668,$C1232)+1)-1)*($F1232-$E1232-COUNTIFS($A$5:$A$1668,$A1232,$C$5:$C$1668,$C1232)+1)/2)^2)/(COUNTIFS($A$5:$A$1668,$A1232,$C$5:$C$1668,$C1232)*($F1232-1)^3))*IF($F1232&lt;Points!$H$4,Points!$H$5,1),0)))</f>
        <v/>
      </c>
      <c r="H1232" s="11">
        <f>IF($G1232="","",COUNTIFS($B$5:$B$1668,$B1232,$G$5:$G$1668,"&gt;"&amp;$G1232)+COUNTIFS($B$4:$B1231,$B1232,$G$4:$G1231,$G1232)+1)</f>
        <v/>
      </c>
      <c r="I1232" s="11">
        <f>IF($G1232="","",IF($H1232&lt;=Points!$H$6,$G1232,0))</f>
        <v/>
      </c>
      <c r="J1232" s="11">
        <f>IF($B1232="","",IF(COUNTIF(Players!$A$2:$A$500,$B1232)=0,"Player is not on the Players tab",IF(NOT(ISNUMBER($C1232)),"Enter a gross score",IF(COUNTIFS($A$5:$A$1668,$A1232,$B$5:$B$1668,$B1232)&gt;1,"Player is listed twice this week",IF(AND($D1232&lt;&gt;"",COUNTIFS($A$5:$A$1668,$A1232,$D$5:$D$1668,$D1232)&gt;1),"Two players picked as "&amp;$D1232,IF(COUNTIFS($A$5:$A$1668,$A1232,$D$5:$D$1668,"Gross winner")=0,"Pick this week's gross winner",IF(COUNTIFS($A$5:$A$1668,$A1232,$D$5:$D$1668,"Net winner")=0,"Pick this week's net winner","OK")))))))</f>
        <v/>
      </c>
    </row>
    <row r="1233" outlineLevel="1">
      <c r="A1233" s="13" t="n">
        <v>46659</v>
      </c>
      <c r="E1233" s="11">
        <f>IF(OR($B1233="",NOT(ISNUMBER($C1233))),"",COUNTIFS($A$5:$A$1668,$A1233,$C$5:$C$1668,"&lt;"&amp;$C1233)+1)</f>
        <v/>
      </c>
      <c r="F1233" s="11">
        <f>IF(OR($B1233="",NOT(ISNUMBER($C1233))),"",COUNTIFS($A$5:$A$1668,$A1233,$C$5:$C$1668,"&gt;0"))</f>
        <v/>
      </c>
      <c r="G1233" s="11">
        <f>IF(OR($B1233="",NOT(ISNUMBER($C1233))),"",IF($D1233&lt;&gt;"",ROUND(Points!$B$6*IF($F1233&lt;Points!$H$4,Points!$H$5,1),0),ROUND(Points!$B$6*IF($F1233&lt;=1,1,Points!$H$7+(1-Points!$H$7)*((($F1233-$E1233)*(($F1233-$E1233)+1)/2)^2-((($F1233-$E1233-COUNTIFS($A$5:$A$1668,$A1233,$C$5:$C$1668,$C1233)+1)-1)*($F1233-$E1233-COUNTIFS($A$5:$A$1668,$A1233,$C$5:$C$1668,$C1233)+1)/2)^2)/(COUNTIFS($A$5:$A$1668,$A1233,$C$5:$C$1668,$C1233)*($F1233-1)^3))*IF($F1233&lt;Points!$H$4,Points!$H$5,1),0)))</f>
        <v/>
      </c>
      <c r="H1233" s="11">
        <f>IF($G1233="","",COUNTIFS($B$5:$B$1668,$B1233,$G$5:$G$1668,"&gt;"&amp;$G1233)+COUNTIFS($B$4:$B1232,$B1233,$G$4:$G1232,$G1233)+1)</f>
        <v/>
      </c>
      <c r="I1233" s="11">
        <f>IF($G1233="","",IF($H1233&lt;=Points!$H$6,$G1233,0))</f>
        <v/>
      </c>
      <c r="J1233" s="11">
        <f>IF($B1233="","",IF(COUNTIF(Players!$A$2:$A$500,$B1233)=0,"Player is not on the Players tab",IF(NOT(ISNUMBER($C1233)),"Enter a gross score",IF(COUNTIFS($A$5:$A$1668,$A1233,$B$5:$B$1668,$B1233)&gt;1,"Player is listed twice this week",IF(AND($D1233&lt;&gt;"",COUNTIFS($A$5:$A$1668,$A1233,$D$5:$D$1668,$D1233)&gt;1),"Two players picked as "&amp;$D1233,IF(COUNTIFS($A$5:$A$1668,$A1233,$D$5:$D$1668,"Gross winner")=0,"Pick this week's gross winner",IF(COUNTIFS($A$5:$A$1668,$A1233,$D$5:$D$1668,"Net winner")=0,"Pick this week's net winner","OK")))))))</f>
        <v/>
      </c>
    </row>
    <row r="1234" outlineLevel="1">
      <c r="A1234" s="13" t="n">
        <v>46659</v>
      </c>
      <c r="E1234" s="11">
        <f>IF(OR($B1234="",NOT(ISNUMBER($C1234))),"",COUNTIFS($A$5:$A$1668,$A1234,$C$5:$C$1668,"&lt;"&amp;$C1234)+1)</f>
        <v/>
      </c>
      <c r="F1234" s="11">
        <f>IF(OR($B1234="",NOT(ISNUMBER($C1234))),"",COUNTIFS($A$5:$A$1668,$A1234,$C$5:$C$1668,"&gt;0"))</f>
        <v/>
      </c>
      <c r="G1234" s="11">
        <f>IF(OR($B1234="",NOT(ISNUMBER($C1234))),"",IF($D1234&lt;&gt;"",ROUND(Points!$B$6*IF($F1234&lt;Points!$H$4,Points!$H$5,1),0),ROUND(Points!$B$6*IF($F1234&lt;=1,1,Points!$H$7+(1-Points!$H$7)*((($F1234-$E1234)*(($F1234-$E1234)+1)/2)^2-((($F1234-$E1234-COUNTIFS($A$5:$A$1668,$A1234,$C$5:$C$1668,$C1234)+1)-1)*($F1234-$E1234-COUNTIFS($A$5:$A$1668,$A1234,$C$5:$C$1668,$C1234)+1)/2)^2)/(COUNTIFS($A$5:$A$1668,$A1234,$C$5:$C$1668,$C1234)*($F1234-1)^3))*IF($F1234&lt;Points!$H$4,Points!$H$5,1),0)))</f>
        <v/>
      </c>
      <c r="H1234" s="11">
        <f>IF($G1234="","",COUNTIFS($B$5:$B$1668,$B1234,$G$5:$G$1668,"&gt;"&amp;$G1234)+COUNTIFS($B$4:$B1233,$B1234,$G$4:$G1233,$G1234)+1)</f>
        <v/>
      </c>
      <c r="I1234" s="11">
        <f>IF($G1234="","",IF($H1234&lt;=Points!$H$6,$G1234,0))</f>
        <v/>
      </c>
      <c r="J1234" s="11">
        <f>IF($B1234="","",IF(COUNTIF(Players!$A$2:$A$500,$B1234)=0,"Player is not on the Players tab",IF(NOT(ISNUMBER($C1234)),"Enter a gross score",IF(COUNTIFS($A$5:$A$1668,$A1234,$B$5:$B$1668,$B1234)&gt;1,"Player is listed twice this week",IF(AND($D1234&lt;&gt;"",COUNTIFS($A$5:$A$1668,$A1234,$D$5:$D$1668,$D1234)&gt;1),"Two players picked as "&amp;$D1234,IF(COUNTIFS($A$5:$A$1668,$A1234,$D$5:$D$1668,"Gross winner")=0,"Pick this week's gross winner",IF(COUNTIFS($A$5:$A$1668,$A1234,$D$5:$D$1668,"Net winner")=0,"Pick this week's net winner","OK")))))))</f>
        <v/>
      </c>
    </row>
    <row r="1235" outlineLevel="1">
      <c r="A1235" s="13" t="n">
        <v>46659</v>
      </c>
      <c r="E1235" s="11">
        <f>IF(OR($B1235="",NOT(ISNUMBER($C1235))),"",COUNTIFS($A$5:$A$1668,$A1235,$C$5:$C$1668,"&lt;"&amp;$C1235)+1)</f>
        <v/>
      </c>
      <c r="F1235" s="11">
        <f>IF(OR($B1235="",NOT(ISNUMBER($C1235))),"",COUNTIFS($A$5:$A$1668,$A1235,$C$5:$C$1668,"&gt;0"))</f>
        <v/>
      </c>
      <c r="G1235" s="11">
        <f>IF(OR($B1235="",NOT(ISNUMBER($C1235))),"",IF($D1235&lt;&gt;"",ROUND(Points!$B$6*IF($F1235&lt;Points!$H$4,Points!$H$5,1),0),ROUND(Points!$B$6*IF($F1235&lt;=1,1,Points!$H$7+(1-Points!$H$7)*((($F1235-$E1235)*(($F1235-$E1235)+1)/2)^2-((($F1235-$E1235-COUNTIFS($A$5:$A$1668,$A1235,$C$5:$C$1668,$C1235)+1)-1)*($F1235-$E1235-COUNTIFS($A$5:$A$1668,$A1235,$C$5:$C$1668,$C1235)+1)/2)^2)/(COUNTIFS($A$5:$A$1668,$A1235,$C$5:$C$1668,$C1235)*($F1235-1)^3))*IF($F1235&lt;Points!$H$4,Points!$H$5,1),0)))</f>
        <v/>
      </c>
      <c r="H1235" s="11">
        <f>IF($G1235="","",COUNTIFS($B$5:$B$1668,$B1235,$G$5:$G$1668,"&gt;"&amp;$G1235)+COUNTIFS($B$4:$B1234,$B1235,$G$4:$G1234,$G1235)+1)</f>
        <v/>
      </c>
      <c r="I1235" s="11">
        <f>IF($G1235="","",IF($H1235&lt;=Points!$H$6,$G1235,0))</f>
        <v/>
      </c>
      <c r="J1235" s="11">
        <f>IF($B1235="","",IF(COUNTIF(Players!$A$2:$A$500,$B1235)=0,"Player is not on the Players tab",IF(NOT(ISNUMBER($C1235)),"Enter a gross score",IF(COUNTIFS($A$5:$A$1668,$A1235,$B$5:$B$1668,$B1235)&gt;1,"Player is listed twice this week",IF(AND($D1235&lt;&gt;"",COUNTIFS($A$5:$A$1668,$A1235,$D$5:$D$1668,$D1235)&gt;1),"Two players picked as "&amp;$D1235,IF(COUNTIFS($A$5:$A$1668,$A1235,$D$5:$D$1668,"Gross winner")=0,"Pick this week's gross winner",IF(COUNTIFS($A$5:$A$1668,$A1235,$D$5:$D$1668,"Net winner")=0,"Pick this week's net winner","OK")))))))</f>
        <v/>
      </c>
    </row>
    <row r="1236" outlineLevel="1">
      <c r="A1236" s="13" t="n">
        <v>46659</v>
      </c>
      <c r="E1236" s="11">
        <f>IF(OR($B1236="",NOT(ISNUMBER($C1236))),"",COUNTIFS($A$5:$A$1668,$A1236,$C$5:$C$1668,"&lt;"&amp;$C1236)+1)</f>
        <v/>
      </c>
      <c r="F1236" s="11">
        <f>IF(OR($B1236="",NOT(ISNUMBER($C1236))),"",COUNTIFS($A$5:$A$1668,$A1236,$C$5:$C$1668,"&gt;0"))</f>
        <v/>
      </c>
      <c r="G1236" s="11">
        <f>IF(OR($B1236="",NOT(ISNUMBER($C1236))),"",IF($D1236&lt;&gt;"",ROUND(Points!$B$6*IF($F1236&lt;Points!$H$4,Points!$H$5,1),0),ROUND(Points!$B$6*IF($F1236&lt;=1,1,Points!$H$7+(1-Points!$H$7)*((($F1236-$E1236)*(($F1236-$E1236)+1)/2)^2-((($F1236-$E1236-COUNTIFS($A$5:$A$1668,$A1236,$C$5:$C$1668,$C1236)+1)-1)*($F1236-$E1236-COUNTIFS($A$5:$A$1668,$A1236,$C$5:$C$1668,$C1236)+1)/2)^2)/(COUNTIFS($A$5:$A$1668,$A1236,$C$5:$C$1668,$C1236)*($F1236-1)^3))*IF($F1236&lt;Points!$H$4,Points!$H$5,1),0)))</f>
        <v/>
      </c>
      <c r="H1236" s="11">
        <f>IF($G1236="","",COUNTIFS($B$5:$B$1668,$B1236,$G$5:$G$1668,"&gt;"&amp;$G1236)+COUNTIFS($B$4:$B1235,$B1236,$G$4:$G1235,$G1236)+1)</f>
        <v/>
      </c>
      <c r="I1236" s="11">
        <f>IF($G1236="","",IF($H1236&lt;=Points!$H$6,$G1236,0))</f>
        <v/>
      </c>
      <c r="J1236" s="11">
        <f>IF($B1236="","",IF(COUNTIF(Players!$A$2:$A$500,$B1236)=0,"Player is not on the Players tab",IF(NOT(ISNUMBER($C1236)),"Enter a gross score",IF(COUNTIFS($A$5:$A$1668,$A1236,$B$5:$B$1668,$B1236)&gt;1,"Player is listed twice this week",IF(AND($D1236&lt;&gt;"",COUNTIFS($A$5:$A$1668,$A1236,$D$5:$D$1668,$D1236)&gt;1),"Two players picked as "&amp;$D1236,IF(COUNTIFS($A$5:$A$1668,$A1236,$D$5:$D$1668,"Gross winner")=0,"Pick this week's gross winner",IF(COUNTIFS($A$5:$A$1668,$A1236,$D$5:$D$1668,"Net winner")=0,"Pick this week's net winner","OK")))))))</f>
        <v/>
      </c>
    </row>
    <row r="1237" outlineLevel="1">
      <c r="A1237" s="13" t="n">
        <v>46659</v>
      </c>
      <c r="E1237" s="11">
        <f>IF(OR($B1237="",NOT(ISNUMBER($C1237))),"",COUNTIFS($A$5:$A$1668,$A1237,$C$5:$C$1668,"&lt;"&amp;$C1237)+1)</f>
        <v/>
      </c>
      <c r="F1237" s="11">
        <f>IF(OR($B1237="",NOT(ISNUMBER($C1237))),"",COUNTIFS($A$5:$A$1668,$A1237,$C$5:$C$1668,"&gt;0"))</f>
        <v/>
      </c>
      <c r="G1237" s="11">
        <f>IF(OR($B1237="",NOT(ISNUMBER($C1237))),"",IF($D1237&lt;&gt;"",ROUND(Points!$B$6*IF($F1237&lt;Points!$H$4,Points!$H$5,1),0),ROUND(Points!$B$6*IF($F1237&lt;=1,1,Points!$H$7+(1-Points!$H$7)*((($F1237-$E1237)*(($F1237-$E1237)+1)/2)^2-((($F1237-$E1237-COUNTIFS($A$5:$A$1668,$A1237,$C$5:$C$1668,$C1237)+1)-1)*($F1237-$E1237-COUNTIFS($A$5:$A$1668,$A1237,$C$5:$C$1668,$C1237)+1)/2)^2)/(COUNTIFS($A$5:$A$1668,$A1237,$C$5:$C$1668,$C1237)*($F1237-1)^3))*IF($F1237&lt;Points!$H$4,Points!$H$5,1),0)))</f>
        <v/>
      </c>
      <c r="H1237" s="11">
        <f>IF($G1237="","",COUNTIFS($B$5:$B$1668,$B1237,$G$5:$G$1668,"&gt;"&amp;$G1237)+COUNTIFS($B$4:$B1236,$B1237,$G$4:$G1236,$G1237)+1)</f>
        <v/>
      </c>
      <c r="I1237" s="11">
        <f>IF($G1237="","",IF($H1237&lt;=Points!$H$6,$G1237,0))</f>
        <v/>
      </c>
      <c r="J1237" s="11">
        <f>IF($B1237="","",IF(COUNTIF(Players!$A$2:$A$500,$B1237)=0,"Player is not on the Players tab",IF(NOT(ISNUMBER($C1237)),"Enter a gross score",IF(COUNTIFS($A$5:$A$1668,$A1237,$B$5:$B$1668,$B1237)&gt;1,"Player is listed twice this week",IF(AND($D1237&lt;&gt;"",COUNTIFS($A$5:$A$1668,$A1237,$D$5:$D$1668,$D1237)&gt;1),"Two players picked as "&amp;$D1237,IF(COUNTIFS($A$5:$A$1668,$A1237,$D$5:$D$1668,"Gross winner")=0,"Pick this week's gross winner",IF(COUNTIFS($A$5:$A$1668,$A1237,$D$5:$D$1668,"Net winner")=0,"Pick this week's net winner","OK")))))))</f>
        <v/>
      </c>
    </row>
    <row r="1238" outlineLevel="1">
      <c r="A1238" s="13" t="n">
        <v>46659</v>
      </c>
      <c r="E1238" s="11">
        <f>IF(OR($B1238="",NOT(ISNUMBER($C1238))),"",COUNTIFS($A$5:$A$1668,$A1238,$C$5:$C$1668,"&lt;"&amp;$C1238)+1)</f>
        <v/>
      </c>
      <c r="F1238" s="11">
        <f>IF(OR($B1238="",NOT(ISNUMBER($C1238))),"",COUNTIFS($A$5:$A$1668,$A1238,$C$5:$C$1668,"&gt;0"))</f>
        <v/>
      </c>
      <c r="G1238" s="11">
        <f>IF(OR($B1238="",NOT(ISNUMBER($C1238))),"",IF($D1238&lt;&gt;"",ROUND(Points!$B$6*IF($F1238&lt;Points!$H$4,Points!$H$5,1),0),ROUND(Points!$B$6*IF($F1238&lt;=1,1,Points!$H$7+(1-Points!$H$7)*((($F1238-$E1238)*(($F1238-$E1238)+1)/2)^2-((($F1238-$E1238-COUNTIFS($A$5:$A$1668,$A1238,$C$5:$C$1668,$C1238)+1)-1)*($F1238-$E1238-COUNTIFS($A$5:$A$1668,$A1238,$C$5:$C$1668,$C1238)+1)/2)^2)/(COUNTIFS($A$5:$A$1668,$A1238,$C$5:$C$1668,$C1238)*($F1238-1)^3))*IF($F1238&lt;Points!$H$4,Points!$H$5,1),0)))</f>
        <v/>
      </c>
      <c r="H1238" s="11">
        <f>IF($G1238="","",COUNTIFS($B$5:$B$1668,$B1238,$G$5:$G$1668,"&gt;"&amp;$G1238)+COUNTIFS($B$4:$B1237,$B1238,$G$4:$G1237,$G1238)+1)</f>
        <v/>
      </c>
      <c r="I1238" s="11">
        <f>IF($G1238="","",IF($H1238&lt;=Points!$H$6,$G1238,0))</f>
        <v/>
      </c>
      <c r="J1238" s="11">
        <f>IF($B1238="","",IF(COUNTIF(Players!$A$2:$A$500,$B1238)=0,"Player is not on the Players tab",IF(NOT(ISNUMBER($C1238)),"Enter a gross score",IF(COUNTIFS($A$5:$A$1668,$A1238,$B$5:$B$1668,$B1238)&gt;1,"Player is listed twice this week",IF(AND($D1238&lt;&gt;"",COUNTIFS($A$5:$A$1668,$A1238,$D$5:$D$1668,$D1238)&gt;1),"Two players picked as "&amp;$D1238,IF(COUNTIFS($A$5:$A$1668,$A1238,$D$5:$D$1668,"Gross winner")=0,"Pick this week's gross winner",IF(COUNTIFS($A$5:$A$1668,$A1238,$D$5:$D$1668,"Net winner")=0,"Pick this week's net winner","OK")))))))</f>
        <v/>
      </c>
    </row>
    <row r="1239" outlineLevel="1">
      <c r="A1239" s="13" t="n">
        <v>46659</v>
      </c>
      <c r="E1239" s="11">
        <f>IF(OR($B1239="",NOT(ISNUMBER($C1239))),"",COUNTIFS($A$5:$A$1668,$A1239,$C$5:$C$1668,"&lt;"&amp;$C1239)+1)</f>
        <v/>
      </c>
      <c r="F1239" s="11">
        <f>IF(OR($B1239="",NOT(ISNUMBER($C1239))),"",COUNTIFS($A$5:$A$1668,$A1239,$C$5:$C$1668,"&gt;0"))</f>
        <v/>
      </c>
      <c r="G1239" s="11">
        <f>IF(OR($B1239="",NOT(ISNUMBER($C1239))),"",IF($D1239&lt;&gt;"",ROUND(Points!$B$6*IF($F1239&lt;Points!$H$4,Points!$H$5,1),0),ROUND(Points!$B$6*IF($F1239&lt;=1,1,Points!$H$7+(1-Points!$H$7)*((($F1239-$E1239)*(($F1239-$E1239)+1)/2)^2-((($F1239-$E1239-COUNTIFS($A$5:$A$1668,$A1239,$C$5:$C$1668,$C1239)+1)-1)*($F1239-$E1239-COUNTIFS($A$5:$A$1668,$A1239,$C$5:$C$1668,$C1239)+1)/2)^2)/(COUNTIFS($A$5:$A$1668,$A1239,$C$5:$C$1668,$C1239)*($F1239-1)^3))*IF($F1239&lt;Points!$H$4,Points!$H$5,1),0)))</f>
        <v/>
      </c>
      <c r="H1239" s="11">
        <f>IF($G1239="","",COUNTIFS($B$5:$B$1668,$B1239,$G$5:$G$1668,"&gt;"&amp;$G1239)+COUNTIFS($B$4:$B1238,$B1239,$G$4:$G1238,$G1239)+1)</f>
        <v/>
      </c>
      <c r="I1239" s="11">
        <f>IF($G1239="","",IF($H1239&lt;=Points!$H$6,$G1239,0))</f>
        <v/>
      </c>
      <c r="J1239" s="11">
        <f>IF($B1239="","",IF(COUNTIF(Players!$A$2:$A$500,$B1239)=0,"Player is not on the Players tab",IF(NOT(ISNUMBER($C1239)),"Enter a gross score",IF(COUNTIFS($A$5:$A$1668,$A1239,$B$5:$B$1668,$B1239)&gt;1,"Player is listed twice this week",IF(AND($D1239&lt;&gt;"",COUNTIFS($A$5:$A$1668,$A1239,$D$5:$D$1668,$D1239)&gt;1),"Two players picked as "&amp;$D1239,IF(COUNTIFS($A$5:$A$1668,$A1239,$D$5:$D$1668,"Gross winner")=0,"Pick this week's gross winner",IF(COUNTIFS($A$5:$A$1668,$A1239,$D$5:$D$1668,"Net winner")=0,"Pick this week's net winner","OK")))))))</f>
        <v/>
      </c>
    </row>
    <row r="1240" outlineLevel="1">
      <c r="A1240" s="13" t="n">
        <v>46659</v>
      </c>
      <c r="E1240" s="11">
        <f>IF(OR($B1240="",NOT(ISNUMBER($C1240))),"",COUNTIFS($A$5:$A$1668,$A1240,$C$5:$C$1668,"&lt;"&amp;$C1240)+1)</f>
        <v/>
      </c>
      <c r="F1240" s="11">
        <f>IF(OR($B1240="",NOT(ISNUMBER($C1240))),"",COUNTIFS($A$5:$A$1668,$A1240,$C$5:$C$1668,"&gt;0"))</f>
        <v/>
      </c>
      <c r="G1240" s="11">
        <f>IF(OR($B1240="",NOT(ISNUMBER($C1240))),"",IF($D1240&lt;&gt;"",ROUND(Points!$B$6*IF($F1240&lt;Points!$H$4,Points!$H$5,1),0),ROUND(Points!$B$6*IF($F1240&lt;=1,1,Points!$H$7+(1-Points!$H$7)*((($F1240-$E1240)*(($F1240-$E1240)+1)/2)^2-((($F1240-$E1240-COUNTIFS($A$5:$A$1668,$A1240,$C$5:$C$1668,$C1240)+1)-1)*($F1240-$E1240-COUNTIFS($A$5:$A$1668,$A1240,$C$5:$C$1668,$C1240)+1)/2)^2)/(COUNTIFS($A$5:$A$1668,$A1240,$C$5:$C$1668,$C1240)*($F1240-1)^3))*IF($F1240&lt;Points!$H$4,Points!$H$5,1),0)))</f>
        <v/>
      </c>
      <c r="H1240" s="11">
        <f>IF($G1240="","",COUNTIFS($B$5:$B$1668,$B1240,$G$5:$G$1668,"&gt;"&amp;$G1240)+COUNTIFS($B$4:$B1239,$B1240,$G$4:$G1239,$G1240)+1)</f>
        <v/>
      </c>
      <c r="I1240" s="11">
        <f>IF($G1240="","",IF($H1240&lt;=Points!$H$6,$G1240,0))</f>
        <v/>
      </c>
      <c r="J1240" s="11">
        <f>IF($B1240="","",IF(COUNTIF(Players!$A$2:$A$500,$B1240)=0,"Player is not on the Players tab",IF(NOT(ISNUMBER($C1240)),"Enter a gross score",IF(COUNTIFS($A$5:$A$1668,$A1240,$B$5:$B$1668,$B1240)&gt;1,"Player is listed twice this week",IF(AND($D1240&lt;&gt;"",COUNTIFS($A$5:$A$1668,$A1240,$D$5:$D$1668,$D1240)&gt;1),"Two players picked as "&amp;$D1240,IF(COUNTIFS($A$5:$A$1668,$A1240,$D$5:$D$1668,"Gross winner")=0,"Pick this week's gross winner",IF(COUNTIFS($A$5:$A$1668,$A1240,$D$5:$D$1668,"Net winner")=0,"Pick this week's net winner","OK")))))))</f>
        <v/>
      </c>
    </row>
    <row r="1241" outlineLevel="1">
      <c r="A1241" s="13" t="n">
        <v>46659</v>
      </c>
      <c r="E1241" s="11">
        <f>IF(OR($B1241="",NOT(ISNUMBER($C1241))),"",COUNTIFS($A$5:$A$1668,$A1241,$C$5:$C$1668,"&lt;"&amp;$C1241)+1)</f>
        <v/>
      </c>
      <c r="F1241" s="11">
        <f>IF(OR($B1241="",NOT(ISNUMBER($C1241))),"",COUNTIFS($A$5:$A$1668,$A1241,$C$5:$C$1668,"&gt;0"))</f>
        <v/>
      </c>
      <c r="G1241" s="11">
        <f>IF(OR($B1241="",NOT(ISNUMBER($C1241))),"",IF($D1241&lt;&gt;"",ROUND(Points!$B$6*IF($F1241&lt;Points!$H$4,Points!$H$5,1),0),ROUND(Points!$B$6*IF($F1241&lt;=1,1,Points!$H$7+(1-Points!$H$7)*((($F1241-$E1241)*(($F1241-$E1241)+1)/2)^2-((($F1241-$E1241-COUNTIFS($A$5:$A$1668,$A1241,$C$5:$C$1668,$C1241)+1)-1)*($F1241-$E1241-COUNTIFS($A$5:$A$1668,$A1241,$C$5:$C$1668,$C1241)+1)/2)^2)/(COUNTIFS($A$5:$A$1668,$A1241,$C$5:$C$1668,$C1241)*($F1241-1)^3))*IF($F1241&lt;Points!$H$4,Points!$H$5,1),0)))</f>
        <v/>
      </c>
      <c r="H1241" s="11">
        <f>IF($G1241="","",COUNTIFS($B$5:$B$1668,$B1241,$G$5:$G$1668,"&gt;"&amp;$G1241)+COUNTIFS($B$4:$B1240,$B1241,$G$4:$G1240,$G1241)+1)</f>
        <v/>
      </c>
      <c r="I1241" s="11">
        <f>IF($G1241="","",IF($H1241&lt;=Points!$H$6,$G1241,0))</f>
        <v/>
      </c>
      <c r="J1241" s="11">
        <f>IF($B1241="","",IF(COUNTIF(Players!$A$2:$A$500,$B1241)=0,"Player is not on the Players tab",IF(NOT(ISNUMBER($C1241)),"Enter a gross score",IF(COUNTIFS($A$5:$A$1668,$A1241,$B$5:$B$1668,$B1241)&gt;1,"Player is listed twice this week",IF(AND($D1241&lt;&gt;"",COUNTIFS($A$5:$A$1668,$A1241,$D$5:$D$1668,$D1241)&gt;1),"Two players picked as "&amp;$D1241,IF(COUNTIFS($A$5:$A$1668,$A1241,$D$5:$D$1668,"Gross winner")=0,"Pick this week's gross winner",IF(COUNTIFS($A$5:$A$1668,$A1241,$D$5:$D$1668,"Net winner")=0,"Pick this week's net winner","OK")))))))</f>
        <v/>
      </c>
    </row>
    <row r="1242" outlineLevel="1">
      <c r="A1242" s="13" t="n">
        <v>46659</v>
      </c>
      <c r="E1242" s="11">
        <f>IF(OR($B1242="",NOT(ISNUMBER($C1242))),"",COUNTIFS($A$5:$A$1668,$A1242,$C$5:$C$1668,"&lt;"&amp;$C1242)+1)</f>
        <v/>
      </c>
      <c r="F1242" s="11">
        <f>IF(OR($B1242="",NOT(ISNUMBER($C1242))),"",COUNTIFS($A$5:$A$1668,$A1242,$C$5:$C$1668,"&gt;0"))</f>
        <v/>
      </c>
      <c r="G1242" s="11">
        <f>IF(OR($B1242="",NOT(ISNUMBER($C1242))),"",IF($D1242&lt;&gt;"",ROUND(Points!$B$6*IF($F1242&lt;Points!$H$4,Points!$H$5,1),0),ROUND(Points!$B$6*IF($F1242&lt;=1,1,Points!$H$7+(1-Points!$H$7)*((($F1242-$E1242)*(($F1242-$E1242)+1)/2)^2-((($F1242-$E1242-COUNTIFS($A$5:$A$1668,$A1242,$C$5:$C$1668,$C1242)+1)-1)*($F1242-$E1242-COUNTIFS($A$5:$A$1668,$A1242,$C$5:$C$1668,$C1242)+1)/2)^2)/(COUNTIFS($A$5:$A$1668,$A1242,$C$5:$C$1668,$C1242)*($F1242-1)^3))*IF($F1242&lt;Points!$H$4,Points!$H$5,1),0)))</f>
        <v/>
      </c>
      <c r="H1242" s="11">
        <f>IF($G1242="","",COUNTIFS($B$5:$B$1668,$B1242,$G$5:$G$1668,"&gt;"&amp;$G1242)+COUNTIFS($B$4:$B1241,$B1242,$G$4:$G1241,$G1242)+1)</f>
        <v/>
      </c>
      <c r="I1242" s="11">
        <f>IF($G1242="","",IF($H1242&lt;=Points!$H$6,$G1242,0))</f>
        <v/>
      </c>
      <c r="J1242" s="11">
        <f>IF($B1242="","",IF(COUNTIF(Players!$A$2:$A$500,$B1242)=0,"Player is not on the Players tab",IF(NOT(ISNUMBER($C1242)),"Enter a gross score",IF(COUNTIFS($A$5:$A$1668,$A1242,$B$5:$B$1668,$B1242)&gt;1,"Player is listed twice this week",IF(AND($D1242&lt;&gt;"",COUNTIFS($A$5:$A$1668,$A1242,$D$5:$D$1668,$D1242)&gt;1),"Two players picked as "&amp;$D1242,IF(COUNTIFS($A$5:$A$1668,$A1242,$D$5:$D$1668,"Gross winner")=0,"Pick this week's gross winner",IF(COUNTIFS($A$5:$A$1668,$A1242,$D$5:$D$1668,"Net winner")=0,"Pick this week's net winner","OK")))))))</f>
        <v/>
      </c>
    </row>
    <row r="1243" outlineLevel="1">
      <c r="A1243" s="13" t="n">
        <v>46659</v>
      </c>
      <c r="E1243" s="11">
        <f>IF(OR($B1243="",NOT(ISNUMBER($C1243))),"",COUNTIFS($A$5:$A$1668,$A1243,$C$5:$C$1668,"&lt;"&amp;$C1243)+1)</f>
        <v/>
      </c>
      <c r="F1243" s="11">
        <f>IF(OR($B1243="",NOT(ISNUMBER($C1243))),"",COUNTIFS($A$5:$A$1668,$A1243,$C$5:$C$1668,"&gt;0"))</f>
        <v/>
      </c>
      <c r="G1243" s="11">
        <f>IF(OR($B1243="",NOT(ISNUMBER($C1243))),"",IF($D1243&lt;&gt;"",ROUND(Points!$B$6*IF($F1243&lt;Points!$H$4,Points!$H$5,1),0),ROUND(Points!$B$6*IF($F1243&lt;=1,1,Points!$H$7+(1-Points!$H$7)*((($F1243-$E1243)*(($F1243-$E1243)+1)/2)^2-((($F1243-$E1243-COUNTIFS($A$5:$A$1668,$A1243,$C$5:$C$1668,$C1243)+1)-1)*($F1243-$E1243-COUNTIFS($A$5:$A$1668,$A1243,$C$5:$C$1668,$C1243)+1)/2)^2)/(COUNTIFS($A$5:$A$1668,$A1243,$C$5:$C$1668,$C1243)*($F1243-1)^3))*IF($F1243&lt;Points!$H$4,Points!$H$5,1),0)))</f>
        <v/>
      </c>
      <c r="H1243" s="11">
        <f>IF($G1243="","",COUNTIFS($B$5:$B$1668,$B1243,$G$5:$G$1668,"&gt;"&amp;$G1243)+COUNTIFS($B$4:$B1242,$B1243,$G$4:$G1242,$G1243)+1)</f>
        <v/>
      </c>
      <c r="I1243" s="11">
        <f>IF($G1243="","",IF($H1243&lt;=Points!$H$6,$G1243,0))</f>
        <v/>
      </c>
      <c r="J1243" s="11">
        <f>IF($B1243="","",IF(COUNTIF(Players!$A$2:$A$500,$B1243)=0,"Player is not on the Players tab",IF(NOT(ISNUMBER($C1243)),"Enter a gross score",IF(COUNTIFS($A$5:$A$1668,$A1243,$B$5:$B$1668,$B1243)&gt;1,"Player is listed twice this week",IF(AND($D1243&lt;&gt;"",COUNTIFS($A$5:$A$1668,$A1243,$D$5:$D$1668,$D1243)&gt;1),"Two players picked as "&amp;$D1243,IF(COUNTIFS($A$5:$A$1668,$A1243,$D$5:$D$1668,"Gross winner")=0,"Pick this week's gross winner",IF(COUNTIFS($A$5:$A$1668,$A1243,$D$5:$D$1668,"Net winner")=0,"Pick this week's net winner","OK")))))))</f>
        <v/>
      </c>
    </row>
    <row r="1244" outlineLevel="1">
      <c r="A1244" s="13" t="n">
        <v>46659</v>
      </c>
      <c r="E1244" s="11">
        <f>IF(OR($B1244="",NOT(ISNUMBER($C1244))),"",COUNTIFS($A$5:$A$1668,$A1244,$C$5:$C$1668,"&lt;"&amp;$C1244)+1)</f>
        <v/>
      </c>
      <c r="F1244" s="11">
        <f>IF(OR($B1244="",NOT(ISNUMBER($C1244))),"",COUNTIFS($A$5:$A$1668,$A1244,$C$5:$C$1668,"&gt;0"))</f>
        <v/>
      </c>
      <c r="G1244" s="11">
        <f>IF(OR($B1244="",NOT(ISNUMBER($C1244))),"",IF($D1244&lt;&gt;"",ROUND(Points!$B$6*IF($F1244&lt;Points!$H$4,Points!$H$5,1),0),ROUND(Points!$B$6*IF($F1244&lt;=1,1,Points!$H$7+(1-Points!$H$7)*((($F1244-$E1244)*(($F1244-$E1244)+1)/2)^2-((($F1244-$E1244-COUNTIFS($A$5:$A$1668,$A1244,$C$5:$C$1668,$C1244)+1)-1)*($F1244-$E1244-COUNTIFS($A$5:$A$1668,$A1244,$C$5:$C$1668,$C1244)+1)/2)^2)/(COUNTIFS($A$5:$A$1668,$A1244,$C$5:$C$1668,$C1244)*($F1244-1)^3))*IF($F1244&lt;Points!$H$4,Points!$H$5,1),0)))</f>
        <v/>
      </c>
      <c r="H1244" s="11">
        <f>IF($G1244="","",COUNTIFS($B$5:$B$1668,$B1244,$G$5:$G$1668,"&gt;"&amp;$G1244)+COUNTIFS($B$4:$B1243,$B1244,$G$4:$G1243,$G1244)+1)</f>
        <v/>
      </c>
      <c r="I1244" s="11">
        <f>IF($G1244="","",IF($H1244&lt;=Points!$H$6,$G1244,0))</f>
        <v/>
      </c>
      <c r="J1244" s="11">
        <f>IF($B1244="","",IF(COUNTIF(Players!$A$2:$A$500,$B1244)=0,"Player is not on the Players tab",IF(NOT(ISNUMBER($C1244)),"Enter a gross score",IF(COUNTIFS($A$5:$A$1668,$A1244,$B$5:$B$1668,$B1244)&gt;1,"Player is listed twice this week",IF(AND($D1244&lt;&gt;"",COUNTIFS($A$5:$A$1668,$A1244,$D$5:$D$1668,$D1244)&gt;1),"Two players picked as "&amp;$D1244,IF(COUNTIFS($A$5:$A$1668,$A1244,$D$5:$D$1668,"Gross winner")=0,"Pick this week's gross winner",IF(COUNTIFS($A$5:$A$1668,$A1244,$D$5:$D$1668,"Net winner")=0,"Pick this week's net winner","OK")))))))</f>
        <v/>
      </c>
    </row>
    <row r="1245" outlineLevel="1">
      <c r="A1245" s="13" t="n">
        <v>46659</v>
      </c>
      <c r="E1245" s="11">
        <f>IF(OR($B1245="",NOT(ISNUMBER($C1245))),"",COUNTIFS($A$5:$A$1668,$A1245,$C$5:$C$1668,"&lt;"&amp;$C1245)+1)</f>
        <v/>
      </c>
      <c r="F1245" s="11">
        <f>IF(OR($B1245="",NOT(ISNUMBER($C1245))),"",COUNTIFS($A$5:$A$1668,$A1245,$C$5:$C$1668,"&gt;0"))</f>
        <v/>
      </c>
      <c r="G1245" s="11">
        <f>IF(OR($B1245="",NOT(ISNUMBER($C1245))),"",IF($D1245&lt;&gt;"",ROUND(Points!$B$6*IF($F1245&lt;Points!$H$4,Points!$H$5,1),0),ROUND(Points!$B$6*IF($F1245&lt;=1,1,Points!$H$7+(1-Points!$H$7)*((($F1245-$E1245)*(($F1245-$E1245)+1)/2)^2-((($F1245-$E1245-COUNTIFS($A$5:$A$1668,$A1245,$C$5:$C$1668,$C1245)+1)-1)*($F1245-$E1245-COUNTIFS($A$5:$A$1668,$A1245,$C$5:$C$1668,$C1245)+1)/2)^2)/(COUNTIFS($A$5:$A$1668,$A1245,$C$5:$C$1668,$C1245)*($F1245-1)^3))*IF($F1245&lt;Points!$H$4,Points!$H$5,1),0)))</f>
        <v/>
      </c>
      <c r="H1245" s="11">
        <f>IF($G1245="","",COUNTIFS($B$5:$B$1668,$B1245,$G$5:$G$1668,"&gt;"&amp;$G1245)+COUNTIFS($B$4:$B1244,$B1245,$G$4:$G1244,$G1245)+1)</f>
        <v/>
      </c>
      <c r="I1245" s="11">
        <f>IF($G1245="","",IF($H1245&lt;=Points!$H$6,$G1245,0))</f>
        <v/>
      </c>
      <c r="J1245" s="11">
        <f>IF($B1245="","",IF(COUNTIF(Players!$A$2:$A$500,$B1245)=0,"Player is not on the Players tab",IF(NOT(ISNUMBER($C1245)),"Enter a gross score",IF(COUNTIFS($A$5:$A$1668,$A1245,$B$5:$B$1668,$B1245)&gt;1,"Player is listed twice this week",IF(AND($D1245&lt;&gt;"",COUNTIFS($A$5:$A$1668,$A1245,$D$5:$D$1668,$D1245)&gt;1),"Two players picked as "&amp;$D1245,IF(COUNTIFS($A$5:$A$1668,$A1245,$D$5:$D$1668,"Gross winner")=0,"Pick this week's gross winner",IF(COUNTIFS($A$5:$A$1668,$A1245,$D$5:$D$1668,"Net winner")=0,"Pick this week's net winner","OK")))))))</f>
        <v/>
      </c>
    </row>
    <row r="1246" outlineLevel="1">
      <c r="A1246" s="13" t="n">
        <v>46659</v>
      </c>
      <c r="E1246" s="11">
        <f>IF(OR($B1246="",NOT(ISNUMBER($C1246))),"",COUNTIFS($A$5:$A$1668,$A1246,$C$5:$C$1668,"&lt;"&amp;$C1246)+1)</f>
        <v/>
      </c>
      <c r="F1246" s="11">
        <f>IF(OR($B1246="",NOT(ISNUMBER($C1246))),"",COUNTIFS($A$5:$A$1668,$A1246,$C$5:$C$1668,"&gt;0"))</f>
        <v/>
      </c>
      <c r="G1246" s="11">
        <f>IF(OR($B1246="",NOT(ISNUMBER($C1246))),"",IF($D1246&lt;&gt;"",ROUND(Points!$B$6*IF($F1246&lt;Points!$H$4,Points!$H$5,1),0),ROUND(Points!$B$6*IF($F1246&lt;=1,1,Points!$H$7+(1-Points!$H$7)*((($F1246-$E1246)*(($F1246-$E1246)+1)/2)^2-((($F1246-$E1246-COUNTIFS($A$5:$A$1668,$A1246,$C$5:$C$1668,$C1246)+1)-1)*($F1246-$E1246-COUNTIFS($A$5:$A$1668,$A1246,$C$5:$C$1668,$C1246)+1)/2)^2)/(COUNTIFS($A$5:$A$1668,$A1246,$C$5:$C$1668,$C1246)*($F1246-1)^3))*IF($F1246&lt;Points!$H$4,Points!$H$5,1),0)))</f>
        <v/>
      </c>
      <c r="H1246" s="11">
        <f>IF($G1246="","",COUNTIFS($B$5:$B$1668,$B1246,$G$5:$G$1668,"&gt;"&amp;$G1246)+COUNTIFS($B$4:$B1245,$B1246,$G$4:$G1245,$G1246)+1)</f>
        <v/>
      </c>
      <c r="I1246" s="11">
        <f>IF($G1246="","",IF($H1246&lt;=Points!$H$6,$G1246,0))</f>
        <v/>
      </c>
      <c r="J1246" s="11">
        <f>IF($B1246="","",IF(COUNTIF(Players!$A$2:$A$500,$B1246)=0,"Player is not on the Players tab",IF(NOT(ISNUMBER($C1246)),"Enter a gross score",IF(COUNTIFS($A$5:$A$1668,$A1246,$B$5:$B$1668,$B1246)&gt;1,"Player is listed twice this week",IF(AND($D1246&lt;&gt;"",COUNTIFS($A$5:$A$1668,$A1246,$D$5:$D$1668,$D1246)&gt;1),"Two players picked as "&amp;$D1246,IF(COUNTIFS($A$5:$A$1668,$A1246,$D$5:$D$1668,"Gross winner")=0,"Pick this week's gross winner",IF(COUNTIFS($A$5:$A$1668,$A1246,$D$5:$D$1668,"Net winner")=0,"Pick this week's net winner","OK")))))))</f>
        <v/>
      </c>
    </row>
    <row r="1247" outlineLevel="1">
      <c r="A1247" s="13" t="n">
        <v>46659</v>
      </c>
      <c r="E1247" s="11">
        <f>IF(OR($B1247="",NOT(ISNUMBER($C1247))),"",COUNTIFS($A$5:$A$1668,$A1247,$C$5:$C$1668,"&lt;"&amp;$C1247)+1)</f>
        <v/>
      </c>
      <c r="F1247" s="11">
        <f>IF(OR($B1247="",NOT(ISNUMBER($C1247))),"",COUNTIFS($A$5:$A$1668,$A1247,$C$5:$C$1668,"&gt;0"))</f>
        <v/>
      </c>
      <c r="G1247" s="11">
        <f>IF(OR($B1247="",NOT(ISNUMBER($C1247))),"",IF($D1247&lt;&gt;"",ROUND(Points!$B$6*IF($F1247&lt;Points!$H$4,Points!$H$5,1),0),ROUND(Points!$B$6*IF($F1247&lt;=1,1,Points!$H$7+(1-Points!$H$7)*((($F1247-$E1247)*(($F1247-$E1247)+1)/2)^2-((($F1247-$E1247-COUNTIFS($A$5:$A$1668,$A1247,$C$5:$C$1668,$C1247)+1)-1)*($F1247-$E1247-COUNTIFS($A$5:$A$1668,$A1247,$C$5:$C$1668,$C1247)+1)/2)^2)/(COUNTIFS($A$5:$A$1668,$A1247,$C$5:$C$1668,$C1247)*($F1247-1)^3))*IF($F1247&lt;Points!$H$4,Points!$H$5,1),0)))</f>
        <v/>
      </c>
      <c r="H1247" s="11">
        <f>IF($G1247="","",COUNTIFS($B$5:$B$1668,$B1247,$G$5:$G$1668,"&gt;"&amp;$G1247)+COUNTIFS($B$4:$B1246,$B1247,$G$4:$G1246,$G1247)+1)</f>
        <v/>
      </c>
      <c r="I1247" s="11">
        <f>IF($G1247="","",IF($H1247&lt;=Points!$H$6,$G1247,0))</f>
        <v/>
      </c>
      <c r="J1247" s="11">
        <f>IF($B1247="","",IF(COUNTIF(Players!$A$2:$A$500,$B1247)=0,"Player is not on the Players tab",IF(NOT(ISNUMBER($C1247)),"Enter a gross score",IF(COUNTIFS($A$5:$A$1668,$A1247,$B$5:$B$1668,$B1247)&gt;1,"Player is listed twice this week",IF(AND($D1247&lt;&gt;"",COUNTIFS($A$5:$A$1668,$A1247,$D$5:$D$1668,$D1247)&gt;1),"Two players picked as "&amp;$D1247,IF(COUNTIFS($A$5:$A$1668,$A1247,$D$5:$D$1668,"Gross winner")=0,"Pick this week's gross winner",IF(COUNTIFS($A$5:$A$1668,$A1247,$D$5:$D$1668,"Net winner")=0,"Pick this week's net winner","OK")))))))</f>
        <v/>
      </c>
    </row>
    <row r="1248" outlineLevel="1">
      <c r="A1248" s="13" t="n">
        <v>46659</v>
      </c>
      <c r="E1248" s="11">
        <f>IF(OR($B1248="",NOT(ISNUMBER($C1248))),"",COUNTIFS($A$5:$A$1668,$A1248,$C$5:$C$1668,"&lt;"&amp;$C1248)+1)</f>
        <v/>
      </c>
      <c r="F1248" s="11">
        <f>IF(OR($B1248="",NOT(ISNUMBER($C1248))),"",COUNTIFS($A$5:$A$1668,$A1248,$C$5:$C$1668,"&gt;0"))</f>
        <v/>
      </c>
      <c r="G1248" s="11">
        <f>IF(OR($B1248="",NOT(ISNUMBER($C1248))),"",IF($D1248&lt;&gt;"",ROUND(Points!$B$6*IF($F1248&lt;Points!$H$4,Points!$H$5,1),0),ROUND(Points!$B$6*IF($F1248&lt;=1,1,Points!$H$7+(1-Points!$H$7)*((($F1248-$E1248)*(($F1248-$E1248)+1)/2)^2-((($F1248-$E1248-COUNTIFS($A$5:$A$1668,$A1248,$C$5:$C$1668,$C1248)+1)-1)*($F1248-$E1248-COUNTIFS($A$5:$A$1668,$A1248,$C$5:$C$1668,$C1248)+1)/2)^2)/(COUNTIFS($A$5:$A$1668,$A1248,$C$5:$C$1668,$C1248)*($F1248-1)^3))*IF($F1248&lt;Points!$H$4,Points!$H$5,1),0)))</f>
        <v/>
      </c>
      <c r="H1248" s="11">
        <f>IF($G1248="","",COUNTIFS($B$5:$B$1668,$B1248,$G$5:$G$1668,"&gt;"&amp;$G1248)+COUNTIFS($B$4:$B1247,$B1248,$G$4:$G1247,$G1248)+1)</f>
        <v/>
      </c>
      <c r="I1248" s="11">
        <f>IF($G1248="","",IF($H1248&lt;=Points!$H$6,$G1248,0))</f>
        <v/>
      </c>
      <c r="J1248" s="11">
        <f>IF($B1248="","",IF(COUNTIF(Players!$A$2:$A$500,$B1248)=0,"Player is not on the Players tab",IF(NOT(ISNUMBER($C1248)),"Enter a gross score",IF(COUNTIFS($A$5:$A$1668,$A1248,$B$5:$B$1668,$B1248)&gt;1,"Player is listed twice this week",IF(AND($D1248&lt;&gt;"",COUNTIFS($A$5:$A$1668,$A1248,$D$5:$D$1668,$D1248)&gt;1),"Two players picked as "&amp;$D1248,IF(COUNTIFS($A$5:$A$1668,$A1248,$D$5:$D$1668,"Gross winner")=0,"Pick this week's gross winner",IF(COUNTIFS($A$5:$A$1668,$A1248,$D$5:$D$1668,"Net winner")=0,"Pick this week's net winner","OK")))))))</f>
        <v/>
      </c>
    </row>
    <row r="1249" outlineLevel="1">
      <c r="A1249" s="13" t="n">
        <v>46659</v>
      </c>
      <c r="E1249" s="11">
        <f>IF(OR($B1249="",NOT(ISNUMBER($C1249))),"",COUNTIFS($A$5:$A$1668,$A1249,$C$5:$C$1668,"&lt;"&amp;$C1249)+1)</f>
        <v/>
      </c>
      <c r="F1249" s="11">
        <f>IF(OR($B1249="",NOT(ISNUMBER($C1249))),"",COUNTIFS($A$5:$A$1668,$A1249,$C$5:$C$1668,"&gt;0"))</f>
        <v/>
      </c>
      <c r="G1249" s="11">
        <f>IF(OR($B1249="",NOT(ISNUMBER($C1249))),"",IF($D1249&lt;&gt;"",ROUND(Points!$B$6*IF($F1249&lt;Points!$H$4,Points!$H$5,1),0),ROUND(Points!$B$6*IF($F1249&lt;=1,1,Points!$H$7+(1-Points!$H$7)*((($F1249-$E1249)*(($F1249-$E1249)+1)/2)^2-((($F1249-$E1249-COUNTIFS($A$5:$A$1668,$A1249,$C$5:$C$1668,$C1249)+1)-1)*($F1249-$E1249-COUNTIFS($A$5:$A$1668,$A1249,$C$5:$C$1668,$C1249)+1)/2)^2)/(COUNTIFS($A$5:$A$1668,$A1249,$C$5:$C$1668,$C1249)*($F1249-1)^3))*IF($F1249&lt;Points!$H$4,Points!$H$5,1),0)))</f>
        <v/>
      </c>
      <c r="H1249" s="11">
        <f>IF($G1249="","",COUNTIFS($B$5:$B$1668,$B1249,$G$5:$G$1668,"&gt;"&amp;$G1249)+COUNTIFS($B$4:$B1248,$B1249,$G$4:$G1248,$G1249)+1)</f>
        <v/>
      </c>
      <c r="I1249" s="11">
        <f>IF($G1249="","",IF($H1249&lt;=Points!$H$6,$G1249,0))</f>
        <v/>
      </c>
      <c r="J1249" s="11">
        <f>IF($B1249="","",IF(COUNTIF(Players!$A$2:$A$500,$B1249)=0,"Player is not on the Players tab",IF(NOT(ISNUMBER($C1249)),"Enter a gross score",IF(COUNTIFS($A$5:$A$1668,$A1249,$B$5:$B$1668,$B1249)&gt;1,"Player is listed twice this week",IF(AND($D1249&lt;&gt;"",COUNTIFS($A$5:$A$1668,$A1249,$D$5:$D$1668,$D1249)&gt;1),"Two players picked as "&amp;$D1249,IF(COUNTIFS($A$5:$A$1668,$A1249,$D$5:$D$1668,"Gross winner")=0,"Pick this week's gross winner",IF(COUNTIFS($A$5:$A$1668,$A1249,$D$5:$D$1668,"Net winner")=0,"Pick this week's net winner","OK")))))))</f>
        <v/>
      </c>
    </row>
    <row r="1250" outlineLevel="1">
      <c r="A1250" s="13" t="n">
        <v>46659</v>
      </c>
      <c r="E1250" s="11">
        <f>IF(OR($B1250="",NOT(ISNUMBER($C1250))),"",COUNTIFS($A$5:$A$1668,$A1250,$C$5:$C$1668,"&lt;"&amp;$C1250)+1)</f>
        <v/>
      </c>
      <c r="F1250" s="11">
        <f>IF(OR($B1250="",NOT(ISNUMBER($C1250))),"",COUNTIFS($A$5:$A$1668,$A1250,$C$5:$C$1668,"&gt;0"))</f>
        <v/>
      </c>
      <c r="G1250" s="11">
        <f>IF(OR($B1250="",NOT(ISNUMBER($C1250))),"",IF($D1250&lt;&gt;"",ROUND(Points!$B$6*IF($F1250&lt;Points!$H$4,Points!$H$5,1),0),ROUND(Points!$B$6*IF($F1250&lt;=1,1,Points!$H$7+(1-Points!$H$7)*((($F1250-$E1250)*(($F1250-$E1250)+1)/2)^2-((($F1250-$E1250-COUNTIFS($A$5:$A$1668,$A1250,$C$5:$C$1668,$C1250)+1)-1)*($F1250-$E1250-COUNTIFS($A$5:$A$1668,$A1250,$C$5:$C$1668,$C1250)+1)/2)^2)/(COUNTIFS($A$5:$A$1668,$A1250,$C$5:$C$1668,$C1250)*($F1250-1)^3))*IF($F1250&lt;Points!$H$4,Points!$H$5,1),0)))</f>
        <v/>
      </c>
      <c r="H1250" s="11">
        <f>IF($G1250="","",COUNTIFS($B$5:$B$1668,$B1250,$G$5:$G$1668,"&gt;"&amp;$G1250)+COUNTIFS($B$4:$B1249,$B1250,$G$4:$G1249,$G1250)+1)</f>
        <v/>
      </c>
      <c r="I1250" s="11">
        <f>IF($G1250="","",IF($H1250&lt;=Points!$H$6,$G1250,0))</f>
        <v/>
      </c>
      <c r="J1250" s="11">
        <f>IF($B1250="","",IF(COUNTIF(Players!$A$2:$A$500,$B1250)=0,"Player is not on the Players tab",IF(NOT(ISNUMBER($C1250)),"Enter a gross score",IF(COUNTIFS($A$5:$A$1668,$A1250,$B$5:$B$1668,$B1250)&gt;1,"Player is listed twice this week",IF(AND($D1250&lt;&gt;"",COUNTIFS($A$5:$A$1668,$A1250,$D$5:$D$1668,$D1250)&gt;1),"Two players picked as "&amp;$D1250,IF(COUNTIFS($A$5:$A$1668,$A1250,$D$5:$D$1668,"Gross winner")=0,"Pick this week's gross winner",IF(COUNTIFS($A$5:$A$1668,$A1250,$D$5:$D$1668,"Net winner")=0,"Pick this week's net winner","OK")))))))</f>
        <v/>
      </c>
    </row>
    <row r="1251" outlineLevel="1">
      <c r="A1251" s="13" t="n">
        <v>46659</v>
      </c>
      <c r="E1251" s="11">
        <f>IF(OR($B1251="",NOT(ISNUMBER($C1251))),"",COUNTIFS($A$5:$A$1668,$A1251,$C$5:$C$1668,"&lt;"&amp;$C1251)+1)</f>
        <v/>
      </c>
      <c r="F1251" s="11">
        <f>IF(OR($B1251="",NOT(ISNUMBER($C1251))),"",COUNTIFS($A$5:$A$1668,$A1251,$C$5:$C$1668,"&gt;0"))</f>
        <v/>
      </c>
      <c r="G1251" s="11">
        <f>IF(OR($B1251="",NOT(ISNUMBER($C1251))),"",IF($D1251&lt;&gt;"",ROUND(Points!$B$6*IF($F1251&lt;Points!$H$4,Points!$H$5,1),0),ROUND(Points!$B$6*IF($F1251&lt;=1,1,Points!$H$7+(1-Points!$H$7)*((($F1251-$E1251)*(($F1251-$E1251)+1)/2)^2-((($F1251-$E1251-COUNTIFS($A$5:$A$1668,$A1251,$C$5:$C$1668,$C1251)+1)-1)*($F1251-$E1251-COUNTIFS($A$5:$A$1668,$A1251,$C$5:$C$1668,$C1251)+1)/2)^2)/(COUNTIFS($A$5:$A$1668,$A1251,$C$5:$C$1668,$C1251)*($F1251-1)^3))*IF($F1251&lt;Points!$H$4,Points!$H$5,1),0)))</f>
        <v/>
      </c>
      <c r="H1251" s="11">
        <f>IF($G1251="","",COUNTIFS($B$5:$B$1668,$B1251,$G$5:$G$1668,"&gt;"&amp;$G1251)+COUNTIFS($B$4:$B1250,$B1251,$G$4:$G1250,$G1251)+1)</f>
        <v/>
      </c>
      <c r="I1251" s="11">
        <f>IF($G1251="","",IF($H1251&lt;=Points!$H$6,$G1251,0))</f>
        <v/>
      </c>
      <c r="J1251" s="11">
        <f>IF($B1251="","",IF(COUNTIF(Players!$A$2:$A$500,$B1251)=0,"Player is not on the Players tab",IF(NOT(ISNUMBER($C1251)),"Enter a gross score",IF(COUNTIFS($A$5:$A$1668,$A1251,$B$5:$B$1668,$B1251)&gt;1,"Player is listed twice this week",IF(AND($D1251&lt;&gt;"",COUNTIFS($A$5:$A$1668,$A1251,$D$5:$D$1668,$D1251)&gt;1),"Two players picked as "&amp;$D1251,IF(COUNTIFS($A$5:$A$1668,$A1251,$D$5:$D$1668,"Gross winner")=0,"Pick this week's gross winner",IF(COUNTIFS($A$5:$A$1668,$A1251,$D$5:$D$1668,"Net winner")=0,"Pick this week's net winner","OK")))))))</f>
        <v/>
      </c>
    </row>
    <row r="1252" ht="10" customHeight="1"/>
    <row r="1253" ht="22" customHeight="1">
      <c r="A1253" s="12" t="inlineStr">
        <is>
          <t>Week 40  ·  Wednesday, Oct 6</t>
        </is>
      </c>
    </row>
    <row r="1254" outlineLevel="1">
      <c r="A1254" s="13" t="n">
        <v>46666</v>
      </c>
      <c r="E1254" s="11">
        <f>IF(OR($B1254="",NOT(ISNUMBER($C1254))),"",COUNTIFS($A$5:$A$1668,$A1254,$C$5:$C$1668,"&lt;"&amp;$C1254)+1)</f>
        <v/>
      </c>
      <c r="F1254" s="11">
        <f>IF(OR($B1254="",NOT(ISNUMBER($C1254))),"",COUNTIFS($A$5:$A$1668,$A1254,$C$5:$C$1668,"&gt;0"))</f>
        <v/>
      </c>
      <c r="G1254" s="11">
        <f>IF(OR($B1254="",NOT(ISNUMBER($C1254))),"",IF($D1254&lt;&gt;"",ROUND(Points!$B$6*IF($F1254&lt;Points!$H$4,Points!$H$5,1),0),ROUND(Points!$B$6*IF($F1254&lt;=1,1,Points!$H$7+(1-Points!$H$7)*((($F1254-$E1254)*(($F1254-$E1254)+1)/2)^2-((($F1254-$E1254-COUNTIFS($A$5:$A$1668,$A1254,$C$5:$C$1668,$C1254)+1)-1)*($F1254-$E1254-COUNTIFS($A$5:$A$1668,$A1254,$C$5:$C$1668,$C1254)+1)/2)^2)/(COUNTIFS($A$5:$A$1668,$A1254,$C$5:$C$1668,$C1254)*($F1254-1)^3))*IF($F1254&lt;Points!$H$4,Points!$H$5,1),0)))</f>
        <v/>
      </c>
      <c r="H1254" s="11">
        <f>IF($G1254="","",COUNTIFS($B$5:$B$1668,$B1254,$G$5:$G$1668,"&gt;"&amp;$G1254)+COUNTIFS($B$4:$B1253,$B1254,$G$4:$G1253,$G1254)+1)</f>
        <v/>
      </c>
      <c r="I1254" s="11">
        <f>IF($G1254="","",IF($H1254&lt;=Points!$H$6,$G1254,0))</f>
        <v/>
      </c>
      <c r="J1254" s="11">
        <f>IF($B1254="","",IF(COUNTIF(Players!$A$2:$A$500,$B1254)=0,"Player is not on the Players tab",IF(NOT(ISNUMBER($C1254)),"Enter a gross score",IF(COUNTIFS($A$5:$A$1668,$A1254,$B$5:$B$1668,$B1254)&gt;1,"Player is listed twice this week",IF(AND($D1254&lt;&gt;"",COUNTIFS($A$5:$A$1668,$A1254,$D$5:$D$1668,$D1254)&gt;1),"Two players picked as "&amp;$D1254,IF(COUNTIFS($A$5:$A$1668,$A1254,$D$5:$D$1668,"Gross winner")=0,"Pick this week's gross winner",IF(COUNTIFS($A$5:$A$1668,$A1254,$D$5:$D$1668,"Net winner")=0,"Pick this week's net winner","OK")))))))</f>
        <v/>
      </c>
    </row>
    <row r="1255" outlineLevel="1">
      <c r="A1255" s="13" t="n">
        <v>46666</v>
      </c>
      <c r="E1255" s="11">
        <f>IF(OR($B1255="",NOT(ISNUMBER($C1255))),"",COUNTIFS($A$5:$A$1668,$A1255,$C$5:$C$1668,"&lt;"&amp;$C1255)+1)</f>
        <v/>
      </c>
      <c r="F1255" s="11">
        <f>IF(OR($B1255="",NOT(ISNUMBER($C1255))),"",COUNTIFS($A$5:$A$1668,$A1255,$C$5:$C$1668,"&gt;0"))</f>
        <v/>
      </c>
      <c r="G1255" s="11">
        <f>IF(OR($B1255="",NOT(ISNUMBER($C1255))),"",IF($D1255&lt;&gt;"",ROUND(Points!$B$6*IF($F1255&lt;Points!$H$4,Points!$H$5,1),0),ROUND(Points!$B$6*IF($F1255&lt;=1,1,Points!$H$7+(1-Points!$H$7)*((($F1255-$E1255)*(($F1255-$E1255)+1)/2)^2-((($F1255-$E1255-COUNTIFS($A$5:$A$1668,$A1255,$C$5:$C$1668,$C1255)+1)-1)*($F1255-$E1255-COUNTIFS($A$5:$A$1668,$A1255,$C$5:$C$1668,$C1255)+1)/2)^2)/(COUNTIFS($A$5:$A$1668,$A1255,$C$5:$C$1668,$C1255)*($F1255-1)^3))*IF($F1255&lt;Points!$H$4,Points!$H$5,1),0)))</f>
        <v/>
      </c>
      <c r="H1255" s="11">
        <f>IF($G1255="","",COUNTIFS($B$5:$B$1668,$B1255,$G$5:$G$1668,"&gt;"&amp;$G1255)+COUNTIFS($B$4:$B1254,$B1255,$G$4:$G1254,$G1255)+1)</f>
        <v/>
      </c>
      <c r="I1255" s="11">
        <f>IF($G1255="","",IF($H1255&lt;=Points!$H$6,$G1255,0))</f>
        <v/>
      </c>
      <c r="J1255" s="11">
        <f>IF($B1255="","",IF(COUNTIF(Players!$A$2:$A$500,$B1255)=0,"Player is not on the Players tab",IF(NOT(ISNUMBER($C1255)),"Enter a gross score",IF(COUNTIFS($A$5:$A$1668,$A1255,$B$5:$B$1668,$B1255)&gt;1,"Player is listed twice this week",IF(AND($D1255&lt;&gt;"",COUNTIFS($A$5:$A$1668,$A1255,$D$5:$D$1668,$D1255)&gt;1),"Two players picked as "&amp;$D1255,IF(COUNTIFS($A$5:$A$1668,$A1255,$D$5:$D$1668,"Gross winner")=0,"Pick this week's gross winner",IF(COUNTIFS($A$5:$A$1668,$A1255,$D$5:$D$1668,"Net winner")=0,"Pick this week's net winner","OK")))))))</f>
        <v/>
      </c>
    </row>
    <row r="1256" outlineLevel="1">
      <c r="A1256" s="13" t="n">
        <v>46666</v>
      </c>
      <c r="E1256" s="11">
        <f>IF(OR($B1256="",NOT(ISNUMBER($C1256))),"",COUNTIFS($A$5:$A$1668,$A1256,$C$5:$C$1668,"&lt;"&amp;$C1256)+1)</f>
        <v/>
      </c>
      <c r="F1256" s="11">
        <f>IF(OR($B1256="",NOT(ISNUMBER($C1256))),"",COUNTIFS($A$5:$A$1668,$A1256,$C$5:$C$1668,"&gt;0"))</f>
        <v/>
      </c>
      <c r="G1256" s="11">
        <f>IF(OR($B1256="",NOT(ISNUMBER($C1256))),"",IF($D1256&lt;&gt;"",ROUND(Points!$B$6*IF($F1256&lt;Points!$H$4,Points!$H$5,1),0),ROUND(Points!$B$6*IF($F1256&lt;=1,1,Points!$H$7+(1-Points!$H$7)*((($F1256-$E1256)*(($F1256-$E1256)+1)/2)^2-((($F1256-$E1256-COUNTIFS($A$5:$A$1668,$A1256,$C$5:$C$1668,$C1256)+1)-1)*($F1256-$E1256-COUNTIFS($A$5:$A$1668,$A1256,$C$5:$C$1668,$C1256)+1)/2)^2)/(COUNTIFS($A$5:$A$1668,$A1256,$C$5:$C$1668,$C1256)*($F1256-1)^3))*IF($F1256&lt;Points!$H$4,Points!$H$5,1),0)))</f>
        <v/>
      </c>
      <c r="H1256" s="11">
        <f>IF($G1256="","",COUNTIFS($B$5:$B$1668,$B1256,$G$5:$G$1668,"&gt;"&amp;$G1256)+COUNTIFS($B$4:$B1255,$B1256,$G$4:$G1255,$G1256)+1)</f>
        <v/>
      </c>
      <c r="I1256" s="11">
        <f>IF($G1256="","",IF($H1256&lt;=Points!$H$6,$G1256,0))</f>
        <v/>
      </c>
      <c r="J1256" s="11">
        <f>IF($B1256="","",IF(COUNTIF(Players!$A$2:$A$500,$B1256)=0,"Player is not on the Players tab",IF(NOT(ISNUMBER($C1256)),"Enter a gross score",IF(COUNTIFS($A$5:$A$1668,$A1256,$B$5:$B$1668,$B1256)&gt;1,"Player is listed twice this week",IF(AND($D1256&lt;&gt;"",COUNTIFS($A$5:$A$1668,$A1256,$D$5:$D$1668,$D1256)&gt;1),"Two players picked as "&amp;$D1256,IF(COUNTIFS($A$5:$A$1668,$A1256,$D$5:$D$1668,"Gross winner")=0,"Pick this week's gross winner",IF(COUNTIFS($A$5:$A$1668,$A1256,$D$5:$D$1668,"Net winner")=0,"Pick this week's net winner","OK")))))))</f>
        <v/>
      </c>
    </row>
    <row r="1257" outlineLevel="1">
      <c r="A1257" s="13" t="n">
        <v>46666</v>
      </c>
      <c r="E1257" s="11">
        <f>IF(OR($B1257="",NOT(ISNUMBER($C1257))),"",COUNTIFS($A$5:$A$1668,$A1257,$C$5:$C$1668,"&lt;"&amp;$C1257)+1)</f>
        <v/>
      </c>
      <c r="F1257" s="11">
        <f>IF(OR($B1257="",NOT(ISNUMBER($C1257))),"",COUNTIFS($A$5:$A$1668,$A1257,$C$5:$C$1668,"&gt;0"))</f>
        <v/>
      </c>
      <c r="G1257" s="11">
        <f>IF(OR($B1257="",NOT(ISNUMBER($C1257))),"",IF($D1257&lt;&gt;"",ROUND(Points!$B$6*IF($F1257&lt;Points!$H$4,Points!$H$5,1),0),ROUND(Points!$B$6*IF($F1257&lt;=1,1,Points!$H$7+(1-Points!$H$7)*((($F1257-$E1257)*(($F1257-$E1257)+1)/2)^2-((($F1257-$E1257-COUNTIFS($A$5:$A$1668,$A1257,$C$5:$C$1668,$C1257)+1)-1)*($F1257-$E1257-COUNTIFS($A$5:$A$1668,$A1257,$C$5:$C$1668,$C1257)+1)/2)^2)/(COUNTIFS($A$5:$A$1668,$A1257,$C$5:$C$1668,$C1257)*($F1257-1)^3))*IF($F1257&lt;Points!$H$4,Points!$H$5,1),0)))</f>
        <v/>
      </c>
      <c r="H1257" s="11">
        <f>IF($G1257="","",COUNTIFS($B$5:$B$1668,$B1257,$G$5:$G$1668,"&gt;"&amp;$G1257)+COUNTIFS($B$4:$B1256,$B1257,$G$4:$G1256,$G1257)+1)</f>
        <v/>
      </c>
      <c r="I1257" s="11">
        <f>IF($G1257="","",IF($H1257&lt;=Points!$H$6,$G1257,0))</f>
        <v/>
      </c>
      <c r="J1257" s="11">
        <f>IF($B1257="","",IF(COUNTIF(Players!$A$2:$A$500,$B1257)=0,"Player is not on the Players tab",IF(NOT(ISNUMBER($C1257)),"Enter a gross score",IF(COUNTIFS($A$5:$A$1668,$A1257,$B$5:$B$1668,$B1257)&gt;1,"Player is listed twice this week",IF(AND($D1257&lt;&gt;"",COUNTIFS($A$5:$A$1668,$A1257,$D$5:$D$1668,$D1257)&gt;1),"Two players picked as "&amp;$D1257,IF(COUNTIFS($A$5:$A$1668,$A1257,$D$5:$D$1668,"Gross winner")=0,"Pick this week's gross winner",IF(COUNTIFS($A$5:$A$1668,$A1257,$D$5:$D$1668,"Net winner")=0,"Pick this week's net winner","OK")))))))</f>
        <v/>
      </c>
    </row>
    <row r="1258" outlineLevel="1">
      <c r="A1258" s="13" t="n">
        <v>46666</v>
      </c>
      <c r="E1258" s="11">
        <f>IF(OR($B1258="",NOT(ISNUMBER($C1258))),"",COUNTIFS($A$5:$A$1668,$A1258,$C$5:$C$1668,"&lt;"&amp;$C1258)+1)</f>
        <v/>
      </c>
      <c r="F1258" s="11">
        <f>IF(OR($B1258="",NOT(ISNUMBER($C1258))),"",COUNTIFS($A$5:$A$1668,$A1258,$C$5:$C$1668,"&gt;0"))</f>
        <v/>
      </c>
      <c r="G1258" s="11">
        <f>IF(OR($B1258="",NOT(ISNUMBER($C1258))),"",IF($D1258&lt;&gt;"",ROUND(Points!$B$6*IF($F1258&lt;Points!$H$4,Points!$H$5,1),0),ROUND(Points!$B$6*IF($F1258&lt;=1,1,Points!$H$7+(1-Points!$H$7)*((($F1258-$E1258)*(($F1258-$E1258)+1)/2)^2-((($F1258-$E1258-COUNTIFS($A$5:$A$1668,$A1258,$C$5:$C$1668,$C1258)+1)-1)*($F1258-$E1258-COUNTIFS($A$5:$A$1668,$A1258,$C$5:$C$1668,$C1258)+1)/2)^2)/(COUNTIFS($A$5:$A$1668,$A1258,$C$5:$C$1668,$C1258)*($F1258-1)^3))*IF($F1258&lt;Points!$H$4,Points!$H$5,1),0)))</f>
        <v/>
      </c>
      <c r="H1258" s="11">
        <f>IF($G1258="","",COUNTIFS($B$5:$B$1668,$B1258,$G$5:$G$1668,"&gt;"&amp;$G1258)+COUNTIFS($B$4:$B1257,$B1258,$G$4:$G1257,$G1258)+1)</f>
        <v/>
      </c>
      <c r="I1258" s="11">
        <f>IF($G1258="","",IF($H1258&lt;=Points!$H$6,$G1258,0))</f>
        <v/>
      </c>
      <c r="J1258" s="11">
        <f>IF($B1258="","",IF(COUNTIF(Players!$A$2:$A$500,$B1258)=0,"Player is not on the Players tab",IF(NOT(ISNUMBER($C1258)),"Enter a gross score",IF(COUNTIFS($A$5:$A$1668,$A1258,$B$5:$B$1668,$B1258)&gt;1,"Player is listed twice this week",IF(AND($D1258&lt;&gt;"",COUNTIFS($A$5:$A$1668,$A1258,$D$5:$D$1668,$D1258)&gt;1),"Two players picked as "&amp;$D1258,IF(COUNTIFS($A$5:$A$1668,$A1258,$D$5:$D$1668,"Gross winner")=0,"Pick this week's gross winner",IF(COUNTIFS($A$5:$A$1668,$A1258,$D$5:$D$1668,"Net winner")=0,"Pick this week's net winner","OK")))))))</f>
        <v/>
      </c>
    </row>
    <row r="1259" outlineLevel="1">
      <c r="A1259" s="13" t="n">
        <v>46666</v>
      </c>
      <c r="E1259" s="11">
        <f>IF(OR($B1259="",NOT(ISNUMBER($C1259))),"",COUNTIFS($A$5:$A$1668,$A1259,$C$5:$C$1668,"&lt;"&amp;$C1259)+1)</f>
        <v/>
      </c>
      <c r="F1259" s="11">
        <f>IF(OR($B1259="",NOT(ISNUMBER($C1259))),"",COUNTIFS($A$5:$A$1668,$A1259,$C$5:$C$1668,"&gt;0"))</f>
        <v/>
      </c>
      <c r="G1259" s="11">
        <f>IF(OR($B1259="",NOT(ISNUMBER($C1259))),"",IF($D1259&lt;&gt;"",ROUND(Points!$B$6*IF($F1259&lt;Points!$H$4,Points!$H$5,1),0),ROUND(Points!$B$6*IF($F1259&lt;=1,1,Points!$H$7+(1-Points!$H$7)*((($F1259-$E1259)*(($F1259-$E1259)+1)/2)^2-((($F1259-$E1259-COUNTIFS($A$5:$A$1668,$A1259,$C$5:$C$1668,$C1259)+1)-1)*($F1259-$E1259-COUNTIFS($A$5:$A$1668,$A1259,$C$5:$C$1668,$C1259)+1)/2)^2)/(COUNTIFS($A$5:$A$1668,$A1259,$C$5:$C$1668,$C1259)*($F1259-1)^3))*IF($F1259&lt;Points!$H$4,Points!$H$5,1),0)))</f>
        <v/>
      </c>
      <c r="H1259" s="11">
        <f>IF($G1259="","",COUNTIFS($B$5:$B$1668,$B1259,$G$5:$G$1668,"&gt;"&amp;$G1259)+COUNTIFS($B$4:$B1258,$B1259,$G$4:$G1258,$G1259)+1)</f>
        <v/>
      </c>
      <c r="I1259" s="11">
        <f>IF($G1259="","",IF($H1259&lt;=Points!$H$6,$G1259,0))</f>
        <v/>
      </c>
      <c r="J1259" s="11">
        <f>IF($B1259="","",IF(COUNTIF(Players!$A$2:$A$500,$B1259)=0,"Player is not on the Players tab",IF(NOT(ISNUMBER($C1259)),"Enter a gross score",IF(COUNTIFS($A$5:$A$1668,$A1259,$B$5:$B$1668,$B1259)&gt;1,"Player is listed twice this week",IF(AND($D1259&lt;&gt;"",COUNTIFS($A$5:$A$1668,$A1259,$D$5:$D$1668,$D1259)&gt;1),"Two players picked as "&amp;$D1259,IF(COUNTIFS($A$5:$A$1668,$A1259,$D$5:$D$1668,"Gross winner")=0,"Pick this week's gross winner",IF(COUNTIFS($A$5:$A$1668,$A1259,$D$5:$D$1668,"Net winner")=0,"Pick this week's net winner","OK")))))))</f>
        <v/>
      </c>
    </row>
    <row r="1260" outlineLevel="1">
      <c r="A1260" s="13" t="n">
        <v>46666</v>
      </c>
      <c r="E1260" s="11">
        <f>IF(OR($B1260="",NOT(ISNUMBER($C1260))),"",COUNTIFS($A$5:$A$1668,$A1260,$C$5:$C$1668,"&lt;"&amp;$C1260)+1)</f>
        <v/>
      </c>
      <c r="F1260" s="11">
        <f>IF(OR($B1260="",NOT(ISNUMBER($C1260))),"",COUNTIFS($A$5:$A$1668,$A1260,$C$5:$C$1668,"&gt;0"))</f>
        <v/>
      </c>
      <c r="G1260" s="11">
        <f>IF(OR($B1260="",NOT(ISNUMBER($C1260))),"",IF($D1260&lt;&gt;"",ROUND(Points!$B$6*IF($F1260&lt;Points!$H$4,Points!$H$5,1),0),ROUND(Points!$B$6*IF($F1260&lt;=1,1,Points!$H$7+(1-Points!$H$7)*((($F1260-$E1260)*(($F1260-$E1260)+1)/2)^2-((($F1260-$E1260-COUNTIFS($A$5:$A$1668,$A1260,$C$5:$C$1668,$C1260)+1)-1)*($F1260-$E1260-COUNTIFS($A$5:$A$1668,$A1260,$C$5:$C$1668,$C1260)+1)/2)^2)/(COUNTIFS($A$5:$A$1668,$A1260,$C$5:$C$1668,$C1260)*($F1260-1)^3))*IF($F1260&lt;Points!$H$4,Points!$H$5,1),0)))</f>
        <v/>
      </c>
      <c r="H1260" s="11">
        <f>IF($G1260="","",COUNTIFS($B$5:$B$1668,$B1260,$G$5:$G$1668,"&gt;"&amp;$G1260)+COUNTIFS($B$4:$B1259,$B1260,$G$4:$G1259,$G1260)+1)</f>
        <v/>
      </c>
      <c r="I1260" s="11">
        <f>IF($G1260="","",IF($H1260&lt;=Points!$H$6,$G1260,0))</f>
        <v/>
      </c>
      <c r="J1260" s="11">
        <f>IF($B1260="","",IF(COUNTIF(Players!$A$2:$A$500,$B1260)=0,"Player is not on the Players tab",IF(NOT(ISNUMBER($C1260)),"Enter a gross score",IF(COUNTIFS($A$5:$A$1668,$A1260,$B$5:$B$1668,$B1260)&gt;1,"Player is listed twice this week",IF(AND($D1260&lt;&gt;"",COUNTIFS($A$5:$A$1668,$A1260,$D$5:$D$1668,$D1260)&gt;1),"Two players picked as "&amp;$D1260,IF(COUNTIFS($A$5:$A$1668,$A1260,$D$5:$D$1668,"Gross winner")=0,"Pick this week's gross winner",IF(COUNTIFS($A$5:$A$1668,$A1260,$D$5:$D$1668,"Net winner")=0,"Pick this week's net winner","OK")))))))</f>
        <v/>
      </c>
    </row>
    <row r="1261" outlineLevel="1">
      <c r="A1261" s="13" t="n">
        <v>46666</v>
      </c>
      <c r="E1261" s="11">
        <f>IF(OR($B1261="",NOT(ISNUMBER($C1261))),"",COUNTIFS($A$5:$A$1668,$A1261,$C$5:$C$1668,"&lt;"&amp;$C1261)+1)</f>
        <v/>
      </c>
      <c r="F1261" s="11">
        <f>IF(OR($B1261="",NOT(ISNUMBER($C1261))),"",COUNTIFS($A$5:$A$1668,$A1261,$C$5:$C$1668,"&gt;0"))</f>
        <v/>
      </c>
      <c r="G1261" s="11">
        <f>IF(OR($B1261="",NOT(ISNUMBER($C1261))),"",IF($D1261&lt;&gt;"",ROUND(Points!$B$6*IF($F1261&lt;Points!$H$4,Points!$H$5,1),0),ROUND(Points!$B$6*IF($F1261&lt;=1,1,Points!$H$7+(1-Points!$H$7)*((($F1261-$E1261)*(($F1261-$E1261)+1)/2)^2-((($F1261-$E1261-COUNTIFS($A$5:$A$1668,$A1261,$C$5:$C$1668,$C1261)+1)-1)*($F1261-$E1261-COUNTIFS($A$5:$A$1668,$A1261,$C$5:$C$1668,$C1261)+1)/2)^2)/(COUNTIFS($A$5:$A$1668,$A1261,$C$5:$C$1668,$C1261)*($F1261-1)^3))*IF($F1261&lt;Points!$H$4,Points!$H$5,1),0)))</f>
        <v/>
      </c>
      <c r="H1261" s="11">
        <f>IF($G1261="","",COUNTIFS($B$5:$B$1668,$B1261,$G$5:$G$1668,"&gt;"&amp;$G1261)+COUNTIFS($B$4:$B1260,$B1261,$G$4:$G1260,$G1261)+1)</f>
        <v/>
      </c>
      <c r="I1261" s="11">
        <f>IF($G1261="","",IF($H1261&lt;=Points!$H$6,$G1261,0))</f>
        <v/>
      </c>
      <c r="J1261" s="11">
        <f>IF($B1261="","",IF(COUNTIF(Players!$A$2:$A$500,$B1261)=0,"Player is not on the Players tab",IF(NOT(ISNUMBER($C1261)),"Enter a gross score",IF(COUNTIFS($A$5:$A$1668,$A1261,$B$5:$B$1668,$B1261)&gt;1,"Player is listed twice this week",IF(AND($D1261&lt;&gt;"",COUNTIFS($A$5:$A$1668,$A1261,$D$5:$D$1668,$D1261)&gt;1),"Two players picked as "&amp;$D1261,IF(COUNTIFS($A$5:$A$1668,$A1261,$D$5:$D$1668,"Gross winner")=0,"Pick this week's gross winner",IF(COUNTIFS($A$5:$A$1668,$A1261,$D$5:$D$1668,"Net winner")=0,"Pick this week's net winner","OK")))))))</f>
        <v/>
      </c>
    </row>
    <row r="1262" outlineLevel="1">
      <c r="A1262" s="13" t="n">
        <v>46666</v>
      </c>
      <c r="E1262" s="11">
        <f>IF(OR($B1262="",NOT(ISNUMBER($C1262))),"",COUNTIFS($A$5:$A$1668,$A1262,$C$5:$C$1668,"&lt;"&amp;$C1262)+1)</f>
        <v/>
      </c>
      <c r="F1262" s="11">
        <f>IF(OR($B1262="",NOT(ISNUMBER($C1262))),"",COUNTIFS($A$5:$A$1668,$A1262,$C$5:$C$1668,"&gt;0"))</f>
        <v/>
      </c>
      <c r="G1262" s="11">
        <f>IF(OR($B1262="",NOT(ISNUMBER($C1262))),"",IF($D1262&lt;&gt;"",ROUND(Points!$B$6*IF($F1262&lt;Points!$H$4,Points!$H$5,1),0),ROUND(Points!$B$6*IF($F1262&lt;=1,1,Points!$H$7+(1-Points!$H$7)*((($F1262-$E1262)*(($F1262-$E1262)+1)/2)^2-((($F1262-$E1262-COUNTIFS($A$5:$A$1668,$A1262,$C$5:$C$1668,$C1262)+1)-1)*($F1262-$E1262-COUNTIFS($A$5:$A$1668,$A1262,$C$5:$C$1668,$C1262)+1)/2)^2)/(COUNTIFS($A$5:$A$1668,$A1262,$C$5:$C$1668,$C1262)*($F1262-1)^3))*IF($F1262&lt;Points!$H$4,Points!$H$5,1),0)))</f>
        <v/>
      </c>
      <c r="H1262" s="11">
        <f>IF($G1262="","",COUNTIFS($B$5:$B$1668,$B1262,$G$5:$G$1668,"&gt;"&amp;$G1262)+COUNTIFS($B$4:$B1261,$B1262,$G$4:$G1261,$G1262)+1)</f>
        <v/>
      </c>
      <c r="I1262" s="11">
        <f>IF($G1262="","",IF($H1262&lt;=Points!$H$6,$G1262,0))</f>
        <v/>
      </c>
      <c r="J1262" s="11">
        <f>IF($B1262="","",IF(COUNTIF(Players!$A$2:$A$500,$B1262)=0,"Player is not on the Players tab",IF(NOT(ISNUMBER($C1262)),"Enter a gross score",IF(COUNTIFS($A$5:$A$1668,$A1262,$B$5:$B$1668,$B1262)&gt;1,"Player is listed twice this week",IF(AND($D1262&lt;&gt;"",COUNTIFS($A$5:$A$1668,$A1262,$D$5:$D$1668,$D1262)&gt;1),"Two players picked as "&amp;$D1262,IF(COUNTIFS($A$5:$A$1668,$A1262,$D$5:$D$1668,"Gross winner")=0,"Pick this week's gross winner",IF(COUNTIFS($A$5:$A$1668,$A1262,$D$5:$D$1668,"Net winner")=0,"Pick this week's net winner","OK")))))))</f>
        <v/>
      </c>
    </row>
    <row r="1263" outlineLevel="1">
      <c r="A1263" s="13" t="n">
        <v>46666</v>
      </c>
      <c r="E1263" s="11">
        <f>IF(OR($B1263="",NOT(ISNUMBER($C1263))),"",COUNTIFS($A$5:$A$1668,$A1263,$C$5:$C$1668,"&lt;"&amp;$C1263)+1)</f>
        <v/>
      </c>
      <c r="F1263" s="11">
        <f>IF(OR($B1263="",NOT(ISNUMBER($C1263))),"",COUNTIFS($A$5:$A$1668,$A1263,$C$5:$C$1668,"&gt;0"))</f>
        <v/>
      </c>
      <c r="G1263" s="11">
        <f>IF(OR($B1263="",NOT(ISNUMBER($C1263))),"",IF($D1263&lt;&gt;"",ROUND(Points!$B$6*IF($F1263&lt;Points!$H$4,Points!$H$5,1),0),ROUND(Points!$B$6*IF($F1263&lt;=1,1,Points!$H$7+(1-Points!$H$7)*((($F1263-$E1263)*(($F1263-$E1263)+1)/2)^2-((($F1263-$E1263-COUNTIFS($A$5:$A$1668,$A1263,$C$5:$C$1668,$C1263)+1)-1)*($F1263-$E1263-COUNTIFS($A$5:$A$1668,$A1263,$C$5:$C$1668,$C1263)+1)/2)^2)/(COUNTIFS($A$5:$A$1668,$A1263,$C$5:$C$1668,$C1263)*($F1263-1)^3))*IF($F1263&lt;Points!$H$4,Points!$H$5,1),0)))</f>
        <v/>
      </c>
      <c r="H1263" s="11">
        <f>IF($G1263="","",COUNTIFS($B$5:$B$1668,$B1263,$G$5:$G$1668,"&gt;"&amp;$G1263)+COUNTIFS($B$4:$B1262,$B1263,$G$4:$G1262,$G1263)+1)</f>
        <v/>
      </c>
      <c r="I1263" s="11">
        <f>IF($G1263="","",IF($H1263&lt;=Points!$H$6,$G1263,0))</f>
        <v/>
      </c>
      <c r="J1263" s="11">
        <f>IF($B1263="","",IF(COUNTIF(Players!$A$2:$A$500,$B1263)=0,"Player is not on the Players tab",IF(NOT(ISNUMBER($C1263)),"Enter a gross score",IF(COUNTIFS($A$5:$A$1668,$A1263,$B$5:$B$1668,$B1263)&gt;1,"Player is listed twice this week",IF(AND($D1263&lt;&gt;"",COUNTIFS($A$5:$A$1668,$A1263,$D$5:$D$1668,$D1263)&gt;1),"Two players picked as "&amp;$D1263,IF(COUNTIFS($A$5:$A$1668,$A1263,$D$5:$D$1668,"Gross winner")=0,"Pick this week's gross winner",IF(COUNTIFS($A$5:$A$1668,$A1263,$D$5:$D$1668,"Net winner")=0,"Pick this week's net winner","OK")))))))</f>
        <v/>
      </c>
    </row>
    <row r="1264" outlineLevel="1">
      <c r="A1264" s="13" t="n">
        <v>46666</v>
      </c>
      <c r="E1264" s="11">
        <f>IF(OR($B1264="",NOT(ISNUMBER($C1264))),"",COUNTIFS($A$5:$A$1668,$A1264,$C$5:$C$1668,"&lt;"&amp;$C1264)+1)</f>
        <v/>
      </c>
      <c r="F1264" s="11">
        <f>IF(OR($B1264="",NOT(ISNUMBER($C1264))),"",COUNTIFS($A$5:$A$1668,$A1264,$C$5:$C$1668,"&gt;0"))</f>
        <v/>
      </c>
      <c r="G1264" s="11">
        <f>IF(OR($B1264="",NOT(ISNUMBER($C1264))),"",IF($D1264&lt;&gt;"",ROUND(Points!$B$6*IF($F1264&lt;Points!$H$4,Points!$H$5,1),0),ROUND(Points!$B$6*IF($F1264&lt;=1,1,Points!$H$7+(1-Points!$H$7)*((($F1264-$E1264)*(($F1264-$E1264)+1)/2)^2-((($F1264-$E1264-COUNTIFS($A$5:$A$1668,$A1264,$C$5:$C$1668,$C1264)+1)-1)*($F1264-$E1264-COUNTIFS($A$5:$A$1668,$A1264,$C$5:$C$1668,$C1264)+1)/2)^2)/(COUNTIFS($A$5:$A$1668,$A1264,$C$5:$C$1668,$C1264)*($F1264-1)^3))*IF($F1264&lt;Points!$H$4,Points!$H$5,1),0)))</f>
        <v/>
      </c>
      <c r="H1264" s="11">
        <f>IF($G1264="","",COUNTIFS($B$5:$B$1668,$B1264,$G$5:$G$1668,"&gt;"&amp;$G1264)+COUNTIFS($B$4:$B1263,$B1264,$G$4:$G1263,$G1264)+1)</f>
        <v/>
      </c>
      <c r="I1264" s="11">
        <f>IF($G1264="","",IF($H1264&lt;=Points!$H$6,$G1264,0))</f>
        <v/>
      </c>
      <c r="J1264" s="11">
        <f>IF($B1264="","",IF(COUNTIF(Players!$A$2:$A$500,$B1264)=0,"Player is not on the Players tab",IF(NOT(ISNUMBER($C1264)),"Enter a gross score",IF(COUNTIFS($A$5:$A$1668,$A1264,$B$5:$B$1668,$B1264)&gt;1,"Player is listed twice this week",IF(AND($D1264&lt;&gt;"",COUNTIFS($A$5:$A$1668,$A1264,$D$5:$D$1668,$D1264)&gt;1),"Two players picked as "&amp;$D1264,IF(COUNTIFS($A$5:$A$1668,$A1264,$D$5:$D$1668,"Gross winner")=0,"Pick this week's gross winner",IF(COUNTIFS($A$5:$A$1668,$A1264,$D$5:$D$1668,"Net winner")=0,"Pick this week's net winner","OK")))))))</f>
        <v/>
      </c>
    </row>
    <row r="1265" outlineLevel="1">
      <c r="A1265" s="13" t="n">
        <v>46666</v>
      </c>
      <c r="E1265" s="11">
        <f>IF(OR($B1265="",NOT(ISNUMBER($C1265))),"",COUNTIFS($A$5:$A$1668,$A1265,$C$5:$C$1668,"&lt;"&amp;$C1265)+1)</f>
        <v/>
      </c>
      <c r="F1265" s="11">
        <f>IF(OR($B1265="",NOT(ISNUMBER($C1265))),"",COUNTIFS($A$5:$A$1668,$A1265,$C$5:$C$1668,"&gt;0"))</f>
        <v/>
      </c>
      <c r="G1265" s="11">
        <f>IF(OR($B1265="",NOT(ISNUMBER($C1265))),"",IF($D1265&lt;&gt;"",ROUND(Points!$B$6*IF($F1265&lt;Points!$H$4,Points!$H$5,1),0),ROUND(Points!$B$6*IF($F1265&lt;=1,1,Points!$H$7+(1-Points!$H$7)*((($F1265-$E1265)*(($F1265-$E1265)+1)/2)^2-((($F1265-$E1265-COUNTIFS($A$5:$A$1668,$A1265,$C$5:$C$1668,$C1265)+1)-1)*($F1265-$E1265-COUNTIFS($A$5:$A$1668,$A1265,$C$5:$C$1668,$C1265)+1)/2)^2)/(COUNTIFS($A$5:$A$1668,$A1265,$C$5:$C$1668,$C1265)*($F1265-1)^3))*IF($F1265&lt;Points!$H$4,Points!$H$5,1),0)))</f>
        <v/>
      </c>
      <c r="H1265" s="11">
        <f>IF($G1265="","",COUNTIFS($B$5:$B$1668,$B1265,$G$5:$G$1668,"&gt;"&amp;$G1265)+COUNTIFS($B$4:$B1264,$B1265,$G$4:$G1264,$G1265)+1)</f>
        <v/>
      </c>
      <c r="I1265" s="11">
        <f>IF($G1265="","",IF($H1265&lt;=Points!$H$6,$G1265,0))</f>
        <v/>
      </c>
      <c r="J1265" s="11">
        <f>IF($B1265="","",IF(COUNTIF(Players!$A$2:$A$500,$B1265)=0,"Player is not on the Players tab",IF(NOT(ISNUMBER($C1265)),"Enter a gross score",IF(COUNTIFS($A$5:$A$1668,$A1265,$B$5:$B$1668,$B1265)&gt;1,"Player is listed twice this week",IF(AND($D1265&lt;&gt;"",COUNTIFS($A$5:$A$1668,$A1265,$D$5:$D$1668,$D1265)&gt;1),"Two players picked as "&amp;$D1265,IF(COUNTIFS($A$5:$A$1668,$A1265,$D$5:$D$1668,"Gross winner")=0,"Pick this week's gross winner",IF(COUNTIFS($A$5:$A$1668,$A1265,$D$5:$D$1668,"Net winner")=0,"Pick this week's net winner","OK")))))))</f>
        <v/>
      </c>
    </row>
    <row r="1266" outlineLevel="1">
      <c r="A1266" s="13" t="n">
        <v>46666</v>
      </c>
      <c r="E1266" s="11">
        <f>IF(OR($B1266="",NOT(ISNUMBER($C1266))),"",COUNTIFS($A$5:$A$1668,$A1266,$C$5:$C$1668,"&lt;"&amp;$C1266)+1)</f>
        <v/>
      </c>
      <c r="F1266" s="11">
        <f>IF(OR($B1266="",NOT(ISNUMBER($C1266))),"",COUNTIFS($A$5:$A$1668,$A1266,$C$5:$C$1668,"&gt;0"))</f>
        <v/>
      </c>
      <c r="G1266" s="11">
        <f>IF(OR($B1266="",NOT(ISNUMBER($C1266))),"",IF($D1266&lt;&gt;"",ROUND(Points!$B$6*IF($F1266&lt;Points!$H$4,Points!$H$5,1),0),ROUND(Points!$B$6*IF($F1266&lt;=1,1,Points!$H$7+(1-Points!$H$7)*((($F1266-$E1266)*(($F1266-$E1266)+1)/2)^2-((($F1266-$E1266-COUNTIFS($A$5:$A$1668,$A1266,$C$5:$C$1668,$C1266)+1)-1)*($F1266-$E1266-COUNTIFS($A$5:$A$1668,$A1266,$C$5:$C$1668,$C1266)+1)/2)^2)/(COUNTIFS($A$5:$A$1668,$A1266,$C$5:$C$1668,$C1266)*($F1266-1)^3))*IF($F1266&lt;Points!$H$4,Points!$H$5,1),0)))</f>
        <v/>
      </c>
      <c r="H1266" s="11">
        <f>IF($G1266="","",COUNTIFS($B$5:$B$1668,$B1266,$G$5:$G$1668,"&gt;"&amp;$G1266)+COUNTIFS($B$4:$B1265,$B1266,$G$4:$G1265,$G1266)+1)</f>
        <v/>
      </c>
      <c r="I1266" s="11">
        <f>IF($G1266="","",IF($H1266&lt;=Points!$H$6,$G1266,0))</f>
        <v/>
      </c>
      <c r="J1266" s="11">
        <f>IF($B1266="","",IF(COUNTIF(Players!$A$2:$A$500,$B1266)=0,"Player is not on the Players tab",IF(NOT(ISNUMBER($C1266)),"Enter a gross score",IF(COUNTIFS($A$5:$A$1668,$A1266,$B$5:$B$1668,$B1266)&gt;1,"Player is listed twice this week",IF(AND($D1266&lt;&gt;"",COUNTIFS($A$5:$A$1668,$A1266,$D$5:$D$1668,$D1266)&gt;1),"Two players picked as "&amp;$D1266,IF(COUNTIFS($A$5:$A$1668,$A1266,$D$5:$D$1668,"Gross winner")=0,"Pick this week's gross winner",IF(COUNTIFS($A$5:$A$1668,$A1266,$D$5:$D$1668,"Net winner")=0,"Pick this week's net winner","OK")))))))</f>
        <v/>
      </c>
    </row>
    <row r="1267" outlineLevel="1">
      <c r="A1267" s="13" t="n">
        <v>46666</v>
      </c>
      <c r="E1267" s="11">
        <f>IF(OR($B1267="",NOT(ISNUMBER($C1267))),"",COUNTIFS($A$5:$A$1668,$A1267,$C$5:$C$1668,"&lt;"&amp;$C1267)+1)</f>
        <v/>
      </c>
      <c r="F1267" s="11">
        <f>IF(OR($B1267="",NOT(ISNUMBER($C1267))),"",COUNTIFS($A$5:$A$1668,$A1267,$C$5:$C$1668,"&gt;0"))</f>
        <v/>
      </c>
      <c r="G1267" s="11">
        <f>IF(OR($B1267="",NOT(ISNUMBER($C1267))),"",IF($D1267&lt;&gt;"",ROUND(Points!$B$6*IF($F1267&lt;Points!$H$4,Points!$H$5,1),0),ROUND(Points!$B$6*IF($F1267&lt;=1,1,Points!$H$7+(1-Points!$H$7)*((($F1267-$E1267)*(($F1267-$E1267)+1)/2)^2-((($F1267-$E1267-COUNTIFS($A$5:$A$1668,$A1267,$C$5:$C$1668,$C1267)+1)-1)*($F1267-$E1267-COUNTIFS($A$5:$A$1668,$A1267,$C$5:$C$1668,$C1267)+1)/2)^2)/(COUNTIFS($A$5:$A$1668,$A1267,$C$5:$C$1668,$C1267)*($F1267-1)^3))*IF($F1267&lt;Points!$H$4,Points!$H$5,1),0)))</f>
        <v/>
      </c>
      <c r="H1267" s="11">
        <f>IF($G1267="","",COUNTIFS($B$5:$B$1668,$B1267,$G$5:$G$1668,"&gt;"&amp;$G1267)+COUNTIFS($B$4:$B1266,$B1267,$G$4:$G1266,$G1267)+1)</f>
        <v/>
      </c>
      <c r="I1267" s="11">
        <f>IF($G1267="","",IF($H1267&lt;=Points!$H$6,$G1267,0))</f>
        <v/>
      </c>
      <c r="J1267" s="11">
        <f>IF($B1267="","",IF(COUNTIF(Players!$A$2:$A$500,$B1267)=0,"Player is not on the Players tab",IF(NOT(ISNUMBER($C1267)),"Enter a gross score",IF(COUNTIFS($A$5:$A$1668,$A1267,$B$5:$B$1668,$B1267)&gt;1,"Player is listed twice this week",IF(AND($D1267&lt;&gt;"",COUNTIFS($A$5:$A$1668,$A1267,$D$5:$D$1668,$D1267)&gt;1),"Two players picked as "&amp;$D1267,IF(COUNTIFS($A$5:$A$1668,$A1267,$D$5:$D$1668,"Gross winner")=0,"Pick this week's gross winner",IF(COUNTIFS($A$5:$A$1668,$A1267,$D$5:$D$1668,"Net winner")=0,"Pick this week's net winner","OK")))))))</f>
        <v/>
      </c>
    </row>
    <row r="1268" outlineLevel="1">
      <c r="A1268" s="13" t="n">
        <v>46666</v>
      </c>
      <c r="E1268" s="11">
        <f>IF(OR($B1268="",NOT(ISNUMBER($C1268))),"",COUNTIFS($A$5:$A$1668,$A1268,$C$5:$C$1668,"&lt;"&amp;$C1268)+1)</f>
        <v/>
      </c>
      <c r="F1268" s="11">
        <f>IF(OR($B1268="",NOT(ISNUMBER($C1268))),"",COUNTIFS($A$5:$A$1668,$A1268,$C$5:$C$1668,"&gt;0"))</f>
        <v/>
      </c>
      <c r="G1268" s="11">
        <f>IF(OR($B1268="",NOT(ISNUMBER($C1268))),"",IF($D1268&lt;&gt;"",ROUND(Points!$B$6*IF($F1268&lt;Points!$H$4,Points!$H$5,1),0),ROUND(Points!$B$6*IF($F1268&lt;=1,1,Points!$H$7+(1-Points!$H$7)*((($F1268-$E1268)*(($F1268-$E1268)+1)/2)^2-((($F1268-$E1268-COUNTIFS($A$5:$A$1668,$A1268,$C$5:$C$1668,$C1268)+1)-1)*($F1268-$E1268-COUNTIFS($A$5:$A$1668,$A1268,$C$5:$C$1668,$C1268)+1)/2)^2)/(COUNTIFS($A$5:$A$1668,$A1268,$C$5:$C$1668,$C1268)*($F1268-1)^3))*IF($F1268&lt;Points!$H$4,Points!$H$5,1),0)))</f>
        <v/>
      </c>
      <c r="H1268" s="11">
        <f>IF($G1268="","",COUNTIFS($B$5:$B$1668,$B1268,$G$5:$G$1668,"&gt;"&amp;$G1268)+COUNTIFS($B$4:$B1267,$B1268,$G$4:$G1267,$G1268)+1)</f>
        <v/>
      </c>
      <c r="I1268" s="11">
        <f>IF($G1268="","",IF($H1268&lt;=Points!$H$6,$G1268,0))</f>
        <v/>
      </c>
      <c r="J1268" s="11">
        <f>IF($B1268="","",IF(COUNTIF(Players!$A$2:$A$500,$B1268)=0,"Player is not on the Players tab",IF(NOT(ISNUMBER($C1268)),"Enter a gross score",IF(COUNTIFS($A$5:$A$1668,$A1268,$B$5:$B$1668,$B1268)&gt;1,"Player is listed twice this week",IF(AND($D1268&lt;&gt;"",COUNTIFS($A$5:$A$1668,$A1268,$D$5:$D$1668,$D1268)&gt;1),"Two players picked as "&amp;$D1268,IF(COUNTIFS($A$5:$A$1668,$A1268,$D$5:$D$1668,"Gross winner")=0,"Pick this week's gross winner",IF(COUNTIFS($A$5:$A$1668,$A1268,$D$5:$D$1668,"Net winner")=0,"Pick this week's net winner","OK")))))))</f>
        <v/>
      </c>
    </row>
    <row r="1269" outlineLevel="1">
      <c r="A1269" s="13" t="n">
        <v>46666</v>
      </c>
      <c r="E1269" s="11">
        <f>IF(OR($B1269="",NOT(ISNUMBER($C1269))),"",COUNTIFS($A$5:$A$1668,$A1269,$C$5:$C$1668,"&lt;"&amp;$C1269)+1)</f>
        <v/>
      </c>
      <c r="F1269" s="11">
        <f>IF(OR($B1269="",NOT(ISNUMBER($C1269))),"",COUNTIFS($A$5:$A$1668,$A1269,$C$5:$C$1668,"&gt;0"))</f>
        <v/>
      </c>
      <c r="G1269" s="11">
        <f>IF(OR($B1269="",NOT(ISNUMBER($C1269))),"",IF($D1269&lt;&gt;"",ROUND(Points!$B$6*IF($F1269&lt;Points!$H$4,Points!$H$5,1),0),ROUND(Points!$B$6*IF($F1269&lt;=1,1,Points!$H$7+(1-Points!$H$7)*((($F1269-$E1269)*(($F1269-$E1269)+1)/2)^2-((($F1269-$E1269-COUNTIFS($A$5:$A$1668,$A1269,$C$5:$C$1668,$C1269)+1)-1)*($F1269-$E1269-COUNTIFS($A$5:$A$1668,$A1269,$C$5:$C$1668,$C1269)+1)/2)^2)/(COUNTIFS($A$5:$A$1668,$A1269,$C$5:$C$1668,$C1269)*($F1269-1)^3))*IF($F1269&lt;Points!$H$4,Points!$H$5,1),0)))</f>
        <v/>
      </c>
      <c r="H1269" s="11">
        <f>IF($G1269="","",COUNTIFS($B$5:$B$1668,$B1269,$G$5:$G$1668,"&gt;"&amp;$G1269)+COUNTIFS($B$4:$B1268,$B1269,$G$4:$G1268,$G1269)+1)</f>
        <v/>
      </c>
      <c r="I1269" s="11">
        <f>IF($G1269="","",IF($H1269&lt;=Points!$H$6,$G1269,0))</f>
        <v/>
      </c>
      <c r="J1269" s="11">
        <f>IF($B1269="","",IF(COUNTIF(Players!$A$2:$A$500,$B1269)=0,"Player is not on the Players tab",IF(NOT(ISNUMBER($C1269)),"Enter a gross score",IF(COUNTIFS($A$5:$A$1668,$A1269,$B$5:$B$1668,$B1269)&gt;1,"Player is listed twice this week",IF(AND($D1269&lt;&gt;"",COUNTIFS($A$5:$A$1668,$A1269,$D$5:$D$1668,$D1269)&gt;1),"Two players picked as "&amp;$D1269,IF(COUNTIFS($A$5:$A$1668,$A1269,$D$5:$D$1668,"Gross winner")=0,"Pick this week's gross winner",IF(COUNTIFS($A$5:$A$1668,$A1269,$D$5:$D$1668,"Net winner")=0,"Pick this week's net winner","OK")))))))</f>
        <v/>
      </c>
    </row>
    <row r="1270" outlineLevel="1">
      <c r="A1270" s="13" t="n">
        <v>46666</v>
      </c>
      <c r="E1270" s="11">
        <f>IF(OR($B1270="",NOT(ISNUMBER($C1270))),"",COUNTIFS($A$5:$A$1668,$A1270,$C$5:$C$1668,"&lt;"&amp;$C1270)+1)</f>
        <v/>
      </c>
      <c r="F1270" s="11">
        <f>IF(OR($B1270="",NOT(ISNUMBER($C1270))),"",COUNTIFS($A$5:$A$1668,$A1270,$C$5:$C$1668,"&gt;0"))</f>
        <v/>
      </c>
      <c r="G1270" s="11">
        <f>IF(OR($B1270="",NOT(ISNUMBER($C1270))),"",IF($D1270&lt;&gt;"",ROUND(Points!$B$6*IF($F1270&lt;Points!$H$4,Points!$H$5,1),0),ROUND(Points!$B$6*IF($F1270&lt;=1,1,Points!$H$7+(1-Points!$H$7)*((($F1270-$E1270)*(($F1270-$E1270)+1)/2)^2-((($F1270-$E1270-COUNTIFS($A$5:$A$1668,$A1270,$C$5:$C$1668,$C1270)+1)-1)*($F1270-$E1270-COUNTIFS($A$5:$A$1668,$A1270,$C$5:$C$1668,$C1270)+1)/2)^2)/(COUNTIFS($A$5:$A$1668,$A1270,$C$5:$C$1668,$C1270)*($F1270-1)^3))*IF($F1270&lt;Points!$H$4,Points!$H$5,1),0)))</f>
        <v/>
      </c>
      <c r="H1270" s="11">
        <f>IF($G1270="","",COUNTIFS($B$5:$B$1668,$B1270,$G$5:$G$1668,"&gt;"&amp;$G1270)+COUNTIFS($B$4:$B1269,$B1270,$G$4:$G1269,$G1270)+1)</f>
        <v/>
      </c>
      <c r="I1270" s="11">
        <f>IF($G1270="","",IF($H1270&lt;=Points!$H$6,$G1270,0))</f>
        <v/>
      </c>
      <c r="J1270" s="11">
        <f>IF($B1270="","",IF(COUNTIF(Players!$A$2:$A$500,$B1270)=0,"Player is not on the Players tab",IF(NOT(ISNUMBER($C1270)),"Enter a gross score",IF(COUNTIFS($A$5:$A$1668,$A1270,$B$5:$B$1668,$B1270)&gt;1,"Player is listed twice this week",IF(AND($D1270&lt;&gt;"",COUNTIFS($A$5:$A$1668,$A1270,$D$5:$D$1668,$D1270)&gt;1),"Two players picked as "&amp;$D1270,IF(COUNTIFS($A$5:$A$1668,$A1270,$D$5:$D$1668,"Gross winner")=0,"Pick this week's gross winner",IF(COUNTIFS($A$5:$A$1668,$A1270,$D$5:$D$1668,"Net winner")=0,"Pick this week's net winner","OK")))))))</f>
        <v/>
      </c>
    </row>
    <row r="1271" outlineLevel="1">
      <c r="A1271" s="13" t="n">
        <v>46666</v>
      </c>
      <c r="E1271" s="11">
        <f>IF(OR($B1271="",NOT(ISNUMBER($C1271))),"",COUNTIFS($A$5:$A$1668,$A1271,$C$5:$C$1668,"&lt;"&amp;$C1271)+1)</f>
        <v/>
      </c>
      <c r="F1271" s="11">
        <f>IF(OR($B1271="",NOT(ISNUMBER($C1271))),"",COUNTIFS($A$5:$A$1668,$A1271,$C$5:$C$1668,"&gt;0"))</f>
        <v/>
      </c>
      <c r="G1271" s="11">
        <f>IF(OR($B1271="",NOT(ISNUMBER($C1271))),"",IF($D1271&lt;&gt;"",ROUND(Points!$B$6*IF($F1271&lt;Points!$H$4,Points!$H$5,1),0),ROUND(Points!$B$6*IF($F1271&lt;=1,1,Points!$H$7+(1-Points!$H$7)*((($F1271-$E1271)*(($F1271-$E1271)+1)/2)^2-((($F1271-$E1271-COUNTIFS($A$5:$A$1668,$A1271,$C$5:$C$1668,$C1271)+1)-1)*($F1271-$E1271-COUNTIFS($A$5:$A$1668,$A1271,$C$5:$C$1668,$C1271)+1)/2)^2)/(COUNTIFS($A$5:$A$1668,$A1271,$C$5:$C$1668,$C1271)*($F1271-1)^3))*IF($F1271&lt;Points!$H$4,Points!$H$5,1),0)))</f>
        <v/>
      </c>
      <c r="H1271" s="11">
        <f>IF($G1271="","",COUNTIFS($B$5:$B$1668,$B1271,$G$5:$G$1668,"&gt;"&amp;$G1271)+COUNTIFS($B$4:$B1270,$B1271,$G$4:$G1270,$G1271)+1)</f>
        <v/>
      </c>
      <c r="I1271" s="11">
        <f>IF($G1271="","",IF($H1271&lt;=Points!$H$6,$G1271,0))</f>
        <v/>
      </c>
      <c r="J1271" s="11">
        <f>IF($B1271="","",IF(COUNTIF(Players!$A$2:$A$500,$B1271)=0,"Player is not on the Players tab",IF(NOT(ISNUMBER($C1271)),"Enter a gross score",IF(COUNTIFS($A$5:$A$1668,$A1271,$B$5:$B$1668,$B1271)&gt;1,"Player is listed twice this week",IF(AND($D1271&lt;&gt;"",COUNTIFS($A$5:$A$1668,$A1271,$D$5:$D$1668,$D1271)&gt;1),"Two players picked as "&amp;$D1271,IF(COUNTIFS($A$5:$A$1668,$A1271,$D$5:$D$1668,"Gross winner")=0,"Pick this week's gross winner",IF(COUNTIFS($A$5:$A$1668,$A1271,$D$5:$D$1668,"Net winner")=0,"Pick this week's net winner","OK")))))))</f>
        <v/>
      </c>
    </row>
    <row r="1272" outlineLevel="1">
      <c r="A1272" s="13" t="n">
        <v>46666</v>
      </c>
      <c r="E1272" s="11">
        <f>IF(OR($B1272="",NOT(ISNUMBER($C1272))),"",COUNTIFS($A$5:$A$1668,$A1272,$C$5:$C$1668,"&lt;"&amp;$C1272)+1)</f>
        <v/>
      </c>
      <c r="F1272" s="11">
        <f>IF(OR($B1272="",NOT(ISNUMBER($C1272))),"",COUNTIFS($A$5:$A$1668,$A1272,$C$5:$C$1668,"&gt;0"))</f>
        <v/>
      </c>
      <c r="G1272" s="11">
        <f>IF(OR($B1272="",NOT(ISNUMBER($C1272))),"",IF($D1272&lt;&gt;"",ROUND(Points!$B$6*IF($F1272&lt;Points!$H$4,Points!$H$5,1),0),ROUND(Points!$B$6*IF($F1272&lt;=1,1,Points!$H$7+(1-Points!$H$7)*((($F1272-$E1272)*(($F1272-$E1272)+1)/2)^2-((($F1272-$E1272-COUNTIFS($A$5:$A$1668,$A1272,$C$5:$C$1668,$C1272)+1)-1)*($F1272-$E1272-COUNTIFS($A$5:$A$1668,$A1272,$C$5:$C$1668,$C1272)+1)/2)^2)/(COUNTIFS($A$5:$A$1668,$A1272,$C$5:$C$1668,$C1272)*($F1272-1)^3))*IF($F1272&lt;Points!$H$4,Points!$H$5,1),0)))</f>
        <v/>
      </c>
      <c r="H1272" s="11">
        <f>IF($G1272="","",COUNTIFS($B$5:$B$1668,$B1272,$G$5:$G$1668,"&gt;"&amp;$G1272)+COUNTIFS($B$4:$B1271,$B1272,$G$4:$G1271,$G1272)+1)</f>
        <v/>
      </c>
      <c r="I1272" s="11">
        <f>IF($G1272="","",IF($H1272&lt;=Points!$H$6,$G1272,0))</f>
        <v/>
      </c>
      <c r="J1272" s="11">
        <f>IF($B1272="","",IF(COUNTIF(Players!$A$2:$A$500,$B1272)=0,"Player is not on the Players tab",IF(NOT(ISNUMBER($C1272)),"Enter a gross score",IF(COUNTIFS($A$5:$A$1668,$A1272,$B$5:$B$1668,$B1272)&gt;1,"Player is listed twice this week",IF(AND($D1272&lt;&gt;"",COUNTIFS($A$5:$A$1668,$A1272,$D$5:$D$1668,$D1272)&gt;1),"Two players picked as "&amp;$D1272,IF(COUNTIFS($A$5:$A$1668,$A1272,$D$5:$D$1668,"Gross winner")=0,"Pick this week's gross winner",IF(COUNTIFS($A$5:$A$1668,$A1272,$D$5:$D$1668,"Net winner")=0,"Pick this week's net winner","OK")))))))</f>
        <v/>
      </c>
    </row>
    <row r="1273" outlineLevel="1">
      <c r="A1273" s="13" t="n">
        <v>46666</v>
      </c>
      <c r="E1273" s="11">
        <f>IF(OR($B1273="",NOT(ISNUMBER($C1273))),"",COUNTIFS($A$5:$A$1668,$A1273,$C$5:$C$1668,"&lt;"&amp;$C1273)+1)</f>
        <v/>
      </c>
      <c r="F1273" s="11">
        <f>IF(OR($B1273="",NOT(ISNUMBER($C1273))),"",COUNTIFS($A$5:$A$1668,$A1273,$C$5:$C$1668,"&gt;0"))</f>
        <v/>
      </c>
      <c r="G1273" s="11">
        <f>IF(OR($B1273="",NOT(ISNUMBER($C1273))),"",IF($D1273&lt;&gt;"",ROUND(Points!$B$6*IF($F1273&lt;Points!$H$4,Points!$H$5,1),0),ROUND(Points!$B$6*IF($F1273&lt;=1,1,Points!$H$7+(1-Points!$H$7)*((($F1273-$E1273)*(($F1273-$E1273)+1)/2)^2-((($F1273-$E1273-COUNTIFS($A$5:$A$1668,$A1273,$C$5:$C$1668,$C1273)+1)-1)*($F1273-$E1273-COUNTIFS($A$5:$A$1668,$A1273,$C$5:$C$1668,$C1273)+1)/2)^2)/(COUNTIFS($A$5:$A$1668,$A1273,$C$5:$C$1668,$C1273)*($F1273-1)^3))*IF($F1273&lt;Points!$H$4,Points!$H$5,1),0)))</f>
        <v/>
      </c>
      <c r="H1273" s="11">
        <f>IF($G1273="","",COUNTIFS($B$5:$B$1668,$B1273,$G$5:$G$1668,"&gt;"&amp;$G1273)+COUNTIFS($B$4:$B1272,$B1273,$G$4:$G1272,$G1273)+1)</f>
        <v/>
      </c>
      <c r="I1273" s="11">
        <f>IF($G1273="","",IF($H1273&lt;=Points!$H$6,$G1273,0))</f>
        <v/>
      </c>
      <c r="J1273" s="11">
        <f>IF($B1273="","",IF(COUNTIF(Players!$A$2:$A$500,$B1273)=0,"Player is not on the Players tab",IF(NOT(ISNUMBER($C1273)),"Enter a gross score",IF(COUNTIFS($A$5:$A$1668,$A1273,$B$5:$B$1668,$B1273)&gt;1,"Player is listed twice this week",IF(AND($D1273&lt;&gt;"",COUNTIFS($A$5:$A$1668,$A1273,$D$5:$D$1668,$D1273)&gt;1),"Two players picked as "&amp;$D1273,IF(COUNTIFS($A$5:$A$1668,$A1273,$D$5:$D$1668,"Gross winner")=0,"Pick this week's gross winner",IF(COUNTIFS($A$5:$A$1668,$A1273,$D$5:$D$1668,"Net winner")=0,"Pick this week's net winner","OK")))))))</f>
        <v/>
      </c>
    </row>
    <row r="1274" outlineLevel="1">
      <c r="A1274" s="13" t="n">
        <v>46666</v>
      </c>
      <c r="E1274" s="11">
        <f>IF(OR($B1274="",NOT(ISNUMBER($C1274))),"",COUNTIFS($A$5:$A$1668,$A1274,$C$5:$C$1668,"&lt;"&amp;$C1274)+1)</f>
        <v/>
      </c>
      <c r="F1274" s="11">
        <f>IF(OR($B1274="",NOT(ISNUMBER($C1274))),"",COUNTIFS($A$5:$A$1668,$A1274,$C$5:$C$1668,"&gt;0"))</f>
        <v/>
      </c>
      <c r="G1274" s="11">
        <f>IF(OR($B1274="",NOT(ISNUMBER($C1274))),"",IF($D1274&lt;&gt;"",ROUND(Points!$B$6*IF($F1274&lt;Points!$H$4,Points!$H$5,1),0),ROUND(Points!$B$6*IF($F1274&lt;=1,1,Points!$H$7+(1-Points!$H$7)*((($F1274-$E1274)*(($F1274-$E1274)+1)/2)^2-((($F1274-$E1274-COUNTIFS($A$5:$A$1668,$A1274,$C$5:$C$1668,$C1274)+1)-1)*($F1274-$E1274-COUNTIFS($A$5:$A$1668,$A1274,$C$5:$C$1668,$C1274)+1)/2)^2)/(COUNTIFS($A$5:$A$1668,$A1274,$C$5:$C$1668,$C1274)*($F1274-1)^3))*IF($F1274&lt;Points!$H$4,Points!$H$5,1),0)))</f>
        <v/>
      </c>
      <c r="H1274" s="11">
        <f>IF($G1274="","",COUNTIFS($B$5:$B$1668,$B1274,$G$5:$G$1668,"&gt;"&amp;$G1274)+COUNTIFS($B$4:$B1273,$B1274,$G$4:$G1273,$G1274)+1)</f>
        <v/>
      </c>
      <c r="I1274" s="11">
        <f>IF($G1274="","",IF($H1274&lt;=Points!$H$6,$G1274,0))</f>
        <v/>
      </c>
      <c r="J1274" s="11">
        <f>IF($B1274="","",IF(COUNTIF(Players!$A$2:$A$500,$B1274)=0,"Player is not on the Players tab",IF(NOT(ISNUMBER($C1274)),"Enter a gross score",IF(COUNTIFS($A$5:$A$1668,$A1274,$B$5:$B$1668,$B1274)&gt;1,"Player is listed twice this week",IF(AND($D1274&lt;&gt;"",COUNTIFS($A$5:$A$1668,$A1274,$D$5:$D$1668,$D1274)&gt;1),"Two players picked as "&amp;$D1274,IF(COUNTIFS($A$5:$A$1668,$A1274,$D$5:$D$1668,"Gross winner")=0,"Pick this week's gross winner",IF(COUNTIFS($A$5:$A$1668,$A1274,$D$5:$D$1668,"Net winner")=0,"Pick this week's net winner","OK")))))))</f>
        <v/>
      </c>
    </row>
    <row r="1275" outlineLevel="1">
      <c r="A1275" s="13" t="n">
        <v>46666</v>
      </c>
      <c r="E1275" s="11">
        <f>IF(OR($B1275="",NOT(ISNUMBER($C1275))),"",COUNTIFS($A$5:$A$1668,$A1275,$C$5:$C$1668,"&lt;"&amp;$C1275)+1)</f>
        <v/>
      </c>
      <c r="F1275" s="11">
        <f>IF(OR($B1275="",NOT(ISNUMBER($C1275))),"",COUNTIFS($A$5:$A$1668,$A1275,$C$5:$C$1668,"&gt;0"))</f>
        <v/>
      </c>
      <c r="G1275" s="11">
        <f>IF(OR($B1275="",NOT(ISNUMBER($C1275))),"",IF($D1275&lt;&gt;"",ROUND(Points!$B$6*IF($F1275&lt;Points!$H$4,Points!$H$5,1),0),ROUND(Points!$B$6*IF($F1275&lt;=1,1,Points!$H$7+(1-Points!$H$7)*((($F1275-$E1275)*(($F1275-$E1275)+1)/2)^2-((($F1275-$E1275-COUNTIFS($A$5:$A$1668,$A1275,$C$5:$C$1668,$C1275)+1)-1)*($F1275-$E1275-COUNTIFS($A$5:$A$1668,$A1275,$C$5:$C$1668,$C1275)+1)/2)^2)/(COUNTIFS($A$5:$A$1668,$A1275,$C$5:$C$1668,$C1275)*($F1275-1)^3))*IF($F1275&lt;Points!$H$4,Points!$H$5,1),0)))</f>
        <v/>
      </c>
      <c r="H1275" s="11">
        <f>IF($G1275="","",COUNTIFS($B$5:$B$1668,$B1275,$G$5:$G$1668,"&gt;"&amp;$G1275)+COUNTIFS($B$4:$B1274,$B1275,$G$4:$G1274,$G1275)+1)</f>
        <v/>
      </c>
      <c r="I1275" s="11">
        <f>IF($G1275="","",IF($H1275&lt;=Points!$H$6,$G1275,0))</f>
        <v/>
      </c>
      <c r="J1275" s="11">
        <f>IF($B1275="","",IF(COUNTIF(Players!$A$2:$A$500,$B1275)=0,"Player is not on the Players tab",IF(NOT(ISNUMBER($C1275)),"Enter a gross score",IF(COUNTIFS($A$5:$A$1668,$A1275,$B$5:$B$1668,$B1275)&gt;1,"Player is listed twice this week",IF(AND($D1275&lt;&gt;"",COUNTIFS($A$5:$A$1668,$A1275,$D$5:$D$1668,$D1275)&gt;1),"Two players picked as "&amp;$D1275,IF(COUNTIFS($A$5:$A$1668,$A1275,$D$5:$D$1668,"Gross winner")=0,"Pick this week's gross winner",IF(COUNTIFS($A$5:$A$1668,$A1275,$D$5:$D$1668,"Net winner")=0,"Pick this week's net winner","OK")))))))</f>
        <v/>
      </c>
    </row>
    <row r="1276" outlineLevel="1">
      <c r="A1276" s="13" t="n">
        <v>46666</v>
      </c>
      <c r="E1276" s="11">
        <f>IF(OR($B1276="",NOT(ISNUMBER($C1276))),"",COUNTIFS($A$5:$A$1668,$A1276,$C$5:$C$1668,"&lt;"&amp;$C1276)+1)</f>
        <v/>
      </c>
      <c r="F1276" s="11">
        <f>IF(OR($B1276="",NOT(ISNUMBER($C1276))),"",COUNTIFS($A$5:$A$1668,$A1276,$C$5:$C$1668,"&gt;0"))</f>
        <v/>
      </c>
      <c r="G1276" s="11">
        <f>IF(OR($B1276="",NOT(ISNUMBER($C1276))),"",IF($D1276&lt;&gt;"",ROUND(Points!$B$6*IF($F1276&lt;Points!$H$4,Points!$H$5,1),0),ROUND(Points!$B$6*IF($F1276&lt;=1,1,Points!$H$7+(1-Points!$H$7)*((($F1276-$E1276)*(($F1276-$E1276)+1)/2)^2-((($F1276-$E1276-COUNTIFS($A$5:$A$1668,$A1276,$C$5:$C$1668,$C1276)+1)-1)*($F1276-$E1276-COUNTIFS($A$5:$A$1668,$A1276,$C$5:$C$1668,$C1276)+1)/2)^2)/(COUNTIFS($A$5:$A$1668,$A1276,$C$5:$C$1668,$C1276)*($F1276-1)^3))*IF($F1276&lt;Points!$H$4,Points!$H$5,1),0)))</f>
        <v/>
      </c>
      <c r="H1276" s="11">
        <f>IF($G1276="","",COUNTIFS($B$5:$B$1668,$B1276,$G$5:$G$1668,"&gt;"&amp;$G1276)+COUNTIFS($B$4:$B1275,$B1276,$G$4:$G1275,$G1276)+1)</f>
        <v/>
      </c>
      <c r="I1276" s="11">
        <f>IF($G1276="","",IF($H1276&lt;=Points!$H$6,$G1276,0))</f>
        <v/>
      </c>
      <c r="J1276" s="11">
        <f>IF($B1276="","",IF(COUNTIF(Players!$A$2:$A$500,$B1276)=0,"Player is not on the Players tab",IF(NOT(ISNUMBER($C1276)),"Enter a gross score",IF(COUNTIFS($A$5:$A$1668,$A1276,$B$5:$B$1668,$B1276)&gt;1,"Player is listed twice this week",IF(AND($D1276&lt;&gt;"",COUNTIFS($A$5:$A$1668,$A1276,$D$5:$D$1668,$D1276)&gt;1),"Two players picked as "&amp;$D1276,IF(COUNTIFS($A$5:$A$1668,$A1276,$D$5:$D$1668,"Gross winner")=0,"Pick this week's gross winner",IF(COUNTIFS($A$5:$A$1668,$A1276,$D$5:$D$1668,"Net winner")=0,"Pick this week's net winner","OK")))))))</f>
        <v/>
      </c>
    </row>
    <row r="1277" outlineLevel="1">
      <c r="A1277" s="13" t="n">
        <v>46666</v>
      </c>
      <c r="E1277" s="11">
        <f>IF(OR($B1277="",NOT(ISNUMBER($C1277))),"",COUNTIFS($A$5:$A$1668,$A1277,$C$5:$C$1668,"&lt;"&amp;$C1277)+1)</f>
        <v/>
      </c>
      <c r="F1277" s="11">
        <f>IF(OR($B1277="",NOT(ISNUMBER($C1277))),"",COUNTIFS($A$5:$A$1668,$A1277,$C$5:$C$1668,"&gt;0"))</f>
        <v/>
      </c>
      <c r="G1277" s="11">
        <f>IF(OR($B1277="",NOT(ISNUMBER($C1277))),"",IF($D1277&lt;&gt;"",ROUND(Points!$B$6*IF($F1277&lt;Points!$H$4,Points!$H$5,1),0),ROUND(Points!$B$6*IF($F1277&lt;=1,1,Points!$H$7+(1-Points!$H$7)*((($F1277-$E1277)*(($F1277-$E1277)+1)/2)^2-((($F1277-$E1277-COUNTIFS($A$5:$A$1668,$A1277,$C$5:$C$1668,$C1277)+1)-1)*($F1277-$E1277-COUNTIFS($A$5:$A$1668,$A1277,$C$5:$C$1668,$C1277)+1)/2)^2)/(COUNTIFS($A$5:$A$1668,$A1277,$C$5:$C$1668,$C1277)*($F1277-1)^3))*IF($F1277&lt;Points!$H$4,Points!$H$5,1),0)))</f>
        <v/>
      </c>
      <c r="H1277" s="11">
        <f>IF($G1277="","",COUNTIFS($B$5:$B$1668,$B1277,$G$5:$G$1668,"&gt;"&amp;$G1277)+COUNTIFS($B$4:$B1276,$B1277,$G$4:$G1276,$G1277)+1)</f>
        <v/>
      </c>
      <c r="I1277" s="11">
        <f>IF($G1277="","",IF($H1277&lt;=Points!$H$6,$G1277,0))</f>
        <v/>
      </c>
      <c r="J1277" s="11">
        <f>IF($B1277="","",IF(COUNTIF(Players!$A$2:$A$500,$B1277)=0,"Player is not on the Players tab",IF(NOT(ISNUMBER($C1277)),"Enter a gross score",IF(COUNTIFS($A$5:$A$1668,$A1277,$B$5:$B$1668,$B1277)&gt;1,"Player is listed twice this week",IF(AND($D1277&lt;&gt;"",COUNTIFS($A$5:$A$1668,$A1277,$D$5:$D$1668,$D1277)&gt;1),"Two players picked as "&amp;$D1277,IF(COUNTIFS($A$5:$A$1668,$A1277,$D$5:$D$1668,"Gross winner")=0,"Pick this week's gross winner",IF(COUNTIFS($A$5:$A$1668,$A1277,$D$5:$D$1668,"Net winner")=0,"Pick this week's net winner","OK")))))))</f>
        <v/>
      </c>
    </row>
    <row r="1278" outlineLevel="1">
      <c r="A1278" s="13" t="n">
        <v>46666</v>
      </c>
      <c r="E1278" s="11">
        <f>IF(OR($B1278="",NOT(ISNUMBER($C1278))),"",COUNTIFS($A$5:$A$1668,$A1278,$C$5:$C$1668,"&lt;"&amp;$C1278)+1)</f>
        <v/>
      </c>
      <c r="F1278" s="11">
        <f>IF(OR($B1278="",NOT(ISNUMBER($C1278))),"",COUNTIFS($A$5:$A$1668,$A1278,$C$5:$C$1668,"&gt;0"))</f>
        <v/>
      </c>
      <c r="G1278" s="11">
        <f>IF(OR($B1278="",NOT(ISNUMBER($C1278))),"",IF($D1278&lt;&gt;"",ROUND(Points!$B$6*IF($F1278&lt;Points!$H$4,Points!$H$5,1),0),ROUND(Points!$B$6*IF($F1278&lt;=1,1,Points!$H$7+(1-Points!$H$7)*((($F1278-$E1278)*(($F1278-$E1278)+1)/2)^2-((($F1278-$E1278-COUNTIFS($A$5:$A$1668,$A1278,$C$5:$C$1668,$C1278)+1)-1)*($F1278-$E1278-COUNTIFS($A$5:$A$1668,$A1278,$C$5:$C$1668,$C1278)+1)/2)^2)/(COUNTIFS($A$5:$A$1668,$A1278,$C$5:$C$1668,$C1278)*($F1278-1)^3))*IF($F1278&lt;Points!$H$4,Points!$H$5,1),0)))</f>
        <v/>
      </c>
      <c r="H1278" s="11">
        <f>IF($G1278="","",COUNTIFS($B$5:$B$1668,$B1278,$G$5:$G$1668,"&gt;"&amp;$G1278)+COUNTIFS($B$4:$B1277,$B1278,$G$4:$G1277,$G1278)+1)</f>
        <v/>
      </c>
      <c r="I1278" s="11">
        <f>IF($G1278="","",IF($H1278&lt;=Points!$H$6,$G1278,0))</f>
        <v/>
      </c>
      <c r="J1278" s="11">
        <f>IF($B1278="","",IF(COUNTIF(Players!$A$2:$A$500,$B1278)=0,"Player is not on the Players tab",IF(NOT(ISNUMBER($C1278)),"Enter a gross score",IF(COUNTIFS($A$5:$A$1668,$A1278,$B$5:$B$1668,$B1278)&gt;1,"Player is listed twice this week",IF(AND($D1278&lt;&gt;"",COUNTIFS($A$5:$A$1668,$A1278,$D$5:$D$1668,$D1278)&gt;1),"Two players picked as "&amp;$D1278,IF(COUNTIFS($A$5:$A$1668,$A1278,$D$5:$D$1668,"Gross winner")=0,"Pick this week's gross winner",IF(COUNTIFS($A$5:$A$1668,$A1278,$D$5:$D$1668,"Net winner")=0,"Pick this week's net winner","OK")))))))</f>
        <v/>
      </c>
    </row>
    <row r="1279" outlineLevel="1">
      <c r="A1279" s="13" t="n">
        <v>46666</v>
      </c>
      <c r="E1279" s="11">
        <f>IF(OR($B1279="",NOT(ISNUMBER($C1279))),"",COUNTIFS($A$5:$A$1668,$A1279,$C$5:$C$1668,"&lt;"&amp;$C1279)+1)</f>
        <v/>
      </c>
      <c r="F1279" s="11">
        <f>IF(OR($B1279="",NOT(ISNUMBER($C1279))),"",COUNTIFS($A$5:$A$1668,$A1279,$C$5:$C$1668,"&gt;0"))</f>
        <v/>
      </c>
      <c r="G1279" s="11">
        <f>IF(OR($B1279="",NOT(ISNUMBER($C1279))),"",IF($D1279&lt;&gt;"",ROUND(Points!$B$6*IF($F1279&lt;Points!$H$4,Points!$H$5,1),0),ROUND(Points!$B$6*IF($F1279&lt;=1,1,Points!$H$7+(1-Points!$H$7)*((($F1279-$E1279)*(($F1279-$E1279)+1)/2)^2-((($F1279-$E1279-COUNTIFS($A$5:$A$1668,$A1279,$C$5:$C$1668,$C1279)+1)-1)*($F1279-$E1279-COUNTIFS($A$5:$A$1668,$A1279,$C$5:$C$1668,$C1279)+1)/2)^2)/(COUNTIFS($A$5:$A$1668,$A1279,$C$5:$C$1668,$C1279)*($F1279-1)^3))*IF($F1279&lt;Points!$H$4,Points!$H$5,1),0)))</f>
        <v/>
      </c>
      <c r="H1279" s="11">
        <f>IF($G1279="","",COUNTIFS($B$5:$B$1668,$B1279,$G$5:$G$1668,"&gt;"&amp;$G1279)+COUNTIFS($B$4:$B1278,$B1279,$G$4:$G1278,$G1279)+1)</f>
        <v/>
      </c>
      <c r="I1279" s="11">
        <f>IF($G1279="","",IF($H1279&lt;=Points!$H$6,$G1279,0))</f>
        <v/>
      </c>
      <c r="J1279" s="11">
        <f>IF($B1279="","",IF(COUNTIF(Players!$A$2:$A$500,$B1279)=0,"Player is not on the Players tab",IF(NOT(ISNUMBER($C1279)),"Enter a gross score",IF(COUNTIFS($A$5:$A$1668,$A1279,$B$5:$B$1668,$B1279)&gt;1,"Player is listed twice this week",IF(AND($D1279&lt;&gt;"",COUNTIFS($A$5:$A$1668,$A1279,$D$5:$D$1668,$D1279)&gt;1),"Two players picked as "&amp;$D1279,IF(COUNTIFS($A$5:$A$1668,$A1279,$D$5:$D$1668,"Gross winner")=0,"Pick this week's gross winner",IF(COUNTIFS($A$5:$A$1668,$A1279,$D$5:$D$1668,"Net winner")=0,"Pick this week's net winner","OK")))))))</f>
        <v/>
      </c>
    </row>
    <row r="1280" outlineLevel="1">
      <c r="A1280" s="13" t="n">
        <v>46666</v>
      </c>
      <c r="E1280" s="11">
        <f>IF(OR($B1280="",NOT(ISNUMBER($C1280))),"",COUNTIFS($A$5:$A$1668,$A1280,$C$5:$C$1668,"&lt;"&amp;$C1280)+1)</f>
        <v/>
      </c>
      <c r="F1280" s="11">
        <f>IF(OR($B1280="",NOT(ISNUMBER($C1280))),"",COUNTIFS($A$5:$A$1668,$A1280,$C$5:$C$1668,"&gt;0"))</f>
        <v/>
      </c>
      <c r="G1280" s="11">
        <f>IF(OR($B1280="",NOT(ISNUMBER($C1280))),"",IF($D1280&lt;&gt;"",ROUND(Points!$B$6*IF($F1280&lt;Points!$H$4,Points!$H$5,1),0),ROUND(Points!$B$6*IF($F1280&lt;=1,1,Points!$H$7+(1-Points!$H$7)*((($F1280-$E1280)*(($F1280-$E1280)+1)/2)^2-((($F1280-$E1280-COUNTIFS($A$5:$A$1668,$A1280,$C$5:$C$1668,$C1280)+1)-1)*($F1280-$E1280-COUNTIFS($A$5:$A$1668,$A1280,$C$5:$C$1668,$C1280)+1)/2)^2)/(COUNTIFS($A$5:$A$1668,$A1280,$C$5:$C$1668,$C1280)*($F1280-1)^3))*IF($F1280&lt;Points!$H$4,Points!$H$5,1),0)))</f>
        <v/>
      </c>
      <c r="H1280" s="11">
        <f>IF($G1280="","",COUNTIFS($B$5:$B$1668,$B1280,$G$5:$G$1668,"&gt;"&amp;$G1280)+COUNTIFS($B$4:$B1279,$B1280,$G$4:$G1279,$G1280)+1)</f>
        <v/>
      </c>
      <c r="I1280" s="11">
        <f>IF($G1280="","",IF($H1280&lt;=Points!$H$6,$G1280,0))</f>
        <v/>
      </c>
      <c r="J1280" s="11">
        <f>IF($B1280="","",IF(COUNTIF(Players!$A$2:$A$500,$B1280)=0,"Player is not on the Players tab",IF(NOT(ISNUMBER($C1280)),"Enter a gross score",IF(COUNTIFS($A$5:$A$1668,$A1280,$B$5:$B$1668,$B1280)&gt;1,"Player is listed twice this week",IF(AND($D1280&lt;&gt;"",COUNTIFS($A$5:$A$1668,$A1280,$D$5:$D$1668,$D1280)&gt;1),"Two players picked as "&amp;$D1280,IF(COUNTIFS($A$5:$A$1668,$A1280,$D$5:$D$1668,"Gross winner")=0,"Pick this week's gross winner",IF(COUNTIFS($A$5:$A$1668,$A1280,$D$5:$D$1668,"Net winner")=0,"Pick this week's net winner","OK")))))))</f>
        <v/>
      </c>
    </row>
    <row r="1281" outlineLevel="1">
      <c r="A1281" s="13" t="n">
        <v>46666</v>
      </c>
      <c r="E1281" s="11">
        <f>IF(OR($B1281="",NOT(ISNUMBER($C1281))),"",COUNTIFS($A$5:$A$1668,$A1281,$C$5:$C$1668,"&lt;"&amp;$C1281)+1)</f>
        <v/>
      </c>
      <c r="F1281" s="11">
        <f>IF(OR($B1281="",NOT(ISNUMBER($C1281))),"",COUNTIFS($A$5:$A$1668,$A1281,$C$5:$C$1668,"&gt;0"))</f>
        <v/>
      </c>
      <c r="G1281" s="11">
        <f>IF(OR($B1281="",NOT(ISNUMBER($C1281))),"",IF($D1281&lt;&gt;"",ROUND(Points!$B$6*IF($F1281&lt;Points!$H$4,Points!$H$5,1),0),ROUND(Points!$B$6*IF($F1281&lt;=1,1,Points!$H$7+(1-Points!$H$7)*((($F1281-$E1281)*(($F1281-$E1281)+1)/2)^2-((($F1281-$E1281-COUNTIFS($A$5:$A$1668,$A1281,$C$5:$C$1668,$C1281)+1)-1)*($F1281-$E1281-COUNTIFS($A$5:$A$1668,$A1281,$C$5:$C$1668,$C1281)+1)/2)^2)/(COUNTIFS($A$5:$A$1668,$A1281,$C$5:$C$1668,$C1281)*($F1281-1)^3))*IF($F1281&lt;Points!$H$4,Points!$H$5,1),0)))</f>
        <v/>
      </c>
      <c r="H1281" s="11">
        <f>IF($G1281="","",COUNTIFS($B$5:$B$1668,$B1281,$G$5:$G$1668,"&gt;"&amp;$G1281)+COUNTIFS($B$4:$B1280,$B1281,$G$4:$G1280,$G1281)+1)</f>
        <v/>
      </c>
      <c r="I1281" s="11">
        <f>IF($G1281="","",IF($H1281&lt;=Points!$H$6,$G1281,0))</f>
        <v/>
      </c>
      <c r="J1281" s="11">
        <f>IF($B1281="","",IF(COUNTIF(Players!$A$2:$A$500,$B1281)=0,"Player is not on the Players tab",IF(NOT(ISNUMBER($C1281)),"Enter a gross score",IF(COUNTIFS($A$5:$A$1668,$A1281,$B$5:$B$1668,$B1281)&gt;1,"Player is listed twice this week",IF(AND($D1281&lt;&gt;"",COUNTIFS($A$5:$A$1668,$A1281,$D$5:$D$1668,$D1281)&gt;1),"Two players picked as "&amp;$D1281,IF(COUNTIFS($A$5:$A$1668,$A1281,$D$5:$D$1668,"Gross winner")=0,"Pick this week's gross winner",IF(COUNTIFS($A$5:$A$1668,$A1281,$D$5:$D$1668,"Net winner")=0,"Pick this week's net winner","OK")))))))</f>
        <v/>
      </c>
    </row>
    <row r="1282" outlineLevel="1">
      <c r="A1282" s="13" t="n">
        <v>46666</v>
      </c>
      <c r="E1282" s="11">
        <f>IF(OR($B1282="",NOT(ISNUMBER($C1282))),"",COUNTIFS($A$5:$A$1668,$A1282,$C$5:$C$1668,"&lt;"&amp;$C1282)+1)</f>
        <v/>
      </c>
      <c r="F1282" s="11">
        <f>IF(OR($B1282="",NOT(ISNUMBER($C1282))),"",COUNTIFS($A$5:$A$1668,$A1282,$C$5:$C$1668,"&gt;0"))</f>
        <v/>
      </c>
      <c r="G1282" s="11">
        <f>IF(OR($B1282="",NOT(ISNUMBER($C1282))),"",IF($D1282&lt;&gt;"",ROUND(Points!$B$6*IF($F1282&lt;Points!$H$4,Points!$H$5,1),0),ROUND(Points!$B$6*IF($F1282&lt;=1,1,Points!$H$7+(1-Points!$H$7)*((($F1282-$E1282)*(($F1282-$E1282)+1)/2)^2-((($F1282-$E1282-COUNTIFS($A$5:$A$1668,$A1282,$C$5:$C$1668,$C1282)+1)-1)*($F1282-$E1282-COUNTIFS($A$5:$A$1668,$A1282,$C$5:$C$1668,$C1282)+1)/2)^2)/(COUNTIFS($A$5:$A$1668,$A1282,$C$5:$C$1668,$C1282)*($F1282-1)^3))*IF($F1282&lt;Points!$H$4,Points!$H$5,1),0)))</f>
        <v/>
      </c>
      <c r="H1282" s="11">
        <f>IF($G1282="","",COUNTIFS($B$5:$B$1668,$B1282,$G$5:$G$1668,"&gt;"&amp;$G1282)+COUNTIFS($B$4:$B1281,$B1282,$G$4:$G1281,$G1282)+1)</f>
        <v/>
      </c>
      <c r="I1282" s="11">
        <f>IF($G1282="","",IF($H1282&lt;=Points!$H$6,$G1282,0))</f>
        <v/>
      </c>
      <c r="J1282" s="11">
        <f>IF($B1282="","",IF(COUNTIF(Players!$A$2:$A$500,$B1282)=0,"Player is not on the Players tab",IF(NOT(ISNUMBER($C1282)),"Enter a gross score",IF(COUNTIFS($A$5:$A$1668,$A1282,$B$5:$B$1668,$B1282)&gt;1,"Player is listed twice this week",IF(AND($D1282&lt;&gt;"",COUNTIFS($A$5:$A$1668,$A1282,$D$5:$D$1668,$D1282)&gt;1),"Two players picked as "&amp;$D1282,IF(COUNTIFS($A$5:$A$1668,$A1282,$D$5:$D$1668,"Gross winner")=0,"Pick this week's gross winner",IF(COUNTIFS($A$5:$A$1668,$A1282,$D$5:$D$1668,"Net winner")=0,"Pick this week's net winner","OK")))))))</f>
        <v/>
      </c>
    </row>
    <row r="1283" outlineLevel="1">
      <c r="A1283" s="13" t="n">
        <v>46666</v>
      </c>
      <c r="E1283" s="11">
        <f>IF(OR($B1283="",NOT(ISNUMBER($C1283))),"",COUNTIFS($A$5:$A$1668,$A1283,$C$5:$C$1668,"&lt;"&amp;$C1283)+1)</f>
        <v/>
      </c>
      <c r="F1283" s="11">
        <f>IF(OR($B1283="",NOT(ISNUMBER($C1283))),"",COUNTIFS($A$5:$A$1668,$A1283,$C$5:$C$1668,"&gt;0"))</f>
        <v/>
      </c>
      <c r="G1283" s="11">
        <f>IF(OR($B1283="",NOT(ISNUMBER($C1283))),"",IF($D1283&lt;&gt;"",ROUND(Points!$B$6*IF($F1283&lt;Points!$H$4,Points!$H$5,1),0),ROUND(Points!$B$6*IF($F1283&lt;=1,1,Points!$H$7+(1-Points!$H$7)*((($F1283-$E1283)*(($F1283-$E1283)+1)/2)^2-((($F1283-$E1283-COUNTIFS($A$5:$A$1668,$A1283,$C$5:$C$1668,$C1283)+1)-1)*($F1283-$E1283-COUNTIFS($A$5:$A$1668,$A1283,$C$5:$C$1668,$C1283)+1)/2)^2)/(COUNTIFS($A$5:$A$1668,$A1283,$C$5:$C$1668,$C1283)*($F1283-1)^3))*IF($F1283&lt;Points!$H$4,Points!$H$5,1),0)))</f>
        <v/>
      </c>
      <c r="H1283" s="11">
        <f>IF($G1283="","",COUNTIFS($B$5:$B$1668,$B1283,$G$5:$G$1668,"&gt;"&amp;$G1283)+COUNTIFS($B$4:$B1282,$B1283,$G$4:$G1282,$G1283)+1)</f>
        <v/>
      </c>
      <c r="I1283" s="11">
        <f>IF($G1283="","",IF($H1283&lt;=Points!$H$6,$G1283,0))</f>
        <v/>
      </c>
      <c r="J1283" s="11">
        <f>IF($B1283="","",IF(COUNTIF(Players!$A$2:$A$500,$B1283)=0,"Player is not on the Players tab",IF(NOT(ISNUMBER($C1283)),"Enter a gross score",IF(COUNTIFS($A$5:$A$1668,$A1283,$B$5:$B$1668,$B1283)&gt;1,"Player is listed twice this week",IF(AND($D1283&lt;&gt;"",COUNTIFS($A$5:$A$1668,$A1283,$D$5:$D$1668,$D1283)&gt;1),"Two players picked as "&amp;$D1283,IF(COUNTIFS($A$5:$A$1668,$A1283,$D$5:$D$1668,"Gross winner")=0,"Pick this week's gross winner",IF(COUNTIFS($A$5:$A$1668,$A1283,$D$5:$D$1668,"Net winner")=0,"Pick this week's net winner","OK")))))))</f>
        <v/>
      </c>
    </row>
    <row r="1284" ht="10" customHeight="1"/>
    <row r="1285" ht="22" customHeight="1">
      <c r="A1285" s="12" t="inlineStr">
        <is>
          <t>Week 41  ·  Wednesday, Oct 13</t>
        </is>
      </c>
    </row>
    <row r="1286" outlineLevel="1">
      <c r="A1286" s="13" t="n">
        <v>46673</v>
      </c>
      <c r="E1286" s="11">
        <f>IF(OR($B1286="",NOT(ISNUMBER($C1286))),"",COUNTIFS($A$5:$A$1668,$A1286,$C$5:$C$1668,"&lt;"&amp;$C1286)+1)</f>
        <v/>
      </c>
      <c r="F1286" s="11">
        <f>IF(OR($B1286="",NOT(ISNUMBER($C1286))),"",COUNTIFS($A$5:$A$1668,$A1286,$C$5:$C$1668,"&gt;0"))</f>
        <v/>
      </c>
      <c r="G1286" s="11">
        <f>IF(OR($B1286="",NOT(ISNUMBER($C1286))),"",IF($D1286&lt;&gt;"",ROUND(Points!$B$6*IF($F1286&lt;Points!$H$4,Points!$H$5,1),0),ROUND(Points!$B$6*IF($F1286&lt;=1,1,Points!$H$7+(1-Points!$H$7)*((($F1286-$E1286)*(($F1286-$E1286)+1)/2)^2-((($F1286-$E1286-COUNTIFS($A$5:$A$1668,$A1286,$C$5:$C$1668,$C1286)+1)-1)*($F1286-$E1286-COUNTIFS($A$5:$A$1668,$A1286,$C$5:$C$1668,$C1286)+1)/2)^2)/(COUNTIFS($A$5:$A$1668,$A1286,$C$5:$C$1668,$C1286)*($F1286-1)^3))*IF($F1286&lt;Points!$H$4,Points!$H$5,1),0)))</f>
        <v/>
      </c>
      <c r="H1286" s="11">
        <f>IF($G1286="","",COUNTIFS($B$5:$B$1668,$B1286,$G$5:$G$1668,"&gt;"&amp;$G1286)+COUNTIFS($B$4:$B1285,$B1286,$G$4:$G1285,$G1286)+1)</f>
        <v/>
      </c>
      <c r="I1286" s="11">
        <f>IF($G1286="","",IF($H1286&lt;=Points!$H$6,$G1286,0))</f>
        <v/>
      </c>
      <c r="J1286" s="11">
        <f>IF($B1286="","",IF(COUNTIF(Players!$A$2:$A$500,$B1286)=0,"Player is not on the Players tab",IF(NOT(ISNUMBER($C1286)),"Enter a gross score",IF(COUNTIFS($A$5:$A$1668,$A1286,$B$5:$B$1668,$B1286)&gt;1,"Player is listed twice this week",IF(AND($D1286&lt;&gt;"",COUNTIFS($A$5:$A$1668,$A1286,$D$5:$D$1668,$D1286)&gt;1),"Two players picked as "&amp;$D1286,IF(COUNTIFS($A$5:$A$1668,$A1286,$D$5:$D$1668,"Gross winner")=0,"Pick this week's gross winner",IF(COUNTIFS($A$5:$A$1668,$A1286,$D$5:$D$1668,"Net winner")=0,"Pick this week's net winner","OK")))))))</f>
        <v/>
      </c>
    </row>
    <row r="1287" outlineLevel="1">
      <c r="A1287" s="13" t="n">
        <v>46673</v>
      </c>
      <c r="E1287" s="11">
        <f>IF(OR($B1287="",NOT(ISNUMBER($C1287))),"",COUNTIFS($A$5:$A$1668,$A1287,$C$5:$C$1668,"&lt;"&amp;$C1287)+1)</f>
        <v/>
      </c>
      <c r="F1287" s="11">
        <f>IF(OR($B1287="",NOT(ISNUMBER($C1287))),"",COUNTIFS($A$5:$A$1668,$A1287,$C$5:$C$1668,"&gt;0"))</f>
        <v/>
      </c>
      <c r="G1287" s="11">
        <f>IF(OR($B1287="",NOT(ISNUMBER($C1287))),"",IF($D1287&lt;&gt;"",ROUND(Points!$B$6*IF($F1287&lt;Points!$H$4,Points!$H$5,1),0),ROUND(Points!$B$6*IF($F1287&lt;=1,1,Points!$H$7+(1-Points!$H$7)*((($F1287-$E1287)*(($F1287-$E1287)+1)/2)^2-((($F1287-$E1287-COUNTIFS($A$5:$A$1668,$A1287,$C$5:$C$1668,$C1287)+1)-1)*($F1287-$E1287-COUNTIFS($A$5:$A$1668,$A1287,$C$5:$C$1668,$C1287)+1)/2)^2)/(COUNTIFS($A$5:$A$1668,$A1287,$C$5:$C$1668,$C1287)*($F1287-1)^3))*IF($F1287&lt;Points!$H$4,Points!$H$5,1),0)))</f>
        <v/>
      </c>
      <c r="H1287" s="11">
        <f>IF($G1287="","",COUNTIFS($B$5:$B$1668,$B1287,$G$5:$G$1668,"&gt;"&amp;$G1287)+COUNTIFS($B$4:$B1286,$B1287,$G$4:$G1286,$G1287)+1)</f>
        <v/>
      </c>
      <c r="I1287" s="11">
        <f>IF($G1287="","",IF($H1287&lt;=Points!$H$6,$G1287,0))</f>
        <v/>
      </c>
      <c r="J1287" s="11">
        <f>IF($B1287="","",IF(COUNTIF(Players!$A$2:$A$500,$B1287)=0,"Player is not on the Players tab",IF(NOT(ISNUMBER($C1287)),"Enter a gross score",IF(COUNTIFS($A$5:$A$1668,$A1287,$B$5:$B$1668,$B1287)&gt;1,"Player is listed twice this week",IF(AND($D1287&lt;&gt;"",COUNTIFS($A$5:$A$1668,$A1287,$D$5:$D$1668,$D1287)&gt;1),"Two players picked as "&amp;$D1287,IF(COUNTIFS($A$5:$A$1668,$A1287,$D$5:$D$1668,"Gross winner")=0,"Pick this week's gross winner",IF(COUNTIFS($A$5:$A$1668,$A1287,$D$5:$D$1668,"Net winner")=0,"Pick this week's net winner","OK")))))))</f>
        <v/>
      </c>
    </row>
    <row r="1288" outlineLevel="1">
      <c r="A1288" s="13" t="n">
        <v>46673</v>
      </c>
      <c r="E1288" s="11">
        <f>IF(OR($B1288="",NOT(ISNUMBER($C1288))),"",COUNTIFS($A$5:$A$1668,$A1288,$C$5:$C$1668,"&lt;"&amp;$C1288)+1)</f>
        <v/>
      </c>
      <c r="F1288" s="11">
        <f>IF(OR($B1288="",NOT(ISNUMBER($C1288))),"",COUNTIFS($A$5:$A$1668,$A1288,$C$5:$C$1668,"&gt;0"))</f>
        <v/>
      </c>
      <c r="G1288" s="11">
        <f>IF(OR($B1288="",NOT(ISNUMBER($C1288))),"",IF($D1288&lt;&gt;"",ROUND(Points!$B$6*IF($F1288&lt;Points!$H$4,Points!$H$5,1),0),ROUND(Points!$B$6*IF($F1288&lt;=1,1,Points!$H$7+(1-Points!$H$7)*((($F1288-$E1288)*(($F1288-$E1288)+1)/2)^2-((($F1288-$E1288-COUNTIFS($A$5:$A$1668,$A1288,$C$5:$C$1668,$C1288)+1)-1)*($F1288-$E1288-COUNTIFS($A$5:$A$1668,$A1288,$C$5:$C$1668,$C1288)+1)/2)^2)/(COUNTIFS($A$5:$A$1668,$A1288,$C$5:$C$1668,$C1288)*($F1288-1)^3))*IF($F1288&lt;Points!$H$4,Points!$H$5,1),0)))</f>
        <v/>
      </c>
      <c r="H1288" s="11">
        <f>IF($G1288="","",COUNTIFS($B$5:$B$1668,$B1288,$G$5:$G$1668,"&gt;"&amp;$G1288)+COUNTIFS($B$4:$B1287,$B1288,$G$4:$G1287,$G1288)+1)</f>
        <v/>
      </c>
      <c r="I1288" s="11">
        <f>IF($G1288="","",IF($H1288&lt;=Points!$H$6,$G1288,0))</f>
        <v/>
      </c>
      <c r="J1288" s="11">
        <f>IF($B1288="","",IF(COUNTIF(Players!$A$2:$A$500,$B1288)=0,"Player is not on the Players tab",IF(NOT(ISNUMBER($C1288)),"Enter a gross score",IF(COUNTIFS($A$5:$A$1668,$A1288,$B$5:$B$1668,$B1288)&gt;1,"Player is listed twice this week",IF(AND($D1288&lt;&gt;"",COUNTIFS($A$5:$A$1668,$A1288,$D$5:$D$1668,$D1288)&gt;1),"Two players picked as "&amp;$D1288,IF(COUNTIFS($A$5:$A$1668,$A1288,$D$5:$D$1668,"Gross winner")=0,"Pick this week's gross winner",IF(COUNTIFS($A$5:$A$1668,$A1288,$D$5:$D$1668,"Net winner")=0,"Pick this week's net winner","OK")))))))</f>
        <v/>
      </c>
    </row>
    <row r="1289" outlineLevel="1">
      <c r="A1289" s="13" t="n">
        <v>46673</v>
      </c>
      <c r="E1289" s="11">
        <f>IF(OR($B1289="",NOT(ISNUMBER($C1289))),"",COUNTIFS($A$5:$A$1668,$A1289,$C$5:$C$1668,"&lt;"&amp;$C1289)+1)</f>
        <v/>
      </c>
      <c r="F1289" s="11">
        <f>IF(OR($B1289="",NOT(ISNUMBER($C1289))),"",COUNTIFS($A$5:$A$1668,$A1289,$C$5:$C$1668,"&gt;0"))</f>
        <v/>
      </c>
      <c r="G1289" s="11">
        <f>IF(OR($B1289="",NOT(ISNUMBER($C1289))),"",IF($D1289&lt;&gt;"",ROUND(Points!$B$6*IF($F1289&lt;Points!$H$4,Points!$H$5,1),0),ROUND(Points!$B$6*IF($F1289&lt;=1,1,Points!$H$7+(1-Points!$H$7)*((($F1289-$E1289)*(($F1289-$E1289)+1)/2)^2-((($F1289-$E1289-COUNTIFS($A$5:$A$1668,$A1289,$C$5:$C$1668,$C1289)+1)-1)*($F1289-$E1289-COUNTIFS($A$5:$A$1668,$A1289,$C$5:$C$1668,$C1289)+1)/2)^2)/(COUNTIFS($A$5:$A$1668,$A1289,$C$5:$C$1668,$C1289)*($F1289-1)^3))*IF($F1289&lt;Points!$H$4,Points!$H$5,1),0)))</f>
        <v/>
      </c>
      <c r="H1289" s="11">
        <f>IF($G1289="","",COUNTIFS($B$5:$B$1668,$B1289,$G$5:$G$1668,"&gt;"&amp;$G1289)+COUNTIFS($B$4:$B1288,$B1289,$G$4:$G1288,$G1289)+1)</f>
        <v/>
      </c>
      <c r="I1289" s="11">
        <f>IF($G1289="","",IF($H1289&lt;=Points!$H$6,$G1289,0))</f>
        <v/>
      </c>
      <c r="J1289" s="11">
        <f>IF($B1289="","",IF(COUNTIF(Players!$A$2:$A$500,$B1289)=0,"Player is not on the Players tab",IF(NOT(ISNUMBER($C1289)),"Enter a gross score",IF(COUNTIFS($A$5:$A$1668,$A1289,$B$5:$B$1668,$B1289)&gt;1,"Player is listed twice this week",IF(AND($D1289&lt;&gt;"",COUNTIFS($A$5:$A$1668,$A1289,$D$5:$D$1668,$D1289)&gt;1),"Two players picked as "&amp;$D1289,IF(COUNTIFS($A$5:$A$1668,$A1289,$D$5:$D$1668,"Gross winner")=0,"Pick this week's gross winner",IF(COUNTIFS($A$5:$A$1668,$A1289,$D$5:$D$1668,"Net winner")=0,"Pick this week's net winner","OK")))))))</f>
        <v/>
      </c>
    </row>
    <row r="1290" outlineLevel="1">
      <c r="A1290" s="13" t="n">
        <v>46673</v>
      </c>
      <c r="E1290" s="11">
        <f>IF(OR($B1290="",NOT(ISNUMBER($C1290))),"",COUNTIFS($A$5:$A$1668,$A1290,$C$5:$C$1668,"&lt;"&amp;$C1290)+1)</f>
        <v/>
      </c>
      <c r="F1290" s="11">
        <f>IF(OR($B1290="",NOT(ISNUMBER($C1290))),"",COUNTIFS($A$5:$A$1668,$A1290,$C$5:$C$1668,"&gt;0"))</f>
        <v/>
      </c>
      <c r="G1290" s="11">
        <f>IF(OR($B1290="",NOT(ISNUMBER($C1290))),"",IF($D1290&lt;&gt;"",ROUND(Points!$B$6*IF($F1290&lt;Points!$H$4,Points!$H$5,1),0),ROUND(Points!$B$6*IF($F1290&lt;=1,1,Points!$H$7+(1-Points!$H$7)*((($F1290-$E1290)*(($F1290-$E1290)+1)/2)^2-((($F1290-$E1290-COUNTIFS($A$5:$A$1668,$A1290,$C$5:$C$1668,$C1290)+1)-1)*($F1290-$E1290-COUNTIFS($A$5:$A$1668,$A1290,$C$5:$C$1668,$C1290)+1)/2)^2)/(COUNTIFS($A$5:$A$1668,$A1290,$C$5:$C$1668,$C1290)*($F1290-1)^3))*IF($F1290&lt;Points!$H$4,Points!$H$5,1),0)))</f>
        <v/>
      </c>
      <c r="H1290" s="11">
        <f>IF($G1290="","",COUNTIFS($B$5:$B$1668,$B1290,$G$5:$G$1668,"&gt;"&amp;$G1290)+COUNTIFS($B$4:$B1289,$B1290,$G$4:$G1289,$G1290)+1)</f>
        <v/>
      </c>
      <c r="I1290" s="11">
        <f>IF($G1290="","",IF($H1290&lt;=Points!$H$6,$G1290,0))</f>
        <v/>
      </c>
      <c r="J1290" s="11">
        <f>IF($B1290="","",IF(COUNTIF(Players!$A$2:$A$500,$B1290)=0,"Player is not on the Players tab",IF(NOT(ISNUMBER($C1290)),"Enter a gross score",IF(COUNTIFS($A$5:$A$1668,$A1290,$B$5:$B$1668,$B1290)&gt;1,"Player is listed twice this week",IF(AND($D1290&lt;&gt;"",COUNTIFS($A$5:$A$1668,$A1290,$D$5:$D$1668,$D1290)&gt;1),"Two players picked as "&amp;$D1290,IF(COUNTIFS($A$5:$A$1668,$A1290,$D$5:$D$1668,"Gross winner")=0,"Pick this week's gross winner",IF(COUNTIFS($A$5:$A$1668,$A1290,$D$5:$D$1668,"Net winner")=0,"Pick this week's net winner","OK")))))))</f>
        <v/>
      </c>
    </row>
    <row r="1291" outlineLevel="1">
      <c r="A1291" s="13" t="n">
        <v>46673</v>
      </c>
      <c r="E1291" s="11">
        <f>IF(OR($B1291="",NOT(ISNUMBER($C1291))),"",COUNTIFS($A$5:$A$1668,$A1291,$C$5:$C$1668,"&lt;"&amp;$C1291)+1)</f>
        <v/>
      </c>
      <c r="F1291" s="11">
        <f>IF(OR($B1291="",NOT(ISNUMBER($C1291))),"",COUNTIFS($A$5:$A$1668,$A1291,$C$5:$C$1668,"&gt;0"))</f>
        <v/>
      </c>
      <c r="G1291" s="11">
        <f>IF(OR($B1291="",NOT(ISNUMBER($C1291))),"",IF($D1291&lt;&gt;"",ROUND(Points!$B$6*IF($F1291&lt;Points!$H$4,Points!$H$5,1),0),ROUND(Points!$B$6*IF($F1291&lt;=1,1,Points!$H$7+(1-Points!$H$7)*((($F1291-$E1291)*(($F1291-$E1291)+1)/2)^2-((($F1291-$E1291-COUNTIFS($A$5:$A$1668,$A1291,$C$5:$C$1668,$C1291)+1)-1)*($F1291-$E1291-COUNTIFS($A$5:$A$1668,$A1291,$C$5:$C$1668,$C1291)+1)/2)^2)/(COUNTIFS($A$5:$A$1668,$A1291,$C$5:$C$1668,$C1291)*($F1291-1)^3))*IF($F1291&lt;Points!$H$4,Points!$H$5,1),0)))</f>
        <v/>
      </c>
      <c r="H1291" s="11">
        <f>IF($G1291="","",COUNTIFS($B$5:$B$1668,$B1291,$G$5:$G$1668,"&gt;"&amp;$G1291)+COUNTIFS($B$4:$B1290,$B1291,$G$4:$G1290,$G1291)+1)</f>
        <v/>
      </c>
      <c r="I1291" s="11">
        <f>IF($G1291="","",IF($H1291&lt;=Points!$H$6,$G1291,0))</f>
        <v/>
      </c>
      <c r="J1291" s="11">
        <f>IF($B1291="","",IF(COUNTIF(Players!$A$2:$A$500,$B1291)=0,"Player is not on the Players tab",IF(NOT(ISNUMBER($C1291)),"Enter a gross score",IF(COUNTIFS($A$5:$A$1668,$A1291,$B$5:$B$1668,$B1291)&gt;1,"Player is listed twice this week",IF(AND($D1291&lt;&gt;"",COUNTIFS($A$5:$A$1668,$A1291,$D$5:$D$1668,$D1291)&gt;1),"Two players picked as "&amp;$D1291,IF(COUNTIFS($A$5:$A$1668,$A1291,$D$5:$D$1668,"Gross winner")=0,"Pick this week's gross winner",IF(COUNTIFS($A$5:$A$1668,$A1291,$D$5:$D$1668,"Net winner")=0,"Pick this week's net winner","OK")))))))</f>
        <v/>
      </c>
    </row>
    <row r="1292" outlineLevel="1">
      <c r="A1292" s="13" t="n">
        <v>46673</v>
      </c>
      <c r="E1292" s="11">
        <f>IF(OR($B1292="",NOT(ISNUMBER($C1292))),"",COUNTIFS($A$5:$A$1668,$A1292,$C$5:$C$1668,"&lt;"&amp;$C1292)+1)</f>
        <v/>
      </c>
      <c r="F1292" s="11">
        <f>IF(OR($B1292="",NOT(ISNUMBER($C1292))),"",COUNTIFS($A$5:$A$1668,$A1292,$C$5:$C$1668,"&gt;0"))</f>
        <v/>
      </c>
      <c r="G1292" s="11">
        <f>IF(OR($B1292="",NOT(ISNUMBER($C1292))),"",IF($D1292&lt;&gt;"",ROUND(Points!$B$6*IF($F1292&lt;Points!$H$4,Points!$H$5,1),0),ROUND(Points!$B$6*IF($F1292&lt;=1,1,Points!$H$7+(1-Points!$H$7)*((($F1292-$E1292)*(($F1292-$E1292)+1)/2)^2-((($F1292-$E1292-COUNTIFS($A$5:$A$1668,$A1292,$C$5:$C$1668,$C1292)+1)-1)*($F1292-$E1292-COUNTIFS($A$5:$A$1668,$A1292,$C$5:$C$1668,$C1292)+1)/2)^2)/(COUNTIFS($A$5:$A$1668,$A1292,$C$5:$C$1668,$C1292)*($F1292-1)^3))*IF($F1292&lt;Points!$H$4,Points!$H$5,1),0)))</f>
        <v/>
      </c>
      <c r="H1292" s="11">
        <f>IF($G1292="","",COUNTIFS($B$5:$B$1668,$B1292,$G$5:$G$1668,"&gt;"&amp;$G1292)+COUNTIFS($B$4:$B1291,$B1292,$G$4:$G1291,$G1292)+1)</f>
        <v/>
      </c>
      <c r="I1292" s="11">
        <f>IF($G1292="","",IF($H1292&lt;=Points!$H$6,$G1292,0))</f>
        <v/>
      </c>
      <c r="J1292" s="11">
        <f>IF($B1292="","",IF(COUNTIF(Players!$A$2:$A$500,$B1292)=0,"Player is not on the Players tab",IF(NOT(ISNUMBER($C1292)),"Enter a gross score",IF(COUNTIFS($A$5:$A$1668,$A1292,$B$5:$B$1668,$B1292)&gt;1,"Player is listed twice this week",IF(AND($D1292&lt;&gt;"",COUNTIFS($A$5:$A$1668,$A1292,$D$5:$D$1668,$D1292)&gt;1),"Two players picked as "&amp;$D1292,IF(COUNTIFS($A$5:$A$1668,$A1292,$D$5:$D$1668,"Gross winner")=0,"Pick this week's gross winner",IF(COUNTIFS($A$5:$A$1668,$A1292,$D$5:$D$1668,"Net winner")=0,"Pick this week's net winner","OK")))))))</f>
        <v/>
      </c>
    </row>
    <row r="1293" outlineLevel="1">
      <c r="A1293" s="13" t="n">
        <v>46673</v>
      </c>
      <c r="E1293" s="11">
        <f>IF(OR($B1293="",NOT(ISNUMBER($C1293))),"",COUNTIFS($A$5:$A$1668,$A1293,$C$5:$C$1668,"&lt;"&amp;$C1293)+1)</f>
        <v/>
      </c>
      <c r="F1293" s="11">
        <f>IF(OR($B1293="",NOT(ISNUMBER($C1293))),"",COUNTIFS($A$5:$A$1668,$A1293,$C$5:$C$1668,"&gt;0"))</f>
        <v/>
      </c>
      <c r="G1293" s="11">
        <f>IF(OR($B1293="",NOT(ISNUMBER($C1293))),"",IF($D1293&lt;&gt;"",ROUND(Points!$B$6*IF($F1293&lt;Points!$H$4,Points!$H$5,1),0),ROUND(Points!$B$6*IF($F1293&lt;=1,1,Points!$H$7+(1-Points!$H$7)*((($F1293-$E1293)*(($F1293-$E1293)+1)/2)^2-((($F1293-$E1293-COUNTIFS($A$5:$A$1668,$A1293,$C$5:$C$1668,$C1293)+1)-1)*($F1293-$E1293-COUNTIFS($A$5:$A$1668,$A1293,$C$5:$C$1668,$C1293)+1)/2)^2)/(COUNTIFS($A$5:$A$1668,$A1293,$C$5:$C$1668,$C1293)*($F1293-1)^3))*IF($F1293&lt;Points!$H$4,Points!$H$5,1),0)))</f>
        <v/>
      </c>
      <c r="H1293" s="11">
        <f>IF($G1293="","",COUNTIFS($B$5:$B$1668,$B1293,$G$5:$G$1668,"&gt;"&amp;$G1293)+COUNTIFS($B$4:$B1292,$B1293,$G$4:$G1292,$G1293)+1)</f>
        <v/>
      </c>
      <c r="I1293" s="11">
        <f>IF($G1293="","",IF($H1293&lt;=Points!$H$6,$G1293,0))</f>
        <v/>
      </c>
      <c r="J1293" s="11">
        <f>IF($B1293="","",IF(COUNTIF(Players!$A$2:$A$500,$B1293)=0,"Player is not on the Players tab",IF(NOT(ISNUMBER($C1293)),"Enter a gross score",IF(COUNTIFS($A$5:$A$1668,$A1293,$B$5:$B$1668,$B1293)&gt;1,"Player is listed twice this week",IF(AND($D1293&lt;&gt;"",COUNTIFS($A$5:$A$1668,$A1293,$D$5:$D$1668,$D1293)&gt;1),"Two players picked as "&amp;$D1293,IF(COUNTIFS($A$5:$A$1668,$A1293,$D$5:$D$1668,"Gross winner")=0,"Pick this week's gross winner",IF(COUNTIFS($A$5:$A$1668,$A1293,$D$5:$D$1668,"Net winner")=0,"Pick this week's net winner","OK")))))))</f>
        <v/>
      </c>
    </row>
    <row r="1294" outlineLevel="1">
      <c r="A1294" s="13" t="n">
        <v>46673</v>
      </c>
      <c r="E1294" s="11">
        <f>IF(OR($B1294="",NOT(ISNUMBER($C1294))),"",COUNTIFS($A$5:$A$1668,$A1294,$C$5:$C$1668,"&lt;"&amp;$C1294)+1)</f>
        <v/>
      </c>
      <c r="F1294" s="11">
        <f>IF(OR($B1294="",NOT(ISNUMBER($C1294))),"",COUNTIFS($A$5:$A$1668,$A1294,$C$5:$C$1668,"&gt;0"))</f>
        <v/>
      </c>
      <c r="G1294" s="11">
        <f>IF(OR($B1294="",NOT(ISNUMBER($C1294))),"",IF($D1294&lt;&gt;"",ROUND(Points!$B$6*IF($F1294&lt;Points!$H$4,Points!$H$5,1),0),ROUND(Points!$B$6*IF($F1294&lt;=1,1,Points!$H$7+(1-Points!$H$7)*((($F1294-$E1294)*(($F1294-$E1294)+1)/2)^2-((($F1294-$E1294-COUNTIFS($A$5:$A$1668,$A1294,$C$5:$C$1668,$C1294)+1)-1)*($F1294-$E1294-COUNTIFS($A$5:$A$1668,$A1294,$C$5:$C$1668,$C1294)+1)/2)^2)/(COUNTIFS($A$5:$A$1668,$A1294,$C$5:$C$1668,$C1294)*($F1294-1)^3))*IF($F1294&lt;Points!$H$4,Points!$H$5,1),0)))</f>
        <v/>
      </c>
      <c r="H1294" s="11">
        <f>IF($G1294="","",COUNTIFS($B$5:$B$1668,$B1294,$G$5:$G$1668,"&gt;"&amp;$G1294)+COUNTIFS($B$4:$B1293,$B1294,$G$4:$G1293,$G1294)+1)</f>
        <v/>
      </c>
      <c r="I1294" s="11">
        <f>IF($G1294="","",IF($H1294&lt;=Points!$H$6,$G1294,0))</f>
        <v/>
      </c>
      <c r="J1294" s="11">
        <f>IF($B1294="","",IF(COUNTIF(Players!$A$2:$A$500,$B1294)=0,"Player is not on the Players tab",IF(NOT(ISNUMBER($C1294)),"Enter a gross score",IF(COUNTIFS($A$5:$A$1668,$A1294,$B$5:$B$1668,$B1294)&gt;1,"Player is listed twice this week",IF(AND($D1294&lt;&gt;"",COUNTIFS($A$5:$A$1668,$A1294,$D$5:$D$1668,$D1294)&gt;1),"Two players picked as "&amp;$D1294,IF(COUNTIFS($A$5:$A$1668,$A1294,$D$5:$D$1668,"Gross winner")=0,"Pick this week's gross winner",IF(COUNTIFS($A$5:$A$1668,$A1294,$D$5:$D$1668,"Net winner")=0,"Pick this week's net winner","OK")))))))</f>
        <v/>
      </c>
    </row>
    <row r="1295" outlineLevel="1">
      <c r="A1295" s="13" t="n">
        <v>46673</v>
      </c>
      <c r="E1295" s="11">
        <f>IF(OR($B1295="",NOT(ISNUMBER($C1295))),"",COUNTIFS($A$5:$A$1668,$A1295,$C$5:$C$1668,"&lt;"&amp;$C1295)+1)</f>
        <v/>
      </c>
      <c r="F1295" s="11">
        <f>IF(OR($B1295="",NOT(ISNUMBER($C1295))),"",COUNTIFS($A$5:$A$1668,$A1295,$C$5:$C$1668,"&gt;0"))</f>
        <v/>
      </c>
      <c r="G1295" s="11">
        <f>IF(OR($B1295="",NOT(ISNUMBER($C1295))),"",IF($D1295&lt;&gt;"",ROUND(Points!$B$6*IF($F1295&lt;Points!$H$4,Points!$H$5,1),0),ROUND(Points!$B$6*IF($F1295&lt;=1,1,Points!$H$7+(1-Points!$H$7)*((($F1295-$E1295)*(($F1295-$E1295)+1)/2)^2-((($F1295-$E1295-COUNTIFS($A$5:$A$1668,$A1295,$C$5:$C$1668,$C1295)+1)-1)*($F1295-$E1295-COUNTIFS($A$5:$A$1668,$A1295,$C$5:$C$1668,$C1295)+1)/2)^2)/(COUNTIFS($A$5:$A$1668,$A1295,$C$5:$C$1668,$C1295)*($F1295-1)^3))*IF($F1295&lt;Points!$H$4,Points!$H$5,1),0)))</f>
        <v/>
      </c>
      <c r="H1295" s="11">
        <f>IF($G1295="","",COUNTIFS($B$5:$B$1668,$B1295,$G$5:$G$1668,"&gt;"&amp;$G1295)+COUNTIFS($B$4:$B1294,$B1295,$G$4:$G1294,$G1295)+1)</f>
        <v/>
      </c>
      <c r="I1295" s="11">
        <f>IF($G1295="","",IF($H1295&lt;=Points!$H$6,$G1295,0))</f>
        <v/>
      </c>
      <c r="J1295" s="11">
        <f>IF($B1295="","",IF(COUNTIF(Players!$A$2:$A$500,$B1295)=0,"Player is not on the Players tab",IF(NOT(ISNUMBER($C1295)),"Enter a gross score",IF(COUNTIFS($A$5:$A$1668,$A1295,$B$5:$B$1668,$B1295)&gt;1,"Player is listed twice this week",IF(AND($D1295&lt;&gt;"",COUNTIFS($A$5:$A$1668,$A1295,$D$5:$D$1668,$D1295)&gt;1),"Two players picked as "&amp;$D1295,IF(COUNTIFS($A$5:$A$1668,$A1295,$D$5:$D$1668,"Gross winner")=0,"Pick this week's gross winner",IF(COUNTIFS($A$5:$A$1668,$A1295,$D$5:$D$1668,"Net winner")=0,"Pick this week's net winner","OK")))))))</f>
        <v/>
      </c>
    </row>
    <row r="1296" outlineLevel="1">
      <c r="A1296" s="13" t="n">
        <v>46673</v>
      </c>
      <c r="E1296" s="11">
        <f>IF(OR($B1296="",NOT(ISNUMBER($C1296))),"",COUNTIFS($A$5:$A$1668,$A1296,$C$5:$C$1668,"&lt;"&amp;$C1296)+1)</f>
        <v/>
      </c>
      <c r="F1296" s="11">
        <f>IF(OR($B1296="",NOT(ISNUMBER($C1296))),"",COUNTIFS($A$5:$A$1668,$A1296,$C$5:$C$1668,"&gt;0"))</f>
        <v/>
      </c>
      <c r="G1296" s="11">
        <f>IF(OR($B1296="",NOT(ISNUMBER($C1296))),"",IF($D1296&lt;&gt;"",ROUND(Points!$B$6*IF($F1296&lt;Points!$H$4,Points!$H$5,1),0),ROUND(Points!$B$6*IF($F1296&lt;=1,1,Points!$H$7+(1-Points!$H$7)*((($F1296-$E1296)*(($F1296-$E1296)+1)/2)^2-((($F1296-$E1296-COUNTIFS($A$5:$A$1668,$A1296,$C$5:$C$1668,$C1296)+1)-1)*($F1296-$E1296-COUNTIFS($A$5:$A$1668,$A1296,$C$5:$C$1668,$C1296)+1)/2)^2)/(COUNTIFS($A$5:$A$1668,$A1296,$C$5:$C$1668,$C1296)*($F1296-1)^3))*IF($F1296&lt;Points!$H$4,Points!$H$5,1),0)))</f>
        <v/>
      </c>
      <c r="H1296" s="11">
        <f>IF($G1296="","",COUNTIFS($B$5:$B$1668,$B1296,$G$5:$G$1668,"&gt;"&amp;$G1296)+COUNTIFS($B$4:$B1295,$B1296,$G$4:$G1295,$G1296)+1)</f>
        <v/>
      </c>
      <c r="I1296" s="11">
        <f>IF($G1296="","",IF($H1296&lt;=Points!$H$6,$G1296,0))</f>
        <v/>
      </c>
      <c r="J1296" s="11">
        <f>IF($B1296="","",IF(COUNTIF(Players!$A$2:$A$500,$B1296)=0,"Player is not on the Players tab",IF(NOT(ISNUMBER($C1296)),"Enter a gross score",IF(COUNTIFS($A$5:$A$1668,$A1296,$B$5:$B$1668,$B1296)&gt;1,"Player is listed twice this week",IF(AND($D1296&lt;&gt;"",COUNTIFS($A$5:$A$1668,$A1296,$D$5:$D$1668,$D1296)&gt;1),"Two players picked as "&amp;$D1296,IF(COUNTIFS($A$5:$A$1668,$A1296,$D$5:$D$1668,"Gross winner")=0,"Pick this week's gross winner",IF(COUNTIFS($A$5:$A$1668,$A1296,$D$5:$D$1668,"Net winner")=0,"Pick this week's net winner","OK")))))))</f>
        <v/>
      </c>
    </row>
    <row r="1297" outlineLevel="1">
      <c r="A1297" s="13" t="n">
        <v>46673</v>
      </c>
      <c r="E1297" s="11">
        <f>IF(OR($B1297="",NOT(ISNUMBER($C1297))),"",COUNTIFS($A$5:$A$1668,$A1297,$C$5:$C$1668,"&lt;"&amp;$C1297)+1)</f>
        <v/>
      </c>
      <c r="F1297" s="11">
        <f>IF(OR($B1297="",NOT(ISNUMBER($C1297))),"",COUNTIFS($A$5:$A$1668,$A1297,$C$5:$C$1668,"&gt;0"))</f>
        <v/>
      </c>
      <c r="G1297" s="11">
        <f>IF(OR($B1297="",NOT(ISNUMBER($C1297))),"",IF($D1297&lt;&gt;"",ROUND(Points!$B$6*IF($F1297&lt;Points!$H$4,Points!$H$5,1),0),ROUND(Points!$B$6*IF($F1297&lt;=1,1,Points!$H$7+(1-Points!$H$7)*((($F1297-$E1297)*(($F1297-$E1297)+1)/2)^2-((($F1297-$E1297-COUNTIFS($A$5:$A$1668,$A1297,$C$5:$C$1668,$C1297)+1)-1)*($F1297-$E1297-COUNTIFS($A$5:$A$1668,$A1297,$C$5:$C$1668,$C1297)+1)/2)^2)/(COUNTIFS($A$5:$A$1668,$A1297,$C$5:$C$1668,$C1297)*($F1297-1)^3))*IF($F1297&lt;Points!$H$4,Points!$H$5,1),0)))</f>
        <v/>
      </c>
      <c r="H1297" s="11">
        <f>IF($G1297="","",COUNTIFS($B$5:$B$1668,$B1297,$G$5:$G$1668,"&gt;"&amp;$G1297)+COUNTIFS($B$4:$B1296,$B1297,$G$4:$G1296,$G1297)+1)</f>
        <v/>
      </c>
      <c r="I1297" s="11">
        <f>IF($G1297="","",IF($H1297&lt;=Points!$H$6,$G1297,0))</f>
        <v/>
      </c>
      <c r="J1297" s="11">
        <f>IF($B1297="","",IF(COUNTIF(Players!$A$2:$A$500,$B1297)=0,"Player is not on the Players tab",IF(NOT(ISNUMBER($C1297)),"Enter a gross score",IF(COUNTIFS($A$5:$A$1668,$A1297,$B$5:$B$1668,$B1297)&gt;1,"Player is listed twice this week",IF(AND($D1297&lt;&gt;"",COUNTIFS($A$5:$A$1668,$A1297,$D$5:$D$1668,$D1297)&gt;1),"Two players picked as "&amp;$D1297,IF(COUNTIFS($A$5:$A$1668,$A1297,$D$5:$D$1668,"Gross winner")=0,"Pick this week's gross winner",IF(COUNTIFS($A$5:$A$1668,$A1297,$D$5:$D$1668,"Net winner")=0,"Pick this week's net winner","OK")))))))</f>
        <v/>
      </c>
    </row>
    <row r="1298" outlineLevel="1">
      <c r="A1298" s="13" t="n">
        <v>46673</v>
      </c>
      <c r="E1298" s="11">
        <f>IF(OR($B1298="",NOT(ISNUMBER($C1298))),"",COUNTIFS($A$5:$A$1668,$A1298,$C$5:$C$1668,"&lt;"&amp;$C1298)+1)</f>
        <v/>
      </c>
      <c r="F1298" s="11">
        <f>IF(OR($B1298="",NOT(ISNUMBER($C1298))),"",COUNTIFS($A$5:$A$1668,$A1298,$C$5:$C$1668,"&gt;0"))</f>
        <v/>
      </c>
      <c r="G1298" s="11">
        <f>IF(OR($B1298="",NOT(ISNUMBER($C1298))),"",IF($D1298&lt;&gt;"",ROUND(Points!$B$6*IF($F1298&lt;Points!$H$4,Points!$H$5,1),0),ROUND(Points!$B$6*IF($F1298&lt;=1,1,Points!$H$7+(1-Points!$H$7)*((($F1298-$E1298)*(($F1298-$E1298)+1)/2)^2-((($F1298-$E1298-COUNTIFS($A$5:$A$1668,$A1298,$C$5:$C$1668,$C1298)+1)-1)*($F1298-$E1298-COUNTIFS($A$5:$A$1668,$A1298,$C$5:$C$1668,$C1298)+1)/2)^2)/(COUNTIFS($A$5:$A$1668,$A1298,$C$5:$C$1668,$C1298)*($F1298-1)^3))*IF($F1298&lt;Points!$H$4,Points!$H$5,1),0)))</f>
        <v/>
      </c>
      <c r="H1298" s="11">
        <f>IF($G1298="","",COUNTIFS($B$5:$B$1668,$B1298,$G$5:$G$1668,"&gt;"&amp;$G1298)+COUNTIFS($B$4:$B1297,$B1298,$G$4:$G1297,$G1298)+1)</f>
        <v/>
      </c>
      <c r="I1298" s="11">
        <f>IF($G1298="","",IF($H1298&lt;=Points!$H$6,$G1298,0))</f>
        <v/>
      </c>
      <c r="J1298" s="11">
        <f>IF($B1298="","",IF(COUNTIF(Players!$A$2:$A$500,$B1298)=0,"Player is not on the Players tab",IF(NOT(ISNUMBER($C1298)),"Enter a gross score",IF(COUNTIFS($A$5:$A$1668,$A1298,$B$5:$B$1668,$B1298)&gt;1,"Player is listed twice this week",IF(AND($D1298&lt;&gt;"",COUNTIFS($A$5:$A$1668,$A1298,$D$5:$D$1668,$D1298)&gt;1),"Two players picked as "&amp;$D1298,IF(COUNTIFS($A$5:$A$1668,$A1298,$D$5:$D$1668,"Gross winner")=0,"Pick this week's gross winner",IF(COUNTIFS($A$5:$A$1668,$A1298,$D$5:$D$1668,"Net winner")=0,"Pick this week's net winner","OK")))))))</f>
        <v/>
      </c>
    </row>
    <row r="1299" outlineLevel="1">
      <c r="A1299" s="13" t="n">
        <v>46673</v>
      </c>
      <c r="E1299" s="11">
        <f>IF(OR($B1299="",NOT(ISNUMBER($C1299))),"",COUNTIFS($A$5:$A$1668,$A1299,$C$5:$C$1668,"&lt;"&amp;$C1299)+1)</f>
        <v/>
      </c>
      <c r="F1299" s="11">
        <f>IF(OR($B1299="",NOT(ISNUMBER($C1299))),"",COUNTIFS($A$5:$A$1668,$A1299,$C$5:$C$1668,"&gt;0"))</f>
        <v/>
      </c>
      <c r="G1299" s="11">
        <f>IF(OR($B1299="",NOT(ISNUMBER($C1299))),"",IF($D1299&lt;&gt;"",ROUND(Points!$B$6*IF($F1299&lt;Points!$H$4,Points!$H$5,1),0),ROUND(Points!$B$6*IF($F1299&lt;=1,1,Points!$H$7+(1-Points!$H$7)*((($F1299-$E1299)*(($F1299-$E1299)+1)/2)^2-((($F1299-$E1299-COUNTIFS($A$5:$A$1668,$A1299,$C$5:$C$1668,$C1299)+1)-1)*($F1299-$E1299-COUNTIFS($A$5:$A$1668,$A1299,$C$5:$C$1668,$C1299)+1)/2)^2)/(COUNTIFS($A$5:$A$1668,$A1299,$C$5:$C$1668,$C1299)*($F1299-1)^3))*IF($F1299&lt;Points!$H$4,Points!$H$5,1),0)))</f>
        <v/>
      </c>
      <c r="H1299" s="11">
        <f>IF($G1299="","",COUNTIFS($B$5:$B$1668,$B1299,$G$5:$G$1668,"&gt;"&amp;$G1299)+COUNTIFS($B$4:$B1298,$B1299,$G$4:$G1298,$G1299)+1)</f>
        <v/>
      </c>
      <c r="I1299" s="11">
        <f>IF($G1299="","",IF($H1299&lt;=Points!$H$6,$G1299,0))</f>
        <v/>
      </c>
      <c r="J1299" s="11">
        <f>IF($B1299="","",IF(COUNTIF(Players!$A$2:$A$500,$B1299)=0,"Player is not on the Players tab",IF(NOT(ISNUMBER($C1299)),"Enter a gross score",IF(COUNTIFS($A$5:$A$1668,$A1299,$B$5:$B$1668,$B1299)&gt;1,"Player is listed twice this week",IF(AND($D1299&lt;&gt;"",COUNTIFS($A$5:$A$1668,$A1299,$D$5:$D$1668,$D1299)&gt;1),"Two players picked as "&amp;$D1299,IF(COUNTIFS($A$5:$A$1668,$A1299,$D$5:$D$1668,"Gross winner")=0,"Pick this week's gross winner",IF(COUNTIFS($A$5:$A$1668,$A1299,$D$5:$D$1668,"Net winner")=0,"Pick this week's net winner","OK")))))))</f>
        <v/>
      </c>
    </row>
    <row r="1300" outlineLevel="1">
      <c r="A1300" s="13" t="n">
        <v>46673</v>
      </c>
      <c r="E1300" s="11">
        <f>IF(OR($B1300="",NOT(ISNUMBER($C1300))),"",COUNTIFS($A$5:$A$1668,$A1300,$C$5:$C$1668,"&lt;"&amp;$C1300)+1)</f>
        <v/>
      </c>
      <c r="F1300" s="11">
        <f>IF(OR($B1300="",NOT(ISNUMBER($C1300))),"",COUNTIFS($A$5:$A$1668,$A1300,$C$5:$C$1668,"&gt;0"))</f>
        <v/>
      </c>
      <c r="G1300" s="11">
        <f>IF(OR($B1300="",NOT(ISNUMBER($C1300))),"",IF($D1300&lt;&gt;"",ROUND(Points!$B$6*IF($F1300&lt;Points!$H$4,Points!$H$5,1),0),ROUND(Points!$B$6*IF($F1300&lt;=1,1,Points!$H$7+(1-Points!$H$7)*((($F1300-$E1300)*(($F1300-$E1300)+1)/2)^2-((($F1300-$E1300-COUNTIFS($A$5:$A$1668,$A1300,$C$5:$C$1668,$C1300)+1)-1)*($F1300-$E1300-COUNTIFS($A$5:$A$1668,$A1300,$C$5:$C$1668,$C1300)+1)/2)^2)/(COUNTIFS($A$5:$A$1668,$A1300,$C$5:$C$1668,$C1300)*($F1300-1)^3))*IF($F1300&lt;Points!$H$4,Points!$H$5,1),0)))</f>
        <v/>
      </c>
      <c r="H1300" s="11">
        <f>IF($G1300="","",COUNTIFS($B$5:$B$1668,$B1300,$G$5:$G$1668,"&gt;"&amp;$G1300)+COUNTIFS($B$4:$B1299,$B1300,$G$4:$G1299,$G1300)+1)</f>
        <v/>
      </c>
      <c r="I1300" s="11">
        <f>IF($G1300="","",IF($H1300&lt;=Points!$H$6,$G1300,0))</f>
        <v/>
      </c>
      <c r="J1300" s="11">
        <f>IF($B1300="","",IF(COUNTIF(Players!$A$2:$A$500,$B1300)=0,"Player is not on the Players tab",IF(NOT(ISNUMBER($C1300)),"Enter a gross score",IF(COUNTIFS($A$5:$A$1668,$A1300,$B$5:$B$1668,$B1300)&gt;1,"Player is listed twice this week",IF(AND($D1300&lt;&gt;"",COUNTIFS($A$5:$A$1668,$A1300,$D$5:$D$1668,$D1300)&gt;1),"Two players picked as "&amp;$D1300,IF(COUNTIFS($A$5:$A$1668,$A1300,$D$5:$D$1668,"Gross winner")=0,"Pick this week's gross winner",IF(COUNTIFS($A$5:$A$1668,$A1300,$D$5:$D$1668,"Net winner")=0,"Pick this week's net winner","OK")))))))</f>
        <v/>
      </c>
    </row>
    <row r="1301" outlineLevel="1">
      <c r="A1301" s="13" t="n">
        <v>46673</v>
      </c>
      <c r="E1301" s="11">
        <f>IF(OR($B1301="",NOT(ISNUMBER($C1301))),"",COUNTIFS($A$5:$A$1668,$A1301,$C$5:$C$1668,"&lt;"&amp;$C1301)+1)</f>
        <v/>
      </c>
      <c r="F1301" s="11">
        <f>IF(OR($B1301="",NOT(ISNUMBER($C1301))),"",COUNTIFS($A$5:$A$1668,$A1301,$C$5:$C$1668,"&gt;0"))</f>
        <v/>
      </c>
      <c r="G1301" s="11">
        <f>IF(OR($B1301="",NOT(ISNUMBER($C1301))),"",IF($D1301&lt;&gt;"",ROUND(Points!$B$6*IF($F1301&lt;Points!$H$4,Points!$H$5,1),0),ROUND(Points!$B$6*IF($F1301&lt;=1,1,Points!$H$7+(1-Points!$H$7)*((($F1301-$E1301)*(($F1301-$E1301)+1)/2)^2-((($F1301-$E1301-COUNTIFS($A$5:$A$1668,$A1301,$C$5:$C$1668,$C1301)+1)-1)*($F1301-$E1301-COUNTIFS($A$5:$A$1668,$A1301,$C$5:$C$1668,$C1301)+1)/2)^2)/(COUNTIFS($A$5:$A$1668,$A1301,$C$5:$C$1668,$C1301)*($F1301-1)^3))*IF($F1301&lt;Points!$H$4,Points!$H$5,1),0)))</f>
        <v/>
      </c>
      <c r="H1301" s="11">
        <f>IF($G1301="","",COUNTIFS($B$5:$B$1668,$B1301,$G$5:$G$1668,"&gt;"&amp;$G1301)+COUNTIFS($B$4:$B1300,$B1301,$G$4:$G1300,$G1301)+1)</f>
        <v/>
      </c>
      <c r="I1301" s="11">
        <f>IF($G1301="","",IF($H1301&lt;=Points!$H$6,$G1301,0))</f>
        <v/>
      </c>
      <c r="J1301" s="11">
        <f>IF($B1301="","",IF(COUNTIF(Players!$A$2:$A$500,$B1301)=0,"Player is not on the Players tab",IF(NOT(ISNUMBER($C1301)),"Enter a gross score",IF(COUNTIFS($A$5:$A$1668,$A1301,$B$5:$B$1668,$B1301)&gt;1,"Player is listed twice this week",IF(AND($D1301&lt;&gt;"",COUNTIFS($A$5:$A$1668,$A1301,$D$5:$D$1668,$D1301)&gt;1),"Two players picked as "&amp;$D1301,IF(COUNTIFS($A$5:$A$1668,$A1301,$D$5:$D$1668,"Gross winner")=0,"Pick this week's gross winner",IF(COUNTIFS($A$5:$A$1668,$A1301,$D$5:$D$1668,"Net winner")=0,"Pick this week's net winner","OK")))))))</f>
        <v/>
      </c>
    </row>
    <row r="1302" outlineLevel="1">
      <c r="A1302" s="13" t="n">
        <v>46673</v>
      </c>
      <c r="E1302" s="11">
        <f>IF(OR($B1302="",NOT(ISNUMBER($C1302))),"",COUNTIFS($A$5:$A$1668,$A1302,$C$5:$C$1668,"&lt;"&amp;$C1302)+1)</f>
        <v/>
      </c>
      <c r="F1302" s="11">
        <f>IF(OR($B1302="",NOT(ISNUMBER($C1302))),"",COUNTIFS($A$5:$A$1668,$A1302,$C$5:$C$1668,"&gt;0"))</f>
        <v/>
      </c>
      <c r="G1302" s="11">
        <f>IF(OR($B1302="",NOT(ISNUMBER($C1302))),"",IF($D1302&lt;&gt;"",ROUND(Points!$B$6*IF($F1302&lt;Points!$H$4,Points!$H$5,1),0),ROUND(Points!$B$6*IF($F1302&lt;=1,1,Points!$H$7+(1-Points!$H$7)*((($F1302-$E1302)*(($F1302-$E1302)+1)/2)^2-((($F1302-$E1302-COUNTIFS($A$5:$A$1668,$A1302,$C$5:$C$1668,$C1302)+1)-1)*($F1302-$E1302-COUNTIFS($A$5:$A$1668,$A1302,$C$5:$C$1668,$C1302)+1)/2)^2)/(COUNTIFS($A$5:$A$1668,$A1302,$C$5:$C$1668,$C1302)*($F1302-1)^3))*IF($F1302&lt;Points!$H$4,Points!$H$5,1),0)))</f>
        <v/>
      </c>
      <c r="H1302" s="11">
        <f>IF($G1302="","",COUNTIFS($B$5:$B$1668,$B1302,$G$5:$G$1668,"&gt;"&amp;$G1302)+COUNTIFS($B$4:$B1301,$B1302,$G$4:$G1301,$G1302)+1)</f>
        <v/>
      </c>
      <c r="I1302" s="11">
        <f>IF($G1302="","",IF($H1302&lt;=Points!$H$6,$G1302,0))</f>
        <v/>
      </c>
      <c r="J1302" s="11">
        <f>IF($B1302="","",IF(COUNTIF(Players!$A$2:$A$500,$B1302)=0,"Player is not on the Players tab",IF(NOT(ISNUMBER($C1302)),"Enter a gross score",IF(COUNTIFS($A$5:$A$1668,$A1302,$B$5:$B$1668,$B1302)&gt;1,"Player is listed twice this week",IF(AND($D1302&lt;&gt;"",COUNTIFS($A$5:$A$1668,$A1302,$D$5:$D$1668,$D1302)&gt;1),"Two players picked as "&amp;$D1302,IF(COUNTIFS($A$5:$A$1668,$A1302,$D$5:$D$1668,"Gross winner")=0,"Pick this week's gross winner",IF(COUNTIFS($A$5:$A$1668,$A1302,$D$5:$D$1668,"Net winner")=0,"Pick this week's net winner","OK")))))))</f>
        <v/>
      </c>
    </row>
    <row r="1303" outlineLevel="1">
      <c r="A1303" s="13" t="n">
        <v>46673</v>
      </c>
      <c r="E1303" s="11">
        <f>IF(OR($B1303="",NOT(ISNUMBER($C1303))),"",COUNTIFS($A$5:$A$1668,$A1303,$C$5:$C$1668,"&lt;"&amp;$C1303)+1)</f>
        <v/>
      </c>
      <c r="F1303" s="11">
        <f>IF(OR($B1303="",NOT(ISNUMBER($C1303))),"",COUNTIFS($A$5:$A$1668,$A1303,$C$5:$C$1668,"&gt;0"))</f>
        <v/>
      </c>
      <c r="G1303" s="11">
        <f>IF(OR($B1303="",NOT(ISNUMBER($C1303))),"",IF($D1303&lt;&gt;"",ROUND(Points!$B$6*IF($F1303&lt;Points!$H$4,Points!$H$5,1),0),ROUND(Points!$B$6*IF($F1303&lt;=1,1,Points!$H$7+(1-Points!$H$7)*((($F1303-$E1303)*(($F1303-$E1303)+1)/2)^2-((($F1303-$E1303-COUNTIFS($A$5:$A$1668,$A1303,$C$5:$C$1668,$C1303)+1)-1)*($F1303-$E1303-COUNTIFS($A$5:$A$1668,$A1303,$C$5:$C$1668,$C1303)+1)/2)^2)/(COUNTIFS($A$5:$A$1668,$A1303,$C$5:$C$1668,$C1303)*($F1303-1)^3))*IF($F1303&lt;Points!$H$4,Points!$H$5,1),0)))</f>
        <v/>
      </c>
      <c r="H1303" s="11">
        <f>IF($G1303="","",COUNTIFS($B$5:$B$1668,$B1303,$G$5:$G$1668,"&gt;"&amp;$G1303)+COUNTIFS($B$4:$B1302,$B1303,$G$4:$G1302,$G1303)+1)</f>
        <v/>
      </c>
      <c r="I1303" s="11">
        <f>IF($G1303="","",IF($H1303&lt;=Points!$H$6,$G1303,0))</f>
        <v/>
      </c>
      <c r="J1303" s="11">
        <f>IF($B1303="","",IF(COUNTIF(Players!$A$2:$A$500,$B1303)=0,"Player is not on the Players tab",IF(NOT(ISNUMBER($C1303)),"Enter a gross score",IF(COUNTIFS($A$5:$A$1668,$A1303,$B$5:$B$1668,$B1303)&gt;1,"Player is listed twice this week",IF(AND($D1303&lt;&gt;"",COUNTIFS($A$5:$A$1668,$A1303,$D$5:$D$1668,$D1303)&gt;1),"Two players picked as "&amp;$D1303,IF(COUNTIFS($A$5:$A$1668,$A1303,$D$5:$D$1668,"Gross winner")=0,"Pick this week's gross winner",IF(COUNTIFS($A$5:$A$1668,$A1303,$D$5:$D$1668,"Net winner")=0,"Pick this week's net winner","OK")))))))</f>
        <v/>
      </c>
    </row>
    <row r="1304" outlineLevel="1">
      <c r="A1304" s="13" t="n">
        <v>46673</v>
      </c>
      <c r="E1304" s="11">
        <f>IF(OR($B1304="",NOT(ISNUMBER($C1304))),"",COUNTIFS($A$5:$A$1668,$A1304,$C$5:$C$1668,"&lt;"&amp;$C1304)+1)</f>
        <v/>
      </c>
      <c r="F1304" s="11">
        <f>IF(OR($B1304="",NOT(ISNUMBER($C1304))),"",COUNTIFS($A$5:$A$1668,$A1304,$C$5:$C$1668,"&gt;0"))</f>
        <v/>
      </c>
      <c r="G1304" s="11">
        <f>IF(OR($B1304="",NOT(ISNUMBER($C1304))),"",IF($D1304&lt;&gt;"",ROUND(Points!$B$6*IF($F1304&lt;Points!$H$4,Points!$H$5,1),0),ROUND(Points!$B$6*IF($F1304&lt;=1,1,Points!$H$7+(1-Points!$H$7)*((($F1304-$E1304)*(($F1304-$E1304)+1)/2)^2-((($F1304-$E1304-COUNTIFS($A$5:$A$1668,$A1304,$C$5:$C$1668,$C1304)+1)-1)*($F1304-$E1304-COUNTIFS($A$5:$A$1668,$A1304,$C$5:$C$1668,$C1304)+1)/2)^2)/(COUNTIFS($A$5:$A$1668,$A1304,$C$5:$C$1668,$C1304)*($F1304-1)^3))*IF($F1304&lt;Points!$H$4,Points!$H$5,1),0)))</f>
        <v/>
      </c>
      <c r="H1304" s="11">
        <f>IF($G1304="","",COUNTIFS($B$5:$B$1668,$B1304,$G$5:$G$1668,"&gt;"&amp;$G1304)+COUNTIFS($B$4:$B1303,$B1304,$G$4:$G1303,$G1304)+1)</f>
        <v/>
      </c>
      <c r="I1304" s="11">
        <f>IF($G1304="","",IF($H1304&lt;=Points!$H$6,$G1304,0))</f>
        <v/>
      </c>
      <c r="J1304" s="11">
        <f>IF($B1304="","",IF(COUNTIF(Players!$A$2:$A$500,$B1304)=0,"Player is not on the Players tab",IF(NOT(ISNUMBER($C1304)),"Enter a gross score",IF(COUNTIFS($A$5:$A$1668,$A1304,$B$5:$B$1668,$B1304)&gt;1,"Player is listed twice this week",IF(AND($D1304&lt;&gt;"",COUNTIFS($A$5:$A$1668,$A1304,$D$5:$D$1668,$D1304)&gt;1),"Two players picked as "&amp;$D1304,IF(COUNTIFS($A$5:$A$1668,$A1304,$D$5:$D$1668,"Gross winner")=0,"Pick this week's gross winner",IF(COUNTIFS($A$5:$A$1668,$A1304,$D$5:$D$1668,"Net winner")=0,"Pick this week's net winner","OK")))))))</f>
        <v/>
      </c>
    </row>
    <row r="1305" outlineLevel="1">
      <c r="A1305" s="13" t="n">
        <v>46673</v>
      </c>
      <c r="E1305" s="11">
        <f>IF(OR($B1305="",NOT(ISNUMBER($C1305))),"",COUNTIFS($A$5:$A$1668,$A1305,$C$5:$C$1668,"&lt;"&amp;$C1305)+1)</f>
        <v/>
      </c>
      <c r="F1305" s="11">
        <f>IF(OR($B1305="",NOT(ISNUMBER($C1305))),"",COUNTIFS($A$5:$A$1668,$A1305,$C$5:$C$1668,"&gt;0"))</f>
        <v/>
      </c>
      <c r="G1305" s="11">
        <f>IF(OR($B1305="",NOT(ISNUMBER($C1305))),"",IF($D1305&lt;&gt;"",ROUND(Points!$B$6*IF($F1305&lt;Points!$H$4,Points!$H$5,1),0),ROUND(Points!$B$6*IF($F1305&lt;=1,1,Points!$H$7+(1-Points!$H$7)*((($F1305-$E1305)*(($F1305-$E1305)+1)/2)^2-((($F1305-$E1305-COUNTIFS($A$5:$A$1668,$A1305,$C$5:$C$1668,$C1305)+1)-1)*($F1305-$E1305-COUNTIFS($A$5:$A$1668,$A1305,$C$5:$C$1668,$C1305)+1)/2)^2)/(COUNTIFS($A$5:$A$1668,$A1305,$C$5:$C$1668,$C1305)*($F1305-1)^3))*IF($F1305&lt;Points!$H$4,Points!$H$5,1),0)))</f>
        <v/>
      </c>
      <c r="H1305" s="11">
        <f>IF($G1305="","",COUNTIFS($B$5:$B$1668,$B1305,$G$5:$G$1668,"&gt;"&amp;$G1305)+COUNTIFS($B$4:$B1304,$B1305,$G$4:$G1304,$G1305)+1)</f>
        <v/>
      </c>
      <c r="I1305" s="11">
        <f>IF($G1305="","",IF($H1305&lt;=Points!$H$6,$G1305,0))</f>
        <v/>
      </c>
      <c r="J1305" s="11">
        <f>IF($B1305="","",IF(COUNTIF(Players!$A$2:$A$500,$B1305)=0,"Player is not on the Players tab",IF(NOT(ISNUMBER($C1305)),"Enter a gross score",IF(COUNTIFS($A$5:$A$1668,$A1305,$B$5:$B$1668,$B1305)&gt;1,"Player is listed twice this week",IF(AND($D1305&lt;&gt;"",COUNTIFS($A$5:$A$1668,$A1305,$D$5:$D$1668,$D1305)&gt;1),"Two players picked as "&amp;$D1305,IF(COUNTIFS($A$5:$A$1668,$A1305,$D$5:$D$1668,"Gross winner")=0,"Pick this week's gross winner",IF(COUNTIFS($A$5:$A$1668,$A1305,$D$5:$D$1668,"Net winner")=0,"Pick this week's net winner","OK")))))))</f>
        <v/>
      </c>
    </row>
    <row r="1306" outlineLevel="1">
      <c r="A1306" s="13" t="n">
        <v>46673</v>
      </c>
      <c r="E1306" s="11">
        <f>IF(OR($B1306="",NOT(ISNUMBER($C1306))),"",COUNTIFS($A$5:$A$1668,$A1306,$C$5:$C$1668,"&lt;"&amp;$C1306)+1)</f>
        <v/>
      </c>
      <c r="F1306" s="11">
        <f>IF(OR($B1306="",NOT(ISNUMBER($C1306))),"",COUNTIFS($A$5:$A$1668,$A1306,$C$5:$C$1668,"&gt;0"))</f>
        <v/>
      </c>
      <c r="G1306" s="11">
        <f>IF(OR($B1306="",NOT(ISNUMBER($C1306))),"",IF($D1306&lt;&gt;"",ROUND(Points!$B$6*IF($F1306&lt;Points!$H$4,Points!$H$5,1),0),ROUND(Points!$B$6*IF($F1306&lt;=1,1,Points!$H$7+(1-Points!$H$7)*((($F1306-$E1306)*(($F1306-$E1306)+1)/2)^2-((($F1306-$E1306-COUNTIFS($A$5:$A$1668,$A1306,$C$5:$C$1668,$C1306)+1)-1)*($F1306-$E1306-COUNTIFS($A$5:$A$1668,$A1306,$C$5:$C$1668,$C1306)+1)/2)^2)/(COUNTIFS($A$5:$A$1668,$A1306,$C$5:$C$1668,$C1306)*($F1306-1)^3))*IF($F1306&lt;Points!$H$4,Points!$H$5,1),0)))</f>
        <v/>
      </c>
      <c r="H1306" s="11">
        <f>IF($G1306="","",COUNTIFS($B$5:$B$1668,$B1306,$G$5:$G$1668,"&gt;"&amp;$G1306)+COUNTIFS($B$4:$B1305,$B1306,$G$4:$G1305,$G1306)+1)</f>
        <v/>
      </c>
      <c r="I1306" s="11">
        <f>IF($G1306="","",IF($H1306&lt;=Points!$H$6,$G1306,0))</f>
        <v/>
      </c>
      <c r="J1306" s="11">
        <f>IF($B1306="","",IF(COUNTIF(Players!$A$2:$A$500,$B1306)=0,"Player is not on the Players tab",IF(NOT(ISNUMBER($C1306)),"Enter a gross score",IF(COUNTIFS($A$5:$A$1668,$A1306,$B$5:$B$1668,$B1306)&gt;1,"Player is listed twice this week",IF(AND($D1306&lt;&gt;"",COUNTIFS($A$5:$A$1668,$A1306,$D$5:$D$1668,$D1306)&gt;1),"Two players picked as "&amp;$D1306,IF(COUNTIFS($A$5:$A$1668,$A1306,$D$5:$D$1668,"Gross winner")=0,"Pick this week's gross winner",IF(COUNTIFS($A$5:$A$1668,$A1306,$D$5:$D$1668,"Net winner")=0,"Pick this week's net winner","OK")))))))</f>
        <v/>
      </c>
    </row>
    <row r="1307" outlineLevel="1">
      <c r="A1307" s="13" t="n">
        <v>46673</v>
      </c>
      <c r="E1307" s="11">
        <f>IF(OR($B1307="",NOT(ISNUMBER($C1307))),"",COUNTIFS($A$5:$A$1668,$A1307,$C$5:$C$1668,"&lt;"&amp;$C1307)+1)</f>
        <v/>
      </c>
      <c r="F1307" s="11">
        <f>IF(OR($B1307="",NOT(ISNUMBER($C1307))),"",COUNTIFS($A$5:$A$1668,$A1307,$C$5:$C$1668,"&gt;0"))</f>
        <v/>
      </c>
      <c r="G1307" s="11">
        <f>IF(OR($B1307="",NOT(ISNUMBER($C1307))),"",IF($D1307&lt;&gt;"",ROUND(Points!$B$6*IF($F1307&lt;Points!$H$4,Points!$H$5,1),0),ROUND(Points!$B$6*IF($F1307&lt;=1,1,Points!$H$7+(1-Points!$H$7)*((($F1307-$E1307)*(($F1307-$E1307)+1)/2)^2-((($F1307-$E1307-COUNTIFS($A$5:$A$1668,$A1307,$C$5:$C$1668,$C1307)+1)-1)*($F1307-$E1307-COUNTIFS($A$5:$A$1668,$A1307,$C$5:$C$1668,$C1307)+1)/2)^2)/(COUNTIFS($A$5:$A$1668,$A1307,$C$5:$C$1668,$C1307)*($F1307-1)^3))*IF($F1307&lt;Points!$H$4,Points!$H$5,1),0)))</f>
        <v/>
      </c>
      <c r="H1307" s="11">
        <f>IF($G1307="","",COUNTIFS($B$5:$B$1668,$B1307,$G$5:$G$1668,"&gt;"&amp;$G1307)+COUNTIFS($B$4:$B1306,$B1307,$G$4:$G1306,$G1307)+1)</f>
        <v/>
      </c>
      <c r="I1307" s="11">
        <f>IF($G1307="","",IF($H1307&lt;=Points!$H$6,$G1307,0))</f>
        <v/>
      </c>
      <c r="J1307" s="11">
        <f>IF($B1307="","",IF(COUNTIF(Players!$A$2:$A$500,$B1307)=0,"Player is not on the Players tab",IF(NOT(ISNUMBER($C1307)),"Enter a gross score",IF(COUNTIFS($A$5:$A$1668,$A1307,$B$5:$B$1668,$B1307)&gt;1,"Player is listed twice this week",IF(AND($D1307&lt;&gt;"",COUNTIFS($A$5:$A$1668,$A1307,$D$5:$D$1668,$D1307)&gt;1),"Two players picked as "&amp;$D1307,IF(COUNTIFS($A$5:$A$1668,$A1307,$D$5:$D$1668,"Gross winner")=0,"Pick this week's gross winner",IF(COUNTIFS($A$5:$A$1668,$A1307,$D$5:$D$1668,"Net winner")=0,"Pick this week's net winner","OK")))))))</f>
        <v/>
      </c>
    </row>
    <row r="1308" outlineLevel="1">
      <c r="A1308" s="13" t="n">
        <v>46673</v>
      </c>
      <c r="E1308" s="11">
        <f>IF(OR($B1308="",NOT(ISNUMBER($C1308))),"",COUNTIFS($A$5:$A$1668,$A1308,$C$5:$C$1668,"&lt;"&amp;$C1308)+1)</f>
        <v/>
      </c>
      <c r="F1308" s="11">
        <f>IF(OR($B1308="",NOT(ISNUMBER($C1308))),"",COUNTIFS($A$5:$A$1668,$A1308,$C$5:$C$1668,"&gt;0"))</f>
        <v/>
      </c>
      <c r="G1308" s="11">
        <f>IF(OR($B1308="",NOT(ISNUMBER($C1308))),"",IF($D1308&lt;&gt;"",ROUND(Points!$B$6*IF($F1308&lt;Points!$H$4,Points!$H$5,1),0),ROUND(Points!$B$6*IF($F1308&lt;=1,1,Points!$H$7+(1-Points!$H$7)*((($F1308-$E1308)*(($F1308-$E1308)+1)/2)^2-((($F1308-$E1308-COUNTIFS($A$5:$A$1668,$A1308,$C$5:$C$1668,$C1308)+1)-1)*($F1308-$E1308-COUNTIFS($A$5:$A$1668,$A1308,$C$5:$C$1668,$C1308)+1)/2)^2)/(COUNTIFS($A$5:$A$1668,$A1308,$C$5:$C$1668,$C1308)*($F1308-1)^3))*IF($F1308&lt;Points!$H$4,Points!$H$5,1),0)))</f>
        <v/>
      </c>
      <c r="H1308" s="11">
        <f>IF($G1308="","",COUNTIFS($B$5:$B$1668,$B1308,$G$5:$G$1668,"&gt;"&amp;$G1308)+COUNTIFS($B$4:$B1307,$B1308,$G$4:$G1307,$G1308)+1)</f>
        <v/>
      </c>
      <c r="I1308" s="11">
        <f>IF($G1308="","",IF($H1308&lt;=Points!$H$6,$G1308,0))</f>
        <v/>
      </c>
      <c r="J1308" s="11">
        <f>IF($B1308="","",IF(COUNTIF(Players!$A$2:$A$500,$B1308)=0,"Player is not on the Players tab",IF(NOT(ISNUMBER($C1308)),"Enter a gross score",IF(COUNTIFS($A$5:$A$1668,$A1308,$B$5:$B$1668,$B1308)&gt;1,"Player is listed twice this week",IF(AND($D1308&lt;&gt;"",COUNTIFS($A$5:$A$1668,$A1308,$D$5:$D$1668,$D1308)&gt;1),"Two players picked as "&amp;$D1308,IF(COUNTIFS($A$5:$A$1668,$A1308,$D$5:$D$1668,"Gross winner")=0,"Pick this week's gross winner",IF(COUNTIFS($A$5:$A$1668,$A1308,$D$5:$D$1668,"Net winner")=0,"Pick this week's net winner","OK")))))))</f>
        <v/>
      </c>
    </row>
    <row r="1309" outlineLevel="1">
      <c r="A1309" s="13" t="n">
        <v>46673</v>
      </c>
      <c r="E1309" s="11">
        <f>IF(OR($B1309="",NOT(ISNUMBER($C1309))),"",COUNTIFS($A$5:$A$1668,$A1309,$C$5:$C$1668,"&lt;"&amp;$C1309)+1)</f>
        <v/>
      </c>
      <c r="F1309" s="11">
        <f>IF(OR($B1309="",NOT(ISNUMBER($C1309))),"",COUNTIFS($A$5:$A$1668,$A1309,$C$5:$C$1668,"&gt;0"))</f>
        <v/>
      </c>
      <c r="G1309" s="11">
        <f>IF(OR($B1309="",NOT(ISNUMBER($C1309))),"",IF($D1309&lt;&gt;"",ROUND(Points!$B$6*IF($F1309&lt;Points!$H$4,Points!$H$5,1),0),ROUND(Points!$B$6*IF($F1309&lt;=1,1,Points!$H$7+(1-Points!$H$7)*((($F1309-$E1309)*(($F1309-$E1309)+1)/2)^2-((($F1309-$E1309-COUNTIFS($A$5:$A$1668,$A1309,$C$5:$C$1668,$C1309)+1)-1)*($F1309-$E1309-COUNTIFS($A$5:$A$1668,$A1309,$C$5:$C$1668,$C1309)+1)/2)^2)/(COUNTIFS($A$5:$A$1668,$A1309,$C$5:$C$1668,$C1309)*($F1309-1)^3))*IF($F1309&lt;Points!$H$4,Points!$H$5,1),0)))</f>
        <v/>
      </c>
      <c r="H1309" s="11">
        <f>IF($G1309="","",COUNTIFS($B$5:$B$1668,$B1309,$G$5:$G$1668,"&gt;"&amp;$G1309)+COUNTIFS($B$4:$B1308,$B1309,$G$4:$G1308,$G1309)+1)</f>
        <v/>
      </c>
      <c r="I1309" s="11">
        <f>IF($G1309="","",IF($H1309&lt;=Points!$H$6,$G1309,0))</f>
        <v/>
      </c>
      <c r="J1309" s="11">
        <f>IF($B1309="","",IF(COUNTIF(Players!$A$2:$A$500,$B1309)=0,"Player is not on the Players tab",IF(NOT(ISNUMBER($C1309)),"Enter a gross score",IF(COUNTIFS($A$5:$A$1668,$A1309,$B$5:$B$1668,$B1309)&gt;1,"Player is listed twice this week",IF(AND($D1309&lt;&gt;"",COUNTIFS($A$5:$A$1668,$A1309,$D$5:$D$1668,$D1309)&gt;1),"Two players picked as "&amp;$D1309,IF(COUNTIFS($A$5:$A$1668,$A1309,$D$5:$D$1668,"Gross winner")=0,"Pick this week's gross winner",IF(COUNTIFS($A$5:$A$1668,$A1309,$D$5:$D$1668,"Net winner")=0,"Pick this week's net winner","OK")))))))</f>
        <v/>
      </c>
    </row>
    <row r="1310" outlineLevel="1">
      <c r="A1310" s="13" t="n">
        <v>46673</v>
      </c>
      <c r="E1310" s="11">
        <f>IF(OR($B1310="",NOT(ISNUMBER($C1310))),"",COUNTIFS($A$5:$A$1668,$A1310,$C$5:$C$1668,"&lt;"&amp;$C1310)+1)</f>
        <v/>
      </c>
      <c r="F1310" s="11">
        <f>IF(OR($B1310="",NOT(ISNUMBER($C1310))),"",COUNTIFS($A$5:$A$1668,$A1310,$C$5:$C$1668,"&gt;0"))</f>
        <v/>
      </c>
      <c r="G1310" s="11">
        <f>IF(OR($B1310="",NOT(ISNUMBER($C1310))),"",IF($D1310&lt;&gt;"",ROUND(Points!$B$6*IF($F1310&lt;Points!$H$4,Points!$H$5,1),0),ROUND(Points!$B$6*IF($F1310&lt;=1,1,Points!$H$7+(1-Points!$H$7)*((($F1310-$E1310)*(($F1310-$E1310)+1)/2)^2-((($F1310-$E1310-COUNTIFS($A$5:$A$1668,$A1310,$C$5:$C$1668,$C1310)+1)-1)*($F1310-$E1310-COUNTIFS($A$5:$A$1668,$A1310,$C$5:$C$1668,$C1310)+1)/2)^2)/(COUNTIFS($A$5:$A$1668,$A1310,$C$5:$C$1668,$C1310)*($F1310-1)^3))*IF($F1310&lt;Points!$H$4,Points!$H$5,1),0)))</f>
        <v/>
      </c>
      <c r="H1310" s="11">
        <f>IF($G1310="","",COUNTIFS($B$5:$B$1668,$B1310,$G$5:$G$1668,"&gt;"&amp;$G1310)+COUNTIFS($B$4:$B1309,$B1310,$G$4:$G1309,$G1310)+1)</f>
        <v/>
      </c>
      <c r="I1310" s="11">
        <f>IF($G1310="","",IF($H1310&lt;=Points!$H$6,$G1310,0))</f>
        <v/>
      </c>
      <c r="J1310" s="11">
        <f>IF($B1310="","",IF(COUNTIF(Players!$A$2:$A$500,$B1310)=0,"Player is not on the Players tab",IF(NOT(ISNUMBER($C1310)),"Enter a gross score",IF(COUNTIFS($A$5:$A$1668,$A1310,$B$5:$B$1668,$B1310)&gt;1,"Player is listed twice this week",IF(AND($D1310&lt;&gt;"",COUNTIFS($A$5:$A$1668,$A1310,$D$5:$D$1668,$D1310)&gt;1),"Two players picked as "&amp;$D1310,IF(COUNTIFS($A$5:$A$1668,$A1310,$D$5:$D$1668,"Gross winner")=0,"Pick this week's gross winner",IF(COUNTIFS($A$5:$A$1668,$A1310,$D$5:$D$1668,"Net winner")=0,"Pick this week's net winner","OK")))))))</f>
        <v/>
      </c>
    </row>
    <row r="1311" outlineLevel="1">
      <c r="A1311" s="13" t="n">
        <v>46673</v>
      </c>
      <c r="E1311" s="11">
        <f>IF(OR($B1311="",NOT(ISNUMBER($C1311))),"",COUNTIFS($A$5:$A$1668,$A1311,$C$5:$C$1668,"&lt;"&amp;$C1311)+1)</f>
        <v/>
      </c>
      <c r="F1311" s="11">
        <f>IF(OR($B1311="",NOT(ISNUMBER($C1311))),"",COUNTIFS($A$5:$A$1668,$A1311,$C$5:$C$1668,"&gt;0"))</f>
        <v/>
      </c>
      <c r="G1311" s="11">
        <f>IF(OR($B1311="",NOT(ISNUMBER($C1311))),"",IF($D1311&lt;&gt;"",ROUND(Points!$B$6*IF($F1311&lt;Points!$H$4,Points!$H$5,1),0),ROUND(Points!$B$6*IF($F1311&lt;=1,1,Points!$H$7+(1-Points!$H$7)*((($F1311-$E1311)*(($F1311-$E1311)+1)/2)^2-((($F1311-$E1311-COUNTIFS($A$5:$A$1668,$A1311,$C$5:$C$1668,$C1311)+1)-1)*($F1311-$E1311-COUNTIFS($A$5:$A$1668,$A1311,$C$5:$C$1668,$C1311)+1)/2)^2)/(COUNTIFS($A$5:$A$1668,$A1311,$C$5:$C$1668,$C1311)*($F1311-1)^3))*IF($F1311&lt;Points!$H$4,Points!$H$5,1),0)))</f>
        <v/>
      </c>
      <c r="H1311" s="11">
        <f>IF($G1311="","",COUNTIFS($B$5:$B$1668,$B1311,$G$5:$G$1668,"&gt;"&amp;$G1311)+COUNTIFS($B$4:$B1310,$B1311,$G$4:$G1310,$G1311)+1)</f>
        <v/>
      </c>
      <c r="I1311" s="11">
        <f>IF($G1311="","",IF($H1311&lt;=Points!$H$6,$G1311,0))</f>
        <v/>
      </c>
      <c r="J1311" s="11">
        <f>IF($B1311="","",IF(COUNTIF(Players!$A$2:$A$500,$B1311)=0,"Player is not on the Players tab",IF(NOT(ISNUMBER($C1311)),"Enter a gross score",IF(COUNTIFS($A$5:$A$1668,$A1311,$B$5:$B$1668,$B1311)&gt;1,"Player is listed twice this week",IF(AND($D1311&lt;&gt;"",COUNTIFS($A$5:$A$1668,$A1311,$D$5:$D$1668,$D1311)&gt;1),"Two players picked as "&amp;$D1311,IF(COUNTIFS($A$5:$A$1668,$A1311,$D$5:$D$1668,"Gross winner")=0,"Pick this week's gross winner",IF(COUNTIFS($A$5:$A$1668,$A1311,$D$5:$D$1668,"Net winner")=0,"Pick this week's net winner","OK")))))))</f>
        <v/>
      </c>
    </row>
    <row r="1312" outlineLevel="1">
      <c r="A1312" s="13" t="n">
        <v>46673</v>
      </c>
      <c r="E1312" s="11">
        <f>IF(OR($B1312="",NOT(ISNUMBER($C1312))),"",COUNTIFS($A$5:$A$1668,$A1312,$C$5:$C$1668,"&lt;"&amp;$C1312)+1)</f>
        <v/>
      </c>
      <c r="F1312" s="11">
        <f>IF(OR($B1312="",NOT(ISNUMBER($C1312))),"",COUNTIFS($A$5:$A$1668,$A1312,$C$5:$C$1668,"&gt;0"))</f>
        <v/>
      </c>
      <c r="G1312" s="11">
        <f>IF(OR($B1312="",NOT(ISNUMBER($C1312))),"",IF($D1312&lt;&gt;"",ROUND(Points!$B$6*IF($F1312&lt;Points!$H$4,Points!$H$5,1),0),ROUND(Points!$B$6*IF($F1312&lt;=1,1,Points!$H$7+(1-Points!$H$7)*((($F1312-$E1312)*(($F1312-$E1312)+1)/2)^2-((($F1312-$E1312-COUNTIFS($A$5:$A$1668,$A1312,$C$5:$C$1668,$C1312)+1)-1)*($F1312-$E1312-COUNTIFS($A$5:$A$1668,$A1312,$C$5:$C$1668,$C1312)+1)/2)^2)/(COUNTIFS($A$5:$A$1668,$A1312,$C$5:$C$1668,$C1312)*($F1312-1)^3))*IF($F1312&lt;Points!$H$4,Points!$H$5,1),0)))</f>
        <v/>
      </c>
      <c r="H1312" s="11">
        <f>IF($G1312="","",COUNTIFS($B$5:$B$1668,$B1312,$G$5:$G$1668,"&gt;"&amp;$G1312)+COUNTIFS($B$4:$B1311,$B1312,$G$4:$G1311,$G1312)+1)</f>
        <v/>
      </c>
      <c r="I1312" s="11">
        <f>IF($G1312="","",IF($H1312&lt;=Points!$H$6,$G1312,0))</f>
        <v/>
      </c>
      <c r="J1312" s="11">
        <f>IF($B1312="","",IF(COUNTIF(Players!$A$2:$A$500,$B1312)=0,"Player is not on the Players tab",IF(NOT(ISNUMBER($C1312)),"Enter a gross score",IF(COUNTIFS($A$5:$A$1668,$A1312,$B$5:$B$1668,$B1312)&gt;1,"Player is listed twice this week",IF(AND($D1312&lt;&gt;"",COUNTIFS($A$5:$A$1668,$A1312,$D$5:$D$1668,$D1312)&gt;1),"Two players picked as "&amp;$D1312,IF(COUNTIFS($A$5:$A$1668,$A1312,$D$5:$D$1668,"Gross winner")=0,"Pick this week's gross winner",IF(COUNTIFS($A$5:$A$1668,$A1312,$D$5:$D$1668,"Net winner")=0,"Pick this week's net winner","OK")))))))</f>
        <v/>
      </c>
    </row>
    <row r="1313" outlineLevel="1">
      <c r="A1313" s="13" t="n">
        <v>46673</v>
      </c>
      <c r="E1313" s="11">
        <f>IF(OR($B1313="",NOT(ISNUMBER($C1313))),"",COUNTIFS($A$5:$A$1668,$A1313,$C$5:$C$1668,"&lt;"&amp;$C1313)+1)</f>
        <v/>
      </c>
      <c r="F1313" s="11">
        <f>IF(OR($B1313="",NOT(ISNUMBER($C1313))),"",COUNTIFS($A$5:$A$1668,$A1313,$C$5:$C$1668,"&gt;0"))</f>
        <v/>
      </c>
      <c r="G1313" s="11">
        <f>IF(OR($B1313="",NOT(ISNUMBER($C1313))),"",IF($D1313&lt;&gt;"",ROUND(Points!$B$6*IF($F1313&lt;Points!$H$4,Points!$H$5,1),0),ROUND(Points!$B$6*IF($F1313&lt;=1,1,Points!$H$7+(1-Points!$H$7)*((($F1313-$E1313)*(($F1313-$E1313)+1)/2)^2-((($F1313-$E1313-COUNTIFS($A$5:$A$1668,$A1313,$C$5:$C$1668,$C1313)+1)-1)*($F1313-$E1313-COUNTIFS($A$5:$A$1668,$A1313,$C$5:$C$1668,$C1313)+1)/2)^2)/(COUNTIFS($A$5:$A$1668,$A1313,$C$5:$C$1668,$C1313)*($F1313-1)^3))*IF($F1313&lt;Points!$H$4,Points!$H$5,1),0)))</f>
        <v/>
      </c>
      <c r="H1313" s="11">
        <f>IF($G1313="","",COUNTIFS($B$5:$B$1668,$B1313,$G$5:$G$1668,"&gt;"&amp;$G1313)+COUNTIFS($B$4:$B1312,$B1313,$G$4:$G1312,$G1313)+1)</f>
        <v/>
      </c>
      <c r="I1313" s="11">
        <f>IF($G1313="","",IF($H1313&lt;=Points!$H$6,$G1313,0))</f>
        <v/>
      </c>
      <c r="J1313" s="11">
        <f>IF($B1313="","",IF(COUNTIF(Players!$A$2:$A$500,$B1313)=0,"Player is not on the Players tab",IF(NOT(ISNUMBER($C1313)),"Enter a gross score",IF(COUNTIFS($A$5:$A$1668,$A1313,$B$5:$B$1668,$B1313)&gt;1,"Player is listed twice this week",IF(AND($D1313&lt;&gt;"",COUNTIFS($A$5:$A$1668,$A1313,$D$5:$D$1668,$D1313)&gt;1),"Two players picked as "&amp;$D1313,IF(COUNTIFS($A$5:$A$1668,$A1313,$D$5:$D$1668,"Gross winner")=0,"Pick this week's gross winner",IF(COUNTIFS($A$5:$A$1668,$A1313,$D$5:$D$1668,"Net winner")=0,"Pick this week's net winner","OK")))))))</f>
        <v/>
      </c>
    </row>
    <row r="1314" outlineLevel="1">
      <c r="A1314" s="13" t="n">
        <v>46673</v>
      </c>
      <c r="E1314" s="11">
        <f>IF(OR($B1314="",NOT(ISNUMBER($C1314))),"",COUNTIFS($A$5:$A$1668,$A1314,$C$5:$C$1668,"&lt;"&amp;$C1314)+1)</f>
        <v/>
      </c>
      <c r="F1314" s="11">
        <f>IF(OR($B1314="",NOT(ISNUMBER($C1314))),"",COUNTIFS($A$5:$A$1668,$A1314,$C$5:$C$1668,"&gt;0"))</f>
        <v/>
      </c>
      <c r="G1314" s="11">
        <f>IF(OR($B1314="",NOT(ISNUMBER($C1314))),"",IF($D1314&lt;&gt;"",ROUND(Points!$B$6*IF($F1314&lt;Points!$H$4,Points!$H$5,1),0),ROUND(Points!$B$6*IF($F1314&lt;=1,1,Points!$H$7+(1-Points!$H$7)*((($F1314-$E1314)*(($F1314-$E1314)+1)/2)^2-((($F1314-$E1314-COUNTIFS($A$5:$A$1668,$A1314,$C$5:$C$1668,$C1314)+1)-1)*($F1314-$E1314-COUNTIFS($A$5:$A$1668,$A1314,$C$5:$C$1668,$C1314)+1)/2)^2)/(COUNTIFS($A$5:$A$1668,$A1314,$C$5:$C$1668,$C1314)*($F1314-1)^3))*IF($F1314&lt;Points!$H$4,Points!$H$5,1),0)))</f>
        <v/>
      </c>
      <c r="H1314" s="11">
        <f>IF($G1314="","",COUNTIFS($B$5:$B$1668,$B1314,$G$5:$G$1668,"&gt;"&amp;$G1314)+COUNTIFS($B$4:$B1313,$B1314,$G$4:$G1313,$G1314)+1)</f>
        <v/>
      </c>
      <c r="I1314" s="11">
        <f>IF($G1314="","",IF($H1314&lt;=Points!$H$6,$G1314,0))</f>
        <v/>
      </c>
      <c r="J1314" s="11">
        <f>IF($B1314="","",IF(COUNTIF(Players!$A$2:$A$500,$B1314)=0,"Player is not on the Players tab",IF(NOT(ISNUMBER($C1314)),"Enter a gross score",IF(COUNTIFS($A$5:$A$1668,$A1314,$B$5:$B$1668,$B1314)&gt;1,"Player is listed twice this week",IF(AND($D1314&lt;&gt;"",COUNTIFS($A$5:$A$1668,$A1314,$D$5:$D$1668,$D1314)&gt;1),"Two players picked as "&amp;$D1314,IF(COUNTIFS($A$5:$A$1668,$A1314,$D$5:$D$1668,"Gross winner")=0,"Pick this week's gross winner",IF(COUNTIFS($A$5:$A$1668,$A1314,$D$5:$D$1668,"Net winner")=0,"Pick this week's net winner","OK")))))))</f>
        <v/>
      </c>
    </row>
    <row r="1315" outlineLevel="1">
      <c r="A1315" s="13" t="n">
        <v>46673</v>
      </c>
      <c r="E1315" s="11">
        <f>IF(OR($B1315="",NOT(ISNUMBER($C1315))),"",COUNTIFS($A$5:$A$1668,$A1315,$C$5:$C$1668,"&lt;"&amp;$C1315)+1)</f>
        <v/>
      </c>
      <c r="F1315" s="11">
        <f>IF(OR($B1315="",NOT(ISNUMBER($C1315))),"",COUNTIFS($A$5:$A$1668,$A1315,$C$5:$C$1668,"&gt;0"))</f>
        <v/>
      </c>
      <c r="G1315" s="11">
        <f>IF(OR($B1315="",NOT(ISNUMBER($C1315))),"",IF($D1315&lt;&gt;"",ROUND(Points!$B$6*IF($F1315&lt;Points!$H$4,Points!$H$5,1),0),ROUND(Points!$B$6*IF($F1315&lt;=1,1,Points!$H$7+(1-Points!$H$7)*((($F1315-$E1315)*(($F1315-$E1315)+1)/2)^2-((($F1315-$E1315-COUNTIFS($A$5:$A$1668,$A1315,$C$5:$C$1668,$C1315)+1)-1)*($F1315-$E1315-COUNTIFS($A$5:$A$1668,$A1315,$C$5:$C$1668,$C1315)+1)/2)^2)/(COUNTIFS($A$5:$A$1668,$A1315,$C$5:$C$1668,$C1315)*($F1315-1)^3))*IF($F1315&lt;Points!$H$4,Points!$H$5,1),0)))</f>
        <v/>
      </c>
      <c r="H1315" s="11">
        <f>IF($G1315="","",COUNTIFS($B$5:$B$1668,$B1315,$G$5:$G$1668,"&gt;"&amp;$G1315)+COUNTIFS($B$4:$B1314,$B1315,$G$4:$G1314,$G1315)+1)</f>
        <v/>
      </c>
      <c r="I1315" s="11">
        <f>IF($G1315="","",IF($H1315&lt;=Points!$H$6,$G1315,0))</f>
        <v/>
      </c>
      <c r="J1315" s="11">
        <f>IF($B1315="","",IF(COUNTIF(Players!$A$2:$A$500,$B1315)=0,"Player is not on the Players tab",IF(NOT(ISNUMBER($C1315)),"Enter a gross score",IF(COUNTIFS($A$5:$A$1668,$A1315,$B$5:$B$1668,$B1315)&gt;1,"Player is listed twice this week",IF(AND($D1315&lt;&gt;"",COUNTIFS($A$5:$A$1668,$A1315,$D$5:$D$1668,$D1315)&gt;1),"Two players picked as "&amp;$D1315,IF(COUNTIFS($A$5:$A$1668,$A1315,$D$5:$D$1668,"Gross winner")=0,"Pick this week's gross winner",IF(COUNTIFS($A$5:$A$1668,$A1315,$D$5:$D$1668,"Net winner")=0,"Pick this week's net winner","OK")))))))</f>
        <v/>
      </c>
    </row>
    <row r="1316" ht="10" customHeight="1"/>
    <row r="1317" ht="22" customHeight="1">
      <c r="A1317" s="12" t="inlineStr">
        <is>
          <t>Week 42  ·  Wednesday, Oct 20</t>
        </is>
      </c>
    </row>
    <row r="1318" outlineLevel="1">
      <c r="A1318" s="13" t="n">
        <v>46680</v>
      </c>
      <c r="E1318" s="11">
        <f>IF(OR($B1318="",NOT(ISNUMBER($C1318))),"",COUNTIFS($A$5:$A$1668,$A1318,$C$5:$C$1668,"&lt;"&amp;$C1318)+1)</f>
        <v/>
      </c>
      <c r="F1318" s="11">
        <f>IF(OR($B1318="",NOT(ISNUMBER($C1318))),"",COUNTIFS($A$5:$A$1668,$A1318,$C$5:$C$1668,"&gt;0"))</f>
        <v/>
      </c>
      <c r="G1318" s="11">
        <f>IF(OR($B1318="",NOT(ISNUMBER($C1318))),"",IF($D1318&lt;&gt;"",ROUND(Points!$B$6*IF($F1318&lt;Points!$H$4,Points!$H$5,1),0),ROUND(Points!$B$6*IF($F1318&lt;=1,1,Points!$H$7+(1-Points!$H$7)*((($F1318-$E1318)*(($F1318-$E1318)+1)/2)^2-((($F1318-$E1318-COUNTIFS($A$5:$A$1668,$A1318,$C$5:$C$1668,$C1318)+1)-1)*($F1318-$E1318-COUNTIFS($A$5:$A$1668,$A1318,$C$5:$C$1668,$C1318)+1)/2)^2)/(COUNTIFS($A$5:$A$1668,$A1318,$C$5:$C$1668,$C1318)*($F1318-1)^3))*IF($F1318&lt;Points!$H$4,Points!$H$5,1),0)))</f>
        <v/>
      </c>
      <c r="H1318" s="11">
        <f>IF($G1318="","",COUNTIFS($B$5:$B$1668,$B1318,$G$5:$G$1668,"&gt;"&amp;$G1318)+COUNTIFS($B$4:$B1317,$B1318,$G$4:$G1317,$G1318)+1)</f>
        <v/>
      </c>
      <c r="I1318" s="11">
        <f>IF($G1318="","",IF($H1318&lt;=Points!$H$6,$G1318,0))</f>
        <v/>
      </c>
      <c r="J1318" s="11">
        <f>IF($B1318="","",IF(COUNTIF(Players!$A$2:$A$500,$B1318)=0,"Player is not on the Players tab",IF(NOT(ISNUMBER($C1318)),"Enter a gross score",IF(COUNTIFS($A$5:$A$1668,$A1318,$B$5:$B$1668,$B1318)&gt;1,"Player is listed twice this week",IF(AND($D1318&lt;&gt;"",COUNTIFS($A$5:$A$1668,$A1318,$D$5:$D$1668,$D1318)&gt;1),"Two players picked as "&amp;$D1318,IF(COUNTIFS($A$5:$A$1668,$A1318,$D$5:$D$1668,"Gross winner")=0,"Pick this week's gross winner",IF(COUNTIFS($A$5:$A$1668,$A1318,$D$5:$D$1668,"Net winner")=0,"Pick this week's net winner","OK")))))))</f>
        <v/>
      </c>
    </row>
    <row r="1319" outlineLevel="1">
      <c r="A1319" s="13" t="n">
        <v>46680</v>
      </c>
      <c r="E1319" s="11">
        <f>IF(OR($B1319="",NOT(ISNUMBER($C1319))),"",COUNTIFS($A$5:$A$1668,$A1319,$C$5:$C$1668,"&lt;"&amp;$C1319)+1)</f>
        <v/>
      </c>
      <c r="F1319" s="11">
        <f>IF(OR($B1319="",NOT(ISNUMBER($C1319))),"",COUNTIFS($A$5:$A$1668,$A1319,$C$5:$C$1668,"&gt;0"))</f>
        <v/>
      </c>
      <c r="G1319" s="11">
        <f>IF(OR($B1319="",NOT(ISNUMBER($C1319))),"",IF($D1319&lt;&gt;"",ROUND(Points!$B$6*IF($F1319&lt;Points!$H$4,Points!$H$5,1),0),ROUND(Points!$B$6*IF($F1319&lt;=1,1,Points!$H$7+(1-Points!$H$7)*((($F1319-$E1319)*(($F1319-$E1319)+1)/2)^2-((($F1319-$E1319-COUNTIFS($A$5:$A$1668,$A1319,$C$5:$C$1668,$C1319)+1)-1)*($F1319-$E1319-COUNTIFS($A$5:$A$1668,$A1319,$C$5:$C$1668,$C1319)+1)/2)^2)/(COUNTIFS($A$5:$A$1668,$A1319,$C$5:$C$1668,$C1319)*($F1319-1)^3))*IF($F1319&lt;Points!$H$4,Points!$H$5,1),0)))</f>
        <v/>
      </c>
      <c r="H1319" s="11">
        <f>IF($G1319="","",COUNTIFS($B$5:$B$1668,$B1319,$G$5:$G$1668,"&gt;"&amp;$G1319)+COUNTIFS($B$4:$B1318,$B1319,$G$4:$G1318,$G1319)+1)</f>
        <v/>
      </c>
      <c r="I1319" s="11">
        <f>IF($G1319="","",IF($H1319&lt;=Points!$H$6,$G1319,0))</f>
        <v/>
      </c>
      <c r="J1319" s="11">
        <f>IF($B1319="","",IF(COUNTIF(Players!$A$2:$A$500,$B1319)=0,"Player is not on the Players tab",IF(NOT(ISNUMBER($C1319)),"Enter a gross score",IF(COUNTIFS($A$5:$A$1668,$A1319,$B$5:$B$1668,$B1319)&gt;1,"Player is listed twice this week",IF(AND($D1319&lt;&gt;"",COUNTIFS($A$5:$A$1668,$A1319,$D$5:$D$1668,$D1319)&gt;1),"Two players picked as "&amp;$D1319,IF(COUNTIFS($A$5:$A$1668,$A1319,$D$5:$D$1668,"Gross winner")=0,"Pick this week's gross winner",IF(COUNTIFS($A$5:$A$1668,$A1319,$D$5:$D$1668,"Net winner")=0,"Pick this week's net winner","OK")))))))</f>
        <v/>
      </c>
    </row>
    <row r="1320" outlineLevel="1">
      <c r="A1320" s="13" t="n">
        <v>46680</v>
      </c>
      <c r="E1320" s="11">
        <f>IF(OR($B1320="",NOT(ISNUMBER($C1320))),"",COUNTIFS($A$5:$A$1668,$A1320,$C$5:$C$1668,"&lt;"&amp;$C1320)+1)</f>
        <v/>
      </c>
      <c r="F1320" s="11">
        <f>IF(OR($B1320="",NOT(ISNUMBER($C1320))),"",COUNTIFS($A$5:$A$1668,$A1320,$C$5:$C$1668,"&gt;0"))</f>
        <v/>
      </c>
      <c r="G1320" s="11">
        <f>IF(OR($B1320="",NOT(ISNUMBER($C1320))),"",IF($D1320&lt;&gt;"",ROUND(Points!$B$6*IF($F1320&lt;Points!$H$4,Points!$H$5,1),0),ROUND(Points!$B$6*IF($F1320&lt;=1,1,Points!$H$7+(1-Points!$H$7)*((($F1320-$E1320)*(($F1320-$E1320)+1)/2)^2-((($F1320-$E1320-COUNTIFS($A$5:$A$1668,$A1320,$C$5:$C$1668,$C1320)+1)-1)*($F1320-$E1320-COUNTIFS($A$5:$A$1668,$A1320,$C$5:$C$1668,$C1320)+1)/2)^2)/(COUNTIFS($A$5:$A$1668,$A1320,$C$5:$C$1668,$C1320)*($F1320-1)^3))*IF($F1320&lt;Points!$H$4,Points!$H$5,1),0)))</f>
        <v/>
      </c>
      <c r="H1320" s="11">
        <f>IF($G1320="","",COUNTIFS($B$5:$B$1668,$B1320,$G$5:$G$1668,"&gt;"&amp;$G1320)+COUNTIFS($B$4:$B1319,$B1320,$G$4:$G1319,$G1320)+1)</f>
        <v/>
      </c>
      <c r="I1320" s="11">
        <f>IF($G1320="","",IF($H1320&lt;=Points!$H$6,$G1320,0))</f>
        <v/>
      </c>
      <c r="J1320" s="11">
        <f>IF($B1320="","",IF(COUNTIF(Players!$A$2:$A$500,$B1320)=0,"Player is not on the Players tab",IF(NOT(ISNUMBER($C1320)),"Enter a gross score",IF(COUNTIFS($A$5:$A$1668,$A1320,$B$5:$B$1668,$B1320)&gt;1,"Player is listed twice this week",IF(AND($D1320&lt;&gt;"",COUNTIFS($A$5:$A$1668,$A1320,$D$5:$D$1668,$D1320)&gt;1),"Two players picked as "&amp;$D1320,IF(COUNTIFS($A$5:$A$1668,$A1320,$D$5:$D$1668,"Gross winner")=0,"Pick this week's gross winner",IF(COUNTIFS($A$5:$A$1668,$A1320,$D$5:$D$1668,"Net winner")=0,"Pick this week's net winner","OK")))))))</f>
        <v/>
      </c>
    </row>
    <row r="1321" outlineLevel="1">
      <c r="A1321" s="13" t="n">
        <v>46680</v>
      </c>
      <c r="E1321" s="11">
        <f>IF(OR($B1321="",NOT(ISNUMBER($C1321))),"",COUNTIFS($A$5:$A$1668,$A1321,$C$5:$C$1668,"&lt;"&amp;$C1321)+1)</f>
        <v/>
      </c>
      <c r="F1321" s="11">
        <f>IF(OR($B1321="",NOT(ISNUMBER($C1321))),"",COUNTIFS($A$5:$A$1668,$A1321,$C$5:$C$1668,"&gt;0"))</f>
        <v/>
      </c>
      <c r="G1321" s="11">
        <f>IF(OR($B1321="",NOT(ISNUMBER($C1321))),"",IF($D1321&lt;&gt;"",ROUND(Points!$B$6*IF($F1321&lt;Points!$H$4,Points!$H$5,1),0),ROUND(Points!$B$6*IF($F1321&lt;=1,1,Points!$H$7+(1-Points!$H$7)*((($F1321-$E1321)*(($F1321-$E1321)+1)/2)^2-((($F1321-$E1321-COUNTIFS($A$5:$A$1668,$A1321,$C$5:$C$1668,$C1321)+1)-1)*($F1321-$E1321-COUNTIFS($A$5:$A$1668,$A1321,$C$5:$C$1668,$C1321)+1)/2)^2)/(COUNTIFS($A$5:$A$1668,$A1321,$C$5:$C$1668,$C1321)*($F1321-1)^3))*IF($F1321&lt;Points!$H$4,Points!$H$5,1),0)))</f>
        <v/>
      </c>
      <c r="H1321" s="11">
        <f>IF($G1321="","",COUNTIFS($B$5:$B$1668,$B1321,$G$5:$G$1668,"&gt;"&amp;$G1321)+COUNTIFS($B$4:$B1320,$B1321,$G$4:$G1320,$G1321)+1)</f>
        <v/>
      </c>
      <c r="I1321" s="11">
        <f>IF($G1321="","",IF($H1321&lt;=Points!$H$6,$G1321,0))</f>
        <v/>
      </c>
      <c r="J1321" s="11">
        <f>IF($B1321="","",IF(COUNTIF(Players!$A$2:$A$500,$B1321)=0,"Player is not on the Players tab",IF(NOT(ISNUMBER($C1321)),"Enter a gross score",IF(COUNTIFS($A$5:$A$1668,$A1321,$B$5:$B$1668,$B1321)&gt;1,"Player is listed twice this week",IF(AND($D1321&lt;&gt;"",COUNTIFS($A$5:$A$1668,$A1321,$D$5:$D$1668,$D1321)&gt;1),"Two players picked as "&amp;$D1321,IF(COUNTIFS($A$5:$A$1668,$A1321,$D$5:$D$1668,"Gross winner")=0,"Pick this week's gross winner",IF(COUNTIFS($A$5:$A$1668,$A1321,$D$5:$D$1668,"Net winner")=0,"Pick this week's net winner","OK")))))))</f>
        <v/>
      </c>
    </row>
    <row r="1322" outlineLevel="1">
      <c r="A1322" s="13" t="n">
        <v>46680</v>
      </c>
      <c r="E1322" s="11">
        <f>IF(OR($B1322="",NOT(ISNUMBER($C1322))),"",COUNTIFS($A$5:$A$1668,$A1322,$C$5:$C$1668,"&lt;"&amp;$C1322)+1)</f>
        <v/>
      </c>
      <c r="F1322" s="11">
        <f>IF(OR($B1322="",NOT(ISNUMBER($C1322))),"",COUNTIFS($A$5:$A$1668,$A1322,$C$5:$C$1668,"&gt;0"))</f>
        <v/>
      </c>
      <c r="G1322" s="11">
        <f>IF(OR($B1322="",NOT(ISNUMBER($C1322))),"",IF($D1322&lt;&gt;"",ROUND(Points!$B$6*IF($F1322&lt;Points!$H$4,Points!$H$5,1),0),ROUND(Points!$B$6*IF($F1322&lt;=1,1,Points!$H$7+(1-Points!$H$7)*((($F1322-$E1322)*(($F1322-$E1322)+1)/2)^2-((($F1322-$E1322-COUNTIFS($A$5:$A$1668,$A1322,$C$5:$C$1668,$C1322)+1)-1)*($F1322-$E1322-COUNTIFS($A$5:$A$1668,$A1322,$C$5:$C$1668,$C1322)+1)/2)^2)/(COUNTIFS($A$5:$A$1668,$A1322,$C$5:$C$1668,$C1322)*($F1322-1)^3))*IF($F1322&lt;Points!$H$4,Points!$H$5,1),0)))</f>
        <v/>
      </c>
      <c r="H1322" s="11">
        <f>IF($G1322="","",COUNTIFS($B$5:$B$1668,$B1322,$G$5:$G$1668,"&gt;"&amp;$G1322)+COUNTIFS($B$4:$B1321,$B1322,$G$4:$G1321,$G1322)+1)</f>
        <v/>
      </c>
      <c r="I1322" s="11">
        <f>IF($G1322="","",IF($H1322&lt;=Points!$H$6,$G1322,0))</f>
        <v/>
      </c>
      <c r="J1322" s="11">
        <f>IF($B1322="","",IF(COUNTIF(Players!$A$2:$A$500,$B1322)=0,"Player is not on the Players tab",IF(NOT(ISNUMBER($C1322)),"Enter a gross score",IF(COUNTIFS($A$5:$A$1668,$A1322,$B$5:$B$1668,$B1322)&gt;1,"Player is listed twice this week",IF(AND($D1322&lt;&gt;"",COUNTIFS($A$5:$A$1668,$A1322,$D$5:$D$1668,$D1322)&gt;1),"Two players picked as "&amp;$D1322,IF(COUNTIFS($A$5:$A$1668,$A1322,$D$5:$D$1668,"Gross winner")=0,"Pick this week's gross winner",IF(COUNTIFS($A$5:$A$1668,$A1322,$D$5:$D$1668,"Net winner")=0,"Pick this week's net winner","OK")))))))</f>
        <v/>
      </c>
    </row>
    <row r="1323" outlineLevel="1">
      <c r="A1323" s="13" t="n">
        <v>46680</v>
      </c>
      <c r="E1323" s="11">
        <f>IF(OR($B1323="",NOT(ISNUMBER($C1323))),"",COUNTIFS($A$5:$A$1668,$A1323,$C$5:$C$1668,"&lt;"&amp;$C1323)+1)</f>
        <v/>
      </c>
      <c r="F1323" s="11">
        <f>IF(OR($B1323="",NOT(ISNUMBER($C1323))),"",COUNTIFS($A$5:$A$1668,$A1323,$C$5:$C$1668,"&gt;0"))</f>
        <v/>
      </c>
      <c r="G1323" s="11">
        <f>IF(OR($B1323="",NOT(ISNUMBER($C1323))),"",IF($D1323&lt;&gt;"",ROUND(Points!$B$6*IF($F1323&lt;Points!$H$4,Points!$H$5,1),0),ROUND(Points!$B$6*IF($F1323&lt;=1,1,Points!$H$7+(1-Points!$H$7)*((($F1323-$E1323)*(($F1323-$E1323)+1)/2)^2-((($F1323-$E1323-COUNTIFS($A$5:$A$1668,$A1323,$C$5:$C$1668,$C1323)+1)-1)*($F1323-$E1323-COUNTIFS($A$5:$A$1668,$A1323,$C$5:$C$1668,$C1323)+1)/2)^2)/(COUNTIFS($A$5:$A$1668,$A1323,$C$5:$C$1668,$C1323)*($F1323-1)^3))*IF($F1323&lt;Points!$H$4,Points!$H$5,1),0)))</f>
        <v/>
      </c>
      <c r="H1323" s="11">
        <f>IF($G1323="","",COUNTIFS($B$5:$B$1668,$B1323,$G$5:$G$1668,"&gt;"&amp;$G1323)+COUNTIFS($B$4:$B1322,$B1323,$G$4:$G1322,$G1323)+1)</f>
        <v/>
      </c>
      <c r="I1323" s="11">
        <f>IF($G1323="","",IF($H1323&lt;=Points!$H$6,$G1323,0))</f>
        <v/>
      </c>
      <c r="J1323" s="11">
        <f>IF($B1323="","",IF(COUNTIF(Players!$A$2:$A$500,$B1323)=0,"Player is not on the Players tab",IF(NOT(ISNUMBER($C1323)),"Enter a gross score",IF(COUNTIFS($A$5:$A$1668,$A1323,$B$5:$B$1668,$B1323)&gt;1,"Player is listed twice this week",IF(AND($D1323&lt;&gt;"",COUNTIFS($A$5:$A$1668,$A1323,$D$5:$D$1668,$D1323)&gt;1),"Two players picked as "&amp;$D1323,IF(COUNTIFS($A$5:$A$1668,$A1323,$D$5:$D$1668,"Gross winner")=0,"Pick this week's gross winner",IF(COUNTIFS($A$5:$A$1668,$A1323,$D$5:$D$1668,"Net winner")=0,"Pick this week's net winner","OK")))))))</f>
        <v/>
      </c>
    </row>
    <row r="1324" outlineLevel="1">
      <c r="A1324" s="13" t="n">
        <v>46680</v>
      </c>
      <c r="E1324" s="11">
        <f>IF(OR($B1324="",NOT(ISNUMBER($C1324))),"",COUNTIFS($A$5:$A$1668,$A1324,$C$5:$C$1668,"&lt;"&amp;$C1324)+1)</f>
        <v/>
      </c>
      <c r="F1324" s="11">
        <f>IF(OR($B1324="",NOT(ISNUMBER($C1324))),"",COUNTIFS($A$5:$A$1668,$A1324,$C$5:$C$1668,"&gt;0"))</f>
        <v/>
      </c>
      <c r="G1324" s="11">
        <f>IF(OR($B1324="",NOT(ISNUMBER($C1324))),"",IF($D1324&lt;&gt;"",ROUND(Points!$B$6*IF($F1324&lt;Points!$H$4,Points!$H$5,1),0),ROUND(Points!$B$6*IF($F1324&lt;=1,1,Points!$H$7+(1-Points!$H$7)*((($F1324-$E1324)*(($F1324-$E1324)+1)/2)^2-((($F1324-$E1324-COUNTIFS($A$5:$A$1668,$A1324,$C$5:$C$1668,$C1324)+1)-1)*($F1324-$E1324-COUNTIFS($A$5:$A$1668,$A1324,$C$5:$C$1668,$C1324)+1)/2)^2)/(COUNTIFS($A$5:$A$1668,$A1324,$C$5:$C$1668,$C1324)*($F1324-1)^3))*IF($F1324&lt;Points!$H$4,Points!$H$5,1),0)))</f>
        <v/>
      </c>
      <c r="H1324" s="11">
        <f>IF($G1324="","",COUNTIFS($B$5:$B$1668,$B1324,$G$5:$G$1668,"&gt;"&amp;$G1324)+COUNTIFS($B$4:$B1323,$B1324,$G$4:$G1323,$G1324)+1)</f>
        <v/>
      </c>
      <c r="I1324" s="11">
        <f>IF($G1324="","",IF($H1324&lt;=Points!$H$6,$G1324,0))</f>
        <v/>
      </c>
      <c r="J1324" s="11">
        <f>IF($B1324="","",IF(COUNTIF(Players!$A$2:$A$500,$B1324)=0,"Player is not on the Players tab",IF(NOT(ISNUMBER($C1324)),"Enter a gross score",IF(COUNTIFS($A$5:$A$1668,$A1324,$B$5:$B$1668,$B1324)&gt;1,"Player is listed twice this week",IF(AND($D1324&lt;&gt;"",COUNTIFS($A$5:$A$1668,$A1324,$D$5:$D$1668,$D1324)&gt;1),"Two players picked as "&amp;$D1324,IF(COUNTIFS($A$5:$A$1668,$A1324,$D$5:$D$1668,"Gross winner")=0,"Pick this week's gross winner",IF(COUNTIFS($A$5:$A$1668,$A1324,$D$5:$D$1668,"Net winner")=0,"Pick this week's net winner","OK")))))))</f>
        <v/>
      </c>
    </row>
    <row r="1325" outlineLevel="1">
      <c r="A1325" s="13" t="n">
        <v>46680</v>
      </c>
      <c r="E1325" s="11">
        <f>IF(OR($B1325="",NOT(ISNUMBER($C1325))),"",COUNTIFS($A$5:$A$1668,$A1325,$C$5:$C$1668,"&lt;"&amp;$C1325)+1)</f>
        <v/>
      </c>
      <c r="F1325" s="11">
        <f>IF(OR($B1325="",NOT(ISNUMBER($C1325))),"",COUNTIFS($A$5:$A$1668,$A1325,$C$5:$C$1668,"&gt;0"))</f>
        <v/>
      </c>
      <c r="G1325" s="11">
        <f>IF(OR($B1325="",NOT(ISNUMBER($C1325))),"",IF($D1325&lt;&gt;"",ROUND(Points!$B$6*IF($F1325&lt;Points!$H$4,Points!$H$5,1),0),ROUND(Points!$B$6*IF($F1325&lt;=1,1,Points!$H$7+(1-Points!$H$7)*((($F1325-$E1325)*(($F1325-$E1325)+1)/2)^2-((($F1325-$E1325-COUNTIFS($A$5:$A$1668,$A1325,$C$5:$C$1668,$C1325)+1)-1)*($F1325-$E1325-COUNTIFS($A$5:$A$1668,$A1325,$C$5:$C$1668,$C1325)+1)/2)^2)/(COUNTIFS($A$5:$A$1668,$A1325,$C$5:$C$1668,$C1325)*($F1325-1)^3))*IF($F1325&lt;Points!$H$4,Points!$H$5,1),0)))</f>
        <v/>
      </c>
      <c r="H1325" s="11">
        <f>IF($G1325="","",COUNTIFS($B$5:$B$1668,$B1325,$G$5:$G$1668,"&gt;"&amp;$G1325)+COUNTIFS($B$4:$B1324,$B1325,$G$4:$G1324,$G1325)+1)</f>
        <v/>
      </c>
      <c r="I1325" s="11">
        <f>IF($G1325="","",IF($H1325&lt;=Points!$H$6,$G1325,0))</f>
        <v/>
      </c>
      <c r="J1325" s="11">
        <f>IF($B1325="","",IF(COUNTIF(Players!$A$2:$A$500,$B1325)=0,"Player is not on the Players tab",IF(NOT(ISNUMBER($C1325)),"Enter a gross score",IF(COUNTIFS($A$5:$A$1668,$A1325,$B$5:$B$1668,$B1325)&gt;1,"Player is listed twice this week",IF(AND($D1325&lt;&gt;"",COUNTIFS($A$5:$A$1668,$A1325,$D$5:$D$1668,$D1325)&gt;1),"Two players picked as "&amp;$D1325,IF(COUNTIFS($A$5:$A$1668,$A1325,$D$5:$D$1668,"Gross winner")=0,"Pick this week's gross winner",IF(COUNTIFS($A$5:$A$1668,$A1325,$D$5:$D$1668,"Net winner")=0,"Pick this week's net winner","OK")))))))</f>
        <v/>
      </c>
    </row>
    <row r="1326" outlineLevel="1">
      <c r="A1326" s="13" t="n">
        <v>46680</v>
      </c>
      <c r="E1326" s="11">
        <f>IF(OR($B1326="",NOT(ISNUMBER($C1326))),"",COUNTIFS($A$5:$A$1668,$A1326,$C$5:$C$1668,"&lt;"&amp;$C1326)+1)</f>
        <v/>
      </c>
      <c r="F1326" s="11">
        <f>IF(OR($B1326="",NOT(ISNUMBER($C1326))),"",COUNTIFS($A$5:$A$1668,$A1326,$C$5:$C$1668,"&gt;0"))</f>
        <v/>
      </c>
      <c r="G1326" s="11">
        <f>IF(OR($B1326="",NOT(ISNUMBER($C1326))),"",IF($D1326&lt;&gt;"",ROUND(Points!$B$6*IF($F1326&lt;Points!$H$4,Points!$H$5,1),0),ROUND(Points!$B$6*IF($F1326&lt;=1,1,Points!$H$7+(1-Points!$H$7)*((($F1326-$E1326)*(($F1326-$E1326)+1)/2)^2-((($F1326-$E1326-COUNTIFS($A$5:$A$1668,$A1326,$C$5:$C$1668,$C1326)+1)-1)*($F1326-$E1326-COUNTIFS($A$5:$A$1668,$A1326,$C$5:$C$1668,$C1326)+1)/2)^2)/(COUNTIFS($A$5:$A$1668,$A1326,$C$5:$C$1668,$C1326)*($F1326-1)^3))*IF($F1326&lt;Points!$H$4,Points!$H$5,1),0)))</f>
        <v/>
      </c>
      <c r="H1326" s="11">
        <f>IF($G1326="","",COUNTIFS($B$5:$B$1668,$B1326,$G$5:$G$1668,"&gt;"&amp;$G1326)+COUNTIFS($B$4:$B1325,$B1326,$G$4:$G1325,$G1326)+1)</f>
        <v/>
      </c>
      <c r="I1326" s="11">
        <f>IF($G1326="","",IF($H1326&lt;=Points!$H$6,$G1326,0))</f>
        <v/>
      </c>
      <c r="J1326" s="11">
        <f>IF($B1326="","",IF(COUNTIF(Players!$A$2:$A$500,$B1326)=0,"Player is not on the Players tab",IF(NOT(ISNUMBER($C1326)),"Enter a gross score",IF(COUNTIFS($A$5:$A$1668,$A1326,$B$5:$B$1668,$B1326)&gt;1,"Player is listed twice this week",IF(AND($D1326&lt;&gt;"",COUNTIFS($A$5:$A$1668,$A1326,$D$5:$D$1668,$D1326)&gt;1),"Two players picked as "&amp;$D1326,IF(COUNTIFS($A$5:$A$1668,$A1326,$D$5:$D$1668,"Gross winner")=0,"Pick this week's gross winner",IF(COUNTIFS($A$5:$A$1668,$A1326,$D$5:$D$1668,"Net winner")=0,"Pick this week's net winner","OK")))))))</f>
        <v/>
      </c>
    </row>
    <row r="1327" outlineLevel="1">
      <c r="A1327" s="13" t="n">
        <v>46680</v>
      </c>
      <c r="E1327" s="11">
        <f>IF(OR($B1327="",NOT(ISNUMBER($C1327))),"",COUNTIFS($A$5:$A$1668,$A1327,$C$5:$C$1668,"&lt;"&amp;$C1327)+1)</f>
        <v/>
      </c>
      <c r="F1327" s="11">
        <f>IF(OR($B1327="",NOT(ISNUMBER($C1327))),"",COUNTIFS($A$5:$A$1668,$A1327,$C$5:$C$1668,"&gt;0"))</f>
        <v/>
      </c>
      <c r="G1327" s="11">
        <f>IF(OR($B1327="",NOT(ISNUMBER($C1327))),"",IF($D1327&lt;&gt;"",ROUND(Points!$B$6*IF($F1327&lt;Points!$H$4,Points!$H$5,1),0),ROUND(Points!$B$6*IF($F1327&lt;=1,1,Points!$H$7+(1-Points!$H$7)*((($F1327-$E1327)*(($F1327-$E1327)+1)/2)^2-((($F1327-$E1327-COUNTIFS($A$5:$A$1668,$A1327,$C$5:$C$1668,$C1327)+1)-1)*($F1327-$E1327-COUNTIFS($A$5:$A$1668,$A1327,$C$5:$C$1668,$C1327)+1)/2)^2)/(COUNTIFS($A$5:$A$1668,$A1327,$C$5:$C$1668,$C1327)*($F1327-1)^3))*IF($F1327&lt;Points!$H$4,Points!$H$5,1),0)))</f>
        <v/>
      </c>
      <c r="H1327" s="11">
        <f>IF($G1327="","",COUNTIFS($B$5:$B$1668,$B1327,$G$5:$G$1668,"&gt;"&amp;$G1327)+COUNTIFS($B$4:$B1326,$B1327,$G$4:$G1326,$G1327)+1)</f>
        <v/>
      </c>
      <c r="I1327" s="11">
        <f>IF($G1327="","",IF($H1327&lt;=Points!$H$6,$G1327,0))</f>
        <v/>
      </c>
      <c r="J1327" s="11">
        <f>IF($B1327="","",IF(COUNTIF(Players!$A$2:$A$500,$B1327)=0,"Player is not on the Players tab",IF(NOT(ISNUMBER($C1327)),"Enter a gross score",IF(COUNTIFS($A$5:$A$1668,$A1327,$B$5:$B$1668,$B1327)&gt;1,"Player is listed twice this week",IF(AND($D1327&lt;&gt;"",COUNTIFS($A$5:$A$1668,$A1327,$D$5:$D$1668,$D1327)&gt;1),"Two players picked as "&amp;$D1327,IF(COUNTIFS($A$5:$A$1668,$A1327,$D$5:$D$1668,"Gross winner")=0,"Pick this week's gross winner",IF(COUNTIFS($A$5:$A$1668,$A1327,$D$5:$D$1668,"Net winner")=0,"Pick this week's net winner","OK")))))))</f>
        <v/>
      </c>
    </row>
    <row r="1328" outlineLevel="1">
      <c r="A1328" s="13" t="n">
        <v>46680</v>
      </c>
      <c r="E1328" s="11">
        <f>IF(OR($B1328="",NOT(ISNUMBER($C1328))),"",COUNTIFS($A$5:$A$1668,$A1328,$C$5:$C$1668,"&lt;"&amp;$C1328)+1)</f>
        <v/>
      </c>
      <c r="F1328" s="11">
        <f>IF(OR($B1328="",NOT(ISNUMBER($C1328))),"",COUNTIFS($A$5:$A$1668,$A1328,$C$5:$C$1668,"&gt;0"))</f>
        <v/>
      </c>
      <c r="G1328" s="11">
        <f>IF(OR($B1328="",NOT(ISNUMBER($C1328))),"",IF($D1328&lt;&gt;"",ROUND(Points!$B$6*IF($F1328&lt;Points!$H$4,Points!$H$5,1),0),ROUND(Points!$B$6*IF($F1328&lt;=1,1,Points!$H$7+(1-Points!$H$7)*((($F1328-$E1328)*(($F1328-$E1328)+1)/2)^2-((($F1328-$E1328-COUNTIFS($A$5:$A$1668,$A1328,$C$5:$C$1668,$C1328)+1)-1)*($F1328-$E1328-COUNTIFS($A$5:$A$1668,$A1328,$C$5:$C$1668,$C1328)+1)/2)^2)/(COUNTIFS($A$5:$A$1668,$A1328,$C$5:$C$1668,$C1328)*($F1328-1)^3))*IF($F1328&lt;Points!$H$4,Points!$H$5,1),0)))</f>
        <v/>
      </c>
      <c r="H1328" s="11">
        <f>IF($G1328="","",COUNTIFS($B$5:$B$1668,$B1328,$G$5:$G$1668,"&gt;"&amp;$G1328)+COUNTIFS($B$4:$B1327,$B1328,$G$4:$G1327,$G1328)+1)</f>
        <v/>
      </c>
      <c r="I1328" s="11">
        <f>IF($G1328="","",IF($H1328&lt;=Points!$H$6,$G1328,0))</f>
        <v/>
      </c>
      <c r="J1328" s="11">
        <f>IF($B1328="","",IF(COUNTIF(Players!$A$2:$A$500,$B1328)=0,"Player is not on the Players tab",IF(NOT(ISNUMBER($C1328)),"Enter a gross score",IF(COUNTIFS($A$5:$A$1668,$A1328,$B$5:$B$1668,$B1328)&gt;1,"Player is listed twice this week",IF(AND($D1328&lt;&gt;"",COUNTIFS($A$5:$A$1668,$A1328,$D$5:$D$1668,$D1328)&gt;1),"Two players picked as "&amp;$D1328,IF(COUNTIFS($A$5:$A$1668,$A1328,$D$5:$D$1668,"Gross winner")=0,"Pick this week's gross winner",IF(COUNTIFS($A$5:$A$1668,$A1328,$D$5:$D$1668,"Net winner")=0,"Pick this week's net winner","OK")))))))</f>
        <v/>
      </c>
    </row>
    <row r="1329" outlineLevel="1">
      <c r="A1329" s="13" t="n">
        <v>46680</v>
      </c>
      <c r="E1329" s="11">
        <f>IF(OR($B1329="",NOT(ISNUMBER($C1329))),"",COUNTIFS($A$5:$A$1668,$A1329,$C$5:$C$1668,"&lt;"&amp;$C1329)+1)</f>
        <v/>
      </c>
      <c r="F1329" s="11">
        <f>IF(OR($B1329="",NOT(ISNUMBER($C1329))),"",COUNTIFS($A$5:$A$1668,$A1329,$C$5:$C$1668,"&gt;0"))</f>
        <v/>
      </c>
      <c r="G1329" s="11">
        <f>IF(OR($B1329="",NOT(ISNUMBER($C1329))),"",IF($D1329&lt;&gt;"",ROUND(Points!$B$6*IF($F1329&lt;Points!$H$4,Points!$H$5,1),0),ROUND(Points!$B$6*IF($F1329&lt;=1,1,Points!$H$7+(1-Points!$H$7)*((($F1329-$E1329)*(($F1329-$E1329)+1)/2)^2-((($F1329-$E1329-COUNTIFS($A$5:$A$1668,$A1329,$C$5:$C$1668,$C1329)+1)-1)*($F1329-$E1329-COUNTIFS($A$5:$A$1668,$A1329,$C$5:$C$1668,$C1329)+1)/2)^2)/(COUNTIFS($A$5:$A$1668,$A1329,$C$5:$C$1668,$C1329)*($F1329-1)^3))*IF($F1329&lt;Points!$H$4,Points!$H$5,1),0)))</f>
        <v/>
      </c>
      <c r="H1329" s="11">
        <f>IF($G1329="","",COUNTIFS($B$5:$B$1668,$B1329,$G$5:$G$1668,"&gt;"&amp;$G1329)+COUNTIFS($B$4:$B1328,$B1329,$G$4:$G1328,$G1329)+1)</f>
        <v/>
      </c>
      <c r="I1329" s="11">
        <f>IF($G1329="","",IF($H1329&lt;=Points!$H$6,$G1329,0))</f>
        <v/>
      </c>
      <c r="J1329" s="11">
        <f>IF($B1329="","",IF(COUNTIF(Players!$A$2:$A$500,$B1329)=0,"Player is not on the Players tab",IF(NOT(ISNUMBER($C1329)),"Enter a gross score",IF(COUNTIFS($A$5:$A$1668,$A1329,$B$5:$B$1668,$B1329)&gt;1,"Player is listed twice this week",IF(AND($D1329&lt;&gt;"",COUNTIFS($A$5:$A$1668,$A1329,$D$5:$D$1668,$D1329)&gt;1),"Two players picked as "&amp;$D1329,IF(COUNTIFS($A$5:$A$1668,$A1329,$D$5:$D$1668,"Gross winner")=0,"Pick this week's gross winner",IF(COUNTIFS($A$5:$A$1668,$A1329,$D$5:$D$1668,"Net winner")=0,"Pick this week's net winner","OK")))))))</f>
        <v/>
      </c>
    </row>
    <row r="1330" outlineLevel="1">
      <c r="A1330" s="13" t="n">
        <v>46680</v>
      </c>
      <c r="E1330" s="11">
        <f>IF(OR($B1330="",NOT(ISNUMBER($C1330))),"",COUNTIFS($A$5:$A$1668,$A1330,$C$5:$C$1668,"&lt;"&amp;$C1330)+1)</f>
        <v/>
      </c>
      <c r="F1330" s="11">
        <f>IF(OR($B1330="",NOT(ISNUMBER($C1330))),"",COUNTIFS($A$5:$A$1668,$A1330,$C$5:$C$1668,"&gt;0"))</f>
        <v/>
      </c>
      <c r="G1330" s="11">
        <f>IF(OR($B1330="",NOT(ISNUMBER($C1330))),"",IF($D1330&lt;&gt;"",ROUND(Points!$B$6*IF($F1330&lt;Points!$H$4,Points!$H$5,1),0),ROUND(Points!$B$6*IF($F1330&lt;=1,1,Points!$H$7+(1-Points!$H$7)*((($F1330-$E1330)*(($F1330-$E1330)+1)/2)^2-((($F1330-$E1330-COUNTIFS($A$5:$A$1668,$A1330,$C$5:$C$1668,$C1330)+1)-1)*($F1330-$E1330-COUNTIFS($A$5:$A$1668,$A1330,$C$5:$C$1668,$C1330)+1)/2)^2)/(COUNTIFS($A$5:$A$1668,$A1330,$C$5:$C$1668,$C1330)*($F1330-1)^3))*IF($F1330&lt;Points!$H$4,Points!$H$5,1),0)))</f>
        <v/>
      </c>
      <c r="H1330" s="11">
        <f>IF($G1330="","",COUNTIFS($B$5:$B$1668,$B1330,$G$5:$G$1668,"&gt;"&amp;$G1330)+COUNTIFS($B$4:$B1329,$B1330,$G$4:$G1329,$G1330)+1)</f>
        <v/>
      </c>
      <c r="I1330" s="11">
        <f>IF($G1330="","",IF($H1330&lt;=Points!$H$6,$G1330,0))</f>
        <v/>
      </c>
      <c r="J1330" s="11">
        <f>IF($B1330="","",IF(COUNTIF(Players!$A$2:$A$500,$B1330)=0,"Player is not on the Players tab",IF(NOT(ISNUMBER($C1330)),"Enter a gross score",IF(COUNTIFS($A$5:$A$1668,$A1330,$B$5:$B$1668,$B1330)&gt;1,"Player is listed twice this week",IF(AND($D1330&lt;&gt;"",COUNTIFS($A$5:$A$1668,$A1330,$D$5:$D$1668,$D1330)&gt;1),"Two players picked as "&amp;$D1330,IF(COUNTIFS($A$5:$A$1668,$A1330,$D$5:$D$1668,"Gross winner")=0,"Pick this week's gross winner",IF(COUNTIFS($A$5:$A$1668,$A1330,$D$5:$D$1668,"Net winner")=0,"Pick this week's net winner","OK")))))))</f>
        <v/>
      </c>
    </row>
    <row r="1331" outlineLevel="1">
      <c r="A1331" s="13" t="n">
        <v>46680</v>
      </c>
      <c r="E1331" s="11">
        <f>IF(OR($B1331="",NOT(ISNUMBER($C1331))),"",COUNTIFS($A$5:$A$1668,$A1331,$C$5:$C$1668,"&lt;"&amp;$C1331)+1)</f>
        <v/>
      </c>
      <c r="F1331" s="11">
        <f>IF(OR($B1331="",NOT(ISNUMBER($C1331))),"",COUNTIFS($A$5:$A$1668,$A1331,$C$5:$C$1668,"&gt;0"))</f>
        <v/>
      </c>
      <c r="G1331" s="11">
        <f>IF(OR($B1331="",NOT(ISNUMBER($C1331))),"",IF($D1331&lt;&gt;"",ROUND(Points!$B$6*IF($F1331&lt;Points!$H$4,Points!$H$5,1),0),ROUND(Points!$B$6*IF($F1331&lt;=1,1,Points!$H$7+(1-Points!$H$7)*((($F1331-$E1331)*(($F1331-$E1331)+1)/2)^2-((($F1331-$E1331-COUNTIFS($A$5:$A$1668,$A1331,$C$5:$C$1668,$C1331)+1)-1)*($F1331-$E1331-COUNTIFS($A$5:$A$1668,$A1331,$C$5:$C$1668,$C1331)+1)/2)^2)/(COUNTIFS($A$5:$A$1668,$A1331,$C$5:$C$1668,$C1331)*($F1331-1)^3))*IF($F1331&lt;Points!$H$4,Points!$H$5,1),0)))</f>
        <v/>
      </c>
      <c r="H1331" s="11">
        <f>IF($G1331="","",COUNTIFS($B$5:$B$1668,$B1331,$G$5:$G$1668,"&gt;"&amp;$G1331)+COUNTIFS($B$4:$B1330,$B1331,$G$4:$G1330,$G1331)+1)</f>
        <v/>
      </c>
      <c r="I1331" s="11">
        <f>IF($G1331="","",IF($H1331&lt;=Points!$H$6,$G1331,0))</f>
        <v/>
      </c>
      <c r="J1331" s="11">
        <f>IF($B1331="","",IF(COUNTIF(Players!$A$2:$A$500,$B1331)=0,"Player is not on the Players tab",IF(NOT(ISNUMBER($C1331)),"Enter a gross score",IF(COUNTIFS($A$5:$A$1668,$A1331,$B$5:$B$1668,$B1331)&gt;1,"Player is listed twice this week",IF(AND($D1331&lt;&gt;"",COUNTIFS($A$5:$A$1668,$A1331,$D$5:$D$1668,$D1331)&gt;1),"Two players picked as "&amp;$D1331,IF(COUNTIFS($A$5:$A$1668,$A1331,$D$5:$D$1668,"Gross winner")=0,"Pick this week's gross winner",IF(COUNTIFS($A$5:$A$1668,$A1331,$D$5:$D$1668,"Net winner")=0,"Pick this week's net winner","OK")))))))</f>
        <v/>
      </c>
    </row>
    <row r="1332" outlineLevel="1">
      <c r="A1332" s="13" t="n">
        <v>46680</v>
      </c>
      <c r="E1332" s="11">
        <f>IF(OR($B1332="",NOT(ISNUMBER($C1332))),"",COUNTIFS($A$5:$A$1668,$A1332,$C$5:$C$1668,"&lt;"&amp;$C1332)+1)</f>
        <v/>
      </c>
      <c r="F1332" s="11">
        <f>IF(OR($B1332="",NOT(ISNUMBER($C1332))),"",COUNTIFS($A$5:$A$1668,$A1332,$C$5:$C$1668,"&gt;0"))</f>
        <v/>
      </c>
      <c r="G1332" s="11">
        <f>IF(OR($B1332="",NOT(ISNUMBER($C1332))),"",IF($D1332&lt;&gt;"",ROUND(Points!$B$6*IF($F1332&lt;Points!$H$4,Points!$H$5,1),0),ROUND(Points!$B$6*IF($F1332&lt;=1,1,Points!$H$7+(1-Points!$H$7)*((($F1332-$E1332)*(($F1332-$E1332)+1)/2)^2-((($F1332-$E1332-COUNTIFS($A$5:$A$1668,$A1332,$C$5:$C$1668,$C1332)+1)-1)*($F1332-$E1332-COUNTIFS($A$5:$A$1668,$A1332,$C$5:$C$1668,$C1332)+1)/2)^2)/(COUNTIFS($A$5:$A$1668,$A1332,$C$5:$C$1668,$C1332)*($F1332-1)^3))*IF($F1332&lt;Points!$H$4,Points!$H$5,1),0)))</f>
        <v/>
      </c>
      <c r="H1332" s="11">
        <f>IF($G1332="","",COUNTIFS($B$5:$B$1668,$B1332,$G$5:$G$1668,"&gt;"&amp;$G1332)+COUNTIFS($B$4:$B1331,$B1332,$G$4:$G1331,$G1332)+1)</f>
        <v/>
      </c>
      <c r="I1332" s="11">
        <f>IF($G1332="","",IF($H1332&lt;=Points!$H$6,$G1332,0))</f>
        <v/>
      </c>
      <c r="J1332" s="11">
        <f>IF($B1332="","",IF(COUNTIF(Players!$A$2:$A$500,$B1332)=0,"Player is not on the Players tab",IF(NOT(ISNUMBER($C1332)),"Enter a gross score",IF(COUNTIFS($A$5:$A$1668,$A1332,$B$5:$B$1668,$B1332)&gt;1,"Player is listed twice this week",IF(AND($D1332&lt;&gt;"",COUNTIFS($A$5:$A$1668,$A1332,$D$5:$D$1668,$D1332)&gt;1),"Two players picked as "&amp;$D1332,IF(COUNTIFS($A$5:$A$1668,$A1332,$D$5:$D$1668,"Gross winner")=0,"Pick this week's gross winner",IF(COUNTIFS($A$5:$A$1668,$A1332,$D$5:$D$1668,"Net winner")=0,"Pick this week's net winner","OK")))))))</f>
        <v/>
      </c>
    </row>
    <row r="1333" outlineLevel="1">
      <c r="A1333" s="13" t="n">
        <v>46680</v>
      </c>
      <c r="E1333" s="11">
        <f>IF(OR($B1333="",NOT(ISNUMBER($C1333))),"",COUNTIFS($A$5:$A$1668,$A1333,$C$5:$C$1668,"&lt;"&amp;$C1333)+1)</f>
        <v/>
      </c>
      <c r="F1333" s="11">
        <f>IF(OR($B1333="",NOT(ISNUMBER($C1333))),"",COUNTIFS($A$5:$A$1668,$A1333,$C$5:$C$1668,"&gt;0"))</f>
        <v/>
      </c>
      <c r="G1333" s="11">
        <f>IF(OR($B1333="",NOT(ISNUMBER($C1333))),"",IF($D1333&lt;&gt;"",ROUND(Points!$B$6*IF($F1333&lt;Points!$H$4,Points!$H$5,1),0),ROUND(Points!$B$6*IF($F1333&lt;=1,1,Points!$H$7+(1-Points!$H$7)*((($F1333-$E1333)*(($F1333-$E1333)+1)/2)^2-((($F1333-$E1333-COUNTIFS($A$5:$A$1668,$A1333,$C$5:$C$1668,$C1333)+1)-1)*($F1333-$E1333-COUNTIFS($A$5:$A$1668,$A1333,$C$5:$C$1668,$C1333)+1)/2)^2)/(COUNTIFS($A$5:$A$1668,$A1333,$C$5:$C$1668,$C1333)*($F1333-1)^3))*IF($F1333&lt;Points!$H$4,Points!$H$5,1),0)))</f>
        <v/>
      </c>
      <c r="H1333" s="11">
        <f>IF($G1333="","",COUNTIFS($B$5:$B$1668,$B1333,$G$5:$G$1668,"&gt;"&amp;$G1333)+COUNTIFS($B$4:$B1332,$B1333,$G$4:$G1332,$G1333)+1)</f>
        <v/>
      </c>
      <c r="I1333" s="11">
        <f>IF($G1333="","",IF($H1333&lt;=Points!$H$6,$G1333,0))</f>
        <v/>
      </c>
      <c r="J1333" s="11">
        <f>IF($B1333="","",IF(COUNTIF(Players!$A$2:$A$500,$B1333)=0,"Player is not on the Players tab",IF(NOT(ISNUMBER($C1333)),"Enter a gross score",IF(COUNTIFS($A$5:$A$1668,$A1333,$B$5:$B$1668,$B1333)&gt;1,"Player is listed twice this week",IF(AND($D1333&lt;&gt;"",COUNTIFS($A$5:$A$1668,$A1333,$D$5:$D$1668,$D1333)&gt;1),"Two players picked as "&amp;$D1333,IF(COUNTIFS($A$5:$A$1668,$A1333,$D$5:$D$1668,"Gross winner")=0,"Pick this week's gross winner",IF(COUNTIFS($A$5:$A$1668,$A1333,$D$5:$D$1668,"Net winner")=0,"Pick this week's net winner","OK")))))))</f>
        <v/>
      </c>
    </row>
    <row r="1334" outlineLevel="1">
      <c r="A1334" s="13" t="n">
        <v>46680</v>
      </c>
      <c r="E1334" s="11">
        <f>IF(OR($B1334="",NOT(ISNUMBER($C1334))),"",COUNTIFS($A$5:$A$1668,$A1334,$C$5:$C$1668,"&lt;"&amp;$C1334)+1)</f>
        <v/>
      </c>
      <c r="F1334" s="11">
        <f>IF(OR($B1334="",NOT(ISNUMBER($C1334))),"",COUNTIFS($A$5:$A$1668,$A1334,$C$5:$C$1668,"&gt;0"))</f>
        <v/>
      </c>
      <c r="G1334" s="11">
        <f>IF(OR($B1334="",NOT(ISNUMBER($C1334))),"",IF($D1334&lt;&gt;"",ROUND(Points!$B$6*IF($F1334&lt;Points!$H$4,Points!$H$5,1),0),ROUND(Points!$B$6*IF($F1334&lt;=1,1,Points!$H$7+(1-Points!$H$7)*((($F1334-$E1334)*(($F1334-$E1334)+1)/2)^2-((($F1334-$E1334-COUNTIFS($A$5:$A$1668,$A1334,$C$5:$C$1668,$C1334)+1)-1)*($F1334-$E1334-COUNTIFS($A$5:$A$1668,$A1334,$C$5:$C$1668,$C1334)+1)/2)^2)/(COUNTIFS($A$5:$A$1668,$A1334,$C$5:$C$1668,$C1334)*($F1334-1)^3))*IF($F1334&lt;Points!$H$4,Points!$H$5,1),0)))</f>
        <v/>
      </c>
      <c r="H1334" s="11">
        <f>IF($G1334="","",COUNTIFS($B$5:$B$1668,$B1334,$G$5:$G$1668,"&gt;"&amp;$G1334)+COUNTIFS($B$4:$B1333,$B1334,$G$4:$G1333,$G1334)+1)</f>
        <v/>
      </c>
      <c r="I1334" s="11">
        <f>IF($G1334="","",IF($H1334&lt;=Points!$H$6,$G1334,0))</f>
        <v/>
      </c>
      <c r="J1334" s="11">
        <f>IF($B1334="","",IF(COUNTIF(Players!$A$2:$A$500,$B1334)=0,"Player is not on the Players tab",IF(NOT(ISNUMBER($C1334)),"Enter a gross score",IF(COUNTIFS($A$5:$A$1668,$A1334,$B$5:$B$1668,$B1334)&gt;1,"Player is listed twice this week",IF(AND($D1334&lt;&gt;"",COUNTIFS($A$5:$A$1668,$A1334,$D$5:$D$1668,$D1334)&gt;1),"Two players picked as "&amp;$D1334,IF(COUNTIFS($A$5:$A$1668,$A1334,$D$5:$D$1668,"Gross winner")=0,"Pick this week's gross winner",IF(COUNTIFS($A$5:$A$1668,$A1334,$D$5:$D$1668,"Net winner")=0,"Pick this week's net winner","OK")))))))</f>
        <v/>
      </c>
    </row>
    <row r="1335" outlineLevel="1">
      <c r="A1335" s="13" t="n">
        <v>46680</v>
      </c>
      <c r="E1335" s="11">
        <f>IF(OR($B1335="",NOT(ISNUMBER($C1335))),"",COUNTIFS($A$5:$A$1668,$A1335,$C$5:$C$1668,"&lt;"&amp;$C1335)+1)</f>
        <v/>
      </c>
      <c r="F1335" s="11">
        <f>IF(OR($B1335="",NOT(ISNUMBER($C1335))),"",COUNTIFS($A$5:$A$1668,$A1335,$C$5:$C$1668,"&gt;0"))</f>
        <v/>
      </c>
      <c r="G1335" s="11">
        <f>IF(OR($B1335="",NOT(ISNUMBER($C1335))),"",IF($D1335&lt;&gt;"",ROUND(Points!$B$6*IF($F1335&lt;Points!$H$4,Points!$H$5,1),0),ROUND(Points!$B$6*IF($F1335&lt;=1,1,Points!$H$7+(1-Points!$H$7)*((($F1335-$E1335)*(($F1335-$E1335)+1)/2)^2-((($F1335-$E1335-COUNTIFS($A$5:$A$1668,$A1335,$C$5:$C$1668,$C1335)+1)-1)*($F1335-$E1335-COUNTIFS($A$5:$A$1668,$A1335,$C$5:$C$1668,$C1335)+1)/2)^2)/(COUNTIFS($A$5:$A$1668,$A1335,$C$5:$C$1668,$C1335)*($F1335-1)^3))*IF($F1335&lt;Points!$H$4,Points!$H$5,1),0)))</f>
        <v/>
      </c>
      <c r="H1335" s="11">
        <f>IF($G1335="","",COUNTIFS($B$5:$B$1668,$B1335,$G$5:$G$1668,"&gt;"&amp;$G1335)+COUNTIFS($B$4:$B1334,$B1335,$G$4:$G1334,$G1335)+1)</f>
        <v/>
      </c>
      <c r="I1335" s="11">
        <f>IF($G1335="","",IF($H1335&lt;=Points!$H$6,$G1335,0))</f>
        <v/>
      </c>
      <c r="J1335" s="11">
        <f>IF($B1335="","",IF(COUNTIF(Players!$A$2:$A$500,$B1335)=0,"Player is not on the Players tab",IF(NOT(ISNUMBER($C1335)),"Enter a gross score",IF(COUNTIFS($A$5:$A$1668,$A1335,$B$5:$B$1668,$B1335)&gt;1,"Player is listed twice this week",IF(AND($D1335&lt;&gt;"",COUNTIFS($A$5:$A$1668,$A1335,$D$5:$D$1668,$D1335)&gt;1),"Two players picked as "&amp;$D1335,IF(COUNTIFS($A$5:$A$1668,$A1335,$D$5:$D$1668,"Gross winner")=0,"Pick this week's gross winner",IF(COUNTIFS($A$5:$A$1668,$A1335,$D$5:$D$1668,"Net winner")=0,"Pick this week's net winner","OK")))))))</f>
        <v/>
      </c>
    </row>
    <row r="1336" outlineLevel="1">
      <c r="A1336" s="13" t="n">
        <v>46680</v>
      </c>
      <c r="E1336" s="11">
        <f>IF(OR($B1336="",NOT(ISNUMBER($C1336))),"",COUNTIFS($A$5:$A$1668,$A1336,$C$5:$C$1668,"&lt;"&amp;$C1336)+1)</f>
        <v/>
      </c>
      <c r="F1336" s="11">
        <f>IF(OR($B1336="",NOT(ISNUMBER($C1336))),"",COUNTIFS($A$5:$A$1668,$A1336,$C$5:$C$1668,"&gt;0"))</f>
        <v/>
      </c>
      <c r="G1336" s="11">
        <f>IF(OR($B1336="",NOT(ISNUMBER($C1336))),"",IF($D1336&lt;&gt;"",ROUND(Points!$B$6*IF($F1336&lt;Points!$H$4,Points!$H$5,1),0),ROUND(Points!$B$6*IF($F1336&lt;=1,1,Points!$H$7+(1-Points!$H$7)*((($F1336-$E1336)*(($F1336-$E1336)+1)/2)^2-((($F1336-$E1336-COUNTIFS($A$5:$A$1668,$A1336,$C$5:$C$1668,$C1336)+1)-1)*($F1336-$E1336-COUNTIFS($A$5:$A$1668,$A1336,$C$5:$C$1668,$C1336)+1)/2)^2)/(COUNTIFS($A$5:$A$1668,$A1336,$C$5:$C$1668,$C1336)*($F1336-1)^3))*IF($F1336&lt;Points!$H$4,Points!$H$5,1),0)))</f>
        <v/>
      </c>
      <c r="H1336" s="11">
        <f>IF($G1336="","",COUNTIFS($B$5:$B$1668,$B1336,$G$5:$G$1668,"&gt;"&amp;$G1336)+COUNTIFS($B$4:$B1335,$B1336,$G$4:$G1335,$G1336)+1)</f>
        <v/>
      </c>
      <c r="I1336" s="11">
        <f>IF($G1336="","",IF($H1336&lt;=Points!$H$6,$G1336,0))</f>
        <v/>
      </c>
      <c r="J1336" s="11">
        <f>IF($B1336="","",IF(COUNTIF(Players!$A$2:$A$500,$B1336)=0,"Player is not on the Players tab",IF(NOT(ISNUMBER($C1336)),"Enter a gross score",IF(COUNTIFS($A$5:$A$1668,$A1336,$B$5:$B$1668,$B1336)&gt;1,"Player is listed twice this week",IF(AND($D1336&lt;&gt;"",COUNTIFS($A$5:$A$1668,$A1336,$D$5:$D$1668,$D1336)&gt;1),"Two players picked as "&amp;$D1336,IF(COUNTIFS($A$5:$A$1668,$A1336,$D$5:$D$1668,"Gross winner")=0,"Pick this week's gross winner",IF(COUNTIFS($A$5:$A$1668,$A1336,$D$5:$D$1668,"Net winner")=0,"Pick this week's net winner","OK")))))))</f>
        <v/>
      </c>
    </row>
    <row r="1337" outlineLevel="1">
      <c r="A1337" s="13" t="n">
        <v>46680</v>
      </c>
      <c r="E1337" s="11">
        <f>IF(OR($B1337="",NOT(ISNUMBER($C1337))),"",COUNTIFS($A$5:$A$1668,$A1337,$C$5:$C$1668,"&lt;"&amp;$C1337)+1)</f>
        <v/>
      </c>
      <c r="F1337" s="11">
        <f>IF(OR($B1337="",NOT(ISNUMBER($C1337))),"",COUNTIFS($A$5:$A$1668,$A1337,$C$5:$C$1668,"&gt;0"))</f>
        <v/>
      </c>
      <c r="G1337" s="11">
        <f>IF(OR($B1337="",NOT(ISNUMBER($C1337))),"",IF($D1337&lt;&gt;"",ROUND(Points!$B$6*IF($F1337&lt;Points!$H$4,Points!$H$5,1),0),ROUND(Points!$B$6*IF($F1337&lt;=1,1,Points!$H$7+(1-Points!$H$7)*((($F1337-$E1337)*(($F1337-$E1337)+1)/2)^2-((($F1337-$E1337-COUNTIFS($A$5:$A$1668,$A1337,$C$5:$C$1668,$C1337)+1)-1)*($F1337-$E1337-COUNTIFS($A$5:$A$1668,$A1337,$C$5:$C$1668,$C1337)+1)/2)^2)/(COUNTIFS($A$5:$A$1668,$A1337,$C$5:$C$1668,$C1337)*($F1337-1)^3))*IF($F1337&lt;Points!$H$4,Points!$H$5,1),0)))</f>
        <v/>
      </c>
      <c r="H1337" s="11">
        <f>IF($G1337="","",COUNTIFS($B$5:$B$1668,$B1337,$G$5:$G$1668,"&gt;"&amp;$G1337)+COUNTIFS($B$4:$B1336,$B1337,$G$4:$G1336,$G1337)+1)</f>
        <v/>
      </c>
      <c r="I1337" s="11">
        <f>IF($G1337="","",IF($H1337&lt;=Points!$H$6,$G1337,0))</f>
        <v/>
      </c>
      <c r="J1337" s="11">
        <f>IF($B1337="","",IF(COUNTIF(Players!$A$2:$A$500,$B1337)=0,"Player is not on the Players tab",IF(NOT(ISNUMBER($C1337)),"Enter a gross score",IF(COUNTIFS($A$5:$A$1668,$A1337,$B$5:$B$1668,$B1337)&gt;1,"Player is listed twice this week",IF(AND($D1337&lt;&gt;"",COUNTIFS($A$5:$A$1668,$A1337,$D$5:$D$1668,$D1337)&gt;1),"Two players picked as "&amp;$D1337,IF(COUNTIFS($A$5:$A$1668,$A1337,$D$5:$D$1668,"Gross winner")=0,"Pick this week's gross winner",IF(COUNTIFS($A$5:$A$1668,$A1337,$D$5:$D$1668,"Net winner")=0,"Pick this week's net winner","OK")))))))</f>
        <v/>
      </c>
    </row>
    <row r="1338" outlineLevel="1">
      <c r="A1338" s="13" t="n">
        <v>46680</v>
      </c>
      <c r="E1338" s="11">
        <f>IF(OR($B1338="",NOT(ISNUMBER($C1338))),"",COUNTIFS($A$5:$A$1668,$A1338,$C$5:$C$1668,"&lt;"&amp;$C1338)+1)</f>
        <v/>
      </c>
      <c r="F1338" s="11">
        <f>IF(OR($B1338="",NOT(ISNUMBER($C1338))),"",COUNTIFS($A$5:$A$1668,$A1338,$C$5:$C$1668,"&gt;0"))</f>
        <v/>
      </c>
      <c r="G1338" s="11">
        <f>IF(OR($B1338="",NOT(ISNUMBER($C1338))),"",IF($D1338&lt;&gt;"",ROUND(Points!$B$6*IF($F1338&lt;Points!$H$4,Points!$H$5,1),0),ROUND(Points!$B$6*IF($F1338&lt;=1,1,Points!$H$7+(1-Points!$H$7)*((($F1338-$E1338)*(($F1338-$E1338)+1)/2)^2-((($F1338-$E1338-COUNTIFS($A$5:$A$1668,$A1338,$C$5:$C$1668,$C1338)+1)-1)*($F1338-$E1338-COUNTIFS($A$5:$A$1668,$A1338,$C$5:$C$1668,$C1338)+1)/2)^2)/(COUNTIFS($A$5:$A$1668,$A1338,$C$5:$C$1668,$C1338)*($F1338-1)^3))*IF($F1338&lt;Points!$H$4,Points!$H$5,1),0)))</f>
        <v/>
      </c>
      <c r="H1338" s="11">
        <f>IF($G1338="","",COUNTIFS($B$5:$B$1668,$B1338,$G$5:$G$1668,"&gt;"&amp;$G1338)+COUNTIFS($B$4:$B1337,$B1338,$G$4:$G1337,$G1338)+1)</f>
        <v/>
      </c>
      <c r="I1338" s="11">
        <f>IF($G1338="","",IF($H1338&lt;=Points!$H$6,$G1338,0))</f>
        <v/>
      </c>
      <c r="J1338" s="11">
        <f>IF($B1338="","",IF(COUNTIF(Players!$A$2:$A$500,$B1338)=0,"Player is not on the Players tab",IF(NOT(ISNUMBER($C1338)),"Enter a gross score",IF(COUNTIFS($A$5:$A$1668,$A1338,$B$5:$B$1668,$B1338)&gt;1,"Player is listed twice this week",IF(AND($D1338&lt;&gt;"",COUNTIFS($A$5:$A$1668,$A1338,$D$5:$D$1668,$D1338)&gt;1),"Two players picked as "&amp;$D1338,IF(COUNTIFS($A$5:$A$1668,$A1338,$D$5:$D$1668,"Gross winner")=0,"Pick this week's gross winner",IF(COUNTIFS($A$5:$A$1668,$A1338,$D$5:$D$1668,"Net winner")=0,"Pick this week's net winner","OK")))))))</f>
        <v/>
      </c>
    </row>
    <row r="1339" outlineLevel="1">
      <c r="A1339" s="13" t="n">
        <v>46680</v>
      </c>
      <c r="E1339" s="11">
        <f>IF(OR($B1339="",NOT(ISNUMBER($C1339))),"",COUNTIFS($A$5:$A$1668,$A1339,$C$5:$C$1668,"&lt;"&amp;$C1339)+1)</f>
        <v/>
      </c>
      <c r="F1339" s="11">
        <f>IF(OR($B1339="",NOT(ISNUMBER($C1339))),"",COUNTIFS($A$5:$A$1668,$A1339,$C$5:$C$1668,"&gt;0"))</f>
        <v/>
      </c>
      <c r="G1339" s="11">
        <f>IF(OR($B1339="",NOT(ISNUMBER($C1339))),"",IF($D1339&lt;&gt;"",ROUND(Points!$B$6*IF($F1339&lt;Points!$H$4,Points!$H$5,1),0),ROUND(Points!$B$6*IF($F1339&lt;=1,1,Points!$H$7+(1-Points!$H$7)*((($F1339-$E1339)*(($F1339-$E1339)+1)/2)^2-((($F1339-$E1339-COUNTIFS($A$5:$A$1668,$A1339,$C$5:$C$1668,$C1339)+1)-1)*($F1339-$E1339-COUNTIFS($A$5:$A$1668,$A1339,$C$5:$C$1668,$C1339)+1)/2)^2)/(COUNTIFS($A$5:$A$1668,$A1339,$C$5:$C$1668,$C1339)*($F1339-1)^3))*IF($F1339&lt;Points!$H$4,Points!$H$5,1),0)))</f>
        <v/>
      </c>
      <c r="H1339" s="11">
        <f>IF($G1339="","",COUNTIFS($B$5:$B$1668,$B1339,$G$5:$G$1668,"&gt;"&amp;$G1339)+COUNTIFS($B$4:$B1338,$B1339,$G$4:$G1338,$G1339)+1)</f>
        <v/>
      </c>
      <c r="I1339" s="11">
        <f>IF($G1339="","",IF($H1339&lt;=Points!$H$6,$G1339,0))</f>
        <v/>
      </c>
      <c r="J1339" s="11">
        <f>IF($B1339="","",IF(COUNTIF(Players!$A$2:$A$500,$B1339)=0,"Player is not on the Players tab",IF(NOT(ISNUMBER($C1339)),"Enter a gross score",IF(COUNTIFS($A$5:$A$1668,$A1339,$B$5:$B$1668,$B1339)&gt;1,"Player is listed twice this week",IF(AND($D1339&lt;&gt;"",COUNTIFS($A$5:$A$1668,$A1339,$D$5:$D$1668,$D1339)&gt;1),"Two players picked as "&amp;$D1339,IF(COUNTIFS($A$5:$A$1668,$A1339,$D$5:$D$1668,"Gross winner")=0,"Pick this week's gross winner",IF(COUNTIFS($A$5:$A$1668,$A1339,$D$5:$D$1668,"Net winner")=0,"Pick this week's net winner","OK")))))))</f>
        <v/>
      </c>
    </row>
    <row r="1340" outlineLevel="1">
      <c r="A1340" s="13" t="n">
        <v>46680</v>
      </c>
      <c r="E1340" s="11">
        <f>IF(OR($B1340="",NOT(ISNUMBER($C1340))),"",COUNTIFS($A$5:$A$1668,$A1340,$C$5:$C$1668,"&lt;"&amp;$C1340)+1)</f>
        <v/>
      </c>
      <c r="F1340" s="11">
        <f>IF(OR($B1340="",NOT(ISNUMBER($C1340))),"",COUNTIFS($A$5:$A$1668,$A1340,$C$5:$C$1668,"&gt;0"))</f>
        <v/>
      </c>
      <c r="G1340" s="11">
        <f>IF(OR($B1340="",NOT(ISNUMBER($C1340))),"",IF($D1340&lt;&gt;"",ROUND(Points!$B$6*IF($F1340&lt;Points!$H$4,Points!$H$5,1),0),ROUND(Points!$B$6*IF($F1340&lt;=1,1,Points!$H$7+(1-Points!$H$7)*((($F1340-$E1340)*(($F1340-$E1340)+1)/2)^2-((($F1340-$E1340-COUNTIFS($A$5:$A$1668,$A1340,$C$5:$C$1668,$C1340)+1)-1)*($F1340-$E1340-COUNTIFS($A$5:$A$1668,$A1340,$C$5:$C$1668,$C1340)+1)/2)^2)/(COUNTIFS($A$5:$A$1668,$A1340,$C$5:$C$1668,$C1340)*($F1340-1)^3))*IF($F1340&lt;Points!$H$4,Points!$H$5,1),0)))</f>
        <v/>
      </c>
      <c r="H1340" s="11">
        <f>IF($G1340="","",COUNTIFS($B$5:$B$1668,$B1340,$G$5:$G$1668,"&gt;"&amp;$G1340)+COUNTIFS($B$4:$B1339,$B1340,$G$4:$G1339,$G1340)+1)</f>
        <v/>
      </c>
      <c r="I1340" s="11">
        <f>IF($G1340="","",IF($H1340&lt;=Points!$H$6,$G1340,0))</f>
        <v/>
      </c>
      <c r="J1340" s="11">
        <f>IF($B1340="","",IF(COUNTIF(Players!$A$2:$A$500,$B1340)=0,"Player is not on the Players tab",IF(NOT(ISNUMBER($C1340)),"Enter a gross score",IF(COUNTIFS($A$5:$A$1668,$A1340,$B$5:$B$1668,$B1340)&gt;1,"Player is listed twice this week",IF(AND($D1340&lt;&gt;"",COUNTIFS($A$5:$A$1668,$A1340,$D$5:$D$1668,$D1340)&gt;1),"Two players picked as "&amp;$D1340,IF(COUNTIFS($A$5:$A$1668,$A1340,$D$5:$D$1668,"Gross winner")=0,"Pick this week's gross winner",IF(COUNTIFS($A$5:$A$1668,$A1340,$D$5:$D$1668,"Net winner")=0,"Pick this week's net winner","OK")))))))</f>
        <v/>
      </c>
    </row>
    <row r="1341" outlineLevel="1">
      <c r="A1341" s="13" t="n">
        <v>46680</v>
      </c>
      <c r="E1341" s="11">
        <f>IF(OR($B1341="",NOT(ISNUMBER($C1341))),"",COUNTIFS($A$5:$A$1668,$A1341,$C$5:$C$1668,"&lt;"&amp;$C1341)+1)</f>
        <v/>
      </c>
      <c r="F1341" s="11">
        <f>IF(OR($B1341="",NOT(ISNUMBER($C1341))),"",COUNTIFS($A$5:$A$1668,$A1341,$C$5:$C$1668,"&gt;0"))</f>
        <v/>
      </c>
      <c r="G1341" s="11">
        <f>IF(OR($B1341="",NOT(ISNUMBER($C1341))),"",IF($D1341&lt;&gt;"",ROUND(Points!$B$6*IF($F1341&lt;Points!$H$4,Points!$H$5,1),0),ROUND(Points!$B$6*IF($F1341&lt;=1,1,Points!$H$7+(1-Points!$H$7)*((($F1341-$E1341)*(($F1341-$E1341)+1)/2)^2-((($F1341-$E1341-COUNTIFS($A$5:$A$1668,$A1341,$C$5:$C$1668,$C1341)+1)-1)*($F1341-$E1341-COUNTIFS($A$5:$A$1668,$A1341,$C$5:$C$1668,$C1341)+1)/2)^2)/(COUNTIFS($A$5:$A$1668,$A1341,$C$5:$C$1668,$C1341)*($F1341-1)^3))*IF($F1341&lt;Points!$H$4,Points!$H$5,1),0)))</f>
        <v/>
      </c>
      <c r="H1341" s="11">
        <f>IF($G1341="","",COUNTIFS($B$5:$B$1668,$B1341,$G$5:$G$1668,"&gt;"&amp;$G1341)+COUNTIFS($B$4:$B1340,$B1341,$G$4:$G1340,$G1341)+1)</f>
        <v/>
      </c>
      <c r="I1341" s="11">
        <f>IF($G1341="","",IF($H1341&lt;=Points!$H$6,$G1341,0))</f>
        <v/>
      </c>
      <c r="J1341" s="11">
        <f>IF($B1341="","",IF(COUNTIF(Players!$A$2:$A$500,$B1341)=0,"Player is not on the Players tab",IF(NOT(ISNUMBER($C1341)),"Enter a gross score",IF(COUNTIFS($A$5:$A$1668,$A1341,$B$5:$B$1668,$B1341)&gt;1,"Player is listed twice this week",IF(AND($D1341&lt;&gt;"",COUNTIFS($A$5:$A$1668,$A1341,$D$5:$D$1668,$D1341)&gt;1),"Two players picked as "&amp;$D1341,IF(COUNTIFS($A$5:$A$1668,$A1341,$D$5:$D$1668,"Gross winner")=0,"Pick this week's gross winner",IF(COUNTIFS($A$5:$A$1668,$A1341,$D$5:$D$1668,"Net winner")=0,"Pick this week's net winner","OK")))))))</f>
        <v/>
      </c>
    </row>
    <row r="1342" outlineLevel="1">
      <c r="A1342" s="13" t="n">
        <v>46680</v>
      </c>
      <c r="E1342" s="11">
        <f>IF(OR($B1342="",NOT(ISNUMBER($C1342))),"",COUNTIFS($A$5:$A$1668,$A1342,$C$5:$C$1668,"&lt;"&amp;$C1342)+1)</f>
        <v/>
      </c>
      <c r="F1342" s="11">
        <f>IF(OR($B1342="",NOT(ISNUMBER($C1342))),"",COUNTIFS($A$5:$A$1668,$A1342,$C$5:$C$1668,"&gt;0"))</f>
        <v/>
      </c>
      <c r="G1342" s="11">
        <f>IF(OR($B1342="",NOT(ISNUMBER($C1342))),"",IF($D1342&lt;&gt;"",ROUND(Points!$B$6*IF($F1342&lt;Points!$H$4,Points!$H$5,1),0),ROUND(Points!$B$6*IF($F1342&lt;=1,1,Points!$H$7+(1-Points!$H$7)*((($F1342-$E1342)*(($F1342-$E1342)+1)/2)^2-((($F1342-$E1342-COUNTIFS($A$5:$A$1668,$A1342,$C$5:$C$1668,$C1342)+1)-1)*($F1342-$E1342-COUNTIFS($A$5:$A$1668,$A1342,$C$5:$C$1668,$C1342)+1)/2)^2)/(COUNTIFS($A$5:$A$1668,$A1342,$C$5:$C$1668,$C1342)*($F1342-1)^3))*IF($F1342&lt;Points!$H$4,Points!$H$5,1),0)))</f>
        <v/>
      </c>
      <c r="H1342" s="11">
        <f>IF($G1342="","",COUNTIFS($B$5:$B$1668,$B1342,$G$5:$G$1668,"&gt;"&amp;$G1342)+COUNTIFS($B$4:$B1341,$B1342,$G$4:$G1341,$G1342)+1)</f>
        <v/>
      </c>
      <c r="I1342" s="11">
        <f>IF($G1342="","",IF($H1342&lt;=Points!$H$6,$G1342,0))</f>
        <v/>
      </c>
      <c r="J1342" s="11">
        <f>IF($B1342="","",IF(COUNTIF(Players!$A$2:$A$500,$B1342)=0,"Player is not on the Players tab",IF(NOT(ISNUMBER($C1342)),"Enter a gross score",IF(COUNTIFS($A$5:$A$1668,$A1342,$B$5:$B$1668,$B1342)&gt;1,"Player is listed twice this week",IF(AND($D1342&lt;&gt;"",COUNTIFS($A$5:$A$1668,$A1342,$D$5:$D$1668,$D1342)&gt;1),"Two players picked as "&amp;$D1342,IF(COUNTIFS($A$5:$A$1668,$A1342,$D$5:$D$1668,"Gross winner")=0,"Pick this week's gross winner",IF(COUNTIFS($A$5:$A$1668,$A1342,$D$5:$D$1668,"Net winner")=0,"Pick this week's net winner","OK")))))))</f>
        <v/>
      </c>
    </row>
    <row r="1343" outlineLevel="1">
      <c r="A1343" s="13" t="n">
        <v>46680</v>
      </c>
      <c r="E1343" s="11">
        <f>IF(OR($B1343="",NOT(ISNUMBER($C1343))),"",COUNTIFS($A$5:$A$1668,$A1343,$C$5:$C$1668,"&lt;"&amp;$C1343)+1)</f>
        <v/>
      </c>
      <c r="F1343" s="11">
        <f>IF(OR($B1343="",NOT(ISNUMBER($C1343))),"",COUNTIFS($A$5:$A$1668,$A1343,$C$5:$C$1668,"&gt;0"))</f>
        <v/>
      </c>
      <c r="G1343" s="11">
        <f>IF(OR($B1343="",NOT(ISNUMBER($C1343))),"",IF($D1343&lt;&gt;"",ROUND(Points!$B$6*IF($F1343&lt;Points!$H$4,Points!$H$5,1),0),ROUND(Points!$B$6*IF($F1343&lt;=1,1,Points!$H$7+(1-Points!$H$7)*((($F1343-$E1343)*(($F1343-$E1343)+1)/2)^2-((($F1343-$E1343-COUNTIFS($A$5:$A$1668,$A1343,$C$5:$C$1668,$C1343)+1)-1)*($F1343-$E1343-COUNTIFS($A$5:$A$1668,$A1343,$C$5:$C$1668,$C1343)+1)/2)^2)/(COUNTIFS($A$5:$A$1668,$A1343,$C$5:$C$1668,$C1343)*($F1343-1)^3))*IF($F1343&lt;Points!$H$4,Points!$H$5,1),0)))</f>
        <v/>
      </c>
      <c r="H1343" s="11">
        <f>IF($G1343="","",COUNTIFS($B$5:$B$1668,$B1343,$G$5:$G$1668,"&gt;"&amp;$G1343)+COUNTIFS($B$4:$B1342,$B1343,$G$4:$G1342,$G1343)+1)</f>
        <v/>
      </c>
      <c r="I1343" s="11">
        <f>IF($G1343="","",IF($H1343&lt;=Points!$H$6,$G1343,0))</f>
        <v/>
      </c>
      <c r="J1343" s="11">
        <f>IF($B1343="","",IF(COUNTIF(Players!$A$2:$A$500,$B1343)=0,"Player is not on the Players tab",IF(NOT(ISNUMBER($C1343)),"Enter a gross score",IF(COUNTIFS($A$5:$A$1668,$A1343,$B$5:$B$1668,$B1343)&gt;1,"Player is listed twice this week",IF(AND($D1343&lt;&gt;"",COUNTIFS($A$5:$A$1668,$A1343,$D$5:$D$1668,$D1343)&gt;1),"Two players picked as "&amp;$D1343,IF(COUNTIFS($A$5:$A$1668,$A1343,$D$5:$D$1668,"Gross winner")=0,"Pick this week's gross winner",IF(COUNTIFS($A$5:$A$1668,$A1343,$D$5:$D$1668,"Net winner")=0,"Pick this week's net winner","OK")))))))</f>
        <v/>
      </c>
    </row>
    <row r="1344" outlineLevel="1">
      <c r="A1344" s="13" t="n">
        <v>46680</v>
      </c>
      <c r="E1344" s="11">
        <f>IF(OR($B1344="",NOT(ISNUMBER($C1344))),"",COUNTIFS($A$5:$A$1668,$A1344,$C$5:$C$1668,"&lt;"&amp;$C1344)+1)</f>
        <v/>
      </c>
      <c r="F1344" s="11">
        <f>IF(OR($B1344="",NOT(ISNUMBER($C1344))),"",COUNTIFS($A$5:$A$1668,$A1344,$C$5:$C$1668,"&gt;0"))</f>
        <v/>
      </c>
      <c r="G1344" s="11">
        <f>IF(OR($B1344="",NOT(ISNUMBER($C1344))),"",IF($D1344&lt;&gt;"",ROUND(Points!$B$6*IF($F1344&lt;Points!$H$4,Points!$H$5,1),0),ROUND(Points!$B$6*IF($F1344&lt;=1,1,Points!$H$7+(1-Points!$H$7)*((($F1344-$E1344)*(($F1344-$E1344)+1)/2)^2-((($F1344-$E1344-COUNTIFS($A$5:$A$1668,$A1344,$C$5:$C$1668,$C1344)+1)-1)*($F1344-$E1344-COUNTIFS($A$5:$A$1668,$A1344,$C$5:$C$1668,$C1344)+1)/2)^2)/(COUNTIFS($A$5:$A$1668,$A1344,$C$5:$C$1668,$C1344)*($F1344-1)^3))*IF($F1344&lt;Points!$H$4,Points!$H$5,1),0)))</f>
        <v/>
      </c>
      <c r="H1344" s="11">
        <f>IF($G1344="","",COUNTIFS($B$5:$B$1668,$B1344,$G$5:$G$1668,"&gt;"&amp;$G1344)+COUNTIFS($B$4:$B1343,$B1344,$G$4:$G1343,$G1344)+1)</f>
        <v/>
      </c>
      <c r="I1344" s="11">
        <f>IF($G1344="","",IF($H1344&lt;=Points!$H$6,$G1344,0))</f>
        <v/>
      </c>
      <c r="J1344" s="11">
        <f>IF($B1344="","",IF(COUNTIF(Players!$A$2:$A$500,$B1344)=0,"Player is not on the Players tab",IF(NOT(ISNUMBER($C1344)),"Enter a gross score",IF(COUNTIFS($A$5:$A$1668,$A1344,$B$5:$B$1668,$B1344)&gt;1,"Player is listed twice this week",IF(AND($D1344&lt;&gt;"",COUNTIFS($A$5:$A$1668,$A1344,$D$5:$D$1668,$D1344)&gt;1),"Two players picked as "&amp;$D1344,IF(COUNTIFS($A$5:$A$1668,$A1344,$D$5:$D$1668,"Gross winner")=0,"Pick this week's gross winner",IF(COUNTIFS($A$5:$A$1668,$A1344,$D$5:$D$1668,"Net winner")=0,"Pick this week's net winner","OK")))))))</f>
        <v/>
      </c>
    </row>
    <row r="1345" outlineLevel="1">
      <c r="A1345" s="13" t="n">
        <v>46680</v>
      </c>
      <c r="E1345" s="11">
        <f>IF(OR($B1345="",NOT(ISNUMBER($C1345))),"",COUNTIFS($A$5:$A$1668,$A1345,$C$5:$C$1668,"&lt;"&amp;$C1345)+1)</f>
        <v/>
      </c>
      <c r="F1345" s="11">
        <f>IF(OR($B1345="",NOT(ISNUMBER($C1345))),"",COUNTIFS($A$5:$A$1668,$A1345,$C$5:$C$1668,"&gt;0"))</f>
        <v/>
      </c>
      <c r="G1345" s="11">
        <f>IF(OR($B1345="",NOT(ISNUMBER($C1345))),"",IF($D1345&lt;&gt;"",ROUND(Points!$B$6*IF($F1345&lt;Points!$H$4,Points!$H$5,1),0),ROUND(Points!$B$6*IF($F1345&lt;=1,1,Points!$H$7+(1-Points!$H$7)*((($F1345-$E1345)*(($F1345-$E1345)+1)/2)^2-((($F1345-$E1345-COUNTIFS($A$5:$A$1668,$A1345,$C$5:$C$1668,$C1345)+1)-1)*($F1345-$E1345-COUNTIFS($A$5:$A$1668,$A1345,$C$5:$C$1668,$C1345)+1)/2)^2)/(COUNTIFS($A$5:$A$1668,$A1345,$C$5:$C$1668,$C1345)*($F1345-1)^3))*IF($F1345&lt;Points!$H$4,Points!$H$5,1),0)))</f>
        <v/>
      </c>
      <c r="H1345" s="11">
        <f>IF($G1345="","",COUNTIFS($B$5:$B$1668,$B1345,$G$5:$G$1668,"&gt;"&amp;$G1345)+COUNTIFS($B$4:$B1344,$B1345,$G$4:$G1344,$G1345)+1)</f>
        <v/>
      </c>
      <c r="I1345" s="11">
        <f>IF($G1345="","",IF($H1345&lt;=Points!$H$6,$G1345,0))</f>
        <v/>
      </c>
      <c r="J1345" s="11">
        <f>IF($B1345="","",IF(COUNTIF(Players!$A$2:$A$500,$B1345)=0,"Player is not on the Players tab",IF(NOT(ISNUMBER($C1345)),"Enter a gross score",IF(COUNTIFS($A$5:$A$1668,$A1345,$B$5:$B$1668,$B1345)&gt;1,"Player is listed twice this week",IF(AND($D1345&lt;&gt;"",COUNTIFS($A$5:$A$1668,$A1345,$D$5:$D$1668,$D1345)&gt;1),"Two players picked as "&amp;$D1345,IF(COUNTIFS($A$5:$A$1668,$A1345,$D$5:$D$1668,"Gross winner")=0,"Pick this week's gross winner",IF(COUNTIFS($A$5:$A$1668,$A1345,$D$5:$D$1668,"Net winner")=0,"Pick this week's net winner","OK")))))))</f>
        <v/>
      </c>
    </row>
    <row r="1346" outlineLevel="1">
      <c r="A1346" s="13" t="n">
        <v>46680</v>
      </c>
      <c r="E1346" s="11">
        <f>IF(OR($B1346="",NOT(ISNUMBER($C1346))),"",COUNTIFS($A$5:$A$1668,$A1346,$C$5:$C$1668,"&lt;"&amp;$C1346)+1)</f>
        <v/>
      </c>
      <c r="F1346" s="11">
        <f>IF(OR($B1346="",NOT(ISNUMBER($C1346))),"",COUNTIFS($A$5:$A$1668,$A1346,$C$5:$C$1668,"&gt;0"))</f>
        <v/>
      </c>
      <c r="G1346" s="11">
        <f>IF(OR($B1346="",NOT(ISNUMBER($C1346))),"",IF($D1346&lt;&gt;"",ROUND(Points!$B$6*IF($F1346&lt;Points!$H$4,Points!$H$5,1),0),ROUND(Points!$B$6*IF($F1346&lt;=1,1,Points!$H$7+(1-Points!$H$7)*((($F1346-$E1346)*(($F1346-$E1346)+1)/2)^2-((($F1346-$E1346-COUNTIFS($A$5:$A$1668,$A1346,$C$5:$C$1668,$C1346)+1)-1)*($F1346-$E1346-COUNTIFS($A$5:$A$1668,$A1346,$C$5:$C$1668,$C1346)+1)/2)^2)/(COUNTIFS($A$5:$A$1668,$A1346,$C$5:$C$1668,$C1346)*($F1346-1)^3))*IF($F1346&lt;Points!$H$4,Points!$H$5,1),0)))</f>
        <v/>
      </c>
      <c r="H1346" s="11">
        <f>IF($G1346="","",COUNTIFS($B$5:$B$1668,$B1346,$G$5:$G$1668,"&gt;"&amp;$G1346)+COUNTIFS($B$4:$B1345,$B1346,$G$4:$G1345,$G1346)+1)</f>
        <v/>
      </c>
      <c r="I1346" s="11">
        <f>IF($G1346="","",IF($H1346&lt;=Points!$H$6,$G1346,0))</f>
        <v/>
      </c>
      <c r="J1346" s="11">
        <f>IF($B1346="","",IF(COUNTIF(Players!$A$2:$A$500,$B1346)=0,"Player is not on the Players tab",IF(NOT(ISNUMBER($C1346)),"Enter a gross score",IF(COUNTIFS($A$5:$A$1668,$A1346,$B$5:$B$1668,$B1346)&gt;1,"Player is listed twice this week",IF(AND($D1346&lt;&gt;"",COUNTIFS($A$5:$A$1668,$A1346,$D$5:$D$1668,$D1346)&gt;1),"Two players picked as "&amp;$D1346,IF(COUNTIFS($A$5:$A$1668,$A1346,$D$5:$D$1668,"Gross winner")=0,"Pick this week's gross winner",IF(COUNTIFS($A$5:$A$1668,$A1346,$D$5:$D$1668,"Net winner")=0,"Pick this week's net winner","OK")))))))</f>
        <v/>
      </c>
    </row>
    <row r="1347" outlineLevel="1">
      <c r="A1347" s="13" t="n">
        <v>46680</v>
      </c>
      <c r="E1347" s="11">
        <f>IF(OR($B1347="",NOT(ISNUMBER($C1347))),"",COUNTIFS($A$5:$A$1668,$A1347,$C$5:$C$1668,"&lt;"&amp;$C1347)+1)</f>
        <v/>
      </c>
      <c r="F1347" s="11">
        <f>IF(OR($B1347="",NOT(ISNUMBER($C1347))),"",COUNTIFS($A$5:$A$1668,$A1347,$C$5:$C$1668,"&gt;0"))</f>
        <v/>
      </c>
      <c r="G1347" s="11">
        <f>IF(OR($B1347="",NOT(ISNUMBER($C1347))),"",IF($D1347&lt;&gt;"",ROUND(Points!$B$6*IF($F1347&lt;Points!$H$4,Points!$H$5,1),0),ROUND(Points!$B$6*IF($F1347&lt;=1,1,Points!$H$7+(1-Points!$H$7)*((($F1347-$E1347)*(($F1347-$E1347)+1)/2)^2-((($F1347-$E1347-COUNTIFS($A$5:$A$1668,$A1347,$C$5:$C$1668,$C1347)+1)-1)*($F1347-$E1347-COUNTIFS($A$5:$A$1668,$A1347,$C$5:$C$1668,$C1347)+1)/2)^2)/(COUNTIFS($A$5:$A$1668,$A1347,$C$5:$C$1668,$C1347)*($F1347-1)^3))*IF($F1347&lt;Points!$H$4,Points!$H$5,1),0)))</f>
        <v/>
      </c>
      <c r="H1347" s="11">
        <f>IF($G1347="","",COUNTIFS($B$5:$B$1668,$B1347,$G$5:$G$1668,"&gt;"&amp;$G1347)+COUNTIFS($B$4:$B1346,$B1347,$G$4:$G1346,$G1347)+1)</f>
        <v/>
      </c>
      <c r="I1347" s="11">
        <f>IF($G1347="","",IF($H1347&lt;=Points!$H$6,$G1347,0))</f>
        <v/>
      </c>
      <c r="J1347" s="11">
        <f>IF($B1347="","",IF(COUNTIF(Players!$A$2:$A$500,$B1347)=0,"Player is not on the Players tab",IF(NOT(ISNUMBER($C1347)),"Enter a gross score",IF(COUNTIFS($A$5:$A$1668,$A1347,$B$5:$B$1668,$B1347)&gt;1,"Player is listed twice this week",IF(AND($D1347&lt;&gt;"",COUNTIFS($A$5:$A$1668,$A1347,$D$5:$D$1668,$D1347)&gt;1),"Two players picked as "&amp;$D1347,IF(COUNTIFS($A$5:$A$1668,$A1347,$D$5:$D$1668,"Gross winner")=0,"Pick this week's gross winner",IF(COUNTIFS($A$5:$A$1668,$A1347,$D$5:$D$1668,"Net winner")=0,"Pick this week's net winner","OK")))))))</f>
        <v/>
      </c>
    </row>
    <row r="1348" ht="10" customHeight="1"/>
    <row r="1349" ht="22" customHeight="1">
      <c r="A1349" s="12" t="inlineStr">
        <is>
          <t>Week 43  ·  Wednesday, Oct 27</t>
        </is>
      </c>
    </row>
    <row r="1350" outlineLevel="1">
      <c r="A1350" s="13" t="n">
        <v>46687</v>
      </c>
      <c r="E1350" s="11">
        <f>IF(OR($B1350="",NOT(ISNUMBER($C1350))),"",COUNTIFS($A$5:$A$1668,$A1350,$C$5:$C$1668,"&lt;"&amp;$C1350)+1)</f>
        <v/>
      </c>
      <c r="F1350" s="11">
        <f>IF(OR($B1350="",NOT(ISNUMBER($C1350))),"",COUNTIFS($A$5:$A$1668,$A1350,$C$5:$C$1668,"&gt;0"))</f>
        <v/>
      </c>
      <c r="G1350" s="11">
        <f>IF(OR($B1350="",NOT(ISNUMBER($C1350))),"",IF($D1350&lt;&gt;"",ROUND(Points!$B$6*IF($F1350&lt;Points!$H$4,Points!$H$5,1),0),ROUND(Points!$B$6*IF($F1350&lt;=1,1,Points!$H$7+(1-Points!$H$7)*((($F1350-$E1350)*(($F1350-$E1350)+1)/2)^2-((($F1350-$E1350-COUNTIFS($A$5:$A$1668,$A1350,$C$5:$C$1668,$C1350)+1)-1)*($F1350-$E1350-COUNTIFS($A$5:$A$1668,$A1350,$C$5:$C$1668,$C1350)+1)/2)^2)/(COUNTIFS($A$5:$A$1668,$A1350,$C$5:$C$1668,$C1350)*($F1350-1)^3))*IF($F1350&lt;Points!$H$4,Points!$H$5,1),0)))</f>
        <v/>
      </c>
      <c r="H1350" s="11">
        <f>IF($G1350="","",COUNTIFS($B$5:$B$1668,$B1350,$G$5:$G$1668,"&gt;"&amp;$G1350)+COUNTIFS($B$4:$B1349,$B1350,$G$4:$G1349,$G1350)+1)</f>
        <v/>
      </c>
      <c r="I1350" s="11">
        <f>IF($G1350="","",IF($H1350&lt;=Points!$H$6,$G1350,0))</f>
        <v/>
      </c>
      <c r="J1350" s="11">
        <f>IF($B1350="","",IF(COUNTIF(Players!$A$2:$A$500,$B1350)=0,"Player is not on the Players tab",IF(NOT(ISNUMBER($C1350)),"Enter a gross score",IF(COUNTIFS($A$5:$A$1668,$A1350,$B$5:$B$1668,$B1350)&gt;1,"Player is listed twice this week",IF(AND($D1350&lt;&gt;"",COUNTIFS($A$5:$A$1668,$A1350,$D$5:$D$1668,$D1350)&gt;1),"Two players picked as "&amp;$D1350,IF(COUNTIFS($A$5:$A$1668,$A1350,$D$5:$D$1668,"Gross winner")=0,"Pick this week's gross winner",IF(COUNTIFS($A$5:$A$1668,$A1350,$D$5:$D$1668,"Net winner")=0,"Pick this week's net winner","OK")))))))</f>
        <v/>
      </c>
    </row>
    <row r="1351" outlineLevel="1">
      <c r="A1351" s="13" t="n">
        <v>46687</v>
      </c>
      <c r="E1351" s="11">
        <f>IF(OR($B1351="",NOT(ISNUMBER($C1351))),"",COUNTIFS($A$5:$A$1668,$A1351,$C$5:$C$1668,"&lt;"&amp;$C1351)+1)</f>
        <v/>
      </c>
      <c r="F1351" s="11">
        <f>IF(OR($B1351="",NOT(ISNUMBER($C1351))),"",COUNTIFS($A$5:$A$1668,$A1351,$C$5:$C$1668,"&gt;0"))</f>
        <v/>
      </c>
      <c r="G1351" s="11">
        <f>IF(OR($B1351="",NOT(ISNUMBER($C1351))),"",IF($D1351&lt;&gt;"",ROUND(Points!$B$6*IF($F1351&lt;Points!$H$4,Points!$H$5,1),0),ROUND(Points!$B$6*IF($F1351&lt;=1,1,Points!$H$7+(1-Points!$H$7)*((($F1351-$E1351)*(($F1351-$E1351)+1)/2)^2-((($F1351-$E1351-COUNTIFS($A$5:$A$1668,$A1351,$C$5:$C$1668,$C1351)+1)-1)*($F1351-$E1351-COUNTIFS($A$5:$A$1668,$A1351,$C$5:$C$1668,$C1351)+1)/2)^2)/(COUNTIFS($A$5:$A$1668,$A1351,$C$5:$C$1668,$C1351)*($F1351-1)^3))*IF($F1351&lt;Points!$H$4,Points!$H$5,1),0)))</f>
        <v/>
      </c>
      <c r="H1351" s="11">
        <f>IF($G1351="","",COUNTIFS($B$5:$B$1668,$B1351,$G$5:$G$1668,"&gt;"&amp;$G1351)+COUNTIFS($B$4:$B1350,$B1351,$G$4:$G1350,$G1351)+1)</f>
        <v/>
      </c>
      <c r="I1351" s="11">
        <f>IF($G1351="","",IF($H1351&lt;=Points!$H$6,$G1351,0))</f>
        <v/>
      </c>
      <c r="J1351" s="11">
        <f>IF($B1351="","",IF(COUNTIF(Players!$A$2:$A$500,$B1351)=0,"Player is not on the Players tab",IF(NOT(ISNUMBER($C1351)),"Enter a gross score",IF(COUNTIFS($A$5:$A$1668,$A1351,$B$5:$B$1668,$B1351)&gt;1,"Player is listed twice this week",IF(AND($D1351&lt;&gt;"",COUNTIFS($A$5:$A$1668,$A1351,$D$5:$D$1668,$D1351)&gt;1),"Two players picked as "&amp;$D1351,IF(COUNTIFS($A$5:$A$1668,$A1351,$D$5:$D$1668,"Gross winner")=0,"Pick this week's gross winner",IF(COUNTIFS($A$5:$A$1668,$A1351,$D$5:$D$1668,"Net winner")=0,"Pick this week's net winner","OK")))))))</f>
        <v/>
      </c>
    </row>
    <row r="1352" outlineLevel="1">
      <c r="A1352" s="13" t="n">
        <v>46687</v>
      </c>
      <c r="E1352" s="11">
        <f>IF(OR($B1352="",NOT(ISNUMBER($C1352))),"",COUNTIFS($A$5:$A$1668,$A1352,$C$5:$C$1668,"&lt;"&amp;$C1352)+1)</f>
        <v/>
      </c>
      <c r="F1352" s="11">
        <f>IF(OR($B1352="",NOT(ISNUMBER($C1352))),"",COUNTIFS($A$5:$A$1668,$A1352,$C$5:$C$1668,"&gt;0"))</f>
        <v/>
      </c>
      <c r="G1352" s="11">
        <f>IF(OR($B1352="",NOT(ISNUMBER($C1352))),"",IF($D1352&lt;&gt;"",ROUND(Points!$B$6*IF($F1352&lt;Points!$H$4,Points!$H$5,1),0),ROUND(Points!$B$6*IF($F1352&lt;=1,1,Points!$H$7+(1-Points!$H$7)*((($F1352-$E1352)*(($F1352-$E1352)+1)/2)^2-((($F1352-$E1352-COUNTIFS($A$5:$A$1668,$A1352,$C$5:$C$1668,$C1352)+1)-1)*($F1352-$E1352-COUNTIFS($A$5:$A$1668,$A1352,$C$5:$C$1668,$C1352)+1)/2)^2)/(COUNTIFS($A$5:$A$1668,$A1352,$C$5:$C$1668,$C1352)*($F1352-1)^3))*IF($F1352&lt;Points!$H$4,Points!$H$5,1),0)))</f>
        <v/>
      </c>
      <c r="H1352" s="11">
        <f>IF($G1352="","",COUNTIFS($B$5:$B$1668,$B1352,$G$5:$G$1668,"&gt;"&amp;$G1352)+COUNTIFS($B$4:$B1351,$B1352,$G$4:$G1351,$G1352)+1)</f>
        <v/>
      </c>
      <c r="I1352" s="11">
        <f>IF($G1352="","",IF($H1352&lt;=Points!$H$6,$G1352,0))</f>
        <v/>
      </c>
      <c r="J1352" s="11">
        <f>IF($B1352="","",IF(COUNTIF(Players!$A$2:$A$500,$B1352)=0,"Player is not on the Players tab",IF(NOT(ISNUMBER($C1352)),"Enter a gross score",IF(COUNTIFS($A$5:$A$1668,$A1352,$B$5:$B$1668,$B1352)&gt;1,"Player is listed twice this week",IF(AND($D1352&lt;&gt;"",COUNTIFS($A$5:$A$1668,$A1352,$D$5:$D$1668,$D1352)&gt;1),"Two players picked as "&amp;$D1352,IF(COUNTIFS($A$5:$A$1668,$A1352,$D$5:$D$1668,"Gross winner")=0,"Pick this week's gross winner",IF(COUNTIFS($A$5:$A$1668,$A1352,$D$5:$D$1668,"Net winner")=0,"Pick this week's net winner","OK")))))))</f>
        <v/>
      </c>
    </row>
    <row r="1353" outlineLevel="1">
      <c r="A1353" s="13" t="n">
        <v>46687</v>
      </c>
      <c r="E1353" s="11">
        <f>IF(OR($B1353="",NOT(ISNUMBER($C1353))),"",COUNTIFS($A$5:$A$1668,$A1353,$C$5:$C$1668,"&lt;"&amp;$C1353)+1)</f>
        <v/>
      </c>
      <c r="F1353" s="11">
        <f>IF(OR($B1353="",NOT(ISNUMBER($C1353))),"",COUNTIFS($A$5:$A$1668,$A1353,$C$5:$C$1668,"&gt;0"))</f>
        <v/>
      </c>
      <c r="G1353" s="11">
        <f>IF(OR($B1353="",NOT(ISNUMBER($C1353))),"",IF($D1353&lt;&gt;"",ROUND(Points!$B$6*IF($F1353&lt;Points!$H$4,Points!$H$5,1),0),ROUND(Points!$B$6*IF($F1353&lt;=1,1,Points!$H$7+(1-Points!$H$7)*((($F1353-$E1353)*(($F1353-$E1353)+1)/2)^2-((($F1353-$E1353-COUNTIFS($A$5:$A$1668,$A1353,$C$5:$C$1668,$C1353)+1)-1)*($F1353-$E1353-COUNTIFS($A$5:$A$1668,$A1353,$C$5:$C$1668,$C1353)+1)/2)^2)/(COUNTIFS($A$5:$A$1668,$A1353,$C$5:$C$1668,$C1353)*($F1353-1)^3))*IF($F1353&lt;Points!$H$4,Points!$H$5,1),0)))</f>
        <v/>
      </c>
      <c r="H1353" s="11">
        <f>IF($G1353="","",COUNTIFS($B$5:$B$1668,$B1353,$G$5:$G$1668,"&gt;"&amp;$G1353)+COUNTIFS($B$4:$B1352,$B1353,$G$4:$G1352,$G1353)+1)</f>
        <v/>
      </c>
      <c r="I1353" s="11">
        <f>IF($G1353="","",IF($H1353&lt;=Points!$H$6,$G1353,0))</f>
        <v/>
      </c>
      <c r="J1353" s="11">
        <f>IF($B1353="","",IF(COUNTIF(Players!$A$2:$A$500,$B1353)=0,"Player is not on the Players tab",IF(NOT(ISNUMBER($C1353)),"Enter a gross score",IF(COUNTIFS($A$5:$A$1668,$A1353,$B$5:$B$1668,$B1353)&gt;1,"Player is listed twice this week",IF(AND($D1353&lt;&gt;"",COUNTIFS($A$5:$A$1668,$A1353,$D$5:$D$1668,$D1353)&gt;1),"Two players picked as "&amp;$D1353,IF(COUNTIFS($A$5:$A$1668,$A1353,$D$5:$D$1668,"Gross winner")=0,"Pick this week's gross winner",IF(COUNTIFS($A$5:$A$1668,$A1353,$D$5:$D$1668,"Net winner")=0,"Pick this week's net winner","OK")))))))</f>
        <v/>
      </c>
    </row>
    <row r="1354" outlineLevel="1">
      <c r="A1354" s="13" t="n">
        <v>46687</v>
      </c>
      <c r="E1354" s="11">
        <f>IF(OR($B1354="",NOT(ISNUMBER($C1354))),"",COUNTIFS($A$5:$A$1668,$A1354,$C$5:$C$1668,"&lt;"&amp;$C1354)+1)</f>
        <v/>
      </c>
      <c r="F1354" s="11">
        <f>IF(OR($B1354="",NOT(ISNUMBER($C1354))),"",COUNTIFS($A$5:$A$1668,$A1354,$C$5:$C$1668,"&gt;0"))</f>
        <v/>
      </c>
      <c r="G1354" s="11">
        <f>IF(OR($B1354="",NOT(ISNUMBER($C1354))),"",IF($D1354&lt;&gt;"",ROUND(Points!$B$6*IF($F1354&lt;Points!$H$4,Points!$H$5,1),0),ROUND(Points!$B$6*IF($F1354&lt;=1,1,Points!$H$7+(1-Points!$H$7)*((($F1354-$E1354)*(($F1354-$E1354)+1)/2)^2-((($F1354-$E1354-COUNTIFS($A$5:$A$1668,$A1354,$C$5:$C$1668,$C1354)+1)-1)*($F1354-$E1354-COUNTIFS($A$5:$A$1668,$A1354,$C$5:$C$1668,$C1354)+1)/2)^2)/(COUNTIFS($A$5:$A$1668,$A1354,$C$5:$C$1668,$C1354)*($F1354-1)^3))*IF($F1354&lt;Points!$H$4,Points!$H$5,1),0)))</f>
        <v/>
      </c>
      <c r="H1354" s="11">
        <f>IF($G1354="","",COUNTIFS($B$5:$B$1668,$B1354,$G$5:$G$1668,"&gt;"&amp;$G1354)+COUNTIFS($B$4:$B1353,$B1354,$G$4:$G1353,$G1354)+1)</f>
        <v/>
      </c>
      <c r="I1354" s="11">
        <f>IF($G1354="","",IF($H1354&lt;=Points!$H$6,$G1354,0))</f>
        <v/>
      </c>
      <c r="J1354" s="11">
        <f>IF($B1354="","",IF(COUNTIF(Players!$A$2:$A$500,$B1354)=0,"Player is not on the Players tab",IF(NOT(ISNUMBER($C1354)),"Enter a gross score",IF(COUNTIFS($A$5:$A$1668,$A1354,$B$5:$B$1668,$B1354)&gt;1,"Player is listed twice this week",IF(AND($D1354&lt;&gt;"",COUNTIFS($A$5:$A$1668,$A1354,$D$5:$D$1668,$D1354)&gt;1),"Two players picked as "&amp;$D1354,IF(COUNTIFS($A$5:$A$1668,$A1354,$D$5:$D$1668,"Gross winner")=0,"Pick this week's gross winner",IF(COUNTIFS($A$5:$A$1668,$A1354,$D$5:$D$1668,"Net winner")=0,"Pick this week's net winner","OK")))))))</f>
        <v/>
      </c>
    </row>
    <row r="1355" outlineLevel="1">
      <c r="A1355" s="13" t="n">
        <v>46687</v>
      </c>
      <c r="E1355" s="11">
        <f>IF(OR($B1355="",NOT(ISNUMBER($C1355))),"",COUNTIFS($A$5:$A$1668,$A1355,$C$5:$C$1668,"&lt;"&amp;$C1355)+1)</f>
        <v/>
      </c>
      <c r="F1355" s="11">
        <f>IF(OR($B1355="",NOT(ISNUMBER($C1355))),"",COUNTIFS($A$5:$A$1668,$A1355,$C$5:$C$1668,"&gt;0"))</f>
        <v/>
      </c>
      <c r="G1355" s="11">
        <f>IF(OR($B1355="",NOT(ISNUMBER($C1355))),"",IF($D1355&lt;&gt;"",ROUND(Points!$B$6*IF($F1355&lt;Points!$H$4,Points!$H$5,1),0),ROUND(Points!$B$6*IF($F1355&lt;=1,1,Points!$H$7+(1-Points!$H$7)*((($F1355-$E1355)*(($F1355-$E1355)+1)/2)^2-((($F1355-$E1355-COUNTIFS($A$5:$A$1668,$A1355,$C$5:$C$1668,$C1355)+1)-1)*($F1355-$E1355-COUNTIFS($A$5:$A$1668,$A1355,$C$5:$C$1668,$C1355)+1)/2)^2)/(COUNTIFS($A$5:$A$1668,$A1355,$C$5:$C$1668,$C1355)*($F1355-1)^3))*IF($F1355&lt;Points!$H$4,Points!$H$5,1),0)))</f>
        <v/>
      </c>
      <c r="H1355" s="11">
        <f>IF($G1355="","",COUNTIFS($B$5:$B$1668,$B1355,$G$5:$G$1668,"&gt;"&amp;$G1355)+COUNTIFS($B$4:$B1354,$B1355,$G$4:$G1354,$G1355)+1)</f>
        <v/>
      </c>
      <c r="I1355" s="11">
        <f>IF($G1355="","",IF($H1355&lt;=Points!$H$6,$G1355,0))</f>
        <v/>
      </c>
      <c r="J1355" s="11">
        <f>IF($B1355="","",IF(COUNTIF(Players!$A$2:$A$500,$B1355)=0,"Player is not on the Players tab",IF(NOT(ISNUMBER($C1355)),"Enter a gross score",IF(COUNTIFS($A$5:$A$1668,$A1355,$B$5:$B$1668,$B1355)&gt;1,"Player is listed twice this week",IF(AND($D1355&lt;&gt;"",COUNTIFS($A$5:$A$1668,$A1355,$D$5:$D$1668,$D1355)&gt;1),"Two players picked as "&amp;$D1355,IF(COUNTIFS($A$5:$A$1668,$A1355,$D$5:$D$1668,"Gross winner")=0,"Pick this week's gross winner",IF(COUNTIFS($A$5:$A$1668,$A1355,$D$5:$D$1668,"Net winner")=0,"Pick this week's net winner","OK")))))))</f>
        <v/>
      </c>
    </row>
    <row r="1356" outlineLevel="1">
      <c r="A1356" s="13" t="n">
        <v>46687</v>
      </c>
      <c r="E1356" s="11">
        <f>IF(OR($B1356="",NOT(ISNUMBER($C1356))),"",COUNTIFS($A$5:$A$1668,$A1356,$C$5:$C$1668,"&lt;"&amp;$C1356)+1)</f>
        <v/>
      </c>
      <c r="F1356" s="11">
        <f>IF(OR($B1356="",NOT(ISNUMBER($C1356))),"",COUNTIFS($A$5:$A$1668,$A1356,$C$5:$C$1668,"&gt;0"))</f>
        <v/>
      </c>
      <c r="G1356" s="11">
        <f>IF(OR($B1356="",NOT(ISNUMBER($C1356))),"",IF($D1356&lt;&gt;"",ROUND(Points!$B$6*IF($F1356&lt;Points!$H$4,Points!$H$5,1),0),ROUND(Points!$B$6*IF($F1356&lt;=1,1,Points!$H$7+(1-Points!$H$7)*((($F1356-$E1356)*(($F1356-$E1356)+1)/2)^2-((($F1356-$E1356-COUNTIFS($A$5:$A$1668,$A1356,$C$5:$C$1668,$C1356)+1)-1)*($F1356-$E1356-COUNTIFS($A$5:$A$1668,$A1356,$C$5:$C$1668,$C1356)+1)/2)^2)/(COUNTIFS($A$5:$A$1668,$A1356,$C$5:$C$1668,$C1356)*($F1356-1)^3))*IF($F1356&lt;Points!$H$4,Points!$H$5,1),0)))</f>
        <v/>
      </c>
      <c r="H1356" s="11">
        <f>IF($G1356="","",COUNTIFS($B$5:$B$1668,$B1356,$G$5:$G$1668,"&gt;"&amp;$G1356)+COUNTIFS($B$4:$B1355,$B1356,$G$4:$G1355,$G1356)+1)</f>
        <v/>
      </c>
      <c r="I1356" s="11">
        <f>IF($G1356="","",IF($H1356&lt;=Points!$H$6,$G1356,0))</f>
        <v/>
      </c>
      <c r="J1356" s="11">
        <f>IF($B1356="","",IF(COUNTIF(Players!$A$2:$A$500,$B1356)=0,"Player is not on the Players tab",IF(NOT(ISNUMBER($C1356)),"Enter a gross score",IF(COUNTIFS($A$5:$A$1668,$A1356,$B$5:$B$1668,$B1356)&gt;1,"Player is listed twice this week",IF(AND($D1356&lt;&gt;"",COUNTIFS($A$5:$A$1668,$A1356,$D$5:$D$1668,$D1356)&gt;1),"Two players picked as "&amp;$D1356,IF(COUNTIFS($A$5:$A$1668,$A1356,$D$5:$D$1668,"Gross winner")=0,"Pick this week's gross winner",IF(COUNTIFS($A$5:$A$1668,$A1356,$D$5:$D$1668,"Net winner")=0,"Pick this week's net winner","OK")))))))</f>
        <v/>
      </c>
    </row>
    <row r="1357" outlineLevel="1">
      <c r="A1357" s="13" t="n">
        <v>46687</v>
      </c>
      <c r="E1357" s="11">
        <f>IF(OR($B1357="",NOT(ISNUMBER($C1357))),"",COUNTIFS($A$5:$A$1668,$A1357,$C$5:$C$1668,"&lt;"&amp;$C1357)+1)</f>
        <v/>
      </c>
      <c r="F1357" s="11">
        <f>IF(OR($B1357="",NOT(ISNUMBER($C1357))),"",COUNTIFS($A$5:$A$1668,$A1357,$C$5:$C$1668,"&gt;0"))</f>
        <v/>
      </c>
      <c r="G1357" s="11">
        <f>IF(OR($B1357="",NOT(ISNUMBER($C1357))),"",IF($D1357&lt;&gt;"",ROUND(Points!$B$6*IF($F1357&lt;Points!$H$4,Points!$H$5,1),0),ROUND(Points!$B$6*IF($F1357&lt;=1,1,Points!$H$7+(1-Points!$H$7)*((($F1357-$E1357)*(($F1357-$E1357)+1)/2)^2-((($F1357-$E1357-COUNTIFS($A$5:$A$1668,$A1357,$C$5:$C$1668,$C1357)+1)-1)*($F1357-$E1357-COUNTIFS($A$5:$A$1668,$A1357,$C$5:$C$1668,$C1357)+1)/2)^2)/(COUNTIFS($A$5:$A$1668,$A1357,$C$5:$C$1668,$C1357)*($F1357-1)^3))*IF($F1357&lt;Points!$H$4,Points!$H$5,1),0)))</f>
        <v/>
      </c>
      <c r="H1357" s="11">
        <f>IF($G1357="","",COUNTIFS($B$5:$B$1668,$B1357,$G$5:$G$1668,"&gt;"&amp;$G1357)+COUNTIFS($B$4:$B1356,$B1357,$G$4:$G1356,$G1357)+1)</f>
        <v/>
      </c>
      <c r="I1357" s="11">
        <f>IF($G1357="","",IF($H1357&lt;=Points!$H$6,$G1357,0))</f>
        <v/>
      </c>
      <c r="J1357" s="11">
        <f>IF($B1357="","",IF(COUNTIF(Players!$A$2:$A$500,$B1357)=0,"Player is not on the Players tab",IF(NOT(ISNUMBER($C1357)),"Enter a gross score",IF(COUNTIFS($A$5:$A$1668,$A1357,$B$5:$B$1668,$B1357)&gt;1,"Player is listed twice this week",IF(AND($D1357&lt;&gt;"",COUNTIFS($A$5:$A$1668,$A1357,$D$5:$D$1668,$D1357)&gt;1),"Two players picked as "&amp;$D1357,IF(COUNTIFS($A$5:$A$1668,$A1357,$D$5:$D$1668,"Gross winner")=0,"Pick this week's gross winner",IF(COUNTIFS($A$5:$A$1668,$A1357,$D$5:$D$1668,"Net winner")=0,"Pick this week's net winner","OK")))))))</f>
        <v/>
      </c>
    </row>
    <row r="1358" outlineLevel="1">
      <c r="A1358" s="13" t="n">
        <v>46687</v>
      </c>
      <c r="E1358" s="11">
        <f>IF(OR($B1358="",NOT(ISNUMBER($C1358))),"",COUNTIFS($A$5:$A$1668,$A1358,$C$5:$C$1668,"&lt;"&amp;$C1358)+1)</f>
        <v/>
      </c>
      <c r="F1358" s="11">
        <f>IF(OR($B1358="",NOT(ISNUMBER($C1358))),"",COUNTIFS($A$5:$A$1668,$A1358,$C$5:$C$1668,"&gt;0"))</f>
        <v/>
      </c>
      <c r="G1358" s="11">
        <f>IF(OR($B1358="",NOT(ISNUMBER($C1358))),"",IF($D1358&lt;&gt;"",ROUND(Points!$B$6*IF($F1358&lt;Points!$H$4,Points!$H$5,1),0),ROUND(Points!$B$6*IF($F1358&lt;=1,1,Points!$H$7+(1-Points!$H$7)*((($F1358-$E1358)*(($F1358-$E1358)+1)/2)^2-((($F1358-$E1358-COUNTIFS($A$5:$A$1668,$A1358,$C$5:$C$1668,$C1358)+1)-1)*($F1358-$E1358-COUNTIFS($A$5:$A$1668,$A1358,$C$5:$C$1668,$C1358)+1)/2)^2)/(COUNTIFS($A$5:$A$1668,$A1358,$C$5:$C$1668,$C1358)*($F1358-1)^3))*IF($F1358&lt;Points!$H$4,Points!$H$5,1),0)))</f>
        <v/>
      </c>
      <c r="H1358" s="11">
        <f>IF($G1358="","",COUNTIFS($B$5:$B$1668,$B1358,$G$5:$G$1668,"&gt;"&amp;$G1358)+COUNTIFS($B$4:$B1357,$B1358,$G$4:$G1357,$G1358)+1)</f>
        <v/>
      </c>
      <c r="I1358" s="11">
        <f>IF($G1358="","",IF($H1358&lt;=Points!$H$6,$G1358,0))</f>
        <v/>
      </c>
      <c r="J1358" s="11">
        <f>IF($B1358="","",IF(COUNTIF(Players!$A$2:$A$500,$B1358)=0,"Player is not on the Players tab",IF(NOT(ISNUMBER($C1358)),"Enter a gross score",IF(COUNTIFS($A$5:$A$1668,$A1358,$B$5:$B$1668,$B1358)&gt;1,"Player is listed twice this week",IF(AND($D1358&lt;&gt;"",COUNTIFS($A$5:$A$1668,$A1358,$D$5:$D$1668,$D1358)&gt;1),"Two players picked as "&amp;$D1358,IF(COUNTIFS($A$5:$A$1668,$A1358,$D$5:$D$1668,"Gross winner")=0,"Pick this week's gross winner",IF(COUNTIFS($A$5:$A$1668,$A1358,$D$5:$D$1668,"Net winner")=0,"Pick this week's net winner","OK")))))))</f>
        <v/>
      </c>
    </row>
    <row r="1359" outlineLevel="1">
      <c r="A1359" s="13" t="n">
        <v>46687</v>
      </c>
      <c r="E1359" s="11">
        <f>IF(OR($B1359="",NOT(ISNUMBER($C1359))),"",COUNTIFS($A$5:$A$1668,$A1359,$C$5:$C$1668,"&lt;"&amp;$C1359)+1)</f>
        <v/>
      </c>
      <c r="F1359" s="11">
        <f>IF(OR($B1359="",NOT(ISNUMBER($C1359))),"",COUNTIFS($A$5:$A$1668,$A1359,$C$5:$C$1668,"&gt;0"))</f>
        <v/>
      </c>
      <c r="G1359" s="11">
        <f>IF(OR($B1359="",NOT(ISNUMBER($C1359))),"",IF($D1359&lt;&gt;"",ROUND(Points!$B$6*IF($F1359&lt;Points!$H$4,Points!$H$5,1),0),ROUND(Points!$B$6*IF($F1359&lt;=1,1,Points!$H$7+(1-Points!$H$7)*((($F1359-$E1359)*(($F1359-$E1359)+1)/2)^2-((($F1359-$E1359-COUNTIFS($A$5:$A$1668,$A1359,$C$5:$C$1668,$C1359)+1)-1)*($F1359-$E1359-COUNTIFS($A$5:$A$1668,$A1359,$C$5:$C$1668,$C1359)+1)/2)^2)/(COUNTIFS($A$5:$A$1668,$A1359,$C$5:$C$1668,$C1359)*($F1359-1)^3))*IF($F1359&lt;Points!$H$4,Points!$H$5,1),0)))</f>
        <v/>
      </c>
      <c r="H1359" s="11">
        <f>IF($G1359="","",COUNTIFS($B$5:$B$1668,$B1359,$G$5:$G$1668,"&gt;"&amp;$G1359)+COUNTIFS($B$4:$B1358,$B1359,$G$4:$G1358,$G1359)+1)</f>
        <v/>
      </c>
      <c r="I1359" s="11">
        <f>IF($G1359="","",IF($H1359&lt;=Points!$H$6,$G1359,0))</f>
        <v/>
      </c>
      <c r="J1359" s="11">
        <f>IF($B1359="","",IF(COUNTIF(Players!$A$2:$A$500,$B1359)=0,"Player is not on the Players tab",IF(NOT(ISNUMBER($C1359)),"Enter a gross score",IF(COUNTIFS($A$5:$A$1668,$A1359,$B$5:$B$1668,$B1359)&gt;1,"Player is listed twice this week",IF(AND($D1359&lt;&gt;"",COUNTIFS($A$5:$A$1668,$A1359,$D$5:$D$1668,$D1359)&gt;1),"Two players picked as "&amp;$D1359,IF(COUNTIFS($A$5:$A$1668,$A1359,$D$5:$D$1668,"Gross winner")=0,"Pick this week's gross winner",IF(COUNTIFS($A$5:$A$1668,$A1359,$D$5:$D$1668,"Net winner")=0,"Pick this week's net winner","OK")))))))</f>
        <v/>
      </c>
    </row>
    <row r="1360" outlineLevel="1">
      <c r="A1360" s="13" t="n">
        <v>46687</v>
      </c>
      <c r="E1360" s="11">
        <f>IF(OR($B1360="",NOT(ISNUMBER($C1360))),"",COUNTIFS($A$5:$A$1668,$A1360,$C$5:$C$1668,"&lt;"&amp;$C1360)+1)</f>
        <v/>
      </c>
      <c r="F1360" s="11">
        <f>IF(OR($B1360="",NOT(ISNUMBER($C1360))),"",COUNTIFS($A$5:$A$1668,$A1360,$C$5:$C$1668,"&gt;0"))</f>
        <v/>
      </c>
      <c r="G1360" s="11">
        <f>IF(OR($B1360="",NOT(ISNUMBER($C1360))),"",IF($D1360&lt;&gt;"",ROUND(Points!$B$6*IF($F1360&lt;Points!$H$4,Points!$H$5,1),0),ROUND(Points!$B$6*IF($F1360&lt;=1,1,Points!$H$7+(1-Points!$H$7)*((($F1360-$E1360)*(($F1360-$E1360)+1)/2)^2-((($F1360-$E1360-COUNTIFS($A$5:$A$1668,$A1360,$C$5:$C$1668,$C1360)+1)-1)*($F1360-$E1360-COUNTIFS($A$5:$A$1668,$A1360,$C$5:$C$1668,$C1360)+1)/2)^2)/(COUNTIFS($A$5:$A$1668,$A1360,$C$5:$C$1668,$C1360)*($F1360-1)^3))*IF($F1360&lt;Points!$H$4,Points!$H$5,1),0)))</f>
        <v/>
      </c>
      <c r="H1360" s="11">
        <f>IF($G1360="","",COUNTIFS($B$5:$B$1668,$B1360,$G$5:$G$1668,"&gt;"&amp;$G1360)+COUNTIFS($B$4:$B1359,$B1360,$G$4:$G1359,$G1360)+1)</f>
        <v/>
      </c>
      <c r="I1360" s="11">
        <f>IF($G1360="","",IF($H1360&lt;=Points!$H$6,$G1360,0))</f>
        <v/>
      </c>
      <c r="J1360" s="11">
        <f>IF($B1360="","",IF(COUNTIF(Players!$A$2:$A$500,$B1360)=0,"Player is not on the Players tab",IF(NOT(ISNUMBER($C1360)),"Enter a gross score",IF(COUNTIFS($A$5:$A$1668,$A1360,$B$5:$B$1668,$B1360)&gt;1,"Player is listed twice this week",IF(AND($D1360&lt;&gt;"",COUNTIFS($A$5:$A$1668,$A1360,$D$5:$D$1668,$D1360)&gt;1),"Two players picked as "&amp;$D1360,IF(COUNTIFS($A$5:$A$1668,$A1360,$D$5:$D$1668,"Gross winner")=0,"Pick this week's gross winner",IF(COUNTIFS($A$5:$A$1668,$A1360,$D$5:$D$1668,"Net winner")=0,"Pick this week's net winner","OK")))))))</f>
        <v/>
      </c>
    </row>
    <row r="1361" outlineLevel="1">
      <c r="A1361" s="13" t="n">
        <v>46687</v>
      </c>
      <c r="E1361" s="11">
        <f>IF(OR($B1361="",NOT(ISNUMBER($C1361))),"",COUNTIFS($A$5:$A$1668,$A1361,$C$5:$C$1668,"&lt;"&amp;$C1361)+1)</f>
        <v/>
      </c>
      <c r="F1361" s="11">
        <f>IF(OR($B1361="",NOT(ISNUMBER($C1361))),"",COUNTIFS($A$5:$A$1668,$A1361,$C$5:$C$1668,"&gt;0"))</f>
        <v/>
      </c>
      <c r="G1361" s="11">
        <f>IF(OR($B1361="",NOT(ISNUMBER($C1361))),"",IF($D1361&lt;&gt;"",ROUND(Points!$B$6*IF($F1361&lt;Points!$H$4,Points!$H$5,1),0),ROUND(Points!$B$6*IF($F1361&lt;=1,1,Points!$H$7+(1-Points!$H$7)*((($F1361-$E1361)*(($F1361-$E1361)+1)/2)^2-((($F1361-$E1361-COUNTIFS($A$5:$A$1668,$A1361,$C$5:$C$1668,$C1361)+1)-1)*($F1361-$E1361-COUNTIFS($A$5:$A$1668,$A1361,$C$5:$C$1668,$C1361)+1)/2)^2)/(COUNTIFS($A$5:$A$1668,$A1361,$C$5:$C$1668,$C1361)*($F1361-1)^3))*IF($F1361&lt;Points!$H$4,Points!$H$5,1),0)))</f>
        <v/>
      </c>
      <c r="H1361" s="11">
        <f>IF($G1361="","",COUNTIFS($B$5:$B$1668,$B1361,$G$5:$G$1668,"&gt;"&amp;$G1361)+COUNTIFS($B$4:$B1360,$B1361,$G$4:$G1360,$G1361)+1)</f>
        <v/>
      </c>
      <c r="I1361" s="11">
        <f>IF($G1361="","",IF($H1361&lt;=Points!$H$6,$G1361,0))</f>
        <v/>
      </c>
      <c r="J1361" s="11">
        <f>IF($B1361="","",IF(COUNTIF(Players!$A$2:$A$500,$B1361)=0,"Player is not on the Players tab",IF(NOT(ISNUMBER($C1361)),"Enter a gross score",IF(COUNTIFS($A$5:$A$1668,$A1361,$B$5:$B$1668,$B1361)&gt;1,"Player is listed twice this week",IF(AND($D1361&lt;&gt;"",COUNTIFS($A$5:$A$1668,$A1361,$D$5:$D$1668,$D1361)&gt;1),"Two players picked as "&amp;$D1361,IF(COUNTIFS($A$5:$A$1668,$A1361,$D$5:$D$1668,"Gross winner")=0,"Pick this week's gross winner",IF(COUNTIFS($A$5:$A$1668,$A1361,$D$5:$D$1668,"Net winner")=0,"Pick this week's net winner","OK")))))))</f>
        <v/>
      </c>
    </row>
    <row r="1362" outlineLevel="1">
      <c r="A1362" s="13" t="n">
        <v>46687</v>
      </c>
      <c r="E1362" s="11">
        <f>IF(OR($B1362="",NOT(ISNUMBER($C1362))),"",COUNTIFS($A$5:$A$1668,$A1362,$C$5:$C$1668,"&lt;"&amp;$C1362)+1)</f>
        <v/>
      </c>
      <c r="F1362" s="11">
        <f>IF(OR($B1362="",NOT(ISNUMBER($C1362))),"",COUNTIFS($A$5:$A$1668,$A1362,$C$5:$C$1668,"&gt;0"))</f>
        <v/>
      </c>
      <c r="G1362" s="11">
        <f>IF(OR($B1362="",NOT(ISNUMBER($C1362))),"",IF($D1362&lt;&gt;"",ROUND(Points!$B$6*IF($F1362&lt;Points!$H$4,Points!$H$5,1),0),ROUND(Points!$B$6*IF($F1362&lt;=1,1,Points!$H$7+(1-Points!$H$7)*((($F1362-$E1362)*(($F1362-$E1362)+1)/2)^2-((($F1362-$E1362-COUNTIFS($A$5:$A$1668,$A1362,$C$5:$C$1668,$C1362)+1)-1)*($F1362-$E1362-COUNTIFS($A$5:$A$1668,$A1362,$C$5:$C$1668,$C1362)+1)/2)^2)/(COUNTIFS($A$5:$A$1668,$A1362,$C$5:$C$1668,$C1362)*($F1362-1)^3))*IF($F1362&lt;Points!$H$4,Points!$H$5,1),0)))</f>
        <v/>
      </c>
      <c r="H1362" s="11">
        <f>IF($G1362="","",COUNTIFS($B$5:$B$1668,$B1362,$G$5:$G$1668,"&gt;"&amp;$G1362)+COUNTIFS($B$4:$B1361,$B1362,$G$4:$G1361,$G1362)+1)</f>
        <v/>
      </c>
      <c r="I1362" s="11">
        <f>IF($G1362="","",IF($H1362&lt;=Points!$H$6,$G1362,0))</f>
        <v/>
      </c>
      <c r="J1362" s="11">
        <f>IF($B1362="","",IF(COUNTIF(Players!$A$2:$A$500,$B1362)=0,"Player is not on the Players tab",IF(NOT(ISNUMBER($C1362)),"Enter a gross score",IF(COUNTIFS($A$5:$A$1668,$A1362,$B$5:$B$1668,$B1362)&gt;1,"Player is listed twice this week",IF(AND($D1362&lt;&gt;"",COUNTIFS($A$5:$A$1668,$A1362,$D$5:$D$1668,$D1362)&gt;1),"Two players picked as "&amp;$D1362,IF(COUNTIFS($A$5:$A$1668,$A1362,$D$5:$D$1668,"Gross winner")=0,"Pick this week's gross winner",IF(COUNTIFS($A$5:$A$1668,$A1362,$D$5:$D$1668,"Net winner")=0,"Pick this week's net winner","OK")))))))</f>
        <v/>
      </c>
    </row>
    <row r="1363" outlineLevel="1">
      <c r="A1363" s="13" t="n">
        <v>46687</v>
      </c>
      <c r="E1363" s="11">
        <f>IF(OR($B1363="",NOT(ISNUMBER($C1363))),"",COUNTIFS($A$5:$A$1668,$A1363,$C$5:$C$1668,"&lt;"&amp;$C1363)+1)</f>
        <v/>
      </c>
      <c r="F1363" s="11">
        <f>IF(OR($B1363="",NOT(ISNUMBER($C1363))),"",COUNTIFS($A$5:$A$1668,$A1363,$C$5:$C$1668,"&gt;0"))</f>
        <v/>
      </c>
      <c r="G1363" s="11">
        <f>IF(OR($B1363="",NOT(ISNUMBER($C1363))),"",IF($D1363&lt;&gt;"",ROUND(Points!$B$6*IF($F1363&lt;Points!$H$4,Points!$H$5,1),0),ROUND(Points!$B$6*IF($F1363&lt;=1,1,Points!$H$7+(1-Points!$H$7)*((($F1363-$E1363)*(($F1363-$E1363)+1)/2)^2-((($F1363-$E1363-COUNTIFS($A$5:$A$1668,$A1363,$C$5:$C$1668,$C1363)+1)-1)*($F1363-$E1363-COUNTIFS($A$5:$A$1668,$A1363,$C$5:$C$1668,$C1363)+1)/2)^2)/(COUNTIFS($A$5:$A$1668,$A1363,$C$5:$C$1668,$C1363)*($F1363-1)^3))*IF($F1363&lt;Points!$H$4,Points!$H$5,1),0)))</f>
        <v/>
      </c>
      <c r="H1363" s="11">
        <f>IF($G1363="","",COUNTIFS($B$5:$B$1668,$B1363,$G$5:$G$1668,"&gt;"&amp;$G1363)+COUNTIFS($B$4:$B1362,$B1363,$G$4:$G1362,$G1363)+1)</f>
        <v/>
      </c>
      <c r="I1363" s="11">
        <f>IF($G1363="","",IF($H1363&lt;=Points!$H$6,$G1363,0))</f>
        <v/>
      </c>
      <c r="J1363" s="11">
        <f>IF($B1363="","",IF(COUNTIF(Players!$A$2:$A$500,$B1363)=0,"Player is not on the Players tab",IF(NOT(ISNUMBER($C1363)),"Enter a gross score",IF(COUNTIFS($A$5:$A$1668,$A1363,$B$5:$B$1668,$B1363)&gt;1,"Player is listed twice this week",IF(AND($D1363&lt;&gt;"",COUNTIFS($A$5:$A$1668,$A1363,$D$5:$D$1668,$D1363)&gt;1),"Two players picked as "&amp;$D1363,IF(COUNTIFS($A$5:$A$1668,$A1363,$D$5:$D$1668,"Gross winner")=0,"Pick this week's gross winner",IF(COUNTIFS($A$5:$A$1668,$A1363,$D$5:$D$1668,"Net winner")=0,"Pick this week's net winner","OK")))))))</f>
        <v/>
      </c>
    </row>
    <row r="1364" outlineLevel="1">
      <c r="A1364" s="13" t="n">
        <v>46687</v>
      </c>
      <c r="E1364" s="11">
        <f>IF(OR($B1364="",NOT(ISNUMBER($C1364))),"",COUNTIFS($A$5:$A$1668,$A1364,$C$5:$C$1668,"&lt;"&amp;$C1364)+1)</f>
        <v/>
      </c>
      <c r="F1364" s="11">
        <f>IF(OR($B1364="",NOT(ISNUMBER($C1364))),"",COUNTIFS($A$5:$A$1668,$A1364,$C$5:$C$1668,"&gt;0"))</f>
        <v/>
      </c>
      <c r="G1364" s="11">
        <f>IF(OR($B1364="",NOT(ISNUMBER($C1364))),"",IF($D1364&lt;&gt;"",ROUND(Points!$B$6*IF($F1364&lt;Points!$H$4,Points!$H$5,1),0),ROUND(Points!$B$6*IF($F1364&lt;=1,1,Points!$H$7+(1-Points!$H$7)*((($F1364-$E1364)*(($F1364-$E1364)+1)/2)^2-((($F1364-$E1364-COUNTIFS($A$5:$A$1668,$A1364,$C$5:$C$1668,$C1364)+1)-1)*($F1364-$E1364-COUNTIFS($A$5:$A$1668,$A1364,$C$5:$C$1668,$C1364)+1)/2)^2)/(COUNTIFS($A$5:$A$1668,$A1364,$C$5:$C$1668,$C1364)*($F1364-1)^3))*IF($F1364&lt;Points!$H$4,Points!$H$5,1),0)))</f>
        <v/>
      </c>
      <c r="H1364" s="11">
        <f>IF($G1364="","",COUNTIFS($B$5:$B$1668,$B1364,$G$5:$G$1668,"&gt;"&amp;$G1364)+COUNTIFS($B$4:$B1363,$B1364,$G$4:$G1363,$G1364)+1)</f>
        <v/>
      </c>
      <c r="I1364" s="11">
        <f>IF($G1364="","",IF($H1364&lt;=Points!$H$6,$G1364,0))</f>
        <v/>
      </c>
      <c r="J1364" s="11">
        <f>IF($B1364="","",IF(COUNTIF(Players!$A$2:$A$500,$B1364)=0,"Player is not on the Players tab",IF(NOT(ISNUMBER($C1364)),"Enter a gross score",IF(COUNTIFS($A$5:$A$1668,$A1364,$B$5:$B$1668,$B1364)&gt;1,"Player is listed twice this week",IF(AND($D1364&lt;&gt;"",COUNTIFS($A$5:$A$1668,$A1364,$D$5:$D$1668,$D1364)&gt;1),"Two players picked as "&amp;$D1364,IF(COUNTIFS($A$5:$A$1668,$A1364,$D$5:$D$1668,"Gross winner")=0,"Pick this week's gross winner",IF(COUNTIFS($A$5:$A$1668,$A1364,$D$5:$D$1668,"Net winner")=0,"Pick this week's net winner","OK")))))))</f>
        <v/>
      </c>
    </row>
    <row r="1365" outlineLevel="1">
      <c r="A1365" s="13" t="n">
        <v>46687</v>
      </c>
      <c r="E1365" s="11">
        <f>IF(OR($B1365="",NOT(ISNUMBER($C1365))),"",COUNTIFS($A$5:$A$1668,$A1365,$C$5:$C$1668,"&lt;"&amp;$C1365)+1)</f>
        <v/>
      </c>
      <c r="F1365" s="11">
        <f>IF(OR($B1365="",NOT(ISNUMBER($C1365))),"",COUNTIFS($A$5:$A$1668,$A1365,$C$5:$C$1668,"&gt;0"))</f>
        <v/>
      </c>
      <c r="G1365" s="11">
        <f>IF(OR($B1365="",NOT(ISNUMBER($C1365))),"",IF($D1365&lt;&gt;"",ROUND(Points!$B$6*IF($F1365&lt;Points!$H$4,Points!$H$5,1),0),ROUND(Points!$B$6*IF($F1365&lt;=1,1,Points!$H$7+(1-Points!$H$7)*((($F1365-$E1365)*(($F1365-$E1365)+1)/2)^2-((($F1365-$E1365-COUNTIFS($A$5:$A$1668,$A1365,$C$5:$C$1668,$C1365)+1)-1)*($F1365-$E1365-COUNTIFS($A$5:$A$1668,$A1365,$C$5:$C$1668,$C1365)+1)/2)^2)/(COUNTIFS($A$5:$A$1668,$A1365,$C$5:$C$1668,$C1365)*($F1365-1)^3))*IF($F1365&lt;Points!$H$4,Points!$H$5,1),0)))</f>
        <v/>
      </c>
      <c r="H1365" s="11">
        <f>IF($G1365="","",COUNTIFS($B$5:$B$1668,$B1365,$G$5:$G$1668,"&gt;"&amp;$G1365)+COUNTIFS($B$4:$B1364,$B1365,$G$4:$G1364,$G1365)+1)</f>
        <v/>
      </c>
      <c r="I1365" s="11">
        <f>IF($G1365="","",IF($H1365&lt;=Points!$H$6,$G1365,0))</f>
        <v/>
      </c>
      <c r="J1365" s="11">
        <f>IF($B1365="","",IF(COUNTIF(Players!$A$2:$A$500,$B1365)=0,"Player is not on the Players tab",IF(NOT(ISNUMBER($C1365)),"Enter a gross score",IF(COUNTIFS($A$5:$A$1668,$A1365,$B$5:$B$1668,$B1365)&gt;1,"Player is listed twice this week",IF(AND($D1365&lt;&gt;"",COUNTIFS($A$5:$A$1668,$A1365,$D$5:$D$1668,$D1365)&gt;1),"Two players picked as "&amp;$D1365,IF(COUNTIFS($A$5:$A$1668,$A1365,$D$5:$D$1668,"Gross winner")=0,"Pick this week's gross winner",IF(COUNTIFS($A$5:$A$1668,$A1365,$D$5:$D$1668,"Net winner")=0,"Pick this week's net winner","OK")))))))</f>
        <v/>
      </c>
    </row>
    <row r="1366" outlineLevel="1">
      <c r="A1366" s="13" t="n">
        <v>46687</v>
      </c>
      <c r="E1366" s="11">
        <f>IF(OR($B1366="",NOT(ISNUMBER($C1366))),"",COUNTIFS($A$5:$A$1668,$A1366,$C$5:$C$1668,"&lt;"&amp;$C1366)+1)</f>
        <v/>
      </c>
      <c r="F1366" s="11">
        <f>IF(OR($B1366="",NOT(ISNUMBER($C1366))),"",COUNTIFS($A$5:$A$1668,$A1366,$C$5:$C$1668,"&gt;0"))</f>
        <v/>
      </c>
      <c r="G1366" s="11">
        <f>IF(OR($B1366="",NOT(ISNUMBER($C1366))),"",IF($D1366&lt;&gt;"",ROUND(Points!$B$6*IF($F1366&lt;Points!$H$4,Points!$H$5,1),0),ROUND(Points!$B$6*IF($F1366&lt;=1,1,Points!$H$7+(1-Points!$H$7)*((($F1366-$E1366)*(($F1366-$E1366)+1)/2)^2-((($F1366-$E1366-COUNTIFS($A$5:$A$1668,$A1366,$C$5:$C$1668,$C1366)+1)-1)*($F1366-$E1366-COUNTIFS($A$5:$A$1668,$A1366,$C$5:$C$1668,$C1366)+1)/2)^2)/(COUNTIFS($A$5:$A$1668,$A1366,$C$5:$C$1668,$C1366)*($F1366-1)^3))*IF($F1366&lt;Points!$H$4,Points!$H$5,1),0)))</f>
        <v/>
      </c>
      <c r="H1366" s="11">
        <f>IF($G1366="","",COUNTIFS($B$5:$B$1668,$B1366,$G$5:$G$1668,"&gt;"&amp;$G1366)+COUNTIFS($B$4:$B1365,$B1366,$G$4:$G1365,$G1366)+1)</f>
        <v/>
      </c>
      <c r="I1366" s="11">
        <f>IF($G1366="","",IF($H1366&lt;=Points!$H$6,$G1366,0))</f>
        <v/>
      </c>
      <c r="J1366" s="11">
        <f>IF($B1366="","",IF(COUNTIF(Players!$A$2:$A$500,$B1366)=0,"Player is not on the Players tab",IF(NOT(ISNUMBER($C1366)),"Enter a gross score",IF(COUNTIFS($A$5:$A$1668,$A1366,$B$5:$B$1668,$B1366)&gt;1,"Player is listed twice this week",IF(AND($D1366&lt;&gt;"",COUNTIFS($A$5:$A$1668,$A1366,$D$5:$D$1668,$D1366)&gt;1),"Two players picked as "&amp;$D1366,IF(COUNTIFS($A$5:$A$1668,$A1366,$D$5:$D$1668,"Gross winner")=0,"Pick this week's gross winner",IF(COUNTIFS($A$5:$A$1668,$A1366,$D$5:$D$1668,"Net winner")=0,"Pick this week's net winner","OK")))))))</f>
        <v/>
      </c>
    </row>
    <row r="1367" outlineLevel="1">
      <c r="A1367" s="13" t="n">
        <v>46687</v>
      </c>
      <c r="E1367" s="11">
        <f>IF(OR($B1367="",NOT(ISNUMBER($C1367))),"",COUNTIFS($A$5:$A$1668,$A1367,$C$5:$C$1668,"&lt;"&amp;$C1367)+1)</f>
        <v/>
      </c>
      <c r="F1367" s="11">
        <f>IF(OR($B1367="",NOT(ISNUMBER($C1367))),"",COUNTIFS($A$5:$A$1668,$A1367,$C$5:$C$1668,"&gt;0"))</f>
        <v/>
      </c>
      <c r="G1367" s="11">
        <f>IF(OR($B1367="",NOT(ISNUMBER($C1367))),"",IF($D1367&lt;&gt;"",ROUND(Points!$B$6*IF($F1367&lt;Points!$H$4,Points!$H$5,1),0),ROUND(Points!$B$6*IF($F1367&lt;=1,1,Points!$H$7+(1-Points!$H$7)*((($F1367-$E1367)*(($F1367-$E1367)+1)/2)^2-((($F1367-$E1367-COUNTIFS($A$5:$A$1668,$A1367,$C$5:$C$1668,$C1367)+1)-1)*($F1367-$E1367-COUNTIFS($A$5:$A$1668,$A1367,$C$5:$C$1668,$C1367)+1)/2)^2)/(COUNTIFS($A$5:$A$1668,$A1367,$C$5:$C$1668,$C1367)*($F1367-1)^3))*IF($F1367&lt;Points!$H$4,Points!$H$5,1),0)))</f>
        <v/>
      </c>
      <c r="H1367" s="11">
        <f>IF($G1367="","",COUNTIFS($B$5:$B$1668,$B1367,$G$5:$G$1668,"&gt;"&amp;$G1367)+COUNTIFS($B$4:$B1366,$B1367,$G$4:$G1366,$G1367)+1)</f>
        <v/>
      </c>
      <c r="I1367" s="11">
        <f>IF($G1367="","",IF($H1367&lt;=Points!$H$6,$G1367,0))</f>
        <v/>
      </c>
      <c r="J1367" s="11">
        <f>IF($B1367="","",IF(COUNTIF(Players!$A$2:$A$500,$B1367)=0,"Player is not on the Players tab",IF(NOT(ISNUMBER($C1367)),"Enter a gross score",IF(COUNTIFS($A$5:$A$1668,$A1367,$B$5:$B$1668,$B1367)&gt;1,"Player is listed twice this week",IF(AND($D1367&lt;&gt;"",COUNTIFS($A$5:$A$1668,$A1367,$D$5:$D$1668,$D1367)&gt;1),"Two players picked as "&amp;$D1367,IF(COUNTIFS($A$5:$A$1668,$A1367,$D$5:$D$1668,"Gross winner")=0,"Pick this week's gross winner",IF(COUNTIFS($A$5:$A$1668,$A1367,$D$5:$D$1668,"Net winner")=0,"Pick this week's net winner","OK")))))))</f>
        <v/>
      </c>
    </row>
    <row r="1368" outlineLevel="1">
      <c r="A1368" s="13" t="n">
        <v>46687</v>
      </c>
      <c r="E1368" s="11">
        <f>IF(OR($B1368="",NOT(ISNUMBER($C1368))),"",COUNTIFS($A$5:$A$1668,$A1368,$C$5:$C$1668,"&lt;"&amp;$C1368)+1)</f>
        <v/>
      </c>
      <c r="F1368" s="11">
        <f>IF(OR($B1368="",NOT(ISNUMBER($C1368))),"",COUNTIFS($A$5:$A$1668,$A1368,$C$5:$C$1668,"&gt;0"))</f>
        <v/>
      </c>
      <c r="G1368" s="11">
        <f>IF(OR($B1368="",NOT(ISNUMBER($C1368))),"",IF($D1368&lt;&gt;"",ROUND(Points!$B$6*IF($F1368&lt;Points!$H$4,Points!$H$5,1),0),ROUND(Points!$B$6*IF($F1368&lt;=1,1,Points!$H$7+(1-Points!$H$7)*((($F1368-$E1368)*(($F1368-$E1368)+1)/2)^2-((($F1368-$E1368-COUNTIFS($A$5:$A$1668,$A1368,$C$5:$C$1668,$C1368)+1)-1)*($F1368-$E1368-COUNTIFS($A$5:$A$1668,$A1368,$C$5:$C$1668,$C1368)+1)/2)^2)/(COUNTIFS($A$5:$A$1668,$A1368,$C$5:$C$1668,$C1368)*($F1368-1)^3))*IF($F1368&lt;Points!$H$4,Points!$H$5,1),0)))</f>
        <v/>
      </c>
      <c r="H1368" s="11">
        <f>IF($G1368="","",COUNTIFS($B$5:$B$1668,$B1368,$G$5:$G$1668,"&gt;"&amp;$G1368)+COUNTIFS($B$4:$B1367,$B1368,$G$4:$G1367,$G1368)+1)</f>
        <v/>
      </c>
      <c r="I1368" s="11">
        <f>IF($G1368="","",IF($H1368&lt;=Points!$H$6,$G1368,0))</f>
        <v/>
      </c>
      <c r="J1368" s="11">
        <f>IF($B1368="","",IF(COUNTIF(Players!$A$2:$A$500,$B1368)=0,"Player is not on the Players tab",IF(NOT(ISNUMBER($C1368)),"Enter a gross score",IF(COUNTIFS($A$5:$A$1668,$A1368,$B$5:$B$1668,$B1368)&gt;1,"Player is listed twice this week",IF(AND($D1368&lt;&gt;"",COUNTIFS($A$5:$A$1668,$A1368,$D$5:$D$1668,$D1368)&gt;1),"Two players picked as "&amp;$D1368,IF(COUNTIFS($A$5:$A$1668,$A1368,$D$5:$D$1668,"Gross winner")=0,"Pick this week's gross winner",IF(COUNTIFS($A$5:$A$1668,$A1368,$D$5:$D$1668,"Net winner")=0,"Pick this week's net winner","OK")))))))</f>
        <v/>
      </c>
    </row>
    <row r="1369" outlineLevel="1">
      <c r="A1369" s="13" t="n">
        <v>46687</v>
      </c>
      <c r="E1369" s="11">
        <f>IF(OR($B1369="",NOT(ISNUMBER($C1369))),"",COUNTIFS($A$5:$A$1668,$A1369,$C$5:$C$1668,"&lt;"&amp;$C1369)+1)</f>
        <v/>
      </c>
      <c r="F1369" s="11">
        <f>IF(OR($B1369="",NOT(ISNUMBER($C1369))),"",COUNTIFS($A$5:$A$1668,$A1369,$C$5:$C$1668,"&gt;0"))</f>
        <v/>
      </c>
      <c r="G1369" s="11">
        <f>IF(OR($B1369="",NOT(ISNUMBER($C1369))),"",IF($D1369&lt;&gt;"",ROUND(Points!$B$6*IF($F1369&lt;Points!$H$4,Points!$H$5,1),0),ROUND(Points!$B$6*IF($F1369&lt;=1,1,Points!$H$7+(1-Points!$H$7)*((($F1369-$E1369)*(($F1369-$E1369)+1)/2)^2-((($F1369-$E1369-COUNTIFS($A$5:$A$1668,$A1369,$C$5:$C$1668,$C1369)+1)-1)*($F1369-$E1369-COUNTIFS($A$5:$A$1668,$A1369,$C$5:$C$1668,$C1369)+1)/2)^2)/(COUNTIFS($A$5:$A$1668,$A1369,$C$5:$C$1668,$C1369)*($F1369-1)^3))*IF($F1369&lt;Points!$H$4,Points!$H$5,1),0)))</f>
        <v/>
      </c>
      <c r="H1369" s="11">
        <f>IF($G1369="","",COUNTIFS($B$5:$B$1668,$B1369,$G$5:$G$1668,"&gt;"&amp;$G1369)+COUNTIFS($B$4:$B1368,$B1369,$G$4:$G1368,$G1369)+1)</f>
        <v/>
      </c>
      <c r="I1369" s="11">
        <f>IF($G1369="","",IF($H1369&lt;=Points!$H$6,$G1369,0))</f>
        <v/>
      </c>
      <c r="J1369" s="11">
        <f>IF($B1369="","",IF(COUNTIF(Players!$A$2:$A$500,$B1369)=0,"Player is not on the Players tab",IF(NOT(ISNUMBER($C1369)),"Enter a gross score",IF(COUNTIFS($A$5:$A$1668,$A1369,$B$5:$B$1668,$B1369)&gt;1,"Player is listed twice this week",IF(AND($D1369&lt;&gt;"",COUNTIFS($A$5:$A$1668,$A1369,$D$5:$D$1668,$D1369)&gt;1),"Two players picked as "&amp;$D1369,IF(COUNTIFS($A$5:$A$1668,$A1369,$D$5:$D$1668,"Gross winner")=0,"Pick this week's gross winner",IF(COUNTIFS($A$5:$A$1668,$A1369,$D$5:$D$1668,"Net winner")=0,"Pick this week's net winner","OK")))))))</f>
        <v/>
      </c>
    </row>
    <row r="1370" outlineLevel="1">
      <c r="A1370" s="13" t="n">
        <v>46687</v>
      </c>
      <c r="E1370" s="11">
        <f>IF(OR($B1370="",NOT(ISNUMBER($C1370))),"",COUNTIFS($A$5:$A$1668,$A1370,$C$5:$C$1668,"&lt;"&amp;$C1370)+1)</f>
        <v/>
      </c>
      <c r="F1370" s="11">
        <f>IF(OR($B1370="",NOT(ISNUMBER($C1370))),"",COUNTIFS($A$5:$A$1668,$A1370,$C$5:$C$1668,"&gt;0"))</f>
        <v/>
      </c>
      <c r="G1370" s="11">
        <f>IF(OR($B1370="",NOT(ISNUMBER($C1370))),"",IF($D1370&lt;&gt;"",ROUND(Points!$B$6*IF($F1370&lt;Points!$H$4,Points!$H$5,1),0),ROUND(Points!$B$6*IF($F1370&lt;=1,1,Points!$H$7+(1-Points!$H$7)*((($F1370-$E1370)*(($F1370-$E1370)+1)/2)^2-((($F1370-$E1370-COUNTIFS($A$5:$A$1668,$A1370,$C$5:$C$1668,$C1370)+1)-1)*($F1370-$E1370-COUNTIFS($A$5:$A$1668,$A1370,$C$5:$C$1668,$C1370)+1)/2)^2)/(COUNTIFS($A$5:$A$1668,$A1370,$C$5:$C$1668,$C1370)*($F1370-1)^3))*IF($F1370&lt;Points!$H$4,Points!$H$5,1),0)))</f>
        <v/>
      </c>
      <c r="H1370" s="11">
        <f>IF($G1370="","",COUNTIFS($B$5:$B$1668,$B1370,$G$5:$G$1668,"&gt;"&amp;$G1370)+COUNTIFS($B$4:$B1369,$B1370,$G$4:$G1369,$G1370)+1)</f>
        <v/>
      </c>
      <c r="I1370" s="11">
        <f>IF($G1370="","",IF($H1370&lt;=Points!$H$6,$G1370,0))</f>
        <v/>
      </c>
      <c r="J1370" s="11">
        <f>IF($B1370="","",IF(COUNTIF(Players!$A$2:$A$500,$B1370)=0,"Player is not on the Players tab",IF(NOT(ISNUMBER($C1370)),"Enter a gross score",IF(COUNTIFS($A$5:$A$1668,$A1370,$B$5:$B$1668,$B1370)&gt;1,"Player is listed twice this week",IF(AND($D1370&lt;&gt;"",COUNTIFS($A$5:$A$1668,$A1370,$D$5:$D$1668,$D1370)&gt;1),"Two players picked as "&amp;$D1370,IF(COUNTIFS($A$5:$A$1668,$A1370,$D$5:$D$1668,"Gross winner")=0,"Pick this week's gross winner",IF(COUNTIFS($A$5:$A$1668,$A1370,$D$5:$D$1668,"Net winner")=0,"Pick this week's net winner","OK")))))))</f>
        <v/>
      </c>
    </row>
    <row r="1371" outlineLevel="1">
      <c r="A1371" s="13" t="n">
        <v>46687</v>
      </c>
      <c r="E1371" s="11">
        <f>IF(OR($B1371="",NOT(ISNUMBER($C1371))),"",COUNTIFS($A$5:$A$1668,$A1371,$C$5:$C$1668,"&lt;"&amp;$C1371)+1)</f>
        <v/>
      </c>
      <c r="F1371" s="11">
        <f>IF(OR($B1371="",NOT(ISNUMBER($C1371))),"",COUNTIFS($A$5:$A$1668,$A1371,$C$5:$C$1668,"&gt;0"))</f>
        <v/>
      </c>
      <c r="G1371" s="11">
        <f>IF(OR($B1371="",NOT(ISNUMBER($C1371))),"",IF($D1371&lt;&gt;"",ROUND(Points!$B$6*IF($F1371&lt;Points!$H$4,Points!$H$5,1),0),ROUND(Points!$B$6*IF($F1371&lt;=1,1,Points!$H$7+(1-Points!$H$7)*((($F1371-$E1371)*(($F1371-$E1371)+1)/2)^2-((($F1371-$E1371-COUNTIFS($A$5:$A$1668,$A1371,$C$5:$C$1668,$C1371)+1)-1)*($F1371-$E1371-COUNTIFS($A$5:$A$1668,$A1371,$C$5:$C$1668,$C1371)+1)/2)^2)/(COUNTIFS($A$5:$A$1668,$A1371,$C$5:$C$1668,$C1371)*($F1371-1)^3))*IF($F1371&lt;Points!$H$4,Points!$H$5,1),0)))</f>
        <v/>
      </c>
      <c r="H1371" s="11">
        <f>IF($G1371="","",COUNTIFS($B$5:$B$1668,$B1371,$G$5:$G$1668,"&gt;"&amp;$G1371)+COUNTIFS($B$4:$B1370,$B1371,$G$4:$G1370,$G1371)+1)</f>
        <v/>
      </c>
      <c r="I1371" s="11">
        <f>IF($G1371="","",IF($H1371&lt;=Points!$H$6,$G1371,0))</f>
        <v/>
      </c>
      <c r="J1371" s="11">
        <f>IF($B1371="","",IF(COUNTIF(Players!$A$2:$A$500,$B1371)=0,"Player is not on the Players tab",IF(NOT(ISNUMBER($C1371)),"Enter a gross score",IF(COUNTIFS($A$5:$A$1668,$A1371,$B$5:$B$1668,$B1371)&gt;1,"Player is listed twice this week",IF(AND($D1371&lt;&gt;"",COUNTIFS($A$5:$A$1668,$A1371,$D$5:$D$1668,$D1371)&gt;1),"Two players picked as "&amp;$D1371,IF(COUNTIFS($A$5:$A$1668,$A1371,$D$5:$D$1668,"Gross winner")=0,"Pick this week's gross winner",IF(COUNTIFS($A$5:$A$1668,$A1371,$D$5:$D$1668,"Net winner")=0,"Pick this week's net winner","OK")))))))</f>
        <v/>
      </c>
    </row>
    <row r="1372" outlineLevel="1">
      <c r="A1372" s="13" t="n">
        <v>46687</v>
      </c>
      <c r="E1372" s="11">
        <f>IF(OR($B1372="",NOT(ISNUMBER($C1372))),"",COUNTIFS($A$5:$A$1668,$A1372,$C$5:$C$1668,"&lt;"&amp;$C1372)+1)</f>
        <v/>
      </c>
      <c r="F1372" s="11">
        <f>IF(OR($B1372="",NOT(ISNUMBER($C1372))),"",COUNTIFS($A$5:$A$1668,$A1372,$C$5:$C$1668,"&gt;0"))</f>
        <v/>
      </c>
      <c r="G1372" s="11">
        <f>IF(OR($B1372="",NOT(ISNUMBER($C1372))),"",IF($D1372&lt;&gt;"",ROUND(Points!$B$6*IF($F1372&lt;Points!$H$4,Points!$H$5,1),0),ROUND(Points!$B$6*IF($F1372&lt;=1,1,Points!$H$7+(1-Points!$H$7)*((($F1372-$E1372)*(($F1372-$E1372)+1)/2)^2-((($F1372-$E1372-COUNTIFS($A$5:$A$1668,$A1372,$C$5:$C$1668,$C1372)+1)-1)*($F1372-$E1372-COUNTIFS($A$5:$A$1668,$A1372,$C$5:$C$1668,$C1372)+1)/2)^2)/(COUNTIFS($A$5:$A$1668,$A1372,$C$5:$C$1668,$C1372)*($F1372-1)^3))*IF($F1372&lt;Points!$H$4,Points!$H$5,1),0)))</f>
        <v/>
      </c>
      <c r="H1372" s="11">
        <f>IF($G1372="","",COUNTIFS($B$5:$B$1668,$B1372,$G$5:$G$1668,"&gt;"&amp;$G1372)+COUNTIFS($B$4:$B1371,$B1372,$G$4:$G1371,$G1372)+1)</f>
        <v/>
      </c>
      <c r="I1372" s="11">
        <f>IF($G1372="","",IF($H1372&lt;=Points!$H$6,$G1372,0))</f>
        <v/>
      </c>
      <c r="J1372" s="11">
        <f>IF($B1372="","",IF(COUNTIF(Players!$A$2:$A$500,$B1372)=0,"Player is not on the Players tab",IF(NOT(ISNUMBER($C1372)),"Enter a gross score",IF(COUNTIFS($A$5:$A$1668,$A1372,$B$5:$B$1668,$B1372)&gt;1,"Player is listed twice this week",IF(AND($D1372&lt;&gt;"",COUNTIFS($A$5:$A$1668,$A1372,$D$5:$D$1668,$D1372)&gt;1),"Two players picked as "&amp;$D1372,IF(COUNTIFS($A$5:$A$1668,$A1372,$D$5:$D$1668,"Gross winner")=0,"Pick this week's gross winner",IF(COUNTIFS($A$5:$A$1668,$A1372,$D$5:$D$1668,"Net winner")=0,"Pick this week's net winner","OK")))))))</f>
        <v/>
      </c>
    </row>
    <row r="1373" outlineLevel="1">
      <c r="A1373" s="13" t="n">
        <v>46687</v>
      </c>
      <c r="E1373" s="11">
        <f>IF(OR($B1373="",NOT(ISNUMBER($C1373))),"",COUNTIFS($A$5:$A$1668,$A1373,$C$5:$C$1668,"&lt;"&amp;$C1373)+1)</f>
        <v/>
      </c>
      <c r="F1373" s="11">
        <f>IF(OR($B1373="",NOT(ISNUMBER($C1373))),"",COUNTIFS($A$5:$A$1668,$A1373,$C$5:$C$1668,"&gt;0"))</f>
        <v/>
      </c>
      <c r="G1373" s="11">
        <f>IF(OR($B1373="",NOT(ISNUMBER($C1373))),"",IF($D1373&lt;&gt;"",ROUND(Points!$B$6*IF($F1373&lt;Points!$H$4,Points!$H$5,1),0),ROUND(Points!$B$6*IF($F1373&lt;=1,1,Points!$H$7+(1-Points!$H$7)*((($F1373-$E1373)*(($F1373-$E1373)+1)/2)^2-((($F1373-$E1373-COUNTIFS($A$5:$A$1668,$A1373,$C$5:$C$1668,$C1373)+1)-1)*($F1373-$E1373-COUNTIFS($A$5:$A$1668,$A1373,$C$5:$C$1668,$C1373)+1)/2)^2)/(COUNTIFS($A$5:$A$1668,$A1373,$C$5:$C$1668,$C1373)*($F1373-1)^3))*IF($F1373&lt;Points!$H$4,Points!$H$5,1),0)))</f>
        <v/>
      </c>
      <c r="H1373" s="11">
        <f>IF($G1373="","",COUNTIFS($B$5:$B$1668,$B1373,$G$5:$G$1668,"&gt;"&amp;$G1373)+COUNTIFS($B$4:$B1372,$B1373,$G$4:$G1372,$G1373)+1)</f>
        <v/>
      </c>
      <c r="I1373" s="11">
        <f>IF($G1373="","",IF($H1373&lt;=Points!$H$6,$G1373,0))</f>
        <v/>
      </c>
      <c r="J1373" s="11">
        <f>IF($B1373="","",IF(COUNTIF(Players!$A$2:$A$500,$B1373)=0,"Player is not on the Players tab",IF(NOT(ISNUMBER($C1373)),"Enter a gross score",IF(COUNTIFS($A$5:$A$1668,$A1373,$B$5:$B$1668,$B1373)&gt;1,"Player is listed twice this week",IF(AND($D1373&lt;&gt;"",COUNTIFS($A$5:$A$1668,$A1373,$D$5:$D$1668,$D1373)&gt;1),"Two players picked as "&amp;$D1373,IF(COUNTIFS($A$5:$A$1668,$A1373,$D$5:$D$1668,"Gross winner")=0,"Pick this week's gross winner",IF(COUNTIFS($A$5:$A$1668,$A1373,$D$5:$D$1668,"Net winner")=0,"Pick this week's net winner","OK")))))))</f>
        <v/>
      </c>
    </row>
    <row r="1374" outlineLevel="1">
      <c r="A1374" s="13" t="n">
        <v>46687</v>
      </c>
      <c r="E1374" s="11">
        <f>IF(OR($B1374="",NOT(ISNUMBER($C1374))),"",COUNTIFS($A$5:$A$1668,$A1374,$C$5:$C$1668,"&lt;"&amp;$C1374)+1)</f>
        <v/>
      </c>
      <c r="F1374" s="11">
        <f>IF(OR($B1374="",NOT(ISNUMBER($C1374))),"",COUNTIFS($A$5:$A$1668,$A1374,$C$5:$C$1668,"&gt;0"))</f>
        <v/>
      </c>
      <c r="G1374" s="11">
        <f>IF(OR($B1374="",NOT(ISNUMBER($C1374))),"",IF($D1374&lt;&gt;"",ROUND(Points!$B$6*IF($F1374&lt;Points!$H$4,Points!$H$5,1),0),ROUND(Points!$B$6*IF($F1374&lt;=1,1,Points!$H$7+(1-Points!$H$7)*((($F1374-$E1374)*(($F1374-$E1374)+1)/2)^2-((($F1374-$E1374-COUNTIFS($A$5:$A$1668,$A1374,$C$5:$C$1668,$C1374)+1)-1)*($F1374-$E1374-COUNTIFS($A$5:$A$1668,$A1374,$C$5:$C$1668,$C1374)+1)/2)^2)/(COUNTIFS($A$5:$A$1668,$A1374,$C$5:$C$1668,$C1374)*($F1374-1)^3))*IF($F1374&lt;Points!$H$4,Points!$H$5,1),0)))</f>
        <v/>
      </c>
      <c r="H1374" s="11">
        <f>IF($G1374="","",COUNTIFS($B$5:$B$1668,$B1374,$G$5:$G$1668,"&gt;"&amp;$G1374)+COUNTIFS($B$4:$B1373,$B1374,$G$4:$G1373,$G1374)+1)</f>
        <v/>
      </c>
      <c r="I1374" s="11">
        <f>IF($G1374="","",IF($H1374&lt;=Points!$H$6,$G1374,0))</f>
        <v/>
      </c>
      <c r="J1374" s="11">
        <f>IF($B1374="","",IF(COUNTIF(Players!$A$2:$A$500,$B1374)=0,"Player is not on the Players tab",IF(NOT(ISNUMBER($C1374)),"Enter a gross score",IF(COUNTIFS($A$5:$A$1668,$A1374,$B$5:$B$1668,$B1374)&gt;1,"Player is listed twice this week",IF(AND($D1374&lt;&gt;"",COUNTIFS($A$5:$A$1668,$A1374,$D$5:$D$1668,$D1374)&gt;1),"Two players picked as "&amp;$D1374,IF(COUNTIFS($A$5:$A$1668,$A1374,$D$5:$D$1668,"Gross winner")=0,"Pick this week's gross winner",IF(COUNTIFS($A$5:$A$1668,$A1374,$D$5:$D$1668,"Net winner")=0,"Pick this week's net winner","OK")))))))</f>
        <v/>
      </c>
    </row>
    <row r="1375" outlineLevel="1">
      <c r="A1375" s="13" t="n">
        <v>46687</v>
      </c>
      <c r="E1375" s="11">
        <f>IF(OR($B1375="",NOT(ISNUMBER($C1375))),"",COUNTIFS($A$5:$A$1668,$A1375,$C$5:$C$1668,"&lt;"&amp;$C1375)+1)</f>
        <v/>
      </c>
      <c r="F1375" s="11">
        <f>IF(OR($B1375="",NOT(ISNUMBER($C1375))),"",COUNTIFS($A$5:$A$1668,$A1375,$C$5:$C$1668,"&gt;0"))</f>
        <v/>
      </c>
      <c r="G1375" s="11">
        <f>IF(OR($B1375="",NOT(ISNUMBER($C1375))),"",IF($D1375&lt;&gt;"",ROUND(Points!$B$6*IF($F1375&lt;Points!$H$4,Points!$H$5,1),0),ROUND(Points!$B$6*IF($F1375&lt;=1,1,Points!$H$7+(1-Points!$H$7)*((($F1375-$E1375)*(($F1375-$E1375)+1)/2)^2-((($F1375-$E1375-COUNTIFS($A$5:$A$1668,$A1375,$C$5:$C$1668,$C1375)+1)-1)*($F1375-$E1375-COUNTIFS($A$5:$A$1668,$A1375,$C$5:$C$1668,$C1375)+1)/2)^2)/(COUNTIFS($A$5:$A$1668,$A1375,$C$5:$C$1668,$C1375)*($F1375-1)^3))*IF($F1375&lt;Points!$H$4,Points!$H$5,1),0)))</f>
        <v/>
      </c>
      <c r="H1375" s="11">
        <f>IF($G1375="","",COUNTIFS($B$5:$B$1668,$B1375,$G$5:$G$1668,"&gt;"&amp;$G1375)+COUNTIFS($B$4:$B1374,$B1375,$G$4:$G1374,$G1375)+1)</f>
        <v/>
      </c>
      <c r="I1375" s="11">
        <f>IF($G1375="","",IF($H1375&lt;=Points!$H$6,$G1375,0))</f>
        <v/>
      </c>
      <c r="J1375" s="11">
        <f>IF($B1375="","",IF(COUNTIF(Players!$A$2:$A$500,$B1375)=0,"Player is not on the Players tab",IF(NOT(ISNUMBER($C1375)),"Enter a gross score",IF(COUNTIFS($A$5:$A$1668,$A1375,$B$5:$B$1668,$B1375)&gt;1,"Player is listed twice this week",IF(AND($D1375&lt;&gt;"",COUNTIFS($A$5:$A$1668,$A1375,$D$5:$D$1668,$D1375)&gt;1),"Two players picked as "&amp;$D1375,IF(COUNTIFS($A$5:$A$1668,$A1375,$D$5:$D$1668,"Gross winner")=0,"Pick this week's gross winner",IF(COUNTIFS($A$5:$A$1668,$A1375,$D$5:$D$1668,"Net winner")=0,"Pick this week's net winner","OK")))))))</f>
        <v/>
      </c>
    </row>
    <row r="1376" outlineLevel="1">
      <c r="A1376" s="13" t="n">
        <v>46687</v>
      </c>
      <c r="E1376" s="11">
        <f>IF(OR($B1376="",NOT(ISNUMBER($C1376))),"",COUNTIFS($A$5:$A$1668,$A1376,$C$5:$C$1668,"&lt;"&amp;$C1376)+1)</f>
        <v/>
      </c>
      <c r="F1376" s="11">
        <f>IF(OR($B1376="",NOT(ISNUMBER($C1376))),"",COUNTIFS($A$5:$A$1668,$A1376,$C$5:$C$1668,"&gt;0"))</f>
        <v/>
      </c>
      <c r="G1376" s="11">
        <f>IF(OR($B1376="",NOT(ISNUMBER($C1376))),"",IF($D1376&lt;&gt;"",ROUND(Points!$B$6*IF($F1376&lt;Points!$H$4,Points!$H$5,1),0),ROUND(Points!$B$6*IF($F1376&lt;=1,1,Points!$H$7+(1-Points!$H$7)*((($F1376-$E1376)*(($F1376-$E1376)+1)/2)^2-((($F1376-$E1376-COUNTIFS($A$5:$A$1668,$A1376,$C$5:$C$1668,$C1376)+1)-1)*($F1376-$E1376-COUNTIFS($A$5:$A$1668,$A1376,$C$5:$C$1668,$C1376)+1)/2)^2)/(COUNTIFS($A$5:$A$1668,$A1376,$C$5:$C$1668,$C1376)*($F1376-1)^3))*IF($F1376&lt;Points!$H$4,Points!$H$5,1),0)))</f>
        <v/>
      </c>
      <c r="H1376" s="11">
        <f>IF($G1376="","",COUNTIFS($B$5:$B$1668,$B1376,$G$5:$G$1668,"&gt;"&amp;$G1376)+COUNTIFS($B$4:$B1375,$B1376,$G$4:$G1375,$G1376)+1)</f>
        <v/>
      </c>
      <c r="I1376" s="11">
        <f>IF($G1376="","",IF($H1376&lt;=Points!$H$6,$G1376,0))</f>
        <v/>
      </c>
      <c r="J1376" s="11">
        <f>IF($B1376="","",IF(COUNTIF(Players!$A$2:$A$500,$B1376)=0,"Player is not on the Players tab",IF(NOT(ISNUMBER($C1376)),"Enter a gross score",IF(COUNTIFS($A$5:$A$1668,$A1376,$B$5:$B$1668,$B1376)&gt;1,"Player is listed twice this week",IF(AND($D1376&lt;&gt;"",COUNTIFS($A$5:$A$1668,$A1376,$D$5:$D$1668,$D1376)&gt;1),"Two players picked as "&amp;$D1376,IF(COUNTIFS($A$5:$A$1668,$A1376,$D$5:$D$1668,"Gross winner")=0,"Pick this week's gross winner",IF(COUNTIFS($A$5:$A$1668,$A1376,$D$5:$D$1668,"Net winner")=0,"Pick this week's net winner","OK")))))))</f>
        <v/>
      </c>
    </row>
    <row r="1377" outlineLevel="1">
      <c r="A1377" s="13" t="n">
        <v>46687</v>
      </c>
      <c r="E1377" s="11">
        <f>IF(OR($B1377="",NOT(ISNUMBER($C1377))),"",COUNTIFS($A$5:$A$1668,$A1377,$C$5:$C$1668,"&lt;"&amp;$C1377)+1)</f>
        <v/>
      </c>
      <c r="F1377" s="11">
        <f>IF(OR($B1377="",NOT(ISNUMBER($C1377))),"",COUNTIFS($A$5:$A$1668,$A1377,$C$5:$C$1668,"&gt;0"))</f>
        <v/>
      </c>
      <c r="G1377" s="11">
        <f>IF(OR($B1377="",NOT(ISNUMBER($C1377))),"",IF($D1377&lt;&gt;"",ROUND(Points!$B$6*IF($F1377&lt;Points!$H$4,Points!$H$5,1),0),ROUND(Points!$B$6*IF($F1377&lt;=1,1,Points!$H$7+(1-Points!$H$7)*((($F1377-$E1377)*(($F1377-$E1377)+1)/2)^2-((($F1377-$E1377-COUNTIFS($A$5:$A$1668,$A1377,$C$5:$C$1668,$C1377)+1)-1)*($F1377-$E1377-COUNTIFS($A$5:$A$1668,$A1377,$C$5:$C$1668,$C1377)+1)/2)^2)/(COUNTIFS($A$5:$A$1668,$A1377,$C$5:$C$1668,$C1377)*($F1377-1)^3))*IF($F1377&lt;Points!$H$4,Points!$H$5,1),0)))</f>
        <v/>
      </c>
      <c r="H1377" s="11">
        <f>IF($G1377="","",COUNTIFS($B$5:$B$1668,$B1377,$G$5:$G$1668,"&gt;"&amp;$G1377)+COUNTIFS($B$4:$B1376,$B1377,$G$4:$G1376,$G1377)+1)</f>
        <v/>
      </c>
      <c r="I1377" s="11">
        <f>IF($G1377="","",IF($H1377&lt;=Points!$H$6,$G1377,0))</f>
        <v/>
      </c>
      <c r="J1377" s="11">
        <f>IF($B1377="","",IF(COUNTIF(Players!$A$2:$A$500,$B1377)=0,"Player is not on the Players tab",IF(NOT(ISNUMBER($C1377)),"Enter a gross score",IF(COUNTIFS($A$5:$A$1668,$A1377,$B$5:$B$1668,$B1377)&gt;1,"Player is listed twice this week",IF(AND($D1377&lt;&gt;"",COUNTIFS($A$5:$A$1668,$A1377,$D$5:$D$1668,$D1377)&gt;1),"Two players picked as "&amp;$D1377,IF(COUNTIFS($A$5:$A$1668,$A1377,$D$5:$D$1668,"Gross winner")=0,"Pick this week's gross winner",IF(COUNTIFS($A$5:$A$1668,$A1377,$D$5:$D$1668,"Net winner")=0,"Pick this week's net winner","OK")))))))</f>
        <v/>
      </c>
    </row>
    <row r="1378" outlineLevel="1">
      <c r="A1378" s="13" t="n">
        <v>46687</v>
      </c>
      <c r="E1378" s="11">
        <f>IF(OR($B1378="",NOT(ISNUMBER($C1378))),"",COUNTIFS($A$5:$A$1668,$A1378,$C$5:$C$1668,"&lt;"&amp;$C1378)+1)</f>
        <v/>
      </c>
      <c r="F1378" s="11">
        <f>IF(OR($B1378="",NOT(ISNUMBER($C1378))),"",COUNTIFS($A$5:$A$1668,$A1378,$C$5:$C$1668,"&gt;0"))</f>
        <v/>
      </c>
      <c r="G1378" s="11">
        <f>IF(OR($B1378="",NOT(ISNUMBER($C1378))),"",IF($D1378&lt;&gt;"",ROUND(Points!$B$6*IF($F1378&lt;Points!$H$4,Points!$H$5,1),0),ROUND(Points!$B$6*IF($F1378&lt;=1,1,Points!$H$7+(1-Points!$H$7)*((($F1378-$E1378)*(($F1378-$E1378)+1)/2)^2-((($F1378-$E1378-COUNTIFS($A$5:$A$1668,$A1378,$C$5:$C$1668,$C1378)+1)-1)*($F1378-$E1378-COUNTIFS($A$5:$A$1668,$A1378,$C$5:$C$1668,$C1378)+1)/2)^2)/(COUNTIFS($A$5:$A$1668,$A1378,$C$5:$C$1668,$C1378)*($F1378-1)^3))*IF($F1378&lt;Points!$H$4,Points!$H$5,1),0)))</f>
        <v/>
      </c>
      <c r="H1378" s="11">
        <f>IF($G1378="","",COUNTIFS($B$5:$B$1668,$B1378,$G$5:$G$1668,"&gt;"&amp;$G1378)+COUNTIFS($B$4:$B1377,$B1378,$G$4:$G1377,$G1378)+1)</f>
        <v/>
      </c>
      <c r="I1378" s="11">
        <f>IF($G1378="","",IF($H1378&lt;=Points!$H$6,$G1378,0))</f>
        <v/>
      </c>
      <c r="J1378" s="11">
        <f>IF($B1378="","",IF(COUNTIF(Players!$A$2:$A$500,$B1378)=0,"Player is not on the Players tab",IF(NOT(ISNUMBER($C1378)),"Enter a gross score",IF(COUNTIFS($A$5:$A$1668,$A1378,$B$5:$B$1668,$B1378)&gt;1,"Player is listed twice this week",IF(AND($D1378&lt;&gt;"",COUNTIFS($A$5:$A$1668,$A1378,$D$5:$D$1668,$D1378)&gt;1),"Two players picked as "&amp;$D1378,IF(COUNTIFS($A$5:$A$1668,$A1378,$D$5:$D$1668,"Gross winner")=0,"Pick this week's gross winner",IF(COUNTIFS($A$5:$A$1668,$A1378,$D$5:$D$1668,"Net winner")=0,"Pick this week's net winner","OK")))))))</f>
        <v/>
      </c>
    </row>
    <row r="1379" outlineLevel="1">
      <c r="A1379" s="13" t="n">
        <v>46687</v>
      </c>
      <c r="E1379" s="11">
        <f>IF(OR($B1379="",NOT(ISNUMBER($C1379))),"",COUNTIFS($A$5:$A$1668,$A1379,$C$5:$C$1668,"&lt;"&amp;$C1379)+1)</f>
        <v/>
      </c>
      <c r="F1379" s="11">
        <f>IF(OR($B1379="",NOT(ISNUMBER($C1379))),"",COUNTIFS($A$5:$A$1668,$A1379,$C$5:$C$1668,"&gt;0"))</f>
        <v/>
      </c>
      <c r="G1379" s="11">
        <f>IF(OR($B1379="",NOT(ISNUMBER($C1379))),"",IF($D1379&lt;&gt;"",ROUND(Points!$B$6*IF($F1379&lt;Points!$H$4,Points!$H$5,1),0),ROUND(Points!$B$6*IF($F1379&lt;=1,1,Points!$H$7+(1-Points!$H$7)*((($F1379-$E1379)*(($F1379-$E1379)+1)/2)^2-((($F1379-$E1379-COUNTIFS($A$5:$A$1668,$A1379,$C$5:$C$1668,$C1379)+1)-1)*($F1379-$E1379-COUNTIFS($A$5:$A$1668,$A1379,$C$5:$C$1668,$C1379)+1)/2)^2)/(COUNTIFS($A$5:$A$1668,$A1379,$C$5:$C$1668,$C1379)*($F1379-1)^3))*IF($F1379&lt;Points!$H$4,Points!$H$5,1),0)))</f>
        <v/>
      </c>
      <c r="H1379" s="11">
        <f>IF($G1379="","",COUNTIFS($B$5:$B$1668,$B1379,$G$5:$G$1668,"&gt;"&amp;$G1379)+COUNTIFS($B$4:$B1378,$B1379,$G$4:$G1378,$G1379)+1)</f>
        <v/>
      </c>
      <c r="I1379" s="11">
        <f>IF($G1379="","",IF($H1379&lt;=Points!$H$6,$G1379,0))</f>
        <v/>
      </c>
      <c r="J1379" s="11">
        <f>IF($B1379="","",IF(COUNTIF(Players!$A$2:$A$500,$B1379)=0,"Player is not on the Players tab",IF(NOT(ISNUMBER($C1379)),"Enter a gross score",IF(COUNTIFS($A$5:$A$1668,$A1379,$B$5:$B$1668,$B1379)&gt;1,"Player is listed twice this week",IF(AND($D1379&lt;&gt;"",COUNTIFS($A$5:$A$1668,$A1379,$D$5:$D$1668,$D1379)&gt;1),"Two players picked as "&amp;$D1379,IF(COUNTIFS($A$5:$A$1668,$A1379,$D$5:$D$1668,"Gross winner")=0,"Pick this week's gross winner",IF(COUNTIFS($A$5:$A$1668,$A1379,$D$5:$D$1668,"Net winner")=0,"Pick this week's net winner","OK")))))))</f>
        <v/>
      </c>
    </row>
    <row r="1380" ht="10" customHeight="1"/>
    <row r="1381" ht="22" customHeight="1">
      <c r="A1381" s="12" t="inlineStr">
        <is>
          <t>Week 44  ·  Wednesday, Nov 3</t>
        </is>
      </c>
    </row>
    <row r="1382" outlineLevel="1">
      <c r="A1382" s="13" t="n">
        <v>46694</v>
      </c>
      <c r="E1382" s="11">
        <f>IF(OR($B1382="",NOT(ISNUMBER($C1382))),"",COUNTIFS($A$5:$A$1668,$A1382,$C$5:$C$1668,"&lt;"&amp;$C1382)+1)</f>
        <v/>
      </c>
      <c r="F1382" s="11">
        <f>IF(OR($B1382="",NOT(ISNUMBER($C1382))),"",COUNTIFS($A$5:$A$1668,$A1382,$C$5:$C$1668,"&gt;0"))</f>
        <v/>
      </c>
      <c r="G1382" s="11">
        <f>IF(OR($B1382="",NOT(ISNUMBER($C1382))),"",IF($D1382&lt;&gt;"",ROUND(Points!$B$6*IF($F1382&lt;Points!$H$4,Points!$H$5,1),0),ROUND(Points!$B$6*IF($F1382&lt;=1,1,Points!$H$7+(1-Points!$H$7)*((($F1382-$E1382)*(($F1382-$E1382)+1)/2)^2-((($F1382-$E1382-COUNTIFS($A$5:$A$1668,$A1382,$C$5:$C$1668,$C1382)+1)-1)*($F1382-$E1382-COUNTIFS($A$5:$A$1668,$A1382,$C$5:$C$1668,$C1382)+1)/2)^2)/(COUNTIFS($A$5:$A$1668,$A1382,$C$5:$C$1668,$C1382)*($F1382-1)^3))*IF($F1382&lt;Points!$H$4,Points!$H$5,1),0)))</f>
        <v/>
      </c>
      <c r="H1382" s="11">
        <f>IF($G1382="","",COUNTIFS($B$5:$B$1668,$B1382,$G$5:$G$1668,"&gt;"&amp;$G1382)+COUNTIFS($B$4:$B1381,$B1382,$G$4:$G1381,$G1382)+1)</f>
        <v/>
      </c>
      <c r="I1382" s="11">
        <f>IF($G1382="","",IF($H1382&lt;=Points!$H$6,$G1382,0))</f>
        <v/>
      </c>
      <c r="J1382" s="11">
        <f>IF($B1382="","",IF(COUNTIF(Players!$A$2:$A$500,$B1382)=0,"Player is not on the Players tab",IF(NOT(ISNUMBER($C1382)),"Enter a gross score",IF(COUNTIFS($A$5:$A$1668,$A1382,$B$5:$B$1668,$B1382)&gt;1,"Player is listed twice this week",IF(AND($D1382&lt;&gt;"",COUNTIFS($A$5:$A$1668,$A1382,$D$5:$D$1668,$D1382)&gt;1),"Two players picked as "&amp;$D1382,IF(COUNTIFS($A$5:$A$1668,$A1382,$D$5:$D$1668,"Gross winner")=0,"Pick this week's gross winner",IF(COUNTIFS($A$5:$A$1668,$A1382,$D$5:$D$1668,"Net winner")=0,"Pick this week's net winner","OK")))))))</f>
        <v/>
      </c>
    </row>
    <row r="1383" outlineLevel="1">
      <c r="A1383" s="13" t="n">
        <v>46694</v>
      </c>
      <c r="E1383" s="11">
        <f>IF(OR($B1383="",NOT(ISNUMBER($C1383))),"",COUNTIFS($A$5:$A$1668,$A1383,$C$5:$C$1668,"&lt;"&amp;$C1383)+1)</f>
        <v/>
      </c>
      <c r="F1383" s="11">
        <f>IF(OR($B1383="",NOT(ISNUMBER($C1383))),"",COUNTIFS($A$5:$A$1668,$A1383,$C$5:$C$1668,"&gt;0"))</f>
        <v/>
      </c>
      <c r="G1383" s="11">
        <f>IF(OR($B1383="",NOT(ISNUMBER($C1383))),"",IF($D1383&lt;&gt;"",ROUND(Points!$B$6*IF($F1383&lt;Points!$H$4,Points!$H$5,1),0),ROUND(Points!$B$6*IF($F1383&lt;=1,1,Points!$H$7+(1-Points!$H$7)*((($F1383-$E1383)*(($F1383-$E1383)+1)/2)^2-((($F1383-$E1383-COUNTIFS($A$5:$A$1668,$A1383,$C$5:$C$1668,$C1383)+1)-1)*($F1383-$E1383-COUNTIFS($A$5:$A$1668,$A1383,$C$5:$C$1668,$C1383)+1)/2)^2)/(COUNTIFS($A$5:$A$1668,$A1383,$C$5:$C$1668,$C1383)*($F1383-1)^3))*IF($F1383&lt;Points!$H$4,Points!$H$5,1),0)))</f>
        <v/>
      </c>
      <c r="H1383" s="11">
        <f>IF($G1383="","",COUNTIFS($B$5:$B$1668,$B1383,$G$5:$G$1668,"&gt;"&amp;$G1383)+COUNTIFS($B$4:$B1382,$B1383,$G$4:$G1382,$G1383)+1)</f>
        <v/>
      </c>
      <c r="I1383" s="11">
        <f>IF($G1383="","",IF($H1383&lt;=Points!$H$6,$G1383,0))</f>
        <v/>
      </c>
      <c r="J1383" s="11">
        <f>IF($B1383="","",IF(COUNTIF(Players!$A$2:$A$500,$B1383)=0,"Player is not on the Players tab",IF(NOT(ISNUMBER($C1383)),"Enter a gross score",IF(COUNTIFS($A$5:$A$1668,$A1383,$B$5:$B$1668,$B1383)&gt;1,"Player is listed twice this week",IF(AND($D1383&lt;&gt;"",COUNTIFS($A$5:$A$1668,$A1383,$D$5:$D$1668,$D1383)&gt;1),"Two players picked as "&amp;$D1383,IF(COUNTIFS($A$5:$A$1668,$A1383,$D$5:$D$1668,"Gross winner")=0,"Pick this week's gross winner",IF(COUNTIFS($A$5:$A$1668,$A1383,$D$5:$D$1668,"Net winner")=0,"Pick this week's net winner","OK")))))))</f>
        <v/>
      </c>
    </row>
    <row r="1384" outlineLevel="1">
      <c r="A1384" s="13" t="n">
        <v>46694</v>
      </c>
      <c r="E1384" s="11">
        <f>IF(OR($B1384="",NOT(ISNUMBER($C1384))),"",COUNTIFS($A$5:$A$1668,$A1384,$C$5:$C$1668,"&lt;"&amp;$C1384)+1)</f>
        <v/>
      </c>
      <c r="F1384" s="11">
        <f>IF(OR($B1384="",NOT(ISNUMBER($C1384))),"",COUNTIFS($A$5:$A$1668,$A1384,$C$5:$C$1668,"&gt;0"))</f>
        <v/>
      </c>
      <c r="G1384" s="11">
        <f>IF(OR($B1384="",NOT(ISNUMBER($C1384))),"",IF($D1384&lt;&gt;"",ROUND(Points!$B$6*IF($F1384&lt;Points!$H$4,Points!$H$5,1),0),ROUND(Points!$B$6*IF($F1384&lt;=1,1,Points!$H$7+(1-Points!$H$7)*((($F1384-$E1384)*(($F1384-$E1384)+1)/2)^2-((($F1384-$E1384-COUNTIFS($A$5:$A$1668,$A1384,$C$5:$C$1668,$C1384)+1)-1)*($F1384-$E1384-COUNTIFS($A$5:$A$1668,$A1384,$C$5:$C$1668,$C1384)+1)/2)^2)/(COUNTIFS($A$5:$A$1668,$A1384,$C$5:$C$1668,$C1384)*($F1384-1)^3))*IF($F1384&lt;Points!$H$4,Points!$H$5,1),0)))</f>
        <v/>
      </c>
      <c r="H1384" s="11">
        <f>IF($G1384="","",COUNTIFS($B$5:$B$1668,$B1384,$G$5:$G$1668,"&gt;"&amp;$G1384)+COUNTIFS($B$4:$B1383,$B1384,$G$4:$G1383,$G1384)+1)</f>
        <v/>
      </c>
      <c r="I1384" s="11">
        <f>IF($G1384="","",IF($H1384&lt;=Points!$H$6,$G1384,0))</f>
        <v/>
      </c>
      <c r="J1384" s="11">
        <f>IF($B1384="","",IF(COUNTIF(Players!$A$2:$A$500,$B1384)=0,"Player is not on the Players tab",IF(NOT(ISNUMBER($C1384)),"Enter a gross score",IF(COUNTIFS($A$5:$A$1668,$A1384,$B$5:$B$1668,$B1384)&gt;1,"Player is listed twice this week",IF(AND($D1384&lt;&gt;"",COUNTIFS($A$5:$A$1668,$A1384,$D$5:$D$1668,$D1384)&gt;1),"Two players picked as "&amp;$D1384,IF(COUNTIFS($A$5:$A$1668,$A1384,$D$5:$D$1668,"Gross winner")=0,"Pick this week's gross winner",IF(COUNTIFS($A$5:$A$1668,$A1384,$D$5:$D$1668,"Net winner")=0,"Pick this week's net winner","OK")))))))</f>
        <v/>
      </c>
    </row>
    <row r="1385" outlineLevel="1">
      <c r="A1385" s="13" t="n">
        <v>46694</v>
      </c>
      <c r="E1385" s="11">
        <f>IF(OR($B1385="",NOT(ISNUMBER($C1385))),"",COUNTIFS($A$5:$A$1668,$A1385,$C$5:$C$1668,"&lt;"&amp;$C1385)+1)</f>
        <v/>
      </c>
      <c r="F1385" s="11">
        <f>IF(OR($B1385="",NOT(ISNUMBER($C1385))),"",COUNTIFS($A$5:$A$1668,$A1385,$C$5:$C$1668,"&gt;0"))</f>
        <v/>
      </c>
      <c r="G1385" s="11">
        <f>IF(OR($B1385="",NOT(ISNUMBER($C1385))),"",IF($D1385&lt;&gt;"",ROUND(Points!$B$6*IF($F1385&lt;Points!$H$4,Points!$H$5,1),0),ROUND(Points!$B$6*IF($F1385&lt;=1,1,Points!$H$7+(1-Points!$H$7)*((($F1385-$E1385)*(($F1385-$E1385)+1)/2)^2-((($F1385-$E1385-COUNTIFS($A$5:$A$1668,$A1385,$C$5:$C$1668,$C1385)+1)-1)*($F1385-$E1385-COUNTIFS($A$5:$A$1668,$A1385,$C$5:$C$1668,$C1385)+1)/2)^2)/(COUNTIFS($A$5:$A$1668,$A1385,$C$5:$C$1668,$C1385)*($F1385-1)^3))*IF($F1385&lt;Points!$H$4,Points!$H$5,1),0)))</f>
        <v/>
      </c>
      <c r="H1385" s="11">
        <f>IF($G1385="","",COUNTIFS($B$5:$B$1668,$B1385,$G$5:$G$1668,"&gt;"&amp;$G1385)+COUNTIFS($B$4:$B1384,$B1385,$G$4:$G1384,$G1385)+1)</f>
        <v/>
      </c>
      <c r="I1385" s="11">
        <f>IF($G1385="","",IF($H1385&lt;=Points!$H$6,$G1385,0))</f>
        <v/>
      </c>
      <c r="J1385" s="11">
        <f>IF($B1385="","",IF(COUNTIF(Players!$A$2:$A$500,$B1385)=0,"Player is not on the Players tab",IF(NOT(ISNUMBER($C1385)),"Enter a gross score",IF(COUNTIFS($A$5:$A$1668,$A1385,$B$5:$B$1668,$B1385)&gt;1,"Player is listed twice this week",IF(AND($D1385&lt;&gt;"",COUNTIFS($A$5:$A$1668,$A1385,$D$5:$D$1668,$D1385)&gt;1),"Two players picked as "&amp;$D1385,IF(COUNTIFS($A$5:$A$1668,$A1385,$D$5:$D$1668,"Gross winner")=0,"Pick this week's gross winner",IF(COUNTIFS($A$5:$A$1668,$A1385,$D$5:$D$1668,"Net winner")=0,"Pick this week's net winner","OK")))))))</f>
        <v/>
      </c>
    </row>
    <row r="1386" outlineLevel="1">
      <c r="A1386" s="13" t="n">
        <v>46694</v>
      </c>
      <c r="E1386" s="11">
        <f>IF(OR($B1386="",NOT(ISNUMBER($C1386))),"",COUNTIFS($A$5:$A$1668,$A1386,$C$5:$C$1668,"&lt;"&amp;$C1386)+1)</f>
        <v/>
      </c>
      <c r="F1386" s="11">
        <f>IF(OR($B1386="",NOT(ISNUMBER($C1386))),"",COUNTIFS($A$5:$A$1668,$A1386,$C$5:$C$1668,"&gt;0"))</f>
        <v/>
      </c>
      <c r="G1386" s="11">
        <f>IF(OR($B1386="",NOT(ISNUMBER($C1386))),"",IF($D1386&lt;&gt;"",ROUND(Points!$B$6*IF($F1386&lt;Points!$H$4,Points!$H$5,1),0),ROUND(Points!$B$6*IF($F1386&lt;=1,1,Points!$H$7+(1-Points!$H$7)*((($F1386-$E1386)*(($F1386-$E1386)+1)/2)^2-((($F1386-$E1386-COUNTIFS($A$5:$A$1668,$A1386,$C$5:$C$1668,$C1386)+1)-1)*($F1386-$E1386-COUNTIFS($A$5:$A$1668,$A1386,$C$5:$C$1668,$C1386)+1)/2)^2)/(COUNTIFS($A$5:$A$1668,$A1386,$C$5:$C$1668,$C1386)*($F1386-1)^3))*IF($F1386&lt;Points!$H$4,Points!$H$5,1),0)))</f>
        <v/>
      </c>
      <c r="H1386" s="11">
        <f>IF($G1386="","",COUNTIFS($B$5:$B$1668,$B1386,$G$5:$G$1668,"&gt;"&amp;$G1386)+COUNTIFS($B$4:$B1385,$B1386,$G$4:$G1385,$G1386)+1)</f>
        <v/>
      </c>
      <c r="I1386" s="11">
        <f>IF($G1386="","",IF($H1386&lt;=Points!$H$6,$G1386,0))</f>
        <v/>
      </c>
      <c r="J1386" s="11">
        <f>IF($B1386="","",IF(COUNTIF(Players!$A$2:$A$500,$B1386)=0,"Player is not on the Players tab",IF(NOT(ISNUMBER($C1386)),"Enter a gross score",IF(COUNTIFS($A$5:$A$1668,$A1386,$B$5:$B$1668,$B1386)&gt;1,"Player is listed twice this week",IF(AND($D1386&lt;&gt;"",COUNTIFS($A$5:$A$1668,$A1386,$D$5:$D$1668,$D1386)&gt;1),"Two players picked as "&amp;$D1386,IF(COUNTIFS($A$5:$A$1668,$A1386,$D$5:$D$1668,"Gross winner")=0,"Pick this week's gross winner",IF(COUNTIFS($A$5:$A$1668,$A1386,$D$5:$D$1668,"Net winner")=0,"Pick this week's net winner","OK")))))))</f>
        <v/>
      </c>
    </row>
    <row r="1387" outlineLevel="1">
      <c r="A1387" s="13" t="n">
        <v>46694</v>
      </c>
      <c r="E1387" s="11">
        <f>IF(OR($B1387="",NOT(ISNUMBER($C1387))),"",COUNTIFS($A$5:$A$1668,$A1387,$C$5:$C$1668,"&lt;"&amp;$C1387)+1)</f>
        <v/>
      </c>
      <c r="F1387" s="11">
        <f>IF(OR($B1387="",NOT(ISNUMBER($C1387))),"",COUNTIFS($A$5:$A$1668,$A1387,$C$5:$C$1668,"&gt;0"))</f>
        <v/>
      </c>
      <c r="G1387" s="11">
        <f>IF(OR($B1387="",NOT(ISNUMBER($C1387))),"",IF($D1387&lt;&gt;"",ROUND(Points!$B$6*IF($F1387&lt;Points!$H$4,Points!$H$5,1),0),ROUND(Points!$B$6*IF($F1387&lt;=1,1,Points!$H$7+(1-Points!$H$7)*((($F1387-$E1387)*(($F1387-$E1387)+1)/2)^2-((($F1387-$E1387-COUNTIFS($A$5:$A$1668,$A1387,$C$5:$C$1668,$C1387)+1)-1)*($F1387-$E1387-COUNTIFS($A$5:$A$1668,$A1387,$C$5:$C$1668,$C1387)+1)/2)^2)/(COUNTIFS($A$5:$A$1668,$A1387,$C$5:$C$1668,$C1387)*($F1387-1)^3))*IF($F1387&lt;Points!$H$4,Points!$H$5,1),0)))</f>
        <v/>
      </c>
      <c r="H1387" s="11">
        <f>IF($G1387="","",COUNTIFS($B$5:$B$1668,$B1387,$G$5:$G$1668,"&gt;"&amp;$G1387)+COUNTIFS($B$4:$B1386,$B1387,$G$4:$G1386,$G1387)+1)</f>
        <v/>
      </c>
      <c r="I1387" s="11">
        <f>IF($G1387="","",IF($H1387&lt;=Points!$H$6,$G1387,0))</f>
        <v/>
      </c>
      <c r="J1387" s="11">
        <f>IF($B1387="","",IF(COUNTIF(Players!$A$2:$A$500,$B1387)=0,"Player is not on the Players tab",IF(NOT(ISNUMBER($C1387)),"Enter a gross score",IF(COUNTIFS($A$5:$A$1668,$A1387,$B$5:$B$1668,$B1387)&gt;1,"Player is listed twice this week",IF(AND($D1387&lt;&gt;"",COUNTIFS($A$5:$A$1668,$A1387,$D$5:$D$1668,$D1387)&gt;1),"Two players picked as "&amp;$D1387,IF(COUNTIFS($A$5:$A$1668,$A1387,$D$5:$D$1668,"Gross winner")=0,"Pick this week's gross winner",IF(COUNTIFS($A$5:$A$1668,$A1387,$D$5:$D$1668,"Net winner")=0,"Pick this week's net winner","OK")))))))</f>
        <v/>
      </c>
    </row>
    <row r="1388" outlineLevel="1">
      <c r="A1388" s="13" t="n">
        <v>46694</v>
      </c>
      <c r="E1388" s="11">
        <f>IF(OR($B1388="",NOT(ISNUMBER($C1388))),"",COUNTIFS($A$5:$A$1668,$A1388,$C$5:$C$1668,"&lt;"&amp;$C1388)+1)</f>
        <v/>
      </c>
      <c r="F1388" s="11">
        <f>IF(OR($B1388="",NOT(ISNUMBER($C1388))),"",COUNTIFS($A$5:$A$1668,$A1388,$C$5:$C$1668,"&gt;0"))</f>
        <v/>
      </c>
      <c r="G1388" s="11">
        <f>IF(OR($B1388="",NOT(ISNUMBER($C1388))),"",IF($D1388&lt;&gt;"",ROUND(Points!$B$6*IF($F1388&lt;Points!$H$4,Points!$H$5,1),0),ROUND(Points!$B$6*IF($F1388&lt;=1,1,Points!$H$7+(1-Points!$H$7)*((($F1388-$E1388)*(($F1388-$E1388)+1)/2)^2-((($F1388-$E1388-COUNTIFS($A$5:$A$1668,$A1388,$C$5:$C$1668,$C1388)+1)-1)*($F1388-$E1388-COUNTIFS($A$5:$A$1668,$A1388,$C$5:$C$1668,$C1388)+1)/2)^2)/(COUNTIFS($A$5:$A$1668,$A1388,$C$5:$C$1668,$C1388)*($F1388-1)^3))*IF($F1388&lt;Points!$H$4,Points!$H$5,1),0)))</f>
        <v/>
      </c>
      <c r="H1388" s="11">
        <f>IF($G1388="","",COUNTIFS($B$5:$B$1668,$B1388,$G$5:$G$1668,"&gt;"&amp;$G1388)+COUNTIFS($B$4:$B1387,$B1388,$G$4:$G1387,$G1388)+1)</f>
        <v/>
      </c>
      <c r="I1388" s="11">
        <f>IF($G1388="","",IF($H1388&lt;=Points!$H$6,$G1388,0))</f>
        <v/>
      </c>
      <c r="J1388" s="11">
        <f>IF($B1388="","",IF(COUNTIF(Players!$A$2:$A$500,$B1388)=0,"Player is not on the Players tab",IF(NOT(ISNUMBER($C1388)),"Enter a gross score",IF(COUNTIFS($A$5:$A$1668,$A1388,$B$5:$B$1668,$B1388)&gt;1,"Player is listed twice this week",IF(AND($D1388&lt;&gt;"",COUNTIFS($A$5:$A$1668,$A1388,$D$5:$D$1668,$D1388)&gt;1),"Two players picked as "&amp;$D1388,IF(COUNTIFS($A$5:$A$1668,$A1388,$D$5:$D$1668,"Gross winner")=0,"Pick this week's gross winner",IF(COUNTIFS($A$5:$A$1668,$A1388,$D$5:$D$1668,"Net winner")=0,"Pick this week's net winner","OK")))))))</f>
        <v/>
      </c>
    </row>
    <row r="1389" outlineLevel="1">
      <c r="A1389" s="13" t="n">
        <v>46694</v>
      </c>
      <c r="E1389" s="11">
        <f>IF(OR($B1389="",NOT(ISNUMBER($C1389))),"",COUNTIFS($A$5:$A$1668,$A1389,$C$5:$C$1668,"&lt;"&amp;$C1389)+1)</f>
        <v/>
      </c>
      <c r="F1389" s="11">
        <f>IF(OR($B1389="",NOT(ISNUMBER($C1389))),"",COUNTIFS($A$5:$A$1668,$A1389,$C$5:$C$1668,"&gt;0"))</f>
        <v/>
      </c>
      <c r="G1389" s="11">
        <f>IF(OR($B1389="",NOT(ISNUMBER($C1389))),"",IF($D1389&lt;&gt;"",ROUND(Points!$B$6*IF($F1389&lt;Points!$H$4,Points!$H$5,1),0),ROUND(Points!$B$6*IF($F1389&lt;=1,1,Points!$H$7+(1-Points!$H$7)*((($F1389-$E1389)*(($F1389-$E1389)+1)/2)^2-((($F1389-$E1389-COUNTIFS($A$5:$A$1668,$A1389,$C$5:$C$1668,$C1389)+1)-1)*($F1389-$E1389-COUNTIFS($A$5:$A$1668,$A1389,$C$5:$C$1668,$C1389)+1)/2)^2)/(COUNTIFS($A$5:$A$1668,$A1389,$C$5:$C$1668,$C1389)*($F1389-1)^3))*IF($F1389&lt;Points!$H$4,Points!$H$5,1),0)))</f>
        <v/>
      </c>
      <c r="H1389" s="11">
        <f>IF($G1389="","",COUNTIFS($B$5:$B$1668,$B1389,$G$5:$G$1668,"&gt;"&amp;$G1389)+COUNTIFS($B$4:$B1388,$B1389,$G$4:$G1388,$G1389)+1)</f>
        <v/>
      </c>
      <c r="I1389" s="11">
        <f>IF($G1389="","",IF($H1389&lt;=Points!$H$6,$G1389,0))</f>
        <v/>
      </c>
      <c r="J1389" s="11">
        <f>IF($B1389="","",IF(COUNTIF(Players!$A$2:$A$500,$B1389)=0,"Player is not on the Players tab",IF(NOT(ISNUMBER($C1389)),"Enter a gross score",IF(COUNTIFS($A$5:$A$1668,$A1389,$B$5:$B$1668,$B1389)&gt;1,"Player is listed twice this week",IF(AND($D1389&lt;&gt;"",COUNTIFS($A$5:$A$1668,$A1389,$D$5:$D$1668,$D1389)&gt;1),"Two players picked as "&amp;$D1389,IF(COUNTIFS($A$5:$A$1668,$A1389,$D$5:$D$1668,"Gross winner")=0,"Pick this week's gross winner",IF(COUNTIFS($A$5:$A$1668,$A1389,$D$5:$D$1668,"Net winner")=0,"Pick this week's net winner","OK")))))))</f>
        <v/>
      </c>
    </row>
    <row r="1390" outlineLevel="1">
      <c r="A1390" s="13" t="n">
        <v>46694</v>
      </c>
      <c r="E1390" s="11">
        <f>IF(OR($B1390="",NOT(ISNUMBER($C1390))),"",COUNTIFS($A$5:$A$1668,$A1390,$C$5:$C$1668,"&lt;"&amp;$C1390)+1)</f>
        <v/>
      </c>
      <c r="F1390" s="11">
        <f>IF(OR($B1390="",NOT(ISNUMBER($C1390))),"",COUNTIFS($A$5:$A$1668,$A1390,$C$5:$C$1668,"&gt;0"))</f>
        <v/>
      </c>
      <c r="G1390" s="11">
        <f>IF(OR($B1390="",NOT(ISNUMBER($C1390))),"",IF($D1390&lt;&gt;"",ROUND(Points!$B$6*IF($F1390&lt;Points!$H$4,Points!$H$5,1),0),ROUND(Points!$B$6*IF($F1390&lt;=1,1,Points!$H$7+(1-Points!$H$7)*((($F1390-$E1390)*(($F1390-$E1390)+1)/2)^2-((($F1390-$E1390-COUNTIFS($A$5:$A$1668,$A1390,$C$5:$C$1668,$C1390)+1)-1)*($F1390-$E1390-COUNTIFS($A$5:$A$1668,$A1390,$C$5:$C$1668,$C1390)+1)/2)^2)/(COUNTIFS($A$5:$A$1668,$A1390,$C$5:$C$1668,$C1390)*($F1390-1)^3))*IF($F1390&lt;Points!$H$4,Points!$H$5,1),0)))</f>
        <v/>
      </c>
      <c r="H1390" s="11">
        <f>IF($G1390="","",COUNTIFS($B$5:$B$1668,$B1390,$G$5:$G$1668,"&gt;"&amp;$G1390)+COUNTIFS($B$4:$B1389,$B1390,$G$4:$G1389,$G1390)+1)</f>
        <v/>
      </c>
      <c r="I1390" s="11">
        <f>IF($G1390="","",IF($H1390&lt;=Points!$H$6,$G1390,0))</f>
        <v/>
      </c>
      <c r="J1390" s="11">
        <f>IF($B1390="","",IF(COUNTIF(Players!$A$2:$A$500,$B1390)=0,"Player is not on the Players tab",IF(NOT(ISNUMBER($C1390)),"Enter a gross score",IF(COUNTIFS($A$5:$A$1668,$A1390,$B$5:$B$1668,$B1390)&gt;1,"Player is listed twice this week",IF(AND($D1390&lt;&gt;"",COUNTIFS($A$5:$A$1668,$A1390,$D$5:$D$1668,$D1390)&gt;1),"Two players picked as "&amp;$D1390,IF(COUNTIFS($A$5:$A$1668,$A1390,$D$5:$D$1668,"Gross winner")=0,"Pick this week's gross winner",IF(COUNTIFS($A$5:$A$1668,$A1390,$D$5:$D$1668,"Net winner")=0,"Pick this week's net winner","OK")))))))</f>
        <v/>
      </c>
    </row>
    <row r="1391" outlineLevel="1">
      <c r="A1391" s="13" t="n">
        <v>46694</v>
      </c>
      <c r="E1391" s="11">
        <f>IF(OR($B1391="",NOT(ISNUMBER($C1391))),"",COUNTIFS($A$5:$A$1668,$A1391,$C$5:$C$1668,"&lt;"&amp;$C1391)+1)</f>
        <v/>
      </c>
      <c r="F1391" s="11">
        <f>IF(OR($B1391="",NOT(ISNUMBER($C1391))),"",COUNTIFS($A$5:$A$1668,$A1391,$C$5:$C$1668,"&gt;0"))</f>
        <v/>
      </c>
      <c r="G1391" s="11">
        <f>IF(OR($B1391="",NOT(ISNUMBER($C1391))),"",IF($D1391&lt;&gt;"",ROUND(Points!$B$6*IF($F1391&lt;Points!$H$4,Points!$H$5,1),0),ROUND(Points!$B$6*IF($F1391&lt;=1,1,Points!$H$7+(1-Points!$H$7)*((($F1391-$E1391)*(($F1391-$E1391)+1)/2)^2-((($F1391-$E1391-COUNTIFS($A$5:$A$1668,$A1391,$C$5:$C$1668,$C1391)+1)-1)*($F1391-$E1391-COUNTIFS($A$5:$A$1668,$A1391,$C$5:$C$1668,$C1391)+1)/2)^2)/(COUNTIFS($A$5:$A$1668,$A1391,$C$5:$C$1668,$C1391)*($F1391-1)^3))*IF($F1391&lt;Points!$H$4,Points!$H$5,1),0)))</f>
        <v/>
      </c>
      <c r="H1391" s="11">
        <f>IF($G1391="","",COUNTIFS($B$5:$B$1668,$B1391,$G$5:$G$1668,"&gt;"&amp;$G1391)+COUNTIFS($B$4:$B1390,$B1391,$G$4:$G1390,$G1391)+1)</f>
        <v/>
      </c>
      <c r="I1391" s="11">
        <f>IF($G1391="","",IF($H1391&lt;=Points!$H$6,$G1391,0))</f>
        <v/>
      </c>
      <c r="J1391" s="11">
        <f>IF($B1391="","",IF(COUNTIF(Players!$A$2:$A$500,$B1391)=0,"Player is not on the Players tab",IF(NOT(ISNUMBER($C1391)),"Enter a gross score",IF(COUNTIFS($A$5:$A$1668,$A1391,$B$5:$B$1668,$B1391)&gt;1,"Player is listed twice this week",IF(AND($D1391&lt;&gt;"",COUNTIFS($A$5:$A$1668,$A1391,$D$5:$D$1668,$D1391)&gt;1),"Two players picked as "&amp;$D1391,IF(COUNTIFS($A$5:$A$1668,$A1391,$D$5:$D$1668,"Gross winner")=0,"Pick this week's gross winner",IF(COUNTIFS($A$5:$A$1668,$A1391,$D$5:$D$1668,"Net winner")=0,"Pick this week's net winner","OK")))))))</f>
        <v/>
      </c>
    </row>
    <row r="1392" outlineLevel="1">
      <c r="A1392" s="13" t="n">
        <v>46694</v>
      </c>
      <c r="E1392" s="11">
        <f>IF(OR($B1392="",NOT(ISNUMBER($C1392))),"",COUNTIFS($A$5:$A$1668,$A1392,$C$5:$C$1668,"&lt;"&amp;$C1392)+1)</f>
        <v/>
      </c>
      <c r="F1392" s="11">
        <f>IF(OR($B1392="",NOT(ISNUMBER($C1392))),"",COUNTIFS($A$5:$A$1668,$A1392,$C$5:$C$1668,"&gt;0"))</f>
        <v/>
      </c>
      <c r="G1392" s="11">
        <f>IF(OR($B1392="",NOT(ISNUMBER($C1392))),"",IF($D1392&lt;&gt;"",ROUND(Points!$B$6*IF($F1392&lt;Points!$H$4,Points!$H$5,1),0),ROUND(Points!$B$6*IF($F1392&lt;=1,1,Points!$H$7+(1-Points!$H$7)*((($F1392-$E1392)*(($F1392-$E1392)+1)/2)^2-((($F1392-$E1392-COUNTIFS($A$5:$A$1668,$A1392,$C$5:$C$1668,$C1392)+1)-1)*($F1392-$E1392-COUNTIFS($A$5:$A$1668,$A1392,$C$5:$C$1668,$C1392)+1)/2)^2)/(COUNTIFS($A$5:$A$1668,$A1392,$C$5:$C$1668,$C1392)*($F1392-1)^3))*IF($F1392&lt;Points!$H$4,Points!$H$5,1),0)))</f>
        <v/>
      </c>
      <c r="H1392" s="11">
        <f>IF($G1392="","",COUNTIFS($B$5:$B$1668,$B1392,$G$5:$G$1668,"&gt;"&amp;$G1392)+COUNTIFS($B$4:$B1391,$B1392,$G$4:$G1391,$G1392)+1)</f>
        <v/>
      </c>
      <c r="I1392" s="11">
        <f>IF($G1392="","",IF($H1392&lt;=Points!$H$6,$G1392,0))</f>
        <v/>
      </c>
      <c r="J1392" s="11">
        <f>IF($B1392="","",IF(COUNTIF(Players!$A$2:$A$500,$B1392)=0,"Player is not on the Players tab",IF(NOT(ISNUMBER($C1392)),"Enter a gross score",IF(COUNTIFS($A$5:$A$1668,$A1392,$B$5:$B$1668,$B1392)&gt;1,"Player is listed twice this week",IF(AND($D1392&lt;&gt;"",COUNTIFS($A$5:$A$1668,$A1392,$D$5:$D$1668,$D1392)&gt;1),"Two players picked as "&amp;$D1392,IF(COUNTIFS($A$5:$A$1668,$A1392,$D$5:$D$1668,"Gross winner")=0,"Pick this week's gross winner",IF(COUNTIFS($A$5:$A$1668,$A1392,$D$5:$D$1668,"Net winner")=0,"Pick this week's net winner","OK")))))))</f>
        <v/>
      </c>
    </row>
    <row r="1393" outlineLevel="1">
      <c r="A1393" s="13" t="n">
        <v>46694</v>
      </c>
      <c r="E1393" s="11">
        <f>IF(OR($B1393="",NOT(ISNUMBER($C1393))),"",COUNTIFS($A$5:$A$1668,$A1393,$C$5:$C$1668,"&lt;"&amp;$C1393)+1)</f>
        <v/>
      </c>
      <c r="F1393" s="11">
        <f>IF(OR($B1393="",NOT(ISNUMBER($C1393))),"",COUNTIFS($A$5:$A$1668,$A1393,$C$5:$C$1668,"&gt;0"))</f>
        <v/>
      </c>
      <c r="G1393" s="11">
        <f>IF(OR($B1393="",NOT(ISNUMBER($C1393))),"",IF($D1393&lt;&gt;"",ROUND(Points!$B$6*IF($F1393&lt;Points!$H$4,Points!$H$5,1),0),ROUND(Points!$B$6*IF($F1393&lt;=1,1,Points!$H$7+(1-Points!$H$7)*((($F1393-$E1393)*(($F1393-$E1393)+1)/2)^2-((($F1393-$E1393-COUNTIFS($A$5:$A$1668,$A1393,$C$5:$C$1668,$C1393)+1)-1)*($F1393-$E1393-COUNTIFS($A$5:$A$1668,$A1393,$C$5:$C$1668,$C1393)+1)/2)^2)/(COUNTIFS($A$5:$A$1668,$A1393,$C$5:$C$1668,$C1393)*($F1393-1)^3))*IF($F1393&lt;Points!$H$4,Points!$H$5,1),0)))</f>
        <v/>
      </c>
      <c r="H1393" s="11">
        <f>IF($G1393="","",COUNTIFS($B$5:$B$1668,$B1393,$G$5:$G$1668,"&gt;"&amp;$G1393)+COUNTIFS($B$4:$B1392,$B1393,$G$4:$G1392,$G1393)+1)</f>
        <v/>
      </c>
      <c r="I1393" s="11">
        <f>IF($G1393="","",IF($H1393&lt;=Points!$H$6,$G1393,0))</f>
        <v/>
      </c>
      <c r="J1393" s="11">
        <f>IF($B1393="","",IF(COUNTIF(Players!$A$2:$A$500,$B1393)=0,"Player is not on the Players tab",IF(NOT(ISNUMBER($C1393)),"Enter a gross score",IF(COUNTIFS($A$5:$A$1668,$A1393,$B$5:$B$1668,$B1393)&gt;1,"Player is listed twice this week",IF(AND($D1393&lt;&gt;"",COUNTIFS($A$5:$A$1668,$A1393,$D$5:$D$1668,$D1393)&gt;1),"Two players picked as "&amp;$D1393,IF(COUNTIFS($A$5:$A$1668,$A1393,$D$5:$D$1668,"Gross winner")=0,"Pick this week's gross winner",IF(COUNTIFS($A$5:$A$1668,$A1393,$D$5:$D$1668,"Net winner")=0,"Pick this week's net winner","OK")))))))</f>
        <v/>
      </c>
    </row>
    <row r="1394" outlineLevel="1">
      <c r="A1394" s="13" t="n">
        <v>46694</v>
      </c>
      <c r="E1394" s="11">
        <f>IF(OR($B1394="",NOT(ISNUMBER($C1394))),"",COUNTIFS($A$5:$A$1668,$A1394,$C$5:$C$1668,"&lt;"&amp;$C1394)+1)</f>
        <v/>
      </c>
      <c r="F1394" s="11">
        <f>IF(OR($B1394="",NOT(ISNUMBER($C1394))),"",COUNTIFS($A$5:$A$1668,$A1394,$C$5:$C$1668,"&gt;0"))</f>
        <v/>
      </c>
      <c r="G1394" s="11">
        <f>IF(OR($B1394="",NOT(ISNUMBER($C1394))),"",IF($D1394&lt;&gt;"",ROUND(Points!$B$6*IF($F1394&lt;Points!$H$4,Points!$H$5,1),0),ROUND(Points!$B$6*IF($F1394&lt;=1,1,Points!$H$7+(1-Points!$H$7)*((($F1394-$E1394)*(($F1394-$E1394)+1)/2)^2-((($F1394-$E1394-COUNTIFS($A$5:$A$1668,$A1394,$C$5:$C$1668,$C1394)+1)-1)*($F1394-$E1394-COUNTIFS($A$5:$A$1668,$A1394,$C$5:$C$1668,$C1394)+1)/2)^2)/(COUNTIFS($A$5:$A$1668,$A1394,$C$5:$C$1668,$C1394)*($F1394-1)^3))*IF($F1394&lt;Points!$H$4,Points!$H$5,1),0)))</f>
        <v/>
      </c>
      <c r="H1394" s="11">
        <f>IF($G1394="","",COUNTIFS($B$5:$B$1668,$B1394,$G$5:$G$1668,"&gt;"&amp;$G1394)+COUNTIFS($B$4:$B1393,$B1394,$G$4:$G1393,$G1394)+1)</f>
        <v/>
      </c>
      <c r="I1394" s="11">
        <f>IF($G1394="","",IF($H1394&lt;=Points!$H$6,$G1394,0))</f>
        <v/>
      </c>
      <c r="J1394" s="11">
        <f>IF($B1394="","",IF(COUNTIF(Players!$A$2:$A$500,$B1394)=0,"Player is not on the Players tab",IF(NOT(ISNUMBER($C1394)),"Enter a gross score",IF(COUNTIFS($A$5:$A$1668,$A1394,$B$5:$B$1668,$B1394)&gt;1,"Player is listed twice this week",IF(AND($D1394&lt;&gt;"",COUNTIFS($A$5:$A$1668,$A1394,$D$5:$D$1668,$D1394)&gt;1),"Two players picked as "&amp;$D1394,IF(COUNTIFS($A$5:$A$1668,$A1394,$D$5:$D$1668,"Gross winner")=0,"Pick this week's gross winner",IF(COUNTIFS($A$5:$A$1668,$A1394,$D$5:$D$1668,"Net winner")=0,"Pick this week's net winner","OK")))))))</f>
        <v/>
      </c>
    </row>
    <row r="1395" outlineLevel="1">
      <c r="A1395" s="13" t="n">
        <v>46694</v>
      </c>
      <c r="E1395" s="11">
        <f>IF(OR($B1395="",NOT(ISNUMBER($C1395))),"",COUNTIFS($A$5:$A$1668,$A1395,$C$5:$C$1668,"&lt;"&amp;$C1395)+1)</f>
        <v/>
      </c>
      <c r="F1395" s="11">
        <f>IF(OR($B1395="",NOT(ISNUMBER($C1395))),"",COUNTIFS($A$5:$A$1668,$A1395,$C$5:$C$1668,"&gt;0"))</f>
        <v/>
      </c>
      <c r="G1395" s="11">
        <f>IF(OR($B1395="",NOT(ISNUMBER($C1395))),"",IF($D1395&lt;&gt;"",ROUND(Points!$B$6*IF($F1395&lt;Points!$H$4,Points!$H$5,1),0),ROUND(Points!$B$6*IF($F1395&lt;=1,1,Points!$H$7+(1-Points!$H$7)*((($F1395-$E1395)*(($F1395-$E1395)+1)/2)^2-((($F1395-$E1395-COUNTIFS($A$5:$A$1668,$A1395,$C$5:$C$1668,$C1395)+1)-1)*($F1395-$E1395-COUNTIFS($A$5:$A$1668,$A1395,$C$5:$C$1668,$C1395)+1)/2)^2)/(COUNTIFS($A$5:$A$1668,$A1395,$C$5:$C$1668,$C1395)*($F1395-1)^3))*IF($F1395&lt;Points!$H$4,Points!$H$5,1),0)))</f>
        <v/>
      </c>
      <c r="H1395" s="11">
        <f>IF($G1395="","",COUNTIFS($B$5:$B$1668,$B1395,$G$5:$G$1668,"&gt;"&amp;$G1395)+COUNTIFS($B$4:$B1394,$B1395,$G$4:$G1394,$G1395)+1)</f>
        <v/>
      </c>
      <c r="I1395" s="11">
        <f>IF($G1395="","",IF($H1395&lt;=Points!$H$6,$G1395,0))</f>
        <v/>
      </c>
      <c r="J1395" s="11">
        <f>IF($B1395="","",IF(COUNTIF(Players!$A$2:$A$500,$B1395)=0,"Player is not on the Players tab",IF(NOT(ISNUMBER($C1395)),"Enter a gross score",IF(COUNTIFS($A$5:$A$1668,$A1395,$B$5:$B$1668,$B1395)&gt;1,"Player is listed twice this week",IF(AND($D1395&lt;&gt;"",COUNTIFS($A$5:$A$1668,$A1395,$D$5:$D$1668,$D1395)&gt;1),"Two players picked as "&amp;$D1395,IF(COUNTIFS($A$5:$A$1668,$A1395,$D$5:$D$1668,"Gross winner")=0,"Pick this week's gross winner",IF(COUNTIFS($A$5:$A$1668,$A1395,$D$5:$D$1668,"Net winner")=0,"Pick this week's net winner","OK")))))))</f>
        <v/>
      </c>
    </row>
    <row r="1396" outlineLevel="1">
      <c r="A1396" s="13" t="n">
        <v>46694</v>
      </c>
      <c r="E1396" s="11">
        <f>IF(OR($B1396="",NOT(ISNUMBER($C1396))),"",COUNTIFS($A$5:$A$1668,$A1396,$C$5:$C$1668,"&lt;"&amp;$C1396)+1)</f>
        <v/>
      </c>
      <c r="F1396" s="11">
        <f>IF(OR($B1396="",NOT(ISNUMBER($C1396))),"",COUNTIFS($A$5:$A$1668,$A1396,$C$5:$C$1668,"&gt;0"))</f>
        <v/>
      </c>
      <c r="G1396" s="11">
        <f>IF(OR($B1396="",NOT(ISNUMBER($C1396))),"",IF($D1396&lt;&gt;"",ROUND(Points!$B$6*IF($F1396&lt;Points!$H$4,Points!$H$5,1),0),ROUND(Points!$B$6*IF($F1396&lt;=1,1,Points!$H$7+(1-Points!$H$7)*((($F1396-$E1396)*(($F1396-$E1396)+1)/2)^2-((($F1396-$E1396-COUNTIFS($A$5:$A$1668,$A1396,$C$5:$C$1668,$C1396)+1)-1)*($F1396-$E1396-COUNTIFS($A$5:$A$1668,$A1396,$C$5:$C$1668,$C1396)+1)/2)^2)/(COUNTIFS($A$5:$A$1668,$A1396,$C$5:$C$1668,$C1396)*($F1396-1)^3))*IF($F1396&lt;Points!$H$4,Points!$H$5,1),0)))</f>
        <v/>
      </c>
      <c r="H1396" s="11">
        <f>IF($G1396="","",COUNTIFS($B$5:$B$1668,$B1396,$G$5:$G$1668,"&gt;"&amp;$G1396)+COUNTIFS($B$4:$B1395,$B1396,$G$4:$G1395,$G1396)+1)</f>
        <v/>
      </c>
      <c r="I1396" s="11">
        <f>IF($G1396="","",IF($H1396&lt;=Points!$H$6,$G1396,0))</f>
        <v/>
      </c>
      <c r="J1396" s="11">
        <f>IF($B1396="","",IF(COUNTIF(Players!$A$2:$A$500,$B1396)=0,"Player is not on the Players tab",IF(NOT(ISNUMBER($C1396)),"Enter a gross score",IF(COUNTIFS($A$5:$A$1668,$A1396,$B$5:$B$1668,$B1396)&gt;1,"Player is listed twice this week",IF(AND($D1396&lt;&gt;"",COUNTIFS($A$5:$A$1668,$A1396,$D$5:$D$1668,$D1396)&gt;1),"Two players picked as "&amp;$D1396,IF(COUNTIFS($A$5:$A$1668,$A1396,$D$5:$D$1668,"Gross winner")=0,"Pick this week's gross winner",IF(COUNTIFS($A$5:$A$1668,$A1396,$D$5:$D$1668,"Net winner")=0,"Pick this week's net winner","OK")))))))</f>
        <v/>
      </c>
    </row>
    <row r="1397" outlineLevel="1">
      <c r="A1397" s="13" t="n">
        <v>46694</v>
      </c>
      <c r="E1397" s="11">
        <f>IF(OR($B1397="",NOT(ISNUMBER($C1397))),"",COUNTIFS($A$5:$A$1668,$A1397,$C$5:$C$1668,"&lt;"&amp;$C1397)+1)</f>
        <v/>
      </c>
      <c r="F1397" s="11">
        <f>IF(OR($B1397="",NOT(ISNUMBER($C1397))),"",COUNTIFS($A$5:$A$1668,$A1397,$C$5:$C$1668,"&gt;0"))</f>
        <v/>
      </c>
      <c r="G1397" s="11">
        <f>IF(OR($B1397="",NOT(ISNUMBER($C1397))),"",IF($D1397&lt;&gt;"",ROUND(Points!$B$6*IF($F1397&lt;Points!$H$4,Points!$H$5,1),0),ROUND(Points!$B$6*IF($F1397&lt;=1,1,Points!$H$7+(1-Points!$H$7)*((($F1397-$E1397)*(($F1397-$E1397)+1)/2)^2-((($F1397-$E1397-COUNTIFS($A$5:$A$1668,$A1397,$C$5:$C$1668,$C1397)+1)-1)*($F1397-$E1397-COUNTIFS($A$5:$A$1668,$A1397,$C$5:$C$1668,$C1397)+1)/2)^2)/(COUNTIFS($A$5:$A$1668,$A1397,$C$5:$C$1668,$C1397)*($F1397-1)^3))*IF($F1397&lt;Points!$H$4,Points!$H$5,1),0)))</f>
        <v/>
      </c>
      <c r="H1397" s="11">
        <f>IF($G1397="","",COUNTIFS($B$5:$B$1668,$B1397,$G$5:$G$1668,"&gt;"&amp;$G1397)+COUNTIFS($B$4:$B1396,$B1397,$G$4:$G1396,$G1397)+1)</f>
        <v/>
      </c>
      <c r="I1397" s="11">
        <f>IF($G1397="","",IF($H1397&lt;=Points!$H$6,$G1397,0))</f>
        <v/>
      </c>
      <c r="J1397" s="11">
        <f>IF($B1397="","",IF(COUNTIF(Players!$A$2:$A$500,$B1397)=0,"Player is not on the Players tab",IF(NOT(ISNUMBER($C1397)),"Enter a gross score",IF(COUNTIFS($A$5:$A$1668,$A1397,$B$5:$B$1668,$B1397)&gt;1,"Player is listed twice this week",IF(AND($D1397&lt;&gt;"",COUNTIFS($A$5:$A$1668,$A1397,$D$5:$D$1668,$D1397)&gt;1),"Two players picked as "&amp;$D1397,IF(COUNTIFS($A$5:$A$1668,$A1397,$D$5:$D$1668,"Gross winner")=0,"Pick this week's gross winner",IF(COUNTIFS($A$5:$A$1668,$A1397,$D$5:$D$1668,"Net winner")=0,"Pick this week's net winner","OK")))))))</f>
        <v/>
      </c>
    </row>
    <row r="1398" outlineLevel="1">
      <c r="A1398" s="13" t="n">
        <v>46694</v>
      </c>
      <c r="E1398" s="11">
        <f>IF(OR($B1398="",NOT(ISNUMBER($C1398))),"",COUNTIFS($A$5:$A$1668,$A1398,$C$5:$C$1668,"&lt;"&amp;$C1398)+1)</f>
        <v/>
      </c>
      <c r="F1398" s="11">
        <f>IF(OR($B1398="",NOT(ISNUMBER($C1398))),"",COUNTIFS($A$5:$A$1668,$A1398,$C$5:$C$1668,"&gt;0"))</f>
        <v/>
      </c>
      <c r="G1398" s="11">
        <f>IF(OR($B1398="",NOT(ISNUMBER($C1398))),"",IF($D1398&lt;&gt;"",ROUND(Points!$B$6*IF($F1398&lt;Points!$H$4,Points!$H$5,1),0),ROUND(Points!$B$6*IF($F1398&lt;=1,1,Points!$H$7+(1-Points!$H$7)*((($F1398-$E1398)*(($F1398-$E1398)+1)/2)^2-((($F1398-$E1398-COUNTIFS($A$5:$A$1668,$A1398,$C$5:$C$1668,$C1398)+1)-1)*($F1398-$E1398-COUNTIFS($A$5:$A$1668,$A1398,$C$5:$C$1668,$C1398)+1)/2)^2)/(COUNTIFS($A$5:$A$1668,$A1398,$C$5:$C$1668,$C1398)*($F1398-1)^3))*IF($F1398&lt;Points!$H$4,Points!$H$5,1),0)))</f>
        <v/>
      </c>
      <c r="H1398" s="11">
        <f>IF($G1398="","",COUNTIFS($B$5:$B$1668,$B1398,$G$5:$G$1668,"&gt;"&amp;$G1398)+COUNTIFS($B$4:$B1397,$B1398,$G$4:$G1397,$G1398)+1)</f>
        <v/>
      </c>
      <c r="I1398" s="11">
        <f>IF($G1398="","",IF($H1398&lt;=Points!$H$6,$G1398,0))</f>
        <v/>
      </c>
      <c r="J1398" s="11">
        <f>IF($B1398="","",IF(COUNTIF(Players!$A$2:$A$500,$B1398)=0,"Player is not on the Players tab",IF(NOT(ISNUMBER($C1398)),"Enter a gross score",IF(COUNTIFS($A$5:$A$1668,$A1398,$B$5:$B$1668,$B1398)&gt;1,"Player is listed twice this week",IF(AND($D1398&lt;&gt;"",COUNTIFS($A$5:$A$1668,$A1398,$D$5:$D$1668,$D1398)&gt;1),"Two players picked as "&amp;$D1398,IF(COUNTIFS($A$5:$A$1668,$A1398,$D$5:$D$1668,"Gross winner")=0,"Pick this week's gross winner",IF(COUNTIFS($A$5:$A$1668,$A1398,$D$5:$D$1668,"Net winner")=0,"Pick this week's net winner","OK")))))))</f>
        <v/>
      </c>
    </row>
    <row r="1399" outlineLevel="1">
      <c r="A1399" s="13" t="n">
        <v>46694</v>
      </c>
      <c r="E1399" s="11">
        <f>IF(OR($B1399="",NOT(ISNUMBER($C1399))),"",COUNTIFS($A$5:$A$1668,$A1399,$C$5:$C$1668,"&lt;"&amp;$C1399)+1)</f>
        <v/>
      </c>
      <c r="F1399" s="11">
        <f>IF(OR($B1399="",NOT(ISNUMBER($C1399))),"",COUNTIFS($A$5:$A$1668,$A1399,$C$5:$C$1668,"&gt;0"))</f>
        <v/>
      </c>
      <c r="G1399" s="11">
        <f>IF(OR($B1399="",NOT(ISNUMBER($C1399))),"",IF($D1399&lt;&gt;"",ROUND(Points!$B$6*IF($F1399&lt;Points!$H$4,Points!$H$5,1),0),ROUND(Points!$B$6*IF($F1399&lt;=1,1,Points!$H$7+(1-Points!$H$7)*((($F1399-$E1399)*(($F1399-$E1399)+1)/2)^2-((($F1399-$E1399-COUNTIFS($A$5:$A$1668,$A1399,$C$5:$C$1668,$C1399)+1)-1)*($F1399-$E1399-COUNTIFS($A$5:$A$1668,$A1399,$C$5:$C$1668,$C1399)+1)/2)^2)/(COUNTIFS($A$5:$A$1668,$A1399,$C$5:$C$1668,$C1399)*($F1399-1)^3))*IF($F1399&lt;Points!$H$4,Points!$H$5,1),0)))</f>
        <v/>
      </c>
      <c r="H1399" s="11">
        <f>IF($G1399="","",COUNTIFS($B$5:$B$1668,$B1399,$G$5:$G$1668,"&gt;"&amp;$G1399)+COUNTIFS($B$4:$B1398,$B1399,$G$4:$G1398,$G1399)+1)</f>
        <v/>
      </c>
      <c r="I1399" s="11">
        <f>IF($G1399="","",IF($H1399&lt;=Points!$H$6,$G1399,0))</f>
        <v/>
      </c>
      <c r="J1399" s="11">
        <f>IF($B1399="","",IF(COUNTIF(Players!$A$2:$A$500,$B1399)=0,"Player is not on the Players tab",IF(NOT(ISNUMBER($C1399)),"Enter a gross score",IF(COUNTIFS($A$5:$A$1668,$A1399,$B$5:$B$1668,$B1399)&gt;1,"Player is listed twice this week",IF(AND($D1399&lt;&gt;"",COUNTIFS($A$5:$A$1668,$A1399,$D$5:$D$1668,$D1399)&gt;1),"Two players picked as "&amp;$D1399,IF(COUNTIFS($A$5:$A$1668,$A1399,$D$5:$D$1668,"Gross winner")=0,"Pick this week's gross winner",IF(COUNTIFS($A$5:$A$1668,$A1399,$D$5:$D$1668,"Net winner")=0,"Pick this week's net winner","OK")))))))</f>
        <v/>
      </c>
    </row>
    <row r="1400" outlineLevel="1">
      <c r="A1400" s="13" t="n">
        <v>46694</v>
      </c>
      <c r="E1400" s="11">
        <f>IF(OR($B1400="",NOT(ISNUMBER($C1400))),"",COUNTIFS($A$5:$A$1668,$A1400,$C$5:$C$1668,"&lt;"&amp;$C1400)+1)</f>
        <v/>
      </c>
      <c r="F1400" s="11">
        <f>IF(OR($B1400="",NOT(ISNUMBER($C1400))),"",COUNTIFS($A$5:$A$1668,$A1400,$C$5:$C$1668,"&gt;0"))</f>
        <v/>
      </c>
      <c r="G1400" s="11">
        <f>IF(OR($B1400="",NOT(ISNUMBER($C1400))),"",IF($D1400&lt;&gt;"",ROUND(Points!$B$6*IF($F1400&lt;Points!$H$4,Points!$H$5,1),0),ROUND(Points!$B$6*IF($F1400&lt;=1,1,Points!$H$7+(1-Points!$H$7)*((($F1400-$E1400)*(($F1400-$E1400)+1)/2)^2-((($F1400-$E1400-COUNTIFS($A$5:$A$1668,$A1400,$C$5:$C$1668,$C1400)+1)-1)*($F1400-$E1400-COUNTIFS($A$5:$A$1668,$A1400,$C$5:$C$1668,$C1400)+1)/2)^2)/(COUNTIFS($A$5:$A$1668,$A1400,$C$5:$C$1668,$C1400)*($F1400-1)^3))*IF($F1400&lt;Points!$H$4,Points!$H$5,1),0)))</f>
        <v/>
      </c>
      <c r="H1400" s="11">
        <f>IF($G1400="","",COUNTIFS($B$5:$B$1668,$B1400,$G$5:$G$1668,"&gt;"&amp;$G1400)+COUNTIFS($B$4:$B1399,$B1400,$G$4:$G1399,$G1400)+1)</f>
        <v/>
      </c>
      <c r="I1400" s="11">
        <f>IF($G1400="","",IF($H1400&lt;=Points!$H$6,$G1400,0))</f>
        <v/>
      </c>
      <c r="J1400" s="11">
        <f>IF($B1400="","",IF(COUNTIF(Players!$A$2:$A$500,$B1400)=0,"Player is not on the Players tab",IF(NOT(ISNUMBER($C1400)),"Enter a gross score",IF(COUNTIFS($A$5:$A$1668,$A1400,$B$5:$B$1668,$B1400)&gt;1,"Player is listed twice this week",IF(AND($D1400&lt;&gt;"",COUNTIFS($A$5:$A$1668,$A1400,$D$5:$D$1668,$D1400)&gt;1),"Two players picked as "&amp;$D1400,IF(COUNTIFS($A$5:$A$1668,$A1400,$D$5:$D$1668,"Gross winner")=0,"Pick this week's gross winner",IF(COUNTIFS($A$5:$A$1668,$A1400,$D$5:$D$1668,"Net winner")=0,"Pick this week's net winner","OK")))))))</f>
        <v/>
      </c>
    </row>
    <row r="1401" outlineLevel="1">
      <c r="A1401" s="13" t="n">
        <v>46694</v>
      </c>
      <c r="E1401" s="11">
        <f>IF(OR($B1401="",NOT(ISNUMBER($C1401))),"",COUNTIFS($A$5:$A$1668,$A1401,$C$5:$C$1668,"&lt;"&amp;$C1401)+1)</f>
        <v/>
      </c>
      <c r="F1401" s="11">
        <f>IF(OR($B1401="",NOT(ISNUMBER($C1401))),"",COUNTIFS($A$5:$A$1668,$A1401,$C$5:$C$1668,"&gt;0"))</f>
        <v/>
      </c>
      <c r="G1401" s="11">
        <f>IF(OR($B1401="",NOT(ISNUMBER($C1401))),"",IF($D1401&lt;&gt;"",ROUND(Points!$B$6*IF($F1401&lt;Points!$H$4,Points!$H$5,1),0),ROUND(Points!$B$6*IF($F1401&lt;=1,1,Points!$H$7+(1-Points!$H$7)*((($F1401-$E1401)*(($F1401-$E1401)+1)/2)^2-((($F1401-$E1401-COUNTIFS($A$5:$A$1668,$A1401,$C$5:$C$1668,$C1401)+1)-1)*($F1401-$E1401-COUNTIFS($A$5:$A$1668,$A1401,$C$5:$C$1668,$C1401)+1)/2)^2)/(COUNTIFS($A$5:$A$1668,$A1401,$C$5:$C$1668,$C1401)*($F1401-1)^3))*IF($F1401&lt;Points!$H$4,Points!$H$5,1),0)))</f>
        <v/>
      </c>
      <c r="H1401" s="11">
        <f>IF($G1401="","",COUNTIFS($B$5:$B$1668,$B1401,$G$5:$G$1668,"&gt;"&amp;$G1401)+COUNTIFS($B$4:$B1400,$B1401,$G$4:$G1400,$G1401)+1)</f>
        <v/>
      </c>
      <c r="I1401" s="11">
        <f>IF($G1401="","",IF($H1401&lt;=Points!$H$6,$G1401,0))</f>
        <v/>
      </c>
      <c r="J1401" s="11">
        <f>IF($B1401="","",IF(COUNTIF(Players!$A$2:$A$500,$B1401)=0,"Player is not on the Players tab",IF(NOT(ISNUMBER($C1401)),"Enter a gross score",IF(COUNTIFS($A$5:$A$1668,$A1401,$B$5:$B$1668,$B1401)&gt;1,"Player is listed twice this week",IF(AND($D1401&lt;&gt;"",COUNTIFS($A$5:$A$1668,$A1401,$D$5:$D$1668,$D1401)&gt;1),"Two players picked as "&amp;$D1401,IF(COUNTIFS($A$5:$A$1668,$A1401,$D$5:$D$1668,"Gross winner")=0,"Pick this week's gross winner",IF(COUNTIFS($A$5:$A$1668,$A1401,$D$5:$D$1668,"Net winner")=0,"Pick this week's net winner","OK")))))))</f>
        <v/>
      </c>
    </row>
    <row r="1402" outlineLevel="1">
      <c r="A1402" s="13" t="n">
        <v>46694</v>
      </c>
      <c r="E1402" s="11">
        <f>IF(OR($B1402="",NOT(ISNUMBER($C1402))),"",COUNTIFS($A$5:$A$1668,$A1402,$C$5:$C$1668,"&lt;"&amp;$C1402)+1)</f>
        <v/>
      </c>
      <c r="F1402" s="11">
        <f>IF(OR($B1402="",NOT(ISNUMBER($C1402))),"",COUNTIFS($A$5:$A$1668,$A1402,$C$5:$C$1668,"&gt;0"))</f>
        <v/>
      </c>
      <c r="G1402" s="11">
        <f>IF(OR($B1402="",NOT(ISNUMBER($C1402))),"",IF($D1402&lt;&gt;"",ROUND(Points!$B$6*IF($F1402&lt;Points!$H$4,Points!$H$5,1),0),ROUND(Points!$B$6*IF($F1402&lt;=1,1,Points!$H$7+(1-Points!$H$7)*((($F1402-$E1402)*(($F1402-$E1402)+1)/2)^2-((($F1402-$E1402-COUNTIFS($A$5:$A$1668,$A1402,$C$5:$C$1668,$C1402)+1)-1)*($F1402-$E1402-COUNTIFS($A$5:$A$1668,$A1402,$C$5:$C$1668,$C1402)+1)/2)^2)/(COUNTIFS($A$5:$A$1668,$A1402,$C$5:$C$1668,$C1402)*($F1402-1)^3))*IF($F1402&lt;Points!$H$4,Points!$H$5,1),0)))</f>
        <v/>
      </c>
      <c r="H1402" s="11">
        <f>IF($G1402="","",COUNTIFS($B$5:$B$1668,$B1402,$G$5:$G$1668,"&gt;"&amp;$G1402)+COUNTIFS($B$4:$B1401,$B1402,$G$4:$G1401,$G1402)+1)</f>
        <v/>
      </c>
      <c r="I1402" s="11">
        <f>IF($G1402="","",IF($H1402&lt;=Points!$H$6,$G1402,0))</f>
        <v/>
      </c>
      <c r="J1402" s="11">
        <f>IF($B1402="","",IF(COUNTIF(Players!$A$2:$A$500,$B1402)=0,"Player is not on the Players tab",IF(NOT(ISNUMBER($C1402)),"Enter a gross score",IF(COUNTIFS($A$5:$A$1668,$A1402,$B$5:$B$1668,$B1402)&gt;1,"Player is listed twice this week",IF(AND($D1402&lt;&gt;"",COUNTIFS($A$5:$A$1668,$A1402,$D$5:$D$1668,$D1402)&gt;1),"Two players picked as "&amp;$D1402,IF(COUNTIFS($A$5:$A$1668,$A1402,$D$5:$D$1668,"Gross winner")=0,"Pick this week's gross winner",IF(COUNTIFS($A$5:$A$1668,$A1402,$D$5:$D$1668,"Net winner")=0,"Pick this week's net winner","OK")))))))</f>
        <v/>
      </c>
    </row>
    <row r="1403" outlineLevel="1">
      <c r="A1403" s="13" t="n">
        <v>46694</v>
      </c>
      <c r="E1403" s="11">
        <f>IF(OR($B1403="",NOT(ISNUMBER($C1403))),"",COUNTIFS($A$5:$A$1668,$A1403,$C$5:$C$1668,"&lt;"&amp;$C1403)+1)</f>
        <v/>
      </c>
      <c r="F1403" s="11">
        <f>IF(OR($B1403="",NOT(ISNUMBER($C1403))),"",COUNTIFS($A$5:$A$1668,$A1403,$C$5:$C$1668,"&gt;0"))</f>
        <v/>
      </c>
      <c r="G1403" s="11">
        <f>IF(OR($B1403="",NOT(ISNUMBER($C1403))),"",IF($D1403&lt;&gt;"",ROUND(Points!$B$6*IF($F1403&lt;Points!$H$4,Points!$H$5,1),0),ROUND(Points!$B$6*IF($F1403&lt;=1,1,Points!$H$7+(1-Points!$H$7)*((($F1403-$E1403)*(($F1403-$E1403)+1)/2)^2-((($F1403-$E1403-COUNTIFS($A$5:$A$1668,$A1403,$C$5:$C$1668,$C1403)+1)-1)*($F1403-$E1403-COUNTIFS($A$5:$A$1668,$A1403,$C$5:$C$1668,$C1403)+1)/2)^2)/(COUNTIFS($A$5:$A$1668,$A1403,$C$5:$C$1668,$C1403)*($F1403-1)^3))*IF($F1403&lt;Points!$H$4,Points!$H$5,1),0)))</f>
        <v/>
      </c>
      <c r="H1403" s="11">
        <f>IF($G1403="","",COUNTIFS($B$5:$B$1668,$B1403,$G$5:$G$1668,"&gt;"&amp;$G1403)+COUNTIFS($B$4:$B1402,$B1403,$G$4:$G1402,$G1403)+1)</f>
        <v/>
      </c>
      <c r="I1403" s="11">
        <f>IF($G1403="","",IF($H1403&lt;=Points!$H$6,$G1403,0))</f>
        <v/>
      </c>
      <c r="J1403" s="11">
        <f>IF($B1403="","",IF(COUNTIF(Players!$A$2:$A$500,$B1403)=0,"Player is not on the Players tab",IF(NOT(ISNUMBER($C1403)),"Enter a gross score",IF(COUNTIFS($A$5:$A$1668,$A1403,$B$5:$B$1668,$B1403)&gt;1,"Player is listed twice this week",IF(AND($D1403&lt;&gt;"",COUNTIFS($A$5:$A$1668,$A1403,$D$5:$D$1668,$D1403)&gt;1),"Two players picked as "&amp;$D1403,IF(COUNTIFS($A$5:$A$1668,$A1403,$D$5:$D$1668,"Gross winner")=0,"Pick this week's gross winner",IF(COUNTIFS($A$5:$A$1668,$A1403,$D$5:$D$1668,"Net winner")=0,"Pick this week's net winner","OK")))))))</f>
        <v/>
      </c>
    </row>
    <row r="1404" outlineLevel="1">
      <c r="A1404" s="13" t="n">
        <v>46694</v>
      </c>
      <c r="E1404" s="11">
        <f>IF(OR($B1404="",NOT(ISNUMBER($C1404))),"",COUNTIFS($A$5:$A$1668,$A1404,$C$5:$C$1668,"&lt;"&amp;$C1404)+1)</f>
        <v/>
      </c>
      <c r="F1404" s="11">
        <f>IF(OR($B1404="",NOT(ISNUMBER($C1404))),"",COUNTIFS($A$5:$A$1668,$A1404,$C$5:$C$1668,"&gt;0"))</f>
        <v/>
      </c>
      <c r="G1404" s="11">
        <f>IF(OR($B1404="",NOT(ISNUMBER($C1404))),"",IF($D1404&lt;&gt;"",ROUND(Points!$B$6*IF($F1404&lt;Points!$H$4,Points!$H$5,1),0),ROUND(Points!$B$6*IF($F1404&lt;=1,1,Points!$H$7+(1-Points!$H$7)*((($F1404-$E1404)*(($F1404-$E1404)+1)/2)^2-((($F1404-$E1404-COUNTIFS($A$5:$A$1668,$A1404,$C$5:$C$1668,$C1404)+1)-1)*($F1404-$E1404-COUNTIFS($A$5:$A$1668,$A1404,$C$5:$C$1668,$C1404)+1)/2)^2)/(COUNTIFS($A$5:$A$1668,$A1404,$C$5:$C$1668,$C1404)*($F1404-1)^3))*IF($F1404&lt;Points!$H$4,Points!$H$5,1),0)))</f>
        <v/>
      </c>
      <c r="H1404" s="11">
        <f>IF($G1404="","",COUNTIFS($B$5:$B$1668,$B1404,$G$5:$G$1668,"&gt;"&amp;$G1404)+COUNTIFS($B$4:$B1403,$B1404,$G$4:$G1403,$G1404)+1)</f>
        <v/>
      </c>
      <c r="I1404" s="11">
        <f>IF($G1404="","",IF($H1404&lt;=Points!$H$6,$G1404,0))</f>
        <v/>
      </c>
      <c r="J1404" s="11">
        <f>IF($B1404="","",IF(COUNTIF(Players!$A$2:$A$500,$B1404)=0,"Player is not on the Players tab",IF(NOT(ISNUMBER($C1404)),"Enter a gross score",IF(COUNTIFS($A$5:$A$1668,$A1404,$B$5:$B$1668,$B1404)&gt;1,"Player is listed twice this week",IF(AND($D1404&lt;&gt;"",COUNTIFS($A$5:$A$1668,$A1404,$D$5:$D$1668,$D1404)&gt;1),"Two players picked as "&amp;$D1404,IF(COUNTIFS($A$5:$A$1668,$A1404,$D$5:$D$1668,"Gross winner")=0,"Pick this week's gross winner",IF(COUNTIFS($A$5:$A$1668,$A1404,$D$5:$D$1668,"Net winner")=0,"Pick this week's net winner","OK")))))))</f>
        <v/>
      </c>
    </row>
    <row r="1405" outlineLevel="1">
      <c r="A1405" s="13" t="n">
        <v>46694</v>
      </c>
      <c r="E1405" s="11">
        <f>IF(OR($B1405="",NOT(ISNUMBER($C1405))),"",COUNTIFS($A$5:$A$1668,$A1405,$C$5:$C$1668,"&lt;"&amp;$C1405)+1)</f>
        <v/>
      </c>
      <c r="F1405" s="11">
        <f>IF(OR($B1405="",NOT(ISNUMBER($C1405))),"",COUNTIFS($A$5:$A$1668,$A1405,$C$5:$C$1668,"&gt;0"))</f>
        <v/>
      </c>
      <c r="G1405" s="11">
        <f>IF(OR($B1405="",NOT(ISNUMBER($C1405))),"",IF($D1405&lt;&gt;"",ROUND(Points!$B$6*IF($F1405&lt;Points!$H$4,Points!$H$5,1),0),ROUND(Points!$B$6*IF($F1405&lt;=1,1,Points!$H$7+(1-Points!$H$7)*((($F1405-$E1405)*(($F1405-$E1405)+1)/2)^2-((($F1405-$E1405-COUNTIFS($A$5:$A$1668,$A1405,$C$5:$C$1668,$C1405)+1)-1)*($F1405-$E1405-COUNTIFS($A$5:$A$1668,$A1405,$C$5:$C$1668,$C1405)+1)/2)^2)/(COUNTIFS($A$5:$A$1668,$A1405,$C$5:$C$1668,$C1405)*($F1405-1)^3))*IF($F1405&lt;Points!$H$4,Points!$H$5,1),0)))</f>
        <v/>
      </c>
      <c r="H1405" s="11">
        <f>IF($G1405="","",COUNTIFS($B$5:$B$1668,$B1405,$G$5:$G$1668,"&gt;"&amp;$G1405)+COUNTIFS($B$4:$B1404,$B1405,$G$4:$G1404,$G1405)+1)</f>
        <v/>
      </c>
      <c r="I1405" s="11">
        <f>IF($G1405="","",IF($H1405&lt;=Points!$H$6,$G1405,0))</f>
        <v/>
      </c>
      <c r="J1405" s="11">
        <f>IF($B1405="","",IF(COUNTIF(Players!$A$2:$A$500,$B1405)=0,"Player is not on the Players tab",IF(NOT(ISNUMBER($C1405)),"Enter a gross score",IF(COUNTIFS($A$5:$A$1668,$A1405,$B$5:$B$1668,$B1405)&gt;1,"Player is listed twice this week",IF(AND($D1405&lt;&gt;"",COUNTIFS($A$5:$A$1668,$A1405,$D$5:$D$1668,$D1405)&gt;1),"Two players picked as "&amp;$D1405,IF(COUNTIFS($A$5:$A$1668,$A1405,$D$5:$D$1668,"Gross winner")=0,"Pick this week's gross winner",IF(COUNTIFS($A$5:$A$1668,$A1405,$D$5:$D$1668,"Net winner")=0,"Pick this week's net winner","OK")))))))</f>
        <v/>
      </c>
    </row>
    <row r="1406" outlineLevel="1">
      <c r="A1406" s="13" t="n">
        <v>46694</v>
      </c>
      <c r="E1406" s="11">
        <f>IF(OR($B1406="",NOT(ISNUMBER($C1406))),"",COUNTIFS($A$5:$A$1668,$A1406,$C$5:$C$1668,"&lt;"&amp;$C1406)+1)</f>
        <v/>
      </c>
      <c r="F1406" s="11">
        <f>IF(OR($B1406="",NOT(ISNUMBER($C1406))),"",COUNTIFS($A$5:$A$1668,$A1406,$C$5:$C$1668,"&gt;0"))</f>
        <v/>
      </c>
      <c r="G1406" s="11">
        <f>IF(OR($B1406="",NOT(ISNUMBER($C1406))),"",IF($D1406&lt;&gt;"",ROUND(Points!$B$6*IF($F1406&lt;Points!$H$4,Points!$H$5,1),0),ROUND(Points!$B$6*IF($F1406&lt;=1,1,Points!$H$7+(1-Points!$H$7)*((($F1406-$E1406)*(($F1406-$E1406)+1)/2)^2-((($F1406-$E1406-COUNTIFS($A$5:$A$1668,$A1406,$C$5:$C$1668,$C1406)+1)-1)*($F1406-$E1406-COUNTIFS($A$5:$A$1668,$A1406,$C$5:$C$1668,$C1406)+1)/2)^2)/(COUNTIFS($A$5:$A$1668,$A1406,$C$5:$C$1668,$C1406)*($F1406-1)^3))*IF($F1406&lt;Points!$H$4,Points!$H$5,1),0)))</f>
        <v/>
      </c>
      <c r="H1406" s="11">
        <f>IF($G1406="","",COUNTIFS($B$5:$B$1668,$B1406,$G$5:$G$1668,"&gt;"&amp;$G1406)+COUNTIFS($B$4:$B1405,$B1406,$G$4:$G1405,$G1406)+1)</f>
        <v/>
      </c>
      <c r="I1406" s="11">
        <f>IF($G1406="","",IF($H1406&lt;=Points!$H$6,$G1406,0))</f>
        <v/>
      </c>
      <c r="J1406" s="11">
        <f>IF($B1406="","",IF(COUNTIF(Players!$A$2:$A$500,$B1406)=0,"Player is not on the Players tab",IF(NOT(ISNUMBER($C1406)),"Enter a gross score",IF(COUNTIFS($A$5:$A$1668,$A1406,$B$5:$B$1668,$B1406)&gt;1,"Player is listed twice this week",IF(AND($D1406&lt;&gt;"",COUNTIFS($A$5:$A$1668,$A1406,$D$5:$D$1668,$D1406)&gt;1),"Two players picked as "&amp;$D1406,IF(COUNTIFS($A$5:$A$1668,$A1406,$D$5:$D$1668,"Gross winner")=0,"Pick this week's gross winner",IF(COUNTIFS($A$5:$A$1668,$A1406,$D$5:$D$1668,"Net winner")=0,"Pick this week's net winner","OK")))))))</f>
        <v/>
      </c>
    </row>
    <row r="1407" outlineLevel="1">
      <c r="A1407" s="13" t="n">
        <v>46694</v>
      </c>
      <c r="E1407" s="11">
        <f>IF(OR($B1407="",NOT(ISNUMBER($C1407))),"",COUNTIFS($A$5:$A$1668,$A1407,$C$5:$C$1668,"&lt;"&amp;$C1407)+1)</f>
        <v/>
      </c>
      <c r="F1407" s="11">
        <f>IF(OR($B1407="",NOT(ISNUMBER($C1407))),"",COUNTIFS($A$5:$A$1668,$A1407,$C$5:$C$1668,"&gt;0"))</f>
        <v/>
      </c>
      <c r="G1407" s="11">
        <f>IF(OR($B1407="",NOT(ISNUMBER($C1407))),"",IF($D1407&lt;&gt;"",ROUND(Points!$B$6*IF($F1407&lt;Points!$H$4,Points!$H$5,1),0),ROUND(Points!$B$6*IF($F1407&lt;=1,1,Points!$H$7+(1-Points!$H$7)*((($F1407-$E1407)*(($F1407-$E1407)+1)/2)^2-((($F1407-$E1407-COUNTIFS($A$5:$A$1668,$A1407,$C$5:$C$1668,$C1407)+1)-1)*($F1407-$E1407-COUNTIFS($A$5:$A$1668,$A1407,$C$5:$C$1668,$C1407)+1)/2)^2)/(COUNTIFS($A$5:$A$1668,$A1407,$C$5:$C$1668,$C1407)*($F1407-1)^3))*IF($F1407&lt;Points!$H$4,Points!$H$5,1),0)))</f>
        <v/>
      </c>
      <c r="H1407" s="11">
        <f>IF($G1407="","",COUNTIFS($B$5:$B$1668,$B1407,$G$5:$G$1668,"&gt;"&amp;$G1407)+COUNTIFS($B$4:$B1406,$B1407,$G$4:$G1406,$G1407)+1)</f>
        <v/>
      </c>
      <c r="I1407" s="11">
        <f>IF($G1407="","",IF($H1407&lt;=Points!$H$6,$G1407,0))</f>
        <v/>
      </c>
      <c r="J1407" s="11">
        <f>IF($B1407="","",IF(COUNTIF(Players!$A$2:$A$500,$B1407)=0,"Player is not on the Players tab",IF(NOT(ISNUMBER($C1407)),"Enter a gross score",IF(COUNTIFS($A$5:$A$1668,$A1407,$B$5:$B$1668,$B1407)&gt;1,"Player is listed twice this week",IF(AND($D1407&lt;&gt;"",COUNTIFS($A$5:$A$1668,$A1407,$D$5:$D$1668,$D1407)&gt;1),"Two players picked as "&amp;$D1407,IF(COUNTIFS($A$5:$A$1668,$A1407,$D$5:$D$1668,"Gross winner")=0,"Pick this week's gross winner",IF(COUNTIFS($A$5:$A$1668,$A1407,$D$5:$D$1668,"Net winner")=0,"Pick this week's net winner","OK")))))))</f>
        <v/>
      </c>
    </row>
    <row r="1408" outlineLevel="1">
      <c r="A1408" s="13" t="n">
        <v>46694</v>
      </c>
      <c r="E1408" s="11">
        <f>IF(OR($B1408="",NOT(ISNUMBER($C1408))),"",COUNTIFS($A$5:$A$1668,$A1408,$C$5:$C$1668,"&lt;"&amp;$C1408)+1)</f>
        <v/>
      </c>
      <c r="F1408" s="11">
        <f>IF(OR($B1408="",NOT(ISNUMBER($C1408))),"",COUNTIFS($A$5:$A$1668,$A1408,$C$5:$C$1668,"&gt;0"))</f>
        <v/>
      </c>
      <c r="G1408" s="11">
        <f>IF(OR($B1408="",NOT(ISNUMBER($C1408))),"",IF($D1408&lt;&gt;"",ROUND(Points!$B$6*IF($F1408&lt;Points!$H$4,Points!$H$5,1),0),ROUND(Points!$B$6*IF($F1408&lt;=1,1,Points!$H$7+(1-Points!$H$7)*((($F1408-$E1408)*(($F1408-$E1408)+1)/2)^2-((($F1408-$E1408-COUNTIFS($A$5:$A$1668,$A1408,$C$5:$C$1668,$C1408)+1)-1)*($F1408-$E1408-COUNTIFS($A$5:$A$1668,$A1408,$C$5:$C$1668,$C1408)+1)/2)^2)/(COUNTIFS($A$5:$A$1668,$A1408,$C$5:$C$1668,$C1408)*($F1408-1)^3))*IF($F1408&lt;Points!$H$4,Points!$H$5,1),0)))</f>
        <v/>
      </c>
      <c r="H1408" s="11">
        <f>IF($G1408="","",COUNTIFS($B$5:$B$1668,$B1408,$G$5:$G$1668,"&gt;"&amp;$G1408)+COUNTIFS($B$4:$B1407,$B1408,$G$4:$G1407,$G1408)+1)</f>
        <v/>
      </c>
      <c r="I1408" s="11">
        <f>IF($G1408="","",IF($H1408&lt;=Points!$H$6,$G1408,0))</f>
        <v/>
      </c>
      <c r="J1408" s="11">
        <f>IF($B1408="","",IF(COUNTIF(Players!$A$2:$A$500,$B1408)=0,"Player is not on the Players tab",IF(NOT(ISNUMBER($C1408)),"Enter a gross score",IF(COUNTIFS($A$5:$A$1668,$A1408,$B$5:$B$1668,$B1408)&gt;1,"Player is listed twice this week",IF(AND($D1408&lt;&gt;"",COUNTIFS($A$5:$A$1668,$A1408,$D$5:$D$1668,$D1408)&gt;1),"Two players picked as "&amp;$D1408,IF(COUNTIFS($A$5:$A$1668,$A1408,$D$5:$D$1668,"Gross winner")=0,"Pick this week's gross winner",IF(COUNTIFS($A$5:$A$1668,$A1408,$D$5:$D$1668,"Net winner")=0,"Pick this week's net winner","OK")))))))</f>
        <v/>
      </c>
    </row>
    <row r="1409" outlineLevel="1">
      <c r="A1409" s="13" t="n">
        <v>46694</v>
      </c>
      <c r="E1409" s="11">
        <f>IF(OR($B1409="",NOT(ISNUMBER($C1409))),"",COUNTIFS($A$5:$A$1668,$A1409,$C$5:$C$1668,"&lt;"&amp;$C1409)+1)</f>
        <v/>
      </c>
      <c r="F1409" s="11">
        <f>IF(OR($B1409="",NOT(ISNUMBER($C1409))),"",COUNTIFS($A$5:$A$1668,$A1409,$C$5:$C$1668,"&gt;0"))</f>
        <v/>
      </c>
      <c r="G1409" s="11">
        <f>IF(OR($B1409="",NOT(ISNUMBER($C1409))),"",IF($D1409&lt;&gt;"",ROUND(Points!$B$6*IF($F1409&lt;Points!$H$4,Points!$H$5,1),0),ROUND(Points!$B$6*IF($F1409&lt;=1,1,Points!$H$7+(1-Points!$H$7)*((($F1409-$E1409)*(($F1409-$E1409)+1)/2)^2-((($F1409-$E1409-COUNTIFS($A$5:$A$1668,$A1409,$C$5:$C$1668,$C1409)+1)-1)*($F1409-$E1409-COUNTIFS($A$5:$A$1668,$A1409,$C$5:$C$1668,$C1409)+1)/2)^2)/(COUNTIFS($A$5:$A$1668,$A1409,$C$5:$C$1668,$C1409)*($F1409-1)^3))*IF($F1409&lt;Points!$H$4,Points!$H$5,1),0)))</f>
        <v/>
      </c>
      <c r="H1409" s="11">
        <f>IF($G1409="","",COUNTIFS($B$5:$B$1668,$B1409,$G$5:$G$1668,"&gt;"&amp;$G1409)+COUNTIFS($B$4:$B1408,$B1409,$G$4:$G1408,$G1409)+1)</f>
        <v/>
      </c>
      <c r="I1409" s="11">
        <f>IF($G1409="","",IF($H1409&lt;=Points!$H$6,$G1409,0))</f>
        <v/>
      </c>
      <c r="J1409" s="11">
        <f>IF($B1409="","",IF(COUNTIF(Players!$A$2:$A$500,$B1409)=0,"Player is not on the Players tab",IF(NOT(ISNUMBER($C1409)),"Enter a gross score",IF(COUNTIFS($A$5:$A$1668,$A1409,$B$5:$B$1668,$B1409)&gt;1,"Player is listed twice this week",IF(AND($D1409&lt;&gt;"",COUNTIFS($A$5:$A$1668,$A1409,$D$5:$D$1668,$D1409)&gt;1),"Two players picked as "&amp;$D1409,IF(COUNTIFS($A$5:$A$1668,$A1409,$D$5:$D$1668,"Gross winner")=0,"Pick this week's gross winner",IF(COUNTIFS($A$5:$A$1668,$A1409,$D$5:$D$1668,"Net winner")=0,"Pick this week's net winner","OK")))))))</f>
        <v/>
      </c>
    </row>
    <row r="1410" outlineLevel="1">
      <c r="A1410" s="13" t="n">
        <v>46694</v>
      </c>
      <c r="E1410" s="11">
        <f>IF(OR($B1410="",NOT(ISNUMBER($C1410))),"",COUNTIFS($A$5:$A$1668,$A1410,$C$5:$C$1668,"&lt;"&amp;$C1410)+1)</f>
        <v/>
      </c>
      <c r="F1410" s="11">
        <f>IF(OR($B1410="",NOT(ISNUMBER($C1410))),"",COUNTIFS($A$5:$A$1668,$A1410,$C$5:$C$1668,"&gt;0"))</f>
        <v/>
      </c>
      <c r="G1410" s="11">
        <f>IF(OR($B1410="",NOT(ISNUMBER($C1410))),"",IF($D1410&lt;&gt;"",ROUND(Points!$B$6*IF($F1410&lt;Points!$H$4,Points!$H$5,1),0),ROUND(Points!$B$6*IF($F1410&lt;=1,1,Points!$H$7+(1-Points!$H$7)*((($F1410-$E1410)*(($F1410-$E1410)+1)/2)^2-((($F1410-$E1410-COUNTIFS($A$5:$A$1668,$A1410,$C$5:$C$1668,$C1410)+1)-1)*($F1410-$E1410-COUNTIFS($A$5:$A$1668,$A1410,$C$5:$C$1668,$C1410)+1)/2)^2)/(COUNTIFS($A$5:$A$1668,$A1410,$C$5:$C$1668,$C1410)*($F1410-1)^3))*IF($F1410&lt;Points!$H$4,Points!$H$5,1),0)))</f>
        <v/>
      </c>
      <c r="H1410" s="11">
        <f>IF($G1410="","",COUNTIFS($B$5:$B$1668,$B1410,$G$5:$G$1668,"&gt;"&amp;$G1410)+COUNTIFS($B$4:$B1409,$B1410,$G$4:$G1409,$G1410)+1)</f>
        <v/>
      </c>
      <c r="I1410" s="11">
        <f>IF($G1410="","",IF($H1410&lt;=Points!$H$6,$G1410,0))</f>
        <v/>
      </c>
      <c r="J1410" s="11">
        <f>IF($B1410="","",IF(COUNTIF(Players!$A$2:$A$500,$B1410)=0,"Player is not on the Players tab",IF(NOT(ISNUMBER($C1410)),"Enter a gross score",IF(COUNTIFS($A$5:$A$1668,$A1410,$B$5:$B$1668,$B1410)&gt;1,"Player is listed twice this week",IF(AND($D1410&lt;&gt;"",COUNTIFS($A$5:$A$1668,$A1410,$D$5:$D$1668,$D1410)&gt;1),"Two players picked as "&amp;$D1410,IF(COUNTIFS($A$5:$A$1668,$A1410,$D$5:$D$1668,"Gross winner")=0,"Pick this week's gross winner",IF(COUNTIFS($A$5:$A$1668,$A1410,$D$5:$D$1668,"Net winner")=0,"Pick this week's net winner","OK")))))))</f>
        <v/>
      </c>
    </row>
    <row r="1411" outlineLevel="1">
      <c r="A1411" s="13" t="n">
        <v>46694</v>
      </c>
      <c r="E1411" s="11">
        <f>IF(OR($B1411="",NOT(ISNUMBER($C1411))),"",COUNTIFS($A$5:$A$1668,$A1411,$C$5:$C$1668,"&lt;"&amp;$C1411)+1)</f>
        <v/>
      </c>
      <c r="F1411" s="11">
        <f>IF(OR($B1411="",NOT(ISNUMBER($C1411))),"",COUNTIFS($A$5:$A$1668,$A1411,$C$5:$C$1668,"&gt;0"))</f>
        <v/>
      </c>
      <c r="G1411" s="11">
        <f>IF(OR($B1411="",NOT(ISNUMBER($C1411))),"",IF($D1411&lt;&gt;"",ROUND(Points!$B$6*IF($F1411&lt;Points!$H$4,Points!$H$5,1),0),ROUND(Points!$B$6*IF($F1411&lt;=1,1,Points!$H$7+(1-Points!$H$7)*((($F1411-$E1411)*(($F1411-$E1411)+1)/2)^2-((($F1411-$E1411-COUNTIFS($A$5:$A$1668,$A1411,$C$5:$C$1668,$C1411)+1)-1)*($F1411-$E1411-COUNTIFS($A$5:$A$1668,$A1411,$C$5:$C$1668,$C1411)+1)/2)^2)/(COUNTIFS($A$5:$A$1668,$A1411,$C$5:$C$1668,$C1411)*($F1411-1)^3))*IF($F1411&lt;Points!$H$4,Points!$H$5,1),0)))</f>
        <v/>
      </c>
      <c r="H1411" s="11">
        <f>IF($G1411="","",COUNTIFS($B$5:$B$1668,$B1411,$G$5:$G$1668,"&gt;"&amp;$G1411)+COUNTIFS($B$4:$B1410,$B1411,$G$4:$G1410,$G1411)+1)</f>
        <v/>
      </c>
      <c r="I1411" s="11">
        <f>IF($G1411="","",IF($H1411&lt;=Points!$H$6,$G1411,0))</f>
        <v/>
      </c>
      <c r="J1411" s="11">
        <f>IF($B1411="","",IF(COUNTIF(Players!$A$2:$A$500,$B1411)=0,"Player is not on the Players tab",IF(NOT(ISNUMBER($C1411)),"Enter a gross score",IF(COUNTIFS($A$5:$A$1668,$A1411,$B$5:$B$1668,$B1411)&gt;1,"Player is listed twice this week",IF(AND($D1411&lt;&gt;"",COUNTIFS($A$5:$A$1668,$A1411,$D$5:$D$1668,$D1411)&gt;1),"Two players picked as "&amp;$D1411,IF(COUNTIFS($A$5:$A$1668,$A1411,$D$5:$D$1668,"Gross winner")=0,"Pick this week's gross winner",IF(COUNTIFS($A$5:$A$1668,$A1411,$D$5:$D$1668,"Net winner")=0,"Pick this week's net winner","OK")))))))</f>
        <v/>
      </c>
    </row>
    <row r="1412" ht="10" customHeight="1"/>
    <row r="1413" ht="22" customHeight="1">
      <c r="A1413" s="12" t="inlineStr">
        <is>
          <t>Week 45  ·  Wednesday, Nov 10</t>
        </is>
      </c>
    </row>
    <row r="1414" outlineLevel="1">
      <c r="A1414" s="13" t="n">
        <v>46701</v>
      </c>
      <c r="E1414" s="11">
        <f>IF(OR($B1414="",NOT(ISNUMBER($C1414))),"",COUNTIFS($A$5:$A$1668,$A1414,$C$5:$C$1668,"&lt;"&amp;$C1414)+1)</f>
        <v/>
      </c>
      <c r="F1414" s="11">
        <f>IF(OR($B1414="",NOT(ISNUMBER($C1414))),"",COUNTIFS($A$5:$A$1668,$A1414,$C$5:$C$1668,"&gt;0"))</f>
        <v/>
      </c>
      <c r="G1414" s="11">
        <f>IF(OR($B1414="",NOT(ISNUMBER($C1414))),"",IF($D1414&lt;&gt;"",ROUND(Points!$B$6*IF($F1414&lt;Points!$H$4,Points!$H$5,1),0),ROUND(Points!$B$6*IF($F1414&lt;=1,1,Points!$H$7+(1-Points!$H$7)*((($F1414-$E1414)*(($F1414-$E1414)+1)/2)^2-((($F1414-$E1414-COUNTIFS($A$5:$A$1668,$A1414,$C$5:$C$1668,$C1414)+1)-1)*($F1414-$E1414-COUNTIFS($A$5:$A$1668,$A1414,$C$5:$C$1668,$C1414)+1)/2)^2)/(COUNTIFS($A$5:$A$1668,$A1414,$C$5:$C$1668,$C1414)*($F1414-1)^3))*IF($F1414&lt;Points!$H$4,Points!$H$5,1),0)))</f>
        <v/>
      </c>
      <c r="H1414" s="11">
        <f>IF($G1414="","",COUNTIFS($B$5:$B$1668,$B1414,$G$5:$G$1668,"&gt;"&amp;$G1414)+COUNTIFS($B$4:$B1413,$B1414,$G$4:$G1413,$G1414)+1)</f>
        <v/>
      </c>
      <c r="I1414" s="11">
        <f>IF($G1414="","",IF($H1414&lt;=Points!$H$6,$G1414,0))</f>
        <v/>
      </c>
      <c r="J1414" s="11">
        <f>IF($B1414="","",IF(COUNTIF(Players!$A$2:$A$500,$B1414)=0,"Player is not on the Players tab",IF(NOT(ISNUMBER($C1414)),"Enter a gross score",IF(COUNTIFS($A$5:$A$1668,$A1414,$B$5:$B$1668,$B1414)&gt;1,"Player is listed twice this week",IF(AND($D1414&lt;&gt;"",COUNTIFS($A$5:$A$1668,$A1414,$D$5:$D$1668,$D1414)&gt;1),"Two players picked as "&amp;$D1414,IF(COUNTIFS($A$5:$A$1668,$A1414,$D$5:$D$1668,"Gross winner")=0,"Pick this week's gross winner",IF(COUNTIFS($A$5:$A$1668,$A1414,$D$5:$D$1668,"Net winner")=0,"Pick this week's net winner","OK")))))))</f>
        <v/>
      </c>
    </row>
    <row r="1415" outlineLevel="1">
      <c r="A1415" s="13" t="n">
        <v>46701</v>
      </c>
      <c r="E1415" s="11">
        <f>IF(OR($B1415="",NOT(ISNUMBER($C1415))),"",COUNTIFS($A$5:$A$1668,$A1415,$C$5:$C$1668,"&lt;"&amp;$C1415)+1)</f>
        <v/>
      </c>
      <c r="F1415" s="11">
        <f>IF(OR($B1415="",NOT(ISNUMBER($C1415))),"",COUNTIFS($A$5:$A$1668,$A1415,$C$5:$C$1668,"&gt;0"))</f>
        <v/>
      </c>
      <c r="G1415" s="11">
        <f>IF(OR($B1415="",NOT(ISNUMBER($C1415))),"",IF($D1415&lt;&gt;"",ROUND(Points!$B$6*IF($F1415&lt;Points!$H$4,Points!$H$5,1),0),ROUND(Points!$B$6*IF($F1415&lt;=1,1,Points!$H$7+(1-Points!$H$7)*((($F1415-$E1415)*(($F1415-$E1415)+1)/2)^2-((($F1415-$E1415-COUNTIFS($A$5:$A$1668,$A1415,$C$5:$C$1668,$C1415)+1)-1)*($F1415-$E1415-COUNTIFS($A$5:$A$1668,$A1415,$C$5:$C$1668,$C1415)+1)/2)^2)/(COUNTIFS($A$5:$A$1668,$A1415,$C$5:$C$1668,$C1415)*($F1415-1)^3))*IF($F1415&lt;Points!$H$4,Points!$H$5,1),0)))</f>
        <v/>
      </c>
      <c r="H1415" s="11">
        <f>IF($G1415="","",COUNTIFS($B$5:$B$1668,$B1415,$G$5:$G$1668,"&gt;"&amp;$G1415)+COUNTIFS($B$4:$B1414,$B1415,$G$4:$G1414,$G1415)+1)</f>
        <v/>
      </c>
      <c r="I1415" s="11">
        <f>IF($G1415="","",IF($H1415&lt;=Points!$H$6,$G1415,0))</f>
        <v/>
      </c>
      <c r="J1415" s="11">
        <f>IF($B1415="","",IF(COUNTIF(Players!$A$2:$A$500,$B1415)=0,"Player is not on the Players tab",IF(NOT(ISNUMBER($C1415)),"Enter a gross score",IF(COUNTIFS($A$5:$A$1668,$A1415,$B$5:$B$1668,$B1415)&gt;1,"Player is listed twice this week",IF(AND($D1415&lt;&gt;"",COUNTIFS($A$5:$A$1668,$A1415,$D$5:$D$1668,$D1415)&gt;1),"Two players picked as "&amp;$D1415,IF(COUNTIFS($A$5:$A$1668,$A1415,$D$5:$D$1668,"Gross winner")=0,"Pick this week's gross winner",IF(COUNTIFS($A$5:$A$1668,$A1415,$D$5:$D$1668,"Net winner")=0,"Pick this week's net winner","OK")))))))</f>
        <v/>
      </c>
    </row>
    <row r="1416" outlineLevel="1">
      <c r="A1416" s="13" t="n">
        <v>46701</v>
      </c>
      <c r="E1416" s="11">
        <f>IF(OR($B1416="",NOT(ISNUMBER($C1416))),"",COUNTIFS($A$5:$A$1668,$A1416,$C$5:$C$1668,"&lt;"&amp;$C1416)+1)</f>
        <v/>
      </c>
      <c r="F1416" s="11">
        <f>IF(OR($B1416="",NOT(ISNUMBER($C1416))),"",COUNTIFS($A$5:$A$1668,$A1416,$C$5:$C$1668,"&gt;0"))</f>
        <v/>
      </c>
      <c r="G1416" s="11">
        <f>IF(OR($B1416="",NOT(ISNUMBER($C1416))),"",IF($D1416&lt;&gt;"",ROUND(Points!$B$6*IF($F1416&lt;Points!$H$4,Points!$H$5,1),0),ROUND(Points!$B$6*IF($F1416&lt;=1,1,Points!$H$7+(1-Points!$H$7)*((($F1416-$E1416)*(($F1416-$E1416)+1)/2)^2-((($F1416-$E1416-COUNTIFS($A$5:$A$1668,$A1416,$C$5:$C$1668,$C1416)+1)-1)*($F1416-$E1416-COUNTIFS($A$5:$A$1668,$A1416,$C$5:$C$1668,$C1416)+1)/2)^2)/(COUNTIFS($A$5:$A$1668,$A1416,$C$5:$C$1668,$C1416)*($F1416-1)^3))*IF($F1416&lt;Points!$H$4,Points!$H$5,1),0)))</f>
        <v/>
      </c>
      <c r="H1416" s="11">
        <f>IF($G1416="","",COUNTIFS($B$5:$B$1668,$B1416,$G$5:$G$1668,"&gt;"&amp;$G1416)+COUNTIFS($B$4:$B1415,$B1416,$G$4:$G1415,$G1416)+1)</f>
        <v/>
      </c>
      <c r="I1416" s="11">
        <f>IF($G1416="","",IF($H1416&lt;=Points!$H$6,$G1416,0))</f>
        <v/>
      </c>
      <c r="J1416" s="11">
        <f>IF($B1416="","",IF(COUNTIF(Players!$A$2:$A$500,$B1416)=0,"Player is not on the Players tab",IF(NOT(ISNUMBER($C1416)),"Enter a gross score",IF(COUNTIFS($A$5:$A$1668,$A1416,$B$5:$B$1668,$B1416)&gt;1,"Player is listed twice this week",IF(AND($D1416&lt;&gt;"",COUNTIFS($A$5:$A$1668,$A1416,$D$5:$D$1668,$D1416)&gt;1),"Two players picked as "&amp;$D1416,IF(COUNTIFS($A$5:$A$1668,$A1416,$D$5:$D$1668,"Gross winner")=0,"Pick this week's gross winner",IF(COUNTIFS($A$5:$A$1668,$A1416,$D$5:$D$1668,"Net winner")=0,"Pick this week's net winner","OK")))))))</f>
        <v/>
      </c>
    </row>
    <row r="1417" outlineLevel="1">
      <c r="A1417" s="13" t="n">
        <v>46701</v>
      </c>
      <c r="E1417" s="11">
        <f>IF(OR($B1417="",NOT(ISNUMBER($C1417))),"",COUNTIFS($A$5:$A$1668,$A1417,$C$5:$C$1668,"&lt;"&amp;$C1417)+1)</f>
        <v/>
      </c>
      <c r="F1417" s="11">
        <f>IF(OR($B1417="",NOT(ISNUMBER($C1417))),"",COUNTIFS($A$5:$A$1668,$A1417,$C$5:$C$1668,"&gt;0"))</f>
        <v/>
      </c>
      <c r="G1417" s="11">
        <f>IF(OR($B1417="",NOT(ISNUMBER($C1417))),"",IF($D1417&lt;&gt;"",ROUND(Points!$B$6*IF($F1417&lt;Points!$H$4,Points!$H$5,1),0),ROUND(Points!$B$6*IF($F1417&lt;=1,1,Points!$H$7+(1-Points!$H$7)*((($F1417-$E1417)*(($F1417-$E1417)+1)/2)^2-((($F1417-$E1417-COUNTIFS($A$5:$A$1668,$A1417,$C$5:$C$1668,$C1417)+1)-1)*($F1417-$E1417-COUNTIFS($A$5:$A$1668,$A1417,$C$5:$C$1668,$C1417)+1)/2)^2)/(COUNTIFS($A$5:$A$1668,$A1417,$C$5:$C$1668,$C1417)*($F1417-1)^3))*IF($F1417&lt;Points!$H$4,Points!$H$5,1),0)))</f>
        <v/>
      </c>
      <c r="H1417" s="11">
        <f>IF($G1417="","",COUNTIFS($B$5:$B$1668,$B1417,$G$5:$G$1668,"&gt;"&amp;$G1417)+COUNTIFS($B$4:$B1416,$B1417,$G$4:$G1416,$G1417)+1)</f>
        <v/>
      </c>
      <c r="I1417" s="11">
        <f>IF($G1417="","",IF($H1417&lt;=Points!$H$6,$G1417,0))</f>
        <v/>
      </c>
      <c r="J1417" s="11">
        <f>IF($B1417="","",IF(COUNTIF(Players!$A$2:$A$500,$B1417)=0,"Player is not on the Players tab",IF(NOT(ISNUMBER($C1417)),"Enter a gross score",IF(COUNTIFS($A$5:$A$1668,$A1417,$B$5:$B$1668,$B1417)&gt;1,"Player is listed twice this week",IF(AND($D1417&lt;&gt;"",COUNTIFS($A$5:$A$1668,$A1417,$D$5:$D$1668,$D1417)&gt;1),"Two players picked as "&amp;$D1417,IF(COUNTIFS($A$5:$A$1668,$A1417,$D$5:$D$1668,"Gross winner")=0,"Pick this week's gross winner",IF(COUNTIFS($A$5:$A$1668,$A1417,$D$5:$D$1668,"Net winner")=0,"Pick this week's net winner","OK")))))))</f>
        <v/>
      </c>
    </row>
    <row r="1418" outlineLevel="1">
      <c r="A1418" s="13" t="n">
        <v>46701</v>
      </c>
      <c r="E1418" s="11">
        <f>IF(OR($B1418="",NOT(ISNUMBER($C1418))),"",COUNTIFS($A$5:$A$1668,$A1418,$C$5:$C$1668,"&lt;"&amp;$C1418)+1)</f>
        <v/>
      </c>
      <c r="F1418" s="11">
        <f>IF(OR($B1418="",NOT(ISNUMBER($C1418))),"",COUNTIFS($A$5:$A$1668,$A1418,$C$5:$C$1668,"&gt;0"))</f>
        <v/>
      </c>
      <c r="G1418" s="11">
        <f>IF(OR($B1418="",NOT(ISNUMBER($C1418))),"",IF($D1418&lt;&gt;"",ROUND(Points!$B$6*IF($F1418&lt;Points!$H$4,Points!$H$5,1),0),ROUND(Points!$B$6*IF($F1418&lt;=1,1,Points!$H$7+(1-Points!$H$7)*((($F1418-$E1418)*(($F1418-$E1418)+1)/2)^2-((($F1418-$E1418-COUNTIFS($A$5:$A$1668,$A1418,$C$5:$C$1668,$C1418)+1)-1)*($F1418-$E1418-COUNTIFS($A$5:$A$1668,$A1418,$C$5:$C$1668,$C1418)+1)/2)^2)/(COUNTIFS($A$5:$A$1668,$A1418,$C$5:$C$1668,$C1418)*($F1418-1)^3))*IF($F1418&lt;Points!$H$4,Points!$H$5,1),0)))</f>
        <v/>
      </c>
      <c r="H1418" s="11">
        <f>IF($G1418="","",COUNTIFS($B$5:$B$1668,$B1418,$G$5:$G$1668,"&gt;"&amp;$G1418)+COUNTIFS($B$4:$B1417,$B1418,$G$4:$G1417,$G1418)+1)</f>
        <v/>
      </c>
      <c r="I1418" s="11">
        <f>IF($G1418="","",IF($H1418&lt;=Points!$H$6,$G1418,0))</f>
        <v/>
      </c>
      <c r="J1418" s="11">
        <f>IF($B1418="","",IF(COUNTIF(Players!$A$2:$A$500,$B1418)=0,"Player is not on the Players tab",IF(NOT(ISNUMBER($C1418)),"Enter a gross score",IF(COUNTIFS($A$5:$A$1668,$A1418,$B$5:$B$1668,$B1418)&gt;1,"Player is listed twice this week",IF(AND($D1418&lt;&gt;"",COUNTIFS($A$5:$A$1668,$A1418,$D$5:$D$1668,$D1418)&gt;1),"Two players picked as "&amp;$D1418,IF(COUNTIFS($A$5:$A$1668,$A1418,$D$5:$D$1668,"Gross winner")=0,"Pick this week's gross winner",IF(COUNTIFS($A$5:$A$1668,$A1418,$D$5:$D$1668,"Net winner")=0,"Pick this week's net winner","OK")))))))</f>
        <v/>
      </c>
    </row>
    <row r="1419" outlineLevel="1">
      <c r="A1419" s="13" t="n">
        <v>46701</v>
      </c>
      <c r="E1419" s="11">
        <f>IF(OR($B1419="",NOT(ISNUMBER($C1419))),"",COUNTIFS($A$5:$A$1668,$A1419,$C$5:$C$1668,"&lt;"&amp;$C1419)+1)</f>
        <v/>
      </c>
      <c r="F1419" s="11">
        <f>IF(OR($B1419="",NOT(ISNUMBER($C1419))),"",COUNTIFS($A$5:$A$1668,$A1419,$C$5:$C$1668,"&gt;0"))</f>
        <v/>
      </c>
      <c r="G1419" s="11">
        <f>IF(OR($B1419="",NOT(ISNUMBER($C1419))),"",IF($D1419&lt;&gt;"",ROUND(Points!$B$6*IF($F1419&lt;Points!$H$4,Points!$H$5,1),0),ROUND(Points!$B$6*IF($F1419&lt;=1,1,Points!$H$7+(1-Points!$H$7)*((($F1419-$E1419)*(($F1419-$E1419)+1)/2)^2-((($F1419-$E1419-COUNTIFS($A$5:$A$1668,$A1419,$C$5:$C$1668,$C1419)+1)-1)*($F1419-$E1419-COUNTIFS($A$5:$A$1668,$A1419,$C$5:$C$1668,$C1419)+1)/2)^2)/(COUNTIFS($A$5:$A$1668,$A1419,$C$5:$C$1668,$C1419)*($F1419-1)^3))*IF($F1419&lt;Points!$H$4,Points!$H$5,1),0)))</f>
        <v/>
      </c>
      <c r="H1419" s="11">
        <f>IF($G1419="","",COUNTIFS($B$5:$B$1668,$B1419,$G$5:$G$1668,"&gt;"&amp;$G1419)+COUNTIFS($B$4:$B1418,$B1419,$G$4:$G1418,$G1419)+1)</f>
        <v/>
      </c>
      <c r="I1419" s="11">
        <f>IF($G1419="","",IF($H1419&lt;=Points!$H$6,$G1419,0))</f>
        <v/>
      </c>
      <c r="J1419" s="11">
        <f>IF($B1419="","",IF(COUNTIF(Players!$A$2:$A$500,$B1419)=0,"Player is not on the Players tab",IF(NOT(ISNUMBER($C1419)),"Enter a gross score",IF(COUNTIFS($A$5:$A$1668,$A1419,$B$5:$B$1668,$B1419)&gt;1,"Player is listed twice this week",IF(AND($D1419&lt;&gt;"",COUNTIFS($A$5:$A$1668,$A1419,$D$5:$D$1668,$D1419)&gt;1),"Two players picked as "&amp;$D1419,IF(COUNTIFS($A$5:$A$1668,$A1419,$D$5:$D$1668,"Gross winner")=0,"Pick this week's gross winner",IF(COUNTIFS($A$5:$A$1668,$A1419,$D$5:$D$1668,"Net winner")=0,"Pick this week's net winner","OK")))))))</f>
        <v/>
      </c>
    </row>
    <row r="1420" outlineLevel="1">
      <c r="A1420" s="13" t="n">
        <v>46701</v>
      </c>
      <c r="E1420" s="11">
        <f>IF(OR($B1420="",NOT(ISNUMBER($C1420))),"",COUNTIFS($A$5:$A$1668,$A1420,$C$5:$C$1668,"&lt;"&amp;$C1420)+1)</f>
        <v/>
      </c>
      <c r="F1420" s="11">
        <f>IF(OR($B1420="",NOT(ISNUMBER($C1420))),"",COUNTIFS($A$5:$A$1668,$A1420,$C$5:$C$1668,"&gt;0"))</f>
        <v/>
      </c>
      <c r="G1420" s="11">
        <f>IF(OR($B1420="",NOT(ISNUMBER($C1420))),"",IF($D1420&lt;&gt;"",ROUND(Points!$B$6*IF($F1420&lt;Points!$H$4,Points!$H$5,1),0),ROUND(Points!$B$6*IF($F1420&lt;=1,1,Points!$H$7+(1-Points!$H$7)*((($F1420-$E1420)*(($F1420-$E1420)+1)/2)^2-((($F1420-$E1420-COUNTIFS($A$5:$A$1668,$A1420,$C$5:$C$1668,$C1420)+1)-1)*($F1420-$E1420-COUNTIFS($A$5:$A$1668,$A1420,$C$5:$C$1668,$C1420)+1)/2)^2)/(COUNTIFS($A$5:$A$1668,$A1420,$C$5:$C$1668,$C1420)*($F1420-1)^3))*IF($F1420&lt;Points!$H$4,Points!$H$5,1),0)))</f>
        <v/>
      </c>
      <c r="H1420" s="11">
        <f>IF($G1420="","",COUNTIFS($B$5:$B$1668,$B1420,$G$5:$G$1668,"&gt;"&amp;$G1420)+COUNTIFS($B$4:$B1419,$B1420,$G$4:$G1419,$G1420)+1)</f>
        <v/>
      </c>
      <c r="I1420" s="11">
        <f>IF($G1420="","",IF($H1420&lt;=Points!$H$6,$G1420,0))</f>
        <v/>
      </c>
      <c r="J1420" s="11">
        <f>IF($B1420="","",IF(COUNTIF(Players!$A$2:$A$500,$B1420)=0,"Player is not on the Players tab",IF(NOT(ISNUMBER($C1420)),"Enter a gross score",IF(COUNTIFS($A$5:$A$1668,$A1420,$B$5:$B$1668,$B1420)&gt;1,"Player is listed twice this week",IF(AND($D1420&lt;&gt;"",COUNTIFS($A$5:$A$1668,$A1420,$D$5:$D$1668,$D1420)&gt;1),"Two players picked as "&amp;$D1420,IF(COUNTIFS($A$5:$A$1668,$A1420,$D$5:$D$1668,"Gross winner")=0,"Pick this week's gross winner",IF(COUNTIFS($A$5:$A$1668,$A1420,$D$5:$D$1668,"Net winner")=0,"Pick this week's net winner","OK")))))))</f>
        <v/>
      </c>
    </row>
    <row r="1421" outlineLevel="1">
      <c r="A1421" s="13" t="n">
        <v>46701</v>
      </c>
      <c r="E1421" s="11">
        <f>IF(OR($B1421="",NOT(ISNUMBER($C1421))),"",COUNTIFS($A$5:$A$1668,$A1421,$C$5:$C$1668,"&lt;"&amp;$C1421)+1)</f>
        <v/>
      </c>
      <c r="F1421" s="11">
        <f>IF(OR($B1421="",NOT(ISNUMBER($C1421))),"",COUNTIFS($A$5:$A$1668,$A1421,$C$5:$C$1668,"&gt;0"))</f>
        <v/>
      </c>
      <c r="G1421" s="11">
        <f>IF(OR($B1421="",NOT(ISNUMBER($C1421))),"",IF($D1421&lt;&gt;"",ROUND(Points!$B$6*IF($F1421&lt;Points!$H$4,Points!$H$5,1),0),ROUND(Points!$B$6*IF($F1421&lt;=1,1,Points!$H$7+(1-Points!$H$7)*((($F1421-$E1421)*(($F1421-$E1421)+1)/2)^2-((($F1421-$E1421-COUNTIFS($A$5:$A$1668,$A1421,$C$5:$C$1668,$C1421)+1)-1)*($F1421-$E1421-COUNTIFS($A$5:$A$1668,$A1421,$C$5:$C$1668,$C1421)+1)/2)^2)/(COUNTIFS($A$5:$A$1668,$A1421,$C$5:$C$1668,$C1421)*($F1421-1)^3))*IF($F1421&lt;Points!$H$4,Points!$H$5,1),0)))</f>
        <v/>
      </c>
      <c r="H1421" s="11">
        <f>IF($G1421="","",COUNTIFS($B$5:$B$1668,$B1421,$G$5:$G$1668,"&gt;"&amp;$G1421)+COUNTIFS($B$4:$B1420,$B1421,$G$4:$G1420,$G1421)+1)</f>
        <v/>
      </c>
      <c r="I1421" s="11">
        <f>IF($G1421="","",IF($H1421&lt;=Points!$H$6,$G1421,0))</f>
        <v/>
      </c>
      <c r="J1421" s="11">
        <f>IF($B1421="","",IF(COUNTIF(Players!$A$2:$A$500,$B1421)=0,"Player is not on the Players tab",IF(NOT(ISNUMBER($C1421)),"Enter a gross score",IF(COUNTIFS($A$5:$A$1668,$A1421,$B$5:$B$1668,$B1421)&gt;1,"Player is listed twice this week",IF(AND($D1421&lt;&gt;"",COUNTIFS($A$5:$A$1668,$A1421,$D$5:$D$1668,$D1421)&gt;1),"Two players picked as "&amp;$D1421,IF(COUNTIFS($A$5:$A$1668,$A1421,$D$5:$D$1668,"Gross winner")=0,"Pick this week's gross winner",IF(COUNTIFS($A$5:$A$1668,$A1421,$D$5:$D$1668,"Net winner")=0,"Pick this week's net winner","OK")))))))</f>
        <v/>
      </c>
    </row>
    <row r="1422" outlineLevel="1">
      <c r="A1422" s="13" t="n">
        <v>46701</v>
      </c>
      <c r="E1422" s="11">
        <f>IF(OR($B1422="",NOT(ISNUMBER($C1422))),"",COUNTIFS($A$5:$A$1668,$A1422,$C$5:$C$1668,"&lt;"&amp;$C1422)+1)</f>
        <v/>
      </c>
      <c r="F1422" s="11">
        <f>IF(OR($B1422="",NOT(ISNUMBER($C1422))),"",COUNTIFS($A$5:$A$1668,$A1422,$C$5:$C$1668,"&gt;0"))</f>
        <v/>
      </c>
      <c r="G1422" s="11">
        <f>IF(OR($B1422="",NOT(ISNUMBER($C1422))),"",IF($D1422&lt;&gt;"",ROUND(Points!$B$6*IF($F1422&lt;Points!$H$4,Points!$H$5,1),0),ROUND(Points!$B$6*IF($F1422&lt;=1,1,Points!$H$7+(1-Points!$H$7)*((($F1422-$E1422)*(($F1422-$E1422)+1)/2)^2-((($F1422-$E1422-COUNTIFS($A$5:$A$1668,$A1422,$C$5:$C$1668,$C1422)+1)-1)*($F1422-$E1422-COUNTIFS($A$5:$A$1668,$A1422,$C$5:$C$1668,$C1422)+1)/2)^2)/(COUNTIFS($A$5:$A$1668,$A1422,$C$5:$C$1668,$C1422)*($F1422-1)^3))*IF($F1422&lt;Points!$H$4,Points!$H$5,1),0)))</f>
        <v/>
      </c>
      <c r="H1422" s="11">
        <f>IF($G1422="","",COUNTIFS($B$5:$B$1668,$B1422,$G$5:$G$1668,"&gt;"&amp;$G1422)+COUNTIFS($B$4:$B1421,$B1422,$G$4:$G1421,$G1422)+1)</f>
        <v/>
      </c>
      <c r="I1422" s="11">
        <f>IF($G1422="","",IF($H1422&lt;=Points!$H$6,$G1422,0))</f>
        <v/>
      </c>
      <c r="J1422" s="11">
        <f>IF($B1422="","",IF(COUNTIF(Players!$A$2:$A$500,$B1422)=0,"Player is not on the Players tab",IF(NOT(ISNUMBER($C1422)),"Enter a gross score",IF(COUNTIFS($A$5:$A$1668,$A1422,$B$5:$B$1668,$B1422)&gt;1,"Player is listed twice this week",IF(AND($D1422&lt;&gt;"",COUNTIFS($A$5:$A$1668,$A1422,$D$5:$D$1668,$D1422)&gt;1),"Two players picked as "&amp;$D1422,IF(COUNTIFS($A$5:$A$1668,$A1422,$D$5:$D$1668,"Gross winner")=0,"Pick this week's gross winner",IF(COUNTIFS($A$5:$A$1668,$A1422,$D$5:$D$1668,"Net winner")=0,"Pick this week's net winner","OK")))))))</f>
        <v/>
      </c>
    </row>
    <row r="1423" outlineLevel="1">
      <c r="A1423" s="13" t="n">
        <v>46701</v>
      </c>
      <c r="E1423" s="11">
        <f>IF(OR($B1423="",NOT(ISNUMBER($C1423))),"",COUNTIFS($A$5:$A$1668,$A1423,$C$5:$C$1668,"&lt;"&amp;$C1423)+1)</f>
        <v/>
      </c>
      <c r="F1423" s="11">
        <f>IF(OR($B1423="",NOT(ISNUMBER($C1423))),"",COUNTIFS($A$5:$A$1668,$A1423,$C$5:$C$1668,"&gt;0"))</f>
        <v/>
      </c>
      <c r="G1423" s="11">
        <f>IF(OR($B1423="",NOT(ISNUMBER($C1423))),"",IF($D1423&lt;&gt;"",ROUND(Points!$B$6*IF($F1423&lt;Points!$H$4,Points!$H$5,1),0),ROUND(Points!$B$6*IF($F1423&lt;=1,1,Points!$H$7+(1-Points!$H$7)*((($F1423-$E1423)*(($F1423-$E1423)+1)/2)^2-((($F1423-$E1423-COUNTIFS($A$5:$A$1668,$A1423,$C$5:$C$1668,$C1423)+1)-1)*($F1423-$E1423-COUNTIFS($A$5:$A$1668,$A1423,$C$5:$C$1668,$C1423)+1)/2)^2)/(COUNTIFS($A$5:$A$1668,$A1423,$C$5:$C$1668,$C1423)*($F1423-1)^3))*IF($F1423&lt;Points!$H$4,Points!$H$5,1),0)))</f>
        <v/>
      </c>
      <c r="H1423" s="11">
        <f>IF($G1423="","",COUNTIFS($B$5:$B$1668,$B1423,$G$5:$G$1668,"&gt;"&amp;$G1423)+COUNTIFS($B$4:$B1422,$B1423,$G$4:$G1422,$G1423)+1)</f>
        <v/>
      </c>
      <c r="I1423" s="11">
        <f>IF($G1423="","",IF($H1423&lt;=Points!$H$6,$G1423,0))</f>
        <v/>
      </c>
      <c r="J1423" s="11">
        <f>IF($B1423="","",IF(COUNTIF(Players!$A$2:$A$500,$B1423)=0,"Player is not on the Players tab",IF(NOT(ISNUMBER($C1423)),"Enter a gross score",IF(COUNTIFS($A$5:$A$1668,$A1423,$B$5:$B$1668,$B1423)&gt;1,"Player is listed twice this week",IF(AND($D1423&lt;&gt;"",COUNTIFS($A$5:$A$1668,$A1423,$D$5:$D$1668,$D1423)&gt;1),"Two players picked as "&amp;$D1423,IF(COUNTIFS($A$5:$A$1668,$A1423,$D$5:$D$1668,"Gross winner")=0,"Pick this week's gross winner",IF(COUNTIFS($A$5:$A$1668,$A1423,$D$5:$D$1668,"Net winner")=0,"Pick this week's net winner","OK")))))))</f>
        <v/>
      </c>
    </row>
    <row r="1424" outlineLevel="1">
      <c r="A1424" s="13" t="n">
        <v>46701</v>
      </c>
      <c r="E1424" s="11">
        <f>IF(OR($B1424="",NOT(ISNUMBER($C1424))),"",COUNTIFS($A$5:$A$1668,$A1424,$C$5:$C$1668,"&lt;"&amp;$C1424)+1)</f>
        <v/>
      </c>
      <c r="F1424" s="11">
        <f>IF(OR($B1424="",NOT(ISNUMBER($C1424))),"",COUNTIFS($A$5:$A$1668,$A1424,$C$5:$C$1668,"&gt;0"))</f>
        <v/>
      </c>
      <c r="G1424" s="11">
        <f>IF(OR($B1424="",NOT(ISNUMBER($C1424))),"",IF($D1424&lt;&gt;"",ROUND(Points!$B$6*IF($F1424&lt;Points!$H$4,Points!$H$5,1),0),ROUND(Points!$B$6*IF($F1424&lt;=1,1,Points!$H$7+(1-Points!$H$7)*((($F1424-$E1424)*(($F1424-$E1424)+1)/2)^2-((($F1424-$E1424-COUNTIFS($A$5:$A$1668,$A1424,$C$5:$C$1668,$C1424)+1)-1)*($F1424-$E1424-COUNTIFS($A$5:$A$1668,$A1424,$C$5:$C$1668,$C1424)+1)/2)^2)/(COUNTIFS($A$5:$A$1668,$A1424,$C$5:$C$1668,$C1424)*($F1424-1)^3))*IF($F1424&lt;Points!$H$4,Points!$H$5,1),0)))</f>
        <v/>
      </c>
      <c r="H1424" s="11">
        <f>IF($G1424="","",COUNTIFS($B$5:$B$1668,$B1424,$G$5:$G$1668,"&gt;"&amp;$G1424)+COUNTIFS($B$4:$B1423,$B1424,$G$4:$G1423,$G1424)+1)</f>
        <v/>
      </c>
      <c r="I1424" s="11">
        <f>IF($G1424="","",IF($H1424&lt;=Points!$H$6,$G1424,0))</f>
        <v/>
      </c>
      <c r="J1424" s="11">
        <f>IF($B1424="","",IF(COUNTIF(Players!$A$2:$A$500,$B1424)=0,"Player is not on the Players tab",IF(NOT(ISNUMBER($C1424)),"Enter a gross score",IF(COUNTIFS($A$5:$A$1668,$A1424,$B$5:$B$1668,$B1424)&gt;1,"Player is listed twice this week",IF(AND($D1424&lt;&gt;"",COUNTIFS($A$5:$A$1668,$A1424,$D$5:$D$1668,$D1424)&gt;1),"Two players picked as "&amp;$D1424,IF(COUNTIFS($A$5:$A$1668,$A1424,$D$5:$D$1668,"Gross winner")=0,"Pick this week's gross winner",IF(COUNTIFS($A$5:$A$1668,$A1424,$D$5:$D$1668,"Net winner")=0,"Pick this week's net winner","OK")))))))</f>
        <v/>
      </c>
    </row>
    <row r="1425" outlineLevel="1">
      <c r="A1425" s="13" t="n">
        <v>46701</v>
      </c>
      <c r="E1425" s="11">
        <f>IF(OR($B1425="",NOT(ISNUMBER($C1425))),"",COUNTIFS($A$5:$A$1668,$A1425,$C$5:$C$1668,"&lt;"&amp;$C1425)+1)</f>
        <v/>
      </c>
      <c r="F1425" s="11">
        <f>IF(OR($B1425="",NOT(ISNUMBER($C1425))),"",COUNTIFS($A$5:$A$1668,$A1425,$C$5:$C$1668,"&gt;0"))</f>
        <v/>
      </c>
      <c r="G1425" s="11">
        <f>IF(OR($B1425="",NOT(ISNUMBER($C1425))),"",IF($D1425&lt;&gt;"",ROUND(Points!$B$6*IF($F1425&lt;Points!$H$4,Points!$H$5,1),0),ROUND(Points!$B$6*IF($F1425&lt;=1,1,Points!$H$7+(1-Points!$H$7)*((($F1425-$E1425)*(($F1425-$E1425)+1)/2)^2-((($F1425-$E1425-COUNTIFS($A$5:$A$1668,$A1425,$C$5:$C$1668,$C1425)+1)-1)*($F1425-$E1425-COUNTIFS($A$5:$A$1668,$A1425,$C$5:$C$1668,$C1425)+1)/2)^2)/(COUNTIFS($A$5:$A$1668,$A1425,$C$5:$C$1668,$C1425)*($F1425-1)^3))*IF($F1425&lt;Points!$H$4,Points!$H$5,1),0)))</f>
        <v/>
      </c>
      <c r="H1425" s="11">
        <f>IF($G1425="","",COUNTIFS($B$5:$B$1668,$B1425,$G$5:$G$1668,"&gt;"&amp;$G1425)+COUNTIFS($B$4:$B1424,$B1425,$G$4:$G1424,$G1425)+1)</f>
        <v/>
      </c>
      <c r="I1425" s="11">
        <f>IF($G1425="","",IF($H1425&lt;=Points!$H$6,$G1425,0))</f>
        <v/>
      </c>
      <c r="J1425" s="11">
        <f>IF($B1425="","",IF(COUNTIF(Players!$A$2:$A$500,$B1425)=0,"Player is not on the Players tab",IF(NOT(ISNUMBER($C1425)),"Enter a gross score",IF(COUNTIFS($A$5:$A$1668,$A1425,$B$5:$B$1668,$B1425)&gt;1,"Player is listed twice this week",IF(AND($D1425&lt;&gt;"",COUNTIFS($A$5:$A$1668,$A1425,$D$5:$D$1668,$D1425)&gt;1),"Two players picked as "&amp;$D1425,IF(COUNTIFS($A$5:$A$1668,$A1425,$D$5:$D$1668,"Gross winner")=0,"Pick this week's gross winner",IF(COUNTIFS($A$5:$A$1668,$A1425,$D$5:$D$1668,"Net winner")=0,"Pick this week's net winner","OK")))))))</f>
        <v/>
      </c>
    </row>
    <row r="1426" outlineLevel="1">
      <c r="A1426" s="13" t="n">
        <v>46701</v>
      </c>
      <c r="E1426" s="11">
        <f>IF(OR($B1426="",NOT(ISNUMBER($C1426))),"",COUNTIFS($A$5:$A$1668,$A1426,$C$5:$C$1668,"&lt;"&amp;$C1426)+1)</f>
        <v/>
      </c>
      <c r="F1426" s="11">
        <f>IF(OR($B1426="",NOT(ISNUMBER($C1426))),"",COUNTIFS($A$5:$A$1668,$A1426,$C$5:$C$1668,"&gt;0"))</f>
        <v/>
      </c>
      <c r="G1426" s="11">
        <f>IF(OR($B1426="",NOT(ISNUMBER($C1426))),"",IF($D1426&lt;&gt;"",ROUND(Points!$B$6*IF($F1426&lt;Points!$H$4,Points!$H$5,1),0),ROUND(Points!$B$6*IF($F1426&lt;=1,1,Points!$H$7+(1-Points!$H$7)*((($F1426-$E1426)*(($F1426-$E1426)+1)/2)^2-((($F1426-$E1426-COUNTIFS($A$5:$A$1668,$A1426,$C$5:$C$1668,$C1426)+1)-1)*($F1426-$E1426-COUNTIFS($A$5:$A$1668,$A1426,$C$5:$C$1668,$C1426)+1)/2)^2)/(COUNTIFS($A$5:$A$1668,$A1426,$C$5:$C$1668,$C1426)*($F1426-1)^3))*IF($F1426&lt;Points!$H$4,Points!$H$5,1),0)))</f>
        <v/>
      </c>
      <c r="H1426" s="11">
        <f>IF($G1426="","",COUNTIFS($B$5:$B$1668,$B1426,$G$5:$G$1668,"&gt;"&amp;$G1426)+COUNTIFS($B$4:$B1425,$B1426,$G$4:$G1425,$G1426)+1)</f>
        <v/>
      </c>
      <c r="I1426" s="11">
        <f>IF($G1426="","",IF($H1426&lt;=Points!$H$6,$G1426,0))</f>
        <v/>
      </c>
      <c r="J1426" s="11">
        <f>IF($B1426="","",IF(COUNTIF(Players!$A$2:$A$500,$B1426)=0,"Player is not on the Players tab",IF(NOT(ISNUMBER($C1426)),"Enter a gross score",IF(COUNTIFS($A$5:$A$1668,$A1426,$B$5:$B$1668,$B1426)&gt;1,"Player is listed twice this week",IF(AND($D1426&lt;&gt;"",COUNTIFS($A$5:$A$1668,$A1426,$D$5:$D$1668,$D1426)&gt;1),"Two players picked as "&amp;$D1426,IF(COUNTIFS($A$5:$A$1668,$A1426,$D$5:$D$1668,"Gross winner")=0,"Pick this week's gross winner",IF(COUNTIFS($A$5:$A$1668,$A1426,$D$5:$D$1668,"Net winner")=0,"Pick this week's net winner","OK")))))))</f>
        <v/>
      </c>
    </row>
    <row r="1427" outlineLevel="1">
      <c r="A1427" s="13" t="n">
        <v>46701</v>
      </c>
      <c r="E1427" s="11">
        <f>IF(OR($B1427="",NOT(ISNUMBER($C1427))),"",COUNTIFS($A$5:$A$1668,$A1427,$C$5:$C$1668,"&lt;"&amp;$C1427)+1)</f>
        <v/>
      </c>
      <c r="F1427" s="11">
        <f>IF(OR($B1427="",NOT(ISNUMBER($C1427))),"",COUNTIFS($A$5:$A$1668,$A1427,$C$5:$C$1668,"&gt;0"))</f>
        <v/>
      </c>
      <c r="G1427" s="11">
        <f>IF(OR($B1427="",NOT(ISNUMBER($C1427))),"",IF($D1427&lt;&gt;"",ROUND(Points!$B$6*IF($F1427&lt;Points!$H$4,Points!$H$5,1),0),ROUND(Points!$B$6*IF($F1427&lt;=1,1,Points!$H$7+(1-Points!$H$7)*((($F1427-$E1427)*(($F1427-$E1427)+1)/2)^2-((($F1427-$E1427-COUNTIFS($A$5:$A$1668,$A1427,$C$5:$C$1668,$C1427)+1)-1)*($F1427-$E1427-COUNTIFS($A$5:$A$1668,$A1427,$C$5:$C$1668,$C1427)+1)/2)^2)/(COUNTIFS($A$5:$A$1668,$A1427,$C$5:$C$1668,$C1427)*($F1427-1)^3))*IF($F1427&lt;Points!$H$4,Points!$H$5,1),0)))</f>
        <v/>
      </c>
      <c r="H1427" s="11">
        <f>IF($G1427="","",COUNTIFS($B$5:$B$1668,$B1427,$G$5:$G$1668,"&gt;"&amp;$G1427)+COUNTIFS($B$4:$B1426,$B1427,$G$4:$G1426,$G1427)+1)</f>
        <v/>
      </c>
      <c r="I1427" s="11">
        <f>IF($G1427="","",IF($H1427&lt;=Points!$H$6,$G1427,0))</f>
        <v/>
      </c>
      <c r="J1427" s="11">
        <f>IF($B1427="","",IF(COUNTIF(Players!$A$2:$A$500,$B1427)=0,"Player is not on the Players tab",IF(NOT(ISNUMBER($C1427)),"Enter a gross score",IF(COUNTIFS($A$5:$A$1668,$A1427,$B$5:$B$1668,$B1427)&gt;1,"Player is listed twice this week",IF(AND($D1427&lt;&gt;"",COUNTIFS($A$5:$A$1668,$A1427,$D$5:$D$1668,$D1427)&gt;1),"Two players picked as "&amp;$D1427,IF(COUNTIFS($A$5:$A$1668,$A1427,$D$5:$D$1668,"Gross winner")=0,"Pick this week's gross winner",IF(COUNTIFS($A$5:$A$1668,$A1427,$D$5:$D$1668,"Net winner")=0,"Pick this week's net winner","OK")))))))</f>
        <v/>
      </c>
    </row>
    <row r="1428" outlineLevel="1">
      <c r="A1428" s="13" t="n">
        <v>46701</v>
      </c>
      <c r="E1428" s="11">
        <f>IF(OR($B1428="",NOT(ISNUMBER($C1428))),"",COUNTIFS($A$5:$A$1668,$A1428,$C$5:$C$1668,"&lt;"&amp;$C1428)+1)</f>
        <v/>
      </c>
      <c r="F1428" s="11">
        <f>IF(OR($B1428="",NOT(ISNUMBER($C1428))),"",COUNTIFS($A$5:$A$1668,$A1428,$C$5:$C$1668,"&gt;0"))</f>
        <v/>
      </c>
      <c r="G1428" s="11">
        <f>IF(OR($B1428="",NOT(ISNUMBER($C1428))),"",IF($D1428&lt;&gt;"",ROUND(Points!$B$6*IF($F1428&lt;Points!$H$4,Points!$H$5,1),0),ROUND(Points!$B$6*IF($F1428&lt;=1,1,Points!$H$7+(1-Points!$H$7)*((($F1428-$E1428)*(($F1428-$E1428)+1)/2)^2-((($F1428-$E1428-COUNTIFS($A$5:$A$1668,$A1428,$C$5:$C$1668,$C1428)+1)-1)*($F1428-$E1428-COUNTIFS($A$5:$A$1668,$A1428,$C$5:$C$1668,$C1428)+1)/2)^2)/(COUNTIFS($A$5:$A$1668,$A1428,$C$5:$C$1668,$C1428)*($F1428-1)^3))*IF($F1428&lt;Points!$H$4,Points!$H$5,1),0)))</f>
        <v/>
      </c>
      <c r="H1428" s="11">
        <f>IF($G1428="","",COUNTIFS($B$5:$B$1668,$B1428,$G$5:$G$1668,"&gt;"&amp;$G1428)+COUNTIFS($B$4:$B1427,$B1428,$G$4:$G1427,$G1428)+1)</f>
        <v/>
      </c>
      <c r="I1428" s="11">
        <f>IF($G1428="","",IF($H1428&lt;=Points!$H$6,$G1428,0))</f>
        <v/>
      </c>
      <c r="J1428" s="11">
        <f>IF($B1428="","",IF(COUNTIF(Players!$A$2:$A$500,$B1428)=0,"Player is not on the Players tab",IF(NOT(ISNUMBER($C1428)),"Enter a gross score",IF(COUNTIFS($A$5:$A$1668,$A1428,$B$5:$B$1668,$B1428)&gt;1,"Player is listed twice this week",IF(AND($D1428&lt;&gt;"",COUNTIFS($A$5:$A$1668,$A1428,$D$5:$D$1668,$D1428)&gt;1),"Two players picked as "&amp;$D1428,IF(COUNTIFS($A$5:$A$1668,$A1428,$D$5:$D$1668,"Gross winner")=0,"Pick this week's gross winner",IF(COUNTIFS($A$5:$A$1668,$A1428,$D$5:$D$1668,"Net winner")=0,"Pick this week's net winner","OK")))))))</f>
        <v/>
      </c>
    </row>
    <row r="1429" outlineLevel="1">
      <c r="A1429" s="13" t="n">
        <v>46701</v>
      </c>
      <c r="E1429" s="11">
        <f>IF(OR($B1429="",NOT(ISNUMBER($C1429))),"",COUNTIFS($A$5:$A$1668,$A1429,$C$5:$C$1668,"&lt;"&amp;$C1429)+1)</f>
        <v/>
      </c>
      <c r="F1429" s="11">
        <f>IF(OR($B1429="",NOT(ISNUMBER($C1429))),"",COUNTIFS($A$5:$A$1668,$A1429,$C$5:$C$1668,"&gt;0"))</f>
        <v/>
      </c>
      <c r="G1429" s="11">
        <f>IF(OR($B1429="",NOT(ISNUMBER($C1429))),"",IF($D1429&lt;&gt;"",ROUND(Points!$B$6*IF($F1429&lt;Points!$H$4,Points!$H$5,1),0),ROUND(Points!$B$6*IF($F1429&lt;=1,1,Points!$H$7+(1-Points!$H$7)*((($F1429-$E1429)*(($F1429-$E1429)+1)/2)^2-((($F1429-$E1429-COUNTIFS($A$5:$A$1668,$A1429,$C$5:$C$1668,$C1429)+1)-1)*($F1429-$E1429-COUNTIFS($A$5:$A$1668,$A1429,$C$5:$C$1668,$C1429)+1)/2)^2)/(COUNTIFS($A$5:$A$1668,$A1429,$C$5:$C$1668,$C1429)*($F1429-1)^3))*IF($F1429&lt;Points!$H$4,Points!$H$5,1),0)))</f>
        <v/>
      </c>
      <c r="H1429" s="11">
        <f>IF($G1429="","",COUNTIFS($B$5:$B$1668,$B1429,$G$5:$G$1668,"&gt;"&amp;$G1429)+COUNTIFS($B$4:$B1428,$B1429,$G$4:$G1428,$G1429)+1)</f>
        <v/>
      </c>
      <c r="I1429" s="11">
        <f>IF($G1429="","",IF($H1429&lt;=Points!$H$6,$G1429,0))</f>
        <v/>
      </c>
      <c r="J1429" s="11">
        <f>IF($B1429="","",IF(COUNTIF(Players!$A$2:$A$500,$B1429)=0,"Player is not on the Players tab",IF(NOT(ISNUMBER($C1429)),"Enter a gross score",IF(COUNTIFS($A$5:$A$1668,$A1429,$B$5:$B$1668,$B1429)&gt;1,"Player is listed twice this week",IF(AND($D1429&lt;&gt;"",COUNTIFS($A$5:$A$1668,$A1429,$D$5:$D$1668,$D1429)&gt;1),"Two players picked as "&amp;$D1429,IF(COUNTIFS($A$5:$A$1668,$A1429,$D$5:$D$1668,"Gross winner")=0,"Pick this week's gross winner",IF(COUNTIFS($A$5:$A$1668,$A1429,$D$5:$D$1668,"Net winner")=0,"Pick this week's net winner","OK")))))))</f>
        <v/>
      </c>
    </row>
    <row r="1430" outlineLevel="1">
      <c r="A1430" s="13" t="n">
        <v>46701</v>
      </c>
      <c r="E1430" s="11">
        <f>IF(OR($B1430="",NOT(ISNUMBER($C1430))),"",COUNTIFS($A$5:$A$1668,$A1430,$C$5:$C$1668,"&lt;"&amp;$C1430)+1)</f>
        <v/>
      </c>
      <c r="F1430" s="11">
        <f>IF(OR($B1430="",NOT(ISNUMBER($C1430))),"",COUNTIFS($A$5:$A$1668,$A1430,$C$5:$C$1668,"&gt;0"))</f>
        <v/>
      </c>
      <c r="G1430" s="11">
        <f>IF(OR($B1430="",NOT(ISNUMBER($C1430))),"",IF($D1430&lt;&gt;"",ROUND(Points!$B$6*IF($F1430&lt;Points!$H$4,Points!$H$5,1),0),ROUND(Points!$B$6*IF($F1430&lt;=1,1,Points!$H$7+(1-Points!$H$7)*((($F1430-$E1430)*(($F1430-$E1430)+1)/2)^2-((($F1430-$E1430-COUNTIFS($A$5:$A$1668,$A1430,$C$5:$C$1668,$C1430)+1)-1)*($F1430-$E1430-COUNTIFS($A$5:$A$1668,$A1430,$C$5:$C$1668,$C1430)+1)/2)^2)/(COUNTIFS($A$5:$A$1668,$A1430,$C$5:$C$1668,$C1430)*($F1430-1)^3))*IF($F1430&lt;Points!$H$4,Points!$H$5,1),0)))</f>
        <v/>
      </c>
      <c r="H1430" s="11">
        <f>IF($G1430="","",COUNTIFS($B$5:$B$1668,$B1430,$G$5:$G$1668,"&gt;"&amp;$G1430)+COUNTIFS($B$4:$B1429,$B1430,$G$4:$G1429,$G1430)+1)</f>
        <v/>
      </c>
      <c r="I1430" s="11">
        <f>IF($G1430="","",IF($H1430&lt;=Points!$H$6,$G1430,0))</f>
        <v/>
      </c>
      <c r="J1430" s="11">
        <f>IF($B1430="","",IF(COUNTIF(Players!$A$2:$A$500,$B1430)=0,"Player is not on the Players tab",IF(NOT(ISNUMBER($C1430)),"Enter a gross score",IF(COUNTIFS($A$5:$A$1668,$A1430,$B$5:$B$1668,$B1430)&gt;1,"Player is listed twice this week",IF(AND($D1430&lt;&gt;"",COUNTIFS($A$5:$A$1668,$A1430,$D$5:$D$1668,$D1430)&gt;1),"Two players picked as "&amp;$D1430,IF(COUNTIFS($A$5:$A$1668,$A1430,$D$5:$D$1668,"Gross winner")=0,"Pick this week's gross winner",IF(COUNTIFS($A$5:$A$1668,$A1430,$D$5:$D$1668,"Net winner")=0,"Pick this week's net winner","OK")))))))</f>
        <v/>
      </c>
    </row>
    <row r="1431" outlineLevel="1">
      <c r="A1431" s="13" t="n">
        <v>46701</v>
      </c>
      <c r="E1431" s="11">
        <f>IF(OR($B1431="",NOT(ISNUMBER($C1431))),"",COUNTIFS($A$5:$A$1668,$A1431,$C$5:$C$1668,"&lt;"&amp;$C1431)+1)</f>
        <v/>
      </c>
      <c r="F1431" s="11">
        <f>IF(OR($B1431="",NOT(ISNUMBER($C1431))),"",COUNTIFS($A$5:$A$1668,$A1431,$C$5:$C$1668,"&gt;0"))</f>
        <v/>
      </c>
      <c r="G1431" s="11">
        <f>IF(OR($B1431="",NOT(ISNUMBER($C1431))),"",IF($D1431&lt;&gt;"",ROUND(Points!$B$6*IF($F1431&lt;Points!$H$4,Points!$H$5,1),0),ROUND(Points!$B$6*IF($F1431&lt;=1,1,Points!$H$7+(1-Points!$H$7)*((($F1431-$E1431)*(($F1431-$E1431)+1)/2)^2-((($F1431-$E1431-COUNTIFS($A$5:$A$1668,$A1431,$C$5:$C$1668,$C1431)+1)-1)*($F1431-$E1431-COUNTIFS($A$5:$A$1668,$A1431,$C$5:$C$1668,$C1431)+1)/2)^2)/(COUNTIFS($A$5:$A$1668,$A1431,$C$5:$C$1668,$C1431)*($F1431-1)^3))*IF($F1431&lt;Points!$H$4,Points!$H$5,1),0)))</f>
        <v/>
      </c>
      <c r="H1431" s="11">
        <f>IF($G1431="","",COUNTIFS($B$5:$B$1668,$B1431,$G$5:$G$1668,"&gt;"&amp;$G1431)+COUNTIFS($B$4:$B1430,$B1431,$G$4:$G1430,$G1431)+1)</f>
        <v/>
      </c>
      <c r="I1431" s="11">
        <f>IF($G1431="","",IF($H1431&lt;=Points!$H$6,$G1431,0))</f>
        <v/>
      </c>
      <c r="J1431" s="11">
        <f>IF($B1431="","",IF(COUNTIF(Players!$A$2:$A$500,$B1431)=0,"Player is not on the Players tab",IF(NOT(ISNUMBER($C1431)),"Enter a gross score",IF(COUNTIFS($A$5:$A$1668,$A1431,$B$5:$B$1668,$B1431)&gt;1,"Player is listed twice this week",IF(AND($D1431&lt;&gt;"",COUNTIFS($A$5:$A$1668,$A1431,$D$5:$D$1668,$D1431)&gt;1),"Two players picked as "&amp;$D1431,IF(COUNTIFS($A$5:$A$1668,$A1431,$D$5:$D$1668,"Gross winner")=0,"Pick this week's gross winner",IF(COUNTIFS($A$5:$A$1668,$A1431,$D$5:$D$1668,"Net winner")=0,"Pick this week's net winner","OK")))))))</f>
        <v/>
      </c>
    </row>
    <row r="1432" outlineLevel="1">
      <c r="A1432" s="13" t="n">
        <v>46701</v>
      </c>
      <c r="E1432" s="11">
        <f>IF(OR($B1432="",NOT(ISNUMBER($C1432))),"",COUNTIFS($A$5:$A$1668,$A1432,$C$5:$C$1668,"&lt;"&amp;$C1432)+1)</f>
        <v/>
      </c>
      <c r="F1432" s="11">
        <f>IF(OR($B1432="",NOT(ISNUMBER($C1432))),"",COUNTIFS($A$5:$A$1668,$A1432,$C$5:$C$1668,"&gt;0"))</f>
        <v/>
      </c>
      <c r="G1432" s="11">
        <f>IF(OR($B1432="",NOT(ISNUMBER($C1432))),"",IF($D1432&lt;&gt;"",ROUND(Points!$B$6*IF($F1432&lt;Points!$H$4,Points!$H$5,1),0),ROUND(Points!$B$6*IF($F1432&lt;=1,1,Points!$H$7+(1-Points!$H$7)*((($F1432-$E1432)*(($F1432-$E1432)+1)/2)^2-((($F1432-$E1432-COUNTIFS($A$5:$A$1668,$A1432,$C$5:$C$1668,$C1432)+1)-1)*($F1432-$E1432-COUNTIFS($A$5:$A$1668,$A1432,$C$5:$C$1668,$C1432)+1)/2)^2)/(COUNTIFS($A$5:$A$1668,$A1432,$C$5:$C$1668,$C1432)*($F1432-1)^3))*IF($F1432&lt;Points!$H$4,Points!$H$5,1),0)))</f>
        <v/>
      </c>
      <c r="H1432" s="11">
        <f>IF($G1432="","",COUNTIFS($B$5:$B$1668,$B1432,$G$5:$G$1668,"&gt;"&amp;$G1432)+COUNTIFS($B$4:$B1431,$B1432,$G$4:$G1431,$G1432)+1)</f>
        <v/>
      </c>
      <c r="I1432" s="11">
        <f>IF($G1432="","",IF($H1432&lt;=Points!$H$6,$G1432,0))</f>
        <v/>
      </c>
      <c r="J1432" s="11">
        <f>IF($B1432="","",IF(COUNTIF(Players!$A$2:$A$500,$B1432)=0,"Player is not on the Players tab",IF(NOT(ISNUMBER($C1432)),"Enter a gross score",IF(COUNTIFS($A$5:$A$1668,$A1432,$B$5:$B$1668,$B1432)&gt;1,"Player is listed twice this week",IF(AND($D1432&lt;&gt;"",COUNTIFS($A$5:$A$1668,$A1432,$D$5:$D$1668,$D1432)&gt;1),"Two players picked as "&amp;$D1432,IF(COUNTIFS($A$5:$A$1668,$A1432,$D$5:$D$1668,"Gross winner")=0,"Pick this week's gross winner",IF(COUNTIFS($A$5:$A$1668,$A1432,$D$5:$D$1668,"Net winner")=0,"Pick this week's net winner","OK")))))))</f>
        <v/>
      </c>
    </row>
    <row r="1433" outlineLevel="1">
      <c r="A1433" s="13" t="n">
        <v>46701</v>
      </c>
      <c r="E1433" s="11">
        <f>IF(OR($B1433="",NOT(ISNUMBER($C1433))),"",COUNTIFS($A$5:$A$1668,$A1433,$C$5:$C$1668,"&lt;"&amp;$C1433)+1)</f>
        <v/>
      </c>
      <c r="F1433" s="11">
        <f>IF(OR($B1433="",NOT(ISNUMBER($C1433))),"",COUNTIFS($A$5:$A$1668,$A1433,$C$5:$C$1668,"&gt;0"))</f>
        <v/>
      </c>
      <c r="G1433" s="11">
        <f>IF(OR($B1433="",NOT(ISNUMBER($C1433))),"",IF($D1433&lt;&gt;"",ROUND(Points!$B$6*IF($F1433&lt;Points!$H$4,Points!$H$5,1),0),ROUND(Points!$B$6*IF($F1433&lt;=1,1,Points!$H$7+(1-Points!$H$7)*((($F1433-$E1433)*(($F1433-$E1433)+1)/2)^2-((($F1433-$E1433-COUNTIFS($A$5:$A$1668,$A1433,$C$5:$C$1668,$C1433)+1)-1)*($F1433-$E1433-COUNTIFS($A$5:$A$1668,$A1433,$C$5:$C$1668,$C1433)+1)/2)^2)/(COUNTIFS($A$5:$A$1668,$A1433,$C$5:$C$1668,$C1433)*($F1433-1)^3))*IF($F1433&lt;Points!$H$4,Points!$H$5,1),0)))</f>
        <v/>
      </c>
      <c r="H1433" s="11">
        <f>IF($G1433="","",COUNTIFS($B$5:$B$1668,$B1433,$G$5:$G$1668,"&gt;"&amp;$G1433)+COUNTIFS($B$4:$B1432,$B1433,$G$4:$G1432,$G1433)+1)</f>
        <v/>
      </c>
      <c r="I1433" s="11">
        <f>IF($G1433="","",IF($H1433&lt;=Points!$H$6,$G1433,0))</f>
        <v/>
      </c>
      <c r="J1433" s="11">
        <f>IF($B1433="","",IF(COUNTIF(Players!$A$2:$A$500,$B1433)=0,"Player is not on the Players tab",IF(NOT(ISNUMBER($C1433)),"Enter a gross score",IF(COUNTIFS($A$5:$A$1668,$A1433,$B$5:$B$1668,$B1433)&gt;1,"Player is listed twice this week",IF(AND($D1433&lt;&gt;"",COUNTIFS($A$5:$A$1668,$A1433,$D$5:$D$1668,$D1433)&gt;1),"Two players picked as "&amp;$D1433,IF(COUNTIFS($A$5:$A$1668,$A1433,$D$5:$D$1668,"Gross winner")=0,"Pick this week's gross winner",IF(COUNTIFS($A$5:$A$1668,$A1433,$D$5:$D$1668,"Net winner")=0,"Pick this week's net winner","OK")))))))</f>
        <v/>
      </c>
    </row>
    <row r="1434" outlineLevel="1">
      <c r="A1434" s="13" t="n">
        <v>46701</v>
      </c>
      <c r="E1434" s="11">
        <f>IF(OR($B1434="",NOT(ISNUMBER($C1434))),"",COUNTIFS($A$5:$A$1668,$A1434,$C$5:$C$1668,"&lt;"&amp;$C1434)+1)</f>
        <v/>
      </c>
      <c r="F1434" s="11">
        <f>IF(OR($B1434="",NOT(ISNUMBER($C1434))),"",COUNTIFS($A$5:$A$1668,$A1434,$C$5:$C$1668,"&gt;0"))</f>
        <v/>
      </c>
      <c r="G1434" s="11">
        <f>IF(OR($B1434="",NOT(ISNUMBER($C1434))),"",IF($D1434&lt;&gt;"",ROUND(Points!$B$6*IF($F1434&lt;Points!$H$4,Points!$H$5,1),0),ROUND(Points!$B$6*IF($F1434&lt;=1,1,Points!$H$7+(1-Points!$H$7)*((($F1434-$E1434)*(($F1434-$E1434)+1)/2)^2-((($F1434-$E1434-COUNTIFS($A$5:$A$1668,$A1434,$C$5:$C$1668,$C1434)+1)-1)*($F1434-$E1434-COUNTIFS($A$5:$A$1668,$A1434,$C$5:$C$1668,$C1434)+1)/2)^2)/(COUNTIFS($A$5:$A$1668,$A1434,$C$5:$C$1668,$C1434)*($F1434-1)^3))*IF($F1434&lt;Points!$H$4,Points!$H$5,1),0)))</f>
        <v/>
      </c>
      <c r="H1434" s="11">
        <f>IF($G1434="","",COUNTIFS($B$5:$B$1668,$B1434,$G$5:$G$1668,"&gt;"&amp;$G1434)+COUNTIFS($B$4:$B1433,$B1434,$G$4:$G1433,$G1434)+1)</f>
        <v/>
      </c>
      <c r="I1434" s="11">
        <f>IF($G1434="","",IF($H1434&lt;=Points!$H$6,$G1434,0))</f>
        <v/>
      </c>
      <c r="J1434" s="11">
        <f>IF($B1434="","",IF(COUNTIF(Players!$A$2:$A$500,$B1434)=0,"Player is not on the Players tab",IF(NOT(ISNUMBER($C1434)),"Enter a gross score",IF(COUNTIFS($A$5:$A$1668,$A1434,$B$5:$B$1668,$B1434)&gt;1,"Player is listed twice this week",IF(AND($D1434&lt;&gt;"",COUNTIFS($A$5:$A$1668,$A1434,$D$5:$D$1668,$D1434)&gt;1),"Two players picked as "&amp;$D1434,IF(COUNTIFS($A$5:$A$1668,$A1434,$D$5:$D$1668,"Gross winner")=0,"Pick this week's gross winner",IF(COUNTIFS($A$5:$A$1668,$A1434,$D$5:$D$1668,"Net winner")=0,"Pick this week's net winner","OK")))))))</f>
        <v/>
      </c>
    </row>
    <row r="1435" outlineLevel="1">
      <c r="A1435" s="13" t="n">
        <v>46701</v>
      </c>
      <c r="E1435" s="11">
        <f>IF(OR($B1435="",NOT(ISNUMBER($C1435))),"",COUNTIFS($A$5:$A$1668,$A1435,$C$5:$C$1668,"&lt;"&amp;$C1435)+1)</f>
        <v/>
      </c>
      <c r="F1435" s="11">
        <f>IF(OR($B1435="",NOT(ISNUMBER($C1435))),"",COUNTIFS($A$5:$A$1668,$A1435,$C$5:$C$1668,"&gt;0"))</f>
        <v/>
      </c>
      <c r="G1435" s="11">
        <f>IF(OR($B1435="",NOT(ISNUMBER($C1435))),"",IF($D1435&lt;&gt;"",ROUND(Points!$B$6*IF($F1435&lt;Points!$H$4,Points!$H$5,1),0),ROUND(Points!$B$6*IF($F1435&lt;=1,1,Points!$H$7+(1-Points!$H$7)*((($F1435-$E1435)*(($F1435-$E1435)+1)/2)^2-((($F1435-$E1435-COUNTIFS($A$5:$A$1668,$A1435,$C$5:$C$1668,$C1435)+1)-1)*($F1435-$E1435-COUNTIFS($A$5:$A$1668,$A1435,$C$5:$C$1668,$C1435)+1)/2)^2)/(COUNTIFS($A$5:$A$1668,$A1435,$C$5:$C$1668,$C1435)*($F1435-1)^3))*IF($F1435&lt;Points!$H$4,Points!$H$5,1),0)))</f>
        <v/>
      </c>
      <c r="H1435" s="11">
        <f>IF($G1435="","",COUNTIFS($B$5:$B$1668,$B1435,$G$5:$G$1668,"&gt;"&amp;$G1435)+COUNTIFS($B$4:$B1434,$B1435,$G$4:$G1434,$G1435)+1)</f>
        <v/>
      </c>
      <c r="I1435" s="11">
        <f>IF($G1435="","",IF($H1435&lt;=Points!$H$6,$G1435,0))</f>
        <v/>
      </c>
      <c r="J1435" s="11">
        <f>IF($B1435="","",IF(COUNTIF(Players!$A$2:$A$500,$B1435)=0,"Player is not on the Players tab",IF(NOT(ISNUMBER($C1435)),"Enter a gross score",IF(COUNTIFS($A$5:$A$1668,$A1435,$B$5:$B$1668,$B1435)&gt;1,"Player is listed twice this week",IF(AND($D1435&lt;&gt;"",COUNTIFS($A$5:$A$1668,$A1435,$D$5:$D$1668,$D1435)&gt;1),"Two players picked as "&amp;$D1435,IF(COUNTIFS($A$5:$A$1668,$A1435,$D$5:$D$1668,"Gross winner")=0,"Pick this week's gross winner",IF(COUNTIFS($A$5:$A$1668,$A1435,$D$5:$D$1668,"Net winner")=0,"Pick this week's net winner","OK")))))))</f>
        <v/>
      </c>
    </row>
    <row r="1436" outlineLevel="1">
      <c r="A1436" s="13" t="n">
        <v>46701</v>
      </c>
      <c r="E1436" s="11">
        <f>IF(OR($B1436="",NOT(ISNUMBER($C1436))),"",COUNTIFS($A$5:$A$1668,$A1436,$C$5:$C$1668,"&lt;"&amp;$C1436)+1)</f>
        <v/>
      </c>
      <c r="F1436" s="11">
        <f>IF(OR($B1436="",NOT(ISNUMBER($C1436))),"",COUNTIFS($A$5:$A$1668,$A1436,$C$5:$C$1668,"&gt;0"))</f>
        <v/>
      </c>
      <c r="G1436" s="11">
        <f>IF(OR($B1436="",NOT(ISNUMBER($C1436))),"",IF($D1436&lt;&gt;"",ROUND(Points!$B$6*IF($F1436&lt;Points!$H$4,Points!$H$5,1),0),ROUND(Points!$B$6*IF($F1436&lt;=1,1,Points!$H$7+(1-Points!$H$7)*((($F1436-$E1436)*(($F1436-$E1436)+1)/2)^2-((($F1436-$E1436-COUNTIFS($A$5:$A$1668,$A1436,$C$5:$C$1668,$C1436)+1)-1)*($F1436-$E1436-COUNTIFS($A$5:$A$1668,$A1436,$C$5:$C$1668,$C1436)+1)/2)^2)/(COUNTIFS($A$5:$A$1668,$A1436,$C$5:$C$1668,$C1436)*($F1436-1)^3))*IF($F1436&lt;Points!$H$4,Points!$H$5,1),0)))</f>
        <v/>
      </c>
      <c r="H1436" s="11">
        <f>IF($G1436="","",COUNTIFS($B$5:$B$1668,$B1436,$G$5:$G$1668,"&gt;"&amp;$G1436)+COUNTIFS($B$4:$B1435,$B1436,$G$4:$G1435,$G1436)+1)</f>
        <v/>
      </c>
      <c r="I1436" s="11">
        <f>IF($G1436="","",IF($H1436&lt;=Points!$H$6,$G1436,0))</f>
        <v/>
      </c>
      <c r="J1436" s="11">
        <f>IF($B1436="","",IF(COUNTIF(Players!$A$2:$A$500,$B1436)=0,"Player is not on the Players tab",IF(NOT(ISNUMBER($C1436)),"Enter a gross score",IF(COUNTIFS($A$5:$A$1668,$A1436,$B$5:$B$1668,$B1436)&gt;1,"Player is listed twice this week",IF(AND($D1436&lt;&gt;"",COUNTIFS($A$5:$A$1668,$A1436,$D$5:$D$1668,$D1436)&gt;1),"Two players picked as "&amp;$D1436,IF(COUNTIFS($A$5:$A$1668,$A1436,$D$5:$D$1668,"Gross winner")=0,"Pick this week's gross winner",IF(COUNTIFS($A$5:$A$1668,$A1436,$D$5:$D$1668,"Net winner")=0,"Pick this week's net winner","OK")))))))</f>
        <v/>
      </c>
    </row>
    <row r="1437" outlineLevel="1">
      <c r="A1437" s="13" t="n">
        <v>46701</v>
      </c>
      <c r="E1437" s="11">
        <f>IF(OR($B1437="",NOT(ISNUMBER($C1437))),"",COUNTIFS($A$5:$A$1668,$A1437,$C$5:$C$1668,"&lt;"&amp;$C1437)+1)</f>
        <v/>
      </c>
      <c r="F1437" s="11">
        <f>IF(OR($B1437="",NOT(ISNUMBER($C1437))),"",COUNTIFS($A$5:$A$1668,$A1437,$C$5:$C$1668,"&gt;0"))</f>
        <v/>
      </c>
      <c r="G1437" s="11">
        <f>IF(OR($B1437="",NOT(ISNUMBER($C1437))),"",IF($D1437&lt;&gt;"",ROUND(Points!$B$6*IF($F1437&lt;Points!$H$4,Points!$H$5,1),0),ROUND(Points!$B$6*IF($F1437&lt;=1,1,Points!$H$7+(1-Points!$H$7)*((($F1437-$E1437)*(($F1437-$E1437)+1)/2)^2-((($F1437-$E1437-COUNTIFS($A$5:$A$1668,$A1437,$C$5:$C$1668,$C1437)+1)-1)*($F1437-$E1437-COUNTIFS($A$5:$A$1668,$A1437,$C$5:$C$1668,$C1437)+1)/2)^2)/(COUNTIFS($A$5:$A$1668,$A1437,$C$5:$C$1668,$C1437)*($F1437-1)^3))*IF($F1437&lt;Points!$H$4,Points!$H$5,1),0)))</f>
        <v/>
      </c>
      <c r="H1437" s="11">
        <f>IF($G1437="","",COUNTIFS($B$5:$B$1668,$B1437,$G$5:$G$1668,"&gt;"&amp;$G1437)+COUNTIFS($B$4:$B1436,$B1437,$G$4:$G1436,$G1437)+1)</f>
        <v/>
      </c>
      <c r="I1437" s="11">
        <f>IF($G1437="","",IF($H1437&lt;=Points!$H$6,$G1437,0))</f>
        <v/>
      </c>
      <c r="J1437" s="11">
        <f>IF($B1437="","",IF(COUNTIF(Players!$A$2:$A$500,$B1437)=0,"Player is not on the Players tab",IF(NOT(ISNUMBER($C1437)),"Enter a gross score",IF(COUNTIFS($A$5:$A$1668,$A1437,$B$5:$B$1668,$B1437)&gt;1,"Player is listed twice this week",IF(AND($D1437&lt;&gt;"",COUNTIFS($A$5:$A$1668,$A1437,$D$5:$D$1668,$D1437)&gt;1),"Two players picked as "&amp;$D1437,IF(COUNTIFS($A$5:$A$1668,$A1437,$D$5:$D$1668,"Gross winner")=0,"Pick this week's gross winner",IF(COUNTIFS($A$5:$A$1668,$A1437,$D$5:$D$1668,"Net winner")=0,"Pick this week's net winner","OK")))))))</f>
        <v/>
      </c>
    </row>
    <row r="1438" outlineLevel="1">
      <c r="A1438" s="13" t="n">
        <v>46701</v>
      </c>
      <c r="E1438" s="11">
        <f>IF(OR($B1438="",NOT(ISNUMBER($C1438))),"",COUNTIFS($A$5:$A$1668,$A1438,$C$5:$C$1668,"&lt;"&amp;$C1438)+1)</f>
        <v/>
      </c>
      <c r="F1438" s="11">
        <f>IF(OR($B1438="",NOT(ISNUMBER($C1438))),"",COUNTIFS($A$5:$A$1668,$A1438,$C$5:$C$1668,"&gt;0"))</f>
        <v/>
      </c>
      <c r="G1438" s="11">
        <f>IF(OR($B1438="",NOT(ISNUMBER($C1438))),"",IF($D1438&lt;&gt;"",ROUND(Points!$B$6*IF($F1438&lt;Points!$H$4,Points!$H$5,1),0),ROUND(Points!$B$6*IF($F1438&lt;=1,1,Points!$H$7+(1-Points!$H$7)*((($F1438-$E1438)*(($F1438-$E1438)+1)/2)^2-((($F1438-$E1438-COUNTIFS($A$5:$A$1668,$A1438,$C$5:$C$1668,$C1438)+1)-1)*($F1438-$E1438-COUNTIFS($A$5:$A$1668,$A1438,$C$5:$C$1668,$C1438)+1)/2)^2)/(COUNTIFS($A$5:$A$1668,$A1438,$C$5:$C$1668,$C1438)*($F1438-1)^3))*IF($F1438&lt;Points!$H$4,Points!$H$5,1),0)))</f>
        <v/>
      </c>
      <c r="H1438" s="11">
        <f>IF($G1438="","",COUNTIFS($B$5:$B$1668,$B1438,$G$5:$G$1668,"&gt;"&amp;$G1438)+COUNTIFS($B$4:$B1437,$B1438,$G$4:$G1437,$G1438)+1)</f>
        <v/>
      </c>
      <c r="I1438" s="11">
        <f>IF($G1438="","",IF($H1438&lt;=Points!$H$6,$G1438,0))</f>
        <v/>
      </c>
      <c r="J1438" s="11">
        <f>IF($B1438="","",IF(COUNTIF(Players!$A$2:$A$500,$B1438)=0,"Player is not on the Players tab",IF(NOT(ISNUMBER($C1438)),"Enter a gross score",IF(COUNTIFS($A$5:$A$1668,$A1438,$B$5:$B$1668,$B1438)&gt;1,"Player is listed twice this week",IF(AND($D1438&lt;&gt;"",COUNTIFS($A$5:$A$1668,$A1438,$D$5:$D$1668,$D1438)&gt;1),"Two players picked as "&amp;$D1438,IF(COUNTIFS($A$5:$A$1668,$A1438,$D$5:$D$1668,"Gross winner")=0,"Pick this week's gross winner",IF(COUNTIFS($A$5:$A$1668,$A1438,$D$5:$D$1668,"Net winner")=0,"Pick this week's net winner","OK")))))))</f>
        <v/>
      </c>
    </row>
    <row r="1439" outlineLevel="1">
      <c r="A1439" s="13" t="n">
        <v>46701</v>
      </c>
      <c r="E1439" s="11">
        <f>IF(OR($B1439="",NOT(ISNUMBER($C1439))),"",COUNTIFS($A$5:$A$1668,$A1439,$C$5:$C$1668,"&lt;"&amp;$C1439)+1)</f>
        <v/>
      </c>
      <c r="F1439" s="11">
        <f>IF(OR($B1439="",NOT(ISNUMBER($C1439))),"",COUNTIFS($A$5:$A$1668,$A1439,$C$5:$C$1668,"&gt;0"))</f>
        <v/>
      </c>
      <c r="G1439" s="11">
        <f>IF(OR($B1439="",NOT(ISNUMBER($C1439))),"",IF($D1439&lt;&gt;"",ROUND(Points!$B$6*IF($F1439&lt;Points!$H$4,Points!$H$5,1),0),ROUND(Points!$B$6*IF($F1439&lt;=1,1,Points!$H$7+(1-Points!$H$7)*((($F1439-$E1439)*(($F1439-$E1439)+1)/2)^2-((($F1439-$E1439-COUNTIFS($A$5:$A$1668,$A1439,$C$5:$C$1668,$C1439)+1)-1)*($F1439-$E1439-COUNTIFS($A$5:$A$1668,$A1439,$C$5:$C$1668,$C1439)+1)/2)^2)/(COUNTIFS($A$5:$A$1668,$A1439,$C$5:$C$1668,$C1439)*($F1439-1)^3))*IF($F1439&lt;Points!$H$4,Points!$H$5,1),0)))</f>
        <v/>
      </c>
      <c r="H1439" s="11">
        <f>IF($G1439="","",COUNTIFS($B$5:$B$1668,$B1439,$G$5:$G$1668,"&gt;"&amp;$G1439)+COUNTIFS($B$4:$B1438,$B1439,$G$4:$G1438,$G1439)+1)</f>
        <v/>
      </c>
      <c r="I1439" s="11">
        <f>IF($G1439="","",IF($H1439&lt;=Points!$H$6,$G1439,0))</f>
        <v/>
      </c>
      <c r="J1439" s="11">
        <f>IF($B1439="","",IF(COUNTIF(Players!$A$2:$A$500,$B1439)=0,"Player is not on the Players tab",IF(NOT(ISNUMBER($C1439)),"Enter a gross score",IF(COUNTIFS($A$5:$A$1668,$A1439,$B$5:$B$1668,$B1439)&gt;1,"Player is listed twice this week",IF(AND($D1439&lt;&gt;"",COUNTIFS($A$5:$A$1668,$A1439,$D$5:$D$1668,$D1439)&gt;1),"Two players picked as "&amp;$D1439,IF(COUNTIFS($A$5:$A$1668,$A1439,$D$5:$D$1668,"Gross winner")=0,"Pick this week's gross winner",IF(COUNTIFS($A$5:$A$1668,$A1439,$D$5:$D$1668,"Net winner")=0,"Pick this week's net winner","OK")))))))</f>
        <v/>
      </c>
    </row>
    <row r="1440" outlineLevel="1">
      <c r="A1440" s="13" t="n">
        <v>46701</v>
      </c>
      <c r="E1440" s="11">
        <f>IF(OR($B1440="",NOT(ISNUMBER($C1440))),"",COUNTIFS($A$5:$A$1668,$A1440,$C$5:$C$1668,"&lt;"&amp;$C1440)+1)</f>
        <v/>
      </c>
      <c r="F1440" s="11">
        <f>IF(OR($B1440="",NOT(ISNUMBER($C1440))),"",COUNTIFS($A$5:$A$1668,$A1440,$C$5:$C$1668,"&gt;0"))</f>
        <v/>
      </c>
      <c r="G1440" s="11">
        <f>IF(OR($B1440="",NOT(ISNUMBER($C1440))),"",IF($D1440&lt;&gt;"",ROUND(Points!$B$6*IF($F1440&lt;Points!$H$4,Points!$H$5,1),0),ROUND(Points!$B$6*IF($F1440&lt;=1,1,Points!$H$7+(1-Points!$H$7)*((($F1440-$E1440)*(($F1440-$E1440)+1)/2)^2-((($F1440-$E1440-COUNTIFS($A$5:$A$1668,$A1440,$C$5:$C$1668,$C1440)+1)-1)*($F1440-$E1440-COUNTIFS($A$5:$A$1668,$A1440,$C$5:$C$1668,$C1440)+1)/2)^2)/(COUNTIFS($A$5:$A$1668,$A1440,$C$5:$C$1668,$C1440)*($F1440-1)^3))*IF($F1440&lt;Points!$H$4,Points!$H$5,1),0)))</f>
        <v/>
      </c>
      <c r="H1440" s="11">
        <f>IF($G1440="","",COUNTIFS($B$5:$B$1668,$B1440,$G$5:$G$1668,"&gt;"&amp;$G1440)+COUNTIFS($B$4:$B1439,$B1440,$G$4:$G1439,$G1440)+1)</f>
        <v/>
      </c>
      <c r="I1440" s="11">
        <f>IF($G1440="","",IF($H1440&lt;=Points!$H$6,$G1440,0))</f>
        <v/>
      </c>
      <c r="J1440" s="11">
        <f>IF($B1440="","",IF(COUNTIF(Players!$A$2:$A$500,$B1440)=0,"Player is not on the Players tab",IF(NOT(ISNUMBER($C1440)),"Enter a gross score",IF(COUNTIFS($A$5:$A$1668,$A1440,$B$5:$B$1668,$B1440)&gt;1,"Player is listed twice this week",IF(AND($D1440&lt;&gt;"",COUNTIFS($A$5:$A$1668,$A1440,$D$5:$D$1668,$D1440)&gt;1),"Two players picked as "&amp;$D1440,IF(COUNTIFS($A$5:$A$1668,$A1440,$D$5:$D$1668,"Gross winner")=0,"Pick this week's gross winner",IF(COUNTIFS($A$5:$A$1668,$A1440,$D$5:$D$1668,"Net winner")=0,"Pick this week's net winner","OK")))))))</f>
        <v/>
      </c>
    </row>
    <row r="1441" outlineLevel="1">
      <c r="A1441" s="13" t="n">
        <v>46701</v>
      </c>
      <c r="E1441" s="11">
        <f>IF(OR($B1441="",NOT(ISNUMBER($C1441))),"",COUNTIFS($A$5:$A$1668,$A1441,$C$5:$C$1668,"&lt;"&amp;$C1441)+1)</f>
        <v/>
      </c>
      <c r="F1441" s="11">
        <f>IF(OR($B1441="",NOT(ISNUMBER($C1441))),"",COUNTIFS($A$5:$A$1668,$A1441,$C$5:$C$1668,"&gt;0"))</f>
        <v/>
      </c>
      <c r="G1441" s="11">
        <f>IF(OR($B1441="",NOT(ISNUMBER($C1441))),"",IF($D1441&lt;&gt;"",ROUND(Points!$B$6*IF($F1441&lt;Points!$H$4,Points!$H$5,1),0),ROUND(Points!$B$6*IF($F1441&lt;=1,1,Points!$H$7+(1-Points!$H$7)*((($F1441-$E1441)*(($F1441-$E1441)+1)/2)^2-((($F1441-$E1441-COUNTIFS($A$5:$A$1668,$A1441,$C$5:$C$1668,$C1441)+1)-1)*($F1441-$E1441-COUNTIFS($A$5:$A$1668,$A1441,$C$5:$C$1668,$C1441)+1)/2)^2)/(COUNTIFS($A$5:$A$1668,$A1441,$C$5:$C$1668,$C1441)*($F1441-1)^3))*IF($F1441&lt;Points!$H$4,Points!$H$5,1),0)))</f>
        <v/>
      </c>
      <c r="H1441" s="11">
        <f>IF($G1441="","",COUNTIFS($B$5:$B$1668,$B1441,$G$5:$G$1668,"&gt;"&amp;$G1441)+COUNTIFS($B$4:$B1440,$B1441,$G$4:$G1440,$G1441)+1)</f>
        <v/>
      </c>
      <c r="I1441" s="11">
        <f>IF($G1441="","",IF($H1441&lt;=Points!$H$6,$G1441,0))</f>
        <v/>
      </c>
      <c r="J1441" s="11">
        <f>IF($B1441="","",IF(COUNTIF(Players!$A$2:$A$500,$B1441)=0,"Player is not on the Players tab",IF(NOT(ISNUMBER($C1441)),"Enter a gross score",IF(COUNTIFS($A$5:$A$1668,$A1441,$B$5:$B$1668,$B1441)&gt;1,"Player is listed twice this week",IF(AND($D1441&lt;&gt;"",COUNTIFS($A$5:$A$1668,$A1441,$D$5:$D$1668,$D1441)&gt;1),"Two players picked as "&amp;$D1441,IF(COUNTIFS($A$5:$A$1668,$A1441,$D$5:$D$1668,"Gross winner")=0,"Pick this week's gross winner",IF(COUNTIFS($A$5:$A$1668,$A1441,$D$5:$D$1668,"Net winner")=0,"Pick this week's net winner","OK")))))))</f>
        <v/>
      </c>
    </row>
    <row r="1442" outlineLevel="1">
      <c r="A1442" s="13" t="n">
        <v>46701</v>
      </c>
      <c r="E1442" s="11">
        <f>IF(OR($B1442="",NOT(ISNUMBER($C1442))),"",COUNTIFS($A$5:$A$1668,$A1442,$C$5:$C$1668,"&lt;"&amp;$C1442)+1)</f>
        <v/>
      </c>
      <c r="F1442" s="11">
        <f>IF(OR($B1442="",NOT(ISNUMBER($C1442))),"",COUNTIFS($A$5:$A$1668,$A1442,$C$5:$C$1668,"&gt;0"))</f>
        <v/>
      </c>
      <c r="G1442" s="11">
        <f>IF(OR($B1442="",NOT(ISNUMBER($C1442))),"",IF($D1442&lt;&gt;"",ROUND(Points!$B$6*IF($F1442&lt;Points!$H$4,Points!$H$5,1),0),ROUND(Points!$B$6*IF($F1442&lt;=1,1,Points!$H$7+(1-Points!$H$7)*((($F1442-$E1442)*(($F1442-$E1442)+1)/2)^2-((($F1442-$E1442-COUNTIFS($A$5:$A$1668,$A1442,$C$5:$C$1668,$C1442)+1)-1)*($F1442-$E1442-COUNTIFS($A$5:$A$1668,$A1442,$C$5:$C$1668,$C1442)+1)/2)^2)/(COUNTIFS($A$5:$A$1668,$A1442,$C$5:$C$1668,$C1442)*($F1442-1)^3))*IF($F1442&lt;Points!$H$4,Points!$H$5,1),0)))</f>
        <v/>
      </c>
      <c r="H1442" s="11">
        <f>IF($G1442="","",COUNTIFS($B$5:$B$1668,$B1442,$G$5:$G$1668,"&gt;"&amp;$G1442)+COUNTIFS($B$4:$B1441,$B1442,$G$4:$G1441,$G1442)+1)</f>
        <v/>
      </c>
      <c r="I1442" s="11">
        <f>IF($G1442="","",IF($H1442&lt;=Points!$H$6,$G1442,0))</f>
        <v/>
      </c>
      <c r="J1442" s="11">
        <f>IF($B1442="","",IF(COUNTIF(Players!$A$2:$A$500,$B1442)=0,"Player is not on the Players tab",IF(NOT(ISNUMBER($C1442)),"Enter a gross score",IF(COUNTIFS($A$5:$A$1668,$A1442,$B$5:$B$1668,$B1442)&gt;1,"Player is listed twice this week",IF(AND($D1442&lt;&gt;"",COUNTIFS($A$5:$A$1668,$A1442,$D$5:$D$1668,$D1442)&gt;1),"Two players picked as "&amp;$D1442,IF(COUNTIFS($A$5:$A$1668,$A1442,$D$5:$D$1668,"Gross winner")=0,"Pick this week's gross winner",IF(COUNTIFS($A$5:$A$1668,$A1442,$D$5:$D$1668,"Net winner")=0,"Pick this week's net winner","OK")))))))</f>
        <v/>
      </c>
    </row>
    <row r="1443" outlineLevel="1">
      <c r="A1443" s="13" t="n">
        <v>46701</v>
      </c>
      <c r="E1443" s="11">
        <f>IF(OR($B1443="",NOT(ISNUMBER($C1443))),"",COUNTIFS($A$5:$A$1668,$A1443,$C$5:$C$1668,"&lt;"&amp;$C1443)+1)</f>
        <v/>
      </c>
      <c r="F1443" s="11">
        <f>IF(OR($B1443="",NOT(ISNUMBER($C1443))),"",COUNTIFS($A$5:$A$1668,$A1443,$C$5:$C$1668,"&gt;0"))</f>
        <v/>
      </c>
      <c r="G1443" s="11">
        <f>IF(OR($B1443="",NOT(ISNUMBER($C1443))),"",IF($D1443&lt;&gt;"",ROUND(Points!$B$6*IF($F1443&lt;Points!$H$4,Points!$H$5,1),0),ROUND(Points!$B$6*IF($F1443&lt;=1,1,Points!$H$7+(1-Points!$H$7)*((($F1443-$E1443)*(($F1443-$E1443)+1)/2)^2-((($F1443-$E1443-COUNTIFS($A$5:$A$1668,$A1443,$C$5:$C$1668,$C1443)+1)-1)*($F1443-$E1443-COUNTIFS($A$5:$A$1668,$A1443,$C$5:$C$1668,$C1443)+1)/2)^2)/(COUNTIFS($A$5:$A$1668,$A1443,$C$5:$C$1668,$C1443)*($F1443-1)^3))*IF($F1443&lt;Points!$H$4,Points!$H$5,1),0)))</f>
        <v/>
      </c>
      <c r="H1443" s="11">
        <f>IF($G1443="","",COUNTIFS($B$5:$B$1668,$B1443,$G$5:$G$1668,"&gt;"&amp;$G1443)+COUNTIFS($B$4:$B1442,$B1443,$G$4:$G1442,$G1443)+1)</f>
        <v/>
      </c>
      <c r="I1443" s="11">
        <f>IF($G1443="","",IF($H1443&lt;=Points!$H$6,$G1443,0))</f>
        <v/>
      </c>
      <c r="J1443" s="11">
        <f>IF($B1443="","",IF(COUNTIF(Players!$A$2:$A$500,$B1443)=0,"Player is not on the Players tab",IF(NOT(ISNUMBER($C1443)),"Enter a gross score",IF(COUNTIFS($A$5:$A$1668,$A1443,$B$5:$B$1668,$B1443)&gt;1,"Player is listed twice this week",IF(AND($D1443&lt;&gt;"",COUNTIFS($A$5:$A$1668,$A1443,$D$5:$D$1668,$D1443)&gt;1),"Two players picked as "&amp;$D1443,IF(COUNTIFS($A$5:$A$1668,$A1443,$D$5:$D$1668,"Gross winner")=0,"Pick this week's gross winner",IF(COUNTIFS($A$5:$A$1668,$A1443,$D$5:$D$1668,"Net winner")=0,"Pick this week's net winner","OK")))))))</f>
        <v/>
      </c>
    </row>
    <row r="1444" ht="10" customHeight="1"/>
    <row r="1445" ht="22" customHeight="1">
      <c r="A1445" s="12" t="inlineStr">
        <is>
          <t>Week 46  ·  Wednesday, Nov 17</t>
        </is>
      </c>
    </row>
    <row r="1446" outlineLevel="1">
      <c r="A1446" s="13" t="n">
        <v>46708</v>
      </c>
      <c r="E1446" s="11">
        <f>IF(OR($B1446="",NOT(ISNUMBER($C1446))),"",COUNTIFS($A$5:$A$1668,$A1446,$C$5:$C$1668,"&lt;"&amp;$C1446)+1)</f>
        <v/>
      </c>
      <c r="F1446" s="11">
        <f>IF(OR($B1446="",NOT(ISNUMBER($C1446))),"",COUNTIFS($A$5:$A$1668,$A1446,$C$5:$C$1668,"&gt;0"))</f>
        <v/>
      </c>
      <c r="G1446" s="11">
        <f>IF(OR($B1446="",NOT(ISNUMBER($C1446))),"",IF($D1446&lt;&gt;"",ROUND(Points!$B$6*IF($F1446&lt;Points!$H$4,Points!$H$5,1),0),ROUND(Points!$B$6*IF($F1446&lt;=1,1,Points!$H$7+(1-Points!$H$7)*((($F1446-$E1446)*(($F1446-$E1446)+1)/2)^2-((($F1446-$E1446-COUNTIFS($A$5:$A$1668,$A1446,$C$5:$C$1668,$C1446)+1)-1)*($F1446-$E1446-COUNTIFS($A$5:$A$1668,$A1446,$C$5:$C$1668,$C1446)+1)/2)^2)/(COUNTIFS($A$5:$A$1668,$A1446,$C$5:$C$1668,$C1446)*($F1446-1)^3))*IF($F1446&lt;Points!$H$4,Points!$H$5,1),0)))</f>
        <v/>
      </c>
      <c r="H1446" s="11">
        <f>IF($G1446="","",COUNTIFS($B$5:$B$1668,$B1446,$G$5:$G$1668,"&gt;"&amp;$G1446)+COUNTIFS($B$4:$B1445,$B1446,$G$4:$G1445,$G1446)+1)</f>
        <v/>
      </c>
      <c r="I1446" s="11">
        <f>IF($G1446="","",IF($H1446&lt;=Points!$H$6,$G1446,0))</f>
        <v/>
      </c>
      <c r="J1446" s="11">
        <f>IF($B1446="","",IF(COUNTIF(Players!$A$2:$A$500,$B1446)=0,"Player is not on the Players tab",IF(NOT(ISNUMBER($C1446)),"Enter a gross score",IF(COUNTIFS($A$5:$A$1668,$A1446,$B$5:$B$1668,$B1446)&gt;1,"Player is listed twice this week",IF(AND($D1446&lt;&gt;"",COUNTIFS($A$5:$A$1668,$A1446,$D$5:$D$1668,$D1446)&gt;1),"Two players picked as "&amp;$D1446,IF(COUNTIFS($A$5:$A$1668,$A1446,$D$5:$D$1668,"Gross winner")=0,"Pick this week's gross winner",IF(COUNTIFS($A$5:$A$1668,$A1446,$D$5:$D$1668,"Net winner")=0,"Pick this week's net winner","OK")))))))</f>
        <v/>
      </c>
    </row>
    <row r="1447" outlineLevel="1">
      <c r="A1447" s="13" t="n">
        <v>46708</v>
      </c>
      <c r="E1447" s="11">
        <f>IF(OR($B1447="",NOT(ISNUMBER($C1447))),"",COUNTIFS($A$5:$A$1668,$A1447,$C$5:$C$1668,"&lt;"&amp;$C1447)+1)</f>
        <v/>
      </c>
      <c r="F1447" s="11">
        <f>IF(OR($B1447="",NOT(ISNUMBER($C1447))),"",COUNTIFS($A$5:$A$1668,$A1447,$C$5:$C$1668,"&gt;0"))</f>
        <v/>
      </c>
      <c r="G1447" s="11">
        <f>IF(OR($B1447="",NOT(ISNUMBER($C1447))),"",IF($D1447&lt;&gt;"",ROUND(Points!$B$6*IF($F1447&lt;Points!$H$4,Points!$H$5,1),0),ROUND(Points!$B$6*IF($F1447&lt;=1,1,Points!$H$7+(1-Points!$H$7)*((($F1447-$E1447)*(($F1447-$E1447)+1)/2)^2-((($F1447-$E1447-COUNTIFS($A$5:$A$1668,$A1447,$C$5:$C$1668,$C1447)+1)-1)*($F1447-$E1447-COUNTIFS($A$5:$A$1668,$A1447,$C$5:$C$1668,$C1447)+1)/2)^2)/(COUNTIFS($A$5:$A$1668,$A1447,$C$5:$C$1668,$C1447)*($F1447-1)^3))*IF($F1447&lt;Points!$H$4,Points!$H$5,1),0)))</f>
        <v/>
      </c>
      <c r="H1447" s="11">
        <f>IF($G1447="","",COUNTIFS($B$5:$B$1668,$B1447,$G$5:$G$1668,"&gt;"&amp;$G1447)+COUNTIFS($B$4:$B1446,$B1447,$G$4:$G1446,$G1447)+1)</f>
        <v/>
      </c>
      <c r="I1447" s="11">
        <f>IF($G1447="","",IF($H1447&lt;=Points!$H$6,$G1447,0))</f>
        <v/>
      </c>
      <c r="J1447" s="11">
        <f>IF($B1447="","",IF(COUNTIF(Players!$A$2:$A$500,$B1447)=0,"Player is not on the Players tab",IF(NOT(ISNUMBER($C1447)),"Enter a gross score",IF(COUNTIFS($A$5:$A$1668,$A1447,$B$5:$B$1668,$B1447)&gt;1,"Player is listed twice this week",IF(AND($D1447&lt;&gt;"",COUNTIFS($A$5:$A$1668,$A1447,$D$5:$D$1668,$D1447)&gt;1),"Two players picked as "&amp;$D1447,IF(COUNTIFS($A$5:$A$1668,$A1447,$D$5:$D$1668,"Gross winner")=0,"Pick this week's gross winner",IF(COUNTIFS($A$5:$A$1668,$A1447,$D$5:$D$1668,"Net winner")=0,"Pick this week's net winner","OK")))))))</f>
        <v/>
      </c>
    </row>
    <row r="1448" outlineLevel="1">
      <c r="A1448" s="13" t="n">
        <v>46708</v>
      </c>
      <c r="E1448" s="11">
        <f>IF(OR($B1448="",NOT(ISNUMBER($C1448))),"",COUNTIFS($A$5:$A$1668,$A1448,$C$5:$C$1668,"&lt;"&amp;$C1448)+1)</f>
        <v/>
      </c>
      <c r="F1448" s="11">
        <f>IF(OR($B1448="",NOT(ISNUMBER($C1448))),"",COUNTIFS($A$5:$A$1668,$A1448,$C$5:$C$1668,"&gt;0"))</f>
        <v/>
      </c>
      <c r="G1448" s="11">
        <f>IF(OR($B1448="",NOT(ISNUMBER($C1448))),"",IF($D1448&lt;&gt;"",ROUND(Points!$B$6*IF($F1448&lt;Points!$H$4,Points!$H$5,1),0),ROUND(Points!$B$6*IF($F1448&lt;=1,1,Points!$H$7+(1-Points!$H$7)*((($F1448-$E1448)*(($F1448-$E1448)+1)/2)^2-((($F1448-$E1448-COUNTIFS($A$5:$A$1668,$A1448,$C$5:$C$1668,$C1448)+1)-1)*($F1448-$E1448-COUNTIFS($A$5:$A$1668,$A1448,$C$5:$C$1668,$C1448)+1)/2)^2)/(COUNTIFS($A$5:$A$1668,$A1448,$C$5:$C$1668,$C1448)*($F1448-1)^3))*IF($F1448&lt;Points!$H$4,Points!$H$5,1),0)))</f>
        <v/>
      </c>
      <c r="H1448" s="11">
        <f>IF($G1448="","",COUNTIFS($B$5:$B$1668,$B1448,$G$5:$G$1668,"&gt;"&amp;$G1448)+COUNTIFS($B$4:$B1447,$B1448,$G$4:$G1447,$G1448)+1)</f>
        <v/>
      </c>
      <c r="I1448" s="11">
        <f>IF($G1448="","",IF($H1448&lt;=Points!$H$6,$G1448,0))</f>
        <v/>
      </c>
      <c r="J1448" s="11">
        <f>IF($B1448="","",IF(COUNTIF(Players!$A$2:$A$500,$B1448)=0,"Player is not on the Players tab",IF(NOT(ISNUMBER($C1448)),"Enter a gross score",IF(COUNTIFS($A$5:$A$1668,$A1448,$B$5:$B$1668,$B1448)&gt;1,"Player is listed twice this week",IF(AND($D1448&lt;&gt;"",COUNTIFS($A$5:$A$1668,$A1448,$D$5:$D$1668,$D1448)&gt;1),"Two players picked as "&amp;$D1448,IF(COUNTIFS($A$5:$A$1668,$A1448,$D$5:$D$1668,"Gross winner")=0,"Pick this week's gross winner",IF(COUNTIFS($A$5:$A$1668,$A1448,$D$5:$D$1668,"Net winner")=0,"Pick this week's net winner","OK")))))))</f>
        <v/>
      </c>
    </row>
    <row r="1449" outlineLevel="1">
      <c r="A1449" s="13" t="n">
        <v>46708</v>
      </c>
      <c r="E1449" s="11">
        <f>IF(OR($B1449="",NOT(ISNUMBER($C1449))),"",COUNTIFS($A$5:$A$1668,$A1449,$C$5:$C$1668,"&lt;"&amp;$C1449)+1)</f>
        <v/>
      </c>
      <c r="F1449" s="11">
        <f>IF(OR($B1449="",NOT(ISNUMBER($C1449))),"",COUNTIFS($A$5:$A$1668,$A1449,$C$5:$C$1668,"&gt;0"))</f>
        <v/>
      </c>
      <c r="G1449" s="11">
        <f>IF(OR($B1449="",NOT(ISNUMBER($C1449))),"",IF($D1449&lt;&gt;"",ROUND(Points!$B$6*IF($F1449&lt;Points!$H$4,Points!$H$5,1),0),ROUND(Points!$B$6*IF($F1449&lt;=1,1,Points!$H$7+(1-Points!$H$7)*((($F1449-$E1449)*(($F1449-$E1449)+1)/2)^2-((($F1449-$E1449-COUNTIFS($A$5:$A$1668,$A1449,$C$5:$C$1668,$C1449)+1)-1)*($F1449-$E1449-COUNTIFS($A$5:$A$1668,$A1449,$C$5:$C$1668,$C1449)+1)/2)^2)/(COUNTIFS($A$5:$A$1668,$A1449,$C$5:$C$1668,$C1449)*($F1449-1)^3))*IF($F1449&lt;Points!$H$4,Points!$H$5,1),0)))</f>
        <v/>
      </c>
      <c r="H1449" s="11">
        <f>IF($G1449="","",COUNTIFS($B$5:$B$1668,$B1449,$G$5:$G$1668,"&gt;"&amp;$G1449)+COUNTIFS($B$4:$B1448,$B1449,$G$4:$G1448,$G1449)+1)</f>
        <v/>
      </c>
      <c r="I1449" s="11">
        <f>IF($G1449="","",IF($H1449&lt;=Points!$H$6,$G1449,0))</f>
        <v/>
      </c>
      <c r="J1449" s="11">
        <f>IF($B1449="","",IF(COUNTIF(Players!$A$2:$A$500,$B1449)=0,"Player is not on the Players tab",IF(NOT(ISNUMBER($C1449)),"Enter a gross score",IF(COUNTIFS($A$5:$A$1668,$A1449,$B$5:$B$1668,$B1449)&gt;1,"Player is listed twice this week",IF(AND($D1449&lt;&gt;"",COUNTIFS($A$5:$A$1668,$A1449,$D$5:$D$1668,$D1449)&gt;1),"Two players picked as "&amp;$D1449,IF(COUNTIFS($A$5:$A$1668,$A1449,$D$5:$D$1668,"Gross winner")=0,"Pick this week's gross winner",IF(COUNTIFS($A$5:$A$1668,$A1449,$D$5:$D$1668,"Net winner")=0,"Pick this week's net winner","OK")))))))</f>
        <v/>
      </c>
    </row>
    <row r="1450" outlineLevel="1">
      <c r="A1450" s="13" t="n">
        <v>46708</v>
      </c>
      <c r="E1450" s="11">
        <f>IF(OR($B1450="",NOT(ISNUMBER($C1450))),"",COUNTIFS($A$5:$A$1668,$A1450,$C$5:$C$1668,"&lt;"&amp;$C1450)+1)</f>
        <v/>
      </c>
      <c r="F1450" s="11">
        <f>IF(OR($B1450="",NOT(ISNUMBER($C1450))),"",COUNTIFS($A$5:$A$1668,$A1450,$C$5:$C$1668,"&gt;0"))</f>
        <v/>
      </c>
      <c r="G1450" s="11">
        <f>IF(OR($B1450="",NOT(ISNUMBER($C1450))),"",IF($D1450&lt;&gt;"",ROUND(Points!$B$6*IF($F1450&lt;Points!$H$4,Points!$H$5,1),0),ROUND(Points!$B$6*IF($F1450&lt;=1,1,Points!$H$7+(1-Points!$H$7)*((($F1450-$E1450)*(($F1450-$E1450)+1)/2)^2-((($F1450-$E1450-COUNTIFS($A$5:$A$1668,$A1450,$C$5:$C$1668,$C1450)+1)-1)*($F1450-$E1450-COUNTIFS($A$5:$A$1668,$A1450,$C$5:$C$1668,$C1450)+1)/2)^2)/(COUNTIFS($A$5:$A$1668,$A1450,$C$5:$C$1668,$C1450)*($F1450-1)^3))*IF($F1450&lt;Points!$H$4,Points!$H$5,1),0)))</f>
        <v/>
      </c>
      <c r="H1450" s="11">
        <f>IF($G1450="","",COUNTIFS($B$5:$B$1668,$B1450,$G$5:$G$1668,"&gt;"&amp;$G1450)+COUNTIFS($B$4:$B1449,$B1450,$G$4:$G1449,$G1450)+1)</f>
        <v/>
      </c>
      <c r="I1450" s="11">
        <f>IF($G1450="","",IF($H1450&lt;=Points!$H$6,$G1450,0))</f>
        <v/>
      </c>
      <c r="J1450" s="11">
        <f>IF($B1450="","",IF(COUNTIF(Players!$A$2:$A$500,$B1450)=0,"Player is not on the Players tab",IF(NOT(ISNUMBER($C1450)),"Enter a gross score",IF(COUNTIFS($A$5:$A$1668,$A1450,$B$5:$B$1668,$B1450)&gt;1,"Player is listed twice this week",IF(AND($D1450&lt;&gt;"",COUNTIFS($A$5:$A$1668,$A1450,$D$5:$D$1668,$D1450)&gt;1),"Two players picked as "&amp;$D1450,IF(COUNTIFS($A$5:$A$1668,$A1450,$D$5:$D$1668,"Gross winner")=0,"Pick this week's gross winner",IF(COUNTIFS($A$5:$A$1668,$A1450,$D$5:$D$1668,"Net winner")=0,"Pick this week's net winner","OK")))))))</f>
        <v/>
      </c>
    </row>
    <row r="1451" outlineLevel="1">
      <c r="A1451" s="13" t="n">
        <v>46708</v>
      </c>
      <c r="E1451" s="11">
        <f>IF(OR($B1451="",NOT(ISNUMBER($C1451))),"",COUNTIFS($A$5:$A$1668,$A1451,$C$5:$C$1668,"&lt;"&amp;$C1451)+1)</f>
        <v/>
      </c>
      <c r="F1451" s="11">
        <f>IF(OR($B1451="",NOT(ISNUMBER($C1451))),"",COUNTIFS($A$5:$A$1668,$A1451,$C$5:$C$1668,"&gt;0"))</f>
        <v/>
      </c>
      <c r="G1451" s="11">
        <f>IF(OR($B1451="",NOT(ISNUMBER($C1451))),"",IF($D1451&lt;&gt;"",ROUND(Points!$B$6*IF($F1451&lt;Points!$H$4,Points!$H$5,1),0),ROUND(Points!$B$6*IF($F1451&lt;=1,1,Points!$H$7+(1-Points!$H$7)*((($F1451-$E1451)*(($F1451-$E1451)+1)/2)^2-((($F1451-$E1451-COUNTIFS($A$5:$A$1668,$A1451,$C$5:$C$1668,$C1451)+1)-1)*($F1451-$E1451-COUNTIFS($A$5:$A$1668,$A1451,$C$5:$C$1668,$C1451)+1)/2)^2)/(COUNTIFS($A$5:$A$1668,$A1451,$C$5:$C$1668,$C1451)*($F1451-1)^3))*IF($F1451&lt;Points!$H$4,Points!$H$5,1),0)))</f>
        <v/>
      </c>
      <c r="H1451" s="11">
        <f>IF($G1451="","",COUNTIFS($B$5:$B$1668,$B1451,$G$5:$G$1668,"&gt;"&amp;$G1451)+COUNTIFS($B$4:$B1450,$B1451,$G$4:$G1450,$G1451)+1)</f>
        <v/>
      </c>
      <c r="I1451" s="11">
        <f>IF($G1451="","",IF($H1451&lt;=Points!$H$6,$G1451,0))</f>
        <v/>
      </c>
      <c r="J1451" s="11">
        <f>IF($B1451="","",IF(COUNTIF(Players!$A$2:$A$500,$B1451)=0,"Player is not on the Players tab",IF(NOT(ISNUMBER($C1451)),"Enter a gross score",IF(COUNTIFS($A$5:$A$1668,$A1451,$B$5:$B$1668,$B1451)&gt;1,"Player is listed twice this week",IF(AND($D1451&lt;&gt;"",COUNTIFS($A$5:$A$1668,$A1451,$D$5:$D$1668,$D1451)&gt;1),"Two players picked as "&amp;$D1451,IF(COUNTIFS($A$5:$A$1668,$A1451,$D$5:$D$1668,"Gross winner")=0,"Pick this week's gross winner",IF(COUNTIFS($A$5:$A$1668,$A1451,$D$5:$D$1668,"Net winner")=0,"Pick this week's net winner","OK")))))))</f>
        <v/>
      </c>
    </row>
    <row r="1452" outlineLevel="1">
      <c r="A1452" s="13" t="n">
        <v>46708</v>
      </c>
      <c r="E1452" s="11">
        <f>IF(OR($B1452="",NOT(ISNUMBER($C1452))),"",COUNTIFS($A$5:$A$1668,$A1452,$C$5:$C$1668,"&lt;"&amp;$C1452)+1)</f>
        <v/>
      </c>
      <c r="F1452" s="11">
        <f>IF(OR($B1452="",NOT(ISNUMBER($C1452))),"",COUNTIFS($A$5:$A$1668,$A1452,$C$5:$C$1668,"&gt;0"))</f>
        <v/>
      </c>
      <c r="G1452" s="11">
        <f>IF(OR($B1452="",NOT(ISNUMBER($C1452))),"",IF($D1452&lt;&gt;"",ROUND(Points!$B$6*IF($F1452&lt;Points!$H$4,Points!$H$5,1),0),ROUND(Points!$B$6*IF($F1452&lt;=1,1,Points!$H$7+(1-Points!$H$7)*((($F1452-$E1452)*(($F1452-$E1452)+1)/2)^2-((($F1452-$E1452-COUNTIFS($A$5:$A$1668,$A1452,$C$5:$C$1668,$C1452)+1)-1)*($F1452-$E1452-COUNTIFS($A$5:$A$1668,$A1452,$C$5:$C$1668,$C1452)+1)/2)^2)/(COUNTIFS($A$5:$A$1668,$A1452,$C$5:$C$1668,$C1452)*($F1452-1)^3))*IF($F1452&lt;Points!$H$4,Points!$H$5,1),0)))</f>
        <v/>
      </c>
      <c r="H1452" s="11">
        <f>IF($G1452="","",COUNTIFS($B$5:$B$1668,$B1452,$G$5:$G$1668,"&gt;"&amp;$G1452)+COUNTIFS($B$4:$B1451,$B1452,$G$4:$G1451,$G1452)+1)</f>
        <v/>
      </c>
      <c r="I1452" s="11">
        <f>IF($G1452="","",IF($H1452&lt;=Points!$H$6,$G1452,0))</f>
        <v/>
      </c>
      <c r="J1452" s="11">
        <f>IF($B1452="","",IF(COUNTIF(Players!$A$2:$A$500,$B1452)=0,"Player is not on the Players tab",IF(NOT(ISNUMBER($C1452)),"Enter a gross score",IF(COUNTIFS($A$5:$A$1668,$A1452,$B$5:$B$1668,$B1452)&gt;1,"Player is listed twice this week",IF(AND($D1452&lt;&gt;"",COUNTIFS($A$5:$A$1668,$A1452,$D$5:$D$1668,$D1452)&gt;1),"Two players picked as "&amp;$D1452,IF(COUNTIFS($A$5:$A$1668,$A1452,$D$5:$D$1668,"Gross winner")=0,"Pick this week's gross winner",IF(COUNTIFS($A$5:$A$1668,$A1452,$D$5:$D$1668,"Net winner")=0,"Pick this week's net winner","OK")))))))</f>
        <v/>
      </c>
    </row>
    <row r="1453" outlineLevel="1">
      <c r="A1453" s="13" t="n">
        <v>46708</v>
      </c>
      <c r="E1453" s="11">
        <f>IF(OR($B1453="",NOT(ISNUMBER($C1453))),"",COUNTIFS($A$5:$A$1668,$A1453,$C$5:$C$1668,"&lt;"&amp;$C1453)+1)</f>
        <v/>
      </c>
      <c r="F1453" s="11">
        <f>IF(OR($B1453="",NOT(ISNUMBER($C1453))),"",COUNTIFS($A$5:$A$1668,$A1453,$C$5:$C$1668,"&gt;0"))</f>
        <v/>
      </c>
      <c r="G1453" s="11">
        <f>IF(OR($B1453="",NOT(ISNUMBER($C1453))),"",IF($D1453&lt;&gt;"",ROUND(Points!$B$6*IF($F1453&lt;Points!$H$4,Points!$H$5,1),0),ROUND(Points!$B$6*IF($F1453&lt;=1,1,Points!$H$7+(1-Points!$H$7)*((($F1453-$E1453)*(($F1453-$E1453)+1)/2)^2-((($F1453-$E1453-COUNTIFS($A$5:$A$1668,$A1453,$C$5:$C$1668,$C1453)+1)-1)*($F1453-$E1453-COUNTIFS($A$5:$A$1668,$A1453,$C$5:$C$1668,$C1453)+1)/2)^2)/(COUNTIFS($A$5:$A$1668,$A1453,$C$5:$C$1668,$C1453)*($F1453-1)^3))*IF($F1453&lt;Points!$H$4,Points!$H$5,1),0)))</f>
        <v/>
      </c>
      <c r="H1453" s="11">
        <f>IF($G1453="","",COUNTIFS($B$5:$B$1668,$B1453,$G$5:$G$1668,"&gt;"&amp;$G1453)+COUNTIFS($B$4:$B1452,$B1453,$G$4:$G1452,$G1453)+1)</f>
        <v/>
      </c>
      <c r="I1453" s="11">
        <f>IF($G1453="","",IF($H1453&lt;=Points!$H$6,$G1453,0))</f>
        <v/>
      </c>
      <c r="J1453" s="11">
        <f>IF($B1453="","",IF(COUNTIF(Players!$A$2:$A$500,$B1453)=0,"Player is not on the Players tab",IF(NOT(ISNUMBER($C1453)),"Enter a gross score",IF(COUNTIFS($A$5:$A$1668,$A1453,$B$5:$B$1668,$B1453)&gt;1,"Player is listed twice this week",IF(AND($D1453&lt;&gt;"",COUNTIFS($A$5:$A$1668,$A1453,$D$5:$D$1668,$D1453)&gt;1),"Two players picked as "&amp;$D1453,IF(COUNTIFS($A$5:$A$1668,$A1453,$D$5:$D$1668,"Gross winner")=0,"Pick this week's gross winner",IF(COUNTIFS($A$5:$A$1668,$A1453,$D$5:$D$1668,"Net winner")=0,"Pick this week's net winner","OK")))))))</f>
        <v/>
      </c>
    </row>
    <row r="1454" outlineLevel="1">
      <c r="A1454" s="13" t="n">
        <v>46708</v>
      </c>
      <c r="E1454" s="11">
        <f>IF(OR($B1454="",NOT(ISNUMBER($C1454))),"",COUNTIFS($A$5:$A$1668,$A1454,$C$5:$C$1668,"&lt;"&amp;$C1454)+1)</f>
        <v/>
      </c>
      <c r="F1454" s="11">
        <f>IF(OR($B1454="",NOT(ISNUMBER($C1454))),"",COUNTIFS($A$5:$A$1668,$A1454,$C$5:$C$1668,"&gt;0"))</f>
        <v/>
      </c>
      <c r="G1454" s="11">
        <f>IF(OR($B1454="",NOT(ISNUMBER($C1454))),"",IF($D1454&lt;&gt;"",ROUND(Points!$B$6*IF($F1454&lt;Points!$H$4,Points!$H$5,1),0),ROUND(Points!$B$6*IF($F1454&lt;=1,1,Points!$H$7+(1-Points!$H$7)*((($F1454-$E1454)*(($F1454-$E1454)+1)/2)^2-((($F1454-$E1454-COUNTIFS($A$5:$A$1668,$A1454,$C$5:$C$1668,$C1454)+1)-1)*($F1454-$E1454-COUNTIFS($A$5:$A$1668,$A1454,$C$5:$C$1668,$C1454)+1)/2)^2)/(COUNTIFS($A$5:$A$1668,$A1454,$C$5:$C$1668,$C1454)*($F1454-1)^3))*IF($F1454&lt;Points!$H$4,Points!$H$5,1),0)))</f>
        <v/>
      </c>
      <c r="H1454" s="11">
        <f>IF($G1454="","",COUNTIFS($B$5:$B$1668,$B1454,$G$5:$G$1668,"&gt;"&amp;$G1454)+COUNTIFS($B$4:$B1453,$B1454,$G$4:$G1453,$G1454)+1)</f>
        <v/>
      </c>
      <c r="I1454" s="11">
        <f>IF($G1454="","",IF($H1454&lt;=Points!$H$6,$G1454,0))</f>
        <v/>
      </c>
      <c r="J1454" s="11">
        <f>IF($B1454="","",IF(COUNTIF(Players!$A$2:$A$500,$B1454)=0,"Player is not on the Players tab",IF(NOT(ISNUMBER($C1454)),"Enter a gross score",IF(COUNTIFS($A$5:$A$1668,$A1454,$B$5:$B$1668,$B1454)&gt;1,"Player is listed twice this week",IF(AND($D1454&lt;&gt;"",COUNTIFS($A$5:$A$1668,$A1454,$D$5:$D$1668,$D1454)&gt;1),"Two players picked as "&amp;$D1454,IF(COUNTIFS($A$5:$A$1668,$A1454,$D$5:$D$1668,"Gross winner")=0,"Pick this week's gross winner",IF(COUNTIFS($A$5:$A$1668,$A1454,$D$5:$D$1668,"Net winner")=0,"Pick this week's net winner","OK")))))))</f>
        <v/>
      </c>
    </row>
    <row r="1455" outlineLevel="1">
      <c r="A1455" s="13" t="n">
        <v>46708</v>
      </c>
      <c r="E1455" s="11">
        <f>IF(OR($B1455="",NOT(ISNUMBER($C1455))),"",COUNTIFS($A$5:$A$1668,$A1455,$C$5:$C$1668,"&lt;"&amp;$C1455)+1)</f>
        <v/>
      </c>
      <c r="F1455" s="11">
        <f>IF(OR($B1455="",NOT(ISNUMBER($C1455))),"",COUNTIFS($A$5:$A$1668,$A1455,$C$5:$C$1668,"&gt;0"))</f>
        <v/>
      </c>
      <c r="G1455" s="11">
        <f>IF(OR($B1455="",NOT(ISNUMBER($C1455))),"",IF($D1455&lt;&gt;"",ROUND(Points!$B$6*IF($F1455&lt;Points!$H$4,Points!$H$5,1),0),ROUND(Points!$B$6*IF($F1455&lt;=1,1,Points!$H$7+(1-Points!$H$7)*((($F1455-$E1455)*(($F1455-$E1455)+1)/2)^2-((($F1455-$E1455-COUNTIFS($A$5:$A$1668,$A1455,$C$5:$C$1668,$C1455)+1)-1)*($F1455-$E1455-COUNTIFS($A$5:$A$1668,$A1455,$C$5:$C$1668,$C1455)+1)/2)^2)/(COUNTIFS($A$5:$A$1668,$A1455,$C$5:$C$1668,$C1455)*($F1455-1)^3))*IF($F1455&lt;Points!$H$4,Points!$H$5,1),0)))</f>
        <v/>
      </c>
      <c r="H1455" s="11">
        <f>IF($G1455="","",COUNTIFS($B$5:$B$1668,$B1455,$G$5:$G$1668,"&gt;"&amp;$G1455)+COUNTIFS($B$4:$B1454,$B1455,$G$4:$G1454,$G1455)+1)</f>
        <v/>
      </c>
      <c r="I1455" s="11">
        <f>IF($G1455="","",IF($H1455&lt;=Points!$H$6,$G1455,0))</f>
        <v/>
      </c>
      <c r="J1455" s="11">
        <f>IF($B1455="","",IF(COUNTIF(Players!$A$2:$A$500,$B1455)=0,"Player is not on the Players tab",IF(NOT(ISNUMBER($C1455)),"Enter a gross score",IF(COUNTIFS($A$5:$A$1668,$A1455,$B$5:$B$1668,$B1455)&gt;1,"Player is listed twice this week",IF(AND($D1455&lt;&gt;"",COUNTIFS($A$5:$A$1668,$A1455,$D$5:$D$1668,$D1455)&gt;1),"Two players picked as "&amp;$D1455,IF(COUNTIFS($A$5:$A$1668,$A1455,$D$5:$D$1668,"Gross winner")=0,"Pick this week's gross winner",IF(COUNTIFS($A$5:$A$1668,$A1455,$D$5:$D$1668,"Net winner")=0,"Pick this week's net winner","OK")))))))</f>
        <v/>
      </c>
    </row>
    <row r="1456" outlineLevel="1">
      <c r="A1456" s="13" t="n">
        <v>46708</v>
      </c>
      <c r="E1456" s="11">
        <f>IF(OR($B1456="",NOT(ISNUMBER($C1456))),"",COUNTIFS($A$5:$A$1668,$A1456,$C$5:$C$1668,"&lt;"&amp;$C1456)+1)</f>
        <v/>
      </c>
      <c r="F1456" s="11">
        <f>IF(OR($B1456="",NOT(ISNUMBER($C1456))),"",COUNTIFS($A$5:$A$1668,$A1456,$C$5:$C$1668,"&gt;0"))</f>
        <v/>
      </c>
      <c r="G1456" s="11">
        <f>IF(OR($B1456="",NOT(ISNUMBER($C1456))),"",IF($D1456&lt;&gt;"",ROUND(Points!$B$6*IF($F1456&lt;Points!$H$4,Points!$H$5,1),0),ROUND(Points!$B$6*IF($F1456&lt;=1,1,Points!$H$7+(1-Points!$H$7)*((($F1456-$E1456)*(($F1456-$E1456)+1)/2)^2-((($F1456-$E1456-COUNTIFS($A$5:$A$1668,$A1456,$C$5:$C$1668,$C1456)+1)-1)*($F1456-$E1456-COUNTIFS($A$5:$A$1668,$A1456,$C$5:$C$1668,$C1456)+1)/2)^2)/(COUNTIFS($A$5:$A$1668,$A1456,$C$5:$C$1668,$C1456)*($F1456-1)^3))*IF($F1456&lt;Points!$H$4,Points!$H$5,1),0)))</f>
        <v/>
      </c>
      <c r="H1456" s="11">
        <f>IF($G1456="","",COUNTIFS($B$5:$B$1668,$B1456,$G$5:$G$1668,"&gt;"&amp;$G1456)+COUNTIFS($B$4:$B1455,$B1456,$G$4:$G1455,$G1456)+1)</f>
        <v/>
      </c>
      <c r="I1456" s="11">
        <f>IF($G1456="","",IF($H1456&lt;=Points!$H$6,$G1456,0))</f>
        <v/>
      </c>
      <c r="J1456" s="11">
        <f>IF($B1456="","",IF(COUNTIF(Players!$A$2:$A$500,$B1456)=0,"Player is not on the Players tab",IF(NOT(ISNUMBER($C1456)),"Enter a gross score",IF(COUNTIFS($A$5:$A$1668,$A1456,$B$5:$B$1668,$B1456)&gt;1,"Player is listed twice this week",IF(AND($D1456&lt;&gt;"",COUNTIFS($A$5:$A$1668,$A1456,$D$5:$D$1668,$D1456)&gt;1),"Two players picked as "&amp;$D1456,IF(COUNTIFS($A$5:$A$1668,$A1456,$D$5:$D$1668,"Gross winner")=0,"Pick this week's gross winner",IF(COUNTIFS($A$5:$A$1668,$A1456,$D$5:$D$1668,"Net winner")=0,"Pick this week's net winner","OK")))))))</f>
        <v/>
      </c>
    </row>
    <row r="1457" outlineLevel="1">
      <c r="A1457" s="13" t="n">
        <v>46708</v>
      </c>
      <c r="E1457" s="11">
        <f>IF(OR($B1457="",NOT(ISNUMBER($C1457))),"",COUNTIFS($A$5:$A$1668,$A1457,$C$5:$C$1668,"&lt;"&amp;$C1457)+1)</f>
        <v/>
      </c>
      <c r="F1457" s="11">
        <f>IF(OR($B1457="",NOT(ISNUMBER($C1457))),"",COUNTIFS($A$5:$A$1668,$A1457,$C$5:$C$1668,"&gt;0"))</f>
        <v/>
      </c>
      <c r="G1457" s="11">
        <f>IF(OR($B1457="",NOT(ISNUMBER($C1457))),"",IF($D1457&lt;&gt;"",ROUND(Points!$B$6*IF($F1457&lt;Points!$H$4,Points!$H$5,1),0),ROUND(Points!$B$6*IF($F1457&lt;=1,1,Points!$H$7+(1-Points!$H$7)*((($F1457-$E1457)*(($F1457-$E1457)+1)/2)^2-((($F1457-$E1457-COUNTIFS($A$5:$A$1668,$A1457,$C$5:$C$1668,$C1457)+1)-1)*($F1457-$E1457-COUNTIFS($A$5:$A$1668,$A1457,$C$5:$C$1668,$C1457)+1)/2)^2)/(COUNTIFS($A$5:$A$1668,$A1457,$C$5:$C$1668,$C1457)*($F1457-1)^3))*IF($F1457&lt;Points!$H$4,Points!$H$5,1),0)))</f>
        <v/>
      </c>
      <c r="H1457" s="11">
        <f>IF($G1457="","",COUNTIFS($B$5:$B$1668,$B1457,$G$5:$G$1668,"&gt;"&amp;$G1457)+COUNTIFS($B$4:$B1456,$B1457,$G$4:$G1456,$G1457)+1)</f>
        <v/>
      </c>
      <c r="I1457" s="11">
        <f>IF($G1457="","",IF($H1457&lt;=Points!$H$6,$G1457,0))</f>
        <v/>
      </c>
      <c r="J1457" s="11">
        <f>IF($B1457="","",IF(COUNTIF(Players!$A$2:$A$500,$B1457)=0,"Player is not on the Players tab",IF(NOT(ISNUMBER($C1457)),"Enter a gross score",IF(COUNTIFS($A$5:$A$1668,$A1457,$B$5:$B$1668,$B1457)&gt;1,"Player is listed twice this week",IF(AND($D1457&lt;&gt;"",COUNTIFS($A$5:$A$1668,$A1457,$D$5:$D$1668,$D1457)&gt;1),"Two players picked as "&amp;$D1457,IF(COUNTIFS($A$5:$A$1668,$A1457,$D$5:$D$1668,"Gross winner")=0,"Pick this week's gross winner",IF(COUNTIFS($A$5:$A$1668,$A1457,$D$5:$D$1668,"Net winner")=0,"Pick this week's net winner","OK")))))))</f>
        <v/>
      </c>
    </row>
    <row r="1458" outlineLevel="1">
      <c r="A1458" s="13" t="n">
        <v>46708</v>
      </c>
      <c r="E1458" s="11">
        <f>IF(OR($B1458="",NOT(ISNUMBER($C1458))),"",COUNTIFS($A$5:$A$1668,$A1458,$C$5:$C$1668,"&lt;"&amp;$C1458)+1)</f>
        <v/>
      </c>
      <c r="F1458" s="11">
        <f>IF(OR($B1458="",NOT(ISNUMBER($C1458))),"",COUNTIFS($A$5:$A$1668,$A1458,$C$5:$C$1668,"&gt;0"))</f>
        <v/>
      </c>
      <c r="G1458" s="11">
        <f>IF(OR($B1458="",NOT(ISNUMBER($C1458))),"",IF($D1458&lt;&gt;"",ROUND(Points!$B$6*IF($F1458&lt;Points!$H$4,Points!$H$5,1),0),ROUND(Points!$B$6*IF($F1458&lt;=1,1,Points!$H$7+(1-Points!$H$7)*((($F1458-$E1458)*(($F1458-$E1458)+1)/2)^2-((($F1458-$E1458-COUNTIFS($A$5:$A$1668,$A1458,$C$5:$C$1668,$C1458)+1)-1)*($F1458-$E1458-COUNTIFS($A$5:$A$1668,$A1458,$C$5:$C$1668,$C1458)+1)/2)^2)/(COUNTIFS($A$5:$A$1668,$A1458,$C$5:$C$1668,$C1458)*($F1458-1)^3))*IF($F1458&lt;Points!$H$4,Points!$H$5,1),0)))</f>
        <v/>
      </c>
      <c r="H1458" s="11">
        <f>IF($G1458="","",COUNTIFS($B$5:$B$1668,$B1458,$G$5:$G$1668,"&gt;"&amp;$G1458)+COUNTIFS($B$4:$B1457,$B1458,$G$4:$G1457,$G1458)+1)</f>
        <v/>
      </c>
      <c r="I1458" s="11">
        <f>IF($G1458="","",IF($H1458&lt;=Points!$H$6,$G1458,0))</f>
        <v/>
      </c>
      <c r="J1458" s="11">
        <f>IF($B1458="","",IF(COUNTIF(Players!$A$2:$A$500,$B1458)=0,"Player is not on the Players tab",IF(NOT(ISNUMBER($C1458)),"Enter a gross score",IF(COUNTIFS($A$5:$A$1668,$A1458,$B$5:$B$1668,$B1458)&gt;1,"Player is listed twice this week",IF(AND($D1458&lt;&gt;"",COUNTIFS($A$5:$A$1668,$A1458,$D$5:$D$1668,$D1458)&gt;1),"Two players picked as "&amp;$D1458,IF(COUNTIFS($A$5:$A$1668,$A1458,$D$5:$D$1668,"Gross winner")=0,"Pick this week's gross winner",IF(COUNTIFS($A$5:$A$1668,$A1458,$D$5:$D$1668,"Net winner")=0,"Pick this week's net winner","OK")))))))</f>
        <v/>
      </c>
    </row>
    <row r="1459" outlineLevel="1">
      <c r="A1459" s="13" t="n">
        <v>46708</v>
      </c>
      <c r="E1459" s="11">
        <f>IF(OR($B1459="",NOT(ISNUMBER($C1459))),"",COUNTIFS($A$5:$A$1668,$A1459,$C$5:$C$1668,"&lt;"&amp;$C1459)+1)</f>
        <v/>
      </c>
      <c r="F1459" s="11">
        <f>IF(OR($B1459="",NOT(ISNUMBER($C1459))),"",COUNTIFS($A$5:$A$1668,$A1459,$C$5:$C$1668,"&gt;0"))</f>
        <v/>
      </c>
      <c r="G1459" s="11">
        <f>IF(OR($B1459="",NOT(ISNUMBER($C1459))),"",IF($D1459&lt;&gt;"",ROUND(Points!$B$6*IF($F1459&lt;Points!$H$4,Points!$H$5,1),0),ROUND(Points!$B$6*IF($F1459&lt;=1,1,Points!$H$7+(1-Points!$H$7)*((($F1459-$E1459)*(($F1459-$E1459)+1)/2)^2-((($F1459-$E1459-COUNTIFS($A$5:$A$1668,$A1459,$C$5:$C$1668,$C1459)+1)-1)*($F1459-$E1459-COUNTIFS($A$5:$A$1668,$A1459,$C$5:$C$1668,$C1459)+1)/2)^2)/(COUNTIFS($A$5:$A$1668,$A1459,$C$5:$C$1668,$C1459)*($F1459-1)^3))*IF($F1459&lt;Points!$H$4,Points!$H$5,1),0)))</f>
        <v/>
      </c>
      <c r="H1459" s="11">
        <f>IF($G1459="","",COUNTIFS($B$5:$B$1668,$B1459,$G$5:$G$1668,"&gt;"&amp;$G1459)+COUNTIFS($B$4:$B1458,$B1459,$G$4:$G1458,$G1459)+1)</f>
        <v/>
      </c>
      <c r="I1459" s="11">
        <f>IF($G1459="","",IF($H1459&lt;=Points!$H$6,$G1459,0))</f>
        <v/>
      </c>
      <c r="J1459" s="11">
        <f>IF($B1459="","",IF(COUNTIF(Players!$A$2:$A$500,$B1459)=0,"Player is not on the Players tab",IF(NOT(ISNUMBER($C1459)),"Enter a gross score",IF(COUNTIFS($A$5:$A$1668,$A1459,$B$5:$B$1668,$B1459)&gt;1,"Player is listed twice this week",IF(AND($D1459&lt;&gt;"",COUNTIFS($A$5:$A$1668,$A1459,$D$5:$D$1668,$D1459)&gt;1),"Two players picked as "&amp;$D1459,IF(COUNTIFS($A$5:$A$1668,$A1459,$D$5:$D$1668,"Gross winner")=0,"Pick this week's gross winner",IF(COUNTIFS($A$5:$A$1668,$A1459,$D$5:$D$1668,"Net winner")=0,"Pick this week's net winner","OK")))))))</f>
        <v/>
      </c>
    </row>
    <row r="1460" outlineLevel="1">
      <c r="A1460" s="13" t="n">
        <v>46708</v>
      </c>
      <c r="E1460" s="11">
        <f>IF(OR($B1460="",NOT(ISNUMBER($C1460))),"",COUNTIFS($A$5:$A$1668,$A1460,$C$5:$C$1668,"&lt;"&amp;$C1460)+1)</f>
        <v/>
      </c>
      <c r="F1460" s="11">
        <f>IF(OR($B1460="",NOT(ISNUMBER($C1460))),"",COUNTIFS($A$5:$A$1668,$A1460,$C$5:$C$1668,"&gt;0"))</f>
        <v/>
      </c>
      <c r="G1460" s="11">
        <f>IF(OR($B1460="",NOT(ISNUMBER($C1460))),"",IF($D1460&lt;&gt;"",ROUND(Points!$B$6*IF($F1460&lt;Points!$H$4,Points!$H$5,1),0),ROUND(Points!$B$6*IF($F1460&lt;=1,1,Points!$H$7+(1-Points!$H$7)*((($F1460-$E1460)*(($F1460-$E1460)+1)/2)^2-((($F1460-$E1460-COUNTIFS($A$5:$A$1668,$A1460,$C$5:$C$1668,$C1460)+1)-1)*($F1460-$E1460-COUNTIFS($A$5:$A$1668,$A1460,$C$5:$C$1668,$C1460)+1)/2)^2)/(COUNTIFS($A$5:$A$1668,$A1460,$C$5:$C$1668,$C1460)*($F1460-1)^3))*IF($F1460&lt;Points!$H$4,Points!$H$5,1),0)))</f>
        <v/>
      </c>
      <c r="H1460" s="11">
        <f>IF($G1460="","",COUNTIFS($B$5:$B$1668,$B1460,$G$5:$G$1668,"&gt;"&amp;$G1460)+COUNTIFS($B$4:$B1459,$B1460,$G$4:$G1459,$G1460)+1)</f>
        <v/>
      </c>
      <c r="I1460" s="11">
        <f>IF($G1460="","",IF($H1460&lt;=Points!$H$6,$G1460,0))</f>
        <v/>
      </c>
      <c r="J1460" s="11">
        <f>IF($B1460="","",IF(COUNTIF(Players!$A$2:$A$500,$B1460)=0,"Player is not on the Players tab",IF(NOT(ISNUMBER($C1460)),"Enter a gross score",IF(COUNTIFS($A$5:$A$1668,$A1460,$B$5:$B$1668,$B1460)&gt;1,"Player is listed twice this week",IF(AND($D1460&lt;&gt;"",COUNTIFS($A$5:$A$1668,$A1460,$D$5:$D$1668,$D1460)&gt;1),"Two players picked as "&amp;$D1460,IF(COUNTIFS($A$5:$A$1668,$A1460,$D$5:$D$1668,"Gross winner")=0,"Pick this week's gross winner",IF(COUNTIFS($A$5:$A$1668,$A1460,$D$5:$D$1668,"Net winner")=0,"Pick this week's net winner","OK")))))))</f>
        <v/>
      </c>
    </row>
    <row r="1461" outlineLevel="1">
      <c r="A1461" s="13" t="n">
        <v>46708</v>
      </c>
      <c r="E1461" s="11">
        <f>IF(OR($B1461="",NOT(ISNUMBER($C1461))),"",COUNTIFS($A$5:$A$1668,$A1461,$C$5:$C$1668,"&lt;"&amp;$C1461)+1)</f>
        <v/>
      </c>
      <c r="F1461" s="11">
        <f>IF(OR($B1461="",NOT(ISNUMBER($C1461))),"",COUNTIFS($A$5:$A$1668,$A1461,$C$5:$C$1668,"&gt;0"))</f>
        <v/>
      </c>
      <c r="G1461" s="11">
        <f>IF(OR($B1461="",NOT(ISNUMBER($C1461))),"",IF($D1461&lt;&gt;"",ROUND(Points!$B$6*IF($F1461&lt;Points!$H$4,Points!$H$5,1),0),ROUND(Points!$B$6*IF($F1461&lt;=1,1,Points!$H$7+(1-Points!$H$7)*((($F1461-$E1461)*(($F1461-$E1461)+1)/2)^2-((($F1461-$E1461-COUNTIFS($A$5:$A$1668,$A1461,$C$5:$C$1668,$C1461)+1)-1)*($F1461-$E1461-COUNTIFS($A$5:$A$1668,$A1461,$C$5:$C$1668,$C1461)+1)/2)^2)/(COUNTIFS($A$5:$A$1668,$A1461,$C$5:$C$1668,$C1461)*($F1461-1)^3))*IF($F1461&lt;Points!$H$4,Points!$H$5,1),0)))</f>
        <v/>
      </c>
      <c r="H1461" s="11">
        <f>IF($G1461="","",COUNTIFS($B$5:$B$1668,$B1461,$G$5:$G$1668,"&gt;"&amp;$G1461)+COUNTIFS($B$4:$B1460,$B1461,$G$4:$G1460,$G1461)+1)</f>
        <v/>
      </c>
      <c r="I1461" s="11">
        <f>IF($G1461="","",IF($H1461&lt;=Points!$H$6,$G1461,0))</f>
        <v/>
      </c>
      <c r="J1461" s="11">
        <f>IF($B1461="","",IF(COUNTIF(Players!$A$2:$A$500,$B1461)=0,"Player is not on the Players tab",IF(NOT(ISNUMBER($C1461)),"Enter a gross score",IF(COUNTIFS($A$5:$A$1668,$A1461,$B$5:$B$1668,$B1461)&gt;1,"Player is listed twice this week",IF(AND($D1461&lt;&gt;"",COUNTIFS($A$5:$A$1668,$A1461,$D$5:$D$1668,$D1461)&gt;1),"Two players picked as "&amp;$D1461,IF(COUNTIFS($A$5:$A$1668,$A1461,$D$5:$D$1668,"Gross winner")=0,"Pick this week's gross winner",IF(COUNTIFS($A$5:$A$1668,$A1461,$D$5:$D$1668,"Net winner")=0,"Pick this week's net winner","OK")))))))</f>
        <v/>
      </c>
    </row>
    <row r="1462" outlineLevel="1">
      <c r="A1462" s="13" t="n">
        <v>46708</v>
      </c>
      <c r="E1462" s="11">
        <f>IF(OR($B1462="",NOT(ISNUMBER($C1462))),"",COUNTIFS($A$5:$A$1668,$A1462,$C$5:$C$1668,"&lt;"&amp;$C1462)+1)</f>
        <v/>
      </c>
      <c r="F1462" s="11">
        <f>IF(OR($B1462="",NOT(ISNUMBER($C1462))),"",COUNTIFS($A$5:$A$1668,$A1462,$C$5:$C$1668,"&gt;0"))</f>
        <v/>
      </c>
      <c r="G1462" s="11">
        <f>IF(OR($B1462="",NOT(ISNUMBER($C1462))),"",IF($D1462&lt;&gt;"",ROUND(Points!$B$6*IF($F1462&lt;Points!$H$4,Points!$H$5,1),0),ROUND(Points!$B$6*IF($F1462&lt;=1,1,Points!$H$7+(1-Points!$H$7)*((($F1462-$E1462)*(($F1462-$E1462)+1)/2)^2-((($F1462-$E1462-COUNTIFS($A$5:$A$1668,$A1462,$C$5:$C$1668,$C1462)+1)-1)*($F1462-$E1462-COUNTIFS($A$5:$A$1668,$A1462,$C$5:$C$1668,$C1462)+1)/2)^2)/(COUNTIFS($A$5:$A$1668,$A1462,$C$5:$C$1668,$C1462)*($F1462-1)^3))*IF($F1462&lt;Points!$H$4,Points!$H$5,1),0)))</f>
        <v/>
      </c>
      <c r="H1462" s="11">
        <f>IF($G1462="","",COUNTIFS($B$5:$B$1668,$B1462,$G$5:$G$1668,"&gt;"&amp;$G1462)+COUNTIFS($B$4:$B1461,$B1462,$G$4:$G1461,$G1462)+1)</f>
        <v/>
      </c>
      <c r="I1462" s="11">
        <f>IF($G1462="","",IF($H1462&lt;=Points!$H$6,$G1462,0))</f>
        <v/>
      </c>
      <c r="J1462" s="11">
        <f>IF($B1462="","",IF(COUNTIF(Players!$A$2:$A$500,$B1462)=0,"Player is not on the Players tab",IF(NOT(ISNUMBER($C1462)),"Enter a gross score",IF(COUNTIFS($A$5:$A$1668,$A1462,$B$5:$B$1668,$B1462)&gt;1,"Player is listed twice this week",IF(AND($D1462&lt;&gt;"",COUNTIFS($A$5:$A$1668,$A1462,$D$5:$D$1668,$D1462)&gt;1),"Two players picked as "&amp;$D1462,IF(COUNTIFS($A$5:$A$1668,$A1462,$D$5:$D$1668,"Gross winner")=0,"Pick this week's gross winner",IF(COUNTIFS($A$5:$A$1668,$A1462,$D$5:$D$1668,"Net winner")=0,"Pick this week's net winner","OK")))))))</f>
        <v/>
      </c>
    </row>
    <row r="1463" outlineLevel="1">
      <c r="A1463" s="13" t="n">
        <v>46708</v>
      </c>
      <c r="E1463" s="11">
        <f>IF(OR($B1463="",NOT(ISNUMBER($C1463))),"",COUNTIFS($A$5:$A$1668,$A1463,$C$5:$C$1668,"&lt;"&amp;$C1463)+1)</f>
        <v/>
      </c>
      <c r="F1463" s="11">
        <f>IF(OR($B1463="",NOT(ISNUMBER($C1463))),"",COUNTIFS($A$5:$A$1668,$A1463,$C$5:$C$1668,"&gt;0"))</f>
        <v/>
      </c>
      <c r="G1463" s="11">
        <f>IF(OR($B1463="",NOT(ISNUMBER($C1463))),"",IF($D1463&lt;&gt;"",ROUND(Points!$B$6*IF($F1463&lt;Points!$H$4,Points!$H$5,1),0),ROUND(Points!$B$6*IF($F1463&lt;=1,1,Points!$H$7+(1-Points!$H$7)*((($F1463-$E1463)*(($F1463-$E1463)+1)/2)^2-((($F1463-$E1463-COUNTIFS($A$5:$A$1668,$A1463,$C$5:$C$1668,$C1463)+1)-1)*($F1463-$E1463-COUNTIFS($A$5:$A$1668,$A1463,$C$5:$C$1668,$C1463)+1)/2)^2)/(COUNTIFS($A$5:$A$1668,$A1463,$C$5:$C$1668,$C1463)*($F1463-1)^3))*IF($F1463&lt;Points!$H$4,Points!$H$5,1),0)))</f>
        <v/>
      </c>
      <c r="H1463" s="11">
        <f>IF($G1463="","",COUNTIFS($B$5:$B$1668,$B1463,$G$5:$G$1668,"&gt;"&amp;$G1463)+COUNTIFS($B$4:$B1462,$B1463,$G$4:$G1462,$G1463)+1)</f>
        <v/>
      </c>
      <c r="I1463" s="11">
        <f>IF($G1463="","",IF($H1463&lt;=Points!$H$6,$G1463,0))</f>
        <v/>
      </c>
      <c r="J1463" s="11">
        <f>IF($B1463="","",IF(COUNTIF(Players!$A$2:$A$500,$B1463)=0,"Player is not on the Players tab",IF(NOT(ISNUMBER($C1463)),"Enter a gross score",IF(COUNTIFS($A$5:$A$1668,$A1463,$B$5:$B$1668,$B1463)&gt;1,"Player is listed twice this week",IF(AND($D1463&lt;&gt;"",COUNTIFS($A$5:$A$1668,$A1463,$D$5:$D$1668,$D1463)&gt;1),"Two players picked as "&amp;$D1463,IF(COUNTIFS($A$5:$A$1668,$A1463,$D$5:$D$1668,"Gross winner")=0,"Pick this week's gross winner",IF(COUNTIFS($A$5:$A$1668,$A1463,$D$5:$D$1668,"Net winner")=0,"Pick this week's net winner","OK")))))))</f>
        <v/>
      </c>
    </row>
    <row r="1464" outlineLevel="1">
      <c r="A1464" s="13" t="n">
        <v>46708</v>
      </c>
      <c r="E1464" s="11">
        <f>IF(OR($B1464="",NOT(ISNUMBER($C1464))),"",COUNTIFS($A$5:$A$1668,$A1464,$C$5:$C$1668,"&lt;"&amp;$C1464)+1)</f>
        <v/>
      </c>
      <c r="F1464" s="11">
        <f>IF(OR($B1464="",NOT(ISNUMBER($C1464))),"",COUNTIFS($A$5:$A$1668,$A1464,$C$5:$C$1668,"&gt;0"))</f>
        <v/>
      </c>
      <c r="G1464" s="11">
        <f>IF(OR($B1464="",NOT(ISNUMBER($C1464))),"",IF($D1464&lt;&gt;"",ROUND(Points!$B$6*IF($F1464&lt;Points!$H$4,Points!$H$5,1),0),ROUND(Points!$B$6*IF($F1464&lt;=1,1,Points!$H$7+(1-Points!$H$7)*((($F1464-$E1464)*(($F1464-$E1464)+1)/2)^2-((($F1464-$E1464-COUNTIFS($A$5:$A$1668,$A1464,$C$5:$C$1668,$C1464)+1)-1)*($F1464-$E1464-COUNTIFS($A$5:$A$1668,$A1464,$C$5:$C$1668,$C1464)+1)/2)^2)/(COUNTIFS($A$5:$A$1668,$A1464,$C$5:$C$1668,$C1464)*($F1464-1)^3))*IF($F1464&lt;Points!$H$4,Points!$H$5,1),0)))</f>
        <v/>
      </c>
      <c r="H1464" s="11">
        <f>IF($G1464="","",COUNTIFS($B$5:$B$1668,$B1464,$G$5:$G$1668,"&gt;"&amp;$G1464)+COUNTIFS($B$4:$B1463,$B1464,$G$4:$G1463,$G1464)+1)</f>
        <v/>
      </c>
      <c r="I1464" s="11">
        <f>IF($G1464="","",IF($H1464&lt;=Points!$H$6,$G1464,0))</f>
        <v/>
      </c>
      <c r="J1464" s="11">
        <f>IF($B1464="","",IF(COUNTIF(Players!$A$2:$A$500,$B1464)=0,"Player is not on the Players tab",IF(NOT(ISNUMBER($C1464)),"Enter a gross score",IF(COUNTIFS($A$5:$A$1668,$A1464,$B$5:$B$1668,$B1464)&gt;1,"Player is listed twice this week",IF(AND($D1464&lt;&gt;"",COUNTIFS($A$5:$A$1668,$A1464,$D$5:$D$1668,$D1464)&gt;1),"Two players picked as "&amp;$D1464,IF(COUNTIFS($A$5:$A$1668,$A1464,$D$5:$D$1668,"Gross winner")=0,"Pick this week's gross winner",IF(COUNTIFS($A$5:$A$1668,$A1464,$D$5:$D$1668,"Net winner")=0,"Pick this week's net winner","OK")))))))</f>
        <v/>
      </c>
    </row>
    <row r="1465" outlineLevel="1">
      <c r="A1465" s="13" t="n">
        <v>46708</v>
      </c>
      <c r="E1465" s="11">
        <f>IF(OR($B1465="",NOT(ISNUMBER($C1465))),"",COUNTIFS($A$5:$A$1668,$A1465,$C$5:$C$1668,"&lt;"&amp;$C1465)+1)</f>
        <v/>
      </c>
      <c r="F1465" s="11">
        <f>IF(OR($B1465="",NOT(ISNUMBER($C1465))),"",COUNTIFS($A$5:$A$1668,$A1465,$C$5:$C$1668,"&gt;0"))</f>
        <v/>
      </c>
      <c r="G1465" s="11">
        <f>IF(OR($B1465="",NOT(ISNUMBER($C1465))),"",IF($D1465&lt;&gt;"",ROUND(Points!$B$6*IF($F1465&lt;Points!$H$4,Points!$H$5,1),0),ROUND(Points!$B$6*IF($F1465&lt;=1,1,Points!$H$7+(1-Points!$H$7)*((($F1465-$E1465)*(($F1465-$E1465)+1)/2)^2-((($F1465-$E1465-COUNTIFS($A$5:$A$1668,$A1465,$C$5:$C$1668,$C1465)+1)-1)*($F1465-$E1465-COUNTIFS($A$5:$A$1668,$A1465,$C$5:$C$1668,$C1465)+1)/2)^2)/(COUNTIFS($A$5:$A$1668,$A1465,$C$5:$C$1668,$C1465)*($F1465-1)^3))*IF($F1465&lt;Points!$H$4,Points!$H$5,1),0)))</f>
        <v/>
      </c>
      <c r="H1465" s="11">
        <f>IF($G1465="","",COUNTIFS($B$5:$B$1668,$B1465,$G$5:$G$1668,"&gt;"&amp;$G1465)+COUNTIFS($B$4:$B1464,$B1465,$G$4:$G1464,$G1465)+1)</f>
        <v/>
      </c>
      <c r="I1465" s="11">
        <f>IF($G1465="","",IF($H1465&lt;=Points!$H$6,$G1465,0))</f>
        <v/>
      </c>
      <c r="J1465" s="11">
        <f>IF($B1465="","",IF(COUNTIF(Players!$A$2:$A$500,$B1465)=0,"Player is not on the Players tab",IF(NOT(ISNUMBER($C1465)),"Enter a gross score",IF(COUNTIFS($A$5:$A$1668,$A1465,$B$5:$B$1668,$B1465)&gt;1,"Player is listed twice this week",IF(AND($D1465&lt;&gt;"",COUNTIFS($A$5:$A$1668,$A1465,$D$5:$D$1668,$D1465)&gt;1),"Two players picked as "&amp;$D1465,IF(COUNTIFS($A$5:$A$1668,$A1465,$D$5:$D$1668,"Gross winner")=0,"Pick this week's gross winner",IF(COUNTIFS($A$5:$A$1668,$A1465,$D$5:$D$1668,"Net winner")=0,"Pick this week's net winner","OK")))))))</f>
        <v/>
      </c>
    </row>
    <row r="1466" outlineLevel="1">
      <c r="A1466" s="13" t="n">
        <v>46708</v>
      </c>
      <c r="E1466" s="11">
        <f>IF(OR($B1466="",NOT(ISNUMBER($C1466))),"",COUNTIFS($A$5:$A$1668,$A1466,$C$5:$C$1668,"&lt;"&amp;$C1466)+1)</f>
        <v/>
      </c>
      <c r="F1466" s="11">
        <f>IF(OR($B1466="",NOT(ISNUMBER($C1466))),"",COUNTIFS($A$5:$A$1668,$A1466,$C$5:$C$1668,"&gt;0"))</f>
        <v/>
      </c>
      <c r="G1466" s="11">
        <f>IF(OR($B1466="",NOT(ISNUMBER($C1466))),"",IF($D1466&lt;&gt;"",ROUND(Points!$B$6*IF($F1466&lt;Points!$H$4,Points!$H$5,1),0),ROUND(Points!$B$6*IF($F1466&lt;=1,1,Points!$H$7+(1-Points!$H$7)*((($F1466-$E1466)*(($F1466-$E1466)+1)/2)^2-((($F1466-$E1466-COUNTIFS($A$5:$A$1668,$A1466,$C$5:$C$1668,$C1466)+1)-1)*($F1466-$E1466-COUNTIFS($A$5:$A$1668,$A1466,$C$5:$C$1668,$C1466)+1)/2)^2)/(COUNTIFS($A$5:$A$1668,$A1466,$C$5:$C$1668,$C1466)*($F1466-1)^3))*IF($F1466&lt;Points!$H$4,Points!$H$5,1),0)))</f>
        <v/>
      </c>
      <c r="H1466" s="11">
        <f>IF($G1466="","",COUNTIFS($B$5:$B$1668,$B1466,$G$5:$G$1668,"&gt;"&amp;$G1466)+COUNTIFS($B$4:$B1465,$B1466,$G$4:$G1465,$G1466)+1)</f>
        <v/>
      </c>
      <c r="I1466" s="11">
        <f>IF($G1466="","",IF($H1466&lt;=Points!$H$6,$G1466,0))</f>
        <v/>
      </c>
      <c r="J1466" s="11">
        <f>IF($B1466="","",IF(COUNTIF(Players!$A$2:$A$500,$B1466)=0,"Player is not on the Players tab",IF(NOT(ISNUMBER($C1466)),"Enter a gross score",IF(COUNTIFS($A$5:$A$1668,$A1466,$B$5:$B$1668,$B1466)&gt;1,"Player is listed twice this week",IF(AND($D1466&lt;&gt;"",COUNTIFS($A$5:$A$1668,$A1466,$D$5:$D$1668,$D1466)&gt;1),"Two players picked as "&amp;$D1466,IF(COUNTIFS($A$5:$A$1668,$A1466,$D$5:$D$1668,"Gross winner")=0,"Pick this week's gross winner",IF(COUNTIFS($A$5:$A$1668,$A1466,$D$5:$D$1668,"Net winner")=0,"Pick this week's net winner","OK")))))))</f>
        <v/>
      </c>
    </row>
    <row r="1467" outlineLevel="1">
      <c r="A1467" s="13" t="n">
        <v>46708</v>
      </c>
      <c r="E1467" s="11">
        <f>IF(OR($B1467="",NOT(ISNUMBER($C1467))),"",COUNTIFS($A$5:$A$1668,$A1467,$C$5:$C$1668,"&lt;"&amp;$C1467)+1)</f>
        <v/>
      </c>
      <c r="F1467" s="11">
        <f>IF(OR($B1467="",NOT(ISNUMBER($C1467))),"",COUNTIFS($A$5:$A$1668,$A1467,$C$5:$C$1668,"&gt;0"))</f>
        <v/>
      </c>
      <c r="G1467" s="11">
        <f>IF(OR($B1467="",NOT(ISNUMBER($C1467))),"",IF($D1467&lt;&gt;"",ROUND(Points!$B$6*IF($F1467&lt;Points!$H$4,Points!$H$5,1),0),ROUND(Points!$B$6*IF($F1467&lt;=1,1,Points!$H$7+(1-Points!$H$7)*((($F1467-$E1467)*(($F1467-$E1467)+1)/2)^2-((($F1467-$E1467-COUNTIFS($A$5:$A$1668,$A1467,$C$5:$C$1668,$C1467)+1)-1)*($F1467-$E1467-COUNTIFS($A$5:$A$1668,$A1467,$C$5:$C$1668,$C1467)+1)/2)^2)/(COUNTIFS($A$5:$A$1668,$A1467,$C$5:$C$1668,$C1467)*($F1467-1)^3))*IF($F1467&lt;Points!$H$4,Points!$H$5,1),0)))</f>
        <v/>
      </c>
      <c r="H1467" s="11">
        <f>IF($G1467="","",COUNTIFS($B$5:$B$1668,$B1467,$G$5:$G$1668,"&gt;"&amp;$G1467)+COUNTIFS($B$4:$B1466,$B1467,$G$4:$G1466,$G1467)+1)</f>
        <v/>
      </c>
      <c r="I1467" s="11">
        <f>IF($G1467="","",IF($H1467&lt;=Points!$H$6,$G1467,0))</f>
        <v/>
      </c>
      <c r="J1467" s="11">
        <f>IF($B1467="","",IF(COUNTIF(Players!$A$2:$A$500,$B1467)=0,"Player is not on the Players tab",IF(NOT(ISNUMBER($C1467)),"Enter a gross score",IF(COUNTIFS($A$5:$A$1668,$A1467,$B$5:$B$1668,$B1467)&gt;1,"Player is listed twice this week",IF(AND($D1467&lt;&gt;"",COUNTIFS($A$5:$A$1668,$A1467,$D$5:$D$1668,$D1467)&gt;1),"Two players picked as "&amp;$D1467,IF(COUNTIFS($A$5:$A$1668,$A1467,$D$5:$D$1668,"Gross winner")=0,"Pick this week's gross winner",IF(COUNTIFS($A$5:$A$1668,$A1467,$D$5:$D$1668,"Net winner")=0,"Pick this week's net winner","OK")))))))</f>
        <v/>
      </c>
    </row>
    <row r="1468" outlineLevel="1">
      <c r="A1468" s="13" t="n">
        <v>46708</v>
      </c>
      <c r="E1468" s="11">
        <f>IF(OR($B1468="",NOT(ISNUMBER($C1468))),"",COUNTIFS($A$5:$A$1668,$A1468,$C$5:$C$1668,"&lt;"&amp;$C1468)+1)</f>
        <v/>
      </c>
      <c r="F1468" s="11">
        <f>IF(OR($B1468="",NOT(ISNUMBER($C1468))),"",COUNTIFS($A$5:$A$1668,$A1468,$C$5:$C$1668,"&gt;0"))</f>
        <v/>
      </c>
      <c r="G1468" s="11">
        <f>IF(OR($B1468="",NOT(ISNUMBER($C1468))),"",IF($D1468&lt;&gt;"",ROUND(Points!$B$6*IF($F1468&lt;Points!$H$4,Points!$H$5,1),0),ROUND(Points!$B$6*IF($F1468&lt;=1,1,Points!$H$7+(1-Points!$H$7)*((($F1468-$E1468)*(($F1468-$E1468)+1)/2)^2-((($F1468-$E1468-COUNTIFS($A$5:$A$1668,$A1468,$C$5:$C$1668,$C1468)+1)-1)*($F1468-$E1468-COUNTIFS($A$5:$A$1668,$A1468,$C$5:$C$1668,$C1468)+1)/2)^2)/(COUNTIFS($A$5:$A$1668,$A1468,$C$5:$C$1668,$C1468)*($F1468-1)^3))*IF($F1468&lt;Points!$H$4,Points!$H$5,1),0)))</f>
        <v/>
      </c>
      <c r="H1468" s="11">
        <f>IF($G1468="","",COUNTIFS($B$5:$B$1668,$B1468,$G$5:$G$1668,"&gt;"&amp;$G1468)+COUNTIFS($B$4:$B1467,$B1468,$G$4:$G1467,$G1468)+1)</f>
        <v/>
      </c>
      <c r="I1468" s="11">
        <f>IF($G1468="","",IF($H1468&lt;=Points!$H$6,$G1468,0))</f>
        <v/>
      </c>
      <c r="J1468" s="11">
        <f>IF($B1468="","",IF(COUNTIF(Players!$A$2:$A$500,$B1468)=0,"Player is not on the Players tab",IF(NOT(ISNUMBER($C1468)),"Enter a gross score",IF(COUNTIFS($A$5:$A$1668,$A1468,$B$5:$B$1668,$B1468)&gt;1,"Player is listed twice this week",IF(AND($D1468&lt;&gt;"",COUNTIFS($A$5:$A$1668,$A1468,$D$5:$D$1668,$D1468)&gt;1),"Two players picked as "&amp;$D1468,IF(COUNTIFS($A$5:$A$1668,$A1468,$D$5:$D$1668,"Gross winner")=0,"Pick this week's gross winner",IF(COUNTIFS($A$5:$A$1668,$A1468,$D$5:$D$1668,"Net winner")=0,"Pick this week's net winner","OK")))))))</f>
        <v/>
      </c>
    </row>
    <row r="1469" outlineLevel="1">
      <c r="A1469" s="13" t="n">
        <v>46708</v>
      </c>
      <c r="E1469" s="11">
        <f>IF(OR($B1469="",NOT(ISNUMBER($C1469))),"",COUNTIFS($A$5:$A$1668,$A1469,$C$5:$C$1668,"&lt;"&amp;$C1469)+1)</f>
        <v/>
      </c>
      <c r="F1469" s="11">
        <f>IF(OR($B1469="",NOT(ISNUMBER($C1469))),"",COUNTIFS($A$5:$A$1668,$A1469,$C$5:$C$1668,"&gt;0"))</f>
        <v/>
      </c>
      <c r="G1469" s="11">
        <f>IF(OR($B1469="",NOT(ISNUMBER($C1469))),"",IF($D1469&lt;&gt;"",ROUND(Points!$B$6*IF($F1469&lt;Points!$H$4,Points!$H$5,1),0),ROUND(Points!$B$6*IF($F1469&lt;=1,1,Points!$H$7+(1-Points!$H$7)*((($F1469-$E1469)*(($F1469-$E1469)+1)/2)^2-((($F1469-$E1469-COUNTIFS($A$5:$A$1668,$A1469,$C$5:$C$1668,$C1469)+1)-1)*($F1469-$E1469-COUNTIFS($A$5:$A$1668,$A1469,$C$5:$C$1668,$C1469)+1)/2)^2)/(COUNTIFS($A$5:$A$1668,$A1469,$C$5:$C$1668,$C1469)*($F1469-1)^3))*IF($F1469&lt;Points!$H$4,Points!$H$5,1),0)))</f>
        <v/>
      </c>
      <c r="H1469" s="11">
        <f>IF($G1469="","",COUNTIFS($B$5:$B$1668,$B1469,$G$5:$G$1668,"&gt;"&amp;$G1469)+COUNTIFS($B$4:$B1468,$B1469,$G$4:$G1468,$G1469)+1)</f>
        <v/>
      </c>
      <c r="I1469" s="11">
        <f>IF($G1469="","",IF($H1469&lt;=Points!$H$6,$G1469,0))</f>
        <v/>
      </c>
      <c r="J1469" s="11">
        <f>IF($B1469="","",IF(COUNTIF(Players!$A$2:$A$500,$B1469)=0,"Player is not on the Players tab",IF(NOT(ISNUMBER($C1469)),"Enter a gross score",IF(COUNTIFS($A$5:$A$1668,$A1469,$B$5:$B$1668,$B1469)&gt;1,"Player is listed twice this week",IF(AND($D1469&lt;&gt;"",COUNTIFS($A$5:$A$1668,$A1469,$D$5:$D$1668,$D1469)&gt;1),"Two players picked as "&amp;$D1469,IF(COUNTIFS($A$5:$A$1668,$A1469,$D$5:$D$1668,"Gross winner")=0,"Pick this week's gross winner",IF(COUNTIFS($A$5:$A$1668,$A1469,$D$5:$D$1668,"Net winner")=0,"Pick this week's net winner","OK")))))))</f>
        <v/>
      </c>
    </row>
    <row r="1470" outlineLevel="1">
      <c r="A1470" s="13" t="n">
        <v>46708</v>
      </c>
      <c r="E1470" s="11">
        <f>IF(OR($B1470="",NOT(ISNUMBER($C1470))),"",COUNTIFS($A$5:$A$1668,$A1470,$C$5:$C$1668,"&lt;"&amp;$C1470)+1)</f>
        <v/>
      </c>
      <c r="F1470" s="11">
        <f>IF(OR($B1470="",NOT(ISNUMBER($C1470))),"",COUNTIFS($A$5:$A$1668,$A1470,$C$5:$C$1668,"&gt;0"))</f>
        <v/>
      </c>
      <c r="G1470" s="11">
        <f>IF(OR($B1470="",NOT(ISNUMBER($C1470))),"",IF($D1470&lt;&gt;"",ROUND(Points!$B$6*IF($F1470&lt;Points!$H$4,Points!$H$5,1),0),ROUND(Points!$B$6*IF($F1470&lt;=1,1,Points!$H$7+(1-Points!$H$7)*((($F1470-$E1470)*(($F1470-$E1470)+1)/2)^2-((($F1470-$E1470-COUNTIFS($A$5:$A$1668,$A1470,$C$5:$C$1668,$C1470)+1)-1)*($F1470-$E1470-COUNTIFS($A$5:$A$1668,$A1470,$C$5:$C$1668,$C1470)+1)/2)^2)/(COUNTIFS($A$5:$A$1668,$A1470,$C$5:$C$1668,$C1470)*($F1470-1)^3))*IF($F1470&lt;Points!$H$4,Points!$H$5,1),0)))</f>
        <v/>
      </c>
      <c r="H1470" s="11">
        <f>IF($G1470="","",COUNTIFS($B$5:$B$1668,$B1470,$G$5:$G$1668,"&gt;"&amp;$G1470)+COUNTIFS($B$4:$B1469,$B1470,$G$4:$G1469,$G1470)+1)</f>
        <v/>
      </c>
      <c r="I1470" s="11">
        <f>IF($G1470="","",IF($H1470&lt;=Points!$H$6,$G1470,0))</f>
        <v/>
      </c>
      <c r="J1470" s="11">
        <f>IF($B1470="","",IF(COUNTIF(Players!$A$2:$A$500,$B1470)=0,"Player is not on the Players tab",IF(NOT(ISNUMBER($C1470)),"Enter a gross score",IF(COUNTIFS($A$5:$A$1668,$A1470,$B$5:$B$1668,$B1470)&gt;1,"Player is listed twice this week",IF(AND($D1470&lt;&gt;"",COUNTIFS($A$5:$A$1668,$A1470,$D$5:$D$1668,$D1470)&gt;1),"Two players picked as "&amp;$D1470,IF(COUNTIFS($A$5:$A$1668,$A1470,$D$5:$D$1668,"Gross winner")=0,"Pick this week's gross winner",IF(COUNTIFS($A$5:$A$1668,$A1470,$D$5:$D$1668,"Net winner")=0,"Pick this week's net winner","OK")))))))</f>
        <v/>
      </c>
    </row>
    <row r="1471" outlineLevel="1">
      <c r="A1471" s="13" t="n">
        <v>46708</v>
      </c>
      <c r="E1471" s="11">
        <f>IF(OR($B1471="",NOT(ISNUMBER($C1471))),"",COUNTIFS($A$5:$A$1668,$A1471,$C$5:$C$1668,"&lt;"&amp;$C1471)+1)</f>
        <v/>
      </c>
      <c r="F1471" s="11">
        <f>IF(OR($B1471="",NOT(ISNUMBER($C1471))),"",COUNTIFS($A$5:$A$1668,$A1471,$C$5:$C$1668,"&gt;0"))</f>
        <v/>
      </c>
      <c r="G1471" s="11">
        <f>IF(OR($B1471="",NOT(ISNUMBER($C1471))),"",IF($D1471&lt;&gt;"",ROUND(Points!$B$6*IF($F1471&lt;Points!$H$4,Points!$H$5,1),0),ROUND(Points!$B$6*IF($F1471&lt;=1,1,Points!$H$7+(1-Points!$H$7)*((($F1471-$E1471)*(($F1471-$E1471)+1)/2)^2-((($F1471-$E1471-COUNTIFS($A$5:$A$1668,$A1471,$C$5:$C$1668,$C1471)+1)-1)*($F1471-$E1471-COUNTIFS($A$5:$A$1668,$A1471,$C$5:$C$1668,$C1471)+1)/2)^2)/(COUNTIFS($A$5:$A$1668,$A1471,$C$5:$C$1668,$C1471)*($F1471-1)^3))*IF($F1471&lt;Points!$H$4,Points!$H$5,1),0)))</f>
        <v/>
      </c>
      <c r="H1471" s="11">
        <f>IF($G1471="","",COUNTIFS($B$5:$B$1668,$B1471,$G$5:$G$1668,"&gt;"&amp;$G1471)+COUNTIFS($B$4:$B1470,$B1471,$G$4:$G1470,$G1471)+1)</f>
        <v/>
      </c>
      <c r="I1471" s="11">
        <f>IF($G1471="","",IF($H1471&lt;=Points!$H$6,$G1471,0))</f>
        <v/>
      </c>
      <c r="J1471" s="11">
        <f>IF($B1471="","",IF(COUNTIF(Players!$A$2:$A$500,$B1471)=0,"Player is not on the Players tab",IF(NOT(ISNUMBER($C1471)),"Enter a gross score",IF(COUNTIFS($A$5:$A$1668,$A1471,$B$5:$B$1668,$B1471)&gt;1,"Player is listed twice this week",IF(AND($D1471&lt;&gt;"",COUNTIFS($A$5:$A$1668,$A1471,$D$5:$D$1668,$D1471)&gt;1),"Two players picked as "&amp;$D1471,IF(COUNTIFS($A$5:$A$1668,$A1471,$D$5:$D$1668,"Gross winner")=0,"Pick this week's gross winner",IF(COUNTIFS($A$5:$A$1668,$A1471,$D$5:$D$1668,"Net winner")=0,"Pick this week's net winner","OK")))))))</f>
        <v/>
      </c>
    </row>
    <row r="1472" outlineLevel="1">
      <c r="A1472" s="13" t="n">
        <v>46708</v>
      </c>
      <c r="E1472" s="11">
        <f>IF(OR($B1472="",NOT(ISNUMBER($C1472))),"",COUNTIFS($A$5:$A$1668,$A1472,$C$5:$C$1668,"&lt;"&amp;$C1472)+1)</f>
        <v/>
      </c>
      <c r="F1472" s="11">
        <f>IF(OR($B1472="",NOT(ISNUMBER($C1472))),"",COUNTIFS($A$5:$A$1668,$A1472,$C$5:$C$1668,"&gt;0"))</f>
        <v/>
      </c>
      <c r="G1472" s="11">
        <f>IF(OR($B1472="",NOT(ISNUMBER($C1472))),"",IF($D1472&lt;&gt;"",ROUND(Points!$B$6*IF($F1472&lt;Points!$H$4,Points!$H$5,1),0),ROUND(Points!$B$6*IF($F1472&lt;=1,1,Points!$H$7+(1-Points!$H$7)*((($F1472-$E1472)*(($F1472-$E1472)+1)/2)^2-((($F1472-$E1472-COUNTIFS($A$5:$A$1668,$A1472,$C$5:$C$1668,$C1472)+1)-1)*($F1472-$E1472-COUNTIFS($A$5:$A$1668,$A1472,$C$5:$C$1668,$C1472)+1)/2)^2)/(COUNTIFS($A$5:$A$1668,$A1472,$C$5:$C$1668,$C1472)*($F1472-1)^3))*IF($F1472&lt;Points!$H$4,Points!$H$5,1),0)))</f>
        <v/>
      </c>
      <c r="H1472" s="11">
        <f>IF($G1472="","",COUNTIFS($B$5:$B$1668,$B1472,$G$5:$G$1668,"&gt;"&amp;$G1472)+COUNTIFS($B$4:$B1471,$B1472,$G$4:$G1471,$G1472)+1)</f>
        <v/>
      </c>
      <c r="I1472" s="11">
        <f>IF($G1472="","",IF($H1472&lt;=Points!$H$6,$G1472,0))</f>
        <v/>
      </c>
      <c r="J1472" s="11">
        <f>IF($B1472="","",IF(COUNTIF(Players!$A$2:$A$500,$B1472)=0,"Player is not on the Players tab",IF(NOT(ISNUMBER($C1472)),"Enter a gross score",IF(COUNTIFS($A$5:$A$1668,$A1472,$B$5:$B$1668,$B1472)&gt;1,"Player is listed twice this week",IF(AND($D1472&lt;&gt;"",COUNTIFS($A$5:$A$1668,$A1472,$D$5:$D$1668,$D1472)&gt;1),"Two players picked as "&amp;$D1472,IF(COUNTIFS($A$5:$A$1668,$A1472,$D$5:$D$1668,"Gross winner")=0,"Pick this week's gross winner",IF(COUNTIFS($A$5:$A$1668,$A1472,$D$5:$D$1668,"Net winner")=0,"Pick this week's net winner","OK")))))))</f>
        <v/>
      </c>
    </row>
    <row r="1473" outlineLevel="1">
      <c r="A1473" s="13" t="n">
        <v>46708</v>
      </c>
      <c r="E1473" s="11">
        <f>IF(OR($B1473="",NOT(ISNUMBER($C1473))),"",COUNTIFS($A$5:$A$1668,$A1473,$C$5:$C$1668,"&lt;"&amp;$C1473)+1)</f>
        <v/>
      </c>
      <c r="F1473" s="11">
        <f>IF(OR($B1473="",NOT(ISNUMBER($C1473))),"",COUNTIFS($A$5:$A$1668,$A1473,$C$5:$C$1668,"&gt;0"))</f>
        <v/>
      </c>
      <c r="G1473" s="11">
        <f>IF(OR($B1473="",NOT(ISNUMBER($C1473))),"",IF($D1473&lt;&gt;"",ROUND(Points!$B$6*IF($F1473&lt;Points!$H$4,Points!$H$5,1),0),ROUND(Points!$B$6*IF($F1473&lt;=1,1,Points!$H$7+(1-Points!$H$7)*((($F1473-$E1473)*(($F1473-$E1473)+1)/2)^2-((($F1473-$E1473-COUNTIFS($A$5:$A$1668,$A1473,$C$5:$C$1668,$C1473)+1)-1)*($F1473-$E1473-COUNTIFS($A$5:$A$1668,$A1473,$C$5:$C$1668,$C1473)+1)/2)^2)/(COUNTIFS($A$5:$A$1668,$A1473,$C$5:$C$1668,$C1473)*($F1473-1)^3))*IF($F1473&lt;Points!$H$4,Points!$H$5,1),0)))</f>
        <v/>
      </c>
      <c r="H1473" s="11">
        <f>IF($G1473="","",COUNTIFS($B$5:$B$1668,$B1473,$G$5:$G$1668,"&gt;"&amp;$G1473)+COUNTIFS($B$4:$B1472,$B1473,$G$4:$G1472,$G1473)+1)</f>
        <v/>
      </c>
      <c r="I1473" s="11">
        <f>IF($G1473="","",IF($H1473&lt;=Points!$H$6,$G1473,0))</f>
        <v/>
      </c>
      <c r="J1473" s="11">
        <f>IF($B1473="","",IF(COUNTIF(Players!$A$2:$A$500,$B1473)=0,"Player is not on the Players tab",IF(NOT(ISNUMBER($C1473)),"Enter a gross score",IF(COUNTIFS($A$5:$A$1668,$A1473,$B$5:$B$1668,$B1473)&gt;1,"Player is listed twice this week",IF(AND($D1473&lt;&gt;"",COUNTIFS($A$5:$A$1668,$A1473,$D$5:$D$1668,$D1473)&gt;1),"Two players picked as "&amp;$D1473,IF(COUNTIFS($A$5:$A$1668,$A1473,$D$5:$D$1668,"Gross winner")=0,"Pick this week's gross winner",IF(COUNTIFS($A$5:$A$1668,$A1473,$D$5:$D$1668,"Net winner")=0,"Pick this week's net winner","OK")))))))</f>
        <v/>
      </c>
    </row>
    <row r="1474" outlineLevel="1">
      <c r="A1474" s="13" t="n">
        <v>46708</v>
      </c>
      <c r="E1474" s="11">
        <f>IF(OR($B1474="",NOT(ISNUMBER($C1474))),"",COUNTIFS($A$5:$A$1668,$A1474,$C$5:$C$1668,"&lt;"&amp;$C1474)+1)</f>
        <v/>
      </c>
      <c r="F1474" s="11">
        <f>IF(OR($B1474="",NOT(ISNUMBER($C1474))),"",COUNTIFS($A$5:$A$1668,$A1474,$C$5:$C$1668,"&gt;0"))</f>
        <v/>
      </c>
      <c r="G1474" s="11">
        <f>IF(OR($B1474="",NOT(ISNUMBER($C1474))),"",IF($D1474&lt;&gt;"",ROUND(Points!$B$6*IF($F1474&lt;Points!$H$4,Points!$H$5,1),0),ROUND(Points!$B$6*IF($F1474&lt;=1,1,Points!$H$7+(1-Points!$H$7)*((($F1474-$E1474)*(($F1474-$E1474)+1)/2)^2-((($F1474-$E1474-COUNTIFS($A$5:$A$1668,$A1474,$C$5:$C$1668,$C1474)+1)-1)*($F1474-$E1474-COUNTIFS($A$5:$A$1668,$A1474,$C$5:$C$1668,$C1474)+1)/2)^2)/(COUNTIFS($A$5:$A$1668,$A1474,$C$5:$C$1668,$C1474)*($F1474-1)^3))*IF($F1474&lt;Points!$H$4,Points!$H$5,1),0)))</f>
        <v/>
      </c>
      <c r="H1474" s="11">
        <f>IF($G1474="","",COUNTIFS($B$5:$B$1668,$B1474,$G$5:$G$1668,"&gt;"&amp;$G1474)+COUNTIFS($B$4:$B1473,$B1474,$G$4:$G1473,$G1474)+1)</f>
        <v/>
      </c>
      <c r="I1474" s="11">
        <f>IF($G1474="","",IF($H1474&lt;=Points!$H$6,$G1474,0))</f>
        <v/>
      </c>
      <c r="J1474" s="11">
        <f>IF($B1474="","",IF(COUNTIF(Players!$A$2:$A$500,$B1474)=0,"Player is not on the Players tab",IF(NOT(ISNUMBER($C1474)),"Enter a gross score",IF(COUNTIFS($A$5:$A$1668,$A1474,$B$5:$B$1668,$B1474)&gt;1,"Player is listed twice this week",IF(AND($D1474&lt;&gt;"",COUNTIFS($A$5:$A$1668,$A1474,$D$5:$D$1668,$D1474)&gt;1),"Two players picked as "&amp;$D1474,IF(COUNTIFS($A$5:$A$1668,$A1474,$D$5:$D$1668,"Gross winner")=0,"Pick this week's gross winner",IF(COUNTIFS($A$5:$A$1668,$A1474,$D$5:$D$1668,"Net winner")=0,"Pick this week's net winner","OK")))))))</f>
        <v/>
      </c>
    </row>
    <row r="1475" outlineLevel="1">
      <c r="A1475" s="13" t="n">
        <v>46708</v>
      </c>
      <c r="E1475" s="11">
        <f>IF(OR($B1475="",NOT(ISNUMBER($C1475))),"",COUNTIFS($A$5:$A$1668,$A1475,$C$5:$C$1668,"&lt;"&amp;$C1475)+1)</f>
        <v/>
      </c>
      <c r="F1475" s="11">
        <f>IF(OR($B1475="",NOT(ISNUMBER($C1475))),"",COUNTIFS($A$5:$A$1668,$A1475,$C$5:$C$1668,"&gt;0"))</f>
        <v/>
      </c>
      <c r="G1475" s="11">
        <f>IF(OR($B1475="",NOT(ISNUMBER($C1475))),"",IF($D1475&lt;&gt;"",ROUND(Points!$B$6*IF($F1475&lt;Points!$H$4,Points!$H$5,1),0),ROUND(Points!$B$6*IF($F1475&lt;=1,1,Points!$H$7+(1-Points!$H$7)*((($F1475-$E1475)*(($F1475-$E1475)+1)/2)^2-((($F1475-$E1475-COUNTIFS($A$5:$A$1668,$A1475,$C$5:$C$1668,$C1475)+1)-1)*($F1475-$E1475-COUNTIFS($A$5:$A$1668,$A1475,$C$5:$C$1668,$C1475)+1)/2)^2)/(COUNTIFS($A$5:$A$1668,$A1475,$C$5:$C$1668,$C1475)*($F1475-1)^3))*IF($F1475&lt;Points!$H$4,Points!$H$5,1),0)))</f>
        <v/>
      </c>
      <c r="H1475" s="11">
        <f>IF($G1475="","",COUNTIFS($B$5:$B$1668,$B1475,$G$5:$G$1668,"&gt;"&amp;$G1475)+COUNTIFS($B$4:$B1474,$B1475,$G$4:$G1474,$G1475)+1)</f>
        <v/>
      </c>
      <c r="I1475" s="11">
        <f>IF($G1475="","",IF($H1475&lt;=Points!$H$6,$G1475,0))</f>
        <v/>
      </c>
      <c r="J1475" s="11">
        <f>IF($B1475="","",IF(COUNTIF(Players!$A$2:$A$500,$B1475)=0,"Player is not on the Players tab",IF(NOT(ISNUMBER($C1475)),"Enter a gross score",IF(COUNTIFS($A$5:$A$1668,$A1475,$B$5:$B$1668,$B1475)&gt;1,"Player is listed twice this week",IF(AND($D1475&lt;&gt;"",COUNTIFS($A$5:$A$1668,$A1475,$D$5:$D$1668,$D1475)&gt;1),"Two players picked as "&amp;$D1475,IF(COUNTIFS($A$5:$A$1668,$A1475,$D$5:$D$1668,"Gross winner")=0,"Pick this week's gross winner",IF(COUNTIFS($A$5:$A$1668,$A1475,$D$5:$D$1668,"Net winner")=0,"Pick this week's net winner","OK")))))))</f>
        <v/>
      </c>
    </row>
    <row r="1476" ht="10" customHeight="1"/>
    <row r="1477" ht="22" customHeight="1">
      <c r="A1477" s="12" t="inlineStr">
        <is>
          <t>Week 47  ·  Wednesday, Nov 24</t>
        </is>
      </c>
    </row>
    <row r="1478" outlineLevel="1">
      <c r="A1478" s="13" t="n">
        <v>46715</v>
      </c>
      <c r="E1478" s="11">
        <f>IF(OR($B1478="",NOT(ISNUMBER($C1478))),"",COUNTIFS($A$5:$A$1668,$A1478,$C$5:$C$1668,"&lt;"&amp;$C1478)+1)</f>
        <v/>
      </c>
      <c r="F1478" s="11">
        <f>IF(OR($B1478="",NOT(ISNUMBER($C1478))),"",COUNTIFS($A$5:$A$1668,$A1478,$C$5:$C$1668,"&gt;0"))</f>
        <v/>
      </c>
      <c r="G1478" s="11">
        <f>IF(OR($B1478="",NOT(ISNUMBER($C1478))),"",IF($D1478&lt;&gt;"",ROUND(Points!$B$6*IF($F1478&lt;Points!$H$4,Points!$H$5,1),0),ROUND(Points!$B$6*IF($F1478&lt;=1,1,Points!$H$7+(1-Points!$H$7)*((($F1478-$E1478)*(($F1478-$E1478)+1)/2)^2-((($F1478-$E1478-COUNTIFS($A$5:$A$1668,$A1478,$C$5:$C$1668,$C1478)+1)-1)*($F1478-$E1478-COUNTIFS($A$5:$A$1668,$A1478,$C$5:$C$1668,$C1478)+1)/2)^2)/(COUNTIFS($A$5:$A$1668,$A1478,$C$5:$C$1668,$C1478)*($F1478-1)^3))*IF($F1478&lt;Points!$H$4,Points!$H$5,1),0)))</f>
        <v/>
      </c>
      <c r="H1478" s="11">
        <f>IF($G1478="","",COUNTIFS($B$5:$B$1668,$B1478,$G$5:$G$1668,"&gt;"&amp;$G1478)+COUNTIFS($B$4:$B1477,$B1478,$G$4:$G1477,$G1478)+1)</f>
        <v/>
      </c>
      <c r="I1478" s="11">
        <f>IF($G1478="","",IF($H1478&lt;=Points!$H$6,$G1478,0))</f>
        <v/>
      </c>
      <c r="J1478" s="11">
        <f>IF($B1478="","",IF(COUNTIF(Players!$A$2:$A$500,$B1478)=0,"Player is not on the Players tab",IF(NOT(ISNUMBER($C1478)),"Enter a gross score",IF(COUNTIFS($A$5:$A$1668,$A1478,$B$5:$B$1668,$B1478)&gt;1,"Player is listed twice this week",IF(AND($D1478&lt;&gt;"",COUNTIFS($A$5:$A$1668,$A1478,$D$5:$D$1668,$D1478)&gt;1),"Two players picked as "&amp;$D1478,IF(COUNTIFS($A$5:$A$1668,$A1478,$D$5:$D$1668,"Gross winner")=0,"Pick this week's gross winner",IF(COUNTIFS($A$5:$A$1668,$A1478,$D$5:$D$1668,"Net winner")=0,"Pick this week's net winner","OK")))))))</f>
        <v/>
      </c>
    </row>
    <row r="1479" outlineLevel="1">
      <c r="A1479" s="13" t="n">
        <v>46715</v>
      </c>
      <c r="E1479" s="11">
        <f>IF(OR($B1479="",NOT(ISNUMBER($C1479))),"",COUNTIFS($A$5:$A$1668,$A1479,$C$5:$C$1668,"&lt;"&amp;$C1479)+1)</f>
        <v/>
      </c>
      <c r="F1479" s="11">
        <f>IF(OR($B1479="",NOT(ISNUMBER($C1479))),"",COUNTIFS($A$5:$A$1668,$A1479,$C$5:$C$1668,"&gt;0"))</f>
        <v/>
      </c>
      <c r="G1479" s="11">
        <f>IF(OR($B1479="",NOT(ISNUMBER($C1479))),"",IF($D1479&lt;&gt;"",ROUND(Points!$B$6*IF($F1479&lt;Points!$H$4,Points!$H$5,1),0),ROUND(Points!$B$6*IF($F1479&lt;=1,1,Points!$H$7+(1-Points!$H$7)*((($F1479-$E1479)*(($F1479-$E1479)+1)/2)^2-((($F1479-$E1479-COUNTIFS($A$5:$A$1668,$A1479,$C$5:$C$1668,$C1479)+1)-1)*($F1479-$E1479-COUNTIFS($A$5:$A$1668,$A1479,$C$5:$C$1668,$C1479)+1)/2)^2)/(COUNTIFS($A$5:$A$1668,$A1479,$C$5:$C$1668,$C1479)*($F1479-1)^3))*IF($F1479&lt;Points!$H$4,Points!$H$5,1),0)))</f>
        <v/>
      </c>
      <c r="H1479" s="11">
        <f>IF($G1479="","",COUNTIFS($B$5:$B$1668,$B1479,$G$5:$G$1668,"&gt;"&amp;$G1479)+COUNTIFS($B$4:$B1478,$B1479,$G$4:$G1478,$G1479)+1)</f>
        <v/>
      </c>
      <c r="I1479" s="11">
        <f>IF($G1479="","",IF($H1479&lt;=Points!$H$6,$G1479,0))</f>
        <v/>
      </c>
      <c r="J1479" s="11">
        <f>IF($B1479="","",IF(COUNTIF(Players!$A$2:$A$500,$B1479)=0,"Player is not on the Players tab",IF(NOT(ISNUMBER($C1479)),"Enter a gross score",IF(COUNTIFS($A$5:$A$1668,$A1479,$B$5:$B$1668,$B1479)&gt;1,"Player is listed twice this week",IF(AND($D1479&lt;&gt;"",COUNTIFS($A$5:$A$1668,$A1479,$D$5:$D$1668,$D1479)&gt;1),"Two players picked as "&amp;$D1479,IF(COUNTIFS($A$5:$A$1668,$A1479,$D$5:$D$1668,"Gross winner")=0,"Pick this week's gross winner",IF(COUNTIFS($A$5:$A$1668,$A1479,$D$5:$D$1668,"Net winner")=0,"Pick this week's net winner","OK")))))))</f>
        <v/>
      </c>
    </row>
    <row r="1480" outlineLevel="1">
      <c r="A1480" s="13" t="n">
        <v>46715</v>
      </c>
      <c r="E1480" s="11">
        <f>IF(OR($B1480="",NOT(ISNUMBER($C1480))),"",COUNTIFS($A$5:$A$1668,$A1480,$C$5:$C$1668,"&lt;"&amp;$C1480)+1)</f>
        <v/>
      </c>
      <c r="F1480" s="11">
        <f>IF(OR($B1480="",NOT(ISNUMBER($C1480))),"",COUNTIFS($A$5:$A$1668,$A1480,$C$5:$C$1668,"&gt;0"))</f>
        <v/>
      </c>
      <c r="G1480" s="11">
        <f>IF(OR($B1480="",NOT(ISNUMBER($C1480))),"",IF($D1480&lt;&gt;"",ROUND(Points!$B$6*IF($F1480&lt;Points!$H$4,Points!$H$5,1),0),ROUND(Points!$B$6*IF($F1480&lt;=1,1,Points!$H$7+(1-Points!$H$7)*((($F1480-$E1480)*(($F1480-$E1480)+1)/2)^2-((($F1480-$E1480-COUNTIFS($A$5:$A$1668,$A1480,$C$5:$C$1668,$C1480)+1)-1)*($F1480-$E1480-COUNTIFS($A$5:$A$1668,$A1480,$C$5:$C$1668,$C1480)+1)/2)^2)/(COUNTIFS($A$5:$A$1668,$A1480,$C$5:$C$1668,$C1480)*($F1480-1)^3))*IF($F1480&lt;Points!$H$4,Points!$H$5,1),0)))</f>
        <v/>
      </c>
      <c r="H1480" s="11">
        <f>IF($G1480="","",COUNTIFS($B$5:$B$1668,$B1480,$G$5:$G$1668,"&gt;"&amp;$G1480)+COUNTIFS($B$4:$B1479,$B1480,$G$4:$G1479,$G1480)+1)</f>
        <v/>
      </c>
      <c r="I1480" s="11">
        <f>IF($G1480="","",IF($H1480&lt;=Points!$H$6,$G1480,0))</f>
        <v/>
      </c>
      <c r="J1480" s="11">
        <f>IF($B1480="","",IF(COUNTIF(Players!$A$2:$A$500,$B1480)=0,"Player is not on the Players tab",IF(NOT(ISNUMBER($C1480)),"Enter a gross score",IF(COUNTIFS($A$5:$A$1668,$A1480,$B$5:$B$1668,$B1480)&gt;1,"Player is listed twice this week",IF(AND($D1480&lt;&gt;"",COUNTIFS($A$5:$A$1668,$A1480,$D$5:$D$1668,$D1480)&gt;1),"Two players picked as "&amp;$D1480,IF(COUNTIFS($A$5:$A$1668,$A1480,$D$5:$D$1668,"Gross winner")=0,"Pick this week's gross winner",IF(COUNTIFS($A$5:$A$1668,$A1480,$D$5:$D$1668,"Net winner")=0,"Pick this week's net winner","OK")))))))</f>
        <v/>
      </c>
    </row>
    <row r="1481" outlineLevel="1">
      <c r="A1481" s="13" t="n">
        <v>46715</v>
      </c>
      <c r="E1481" s="11">
        <f>IF(OR($B1481="",NOT(ISNUMBER($C1481))),"",COUNTIFS($A$5:$A$1668,$A1481,$C$5:$C$1668,"&lt;"&amp;$C1481)+1)</f>
        <v/>
      </c>
      <c r="F1481" s="11">
        <f>IF(OR($B1481="",NOT(ISNUMBER($C1481))),"",COUNTIFS($A$5:$A$1668,$A1481,$C$5:$C$1668,"&gt;0"))</f>
        <v/>
      </c>
      <c r="G1481" s="11">
        <f>IF(OR($B1481="",NOT(ISNUMBER($C1481))),"",IF($D1481&lt;&gt;"",ROUND(Points!$B$6*IF($F1481&lt;Points!$H$4,Points!$H$5,1),0),ROUND(Points!$B$6*IF($F1481&lt;=1,1,Points!$H$7+(1-Points!$H$7)*((($F1481-$E1481)*(($F1481-$E1481)+1)/2)^2-((($F1481-$E1481-COUNTIFS($A$5:$A$1668,$A1481,$C$5:$C$1668,$C1481)+1)-1)*($F1481-$E1481-COUNTIFS($A$5:$A$1668,$A1481,$C$5:$C$1668,$C1481)+1)/2)^2)/(COUNTIFS($A$5:$A$1668,$A1481,$C$5:$C$1668,$C1481)*($F1481-1)^3))*IF($F1481&lt;Points!$H$4,Points!$H$5,1),0)))</f>
        <v/>
      </c>
      <c r="H1481" s="11">
        <f>IF($G1481="","",COUNTIFS($B$5:$B$1668,$B1481,$G$5:$G$1668,"&gt;"&amp;$G1481)+COUNTIFS($B$4:$B1480,$B1481,$G$4:$G1480,$G1481)+1)</f>
        <v/>
      </c>
      <c r="I1481" s="11">
        <f>IF($G1481="","",IF($H1481&lt;=Points!$H$6,$G1481,0))</f>
        <v/>
      </c>
      <c r="J1481" s="11">
        <f>IF($B1481="","",IF(COUNTIF(Players!$A$2:$A$500,$B1481)=0,"Player is not on the Players tab",IF(NOT(ISNUMBER($C1481)),"Enter a gross score",IF(COUNTIFS($A$5:$A$1668,$A1481,$B$5:$B$1668,$B1481)&gt;1,"Player is listed twice this week",IF(AND($D1481&lt;&gt;"",COUNTIFS($A$5:$A$1668,$A1481,$D$5:$D$1668,$D1481)&gt;1),"Two players picked as "&amp;$D1481,IF(COUNTIFS($A$5:$A$1668,$A1481,$D$5:$D$1668,"Gross winner")=0,"Pick this week's gross winner",IF(COUNTIFS($A$5:$A$1668,$A1481,$D$5:$D$1668,"Net winner")=0,"Pick this week's net winner","OK")))))))</f>
        <v/>
      </c>
    </row>
    <row r="1482" outlineLevel="1">
      <c r="A1482" s="13" t="n">
        <v>46715</v>
      </c>
      <c r="E1482" s="11">
        <f>IF(OR($B1482="",NOT(ISNUMBER($C1482))),"",COUNTIFS($A$5:$A$1668,$A1482,$C$5:$C$1668,"&lt;"&amp;$C1482)+1)</f>
        <v/>
      </c>
      <c r="F1482" s="11">
        <f>IF(OR($B1482="",NOT(ISNUMBER($C1482))),"",COUNTIFS($A$5:$A$1668,$A1482,$C$5:$C$1668,"&gt;0"))</f>
        <v/>
      </c>
      <c r="G1482" s="11">
        <f>IF(OR($B1482="",NOT(ISNUMBER($C1482))),"",IF($D1482&lt;&gt;"",ROUND(Points!$B$6*IF($F1482&lt;Points!$H$4,Points!$H$5,1),0),ROUND(Points!$B$6*IF($F1482&lt;=1,1,Points!$H$7+(1-Points!$H$7)*((($F1482-$E1482)*(($F1482-$E1482)+1)/2)^2-((($F1482-$E1482-COUNTIFS($A$5:$A$1668,$A1482,$C$5:$C$1668,$C1482)+1)-1)*($F1482-$E1482-COUNTIFS($A$5:$A$1668,$A1482,$C$5:$C$1668,$C1482)+1)/2)^2)/(COUNTIFS($A$5:$A$1668,$A1482,$C$5:$C$1668,$C1482)*($F1482-1)^3))*IF($F1482&lt;Points!$H$4,Points!$H$5,1),0)))</f>
        <v/>
      </c>
      <c r="H1482" s="11">
        <f>IF($G1482="","",COUNTIFS($B$5:$B$1668,$B1482,$G$5:$G$1668,"&gt;"&amp;$G1482)+COUNTIFS($B$4:$B1481,$B1482,$G$4:$G1481,$G1482)+1)</f>
        <v/>
      </c>
      <c r="I1482" s="11">
        <f>IF($G1482="","",IF($H1482&lt;=Points!$H$6,$G1482,0))</f>
        <v/>
      </c>
      <c r="J1482" s="11">
        <f>IF($B1482="","",IF(COUNTIF(Players!$A$2:$A$500,$B1482)=0,"Player is not on the Players tab",IF(NOT(ISNUMBER($C1482)),"Enter a gross score",IF(COUNTIFS($A$5:$A$1668,$A1482,$B$5:$B$1668,$B1482)&gt;1,"Player is listed twice this week",IF(AND($D1482&lt;&gt;"",COUNTIFS($A$5:$A$1668,$A1482,$D$5:$D$1668,$D1482)&gt;1),"Two players picked as "&amp;$D1482,IF(COUNTIFS($A$5:$A$1668,$A1482,$D$5:$D$1668,"Gross winner")=0,"Pick this week's gross winner",IF(COUNTIFS($A$5:$A$1668,$A1482,$D$5:$D$1668,"Net winner")=0,"Pick this week's net winner","OK")))))))</f>
        <v/>
      </c>
    </row>
    <row r="1483" outlineLevel="1">
      <c r="A1483" s="13" t="n">
        <v>46715</v>
      </c>
      <c r="E1483" s="11">
        <f>IF(OR($B1483="",NOT(ISNUMBER($C1483))),"",COUNTIFS($A$5:$A$1668,$A1483,$C$5:$C$1668,"&lt;"&amp;$C1483)+1)</f>
        <v/>
      </c>
      <c r="F1483" s="11">
        <f>IF(OR($B1483="",NOT(ISNUMBER($C1483))),"",COUNTIFS($A$5:$A$1668,$A1483,$C$5:$C$1668,"&gt;0"))</f>
        <v/>
      </c>
      <c r="G1483" s="11">
        <f>IF(OR($B1483="",NOT(ISNUMBER($C1483))),"",IF($D1483&lt;&gt;"",ROUND(Points!$B$6*IF($F1483&lt;Points!$H$4,Points!$H$5,1),0),ROUND(Points!$B$6*IF($F1483&lt;=1,1,Points!$H$7+(1-Points!$H$7)*((($F1483-$E1483)*(($F1483-$E1483)+1)/2)^2-((($F1483-$E1483-COUNTIFS($A$5:$A$1668,$A1483,$C$5:$C$1668,$C1483)+1)-1)*($F1483-$E1483-COUNTIFS($A$5:$A$1668,$A1483,$C$5:$C$1668,$C1483)+1)/2)^2)/(COUNTIFS($A$5:$A$1668,$A1483,$C$5:$C$1668,$C1483)*($F1483-1)^3))*IF($F1483&lt;Points!$H$4,Points!$H$5,1),0)))</f>
        <v/>
      </c>
      <c r="H1483" s="11">
        <f>IF($G1483="","",COUNTIFS($B$5:$B$1668,$B1483,$G$5:$G$1668,"&gt;"&amp;$G1483)+COUNTIFS($B$4:$B1482,$B1483,$G$4:$G1482,$G1483)+1)</f>
        <v/>
      </c>
      <c r="I1483" s="11">
        <f>IF($G1483="","",IF($H1483&lt;=Points!$H$6,$G1483,0))</f>
        <v/>
      </c>
      <c r="J1483" s="11">
        <f>IF($B1483="","",IF(COUNTIF(Players!$A$2:$A$500,$B1483)=0,"Player is not on the Players tab",IF(NOT(ISNUMBER($C1483)),"Enter a gross score",IF(COUNTIFS($A$5:$A$1668,$A1483,$B$5:$B$1668,$B1483)&gt;1,"Player is listed twice this week",IF(AND($D1483&lt;&gt;"",COUNTIFS($A$5:$A$1668,$A1483,$D$5:$D$1668,$D1483)&gt;1),"Two players picked as "&amp;$D1483,IF(COUNTIFS($A$5:$A$1668,$A1483,$D$5:$D$1668,"Gross winner")=0,"Pick this week's gross winner",IF(COUNTIFS($A$5:$A$1668,$A1483,$D$5:$D$1668,"Net winner")=0,"Pick this week's net winner","OK")))))))</f>
        <v/>
      </c>
    </row>
    <row r="1484" outlineLevel="1">
      <c r="A1484" s="13" t="n">
        <v>46715</v>
      </c>
      <c r="E1484" s="11">
        <f>IF(OR($B1484="",NOT(ISNUMBER($C1484))),"",COUNTIFS($A$5:$A$1668,$A1484,$C$5:$C$1668,"&lt;"&amp;$C1484)+1)</f>
        <v/>
      </c>
      <c r="F1484" s="11">
        <f>IF(OR($B1484="",NOT(ISNUMBER($C1484))),"",COUNTIFS($A$5:$A$1668,$A1484,$C$5:$C$1668,"&gt;0"))</f>
        <v/>
      </c>
      <c r="G1484" s="11">
        <f>IF(OR($B1484="",NOT(ISNUMBER($C1484))),"",IF($D1484&lt;&gt;"",ROUND(Points!$B$6*IF($F1484&lt;Points!$H$4,Points!$H$5,1),0),ROUND(Points!$B$6*IF($F1484&lt;=1,1,Points!$H$7+(1-Points!$H$7)*((($F1484-$E1484)*(($F1484-$E1484)+1)/2)^2-((($F1484-$E1484-COUNTIFS($A$5:$A$1668,$A1484,$C$5:$C$1668,$C1484)+1)-1)*($F1484-$E1484-COUNTIFS($A$5:$A$1668,$A1484,$C$5:$C$1668,$C1484)+1)/2)^2)/(COUNTIFS($A$5:$A$1668,$A1484,$C$5:$C$1668,$C1484)*($F1484-1)^3))*IF($F1484&lt;Points!$H$4,Points!$H$5,1),0)))</f>
        <v/>
      </c>
      <c r="H1484" s="11">
        <f>IF($G1484="","",COUNTIFS($B$5:$B$1668,$B1484,$G$5:$G$1668,"&gt;"&amp;$G1484)+COUNTIFS($B$4:$B1483,$B1484,$G$4:$G1483,$G1484)+1)</f>
        <v/>
      </c>
      <c r="I1484" s="11">
        <f>IF($G1484="","",IF($H1484&lt;=Points!$H$6,$G1484,0))</f>
        <v/>
      </c>
      <c r="J1484" s="11">
        <f>IF($B1484="","",IF(COUNTIF(Players!$A$2:$A$500,$B1484)=0,"Player is not on the Players tab",IF(NOT(ISNUMBER($C1484)),"Enter a gross score",IF(COUNTIFS($A$5:$A$1668,$A1484,$B$5:$B$1668,$B1484)&gt;1,"Player is listed twice this week",IF(AND($D1484&lt;&gt;"",COUNTIFS($A$5:$A$1668,$A1484,$D$5:$D$1668,$D1484)&gt;1),"Two players picked as "&amp;$D1484,IF(COUNTIFS($A$5:$A$1668,$A1484,$D$5:$D$1668,"Gross winner")=0,"Pick this week's gross winner",IF(COUNTIFS($A$5:$A$1668,$A1484,$D$5:$D$1668,"Net winner")=0,"Pick this week's net winner","OK")))))))</f>
        <v/>
      </c>
    </row>
    <row r="1485" outlineLevel="1">
      <c r="A1485" s="13" t="n">
        <v>46715</v>
      </c>
      <c r="E1485" s="11">
        <f>IF(OR($B1485="",NOT(ISNUMBER($C1485))),"",COUNTIFS($A$5:$A$1668,$A1485,$C$5:$C$1668,"&lt;"&amp;$C1485)+1)</f>
        <v/>
      </c>
      <c r="F1485" s="11">
        <f>IF(OR($B1485="",NOT(ISNUMBER($C1485))),"",COUNTIFS($A$5:$A$1668,$A1485,$C$5:$C$1668,"&gt;0"))</f>
        <v/>
      </c>
      <c r="G1485" s="11">
        <f>IF(OR($B1485="",NOT(ISNUMBER($C1485))),"",IF($D1485&lt;&gt;"",ROUND(Points!$B$6*IF($F1485&lt;Points!$H$4,Points!$H$5,1),0),ROUND(Points!$B$6*IF($F1485&lt;=1,1,Points!$H$7+(1-Points!$H$7)*((($F1485-$E1485)*(($F1485-$E1485)+1)/2)^2-((($F1485-$E1485-COUNTIFS($A$5:$A$1668,$A1485,$C$5:$C$1668,$C1485)+1)-1)*($F1485-$E1485-COUNTIFS($A$5:$A$1668,$A1485,$C$5:$C$1668,$C1485)+1)/2)^2)/(COUNTIFS($A$5:$A$1668,$A1485,$C$5:$C$1668,$C1485)*($F1485-1)^3))*IF($F1485&lt;Points!$H$4,Points!$H$5,1),0)))</f>
        <v/>
      </c>
      <c r="H1485" s="11">
        <f>IF($G1485="","",COUNTIFS($B$5:$B$1668,$B1485,$G$5:$G$1668,"&gt;"&amp;$G1485)+COUNTIFS($B$4:$B1484,$B1485,$G$4:$G1484,$G1485)+1)</f>
        <v/>
      </c>
      <c r="I1485" s="11">
        <f>IF($G1485="","",IF($H1485&lt;=Points!$H$6,$G1485,0))</f>
        <v/>
      </c>
      <c r="J1485" s="11">
        <f>IF($B1485="","",IF(COUNTIF(Players!$A$2:$A$500,$B1485)=0,"Player is not on the Players tab",IF(NOT(ISNUMBER($C1485)),"Enter a gross score",IF(COUNTIFS($A$5:$A$1668,$A1485,$B$5:$B$1668,$B1485)&gt;1,"Player is listed twice this week",IF(AND($D1485&lt;&gt;"",COUNTIFS($A$5:$A$1668,$A1485,$D$5:$D$1668,$D1485)&gt;1),"Two players picked as "&amp;$D1485,IF(COUNTIFS($A$5:$A$1668,$A1485,$D$5:$D$1668,"Gross winner")=0,"Pick this week's gross winner",IF(COUNTIFS($A$5:$A$1668,$A1485,$D$5:$D$1668,"Net winner")=0,"Pick this week's net winner","OK")))))))</f>
        <v/>
      </c>
    </row>
    <row r="1486" outlineLevel="1">
      <c r="A1486" s="13" t="n">
        <v>46715</v>
      </c>
      <c r="E1486" s="11">
        <f>IF(OR($B1486="",NOT(ISNUMBER($C1486))),"",COUNTIFS($A$5:$A$1668,$A1486,$C$5:$C$1668,"&lt;"&amp;$C1486)+1)</f>
        <v/>
      </c>
      <c r="F1486" s="11">
        <f>IF(OR($B1486="",NOT(ISNUMBER($C1486))),"",COUNTIFS($A$5:$A$1668,$A1486,$C$5:$C$1668,"&gt;0"))</f>
        <v/>
      </c>
      <c r="G1486" s="11">
        <f>IF(OR($B1486="",NOT(ISNUMBER($C1486))),"",IF($D1486&lt;&gt;"",ROUND(Points!$B$6*IF($F1486&lt;Points!$H$4,Points!$H$5,1),0),ROUND(Points!$B$6*IF($F1486&lt;=1,1,Points!$H$7+(1-Points!$H$7)*((($F1486-$E1486)*(($F1486-$E1486)+1)/2)^2-((($F1486-$E1486-COUNTIFS($A$5:$A$1668,$A1486,$C$5:$C$1668,$C1486)+1)-1)*($F1486-$E1486-COUNTIFS($A$5:$A$1668,$A1486,$C$5:$C$1668,$C1486)+1)/2)^2)/(COUNTIFS($A$5:$A$1668,$A1486,$C$5:$C$1668,$C1486)*($F1486-1)^3))*IF($F1486&lt;Points!$H$4,Points!$H$5,1),0)))</f>
        <v/>
      </c>
      <c r="H1486" s="11">
        <f>IF($G1486="","",COUNTIFS($B$5:$B$1668,$B1486,$G$5:$G$1668,"&gt;"&amp;$G1486)+COUNTIFS($B$4:$B1485,$B1486,$G$4:$G1485,$G1486)+1)</f>
        <v/>
      </c>
      <c r="I1486" s="11">
        <f>IF($G1486="","",IF($H1486&lt;=Points!$H$6,$G1486,0))</f>
        <v/>
      </c>
      <c r="J1486" s="11">
        <f>IF($B1486="","",IF(COUNTIF(Players!$A$2:$A$500,$B1486)=0,"Player is not on the Players tab",IF(NOT(ISNUMBER($C1486)),"Enter a gross score",IF(COUNTIFS($A$5:$A$1668,$A1486,$B$5:$B$1668,$B1486)&gt;1,"Player is listed twice this week",IF(AND($D1486&lt;&gt;"",COUNTIFS($A$5:$A$1668,$A1486,$D$5:$D$1668,$D1486)&gt;1),"Two players picked as "&amp;$D1486,IF(COUNTIFS($A$5:$A$1668,$A1486,$D$5:$D$1668,"Gross winner")=0,"Pick this week's gross winner",IF(COUNTIFS($A$5:$A$1668,$A1486,$D$5:$D$1668,"Net winner")=0,"Pick this week's net winner","OK")))))))</f>
        <v/>
      </c>
    </row>
    <row r="1487" outlineLevel="1">
      <c r="A1487" s="13" t="n">
        <v>46715</v>
      </c>
      <c r="E1487" s="11">
        <f>IF(OR($B1487="",NOT(ISNUMBER($C1487))),"",COUNTIFS($A$5:$A$1668,$A1487,$C$5:$C$1668,"&lt;"&amp;$C1487)+1)</f>
        <v/>
      </c>
      <c r="F1487" s="11">
        <f>IF(OR($B1487="",NOT(ISNUMBER($C1487))),"",COUNTIFS($A$5:$A$1668,$A1487,$C$5:$C$1668,"&gt;0"))</f>
        <v/>
      </c>
      <c r="G1487" s="11">
        <f>IF(OR($B1487="",NOT(ISNUMBER($C1487))),"",IF($D1487&lt;&gt;"",ROUND(Points!$B$6*IF($F1487&lt;Points!$H$4,Points!$H$5,1),0),ROUND(Points!$B$6*IF($F1487&lt;=1,1,Points!$H$7+(1-Points!$H$7)*((($F1487-$E1487)*(($F1487-$E1487)+1)/2)^2-((($F1487-$E1487-COUNTIFS($A$5:$A$1668,$A1487,$C$5:$C$1668,$C1487)+1)-1)*($F1487-$E1487-COUNTIFS($A$5:$A$1668,$A1487,$C$5:$C$1668,$C1487)+1)/2)^2)/(COUNTIFS($A$5:$A$1668,$A1487,$C$5:$C$1668,$C1487)*($F1487-1)^3))*IF($F1487&lt;Points!$H$4,Points!$H$5,1),0)))</f>
        <v/>
      </c>
      <c r="H1487" s="11">
        <f>IF($G1487="","",COUNTIFS($B$5:$B$1668,$B1487,$G$5:$G$1668,"&gt;"&amp;$G1487)+COUNTIFS($B$4:$B1486,$B1487,$G$4:$G1486,$G1487)+1)</f>
        <v/>
      </c>
      <c r="I1487" s="11">
        <f>IF($G1487="","",IF($H1487&lt;=Points!$H$6,$G1487,0))</f>
        <v/>
      </c>
      <c r="J1487" s="11">
        <f>IF($B1487="","",IF(COUNTIF(Players!$A$2:$A$500,$B1487)=0,"Player is not on the Players tab",IF(NOT(ISNUMBER($C1487)),"Enter a gross score",IF(COUNTIFS($A$5:$A$1668,$A1487,$B$5:$B$1668,$B1487)&gt;1,"Player is listed twice this week",IF(AND($D1487&lt;&gt;"",COUNTIFS($A$5:$A$1668,$A1487,$D$5:$D$1668,$D1487)&gt;1),"Two players picked as "&amp;$D1487,IF(COUNTIFS($A$5:$A$1668,$A1487,$D$5:$D$1668,"Gross winner")=0,"Pick this week's gross winner",IF(COUNTIFS($A$5:$A$1668,$A1487,$D$5:$D$1668,"Net winner")=0,"Pick this week's net winner","OK")))))))</f>
        <v/>
      </c>
    </row>
    <row r="1488" outlineLevel="1">
      <c r="A1488" s="13" t="n">
        <v>46715</v>
      </c>
      <c r="E1488" s="11">
        <f>IF(OR($B1488="",NOT(ISNUMBER($C1488))),"",COUNTIFS($A$5:$A$1668,$A1488,$C$5:$C$1668,"&lt;"&amp;$C1488)+1)</f>
        <v/>
      </c>
      <c r="F1488" s="11">
        <f>IF(OR($B1488="",NOT(ISNUMBER($C1488))),"",COUNTIFS($A$5:$A$1668,$A1488,$C$5:$C$1668,"&gt;0"))</f>
        <v/>
      </c>
      <c r="G1488" s="11">
        <f>IF(OR($B1488="",NOT(ISNUMBER($C1488))),"",IF($D1488&lt;&gt;"",ROUND(Points!$B$6*IF($F1488&lt;Points!$H$4,Points!$H$5,1),0),ROUND(Points!$B$6*IF($F1488&lt;=1,1,Points!$H$7+(1-Points!$H$7)*((($F1488-$E1488)*(($F1488-$E1488)+1)/2)^2-((($F1488-$E1488-COUNTIFS($A$5:$A$1668,$A1488,$C$5:$C$1668,$C1488)+1)-1)*($F1488-$E1488-COUNTIFS($A$5:$A$1668,$A1488,$C$5:$C$1668,$C1488)+1)/2)^2)/(COUNTIFS($A$5:$A$1668,$A1488,$C$5:$C$1668,$C1488)*($F1488-1)^3))*IF($F1488&lt;Points!$H$4,Points!$H$5,1),0)))</f>
        <v/>
      </c>
      <c r="H1488" s="11">
        <f>IF($G1488="","",COUNTIFS($B$5:$B$1668,$B1488,$G$5:$G$1668,"&gt;"&amp;$G1488)+COUNTIFS($B$4:$B1487,$B1488,$G$4:$G1487,$G1488)+1)</f>
        <v/>
      </c>
      <c r="I1488" s="11">
        <f>IF($G1488="","",IF($H1488&lt;=Points!$H$6,$G1488,0))</f>
        <v/>
      </c>
      <c r="J1488" s="11">
        <f>IF($B1488="","",IF(COUNTIF(Players!$A$2:$A$500,$B1488)=0,"Player is not on the Players tab",IF(NOT(ISNUMBER($C1488)),"Enter a gross score",IF(COUNTIFS($A$5:$A$1668,$A1488,$B$5:$B$1668,$B1488)&gt;1,"Player is listed twice this week",IF(AND($D1488&lt;&gt;"",COUNTIFS($A$5:$A$1668,$A1488,$D$5:$D$1668,$D1488)&gt;1),"Two players picked as "&amp;$D1488,IF(COUNTIFS($A$5:$A$1668,$A1488,$D$5:$D$1668,"Gross winner")=0,"Pick this week's gross winner",IF(COUNTIFS($A$5:$A$1668,$A1488,$D$5:$D$1668,"Net winner")=0,"Pick this week's net winner","OK")))))))</f>
        <v/>
      </c>
    </row>
    <row r="1489" outlineLevel="1">
      <c r="A1489" s="13" t="n">
        <v>46715</v>
      </c>
      <c r="E1489" s="11">
        <f>IF(OR($B1489="",NOT(ISNUMBER($C1489))),"",COUNTIFS($A$5:$A$1668,$A1489,$C$5:$C$1668,"&lt;"&amp;$C1489)+1)</f>
        <v/>
      </c>
      <c r="F1489" s="11">
        <f>IF(OR($B1489="",NOT(ISNUMBER($C1489))),"",COUNTIFS($A$5:$A$1668,$A1489,$C$5:$C$1668,"&gt;0"))</f>
        <v/>
      </c>
      <c r="G1489" s="11">
        <f>IF(OR($B1489="",NOT(ISNUMBER($C1489))),"",IF($D1489&lt;&gt;"",ROUND(Points!$B$6*IF($F1489&lt;Points!$H$4,Points!$H$5,1),0),ROUND(Points!$B$6*IF($F1489&lt;=1,1,Points!$H$7+(1-Points!$H$7)*((($F1489-$E1489)*(($F1489-$E1489)+1)/2)^2-((($F1489-$E1489-COUNTIFS($A$5:$A$1668,$A1489,$C$5:$C$1668,$C1489)+1)-1)*($F1489-$E1489-COUNTIFS($A$5:$A$1668,$A1489,$C$5:$C$1668,$C1489)+1)/2)^2)/(COUNTIFS($A$5:$A$1668,$A1489,$C$5:$C$1668,$C1489)*($F1489-1)^3))*IF($F1489&lt;Points!$H$4,Points!$H$5,1),0)))</f>
        <v/>
      </c>
      <c r="H1489" s="11">
        <f>IF($G1489="","",COUNTIFS($B$5:$B$1668,$B1489,$G$5:$G$1668,"&gt;"&amp;$G1489)+COUNTIFS($B$4:$B1488,$B1489,$G$4:$G1488,$G1489)+1)</f>
        <v/>
      </c>
      <c r="I1489" s="11">
        <f>IF($G1489="","",IF($H1489&lt;=Points!$H$6,$G1489,0))</f>
        <v/>
      </c>
      <c r="J1489" s="11">
        <f>IF($B1489="","",IF(COUNTIF(Players!$A$2:$A$500,$B1489)=0,"Player is not on the Players tab",IF(NOT(ISNUMBER($C1489)),"Enter a gross score",IF(COUNTIFS($A$5:$A$1668,$A1489,$B$5:$B$1668,$B1489)&gt;1,"Player is listed twice this week",IF(AND($D1489&lt;&gt;"",COUNTIFS($A$5:$A$1668,$A1489,$D$5:$D$1668,$D1489)&gt;1),"Two players picked as "&amp;$D1489,IF(COUNTIFS($A$5:$A$1668,$A1489,$D$5:$D$1668,"Gross winner")=0,"Pick this week's gross winner",IF(COUNTIFS($A$5:$A$1668,$A1489,$D$5:$D$1668,"Net winner")=0,"Pick this week's net winner","OK")))))))</f>
        <v/>
      </c>
    </row>
    <row r="1490" outlineLevel="1">
      <c r="A1490" s="13" t="n">
        <v>46715</v>
      </c>
      <c r="E1490" s="11">
        <f>IF(OR($B1490="",NOT(ISNUMBER($C1490))),"",COUNTIFS($A$5:$A$1668,$A1490,$C$5:$C$1668,"&lt;"&amp;$C1490)+1)</f>
        <v/>
      </c>
      <c r="F1490" s="11">
        <f>IF(OR($B1490="",NOT(ISNUMBER($C1490))),"",COUNTIFS($A$5:$A$1668,$A1490,$C$5:$C$1668,"&gt;0"))</f>
        <v/>
      </c>
      <c r="G1490" s="11">
        <f>IF(OR($B1490="",NOT(ISNUMBER($C1490))),"",IF($D1490&lt;&gt;"",ROUND(Points!$B$6*IF($F1490&lt;Points!$H$4,Points!$H$5,1),0),ROUND(Points!$B$6*IF($F1490&lt;=1,1,Points!$H$7+(1-Points!$H$7)*((($F1490-$E1490)*(($F1490-$E1490)+1)/2)^2-((($F1490-$E1490-COUNTIFS($A$5:$A$1668,$A1490,$C$5:$C$1668,$C1490)+1)-1)*($F1490-$E1490-COUNTIFS($A$5:$A$1668,$A1490,$C$5:$C$1668,$C1490)+1)/2)^2)/(COUNTIFS($A$5:$A$1668,$A1490,$C$5:$C$1668,$C1490)*($F1490-1)^3))*IF($F1490&lt;Points!$H$4,Points!$H$5,1),0)))</f>
        <v/>
      </c>
      <c r="H1490" s="11">
        <f>IF($G1490="","",COUNTIFS($B$5:$B$1668,$B1490,$G$5:$G$1668,"&gt;"&amp;$G1490)+COUNTIFS($B$4:$B1489,$B1490,$G$4:$G1489,$G1490)+1)</f>
        <v/>
      </c>
      <c r="I1490" s="11">
        <f>IF($G1490="","",IF($H1490&lt;=Points!$H$6,$G1490,0))</f>
        <v/>
      </c>
      <c r="J1490" s="11">
        <f>IF($B1490="","",IF(COUNTIF(Players!$A$2:$A$500,$B1490)=0,"Player is not on the Players tab",IF(NOT(ISNUMBER($C1490)),"Enter a gross score",IF(COUNTIFS($A$5:$A$1668,$A1490,$B$5:$B$1668,$B1490)&gt;1,"Player is listed twice this week",IF(AND($D1490&lt;&gt;"",COUNTIFS($A$5:$A$1668,$A1490,$D$5:$D$1668,$D1490)&gt;1),"Two players picked as "&amp;$D1490,IF(COUNTIFS($A$5:$A$1668,$A1490,$D$5:$D$1668,"Gross winner")=0,"Pick this week's gross winner",IF(COUNTIFS($A$5:$A$1668,$A1490,$D$5:$D$1668,"Net winner")=0,"Pick this week's net winner","OK")))))))</f>
        <v/>
      </c>
    </row>
    <row r="1491" outlineLevel="1">
      <c r="A1491" s="13" t="n">
        <v>46715</v>
      </c>
      <c r="E1491" s="11">
        <f>IF(OR($B1491="",NOT(ISNUMBER($C1491))),"",COUNTIFS($A$5:$A$1668,$A1491,$C$5:$C$1668,"&lt;"&amp;$C1491)+1)</f>
        <v/>
      </c>
      <c r="F1491" s="11">
        <f>IF(OR($B1491="",NOT(ISNUMBER($C1491))),"",COUNTIFS($A$5:$A$1668,$A1491,$C$5:$C$1668,"&gt;0"))</f>
        <v/>
      </c>
      <c r="G1491" s="11">
        <f>IF(OR($B1491="",NOT(ISNUMBER($C1491))),"",IF($D1491&lt;&gt;"",ROUND(Points!$B$6*IF($F1491&lt;Points!$H$4,Points!$H$5,1),0),ROUND(Points!$B$6*IF($F1491&lt;=1,1,Points!$H$7+(1-Points!$H$7)*((($F1491-$E1491)*(($F1491-$E1491)+1)/2)^2-((($F1491-$E1491-COUNTIFS($A$5:$A$1668,$A1491,$C$5:$C$1668,$C1491)+1)-1)*($F1491-$E1491-COUNTIFS($A$5:$A$1668,$A1491,$C$5:$C$1668,$C1491)+1)/2)^2)/(COUNTIFS($A$5:$A$1668,$A1491,$C$5:$C$1668,$C1491)*($F1491-1)^3))*IF($F1491&lt;Points!$H$4,Points!$H$5,1),0)))</f>
        <v/>
      </c>
      <c r="H1491" s="11">
        <f>IF($G1491="","",COUNTIFS($B$5:$B$1668,$B1491,$G$5:$G$1668,"&gt;"&amp;$G1491)+COUNTIFS($B$4:$B1490,$B1491,$G$4:$G1490,$G1491)+1)</f>
        <v/>
      </c>
      <c r="I1491" s="11">
        <f>IF($G1491="","",IF($H1491&lt;=Points!$H$6,$G1491,0))</f>
        <v/>
      </c>
      <c r="J1491" s="11">
        <f>IF($B1491="","",IF(COUNTIF(Players!$A$2:$A$500,$B1491)=0,"Player is not on the Players tab",IF(NOT(ISNUMBER($C1491)),"Enter a gross score",IF(COUNTIFS($A$5:$A$1668,$A1491,$B$5:$B$1668,$B1491)&gt;1,"Player is listed twice this week",IF(AND($D1491&lt;&gt;"",COUNTIFS($A$5:$A$1668,$A1491,$D$5:$D$1668,$D1491)&gt;1),"Two players picked as "&amp;$D1491,IF(COUNTIFS($A$5:$A$1668,$A1491,$D$5:$D$1668,"Gross winner")=0,"Pick this week's gross winner",IF(COUNTIFS($A$5:$A$1668,$A1491,$D$5:$D$1668,"Net winner")=0,"Pick this week's net winner","OK")))))))</f>
        <v/>
      </c>
    </row>
    <row r="1492" outlineLevel="1">
      <c r="A1492" s="13" t="n">
        <v>46715</v>
      </c>
      <c r="E1492" s="11">
        <f>IF(OR($B1492="",NOT(ISNUMBER($C1492))),"",COUNTIFS($A$5:$A$1668,$A1492,$C$5:$C$1668,"&lt;"&amp;$C1492)+1)</f>
        <v/>
      </c>
      <c r="F1492" s="11">
        <f>IF(OR($B1492="",NOT(ISNUMBER($C1492))),"",COUNTIFS($A$5:$A$1668,$A1492,$C$5:$C$1668,"&gt;0"))</f>
        <v/>
      </c>
      <c r="G1492" s="11">
        <f>IF(OR($B1492="",NOT(ISNUMBER($C1492))),"",IF($D1492&lt;&gt;"",ROUND(Points!$B$6*IF($F1492&lt;Points!$H$4,Points!$H$5,1),0),ROUND(Points!$B$6*IF($F1492&lt;=1,1,Points!$H$7+(1-Points!$H$7)*((($F1492-$E1492)*(($F1492-$E1492)+1)/2)^2-((($F1492-$E1492-COUNTIFS($A$5:$A$1668,$A1492,$C$5:$C$1668,$C1492)+1)-1)*($F1492-$E1492-COUNTIFS($A$5:$A$1668,$A1492,$C$5:$C$1668,$C1492)+1)/2)^2)/(COUNTIFS($A$5:$A$1668,$A1492,$C$5:$C$1668,$C1492)*($F1492-1)^3))*IF($F1492&lt;Points!$H$4,Points!$H$5,1),0)))</f>
        <v/>
      </c>
      <c r="H1492" s="11">
        <f>IF($G1492="","",COUNTIFS($B$5:$B$1668,$B1492,$G$5:$G$1668,"&gt;"&amp;$G1492)+COUNTIFS($B$4:$B1491,$B1492,$G$4:$G1491,$G1492)+1)</f>
        <v/>
      </c>
      <c r="I1492" s="11">
        <f>IF($G1492="","",IF($H1492&lt;=Points!$H$6,$G1492,0))</f>
        <v/>
      </c>
      <c r="J1492" s="11">
        <f>IF($B1492="","",IF(COUNTIF(Players!$A$2:$A$500,$B1492)=0,"Player is not on the Players tab",IF(NOT(ISNUMBER($C1492)),"Enter a gross score",IF(COUNTIFS($A$5:$A$1668,$A1492,$B$5:$B$1668,$B1492)&gt;1,"Player is listed twice this week",IF(AND($D1492&lt;&gt;"",COUNTIFS($A$5:$A$1668,$A1492,$D$5:$D$1668,$D1492)&gt;1),"Two players picked as "&amp;$D1492,IF(COUNTIFS($A$5:$A$1668,$A1492,$D$5:$D$1668,"Gross winner")=0,"Pick this week's gross winner",IF(COUNTIFS($A$5:$A$1668,$A1492,$D$5:$D$1668,"Net winner")=0,"Pick this week's net winner","OK")))))))</f>
        <v/>
      </c>
    </row>
    <row r="1493" outlineLevel="1">
      <c r="A1493" s="13" t="n">
        <v>46715</v>
      </c>
      <c r="E1493" s="11">
        <f>IF(OR($B1493="",NOT(ISNUMBER($C1493))),"",COUNTIFS($A$5:$A$1668,$A1493,$C$5:$C$1668,"&lt;"&amp;$C1493)+1)</f>
        <v/>
      </c>
      <c r="F1493" s="11">
        <f>IF(OR($B1493="",NOT(ISNUMBER($C1493))),"",COUNTIFS($A$5:$A$1668,$A1493,$C$5:$C$1668,"&gt;0"))</f>
        <v/>
      </c>
      <c r="G1493" s="11">
        <f>IF(OR($B1493="",NOT(ISNUMBER($C1493))),"",IF($D1493&lt;&gt;"",ROUND(Points!$B$6*IF($F1493&lt;Points!$H$4,Points!$H$5,1),0),ROUND(Points!$B$6*IF($F1493&lt;=1,1,Points!$H$7+(1-Points!$H$7)*((($F1493-$E1493)*(($F1493-$E1493)+1)/2)^2-((($F1493-$E1493-COUNTIFS($A$5:$A$1668,$A1493,$C$5:$C$1668,$C1493)+1)-1)*($F1493-$E1493-COUNTIFS($A$5:$A$1668,$A1493,$C$5:$C$1668,$C1493)+1)/2)^2)/(COUNTIFS($A$5:$A$1668,$A1493,$C$5:$C$1668,$C1493)*($F1493-1)^3))*IF($F1493&lt;Points!$H$4,Points!$H$5,1),0)))</f>
        <v/>
      </c>
      <c r="H1493" s="11">
        <f>IF($G1493="","",COUNTIFS($B$5:$B$1668,$B1493,$G$5:$G$1668,"&gt;"&amp;$G1493)+COUNTIFS($B$4:$B1492,$B1493,$G$4:$G1492,$G1493)+1)</f>
        <v/>
      </c>
      <c r="I1493" s="11">
        <f>IF($G1493="","",IF($H1493&lt;=Points!$H$6,$G1493,0))</f>
        <v/>
      </c>
      <c r="J1493" s="11">
        <f>IF($B1493="","",IF(COUNTIF(Players!$A$2:$A$500,$B1493)=0,"Player is not on the Players tab",IF(NOT(ISNUMBER($C1493)),"Enter a gross score",IF(COUNTIFS($A$5:$A$1668,$A1493,$B$5:$B$1668,$B1493)&gt;1,"Player is listed twice this week",IF(AND($D1493&lt;&gt;"",COUNTIFS($A$5:$A$1668,$A1493,$D$5:$D$1668,$D1493)&gt;1),"Two players picked as "&amp;$D1493,IF(COUNTIFS($A$5:$A$1668,$A1493,$D$5:$D$1668,"Gross winner")=0,"Pick this week's gross winner",IF(COUNTIFS($A$5:$A$1668,$A1493,$D$5:$D$1668,"Net winner")=0,"Pick this week's net winner","OK")))))))</f>
        <v/>
      </c>
    </row>
    <row r="1494" outlineLevel="1">
      <c r="A1494" s="13" t="n">
        <v>46715</v>
      </c>
      <c r="E1494" s="11">
        <f>IF(OR($B1494="",NOT(ISNUMBER($C1494))),"",COUNTIFS($A$5:$A$1668,$A1494,$C$5:$C$1668,"&lt;"&amp;$C1494)+1)</f>
        <v/>
      </c>
      <c r="F1494" s="11">
        <f>IF(OR($B1494="",NOT(ISNUMBER($C1494))),"",COUNTIFS($A$5:$A$1668,$A1494,$C$5:$C$1668,"&gt;0"))</f>
        <v/>
      </c>
      <c r="G1494" s="11">
        <f>IF(OR($B1494="",NOT(ISNUMBER($C1494))),"",IF($D1494&lt;&gt;"",ROUND(Points!$B$6*IF($F1494&lt;Points!$H$4,Points!$H$5,1),0),ROUND(Points!$B$6*IF($F1494&lt;=1,1,Points!$H$7+(1-Points!$H$7)*((($F1494-$E1494)*(($F1494-$E1494)+1)/2)^2-((($F1494-$E1494-COUNTIFS($A$5:$A$1668,$A1494,$C$5:$C$1668,$C1494)+1)-1)*($F1494-$E1494-COUNTIFS($A$5:$A$1668,$A1494,$C$5:$C$1668,$C1494)+1)/2)^2)/(COUNTIFS($A$5:$A$1668,$A1494,$C$5:$C$1668,$C1494)*($F1494-1)^3))*IF($F1494&lt;Points!$H$4,Points!$H$5,1),0)))</f>
        <v/>
      </c>
      <c r="H1494" s="11">
        <f>IF($G1494="","",COUNTIFS($B$5:$B$1668,$B1494,$G$5:$G$1668,"&gt;"&amp;$G1494)+COUNTIFS($B$4:$B1493,$B1494,$G$4:$G1493,$G1494)+1)</f>
        <v/>
      </c>
      <c r="I1494" s="11">
        <f>IF($G1494="","",IF($H1494&lt;=Points!$H$6,$G1494,0))</f>
        <v/>
      </c>
      <c r="J1494" s="11">
        <f>IF($B1494="","",IF(COUNTIF(Players!$A$2:$A$500,$B1494)=0,"Player is not on the Players tab",IF(NOT(ISNUMBER($C1494)),"Enter a gross score",IF(COUNTIFS($A$5:$A$1668,$A1494,$B$5:$B$1668,$B1494)&gt;1,"Player is listed twice this week",IF(AND($D1494&lt;&gt;"",COUNTIFS($A$5:$A$1668,$A1494,$D$5:$D$1668,$D1494)&gt;1),"Two players picked as "&amp;$D1494,IF(COUNTIFS($A$5:$A$1668,$A1494,$D$5:$D$1668,"Gross winner")=0,"Pick this week's gross winner",IF(COUNTIFS($A$5:$A$1668,$A1494,$D$5:$D$1668,"Net winner")=0,"Pick this week's net winner","OK")))))))</f>
        <v/>
      </c>
    </row>
    <row r="1495" outlineLevel="1">
      <c r="A1495" s="13" t="n">
        <v>46715</v>
      </c>
      <c r="E1495" s="11">
        <f>IF(OR($B1495="",NOT(ISNUMBER($C1495))),"",COUNTIFS($A$5:$A$1668,$A1495,$C$5:$C$1668,"&lt;"&amp;$C1495)+1)</f>
        <v/>
      </c>
      <c r="F1495" s="11">
        <f>IF(OR($B1495="",NOT(ISNUMBER($C1495))),"",COUNTIFS($A$5:$A$1668,$A1495,$C$5:$C$1668,"&gt;0"))</f>
        <v/>
      </c>
      <c r="G1495" s="11">
        <f>IF(OR($B1495="",NOT(ISNUMBER($C1495))),"",IF($D1495&lt;&gt;"",ROUND(Points!$B$6*IF($F1495&lt;Points!$H$4,Points!$H$5,1),0),ROUND(Points!$B$6*IF($F1495&lt;=1,1,Points!$H$7+(1-Points!$H$7)*((($F1495-$E1495)*(($F1495-$E1495)+1)/2)^2-((($F1495-$E1495-COUNTIFS($A$5:$A$1668,$A1495,$C$5:$C$1668,$C1495)+1)-1)*($F1495-$E1495-COUNTIFS($A$5:$A$1668,$A1495,$C$5:$C$1668,$C1495)+1)/2)^2)/(COUNTIFS($A$5:$A$1668,$A1495,$C$5:$C$1668,$C1495)*($F1495-1)^3))*IF($F1495&lt;Points!$H$4,Points!$H$5,1),0)))</f>
        <v/>
      </c>
      <c r="H1495" s="11">
        <f>IF($G1495="","",COUNTIFS($B$5:$B$1668,$B1495,$G$5:$G$1668,"&gt;"&amp;$G1495)+COUNTIFS($B$4:$B1494,$B1495,$G$4:$G1494,$G1495)+1)</f>
        <v/>
      </c>
      <c r="I1495" s="11">
        <f>IF($G1495="","",IF($H1495&lt;=Points!$H$6,$G1495,0))</f>
        <v/>
      </c>
      <c r="J1495" s="11">
        <f>IF($B1495="","",IF(COUNTIF(Players!$A$2:$A$500,$B1495)=0,"Player is not on the Players tab",IF(NOT(ISNUMBER($C1495)),"Enter a gross score",IF(COUNTIFS($A$5:$A$1668,$A1495,$B$5:$B$1668,$B1495)&gt;1,"Player is listed twice this week",IF(AND($D1495&lt;&gt;"",COUNTIFS($A$5:$A$1668,$A1495,$D$5:$D$1668,$D1495)&gt;1),"Two players picked as "&amp;$D1495,IF(COUNTIFS($A$5:$A$1668,$A1495,$D$5:$D$1668,"Gross winner")=0,"Pick this week's gross winner",IF(COUNTIFS($A$5:$A$1668,$A1495,$D$5:$D$1668,"Net winner")=0,"Pick this week's net winner","OK")))))))</f>
        <v/>
      </c>
    </row>
    <row r="1496" outlineLevel="1">
      <c r="A1496" s="13" t="n">
        <v>46715</v>
      </c>
      <c r="E1496" s="11">
        <f>IF(OR($B1496="",NOT(ISNUMBER($C1496))),"",COUNTIFS($A$5:$A$1668,$A1496,$C$5:$C$1668,"&lt;"&amp;$C1496)+1)</f>
        <v/>
      </c>
      <c r="F1496" s="11">
        <f>IF(OR($B1496="",NOT(ISNUMBER($C1496))),"",COUNTIFS($A$5:$A$1668,$A1496,$C$5:$C$1668,"&gt;0"))</f>
        <v/>
      </c>
      <c r="G1496" s="11">
        <f>IF(OR($B1496="",NOT(ISNUMBER($C1496))),"",IF($D1496&lt;&gt;"",ROUND(Points!$B$6*IF($F1496&lt;Points!$H$4,Points!$H$5,1),0),ROUND(Points!$B$6*IF($F1496&lt;=1,1,Points!$H$7+(1-Points!$H$7)*((($F1496-$E1496)*(($F1496-$E1496)+1)/2)^2-((($F1496-$E1496-COUNTIFS($A$5:$A$1668,$A1496,$C$5:$C$1668,$C1496)+1)-1)*($F1496-$E1496-COUNTIFS($A$5:$A$1668,$A1496,$C$5:$C$1668,$C1496)+1)/2)^2)/(COUNTIFS($A$5:$A$1668,$A1496,$C$5:$C$1668,$C1496)*($F1496-1)^3))*IF($F1496&lt;Points!$H$4,Points!$H$5,1),0)))</f>
        <v/>
      </c>
      <c r="H1496" s="11">
        <f>IF($G1496="","",COUNTIFS($B$5:$B$1668,$B1496,$G$5:$G$1668,"&gt;"&amp;$G1496)+COUNTIFS($B$4:$B1495,$B1496,$G$4:$G1495,$G1496)+1)</f>
        <v/>
      </c>
      <c r="I1496" s="11">
        <f>IF($G1496="","",IF($H1496&lt;=Points!$H$6,$G1496,0))</f>
        <v/>
      </c>
      <c r="J1496" s="11">
        <f>IF($B1496="","",IF(COUNTIF(Players!$A$2:$A$500,$B1496)=0,"Player is not on the Players tab",IF(NOT(ISNUMBER($C1496)),"Enter a gross score",IF(COUNTIFS($A$5:$A$1668,$A1496,$B$5:$B$1668,$B1496)&gt;1,"Player is listed twice this week",IF(AND($D1496&lt;&gt;"",COUNTIFS($A$5:$A$1668,$A1496,$D$5:$D$1668,$D1496)&gt;1),"Two players picked as "&amp;$D1496,IF(COUNTIFS($A$5:$A$1668,$A1496,$D$5:$D$1668,"Gross winner")=0,"Pick this week's gross winner",IF(COUNTIFS($A$5:$A$1668,$A1496,$D$5:$D$1668,"Net winner")=0,"Pick this week's net winner","OK")))))))</f>
        <v/>
      </c>
    </row>
    <row r="1497" outlineLevel="1">
      <c r="A1497" s="13" t="n">
        <v>46715</v>
      </c>
      <c r="E1497" s="11">
        <f>IF(OR($B1497="",NOT(ISNUMBER($C1497))),"",COUNTIFS($A$5:$A$1668,$A1497,$C$5:$C$1668,"&lt;"&amp;$C1497)+1)</f>
        <v/>
      </c>
      <c r="F1497" s="11">
        <f>IF(OR($B1497="",NOT(ISNUMBER($C1497))),"",COUNTIFS($A$5:$A$1668,$A1497,$C$5:$C$1668,"&gt;0"))</f>
        <v/>
      </c>
      <c r="G1497" s="11">
        <f>IF(OR($B1497="",NOT(ISNUMBER($C1497))),"",IF($D1497&lt;&gt;"",ROUND(Points!$B$6*IF($F1497&lt;Points!$H$4,Points!$H$5,1),0),ROUND(Points!$B$6*IF($F1497&lt;=1,1,Points!$H$7+(1-Points!$H$7)*((($F1497-$E1497)*(($F1497-$E1497)+1)/2)^2-((($F1497-$E1497-COUNTIFS($A$5:$A$1668,$A1497,$C$5:$C$1668,$C1497)+1)-1)*($F1497-$E1497-COUNTIFS($A$5:$A$1668,$A1497,$C$5:$C$1668,$C1497)+1)/2)^2)/(COUNTIFS($A$5:$A$1668,$A1497,$C$5:$C$1668,$C1497)*($F1497-1)^3))*IF($F1497&lt;Points!$H$4,Points!$H$5,1),0)))</f>
        <v/>
      </c>
      <c r="H1497" s="11">
        <f>IF($G1497="","",COUNTIFS($B$5:$B$1668,$B1497,$G$5:$G$1668,"&gt;"&amp;$G1497)+COUNTIFS($B$4:$B1496,$B1497,$G$4:$G1496,$G1497)+1)</f>
        <v/>
      </c>
      <c r="I1497" s="11">
        <f>IF($G1497="","",IF($H1497&lt;=Points!$H$6,$G1497,0))</f>
        <v/>
      </c>
      <c r="J1497" s="11">
        <f>IF($B1497="","",IF(COUNTIF(Players!$A$2:$A$500,$B1497)=0,"Player is not on the Players tab",IF(NOT(ISNUMBER($C1497)),"Enter a gross score",IF(COUNTIFS($A$5:$A$1668,$A1497,$B$5:$B$1668,$B1497)&gt;1,"Player is listed twice this week",IF(AND($D1497&lt;&gt;"",COUNTIFS($A$5:$A$1668,$A1497,$D$5:$D$1668,$D1497)&gt;1),"Two players picked as "&amp;$D1497,IF(COUNTIFS($A$5:$A$1668,$A1497,$D$5:$D$1668,"Gross winner")=0,"Pick this week's gross winner",IF(COUNTIFS($A$5:$A$1668,$A1497,$D$5:$D$1668,"Net winner")=0,"Pick this week's net winner","OK")))))))</f>
        <v/>
      </c>
    </row>
    <row r="1498" outlineLevel="1">
      <c r="A1498" s="13" t="n">
        <v>46715</v>
      </c>
      <c r="E1498" s="11">
        <f>IF(OR($B1498="",NOT(ISNUMBER($C1498))),"",COUNTIFS($A$5:$A$1668,$A1498,$C$5:$C$1668,"&lt;"&amp;$C1498)+1)</f>
        <v/>
      </c>
      <c r="F1498" s="11">
        <f>IF(OR($B1498="",NOT(ISNUMBER($C1498))),"",COUNTIFS($A$5:$A$1668,$A1498,$C$5:$C$1668,"&gt;0"))</f>
        <v/>
      </c>
      <c r="G1498" s="11">
        <f>IF(OR($B1498="",NOT(ISNUMBER($C1498))),"",IF($D1498&lt;&gt;"",ROUND(Points!$B$6*IF($F1498&lt;Points!$H$4,Points!$H$5,1),0),ROUND(Points!$B$6*IF($F1498&lt;=1,1,Points!$H$7+(1-Points!$H$7)*((($F1498-$E1498)*(($F1498-$E1498)+1)/2)^2-((($F1498-$E1498-COUNTIFS($A$5:$A$1668,$A1498,$C$5:$C$1668,$C1498)+1)-1)*($F1498-$E1498-COUNTIFS($A$5:$A$1668,$A1498,$C$5:$C$1668,$C1498)+1)/2)^2)/(COUNTIFS($A$5:$A$1668,$A1498,$C$5:$C$1668,$C1498)*($F1498-1)^3))*IF($F1498&lt;Points!$H$4,Points!$H$5,1),0)))</f>
        <v/>
      </c>
      <c r="H1498" s="11">
        <f>IF($G1498="","",COUNTIFS($B$5:$B$1668,$B1498,$G$5:$G$1668,"&gt;"&amp;$G1498)+COUNTIFS($B$4:$B1497,$B1498,$G$4:$G1497,$G1498)+1)</f>
        <v/>
      </c>
      <c r="I1498" s="11">
        <f>IF($G1498="","",IF($H1498&lt;=Points!$H$6,$G1498,0))</f>
        <v/>
      </c>
      <c r="J1498" s="11">
        <f>IF($B1498="","",IF(COUNTIF(Players!$A$2:$A$500,$B1498)=0,"Player is not on the Players tab",IF(NOT(ISNUMBER($C1498)),"Enter a gross score",IF(COUNTIFS($A$5:$A$1668,$A1498,$B$5:$B$1668,$B1498)&gt;1,"Player is listed twice this week",IF(AND($D1498&lt;&gt;"",COUNTIFS($A$5:$A$1668,$A1498,$D$5:$D$1668,$D1498)&gt;1),"Two players picked as "&amp;$D1498,IF(COUNTIFS($A$5:$A$1668,$A1498,$D$5:$D$1668,"Gross winner")=0,"Pick this week's gross winner",IF(COUNTIFS($A$5:$A$1668,$A1498,$D$5:$D$1668,"Net winner")=0,"Pick this week's net winner","OK")))))))</f>
        <v/>
      </c>
    </row>
    <row r="1499" outlineLevel="1">
      <c r="A1499" s="13" t="n">
        <v>46715</v>
      </c>
      <c r="E1499" s="11">
        <f>IF(OR($B1499="",NOT(ISNUMBER($C1499))),"",COUNTIFS($A$5:$A$1668,$A1499,$C$5:$C$1668,"&lt;"&amp;$C1499)+1)</f>
        <v/>
      </c>
      <c r="F1499" s="11">
        <f>IF(OR($B1499="",NOT(ISNUMBER($C1499))),"",COUNTIFS($A$5:$A$1668,$A1499,$C$5:$C$1668,"&gt;0"))</f>
        <v/>
      </c>
      <c r="G1499" s="11">
        <f>IF(OR($B1499="",NOT(ISNUMBER($C1499))),"",IF($D1499&lt;&gt;"",ROUND(Points!$B$6*IF($F1499&lt;Points!$H$4,Points!$H$5,1),0),ROUND(Points!$B$6*IF($F1499&lt;=1,1,Points!$H$7+(1-Points!$H$7)*((($F1499-$E1499)*(($F1499-$E1499)+1)/2)^2-((($F1499-$E1499-COUNTIFS($A$5:$A$1668,$A1499,$C$5:$C$1668,$C1499)+1)-1)*($F1499-$E1499-COUNTIFS($A$5:$A$1668,$A1499,$C$5:$C$1668,$C1499)+1)/2)^2)/(COUNTIFS($A$5:$A$1668,$A1499,$C$5:$C$1668,$C1499)*($F1499-1)^3))*IF($F1499&lt;Points!$H$4,Points!$H$5,1),0)))</f>
        <v/>
      </c>
      <c r="H1499" s="11">
        <f>IF($G1499="","",COUNTIFS($B$5:$B$1668,$B1499,$G$5:$G$1668,"&gt;"&amp;$G1499)+COUNTIFS($B$4:$B1498,$B1499,$G$4:$G1498,$G1499)+1)</f>
        <v/>
      </c>
      <c r="I1499" s="11">
        <f>IF($G1499="","",IF($H1499&lt;=Points!$H$6,$G1499,0))</f>
        <v/>
      </c>
      <c r="J1499" s="11">
        <f>IF($B1499="","",IF(COUNTIF(Players!$A$2:$A$500,$B1499)=0,"Player is not on the Players tab",IF(NOT(ISNUMBER($C1499)),"Enter a gross score",IF(COUNTIFS($A$5:$A$1668,$A1499,$B$5:$B$1668,$B1499)&gt;1,"Player is listed twice this week",IF(AND($D1499&lt;&gt;"",COUNTIFS($A$5:$A$1668,$A1499,$D$5:$D$1668,$D1499)&gt;1),"Two players picked as "&amp;$D1499,IF(COUNTIFS($A$5:$A$1668,$A1499,$D$5:$D$1668,"Gross winner")=0,"Pick this week's gross winner",IF(COUNTIFS($A$5:$A$1668,$A1499,$D$5:$D$1668,"Net winner")=0,"Pick this week's net winner","OK")))))))</f>
        <v/>
      </c>
    </row>
    <row r="1500" outlineLevel="1">
      <c r="A1500" s="13" t="n">
        <v>46715</v>
      </c>
      <c r="E1500" s="11">
        <f>IF(OR($B1500="",NOT(ISNUMBER($C1500))),"",COUNTIFS($A$5:$A$1668,$A1500,$C$5:$C$1668,"&lt;"&amp;$C1500)+1)</f>
        <v/>
      </c>
      <c r="F1500" s="11">
        <f>IF(OR($B1500="",NOT(ISNUMBER($C1500))),"",COUNTIFS($A$5:$A$1668,$A1500,$C$5:$C$1668,"&gt;0"))</f>
        <v/>
      </c>
      <c r="G1500" s="11">
        <f>IF(OR($B1500="",NOT(ISNUMBER($C1500))),"",IF($D1500&lt;&gt;"",ROUND(Points!$B$6*IF($F1500&lt;Points!$H$4,Points!$H$5,1),0),ROUND(Points!$B$6*IF($F1500&lt;=1,1,Points!$H$7+(1-Points!$H$7)*((($F1500-$E1500)*(($F1500-$E1500)+1)/2)^2-((($F1500-$E1500-COUNTIFS($A$5:$A$1668,$A1500,$C$5:$C$1668,$C1500)+1)-1)*($F1500-$E1500-COUNTIFS($A$5:$A$1668,$A1500,$C$5:$C$1668,$C1500)+1)/2)^2)/(COUNTIFS($A$5:$A$1668,$A1500,$C$5:$C$1668,$C1500)*($F1500-1)^3))*IF($F1500&lt;Points!$H$4,Points!$H$5,1),0)))</f>
        <v/>
      </c>
      <c r="H1500" s="11">
        <f>IF($G1500="","",COUNTIFS($B$5:$B$1668,$B1500,$G$5:$G$1668,"&gt;"&amp;$G1500)+COUNTIFS($B$4:$B1499,$B1500,$G$4:$G1499,$G1500)+1)</f>
        <v/>
      </c>
      <c r="I1500" s="11">
        <f>IF($G1500="","",IF($H1500&lt;=Points!$H$6,$G1500,0))</f>
        <v/>
      </c>
      <c r="J1500" s="11">
        <f>IF($B1500="","",IF(COUNTIF(Players!$A$2:$A$500,$B1500)=0,"Player is not on the Players tab",IF(NOT(ISNUMBER($C1500)),"Enter a gross score",IF(COUNTIFS($A$5:$A$1668,$A1500,$B$5:$B$1668,$B1500)&gt;1,"Player is listed twice this week",IF(AND($D1500&lt;&gt;"",COUNTIFS($A$5:$A$1668,$A1500,$D$5:$D$1668,$D1500)&gt;1),"Two players picked as "&amp;$D1500,IF(COUNTIFS($A$5:$A$1668,$A1500,$D$5:$D$1668,"Gross winner")=0,"Pick this week's gross winner",IF(COUNTIFS($A$5:$A$1668,$A1500,$D$5:$D$1668,"Net winner")=0,"Pick this week's net winner","OK")))))))</f>
        <v/>
      </c>
    </row>
    <row r="1501" outlineLevel="1">
      <c r="A1501" s="13" t="n">
        <v>46715</v>
      </c>
      <c r="E1501" s="11">
        <f>IF(OR($B1501="",NOT(ISNUMBER($C1501))),"",COUNTIFS($A$5:$A$1668,$A1501,$C$5:$C$1668,"&lt;"&amp;$C1501)+1)</f>
        <v/>
      </c>
      <c r="F1501" s="11">
        <f>IF(OR($B1501="",NOT(ISNUMBER($C1501))),"",COUNTIFS($A$5:$A$1668,$A1501,$C$5:$C$1668,"&gt;0"))</f>
        <v/>
      </c>
      <c r="G1501" s="11">
        <f>IF(OR($B1501="",NOT(ISNUMBER($C1501))),"",IF($D1501&lt;&gt;"",ROUND(Points!$B$6*IF($F1501&lt;Points!$H$4,Points!$H$5,1),0),ROUND(Points!$B$6*IF($F1501&lt;=1,1,Points!$H$7+(1-Points!$H$7)*((($F1501-$E1501)*(($F1501-$E1501)+1)/2)^2-((($F1501-$E1501-COUNTIFS($A$5:$A$1668,$A1501,$C$5:$C$1668,$C1501)+1)-1)*($F1501-$E1501-COUNTIFS($A$5:$A$1668,$A1501,$C$5:$C$1668,$C1501)+1)/2)^2)/(COUNTIFS($A$5:$A$1668,$A1501,$C$5:$C$1668,$C1501)*($F1501-1)^3))*IF($F1501&lt;Points!$H$4,Points!$H$5,1),0)))</f>
        <v/>
      </c>
      <c r="H1501" s="11">
        <f>IF($G1501="","",COUNTIFS($B$5:$B$1668,$B1501,$G$5:$G$1668,"&gt;"&amp;$G1501)+COUNTIFS($B$4:$B1500,$B1501,$G$4:$G1500,$G1501)+1)</f>
        <v/>
      </c>
      <c r="I1501" s="11">
        <f>IF($G1501="","",IF($H1501&lt;=Points!$H$6,$G1501,0))</f>
        <v/>
      </c>
      <c r="J1501" s="11">
        <f>IF($B1501="","",IF(COUNTIF(Players!$A$2:$A$500,$B1501)=0,"Player is not on the Players tab",IF(NOT(ISNUMBER($C1501)),"Enter a gross score",IF(COUNTIFS($A$5:$A$1668,$A1501,$B$5:$B$1668,$B1501)&gt;1,"Player is listed twice this week",IF(AND($D1501&lt;&gt;"",COUNTIFS($A$5:$A$1668,$A1501,$D$5:$D$1668,$D1501)&gt;1),"Two players picked as "&amp;$D1501,IF(COUNTIFS($A$5:$A$1668,$A1501,$D$5:$D$1668,"Gross winner")=0,"Pick this week's gross winner",IF(COUNTIFS($A$5:$A$1668,$A1501,$D$5:$D$1668,"Net winner")=0,"Pick this week's net winner","OK")))))))</f>
        <v/>
      </c>
    </row>
    <row r="1502" outlineLevel="1">
      <c r="A1502" s="13" t="n">
        <v>46715</v>
      </c>
      <c r="E1502" s="11">
        <f>IF(OR($B1502="",NOT(ISNUMBER($C1502))),"",COUNTIFS($A$5:$A$1668,$A1502,$C$5:$C$1668,"&lt;"&amp;$C1502)+1)</f>
        <v/>
      </c>
      <c r="F1502" s="11">
        <f>IF(OR($B1502="",NOT(ISNUMBER($C1502))),"",COUNTIFS($A$5:$A$1668,$A1502,$C$5:$C$1668,"&gt;0"))</f>
        <v/>
      </c>
      <c r="G1502" s="11">
        <f>IF(OR($B1502="",NOT(ISNUMBER($C1502))),"",IF($D1502&lt;&gt;"",ROUND(Points!$B$6*IF($F1502&lt;Points!$H$4,Points!$H$5,1),0),ROUND(Points!$B$6*IF($F1502&lt;=1,1,Points!$H$7+(1-Points!$H$7)*((($F1502-$E1502)*(($F1502-$E1502)+1)/2)^2-((($F1502-$E1502-COUNTIFS($A$5:$A$1668,$A1502,$C$5:$C$1668,$C1502)+1)-1)*($F1502-$E1502-COUNTIFS($A$5:$A$1668,$A1502,$C$5:$C$1668,$C1502)+1)/2)^2)/(COUNTIFS($A$5:$A$1668,$A1502,$C$5:$C$1668,$C1502)*($F1502-1)^3))*IF($F1502&lt;Points!$H$4,Points!$H$5,1),0)))</f>
        <v/>
      </c>
      <c r="H1502" s="11">
        <f>IF($G1502="","",COUNTIFS($B$5:$B$1668,$B1502,$G$5:$G$1668,"&gt;"&amp;$G1502)+COUNTIFS($B$4:$B1501,$B1502,$G$4:$G1501,$G1502)+1)</f>
        <v/>
      </c>
      <c r="I1502" s="11">
        <f>IF($G1502="","",IF($H1502&lt;=Points!$H$6,$G1502,0))</f>
        <v/>
      </c>
      <c r="J1502" s="11">
        <f>IF($B1502="","",IF(COUNTIF(Players!$A$2:$A$500,$B1502)=0,"Player is not on the Players tab",IF(NOT(ISNUMBER($C1502)),"Enter a gross score",IF(COUNTIFS($A$5:$A$1668,$A1502,$B$5:$B$1668,$B1502)&gt;1,"Player is listed twice this week",IF(AND($D1502&lt;&gt;"",COUNTIFS($A$5:$A$1668,$A1502,$D$5:$D$1668,$D1502)&gt;1),"Two players picked as "&amp;$D1502,IF(COUNTIFS($A$5:$A$1668,$A1502,$D$5:$D$1668,"Gross winner")=0,"Pick this week's gross winner",IF(COUNTIFS($A$5:$A$1668,$A1502,$D$5:$D$1668,"Net winner")=0,"Pick this week's net winner","OK")))))))</f>
        <v/>
      </c>
    </row>
    <row r="1503" outlineLevel="1">
      <c r="A1503" s="13" t="n">
        <v>46715</v>
      </c>
      <c r="E1503" s="11">
        <f>IF(OR($B1503="",NOT(ISNUMBER($C1503))),"",COUNTIFS($A$5:$A$1668,$A1503,$C$5:$C$1668,"&lt;"&amp;$C1503)+1)</f>
        <v/>
      </c>
      <c r="F1503" s="11">
        <f>IF(OR($B1503="",NOT(ISNUMBER($C1503))),"",COUNTIFS($A$5:$A$1668,$A1503,$C$5:$C$1668,"&gt;0"))</f>
        <v/>
      </c>
      <c r="G1503" s="11">
        <f>IF(OR($B1503="",NOT(ISNUMBER($C1503))),"",IF($D1503&lt;&gt;"",ROUND(Points!$B$6*IF($F1503&lt;Points!$H$4,Points!$H$5,1),0),ROUND(Points!$B$6*IF($F1503&lt;=1,1,Points!$H$7+(1-Points!$H$7)*((($F1503-$E1503)*(($F1503-$E1503)+1)/2)^2-((($F1503-$E1503-COUNTIFS($A$5:$A$1668,$A1503,$C$5:$C$1668,$C1503)+1)-1)*($F1503-$E1503-COUNTIFS($A$5:$A$1668,$A1503,$C$5:$C$1668,$C1503)+1)/2)^2)/(COUNTIFS($A$5:$A$1668,$A1503,$C$5:$C$1668,$C1503)*($F1503-1)^3))*IF($F1503&lt;Points!$H$4,Points!$H$5,1),0)))</f>
        <v/>
      </c>
      <c r="H1503" s="11">
        <f>IF($G1503="","",COUNTIFS($B$5:$B$1668,$B1503,$G$5:$G$1668,"&gt;"&amp;$G1503)+COUNTIFS($B$4:$B1502,$B1503,$G$4:$G1502,$G1503)+1)</f>
        <v/>
      </c>
      <c r="I1503" s="11">
        <f>IF($G1503="","",IF($H1503&lt;=Points!$H$6,$G1503,0))</f>
        <v/>
      </c>
      <c r="J1503" s="11">
        <f>IF($B1503="","",IF(COUNTIF(Players!$A$2:$A$500,$B1503)=0,"Player is not on the Players tab",IF(NOT(ISNUMBER($C1503)),"Enter a gross score",IF(COUNTIFS($A$5:$A$1668,$A1503,$B$5:$B$1668,$B1503)&gt;1,"Player is listed twice this week",IF(AND($D1503&lt;&gt;"",COUNTIFS($A$5:$A$1668,$A1503,$D$5:$D$1668,$D1503)&gt;1),"Two players picked as "&amp;$D1503,IF(COUNTIFS($A$5:$A$1668,$A1503,$D$5:$D$1668,"Gross winner")=0,"Pick this week's gross winner",IF(COUNTIFS($A$5:$A$1668,$A1503,$D$5:$D$1668,"Net winner")=0,"Pick this week's net winner","OK")))))))</f>
        <v/>
      </c>
    </row>
    <row r="1504" outlineLevel="1">
      <c r="A1504" s="13" t="n">
        <v>46715</v>
      </c>
      <c r="E1504" s="11">
        <f>IF(OR($B1504="",NOT(ISNUMBER($C1504))),"",COUNTIFS($A$5:$A$1668,$A1504,$C$5:$C$1668,"&lt;"&amp;$C1504)+1)</f>
        <v/>
      </c>
      <c r="F1504" s="11">
        <f>IF(OR($B1504="",NOT(ISNUMBER($C1504))),"",COUNTIFS($A$5:$A$1668,$A1504,$C$5:$C$1668,"&gt;0"))</f>
        <v/>
      </c>
      <c r="G1504" s="11">
        <f>IF(OR($B1504="",NOT(ISNUMBER($C1504))),"",IF($D1504&lt;&gt;"",ROUND(Points!$B$6*IF($F1504&lt;Points!$H$4,Points!$H$5,1),0),ROUND(Points!$B$6*IF($F1504&lt;=1,1,Points!$H$7+(1-Points!$H$7)*((($F1504-$E1504)*(($F1504-$E1504)+1)/2)^2-((($F1504-$E1504-COUNTIFS($A$5:$A$1668,$A1504,$C$5:$C$1668,$C1504)+1)-1)*($F1504-$E1504-COUNTIFS($A$5:$A$1668,$A1504,$C$5:$C$1668,$C1504)+1)/2)^2)/(COUNTIFS($A$5:$A$1668,$A1504,$C$5:$C$1668,$C1504)*($F1504-1)^3))*IF($F1504&lt;Points!$H$4,Points!$H$5,1),0)))</f>
        <v/>
      </c>
      <c r="H1504" s="11">
        <f>IF($G1504="","",COUNTIFS($B$5:$B$1668,$B1504,$G$5:$G$1668,"&gt;"&amp;$G1504)+COUNTIFS($B$4:$B1503,$B1504,$G$4:$G1503,$G1504)+1)</f>
        <v/>
      </c>
      <c r="I1504" s="11">
        <f>IF($G1504="","",IF($H1504&lt;=Points!$H$6,$G1504,0))</f>
        <v/>
      </c>
      <c r="J1504" s="11">
        <f>IF($B1504="","",IF(COUNTIF(Players!$A$2:$A$500,$B1504)=0,"Player is not on the Players tab",IF(NOT(ISNUMBER($C1504)),"Enter a gross score",IF(COUNTIFS($A$5:$A$1668,$A1504,$B$5:$B$1668,$B1504)&gt;1,"Player is listed twice this week",IF(AND($D1504&lt;&gt;"",COUNTIFS($A$5:$A$1668,$A1504,$D$5:$D$1668,$D1504)&gt;1),"Two players picked as "&amp;$D1504,IF(COUNTIFS($A$5:$A$1668,$A1504,$D$5:$D$1668,"Gross winner")=0,"Pick this week's gross winner",IF(COUNTIFS($A$5:$A$1668,$A1504,$D$5:$D$1668,"Net winner")=0,"Pick this week's net winner","OK")))))))</f>
        <v/>
      </c>
    </row>
    <row r="1505" outlineLevel="1">
      <c r="A1505" s="13" t="n">
        <v>46715</v>
      </c>
      <c r="E1505" s="11">
        <f>IF(OR($B1505="",NOT(ISNUMBER($C1505))),"",COUNTIFS($A$5:$A$1668,$A1505,$C$5:$C$1668,"&lt;"&amp;$C1505)+1)</f>
        <v/>
      </c>
      <c r="F1505" s="11">
        <f>IF(OR($B1505="",NOT(ISNUMBER($C1505))),"",COUNTIFS($A$5:$A$1668,$A1505,$C$5:$C$1668,"&gt;0"))</f>
        <v/>
      </c>
      <c r="G1505" s="11">
        <f>IF(OR($B1505="",NOT(ISNUMBER($C1505))),"",IF($D1505&lt;&gt;"",ROUND(Points!$B$6*IF($F1505&lt;Points!$H$4,Points!$H$5,1),0),ROUND(Points!$B$6*IF($F1505&lt;=1,1,Points!$H$7+(1-Points!$H$7)*((($F1505-$E1505)*(($F1505-$E1505)+1)/2)^2-((($F1505-$E1505-COUNTIFS($A$5:$A$1668,$A1505,$C$5:$C$1668,$C1505)+1)-1)*($F1505-$E1505-COUNTIFS($A$5:$A$1668,$A1505,$C$5:$C$1668,$C1505)+1)/2)^2)/(COUNTIFS($A$5:$A$1668,$A1505,$C$5:$C$1668,$C1505)*($F1505-1)^3))*IF($F1505&lt;Points!$H$4,Points!$H$5,1),0)))</f>
        <v/>
      </c>
      <c r="H1505" s="11">
        <f>IF($G1505="","",COUNTIFS($B$5:$B$1668,$B1505,$G$5:$G$1668,"&gt;"&amp;$G1505)+COUNTIFS($B$4:$B1504,$B1505,$G$4:$G1504,$G1505)+1)</f>
        <v/>
      </c>
      <c r="I1505" s="11">
        <f>IF($G1505="","",IF($H1505&lt;=Points!$H$6,$G1505,0))</f>
        <v/>
      </c>
      <c r="J1505" s="11">
        <f>IF($B1505="","",IF(COUNTIF(Players!$A$2:$A$500,$B1505)=0,"Player is not on the Players tab",IF(NOT(ISNUMBER($C1505)),"Enter a gross score",IF(COUNTIFS($A$5:$A$1668,$A1505,$B$5:$B$1668,$B1505)&gt;1,"Player is listed twice this week",IF(AND($D1505&lt;&gt;"",COUNTIFS($A$5:$A$1668,$A1505,$D$5:$D$1668,$D1505)&gt;1),"Two players picked as "&amp;$D1505,IF(COUNTIFS($A$5:$A$1668,$A1505,$D$5:$D$1668,"Gross winner")=0,"Pick this week's gross winner",IF(COUNTIFS($A$5:$A$1668,$A1505,$D$5:$D$1668,"Net winner")=0,"Pick this week's net winner","OK")))))))</f>
        <v/>
      </c>
    </row>
    <row r="1506" outlineLevel="1">
      <c r="A1506" s="13" t="n">
        <v>46715</v>
      </c>
      <c r="E1506" s="11">
        <f>IF(OR($B1506="",NOT(ISNUMBER($C1506))),"",COUNTIFS($A$5:$A$1668,$A1506,$C$5:$C$1668,"&lt;"&amp;$C1506)+1)</f>
        <v/>
      </c>
      <c r="F1506" s="11">
        <f>IF(OR($B1506="",NOT(ISNUMBER($C1506))),"",COUNTIFS($A$5:$A$1668,$A1506,$C$5:$C$1668,"&gt;0"))</f>
        <v/>
      </c>
      <c r="G1506" s="11">
        <f>IF(OR($B1506="",NOT(ISNUMBER($C1506))),"",IF($D1506&lt;&gt;"",ROUND(Points!$B$6*IF($F1506&lt;Points!$H$4,Points!$H$5,1),0),ROUND(Points!$B$6*IF($F1506&lt;=1,1,Points!$H$7+(1-Points!$H$7)*((($F1506-$E1506)*(($F1506-$E1506)+1)/2)^2-((($F1506-$E1506-COUNTIFS($A$5:$A$1668,$A1506,$C$5:$C$1668,$C1506)+1)-1)*($F1506-$E1506-COUNTIFS($A$5:$A$1668,$A1506,$C$5:$C$1668,$C1506)+1)/2)^2)/(COUNTIFS($A$5:$A$1668,$A1506,$C$5:$C$1668,$C1506)*($F1506-1)^3))*IF($F1506&lt;Points!$H$4,Points!$H$5,1),0)))</f>
        <v/>
      </c>
      <c r="H1506" s="11">
        <f>IF($G1506="","",COUNTIFS($B$5:$B$1668,$B1506,$G$5:$G$1668,"&gt;"&amp;$G1506)+COUNTIFS($B$4:$B1505,$B1506,$G$4:$G1505,$G1506)+1)</f>
        <v/>
      </c>
      <c r="I1506" s="11">
        <f>IF($G1506="","",IF($H1506&lt;=Points!$H$6,$G1506,0))</f>
        <v/>
      </c>
      <c r="J1506" s="11">
        <f>IF($B1506="","",IF(COUNTIF(Players!$A$2:$A$500,$B1506)=0,"Player is not on the Players tab",IF(NOT(ISNUMBER($C1506)),"Enter a gross score",IF(COUNTIFS($A$5:$A$1668,$A1506,$B$5:$B$1668,$B1506)&gt;1,"Player is listed twice this week",IF(AND($D1506&lt;&gt;"",COUNTIFS($A$5:$A$1668,$A1506,$D$5:$D$1668,$D1506)&gt;1),"Two players picked as "&amp;$D1506,IF(COUNTIFS($A$5:$A$1668,$A1506,$D$5:$D$1668,"Gross winner")=0,"Pick this week's gross winner",IF(COUNTIFS($A$5:$A$1668,$A1506,$D$5:$D$1668,"Net winner")=0,"Pick this week's net winner","OK")))))))</f>
        <v/>
      </c>
    </row>
    <row r="1507" outlineLevel="1">
      <c r="A1507" s="13" t="n">
        <v>46715</v>
      </c>
      <c r="E1507" s="11">
        <f>IF(OR($B1507="",NOT(ISNUMBER($C1507))),"",COUNTIFS($A$5:$A$1668,$A1507,$C$5:$C$1668,"&lt;"&amp;$C1507)+1)</f>
        <v/>
      </c>
      <c r="F1507" s="11">
        <f>IF(OR($B1507="",NOT(ISNUMBER($C1507))),"",COUNTIFS($A$5:$A$1668,$A1507,$C$5:$C$1668,"&gt;0"))</f>
        <v/>
      </c>
      <c r="G1507" s="11">
        <f>IF(OR($B1507="",NOT(ISNUMBER($C1507))),"",IF($D1507&lt;&gt;"",ROUND(Points!$B$6*IF($F1507&lt;Points!$H$4,Points!$H$5,1),0),ROUND(Points!$B$6*IF($F1507&lt;=1,1,Points!$H$7+(1-Points!$H$7)*((($F1507-$E1507)*(($F1507-$E1507)+1)/2)^2-((($F1507-$E1507-COUNTIFS($A$5:$A$1668,$A1507,$C$5:$C$1668,$C1507)+1)-1)*($F1507-$E1507-COUNTIFS($A$5:$A$1668,$A1507,$C$5:$C$1668,$C1507)+1)/2)^2)/(COUNTIFS($A$5:$A$1668,$A1507,$C$5:$C$1668,$C1507)*($F1507-1)^3))*IF($F1507&lt;Points!$H$4,Points!$H$5,1),0)))</f>
        <v/>
      </c>
      <c r="H1507" s="11">
        <f>IF($G1507="","",COUNTIFS($B$5:$B$1668,$B1507,$G$5:$G$1668,"&gt;"&amp;$G1507)+COUNTIFS($B$4:$B1506,$B1507,$G$4:$G1506,$G1507)+1)</f>
        <v/>
      </c>
      <c r="I1507" s="11">
        <f>IF($G1507="","",IF($H1507&lt;=Points!$H$6,$G1507,0))</f>
        <v/>
      </c>
      <c r="J1507" s="11">
        <f>IF($B1507="","",IF(COUNTIF(Players!$A$2:$A$500,$B1507)=0,"Player is not on the Players tab",IF(NOT(ISNUMBER($C1507)),"Enter a gross score",IF(COUNTIFS($A$5:$A$1668,$A1507,$B$5:$B$1668,$B1507)&gt;1,"Player is listed twice this week",IF(AND($D1507&lt;&gt;"",COUNTIFS($A$5:$A$1668,$A1507,$D$5:$D$1668,$D1507)&gt;1),"Two players picked as "&amp;$D1507,IF(COUNTIFS($A$5:$A$1668,$A1507,$D$5:$D$1668,"Gross winner")=0,"Pick this week's gross winner",IF(COUNTIFS($A$5:$A$1668,$A1507,$D$5:$D$1668,"Net winner")=0,"Pick this week's net winner","OK")))))))</f>
        <v/>
      </c>
    </row>
    <row r="1508" ht="10" customHeight="1"/>
    <row r="1509" ht="22" customHeight="1">
      <c r="A1509" s="12" t="inlineStr">
        <is>
          <t>Week 48  ·  Wednesday, Dec 1</t>
        </is>
      </c>
    </row>
    <row r="1510" outlineLevel="1">
      <c r="A1510" s="13" t="n">
        <v>46722</v>
      </c>
      <c r="E1510" s="11">
        <f>IF(OR($B1510="",NOT(ISNUMBER($C1510))),"",COUNTIFS($A$5:$A$1668,$A1510,$C$5:$C$1668,"&lt;"&amp;$C1510)+1)</f>
        <v/>
      </c>
      <c r="F1510" s="11">
        <f>IF(OR($B1510="",NOT(ISNUMBER($C1510))),"",COUNTIFS($A$5:$A$1668,$A1510,$C$5:$C$1668,"&gt;0"))</f>
        <v/>
      </c>
      <c r="G1510" s="11">
        <f>IF(OR($B1510="",NOT(ISNUMBER($C1510))),"",IF($D1510&lt;&gt;"",ROUND(Points!$B$6*IF($F1510&lt;Points!$H$4,Points!$H$5,1),0),ROUND(Points!$B$6*IF($F1510&lt;=1,1,Points!$H$7+(1-Points!$H$7)*((($F1510-$E1510)*(($F1510-$E1510)+1)/2)^2-((($F1510-$E1510-COUNTIFS($A$5:$A$1668,$A1510,$C$5:$C$1668,$C1510)+1)-1)*($F1510-$E1510-COUNTIFS($A$5:$A$1668,$A1510,$C$5:$C$1668,$C1510)+1)/2)^2)/(COUNTIFS($A$5:$A$1668,$A1510,$C$5:$C$1668,$C1510)*($F1510-1)^3))*IF($F1510&lt;Points!$H$4,Points!$H$5,1),0)))</f>
        <v/>
      </c>
      <c r="H1510" s="11">
        <f>IF($G1510="","",COUNTIFS($B$5:$B$1668,$B1510,$G$5:$G$1668,"&gt;"&amp;$G1510)+COUNTIFS($B$4:$B1509,$B1510,$G$4:$G1509,$G1510)+1)</f>
        <v/>
      </c>
      <c r="I1510" s="11">
        <f>IF($G1510="","",IF($H1510&lt;=Points!$H$6,$G1510,0))</f>
        <v/>
      </c>
      <c r="J1510" s="11">
        <f>IF($B1510="","",IF(COUNTIF(Players!$A$2:$A$500,$B1510)=0,"Player is not on the Players tab",IF(NOT(ISNUMBER($C1510)),"Enter a gross score",IF(COUNTIFS($A$5:$A$1668,$A1510,$B$5:$B$1668,$B1510)&gt;1,"Player is listed twice this week",IF(AND($D1510&lt;&gt;"",COUNTIFS($A$5:$A$1668,$A1510,$D$5:$D$1668,$D1510)&gt;1),"Two players picked as "&amp;$D1510,IF(COUNTIFS($A$5:$A$1668,$A1510,$D$5:$D$1668,"Gross winner")=0,"Pick this week's gross winner",IF(COUNTIFS($A$5:$A$1668,$A1510,$D$5:$D$1668,"Net winner")=0,"Pick this week's net winner","OK")))))))</f>
        <v/>
      </c>
    </row>
    <row r="1511" outlineLevel="1">
      <c r="A1511" s="13" t="n">
        <v>46722</v>
      </c>
      <c r="E1511" s="11">
        <f>IF(OR($B1511="",NOT(ISNUMBER($C1511))),"",COUNTIFS($A$5:$A$1668,$A1511,$C$5:$C$1668,"&lt;"&amp;$C1511)+1)</f>
        <v/>
      </c>
      <c r="F1511" s="11">
        <f>IF(OR($B1511="",NOT(ISNUMBER($C1511))),"",COUNTIFS($A$5:$A$1668,$A1511,$C$5:$C$1668,"&gt;0"))</f>
        <v/>
      </c>
      <c r="G1511" s="11">
        <f>IF(OR($B1511="",NOT(ISNUMBER($C1511))),"",IF($D1511&lt;&gt;"",ROUND(Points!$B$6*IF($F1511&lt;Points!$H$4,Points!$H$5,1),0),ROUND(Points!$B$6*IF($F1511&lt;=1,1,Points!$H$7+(1-Points!$H$7)*((($F1511-$E1511)*(($F1511-$E1511)+1)/2)^2-((($F1511-$E1511-COUNTIFS($A$5:$A$1668,$A1511,$C$5:$C$1668,$C1511)+1)-1)*($F1511-$E1511-COUNTIFS($A$5:$A$1668,$A1511,$C$5:$C$1668,$C1511)+1)/2)^2)/(COUNTIFS($A$5:$A$1668,$A1511,$C$5:$C$1668,$C1511)*($F1511-1)^3))*IF($F1511&lt;Points!$H$4,Points!$H$5,1),0)))</f>
        <v/>
      </c>
      <c r="H1511" s="11">
        <f>IF($G1511="","",COUNTIFS($B$5:$B$1668,$B1511,$G$5:$G$1668,"&gt;"&amp;$G1511)+COUNTIFS($B$4:$B1510,$B1511,$G$4:$G1510,$G1511)+1)</f>
        <v/>
      </c>
      <c r="I1511" s="11">
        <f>IF($G1511="","",IF($H1511&lt;=Points!$H$6,$G1511,0))</f>
        <v/>
      </c>
      <c r="J1511" s="11">
        <f>IF($B1511="","",IF(COUNTIF(Players!$A$2:$A$500,$B1511)=0,"Player is not on the Players tab",IF(NOT(ISNUMBER($C1511)),"Enter a gross score",IF(COUNTIFS($A$5:$A$1668,$A1511,$B$5:$B$1668,$B1511)&gt;1,"Player is listed twice this week",IF(AND($D1511&lt;&gt;"",COUNTIFS($A$5:$A$1668,$A1511,$D$5:$D$1668,$D1511)&gt;1),"Two players picked as "&amp;$D1511,IF(COUNTIFS($A$5:$A$1668,$A1511,$D$5:$D$1668,"Gross winner")=0,"Pick this week's gross winner",IF(COUNTIFS($A$5:$A$1668,$A1511,$D$5:$D$1668,"Net winner")=0,"Pick this week's net winner","OK")))))))</f>
        <v/>
      </c>
    </row>
    <row r="1512" outlineLevel="1">
      <c r="A1512" s="13" t="n">
        <v>46722</v>
      </c>
      <c r="E1512" s="11">
        <f>IF(OR($B1512="",NOT(ISNUMBER($C1512))),"",COUNTIFS($A$5:$A$1668,$A1512,$C$5:$C$1668,"&lt;"&amp;$C1512)+1)</f>
        <v/>
      </c>
      <c r="F1512" s="11">
        <f>IF(OR($B1512="",NOT(ISNUMBER($C1512))),"",COUNTIFS($A$5:$A$1668,$A1512,$C$5:$C$1668,"&gt;0"))</f>
        <v/>
      </c>
      <c r="G1512" s="11">
        <f>IF(OR($B1512="",NOT(ISNUMBER($C1512))),"",IF($D1512&lt;&gt;"",ROUND(Points!$B$6*IF($F1512&lt;Points!$H$4,Points!$H$5,1),0),ROUND(Points!$B$6*IF($F1512&lt;=1,1,Points!$H$7+(1-Points!$H$7)*((($F1512-$E1512)*(($F1512-$E1512)+1)/2)^2-((($F1512-$E1512-COUNTIFS($A$5:$A$1668,$A1512,$C$5:$C$1668,$C1512)+1)-1)*($F1512-$E1512-COUNTIFS($A$5:$A$1668,$A1512,$C$5:$C$1668,$C1512)+1)/2)^2)/(COUNTIFS($A$5:$A$1668,$A1512,$C$5:$C$1668,$C1512)*($F1512-1)^3))*IF($F1512&lt;Points!$H$4,Points!$H$5,1),0)))</f>
        <v/>
      </c>
      <c r="H1512" s="11">
        <f>IF($G1512="","",COUNTIFS($B$5:$B$1668,$B1512,$G$5:$G$1668,"&gt;"&amp;$G1512)+COUNTIFS($B$4:$B1511,$B1512,$G$4:$G1511,$G1512)+1)</f>
        <v/>
      </c>
      <c r="I1512" s="11">
        <f>IF($G1512="","",IF($H1512&lt;=Points!$H$6,$G1512,0))</f>
        <v/>
      </c>
      <c r="J1512" s="11">
        <f>IF($B1512="","",IF(COUNTIF(Players!$A$2:$A$500,$B1512)=0,"Player is not on the Players tab",IF(NOT(ISNUMBER($C1512)),"Enter a gross score",IF(COUNTIFS($A$5:$A$1668,$A1512,$B$5:$B$1668,$B1512)&gt;1,"Player is listed twice this week",IF(AND($D1512&lt;&gt;"",COUNTIFS($A$5:$A$1668,$A1512,$D$5:$D$1668,$D1512)&gt;1),"Two players picked as "&amp;$D1512,IF(COUNTIFS($A$5:$A$1668,$A1512,$D$5:$D$1668,"Gross winner")=0,"Pick this week's gross winner",IF(COUNTIFS($A$5:$A$1668,$A1512,$D$5:$D$1668,"Net winner")=0,"Pick this week's net winner","OK")))))))</f>
        <v/>
      </c>
    </row>
    <row r="1513" outlineLevel="1">
      <c r="A1513" s="13" t="n">
        <v>46722</v>
      </c>
      <c r="E1513" s="11">
        <f>IF(OR($B1513="",NOT(ISNUMBER($C1513))),"",COUNTIFS($A$5:$A$1668,$A1513,$C$5:$C$1668,"&lt;"&amp;$C1513)+1)</f>
        <v/>
      </c>
      <c r="F1513" s="11">
        <f>IF(OR($B1513="",NOT(ISNUMBER($C1513))),"",COUNTIFS($A$5:$A$1668,$A1513,$C$5:$C$1668,"&gt;0"))</f>
        <v/>
      </c>
      <c r="G1513" s="11">
        <f>IF(OR($B1513="",NOT(ISNUMBER($C1513))),"",IF($D1513&lt;&gt;"",ROUND(Points!$B$6*IF($F1513&lt;Points!$H$4,Points!$H$5,1),0),ROUND(Points!$B$6*IF($F1513&lt;=1,1,Points!$H$7+(1-Points!$H$7)*((($F1513-$E1513)*(($F1513-$E1513)+1)/2)^2-((($F1513-$E1513-COUNTIFS($A$5:$A$1668,$A1513,$C$5:$C$1668,$C1513)+1)-1)*($F1513-$E1513-COUNTIFS($A$5:$A$1668,$A1513,$C$5:$C$1668,$C1513)+1)/2)^2)/(COUNTIFS($A$5:$A$1668,$A1513,$C$5:$C$1668,$C1513)*($F1513-1)^3))*IF($F1513&lt;Points!$H$4,Points!$H$5,1),0)))</f>
        <v/>
      </c>
      <c r="H1513" s="11">
        <f>IF($G1513="","",COUNTIFS($B$5:$B$1668,$B1513,$G$5:$G$1668,"&gt;"&amp;$G1513)+COUNTIFS($B$4:$B1512,$B1513,$G$4:$G1512,$G1513)+1)</f>
        <v/>
      </c>
      <c r="I1513" s="11">
        <f>IF($G1513="","",IF($H1513&lt;=Points!$H$6,$G1513,0))</f>
        <v/>
      </c>
      <c r="J1513" s="11">
        <f>IF($B1513="","",IF(COUNTIF(Players!$A$2:$A$500,$B1513)=0,"Player is not on the Players tab",IF(NOT(ISNUMBER($C1513)),"Enter a gross score",IF(COUNTIFS($A$5:$A$1668,$A1513,$B$5:$B$1668,$B1513)&gt;1,"Player is listed twice this week",IF(AND($D1513&lt;&gt;"",COUNTIFS($A$5:$A$1668,$A1513,$D$5:$D$1668,$D1513)&gt;1),"Two players picked as "&amp;$D1513,IF(COUNTIFS($A$5:$A$1668,$A1513,$D$5:$D$1668,"Gross winner")=0,"Pick this week's gross winner",IF(COUNTIFS($A$5:$A$1668,$A1513,$D$5:$D$1668,"Net winner")=0,"Pick this week's net winner","OK")))))))</f>
        <v/>
      </c>
    </row>
    <row r="1514" outlineLevel="1">
      <c r="A1514" s="13" t="n">
        <v>46722</v>
      </c>
      <c r="E1514" s="11">
        <f>IF(OR($B1514="",NOT(ISNUMBER($C1514))),"",COUNTIFS($A$5:$A$1668,$A1514,$C$5:$C$1668,"&lt;"&amp;$C1514)+1)</f>
        <v/>
      </c>
      <c r="F1514" s="11">
        <f>IF(OR($B1514="",NOT(ISNUMBER($C1514))),"",COUNTIFS($A$5:$A$1668,$A1514,$C$5:$C$1668,"&gt;0"))</f>
        <v/>
      </c>
      <c r="G1514" s="11">
        <f>IF(OR($B1514="",NOT(ISNUMBER($C1514))),"",IF($D1514&lt;&gt;"",ROUND(Points!$B$6*IF($F1514&lt;Points!$H$4,Points!$H$5,1),0),ROUND(Points!$B$6*IF($F1514&lt;=1,1,Points!$H$7+(1-Points!$H$7)*((($F1514-$E1514)*(($F1514-$E1514)+1)/2)^2-((($F1514-$E1514-COUNTIFS($A$5:$A$1668,$A1514,$C$5:$C$1668,$C1514)+1)-1)*($F1514-$E1514-COUNTIFS($A$5:$A$1668,$A1514,$C$5:$C$1668,$C1514)+1)/2)^2)/(COUNTIFS($A$5:$A$1668,$A1514,$C$5:$C$1668,$C1514)*($F1514-1)^3))*IF($F1514&lt;Points!$H$4,Points!$H$5,1),0)))</f>
        <v/>
      </c>
      <c r="H1514" s="11">
        <f>IF($G1514="","",COUNTIFS($B$5:$B$1668,$B1514,$G$5:$G$1668,"&gt;"&amp;$G1514)+COUNTIFS($B$4:$B1513,$B1514,$G$4:$G1513,$G1514)+1)</f>
        <v/>
      </c>
      <c r="I1514" s="11">
        <f>IF($G1514="","",IF($H1514&lt;=Points!$H$6,$G1514,0))</f>
        <v/>
      </c>
      <c r="J1514" s="11">
        <f>IF($B1514="","",IF(COUNTIF(Players!$A$2:$A$500,$B1514)=0,"Player is not on the Players tab",IF(NOT(ISNUMBER($C1514)),"Enter a gross score",IF(COUNTIFS($A$5:$A$1668,$A1514,$B$5:$B$1668,$B1514)&gt;1,"Player is listed twice this week",IF(AND($D1514&lt;&gt;"",COUNTIFS($A$5:$A$1668,$A1514,$D$5:$D$1668,$D1514)&gt;1),"Two players picked as "&amp;$D1514,IF(COUNTIFS($A$5:$A$1668,$A1514,$D$5:$D$1668,"Gross winner")=0,"Pick this week's gross winner",IF(COUNTIFS($A$5:$A$1668,$A1514,$D$5:$D$1668,"Net winner")=0,"Pick this week's net winner","OK")))))))</f>
        <v/>
      </c>
    </row>
    <row r="1515" outlineLevel="1">
      <c r="A1515" s="13" t="n">
        <v>46722</v>
      </c>
      <c r="E1515" s="11">
        <f>IF(OR($B1515="",NOT(ISNUMBER($C1515))),"",COUNTIFS($A$5:$A$1668,$A1515,$C$5:$C$1668,"&lt;"&amp;$C1515)+1)</f>
        <v/>
      </c>
      <c r="F1515" s="11">
        <f>IF(OR($B1515="",NOT(ISNUMBER($C1515))),"",COUNTIFS($A$5:$A$1668,$A1515,$C$5:$C$1668,"&gt;0"))</f>
        <v/>
      </c>
      <c r="G1515" s="11">
        <f>IF(OR($B1515="",NOT(ISNUMBER($C1515))),"",IF($D1515&lt;&gt;"",ROUND(Points!$B$6*IF($F1515&lt;Points!$H$4,Points!$H$5,1),0),ROUND(Points!$B$6*IF($F1515&lt;=1,1,Points!$H$7+(1-Points!$H$7)*((($F1515-$E1515)*(($F1515-$E1515)+1)/2)^2-((($F1515-$E1515-COUNTIFS($A$5:$A$1668,$A1515,$C$5:$C$1668,$C1515)+1)-1)*($F1515-$E1515-COUNTIFS($A$5:$A$1668,$A1515,$C$5:$C$1668,$C1515)+1)/2)^2)/(COUNTIFS($A$5:$A$1668,$A1515,$C$5:$C$1668,$C1515)*($F1515-1)^3))*IF($F1515&lt;Points!$H$4,Points!$H$5,1),0)))</f>
        <v/>
      </c>
      <c r="H1515" s="11">
        <f>IF($G1515="","",COUNTIFS($B$5:$B$1668,$B1515,$G$5:$G$1668,"&gt;"&amp;$G1515)+COUNTIFS($B$4:$B1514,$B1515,$G$4:$G1514,$G1515)+1)</f>
        <v/>
      </c>
      <c r="I1515" s="11">
        <f>IF($G1515="","",IF($H1515&lt;=Points!$H$6,$G1515,0))</f>
        <v/>
      </c>
      <c r="J1515" s="11">
        <f>IF($B1515="","",IF(COUNTIF(Players!$A$2:$A$500,$B1515)=0,"Player is not on the Players tab",IF(NOT(ISNUMBER($C1515)),"Enter a gross score",IF(COUNTIFS($A$5:$A$1668,$A1515,$B$5:$B$1668,$B1515)&gt;1,"Player is listed twice this week",IF(AND($D1515&lt;&gt;"",COUNTIFS($A$5:$A$1668,$A1515,$D$5:$D$1668,$D1515)&gt;1),"Two players picked as "&amp;$D1515,IF(COUNTIFS($A$5:$A$1668,$A1515,$D$5:$D$1668,"Gross winner")=0,"Pick this week's gross winner",IF(COUNTIFS($A$5:$A$1668,$A1515,$D$5:$D$1668,"Net winner")=0,"Pick this week's net winner","OK")))))))</f>
        <v/>
      </c>
    </row>
    <row r="1516" outlineLevel="1">
      <c r="A1516" s="13" t="n">
        <v>46722</v>
      </c>
      <c r="E1516" s="11">
        <f>IF(OR($B1516="",NOT(ISNUMBER($C1516))),"",COUNTIFS($A$5:$A$1668,$A1516,$C$5:$C$1668,"&lt;"&amp;$C1516)+1)</f>
        <v/>
      </c>
      <c r="F1516" s="11">
        <f>IF(OR($B1516="",NOT(ISNUMBER($C1516))),"",COUNTIFS($A$5:$A$1668,$A1516,$C$5:$C$1668,"&gt;0"))</f>
        <v/>
      </c>
      <c r="G1516" s="11">
        <f>IF(OR($B1516="",NOT(ISNUMBER($C1516))),"",IF($D1516&lt;&gt;"",ROUND(Points!$B$6*IF($F1516&lt;Points!$H$4,Points!$H$5,1),0),ROUND(Points!$B$6*IF($F1516&lt;=1,1,Points!$H$7+(1-Points!$H$7)*((($F1516-$E1516)*(($F1516-$E1516)+1)/2)^2-((($F1516-$E1516-COUNTIFS($A$5:$A$1668,$A1516,$C$5:$C$1668,$C1516)+1)-1)*($F1516-$E1516-COUNTIFS($A$5:$A$1668,$A1516,$C$5:$C$1668,$C1516)+1)/2)^2)/(COUNTIFS($A$5:$A$1668,$A1516,$C$5:$C$1668,$C1516)*($F1516-1)^3))*IF($F1516&lt;Points!$H$4,Points!$H$5,1),0)))</f>
        <v/>
      </c>
      <c r="H1516" s="11">
        <f>IF($G1516="","",COUNTIFS($B$5:$B$1668,$B1516,$G$5:$G$1668,"&gt;"&amp;$G1516)+COUNTIFS($B$4:$B1515,$B1516,$G$4:$G1515,$G1516)+1)</f>
        <v/>
      </c>
      <c r="I1516" s="11">
        <f>IF($G1516="","",IF($H1516&lt;=Points!$H$6,$G1516,0))</f>
        <v/>
      </c>
      <c r="J1516" s="11">
        <f>IF($B1516="","",IF(COUNTIF(Players!$A$2:$A$500,$B1516)=0,"Player is not on the Players tab",IF(NOT(ISNUMBER($C1516)),"Enter a gross score",IF(COUNTIFS($A$5:$A$1668,$A1516,$B$5:$B$1668,$B1516)&gt;1,"Player is listed twice this week",IF(AND($D1516&lt;&gt;"",COUNTIFS($A$5:$A$1668,$A1516,$D$5:$D$1668,$D1516)&gt;1),"Two players picked as "&amp;$D1516,IF(COUNTIFS($A$5:$A$1668,$A1516,$D$5:$D$1668,"Gross winner")=0,"Pick this week's gross winner",IF(COUNTIFS($A$5:$A$1668,$A1516,$D$5:$D$1668,"Net winner")=0,"Pick this week's net winner","OK")))))))</f>
        <v/>
      </c>
    </row>
    <row r="1517" outlineLevel="1">
      <c r="A1517" s="13" t="n">
        <v>46722</v>
      </c>
      <c r="E1517" s="11">
        <f>IF(OR($B1517="",NOT(ISNUMBER($C1517))),"",COUNTIFS($A$5:$A$1668,$A1517,$C$5:$C$1668,"&lt;"&amp;$C1517)+1)</f>
        <v/>
      </c>
      <c r="F1517" s="11">
        <f>IF(OR($B1517="",NOT(ISNUMBER($C1517))),"",COUNTIFS($A$5:$A$1668,$A1517,$C$5:$C$1668,"&gt;0"))</f>
        <v/>
      </c>
      <c r="G1517" s="11">
        <f>IF(OR($B1517="",NOT(ISNUMBER($C1517))),"",IF($D1517&lt;&gt;"",ROUND(Points!$B$6*IF($F1517&lt;Points!$H$4,Points!$H$5,1),0),ROUND(Points!$B$6*IF($F1517&lt;=1,1,Points!$H$7+(1-Points!$H$7)*((($F1517-$E1517)*(($F1517-$E1517)+1)/2)^2-((($F1517-$E1517-COUNTIFS($A$5:$A$1668,$A1517,$C$5:$C$1668,$C1517)+1)-1)*($F1517-$E1517-COUNTIFS($A$5:$A$1668,$A1517,$C$5:$C$1668,$C1517)+1)/2)^2)/(COUNTIFS($A$5:$A$1668,$A1517,$C$5:$C$1668,$C1517)*($F1517-1)^3))*IF($F1517&lt;Points!$H$4,Points!$H$5,1),0)))</f>
        <v/>
      </c>
      <c r="H1517" s="11">
        <f>IF($G1517="","",COUNTIFS($B$5:$B$1668,$B1517,$G$5:$G$1668,"&gt;"&amp;$G1517)+COUNTIFS($B$4:$B1516,$B1517,$G$4:$G1516,$G1517)+1)</f>
        <v/>
      </c>
      <c r="I1517" s="11">
        <f>IF($G1517="","",IF($H1517&lt;=Points!$H$6,$G1517,0))</f>
        <v/>
      </c>
      <c r="J1517" s="11">
        <f>IF($B1517="","",IF(COUNTIF(Players!$A$2:$A$500,$B1517)=0,"Player is not on the Players tab",IF(NOT(ISNUMBER($C1517)),"Enter a gross score",IF(COUNTIFS($A$5:$A$1668,$A1517,$B$5:$B$1668,$B1517)&gt;1,"Player is listed twice this week",IF(AND($D1517&lt;&gt;"",COUNTIFS($A$5:$A$1668,$A1517,$D$5:$D$1668,$D1517)&gt;1),"Two players picked as "&amp;$D1517,IF(COUNTIFS($A$5:$A$1668,$A1517,$D$5:$D$1668,"Gross winner")=0,"Pick this week's gross winner",IF(COUNTIFS($A$5:$A$1668,$A1517,$D$5:$D$1668,"Net winner")=0,"Pick this week's net winner","OK")))))))</f>
        <v/>
      </c>
    </row>
    <row r="1518" outlineLevel="1">
      <c r="A1518" s="13" t="n">
        <v>46722</v>
      </c>
      <c r="E1518" s="11">
        <f>IF(OR($B1518="",NOT(ISNUMBER($C1518))),"",COUNTIFS($A$5:$A$1668,$A1518,$C$5:$C$1668,"&lt;"&amp;$C1518)+1)</f>
        <v/>
      </c>
      <c r="F1518" s="11">
        <f>IF(OR($B1518="",NOT(ISNUMBER($C1518))),"",COUNTIFS($A$5:$A$1668,$A1518,$C$5:$C$1668,"&gt;0"))</f>
        <v/>
      </c>
      <c r="G1518" s="11">
        <f>IF(OR($B1518="",NOT(ISNUMBER($C1518))),"",IF($D1518&lt;&gt;"",ROUND(Points!$B$6*IF($F1518&lt;Points!$H$4,Points!$H$5,1),0),ROUND(Points!$B$6*IF($F1518&lt;=1,1,Points!$H$7+(1-Points!$H$7)*((($F1518-$E1518)*(($F1518-$E1518)+1)/2)^2-((($F1518-$E1518-COUNTIFS($A$5:$A$1668,$A1518,$C$5:$C$1668,$C1518)+1)-1)*($F1518-$E1518-COUNTIFS($A$5:$A$1668,$A1518,$C$5:$C$1668,$C1518)+1)/2)^2)/(COUNTIFS($A$5:$A$1668,$A1518,$C$5:$C$1668,$C1518)*($F1518-1)^3))*IF($F1518&lt;Points!$H$4,Points!$H$5,1),0)))</f>
        <v/>
      </c>
      <c r="H1518" s="11">
        <f>IF($G1518="","",COUNTIFS($B$5:$B$1668,$B1518,$G$5:$G$1668,"&gt;"&amp;$G1518)+COUNTIFS($B$4:$B1517,$B1518,$G$4:$G1517,$G1518)+1)</f>
        <v/>
      </c>
      <c r="I1518" s="11">
        <f>IF($G1518="","",IF($H1518&lt;=Points!$H$6,$G1518,0))</f>
        <v/>
      </c>
      <c r="J1518" s="11">
        <f>IF($B1518="","",IF(COUNTIF(Players!$A$2:$A$500,$B1518)=0,"Player is not on the Players tab",IF(NOT(ISNUMBER($C1518)),"Enter a gross score",IF(COUNTIFS($A$5:$A$1668,$A1518,$B$5:$B$1668,$B1518)&gt;1,"Player is listed twice this week",IF(AND($D1518&lt;&gt;"",COUNTIFS($A$5:$A$1668,$A1518,$D$5:$D$1668,$D1518)&gt;1),"Two players picked as "&amp;$D1518,IF(COUNTIFS($A$5:$A$1668,$A1518,$D$5:$D$1668,"Gross winner")=0,"Pick this week's gross winner",IF(COUNTIFS($A$5:$A$1668,$A1518,$D$5:$D$1668,"Net winner")=0,"Pick this week's net winner","OK")))))))</f>
        <v/>
      </c>
    </row>
    <row r="1519" outlineLevel="1">
      <c r="A1519" s="13" t="n">
        <v>46722</v>
      </c>
      <c r="E1519" s="11">
        <f>IF(OR($B1519="",NOT(ISNUMBER($C1519))),"",COUNTIFS($A$5:$A$1668,$A1519,$C$5:$C$1668,"&lt;"&amp;$C1519)+1)</f>
        <v/>
      </c>
      <c r="F1519" s="11">
        <f>IF(OR($B1519="",NOT(ISNUMBER($C1519))),"",COUNTIFS($A$5:$A$1668,$A1519,$C$5:$C$1668,"&gt;0"))</f>
        <v/>
      </c>
      <c r="G1519" s="11">
        <f>IF(OR($B1519="",NOT(ISNUMBER($C1519))),"",IF($D1519&lt;&gt;"",ROUND(Points!$B$6*IF($F1519&lt;Points!$H$4,Points!$H$5,1),0),ROUND(Points!$B$6*IF($F1519&lt;=1,1,Points!$H$7+(1-Points!$H$7)*((($F1519-$E1519)*(($F1519-$E1519)+1)/2)^2-((($F1519-$E1519-COUNTIFS($A$5:$A$1668,$A1519,$C$5:$C$1668,$C1519)+1)-1)*($F1519-$E1519-COUNTIFS($A$5:$A$1668,$A1519,$C$5:$C$1668,$C1519)+1)/2)^2)/(COUNTIFS($A$5:$A$1668,$A1519,$C$5:$C$1668,$C1519)*($F1519-1)^3))*IF($F1519&lt;Points!$H$4,Points!$H$5,1),0)))</f>
        <v/>
      </c>
      <c r="H1519" s="11">
        <f>IF($G1519="","",COUNTIFS($B$5:$B$1668,$B1519,$G$5:$G$1668,"&gt;"&amp;$G1519)+COUNTIFS($B$4:$B1518,$B1519,$G$4:$G1518,$G1519)+1)</f>
        <v/>
      </c>
      <c r="I1519" s="11">
        <f>IF($G1519="","",IF($H1519&lt;=Points!$H$6,$G1519,0))</f>
        <v/>
      </c>
      <c r="J1519" s="11">
        <f>IF($B1519="","",IF(COUNTIF(Players!$A$2:$A$500,$B1519)=0,"Player is not on the Players tab",IF(NOT(ISNUMBER($C1519)),"Enter a gross score",IF(COUNTIFS($A$5:$A$1668,$A1519,$B$5:$B$1668,$B1519)&gt;1,"Player is listed twice this week",IF(AND($D1519&lt;&gt;"",COUNTIFS($A$5:$A$1668,$A1519,$D$5:$D$1668,$D1519)&gt;1),"Two players picked as "&amp;$D1519,IF(COUNTIFS($A$5:$A$1668,$A1519,$D$5:$D$1668,"Gross winner")=0,"Pick this week's gross winner",IF(COUNTIFS($A$5:$A$1668,$A1519,$D$5:$D$1668,"Net winner")=0,"Pick this week's net winner","OK")))))))</f>
        <v/>
      </c>
    </row>
    <row r="1520" outlineLevel="1">
      <c r="A1520" s="13" t="n">
        <v>46722</v>
      </c>
      <c r="E1520" s="11">
        <f>IF(OR($B1520="",NOT(ISNUMBER($C1520))),"",COUNTIFS($A$5:$A$1668,$A1520,$C$5:$C$1668,"&lt;"&amp;$C1520)+1)</f>
        <v/>
      </c>
      <c r="F1520" s="11">
        <f>IF(OR($B1520="",NOT(ISNUMBER($C1520))),"",COUNTIFS($A$5:$A$1668,$A1520,$C$5:$C$1668,"&gt;0"))</f>
        <v/>
      </c>
      <c r="G1520" s="11">
        <f>IF(OR($B1520="",NOT(ISNUMBER($C1520))),"",IF($D1520&lt;&gt;"",ROUND(Points!$B$6*IF($F1520&lt;Points!$H$4,Points!$H$5,1),0),ROUND(Points!$B$6*IF($F1520&lt;=1,1,Points!$H$7+(1-Points!$H$7)*((($F1520-$E1520)*(($F1520-$E1520)+1)/2)^2-((($F1520-$E1520-COUNTIFS($A$5:$A$1668,$A1520,$C$5:$C$1668,$C1520)+1)-1)*($F1520-$E1520-COUNTIFS($A$5:$A$1668,$A1520,$C$5:$C$1668,$C1520)+1)/2)^2)/(COUNTIFS($A$5:$A$1668,$A1520,$C$5:$C$1668,$C1520)*($F1520-1)^3))*IF($F1520&lt;Points!$H$4,Points!$H$5,1),0)))</f>
        <v/>
      </c>
      <c r="H1520" s="11">
        <f>IF($G1520="","",COUNTIFS($B$5:$B$1668,$B1520,$G$5:$G$1668,"&gt;"&amp;$G1520)+COUNTIFS($B$4:$B1519,$B1520,$G$4:$G1519,$G1520)+1)</f>
        <v/>
      </c>
      <c r="I1520" s="11">
        <f>IF($G1520="","",IF($H1520&lt;=Points!$H$6,$G1520,0))</f>
        <v/>
      </c>
      <c r="J1520" s="11">
        <f>IF($B1520="","",IF(COUNTIF(Players!$A$2:$A$500,$B1520)=0,"Player is not on the Players tab",IF(NOT(ISNUMBER($C1520)),"Enter a gross score",IF(COUNTIFS($A$5:$A$1668,$A1520,$B$5:$B$1668,$B1520)&gt;1,"Player is listed twice this week",IF(AND($D1520&lt;&gt;"",COUNTIFS($A$5:$A$1668,$A1520,$D$5:$D$1668,$D1520)&gt;1),"Two players picked as "&amp;$D1520,IF(COUNTIFS($A$5:$A$1668,$A1520,$D$5:$D$1668,"Gross winner")=0,"Pick this week's gross winner",IF(COUNTIFS($A$5:$A$1668,$A1520,$D$5:$D$1668,"Net winner")=0,"Pick this week's net winner","OK")))))))</f>
        <v/>
      </c>
    </row>
    <row r="1521" outlineLevel="1">
      <c r="A1521" s="13" t="n">
        <v>46722</v>
      </c>
      <c r="E1521" s="11">
        <f>IF(OR($B1521="",NOT(ISNUMBER($C1521))),"",COUNTIFS($A$5:$A$1668,$A1521,$C$5:$C$1668,"&lt;"&amp;$C1521)+1)</f>
        <v/>
      </c>
      <c r="F1521" s="11">
        <f>IF(OR($B1521="",NOT(ISNUMBER($C1521))),"",COUNTIFS($A$5:$A$1668,$A1521,$C$5:$C$1668,"&gt;0"))</f>
        <v/>
      </c>
      <c r="G1521" s="11">
        <f>IF(OR($B1521="",NOT(ISNUMBER($C1521))),"",IF($D1521&lt;&gt;"",ROUND(Points!$B$6*IF($F1521&lt;Points!$H$4,Points!$H$5,1),0),ROUND(Points!$B$6*IF($F1521&lt;=1,1,Points!$H$7+(1-Points!$H$7)*((($F1521-$E1521)*(($F1521-$E1521)+1)/2)^2-((($F1521-$E1521-COUNTIFS($A$5:$A$1668,$A1521,$C$5:$C$1668,$C1521)+1)-1)*($F1521-$E1521-COUNTIFS($A$5:$A$1668,$A1521,$C$5:$C$1668,$C1521)+1)/2)^2)/(COUNTIFS($A$5:$A$1668,$A1521,$C$5:$C$1668,$C1521)*($F1521-1)^3))*IF($F1521&lt;Points!$H$4,Points!$H$5,1),0)))</f>
        <v/>
      </c>
      <c r="H1521" s="11">
        <f>IF($G1521="","",COUNTIFS($B$5:$B$1668,$B1521,$G$5:$G$1668,"&gt;"&amp;$G1521)+COUNTIFS($B$4:$B1520,$B1521,$G$4:$G1520,$G1521)+1)</f>
        <v/>
      </c>
      <c r="I1521" s="11">
        <f>IF($G1521="","",IF($H1521&lt;=Points!$H$6,$G1521,0))</f>
        <v/>
      </c>
      <c r="J1521" s="11">
        <f>IF($B1521="","",IF(COUNTIF(Players!$A$2:$A$500,$B1521)=0,"Player is not on the Players tab",IF(NOT(ISNUMBER($C1521)),"Enter a gross score",IF(COUNTIFS($A$5:$A$1668,$A1521,$B$5:$B$1668,$B1521)&gt;1,"Player is listed twice this week",IF(AND($D1521&lt;&gt;"",COUNTIFS($A$5:$A$1668,$A1521,$D$5:$D$1668,$D1521)&gt;1),"Two players picked as "&amp;$D1521,IF(COUNTIFS($A$5:$A$1668,$A1521,$D$5:$D$1668,"Gross winner")=0,"Pick this week's gross winner",IF(COUNTIFS($A$5:$A$1668,$A1521,$D$5:$D$1668,"Net winner")=0,"Pick this week's net winner","OK")))))))</f>
        <v/>
      </c>
    </row>
    <row r="1522" outlineLevel="1">
      <c r="A1522" s="13" t="n">
        <v>46722</v>
      </c>
      <c r="E1522" s="11">
        <f>IF(OR($B1522="",NOT(ISNUMBER($C1522))),"",COUNTIFS($A$5:$A$1668,$A1522,$C$5:$C$1668,"&lt;"&amp;$C1522)+1)</f>
        <v/>
      </c>
      <c r="F1522" s="11">
        <f>IF(OR($B1522="",NOT(ISNUMBER($C1522))),"",COUNTIFS($A$5:$A$1668,$A1522,$C$5:$C$1668,"&gt;0"))</f>
        <v/>
      </c>
      <c r="G1522" s="11">
        <f>IF(OR($B1522="",NOT(ISNUMBER($C1522))),"",IF($D1522&lt;&gt;"",ROUND(Points!$B$6*IF($F1522&lt;Points!$H$4,Points!$H$5,1),0),ROUND(Points!$B$6*IF($F1522&lt;=1,1,Points!$H$7+(1-Points!$H$7)*((($F1522-$E1522)*(($F1522-$E1522)+1)/2)^2-((($F1522-$E1522-COUNTIFS($A$5:$A$1668,$A1522,$C$5:$C$1668,$C1522)+1)-1)*($F1522-$E1522-COUNTIFS($A$5:$A$1668,$A1522,$C$5:$C$1668,$C1522)+1)/2)^2)/(COUNTIFS($A$5:$A$1668,$A1522,$C$5:$C$1668,$C1522)*($F1522-1)^3))*IF($F1522&lt;Points!$H$4,Points!$H$5,1),0)))</f>
        <v/>
      </c>
      <c r="H1522" s="11">
        <f>IF($G1522="","",COUNTIFS($B$5:$B$1668,$B1522,$G$5:$G$1668,"&gt;"&amp;$G1522)+COUNTIFS($B$4:$B1521,$B1522,$G$4:$G1521,$G1522)+1)</f>
        <v/>
      </c>
      <c r="I1522" s="11">
        <f>IF($G1522="","",IF($H1522&lt;=Points!$H$6,$G1522,0))</f>
        <v/>
      </c>
      <c r="J1522" s="11">
        <f>IF($B1522="","",IF(COUNTIF(Players!$A$2:$A$500,$B1522)=0,"Player is not on the Players tab",IF(NOT(ISNUMBER($C1522)),"Enter a gross score",IF(COUNTIFS($A$5:$A$1668,$A1522,$B$5:$B$1668,$B1522)&gt;1,"Player is listed twice this week",IF(AND($D1522&lt;&gt;"",COUNTIFS($A$5:$A$1668,$A1522,$D$5:$D$1668,$D1522)&gt;1),"Two players picked as "&amp;$D1522,IF(COUNTIFS($A$5:$A$1668,$A1522,$D$5:$D$1668,"Gross winner")=0,"Pick this week's gross winner",IF(COUNTIFS($A$5:$A$1668,$A1522,$D$5:$D$1668,"Net winner")=0,"Pick this week's net winner","OK")))))))</f>
        <v/>
      </c>
    </row>
    <row r="1523" outlineLevel="1">
      <c r="A1523" s="13" t="n">
        <v>46722</v>
      </c>
      <c r="E1523" s="11">
        <f>IF(OR($B1523="",NOT(ISNUMBER($C1523))),"",COUNTIFS($A$5:$A$1668,$A1523,$C$5:$C$1668,"&lt;"&amp;$C1523)+1)</f>
        <v/>
      </c>
      <c r="F1523" s="11">
        <f>IF(OR($B1523="",NOT(ISNUMBER($C1523))),"",COUNTIFS($A$5:$A$1668,$A1523,$C$5:$C$1668,"&gt;0"))</f>
        <v/>
      </c>
      <c r="G1523" s="11">
        <f>IF(OR($B1523="",NOT(ISNUMBER($C1523))),"",IF($D1523&lt;&gt;"",ROUND(Points!$B$6*IF($F1523&lt;Points!$H$4,Points!$H$5,1),0),ROUND(Points!$B$6*IF($F1523&lt;=1,1,Points!$H$7+(1-Points!$H$7)*((($F1523-$E1523)*(($F1523-$E1523)+1)/2)^2-((($F1523-$E1523-COUNTIFS($A$5:$A$1668,$A1523,$C$5:$C$1668,$C1523)+1)-1)*($F1523-$E1523-COUNTIFS($A$5:$A$1668,$A1523,$C$5:$C$1668,$C1523)+1)/2)^2)/(COUNTIFS($A$5:$A$1668,$A1523,$C$5:$C$1668,$C1523)*($F1523-1)^3))*IF($F1523&lt;Points!$H$4,Points!$H$5,1),0)))</f>
        <v/>
      </c>
      <c r="H1523" s="11">
        <f>IF($G1523="","",COUNTIFS($B$5:$B$1668,$B1523,$G$5:$G$1668,"&gt;"&amp;$G1523)+COUNTIFS($B$4:$B1522,$B1523,$G$4:$G1522,$G1523)+1)</f>
        <v/>
      </c>
      <c r="I1523" s="11">
        <f>IF($G1523="","",IF($H1523&lt;=Points!$H$6,$G1523,0))</f>
        <v/>
      </c>
      <c r="J1523" s="11">
        <f>IF($B1523="","",IF(COUNTIF(Players!$A$2:$A$500,$B1523)=0,"Player is not on the Players tab",IF(NOT(ISNUMBER($C1523)),"Enter a gross score",IF(COUNTIFS($A$5:$A$1668,$A1523,$B$5:$B$1668,$B1523)&gt;1,"Player is listed twice this week",IF(AND($D1523&lt;&gt;"",COUNTIFS($A$5:$A$1668,$A1523,$D$5:$D$1668,$D1523)&gt;1),"Two players picked as "&amp;$D1523,IF(COUNTIFS($A$5:$A$1668,$A1523,$D$5:$D$1668,"Gross winner")=0,"Pick this week's gross winner",IF(COUNTIFS($A$5:$A$1668,$A1523,$D$5:$D$1668,"Net winner")=0,"Pick this week's net winner","OK")))))))</f>
        <v/>
      </c>
    </row>
    <row r="1524" outlineLevel="1">
      <c r="A1524" s="13" t="n">
        <v>46722</v>
      </c>
      <c r="E1524" s="11">
        <f>IF(OR($B1524="",NOT(ISNUMBER($C1524))),"",COUNTIFS($A$5:$A$1668,$A1524,$C$5:$C$1668,"&lt;"&amp;$C1524)+1)</f>
        <v/>
      </c>
      <c r="F1524" s="11">
        <f>IF(OR($B1524="",NOT(ISNUMBER($C1524))),"",COUNTIFS($A$5:$A$1668,$A1524,$C$5:$C$1668,"&gt;0"))</f>
        <v/>
      </c>
      <c r="G1524" s="11">
        <f>IF(OR($B1524="",NOT(ISNUMBER($C1524))),"",IF($D1524&lt;&gt;"",ROUND(Points!$B$6*IF($F1524&lt;Points!$H$4,Points!$H$5,1),0),ROUND(Points!$B$6*IF($F1524&lt;=1,1,Points!$H$7+(1-Points!$H$7)*((($F1524-$E1524)*(($F1524-$E1524)+1)/2)^2-((($F1524-$E1524-COUNTIFS($A$5:$A$1668,$A1524,$C$5:$C$1668,$C1524)+1)-1)*($F1524-$E1524-COUNTIFS($A$5:$A$1668,$A1524,$C$5:$C$1668,$C1524)+1)/2)^2)/(COUNTIFS($A$5:$A$1668,$A1524,$C$5:$C$1668,$C1524)*($F1524-1)^3))*IF($F1524&lt;Points!$H$4,Points!$H$5,1),0)))</f>
        <v/>
      </c>
      <c r="H1524" s="11">
        <f>IF($G1524="","",COUNTIFS($B$5:$B$1668,$B1524,$G$5:$G$1668,"&gt;"&amp;$G1524)+COUNTIFS($B$4:$B1523,$B1524,$G$4:$G1523,$G1524)+1)</f>
        <v/>
      </c>
      <c r="I1524" s="11">
        <f>IF($G1524="","",IF($H1524&lt;=Points!$H$6,$G1524,0))</f>
        <v/>
      </c>
      <c r="J1524" s="11">
        <f>IF($B1524="","",IF(COUNTIF(Players!$A$2:$A$500,$B1524)=0,"Player is not on the Players tab",IF(NOT(ISNUMBER($C1524)),"Enter a gross score",IF(COUNTIFS($A$5:$A$1668,$A1524,$B$5:$B$1668,$B1524)&gt;1,"Player is listed twice this week",IF(AND($D1524&lt;&gt;"",COUNTIFS($A$5:$A$1668,$A1524,$D$5:$D$1668,$D1524)&gt;1),"Two players picked as "&amp;$D1524,IF(COUNTIFS($A$5:$A$1668,$A1524,$D$5:$D$1668,"Gross winner")=0,"Pick this week's gross winner",IF(COUNTIFS($A$5:$A$1668,$A1524,$D$5:$D$1668,"Net winner")=0,"Pick this week's net winner","OK")))))))</f>
        <v/>
      </c>
    </row>
    <row r="1525" outlineLevel="1">
      <c r="A1525" s="13" t="n">
        <v>46722</v>
      </c>
      <c r="E1525" s="11">
        <f>IF(OR($B1525="",NOT(ISNUMBER($C1525))),"",COUNTIFS($A$5:$A$1668,$A1525,$C$5:$C$1668,"&lt;"&amp;$C1525)+1)</f>
        <v/>
      </c>
      <c r="F1525" s="11">
        <f>IF(OR($B1525="",NOT(ISNUMBER($C1525))),"",COUNTIFS($A$5:$A$1668,$A1525,$C$5:$C$1668,"&gt;0"))</f>
        <v/>
      </c>
      <c r="G1525" s="11">
        <f>IF(OR($B1525="",NOT(ISNUMBER($C1525))),"",IF($D1525&lt;&gt;"",ROUND(Points!$B$6*IF($F1525&lt;Points!$H$4,Points!$H$5,1),0),ROUND(Points!$B$6*IF($F1525&lt;=1,1,Points!$H$7+(1-Points!$H$7)*((($F1525-$E1525)*(($F1525-$E1525)+1)/2)^2-((($F1525-$E1525-COUNTIFS($A$5:$A$1668,$A1525,$C$5:$C$1668,$C1525)+1)-1)*($F1525-$E1525-COUNTIFS($A$5:$A$1668,$A1525,$C$5:$C$1668,$C1525)+1)/2)^2)/(COUNTIFS($A$5:$A$1668,$A1525,$C$5:$C$1668,$C1525)*($F1525-1)^3))*IF($F1525&lt;Points!$H$4,Points!$H$5,1),0)))</f>
        <v/>
      </c>
      <c r="H1525" s="11">
        <f>IF($G1525="","",COUNTIFS($B$5:$B$1668,$B1525,$G$5:$G$1668,"&gt;"&amp;$G1525)+COUNTIFS($B$4:$B1524,$B1525,$G$4:$G1524,$G1525)+1)</f>
        <v/>
      </c>
      <c r="I1525" s="11">
        <f>IF($G1525="","",IF($H1525&lt;=Points!$H$6,$G1525,0))</f>
        <v/>
      </c>
      <c r="J1525" s="11">
        <f>IF($B1525="","",IF(COUNTIF(Players!$A$2:$A$500,$B1525)=0,"Player is not on the Players tab",IF(NOT(ISNUMBER($C1525)),"Enter a gross score",IF(COUNTIFS($A$5:$A$1668,$A1525,$B$5:$B$1668,$B1525)&gt;1,"Player is listed twice this week",IF(AND($D1525&lt;&gt;"",COUNTIFS($A$5:$A$1668,$A1525,$D$5:$D$1668,$D1525)&gt;1),"Two players picked as "&amp;$D1525,IF(COUNTIFS($A$5:$A$1668,$A1525,$D$5:$D$1668,"Gross winner")=0,"Pick this week's gross winner",IF(COUNTIFS($A$5:$A$1668,$A1525,$D$5:$D$1668,"Net winner")=0,"Pick this week's net winner","OK")))))))</f>
        <v/>
      </c>
    </row>
    <row r="1526" outlineLevel="1">
      <c r="A1526" s="13" t="n">
        <v>46722</v>
      </c>
      <c r="E1526" s="11">
        <f>IF(OR($B1526="",NOT(ISNUMBER($C1526))),"",COUNTIFS($A$5:$A$1668,$A1526,$C$5:$C$1668,"&lt;"&amp;$C1526)+1)</f>
        <v/>
      </c>
      <c r="F1526" s="11">
        <f>IF(OR($B1526="",NOT(ISNUMBER($C1526))),"",COUNTIFS($A$5:$A$1668,$A1526,$C$5:$C$1668,"&gt;0"))</f>
        <v/>
      </c>
      <c r="G1526" s="11">
        <f>IF(OR($B1526="",NOT(ISNUMBER($C1526))),"",IF($D1526&lt;&gt;"",ROUND(Points!$B$6*IF($F1526&lt;Points!$H$4,Points!$H$5,1),0),ROUND(Points!$B$6*IF($F1526&lt;=1,1,Points!$H$7+(1-Points!$H$7)*((($F1526-$E1526)*(($F1526-$E1526)+1)/2)^2-((($F1526-$E1526-COUNTIFS($A$5:$A$1668,$A1526,$C$5:$C$1668,$C1526)+1)-1)*($F1526-$E1526-COUNTIFS($A$5:$A$1668,$A1526,$C$5:$C$1668,$C1526)+1)/2)^2)/(COUNTIFS($A$5:$A$1668,$A1526,$C$5:$C$1668,$C1526)*($F1526-1)^3))*IF($F1526&lt;Points!$H$4,Points!$H$5,1),0)))</f>
        <v/>
      </c>
      <c r="H1526" s="11">
        <f>IF($G1526="","",COUNTIFS($B$5:$B$1668,$B1526,$G$5:$G$1668,"&gt;"&amp;$G1526)+COUNTIFS($B$4:$B1525,$B1526,$G$4:$G1525,$G1526)+1)</f>
        <v/>
      </c>
      <c r="I1526" s="11">
        <f>IF($G1526="","",IF($H1526&lt;=Points!$H$6,$G1526,0))</f>
        <v/>
      </c>
      <c r="J1526" s="11">
        <f>IF($B1526="","",IF(COUNTIF(Players!$A$2:$A$500,$B1526)=0,"Player is not on the Players tab",IF(NOT(ISNUMBER($C1526)),"Enter a gross score",IF(COUNTIFS($A$5:$A$1668,$A1526,$B$5:$B$1668,$B1526)&gt;1,"Player is listed twice this week",IF(AND($D1526&lt;&gt;"",COUNTIFS($A$5:$A$1668,$A1526,$D$5:$D$1668,$D1526)&gt;1),"Two players picked as "&amp;$D1526,IF(COUNTIFS($A$5:$A$1668,$A1526,$D$5:$D$1668,"Gross winner")=0,"Pick this week's gross winner",IF(COUNTIFS($A$5:$A$1668,$A1526,$D$5:$D$1668,"Net winner")=0,"Pick this week's net winner","OK")))))))</f>
        <v/>
      </c>
    </row>
    <row r="1527" outlineLevel="1">
      <c r="A1527" s="13" t="n">
        <v>46722</v>
      </c>
      <c r="E1527" s="11">
        <f>IF(OR($B1527="",NOT(ISNUMBER($C1527))),"",COUNTIFS($A$5:$A$1668,$A1527,$C$5:$C$1668,"&lt;"&amp;$C1527)+1)</f>
        <v/>
      </c>
      <c r="F1527" s="11">
        <f>IF(OR($B1527="",NOT(ISNUMBER($C1527))),"",COUNTIFS($A$5:$A$1668,$A1527,$C$5:$C$1668,"&gt;0"))</f>
        <v/>
      </c>
      <c r="G1527" s="11">
        <f>IF(OR($B1527="",NOT(ISNUMBER($C1527))),"",IF($D1527&lt;&gt;"",ROUND(Points!$B$6*IF($F1527&lt;Points!$H$4,Points!$H$5,1),0),ROUND(Points!$B$6*IF($F1527&lt;=1,1,Points!$H$7+(1-Points!$H$7)*((($F1527-$E1527)*(($F1527-$E1527)+1)/2)^2-((($F1527-$E1527-COUNTIFS($A$5:$A$1668,$A1527,$C$5:$C$1668,$C1527)+1)-1)*($F1527-$E1527-COUNTIFS($A$5:$A$1668,$A1527,$C$5:$C$1668,$C1527)+1)/2)^2)/(COUNTIFS($A$5:$A$1668,$A1527,$C$5:$C$1668,$C1527)*($F1527-1)^3))*IF($F1527&lt;Points!$H$4,Points!$H$5,1),0)))</f>
        <v/>
      </c>
      <c r="H1527" s="11">
        <f>IF($G1527="","",COUNTIFS($B$5:$B$1668,$B1527,$G$5:$G$1668,"&gt;"&amp;$G1527)+COUNTIFS($B$4:$B1526,$B1527,$G$4:$G1526,$G1527)+1)</f>
        <v/>
      </c>
      <c r="I1527" s="11">
        <f>IF($G1527="","",IF($H1527&lt;=Points!$H$6,$G1527,0))</f>
        <v/>
      </c>
      <c r="J1527" s="11">
        <f>IF($B1527="","",IF(COUNTIF(Players!$A$2:$A$500,$B1527)=0,"Player is not on the Players tab",IF(NOT(ISNUMBER($C1527)),"Enter a gross score",IF(COUNTIFS($A$5:$A$1668,$A1527,$B$5:$B$1668,$B1527)&gt;1,"Player is listed twice this week",IF(AND($D1527&lt;&gt;"",COUNTIFS($A$5:$A$1668,$A1527,$D$5:$D$1668,$D1527)&gt;1),"Two players picked as "&amp;$D1527,IF(COUNTIFS($A$5:$A$1668,$A1527,$D$5:$D$1668,"Gross winner")=0,"Pick this week's gross winner",IF(COUNTIFS($A$5:$A$1668,$A1527,$D$5:$D$1668,"Net winner")=0,"Pick this week's net winner","OK")))))))</f>
        <v/>
      </c>
    </row>
    <row r="1528" outlineLevel="1">
      <c r="A1528" s="13" t="n">
        <v>46722</v>
      </c>
      <c r="E1528" s="11">
        <f>IF(OR($B1528="",NOT(ISNUMBER($C1528))),"",COUNTIFS($A$5:$A$1668,$A1528,$C$5:$C$1668,"&lt;"&amp;$C1528)+1)</f>
        <v/>
      </c>
      <c r="F1528" s="11">
        <f>IF(OR($B1528="",NOT(ISNUMBER($C1528))),"",COUNTIFS($A$5:$A$1668,$A1528,$C$5:$C$1668,"&gt;0"))</f>
        <v/>
      </c>
      <c r="G1528" s="11">
        <f>IF(OR($B1528="",NOT(ISNUMBER($C1528))),"",IF($D1528&lt;&gt;"",ROUND(Points!$B$6*IF($F1528&lt;Points!$H$4,Points!$H$5,1),0),ROUND(Points!$B$6*IF($F1528&lt;=1,1,Points!$H$7+(1-Points!$H$7)*((($F1528-$E1528)*(($F1528-$E1528)+1)/2)^2-((($F1528-$E1528-COUNTIFS($A$5:$A$1668,$A1528,$C$5:$C$1668,$C1528)+1)-1)*($F1528-$E1528-COUNTIFS($A$5:$A$1668,$A1528,$C$5:$C$1668,$C1528)+1)/2)^2)/(COUNTIFS($A$5:$A$1668,$A1528,$C$5:$C$1668,$C1528)*($F1528-1)^3))*IF($F1528&lt;Points!$H$4,Points!$H$5,1),0)))</f>
        <v/>
      </c>
      <c r="H1528" s="11">
        <f>IF($G1528="","",COUNTIFS($B$5:$B$1668,$B1528,$G$5:$G$1668,"&gt;"&amp;$G1528)+COUNTIFS($B$4:$B1527,$B1528,$G$4:$G1527,$G1528)+1)</f>
        <v/>
      </c>
      <c r="I1528" s="11">
        <f>IF($G1528="","",IF($H1528&lt;=Points!$H$6,$G1528,0))</f>
        <v/>
      </c>
      <c r="J1528" s="11">
        <f>IF($B1528="","",IF(COUNTIF(Players!$A$2:$A$500,$B1528)=0,"Player is not on the Players tab",IF(NOT(ISNUMBER($C1528)),"Enter a gross score",IF(COUNTIFS($A$5:$A$1668,$A1528,$B$5:$B$1668,$B1528)&gt;1,"Player is listed twice this week",IF(AND($D1528&lt;&gt;"",COUNTIFS($A$5:$A$1668,$A1528,$D$5:$D$1668,$D1528)&gt;1),"Two players picked as "&amp;$D1528,IF(COUNTIFS($A$5:$A$1668,$A1528,$D$5:$D$1668,"Gross winner")=0,"Pick this week's gross winner",IF(COUNTIFS($A$5:$A$1668,$A1528,$D$5:$D$1668,"Net winner")=0,"Pick this week's net winner","OK")))))))</f>
        <v/>
      </c>
    </row>
    <row r="1529" outlineLevel="1">
      <c r="A1529" s="13" t="n">
        <v>46722</v>
      </c>
      <c r="E1529" s="11">
        <f>IF(OR($B1529="",NOT(ISNUMBER($C1529))),"",COUNTIFS($A$5:$A$1668,$A1529,$C$5:$C$1668,"&lt;"&amp;$C1529)+1)</f>
        <v/>
      </c>
      <c r="F1529" s="11">
        <f>IF(OR($B1529="",NOT(ISNUMBER($C1529))),"",COUNTIFS($A$5:$A$1668,$A1529,$C$5:$C$1668,"&gt;0"))</f>
        <v/>
      </c>
      <c r="G1529" s="11">
        <f>IF(OR($B1529="",NOT(ISNUMBER($C1529))),"",IF($D1529&lt;&gt;"",ROUND(Points!$B$6*IF($F1529&lt;Points!$H$4,Points!$H$5,1),0),ROUND(Points!$B$6*IF($F1529&lt;=1,1,Points!$H$7+(1-Points!$H$7)*((($F1529-$E1529)*(($F1529-$E1529)+1)/2)^2-((($F1529-$E1529-COUNTIFS($A$5:$A$1668,$A1529,$C$5:$C$1668,$C1529)+1)-1)*($F1529-$E1529-COUNTIFS($A$5:$A$1668,$A1529,$C$5:$C$1668,$C1529)+1)/2)^2)/(COUNTIFS($A$5:$A$1668,$A1529,$C$5:$C$1668,$C1529)*($F1529-1)^3))*IF($F1529&lt;Points!$H$4,Points!$H$5,1),0)))</f>
        <v/>
      </c>
      <c r="H1529" s="11">
        <f>IF($G1529="","",COUNTIFS($B$5:$B$1668,$B1529,$G$5:$G$1668,"&gt;"&amp;$G1529)+COUNTIFS($B$4:$B1528,$B1529,$G$4:$G1528,$G1529)+1)</f>
        <v/>
      </c>
      <c r="I1529" s="11">
        <f>IF($G1529="","",IF($H1529&lt;=Points!$H$6,$G1529,0))</f>
        <v/>
      </c>
      <c r="J1529" s="11">
        <f>IF($B1529="","",IF(COUNTIF(Players!$A$2:$A$500,$B1529)=0,"Player is not on the Players tab",IF(NOT(ISNUMBER($C1529)),"Enter a gross score",IF(COUNTIFS($A$5:$A$1668,$A1529,$B$5:$B$1668,$B1529)&gt;1,"Player is listed twice this week",IF(AND($D1529&lt;&gt;"",COUNTIFS($A$5:$A$1668,$A1529,$D$5:$D$1668,$D1529)&gt;1),"Two players picked as "&amp;$D1529,IF(COUNTIFS($A$5:$A$1668,$A1529,$D$5:$D$1668,"Gross winner")=0,"Pick this week's gross winner",IF(COUNTIFS($A$5:$A$1668,$A1529,$D$5:$D$1668,"Net winner")=0,"Pick this week's net winner","OK")))))))</f>
        <v/>
      </c>
    </row>
    <row r="1530" outlineLevel="1">
      <c r="A1530" s="13" t="n">
        <v>46722</v>
      </c>
      <c r="E1530" s="11">
        <f>IF(OR($B1530="",NOT(ISNUMBER($C1530))),"",COUNTIFS($A$5:$A$1668,$A1530,$C$5:$C$1668,"&lt;"&amp;$C1530)+1)</f>
        <v/>
      </c>
      <c r="F1530" s="11">
        <f>IF(OR($B1530="",NOT(ISNUMBER($C1530))),"",COUNTIFS($A$5:$A$1668,$A1530,$C$5:$C$1668,"&gt;0"))</f>
        <v/>
      </c>
      <c r="G1530" s="11">
        <f>IF(OR($B1530="",NOT(ISNUMBER($C1530))),"",IF($D1530&lt;&gt;"",ROUND(Points!$B$6*IF($F1530&lt;Points!$H$4,Points!$H$5,1),0),ROUND(Points!$B$6*IF($F1530&lt;=1,1,Points!$H$7+(1-Points!$H$7)*((($F1530-$E1530)*(($F1530-$E1530)+1)/2)^2-((($F1530-$E1530-COUNTIFS($A$5:$A$1668,$A1530,$C$5:$C$1668,$C1530)+1)-1)*($F1530-$E1530-COUNTIFS($A$5:$A$1668,$A1530,$C$5:$C$1668,$C1530)+1)/2)^2)/(COUNTIFS($A$5:$A$1668,$A1530,$C$5:$C$1668,$C1530)*($F1530-1)^3))*IF($F1530&lt;Points!$H$4,Points!$H$5,1),0)))</f>
        <v/>
      </c>
      <c r="H1530" s="11">
        <f>IF($G1530="","",COUNTIFS($B$5:$B$1668,$B1530,$G$5:$G$1668,"&gt;"&amp;$G1530)+COUNTIFS($B$4:$B1529,$B1530,$G$4:$G1529,$G1530)+1)</f>
        <v/>
      </c>
      <c r="I1530" s="11">
        <f>IF($G1530="","",IF($H1530&lt;=Points!$H$6,$G1530,0))</f>
        <v/>
      </c>
      <c r="J1530" s="11">
        <f>IF($B1530="","",IF(COUNTIF(Players!$A$2:$A$500,$B1530)=0,"Player is not on the Players tab",IF(NOT(ISNUMBER($C1530)),"Enter a gross score",IF(COUNTIFS($A$5:$A$1668,$A1530,$B$5:$B$1668,$B1530)&gt;1,"Player is listed twice this week",IF(AND($D1530&lt;&gt;"",COUNTIFS($A$5:$A$1668,$A1530,$D$5:$D$1668,$D1530)&gt;1),"Two players picked as "&amp;$D1530,IF(COUNTIFS($A$5:$A$1668,$A1530,$D$5:$D$1668,"Gross winner")=0,"Pick this week's gross winner",IF(COUNTIFS($A$5:$A$1668,$A1530,$D$5:$D$1668,"Net winner")=0,"Pick this week's net winner","OK")))))))</f>
        <v/>
      </c>
    </row>
    <row r="1531" outlineLevel="1">
      <c r="A1531" s="13" t="n">
        <v>46722</v>
      </c>
      <c r="E1531" s="11">
        <f>IF(OR($B1531="",NOT(ISNUMBER($C1531))),"",COUNTIFS($A$5:$A$1668,$A1531,$C$5:$C$1668,"&lt;"&amp;$C1531)+1)</f>
        <v/>
      </c>
      <c r="F1531" s="11">
        <f>IF(OR($B1531="",NOT(ISNUMBER($C1531))),"",COUNTIFS($A$5:$A$1668,$A1531,$C$5:$C$1668,"&gt;0"))</f>
        <v/>
      </c>
      <c r="G1531" s="11">
        <f>IF(OR($B1531="",NOT(ISNUMBER($C1531))),"",IF($D1531&lt;&gt;"",ROUND(Points!$B$6*IF($F1531&lt;Points!$H$4,Points!$H$5,1),0),ROUND(Points!$B$6*IF($F1531&lt;=1,1,Points!$H$7+(1-Points!$H$7)*((($F1531-$E1531)*(($F1531-$E1531)+1)/2)^2-((($F1531-$E1531-COUNTIFS($A$5:$A$1668,$A1531,$C$5:$C$1668,$C1531)+1)-1)*($F1531-$E1531-COUNTIFS($A$5:$A$1668,$A1531,$C$5:$C$1668,$C1531)+1)/2)^2)/(COUNTIFS($A$5:$A$1668,$A1531,$C$5:$C$1668,$C1531)*($F1531-1)^3))*IF($F1531&lt;Points!$H$4,Points!$H$5,1),0)))</f>
        <v/>
      </c>
      <c r="H1531" s="11">
        <f>IF($G1531="","",COUNTIFS($B$5:$B$1668,$B1531,$G$5:$G$1668,"&gt;"&amp;$G1531)+COUNTIFS($B$4:$B1530,$B1531,$G$4:$G1530,$G1531)+1)</f>
        <v/>
      </c>
      <c r="I1531" s="11">
        <f>IF($G1531="","",IF($H1531&lt;=Points!$H$6,$G1531,0))</f>
        <v/>
      </c>
      <c r="J1531" s="11">
        <f>IF($B1531="","",IF(COUNTIF(Players!$A$2:$A$500,$B1531)=0,"Player is not on the Players tab",IF(NOT(ISNUMBER($C1531)),"Enter a gross score",IF(COUNTIFS($A$5:$A$1668,$A1531,$B$5:$B$1668,$B1531)&gt;1,"Player is listed twice this week",IF(AND($D1531&lt;&gt;"",COUNTIFS($A$5:$A$1668,$A1531,$D$5:$D$1668,$D1531)&gt;1),"Two players picked as "&amp;$D1531,IF(COUNTIFS($A$5:$A$1668,$A1531,$D$5:$D$1668,"Gross winner")=0,"Pick this week's gross winner",IF(COUNTIFS($A$5:$A$1668,$A1531,$D$5:$D$1668,"Net winner")=0,"Pick this week's net winner","OK")))))))</f>
        <v/>
      </c>
    </row>
    <row r="1532" outlineLevel="1">
      <c r="A1532" s="13" t="n">
        <v>46722</v>
      </c>
      <c r="E1532" s="11">
        <f>IF(OR($B1532="",NOT(ISNUMBER($C1532))),"",COUNTIFS($A$5:$A$1668,$A1532,$C$5:$C$1668,"&lt;"&amp;$C1532)+1)</f>
        <v/>
      </c>
      <c r="F1532" s="11">
        <f>IF(OR($B1532="",NOT(ISNUMBER($C1532))),"",COUNTIFS($A$5:$A$1668,$A1532,$C$5:$C$1668,"&gt;0"))</f>
        <v/>
      </c>
      <c r="G1532" s="11">
        <f>IF(OR($B1532="",NOT(ISNUMBER($C1532))),"",IF($D1532&lt;&gt;"",ROUND(Points!$B$6*IF($F1532&lt;Points!$H$4,Points!$H$5,1),0),ROUND(Points!$B$6*IF($F1532&lt;=1,1,Points!$H$7+(1-Points!$H$7)*((($F1532-$E1532)*(($F1532-$E1532)+1)/2)^2-((($F1532-$E1532-COUNTIFS($A$5:$A$1668,$A1532,$C$5:$C$1668,$C1532)+1)-1)*($F1532-$E1532-COUNTIFS($A$5:$A$1668,$A1532,$C$5:$C$1668,$C1532)+1)/2)^2)/(COUNTIFS($A$5:$A$1668,$A1532,$C$5:$C$1668,$C1532)*($F1532-1)^3))*IF($F1532&lt;Points!$H$4,Points!$H$5,1),0)))</f>
        <v/>
      </c>
      <c r="H1532" s="11">
        <f>IF($G1532="","",COUNTIFS($B$5:$B$1668,$B1532,$G$5:$G$1668,"&gt;"&amp;$G1532)+COUNTIFS($B$4:$B1531,$B1532,$G$4:$G1531,$G1532)+1)</f>
        <v/>
      </c>
      <c r="I1532" s="11">
        <f>IF($G1532="","",IF($H1532&lt;=Points!$H$6,$G1532,0))</f>
        <v/>
      </c>
      <c r="J1532" s="11">
        <f>IF($B1532="","",IF(COUNTIF(Players!$A$2:$A$500,$B1532)=0,"Player is not on the Players tab",IF(NOT(ISNUMBER($C1532)),"Enter a gross score",IF(COUNTIFS($A$5:$A$1668,$A1532,$B$5:$B$1668,$B1532)&gt;1,"Player is listed twice this week",IF(AND($D1532&lt;&gt;"",COUNTIFS($A$5:$A$1668,$A1532,$D$5:$D$1668,$D1532)&gt;1),"Two players picked as "&amp;$D1532,IF(COUNTIFS($A$5:$A$1668,$A1532,$D$5:$D$1668,"Gross winner")=0,"Pick this week's gross winner",IF(COUNTIFS($A$5:$A$1668,$A1532,$D$5:$D$1668,"Net winner")=0,"Pick this week's net winner","OK")))))))</f>
        <v/>
      </c>
    </row>
    <row r="1533" outlineLevel="1">
      <c r="A1533" s="13" t="n">
        <v>46722</v>
      </c>
      <c r="E1533" s="11">
        <f>IF(OR($B1533="",NOT(ISNUMBER($C1533))),"",COUNTIFS($A$5:$A$1668,$A1533,$C$5:$C$1668,"&lt;"&amp;$C1533)+1)</f>
        <v/>
      </c>
      <c r="F1533" s="11">
        <f>IF(OR($B1533="",NOT(ISNUMBER($C1533))),"",COUNTIFS($A$5:$A$1668,$A1533,$C$5:$C$1668,"&gt;0"))</f>
        <v/>
      </c>
      <c r="G1533" s="11">
        <f>IF(OR($B1533="",NOT(ISNUMBER($C1533))),"",IF($D1533&lt;&gt;"",ROUND(Points!$B$6*IF($F1533&lt;Points!$H$4,Points!$H$5,1),0),ROUND(Points!$B$6*IF($F1533&lt;=1,1,Points!$H$7+(1-Points!$H$7)*((($F1533-$E1533)*(($F1533-$E1533)+1)/2)^2-((($F1533-$E1533-COUNTIFS($A$5:$A$1668,$A1533,$C$5:$C$1668,$C1533)+1)-1)*($F1533-$E1533-COUNTIFS($A$5:$A$1668,$A1533,$C$5:$C$1668,$C1533)+1)/2)^2)/(COUNTIFS($A$5:$A$1668,$A1533,$C$5:$C$1668,$C1533)*($F1533-1)^3))*IF($F1533&lt;Points!$H$4,Points!$H$5,1),0)))</f>
        <v/>
      </c>
      <c r="H1533" s="11">
        <f>IF($G1533="","",COUNTIFS($B$5:$B$1668,$B1533,$G$5:$G$1668,"&gt;"&amp;$G1533)+COUNTIFS($B$4:$B1532,$B1533,$G$4:$G1532,$G1533)+1)</f>
        <v/>
      </c>
      <c r="I1533" s="11">
        <f>IF($G1533="","",IF($H1533&lt;=Points!$H$6,$G1533,0))</f>
        <v/>
      </c>
      <c r="J1533" s="11">
        <f>IF($B1533="","",IF(COUNTIF(Players!$A$2:$A$500,$B1533)=0,"Player is not on the Players tab",IF(NOT(ISNUMBER($C1533)),"Enter a gross score",IF(COUNTIFS($A$5:$A$1668,$A1533,$B$5:$B$1668,$B1533)&gt;1,"Player is listed twice this week",IF(AND($D1533&lt;&gt;"",COUNTIFS($A$5:$A$1668,$A1533,$D$5:$D$1668,$D1533)&gt;1),"Two players picked as "&amp;$D1533,IF(COUNTIFS($A$5:$A$1668,$A1533,$D$5:$D$1668,"Gross winner")=0,"Pick this week's gross winner",IF(COUNTIFS($A$5:$A$1668,$A1533,$D$5:$D$1668,"Net winner")=0,"Pick this week's net winner","OK")))))))</f>
        <v/>
      </c>
    </row>
    <row r="1534" outlineLevel="1">
      <c r="A1534" s="13" t="n">
        <v>46722</v>
      </c>
      <c r="E1534" s="11">
        <f>IF(OR($B1534="",NOT(ISNUMBER($C1534))),"",COUNTIFS($A$5:$A$1668,$A1534,$C$5:$C$1668,"&lt;"&amp;$C1534)+1)</f>
        <v/>
      </c>
      <c r="F1534" s="11">
        <f>IF(OR($B1534="",NOT(ISNUMBER($C1534))),"",COUNTIFS($A$5:$A$1668,$A1534,$C$5:$C$1668,"&gt;0"))</f>
        <v/>
      </c>
      <c r="G1534" s="11">
        <f>IF(OR($B1534="",NOT(ISNUMBER($C1534))),"",IF($D1534&lt;&gt;"",ROUND(Points!$B$6*IF($F1534&lt;Points!$H$4,Points!$H$5,1),0),ROUND(Points!$B$6*IF($F1534&lt;=1,1,Points!$H$7+(1-Points!$H$7)*((($F1534-$E1534)*(($F1534-$E1534)+1)/2)^2-((($F1534-$E1534-COUNTIFS($A$5:$A$1668,$A1534,$C$5:$C$1668,$C1534)+1)-1)*($F1534-$E1534-COUNTIFS($A$5:$A$1668,$A1534,$C$5:$C$1668,$C1534)+1)/2)^2)/(COUNTIFS($A$5:$A$1668,$A1534,$C$5:$C$1668,$C1534)*($F1534-1)^3))*IF($F1534&lt;Points!$H$4,Points!$H$5,1),0)))</f>
        <v/>
      </c>
      <c r="H1534" s="11">
        <f>IF($G1534="","",COUNTIFS($B$5:$B$1668,$B1534,$G$5:$G$1668,"&gt;"&amp;$G1534)+COUNTIFS($B$4:$B1533,$B1534,$G$4:$G1533,$G1534)+1)</f>
        <v/>
      </c>
      <c r="I1534" s="11">
        <f>IF($G1534="","",IF($H1534&lt;=Points!$H$6,$G1534,0))</f>
        <v/>
      </c>
      <c r="J1534" s="11">
        <f>IF($B1534="","",IF(COUNTIF(Players!$A$2:$A$500,$B1534)=0,"Player is not on the Players tab",IF(NOT(ISNUMBER($C1534)),"Enter a gross score",IF(COUNTIFS($A$5:$A$1668,$A1534,$B$5:$B$1668,$B1534)&gt;1,"Player is listed twice this week",IF(AND($D1534&lt;&gt;"",COUNTIFS($A$5:$A$1668,$A1534,$D$5:$D$1668,$D1534)&gt;1),"Two players picked as "&amp;$D1534,IF(COUNTIFS($A$5:$A$1668,$A1534,$D$5:$D$1668,"Gross winner")=0,"Pick this week's gross winner",IF(COUNTIFS($A$5:$A$1668,$A1534,$D$5:$D$1668,"Net winner")=0,"Pick this week's net winner","OK")))))))</f>
        <v/>
      </c>
    </row>
    <row r="1535" outlineLevel="1">
      <c r="A1535" s="13" t="n">
        <v>46722</v>
      </c>
      <c r="E1535" s="11">
        <f>IF(OR($B1535="",NOT(ISNUMBER($C1535))),"",COUNTIFS($A$5:$A$1668,$A1535,$C$5:$C$1668,"&lt;"&amp;$C1535)+1)</f>
        <v/>
      </c>
      <c r="F1535" s="11">
        <f>IF(OR($B1535="",NOT(ISNUMBER($C1535))),"",COUNTIFS($A$5:$A$1668,$A1535,$C$5:$C$1668,"&gt;0"))</f>
        <v/>
      </c>
      <c r="G1535" s="11">
        <f>IF(OR($B1535="",NOT(ISNUMBER($C1535))),"",IF($D1535&lt;&gt;"",ROUND(Points!$B$6*IF($F1535&lt;Points!$H$4,Points!$H$5,1),0),ROUND(Points!$B$6*IF($F1535&lt;=1,1,Points!$H$7+(1-Points!$H$7)*((($F1535-$E1535)*(($F1535-$E1535)+1)/2)^2-((($F1535-$E1535-COUNTIFS($A$5:$A$1668,$A1535,$C$5:$C$1668,$C1535)+1)-1)*($F1535-$E1535-COUNTIFS($A$5:$A$1668,$A1535,$C$5:$C$1668,$C1535)+1)/2)^2)/(COUNTIFS($A$5:$A$1668,$A1535,$C$5:$C$1668,$C1535)*($F1535-1)^3))*IF($F1535&lt;Points!$H$4,Points!$H$5,1),0)))</f>
        <v/>
      </c>
      <c r="H1535" s="11">
        <f>IF($G1535="","",COUNTIFS($B$5:$B$1668,$B1535,$G$5:$G$1668,"&gt;"&amp;$G1535)+COUNTIFS($B$4:$B1534,$B1535,$G$4:$G1534,$G1535)+1)</f>
        <v/>
      </c>
      <c r="I1535" s="11">
        <f>IF($G1535="","",IF($H1535&lt;=Points!$H$6,$G1535,0))</f>
        <v/>
      </c>
      <c r="J1535" s="11">
        <f>IF($B1535="","",IF(COUNTIF(Players!$A$2:$A$500,$B1535)=0,"Player is not on the Players tab",IF(NOT(ISNUMBER($C1535)),"Enter a gross score",IF(COUNTIFS($A$5:$A$1668,$A1535,$B$5:$B$1668,$B1535)&gt;1,"Player is listed twice this week",IF(AND($D1535&lt;&gt;"",COUNTIFS($A$5:$A$1668,$A1535,$D$5:$D$1668,$D1535)&gt;1),"Two players picked as "&amp;$D1535,IF(COUNTIFS($A$5:$A$1668,$A1535,$D$5:$D$1668,"Gross winner")=0,"Pick this week's gross winner",IF(COUNTIFS($A$5:$A$1668,$A1535,$D$5:$D$1668,"Net winner")=0,"Pick this week's net winner","OK")))))))</f>
        <v/>
      </c>
    </row>
    <row r="1536" outlineLevel="1">
      <c r="A1536" s="13" t="n">
        <v>46722</v>
      </c>
      <c r="E1536" s="11">
        <f>IF(OR($B1536="",NOT(ISNUMBER($C1536))),"",COUNTIFS($A$5:$A$1668,$A1536,$C$5:$C$1668,"&lt;"&amp;$C1536)+1)</f>
        <v/>
      </c>
      <c r="F1536" s="11">
        <f>IF(OR($B1536="",NOT(ISNUMBER($C1536))),"",COUNTIFS($A$5:$A$1668,$A1536,$C$5:$C$1668,"&gt;0"))</f>
        <v/>
      </c>
      <c r="G1536" s="11">
        <f>IF(OR($B1536="",NOT(ISNUMBER($C1536))),"",IF($D1536&lt;&gt;"",ROUND(Points!$B$6*IF($F1536&lt;Points!$H$4,Points!$H$5,1),0),ROUND(Points!$B$6*IF($F1536&lt;=1,1,Points!$H$7+(1-Points!$H$7)*((($F1536-$E1536)*(($F1536-$E1536)+1)/2)^2-((($F1536-$E1536-COUNTIFS($A$5:$A$1668,$A1536,$C$5:$C$1668,$C1536)+1)-1)*($F1536-$E1536-COUNTIFS($A$5:$A$1668,$A1536,$C$5:$C$1668,$C1536)+1)/2)^2)/(COUNTIFS($A$5:$A$1668,$A1536,$C$5:$C$1668,$C1536)*($F1536-1)^3))*IF($F1536&lt;Points!$H$4,Points!$H$5,1),0)))</f>
        <v/>
      </c>
      <c r="H1536" s="11">
        <f>IF($G1536="","",COUNTIFS($B$5:$B$1668,$B1536,$G$5:$G$1668,"&gt;"&amp;$G1536)+COUNTIFS($B$4:$B1535,$B1536,$G$4:$G1535,$G1536)+1)</f>
        <v/>
      </c>
      <c r="I1536" s="11">
        <f>IF($G1536="","",IF($H1536&lt;=Points!$H$6,$G1536,0))</f>
        <v/>
      </c>
      <c r="J1536" s="11">
        <f>IF($B1536="","",IF(COUNTIF(Players!$A$2:$A$500,$B1536)=0,"Player is not on the Players tab",IF(NOT(ISNUMBER($C1536)),"Enter a gross score",IF(COUNTIFS($A$5:$A$1668,$A1536,$B$5:$B$1668,$B1536)&gt;1,"Player is listed twice this week",IF(AND($D1536&lt;&gt;"",COUNTIFS($A$5:$A$1668,$A1536,$D$5:$D$1668,$D1536)&gt;1),"Two players picked as "&amp;$D1536,IF(COUNTIFS($A$5:$A$1668,$A1536,$D$5:$D$1668,"Gross winner")=0,"Pick this week's gross winner",IF(COUNTIFS($A$5:$A$1668,$A1536,$D$5:$D$1668,"Net winner")=0,"Pick this week's net winner","OK")))))))</f>
        <v/>
      </c>
    </row>
    <row r="1537" outlineLevel="1">
      <c r="A1537" s="13" t="n">
        <v>46722</v>
      </c>
      <c r="E1537" s="11">
        <f>IF(OR($B1537="",NOT(ISNUMBER($C1537))),"",COUNTIFS($A$5:$A$1668,$A1537,$C$5:$C$1668,"&lt;"&amp;$C1537)+1)</f>
        <v/>
      </c>
      <c r="F1537" s="11">
        <f>IF(OR($B1537="",NOT(ISNUMBER($C1537))),"",COUNTIFS($A$5:$A$1668,$A1537,$C$5:$C$1668,"&gt;0"))</f>
        <v/>
      </c>
      <c r="G1537" s="11">
        <f>IF(OR($B1537="",NOT(ISNUMBER($C1537))),"",IF($D1537&lt;&gt;"",ROUND(Points!$B$6*IF($F1537&lt;Points!$H$4,Points!$H$5,1),0),ROUND(Points!$B$6*IF($F1537&lt;=1,1,Points!$H$7+(1-Points!$H$7)*((($F1537-$E1537)*(($F1537-$E1537)+1)/2)^2-((($F1537-$E1537-COUNTIFS($A$5:$A$1668,$A1537,$C$5:$C$1668,$C1537)+1)-1)*($F1537-$E1537-COUNTIFS($A$5:$A$1668,$A1537,$C$5:$C$1668,$C1537)+1)/2)^2)/(COUNTIFS($A$5:$A$1668,$A1537,$C$5:$C$1668,$C1537)*($F1537-1)^3))*IF($F1537&lt;Points!$H$4,Points!$H$5,1),0)))</f>
        <v/>
      </c>
      <c r="H1537" s="11">
        <f>IF($G1537="","",COUNTIFS($B$5:$B$1668,$B1537,$G$5:$G$1668,"&gt;"&amp;$G1537)+COUNTIFS($B$4:$B1536,$B1537,$G$4:$G1536,$G1537)+1)</f>
        <v/>
      </c>
      <c r="I1537" s="11">
        <f>IF($G1537="","",IF($H1537&lt;=Points!$H$6,$G1537,0))</f>
        <v/>
      </c>
      <c r="J1537" s="11">
        <f>IF($B1537="","",IF(COUNTIF(Players!$A$2:$A$500,$B1537)=0,"Player is not on the Players tab",IF(NOT(ISNUMBER($C1537)),"Enter a gross score",IF(COUNTIFS($A$5:$A$1668,$A1537,$B$5:$B$1668,$B1537)&gt;1,"Player is listed twice this week",IF(AND($D1537&lt;&gt;"",COUNTIFS($A$5:$A$1668,$A1537,$D$5:$D$1668,$D1537)&gt;1),"Two players picked as "&amp;$D1537,IF(COUNTIFS($A$5:$A$1668,$A1537,$D$5:$D$1668,"Gross winner")=0,"Pick this week's gross winner",IF(COUNTIFS($A$5:$A$1668,$A1537,$D$5:$D$1668,"Net winner")=0,"Pick this week's net winner","OK")))))))</f>
        <v/>
      </c>
    </row>
    <row r="1538" outlineLevel="1">
      <c r="A1538" s="13" t="n">
        <v>46722</v>
      </c>
      <c r="E1538" s="11">
        <f>IF(OR($B1538="",NOT(ISNUMBER($C1538))),"",COUNTIFS($A$5:$A$1668,$A1538,$C$5:$C$1668,"&lt;"&amp;$C1538)+1)</f>
        <v/>
      </c>
      <c r="F1538" s="11">
        <f>IF(OR($B1538="",NOT(ISNUMBER($C1538))),"",COUNTIFS($A$5:$A$1668,$A1538,$C$5:$C$1668,"&gt;0"))</f>
        <v/>
      </c>
      <c r="G1538" s="11">
        <f>IF(OR($B1538="",NOT(ISNUMBER($C1538))),"",IF($D1538&lt;&gt;"",ROUND(Points!$B$6*IF($F1538&lt;Points!$H$4,Points!$H$5,1),0),ROUND(Points!$B$6*IF($F1538&lt;=1,1,Points!$H$7+(1-Points!$H$7)*((($F1538-$E1538)*(($F1538-$E1538)+1)/2)^2-((($F1538-$E1538-COUNTIFS($A$5:$A$1668,$A1538,$C$5:$C$1668,$C1538)+1)-1)*($F1538-$E1538-COUNTIFS($A$5:$A$1668,$A1538,$C$5:$C$1668,$C1538)+1)/2)^2)/(COUNTIFS($A$5:$A$1668,$A1538,$C$5:$C$1668,$C1538)*($F1538-1)^3))*IF($F1538&lt;Points!$H$4,Points!$H$5,1),0)))</f>
        <v/>
      </c>
      <c r="H1538" s="11">
        <f>IF($G1538="","",COUNTIFS($B$5:$B$1668,$B1538,$G$5:$G$1668,"&gt;"&amp;$G1538)+COUNTIFS($B$4:$B1537,$B1538,$G$4:$G1537,$G1538)+1)</f>
        <v/>
      </c>
      <c r="I1538" s="11">
        <f>IF($G1538="","",IF($H1538&lt;=Points!$H$6,$G1538,0))</f>
        <v/>
      </c>
      <c r="J1538" s="11">
        <f>IF($B1538="","",IF(COUNTIF(Players!$A$2:$A$500,$B1538)=0,"Player is not on the Players tab",IF(NOT(ISNUMBER($C1538)),"Enter a gross score",IF(COUNTIFS($A$5:$A$1668,$A1538,$B$5:$B$1668,$B1538)&gt;1,"Player is listed twice this week",IF(AND($D1538&lt;&gt;"",COUNTIFS($A$5:$A$1668,$A1538,$D$5:$D$1668,$D1538)&gt;1),"Two players picked as "&amp;$D1538,IF(COUNTIFS($A$5:$A$1668,$A1538,$D$5:$D$1668,"Gross winner")=0,"Pick this week's gross winner",IF(COUNTIFS($A$5:$A$1668,$A1538,$D$5:$D$1668,"Net winner")=0,"Pick this week's net winner","OK")))))))</f>
        <v/>
      </c>
    </row>
    <row r="1539" outlineLevel="1">
      <c r="A1539" s="13" t="n">
        <v>46722</v>
      </c>
      <c r="E1539" s="11">
        <f>IF(OR($B1539="",NOT(ISNUMBER($C1539))),"",COUNTIFS($A$5:$A$1668,$A1539,$C$5:$C$1668,"&lt;"&amp;$C1539)+1)</f>
        <v/>
      </c>
      <c r="F1539" s="11">
        <f>IF(OR($B1539="",NOT(ISNUMBER($C1539))),"",COUNTIFS($A$5:$A$1668,$A1539,$C$5:$C$1668,"&gt;0"))</f>
        <v/>
      </c>
      <c r="G1539" s="11">
        <f>IF(OR($B1539="",NOT(ISNUMBER($C1539))),"",IF($D1539&lt;&gt;"",ROUND(Points!$B$6*IF($F1539&lt;Points!$H$4,Points!$H$5,1),0),ROUND(Points!$B$6*IF($F1539&lt;=1,1,Points!$H$7+(1-Points!$H$7)*((($F1539-$E1539)*(($F1539-$E1539)+1)/2)^2-((($F1539-$E1539-COUNTIFS($A$5:$A$1668,$A1539,$C$5:$C$1668,$C1539)+1)-1)*($F1539-$E1539-COUNTIFS($A$5:$A$1668,$A1539,$C$5:$C$1668,$C1539)+1)/2)^2)/(COUNTIFS($A$5:$A$1668,$A1539,$C$5:$C$1668,$C1539)*($F1539-1)^3))*IF($F1539&lt;Points!$H$4,Points!$H$5,1),0)))</f>
        <v/>
      </c>
      <c r="H1539" s="11">
        <f>IF($G1539="","",COUNTIFS($B$5:$B$1668,$B1539,$G$5:$G$1668,"&gt;"&amp;$G1539)+COUNTIFS($B$4:$B1538,$B1539,$G$4:$G1538,$G1539)+1)</f>
        <v/>
      </c>
      <c r="I1539" s="11">
        <f>IF($G1539="","",IF($H1539&lt;=Points!$H$6,$G1539,0))</f>
        <v/>
      </c>
      <c r="J1539" s="11">
        <f>IF($B1539="","",IF(COUNTIF(Players!$A$2:$A$500,$B1539)=0,"Player is not on the Players tab",IF(NOT(ISNUMBER($C1539)),"Enter a gross score",IF(COUNTIFS($A$5:$A$1668,$A1539,$B$5:$B$1668,$B1539)&gt;1,"Player is listed twice this week",IF(AND($D1539&lt;&gt;"",COUNTIFS($A$5:$A$1668,$A1539,$D$5:$D$1668,$D1539)&gt;1),"Two players picked as "&amp;$D1539,IF(COUNTIFS($A$5:$A$1668,$A1539,$D$5:$D$1668,"Gross winner")=0,"Pick this week's gross winner",IF(COUNTIFS($A$5:$A$1668,$A1539,$D$5:$D$1668,"Net winner")=0,"Pick this week's net winner","OK")))))))</f>
        <v/>
      </c>
    </row>
    <row r="1540" ht="10" customHeight="1"/>
    <row r="1541" ht="22" customHeight="1">
      <c r="A1541" s="12" t="inlineStr">
        <is>
          <t>Week 49  ·  Wednesday, Dec 8</t>
        </is>
      </c>
    </row>
    <row r="1542" outlineLevel="1">
      <c r="A1542" s="13" t="n">
        <v>46729</v>
      </c>
      <c r="E1542" s="11">
        <f>IF(OR($B1542="",NOT(ISNUMBER($C1542))),"",COUNTIFS($A$5:$A$1668,$A1542,$C$5:$C$1668,"&lt;"&amp;$C1542)+1)</f>
        <v/>
      </c>
      <c r="F1542" s="11">
        <f>IF(OR($B1542="",NOT(ISNUMBER($C1542))),"",COUNTIFS($A$5:$A$1668,$A1542,$C$5:$C$1668,"&gt;0"))</f>
        <v/>
      </c>
      <c r="G1542" s="11">
        <f>IF(OR($B1542="",NOT(ISNUMBER($C1542))),"",IF($D1542&lt;&gt;"",ROUND(Points!$B$6*IF($F1542&lt;Points!$H$4,Points!$H$5,1),0),ROUND(Points!$B$6*IF($F1542&lt;=1,1,Points!$H$7+(1-Points!$H$7)*((($F1542-$E1542)*(($F1542-$E1542)+1)/2)^2-((($F1542-$E1542-COUNTIFS($A$5:$A$1668,$A1542,$C$5:$C$1668,$C1542)+1)-1)*($F1542-$E1542-COUNTIFS($A$5:$A$1668,$A1542,$C$5:$C$1668,$C1542)+1)/2)^2)/(COUNTIFS($A$5:$A$1668,$A1542,$C$5:$C$1668,$C1542)*($F1542-1)^3))*IF($F1542&lt;Points!$H$4,Points!$H$5,1),0)))</f>
        <v/>
      </c>
      <c r="H1542" s="11">
        <f>IF($G1542="","",COUNTIFS($B$5:$B$1668,$B1542,$G$5:$G$1668,"&gt;"&amp;$G1542)+COUNTIFS($B$4:$B1541,$B1542,$G$4:$G1541,$G1542)+1)</f>
        <v/>
      </c>
      <c r="I1542" s="11">
        <f>IF($G1542="","",IF($H1542&lt;=Points!$H$6,$G1542,0))</f>
        <v/>
      </c>
      <c r="J1542" s="11">
        <f>IF($B1542="","",IF(COUNTIF(Players!$A$2:$A$500,$B1542)=0,"Player is not on the Players tab",IF(NOT(ISNUMBER($C1542)),"Enter a gross score",IF(COUNTIFS($A$5:$A$1668,$A1542,$B$5:$B$1668,$B1542)&gt;1,"Player is listed twice this week",IF(AND($D1542&lt;&gt;"",COUNTIFS($A$5:$A$1668,$A1542,$D$5:$D$1668,$D1542)&gt;1),"Two players picked as "&amp;$D1542,IF(COUNTIFS($A$5:$A$1668,$A1542,$D$5:$D$1668,"Gross winner")=0,"Pick this week's gross winner",IF(COUNTIFS($A$5:$A$1668,$A1542,$D$5:$D$1668,"Net winner")=0,"Pick this week's net winner","OK")))))))</f>
        <v/>
      </c>
    </row>
    <row r="1543" outlineLevel="1">
      <c r="A1543" s="13" t="n">
        <v>46729</v>
      </c>
      <c r="E1543" s="11">
        <f>IF(OR($B1543="",NOT(ISNUMBER($C1543))),"",COUNTIFS($A$5:$A$1668,$A1543,$C$5:$C$1668,"&lt;"&amp;$C1543)+1)</f>
        <v/>
      </c>
      <c r="F1543" s="11">
        <f>IF(OR($B1543="",NOT(ISNUMBER($C1543))),"",COUNTIFS($A$5:$A$1668,$A1543,$C$5:$C$1668,"&gt;0"))</f>
        <v/>
      </c>
      <c r="G1543" s="11">
        <f>IF(OR($B1543="",NOT(ISNUMBER($C1543))),"",IF($D1543&lt;&gt;"",ROUND(Points!$B$6*IF($F1543&lt;Points!$H$4,Points!$H$5,1),0),ROUND(Points!$B$6*IF($F1543&lt;=1,1,Points!$H$7+(1-Points!$H$7)*((($F1543-$E1543)*(($F1543-$E1543)+1)/2)^2-((($F1543-$E1543-COUNTIFS($A$5:$A$1668,$A1543,$C$5:$C$1668,$C1543)+1)-1)*($F1543-$E1543-COUNTIFS($A$5:$A$1668,$A1543,$C$5:$C$1668,$C1543)+1)/2)^2)/(COUNTIFS($A$5:$A$1668,$A1543,$C$5:$C$1668,$C1543)*($F1543-1)^3))*IF($F1543&lt;Points!$H$4,Points!$H$5,1),0)))</f>
        <v/>
      </c>
      <c r="H1543" s="11">
        <f>IF($G1543="","",COUNTIFS($B$5:$B$1668,$B1543,$G$5:$G$1668,"&gt;"&amp;$G1543)+COUNTIFS($B$4:$B1542,$B1543,$G$4:$G1542,$G1543)+1)</f>
        <v/>
      </c>
      <c r="I1543" s="11">
        <f>IF($G1543="","",IF($H1543&lt;=Points!$H$6,$G1543,0))</f>
        <v/>
      </c>
      <c r="J1543" s="11">
        <f>IF($B1543="","",IF(COUNTIF(Players!$A$2:$A$500,$B1543)=0,"Player is not on the Players tab",IF(NOT(ISNUMBER($C1543)),"Enter a gross score",IF(COUNTIFS($A$5:$A$1668,$A1543,$B$5:$B$1668,$B1543)&gt;1,"Player is listed twice this week",IF(AND($D1543&lt;&gt;"",COUNTIFS($A$5:$A$1668,$A1543,$D$5:$D$1668,$D1543)&gt;1),"Two players picked as "&amp;$D1543,IF(COUNTIFS($A$5:$A$1668,$A1543,$D$5:$D$1668,"Gross winner")=0,"Pick this week's gross winner",IF(COUNTIFS($A$5:$A$1668,$A1543,$D$5:$D$1668,"Net winner")=0,"Pick this week's net winner","OK")))))))</f>
        <v/>
      </c>
    </row>
    <row r="1544" outlineLevel="1">
      <c r="A1544" s="13" t="n">
        <v>46729</v>
      </c>
      <c r="E1544" s="11">
        <f>IF(OR($B1544="",NOT(ISNUMBER($C1544))),"",COUNTIFS($A$5:$A$1668,$A1544,$C$5:$C$1668,"&lt;"&amp;$C1544)+1)</f>
        <v/>
      </c>
      <c r="F1544" s="11">
        <f>IF(OR($B1544="",NOT(ISNUMBER($C1544))),"",COUNTIFS($A$5:$A$1668,$A1544,$C$5:$C$1668,"&gt;0"))</f>
        <v/>
      </c>
      <c r="G1544" s="11">
        <f>IF(OR($B1544="",NOT(ISNUMBER($C1544))),"",IF($D1544&lt;&gt;"",ROUND(Points!$B$6*IF($F1544&lt;Points!$H$4,Points!$H$5,1),0),ROUND(Points!$B$6*IF($F1544&lt;=1,1,Points!$H$7+(1-Points!$H$7)*((($F1544-$E1544)*(($F1544-$E1544)+1)/2)^2-((($F1544-$E1544-COUNTIFS($A$5:$A$1668,$A1544,$C$5:$C$1668,$C1544)+1)-1)*($F1544-$E1544-COUNTIFS($A$5:$A$1668,$A1544,$C$5:$C$1668,$C1544)+1)/2)^2)/(COUNTIFS($A$5:$A$1668,$A1544,$C$5:$C$1668,$C1544)*($F1544-1)^3))*IF($F1544&lt;Points!$H$4,Points!$H$5,1),0)))</f>
        <v/>
      </c>
      <c r="H1544" s="11">
        <f>IF($G1544="","",COUNTIFS($B$5:$B$1668,$B1544,$G$5:$G$1668,"&gt;"&amp;$G1544)+COUNTIFS($B$4:$B1543,$B1544,$G$4:$G1543,$G1544)+1)</f>
        <v/>
      </c>
      <c r="I1544" s="11">
        <f>IF($G1544="","",IF($H1544&lt;=Points!$H$6,$G1544,0))</f>
        <v/>
      </c>
      <c r="J1544" s="11">
        <f>IF($B1544="","",IF(COUNTIF(Players!$A$2:$A$500,$B1544)=0,"Player is not on the Players tab",IF(NOT(ISNUMBER($C1544)),"Enter a gross score",IF(COUNTIFS($A$5:$A$1668,$A1544,$B$5:$B$1668,$B1544)&gt;1,"Player is listed twice this week",IF(AND($D1544&lt;&gt;"",COUNTIFS($A$5:$A$1668,$A1544,$D$5:$D$1668,$D1544)&gt;1),"Two players picked as "&amp;$D1544,IF(COUNTIFS($A$5:$A$1668,$A1544,$D$5:$D$1668,"Gross winner")=0,"Pick this week's gross winner",IF(COUNTIFS($A$5:$A$1668,$A1544,$D$5:$D$1668,"Net winner")=0,"Pick this week's net winner","OK")))))))</f>
        <v/>
      </c>
    </row>
    <row r="1545" outlineLevel="1">
      <c r="A1545" s="13" t="n">
        <v>46729</v>
      </c>
      <c r="E1545" s="11">
        <f>IF(OR($B1545="",NOT(ISNUMBER($C1545))),"",COUNTIFS($A$5:$A$1668,$A1545,$C$5:$C$1668,"&lt;"&amp;$C1545)+1)</f>
        <v/>
      </c>
      <c r="F1545" s="11">
        <f>IF(OR($B1545="",NOT(ISNUMBER($C1545))),"",COUNTIFS($A$5:$A$1668,$A1545,$C$5:$C$1668,"&gt;0"))</f>
        <v/>
      </c>
      <c r="G1545" s="11">
        <f>IF(OR($B1545="",NOT(ISNUMBER($C1545))),"",IF($D1545&lt;&gt;"",ROUND(Points!$B$6*IF($F1545&lt;Points!$H$4,Points!$H$5,1),0),ROUND(Points!$B$6*IF($F1545&lt;=1,1,Points!$H$7+(1-Points!$H$7)*((($F1545-$E1545)*(($F1545-$E1545)+1)/2)^2-((($F1545-$E1545-COUNTIFS($A$5:$A$1668,$A1545,$C$5:$C$1668,$C1545)+1)-1)*($F1545-$E1545-COUNTIFS($A$5:$A$1668,$A1545,$C$5:$C$1668,$C1545)+1)/2)^2)/(COUNTIFS($A$5:$A$1668,$A1545,$C$5:$C$1668,$C1545)*($F1545-1)^3))*IF($F1545&lt;Points!$H$4,Points!$H$5,1),0)))</f>
        <v/>
      </c>
      <c r="H1545" s="11">
        <f>IF($G1545="","",COUNTIFS($B$5:$B$1668,$B1545,$G$5:$G$1668,"&gt;"&amp;$G1545)+COUNTIFS($B$4:$B1544,$B1545,$G$4:$G1544,$G1545)+1)</f>
        <v/>
      </c>
      <c r="I1545" s="11">
        <f>IF($G1545="","",IF($H1545&lt;=Points!$H$6,$G1545,0))</f>
        <v/>
      </c>
      <c r="J1545" s="11">
        <f>IF($B1545="","",IF(COUNTIF(Players!$A$2:$A$500,$B1545)=0,"Player is not on the Players tab",IF(NOT(ISNUMBER($C1545)),"Enter a gross score",IF(COUNTIFS($A$5:$A$1668,$A1545,$B$5:$B$1668,$B1545)&gt;1,"Player is listed twice this week",IF(AND($D1545&lt;&gt;"",COUNTIFS($A$5:$A$1668,$A1545,$D$5:$D$1668,$D1545)&gt;1),"Two players picked as "&amp;$D1545,IF(COUNTIFS($A$5:$A$1668,$A1545,$D$5:$D$1668,"Gross winner")=0,"Pick this week's gross winner",IF(COUNTIFS($A$5:$A$1668,$A1545,$D$5:$D$1668,"Net winner")=0,"Pick this week's net winner","OK")))))))</f>
        <v/>
      </c>
    </row>
    <row r="1546" outlineLevel="1">
      <c r="A1546" s="13" t="n">
        <v>46729</v>
      </c>
      <c r="E1546" s="11">
        <f>IF(OR($B1546="",NOT(ISNUMBER($C1546))),"",COUNTIFS($A$5:$A$1668,$A1546,$C$5:$C$1668,"&lt;"&amp;$C1546)+1)</f>
        <v/>
      </c>
      <c r="F1546" s="11">
        <f>IF(OR($B1546="",NOT(ISNUMBER($C1546))),"",COUNTIFS($A$5:$A$1668,$A1546,$C$5:$C$1668,"&gt;0"))</f>
        <v/>
      </c>
      <c r="G1546" s="11">
        <f>IF(OR($B1546="",NOT(ISNUMBER($C1546))),"",IF($D1546&lt;&gt;"",ROUND(Points!$B$6*IF($F1546&lt;Points!$H$4,Points!$H$5,1),0),ROUND(Points!$B$6*IF($F1546&lt;=1,1,Points!$H$7+(1-Points!$H$7)*((($F1546-$E1546)*(($F1546-$E1546)+1)/2)^2-((($F1546-$E1546-COUNTIFS($A$5:$A$1668,$A1546,$C$5:$C$1668,$C1546)+1)-1)*($F1546-$E1546-COUNTIFS($A$5:$A$1668,$A1546,$C$5:$C$1668,$C1546)+1)/2)^2)/(COUNTIFS($A$5:$A$1668,$A1546,$C$5:$C$1668,$C1546)*($F1546-1)^3))*IF($F1546&lt;Points!$H$4,Points!$H$5,1),0)))</f>
        <v/>
      </c>
      <c r="H1546" s="11">
        <f>IF($G1546="","",COUNTIFS($B$5:$B$1668,$B1546,$G$5:$G$1668,"&gt;"&amp;$G1546)+COUNTIFS($B$4:$B1545,$B1546,$G$4:$G1545,$G1546)+1)</f>
        <v/>
      </c>
      <c r="I1546" s="11">
        <f>IF($G1546="","",IF($H1546&lt;=Points!$H$6,$G1546,0))</f>
        <v/>
      </c>
      <c r="J1546" s="11">
        <f>IF($B1546="","",IF(COUNTIF(Players!$A$2:$A$500,$B1546)=0,"Player is not on the Players tab",IF(NOT(ISNUMBER($C1546)),"Enter a gross score",IF(COUNTIFS($A$5:$A$1668,$A1546,$B$5:$B$1668,$B1546)&gt;1,"Player is listed twice this week",IF(AND($D1546&lt;&gt;"",COUNTIFS($A$5:$A$1668,$A1546,$D$5:$D$1668,$D1546)&gt;1),"Two players picked as "&amp;$D1546,IF(COUNTIFS($A$5:$A$1668,$A1546,$D$5:$D$1668,"Gross winner")=0,"Pick this week's gross winner",IF(COUNTIFS($A$5:$A$1668,$A1546,$D$5:$D$1668,"Net winner")=0,"Pick this week's net winner","OK")))))))</f>
        <v/>
      </c>
    </row>
    <row r="1547" outlineLevel="1">
      <c r="A1547" s="13" t="n">
        <v>46729</v>
      </c>
      <c r="E1547" s="11">
        <f>IF(OR($B1547="",NOT(ISNUMBER($C1547))),"",COUNTIFS($A$5:$A$1668,$A1547,$C$5:$C$1668,"&lt;"&amp;$C1547)+1)</f>
        <v/>
      </c>
      <c r="F1547" s="11">
        <f>IF(OR($B1547="",NOT(ISNUMBER($C1547))),"",COUNTIFS($A$5:$A$1668,$A1547,$C$5:$C$1668,"&gt;0"))</f>
        <v/>
      </c>
      <c r="G1547" s="11">
        <f>IF(OR($B1547="",NOT(ISNUMBER($C1547))),"",IF($D1547&lt;&gt;"",ROUND(Points!$B$6*IF($F1547&lt;Points!$H$4,Points!$H$5,1),0),ROUND(Points!$B$6*IF($F1547&lt;=1,1,Points!$H$7+(1-Points!$H$7)*((($F1547-$E1547)*(($F1547-$E1547)+1)/2)^2-((($F1547-$E1547-COUNTIFS($A$5:$A$1668,$A1547,$C$5:$C$1668,$C1547)+1)-1)*($F1547-$E1547-COUNTIFS($A$5:$A$1668,$A1547,$C$5:$C$1668,$C1547)+1)/2)^2)/(COUNTIFS($A$5:$A$1668,$A1547,$C$5:$C$1668,$C1547)*($F1547-1)^3))*IF($F1547&lt;Points!$H$4,Points!$H$5,1),0)))</f>
        <v/>
      </c>
      <c r="H1547" s="11">
        <f>IF($G1547="","",COUNTIFS($B$5:$B$1668,$B1547,$G$5:$G$1668,"&gt;"&amp;$G1547)+COUNTIFS($B$4:$B1546,$B1547,$G$4:$G1546,$G1547)+1)</f>
        <v/>
      </c>
      <c r="I1547" s="11">
        <f>IF($G1547="","",IF($H1547&lt;=Points!$H$6,$G1547,0))</f>
        <v/>
      </c>
      <c r="J1547" s="11">
        <f>IF($B1547="","",IF(COUNTIF(Players!$A$2:$A$500,$B1547)=0,"Player is not on the Players tab",IF(NOT(ISNUMBER($C1547)),"Enter a gross score",IF(COUNTIFS($A$5:$A$1668,$A1547,$B$5:$B$1668,$B1547)&gt;1,"Player is listed twice this week",IF(AND($D1547&lt;&gt;"",COUNTIFS($A$5:$A$1668,$A1547,$D$5:$D$1668,$D1547)&gt;1),"Two players picked as "&amp;$D1547,IF(COUNTIFS($A$5:$A$1668,$A1547,$D$5:$D$1668,"Gross winner")=0,"Pick this week's gross winner",IF(COUNTIFS($A$5:$A$1668,$A1547,$D$5:$D$1668,"Net winner")=0,"Pick this week's net winner","OK")))))))</f>
        <v/>
      </c>
    </row>
    <row r="1548" outlineLevel="1">
      <c r="A1548" s="13" t="n">
        <v>46729</v>
      </c>
      <c r="E1548" s="11">
        <f>IF(OR($B1548="",NOT(ISNUMBER($C1548))),"",COUNTIFS($A$5:$A$1668,$A1548,$C$5:$C$1668,"&lt;"&amp;$C1548)+1)</f>
        <v/>
      </c>
      <c r="F1548" s="11">
        <f>IF(OR($B1548="",NOT(ISNUMBER($C1548))),"",COUNTIFS($A$5:$A$1668,$A1548,$C$5:$C$1668,"&gt;0"))</f>
        <v/>
      </c>
      <c r="G1548" s="11">
        <f>IF(OR($B1548="",NOT(ISNUMBER($C1548))),"",IF($D1548&lt;&gt;"",ROUND(Points!$B$6*IF($F1548&lt;Points!$H$4,Points!$H$5,1),0),ROUND(Points!$B$6*IF($F1548&lt;=1,1,Points!$H$7+(1-Points!$H$7)*((($F1548-$E1548)*(($F1548-$E1548)+1)/2)^2-((($F1548-$E1548-COUNTIFS($A$5:$A$1668,$A1548,$C$5:$C$1668,$C1548)+1)-1)*($F1548-$E1548-COUNTIFS($A$5:$A$1668,$A1548,$C$5:$C$1668,$C1548)+1)/2)^2)/(COUNTIFS($A$5:$A$1668,$A1548,$C$5:$C$1668,$C1548)*($F1548-1)^3))*IF($F1548&lt;Points!$H$4,Points!$H$5,1),0)))</f>
        <v/>
      </c>
      <c r="H1548" s="11">
        <f>IF($G1548="","",COUNTIFS($B$5:$B$1668,$B1548,$G$5:$G$1668,"&gt;"&amp;$G1548)+COUNTIFS($B$4:$B1547,$B1548,$G$4:$G1547,$G1548)+1)</f>
        <v/>
      </c>
      <c r="I1548" s="11">
        <f>IF($G1548="","",IF($H1548&lt;=Points!$H$6,$G1548,0))</f>
        <v/>
      </c>
      <c r="J1548" s="11">
        <f>IF($B1548="","",IF(COUNTIF(Players!$A$2:$A$500,$B1548)=0,"Player is not on the Players tab",IF(NOT(ISNUMBER($C1548)),"Enter a gross score",IF(COUNTIFS($A$5:$A$1668,$A1548,$B$5:$B$1668,$B1548)&gt;1,"Player is listed twice this week",IF(AND($D1548&lt;&gt;"",COUNTIFS($A$5:$A$1668,$A1548,$D$5:$D$1668,$D1548)&gt;1),"Two players picked as "&amp;$D1548,IF(COUNTIFS($A$5:$A$1668,$A1548,$D$5:$D$1668,"Gross winner")=0,"Pick this week's gross winner",IF(COUNTIFS($A$5:$A$1668,$A1548,$D$5:$D$1668,"Net winner")=0,"Pick this week's net winner","OK")))))))</f>
        <v/>
      </c>
    </row>
    <row r="1549" outlineLevel="1">
      <c r="A1549" s="13" t="n">
        <v>46729</v>
      </c>
      <c r="E1549" s="11">
        <f>IF(OR($B1549="",NOT(ISNUMBER($C1549))),"",COUNTIFS($A$5:$A$1668,$A1549,$C$5:$C$1668,"&lt;"&amp;$C1549)+1)</f>
        <v/>
      </c>
      <c r="F1549" s="11">
        <f>IF(OR($B1549="",NOT(ISNUMBER($C1549))),"",COUNTIFS($A$5:$A$1668,$A1549,$C$5:$C$1668,"&gt;0"))</f>
        <v/>
      </c>
      <c r="G1549" s="11">
        <f>IF(OR($B1549="",NOT(ISNUMBER($C1549))),"",IF($D1549&lt;&gt;"",ROUND(Points!$B$6*IF($F1549&lt;Points!$H$4,Points!$H$5,1),0),ROUND(Points!$B$6*IF($F1549&lt;=1,1,Points!$H$7+(1-Points!$H$7)*((($F1549-$E1549)*(($F1549-$E1549)+1)/2)^2-((($F1549-$E1549-COUNTIFS($A$5:$A$1668,$A1549,$C$5:$C$1668,$C1549)+1)-1)*($F1549-$E1549-COUNTIFS($A$5:$A$1668,$A1549,$C$5:$C$1668,$C1549)+1)/2)^2)/(COUNTIFS($A$5:$A$1668,$A1549,$C$5:$C$1668,$C1549)*($F1549-1)^3))*IF($F1549&lt;Points!$H$4,Points!$H$5,1),0)))</f>
        <v/>
      </c>
      <c r="H1549" s="11">
        <f>IF($G1549="","",COUNTIFS($B$5:$B$1668,$B1549,$G$5:$G$1668,"&gt;"&amp;$G1549)+COUNTIFS($B$4:$B1548,$B1549,$G$4:$G1548,$G1549)+1)</f>
        <v/>
      </c>
      <c r="I1549" s="11">
        <f>IF($G1549="","",IF($H1549&lt;=Points!$H$6,$G1549,0))</f>
        <v/>
      </c>
      <c r="J1549" s="11">
        <f>IF($B1549="","",IF(COUNTIF(Players!$A$2:$A$500,$B1549)=0,"Player is not on the Players tab",IF(NOT(ISNUMBER($C1549)),"Enter a gross score",IF(COUNTIFS($A$5:$A$1668,$A1549,$B$5:$B$1668,$B1549)&gt;1,"Player is listed twice this week",IF(AND($D1549&lt;&gt;"",COUNTIFS($A$5:$A$1668,$A1549,$D$5:$D$1668,$D1549)&gt;1),"Two players picked as "&amp;$D1549,IF(COUNTIFS($A$5:$A$1668,$A1549,$D$5:$D$1668,"Gross winner")=0,"Pick this week's gross winner",IF(COUNTIFS($A$5:$A$1668,$A1549,$D$5:$D$1668,"Net winner")=0,"Pick this week's net winner","OK")))))))</f>
        <v/>
      </c>
    </row>
    <row r="1550" outlineLevel="1">
      <c r="A1550" s="13" t="n">
        <v>46729</v>
      </c>
      <c r="E1550" s="11">
        <f>IF(OR($B1550="",NOT(ISNUMBER($C1550))),"",COUNTIFS($A$5:$A$1668,$A1550,$C$5:$C$1668,"&lt;"&amp;$C1550)+1)</f>
        <v/>
      </c>
      <c r="F1550" s="11">
        <f>IF(OR($B1550="",NOT(ISNUMBER($C1550))),"",COUNTIFS($A$5:$A$1668,$A1550,$C$5:$C$1668,"&gt;0"))</f>
        <v/>
      </c>
      <c r="G1550" s="11">
        <f>IF(OR($B1550="",NOT(ISNUMBER($C1550))),"",IF($D1550&lt;&gt;"",ROUND(Points!$B$6*IF($F1550&lt;Points!$H$4,Points!$H$5,1),0),ROUND(Points!$B$6*IF($F1550&lt;=1,1,Points!$H$7+(1-Points!$H$7)*((($F1550-$E1550)*(($F1550-$E1550)+1)/2)^2-((($F1550-$E1550-COUNTIFS($A$5:$A$1668,$A1550,$C$5:$C$1668,$C1550)+1)-1)*($F1550-$E1550-COUNTIFS($A$5:$A$1668,$A1550,$C$5:$C$1668,$C1550)+1)/2)^2)/(COUNTIFS($A$5:$A$1668,$A1550,$C$5:$C$1668,$C1550)*($F1550-1)^3))*IF($F1550&lt;Points!$H$4,Points!$H$5,1),0)))</f>
        <v/>
      </c>
      <c r="H1550" s="11">
        <f>IF($G1550="","",COUNTIFS($B$5:$B$1668,$B1550,$G$5:$G$1668,"&gt;"&amp;$G1550)+COUNTIFS($B$4:$B1549,$B1550,$G$4:$G1549,$G1550)+1)</f>
        <v/>
      </c>
      <c r="I1550" s="11">
        <f>IF($G1550="","",IF($H1550&lt;=Points!$H$6,$G1550,0))</f>
        <v/>
      </c>
      <c r="J1550" s="11">
        <f>IF($B1550="","",IF(COUNTIF(Players!$A$2:$A$500,$B1550)=0,"Player is not on the Players tab",IF(NOT(ISNUMBER($C1550)),"Enter a gross score",IF(COUNTIFS($A$5:$A$1668,$A1550,$B$5:$B$1668,$B1550)&gt;1,"Player is listed twice this week",IF(AND($D1550&lt;&gt;"",COUNTIFS($A$5:$A$1668,$A1550,$D$5:$D$1668,$D1550)&gt;1),"Two players picked as "&amp;$D1550,IF(COUNTIFS($A$5:$A$1668,$A1550,$D$5:$D$1668,"Gross winner")=0,"Pick this week's gross winner",IF(COUNTIFS($A$5:$A$1668,$A1550,$D$5:$D$1668,"Net winner")=0,"Pick this week's net winner","OK")))))))</f>
        <v/>
      </c>
    </row>
    <row r="1551" outlineLevel="1">
      <c r="A1551" s="13" t="n">
        <v>46729</v>
      </c>
      <c r="E1551" s="11">
        <f>IF(OR($B1551="",NOT(ISNUMBER($C1551))),"",COUNTIFS($A$5:$A$1668,$A1551,$C$5:$C$1668,"&lt;"&amp;$C1551)+1)</f>
        <v/>
      </c>
      <c r="F1551" s="11">
        <f>IF(OR($B1551="",NOT(ISNUMBER($C1551))),"",COUNTIFS($A$5:$A$1668,$A1551,$C$5:$C$1668,"&gt;0"))</f>
        <v/>
      </c>
      <c r="G1551" s="11">
        <f>IF(OR($B1551="",NOT(ISNUMBER($C1551))),"",IF($D1551&lt;&gt;"",ROUND(Points!$B$6*IF($F1551&lt;Points!$H$4,Points!$H$5,1),0),ROUND(Points!$B$6*IF($F1551&lt;=1,1,Points!$H$7+(1-Points!$H$7)*((($F1551-$E1551)*(($F1551-$E1551)+1)/2)^2-((($F1551-$E1551-COUNTIFS($A$5:$A$1668,$A1551,$C$5:$C$1668,$C1551)+1)-1)*($F1551-$E1551-COUNTIFS($A$5:$A$1668,$A1551,$C$5:$C$1668,$C1551)+1)/2)^2)/(COUNTIFS($A$5:$A$1668,$A1551,$C$5:$C$1668,$C1551)*($F1551-1)^3))*IF($F1551&lt;Points!$H$4,Points!$H$5,1),0)))</f>
        <v/>
      </c>
      <c r="H1551" s="11">
        <f>IF($G1551="","",COUNTIFS($B$5:$B$1668,$B1551,$G$5:$G$1668,"&gt;"&amp;$G1551)+COUNTIFS($B$4:$B1550,$B1551,$G$4:$G1550,$G1551)+1)</f>
        <v/>
      </c>
      <c r="I1551" s="11">
        <f>IF($G1551="","",IF($H1551&lt;=Points!$H$6,$G1551,0))</f>
        <v/>
      </c>
      <c r="J1551" s="11">
        <f>IF($B1551="","",IF(COUNTIF(Players!$A$2:$A$500,$B1551)=0,"Player is not on the Players tab",IF(NOT(ISNUMBER($C1551)),"Enter a gross score",IF(COUNTIFS($A$5:$A$1668,$A1551,$B$5:$B$1668,$B1551)&gt;1,"Player is listed twice this week",IF(AND($D1551&lt;&gt;"",COUNTIFS($A$5:$A$1668,$A1551,$D$5:$D$1668,$D1551)&gt;1),"Two players picked as "&amp;$D1551,IF(COUNTIFS($A$5:$A$1668,$A1551,$D$5:$D$1668,"Gross winner")=0,"Pick this week's gross winner",IF(COUNTIFS($A$5:$A$1668,$A1551,$D$5:$D$1668,"Net winner")=0,"Pick this week's net winner","OK")))))))</f>
        <v/>
      </c>
    </row>
    <row r="1552" outlineLevel="1">
      <c r="A1552" s="13" t="n">
        <v>46729</v>
      </c>
      <c r="E1552" s="11">
        <f>IF(OR($B1552="",NOT(ISNUMBER($C1552))),"",COUNTIFS($A$5:$A$1668,$A1552,$C$5:$C$1668,"&lt;"&amp;$C1552)+1)</f>
        <v/>
      </c>
      <c r="F1552" s="11">
        <f>IF(OR($B1552="",NOT(ISNUMBER($C1552))),"",COUNTIFS($A$5:$A$1668,$A1552,$C$5:$C$1668,"&gt;0"))</f>
        <v/>
      </c>
      <c r="G1552" s="11">
        <f>IF(OR($B1552="",NOT(ISNUMBER($C1552))),"",IF($D1552&lt;&gt;"",ROUND(Points!$B$6*IF($F1552&lt;Points!$H$4,Points!$H$5,1),0),ROUND(Points!$B$6*IF($F1552&lt;=1,1,Points!$H$7+(1-Points!$H$7)*((($F1552-$E1552)*(($F1552-$E1552)+1)/2)^2-((($F1552-$E1552-COUNTIFS($A$5:$A$1668,$A1552,$C$5:$C$1668,$C1552)+1)-1)*($F1552-$E1552-COUNTIFS($A$5:$A$1668,$A1552,$C$5:$C$1668,$C1552)+1)/2)^2)/(COUNTIFS($A$5:$A$1668,$A1552,$C$5:$C$1668,$C1552)*($F1552-1)^3))*IF($F1552&lt;Points!$H$4,Points!$H$5,1),0)))</f>
        <v/>
      </c>
      <c r="H1552" s="11">
        <f>IF($G1552="","",COUNTIFS($B$5:$B$1668,$B1552,$G$5:$G$1668,"&gt;"&amp;$G1552)+COUNTIFS($B$4:$B1551,$B1552,$G$4:$G1551,$G1552)+1)</f>
        <v/>
      </c>
      <c r="I1552" s="11">
        <f>IF($G1552="","",IF($H1552&lt;=Points!$H$6,$G1552,0))</f>
        <v/>
      </c>
      <c r="J1552" s="11">
        <f>IF($B1552="","",IF(COUNTIF(Players!$A$2:$A$500,$B1552)=0,"Player is not on the Players tab",IF(NOT(ISNUMBER($C1552)),"Enter a gross score",IF(COUNTIFS($A$5:$A$1668,$A1552,$B$5:$B$1668,$B1552)&gt;1,"Player is listed twice this week",IF(AND($D1552&lt;&gt;"",COUNTIFS($A$5:$A$1668,$A1552,$D$5:$D$1668,$D1552)&gt;1),"Two players picked as "&amp;$D1552,IF(COUNTIFS($A$5:$A$1668,$A1552,$D$5:$D$1668,"Gross winner")=0,"Pick this week's gross winner",IF(COUNTIFS($A$5:$A$1668,$A1552,$D$5:$D$1668,"Net winner")=0,"Pick this week's net winner","OK")))))))</f>
        <v/>
      </c>
    </row>
    <row r="1553" outlineLevel="1">
      <c r="A1553" s="13" t="n">
        <v>46729</v>
      </c>
      <c r="E1553" s="11">
        <f>IF(OR($B1553="",NOT(ISNUMBER($C1553))),"",COUNTIFS($A$5:$A$1668,$A1553,$C$5:$C$1668,"&lt;"&amp;$C1553)+1)</f>
        <v/>
      </c>
      <c r="F1553" s="11">
        <f>IF(OR($B1553="",NOT(ISNUMBER($C1553))),"",COUNTIFS($A$5:$A$1668,$A1553,$C$5:$C$1668,"&gt;0"))</f>
        <v/>
      </c>
      <c r="G1553" s="11">
        <f>IF(OR($B1553="",NOT(ISNUMBER($C1553))),"",IF($D1553&lt;&gt;"",ROUND(Points!$B$6*IF($F1553&lt;Points!$H$4,Points!$H$5,1),0),ROUND(Points!$B$6*IF($F1553&lt;=1,1,Points!$H$7+(1-Points!$H$7)*((($F1553-$E1553)*(($F1553-$E1553)+1)/2)^2-((($F1553-$E1553-COUNTIFS($A$5:$A$1668,$A1553,$C$5:$C$1668,$C1553)+1)-1)*($F1553-$E1553-COUNTIFS($A$5:$A$1668,$A1553,$C$5:$C$1668,$C1553)+1)/2)^2)/(COUNTIFS($A$5:$A$1668,$A1553,$C$5:$C$1668,$C1553)*($F1553-1)^3))*IF($F1553&lt;Points!$H$4,Points!$H$5,1),0)))</f>
        <v/>
      </c>
      <c r="H1553" s="11">
        <f>IF($G1553="","",COUNTIFS($B$5:$B$1668,$B1553,$G$5:$G$1668,"&gt;"&amp;$G1553)+COUNTIFS($B$4:$B1552,$B1553,$G$4:$G1552,$G1553)+1)</f>
        <v/>
      </c>
      <c r="I1553" s="11">
        <f>IF($G1553="","",IF($H1553&lt;=Points!$H$6,$G1553,0))</f>
        <v/>
      </c>
      <c r="J1553" s="11">
        <f>IF($B1553="","",IF(COUNTIF(Players!$A$2:$A$500,$B1553)=0,"Player is not on the Players tab",IF(NOT(ISNUMBER($C1553)),"Enter a gross score",IF(COUNTIFS($A$5:$A$1668,$A1553,$B$5:$B$1668,$B1553)&gt;1,"Player is listed twice this week",IF(AND($D1553&lt;&gt;"",COUNTIFS($A$5:$A$1668,$A1553,$D$5:$D$1668,$D1553)&gt;1),"Two players picked as "&amp;$D1553,IF(COUNTIFS($A$5:$A$1668,$A1553,$D$5:$D$1668,"Gross winner")=0,"Pick this week's gross winner",IF(COUNTIFS($A$5:$A$1668,$A1553,$D$5:$D$1668,"Net winner")=0,"Pick this week's net winner","OK")))))))</f>
        <v/>
      </c>
    </row>
    <row r="1554" outlineLevel="1">
      <c r="A1554" s="13" t="n">
        <v>46729</v>
      </c>
      <c r="E1554" s="11">
        <f>IF(OR($B1554="",NOT(ISNUMBER($C1554))),"",COUNTIFS($A$5:$A$1668,$A1554,$C$5:$C$1668,"&lt;"&amp;$C1554)+1)</f>
        <v/>
      </c>
      <c r="F1554" s="11">
        <f>IF(OR($B1554="",NOT(ISNUMBER($C1554))),"",COUNTIFS($A$5:$A$1668,$A1554,$C$5:$C$1668,"&gt;0"))</f>
        <v/>
      </c>
      <c r="G1554" s="11">
        <f>IF(OR($B1554="",NOT(ISNUMBER($C1554))),"",IF($D1554&lt;&gt;"",ROUND(Points!$B$6*IF($F1554&lt;Points!$H$4,Points!$H$5,1),0),ROUND(Points!$B$6*IF($F1554&lt;=1,1,Points!$H$7+(1-Points!$H$7)*((($F1554-$E1554)*(($F1554-$E1554)+1)/2)^2-((($F1554-$E1554-COUNTIFS($A$5:$A$1668,$A1554,$C$5:$C$1668,$C1554)+1)-1)*($F1554-$E1554-COUNTIFS($A$5:$A$1668,$A1554,$C$5:$C$1668,$C1554)+1)/2)^2)/(COUNTIFS($A$5:$A$1668,$A1554,$C$5:$C$1668,$C1554)*($F1554-1)^3))*IF($F1554&lt;Points!$H$4,Points!$H$5,1),0)))</f>
        <v/>
      </c>
      <c r="H1554" s="11">
        <f>IF($G1554="","",COUNTIFS($B$5:$B$1668,$B1554,$G$5:$G$1668,"&gt;"&amp;$G1554)+COUNTIFS($B$4:$B1553,$B1554,$G$4:$G1553,$G1554)+1)</f>
        <v/>
      </c>
      <c r="I1554" s="11">
        <f>IF($G1554="","",IF($H1554&lt;=Points!$H$6,$G1554,0))</f>
        <v/>
      </c>
      <c r="J1554" s="11">
        <f>IF($B1554="","",IF(COUNTIF(Players!$A$2:$A$500,$B1554)=0,"Player is not on the Players tab",IF(NOT(ISNUMBER($C1554)),"Enter a gross score",IF(COUNTIFS($A$5:$A$1668,$A1554,$B$5:$B$1668,$B1554)&gt;1,"Player is listed twice this week",IF(AND($D1554&lt;&gt;"",COUNTIFS($A$5:$A$1668,$A1554,$D$5:$D$1668,$D1554)&gt;1),"Two players picked as "&amp;$D1554,IF(COUNTIFS($A$5:$A$1668,$A1554,$D$5:$D$1668,"Gross winner")=0,"Pick this week's gross winner",IF(COUNTIFS($A$5:$A$1668,$A1554,$D$5:$D$1668,"Net winner")=0,"Pick this week's net winner","OK")))))))</f>
        <v/>
      </c>
    </row>
    <row r="1555" outlineLevel="1">
      <c r="A1555" s="13" t="n">
        <v>46729</v>
      </c>
      <c r="E1555" s="11">
        <f>IF(OR($B1555="",NOT(ISNUMBER($C1555))),"",COUNTIFS($A$5:$A$1668,$A1555,$C$5:$C$1668,"&lt;"&amp;$C1555)+1)</f>
        <v/>
      </c>
      <c r="F1555" s="11">
        <f>IF(OR($B1555="",NOT(ISNUMBER($C1555))),"",COUNTIFS($A$5:$A$1668,$A1555,$C$5:$C$1668,"&gt;0"))</f>
        <v/>
      </c>
      <c r="G1555" s="11">
        <f>IF(OR($B1555="",NOT(ISNUMBER($C1555))),"",IF($D1555&lt;&gt;"",ROUND(Points!$B$6*IF($F1555&lt;Points!$H$4,Points!$H$5,1),0),ROUND(Points!$B$6*IF($F1555&lt;=1,1,Points!$H$7+(1-Points!$H$7)*((($F1555-$E1555)*(($F1555-$E1555)+1)/2)^2-((($F1555-$E1555-COUNTIFS($A$5:$A$1668,$A1555,$C$5:$C$1668,$C1555)+1)-1)*($F1555-$E1555-COUNTIFS($A$5:$A$1668,$A1555,$C$5:$C$1668,$C1555)+1)/2)^2)/(COUNTIFS($A$5:$A$1668,$A1555,$C$5:$C$1668,$C1555)*($F1555-1)^3))*IF($F1555&lt;Points!$H$4,Points!$H$5,1),0)))</f>
        <v/>
      </c>
      <c r="H1555" s="11">
        <f>IF($G1555="","",COUNTIFS($B$5:$B$1668,$B1555,$G$5:$G$1668,"&gt;"&amp;$G1555)+COUNTIFS($B$4:$B1554,$B1555,$G$4:$G1554,$G1555)+1)</f>
        <v/>
      </c>
      <c r="I1555" s="11">
        <f>IF($G1555="","",IF($H1555&lt;=Points!$H$6,$G1555,0))</f>
        <v/>
      </c>
      <c r="J1555" s="11">
        <f>IF($B1555="","",IF(COUNTIF(Players!$A$2:$A$500,$B1555)=0,"Player is not on the Players tab",IF(NOT(ISNUMBER($C1555)),"Enter a gross score",IF(COUNTIFS($A$5:$A$1668,$A1555,$B$5:$B$1668,$B1555)&gt;1,"Player is listed twice this week",IF(AND($D1555&lt;&gt;"",COUNTIFS($A$5:$A$1668,$A1555,$D$5:$D$1668,$D1555)&gt;1),"Two players picked as "&amp;$D1555,IF(COUNTIFS($A$5:$A$1668,$A1555,$D$5:$D$1668,"Gross winner")=0,"Pick this week's gross winner",IF(COUNTIFS($A$5:$A$1668,$A1555,$D$5:$D$1668,"Net winner")=0,"Pick this week's net winner","OK")))))))</f>
        <v/>
      </c>
    </row>
    <row r="1556" outlineLevel="1">
      <c r="A1556" s="13" t="n">
        <v>46729</v>
      </c>
      <c r="E1556" s="11">
        <f>IF(OR($B1556="",NOT(ISNUMBER($C1556))),"",COUNTIFS($A$5:$A$1668,$A1556,$C$5:$C$1668,"&lt;"&amp;$C1556)+1)</f>
        <v/>
      </c>
      <c r="F1556" s="11">
        <f>IF(OR($B1556="",NOT(ISNUMBER($C1556))),"",COUNTIFS($A$5:$A$1668,$A1556,$C$5:$C$1668,"&gt;0"))</f>
        <v/>
      </c>
      <c r="G1556" s="11">
        <f>IF(OR($B1556="",NOT(ISNUMBER($C1556))),"",IF($D1556&lt;&gt;"",ROUND(Points!$B$6*IF($F1556&lt;Points!$H$4,Points!$H$5,1),0),ROUND(Points!$B$6*IF($F1556&lt;=1,1,Points!$H$7+(1-Points!$H$7)*((($F1556-$E1556)*(($F1556-$E1556)+1)/2)^2-((($F1556-$E1556-COUNTIFS($A$5:$A$1668,$A1556,$C$5:$C$1668,$C1556)+1)-1)*($F1556-$E1556-COUNTIFS($A$5:$A$1668,$A1556,$C$5:$C$1668,$C1556)+1)/2)^2)/(COUNTIFS($A$5:$A$1668,$A1556,$C$5:$C$1668,$C1556)*($F1556-1)^3))*IF($F1556&lt;Points!$H$4,Points!$H$5,1),0)))</f>
        <v/>
      </c>
      <c r="H1556" s="11">
        <f>IF($G1556="","",COUNTIFS($B$5:$B$1668,$B1556,$G$5:$G$1668,"&gt;"&amp;$G1556)+COUNTIFS($B$4:$B1555,$B1556,$G$4:$G1555,$G1556)+1)</f>
        <v/>
      </c>
      <c r="I1556" s="11">
        <f>IF($G1556="","",IF($H1556&lt;=Points!$H$6,$G1556,0))</f>
        <v/>
      </c>
      <c r="J1556" s="11">
        <f>IF($B1556="","",IF(COUNTIF(Players!$A$2:$A$500,$B1556)=0,"Player is not on the Players tab",IF(NOT(ISNUMBER($C1556)),"Enter a gross score",IF(COUNTIFS($A$5:$A$1668,$A1556,$B$5:$B$1668,$B1556)&gt;1,"Player is listed twice this week",IF(AND($D1556&lt;&gt;"",COUNTIFS($A$5:$A$1668,$A1556,$D$5:$D$1668,$D1556)&gt;1),"Two players picked as "&amp;$D1556,IF(COUNTIFS($A$5:$A$1668,$A1556,$D$5:$D$1668,"Gross winner")=0,"Pick this week's gross winner",IF(COUNTIFS($A$5:$A$1668,$A1556,$D$5:$D$1668,"Net winner")=0,"Pick this week's net winner","OK")))))))</f>
        <v/>
      </c>
    </row>
    <row r="1557" outlineLevel="1">
      <c r="A1557" s="13" t="n">
        <v>46729</v>
      </c>
      <c r="E1557" s="11">
        <f>IF(OR($B1557="",NOT(ISNUMBER($C1557))),"",COUNTIFS($A$5:$A$1668,$A1557,$C$5:$C$1668,"&lt;"&amp;$C1557)+1)</f>
        <v/>
      </c>
      <c r="F1557" s="11">
        <f>IF(OR($B1557="",NOT(ISNUMBER($C1557))),"",COUNTIFS($A$5:$A$1668,$A1557,$C$5:$C$1668,"&gt;0"))</f>
        <v/>
      </c>
      <c r="G1557" s="11">
        <f>IF(OR($B1557="",NOT(ISNUMBER($C1557))),"",IF($D1557&lt;&gt;"",ROUND(Points!$B$6*IF($F1557&lt;Points!$H$4,Points!$H$5,1),0),ROUND(Points!$B$6*IF($F1557&lt;=1,1,Points!$H$7+(1-Points!$H$7)*((($F1557-$E1557)*(($F1557-$E1557)+1)/2)^2-((($F1557-$E1557-COUNTIFS($A$5:$A$1668,$A1557,$C$5:$C$1668,$C1557)+1)-1)*($F1557-$E1557-COUNTIFS($A$5:$A$1668,$A1557,$C$5:$C$1668,$C1557)+1)/2)^2)/(COUNTIFS($A$5:$A$1668,$A1557,$C$5:$C$1668,$C1557)*($F1557-1)^3))*IF($F1557&lt;Points!$H$4,Points!$H$5,1),0)))</f>
        <v/>
      </c>
      <c r="H1557" s="11">
        <f>IF($G1557="","",COUNTIFS($B$5:$B$1668,$B1557,$G$5:$G$1668,"&gt;"&amp;$G1557)+COUNTIFS($B$4:$B1556,$B1557,$G$4:$G1556,$G1557)+1)</f>
        <v/>
      </c>
      <c r="I1557" s="11">
        <f>IF($G1557="","",IF($H1557&lt;=Points!$H$6,$G1557,0))</f>
        <v/>
      </c>
      <c r="J1557" s="11">
        <f>IF($B1557="","",IF(COUNTIF(Players!$A$2:$A$500,$B1557)=0,"Player is not on the Players tab",IF(NOT(ISNUMBER($C1557)),"Enter a gross score",IF(COUNTIFS($A$5:$A$1668,$A1557,$B$5:$B$1668,$B1557)&gt;1,"Player is listed twice this week",IF(AND($D1557&lt;&gt;"",COUNTIFS($A$5:$A$1668,$A1557,$D$5:$D$1668,$D1557)&gt;1),"Two players picked as "&amp;$D1557,IF(COUNTIFS($A$5:$A$1668,$A1557,$D$5:$D$1668,"Gross winner")=0,"Pick this week's gross winner",IF(COUNTIFS($A$5:$A$1668,$A1557,$D$5:$D$1668,"Net winner")=0,"Pick this week's net winner","OK")))))))</f>
        <v/>
      </c>
    </row>
    <row r="1558" outlineLevel="1">
      <c r="A1558" s="13" t="n">
        <v>46729</v>
      </c>
      <c r="E1558" s="11">
        <f>IF(OR($B1558="",NOT(ISNUMBER($C1558))),"",COUNTIFS($A$5:$A$1668,$A1558,$C$5:$C$1668,"&lt;"&amp;$C1558)+1)</f>
        <v/>
      </c>
      <c r="F1558" s="11">
        <f>IF(OR($B1558="",NOT(ISNUMBER($C1558))),"",COUNTIFS($A$5:$A$1668,$A1558,$C$5:$C$1668,"&gt;0"))</f>
        <v/>
      </c>
      <c r="G1558" s="11">
        <f>IF(OR($B1558="",NOT(ISNUMBER($C1558))),"",IF($D1558&lt;&gt;"",ROUND(Points!$B$6*IF($F1558&lt;Points!$H$4,Points!$H$5,1),0),ROUND(Points!$B$6*IF($F1558&lt;=1,1,Points!$H$7+(1-Points!$H$7)*((($F1558-$E1558)*(($F1558-$E1558)+1)/2)^2-((($F1558-$E1558-COUNTIFS($A$5:$A$1668,$A1558,$C$5:$C$1668,$C1558)+1)-1)*($F1558-$E1558-COUNTIFS($A$5:$A$1668,$A1558,$C$5:$C$1668,$C1558)+1)/2)^2)/(COUNTIFS($A$5:$A$1668,$A1558,$C$5:$C$1668,$C1558)*($F1558-1)^3))*IF($F1558&lt;Points!$H$4,Points!$H$5,1),0)))</f>
        <v/>
      </c>
      <c r="H1558" s="11">
        <f>IF($G1558="","",COUNTIFS($B$5:$B$1668,$B1558,$G$5:$G$1668,"&gt;"&amp;$G1558)+COUNTIFS($B$4:$B1557,$B1558,$G$4:$G1557,$G1558)+1)</f>
        <v/>
      </c>
      <c r="I1558" s="11">
        <f>IF($G1558="","",IF($H1558&lt;=Points!$H$6,$G1558,0))</f>
        <v/>
      </c>
      <c r="J1558" s="11">
        <f>IF($B1558="","",IF(COUNTIF(Players!$A$2:$A$500,$B1558)=0,"Player is not on the Players tab",IF(NOT(ISNUMBER($C1558)),"Enter a gross score",IF(COUNTIFS($A$5:$A$1668,$A1558,$B$5:$B$1668,$B1558)&gt;1,"Player is listed twice this week",IF(AND($D1558&lt;&gt;"",COUNTIFS($A$5:$A$1668,$A1558,$D$5:$D$1668,$D1558)&gt;1),"Two players picked as "&amp;$D1558,IF(COUNTIFS($A$5:$A$1668,$A1558,$D$5:$D$1668,"Gross winner")=0,"Pick this week's gross winner",IF(COUNTIFS($A$5:$A$1668,$A1558,$D$5:$D$1668,"Net winner")=0,"Pick this week's net winner","OK")))))))</f>
        <v/>
      </c>
    </row>
    <row r="1559" outlineLevel="1">
      <c r="A1559" s="13" t="n">
        <v>46729</v>
      </c>
      <c r="E1559" s="11">
        <f>IF(OR($B1559="",NOT(ISNUMBER($C1559))),"",COUNTIFS($A$5:$A$1668,$A1559,$C$5:$C$1668,"&lt;"&amp;$C1559)+1)</f>
        <v/>
      </c>
      <c r="F1559" s="11">
        <f>IF(OR($B1559="",NOT(ISNUMBER($C1559))),"",COUNTIFS($A$5:$A$1668,$A1559,$C$5:$C$1668,"&gt;0"))</f>
        <v/>
      </c>
      <c r="G1559" s="11">
        <f>IF(OR($B1559="",NOT(ISNUMBER($C1559))),"",IF($D1559&lt;&gt;"",ROUND(Points!$B$6*IF($F1559&lt;Points!$H$4,Points!$H$5,1),0),ROUND(Points!$B$6*IF($F1559&lt;=1,1,Points!$H$7+(1-Points!$H$7)*((($F1559-$E1559)*(($F1559-$E1559)+1)/2)^2-((($F1559-$E1559-COUNTIFS($A$5:$A$1668,$A1559,$C$5:$C$1668,$C1559)+1)-1)*($F1559-$E1559-COUNTIFS($A$5:$A$1668,$A1559,$C$5:$C$1668,$C1559)+1)/2)^2)/(COUNTIFS($A$5:$A$1668,$A1559,$C$5:$C$1668,$C1559)*($F1559-1)^3))*IF($F1559&lt;Points!$H$4,Points!$H$5,1),0)))</f>
        <v/>
      </c>
      <c r="H1559" s="11">
        <f>IF($G1559="","",COUNTIFS($B$5:$B$1668,$B1559,$G$5:$G$1668,"&gt;"&amp;$G1559)+COUNTIFS($B$4:$B1558,$B1559,$G$4:$G1558,$G1559)+1)</f>
        <v/>
      </c>
      <c r="I1559" s="11">
        <f>IF($G1559="","",IF($H1559&lt;=Points!$H$6,$G1559,0))</f>
        <v/>
      </c>
      <c r="J1559" s="11">
        <f>IF($B1559="","",IF(COUNTIF(Players!$A$2:$A$500,$B1559)=0,"Player is not on the Players tab",IF(NOT(ISNUMBER($C1559)),"Enter a gross score",IF(COUNTIFS($A$5:$A$1668,$A1559,$B$5:$B$1668,$B1559)&gt;1,"Player is listed twice this week",IF(AND($D1559&lt;&gt;"",COUNTIFS($A$5:$A$1668,$A1559,$D$5:$D$1668,$D1559)&gt;1),"Two players picked as "&amp;$D1559,IF(COUNTIFS($A$5:$A$1668,$A1559,$D$5:$D$1668,"Gross winner")=0,"Pick this week's gross winner",IF(COUNTIFS($A$5:$A$1668,$A1559,$D$5:$D$1668,"Net winner")=0,"Pick this week's net winner","OK")))))))</f>
        <v/>
      </c>
    </row>
    <row r="1560" outlineLevel="1">
      <c r="A1560" s="13" t="n">
        <v>46729</v>
      </c>
      <c r="E1560" s="11">
        <f>IF(OR($B1560="",NOT(ISNUMBER($C1560))),"",COUNTIFS($A$5:$A$1668,$A1560,$C$5:$C$1668,"&lt;"&amp;$C1560)+1)</f>
        <v/>
      </c>
      <c r="F1560" s="11">
        <f>IF(OR($B1560="",NOT(ISNUMBER($C1560))),"",COUNTIFS($A$5:$A$1668,$A1560,$C$5:$C$1668,"&gt;0"))</f>
        <v/>
      </c>
      <c r="G1560" s="11">
        <f>IF(OR($B1560="",NOT(ISNUMBER($C1560))),"",IF($D1560&lt;&gt;"",ROUND(Points!$B$6*IF($F1560&lt;Points!$H$4,Points!$H$5,1),0),ROUND(Points!$B$6*IF($F1560&lt;=1,1,Points!$H$7+(1-Points!$H$7)*((($F1560-$E1560)*(($F1560-$E1560)+1)/2)^2-((($F1560-$E1560-COUNTIFS($A$5:$A$1668,$A1560,$C$5:$C$1668,$C1560)+1)-1)*($F1560-$E1560-COUNTIFS($A$5:$A$1668,$A1560,$C$5:$C$1668,$C1560)+1)/2)^2)/(COUNTIFS($A$5:$A$1668,$A1560,$C$5:$C$1668,$C1560)*($F1560-1)^3))*IF($F1560&lt;Points!$H$4,Points!$H$5,1),0)))</f>
        <v/>
      </c>
      <c r="H1560" s="11">
        <f>IF($G1560="","",COUNTIFS($B$5:$B$1668,$B1560,$G$5:$G$1668,"&gt;"&amp;$G1560)+COUNTIFS($B$4:$B1559,$B1560,$G$4:$G1559,$G1560)+1)</f>
        <v/>
      </c>
      <c r="I1560" s="11">
        <f>IF($G1560="","",IF($H1560&lt;=Points!$H$6,$G1560,0))</f>
        <v/>
      </c>
      <c r="J1560" s="11">
        <f>IF($B1560="","",IF(COUNTIF(Players!$A$2:$A$500,$B1560)=0,"Player is not on the Players tab",IF(NOT(ISNUMBER($C1560)),"Enter a gross score",IF(COUNTIFS($A$5:$A$1668,$A1560,$B$5:$B$1668,$B1560)&gt;1,"Player is listed twice this week",IF(AND($D1560&lt;&gt;"",COUNTIFS($A$5:$A$1668,$A1560,$D$5:$D$1668,$D1560)&gt;1),"Two players picked as "&amp;$D1560,IF(COUNTIFS($A$5:$A$1668,$A1560,$D$5:$D$1668,"Gross winner")=0,"Pick this week's gross winner",IF(COUNTIFS($A$5:$A$1668,$A1560,$D$5:$D$1668,"Net winner")=0,"Pick this week's net winner","OK")))))))</f>
        <v/>
      </c>
    </row>
    <row r="1561" outlineLevel="1">
      <c r="A1561" s="13" t="n">
        <v>46729</v>
      </c>
      <c r="E1561" s="11">
        <f>IF(OR($B1561="",NOT(ISNUMBER($C1561))),"",COUNTIFS($A$5:$A$1668,$A1561,$C$5:$C$1668,"&lt;"&amp;$C1561)+1)</f>
        <v/>
      </c>
      <c r="F1561" s="11">
        <f>IF(OR($B1561="",NOT(ISNUMBER($C1561))),"",COUNTIFS($A$5:$A$1668,$A1561,$C$5:$C$1668,"&gt;0"))</f>
        <v/>
      </c>
      <c r="G1561" s="11">
        <f>IF(OR($B1561="",NOT(ISNUMBER($C1561))),"",IF($D1561&lt;&gt;"",ROUND(Points!$B$6*IF($F1561&lt;Points!$H$4,Points!$H$5,1),0),ROUND(Points!$B$6*IF($F1561&lt;=1,1,Points!$H$7+(1-Points!$H$7)*((($F1561-$E1561)*(($F1561-$E1561)+1)/2)^2-((($F1561-$E1561-COUNTIFS($A$5:$A$1668,$A1561,$C$5:$C$1668,$C1561)+1)-1)*($F1561-$E1561-COUNTIFS($A$5:$A$1668,$A1561,$C$5:$C$1668,$C1561)+1)/2)^2)/(COUNTIFS($A$5:$A$1668,$A1561,$C$5:$C$1668,$C1561)*($F1561-1)^3))*IF($F1561&lt;Points!$H$4,Points!$H$5,1),0)))</f>
        <v/>
      </c>
      <c r="H1561" s="11">
        <f>IF($G1561="","",COUNTIFS($B$5:$B$1668,$B1561,$G$5:$G$1668,"&gt;"&amp;$G1561)+COUNTIFS($B$4:$B1560,$B1561,$G$4:$G1560,$G1561)+1)</f>
        <v/>
      </c>
      <c r="I1561" s="11">
        <f>IF($G1561="","",IF($H1561&lt;=Points!$H$6,$G1561,0))</f>
        <v/>
      </c>
      <c r="J1561" s="11">
        <f>IF($B1561="","",IF(COUNTIF(Players!$A$2:$A$500,$B1561)=0,"Player is not on the Players tab",IF(NOT(ISNUMBER($C1561)),"Enter a gross score",IF(COUNTIFS($A$5:$A$1668,$A1561,$B$5:$B$1668,$B1561)&gt;1,"Player is listed twice this week",IF(AND($D1561&lt;&gt;"",COUNTIFS($A$5:$A$1668,$A1561,$D$5:$D$1668,$D1561)&gt;1),"Two players picked as "&amp;$D1561,IF(COUNTIFS($A$5:$A$1668,$A1561,$D$5:$D$1668,"Gross winner")=0,"Pick this week's gross winner",IF(COUNTIFS($A$5:$A$1668,$A1561,$D$5:$D$1668,"Net winner")=0,"Pick this week's net winner","OK")))))))</f>
        <v/>
      </c>
    </row>
    <row r="1562" outlineLevel="1">
      <c r="A1562" s="13" t="n">
        <v>46729</v>
      </c>
      <c r="E1562" s="11">
        <f>IF(OR($B1562="",NOT(ISNUMBER($C1562))),"",COUNTIFS($A$5:$A$1668,$A1562,$C$5:$C$1668,"&lt;"&amp;$C1562)+1)</f>
        <v/>
      </c>
      <c r="F1562" s="11">
        <f>IF(OR($B1562="",NOT(ISNUMBER($C1562))),"",COUNTIFS($A$5:$A$1668,$A1562,$C$5:$C$1668,"&gt;0"))</f>
        <v/>
      </c>
      <c r="G1562" s="11">
        <f>IF(OR($B1562="",NOT(ISNUMBER($C1562))),"",IF($D1562&lt;&gt;"",ROUND(Points!$B$6*IF($F1562&lt;Points!$H$4,Points!$H$5,1),0),ROUND(Points!$B$6*IF($F1562&lt;=1,1,Points!$H$7+(1-Points!$H$7)*((($F1562-$E1562)*(($F1562-$E1562)+1)/2)^2-((($F1562-$E1562-COUNTIFS($A$5:$A$1668,$A1562,$C$5:$C$1668,$C1562)+1)-1)*($F1562-$E1562-COUNTIFS($A$5:$A$1668,$A1562,$C$5:$C$1668,$C1562)+1)/2)^2)/(COUNTIFS($A$5:$A$1668,$A1562,$C$5:$C$1668,$C1562)*($F1562-1)^3))*IF($F1562&lt;Points!$H$4,Points!$H$5,1),0)))</f>
        <v/>
      </c>
      <c r="H1562" s="11">
        <f>IF($G1562="","",COUNTIFS($B$5:$B$1668,$B1562,$G$5:$G$1668,"&gt;"&amp;$G1562)+COUNTIFS($B$4:$B1561,$B1562,$G$4:$G1561,$G1562)+1)</f>
        <v/>
      </c>
      <c r="I1562" s="11">
        <f>IF($G1562="","",IF($H1562&lt;=Points!$H$6,$G1562,0))</f>
        <v/>
      </c>
      <c r="J1562" s="11">
        <f>IF($B1562="","",IF(COUNTIF(Players!$A$2:$A$500,$B1562)=0,"Player is not on the Players tab",IF(NOT(ISNUMBER($C1562)),"Enter a gross score",IF(COUNTIFS($A$5:$A$1668,$A1562,$B$5:$B$1668,$B1562)&gt;1,"Player is listed twice this week",IF(AND($D1562&lt;&gt;"",COUNTIFS($A$5:$A$1668,$A1562,$D$5:$D$1668,$D1562)&gt;1),"Two players picked as "&amp;$D1562,IF(COUNTIFS($A$5:$A$1668,$A1562,$D$5:$D$1668,"Gross winner")=0,"Pick this week's gross winner",IF(COUNTIFS($A$5:$A$1668,$A1562,$D$5:$D$1668,"Net winner")=0,"Pick this week's net winner","OK")))))))</f>
        <v/>
      </c>
    </row>
    <row r="1563" outlineLevel="1">
      <c r="A1563" s="13" t="n">
        <v>46729</v>
      </c>
      <c r="E1563" s="11">
        <f>IF(OR($B1563="",NOT(ISNUMBER($C1563))),"",COUNTIFS($A$5:$A$1668,$A1563,$C$5:$C$1668,"&lt;"&amp;$C1563)+1)</f>
        <v/>
      </c>
      <c r="F1563" s="11">
        <f>IF(OR($B1563="",NOT(ISNUMBER($C1563))),"",COUNTIFS($A$5:$A$1668,$A1563,$C$5:$C$1668,"&gt;0"))</f>
        <v/>
      </c>
      <c r="G1563" s="11">
        <f>IF(OR($B1563="",NOT(ISNUMBER($C1563))),"",IF($D1563&lt;&gt;"",ROUND(Points!$B$6*IF($F1563&lt;Points!$H$4,Points!$H$5,1),0),ROUND(Points!$B$6*IF($F1563&lt;=1,1,Points!$H$7+(1-Points!$H$7)*((($F1563-$E1563)*(($F1563-$E1563)+1)/2)^2-((($F1563-$E1563-COUNTIFS($A$5:$A$1668,$A1563,$C$5:$C$1668,$C1563)+1)-1)*($F1563-$E1563-COUNTIFS($A$5:$A$1668,$A1563,$C$5:$C$1668,$C1563)+1)/2)^2)/(COUNTIFS($A$5:$A$1668,$A1563,$C$5:$C$1668,$C1563)*($F1563-1)^3))*IF($F1563&lt;Points!$H$4,Points!$H$5,1),0)))</f>
        <v/>
      </c>
      <c r="H1563" s="11">
        <f>IF($G1563="","",COUNTIFS($B$5:$B$1668,$B1563,$G$5:$G$1668,"&gt;"&amp;$G1563)+COUNTIFS($B$4:$B1562,$B1563,$G$4:$G1562,$G1563)+1)</f>
        <v/>
      </c>
      <c r="I1563" s="11">
        <f>IF($G1563="","",IF($H1563&lt;=Points!$H$6,$G1563,0))</f>
        <v/>
      </c>
      <c r="J1563" s="11">
        <f>IF($B1563="","",IF(COUNTIF(Players!$A$2:$A$500,$B1563)=0,"Player is not on the Players tab",IF(NOT(ISNUMBER($C1563)),"Enter a gross score",IF(COUNTIFS($A$5:$A$1668,$A1563,$B$5:$B$1668,$B1563)&gt;1,"Player is listed twice this week",IF(AND($D1563&lt;&gt;"",COUNTIFS($A$5:$A$1668,$A1563,$D$5:$D$1668,$D1563)&gt;1),"Two players picked as "&amp;$D1563,IF(COUNTIFS($A$5:$A$1668,$A1563,$D$5:$D$1668,"Gross winner")=0,"Pick this week's gross winner",IF(COUNTIFS($A$5:$A$1668,$A1563,$D$5:$D$1668,"Net winner")=0,"Pick this week's net winner","OK")))))))</f>
        <v/>
      </c>
    </row>
    <row r="1564" outlineLevel="1">
      <c r="A1564" s="13" t="n">
        <v>46729</v>
      </c>
      <c r="E1564" s="11">
        <f>IF(OR($B1564="",NOT(ISNUMBER($C1564))),"",COUNTIFS($A$5:$A$1668,$A1564,$C$5:$C$1668,"&lt;"&amp;$C1564)+1)</f>
        <v/>
      </c>
      <c r="F1564" s="11">
        <f>IF(OR($B1564="",NOT(ISNUMBER($C1564))),"",COUNTIFS($A$5:$A$1668,$A1564,$C$5:$C$1668,"&gt;0"))</f>
        <v/>
      </c>
      <c r="G1564" s="11">
        <f>IF(OR($B1564="",NOT(ISNUMBER($C1564))),"",IF($D1564&lt;&gt;"",ROUND(Points!$B$6*IF($F1564&lt;Points!$H$4,Points!$H$5,1),0),ROUND(Points!$B$6*IF($F1564&lt;=1,1,Points!$H$7+(1-Points!$H$7)*((($F1564-$E1564)*(($F1564-$E1564)+1)/2)^2-((($F1564-$E1564-COUNTIFS($A$5:$A$1668,$A1564,$C$5:$C$1668,$C1564)+1)-1)*($F1564-$E1564-COUNTIFS($A$5:$A$1668,$A1564,$C$5:$C$1668,$C1564)+1)/2)^2)/(COUNTIFS($A$5:$A$1668,$A1564,$C$5:$C$1668,$C1564)*($F1564-1)^3))*IF($F1564&lt;Points!$H$4,Points!$H$5,1),0)))</f>
        <v/>
      </c>
      <c r="H1564" s="11">
        <f>IF($G1564="","",COUNTIFS($B$5:$B$1668,$B1564,$G$5:$G$1668,"&gt;"&amp;$G1564)+COUNTIFS($B$4:$B1563,$B1564,$G$4:$G1563,$G1564)+1)</f>
        <v/>
      </c>
      <c r="I1564" s="11">
        <f>IF($G1564="","",IF($H1564&lt;=Points!$H$6,$G1564,0))</f>
        <v/>
      </c>
      <c r="J1564" s="11">
        <f>IF($B1564="","",IF(COUNTIF(Players!$A$2:$A$500,$B1564)=0,"Player is not on the Players tab",IF(NOT(ISNUMBER($C1564)),"Enter a gross score",IF(COUNTIFS($A$5:$A$1668,$A1564,$B$5:$B$1668,$B1564)&gt;1,"Player is listed twice this week",IF(AND($D1564&lt;&gt;"",COUNTIFS($A$5:$A$1668,$A1564,$D$5:$D$1668,$D1564)&gt;1),"Two players picked as "&amp;$D1564,IF(COUNTIFS($A$5:$A$1668,$A1564,$D$5:$D$1668,"Gross winner")=0,"Pick this week's gross winner",IF(COUNTIFS($A$5:$A$1668,$A1564,$D$5:$D$1668,"Net winner")=0,"Pick this week's net winner","OK")))))))</f>
        <v/>
      </c>
    </row>
    <row r="1565" outlineLevel="1">
      <c r="A1565" s="13" t="n">
        <v>46729</v>
      </c>
      <c r="E1565" s="11">
        <f>IF(OR($B1565="",NOT(ISNUMBER($C1565))),"",COUNTIFS($A$5:$A$1668,$A1565,$C$5:$C$1668,"&lt;"&amp;$C1565)+1)</f>
        <v/>
      </c>
      <c r="F1565" s="11">
        <f>IF(OR($B1565="",NOT(ISNUMBER($C1565))),"",COUNTIFS($A$5:$A$1668,$A1565,$C$5:$C$1668,"&gt;0"))</f>
        <v/>
      </c>
      <c r="G1565" s="11">
        <f>IF(OR($B1565="",NOT(ISNUMBER($C1565))),"",IF($D1565&lt;&gt;"",ROUND(Points!$B$6*IF($F1565&lt;Points!$H$4,Points!$H$5,1),0),ROUND(Points!$B$6*IF($F1565&lt;=1,1,Points!$H$7+(1-Points!$H$7)*((($F1565-$E1565)*(($F1565-$E1565)+1)/2)^2-((($F1565-$E1565-COUNTIFS($A$5:$A$1668,$A1565,$C$5:$C$1668,$C1565)+1)-1)*($F1565-$E1565-COUNTIFS($A$5:$A$1668,$A1565,$C$5:$C$1668,$C1565)+1)/2)^2)/(COUNTIFS($A$5:$A$1668,$A1565,$C$5:$C$1668,$C1565)*($F1565-1)^3))*IF($F1565&lt;Points!$H$4,Points!$H$5,1),0)))</f>
        <v/>
      </c>
      <c r="H1565" s="11">
        <f>IF($G1565="","",COUNTIFS($B$5:$B$1668,$B1565,$G$5:$G$1668,"&gt;"&amp;$G1565)+COUNTIFS($B$4:$B1564,$B1565,$G$4:$G1564,$G1565)+1)</f>
        <v/>
      </c>
      <c r="I1565" s="11">
        <f>IF($G1565="","",IF($H1565&lt;=Points!$H$6,$G1565,0))</f>
        <v/>
      </c>
      <c r="J1565" s="11">
        <f>IF($B1565="","",IF(COUNTIF(Players!$A$2:$A$500,$B1565)=0,"Player is not on the Players tab",IF(NOT(ISNUMBER($C1565)),"Enter a gross score",IF(COUNTIFS($A$5:$A$1668,$A1565,$B$5:$B$1668,$B1565)&gt;1,"Player is listed twice this week",IF(AND($D1565&lt;&gt;"",COUNTIFS($A$5:$A$1668,$A1565,$D$5:$D$1668,$D1565)&gt;1),"Two players picked as "&amp;$D1565,IF(COUNTIFS($A$5:$A$1668,$A1565,$D$5:$D$1668,"Gross winner")=0,"Pick this week's gross winner",IF(COUNTIFS($A$5:$A$1668,$A1565,$D$5:$D$1668,"Net winner")=0,"Pick this week's net winner","OK")))))))</f>
        <v/>
      </c>
    </row>
    <row r="1566" outlineLevel="1">
      <c r="A1566" s="13" t="n">
        <v>46729</v>
      </c>
      <c r="E1566" s="11">
        <f>IF(OR($B1566="",NOT(ISNUMBER($C1566))),"",COUNTIFS($A$5:$A$1668,$A1566,$C$5:$C$1668,"&lt;"&amp;$C1566)+1)</f>
        <v/>
      </c>
      <c r="F1566" s="11">
        <f>IF(OR($B1566="",NOT(ISNUMBER($C1566))),"",COUNTIFS($A$5:$A$1668,$A1566,$C$5:$C$1668,"&gt;0"))</f>
        <v/>
      </c>
      <c r="G1566" s="11">
        <f>IF(OR($B1566="",NOT(ISNUMBER($C1566))),"",IF($D1566&lt;&gt;"",ROUND(Points!$B$6*IF($F1566&lt;Points!$H$4,Points!$H$5,1),0),ROUND(Points!$B$6*IF($F1566&lt;=1,1,Points!$H$7+(1-Points!$H$7)*((($F1566-$E1566)*(($F1566-$E1566)+1)/2)^2-((($F1566-$E1566-COUNTIFS($A$5:$A$1668,$A1566,$C$5:$C$1668,$C1566)+1)-1)*($F1566-$E1566-COUNTIFS($A$5:$A$1668,$A1566,$C$5:$C$1668,$C1566)+1)/2)^2)/(COUNTIFS($A$5:$A$1668,$A1566,$C$5:$C$1668,$C1566)*($F1566-1)^3))*IF($F1566&lt;Points!$H$4,Points!$H$5,1),0)))</f>
        <v/>
      </c>
      <c r="H1566" s="11">
        <f>IF($G1566="","",COUNTIFS($B$5:$B$1668,$B1566,$G$5:$G$1668,"&gt;"&amp;$G1566)+COUNTIFS($B$4:$B1565,$B1566,$G$4:$G1565,$G1566)+1)</f>
        <v/>
      </c>
      <c r="I1566" s="11">
        <f>IF($G1566="","",IF($H1566&lt;=Points!$H$6,$G1566,0))</f>
        <v/>
      </c>
      <c r="J1566" s="11">
        <f>IF($B1566="","",IF(COUNTIF(Players!$A$2:$A$500,$B1566)=0,"Player is not on the Players tab",IF(NOT(ISNUMBER($C1566)),"Enter a gross score",IF(COUNTIFS($A$5:$A$1668,$A1566,$B$5:$B$1668,$B1566)&gt;1,"Player is listed twice this week",IF(AND($D1566&lt;&gt;"",COUNTIFS($A$5:$A$1668,$A1566,$D$5:$D$1668,$D1566)&gt;1),"Two players picked as "&amp;$D1566,IF(COUNTIFS($A$5:$A$1668,$A1566,$D$5:$D$1668,"Gross winner")=0,"Pick this week's gross winner",IF(COUNTIFS($A$5:$A$1668,$A1566,$D$5:$D$1668,"Net winner")=0,"Pick this week's net winner","OK")))))))</f>
        <v/>
      </c>
    </row>
    <row r="1567" outlineLevel="1">
      <c r="A1567" s="13" t="n">
        <v>46729</v>
      </c>
      <c r="E1567" s="11">
        <f>IF(OR($B1567="",NOT(ISNUMBER($C1567))),"",COUNTIFS($A$5:$A$1668,$A1567,$C$5:$C$1668,"&lt;"&amp;$C1567)+1)</f>
        <v/>
      </c>
      <c r="F1567" s="11">
        <f>IF(OR($B1567="",NOT(ISNUMBER($C1567))),"",COUNTIFS($A$5:$A$1668,$A1567,$C$5:$C$1668,"&gt;0"))</f>
        <v/>
      </c>
      <c r="G1567" s="11">
        <f>IF(OR($B1567="",NOT(ISNUMBER($C1567))),"",IF($D1567&lt;&gt;"",ROUND(Points!$B$6*IF($F1567&lt;Points!$H$4,Points!$H$5,1),0),ROUND(Points!$B$6*IF($F1567&lt;=1,1,Points!$H$7+(1-Points!$H$7)*((($F1567-$E1567)*(($F1567-$E1567)+1)/2)^2-((($F1567-$E1567-COUNTIFS($A$5:$A$1668,$A1567,$C$5:$C$1668,$C1567)+1)-1)*($F1567-$E1567-COUNTIFS($A$5:$A$1668,$A1567,$C$5:$C$1668,$C1567)+1)/2)^2)/(COUNTIFS($A$5:$A$1668,$A1567,$C$5:$C$1668,$C1567)*($F1567-1)^3))*IF($F1567&lt;Points!$H$4,Points!$H$5,1),0)))</f>
        <v/>
      </c>
      <c r="H1567" s="11">
        <f>IF($G1567="","",COUNTIFS($B$5:$B$1668,$B1567,$G$5:$G$1668,"&gt;"&amp;$G1567)+COUNTIFS($B$4:$B1566,$B1567,$G$4:$G1566,$G1567)+1)</f>
        <v/>
      </c>
      <c r="I1567" s="11">
        <f>IF($G1567="","",IF($H1567&lt;=Points!$H$6,$G1567,0))</f>
        <v/>
      </c>
      <c r="J1567" s="11">
        <f>IF($B1567="","",IF(COUNTIF(Players!$A$2:$A$500,$B1567)=0,"Player is not on the Players tab",IF(NOT(ISNUMBER($C1567)),"Enter a gross score",IF(COUNTIFS($A$5:$A$1668,$A1567,$B$5:$B$1668,$B1567)&gt;1,"Player is listed twice this week",IF(AND($D1567&lt;&gt;"",COUNTIFS($A$5:$A$1668,$A1567,$D$5:$D$1668,$D1567)&gt;1),"Two players picked as "&amp;$D1567,IF(COUNTIFS($A$5:$A$1668,$A1567,$D$5:$D$1668,"Gross winner")=0,"Pick this week's gross winner",IF(COUNTIFS($A$5:$A$1668,$A1567,$D$5:$D$1668,"Net winner")=0,"Pick this week's net winner","OK")))))))</f>
        <v/>
      </c>
    </row>
    <row r="1568" outlineLevel="1">
      <c r="A1568" s="13" t="n">
        <v>46729</v>
      </c>
      <c r="E1568" s="11">
        <f>IF(OR($B1568="",NOT(ISNUMBER($C1568))),"",COUNTIFS($A$5:$A$1668,$A1568,$C$5:$C$1668,"&lt;"&amp;$C1568)+1)</f>
        <v/>
      </c>
      <c r="F1568" s="11">
        <f>IF(OR($B1568="",NOT(ISNUMBER($C1568))),"",COUNTIFS($A$5:$A$1668,$A1568,$C$5:$C$1668,"&gt;0"))</f>
        <v/>
      </c>
      <c r="G1568" s="11">
        <f>IF(OR($B1568="",NOT(ISNUMBER($C1568))),"",IF($D1568&lt;&gt;"",ROUND(Points!$B$6*IF($F1568&lt;Points!$H$4,Points!$H$5,1),0),ROUND(Points!$B$6*IF($F1568&lt;=1,1,Points!$H$7+(1-Points!$H$7)*((($F1568-$E1568)*(($F1568-$E1568)+1)/2)^2-((($F1568-$E1568-COUNTIFS($A$5:$A$1668,$A1568,$C$5:$C$1668,$C1568)+1)-1)*($F1568-$E1568-COUNTIFS($A$5:$A$1668,$A1568,$C$5:$C$1668,$C1568)+1)/2)^2)/(COUNTIFS($A$5:$A$1668,$A1568,$C$5:$C$1668,$C1568)*($F1568-1)^3))*IF($F1568&lt;Points!$H$4,Points!$H$5,1),0)))</f>
        <v/>
      </c>
      <c r="H1568" s="11">
        <f>IF($G1568="","",COUNTIFS($B$5:$B$1668,$B1568,$G$5:$G$1668,"&gt;"&amp;$G1568)+COUNTIFS($B$4:$B1567,$B1568,$G$4:$G1567,$G1568)+1)</f>
        <v/>
      </c>
      <c r="I1568" s="11">
        <f>IF($G1568="","",IF($H1568&lt;=Points!$H$6,$G1568,0))</f>
        <v/>
      </c>
      <c r="J1568" s="11">
        <f>IF($B1568="","",IF(COUNTIF(Players!$A$2:$A$500,$B1568)=0,"Player is not on the Players tab",IF(NOT(ISNUMBER($C1568)),"Enter a gross score",IF(COUNTIFS($A$5:$A$1668,$A1568,$B$5:$B$1668,$B1568)&gt;1,"Player is listed twice this week",IF(AND($D1568&lt;&gt;"",COUNTIFS($A$5:$A$1668,$A1568,$D$5:$D$1668,$D1568)&gt;1),"Two players picked as "&amp;$D1568,IF(COUNTIFS($A$5:$A$1668,$A1568,$D$5:$D$1668,"Gross winner")=0,"Pick this week's gross winner",IF(COUNTIFS($A$5:$A$1668,$A1568,$D$5:$D$1668,"Net winner")=0,"Pick this week's net winner","OK")))))))</f>
        <v/>
      </c>
    </row>
    <row r="1569" outlineLevel="1">
      <c r="A1569" s="13" t="n">
        <v>46729</v>
      </c>
      <c r="E1569" s="11">
        <f>IF(OR($B1569="",NOT(ISNUMBER($C1569))),"",COUNTIFS($A$5:$A$1668,$A1569,$C$5:$C$1668,"&lt;"&amp;$C1569)+1)</f>
        <v/>
      </c>
      <c r="F1569" s="11">
        <f>IF(OR($B1569="",NOT(ISNUMBER($C1569))),"",COUNTIFS($A$5:$A$1668,$A1569,$C$5:$C$1668,"&gt;0"))</f>
        <v/>
      </c>
      <c r="G1569" s="11">
        <f>IF(OR($B1569="",NOT(ISNUMBER($C1569))),"",IF($D1569&lt;&gt;"",ROUND(Points!$B$6*IF($F1569&lt;Points!$H$4,Points!$H$5,1),0),ROUND(Points!$B$6*IF($F1569&lt;=1,1,Points!$H$7+(1-Points!$H$7)*((($F1569-$E1569)*(($F1569-$E1569)+1)/2)^2-((($F1569-$E1569-COUNTIFS($A$5:$A$1668,$A1569,$C$5:$C$1668,$C1569)+1)-1)*($F1569-$E1569-COUNTIFS($A$5:$A$1668,$A1569,$C$5:$C$1668,$C1569)+1)/2)^2)/(COUNTIFS($A$5:$A$1668,$A1569,$C$5:$C$1668,$C1569)*($F1569-1)^3))*IF($F1569&lt;Points!$H$4,Points!$H$5,1),0)))</f>
        <v/>
      </c>
      <c r="H1569" s="11">
        <f>IF($G1569="","",COUNTIFS($B$5:$B$1668,$B1569,$G$5:$G$1668,"&gt;"&amp;$G1569)+COUNTIFS($B$4:$B1568,$B1569,$G$4:$G1568,$G1569)+1)</f>
        <v/>
      </c>
      <c r="I1569" s="11">
        <f>IF($G1569="","",IF($H1569&lt;=Points!$H$6,$G1569,0))</f>
        <v/>
      </c>
      <c r="J1569" s="11">
        <f>IF($B1569="","",IF(COUNTIF(Players!$A$2:$A$500,$B1569)=0,"Player is not on the Players tab",IF(NOT(ISNUMBER($C1569)),"Enter a gross score",IF(COUNTIFS($A$5:$A$1668,$A1569,$B$5:$B$1668,$B1569)&gt;1,"Player is listed twice this week",IF(AND($D1569&lt;&gt;"",COUNTIFS($A$5:$A$1668,$A1569,$D$5:$D$1668,$D1569)&gt;1),"Two players picked as "&amp;$D1569,IF(COUNTIFS($A$5:$A$1668,$A1569,$D$5:$D$1668,"Gross winner")=0,"Pick this week's gross winner",IF(COUNTIFS($A$5:$A$1668,$A1569,$D$5:$D$1668,"Net winner")=0,"Pick this week's net winner","OK")))))))</f>
        <v/>
      </c>
    </row>
    <row r="1570" outlineLevel="1">
      <c r="A1570" s="13" t="n">
        <v>46729</v>
      </c>
      <c r="E1570" s="11">
        <f>IF(OR($B1570="",NOT(ISNUMBER($C1570))),"",COUNTIFS($A$5:$A$1668,$A1570,$C$5:$C$1668,"&lt;"&amp;$C1570)+1)</f>
        <v/>
      </c>
      <c r="F1570" s="11">
        <f>IF(OR($B1570="",NOT(ISNUMBER($C1570))),"",COUNTIFS($A$5:$A$1668,$A1570,$C$5:$C$1668,"&gt;0"))</f>
        <v/>
      </c>
      <c r="G1570" s="11">
        <f>IF(OR($B1570="",NOT(ISNUMBER($C1570))),"",IF($D1570&lt;&gt;"",ROUND(Points!$B$6*IF($F1570&lt;Points!$H$4,Points!$H$5,1),0),ROUND(Points!$B$6*IF($F1570&lt;=1,1,Points!$H$7+(1-Points!$H$7)*((($F1570-$E1570)*(($F1570-$E1570)+1)/2)^2-((($F1570-$E1570-COUNTIFS($A$5:$A$1668,$A1570,$C$5:$C$1668,$C1570)+1)-1)*($F1570-$E1570-COUNTIFS($A$5:$A$1668,$A1570,$C$5:$C$1668,$C1570)+1)/2)^2)/(COUNTIFS($A$5:$A$1668,$A1570,$C$5:$C$1668,$C1570)*($F1570-1)^3))*IF($F1570&lt;Points!$H$4,Points!$H$5,1),0)))</f>
        <v/>
      </c>
      <c r="H1570" s="11">
        <f>IF($G1570="","",COUNTIFS($B$5:$B$1668,$B1570,$G$5:$G$1668,"&gt;"&amp;$G1570)+COUNTIFS($B$4:$B1569,$B1570,$G$4:$G1569,$G1570)+1)</f>
        <v/>
      </c>
      <c r="I1570" s="11">
        <f>IF($G1570="","",IF($H1570&lt;=Points!$H$6,$G1570,0))</f>
        <v/>
      </c>
      <c r="J1570" s="11">
        <f>IF($B1570="","",IF(COUNTIF(Players!$A$2:$A$500,$B1570)=0,"Player is not on the Players tab",IF(NOT(ISNUMBER($C1570)),"Enter a gross score",IF(COUNTIFS($A$5:$A$1668,$A1570,$B$5:$B$1668,$B1570)&gt;1,"Player is listed twice this week",IF(AND($D1570&lt;&gt;"",COUNTIFS($A$5:$A$1668,$A1570,$D$5:$D$1668,$D1570)&gt;1),"Two players picked as "&amp;$D1570,IF(COUNTIFS($A$5:$A$1668,$A1570,$D$5:$D$1668,"Gross winner")=0,"Pick this week's gross winner",IF(COUNTIFS($A$5:$A$1668,$A1570,$D$5:$D$1668,"Net winner")=0,"Pick this week's net winner","OK")))))))</f>
        <v/>
      </c>
    </row>
    <row r="1571" outlineLevel="1">
      <c r="A1571" s="13" t="n">
        <v>46729</v>
      </c>
      <c r="E1571" s="11">
        <f>IF(OR($B1571="",NOT(ISNUMBER($C1571))),"",COUNTIFS($A$5:$A$1668,$A1571,$C$5:$C$1668,"&lt;"&amp;$C1571)+1)</f>
        <v/>
      </c>
      <c r="F1571" s="11">
        <f>IF(OR($B1571="",NOT(ISNUMBER($C1571))),"",COUNTIFS($A$5:$A$1668,$A1571,$C$5:$C$1668,"&gt;0"))</f>
        <v/>
      </c>
      <c r="G1571" s="11">
        <f>IF(OR($B1571="",NOT(ISNUMBER($C1571))),"",IF($D1571&lt;&gt;"",ROUND(Points!$B$6*IF($F1571&lt;Points!$H$4,Points!$H$5,1),0),ROUND(Points!$B$6*IF($F1571&lt;=1,1,Points!$H$7+(1-Points!$H$7)*((($F1571-$E1571)*(($F1571-$E1571)+1)/2)^2-((($F1571-$E1571-COUNTIFS($A$5:$A$1668,$A1571,$C$5:$C$1668,$C1571)+1)-1)*($F1571-$E1571-COUNTIFS($A$5:$A$1668,$A1571,$C$5:$C$1668,$C1571)+1)/2)^2)/(COUNTIFS($A$5:$A$1668,$A1571,$C$5:$C$1668,$C1571)*($F1571-1)^3))*IF($F1571&lt;Points!$H$4,Points!$H$5,1),0)))</f>
        <v/>
      </c>
      <c r="H1571" s="11">
        <f>IF($G1571="","",COUNTIFS($B$5:$B$1668,$B1571,$G$5:$G$1668,"&gt;"&amp;$G1571)+COUNTIFS($B$4:$B1570,$B1571,$G$4:$G1570,$G1571)+1)</f>
        <v/>
      </c>
      <c r="I1571" s="11">
        <f>IF($G1571="","",IF($H1571&lt;=Points!$H$6,$G1571,0))</f>
        <v/>
      </c>
      <c r="J1571" s="11">
        <f>IF($B1571="","",IF(COUNTIF(Players!$A$2:$A$500,$B1571)=0,"Player is not on the Players tab",IF(NOT(ISNUMBER($C1571)),"Enter a gross score",IF(COUNTIFS($A$5:$A$1668,$A1571,$B$5:$B$1668,$B1571)&gt;1,"Player is listed twice this week",IF(AND($D1571&lt;&gt;"",COUNTIFS($A$5:$A$1668,$A1571,$D$5:$D$1668,$D1571)&gt;1),"Two players picked as "&amp;$D1571,IF(COUNTIFS($A$5:$A$1668,$A1571,$D$5:$D$1668,"Gross winner")=0,"Pick this week's gross winner",IF(COUNTIFS($A$5:$A$1668,$A1571,$D$5:$D$1668,"Net winner")=0,"Pick this week's net winner","OK")))))))</f>
        <v/>
      </c>
    </row>
    <row r="1572" ht="10" customHeight="1"/>
    <row r="1573" ht="22" customHeight="1">
      <c r="A1573" s="12" t="inlineStr">
        <is>
          <t>Week 50  ·  Wednesday, Dec 15</t>
        </is>
      </c>
    </row>
    <row r="1574" outlineLevel="1">
      <c r="A1574" s="13" t="n">
        <v>46736</v>
      </c>
      <c r="E1574" s="11">
        <f>IF(OR($B1574="",NOT(ISNUMBER($C1574))),"",COUNTIFS($A$5:$A$1668,$A1574,$C$5:$C$1668,"&lt;"&amp;$C1574)+1)</f>
        <v/>
      </c>
      <c r="F1574" s="11">
        <f>IF(OR($B1574="",NOT(ISNUMBER($C1574))),"",COUNTIFS($A$5:$A$1668,$A1574,$C$5:$C$1668,"&gt;0"))</f>
        <v/>
      </c>
      <c r="G1574" s="11">
        <f>IF(OR($B1574="",NOT(ISNUMBER($C1574))),"",IF($D1574&lt;&gt;"",ROUND(Points!$B$6*IF($F1574&lt;Points!$H$4,Points!$H$5,1),0),ROUND(Points!$B$6*IF($F1574&lt;=1,1,Points!$H$7+(1-Points!$H$7)*((($F1574-$E1574)*(($F1574-$E1574)+1)/2)^2-((($F1574-$E1574-COUNTIFS($A$5:$A$1668,$A1574,$C$5:$C$1668,$C1574)+1)-1)*($F1574-$E1574-COUNTIFS($A$5:$A$1668,$A1574,$C$5:$C$1668,$C1574)+1)/2)^2)/(COUNTIFS($A$5:$A$1668,$A1574,$C$5:$C$1668,$C1574)*($F1574-1)^3))*IF($F1574&lt;Points!$H$4,Points!$H$5,1),0)))</f>
        <v/>
      </c>
      <c r="H1574" s="11">
        <f>IF($G1574="","",COUNTIFS($B$5:$B$1668,$B1574,$G$5:$G$1668,"&gt;"&amp;$G1574)+COUNTIFS($B$4:$B1573,$B1574,$G$4:$G1573,$G1574)+1)</f>
        <v/>
      </c>
      <c r="I1574" s="11">
        <f>IF($G1574="","",IF($H1574&lt;=Points!$H$6,$G1574,0))</f>
        <v/>
      </c>
      <c r="J1574" s="11">
        <f>IF($B1574="","",IF(COUNTIF(Players!$A$2:$A$500,$B1574)=0,"Player is not on the Players tab",IF(NOT(ISNUMBER($C1574)),"Enter a gross score",IF(COUNTIFS($A$5:$A$1668,$A1574,$B$5:$B$1668,$B1574)&gt;1,"Player is listed twice this week",IF(AND($D1574&lt;&gt;"",COUNTIFS($A$5:$A$1668,$A1574,$D$5:$D$1668,$D1574)&gt;1),"Two players picked as "&amp;$D1574,IF(COUNTIFS($A$5:$A$1668,$A1574,$D$5:$D$1668,"Gross winner")=0,"Pick this week's gross winner",IF(COUNTIFS($A$5:$A$1668,$A1574,$D$5:$D$1668,"Net winner")=0,"Pick this week's net winner","OK")))))))</f>
        <v/>
      </c>
    </row>
    <row r="1575" outlineLevel="1">
      <c r="A1575" s="13" t="n">
        <v>46736</v>
      </c>
      <c r="E1575" s="11">
        <f>IF(OR($B1575="",NOT(ISNUMBER($C1575))),"",COUNTIFS($A$5:$A$1668,$A1575,$C$5:$C$1668,"&lt;"&amp;$C1575)+1)</f>
        <v/>
      </c>
      <c r="F1575" s="11">
        <f>IF(OR($B1575="",NOT(ISNUMBER($C1575))),"",COUNTIFS($A$5:$A$1668,$A1575,$C$5:$C$1668,"&gt;0"))</f>
        <v/>
      </c>
      <c r="G1575" s="11">
        <f>IF(OR($B1575="",NOT(ISNUMBER($C1575))),"",IF($D1575&lt;&gt;"",ROUND(Points!$B$6*IF($F1575&lt;Points!$H$4,Points!$H$5,1),0),ROUND(Points!$B$6*IF($F1575&lt;=1,1,Points!$H$7+(1-Points!$H$7)*((($F1575-$E1575)*(($F1575-$E1575)+1)/2)^2-((($F1575-$E1575-COUNTIFS($A$5:$A$1668,$A1575,$C$5:$C$1668,$C1575)+1)-1)*($F1575-$E1575-COUNTIFS($A$5:$A$1668,$A1575,$C$5:$C$1668,$C1575)+1)/2)^2)/(COUNTIFS($A$5:$A$1668,$A1575,$C$5:$C$1668,$C1575)*($F1575-1)^3))*IF($F1575&lt;Points!$H$4,Points!$H$5,1),0)))</f>
        <v/>
      </c>
      <c r="H1575" s="11">
        <f>IF($G1575="","",COUNTIFS($B$5:$B$1668,$B1575,$G$5:$G$1668,"&gt;"&amp;$G1575)+COUNTIFS($B$4:$B1574,$B1575,$G$4:$G1574,$G1575)+1)</f>
        <v/>
      </c>
      <c r="I1575" s="11">
        <f>IF($G1575="","",IF($H1575&lt;=Points!$H$6,$G1575,0))</f>
        <v/>
      </c>
      <c r="J1575" s="11">
        <f>IF($B1575="","",IF(COUNTIF(Players!$A$2:$A$500,$B1575)=0,"Player is not on the Players tab",IF(NOT(ISNUMBER($C1575)),"Enter a gross score",IF(COUNTIFS($A$5:$A$1668,$A1575,$B$5:$B$1668,$B1575)&gt;1,"Player is listed twice this week",IF(AND($D1575&lt;&gt;"",COUNTIFS($A$5:$A$1668,$A1575,$D$5:$D$1668,$D1575)&gt;1),"Two players picked as "&amp;$D1575,IF(COUNTIFS($A$5:$A$1668,$A1575,$D$5:$D$1668,"Gross winner")=0,"Pick this week's gross winner",IF(COUNTIFS($A$5:$A$1668,$A1575,$D$5:$D$1668,"Net winner")=0,"Pick this week's net winner","OK")))))))</f>
        <v/>
      </c>
    </row>
    <row r="1576" outlineLevel="1">
      <c r="A1576" s="13" t="n">
        <v>46736</v>
      </c>
      <c r="E1576" s="11">
        <f>IF(OR($B1576="",NOT(ISNUMBER($C1576))),"",COUNTIFS($A$5:$A$1668,$A1576,$C$5:$C$1668,"&lt;"&amp;$C1576)+1)</f>
        <v/>
      </c>
      <c r="F1576" s="11">
        <f>IF(OR($B1576="",NOT(ISNUMBER($C1576))),"",COUNTIFS($A$5:$A$1668,$A1576,$C$5:$C$1668,"&gt;0"))</f>
        <v/>
      </c>
      <c r="G1576" s="11">
        <f>IF(OR($B1576="",NOT(ISNUMBER($C1576))),"",IF($D1576&lt;&gt;"",ROUND(Points!$B$6*IF($F1576&lt;Points!$H$4,Points!$H$5,1),0),ROUND(Points!$B$6*IF($F1576&lt;=1,1,Points!$H$7+(1-Points!$H$7)*((($F1576-$E1576)*(($F1576-$E1576)+1)/2)^2-((($F1576-$E1576-COUNTIFS($A$5:$A$1668,$A1576,$C$5:$C$1668,$C1576)+1)-1)*($F1576-$E1576-COUNTIFS($A$5:$A$1668,$A1576,$C$5:$C$1668,$C1576)+1)/2)^2)/(COUNTIFS($A$5:$A$1668,$A1576,$C$5:$C$1668,$C1576)*($F1576-1)^3))*IF($F1576&lt;Points!$H$4,Points!$H$5,1),0)))</f>
        <v/>
      </c>
      <c r="H1576" s="11">
        <f>IF($G1576="","",COUNTIFS($B$5:$B$1668,$B1576,$G$5:$G$1668,"&gt;"&amp;$G1576)+COUNTIFS($B$4:$B1575,$B1576,$G$4:$G1575,$G1576)+1)</f>
        <v/>
      </c>
      <c r="I1576" s="11">
        <f>IF($G1576="","",IF($H1576&lt;=Points!$H$6,$G1576,0))</f>
        <v/>
      </c>
      <c r="J1576" s="11">
        <f>IF($B1576="","",IF(COUNTIF(Players!$A$2:$A$500,$B1576)=0,"Player is not on the Players tab",IF(NOT(ISNUMBER($C1576)),"Enter a gross score",IF(COUNTIFS($A$5:$A$1668,$A1576,$B$5:$B$1668,$B1576)&gt;1,"Player is listed twice this week",IF(AND($D1576&lt;&gt;"",COUNTIFS($A$5:$A$1668,$A1576,$D$5:$D$1668,$D1576)&gt;1),"Two players picked as "&amp;$D1576,IF(COUNTIFS($A$5:$A$1668,$A1576,$D$5:$D$1668,"Gross winner")=0,"Pick this week's gross winner",IF(COUNTIFS($A$5:$A$1668,$A1576,$D$5:$D$1668,"Net winner")=0,"Pick this week's net winner","OK")))))))</f>
        <v/>
      </c>
    </row>
    <row r="1577" outlineLevel="1">
      <c r="A1577" s="13" t="n">
        <v>46736</v>
      </c>
      <c r="E1577" s="11">
        <f>IF(OR($B1577="",NOT(ISNUMBER($C1577))),"",COUNTIFS($A$5:$A$1668,$A1577,$C$5:$C$1668,"&lt;"&amp;$C1577)+1)</f>
        <v/>
      </c>
      <c r="F1577" s="11">
        <f>IF(OR($B1577="",NOT(ISNUMBER($C1577))),"",COUNTIFS($A$5:$A$1668,$A1577,$C$5:$C$1668,"&gt;0"))</f>
        <v/>
      </c>
      <c r="G1577" s="11">
        <f>IF(OR($B1577="",NOT(ISNUMBER($C1577))),"",IF($D1577&lt;&gt;"",ROUND(Points!$B$6*IF($F1577&lt;Points!$H$4,Points!$H$5,1),0),ROUND(Points!$B$6*IF($F1577&lt;=1,1,Points!$H$7+(1-Points!$H$7)*((($F1577-$E1577)*(($F1577-$E1577)+1)/2)^2-((($F1577-$E1577-COUNTIFS($A$5:$A$1668,$A1577,$C$5:$C$1668,$C1577)+1)-1)*($F1577-$E1577-COUNTIFS($A$5:$A$1668,$A1577,$C$5:$C$1668,$C1577)+1)/2)^2)/(COUNTIFS($A$5:$A$1668,$A1577,$C$5:$C$1668,$C1577)*($F1577-1)^3))*IF($F1577&lt;Points!$H$4,Points!$H$5,1),0)))</f>
        <v/>
      </c>
      <c r="H1577" s="11">
        <f>IF($G1577="","",COUNTIFS($B$5:$B$1668,$B1577,$G$5:$G$1668,"&gt;"&amp;$G1577)+COUNTIFS($B$4:$B1576,$B1577,$G$4:$G1576,$G1577)+1)</f>
        <v/>
      </c>
      <c r="I1577" s="11">
        <f>IF($G1577="","",IF($H1577&lt;=Points!$H$6,$G1577,0))</f>
        <v/>
      </c>
      <c r="J1577" s="11">
        <f>IF($B1577="","",IF(COUNTIF(Players!$A$2:$A$500,$B1577)=0,"Player is not on the Players tab",IF(NOT(ISNUMBER($C1577)),"Enter a gross score",IF(COUNTIFS($A$5:$A$1668,$A1577,$B$5:$B$1668,$B1577)&gt;1,"Player is listed twice this week",IF(AND($D1577&lt;&gt;"",COUNTIFS($A$5:$A$1668,$A1577,$D$5:$D$1668,$D1577)&gt;1),"Two players picked as "&amp;$D1577,IF(COUNTIFS($A$5:$A$1668,$A1577,$D$5:$D$1668,"Gross winner")=0,"Pick this week's gross winner",IF(COUNTIFS($A$5:$A$1668,$A1577,$D$5:$D$1668,"Net winner")=0,"Pick this week's net winner","OK")))))))</f>
        <v/>
      </c>
    </row>
    <row r="1578" outlineLevel="1">
      <c r="A1578" s="13" t="n">
        <v>46736</v>
      </c>
      <c r="E1578" s="11">
        <f>IF(OR($B1578="",NOT(ISNUMBER($C1578))),"",COUNTIFS($A$5:$A$1668,$A1578,$C$5:$C$1668,"&lt;"&amp;$C1578)+1)</f>
        <v/>
      </c>
      <c r="F1578" s="11">
        <f>IF(OR($B1578="",NOT(ISNUMBER($C1578))),"",COUNTIFS($A$5:$A$1668,$A1578,$C$5:$C$1668,"&gt;0"))</f>
        <v/>
      </c>
      <c r="G1578" s="11">
        <f>IF(OR($B1578="",NOT(ISNUMBER($C1578))),"",IF($D1578&lt;&gt;"",ROUND(Points!$B$6*IF($F1578&lt;Points!$H$4,Points!$H$5,1),0),ROUND(Points!$B$6*IF($F1578&lt;=1,1,Points!$H$7+(1-Points!$H$7)*((($F1578-$E1578)*(($F1578-$E1578)+1)/2)^2-((($F1578-$E1578-COUNTIFS($A$5:$A$1668,$A1578,$C$5:$C$1668,$C1578)+1)-1)*($F1578-$E1578-COUNTIFS($A$5:$A$1668,$A1578,$C$5:$C$1668,$C1578)+1)/2)^2)/(COUNTIFS($A$5:$A$1668,$A1578,$C$5:$C$1668,$C1578)*($F1578-1)^3))*IF($F1578&lt;Points!$H$4,Points!$H$5,1),0)))</f>
        <v/>
      </c>
      <c r="H1578" s="11">
        <f>IF($G1578="","",COUNTIFS($B$5:$B$1668,$B1578,$G$5:$G$1668,"&gt;"&amp;$G1578)+COUNTIFS($B$4:$B1577,$B1578,$G$4:$G1577,$G1578)+1)</f>
        <v/>
      </c>
      <c r="I1578" s="11">
        <f>IF($G1578="","",IF($H1578&lt;=Points!$H$6,$G1578,0))</f>
        <v/>
      </c>
      <c r="J1578" s="11">
        <f>IF($B1578="","",IF(COUNTIF(Players!$A$2:$A$500,$B1578)=0,"Player is not on the Players tab",IF(NOT(ISNUMBER($C1578)),"Enter a gross score",IF(COUNTIFS($A$5:$A$1668,$A1578,$B$5:$B$1668,$B1578)&gt;1,"Player is listed twice this week",IF(AND($D1578&lt;&gt;"",COUNTIFS($A$5:$A$1668,$A1578,$D$5:$D$1668,$D1578)&gt;1),"Two players picked as "&amp;$D1578,IF(COUNTIFS($A$5:$A$1668,$A1578,$D$5:$D$1668,"Gross winner")=0,"Pick this week's gross winner",IF(COUNTIFS($A$5:$A$1668,$A1578,$D$5:$D$1668,"Net winner")=0,"Pick this week's net winner","OK")))))))</f>
        <v/>
      </c>
    </row>
    <row r="1579" outlineLevel="1">
      <c r="A1579" s="13" t="n">
        <v>46736</v>
      </c>
      <c r="E1579" s="11">
        <f>IF(OR($B1579="",NOT(ISNUMBER($C1579))),"",COUNTIFS($A$5:$A$1668,$A1579,$C$5:$C$1668,"&lt;"&amp;$C1579)+1)</f>
        <v/>
      </c>
      <c r="F1579" s="11">
        <f>IF(OR($B1579="",NOT(ISNUMBER($C1579))),"",COUNTIFS($A$5:$A$1668,$A1579,$C$5:$C$1668,"&gt;0"))</f>
        <v/>
      </c>
      <c r="G1579" s="11">
        <f>IF(OR($B1579="",NOT(ISNUMBER($C1579))),"",IF($D1579&lt;&gt;"",ROUND(Points!$B$6*IF($F1579&lt;Points!$H$4,Points!$H$5,1),0),ROUND(Points!$B$6*IF($F1579&lt;=1,1,Points!$H$7+(1-Points!$H$7)*((($F1579-$E1579)*(($F1579-$E1579)+1)/2)^2-((($F1579-$E1579-COUNTIFS($A$5:$A$1668,$A1579,$C$5:$C$1668,$C1579)+1)-1)*($F1579-$E1579-COUNTIFS($A$5:$A$1668,$A1579,$C$5:$C$1668,$C1579)+1)/2)^2)/(COUNTIFS($A$5:$A$1668,$A1579,$C$5:$C$1668,$C1579)*($F1579-1)^3))*IF($F1579&lt;Points!$H$4,Points!$H$5,1),0)))</f>
        <v/>
      </c>
      <c r="H1579" s="11">
        <f>IF($G1579="","",COUNTIFS($B$5:$B$1668,$B1579,$G$5:$G$1668,"&gt;"&amp;$G1579)+COUNTIFS($B$4:$B1578,$B1579,$G$4:$G1578,$G1579)+1)</f>
        <v/>
      </c>
      <c r="I1579" s="11">
        <f>IF($G1579="","",IF($H1579&lt;=Points!$H$6,$G1579,0))</f>
        <v/>
      </c>
      <c r="J1579" s="11">
        <f>IF($B1579="","",IF(COUNTIF(Players!$A$2:$A$500,$B1579)=0,"Player is not on the Players tab",IF(NOT(ISNUMBER($C1579)),"Enter a gross score",IF(COUNTIFS($A$5:$A$1668,$A1579,$B$5:$B$1668,$B1579)&gt;1,"Player is listed twice this week",IF(AND($D1579&lt;&gt;"",COUNTIFS($A$5:$A$1668,$A1579,$D$5:$D$1668,$D1579)&gt;1),"Two players picked as "&amp;$D1579,IF(COUNTIFS($A$5:$A$1668,$A1579,$D$5:$D$1668,"Gross winner")=0,"Pick this week's gross winner",IF(COUNTIFS($A$5:$A$1668,$A1579,$D$5:$D$1668,"Net winner")=0,"Pick this week's net winner","OK")))))))</f>
        <v/>
      </c>
    </row>
    <row r="1580" outlineLevel="1">
      <c r="A1580" s="13" t="n">
        <v>46736</v>
      </c>
      <c r="E1580" s="11">
        <f>IF(OR($B1580="",NOT(ISNUMBER($C1580))),"",COUNTIFS($A$5:$A$1668,$A1580,$C$5:$C$1668,"&lt;"&amp;$C1580)+1)</f>
        <v/>
      </c>
      <c r="F1580" s="11">
        <f>IF(OR($B1580="",NOT(ISNUMBER($C1580))),"",COUNTIFS($A$5:$A$1668,$A1580,$C$5:$C$1668,"&gt;0"))</f>
        <v/>
      </c>
      <c r="G1580" s="11">
        <f>IF(OR($B1580="",NOT(ISNUMBER($C1580))),"",IF($D1580&lt;&gt;"",ROUND(Points!$B$6*IF($F1580&lt;Points!$H$4,Points!$H$5,1),0),ROUND(Points!$B$6*IF($F1580&lt;=1,1,Points!$H$7+(1-Points!$H$7)*((($F1580-$E1580)*(($F1580-$E1580)+1)/2)^2-((($F1580-$E1580-COUNTIFS($A$5:$A$1668,$A1580,$C$5:$C$1668,$C1580)+1)-1)*($F1580-$E1580-COUNTIFS($A$5:$A$1668,$A1580,$C$5:$C$1668,$C1580)+1)/2)^2)/(COUNTIFS($A$5:$A$1668,$A1580,$C$5:$C$1668,$C1580)*($F1580-1)^3))*IF($F1580&lt;Points!$H$4,Points!$H$5,1),0)))</f>
        <v/>
      </c>
      <c r="H1580" s="11">
        <f>IF($G1580="","",COUNTIFS($B$5:$B$1668,$B1580,$G$5:$G$1668,"&gt;"&amp;$G1580)+COUNTIFS($B$4:$B1579,$B1580,$G$4:$G1579,$G1580)+1)</f>
        <v/>
      </c>
      <c r="I1580" s="11">
        <f>IF($G1580="","",IF($H1580&lt;=Points!$H$6,$G1580,0))</f>
        <v/>
      </c>
      <c r="J1580" s="11">
        <f>IF($B1580="","",IF(COUNTIF(Players!$A$2:$A$500,$B1580)=0,"Player is not on the Players tab",IF(NOT(ISNUMBER($C1580)),"Enter a gross score",IF(COUNTIFS($A$5:$A$1668,$A1580,$B$5:$B$1668,$B1580)&gt;1,"Player is listed twice this week",IF(AND($D1580&lt;&gt;"",COUNTIFS($A$5:$A$1668,$A1580,$D$5:$D$1668,$D1580)&gt;1),"Two players picked as "&amp;$D1580,IF(COUNTIFS($A$5:$A$1668,$A1580,$D$5:$D$1668,"Gross winner")=0,"Pick this week's gross winner",IF(COUNTIFS($A$5:$A$1668,$A1580,$D$5:$D$1668,"Net winner")=0,"Pick this week's net winner","OK")))))))</f>
        <v/>
      </c>
    </row>
    <row r="1581" outlineLevel="1">
      <c r="A1581" s="13" t="n">
        <v>46736</v>
      </c>
      <c r="E1581" s="11">
        <f>IF(OR($B1581="",NOT(ISNUMBER($C1581))),"",COUNTIFS($A$5:$A$1668,$A1581,$C$5:$C$1668,"&lt;"&amp;$C1581)+1)</f>
        <v/>
      </c>
      <c r="F1581" s="11">
        <f>IF(OR($B1581="",NOT(ISNUMBER($C1581))),"",COUNTIFS($A$5:$A$1668,$A1581,$C$5:$C$1668,"&gt;0"))</f>
        <v/>
      </c>
      <c r="G1581" s="11">
        <f>IF(OR($B1581="",NOT(ISNUMBER($C1581))),"",IF($D1581&lt;&gt;"",ROUND(Points!$B$6*IF($F1581&lt;Points!$H$4,Points!$H$5,1),0),ROUND(Points!$B$6*IF($F1581&lt;=1,1,Points!$H$7+(1-Points!$H$7)*((($F1581-$E1581)*(($F1581-$E1581)+1)/2)^2-((($F1581-$E1581-COUNTIFS($A$5:$A$1668,$A1581,$C$5:$C$1668,$C1581)+1)-1)*($F1581-$E1581-COUNTIFS($A$5:$A$1668,$A1581,$C$5:$C$1668,$C1581)+1)/2)^2)/(COUNTIFS($A$5:$A$1668,$A1581,$C$5:$C$1668,$C1581)*($F1581-1)^3))*IF($F1581&lt;Points!$H$4,Points!$H$5,1),0)))</f>
        <v/>
      </c>
      <c r="H1581" s="11">
        <f>IF($G1581="","",COUNTIFS($B$5:$B$1668,$B1581,$G$5:$G$1668,"&gt;"&amp;$G1581)+COUNTIFS($B$4:$B1580,$B1581,$G$4:$G1580,$G1581)+1)</f>
        <v/>
      </c>
      <c r="I1581" s="11">
        <f>IF($G1581="","",IF($H1581&lt;=Points!$H$6,$G1581,0))</f>
        <v/>
      </c>
      <c r="J1581" s="11">
        <f>IF($B1581="","",IF(COUNTIF(Players!$A$2:$A$500,$B1581)=0,"Player is not on the Players tab",IF(NOT(ISNUMBER($C1581)),"Enter a gross score",IF(COUNTIFS($A$5:$A$1668,$A1581,$B$5:$B$1668,$B1581)&gt;1,"Player is listed twice this week",IF(AND($D1581&lt;&gt;"",COUNTIFS($A$5:$A$1668,$A1581,$D$5:$D$1668,$D1581)&gt;1),"Two players picked as "&amp;$D1581,IF(COUNTIFS($A$5:$A$1668,$A1581,$D$5:$D$1668,"Gross winner")=0,"Pick this week's gross winner",IF(COUNTIFS($A$5:$A$1668,$A1581,$D$5:$D$1668,"Net winner")=0,"Pick this week's net winner","OK")))))))</f>
        <v/>
      </c>
    </row>
    <row r="1582" outlineLevel="1">
      <c r="A1582" s="13" t="n">
        <v>46736</v>
      </c>
      <c r="E1582" s="11">
        <f>IF(OR($B1582="",NOT(ISNUMBER($C1582))),"",COUNTIFS($A$5:$A$1668,$A1582,$C$5:$C$1668,"&lt;"&amp;$C1582)+1)</f>
        <v/>
      </c>
      <c r="F1582" s="11">
        <f>IF(OR($B1582="",NOT(ISNUMBER($C1582))),"",COUNTIFS($A$5:$A$1668,$A1582,$C$5:$C$1668,"&gt;0"))</f>
        <v/>
      </c>
      <c r="G1582" s="11">
        <f>IF(OR($B1582="",NOT(ISNUMBER($C1582))),"",IF($D1582&lt;&gt;"",ROUND(Points!$B$6*IF($F1582&lt;Points!$H$4,Points!$H$5,1),0),ROUND(Points!$B$6*IF($F1582&lt;=1,1,Points!$H$7+(1-Points!$H$7)*((($F1582-$E1582)*(($F1582-$E1582)+1)/2)^2-((($F1582-$E1582-COUNTIFS($A$5:$A$1668,$A1582,$C$5:$C$1668,$C1582)+1)-1)*($F1582-$E1582-COUNTIFS($A$5:$A$1668,$A1582,$C$5:$C$1668,$C1582)+1)/2)^2)/(COUNTIFS($A$5:$A$1668,$A1582,$C$5:$C$1668,$C1582)*($F1582-1)^3))*IF($F1582&lt;Points!$H$4,Points!$H$5,1),0)))</f>
        <v/>
      </c>
      <c r="H1582" s="11">
        <f>IF($G1582="","",COUNTIFS($B$5:$B$1668,$B1582,$G$5:$G$1668,"&gt;"&amp;$G1582)+COUNTIFS($B$4:$B1581,$B1582,$G$4:$G1581,$G1582)+1)</f>
        <v/>
      </c>
      <c r="I1582" s="11">
        <f>IF($G1582="","",IF($H1582&lt;=Points!$H$6,$G1582,0))</f>
        <v/>
      </c>
      <c r="J1582" s="11">
        <f>IF($B1582="","",IF(COUNTIF(Players!$A$2:$A$500,$B1582)=0,"Player is not on the Players tab",IF(NOT(ISNUMBER($C1582)),"Enter a gross score",IF(COUNTIFS($A$5:$A$1668,$A1582,$B$5:$B$1668,$B1582)&gt;1,"Player is listed twice this week",IF(AND($D1582&lt;&gt;"",COUNTIFS($A$5:$A$1668,$A1582,$D$5:$D$1668,$D1582)&gt;1),"Two players picked as "&amp;$D1582,IF(COUNTIFS($A$5:$A$1668,$A1582,$D$5:$D$1668,"Gross winner")=0,"Pick this week's gross winner",IF(COUNTIFS($A$5:$A$1668,$A1582,$D$5:$D$1668,"Net winner")=0,"Pick this week's net winner","OK")))))))</f>
        <v/>
      </c>
    </row>
    <row r="1583" outlineLevel="1">
      <c r="A1583" s="13" t="n">
        <v>46736</v>
      </c>
      <c r="E1583" s="11">
        <f>IF(OR($B1583="",NOT(ISNUMBER($C1583))),"",COUNTIFS($A$5:$A$1668,$A1583,$C$5:$C$1668,"&lt;"&amp;$C1583)+1)</f>
        <v/>
      </c>
      <c r="F1583" s="11">
        <f>IF(OR($B1583="",NOT(ISNUMBER($C1583))),"",COUNTIFS($A$5:$A$1668,$A1583,$C$5:$C$1668,"&gt;0"))</f>
        <v/>
      </c>
      <c r="G1583" s="11">
        <f>IF(OR($B1583="",NOT(ISNUMBER($C1583))),"",IF($D1583&lt;&gt;"",ROUND(Points!$B$6*IF($F1583&lt;Points!$H$4,Points!$H$5,1),0),ROUND(Points!$B$6*IF($F1583&lt;=1,1,Points!$H$7+(1-Points!$H$7)*((($F1583-$E1583)*(($F1583-$E1583)+1)/2)^2-((($F1583-$E1583-COUNTIFS($A$5:$A$1668,$A1583,$C$5:$C$1668,$C1583)+1)-1)*($F1583-$E1583-COUNTIFS($A$5:$A$1668,$A1583,$C$5:$C$1668,$C1583)+1)/2)^2)/(COUNTIFS($A$5:$A$1668,$A1583,$C$5:$C$1668,$C1583)*($F1583-1)^3))*IF($F1583&lt;Points!$H$4,Points!$H$5,1),0)))</f>
        <v/>
      </c>
      <c r="H1583" s="11">
        <f>IF($G1583="","",COUNTIFS($B$5:$B$1668,$B1583,$G$5:$G$1668,"&gt;"&amp;$G1583)+COUNTIFS($B$4:$B1582,$B1583,$G$4:$G1582,$G1583)+1)</f>
        <v/>
      </c>
      <c r="I1583" s="11">
        <f>IF($G1583="","",IF($H1583&lt;=Points!$H$6,$G1583,0))</f>
        <v/>
      </c>
      <c r="J1583" s="11">
        <f>IF($B1583="","",IF(COUNTIF(Players!$A$2:$A$500,$B1583)=0,"Player is not on the Players tab",IF(NOT(ISNUMBER($C1583)),"Enter a gross score",IF(COUNTIFS($A$5:$A$1668,$A1583,$B$5:$B$1668,$B1583)&gt;1,"Player is listed twice this week",IF(AND($D1583&lt;&gt;"",COUNTIFS($A$5:$A$1668,$A1583,$D$5:$D$1668,$D1583)&gt;1),"Two players picked as "&amp;$D1583,IF(COUNTIFS($A$5:$A$1668,$A1583,$D$5:$D$1668,"Gross winner")=0,"Pick this week's gross winner",IF(COUNTIFS($A$5:$A$1668,$A1583,$D$5:$D$1668,"Net winner")=0,"Pick this week's net winner","OK")))))))</f>
        <v/>
      </c>
    </row>
    <row r="1584" outlineLevel="1">
      <c r="A1584" s="13" t="n">
        <v>46736</v>
      </c>
      <c r="E1584" s="11">
        <f>IF(OR($B1584="",NOT(ISNUMBER($C1584))),"",COUNTIFS($A$5:$A$1668,$A1584,$C$5:$C$1668,"&lt;"&amp;$C1584)+1)</f>
        <v/>
      </c>
      <c r="F1584" s="11">
        <f>IF(OR($B1584="",NOT(ISNUMBER($C1584))),"",COUNTIFS($A$5:$A$1668,$A1584,$C$5:$C$1668,"&gt;0"))</f>
        <v/>
      </c>
      <c r="G1584" s="11">
        <f>IF(OR($B1584="",NOT(ISNUMBER($C1584))),"",IF($D1584&lt;&gt;"",ROUND(Points!$B$6*IF($F1584&lt;Points!$H$4,Points!$H$5,1),0),ROUND(Points!$B$6*IF($F1584&lt;=1,1,Points!$H$7+(1-Points!$H$7)*((($F1584-$E1584)*(($F1584-$E1584)+1)/2)^2-((($F1584-$E1584-COUNTIFS($A$5:$A$1668,$A1584,$C$5:$C$1668,$C1584)+1)-1)*($F1584-$E1584-COUNTIFS($A$5:$A$1668,$A1584,$C$5:$C$1668,$C1584)+1)/2)^2)/(COUNTIFS($A$5:$A$1668,$A1584,$C$5:$C$1668,$C1584)*($F1584-1)^3))*IF($F1584&lt;Points!$H$4,Points!$H$5,1),0)))</f>
        <v/>
      </c>
      <c r="H1584" s="11">
        <f>IF($G1584="","",COUNTIFS($B$5:$B$1668,$B1584,$G$5:$G$1668,"&gt;"&amp;$G1584)+COUNTIFS($B$4:$B1583,$B1584,$G$4:$G1583,$G1584)+1)</f>
        <v/>
      </c>
      <c r="I1584" s="11">
        <f>IF($G1584="","",IF($H1584&lt;=Points!$H$6,$G1584,0))</f>
        <v/>
      </c>
      <c r="J1584" s="11">
        <f>IF($B1584="","",IF(COUNTIF(Players!$A$2:$A$500,$B1584)=0,"Player is not on the Players tab",IF(NOT(ISNUMBER($C1584)),"Enter a gross score",IF(COUNTIFS($A$5:$A$1668,$A1584,$B$5:$B$1668,$B1584)&gt;1,"Player is listed twice this week",IF(AND($D1584&lt;&gt;"",COUNTIFS($A$5:$A$1668,$A1584,$D$5:$D$1668,$D1584)&gt;1),"Two players picked as "&amp;$D1584,IF(COUNTIFS($A$5:$A$1668,$A1584,$D$5:$D$1668,"Gross winner")=0,"Pick this week's gross winner",IF(COUNTIFS($A$5:$A$1668,$A1584,$D$5:$D$1668,"Net winner")=0,"Pick this week's net winner","OK")))))))</f>
        <v/>
      </c>
    </row>
    <row r="1585" outlineLevel="1">
      <c r="A1585" s="13" t="n">
        <v>46736</v>
      </c>
      <c r="E1585" s="11">
        <f>IF(OR($B1585="",NOT(ISNUMBER($C1585))),"",COUNTIFS($A$5:$A$1668,$A1585,$C$5:$C$1668,"&lt;"&amp;$C1585)+1)</f>
        <v/>
      </c>
      <c r="F1585" s="11">
        <f>IF(OR($B1585="",NOT(ISNUMBER($C1585))),"",COUNTIFS($A$5:$A$1668,$A1585,$C$5:$C$1668,"&gt;0"))</f>
        <v/>
      </c>
      <c r="G1585" s="11">
        <f>IF(OR($B1585="",NOT(ISNUMBER($C1585))),"",IF($D1585&lt;&gt;"",ROUND(Points!$B$6*IF($F1585&lt;Points!$H$4,Points!$H$5,1),0),ROUND(Points!$B$6*IF($F1585&lt;=1,1,Points!$H$7+(1-Points!$H$7)*((($F1585-$E1585)*(($F1585-$E1585)+1)/2)^2-((($F1585-$E1585-COUNTIFS($A$5:$A$1668,$A1585,$C$5:$C$1668,$C1585)+1)-1)*($F1585-$E1585-COUNTIFS($A$5:$A$1668,$A1585,$C$5:$C$1668,$C1585)+1)/2)^2)/(COUNTIFS($A$5:$A$1668,$A1585,$C$5:$C$1668,$C1585)*($F1585-1)^3))*IF($F1585&lt;Points!$H$4,Points!$H$5,1),0)))</f>
        <v/>
      </c>
      <c r="H1585" s="11">
        <f>IF($G1585="","",COUNTIFS($B$5:$B$1668,$B1585,$G$5:$G$1668,"&gt;"&amp;$G1585)+COUNTIFS($B$4:$B1584,$B1585,$G$4:$G1584,$G1585)+1)</f>
        <v/>
      </c>
      <c r="I1585" s="11">
        <f>IF($G1585="","",IF($H1585&lt;=Points!$H$6,$G1585,0))</f>
        <v/>
      </c>
      <c r="J1585" s="11">
        <f>IF($B1585="","",IF(COUNTIF(Players!$A$2:$A$500,$B1585)=0,"Player is not on the Players tab",IF(NOT(ISNUMBER($C1585)),"Enter a gross score",IF(COUNTIFS($A$5:$A$1668,$A1585,$B$5:$B$1668,$B1585)&gt;1,"Player is listed twice this week",IF(AND($D1585&lt;&gt;"",COUNTIFS($A$5:$A$1668,$A1585,$D$5:$D$1668,$D1585)&gt;1),"Two players picked as "&amp;$D1585,IF(COUNTIFS($A$5:$A$1668,$A1585,$D$5:$D$1668,"Gross winner")=0,"Pick this week's gross winner",IF(COUNTIFS($A$5:$A$1668,$A1585,$D$5:$D$1668,"Net winner")=0,"Pick this week's net winner","OK")))))))</f>
        <v/>
      </c>
    </row>
    <row r="1586" outlineLevel="1">
      <c r="A1586" s="13" t="n">
        <v>46736</v>
      </c>
      <c r="E1586" s="11">
        <f>IF(OR($B1586="",NOT(ISNUMBER($C1586))),"",COUNTIFS($A$5:$A$1668,$A1586,$C$5:$C$1668,"&lt;"&amp;$C1586)+1)</f>
        <v/>
      </c>
      <c r="F1586" s="11">
        <f>IF(OR($B1586="",NOT(ISNUMBER($C1586))),"",COUNTIFS($A$5:$A$1668,$A1586,$C$5:$C$1668,"&gt;0"))</f>
        <v/>
      </c>
      <c r="G1586" s="11">
        <f>IF(OR($B1586="",NOT(ISNUMBER($C1586))),"",IF($D1586&lt;&gt;"",ROUND(Points!$B$6*IF($F1586&lt;Points!$H$4,Points!$H$5,1),0),ROUND(Points!$B$6*IF($F1586&lt;=1,1,Points!$H$7+(1-Points!$H$7)*((($F1586-$E1586)*(($F1586-$E1586)+1)/2)^2-((($F1586-$E1586-COUNTIFS($A$5:$A$1668,$A1586,$C$5:$C$1668,$C1586)+1)-1)*($F1586-$E1586-COUNTIFS($A$5:$A$1668,$A1586,$C$5:$C$1668,$C1586)+1)/2)^2)/(COUNTIFS($A$5:$A$1668,$A1586,$C$5:$C$1668,$C1586)*($F1586-1)^3))*IF($F1586&lt;Points!$H$4,Points!$H$5,1),0)))</f>
        <v/>
      </c>
      <c r="H1586" s="11">
        <f>IF($G1586="","",COUNTIFS($B$5:$B$1668,$B1586,$G$5:$G$1668,"&gt;"&amp;$G1586)+COUNTIFS($B$4:$B1585,$B1586,$G$4:$G1585,$G1586)+1)</f>
        <v/>
      </c>
      <c r="I1586" s="11">
        <f>IF($G1586="","",IF($H1586&lt;=Points!$H$6,$G1586,0))</f>
        <v/>
      </c>
      <c r="J1586" s="11">
        <f>IF($B1586="","",IF(COUNTIF(Players!$A$2:$A$500,$B1586)=0,"Player is not on the Players tab",IF(NOT(ISNUMBER($C1586)),"Enter a gross score",IF(COUNTIFS($A$5:$A$1668,$A1586,$B$5:$B$1668,$B1586)&gt;1,"Player is listed twice this week",IF(AND($D1586&lt;&gt;"",COUNTIFS($A$5:$A$1668,$A1586,$D$5:$D$1668,$D1586)&gt;1),"Two players picked as "&amp;$D1586,IF(COUNTIFS($A$5:$A$1668,$A1586,$D$5:$D$1668,"Gross winner")=0,"Pick this week's gross winner",IF(COUNTIFS($A$5:$A$1668,$A1586,$D$5:$D$1668,"Net winner")=0,"Pick this week's net winner","OK")))))))</f>
        <v/>
      </c>
    </row>
    <row r="1587" outlineLevel="1">
      <c r="A1587" s="13" t="n">
        <v>46736</v>
      </c>
      <c r="E1587" s="11">
        <f>IF(OR($B1587="",NOT(ISNUMBER($C1587))),"",COUNTIFS($A$5:$A$1668,$A1587,$C$5:$C$1668,"&lt;"&amp;$C1587)+1)</f>
        <v/>
      </c>
      <c r="F1587" s="11">
        <f>IF(OR($B1587="",NOT(ISNUMBER($C1587))),"",COUNTIFS($A$5:$A$1668,$A1587,$C$5:$C$1668,"&gt;0"))</f>
        <v/>
      </c>
      <c r="G1587" s="11">
        <f>IF(OR($B1587="",NOT(ISNUMBER($C1587))),"",IF($D1587&lt;&gt;"",ROUND(Points!$B$6*IF($F1587&lt;Points!$H$4,Points!$H$5,1),0),ROUND(Points!$B$6*IF($F1587&lt;=1,1,Points!$H$7+(1-Points!$H$7)*((($F1587-$E1587)*(($F1587-$E1587)+1)/2)^2-((($F1587-$E1587-COUNTIFS($A$5:$A$1668,$A1587,$C$5:$C$1668,$C1587)+1)-1)*($F1587-$E1587-COUNTIFS($A$5:$A$1668,$A1587,$C$5:$C$1668,$C1587)+1)/2)^2)/(COUNTIFS($A$5:$A$1668,$A1587,$C$5:$C$1668,$C1587)*($F1587-1)^3))*IF($F1587&lt;Points!$H$4,Points!$H$5,1),0)))</f>
        <v/>
      </c>
      <c r="H1587" s="11">
        <f>IF($G1587="","",COUNTIFS($B$5:$B$1668,$B1587,$G$5:$G$1668,"&gt;"&amp;$G1587)+COUNTIFS($B$4:$B1586,$B1587,$G$4:$G1586,$G1587)+1)</f>
        <v/>
      </c>
      <c r="I1587" s="11">
        <f>IF($G1587="","",IF($H1587&lt;=Points!$H$6,$G1587,0))</f>
        <v/>
      </c>
      <c r="J1587" s="11">
        <f>IF($B1587="","",IF(COUNTIF(Players!$A$2:$A$500,$B1587)=0,"Player is not on the Players tab",IF(NOT(ISNUMBER($C1587)),"Enter a gross score",IF(COUNTIFS($A$5:$A$1668,$A1587,$B$5:$B$1668,$B1587)&gt;1,"Player is listed twice this week",IF(AND($D1587&lt;&gt;"",COUNTIFS($A$5:$A$1668,$A1587,$D$5:$D$1668,$D1587)&gt;1),"Two players picked as "&amp;$D1587,IF(COUNTIFS($A$5:$A$1668,$A1587,$D$5:$D$1668,"Gross winner")=0,"Pick this week's gross winner",IF(COUNTIFS($A$5:$A$1668,$A1587,$D$5:$D$1668,"Net winner")=0,"Pick this week's net winner","OK")))))))</f>
        <v/>
      </c>
    </row>
    <row r="1588" outlineLevel="1">
      <c r="A1588" s="13" t="n">
        <v>46736</v>
      </c>
      <c r="E1588" s="11">
        <f>IF(OR($B1588="",NOT(ISNUMBER($C1588))),"",COUNTIFS($A$5:$A$1668,$A1588,$C$5:$C$1668,"&lt;"&amp;$C1588)+1)</f>
        <v/>
      </c>
      <c r="F1588" s="11">
        <f>IF(OR($B1588="",NOT(ISNUMBER($C1588))),"",COUNTIFS($A$5:$A$1668,$A1588,$C$5:$C$1668,"&gt;0"))</f>
        <v/>
      </c>
      <c r="G1588" s="11">
        <f>IF(OR($B1588="",NOT(ISNUMBER($C1588))),"",IF($D1588&lt;&gt;"",ROUND(Points!$B$6*IF($F1588&lt;Points!$H$4,Points!$H$5,1),0),ROUND(Points!$B$6*IF($F1588&lt;=1,1,Points!$H$7+(1-Points!$H$7)*((($F1588-$E1588)*(($F1588-$E1588)+1)/2)^2-((($F1588-$E1588-COUNTIFS($A$5:$A$1668,$A1588,$C$5:$C$1668,$C1588)+1)-1)*($F1588-$E1588-COUNTIFS($A$5:$A$1668,$A1588,$C$5:$C$1668,$C1588)+1)/2)^2)/(COUNTIFS($A$5:$A$1668,$A1588,$C$5:$C$1668,$C1588)*($F1588-1)^3))*IF($F1588&lt;Points!$H$4,Points!$H$5,1),0)))</f>
        <v/>
      </c>
      <c r="H1588" s="11">
        <f>IF($G1588="","",COUNTIFS($B$5:$B$1668,$B1588,$G$5:$G$1668,"&gt;"&amp;$G1588)+COUNTIFS($B$4:$B1587,$B1588,$G$4:$G1587,$G1588)+1)</f>
        <v/>
      </c>
      <c r="I1588" s="11">
        <f>IF($G1588="","",IF($H1588&lt;=Points!$H$6,$G1588,0))</f>
        <v/>
      </c>
      <c r="J1588" s="11">
        <f>IF($B1588="","",IF(COUNTIF(Players!$A$2:$A$500,$B1588)=0,"Player is not on the Players tab",IF(NOT(ISNUMBER($C1588)),"Enter a gross score",IF(COUNTIFS($A$5:$A$1668,$A1588,$B$5:$B$1668,$B1588)&gt;1,"Player is listed twice this week",IF(AND($D1588&lt;&gt;"",COUNTIFS($A$5:$A$1668,$A1588,$D$5:$D$1668,$D1588)&gt;1),"Two players picked as "&amp;$D1588,IF(COUNTIFS($A$5:$A$1668,$A1588,$D$5:$D$1668,"Gross winner")=0,"Pick this week's gross winner",IF(COUNTIFS($A$5:$A$1668,$A1588,$D$5:$D$1668,"Net winner")=0,"Pick this week's net winner","OK")))))))</f>
        <v/>
      </c>
    </row>
    <row r="1589" outlineLevel="1">
      <c r="A1589" s="13" t="n">
        <v>46736</v>
      </c>
      <c r="E1589" s="11">
        <f>IF(OR($B1589="",NOT(ISNUMBER($C1589))),"",COUNTIFS($A$5:$A$1668,$A1589,$C$5:$C$1668,"&lt;"&amp;$C1589)+1)</f>
        <v/>
      </c>
      <c r="F1589" s="11">
        <f>IF(OR($B1589="",NOT(ISNUMBER($C1589))),"",COUNTIFS($A$5:$A$1668,$A1589,$C$5:$C$1668,"&gt;0"))</f>
        <v/>
      </c>
      <c r="G1589" s="11">
        <f>IF(OR($B1589="",NOT(ISNUMBER($C1589))),"",IF($D1589&lt;&gt;"",ROUND(Points!$B$6*IF($F1589&lt;Points!$H$4,Points!$H$5,1),0),ROUND(Points!$B$6*IF($F1589&lt;=1,1,Points!$H$7+(1-Points!$H$7)*((($F1589-$E1589)*(($F1589-$E1589)+1)/2)^2-((($F1589-$E1589-COUNTIFS($A$5:$A$1668,$A1589,$C$5:$C$1668,$C1589)+1)-1)*($F1589-$E1589-COUNTIFS($A$5:$A$1668,$A1589,$C$5:$C$1668,$C1589)+1)/2)^2)/(COUNTIFS($A$5:$A$1668,$A1589,$C$5:$C$1668,$C1589)*($F1589-1)^3))*IF($F1589&lt;Points!$H$4,Points!$H$5,1),0)))</f>
        <v/>
      </c>
      <c r="H1589" s="11">
        <f>IF($G1589="","",COUNTIFS($B$5:$B$1668,$B1589,$G$5:$G$1668,"&gt;"&amp;$G1589)+COUNTIFS($B$4:$B1588,$B1589,$G$4:$G1588,$G1589)+1)</f>
        <v/>
      </c>
      <c r="I1589" s="11">
        <f>IF($G1589="","",IF($H1589&lt;=Points!$H$6,$G1589,0))</f>
        <v/>
      </c>
      <c r="J1589" s="11">
        <f>IF($B1589="","",IF(COUNTIF(Players!$A$2:$A$500,$B1589)=0,"Player is not on the Players tab",IF(NOT(ISNUMBER($C1589)),"Enter a gross score",IF(COUNTIFS($A$5:$A$1668,$A1589,$B$5:$B$1668,$B1589)&gt;1,"Player is listed twice this week",IF(AND($D1589&lt;&gt;"",COUNTIFS($A$5:$A$1668,$A1589,$D$5:$D$1668,$D1589)&gt;1),"Two players picked as "&amp;$D1589,IF(COUNTIFS($A$5:$A$1668,$A1589,$D$5:$D$1668,"Gross winner")=0,"Pick this week's gross winner",IF(COUNTIFS($A$5:$A$1668,$A1589,$D$5:$D$1668,"Net winner")=0,"Pick this week's net winner","OK")))))))</f>
        <v/>
      </c>
    </row>
    <row r="1590" outlineLevel="1">
      <c r="A1590" s="13" t="n">
        <v>46736</v>
      </c>
      <c r="E1590" s="11">
        <f>IF(OR($B1590="",NOT(ISNUMBER($C1590))),"",COUNTIFS($A$5:$A$1668,$A1590,$C$5:$C$1668,"&lt;"&amp;$C1590)+1)</f>
        <v/>
      </c>
      <c r="F1590" s="11">
        <f>IF(OR($B1590="",NOT(ISNUMBER($C1590))),"",COUNTIFS($A$5:$A$1668,$A1590,$C$5:$C$1668,"&gt;0"))</f>
        <v/>
      </c>
      <c r="G1590" s="11">
        <f>IF(OR($B1590="",NOT(ISNUMBER($C1590))),"",IF($D1590&lt;&gt;"",ROUND(Points!$B$6*IF($F1590&lt;Points!$H$4,Points!$H$5,1),0),ROUND(Points!$B$6*IF($F1590&lt;=1,1,Points!$H$7+(1-Points!$H$7)*((($F1590-$E1590)*(($F1590-$E1590)+1)/2)^2-((($F1590-$E1590-COUNTIFS($A$5:$A$1668,$A1590,$C$5:$C$1668,$C1590)+1)-1)*($F1590-$E1590-COUNTIFS($A$5:$A$1668,$A1590,$C$5:$C$1668,$C1590)+1)/2)^2)/(COUNTIFS($A$5:$A$1668,$A1590,$C$5:$C$1668,$C1590)*($F1590-1)^3))*IF($F1590&lt;Points!$H$4,Points!$H$5,1),0)))</f>
        <v/>
      </c>
      <c r="H1590" s="11">
        <f>IF($G1590="","",COUNTIFS($B$5:$B$1668,$B1590,$G$5:$G$1668,"&gt;"&amp;$G1590)+COUNTIFS($B$4:$B1589,$B1590,$G$4:$G1589,$G1590)+1)</f>
        <v/>
      </c>
      <c r="I1590" s="11">
        <f>IF($G1590="","",IF($H1590&lt;=Points!$H$6,$G1590,0))</f>
        <v/>
      </c>
      <c r="J1590" s="11">
        <f>IF($B1590="","",IF(COUNTIF(Players!$A$2:$A$500,$B1590)=0,"Player is not on the Players tab",IF(NOT(ISNUMBER($C1590)),"Enter a gross score",IF(COUNTIFS($A$5:$A$1668,$A1590,$B$5:$B$1668,$B1590)&gt;1,"Player is listed twice this week",IF(AND($D1590&lt;&gt;"",COUNTIFS($A$5:$A$1668,$A1590,$D$5:$D$1668,$D1590)&gt;1),"Two players picked as "&amp;$D1590,IF(COUNTIFS($A$5:$A$1668,$A1590,$D$5:$D$1668,"Gross winner")=0,"Pick this week's gross winner",IF(COUNTIFS($A$5:$A$1668,$A1590,$D$5:$D$1668,"Net winner")=0,"Pick this week's net winner","OK")))))))</f>
        <v/>
      </c>
    </row>
    <row r="1591" outlineLevel="1">
      <c r="A1591" s="13" t="n">
        <v>46736</v>
      </c>
      <c r="E1591" s="11">
        <f>IF(OR($B1591="",NOT(ISNUMBER($C1591))),"",COUNTIFS($A$5:$A$1668,$A1591,$C$5:$C$1668,"&lt;"&amp;$C1591)+1)</f>
        <v/>
      </c>
      <c r="F1591" s="11">
        <f>IF(OR($B1591="",NOT(ISNUMBER($C1591))),"",COUNTIFS($A$5:$A$1668,$A1591,$C$5:$C$1668,"&gt;0"))</f>
        <v/>
      </c>
      <c r="G1591" s="11">
        <f>IF(OR($B1591="",NOT(ISNUMBER($C1591))),"",IF($D1591&lt;&gt;"",ROUND(Points!$B$6*IF($F1591&lt;Points!$H$4,Points!$H$5,1),0),ROUND(Points!$B$6*IF($F1591&lt;=1,1,Points!$H$7+(1-Points!$H$7)*((($F1591-$E1591)*(($F1591-$E1591)+1)/2)^2-((($F1591-$E1591-COUNTIFS($A$5:$A$1668,$A1591,$C$5:$C$1668,$C1591)+1)-1)*($F1591-$E1591-COUNTIFS($A$5:$A$1668,$A1591,$C$5:$C$1668,$C1591)+1)/2)^2)/(COUNTIFS($A$5:$A$1668,$A1591,$C$5:$C$1668,$C1591)*($F1591-1)^3))*IF($F1591&lt;Points!$H$4,Points!$H$5,1),0)))</f>
        <v/>
      </c>
      <c r="H1591" s="11">
        <f>IF($G1591="","",COUNTIFS($B$5:$B$1668,$B1591,$G$5:$G$1668,"&gt;"&amp;$G1591)+COUNTIFS($B$4:$B1590,$B1591,$G$4:$G1590,$G1591)+1)</f>
        <v/>
      </c>
      <c r="I1591" s="11">
        <f>IF($G1591="","",IF($H1591&lt;=Points!$H$6,$G1591,0))</f>
        <v/>
      </c>
      <c r="J1591" s="11">
        <f>IF($B1591="","",IF(COUNTIF(Players!$A$2:$A$500,$B1591)=0,"Player is not on the Players tab",IF(NOT(ISNUMBER($C1591)),"Enter a gross score",IF(COUNTIFS($A$5:$A$1668,$A1591,$B$5:$B$1668,$B1591)&gt;1,"Player is listed twice this week",IF(AND($D1591&lt;&gt;"",COUNTIFS($A$5:$A$1668,$A1591,$D$5:$D$1668,$D1591)&gt;1),"Two players picked as "&amp;$D1591,IF(COUNTIFS($A$5:$A$1668,$A1591,$D$5:$D$1668,"Gross winner")=0,"Pick this week's gross winner",IF(COUNTIFS($A$5:$A$1668,$A1591,$D$5:$D$1668,"Net winner")=0,"Pick this week's net winner","OK")))))))</f>
        <v/>
      </c>
    </row>
    <row r="1592" outlineLevel="1">
      <c r="A1592" s="13" t="n">
        <v>46736</v>
      </c>
      <c r="E1592" s="11">
        <f>IF(OR($B1592="",NOT(ISNUMBER($C1592))),"",COUNTIFS($A$5:$A$1668,$A1592,$C$5:$C$1668,"&lt;"&amp;$C1592)+1)</f>
        <v/>
      </c>
      <c r="F1592" s="11">
        <f>IF(OR($B1592="",NOT(ISNUMBER($C1592))),"",COUNTIFS($A$5:$A$1668,$A1592,$C$5:$C$1668,"&gt;0"))</f>
        <v/>
      </c>
      <c r="G1592" s="11">
        <f>IF(OR($B1592="",NOT(ISNUMBER($C1592))),"",IF($D1592&lt;&gt;"",ROUND(Points!$B$6*IF($F1592&lt;Points!$H$4,Points!$H$5,1),0),ROUND(Points!$B$6*IF($F1592&lt;=1,1,Points!$H$7+(1-Points!$H$7)*((($F1592-$E1592)*(($F1592-$E1592)+1)/2)^2-((($F1592-$E1592-COUNTIFS($A$5:$A$1668,$A1592,$C$5:$C$1668,$C1592)+1)-1)*($F1592-$E1592-COUNTIFS($A$5:$A$1668,$A1592,$C$5:$C$1668,$C1592)+1)/2)^2)/(COUNTIFS($A$5:$A$1668,$A1592,$C$5:$C$1668,$C1592)*($F1592-1)^3))*IF($F1592&lt;Points!$H$4,Points!$H$5,1),0)))</f>
        <v/>
      </c>
      <c r="H1592" s="11">
        <f>IF($G1592="","",COUNTIFS($B$5:$B$1668,$B1592,$G$5:$G$1668,"&gt;"&amp;$G1592)+COUNTIFS($B$4:$B1591,$B1592,$G$4:$G1591,$G1592)+1)</f>
        <v/>
      </c>
      <c r="I1592" s="11">
        <f>IF($G1592="","",IF($H1592&lt;=Points!$H$6,$G1592,0))</f>
        <v/>
      </c>
      <c r="J1592" s="11">
        <f>IF($B1592="","",IF(COUNTIF(Players!$A$2:$A$500,$B1592)=0,"Player is not on the Players tab",IF(NOT(ISNUMBER($C1592)),"Enter a gross score",IF(COUNTIFS($A$5:$A$1668,$A1592,$B$5:$B$1668,$B1592)&gt;1,"Player is listed twice this week",IF(AND($D1592&lt;&gt;"",COUNTIFS($A$5:$A$1668,$A1592,$D$5:$D$1668,$D1592)&gt;1),"Two players picked as "&amp;$D1592,IF(COUNTIFS($A$5:$A$1668,$A1592,$D$5:$D$1668,"Gross winner")=0,"Pick this week's gross winner",IF(COUNTIFS($A$5:$A$1668,$A1592,$D$5:$D$1668,"Net winner")=0,"Pick this week's net winner","OK")))))))</f>
        <v/>
      </c>
    </row>
    <row r="1593" outlineLevel="1">
      <c r="A1593" s="13" t="n">
        <v>46736</v>
      </c>
      <c r="E1593" s="11">
        <f>IF(OR($B1593="",NOT(ISNUMBER($C1593))),"",COUNTIFS($A$5:$A$1668,$A1593,$C$5:$C$1668,"&lt;"&amp;$C1593)+1)</f>
        <v/>
      </c>
      <c r="F1593" s="11">
        <f>IF(OR($B1593="",NOT(ISNUMBER($C1593))),"",COUNTIFS($A$5:$A$1668,$A1593,$C$5:$C$1668,"&gt;0"))</f>
        <v/>
      </c>
      <c r="G1593" s="11">
        <f>IF(OR($B1593="",NOT(ISNUMBER($C1593))),"",IF($D1593&lt;&gt;"",ROUND(Points!$B$6*IF($F1593&lt;Points!$H$4,Points!$H$5,1),0),ROUND(Points!$B$6*IF($F1593&lt;=1,1,Points!$H$7+(1-Points!$H$7)*((($F1593-$E1593)*(($F1593-$E1593)+1)/2)^2-((($F1593-$E1593-COUNTIFS($A$5:$A$1668,$A1593,$C$5:$C$1668,$C1593)+1)-1)*($F1593-$E1593-COUNTIFS($A$5:$A$1668,$A1593,$C$5:$C$1668,$C1593)+1)/2)^2)/(COUNTIFS($A$5:$A$1668,$A1593,$C$5:$C$1668,$C1593)*($F1593-1)^3))*IF($F1593&lt;Points!$H$4,Points!$H$5,1),0)))</f>
        <v/>
      </c>
      <c r="H1593" s="11">
        <f>IF($G1593="","",COUNTIFS($B$5:$B$1668,$B1593,$G$5:$G$1668,"&gt;"&amp;$G1593)+COUNTIFS($B$4:$B1592,$B1593,$G$4:$G1592,$G1593)+1)</f>
        <v/>
      </c>
      <c r="I1593" s="11">
        <f>IF($G1593="","",IF($H1593&lt;=Points!$H$6,$G1593,0))</f>
        <v/>
      </c>
      <c r="J1593" s="11">
        <f>IF($B1593="","",IF(COUNTIF(Players!$A$2:$A$500,$B1593)=0,"Player is not on the Players tab",IF(NOT(ISNUMBER($C1593)),"Enter a gross score",IF(COUNTIFS($A$5:$A$1668,$A1593,$B$5:$B$1668,$B1593)&gt;1,"Player is listed twice this week",IF(AND($D1593&lt;&gt;"",COUNTIFS($A$5:$A$1668,$A1593,$D$5:$D$1668,$D1593)&gt;1),"Two players picked as "&amp;$D1593,IF(COUNTIFS($A$5:$A$1668,$A1593,$D$5:$D$1668,"Gross winner")=0,"Pick this week's gross winner",IF(COUNTIFS($A$5:$A$1668,$A1593,$D$5:$D$1668,"Net winner")=0,"Pick this week's net winner","OK")))))))</f>
        <v/>
      </c>
    </row>
    <row r="1594" outlineLevel="1">
      <c r="A1594" s="13" t="n">
        <v>46736</v>
      </c>
      <c r="E1594" s="11">
        <f>IF(OR($B1594="",NOT(ISNUMBER($C1594))),"",COUNTIFS($A$5:$A$1668,$A1594,$C$5:$C$1668,"&lt;"&amp;$C1594)+1)</f>
        <v/>
      </c>
      <c r="F1594" s="11">
        <f>IF(OR($B1594="",NOT(ISNUMBER($C1594))),"",COUNTIFS($A$5:$A$1668,$A1594,$C$5:$C$1668,"&gt;0"))</f>
        <v/>
      </c>
      <c r="G1594" s="11">
        <f>IF(OR($B1594="",NOT(ISNUMBER($C1594))),"",IF($D1594&lt;&gt;"",ROUND(Points!$B$6*IF($F1594&lt;Points!$H$4,Points!$H$5,1),0),ROUND(Points!$B$6*IF($F1594&lt;=1,1,Points!$H$7+(1-Points!$H$7)*((($F1594-$E1594)*(($F1594-$E1594)+1)/2)^2-((($F1594-$E1594-COUNTIFS($A$5:$A$1668,$A1594,$C$5:$C$1668,$C1594)+1)-1)*($F1594-$E1594-COUNTIFS($A$5:$A$1668,$A1594,$C$5:$C$1668,$C1594)+1)/2)^2)/(COUNTIFS($A$5:$A$1668,$A1594,$C$5:$C$1668,$C1594)*($F1594-1)^3))*IF($F1594&lt;Points!$H$4,Points!$H$5,1),0)))</f>
        <v/>
      </c>
      <c r="H1594" s="11">
        <f>IF($G1594="","",COUNTIFS($B$5:$B$1668,$B1594,$G$5:$G$1668,"&gt;"&amp;$G1594)+COUNTIFS($B$4:$B1593,$B1594,$G$4:$G1593,$G1594)+1)</f>
        <v/>
      </c>
      <c r="I1594" s="11">
        <f>IF($G1594="","",IF($H1594&lt;=Points!$H$6,$G1594,0))</f>
        <v/>
      </c>
      <c r="J1594" s="11">
        <f>IF($B1594="","",IF(COUNTIF(Players!$A$2:$A$500,$B1594)=0,"Player is not on the Players tab",IF(NOT(ISNUMBER($C1594)),"Enter a gross score",IF(COUNTIFS($A$5:$A$1668,$A1594,$B$5:$B$1668,$B1594)&gt;1,"Player is listed twice this week",IF(AND($D1594&lt;&gt;"",COUNTIFS($A$5:$A$1668,$A1594,$D$5:$D$1668,$D1594)&gt;1),"Two players picked as "&amp;$D1594,IF(COUNTIFS($A$5:$A$1668,$A1594,$D$5:$D$1668,"Gross winner")=0,"Pick this week's gross winner",IF(COUNTIFS($A$5:$A$1668,$A1594,$D$5:$D$1668,"Net winner")=0,"Pick this week's net winner","OK")))))))</f>
        <v/>
      </c>
    </row>
    <row r="1595" outlineLevel="1">
      <c r="A1595" s="13" t="n">
        <v>46736</v>
      </c>
      <c r="E1595" s="11">
        <f>IF(OR($B1595="",NOT(ISNUMBER($C1595))),"",COUNTIFS($A$5:$A$1668,$A1595,$C$5:$C$1668,"&lt;"&amp;$C1595)+1)</f>
        <v/>
      </c>
      <c r="F1595" s="11">
        <f>IF(OR($B1595="",NOT(ISNUMBER($C1595))),"",COUNTIFS($A$5:$A$1668,$A1595,$C$5:$C$1668,"&gt;0"))</f>
        <v/>
      </c>
      <c r="G1595" s="11">
        <f>IF(OR($B1595="",NOT(ISNUMBER($C1595))),"",IF($D1595&lt;&gt;"",ROUND(Points!$B$6*IF($F1595&lt;Points!$H$4,Points!$H$5,1),0),ROUND(Points!$B$6*IF($F1595&lt;=1,1,Points!$H$7+(1-Points!$H$7)*((($F1595-$E1595)*(($F1595-$E1595)+1)/2)^2-((($F1595-$E1595-COUNTIFS($A$5:$A$1668,$A1595,$C$5:$C$1668,$C1595)+1)-1)*($F1595-$E1595-COUNTIFS($A$5:$A$1668,$A1595,$C$5:$C$1668,$C1595)+1)/2)^2)/(COUNTIFS($A$5:$A$1668,$A1595,$C$5:$C$1668,$C1595)*($F1595-1)^3))*IF($F1595&lt;Points!$H$4,Points!$H$5,1),0)))</f>
        <v/>
      </c>
      <c r="H1595" s="11">
        <f>IF($G1595="","",COUNTIFS($B$5:$B$1668,$B1595,$G$5:$G$1668,"&gt;"&amp;$G1595)+COUNTIFS($B$4:$B1594,$B1595,$G$4:$G1594,$G1595)+1)</f>
        <v/>
      </c>
      <c r="I1595" s="11">
        <f>IF($G1595="","",IF($H1595&lt;=Points!$H$6,$G1595,0))</f>
        <v/>
      </c>
      <c r="J1595" s="11">
        <f>IF($B1595="","",IF(COUNTIF(Players!$A$2:$A$500,$B1595)=0,"Player is not on the Players tab",IF(NOT(ISNUMBER($C1595)),"Enter a gross score",IF(COUNTIFS($A$5:$A$1668,$A1595,$B$5:$B$1668,$B1595)&gt;1,"Player is listed twice this week",IF(AND($D1595&lt;&gt;"",COUNTIFS($A$5:$A$1668,$A1595,$D$5:$D$1668,$D1595)&gt;1),"Two players picked as "&amp;$D1595,IF(COUNTIFS($A$5:$A$1668,$A1595,$D$5:$D$1668,"Gross winner")=0,"Pick this week's gross winner",IF(COUNTIFS($A$5:$A$1668,$A1595,$D$5:$D$1668,"Net winner")=0,"Pick this week's net winner","OK")))))))</f>
        <v/>
      </c>
    </row>
    <row r="1596" outlineLevel="1">
      <c r="A1596" s="13" t="n">
        <v>46736</v>
      </c>
      <c r="E1596" s="11">
        <f>IF(OR($B1596="",NOT(ISNUMBER($C1596))),"",COUNTIFS($A$5:$A$1668,$A1596,$C$5:$C$1668,"&lt;"&amp;$C1596)+1)</f>
        <v/>
      </c>
      <c r="F1596" s="11">
        <f>IF(OR($B1596="",NOT(ISNUMBER($C1596))),"",COUNTIFS($A$5:$A$1668,$A1596,$C$5:$C$1668,"&gt;0"))</f>
        <v/>
      </c>
      <c r="G1596" s="11">
        <f>IF(OR($B1596="",NOT(ISNUMBER($C1596))),"",IF($D1596&lt;&gt;"",ROUND(Points!$B$6*IF($F1596&lt;Points!$H$4,Points!$H$5,1),0),ROUND(Points!$B$6*IF($F1596&lt;=1,1,Points!$H$7+(1-Points!$H$7)*((($F1596-$E1596)*(($F1596-$E1596)+1)/2)^2-((($F1596-$E1596-COUNTIFS($A$5:$A$1668,$A1596,$C$5:$C$1668,$C1596)+1)-1)*($F1596-$E1596-COUNTIFS($A$5:$A$1668,$A1596,$C$5:$C$1668,$C1596)+1)/2)^2)/(COUNTIFS($A$5:$A$1668,$A1596,$C$5:$C$1668,$C1596)*($F1596-1)^3))*IF($F1596&lt;Points!$H$4,Points!$H$5,1),0)))</f>
        <v/>
      </c>
      <c r="H1596" s="11">
        <f>IF($G1596="","",COUNTIFS($B$5:$B$1668,$B1596,$G$5:$G$1668,"&gt;"&amp;$G1596)+COUNTIFS($B$4:$B1595,$B1596,$G$4:$G1595,$G1596)+1)</f>
        <v/>
      </c>
      <c r="I1596" s="11">
        <f>IF($G1596="","",IF($H1596&lt;=Points!$H$6,$G1596,0))</f>
        <v/>
      </c>
      <c r="J1596" s="11">
        <f>IF($B1596="","",IF(COUNTIF(Players!$A$2:$A$500,$B1596)=0,"Player is not on the Players tab",IF(NOT(ISNUMBER($C1596)),"Enter a gross score",IF(COUNTIFS($A$5:$A$1668,$A1596,$B$5:$B$1668,$B1596)&gt;1,"Player is listed twice this week",IF(AND($D1596&lt;&gt;"",COUNTIFS($A$5:$A$1668,$A1596,$D$5:$D$1668,$D1596)&gt;1),"Two players picked as "&amp;$D1596,IF(COUNTIFS($A$5:$A$1668,$A1596,$D$5:$D$1668,"Gross winner")=0,"Pick this week's gross winner",IF(COUNTIFS($A$5:$A$1668,$A1596,$D$5:$D$1668,"Net winner")=0,"Pick this week's net winner","OK")))))))</f>
        <v/>
      </c>
    </row>
    <row r="1597" outlineLevel="1">
      <c r="A1597" s="13" t="n">
        <v>46736</v>
      </c>
      <c r="E1597" s="11">
        <f>IF(OR($B1597="",NOT(ISNUMBER($C1597))),"",COUNTIFS($A$5:$A$1668,$A1597,$C$5:$C$1668,"&lt;"&amp;$C1597)+1)</f>
        <v/>
      </c>
      <c r="F1597" s="11">
        <f>IF(OR($B1597="",NOT(ISNUMBER($C1597))),"",COUNTIFS($A$5:$A$1668,$A1597,$C$5:$C$1668,"&gt;0"))</f>
        <v/>
      </c>
      <c r="G1597" s="11">
        <f>IF(OR($B1597="",NOT(ISNUMBER($C1597))),"",IF($D1597&lt;&gt;"",ROUND(Points!$B$6*IF($F1597&lt;Points!$H$4,Points!$H$5,1),0),ROUND(Points!$B$6*IF($F1597&lt;=1,1,Points!$H$7+(1-Points!$H$7)*((($F1597-$E1597)*(($F1597-$E1597)+1)/2)^2-((($F1597-$E1597-COUNTIFS($A$5:$A$1668,$A1597,$C$5:$C$1668,$C1597)+1)-1)*($F1597-$E1597-COUNTIFS($A$5:$A$1668,$A1597,$C$5:$C$1668,$C1597)+1)/2)^2)/(COUNTIFS($A$5:$A$1668,$A1597,$C$5:$C$1668,$C1597)*($F1597-1)^3))*IF($F1597&lt;Points!$H$4,Points!$H$5,1),0)))</f>
        <v/>
      </c>
      <c r="H1597" s="11">
        <f>IF($G1597="","",COUNTIFS($B$5:$B$1668,$B1597,$G$5:$G$1668,"&gt;"&amp;$G1597)+COUNTIFS($B$4:$B1596,$B1597,$G$4:$G1596,$G1597)+1)</f>
        <v/>
      </c>
      <c r="I1597" s="11">
        <f>IF($G1597="","",IF($H1597&lt;=Points!$H$6,$G1597,0))</f>
        <v/>
      </c>
      <c r="J1597" s="11">
        <f>IF($B1597="","",IF(COUNTIF(Players!$A$2:$A$500,$B1597)=0,"Player is not on the Players tab",IF(NOT(ISNUMBER($C1597)),"Enter a gross score",IF(COUNTIFS($A$5:$A$1668,$A1597,$B$5:$B$1668,$B1597)&gt;1,"Player is listed twice this week",IF(AND($D1597&lt;&gt;"",COUNTIFS($A$5:$A$1668,$A1597,$D$5:$D$1668,$D1597)&gt;1),"Two players picked as "&amp;$D1597,IF(COUNTIFS($A$5:$A$1668,$A1597,$D$5:$D$1668,"Gross winner")=0,"Pick this week's gross winner",IF(COUNTIFS($A$5:$A$1668,$A1597,$D$5:$D$1668,"Net winner")=0,"Pick this week's net winner","OK")))))))</f>
        <v/>
      </c>
    </row>
    <row r="1598" outlineLevel="1">
      <c r="A1598" s="13" t="n">
        <v>46736</v>
      </c>
      <c r="E1598" s="11">
        <f>IF(OR($B1598="",NOT(ISNUMBER($C1598))),"",COUNTIFS($A$5:$A$1668,$A1598,$C$5:$C$1668,"&lt;"&amp;$C1598)+1)</f>
        <v/>
      </c>
      <c r="F1598" s="11">
        <f>IF(OR($B1598="",NOT(ISNUMBER($C1598))),"",COUNTIFS($A$5:$A$1668,$A1598,$C$5:$C$1668,"&gt;0"))</f>
        <v/>
      </c>
      <c r="G1598" s="11">
        <f>IF(OR($B1598="",NOT(ISNUMBER($C1598))),"",IF($D1598&lt;&gt;"",ROUND(Points!$B$6*IF($F1598&lt;Points!$H$4,Points!$H$5,1),0),ROUND(Points!$B$6*IF($F1598&lt;=1,1,Points!$H$7+(1-Points!$H$7)*((($F1598-$E1598)*(($F1598-$E1598)+1)/2)^2-((($F1598-$E1598-COUNTIFS($A$5:$A$1668,$A1598,$C$5:$C$1668,$C1598)+1)-1)*($F1598-$E1598-COUNTIFS($A$5:$A$1668,$A1598,$C$5:$C$1668,$C1598)+1)/2)^2)/(COUNTIFS($A$5:$A$1668,$A1598,$C$5:$C$1668,$C1598)*($F1598-1)^3))*IF($F1598&lt;Points!$H$4,Points!$H$5,1),0)))</f>
        <v/>
      </c>
      <c r="H1598" s="11">
        <f>IF($G1598="","",COUNTIFS($B$5:$B$1668,$B1598,$G$5:$G$1668,"&gt;"&amp;$G1598)+COUNTIFS($B$4:$B1597,$B1598,$G$4:$G1597,$G1598)+1)</f>
        <v/>
      </c>
      <c r="I1598" s="11">
        <f>IF($G1598="","",IF($H1598&lt;=Points!$H$6,$G1598,0))</f>
        <v/>
      </c>
      <c r="J1598" s="11">
        <f>IF($B1598="","",IF(COUNTIF(Players!$A$2:$A$500,$B1598)=0,"Player is not on the Players tab",IF(NOT(ISNUMBER($C1598)),"Enter a gross score",IF(COUNTIFS($A$5:$A$1668,$A1598,$B$5:$B$1668,$B1598)&gt;1,"Player is listed twice this week",IF(AND($D1598&lt;&gt;"",COUNTIFS($A$5:$A$1668,$A1598,$D$5:$D$1668,$D1598)&gt;1),"Two players picked as "&amp;$D1598,IF(COUNTIFS($A$5:$A$1668,$A1598,$D$5:$D$1668,"Gross winner")=0,"Pick this week's gross winner",IF(COUNTIFS($A$5:$A$1668,$A1598,$D$5:$D$1668,"Net winner")=0,"Pick this week's net winner","OK")))))))</f>
        <v/>
      </c>
    </row>
    <row r="1599" outlineLevel="1">
      <c r="A1599" s="13" t="n">
        <v>46736</v>
      </c>
      <c r="E1599" s="11">
        <f>IF(OR($B1599="",NOT(ISNUMBER($C1599))),"",COUNTIFS($A$5:$A$1668,$A1599,$C$5:$C$1668,"&lt;"&amp;$C1599)+1)</f>
        <v/>
      </c>
      <c r="F1599" s="11">
        <f>IF(OR($B1599="",NOT(ISNUMBER($C1599))),"",COUNTIFS($A$5:$A$1668,$A1599,$C$5:$C$1668,"&gt;0"))</f>
        <v/>
      </c>
      <c r="G1599" s="11">
        <f>IF(OR($B1599="",NOT(ISNUMBER($C1599))),"",IF($D1599&lt;&gt;"",ROUND(Points!$B$6*IF($F1599&lt;Points!$H$4,Points!$H$5,1),0),ROUND(Points!$B$6*IF($F1599&lt;=1,1,Points!$H$7+(1-Points!$H$7)*((($F1599-$E1599)*(($F1599-$E1599)+1)/2)^2-((($F1599-$E1599-COUNTIFS($A$5:$A$1668,$A1599,$C$5:$C$1668,$C1599)+1)-1)*($F1599-$E1599-COUNTIFS($A$5:$A$1668,$A1599,$C$5:$C$1668,$C1599)+1)/2)^2)/(COUNTIFS($A$5:$A$1668,$A1599,$C$5:$C$1668,$C1599)*($F1599-1)^3))*IF($F1599&lt;Points!$H$4,Points!$H$5,1),0)))</f>
        <v/>
      </c>
      <c r="H1599" s="11">
        <f>IF($G1599="","",COUNTIFS($B$5:$B$1668,$B1599,$G$5:$G$1668,"&gt;"&amp;$G1599)+COUNTIFS($B$4:$B1598,$B1599,$G$4:$G1598,$G1599)+1)</f>
        <v/>
      </c>
      <c r="I1599" s="11">
        <f>IF($G1599="","",IF($H1599&lt;=Points!$H$6,$G1599,0))</f>
        <v/>
      </c>
      <c r="J1599" s="11">
        <f>IF($B1599="","",IF(COUNTIF(Players!$A$2:$A$500,$B1599)=0,"Player is not on the Players tab",IF(NOT(ISNUMBER($C1599)),"Enter a gross score",IF(COUNTIFS($A$5:$A$1668,$A1599,$B$5:$B$1668,$B1599)&gt;1,"Player is listed twice this week",IF(AND($D1599&lt;&gt;"",COUNTIFS($A$5:$A$1668,$A1599,$D$5:$D$1668,$D1599)&gt;1),"Two players picked as "&amp;$D1599,IF(COUNTIFS($A$5:$A$1668,$A1599,$D$5:$D$1668,"Gross winner")=0,"Pick this week's gross winner",IF(COUNTIFS($A$5:$A$1668,$A1599,$D$5:$D$1668,"Net winner")=0,"Pick this week's net winner","OK")))))))</f>
        <v/>
      </c>
    </row>
    <row r="1600" outlineLevel="1">
      <c r="A1600" s="13" t="n">
        <v>46736</v>
      </c>
      <c r="E1600" s="11">
        <f>IF(OR($B1600="",NOT(ISNUMBER($C1600))),"",COUNTIFS($A$5:$A$1668,$A1600,$C$5:$C$1668,"&lt;"&amp;$C1600)+1)</f>
        <v/>
      </c>
      <c r="F1600" s="11">
        <f>IF(OR($B1600="",NOT(ISNUMBER($C1600))),"",COUNTIFS($A$5:$A$1668,$A1600,$C$5:$C$1668,"&gt;0"))</f>
        <v/>
      </c>
      <c r="G1600" s="11">
        <f>IF(OR($B1600="",NOT(ISNUMBER($C1600))),"",IF($D1600&lt;&gt;"",ROUND(Points!$B$6*IF($F1600&lt;Points!$H$4,Points!$H$5,1),0),ROUND(Points!$B$6*IF($F1600&lt;=1,1,Points!$H$7+(1-Points!$H$7)*((($F1600-$E1600)*(($F1600-$E1600)+1)/2)^2-((($F1600-$E1600-COUNTIFS($A$5:$A$1668,$A1600,$C$5:$C$1668,$C1600)+1)-1)*($F1600-$E1600-COUNTIFS($A$5:$A$1668,$A1600,$C$5:$C$1668,$C1600)+1)/2)^2)/(COUNTIFS($A$5:$A$1668,$A1600,$C$5:$C$1668,$C1600)*($F1600-1)^3))*IF($F1600&lt;Points!$H$4,Points!$H$5,1),0)))</f>
        <v/>
      </c>
      <c r="H1600" s="11">
        <f>IF($G1600="","",COUNTIFS($B$5:$B$1668,$B1600,$G$5:$G$1668,"&gt;"&amp;$G1600)+COUNTIFS($B$4:$B1599,$B1600,$G$4:$G1599,$G1600)+1)</f>
        <v/>
      </c>
      <c r="I1600" s="11">
        <f>IF($G1600="","",IF($H1600&lt;=Points!$H$6,$G1600,0))</f>
        <v/>
      </c>
      <c r="J1600" s="11">
        <f>IF($B1600="","",IF(COUNTIF(Players!$A$2:$A$500,$B1600)=0,"Player is not on the Players tab",IF(NOT(ISNUMBER($C1600)),"Enter a gross score",IF(COUNTIFS($A$5:$A$1668,$A1600,$B$5:$B$1668,$B1600)&gt;1,"Player is listed twice this week",IF(AND($D1600&lt;&gt;"",COUNTIFS($A$5:$A$1668,$A1600,$D$5:$D$1668,$D1600)&gt;1),"Two players picked as "&amp;$D1600,IF(COUNTIFS($A$5:$A$1668,$A1600,$D$5:$D$1668,"Gross winner")=0,"Pick this week's gross winner",IF(COUNTIFS($A$5:$A$1668,$A1600,$D$5:$D$1668,"Net winner")=0,"Pick this week's net winner","OK")))))))</f>
        <v/>
      </c>
    </row>
    <row r="1601" outlineLevel="1">
      <c r="A1601" s="13" t="n">
        <v>46736</v>
      </c>
      <c r="E1601" s="11">
        <f>IF(OR($B1601="",NOT(ISNUMBER($C1601))),"",COUNTIFS($A$5:$A$1668,$A1601,$C$5:$C$1668,"&lt;"&amp;$C1601)+1)</f>
        <v/>
      </c>
      <c r="F1601" s="11">
        <f>IF(OR($B1601="",NOT(ISNUMBER($C1601))),"",COUNTIFS($A$5:$A$1668,$A1601,$C$5:$C$1668,"&gt;0"))</f>
        <v/>
      </c>
      <c r="G1601" s="11">
        <f>IF(OR($B1601="",NOT(ISNUMBER($C1601))),"",IF($D1601&lt;&gt;"",ROUND(Points!$B$6*IF($F1601&lt;Points!$H$4,Points!$H$5,1),0),ROUND(Points!$B$6*IF($F1601&lt;=1,1,Points!$H$7+(1-Points!$H$7)*((($F1601-$E1601)*(($F1601-$E1601)+1)/2)^2-((($F1601-$E1601-COUNTIFS($A$5:$A$1668,$A1601,$C$5:$C$1668,$C1601)+1)-1)*($F1601-$E1601-COUNTIFS($A$5:$A$1668,$A1601,$C$5:$C$1668,$C1601)+1)/2)^2)/(COUNTIFS($A$5:$A$1668,$A1601,$C$5:$C$1668,$C1601)*($F1601-1)^3))*IF($F1601&lt;Points!$H$4,Points!$H$5,1),0)))</f>
        <v/>
      </c>
      <c r="H1601" s="11">
        <f>IF($G1601="","",COUNTIFS($B$5:$B$1668,$B1601,$G$5:$G$1668,"&gt;"&amp;$G1601)+COUNTIFS($B$4:$B1600,$B1601,$G$4:$G1600,$G1601)+1)</f>
        <v/>
      </c>
      <c r="I1601" s="11">
        <f>IF($G1601="","",IF($H1601&lt;=Points!$H$6,$G1601,0))</f>
        <v/>
      </c>
      <c r="J1601" s="11">
        <f>IF($B1601="","",IF(COUNTIF(Players!$A$2:$A$500,$B1601)=0,"Player is not on the Players tab",IF(NOT(ISNUMBER($C1601)),"Enter a gross score",IF(COUNTIFS($A$5:$A$1668,$A1601,$B$5:$B$1668,$B1601)&gt;1,"Player is listed twice this week",IF(AND($D1601&lt;&gt;"",COUNTIFS($A$5:$A$1668,$A1601,$D$5:$D$1668,$D1601)&gt;1),"Two players picked as "&amp;$D1601,IF(COUNTIFS($A$5:$A$1668,$A1601,$D$5:$D$1668,"Gross winner")=0,"Pick this week's gross winner",IF(COUNTIFS($A$5:$A$1668,$A1601,$D$5:$D$1668,"Net winner")=0,"Pick this week's net winner","OK")))))))</f>
        <v/>
      </c>
    </row>
    <row r="1602" outlineLevel="1">
      <c r="A1602" s="13" t="n">
        <v>46736</v>
      </c>
      <c r="E1602" s="11">
        <f>IF(OR($B1602="",NOT(ISNUMBER($C1602))),"",COUNTIFS($A$5:$A$1668,$A1602,$C$5:$C$1668,"&lt;"&amp;$C1602)+1)</f>
        <v/>
      </c>
      <c r="F1602" s="11">
        <f>IF(OR($B1602="",NOT(ISNUMBER($C1602))),"",COUNTIFS($A$5:$A$1668,$A1602,$C$5:$C$1668,"&gt;0"))</f>
        <v/>
      </c>
      <c r="G1602" s="11">
        <f>IF(OR($B1602="",NOT(ISNUMBER($C1602))),"",IF($D1602&lt;&gt;"",ROUND(Points!$B$6*IF($F1602&lt;Points!$H$4,Points!$H$5,1),0),ROUND(Points!$B$6*IF($F1602&lt;=1,1,Points!$H$7+(1-Points!$H$7)*((($F1602-$E1602)*(($F1602-$E1602)+1)/2)^2-((($F1602-$E1602-COUNTIFS($A$5:$A$1668,$A1602,$C$5:$C$1668,$C1602)+1)-1)*($F1602-$E1602-COUNTIFS($A$5:$A$1668,$A1602,$C$5:$C$1668,$C1602)+1)/2)^2)/(COUNTIFS($A$5:$A$1668,$A1602,$C$5:$C$1668,$C1602)*($F1602-1)^3))*IF($F1602&lt;Points!$H$4,Points!$H$5,1),0)))</f>
        <v/>
      </c>
      <c r="H1602" s="11">
        <f>IF($G1602="","",COUNTIFS($B$5:$B$1668,$B1602,$G$5:$G$1668,"&gt;"&amp;$G1602)+COUNTIFS($B$4:$B1601,$B1602,$G$4:$G1601,$G1602)+1)</f>
        <v/>
      </c>
      <c r="I1602" s="11">
        <f>IF($G1602="","",IF($H1602&lt;=Points!$H$6,$G1602,0))</f>
        <v/>
      </c>
      <c r="J1602" s="11">
        <f>IF($B1602="","",IF(COUNTIF(Players!$A$2:$A$500,$B1602)=0,"Player is not on the Players tab",IF(NOT(ISNUMBER($C1602)),"Enter a gross score",IF(COUNTIFS($A$5:$A$1668,$A1602,$B$5:$B$1668,$B1602)&gt;1,"Player is listed twice this week",IF(AND($D1602&lt;&gt;"",COUNTIFS($A$5:$A$1668,$A1602,$D$5:$D$1668,$D1602)&gt;1),"Two players picked as "&amp;$D1602,IF(COUNTIFS($A$5:$A$1668,$A1602,$D$5:$D$1668,"Gross winner")=0,"Pick this week's gross winner",IF(COUNTIFS($A$5:$A$1668,$A1602,$D$5:$D$1668,"Net winner")=0,"Pick this week's net winner","OK")))))))</f>
        <v/>
      </c>
    </row>
    <row r="1603" outlineLevel="1">
      <c r="A1603" s="13" t="n">
        <v>46736</v>
      </c>
      <c r="E1603" s="11">
        <f>IF(OR($B1603="",NOT(ISNUMBER($C1603))),"",COUNTIFS($A$5:$A$1668,$A1603,$C$5:$C$1668,"&lt;"&amp;$C1603)+1)</f>
        <v/>
      </c>
      <c r="F1603" s="11">
        <f>IF(OR($B1603="",NOT(ISNUMBER($C1603))),"",COUNTIFS($A$5:$A$1668,$A1603,$C$5:$C$1668,"&gt;0"))</f>
        <v/>
      </c>
      <c r="G1603" s="11">
        <f>IF(OR($B1603="",NOT(ISNUMBER($C1603))),"",IF($D1603&lt;&gt;"",ROUND(Points!$B$6*IF($F1603&lt;Points!$H$4,Points!$H$5,1),0),ROUND(Points!$B$6*IF($F1603&lt;=1,1,Points!$H$7+(1-Points!$H$7)*((($F1603-$E1603)*(($F1603-$E1603)+1)/2)^2-((($F1603-$E1603-COUNTIFS($A$5:$A$1668,$A1603,$C$5:$C$1668,$C1603)+1)-1)*($F1603-$E1603-COUNTIFS($A$5:$A$1668,$A1603,$C$5:$C$1668,$C1603)+1)/2)^2)/(COUNTIFS($A$5:$A$1668,$A1603,$C$5:$C$1668,$C1603)*($F1603-1)^3))*IF($F1603&lt;Points!$H$4,Points!$H$5,1),0)))</f>
        <v/>
      </c>
      <c r="H1603" s="11">
        <f>IF($G1603="","",COUNTIFS($B$5:$B$1668,$B1603,$G$5:$G$1668,"&gt;"&amp;$G1603)+COUNTIFS($B$4:$B1602,$B1603,$G$4:$G1602,$G1603)+1)</f>
        <v/>
      </c>
      <c r="I1603" s="11">
        <f>IF($G1603="","",IF($H1603&lt;=Points!$H$6,$G1603,0))</f>
        <v/>
      </c>
      <c r="J1603" s="11">
        <f>IF($B1603="","",IF(COUNTIF(Players!$A$2:$A$500,$B1603)=0,"Player is not on the Players tab",IF(NOT(ISNUMBER($C1603)),"Enter a gross score",IF(COUNTIFS($A$5:$A$1668,$A1603,$B$5:$B$1668,$B1603)&gt;1,"Player is listed twice this week",IF(AND($D1603&lt;&gt;"",COUNTIFS($A$5:$A$1668,$A1603,$D$5:$D$1668,$D1603)&gt;1),"Two players picked as "&amp;$D1603,IF(COUNTIFS($A$5:$A$1668,$A1603,$D$5:$D$1668,"Gross winner")=0,"Pick this week's gross winner",IF(COUNTIFS($A$5:$A$1668,$A1603,$D$5:$D$1668,"Net winner")=0,"Pick this week's net winner","OK")))))))</f>
        <v/>
      </c>
    </row>
    <row r="1604" ht="10" customHeight="1"/>
    <row r="1605" ht="22" customHeight="1">
      <c r="A1605" s="12" t="inlineStr">
        <is>
          <t>Week 51  ·  Wednesday, Dec 22</t>
        </is>
      </c>
    </row>
    <row r="1606" outlineLevel="1">
      <c r="A1606" s="13" t="n">
        <v>46743</v>
      </c>
      <c r="E1606" s="11">
        <f>IF(OR($B1606="",NOT(ISNUMBER($C1606))),"",COUNTIFS($A$5:$A$1668,$A1606,$C$5:$C$1668,"&lt;"&amp;$C1606)+1)</f>
        <v/>
      </c>
      <c r="F1606" s="11">
        <f>IF(OR($B1606="",NOT(ISNUMBER($C1606))),"",COUNTIFS($A$5:$A$1668,$A1606,$C$5:$C$1668,"&gt;0"))</f>
        <v/>
      </c>
      <c r="G1606" s="11">
        <f>IF(OR($B1606="",NOT(ISNUMBER($C1606))),"",IF($D1606&lt;&gt;"",ROUND(Points!$B$6*IF($F1606&lt;Points!$H$4,Points!$H$5,1),0),ROUND(Points!$B$6*IF($F1606&lt;=1,1,Points!$H$7+(1-Points!$H$7)*((($F1606-$E1606)*(($F1606-$E1606)+1)/2)^2-((($F1606-$E1606-COUNTIFS($A$5:$A$1668,$A1606,$C$5:$C$1668,$C1606)+1)-1)*($F1606-$E1606-COUNTIFS($A$5:$A$1668,$A1606,$C$5:$C$1668,$C1606)+1)/2)^2)/(COUNTIFS($A$5:$A$1668,$A1606,$C$5:$C$1668,$C1606)*($F1606-1)^3))*IF($F1606&lt;Points!$H$4,Points!$H$5,1),0)))</f>
        <v/>
      </c>
      <c r="H1606" s="11">
        <f>IF($G1606="","",COUNTIFS($B$5:$B$1668,$B1606,$G$5:$G$1668,"&gt;"&amp;$G1606)+COUNTIFS($B$4:$B1605,$B1606,$G$4:$G1605,$G1606)+1)</f>
        <v/>
      </c>
      <c r="I1606" s="11">
        <f>IF($G1606="","",IF($H1606&lt;=Points!$H$6,$G1606,0))</f>
        <v/>
      </c>
      <c r="J1606" s="11">
        <f>IF($B1606="","",IF(COUNTIF(Players!$A$2:$A$500,$B1606)=0,"Player is not on the Players tab",IF(NOT(ISNUMBER($C1606)),"Enter a gross score",IF(COUNTIFS($A$5:$A$1668,$A1606,$B$5:$B$1668,$B1606)&gt;1,"Player is listed twice this week",IF(AND($D1606&lt;&gt;"",COUNTIFS($A$5:$A$1668,$A1606,$D$5:$D$1668,$D1606)&gt;1),"Two players picked as "&amp;$D1606,IF(COUNTIFS($A$5:$A$1668,$A1606,$D$5:$D$1668,"Gross winner")=0,"Pick this week's gross winner",IF(COUNTIFS($A$5:$A$1668,$A1606,$D$5:$D$1668,"Net winner")=0,"Pick this week's net winner","OK")))))))</f>
        <v/>
      </c>
    </row>
    <row r="1607" outlineLevel="1">
      <c r="A1607" s="13" t="n">
        <v>46743</v>
      </c>
      <c r="E1607" s="11">
        <f>IF(OR($B1607="",NOT(ISNUMBER($C1607))),"",COUNTIFS($A$5:$A$1668,$A1607,$C$5:$C$1668,"&lt;"&amp;$C1607)+1)</f>
        <v/>
      </c>
      <c r="F1607" s="11">
        <f>IF(OR($B1607="",NOT(ISNUMBER($C1607))),"",COUNTIFS($A$5:$A$1668,$A1607,$C$5:$C$1668,"&gt;0"))</f>
        <v/>
      </c>
      <c r="G1607" s="11">
        <f>IF(OR($B1607="",NOT(ISNUMBER($C1607))),"",IF($D1607&lt;&gt;"",ROUND(Points!$B$6*IF($F1607&lt;Points!$H$4,Points!$H$5,1),0),ROUND(Points!$B$6*IF($F1607&lt;=1,1,Points!$H$7+(1-Points!$H$7)*((($F1607-$E1607)*(($F1607-$E1607)+1)/2)^2-((($F1607-$E1607-COUNTIFS($A$5:$A$1668,$A1607,$C$5:$C$1668,$C1607)+1)-1)*($F1607-$E1607-COUNTIFS($A$5:$A$1668,$A1607,$C$5:$C$1668,$C1607)+1)/2)^2)/(COUNTIFS($A$5:$A$1668,$A1607,$C$5:$C$1668,$C1607)*($F1607-1)^3))*IF($F1607&lt;Points!$H$4,Points!$H$5,1),0)))</f>
        <v/>
      </c>
      <c r="H1607" s="11">
        <f>IF($G1607="","",COUNTIFS($B$5:$B$1668,$B1607,$G$5:$G$1668,"&gt;"&amp;$G1607)+COUNTIFS($B$4:$B1606,$B1607,$G$4:$G1606,$G1607)+1)</f>
        <v/>
      </c>
      <c r="I1607" s="11">
        <f>IF($G1607="","",IF($H1607&lt;=Points!$H$6,$G1607,0))</f>
        <v/>
      </c>
      <c r="J1607" s="11">
        <f>IF($B1607="","",IF(COUNTIF(Players!$A$2:$A$500,$B1607)=0,"Player is not on the Players tab",IF(NOT(ISNUMBER($C1607)),"Enter a gross score",IF(COUNTIFS($A$5:$A$1668,$A1607,$B$5:$B$1668,$B1607)&gt;1,"Player is listed twice this week",IF(AND($D1607&lt;&gt;"",COUNTIFS($A$5:$A$1668,$A1607,$D$5:$D$1668,$D1607)&gt;1),"Two players picked as "&amp;$D1607,IF(COUNTIFS($A$5:$A$1668,$A1607,$D$5:$D$1668,"Gross winner")=0,"Pick this week's gross winner",IF(COUNTIFS($A$5:$A$1668,$A1607,$D$5:$D$1668,"Net winner")=0,"Pick this week's net winner","OK")))))))</f>
        <v/>
      </c>
    </row>
    <row r="1608" outlineLevel="1">
      <c r="A1608" s="13" t="n">
        <v>46743</v>
      </c>
      <c r="E1608" s="11">
        <f>IF(OR($B1608="",NOT(ISNUMBER($C1608))),"",COUNTIFS($A$5:$A$1668,$A1608,$C$5:$C$1668,"&lt;"&amp;$C1608)+1)</f>
        <v/>
      </c>
      <c r="F1608" s="11">
        <f>IF(OR($B1608="",NOT(ISNUMBER($C1608))),"",COUNTIFS($A$5:$A$1668,$A1608,$C$5:$C$1668,"&gt;0"))</f>
        <v/>
      </c>
      <c r="G1608" s="11">
        <f>IF(OR($B1608="",NOT(ISNUMBER($C1608))),"",IF($D1608&lt;&gt;"",ROUND(Points!$B$6*IF($F1608&lt;Points!$H$4,Points!$H$5,1),0),ROUND(Points!$B$6*IF($F1608&lt;=1,1,Points!$H$7+(1-Points!$H$7)*((($F1608-$E1608)*(($F1608-$E1608)+1)/2)^2-((($F1608-$E1608-COUNTIFS($A$5:$A$1668,$A1608,$C$5:$C$1668,$C1608)+1)-1)*($F1608-$E1608-COUNTIFS($A$5:$A$1668,$A1608,$C$5:$C$1668,$C1608)+1)/2)^2)/(COUNTIFS($A$5:$A$1668,$A1608,$C$5:$C$1668,$C1608)*($F1608-1)^3))*IF($F1608&lt;Points!$H$4,Points!$H$5,1),0)))</f>
        <v/>
      </c>
      <c r="H1608" s="11">
        <f>IF($G1608="","",COUNTIFS($B$5:$B$1668,$B1608,$G$5:$G$1668,"&gt;"&amp;$G1608)+COUNTIFS($B$4:$B1607,$B1608,$G$4:$G1607,$G1608)+1)</f>
        <v/>
      </c>
      <c r="I1608" s="11">
        <f>IF($G1608="","",IF($H1608&lt;=Points!$H$6,$G1608,0))</f>
        <v/>
      </c>
      <c r="J1608" s="11">
        <f>IF($B1608="","",IF(COUNTIF(Players!$A$2:$A$500,$B1608)=0,"Player is not on the Players tab",IF(NOT(ISNUMBER($C1608)),"Enter a gross score",IF(COUNTIFS($A$5:$A$1668,$A1608,$B$5:$B$1668,$B1608)&gt;1,"Player is listed twice this week",IF(AND($D1608&lt;&gt;"",COUNTIFS($A$5:$A$1668,$A1608,$D$5:$D$1668,$D1608)&gt;1),"Two players picked as "&amp;$D1608,IF(COUNTIFS($A$5:$A$1668,$A1608,$D$5:$D$1668,"Gross winner")=0,"Pick this week's gross winner",IF(COUNTIFS($A$5:$A$1668,$A1608,$D$5:$D$1668,"Net winner")=0,"Pick this week's net winner","OK")))))))</f>
        <v/>
      </c>
    </row>
    <row r="1609" outlineLevel="1">
      <c r="A1609" s="13" t="n">
        <v>46743</v>
      </c>
      <c r="E1609" s="11">
        <f>IF(OR($B1609="",NOT(ISNUMBER($C1609))),"",COUNTIFS($A$5:$A$1668,$A1609,$C$5:$C$1668,"&lt;"&amp;$C1609)+1)</f>
        <v/>
      </c>
      <c r="F1609" s="11">
        <f>IF(OR($B1609="",NOT(ISNUMBER($C1609))),"",COUNTIFS($A$5:$A$1668,$A1609,$C$5:$C$1668,"&gt;0"))</f>
        <v/>
      </c>
      <c r="G1609" s="11">
        <f>IF(OR($B1609="",NOT(ISNUMBER($C1609))),"",IF($D1609&lt;&gt;"",ROUND(Points!$B$6*IF($F1609&lt;Points!$H$4,Points!$H$5,1),0),ROUND(Points!$B$6*IF($F1609&lt;=1,1,Points!$H$7+(1-Points!$H$7)*((($F1609-$E1609)*(($F1609-$E1609)+1)/2)^2-((($F1609-$E1609-COUNTIFS($A$5:$A$1668,$A1609,$C$5:$C$1668,$C1609)+1)-1)*($F1609-$E1609-COUNTIFS($A$5:$A$1668,$A1609,$C$5:$C$1668,$C1609)+1)/2)^2)/(COUNTIFS($A$5:$A$1668,$A1609,$C$5:$C$1668,$C1609)*($F1609-1)^3))*IF($F1609&lt;Points!$H$4,Points!$H$5,1),0)))</f>
        <v/>
      </c>
      <c r="H1609" s="11">
        <f>IF($G1609="","",COUNTIFS($B$5:$B$1668,$B1609,$G$5:$G$1668,"&gt;"&amp;$G1609)+COUNTIFS($B$4:$B1608,$B1609,$G$4:$G1608,$G1609)+1)</f>
        <v/>
      </c>
      <c r="I1609" s="11">
        <f>IF($G1609="","",IF($H1609&lt;=Points!$H$6,$G1609,0))</f>
        <v/>
      </c>
      <c r="J1609" s="11">
        <f>IF($B1609="","",IF(COUNTIF(Players!$A$2:$A$500,$B1609)=0,"Player is not on the Players tab",IF(NOT(ISNUMBER($C1609)),"Enter a gross score",IF(COUNTIFS($A$5:$A$1668,$A1609,$B$5:$B$1668,$B1609)&gt;1,"Player is listed twice this week",IF(AND($D1609&lt;&gt;"",COUNTIFS($A$5:$A$1668,$A1609,$D$5:$D$1668,$D1609)&gt;1),"Two players picked as "&amp;$D1609,IF(COUNTIFS($A$5:$A$1668,$A1609,$D$5:$D$1668,"Gross winner")=0,"Pick this week's gross winner",IF(COUNTIFS($A$5:$A$1668,$A1609,$D$5:$D$1668,"Net winner")=0,"Pick this week's net winner","OK")))))))</f>
        <v/>
      </c>
    </row>
    <row r="1610" outlineLevel="1">
      <c r="A1610" s="13" t="n">
        <v>46743</v>
      </c>
      <c r="E1610" s="11">
        <f>IF(OR($B1610="",NOT(ISNUMBER($C1610))),"",COUNTIFS($A$5:$A$1668,$A1610,$C$5:$C$1668,"&lt;"&amp;$C1610)+1)</f>
        <v/>
      </c>
      <c r="F1610" s="11">
        <f>IF(OR($B1610="",NOT(ISNUMBER($C1610))),"",COUNTIFS($A$5:$A$1668,$A1610,$C$5:$C$1668,"&gt;0"))</f>
        <v/>
      </c>
      <c r="G1610" s="11">
        <f>IF(OR($B1610="",NOT(ISNUMBER($C1610))),"",IF($D1610&lt;&gt;"",ROUND(Points!$B$6*IF($F1610&lt;Points!$H$4,Points!$H$5,1),0),ROUND(Points!$B$6*IF($F1610&lt;=1,1,Points!$H$7+(1-Points!$H$7)*((($F1610-$E1610)*(($F1610-$E1610)+1)/2)^2-((($F1610-$E1610-COUNTIFS($A$5:$A$1668,$A1610,$C$5:$C$1668,$C1610)+1)-1)*($F1610-$E1610-COUNTIFS($A$5:$A$1668,$A1610,$C$5:$C$1668,$C1610)+1)/2)^2)/(COUNTIFS($A$5:$A$1668,$A1610,$C$5:$C$1668,$C1610)*($F1610-1)^3))*IF($F1610&lt;Points!$H$4,Points!$H$5,1),0)))</f>
        <v/>
      </c>
      <c r="H1610" s="11">
        <f>IF($G1610="","",COUNTIFS($B$5:$B$1668,$B1610,$G$5:$G$1668,"&gt;"&amp;$G1610)+COUNTIFS($B$4:$B1609,$B1610,$G$4:$G1609,$G1610)+1)</f>
        <v/>
      </c>
      <c r="I1610" s="11">
        <f>IF($G1610="","",IF($H1610&lt;=Points!$H$6,$G1610,0))</f>
        <v/>
      </c>
      <c r="J1610" s="11">
        <f>IF($B1610="","",IF(COUNTIF(Players!$A$2:$A$500,$B1610)=0,"Player is not on the Players tab",IF(NOT(ISNUMBER($C1610)),"Enter a gross score",IF(COUNTIFS($A$5:$A$1668,$A1610,$B$5:$B$1668,$B1610)&gt;1,"Player is listed twice this week",IF(AND($D1610&lt;&gt;"",COUNTIFS($A$5:$A$1668,$A1610,$D$5:$D$1668,$D1610)&gt;1),"Two players picked as "&amp;$D1610,IF(COUNTIFS($A$5:$A$1668,$A1610,$D$5:$D$1668,"Gross winner")=0,"Pick this week's gross winner",IF(COUNTIFS($A$5:$A$1668,$A1610,$D$5:$D$1668,"Net winner")=0,"Pick this week's net winner","OK")))))))</f>
        <v/>
      </c>
    </row>
    <row r="1611" outlineLevel="1">
      <c r="A1611" s="13" t="n">
        <v>46743</v>
      </c>
      <c r="E1611" s="11">
        <f>IF(OR($B1611="",NOT(ISNUMBER($C1611))),"",COUNTIFS($A$5:$A$1668,$A1611,$C$5:$C$1668,"&lt;"&amp;$C1611)+1)</f>
        <v/>
      </c>
      <c r="F1611" s="11">
        <f>IF(OR($B1611="",NOT(ISNUMBER($C1611))),"",COUNTIFS($A$5:$A$1668,$A1611,$C$5:$C$1668,"&gt;0"))</f>
        <v/>
      </c>
      <c r="G1611" s="11">
        <f>IF(OR($B1611="",NOT(ISNUMBER($C1611))),"",IF($D1611&lt;&gt;"",ROUND(Points!$B$6*IF($F1611&lt;Points!$H$4,Points!$H$5,1),0),ROUND(Points!$B$6*IF($F1611&lt;=1,1,Points!$H$7+(1-Points!$H$7)*((($F1611-$E1611)*(($F1611-$E1611)+1)/2)^2-((($F1611-$E1611-COUNTIFS($A$5:$A$1668,$A1611,$C$5:$C$1668,$C1611)+1)-1)*($F1611-$E1611-COUNTIFS($A$5:$A$1668,$A1611,$C$5:$C$1668,$C1611)+1)/2)^2)/(COUNTIFS($A$5:$A$1668,$A1611,$C$5:$C$1668,$C1611)*($F1611-1)^3))*IF($F1611&lt;Points!$H$4,Points!$H$5,1),0)))</f>
        <v/>
      </c>
      <c r="H1611" s="11">
        <f>IF($G1611="","",COUNTIFS($B$5:$B$1668,$B1611,$G$5:$G$1668,"&gt;"&amp;$G1611)+COUNTIFS($B$4:$B1610,$B1611,$G$4:$G1610,$G1611)+1)</f>
        <v/>
      </c>
      <c r="I1611" s="11">
        <f>IF($G1611="","",IF($H1611&lt;=Points!$H$6,$G1611,0))</f>
        <v/>
      </c>
      <c r="J1611" s="11">
        <f>IF($B1611="","",IF(COUNTIF(Players!$A$2:$A$500,$B1611)=0,"Player is not on the Players tab",IF(NOT(ISNUMBER($C1611)),"Enter a gross score",IF(COUNTIFS($A$5:$A$1668,$A1611,$B$5:$B$1668,$B1611)&gt;1,"Player is listed twice this week",IF(AND($D1611&lt;&gt;"",COUNTIFS($A$5:$A$1668,$A1611,$D$5:$D$1668,$D1611)&gt;1),"Two players picked as "&amp;$D1611,IF(COUNTIFS($A$5:$A$1668,$A1611,$D$5:$D$1668,"Gross winner")=0,"Pick this week's gross winner",IF(COUNTIFS($A$5:$A$1668,$A1611,$D$5:$D$1668,"Net winner")=0,"Pick this week's net winner","OK")))))))</f>
        <v/>
      </c>
    </row>
    <row r="1612" outlineLevel="1">
      <c r="A1612" s="13" t="n">
        <v>46743</v>
      </c>
      <c r="E1612" s="11">
        <f>IF(OR($B1612="",NOT(ISNUMBER($C1612))),"",COUNTIFS($A$5:$A$1668,$A1612,$C$5:$C$1668,"&lt;"&amp;$C1612)+1)</f>
        <v/>
      </c>
      <c r="F1612" s="11">
        <f>IF(OR($B1612="",NOT(ISNUMBER($C1612))),"",COUNTIFS($A$5:$A$1668,$A1612,$C$5:$C$1668,"&gt;0"))</f>
        <v/>
      </c>
      <c r="G1612" s="11">
        <f>IF(OR($B1612="",NOT(ISNUMBER($C1612))),"",IF($D1612&lt;&gt;"",ROUND(Points!$B$6*IF($F1612&lt;Points!$H$4,Points!$H$5,1),0),ROUND(Points!$B$6*IF($F1612&lt;=1,1,Points!$H$7+(1-Points!$H$7)*((($F1612-$E1612)*(($F1612-$E1612)+1)/2)^2-((($F1612-$E1612-COUNTIFS($A$5:$A$1668,$A1612,$C$5:$C$1668,$C1612)+1)-1)*($F1612-$E1612-COUNTIFS($A$5:$A$1668,$A1612,$C$5:$C$1668,$C1612)+1)/2)^2)/(COUNTIFS($A$5:$A$1668,$A1612,$C$5:$C$1668,$C1612)*($F1612-1)^3))*IF($F1612&lt;Points!$H$4,Points!$H$5,1),0)))</f>
        <v/>
      </c>
      <c r="H1612" s="11">
        <f>IF($G1612="","",COUNTIFS($B$5:$B$1668,$B1612,$G$5:$G$1668,"&gt;"&amp;$G1612)+COUNTIFS($B$4:$B1611,$B1612,$G$4:$G1611,$G1612)+1)</f>
        <v/>
      </c>
      <c r="I1612" s="11">
        <f>IF($G1612="","",IF($H1612&lt;=Points!$H$6,$G1612,0))</f>
        <v/>
      </c>
      <c r="J1612" s="11">
        <f>IF($B1612="","",IF(COUNTIF(Players!$A$2:$A$500,$B1612)=0,"Player is not on the Players tab",IF(NOT(ISNUMBER($C1612)),"Enter a gross score",IF(COUNTIFS($A$5:$A$1668,$A1612,$B$5:$B$1668,$B1612)&gt;1,"Player is listed twice this week",IF(AND($D1612&lt;&gt;"",COUNTIFS($A$5:$A$1668,$A1612,$D$5:$D$1668,$D1612)&gt;1),"Two players picked as "&amp;$D1612,IF(COUNTIFS($A$5:$A$1668,$A1612,$D$5:$D$1668,"Gross winner")=0,"Pick this week's gross winner",IF(COUNTIFS($A$5:$A$1668,$A1612,$D$5:$D$1668,"Net winner")=0,"Pick this week's net winner","OK")))))))</f>
        <v/>
      </c>
    </row>
    <row r="1613" outlineLevel="1">
      <c r="A1613" s="13" t="n">
        <v>46743</v>
      </c>
      <c r="E1613" s="11">
        <f>IF(OR($B1613="",NOT(ISNUMBER($C1613))),"",COUNTIFS($A$5:$A$1668,$A1613,$C$5:$C$1668,"&lt;"&amp;$C1613)+1)</f>
        <v/>
      </c>
      <c r="F1613" s="11">
        <f>IF(OR($B1613="",NOT(ISNUMBER($C1613))),"",COUNTIFS($A$5:$A$1668,$A1613,$C$5:$C$1668,"&gt;0"))</f>
        <v/>
      </c>
      <c r="G1613" s="11">
        <f>IF(OR($B1613="",NOT(ISNUMBER($C1613))),"",IF($D1613&lt;&gt;"",ROUND(Points!$B$6*IF($F1613&lt;Points!$H$4,Points!$H$5,1),0),ROUND(Points!$B$6*IF($F1613&lt;=1,1,Points!$H$7+(1-Points!$H$7)*((($F1613-$E1613)*(($F1613-$E1613)+1)/2)^2-((($F1613-$E1613-COUNTIFS($A$5:$A$1668,$A1613,$C$5:$C$1668,$C1613)+1)-1)*($F1613-$E1613-COUNTIFS($A$5:$A$1668,$A1613,$C$5:$C$1668,$C1613)+1)/2)^2)/(COUNTIFS($A$5:$A$1668,$A1613,$C$5:$C$1668,$C1613)*($F1613-1)^3))*IF($F1613&lt;Points!$H$4,Points!$H$5,1),0)))</f>
        <v/>
      </c>
      <c r="H1613" s="11">
        <f>IF($G1613="","",COUNTIFS($B$5:$B$1668,$B1613,$G$5:$G$1668,"&gt;"&amp;$G1613)+COUNTIFS($B$4:$B1612,$B1613,$G$4:$G1612,$G1613)+1)</f>
        <v/>
      </c>
      <c r="I1613" s="11">
        <f>IF($G1613="","",IF($H1613&lt;=Points!$H$6,$G1613,0))</f>
        <v/>
      </c>
      <c r="J1613" s="11">
        <f>IF($B1613="","",IF(COUNTIF(Players!$A$2:$A$500,$B1613)=0,"Player is not on the Players tab",IF(NOT(ISNUMBER($C1613)),"Enter a gross score",IF(COUNTIFS($A$5:$A$1668,$A1613,$B$5:$B$1668,$B1613)&gt;1,"Player is listed twice this week",IF(AND($D1613&lt;&gt;"",COUNTIFS($A$5:$A$1668,$A1613,$D$5:$D$1668,$D1613)&gt;1),"Two players picked as "&amp;$D1613,IF(COUNTIFS($A$5:$A$1668,$A1613,$D$5:$D$1668,"Gross winner")=0,"Pick this week's gross winner",IF(COUNTIFS($A$5:$A$1668,$A1613,$D$5:$D$1668,"Net winner")=0,"Pick this week's net winner","OK")))))))</f>
        <v/>
      </c>
    </row>
    <row r="1614" outlineLevel="1">
      <c r="A1614" s="13" t="n">
        <v>46743</v>
      </c>
      <c r="E1614" s="11">
        <f>IF(OR($B1614="",NOT(ISNUMBER($C1614))),"",COUNTIFS($A$5:$A$1668,$A1614,$C$5:$C$1668,"&lt;"&amp;$C1614)+1)</f>
        <v/>
      </c>
      <c r="F1614" s="11">
        <f>IF(OR($B1614="",NOT(ISNUMBER($C1614))),"",COUNTIFS($A$5:$A$1668,$A1614,$C$5:$C$1668,"&gt;0"))</f>
        <v/>
      </c>
      <c r="G1614" s="11">
        <f>IF(OR($B1614="",NOT(ISNUMBER($C1614))),"",IF($D1614&lt;&gt;"",ROUND(Points!$B$6*IF($F1614&lt;Points!$H$4,Points!$H$5,1),0),ROUND(Points!$B$6*IF($F1614&lt;=1,1,Points!$H$7+(1-Points!$H$7)*((($F1614-$E1614)*(($F1614-$E1614)+1)/2)^2-((($F1614-$E1614-COUNTIFS($A$5:$A$1668,$A1614,$C$5:$C$1668,$C1614)+1)-1)*($F1614-$E1614-COUNTIFS($A$5:$A$1668,$A1614,$C$5:$C$1668,$C1614)+1)/2)^2)/(COUNTIFS($A$5:$A$1668,$A1614,$C$5:$C$1668,$C1614)*($F1614-1)^3))*IF($F1614&lt;Points!$H$4,Points!$H$5,1),0)))</f>
        <v/>
      </c>
      <c r="H1614" s="11">
        <f>IF($G1614="","",COUNTIFS($B$5:$B$1668,$B1614,$G$5:$G$1668,"&gt;"&amp;$G1614)+COUNTIFS($B$4:$B1613,$B1614,$G$4:$G1613,$G1614)+1)</f>
        <v/>
      </c>
      <c r="I1614" s="11">
        <f>IF($G1614="","",IF($H1614&lt;=Points!$H$6,$G1614,0))</f>
        <v/>
      </c>
      <c r="J1614" s="11">
        <f>IF($B1614="","",IF(COUNTIF(Players!$A$2:$A$500,$B1614)=0,"Player is not on the Players tab",IF(NOT(ISNUMBER($C1614)),"Enter a gross score",IF(COUNTIFS($A$5:$A$1668,$A1614,$B$5:$B$1668,$B1614)&gt;1,"Player is listed twice this week",IF(AND($D1614&lt;&gt;"",COUNTIFS($A$5:$A$1668,$A1614,$D$5:$D$1668,$D1614)&gt;1),"Two players picked as "&amp;$D1614,IF(COUNTIFS($A$5:$A$1668,$A1614,$D$5:$D$1668,"Gross winner")=0,"Pick this week's gross winner",IF(COUNTIFS($A$5:$A$1668,$A1614,$D$5:$D$1668,"Net winner")=0,"Pick this week's net winner","OK")))))))</f>
        <v/>
      </c>
    </row>
    <row r="1615" outlineLevel="1">
      <c r="A1615" s="13" t="n">
        <v>46743</v>
      </c>
      <c r="E1615" s="11">
        <f>IF(OR($B1615="",NOT(ISNUMBER($C1615))),"",COUNTIFS($A$5:$A$1668,$A1615,$C$5:$C$1668,"&lt;"&amp;$C1615)+1)</f>
        <v/>
      </c>
      <c r="F1615" s="11">
        <f>IF(OR($B1615="",NOT(ISNUMBER($C1615))),"",COUNTIFS($A$5:$A$1668,$A1615,$C$5:$C$1668,"&gt;0"))</f>
        <v/>
      </c>
      <c r="G1615" s="11">
        <f>IF(OR($B1615="",NOT(ISNUMBER($C1615))),"",IF($D1615&lt;&gt;"",ROUND(Points!$B$6*IF($F1615&lt;Points!$H$4,Points!$H$5,1),0),ROUND(Points!$B$6*IF($F1615&lt;=1,1,Points!$H$7+(1-Points!$H$7)*((($F1615-$E1615)*(($F1615-$E1615)+1)/2)^2-((($F1615-$E1615-COUNTIFS($A$5:$A$1668,$A1615,$C$5:$C$1668,$C1615)+1)-1)*($F1615-$E1615-COUNTIFS($A$5:$A$1668,$A1615,$C$5:$C$1668,$C1615)+1)/2)^2)/(COUNTIFS($A$5:$A$1668,$A1615,$C$5:$C$1668,$C1615)*($F1615-1)^3))*IF($F1615&lt;Points!$H$4,Points!$H$5,1),0)))</f>
        <v/>
      </c>
      <c r="H1615" s="11">
        <f>IF($G1615="","",COUNTIFS($B$5:$B$1668,$B1615,$G$5:$G$1668,"&gt;"&amp;$G1615)+COUNTIFS($B$4:$B1614,$B1615,$G$4:$G1614,$G1615)+1)</f>
        <v/>
      </c>
      <c r="I1615" s="11">
        <f>IF($G1615="","",IF($H1615&lt;=Points!$H$6,$G1615,0))</f>
        <v/>
      </c>
      <c r="J1615" s="11">
        <f>IF($B1615="","",IF(COUNTIF(Players!$A$2:$A$500,$B1615)=0,"Player is not on the Players tab",IF(NOT(ISNUMBER($C1615)),"Enter a gross score",IF(COUNTIFS($A$5:$A$1668,$A1615,$B$5:$B$1668,$B1615)&gt;1,"Player is listed twice this week",IF(AND($D1615&lt;&gt;"",COUNTIFS($A$5:$A$1668,$A1615,$D$5:$D$1668,$D1615)&gt;1),"Two players picked as "&amp;$D1615,IF(COUNTIFS($A$5:$A$1668,$A1615,$D$5:$D$1668,"Gross winner")=0,"Pick this week's gross winner",IF(COUNTIFS($A$5:$A$1668,$A1615,$D$5:$D$1668,"Net winner")=0,"Pick this week's net winner","OK")))))))</f>
        <v/>
      </c>
    </row>
    <row r="1616" outlineLevel="1">
      <c r="A1616" s="13" t="n">
        <v>46743</v>
      </c>
      <c r="E1616" s="11">
        <f>IF(OR($B1616="",NOT(ISNUMBER($C1616))),"",COUNTIFS($A$5:$A$1668,$A1616,$C$5:$C$1668,"&lt;"&amp;$C1616)+1)</f>
        <v/>
      </c>
      <c r="F1616" s="11">
        <f>IF(OR($B1616="",NOT(ISNUMBER($C1616))),"",COUNTIFS($A$5:$A$1668,$A1616,$C$5:$C$1668,"&gt;0"))</f>
        <v/>
      </c>
      <c r="G1616" s="11">
        <f>IF(OR($B1616="",NOT(ISNUMBER($C1616))),"",IF($D1616&lt;&gt;"",ROUND(Points!$B$6*IF($F1616&lt;Points!$H$4,Points!$H$5,1),0),ROUND(Points!$B$6*IF($F1616&lt;=1,1,Points!$H$7+(1-Points!$H$7)*((($F1616-$E1616)*(($F1616-$E1616)+1)/2)^2-((($F1616-$E1616-COUNTIFS($A$5:$A$1668,$A1616,$C$5:$C$1668,$C1616)+1)-1)*($F1616-$E1616-COUNTIFS($A$5:$A$1668,$A1616,$C$5:$C$1668,$C1616)+1)/2)^2)/(COUNTIFS($A$5:$A$1668,$A1616,$C$5:$C$1668,$C1616)*($F1616-1)^3))*IF($F1616&lt;Points!$H$4,Points!$H$5,1),0)))</f>
        <v/>
      </c>
      <c r="H1616" s="11">
        <f>IF($G1616="","",COUNTIFS($B$5:$B$1668,$B1616,$G$5:$G$1668,"&gt;"&amp;$G1616)+COUNTIFS($B$4:$B1615,$B1616,$G$4:$G1615,$G1616)+1)</f>
        <v/>
      </c>
      <c r="I1616" s="11">
        <f>IF($G1616="","",IF($H1616&lt;=Points!$H$6,$G1616,0))</f>
        <v/>
      </c>
      <c r="J1616" s="11">
        <f>IF($B1616="","",IF(COUNTIF(Players!$A$2:$A$500,$B1616)=0,"Player is not on the Players tab",IF(NOT(ISNUMBER($C1616)),"Enter a gross score",IF(COUNTIFS($A$5:$A$1668,$A1616,$B$5:$B$1668,$B1616)&gt;1,"Player is listed twice this week",IF(AND($D1616&lt;&gt;"",COUNTIFS($A$5:$A$1668,$A1616,$D$5:$D$1668,$D1616)&gt;1),"Two players picked as "&amp;$D1616,IF(COUNTIFS($A$5:$A$1668,$A1616,$D$5:$D$1668,"Gross winner")=0,"Pick this week's gross winner",IF(COUNTIFS($A$5:$A$1668,$A1616,$D$5:$D$1668,"Net winner")=0,"Pick this week's net winner","OK")))))))</f>
        <v/>
      </c>
    </row>
    <row r="1617" outlineLevel="1">
      <c r="A1617" s="13" t="n">
        <v>46743</v>
      </c>
      <c r="E1617" s="11">
        <f>IF(OR($B1617="",NOT(ISNUMBER($C1617))),"",COUNTIFS($A$5:$A$1668,$A1617,$C$5:$C$1668,"&lt;"&amp;$C1617)+1)</f>
        <v/>
      </c>
      <c r="F1617" s="11">
        <f>IF(OR($B1617="",NOT(ISNUMBER($C1617))),"",COUNTIFS($A$5:$A$1668,$A1617,$C$5:$C$1668,"&gt;0"))</f>
        <v/>
      </c>
      <c r="G1617" s="11">
        <f>IF(OR($B1617="",NOT(ISNUMBER($C1617))),"",IF($D1617&lt;&gt;"",ROUND(Points!$B$6*IF($F1617&lt;Points!$H$4,Points!$H$5,1),0),ROUND(Points!$B$6*IF($F1617&lt;=1,1,Points!$H$7+(1-Points!$H$7)*((($F1617-$E1617)*(($F1617-$E1617)+1)/2)^2-((($F1617-$E1617-COUNTIFS($A$5:$A$1668,$A1617,$C$5:$C$1668,$C1617)+1)-1)*($F1617-$E1617-COUNTIFS($A$5:$A$1668,$A1617,$C$5:$C$1668,$C1617)+1)/2)^2)/(COUNTIFS($A$5:$A$1668,$A1617,$C$5:$C$1668,$C1617)*($F1617-1)^3))*IF($F1617&lt;Points!$H$4,Points!$H$5,1),0)))</f>
        <v/>
      </c>
      <c r="H1617" s="11">
        <f>IF($G1617="","",COUNTIFS($B$5:$B$1668,$B1617,$G$5:$G$1668,"&gt;"&amp;$G1617)+COUNTIFS($B$4:$B1616,$B1617,$G$4:$G1616,$G1617)+1)</f>
        <v/>
      </c>
      <c r="I1617" s="11">
        <f>IF($G1617="","",IF($H1617&lt;=Points!$H$6,$G1617,0))</f>
        <v/>
      </c>
      <c r="J1617" s="11">
        <f>IF($B1617="","",IF(COUNTIF(Players!$A$2:$A$500,$B1617)=0,"Player is not on the Players tab",IF(NOT(ISNUMBER($C1617)),"Enter a gross score",IF(COUNTIFS($A$5:$A$1668,$A1617,$B$5:$B$1668,$B1617)&gt;1,"Player is listed twice this week",IF(AND($D1617&lt;&gt;"",COUNTIFS($A$5:$A$1668,$A1617,$D$5:$D$1668,$D1617)&gt;1),"Two players picked as "&amp;$D1617,IF(COUNTIFS($A$5:$A$1668,$A1617,$D$5:$D$1668,"Gross winner")=0,"Pick this week's gross winner",IF(COUNTIFS($A$5:$A$1668,$A1617,$D$5:$D$1668,"Net winner")=0,"Pick this week's net winner","OK")))))))</f>
        <v/>
      </c>
    </row>
    <row r="1618" outlineLevel="1">
      <c r="A1618" s="13" t="n">
        <v>46743</v>
      </c>
      <c r="E1618" s="11">
        <f>IF(OR($B1618="",NOT(ISNUMBER($C1618))),"",COUNTIFS($A$5:$A$1668,$A1618,$C$5:$C$1668,"&lt;"&amp;$C1618)+1)</f>
        <v/>
      </c>
      <c r="F1618" s="11">
        <f>IF(OR($B1618="",NOT(ISNUMBER($C1618))),"",COUNTIFS($A$5:$A$1668,$A1618,$C$5:$C$1668,"&gt;0"))</f>
        <v/>
      </c>
      <c r="G1618" s="11">
        <f>IF(OR($B1618="",NOT(ISNUMBER($C1618))),"",IF($D1618&lt;&gt;"",ROUND(Points!$B$6*IF($F1618&lt;Points!$H$4,Points!$H$5,1),0),ROUND(Points!$B$6*IF($F1618&lt;=1,1,Points!$H$7+(1-Points!$H$7)*((($F1618-$E1618)*(($F1618-$E1618)+1)/2)^2-((($F1618-$E1618-COUNTIFS($A$5:$A$1668,$A1618,$C$5:$C$1668,$C1618)+1)-1)*($F1618-$E1618-COUNTIFS($A$5:$A$1668,$A1618,$C$5:$C$1668,$C1618)+1)/2)^2)/(COUNTIFS($A$5:$A$1668,$A1618,$C$5:$C$1668,$C1618)*($F1618-1)^3))*IF($F1618&lt;Points!$H$4,Points!$H$5,1),0)))</f>
        <v/>
      </c>
      <c r="H1618" s="11">
        <f>IF($G1618="","",COUNTIFS($B$5:$B$1668,$B1618,$G$5:$G$1668,"&gt;"&amp;$G1618)+COUNTIFS($B$4:$B1617,$B1618,$G$4:$G1617,$G1618)+1)</f>
        <v/>
      </c>
      <c r="I1618" s="11">
        <f>IF($G1618="","",IF($H1618&lt;=Points!$H$6,$G1618,0))</f>
        <v/>
      </c>
      <c r="J1618" s="11">
        <f>IF($B1618="","",IF(COUNTIF(Players!$A$2:$A$500,$B1618)=0,"Player is not on the Players tab",IF(NOT(ISNUMBER($C1618)),"Enter a gross score",IF(COUNTIFS($A$5:$A$1668,$A1618,$B$5:$B$1668,$B1618)&gt;1,"Player is listed twice this week",IF(AND($D1618&lt;&gt;"",COUNTIFS($A$5:$A$1668,$A1618,$D$5:$D$1668,$D1618)&gt;1),"Two players picked as "&amp;$D1618,IF(COUNTIFS($A$5:$A$1668,$A1618,$D$5:$D$1668,"Gross winner")=0,"Pick this week's gross winner",IF(COUNTIFS($A$5:$A$1668,$A1618,$D$5:$D$1668,"Net winner")=0,"Pick this week's net winner","OK")))))))</f>
        <v/>
      </c>
    </row>
    <row r="1619" outlineLevel="1">
      <c r="A1619" s="13" t="n">
        <v>46743</v>
      </c>
      <c r="E1619" s="11">
        <f>IF(OR($B1619="",NOT(ISNUMBER($C1619))),"",COUNTIFS($A$5:$A$1668,$A1619,$C$5:$C$1668,"&lt;"&amp;$C1619)+1)</f>
        <v/>
      </c>
      <c r="F1619" s="11">
        <f>IF(OR($B1619="",NOT(ISNUMBER($C1619))),"",COUNTIFS($A$5:$A$1668,$A1619,$C$5:$C$1668,"&gt;0"))</f>
        <v/>
      </c>
      <c r="G1619" s="11">
        <f>IF(OR($B1619="",NOT(ISNUMBER($C1619))),"",IF($D1619&lt;&gt;"",ROUND(Points!$B$6*IF($F1619&lt;Points!$H$4,Points!$H$5,1),0),ROUND(Points!$B$6*IF($F1619&lt;=1,1,Points!$H$7+(1-Points!$H$7)*((($F1619-$E1619)*(($F1619-$E1619)+1)/2)^2-((($F1619-$E1619-COUNTIFS($A$5:$A$1668,$A1619,$C$5:$C$1668,$C1619)+1)-1)*($F1619-$E1619-COUNTIFS($A$5:$A$1668,$A1619,$C$5:$C$1668,$C1619)+1)/2)^2)/(COUNTIFS($A$5:$A$1668,$A1619,$C$5:$C$1668,$C1619)*($F1619-1)^3))*IF($F1619&lt;Points!$H$4,Points!$H$5,1),0)))</f>
        <v/>
      </c>
      <c r="H1619" s="11">
        <f>IF($G1619="","",COUNTIFS($B$5:$B$1668,$B1619,$G$5:$G$1668,"&gt;"&amp;$G1619)+COUNTIFS($B$4:$B1618,$B1619,$G$4:$G1618,$G1619)+1)</f>
        <v/>
      </c>
      <c r="I1619" s="11">
        <f>IF($G1619="","",IF($H1619&lt;=Points!$H$6,$G1619,0))</f>
        <v/>
      </c>
      <c r="J1619" s="11">
        <f>IF($B1619="","",IF(COUNTIF(Players!$A$2:$A$500,$B1619)=0,"Player is not on the Players tab",IF(NOT(ISNUMBER($C1619)),"Enter a gross score",IF(COUNTIFS($A$5:$A$1668,$A1619,$B$5:$B$1668,$B1619)&gt;1,"Player is listed twice this week",IF(AND($D1619&lt;&gt;"",COUNTIFS($A$5:$A$1668,$A1619,$D$5:$D$1668,$D1619)&gt;1),"Two players picked as "&amp;$D1619,IF(COUNTIFS($A$5:$A$1668,$A1619,$D$5:$D$1668,"Gross winner")=0,"Pick this week's gross winner",IF(COUNTIFS($A$5:$A$1668,$A1619,$D$5:$D$1668,"Net winner")=0,"Pick this week's net winner","OK")))))))</f>
        <v/>
      </c>
    </row>
    <row r="1620" outlineLevel="1">
      <c r="A1620" s="13" t="n">
        <v>46743</v>
      </c>
      <c r="E1620" s="11">
        <f>IF(OR($B1620="",NOT(ISNUMBER($C1620))),"",COUNTIFS($A$5:$A$1668,$A1620,$C$5:$C$1668,"&lt;"&amp;$C1620)+1)</f>
        <v/>
      </c>
      <c r="F1620" s="11">
        <f>IF(OR($B1620="",NOT(ISNUMBER($C1620))),"",COUNTIFS($A$5:$A$1668,$A1620,$C$5:$C$1668,"&gt;0"))</f>
        <v/>
      </c>
      <c r="G1620" s="11">
        <f>IF(OR($B1620="",NOT(ISNUMBER($C1620))),"",IF($D1620&lt;&gt;"",ROUND(Points!$B$6*IF($F1620&lt;Points!$H$4,Points!$H$5,1),0),ROUND(Points!$B$6*IF($F1620&lt;=1,1,Points!$H$7+(1-Points!$H$7)*((($F1620-$E1620)*(($F1620-$E1620)+1)/2)^2-((($F1620-$E1620-COUNTIFS($A$5:$A$1668,$A1620,$C$5:$C$1668,$C1620)+1)-1)*($F1620-$E1620-COUNTIFS($A$5:$A$1668,$A1620,$C$5:$C$1668,$C1620)+1)/2)^2)/(COUNTIFS($A$5:$A$1668,$A1620,$C$5:$C$1668,$C1620)*($F1620-1)^3))*IF($F1620&lt;Points!$H$4,Points!$H$5,1),0)))</f>
        <v/>
      </c>
      <c r="H1620" s="11">
        <f>IF($G1620="","",COUNTIFS($B$5:$B$1668,$B1620,$G$5:$G$1668,"&gt;"&amp;$G1620)+COUNTIFS($B$4:$B1619,$B1620,$G$4:$G1619,$G1620)+1)</f>
        <v/>
      </c>
      <c r="I1620" s="11">
        <f>IF($G1620="","",IF($H1620&lt;=Points!$H$6,$G1620,0))</f>
        <v/>
      </c>
      <c r="J1620" s="11">
        <f>IF($B1620="","",IF(COUNTIF(Players!$A$2:$A$500,$B1620)=0,"Player is not on the Players tab",IF(NOT(ISNUMBER($C1620)),"Enter a gross score",IF(COUNTIFS($A$5:$A$1668,$A1620,$B$5:$B$1668,$B1620)&gt;1,"Player is listed twice this week",IF(AND($D1620&lt;&gt;"",COUNTIFS($A$5:$A$1668,$A1620,$D$5:$D$1668,$D1620)&gt;1),"Two players picked as "&amp;$D1620,IF(COUNTIFS($A$5:$A$1668,$A1620,$D$5:$D$1668,"Gross winner")=0,"Pick this week's gross winner",IF(COUNTIFS($A$5:$A$1668,$A1620,$D$5:$D$1668,"Net winner")=0,"Pick this week's net winner","OK")))))))</f>
        <v/>
      </c>
    </row>
    <row r="1621" outlineLevel="1">
      <c r="A1621" s="13" t="n">
        <v>46743</v>
      </c>
      <c r="E1621" s="11">
        <f>IF(OR($B1621="",NOT(ISNUMBER($C1621))),"",COUNTIFS($A$5:$A$1668,$A1621,$C$5:$C$1668,"&lt;"&amp;$C1621)+1)</f>
        <v/>
      </c>
      <c r="F1621" s="11">
        <f>IF(OR($B1621="",NOT(ISNUMBER($C1621))),"",COUNTIFS($A$5:$A$1668,$A1621,$C$5:$C$1668,"&gt;0"))</f>
        <v/>
      </c>
      <c r="G1621" s="11">
        <f>IF(OR($B1621="",NOT(ISNUMBER($C1621))),"",IF($D1621&lt;&gt;"",ROUND(Points!$B$6*IF($F1621&lt;Points!$H$4,Points!$H$5,1),0),ROUND(Points!$B$6*IF($F1621&lt;=1,1,Points!$H$7+(1-Points!$H$7)*((($F1621-$E1621)*(($F1621-$E1621)+1)/2)^2-((($F1621-$E1621-COUNTIFS($A$5:$A$1668,$A1621,$C$5:$C$1668,$C1621)+1)-1)*($F1621-$E1621-COUNTIFS($A$5:$A$1668,$A1621,$C$5:$C$1668,$C1621)+1)/2)^2)/(COUNTIFS($A$5:$A$1668,$A1621,$C$5:$C$1668,$C1621)*($F1621-1)^3))*IF($F1621&lt;Points!$H$4,Points!$H$5,1),0)))</f>
        <v/>
      </c>
      <c r="H1621" s="11">
        <f>IF($G1621="","",COUNTIFS($B$5:$B$1668,$B1621,$G$5:$G$1668,"&gt;"&amp;$G1621)+COUNTIFS($B$4:$B1620,$B1621,$G$4:$G1620,$G1621)+1)</f>
        <v/>
      </c>
      <c r="I1621" s="11">
        <f>IF($G1621="","",IF($H1621&lt;=Points!$H$6,$G1621,0))</f>
        <v/>
      </c>
      <c r="J1621" s="11">
        <f>IF($B1621="","",IF(COUNTIF(Players!$A$2:$A$500,$B1621)=0,"Player is not on the Players tab",IF(NOT(ISNUMBER($C1621)),"Enter a gross score",IF(COUNTIFS($A$5:$A$1668,$A1621,$B$5:$B$1668,$B1621)&gt;1,"Player is listed twice this week",IF(AND($D1621&lt;&gt;"",COUNTIFS($A$5:$A$1668,$A1621,$D$5:$D$1668,$D1621)&gt;1),"Two players picked as "&amp;$D1621,IF(COUNTIFS($A$5:$A$1668,$A1621,$D$5:$D$1668,"Gross winner")=0,"Pick this week's gross winner",IF(COUNTIFS($A$5:$A$1668,$A1621,$D$5:$D$1668,"Net winner")=0,"Pick this week's net winner","OK")))))))</f>
        <v/>
      </c>
    </row>
    <row r="1622" outlineLevel="1">
      <c r="A1622" s="13" t="n">
        <v>46743</v>
      </c>
      <c r="E1622" s="11">
        <f>IF(OR($B1622="",NOT(ISNUMBER($C1622))),"",COUNTIFS($A$5:$A$1668,$A1622,$C$5:$C$1668,"&lt;"&amp;$C1622)+1)</f>
        <v/>
      </c>
      <c r="F1622" s="11">
        <f>IF(OR($B1622="",NOT(ISNUMBER($C1622))),"",COUNTIFS($A$5:$A$1668,$A1622,$C$5:$C$1668,"&gt;0"))</f>
        <v/>
      </c>
      <c r="G1622" s="11">
        <f>IF(OR($B1622="",NOT(ISNUMBER($C1622))),"",IF($D1622&lt;&gt;"",ROUND(Points!$B$6*IF($F1622&lt;Points!$H$4,Points!$H$5,1),0),ROUND(Points!$B$6*IF($F1622&lt;=1,1,Points!$H$7+(1-Points!$H$7)*((($F1622-$E1622)*(($F1622-$E1622)+1)/2)^2-((($F1622-$E1622-COUNTIFS($A$5:$A$1668,$A1622,$C$5:$C$1668,$C1622)+1)-1)*($F1622-$E1622-COUNTIFS($A$5:$A$1668,$A1622,$C$5:$C$1668,$C1622)+1)/2)^2)/(COUNTIFS($A$5:$A$1668,$A1622,$C$5:$C$1668,$C1622)*($F1622-1)^3))*IF($F1622&lt;Points!$H$4,Points!$H$5,1),0)))</f>
        <v/>
      </c>
      <c r="H1622" s="11">
        <f>IF($G1622="","",COUNTIFS($B$5:$B$1668,$B1622,$G$5:$G$1668,"&gt;"&amp;$G1622)+COUNTIFS($B$4:$B1621,$B1622,$G$4:$G1621,$G1622)+1)</f>
        <v/>
      </c>
      <c r="I1622" s="11">
        <f>IF($G1622="","",IF($H1622&lt;=Points!$H$6,$G1622,0))</f>
        <v/>
      </c>
      <c r="J1622" s="11">
        <f>IF($B1622="","",IF(COUNTIF(Players!$A$2:$A$500,$B1622)=0,"Player is not on the Players tab",IF(NOT(ISNUMBER($C1622)),"Enter a gross score",IF(COUNTIFS($A$5:$A$1668,$A1622,$B$5:$B$1668,$B1622)&gt;1,"Player is listed twice this week",IF(AND($D1622&lt;&gt;"",COUNTIFS($A$5:$A$1668,$A1622,$D$5:$D$1668,$D1622)&gt;1),"Two players picked as "&amp;$D1622,IF(COUNTIFS($A$5:$A$1668,$A1622,$D$5:$D$1668,"Gross winner")=0,"Pick this week's gross winner",IF(COUNTIFS($A$5:$A$1668,$A1622,$D$5:$D$1668,"Net winner")=0,"Pick this week's net winner","OK")))))))</f>
        <v/>
      </c>
    </row>
    <row r="1623" outlineLevel="1">
      <c r="A1623" s="13" t="n">
        <v>46743</v>
      </c>
      <c r="E1623" s="11">
        <f>IF(OR($B1623="",NOT(ISNUMBER($C1623))),"",COUNTIFS($A$5:$A$1668,$A1623,$C$5:$C$1668,"&lt;"&amp;$C1623)+1)</f>
        <v/>
      </c>
      <c r="F1623" s="11">
        <f>IF(OR($B1623="",NOT(ISNUMBER($C1623))),"",COUNTIFS($A$5:$A$1668,$A1623,$C$5:$C$1668,"&gt;0"))</f>
        <v/>
      </c>
      <c r="G1623" s="11">
        <f>IF(OR($B1623="",NOT(ISNUMBER($C1623))),"",IF($D1623&lt;&gt;"",ROUND(Points!$B$6*IF($F1623&lt;Points!$H$4,Points!$H$5,1),0),ROUND(Points!$B$6*IF($F1623&lt;=1,1,Points!$H$7+(1-Points!$H$7)*((($F1623-$E1623)*(($F1623-$E1623)+1)/2)^2-((($F1623-$E1623-COUNTIFS($A$5:$A$1668,$A1623,$C$5:$C$1668,$C1623)+1)-1)*($F1623-$E1623-COUNTIFS($A$5:$A$1668,$A1623,$C$5:$C$1668,$C1623)+1)/2)^2)/(COUNTIFS($A$5:$A$1668,$A1623,$C$5:$C$1668,$C1623)*($F1623-1)^3))*IF($F1623&lt;Points!$H$4,Points!$H$5,1),0)))</f>
        <v/>
      </c>
      <c r="H1623" s="11">
        <f>IF($G1623="","",COUNTIFS($B$5:$B$1668,$B1623,$G$5:$G$1668,"&gt;"&amp;$G1623)+COUNTIFS($B$4:$B1622,$B1623,$G$4:$G1622,$G1623)+1)</f>
        <v/>
      </c>
      <c r="I1623" s="11">
        <f>IF($G1623="","",IF($H1623&lt;=Points!$H$6,$G1623,0))</f>
        <v/>
      </c>
      <c r="J1623" s="11">
        <f>IF($B1623="","",IF(COUNTIF(Players!$A$2:$A$500,$B1623)=0,"Player is not on the Players tab",IF(NOT(ISNUMBER($C1623)),"Enter a gross score",IF(COUNTIFS($A$5:$A$1668,$A1623,$B$5:$B$1668,$B1623)&gt;1,"Player is listed twice this week",IF(AND($D1623&lt;&gt;"",COUNTIFS($A$5:$A$1668,$A1623,$D$5:$D$1668,$D1623)&gt;1),"Two players picked as "&amp;$D1623,IF(COUNTIFS($A$5:$A$1668,$A1623,$D$5:$D$1668,"Gross winner")=0,"Pick this week's gross winner",IF(COUNTIFS($A$5:$A$1668,$A1623,$D$5:$D$1668,"Net winner")=0,"Pick this week's net winner","OK")))))))</f>
        <v/>
      </c>
    </row>
    <row r="1624" outlineLevel="1">
      <c r="A1624" s="13" t="n">
        <v>46743</v>
      </c>
      <c r="E1624" s="11">
        <f>IF(OR($B1624="",NOT(ISNUMBER($C1624))),"",COUNTIFS($A$5:$A$1668,$A1624,$C$5:$C$1668,"&lt;"&amp;$C1624)+1)</f>
        <v/>
      </c>
      <c r="F1624" s="11">
        <f>IF(OR($B1624="",NOT(ISNUMBER($C1624))),"",COUNTIFS($A$5:$A$1668,$A1624,$C$5:$C$1668,"&gt;0"))</f>
        <v/>
      </c>
      <c r="G1624" s="11">
        <f>IF(OR($B1624="",NOT(ISNUMBER($C1624))),"",IF($D1624&lt;&gt;"",ROUND(Points!$B$6*IF($F1624&lt;Points!$H$4,Points!$H$5,1),0),ROUND(Points!$B$6*IF($F1624&lt;=1,1,Points!$H$7+(1-Points!$H$7)*((($F1624-$E1624)*(($F1624-$E1624)+1)/2)^2-((($F1624-$E1624-COUNTIFS($A$5:$A$1668,$A1624,$C$5:$C$1668,$C1624)+1)-1)*($F1624-$E1624-COUNTIFS($A$5:$A$1668,$A1624,$C$5:$C$1668,$C1624)+1)/2)^2)/(COUNTIFS($A$5:$A$1668,$A1624,$C$5:$C$1668,$C1624)*($F1624-1)^3))*IF($F1624&lt;Points!$H$4,Points!$H$5,1),0)))</f>
        <v/>
      </c>
      <c r="H1624" s="11">
        <f>IF($G1624="","",COUNTIFS($B$5:$B$1668,$B1624,$G$5:$G$1668,"&gt;"&amp;$G1624)+COUNTIFS($B$4:$B1623,$B1624,$G$4:$G1623,$G1624)+1)</f>
        <v/>
      </c>
      <c r="I1624" s="11">
        <f>IF($G1624="","",IF($H1624&lt;=Points!$H$6,$G1624,0))</f>
        <v/>
      </c>
      <c r="J1624" s="11">
        <f>IF($B1624="","",IF(COUNTIF(Players!$A$2:$A$500,$B1624)=0,"Player is not on the Players tab",IF(NOT(ISNUMBER($C1624)),"Enter a gross score",IF(COUNTIFS($A$5:$A$1668,$A1624,$B$5:$B$1668,$B1624)&gt;1,"Player is listed twice this week",IF(AND($D1624&lt;&gt;"",COUNTIFS($A$5:$A$1668,$A1624,$D$5:$D$1668,$D1624)&gt;1),"Two players picked as "&amp;$D1624,IF(COUNTIFS($A$5:$A$1668,$A1624,$D$5:$D$1668,"Gross winner")=0,"Pick this week's gross winner",IF(COUNTIFS($A$5:$A$1668,$A1624,$D$5:$D$1668,"Net winner")=0,"Pick this week's net winner","OK")))))))</f>
        <v/>
      </c>
    </row>
    <row r="1625" outlineLevel="1">
      <c r="A1625" s="13" t="n">
        <v>46743</v>
      </c>
      <c r="E1625" s="11">
        <f>IF(OR($B1625="",NOT(ISNUMBER($C1625))),"",COUNTIFS($A$5:$A$1668,$A1625,$C$5:$C$1668,"&lt;"&amp;$C1625)+1)</f>
        <v/>
      </c>
      <c r="F1625" s="11">
        <f>IF(OR($B1625="",NOT(ISNUMBER($C1625))),"",COUNTIFS($A$5:$A$1668,$A1625,$C$5:$C$1668,"&gt;0"))</f>
        <v/>
      </c>
      <c r="G1625" s="11">
        <f>IF(OR($B1625="",NOT(ISNUMBER($C1625))),"",IF($D1625&lt;&gt;"",ROUND(Points!$B$6*IF($F1625&lt;Points!$H$4,Points!$H$5,1),0),ROUND(Points!$B$6*IF($F1625&lt;=1,1,Points!$H$7+(1-Points!$H$7)*((($F1625-$E1625)*(($F1625-$E1625)+1)/2)^2-((($F1625-$E1625-COUNTIFS($A$5:$A$1668,$A1625,$C$5:$C$1668,$C1625)+1)-1)*($F1625-$E1625-COUNTIFS($A$5:$A$1668,$A1625,$C$5:$C$1668,$C1625)+1)/2)^2)/(COUNTIFS($A$5:$A$1668,$A1625,$C$5:$C$1668,$C1625)*($F1625-1)^3))*IF($F1625&lt;Points!$H$4,Points!$H$5,1),0)))</f>
        <v/>
      </c>
      <c r="H1625" s="11">
        <f>IF($G1625="","",COUNTIFS($B$5:$B$1668,$B1625,$G$5:$G$1668,"&gt;"&amp;$G1625)+COUNTIFS($B$4:$B1624,$B1625,$G$4:$G1624,$G1625)+1)</f>
        <v/>
      </c>
      <c r="I1625" s="11">
        <f>IF($G1625="","",IF($H1625&lt;=Points!$H$6,$G1625,0))</f>
        <v/>
      </c>
      <c r="J1625" s="11">
        <f>IF($B1625="","",IF(COUNTIF(Players!$A$2:$A$500,$B1625)=0,"Player is not on the Players tab",IF(NOT(ISNUMBER($C1625)),"Enter a gross score",IF(COUNTIFS($A$5:$A$1668,$A1625,$B$5:$B$1668,$B1625)&gt;1,"Player is listed twice this week",IF(AND($D1625&lt;&gt;"",COUNTIFS($A$5:$A$1668,$A1625,$D$5:$D$1668,$D1625)&gt;1),"Two players picked as "&amp;$D1625,IF(COUNTIFS($A$5:$A$1668,$A1625,$D$5:$D$1668,"Gross winner")=0,"Pick this week's gross winner",IF(COUNTIFS($A$5:$A$1668,$A1625,$D$5:$D$1668,"Net winner")=0,"Pick this week's net winner","OK")))))))</f>
        <v/>
      </c>
    </row>
    <row r="1626" outlineLevel="1">
      <c r="A1626" s="13" t="n">
        <v>46743</v>
      </c>
      <c r="E1626" s="11">
        <f>IF(OR($B1626="",NOT(ISNUMBER($C1626))),"",COUNTIFS($A$5:$A$1668,$A1626,$C$5:$C$1668,"&lt;"&amp;$C1626)+1)</f>
        <v/>
      </c>
      <c r="F1626" s="11">
        <f>IF(OR($B1626="",NOT(ISNUMBER($C1626))),"",COUNTIFS($A$5:$A$1668,$A1626,$C$5:$C$1668,"&gt;0"))</f>
        <v/>
      </c>
      <c r="G1626" s="11">
        <f>IF(OR($B1626="",NOT(ISNUMBER($C1626))),"",IF($D1626&lt;&gt;"",ROUND(Points!$B$6*IF($F1626&lt;Points!$H$4,Points!$H$5,1),0),ROUND(Points!$B$6*IF($F1626&lt;=1,1,Points!$H$7+(1-Points!$H$7)*((($F1626-$E1626)*(($F1626-$E1626)+1)/2)^2-((($F1626-$E1626-COUNTIFS($A$5:$A$1668,$A1626,$C$5:$C$1668,$C1626)+1)-1)*($F1626-$E1626-COUNTIFS($A$5:$A$1668,$A1626,$C$5:$C$1668,$C1626)+1)/2)^2)/(COUNTIFS($A$5:$A$1668,$A1626,$C$5:$C$1668,$C1626)*($F1626-1)^3))*IF($F1626&lt;Points!$H$4,Points!$H$5,1),0)))</f>
        <v/>
      </c>
      <c r="H1626" s="11">
        <f>IF($G1626="","",COUNTIFS($B$5:$B$1668,$B1626,$G$5:$G$1668,"&gt;"&amp;$G1626)+COUNTIFS($B$4:$B1625,$B1626,$G$4:$G1625,$G1626)+1)</f>
        <v/>
      </c>
      <c r="I1626" s="11">
        <f>IF($G1626="","",IF($H1626&lt;=Points!$H$6,$G1626,0))</f>
        <v/>
      </c>
      <c r="J1626" s="11">
        <f>IF($B1626="","",IF(COUNTIF(Players!$A$2:$A$500,$B1626)=0,"Player is not on the Players tab",IF(NOT(ISNUMBER($C1626)),"Enter a gross score",IF(COUNTIFS($A$5:$A$1668,$A1626,$B$5:$B$1668,$B1626)&gt;1,"Player is listed twice this week",IF(AND($D1626&lt;&gt;"",COUNTIFS($A$5:$A$1668,$A1626,$D$5:$D$1668,$D1626)&gt;1),"Two players picked as "&amp;$D1626,IF(COUNTIFS($A$5:$A$1668,$A1626,$D$5:$D$1668,"Gross winner")=0,"Pick this week's gross winner",IF(COUNTIFS($A$5:$A$1668,$A1626,$D$5:$D$1668,"Net winner")=0,"Pick this week's net winner","OK")))))))</f>
        <v/>
      </c>
    </row>
    <row r="1627" outlineLevel="1">
      <c r="A1627" s="13" t="n">
        <v>46743</v>
      </c>
      <c r="E1627" s="11">
        <f>IF(OR($B1627="",NOT(ISNUMBER($C1627))),"",COUNTIFS($A$5:$A$1668,$A1627,$C$5:$C$1668,"&lt;"&amp;$C1627)+1)</f>
        <v/>
      </c>
      <c r="F1627" s="11">
        <f>IF(OR($B1627="",NOT(ISNUMBER($C1627))),"",COUNTIFS($A$5:$A$1668,$A1627,$C$5:$C$1668,"&gt;0"))</f>
        <v/>
      </c>
      <c r="G1627" s="11">
        <f>IF(OR($B1627="",NOT(ISNUMBER($C1627))),"",IF($D1627&lt;&gt;"",ROUND(Points!$B$6*IF($F1627&lt;Points!$H$4,Points!$H$5,1),0),ROUND(Points!$B$6*IF($F1627&lt;=1,1,Points!$H$7+(1-Points!$H$7)*((($F1627-$E1627)*(($F1627-$E1627)+1)/2)^2-((($F1627-$E1627-COUNTIFS($A$5:$A$1668,$A1627,$C$5:$C$1668,$C1627)+1)-1)*($F1627-$E1627-COUNTIFS($A$5:$A$1668,$A1627,$C$5:$C$1668,$C1627)+1)/2)^2)/(COUNTIFS($A$5:$A$1668,$A1627,$C$5:$C$1668,$C1627)*($F1627-1)^3))*IF($F1627&lt;Points!$H$4,Points!$H$5,1),0)))</f>
        <v/>
      </c>
      <c r="H1627" s="11">
        <f>IF($G1627="","",COUNTIFS($B$5:$B$1668,$B1627,$G$5:$G$1668,"&gt;"&amp;$G1627)+COUNTIFS($B$4:$B1626,$B1627,$G$4:$G1626,$G1627)+1)</f>
        <v/>
      </c>
      <c r="I1627" s="11">
        <f>IF($G1627="","",IF($H1627&lt;=Points!$H$6,$G1627,0))</f>
        <v/>
      </c>
      <c r="J1627" s="11">
        <f>IF($B1627="","",IF(COUNTIF(Players!$A$2:$A$500,$B1627)=0,"Player is not on the Players tab",IF(NOT(ISNUMBER($C1627)),"Enter a gross score",IF(COUNTIFS($A$5:$A$1668,$A1627,$B$5:$B$1668,$B1627)&gt;1,"Player is listed twice this week",IF(AND($D1627&lt;&gt;"",COUNTIFS($A$5:$A$1668,$A1627,$D$5:$D$1668,$D1627)&gt;1),"Two players picked as "&amp;$D1627,IF(COUNTIFS($A$5:$A$1668,$A1627,$D$5:$D$1668,"Gross winner")=0,"Pick this week's gross winner",IF(COUNTIFS($A$5:$A$1668,$A1627,$D$5:$D$1668,"Net winner")=0,"Pick this week's net winner","OK")))))))</f>
        <v/>
      </c>
    </row>
    <row r="1628" outlineLevel="1">
      <c r="A1628" s="13" t="n">
        <v>46743</v>
      </c>
      <c r="E1628" s="11">
        <f>IF(OR($B1628="",NOT(ISNUMBER($C1628))),"",COUNTIFS($A$5:$A$1668,$A1628,$C$5:$C$1668,"&lt;"&amp;$C1628)+1)</f>
        <v/>
      </c>
      <c r="F1628" s="11">
        <f>IF(OR($B1628="",NOT(ISNUMBER($C1628))),"",COUNTIFS($A$5:$A$1668,$A1628,$C$5:$C$1668,"&gt;0"))</f>
        <v/>
      </c>
      <c r="G1628" s="11">
        <f>IF(OR($B1628="",NOT(ISNUMBER($C1628))),"",IF($D1628&lt;&gt;"",ROUND(Points!$B$6*IF($F1628&lt;Points!$H$4,Points!$H$5,1),0),ROUND(Points!$B$6*IF($F1628&lt;=1,1,Points!$H$7+(1-Points!$H$7)*((($F1628-$E1628)*(($F1628-$E1628)+1)/2)^2-((($F1628-$E1628-COUNTIFS($A$5:$A$1668,$A1628,$C$5:$C$1668,$C1628)+1)-1)*($F1628-$E1628-COUNTIFS($A$5:$A$1668,$A1628,$C$5:$C$1668,$C1628)+1)/2)^2)/(COUNTIFS($A$5:$A$1668,$A1628,$C$5:$C$1668,$C1628)*($F1628-1)^3))*IF($F1628&lt;Points!$H$4,Points!$H$5,1),0)))</f>
        <v/>
      </c>
      <c r="H1628" s="11">
        <f>IF($G1628="","",COUNTIFS($B$5:$B$1668,$B1628,$G$5:$G$1668,"&gt;"&amp;$G1628)+COUNTIFS($B$4:$B1627,$B1628,$G$4:$G1627,$G1628)+1)</f>
        <v/>
      </c>
      <c r="I1628" s="11">
        <f>IF($G1628="","",IF($H1628&lt;=Points!$H$6,$G1628,0))</f>
        <v/>
      </c>
      <c r="J1628" s="11">
        <f>IF($B1628="","",IF(COUNTIF(Players!$A$2:$A$500,$B1628)=0,"Player is not on the Players tab",IF(NOT(ISNUMBER($C1628)),"Enter a gross score",IF(COUNTIFS($A$5:$A$1668,$A1628,$B$5:$B$1668,$B1628)&gt;1,"Player is listed twice this week",IF(AND($D1628&lt;&gt;"",COUNTIFS($A$5:$A$1668,$A1628,$D$5:$D$1668,$D1628)&gt;1),"Two players picked as "&amp;$D1628,IF(COUNTIFS($A$5:$A$1668,$A1628,$D$5:$D$1668,"Gross winner")=0,"Pick this week's gross winner",IF(COUNTIFS($A$5:$A$1668,$A1628,$D$5:$D$1668,"Net winner")=0,"Pick this week's net winner","OK")))))))</f>
        <v/>
      </c>
    </row>
    <row r="1629" outlineLevel="1">
      <c r="A1629" s="13" t="n">
        <v>46743</v>
      </c>
      <c r="E1629" s="11">
        <f>IF(OR($B1629="",NOT(ISNUMBER($C1629))),"",COUNTIFS($A$5:$A$1668,$A1629,$C$5:$C$1668,"&lt;"&amp;$C1629)+1)</f>
        <v/>
      </c>
      <c r="F1629" s="11">
        <f>IF(OR($B1629="",NOT(ISNUMBER($C1629))),"",COUNTIFS($A$5:$A$1668,$A1629,$C$5:$C$1668,"&gt;0"))</f>
        <v/>
      </c>
      <c r="G1629" s="11">
        <f>IF(OR($B1629="",NOT(ISNUMBER($C1629))),"",IF($D1629&lt;&gt;"",ROUND(Points!$B$6*IF($F1629&lt;Points!$H$4,Points!$H$5,1),0),ROUND(Points!$B$6*IF($F1629&lt;=1,1,Points!$H$7+(1-Points!$H$7)*((($F1629-$E1629)*(($F1629-$E1629)+1)/2)^2-((($F1629-$E1629-COUNTIFS($A$5:$A$1668,$A1629,$C$5:$C$1668,$C1629)+1)-1)*($F1629-$E1629-COUNTIFS($A$5:$A$1668,$A1629,$C$5:$C$1668,$C1629)+1)/2)^2)/(COUNTIFS($A$5:$A$1668,$A1629,$C$5:$C$1668,$C1629)*($F1629-1)^3))*IF($F1629&lt;Points!$H$4,Points!$H$5,1),0)))</f>
        <v/>
      </c>
      <c r="H1629" s="11">
        <f>IF($G1629="","",COUNTIFS($B$5:$B$1668,$B1629,$G$5:$G$1668,"&gt;"&amp;$G1629)+COUNTIFS($B$4:$B1628,$B1629,$G$4:$G1628,$G1629)+1)</f>
        <v/>
      </c>
      <c r="I1629" s="11">
        <f>IF($G1629="","",IF($H1629&lt;=Points!$H$6,$G1629,0))</f>
        <v/>
      </c>
      <c r="J1629" s="11">
        <f>IF($B1629="","",IF(COUNTIF(Players!$A$2:$A$500,$B1629)=0,"Player is not on the Players tab",IF(NOT(ISNUMBER($C1629)),"Enter a gross score",IF(COUNTIFS($A$5:$A$1668,$A1629,$B$5:$B$1668,$B1629)&gt;1,"Player is listed twice this week",IF(AND($D1629&lt;&gt;"",COUNTIFS($A$5:$A$1668,$A1629,$D$5:$D$1668,$D1629)&gt;1),"Two players picked as "&amp;$D1629,IF(COUNTIFS($A$5:$A$1668,$A1629,$D$5:$D$1668,"Gross winner")=0,"Pick this week's gross winner",IF(COUNTIFS($A$5:$A$1668,$A1629,$D$5:$D$1668,"Net winner")=0,"Pick this week's net winner","OK")))))))</f>
        <v/>
      </c>
    </row>
    <row r="1630" outlineLevel="1">
      <c r="A1630" s="13" t="n">
        <v>46743</v>
      </c>
      <c r="E1630" s="11">
        <f>IF(OR($B1630="",NOT(ISNUMBER($C1630))),"",COUNTIFS($A$5:$A$1668,$A1630,$C$5:$C$1668,"&lt;"&amp;$C1630)+1)</f>
        <v/>
      </c>
      <c r="F1630" s="11">
        <f>IF(OR($B1630="",NOT(ISNUMBER($C1630))),"",COUNTIFS($A$5:$A$1668,$A1630,$C$5:$C$1668,"&gt;0"))</f>
        <v/>
      </c>
      <c r="G1630" s="11">
        <f>IF(OR($B1630="",NOT(ISNUMBER($C1630))),"",IF($D1630&lt;&gt;"",ROUND(Points!$B$6*IF($F1630&lt;Points!$H$4,Points!$H$5,1),0),ROUND(Points!$B$6*IF($F1630&lt;=1,1,Points!$H$7+(1-Points!$H$7)*((($F1630-$E1630)*(($F1630-$E1630)+1)/2)^2-((($F1630-$E1630-COUNTIFS($A$5:$A$1668,$A1630,$C$5:$C$1668,$C1630)+1)-1)*($F1630-$E1630-COUNTIFS($A$5:$A$1668,$A1630,$C$5:$C$1668,$C1630)+1)/2)^2)/(COUNTIFS($A$5:$A$1668,$A1630,$C$5:$C$1668,$C1630)*($F1630-1)^3))*IF($F1630&lt;Points!$H$4,Points!$H$5,1),0)))</f>
        <v/>
      </c>
      <c r="H1630" s="11">
        <f>IF($G1630="","",COUNTIFS($B$5:$B$1668,$B1630,$G$5:$G$1668,"&gt;"&amp;$G1630)+COUNTIFS($B$4:$B1629,$B1630,$G$4:$G1629,$G1630)+1)</f>
        <v/>
      </c>
      <c r="I1630" s="11">
        <f>IF($G1630="","",IF($H1630&lt;=Points!$H$6,$G1630,0))</f>
        <v/>
      </c>
      <c r="J1630" s="11">
        <f>IF($B1630="","",IF(COUNTIF(Players!$A$2:$A$500,$B1630)=0,"Player is not on the Players tab",IF(NOT(ISNUMBER($C1630)),"Enter a gross score",IF(COUNTIFS($A$5:$A$1668,$A1630,$B$5:$B$1668,$B1630)&gt;1,"Player is listed twice this week",IF(AND($D1630&lt;&gt;"",COUNTIFS($A$5:$A$1668,$A1630,$D$5:$D$1668,$D1630)&gt;1),"Two players picked as "&amp;$D1630,IF(COUNTIFS($A$5:$A$1668,$A1630,$D$5:$D$1668,"Gross winner")=0,"Pick this week's gross winner",IF(COUNTIFS($A$5:$A$1668,$A1630,$D$5:$D$1668,"Net winner")=0,"Pick this week's net winner","OK")))))))</f>
        <v/>
      </c>
    </row>
    <row r="1631" outlineLevel="1">
      <c r="A1631" s="13" t="n">
        <v>46743</v>
      </c>
      <c r="E1631" s="11">
        <f>IF(OR($B1631="",NOT(ISNUMBER($C1631))),"",COUNTIFS($A$5:$A$1668,$A1631,$C$5:$C$1668,"&lt;"&amp;$C1631)+1)</f>
        <v/>
      </c>
      <c r="F1631" s="11">
        <f>IF(OR($B1631="",NOT(ISNUMBER($C1631))),"",COUNTIFS($A$5:$A$1668,$A1631,$C$5:$C$1668,"&gt;0"))</f>
        <v/>
      </c>
      <c r="G1631" s="11">
        <f>IF(OR($B1631="",NOT(ISNUMBER($C1631))),"",IF($D1631&lt;&gt;"",ROUND(Points!$B$6*IF($F1631&lt;Points!$H$4,Points!$H$5,1),0),ROUND(Points!$B$6*IF($F1631&lt;=1,1,Points!$H$7+(1-Points!$H$7)*((($F1631-$E1631)*(($F1631-$E1631)+1)/2)^2-((($F1631-$E1631-COUNTIFS($A$5:$A$1668,$A1631,$C$5:$C$1668,$C1631)+1)-1)*($F1631-$E1631-COUNTIFS($A$5:$A$1668,$A1631,$C$5:$C$1668,$C1631)+1)/2)^2)/(COUNTIFS($A$5:$A$1668,$A1631,$C$5:$C$1668,$C1631)*($F1631-1)^3))*IF($F1631&lt;Points!$H$4,Points!$H$5,1),0)))</f>
        <v/>
      </c>
      <c r="H1631" s="11">
        <f>IF($G1631="","",COUNTIFS($B$5:$B$1668,$B1631,$G$5:$G$1668,"&gt;"&amp;$G1631)+COUNTIFS($B$4:$B1630,$B1631,$G$4:$G1630,$G1631)+1)</f>
        <v/>
      </c>
      <c r="I1631" s="11">
        <f>IF($G1631="","",IF($H1631&lt;=Points!$H$6,$G1631,0))</f>
        <v/>
      </c>
      <c r="J1631" s="11">
        <f>IF($B1631="","",IF(COUNTIF(Players!$A$2:$A$500,$B1631)=0,"Player is not on the Players tab",IF(NOT(ISNUMBER($C1631)),"Enter a gross score",IF(COUNTIFS($A$5:$A$1668,$A1631,$B$5:$B$1668,$B1631)&gt;1,"Player is listed twice this week",IF(AND($D1631&lt;&gt;"",COUNTIFS($A$5:$A$1668,$A1631,$D$5:$D$1668,$D1631)&gt;1),"Two players picked as "&amp;$D1631,IF(COUNTIFS($A$5:$A$1668,$A1631,$D$5:$D$1668,"Gross winner")=0,"Pick this week's gross winner",IF(COUNTIFS($A$5:$A$1668,$A1631,$D$5:$D$1668,"Net winner")=0,"Pick this week's net winner","OK")))))))</f>
        <v/>
      </c>
    </row>
    <row r="1632" outlineLevel="1">
      <c r="A1632" s="13" t="n">
        <v>46743</v>
      </c>
      <c r="E1632" s="11">
        <f>IF(OR($B1632="",NOT(ISNUMBER($C1632))),"",COUNTIFS($A$5:$A$1668,$A1632,$C$5:$C$1668,"&lt;"&amp;$C1632)+1)</f>
        <v/>
      </c>
      <c r="F1632" s="11">
        <f>IF(OR($B1632="",NOT(ISNUMBER($C1632))),"",COUNTIFS($A$5:$A$1668,$A1632,$C$5:$C$1668,"&gt;0"))</f>
        <v/>
      </c>
      <c r="G1632" s="11">
        <f>IF(OR($B1632="",NOT(ISNUMBER($C1632))),"",IF($D1632&lt;&gt;"",ROUND(Points!$B$6*IF($F1632&lt;Points!$H$4,Points!$H$5,1),0),ROUND(Points!$B$6*IF($F1632&lt;=1,1,Points!$H$7+(1-Points!$H$7)*((($F1632-$E1632)*(($F1632-$E1632)+1)/2)^2-((($F1632-$E1632-COUNTIFS($A$5:$A$1668,$A1632,$C$5:$C$1668,$C1632)+1)-1)*($F1632-$E1632-COUNTIFS($A$5:$A$1668,$A1632,$C$5:$C$1668,$C1632)+1)/2)^2)/(COUNTIFS($A$5:$A$1668,$A1632,$C$5:$C$1668,$C1632)*($F1632-1)^3))*IF($F1632&lt;Points!$H$4,Points!$H$5,1),0)))</f>
        <v/>
      </c>
      <c r="H1632" s="11">
        <f>IF($G1632="","",COUNTIFS($B$5:$B$1668,$B1632,$G$5:$G$1668,"&gt;"&amp;$G1632)+COUNTIFS($B$4:$B1631,$B1632,$G$4:$G1631,$G1632)+1)</f>
        <v/>
      </c>
      <c r="I1632" s="11">
        <f>IF($G1632="","",IF($H1632&lt;=Points!$H$6,$G1632,0))</f>
        <v/>
      </c>
      <c r="J1632" s="11">
        <f>IF($B1632="","",IF(COUNTIF(Players!$A$2:$A$500,$B1632)=0,"Player is not on the Players tab",IF(NOT(ISNUMBER($C1632)),"Enter a gross score",IF(COUNTIFS($A$5:$A$1668,$A1632,$B$5:$B$1668,$B1632)&gt;1,"Player is listed twice this week",IF(AND($D1632&lt;&gt;"",COUNTIFS($A$5:$A$1668,$A1632,$D$5:$D$1668,$D1632)&gt;1),"Two players picked as "&amp;$D1632,IF(COUNTIFS($A$5:$A$1668,$A1632,$D$5:$D$1668,"Gross winner")=0,"Pick this week's gross winner",IF(COUNTIFS($A$5:$A$1668,$A1632,$D$5:$D$1668,"Net winner")=0,"Pick this week's net winner","OK")))))))</f>
        <v/>
      </c>
    </row>
    <row r="1633" outlineLevel="1">
      <c r="A1633" s="13" t="n">
        <v>46743</v>
      </c>
      <c r="E1633" s="11">
        <f>IF(OR($B1633="",NOT(ISNUMBER($C1633))),"",COUNTIFS($A$5:$A$1668,$A1633,$C$5:$C$1668,"&lt;"&amp;$C1633)+1)</f>
        <v/>
      </c>
      <c r="F1633" s="11">
        <f>IF(OR($B1633="",NOT(ISNUMBER($C1633))),"",COUNTIFS($A$5:$A$1668,$A1633,$C$5:$C$1668,"&gt;0"))</f>
        <v/>
      </c>
      <c r="G1633" s="11">
        <f>IF(OR($B1633="",NOT(ISNUMBER($C1633))),"",IF($D1633&lt;&gt;"",ROUND(Points!$B$6*IF($F1633&lt;Points!$H$4,Points!$H$5,1),0),ROUND(Points!$B$6*IF($F1633&lt;=1,1,Points!$H$7+(1-Points!$H$7)*((($F1633-$E1633)*(($F1633-$E1633)+1)/2)^2-((($F1633-$E1633-COUNTIFS($A$5:$A$1668,$A1633,$C$5:$C$1668,$C1633)+1)-1)*($F1633-$E1633-COUNTIFS($A$5:$A$1668,$A1633,$C$5:$C$1668,$C1633)+1)/2)^2)/(COUNTIFS($A$5:$A$1668,$A1633,$C$5:$C$1668,$C1633)*($F1633-1)^3))*IF($F1633&lt;Points!$H$4,Points!$H$5,1),0)))</f>
        <v/>
      </c>
      <c r="H1633" s="11">
        <f>IF($G1633="","",COUNTIFS($B$5:$B$1668,$B1633,$G$5:$G$1668,"&gt;"&amp;$G1633)+COUNTIFS($B$4:$B1632,$B1633,$G$4:$G1632,$G1633)+1)</f>
        <v/>
      </c>
      <c r="I1633" s="11">
        <f>IF($G1633="","",IF($H1633&lt;=Points!$H$6,$G1633,0))</f>
        <v/>
      </c>
      <c r="J1633" s="11">
        <f>IF($B1633="","",IF(COUNTIF(Players!$A$2:$A$500,$B1633)=0,"Player is not on the Players tab",IF(NOT(ISNUMBER($C1633)),"Enter a gross score",IF(COUNTIFS($A$5:$A$1668,$A1633,$B$5:$B$1668,$B1633)&gt;1,"Player is listed twice this week",IF(AND($D1633&lt;&gt;"",COUNTIFS($A$5:$A$1668,$A1633,$D$5:$D$1668,$D1633)&gt;1),"Two players picked as "&amp;$D1633,IF(COUNTIFS($A$5:$A$1668,$A1633,$D$5:$D$1668,"Gross winner")=0,"Pick this week's gross winner",IF(COUNTIFS($A$5:$A$1668,$A1633,$D$5:$D$1668,"Net winner")=0,"Pick this week's net winner","OK")))))))</f>
        <v/>
      </c>
    </row>
    <row r="1634" outlineLevel="1">
      <c r="A1634" s="13" t="n">
        <v>46743</v>
      </c>
      <c r="E1634" s="11">
        <f>IF(OR($B1634="",NOT(ISNUMBER($C1634))),"",COUNTIFS($A$5:$A$1668,$A1634,$C$5:$C$1668,"&lt;"&amp;$C1634)+1)</f>
        <v/>
      </c>
      <c r="F1634" s="11">
        <f>IF(OR($B1634="",NOT(ISNUMBER($C1634))),"",COUNTIFS($A$5:$A$1668,$A1634,$C$5:$C$1668,"&gt;0"))</f>
        <v/>
      </c>
      <c r="G1634" s="11">
        <f>IF(OR($B1634="",NOT(ISNUMBER($C1634))),"",IF($D1634&lt;&gt;"",ROUND(Points!$B$6*IF($F1634&lt;Points!$H$4,Points!$H$5,1),0),ROUND(Points!$B$6*IF($F1634&lt;=1,1,Points!$H$7+(1-Points!$H$7)*((($F1634-$E1634)*(($F1634-$E1634)+1)/2)^2-((($F1634-$E1634-COUNTIFS($A$5:$A$1668,$A1634,$C$5:$C$1668,$C1634)+1)-1)*($F1634-$E1634-COUNTIFS($A$5:$A$1668,$A1634,$C$5:$C$1668,$C1634)+1)/2)^2)/(COUNTIFS($A$5:$A$1668,$A1634,$C$5:$C$1668,$C1634)*($F1634-1)^3))*IF($F1634&lt;Points!$H$4,Points!$H$5,1),0)))</f>
        <v/>
      </c>
      <c r="H1634" s="11">
        <f>IF($G1634="","",COUNTIFS($B$5:$B$1668,$B1634,$G$5:$G$1668,"&gt;"&amp;$G1634)+COUNTIFS($B$4:$B1633,$B1634,$G$4:$G1633,$G1634)+1)</f>
        <v/>
      </c>
      <c r="I1634" s="11">
        <f>IF($G1634="","",IF($H1634&lt;=Points!$H$6,$G1634,0))</f>
        <v/>
      </c>
      <c r="J1634" s="11">
        <f>IF($B1634="","",IF(COUNTIF(Players!$A$2:$A$500,$B1634)=0,"Player is not on the Players tab",IF(NOT(ISNUMBER($C1634)),"Enter a gross score",IF(COUNTIFS($A$5:$A$1668,$A1634,$B$5:$B$1668,$B1634)&gt;1,"Player is listed twice this week",IF(AND($D1634&lt;&gt;"",COUNTIFS($A$5:$A$1668,$A1634,$D$5:$D$1668,$D1634)&gt;1),"Two players picked as "&amp;$D1634,IF(COUNTIFS($A$5:$A$1668,$A1634,$D$5:$D$1668,"Gross winner")=0,"Pick this week's gross winner",IF(COUNTIFS($A$5:$A$1668,$A1634,$D$5:$D$1668,"Net winner")=0,"Pick this week's net winner","OK")))))))</f>
        <v/>
      </c>
    </row>
    <row r="1635" outlineLevel="1">
      <c r="A1635" s="13" t="n">
        <v>46743</v>
      </c>
      <c r="E1635" s="11">
        <f>IF(OR($B1635="",NOT(ISNUMBER($C1635))),"",COUNTIFS($A$5:$A$1668,$A1635,$C$5:$C$1668,"&lt;"&amp;$C1635)+1)</f>
        <v/>
      </c>
      <c r="F1635" s="11">
        <f>IF(OR($B1635="",NOT(ISNUMBER($C1635))),"",COUNTIFS($A$5:$A$1668,$A1635,$C$5:$C$1668,"&gt;0"))</f>
        <v/>
      </c>
      <c r="G1635" s="11">
        <f>IF(OR($B1635="",NOT(ISNUMBER($C1635))),"",IF($D1635&lt;&gt;"",ROUND(Points!$B$6*IF($F1635&lt;Points!$H$4,Points!$H$5,1),0),ROUND(Points!$B$6*IF($F1635&lt;=1,1,Points!$H$7+(1-Points!$H$7)*((($F1635-$E1635)*(($F1635-$E1635)+1)/2)^2-((($F1635-$E1635-COUNTIFS($A$5:$A$1668,$A1635,$C$5:$C$1668,$C1635)+1)-1)*($F1635-$E1635-COUNTIFS($A$5:$A$1668,$A1635,$C$5:$C$1668,$C1635)+1)/2)^2)/(COUNTIFS($A$5:$A$1668,$A1635,$C$5:$C$1668,$C1635)*($F1635-1)^3))*IF($F1635&lt;Points!$H$4,Points!$H$5,1),0)))</f>
        <v/>
      </c>
      <c r="H1635" s="11">
        <f>IF($G1635="","",COUNTIFS($B$5:$B$1668,$B1635,$G$5:$G$1668,"&gt;"&amp;$G1635)+COUNTIFS($B$4:$B1634,$B1635,$G$4:$G1634,$G1635)+1)</f>
        <v/>
      </c>
      <c r="I1635" s="11">
        <f>IF($G1635="","",IF($H1635&lt;=Points!$H$6,$G1635,0))</f>
        <v/>
      </c>
      <c r="J1635" s="11">
        <f>IF($B1635="","",IF(COUNTIF(Players!$A$2:$A$500,$B1635)=0,"Player is not on the Players tab",IF(NOT(ISNUMBER($C1635)),"Enter a gross score",IF(COUNTIFS($A$5:$A$1668,$A1635,$B$5:$B$1668,$B1635)&gt;1,"Player is listed twice this week",IF(AND($D1635&lt;&gt;"",COUNTIFS($A$5:$A$1668,$A1635,$D$5:$D$1668,$D1635)&gt;1),"Two players picked as "&amp;$D1635,IF(COUNTIFS($A$5:$A$1668,$A1635,$D$5:$D$1668,"Gross winner")=0,"Pick this week's gross winner",IF(COUNTIFS($A$5:$A$1668,$A1635,$D$5:$D$1668,"Net winner")=0,"Pick this week's net winner","OK")))))))</f>
        <v/>
      </c>
    </row>
    <row r="1636" ht="10" customHeight="1"/>
    <row r="1637" ht="22" customHeight="1">
      <c r="A1637" s="12" t="inlineStr">
        <is>
          <t>Week 52  ·  Wednesday, Dec 29</t>
        </is>
      </c>
    </row>
    <row r="1638" outlineLevel="1">
      <c r="A1638" s="13" t="n">
        <v>46750</v>
      </c>
      <c r="E1638" s="11">
        <f>IF(OR($B1638="",NOT(ISNUMBER($C1638))),"",COUNTIFS($A$5:$A$1668,$A1638,$C$5:$C$1668,"&lt;"&amp;$C1638)+1)</f>
        <v/>
      </c>
      <c r="F1638" s="11">
        <f>IF(OR($B1638="",NOT(ISNUMBER($C1638))),"",COUNTIFS($A$5:$A$1668,$A1638,$C$5:$C$1668,"&gt;0"))</f>
        <v/>
      </c>
      <c r="G1638" s="11">
        <f>IF(OR($B1638="",NOT(ISNUMBER($C1638))),"",IF($D1638&lt;&gt;"",ROUND(Points!$B$6*IF($F1638&lt;Points!$H$4,Points!$H$5,1),0),ROUND(Points!$B$6*IF($F1638&lt;=1,1,Points!$H$7+(1-Points!$H$7)*((($F1638-$E1638)*(($F1638-$E1638)+1)/2)^2-((($F1638-$E1638-COUNTIFS($A$5:$A$1668,$A1638,$C$5:$C$1668,$C1638)+1)-1)*($F1638-$E1638-COUNTIFS($A$5:$A$1668,$A1638,$C$5:$C$1668,$C1638)+1)/2)^2)/(COUNTIFS($A$5:$A$1668,$A1638,$C$5:$C$1668,$C1638)*($F1638-1)^3))*IF($F1638&lt;Points!$H$4,Points!$H$5,1),0)))</f>
        <v/>
      </c>
      <c r="H1638" s="11">
        <f>IF($G1638="","",COUNTIFS($B$5:$B$1668,$B1638,$G$5:$G$1668,"&gt;"&amp;$G1638)+COUNTIFS($B$4:$B1637,$B1638,$G$4:$G1637,$G1638)+1)</f>
        <v/>
      </c>
      <c r="I1638" s="11">
        <f>IF($G1638="","",IF($H1638&lt;=Points!$H$6,$G1638,0))</f>
        <v/>
      </c>
      <c r="J1638" s="11">
        <f>IF($B1638="","",IF(COUNTIF(Players!$A$2:$A$500,$B1638)=0,"Player is not on the Players tab",IF(NOT(ISNUMBER($C1638)),"Enter a gross score",IF(COUNTIFS($A$5:$A$1668,$A1638,$B$5:$B$1668,$B1638)&gt;1,"Player is listed twice this week",IF(AND($D1638&lt;&gt;"",COUNTIFS($A$5:$A$1668,$A1638,$D$5:$D$1668,$D1638)&gt;1),"Two players picked as "&amp;$D1638,IF(COUNTIFS($A$5:$A$1668,$A1638,$D$5:$D$1668,"Gross winner")=0,"Pick this week's gross winner",IF(COUNTIFS($A$5:$A$1668,$A1638,$D$5:$D$1668,"Net winner")=0,"Pick this week's net winner","OK")))))))</f>
        <v/>
      </c>
    </row>
    <row r="1639" outlineLevel="1">
      <c r="A1639" s="13" t="n">
        <v>46750</v>
      </c>
      <c r="E1639" s="11">
        <f>IF(OR($B1639="",NOT(ISNUMBER($C1639))),"",COUNTIFS($A$5:$A$1668,$A1639,$C$5:$C$1668,"&lt;"&amp;$C1639)+1)</f>
        <v/>
      </c>
      <c r="F1639" s="11">
        <f>IF(OR($B1639="",NOT(ISNUMBER($C1639))),"",COUNTIFS($A$5:$A$1668,$A1639,$C$5:$C$1668,"&gt;0"))</f>
        <v/>
      </c>
      <c r="G1639" s="11">
        <f>IF(OR($B1639="",NOT(ISNUMBER($C1639))),"",IF($D1639&lt;&gt;"",ROUND(Points!$B$6*IF($F1639&lt;Points!$H$4,Points!$H$5,1),0),ROUND(Points!$B$6*IF($F1639&lt;=1,1,Points!$H$7+(1-Points!$H$7)*((($F1639-$E1639)*(($F1639-$E1639)+1)/2)^2-((($F1639-$E1639-COUNTIFS($A$5:$A$1668,$A1639,$C$5:$C$1668,$C1639)+1)-1)*($F1639-$E1639-COUNTIFS($A$5:$A$1668,$A1639,$C$5:$C$1668,$C1639)+1)/2)^2)/(COUNTIFS($A$5:$A$1668,$A1639,$C$5:$C$1668,$C1639)*($F1639-1)^3))*IF($F1639&lt;Points!$H$4,Points!$H$5,1),0)))</f>
        <v/>
      </c>
      <c r="H1639" s="11">
        <f>IF($G1639="","",COUNTIFS($B$5:$B$1668,$B1639,$G$5:$G$1668,"&gt;"&amp;$G1639)+COUNTIFS($B$4:$B1638,$B1639,$G$4:$G1638,$G1639)+1)</f>
        <v/>
      </c>
      <c r="I1639" s="11">
        <f>IF($G1639="","",IF($H1639&lt;=Points!$H$6,$G1639,0))</f>
        <v/>
      </c>
      <c r="J1639" s="11">
        <f>IF($B1639="","",IF(COUNTIF(Players!$A$2:$A$500,$B1639)=0,"Player is not on the Players tab",IF(NOT(ISNUMBER($C1639)),"Enter a gross score",IF(COUNTIFS($A$5:$A$1668,$A1639,$B$5:$B$1668,$B1639)&gt;1,"Player is listed twice this week",IF(AND($D1639&lt;&gt;"",COUNTIFS($A$5:$A$1668,$A1639,$D$5:$D$1668,$D1639)&gt;1),"Two players picked as "&amp;$D1639,IF(COUNTIFS($A$5:$A$1668,$A1639,$D$5:$D$1668,"Gross winner")=0,"Pick this week's gross winner",IF(COUNTIFS($A$5:$A$1668,$A1639,$D$5:$D$1668,"Net winner")=0,"Pick this week's net winner","OK")))))))</f>
        <v/>
      </c>
    </row>
    <row r="1640" outlineLevel="1">
      <c r="A1640" s="13" t="n">
        <v>46750</v>
      </c>
      <c r="E1640" s="11">
        <f>IF(OR($B1640="",NOT(ISNUMBER($C1640))),"",COUNTIFS($A$5:$A$1668,$A1640,$C$5:$C$1668,"&lt;"&amp;$C1640)+1)</f>
        <v/>
      </c>
      <c r="F1640" s="11">
        <f>IF(OR($B1640="",NOT(ISNUMBER($C1640))),"",COUNTIFS($A$5:$A$1668,$A1640,$C$5:$C$1668,"&gt;0"))</f>
        <v/>
      </c>
      <c r="G1640" s="11">
        <f>IF(OR($B1640="",NOT(ISNUMBER($C1640))),"",IF($D1640&lt;&gt;"",ROUND(Points!$B$6*IF($F1640&lt;Points!$H$4,Points!$H$5,1),0),ROUND(Points!$B$6*IF($F1640&lt;=1,1,Points!$H$7+(1-Points!$H$7)*((($F1640-$E1640)*(($F1640-$E1640)+1)/2)^2-((($F1640-$E1640-COUNTIFS($A$5:$A$1668,$A1640,$C$5:$C$1668,$C1640)+1)-1)*($F1640-$E1640-COUNTIFS($A$5:$A$1668,$A1640,$C$5:$C$1668,$C1640)+1)/2)^2)/(COUNTIFS($A$5:$A$1668,$A1640,$C$5:$C$1668,$C1640)*($F1640-1)^3))*IF($F1640&lt;Points!$H$4,Points!$H$5,1),0)))</f>
        <v/>
      </c>
      <c r="H1640" s="11">
        <f>IF($G1640="","",COUNTIFS($B$5:$B$1668,$B1640,$G$5:$G$1668,"&gt;"&amp;$G1640)+COUNTIFS($B$4:$B1639,$B1640,$G$4:$G1639,$G1640)+1)</f>
        <v/>
      </c>
      <c r="I1640" s="11">
        <f>IF($G1640="","",IF($H1640&lt;=Points!$H$6,$G1640,0))</f>
        <v/>
      </c>
      <c r="J1640" s="11">
        <f>IF($B1640="","",IF(COUNTIF(Players!$A$2:$A$500,$B1640)=0,"Player is not on the Players tab",IF(NOT(ISNUMBER($C1640)),"Enter a gross score",IF(COUNTIFS($A$5:$A$1668,$A1640,$B$5:$B$1668,$B1640)&gt;1,"Player is listed twice this week",IF(AND($D1640&lt;&gt;"",COUNTIFS($A$5:$A$1668,$A1640,$D$5:$D$1668,$D1640)&gt;1),"Two players picked as "&amp;$D1640,IF(COUNTIFS($A$5:$A$1668,$A1640,$D$5:$D$1668,"Gross winner")=0,"Pick this week's gross winner",IF(COUNTIFS($A$5:$A$1668,$A1640,$D$5:$D$1668,"Net winner")=0,"Pick this week's net winner","OK")))))))</f>
        <v/>
      </c>
    </row>
    <row r="1641" outlineLevel="1">
      <c r="A1641" s="13" t="n">
        <v>46750</v>
      </c>
      <c r="E1641" s="11">
        <f>IF(OR($B1641="",NOT(ISNUMBER($C1641))),"",COUNTIFS($A$5:$A$1668,$A1641,$C$5:$C$1668,"&lt;"&amp;$C1641)+1)</f>
        <v/>
      </c>
      <c r="F1641" s="11">
        <f>IF(OR($B1641="",NOT(ISNUMBER($C1641))),"",COUNTIFS($A$5:$A$1668,$A1641,$C$5:$C$1668,"&gt;0"))</f>
        <v/>
      </c>
      <c r="G1641" s="11">
        <f>IF(OR($B1641="",NOT(ISNUMBER($C1641))),"",IF($D1641&lt;&gt;"",ROUND(Points!$B$6*IF($F1641&lt;Points!$H$4,Points!$H$5,1),0),ROUND(Points!$B$6*IF($F1641&lt;=1,1,Points!$H$7+(1-Points!$H$7)*((($F1641-$E1641)*(($F1641-$E1641)+1)/2)^2-((($F1641-$E1641-COUNTIFS($A$5:$A$1668,$A1641,$C$5:$C$1668,$C1641)+1)-1)*($F1641-$E1641-COUNTIFS($A$5:$A$1668,$A1641,$C$5:$C$1668,$C1641)+1)/2)^2)/(COUNTIFS($A$5:$A$1668,$A1641,$C$5:$C$1668,$C1641)*($F1641-1)^3))*IF($F1641&lt;Points!$H$4,Points!$H$5,1),0)))</f>
        <v/>
      </c>
      <c r="H1641" s="11">
        <f>IF($G1641="","",COUNTIFS($B$5:$B$1668,$B1641,$G$5:$G$1668,"&gt;"&amp;$G1641)+COUNTIFS($B$4:$B1640,$B1641,$G$4:$G1640,$G1641)+1)</f>
        <v/>
      </c>
      <c r="I1641" s="11">
        <f>IF($G1641="","",IF($H1641&lt;=Points!$H$6,$G1641,0))</f>
        <v/>
      </c>
      <c r="J1641" s="11">
        <f>IF($B1641="","",IF(COUNTIF(Players!$A$2:$A$500,$B1641)=0,"Player is not on the Players tab",IF(NOT(ISNUMBER($C1641)),"Enter a gross score",IF(COUNTIFS($A$5:$A$1668,$A1641,$B$5:$B$1668,$B1641)&gt;1,"Player is listed twice this week",IF(AND($D1641&lt;&gt;"",COUNTIFS($A$5:$A$1668,$A1641,$D$5:$D$1668,$D1641)&gt;1),"Two players picked as "&amp;$D1641,IF(COUNTIFS($A$5:$A$1668,$A1641,$D$5:$D$1668,"Gross winner")=0,"Pick this week's gross winner",IF(COUNTIFS($A$5:$A$1668,$A1641,$D$5:$D$1668,"Net winner")=0,"Pick this week's net winner","OK")))))))</f>
        <v/>
      </c>
    </row>
    <row r="1642" outlineLevel="1">
      <c r="A1642" s="13" t="n">
        <v>46750</v>
      </c>
      <c r="E1642" s="11">
        <f>IF(OR($B1642="",NOT(ISNUMBER($C1642))),"",COUNTIFS($A$5:$A$1668,$A1642,$C$5:$C$1668,"&lt;"&amp;$C1642)+1)</f>
        <v/>
      </c>
      <c r="F1642" s="11">
        <f>IF(OR($B1642="",NOT(ISNUMBER($C1642))),"",COUNTIFS($A$5:$A$1668,$A1642,$C$5:$C$1668,"&gt;0"))</f>
        <v/>
      </c>
      <c r="G1642" s="11">
        <f>IF(OR($B1642="",NOT(ISNUMBER($C1642))),"",IF($D1642&lt;&gt;"",ROUND(Points!$B$6*IF($F1642&lt;Points!$H$4,Points!$H$5,1),0),ROUND(Points!$B$6*IF($F1642&lt;=1,1,Points!$H$7+(1-Points!$H$7)*((($F1642-$E1642)*(($F1642-$E1642)+1)/2)^2-((($F1642-$E1642-COUNTIFS($A$5:$A$1668,$A1642,$C$5:$C$1668,$C1642)+1)-1)*($F1642-$E1642-COUNTIFS($A$5:$A$1668,$A1642,$C$5:$C$1668,$C1642)+1)/2)^2)/(COUNTIFS($A$5:$A$1668,$A1642,$C$5:$C$1668,$C1642)*($F1642-1)^3))*IF($F1642&lt;Points!$H$4,Points!$H$5,1),0)))</f>
        <v/>
      </c>
      <c r="H1642" s="11">
        <f>IF($G1642="","",COUNTIFS($B$5:$B$1668,$B1642,$G$5:$G$1668,"&gt;"&amp;$G1642)+COUNTIFS($B$4:$B1641,$B1642,$G$4:$G1641,$G1642)+1)</f>
        <v/>
      </c>
      <c r="I1642" s="11">
        <f>IF($G1642="","",IF($H1642&lt;=Points!$H$6,$G1642,0))</f>
        <v/>
      </c>
      <c r="J1642" s="11">
        <f>IF($B1642="","",IF(COUNTIF(Players!$A$2:$A$500,$B1642)=0,"Player is not on the Players tab",IF(NOT(ISNUMBER($C1642)),"Enter a gross score",IF(COUNTIFS($A$5:$A$1668,$A1642,$B$5:$B$1668,$B1642)&gt;1,"Player is listed twice this week",IF(AND($D1642&lt;&gt;"",COUNTIFS($A$5:$A$1668,$A1642,$D$5:$D$1668,$D1642)&gt;1),"Two players picked as "&amp;$D1642,IF(COUNTIFS($A$5:$A$1668,$A1642,$D$5:$D$1668,"Gross winner")=0,"Pick this week's gross winner",IF(COUNTIFS($A$5:$A$1668,$A1642,$D$5:$D$1668,"Net winner")=0,"Pick this week's net winner","OK")))))))</f>
        <v/>
      </c>
    </row>
    <row r="1643" outlineLevel="1">
      <c r="A1643" s="13" t="n">
        <v>46750</v>
      </c>
      <c r="E1643" s="11">
        <f>IF(OR($B1643="",NOT(ISNUMBER($C1643))),"",COUNTIFS($A$5:$A$1668,$A1643,$C$5:$C$1668,"&lt;"&amp;$C1643)+1)</f>
        <v/>
      </c>
      <c r="F1643" s="11">
        <f>IF(OR($B1643="",NOT(ISNUMBER($C1643))),"",COUNTIFS($A$5:$A$1668,$A1643,$C$5:$C$1668,"&gt;0"))</f>
        <v/>
      </c>
      <c r="G1643" s="11">
        <f>IF(OR($B1643="",NOT(ISNUMBER($C1643))),"",IF($D1643&lt;&gt;"",ROUND(Points!$B$6*IF($F1643&lt;Points!$H$4,Points!$H$5,1),0),ROUND(Points!$B$6*IF($F1643&lt;=1,1,Points!$H$7+(1-Points!$H$7)*((($F1643-$E1643)*(($F1643-$E1643)+1)/2)^2-((($F1643-$E1643-COUNTIFS($A$5:$A$1668,$A1643,$C$5:$C$1668,$C1643)+1)-1)*($F1643-$E1643-COUNTIFS($A$5:$A$1668,$A1643,$C$5:$C$1668,$C1643)+1)/2)^2)/(COUNTIFS($A$5:$A$1668,$A1643,$C$5:$C$1668,$C1643)*($F1643-1)^3))*IF($F1643&lt;Points!$H$4,Points!$H$5,1),0)))</f>
        <v/>
      </c>
      <c r="H1643" s="11">
        <f>IF($G1643="","",COUNTIFS($B$5:$B$1668,$B1643,$G$5:$G$1668,"&gt;"&amp;$G1643)+COUNTIFS($B$4:$B1642,$B1643,$G$4:$G1642,$G1643)+1)</f>
        <v/>
      </c>
      <c r="I1643" s="11">
        <f>IF($G1643="","",IF($H1643&lt;=Points!$H$6,$G1643,0))</f>
        <v/>
      </c>
      <c r="J1643" s="11">
        <f>IF($B1643="","",IF(COUNTIF(Players!$A$2:$A$500,$B1643)=0,"Player is not on the Players tab",IF(NOT(ISNUMBER($C1643)),"Enter a gross score",IF(COUNTIFS($A$5:$A$1668,$A1643,$B$5:$B$1668,$B1643)&gt;1,"Player is listed twice this week",IF(AND($D1643&lt;&gt;"",COUNTIFS($A$5:$A$1668,$A1643,$D$5:$D$1668,$D1643)&gt;1),"Two players picked as "&amp;$D1643,IF(COUNTIFS($A$5:$A$1668,$A1643,$D$5:$D$1668,"Gross winner")=0,"Pick this week's gross winner",IF(COUNTIFS($A$5:$A$1668,$A1643,$D$5:$D$1668,"Net winner")=0,"Pick this week's net winner","OK")))))))</f>
        <v/>
      </c>
    </row>
    <row r="1644" outlineLevel="1">
      <c r="A1644" s="13" t="n">
        <v>46750</v>
      </c>
      <c r="E1644" s="11">
        <f>IF(OR($B1644="",NOT(ISNUMBER($C1644))),"",COUNTIFS($A$5:$A$1668,$A1644,$C$5:$C$1668,"&lt;"&amp;$C1644)+1)</f>
        <v/>
      </c>
      <c r="F1644" s="11">
        <f>IF(OR($B1644="",NOT(ISNUMBER($C1644))),"",COUNTIFS($A$5:$A$1668,$A1644,$C$5:$C$1668,"&gt;0"))</f>
        <v/>
      </c>
      <c r="G1644" s="11">
        <f>IF(OR($B1644="",NOT(ISNUMBER($C1644))),"",IF($D1644&lt;&gt;"",ROUND(Points!$B$6*IF($F1644&lt;Points!$H$4,Points!$H$5,1),0),ROUND(Points!$B$6*IF($F1644&lt;=1,1,Points!$H$7+(1-Points!$H$7)*((($F1644-$E1644)*(($F1644-$E1644)+1)/2)^2-((($F1644-$E1644-COUNTIFS($A$5:$A$1668,$A1644,$C$5:$C$1668,$C1644)+1)-1)*($F1644-$E1644-COUNTIFS($A$5:$A$1668,$A1644,$C$5:$C$1668,$C1644)+1)/2)^2)/(COUNTIFS($A$5:$A$1668,$A1644,$C$5:$C$1668,$C1644)*($F1644-1)^3))*IF($F1644&lt;Points!$H$4,Points!$H$5,1),0)))</f>
        <v/>
      </c>
      <c r="H1644" s="11">
        <f>IF($G1644="","",COUNTIFS($B$5:$B$1668,$B1644,$G$5:$G$1668,"&gt;"&amp;$G1644)+COUNTIFS($B$4:$B1643,$B1644,$G$4:$G1643,$G1644)+1)</f>
        <v/>
      </c>
      <c r="I1644" s="11">
        <f>IF($G1644="","",IF($H1644&lt;=Points!$H$6,$G1644,0))</f>
        <v/>
      </c>
      <c r="J1644" s="11">
        <f>IF($B1644="","",IF(COUNTIF(Players!$A$2:$A$500,$B1644)=0,"Player is not on the Players tab",IF(NOT(ISNUMBER($C1644)),"Enter a gross score",IF(COUNTIFS($A$5:$A$1668,$A1644,$B$5:$B$1668,$B1644)&gt;1,"Player is listed twice this week",IF(AND($D1644&lt;&gt;"",COUNTIFS($A$5:$A$1668,$A1644,$D$5:$D$1668,$D1644)&gt;1),"Two players picked as "&amp;$D1644,IF(COUNTIFS($A$5:$A$1668,$A1644,$D$5:$D$1668,"Gross winner")=0,"Pick this week's gross winner",IF(COUNTIFS($A$5:$A$1668,$A1644,$D$5:$D$1668,"Net winner")=0,"Pick this week's net winner","OK")))))))</f>
        <v/>
      </c>
    </row>
    <row r="1645" outlineLevel="1">
      <c r="A1645" s="13" t="n">
        <v>46750</v>
      </c>
      <c r="E1645" s="11">
        <f>IF(OR($B1645="",NOT(ISNUMBER($C1645))),"",COUNTIFS($A$5:$A$1668,$A1645,$C$5:$C$1668,"&lt;"&amp;$C1645)+1)</f>
        <v/>
      </c>
      <c r="F1645" s="11">
        <f>IF(OR($B1645="",NOT(ISNUMBER($C1645))),"",COUNTIFS($A$5:$A$1668,$A1645,$C$5:$C$1668,"&gt;0"))</f>
        <v/>
      </c>
      <c r="G1645" s="11">
        <f>IF(OR($B1645="",NOT(ISNUMBER($C1645))),"",IF($D1645&lt;&gt;"",ROUND(Points!$B$6*IF($F1645&lt;Points!$H$4,Points!$H$5,1),0),ROUND(Points!$B$6*IF($F1645&lt;=1,1,Points!$H$7+(1-Points!$H$7)*((($F1645-$E1645)*(($F1645-$E1645)+1)/2)^2-((($F1645-$E1645-COUNTIFS($A$5:$A$1668,$A1645,$C$5:$C$1668,$C1645)+1)-1)*($F1645-$E1645-COUNTIFS($A$5:$A$1668,$A1645,$C$5:$C$1668,$C1645)+1)/2)^2)/(COUNTIFS($A$5:$A$1668,$A1645,$C$5:$C$1668,$C1645)*($F1645-1)^3))*IF($F1645&lt;Points!$H$4,Points!$H$5,1),0)))</f>
        <v/>
      </c>
      <c r="H1645" s="11">
        <f>IF($G1645="","",COUNTIFS($B$5:$B$1668,$B1645,$G$5:$G$1668,"&gt;"&amp;$G1645)+COUNTIFS($B$4:$B1644,$B1645,$G$4:$G1644,$G1645)+1)</f>
        <v/>
      </c>
      <c r="I1645" s="11">
        <f>IF($G1645="","",IF($H1645&lt;=Points!$H$6,$G1645,0))</f>
        <v/>
      </c>
      <c r="J1645" s="11">
        <f>IF($B1645="","",IF(COUNTIF(Players!$A$2:$A$500,$B1645)=0,"Player is not on the Players tab",IF(NOT(ISNUMBER($C1645)),"Enter a gross score",IF(COUNTIFS($A$5:$A$1668,$A1645,$B$5:$B$1668,$B1645)&gt;1,"Player is listed twice this week",IF(AND($D1645&lt;&gt;"",COUNTIFS($A$5:$A$1668,$A1645,$D$5:$D$1668,$D1645)&gt;1),"Two players picked as "&amp;$D1645,IF(COUNTIFS($A$5:$A$1668,$A1645,$D$5:$D$1668,"Gross winner")=0,"Pick this week's gross winner",IF(COUNTIFS($A$5:$A$1668,$A1645,$D$5:$D$1668,"Net winner")=0,"Pick this week's net winner","OK")))))))</f>
        <v/>
      </c>
    </row>
    <row r="1646" outlineLevel="1">
      <c r="A1646" s="13" t="n">
        <v>46750</v>
      </c>
      <c r="E1646" s="11">
        <f>IF(OR($B1646="",NOT(ISNUMBER($C1646))),"",COUNTIFS($A$5:$A$1668,$A1646,$C$5:$C$1668,"&lt;"&amp;$C1646)+1)</f>
        <v/>
      </c>
      <c r="F1646" s="11">
        <f>IF(OR($B1646="",NOT(ISNUMBER($C1646))),"",COUNTIFS($A$5:$A$1668,$A1646,$C$5:$C$1668,"&gt;0"))</f>
        <v/>
      </c>
      <c r="G1646" s="11">
        <f>IF(OR($B1646="",NOT(ISNUMBER($C1646))),"",IF($D1646&lt;&gt;"",ROUND(Points!$B$6*IF($F1646&lt;Points!$H$4,Points!$H$5,1),0),ROUND(Points!$B$6*IF($F1646&lt;=1,1,Points!$H$7+(1-Points!$H$7)*((($F1646-$E1646)*(($F1646-$E1646)+1)/2)^2-((($F1646-$E1646-COUNTIFS($A$5:$A$1668,$A1646,$C$5:$C$1668,$C1646)+1)-1)*($F1646-$E1646-COUNTIFS($A$5:$A$1668,$A1646,$C$5:$C$1668,$C1646)+1)/2)^2)/(COUNTIFS($A$5:$A$1668,$A1646,$C$5:$C$1668,$C1646)*($F1646-1)^3))*IF($F1646&lt;Points!$H$4,Points!$H$5,1),0)))</f>
        <v/>
      </c>
      <c r="H1646" s="11">
        <f>IF($G1646="","",COUNTIFS($B$5:$B$1668,$B1646,$G$5:$G$1668,"&gt;"&amp;$G1646)+COUNTIFS($B$4:$B1645,$B1646,$G$4:$G1645,$G1646)+1)</f>
        <v/>
      </c>
      <c r="I1646" s="11">
        <f>IF($G1646="","",IF($H1646&lt;=Points!$H$6,$G1646,0))</f>
        <v/>
      </c>
      <c r="J1646" s="11">
        <f>IF($B1646="","",IF(COUNTIF(Players!$A$2:$A$500,$B1646)=0,"Player is not on the Players tab",IF(NOT(ISNUMBER($C1646)),"Enter a gross score",IF(COUNTIFS($A$5:$A$1668,$A1646,$B$5:$B$1668,$B1646)&gt;1,"Player is listed twice this week",IF(AND($D1646&lt;&gt;"",COUNTIFS($A$5:$A$1668,$A1646,$D$5:$D$1668,$D1646)&gt;1),"Two players picked as "&amp;$D1646,IF(COUNTIFS($A$5:$A$1668,$A1646,$D$5:$D$1668,"Gross winner")=0,"Pick this week's gross winner",IF(COUNTIFS($A$5:$A$1668,$A1646,$D$5:$D$1668,"Net winner")=0,"Pick this week's net winner","OK")))))))</f>
        <v/>
      </c>
    </row>
    <row r="1647" outlineLevel="1">
      <c r="A1647" s="13" t="n">
        <v>46750</v>
      </c>
      <c r="E1647" s="11">
        <f>IF(OR($B1647="",NOT(ISNUMBER($C1647))),"",COUNTIFS($A$5:$A$1668,$A1647,$C$5:$C$1668,"&lt;"&amp;$C1647)+1)</f>
        <v/>
      </c>
      <c r="F1647" s="11">
        <f>IF(OR($B1647="",NOT(ISNUMBER($C1647))),"",COUNTIFS($A$5:$A$1668,$A1647,$C$5:$C$1668,"&gt;0"))</f>
        <v/>
      </c>
      <c r="G1647" s="11">
        <f>IF(OR($B1647="",NOT(ISNUMBER($C1647))),"",IF($D1647&lt;&gt;"",ROUND(Points!$B$6*IF($F1647&lt;Points!$H$4,Points!$H$5,1),0),ROUND(Points!$B$6*IF($F1647&lt;=1,1,Points!$H$7+(1-Points!$H$7)*((($F1647-$E1647)*(($F1647-$E1647)+1)/2)^2-((($F1647-$E1647-COUNTIFS($A$5:$A$1668,$A1647,$C$5:$C$1668,$C1647)+1)-1)*($F1647-$E1647-COUNTIFS($A$5:$A$1668,$A1647,$C$5:$C$1668,$C1647)+1)/2)^2)/(COUNTIFS($A$5:$A$1668,$A1647,$C$5:$C$1668,$C1647)*($F1647-1)^3))*IF($F1647&lt;Points!$H$4,Points!$H$5,1),0)))</f>
        <v/>
      </c>
      <c r="H1647" s="11">
        <f>IF($G1647="","",COUNTIFS($B$5:$B$1668,$B1647,$G$5:$G$1668,"&gt;"&amp;$G1647)+COUNTIFS($B$4:$B1646,$B1647,$G$4:$G1646,$G1647)+1)</f>
        <v/>
      </c>
      <c r="I1647" s="11">
        <f>IF($G1647="","",IF($H1647&lt;=Points!$H$6,$G1647,0))</f>
        <v/>
      </c>
      <c r="J1647" s="11">
        <f>IF($B1647="","",IF(COUNTIF(Players!$A$2:$A$500,$B1647)=0,"Player is not on the Players tab",IF(NOT(ISNUMBER($C1647)),"Enter a gross score",IF(COUNTIFS($A$5:$A$1668,$A1647,$B$5:$B$1668,$B1647)&gt;1,"Player is listed twice this week",IF(AND($D1647&lt;&gt;"",COUNTIFS($A$5:$A$1668,$A1647,$D$5:$D$1668,$D1647)&gt;1),"Two players picked as "&amp;$D1647,IF(COUNTIFS($A$5:$A$1668,$A1647,$D$5:$D$1668,"Gross winner")=0,"Pick this week's gross winner",IF(COUNTIFS($A$5:$A$1668,$A1647,$D$5:$D$1668,"Net winner")=0,"Pick this week's net winner","OK")))))))</f>
        <v/>
      </c>
    </row>
    <row r="1648" outlineLevel="1">
      <c r="A1648" s="13" t="n">
        <v>46750</v>
      </c>
      <c r="E1648" s="11">
        <f>IF(OR($B1648="",NOT(ISNUMBER($C1648))),"",COUNTIFS($A$5:$A$1668,$A1648,$C$5:$C$1668,"&lt;"&amp;$C1648)+1)</f>
        <v/>
      </c>
      <c r="F1648" s="11">
        <f>IF(OR($B1648="",NOT(ISNUMBER($C1648))),"",COUNTIFS($A$5:$A$1668,$A1648,$C$5:$C$1668,"&gt;0"))</f>
        <v/>
      </c>
      <c r="G1648" s="11">
        <f>IF(OR($B1648="",NOT(ISNUMBER($C1648))),"",IF($D1648&lt;&gt;"",ROUND(Points!$B$6*IF($F1648&lt;Points!$H$4,Points!$H$5,1),0),ROUND(Points!$B$6*IF($F1648&lt;=1,1,Points!$H$7+(1-Points!$H$7)*((($F1648-$E1648)*(($F1648-$E1648)+1)/2)^2-((($F1648-$E1648-COUNTIFS($A$5:$A$1668,$A1648,$C$5:$C$1668,$C1648)+1)-1)*($F1648-$E1648-COUNTIFS($A$5:$A$1668,$A1648,$C$5:$C$1668,$C1648)+1)/2)^2)/(COUNTIFS($A$5:$A$1668,$A1648,$C$5:$C$1668,$C1648)*($F1648-1)^3))*IF($F1648&lt;Points!$H$4,Points!$H$5,1),0)))</f>
        <v/>
      </c>
      <c r="H1648" s="11">
        <f>IF($G1648="","",COUNTIFS($B$5:$B$1668,$B1648,$G$5:$G$1668,"&gt;"&amp;$G1648)+COUNTIFS($B$4:$B1647,$B1648,$G$4:$G1647,$G1648)+1)</f>
        <v/>
      </c>
      <c r="I1648" s="11">
        <f>IF($G1648="","",IF($H1648&lt;=Points!$H$6,$G1648,0))</f>
        <v/>
      </c>
      <c r="J1648" s="11">
        <f>IF($B1648="","",IF(COUNTIF(Players!$A$2:$A$500,$B1648)=0,"Player is not on the Players tab",IF(NOT(ISNUMBER($C1648)),"Enter a gross score",IF(COUNTIFS($A$5:$A$1668,$A1648,$B$5:$B$1668,$B1648)&gt;1,"Player is listed twice this week",IF(AND($D1648&lt;&gt;"",COUNTIFS($A$5:$A$1668,$A1648,$D$5:$D$1668,$D1648)&gt;1),"Two players picked as "&amp;$D1648,IF(COUNTIFS($A$5:$A$1668,$A1648,$D$5:$D$1668,"Gross winner")=0,"Pick this week's gross winner",IF(COUNTIFS($A$5:$A$1668,$A1648,$D$5:$D$1668,"Net winner")=0,"Pick this week's net winner","OK")))))))</f>
        <v/>
      </c>
    </row>
    <row r="1649" outlineLevel="1">
      <c r="A1649" s="13" t="n">
        <v>46750</v>
      </c>
      <c r="E1649" s="11">
        <f>IF(OR($B1649="",NOT(ISNUMBER($C1649))),"",COUNTIFS($A$5:$A$1668,$A1649,$C$5:$C$1668,"&lt;"&amp;$C1649)+1)</f>
        <v/>
      </c>
      <c r="F1649" s="11">
        <f>IF(OR($B1649="",NOT(ISNUMBER($C1649))),"",COUNTIFS($A$5:$A$1668,$A1649,$C$5:$C$1668,"&gt;0"))</f>
        <v/>
      </c>
      <c r="G1649" s="11">
        <f>IF(OR($B1649="",NOT(ISNUMBER($C1649))),"",IF($D1649&lt;&gt;"",ROUND(Points!$B$6*IF($F1649&lt;Points!$H$4,Points!$H$5,1),0),ROUND(Points!$B$6*IF($F1649&lt;=1,1,Points!$H$7+(1-Points!$H$7)*((($F1649-$E1649)*(($F1649-$E1649)+1)/2)^2-((($F1649-$E1649-COUNTIFS($A$5:$A$1668,$A1649,$C$5:$C$1668,$C1649)+1)-1)*($F1649-$E1649-COUNTIFS($A$5:$A$1668,$A1649,$C$5:$C$1668,$C1649)+1)/2)^2)/(COUNTIFS($A$5:$A$1668,$A1649,$C$5:$C$1668,$C1649)*($F1649-1)^3))*IF($F1649&lt;Points!$H$4,Points!$H$5,1),0)))</f>
        <v/>
      </c>
      <c r="H1649" s="11">
        <f>IF($G1649="","",COUNTIFS($B$5:$B$1668,$B1649,$G$5:$G$1668,"&gt;"&amp;$G1649)+COUNTIFS($B$4:$B1648,$B1649,$G$4:$G1648,$G1649)+1)</f>
        <v/>
      </c>
      <c r="I1649" s="11">
        <f>IF($G1649="","",IF($H1649&lt;=Points!$H$6,$G1649,0))</f>
        <v/>
      </c>
      <c r="J1649" s="11">
        <f>IF($B1649="","",IF(COUNTIF(Players!$A$2:$A$500,$B1649)=0,"Player is not on the Players tab",IF(NOT(ISNUMBER($C1649)),"Enter a gross score",IF(COUNTIFS($A$5:$A$1668,$A1649,$B$5:$B$1668,$B1649)&gt;1,"Player is listed twice this week",IF(AND($D1649&lt;&gt;"",COUNTIFS($A$5:$A$1668,$A1649,$D$5:$D$1668,$D1649)&gt;1),"Two players picked as "&amp;$D1649,IF(COUNTIFS($A$5:$A$1668,$A1649,$D$5:$D$1668,"Gross winner")=0,"Pick this week's gross winner",IF(COUNTIFS($A$5:$A$1668,$A1649,$D$5:$D$1668,"Net winner")=0,"Pick this week's net winner","OK")))))))</f>
        <v/>
      </c>
    </row>
    <row r="1650" outlineLevel="1">
      <c r="A1650" s="13" t="n">
        <v>46750</v>
      </c>
      <c r="E1650" s="11">
        <f>IF(OR($B1650="",NOT(ISNUMBER($C1650))),"",COUNTIFS($A$5:$A$1668,$A1650,$C$5:$C$1668,"&lt;"&amp;$C1650)+1)</f>
        <v/>
      </c>
      <c r="F1650" s="11">
        <f>IF(OR($B1650="",NOT(ISNUMBER($C1650))),"",COUNTIFS($A$5:$A$1668,$A1650,$C$5:$C$1668,"&gt;0"))</f>
        <v/>
      </c>
      <c r="G1650" s="11">
        <f>IF(OR($B1650="",NOT(ISNUMBER($C1650))),"",IF($D1650&lt;&gt;"",ROUND(Points!$B$6*IF($F1650&lt;Points!$H$4,Points!$H$5,1),0),ROUND(Points!$B$6*IF($F1650&lt;=1,1,Points!$H$7+(1-Points!$H$7)*((($F1650-$E1650)*(($F1650-$E1650)+1)/2)^2-((($F1650-$E1650-COUNTIFS($A$5:$A$1668,$A1650,$C$5:$C$1668,$C1650)+1)-1)*($F1650-$E1650-COUNTIFS($A$5:$A$1668,$A1650,$C$5:$C$1668,$C1650)+1)/2)^2)/(COUNTIFS($A$5:$A$1668,$A1650,$C$5:$C$1668,$C1650)*($F1650-1)^3))*IF($F1650&lt;Points!$H$4,Points!$H$5,1),0)))</f>
        <v/>
      </c>
      <c r="H1650" s="11">
        <f>IF($G1650="","",COUNTIFS($B$5:$B$1668,$B1650,$G$5:$G$1668,"&gt;"&amp;$G1650)+COUNTIFS($B$4:$B1649,$B1650,$G$4:$G1649,$G1650)+1)</f>
        <v/>
      </c>
      <c r="I1650" s="11">
        <f>IF($G1650="","",IF($H1650&lt;=Points!$H$6,$G1650,0))</f>
        <v/>
      </c>
      <c r="J1650" s="11">
        <f>IF($B1650="","",IF(COUNTIF(Players!$A$2:$A$500,$B1650)=0,"Player is not on the Players tab",IF(NOT(ISNUMBER($C1650)),"Enter a gross score",IF(COUNTIFS($A$5:$A$1668,$A1650,$B$5:$B$1668,$B1650)&gt;1,"Player is listed twice this week",IF(AND($D1650&lt;&gt;"",COUNTIFS($A$5:$A$1668,$A1650,$D$5:$D$1668,$D1650)&gt;1),"Two players picked as "&amp;$D1650,IF(COUNTIFS($A$5:$A$1668,$A1650,$D$5:$D$1668,"Gross winner")=0,"Pick this week's gross winner",IF(COUNTIFS($A$5:$A$1668,$A1650,$D$5:$D$1668,"Net winner")=0,"Pick this week's net winner","OK")))))))</f>
        <v/>
      </c>
    </row>
    <row r="1651" outlineLevel="1">
      <c r="A1651" s="13" t="n">
        <v>46750</v>
      </c>
      <c r="E1651" s="11">
        <f>IF(OR($B1651="",NOT(ISNUMBER($C1651))),"",COUNTIFS($A$5:$A$1668,$A1651,$C$5:$C$1668,"&lt;"&amp;$C1651)+1)</f>
        <v/>
      </c>
      <c r="F1651" s="11">
        <f>IF(OR($B1651="",NOT(ISNUMBER($C1651))),"",COUNTIFS($A$5:$A$1668,$A1651,$C$5:$C$1668,"&gt;0"))</f>
        <v/>
      </c>
      <c r="G1651" s="11">
        <f>IF(OR($B1651="",NOT(ISNUMBER($C1651))),"",IF($D1651&lt;&gt;"",ROUND(Points!$B$6*IF($F1651&lt;Points!$H$4,Points!$H$5,1),0),ROUND(Points!$B$6*IF($F1651&lt;=1,1,Points!$H$7+(1-Points!$H$7)*((($F1651-$E1651)*(($F1651-$E1651)+1)/2)^2-((($F1651-$E1651-COUNTIFS($A$5:$A$1668,$A1651,$C$5:$C$1668,$C1651)+1)-1)*($F1651-$E1651-COUNTIFS($A$5:$A$1668,$A1651,$C$5:$C$1668,$C1651)+1)/2)^2)/(COUNTIFS($A$5:$A$1668,$A1651,$C$5:$C$1668,$C1651)*($F1651-1)^3))*IF($F1651&lt;Points!$H$4,Points!$H$5,1),0)))</f>
        <v/>
      </c>
      <c r="H1651" s="11">
        <f>IF($G1651="","",COUNTIFS($B$5:$B$1668,$B1651,$G$5:$G$1668,"&gt;"&amp;$G1651)+COUNTIFS($B$4:$B1650,$B1651,$G$4:$G1650,$G1651)+1)</f>
        <v/>
      </c>
      <c r="I1651" s="11">
        <f>IF($G1651="","",IF($H1651&lt;=Points!$H$6,$G1651,0))</f>
        <v/>
      </c>
      <c r="J1651" s="11">
        <f>IF($B1651="","",IF(COUNTIF(Players!$A$2:$A$500,$B1651)=0,"Player is not on the Players tab",IF(NOT(ISNUMBER($C1651)),"Enter a gross score",IF(COUNTIFS($A$5:$A$1668,$A1651,$B$5:$B$1668,$B1651)&gt;1,"Player is listed twice this week",IF(AND($D1651&lt;&gt;"",COUNTIFS($A$5:$A$1668,$A1651,$D$5:$D$1668,$D1651)&gt;1),"Two players picked as "&amp;$D1651,IF(COUNTIFS($A$5:$A$1668,$A1651,$D$5:$D$1668,"Gross winner")=0,"Pick this week's gross winner",IF(COUNTIFS($A$5:$A$1668,$A1651,$D$5:$D$1668,"Net winner")=0,"Pick this week's net winner","OK")))))))</f>
        <v/>
      </c>
    </row>
    <row r="1652" outlineLevel="1">
      <c r="A1652" s="13" t="n">
        <v>46750</v>
      </c>
      <c r="E1652" s="11">
        <f>IF(OR($B1652="",NOT(ISNUMBER($C1652))),"",COUNTIFS($A$5:$A$1668,$A1652,$C$5:$C$1668,"&lt;"&amp;$C1652)+1)</f>
        <v/>
      </c>
      <c r="F1652" s="11">
        <f>IF(OR($B1652="",NOT(ISNUMBER($C1652))),"",COUNTIFS($A$5:$A$1668,$A1652,$C$5:$C$1668,"&gt;0"))</f>
        <v/>
      </c>
      <c r="G1652" s="11">
        <f>IF(OR($B1652="",NOT(ISNUMBER($C1652))),"",IF($D1652&lt;&gt;"",ROUND(Points!$B$6*IF($F1652&lt;Points!$H$4,Points!$H$5,1),0),ROUND(Points!$B$6*IF($F1652&lt;=1,1,Points!$H$7+(1-Points!$H$7)*((($F1652-$E1652)*(($F1652-$E1652)+1)/2)^2-((($F1652-$E1652-COUNTIFS($A$5:$A$1668,$A1652,$C$5:$C$1668,$C1652)+1)-1)*($F1652-$E1652-COUNTIFS($A$5:$A$1668,$A1652,$C$5:$C$1668,$C1652)+1)/2)^2)/(COUNTIFS($A$5:$A$1668,$A1652,$C$5:$C$1668,$C1652)*($F1652-1)^3))*IF($F1652&lt;Points!$H$4,Points!$H$5,1),0)))</f>
        <v/>
      </c>
      <c r="H1652" s="11">
        <f>IF($G1652="","",COUNTIFS($B$5:$B$1668,$B1652,$G$5:$G$1668,"&gt;"&amp;$G1652)+COUNTIFS($B$4:$B1651,$B1652,$G$4:$G1651,$G1652)+1)</f>
        <v/>
      </c>
      <c r="I1652" s="11">
        <f>IF($G1652="","",IF($H1652&lt;=Points!$H$6,$G1652,0))</f>
        <v/>
      </c>
      <c r="J1652" s="11">
        <f>IF($B1652="","",IF(COUNTIF(Players!$A$2:$A$500,$B1652)=0,"Player is not on the Players tab",IF(NOT(ISNUMBER($C1652)),"Enter a gross score",IF(COUNTIFS($A$5:$A$1668,$A1652,$B$5:$B$1668,$B1652)&gt;1,"Player is listed twice this week",IF(AND($D1652&lt;&gt;"",COUNTIFS($A$5:$A$1668,$A1652,$D$5:$D$1668,$D1652)&gt;1),"Two players picked as "&amp;$D1652,IF(COUNTIFS($A$5:$A$1668,$A1652,$D$5:$D$1668,"Gross winner")=0,"Pick this week's gross winner",IF(COUNTIFS($A$5:$A$1668,$A1652,$D$5:$D$1668,"Net winner")=0,"Pick this week's net winner","OK")))))))</f>
        <v/>
      </c>
    </row>
    <row r="1653" outlineLevel="1">
      <c r="A1653" s="13" t="n">
        <v>46750</v>
      </c>
      <c r="E1653" s="11">
        <f>IF(OR($B1653="",NOT(ISNUMBER($C1653))),"",COUNTIFS($A$5:$A$1668,$A1653,$C$5:$C$1668,"&lt;"&amp;$C1653)+1)</f>
        <v/>
      </c>
      <c r="F1653" s="11">
        <f>IF(OR($B1653="",NOT(ISNUMBER($C1653))),"",COUNTIFS($A$5:$A$1668,$A1653,$C$5:$C$1668,"&gt;0"))</f>
        <v/>
      </c>
      <c r="G1653" s="11">
        <f>IF(OR($B1653="",NOT(ISNUMBER($C1653))),"",IF($D1653&lt;&gt;"",ROUND(Points!$B$6*IF($F1653&lt;Points!$H$4,Points!$H$5,1),0),ROUND(Points!$B$6*IF($F1653&lt;=1,1,Points!$H$7+(1-Points!$H$7)*((($F1653-$E1653)*(($F1653-$E1653)+1)/2)^2-((($F1653-$E1653-COUNTIFS($A$5:$A$1668,$A1653,$C$5:$C$1668,$C1653)+1)-1)*($F1653-$E1653-COUNTIFS($A$5:$A$1668,$A1653,$C$5:$C$1668,$C1653)+1)/2)^2)/(COUNTIFS($A$5:$A$1668,$A1653,$C$5:$C$1668,$C1653)*($F1653-1)^3))*IF($F1653&lt;Points!$H$4,Points!$H$5,1),0)))</f>
        <v/>
      </c>
      <c r="H1653" s="11">
        <f>IF($G1653="","",COUNTIFS($B$5:$B$1668,$B1653,$G$5:$G$1668,"&gt;"&amp;$G1653)+COUNTIFS($B$4:$B1652,$B1653,$G$4:$G1652,$G1653)+1)</f>
        <v/>
      </c>
      <c r="I1653" s="11">
        <f>IF($G1653="","",IF($H1653&lt;=Points!$H$6,$G1653,0))</f>
        <v/>
      </c>
      <c r="J1653" s="11">
        <f>IF($B1653="","",IF(COUNTIF(Players!$A$2:$A$500,$B1653)=0,"Player is not on the Players tab",IF(NOT(ISNUMBER($C1653)),"Enter a gross score",IF(COUNTIFS($A$5:$A$1668,$A1653,$B$5:$B$1668,$B1653)&gt;1,"Player is listed twice this week",IF(AND($D1653&lt;&gt;"",COUNTIFS($A$5:$A$1668,$A1653,$D$5:$D$1668,$D1653)&gt;1),"Two players picked as "&amp;$D1653,IF(COUNTIFS($A$5:$A$1668,$A1653,$D$5:$D$1668,"Gross winner")=0,"Pick this week's gross winner",IF(COUNTIFS($A$5:$A$1668,$A1653,$D$5:$D$1668,"Net winner")=0,"Pick this week's net winner","OK")))))))</f>
        <v/>
      </c>
    </row>
    <row r="1654" outlineLevel="1">
      <c r="A1654" s="13" t="n">
        <v>46750</v>
      </c>
      <c r="E1654" s="11">
        <f>IF(OR($B1654="",NOT(ISNUMBER($C1654))),"",COUNTIFS($A$5:$A$1668,$A1654,$C$5:$C$1668,"&lt;"&amp;$C1654)+1)</f>
        <v/>
      </c>
      <c r="F1654" s="11">
        <f>IF(OR($B1654="",NOT(ISNUMBER($C1654))),"",COUNTIFS($A$5:$A$1668,$A1654,$C$5:$C$1668,"&gt;0"))</f>
        <v/>
      </c>
      <c r="G1654" s="11">
        <f>IF(OR($B1654="",NOT(ISNUMBER($C1654))),"",IF($D1654&lt;&gt;"",ROUND(Points!$B$6*IF($F1654&lt;Points!$H$4,Points!$H$5,1),0),ROUND(Points!$B$6*IF($F1654&lt;=1,1,Points!$H$7+(1-Points!$H$7)*((($F1654-$E1654)*(($F1654-$E1654)+1)/2)^2-((($F1654-$E1654-COUNTIFS($A$5:$A$1668,$A1654,$C$5:$C$1668,$C1654)+1)-1)*($F1654-$E1654-COUNTIFS($A$5:$A$1668,$A1654,$C$5:$C$1668,$C1654)+1)/2)^2)/(COUNTIFS($A$5:$A$1668,$A1654,$C$5:$C$1668,$C1654)*($F1654-1)^3))*IF($F1654&lt;Points!$H$4,Points!$H$5,1),0)))</f>
        <v/>
      </c>
      <c r="H1654" s="11">
        <f>IF($G1654="","",COUNTIFS($B$5:$B$1668,$B1654,$G$5:$G$1668,"&gt;"&amp;$G1654)+COUNTIFS($B$4:$B1653,$B1654,$G$4:$G1653,$G1654)+1)</f>
        <v/>
      </c>
      <c r="I1654" s="11">
        <f>IF($G1654="","",IF($H1654&lt;=Points!$H$6,$G1654,0))</f>
        <v/>
      </c>
      <c r="J1654" s="11">
        <f>IF($B1654="","",IF(COUNTIF(Players!$A$2:$A$500,$B1654)=0,"Player is not on the Players tab",IF(NOT(ISNUMBER($C1654)),"Enter a gross score",IF(COUNTIFS($A$5:$A$1668,$A1654,$B$5:$B$1668,$B1654)&gt;1,"Player is listed twice this week",IF(AND($D1654&lt;&gt;"",COUNTIFS($A$5:$A$1668,$A1654,$D$5:$D$1668,$D1654)&gt;1),"Two players picked as "&amp;$D1654,IF(COUNTIFS($A$5:$A$1668,$A1654,$D$5:$D$1668,"Gross winner")=0,"Pick this week's gross winner",IF(COUNTIFS($A$5:$A$1668,$A1654,$D$5:$D$1668,"Net winner")=0,"Pick this week's net winner","OK")))))))</f>
        <v/>
      </c>
    </row>
    <row r="1655" outlineLevel="1">
      <c r="A1655" s="13" t="n">
        <v>46750</v>
      </c>
      <c r="E1655" s="11">
        <f>IF(OR($B1655="",NOT(ISNUMBER($C1655))),"",COUNTIFS($A$5:$A$1668,$A1655,$C$5:$C$1668,"&lt;"&amp;$C1655)+1)</f>
        <v/>
      </c>
      <c r="F1655" s="11">
        <f>IF(OR($B1655="",NOT(ISNUMBER($C1655))),"",COUNTIFS($A$5:$A$1668,$A1655,$C$5:$C$1668,"&gt;0"))</f>
        <v/>
      </c>
      <c r="G1655" s="11">
        <f>IF(OR($B1655="",NOT(ISNUMBER($C1655))),"",IF($D1655&lt;&gt;"",ROUND(Points!$B$6*IF($F1655&lt;Points!$H$4,Points!$H$5,1),0),ROUND(Points!$B$6*IF($F1655&lt;=1,1,Points!$H$7+(1-Points!$H$7)*((($F1655-$E1655)*(($F1655-$E1655)+1)/2)^2-((($F1655-$E1655-COUNTIFS($A$5:$A$1668,$A1655,$C$5:$C$1668,$C1655)+1)-1)*($F1655-$E1655-COUNTIFS($A$5:$A$1668,$A1655,$C$5:$C$1668,$C1655)+1)/2)^2)/(COUNTIFS($A$5:$A$1668,$A1655,$C$5:$C$1668,$C1655)*($F1655-1)^3))*IF($F1655&lt;Points!$H$4,Points!$H$5,1),0)))</f>
        <v/>
      </c>
      <c r="H1655" s="11">
        <f>IF($G1655="","",COUNTIFS($B$5:$B$1668,$B1655,$G$5:$G$1668,"&gt;"&amp;$G1655)+COUNTIFS($B$4:$B1654,$B1655,$G$4:$G1654,$G1655)+1)</f>
        <v/>
      </c>
      <c r="I1655" s="11">
        <f>IF($G1655="","",IF($H1655&lt;=Points!$H$6,$G1655,0))</f>
        <v/>
      </c>
      <c r="J1655" s="11">
        <f>IF($B1655="","",IF(COUNTIF(Players!$A$2:$A$500,$B1655)=0,"Player is not on the Players tab",IF(NOT(ISNUMBER($C1655)),"Enter a gross score",IF(COUNTIFS($A$5:$A$1668,$A1655,$B$5:$B$1668,$B1655)&gt;1,"Player is listed twice this week",IF(AND($D1655&lt;&gt;"",COUNTIFS($A$5:$A$1668,$A1655,$D$5:$D$1668,$D1655)&gt;1),"Two players picked as "&amp;$D1655,IF(COUNTIFS($A$5:$A$1668,$A1655,$D$5:$D$1668,"Gross winner")=0,"Pick this week's gross winner",IF(COUNTIFS($A$5:$A$1668,$A1655,$D$5:$D$1668,"Net winner")=0,"Pick this week's net winner","OK")))))))</f>
        <v/>
      </c>
    </row>
    <row r="1656" outlineLevel="1">
      <c r="A1656" s="13" t="n">
        <v>46750</v>
      </c>
      <c r="E1656" s="11">
        <f>IF(OR($B1656="",NOT(ISNUMBER($C1656))),"",COUNTIFS($A$5:$A$1668,$A1656,$C$5:$C$1668,"&lt;"&amp;$C1656)+1)</f>
        <v/>
      </c>
      <c r="F1656" s="11">
        <f>IF(OR($B1656="",NOT(ISNUMBER($C1656))),"",COUNTIFS($A$5:$A$1668,$A1656,$C$5:$C$1668,"&gt;0"))</f>
        <v/>
      </c>
      <c r="G1656" s="11">
        <f>IF(OR($B1656="",NOT(ISNUMBER($C1656))),"",IF($D1656&lt;&gt;"",ROUND(Points!$B$6*IF($F1656&lt;Points!$H$4,Points!$H$5,1),0),ROUND(Points!$B$6*IF($F1656&lt;=1,1,Points!$H$7+(1-Points!$H$7)*((($F1656-$E1656)*(($F1656-$E1656)+1)/2)^2-((($F1656-$E1656-COUNTIFS($A$5:$A$1668,$A1656,$C$5:$C$1668,$C1656)+1)-1)*($F1656-$E1656-COUNTIFS($A$5:$A$1668,$A1656,$C$5:$C$1668,$C1656)+1)/2)^2)/(COUNTIFS($A$5:$A$1668,$A1656,$C$5:$C$1668,$C1656)*($F1656-1)^3))*IF($F1656&lt;Points!$H$4,Points!$H$5,1),0)))</f>
        <v/>
      </c>
      <c r="H1656" s="11">
        <f>IF($G1656="","",COUNTIFS($B$5:$B$1668,$B1656,$G$5:$G$1668,"&gt;"&amp;$G1656)+COUNTIFS($B$4:$B1655,$B1656,$G$4:$G1655,$G1656)+1)</f>
        <v/>
      </c>
      <c r="I1656" s="11">
        <f>IF($G1656="","",IF($H1656&lt;=Points!$H$6,$G1656,0))</f>
        <v/>
      </c>
      <c r="J1656" s="11">
        <f>IF($B1656="","",IF(COUNTIF(Players!$A$2:$A$500,$B1656)=0,"Player is not on the Players tab",IF(NOT(ISNUMBER($C1656)),"Enter a gross score",IF(COUNTIFS($A$5:$A$1668,$A1656,$B$5:$B$1668,$B1656)&gt;1,"Player is listed twice this week",IF(AND($D1656&lt;&gt;"",COUNTIFS($A$5:$A$1668,$A1656,$D$5:$D$1668,$D1656)&gt;1),"Two players picked as "&amp;$D1656,IF(COUNTIFS($A$5:$A$1668,$A1656,$D$5:$D$1668,"Gross winner")=0,"Pick this week's gross winner",IF(COUNTIFS($A$5:$A$1668,$A1656,$D$5:$D$1668,"Net winner")=0,"Pick this week's net winner","OK")))))))</f>
        <v/>
      </c>
    </row>
    <row r="1657" outlineLevel="1">
      <c r="A1657" s="13" t="n">
        <v>46750</v>
      </c>
      <c r="E1657" s="11">
        <f>IF(OR($B1657="",NOT(ISNUMBER($C1657))),"",COUNTIFS($A$5:$A$1668,$A1657,$C$5:$C$1668,"&lt;"&amp;$C1657)+1)</f>
        <v/>
      </c>
      <c r="F1657" s="11">
        <f>IF(OR($B1657="",NOT(ISNUMBER($C1657))),"",COUNTIFS($A$5:$A$1668,$A1657,$C$5:$C$1668,"&gt;0"))</f>
        <v/>
      </c>
      <c r="G1657" s="11">
        <f>IF(OR($B1657="",NOT(ISNUMBER($C1657))),"",IF($D1657&lt;&gt;"",ROUND(Points!$B$6*IF($F1657&lt;Points!$H$4,Points!$H$5,1),0),ROUND(Points!$B$6*IF($F1657&lt;=1,1,Points!$H$7+(1-Points!$H$7)*((($F1657-$E1657)*(($F1657-$E1657)+1)/2)^2-((($F1657-$E1657-COUNTIFS($A$5:$A$1668,$A1657,$C$5:$C$1668,$C1657)+1)-1)*($F1657-$E1657-COUNTIFS($A$5:$A$1668,$A1657,$C$5:$C$1668,$C1657)+1)/2)^2)/(COUNTIFS($A$5:$A$1668,$A1657,$C$5:$C$1668,$C1657)*($F1657-1)^3))*IF($F1657&lt;Points!$H$4,Points!$H$5,1),0)))</f>
        <v/>
      </c>
      <c r="H1657" s="11">
        <f>IF($G1657="","",COUNTIFS($B$5:$B$1668,$B1657,$G$5:$G$1668,"&gt;"&amp;$G1657)+COUNTIFS($B$4:$B1656,$B1657,$G$4:$G1656,$G1657)+1)</f>
        <v/>
      </c>
      <c r="I1657" s="11">
        <f>IF($G1657="","",IF($H1657&lt;=Points!$H$6,$G1657,0))</f>
        <v/>
      </c>
      <c r="J1657" s="11">
        <f>IF($B1657="","",IF(COUNTIF(Players!$A$2:$A$500,$B1657)=0,"Player is not on the Players tab",IF(NOT(ISNUMBER($C1657)),"Enter a gross score",IF(COUNTIFS($A$5:$A$1668,$A1657,$B$5:$B$1668,$B1657)&gt;1,"Player is listed twice this week",IF(AND($D1657&lt;&gt;"",COUNTIFS($A$5:$A$1668,$A1657,$D$5:$D$1668,$D1657)&gt;1),"Two players picked as "&amp;$D1657,IF(COUNTIFS($A$5:$A$1668,$A1657,$D$5:$D$1668,"Gross winner")=0,"Pick this week's gross winner",IF(COUNTIFS($A$5:$A$1668,$A1657,$D$5:$D$1668,"Net winner")=0,"Pick this week's net winner","OK")))))))</f>
        <v/>
      </c>
    </row>
    <row r="1658" outlineLevel="1">
      <c r="A1658" s="13" t="n">
        <v>46750</v>
      </c>
      <c r="E1658" s="11">
        <f>IF(OR($B1658="",NOT(ISNUMBER($C1658))),"",COUNTIFS($A$5:$A$1668,$A1658,$C$5:$C$1668,"&lt;"&amp;$C1658)+1)</f>
        <v/>
      </c>
      <c r="F1658" s="11">
        <f>IF(OR($B1658="",NOT(ISNUMBER($C1658))),"",COUNTIFS($A$5:$A$1668,$A1658,$C$5:$C$1668,"&gt;0"))</f>
        <v/>
      </c>
      <c r="G1658" s="11">
        <f>IF(OR($B1658="",NOT(ISNUMBER($C1658))),"",IF($D1658&lt;&gt;"",ROUND(Points!$B$6*IF($F1658&lt;Points!$H$4,Points!$H$5,1),0),ROUND(Points!$B$6*IF($F1658&lt;=1,1,Points!$H$7+(1-Points!$H$7)*((($F1658-$E1658)*(($F1658-$E1658)+1)/2)^2-((($F1658-$E1658-COUNTIFS($A$5:$A$1668,$A1658,$C$5:$C$1668,$C1658)+1)-1)*($F1658-$E1658-COUNTIFS($A$5:$A$1668,$A1658,$C$5:$C$1668,$C1658)+1)/2)^2)/(COUNTIFS($A$5:$A$1668,$A1658,$C$5:$C$1668,$C1658)*($F1658-1)^3))*IF($F1658&lt;Points!$H$4,Points!$H$5,1),0)))</f>
        <v/>
      </c>
      <c r="H1658" s="11">
        <f>IF($G1658="","",COUNTIFS($B$5:$B$1668,$B1658,$G$5:$G$1668,"&gt;"&amp;$G1658)+COUNTIFS($B$4:$B1657,$B1658,$G$4:$G1657,$G1658)+1)</f>
        <v/>
      </c>
      <c r="I1658" s="11">
        <f>IF($G1658="","",IF($H1658&lt;=Points!$H$6,$G1658,0))</f>
        <v/>
      </c>
      <c r="J1658" s="11">
        <f>IF($B1658="","",IF(COUNTIF(Players!$A$2:$A$500,$B1658)=0,"Player is not on the Players tab",IF(NOT(ISNUMBER($C1658)),"Enter a gross score",IF(COUNTIFS($A$5:$A$1668,$A1658,$B$5:$B$1668,$B1658)&gt;1,"Player is listed twice this week",IF(AND($D1658&lt;&gt;"",COUNTIFS($A$5:$A$1668,$A1658,$D$5:$D$1668,$D1658)&gt;1),"Two players picked as "&amp;$D1658,IF(COUNTIFS($A$5:$A$1668,$A1658,$D$5:$D$1668,"Gross winner")=0,"Pick this week's gross winner",IF(COUNTIFS($A$5:$A$1668,$A1658,$D$5:$D$1668,"Net winner")=0,"Pick this week's net winner","OK")))))))</f>
        <v/>
      </c>
    </row>
    <row r="1659" outlineLevel="1">
      <c r="A1659" s="13" t="n">
        <v>46750</v>
      </c>
      <c r="E1659" s="11">
        <f>IF(OR($B1659="",NOT(ISNUMBER($C1659))),"",COUNTIFS($A$5:$A$1668,$A1659,$C$5:$C$1668,"&lt;"&amp;$C1659)+1)</f>
        <v/>
      </c>
      <c r="F1659" s="11">
        <f>IF(OR($B1659="",NOT(ISNUMBER($C1659))),"",COUNTIFS($A$5:$A$1668,$A1659,$C$5:$C$1668,"&gt;0"))</f>
        <v/>
      </c>
      <c r="G1659" s="11">
        <f>IF(OR($B1659="",NOT(ISNUMBER($C1659))),"",IF($D1659&lt;&gt;"",ROUND(Points!$B$6*IF($F1659&lt;Points!$H$4,Points!$H$5,1),0),ROUND(Points!$B$6*IF($F1659&lt;=1,1,Points!$H$7+(1-Points!$H$7)*((($F1659-$E1659)*(($F1659-$E1659)+1)/2)^2-((($F1659-$E1659-COUNTIFS($A$5:$A$1668,$A1659,$C$5:$C$1668,$C1659)+1)-1)*($F1659-$E1659-COUNTIFS($A$5:$A$1668,$A1659,$C$5:$C$1668,$C1659)+1)/2)^2)/(COUNTIFS($A$5:$A$1668,$A1659,$C$5:$C$1668,$C1659)*($F1659-1)^3))*IF($F1659&lt;Points!$H$4,Points!$H$5,1),0)))</f>
        <v/>
      </c>
      <c r="H1659" s="11">
        <f>IF($G1659="","",COUNTIFS($B$5:$B$1668,$B1659,$G$5:$G$1668,"&gt;"&amp;$G1659)+COUNTIFS($B$4:$B1658,$B1659,$G$4:$G1658,$G1659)+1)</f>
        <v/>
      </c>
      <c r="I1659" s="11">
        <f>IF($G1659="","",IF($H1659&lt;=Points!$H$6,$G1659,0))</f>
        <v/>
      </c>
      <c r="J1659" s="11">
        <f>IF($B1659="","",IF(COUNTIF(Players!$A$2:$A$500,$B1659)=0,"Player is not on the Players tab",IF(NOT(ISNUMBER($C1659)),"Enter a gross score",IF(COUNTIFS($A$5:$A$1668,$A1659,$B$5:$B$1668,$B1659)&gt;1,"Player is listed twice this week",IF(AND($D1659&lt;&gt;"",COUNTIFS($A$5:$A$1668,$A1659,$D$5:$D$1668,$D1659)&gt;1),"Two players picked as "&amp;$D1659,IF(COUNTIFS($A$5:$A$1668,$A1659,$D$5:$D$1668,"Gross winner")=0,"Pick this week's gross winner",IF(COUNTIFS($A$5:$A$1668,$A1659,$D$5:$D$1668,"Net winner")=0,"Pick this week's net winner","OK")))))))</f>
        <v/>
      </c>
    </row>
    <row r="1660" outlineLevel="1">
      <c r="A1660" s="13" t="n">
        <v>46750</v>
      </c>
      <c r="E1660" s="11">
        <f>IF(OR($B1660="",NOT(ISNUMBER($C1660))),"",COUNTIFS($A$5:$A$1668,$A1660,$C$5:$C$1668,"&lt;"&amp;$C1660)+1)</f>
        <v/>
      </c>
      <c r="F1660" s="11">
        <f>IF(OR($B1660="",NOT(ISNUMBER($C1660))),"",COUNTIFS($A$5:$A$1668,$A1660,$C$5:$C$1668,"&gt;0"))</f>
        <v/>
      </c>
      <c r="G1660" s="11">
        <f>IF(OR($B1660="",NOT(ISNUMBER($C1660))),"",IF($D1660&lt;&gt;"",ROUND(Points!$B$6*IF($F1660&lt;Points!$H$4,Points!$H$5,1),0),ROUND(Points!$B$6*IF($F1660&lt;=1,1,Points!$H$7+(1-Points!$H$7)*((($F1660-$E1660)*(($F1660-$E1660)+1)/2)^2-((($F1660-$E1660-COUNTIFS($A$5:$A$1668,$A1660,$C$5:$C$1668,$C1660)+1)-1)*($F1660-$E1660-COUNTIFS($A$5:$A$1668,$A1660,$C$5:$C$1668,$C1660)+1)/2)^2)/(COUNTIFS($A$5:$A$1668,$A1660,$C$5:$C$1668,$C1660)*($F1660-1)^3))*IF($F1660&lt;Points!$H$4,Points!$H$5,1),0)))</f>
        <v/>
      </c>
      <c r="H1660" s="11">
        <f>IF($G1660="","",COUNTIFS($B$5:$B$1668,$B1660,$G$5:$G$1668,"&gt;"&amp;$G1660)+COUNTIFS($B$4:$B1659,$B1660,$G$4:$G1659,$G1660)+1)</f>
        <v/>
      </c>
      <c r="I1660" s="11">
        <f>IF($G1660="","",IF($H1660&lt;=Points!$H$6,$G1660,0))</f>
        <v/>
      </c>
      <c r="J1660" s="11">
        <f>IF($B1660="","",IF(COUNTIF(Players!$A$2:$A$500,$B1660)=0,"Player is not on the Players tab",IF(NOT(ISNUMBER($C1660)),"Enter a gross score",IF(COUNTIFS($A$5:$A$1668,$A1660,$B$5:$B$1668,$B1660)&gt;1,"Player is listed twice this week",IF(AND($D1660&lt;&gt;"",COUNTIFS($A$5:$A$1668,$A1660,$D$5:$D$1668,$D1660)&gt;1),"Two players picked as "&amp;$D1660,IF(COUNTIFS($A$5:$A$1668,$A1660,$D$5:$D$1668,"Gross winner")=0,"Pick this week's gross winner",IF(COUNTIFS($A$5:$A$1668,$A1660,$D$5:$D$1668,"Net winner")=0,"Pick this week's net winner","OK")))))))</f>
        <v/>
      </c>
    </row>
    <row r="1661" outlineLevel="1">
      <c r="A1661" s="13" t="n">
        <v>46750</v>
      </c>
      <c r="E1661" s="11">
        <f>IF(OR($B1661="",NOT(ISNUMBER($C1661))),"",COUNTIFS($A$5:$A$1668,$A1661,$C$5:$C$1668,"&lt;"&amp;$C1661)+1)</f>
        <v/>
      </c>
      <c r="F1661" s="11">
        <f>IF(OR($B1661="",NOT(ISNUMBER($C1661))),"",COUNTIFS($A$5:$A$1668,$A1661,$C$5:$C$1668,"&gt;0"))</f>
        <v/>
      </c>
      <c r="G1661" s="11">
        <f>IF(OR($B1661="",NOT(ISNUMBER($C1661))),"",IF($D1661&lt;&gt;"",ROUND(Points!$B$6*IF($F1661&lt;Points!$H$4,Points!$H$5,1),0),ROUND(Points!$B$6*IF($F1661&lt;=1,1,Points!$H$7+(1-Points!$H$7)*((($F1661-$E1661)*(($F1661-$E1661)+1)/2)^2-((($F1661-$E1661-COUNTIFS($A$5:$A$1668,$A1661,$C$5:$C$1668,$C1661)+1)-1)*($F1661-$E1661-COUNTIFS($A$5:$A$1668,$A1661,$C$5:$C$1668,$C1661)+1)/2)^2)/(COUNTIFS($A$5:$A$1668,$A1661,$C$5:$C$1668,$C1661)*($F1661-1)^3))*IF($F1661&lt;Points!$H$4,Points!$H$5,1),0)))</f>
        <v/>
      </c>
      <c r="H1661" s="11">
        <f>IF($G1661="","",COUNTIFS($B$5:$B$1668,$B1661,$G$5:$G$1668,"&gt;"&amp;$G1661)+COUNTIFS($B$4:$B1660,$B1661,$G$4:$G1660,$G1661)+1)</f>
        <v/>
      </c>
      <c r="I1661" s="11">
        <f>IF($G1661="","",IF($H1661&lt;=Points!$H$6,$G1661,0))</f>
        <v/>
      </c>
      <c r="J1661" s="11">
        <f>IF($B1661="","",IF(COUNTIF(Players!$A$2:$A$500,$B1661)=0,"Player is not on the Players tab",IF(NOT(ISNUMBER($C1661)),"Enter a gross score",IF(COUNTIFS($A$5:$A$1668,$A1661,$B$5:$B$1668,$B1661)&gt;1,"Player is listed twice this week",IF(AND($D1661&lt;&gt;"",COUNTIFS($A$5:$A$1668,$A1661,$D$5:$D$1668,$D1661)&gt;1),"Two players picked as "&amp;$D1661,IF(COUNTIFS($A$5:$A$1668,$A1661,$D$5:$D$1668,"Gross winner")=0,"Pick this week's gross winner",IF(COUNTIFS($A$5:$A$1668,$A1661,$D$5:$D$1668,"Net winner")=0,"Pick this week's net winner","OK")))))))</f>
        <v/>
      </c>
    </row>
    <row r="1662" outlineLevel="1">
      <c r="A1662" s="13" t="n">
        <v>46750</v>
      </c>
      <c r="E1662" s="11">
        <f>IF(OR($B1662="",NOT(ISNUMBER($C1662))),"",COUNTIFS($A$5:$A$1668,$A1662,$C$5:$C$1668,"&lt;"&amp;$C1662)+1)</f>
        <v/>
      </c>
      <c r="F1662" s="11">
        <f>IF(OR($B1662="",NOT(ISNUMBER($C1662))),"",COUNTIFS($A$5:$A$1668,$A1662,$C$5:$C$1668,"&gt;0"))</f>
        <v/>
      </c>
      <c r="G1662" s="11">
        <f>IF(OR($B1662="",NOT(ISNUMBER($C1662))),"",IF($D1662&lt;&gt;"",ROUND(Points!$B$6*IF($F1662&lt;Points!$H$4,Points!$H$5,1),0),ROUND(Points!$B$6*IF($F1662&lt;=1,1,Points!$H$7+(1-Points!$H$7)*((($F1662-$E1662)*(($F1662-$E1662)+1)/2)^2-((($F1662-$E1662-COUNTIFS($A$5:$A$1668,$A1662,$C$5:$C$1668,$C1662)+1)-1)*($F1662-$E1662-COUNTIFS($A$5:$A$1668,$A1662,$C$5:$C$1668,$C1662)+1)/2)^2)/(COUNTIFS($A$5:$A$1668,$A1662,$C$5:$C$1668,$C1662)*($F1662-1)^3))*IF($F1662&lt;Points!$H$4,Points!$H$5,1),0)))</f>
        <v/>
      </c>
      <c r="H1662" s="11">
        <f>IF($G1662="","",COUNTIFS($B$5:$B$1668,$B1662,$G$5:$G$1668,"&gt;"&amp;$G1662)+COUNTIFS($B$4:$B1661,$B1662,$G$4:$G1661,$G1662)+1)</f>
        <v/>
      </c>
      <c r="I1662" s="11">
        <f>IF($G1662="","",IF($H1662&lt;=Points!$H$6,$G1662,0))</f>
        <v/>
      </c>
      <c r="J1662" s="11">
        <f>IF($B1662="","",IF(COUNTIF(Players!$A$2:$A$500,$B1662)=0,"Player is not on the Players tab",IF(NOT(ISNUMBER($C1662)),"Enter a gross score",IF(COUNTIFS($A$5:$A$1668,$A1662,$B$5:$B$1668,$B1662)&gt;1,"Player is listed twice this week",IF(AND($D1662&lt;&gt;"",COUNTIFS($A$5:$A$1668,$A1662,$D$5:$D$1668,$D1662)&gt;1),"Two players picked as "&amp;$D1662,IF(COUNTIFS($A$5:$A$1668,$A1662,$D$5:$D$1668,"Gross winner")=0,"Pick this week's gross winner",IF(COUNTIFS($A$5:$A$1668,$A1662,$D$5:$D$1668,"Net winner")=0,"Pick this week's net winner","OK")))))))</f>
        <v/>
      </c>
    </row>
    <row r="1663" outlineLevel="1">
      <c r="A1663" s="13" t="n">
        <v>46750</v>
      </c>
      <c r="E1663" s="11">
        <f>IF(OR($B1663="",NOT(ISNUMBER($C1663))),"",COUNTIFS($A$5:$A$1668,$A1663,$C$5:$C$1668,"&lt;"&amp;$C1663)+1)</f>
        <v/>
      </c>
      <c r="F1663" s="11">
        <f>IF(OR($B1663="",NOT(ISNUMBER($C1663))),"",COUNTIFS($A$5:$A$1668,$A1663,$C$5:$C$1668,"&gt;0"))</f>
        <v/>
      </c>
      <c r="G1663" s="11">
        <f>IF(OR($B1663="",NOT(ISNUMBER($C1663))),"",IF($D1663&lt;&gt;"",ROUND(Points!$B$6*IF($F1663&lt;Points!$H$4,Points!$H$5,1),0),ROUND(Points!$B$6*IF($F1663&lt;=1,1,Points!$H$7+(1-Points!$H$7)*((($F1663-$E1663)*(($F1663-$E1663)+1)/2)^2-((($F1663-$E1663-COUNTIFS($A$5:$A$1668,$A1663,$C$5:$C$1668,$C1663)+1)-1)*($F1663-$E1663-COUNTIFS($A$5:$A$1668,$A1663,$C$5:$C$1668,$C1663)+1)/2)^2)/(COUNTIFS($A$5:$A$1668,$A1663,$C$5:$C$1668,$C1663)*($F1663-1)^3))*IF($F1663&lt;Points!$H$4,Points!$H$5,1),0)))</f>
        <v/>
      </c>
      <c r="H1663" s="11">
        <f>IF($G1663="","",COUNTIFS($B$5:$B$1668,$B1663,$G$5:$G$1668,"&gt;"&amp;$G1663)+COUNTIFS($B$4:$B1662,$B1663,$G$4:$G1662,$G1663)+1)</f>
        <v/>
      </c>
      <c r="I1663" s="11">
        <f>IF($G1663="","",IF($H1663&lt;=Points!$H$6,$G1663,0))</f>
        <v/>
      </c>
      <c r="J1663" s="11">
        <f>IF($B1663="","",IF(COUNTIF(Players!$A$2:$A$500,$B1663)=0,"Player is not on the Players tab",IF(NOT(ISNUMBER($C1663)),"Enter a gross score",IF(COUNTIFS($A$5:$A$1668,$A1663,$B$5:$B$1668,$B1663)&gt;1,"Player is listed twice this week",IF(AND($D1663&lt;&gt;"",COUNTIFS($A$5:$A$1668,$A1663,$D$5:$D$1668,$D1663)&gt;1),"Two players picked as "&amp;$D1663,IF(COUNTIFS($A$5:$A$1668,$A1663,$D$5:$D$1668,"Gross winner")=0,"Pick this week's gross winner",IF(COUNTIFS($A$5:$A$1668,$A1663,$D$5:$D$1668,"Net winner")=0,"Pick this week's net winner","OK")))))))</f>
        <v/>
      </c>
    </row>
    <row r="1664" outlineLevel="1">
      <c r="A1664" s="13" t="n">
        <v>46750</v>
      </c>
      <c r="E1664" s="11">
        <f>IF(OR($B1664="",NOT(ISNUMBER($C1664))),"",COUNTIFS($A$5:$A$1668,$A1664,$C$5:$C$1668,"&lt;"&amp;$C1664)+1)</f>
        <v/>
      </c>
      <c r="F1664" s="11">
        <f>IF(OR($B1664="",NOT(ISNUMBER($C1664))),"",COUNTIFS($A$5:$A$1668,$A1664,$C$5:$C$1668,"&gt;0"))</f>
        <v/>
      </c>
      <c r="G1664" s="11">
        <f>IF(OR($B1664="",NOT(ISNUMBER($C1664))),"",IF($D1664&lt;&gt;"",ROUND(Points!$B$6*IF($F1664&lt;Points!$H$4,Points!$H$5,1),0),ROUND(Points!$B$6*IF($F1664&lt;=1,1,Points!$H$7+(1-Points!$H$7)*((($F1664-$E1664)*(($F1664-$E1664)+1)/2)^2-((($F1664-$E1664-COUNTIFS($A$5:$A$1668,$A1664,$C$5:$C$1668,$C1664)+1)-1)*($F1664-$E1664-COUNTIFS($A$5:$A$1668,$A1664,$C$5:$C$1668,$C1664)+1)/2)^2)/(COUNTIFS($A$5:$A$1668,$A1664,$C$5:$C$1668,$C1664)*($F1664-1)^3))*IF($F1664&lt;Points!$H$4,Points!$H$5,1),0)))</f>
        <v/>
      </c>
      <c r="H1664" s="11">
        <f>IF($G1664="","",COUNTIFS($B$5:$B$1668,$B1664,$G$5:$G$1668,"&gt;"&amp;$G1664)+COUNTIFS($B$4:$B1663,$B1664,$G$4:$G1663,$G1664)+1)</f>
        <v/>
      </c>
      <c r="I1664" s="11">
        <f>IF($G1664="","",IF($H1664&lt;=Points!$H$6,$G1664,0))</f>
        <v/>
      </c>
      <c r="J1664" s="11">
        <f>IF($B1664="","",IF(COUNTIF(Players!$A$2:$A$500,$B1664)=0,"Player is not on the Players tab",IF(NOT(ISNUMBER($C1664)),"Enter a gross score",IF(COUNTIFS($A$5:$A$1668,$A1664,$B$5:$B$1668,$B1664)&gt;1,"Player is listed twice this week",IF(AND($D1664&lt;&gt;"",COUNTIFS($A$5:$A$1668,$A1664,$D$5:$D$1668,$D1664)&gt;1),"Two players picked as "&amp;$D1664,IF(COUNTIFS($A$5:$A$1668,$A1664,$D$5:$D$1668,"Gross winner")=0,"Pick this week's gross winner",IF(COUNTIFS($A$5:$A$1668,$A1664,$D$5:$D$1668,"Net winner")=0,"Pick this week's net winner","OK")))))))</f>
        <v/>
      </c>
    </row>
    <row r="1665" outlineLevel="1">
      <c r="A1665" s="13" t="n">
        <v>46750</v>
      </c>
      <c r="E1665" s="11">
        <f>IF(OR($B1665="",NOT(ISNUMBER($C1665))),"",COUNTIFS($A$5:$A$1668,$A1665,$C$5:$C$1668,"&lt;"&amp;$C1665)+1)</f>
        <v/>
      </c>
      <c r="F1665" s="11">
        <f>IF(OR($B1665="",NOT(ISNUMBER($C1665))),"",COUNTIFS($A$5:$A$1668,$A1665,$C$5:$C$1668,"&gt;0"))</f>
        <v/>
      </c>
      <c r="G1665" s="11">
        <f>IF(OR($B1665="",NOT(ISNUMBER($C1665))),"",IF($D1665&lt;&gt;"",ROUND(Points!$B$6*IF($F1665&lt;Points!$H$4,Points!$H$5,1),0),ROUND(Points!$B$6*IF($F1665&lt;=1,1,Points!$H$7+(1-Points!$H$7)*((($F1665-$E1665)*(($F1665-$E1665)+1)/2)^2-((($F1665-$E1665-COUNTIFS($A$5:$A$1668,$A1665,$C$5:$C$1668,$C1665)+1)-1)*($F1665-$E1665-COUNTIFS($A$5:$A$1668,$A1665,$C$5:$C$1668,$C1665)+1)/2)^2)/(COUNTIFS($A$5:$A$1668,$A1665,$C$5:$C$1668,$C1665)*($F1665-1)^3))*IF($F1665&lt;Points!$H$4,Points!$H$5,1),0)))</f>
        <v/>
      </c>
      <c r="H1665" s="11">
        <f>IF($G1665="","",COUNTIFS($B$5:$B$1668,$B1665,$G$5:$G$1668,"&gt;"&amp;$G1665)+COUNTIFS($B$4:$B1664,$B1665,$G$4:$G1664,$G1665)+1)</f>
        <v/>
      </c>
      <c r="I1665" s="11">
        <f>IF($G1665="","",IF($H1665&lt;=Points!$H$6,$G1665,0))</f>
        <v/>
      </c>
      <c r="J1665" s="11">
        <f>IF($B1665="","",IF(COUNTIF(Players!$A$2:$A$500,$B1665)=0,"Player is not on the Players tab",IF(NOT(ISNUMBER($C1665)),"Enter a gross score",IF(COUNTIFS($A$5:$A$1668,$A1665,$B$5:$B$1668,$B1665)&gt;1,"Player is listed twice this week",IF(AND($D1665&lt;&gt;"",COUNTIFS($A$5:$A$1668,$A1665,$D$5:$D$1668,$D1665)&gt;1),"Two players picked as "&amp;$D1665,IF(COUNTIFS($A$5:$A$1668,$A1665,$D$5:$D$1668,"Gross winner")=0,"Pick this week's gross winner",IF(COUNTIFS($A$5:$A$1668,$A1665,$D$5:$D$1668,"Net winner")=0,"Pick this week's net winner","OK")))))))</f>
        <v/>
      </c>
    </row>
    <row r="1666" outlineLevel="1">
      <c r="A1666" s="13" t="n">
        <v>46750</v>
      </c>
      <c r="E1666" s="11">
        <f>IF(OR($B1666="",NOT(ISNUMBER($C1666))),"",COUNTIFS($A$5:$A$1668,$A1666,$C$5:$C$1668,"&lt;"&amp;$C1666)+1)</f>
        <v/>
      </c>
      <c r="F1666" s="11">
        <f>IF(OR($B1666="",NOT(ISNUMBER($C1666))),"",COUNTIFS($A$5:$A$1668,$A1666,$C$5:$C$1668,"&gt;0"))</f>
        <v/>
      </c>
      <c r="G1666" s="11">
        <f>IF(OR($B1666="",NOT(ISNUMBER($C1666))),"",IF($D1666&lt;&gt;"",ROUND(Points!$B$6*IF($F1666&lt;Points!$H$4,Points!$H$5,1),0),ROUND(Points!$B$6*IF($F1666&lt;=1,1,Points!$H$7+(1-Points!$H$7)*((($F1666-$E1666)*(($F1666-$E1666)+1)/2)^2-((($F1666-$E1666-COUNTIFS($A$5:$A$1668,$A1666,$C$5:$C$1668,$C1666)+1)-1)*($F1666-$E1666-COUNTIFS($A$5:$A$1668,$A1666,$C$5:$C$1668,$C1666)+1)/2)^2)/(COUNTIFS($A$5:$A$1668,$A1666,$C$5:$C$1668,$C1666)*($F1666-1)^3))*IF($F1666&lt;Points!$H$4,Points!$H$5,1),0)))</f>
        <v/>
      </c>
      <c r="H1666" s="11">
        <f>IF($G1666="","",COUNTIFS($B$5:$B$1668,$B1666,$G$5:$G$1668,"&gt;"&amp;$G1666)+COUNTIFS($B$4:$B1665,$B1666,$G$4:$G1665,$G1666)+1)</f>
        <v/>
      </c>
      <c r="I1666" s="11">
        <f>IF($G1666="","",IF($H1666&lt;=Points!$H$6,$G1666,0))</f>
        <v/>
      </c>
      <c r="J1666" s="11">
        <f>IF($B1666="","",IF(COUNTIF(Players!$A$2:$A$500,$B1666)=0,"Player is not on the Players tab",IF(NOT(ISNUMBER($C1666)),"Enter a gross score",IF(COUNTIFS($A$5:$A$1668,$A1666,$B$5:$B$1668,$B1666)&gt;1,"Player is listed twice this week",IF(AND($D1666&lt;&gt;"",COUNTIFS($A$5:$A$1668,$A1666,$D$5:$D$1668,$D1666)&gt;1),"Two players picked as "&amp;$D1666,IF(COUNTIFS($A$5:$A$1668,$A1666,$D$5:$D$1668,"Gross winner")=0,"Pick this week's gross winner",IF(COUNTIFS($A$5:$A$1668,$A1666,$D$5:$D$1668,"Net winner")=0,"Pick this week's net winner","OK")))))))</f>
        <v/>
      </c>
    </row>
    <row r="1667" outlineLevel="1">
      <c r="A1667" s="13" t="n">
        <v>46750</v>
      </c>
      <c r="E1667" s="11">
        <f>IF(OR($B1667="",NOT(ISNUMBER($C1667))),"",COUNTIFS($A$5:$A$1668,$A1667,$C$5:$C$1668,"&lt;"&amp;$C1667)+1)</f>
        <v/>
      </c>
      <c r="F1667" s="11">
        <f>IF(OR($B1667="",NOT(ISNUMBER($C1667))),"",COUNTIFS($A$5:$A$1668,$A1667,$C$5:$C$1668,"&gt;0"))</f>
        <v/>
      </c>
      <c r="G1667" s="11">
        <f>IF(OR($B1667="",NOT(ISNUMBER($C1667))),"",IF($D1667&lt;&gt;"",ROUND(Points!$B$6*IF($F1667&lt;Points!$H$4,Points!$H$5,1),0),ROUND(Points!$B$6*IF($F1667&lt;=1,1,Points!$H$7+(1-Points!$H$7)*((($F1667-$E1667)*(($F1667-$E1667)+1)/2)^2-((($F1667-$E1667-COUNTIFS($A$5:$A$1668,$A1667,$C$5:$C$1668,$C1667)+1)-1)*($F1667-$E1667-COUNTIFS($A$5:$A$1668,$A1667,$C$5:$C$1668,$C1667)+1)/2)^2)/(COUNTIFS($A$5:$A$1668,$A1667,$C$5:$C$1668,$C1667)*($F1667-1)^3))*IF($F1667&lt;Points!$H$4,Points!$H$5,1),0)))</f>
        <v/>
      </c>
      <c r="H1667" s="11">
        <f>IF($G1667="","",COUNTIFS($B$5:$B$1668,$B1667,$G$5:$G$1668,"&gt;"&amp;$G1667)+COUNTIFS($B$4:$B1666,$B1667,$G$4:$G1666,$G1667)+1)</f>
        <v/>
      </c>
      <c r="I1667" s="11">
        <f>IF($G1667="","",IF($H1667&lt;=Points!$H$6,$G1667,0))</f>
        <v/>
      </c>
      <c r="J1667" s="11">
        <f>IF($B1667="","",IF(COUNTIF(Players!$A$2:$A$500,$B1667)=0,"Player is not on the Players tab",IF(NOT(ISNUMBER($C1667)),"Enter a gross score",IF(COUNTIFS($A$5:$A$1668,$A1667,$B$5:$B$1668,$B1667)&gt;1,"Player is listed twice this week",IF(AND($D1667&lt;&gt;"",COUNTIFS($A$5:$A$1668,$A1667,$D$5:$D$1668,$D1667)&gt;1),"Two players picked as "&amp;$D1667,IF(COUNTIFS($A$5:$A$1668,$A1667,$D$5:$D$1668,"Gross winner")=0,"Pick this week's gross winner",IF(COUNTIFS($A$5:$A$1668,$A1667,$D$5:$D$1668,"Net winner")=0,"Pick this week's net winner","OK")))))))</f>
        <v/>
      </c>
    </row>
    <row r="1668" ht="10" customHeight="1"/>
  </sheetData>
  <mergeCells count="52">
    <mergeCell ref="A1573:J1573"/>
    <mergeCell ref="A5:J5"/>
    <mergeCell ref="A1253:J1253"/>
    <mergeCell ref="A709:J709"/>
    <mergeCell ref="A389:J389"/>
    <mergeCell ref="A613:J613"/>
    <mergeCell ref="A1477:J1477"/>
    <mergeCell ref="A165:J165"/>
    <mergeCell ref="A901:J901"/>
    <mergeCell ref="A357:J357"/>
    <mergeCell ref="A1125:J1125"/>
    <mergeCell ref="A1221:J1221"/>
    <mergeCell ref="A293:J293"/>
    <mergeCell ref="A229:J229"/>
    <mergeCell ref="A965:J965"/>
    <mergeCell ref="A421:J421"/>
    <mergeCell ref="A261:J261"/>
    <mergeCell ref="A1605:J1605"/>
    <mergeCell ref="A549:J549"/>
    <mergeCell ref="A1413:J1413"/>
    <mergeCell ref="A325:J325"/>
    <mergeCell ref="A1189:J1189"/>
    <mergeCell ref="A741:J741"/>
    <mergeCell ref="A869:J869"/>
    <mergeCell ref="A197:J197"/>
    <mergeCell ref="A677:J677"/>
    <mergeCell ref="A837:J837"/>
    <mergeCell ref="A517:J517"/>
    <mergeCell ref="A69:J69"/>
    <mergeCell ref="A933:J933"/>
    <mergeCell ref="A1381:J1381"/>
    <mergeCell ref="A805:J805"/>
    <mergeCell ref="A485:J485"/>
    <mergeCell ref="A1029:J1029"/>
    <mergeCell ref="A1349:J1349"/>
    <mergeCell ref="A453:J453"/>
    <mergeCell ref="A581:J581"/>
    <mergeCell ref="A133:J133"/>
    <mergeCell ref="A37:J37"/>
    <mergeCell ref="A997:J997"/>
    <mergeCell ref="A1445:J1445"/>
    <mergeCell ref="A773:J773"/>
    <mergeCell ref="A1541:J1541"/>
    <mergeCell ref="A1317:J1317"/>
    <mergeCell ref="A1093:J1093"/>
    <mergeCell ref="A645:J645"/>
    <mergeCell ref="A1509:J1509"/>
    <mergeCell ref="A1637:J1637"/>
    <mergeCell ref="A101:J101"/>
    <mergeCell ref="A1061:J1061"/>
    <mergeCell ref="A1285:J1285"/>
    <mergeCell ref="A1157:J1157"/>
  </mergeCells>
  <conditionalFormatting sqref="J5:J1668">
    <cfRule type="expression" priority="1" dxfId="0">
      <formula>AND($J5&lt;&gt;"",$J5&lt;&gt;"OK")</formula>
    </cfRule>
  </conditionalFormatting>
  <dataValidations count="3">
    <dataValidation sqref="B5:B1668" showDropDown="0" showInputMessage="0" showErrorMessage="1" allowBlank="1" errorTitle="Not on the list" error="Pick a player from the list. New players go on the Players tab first." type="list">
      <formula1>Players!$A$2:$A$500</formula1>
    </dataValidation>
    <dataValidation sqref="C5:C1668" showDropDown="0" showInputMessage="0" showErrorMessage="1" allowBlank="1" errorTitle="Strokes only" error="Enter the score in strokes, for example 72." type="whole" operator="between">
      <formula1>1</formula1>
      <formula2>200</formula2>
    </dataValidation>
    <dataValidation sqref="D5:D1668" showDropDown="0" showInputMessage="0" showErrorMessage="1" allowBlank="1" errorTitle="Not on the list" error="Pick a value from the list." type="list">
      <formula1>"Gross winner,Net winner"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 width="3" customWidth="1" min="3" max="3"/>
    <col width="24" customWidth="1" min="4" max="4"/>
    <col width="10" customWidth="1" min="5" max="5"/>
    <col width="3" customWidth="1" min="6" max="6"/>
    <col width="46" customWidth="1" min="7" max="7"/>
    <col width="10" customWidth="1" min="8" max="8"/>
  </cols>
  <sheetData>
    <row r="1" ht="30" customHeight="1">
      <c r="A1" s="4" t="inlineStr">
        <is>
          <t>Event type</t>
        </is>
      </c>
      <c r="B1" s="4" t="inlineStr">
        <is>
          <t>Winner's points</t>
        </is>
      </c>
      <c r="C1" s="4" t="inlineStr"/>
      <c r="D1" s="4" t="inlineStr">
        <is>
          <t>Club Championship result</t>
        </is>
      </c>
      <c r="E1" s="4" t="inlineStr">
        <is>
          <t>Points</t>
        </is>
      </c>
      <c r="F1" s="4" t="inlineStr"/>
      <c r="G1" s="4" t="inlineStr">
        <is>
          <t>Setting</t>
        </is>
      </c>
      <c r="H1" s="4" t="inlineStr">
        <is>
          <t>Value</t>
        </is>
      </c>
    </row>
    <row r="2">
      <c r="A2" t="inlineStr">
        <is>
          <t>Club Championship</t>
        </is>
      </c>
      <c r="B2" t="n">
        <v>1000</v>
      </c>
      <c r="D2" t="inlineStr">
        <is>
          <t>Champion</t>
        </is>
      </c>
      <c r="E2" t="n">
        <v>1000</v>
      </c>
      <c r="G2" t="inlineStr">
        <is>
          <t>Qualifying rank 17 to 32</t>
        </is>
      </c>
      <c r="H2" t="n">
        <v>50</v>
      </c>
    </row>
    <row r="3">
      <c r="A3" t="inlineStr">
        <is>
          <t>Major</t>
        </is>
      </c>
      <c r="B3" t="n">
        <v>600</v>
      </c>
      <c r="D3" t="inlineStr">
        <is>
          <t>Runner-up</t>
        </is>
      </c>
      <c r="E3" t="n">
        <v>650</v>
      </c>
      <c r="G3" t="inlineStr">
        <is>
          <t>Qualifying rank 33 and below</t>
        </is>
      </c>
      <c r="H3" t="n">
        <v>20</v>
      </c>
    </row>
    <row r="4">
      <c r="A4" t="inlineStr">
        <is>
          <t>Scramble League</t>
        </is>
      </c>
      <c r="B4" t="n">
        <v>300</v>
      </c>
      <c r="D4" t="inlineStr">
        <is>
          <t>Semifinal</t>
        </is>
      </c>
      <c r="E4" t="n">
        <v>450</v>
      </c>
      <c r="G4" t="inlineStr">
        <is>
          <t>OHW small field: fewer than this many players</t>
        </is>
      </c>
      <c r="H4" t="n">
        <v>6</v>
      </c>
    </row>
    <row r="5">
      <c r="A5" t="inlineStr">
        <is>
          <t>Tuesday Night League</t>
        </is>
      </c>
      <c r="B5" t="n">
        <v>200</v>
      </c>
      <c r="D5" t="inlineStr">
        <is>
          <t>Quarterfinal</t>
        </is>
      </c>
      <c r="E5" t="n">
        <v>300</v>
      </c>
      <c r="G5" t="inlineStr">
        <is>
          <t>OHW small field multiplier</t>
        </is>
      </c>
      <c r="H5" t="n">
        <v>0.5</v>
      </c>
    </row>
    <row r="6">
      <c r="A6" t="inlineStr">
        <is>
          <t>OHW</t>
        </is>
      </c>
      <c r="B6" t="n">
        <v>50</v>
      </c>
      <c r="D6" t="inlineStr">
        <is>
          <t>Round of 16</t>
        </is>
      </c>
      <c r="E6" t="n">
        <v>200</v>
      </c>
      <c r="G6" t="inlineStr">
        <is>
          <t>OHW weeks that count</t>
        </is>
      </c>
      <c r="H6" t="n">
        <v>12</v>
      </c>
    </row>
    <row r="7">
      <c r="G7" t="inlineStr">
        <is>
          <t>Last place share of winner's points</t>
        </is>
      </c>
      <c r="H7" t="n">
        <v>0.1</v>
      </c>
    </row>
    <row r="10">
      <c r="A10" s="6" t="inlineStr">
        <is>
          <t>Change a number and every point updates. Don't rename the event types or results.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1"/>
  <sheetViews>
    <sheetView workbookViewId="0">
      <pane ySplit="10" topLeftCell="A11" activePane="bottomLeft" state="frozen"/>
      <selection pane="bottomLeft" activeCell="A1" sqref="A1"/>
    </sheetView>
  </sheetViews>
  <sheetFormatPr baseColWidth="8" defaultRowHeight="15"/>
  <cols>
    <col width="26" customWidth="1" min="1" max="1"/>
    <col width="12" customWidth="1" min="2" max="2"/>
    <col width="3" customWidth="1" min="3" max="3"/>
    <col width="9" customWidth="1" min="4" max="4"/>
    <col width="10" customWidth="1" min="5" max="5"/>
    <col width="3" customWidth="1" min="6" max="6"/>
    <col width="30" customWidth="1" min="7" max="7"/>
    <col width="10" customWidth="1" min="8" max="8"/>
    <col width="3" customWidth="1" min="9" max="9"/>
    <col width="36" customWidth="1" min="10" max="10"/>
    <col width="10" customWidth="1" min="11" max="11"/>
  </cols>
  <sheetData>
    <row r="1">
      <c r="A1" s="7" t="inlineStr">
        <is>
          <t>Points Calculator</t>
        </is>
      </c>
    </row>
    <row r="2">
      <c r="A2" s="6" t="inlineStr">
        <is>
          <t>Pick the event and enter how many players or teams finished. The table shows what each place earns.</t>
        </is>
      </c>
    </row>
    <row r="4">
      <c r="A4" s="5" t="inlineStr">
        <is>
          <t>Event</t>
        </is>
      </c>
      <c r="B4" s="14" t="inlineStr">
        <is>
          <t>Scramble League</t>
        </is>
      </c>
      <c r="J4" s="15" t="inlineStr">
        <is>
          <t>Point values</t>
        </is>
      </c>
      <c r="K4" s="15" t="inlineStr"/>
    </row>
    <row r="5">
      <c r="A5" s="5" t="inlineStr">
        <is>
          <t>Players or teams that finished</t>
        </is>
      </c>
      <c r="B5" s="14" t="n">
        <v>12</v>
      </c>
      <c r="J5" s="6" t="inlineStr">
        <is>
          <t>Linked to the Points tab</t>
        </is>
      </c>
    </row>
    <row r="6">
      <c r="J6" t="inlineStr">
        <is>
          <t>Club Championship winner</t>
        </is>
      </c>
      <c r="K6" s="11">
        <f>Points!$B$2</f>
        <v/>
      </c>
    </row>
    <row r="7">
      <c r="A7" t="inlineStr">
        <is>
          <t>Winner's points</t>
        </is>
      </c>
      <c r="B7" s="11">
        <f>VLOOKUP($B$4&amp;" winner",$J$6:$K$10,2,FALSE)</f>
        <v/>
      </c>
      <c r="J7" t="inlineStr">
        <is>
          <t>Major winner</t>
        </is>
      </c>
      <c r="K7" s="11">
        <f>Points!$B$3</f>
        <v/>
      </c>
    </row>
    <row r="8">
      <c r="A8" t="inlineStr">
        <is>
          <t>Small field</t>
        </is>
      </c>
      <c r="B8" s="11">
        <f>IF(AND($B$4="OHW",$B$5&lt;$K$12),"Half points",IF($B$4="OHW","Full points",""))</f>
        <v/>
      </c>
      <c r="J8" t="inlineStr">
        <is>
          <t>Scramble League winner</t>
        </is>
      </c>
      <c r="K8" s="11">
        <f>Points!$B$4</f>
        <v/>
      </c>
    </row>
    <row r="9">
      <c r="A9" t="inlineStr">
        <is>
          <t>Note</t>
        </is>
      </c>
      <c r="B9" s="16">
        <f>IF($B$4="Club Championship","Club Championship points are fixed. See the table on the right.",IF($B$4="OHW","Gross winner and net winner both get the 1st place points. Everyone else is paid by gross place.",IF($B$4="Major","Each division (Open and Senior) is its own field.","Every player on a team gets the team's points.")))</f>
        <v/>
      </c>
      <c r="J9" t="inlineStr">
        <is>
          <t>Tuesday Night League winner</t>
        </is>
      </c>
      <c r="K9" s="11">
        <f>Points!$B$5</f>
        <v/>
      </c>
    </row>
    <row r="10">
      <c r="J10" t="inlineStr">
        <is>
          <t>OHW winner</t>
        </is>
      </c>
      <c r="K10" s="11">
        <f>Points!$B$6</f>
        <v/>
      </c>
    </row>
    <row r="11">
      <c r="D11" s="15" t="inlineStr">
        <is>
          <t>Place</t>
        </is>
      </c>
      <c r="E11" s="15" t="inlineStr">
        <is>
          <t>Points</t>
        </is>
      </c>
      <c r="G11" s="15" t="inlineStr">
        <is>
          <t>Tied places</t>
        </is>
      </c>
      <c r="H11" s="15" t="inlineStr"/>
      <c r="J11" t="inlineStr">
        <is>
          <t>Last place share of winner's points</t>
        </is>
      </c>
      <c r="K11" s="11">
        <f>Points!$H$7</f>
        <v/>
      </c>
    </row>
    <row r="12">
      <c r="D12" s="11">
        <f>IF(OR($B$4="Club Championship",1&gt;$B$5),"",1)</f>
        <v/>
      </c>
      <c r="E12" s="17">
        <f>IF($D12="","",ROUND($B$7*IF($B$5&lt;=1,1,$K$11+(1-$K$11)*(($B$5-1)/($B$5-1))^3)*IF(AND($B$4="OHW",$B$5&lt;$K$12),$K$13,1),0))</f>
        <v/>
      </c>
      <c r="G12" t="inlineStr">
        <is>
          <t>First place they tied for</t>
        </is>
      </c>
      <c r="H12" s="14" t="n">
        <v>2</v>
      </c>
      <c r="J12" t="inlineStr">
        <is>
          <t>OHW small field: fewer than</t>
        </is>
      </c>
      <c r="K12" s="11">
        <f>Points!$H$4</f>
        <v/>
      </c>
    </row>
    <row r="13">
      <c r="D13" s="11">
        <f>IF(OR($B$4="Club Championship",2&gt;$B$5),"",2)</f>
        <v/>
      </c>
      <c r="E13" s="17">
        <f>IF($D13="","",ROUND($B$7*IF($B$5&lt;=1,1,$K$11+(1-$K$11)*(($B$5-2)/($B$5-1))^3)*IF(AND($B$4="OHW",$B$5&lt;$K$12),$K$13,1),0))</f>
        <v/>
      </c>
      <c r="G13" t="inlineStr">
        <is>
          <t>How many are tied</t>
        </is>
      </c>
      <c r="H13" s="14" t="n">
        <v>2</v>
      </c>
      <c r="J13" t="inlineStr">
        <is>
          <t>OHW small field multiplier</t>
        </is>
      </c>
      <c r="K13" s="11">
        <f>Points!$H$5</f>
        <v/>
      </c>
    </row>
    <row r="14">
      <c r="D14" s="11">
        <f>IF(OR($B$4="Club Championship",3&gt;$B$5),"",3)</f>
        <v/>
      </c>
      <c r="E14" s="17">
        <f>IF($D14="","",ROUND($B$7*IF($B$5&lt;=1,1,$K$11+(1-$K$11)*(($B$5-3)/($B$5-1))^3)*IF(AND($B$4="OHW",$B$5&lt;$K$12),$K$13,1),0))</f>
        <v/>
      </c>
      <c r="G14" t="inlineStr">
        <is>
          <t>Each tied player gets</t>
        </is>
      </c>
      <c r="H14" s="17">
        <f>IF(OR($B$4="Club Championship",$H$12&lt;1,$H$13&lt;1,$H$12+$H$13-1&gt;$B$5),"",ROUND($B$7*IF($B$5&lt;=1,1,$K$11+(1-$K$11)*((($B$5-$H$12)*(($B$5-$H$12)+1)/2)^2-((($B$5-$H$12-$H$13+1)-1)*($B$5-$H$12-$H$13+1)/2)^2)/($H$13*($B$5-1)^3))*IF(AND($B$4="OHW",$B$5&lt;$K$12),$K$13,1),0))</f>
        <v/>
      </c>
    </row>
    <row r="15">
      <c r="D15" s="11">
        <f>IF(OR($B$4="Club Championship",4&gt;$B$5),"",4)</f>
        <v/>
      </c>
      <c r="E15" s="17">
        <f>IF($D15="","",ROUND($B$7*IF($B$5&lt;=1,1,$K$11+(1-$K$11)*(($B$5-4)/($B$5-1))^3)*IF(AND($B$4="OHW",$B$5&lt;$K$12),$K$13,1),0))</f>
        <v/>
      </c>
      <c r="G15" s="6" t="inlineStr">
        <is>
          <t>Tied players split the points for the places they cover.</t>
        </is>
      </c>
    </row>
    <row r="16">
      <c r="D16" s="11">
        <f>IF(OR($B$4="Club Championship",5&gt;$B$5),"",5)</f>
        <v/>
      </c>
      <c r="E16" s="17">
        <f>IF($D16="","",ROUND($B$7*IF($B$5&lt;=1,1,$K$11+(1-$K$11)*(($B$5-5)/($B$5-1))^3)*IF(AND($B$4="OHW",$B$5&lt;$K$12),$K$13,1),0))</f>
        <v/>
      </c>
    </row>
    <row r="17">
      <c r="D17" s="11">
        <f>IF(OR($B$4="Club Championship",6&gt;$B$5),"",6)</f>
        <v/>
      </c>
      <c r="E17" s="17">
        <f>IF($D17="","",ROUND($B$7*IF($B$5&lt;=1,1,$K$11+(1-$K$11)*(($B$5-6)/($B$5-1))^3)*IF(AND($B$4="OHW",$B$5&lt;$K$12),$K$13,1),0))</f>
        <v/>
      </c>
    </row>
    <row r="18">
      <c r="D18" s="11">
        <f>IF(OR($B$4="Club Championship",7&gt;$B$5),"",7)</f>
        <v/>
      </c>
      <c r="E18" s="17">
        <f>IF($D18="","",ROUND($B$7*IF($B$5&lt;=1,1,$K$11+(1-$K$11)*(($B$5-7)/($B$5-1))^3)*IF(AND($B$4="OHW",$B$5&lt;$K$12),$K$13,1),0))</f>
        <v/>
      </c>
      <c r="G18" s="15" t="inlineStr">
        <is>
          <t>Club Championship</t>
        </is>
      </c>
      <c r="H18" s="15" t="inlineStr">
        <is>
          <t>Points</t>
        </is>
      </c>
    </row>
    <row r="19">
      <c r="D19" s="11">
        <f>IF(OR($B$4="Club Championship",8&gt;$B$5),"",8)</f>
        <v/>
      </c>
      <c r="E19" s="17">
        <f>IF($D19="","",ROUND($B$7*IF($B$5&lt;=1,1,$K$11+(1-$K$11)*(($B$5-8)/($B$5-1))^3)*IF(AND($B$4="OHW",$B$5&lt;$K$12),$K$13,1),0))</f>
        <v/>
      </c>
      <c r="G19" t="inlineStr">
        <is>
          <t>Champion</t>
        </is>
      </c>
      <c r="H19" s="11">
        <f>Points!$E$2</f>
        <v/>
      </c>
    </row>
    <row r="20">
      <c r="D20" s="11">
        <f>IF(OR($B$4="Club Championship",9&gt;$B$5),"",9)</f>
        <v/>
      </c>
      <c r="E20" s="17">
        <f>IF($D20="","",ROUND($B$7*IF($B$5&lt;=1,1,$K$11+(1-$K$11)*(($B$5-9)/($B$5-1))^3)*IF(AND($B$4="OHW",$B$5&lt;$K$12),$K$13,1),0))</f>
        <v/>
      </c>
      <c r="G20" t="inlineStr">
        <is>
          <t>Runner-up</t>
        </is>
      </c>
      <c r="H20" s="11">
        <f>Points!$E$3</f>
        <v/>
      </c>
    </row>
    <row r="21">
      <c r="D21" s="11">
        <f>IF(OR($B$4="Club Championship",10&gt;$B$5),"",10)</f>
        <v/>
      </c>
      <c r="E21" s="17">
        <f>IF($D21="","",ROUND($B$7*IF($B$5&lt;=1,1,$K$11+(1-$K$11)*(($B$5-10)/($B$5-1))^3)*IF(AND($B$4="OHW",$B$5&lt;$K$12),$K$13,1),0))</f>
        <v/>
      </c>
      <c r="G21" t="inlineStr">
        <is>
          <t>Semifinal</t>
        </is>
      </c>
      <c r="H21" s="11">
        <f>Points!$E$4</f>
        <v/>
      </c>
    </row>
    <row r="22">
      <c r="D22" s="11">
        <f>IF(OR($B$4="Club Championship",11&gt;$B$5),"",11)</f>
        <v/>
      </c>
      <c r="E22" s="17">
        <f>IF($D22="","",ROUND($B$7*IF($B$5&lt;=1,1,$K$11+(1-$K$11)*(($B$5-11)/($B$5-1))^3)*IF(AND($B$4="OHW",$B$5&lt;$K$12),$K$13,1),0))</f>
        <v/>
      </c>
      <c r="G22" t="inlineStr">
        <is>
          <t>Quarterfinal</t>
        </is>
      </c>
      <c r="H22" s="11">
        <f>Points!$E$5</f>
        <v/>
      </c>
    </row>
    <row r="23">
      <c r="D23" s="11">
        <f>IF(OR($B$4="Club Championship",12&gt;$B$5),"",12)</f>
        <v/>
      </c>
      <c r="E23" s="17">
        <f>IF($D23="","",ROUND($B$7*IF($B$5&lt;=1,1,$K$11+(1-$K$11)*(($B$5-12)/($B$5-1))^3)*IF(AND($B$4="OHW",$B$5&lt;$K$12),$K$13,1),0))</f>
        <v/>
      </c>
      <c r="G23" t="inlineStr">
        <is>
          <t>Round of 16</t>
        </is>
      </c>
      <c r="H23" s="11">
        <f>Points!$E$6</f>
        <v/>
      </c>
    </row>
    <row r="24">
      <c r="D24" s="11">
        <f>IF(OR($B$4="Club Championship",13&gt;$B$5),"",13)</f>
        <v/>
      </c>
      <c r="E24" s="17">
        <f>IF($D24="","",ROUND($B$7*IF($B$5&lt;=1,1,$K$11+(1-$K$11)*(($B$5-13)/($B$5-1))^3)*IF(AND($B$4="OHW",$B$5&lt;$K$12),$K$13,1),0))</f>
        <v/>
      </c>
      <c r="G24" t="inlineStr">
        <is>
          <t>Qualifying rank 17 to 32</t>
        </is>
      </c>
      <c r="H24" s="11">
        <f>Points!$H$2</f>
        <v/>
      </c>
    </row>
    <row r="25">
      <c r="D25" s="11">
        <f>IF(OR($B$4="Club Championship",14&gt;$B$5),"",14)</f>
        <v/>
      </c>
      <c r="E25" s="17">
        <f>IF($D25="","",ROUND($B$7*IF($B$5&lt;=1,1,$K$11+(1-$K$11)*(($B$5-14)/($B$5-1))^3)*IF(AND($B$4="OHW",$B$5&lt;$K$12),$K$13,1),0))</f>
        <v/>
      </c>
      <c r="G25" t="inlineStr">
        <is>
          <t>Qualifying rank 33 and below</t>
        </is>
      </c>
      <c r="H25" s="11">
        <f>Points!$H$3</f>
        <v/>
      </c>
    </row>
    <row r="26">
      <c r="D26" s="11">
        <f>IF(OR($B$4="Club Championship",15&gt;$B$5),"",15)</f>
        <v/>
      </c>
      <c r="E26" s="17">
        <f>IF($D26="","",ROUND($B$7*IF($B$5&lt;=1,1,$K$11+(1-$K$11)*(($B$5-15)/($B$5-1))^3)*IF(AND($B$4="OHW",$B$5&lt;$K$12),$K$13,1),0))</f>
        <v/>
      </c>
    </row>
    <row r="27">
      <c r="D27" s="11">
        <f>IF(OR($B$4="Club Championship",16&gt;$B$5),"",16)</f>
        <v/>
      </c>
      <c r="E27" s="17">
        <f>IF($D27="","",ROUND($B$7*IF($B$5&lt;=1,1,$K$11+(1-$K$11)*(($B$5-16)/($B$5-1))^3)*IF(AND($B$4="OHW",$B$5&lt;$K$12),$K$13,1),0))</f>
        <v/>
      </c>
    </row>
    <row r="28">
      <c r="D28" s="11">
        <f>IF(OR($B$4="Club Championship",17&gt;$B$5),"",17)</f>
        <v/>
      </c>
      <c r="E28" s="17">
        <f>IF($D28="","",ROUND($B$7*IF($B$5&lt;=1,1,$K$11+(1-$K$11)*(($B$5-17)/($B$5-1))^3)*IF(AND($B$4="OHW",$B$5&lt;$K$12),$K$13,1),0))</f>
        <v/>
      </c>
    </row>
    <row r="29">
      <c r="D29" s="11">
        <f>IF(OR($B$4="Club Championship",18&gt;$B$5),"",18)</f>
        <v/>
      </c>
      <c r="E29" s="17">
        <f>IF($D29="","",ROUND($B$7*IF($B$5&lt;=1,1,$K$11+(1-$K$11)*(($B$5-18)/($B$5-1))^3)*IF(AND($B$4="OHW",$B$5&lt;$K$12),$K$13,1),0))</f>
        <v/>
      </c>
    </row>
    <row r="30">
      <c r="D30" s="11">
        <f>IF(OR($B$4="Club Championship",19&gt;$B$5),"",19)</f>
        <v/>
      </c>
      <c r="E30" s="17">
        <f>IF($D30="","",ROUND($B$7*IF($B$5&lt;=1,1,$K$11+(1-$K$11)*(($B$5-19)/($B$5-1))^3)*IF(AND($B$4="OHW",$B$5&lt;$K$12),$K$13,1),0))</f>
        <v/>
      </c>
    </row>
    <row r="31">
      <c r="D31" s="11">
        <f>IF(OR($B$4="Club Championship",20&gt;$B$5),"",20)</f>
        <v/>
      </c>
      <c r="E31" s="17">
        <f>IF($D31="","",ROUND($B$7*IF($B$5&lt;=1,1,$K$11+(1-$K$11)*(($B$5-20)/($B$5-1))^3)*IF(AND($B$4="OHW",$B$5&lt;$K$12),$K$13,1),0))</f>
        <v/>
      </c>
    </row>
    <row r="32">
      <c r="D32" s="11">
        <f>IF(OR($B$4="Club Championship",21&gt;$B$5),"",21)</f>
        <v/>
      </c>
      <c r="E32" s="17">
        <f>IF($D32="","",ROUND($B$7*IF($B$5&lt;=1,1,$K$11+(1-$K$11)*(($B$5-21)/($B$5-1))^3)*IF(AND($B$4="OHW",$B$5&lt;$K$12),$K$13,1),0))</f>
        <v/>
      </c>
    </row>
    <row r="33">
      <c r="D33" s="11">
        <f>IF(OR($B$4="Club Championship",22&gt;$B$5),"",22)</f>
        <v/>
      </c>
      <c r="E33" s="17">
        <f>IF($D33="","",ROUND($B$7*IF($B$5&lt;=1,1,$K$11+(1-$K$11)*(($B$5-22)/($B$5-1))^3)*IF(AND($B$4="OHW",$B$5&lt;$K$12),$K$13,1),0))</f>
        <v/>
      </c>
    </row>
    <row r="34">
      <c r="D34" s="11">
        <f>IF(OR($B$4="Club Championship",23&gt;$B$5),"",23)</f>
        <v/>
      </c>
      <c r="E34" s="17">
        <f>IF($D34="","",ROUND($B$7*IF($B$5&lt;=1,1,$K$11+(1-$K$11)*(($B$5-23)/($B$5-1))^3)*IF(AND($B$4="OHW",$B$5&lt;$K$12),$K$13,1),0))</f>
        <v/>
      </c>
    </row>
    <row r="35">
      <c r="D35" s="11">
        <f>IF(OR($B$4="Club Championship",24&gt;$B$5),"",24)</f>
        <v/>
      </c>
      <c r="E35" s="17">
        <f>IF($D35="","",ROUND($B$7*IF($B$5&lt;=1,1,$K$11+(1-$K$11)*(($B$5-24)/($B$5-1))^3)*IF(AND($B$4="OHW",$B$5&lt;$K$12),$K$13,1),0))</f>
        <v/>
      </c>
    </row>
    <row r="36">
      <c r="D36" s="11">
        <f>IF(OR($B$4="Club Championship",25&gt;$B$5),"",25)</f>
        <v/>
      </c>
      <c r="E36" s="17">
        <f>IF($D36="","",ROUND($B$7*IF($B$5&lt;=1,1,$K$11+(1-$K$11)*(($B$5-25)/($B$5-1))^3)*IF(AND($B$4="OHW",$B$5&lt;$K$12),$K$13,1),0))</f>
        <v/>
      </c>
    </row>
    <row r="37">
      <c r="D37" s="11">
        <f>IF(OR($B$4="Club Championship",26&gt;$B$5),"",26)</f>
        <v/>
      </c>
      <c r="E37" s="17">
        <f>IF($D37="","",ROUND($B$7*IF($B$5&lt;=1,1,$K$11+(1-$K$11)*(($B$5-26)/($B$5-1))^3)*IF(AND($B$4="OHW",$B$5&lt;$K$12),$K$13,1),0))</f>
        <v/>
      </c>
    </row>
    <row r="38">
      <c r="D38" s="11">
        <f>IF(OR($B$4="Club Championship",27&gt;$B$5),"",27)</f>
        <v/>
      </c>
      <c r="E38" s="17">
        <f>IF($D38="","",ROUND($B$7*IF($B$5&lt;=1,1,$K$11+(1-$K$11)*(($B$5-27)/($B$5-1))^3)*IF(AND($B$4="OHW",$B$5&lt;$K$12),$K$13,1),0))</f>
        <v/>
      </c>
    </row>
    <row r="39">
      <c r="D39" s="11">
        <f>IF(OR($B$4="Club Championship",28&gt;$B$5),"",28)</f>
        <v/>
      </c>
      <c r="E39" s="17">
        <f>IF($D39="","",ROUND($B$7*IF($B$5&lt;=1,1,$K$11+(1-$K$11)*(($B$5-28)/($B$5-1))^3)*IF(AND($B$4="OHW",$B$5&lt;$K$12),$K$13,1),0))</f>
        <v/>
      </c>
    </row>
    <row r="40">
      <c r="D40" s="11">
        <f>IF(OR($B$4="Club Championship",29&gt;$B$5),"",29)</f>
        <v/>
      </c>
      <c r="E40" s="17">
        <f>IF($D40="","",ROUND($B$7*IF($B$5&lt;=1,1,$K$11+(1-$K$11)*(($B$5-29)/($B$5-1))^3)*IF(AND($B$4="OHW",$B$5&lt;$K$12),$K$13,1),0))</f>
        <v/>
      </c>
    </row>
    <row r="41">
      <c r="D41" s="11">
        <f>IF(OR($B$4="Club Championship",30&gt;$B$5),"",30)</f>
        <v/>
      </c>
      <c r="E41" s="17">
        <f>IF($D41="","",ROUND($B$7*IF($B$5&lt;=1,1,$K$11+(1-$K$11)*(($B$5-30)/($B$5-1))^3)*IF(AND($B$4="OHW",$B$5&lt;$K$12),$K$13,1),0))</f>
        <v/>
      </c>
    </row>
    <row r="42">
      <c r="D42" s="11">
        <f>IF(OR($B$4="Club Championship",31&gt;$B$5),"",31)</f>
        <v/>
      </c>
      <c r="E42" s="17">
        <f>IF($D42="","",ROUND($B$7*IF($B$5&lt;=1,1,$K$11+(1-$K$11)*(($B$5-31)/($B$5-1))^3)*IF(AND($B$4="OHW",$B$5&lt;$K$12),$K$13,1),0))</f>
        <v/>
      </c>
    </row>
    <row r="43">
      <c r="D43" s="11">
        <f>IF(OR($B$4="Club Championship",32&gt;$B$5),"",32)</f>
        <v/>
      </c>
      <c r="E43" s="17">
        <f>IF($D43="","",ROUND($B$7*IF($B$5&lt;=1,1,$K$11+(1-$K$11)*(($B$5-32)/($B$5-1))^3)*IF(AND($B$4="OHW",$B$5&lt;$K$12),$K$13,1),0))</f>
        <v/>
      </c>
    </row>
    <row r="44">
      <c r="D44" s="11">
        <f>IF(OR($B$4="Club Championship",33&gt;$B$5),"",33)</f>
        <v/>
      </c>
      <c r="E44" s="17">
        <f>IF($D44="","",ROUND($B$7*IF($B$5&lt;=1,1,$K$11+(1-$K$11)*(($B$5-33)/($B$5-1))^3)*IF(AND($B$4="OHW",$B$5&lt;$K$12),$K$13,1),0))</f>
        <v/>
      </c>
    </row>
    <row r="45">
      <c r="D45" s="11">
        <f>IF(OR($B$4="Club Championship",34&gt;$B$5),"",34)</f>
        <v/>
      </c>
      <c r="E45" s="17">
        <f>IF($D45="","",ROUND($B$7*IF($B$5&lt;=1,1,$K$11+(1-$K$11)*(($B$5-34)/($B$5-1))^3)*IF(AND($B$4="OHW",$B$5&lt;$K$12),$K$13,1),0))</f>
        <v/>
      </c>
    </row>
    <row r="46">
      <c r="D46" s="11">
        <f>IF(OR($B$4="Club Championship",35&gt;$B$5),"",35)</f>
        <v/>
      </c>
      <c r="E46" s="17">
        <f>IF($D46="","",ROUND($B$7*IF($B$5&lt;=1,1,$K$11+(1-$K$11)*(($B$5-35)/($B$5-1))^3)*IF(AND($B$4="OHW",$B$5&lt;$K$12),$K$13,1),0))</f>
        <v/>
      </c>
    </row>
    <row r="47">
      <c r="D47" s="11">
        <f>IF(OR($B$4="Club Championship",36&gt;$B$5),"",36)</f>
        <v/>
      </c>
      <c r="E47" s="17">
        <f>IF($D47="","",ROUND($B$7*IF($B$5&lt;=1,1,$K$11+(1-$K$11)*(($B$5-36)/($B$5-1))^3)*IF(AND($B$4="OHW",$B$5&lt;$K$12),$K$13,1),0))</f>
        <v/>
      </c>
    </row>
    <row r="48">
      <c r="D48" s="11">
        <f>IF(OR($B$4="Club Championship",37&gt;$B$5),"",37)</f>
        <v/>
      </c>
      <c r="E48" s="17">
        <f>IF($D48="","",ROUND($B$7*IF($B$5&lt;=1,1,$K$11+(1-$K$11)*(($B$5-37)/($B$5-1))^3)*IF(AND($B$4="OHW",$B$5&lt;$K$12),$K$13,1),0))</f>
        <v/>
      </c>
    </row>
    <row r="49">
      <c r="D49" s="11">
        <f>IF(OR($B$4="Club Championship",38&gt;$B$5),"",38)</f>
        <v/>
      </c>
      <c r="E49" s="17">
        <f>IF($D49="","",ROUND($B$7*IF($B$5&lt;=1,1,$K$11+(1-$K$11)*(($B$5-38)/($B$5-1))^3)*IF(AND($B$4="OHW",$B$5&lt;$K$12),$K$13,1),0))</f>
        <v/>
      </c>
    </row>
    <row r="50">
      <c r="D50" s="11">
        <f>IF(OR($B$4="Club Championship",39&gt;$B$5),"",39)</f>
        <v/>
      </c>
      <c r="E50" s="17">
        <f>IF($D50="","",ROUND($B$7*IF($B$5&lt;=1,1,$K$11+(1-$K$11)*(($B$5-39)/($B$5-1))^3)*IF(AND($B$4="OHW",$B$5&lt;$K$12),$K$13,1),0))</f>
        <v/>
      </c>
    </row>
    <row r="51">
      <c r="D51" s="11">
        <f>IF(OR($B$4="Club Championship",40&gt;$B$5),"",40)</f>
        <v/>
      </c>
      <c r="E51" s="17">
        <f>IF($D51="","",ROUND($B$7*IF($B$5&lt;=1,1,$K$11+(1-$K$11)*(($B$5-40)/($B$5-1))^3)*IF(AND($B$4="OHW",$B$5&lt;$K$12),$K$13,1),0))</f>
        <v/>
      </c>
    </row>
  </sheetData>
  <dataValidations count="2">
    <dataValidation sqref="B4" showDropDown="0" showInputMessage="0" showErrorMessage="1" allowBlank="0" errorTitle="Not on the list" error="Pick an event from the list." type="list">
      <formula1>"Club Championship,Major,Scramble League,Tuesday Night League,OHW"</formula1>
    </dataValidation>
    <dataValidation sqref="B5" showDropDown="0" showInputMessage="0" showErrorMessage="1" allowBlank="0" errorTitle="Field size" error="Enter a whole number from 1 to 40." type="whole" operator="between">
      <formula1>1</formula1>
      <formula2>40</formula2>
    </dataValidation>
  </dataValidations>
  <pageMargins left="0.75" right="0.75" top="1" bottom="1" header="0.5" footer="0.5"/>
</worksheet>
</file>

<file path=xl/worksheets/sheet15.xml><?xml version="1.0" encoding="utf-8"?>
<worksheet xmlns="http://schemas.openxmlformats.org/spreadsheetml/2006/main">
  <sheetPr>
    <tabColor rgb="005A636E"/>
    <outlinePr summaryBelow="1" summaryRight="1"/>
    <pageSetUpPr/>
  </sheetPr>
  <dimension ref="A1:P3015"/>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1" customWidth="1" min="3" max="3"/>
    <col width="9" customWidth="1" min="4" max="4"/>
    <col width="14" customWidth="1" min="5" max="5"/>
    <col width="18" customWidth="1" min="6" max="6"/>
    <col width="18" customWidth="1" min="7" max="7"/>
    <col width="18" customWidth="1" min="8" max="8"/>
    <col width="18" customWidth="1" min="9" max="9"/>
    <col width="7" customWidth="1" min="10" max="10"/>
    <col width="6" customWidth="1" min="11" max="11"/>
    <col width="13" customWidth="1" min="12" max="12"/>
    <col width="7" customWidth="1" min="13" max="13"/>
    <col width="8" customWidth="1" min="14" max="14"/>
    <col width="10" customWidth="1" min="15" max="15"/>
    <col width="10" customWidth="1" min="16" max="16"/>
  </cols>
  <sheetData>
    <row r="1" ht="30" customHeight="1">
      <c r="A1" s="4" t="inlineStr">
        <is>
          <t>Event</t>
        </is>
      </c>
      <c r="B1" s="4" t="inlineStr">
        <is>
          <t>Type</t>
        </is>
      </c>
      <c r="C1" s="4" t="inlineStr">
        <is>
          <t>Date</t>
        </is>
      </c>
      <c r="D1" s="4" t="inlineStr">
        <is>
          <t>Division</t>
        </is>
      </c>
      <c r="E1" s="4" t="inlineStr">
        <is>
          <t>Team</t>
        </is>
      </c>
      <c r="F1" s="4" t="inlineStr">
        <is>
          <t>Player 1</t>
        </is>
      </c>
      <c r="G1" s="4" t="inlineStr">
        <is>
          <t>Player 2</t>
        </is>
      </c>
      <c r="H1" s="4" t="inlineStr">
        <is>
          <t>Player 3</t>
        </is>
      </c>
      <c r="I1" s="4" t="inlineStr">
        <is>
          <t>Player 4</t>
        </is>
      </c>
      <c r="J1" s="4" t="inlineStr">
        <is>
          <t>Place</t>
        </is>
      </c>
      <c r="K1" s="4" t="inlineStr">
        <is>
          <t>Tied</t>
        </is>
      </c>
      <c r="L1" s="4" t="inlineStr">
        <is>
          <t>Label</t>
        </is>
      </c>
      <c r="M1" s="4" t="inlineStr">
        <is>
          <t>Field</t>
        </is>
      </c>
      <c r="N1" s="4" t="inlineStr">
        <is>
          <t>Points</t>
        </is>
      </c>
      <c r="O1" s="4" t="inlineStr">
        <is>
          <t>Cup Points</t>
        </is>
      </c>
      <c r="P1" s="4" t="inlineStr">
        <is>
          <t>Status</t>
        </is>
      </c>
    </row>
    <row r="2">
      <c r="A2">
        <f>IF('Club Championship'!$F6="","","Club Championship")</f>
        <v/>
      </c>
      <c r="B2">
        <f>IF('Club Championship'!$F6="","","Club Championship")</f>
        <v/>
      </c>
      <c r="C2" s="18">
        <f>IF('Club Championship'!$F6="","",'Club Championship'!$B$3)</f>
        <v/>
      </c>
      <c r="F2">
        <f>IF('Club Championship'!$F6="","",'Club Championship'!$A6&amp;"")</f>
        <v/>
      </c>
      <c r="J2">
        <f>IF('Club Championship'!$F6="","",'Club Championship'!$D6)</f>
        <v/>
      </c>
      <c r="K2">
        <f>IF('Club Championship'!$F6="","",COUNTIF('Club Championship'!$B$6:$B$155,'Club Championship'!$B6))</f>
        <v/>
      </c>
      <c r="L2">
        <f>IF('Club Championship'!$F6="","",'Club Championship'!$C6&amp;"")</f>
        <v/>
      </c>
      <c r="M2">
        <f>IF('Club Championship'!$F6="","",'Club Championship'!$E6)</f>
        <v/>
      </c>
      <c r="N2">
        <f>IF('Club Championship'!$F6="","",'Club Championship'!$F6)</f>
        <v/>
      </c>
      <c r="O2">
        <f>IF('Club Championship'!$F6="","",'Club Championship'!$F6)</f>
        <v/>
      </c>
      <c r="P2">
        <f>IF('Club Championship'!$F6="","",'Club Championship'!$G6)</f>
        <v/>
      </c>
    </row>
    <row r="3">
      <c r="A3">
        <f>IF('Club Championship'!$F7="","","Club Championship")</f>
        <v/>
      </c>
      <c r="B3">
        <f>IF('Club Championship'!$F7="","","Club Championship")</f>
        <v/>
      </c>
      <c r="C3" s="18">
        <f>IF('Club Championship'!$F7="","",'Club Championship'!$B$3)</f>
        <v/>
      </c>
      <c r="F3">
        <f>IF('Club Championship'!$F7="","",'Club Championship'!$A7&amp;"")</f>
        <v/>
      </c>
      <c r="J3">
        <f>IF('Club Championship'!$F7="","",'Club Championship'!$D7)</f>
        <v/>
      </c>
      <c r="K3">
        <f>IF('Club Championship'!$F7="","",COUNTIF('Club Championship'!$B$6:$B$155,'Club Championship'!$B7))</f>
        <v/>
      </c>
      <c r="L3">
        <f>IF('Club Championship'!$F7="","",'Club Championship'!$C7&amp;"")</f>
        <v/>
      </c>
      <c r="M3">
        <f>IF('Club Championship'!$F7="","",'Club Championship'!$E7)</f>
        <v/>
      </c>
      <c r="N3">
        <f>IF('Club Championship'!$F7="","",'Club Championship'!$F7)</f>
        <v/>
      </c>
      <c r="O3">
        <f>IF('Club Championship'!$F7="","",'Club Championship'!$F7)</f>
        <v/>
      </c>
      <c r="P3">
        <f>IF('Club Championship'!$F7="","",'Club Championship'!$G7)</f>
        <v/>
      </c>
    </row>
    <row r="4">
      <c r="A4">
        <f>IF('Club Championship'!$F8="","","Club Championship")</f>
        <v/>
      </c>
      <c r="B4">
        <f>IF('Club Championship'!$F8="","","Club Championship")</f>
        <v/>
      </c>
      <c r="C4" s="18">
        <f>IF('Club Championship'!$F8="","",'Club Championship'!$B$3)</f>
        <v/>
      </c>
      <c r="F4">
        <f>IF('Club Championship'!$F8="","",'Club Championship'!$A8&amp;"")</f>
        <v/>
      </c>
      <c r="J4">
        <f>IF('Club Championship'!$F8="","",'Club Championship'!$D8)</f>
        <v/>
      </c>
      <c r="K4">
        <f>IF('Club Championship'!$F8="","",COUNTIF('Club Championship'!$B$6:$B$155,'Club Championship'!$B8))</f>
        <v/>
      </c>
      <c r="L4">
        <f>IF('Club Championship'!$F8="","",'Club Championship'!$C8&amp;"")</f>
        <v/>
      </c>
      <c r="M4">
        <f>IF('Club Championship'!$F8="","",'Club Championship'!$E8)</f>
        <v/>
      </c>
      <c r="N4">
        <f>IF('Club Championship'!$F8="","",'Club Championship'!$F8)</f>
        <v/>
      </c>
      <c r="O4">
        <f>IF('Club Championship'!$F8="","",'Club Championship'!$F8)</f>
        <v/>
      </c>
      <c r="P4">
        <f>IF('Club Championship'!$F8="","",'Club Championship'!$G8)</f>
        <v/>
      </c>
    </row>
    <row r="5">
      <c r="A5">
        <f>IF('Club Championship'!$F9="","","Club Championship")</f>
        <v/>
      </c>
      <c r="B5">
        <f>IF('Club Championship'!$F9="","","Club Championship")</f>
        <v/>
      </c>
      <c r="C5" s="18">
        <f>IF('Club Championship'!$F9="","",'Club Championship'!$B$3)</f>
        <v/>
      </c>
      <c r="F5">
        <f>IF('Club Championship'!$F9="","",'Club Championship'!$A9&amp;"")</f>
        <v/>
      </c>
      <c r="J5">
        <f>IF('Club Championship'!$F9="","",'Club Championship'!$D9)</f>
        <v/>
      </c>
      <c r="K5">
        <f>IF('Club Championship'!$F9="","",COUNTIF('Club Championship'!$B$6:$B$155,'Club Championship'!$B9))</f>
        <v/>
      </c>
      <c r="L5">
        <f>IF('Club Championship'!$F9="","",'Club Championship'!$C9&amp;"")</f>
        <v/>
      </c>
      <c r="M5">
        <f>IF('Club Championship'!$F9="","",'Club Championship'!$E9)</f>
        <v/>
      </c>
      <c r="N5">
        <f>IF('Club Championship'!$F9="","",'Club Championship'!$F9)</f>
        <v/>
      </c>
      <c r="O5">
        <f>IF('Club Championship'!$F9="","",'Club Championship'!$F9)</f>
        <v/>
      </c>
      <c r="P5">
        <f>IF('Club Championship'!$F9="","",'Club Championship'!$G9)</f>
        <v/>
      </c>
    </row>
    <row r="6">
      <c r="A6">
        <f>IF('Club Championship'!$F10="","","Club Championship")</f>
        <v/>
      </c>
      <c r="B6">
        <f>IF('Club Championship'!$F10="","","Club Championship")</f>
        <v/>
      </c>
      <c r="C6" s="18">
        <f>IF('Club Championship'!$F10="","",'Club Championship'!$B$3)</f>
        <v/>
      </c>
      <c r="F6">
        <f>IF('Club Championship'!$F10="","",'Club Championship'!$A10&amp;"")</f>
        <v/>
      </c>
      <c r="J6">
        <f>IF('Club Championship'!$F10="","",'Club Championship'!$D10)</f>
        <v/>
      </c>
      <c r="K6">
        <f>IF('Club Championship'!$F10="","",COUNTIF('Club Championship'!$B$6:$B$155,'Club Championship'!$B10))</f>
        <v/>
      </c>
      <c r="L6">
        <f>IF('Club Championship'!$F10="","",'Club Championship'!$C10&amp;"")</f>
        <v/>
      </c>
      <c r="M6">
        <f>IF('Club Championship'!$F10="","",'Club Championship'!$E10)</f>
        <v/>
      </c>
      <c r="N6">
        <f>IF('Club Championship'!$F10="","",'Club Championship'!$F10)</f>
        <v/>
      </c>
      <c r="O6">
        <f>IF('Club Championship'!$F10="","",'Club Championship'!$F10)</f>
        <v/>
      </c>
      <c r="P6">
        <f>IF('Club Championship'!$F10="","",'Club Championship'!$G10)</f>
        <v/>
      </c>
    </row>
    <row r="7">
      <c r="A7">
        <f>IF('Club Championship'!$F11="","","Club Championship")</f>
        <v/>
      </c>
      <c r="B7">
        <f>IF('Club Championship'!$F11="","","Club Championship")</f>
        <v/>
      </c>
      <c r="C7" s="18">
        <f>IF('Club Championship'!$F11="","",'Club Championship'!$B$3)</f>
        <v/>
      </c>
      <c r="F7">
        <f>IF('Club Championship'!$F11="","",'Club Championship'!$A11&amp;"")</f>
        <v/>
      </c>
      <c r="J7">
        <f>IF('Club Championship'!$F11="","",'Club Championship'!$D11)</f>
        <v/>
      </c>
      <c r="K7">
        <f>IF('Club Championship'!$F11="","",COUNTIF('Club Championship'!$B$6:$B$155,'Club Championship'!$B11))</f>
        <v/>
      </c>
      <c r="L7">
        <f>IF('Club Championship'!$F11="","",'Club Championship'!$C11&amp;"")</f>
        <v/>
      </c>
      <c r="M7">
        <f>IF('Club Championship'!$F11="","",'Club Championship'!$E11)</f>
        <v/>
      </c>
      <c r="N7">
        <f>IF('Club Championship'!$F11="","",'Club Championship'!$F11)</f>
        <v/>
      </c>
      <c r="O7">
        <f>IF('Club Championship'!$F11="","",'Club Championship'!$F11)</f>
        <v/>
      </c>
      <c r="P7">
        <f>IF('Club Championship'!$F11="","",'Club Championship'!$G11)</f>
        <v/>
      </c>
    </row>
    <row r="8">
      <c r="A8">
        <f>IF('Club Championship'!$F12="","","Club Championship")</f>
        <v/>
      </c>
      <c r="B8">
        <f>IF('Club Championship'!$F12="","","Club Championship")</f>
        <v/>
      </c>
      <c r="C8" s="18">
        <f>IF('Club Championship'!$F12="","",'Club Championship'!$B$3)</f>
        <v/>
      </c>
      <c r="F8">
        <f>IF('Club Championship'!$F12="","",'Club Championship'!$A12&amp;"")</f>
        <v/>
      </c>
      <c r="J8">
        <f>IF('Club Championship'!$F12="","",'Club Championship'!$D12)</f>
        <v/>
      </c>
      <c r="K8">
        <f>IF('Club Championship'!$F12="","",COUNTIF('Club Championship'!$B$6:$B$155,'Club Championship'!$B12))</f>
        <v/>
      </c>
      <c r="L8">
        <f>IF('Club Championship'!$F12="","",'Club Championship'!$C12&amp;"")</f>
        <v/>
      </c>
      <c r="M8">
        <f>IF('Club Championship'!$F12="","",'Club Championship'!$E12)</f>
        <v/>
      </c>
      <c r="N8">
        <f>IF('Club Championship'!$F12="","",'Club Championship'!$F12)</f>
        <v/>
      </c>
      <c r="O8">
        <f>IF('Club Championship'!$F12="","",'Club Championship'!$F12)</f>
        <v/>
      </c>
      <c r="P8">
        <f>IF('Club Championship'!$F12="","",'Club Championship'!$G12)</f>
        <v/>
      </c>
    </row>
    <row r="9">
      <c r="A9">
        <f>IF('Club Championship'!$F13="","","Club Championship")</f>
        <v/>
      </c>
      <c r="B9">
        <f>IF('Club Championship'!$F13="","","Club Championship")</f>
        <v/>
      </c>
      <c r="C9" s="18">
        <f>IF('Club Championship'!$F13="","",'Club Championship'!$B$3)</f>
        <v/>
      </c>
      <c r="F9">
        <f>IF('Club Championship'!$F13="","",'Club Championship'!$A13&amp;"")</f>
        <v/>
      </c>
      <c r="J9">
        <f>IF('Club Championship'!$F13="","",'Club Championship'!$D13)</f>
        <v/>
      </c>
      <c r="K9">
        <f>IF('Club Championship'!$F13="","",COUNTIF('Club Championship'!$B$6:$B$155,'Club Championship'!$B13))</f>
        <v/>
      </c>
      <c r="L9">
        <f>IF('Club Championship'!$F13="","",'Club Championship'!$C13&amp;"")</f>
        <v/>
      </c>
      <c r="M9">
        <f>IF('Club Championship'!$F13="","",'Club Championship'!$E13)</f>
        <v/>
      </c>
      <c r="N9">
        <f>IF('Club Championship'!$F13="","",'Club Championship'!$F13)</f>
        <v/>
      </c>
      <c r="O9">
        <f>IF('Club Championship'!$F13="","",'Club Championship'!$F13)</f>
        <v/>
      </c>
      <c r="P9">
        <f>IF('Club Championship'!$F13="","",'Club Championship'!$G13)</f>
        <v/>
      </c>
    </row>
    <row r="10">
      <c r="A10">
        <f>IF('Club Championship'!$F14="","","Club Championship")</f>
        <v/>
      </c>
      <c r="B10">
        <f>IF('Club Championship'!$F14="","","Club Championship")</f>
        <v/>
      </c>
      <c r="C10" s="18">
        <f>IF('Club Championship'!$F14="","",'Club Championship'!$B$3)</f>
        <v/>
      </c>
      <c r="F10">
        <f>IF('Club Championship'!$F14="","",'Club Championship'!$A14&amp;"")</f>
        <v/>
      </c>
      <c r="J10">
        <f>IF('Club Championship'!$F14="","",'Club Championship'!$D14)</f>
        <v/>
      </c>
      <c r="K10">
        <f>IF('Club Championship'!$F14="","",COUNTIF('Club Championship'!$B$6:$B$155,'Club Championship'!$B14))</f>
        <v/>
      </c>
      <c r="L10">
        <f>IF('Club Championship'!$F14="","",'Club Championship'!$C14&amp;"")</f>
        <v/>
      </c>
      <c r="M10">
        <f>IF('Club Championship'!$F14="","",'Club Championship'!$E14)</f>
        <v/>
      </c>
      <c r="N10">
        <f>IF('Club Championship'!$F14="","",'Club Championship'!$F14)</f>
        <v/>
      </c>
      <c r="O10">
        <f>IF('Club Championship'!$F14="","",'Club Championship'!$F14)</f>
        <v/>
      </c>
      <c r="P10">
        <f>IF('Club Championship'!$F14="","",'Club Championship'!$G14)</f>
        <v/>
      </c>
    </row>
    <row r="11">
      <c r="A11">
        <f>IF('Club Championship'!$F15="","","Club Championship")</f>
        <v/>
      </c>
      <c r="B11">
        <f>IF('Club Championship'!$F15="","","Club Championship")</f>
        <v/>
      </c>
      <c r="C11" s="18">
        <f>IF('Club Championship'!$F15="","",'Club Championship'!$B$3)</f>
        <v/>
      </c>
      <c r="F11">
        <f>IF('Club Championship'!$F15="","",'Club Championship'!$A15&amp;"")</f>
        <v/>
      </c>
      <c r="J11">
        <f>IF('Club Championship'!$F15="","",'Club Championship'!$D15)</f>
        <v/>
      </c>
      <c r="K11">
        <f>IF('Club Championship'!$F15="","",COUNTIF('Club Championship'!$B$6:$B$155,'Club Championship'!$B15))</f>
        <v/>
      </c>
      <c r="L11">
        <f>IF('Club Championship'!$F15="","",'Club Championship'!$C15&amp;"")</f>
        <v/>
      </c>
      <c r="M11">
        <f>IF('Club Championship'!$F15="","",'Club Championship'!$E15)</f>
        <v/>
      </c>
      <c r="N11">
        <f>IF('Club Championship'!$F15="","",'Club Championship'!$F15)</f>
        <v/>
      </c>
      <c r="O11">
        <f>IF('Club Championship'!$F15="","",'Club Championship'!$F15)</f>
        <v/>
      </c>
      <c r="P11">
        <f>IF('Club Championship'!$F15="","",'Club Championship'!$G15)</f>
        <v/>
      </c>
    </row>
    <row r="12">
      <c r="A12">
        <f>IF('Club Championship'!$F16="","","Club Championship")</f>
        <v/>
      </c>
      <c r="B12">
        <f>IF('Club Championship'!$F16="","","Club Championship")</f>
        <v/>
      </c>
      <c r="C12" s="18">
        <f>IF('Club Championship'!$F16="","",'Club Championship'!$B$3)</f>
        <v/>
      </c>
      <c r="F12">
        <f>IF('Club Championship'!$F16="","",'Club Championship'!$A16&amp;"")</f>
        <v/>
      </c>
      <c r="J12">
        <f>IF('Club Championship'!$F16="","",'Club Championship'!$D16)</f>
        <v/>
      </c>
      <c r="K12">
        <f>IF('Club Championship'!$F16="","",COUNTIF('Club Championship'!$B$6:$B$155,'Club Championship'!$B16))</f>
        <v/>
      </c>
      <c r="L12">
        <f>IF('Club Championship'!$F16="","",'Club Championship'!$C16&amp;"")</f>
        <v/>
      </c>
      <c r="M12">
        <f>IF('Club Championship'!$F16="","",'Club Championship'!$E16)</f>
        <v/>
      </c>
      <c r="N12">
        <f>IF('Club Championship'!$F16="","",'Club Championship'!$F16)</f>
        <v/>
      </c>
      <c r="O12">
        <f>IF('Club Championship'!$F16="","",'Club Championship'!$F16)</f>
        <v/>
      </c>
      <c r="P12">
        <f>IF('Club Championship'!$F16="","",'Club Championship'!$G16)</f>
        <v/>
      </c>
    </row>
    <row r="13">
      <c r="A13">
        <f>IF('Club Championship'!$F17="","","Club Championship")</f>
        <v/>
      </c>
      <c r="B13">
        <f>IF('Club Championship'!$F17="","","Club Championship")</f>
        <v/>
      </c>
      <c r="C13" s="18">
        <f>IF('Club Championship'!$F17="","",'Club Championship'!$B$3)</f>
        <v/>
      </c>
      <c r="F13">
        <f>IF('Club Championship'!$F17="","",'Club Championship'!$A17&amp;"")</f>
        <v/>
      </c>
      <c r="J13">
        <f>IF('Club Championship'!$F17="","",'Club Championship'!$D17)</f>
        <v/>
      </c>
      <c r="K13">
        <f>IF('Club Championship'!$F17="","",COUNTIF('Club Championship'!$B$6:$B$155,'Club Championship'!$B17))</f>
        <v/>
      </c>
      <c r="L13">
        <f>IF('Club Championship'!$F17="","",'Club Championship'!$C17&amp;"")</f>
        <v/>
      </c>
      <c r="M13">
        <f>IF('Club Championship'!$F17="","",'Club Championship'!$E17)</f>
        <v/>
      </c>
      <c r="N13">
        <f>IF('Club Championship'!$F17="","",'Club Championship'!$F17)</f>
        <v/>
      </c>
      <c r="O13">
        <f>IF('Club Championship'!$F17="","",'Club Championship'!$F17)</f>
        <v/>
      </c>
      <c r="P13">
        <f>IF('Club Championship'!$F17="","",'Club Championship'!$G17)</f>
        <v/>
      </c>
    </row>
    <row r="14">
      <c r="A14">
        <f>IF('Club Championship'!$F18="","","Club Championship")</f>
        <v/>
      </c>
      <c r="B14">
        <f>IF('Club Championship'!$F18="","","Club Championship")</f>
        <v/>
      </c>
      <c r="C14" s="18">
        <f>IF('Club Championship'!$F18="","",'Club Championship'!$B$3)</f>
        <v/>
      </c>
      <c r="F14">
        <f>IF('Club Championship'!$F18="","",'Club Championship'!$A18&amp;"")</f>
        <v/>
      </c>
      <c r="J14">
        <f>IF('Club Championship'!$F18="","",'Club Championship'!$D18)</f>
        <v/>
      </c>
      <c r="K14">
        <f>IF('Club Championship'!$F18="","",COUNTIF('Club Championship'!$B$6:$B$155,'Club Championship'!$B18))</f>
        <v/>
      </c>
      <c r="L14">
        <f>IF('Club Championship'!$F18="","",'Club Championship'!$C18&amp;"")</f>
        <v/>
      </c>
      <c r="M14">
        <f>IF('Club Championship'!$F18="","",'Club Championship'!$E18)</f>
        <v/>
      </c>
      <c r="N14">
        <f>IF('Club Championship'!$F18="","",'Club Championship'!$F18)</f>
        <v/>
      </c>
      <c r="O14">
        <f>IF('Club Championship'!$F18="","",'Club Championship'!$F18)</f>
        <v/>
      </c>
      <c r="P14">
        <f>IF('Club Championship'!$F18="","",'Club Championship'!$G18)</f>
        <v/>
      </c>
    </row>
    <row r="15">
      <c r="A15">
        <f>IF('Club Championship'!$F19="","","Club Championship")</f>
        <v/>
      </c>
      <c r="B15">
        <f>IF('Club Championship'!$F19="","","Club Championship")</f>
        <v/>
      </c>
      <c r="C15" s="18">
        <f>IF('Club Championship'!$F19="","",'Club Championship'!$B$3)</f>
        <v/>
      </c>
      <c r="F15">
        <f>IF('Club Championship'!$F19="","",'Club Championship'!$A19&amp;"")</f>
        <v/>
      </c>
      <c r="J15">
        <f>IF('Club Championship'!$F19="","",'Club Championship'!$D19)</f>
        <v/>
      </c>
      <c r="K15">
        <f>IF('Club Championship'!$F19="","",COUNTIF('Club Championship'!$B$6:$B$155,'Club Championship'!$B19))</f>
        <v/>
      </c>
      <c r="L15">
        <f>IF('Club Championship'!$F19="","",'Club Championship'!$C19&amp;"")</f>
        <v/>
      </c>
      <c r="M15">
        <f>IF('Club Championship'!$F19="","",'Club Championship'!$E19)</f>
        <v/>
      </c>
      <c r="N15">
        <f>IF('Club Championship'!$F19="","",'Club Championship'!$F19)</f>
        <v/>
      </c>
      <c r="O15">
        <f>IF('Club Championship'!$F19="","",'Club Championship'!$F19)</f>
        <v/>
      </c>
      <c r="P15">
        <f>IF('Club Championship'!$F19="","",'Club Championship'!$G19)</f>
        <v/>
      </c>
    </row>
    <row r="16">
      <c r="A16">
        <f>IF('Club Championship'!$F20="","","Club Championship")</f>
        <v/>
      </c>
      <c r="B16">
        <f>IF('Club Championship'!$F20="","","Club Championship")</f>
        <v/>
      </c>
      <c r="C16" s="18">
        <f>IF('Club Championship'!$F20="","",'Club Championship'!$B$3)</f>
        <v/>
      </c>
      <c r="F16">
        <f>IF('Club Championship'!$F20="","",'Club Championship'!$A20&amp;"")</f>
        <v/>
      </c>
      <c r="J16">
        <f>IF('Club Championship'!$F20="","",'Club Championship'!$D20)</f>
        <v/>
      </c>
      <c r="K16">
        <f>IF('Club Championship'!$F20="","",COUNTIF('Club Championship'!$B$6:$B$155,'Club Championship'!$B20))</f>
        <v/>
      </c>
      <c r="L16">
        <f>IF('Club Championship'!$F20="","",'Club Championship'!$C20&amp;"")</f>
        <v/>
      </c>
      <c r="M16">
        <f>IF('Club Championship'!$F20="","",'Club Championship'!$E20)</f>
        <v/>
      </c>
      <c r="N16">
        <f>IF('Club Championship'!$F20="","",'Club Championship'!$F20)</f>
        <v/>
      </c>
      <c r="O16">
        <f>IF('Club Championship'!$F20="","",'Club Championship'!$F20)</f>
        <v/>
      </c>
      <c r="P16">
        <f>IF('Club Championship'!$F20="","",'Club Championship'!$G20)</f>
        <v/>
      </c>
    </row>
    <row r="17">
      <c r="A17">
        <f>IF('Club Championship'!$F21="","","Club Championship")</f>
        <v/>
      </c>
      <c r="B17">
        <f>IF('Club Championship'!$F21="","","Club Championship")</f>
        <v/>
      </c>
      <c r="C17" s="18">
        <f>IF('Club Championship'!$F21="","",'Club Championship'!$B$3)</f>
        <v/>
      </c>
      <c r="F17">
        <f>IF('Club Championship'!$F21="","",'Club Championship'!$A21&amp;"")</f>
        <v/>
      </c>
      <c r="J17">
        <f>IF('Club Championship'!$F21="","",'Club Championship'!$D21)</f>
        <v/>
      </c>
      <c r="K17">
        <f>IF('Club Championship'!$F21="","",COUNTIF('Club Championship'!$B$6:$B$155,'Club Championship'!$B21))</f>
        <v/>
      </c>
      <c r="L17">
        <f>IF('Club Championship'!$F21="","",'Club Championship'!$C21&amp;"")</f>
        <v/>
      </c>
      <c r="M17">
        <f>IF('Club Championship'!$F21="","",'Club Championship'!$E21)</f>
        <v/>
      </c>
      <c r="N17">
        <f>IF('Club Championship'!$F21="","",'Club Championship'!$F21)</f>
        <v/>
      </c>
      <c r="O17">
        <f>IF('Club Championship'!$F21="","",'Club Championship'!$F21)</f>
        <v/>
      </c>
      <c r="P17">
        <f>IF('Club Championship'!$F21="","",'Club Championship'!$G21)</f>
        <v/>
      </c>
    </row>
    <row r="18">
      <c r="A18">
        <f>IF('Club Championship'!$F22="","","Club Championship")</f>
        <v/>
      </c>
      <c r="B18">
        <f>IF('Club Championship'!$F22="","","Club Championship")</f>
        <v/>
      </c>
      <c r="C18" s="18">
        <f>IF('Club Championship'!$F22="","",'Club Championship'!$B$3)</f>
        <v/>
      </c>
      <c r="F18">
        <f>IF('Club Championship'!$F22="","",'Club Championship'!$A22&amp;"")</f>
        <v/>
      </c>
      <c r="J18">
        <f>IF('Club Championship'!$F22="","",'Club Championship'!$D22)</f>
        <v/>
      </c>
      <c r="K18">
        <f>IF('Club Championship'!$F22="","",COUNTIF('Club Championship'!$B$6:$B$155,'Club Championship'!$B22))</f>
        <v/>
      </c>
      <c r="L18">
        <f>IF('Club Championship'!$F22="","",'Club Championship'!$C22&amp;"")</f>
        <v/>
      </c>
      <c r="M18">
        <f>IF('Club Championship'!$F22="","",'Club Championship'!$E22)</f>
        <v/>
      </c>
      <c r="N18">
        <f>IF('Club Championship'!$F22="","",'Club Championship'!$F22)</f>
        <v/>
      </c>
      <c r="O18">
        <f>IF('Club Championship'!$F22="","",'Club Championship'!$F22)</f>
        <v/>
      </c>
      <c r="P18">
        <f>IF('Club Championship'!$F22="","",'Club Championship'!$G22)</f>
        <v/>
      </c>
    </row>
    <row r="19">
      <c r="A19">
        <f>IF('Club Championship'!$F23="","","Club Championship")</f>
        <v/>
      </c>
      <c r="B19">
        <f>IF('Club Championship'!$F23="","","Club Championship")</f>
        <v/>
      </c>
      <c r="C19" s="18">
        <f>IF('Club Championship'!$F23="","",'Club Championship'!$B$3)</f>
        <v/>
      </c>
      <c r="F19">
        <f>IF('Club Championship'!$F23="","",'Club Championship'!$A23&amp;"")</f>
        <v/>
      </c>
      <c r="J19">
        <f>IF('Club Championship'!$F23="","",'Club Championship'!$D23)</f>
        <v/>
      </c>
      <c r="K19">
        <f>IF('Club Championship'!$F23="","",COUNTIF('Club Championship'!$B$6:$B$155,'Club Championship'!$B23))</f>
        <v/>
      </c>
      <c r="L19">
        <f>IF('Club Championship'!$F23="","",'Club Championship'!$C23&amp;"")</f>
        <v/>
      </c>
      <c r="M19">
        <f>IF('Club Championship'!$F23="","",'Club Championship'!$E23)</f>
        <v/>
      </c>
      <c r="N19">
        <f>IF('Club Championship'!$F23="","",'Club Championship'!$F23)</f>
        <v/>
      </c>
      <c r="O19">
        <f>IF('Club Championship'!$F23="","",'Club Championship'!$F23)</f>
        <v/>
      </c>
      <c r="P19">
        <f>IF('Club Championship'!$F23="","",'Club Championship'!$G23)</f>
        <v/>
      </c>
    </row>
    <row r="20">
      <c r="A20">
        <f>IF('Club Championship'!$F24="","","Club Championship")</f>
        <v/>
      </c>
      <c r="B20">
        <f>IF('Club Championship'!$F24="","","Club Championship")</f>
        <v/>
      </c>
      <c r="C20" s="18">
        <f>IF('Club Championship'!$F24="","",'Club Championship'!$B$3)</f>
        <v/>
      </c>
      <c r="F20">
        <f>IF('Club Championship'!$F24="","",'Club Championship'!$A24&amp;"")</f>
        <v/>
      </c>
      <c r="J20">
        <f>IF('Club Championship'!$F24="","",'Club Championship'!$D24)</f>
        <v/>
      </c>
      <c r="K20">
        <f>IF('Club Championship'!$F24="","",COUNTIF('Club Championship'!$B$6:$B$155,'Club Championship'!$B24))</f>
        <v/>
      </c>
      <c r="L20">
        <f>IF('Club Championship'!$F24="","",'Club Championship'!$C24&amp;"")</f>
        <v/>
      </c>
      <c r="M20">
        <f>IF('Club Championship'!$F24="","",'Club Championship'!$E24)</f>
        <v/>
      </c>
      <c r="N20">
        <f>IF('Club Championship'!$F24="","",'Club Championship'!$F24)</f>
        <v/>
      </c>
      <c r="O20">
        <f>IF('Club Championship'!$F24="","",'Club Championship'!$F24)</f>
        <v/>
      </c>
      <c r="P20">
        <f>IF('Club Championship'!$F24="","",'Club Championship'!$G24)</f>
        <v/>
      </c>
    </row>
    <row r="21">
      <c r="A21">
        <f>IF('Club Championship'!$F25="","","Club Championship")</f>
        <v/>
      </c>
      <c r="B21">
        <f>IF('Club Championship'!$F25="","","Club Championship")</f>
        <v/>
      </c>
      <c r="C21" s="18">
        <f>IF('Club Championship'!$F25="","",'Club Championship'!$B$3)</f>
        <v/>
      </c>
      <c r="F21">
        <f>IF('Club Championship'!$F25="","",'Club Championship'!$A25&amp;"")</f>
        <v/>
      </c>
      <c r="J21">
        <f>IF('Club Championship'!$F25="","",'Club Championship'!$D25)</f>
        <v/>
      </c>
      <c r="K21">
        <f>IF('Club Championship'!$F25="","",COUNTIF('Club Championship'!$B$6:$B$155,'Club Championship'!$B25))</f>
        <v/>
      </c>
      <c r="L21">
        <f>IF('Club Championship'!$F25="","",'Club Championship'!$C25&amp;"")</f>
        <v/>
      </c>
      <c r="M21">
        <f>IF('Club Championship'!$F25="","",'Club Championship'!$E25)</f>
        <v/>
      </c>
      <c r="N21">
        <f>IF('Club Championship'!$F25="","",'Club Championship'!$F25)</f>
        <v/>
      </c>
      <c r="O21">
        <f>IF('Club Championship'!$F25="","",'Club Championship'!$F25)</f>
        <v/>
      </c>
      <c r="P21">
        <f>IF('Club Championship'!$F25="","",'Club Championship'!$G25)</f>
        <v/>
      </c>
    </row>
    <row r="22">
      <c r="A22">
        <f>IF('Club Championship'!$F26="","","Club Championship")</f>
        <v/>
      </c>
      <c r="B22">
        <f>IF('Club Championship'!$F26="","","Club Championship")</f>
        <v/>
      </c>
      <c r="C22" s="18">
        <f>IF('Club Championship'!$F26="","",'Club Championship'!$B$3)</f>
        <v/>
      </c>
      <c r="F22">
        <f>IF('Club Championship'!$F26="","",'Club Championship'!$A26&amp;"")</f>
        <v/>
      </c>
      <c r="J22">
        <f>IF('Club Championship'!$F26="","",'Club Championship'!$D26)</f>
        <v/>
      </c>
      <c r="K22">
        <f>IF('Club Championship'!$F26="","",COUNTIF('Club Championship'!$B$6:$B$155,'Club Championship'!$B26))</f>
        <v/>
      </c>
      <c r="L22">
        <f>IF('Club Championship'!$F26="","",'Club Championship'!$C26&amp;"")</f>
        <v/>
      </c>
      <c r="M22">
        <f>IF('Club Championship'!$F26="","",'Club Championship'!$E26)</f>
        <v/>
      </c>
      <c r="N22">
        <f>IF('Club Championship'!$F26="","",'Club Championship'!$F26)</f>
        <v/>
      </c>
      <c r="O22">
        <f>IF('Club Championship'!$F26="","",'Club Championship'!$F26)</f>
        <v/>
      </c>
      <c r="P22">
        <f>IF('Club Championship'!$F26="","",'Club Championship'!$G26)</f>
        <v/>
      </c>
    </row>
    <row r="23">
      <c r="A23">
        <f>IF('Club Championship'!$F27="","","Club Championship")</f>
        <v/>
      </c>
      <c r="B23">
        <f>IF('Club Championship'!$F27="","","Club Championship")</f>
        <v/>
      </c>
      <c r="C23" s="18">
        <f>IF('Club Championship'!$F27="","",'Club Championship'!$B$3)</f>
        <v/>
      </c>
      <c r="F23">
        <f>IF('Club Championship'!$F27="","",'Club Championship'!$A27&amp;"")</f>
        <v/>
      </c>
      <c r="J23">
        <f>IF('Club Championship'!$F27="","",'Club Championship'!$D27)</f>
        <v/>
      </c>
      <c r="K23">
        <f>IF('Club Championship'!$F27="","",COUNTIF('Club Championship'!$B$6:$B$155,'Club Championship'!$B27))</f>
        <v/>
      </c>
      <c r="L23">
        <f>IF('Club Championship'!$F27="","",'Club Championship'!$C27&amp;"")</f>
        <v/>
      </c>
      <c r="M23">
        <f>IF('Club Championship'!$F27="","",'Club Championship'!$E27)</f>
        <v/>
      </c>
      <c r="N23">
        <f>IF('Club Championship'!$F27="","",'Club Championship'!$F27)</f>
        <v/>
      </c>
      <c r="O23">
        <f>IF('Club Championship'!$F27="","",'Club Championship'!$F27)</f>
        <v/>
      </c>
      <c r="P23">
        <f>IF('Club Championship'!$F27="","",'Club Championship'!$G27)</f>
        <v/>
      </c>
    </row>
    <row r="24">
      <c r="A24">
        <f>IF('Club Championship'!$F28="","","Club Championship")</f>
        <v/>
      </c>
      <c r="B24">
        <f>IF('Club Championship'!$F28="","","Club Championship")</f>
        <v/>
      </c>
      <c r="C24" s="18">
        <f>IF('Club Championship'!$F28="","",'Club Championship'!$B$3)</f>
        <v/>
      </c>
      <c r="F24">
        <f>IF('Club Championship'!$F28="","",'Club Championship'!$A28&amp;"")</f>
        <v/>
      </c>
      <c r="J24">
        <f>IF('Club Championship'!$F28="","",'Club Championship'!$D28)</f>
        <v/>
      </c>
      <c r="K24">
        <f>IF('Club Championship'!$F28="","",COUNTIF('Club Championship'!$B$6:$B$155,'Club Championship'!$B28))</f>
        <v/>
      </c>
      <c r="L24">
        <f>IF('Club Championship'!$F28="","",'Club Championship'!$C28&amp;"")</f>
        <v/>
      </c>
      <c r="M24">
        <f>IF('Club Championship'!$F28="","",'Club Championship'!$E28)</f>
        <v/>
      </c>
      <c r="N24">
        <f>IF('Club Championship'!$F28="","",'Club Championship'!$F28)</f>
        <v/>
      </c>
      <c r="O24">
        <f>IF('Club Championship'!$F28="","",'Club Championship'!$F28)</f>
        <v/>
      </c>
      <c r="P24">
        <f>IF('Club Championship'!$F28="","",'Club Championship'!$G28)</f>
        <v/>
      </c>
    </row>
    <row r="25">
      <c r="A25">
        <f>IF('Club Championship'!$F29="","","Club Championship")</f>
        <v/>
      </c>
      <c r="B25">
        <f>IF('Club Championship'!$F29="","","Club Championship")</f>
        <v/>
      </c>
      <c r="C25" s="18">
        <f>IF('Club Championship'!$F29="","",'Club Championship'!$B$3)</f>
        <v/>
      </c>
      <c r="F25">
        <f>IF('Club Championship'!$F29="","",'Club Championship'!$A29&amp;"")</f>
        <v/>
      </c>
      <c r="J25">
        <f>IF('Club Championship'!$F29="","",'Club Championship'!$D29)</f>
        <v/>
      </c>
      <c r="K25">
        <f>IF('Club Championship'!$F29="","",COUNTIF('Club Championship'!$B$6:$B$155,'Club Championship'!$B29))</f>
        <v/>
      </c>
      <c r="L25">
        <f>IF('Club Championship'!$F29="","",'Club Championship'!$C29&amp;"")</f>
        <v/>
      </c>
      <c r="M25">
        <f>IF('Club Championship'!$F29="","",'Club Championship'!$E29)</f>
        <v/>
      </c>
      <c r="N25">
        <f>IF('Club Championship'!$F29="","",'Club Championship'!$F29)</f>
        <v/>
      </c>
      <c r="O25">
        <f>IF('Club Championship'!$F29="","",'Club Championship'!$F29)</f>
        <v/>
      </c>
      <c r="P25">
        <f>IF('Club Championship'!$F29="","",'Club Championship'!$G29)</f>
        <v/>
      </c>
    </row>
    <row r="26">
      <c r="A26">
        <f>IF('Club Championship'!$F30="","","Club Championship")</f>
        <v/>
      </c>
      <c r="B26">
        <f>IF('Club Championship'!$F30="","","Club Championship")</f>
        <v/>
      </c>
      <c r="C26" s="18">
        <f>IF('Club Championship'!$F30="","",'Club Championship'!$B$3)</f>
        <v/>
      </c>
      <c r="F26">
        <f>IF('Club Championship'!$F30="","",'Club Championship'!$A30&amp;"")</f>
        <v/>
      </c>
      <c r="J26">
        <f>IF('Club Championship'!$F30="","",'Club Championship'!$D30)</f>
        <v/>
      </c>
      <c r="K26">
        <f>IF('Club Championship'!$F30="","",COUNTIF('Club Championship'!$B$6:$B$155,'Club Championship'!$B30))</f>
        <v/>
      </c>
      <c r="L26">
        <f>IF('Club Championship'!$F30="","",'Club Championship'!$C30&amp;"")</f>
        <v/>
      </c>
      <c r="M26">
        <f>IF('Club Championship'!$F30="","",'Club Championship'!$E30)</f>
        <v/>
      </c>
      <c r="N26">
        <f>IF('Club Championship'!$F30="","",'Club Championship'!$F30)</f>
        <v/>
      </c>
      <c r="O26">
        <f>IF('Club Championship'!$F30="","",'Club Championship'!$F30)</f>
        <v/>
      </c>
      <c r="P26">
        <f>IF('Club Championship'!$F30="","",'Club Championship'!$G30)</f>
        <v/>
      </c>
    </row>
    <row r="27">
      <c r="A27">
        <f>IF('Club Championship'!$F31="","","Club Championship")</f>
        <v/>
      </c>
      <c r="B27">
        <f>IF('Club Championship'!$F31="","","Club Championship")</f>
        <v/>
      </c>
      <c r="C27" s="18">
        <f>IF('Club Championship'!$F31="","",'Club Championship'!$B$3)</f>
        <v/>
      </c>
      <c r="F27">
        <f>IF('Club Championship'!$F31="","",'Club Championship'!$A31&amp;"")</f>
        <v/>
      </c>
      <c r="J27">
        <f>IF('Club Championship'!$F31="","",'Club Championship'!$D31)</f>
        <v/>
      </c>
      <c r="K27">
        <f>IF('Club Championship'!$F31="","",COUNTIF('Club Championship'!$B$6:$B$155,'Club Championship'!$B31))</f>
        <v/>
      </c>
      <c r="L27">
        <f>IF('Club Championship'!$F31="","",'Club Championship'!$C31&amp;"")</f>
        <v/>
      </c>
      <c r="M27">
        <f>IF('Club Championship'!$F31="","",'Club Championship'!$E31)</f>
        <v/>
      </c>
      <c r="N27">
        <f>IF('Club Championship'!$F31="","",'Club Championship'!$F31)</f>
        <v/>
      </c>
      <c r="O27">
        <f>IF('Club Championship'!$F31="","",'Club Championship'!$F31)</f>
        <v/>
      </c>
      <c r="P27">
        <f>IF('Club Championship'!$F31="","",'Club Championship'!$G31)</f>
        <v/>
      </c>
    </row>
    <row r="28">
      <c r="A28">
        <f>IF('Club Championship'!$F32="","","Club Championship")</f>
        <v/>
      </c>
      <c r="B28">
        <f>IF('Club Championship'!$F32="","","Club Championship")</f>
        <v/>
      </c>
      <c r="C28" s="18">
        <f>IF('Club Championship'!$F32="","",'Club Championship'!$B$3)</f>
        <v/>
      </c>
      <c r="F28">
        <f>IF('Club Championship'!$F32="","",'Club Championship'!$A32&amp;"")</f>
        <v/>
      </c>
      <c r="J28">
        <f>IF('Club Championship'!$F32="","",'Club Championship'!$D32)</f>
        <v/>
      </c>
      <c r="K28">
        <f>IF('Club Championship'!$F32="","",COUNTIF('Club Championship'!$B$6:$B$155,'Club Championship'!$B32))</f>
        <v/>
      </c>
      <c r="L28">
        <f>IF('Club Championship'!$F32="","",'Club Championship'!$C32&amp;"")</f>
        <v/>
      </c>
      <c r="M28">
        <f>IF('Club Championship'!$F32="","",'Club Championship'!$E32)</f>
        <v/>
      </c>
      <c r="N28">
        <f>IF('Club Championship'!$F32="","",'Club Championship'!$F32)</f>
        <v/>
      </c>
      <c r="O28">
        <f>IF('Club Championship'!$F32="","",'Club Championship'!$F32)</f>
        <v/>
      </c>
      <c r="P28">
        <f>IF('Club Championship'!$F32="","",'Club Championship'!$G32)</f>
        <v/>
      </c>
    </row>
    <row r="29">
      <c r="A29">
        <f>IF('Club Championship'!$F33="","","Club Championship")</f>
        <v/>
      </c>
      <c r="B29">
        <f>IF('Club Championship'!$F33="","","Club Championship")</f>
        <v/>
      </c>
      <c r="C29" s="18">
        <f>IF('Club Championship'!$F33="","",'Club Championship'!$B$3)</f>
        <v/>
      </c>
      <c r="F29">
        <f>IF('Club Championship'!$F33="","",'Club Championship'!$A33&amp;"")</f>
        <v/>
      </c>
      <c r="J29">
        <f>IF('Club Championship'!$F33="","",'Club Championship'!$D33)</f>
        <v/>
      </c>
      <c r="K29">
        <f>IF('Club Championship'!$F33="","",COUNTIF('Club Championship'!$B$6:$B$155,'Club Championship'!$B33))</f>
        <v/>
      </c>
      <c r="L29">
        <f>IF('Club Championship'!$F33="","",'Club Championship'!$C33&amp;"")</f>
        <v/>
      </c>
      <c r="M29">
        <f>IF('Club Championship'!$F33="","",'Club Championship'!$E33)</f>
        <v/>
      </c>
      <c r="N29">
        <f>IF('Club Championship'!$F33="","",'Club Championship'!$F33)</f>
        <v/>
      </c>
      <c r="O29">
        <f>IF('Club Championship'!$F33="","",'Club Championship'!$F33)</f>
        <v/>
      </c>
      <c r="P29">
        <f>IF('Club Championship'!$F33="","",'Club Championship'!$G33)</f>
        <v/>
      </c>
    </row>
    <row r="30">
      <c r="A30">
        <f>IF('Club Championship'!$F34="","","Club Championship")</f>
        <v/>
      </c>
      <c r="B30">
        <f>IF('Club Championship'!$F34="","","Club Championship")</f>
        <v/>
      </c>
      <c r="C30" s="18">
        <f>IF('Club Championship'!$F34="","",'Club Championship'!$B$3)</f>
        <v/>
      </c>
      <c r="F30">
        <f>IF('Club Championship'!$F34="","",'Club Championship'!$A34&amp;"")</f>
        <v/>
      </c>
      <c r="J30">
        <f>IF('Club Championship'!$F34="","",'Club Championship'!$D34)</f>
        <v/>
      </c>
      <c r="K30">
        <f>IF('Club Championship'!$F34="","",COUNTIF('Club Championship'!$B$6:$B$155,'Club Championship'!$B34))</f>
        <v/>
      </c>
      <c r="L30">
        <f>IF('Club Championship'!$F34="","",'Club Championship'!$C34&amp;"")</f>
        <v/>
      </c>
      <c r="M30">
        <f>IF('Club Championship'!$F34="","",'Club Championship'!$E34)</f>
        <v/>
      </c>
      <c r="N30">
        <f>IF('Club Championship'!$F34="","",'Club Championship'!$F34)</f>
        <v/>
      </c>
      <c r="O30">
        <f>IF('Club Championship'!$F34="","",'Club Championship'!$F34)</f>
        <v/>
      </c>
      <c r="P30">
        <f>IF('Club Championship'!$F34="","",'Club Championship'!$G34)</f>
        <v/>
      </c>
    </row>
    <row r="31">
      <c r="A31">
        <f>IF('Club Championship'!$F35="","","Club Championship")</f>
        <v/>
      </c>
      <c r="B31">
        <f>IF('Club Championship'!$F35="","","Club Championship")</f>
        <v/>
      </c>
      <c r="C31" s="18">
        <f>IF('Club Championship'!$F35="","",'Club Championship'!$B$3)</f>
        <v/>
      </c>
      <c r="F31">
        <f>IF('Club Championship'!$F35="","",'Club Championship'!$A35&amp;"")</f>
        <v/>
      </c>
      <c r="J31">
        <f>IF('Club Championship'!$F35="","",'Club Championship'!$D35)</f>
        <v/>
      </c>
      <c r="K31">
        <f>IF('Club Championship'!$F35="","",COUNTIF('Club Championship'!$B$6:$B$155,'Club Championship'!$B35))</f>
        <v/>
      </c>
      <c r="L31">
        <f>IF('Club Championship'!$F35="","",'Club Championship'!$C35&amp;"")</f>
        <v/>
      </c>
      <c r="M31">
        <f>IF('Club Championship'!$F35="","",'Club Championship'!$E35)</f>
        <v/>
      </c>
      <c r="N31">
        <f>IF('Club Championship'!$F35="","",'Club Championship'!$F35)</f>
        <v/>
      </c>
      <c r="O31">
        <f>IF('Club Championship'!$F35="","",'Club Championship'!$F35)</f>
        <v/>
      </c>
      <c r="P31">
        <f>IF('Club Championship'!$F35="","",'Club Championship'!$G35)</f>
        <v/>
      </c>
    </row>
    <row r="32">
      <c r="A32">
        <f>IF('Club Championship'!$F36="","","Club Championship")</f>
        <v/>
      </c>
      <c r="B32">
        <f>IF('Club Championship'!$F36="","","Club Championship")</f>
        <v/>
      </c>
      <c r="C32" s="18">
        <f>IF('Club Championship'!$F36="","",'Club Championship'!$B$3)</f>
        <v/>
      </c>
      <c r="F32">
        <f>IF('Club Championship'!$F36="","",'Club Championship'!$A36&amp;"")</f>
        <v/>
      </c>
      <c r="J32">
        <f>IF('Club Championship'!$F36="","",'Club Championship'!$D36)</f>
        <v/>
      </c>
      <c r="K32">
        <f>IF('Club Championship'!$F36="","",COUNTIF('Club Championship'!$B$6:$B$155,'Club Championship'!$B36))</f>
        <v/>
      </c>
      <c r="L32">
        <f>IF('Club Championship'!$F36="","",'Club Championship'!$C36&amp;"")</f>
        <v/>
      </c>
      <c r="M32">
        <f>IF('Club Championship'!$F36="","",'Club Championship'!$E36)</f>
        <v/>
      </c>
      <c r="N32">
        <f>IF('Club Championship'!$F36="","",'Club Championship'!$F36)</f>
        <v/>
      </c>
      <c r="O32">
        <f>IF('Club Championship'!$F36="","",'Club Championship'!$F36)</f>
        <v/>
      </c>
      <c r="P32">
        <f>IF('Club Championship'!$F36="","",'Club Championship'!$G36)</f>
        <v/>
      </c>
    </row>
    <row r="33">
      <c r="A33">
        <f>IF('Club Championship'!$F37="","","Club Championship")</f>
        <v/>
      </c>
      <c r="B33">
        <f>IF('Club Championship'!$F37="","","Club Championship")</f>
        <v/>
      </c>
      <c r="C33" s="18">
        <f>IF('Club Championship'!$F37="","",'Club Championship'!$B$3)</f>
        <v/>
      </c>
      <c r="F33">
        <f>IF('Club Championship'!$F37="","",'Club Championship'!$A37&amp;"")</f>
        <v/>
      </c>
      <c r="J33">
        <f>IF('Club Championship'!$F37="","",'Club Championship'!$D37)</f>
        <v/>
      </c>
      <c r="K33">
        <f>IF('Club Championship'!$F37="","",COUNTIF('Club Championship'!$B$6:$B$155,'Club Championship'!$B37))</f>
        <v/>
      </c>
      <c r="L33">
        <f>IF('Club Championship'!$F37="","",'Club Championship'!$C37&amp;"")</f>
        <v/>
      </c>
      <c r="M33">
        <f>IF('Club Championship'!$F37="","",'Club Championship'!$E37)</f>
        <v/>
      </c>
      <c r="N33">
        <f>IF('Club Championship'!$F37="","",'Club Championship'!$F37)</f>
        <v/>
      </c>
      <c r="O33">
        <f>IF('Club Championship'!$F37="","",'Club Championship'!$F37)</f>
        <v/>
      </c>
      <c r="P33">
        <f>IF('Club Championship'!$F37="","",'Club Championship'!$G37)</f>
        <v/>
      </c>
    </row>
    <row r="34">
      <c r="A34">
        <f>IF('Club Championship'!$F38="","","Club Championship")</f>
        <v/>
      </c>
      <c r="B34">
        <f>IF('Club Championship'!$F38="","","Club Championship")</f>
        <v/>
      </c>
      <c r="C34" s="18">
        <f>IF('Club Championship'!$F38="","",'Club Championship'!$B$3)</f>
        <v/>
      </c>
      <c r="F34">
        <f>IF('Club Championship'!$F38="","",'Club Championship'!$A38&amp;"")</f>
        <v/>
      </c>
      <c r="J34">
        <f>IF('Club Championship'!$F38="","",'Club Championship'!$D38)</f>
        <v/>
      </c>
      <c r="K34">
        <f>IF('Club Championship'!$F38="","",COUNTIF('Club Championship'!$B$6:$B$155,'Club Championship'!$B38))</f>
        <v/>
      </c>
      <c r="L34">
        <f>IF('Club Championship'!$F38="","",'Club Championship'!$C38&amp;"")</f>
        <v/>
      </c>
      <c r="M34">
        <f>IF('Club Championship'!$F38="","",'Club Championship'!$E38)</f>
        <v/>
      </c>
      <c r="N34">
        <f>IF('Club Championship'!$F38="","",'Club Championship'!$F38)</f>
        <v/>
      </c>
      <c r="O34">
        <f>IF('Club Championship'!$F38="","",'Club Championship'!$F38)</f>
        <v/>
      </c>
      <c r="P34">
        <f>IF('Club Championship'!$F38="","",'Club Championship'!$G38)</f>
        <v/>
      </c>
    </row>
    <row r="35">
      <c r="A35">
        <f>IF('Club Championship'!$F39="","","Club Championship")</f>
        <v/>
      </c>
      <c r="B35">
        <f>IF('Club Championship'!$F39="","","Club Championship")</f>
        <v/>
      </c>
      <c r="C35" s="18">
        <f>IF('Club Championship'!$F39="","",'Club Championship'!$B$3)</f>
        <v/>
      </c>
      <c r="F35">
        <f>IF('Club Championship'!$F39="","",'Club Championship'!$A39&amp;"")</f>
        <v/>
      </c>
      <c r="J35">
        <f>IF('Club Championship'!$F39="","",'Club Championship'!$D39)</f>
        <v/>
      </c>
      <c r="K35">
        <f>IF('Club Championship'!$F39="","",COUNTIF('Club Championship'!$B$6:$B$155,'Club Championship'!$B39))</f>
        <v/>
      </c>
      <c r="L35">
        <f>IF('Club Championship'!$F39="","",'Club Championship'!$C39&amp;"")</f>
        <v/>
      </c>
      <c r="M35">
        <f>IF('Club Championship'!$F39="","",'Club Championship'!$E39)</f>
        <v/>
      </c>
      <c r="N35">
        <f>IF('Club Championship'!$F39="","",'Club Championship'!$F39)</f>
        <v/>
      </c>
      <c r="O35">
        <f>IF('Club Championship'!$F39="","",'Club Championship'!$F39)</f>
        <v/>
      </c>
      <c r="P35">
        <f>IF('Club Championship'!$F39="","",'Club Championship'!$G39)</f>
        <v/>
      </c>
    </row>
    <row r="36">
      <c r="A36">
        <f>IF('Club Championship'!$F40="","","Club Championship")</f>
        <v/>
      </c>
      <c r="B36">
        <f>IF('Club Championship'!$F40="","","Club Championship")</f>
        <v/>
      </c>
      <c r="C36" s="18">
        <f>IF('Club Championship'!$F40="","",'Club Championship'!$B$3)</f>
        <v/>
      </c>
      <c r="F36">
        <f>IF('Club Championship'!$F40="","",'Club Championship'!$A40&amp;"")</f>
        <v/>
      </c>
      <c r="J36">
        <f>IF('Club Championship'!$F40="","",'Club Championship'!$D40)</f>
        <v/>
      </c>
      <c r="K36">
        <f>IF('Club Championship'!$F40="","",COUNTIF('Club Championship'!$B$6:$B$155,'Club Championship'!$B40))</f>
        <v/>
      </c>
      <c r="L36">
        <f>IF('Club Championship'!$F40="","",'Club Championship'!$C40&amp;"")</f>
        <v/>
      </c>
      <c r="M36">
        <f>IF('Club Championship'!$F40="","",'Club Championship'!$E40)</f>
        <v/>
      </c>
      <c r="N36">
        <f>IF('Club Championship'!$F40="","",'Club Championship'!$F40)</f>
        <v/>
      </c>
      <c r="O36">
        <f>IF('Club Championship'!$F40="","",'Club Championship'!$F40)</f>
        <v/>
      </c>
      <c r="P36">
        <f>IF('Club Championship'!$F40="","",'Club Championship'!$G40)</f>
        <v/>
      </c>
    </row>
    <row r="37">
      <c r="A37">
        <f>IF('Club Championship'!$F41="","","Club Championship")</f>
        <v/>
      </c>
      <c r="B37">
        <f>IF('Club Championship'!$F41="","","Club Championship")</f>
        <v/>
      </c>
      <c r="C37" s="18">
        <f>IF('Club Championship'!$F41="","",'Club Championship'!$B$3)</f>
        <v/>
      </c>
      <c r="F37">
        <f>IF('Club Championship'!$F41="","",'Club Championship'!$A41&amp;"")</f>
        <v/>
      </c>
      <c r="J37">
        <f>IF('Club Championship'!$F41="","",'Club Championship'!$D41)</f>
        <v/>
      </c>
      <c r="K37">
        <f>IF('Club Championship'!$F41="","",COUNTIF('Club Championship'!$B$6:$B$155,'Club Championship'!$B41))</f>
        <v/>
      </c>
      <c r="L37">
        <f>IF('Club Championship'!$F41="","",'Club Championship'!$C41&amp;"")</f>
        <v/>
      </c>
      <c r="M37">
        <f>IF('Club Championship'!$F41="","",'Club Championship'!$E41)</f>
        <v/>
      </c>
      <c r="N37">
        <f>IF('Club Championship'!$F41="","",'Club Championship'!$F41)</f>
        <v/>
      </c>
      <c r="O37">
        <f>IF('Club Championship'!$F41="","",'Club Championship'!$F41)</f>
        <v/>
      </c>
      <c r="P37">
        <f>IF('Club Championship'!$F41="","",'Club Championship'!$G41)</f>
        <v/>
      </c>
    </row>
    <row r="38">
      <c r="A38">
        <f>IF('Club Championship'!$F42="","","Club Championship")</f>
        <v/>
      </c>
      <c r="B38">
        <f>IF('Club Championship'!$F42="","","Club Championship")</f>
        <v/>
      </c>
      <c r="C38" s="18">
        <f>IF('Club Championship'!$F42="","",'Club Championship'!$B$3)</f>
        <v/>
      </c>
      <c r="F38">
        <f>IF('Club Championship'!$F42="","",'Club Championship'!$A42&amp;"")</f>
        <v/>
      </c>
      <c r="J38">
        <f>IF('Club Championship'!$F42="","",'Club Championship'!$D42)</f>
        <v/>
      </c>
      <c r="K38">
        <f>IF('Club Championship'!$F42="","",COUNTIF('Club Championship'!$B$6:$B$155,'Club Championship'!$B42))</f>
        <v/>
      </c>
      <c r="L38">
        <f>IF('Club Championship'!$F42="","",'Club Championship'!$C42&amp;"")</f>
        <v/>
      </c>
      <c r="M38">
        <f>IF('Club Championship'!$F42="","",'Club Championship'!$E42)</f>
        <v/>
      </c>
      <c r="N38">
        <f>IF('Club Championship'!$F42="","",'Club Championship'!$F42)</f>
        <v/>
      </c>
      <c r="O38">
        <f>IF('Club Championship'!$F42="","",'Club Championship'!$F42)</f>
        <v/>
      </c>
      <c r="P38">
        <f>IF('Club Championship'!$F42="","",'Club Championship'!$G42)</f>
        <v/>
      </c>
    </row>
    <row r="39">
      <c r="A39">
        <f>IF('Club Championship'!$F43="","","Club Championship")</f>
        <v/>
      </c>
      <c r="B39">
        <f>IF('Club Championship'!$F43="","","Club Championship")</f>
        <v/>
      </c>
      <c r="C39" s="18">
        <f>IF('Club Championship'!$F43="","",'Club Championship'!$B$3)</f>
        <v/>
      </c>
      <c r="F39">
        <f>IF('Club Championship'!$F43="","",'Club Championship'!$A43&amp;"")</f>
        <v/>
      </c>
      <c r="J39">
        <f>IF('Club Championship'!$F43="","",'Club Championship'!$D43)</f>
        <v/>
      </c>
      <c r="K39">
        <f>IF('Club Championship'!$F43="","",COUNTIF('Club Championship'!$B$6:$B$155,'Club Championship'!$B43))</f>
        <v/>
      </c>
      <c r="L39">
        <f>IF('Club Championship'!$F43="","",'Club Championship'!$C43&amp;"")</f>
        <v/>
      </c>
      <c r="M39">
        <f>IF('Club Championship'!$F43="","",'Club Championship'!$E43)</f>
        <v/>
      </c>
      <c r="N39">
        <f>IF('Club Championship'!$F43="","",'Club Championship'!$F43)</f>
        <v/>
      </c>
      <c r="O39">
        <f>IF('Club Championship'!$F43="","",'Club Championship'!$F43)</f>
        <v/>
      </c>
      <c r="P39">
        <f>IF('Club Championship'!$F43="","",'Club Championship'!$G43)</f>
        <v/>
      </c>
    </row>
    <row r="40">
      <c r="A40">
        <f>IF('Club Championship'!$F44="","","Club Championship")</f>
        <v/>
      </c>
      <c r="B40">
        <f>IF('Club Championship'!$F44="","","Club Championship")</f>
        <v/>
      </c>
      <c r="C40" s="18">
        <f>IF('Club Championship'!$F44="","",'Club Championship'!$B$3)</f>
        <v/>
      </c>
      <c r="F40">
        <f>IF('Club Championship'!$F44="","",'Club Championship'!$A44&amp;"")</f>
        <v/>
      </c>
      <c r="J40">
        <f>IF('Club Championship'!$F44="","",'Club Championship'!$D44)</f>
        <v/>
      </c>
      <c r="K40">
        <f>IF('Club Championship'!$F44="","",COUNTIF('Club Championship'!$B$6:$B$155,'Club Championship'!$B44))</f>
        <v/>
      </c>
      <c r="L40">
        <f>IF('Club Championship'!$F44="","",'Club Championship'!$C44&amp;"")</f>
        <v/>
      </c>
      <c r="M40">
        <f>IF('Club Championship'!$F44="","",'Club Championship'!$E44)</f>
        <v/>
      </c>
      <c r="N40">
        <f>IF('Club Championship'!$F44="","",'Club Championship'!$F44)</f>
        <v/>
      </c>
      <c r="O40">
        <f>IF('Club Championship'!$F44="","",'Club Championship'!$F44)</f>
        <v/>
      </c>
      <c r="P40">
        <f>IF('Club Championship'!$F44="","",'Club Championship'!$G44)</f>
        <v/>
      </c>
    </row>
    <row r="41">
      <c r="A41">
        <f>IF('Club Championship'!$F45="","","Club Championship")</f>
        <v/>
      </c>
      <c r="B41">
        <f>IF('Club Championship'!$F45="","","Club Championship")</f>
        <v/>
      </c>
      <c r="C41" s="18">
        <f>IF('Club Championship'!$F45="","",'Club Championship'!$B$3)</f>
        <v/>
      </c>
      <c r="F41">
        <f>IF('Club Championship'!$F45="","",'Club Championship'!$A45&amp;"")</f>
        <v/>
      </c>
      <c r="J41">
        <f>IF('Club Championship'!$F45="","",'Club Championship'!$D45)</f>
        <v/>
      </c>
      <c r="K41">
        <f>IF('Club Championship'!$F45="","",COUNTIF('Club Championship'!$B$6:$B$155,'Club Championship'!$B45))</f>
        <v/>
      </c>
      <c r="L41">
        <f>IF('Club Championship'!$F45="","",'Club Championship'!$C45&amp;"")</f>
        <v/>
      </c>
      <c r="M41">
        <f>IF('Club Championship'!$F45="","",'Club Championship'!$E45)</f>
        <v/>
      </c>
      <c r="N41">
        <f>IF('Club Championship'!$F45="","",'Club Championship'!$F45)</f>
        <v/>
      </c>
      <c r="O41">
        <f>IF('Club Championship'!$F45="","",'Club Championship'!$F45)</f>
        <v/>
      </c>
      <c r="P41">
        <f>IF('Club Championship'!$F45="","",'Club Championship'!$G45)</f>
        <v/>
      </c>
    </row>
    <row r="42">
      <c r="A42">
        <f>IF('Club Championship'!$F46="","","Club Championship")</f>
        <v/>
      </c>
      <c r="B42">
        <f>IF('Club Championship'!$F46="","","Club Championship")</f>
        <v/>
      </c>
      <c r="C42" s="18">
        <f>IF('Club Championship'!$F46="","",'Club Championship'!$B$3)</f>
        <v/>
      </c>
      <c r="F42">
        <f>IF('Club Championship'!$F46="","",'Club Championship'!$A46&amp;"")</f>
        <v/>
      </c>
      <c r="J42">
        <f>IF('Club Championship'!$F46="","",'Club Championship'!$D46)</f>
        <v/>
      </c>
      <c r="K42">
        <f>IF('Club Championship'!$F46="","",COUNTIF('Club Championship'!$B$6:$B$155,'Club Championship'!$B46))</f>
        <v/>
      </c>
      <c r="L42">
        <f>IF('Club Championship'!$F46="","",'Club Championship'!$C46&amp;"")</f>
        <v/>
      </c>
      <c r="M42">
        <f>IF('Club Championship'!$F46="","",'Club Championship'!$E46)</f>
        <v/>
      </c>
      <c r="N42">
        <f>IF('Club Championship'!$F46="","",'Club Championship'!$F46)</f>
        <v/>
      </c>
      <c r="O42">
        <f>IF('Club Championship'!$F46="","",'Club Championship'!$F46)</f>
        <v/>
      </c>
      <c r="P42">
        <f>IF('Club Championship'!$F46="","",'Club Championship'!$G46)</f>
        <v/>
      </c>
    </row>
    <row r="43">
      <c r="A43">
        <f>IF('Club Championship'!$F47="","","Club Championship")</f>
        <v/>
      </c>
      <c r="B43">
        <f>IF('Club Championship'!$F47="","","Club Championship")</f>
        <v/>
      </c>
      <c r="C43" s="18">
        <f>IF('Club Championship'!$F47="","",'Club Championship'!$B$3)</f>
        <v/>
      </c>
      <c r="F43">
        <f>IF('Club Championship'!$F47="","",'Club Championship'!$A47&amp;"")</f>
        <v/>
      </c>
      <c r="J43">
        <f>IF('Club Championship'!$F47="","",'Club Championship'!$D47)</f>
        <v/>
      </c>
      <c r="K43">
        <f>IF('Club Championship'!$F47="","",COUNTIF('Club Championship'!$B$6:$B$155,'Club Championship'!$B47))</f>
        <v/>
      </c>
      <c r="L43">
        <f>IF('Club Championship'!$F47="","",'Club Championship'!$C47&amp;"")</f>
        <v/>
      </c>
      <c r="M43">
        <f>IF('Club Championship'!$F47="","",'Club Championship'!$E47)</f>
        <v/>
      </c>
      <c r="N43">
        <f>IF('Club Championship'!$F47="","",'Club Championship'!$F47)</f>
        <v/>
      </c>
      <c r="O43">
        <f>IF('Club Championship'!$F47="","",'Club Championship'!$F47)</f>
        <v/>
      </c>
      <c r="P43">
        <f>IF('Club Championship'!$F47="","",'Club Championship'!$G47)</f>
        <v/>
      </c>
    </row>
    <row r="44">
      <c r="A44">
        <f>IF('Club Championship'!$F48="","","Club Championship")</f>
        <v/>
      </c>
      <c r="B44">
        <f>IF('Club Championship'!$F48="","","Club Championship")</f>
        <v/>
      </c>
      <c r="C44" s="18">
        <f>IF('Club Championship'!$F48="","",'Club Championship'!$B$3)</f>
        <v/>
      </c>
      <c r="F44">
        <f>IF('Club Championship'!$F48="","",'Club Championship'!$A48&amp;"")</f>
        <v/>
      </c>
      <c r="J44">
        <f>IF('Club Championship'!$F48="","",'Club Championship'!$D48)</f>
        <v/>
      </c>
      <c r="K44">
        <f>IF('Club Championship'!$F48="","",COUNTIF('Club Championship'!$B$6:$B$155,'Club Championship'!$B48))</f>
        <v/>
      </c>
      <c r="L44">
        <f>IF('Club Championship'!$F48="","",'Club Championship'!$C48&amp;"")</f>
        <v/>
      </c>
      <c r="M44">
        <f>IF('Club Championship'!$F48="","",'Club Championship'!$E48)</f>
        <v/>
      </c>
      <c r="N44">
        <f>IF('Club Championship'!$F48="","",'Club Championship'!$F48)</f>
        <v/>
      </c>
      <c r="O44">
        <f>IF('Club Championship'!$F48="","",'Club Championship'!$F48)</f>
        <v/>
      </c>
      <c r="P44">
        <f>IF('Club Championship'!$F48="","",'Club Championship'!$G48)</f>
        <v/>
      </c>
    </row>
    <row r="45">
      <c r="A45">
        <f>IF('Club Championship'!$F49="","","Club Championship")</f>
        <v/>
      </c>
      <c r="B45">
        <f>IF('Club Championship'!$F49="","","Club Championship")</f>
        <v/>
      </c>
      <c r="C45" s="18">
        <f>IF('Club Championship'!$F49="","",'Club Championship'!$B$3)</f>
        <v/>
      </c>
      <c r="F45">
        <f>IF('Club Championship'!$F49="","",'Club Championship'!$A49&amp;"")</f>
        <v/>
      </c>
      <c r="J45">
        <f>IF('Club Championship'!$F49="","",'Club Championship'!$D49)</f>
        <v/>
      </c>
      <c r="K45">
        <f>IF('Club Championship'!$F49="","",COUNTIF('Club Championship'!$B$6:$B$155,'Club Championship'!$B49))</f>
        <v/>
      </c>
      <c r="L45">
        <f>IF('Club Championship'!$F49="","",'Club Championship'!$C49&amp;"")</f>
        <v/>
      </c>
      <c r="M45">
        <f>IF('Club Championship'!$F49="","",'Club Championship'!$E49)</f>
        <v/>
      </c>
      <c r="N45">
        <f>IF('Club Championship'!$F49="","",'Club Championship'!$F49)</f>
        <v/>
      </c>
      <c r="O45">
        <f>IF('Club Championship'!$F49="","",'Club Championship'!$F49)</f>
        <v/>
      </c>
      <c r="P45">
        <f>IF('Club Championship'!$F49="","",'Club Championship'!$G49)</f>
        <v/>
      </c>
    </row>
    <row r="46">
      <c r="A46">
        <f>IF('Club Championship'!$F50="","","Club Championship")</f>
        <v/>
      </c>
      <c r="B46">
        <f>IF('Club Championship'!$F50="","","Club Championship")</f>
        <v/>
      </c>
      <c r="C46" s="18">
        <f>IF('Club Championship'!$F50="","",'Club Championship'!$B$3)</f>
        <v/>
      </c>
      <c r="F46">
        <f>IF('Club Championship'!$F50="","",'Club Championship'!$A50&amp;"")</f>
        <v/>
      </c>
      <c r="J46">
        <f>IF('Club Championship'!$F50="","",'Club Championship'!$D50)</f>
        <v/>
      </c>
      <c r="K46">
        <f>IF('Club Championship'!$F50="","",COUNTIF('Club Championship'!$B$6:$B$155,'Club Championship'!$B50))</f>
        <v/>
      </c>
      <c r="L46">
        <f>IF('Club Championship'!$F50="","",'Club Championship'!$C50&amp;"")</f>
        <v/>
      </c>
      <c r="M46">
        <f>IF('Club Championship'!$F50="","",'Club Championship'!$E50)</f>
        <v/>
      </c>
      <c r="N46">
        <f>IF('Club Championship'!$F50="","",'Club Championship'!$F50)</f>
        <v/>
      </c>
      <c r="O46">
        <f>IF('Club Championship'!$F50="","",'Club Championship'!$F50)</f>
        <v/>
      </c>
      <c r="P46">
        <f>IF('Club Championship'!$F50="","",'Club Championship'!$G50)</f>
        <v/>
      </c>
    </row>
    <row r="47">
      <c r="A47">
        <f>IF('Club Championship'!$F51="","","Club Championship")</f>
        <v/>
      </c>
      <c r="B47">
        <f>IF('Club Championship'!$F51="","","Club Championship")</f>
        <v/>
      </c>
      <c r="C47" s="18">
        <f>IF('Club Championship'!$F51="","",'Club Championship'!$B$3)</f>
        <v/>
      </c>
      <c r="F47">
        <f>IF('Club Championship'!$F51="","",'Club Championship'!$A51&amp;"")</f>
        <v/>
      </c>
      <c r="J47">
        <f>IF('Club Championship'!$F51="","",'Club Championship'!$D51)</f>
        <v/>
      </c>
      <c r="K47">
        <f>IF('Club Championship'!$F51="","",COUNTIF('Club Championship'!$B$6:$B$155,'Club Championship'!$B51))</f>
        <v/>
      </c>
      <c r="L47">
        <f>IF('Club Championship'!$F51="","",'Club Championship'!$C51&amp;"")</f>
        <v/>
      </c>
      <c r="M47">
        <f>IF('Club Championship'!$F51="","",'Club Championship'!$E51)</f>
        <v/>
      </c>
      <c r="N47">
        <f>IF('Club Championship'!$F51="","",'Club Championship'!$F51)</f>
        <v/>
      </c>
      <c r="O47">
        <f>IF('Club Championship'!$F51="","",'Club Championship'!$F51)</f>
        <v/>
      </c>
      <c r="P47">
        <f>IF('Club Championship'!$F51="","",'Club Championship'!$G51)</f>
        <v/>
      </c>
    </row>
    <row r="48">
      <c r="A48">
        <f>IF('Club Championship'!$F52="","","Club Championship")</f>
        <v/>
      </c>
      <c r="B48">
        <f>IF('Club Championship'!$F52="","","Club Championship")</f>
        <v/>
      </c>
      <c r="C48" s="18">
        <f>IF('Club Championship'!$F52="","",'Club Championship'!$B$3)</f>
        <v/>
      </c>
      <c r="F48">
        <f>IF('Club Championship'!$F52="","",'Club Championship'!$A52&amp;"")</f>
        <v/>
      </c>
      <c r="J48">
        <f>IF('Club Championship'!$F52="","",'Club Championship'!$D52)</f>
        <v/>
      </c>
      <c r="K48">
        <f>IF('Club Championship'!$F52="","",COUNTIF('Club Championship'!$B$6:$B$155,'Club Championship'!$B52))</f>
        <v/>
      </c>
      <c r="L48">
        <f>IF('Club Championship'!$F52="","",'Club Championship'!$C52&amp;"")</f>
        <v/>
      </c>
      <c r="M48">
        <f>IF('Club Championship'!$F52="","",'Club Championship'!$E52)</f>
        <v/>
      </c>
      <c r="N48">
        <f>IF('Club Championship'!$F52="","",'Club Championship'!$F52)</f>
        <v/>
      </c>
      <c r="O48">
        <f>IF('Club Championship'!$F52="","",'Club Championship'!$F52)</f>
        <v/>
      </c>
      <c r="P48">
        <f>IF('Club Championship'!$F52="","",'Club Championship'!$G52)</f>
        <v/>
      </c>
    </row>
    <row r="49">
      <c r="A49">
        <f>IF('Club Championship'!$F53="","","Club Championship")</f>
        <v/>
      </c>
      <c r="B49">
        <f>IF('Club Championship'!$F53="","","Club Championship")</f>
        <v/>
      </c>
      <c r="C49" s="18">
        <f>IF('Club Championship'!$F53="","",'Club Championship'!$B$3)</f>
        <v/>
      </c>
      <c r="F49">
        <f>IF('Club Championship'!$F53="","",'Club Championship'!$A53&amp;"")</f>
        <v/>
      </c>
      <c r="J49">
        <f>IF('Club Championship'!$F53="","",'Club Championship'!$D53)</f>
        <v/>
      </c>
      <c r="K49">
        <f>IF('Club Championship'!$F53="","",COUNTIF('Club Championship'!$B$6:$B$155,'Club Championship'!$B53))</f>
        <v/>
      </c>
      <c r="L49">
        <f>IF('Club Championship'!$F53="","",'Club Championship'!$C53&amp;"")</f>
        <v/>
      </c>
      <c r="M49">
        <f>IF('Club Championship'!$F53="","",'Club Championship'!$E53)</f>
        <v/>
      </c>
      <c r="N49">
        <f>IF('Club Championship'!$F53="","",'Club Championship'!$F53)</f>
        <v/>
      </c>
      <c r="O49">
        <f>IF('Club Championship'!$F53="","",'Club Championship'!$F53)</f>
        <v/>
      </c>
      <c r="P49">
        <f>IF('Club Championship'!$F53="","",'Club Championship'!$G53)</f>
        <v/>
      </c>
    </row>
    <row r="50">
      <c r="A50">
        <f>IF('Club Championship'!$F54="","","Club Championship")</f>
        <v/>
      </c>
      <c r="B50">
        <f>IF('Club Championship'!$F54="","","Club Championship")</f>
        <v/>
      </c>
      <c r="C50" s="18">
        <f>IF('Club Championship'!$F54="","",'Club Championship'!$B$3)</f>
        <v/>
      </c>
      <c r="F50">
        <f>IF('Club Championship'!$F54="","",'Club Championship'!$A54&amp;"")</f>
        <v/>
      </c>
      <c r="J50">
        <f>IF('Club Championship'!$F54="","",'Club Championship'!$D54)</f>
        <v/>
      </c>
      <c r="K50">
        <f>IF('Club Championship'!$F54="","",COUNTIF('Club Championship'!$B$6:$B$155,'Club Championship'!$B54))</f>
        <v/>
      </c>
      <c r="L50">
        <f>IF('Club Championship'!$F54="","",'Club Championship'!$C54&amp;"")</f>
        <v/>
      </c>
      <c r="M50">
        <f>IF('Club Championship'!$F54="","",'Club Championship'!$E54)</f>
        <v/>
      </c>
      <c r="N50">
        <f>IF('Club Championship'!$F54="","",'Club Championship'!$F54)</f>
        <v/>
      </c>
      <c r="O50">
        <f>IF('Club Championship'!$F54="","",'Club Championship'!$F54)</f>
        <v/>
      </c>
      <c r="P50">
        <f>IF('Club Championship'!$F54="","",'Club Championship'!$G54)</f>
        <v/>
      </c>
    </row>
    <row r="51">
      <c r="A51">
        <f>IF('Club Championship'!$F55="","","Club Championship")</f>
        <v/>
      </c>
      <c r="B51">
        <f>IF('Club Championship'!$F55="","","Club Championship")</f>
        <v/>
      </c>
      <c r="C51" s="18">
        <f>IF('Club Championship'!$F55="","",'Club Championship'!$B$3)</f>
        <v/>
      </c>
      <c r="F51">
        <f>IF('Club Championship'!$F55="","",'Club Championship'!$A55&amp;"")</f>
        <v/>
      </c>
      <c r="J51">
        <f>IF('Club Championship'!$F55="","",'Club Championship'!$D55)</f>
        <v/>
      </c>
      <c r="K51">
        <f>IF('Club Championship'!$F55="","",COUNTIF('Club Championship'!$B$6:$B$155,'Club Championship'!$B55))</f>
        <v/>
      </c>
      <c r="L51">
        <f>IF('Club Championship'!$F55="","",'Club Championship'!$C55&amp;"")</f>
        <v/>
      </c>
      <c r="M51">
        <f>IF('Club Championship'!$F55="","",'Club Championship'!$E55)</f>
        <v/>
      </c>
      <c r="N51">
        <f>IF('Club Championship'!$F55="","",'Club Championship'!$F55)</f>
        <v/>
      </c>
      <c r="O51">
        <f>IF('Club Championship'!$F55="","",'Club Championship'!$F55)</f>
        <v/>
      </c>
      <c r="P51">
        <f>IF('Club Championship'!$F55="","",'Club Championship'!$G55)</f>
        <v/>
      </c>
    </row>
    <row r="52">
      <c r="A52">
        <f>IF('Club Championship'!$F56="","","Club Championship")</f>
        <v/>
      </c>
      <c r="B52">
        <f>IF('Club Championship'!$F56="","","Club Championship")</f>
        <v/>
      </c>
      <c r="C52" s="18">
        <f>IF('Club Championship'!$F56="","",'Club Championship'!$B$3)</f>
        <v/>
      </c>
      <c r="F52">
        <f>IF('Club Championship'!$F56="","",'Club Championship'!$A56&amp;"")</f>
        <v/>
      </c>
      <c r="J52">
        <f>IF('Club Championship'!$F56="","",'Club Championship'!$D56)</f>
        <v/>
      </c>
      <c r="K52">
        <f>IF('Club Championship'!$F56="","",COUNTIF('Club Championship'!$B$6:$B$155,'Club Championship'!$B56))</f>
        <v/>
      </c>
      <c r="L52">
        <f>IF('Club Championship'!$F56="","",'Club Championship'!$C56&amp;"")</f>
        <v/>
      </c>
      <c r="M52">
        <f>IF('Club Championship'!$F56="","",'Club Championship'!$E56)</f>
        <v/>
      </c>
      <c r="N52">
        <f>IF('Club Championship'!$F56="","",'Club Championship'!$F56)</f>
        <v/>
      </c>
      <c r="O52">
        <f>IF('Club Championship'!$F56="","",'Club Championship'!$F56)</f>
        <v/>
      </c>
      <c r="P52">
        <f>IF('Club Championship'!$F56="","",'Club Championship'!$G56)</f>
        <v/>
      </c>
    </row>
    <row r="53">
      <c r="A53">
        <f>IF('Club Championship'!$F57="","","Club Championship")</f>
        <v/>
      </c>
      <c r="B53">
        <f>IF('Club Championship'!$F57="","","Club Championship")</f>
        <v/>
      </c>
      <c r="C53" s="18">
        <f>IF('Club Championship'!$F57="","",'Club Championship'!$B$3)</f>
        <v/>
      </c>
      <c r="F53">
        <f>IF('Club Championship'!$F57="","",'Club Championship'!$A57&amp;"")</f>
        <v/>
      </c>
      <c r="J53">
        <f>IF('Club Championship'!$F57="","",'Club Championship'!$D57)</f>
        <v/>
      </c>
      <c r="K53">
        <f>IF('Club Championship'!$F57="","",COUNTIF('Club Championship'!$B$6:$B$155,'Club Championship'!$B57))</f>
        <v/>
      </c>
      <c r="L53">
        <f>IF('Club Championship'!$F57="","",'Club Championship'!$C57&amp;"")</f>
        <v/>
      </c>
      <c r="M53">
        <f>IF('Club Championship'!$F57="","",'Club Championship'!$E57)</f>
        <v/>
      </c>
      <c r="N53">
        <f>IF('Club Championship'!$F57="","",'Club Championship'!$F57)</f>
        <v/>
      </c>
      <c r="O53">
        <f>IF('Club Championship'!$F57="","",'Club Championship'!$F57)</f>
        <v/>
      </c>
      <c r="P53">
        <f>IF('Club Championship'!$F57="","",'Club Championship'!$G57)</f>
        <v/>
      </c>
    </row>
    <row r="54">
      <c r="A54">
        <f>IF('Club Championship'!$F58="","","Club Championship")</f>
        <v/>
      </c>
      <c r="B54">
        <f>IF('Club Championship'!$F58="","","Club Championship")</f>
        <v/>
      </c>
      <c r="C54" s="18">
        <f>IF('Club Championship'!$F58="","",'Club Championship'!$B$3)</f>
        <v/>
      </c>
      <c r="F54">
        <f>IF('Club Championship'!$F58="","",'Club Championship'!$A58&amp;"")</f>
        <v/>
      </c>
      <c r="J54">
        <f>IF('Club Championship'!$F58="","",'Club Championship'!$D58)</f>
        <v/>
      </c>
      <c r="K54">
        <f>IF('Club Championship'!$F58="","",COUNTIF('Club Championship'!$B$6:$B$155,'Club Championship'!$B58))</f>
        <v/>
      </c>
      <c r="L54">
        <f>IF('Club Championship'!$F58="","",'Club Championship'!$C58&amp;"")</f>
        <v/>
      </c>
      <c r="M54">
        <f>IF('Club Championship'!$F58="","",'Club Championship'!$E58)</f>
        <v/>
      </c>
      <c r="N54">
        <f>IF('Club Championship'!$F58="","",'Club Championship'!$F58)</f>
        <v/>
      </c>
      <c r="O54">
        <f>IF('Club Championship'!$F58="","",'Club Championship'!$F58)</f>
        <v/>
      </c>
      <c r="P54">
        <f>IF('Club Championship'!$F58="","",'Club Championship'!$G58)</f>
        <v/>
      </c>
    </row>
    <row r="55">
      <c r="A55">
        <f>IF('Club Championship'!$F59="","","Club Championship")</f>
        <v/>
      </c>
      <c r="B55">
        <f>IF('Club Championship'!$F59="","","Club Championship")</f>
        <v/>
      </c>
      <c r="C55" s="18">
        <f>IF('Club Championship'!$F59="","",'Club Championship'!$B$3)</f>
        <v/>
      </c>
      <c r="F55">
        <f>IF('Club Championship'!$F59="","",'Club Championship'!$A59&amp;"")</f>
        <v/>
      </c>
      <c r="J55">
        <f>IF('Club Championship'!$F59="","",'Club Championship'!$D59)</f>
        <v/>
      </c>
      <c r="K55">
        <f>IF('Club Championship'!$F59="","",COUNTIF('Club Championship'!$B$6:$B$155,'Club Championship'!$B59))</f>
        <v/>
      </c>
      <c r="L55">
        <f>IF('Club Championship'!$F59="","",'Club Championship'!$C59&amp;"")</f>
        <v/>
      </c>
      <c r="M55">
        <f>IF('Club Championship'!$F59="","",'Club Championship'!$E59)</f>
        <v/>
      </c>
      <c r="N55">
        <f>IF('Club Championship'!$F59="","",'Club Championship'!$F59)</f>
        <v/>
      </c>
      <c r="O55">
        <f>IF('Club Championship'!$F59="","",'Club Championship'!$F59)</f>
        <v/>
      </c>
      <c r="P55">
        <f>IF('Club Championship'!$F59="","",'Club Championship'!$G59)</f>
        <v/>
      </c>
    </row>
    <row r="56">
      <c r="A56">
        <f>IF('Club Championship'!$F60="","","Club Championship")</f>
        <v/>
      </c>
      <c r="B56">
        <f>IF('Club Championship'!$F60="","","Club Championship")</f>
        <v/>
      </c>
      <c r="C56" s="18">
        <f>IF('Club Championship'!$F60="","",'Club Championship'!$B$3)</f>
        <v/>
      </c>
      <c r="F56">
        <f>IF('Club Championship'!$F60="","",'Club Championship'!$A60&amp;"")</f>
        <v/>
      </c>
      <c r="J56">
        <f>IF('Club Championship'!$F60="","",'Club Championship'!$D60)</f>
        <v/>
      </c>
      <c r="K56">
        <f>IF('Club Championship'!$F60="","",COUNTIF('Club Championship'!$B$6:$B$155,'Club Championship'!$B60))</f>
        <v/>
      </c>
      <c r="L56">
        <f>IF('Club Championship'!$F60="","",'Club Championship'!$C60&amp;"")</f>
        <v/>
      </c>
      <c r="M56">
        <f>IF('Club Championship'!$F60="","",'Club Championship'!$E60)</f>
        <v/>
      </c>
      <c r="N56">
        <f>IF('Club Championship'!$F60="","",'Club Championship'!$F60)</f>
        <v/>
      </c>
      <c r="O56">
        <f>IF('Club Championship'!$F60="","",'Club Championship'!$F60)</f>
        <v/>
      </c>
      <c r="P56">
        <f>IF('Club Championship'!$F60="","",'Club Championship'!$G60)</f>
        <v/>
      </c>
    </row>
    <row r="57">
      <c r="A57">
        <f>IF('Club Championship'!$F61="","","Club Championship")</f>
        <v/>
      </c>
      <c r="B57">
        <f>IF('Club Championship'!$F61="","","Club Championship")</f>
        <v/>
      </c>
      <c r="C57" s="18">
        <f>IF('Club Championship'!$F61="","",'Club Championship'!$B$3)</f>
        <v/>
      </c>
      <c r="F57">
        <f>IF('Club Championship'!$F61="","",'Club Championship'!$A61&amp;"")</f>
        <v/>
      </c>
      <c r="J57">
        <f>IF('Club Championship'!$F61="","",'Club Championship'!$D61)</f>
        <v/>
      </c>
      <c r="K57">
        <f>IF('Club Championship'!$F61="","",COUNTIF('Club Championship'!$B$6:$B$155,'Club Championship'!$B61))</f>
        <v/>
      </c>
      <c r="L57">
        <f>IF('Club Championship'!$F61="","",'Club Championship'!$C61&amp;"")</f>
        <v/>
      </c>
      <c r="M57">
        <f>IF('Club Championship'!$F61="","",'Club Championship'!$E61)</f>
        <v/>
      </c>
      <c r="N57">
        <f>IF('Club Championship'!$F61="","",'Club Championship'!$F61)</f>
        <v/>
      </c>
      <c r="O57">
        <f>IF('Club Championship'!$F61="","",'Club Championship'!$F61)</f>
        <v/>
      </c>
      <c r="P57">
        <f>IF('Club Championship'!$F61="","",'Club Championship'!$G61)</f>
        <v/>
      </c>
    </row>
    <row r="58">
      <c r="A58">
        <f>IF('Club Championship'!$F62="","","Club Championship")</f>
        <v/>
      </c>
      <c r="B58">
        <f>IF('Club Championship'!$F62="","","Club Championship")</f>
        <v/>
      </c>
      <c r="C58" s="18">
        <f>IF('Club Championship'!$F62="","",'Club Championship'!$B$3)</f>
        <v/>
      </c>
      <c r="F58">
        <f>IF('Club Championship'!$F62="","",'Club Championship'!$A62&amp;"")</f>
        <v/>
      </c>
      <c r="J58">
        <f>IF('Club Championship'!$F62="","",'Club Championship'!$D62)</f>
        <v/>
      </c>
      <c r="K58">
        <f>IF('Club Championship'!$F62="","",COUNTIF('Club Championship'!$B$6:$B$155,'Club Championship'!$B62))</f>
        <v/>
      </c>
      <c r="L58">
        <f>IF('Club Championship'!$F62="","",'Club Championship'!$C62&amp;"")</f>
        <v/>
      </c>
      <c r="M58">
        <f>IF('Club Championship'!$F62="","",'Club Championship'!$E62)</f>
        <v/>
      </c>
      <c r="N58">
        <f>IF('Club Championship'!$F62="","",'Club Championship'!$F62)</f>
        <v/>
      </c>
      <c r="O58">
        <f>IF('Club Championship'!$F62="","",'Club Championship'!$F62)</f>
        <v/>
      </c>
      <c r="P58">
        <f>IF('Club Championship'!$F62="","",'Club Championship'!$G62)</f>
        <v/>
      </c>
    </row>
    <row r="59">
      <c r="A59">
        <f>IF('Club Championship'!$F63="","","Club Championship")</f>
        <v/>
      </c>
      <c r="B59">
        <f>IF('Club Championship'!$F63="","","Club Championship")</f>
        <v/>
      </c>
      <c r="C59" s="18">
        <f>IF('Club Championship'!$F63="","",'Club Championship'!$B$3)</f>
        <v/>
      </c>
      <c r="F59">
        <f>IF('Club Championship'!$F63="","",'Club Championship'!$A63&amp;"")</f>
        <v/>
      </c>
      <c r="J59">
        <f>IF('Club Championship'!$F63="","",'Club Championship'!$D63)</f>
        <v/>
      </c>
      <c r="K59">
        <f>IF('Club Championship'!$F63="","",COUNTIF('Club Championship'!$B$6:$B$155,'Club Championship'!$B63))</f>
        <v/>
      </c>
      <c r="L59">
        <f>IF('Club Championship'!$F63="","",'Club Championship'!$C63&amp;"")</f>
        <v/>
      </c>
      <c r="M59">
        <f>IF('Club Championship'!$F63="","",'Club Championship'!$E63)</f>
        <v/>
      </c>
      <c r="N59">
        <f>IF('Club Championship'!$F63="","",'Club Championship'!$F63)</f>
        <v/>
      </c>
      <c r="O59">
        <f>IF('Club Championship'!$F63="","",'Club Championship'!$F63)</f>
        <v/>
      </c>
      <c r="P59">
        <f>IF('Club Championship'!$F63="","",'Club Championship'!$G63)</f>
        <v/>
      </c>
    </row>
    <row r="60">
      <c r="A60">
        <f>IF('Club Championship'!$F64="","","Club Championship")</f>
        <v/>
      </c>
      <c r="B60">
        <f>IF('Club Championship'!$F64="","","Club Championship")</f>
        <v/>
      </c>
      <c r="C60" s="18">
        <f>IF('Club Championship'!$F64="","",'Club Championship'!$B$3)</f>
        <v/>
      </c>
      <c r="F60">
        <f>IF('Club Championship'!$F64="","",'Club Championship'!$A64&amp;"")</f>
        <v/>
      </c>
      <c r="J60">
        <f>IF('Club Championship'!$F64="","",'Club Championship'!$D64)</f>
        <v/>
      </c>
      <c r="K60">
        <f>IF('Club Championship'!$F64="","",COUNTIF('Club Championship'!$B$6:$B$155,'Club Championship'!$B64))</f>
        <v/>
      </c>
      <c r="L60">
        <f>IF('Club Championship'!$F64="","",'Club Championship'!$C64&amp;"")</f>
        <v/>
      </c>
      <c r="M60">
        <f>IF('Club Championship'!$F64="","",'Club Championship'!$E64)</f>
        <v/>
      </c>
      <c r="N60">
        <f>IF('Club Championship'!$F64="","",'Club Championship'!$F64)</f>
        <v/>
      </c>
      <c r="O60">
        <f>IF('Club Championship'!$F64="","",'Club Championship'!$F64)</f>
        <v/>
      </c>
      <c r="P60">
        <f>IF('Club Championship'!$F64="","",'Club Championship'!$G64)</f>
        <v/>
      </c>
    </row>
    <row r="61">
      <c r="A61">
        <f>IF('Club Championship'!$F65="","","Club Championship")</f>
        <v/>
      </c>
      <c r="B61">
        <f>IF('Club Championship'!$F65="","","Club Championship")</f>
        <v/>
      </c>
      <c r="C61" s="18">
        <f>IF('Club Championship'!$F65="","",'Club Championship'!$B$3)</f>
        <v/>
      </c>
      <c r="F61">
        <f>IF('Club Championship'!$F65="","",'Club Championship'!$A65&amp;"")</f>
        <v/>
      </c>
      <c r="J61">
        <f>IF('Club Championship'!$F65="","",'Club Championship'!$D65)</f>
        <v/>
      </c>
      <c r="K61">
        <f>IF('Club Championship'!$F65="","",COUNTIF('Club Championship'!$B$6:$B$155,'Club Championship'!$B65))</f>
        <v/>
      </c>
      <c r="L61">
        <f>IF('Club Championship'!$F65="","",'Club Championship'!$C65&amp;"")</f>
        <v/>
      </c>
      <c r="M61">
        <f>IF('Club Championship'!$F65="","",'Club Championship'!$E65)</f>
        <v/>
      </c>
      <c r="N61">
        <f>IF('Club Championship'!$F65="","",'Club Championship'!$F65)</f>
        <v/>
      </c>
      <c r="O61">
        <f>IF('Club Championship'!$F65="","",'Club Championship'!$F65)</f>
        <v/>
      </c>
      <c r="P61">
        <f>IF('Club Championship'!$F65="","",'Club Championship'!$G65)</f>
        <v/>
      </c>
    </row>
    <row r="62">
      <c r="A62">
        <f>IF('Club Championship'!$F66="","","Club Championship")</f>
        <v/>
      </c>
      <c r="B62">
        <f>IF('Club Championship'!$F66="","","Club Championship")</f>
        <v/>
      </c>
      <c r="C62" s="18">
        <f>IF('Club Championship'!$F66="","",'Club Championship'!$B$3)</f>
        <v/>
      </c>
      <c r="F62">
        <f>IF('Club Championship'!$F66="","",'Club Championship'!$A66&amp;"")</f>
        <v/>
      </c>
      <c r="J62">
        <f>IF('Club Championship'!$F66="","",'Club Championship'!$D66)</f>
        <v/>
      </c>
      <c r="K62">
        <f>IF('Club Championship'!$F66="","",COUNTIF('Club Championship'!$B$6:$B$155,'Club Championship'!$B66))</f>
        <v/>
      </c>
      <c r="L62">
        <f>IF('Club Championship'!$F66="","",'Club Championship'!$C66&amp;"")</f>
        <v/>
      </c>
      <c r="M62">
        <f>IF('Club Championship'!$F66="","",'Club Championship'!$E66)</f>
        <v/>
      </c>
      <c r="N62">
        <f>IF('Club Championship'!$F66="","",'Club Championship'!$F66)</f>
        <v/>
      </c>
      <c r="O62">
        <f>IF('Club Championship'!$F66="","",'Club Championship'!$F66)</f>
        <v/>
      </c>
      <c r="P62">
        <f>IF('Club Championship'!$F66="","",'Club Championship'!$G66)</f>
        <v/>
      </c>
    </row>
    <row r="63">
      <c r="A63">
        <f>IF('Club Championship'!$F67="","","Club Championship")</f>
        <v/>
      </c>
      <c r="B63">
        <f>IF('Club Championship'!$F67="","","Club Championship")</f>
        <v/>
      </c>
      <c r="C63" s="18">
        <f>IF('Club Championship'!$F67="","",'Club Championship'!$B$3)</f>
        <v/>
      </c>
      <c r="F63">
        <f>IF('Club Championship'!$F67="","",'Club Championship'!$A67&amp;"")</f>
        <v/>
      </c>
      <c r="J63">
        <f>IF('Club Championship'!$F67="","",'Club Championship'!$D67)</f>
        <v/>
      </c>
      <c r="K63">
        <f>IF('Club Championship'!$F67="","",COUNTIF('Club Championship'!$B$6:$B$155,'Club Championship'!$B67))</f>
        <v/>
      </c>
      <c r="L63">
        <f>IF('Club Championship'!$F67="","",'Club Championship'!$C67&amp;"")</f>
        <v/>
      </c>
      <c r="M63">
        <f>IF('Club Championship'!$F67="","",'Club Championship'!$E67)</f>
        <v/>
      </c>
      <c r="N63">
        <f>IF('Club Championship'!$F67="","",'Club Championship'!$F67)</f>
        <v/>
      </c>
      <c r="O63">
        <f>IF('Club Championship'!$F67="","",'Club Championship'!$F67)</f>
        <v/>
      </c>
      <c r="P63">
        <f>IF('Club Championship'!$F67="","",'Club Championship'!$G67)</f>
        <v/>
      </c>
    </row>
    <row r="64">
      <c r="A64">
        <f>IF('Club Championship'!$F68="","","Club Championship")</f>
        <v/>
      </c>
      <c r="B64">
        <f>IF('Club Championship'!$F68="","","Club Championship")</f>
        <v/>
      </c>
      <c r="C64" s="18">
        <f>IF('Club Championship'!$F68="","",'Club Championship'!$B$3)</f>
        <v/>
      </c>
      <c r="F64">
        <f>IF('Club Championship'!$F68="","",'Club Championship'!$A68&amp;"")</f>
        <v/>
      </c>
      <c r="J64">
        <f>IF('Club Championship'!$F68="","",'Club Championship'!$D68)</f>
        <v/>
      </c>
      <c r="K64">
        <f>IF('Club Championship'!$F68="","",COUNTIF('Club Championship'!$B$6:$B$155,'Club Championship'!$B68))</f>
        <v/>
      </c>
      <c r="L64">
        <f>IF('Club Championship'!$F68="","",'Club Championship'!$C68&amp;"")</f>
        <v/>
      </c>
      <c r="M64">
        <f>IF('Club Championship'!$F68="","",'Club Championship'!$E68)</f>
        <v/>
      </c>
      <c r="N64">
        <f>IF('Club Championship'!$F68="","",'Club Championship'!$F68)</f>
        <v/>
      </c>
      <c r="O64">
        <f>IF('Club Championship'!$F68="","",'Club Championship'!$F68)</f>
        <v/>
      </c>
      <c r="P64">
        <f>IF('Club Championship'!$F68="","",'Club Championship'!$G68)</f>
        <v/>
      </c>
    </row>
    <row r="65">
      <c r="A65">
        <f>IF('Club Championship'!$F69="","","Club Championship")</f>
        <v/>
      </c>
      <c r="B65">
        <f>IF('Club Championship'!$F69="","","Club Championship")</f>
        <v/>
      </c>
      <c r="C65" s="18">
        <f>IF('Club Championship'!$F69="","",'Club Championship'!$B$3)</f>
        <v/>
      </c>
      <c r="F65">
        <f>IF('Club Championship'!$F69="","",'Club Championship'!$A69&amp;"")</f>
        <v/>
      </c>
      <c r="J65">
        <f>IF('Club Championship'!$F69="","",'Club Championship'!$D69)</f>
        <v/>
      </c>
      <c r="K65">
        <f>IF('Club Championship'!$F69="","",COUNTIF('Club Championship'!$B$6:$B$155,'Club Championship'!$B69))</f>
        <v/>
      </c>
      <c r="L65">
        <f>IF('Club Championship'!$F69="","",'Club Championship'!$C69&amp;"")</f>
        <v/>
      </c>
      <c r="M65">
        <f>IF('Club Championship'!$F69="","",'Club Championship'!$E69)</f>
        <v/>
      </c>
      <c r="N65">
        <f>IF('Club Championship'!$F69="","",'Club Championship'!$F69)</f>
        <v/>
      </c>
      <c r="O65">
        <f>IF('Club Championship'!$F69="","",'Club Championship'!$F69)</f>
        <v/>
      </c>
      <c r="P65">
        <f>IF('Club Championship'!$F69="","",'Club Championship'!$G69)</f>
        <v/>
      </c>
    </row>
    <row r="66">
      <c r="A66">
        <f>IF('Club Championship'!$F70="","","Club Championship")</f>
        <v/>
      </c>
      <c r="B66">
        <f>IF('Club Championship'!$F70="","","Club Championship")</f>
        <v/>
      </c>
      <c r="C66" s="18">
        <f>IF('Club Championship'!$F70="","",'Club Championship'!$B$3)</f>
        <v/>
      </c>
      <c r="F66">
        <f>IF('Club Championship'!$F70="","",'Club Championship'!$A70&amp;"")</f>
        <v/>
      </c>
      <c r="J66">
        <f>IF('Club Championship'!$F70="","",'Club Championship'!$D70)</f>
        <v/>
      </c>
      <c r="K66">
        <f>IF('Club Championship'!$F70="","",COUNTIF('Club Championship'!$B$6:$B$155,'Club Championship'!$B70))</f>
        <v/>
      </c>
      <c r="L66">
        <f>IF('Club Championship'!$F70="","",'Club Championship'!$C70&amp;"")</f>
        <v/>
      </c>
      <c r="M66">
        <f>IF('Club Championship'!$F70="","",'Club Championship'!$E70)</f>
        <v/>
      </c>
      <c r="N66">
        <f>IF('Club Championship'!$F70="","",'Club Championship'!$F70)</f>
        <v/>
      </c>
      <c r="O66">
        <f>IF('Club Championship'!$F70="","",'Club Championship'!$F70)</f>
        <v/>
      </c>
      <c r="P66">
        <f>IF('Club Championship'!$F70="","",'Club Championship'!$G70)</f>
        <v/>
      </c>
    </row>
    <row r="67">
      <c r="A67">
        <f>IF('Club Championship'!$F71="","","Club Championship")</f>
        <v/>
      </c>
      <c r="B67">
        <f>IF('Club Championship'!$F71="","","Club Championship")</f>
        <v/>
      </c>
      <c r="C67" s="18">
        <f>IF('Club Championship'!$F71="","",'Club Championship'!$B$3)</f>
        <v/>
      </c>
      <c r="F67">
        <f>IF('Club Championship'!$F71="","",'Club Championship'!$A71&amp;"")</f>
        <v/>
      </c>
      <c r="J67">
        <f>IF('Club Championship'!$F71="","",'Club Championship'!$D71)</f>
        <v/>
      </c>
      <c r="K67">
        <f>IF('Club Championship'!$F71="","",COUNTIF('Club Championship'!$B$6:$B$155,'Club Championship'!$B71))</f>
        <v/>
      </c>
      <c r="L67">
        <f>IF('Club Championship'!$F71="","",'Club Championship'!$C71&amp;"")</f>
        <v/>
      </c>
      <c r="M67">
        <f>IF('Club Championship'!$F71="","",'Club Championship'!$E71)</f>
        <v/>
      </c>
      <c r="N67">
        <f>IF('Club Championship'!$F71="","",'Club Championship'!$F71)</f>
        <v/>
      </c>
      <c r="O67">
        <f>IF('Club Championship'!$F71="","",'Club Championship'!$F71)</f>
        <v/>
      </c>
      <c r="P67">
        <f>IF('Club Championship'!$F71="","",'Club Championship'!$G71)</f>
        <v/>
      </c>
    </row>
    <row r="68">
      <c r="A68">
        <f>IF('Club Championship'!$F72="","","Club Championship")</f>
        <v/>
      </c>
      <c r="B68">
        <f>IF('Club Championship'!$F72="","","Club Championship")</f>
        <v/>
      </c>
      <c r="C68" s="18">
        <f>IF('Club Championship'!$F72="","",'Club Championship'!$B$3)</f>
        <v/>
      </c>
      <c r="F68">
        <f>IF('Club Championship'!$F72="","",'Club Championship'!$A72&amp;"")</f>
        <v/>
      </c>
      <c r="J68">
        <f>IF('Club Championship'!$F72="","",'Club Championship'!$D72)</f>
        <v/>
      </c>
      <c r="K68">
        <f>IF('Club Championship'!$F72="","",COUNTIF('Club Championship'!$B$6:$B$155,'Club Championship'!$B72))</f>
        <v/>
      </c>
      <c r="L68">
        <f>IF('Club Championship'!$F72="","",'Club Championship'!$C72&amp;"")</f>
        <v/>
      </c>
      <c r="M68">
        <f>IF('Club Championship'!$F72="","",'Club Championship'!$E72)</f>
        <v/>
      </c>
      <c r="N68">
        <f>IF('Club Championship'!$F72="","",'Club Championship'!$F72)</f>
        <v/>
      </c>
      <c r="O68">
        <f>IF('Club Championship'!$F72="","",'Club Championship'!$F72)</f>
        <v/>
      </c>
      <c r="P68">
        <f>IF('Club Championship'!$F72="","",'Club Championship'!$G72)</f>
        <v/>
      </c>
    </row>
    <row r="69">
      <c r="A69">
        <f>IF('Club Championship'!$F73="","","Club Championship")</f>
        <v/>
      </c>
      <c r="B69">
        <f>IF('Club Championship'!$F73="","","Club Championship")</f>
        <v/>
      </c>
      <c r="C69" s="18">
        <f>IF('Club Championship'!$F73="","",'Club Championship'!$B$3)</f>
        <v/>
      </c>
      <c r="F69">
        <f>IF('Club Championship'!$F73="","",'Club Championship'!$A73&amp;"")</f>
        <v/>
      </c>
      <c r="J69">
        <f>IF('Club Championship'!$F73="","",'Club Championship'!$D73)</f>
        <v/>
      </c>
      <c r="K69">
        <f>IF('Club Championship'!$F73="","",COUNTIF('Club Championship'!$B$6:$B$155,'Club Championship'!$B73))</f>
        <v/>
      </c>
      <c r="L69">
        <f>IF('Club Championship'!$F73="","",'Club Championship'!$C73&amp;"")</f>
        <v/>
      </c>
      <c r="M69">
        <f>IF('Club Championship'!$F73="","",'Club Championship'!$E73)</f>
        <v/>
      </c>
      <c r="N69">
        <f>IF('Club Championship'!$F73="","",'Club Championship'!$F73)</f>
        <v/>
      </c>
      <c r="O69">
        <f>IF('Club Championship'!$F73="","",'Club Championship'!$F73)</f>
        <v/>
      </c>
      <c r="P69">
        <f>IF('Club Championship'!$F73="","",'Club Championship'!$G73)</f>
        <v/>
      </c>
    </row>
    <row r="70">
      <c r="A70">
        <f>IF('Club Championship'!$F74="","","Club Championship")</f>
        <v/>
      </c>
      <c r="B70">
        <f>IF('Club Championship'!$F74="","","Club Championship")</f>
        <v/>
      </c>
      <c r="C70" s="18">
        <f>IF('Club Championship'!$F74="","",'Club Championship'!$B$3)</f>
        <v/>
      </c>
      <c r="F70">
        <f>IF('Club Championship'!$F74="","",'Club Championship'!$A74&amp;"")</f>
        <v/>
      </c>
      <c r="J70">
        <f>IF('Club Championship'!$F74="","",'Club Championship'!$D74)</f>
        <v/>
      </c>
      <c r="K70">
        <f>IF('Club Championship'!$F74="","",COUNTIF('Club Championship'!$B$6:$B$155,'Club Championship'!$B74))</f>
        <v/>
      </c>
      <c r="L70">
        <f>IF('Club Championship'!$F74="","",'Club Championship'!$C74&amp;"")</f>
        <v/>
      </c>
      <c r="M70">
        <f>IF('Club Championship'!$F74="","",'Club Championship'!$E74)</f>
        <v/>
      </c>
      <c r="N70">
        <f>IF('Club Championship'!$F74="","",'Club Championship'!$F74)</f>
        <v/>
      </c>
      <c r="O70">
        <f>IF('Club Championship'!$F74="","",'Club Championship'!$F74)</f>
        <v/>
      </c>
      <c r="P70">
        <f>IF('Club Championship'!$F74="","",'Club Championship'!$G74)</f>
        <v/>
      </c>
    </row>
    <row r="71">
      <c r="A71">
        <f>IF('Club Championship'!$F75="","","Club Championship")</f>
        <v/>
      </c>
      <c r="B71">
        <f>IF('Club Championship'!$F75="","","Club Championship")</f>
        <v/>
      </c>
      <c r="C71" s="18">
        <f>IF('Club Championship'!$F75="","",'Club Championship'!$B$3)</f>
        <v/>
      </c>
      <c r="F71">
        <f>IF('Club Championship'!$F75="","",'Club Championship'!$A75&amp;"")</f>
        <v/>
      </c>
      <c r="J71">
        <f>IF('Club Championship'!$F75="","",'Club Championship'!$D75)</f>
        <v/>
      </c>
      <c r="K71">
        <f>IF('Club Championship'!$F75="","",COUNTIF('Club Championship'!$B$6:$B$155,'Club Championship'!$B75))</f>
        <v/>
      </c>
      <c r="L71">
        <f>IF('Club Championship'!$F75="","",'Club Championship'!$C75&amp;"")</f>
        <v/>
      </c>
      <c r="M71">
        <f>IF('Club Championship'!$F75="","",'Club Championship'!$E75)</f>
        <v/>
      </c>
      <c r="N71">
        <f>IF('Club Championship'!$F75="","",'Club Championship'!$F75)</f>
        <v/>
      </c>
      <c r="O71">
        <f>IF('Club Championship'!$F75="","",'Club Championship'!$F75)</f>
        <v/>
      </c>
      <c r="P71">
        <f>IF('Club Championship'!$F75="","",'Club Championship'!$G75)</f>
        <v/>
      </c>
    </row>
    <row r="72">
      <c r="A72">
        <f>IF('Club Championship'!$F76="","","Club Championship")</f>
        <v/>
      </c>
      <c r="B72">
        <f>IF('Club Championship'!$F76="","","Club Championship")</f>
        <v/>
      </c>
      <c r="C72" s="18">
        <f>IF('Club Championship'!$F76="","",'Club Championship'!$B$3)</f>
        <v/>
      </c>
      <c r="F72">
        <f>IF('Club Championship'!$F76="","",'Club Championship'!$A76&amp;"")</f>
        <v/>
      </c>
      <c r="J72">
        <f>IF('Club Championship'!$F76="","",'Club Championship'!$D76)</f>
        <v/>
      </c>
      <c r="K72">
        <f>IF('Club Championship'!$F76="","",COUNTIF('Club Championship'!$B$6:$B$155,'Club Championship'!$B76))</f>
        <v/>
      </c>
      <c r="L72">
        <f>IF('Club Championship'!$F76="","",'Club Championship'!$C76&amp;"")</f>
        <v/>
      </c>
      <c r="M72">
        <f>IF('Club Championship'!$F76="","",'Club Championship'!$E76)</f>
        <v/>
      </c>
      <c r="N72">
        <f>IF('Club Championship'!$F76="","",'Club Championship'!$F76)</f>
        <v/>
      </c>
      <c r="O72">
        <f>IF('Club Championship'!$F76="","",'Club Championship'!$F76)</f>
        <v/>
      </c>
      <c r="P72">
        <f>IF('Club Championship'!$F76="","",'Club Championship'!$G76)</f>
        <v/>
      </c>
    </row>
    <row r="73">
      <c r="A73">
        <f>IF('Club Championship'!$F77="","","Club Championship")</f>
        <v/>
      </c>
      <c r="B73">
        <f>IF('Club Championship'!$F77="","","Club Championship")</f>
        <v/>
      </c>
      <c r="C73" s="18">
        <f>IF('Club Championship'!$F77="","",'Club Championship'!$B$3)</f>
        <v/>
      </c>
      <c r="F73">
        <f>IF('Club Championship'!$F77="","",'Club Championship'!$A77&amp;"")</f>
        <v/>
      </c>
      <c r="J73">
        <f>IF('Club Championship'!$F77="","",'Club Championship'!$D77)</f>
        <v/>
      </c>
      <c r="K73">
        <f>IF('Club Championship'!$F77="","",COUNTIF('Club Championship'!$B$6:$B$155,'Club Championship'!$B77))</f>
        <v/>
      </c>
      <c r="L73">
        <f>IF('Club Championship'!$F77="","",'Club Championship'!$C77&amp;"")</f>
        <v/>
      </c>
      <c r="M73">
        <f>IF('Club Championship'!$F77="","",'Club Championship'!$E77)</f>
        <v/>
      </c>
      <c r="N73">
        <f>IF('Club Championship'!$F77="","",'Club Championship'!$F77)</f>
        <v/>
      </c>
      <c r="O73">
        <f>IF('Club Championship'!$F77="","",'Club Championship'!$F77)</f>
        <v/>
      </c>
      <c r="P73">
        <f>IF('Club Championship'!$F77="","",'Club Championship'!$G77)</f>
        <v/>
      </c>
    </row>
    <row r="74">
      <c r="A74">
        <f>IF('Club Championship'!$F78="","","Club Championship")</f>
        <v/>
      </c>
      <c r="B74">
        <f>IF('Club Championship'!$F78="","","Club Championship")</f>
        <v/>
      </c>
      <c r="C74" s="18">
        <f>IF('Club Championship'!$F78="","",'Club Championship'!$B$3)</f>
        <v/>
      </c>
      <c r="F74">
        <f>IF('Club Championship'!$F78="","",'Club Championship'!$A78&amp;"")</f>
        <v/>
      </c>
      <c r="J74">
        <f>IF('Club Championship'!$F78="","",'Club Championship'!$D78)</f>
        <v/>
      </c>
      <c r="K74">
        <f>IF('Club Championship'!$F78="","",COUNTIF('Club Championship'!$B$6:$B$155,'Club Championship'!$B78))</f>
        <v/>
      </c>
      <c r="L74">
        <f>IF('Club Championship'!$F78="","",'Club Championship'!$C78&amp;"")</f>
        <v/>
      </c>
      <c r="M74">
        <f>IF('Club Championship'!$F78="","",'Club Championship'!$E78)</f>
        <v/>
      </c>
      <c r="N74">
        <f>IF('Club Championship'!$F78="","",'Club Championship'!$F78)</f>
        <v/>
      </c>
      <c r="O74">
        <f>IF('Club Championship'!$F78="","",'Club Championship'!$F78)</f>
        <v/>
      </c>
      <c r="P74">
        <f>IF('Club Championship'!$F78="","",'Club Championship'!$G78)</f>
        <v/>
      </c>
    </row>
    <row r="75">
      <c r="A75">
        <f>IF('Club Championship'!$F79="","","Club Championship")</f>
        <v/>
      </c>
      <c r="B75">
        <f>IF('Club Championship'!$F79="","","Club Championship")</f>
        <v/>
      </c>
      <c r="C75" s="18">
        <f>IF('Club Championship'!$F79="","",'Club Championship'!$B$3)</f>
        <v/>
      </c>
      <c r="F75">
        <f>IF('Club Championship'!$F79="","",'Club Championship'!$A79&amp;"")</f>
        <v/>
      </c>
      <c r="J75">
        <f>IF('Club Championship'!$F79="","",'Club Championship'!$D79)</f>
        <v/>
      </c>
      <c r="K75">
        <f>IF('Club Championship'!$F79="","",COUNTIF('Club Championship'!$B$6:$B$155,'Club Championship'!$B79))</f>
        <v/>
      </c>
      <c r="L75">
        <f>IF('Club Championship'!$F79="","",'Club Championship'!$C79&amp;"")</f>
        <v/>
      </c>
      <c r="M75">
        <f>IF('Club Championship'!$F79="","",'Club Championship'!$E79)</f>
        <v/>
      </c>
      <c r="N75">
        <f>IF('Club Championship'!$F79="","",'Club Championship'!$F79)</f>
        <v/>
      </c>
      <c r="O75">
        <f>IF('Club Championship'!$F79="","",'Club Championship'!$F79)</f>
        <v/>
      </c>
      <c r="P75">
        <f>IF('Club Championship'!$F79="","",'Club Championship'!$G79)</f>
        <v/>
      </c>
    </row>
    <row r="76">
      <c r="A76">
        <f>IF('Club Championship'!$F80="","","Club Championship")</f>
        <v/>
      </c>
      <c r="B76">
        <f>IF('Club Championship'!$F80="","","Club Championship")</f>
        <v/>
      </c>
      <c r="C76" s="18">
        <f>IF('Club Championship'!$F80="","",'Club Championship'!$B$3)</f>
        <v/>
      </c>
      <c r="F76">
        <f>IF('Club Championship'!$F80="","",'Club Championship'!$A80&amp;"")</f>
        <v/>
      </c>
      <c r="J76">
        <f>IF('Club Championship'!$F80="","",'Club Championship'!$D80)</f>
        <v/>
      </c>
      <c r="K76">
        <f>IF('Club Championship'!$F80="","",COUNTIF('Club Championship'!$B$6:$B$155,'Club Championship'!$B80))</f>
        <v/>
      </c>
      <c r="L76">
        <f>IF('Club Championship'!$F80="","",'Club Championship'!$C80&amp;"")</f>
        <v/>
      </c>
      <c r="M76">
        <f>IF('Club Championship'!$F80="","",'Club Championship'!$E80)</f>
        <v/>
      </c>
      <c r="N76">
        <f>IF('Club Championship'!$F80="","",'Club Championship'!$F80)</f>
        <v/>
      </c>
      <c r="O76">
        <f>IF('Club Championship'!$F80="","",'Club Championship'!$F80)</f>
        <v/>
      </c>
      <c r="P76">
        <f>IF('Club Championship'!$F80="","",'Club Championship'!$G80)</f>
        <v/>
      </c>
    </row>
    <row r="77">
      <c r="A77">
        <f>IF('Club Championship'!$F81="","","Club Championship")</f>
        <v/>
      </c>
      <c r="B77">
        <f>IF('Club Championship'!$F81="","","Club Championship")</f>
        <v/>
      </c>
      <c r="C77" s="18">
        <f>IF('Club Championship'!$F81="","",'Club Championship'!$B$3)</f>
        <v/>
      </c>
      <c r="F77">
        <f>IF('Club Championship'!$F81="","",'Club Championship'!$A81&amp;"")</f>
        <v/>
      </c>
      <c r="J77">
        <f>IF('Club Championship'!$F81="","",'Club Championship'!$D81)</f>
        <v/>
      </c>
      <c r="K77">
        <f>IF('Club Championship'!$F81="","",COUNTIF('Club Championship'!$B$6:$B$155,'Club Championship'!$B81))</f>
        <v/>
      </c>
      <c r="L77">
        <f>IF('Club Championship'!$F81="","",'Club Championship'!$C81&amp;"")</f>
        <v/>
      </c>
      <c r="M77">
        <f>IF('Club Championship'!$F81="","",'Club Championship'!$E81)</f>
        <v/>
      </c>
      <c r="N77">
        <f>IF('Club Championship'!$F81="","",'Club Championship'!$F81)</f>
        <v/>
      </c>
      <c r="O77">
        <f>IF('Club Championship'!$F81="","",'Club Championship'!$F81)</f>
        <v/>
      </c>
      <c r="P77">
        <f>IF('Club Championship'!$F81="","",'Club Championship'!$G81)</f>
        <v/>
      </c>
    </row>
    <row r="78">
      <c r="A78">
        <f>IF('Club Championship'!$F82="","","Club Championship")</f>
        <v/>
      </c>
      <c r="B78">
        <f>IF('Club Championship'!$F82="","","Club Championship")</f>
        <v/>
      </c>
      <c r="C78" s="18">
        <f>IF('Club Championship'!$F82="","",'Club Championship'!$B$3)</f>
        <v/>
      </c>
      <c r="F78">
        <f>IF('Club Championship'!$F82="","",'Club Championship'!$A82&amp;"")</f>
        <v/>
      </c>
      <c r="J78">
        <f>IF('Club Championship'!$F82="","",'Club Championship'!$D82)</f>
        <v/>
      </c>
      <c r="K78">
        <f>IF('Club Championship'!$F82="","",COUNTIF('Club Championship'!$B$6:$B$155,'Club Championship'!$B82))</f>
        <v/>
      </c>
      <c r="L78">
        <f>IF('Club Championship'!$F82="","",'Club Championship'!$C82&amp;"")</f>
        <v/>
      </c>
      <c r="M78">
        <f>IF('Club Championship'!$F82="","",'Club Championship'!$E82)</f>
        <v/>
      </c>
      <c r="N78">
        <f>IF('Club Championship'!$F82="","",'Club Championship'!$F82)</f>
        <v/>
      </c>
      <c r="O78">
        <f>IF('Club Championship'!$F82="","",'Club Championship'!$F82)</f>
        <v/>
      </c>
      <c r="P78">
        <f>IF('Club Championship'!$F82="","",'Club Championship'!$G82)</f>
        <v/>
      </c>
    </row>
    <row r="79">
      <c r="A79">
        <f>IF('Club Championship'!$F83="","","Club Championship")</f>
        <v/>
      </c>
      <c r="B79">
        <f>IF('Club Championship'!$F83="","","Club Championship")</f>
        <v/>
      </c>
      <c r="C79" s="18">
        <f>IF('Club Championship'!$F83="","",'Club Championship'!$B$3)</f>
        <v/>
      </c>
      <c r="F79">
        <f>IF('Club Championship'!$F83="","",'Club Championship'!$A83&amp;"")</f>
        <v/>
      </c>
      <c r="J79">
        <f>IF('Club Championship'!$F83="","",'Club Championship'!$D83)</f>
        <v/>
      </c>
      <c r="K79">
        <f>IF('Club Championship'!$F83="","",COUNTIF('Club Championship'!$B$6:$B$155,'Club Championship'!$B83))</f>
        <v/>
      </c>
      <c r="L79">
        <f>IF('Club Championship'!$F83="","",'Club Championship'!$C83&amp;"")</f>
        <v/>
      </c>
      <c r="M79">
        <f>IF('Club Championship'!$F83="","",'Club Championship'!$E83)</f>
        <v/>
      </c>
      <c r="N79">
        <f>IF('Club Championship'!$F83="","",'Club Championship'!$F83)</f>
        <v/>
      </c>
      <c r="O79">
        <f>IF('Club Championship'!$F83="","",'Club Championship'!$F83)</f>
        <v/>
      </c>
      <c r="P79">
        <f>IF('Club Championship'!$F83="","",'Club Championship'!$G83)</f>
        <v/>
      </c>
    </row>
    <row r="80">
      <c r="A80">
        <f>IF('Club Championship'!$F84="","","Club Championship")</f>
        <v/>
      </c>
      <c r="B80">
        <f>IF('Club Championship'!$F84="","","Club Championship")</f>
        <v/>
      </c>
      <c r="C80" s="18">
        <f>IF('Club Championship'!$F84="","",'Club Championship'!$B$3)</f>
        <v/>
      </c>
      <c r="F80">
        <f>IF('Club Championship'!$F84="","",'Club Championship'!$A84&amp;"")</f>
        <v/>
      </c>
      <c r="J80">
        <f>IF('Club Championship'!$F84="","",'Club Championship'!$D84)</f>
        <v/>
      </c>
      <c r="K80">
        <f>IF('Club Championship'!$F84="","",COUNTIF('Club Championship'!$B$6:$B$155,'Club Championship'!$B84))</f>
        <v/>
      </c>
      <c r="L80">
        <f>IF('Club Championship'!$F84="","",'Club Championship'!$C84&amp;"")</f>
        <v/>
      </c>
      <c r="M80">
        <f>IF('Club Championship'!$F84="","",'Club Championship'!$E84)</f>
        <v/>
      </c>
      <c r="N80">
        <f>IF('Club Championship'!$F84="","",'Club Championship'!$F84)</f>
        <v/>
      </c>
      <c r="O80">
        <f>IF('Club Championship'!$F84="","",'Club Championship'!$F84)</f>
        <v/>
      </c>
      <c r="P80">
        <f>IF('Club Championship'!$F84="","",'Club Championship'!$G84)</f>
        <v/>
      </c>
    </row>
    <row r="81">
      <c r="A81">
        <f>IF('Club Championship'!$F85="","","Club Championship")</f>
        <v/>
      </c>
      <c r="B81">
        <f>IF('Club Championship'!$F85="","","Club Championship")</f>
        <v/>
      </c>
      <c r="C81" s="18">
        <f>IF('Club Championship'!$F85="","",'Club Championship'!$B$3)</f>
        <v/>
      </c>
      <c r="F81">
        <f>IF('Club Championship'!$F85="","",'Club Championship'!$A85&amp;"")</f>
        <v/>
      </c>
      <c r="J81">
        <f>IF('Club Championship'!$F85="","",'Club Championship'!$D85)</f>
        <v/>
      </c>
      <c r="K81">
        <f>IF('Club Championship'!$F85="","",COUNTIF('Club Championship'!$B$6:$B$155,'Club Championship'!$B85))</f>
        <v/>
      </c>
      <c r="L81">
        <f>IF('Club Championship'!$F85="","",'Club Championship'!$C85&amp;"")</f>
        <v/>
      </c>
      <c r="M81">
        <f>IF('Club Championship'!$F85="","",'Club Championship'!$E85)</f>
        <v/>
      </c>
      <c r="N81">
        <f>IF('Club Championship'!$F85="","",'Club Championship'!$F85)</f>
        <v/>
      </c>
      <c r="O81">
        <f>IF('Club Championship'!$F85="","",'Club Championship'!$F85)</f>
        <v/>
      </c>
      <c r="P81">
        <f>IF('Club Championship'!$F85="","",'Club Championship'!$G85)</f>
        <v/>
      </c>
    </row>
    <row r="82">
      <c r="A82">
        <f>IF('Club Championship'!$F86="","","Club Championship")</f>
        <v/>
      </c>
      <c r="B82">
        <f>IF('Club Championship'!$F86="","","Club Championship")</f>
        <v/>
      </c>
      <c r="C82" s="18">
        <f>IF('Club Championship'!$F86="","",'Club Championship'!$B$3)</f>
        <v/>
      </c>
      <c r="F82">
        <f>IF('Club Championship'!$F86="","",'Club Championship'!$A86&amp;"")</f>
        <v/>
      </c>
      <c r="J82">
        <f>IF('Club Championship'!$F86="","",'Club Championship'!$D86)</f>
        <v/>
      </c>
      <c r="K82">
        <f>IF('Club Championship'!$F86="","",COUNTIF('Club Championship'!$B$6:$B$155,'Club Championship'!$B86))</f>
        <v/>
      </c>
      <c r="L82">
        <f>IF('Club Championship'!$F86="","",'Club Championship'!$C86&amp;"")</f>
        <v/>
      </c>
      <c r="M82">
        <f>IF('Club Championship'!$F86="","",'Club Championship'!$E86)</f>
        <v/>
      </c>
      <c r="N82">
        <f>IF('Club Championship'!$F86="","",'Club Championship'!$F86)</f>
        <v/>
      </c>
      <c r="O82">
        <f>IF('Club Championship'!$F86="","",'Club Championship'!$F86)</f>
        <v/>
      </c>
      <c r="P82">
        <f>IF('Club Championship'!$F86="","",'Club Championship'!$G86)</f>
        <v/>
      </c>
    </row>
    <row r="83">
      <c r="A83">
        <f>IF('Club Championship'!$F87="","","Club Championship")</f>
        <v/>
      </c>
      <c r="B83">
        <f>IF('Club Championship'!$F87="","","Club Championship")</f>
        <v/>
      </c>
      <c r="C83" s="18">
        <f>IF('Club Championship'!$F87="","",'Club Championship'!$B$3)</f>
        <v/>
      </c>
      <c r="F83">
        <f>IF('Club Championship'!$F87="","",'Club Championship'!$A87&amp;"")</f>
        <v/>
      </c>
      <c r="J83">
        <f>IF('Club Championship'!$F87="","",'Club Championship'!$D87)</f>
        <v/>
      </c>
      <c r="K83">
        <f>IF('Club Championship'!$F87="","",COUNTIF('Club Championship'!$B$6:$B$155,'Club Championship'!$B87))</f>
        <v/>
      </c>
      <c r="L83">
        <f>IF('Club Championship'!$F87="","",'Club Championship'!$C87&amp;"")</f>
        <v/>
      </c>
      <c r="M83">
        <f>IF('Club Championship'!$F87="","",'Club Championship'!$E87)</f>
        <v/>
      </c>
      <c r="N83">
        <f>IF('Club Championship'!$F87="","",'Club Championship'!$F87)</f>
        <v/>
      </c>
      <c r="O83">
        <f>IF('Club Championship'!$F87="","",'Club Championship'!$F87)</f>
        <v/>
      </c>
      <c r="P83">
        <f>IF('Club Championship'!$F87="","",'Club Championship'!$G87)</f>
        <v/>
      </c>
    </row>
    <row r="84">
      <c r="A84">
        <f>IF('Club Championship'!$F88="","","Club Championship")</f>
        <v/>
      </c>
      <c r="B84">
        <f>IF('Club Championship'!$F88="","","Club Championship")</f>
        <v/>
      </c>
      <c r="C84" s="18">
        <f>IF('Club Championship'!$F88="","",'Club Championship'!$B$3)</f>
        <v/>
      </c>
      <c r="F84">
        <f>IF('Club Championship'!$F88="","",'Club Championship'!$A88&amp;"")</f>
        <v/>
      </c>
      <c r="J84">
        <f>IF('Club Championship'!$F88="","",'Club Championship'!$D88)</f>
        <v/>
      </c>
      <c r="K84">
        <f>IF('Club Championship'!$F88="","",COUNTIF('Club Championship'!$B$6:$B$155,'Club Championship'!$B88))</f>
        <v/>
      </c>
      <c r="L84">
        <f>IF('Club Championship'!$F88="","",'Club Championship'!$C88&amp;"")</f>
        <v/>
      </c>
      <c r="M84">
        <f>IF('Club Championship'!$F88="","",'Club Championship'!$E88)</f>
        <v/>
      </c>
      <c r="N84">
        <f>IF('Club Championship'!$F88="","",'Club Championship'!$F88)</f>
        <v/>
      </c>
      <c r="O84">
        <f>IF('Club Championship'!$F88="","",'Club Championship'!$F88)</f>
        <v/>
      </c>
      <c r="P84">
        <f>IF('Club Championship'!$F88="","",'Club Championship'!$G88)</f>
        <v/>
      </c>
    </row>
    <row r="85">
      <c r="A85">
        <f>IF('Club Championship'!$F89="","","Club Championship")</f>
        <v/>
      </c>
      <c r="B85">
        <f>IF('Club Championship'!$F89="","","Club Championship")</f>
        <v/>
      </c>
      <c r="C85" s="18">
        <f>IF('Club Championship'!$F89="","",'Club Championship'!$B$3)</f>
        <v/>
      </c>
      <c r="F85">
        <f>IF('Club Championship'!$F89="","",'Club Championship'!$A89&amp;"")</f>
        <v/>
      </c>
      <c r="J85">
        <f>IF('Club Championship'!$F89="","",'Club Championship'!$D89)</f>
        <v/>
      </c>
      <c r="K85">
        <f>IF('Club Championship'!$F89="","",COUNTIF('Club Championship'!$B$6:$B$155,'Club Championship'!$B89))</f>
        <v/>
      </c>
      <c r="L85">
        <f>IF('Club Championship'!$F89="","",'Club Championship'!$C89&amp;"")</f>
        <v/>
      </c>
      <c r="M85">
        <f>IF('Club Championship'!$F89="","",'Club Championship'!$E89)</f>
        <v/>
      </c>
      <c r="N85">
        <f>IF('Club Championship'!$F89="","",'Club Championship'!$F89)</f>
        <v/>
      </c>
      <c r="O85">
        <f>IF('Club Championship'!$F89="","",'Club Championship'!$F89)</f>
        <v/>
      </c>
      <c r="P85">
        <f>IF('Club Championship'!$F89="","",'Club Championship'!$G89)</f>
        <v/>
      </c>
    </row>
    <row r="86">
      <c r="A86">
        <f>IF('Club Championship'!$F90="","","Club Championship")</f>
        <v/>
      </c>
      <c r="B86">
        <f>IF('Club Championship'!$F90="","","Club Championship")</f>
        <v/>
      </c>
      <c r="C86" s="18">
        <f>IF('Club Championship'!$F90="","",'Club Championship'!$B$3)</f>
        <v/>
      </c>
      <c r="F86">
        <f>IF('Club Championship'!$F90="","",'Club Championship'!$A90&amp;"")</f>
        <v/>
      </c>
      <c r="J86">
        <f>IF('Club Championship'!$F90="","",'Club Championship'!$D90)</f>
        <v/>
      </c>
      <c r="K86">
        <f>IF('Club Championship'!$F90="","",COUNTIF('Club Championship'!$B$6:$B$155,'Club Championship'!$B90))</f>
        <v/>
      </c>
      <c r="L86">
        <f>IF('Club Championship'!$F90="","",'Club Championship'!$C90&amp;"")</f>
        <v/>
      </c>
      <c r="M86">
        <f>IF('Club Championship'!$F90="","",'Club Championship'!$E90)</f>
        <v/>
      </c>
      <c r="N86">
        <f>IF('Club Championship'!$F90="","",'Club Championship'!$F90)</f>
        <v/>
      </c>
      <c r="O86">
        <f>IF('Club Championship'!$F90="","",'Club Championship'!$F90)</f>
        <v/>
      </c>
      <c r="P86">
        <f>IF('Club Championship'!$F90="","",'Club Championship'!$G90)</f>
        <v/>
      </c>
    </row>
    <row r="87">
      <c r="A87">
        <f>IF('Club Championship'!$F91="","","Club Championship")</f>
        <v/>
      </c>
      <c r="B87">
        <f>IF('Club Championship'!$F91="","","Club Championship")</f>
        <v/>
      </c>
      <c r="C87" s="18">
        <f>IF('Club Championship'!$F91="","",'Club Championship'!$B$3)</f>
        <v/>
      </c>
      <c r="F87">
        <f>IF('Club Championship'!$F91="","",'Club Championship'!$A91&amp;"")</f>
        <v/>
      </c>
      <c r="J87">
        <f>IF('Club Championship'!$F91="","",'Club Championship'!$D91)</f>
        <v/>
      </c>
      <c r="K87">
        <f>IF('Club Championship'!$F91="","",COUNTIF('Club Championship'!$B$6:$B$155,'Club Championship'!$B91))</f>
        <v/>
      </c>
      <c r="L87">
        <f>IF('Club Championship'!$F91="","",'Club Championship'!$C91&amp;"")</f>
        <v/>
      </c>
      <c r="M87">
        <f>IF('Club Championship'!$F91="","",'Club Championship'!$E91)</f>
        <v/>
      </c>
      <c r="N87">
        <f>IF('Club Championship'!$F91="","",'Club Championship'!$F91)</f>
        <v/>
      </c>
      <c r="O87">
        <f>IF('Club Championship'!$F91="","",'Club Championship'!$F91)</f>
        <v/>
      </c>
      <c r="P87">
        <f>IF('Club Championship'!$F91="","",'Club Championship'!$G91)</f>
        <v/>
      </c>
    </row>
    <row r="88">
      <c r="A88">
        <f>IF('Club Championship'!$F92="","","Club Championship")</f>
        <v/>
      </c>
      <c r="B88">
        <f>IF('Club Championship'!$F92="","","Club Championship")</f>
        <v/>
      </c>
      <c r="C88" s="18">
        <f>IF('Club Championship'!$F92="","",'Club Championship'!$B$3)</f>
        <v/>
      </c>
      <c r="F88">
        <f>IF('Club Championship'!$F92="","",'Club Championship'!$A92&amp;"")</f>
        <v/>
      </c>
      <c r="J88">
        <f>IF('Club Championship'!$F92="","",'Club Championship'!$D92)</f>
        <v/>
      </c>
      <c r="K88">
        <f>IF('Club Championship'!$F92="","",COUNTIF('Club Championship'!$B$6:$B$155,'Club Championship'!$B92))</f>
        <v/>
      </c>
      <c r="L88">
        <f>IF('Club Championship'!$F92="","",'Club Championship'!$C92&amp;"")</f>
        <v/>
      </c>
      <c r="M88">
        <f>IF('Club Championship'!$F92="","",'Club Championship'!$E92)</f>
        <v/>
      </c>
      <c r="N88">
        <f>IF('Club Championship'!$F92="","",'Club Championship'!$F92)</f>
        <v/>
      </c>
      <c r="O88">
        <f>IF('Club Championship'!$F92="","",'Club Championship'!$F92)</f>
        <v/>
      </c>
      <c r="P88">
        <f>IF('Club Championship'!$F92="","",'Club Championship'!$G92)</f>
        <v/>
      </c>
    </row>
    <row r="89">
      <c r="A89">
        <f>IF('Club Championship'!$F93="","","Club Championship")</f>
        <v/>
      </c>
      <c r="B89">
        <f>IF('Club Championship'!$F93="","","Club Championship")</f>
        <v/>
      </c>
      <c r="C89" s="18">
        <f>IF('Club Championship'!$F93="","",'Club Championship'!$B$3)</f>
        <v/>
      </c>
      <c r="F89">
        <f>IF('Club Championship'!$F93="","",'Club Championship'!$A93&amp;"")</f>
        <v/>
      </c>
      <c r="J89">
        <f>IF('Club Championship'!$F93="","",'Club Championship'!$D93)</f>
        <v/>
      </c>
      <c r="K89">
        <f>IF('Club Championship'!$F93="","",COUNTIF('Club Championship'!$B$6:$B$155,'Club Championship'!$B93))</f>
        <v/>
      </c>
      <c r="L89">
        <f>IF('Club Championship'!$F93="","",'Club Championship'!$C93&amp;"")</f>
        <v/>
      </c>
      <c r="M89">
        <f>IF('Club Championship'!$F93="","",'Club Championship'!$E93)</f>
        <v/>
      </c>
      <c r="N89">
        <f>IF('Club Championship'!$F93="","",'Club Championship'!$F93)</f>
        <v/>
      </c>
      <c r="O89">
        <f>IF('Club Championship'!$F93="","",'Club Championship'!$F93)</f>
        <v/>
      </c>
      <c r="P89">
        <f>IF('Club Championship'!$F93="","",'Club Championship'!$G93)</f>
        <v/>
      </c>
    </row>
    <row r="90">
      <c r="A90">
        <f>IF('Club Championship'!$F94="","","Club Championship")</f>
        <v/>
      </c>
      <c r="B90">
        <f>IF('Club Championship'!$F94="","","Club Championship")</f>
        <v/>
      </c>
      <c r="C90" s="18">
        <f>IF('Club Championship'!$F94="","",'Club Championship'!$B$3)</f>
        <v/>
      </c>
      <c r="F90">
        <f>IF('Club Championship'!$F94="","",'Club Championship'!$A94&amp;"")</f>
        <v/>
      </c>
      <c r="J90">
        <f>IF('Club Championship'!$F94="","",'Club Championship'!$D94)</f>
        <v/>
      </c>
      <c r="K90">
        <f>IF('Club Championship'!$F94="","",COUNTIF('Club Championship'!$B$6:$B$155,'Club Championship'!$B94))</f>
        <v/>
      </c>
      <c r="L90">
        <f>IF('Club Championship'!$F94="","",'Club Championship'!$C94&amp;"")</f>
        <v/>
      </c>
      <c r="M90">
        <f>IF('Club Championship'!$F94="","",'Club Championship'!$E94)</f>
        <v/>
      </c>
      <c r="N90">
        <f>IF('Club Championship'!$F94="","",'Club Championship'!$F94)</f>
        <v/>
      </c>
      <c r="O90">
        <f>IF('Club Championship'!$F94="","",'Club Championship'!$F94)</f>
        <v/>
      </c>
      <c r="P90">
        <f>IF('Club Championship'!$F94="","",'Club Championship'!$G94)</f>
        <v/>
      </c>
    </row>
    <row r="91">
      <c r="A91">
        <f>IF('Club Championship'!$F95="","","Club Championship")</f>
        <v/>
      </c>
      <c r="B91">
        <f>IF('Club Championship'!$F95="","","Club Championship")</f>
        <v/>
      </c>
      <c r="C91" s="18">
        <f>IF('Club Championship'!$F95="","",'Club Championship'!$B$3)</f>
        <v/>
      </c>
      <c r="F91">
        <f>IF('Club Championship'!$F95="","",'Club Championship'!$A95&amp;"")</f>
        <v/>
      </c>
      <c r="J91">
        <f>IF('Club Championship'!$F95="","",'Club Championship'!$D95)</f>
        <v/>
      </c>
      <c r="K91">
        <f>IF('Club Championship'!$F95="","",COUNTIF('Club Championship'!$B$6:$B$155,'Club Championship'!$B95))</f>
        <v/>
      </c>
      <c r="L91">
        <f>IF('Club Championship'!$F95="","",'Club Championship'!$C95&amp;"")</f>
        <v/>
      </c>
      <c r="M91">
        <f>IF('Club Championship'!$F95="","",'Club Championship'!$E95)</f>
        <v/>
      </c>
      <c r="N91">
        <f>IF('Club Championship'!$F95="","",'Club Championship'!$F95)</f>
        <v/>
      </c>
      <c r="O91">
        <f>IF('Club Championship'!$F95="","",'Club Championship'!$F95)</f>
        <v/>
      </c>
      <c r="P91">
        <f>IF('Club Championship'!$F95="","",'Club Championship'!$G95)</f>
        <v/>
      </c>
    </row>
    <row r="92">
      <c r="A92">
        <f>IF('Club Championship'!$F96="","","Club Championship")</f>
        <v/>
      </c>
      <c r="B92">
        <f>IF('Club Championship'!$F96="","","Club Championship")</f>
        <v/>
      </c>
      <c r="C92" s="18">
        <f>IF('Club Championship'!$F96="","",'Club Championship'!$B$3)</f>
        <v/>
      </c>
      <c r="F92">
        <f>IF('Club Championship'!$F96="","",'Club Championship'!$A96&amp;"")</f>
        <v/>
      </c>
      <c r="J92">
        <f>IF('Club Championship'!$F96="","",'Club Championship'!$D96)</f>
        <v/>
      </c>
      <c r="K92">
        <f>IF('Club Championship'!$F96="","",COUNTIF('Club Championship'!$B$6:$B$155,'Club Championship'!$B96))</f>
        <v/>
      </c>
      <c r="L92">
        <f>IF('Club Championship'!$F96="","",'Club Championship'!$C96&amp;"")</f>
        <v/>
      </c>
      <c r="M92">
        <f>IF('Club Championship'!$F96="","",'Club Championship'!$E96)</f>
        <v/>
      </c>
      <c r="N92">
        <f>IF('Club Championship'!$F96="","",'Club Championship'!$F96)</f>
        <v/>
      </c>
      <c r="O92">
        <f>IF('Club Championship'!$F96="","",'Club Championship'!$F96)</f>
        <v/>
      </c>
      <c r="P92">
        <f>IF('Club Championship'!$F96="","",'Club Championship'!$G96)</f>
        <v/>
      </c>
    </row>
    <row r="93">
      <c r="A93">
        <f>IF('Club Championship'!$F97="","","Club Championship")</f>
        <v/>
      </c>
      <c r="B93">
        <f>IF('Club Championship'!$F97="","","Club Championship")</f>
        <v/>
      </c>
      <c r="C93" s="18">
        <f>IF('Club Championship'!$F97="","",'Club Championship'!$B$3)</f>
        <v/>
      </c>
      <c r="F93">
        <f>IF('Club Championship'!$F97="","",'Club Championship'!$A97&amp;"")</f>
        <v/>
      </c>
      <c r="J93">
        <f>IF('Club Championship'!$F97="","",'Club Championship'!$D97)</f>
        <v/>
      </c>
      <c r="K93">
        <f>IF('Club Championship'!$F97="","",COUNTIF('Club Championship'!$B$6:$B$155,'Club Championship'!$B97))</f>
        <v/>
      </c>
      <c r="L93">
        <f>IF('Club Championship'!$F97="","",'Club Championship'!$C97&amp;"")</f>
        <v/>
      </c>
      <c r="M93">
        <f>IF('Club Championship'!$F97="","",'Club Championship'!$E97)</f>
        <v/>
      </c>
      <c r="N93">
        <f>IF('Club Championship'!$F97="","",'Club Championship'!$F97)</f>
        <v/>
      </c>
      <c r="O93">
        <f>IF('Club Championship'!$F97="","",'Club Championship'!$F97)</f>
        <v/>
      </c>
      <c r="P93">
        <f>IF('Club Championship'!$F97="","",'Club Championship'!$G97)</f>
        <v/>
      </c>
    </row>
    <row r="94">
      <c r="A94">
        <f>IF('Club Championship'!$F98="","","Club Championship")</f>
        <v/>
      </c>
      <c r="B94">
        <f>IF('Club Championship'!$F98="","","Club Championship")</f>
        <v/>
      </c>
      <c r="C94" s="18">
        <f>IF('Club Championship'!$F98="","",'Club Championship'!$B$3)</f>
        <v/>
      </c>
      <c r="F94">
        <f>IF('Club Championship'!$F98="","",'Club Championship'!$A98&amp;"")</f>
        <v/>
      </c>
      <c r="J94">
        <f>IF('Club Championship'!$F98="","",'Club Championship'!$D98)</f>
        <v/>
      </c>
      <c r="K94">
        <f>IF('Club Championship'!$F98="","",COUNTIF('Club Championship'!$B$6:$B$155,'Club Championship'!$B98))</f>
        <v/>
      </c>
      <c r="L94">
        <f>IF('Club Championship'!$F98="","",'Club Championship'!$C98&amp;"")</f>
        <v/>
      </c>
      <c r="M94">
        <f>IF('Club Championship'!$F98="","",'Club Championship'!$E98)</f>
        <v/>
      </c>
      <c r="N94">
        <f>IF('Club Championship'!$F98="","",'Club Championship'!$F98)</f>
        <v/>
      </c>
      <c r="O94">
        <f>IF('Club Championship'!$F98="","",'Club Championship'!$F98)</f>
        <v/>
      </c>
      <c r="P94">
        <f>IF('Club Championship'!$F98="","",'Club Championship'!$G98)</f>
        <v/>
      </c>
    </row>
    <row r="95">
      <c r="A95">
        <f>IF('Club Championship'!$F99="","","Club Championship")</f>
        <v/>
      </c>
      <c r="B95">
        <f>IF('Club Championship'!$F99="","","Club Championship")</f>
        <v/>
      </c>
      <c r="C95" s="18">
        <f>IF('Club Championship'!$F99="","",'Club Championship'!$B$3)</f>
        <v/>
      </c>
      <c r="F95">
        <f>IF('Club Championship'!$F99="","",'Club Championship'!$A99&amp;"")</f>
        <v/>
      </c>
      <c r="J95">
        <f>IF('Club Championship'!$F99="","",'Club Championship'!$D99)</f>
        <v/>
      </c>
      <c r="K95">
        <f>IF('Club Championship'!$F99="","",COUNTIF('Club Championship'!$B$6:$B$155,'Club Championship'!$B99))</f>
        <v/>
      </c>
      <c r="L95">
        <f>IF('Club Championship'!$F99="","",'Club Championship'!$C99&amp;"")</f>
        <v/>
      </c>
      <c r="M95">
        <f>IF('Club Championship'!$F99="","",'Club Championship'!$E99)</f>
        <v/>
      </c>
      <c r="N95">
        <f>IF('Club Championship'!$F99="","",'Club Championship'!$F99)</f>
        <v/>
      </c>
      <c r="O95">
        <f>IF('Club Championship'!$F99="","",'Club Championship'!$F99)</f>
        <v/>
      </c>
      <c r="P95">
        <f>IF('Club Championship'!$F99="","",'Club Championship'!$G99)</f>
        <v/>
      </c>
    </row>
    <row r="96">
      <c r="A96">
        <f>IF('Club Championship'!$F100="","","Club Championship")</f>
        <v/>
      </c>
      <c r="B96">
        <f>IF('Club Championship'!$F100="","","Club Championship")</f>
        <v/>
      </c>
      <c r="C96" s="18">
        <f>IF('Club Championship'!$F100="","",'Club Championship'!$B$3)</f>
        <v/>
      </c>
      <c r="F96">
        <f>IF('Club Championship'!$F100="","",'Club Championship'!$A100&amp;"")</f>
        <v/>
      </c>
      <c r="J96">
        <f>IF('Club Championship'!$F100="","",'Club Championship'!$D100)</f>
        <v/>
      </c>
      <c r="K96">
        <f>IF('Club Championship'!$F100="","",COUNTIF('Club Championship'!$B$6:$B$155,'Club Championship'!$B100))</f>
        <v/>
      </c>
      <c r="L96">
        <f>IF('Club Championship'!$F100="","",'Club Championship'!$C100&amp;"")</f>
        <v/>
      </c>
      <c r="M96">
        <f>IF('Club Championship'!$F100="","",'Club Championship'!$E100)</f>
        <v/>
      </c>
      <c r="N96">
        <f>IF('Club Championship'!$F100="","",'Club Championship'!$F100)</f>
        <v/>
      </c>
      <c r="O96">
        <f>IF('Club Championship'!$F100="","",'Club Championship'!$F100)</f>
        <v/>
      </c>
      <c r="P96">
        <f>IF('Club Championship'!$F100="","",'Club Championship'!$G100)</f>
        <v/>
      </c>
    </row>
    <row r="97">
      <c r="A97">
        <f>IF('Club Championship'!$F101="","","Club Championship")</f>
        <v/>
      </c>
      <c r="B97">
        <f>IF('Club Championship'!$F101="","","Club Championship")</f>
        <v/>
      </c>
      <c r="C97" s="18">
        <f>IF('Club Championship'!$F101="","",'Club Championship'!$B$3)</f>
        <v/>
      </c>
      <c r="F97">
        <f>IF('Club Championship'!$F101="","",'Club Championship'!$A101&amp;"")</f>
        <v/>
      </c>
      <c r="J97">
        <f>IF('Club Championship'!$F101="","",'Club Championship'!$D101)</f>
        <v/>
      </c>
      <c r="K97">
        <f>IF('Club Championship'!$F101="","",COUNTIF('Club Championship'!$B$6:$B$155,'Club Championship'!$B101))</f>
        <v/>
      </c>
      <c r="L97">
        <f>IF('Club Championship'!$F101="","",'Club Championship'!$C101&amp;"")</f>
        <v/>
      </c>
      <c r="M97">
        <f>IF('Club Championship'!$F101="","",'Club Championship'!$E101)</f>
        <v/>
      </c>
      <c r="N97">
        <f>IF('Club Championship'!$F101="","",'Club Championship'!$F101)</f>
        <v/>
      </c>
      <c r="O97">
        <f>IF('Club Championship'!$F101="","",'Club Championship'!$F101)</f>
        <v/>
      </c>
      <c r="P97">
        <f>IF('Club Championship'!$F101="","",'Club Championship'!$G101)</f>
        <v/>
      </c>
    </row>
    <row r="98">
      <c r="A98">
        <f>IF('Club Championship'!$F102="","","Club Championship")</f>
        <v/>
      </c>
      <c r="B98">
        <f>IF('Club Championship'!$F102="","","Club Championship")</f>
        <v/>
      </c>
      <c r="C98" s="18">
        <f>IF('Club Championship'!$F102="","",'Club Championship'!$B$3)</f>
        <v/>
      </c>
      <c r="F98">
        <f>IF('Club Championship'!$F102="","",'Club Championship'!$A102&amp;"")</f>
        <v/>
      </c>
      <c r="J98">
        <f>IF('Club Championship'!$F102="","",'Club Championship'!$D102)</f>
        <v/>
      </c>
      <c r="K98">
        <f>IF('Club Championship'!$F102="","",COUNTIF('Club Championship'!$B$6:$B$155,'Club Championship'!$B102))</f>
        <v/>
      </c>
      <c r="L98">
        <f>IF('Club Championship'!$F102="","",'Club Championship'!$C102&amp;"")</f>
        <v/>
      </c>
      <c r="M98">
        <f>IF('Club Championship'!$F102="","",'Club Championship'!$E102)</f>
        <v/>
      </c>
      <c r="N98">
        <f>IF('Club Championship'!$F102="","",'Club Championship'!$F102)</f>
        <v/>
      </c>
      <c r="O98">
        <f>IF('Club Championship'!$F102="","",'Club Championship'!$F102)</f>
        <v/>
      </c>
      <c r="P98">
        <f>IF('Club Championship'!$F102="","",'Club Championship'!$G102)</f>
        <v/>
      </c>
    </row>
    <row r="99">
      <c r="A99">
        <f>IF('Club Championship'!$F103="","","Club Championship")</f>
        <v/>
      </c>
      <c r="B99">
        <f>IF('Club Championship'!$F103="","","Club Championship")</f>
        <v/>
      </c>
      <c r="C99" s="18">
        <f>IF('Club Championship'!$F103="","",'Club Championship'!$B$3)</f>
        <v/>
      </c>
      <c r="F99">
        <f>IF('Club Championship'!$F103="","",'Club Championship'!$A103&amp;"")</f>
        <v/>
      </c>
      <c r="J99">
        <f>IF('Club Championship'!$F103="","",'Club Championship'!$D103)</f>
        <v/>
      </c>
      <c r="K99">
        <f>IF('Club Championship'!$F103="","",COUNTIF('Club Championship'!$B$6:$B$155,'Club Championship'!$B103))</f>
        <v/>
      </c>
      <c r="L99">
        <f>IF('Club Championship'!$F103="","",'Club Championship'!$C103&amp;"")</f>
        <v/>
      </c>
      <c r="M99">
        <f>IF('Club Championship'!$F103="","",'Club Championship'!$E103)</f>
        <v/>
      </c>
      <c r="N99">
        <f>IF('Club Championship'!$F103="","",'Club Championship'!$F103)</f>
        <v/>
      </c>
      <c r="O99">
        <f>IF('Club Championship'!$F103="","",'Club Championship'!$F103)</f>
        <v/>
      </c>
      <c r="P99">
        <f>IF('Club Championship'!$F103="","",'Club Championship'!$G103)</f>
        <v/>
      </c>
    </row>
    <row r="100">
      <c r="A100">
        <f>IF('Club Championship'!$F104="","","Club Championship")</f>
        <v/>
      </c>
      <c r="B100">
        <f>IF('Club Championship'!$F104="","","Club Championship")</f>
        <v/>
      </c>
      <c r="C100" s="18">
        <f>IF('Club Championship'!$F104="","",'Club Championship'!$B$3)</f>
        <v/>
      </c>
      <c r="F100">
        <f>IF('Club Championship'!$F104="","",'Club Championship'!$A104&amp;"")</f>
        <v/>
      </c>
      <c r="J100">
        <f>IF('Club Championship'!$F104="","",'Club Championship'!$D104)</f>
        <v/>
      </c>
      <c r="K100">
        <f>IF('Club Championship'!$F104="","",COUNTIF('Club Championship'!$B$6:$B$155,'Club Championship'!$B104))</f>
        <v/>
      </c>
      <c r="L100">
        <f>IF('Club Championship'!$F104="","",'Club Championship'!$C104&amp;"")</f>
        <v/>
      </c>
      <c r="M100">
        <f>IF('Club Championship'!$F104="","",'Club Championship'!$E104)</f>
        <v/>
      </c>
      <c r="N100">
        <f>IF('Club Championship'!$F104="","",'Club Championship'!$F104)</f>
        <v/>
      </c>
      <c r="O100">
        <f>IF('Club Championship'!$F104="","",'Club Championship'!$F104)</f>
        <v/>
      </c>
      <c r="P100">
        <f>IF('Club Championship'!$F104="","",'Club Championship'!$G104)</f>
        <v/>
      </c>
    </row>
    <row r="101">
      <c r="A101">
        <f>IF('Club Championship'!$F105="","","Club Championship")</f>
        <v/>
      </c>
      <c r="B101">
        <f>IF('Club Championship'!$F105="","","Club Championship")</f>
        <v/>
      </c>
      <c r="C101" s="18">
        <f>IF('Club Championship'!$F105="","",'Club Championship'!$B$3)</f>
        <v/>
      </c>
      <c r="F101">
        <f>IF('Club Championship'!$F105="","",'Club Championship'!$A105&amp;"")</f>
        <v/>
      </c>
      <c r="J101">
        <f>IF('Club Championship'!$F105="","",'Club Championship'!$D105)</f>
        <v/>
      </c>
      <c r="K101">
        <f>IF('Club Championship'!$F105="","",COUNTIF('Club Championship'!$B$6:$B$155,'Club Championship'!$B105))</f>
        <v/>
      </c>
      <c r="L101">
        <f>IF('Club Championship'!$F105="","",'Club Championship'!$C105&amp;"")</f>
        <v/>
      </c>
      <c r="M101">
        <f>IF('Club Championship'!$F105="","",'Club Championship'!$E105)</f>
        <v/>
      </c>
      <c r="N101">
        <f>IF('Club Championship'!$F105="","",'Club Championship'!$F105)</f>
        <v/>
      </c>
      <c r="O101">
        <f>IF('Club Championship'!$F105="","",'Club Championship'!$F105)</f>
        <v/>
      </c>
      <c r="P101">
        <f>IF('Club Championship'!$F105="","",'Club Championship'!$G105)</f>
        <v/>
      </c>
    </row>
    <row r="102">
      <c r="A102">
        <f>IF('Club Championship'!$F106="","","Club Championship")</f>
        <v/>
      </c>
      <c r="B102">
        <f>IF('Club Championship'!$F106="","","Club Championship")</f>
        <v/>
      </c>
      <c r="C102" s="18">
        <f>IF('Club Championship'!$F106="","",'Club Championship'!$B$3)</f>
        <v/>
      </c>
      <c r="F102">
        <f>IF('Club Championship'!$F106="","",'Club Championship'!$A106&amp;"")</f>
        <v/>
      </c>
      <c r="J102">
        <f>IF('Club Championship'!$F106="","",'Club Championship'!$D106)</f>
        <v/>
      </c>
      <c r="K102">
        <f>IF('Club Championship'!$F106="","",COUNTIF('Club Championship'!$B$6:$B$155,'Club Championship'!$B106))</f>
        <v/>
      </c>
      <c r="L102">
        <f>IF('Club Championship'!$F106="","",'Club Championship'!$C106&amp;"")</f>
        <v/>
      </c>
      <c r="M102">
        <f>IF('Club Championship'!$F106="","",'Club Championship'!$E106)</f>
        <v/>
      </c>
      <c r="N102">
        <f>IF('Club Championship'!$F106="","",'Club Championship'!$F106)</f>
        <v/>
      </c>
      <c r="O102">
        <f>IF('Club Championship'!$F106="","",'Club Championship'!$F106)</f>
        <v/>
      </c>
      <c r="P102">
        <f>IF('Club Championship'!$F106="","",'Club Championship'!$G106)</f>
        <v/>
      </c>
    </row>
    <row r="103">
      <c r="A103">
        <f>IF('Club Championship'!$F107="","","Club Championship")</f>
        <v/>
      </c>
      <c r="B103">
        <f>IF('Club Championship'!$F107="","","Club Championship")</f>
        <v/>
      </c>
      <c r="C103" s="18">
        <f>IF('Club Championship'!$F107="","",'Club Championship'!$B$3)</f>
        <v/>
      </c>
      <c r="F103">
        <f>IF('Club Championship'!$F107="","",'Club Championship'!$A107&amp;"")</f>
        <v/>
      </c>
      <c r="J103">
        <f>IF('Club Championship'!$F107="","",'Club Championship'!$D107)</f>
        <v/>
      </c>
      <c r="K103">
        <f>IF('Club Championship'!$F107="","",COUNTIF('Club Championship'!$B$6:$B$155,'Club Championship'!$B107))</f>
        <v/>
      </c>
      <c r="L103">
        <f>IF('Club Championship'!$F107="","",'Club Championship'!$C107&amp;"")</f>
        <v/>
      </c>
      <c r="M103">
        <f>IF('Club Championship'!$F107="","",'Club Championship'!$E107)</f>
        <v/>
      </c>
      <c r="N103">
        <f>IF('Club Championship'!$F107="","",'Club Championship'!$F107)</f>
        <v/>
      </c>
      <c r="O103">
        <f>IF('Club Championship'!$F107="","",'Club Championship'!$F107)</f>
        <v/>
      </c>
      <c r="P103">
        <f>IF('Club Championship'!$F107="","",'Club Championship'!$G107)</f>
        <v/>
      </c>
    </row>
    <row r="104">
      <c r="A104">
        <f>IF('Club Championship'!$F108="","","Club Championship")</f>
        <v/>
      </c>
      <c r="B104">
        <f>IF('Club Championship'!$F108="","","Club Championship")</f>
        <v/>
      </c>
      <c r="C104" s="18">
        <f>IF('Club Championship'!$F108="","",'Club Championship'!$B$3)</f>
        <v/>
      </c>
      <c r="F104">
        <f>IF('Club Championship'!$F108="","",'Club Championship'!$A108&amp;"")</f>
        <v/>
      </c>
      <c r="J104">
        <f>IF('Club Championship'!$F108="","",'Club Championship'!$D108)</f>
        <v/>
      </c>
      <c r="K104">
        <f>IF('Club Championship'!$F108="","",COUNTIF('Club Championship'!$B$6:$B$155,'Club Championship'!$B108))</f>
        <v/>
      </c>
      <c r="L104">
        <f>IF('Club Championship'!$F108="","",'Club Championship'!$C108&amp;"")</f>
        <v/>
      </c>
      <c r="M104">
        <f>IF('Club Championship'!$F108="","",'Club Championship'!$E108)</f>
        <v/>
      </c>
      <c r="N104">
        <f>IF('Club Championship'!$F108="","",'Club Championship'!$F108)</f>
        <v/>
      </c>
      <c r="O104">
        <f>IF('Club Championship'!$F108="","",'Club Championship'!$F108)</f>
        <v/>
      </c>
      <c r="P104">
        <f>IF('Club Championship'!$F108="","",'Club Championship'!$G108)</f>
        <v/>
      </c>
    </row>
    <row r="105">
      <c r="A105">
        <f>IF('Club Championship'!$F109="","","Club Championship")</f>
        <v/>
      </c>
      <c r="B105">
        <f>IF('Club Championship'!$F109="","","Club Championship")</f>
        <v/>
      </c>
      <c r="C105" s="18">
        <f>IF('Club Championship'!$F109="","",'Club Championship'!$B$3)</f>
        <v/>
      </c>
      <c r="F105">
        <f>IF('Club Championship'!$F109="","",'Club Championship'!$A109&amp;"")</f>
        <v/>
      </c>
      <c r="J105">
        <f>IF('Club Championship'!$F109="","",'Club Championship'!$D109)</f>
        <v/>
      </c>
      <c r="K105">
        <f>IF('Club Championship'!$F109="","",COUNTIF('Club Championship'!$B$6:$B$155,'Club Championship'!$B109))</f>
        <v/>
      </c>
      <c r="L105">
        <f>IF('Club Championship'!$F109="","",'Club Championship'!$C109&amp;"")</f>
        <v/>
      </c>
      <c r="M105">
        <f>IF('Club Championship'!$F109="","",'Club Championship'!$E109)</f>
        <v/>
      </c>
      <c r="N105">
        <f>IF('Club Championship'!$F109="","",'Club Championship'!$F109)</f>
        <v/>
      </c>
      <c r="O105">
        <f>IF('Club Championship'!$F109="","",'Club Championship'!$F109)</f>
        <v/>
      </c>
      <c r="P105">
        <f>IF('Club Championship'!$F109="","",'Club Championship'!$G109)</f>
        <v/>
      </c>
    </row>
    <row r="106">
      <c r="A106">
        <f>IF('Club Championship'!$F110="","","Club Championship")</f>
        <v/>
      </c>
      <c r="B106">
        <f>IF('Club Championship'!$F110="","","Club Championship")</f>
        <v/>
      </c>
      <c r="C106" s="18">
        <f>IF('Club Championship'!$F110="","",'Club Championship'!$B$3)</f>
        <v/>
      </c>
      <c r="F106">
        <f>IF('Club Championship'!$F110="","",'Club Championship'!$A110&amp;"")</f>
        <v/>
      </c>
      <c r="J106">
        <f>IF('Club Championship'!$F110="","",'Club Championship'!$D110)</f>
        <v/>
      </c>
      <c r="K106">
        <f>IF('Club Championship'!$F110="","",COUNTIF('Club Championship'!$B$6:$B$155,'Club Championship'!$B110))</f>
        <v/>
      </c>
      <c r="L106">
        <f>IF('Club Championship'!$F110="","",'Club Championship'!$C110&amp;"")</f>
        <v/>
      </c>
      <c r="M106">
        <f>IF('Club Championship'!$F110="","",'Club Championship'!$E110)</f>
        <v/>
      </c>
      <c r="N106">
        <f>IF('Club Championship'!$F110="","",'Club Championship'!$F110)</f>
        <v/>
      </c>
      <c r="O106">
        <f>IF('Club Championship'!$F110="","",'Club Championship'!$F110)</f>
        <v/>
      </c>
      <c r="P106">
        <f>IF('Club Championship'!$F110="","",'Club Championship'!$G110)</f>
        <v/>
      </c>
    </row>
    <row r="107">
      <c r="A107">
        <f>IF('Club Championship'!$F111="","","Club Championship")</f>
        <v/>
      </c>
      <c r="B107">
        <f>IF('Club Championship'!$F111="","","Club Championship")</f>
        <v/>
      </c>
      <c r="C107" s="18">
        <f>IF('Club Championship'!$F111="","",'Club Championship'!$B$3)</f>
        <v/>
      </c>
      <c r="F107">
        <f>IF('Club Championship'!$F111="","",'Club Championship'!$A111&amp;"")</f>
        <v/>
      </c>
      <c r="J107">
        <f>IF('Club Championship'!$F111="","",'Club Championship'!$D111)</f>
        <v/>
      </c>
      <c r="K107">
        <f>IF('Club Championship'!$F111="","",COUNTIF('Club Championship'!$B$6:$B$155,'Club Championship'!$B111))</f>
        <v/>
      </c>
      <c r="L107">
        <f>IF('Club Championship'!$F111="","",'Club Championship'!$C111&amp;"")</f>
        <v/>
      </c>
      <c r="M107">
        <f>IF('Club Championship'!$F111="","",'Club Championship'!$E111)</f>
        <v/>
      </c>
      <c r="N107">
        <f>IF('Club Championship'!$F111="","",'Club Championship'!$F111)</f>
        <v/>
      </c>
      <c r="O107">
        <f>IF('Club Championship'!$F111="","",'Club Championship'!$F111)</f>
        <v/>
      </c>
      <c r="P107">
        <f>IF('Club Championship'!$F111="","",'Club Championship'!$G111)</f>
        <v/>
      </c>
    </row>
    <row r="108">
      <c r="A108">
        <f>IF('Club Championship'!$F112="","","Club Championship")</f>
        <v/>
      </c>
      <c r="B108">
        <f>IF('Club Championship'!$F112="","","Club Championship")</f>
        <v/>
      </c>
      <c r="C108" s="18">
        <f>IF('Club Championship'!$F112="","",'Club Championship'!$B$3)</f>
        <v/>
      </c>
      <c r="F108">
        <f>IF('Club Championship'!$F112="","",'Club Championship'!$A112&amp;"")</f>
        <v/>
      </c>
      <c r="J108">
        <f>IF('Club Championship'!$F112="","",'Club Championship'!$D112)</f>
        <v/>
      </c>
      <c r="K108">
        <f>IF('Club Championship'!$F112="","",COUNTIF('Club Championship'!$B$6:$B$155,'Club Championship'!$B112))</f>
        <v/>
      </c>
      <c r="L108">
        <f>IF('Club Championship'!$F112="","",'Club Championship'!$C112&amp;"")</f>
        <v/>
      </c>
      <c r="M108">
        <f>IF('Club Championship'!$F112="","",'Club Championship'!$E112)</f>
        <v/>
      </c>
      <c r="N108">
        <f>IF('Club Championship'!$F112="","",'Club Championship'!$F112)</f>
        <v/>
      </c>
      <c r="O108">
        <f>IF('Club Championship'!$F112="","",'Club Championship'!$F112)</f>
        <v/>
      </c>
      <c r="P108">
        <f>IF('Club Championship'!$F112="","",'Club Championship'!$G112)</f>
        <v/>
      </c>
    </row>
    <row r="109">
      <c r="A109">
        <f>IF('Club Championship'!$F113="","","Club Championship")</f>
        <v/>
      </c>
      <c r="B109">
        <f>IF('Club Championship'!$F113="","","Club Championship")</f>
        <v/>
      </c>
      <c r="C109" s="18">
        <f>IF('Club Championship'!$F113="","",'Club Championship'!$B$3)</f>
        <v/>
      </c>
      <c r="F109">
        <f>IF('Club Championship'!$F113="","",'Club Championship'!$A113&amp;"")</f>
        <v/>
      </c>
      <c r="J109">
        <f>IF('Club Championship'!$F113="","",'Club Championship'!$D113)</f>
        <v/>
      </c>
      <c r="K109">
        <f>IF('Club Championship'!$F113="","",COUNTIF('Club Championship'!$B$6:$B$155,'Club Championship'!$B113))</f>
        <v/>
      </c>
      <c r="L109">
        <f>IF('Club Championship'!$F113="","",'Club Championship'!$C113&amp;"")</f>
        <v/>
      </c>
      <c r="M109">
        <f>IF('Club Championship'!$F113="","",'Club Championship'!$E113)</f>
        <v/>
      </c>
      <c r="N109">
        <f>IF('Club Championship'!$F113="","",'Club Championship'!$F113)</f>
        <v/>
      </c>
      <c r="O109">
        <f>IF('Club Championship'!$F113="","",'Club Championship'!$F113)</f>
        <v/>
      </c>
      <c r="P109">
        <f>IF('Club Championship'!$F113="","",'Club Championship'!$G113)</f>
        <v/>
      </c>
    </row>
    <row r="110">
      <c r="A110">
        <f>IF('Club Championship'!$F114="","","Club Championship")</f>
        <v/>
      </c>
      <c r="B110">
        <f>IF('Club Championship'!$F114="","","Club Championship")</f>
        <v/>
      </c>
      <c r="C110" s="18">
        <f>IF('Club Championship'!$F114="","",'Club Championship'!$B$3)</f>
        <v/>
      </c>
      <c r="F110">
        <f>IF('Club Championship'!$F114="","",'Club Championship'!$A114&amp;"")</f>
        <v/>
      </c>
      <c r="J110">
        <f>IF('Club Championship'!$F114="","",'Club Championship'!$D114)</f>
        <v/>
      </c>
      <c r="K110">
        <f>IF('Club Championship'!$F114="","",COUNTIF('Club Championship'!$B$6:$B$155,'Club Championship'!$B114))</f>
        <v/>
      </c>
      <c r="L110">
        <f>IF('Club Championship'!$F114="","",'Club Championship'!$C114&amp;"")</f>
        <v/>
      </c>
      <c r="M110">
        <f>IF('Club Championship'!$F114="","",'Club Championship'!$E114)</f>
        <v/>
      </c>
      <c r="N110">
        <f>IF('Club Championship'!$F114="","",'Club Championship'!$F114)</f>
        <v/>
      </c>
      <c r="O110">
        <f>IF('Club Championship'!$F114="","",'Club Championship'!$F114)</f>
        <v/>
      </c>
      <c r="P110">
        <f>IF('Club Championship'!$F114="","",'Club Championship'!$G114)</f>
        <v/>
      </c>
    </row>
    <row r="111">
      <c r="A111">
        <f>IF('Club Championship'!$F115="","","Club Championship")</f>
        <v/>
      </c>
      <c r="B111">
        <f>IF('Club Championship'!$F115="","","Club Championship")</f>
        <v/>
      </c>
      <c r="C111" s="18">
        <f>IF('Club Championship'!$F115="","",'Club Championship'!$B$3)</f>
        <v/>
      </c>
      <c r="F111">
        <f>IF('Club Championship'!$F115="","",'Club Championship'!$A115&amp;"")</f>
        <v/>
      </c>
      <c r="J111">
        <f>IF('Club Championship'!$F115="","",'Club Championship'!$D115)</f>
        <v/>
      </c>
      <c r="K111">
        <f>IF('Club Championship'!$F115="","",COUNTIF('Club Championship'!$B$6:$B$155,'Club Championship'!$B115))</f>
        <v/>
      </c>
      <c r="L111">
        <f>IF('Club Championship'!$F115="","",'Club Championship'!$C115&amp;"")</f>
        <v/>
      </c>
      <c r="M111">
        <f>IF('Club Championship'!$F115="","",'Club Championship'!$E115)</f>
        <v/>
      </c>
      <c r="N111">
        <f>IF('Club Championship'!$F115="","",'Club Championship'!$F115)</f>
        <v/>
      </c>
      <c r="O111">
        <f>IF('Club Championship'!$F115="","",'Club Championship'!$F115)</f>
        <v/>
      </c>
      <c r="P111">
        <f>IF('Club Championship'!$F115="","",'Club Championship'!$G115)</f>
        <v/>
      </c>
    </row>
    <row r="112">
      <c r="A112">
        <f>IF('Club Championship'!$F116="","","Club Championship")</f>
        <v/>
      </c>
      <c r="B112">
        <f>IF('Club Championship'!$F116="","","Club Championship")</f>
        <v/>
      </c>
      <c r="C112" s="18">
        <f>IF('Club Championship'!$F116="","",'Club Championship'!$B$3)</f>
        <v/>
      </c>
      <c r="F112">
        <f>IF('Club Championship'!$F116="","",'Club Championship'!$A116&amp;"")</f>
        <v/>
      </c>
      <c r="J112">
        <f>IF('Club Championship'!$F116="","",'Club Championship'!$D116)</f>
        <v/>
      </c>
      <c r="K112">
        <f>IF('Club Championship'!$F116="","",COUNTIF('Club Championship'!$B$6:$B$155,'Club Championship'!$B116))</f>
        <v/>
      </c>
      <c r="L112">
        <f>IF('Club Championship'!$F116="","",'Club Championship'!$C116&amp;"")</f>
        <v/>
      </c>
      <c r="M112">
        <f>IF('Club Championship'!$F116="","",'Club Championship'!$E116)</f>
        <v/>
      </c>
      <c r="N112">
        <f>IF('Club Championship'!$F116="","",'Club Championship'!$F116)</f>
        <v/>
      </c>
      <c r="O112">
        <f>IF('Club Championship'!$F116="","",'Club Championship'!$F116)</f>
        <v/>
      </c>
      <c r="P112">
        <f>IF('Club Championship'!$F116="","",'Club Championship'!$G116)</f>
        <v/>
      </c>
    </row>
    <row r="113">
      <c r="A113">
        <f>IF('Club Championship'!$F117="","","Club Championship")</f>
        <v/>
      </c>
      <c r="B113">
        <f>IF('Club Championship'!$F117="","","Club Championship")</f>
        <v/>
      </c>
      <c r="C113" s="18">
        <f>IF('Club Championship'!$F117="","",'Club Championship'!$B$3)</f>
        <v/>
      </c>
      <c r="F113">
        <f>IF('Club Championship'!$F117="","",'Club Championship'!$A117&amp;"")</f>
        <v/>
      </c>
      <c r="J113">
        <f>IF('Club Championship'!$F117="","",'Club Championship'!$D117)</f>
        <v/>
      </c>
      <c r="K113">
        <f>IF('Club Championship'!$F117="","",COUNTIF('Club Championship'!$B$6:$B$155,'Club Championship'!$B117))</f>
        <v/>
      </c>
      <c r="L113">
        <f>IF('Club Championship'!$F117="","",'Club Championship'!$C117&amp;"")</f>
        <v/>
      </c>
      <c r="M113">
        <f>IF('Club Championship'!$F117="","",'Club Championship'!$E117)</f>
        <v/>
      </c>
      <c r="N113">
        <f>IF('Club Championship'!$F117="","",'Club Championship'!$F117)</f>
        <v/>
      </c>
      <c r="O113">
        <f>IF('Club Championship'!$F117="","",'Club Championship'!$F117)</f>
        <v/>
      </c>
      <c r="P113">
        <f>IF('Club Championship'!$F117="","",'Club Championship'!$G117)</f>
        <v/>
      </c>
    </row>
    <row r="114">
      <c r="A114">
        <f>IF('Club Championship'!$F118="","","Club Championship")</f>
        <v/>
      </c>
      <c r="B114">
        <f>IF('Club Championship'!$F118="","","Club Championship")</f>
        <v/>
      </c>
      <c r="C114" s="18">
        <f>IF('Club Championship'!$F118="","",'Club Championship'!$B$3)</f>
        <v/>
      </c>
      <c r="F114">
        <f>IF('Club Championship'!$F118="","",'Club Championship'!$A118&amp;"")</f>
        <v/>
      </c>
      <c r="J114">
        <f>IF('Club Championship'!$F118="","",'Club Championship'!$D118)</f>
        <v/>
      </c>
      <c r="K114">
        <f>IF('Club Championship'!$F118="","",COUNTIF('Club Championship'!$B$6:$B$155,'Club Championship'!$B118))</f>
        <v/>
      </c>
      <c r="L114">
        <f>IF('Club Championship'!$F118="","",'Club Championship'!$C118&amp;"")</f>
        <v/>
      </c>
      <c r="M114">
        <f>IF('Club Championship'!$F118="","",'Club Championship'!$E118)</f>
        <v/>
      </c>
      <c r="N114">
        <f>IF('Club Championship'!$F118="","",'Club Championship'!$F118)</f>
        <v/>
      </c>
      <c r="O114">
        <f>IF('Club Championship'!$F118="","",'Club Championship'!$F118)</f>
        <v/>
      </c>
      <c r="P114">
        <f>IF('Club Championship'!$F118="","",'Club Championship'!$G118)</f>
        <v/>
      </c>
    </row>
    <row r="115">
      <c r="A115">
        <f>IF('Club Championship'!$F119="","","Club Championship")</f>
        <v/>
      </c>
      <c r="B115">
        <f>IF('Club Championship'!$F119="","","Club Championship")</f>
        <v/>
      </c>
      <c r="C115" s="18">
        <f>IF('Club Championship'!$F119="","",'Club Championship'!$B$3)</f>
        <v/>
      </c>
      <c r="F115">
        <f>IF('Club Championship'!$F119="","",'Club Championship'!$A119&amp;"")</f>
        <v/>
      </c>
      <c r="J115">
        <f>IF('Club Championship'!$F119="","",'Club Championship'!$D119)</f>
        <v/>
      </c>
      <c r="K115">
        <f>IF('Club Championship'!$F119="","",COUNTIF('Club Championship'!$B$6:$B$155,'Club Championship'!$B119))</f>
        <v/>
      </c>
      <c r="L115">
        <f>IF('Club Championship'!$F119="","",'Club Championship'!$C119&amp;"")</f>
        <v/>
      </c>
      <c r="M115">
        <f>IF('Club Championship'!$F119="","",'Club Championship'!$E119)</f>
        <v/>
      </c>
      <c r="N115">
        <f>IF('Club Championship'!$F119="","",'Club Championship'!$F119)</f>
        <v/>
      </c>
      <c r="O115">
        <f>IF('Club Championship'!$F119="","",'Club Championship'!$F119)</f>
        <v/>
      </c>
      <c r="P115">
        <f>IF('Club Championship'!$F119="","",'Club Championship'!$G119)</f>
        <v/>
      </c>
    </row>
    <row r="116">
      <c r="A116">
        <f>IF('Club Championship'!$F120="","","Club Championship")</f>
        <v/>
      </c>
      <c r="B116">
        <f>IF('Club Championship'!$F120="","","Club Championship")</f>
        <v/>
      </c>
      <c r="C116" s="18">
        <f>IF('Club Championship'!$F120="","",'Club Championship'!$B$3)</f>
        <v/>
      </c>
      <c r="F116">
        <f>IF('Club Championship'!$F120="","",'Club Championship'!$A120&amp;"")</f>
        <v/>
      </c>
      <c r="J116">
        <f>IF('Club Championship'!$F120="","",'Club Championship'!$D120)</f>
        <v/>
      </c>
      <c r="K116">
        <f>IF('Club Championship'!$F120="","",COUNTIF('Club Championship'!$B$6:$B$155,'Club Championship'!$B120))</f>
        <v/>
      </c>
      <c r="L116">
        <f>IF('Club Championship'!$F120="","",'Club Championship'!$C120&amp;"")</f>
        <v/>
      </c>
      <c r="M116">
        <f>IF('Club Championship'!$F120="","",'Club Championship'!$E120)</f>
        <v/>
      </c>
      <c r="N116">
        <f>IF('Club Championship'!$F120="","",'Club Championship'!$F120)</f>
        <v/>
      </c>
      <c r="O116">
        <f>IF('Club Championship'!$F120="","",'Club Championship'!$F120)</f>
        <v/>
      </c>
      <c r="P116">
        <f>IF('Club Championship'!$F120="","",'Club Championship'!$G120)</f>
        <v/>
      </c>
    </row>
    <row r="117">
      <c r="A117">
        <f>IF('Club Championship'!$F121="","","Club Championship")</f>
        <v/>
      </c>
      <c r="B117">
        <f>IF('Club Championship'!$F121="","","Club Championship")</f>
        <v/>
      </c>
      <c r="C117" s="18">
        <f>IF('Club Championship'!$F121="","",'Club Championship'!$B$3)</f>
        <v/>
      </c>
      <c r="F117">
        <f>IF('Club Championship'!$F121="","",'Club Championship'!$A121&amp;"")</f>
        <v/>
      </c>
      <c r="J117">
        <f>IF('Club Championship'!$F121="","",'Club Championship'!$D121)</f>
        <v/>
      </c>
      <c r="K117">
        <f>IF('Club Championship'!$F121="","",COUNTIF('Club Championship'!$B$6:$B$155,'Club Championship'!$B121))</f>
        <v/>
      </c>
      <c r="L117">
        <f>IF('Club Championship'!$F121="","",'Club Championship'!$C121&amp;"")</f>
        <v/>
      </c>
      <c r="M117">
        <f>IF('Club Championship'!$F121="","",'Club Championship'!$E121)</f>
        <v/>
      </c>
      <c r="N117">
        <f>IF('Club Championship'!$F121="","",'Club Championship'!$F121)</f>
        <v/>
      </c>
      <c r="O117">
        <f>IF('Club Championship'!$F121="","",'Club Championship'!$F121)</f>
        <v/>
      </c>
      <c r="P117">
        <f>IF('Club Championship'!$F121="","",'Club Championship'!$G121)</f>
        <v/>
      </c>
    </row>
    <row r="118">
      <c r="A118">
        <f>IF('Club Championship'!$F122="","","Club Championship")</f>
        <v/>
      </c>
      <c r="B118">
        <f>IF('Club Championship'!$F122="","","Club Championship")</f>
        <v/>
      </c>
      <c r="C118" s="18">
        <f>IF('Club Championship'!$F122="","",'Club Championship'!$B$3)</f>
        <v/>
      </c>
      <c r="F118">
        <f>IF('Club Championship'!$F122="","",'Club Championship'!$A122&amp;"")</f>
        <v/>
      </c>
      <c r="J118">
        <f>IF('Club Championship'!$F122="","",'Club Championship'!$D122)</f>
        <v/>
      </c>
      <c r="K118">
        <f>IF('Club Championship'!$F122="","",COUNTIF('Club Championship'!$B$6:$B$155,'Club Championship'!$B122))</f>
        <v/>
      </c>
      <c r="L118">
        <f>IF('Club Championship'!$F122="","",'Club Championship'!$C122&amp;"")</f>
        <v/>
      </c>
      <c r="M118">
        <f>IF('Club Championship'!$F122="","",'Club Championship'!$E122)</f>
        <v/>
      </c>
      <c r="N118">
        <f>IF('Club Championship'!$F122="","",'Club Championship'!$F122)</f>
        <v/>
      </c>
      <c r="O118">
        <f>IF('Club Championship'!$F122="","",'Club Championship'!$F122)</f>
        <v/>
      </c>
      <c r="P118">
        <f>IF('Club Championship'!$F122="","",'Club Championship'!$G122)</f>
        <v/>
      </c>
    </row>
    <row r="119">
      <c r="A119">
        <f>IF('Club Championship'!$F123="","","Club Championship")</f>
        <v/>
      </c>
      <c r="B119">
        <f>IF('Club Championship'!$F123="","","Club Championship")</f>
        <v/>
      </c>
      <c r="C119" s="18">
        <f>IF('Club Championship'!$F123="","",'Club Championship'!$B$3)</f>
        <v/>
      </c>
      <c r="F119">
        <f>IF('Club Championship'!$F123="","",'Club Championship'!$A123&amp;"")</f>
        <v/>
      </c>
      <c r="J119">
        <f>IF('Club Championship'!$F123="","",'Club Championship'!$D123)</f>
        <v/>
      </c>
      <c r="K119">
        <f>IF('Club Championship'!$F123="","",COUNTIF('Club Championship'!$B$6:$B$155,'Club Championship'!$B123))</f>
        <v/>
      </c>
      <c r="L119">
        <f>IF('Club Championship'!$F123="","",'Club Championship'!$C123&amp;"")</f>
        <v/>
      </c>
      <c r="M119">
        <f>IF('Club Championship'!$F123="","",'Club Championship'!$E123)</f>
        <v/>
      </c>
      <c r="N119">
        <f>IF('Club Championship'!$F123="","",'Club Championship'!$F123)</f>
        <v/>
      </c>
      <c r="O119">
        <f>IF('Club Championship'!$F123="","",'Club Championship'!$F123)</f>
        <v/>
      </c>
      <c r="P119">
        <f>IF('Club Championship'!$F123="","",'Club Championship'!$G123)</f>
        <v/>
      </c>
    </row>
    <row r="120">
      <c r="A120">
        <f>IF('Club Championship'!$F124="","","Club Championship")</f>
        <v/>
      </c>
      <c r="B120">
        <f>IF('Club Championship'!$F124="","","Club Championship")</f>
        <v/>
      </c>
      <c r="C120" s="18">
        <f>IF('Club Championship'!$F124="","",'Club Championship'!$B$3)</f>
        <v/>
      </c>
      <c r="F120">
        <f>IF('Club Championship'!$F124="","",'Club Championship'!$A124&amp;"")</f>
        <v/>
      </c>
      <c r="J120">
        <f>IF('Club Championship'!$F124="","",'Club Championship'!$D124)</f>
        <v/>
      </c>
      <c r="K120">
        <f>IF('Club Championship'!$F124="","",COUNTIF('Club Championship'!$B$6:$B$155,'Club Championship'!$B124))</f>
        <v/>
      </c>
      <c r="L120">
        <f>IF('Club Championship'!$F124="","",'Club Championship'!$C124&amp;"")</f>
        <v/>
      </c>
      <c r="M120">
        <f>IF('Club Championship'!$F124="","",'Club Championship'!$E124)</f>
        <v/>
      </c>
      <c r="N120">
        <f>IF('Club Championship'!$F124="","",'Club Championship'!$F124)</f>
        <v/>
      </c>
      <c r="O120">
        <f>IF('Club Championship'!$F124="","",'Club Championship'!$F124)</f>
        <v/>
      </c>
      <c r="P120">
        <f>IF('Club Championship'!$F124="","",'Club Championship'!$G124)</f>
        <v/>
      </c>
    </row>
    <row r="121">
      <c r="A121">
        <f>IF('Club Championship'!$F125="","","Club Championship")</f>
        <v/>
      </c>
      <c r="B121">
        <f>IF('Club Championship'!$F125="","","Club Championship")</f>
        <v/>
      </c>
      <c r="C121" s="18">
        <f>IF('Club Championship'!$F125="","",'Club Championship'!$B$3)</f>
        <v/>
      </c>
      <c r="F121">
        <f>IF('Club Championship'!$F125="","",'Club Championship'!$A125&amp;"")</f>
        <v/>
      </c>
      <c r="J121">
        <f>IF('Club Championship'!$F125="","",'Club Championship'!$D125)</f>
        <v/>
      </c>
      <c r="K121">
        <f>IF('Club Championship'!$F125="","",COUNTIF('Club Championship'!$B$6:$B$155,'Club Championship'!$B125))</f>
        <v/>
      </c>
      <c r="L121">
        <f>IF('Club Championship'!$F125="","",'Club Championship'!$C125&amp;"")</f>
        <v/>
      </c>
      <c r="M121">
        <f>IF('Club Championship'!$F125="","",'Club Championship'!$E125)</f>
        <v/>
      </c>
      <c r="N121">
        <f>IF('Club Championship'!$F125="","",'Club Championship'!$F125)</f>
        <v/>
      </c>
      <c r="O121">
        <f>IF('Club Championship'!$F125="","",'Club Championship'!$F125)</f>
        <v/>
      </c>
      <c r="P121">
        <f>IF('Club Championship'!$F125="","",'Club Championship'!$G125)</f>
        <v/>
      </c>
    </row>
    <row r="122">
      <c r="A122">
        <f>IF('Club Championship'!$F126="","","Club Championship")</f>
        <v/>
      </c>
      <c r="B122">
        <f>IF('Club Championship'!$F126="","","Club Championship")</f>
        <v/>
      </c>
      <c r="C122" s="18">
        <f>IF('Club Championship'!$F126="","",'Club Championship'!$B$3)</f>
        <v/>
      </c>
      <c r="F122">
        <f>IF('Club Championship'!$F126="","",'Club Championship'!$A126&amp;"")</f>
        <v/>
      </c>
      <c r="J122">
        <f>IF('Club Championship'!$F126="","",'Club Championship'!$D126)</f>
        <v/>
      </c>
      <c r="K122">
        <f>IF('Club Championship'!$F126="","",COUNTIF('Club Championship'!$B$6:$B$155,'Club Championship'!$B126))</f>
        <v/>
      </c>
      <c r="L122">
        <f>IF('Club Championship'!$F126="","",'Club Championship'!$C126&amp;"")</f>
        <v/>
      </c>
      <c r="M122">
        <f>IF('Club Championship'!$F126="","",'Club Championship'!$E126)</f>
        <v/>
      </c>
      <c r="N122">
        <f>IF('Club Championship'!$F126="","",'Club Championship'!$F126)</f>
        <v/>
      </c>
      <c r="O122">
        <f>IF('Club Championship'!$F126="","",'Club Championship'!$F126)</f>
        <v/>
      </c>
      <c r="P122">
        <f>IF('Club Championship'!$F126="","",'Club Championship'!$G126)</f>
        <v/>
      </c>
    </row>
    <row r="123">
      <c r="A123">
        <f>IF('Club Championship'!$F127="","","Club Championship")</f>
        <v/>
      </c>
      <c r="B123">
        <f>IF('Club Championship'!$F127="","","Club Championship")</f>
        <v/>
      </c>
      <c r="C123" s="18">
        <f>IF('Club Championship'!$F127="","",'Club Championship'!$B$3)</f>
        <v/>
      </c>
      <c r="F123">
        <f>IF('Club Championship'!$F127="","",'Club Championship'!$A127&amp;"")</f>
        <v/>
      </c>
      <c r="J123">
        <f>IF('Club Championship'!$F127="","",'Club Championship'!$D127)</f>
        <v/>
      </c>
      <c r="K123">
        <f>IF('Club Championship'!$F127="","",COUNTIF('Club Championship'!$B$6:$B$155,'Club Championship'!$B127))</f>
        <v/>
      </c>
      <c r="L123">
        <f>IF('Club Championship'!$F127="","",'Club Championship'!$C127&amp;"")</f>
        <v/>
      </c>
      <c r="M123">
        <f>IF('Club Championship'!$F127="","",'Club Championship'!$E127)</f>
        <v/>
      </c>
      <c r="N123">
        <f>IF('Club Championship'!$F127="","",'Club Championship'!$F127)</f>
        <v/>
      </c>
      <c r="O123">
        <f>IF('Club Championship'!$F127="","",'Club Championship'!$F127)</f>
        <v/>
      </c>
      <c r="P123">
        <f>IF('Club Championship'!$F127="","",'Club Championship'!$G127)</f>
        <v/>
      </c>
    </row>
    <row r="124">
      <c r="A124">
        <f>IF('Club Championship'!$F128="","","Club Championship")</f>
        <v/>
      </c>
      <c r="B124">
        <f>IF('Club Championship'!$F128="","","Club Championship")</f>
        <v/>
      </c>
      <c r="C124" s="18">
        <f>IF('Club Championship'!$F128="","",'Club Championship'!$B$3)</f>
        <v/>
      </c>
      <c r="F124">
        <f>IF('Club Championship'!$F128="","",'Club Championship'!$A128&amp;"")</f>
        <v/>
      </c>
      <c r="J124">
        <f>IF('Club Championship'!$F128="","",'Club Championship'!$D128)</f>
        <v/>
      </c>
      <c r="K124">
        <f>IF('Club Championship'!$F128="","",COUNTIF('Club Championship'!$B$6:$B$155,'Club Championship'!$B128))</f>
        <v/>
      </c>
      <c r="L124">
        <f>IF('Club Championship'!$F128="","",'Club Championship'!$C128&amp;"")</f>
        <v/>
      </c>
      <c r="M124">
        <f>IF('Club Championship'!$F128="","",'Club Championship'!$E128)</f>
        <v/>
      </c>
      <c r="N124">
        <f>IF('Club Championship'!$F128="","",'Club Championship'!$F128)</f>
        <v/>
      </c>
      <c r="O124">
        <f>IF('Club Championship'!$F128="","",'Club Championship'!$F128)</f>
        <v/>
      </c>
      <c r="P124">
        <f>IF('Club Championship'!$F128="","",'Club Championship'!$G128)</f>
        <v/>
      </c>
    </row>
    <row r="125">
      <c r="A125">
        <f>IF('Club Championship'!$F129="","","Club Championship")</f>
        <v/>
      </c>
      <c r="B125">
        <f>IF('Club Championship'!$F129="","","Club Championship")</f>
        <v/>
      </c>
      <c r="C125" s="18">
        <f>IF('Club Championship'!$F129="","",'Club Championship'!$B$3)</f>
        <v/>
      </c>
      <c r="F125">
        <f>IF('Club Championship'!$F129="","",'Club Championship'!$A129&amp;"")</f>
        <v/>
      </c>
      <c r="J125">
        <f>IF('Club Championship'!$F129="","",'Club Championship'!$D129)</f>
        <v/>
      </c>
      <c r="K125">
        <f>IF('Club Championship'!$F129="","",COUNTIF('Club Championship'!$B$6:$B$155,'Club Championship'!$B129))</f>
        <v/>
      </c>
      <c r="L125">
        <f>IF('Club Championship'!$F129="","",'Club Championship'!$C129&amp;"")</f>
        <v/>
      </c>
      <c r="M125">
        <f>IF('Club Championship'!$F129="","",'Club Championship'!$E129)</f>
        <v/>
      </c>
      <c r="N125">
        <f>IF('Club Championship'!$F129="","",'Club Championship'!$F129)</f>
        <v/>
      </c>
      <c r="O125">
        <f>IF('Club Championship'!$F129="","",'Club Championship'!$F129)</f>
        <v/>
      </c>
      <c r="P125">
        <f>IF('Club Championship'!$F129="","",'Club Championship'!$G129)</f>
        <v/>
      </c>
    </row>
    <row r="126">
      <c r="A126">
        <f>IF('Club Championship'!$F130="","","Club Championship")</f>
        <v/>
      </c>
      <c r="B126">
        <f>IF('Club Championship'!$F130="","","Club Championship")</f>
        <v/>
      </c>
      <c r="C126" s="18">
        <f>IF('Club Championship'!$F130="","",'Club Championship'!$B$3)</f>
        <v/>
      </c>
      <c r="F126">
        <f>IF('Club Championship'!$F130="","",'Club Championship'!$A130&amp;"")</f>
        <v/>
      </c>
      <c r="J126">
        <f>IF('Club Championship'!$F130="","",'Club Championship'!$D130)</f>
        <v/>
      </c>
      <c r="K126">
        <f>IF('Club Championship'!$F130="","",COUNTIF('Club Championship'!$B$6:$B$155,'Club Championship'!$B130))</f>
        <v/>
      </c>
      <c r="L126">
        <f>IF('Club Championship'!$F130="","",'Club Championship'!$C130&amp;"")</f>
        <v/>
      </c>
      <c r="M126">
        <f>IF('Club Championship'!$F130="","",'Club Championship'!$E130)</f>
        <v/>
      </c>
      <c r="N126">
        <f>IF('Club Championship'!$F130="","",'Club Championship'!$F130)</f>
        <v/>
      </c>
      <c r="O126">
        <f>IF('Club Championship'!$F130="","",'Club Championship'!$F130)</f>
        <v/>
      </c>
      <c r="P126">
        <f>IF('Club Championship'!$F130="","",'Club Championship'!$G130)</f>
        <v/>
      </c>
    </row>
    <row r="127">
      <c r="A127">
        <f>IF('Club Championship'!$F131="","","Club Championship")</f>
        <v/>
      </c>
      <c r="B127">
        <f>IF('Club Championship'!$F131="","","Club Championship")</f>
        <v/>
      </c>
      <c r="C127" s="18">
        <f>IF('Club Championship'!$F131="","",'Club Championship'!$B$3)</f>
        <v/>
      </c>
      <c r="F127">
        <f>IF('Club Championship'!$F131="","",'Club Championship'!$A131&amp;"")</f>
        <v/>
      </c>
      <c r="J127">
        <f>IF('Club Championship'!$F131="","",'Club Championship'!$D131)</f>
        <v/>
      </c>
      <c r="K127">
        <f>IF('Club Championship'!$F131="","",COUNTIF('Club Championship'!$B$6:$B$155,'Club Championship'!$B131))</f>
        <v/>
      </c>
      <c r="L127">
        <f>IF('Club Championship'!$F131="","",'Club Championship'!$C131&amp;"")</f>
        <v/>
      </c>
      <c r="M127">
        <f>IF('Club Championship'!$F131="","",'Club Championship'!$E131)</f>
        <v/>
      </c>
      <c r="N127">
        <f>IF('Club Championship'!$F131="","",'Club Championship'!$F131)</f>
        <v/>
      </c>
      <c r="O127">
        <f>IF('Club Championship'!$F131="","",'Club Championship'!$F131)</f>
        <v/>
      </c>
      <c r="P127">
        <f>IF('Club Championship'!$F131="","",'Club Championship'!$G131)</f>
        <v/>
      </c>
    </row>
    <row r="128">
      <c r="A128">
        <f>IF('Club Championship'!$F132="","","Club Championship")</f>
        <v/>
      </c>
      <c r="B128">
        <f>IF('Club Championship'!$F132="","","Club Championship")</f>
        <v/>
      </c>
      <c r="C128" s="18">
        <f>IF('Club Championship'!$F132="","",'Club Championship'!$B$3)</f>
        <v/>
      </c>
      <c r="F128">
        <f>IF('Club Championship'!$F132="","",'Club Championship'!$A132&amp;"")</f>
        <v/>
      </c>
      <c r="J128">
        <f>IF('Club Championship'!$F132="","",'Club Championship'!$D132)</f>
        <v/>
      </c>
      <c r="K128">
        <f>IF('Club Championship'!$F132="","",COUNTIF('Club Championship'!$B$6:$B$155,'Club Championship'!$B132))</f>
        <v/>
      </c>
      <c r="L128">
        <f>IF('Club Championship'!$F132="","",'Club Championship'!$C132&amp;"")</f>
        <v/>
      </c>
      <c r="M128">
        <f>IF('Club Championship'!$F132="","",'Club Championship'!$E132)</f>
        <v/>
      </c>
      <c r="N128">
        <f>IF('Club Championship'!$F132="","",'Club Championship'!$F132)</f>
        <v/>
      </c>
      <c r="O128">
        <f>IF('Club Championship'!$F132="","",'Club Championship'!$F132)</f>
        <v/>
      </c>
      <c r="P128">
        <f>IF('Club Championship'!$F132="","",'Club Championship'!$G132)</f>
        <v/>
      </c>
    </row>
    <row r="129">
      <c r="A129">
        <f>IF('Club Championship'!$F133="","","Club Championship")</f>
        <v/>
      </c>
      <c r="B129">
        <f>IF('Club Championship'!$F133="","","Club Championship")</f>
        <v/>
      </c>
      <c r="C129" s="18">
        <f>IF('Club Championship'!$F133="","",'Club Championship'!$B$3)</f>
        <v/>
      </c>
      <c r="F129">
        <f>IF('Club Championship'!$F133="","",'Club Championship'!$A133&amp;"")</f>
        <v/>
      </c>
      <c r="J129">
        <f>IF('Club Championship'!$F133="","",'Club Championship'!$D133)</f>
        <v/>
      </c>
      <c r="K129">
        <f>IF('Club Championship'!$F133="","",COUNTIF('Club Championship'!$B$6:$B$155,'Club Championship'!$B133))</f>
        <v/>
      </c>
      <c r="L129">
        <f>IF('Club Championship'!$F133="","",'Club Championship'!$C133&amp;"")</f>
        <v/>
      </c>
      <c r="M129">
        <f>IF('Club Championship'!$F133="","",'Club Championship'!$E133)</f>
        <v/>
      </c>
      <c r="N129">
        <f>IF('Club Championship'!$F133="","",'Club Championship'!$F133)</f>
        <v/>
      </c>
      <c r="O129">
        <f>IF('Club Championship'!$F133="","",'Club Championship'!$F133)</f>
        <v/>
      </c>
      <c r="P129">
        <f>IF('Club Championship'!$F133="","",'Club Championship'!$G133)</f>
        <v/>
      </c>
    </row>
    <row r="130">
      <c r="A130">
        <f>IF('Club Championship'!$F134="","","Club Championship")</f>
        <v/>
      </c>
      <c r="B130">
        <f>IF('Club Championship'!$F134="","","Club Championship")</f>
        <v/>
      </c>
      <c r="C130" s="18">
        <f>IF('Club Championship'!$F134="","",'Club Championship'!$B$3)</f>
        <v/>
      </c>
      <c r="F130">
        <f>IF('Club Championship'!$F134="","",'Club Championship'!$A134&amp;"")</f>
        <v/>
      </c>
      <c r="J130">
        <f>IF('Club Championship'!$F134="","",'Club Championship'!$D134)</f>
        <v/>
      </c>
      <c r="K130">
        <f>IF('Club Championship'!$F134="","",COUNTIF('Club Championship'!$B$6:$B$155,'Club Championship'!$B134))</f>
        <v/>
      </c>
      <c r="L130">
        <f>IF('Club Championship'!$F134="","",'Club Championship'!$C134&amp;"")</f>
        <v/>
      </c>
      <c r="M130">
        <f>IF('Club Championship'!$F134="","",'Club Championship'!$E134)</f>
        <v/>
      </c>
      <c r="N130">
        <f>IF('Club Championship'!$F134="","",'Club Championship'!$F134)</f>
        <v/>
      </c>
      <c r="O130">
        <f>IF('Club Championship'!$F134="","",'Club Championship'!$F134)</f>
        <v/>
      </c>
      <c r="P130">
        <f>IF('Club Championship'!$F134="","",'Club Championship'!$G134)</f>
        <v/>
      </c>
    </row>
    <row r="131">
      <c r="A131">
        <f>IF('Club Championship'!$F135="","","Club Championship")</f>
        <v/>
      </c>
      <c r="B131">
        <f>IF('Club Championship'!$F135="","","Club Championship")</f>
        <v/>
      </c>
      <c r="C131" s="18">
        <f>IF('Club Championship'!$F135="","",'Club Championship'!$B$3)</f>
        <v/>
      </c>
      <c r="F131">
        <f>IF('Club Championship'!$F135="","",'Club Championship'!$A135&amp;"")</f>
        <v/>
      </c>
      <c r="J131">
        <f>IF('Club Championship'!$F135="","",'Club Championship'!$D135)</f>
        <v/>
      </c>
      <c r="K131">
        <f>IF('Club Championship'!$F135="","",COUNTIF('Club Championship'!$B$6:$B$155,'Club Championship'!$B135))</f>
        <v/>
      </c>
      <c r="L131">
        <f>IF('Club Championship'!$F135="","",'Club Championship'!$C135&amp;"")</f>
        <v/>
      </c>
      <c r="M131">
        <f>IF('Club Championship'!$F135="","",'Club Championship'!$E135)</f>
        <v/>
      </c>
      <c r="N131">
        <f>IF('Club Championship'!$F135="","",'Club Championship'!$F135)</f>
        <v/>
      </c>
      <c r="O131">
        <f>IF('Club Championship'!$F135="","",'Club Championship'!$F135)</f>
        <v/>
      </c>
      <c r="P131">
        <f>IF('Club Championship'!$F135="","",'Club Championship'!$G135)</f>
        <v/>
      </c>
    </row>
    <row r="132">
      <c r="A132">
        <f>IF('Club Championship'!$F136="","","Club Championship")</f>
        <v/>
      </c>
      <c r="B132">
        <f>IF('Club Championship'!$F136="","","Club Championship")</f>
        <v/>
      </c>
      <c r="C132" s="18">
        <f>IF('Club Championship'!$F136="","",'Club Championship'!$B$3)</f>
        <v/>
      </c>
      <c r="F132">
        <f>IF('Club Championship'!$F136="","",'Club Championship'!$A136&amp;"")</f>
        <v/>
      </c>
      <c r="J132">
        <f>IF('Club Championship'!$F136="","",'Club Championship'!$D136)</f>
        <v/>
      </c>
      <c r="K132">
        <f>IF('Club Championship'!$F136="","",COUNTIF('Club Championship'!$B$6:$B$155,'Club Championship'!$B136))</f>
        <v/>
      </c>
      <c r="L132">
        <f>IF('Club Championship'!$F136="","",'Club Championship'!$C136&amp;"")</f>
        <v/>
      </c>
      <c r="M132">
        <f>IF('Club Championship'!$F136="","",'Club Championship'!$E136)</f>
        <v/>
      </c>
      <c r="N132">
        <f>IF('Club Championship'!$F136="","",'Club Championship'!$F136)</f>
        <v/>
      </c>
      <c r="O132">
        <f>IF('Club Championship'!$F136="","",'Club Championship'!$F136)</f>
        <v/>
      </c>
      <c r="P132">
        <f>IF('Club Championship'!$F136="","",'Club Championship'!$G136)</f>
        <v/>
      </c>
    </row>
    <row r="133">
      <c r="A133">
        <f>IF('Club Championship'!$F137="","","Club Championship")</f>
        <v/>
      </c>
      <c r="B133">
        <f>IF('Club Championship'!$F137="","","Club Championship")</f>
        <v/>
      </c>
      <c r="C133" s="18">
        <f>IF('Club Championship'!$F137="","",'Club Championship'!$B$3)</f>
        <v/>
      </c>
      <c r="F133">
        <f>IF('Club Championship'!$F137="","",'Club Championship'!$A137&amp;"")</f>
        <v/>
      </c>
      <c r="J133">
        <f>IF('Club Championship'!$F137="","",'Club Championship'!$D137)</f>
        <v/>
      </c>
      <c r="K133">
        <f>IF('Club Championship'!$F137="","",COUNTIF('Club Championship'!$B$6:$B$155,'Club Championship'!$B137))</f>
        <v/>
      </c>
      <c r="L133">
        <f>IF('Club Championship'!$F137="","",'Club Championship'!$C137&amp;"")</f>
        <v/>
      </c>
      <c r="M133">
        <f>IF('Club Championship'!$F137="","",'Club Championship'!$E137)</f>
        <v/>
      </c>
      <c r="N133">
        <f>IF('Club Championship'!$F137="","",'Club Championship'!$F137)</f>
        <v/>
      </c>
      <c r="O133">
        <f>IF('Club Championship'!$F137="","",'Club Championship'!$F137)</f>
        <v/>
      </c>
      <c r="P133">
        <f>IF('Club Championship'!$F137="","",'Club Championship'!$G137)</f>
        <v/>
      </c>
    </row>
    <row r="134">
      <c r="A134">
        <f>IF('Club Championship'!$F138="","","Club Championship")</f>
        <v/>
      </c>
      <c r="B134">
        <f>IF('Club Championship'!$F138="","","Club Championship")</f>
        <v/>
      </c>
      <c r="C134" s="18">
        <f>IF('Club Championship'!$F138="","",'Club Championship'!$B$3)</f>
        <v/>
      </c>
      <c r="F134">
        <f>IF('Club Championship'!$F138="","",'Club Championship'!$A138&amp;"")</f>
        <v/>
      </c>
      <c r="J134">
        <f>IF('Club Championship'!$F138="","",'Club Championship'!$D138)</f>
        <v/>
      </c>
      <c r="K134">
        <f>IF('Club Championship'!$F138="","",COUNTIF('Club Championship'!$B$6:$B$155,'Club Championship'!$B138))</f>
        <v/>
      </c>
      <c r="L134">
        <f>IF('Club Championship'!$F138="","",'Club Championship'!$C138&amp;"")</f>
        <v/>
      </c>
      <c r="M134">
        <f>IF('Club Championship'!$F138="","",'Club Championship'!$E138)</f>
        <v/>
      </c>
      <c r="N134">
        <f>IF('Club Championship'!$F138="","",'Club Championship'!$F138)</f>
        <v/>
      </c>
      <c r="O134">
        <f>IF('Club Championship'!$F138="","",'Club Championship'!$F138)</f>
        <v/>
      </c>
      <c r="P134">
        <f>IF('Club Championship'!$F138="","",'Club Championship'!$G138)</f>
        <v/>
      </c>
    </row>
    <row r="135">
      <c r="A135">
        <f>IF('Club Championship'!$F139="","","Club Championship")</f>
        <v/>
      </c>
      <c r="B135">
        <f>IF('Club Championship'!$F139="","","Club Championship")</f>
        <v/>
      </c>
      <c r="C135" s="18">
        <f>IF('Club Championship'!$F139="","",'Club Championship'!$B$3)</f>
        <v/>
      </c>
      <c r="F135">
        <f>IF('Club Championship'!$F139="","",'Club Championship'!$A139&amp;"")</f>
        <v/>
      </c>
      <c r="J135">
        <f>IF('Club Championship'!$F139="","",'Club Championship'!$D139)</f>
        <v/>
      </c>
      <c r="K135">
        <f>IF('Club Championship'!$F139="","",COUNTIF('Club Championship'!$B$6:$B$155,'Club Championship'!$B139))</f>
        <v/>
      </c>
      <c r="L135">
        <f>IF('Club Championship'!$F139="","",'Club Championship'!$C139&amp;"")</f>
        <v/>
      </c>
      <c r="M135">
        <f>IF('Club Championship'!$F139="","",'Club Championship'!$E139)</f>
        <v/>
      </c>
      <c r="N135">
        <f>IF('Club Championship'!$F139="","",'Club Championship'!$F139)</f>
        <v/>
      </c>
      <c r="O135">
        <f>IF('Club Championship'!$F139="","",'Club Championship'!$F139)</f>
        <v/>
      </c>
      <c r="P135">
        <f>IF('Club Championship'!$F139="","",'Club Championship'!$G139)</f>
        <v/>
      </c>
    </row>
    <row r="136">
      <c r="A136">
        <f>IF('Club Championship'!$F140="","","Club Championship")</f>
        <v/>
      </c>
      <c r="B136">
        <f>IF('Club Championship'!$F140="","","Club Championship")</f>
        <v/>
      </c>
      <c r="C136" s="18">
        <f>IF('Club Championship'!$F140="","",'Club Championship'!$B$3)</f>
        <v/>
      </c>
      <c r="F136">
        <f>IF('Club Championship'!$F140="","",'Club Championship'!$A140&amp;"")</f>
        <v/>
      </c>
      <c r="J136">
        <f>IF('Club Championship'!$F140="","",'Club Championship'!$D140)</f>
        <v/>
      </c>
      <c r="K136">
        <f>IF('Club Championship'!$F140="","",COUNTIF('Club Championship'!$B$6:$B$155,'Club Championship'!$B140))</f>
        <v/>
      </c>
      <c r="L136">
        <f>IF('Club Championship'!$F140="","",'Club Championship'!$C140&amp;"")</f>
        <v/>
      </c>
      <c r="M136">
        <f>IF('Club Championship'!$F140="","",'Club Championship'!$E140)</f>
        <v/>
      </c>
      <c r="N136">
        <f>IF('Club Championship'!$F140="","",'Club Championship'!$F140)</f>
        <v/>
      </c>
      <c r="O136">
        <f>IF('Club Championship'!$F140="","",'Club Championship'!$F140)</f>
        <v/>
      </c>
      <c r="P136">
        <f>IF('Club Championship'!$F140="","",'Club Championship'!$G140)</f>
        <v/>
      </c>
    </row>
    <row r="137">
      <c r="A137">
        <f>IF('Club Championship'!$F141="","","Club Championship")</f>
        <v/>
      </c>
      <c r="B137">
        <f>IF('Club Championship'!$F141="","","Club Championship")</f>
        <v/>
      </c>
      <c r="C137" s="18">
        <f>IF('Club Championship'!$F141="","",'Club Championship'!$B$3)</f>
        <v/>
      </c>
      <c r="F137">
        <f>IF('Club Championship'!$F141="","",'Club Championship'!$A141&amp;"")</f>
        <v/>
      </c>
      <c r="J137">
        <f>IF('Club Championship'!$F141="","",'Club Championship'!$D141)</f>
        <v/>
      </c>
      <c r="K137">
        <f>IF('Club Championship'!$F141="","",COUNTIF('Club Championship'!$B$6:$B$155,'Club Championship'!$B141))</f>
        <v/>
      </c>
      <c r="L137">
        <f>IF('Club Championship'!$F141="","",'Club Championship'!$C141&amp;"")</f>
        <v/>
      </c>
      <c r="M137">
        <f>IF('Club Championship'!$F141="","",'Club Championship'!$E141)</f>
        <v/>
      </c>
      <c r="N137">
        <f>IF('Club Championship'!$F141="","",'Club Championship'!$F141)</f>
        <v/>
      </c>
      <c r="O137">
        <f>IF('Club Championship'!$F141="","",'Club Championship'!$F141)</f>
        <v/>
      </c>
      <c r="P137">
        <f>IF('Club Championship'!$F141="","",'Club Championship'!$G141)</f>
        <v/>
      </c>
    </row>
    <row r="138">
      <c r="A138">
        <f>IF('Club Championship'!$F142="","","Club Championship")</f>
        <v/>
      </c>
      <c r="B138">
        <f>IF('Club Championship'!$F142="","","Club Championship")</f>
        <v/>
      </c>
      <c r="C138" s="18">
        <f>IF('Club Championship'!$F142="","",'Club Championship'!$B$3)</f>
        <v/>
      </c>
      <c r="F138">
        <f>IF('Club Championship'!$F142="","",'Club Championship'!$A142&amp;"")</f>
        <v/>
      </c>
      <c r="J138">
        <f>IF('Club Championship'!$F142="","",'Club Championship'!$D142)</f>
        <v/>
      </c>
      <c r="K138">
        <f>IF('Club Championship'!$F142="","",COUNTIF('Club Championship'!$B$6:$B$155,'Club Championship'!$B142))</f>
        <v/>
      </c>
      <c r="L138">
        <f>IF('Club Championship'!$F142="","",'Club Championship'!$C142&amp;"")</f>
        <v/>
      </c>
      <c r="M138">
        <f>IF('Club Championship'!$F142="","",'Club Championship'!$E142)</f>
        <v/>
      </c>
      <c r="N138">
        <f>IF('Club Championship'!$F142="","",'Club Championship'!$F142)</f>
        <v/>
      </c>
      <c r="O138">
        <f>IF('Club Championship'!$F142="","",'Club Championship'!$F142)</f>
        <v/>
      </c>
      <c r="P138">
        <f>IF('Club Championship'!$F142="","",'Club Championship'!$G142)</f>
        <v/>
      </c>
    </row>
    <row r="139">
      <c r="A139">
        <f>IF('Club Championship'!$F143="","","Club Championship")</f>
        <v/>
      </c>
      <c r="B139">
        <f>IF('Club Championship'!$F143="","","Club Championship")</f>
        <v/>
      </c>
      <c r="C139" s="18">
        <f>IF('Club Championship'!$F143="","",'Club Championship'!$B$3)</f>
        <v/>
      </c>
      <c r="F139">
        <f>IF('Club Championship'!$F143="","",'Club Championship'!$A143&amp;"")</f>
        <v/>
      </c>
      <c r="J139">
        <f>IF('Club Championship'!$F143="","",'Club Championship'!$D143)</f>
        <v/>
      </c>
      <c r="K139">
        <f>IF('Club Championship'!$F143="","",COUNTIF('Club Championship'!$B$6:$B$155,'Club Championship'!$B143))</f>
        <v/>
      </c>
      <c r="L139">
        <f>IF('Club Championship'!$F143="","",'Club Championship'!$C143&amp;"")</f>
        <v/>
      </c>
      <c r="M139">
        <f>IF('Club Championship'!$F143="","",'Club Championship'!$E143)</f>
        <v/>
      </c>
      <c r="N139">
        <f>IF('Club Championship'!$F143="","",'Club Championship'!$F143)</f>
        <v/>
      </c>
      <c r="O139">
        <f>IF('Club Championship'!$F143="","",'Club Championship'!$F143)</f>
        <v/>
      </c>
      <c r="P139">
        <f>IF('Club Championship'!$F143="","",'Club Championship'!$G143)</f>
        <v/>
      </c>
    </row>
    <row r="140">
      <c r="A140">
        <f>IF('Club Championship'!$F144="","","Club Championship")</f>
        <v/>
      </c>
      <c r="B140">
        <f>IF('Club Championship'!$F144="","","Club Championship")</f>
        <v/>
      </c>
      <c r="C140" s="18">
        <f>IF('Club Championship'!$F144="","",'Club Championship'!$B$3)</f>
        <v/>
      </c>
      <c r="F140">
        <f>IF('Club Championship'!$F144="","",'Club Championship'!$A144&amp;"")</f>
        <v/>
      </c>
      <c r="J140">
        <f>IF('Club Championship'!$F144="","",'Club Championship'!$D144)</f>
        <v/>
      </c>
      <c r="K140">
        <f>IF('Club Championship'!$F144="","",COUNTIF('Club Championship'!$B$6:$B$155,'Club Championship'!$B144))</f>
        <v/>
      </c>
      <c r="L140">
        <f>IF('Club Championship'!$F144="","",'Club Championship'!$C144&amp;"")</f>
        <v/>
      </c>
      <c r="M140">
        <f>IF('Club Championship'!$F144="","",'Club Championship'!$E144)</f>
        <v/>
      </c>
      <c r="N140">
        <f>IF('Club Championship'!$F144="","",'Club Championship'!$F144)</f>
        <v/>
      </c>
      <c r="O140">
        <f>IF('Club Championship'!$F144="","",'Club Championship'!$F144)</f>
        <v/>
      </c>
      <c r="P140">
        <f>IF('Club Championship'!$F144="","",'Club Championship'!$G144)</f>
        <v/>
      </c>
    </row>
    <row r="141">
      <c r="A141">
        <f>IF('Club Championship'!$F145="","","Club Championship")</f>
        <v/>
      </c>
      <c r="B141">
        <f>IF('Club Championship'!$F145="","","Club Championship")</f>
        <v/>
      </c>
      <c r="C141" s="18">
        <f>IF('Club Championship'!$F145="","",'Club Championship'!$B$3)</f>
        <v/>
      </c>
      <c r="F141">
        <f>IF('Club Championship'!$F145="","",'Club Championship'!$A145&amp;"")</f>
        <v/>
      </c>
      <c r="J141">
        <f>IF('Club Championship'!$F145="","",'Club Championship'!$D145)</f>
        <v/>
      </c>
      <c r="K141">
        <f>IF('Club Championship'!$F145="","",COUNTIF('Club Championship'!$B$6:$B$155,'Club Championship'!$B145))</f>
        <v/>
      </c>
      <c r="L141">
        <f>IF('Club Championship'!$F145="","",'Club Championship'!$C145&amp;"")</f>
        <v/>
      </c>
      <c r="M141">
        <f>IF('Club Championship'!$F145="","",'Club Championship'!$E145)</f>
        <v/>
      </c>
      <c r="N141">
        <f>IF('Club Championship'!$F145="","",'Club Championship'!$F145)</f>
        <v/>
      </c>
      <c r="O141">
        <f>IF('Club Championship'!$F145="","",'Club Championship'!$F145)</f>
        <v/>
      </c>
      <c r="P141">
        <f>IF('Club Championship'!$F145="","",'Club Championship'!$G145)</f>
        <v/>
      </c>
    </row>
    <row r="142">
      <c r="A142">
        <f>IF('Club Championship'!$F146="","","Club Championship")</f>
        <v/>
      </c>
      <c r="B142">
        <f>IF('Club Championship'!$F146="","","Club Championship")</f>
        <v/>
      </c>
      <c r="C142" s="18">
        <f>IF('Club Championship'!$F146="","",'Club Championship'!$B$3)</f>
        <v/>
      </c>
      <c r="F142">
        <f>IF('Club Championship'!$F146="","",'Club Championship'!$A146&amp;"")</f>
        <v/>
      </c>
      <c r="J142">
        <f>IF('Club Championship'!$F146="","",'Club Championship'!$D146)</f>
        <v/>
      </c>
      <c r="K142">
        <f>IF('Club Championship'!$F146="","",COUNTIF('Club Championship'!$B$6:$B$155,'Club Championship'!$B146))</f>
        <v/>
      </c>
      <c r="L142">
        <f>IF('Club Championship'!$F146="","",'Club Championship'!$C146&amp;"")</f>
        <v/>
      </c>
      <c r="M142">
        <f>IF('Club Championship'!$F146="","",'Club Championship'!$E146)</f>
        <v/>
      </c>
      <c r="N142">
        <f>IF('Club Championship'!$F146="","",'Club Championship'!$F146)</f>
        <v/>
      </c>
      <c r="O142">
        <f>IF('Club Championship'!$F146="","",'Club Championship'!$F146)</f>
        <v/>
      </c>
      <c r="P142">
        <f>IF('Club Championship'!$F146="","",'Club Championship'!$G146)</f>
        <v/>
      </c>
    </row>
    <row r="143">
      <c r="A143">
        <f>IF('Club Championship'!$F147="","","Club Championship")</f>
        <v/>
      </c>
      <c r="B143">
        <f>IF('Club Championship'!$F147="","","Club Championship")</f>
        <v/>
      </c>
      <c r="C143" s="18">
        <f>IF('Club Championship'!$F147="","",'Club Championship'!$B$3)</f>
        <v/>
      </c>
      <c r="F143">
        <f>IF('Club Championship'!$F147="","",'Club Championship'!$A147&amp;"")</f>
        <v/>
      </c>
      <c r="J143">
        <f>IF('Club Championship'!$F147="","",'Club Championship'!$D147)</f>
        <v/>
      </c>
      <c r="K143">
        <f>IF('Club Championship'!$F147="","",COUNTIF('Club Championship'!$B$6:$B$155,'Club Championship'!$B147))</f>
        <v/>
      </c>
      <c r="L143">
        <f>IF('Club Championship'!$F147="","",'Club Championship'!$C147&amp;"")</f>
        <v/>
      </c>
      <c r="M143">
        <f>IF('Club Championship'!$F147="","",'Club Championship'!$E147)</f>
        <v/>
      </c>
      <c r="N143">
        <f>IF('Club Championship'!$F147="","",'Club Championship'!$F147)</f>
        <v/>
      </c>
      <c r="O143">
        <f>IF('Club Championship'!$F147="","",'Club Championship'!$F147)</f>
        <v/>
      </c>
      <c r="P143">
        <f>IF('Club Championship'!$F147="","",'Club Championship'!$G147)</f>
        <v/>
      </c>
    </row>
    <row r="144">
      <c r="A144">
        <f>IF('Club Championship'!$F148="","","Club Championship")</f>
        <v/>
      </c>
      <c r="B144">
        <f>IF('Club Championship'!$F148="","","Club Championship")</f>
        <v/>
      </c>
      <c r="C144" s="18">
        <f>IF('Club Championship'!$F148="","",'Club Championship'!$B$3)</f>
        <v/>
      </c>
      <c r="F144">
        <f>IF('Club Championship'!$F148="","",'Club Championship'!$A148&amp;"")</f>
        <v/>
      </c>
      <c r="J144">
        <f>IF('Club Championship'!$F148="","",'Club Championship'!$D148)</f>
        <v/>
      </c>
      <c r="K144">
        <f>IF('Club Championship'!$F148="","",COUNTIF('Club Championship'!$B$6:$B$155,'Club Championship'!$B148))</f>
        <v/>
      </c>
      <c r="L144">
        <f>IF('Club Championship'!$F148="","",'Club Championship'!$C148&amp;"")</f>
        <v/>
      </c>
      <c r="M144">
        <f>IF('Club Championship'!$F148="","",'Club Championship'!$E148)</f>
        <v/>
      </c>
      <c r="N144">
        <f>IF('Club Championship'!$F148="","",'Club Championship'!$F148)</f>
        <v/>
      </c>
      <c r="O144">
        <f>IF('Club Championship'!$F148="","",'Club Championship'!$F148)</f>
        <v/>
      </c>
      <c r="P144">
        <f>IF('Club Championship'!$F148="","",'Club Championship'!$G148)</f>
        <v/>
      </c>
    </row>
    <row r="145">
      <c r="A145">
        <f>IF('Club Championship'!$F149="","","Club Championship")</f>
        <v/>
      </c>
      <c r="B145">
        <f>IF('Club Championship'!$F149="","","Club Championship")</f>
        <v/>
      </c>
      <c r="C145" s="18">
        <f>IF('Club Championship'!$F149="","",'Club Championship'!$B$3)</f>
        <v/>
      </c>
      <c r="F145">
        <f>IF('Club Championship'!$F149="","",'Club Championship'!$A149&amp;"")</f>
        <v/>
      </c>
      <c r="J145">
        <f>IF('Club Championship'!$F149="","",'Club Championship'!$D149)</f>
        <v/>
      </c>
      <c r="K145">
        <f>IF('Club Championship'!$F149="","",COUNTIF('Club Championship'!$B$6:$B$155,'Club Championship'!$B149))</f>
        <v/>
      </c>
      <c r="L145">
        <f>IF('Club Championship'!$F149="","",'Club Championship'!$C149&amp;"")</f>
        <v/>
      </c>
      <c r="M145">
        <f>IF('Club Championship'!$F149="","",'Club Championship'!$E149)</f>
        <v/>
      </c>
      <c r="N145">
        <f>IF('Club Championship'!$F149="","",'Club Championship'!$F149)</f>
        <v/>
      </c>
      <c r="O145">
        <f>IF('Club Championship'!$F149="","",'Club Championship'!$F149)</f>
        <v/>
      </c>
      <c r="P145">
        <f>IF('Club Championship'!$F149="","",'Club Championship'!$G149)</f>
        <v/>
      </c>
    </row>
    <row r="146">
      <c r="A146">
        <f>IF('Club Championship'!$F150="","","Club Championship")</f>
        <v/>
      </c>
      <c r="B146">
        <f>IF('Club Championship'!$F150="","","Club Championship")</f>
        <v/>
      </c>
      <c r="C146" s="18">
        <f>IF('Club Championship'!$F150="","",'Club Championship'!$B$3)</f>
        <v/>
      </c>
      <c r="F146">
        <f>IF('Club Championship'!$F150="","",'Club Championship'!$A150&amp;"")</f>
        <v/>
      </c>
      <c r="J146">
        <f>IF('Club Championship'!$F150="","",'Club Championship'!$D150)</f>
        <v/>
      </c>
      <c r="K146">
        <f>IF('Club Championship'!$F150="","",COUNTIF('Club Championship'!$B$6:$B$155,'Club Championship'!$B150))</f>
        <v/>
      </c>
      <c r="L146">
        <f>IF('Club Championship'!$F150="","",'Club Championship'!$C150&amp;"")</f>
        <v/>
      </c>
      <c r="M146">
        <f>IF('Club Championship'!$F150="","",'Club Championship'!$E150)</f>
        <v/>
      </c>
      <c r="N146">
        <f>IF('Club Championship'!$F150="","",'Club Championship'!$F150)</f>
        <v/>
      </c>
      <c r="O146">
        <f>IF('Club Championship'!$F150="","",'Club Championship'!$F150)</f>
        <v/>
      </c>
      <c r="P146">
        <f>IF('Club Championship'!$F150="","",'Club Championship'!$G150)</f>
        <v/>
      </c>
    </row>
    <row r="147">
      <c r="A147">
        <f>IF('Club Championship'!$F151="","","Club Championship")</f>
        <v/>
      </c>
      <c r="B147">
        <f>IF('Club Championship'!$F151="","","Club Championship")</f>
        <v/>
      </c>
      <c r="C147" s="18">
        <f>IF('Club Championship'!$F151="","",'Club Championship'!$B$3)</f>
        <v/>
      </c>
      <c r="F147">
        <f>IF('Club Championship'!$F151="","",'Club Championship'!$A151&amp;"")</f>
        <v/>
      </c>
      <c r="J147">
        <f>IF('Club Championship'!$F151="","",'Club Championship'!$D151)</f>
        <v/>
      </c>
      <c r="K147">
        <f>IF('Club Championship'!$F151="","",COUNTIF('Club Championship'!$B$6:$B$155,'Club Championship'!$B151))</f>
        <v/>
      </c>
      <c r="L147">
        <f>IF('Club Championship'!$F151="","",'Club Championship'!$C151&amp;"")</f>
        <v/>
      </c>
      <c r="M147">
        <f>IF('Club Championship'!$F151="","",'Club Championship'!$E151)</f>
        <v/>
      </c>
      <c r="N147">
        <f>IF('Club Championship'!$F151="","",'Club Championship'!$F151)</f>
        <v/>
      </c>
      <c r="O147">
        <f>IF('Club Championship'!$F151="","",'Club Championship'!$F151)</f>
        <v/>
      </c>
      <c r="P147">
        <f>IF('Club Championship'!$F151="","",'Club Championship'!$G151)</f>
        <v/>
      </c>
    </row>
    <row r="148">
      <c r="A148">
        <f>IF('Club Championship'!$F152="","","Club Championship")</f>
        <v/>
      </c>
      <c r="B148">
        <f>IF('Club Championship'!$F152="","","Club Championship")</f>
        <v/>
      </c>
      <c r="C148" s="18">
        <f>IF('Club Championship'!$F152="","",'Club Championship'!$B$3)</f>
        <v/>
      </c>
      <c r="F148">
        <f>IF('Club Championship'!$F152="","",'Club Championship'!$A152&amp;"")</f>
        <v/>
      </c>
      <c r="J148">
        <f>IF('Club Championship'!$F152="","",'Club Championship'!$D152)</f>
        <v/>
      </c>
      <c r="K148">
        <f>IF('Club Championship'!$F152="","",COUNTIF('Club Championship'!$B$6:$B$155,'Club Championship'!$B152))</f>
        <v/>
      </c>
      <c r="L148">
        <f>IF('Club Championship'!$F152="","",'Club Championship'!$C152&amp;"")</f>
        <v/>
      </c>
      <c r="M148">
        <f>IF('Club Championship'!$F152="","",'Club Championship'!$E152)</f>
        <v/>
      </c>
      <c r="N148">
        <f>IF('Club Championship'!$F152="","",'Club Championship'!$F152)</f>
        <v/>
      </c>
      <c r="O148">
        <f>IF('Club Championship'!$F152="","",'Club Championship'!$F152)</f>
        <v/>
      </c>
      <c r="P148">
        <f>IF('Club Championship'!$F152="","",'Club Championship'!$G152)</f>
        <v/>
      </c>
    </row>
    <row r="149">
      <c r="A149">
        <f>IF('Club Championship'!$F153="","","Club Championship")</f>
        <v/>
      </c>
      <c r="B149">
        <f>IF('Club Championship'!$F153="","","Club Championship")</f>
        <v/>
      </c>
      <c r="C149" s="18">
        <f>IF('Club Championship'!$F153="","",'Club Championship'!$B$3)</f>
        <v/>
      </c>
      <c r="F149">
        <f>IF('Club Championship'!$F153="","",'Club Championship'!$A153&amp;"")</f>
        <v/>
      </c>
      <c r="J149">
        <f>IF('Club Championship'!$F153="","",'Club Championship'!$D153)</f>
        <v/>
      </c>
      <c r="K149">
        <f>IF('Club Championship'!$F153="","",COUNTIF('Club Championship'!$B$6:$B$155,'Club Championship'!$B153))</f>
        <v/>
      </c>
      <c r="L149">
        <f>IF('Club Championship'!$F153="","",'Club Championship'!$C153&amp;"")</f>
        <v/>
      </c>
      <c r="M149">
        <f>IF('Club Championship'!$F153="","",'Club Championship'!$E153)</f>
        <v/>
      </c>
      <c r="N149">
        <f>IF('Club Championship'!$F153="","",'Club Championship'!$F153)</f>
        <v/>
      </c>
      <c r="O149">
        <f>IF('Club Championship'!$F153="","",'Club Championship'!$F153)</f>
        <v/>
      </c>
      <c r="P149">
        <f>IF('Club Championship'!$F153="","",'Club Championship'!$G153)</f>
        <v/>
      </c>
    </row>
    <row r="150">
      <c r="A150">
        <f>IF('Club Championship'!$F154="","","Club Championship")</f>
        <v/>
      </c>
      <c r="B150">
        <f>IF('Club Championship'!$F154="","","Club Championship")</f>
        <v/>
      </c>
      <c r="C150" s="18">
        <f>IF('Club Championship'!$F154="","",'Club Championship'!$B$3)</f>
        <v/>
      </c>
      <c r="F150">
        <f>IF('Club Championship'!$F154="","",'Club Championship'!$A154&amp;"")</f>
        <v/>
      </c>
      <c r="J150">
        <f>IF('Club Championship'!$F154="","",'Club Championship'!$D154)</f>
        <v/>
      </c>
      <c r="K150">
        <f>IF('Club Championship'!$F154="","",COUNTIF('Club Championship'!$B$6:$B$155,'Club Championship'!$B154))</f>
        <v/>
      </c>
      <c r="L150">
        <f>IF('Club Championship'!$F154="","",'Club Championship'!$C154&amp;"")</f>
        <v/>
      </c>
      <c r="M150">
        <f>IF('Club Championship'!$F154="","",'Club Championship'!$E154)</f>
        <v/>
      </c>
      <c r="N150">
        <f>IF('Club Championship'!$F154="","",'Club Championship'!$F154)</f>
        <v/>
      </c>
      <c r="O150">
        <f>IF('Club Championship'!$F154="","",'Club Championship'!$F154)</f>
        <v/>
      </c>
      <c r="P150">
        <f>IF('Club Championship'!$F154="","",'Club Championship'!$G154)</f>
        <v/>
      </c>
    </row>
    <row r="151">
      <c r="A151">
        <f>IF('Club Championship'!$F155="","","Club Championship")</f>
        <v/>
      </c>
      <c r="B151">
        <f>IF('Club Championship'!$F155="","","Club Championship")</f>
        <v/>
      </c>
      <c r="C151" s="18">
        <f>IF('Club Championship'!$F155="","",'Club Championship'!$B$3)</f>
        <v/>
      </c>
      <c r="F151">
        <f>IF('Club Championship'!$F155="","",'Club Championship'!$A155&amp;"")</f>
        <v/>
      </c>
      <c r="J151">
        <f>IF('Club Championship'!$F155="","",'Club Championship'!$D155)</f>
        <v/>
      </c>
      <c r="K151">
        <f>IF('Club Championship'!$F155="","",COUNTIF('Club Championship'!$B$6:$B$155,'Club Championship'!$B155))</f>
        <v/>
      </c>
      <c r="L151">
        <f>IF('Club Championship'!$F155="","",'Club Championship'!$C155&amp;"")</f>
        <v/>
      </c>
      <c r="M151">
        <f>IF('Club Championship'!$F155="","",'Club Championship'!$E155)</f>
        <v/>
      </c>
      <c r="N151">
        <f>IF('Club Championship'!$F155="","",'Club Championship'!$F155)</f>
        <v/>
      </c>
      <c r="O151">
        <f>IF('Club Championship'!$F155="","",'Club Championship'!$F155)</f>
        <v/>
      </c>
      <c r="P151">
        <f>IF('Club Championship'!$F155="","",'Club Championship'!$G155)</f>
        <v/>
      </c>
    </row>
    <row r="152">
      <c r="A152">
        <f>IF(Masters!$G7="","","Masters")</f>
        <v/>
      </c>
      <c r="B152">
        <f>IF(Masters!$G7="","","Major")</f>
        <v/>
      </c>
      <c r="C152" s="18">
        <f>IF(Masters!$G7="","",Masters!$B$3)</f>
        <v/>
      </c>
      <c r="D152">
        <f>IF(Masters!$G7="","",Masters!$D7&amp;"")</f>
        <v/>
      </c>
      <c r="F152">
        <f>IF(Masters!$G7="","",Masters!$A7&amp;"")</f>
        <v/>
      </c>
      <c r="J152">
        <f>IF(Masters!$G7="","",Masters!$E7)</f>
        <v/>
      </c>
      <c r="K152">
        <f>IF(Masters!$G7="","",Masters!$J7)</f>
        <v/>
      </c>
      <c r="L152">
        <f>IF(Masters!$G7="","","")</f>
        <v/>
      </c>
      <c r="M152">
        <f>IF(Masters!$G7="","",Masters!$F7)</f>
        <v/>
      </c>
      <c r="N152">
        <f>IF(Masters!$G7="","",Masters!$G7)</f>
        <v/>
      </c>
      <c r="O152">
        <f>IF(Masters!$G7="","",Masters!$G7)</f>
        <v/>
      </c>
      <c r="P152">
        <f>IF(Masters!$G7="","",Masters!$H7)</f>
        <v/>
      </c>
    </row>
    <row r="153">
      <c r="A153">
        <f>IF(Masters!$G8="","","Masters")</f>
        <v/>
      </c>
      <c r="B153">
        <f>IF(Masters!$G8="","","Major")</f>
        <v/>
      </c>
      <c r="C153" s="18">
        <f>IF(Masters!$G8="","",Masters!$B$3)</f>
        <v/>
      </c>
      <c r="D153">
        <f>IF(Masters!$G8="","",Masters!$D8&amp;"")</f>
        <v/>
      </c>
      <c r="F153">
        <f>IF(Masters!$G8="","",Masters!$A8&amp;"")</f>
        <v/>
      </c>
      <c r="J153">
        <f>IF(Masters!$G8="","",Masters!$E8)</f>
        <v/>
      </c>
      <c r="K153">
        <f>IF(Masters!$G8="","",Masters!$J8)</f>
        <v/>
      </c>
      <c r="L153">
        <f>IF(Masters!$G8="","","")</f>
        <v/>
      </c>
      <c r="M153">
        <f>IF(Masters!$G8="","",Masters!$F8)</f>
        <v/>
      </c>
      <c r="N153">
        <f>IF(Masters!$G8="","",Masters!$G8)</f>
        <v/>
      </c>
      <c r="O153">
        <f>IF(Masters!$G8="","",Masters!$G8)</f>
        <v/>
      </c>
      <c r="P153">
        <f>IF(Masters!$G8="","",Masters!$H8)</f>
        <v/>
      </c>
    </row>
    <row r="154">
      <c r="A154">
        <f>IF(Masters!$G9="","","Masters")</f>
        <v/>
      </c>
      <c r="B154">
        <f>IF(Masters!$G9="","","Major")</f>
        <v/>
      </c>
      <c r="C154" s="18">
        <f>IF(Masters!$G9="","",Masters!$B$3)</f>
        <v/>
      </c>
      <c r="D154">
        <f>IF(Masters!$G9="","",Masters!$D9&amp;"")</f>
        <v/>
      </c>
      <c r="F154">
        <f>IF(Masters!$G9="","",Masters!$A9&amp;"")</f>
        <v/>
      </c>
      <c r="J154">
        <f>IF(Masters!$G9="","",Masters!$E9)</f>
        <v/>
      </c>
      <c r="K154">
        <f>IF(Masters!$G9="","",Masters!$J9)</f>
        <v/>
      </c>
      <c r="L154">
        <f>IF(Masters!$G9="","","")</f>
        <v/>
      </c>
      <c r="M154">
        <f>IF(Masters!$G9="","",Masters!$F9)</f>
        <v/>
      </c>
      <c r="N154">
        <f>IF(Masters!$G9="","",Masters!$G9)</f>
        <v/>
      </c>
      <c r="O154">
        <f>IF(Masters!$G9="","",Masters!$G9)</f>
        <v/>
      </c>
      <c r="P154">
        <f>IF(Masters!$G9="","",Masters!$H9)</f>
        <v/>
      </c>
    </row>
    <row r="155">
      <c r="A155">
        <f>IF(Masters!$G10="","","Masters")</f>
        <v/>
      </c>
      <c r="B155">
        <f>IF(Masters!$G10="","","Major")</f>
        <v/>
      </c>
      <c r="C155" s="18">
        <f>IF(Masters!$G10="","",Masters!$B$3)</f>
        <v/>
      </c>
      <c r="D155">
        <f>IF(Masters!$G10="","",Masters!$D10&amp;"")</f>
        <v/>
      </c>
      <c r="F155">
        <f>IF(Masters!$G10="","",Masters!$A10&amp;"")</f>
        <v/>
      </c>
      <c r="J155">
        <f>IF(Masters!$G10="","",Masters!$E10)</f>
        <v/>
      </c>
      <c r="K155">
        <f>IF(Masters!$G10="","",Masters!$J10)</f>
        <v/>
      </c>
      <c r="L155">
        <f>IF(Masters!$G10="","","")</f>
        <v/>
      </c>
      <c r="M155">
        <f>IF(Masters!$G10="","",Masters!$F10)</f>
        <v/>
      </c>
      <c r="N155">
        <f>IF(Masters!$G10="","",Masters!$G10)</f>
        <v/>
      </c>
      <c r="O155">
        <f>IF(Masters!$G10="","",Masters!$G10)</f>
        <v/>
      </c>
      <c r="P155">
        <f>IF(Masters!$G10="","",Masters!$H10)</f>
        <v/>
      </c>
    </row>
    <row r="156">
      <c r="A156">
        <f>IF(Masters!$G11="","","Masters")</f>
        <v/>
      </c>
      <c r="B156">
        <f>IF(Masters!$G11="","","Major")</f>
        <v/>
      </c>
      <c r="C156" s="18">
        <f>IF(Masters!$G11="","",Masters!$B$3)</f>
        <v/>
      </c>
      <c r="D156">
        <f>IF(Masters!$G11="","",Masters!$D11&amp;"")</f>
        <v/>
      </c>
      <c r="F156">
        <f>IF(Masters!$G11="","",Masters!$A11&amp;"")</f>
        <v/>
      </c>
      <c r="J156">
        <f>IF(Masters!$G11="","",Masters!$E11)</f>
        <v/>
      </c>
      <c r="K156">
        <f>IF(Masters!$G11="","",Masters!$J11)</f>
        <v/>
      </c>
      <c r="L156">
        <f>IF(Masters!$G11="","","")</f>
        <v/>
      </c>
      <c r="M156">
        <f>IF(Masters!$G11="","",Masters!$F11)</f>
        <v/>
      </c>
      <c r="N156">
        <f>IF(Masters!$G11="","",Masters!$G11)</f>
        <v/>
      </c>
      <c r="O156">
        <f>IF(Masters!$G11="","",Masters!$G11)</f>
        <v/>
      </c>
      <c r="P156">
        <f>IF(Masters!$G11="","",Masters!$H11)</f>
        <v/>
      </c>
    </row>
    <row r="157">
      <c r="A157">
        <f>IF(Masters!$G12="","","Masters")</f>
        <v/>
      </c>
      <c r="B157">
        <f>IF(Masters!$G12="","","Major")</f>
        <v/>
      </c>
      <c r="C157" s="18">
        <f>IF(Masters!$G12="","",Masters!$B$3)</f>
        <v/>
      </c>
      <c r="D157">
        <f>IF(Masters!$G12="","",Masters!$D12&amp;"")</f>
        <v/>
      </c>
      <c r="F157">
        <f>IF(Masters!$G12="","",Masters!$A12&amp;"")</f>
        <v/>
      </c>
      <c r="J157">
        <f>IF(Masters!$G12="","",Masters!$E12)</f>
        <v/>
      </c>
      <c r="K157">
        <f>IF(Masters!$G12="","",Masters!$J12)</f>
        <v/>
      </c>
      <c r="L157">
        <f>IF(Masters!$G12="","","")</f>
        <v/>
      </c>
      <c r="M157">
        <f>IF(Masters!$G12="","",Masters!$F12)</f>
        <v/>
      </c>
      <c r="N157">
        <f>IF(Masters!$G12="","",Masters!$G12)</f>
        <v/>
      </c>
      <c r="O157">
        <f>IF(Masters!$G12="","",Masters!$G12)</f>
        <v/>
      </c>
      <c r="P157">
        <f>IF(Masters!$G12="","",Masters!$H12)</f>
        <v/>
      </c>
    </row>
    <row r="158">
      <c r="A158">
        <f>IF(Masters!$G13="","","Masters")</f>
        <v/>
      </c>
      <c r="B158">
        <f>IF(Masters!$G13="","","Major")</f>
        <v/>
      </c>
      <c r="C158" s="18">
        <f>IF(Masters!$G13="","",Masters!$B$3)</f>
        <v/>
      </c>
      <c r="D158">
        <f>IF(Masters!$G13="","",Masters!$D13&amp;"")</f>
        <v/>
      </c>
      <c r="F158">
        <f>IF(Masters!$G13="","",Masters!$A13&amp;"")</f>
        <v/>
      </c>
      <c r="J158">
        <f>IF(Masters!$G13="","",Masters!$E13)</f>
        <v/>
      </c>
      <c r="K158">
        <f>IF(Masters!$G13="","",Masters!$J13)</f>
        <v/>
      </c>
      <c r="L158">
        <f>IF(Masters!$G13="","","")</f>
        <v/>
      </c>
      <c r="M158">
        <f>IF(Masters!$G13="","",Masters!$F13)</f>
        <v/>
      </c>
      <c r="N158">
        <f>IF(Masters!$G13="","",Masters!$G13)</f>
        <v/>
      </c>
      <c r="O158">
        <f>IF(Masters!$G13="","",Masters!$G13)</f>
        <v/>
      </c>
      <c r="P158">
        <f>IF(Masters!$G13="","",Masters!$H13)</f>
        <v/>
      </c>
    </row>
    <row r="159">
      <c r="A159">
        <f>IF(Masters!$G14="","","Masters")</f>
        <v/>
      </c>
      <c r="B159">
        <f>IF(Masters!$G14="","","Major")</f>
        <v/>
      </c>
      <c r="C159" s="18">
        <f>IF(Masters!$G14="","",Masters!$B$3)</f>
        <v/>
      </c>
      <c r="D159">
        <f>IF(Masters!$G14="","",Masters!$D14&amp;"")</f>
        <v/>
      </c>
      <c r="F159">
        <f>IF(Masters!$G14="","",Masters!$A14&amp;"")</f>
        <v/>
      </c>
      <c r="J159">
        <f>IF(Masters!$G14="","",Masters!$E14)</f>
        <v/>
      </c>
      <c r="K159">
        <f>IF(Masters!$G14="","",Masters!$J14)</f>
        <v/>
      </c>
      <c r="L159">
        <f>IF(Masters!$G14="","","")</f>
        <v/>
      </c>
      <c r="M159">
        <f>IF(Masters!$G14="","",Masters!$F14)</f>
        <v/>
      </c>
      <c r="N159">
        <f>IF(Masters!$G14="","",Masters!$G14)</f>
        <v/>
      </c>
      <c r="O159">
        <f>IF(Masters!$G14="","",Masters!$G14)</f>
        <v/>
      </c>
      <c r="P159">
        <f>IF(Masters!$G14="","",Masters!$H14)</f>
        <v/>
      </c>
    </row>
    <row r="160">
      <c r="A160">
        <f>IF(Masters!$G15="","","Masters")</f>
        <v/>
      </c>
      <c r="B160">
        <f>IF(Masters!$G15="","","Major")</f>
        <v/>
      </c>
      <c r="C160" s="18">
        <f>IF(Masters!$G15="","",Masters!$B$3)</f>
        <v/>
      </c>
      <c r="D160">
        <f>IF(Masters!$G15="","",Masters!$D15&amp;"")</f>
        <v/>
      </c>
      <c r="F160">
        <f>IF(Masters!$G15="","",Masters!$A15&amp;"")</f>
        <v/>
      </c>
      <c r="J160">
        <f>IF(Masters!$G15="","",Masters!$E15)</f>
        <v/>
      </c>
      <c r="K160">
        <f>IF(Masters!$G15="","",Masters!$J15)</f>
        <v/>
      </c>
      <c r="L160">
        <f>IF(Masters!$G15="","","")</f>
        <v/>
      </c>
      <c r="M160">
        <f>IF(Masters!$G15="","",Masters!$F15)</f>
        <v/>
      </c>
      <c r="N160">
        <f>IF(Masters!$G15="","",Masters!$G15)</f>
        <v/>
      </c>
      <c r="O160">
        <f>IF(Masters!$G15="","",Masters!$G15)</f>
        <v/>
      </c>
      <c r="P160">
        <f>IF(Masters!$G15="","",Masters!$H15)</f>
        <v/>
      </c>
    </row>
    <row r="161">
      <c r="A161">
        <f>IF(Masters!$G16="","","Masters")</f>
        <v/>
      </c>
      <c r="B161">
        <f>IF(Masters!$G16="","","Major")</f>
        <v/>
      </c>
      <c r="C161" s="18">
        <f>IF(Masters!$G16="","",Masters!$B$3)</f>
        <v/>
      </c>
      <c r="D161">
        <f>IF(Masters!$G16="","",Masters!$D16&amp;"")</f>
        <v/>
      </c>
      <c r="F161">
        <f>IF(Masters!$G16="","",Masters!$A16&amp;"")</f>
        <v/>
      </c>
      <c r="J161">
        <f>IF(Masters!$G16="","",Masters!$E16)</f>
        <v/>
      </c>
      <c r="K161">
        <f>IF(Masters!$G16="","",Masters!$J16)</f>
        <v/>
      </c>
      <c r="L161">
        <f>IF(Masters!$G16="","","")</f>
        <v/>
      </c>
      <c r="M161">
        <f>IF(Masters!$G16="","",Masters!$F16)</f>
        <v/>
      </c>
      <c r="N161">
        <f>IF(Masters!$G16="","",Masters!$G16)</f>
        <v/>
      </c>
      <c r="O161">
        <f>IF(Masters!$G16="","",Masters!$G16)</f>
        <v/>
      </c>
      <c r="P161">
        <f>IF(Masters!$G16="","",Masters!$H16)</f>
        <v/>
      </c>
    </row>
    <row r="162">
      <c r="A162">
        <f>IF(Masters!$G17="","","Masters")</f>
        <v/>
      </c>
      <c r="B162">
        <f>IF(Masters!$G17="","","Major")</f>
        <v/>
      </c>
      <c r="C162" s="18">
        <f>IF(Masters!$G17="","",Masters!$B$3)</f>
        <v/>
      </c>
      <c r="D162">
        <f>IF(Masters!$G17="","",Masters!$D17&amp;"")</f>
        <v/>
      </c>
      <c r="F162">
        <f>IF(Masters!$G17="","",Masters!$A17&amp;"")</f>
        <v/>
      </c>
      <c r="J162">
        <f>IF(Masters!$G17="","",Masters!$E17)</f>
        <v/>
      </c>
      <c r="K162">
        <f>IF(Masters!$G17="","",Masters!$J17)</f>
        <v/>
      </c>
      <c r="L162">
        <f>IF(Masters!$G17="","","")</f>
        <v/>
      </c>
      <c r="M162">
        <f>IF(Masters!$G17="","",Masters!$F17)</f>
        <v/>
      </c>
      <c r="N162">
        <f>IF(Masters!$G17="","",Masters!$G17)</f>
        <v/>
      </c>
      <c r="O162">
        <f>IF(Masters!$G17="","",Masters!$G17)</f>
        <v/>
      </c>
      <c r="P162">
        <f>IF(Masters!$G17="","",Masters!$H17)</f>
        <v/>
      </c>
    </row>
    <row r="163">
      <c r="A163">
        <f>IF(Masters!$G18="","","Masters")</f>
        <v/>
      </c>
      <c r="B163">
        <f>IF(Masters!$G18="","","Major")</f>
        <v/>
      </c>
      <c r="C163" s="18">
        <f>IF(Masters!$G18="","",Masters!$B$3)</f>
        <v/>
      </c>
      <c r="D163">
        <f>IF(Masters!$G18="","",Masters!$D18&amp;"")</f>
        <v/>
      </c>
      <c r="F163">
        <f>IF(Masters!$G18="","",Masters!$A18&amp;"")</f>
        <v/>
      </c>
      <c r="J163">
        <f>IF(Masters!$G18="","",Masters!$E18)</f>
        <v/>
      </c>
      <c r="K163">
        <f>IF(Masters!$G18="","",Masters!$J18)</f>
        <v/>
      </c>
      <c r="L163">
        <f>IF(Masters!$G18="","","")</f>
        <v/>
      </c>
      <c r="M163">
        <f>IF(Masters!$G18="","",Masters!$F18)</f>
        <v/>
      </c>
      <c r="N163">
        <f>IF(Masters!$G18="","",Masters!$G18)</f>
        <v/>
      </c>
      <c r="O163">
        <f>IF(Masters!$G18="","",Masters!$G18)</f>
        <v/>
      </c>
      <c r="P163">
        <f>IF(Masters!$G18="","",Masters!$H18)</f>
        <v/>
      </c>
    </row>
    <row r="164">
      <c r="A164">
        <f>IF(Masters!$G19="","","Masters")</f>
        <v/>
      </c>
      <c r="B164">
        <f>IF(Masters!$G19="","","Major")</f>
        <v/>
      </c>
      <c r="C164" s="18">
        <f>IF(Masters!$G19="","",Masters!$B$3)</f>
        <v/>
      </c>
      <c r="D164">
        <f>IF(Masters!$G19="","",Masters!$D19&amp;"")</f>
        <v/>
      </c>
      <c r="F164">
        <f>IF(Masters!$G19="","",Masters!$A19&amp;"")</f>
        <v/>
      </c>
      <c r="J164">
        <f>IF(Masters!$G19="","",Masters!$E19)</f>
        <v/>
      </c>
      <c r="K164">
        <f>IF(Masters!$G19="","",Masters!$J19)</f>
        <v/>
      </c>
      <c r="L164">
        <f>IF(Masters!$G19="","","")</f>
        <v/>
      </c>
      <c r="M164">
        <f>IF(Masters!$G19="","",Masters!$F19)</f>
        <v/>
      </c>
      <c r="N164">
        <f>IF(Masters!$G19="","",Masters!$G19)</f>
        <v/>
      </c>
      <c r="O164">
        <f>IF(Masters!$G19="","",Masters!$G19)</f>
        <v/>
      </c>
      <c r="P164">
        <f>IF(Masters!$G19="","",Masters!$H19)</f>
        <v/>
      </c>
    </row>
    <row r="165">
      <c r="A165">
        <f>IF(Masters!$G20="","","Masters")</f>
        <v/>
      </c>
      <c r="B165">
        <f>IF(Masters!$G20="","","Major")</f>
        <v/>
      </c>
      <c r="C165" s="18">
        <f>IF(Masters!$G20="","",Masters!$B$3)</f>
        <v/>
      </c>
      <c r="D165">
        <f>IF(Masters!$G20="","",Masters!$D20&amp;"")</f>
        <v/>
      </c>
      <c r="F165">
        <f>IF(Masters!$G20="","",Masters!$A20&amp;"")</f>
        <v/>
      </c>
      <c r="J165">
        <f>IF(Masters!$G20="","",Masters!$E20)</f>
        <v/>
      </c>
      <c r="K165">
        <f>IF(Masters!$G20="","",Masters!$J20)</f>
        <v/>
      </c>
      <c r="L165">
        <f>IF(Masters!$G20="","","")</f>
        <v/>
      </c>
      <c r="M165">
        <f>IF(Masters!$G20="","",Masters!$F20)</f>
        <v/>
      </c>
      <c r="N165">
        <f>IF(Masters!$G20="","",Masters!$G20)</f>
        <v/>
      </c>
      <c r="O165">
        <f>IF(Masters!$G20="","",Masters!$G20)</f>
        <v/>
      </c>
      <c r="P165">
        <f>IF(Masters!$G20="","",Masters!$H20)</f>
        <v/>
      </c>
    </row>
    <row r="166">
      <c r="A166">
        <f>IF(Masters!$G21="","","Masters")</f>
        <v/>
      </c>
      <c r="B166">
        <f>IF(Masters!$G21="","","Major")</f>
        <v/>
      </c>
      <c r="C166" s="18">
        <f>IF(Masters!$G21="","",Masters!$B$3)</f>
        <v/>
      </c>
      <c r="D166">
        <f>IF(Masters!$G21="","",Masters!$D21&amp;"")</f>
        <v/>
      </c>
      <c r="F166">
        <f>IF(Masters!$G21="","",Masters!$A21&amp;"")</f>
        <v/>
      </c>
      <c r="J166">
        <f>IF(Masters!$G21="","",Masters!$E21)</f>
        <v/>
      </c>
      <c r="K166">
        <f>IF(Masters!$G21="","",Masters!$J21)</f>
        <v/>
      </c>
      <c r="L166">
        <f>IF(Masters!$G21="","","")</f>
        <v/>
      </c>
      <c r="M166">
        <f>IF(Masters!$G21="","",Masters!$F21)</f>
        <v/>
      </c>
      <c r="N166">
        <f>IF(Masters!$G21="","",Masters!$G21)</f>
        <v/>
      </c>
      <c r="O166">
        <f>IF(Masters!$G21="","",Masters!$G21)</f>
        <v/>
      </c>
      <c r="P166">
        <f>IF(Masters!$G21="","",Masters!$H21)</f>
        <v/>
      </c>
    </row>
    <row r="167">
      <c r="A167">
        <f>IF(Masters!$G22="","","Masters")</f>
        <v/>
      </c>
      <c r="B167">
        <f>IF(Masters!$G22="","","Major")</f>
        <v/>
      </c>
      <c r="C167" s="18">
        <f>IF(Masters!$G22="","",Masters!$B$3)</f>
        <v/>
      </c>
      <c r="D167">
        <f>IF(Masters!$G22="","",Masters!$D22&amp;"")</f>
        <v/>
      </c>
      <c r="F167">
        <f>IF(Masters!$G22="","",Masters!$A22&amp;"")</f>
        <v/>
      </c>
      <c r="J167">
        <f>IF(Masters!$G22="","",Masters!$E22)</f>
        <v/>
      </c>
      <c r="K167">
        <f>IF(Masters!$G22="","",Masters!$J22)</f>
        <v/>
      </c>
      <c r="L167">
        <f>IF(Masters!$G22="","","")</f>
        <v/>
      </c>
      <c r="M167">
        <f>IF(Masters!$G22="","",Masters!$F22)</f>
        <v/>
      </c>
      <c r="N167">
        <f>IF(Masters!$G22="","",Masters!$G22)</f>
        <v/>
      </c>
      <c r="O167">
        <f>IF(Masters!$G22="","",Masters!$G22)</f>
        <v/>
      </c>
      <c r="P167">
        <f>IF(Masters!$G22="","",Masters!$H22)</f>
        <v/>
      </c>
    </row>
    <row r="168">
      <c r="A168">
        <f>IF(Masters!$G23="","","Masters")</f>
        <v/>
      </c>
      <c r="B168">
        <f>IF(Masters!$G23="","","Major")</f>
        <v/>
      </c>
      <c r="C168" s="18">
        <f>IF(Masters!$G23="","",Masters!$B$3)</f>
        <v/>
      </c>
      <c r="D168">
        <f>IF(Masters!$G23="","",Masters!$D23&amp;"")</f>
        <v/>
      </c>
      <c r="F168">
        <f>IF(Masters!$G23="","",Masters!$A23&amp;"")</f>
        <v/>
      </c>
      <c r="J168">
        <f>IF(Masters!$G23="","",Masters!$E23)</f>
        <v/>
      </c>
      <c r="K168">
        <f>IF(Masters!$G23="","",Masters!$J23)</f>
        <v/>
      </c>
      <c r="L168">
        <f>IF(Masters!$G23="","","")</f>
        <v/>
      </c>
      <c r="M168">
        <f>IF(Masters!$G23="","",Masters!$F23)</f>
        <v/>
      </c>
      <c r="N168">
        <f>IF(Masters!$G23="","",Masters!$G23)</f>
        <v/>
      </c>
      <c r="O168">
        <f>IF(Masters!$G23="","",Masters!$G23)</f>
        <v/>
      </c>
      <c r="P168">
        <f>IF(Masters!$G23="","",Masters!$H23)</f>
        <v/>
      </c>
    </row>
    <row r="169">
      <c r="A169">
        <f>IF(Masters!$G24="","","Masters")</f>
        <v/>
      </c>
      <c r="B169">
        <f>IF(Masters!$G24="","","Major")</f>
        <v/>
      </c>
      <c r="C169" s="18">
        <f>IF(Masters!$G24="","",Masters!$B$3)</f>
        <v/>
      </c>
      <c r="D169">
        <f>IF(Masters!$G24="","",Masters!$D24&amp;"")</f>
        <v/>
      </c>
      <c r="F169">
        <f>IF(Masters!$G24="","",Masters!$A24&amp;"")</f>
        <v/>
      </c>
      <c r="J169">
        <f>IF(Masters!$G24="","",Masters!$E24)</f>
        <v/>
      </c>
      <c r="K169">
        <f>IF(Masters!$G24="","",Masters!$J24)</f>
        <v/>
      </c>
      <c r="L169">
        <f>IF(Masters!$G24="","","")</f>
        <v/>
      </c>
      <c r="M169">
        <f>IF(Masters!$G24="","",Masters!$F24)</f>
        <v/>
      </c>
      <c r="N169">
        <f>IF(Masters!$G24="","",Masters!$G24)</f>
        <v/>
      </c>
      <c r="O169">
        <f>IF(Masters!$G24="","",Masters!$G24)</f>
        <v/>
      </c>
      <c r="P169">
        <f>IF(Masters!$G24="","",Masters!$H24)</f>
        <v/>
      </c>
    </row>
    <row r="170">
      <c r="A170">
        <f>IF(Masters!$G25="","","Masters")</f>
        <v/>
      </c>
      <c r="B170">
        <f>IF(Masters!$G25="","","Major")</f>
        <v/>
      </c>
      <c r="C170" s="18">
        <f>IF(Masters!$G25="","",Masters!$B$3)</f>
        <v/>
      </c>
      <c r="D170">
        <f>IF(Masters!$G25="","",Masters!$D25&amp;"")</f>
        <v/>
      </c>
      <c r="F170">
        <f>IF(Masters!$G25="","",Masters!$A25&amp;"")</f>
        <v/>
      </c>
      <c r="J170">
        <f>IF(Masters!$G25="","",Masters!$E25)</f>
        <v/>
      </c>
      <c r="K170">
        <f>IF(Masters!$G25="","",Masters!$J25)</f>
        <v/>
      </c>
      <c r="L170">
        <f>IF(Masters!$G25="","","")</f>
        <v/>
      </c>
      <c r="M170">
        <f>IF(Masters!$G25="","",Masters!$F25)</f>
        <v/>
      </c>
      <c r="N170">
        <f>IF(Masters!$G25="","",Masters!$G25)</f>
        <v/>
      </c>
      <c r="O170">
        <f>IF(Masters!$G25="","",Masters!$G25)</f>
        <v/>
      </c>
      <c r="P170">
        <f>IF(Masters!$G25="","",Masters!$H25)</f>
        <v/>
      </c>
    </row>
    <row r="171">
      <c r="A171">
        <f>IF(Masters!$G26="","","Masters")</f>
        <v/>
      </c>
      <c r="B171">
        <f>IF(Masters!$G26="","","Major")</f>
        <v/>
      </c>
      <c r="C171" s="18">
        <f>IF(Masters!$G26="","",Masters!$B$3)</f>
        <v/>
      </c>
      <c r="D171">
        <f>IF(Masters!$G26="","",Masters!$D26&amp;"")</f>
        <v/>
      </c>
      <c r="F171">
        <f>IF(Masters!$G26="","",Masters!$A26&amp;"")</f>
        <v/>
      </c>
      <c r="J171">
        <f>IF(Masters!$G26="","",Masters!$E26)</f>
        <v/>
      </c>
      <c r="K171">
        <f>IF(Masters!$G26="","",Masters!$J26)</f>
        <v/>
      </c>
      <c r="L171">
        <f>IF(Masters!$G26="","","")</f>
        <v/>
      </c>
      <c r="M171">
        <f>IF(Masters!$G26="","",Masters!$F26)</f>
        <v/>
      </c>
      <c r="N171">
        <f>IF(Masters!$G26="","",Masters!$G26)</f>
        <v/>
      </c>
      <c r="O171">
        <f>IF(Masters!$G26="","",Masters!$G26)</f>
        <v/>
      </c>
      <c r="P171">
        <f>IF(Masters!$G26="","",Masters!$H26)</f>
        <v/>
      </c>
    </row>
    <row r="172">
      <c r="A172">
        <f>IF(Masters!$G27="","","Masters")</f>
        <v/>
      </c>
      <c r="B172">
        <f>IF(Masters!$G27="","","Major")</f>
        <v/>
      </c>
      <c r="C172" s="18">
        <f>IF(Masters!$G27="","",Masters!$B$3)</f>
        <v/>
      </c>
      <c r="D172">
        <f>IF(Masters!$G27="","",Masters!$D27&amp;"")</f>
        <v/>
      </c>
      <c r="F172">
        <f>IF(Masters!$G27="","",Masters!$A27&amp;"")</f>
        <v/>
      </c>
      <c r="J172">
        <f>IF(Masters!$G27="","",Masters!$E27)</f>
        <v/>
      </c>
      <c r="K172">
        <f>IF(Masters!$G27="","",Masters!$J27)</f>
        <v/>
      </c>
      <c r="L172">
        <f>IF(Masters!$G27="","","")</f>
        <v/>
      </c>
      <c r="M172">
        <f>IF(Masters!$G27="","",Masters!$F27)</f>
        <v/>
      </c>
      <c r="N172">
        <f>IF(Masters!$G27="","",Masters!$G27)</f>
        <v/>
      </c>
      <c r="O172">
        <f>IF(Masters!$G27="","",Masters!$G27)</f>
        <v/>
      </c>
      <c r="P172">
        <f>IF(Masters!$G27="","",Masters!$H27)</f>
        <v/>
      </c>
    </row>
    <row r="173">
      <c r="A173">
        <f>IF(Masters!$G28="","","Masters")</f>
        <v/>
      </c>
      <c r="B173">
        <f>IF(Masters!$G28="","","Major")</f>
        <v/>
      </c>
      <c r="C173" s="18">
        <f>IF(Masters!$G28="","",Masters!$B$3)</f>
        <v/>
      </c>
      <c r="D173">
        <f>IF(Masters!$G28="","",Masters!$D28&amp;"")</f>
        <v/>
      </c>
      <c r="F173">
        <f>IF(Masters!$G28="","",Masters!$A28&amp;"")</f>
        <v/>
      </c>
      <c r="J173">
        <f>IF(Masters!$G28="","",Masters!$E28)</f>
        <v/>
      </c>
      <c r="K173">
        <f>IF(Masters!$G28="","",Masters!$J28)</f>
        <v/>
      </c>
      <c r="L173">
        <f>IF(Masters!$G28="","","")</f>
        <v/>
      </c>
      <c r="M173">
        <f>IF(Masters!$G28="","",Masters!$F28)</f>
        <v/>
      </c>
      <c r="N173">
        <f>IF(Masters!$G28="","",Masters!$G28)</f>
        <v/>
      </c>
      <c r="O173">
        <f>IF(Masters!$G28="","",Masters!$G28)</f>
        <v/>
      </c>
      <c r="P173">
        <f>IF(Masters!$G28="","",Masters!$H28)</f>
        <v/>
      </c>
    </row>
    <row r="174">
      <c r="A174">
        <f>IF(Masters!$G29="","","Masters")</f>
        <v/>
      </c>
      <c r="B174">
        <f>IF(Masters!$G29="","","Major")</f>
        <v/>
      </c>
      <c r="C174" s="18">
        <f>IF(Masters!$G29="","",Masters!$B$3)</f>
        <v/>
      </c>
      <c r="D174">
        <f>IF(Masters!$G29="","",Masters!$D29&amp;"")</f>
        <v/>
      </c>
      <c r="F174">
        <f>IF(Masters!$G29="","",Masters!$A29&amp;"")</f>
        <v/>
      </c>
      <c r="J174">
        <f>IF(Masters!$G29="","",Masters!$E29)</f>
        <v/>
      </c>
      <c r="K174">
        <f>IF(Masters!$G29="","",Masters!$J29)</f>
        <v/>
      </c>
      <c r="L174">
        <f>IF(Masters!$G29="","","")</f>
        <v/>
      </c>
      <c r="M174">
        <f>IF(Masters!$G29="","",Masters!$F29)</f>
        <v/>
      </c>
      <c r="N174">
        <f>IF(Masters!$G29="","",Masters!$G29)</f>
        <v/>
      </c>
      <c r="O174">
        <f>IF(Masters!$G29="","",Masters!$G29)</f>
        <v/>
      </c>
      <c r="P174">
        <f>IF(Masters!$G29="","",Masters!$H29)</f>
        <v/>
      </c>
    </row>
    <row r="175">
      <c r="A175">
        <f>IF(Masters!$G30="","","Masters")</f>
        <v/>
      </c>
      <c r="B175">
        <f>IF(Masters!$G30="","","Major")</f>
        <v/>
      </c>
      <c r="C175" s="18">
        <f>IF(Masters!$G30="","",Masters!$B$3)</f>
        <v/>
      </c>
      <c r="D175">
        <f>IF(Masters!$G30="","",Masters!$D30&amp;"")</f>
        <v/>
      </c>
      <c r="F175">
        <f>IF(Masters!$G30="","",Masters!$A30&amp;"")</f>
        <v/>
      </c>
      <c r="J175">
        <f>IF(Masters!$G30="","",Masters!$E30)</f>
        <v/>
      </c>
      <c r="K175">
        <f>IF(Masters!$G30="","",Masters!$J30)</f>
        <v/>
      </c>
      <c r="L175">
        <f>IF(Masters!$G30="","","")</f>
        <v/>
      </c>
      <c r="M175">
        <f>IF(Masters!$G30="","",Masters!$F30)</f>
        <v/>
      </c>
      <c r="N175">
        <f>IF(Masters!$G30="","",Masters!$G30)</f>
        <v/>
      </c>
      <c r="O175">
        <f>IF(Masters!$G30="","",Masters!$G30)</f>
        <v/>
      </c>
      <c r="P175">
        <f>IF(Masters!$G30="","",Masters!$H30)</f>
        <v/>
      </c>
    </row>
    <row r="176">
      <c r="A176">
        <f>IF(Masters!$G31="","","Masters")</f>
        <v/>
      </c>
      <c r="B176">
        <f>IF(Masters!$G31="","","Major")</f>
        <v/>
      </c>
      <c r="C176" s="18">
        <f>IF(Masters!$G31="","",Masters!$B$3)</f>
        <v/>
      </c>
      <c r="D176">
        <f>IF(Masters!$G31="","",Masters!$D31&amp;"")</f>
        <v/>
      </c>
      <c r="F176">
        <f>IF(Masters!$G31="","",Masters!$A31&amp;"")</f>
        <v/>
      </c>
      <c r="J176">
        <f>IF(Masters!$G31="","",Masters!$E31)</f>
        <v/>
      </c>
      <c r="K176">
        <f>IF(Masters!$G31="","",Masters!$J31)</f>
        <v/>
      </c>
      <c r="L176">
        <f>IF(Masters!$G31="","","")</f>
        <v/>
      </c>
      <c r="M176">
        <f>IF(Masters!$G31="","",Masters!$F31)</f>
        <v/>
      </c>
      <c r="N176">
        <f>IF(Masters!$G31="","",Masters!$G31)</f>
        <v/>
      </c>
      <c r="O176">
        <f>IF(Masters!$G31="","",Masters!$G31)</f>
        <v/>
      </c>
      <c r="P176">
        <f>IF(Masters!$G31="","",Masters!$H31)</f>
        <v/>
      </c>
    </row>
    <row r="177">
      <c r="A177">
        <f>IF(Masters!$G32="","","Masters")</f>
        <v/>
      </c>
      <c r="B177">
        <f>IF(Masters!$G32="","","Major")</f>
        <v/>
      </c>
      <c r="C177" s="18">
        <f>IF(Masters!$G32="","",Masters!$B$3)</f>
        <v/>
      </c>
      <c r="D177">
        <f>IF(Masters!$G32="","",Masters!$D32&amp;"")</f>
        <v/>
      </c>
      <c r="F177">
        <f>IF(Masters!$G32="","",Masters!$A32&amp;"")</f>
        <v/>
      </c>
      <c r="J177">
        <f>IF(Masters!$G32="","",Masters!$E32)</f>
        <v/>
      </c>
      <c r="K177">
        <f>IF(Masters!$G32="","",Masters!$J32)</f>
        <v/>
      </c>
      <c r="L177">
        <f>IF(Masters!$G32="","","")</f>
        <v/>
      </c>
      <c r="M177">
        <f>IF(Masters!$G32="","",Masters!$F32)</f>
        <v/>
      </c>
      <c r="N177">
        <f>IF(Masters!$G32="","",Masters!$G32)</f>
        <v/>
      </c>
      <c r="O177">
        <f>IF(Masters!$G32="","",Masters!$G32)</f>
        <v/>
      </c>
      <c r="P177">
        <f>IF(Masters!$G32="","",Masters!$H32)</f>
        <v/>
      </c>
    </row>
    <row r="178">
      <c r="A178">
        <f>IF(Masters!$G33="","","Masters")</f>
        <v/>
      </c>
      <c r="B178">
        <f>IF(Masters!$G33="","","Major")</f>
        <v/>
      </c>
      <c r="C178" s="18">
        <f>IF(Masters!$G33="","",Masters!$B$3)</f>
        <v/>
      </c>
      <c r="D178">
        <f>IF(Masters!$G33="","",Masters!$D33&amp;"")</f>
        <v/>
      </c>
      <c r="F178">
        <f>IF(Masters!$G33="","",Masters!$A33&amp;"")</f>
        <v/>
      </c>
      <c r="J178">
        <f>IF(Masters!$G33="","",Masters!$E33)</f>
        <v/>
      </c>
      <c r="K178">
        <f>IF(Masters!$G33="","",Masters!$J33)</f>
        <v/>
      </c>
      <c r="L178">
        <f>IF(Masters!$G33="","","")</f>
        <v/>
      </c>
      <c r="M178">
        <f>IF(Masters!$G33="","",Masters!$F33)</f>
        <v/>
      </c>
      <c r="N178">
        <f>IF(Masters!$G33="","",Masters!$G33)</f>
        <v/>
      </c>
      <c r="O178">
        <f>IF(Masters!$G33="","",Masters!$G33)</f>
        <v/>
      </c>
      <c r="P178">
        <f>IF(Masters!$G33="","",Masters!$H33)</f>
        <v/>
      </c>
    </row>
    <row r="179">
      <c r="A179">
        <f>IF(Masters!$G34="","","Masters")</f>
        <v/>
      </c>
      <c r="B179">
        <f>IF(Masters!$G34="","","Major")</f>
        <v/>
      </c>
      <c r="C179" s="18">
        <f>IF(Masters!$G34="","",Masters!$B$3)</f>
        <v/>
      </c>
      <c r="D179">
        <f>IF(Masters!$G34="","",Masters!$D34&amp;"")</f>
        <v/>
      </c>
      <c r="F179">
        <f>IF(Masters!$G34="","",Masters!$A34&amp;"")</f>
        <v/>
      </c>
      <c r="J179">
        <f>IF(Masters!$G34="","",Masters!$E34)</f>
        <v/>
      </c>
      <c r="K179">
        <f>IF(Masters!$G34="","",Masters!$J34)</f>
        <v/>
      </c>
      <c r="L179">
        <f>IF(Masters!$G34="","","")</f>
        <v/>
      </c>
      <c r="M179">
        <f>IF(Masters!$G34="","",Masters!$F34)</f>
        <v/>
      </c>
      <c r="N179">
        <f>IF(Masters!$G34="","",Masters!$G34)</f>
        <v/>
      </c>
      <c r="O179">
        <f>IF(Masters!$G34="","",Masters!$G34)</f>
        <v/>
      </c>
      <c r="P179">
        <f>IF(Masters!$G34="","",Masters!$H34)</f>
        <v/>
      </c>
    </row>
    <row r="180">
      <c r="A180">
        <f>IF(Masters!$G35="","","Masters")</f>
        <v/>
      </c>
      <c r="B180">
        <f>IF(Masters!$G35="","","Major")</f>
        <v/>
      </c>
      <c r="C180" s="18">
        <f>IF(Masters!$G35="","",Masters!$B$3)</f>
        <v/>
      </c>
      <c r="D180">
        <f>IF(Masters!$G35="","",Masters!$D35&amp;"")</f>
        <v/>
      </c>
      <c r="F180">
        <f>IF(Masters!$G35="","",Masters!$A35&amp;"")</f>
        <v/>
      </c>
      <c r="J180">
        <f>IF(Masters!$G35="","",Masters!$E35)</f>
        <v/>
      </c>
      <c r="K180">
        <f>IF(Masters!$G35="","",Masters!$J35)</f>
        <v/>
      </c>
      <c r="L180">
        <f>IF(Masters!$G35="","","")</f>
        <v/>
      </c>
      <c r="M180">
        <f>IF(Masters!$G35="","",Masters!$F35)</f>
        <v/>
      </c>
      <c r="N180">
        <f>IF(Masters!$G35="","",Masters!$G35)</f>
        <v/>
      </c>
      <c r="O180">
        <f>IF(Masters!$G35="","",Masters!$G35)</f>
        <v/>
      </c>
      <c r="P180">
        <f>IF(Masters!$G35="","",Masters!$H35)</f>
        <v/>
      </c>
    </row>
    <row r="181">
      <c r="A181">
        <f>IF(Masters!$G36="","","Masters")</f>
        <v/>
      </c>
      <c r="B181">
        <f>IF(Masters!$G36="","","Major")</f>
        <v/>
      </c>
      <c r="C181" s="18">
        <f>IF(Masters!$G36="","",Masters!$B$3)</f>
        <v/>
      </c>
      <c r="D181">
        <f>IF(Masters!$G36="","",Masters!$D36&amp;"")</f>
        <v/>
      </c>
      <c r="F181">
        <f>IF(Masters!$G36="","",Masters!$A36&amp;"")</f>
        <v/>
      </c>
      <c r="J181">
        <f>IF(Masters!$G36="","",Masters!$E36)</f>
        <v/>
      </c>
      <c r="K181">
        <f>IF(Masters!$G36="","",Masters!$J36)</f>
        <v/>
      </c>
      <c r="L181">
        <f>IF(Masters!$G36="","","")</f>
        <v/>
      </c>
      <c r="M181">
        <f>IF(Masters!$G36="","",Masters!$F36)</f>
        <v/>
      </c>
      <c r="N181">
        <f>IF(Masters!$G36="","",Masters!$G36)</f>
        <v/>
      </c>
      <c r="O181">
        <f>IF(Masters!$G36="","",Masters!$G36)</f>
        <v/>
      </c>
      <c r="P181">
        <f>IF(Masters!$G36="","",Masters!$H36)</f>
        <v/>
      </c>
    </row>
    <row r="182">
      <c r="A182">
        <f>IF(Masters!$G37="","","Masters")</f>
        <v/>
      </c>
      <c r="B182">
        <f>IF(Masters!$G37="","","Major")</f>
        <v/>
      </c>
      <c r="C182" s="18">
        <f>IF(Masters!$G37="","",Masters!$B$3)</f>
        <v/>
      </c>
      <c r="D182">
        <f>IF(Masters!$G37="","",Masters!$D37&amp;"")</f>
        <v/>
      </c>
      <c r="F182">
        <f>IF(Masters!$G37="","",Masters!$A37&amp;"")</f>
        <v/>
      </c>
      <c r="J182">
        <f>IF(Masters!$G37="","",Masters!$E37)</f>
        <v/>
      </c>
      <c r="K182">
        <f>IF(Masters!$G37="","",Masters!$J37)</f>
        <v/>
      </c>
      <c r="L182">
        <f>IF(Masters!$G37="","","")</f>
        <v/>
      </c>
      <c r="M182">
        <f>IF(Masters!$G37="","",Masters!$F37)</f>
        <v/>
      </c>
      <c r="N182">
        <f>IF(Masters!$G37="","",Masters!$G37)</f>
        <v/>
      </c>
      <c r="O182">
        <f>IF(Masters!$G37="","",Masters!$G37)</f>
        <v/>
      </c>
      <c r="P182">
        <f>IF(Masters!$G37="","",Masters!$H37)</f>
        <v/>
      </c>
    </row>
    <row r="183">
      <c r="A183">
        <f>IF(Masters!$G38="","","Masters")</f>
        <v/>
      </c>
      <c r="B183">
        <f>IF(Masters!$G38="","","Major")</f>
        <v/>
      </c>
      <c r="C183" s="18">
        <f>IF(Masters!$G38="","",Masters!$B$3)</f>
        <v/>
      </c>
      <c r="D183">
        <f>IF(Masters!$G38="","",Masters!$D38&amp;"")</f>
        <v/>
      </c>
      <c r="F183">
        <f>IF(Masters!$G38="","",Masters!$A38&amp;"")</f>
        <v/>
      </c>
      <c r="J183">
        <f>IF(Masters!$G38="","",Masters!$E38)</f>
        <v/>
      </c>
      <c r="K183">
        <f>IF(Masters!$G38="","",Masters!$J38)</f>
        <v/>
      </c>
      <c r="L183">
        <f>IF(Masters!$G38="","","")</f>
        <v/>
      </c>
      <c r="M183">
        <f>IF(Masters!$G38="","",Masters!$F38)</f>
        <v/>
      </c>
      <c r="N183">
        <f>IF(Masters!$G38="","",Masters!$G38)</f>
        <v/>
      </c>
      <c r="O183">
        <f>IF(Masters!$G38="","",Masters!$G38)</f>
        <v/>
      </c>
      <c r="P183">
        <f>IF(Masters!$G38="","",Masters!$H38)</f>
        <v/>
      </c>
    </row>
    <row r="184">
      <c r="A184">
        <f>IF(Masters!$G39="","","Masters")</f>
        <v/>
      </c>
      <c r="B184">
        <f>IF(Masters!$G39="","","Major")</f>
        <v/>
      </c>
      <c r="C184" s="18">
        <f>IF(Masters!$G39="","",Masters!$B$3)</f>
        <v/>
      </c>
      <c r="D184">
        <f>IF(Masters!$G39="","",Masters!$D39&amp;"")</f>
        <v/>
      </c>
      <c r="F184">
        <f>IF(Masters!$G39="","",Masters!$A39&amp;"")</f>
        <v/>
      </c>
      <c r="J184">
        <f>IF(Masters!$G39="","",Masters!$E39)</f>
        <v/>
      </c>
      <c r="K184">
        <f>IF(Masters!$G39="","",Masters!$J39)</f>
        <v/>
      </c>
      <c r="L184">
        <f>IF(Masters!$G39="","","")</f>
        <v/>
      </c>
      <c r="M184">
        <f>IF(Masters!$G39="","",Masters!$F39)</f>
        <v/>
      </c>
      <c r="N184">
        <f>IF(Masters!$G39="","",Masters!$G39)</f>
        <v/>
      </c>
      <c r="O184">
        <f>IF(Masters!$G39="","",Masters!$G39)</f>
        <v/>
      </c>
      <c r="P184">
        <f>IF(Masters!$G39="","",Masters!$H39)</f>
        <v/>
      </c>
    </row>
    <row r="185">
      <c r="A185">
        <f>IF(Masters!$G40="","","Masters")</f>
        <v/>
      </c>
      <c r="B185">
        <f>IF(Masters!$G40="","","Major")</f>
        <v/>
      </c>
      <c r="C185" s="18">
        <f>IF(Masters!$G40="","",Masters!$B$3)</f>
        <v/>
      </c>
      <c r="D185">
        <f>IF(Masters!$G40="","",Masters!$D40&amp;"")</f>
        <v/>
      </c>
      <c r="F185">
        <f>IF(Masters!$G40="","",Masters!$A40&amp;"")</f>
        <v/>
      </c>
      <c r="J185">
        <f>IF(Masters!$G40="","",Masters!$E40)</f>
        <v/>
      </c>
      <c r="K185">
        <f>IF(Masters!$G40="","",Masters!$J40)</f>
        <v/>
      </c>
      <c r="L185">
        <f>IF(Masters!$G40="","","")</f>
        <v/>
      </c>
      <c r="M185">
        <f>IF(Masters!$G40="","",Masters!$F40)</f>
        <v/>
      </c>
      <c r="N185">
        <f>IF(Masters!$G40="","",Masters!$G40)</f>
        <v/>
      </c>
      <c r="O185">
        <f>IF(Masters!$G40="","",Masters!$G40)</f>
        <v/>
      </c>
      <c r="P185">
        <f>IF(Masters!$G40="","",Masters!$H40)</f>
        <v/>
      </c>
    </row>
    <row r="186">
      <c r="A186">
        <f>IF(Masters!$G41="","","Masters")</f>
        <v/>
      </c>
      <c r="B186">
        <f>IF(Masters!$G41="","","Major")</f>
        <v/>
      </c>
      <c r="C186" s="18">
        <f>IF(Masters!$G41="","",Masters!$B$3)</f>
        <v/>
      </c>
      <c r="D186">
        <f>IF(Masters!$G41="","",Masters!$D41&amp;"")</f>
        <v/>
      </c>
      <c r="F186">
        <f>IF(Masters!$G41="","",Masters!$A41&amp;"")</f>
        <v/>
      </c>
      <c r="J186">
        <f>IF(Masters!$G41="","",Masters!$E41)</f>
        <v/>
      </c>
      <c r="K186">
        <f>IF(Masters!$G41="","",Masters!$J41)</f>
        <v/>
      </c>
      <c r="L186">
        <f>IF(Masters!$G41="","","")</f>
        <v/>
      </c>
      <c r="M186">
        <f>IF(Masters!$G41="","",Masters!$F41)</f>
        <v/>
      </c>
      <c r="N186">
        <f>IF(Masters!$G41="","",Masters!$G41)</f>
        <v/>
      </c>
      <c r="O186">
        <f>IF(Masters!$G41="","",Masters!$G41)</f>
        <v/>
      </c>
      <c r="P186">
        <f>IF(Masters!$G41="","",Masters!$H41)</f>
        <v/>
      </c>
    </row>
    <row r="187">
      <c r="A187">
        <f>IF(Masters!$G42="","","Masters")</f>
        <v/>
      </c>
      <c r="B187">
        <f>IF(Masters!$G42="","","Major")</f>
        <v/>
      </c>
      <c r="C187" s="18">
        <f>IF(Masters!$G42="","",Masters!$B$3)</f>
        <v/>
      </c>
      <c r="D187">
        <f>IF(Masters!$G42="","",Masters!$D42&amp;"")</f>
        <v/>
      </c>
      <c r="F187">
        <f>IF(Masters!$G42="","",Masters!$A42&amp;"")</f>
        <v/>
      </c>
      <c r="J187">
        <f>IF(Masters!$G42="","",Masters!$E42)</f>
        <v/>
      </c>
      <c r="K187">
        <f>IF(Masters!$G42="","",Masters!$J42)</f>
        <v/>
      </c>
      <c r="L187">
        <f>IF(Masters!$G42="","","")</f>
        <v/>
      </c>
      <c r="M187">
        <f>IF(Masters!$G42="","",Masters!$F42)</f>
        <v/>
      </c>
      <c r="N187">
        <f>IF(Masters!$G42="","",Masters!$G42)</f>
        <v/>
      </c>
      <c r="O187">
        <f>IF(Masters!$G42="","",Masters!$G42)</f>
        <v/>
      </c>
      <c r="P187">
        <f>IF(Masters!$G42="","",Masters!$H42)</f>
        <v/>
      </c>
    </row>
    <row r="188">
      <c r="A188">
        <f>IF(Masters!$G43="","","Masters")</f>
        <v/>
      </c>
      <c r="B188">
        <f>IF(Masters!$G43="","","Major")</f>
        <v/>
      </c>
      <c r="C188" s="18">
        <f>IF(Masters!$G43="","",Masters!$B$3)</f>
        <v/>
      </c>
      <c r="D188">
        <f>IF(Masters!$G43="","",Masters!$D43&amp;"")</f>
        <v/>
      </c>
      <c r="F188">
        <f>IF(Masters!$G43="","",Masters!$A43&amp;"")</f>
        <v/>
      </c>
      <c r="J188">
        <f>IF(Masters!$G43="","",Masters!$E43)</f>
        <v/>
      </c>
      <c r="K188">
        <f>IF(Masters!$G43="","",Masters!$J43)</f>
        <v/>
      </c>
      <c r="L188">
        <f>IF(Masters!$G43="","","")</f>
        <v/>
      </c>
      <c r="M188">
        <f>IF(Masters!$G43="","",Masters!$F43)</f>
        <v/>
      </c>
      <c r="N188">
        <f>IF(Masters!$G43="","",Masters!$G43)</f>
        <v/>
      </c>
      <c r="O188">
        <f>IF(Masters!$G43="","",Masters!$G43)</f>
        <v/>
      </c>
      <c r="P188">
        <f>IF(Masters!$G43="","",Masters!$H43)</f>
        <v/>
      </c>
    </row>
    <row r="189">
      <c r="A189">
        <f>IF(Masters!$G44="","","Masters")</f>
        <v/>
      </c>
      <c r="B189">
        <f>IF(Masters!$G44="","","Major")</f>
        <v/>
      </c>
      <c r="C189" s="18">
        <f>IF(Masters!$G44="","",Masters!$B$3)</f>
        <v/>
      </c>
      <c r="D189">
        <f>IF(Masters!$G44="","",Masters!$D44&amp;"")</f>
        <v/>
      </c>
      <c r="F189">
        <f>IF(Masters!$G44="","",Masters!$A44&amp;"")</f>
        <v/>
      </c>
      <c r="J189">
        <f>IF(Masters!$G44="","",Masters!$E44)</f>
        <v/>
      </c>
      <c r="K189">
        <f>IF(Masters!$G44="","",Masters!$J44)</f>
        <v/>
      </c>
      <c r="L189">
        <f>IF(Masters!$G44="","","")</f>
        <v/>
      </c>
      <c r="M189">
        <f>IF(Masters!$G44="","",Masters!$F44)</f>
        <v/>
      </c>
      <c r="N189">
        <f>IF(Masters!$G44="","",Masters!$G44)</f>
        <v/>
      </c>
      <c r="O189">
        <f>IF(Masters!$G44="","",Masters!$G44)</f>
        <v/>
      </c>
      <c r="P189">
        <f>IF(Masters!$G44="","",Masters!$H44)</f>
        <v/>
      </c>
    </row>
    <row r="190">
      <c r="A190">
        <f>IF(Masters!$G45="","","Masters")</f>
        <v/>
      </c>
      <c r="B190">
        <f>IF(Masters!$G45="","","Major")</f>
        <v/>
      </c>
      <c r="C190" s="18">
        <f>IF(Masters!$G45="","",Masters!$B$3)</f>
        <v/>
      </c>
      <c r="D190">
        <f>IF(Masters!$G45="","",Masters!$D45&amp;"")</f>
        <v/>
      </c>
      <c r="F190">
        <f>IF(Masters!$G45="","",Masters!$A45&amp;"")</f>
        <v/>
      </c>
      <c r="J190">
        <f>IF(Masters!$G45="","",Masters!$E45)</f>
        <v/>
      </c>
      <c r="K190">
        <f>IF(Masters!$G45="","",Masters!$J45)</f>
        <v/>
      </c>
      <c r="L190">
        <f>IF(Masters!$G45="","","")</f>
        <v/>
      </c>
      <c r="M190">
        <f>IF(Masters!$G45="","",Masters!$F45)</f>
        <v/>
      </c>
      <c r="N190">
        <f>IF(Masters!$G45="","",Masters!$G45)</f>
        <v/>
      </c>
      <c r="O190">
        <f>IF(Masters!$G45="","",Masters!$G45)</f>
        <v/>
      </c>
      <c r="P190">
        <f>IF(Masters!$G45="","",Masters!$H45)</f>
        <v/>
      </c>
    </row>
    <row r="191">
      <c r="A191">
        <f>IF(Masters!$G46="","","Masters")</f>
        <v/>
      </c>
      <c r="B191">
        <f>IF(Masters!$G46="","","Major")</f>
        <v/>
      </c>
      <c r="C191" s="18">
        <f>IF(Masters!$G46="","",Masters!$B$3)</f>
        <v/>
      </c>
      <c r="D191">
        <f>IF(Masters!$G46="","",Masters!$D46&amp;"")</f>
        <v/>
      </c>
      <c r="F191">
        <f>IF(Masters!$G46="","",Masters!$A46&amp;"")</f>
        <v/>
      </c>
      <c r="J191">
        <f>IF(Masters!$G46="","",Masters!$E46)</f>
        <v/>
      </c>
      <c r="K191">
        <f>IF(Masters!$G46="","",Masters!$J46)</f>
        <v/>
      </c>
      <c r="L191">
        <f>IF(Masters!$G46="","","")</f>
        <v/>
      </c>
      <c r="M191">
        <f>IF(Masters!$G46="","",Masters!$F46)</f>
        <v/>
      </c>
      <c r="N191">
        <f>IF(Masters!$G46="","",Masters!$G46)</f>
        <v/>
      </c>
      <c r="O191">
        <f>IF(Masters!$G46="","",Masters!$G46)</f>
        <v/>
      </c>
      <c r="P191">
        <f>IF(Masters!$G46="","",Masters!$H46)</f>
        <v/>
      </c>
    </row>
    <row r="192">
      <c r="A192">
        <f>IF(Masters!$G47="","","Masters")</f>
        <v/>
      </c>
      <c r="B192">
        <f>IF(Masters!$G47="","","Major")</f>
        <v/>
      </c>
      <c r="C192" s="18">
        <f>IF(Masters!$G47="","",Masters!$B$3)</f>
        <v/>
      </c>
      <c r="D192">
        <f>IF(Masters!$G47="","",Masters!$D47&amp;"")</f>
        <v/>
      </c>
      <c r="F192">
        <f>IF(Masters!$G47="","",Masters!$A47&amp;"")</f>
        <v/>
      </c>
      <c r="J192">
        <f>IF(Masters!$G47="","",Masters!$E47)</f>
        <v/>
      </c>
      <c r="K192">
        <f>IF(Masters!$G47="","",Masters!$J47)</f>
        <v/>
      </c>
      <c r="L192">
        <f>IF(Masters!$G47="","","")</f>
        <v/>
      </c>
      <c r="M192">
        <f>IF(Masters!$G47="","",Masters!$F47)</f>
        <v/>
      </c>
      <c r="N192">
        <f>IF(Masters!$G47="","",Masters!$G47)</f>
        <v/>
      </c>
      <c r="O192">
        <f>IF(Masters!$G47="","",Masters!$G47)</f>
        <v/>
      </c>
      <c r="P192">
        <f>IF(Masters!$G47="","",Masters!$H47)</f>
        <v/>
      </c>
    </row>
    <row r="193">
      <c r="A193">
        <f>IF(Masters!$G48="","","Masters")</f>
        <v/>
      </c>
      <c r="B193">
        <f>IF(Masters!$G48="","","Major")</f>
        <v/>
      </c>
      <c r="C193" s="18">
        <f>IF(Masters!$G48="","",Masters!$B$3)</f>
        <v/>
      </c>
      <c r="D193">
        <f>IF(Masters!$G48="","",Masters!$D48&amp;"")</f>
        <v/>
      </c>
      <c r="F193">
        <f>IF(Masters!$G48="","",Masters!$A48&amp;"")</f>
        <v/>
      </c>
      <c r="J193">
        <f>IF(Masters!$G48="","",Masters!$E48)</f>
        <v/>
      </c>
      <c r="K193">
        <f>IF(Masters!$G48="","",Masters!$J48)</f>
        <v/>
      </c>
      <c r="L193">
        <f>IF(Masters!$G48="","","")</f>
        <v/>
      </c>
      <c r="M193">
        <f>IF(Masters!$G48="","",Masters!$F48)</f>
        <v/>
      </c>
      <c r="N193">
        <f>IF(Masters!$G48="","",Masters!$G48)</f>
        <v/>
      </c>
      <c r="O193">
        <f>IF(Masters!$G48="","",Masters!$G48)</f>
        <v/>
      </c>
      <c r="P193">
        <f>IF(Masters!$G48="","",Masters!$H48)</f>
        <v/>
      </c>
    </row>
    <row r="194">
      <c r="A194">
        <f>IF(Masters!$G49="","","Masters")</f>
        <v/>
      </c>
      <c r="B194">
        <f>IF(Masters!$G49="","","Major")</f>
        <v/>
      </c>
      <c r="C194" s="18">
        <f>IF(Masters!$G49="","",Masters!$B$3)</f>
        <v/>
      </c>
      <c r="D194">
        <f>IF(Masters!$G49="","",Masters!$D49&amp;"")</f>
        <v/>
      </c>
      <c r="F194">
        <f>IF(Masters!$G49="","",Masters!$A49&amp;"")</f>
        <v/>
      </c>
      <c r="J194">
        <f>IF(Masters!$G49="","",Masters!$E49)</f>
        <v/>
      </c>
      <c r="K194">
        <f>IF(Masters!$G49="","",Masters!$J49)</f>
        <v/>
      </c>
      <c r="L194">
        <f>IF(Masters!$G49="","","")</f>
        <v/>
      </c>
      <c r="M194">
        <f>IF(Masters!$G49="","",Masters!$F49)</f>
        <v/>
      </c>
      <c r="N194">
        <f>IF(Masters!$G49="","",Masters!$G49)</f>
        <v/>
      </c>
      <c r="O194">
        <f>IF(Masters!$G49="","",Masters!$G49)</f>
        <v/>
      </c>
      <c r="P194">
        <f>IF(Masters!$G49="","",Masters!$H49)</f>
        <v/>
      </c>
    </row>
    <row r="195">
      <c r="A195">
        <f>IF(Masters!$G50="","","Masters")</f>
        <v/>
      </c>
      <c r="B195">
        <f>IF(Masters!$G50="","","Major")</f>
        <v/>
      </c>
      <c r="C195" s="18">
        <f>IF(Masters!$G50="","",Masters!$B$3)</f>
        <v/>
      </c>
      <c r="D195">
        <f>IF(Masters!$G50="","",Masters!$D50&amp;"")</f>
        <v/>
      </c>
      <c r="F195">
        <f>IF(Masters!$G50="","",Masters!$A50&amp;"")</f>
        <v/>
      </c>
      <c r="J195">
        <f>IF(Masters!$G50="","",Masters!$E50)</f>
        <v/>
      </c>
      <c r="K195">
        <f>IF(Masters!$G50="","",Masters!$J50)</f>
        <v/>
      </c>
      <c r="L195">
        <f>IF(Masters!$G50="","","")</f>
        <v/>
      </c>
      <c r="M195">
        <f>IF(Masters!$G50="","",Masters!$F50)</f>
        <v/>
      </c>
      <c r="N195">
        <f>IF(Masters!$G50="","",Masters!$G50)</f>
        <v/>
      </c>
      <c r="O195">
        <f>IF(Masters!$G50="","",Masters!$G50)</f>
        <v/>
      </c>
      <c r="P195">
        <f>IF(Masters!$G50="","",Masters!$H50)</f>
        <v/>
      </c>
    </row>
    <row r="196">
      <c r="A196">
        <f>IF(Masters!$G51="","","Masters")</f>
        <v/>
      </c>
      <c r="B196">
        <f>IF(Masters!$G51="","","Major")</f>
        <v/>
      </c>
      <c r="C196" s="18">
        <f>IF(Masters!$G51="","",Masters!$B$3)</f>
        <v/>
      </c>
      <c r="D196">
        <f>IF(Masters!$G51="","",Masters!$D51&amp;"")</f>
        <v/>
      </c>
      <c r="F196">
        <f>IF(Masters!$G51="","",Masters!$A51&amp;"")</f>
        <v/>
      </c>
      <c r="J196">
        <f>IF(Masters!$G51="","",Masters!$E51)</f>
        <v/>
      </c>
      <c r="K196">
        <f>IF(Masters!$G51="","",Masters!$J51)</f>
        <v/>
      </c>
      <c r="L196">
        <f>IF(Masters!$G51="","","")</f>
        <v/>
      </c>
      <c r="M196">
        <f>IF(Masters!$G51="","",Masters!$F51)</f>
        <v/>
      </c>
      <c r="N196">
        <f>IF(Masters!$G51="","",Masters!$G51)</f>
        <v/>
      </c>
      <c r="O196">
        <f>IF(Masters!$G51="","",Masters!$G51)</f>
        <v/>
      </c>
      <c r="P196">
        <f>IF(Masters!$G51="","",Masters!$H51)</f>
        <v/>
      </c>
    </row>
    <row r="197">
      <c r="A197">
        <f>IF(Masters!$G52="","","Masters")</f>
        <v/>
      </c>
      <c r="B197">
        <f>IF(Masters!$G52="","","Major")</f>
        <v/>
      </c>
      <c r="C197" s="18">
        <f>IF(Masters!$G52="","",Masters!$B$3)</f>
        <v/>
      </c>
      <c r="D197">
        <f>IF(Masters!$G52="","",Masters!$D52&amp;"")</f>
        <v/>
      </c>
      <c r="F197">
        <f>IF(Masters!$G52="","",Masters!$A52&amp;"")</f>
        <v/>
      </c>
      <c r="J197">
        <f>IF(Masters!$G52="","",Masters!$E52)</f>
        <v/>
      </c>
      <c r="K197">
        <f>IF(Masters!$G52="","",Masters!$J52)</f>
        <v/>
      </c>
      <c r="L197">
        <f>IF(Masters!$G52="","","")</f>
        <v/>
      </c>
      <c r="M197">
        <f>IF(Masters!$G52="","",Masters!$F52)</f>
        <v/>
      </c>
      <c r="N197">
        <f>IF(Masters!$G52="","",Masters!$G52)</f>
        <v/>
      </c>
      <c r="O197">
        <f>IF(Masters!$G52="","",Masters!$G52)</f>
        <v/>
      </c>
      <c r="P197">
        <f>IF(Masters!$G52="","",Masters!$H52)</f>
        <v/>
      </c>
    </row>
    <row r="198">
      <c r="A198">
        <f>IF(Masters!$G53="","","Masters")</f>
        <v/>
      </c>
      <c r="B198">
        <f>IF(Masters!$G53="","","Major")</f>
        <v/>
      </c>
      <c r="C198" s="18">
        <f>IF(Masters!$G53="","",Masters!$B$3)</f>
        <v/>
      </c>
      <c r="D198">
        <f>IF(Masters!$G53="","",Masters!$D53&amp;"")</f>
        <v/>
      </c>
      <c r="F198">
        <f>IF(Masters!$G53="","",Masters!$A53&amp;"")</f>
        <v/>
      </c>
      <c r="J198">
        <f>IF(Masters!$G53="","",Masters!$E53)</f>
        <v/>
      </c>
      <c r="K198">
        <f>IF(Masters!$G53="","",Masters!$J53)</f>
        <v/>
      </c>
      <c r="L198">
        <f>IF(Masters!$G53="","","")</f>
        <v/>
      </c>
      <c r="M198">
        <f>IF(Masters!$G53="","",Masters!$F53)</f>
        <v/>
      </c>
      <c r="N198">
        <f>IF(Masters!$G53="","",Masters!$G53)</f>
        <v/>
      </c>
      <c r="O198">
        <f>IF(Masters!$G53="","",Masters!$G53)</f>
        <v/>
      </c>
      <c r="P198">
        <f>IF(Masters!$G53="","",Masters!$H53)</f>
        <v/>
      </c>
    </row>
    <row r="199">
      <c r="A199">
        <f>IF(Masters!$G54="","","Masters")</f>
        <v/>
      </c>
      <c r="B199">
        <f>IF(Masters!$G54="","","Major")</f>
        <v/>
      </c>
      <c r="C199" s="18">
        <f>IF(Masters!$G54="","",Masters!$B$3)</f>
        <v/>
      </c>
      <c r="D199">
        <f>IF(Masters!$G54="","",Masters!$D54&amp;"")</f>
        <v/>
      </c>
      <c r="F199">
        <f>IF(Masters!$G54="","",Masters!$A54&amp;"")</f>
        <v/>
      </c>
      <c r="J199">
        <f>IF(Masters!$G54="","",Masters!$E54)</f>
        <v/>
      </c>
      <c r="K199">
        <f>IF(Masters!$G54="","",Masters!$J54)</f>
        <v/>
      </c>
      <c r="L199">
        <f>IF(Masters!$G54="","","")</f>
        <v/>
      </c>
      <c r="M199">
        <f>IF(Masters!$G54="","",Masters!$F54)</f>
        <v/>
      </c>
      <c r="N199">
        <f>IF(Masters!$G54="","",Masters!$G54)</f>
        <v/>
      </c>
      <c r="O199">
        <f>IF(Masters!$G54="","",Masters!$G54)</f>
        <v/>
      </c>
      <c r="P199">
        <f>IF(Masters!$G54="","",Masters!$H54)</f>
        <v/>
      </c>
    </row>
    <row r="200">
      <c r="A200">
        <f>IF(Masters!$G55="","","Masters")</f>
        <v/>
      </c>
      <c r="B200">
        <f>IF(Masters!$G55="","","Major")</f>
        <v/>
      </c>
      <c r="C200" s="18">
        <f>IF(Masters!$G55="","",Masters!$B$3)</f>
        <v/>
      </c>
      <c r="D200">
        <f>IF(Masters!$G55="","",Masters!$D55&amp;"")</f>
        <v/>
      </c>
      <c r="F200">
        <f>IF(Masters!$G55="","",Masters!$A55&amp;"")</f>
        <v/>
      </c>
      <c r="J200">
        <f>IF(Masters!$G55="","",Masters!$E55)</f>
        <v/>
      </c>
      <c r="K200">
        <f>IF(Masters!$G55="","",Masters!$J55)</f>
        <v/>
      </c>
      <c r="L200">
        <f>IF(Masters!$G55="","","")</f>
        <v/>
      </c>
      <c r="M200">
        <f>IF(Masters!$G55="","",Masters!$F55)</f>
        <v/>
      </c>
      <c r="N200">
        <f>IF(Masters!$G55="","",Masters!$G55)</f>
        <v/>
      </c>
      <c r="O200">
        <f>IF(Masters!$G55="","",Masters!$G55)</f>
        <v/>
      </c>
      <c r="P200">
        <f>IF(Masters!$G55="","",Masters!$H55)</f>
        <v/>
      </c>
    </row>
    <row r="201">
      <c r="A201">
        <f>IF(Masters!$G56="","","Masters")</f>
        <v/>
      </c>
      <c r="B201">
        <f>IF(Masters!$G56="","","Major")</f>
        <v/>
      </c>
      <c r="C201" s="18">
        <f>IF(Masters!$G56="","",Masters!$B$3)</f>
        <v/>
      </c>
      <c r="D201">
        <f>IF(Masters!$G56="","",Masters!$D56&amp;"")</f>
        <v/>
      </c>
      <c r="F201">
        <f>IF(Masters!$G56="","",Masters!$A56&amp;"")</f>
        <v/>
      </c>
      <c r="J201">
        <f>IF(Masters!$G56="","",Masters!$E56)</f>
        <v/>
      </c>
      <c r="K201">
        <f>IF(Masters!$G56="","",Masters!$J56)</f>
        <v/>
      </c>
      <c r="L201">
        <f>IF(Masters!$G56="","","")</f>
        <v/>
      </c>
      <c r="M201">
        <f>IF(Masters!$G56="","",Masters!$F56)</f>
        <v/>
      </c>
      <c r="N201">
        <f>IF(Masters!$G56="","",Masters!$G56)</f>
        <v/>
      </c>
      <c r="O201">
        <f>IF(Masters!$G56="","",Masters!$G56)</f>
        <v/>
      </c>
      <c r="P201">
        <f>IF(Masters!$G56="","",Masters!$H56)</f>
        <v/>
      </c>
    </row>
    <row r="202">
      <c r="A202">
        <f>IF(Masters!$G57="","","Masters")</f>
        <v/>
      </c>
      <c r="B202">
        <f>IF(Masters!$G57="","","Major")</f>
        <v/>
      </c>
      <c r="C202" s="18">
        <f>IF(Masters!$G57="","",Masters!$B$3)</f>
        <v/>
      </c>
      <c r="D202">
        <f>IF(Masters!$G57="","",Masters!$D57&amp;"")</f>
        <v/>
      </c>
      <c r="F202">
        <f>IF(Masters!$G57="","",Masters!$A57&amp;"")</f>
        <v/>
      </c>
      <c r="J202">
        <f>IF(Masters!$G57="","",Masters!$E57)</f>
        <v/>
      </c>
      <c r="K202">
        <f>IF(Masters!$G57="","",Masters!$J57)</f>
        <v/>
      </c>
      <c r="L202">
        <f>IF(Masters!$G57="","","")</f>
        <v/>
      </c>
      <c r="M202">
        <f>IF(Masters!$G57="","",Masters!$F57)</f>
        <v/>
      </c>
      <c r="N202">
        <f>IF(Masters!$G57="","",Masters!$G57)</f>
        <v/>
      </c>
      <c r="O202">
        <f>IF(Masters!$G57="","",Masters!$G57)</f>
        <v/>
      </c>
      <c r="P202">
        <f>IF(Masters!$G57="","",Masters!$H57)</f>
        <v/>
      </c>
    </row>
    <row r="203">
      <c r="A203">
        <f>IF(Masters!$G58="","","Masters")</f>
        <v/>
      </c>
      <c r="B203">
        <f>IF(Masters!$G58="","","Major")</f>
        <v/>
      </c>
      <c r="C203" s="18">
        <f>IF(Masters!$G58="","",Masters!$B$3)</f>
        <v/>
      </c>
      <c r="D203">
        <f>IF(Masters!$G58="","",Masters!$D58&amp;"")</f>
        <v/>
      </c>
      <c r="F203">
        <f>IF(Masters!$G58="","",Masters!$A58&amp;"")</f>
        <v/>
      </c>
      <c r="J203">
        <f>IF(Masters!$G58="","",Masters!$E58)</f>
        <v/>
      </c>
      <c r="K203">
        <f>IF(Masters!$G58="","",Masters!$J58)</f>
        <v/>
      </c>
      <c r="L203">
        <f>IF(Masters!$G58="","","")</f>
        <v/>
      </c>
      <c r="M203">
        <f>IF(Masters!$G58="","",Masters!$F58)</f>
        <v/>
      </c>
      <c r="N203">
        <f>IF(Masters!$G58="","",Masters!$G58)</f>
        <v/>
      </c>
      <c r="O203">
        <f>IF(Masters!$G58="","",Masters!$G58)</f>
        <v/>
      </c>
      <c r="P203">
        <f>IF(Masters!$G58="","",Masters!$H58)</f>
        <v/>
      </c>
    </row>
    <row r="204">
      <c r="A204">
        <f>IF(Masters!$G59="","","Masters")</f>
        <v/>
      </c>
      <c r="B204">
        <f>IF(Masters!$G59="","","Major")</f>
        <v/>
      </c>
      <c r="C204" s="18">
        <f>IF(Masters!$G59="","",Masters!$B$3)</f>
        <v/>
      </c>
      <c r="D204">
        <f>IF(Masters!$G59="","",Masters!$D59&amp;"")</f>
        <v/>
      </c>
      <c r="F204">
        <f>IF(Masters!$G59="","",Masters!$A59&amp;"")</f>
        <v/>
      </c>
      <c r="J204">
        <f>IF(Masters!$G59="","",Masters!$E59)</f>
        <v/>
      </c>
      <c r="K204">
        <f>IF(Masters!$G59="","",Masters!$J59)</f>
        <v/>
      </c>
      <c r="L204">
        <f>IF(Masters!$G59="","","")</f>
        <v/>
      </c>
      <c r="M204">
        <f>IF(Masters!$G59="","",Masters!$F59)</f>
        <v/>
      </c>
      <c r="N204">
        <f>IF(Masters!$G59="","",Masters!$G59)</f>
        <v/>
      </c>
      <c r="O204">
        <f>IF(Masters!$G59="","",Masters!$G59)</f>
        <v/>
      </c>
      <c r="P204">
        <f>IF(Masters!$G59="","",Masters!$H59)</f>
        <v/>
      </c>
    </row>
    <row r="205">
      <c r="A205">
        <f>IF(Masters!$G60="","","Masters")</f>
        <v/>
      </c>
      <c r="B205">
        <f>IF(Masters!$G60="","","Major")</f>
        <v/>
      </c>
      <c r="C205" s="18">
        <f>IF(Masters!$G60="","",Masters!$B$3)</f>
        <v/>
      </c>
      <c r="D205">
        <f>IF(Masters!$G60="","",Masters!$D60&amp;"")</f>
        <v/>
      </c>
      <c r="F205">
        <f>IF(Masters!$G60="","",Masters!$A60&amp;"")</f>
        <v/>
      </c>
      <c r="J205">
        <f>IF(Masters!$G60="","",Masters!$E60)</f>
        <v/>
      </c>
      <c r="K205">
        <f>IF(Masters!$G60="","",Masters!$J60)</f>
        <v/>
      </c>
      <c r="L205">
        <f>IF(Masters!$G60="","","")</f>
        <v/>
      </c>
      <c r="M205">
        <f>IF(Masters!$G60="","",Masters!$F60)</f>
        <v/>
      </c>
      <c r="N205">
        <f>IF(Masters!$G60="","",Masters!$G60)</f>
        <v/>
      </c>
      <c r="O205">
        <f>IF(Masters!$G60="","",Masters!$G60)</f>
        <v/>
      </c>
      <c r="P205">
        <f>IF(Masters!$G60="","",Masters!$H60)</f>
        <v/>
      </c>
    </row>
    <row r="206">
      <c r="A206">
        <f>IF(Masters!$G61="","","Masters")</f>
        <v/>
      </c>
      <c r="B206">
        <f>IF(Masters!$G61="","","Major")</f>
        <v/>
      </c>
      <c r="C206" s="18">
        <f>IF(Masters!$G61="","",Masters!$B$3)</f>
        <v/>
      </c>
      <c r="D206">
        <f>IF(Masters!$G61="","",Masters!$D61&amp;"")</f>
        <v/>
      </c>
      <c r="F206">
        <f>IF(Masters!$G61="","",Masters!$A61&amp;"")</f>
        <v/>
      </c>
      <c r="J206">
        <f>IF(Masters!$G61="","",Masters!$E61)</f>
        <v/>
      </c>
      <c r="K206">
        <f>IF(Masters!$G61="","",Masters!$J61)</f>
        <v/>
      </c>
      <c r="L206">
        <f>IF(Masters!$G61="","","")</f>
        <v/>
      </c>
      <c r="M206">
        <f>IF(Masters!$G61="","",Masters!$F61)</f>
        <v/>
      </c>
      <c r="N206">
        <f>IF(Masters!$G61="","",Masters!$G61)</f>
        <v/>
      </c>
      <c r="O206">
        <f>IF(Masters!$G61="","",Masters!$G61)</f>
        <v/>
      </c>
      <c r="P206">
        <f>IF(Masters!$G61="","",Masters!$H61)</f>
        <v/>
      </c>
    </row>
    <row r="207">
      <c r="A207">
        <f>IF(Masters!$G62="","","Masters")</f>
        <v/>
      </c>
      <c r="B207">
        <f>IF(Masters!$G62="","","Major")</f>
        <v/>
      </c>
      <c r="C207" s="18">
        <f>IF(Masters!$G62="","",Masters!$B$3)</f>
        <v/>
      </c>
      <c r="D207">
        <f>IF(Masters!$G62="","",Masters!$D62&amp;"")</f>
        <v/>
      </c>
      <c r="F207">
        <f>IF(Masters!$G62="","",Masters!$A62&amp;"")</f>
        <v/>
      </c>
      <c r="J207">
        <f>IF(Masters!$G62="","",Masters!$E62)</f>
        <v/>
      </c>
      <c r="K207">
        <f>IF(Masters!$G62="","",Masters!$J62)</f>
        <v/>
      </c>
      <c r="L207">
        <f>IF(Masters!$G62="","","")</f>
        <v/>
      </c>
      <c r="M207">
        <f>IF(Masters!$G62="","",Masters!$F62)</f>
        <v/>
      </c>
      <c r="N207">
        <f>IF(Masters!$G62="","",Masters!$G62)</f>
        <v/>
      </c>
      <c r="O207">
        <f>IF(Masters!$G62="","",Masters!$G62)</f>
        <v/>
      </c>
      <c r="P207">
        <f>IF(Masters!$G62="","",Masters!$H62)</f>
        <v/>
      </c>
    </row>
    <row r="208">
      <c r="A208">
        <f>IF(Masters!$G63="","","Masters")</f>
        <v/>
      </c>
      <c r="B208">
        <f>IF(Masters!$G63="","","Major")</f>
        <v/>
      </c>
      <c r="C208" s="18">
        <f>IF(Masters!$G63="","",Masters!$B$3)</f>
        <v/>
      </c>
      <c r="D208">
        <f>IF(Masters!$G63="","",Masters!$D63&amp;"")</f>
        <v/>
      </c>
      <c r="F208">
        <f>IF(Masters!$G63="","",Masters!$A63&amp;"")</f>
        <v/>
      </c>
      <c r="J208">
        <f>IF(Masters!$G63="","",Masters!$E63)</f>
        <v/>
      </c>
      <c r="K208">
        <f>IF(Masters!$G63="","",Masters!$J63)</f>
        <v/>
      </c>
      <c r="L208">
        <f>IF(Masters!$G63="","","")</f>
        <v/>
      </c>
      <c r="M208">
        <f>IF(Masters!$G63="","",Masters!$F63)</f>
        <v/>
      </c>
      <c r="N208">
        <f>IF(Masters!$G63="","",Masters!$G63)</f>
        <v/>
      </c>
      <c r="O208">
        <f>IF(Masters!$G63="","",Masters!$G63)</f>
        <v/>
      </c>
      <c r="P208">
        <f>IF(Masters!$G63="","",Masters!$H63)</f>
        <v/>
      </c>
    </row>
    <row r="209">
      <c r="A209">
        <f>IF(Masters!$G64="","","Masters")</f>
        <v/>
      </c>
      <c r="B209">
        <f>IF(Masters!$G64="","","Major")</f>
        <v/>
      </c>
      <c r="C209" s="18">
        <f>IF(Masters!$G64="","",Masters!$B$3)</f>
        <v/>
      </c>
      <c r="D209">
        <f>IF(Masters!$G64="","",Masters!$D64&amp;"")</f>
        <v/>
      </c>
      <c r="F209">
        <f>IF(Masters!$G64="","",Masters!$A64&amp;"")</f>
        <v/>
      </c>
      <c r="J209">
        <f>IF(Masters!$G64="","",Masters!$E64)</f>
        <v/>
      </c>
      <c r="K209">
        <f>IF(Masters!$G64="","",Masters!$J64)</f>
        <v/>
      </c>
      <c r="L209">
        <f>IF(Masters!$G64="","","")</f>
        <v/>
      </c>
      <c r="M209">
        <f>IF(Masters!$G64="","",Masters!$F64)</f>
        <v/>
      </c>
      <c r="N209">
        <f>IF(Masters!$G64="","",Masters!$G64)</f>
        <v/>
      </c>
      <c r="O209">
        <f>IF(Masters!$G64="","",Masters!$G64)</f>
        <v/>
      </c>
      <c r="P209">
        <f>IF(Masters!$G64="","",Masters!$H64)</f>
        <v/>
      </c>
    </row>
    <row r="210">
      <c r="A210">
        <f>IF(Masters!$G65="","","Masters")</f>
        <v/>
      </c>
      <c r="B210">
        <f>IF(Masters!$G65="","","Major")</f>
        <v/>
      </c>
      <c r="C210" s="18">
        <f>IF(Masters!$G65="","",Masters!$B$3)</f>
        <v/>
      </c>
      <c r="D210">
        <f>IF(Masters!$G65="","",Masters!$D65&amp;"")</f>
        <v/>
      </c>
      <c r="F210">
        <f>IF(Masters!$G65="","",Masters!$A65&amp;"")</f>
        <v/>
      </c>
      <c r="J210">
        <f>IF(Masters!$G65="","",Masters!$E65)</f>
        <v/>
      </c>
      <c r="K210">
        <f>IF(Masters!$G65="","",Masters!$J65)</f>
        <v/>
      </c>
      <c r="L210">
        <f>IF(Masters!$G65="","","")</f>
        <v/>
      </c>
      <c r="M210">
        <f>IF(Masters!$G65="","",Masters!$F65)</f>
        <v/>
      </c>
      <c r="N210">
        <f>IF(Masters!$G65="","",Masters!$G65)</f>
        <v/>
      </c>
      <c r="O210">
        <f>IF(Masters!$G65="","",Masters!$G65)</f>
        <v/>
      </c>
      <c r="P210">
        <f>IF(Masters!$G65="","",Masters!$H65)</f>
        <v/>
      </c>
    </row>
    <row r="211">
      <c r="A211">
        <f>IF(Masters!$G66="","","Masters")</f>
        <v/>
      </c>
      <c r="B211">
        <f>IF(Masters!$G66="","","Major")</f>
        <v/>
      </c>
      <c r="C211" s="18">
        <f>IF(Masters!$G66="","",Masters!$B$3)</f>
        <v/>
      </c>
      <c r="D211">
        <f>IF(Masters!$G66="","",Masters!$D66&amp;"")</f>
        <v/>
      </c>
      <c r="F211">
        <f>IF(Masters!$G66="","",Masters!$A66&amp;"")</f>
        <v/>
      </c>
      <c r="J211">
        <f>IF(Masters!$G66="","",Masters!$E66)</f>
        <v/>
      </c>
      <c r="K211">
        <f>IF(Masters!$G66="","",Masters!$J66)</f>
        <v/>
      </c>
      <c r="L211">
        <f>IF(Masters!$G66="","","")</f>
        <v/>
      </c>
      <c r="M211">
        <f>IF(Masters!$G66="","",Masters!$F66)</f>
        <v/>
      </c>
      <c r="N211">
        <f>IF(Masters!$G66="","",Masters!$G66)</f>
        <v/>
      </c>
      <c r="O211">
        <f>IF(Masters!$G66="","",Masters!$G66)</f>
        <v/>
      </c>
      <c r="P211">
        <f>IF(Masters!$G66="","",Masters!$H66)</f>
        <v/>
      </c>
    </row>
    <row r="212">
      <c r="A212">
        <f>IF(Masters!$G67="","","Masters")</f>
        <v/>
      </c>
      <c r="B212">
        <f>IF(Masters!$G67="","","Major")</f>
        <v/>
      </c>
      <c r="C212" s="18">
        <f>IF(Masters!$G67="","",Masters!$B$3)</f>
        <v/>
      </c>
      <c r="D212">
        <f>IF(Masters!$G67="","",Masters!$D67&amp;"")</f>
        <v/>
      </c>
      <c r="F212">
        <f>IF(Masters!$G67="","",Masters!$A67&amp;"")</f>
        <v/>
      </c>
      <c r="J212">
        <f>IF(Masters!$G67="","",Masters!$E67)</f>
        <v/>
      </c>
      <c r="K212">
        <f>IF(Masters!$G67="","",Masters!$J67)</f>
        <v/>
      </c>
      <c r="L212">
        <f>IF(Masters!$G67="","","")</f>
        <v/>
      </c>
      <c r="M212">
        <f>IF(Masters!$G67="","",Masters!$F67)</f>
        <v/>
      </c>
      <c r="N212">
        <f>IF(Masters!$G67="","",Masters!$G67)</f>
        <v/>
      </c>
      <c r="O212">
        <f>IF(Masters!$G67="","",Masters!$G67)</f>
        <v/>
      </c>
      <c r="P212">
        <f>IF(Masters!$G67="","",Masters!$H67)</f>
        <v/>
      </c>
    </row>
    <row r="213">
      <c r="A213">
        <f>IF(Masters!$G68="","","Masters")</f>
        <v/>
      </c>
      <c r="B213">
        <f>IF(Masters!$G68="","","Major")</f>
        <v/>
      </c>
      <c r="C213" s="18">
        <f>IF(Masters!$G68="","",Masters!$B$3)</f>
        <v/>
      </c>
      <c r="D213">
        <f>IF(Masters!$G68="","",Masters!$D68&amp;"")</f>
        <v/>
      </c>
      <c r="F213">
        <f>IF(Masters!$G68="","",Masters!$A68&amp;"")</f>
        <v/>
      </c>
      <c r="J213">
        <f>IF(Masters!$G68="","",Masters!$E68)</f>
        <v/>
      </c>
      <c r="K213">
        <f>IF(Masters!$G68="","",Masters!$J68)</f>
        <v/>
      </c>
      <c r="L213">
        <f>IF(Masters!$G68="","","")</f>
        <v/>
      </c>
      <c r="M213">
        <f>IF(Masters!$G68="","",Masters!$F68)</f>
        <v/>
      </c>
      <c r="N213">
        <f>IF(Masters!$G68="","",Masters!$G68)</f>
        <v/>
      </c>
      <c r="O213">
        <f>IF(Masters!$G68="","",Masters!$G68)</f>
        <v/>
      </c>
      <c r="P213">
        <f>IF(Masters!$G68="","",Masters!$H68)</f>
        <v/>
      </c>
    </row>
    <row r="214">
      <c r="A214">
        <f>IF(Masters!$G69="","","Masters")</f>
        <v/>
      </c>
      <c r="B214">
        <f>IF(Masters!$G69="","","Major")</f>
        <v/>
      </c>
      <c r="C214" s="18">
        <f>IF(Masters!$G69="","",Masters!$B$3)</f>
        <v/>
      </c>
      <c r="D214">
        <f>IF(Masters!$G69="","",Masters!$D69&amp;"")</f>
        <v/>
      </c>
      <c r="F214">
        <f>IF(Masters!$G69="","",Masters!$A69&amp;"")</f>
        <v/>
      </c>
      <c r="J214">
        <f>IF(Masters!$G69="","",Masters!$E69)</f>
        <v/>
      </c>
      <c r="K214">
        <f>IF(Masters!$G69="","",Masters!$J69)</f>
        <v/>
      </c>
      <c r="L214">
        <f>IF(Masters!$G69="","","")</f>
        <v/>
      </c>
      <c r="M214">
        <f>IF(Masters!$G69="","",Masters!$F69)</f>
        <v/>
      </c>
      <c r="N214">
        <f>IF(Masters!$G69="","",Masters!$G69)</f>
        <v/>
      </c>
      <c r="O214">
        <f>IF(Masters!$G69="","",Masters!$G69)</f>
        <v/>
      </c>
      <c r="P214">
        <f>IF(Masters!$G69="","",Masters!$H69)</f>
        <v/>
      </c>
    </row>
    <row r="215">
      <c r="A215">
        <f>IF(Masters!$G70="","","Masters")</f>
        <v/>
      </c>
      <c r="B215">
        <f>IF(Masters!$G70="","","Major")</f>
        <v/>
      </c>
      <c r="C215" s="18">
        <f>IF(Masters!$G70="","",Masters!$B$3)</f>
        <v/>
      </c>
      <c r="D215">
        <f>IF(Masters!$G70="","",Masters!$D70&amp;"")</f>
        <v/>
      </c>
      <c r="F215">
        <f>IF(Masters!$G70="","",Masters!$A70&amp;"")</f>
        <v/>
      </c>
      <c r="J215">
        <f>IF(Masters!$G70="","",Masters!$E70)</f>
        <v/>
      </c>
      <c r="K215">
        <f>IF(Masters!$G70="","",Masters!$J70)</f>
        <v/>
      </c>
      <c r="L215">
        <f>IF(Masters!$G70="","","")</f>
        <v/>
      </c>
      <c r="M215">
        <f>IF(Masters!$G70="","",Masters!$F70)</f>
        <v/>
      </c>
      <c r="N215">
        <f>IF(Masters!$G70="","",Masters!$G70)</f>
        <v/>
      </c>
      <c r="O215">
        <f>IF(Masters!$G70="","",Masters!$G70)</f>
        <v/>
      </c>
      <c r="P215">
        <f>IF(Masters!$G70="","",Masters!$H70)</f>
        <v/>
      </c>
    </row>
    <row r="216">
      <c r="A216">
        <f>IF(Masters!$G71="","","Masters")</f>
        <v/>
      </c>
      <c r="B216">
        <f>IF(Masters!$G71="","","Major")</f>
        <v/>
      </c>
      <c r="C216" s="18">
        <f>IF(Masters!$G71="","",Masters!$B$3)</f>
        <v/>
      </c>
      <c r="D216">
        <f>IF(Masters!$G71="","",Masters!$D71&amp;"")</f>
        <v/>
      </c>
      <c r="F216">
        <f>IF(Masters!$G71="","",Masters!$A71&amp;"")</f>
        <v/>
      </c>
      <c r="J216">
        <f>IF(Masters!$G71="","",Masters!$E71)</f>
        <v/>
      </c>
      <c r="K216">
        <f>IF(Masters!$G71="","",Masters!$J71)</f>
        <v/>
      </c>
      <c r="L216">
        <f>IF(Masters!$G71="","","")</f>
        <v/>
      </c>
      <c r="M216">
        <f>IF(Masters!$G71="","",Masters!$F71)</f>
        <v/>
      </c>
      <c r="N216">
        <f>IF(Masters!$G71="","",Masters!$G71)</f>
        <v/>
      </c>
      <c r="O216">
        <f>IF(Masters!$G71="","",Masters!$G71)</f>
        <v/>
      </c>
      <c r="P216">
        <f>IF(Masters!$G71="","",Masters!$H71)</f>
        <v/>
      </c>
    </row>
    <row r="217">
      <c r="A217">
        <f>IF(Masters!$G72="","","Masters")</f>
        <v/>
      </c>
      <c r="B217">
        <f>IF(Masters!$G72="","","Major")</f>
        <v/>
      </c>
      <c r="C217" s="18">
        <f>IF(Masters!$G72="","",Masters!$B$3)</f>
        <v/>
      </c>
      <c r="D217">
        <f>IF(Masters!$G72="","",Masters!$D72&amp;"")</f>
        <v/>
      </c>
      <c r="F217">
        <f>IF(Masters!$G72="","",Masters!$A72&amp;"")</f>
        <v/>
      </c>
      <c r="J217">
        <f>IF(Masters!$G72="","",Masters!$E72)</f>
        <v/>
      </c>
      <c r="K217">
        <f>IF(Masters!$G72="","",Masters!$J72)</f>
        <v/>
      </c>
      <c r="L217">
        <f>IF(Masters!$G72="","","")</f>
        <v/>
      </c>
      <c r="M217">
        <f>IF(Masters!$G72="","",Masters!$F72)</f>
        <v/>
      </c>
      <c r="N217">
        <f>IF(Masters!$G72="","",Masters!$G72)</f>
        <v/>
      </c>
      <c r="O217">
        <f>IF(Masters!$G72="","",Masters!$G72)</f>
        <v/>
      </c>
      <c r="P217">
        <f>IF(Masters!$G72="","",Masters!$H72)</f>
        <v/>
      </c>
    </row>
    <row r="218">
      <c r="A218">
        <f>IF(Masters!$G73="","","Masters")</f>
        <v/>
      </c>
      <c r="B218">
        <f>IF(Masters!$G73="","","Major")</f>
        <v/>
      </c>
      <c r="C218" s="18">
        <f>IF(Masters!$G73="","",Masters!$B$3)</f>
        <v/>
      </c>
      <c r="D218">
        <f>IF(Masters!$G73="","",Masters!$D73&amp;"")</f>
        <v/>
      </c>
      <c r="F218">
        <f>IF(Masters!$G73="","",Masters!$A73&amp;"")</f>
        <v/>
      </c>
      <c r="J218">
        <f>IF(Masters!$G73="","",Masters!$E73)</f>
        <v/>
      </c>
      <c r="K218">
        <f>IF(Masters!$G73="","",Masters!$J73)</f>
        <v/>
      </c>
      <c r="L218">
        <f>IF(Masters!$G73="","","")</f>
        <v/>
      </c>
      <c r="M218">
        <f>IF(Masters!$G73="","",Masters!$F73)</f>
        <v/>
      </c>
      <c r="N218">
        <f>IF(Masters!$G73="","",Masters!$G73)</f>
        <v/>
      </c>
      <c r="O218">
        <f>IF(Masters!$G73="","",Masters!$G73)</f>
        <v/>
      </c>
      <c r="P218">
        <f>IF(Masters!$G73="","",Masters!$H73)</f>
        <v/>
      </c>
    </row>
    <row r="219">
      <c r="A219">
        <f>IF(Masters!$G74="","","Masters")</f>
        <v/>
      </c>
      <c r="B219">
        <f>IF(Masters!$G74="","","Major")</f>
        <v/>
      </c>
      <c r="C219" s="18">
        <f>IF(Masters!$G74="","",Masters!$B$3)</f>
        <v/>
      </c>
      <c r="D219">
        <f>IF(Masters!$G74="","",Masters!$D74&amp;"")</f>
        <v/>
      </c>
      <c r="F219">
        <f>IF(Masters!$G74="","",Masters!$A74&amp;"")</f>
        <v/>
      </c>
      <c r="J219">
        <f>IF(Masters!$G74="","",Masters!$E74)</f>
        <v/>
      </c>
      <c r="K219">
        <f>IF(Masters!$G74="","",Masters!$J74)</f>
        <v/>
      </c>
      <c r="L219">
        <f>IF(Masters!$G74="","","")</f>
        <v/>
      </c>
      <c r="M219">
        <f>IF(Masters!$G74="","",Masters!$F74)</f>
        <v/>
      </c>
      <c r="N219">
        <f>IF(Masters!$G74="","",Masters!$G74)</f>
        <v/>
      </c>
      <c r="O219">
        <f>IF(Masters!$G74="","",Masters!$G74)</f>
        <v/>
      </c>
      <c r="P219">
        <f>IF(Masters!$G74="","",Masters!$H74)</f>
        <v/>
      </c>
    </row>
    <row r="220">
      <c r="A220">
        <f>IF(Masters!$G75="","","Masters")</f>
        <v/>
      </c>
      <c r="B220">
        <f>IF(Masters!$G75="","","Major")</f>
        <v/>
      </c>
      <c r="C220" s="18">
        <f>IF(Masters!$G75="","",Masters!$B$3)</f>
        <v/>
      </c>
      <c r="D220">
        <f>IF(Masters!$G75="","",Masters!$D75&amp;"")</f>
        <v/>
      </c>
      <c r="F220">
        <f>IF(Masters!$G75="","",Masters!$A75&amp;"")</f>
        <v/>
      </c>
      <c r="J220">
        <f>IF(Masters!$G75="","",Masters!$E75)</f>
        <v/>
      </c>
      <c r="K220">
        <f>IF(Masters!$G75="","",Masters!$J75)</f>
        <v/>
      </c>
      <c r="L220">
        <f>IF(Masters!$G75="","","")</f>
        <v/>
      </c>
      <c r="M220">
        <f>IF(Masters!$G75="","",Masters!$F75)</f>
        <v/>
      </c>
      <c r="N220">
        <f>IF(Masters!$G75="","",Masters!$G75)</f>
        <v/>
      </c>
      <c r="O220">
        <f>IF(Masters!$G75="","",Masters!$G75)</f>
        <v/>
      </c>
      <c r="P220">
        <f>IF(Masters!$G75="","",Masters!$H75)</f>
        <v/>
      </c>
    </row>
    <row r="221">
      <c r="A221">
        <f>IF(Masters!$G76="","","Masters")</f>
        <v/>
      </c>
      <c r="B221">
        <f>IF(Masters!$G76="","","Major")</f>
        <v/>
      </c>
      <c r="C221" s="18">
        <f>IF(Masters!$G76="","",Masters!$B$3)</f>
        <v/>
      </c>
      <c r="D221">
        <f>IF(Masters!$G76="","",Masters!$D76&amp;"")</f>
        <v/>
      </c>
      <c r="F221">
        <f>IF(Masters!$G76="","",Masters!$A76&amp;"")</f>
        <v/>
      </c>
      <c r="J221">
        <f>IF(Masters!$G76="","",Masters!$E76)</f>
        <v/>
      </c>
      <c r="K221">
        <f>IF(Masters!$G76="","",Masters!$J76)</f>
        <v/>
      </c>
      <c r="L221">
        <f>IF(Masters!$G76="","","")</f>
        <v/>
      </c>
      <c r="M221">
        <f>IF(Masters!$G76="","",Masters!$F76)</f>
        <v/>
      </c>
      <c r="N221">
        <f>IF(Masters!$G76="","",Masters!$G76)</f>
        <v/>
      </c>
      <c r="O221">
        <f>IF(Masters!$G76="","",Masters!$G76)</f>
        <v/>
      </c>
      <c r="P221">
        <f>IF(Masters!$G76="","",Masters!$H76)</f>
        <v/>
      </c>
    </row>
    <row r="222">
      <c r="A222">
        <f>IF(Masters!$G77="","","Masters")</f>
        <v/>
      </c>
      <c r="B222">
        <f>IF(Masters!$G77="","","Major")</f>
        <v/>
      </c>
      <c r="C222" s="18">
        <f>IF(Masters!$G77="","",Masters!$B$3)</f>
        <v/>
      </c>
      <c r="D222">
        <f>IF(Masters!$G77="","",Masters!$D77&amp;"")</f>
        <v/>
      </c>
      <c r="F222">
        <f>IF(Masters!$G77="","",Masters!$A77&amp;"")</f>
        <v/>
      </c>
      <c r="J222">
        <f>IF(Masters!$G77="","",Masters!$E77)</f>
        <v/>
      </c>
      <c r="K222">
        <f>IF(Masters!$G77="","",Masters!$J77)</f>
        <v/>
      </c>
      <c r="L222">
        <f>IF(Masters!$G77="","","")</f>
        <v/>
      </c>
      <c r="M222">
        <f>IF(Masters!$G77="","",Masters!$F77)</f>
        <v/>
      </c>
      <c r="N222">
        <f>IF(Masters!$G77="","",Masters!$G77)</f>
        <v/>
      </c>
      <c r="O222">
        <f>IF(Masters!$G77="","",Masters!$G77)</f>
        <v/>
      </c>
      <c r="P222">
        <f>IF(Masters!$G77="","",Masters!$H77)</f>
        <v/>
      </c>
    </row>
    <row r="223">
      <c r="A223">
        <f>IF(Masters!$G78="","","Masters")</f>
        <v/>
      </c>
      <c r="B223">
        <f>IF(Masters!$G78="","","Major")</f>
        <v/>
      </c>
      <c r="C223" s="18">
        <f>IF(Masters!$G78="","",Masters!$B$3)</f>
        <v/>
      </c>
      <c r="D223">
        <f>IF(Masters!$G78="","",Masters!$D78&amp;"")</f>
        <v/>
      </c>
      <c r="F223">
        <f>IF(Masters!$G78="","",Masters!$A78&amp;"")</f>
        <v/>
      </c>
      <c r="J223">
        <f>IF(Masters!$G78="","",Masters!$E78)</f>
        <v/>
      </c>
      <c r="K223">
        <f>IF(Masters!$G78="","",Masters!$J78)</f>
        <v/>
      </c>
      <c r="L223">
        <f>IF(Masters!$G78="","","")</f>
        <v/>
      </c>
      <c r="M223">
        <f>IF(Masters!$G78="","",Masters!$F78)</f>
        <v/>
      </c>
      <c r="N223">
        <f>IF(Masters!$G78="","",Masters!$G78)</f>
        <v/>
      </c>
      <c r="O223">
        <f>IF(Masters!$G78="","",Masters!$G78)</f>
        <v/>
      </c>
      <c r="P223">
        <f>IF(Masters!$G78="","",Masters!$H78)</f>
        <v/>
      </c>
    </row>
    <row r="224">
      <c r="A224">
        <f>IF(Masters!$G79="","","Masters")</f>
        <v/>
      </c>
      <c r="B224">
        <f>IF(Masters!$G79="","","Major")</f>
        <v/>
      </c>
      <c r="C224" s="18">
        <f>IF(Masters!$G79="","",Masters!$B$3)</f>
        <v/>
      </c>
      <c r="D224">
        <f>IF(Masters!$G79="","",Masters!$D79&amp;"")</f>
        <v/>
      </c>
      <c r="F224">
        <f>IF(Masters!$G79="","",Masters!$A79&amp;"")</f>
        <v/>
      </c>
      <c r="J224">
        <f>IF(Masters!$G79="","",Masters!$E79)</f>
        <v/>
      </c>
      <c r="K224">
        <f>IF(Masters!$G79="","",Masters!$J79)</f>
        <v/>
      </c>
      <c r="L224">
        <f>IF(Masters!$G79="","","")</f>
        <v/>
      </c>
      <c r="M224">
        <f>IF(Masters!$G79="","",Masters!$F79)</f>
        <v/>
      </c>
      <c r="N224">
        <f>IF(Masters!$G79="","",Masters!$G79)</f>
        <v/>
      </c>
      <c r="O224">
        <f>IF(Masters!$G79="","",Masters!$G79)</f>
        <v/>
      </c>
      <c r="P224">
        <f>IF(Masters!$G79="","",Masters!$H79)</f>
        <v/>
      </c>
    </row>
    <row r="225">
      <c r="A225">
        <f>IF(Masters!$G80="","","Masters")</f>
        <v/>
      </c>
      <c r="B225">
        <f>IF(Masters!$G80="","","Major")</f>
        <v/>
      </c>
      <c r="C225" s="18">
        <f>IF(Masters!$G80="","",Masters!$B$3)</f>
        <v/>
      </c>
      <c r="D225">
        <f>IF(Masters!$G80="","",Masters!$D80&amp;"")</f>
        <v/>
      </c>
      <c r="F225">
        <f>IF(Masters!$G80="","",Masters!$A80&amp;"")</f>
        <v/>
      </c>
      <c r="J225">
        <f>IF(Masters!$G80="","",Masters!$E80)</f>
        <v/>
      </c>
      <c r="K225">
        <f>IF(Masters!$G80="","",Masters!$J80)</f>
        <v/>
      </c>
      <c r="L225">
        <f>IF(Masters!$G80="","","")</f>
        <v/>
      </c>
      <c r="M225">
        <f>IF(Masters!$G80="","",Masters!$F80)</f>
        <v/>
      </c>
      <c r="N225">
        <f>IF(Masters!$G80="","",Masters!$G80)</f>
        <v/>
      </c>
      <c r="O225">
        <f>IF(Masters!$G80="","",Masters!$G80)</f>
        <v/>
      </c>
      <c r="P225">
        <f>IF(Masters!$G80="","",Masters!$H80)</f>
        <v/>
      </c>
    </row>
    <row r="226">
      <c r="A226">
        <f>IF(Masters!$G81="","","Masters")</f>
        <v/>
      </c>
      <c r="B226">
        <f>IF(Masters!$G81="","","Major")</f>
        <v/>
      </c>
      <c r="C226" s="18">
        <f>IF(Masters!$G81="","",Masters!$B$3)</f>
        <v/>
      </c>
      <c r="D226">
        <f>IF(Masters!$G81="","",Masters!$D81&amp;"")</f>
        <v/>
      </c>
      <c r="F226">
        <f>IF(Masters!$G81="","",Masters!$A81&amp;"")</f>
        <v/>
      </c>
      <c r="J226">
        <f>IF(Masters!$G81="","",Masters!$E81)</f>
        <v/>
      </c>
      <c r="K226">
        <f>IF(Masters!$G81="","",Masters!$J81)</f>
        <v/>
      </c>
      <c r="L226">
        <f>IF(Masters!$G81="","","")</f>
        <v/>
      </c>
      <c r="M226">
        <f>IF(Masters!$G81="","",Masters!$F81)</f>
        <v/>
      </c>
      <c r="N226">
        <f>IF(Masters!$G81="","",Masters!$G81)</f>
        <v/>
      </c>
      <c r="O226">
        <f>IF(Masters!$G81="","",Masters!$G81)</f>
        <v/>
      </c>
      <c r="P226">
        <f>IF(Masters!$G81="","",Masters!$H81)</f>
        <v/>
      </c>
    </row>
    <row r="227">
      <c r="A227">
        <f>IF(Masters!$G82="","","Masters")</f>
        <v/>
      </c>
      <c r="B227">
        <f>IF(Masters!$G82="","","Major")</f>
        <v/>
      </c>
      <c r="C227" s="18">
        <f>IF(Masters!$G82="","",Masters!$B$3)</f>
        <v/>
      </c>
      <c r="D227">
        <f>IF(Masters!$G82="","",Masters!$D82&amp;"")</f>
        <v/>
      </c>
      <c r="F227">
        <f>IF(Masters!$G82="","",Masters!$A82&amp;"")</f>
        <v/>
      </c>
      <c r="J227">
        <f>IF(Masters!$G82="","",Masters!$E82)</f>
        <v/>
      </c>
      <c r="K227">
        <f>IF(Masters!$G82="","",Masters!$J82)</f>
        <v/>
      </c>
      <c r="L227">
        <f>IF(Masters!$G82="","","")</f>
        <v/>
      </c>
      <c r="M227">
        <f>IF(Masters!$G82="","",Masters!$F82)</f>
        <v/>
      </c>
      <c r="N227">
        <f>IF(Masters!$G82="","",Masters!$G82)</f>
        <v/>
      </c>
      <c r="O227">
        <f>IF(Masters!$G82="","",Masters!$G82)</f>
        <v/>
      </c>
      <c r="P227">
        <f>IF(Masters!$G82="","",Masters!$H82)</f>
        <v/>
      </c>
    </row>
    <row r="228">
      <c r="A228">
        <f>IF(Masters!$G83="","","Masters")</f>
        <v/>
      </c>
      <c r="B228">
        <f>IF(Masters!$G83="","","Major")</f>
        <v/>
      </c>
      <c r="C228" s="18">
        <f>IF(Masters!$G83="","",Masters!$B$3)</f>
        <v/>
      </c>
      <c r="D228">
        <f>IF(Masters!$G83="","",Masters!$D83&amp;"")</f>
        <v/>
      </c>
      <c r="F228">
        <f>IF(Masters!$G83="","",Masters!$A83&amp;"")</f>
        <v/>
      </c>
      <c r="J228">
        <f>IF(Masters!$G83="","",Masters!$E83)</f>
        <v/>
      </c>
      <c r="K228">
        <f>IF(Masters!$G83="","",Masters!$J83)</f>
        <v/>
      </c>
      <c r="L228">
        <f>IF(Masters!$G83="","","")</f>
        <v/>
      </c>
      <c r="M228">
        <f>IF(Masters!$G83="","",Masters!$F83)</f>
        <v/>
      </c>
      <c r="N228">
        <f>IF(Masters!$G83="","",Masters!$G83)</f>
        <v/>
      </c>
      <c r="O228">
        <f>IF(Masters!$G83="","",Masters!$G83)</f>
        <v/>
      </c>
      <c r="P228">
        <f>IF(Masters!$G83="","",Masters!$H83)</f>
        <v/>
      </c>
    </row>
    <row r="229">
      <c r="A229">
        <f>IF(Masters!$G84="","","Masters")</f>
        <v/>
      </c>
      <c r="B229">
        <f>IF(Masters!$G84="","","Major")</f>
        <v/>
      </c>
      <c r="C229" s="18">
        <f>IF(Masters!$G84="","",Masters!$B$3)</f>
        <v/>
      </c>
      <c r="D229">
        <f>IF(Masters!$G84="","",Masters!$D84&amp;"")</f>
        <v/>
      </c>
      <c r="F229">
        <f>IF(Masters!$G84="","",Masters!$A84&amp;"")</f>
        <v/>
      </c>
      <c r="J229">
        <f>IF(Masters!$G84="","",Masters!$E84)</f>
        <v/>
      </c>
      <c r="K229">
        <f>IF(Masters!$G84="","",Masters!$J84)</f>
        <v/>
      </c>
      <c r="L229">
        <f>IF(Masters!$G84="","","")</f>
        <v/>
      </c>
      <c r="M229">
        <f>IF(Masters!$G84="","",Masters!$F84)</f>
        <v/>
      </c>
      <c r="N229">
        <f>IF(Masters!$G84="","",Masters!$G84)</f>
        <v/>
      </c>
      <c r="O229">
        <f>IF(Masters!$G84="","",Masters!$G84)</f>
        <v/>
      </c>
      <c r="P229">
        <f>IF(Masters!$G84="","",Masters!$H84)</f>
        <v/>
      </c>
    </row>
    <row r="230">
      <c r="A230">
        <f>IF(Masters!$G85="","","Masters")</f>
        <v/>
      </c>
      <c r="B230">
        <f>IF(Masters!$G85="","","Major")</f>
        <v/>
      </c>
      <c r="C230" s="18">
        <f>IF(Masters!$G85="","",Masters!$B$3)</f>
        <v/>
      </c>
      <c r="D230">
        <f>IF(Masters!$G85="","",Masters!$D85&amp;"")</f>
        <v/>
      </c>
      <c r="F230">
        <f>IF(Masters!$G85="","",Masters!$A85&amp;"")</f>
        <v/>
      </c>
      <c r="J230">
        <f>IF(Masters!$G85="","",Masters!$E85)</f>
        <v/>
      </c>
      <c r="K230">
        <f>IF(Masters!$G85="","",Masters!$J85)</f>
        <v/>
      </c>
      <c r="L230">
        <f>IF(Masters!$G85="","","")</f>
        <v/>
      </c>
      <c r="M230">
        <f>IF(Masters!$G85="","",Masters!$F85)</f>
        <v/>
      </c>
      <c r="N230">
        <f>IF(Masters!$G85="","",Masters!$G85)</f>
        <v/>
      </c>
      <c r="O230">
        <f>IF(Masters!$G85="","",Masters!$G85)</f>
        <v/>
      </c>
      <c r="P230">
        <f>IF(Masters!$G85="","",Masters!$H85)</f>
        <v/>
      </c>
    </row>
    <row r="231">
      <c r="A231">
        <f>IF(Masters!$G86="","","Masters")</f>
        <v/>
      </c>
      <c r="B231">
        <f>IF(Masters!$G86="","","Major")</f>
        <v/>
      </c>
      <c r="C231" s="18">
        <f>IF(Masters!$G86="","",Masters!$B$3)</f>
        <v/>
      </c>
      <c r="D231">
        <f>IF(Masters!$G86="","",Masters!$D86&amp;"")</f>
        <v/>
      </c>
      <c r="F231">
        <f>IF(Masters!$G86="","",Masters!$A86&amp;"")</f>
        <v/>
      </c>
      <c r="J231">
        <f>IF(Masters!$G86="","",Masters!$E86)</f>
        <v/>
      </c>
      <c r="K231">
        <f>IF(Masters!$G86="","",Masters!$J86)</f>
        <v/>
      </c>
      <c r="L231">
        <f>IF(Masters!$G86="","","")</f>
        <v/>
      </c>
      <c r="M231">
        <f>IF(Masters!$G86="","",Masters!$F86)</f>
        <v/>
      </c>
      <c r="N231">
        <f>IF(Masters!$G86="","",Masters!$G86)</f>
        <v/>
      </c>
      <c r="O231">
        <f>IF(Masters!$G86="","",Masters!$G86)</f>
        <v/>
      </c>
      <c r="P231">
        <f>IF(Masters!$G86="","",Masters!$H86)</f>
        <v/>
      </c>
    </row>
    <row r="232">
      <c r="A232">
        <f>IF(Masters!$G87="","","Masters")</f>
        <v/>
      </c>
      <c r="B232">
        <f>IF(Masters!$G87="","","Major")</f>
        <v/>
      </c>
      <c r="C232" s="18">
        <f>IF(Masters!$G87="","",Masters!$B$3)</f>
        <v/>
      </c>
      <c r="D232">
        <f>IF(Masters!$G87="","",Masters!$D87&amp;"")</f>
        <v/>
      </c>
      <c r="F232">
        <f>IF(Masters!$G87="","",Masters!$A87&amp;"")</f>
        <v/>
      </c>
      <c r="J232">
        <f>IF(Masters!$G87="","",Masters!$E87)</f>
        <v/>
      </c>
      <c r="K232">
        <f>IF(Masters!$G87="","",Masters!$J87)</f>
        <v/>
      </c>
      <c r="L232">
        <f>IF(Masters!$G87="","","")</f>
        <v/>
      </c>
      <c r="M232">
        <f>IF(Masters!$G87="","",Masters!$F87)</f>
        <v/>
      </c>
      <c r="N232">
        <f>IF(Masters!$G87="","",Masters!$G87)</f>
        <v/>
      </c>
      <c r="O232">
        <f>IF(Masters!$G87="","",Masters!$G87)</f>
        <v/>
      </c>
      <c r="P232">
        <f>IF(Masters!$G87="","",Masters!$H87)</f>
        <v/>
      </c>
    </row>
    <row r="233">
      <c r="A233">
        <f>IF(Masters!$G88="","","Masters")</f>
        <v/>
      </c>
      <c r="B233">
        <f>IF(Masters!$G88="","","Major")</f>
        <v/>
      </c>
      <c r="C233" s="18">
        <f>IF(Masters!$G88="","",Masters!$B$3)</f>
        <v/>
      </c>
      <c r="D233">
        <f>IF(Masters!$G88="","",Masters!$D88&amp;"")</f>
        <v/>
      </c>
      <c r="F233">
        <f>IF(Masters!$G88="","",Masters!$A88&amp;"")</f>
        <v/>
      </c>
      <c r="J233">
        <f>IF(Masters!$G88="","",Masters!$E88)</f>
        <v/>
      </c>
      <c r="K233">
        <f>IF(Masters!$G88="","",Masters!$J88)</f>
        <v/>
      </c>
      <c r="L233">
        <f>IF(Masters!$G88="","","")</f>
        <v/>
      </c>
      <c r="M233">
        <f>IF(Masters!$G88="","",Masters!$F88)</f>
        <v/>
      </c>
      <c r="N233">
        <f>IF(Masters!$G88="","",Masters!$G88)</f>
        <v/>
      </c>
      <c r="O233">
        <f>IF(Masters!$G88="","",Masters!$G88)</f>
        <v/>
      </c>
      <c r="P233">
        <f>IF(Masters!$G88="","",Masters!$H88)</f>
        <v/>
      </c>
    </row>
    <row r="234">
      <c r="A234">
        <f>IF(Masters!$G89="","","Masters")</f>
        <v/>
      </c>
      <c r="B234">
        <f>IF(Masters!$G89="","","Major")</f>
        <v/>
      </c>
      <c r="C234" s="18">
        <f>IF(Masters!$G89="","",Masters!$B$3)</f>
        <v/>
      </c>
      <c r="D234">
        <f>IF(Masters!$G89="","",Masters!$D89&amp;"")</f>
        <v/>
      </c>
      <c r="F234">
        <f>IF(Masters!$G89="","",Masters!$A89&amp;"")</f>
        <v/>
      </c>
      <c r="J234">
        <f>IF(Masters!$G89="","",Masters!$E89)</f>
        <v/>
      </c>
      <c r="K234">
        <f>IF(Masters!$G89="","",Masters!$J89)</f>
        <v/>
      </c>
      <c r="L234">
        <f>IF(Masters!$G89="","","")</f>
        <v/>
      </c>
      <c r="M234">
        <f>IF(Masters!$G89="","",Masters!$F89)</f>
        <v/>
      </c>
      <c r="N234">
        <f>IF(Masters!$G89="","",Masters!$G89)</f>
        <v/>
      </c>
      <c r="O234">
        <f>IF(Masters!$G89="","",Masters!$G89)</f>
        <v/>
      </c>
      <c r="P234">
        <f>IF(Masters!$G89="","",Masters!$H89)</f>
        <v/>
      </c>
    </row>
    <row r="235">
      <c r="A235">
        <f>IF(Masters!$G90="","","Masters")</f>
        <v/>
      </c>
      <c r="B235">
        <f>IF(Masters!$G90="","","Major")</f>
        <v/>
      </c>
      <c r="C235" s="18">
        <f>IF(Masters!$G90="","",Masters!$B$3)</f>
        <v/>
      </c>
      <c r="D235">
        <f>IF(Masters!$G90="","",Masters!$D90&amp;"")</f>
        <v/>
      </c>
      <c r="F235">
        <f>IF(Masters!$G90="","",Masters!$A90&amp;"")</f>
        <v/>
      </c>
      <c r="J235">
        <f>IF(Masters!$G90="","",Masters!$E90)</f>
        <v/>
      </c>
      <c r="K235">
        <f>IF(Masters!$G90="","",Masters!$J90)</f>
        <v/>
      </c>
      <c r="L235">
        <f>IF(Masters!$G90="","","")</f>
        <v/>
      </c>
      <c r="M235">
        <f>IF(Masters!$G90="","",Masters!$F90)</f>
        <v/>
      </c>
      <c r="N235">
        <f>IF(Masters!$G90="","",Masters!$G90)</f>
        <v/>
      </c>
      <c r="O235">
        <f>IF(Masters!$G90="","",Masters!$G90)</f>
        <v/>
      </c>
      <c r="P235">
        <f>IF(Masters!$G90="","",Masters!$H90)</f>
        <v/>
      </c>
    </row>
    <row r="236">
      <c r="A236">
        <f>IF(Masters!$G91="","","Masters")</f>
        <v/>
      </c>
      <c r="B236">
        <f>IF(Masters!$G91="","","Major")</f>
        <v/>
      </c>
      <c r="C236" s="18">
        <f>IF(Masters!$G91="","",Masters!$B$3)</f>
        <v/>
      </c>
      <c r="D236">
        <f>IF(Masters!$G91="","",Masters!$D91&amp;"")</f>
        <v/>
      </c>
      <c r="F236">
        <f>IF(Masters!$G91="","",Masters!$A91&amp;"")</f>
        <v/>
      </c>
      <c r="J236">
        <f>IF(Masters!$G91="","",Masters!$E91)</f>
        <v/>
      </c>
      <c r="K236">
        <f>IF(Masters!$G91="","",Masters!$J91)</f>
        <v/>
      </c>
      <c r="L236">
        <f>IF(Masters!$G91="","","")</f>
        <v/>
      </c>
      <c r="M236">
        <f>IF(Masters!$G91="","",Masters!$F91)</f>
        <v/>
      </c>
      <c r="N236">
        <f>IF(Masters!$G91="","",Masters!$G91)</f>
        <v/>
      </c>
      <c r="O236">
        <f>IF(Masters!$G91="","",Masters!$G91)</f>
        <v/>
      </c>
      <c r="P236">
        <f>IF(Masters!$G91="","",Masters!$H91)</f>
        <v/>
      </c>
    </row>
    <row r="237">
      <c r="A237">
        <f>IF(Masters!$G92="","","Masters")</f>
        <v/>
      </c>
      <c r="B237">
        <f>IF(Masters!$G92="","","Major")</f>
        <v/>
      </c>
      <c r="C237" s="18">
        <f>IF(Masters!$G92="","",Masters!$B$3)</f>
        <v/>
      </c>
      <c r="D237">
        <f>IF(Masters!$G92="","",Masters!$D92&amp;"")</f>
        <v/>
      </c>
      <c r="F237">
        <f>IF(Masters!$G92="","",Masters!$A92&amp;"")</f>
        <v/>
      </c>
      <c r="J237">
        <f>IF(Masters!$G92="","",Masters!$E92)</f>
        <v/>
      </c>
      <c r="K237">
        <f>IF(Masters!$G92="","",Masters!$J92)</f>
        <v/>
      </c>
      <c r="L237">
        <f>IF(Masters!$G92="","","")</f>
        <v/>
      </c>
      <c r="M237">
        <f>IF(Masters!$G92="","",Masters!$F92)</f>
        <v/>
      </c>
      <c r="N237">
        <f>IF(Masters!$G92="","",Masters!$G92)</f>
        <v/>
      </c>
      <c r="O237">
        <f>IF(Masters!$G92="","",Masters!$G92)</f>
        <v/>
      </c>
      <c r="P237">
        <f>IF(Masters!$G92="","",Masters!$H92)</f>
        <v/>
      </c>
    </row>
    <row r="238">
      <c r="A238">
        <f>IF(Masters!$G93="","","Masters")</f>
        <v/>
      </c>
      <c r="B238">
        <f>IF(Masters!$G93="","","Major")</f>
        <v/>
      </c>
      <c r="C238" s="18">
        <f>IF(Masters!$G93="","",Masters!$B$3)</f>
        <v/>
      </c>
      <c r="D238">
        <f>IF(Masters!$G93="","",Masters!$D93&amp;"")</f>
        <v/>
      </c>
      <c r="F238">
        <f>IF(Masters!$G93="","",Masters!$A93&amp;"")</f>
        <v/>
      </c>
      <c r="J238">
        <f>IF(Masters!$G93="","",Masters!$E93)</f>
        <v/>
      </c>
      <c r="K238">
        <f>IF(Masters!$G93="","",Masters!$J93)</f>
        <v/>
      </c>
      <c r="L238">
        <f>IF(Masters!$G93="","","")</f>
        <v/>
      </c>
      <c r="M238">
        <f>IF(Masters!$G93="","",Masters!$F93)</f>
        <v/>
      </c>
      <c r="N238">
        <f>IF(Masters!$G93="","",Masters!$G93)</f>
        <v/>
      </c>
      <c r="O238">
        <f>IF(Masters!$G93="","",Masters!$G93)</f>
        <v/>
      </c>
      <c r="P238">
        <f>IF(Masters!$G93="","",Masters!$H93)</f>
        <v/>
      </c>
    </row>
    <row r="239">
      <c r="A239">
        <f>IF(Masters!$G94="","","Masters")</f>
        <v/>
      </c>
      <c r="B239">
        <f>IF(Masters!$G94="","","Major")</f>
        <v/>
      </c>
      <c r="C239" s="18">
        <f>IF(Masters!$G94="","",Masters!$B$3)</f>
        <v/>
      </c>
      <c r="D239">
        <f>IF(Masters!$G94="","",Masters!$D94&amp;"")</f>
        <v/>
      </c>
      <c r="F239">
        <f>IF(Masters!$G94="","",Masters!$A94&amp;"")</f>
        <v/>
      </c>
      <c r="J239">
        <f>IF(Masters!$G94="","",Masters!$E94)</f>
        <v/>
      </c>
      <c r="K239">
        <f>IF(Masters!$G94="","",Masters!$J94)</f>
        <v/>
      </c>
      <c r="L239">
        <f>IF(Masters!$G94="","","")</f>
        <v/>
      </c>
      <c r="M239">
        <f>IF(Masters!$G94="","",Masters!$F94)</f>
        <v/>
      </c>
      <c r="N239">
        <f>IF(Masters!$G94="","",Masters!$G94)</f>
        <v/>
      </c>
      <c r="O239">
        <f>IF(Masters!$G94="","",Masters!$G94)</f>
        <v/>
      </c>
      <c r="P239">
        <f>IF(Masters!$G94="","",Masters!$H94)</f>
        <v/>
      </c>
    </row>
    <row r="240">
      <c r="A240">
        <f>IF(Masters!$G95="","","Masters")</f>
        <v/>
      </c>
      <c r="B240">
        <f>IF(Masters!$G95="","","Major")</f>
        <v/>
      </c>
      <c r="C240" s="18">
        <f>IF(Masters!$G95="","",Masters!$B$3)</f>
        <v/>
      </c>
      <c r="D240">
        <f>IF(Masters!$G95="","",Masters!$D95&amp;"")</f>
        <v/>
      </c>
      <c r="F240">
        <f>IF(Masters!$G95="","",Masters!$A95&amp;"")</f>
        <v/>
      </c>
      <c r="J240">
        <f>IF(Masters!$G95="","",Masters!$E95)</f>
        <v/>
      </c>
      <c r="K240">
        <f>IF(Masters!$G95="","",Masters!$J95)</f>
        <v/>
      </c>
      <c r="L240">
        <f>IF(Masters!$G95="","","")</f>
        <v/>
      </c>
      <c r="M240">
        <f>IF(Masters!$G95="","",Masters!$F95)</f>
        <v/>
      </c>
      <c r="N240">
        <f>IF(Masters!$G95="","",Masters!$G95)</f>
        <v/>
      </c>
      <c r="O240">
        <f>IF(Masters!$G95="","",Masters!$G95)</f>
        <v/>
      </c>
      <c r="P240">
        <f>IF(Masters!$G95="","",Masters!$H95)</f>
        <v/>
      </c>
    </row>
    <row r="241">
      <c r="A241">
        <f>IF(Masters!$G96="","","Masters")</f>
        <v/>
      </c>
      <c r="B241">
        <f>IF(Masters!$G96="","","Major")</f>
        <v/>
      </c>
      <c r="C241" s="18">
        <f>IF(Masters!$G96="","",Masters!$B$3)</f>
        <v/>
      </c>
      <c r="D241">
        <f>IF(Masters!$G96="","",Masters!$D96&amp;"")</f>
        <v/>
      </c>
      <c r="F241">
        <f>IF(Masters!$G96="","",Masters!$A96&amp;"")</f>
        <v/>
      </c>
      <c r="J241">
        <f>IF(Masters!$G96="","",Masters!$E96)</f>
        <v/>
      </c>
      <c r="K241">
        <f>IF(Masters!$G96="","",Masters!$J96)</f>
        <v/>
      </c>
      <c r="L241">
        <f>IF(Masters!$G96="","","")</f>
        <v/>
      </c>
      <c r="M241">
        <f>IF(Masters!$G96="","",Masters!$F96)</f>
        <v/>
      </c>
      <c r="N241">
        <f>IF(Masters!$G96="","",Masters!$G96)</f>
        <v/>
      </c>
      <c r="O241">
        <f>IF(Masters!$G96="","",Masters!$G96)</f>
        <v/>
      </c>
      <c r="P241">
        <f>IF(Masters!$G96="","",Masters!$H96)</f>
        <v/>
      </c>
    </row>
    <row r="242">
      <c r="A242">
        <f>IF(Masters!$G97="","","Masters")</f>
        <v/>
      </c>
      <c r="B242">
        <f>IF(Masters!$G97="","","Major")</f>
        <v/>
      </c>
      <c r="C242" s="18">
        <f>IF(Masters!$G97="","",Masters!$B$3)</f>
        <v/>
      </c>
      <c r="D242">
        <f>IF(Masters!$G97="","",Masters!$D97&amp;"")</f>
        <v/>
      </c>
      <c r="F242">
        <f>IF(Masters!$G97="","",Masters!$A97&amp;"")</f>
        <v/>
      </c>
      <c r="J242">
        <f>IF(Masters!$G97="","",Masters!$E97)</f>
        <v/>
      </c>
      <c r="K242">
        <f>IF(Masters!$G97="","",Masters!$J97)</f>
        <v/>
      </c>
      <c r="L242">
        <f>IF(Masters!$G97="","","")</f>
        <v/>
      </c>
      <c r="M242">
        <f>IF(Masters!$G97="","",Masters!$F97)</f>
        <v/>
      </c>
      <c r="N242">
        <f>IF(Masters!$G97="","",Masters!$G97)</f>
        <v/>
      </c>
      <c r="O242">
        <f>IF(Masters!$G97="","",Masters!$G97)</f>
        <v/>
      </c>
      <c r="P242">
        <f>IF(Masters!$G97="","",Masters!$H97)</f>
        <v/>
      </c>
    </row>
    <row r="243">
      <c r="A243">
        <f>IF(Masters!$G98="","","Masters")</f>
        <v/>
      </c>
      <c r="B243">
        <f>IF(Masters!$G98="","","Major")</f>
        <v/>
      </c>
      <c r="C243" s="18">
        <f>IF(Masters!$G98="","",Masters!$B$3)</f>
        <v/>
      </c>
      <c r="D243">
        <f>IF(Masters!$G98="","",Masters!$D98&amp;"")</f>
        <v/>
      </c>
      <c r="F243">
        <f>IF(Masters!$G98="","",Masters!$A98&amp;"")</f>
        <v/>
      </c>
      <c r="J243">
        <f>IF(Masters!$G98="","",Masters!$E98)</f>
        <v/>
      </c>
      <c r="K243">
        <f>IF(Masters!$G98="","",Masters!$J98)</f>
        <v/>
      </c>
      <c r="L243">
        <f>IF(Masters!$G98="","","")</f>
        <v/>
      </c>
      <c r="M243">
        <f>IF(Masters!$G98="","",Masters!$F98)</f>
        <v/>
      </c>
      <c r="N243">
        <f>IF(Masters!$G98="","",Masters!$G98)</f>
        <v/>
      </c>
      <c r="O243">
        <f>IF(Masters!$G98="","",Masters!$G98)</f>
        <v/>
      </c>
      <c r="P243">
        <f>IF(Masters!$G98="","",Masters!$H98)</f>
        <v/>
      </c>
    </row>
    <row r="244">
      <c r="A244">
        <f>IF(Masters!$G99="","","Masters")</f>
        <v/>
      </c>
      <c r="B244">
        <f>IF(Masters!$G99="","","Major")</f>
        <v/>
      </c>
      <c r="C244" s="18">
        <f>IF(Masters!$G99="","",Masters!$B$3)</f>
        <v/>
      </c>
      <c r="D244">
        <f>IF(Masters!$G99="","",Masters!$D99&amp;"")</f>
        <v/>
      </c>
      <c r="F244">
        <f>IF(Masters!$G99="","",Masters!$A99&amp;"")</f>
        <v/>
      </c>
      <c r="J244">
        <f>IF(Masters!$G99="","",Masters!$E99)</f>
        <v/>
      </c>
      <c r="K244">
        <f>IF(Masters!$G99="","",Masters!$J99)</f>
        <v/>
      </c>
      <c r="L244">
        <f>IF(Masters!$G99="","","")</f>
        <v/>
      </c>
      <c r="M244">
        <f>IF(Masters!$G99="","",Masters!$F99)</f>
        <v/>
      </c>
      <c r="N244">
        <f>IF(Masters!$G99="","",Masters!$G99)</f>
        <v/>
      </c>
      <c r="O244">
        <f>IF(Masters!$G99="","",Masters!$G99)</f>
        <v/>
      </c>
      <c r="P244">
        <f>IF(Masters!$G99="","",Masters!$H99)</f>
        <v/>
      </c>
    </row>
    <row r="245">
      <c r="A245">
        <f>IF(Masters!$G100="","","Masters")</f>
        <v/>
      </c>
      <c r="B245">
        <f>IF(Masters!$G100="","","Major")</f>
        <v/>
      </c>
      <c r="C245" s="18">
        <f>IF(Masters!$G100="","",Masters!$B$3)</f>
        <v/>
      </c>
      <c r="D245">
        <f>IF(Masters!$G100="","",Masters!$D100&amp;"")</f>
        <v/>
      </c>
      <c r="F245">
        <f>IF(Masters!$G100="","",Masters!$A100&amp;"")</f>
        <v/>
      </c>
      <c r="J245">
        <f>IF(Masters!$G100="","",Masters!$E100)</f>
        <v/>
      </c>
      <c r="K245">
        <f>IF(Masters!$G100="","",Masters!$J100)</f>
        <v/>
      </c>
      <c r="L245">
        <f>IF(Masters!$G100="","","")</f>
        <v/>
      </c>
      <c r="M245">
        <f>IF(Masters!$G100="","",Masters!$F100)</f>
        <v/>
      </c>
      <c r="N245">
        <f>IF(Masters!$G100="","",Masters!$G100)</f>
        <v/>
      </c>
      <c r="O245">
        <f>IF(Masters!$G100="","",Masters!$G100)</f>
        <v/>
      </c>
      <c r="P245">
        <f>IF(Masters!$G100="","",Masters!$H100)</f>
        <v/>
      </c>
    </row>
    <row r="246">
      <c r="A246">
        <f>IF(Masters!$G101="","","Masters")</f>
        <v/>
      </c>
      <c r="B246">
        <f>IF(Masters!$G101="","","Major")</f>
        <v/>
      </c>
      <c r="C246" s="18">
        <f>IF(Masters!$G101="","",Masters!$B$3)</f>
        <v/>
      </c>
      <c r="D246">
        <f>IF(Masters!$G101="","",Masters!$D101&amp;"")</f>
        <v/>
      </c>
      <c r="F246">
        <f>IF(Masters!$G101="","",Masters!$A101&amp;"")</f>
        <v/>
      </c>
      <c r="J246">
        <f>IF(Masters!$G101="","",Masters!$E101)</f>
        <v/>
      </c>
      <c r="K246">
        <f>IF(Masters!$G101="","",Masters!$J101)</f>
        <v/>
      </c>
      <c r="L246">
        <f>IF(Masters!$G101="","","")</f>
        <v/>
      </c>
      <c r="M246">
        <f>IF(Masters!$G101="","",Masters!$F101)</f>
        <v/>
      </c>
      <c r="N246">
        <f>IF(Masters!$G101="","",Masters!$G101)</f>
        <v/>
      </c>
      <c r="O246">
        <f>IF(Masters!$G101="","",Masters!$G101)</f>
        <v/>
      </c>
      <c r="P246">
        <f>IF(Masters!$G101="","",Masters!$H101)</f>
        <v/>
      </c>
    </row>
    <row r="247">
      <c r="A247">
        <f>IF(Masters!$G102="","","Masters")</f>
        <v/>
      </c>
      <c r="B247">
        <f>IF(Masters!$G102="","","Major")</f>
        <v/>
      </c>
      <c r="C247" s="18">
        <f>IF(Masters!$G102="","",Masters!$B$3)</f>
        <v/>
      </c>
      <c r="D247">
        <f>IF(Masters!$G102="","",Masters!$D102&amp;"")</f>
        <v/>
      </c>
      <c r="F247">
        <f>IF(Masters!$G102="","",Masters!$A102&amp;"")</f>
        <v/>
      </c>
      <c r="J247">
        <f>IF(Masters!$G102="","",Masters!$E102)</f>
        <v/>
      </c>
      <c r="K247">
        <f>IF(Masters!$G102="","",Masters!$J102)</f>
        <v/>
      </c>
      <c r="L247">
        <f>IF(Masters!$G102="","","")</f>
        <v/>
      </c>
      <c r="M247">
        <f>IF(Masters!$G102="","",Masters!$F102)</f>
        <v/>
      </c>
      <c r="N247">
        <f>IF(Masters!$G102="","",Masters!$G102)</f>
        <v/>
      </c>
      <c r="O247">
        <f>IF(Masters!$G102="","",Masters!$G102)</f>
        <v/>
      </c>
      <c r="P247">
        <f>IF(Masters!$G102="","",Masters!$H102)</f>
        <v/>
      </c>
    </row>
    <row r="248">
      <c r="A248">
        <f>IF(Masters!$G103="","","Masters")</f>
        <v/>
      </c>
      <c r="B248">
        <f>IF(Masters!$G103="","","Major")</f>
        <v/>
      </c>
      <c r="C248" s="18">
        <f>IF(Masters!$G103="","",Masters!$B$3)</f>
        <v/>
      </c>
      <c r="D248">
        <f>IF(Masters!$G103="","",Masters!$D103&amp;"")</f>
        <v/>
      </c>
      <c r="F248">
        <f>IF(Masters!$G103="","",Masters!$A103&amp;"")</f>
        <v/>
      </c>
      <c r="J248">
        <f>IF(Masters!$G103="","",Masters!$E103)</f>
        <v/>
      </c>
      <c r="K248">
        <f>IF(Masters!$G103="","",Masters!$J103)</f>
        <v/>
      </c>
      <c r="L248">
        <f>IF(Masters!$G103="","","")</f>
        <v/>
      </c>
      <c r="M248">
        <f>IF(Masters!$G103="","",Masters!$F103)</f>
        <v/>
      </c>
      <c r="N248">
        <f>IF(Masters!$G103="","",Masters!$G103)</f>
        <v/>
      </c>
      <c r="O248">
        <f>IF(Masters!$G103="","",Masters!$G103)</f>
        <v/>
      </c>
      <c r="P248">
        <f>IF(Masters!$G103="","",Masters!$H103)</f>
        <v/>
      </c>
    </row>
    <row r="249">
      <c r="A249">
        <f>IF(Masters!$G104="","","Masters")</f>
        <v/>
      </c>
      <c r="B249">
        <f>IF(Masters!$G104="","","Major")</f>
        <v/>
      </c>
      <c r="C249" s="18">
        <f>IF(Masters!$G104="","",Masters!$B$3)</f>
        <v/>
      </c>
      <c r="D249">
        <f>IF(Masters!$G104="","",Masters!$D104&amp;"")</f>
        <v/>
      </c>
      <c r="F249">
        <f>IF(Masters!$G104="","",Masters!$A104&amp;"")</f>
        <v/>
      </c>
      <c r="J249">
        <f>IF(Masters!$G104="","",Masters!$E104)</f>
        <v/>
      </c>
      <c r="K249">
        <f>IF(Masters!$G104="","",Masters!$J104)</f>
        <v/>
      </c>
      <c r="L249">
        <f>IF(Masters!$G104="","","")</f>
        <v/>
      </c>
      <c r="M249">
        <f>IF(Masters!$G104="","",Masters!$F104)</f>
        <v/>
      </c>
      <c r="N249">
        <f>IF(Masters!$G104="","",Masters!$G104)</f>
        <v/>
      </c>
      <c r="O249">
        <f>IF(Masters!$G104="","",Masters!$G104)</f>
        <v/>
      </c>
      <c r="P249">
        <f>IF(Masters!$G104="","",Masters!$H104)</f>
        <v/>
      </c>
    </row>
    <row r="250">
      <c r="A250">
        <f>IF(Masters!$G105="","","Masters")</f>
        <v/>
      </c>
      <c r="B250">
        <f>IF(Masters!$G105="","","Major")</f>
        <v/>
      </c>
      <c r="C250" s="18">
        <f>IF(Masters!$G105="","",Masters!$B$3)</f>
        <v/>
      </c>
      <c r="D250">
        <f>IF(Masters!$G105="","",Masters!$D105&amp;"")</f>
        <v/>
      </c>
      <c r="F250">
        <f>IF(Masters!$G105="","",Masters!$A105&amp;"")</f>
        <v/>
      </c>
      <c r="J250">
        <f>IF(Masters!$G105="","",Masters!$E105)</f>
        <v/>
      </c>
      <c r="K250">
        <f>IF(Masters!$G105="","",Masters!$J105)</f>
        <v/>
      </c>
      <c r="L250">
        <f>IF(Masters!$G105="","","")</f>
        <v/>
      </c>
      <c r="M250">
        <f>IF(Masters!$G105="","",Masters!$F105)</f>
        <v/>
      </c>
      <c r="N250">
        <f>IF(Masters!$G105="","",Masters!$G105)</f>
        <v/>
      </c>
      <c r="O250">
        <f>IF(Masters!$G105="","",Masters!$G105)</f>
        <v/>
      </c>
      <c r="P250">
        <f>IF(Masters!$G105="","",Masters!$H105)</f>
        <v/>
      </c>
    </row>
    <row r="251">
      <c r="A251">
        <f>IF(Masters!$G106="","","Masters")</f>
        <v/>
      </c>
      <c r="B251">
        <f>IF(Masters!$G106="","","Major")</f>
        <v/>
      </c>
      <c r="C251" s="18">
        <f>IF(Masters!$G106="","",Masters!$B$3)</f>
        <v/>
      </c>
      <c r="D251">
        <f>IF(Masters!$G106="","",Masters!$D106&amp;"")</f>
        <v/>
      </c>
      <c r="F251">
        <f>IF(Masters!$G106="","",Masters!$A106&amp;"")</f>
        <v/>
      </c>
      <c r="J251">
        <f>IF(Masters!$G106="","",Masters!$E106)</f>
        <v/>
      </c>
      <c r="K251">
        <f>IF(Masters!$G106="","",Masters!$J106)</f>
        <v/>
      </c>
      <c r="L251">
        <f>IF(Masters!$G106="","","")</f>
        <v/>
      </c>
      <c r="M251">
        <f>IF(Masters!$G106="","",Masters!$F106)</f>
        <v/>
      </c>
      <c r="N251">
        <f>IF(Masters!$G106="","",Masters!$G106)</f>
        <v/>
      </c>
      <c r="O251">
        <f>IF(Masters!$G106="","",Masters!$G106)</f>
        <v/>
      </c>
      <c r="P251">
        <f>IF(Masters!$G106="","",Masters!$H106)</f>
        <v/>
      </c>
    </row>
    <row r="252">
      <c r="A252">
        <f>IF(Masters!$G107="","","Masters")</f>
        <v/>
      </c>
      <c r="B252">
        <f>IF(Masters!$G107="","","Major")</f>
        <v/>
      </c>
      <c r="C252" s="18">
        <f>IF(Masters!$G107="","",Masters!$B$3)</f>
        <v/>
      </c>
      <c r="D252">
        <f>IF(Masters!$G107="","",Masters!$D107&amp;"")</f>
        <v/>
      </c>
      <c r="F252">
        <f>IF(Masters!$G107="","",Masters!$A107&amp;"")</f>
        <v/>
      </c>
      <c r="J252">
        <f>IF(Masters!$G107="","",Masters!$E107)</f>
        <v/>
      </c>
      <c r="K252">
        <f>IF(Masters!$G107="","",Masters!$J107)</f>
        <v/>
      </c>
      <c r="L252">
        <f>IF(Masters!$G107="","","")</f>
        <v/>
      </c>
      <c r="M252">
        <f>IF(Masters!$G107="","",Masters!$F107)</f>
        <v/>
      </c>
      <c r="N252">
        <f>IF(Masters!$G107="","",Masters!$G107)</f>
        <v/>
      </c>
      <c r="O252">
        <f>IF(Masters!$G107="","",Masters!$G107)</f>
        <v/>
      </c>
      <c r="P252">
        <f>IF(Masters!$G107="","",Masters!$H107)</f>
        <v/>
      </c>
    </row>
    <row r="253">
      <c r="A253">
        <f>IF(Masters!$G108="","","Masters")</f>
        <v/>
      </c>
      <c r="B253">
        <f>IF(Masters!$G108="","","Major")</f>
        <v/>
      </c>
      <c r="C253" s="18">
        <f>IF(Masters!$G108="","",Masters!$B$3)</f>
        <v/>
      </c>
      <c r="D253">
        <f>IF(Masters!$G108="","",Masters!$D108&amp;"")</f>
        <v/>
      </c>
      <c r="F253">
        <f>IF(Masters!$G108="","",Masters!$A108&amp;"")</f>
        <v/>
      </c>
      <c r="J253">
        <f>IF(Masters!$G108="","",Masters!$E108)</f>
        <v/>
      </c>
      <c r="K253">
        <f>IF(Masters!$G108="","",Masters!$J108)</f>
        <v/>
      </c>
      <c r="L253">
        <f>IF(Masters!$G108="","","")</f>
        <v/>
      </c>
      <c r="M253">
        <f>IF(Masters!$G108="","",Masters!$F108)</f>
        <v/>
      </c>
      <c r="N253">
        <f>IF(Masters!$G108="","",Masters!$G108)</f>
        <v/>
      </c>
      <c r="O253">
        <f>IF(Masters!$G108="","",Masters!$G108)</f>
        <v/>
      </c>
      <c r="P253">
        <f>IF(Masters!$G108="","",Masters!$H108)</f>
        <v/>
      </c>
    </row>
    <row r="254">
      <c r="A254">
        <f>IF(Masters!$G109="","","Masters")</f>
        <v/>
      </c>
      <c r="B254">
        <f>IF(Masters!$G109="","","Major")</f>
        <v/>
      </c>
      <c r="C254" s="18">
        <f>IF(Masters!$G109="","",Masters!$B$3)</f>
        <v/>
      </c>
      <c r="D254">
        <f>IF(Masters!$G109="","",Masters!$D109&amp;"")</f>
        <v/>
      </c>
      <c r="F254">
        <f>IF(Masters!$G109="","",Masters!$A109&amp;"")</f>
        <v/>
      </c>
      <c r="J254">
        <f>IF(Masters!$G109="","",Masters!$E109)</f>
        <v/>
      </c>
      <c r="K254">
        <f>IF(Masters!$G109="","",Masters!$J109)</f>
        <v/>
      </c>
      <c r="L254">
        <f>IF(Masters!$G109="","","")</f>
        <v/>
      </c>
      <c r="M254">
        <f>IF(Masters!$G109="","",Masters!$F109)</f>
        <v/>
      </c>
      <c r="N254">
        <f>IF(Masters!$G109="","",Masters!$G109)</f>
        <v/>
      </c>
      <c r="O254">
        <f>IF(Masters!$G109="","",Masters!$G109)</f>
        <v/>
      </c>
      <c r="P254">
        <f>IF(Masters!$G109="","",Masters!$H109)</f>
        <v/>
      </c>
    </row>
    <row r="255">
      <c r="A255">
        <f>IF(Masters!$G110="","","Masters")</f>
        <v/>
      </c>
      <c r="B255">
        <f>IF(Masters!$G110="","","Major")</f>
        <v/>
      </c>
      <c r="C255" s="18">
        <f>IF(Masters!$G110="","",Masters!$B$3)</f>
        <v/>
      </c>
      <c r="D255">
        <f>IF(Masters!$G110="","",Masters!$D110&amp;"")</f>
        <v/>
      </c>
      <c r="F255">
        <f>IF(Masters!$G110="","",Masters!$A110&amp;"")</f>
        <v/>
      </c>
      <c r="J255">
        <f>IF(Masters!$G110="","",Masters!$E110)</f>
        <v/>
      </c>
      <c r="K255">
        <f>IF(Masters!$G110="","",Masters!$J110)</f>
        <v/>
      </c>
      <c r="L255">
        <f>IF(Masters!$G110="","","")</f>
        <v/>
      </c>
      <c r="M255">
        <f>IF(Masters!$G110="","",Masters!$F110)</f>
        <v/>
      </c>
      <c r="N255">
        <f>IF(Masters!$G110="","",Masters!$G110)</f>
        <v/>
      </c>
      <c r="O255">
        <f>IF(Masters!$G110="","",Masters!$G110)</f>
        <v/>
      </c>
      <c r="P255">
        <f>IF(Masters!$G110="","",Masters!$H110)</f>
        <v/>
      </c>
    </row>
    <row r="256">
      <c r="A256">
        <f>IF(Masters!$G111="","","Masters")</f>
        <v/>
      </c>
      <c r="B256">
        <f>IF(Masters!$G111="","","Major")</f>
        <v/>
      </c>
      <c r="C256" s="18">
        <f>IF(Masters!$G111="","",Masters!$B$3)</f>
        <v/>
      </c>
      <c r="D256">
        <f>IF(Masters!$G111="","",Masters!$D111&amp;"")</f>
        <v/>
      </c>
      <c r="F256">
        <f>IF(Masters!$G111="","",Masters!$A111&amp;"")</f>
        <v/>
      </c>
      <c r="J256">
        <f>IF(Masters!$G111="","",Masters!$E111)</f>
        <v/>
      </c>
      <c r="K256">
        <f>IF(Masters!$G111="","",Masters!$J111)</f>
        <v/>
      </c>
      <c r="L256">
        <f>IF(Masters!$G111="","","")</f>
        <v/>
      </c>
      <c r="M256">
        <f>IF(Masters!$G111="","",Masters!$F111)</f>
        <v/>
      </c>
      <c r="N256">
        <f>IF(Masters!$G111="","",Masters!$G111)</f>
        <v/>
      </c>
      <c r="O256">
        <f>IF(Masters!$G111="","",Masters!$G111)</f>
        <v/>
      </c>
      <c r="P256">
        <f>IF(Masters!$G111="","",Masters!$H111)</f>
        <v/>
      </c>
    </row>
    <row r="257">
      <c r="A257">
        <f>IF(Masters!$G112="","","Masters")</f>
        <v/>
      </c>
      <c r="B257">
        <f>IF(Masters!$G112="","","Major")</f>
        <v/>
      </c>
      <c r="C257" s="18">
        <f>IF(Masters!$G112="","",Masters!$B$3)</f>
        <v/>
      </c>
      <c r="D257">
        <f>IF(Masters!$G112="","",Masters!$D112&amp;"")</f>
        <v/>
      </c>
      <c r="F257">
        <f>IF(Masters!$G112="","",Masters!$A112&amp;"")</f>
        <v/>
      </c>
      <c r="J257">
        <f>IF(Masters!$G112="","",Masters!$E112)</f>
        <v/>
      </c>
      <c r="K257">
        <f>IF(Masters!$G112="","",Masters!$J112)</f>
        <v/>
      </c>
      <c r="L257">
        <f>IF(Masters!$G112="","","")</f>
        <v/>
      </c>
      <c r="M257">
        <f>IF(Masters!$G112="","",Masters!$F112)</f>
        <v/>
      </c>
      <c r="N257">
        <f>IF(Masters!$G112="","",Masters!$G112)</f>
        <v/>
      </c>
      <c r="O257">
        <f>IF(Masters!$G112="","",Masters!$G112)</f>
        <v/>
      </c>
      <c r="P257">
        <f>IF(Masters!$G112="","",Masters!$H112)</f>
        <v/>
      </c>
    </row>
    <row r="258">
      <c r="A258">
        <f>IF(Masters!$G113="","","Masters")</f>
        <v/>
      </c>
      <c r="B258">
        <f>IF(Masters!$G113="","","Major")</f>
        <v/>
      </c>
      <c r="C258" s="18">
        <f>IF(Masters!$G113="","",Masters!$B$3)</f>
        <v/>
      </c>
      <c r="D258">
        <f>IF(Masters!$G113="","",Masters!$D113&amp;"")</f>
        <v/>
      </c>
      <c r="F258">
        <f>IF(Masters!$G113="","",Masters!$A113&amp;"")</f>
        <v/>
      </c>
      <c r="J258">
        <f>IF(Masters!$G113="","",Masters!$E113)</f>
        <v/>
      </c>
      <c r="K258">
        <f>IF(Masters!$G113="","",Masters!$J113)</f>
        <v/>
      </c>
      <c r="L258">
        <f>IF(Masters!$G113="","","")</f>
        <v/>
      </c>
      <c r="M258">
        <f>IF(Masters!$G113="","",Masters!$F113)</f>
        <v/>
      </c>
      <c r="N258">
        <f>IF(Masters!$G113="","",Masters!$G113)</f>
        <v/>
      </c>
      <c r="O258">
        <f>IF(Masters!$G113="","",Masters!$G113)</f>
        <v/>
      </c>
      <c r="P258">
        <f>IF(Masters!$G113="","",Masters!$H113)</f>
        <v/>
      </c>
    </row>
    <row r="259">
      <c r="A259">
        <f>IF(Masters!$G114="","","Masters")</f>
        <v/>
      </c>
      <c r="B259">
        <f>IF(Masters!$G114="","","Major")</f>
        <v/>
      </c>
      <c r="C259" s="18">
        <f>IF(Masters!$G114="","",Masters!$B$3)</f>
        <v/>
      </c>
      <c r="D259">
        <f>IF(Masters!$G114="","",Masters!$D114&amp;"")</f>
        <v/>
      </c>
      <c r="F259">
        <f>IF(Masters!$G114="","",Masters!$A114&amp;"")</f>
        <v/>
      </c>
      <c r="J259">
        <f>IF(Masters!$G114="","",Masters!$E114)</f>
        <v/>
      </c>
      <c r="K259">
        <f>IF(Masters!$G114="","",Masters!$J114)</f>
        <v/>
      </c>
      <c r="L259">
        <f>IF(Masters!$G114="","","")</f>
        <v/>
      </c>
      <c r="M259">
        <f>IF(Masters!$G114="","",Masters!$F114)</f>
        <v/>
      </c>
      <c r="N259">
        <f>IF(Masters!$G114="","",Masters!$G114)</f>
        <v/>
      </c>
      <c r="O259">
        <f>IF(Masters!$G114="","",Masters!$G114)</f>
        <v/>
      </c>
      <c r="P259">
        <f>IF(Masters!$G114="","",Masters!$H114)</f>
        <v/>
      </c>
    </row>
    <row r="260">
      <c r="A260">
        <f>IF(Masters!$G115="","","Masters")</f>
        <v/>
      </c>
      <c r="B260">
        <f>IF(Masters!$G115="","","Major")</f>
        <v/>
      </c>
      <c r="C260" s="18">
        <f>IF(Masters!$G115="","",Masters!$B$3)</f>
        <v/>
      </c>
      <c r="D260">
        <f>IF(Masters!$G115="","",Masters!$D115&amp;"")</f>
        <v/>
      </c>
      <c r="F260">
        <f>IF(Masters!$G115="","",Masters!$A115&amp;"")</f>
        <v/>
      </c>
      <c r="J260">
        <f>IF(Masters!$G115="","",Masters!$E115)</f>
        <v/>
      </c>
      <c r="K260">
        <f>IF(Masters!$G115="","",Masters!$J115)</f>
        <v/>
      </c>
      <c r="L260">
        <f>IF(Masters!$G115="","","")</f>
        <v/>
      </c>
      <c r="M260">
        <f>IF(Masters!$G115="","",Masters!$F115)</f>
        <v/>
      </c>
      <c r="N260">
        <f>IF(Masters!$G115="","",Masters!$G115)</f>
        <v/>
      </c>
      <c r="O260">
        <f>IF(Masters!$G115="","",Masters!$G115)</f>
        <v/>
      </c>
      <c r="P260">
        <f>IF(Masters!$G115="","",Masters!$H115)</f>
        <v/>
      </c>
    </row>
    <row r="261">
      <c r="A261">
        <f>IF(Masters!$G116="","","Masters")</f>
        <v/>
      </c>
      <c r="B261">
        <f>IF(Masters!$G116="","","Major")</f>
        <v/>
      </c>
      <c r="C261" s="18">
        <f>IF(Masters!$G116="","",Masters!$B$3)</f>
        <v/>
      </c>
      <c r="D261">
        <f>IF(Masters!$G116="","",Masters!$D116&amp;"")</f>
        <v/>
      </c>
      <c r="F261">
        <f>IF(Masters!$G116="","",Masters!$A116&amp;"")</f>
        <v/>
      </c>
      <c r="J261">
        <f>IF(Masters!$G116="","",Masters!$E116)</f>
        <v/>
      </c>
      <c r="K261">
        <f>IF(Masters!$G116="","",Masters!$J116)</f>
        <v/>
      </c>
      <c r="L261">
        <f>IF(Masters!$G116="","","")</f>
        <v/>
      </c>
      <c r="M261">
        <f>IF(Masters!$G116="","",Masters!$F116)</f>
        <v/>
      </c>
      <c r="N261">
        <f>IF(Masters!$G116="","",Masters!$G116)</f>
        <v/>
      </c>
      <c r="O261">
        <f>IF(Masters!$G116="","",Masters!$G116)</f>
        <v/>
      </c>
      <c r="P261">
        <f>IF(Masters!$G116="","",Masters!$H116)</f>
        <v/>
      </c>
    </row>
    <row r="262">
      <c r="A262">
        <f>IF(Masters!$G117="","","Masters")</f>
        <v/>
      </c>
      <c r="B262">
        <f>IF(Masters!$G117="","","Major")</f>
        <v/>
      </c>
      <c r="C262" s="18">
        <f>IF(Masters!$G117="","",Masters!$B$3)</f>
        <v/>
      </c>
      <c r="D262">
        <f>IF(Masters!$G117="","",Masters!$D117&amp;"")</f>
        <v/>
      </c>
      <c r="F262">
        <f>IF(Masters!$G117="","",Masters!$A117&amp;"")</f>
        <v/>
      </c>
      <c r="J262">
        <f>IF(Masters!$G117="","",Masters!$E117)</f>
        <v/>
      </c>
      <c r="K262">
        <f>IF(Masters!$G117="","",Masters!$J117)</f>
        <v/>
      </c>
      <c r="L262">
        <f>IF(Masters!$G117="","","")</f>
        <v/>
      </c>
      <c r="M262">
        <f>IF(Masters!$G117="","",Masters!$F117)</f>
        <v/>
      </c>
      <c r="N262">
        <f>IF(Masters!$G117="","",Masters!$G117)</f>
        <v/>
      </c>
      <c r="O262">
        <f>IF(Masters!$G117="","",Masters!$G117)</f>
        <v/>
      </c>
      <c r="P262">
        <f>IF(Masters!$G117="","",Masters!$H117)</f>
        <v/>
      </c>
    </row>
    <row r="263">
      <c r="A263">
        <f>IF(Masters!$G118="","","Masters")</f>
        <v/>
      </c>
      <c r="B263">
        <f>IF(Masters!$G118="","","Major")</f>
        <v/>
      </c>
      <c r="C263" s="18">
        <f>IF(Masters!$G118="","",Masters!$B$3)</f>
        <v/>
      </c>
      <c r="D263">
        <f>IF(Masters!$G118="","",Masters!$D118&amp;"")</f>
        <v/>
      </c>
      <c r="F263">
        <f>IF(Masters!$G118="","",Masters!$A118&amp;"")</f>
        <v/>
      </c>
      <c r="J263">
        <f>IF(Masters!$G118="","",Masters!$E118)</f>
        <v/>
      </c>
      <c r="K263">
        <f>IF(Masters!$G118="","",Masters!$J118)</f>
        <v/>
      </c>
      <c r="L263">
        <f>IF(Masters!$G118="","","")</f>
        <v/>
      </c>
      <c r="M263">
        <f>IF(Masters!$G118="","",Masters!$F118)</f>
        <v/>
      </c>
      <c r="N263">
        <f>IF(Masters!$G118="","",Masters!$G118)</f>
        <v/>
      </c>
      <c r="O263">
        <f>IF(Masters!$G118="","",Masters!$G118)</f>
        <v/>
      </c>
      <c r="P263">
        <f>IF(Masters!$G118="","",Masters!$H118)</f>
        <v/>
      </c>
    </row>
    <row r="264">
      <c r="A264">
        <f>IF(Masters!$G119="","","Masters")</f>
        <v/>
      </c>
      <c r="B264">
        <f>IF(Masters!$G119="","","Major")</f>
        <v/>
      </c>
      <c r="C264" s="18">
        <f>IF(Masters!$G119="","",Masters!$B$3)</f>
        <v/>
      </c>
      <c r="D264">
        <f>IF(Masters!$G119="","",Masters!$D119&amp;"")</f>
        <v/>
      </c>
      <c r="F264">
        <f>IF(Masters!$G119="","",Masters!$A119&amp;"")</f>
        <v/>
      </c>
      <c r="J264">
        <f>IF(Masters!$G119="","",Masters!$E119)</f>
        <v/>
      </c>
      <c r="K264">
        <f>IF(Masters!$G119="","",Masters!$J119)</f>
        <v/>
      </c>
      <c r="L264">
        <f>IF(Masters!$G119="","","")</f>
        <v/>
      </c>
      <c r="M264">
        <f>IF(Masters!$G119="","",Masters!$F119)</f>
        <v/>
      </c>
      <c r="N264">
        <f>IF(Masters!$G119="","",Masters!$G119)</f>
        <v/>
      </c>
      <c r="O264">
        <f>IF(Masters!$G119="","",Masters!$G119)</f>
        <v/>
      </c>
      <c r="P264">
        <f>IF(Masters!$G119="","",Masters!$H119)</f>
        <v/>
      </c>
    </row>
    <row r="265">
      <c r="A265">
        <f>IF(Masters!$G120="","","Masters")</f>
        <v/>
      </c>
      <c r="B265">
        <f>IF(Masters!$G120="","","Major")</f>
        <v/>
      </c>
      <c r="C265" s="18">
        <f>IF(Masters!$G120="","",Masters!$B$3)</f>
        <v/>
      </c>
      <c r="D265">
        <f>IF(Masters!$G120="","",Masters!$D120&amp;"")</f>
        <v/>
      </c>
      <c r="F265">
        <f>IF(Masters!$G120="","",Masters!$A120&amp;"")</f>
        <v/>
      </c>
      <c r="J265">
        <f>IF(Masters!$G120="","",Masters!$E120)</f>
        <v/>
      </c>
      <c r="K265">
        <f>IF(Masters!$G120="","",Masters!$J120)</f>
        <v/>
      </c>
      <c r="L265">
        <f>IF(Masters!$G120="","","")</f>
        <v/>
      </c>
      <c r="M265">
        <f>IF(Masters!$G120="","",Masters!$F120)</f>
        <v/>
      </c>
      <c r="N265">
        <f>IF(Masters!$G120="","",Masters!$G120)</f>
        <v/>
      </c>
      <c r="O265">
        <f>IF(Masters!$G120="","",Masters!$G120)</f>
        <v/>
      </c>
      <c r="P265">
        <f>IF(Masters!$G120="","",Masters!$H120)</f>
        <v/>
      </c>
    </row>
    <row r="266">
      <c r="A266">
        <f>IF(Masters!$G121="","","Masters")</f>
        <v/>
      </c>
      <c r="B266">
        <f>IF(Masters!$G121="","","Major")</f>
        <v/>
      </c>
      <c r="C266" s="18">
        <f>IF(Masters!$G121="","",Masters!$B$3)</f>
        <v/>
      </c>
      <c r="D266">
        <f>IF(Masters!$G121="","",Masters!$D121&amp;"")</f>
        <v/>
      </c>
      <c r="F266">
        <f>IF(Masters!$G121="","",Masters!$A121&amp;"")</f>
        <v/>
      </c>
      <c r="J266">
        <f>IF(Masters!$G121="","",Masters!$E121)</f>
        <v/>
      </c>
      <c r="K266">
        <f>IF(Masters!$G121="","",Masters!$J121)</f>
        <v/>
      </c>
      <c r="L266">
        <f>IF(Masters!$G121="","","")</f>
        <v/>
      </c>
      <c r="M266">
        <f>IF(Masters!$G121="","",Masters!$F121)</f>
        <v/>
      </c>
      <c r="N266">
        <f>IF(Masters!$G121="","",Masters!$G121)</f>
        <v/>
      </c>
      <c r="O266">
        <f>IF(Masters!$G121="","",Masters!$G121)</f>
        <v/>
      </c>
      <c r="P266">
        <f>IF(Masters!$G121="","",Masters!$H121)</f>
        <v/>
      </c>
    </row>
    <row r="267">
      <c r="A267">
        <f>IF(Masters!$G122="","","Masters")</f>
        <v/>
      </c>
      <c r="B267">
        <f>IF(Masters!$G122="","","Major")</f>
        <v/>
      </c>
      <c r="C267" s="18">
        <f>IF(Masters!$G122="","",Masters!$B$3)</f>
        <v/>
      </c>
      <c r="D267">
        <f>IF(Masters!$G122="","",Masters!$D122&amp;"")</f>
        <v/>
      </c>
      <c r="F267">
        <f>IF(Masters!$G122="","",Masters!$A122&amp;"")</f>
        <v/>
      </c>
      <c r="J267">
        <f>IF(Masters!$G122="","",Masters!$E122)</f>
        <v/>
      </c>
      <c r="K267">
        <f>IF(Masters!$G122="","",Masters!$J122)</f>
        <v/>
      </c>
      <c r="L267">
        <f>IF(Masters!$G122="","","")</f>
        <v/>
      </c>
      <c r="M267">
        <f>IF(Masters!$G122="","",Masters!$F122)</f>
        <v/>
      </c>
      <c r="N267">
        <f>IF(Masters!$G122="","",Masters!$G122)</f>
        <v/>
      </c>
      <c r="O267">
        <f>IF(Masters!$G122="","",Masters!$G122)</f>
        <v/>
      </c>
      <c r="P267">
        <f>IF(Masters!$G122="","",Masters!$H122)</f>
        <v/>
      </c>
    </row>
    <row r="268">
      <c r="A268">
        <f>IF(Masters!$G123="","","Masters")</f>
        <v/>
      </c>
      <c r="B268">
        <f>IF(Masters!$G123="","","Major")</f>
        <v/>
      </c>
      <c r="C268" s="18">
        <f>IF(Masters!$G123="","",Masters!$B$3)</f>
        <v/>
      </c>
      <c r="D268">
        <f>IF(Masters!$G123="","",Masters!$D123&amp;"")</f>
        <v/>
      </c>
      <c r="F268">
        <f>IF(Masters!$G123="","",Masters!$A123&amp;"")</f>
        <v/>
      </c>
      <c r="J268">
        <f>IF(Masters!$G123="","",Masters!$E123)</f>
        <v/>
      </c>
      <c r="K268">
        <f>IF(Masters!$G123="","",Masters!$J123)</f>
        <v/>
      </c>
      <c r="L268">
        <f>IF(Masters!$G123="","","")</f>
        <v/>
      </c>
      <c r="M268">
        <f>IF(Masters!$G123="","",Masters!$F123)</f>
        <v/>
      </c>
      <c r="N268">
        <f>IF(Masters!$G123="","",Masters!$G123)</f>
        <v/>
      </c>
      <c r="O268">
        <f>IF(Masters!$G123="","",Masters!$G123)</f>
        <v/>
      </c>
      <c r="P268">
        <f>IF(Masters!$G123="","",Masters!$H123)</f>
        <v/>
      </c>
    </row>
    <row r="269">
      <c r="A269">
        <f>IF(Masters!$G124="","","Masters")</f>
        <v/>
      </c>
      <c r="B269">
        <f>IF(Masters!$G124="","","Major")</f>
        <v/>
      </c>
      <c r="C269" s="18">
        <f>IF(Masters!$G124="","",Masters!$B$3)</f>
        <v/>
      </c>
      <c r="D269">
        <f>IF(Masters!$G124="","",Masters!$D124&amp;"")</f>
        <v/>
      </c>
      <c r="F269">
        <f>IF(Masters!$G124="","",Masters!$A124&amp;"")</f>
        <v/>
      </c>
      <c r="J269">
        <f>IF(Masters!$G124="","",Masters!$E124)</f>
        <v/>
      </c>
      <c r="K269">
        <f>IF(Masters!$G124="","",Masters!$J124)</f>
        <v/>
      </c>
      <c r="L269">
        <f>IF(Masters!$G124="","","")</f>
        <v/>
      </c>
      <c r="M269">
        <f>IF(Masters!$G124="","",Masters!$F124)</f>
        <v/>
      </c>
      <c r="N269">
        <f>IF(Masters!$G124="","",Masters!$G124)</f>
        <v/>
      </c>
      <c r="O269">
        <f>IF(Masters!$G124="","",Masters!$G124)</f>
        <v/>
      </c>
      <c r="P269">
        <f>IF(Masters!$G124="","",Masters!$H124)</f>
        <v/>
      </c>
    </row>
    <row r="270">
      <c r="A270">
        <f>IF(Masters!$G125="","","Masters")</f>
        <v/>
      </c>
      <c r="B270">
        <f>IF(Masters!$G125="","","Major")</f>
        <v/>
      </c>
      <c r="C270" s="18">
        <f>IF(Masters!$G125="","",Masters!$B$3)</f>
        <v/>
      </c>
      <c r="D270">
        <f>IF(Masters!$G125="","",Masters!$D125&amp;"")</f>
        <v/>
      </c>
      <c r="F270">
        <f>IF(Masters!$G125="","",Masters!$A125&amp;"")</f>
        <v/>
      </c>
      <c r="J270">
        <f>IF(Masters!$G125="","",Masters!$E125)</f>
        <v/>
      </c>
      <c r="K270">
        <f>IF(Masters!$G125="","",Masters!$J125)</f>
        <v/>
      </c>
      <c r="L270">
        <f>IF(Masters!$G125="","","")</f>
        <v/>
      </c>
      <c r="M270">
        <f>IF(Masters!$G125="","",Masters!$F125)</f>
        <v/>
      </c>
      <c r="N270">
        <f>IF(Masters!$G125="","",Masters!$G125)</f>
        <v/>
      </c>
      <c r="O270">
        <f>IF(Masters!$G125="","",Masters!$G125)</f>
        <v/>
      </c>
      <c r="P270">
        <f>IF(Masters!$G125="","",Masters!$H125)</f>
        <v/>
      </c>
    </row>
    <row r="271">
      <c r="A271">
        <f>IF(Masters!$G126="","","Masters")</f>
        <v/>
      </c>
      <c r="B271">
        <f>IF(Masters!$G126="","","Major")</f>
        <v/>
      </c>
      <c r="C271" s="18">
        <f>IF(Masters!$G126="","",Masters!$B$3)</f>
        <v/>
      </c>
      <c r="D271">
        <f>IF(Masters!$G126="","",Masters!$D126&amp;"")</f>
        <v/>
      </c>
      <c r="F271">
        <f>IF(Masters!$G126="","",Masters!$A126&amp;"")</f>
        <v/>
      </c>
      <c r="J271">
        <f>IF(Masters!$G126="","",Masters!$E126)</f>
        <v/>
      </c>
      <c r="K271">
        <f>IF(Masters!$G126="","",Masters!$J126)</f>
        <v/>
      </c>
      <c r="L271">
        <f>IF(Masters!$G126="","","")</f>
        <v/>
      </c>
      <c r="M271">
        <f>IF(Masters!$G126="","",Masters!$F126)</f>
        <v/>
      </c>
      <c r="N271">
        <f>IF(Masters!$G126="","",Masters!$G126)</f>
        <v/>
      </c>
      <c r="O271">
        <f>IF(Masters!$G126="","",Masters!$G126)</f>
        <v/>
      </c>
      <c r="P271">
        <f>IF(Masters!$G126="","",Masters!$H126)</f>
        <v/>
      </c>
    </row>
    <row r="272">
      <c r="A272">
        <f>IF(Masters!$G127="","","Masters")</f>
        <v/>
      </c>
      <c r="B272">
        <f>IF(Masters!$G127="","","Major")</f>
        <v/>
      </c>
      <c r="C272" s="18">
        <f>IF(Masters!$G127="","",Masters!$B$3)</f>
        <v/>
      </c>
      <c r="D272">
        <f>IF(Masters!$G127="","",Masters!$D127&amp;"")</f>
        <v/>
      </c>
      <c r="F272">
        <f>IF(Masters!$G127="","",Masters!$A127&amp;"")</f>
        <v/>
      </c>
      <c r="J272">
        <f>IF(Masters!$G127="","",Masters!$E127)</f>
        <v/>
      </c>
      <c r="K272">
        <f>IF(Masters!$G127="","",Masters!$J127)</f>
        <v/>
      </c>
      <c r="L272">
        <f>IF(Masters!$G127="","","")</f>
        <v/>
      </c>
      <c r="M272">
        <f>IF(Masters!$G127="","",Masters!$F127)</f>
        <v/>
      </c>
      <c r="N272">
        <f>IF(Masters!$G127="","",Masters!$G127)</f>
        <v/>
      </c>
      <c r="O272">
        <f>IF(Masters!$G127="","",Masters!$G127)</f>
        <v/>
      </c>
      <c r="P272">
        <f>IF(Masters!$G127="","",Masters!$H127)</f>
        <v/>
      </c>
    </row>
    <row r="273">
      <c r="A273">
        <f>IF(Masters!$G128="","","Masters")</f>
        <v/>
      </c>
      <c r="B273">
        <f>IF(Masters!$G128="","","Major")</f>
        <v/>
      </c>
      <c r="C273" s="18">
        <f>IF(Masters!$G128="","",Masters!$B$3)</f>
        <v/>
      </c>
      <c r="D273">
        <f>IF(Masters!$G128="","",Masters!$D128&amp;"")</f>
        <v/>
      </c>
      <c r="F273">
        <f>IF(Masters!$G128="","",Masters!$A128&amp;"")</f>
        <v/>
      </c>
      <c r="J273">
        <f>IF(Masters!$G128="","",Masters!$E128)</f>
        <v/>
      </c>
      <c r="K273">
        <f>IF(Masters!$G128="","",Masters!$J128)</f>
        <v/>
      </c>
      <c r="L273">
        <f>IF(Masters!$G128="","","")</f>
        <v/>
      </c>
      <c r="M273">
        <f>IF(Masters!$G128="","",Masters!$F128)</f>
        <v/>
      </c>
      <c r="N273">
        <f>IF(Masters!$G128="","",Masters!$G128)</f>
        <v/>
      </c>
      <c r="O273">
        <f>IF(Masters!$G128="","",Masters!$G128)</f>
        <v/>
      </c>
      <c r="P273">
        <f>IF(Masters!$G128="","",Masters!$H128)</f>
        <v/>
      </c>
    </row>
    <row r="274">
      <c r="A274">
        <f>IF(Masters!$G129="","","Masters")</f>
        <v/>
      </c>
      <c r="B274">
        <f>IF(Masters!$G129="","","Major")</f>
        <v/>
      </c>
      <c r="C274" s="18">
        <f>IF(Masters!$G129="","",Masters!$B$3)</f>
        <v/>
      </c>
      <c r="D274">
        <f>IF(Masters!$G129="","",Masters!$D129&amp;"")</f>
        <v/>
      </c>
      <c r="F274">
        <f>IF(Masters!$G129="","",Masters!$A129&amp;"")</f>
        <v/>
      </c>
      <c r="J274">
        <f>IF(Masters!$G129="","",Masters!$E129)</f>
        <v/>
      </c>
      <c r="K274">
        <f>IF(Masters!$G129="","",Masters!$J129)</f>
        <v/>
      </c>
      <c r="L274">
        <f>IF(Masters!$G129="","","")</f>
        <v/>
      </c>
      <c r="M274">
        <f>IF(Masters!$G129="","",Masters!$F129)</f>
        <v/>
      </c>
      <c r="N274">
        <f>IF(Masters!$G129="","",Masters!$G129)</f>
        <v/>
      </c>
      <c r="O274">
        <f>IF(Masters!$G129="","",Masters!$G129)</f>
        <v/>
      </c>
      <c r="P274">
        <f>IF(Masters!$G129="","",Masters!$H129)</f>
        <v/>
      </c>
    </row>
    <row r="275">
      <c r="A275">
        <f>IF(Masters!$G130="","","Masters")</f>
        <v/>
      </c>
      <c r="B275">
        <f>IF(Masters!$G130="","","Major")</f>
        <v/>
      </c>
      <c r="C275" s="18">
        <f>IF(Masters!$G130="","",Masters!$B$3)</f>
        <v/>
      </c>
      <c r="D275">
        <f>IF(Masters!$G130="","",Masters!$D130&amp;"")</f>
        <v/>
      </c>
      <c r="F275">
        <f>IF(Masters!$G130="","",Masters!$A130&amp;"")</f>
        <v/>
      </c>
      <c r="J275">
        <f>IF(Masters!$G130="","",Masters!$E130)</f>
        <v/>
      </c>
      <c r="K275">
        <f>IF(Masters!$G130="","",Masters!$J130)</f>
        <v/>
      </c>
      <c r="L275">
        <f>IF(Masters!$G130="","","")</f>
        <v/>
      </c>
      <c r="M275">
        <f>IF(Masters!$G130="","",Masters!$F130)</f>
        <v/>
      </c>
      <c r="N275">
        <f>IF(Masters!$G130="","",Masters!$G130)</f>
        <v/>
      </c>
      <c r="O275">
        <f>IF(Masters!$G130="","",Masters!$G130)</f>
        <v/>
      </c>
      <c r="P275">
        <f>IF(Masters!$G130="","",Masters!$H130)</f>
        <v/>
      </c>
    </row>
    <row r="276">
      <c r="A276">
        <f>IF(Masters!$G131="","","Masters")</f>
        <v/>
      </c>
      <c r="B276">
        <f>IF(Masters!$G131="","","Major")</f>
        <v/>
      </c>
      <c r="C276" s="18">
        <f>IF(Masters!$G131="","",Masters!$B$3)</f>
        <v/>
      </c>
      <c r="D276">
        <f>IF(Masters!$G131="","",Masters!$D131&amp;"")</f>
        <v/>
      </c>
      <c r="F276">
        <f>IF(Masters!$G131="","",Masters!$A131&amp;"")</f>
        <v/>
      </c>
      <c r="J276">
        <f>IF(Masters!$G131="","",Masters!$E131)</f>
        <v/>
      </c>
      <c r="K276">
        <f>IF(Masters!$G131="","",Masters!$J131)</f>
        <v/>
      </c>
      <c r="L276">
        <f>IF(Masters!$G131="","","")</f>
        <v/>
      </c>
      <c r="M276">
        <f>IF(Masters!$G131="","",Masters!$F131)</f>
        <v/>
      </c>
      <c r="N276">
        <f>IF(Masters!$G131="","",Masters!$G131)</f>
        <v/>
      </c>
      <c r="O276">
        <f>IF(Masters!$G131="","",Masters!$G131)</f>
        <v/>
      </c>
      <c r="P276">
        <f>IF(Masters!$G131="","",Masters!$H131)</f>
        <v/>
      </c>
    </row>
    <row r="277">
      <c r="A277">
        <f>IF(Masters!$G132="","","Masters")</f>
        <v/>
      </c>
      <c r="B277">
        <f>IF(Masters!$G132="","","Major")</f>
        <v/>
      </c>
      <c r="C277" s="18">
        <f>IF(Masters!$G132="","",Masters!$B$3)</f>
        <v/>
      </c>
      <c r="D277">
        <f>IF(Masters!$G132="","",Masters!$D132&amp;"")</f>
        <v/>
      </c>
      <c r="F277">
        <f>IF(Masters!$G132="","",Masters!$A132&amp;"")</f>
        <v/>
      </c>
      <c r="J277">
        <f>IF(Masters!$G132="","",Masters!$E132)</f>
        <v/>
      </c>
      <c r="K277">
        <f>IF(Masters!$G132="","",Masters!$J132)</f>
        <v/>
      </c>
      <c r="L277">
        <f>IF(Masters!$G132="","","")</f>
        <v/>
      </c>
      <c r="M277">
        <f>IF(Masters!$G132="","",Masters!$F132)</f>
        <v/>
      </c>
      <c r="N277">
        <f>IF(Masters!$G132="","",Masters!$G132)</f>
        <v/>
      </c>
      <c r="O277">
        <f>IF(Masters!$G132="","",Masters!$G132)</f>
        <v/>
      </c>
      <c r="P277">
        <f>IF(Masters!$G132="","",Masters!$H132)</f>
        <v/>
      </c>
    </row>
    <row r="278">
      <c r="A278">
        <f>IF(Masters!$G133="","","Masters")</f>
        <v/>
      </c>
      <c r="B278">
        <f>IF(Masters!$G133="","","Major")</f>
        <v/>
      </c>
      <c r="C278" s="18">
        <f>IF(Masters!$G133="","",Masters!$B$3)</f>
        <v/>
      </c>
      <c r="D278">
        <f>IF(Masters!$G133="","",Masters!$D133&amp;"")</f>
        <v/>
      </c>
      <c r="F278">
        <f>IF(Masters!$G133="","",Masters!$A133&amp;"")</f>
        <v/>
      </c>
      <c r="J278">
        <f>IF(Masters!$G133="","",Masters!$E133)</f>
        <v/>
      </c>
      <c r="K278">
        <f>IF(Masters!$G133="","",Masters!$J133)</f>
        <v/>
      </c>
      <c r="L278">
        <f>IF(Masters!$G133="","","")</f>
        <v/>
      </c>
      <c r="M278">
        <f>IF(Masters!$G133="","",Masters!$F133)</f>
        <v/>
      </c>
      <c r="N278">
        <f>IF(Masters!$G133="","",Masters!$G133)</f>
        <v/>
      </c>
      <c r="O278">
        <f>IF(Masters!$G133="","",Masters!$G133)</f>
        <v/>
      </c>
      <c r="P278">
        <f>IF(Masters!$G133="","",Masters!$H133)</f>
        <v/>
      </c>
    </row>
    <row r="279">
      <c r="A279">
        <f>IF(Masters!$G134="","","Masters")</f>
        <v/>
      </c>
      <c r="B279">
        <f>IF(Masters!$G134="","","Major")</f>
        <v/>
      </c>
      <c r="C279" s="18">
        <f>IF(Masters!$G134="","",Masters!$B$3)</f>
        <v/>
      </c>
      <c r="D279">
        <f>IF(Masters!$G134="","",Masters!$D134&amp;"")</f>
        <v/>
      </c>
      <c r="F279">
        <f>IF(Masters!$G134="","",Masters!$A134&amp;"")</f>
        <v/>
      </c>
      <c r="J279">
        <f>IF(Masters!$G134="","",Masters!$E134)</f>
        <v/>
      </c>
      <c r="K279">
        <f>IF(Masters!$G134="","",Masters!$J134)</f>
        <v/>
      </c>
      <c r="L279">
        <f>IF(Masters!$G134="","","")</f>
        <v/>
      </c>
      <c r="M279">
        <f>IF(Masters!$G134="","",Masters!$F134)</f>
        <v/>
      </c>
      <c r="N279">
        <f>IF(Masters!$G134="","",Masters!$G134)</f>
        <v/>
      </c>
      <c r="O279">
        <f>IF(Masters!$G134="","",Masters!$G134)</f>
        <v/>
      </c>
      <c r="P279">
        <f>IF(Masters!$G134="","",Masters!$H134)</f>
        <v/>
      </c>
    </row>
    <row r="280">
      <c r="A280">
        <f>IF(Masters!$G135="","","Masters")</f>
        <v/>
      </c>
      <c r="B280">
        <f>IF(Masters!$G135="","","Major")</f>
        <v/>
      </c>
      <c r="C280" s="18">
        <f>IF(Masters!$G135="","",Masters!$B$3)</f>
        <v/>
      </c>
      <c r="D280">
        <f>IF(Masters!$G135="","",Masters!$D135&amp;"")</f>
        <v/>
      </c>
      <c r="F280">
        <f>IF(Masters!$G135="","",Masters!$A135&amp;"")</f>
        <v/>
      </c>
      <c r="J280">
        <f>IF(Masters!$G135="","",Masters!$E135)</f>
        <v/>
      </c>
      <c r="K280">
        <f>IF(Masters!$G135="","",Masters!$J135)</f>
        <v/>
      </c>
      <c r="L280">
        <f>IF(Masters!$G135="","","")</f>
        <v/>
      </c>
      <c r="M280">
        <f>IF(Masters!$G135="","",Masters!$F135)</f>
        <v/>
      </c>
      <c r="N280">
        <f>IF(Masters!$G135="","",Masters!$G135)</f>
        <v/>
      </c>
      <c r="O280">
        <f>IF(Masters!$G135="","",Masters!$G135)</f>
        <v/>
      </c>
      <c r="P280">
        <f>IF(Masters!$G135="","",Masters!$H135)</f>
        <v/>
      </c>
    </row>
    <row r="281">
      <c r="A281">
        <f>IF(Masters!$G136="","","Masters")</f>
        <v/>
      </c>
      <c r="B281">
        <f>IF(Masters!$G136="","","Major")</f>
        <v/>
      </c>
      <c r="C281" s="18">
        <f>IF(Masters!$G136="","",Masters!$B$3)</f>
        <v/>
      </c>
      <c r="D281">
        <f>IF(Masters!$G136="","",Masters!$D136&amp;"")</f>
        <v/>
      </c>
      <c r="F281">
        <f>IF(Masters!$G136="","",Masters!$A136&amp;"")</f>
        <v/>
      </c>
      <c r="J281">
        <f>IF(Masters!$G136="","",Masters!$E136)</f>
        <v/>
      </c>
      <c r="K281">
        <f>IF(Masters!$G136="","",Masters!$J136)</f>
        <v/>
      </c>
      <c r="L281">
        <f>IF(Masters!$G136="","","")</f>
        <v/>
      </c>
      <c r="M281">
        <f>IF(Masters!$G136="","",Masters!$F136)</f>
        <v/>
      </c>
      <c r="N281">
        <f>IF(Masters!$G136="","",Masters!$G136)</f>
        <v/>
      </c>
      <c r="O281">
        <f>IF(Masters!$G136="","",Masters!$G136)</f>
        <v/>
      </c>
      <c r="P281">
        <f>IF(Masters!$G136="","",Masters!$H136)</f>
        <v/>
      </c>
    </row>
    <row r="282">
      <c r="A282">
        <f>IF(Masters!$G137="","","Masters")</f>
        <v/>
      </c>
      <c r="B282">
        <f>IF(Masters!$G137="","","Major")</f>
        <v/>
      </c>
      <c r="C282" s="18">
        <f>IF(Masters!$G137="","",Masters!$B$3)</f>
        <v/>
      </c>
      <c r="D282">
        <f>IF(Masters!$G137="","",Masters!$D137&amp;"")</f>
        <v/>
      </c>
      <c r="F282">
        <f>IF(Masters!$G137="","",Masters!$A137&amp;"")</f>
        <v/>
      </c>
      <c r="J282">
        <f>IF(Masters!$G137="","",Masters!$E137)</f>
        <v/>
      </c>
      <c r="K282">
        <f>IF(Masters!$G137="","",Masters!$J137)</f>
        <v/>
      </c>
      <c r="L282">
        <f>IF(Masters!$G137="","","")</f>
        <v/>
      </c>
      <c r="M282">
        <f>IF(Masters!$G137="","",Masters!$F137)</f>
        <v/>
      </c>
      <c r="N282">
        <f>IF(Masters!$G137="","",Masters!$G137)</f>
        <v/>
      </c>
      <c r="O282">
        <f>IF(Masters!$G137="","",Masters!$G137)</f>
        <v/>
      </c>
      <c r="P282">
        <f>IF(Masters!$G137="","",Masters!$H137)</f>
        <v/>
      </c>
    </row>
    <row r="283">
      <c r="A283">
        <f>IF(Masters!$G138="","","Masters")</f>
        <v/>
      </c>
      <c r="B283">
        <f>IF(Masters!$G138="","","Major")</f>
        <v/>
      </c>
      <c r="C283" s="18">
        <f>IF(Masters!$G138="","",Masters!$B$3)</f>
        <v/>
      </c>
      <c r="D283">
        <f>IF(Masters!$G138="","",Masters!$D138&amp;"")</f>
        <v/>
      </c>
      <c r="F283">
        <f>IF(Masters!$G138="","",Masters!$A138&amp;"")</f>
        <v/>
      </c>
      <c r="J283">
        <f>IF(Masters!$G138="","",Masters!$E138)</f>
        <v/>
      </c>
      <c r="K283">
        <f>IF(Masters!$G138="","",Masters!$J138)</f>
        <v/>
      </c>
      <c r="L283">
        <f>IF(Masters!$G138="","","")</f>
        <v/>
      </c>
      <c r="M283">
        <f>IF(Masters!$G138="","",Masters!$F138)</f>
        <v/>
      </c>
      <c r="N283">
        <f>IF(Masters!$G138="","",Masters!$G138)</f>
        <v/>
      </c>
      <c r="O283">
        <f>IF(Masters!$G138="","",Masters!$G138)</f>
        <v/>
      </c>
      <c r="P283">
        <f>IF(Masters!$G138="","",Masters!$H138)</f>
        <v/>
      </c>
    </row>
    <row r="284">
      <c r="A284">
        <f>IF(Masters!$G139="","","Masters")</f>
        <v/>
      </c>
      <c r="B284">
        <f>IF(Masters!$G139="","","Major")</f>
        <v/>
      </c>
      <c r="C284" s="18">
        <f>IF(Masters!$G139="","",Masters!$B$3)</f>
        <v/>
      </c>
      <c r="D284">
        <f>IF(Masters!$G139="","",Masters!$D139&amp;"")</f>
        <v/>
      </c>
      <c r="F284">
        <f>IF(Masters!$G139="","",Masters!$A139&amp;"")</f>
        <v/>
      </c>
      <c r="J284">
        <f>IF(Masters!$G139="","",Masters!$E139)</f>
        <v/>
      </c>
      <c r="K284">
        <f>IF(Masters!$G139="","",Masters!$J139)</f>
        <v/>
      </c>
      <c r="L284">
        <f>IF(Masters!$G139="","","")</f>
        <v/>
      </c>
      <c r="M284">
        <f>IF(Masters!$G139="","",Masters!$F139)</f>
        <v/>
      </c>
      <c r="N284">
        <f>IF(Masters!$G139="","",Masters!$G139)</f>
        <v/>
      </c>
      <c r="O284">
        <f>IF(Masters!$G139="","",Masters!$G139)</f>
        <v/>
      </c>
      <c r="P284">
        <f>IF(Masters!$G139="","",Masters!$H139)</f>
        <v/>
      </c>
    </row>
    <row r="285">
      <c r="A285">
        <f>IF(Masters!$G140="","","Masters")</f>
        <v/>
      </c>
      <c r="B285">
        <f>IF(Masters!$G140="","","Major")</f>
        <v/>
      </c>
      <c r="C285" s="18">
        <f>IF(Masters!$G140="","",Masters!$B$3)</f>
        <v/>
      </c>
      <c r="D285">
        <f>IF(Masters!$G140="","",Masters!$D140&amp;"")</f>
        <v/>
      </c>
      <c r="F285">
        <f>IF(Masters!$G140="","",Masters!$A140&amp;"")</f>
        <v/>
      </c>
      <c r="J285">
        <f>IF(Masters!$G140="","",Masters!$E140)</f>
        <v/>
      </c>
      <c r="K285">
        <f>IF(Masters!$G140="","",Masters!$J140)</f>
        <v/>
      </c>
      <c r="L285">
        <f>IF(Masters!$G140="","","")</f>
        <v/>
      </c>
      <c r="M285">
        <f>IF(Masters!$G140="","",Masters!$F140)</f>
        <v/>
      </c>
      <c r="N285">
        <f>IF(Masters!$G140="","",Masters!$G140)</f>
        <v/>
      </c>
      <c r="O285">
        <f>IF(Masters!$G140="","",Masters!$G140)</f>
        <v/>
      </c>
      <c r="P285">
        <f>IF(Masters!$G140="","",Masters!$H140)</f>
        <v/>
      </c>
    </row>
    <row r="286">
      <c r="A286">
        <f>IF(Masters!$G141="","","Masters")</f>
        <v/>
      </c>
      <c r="B286">
        <f>IF(Masters!$G141="","","Major")</f>
        <v/>
      </c>
      <c r="C286" s="18">
        <f>IF(Masters!$G141="","",Masters!$B$3)</f>
        <v/>
      </c>
      <c r="D286">
        <f>IF(Masters!$G141="","",Masters!$D141&amp;"")</f>
        <v/>
      </c>
      <c r="F286">
        <f>IF(Masters!$G141="","",Masters!$A141&amp;"")</f>
        <v/>
      </c>
      <c r="J286">
        <f>IF(Masters!$G141="","",Masters!$E141)</f>
        <v/>
      </c>
      <c r="K286">
        <f>IF(Masters!$G141="","",Masters!$J141)</f>
        <v/>
      </c>
      <c r="L286">
        <f>IF(Masters!$G141="","","")</f>
        <v/>
      </c>
      <c r="M286">
        <f>IF(Masters!$G141="","",Masters!$F141)</f>
        <v/>
      </c>
      <c r="N286">
        <f>IF(Masters!$G141="","",Masters!$G141)</f>
        <v/>
      </c>
      <c r="O286">
        <f>IF(Masters!$G141="","",Masters!$G141)</f>
        <v/>
      </c>
      <c r="P286">
        <f>IF(Masters!$G141="","",Masters!$H141)</f>
        <v/>
      </c>
    </row>
    <row r="287">
      <c r="A287">
        <f>IF(Masters!$G142="","","Masters")</f>
        <v/>
      </c>
      <c r="B287">
        <f>IF(Masters!$G142="","","Major")</f>
        <v/>
      </c>
      <c r="C287" s="18">
        <f>IF(Masters!$G142="","",Masters!$B$3)</f>
        <v/>
      </c>
      <c r="D287">
        <f>IF(Masters!$G142="","",Masters!$D142&amp;"")</f>
        <v/>
      </c>
      <c r="F287">
        <f>IF(Masters!$G142="","",Masters!$A142&amp;"")</f>
        <v/>
      </c>
      <c r="J287">
        <f>IF(Masters!$G142="","",Masters!$E142)</f>
        <v/>
      </c>
      <c r="K287">
        <f>IF(Masters!$G142="","",Masters!$J142)</f>
        <v/>
      </c>
      <c r="L287">
        <f>IF(Masters!$G142="","","")</f>
        <v/>
      </c>
      <c r="M287">
        <f>IF(Masters!$G142="","",Masters!$F142)</f>
        <v/>
      </c>
      <c r="N287">
        <f>IF(Masters!$G142="","",Masters!$G142)</f>
        <v/>
      </c>
      <c r="O287">
        <f>IF(Masters!$G142="","",Masters!$G142)</f>
        <v/>
      </c>
      <c r="P287">
        <f>IF(Masters!$G142="","",Masters!$H142)</f>
        <v/>
      </c>
    </row>
    <row r="288">
      <c r="A288">
        <f>IF(Masters!$G143="","","Masters")</f>
        <v/>
      </c>
      <c r="B288">
        <f>IF(Masters!$G143="","","Major")</f>
        <v/>
      </c>
      <c r="C288" s="18">
        <f>IF(Masters!$G143="","",Masters!$B$3)</f>
        <v/>
      </c>
      <c r="D288">
        <f>IF(Masters!$G143="","",Masters!$D143&amp;"")</f>
        <v/>
      </c>
      <c r="F288">
        <f>IF(Masters!$G143="","",Masters!$A143&amp;"")</f>
        <v/>
      </c>
      <c r="J288">
        <f>IF(Masters!$G143="","",Masters!$E143)</f>
        <v/>
      </c>
      <c r="K288">
        <f>IF(Masters!$G143="","",Masters!$J143)</f>
        <v/>
      </c>
      <c r="L288">
        <f>IF(Masters!$G143="","","")</f>
        <v/>
      </c>
      <c r="M288">
        <f>IF(Masters!$G143="","",Masters!$F143)</f>
        <v/>
      </c>
      <c r="N288">
        <f>IF(Masters!$G143="","",Masters!$G143)</f>
        <v/>
      </c>
      <c r="O288">
        <f>IF(Masters!$G143="","",Masters!$G143)</f>
        <v/>
      </c>
      <c r="P288">
        <f>IF(Masters!$G143="","",Masters!$H143)</f>
        <v/>
      </c>
    </row>
    <row r="289">
      <c r="A289">
        <f>IF(Masters!$G144="","","Masters")</f>
        <v/>
      </c>
      <c r="B289">
        <f>IF(Masters!$G144="","","Major")</f>
        <v/>
      </c>
      <c r="C289" s="18">
        <f>IF(Masters!$G144="","",Masters!$B$3)</f>
        <v/>
      </c>
      <c r="D289">
        <f>IF(Masters!$G144="","",Masters!$D144&amp;"")</f>
        <v/>
      </c>
      <c r="F289">
        <f>IF(Masters!$G144="","",Masters!$A144&amp;"")</f>
        <v/>
      </c>
      <c r="J289">
        <f>IF(Masters!$G144="","",Masters!$E144)</f>
        <v/>
      </c>
      <c r="K289">
        <f>IF(Masters!$G144="","",Masters!$J144)</f>
        <v/>
      </c>
      <c r="L289">
        <f>IF(Masters!$G144="","","")</f>
        <v/>
      </c>
      <c r="M289">
        <f>IF(Masters!$G144="","",Masters!$F144)</f>
        <v/>
      </c>
      <c r="N289">
        <f>IF(Masters!$G144="","",Masters!$G144)</f>
        <v/>
      </c>
      <c r="O289">
        <f>IF(Masters!$G144="","",Masters!$G144)</f>
        <v/>
      </c>
      <c r="P289">
        <f>IF(Masters!$G144="","",Masters!$H144)</f>
        <v/>
      </c>
    </row>
    <row r="290">
      <c r="A290">
        <f>IF(Masters!$G145="","","Masters")</f>
        <v/>
      </c>
      <c r="B290">
        <f>IF(Masters!$G145="","","Major")</f>
        <v/>
      </c>
      <c r="C290" s="18">
        <f>IF(Masters!$G145="","",Masters!$B$3)</f>
        <v/>
      </c>
      <c r="D290">
        <f>IF(Masters!$G145="","",Masters!$D145&amp;"")</f>
        <v/>
      </c>
      <c r="F290">
        <f>IF(Masters!$G145="","",Masters!$A145&amp;"")</f>
        <v/>
      </c>
      <c r="J290">
        <f>IF(Masters!$G145="","",Masters!$E145)</f>
        <v/>
      </c>
      <c r="K290">
        <f>IF(Masters!$G145="","",Masters!$J145)</f>
        <v/>
      </c>
      <c r="L290">
        <f>IF(Masters!$G145="","","")</f>
        <v/>
      </c>
      <c r="M290">
        <f>IF(Masters!$G145="","",Masters!$F145)</f>
        <v/>
      </c>
      <c r="N290">
        <f>IF(Masters!$G145="","",Masters!$G145)</f>
        <v/>
      </c>
      <c r="O290">
        <f>IF(Masters!$G145="","",Masters!$G145)</f>
        <v/>
      </c>
      <c r="P290">
        <f>IF(Masters!$G145="","",Masters!$H145)</f>
        <v/>
      </c>
    </row>
    <row r="291">
      <c r="A291">
        <f>IF(Masters!$G146="","","Masters")</f>
        <v/>
      </c>
      <c r="B291">
        <f>IF(Masters!$G146="","","Major")</f>
        <v/>
      </c>
      <c r="C291" s="18">
        <f>IF(Masters!$G146="","",Masters!$B$3)</f>
        <v/>
      </c>
      <c r="D291">
        <f>IF(Masters!$G146="","",Masters!$D146&amp;"")</f>
        <v/>
      </c>
      <c r="F291">
        <f>IF(Masters!$G146="","",Masters!$A146&amp;"")</f>
        <v/>
      </c>
      <c r="J291">
        <f>IF(Masters!$G146="","",Masters!$E146)</f>
        <v/>
      </c>
      <c r="K291">
        <f>IF(Masters!$G146="","",Masters!$J146)</f>
        <v/>
      </c>
      <c r="L291">
        <f>IF(Masters!$G146="","","")</f>
        <v/>
      </c>
      <c r="M291">
        <f>IF(Masters!$G146="","",Masters!$F146)</f>
        <v/>
      </c>
      <c r="N291">
        <f>IF(Masters!$G146="","",Masters!$G146)</f>
        <v/>
      </c>
      <c r="O291">
        <f>IF(Masters!$G146="","",Masters!$G146)</f>
        <v/>
      </c>
      <c r="P291">
        <f>IF(Masters!$G146="","",Masters!$H146)</f>
        <v/>
      </c>
    </row>
    <row r="292">
      <c r="A292">
        <f>IF(Masters!$G147="","","Masters")</f>
        <v/>
      </c>
      <c r="B292">
        <f>IF(Masters!$G147="","","Major")</f>
        <v/>
      </c>
      <c r="C292" s="18">
        <f>IF(Masters!$G147="","",Masters!$B$3)</f>
        <v/>
      </c>
      <c r="D292">
        <f>IF(Masters!$G147="","",Masters!$D147&amp;"")</f>
        <v/>
      </c>
      <c r="F292">
        <f>IF(Masters!$G147="","",Masters!$A147&amp;"")</f>
        <v/>
      </c>
      <c r="J292">
        <f>IF(Masters!$G147="","",Masters!$E147)</f>
        <v/>
      </c>
      <c r="K292">
        <f>IF(Masters!$G147="","",Masters!$J147)</f>
        <v/>
      </c>
      <c r="L292">
        <f>IF(Masters!$G147="","","")</f>
        <v/>
      </c>
      <c r="M292">
        <f>IF(Masters!$G147="","",Masters!$F147)</f>
        <v/>
      </c>
      <c r="N292">
        <f>IF(Masters!$G147="","",Masters!$G147)</f>
        <v/>
      </c>
      <c r="O292">
        <f>IF(Masters!$G147="","",Masters!$G147)</f>
        <v/>
      </c>
      <c r="P292">
        <f>IF(Masters!$G147="","",Masters!$H147)</f>
        <v/>
      </c>
    </row>
    <row r="293">
      <c r="A293">
        <f>IF(Masters!$G148="","","Masters")</f>
        <v/>
      </c>
      <c r="B293">
        <f>IF(Masters!$G148="","","Major")</f>
        <v/>
      </c>
      <c r="C293" s="18">
        <f>IF(Masters!$G148="","",Masters!$B$3)</f>
        <v/>
      </c>
      <c r="D293">
        <f>IF(Masters!$G148="","",Masters!$D148&amp;"")</f>
        <v/>
      </c>
      <c r="F293">
        <f>IF(Masters!$G148="","",Masters!$A148&amp;"")</f>
        <v/>
      </c>
      <c r="J293">
        <f>IF(Masters!$G148="","",Masters!$E148)</f>
        <v/>
      </c>
      <c r="K293">
        <f>IF(Masters!$G148="","",Masters!$J148)</f>
        <v/>
      </c>
      <c r="L293">
        <f>IF(Masters!$G148="","","")</f>
        <v/>
      </c>
      <c r="M293">
        <f>IF(Masters!$G148="","",Masters!$F148)</f>
        <v/>
      </c>
      <c r="N293">
        <f>IF(Masters!$G148="","",Masters!$G148)</f>
        <v/>
      </c>
      <c r="O293">
        <f>IF(Masters!$G148="","",Masters!$G148)</f>
        <v/>
      </c>
      <c r="P293">
        <f>IF(Masters!$G148="","",Masters!$H148)</f>
        <v/>
      </c>
    </row>
    <row r="294">
      <c r="A294">
        <f>IF(Masters!$G149="","","Masters")</f>
        <v/>
      </c>
      <c r="B294">
        <f>IF(Masters!$G149="","","Major")</f>
        <v/>
      </c>
      <c r="C294" s="18">
        <f>IF(Masters!$G149="","",Masters!$B$3)</f>
        <v/>
      </c>
      <c r="D294">
        <f>IF(Masters!$G149="","",Masters!$D149&amp;"")</f>
        <v/>
      </c>
      <c r="F294">
        <f>IF(Masters!$G149="","",Masters!$A149&amp;"")</f>
        <v/>
      </c>
      <c r="J294">
        <f>IF(Masters!$G149="","",Masters!$E149)</f>
        <v/>
      </c>
      <c r="K294">
        <f>IF(Masters!$G149="","",Masters!$J149)</f>
        <v/>
      </c>
      <c r="L294">
        <f>IF(Masters!$G149="","","")</f>
        <v/>
      </c>
      <c r="M294">
        <f>IF(Masters!$G149="","",Masters!$F149)</f>
        <v/>
      </c>
      <c r="N294">
        <f>IF(Masters!$G149="","",Masters!$G149)</f>
        <v/>
      </c>
      <c r="O294">
        <f>IF(Masters!$G149="","",Masters!$G149)</f>
        <v/>
      </c>
      <c r="P294">
        <f>IF(Masters!$G149="","",Masters!$H149)</f>
        <v/>
      </c>
    </row>
    <row r="295">
      <c r="A295">
        <f>IF(Masters!$G150="","","Masters")</f>
        <v/>
      </c>
      <c r="B295">
        <f>IF(Masters!$G150="","","Major")</f>
        <v/>
      </c>
      <c r="C295" s="18">
        <f>IF(Masters!$G150="","",Masters!$B$3)</f>
        <v/>
      </c>
      <c r="D295">
        <f>IF(Masters!$G150="","",Masters!$D150&amp;"")</f>
        <v/>
      </c>
      <c r="F295">
        <f>IF(Masters!$G150="","",Masters!$A150&amp;"")</f>
        <v/>
      </c>
      <c r="J295">
        <f>IF(Masters!$G150="","",Masters!$E150)</f>
        <v/>
      </c>
      <c r="K295">
        <f>IF(Masters!$G150="","",Masters!$J150)</f>
        <v/>
      </c>
      <c r="L295">
        <f>IF(Masters!$G150="","","")</f>
        <v/>
      </c>
      <c r="M295">
        <f>IF(Masters!$G150="","",Masters!$F150)</f>
        <v/>
      </c>
      <c r="N295">
        <f>IF(Masters!$G150="","",Masters!$G150)</f>
        <v/>
      </c>
      <c r="O295">
        <f>IF(Masters!$G150="","",Masters!$G150)</f>
        <v/>
      </c>
      <c r="P295">
        <f>IF(Masters!$G150="","",Masters!$H150)</f>
        <v/>
      </c>
    </row>
    <row r="296">
      <c r="A296">
        <f>IF(Masters!$G151="","","Masters")</f>
        <v/>
      </c>
      <c r="B296">
        <f>IF(Masters!$G151="","","Major")</f>
        <v/>
      </c>
      <c r="C296" s="18">
        <f>IF(Masters!$G151="","",Masters!$B$3)</f>
        <v/>
      </c>
      <c r="D296">
        <f>IF(Masters!$G151="","",Masters!$D151&amp;"")</f>
        <v/>
      </c>
      <c r="F296">
        <f>IF(Masters!$G151="","",Masters!$A151&amp;"")</f>
        <v/>
      </c>
      <c r="J296">
        <f>IF(Masters!$G151="","",Masters!$E151)</f>
        <v/>
      </c>
      <c r="K296">
        <f>IF(Masters!$G151="","",Masters!$J151)</f>
        <v/>
      </c>
      <c r="L296">
        <f>IF(Masters!$G151="","","")</f>
        <v/>
      </c>
      <c r="M296">
        <f>IF(Masters!$G151="","",Masters!$F151)</f>
        <v/>
      </c>
      <c r="N296">
        <f>IF(Masters!$G151="","",Masters!$G151)</f>
        <v/>
      </c>
      <c r="O296">
        <f>IF(Masters!$G151="","",Masters!$G151)</f>
        <v/>
      </c>
      <c r="P296">
        <f>IF(Masters!$G151="","",Masters!$H151)</f>
        <v/>
      </c>
    </row>
    <row r="297">
      <c r="A297">
        <f>IF(Masters!$G152="","","Masters")</f>
        <v/>
      </c>
      <c r="B297">
        <f>IF(Masters!$G152="","","Major")</f>
        <v/>
      </c>
      <c r="C297" s="18">
        <f>IF(Masters!$G152="","",Masters!$B$3)</f>
        <v/>
      </c>
      <c r="D297">
        <f>IF(Masters!$G152="","",Masters!$D152&amp;"")</f>
        <v/>
      </c>
      <c r="F297">
        <f>IF(Masters!$G152="","",Masters!$A152&amp;"")</f>
        <v/>
      </c>
      <c r="J297">
        <f>IF(Masters!$G152="","",Masters!$E152)</f>
        <v/>
      </c>
      <c r="K297">
        <f>IF(Masters!$G152="","",Masters!$J152)</f>
        <v/>
      </c>
      <c r="L297">
        <f>IF(Masters!$G152="","","")</f>
        <v/>
      </c>
      <c r="M297">
        <f>IF(Masters!$G152="","",Masters!$F152)</f>
        <v/>
      </c>
      <c r="N297">
        <f>IF(Masters!$G152="","",Masters!$G152)</f>
        <v/>
      </c>
      <c r="O297">
        <f>IF(Masters!$G152="","",Masters!$G152)</f>
        <v/>
      </c>
      <c r="P297">
        <f>IF(Masters!$G152="","",Masters!$H152)</f>
        <v/>
      </c>
    </row>
    <row r="298">
      <c r="A298">
        <f>IF(Masters!$G153="","","Masters")</f>
        <v/>
      </c>
      <c r="B298">
        <f>IF(Masters!$G153="","","Major")</f>
        <v/>
      </c>
      <c r="C298" s="18">
        <f>IF(Masters!$G153="","",Masters!$B$3)</f>
        <v/>
      </c>
      <c r="D298">
        <f>IF(Masters!$G153="","",Masters!$D153&amp;"")</f>
        <v/>
      </c>
      <c r="F298">
        <f>IF(Masters!$G153="","",Masters!$A153&amp;"")</f>
        <v/>
      </c>
      <c r="J298">
        <f>IF(Masters!$G153="","",Masters!$E153)</f>
        <v/>
      </c>
      <c r="K298">
        <f>IF(Masters!$G153="","",Masters!$J153)</f>
        <v/>
      </c>
      <c r="L298">
        <f>IF(Masters!$G153="","","")</f>
        <v/>
      </c>
      <c r="M298">
        <f>IF(Masters!$G153="","",Masters!$F153)</f>
        <v/>
      </c>
      <c r="N298">
        <f>IF(Masters!$G153="","",Masters!$G153)</f>
        <v/>
      </c>
      <c r="O298">
        <f>IF(Masters!$G153="","",Masters!$G153)</f>
        <v/>
      </c>
      <c r="P298">
        <f>IF(Masters!$G153="","",Masters!$H153)</f>
        <v/>
      </c>
    </row>
    <row r="299">
      <c r="A299">
        <f>IF(Masters!$G154="","","Masters")</f>
        <v/>
      </c>
      <c r="B299">
        <f>IF(Masters!$G154="","","Major")</f>
        <v/>
      </c>
      <c r="C299" s="18">
        <f>IF(Masters!$G154="","",Masters!$B$3)</f>
        <v/>
      </c>
      <c r="D299">
        <f>IF(Masters!$G154="","",Masters!$D154&amp;"")</f>
        <v/>
      </c>
      <c r="F299">
        <f>IF(Masters!$G154="","",Masters!$A154&amp;"")</f>
        <v/>
      </c>
      <c r="J299">
        <f>IF(Masters!$G154="","",Masters!$E154)</f>
        <v/>
      </c>
      <c r="K299">
        <f>IF(Masters!$G154="","",Masters!$J154)</f>
        <v/>
      </c>
      <c r="L299">
        <f>IF(Masters!$G154="","","")</f>
        <v/>
      </c>
      <c r="M299">
        <f>IF(Masters!$G154="","",Masters!$F154)</f>
        <v/>
      </c>
      <c r="N299">
        <f>IF(Masters!$G154="","",Masters!$G154)</f>
        <v/>
      </c>
      <c r="O299">
        <f>IF(Masters!$G154="","",Masters!$G154)</f>
        <v/>
      </c>
      <c r="P299">
        <f>IF(Masters!$G154="","",Masters!$H154)</f>
        <v/>
      </c>
    </row>
    <row r="300">
      <c r="A300">
        <f>IF(Masters!$G155="","","Masters")</f>
        <v/>
      </c>
      <c r="B300">
        <f>IF(Masters!$G155="","","Major")</f>
        <v/>
      </c>
      <c r="C300" s="18">
        <f>IF(Masters!$G155="","",Masters!$B$3)</f>
        <v/>
      </c>
      <c r="D300">
        <f>IF(Masters!$G155="","",Masters!$D155&amp;"")</f>
        <v/>
      </c>
      <c r="F300">
        <f>IF(Masters!$G155="","",Masters!$A155&amp;"")</f>
        <v/>
      </c>
      <c r="J300">
        <f>IF(Masters!$G155="","",Masters!$E155)</f>
        <v/>
      </c>
      <c r="K300">
        <f>IF(Masters!$G155="","",Masters!$J155)</f>
        <v/>
      </c>
      <c r="L300">
        <f>IF(Masters!$G155="","","")</f>
        <v/>
      </c>
      <c r="M300">
        <f>IF(Masters!$G155="","",Masters!$F155)</f>
        <v/>
      </c>
      <c r="N300">
        <f>IF(Masters!$G155="","",Masters!$G155)</f>
        <v/>
      </c>
      <c r="O300">
        <f>IF(Masters!$G155="","",Masters!$G155)</f>
        <v/>
      </c>
      <c r="P300">
        <f>IF(Masters!$G155="","",Masters!$H155)</f>
        <v/>
      </c>
    </row>
    <row r="301">
      <c r="A301">
        <f>IF(Masters!$G156="","","Masters")</f>
        <v/>
      </c>
      <c r="B301">
        <f>IF(Masters!$G156="","","Major")</f>
        <v/>
      </c>
      <c r="C301" s="18">
        <f>IF(Masters!$G156="","",Masters!$B$3)</f>
        <v/>
      </c>
      <c r="D301">
        <f>IF(Masters!$G156="","",Masters!$D156&amp;"")</f>
        <v/>
      </c>
      <c r="F301">
        <f>IF(Masters!$G156="","",Masters!$A156&amp;"")</f>
        <v/>
      </c>
      <c r="J301">
        <f>IF(Masters!$G156="","",Masters!$E156)</f>
        <v/>
      </c>
      <c r="K301">
        <f>IF(Masters!$G156="","",Masters!$J156)</f>
        <v/>
      </c>
      <c r="L301">
        <f>IF(Masters!$G156="","","")</f>
        <v/>
      </c>
      <c r="M301">
        <f>IF(Masters!$G156="","",Masters!$F156)</f>
        <v/>
      </c>
      <c r="N301">
        <f>IF(Masters!$G156="","",Masters!$G156)</f>
        <v/>
      </c>
      <c r="O301">
        <f>IF(Masters!$G156="","",Masters!$G156)</f>
        <v/>
      </c>
      <c r="P301">
        <f>IF(Masters!$G156="","",Masters!$H156)</f>
        <v/>
      </c>
    </row>
    <row r="302">
      <c r="A302">
        <f>IF('US Open'!$G7="","","US Open")</f>
        <v/>
      </c>
      <c r="B302">
        <f>IF('US Open'!$G7="","","Major")</f>
        <v/>
      </c>
      <c r="C302" s="18">
        <f>IF('US Open'!$G7="","",'US Open'!$B$3)</f>
        <v/>
      </c>
      <c r="D302">
        <f>IF('US Open'!$G7="","",'US Open'!$D7&amp;"")</f>
        <v/>
      </c>
      <c r="F302">
        <f>IF('US Open'!$G7="","",'US Open'!$A7&amp;"")</f>
        <v/>
      </c>
      <c r="J302">
        <f>IF('US Open'!$G7="","",'US Open'!$E7)</f>
        <v/>
      </c>
      <c r="K302">
        <f>IF('US Open'!$G7="","",'US Open'!$J7)</f>
        <v/>
      </c>
      <c r="L302">
        <f>IF('US Open'!$G7="","","")</f>
        <v/>
      </c>
      <c r="M302">
        <f>IF('US Open'!$G7="","",'US Open'!$F7)</f>
        <v/>
      </c>
      <c r="N302">
        <f>IF('US Open'!$G7="","",'US Open'!$G7)</f>
        <v/>
      </c>
      <c r="O302">
        <f>IF('US Open'!$G7="","",'US Open'!$G7)</f>
        <v/>
      </c>
      <c r="P302">
        <f>IF('US Open'!$G7="","",'US Open'!$H7)</f>
        <v/>
      </c>
    </row>
    <row r="303">
      <c r="A303">
        <f>IF('US Open'!$G8="","","US Open")</f>
        <v/>
      </c>
      <c r="B303">
        <f>IF('US Open'!$G8="","","Major")</f>
        <v/>
      </c>
      <c r="C303" s="18">
        <f>IF('US Open'!$G8="","",'US Open'!$B$3)</f>
        <v/>
      </c>
      <c r="D303">
        <f>IF('US Open'!$G8="","",'US Open'!$D8&amp;"")</f>
        <v/>
      </c>
      <c r="F303">
        <f>IF('US Open'!$G8="","",'US Open'!$A8&amp;"")</f>
        <v/>
      </c>
      <c r="J303">
        <f>IF('US Open'!$G8="","",'US Open'!$E8)</f>
        <v/>
      </c>
      <c r="K303">
        <f>IF('US Open'!$G8="","",'US Open'!$J8)</f>
        <v/>
      </c>
      <c r="L303">
        <f>IF('US Open'!$G8="","","")</f>
        <v/>
      </c>
      <c r="M303">
        <f>IF('US Open'!$G8="","",'US Open'!$F8)</f>
        <v/>
      </c>
      <c r="N303">
        <f>IF('US Open'!$G8="","",'US Open'!$G8)</f>
        <v/>
      </c>
      <c r="O303">
        <f>IF('US Open'!$G8="","",'US Open'!$G8)</f>
        <v/>
      </c>
      <c r="P303">
        <f>IF('US Open'!$G8="","",'US Open'!$H8)</f>
        <v/>
      </c>
    </row>
    <row r="304">
      <c r="A304">
        <f>IF('US Open'!$G9="","","US Open")</f>
        <v/>
      </c>
      <c r="B304">
        <f>IF('US Open'!$G9="","","Major")</f>
        <v/>
      </c>
      <c r="C304" s="18">
        <f>IF('US Open'!$G9="","",'US Open'!$B$3)</f>
        <v/>
      </c>
      <c r="D304">
        <f>IF('US Open'!$G9="","",'US Open'!$D9&amp;"")</f>
        <v/>
      </c>
      <c r="F304">
        <f>IF('US Open'!$G9="","",'US Open'!$A9&amp;"")</f>
        <v/>
      </c>
      <c r="J304">
        <f>IF('US Open'!$G9="","",'US Open'!$E9)</f>
        <v/>
      </c>
      <c r="K304">
        <f>IF('US Open'!$G9="","",'US Open'!$J9)</f>
        <v/>
      </c>
      <c r="L304">
        <f>IF('US Open'!$G9="","","")</f>
        <v/>
      </c>
      <c r="M304">
        <f>IF('US Open'!$G9="","",'US Open'!$F9)</f>
        <v/>
      </c>
      <c r="N304">
        <f>IF('US Open'!$G9="","",'US Open'!$G9)</f>
        <v/>
      </c>
      <c r="O304">
        <f>IF('US Open'!$G9="","",'US Open'!$G9)</f>
        <v/>
      </c>
      <c r="P304">
        <f>IF('US Open'!$G9="","",'US Open'!$H9)</f>
        <v/>
      </c>
    </row>
    <row r="305">
      <c r="A305">
        <f>IF('US Open'!$G10="","","US Open")</f>
        <v/>
      </c>
      <c r="B305">
        <f>IF('US Open'!$G10="","","Major")</f>
        <v/>
      </c>
      <c r="C305" s="18">
        <f>IF('US Open'!$G10="","",'US Open'!$B$3)</f>
        <v/>
      </c>
      <c r="D305">
        <f>IF('US Open'!$G10="","",'US Open'!$D10&amp;"")</f>
        <v/>
      </c>
      <c r="F305">
        <f>IF('US Open'!$G10="","",'US Open'!$A10&amp;"")</f>
        <v/>
      </c>
      <c r="J305">
        <f>IF('US Open'!$G10="","",'US Open'!$E10)</f>
        <v/>
      </c>
      <c r="K305">
        <f>IF('US Open'!$G10="","",'US Open'!$J10)</f>
        <v/>
      </c>
      <c r="L305">
        <f>IF('US Open'!$G10="","","")</f>
        <v/>
      </c>
      <c r="M305">
        <f>IF('US Open'!$G10="","",'US Open'!$F10)</f>
        <v/>
      </c>
      <c r="N305">
        <f>IF('US Open'!$G10="","",'US Open'!$G10)</f>
        <v/>
      </c>
      <c r="O305">
        <f>IF('US Open'!$G10="","",'US Open'!$G10)</f>
        <v/>
      </c>
      <c r="P305">
        <f>IF('US Open'!$G10="","",'US Open'!$H10)</f>
        <v/>
      </c>
    </row>
    <row r="306">
      <c r="A306">
        <f>IF('US Open'!$G11="","","US Open")</f>
        <v/>
      </c>
      <c r="B306">
        <f>IF('US Open'!$G11="","","Major")</f>
        <v/>
      </c>
      <c r="C306" s="18">
        <f>IF('US Open'!$G11="","",'US Open'!$B$3)</f>
        <v/>
      </c>
      <c r="D306">
        <f>IF('US Open'!$G11="","",'US Open'!$D11&amp;"")</f>
        <v/>
      </c>
      <c r="F306">
        <f>IF('US Open'!$G11="","",'US Open'!$A11&amp;"")</f>
        <v/>
      </c>
      <c r="J306">
        <f>IF('US Open'!$G11="","",'US Open'!$E11)</f>
        <v/>
      </c>
      <c r="K306">
        <f>IF('US Open'!$G11="","",'US Open'!$J11)</f>
        <v/>
      </c>
      <c r="L306">
        <f>IF('US Open'!$G11="","","")</f>
        <v/>
      </c>
      <c r="M306">
        <f>IF('US Open'!$G11="","",'US Open'!$F11)</f>
        <v/>
      </c>
      <c r="N306">
        <f>IF('US Open'!$G11="","",'US Open'!$G11)</f>
        <v/>
      </c>
      <c r="O306">
        <f>IF('US Open'!$G11="","",'US Open'!$G11)</f>
        <v/>
      </c>
      <c r="P306">
        <f>IF('US Open'!$G11="","",'US Open'!$H11)</f>
        <v/>
      </c>
    </row>
    <row r="307">
      <c r="A307">
        <f>IF('US Open'!$G12="","","US Open")</f>
        <v/>
      </c>
      <c r="B307">
        <f>IF('US Open'!$G12="","","Major")</f>
        <v/>
      </c>
      <c r="C307" s="18">
        <f>IF('US Open'!$G12="","",'US Open'!$B$3)</f>
        <v/>
      </c>
      <c r="D307">
        <f>IF('US Open'!$G12="","",'US Open'!$D12&amp;"")</f>
        <v/>
      </c>
      <c r="F307">
        <f>IF('US Open'!$G12="","",'US Open'!$A12&amp;"")</f>
        <v/>
      </c>
      <c r="J307">
        <f>IF('US Open'!$G12="","",'US Open'!$E12)</f>
        <v/>
      </c>
      <c r="K307">
        <f>IF('US Open'!$G12="","",'US Open'!$J12)</f>
        <v/>
      </c>
      <c r="L307">
        <f>IF('US Open'!$G12="","","")</f>
        <v/>
      </c>
      <c r="M307">
        <f>IF('US Open'!$G12="","",'US Open'!$F12)</f>
        <v/>
      </c>
      <c r="N307">
        <f>IF('US Open'!$G12="","",'US Open'!$G12)</f>
        <v/>
      </c>
      <c r="O307">
        <f>IF('US Open'!$G12="","",'US Open'!$G12)</f>
        <v/>
      </c>
      <c r="P307">
        <f>IF('US Open'!$G12="","",'US Open'!$H12)</f>
        <v/>
      </c>
    </row>
    <row r="308">
      <c r="A308">
        <f>IF('US Open'!$G13="","","US Open")</f>
        <v/>
      </c>
      <c r="B308">
        <f>IF('US Open'!$G13="","","Major")</f>
        <v/>
      </c>
      <c r="C308" s="18">
        <f>IF('US Open'!$G13="","",'US Open'!$B$3)</f>
        <v/>
      </c>
      <c r="D308">
        <f>IF('US Open'!$G13="","",'US Open'!$D13&amp;"")</f>
        <v/>
      </c>
      <c r="F308">
        <f>IF('US Open'!$G13="","",'US Open'!$A13&amp;"")</f>
        <v/>
      </c>
      <c r="J308">
        <f>IF('US Open'!$G13="","",'US Open'!$E13)</f>
        <v/>
      </c>
      <c r="K308">
        <f>IF('US Open'!$G13="","",'US Open'!$J13)</f>
        <v/>
      </c>
      <c r="L308">
        <f>IF('US Open'!$G13="","","")</f>
        <v/>
      </c>
      <c r="M308">
        <f>IF('US Open'!$G13="","",'US Open'!$F13)</f>
        <v/>
      </c>
      <c r="N308">
        <f>IF('US Open'!$G13="","",'US Open'!$G13)</f>
        <v/>
      </c>
      <c r="O308">
        <f>IF('US Open'!$G13="","",'US Open'!$G13)</f>
        <v/>
      </c>
      <c r="P308">
        <f>IF('US Open'!$G13="","",'US Open'!$H13)</f>
        <v/>
      </c>
    </row>
    <row r="309">
      <c r="A309">
        <f>IF('US Open'!$G14="","","US Open")</f>
        <v/>
      </c>
      <c r="B309">
        <f>IF('US Open'!$G14="","","Major")</f>
        <v/>
      </c>
      <c r="C309" s="18">
        <f>IF('US Open'!$G14="","",'US Open'!$B$3)</f>
        <v/>
      </c>
      <c r="D309">
        <f>IF('US Open'!$G14="","",'US Open'!$D14&amp;"")</f>
        <v/>
      </c>
      <c r="F309">
        <f>IF('US Open'!$G14="","",'US Open'!$A14&amp;"")</f>
        <v/>
      </c>
      <c r="J309">
        <f>IF('US Open'!$G14="","",'US Open'!$E14)</f>
        <v/>
      </c>
      <c r="K309">
        <f>IF('US Open'!$G14="","",'US Open'!$J14)</f>
        <v/>
      </c>
      <c r="L309">
        <f>IF('US Open'!$G14="","","")</f>
        <v/>
      </c>
      <c r="M309">
        <f>IF('US Open'!$G14="","",'US Open'!$F14)</f>
        <v/>
      </c>
      <c r="N309">
        <f>IF('US Open'!$G14="","",'US Open'!$G14)</f>
        <v/>
      </c>
      <c r="O309">
        <f>IF('US Open'!$G14="","",'US Open'!$G14)</f>
        <v/>
      </c>
      <c r="P309">
        <f>IF('US Open'!$G14="","",'US Open'!$H14)</f>
        <v/>
      </c>
    </row>
    <row r="310">
      <c r="A310">
        <f>IF('US Open'!$G15="","","US Open")</f>
        <v/>
      </c>
      <c r="B310">
        <f>IF('US Open'!$G15="","","Major")</f>
        <v/>
      </c>
      <c r="C310" s="18">
        <f>IF('US Open'!$G15="","",'US Open'!$B$3)</f>
        <v/>
      </c>
      <c r="D310">
        <f>IF('US Open'!$G15="","",'US Open'!$D15&amp;"")</f>
        <v/>
      </c>
      <c r="F310">
        <f>IF('US Open'!$G15="","",'US Open'!$A15&amp;"")</f>
        <v/>
      </c>
      <c r="J310">
        <f>IF('US Open'!$G15="","",'US Open'!$E15)</f>
        <v/>
      </c>
      <c r="K310">
        <f>IF('US Open'!$G15="","",'US Open'!$J15)</f>
        <v/>
      </c>
      <c r="L310">
        <f>IF('US Open'!$G15="","","")</f>
        <v/>
      </c>
      <c r="M310">
        <f>IF('US Open'!$G15="","",'US Open'!$F15)</f>
        <v/>
      </c>
      <c r="N310">
        <f>IF('US Open'!$G15="","",'US Open'!$G15)</f>
        <v/>
      </c>
      <c r="O310">
        <f>IF('US Open'!$G15="","",'US Open'!$G15)</f>
        <v/>
      </c>
      <c r="P310">
        <f>IF('US Open'!$G15="","",'US Open'!$H15)</f>
        <v/>
      </c>
    </row>
    <row r="311">
      <c r="A311">
        <f>IF('US Open'!$G16="","","US Open")</f>
        <v/>
      </c>
      <c r="B311">
        <f>IF('US Open'!$G16="","","Major")</f>
        <v/>
      </c>
      <c r="C311" s="18">
        <f>IF('US Open'!$G16="","",'US Open'!$B$3)</f>
        <v/>
      </c>
      <c r="D311">
        <f>IF('US Open'!$G16="","",'US Open'!$D16&amp;"")</f>
        <v/>
      </c>
      <c r="F311">
        <f>IF('US Open'!$G16="","",'US Open'!$A16&amp;"")</f>
        <v/>
      </c>
      <c r="J311">
        <f>IF('US Open'!$G16="","",'US Open'!$E16)</f>
        <v/>
      </c>
      <c r="K311">
        <f>IF('US Open'!$G16="","",'US Open'!$J16)</f>
        <v/>
      </c>
      <c r="L311">
        <f>IF('US Open'!$G16="","","")</f>
        <v/>
      </c>
      <c r="M311">
        <f>IF('US Open'!$G16="","",'US Open'!$F16)</f>
        <v/>
      </c>
      <c r="N311">
        <f>IF('US Open'!$G16="","",'US Open'!$G16)</f>
        <v/>
      </c>
      <c r="O311">
        <f>IF('US Open'!$G16="","",'US Open'!$G16)</f>
        <v/>
      </c>
      <c r="P311">
        <f>IF('US Open'!$G16="","",'US Open'!$H16)</f>
        <v/>
      </c>
    </row>
    <row r="312">
      <c r="A312">
        <f>IF('US Open'!$G17="","","US Open")</f>
        <v/>
      </c>
      <c r="B312">
        <f>IF('US Open'!$G17="","","Major")</f>
        <v/>
      </c>
      <c r="C312" s="18">
        <f>IF('US Open'!$G17="","",'US Open'!$B$3)</f>
        <v/>
      </c>
      <c r="D312">
        <f>IF('US Open'!$G17="","",'US Open'!$D17&amp;"")</f>
        <v/>
      </c>
      <c r="F312">
        <f>IF('US Open'!$G17="","",'US Open'!$A17&amp;"")</f>
        <v/>
      </c>
      <c r="J312">
        <f>IF('US Open'!$G17="","",'US Open'!$E17)</f>
        <v/>
      </c>
      <c r="K312">
        <f>IF('US Open'!$G17="","",'US Open'!$J17)</f>
        <v/>
      </c>
      <c r="L312">
        <f>IF('US Open'!$G17="","","")</f>
        <v/>
      </c>
      <c r="M312">
        <f>IF('US Open'!$G17="","",'US Open'!$F17)</f>
        <v/>
      </c>
      <c r="N312">
        <f>IF('US Open'!$G17="","",'US Open'!$G17)</f>
        <v/>
      </c>
      <c r="O312">
        <f>IF('US Open'!$G17="","",'US Open'!$G17)</f>
        <v/>
      </c>
      <c r="P312">
        <f>IF('US Open'!$G17="","",'US Open'!$H17)</f>
        <v/>
      </c>
    </row>
    <row r="313">
      <c r="A313">
        <f>IF('US Open'!$G18="","","US Open")</f>
        <v/>
      </c>
      <c r="B313">
        <f>IF('US Open'!$G18="","","Major")</f>
        <v/>
      </c>
      <c r="C313" s="18">
        <f>IF('US Open'!$G18="","",'US Open'!$B$3)</f>
        <v/>
      </c>
      <c r="D313">
        <f>IF('US Open'!$G18="","",'US Open'!$D18&amp;"")</f>
        <v/>
      </c>
      <c r="F313">
        <f>IF('US Open'!$G18="","",'US Open'!$A18&amp;"")</f>
        <v/>
      </c>
      <c r="J313">
        <f>IF('US Open'!$G18="","",'US Open'!$E18)</f>
        <v/>
      </c>
      <c r="K313">
        <f>IF('US Open'!$G18="","",'US Open'!$J18)</f>
        <v/>
      </c>
      <c r="L313">
        <f>IF('US Open'!$G18="","","")</f>
        <v/>
      </c>
      <c r="M313">
        <f>IF('US Open'!$G18="","",'US Open'!$F18)</f>
        <v/>
      </c>
      <c r="N313">
        <f>IF('US Open'!$G18="","",'US Open'!$G18)</f>
        <v/>
      </c>
      <c r="O313">
        <f>IF('US Open'!$G18="","",'US Open'!$G18)</f>
        <v/>
      </c>
      <c r="P313">
        <f>IF('US Open'!$G18="","",'US Open'!$H18)</f>
        <v/>
      </c>
    </row>
    <row r="314">
      <c r="A314">
        <f>IF('US Open'!$G19="","","US Open")</f>
        <v/>
      </c>
      <c r="B314">
        <f>IF('US Open'!$G19="","","Major")</f>
        <v/>
      </c>
      <c r="C314" s="18">
        <f>IF('US Open'!$G19="","",'US Open'!$B$3)</f>
        <v/>
      </c>
      <c r="D314">
        <f>IF('US Open'!$G19="","",'US Open'!$D19&amp;"")</f>
        <v/>
      </c>
      <c r="F314">
        <f>IF('US Open'!$G19="","",'US Open'!$A19&amp;"")</f>
        <v/>
      </c>
      <c r="J314">
        <f>IF('US Open'!$G19="","",'US Open'!$E19)</f>
        <v/>
      </c>
      <c r="K314">
        <f>IF('US Open'!$G19="","",'US Open'!$J19)</f>
        <v/>
      </c>
      <c r="L314">
        <f>IF('US Open'!$G19="","","")</f>
        <v/>
      </c>
      <c r="M314">
        <f>IF('US Open'!$G19="","",'US Open'!$F19)</f>
        <v/>
      </c>
      <c r="N314">
        <f>IF('US Open'!$G19="","",'US Open'!$G19)</f>
        <v/>
      </c>
      <c r="O314">
        <f>IF('US Open'!$G19="","",'US Open'!$G19)</f>
        <v/>
      </c>
      <c r="P314">
        <f>IF('US Open'!$G19="","",'US Open'!$H19)</f>
        <v/>
      </c>
    </row>
    <row r="315">
      <c r="A315">
        <f>IF('US Open'!$G20="","","US Open")</f>
        <v/>
      </c>
      <c r="B315">
        <f>IF('US Open'!$G20="","","Major")</f>
        <v/>
      </c>
      <c r="C315" s="18">
        <f>IF('US Open'!$G20="","",'US Open'!$B$3)</f>
        <v/>
      </c>
      <c r="D315">
        <f>IF('US Open'!$G20="","",'US Open'!$D20&amp;"")</f>
        <v/>
      </c>
      <c r="F315">
        <f>IF('US Open'!$G20="","",'US Open'!$A20&amp;"")</f>
        <v/>
      </c>
      <c r="J315">
        <f>IF('US Open'!$G20="","",'US Open'!$E20)</f>
        <v/>
      </c>
      <c r="K315">
        <f>IF('US Open'!$G20="","",'US Open'!$J20)</f>
        <v/>
      </c>
      <c r="L315">
        <f>IF('US Open'!$G20="","","")</f>
        <v/>
      </c>
      <c r="M315">
        <f>IF('US Open'!$G20="","",'US Open'!$F20)</f>
        <v/>
      </c>
      <c r="N315">
        <f>IF('US Open'!$G20="","",'US Open'!$G20)</f>
        <v/>
      </c>
      <c r="O315">
        <f>IF('US Open'!$G20="","",'US Open'!$G20)</f>
        <v/>
      </c>
      <c r="P315">
        <f>IF('US Open'!$G20="","",'US Open'!$H20)</f>
        <v/>
      </c>
    </row>
    <row r="316">
      <c r="A316">
        <f>IF('US Open'!$G21="","","US Open")</f>
        <v/>
      </c>
      <c r="B316">
        <f>IF('US Open'!$G21="","","Major")</f>
        <v/>
      </c>
      <c r="C316" s="18">
        <f>IF('US Open'!$G21="","",'US Open'!$B$3)</f>
        <v/>
      </c>
      <c r="D316">
        <f>IF('US Open'!$G21="","",'US Open'!$D21&amp;"")</f>
        <v/>
      </c>
      <c r="F316">
        <f>IF('US Open'!$G21="","",'US Open'!$A21&amp;"")</f>
        <v/>
      </c>
      <c r="J316">
        <f>IF('US Open'!$G21="","",'US Open'!$E21)</f>
        <v/>
      </c>
      <c r="K316">
        <f>IF('US Open'!$G21="","",'US Open'!$J21)</f>
        <v/>
      </c>
      <c r="L316">
        <f>IF('US Open'!$G21="","","")</f>
        <v/>
      </c>
      <c r="M316">
        <f>IF('US Open'!$G21="","",'US Open'!$F21)</f>
        <v/>
      </c>
      <c r="N316">
        <f>IF('US Open'!$G21="","",'US Open'!$G21)</f>
        <v/>
      </c>
      <c r="O316">
        <f>IF('US Open'!$G21="","",'US Open'!$G21)</f>
        <v/>
      </c>
      <c r="P316">
        <f>IF('US Open'!$G21="","",'US Open'!$H21)</f>
        <v/>
      </c>
    </row>
    <row r="317">
      <c r="A317">
        <f>IF('US Open'!$G22="","","US Open")</f>
        <v/>
      </c>
      <c r="B317">
        <f>IF('US Open'!$G22="","","Major")</f>
        <v/>
      </c>
      <c r="C317" s="18">
        <f>IF('US Open'!$G22="","",'US Open'!$B$3)</f>
        <v/>
      </c>
      <c r="D317">
        <f>IF('US Open'!$G22="","",'US Open'!$D22&amp;"")</f>
        <v/>
      </c>
      <c r="F317">
        <f>IF('US Open'!$G22="","",'US Open'!$A22&amp;"")</f>
        <v/>
      </c>
      <c r="J317">
        <f>IF('US Open'!$G22="","",'US Open'!$E22)</f>
        <v/>
      </c>
      <c r="K317">
        <f>IF('US Open'!$G22="","",'US Open'!$J22)</f>
        <v/>
      </c>
      <c r="L317">
        <f>IF('US Open'!$G22="","","")</f>
        <v/>
      </c>
      <c r="M317">
        <f>IF('US Open'!$G22="","",'US Open'!$F22)</f>
        <v/>
      </c>
      <c r="N317">
        <f>IF('US Open'!$G22="","",'US Open'!$G22)</f>
        <v/>
      </c>
      <c r="O317">
        <f>IF('US Open'!$G22="","",'US Open'!$G22)</f>
        <v/>
      </c>
      <c r="P317">
        <f>IF('US Open'!$G22="","",'US Open'!$H22)</f>
        <v/>
      </c>
    </row>
    <row r="318">
      <c r="A318">
        <f>IF('US Open'!$G23="","","US Open")</f>
        <v/>
      </c>
      <c r="B318">
        <f>IF('US Open'!$G23="","","Major")</f>
        <v/>
      </c>
      <c r="C318" s="18">
        <f>IF('US Open'!$G23="","",'US Open'!$B$3)</f>
        <v/>
      </c>
      <c r="D318">
        <f>IF('US Open'!$G23="","",'US Open'!$D23&amp;"")</f>
        <v/>
      </c>
      <c r="F318">
        <f>IF('US Open'!$G23="","",'US Open'!$A23&amp;"")</f>
        <v/>
      </c>
      <c r="J318">
        <f>IF('US Open'!$G23="","",'US Open'!$E23)</f>
        <v/>
      </c>
      <c r="K318">
        <f>IF('US Open'!$G23="","",'US Open'!$J23)</f>
        <v/>
      </c>
      <c r="L318">
        <f>IF('US Open'!$G23="","","")</f>
        <v/>
      </c>
      <c r="M318">
        <f>IF('US Open'!$G23="","",'US Open'!$F23)</f>
        <v/>
      </c>
      <c r="N318">
        <f>IF('US Open'!$G23="","",'US Open'!$G23)</f>
        <v/>
      </c>
      <c r="O318">
        <f>IF('US Open'!$G23="","",'US Open'!$G23)</f>
        <v/>
      </c>
      <c r="P318">
        <f>IF('US Open'!$G23="","",'US Open'!$H23)</f>
        <v/>
      </c>
    </row>
    <row r="319">
      <c r="A319">
        <f>IF('US Open'!$G24="","","US Open")</f>
        <v/>
      </c>
      <c r="B319">
        <f>IF('US Open'!$G24="","","Major")</f>
        <v/>
      </c>
      <c r="C319" s="18">
        <f>IF('US Open'!$G24="","",'US Open'!$B$3)</f>
        <v/>
      </c>
      <c r="D319">
        <f>IF('US Open'!$G24="","",'US Open'!$D24&amp;"")</f>
        <v/>
      </c>
      <c r="F319">
        <f>IF('US Open'!$G24="","",'US Open'!$A24&amp;"")</f>
        <v/>
      </c>
      <c r="J319">
        <f>IF('US Open'!$G24="","",'US Open'!$E24)</f>
        <v/>
      </c>
      <c r="K319">
        <f>IF('US Open'!$G24="","",'US Open'!$J24)</f>
        <v/>
      </c>
      <c r="L319">
        <f>IF('US Open'!$G24="","","")</f>
        <v/>
      </c>
      <c r="M319">
        <f>IF('US Open'!$G24="","",'US Open'!$F24)</f>
        <v/>
      </c>
      <c r="N319">
        <f>IF('US Open'!$G24="","",'US Open'!$G24)</f>
        <v/>
      </c>
      <c r="O319">
        <f>IF('US Open'!$G24="","",'US Open'!$G24)</f>
        <v/>
      </c>
      <c r="P319">
        <f>IF('US Open'!$G24="","",'US Open'!$H24)</f>
        <v/>
      </c>
    </row>
    <row r="320">
      <c r="A320">
        <f>IF('US Open'!$G25="","","US Open")</f>
        <v/>
      </c>
      <c r="B320">
        <f>IF('US Open'!$G25="","","Major")</f>
        <v/>
      </c>
      <c r="C320" s="18">
        <f>IF('US Open'!$G25="","",'US Open'!$B$3)</f>
        <v/>
      </c>
      <c r="D320">
        <f>IF('US Open'!$G25="","",'US Open'!$D25&amp;"")</f>
        <v/>
      </c>
      <c r="F320">
        <f>IF('US Open'!$G25="","",'US Open'!$A25&amp;"")</f>
        <v/>
      </c>
      <c r="J320">
        <f>IF('US Open'!$G25="","",'US Open'!$E25)</f>
        <v/>
      </c>
      <c r="K320">
        <f>IF('US Open'!$G25="","",'US Open'!$J25)</f>
        <v/>
      </c>
      <c r="L320">
        <f>IF('US Open'!$G25="","","")</f>
        <v/>
      </c>
      <c r="M320">
        <f>IF('US Open'!$G25="","",'US Open'!$F25)</f>
        <v/>
      </c>
      <c r="N320">
        <f>IF('US Open'!$G25="","",'US Open'!$G25)</f>
        <v/>
      </c>
      <c r="O320">
        <f>IF('US Open'!$G25="","",'US Open'!$G25)</f>
        <v/>
      </c>
      <c r="P320">
        <f>IF('US Open'!$G25="","",'US Open'!$H25)</f>
        <v/>
      </c>
    </row>
    <row r="321">
      <c r="A321">
        <f>IF('US Open'!$G26="","","US Open")</f>
        <v/>
      </c>
      <c r="B321">
        <f>IF('US Open'!$G26="","","Major")</f>
        <v/>
      </c>
      <c r="C321" s="18">
        <f>IF('US Open'!$G26="","",'US Open'!$B$3)</f>
        <v/>
      </c>
      <c r="D321">
        <f>IF('US Open'!$G26="","",'US Open'!$D26&amp;"")</f>
        <v/>
      </c>
      <c r="F321">
        <f>IF('US Open'!$G26="","",'US Open'!$A26&amp;"")</f>
        <v/>
      </c>
      <c r="J321">
        <f>IF('US Open'!$G26="","",'US Open'!$E26)</f>
        <v/>
      </c>
      <c r="K321">
        <f>IF('US Open'!$G26="","",'US Open'!$J26)</f>
        <v/>
      </c>
      <c r="L321">
        <f>IF('US Open'!$G26="","","")</f>
        <v/>
      </c>
      <c r="M321">
        <f>IF('US Open'!$G26="","",'US Open'!$F26)</f>
        <v/>
      </c>
      <c r="N321">
        <f>IF('US Open'!$G26="","",'US Open'!$G26)</f>
        <v/>
      </c>
      <c r="O321">
        <f>IF('US Open'!$G26="","",'US Open'!$G26)</f>
        <v/>
      </c>
      <c r="P321">
        <f>IF('US Open'!$G26="","",'US Open'!$H26)</f>
        <v/>
      </c>
    </row>
    <row r="322">
      <c r="A322">
        <f>IF('US Open'!$G27="","","US Open")</f>
        <v/>
      </c>
      <c r="B322">
        <f>IF('US Open'!$G27="","","Major")</f>
        <v/>
      </c>
      <c r="C322" s="18">
        <f>IF('US Open'!$G27="","",'US Open'!$B$3)</f>
        <v/>
      </c>
      <c r="D322">
        <f>IF('US Open'!$G27="","",'US Open'!$D27&amp;"")</f>
        <v/>
      </c>
      <c r="F322">
        <f>IF('US Open'!$G27="","",'US Open'!$A27&amp;"")</f>
        <v/>
      </c>
      <c r="J322">
        <f>IF('US Open'!$G27="","",'US Open'!$E27)</f>
        <v/>
      </c>
      <c r="K322">
        <f>IF('US Open'!$G27="","",'US Open'!$J27)</f>
        <v/>
      </c>
      <c r="L322">
        <f>IF('US Open'!$G27="","","")</f>
        <v/>
      </c>
      <c r="M322">
        <f>IF('US Open'!$G27="","",'US Open'!$F27)</f>
        <v/>
      </c>
      <c r="N322">
        <f>IF('US Open'!$G27="","",'US Open'!$G27)</f>
        <v/>
      </c>
      <c r="O322">
        <f>IF('US Open'!$G27="","",'US Open'!$G27)</f>
        <v/>
      </c>
      <c r="P322">
        <f>IF('US Open'!$G27="","",'US Open'!$H27)</f>
        <v/>
      </c>
    </row>
    <row r="323">
      <c r="A323">
        <f>IF('US Open'!$G28="","","US Open")</f>
        <v/>
      </c>
      <c r="B323">
        <f>IF('US Open'!$G28="","","Major")</f>
        <v/>
      </c>
      <c r="C323" s="18">
        <f>IF('US Open'!$G28="","",'US Open'!$B$3)</f>
        <v/>
      </c>
      <c r="D323">
        <f>IF('US Open'!$G28="","",'US Open'!$D28&amp;"")</f>
        <v/>
      </c>
      <c r="F323">
        <f>IF('US Open'!$G28="","",'US Open'!$A28&amp;"")</f>
        <v/>
      </c>
      <c r="J323">
        <f>IF('US Open'!$G28="","",'US Open'!$E28)</f>
        <v/>
      </c>
      <c r="K323">
        <f>IF('US Open'!$G28="","",'US Open'!$J28)</f>
        <v/>
      </c>
      <c r="L323">
        <f>IF('US Open'!$G28="","","")</f>
        <v/>
      </c>
      <c r="M323">
        <f>IF('US Open'!$G28="","",'US Open'!$F28)</f>
        <v/>
      </c>
      <c r="N323">
        <f>IF('US Open'!$G28="","",'US Open'!$G28)</f>
        <v/>
      </c>
      <c r="O323">
        <f>IF('US Open'!$G28="","",'US Open'!$G28)</f>
        <v/>
      </c>
      <c r="P323">
        <f>IF('US Open'!$G28="","",'US Open'!$H28)</f>
        <v/>
      </c>
    </row>
    <row r="324">
      <c r="A324">
        <f>IF('US Open'!$G29="","","US Open")</f>
        <v/>
      </c>
      <c r="B324">
        <f>IF('US Open'!$G29="","","Major")</f>
        <v/>
      </c>
      <c r="C324" s="18">
        <f>IF('US Open'!$G29="","",'US Open'!$B$3)</f>
        <v/>
      </c>
      <c r="D324">
        <f>IF('US Open'!$G29="","",'US Open'!$D29&amp;"")</f>
        <v/>
      </c>
      <c r="F324">
        <f>IF('US Open'!$G29="","",'US Open'!$A29&amp;"")</f>
        <v/>
      </c>
      <c r="J324">
        <f>IF('US Open'!$G29="","",'US Open'!$E29)</f>
        <v/>
      </c>
      <c r="K324">
        <f>IF('US Open'!$G29="","",'US Open'!$J29)</f>
        <v/>
      </c>
      <c r="L324">
        <f>IF('US Open'!$G29="","","")</f>
        <v/>
      </c>
      <c r="M324">
        <f>IF('US Open'!$G29="","",'US Open'!$F29)</f>
        <v/>
      </c>
      <c r="N324">
        <f>IF('US Open'!$G29="","",'US Open'!$G29)</f>
        <v/>
      </c>
      <c r="O324">
        <f>IF('US Open'!$G29="","",'US Open'!$G29)</f>
        <v/>
      </c>
      <c r="P324">
        <f>IF('US Open'!$G29="","",'US Open'!$H29)</f>
        <v/>
      </c>
    </row>
    <row r="325">
      <c r="A325">
        <f>IF('US Open'!$G30="","","US Open")</f>
        <v/>
      </c>
      <c r="B325">
        <f>IF('US Open'!$G30="","","Major")</f>
        <v/>
      </c>
      <c r="C325" s="18">
        <f>IF('US Open'!$G30="","",'US Open'!$B$3)</f>
        <v/>
      </c>
      <c r="D325">
        <f>IF('US Open'!$G30="","",'US Open'!$D30&amp;"")</f>
        <v/>
      </c>
      <c r="F325">
        <f>IF('US Open'!$G30="","",'US Open'!$A30&amp;"")</f>
        <v/>
      </c>
      <c r="J325">
        <f>IF('US Open'!$G30="","",'US Open'!$E30)</f>
        <v/>
      </c>
      <c r="K325">
        <f>IF('US Open'!$G30="","",'US Open'!$J30)</f>
        <v/>
      </c>
      <c r="L325">
        <f>IF('US Open'!$G30="","","")</f>
        <v/>
      </c>
      <c r="M325">
        <f>IF('US Open'!$G30="","",'US Open'!$F30)</f>
        <v/>
      </c>
      <c r="N325">
        <f>IF('US Open'!$G30="","",'US Open'!$G30)</f>
        <v/>
      </c>
      <c r="O325">
        <f>IF('US Open'!$G30="","",'US Open'!$G30)</f>
        <v/>
      </c>
      <c r="P325">
        <f>IF('US Open'!$G30="","",'US Open'!$H30)</f>
        <v/>
      </c>
    </row>
    <row r="326">
      <c r="A326">
        <f>IF('US Open'!$G31="","","US Open")</f>
        <v/>
      </c>
      <c r="B326">
        <f>IF('US Open'!$G31="","","Major")</f>
        <v/>
      </c>
      <c r="C326" s="18">
        <f>IF('US Open'!$G31="","",'US Open'!$B$3)</f>
        <v/>
      </c>
      <c r="D326">
        <f>IF('US Open'!$G31="","",'US Open'!$D31&amp;"")</f>
        <v/>
      </c>
      <c r="F326">
        <f>IF('US Open'!$G31="","",'US Open'!$A31&amp;"")</f>
        <v/>
      </c>
      <c r="J326">
        <f>IF('US Open'!$G31="","",'US Open'!$E31)</f>
        <v/>
      </c>
      <c r="K326">
        <f>IF('US Open'!$G31="","",'US Open'!$J31)</f>
        <v/>
      </c>
      <c r="L326">
        <f>IF('US Open'!$G31="","","")</f>
        <v/>
      </c>
      <c r="M326">
        <f>IF('US Open'!$G31="","",'US Open'!$F31)</f>
        <v/>
      </c>
      <c r="N326">
        <f>IF('US Open'!$G31="","",'US Open'!$G31)</f>
        <v/>
      </c>
      <c r="O326">
        <f>IF('US Open'!$G31="","",'US Open'!$G31)</f>
        <v/>
      </c>
      <c r="P326">
        <f>IF('US Open'!$G31="","",'US Open'!$H31)</f>
        <v/>
      </c>
    </row>
    <row r="327">
      <c r="A327">
        <f>IF('US Open'!$G32="","","US Open")</f>
        <v/>
      </c>
      <c r="B327">
        <f>IF('US Open'!$G32="","","Major")</f>
        <v/>
      </c>
      <c r="C327" s="18">
        <f>IF('US Open'!$G32="","",'US Open'!$B$3)</f>
        <v/>
      </c>
      <c r="D327">
        <f>IF('US Open'!$G32="","",'US Open'!$D32&amp;"")</f>
        <v/>
      </c>
      <c r="F327">
        <f>IF('US Open'!$G32="","",'US Open'!$A32&amp;"")</f>
        <v/>
      </c>
      <c r="J327">
        <f>IF('US Open'!$G32="","",'US Open'!$E32)</f>
        <v/>
      </c>
      <c r="K327">
        <f>IF('US Open'!$G32="","",'US Open'!$J32)</f>
        <v/>
      </c>
      <c r="L327">
        <f>IF('US Open'!$G32="","","")</f>
        <v/>
      </c>
      <c r="M327">
        <f>IF('US Open'!$G32="","",'US Open'!$F32)</f>
        <v/>
      </c>
      <c r="N327">
        <f>IF('US Open'!$G32="","",'US Open'!$G32)</f>
        <v/>
      </c>
      <c r="O327">
        <f>IF('US Open'!$G32="","",'US Open'!$G32)</f>
        <v/>
      </c>
      <c r="P327">
        <f>IF('US Open'!$G32="","",'US Open'!$H32)</f>
        <v/>
      </c>
    </row>
    <row r="328">
      <c r="A328">
        <f>IF('US Open'!$G33="","","US Open")</f>
        <v/>
      </c>
      <c r="B328">
        <f>IF('US Open'!$G33="","","Major")</f>
        <v/>
      </c>
      <c r="C328" s="18">
        <f>IF('US Open'!$G33="","",'US Open'!$B$3)</f>
        <v/>
      </c>
      <c r="D328">
        <f>IF('US Open'!$G33="","",'US Open'!$D33&amp;"")</f>
        <v/>
      </c>
      <c r="F328">
        <f>IF('US Open'!$G33="","",'US Open'!$A33&amp;"")</f>
        <v/>
      </c>
      <c r="J328">
        <f>IF('US Open'!$G33="","",'US Open'!$E33)</f>
        <v/>
      </c>
      <c r="K328">
        <f>IF('US Open'!$G33="","",'US Open'!$J33)</f>
        <v/>
      </c>
      <c r="L328">
        <f>IF('US Open'!$G33="","","")</f>
        <v/>
      </c>
      <c r="M328">
        <f>IF('US Open'!$G33="","",'US Open'!$F33)</f>
        <v/>
      </c>
      <c r="N328">
        <f>IF('US Open'!$G33="","",'US Open'!$G33)</f>
        <v/>
      </c>
      <c r="O328">
        <f>IF('US Open'!$G33="","",'US Open'!$G33)</f>
        <v/>
      </c>
      <c r="P328">
        <f>IF('US Open'!$G33="","",'US Open'!$H33)</f>
        <v/>
      </c>
    </row>
    <row r="329">
      <c r="A329">
        <f>IF('US Open'!$G34="","","US Open")</f>
        <v/>
      </c>
      <c r="B329">
        <f>IF('US Open'!$G34="","","Major")</f>
        <v/>
      </c>
      <c r="C329" s="18">
        <f>IF('US Open'!$G34="","",'US Open'!$B$3)</f>
        <v/>
      </c>
      <c r="D329">
        <f>IF('US Open'!$G34="","",'US Open'!$D34&amp;"")</f>
        <v/>
      </c>
      <c r="F329">
        <f>IF('US Open'!$G34="","",'US Open'!$A34&amp;"")</f>
        <v/>
      </c>
      <c r="J329">
        <f>IF('US Open'!$G34="","",'US Open'!$E34)</f>
        <v/>
      </c>
      <c r="K329">
        <f>IF('US Open'!$G34="","",'US Open'!$J34)</f>
        <v/>
      </c>
      <c r="L329">
        <f>IF('US Open'!$G34="","","")</f>
        <v/>
      </c>
      <c r="M329">
        <f>IF('US Open'!$G34="","",'US Open'!$F34)</f>
        <v/>
      </c>
      <c r="N329">
        <f>IF('US Open'!$G34="","",'US Open'!$G34)</f>
        <v/>
      </c>
      <c r="O329">
        <f>IF('US Open'!$G34="","",'US Open'!$G34)</f>
        <v/>
      </c>
      <c r="P329">
        <f>IF('US Open'!$G34="","",'US Open'!$H34)</f>
        <v/>
      </c>
    </row>
    <row r="330">
      <c r="A330">
        <f>IF('US Open'!$G35="","","US Open")</f>
        <v/>
      </c>
      <c r="B330">
        <f>IF('US Open'!$G35="","","Major")</f>
        <v/>
      </c>
      <c r="C330" s="18">
        <f>IF('US Open'!$G35="","",'US Open'!$B$3)</f>
        <v/>
      </c>
      <c r="D330">
        <f>IF('US Open'!$G35="","",'US Open'!$D35&amp;"")</f>
        <v/>
      </c>
      <c r="F330">
        <f>IF('US Open'!$G35="","",'US Open'!$A35&amp;"")</f>
        <v/>
      </c>
      <c r="J330">
        <f>IF('US Open'!$G35="","",'US Open'!$E35)</f>
        <v/>
      </c>
      <c r="K330">
        <f>IF('US Open'!$G35="","",'US Open'!$J35)</f>
        <v/>
      </c>
      <c r="L330">
        <f>IF('US Open'!$G35="","","")</f>
        <v/>
      </c>
      <c r="M330">
        <f>IF('US Open'!$G35="","",'US Open'!$F35)</f>
        <v/>
      </c>
      <c r="N330">
        <f>IF('US Open'!$G35="","",'US Open'!$G35)</f>
        <v/>
      </c>
      <c r="O330">
        <f>IF('US Open'!$G35="","",'US Open'!$G35)</f>
        <v/>
      </c>
      <c r="P330">
        <f>IF('US Open'!$G35="","",'US Open'!$H35)</f>
        <v/>
      </c>
    </row>
    <row r="331">
      <c r="A331">
        <f>IF('US Open'!$G36="","","US Open")</f>
        <v/>
      </c>
      <c r="B331">
        <f>IF('US Open'!$G36="","","Major")</f>
        <v/>
      </c>
      <c r="C331" s="18">
        <f>IF('US Open'!$G36="","",'US Open'!$B$3)</f>
        <v/>
      </c>
      <c r="D331">
        <f>IF('US Open'!$G36="","",'US Open'!$D36&amp;"")</f>
        <v/>
      </c>
      <c r="F331">
        <f>IF('US Open'!$G36="","",'US Open'!$A36&amp;"")</f>
        <v/>
      </c>
      <c r="J331">
        <f>IF('US Open'!$G36="","",'US Open'!$E36)</f>
        <v/>
      </c>
      <c r="K331">
        <f>IF('US Open'!$G36="","",'US Open'!$J36)</f>
        <v/>
      </c>
      <c r="L331">
        <f>IF('US Open'!$G36="","","")</f>
        <v/>
      </c>
      <c r="M331">
        <f>IF('US Open'!$G36="","",'US Open'!$F36)</f>
        <v/>
      </c>
      <c r="N331">
        <f>IF('US Open'!$G36="","",'US Open'!$G36)</f>
        <v/>
      </c>
      <c r="O331">
        <f>IF('US Open'!$G36="","",'US Open'!$G36)</f>
        <v/>
      </c>
      <c r="P331">
        <f>IF('US Open'!$G36="","",'US Open'!$H36)</f>
        <v/>
      </c>
    </row>
    <row r="332">
      <c r="A332">
        <f>IF('US Open'!$G37="","","US Open")</f>
        <v/>
      </c>
      <c r="B332">
        <f>IF('US Open'!$G37="","","Major")</f>
        <v/>
      </c>
      <c r="C332" s="18">
        <f>IF('US Open'!$G37="","",'US Open'!$B$3)</f>
        <v/>
      </c>
      <c r="D332">
        <f>IF('US Open'!$G37="","",'US Open'!$D37&amp;"")</f>
        <v/>
      </c>
      <c r="F332">
        <f>IF('US Open'!$G37="","",'US Open'!$A37&amp;"")</f>
        <v/>
      </c>
      <c r="J332">
        <f>IF('US Open'!$G37="","",'US Open'!$E37)</f>
        <v/>
      </c>
      <c r="K332">
        <f>IF('US Open'!$G37="","",'US Open'!$J37)</f>
        <v/>
      </c>
      <c r="L332">
        <f>IF('US Open'!$G37="","","")</f>
        <v/>
      </c>
      <c r="M332">
        <f>IF('US Open'!$G37="","",'US Open'!$F37)</f>
        <v/>
      </c>
      <c r="N332">
        <f>IF('US Open'!$G37="","",'US Open'!$G37)</f>
        <v/>
      </c>
      <c r="O332">
        <f>IF('US Open'!$G37="","",'US Open'!$G37)</f>
        <v/>
      </c>
      <c r="P332">
        <f>IF('US Open'!$G37="","",'US Open'!$H37)</f>
        <v/>
      </c>
    </row>
    <row r="333">
      <c r="A333">
        <f>IF('US Open'!$G38="","","US Open")</f>
        <v/>
      </c>
      <c r="B333">
        <f>IF('US Open'!$G38="","","Major")</f>
        <v/>
      </c>
      <c r="C333" s="18">
        <f>IF('US Open'!$G38="","",'US Open'!$B$3)</f>
        <v/>
      </c>
      <c r="D333">
        <f>IF('US Open'!$G38="","",'US Open'!$D38&amp;"")</f>
        <v/>
      </c>
      <c r="F333">
        <f>IF('US Open'!$G38="","",'US Open'!$A38&amp;"")</f>
        <v/>
      </c>
      <c r="J333">
        <f>IF('US Open'!$G38="","",'US Open'!$E38)</f>
        <v/>
      </c>
      <c r="K333">
        <f>IF('US Open'!$G38="","",'US Open'!$J38)</f>
        <v/>
      </c>
      <c r="L333">
        <f>IF('US Open'!$G38="","","")</f>
        <v/>
      </c>
      <c r="M333">
        <f>IF('US Open'!$G38="","",'US Open'!$F38)</f>
        <v/>
      </c>
      <c r="N333">
        <f>IF('US Open'!$G38="","",'US Open'!$G38)</f>
        <v/>
      </c>
      <c r="O333">
        <f>IF('US Open'!$G38="","",'US Open'!$G38)</f>
        <v/>
      </c>
      <c r="P333">
        <f>IF('US Open'!$G38="","",'US Open'!$H38)</f>
        <v/>
      </c>
    </row>
    <row r="334">
      <c r="A334">
        <f>IF('US Open'!$G39="","","US Open")</f>
        <v/>
      </c>
      <c r="B334">
        <f>IF('US Open'!$G39="","","Major")</f>
        <v/>
      </c>
      <c r="C334" s="18">
        <f>IF('US Open'!$G39="","",'US Open'!$B$3)</f>
        <v/>
      </c>
      <c r="D334">
        <f>IF('US Open'!$G39="","",'US Open'!$D39&amp;"")</f>
        <v/>
      </c>
      <c r="F334">
        <f>IF('US Open'!$G39="","",'US Open'!$A39&amp;"")</f>
        <v/>
      </c>
      <c r="J334">
        <f>IF('US Open'!$G39="","",'US Open'!$E39)</f>
        <v/>
      </c>
      <c r="K334">
        <f>IF('US Open'!$G39="","",'US Open'!$J39)</f>
        <v/>
      </c>
      <c r="L334">
        <f>IF('US Open'!$G39="","","")</f>
        <v/>
      </c>
      <c r="M334">
        <f>IF('US Open'!$G39="","",'US Open'!$F39)</f>
        <v/>
      </c>
      <c r="N334">
        <f>IF('US Open'!$G39="","",'US Open'!$G39)</f>
        <v/>
      </c>
      <c r="O334">
        <f>IF('US Open'!$G39="","",'US Open'!$G39)</f>
        <v/>
      </c>
      <c r="P334">
        <f>IF('US Open'!$G39="","",'US Open'!$H39)</f>
        <v/>
      </c>
    </row>
    <row r="335">
      <c r="A335">
        <f>IF('US Open'!$G40="","","US Open")</f>
        <v/>
      </c>
      <c r="B335">
        <f>IF('US Open'!$G40="","","Major")</f>
        <v/>
      </c>
      <c r="C335" s="18">
        <f>IF('US Open'!$G40="","",'US Open'!$B$3)</f>
        <v/>
      </c>
      <c r="D335">
        <f>IF('US Open'!$G40="","",'US Open'!$D40&amp;"")</f>
        <v/>
      </c>
      <c r="F335">
        <f>IF('US Open'!$G40="","",'US Open'!$A40&amp;"")</f>
        <v/>
      </c>
      <c r="J335">
        <f>IF('US Open'!$G40="","",'US Open'!$E40)</f>
        <v/>
      </c>
      <c r="K335">
        <f>IF('US Open'!$G40="","",'US Open'!$J40)</f>
        <v/>
      </c>
      <c r="L335">
        <f>IF('US Open'!$G40="","","")</f>
        <v/>
      </c>
      <c r="M335">
        <f>IF('US Open'!$G40="","",'US Open'!$F40)</f>
        <v/>
      </c>
      <c r="N335">
        <f>IF('US Open'!$G40="","",'US Open'!$G40)</f>
        <v/>
      </c>
      <c r="O335">
        <f>IF('US Open'!$G40="","",'US Open'!$G40)</f>
        <v/>
      </c>
      <c r="P335">
        <f>IF('US Open'!$G40="","",'US Open'!$H40)</f>
        <v/>
      </c>
    </row>
    <row r="336">
      <c r="A336">
        <f>IF('US Open'!$G41="","","US Open")</f>
        <v/>
      </c>
      <c r="B336">
        <f>IF('US Open'!$G41="","","Major")</f>
        <v/>
      </c>
      <c r="C336" s="18">
        <f>IF('US Open'!$G41="","",'US Open'!$B$3)</f>
        <v/>
      </c>
      <c r="D336">
        <f>IF('US Open'!$G41="","",'US Open'!$D41&amp;"")</f>
        <v/>
      </c>
      <c r="F336">
        <f>IF('US Open'!$G41="","",'US Open'!$A41&amp;"")</f>
        <v/>
      </c>
      <c r="J336">
        <f>IF('US Open'!$G41="","",'US Open'!$E41)</f>
        <v/>
      </c>
      <c r="K336">
        <f>IF('US Open'!$G41="","",'US Open'!$J41)</f>
        <v/>
      </c>
      <c r="L336">
        <f>IF('US Open'!$G41="","","")</f>
        <v/>
      </c>
      <c r="M336">
        <f>IF('US Open'!$G41="","",'US Open'!$F41)</f>
        <v/>
      </c>
      <c r="N336">
        <f>IF('US Open'!$G41="","",'US Open'!$G41)</f>
        <v/>
      </c>
      <c r="O336">
        <f>IF('US Open'!$G41="","",'US Open'!$G41)</f>
        <v/>
      </c>
      <c r="P336">
        <f>IF('US Open'!$G41="","",'US Open'!$H41)</f>
        <v/>
      </c>
    </row>
    <row r="337">
      <c r="A337">
        <f>IF('US Open'!$G42="","","US Open")</f>
        <v/>
      </c>
      <c r="B337">
        <f>IF('US Open'!$G42="","","Major")</f>
        <v/>
      </c>
      <c r="C337" s="18">
        <f>IF('US Open'!$G42="","",'US Open'!$B$3)</f>
        <v/>
      </c>
      <c r="D337">
        <f>IF('US Open'!$G42="","",'US Open'!$D42&amp;"")</f>
        <v/>
      </c>
      <c r="F337">
        <f>IF('US Open'!$G42="","",'US Open'!$A42&amp;"")</f>
        <v/>
      </c>
      <c r="J337">
        <f>IF('US Open'!$G42="","",'US Open'!$E42)</f>
        <v/>
      </c>
      <c r="K337">
        <f>IF('US Open'!$G42="","",'US Open'!$J42)</f>
        <v/>
      </c>
      <c r="L337">
        <f>IF('US Open'!$G42="","","")</f>
        <v/>
      </c>
      <c r="M337">
        <f>IF('US Open'!$G42="","",'US Open'!$F42)</f>
        <v/>
      </c>
      <c r="N337">
        <f>IF('US Open'!$G42="","",'US Open'!$G42)</f>
        <v/>
      </c>
      <c r="O337">
        <f>IF('US Open'!$G42="","",'US Open'!$G42)</f>
        <v/>
      </c>
      <c r="P337">
        <f>IF('US Open'!$G42="","",'US Open'!$H42)</f>
        <v/>
      </c>
    </row>
    <row r="338">
      <c r="A338">
        <f>IF('US Open'!$G43="","","US Open")</f>
        <v/>
      </c>
      <c r="B338">
        <f>IF('US Open'!$G43="","","Major")</f>
        <v/>
      </c>
      <c r="C338" s="18">
        <f>IF('US Open'!$G43="","",'US Open'!$B$3)</f>
        <v/>
      </c>
      <c r="D338">
        <f>IF('US Open'!$G43="","",'US Open'!$D43&amp;"")</f>
        <v/>
      </c>
      <c r="F338">
        <f>IF('US Open'!$G43="","",'US Open'!$A43&amp;"")</f>
        <v/>
      </c>
      <c r="J338">
        <f>IF('US Open'!$G43="","",'US Open'!$E43)</f>
        <v/>
      </c>
      <c r="K338">
        <f>IF('US Open'!$G43="","",'US Open'!$J43)</f>
        <v/>
      </c>
      <c r="L338">
        <f>IF('US Open'!$G43="","","")</f>
        <v/>
      </c>
      <c r="M338">
        <f>IF('US Open'!$G43="","",'US Open'!$F43)</f>
        <v/>
      </c>
      <c r="N338">
        <f>IF('US Open'!$G43="","",'US Open'!$G43)</f>
        <v/>
      </c>
      <c r="O338">
        <f>IF('US Open'!$G43="","",'US Open'!$G43)</f>
        <v/>
      </c>
      <c r="P338">
        <f>IF('US Open'!$G43="","",'US Open'!$H43)</f>
        <v/>
      </c>
    </row>
    <row r="339">
      <c r="A339">
        <f>IF('US Open'!$G44="","","US Open")</f>
        <v/>
      </c>
      <c r="B339">
        <f>IF('US Open'!$G44="","","Major")</f>
        <v/>
      </c>
      <c r="C339" s="18">
        <f>IF('US Open'!$G44="","",'US Open'!$B$3)</f>
        <v/>
      </c>
      <c r="D339">
        <f>IF('US Open'!$G44="","",'US Open'!$D44&amp;"")</f>
        <v/>
      </c>
      <c r="F339">
        <f>IF('US Open'!$G44="","",'US Open'!$A44&amp;"")</f>
        <v/>
      </c>
      <c r="J339">
        <f>IF('US Open'!$G44="","",'US Open'!$E44)</f>
        <v/>
      </c>
      <c r="K339">
        <f>IF('US Open'!$G44="","",'US Open'!$J44)</f>
        <v/>
      </c>
      <c r="L339">
        <f>IF('US Open'!$G44="","","")</f>
        <v/>
      </c>
      <c r="M339">
        <f>IF('US Open'!$G44="","",'US Open'!$F44)</f>
        <v/>
      </c>
      <c r="N339">
        <f>IF('US Open'!$G44="","",'US Open'!$G44)</f>
        <v/>
      </c>
      <c r="O339">
        <f>IF('US Open'!$G44="","",'US Open'!$G44)</f>
        <v/>
      </c>
      <c r="P339">
        <f>IF('US Open'!$G44="","",'US Open'!$H44)</f>
        <v/>
      </c>
    </row>
    <row r="340">
      <c r="A340">
        <f>IF('US Open'!$G45="","","US Open")</f>
        <v/>
      </c>
      <c r="B340">
        <f>IF('US Open'!$G45="","","Major")</f>
        <v/>
      </c>
      <c r="C340" s="18">
        <f>IF('US Open'!$G45="","",'US Open'!$B$3)</f>
        <v/>
      </c>
      <c r="D340">
        <f>IF('US Open'!$G45="","",'US Open'!$D45&amp;"")</f>
        <v/>
      </c>
      <c r="F340">
        <f>IF('US Open'!$G45="","",'US Open'!$A45&amp;"")</f>
        <v/>
      </c>
      <c r="J340">
        <f>IF('US Open'!$G45="","",'US Open'!$E45)</f>
        <v/>
      </c>
      <c r="K340">
        <f>IF('US Open'!$G45="","",'US Open'!$J45)</f>
        <v/>
      </c>
      <c r="L340">
        <f>IF('US Open'!$G45="","","")</f>
        <v/>
      </c>
      <c r="M340">
        <f>IF('US Open'!$G45="","",'US Open'!$F45)</f>
        <v/>
      </c>
      <c r="N340">
        <f>IF('US Open'!$G45="","",'US Open'!$G45)</f>
        <v/>
      </c>
      <c r="O340">
        <f>IF('US Open'!$G45="","",'US Open'!$G45)</f>
        <v/>
      </c>
      <c r="P340">
        <f>IF('US Open'!$G45="","",'US Open'!$H45)</f>
        <v/>
      </c>
    </row>
    <row r="341">
      <c r="A341">
        <f>IF('US Open'!$G46="","","US Open")</f>
        <v/>
      </c>
      <c r="B341">
        <f>IF('US Open'!$G46="","","Major")</f>
        <v/>
      </c>
      <c r="C341" s="18">
        <f>IF('US Open'!$G46="","",'US Open'!$B$3)</f>
        <v/>
      </c>
      <c r="D341">
        <f>IF('US Open'!$G46="","",'US Open'!$D46&amp;"")</f>
        <v/>
      </c>
      <c r="F341">
        <f>IF('US Open'!$G46="","",'US Open'!$A46&amp;"")</f>
        <v/>
      </c>
      <c r="J341">
        <f>IF('US Open'!$G46="","",'US Open'!$E46)</f>
        <v/>
      </c>
      <c r="K341">
        <f>IF('US Open'!$G46="","",'US Open'!$J46)</f>
        <v/>
      </c>
      <c r="L341">
        <f>IF('US Open'!$G46="","","")</f>
        <v/>
      </c>
      <c r="M341">
        <f>IF('US Open'!$G46="","",'US Open'!$F46)</f>
        <v/>
      </c>
      <c r="N341">
        <f>IF('US Open'!$G46="","",'US Open'!$G46)</f>
        <v/>
      </c>
      <c r="O341">
        <f>IF('US Open'!$G46="","",'US Open'!$G46)</f>
        <v/>
      </c>
      <c r="P341">
        <f>IF('US Open'!$G46="","",'US Open'!$H46)</f>
        <v/>
      </c>
    </row>
    <row r="342">
      <c r="A342">
        <f>IF('US Open'!$G47="","","US Open")</f>
        <v/>
      </c>
      <c r="B342">
        <f>IF('US Open'!$G47="","","Major")</f>
        <v/>
      </c>
      <c r="C342" s="18">
        <f>IF('US Open'!$G47="","",'US Open'!$B$3)</f>
        <v/>
      </c>
      <c r="D342">
        <f>IF('US Open'!$G47="","",'US Open'!$D47&amp;"")</f>
        <v/>
      </c>
      <c r="F342">
        <f>IF('US Open'!$G47="","",'US Open'!$A47&amp;"")</f>
        <v/>
      </c>
      <c r="J342">
        <f>IF('US Open'!$G47="","",'US Open'!$E47)</f>
        <v/>
      </c>
      <c r="K342">
        <f>IF('US Open'!$G47="","",'US Open'!$J47)</f>
        <v/>
      </c>
      <c r="L342">
        <f>IF('US Open'!$G47="","","")</f>
        <v/>
      </c>
      <c r="M342">
        <f>IF('US Open'!$G47="","",'US Open'!$F47)</f>
        <v/>
      </c>
      <c r="N342">
        <f>IF('US Open'!$G47="","",'US Open'!$G47)</f>
        <v/>
      </c>
      <c r="O342">
        <f>IF('US Open'!$G47="","",'US Open'!$G47)</f>
        <v/>
      </c>
      <c r="P342">
        <f>IF('US Open'!$G47="","",'US Open'!$H47)</f>
        <v/>
      </c>
    </row>
    <row r="343">
      <c r="A343">
        <f>IF('US Open'!$G48="","","US Open")</f>
        <v/>
      </c>
      <c r="B343">
        <f>IF('US Open'!$G48="","","Major")</f>
        <v/>
      </c>
      <c r="C343" s="18">
        <f>IF('US Open'!$G48="","",'US Open'!$B$3)</f>
        <v/>
      </c>
      <c r="D343">
        <f>IF('US Open'!$G48="","",'US Open'!$D48&amp;"")</f>
        <v/>
      </c>
      <c r="F343">
        <f>IF('US Open'!$G48="","",'US Open'!$A48&amp;"")</f>
        <v/>
      </c>
      <c r="J343">
        <f>IF('US Open'!$G48="","",'US Open'!$E48)</f>
        <v/>
      </c>
      <c r="K343">
        <f>IF('US Open'!$G48="","",'US Open'!$J48)</f>
        <v/>
      </c>
      <c r="L343">
        <f>IF('US Open'!$G48="","","")</f>
        <v/>
      </c>
      <c r="M343">
        <f>IF('US Open'!$G48="","",'US Open'!$F48)</f>
        <v/>
      </c>
      <c r="N343">
        <f>IF('US Open'!$G48="","",'US Open'!$G48)</f>
        <v/>
      </c>
      <c r="O343">
        <f>IF('US Open'!$G48="","",'US Open'!$G48)</f>
        <v/>
      </c>
      <c r="P343">
        <f>IF('US Open'!$G48="","",'US Open'!$H48)</f>
        <v/>
      </c>
    </row>
    <row r="344">
      <c r="A344">
        <f>IF('US Open'!$G49="","","US Open")</f>
        <v/>
      </c>
      <c r="B344">
        <f>IF('US Open'!$G49="","","Major")</f>
        <v/>
      </c>
      <c r="C344" s="18">
        <f>IF('US Open'!$G49="","",'US Open'!$B$3)</f>
        <v/>
      </c>
      <c r="D344">
        <f>IF('US Open'!$G49="","",'US Open'!$D49&amp;"")</f>
        <v/>
      </c>
      <c r="F344">
        <f>IF('US Open'!$G49="","",'US Open'!$A49&amp;"")</f>
        <v/>
      </c>
      <c r="J344">
        <f>IF('US Open'!$G49="","",'US Open'!$E49)</f>
        <v/>
      </c>
      <c r="K344">
        <f>IF('US Open'!$G49="","",'US Open'!$J49)</f>
        <v/>
      </c>
      <c r="L344">
        <f>IF('US Open'!$G49="","","")</f>
        <v/>
      </c>
      <c r="M344">
        <f>IF('US Open'!$G49="","",'US Open'!$F49)</f>
        <v/>
      </c>
      <c r="N344">
        <f>IF('US Open'!$G49="","",'US Open'!$G49)</f>
        <v/>
      </c>
      <c r="O344">
        <f>IF('US Open'!$G49="","",'US Open'!$G49)</f>
        <v/>
      </c>
      <c r="P344">
        <f>IF('US Open'!$G49="","",'US Open'!$H49)</f>
        <v/>
      </c>
    </row>
    <row r="345">
      <c r="A345">
        <f>IF('US Open'!$G50="","","US Open")</f>
        <v/>
      </c>
      <c r="B345">
        <f>IF('US Open'!$G50="","","Major")</f>
        <v/>
      </c>
      <c r="C345" s="18">
        <f>IF('US Open'!$G50="","",'US Open'!$B$3)</f>
        <v/>
      </c>
      <c r="D345">
        <f>IF('US Open'!$G50="","",'US Open'!$D50&amp;"")</f>
        <v/>
      </c>
      <c r="F345">
        <f>IF('US Open'!$G50="","",'US Open'!$A50&amp;"")</f>
        <v/>
      </c>
      <c r="J345">
        <f>IF('US Open'!$G50="","",'US Open'!$E50)</f>
        <v/>
      </c>
      <c r="K345">
        <f>IF('US Open'!$G50="","",'US Open'!$J50)</f>
        <v/>
      </c>
      <c r="L345">
        <f>IF('US Open'!$G50="","","")</f>
        <v/>
      </c>
      <c r="M345">
        <f>IF('US Open'!$G50="","",'US Open'!$F50)</f>
        <v/>
      </c>
      <c r="N345">
        <f>IF('US Open'!$G50="","",'US Open'!$G50)</f>
        <v/>
      </c>
      <c r="O345">
        <f>IF('US Open'!$G50="","",'US Open'!$G50)</f>
        <v/>
      </c>
      <c r="P345">
        <f>IF('US Open'!$G50="","",'US Open'!$H50)</f>
        <v/>
      </c>
    </row>
    <row r="346">
      <c r="A346">
        <f>IF('US Open'!$G51="","","US Open")</f>
        <v/>
      </c>
      <c r="B346">
        <f>IF('US Open'!$G51="","","Major")</f>
        <v/>
      </c>
      <c r="C346" s="18">
        <f>IF('US Open'!$G51="","",'US Open'!$B$3)</f>
        <v/>
      </c>
      <c r="D346">
        <f>IF('US Open'!$G51="","",'US Open'!$D51&amp;"")</f>
        <v/>
      </c>
      <c r="F346">
        <f>IF('US Open'!$G51="","",'US Open'!$A51&amp;"")</f>
        <v/>
      </c>
      <c r="J346">
        <f>IF('US Open'!$G51="","",'US Open'!$E51)</f>
        <v/>
      </c>
      <c r="K346">
        <f>IF('US Open'!$G51="","",'US Open'!$J51)</f>
        <v/>
      </c>
      <c r="L346">
        <f>IF('US Open'!$G51="","","")</f>
        <v/>
      </c>
      <c r="M346">
        <f>IF('US Open'!$G51="","",'US Open'!$F51)</f>
        <v/>
      </c>
      <c r="N346">
        <f>IF('US Open'!$G51="","",'US Open'!$G51)</f>
        <v/>
      </c>
      <c r="O346">
        <f>IF('US Open'!$G51="","",'US Open'!$G51)</f>
        <v/>
      </c>
      <c r="P346">
        <f>IF('US Open'!$G51="","",'US Open'!$H51)</f>
        <v/>
      </c>
    </row>
    <row r="347">
      <c r="A347">
        <f>IF('US Open'!$G52="","","US Open")</f>
        <v/>
      </c>
      <c r="B347">
        <f>IF('US Open'!$G52="","","Major")</f>
        <v/>
      </c>
      <c r="C347" s="18">
        <f>IF('US Open'!$G52="","",'US Open'!$B$3)</f>
        <v/>
      </c>
      <c r="D347">
        <f>IF('US Open'!$G52="","",'US Open'!$D52&amp;"")</f>
        <v/>
      </c>
      <c r="F347">
        <f>IF('US Open'!$G52="","",'US Open'!$A52&amp;"")</f>
        <v/>
      </c>
      <c r="J347">
        <f>IF('US Open'!$G52="","",'US Open'!$E52)</f>
        <v/>
      </c>
      <c r="K347">
        <f>IF('US Open'!$G52="","",'US Open'!$J52)</f>
        <v/>
      </c>
      <c r="L347">
        <f>IF('US Open'!$G52="","","")</f>
        <v/>
      </c>
      <c r="M347">
        <f>IF('US Open'!$G52="","",'US Open'!$F52)</f>
        <v/>
      </c>
      <c r="N347">
        <f>IF('US Open'!$G52="","",'US Open'!$G52)</f>
        <v/>
      </c>
      <c r="O347">
        <f>IF('US Open'!$G52="","",'US Open'!$G52)</f>
        <v/>
      </c>
      <c r="P347">
        <f>IF('US Open'!$G52="","",'US Open'!$H52)</f>
        <v/>
      </c>
    </row>
    <row r="348">
      <c r="A348">
        <f>IF('US Open'!$G53="","","US Open")</f>
        <v/>
      </c>
      <c r="B348">
        <f>IF('US Open'!$G53="","","Major")</f>
        <v/>
      </c>
      <c r="C348" s="18">
        <f>IF('US Open'!$G53="","",'US Open'!$B$3)</f>
        <v/>
      </c>
      <c r="D348">
        <f>IF('US Open'!$G53="","",'US Open'!$D53&amp;"")</f>
        <v/>
      </c>
      <c r="F348">
        <f>IF('US Open'!$G53="","",'US Open'!$A53&amp;"")</f>
        <v/>
      </c>
      <c r="J348">
        <f>IF('US Open'!$G53="","",'US Open'!$E53)</f>
        <v/>
      </c>
      <c r="K348">
        <f>IF('US Open'!$G53="","",'US Open'!$J53)</f>
        <v/>
      </c>
      <c r="L348">
        <f>IF('US Open'!$G53="","","")</f>
        <v/>
      </c>
      <c r="M348">
        <f>IF('US Open'!$G53="","",'US Open'!$F53)</f>
        <v/>
      </c>
      <c r="N348">
        <f>IF('US Open'!$G53="","",'US Open'!$G53)</f>
        <v/>
      </c>
      <c r="O348">
        <f>IF('US Open'!$G53="","",'US Open'!$G53)</f>
        <v/>
      </c>
      <c r="P348">
        <f>IF('US Open'!$G53="","",'US Open'!$H53)</f>
        <v/>
      </c>
    </row>
    <row r="349">
      <c r="A349">
        <f>IF('US Open'!$G54="","","US Open")</f>
        <v/>
      </c>
      <c r="B349">
        <f>IF('US Open'!$G54="","","Major")</f>
        <v/>
      </c>
      <c r="C349" s="18">
        <f>IF('US Open'!$G54="","",'US Open'!$B$3)</f>
        <v/>
      </c>
      <c r="D349">
        <f>IF('US Open'!$G54="","",'US Open'!$D54&amp;"")</f>
        <v/>
      </c>
      <c r="F349">
        <f>IF('US Open'!$G54="","",'US Open'!$A54&amp;"")</f>
        <v/>
      </c>
      <c r="J349">
        <f>IF('US Open'!$G54="","",'US Open'!$E54)</f>
        <v/>
      </c>
      <c r="K349">
        <f>IF('US Open'!$G54="","",'US Open'!$J54)</f>
        <v/>
      </c>
      <c r="L349">
        <f>IF('US Open'!$G54="","","")</f>
        <v/>
      </c>
      <c r="M349">
        <f>IF('US Open'!$G54="","",'US Open'!$F54)</f>
        <v/>
      </c>
      <c r="N349">
        <f>IF('US Open'!$G54="","",'US Open'!$G54)</f>
        <v/>
      </c>
      <c r="O349">
        <f>IF('US Open'!$G54="","",'US Open'!$G54)</f>
        <v/>
      </c>
      <c r="P349">
        <f>IF('US Open'!$G54="","",'US Open'!$H54)</f>
        <v/>
      </c>
    </row>
    <row r="350">
      <c r="A350">
        <f>IF('US Open'!$G55="","","US Open")</f>
        <v/>
      </c>
      <c r="B350">
        <f>IF('US Open'!$G55="","","Major")</f>
        <v/>
      </c>
      <c r="C350" s="18">
        <f>IF('US Open'!$G55="","",'US Open'!$B$3)</f>
        <v/>
      </c>
      <c r="D350">
        <f>IF('US Open'!$G55="","",'US Open'!$D55&amp;"")</f>
        <v/>
      </c>
      <c r="F350">
        <f>IF('US Open'!$G55="","",'US Open'!$A55&amp;"")</f>
        <v/>
      </c>
      <c r="J350">
        <f>IF('US Open'!$G55="","",'US Open'!$E55)</f>
        <v/>
      </c>
      <c r="K350">
        <f>IF('US Open'!$G55="","",'US Open'!$J55)</f>
        <v/>
      </c>
      <c r="L350">
        <f>IF('US Open'!$G55="","","")</f>
        <v/>
      </c>
      <c r="M350">
        <f>IF('US Open'!$G55="","",'US Open'!$F55)</f>
        <v/>
      </c>
      <c r="N350">
        <f>IF('US Open'!$G55="","",'US Open'!$G55)</f>
        <v/>
      </c>
      <c r="O350">
        <f>IF('US Open'!$G55="","",'US Open'!$G55)</f>
        <v/>
      </c>
      <c r="P350">
        <f>IF('US Open'!$G55="","",'US Open'!$H55)</f>
        <v/>
      </c>
    </row>
    <row r="351">
      <c r="A351">
        <f>IF('US Open'!$G56="","","US Open")</f>
        <v/>
      </c>
      <c r="B351">
        <f>IF('US Open'!$G56="","","Major")</f>
        <v/>
      </c>
      <c r="C351" s="18">
        <f>IF('US Open'!$G56="","",'US Open'!$B$3)</f>
        <v/>
      </c>
      <c r="D351">
        <f>IF('US Open'!$G56="","",'US Open'!$D56&amp;"")</f>
        <v/>
      </c>
      <c r="F351">
        <f>IF('US Open'!$G56="","",'US Open'!$A56&amp;"")</f>
        <v/>
      </c>
      <c r="J351">
        <f>IF('US Open'!$G56="","",'US Open'!$E56)</f>
        <v/>
      </c>
      <c r="K351">
        <f>IF('US Open'!$G56="","",'US Open'!$J56)</f>
        <v/>
      </c>
      <c r="L351">
        <f>IF('US Open'!$G56="","","")</f>
        <v/>
      </c>
      <c r="M351">
        <f>IF('US Open'!$G56="","",'US Open'!$F56)</f>
        <v/>
      </c>
      <c r="N351">
        <f>IF('US Open'!$G56="","",'US Open'!$G56)</f>
        <v/>
      </c>
      <c r="O351">
        <f>IF('US Open'!$G56="","",'US Open'!$G56)</f>
        <v/>
      </c>
      <c r="P351">
        <f>IF('US Open'!$G56="","",'US Open'!$H56)</f>
        <v/>
      </c>
    </row>
    <row r="352">
      <c r="A352">
        <f>IF('US Open'!$G57="","","US Open")</f>
        <v/>
      </c>
      <c r="B352">
        <f>IF('US Open'!$G57="","","Major")</f>
        <v/>
      </c>
      <c r="C352" s="18">
        <f>IF('US Open'!$G57="","",'US Open'!$B$3)</f>
        <v/>
      </c>
      <c r="D352">
        <f>IF('US Open'!$G57="","",'US Open'!$D57&amp;"")</f>
        <v/>
      </c>
      <c r="F352">
        <f>IF('US Open'!$G57="","",'US Open'!$A57&amp;"")</f>
        <v/>
      </c>
      <c r="J352">
        <f>IF('US Open'!$G57="","",'US Open'!$E57)</f>
        <v/>
      </c>
      <c r="K352">
        <f>IF('US Open'!$G57="","",'US Open'!$J57)</f>
        <v/>
      </c>
      <c r="L352">
        <f>IF('US Open'!$G57="","","")</f>
        <v/>
      </c>
      <c r="M352">
        <f>IF('US Open'!$G57="","",'US Open'!$F57)</f>
        <v/>
      </c>
      <c r="N352">
        <f>IF('US Open'!$G57="","",'US Open'!$G57)</f>
        <v/>
      </c>
      <c r="O352">
        <f>IF('US Open'!$G57="","",'US Open'!$G57)</f>
        <v/>
      </c>
      <c r="P352">
        <f>IF('US Open'!$G57="","",'US Open'!$H57)</f>
        <v/>
      </c>
    </row>
    <row r="353">
      <c r="A353">
        <f>IF('US Open'!$G58="","","US Open")</f>
        <v/>
      </c>
      <c r="B353">
        <f>IF('US Open'!$G58="","","Major")</f>
        <v/>
      </c>
      <c r="C353" s="18">
        <f>IF('US Open'!$G58="","",'US Open'!$B$3)</f>
        <v/>
      </c>
      <c r="D353">
        <f>IF('US Open'!$G58="","",'US Open'!$D58&amp;"")</f>
        <v/>
      </c>
      <c r="F353">
        <f>IF('US Open'!$G58="","",'US Open'!$A58&amp;"")</f>
        <v/>
      </c>
      <c r="J353">
        <f>IF('US Open'!$G58="","",'US Open'!$E58)</f>
        <v/>
      </c>
      <c r="K353">
        <f>IF('US Open'!$G58="","",'US Open'!$J58)</f>
        <v/>
      </c>
      <c r="L353">
        <f>IF('US Open'!$G58="","","")</f>
        <v/>
      </c>
      <c r="M353">
        <f>IF('US Open'!$G58="","",'US Open'!$F58)</f>
        <v/>
      </c>
      <c r="N353">
        <f>IF('US Open'!$G58="","",'US Open'!$G58)</f>
        <v/>
      </c>
      <c r="O353">
        <f>IF('US Open'!$G58="","",'US Open'!$G58)</f>
        <v/>
      </c>
      <c r="P353">
        <f>IF('US Open'!$G58="","",'US Open'!$H58)</f>
        <v/>
      </c>
    </row>
    <row r="354">
      <c r="A354">
        <f>IF('US Open'!$G59="","","US Open")</f>
        <v/>
      </c>
      <c r="B354">
        <f>IF('US Open'!$G59="","","Major")</f>
        <v/>
      </c>
      <c r="C354" s="18">
        <f>IF('US Open'!$G59="","",'US Open'!$B$3)</f>
        <v/>
      </c>
      <c r="D354">
        <f>IF('US Open'!$G59="","",'US Open'!$D59&amp;"")</f>
        <v/>
      </c>
      <c r="F354">
        <f>IF('US Open'!$G59="","",'US Open'!$A59&amp;"")</f>
        <v/>
      </c>
      <c r="J354">
        <f>IF('US Open'!$G59="","",'US Open'!$E59)</f>
        <v/>
      </c>
      <c r="K354">
        <f>IF('US Open'!$G59="","",'US Open'!$J59)</f>
        <v/>
      </c>
      <c r="L354">
        <f>IF('US Open'!$G59="","","")</f>
        <v/>
      </c>
      <c r="M354">
        <f>IF('US Open'!$G59="","",'US Open'!$F59)</f>
        <v/>
      </c>
      <c r="N354">
        <f>IF('US Open'!$G59="","",'US Open'!$G59)</f>
        <v/>
      </c>
      <c r="O354">
        <f>IF('US Open'!$G59="","",'US Open'!$G59)</f>
        <v/>
      </c>
      <c r="P354">
        <f>IF('US Open'!$G59="","",'US Open'!$H59)</f>
        <v/>
      </c>
    </row>
    <row r="355">
      <c r="A355">
        <f>IF('US Open'!$G60="","","US Open")</f>
        <v/>
      </c>
      <c r="B355">
        <f>IF('US Open'!$G60="","","Major")</f>
        <v/>
      </c>
      <c r="C355" s="18">
        <f>IF('US Open'!$G60="","",'US Open'!$B$3)</f>
        <v/>
      </c>
      <c r="D355">
        <f>IF('US Open'!$G60="","",'US Open'!$D60&amp;"")</f>
        <v/>
      </c>
      <c r="F355">
        <f>IF('US Open'!$G60="","",'US Open'!$A60&amp;"")</f>
        <v/>
      </c>
      <c r="J355">
        <f>IF('US Open'!$G60="","",'US Open'!$E60)</f>
        <v/>
      </c>
      <c r="K355">
        <f>IF('US Open'!$G60="","",'US Open'!$J60)</f>
        <v/>
      </c>
      <c r="L355">
        <f>IF('US Open'!$G60="","","")</f>
        <v/>
      </c>
      <c r="M355">
        <f>IF('US Open'!$G60="","",'US Open'!$F60)</f>
        <v/>
      </c>
      <c r="N355">
        <f>IF('US Open'!$G60="","",'US Open'!$G60)</f>
        <v/>
      </c>
      <c r="O355">
        <f>IF('US Open'!$G60="","",'US Open'!$G60)</f>
        <v/>
      </c>
      <c r="P355">
        <f>IF('US Open'!$G60="","",'US Open'!$H60)</f>
        <v/>
      </c>
    </row>
    <row r="356">
      <c r="A356">
        <f>IF('US Open'!$G61="","","US Open")</f>
        <v/>
      </c>
      <c r="B356">
        <f>IF('US Open'!$G61="","","Major")</f>
        <v/>
      </c>
      <c r="C356" s="18">
        <f>IF('US Open'!$G61="","",'US Open'!$B$3)</f>
        <v/>
      </c>
      <c r="D356">
        <f>IF('US Open'!$G61="","",'US Open'!$D61&amp;"")</f>
        <v/>
      </c>
      <c r="F356">
        <f>IF('US Open'!$G61="","",'US Open'!$A61&amp;"")</f>
        <v/>
      </c>
      <c r="J356">
        <f>IF('US Open'!$G61="","",'US Open'!$E61)</f>
        <v/>
      </c>
      <c r="K356">
        <f>IF('US Open'!$G61="","",'US Open'!$J61)</f>
        <v/>
      </c>
      <c r="L356">
        <f>IF('US Open'!$G61="","","")</f>
        <v/>
      </c>
      <c r="M356">
        <f>IF('US Open'!$G61="","",'US Open'!$F61)</f>
        <v/>
      </c>
      <c r="N356">
        <f>IF('US Open'!$G61="","",'US Open'!$G61)</f>
        <v/>
      </c>
      <c r="O356">
        <f>IF('US Open'!$G61="","",'US Open'!$G61)</f>
        <v/>
      </c>
      <c r="P356">
        <f>IF('US Open'!$G61="","",'US Open'!$H61)</f>
        <v/>
      </c>
    </row>
    <row r="357">
      <c r="A357">
        <f>IF('US Open'!$G62="","","US Open")</f>
        <v/>
      </c>
      <c r="B357">
        <f>IF('US Open'!$G62="","","Major")</f>
        <v/>
      </c>
      <c r="C357" s="18">
        <f>IF('US Open'!$G62="","",'US Open'!$B$3)</f>
        <v/>
      </c>
      <c r="D357">
        <f>IF('US Open'!$G62="","",'US Open'!$D62&amp;"")</f>
        <v/>
      </c>
      <c r="F357">
        <f>IF('US Open'!$G62="","",'US Open'!$A62&amp;"")</f>
        <v/>
      </c>
      <c r="J357">
        <f>IF('US Open'!$G62="","",'US Open'!$E62)</f>
        <v/>
      </c>
      <c r="K357">
        <f>IF('US Open'!$G62="","",'US Open'!$J62)</f>
        <v/>
      </c>
      <c r="L357">
        <f>IF('US Open'!$G62="","","")</f>
        <v/>
      </c>
      <c r="M357">
        <f>IF('US Open'!$G62="","",'US Open'!$F62)</f>
        <v/>
      </c>
      <c r="N357">
        <f>IF('US Open'!$G62="","",'US Open'!$G62)</f>
        <v/>
      </c>
      <c r="O357">
        <f>IF('US Open'!$G62="","",'US Open'!$G62)</f>
        <v/>
      </c>
      <c r="P357">
        <f>IF('US Open'!$G62="","",'US Open'!$H62)</f>
        <v/>
      </c>
    </row>
    <row r="358">
      <c r="A358">
        <f>IF('US Open'!$G63="","","US Open")</f>
        <v/>
      </c>
      <c r="B358">
        <f>IF('US Open'!$G63="","","Major")</f>
        <v/>
      </c>
      <c r="C358" s="18">
        <f>IF('US Open'!$G63="","",'US Open'!$B$3)</f>
        <v/>
      </c>
      <c r="D358">
        <f>IF('US Open'!$G63="","",'US Open'!$D63&amp;"")</f>
        <v/>
      </c>
      <c r="F358">
        <f>IF('US Open'!$G63="","",'US Open'!$A63&amp;"")</f>
        <v/>
      </c>
      <c r="J358">
        <f>IF('US Open'!$G63="","",'US Open'!$E63)</f>
        <v/>
      </c>
      <c r="K358">
        <f>IF('US Open'!$G63="","",'US Open'!$J63)</f>
        <v/>
      </c>
      <c r="L358">
        <f>IF('US Open'!$G63="","","")</f>
        <v/>
      </c>
      <c r="M358">
        <f>IF('US Open'!$G63="","",'US Open'!$F63)</f>
        <v/>
      </c>
      <c r="N358">
        <f>IF('US Open'!$G63="","",'US Open'!$G63)</f>
        <v/>
      </c>
      <c r="O358">
        <f>IF('US Open'!$G63="","",'US Open'!$G63)</f>
        <v/>
      </c>
      <c r="P358">
        <f>IF('US Open'!$G63="","",'US Open'!$H63)</f>
        <v/>
      </c>
    </row>
    <row r="359">
      <c r="A359">
        <f>IF('US Open'!$G64="","","US Open")</f>
        <v/>
      </c>
      <c r="B359">
        <f>IF('US Open'!$G64="","","Major")</f>
        <v/>
      </c>
      <c r="C359" s="18">
        <f>IF('US Open'!$G64="","",'US Open'!$B$3)</f>
        <v/>
      </c>
      <c r="D359">
        <f>IF('US Open'!$G64="","",'US Open'!$D64&amp;"")</f>
        <v/>
      </c>
      <c r="F359">
        <f>IF('US Open'!$G64="","",'US Open'!$A64&amp;"")</f>
        <v/>
      </c>
      <c r="J359">
        <f>IF('US Open'!$G64="","",'US Open'!$E64)</f>
        <v/>
      </c>
      <c r="K359">
        <f>IF('US Open'!$G64="","",'US Open'!$J64)</f>
        <v/>
      </c>
      <c r="L359">
        <f>IF('US Open'!$G64="","","")</f>
        <v/>
      </c>
      <c r="M359">
        <f>IF('US Open'!$G64="","",'US Open'!$F64)</f>
        <v/>
      </c>
      <c r="N359">
        <f>IF('US Open'!$G64="","",'US Open'!$G64)</f>
        <v/>
      </c>
      <c r="O359">
        <f>IF('US Open'!$G64="","",'US Open'!$G64)</f>
        <v/>
      </c>
      <c r="P359">
        <f>IF('US Open'!$G64="","",'US Open'!$H64)</f>
        <v/>
      </c>
    </row>
    <row r="360">
      <c r="A360">
        <f>IF('US Open'!$G65="","","US Open")</f>
        <v/>
      </c>
      <c r="B360">
        <f>IF('US Open'!$G65="","","Major")</f>
        <v/>
      </c>
      <c r="C360" s="18">
        <f>IF('US Open'!$G65="","",'US Open'!$B$3)</f>
        <v/>
      </c>
      <c r="D360">
        <f>IF('US Open'!$G65="","",'US Open'!$D65&amp;"")</f>
        <v/>
      </c>
      <c r="F360">
        <f>IF('US Open'!$G65="","",'US Open'!$A65&amp;"")</f>
        <v/>
      </c>
      <c r="J360">
        <f>IF('US Open'!$G65="","",'US Open'!$E65)</f>
        <v/>
      </c>
      <c r="K360">
        <f>IF('US Open'!$G65="","",'US Open'!$J65)</f>
        <v/>
      </c>
      <c r="L360">
        <f>IF('US Open'!$G65="","","")</f>
        <v/>
      </c>
      <c r="M360">
        <f>IF('US Open'!$G65="","",'US Open'!$F65)</f>
        <v/>
      </c>
      <c r="N360">
        <f>IF('US Open'!$G65="","",'US Open'!$G65)</f>
        <v/>
      </c>
      <c r="O360">
        <f>IF('US Open'!$G65="","",'US Open'!$G65)</f>
        <v/>
      </c>
      <c r="P360">
        <f>IF('US Open'!$G65="","",'US Open'!$H65)</f>
        <v/>
      </c>
    </row>
    <row r="361">
      <c r="A361">
        <f>IF('US Open'!$G66="","","US Open")</f>
        <v/>
      </c>
      <c r="B361">
        <f>IF('US Open'!$G66="","","Major")</f>
        <v/>
      </c>
      <c r="C361" s="18">
        <f>IF('US Open'!$G66="","",'US Open'!$B$3)</f>
        <v/>
      </c>
      <c r="D361">
        <f>IF('US Open'!$G66="","",'US Open'!$D66&amp;"")</f>
        <v/>
      </c>
      <c r="F361">
        <f>IF('US Open'!$G66="","",'US Open'!$A66&amp;"")</f>
        <v/>
      </c>
      <c r="J361">
        <f>IF('US Open'!$G66="","",'US Open'!$E66)</f>
        <v/>
      </c>
      <c r="K361">
        <f>IF('US Open'!$G66="","",'US Open'!$J66)</f>
        <v/>
      </c>
      <c r="L361">
        <f>IF('US Open'!$G66="","","")</f>
        <v/>
      </c>
      <c r="M361">
        <f>IF('US Open'!$G66="","",'US Open'!$F66)</f>
        <v/>
      </c>
      <c r="N361">
        <f>IF('US Open'!$G66="","",'US Open'!$G66)</f>
        <v/>
      </c>
      <c r="O361">
        <f>IF('US Open'!$G66="","",'US Open'!$G66)</f>
        <v/>
      </c>
      <c r="P361">
        <f>IF('US Open'!$G66="","",'US Open'!$H66)</f>
        <v/>
      </c>
    </row>
    <row r="362">
      <c r="A362">
        <f>IF('US Open'!$G67="","","US Open")</f>
        <v/>
      </c>
      <c r="B362">
        <f>IF('US Open'!$G67="","","Major")</f>
        <v/>
      </c>
      <c r="C362" s="18">
        <f>IF('US Open'!$G67="","",'US Open'!$B$3)</f>
        <v/>
      </c>
      <c r="D362">
        <f>IF('US Open'!$G67="","",'US Open'!$D67&amp;"")</f>
        <v/>
      </c>
      <c r="F362">
        <f>IF('US Open'!$G67="","",'US Open'!$A67&amp;"")</f>
        <v/>
      </c>
      <c r="J362">
        <f>IF('US Open'!$G67="","",'US Open'!$E67)</f>
        <v/>
      </c>
      <c r="K362">
        <f>IF('US Open'!$G67="","",'US Open'!$J67)</f>
        <v/>
      </c>
      <c r="L362">
        <f>IF('US Open'!$G67="","","")</f>
        <v/>
      </c>
      <c r="M362">
        <f>IF('US Open'!$G67="","",'US Open'!$F67)</f>
        <v/>
      </c>
      <c r="N362">
        <f>IF('US Open'!$G67="","",'US Open'!$G67)</f>
        <v/>
      </c>
      <c r="O362">
        <f>IF('US Open'!$G67="","",'US Open'!$G67)</f>
        <v/>
      </c>
      <c r="P362">
        <f>IF('US Open'!$G67="","",'US Open'!$H67)</f>
        <v/>
      </c>
    </row>
    <row r="363">
      <c r="A363">
        <f>IF('US Open'!$G68="","","US Open")</f>
        <v/>
      </c>
      <c r="B363">
        <f>IF('US Open'!$G68="","","Major")</f>
        <v/>
      </c>
      <c r="C363" s="18">
        <f>IF('US Open'!$G68="","",'US Open'!$B$3)</f>
        <v/>
      </c>
      <c r="D363">
        <f>IF('US Open'!$G68="","",'US Open'!$D68&amp;"")</f>
        <v/>
      </c>
      <c r="F363">
        <f>IF('US Open'!$G68="","",'US Open'!$A68&amp;"")</f>
        <v/>
      </c>
      <c r="J363">
        <f>IF('US Open'!$G68="","",'US Open'!$E68)</f>
        <v/>
      </c>
      <c r="K363">
        <f>IF('US Open'!$G68="","",'US Open'!$J68)</f>
        <v/>
      </c>
      <c r="L363">
        <f>IF('US Open'!$G68="","","")</f>
        <v/>
      </c>
      <c r="M363">
        <f>IF('US Open'!$G68="","",'US Open'!$F68)</f>
        <v/>
      </c>
      <c r="N363">
        <f>IF('US Open'!$G68="","",'US Open'!$G68)</f>
        <v/>
      </c>
      <c r="O363">
        <f>IF('US Open'!$G68="","",'US Open'!$G68)</f>
        <v/>
      </c>
      <c r="P363">
        <f>IF('US Open'!$G68="","",'US Open'!$H68)</f>
        <v/>
      </c>
    </row>
    <row r="364">
      <c r="A364">
        <f>IF('US Open'!$G69="","","US Open")</f>
        <v/>
      </c>
      <c r="B364">
        <f>IF('US Open'!$G69="","","Major")</f>
        <v/>
      </c>
      <c r="C364" s="18">
        <f>IF('US Open'!$G69="","",'US Open'!$B$3)</f>
        <v/>
      </c>
      <c r="D364">
        <f>IF('US Open'!$G69="","",'US Open'!$D69&amp;"")</f>
        <v/>
      </c>
      <c r="F364">
        <f>IF('US Open'!$G69="","",'US Open'!$A69&amp;"")</f>
        <v/>
      </c>
      <c r="J364">
        <f>IF('US Open'!$G69="","",'US Open'!$E69)</f>
        <v/>
      </c>
      <c r="K364">
        <f>IF('US Open'!$G69="","",'US Open'!$J69)</f>
        <v/>
      </c>
      <c r="L364">
        <f>IF('US Open'!$G69="","","")</f>
        <v/>
      </c>
      <c r="M364">
        <f>IF('US Open'!$G69="","",'US Open'!$F69)</f>
        <v/>
      </c>
      <c r="N364">
        <f>IF('US Open'!$G69="","",'US Open'!$G69)</f>
        <v/>
      </c>
      <c r="O364">
        <f>IF('US Open'!$G69="","",'US Open'!$G69)</f>
        <v/>
      </c>
      <c r="P364">
        <f>IF('US Open'!$G69="","",'US Open'!$H69)</f>
        <v/>
      </c>
    </row>
    <row r="365">
      <c r="A365">
        <f>IF('US Open'!$G70="","","US Open")</f>
        <v/>
      </c>
      <c r="B365">
        <f>IF('US Open'!$G70="","","Major")</f>
        <v/>
      </c>
      <c r="C365" s="18">
        <f>IF('US Open'!$G70="","",'US Open'!$B$3)</f>
        <v/>
      </c>
      <c r="D365">
        <f>IF('US Open'!$G70="","",'US Open'!$D70&amp;"")</f>
        <v/>
      </c>
      <c r="F365">
        <f>IF('US Open'!$G70="","",'US Open'!$A70&amp;"")</f>
        <v/>
      </c>
      <c r="J365">
        <f>IF('US Open'!$G70="","",'US Open'!$E70)</f>
        <v/>
      </c>
      <c r="K365">
        <f>IF('US Open'!$G70="","",'US Open'!$J70)</f>
        <v/>
      </c>
      <c r="L365">
        <f>IF('US Open'!$G70="","","")</f>
        <v/>
      </c>
      <c r="M365">
        <f>IF('US Open'!$G70="","",'US Open'!$F70)</f>
        <v/>
      </c>
      <c r="N365">
        <f>IF('US Open'!$G70="","",'US Open'!$G70)</f>
        <v/>
      </c>
      <c r="O365">
        <f>IF('US Open'!$G70="","",'US Open'!$G70)</f>
        <v/>
      </c>
      <c r="P365">
        <f>IF('US Open'!$G70="","",'US Open'!$H70)</f>
        <v/>
      </c>
    </row>
    <row r="366">
      <c r="A366">
        <f>IF('US Open'!$G71="","","US Open")</f>
        <v/>
      </c>
      <c r="B366">
        <f>IF('US Open'!$G71="","","Major")</f>
        <v/>
      </c>
      <c r="C366" s="18">
        <f>IF('US Open'!$G71="","",'US Open'!$B$3)</f>
        <v/>
      </c>
      <c r="D366">
        <f>IF('US Open'!$G71="","",'US Open'!$D71&amp;"")</f>
        <v/>
      </c>
      <c r="F366">
        <f>IF('US Open'!$G71="","",'US Open'!$A71&amp;"")</f>
        <v/>
      </c>
      <c r="J366">
        <f>IF('US Open'!$G71="","",'US Open'!$E71)</f>
        <v/>
      </c>
      <c r="K366">
        <f>IF('US Open'!$G71="","",'US Open'!$J71)</f>
        <v/>
      </c>
      <c r="L366">
        <f>IF('US Open'!$G71="","","")</f>
        <v/>
      </c>
      <c r="M366">
        <f>IF('US Open'!$G71="","",'US Open'!$F71)</f>
        <v/>
      </c>
      <c r="N366">
        <f>IF('US Open'!$G71="","",'US Open'!$G71)</f>
        <v/>
      </c>
      <c r="O366">
        <f>IF('US Open'!$G71="","",'US Open'!$G71)</f>
        <v/>
      </c>
      <c r="P366">
        <f>IF('US Open'!$G71="","",'US Open'!$H71)</f>
        <v/>
      </c>
    </row>
    <row r="367">
      <c r="A367">
        <f>IF('US Open'!$G72="","","US Open")</f>
        <v/>
      </c>
      <c r="B367">
        <f>IF('US Open'!$G72="","","Major")</f>
        <v/>
      </c>
      <c r="C367" s="18">
        <f>IF('US Open'!$G72="","",'US Open'!$B$3)</f>
        <v/>
      </c>
      <c r="D367">
        <f>IF('US Open'!$G72="","",'US Open'!$D72&amp;"")</f>
        <v/>
      </c>
      <c r="F367">
        <f>IF('US Open'!$G72="","",'US Open'!$A72&amp;"")</f>
        <v/>
      </c>
      <c r="J367">
        <f>IF('US Open'!$G72="","",'US Open'!$E72)</f>
        <v/>
      </c>
      <c r="K367">
        <f>IF('US Open'!$G72="","",'US Open'!$J72)</f>
        <v/>
      </c>
      <c r="L367">
        <f>IF('US Open'!$G72="","","")</f>
        <v/>
      </c>
      <c r="M367">
        <f>IF('US Open'!$G72="","",'US Open'!$F72)</f>
        <v/>
      </c>
      <c r="N367">
        <f>IF('US Open'!$G72="","",'US Open'!$G72)</f>
        <v/>
      </c>
      <c r="O367">
        <f>IF('US Open'!$G72="","",'US Open'!$G72)</f>
        <v/>
      </c>
      <c r="P367">
        <f>IF('US Open'!$G72="","",'US Open'!$H72)</f>
        <v/>
      </c>
    </row>
    <row r="368">
      <c r="A368">
        <f>IF('US Open'!$G73="","","US Open")</f>
        <v/>
      </c>
      <c r="B368">
        <f>IF('US Open'!$G73="","","Major")</f>
        <v/>
      </c>
      <c r="C368" s="18">
        <f>IF('US Open'!$G73="","",'US Open'!$B$3)</f>
        <v/>
      </c>
      <c r="D368">
        <f>IF('US Open'!$G73="","",'US Open'!$D73&amp;"")</f>
        <v/>
      </c>
      <c r="F368">
        <f>IF('US Open'!$G73="","",'US Open'!$A73&amp;"")</f>
        <v/>
      </c>
      <c r="J368">
        <f>IF('US Open'!$G73="","",'US Open'!$E73)</f>
        <v/>
      </c>
      <c r="K368">
        <f>IF('US Open'!$G73="","",'US Open'!$J73)</f>
        <v/>
      </c>
      <c r="L368">
        <f>IF('US Open'!$G73="","","")</f>
        <v/>
      </c>
      <c r="M368">
        <f>IF('US Open'!$G73="","",'US Open'!$F73)</f>
        <v/>
      </c>
      <c r="N368">
        <f>IF('US Open'!$G73="","",'US Open'!$G73)</f>
        <v/>
      </c>
      <c r="O368">
        <f>IF('US Open'!$G73="","",'US Open'!$G73)</f>
        <v/>
      </c>
      <c r="P368">
        <f>IF('US Open'!$G73="","",'US Open'!$H73)</f>
        <v/>
      </c>
    </row>
    <row r="369">
      <c r="A369">
        <f>IF('US Open'!$G74="","","US Open")</f>
        <v/>
      </c>
      <c r="B369">
        <f>IF('US Open'!$G74="","","Major")</f>
        <v/>
      </c>
      <c r="C369" s="18">
        <f>IF('US Open'!$G74="","",'US Open'!$B$3)</f>
        <v/>
      </c>
      <c r="D369">
        <f>IF('US Open'!$G74="","",'US Open'!$D74&amp;"")</f>
        <v/>
      </c>
      <c r="F369">
        <f>IF('US Open'!$G74="","",'US Open'!$A74&amp;"")</f>
        <v/>
      </c>
      <c r="J369">
        <f>IF('US Open'!$G74="","",'US Open'!$E74)</f>
        <v/>
      </c>
      <c r="K369">
        <f>IF('US Open'!$G74="","",'US Open'!$J74)</f>
        <v/>
      </c>
      <c r="L369">
        <f>IF('US Open'!$G74="","","")</f>
        <v/>
      </c>
      <c r="M369">
        <f>IF('US Open'!$G74="","",'US Open'!$F74)</f>
        <v/>
      </c>
      <c r="N369">
        <f>IF('US Open'!$G74="","",'US Open'!$G74)</f>
        <v/>
      </c>
      <c r="O369">
        <f>IF('US Open'!$G74="","",'US Open'!$G74)</f>
        <v/>
      </c>
      <c r="P369">
        <f>IF('US Open'!$G74="","",'US Open'!$H74)</f>
        <v/>
      </c>
    </row>
    <row r="370">
      <c r="A370">
        <f>IF('US Open'!$G75="","","US Open")</f>
        <v/>
      </c>
      <c r="B370">
        <f>IF('US Open'!$G75="","","Major")</f>
        <v/>
      </c>
      <c r="C370" s="18">
        <f>IF('US Open'!$G75="","",'US Open'!$B$3)</f>
        <v/>
      </c>
      <c r="D370">
        <f>IF('US Open'!$G75="","",'US Open'!$D75&amp;"")</f>
        <v/>
      </c>
      <c r="F370">
        <f>IF('US Open'!$G75="","",'US Open'!$A75&amp;"")</f>
        <v/>
      </c>
      <c r="J370">
        <f>IF('US Open'!$G75="","",'US Open'!$E75)</f>
        <v/>
      </c>
      <c r="K370">
        <f>IF('US Open'!$G75="","",'US Open'!$J75)</f>
        <v/>
      </c>
      <c r="L370">
        <f>IF('US Open'!$G75="","","")</f>
        <v/>
      </c>
      <c r="M370">
        <f>IF('US Open'!$G75="","",'US Open'!$F75)</f>
        <v/>
      </c>
      <c r="N370">
        <f>IF('US Open'!$G75="","",'US Open'!$G75)</f>
        <v/>
      </c>
      <c r="O370">
        <f>IF('US Open'!$G75="","",'US Open'!$G75)</f>
        <v/>
      </c>
      <c r="P370">
        <f>IF('US Open'!$G75="","",'US Open'!$H75)</f>
        <v/>
      </c>
    </row>
    <row r="371">
      <c r="A371">
        <f>IF('US Open'!$G76="","","US Open")</f>
        <v/>
      </c>
      <c r="B371">
        <f>IF('US Open'!$G76="","","Major")</f>
        <v/>
      </c>
      <c r="C371" s="18">
        <f>IF('US Open'!$G76="","",'US Open'!$B$3)</f>
        <v/>
      </c>
      <c r="D371">
        <f>IF('US Open'!$G76="","",'US Open'!$D76&amp;"")</f>
        <v/>
      </c>
      <c r="F371">
        <f>IF('US Open'!$G76="","",'US Open'!$A76&amp;"")</f>
        <v/>
      </c>
      <c r="J371">
        <f>IF('US Open'!$G76="","",'US Open'!$E76)</f>
        <v/>
      </c>
      <c r="K371">
        <f>IF('US Open'!$G76="","",'US Open'!$J76)</f>
        <v/>
      </c>
      <c r="L371">
        <f>IF('US Open'!$G76="","","")</f>
        <v/>
      </c>
      <c r="M371">
        <f>IF('US Open'!$G76="","",'US Open'!$F76)</f>
        <v/>
      </c>
      <c r="N371">
        <f>IF('US Open'!$G76="","",'US Open'!$G76)</f>
        <v/>
      </c>
      <c r="O371">
        <f>IF('US Open'!$G76="","",'US Open'!$G76)</f>
        <v/>
      </c>
      <c r="P371">
        <f>IF('US Open'!$G76="","",'US Open'!$H76)</f>
        <v/>
      </c>
    </row>
    <row r="372">
      <c r="A372">
        <f>IF('US Open'!$G77="","","US Open")</f>
        <v/>
      </c>
      <c r="B372">
        <f>IF('US Open'!$G77="","","Major")</f>
        <v/>
      </c>
      <c r="C372" s="18">
        <f>IF('US Open'!$G77="","",'US Open'!$B$3)</f>
        <v/>
      </c>
      <c r="D372">
        <f>IF('US Open'!$G77="","",'US Open'!$D77&amp;"")</f>
        <v/>
      </c>
      <c r="F372">
        <f>IF('US Open'!$G77="","",'US Open'!$A77&amp;"")</f>
        <v/>
      </c>
      <c r="J372">
        <f>IF('US Open'!$G77="","",'US Open'!$E77)</f>
        <v/>
      </c>
      <c r="K372">
        <f>IF('US Open'!$G77="","",'US Open'!$J77)</f>
        <v/>
      </c>
      <c r="L372">
        <f>IF('US Open'!$G77="","","")</f>
        <v/>
      </c>
      <c r="M372">
        <f>IF('US Open'!$G77="","",'US Open'!$F77)</f>
        <v/>
      </c>
      <c r="N372">
        <f>IF('US Open'!$G77="","",'US Open'!$G77)</f>
        <v/>
      </c>
      <c r="O372">
        <f>IF('US Open'!$G77="","",'US Open'!$G77)</f>
        <v/>
      </c>
      <c r="P372">
        <f>IF('US Open'!$G77="","",'US Open'!$H77)</f>
        <v/>
      </c>
    </row>
    <row r="373">
      <c r="A373">
        <f>IF('US Open'!$G78="","","US Open")</f>
        <v/>
      </c>
      <c r="B373">
        <f>IF('US Open'!$G78="","","Major")</f>
        <v/>
      </c>
      <c r="C373" s="18">
        <f>IF('US Open'!$G78="","",'US Open'!$B$3)</f>
        <v/>
      </c>
      <c r="D373">
        <f>IF('US Open'!$G78="","",'US Open'!$D78&amp;"")</f>
        <v/>
      </c>
      <c r="F373">
        <f>IF('US Open'!$G78="","",'US Open'!$A78&amp;"")</f>
        <v/>
      </c>
      <c r="J373">
        <f>IF('US Open'!$G78="","",'US Open'!$E78)</f>
        <v/>
      </c>
      <c r="K373">
        <f>IF('US Open'!$G78="","",'US Open'!$J78)</f>
        <v/>
      </c>
      <c r="L373">
        <f>IF('US Open'!$G78="","","")</f>
        <v/>
      </c>
      <c r="M373">
        <f>IF('US Open'!$G78="","",'US Open'!$F78)</f>
        <v/>
      </c>
      <c r="N373">
        <f>IF('US Open'!$G78="","",'US Open'!$G78)</f>
        <v/>
      </c>
      <c r="O373">
        <f>IF('US Open'!$G78="","",'US Open'!$G78)</f>
        <v/>
      </c>
      <c r="P373">
        <f>IF('US Open'!$G78="","",'US Open'!$H78)</f>
        <v/>
      </c>
    </row>
    <row r="374">
      <c r="A374">
        <f>IF('US Open'!$G79="","","US Open")</f>
        <v/>
      </c>
      <c r="B374">
        <f>IF('US Open'!$G79="","","Major")</f>
        <v/>
      </c>
      <c r="C374" s="18">
        <f>IF('US Open'!$G79="","",'US Open'!$B$3)</f>
        <v/>
      </c>
      <c r="D374">
        <f>IF('US Open'!$G79="","",'US Open'!$D79&amp;"")</f>
        <v/>
      </c>
      <c r="F374">
        <f>IF('US Open'!$G79="","",'US Open'!$A79&amp;"")</f>
        <v/>
      </c>
      <c r="J374">
        <f>IF('US Open'!$G79="","",'US Open'!$E79)</f>
        <v/>
      </c>
      <c r="K374">
        <f>IF('US Open'!$G79="","",'US Open'!$J79)</f>
        <v/>
      </c>
      <c r="L374">
        <f>IF('US Open'!$G79="","","")</f>
        <v/>
      </c>
      <c r="M374">
        <f>IF('US Open'!$G79="","",'US Open'!$F79)</f>
        <v/>
      </c>
      <c r="N374">
        <f>IF('US Open'!$G79="","",'US Open'!$G79)</f>
        <v/>
      </c>
      <c r="O374">
        <f>IF('US Open'!$G79="","",'US Open'!$G79)</f>
        <v/>
      </c>
      <c r="P374">
        <f>IF('US Open'!$G79="","",'US Open'!$H79)</f>
        <v/>
      </c>
    </row>
    <row r="375">
      <c r="A375">
        <f>IF('US Open'!$G80="","","US Open")</f>
        <v/>
      </c>
      <c r="B375">
        <f>IF('US Open'!$G80="","","Major")</f>
        <v/>
      </c>
      <c r="C375" s="18">
        <f>IF('US Open'!$G80="","",'US Open'!$B$3)</f>
        <v/>
      </c>
      <c r="D375">
        <f>IF('US Open'!$G80="","",'US Open'!$D80&amp;"")</f>
        <v/>
      </c>
      <c r="F375">
        <f>IF('US Open'!$G80="","",'US Open'!$A80&amp;"")</f>
        <v/>
      </c>
      <c r="J375">
        <f>IF('US Open'!$G80="","",'US Open'!$E80)</f>
        <v/>
      </c>
      <c r="K375">
        <f>IF('US Open'!$G80="","",'US Open'!$J80)</f>
        <v/>
      </c>
      <c r="L375">
        <f>IF('US Open'!$G80="","","")</f>
        <v/>
      </c>
      <c r="M375">
        <f>IF('US Open'!$G80="","",'US Open'!$F80)</f>
        <v/>
      </c>
      <c r="N375">
        <f>IF('US Open'!$G80="","",'US Open'!$G80)</f>
        <v/>
      </c>
      <c r="O375">
        <f>IF('US Open'!$G80="","",'US Open'!$G80)</f>
        <v/>
      </c>
      <c r="P375">
        <f>IF('US Open'!$G80="","",'US Open'!$H80)</f>
        <v/>
      </c>
    </row>
    <row r="376">
      <c r="A376">
        <f>IF('US Open'!$G81="","","US Open")</f>
        <v/>
      </c>
      <c r="B376">
        <f>IF('US Open'!$G81="","","Major")</f>
        <v/>
      </c>
      <c r="C376" s="18">
        <f>IF('US Open'!$G81="","",'US Open'!$B$3)</f>
        <v/>
      </c>
      <c r="D376">
        <f>IF('US Open'!$G81="","",'US Open'!$D81&amp;"")</f>
        <v/>
      </c>
      <c r="F376">
        <f>IF('US Open'!$G81="","",'US Open'!$A81&amp;"")</f>
        <v/>
      </c>
      <c r="J376">
        <f>IF('US Open'!$G81="","",'US Open'!$E81)</f>
        <v/>
      </c>
      <c r="K376">
        <f>IF('US Open'!$G81="","",'US Open'!$J81)</f>
        <v/>
      </c>
      <c r="L376">
        <f>IF('US Open'!$G81="","","")</f>
        <v/>
      </c>
      <c r="M376">
        <f>IF('US Open'!$G81="","",'US Open'!$F81)</f>
        <v/>
      </c>
      <c r="N376">
        <f>IF('US Open'!$G81="","",'US Open'!$G81)</f>
        <v/>
      </c>
      <c r="O376">
        <f>IF('US Open'!$G81="","",'US Open'!$G81)</f>
        <v/>
      </c>
      <c r="P376">
        <f>IF('US Open'!$G81="","",'US Open'!$H81)</f>
        <v/>
      </c>
    </row>
    <row r="377">
      <c r="A377">
        <f>IF('US Open'!$G82="","","US Open")</f>
        <v/>
      </c>
      <c r="B377">
        <f>IF('US Open'!$G82="","","Major")</f>
        <v/>
      </c>
      <c r="C377" s="18">
        <f>IF('US Open'!$G82="","",'US Open'!$B$3)</f>
        <v/>
      </c>
      <c r="D377">
        <f>IF('US Open'!$G82="","",'US Open'!$D82&amp;"")</f>
        <v/>
      </c>
      <c r="F377">
        <f>IF('US Open'!$G82="","",'US Open'!$A82&amp;"")</f>
        <v/>
      </c>
      <c r="J377">
        <f>IF('US Open'!$G82="","",'US Open'!$E82)</f>
        <v/>
      </c>
      <c r="K377">
        <f>IF('US Open'!$G82="","",'US Open'!$J82)</f>
        <v/>
      </c>
      <c r="L377">
        <f>IF('US Open'!$G82="","","")</f>
        <v/>
      </c>
      <c r="M377">
        <f>IF('US Open'!$G82="","",'US Open'!$F82)</f>
        <v/>
      </c>
      <c r="N377">
        <f>IF('US Open'!$G82="","",'US Open'!$G82)</f>
        <v/>
      </c>
      <c r="O377">
        <f>IF('US Open'!$G82="","",'US Open'!$G82)</f>
        <v/>
      </c>
      <c r="P377">
        <f>IF('US Open'!$G82="","",'US Open'!$H82)</f>
        <v/>
      </c>
    </row>
    <row r="378">
      <c r="A378">
        <f>IF('US Open'!$G83="","","US Open")</f>
        <v/>
      </c>
      <c r="B378">
        <f>IF('US Open'!$G83="","","Major")</f>
        <v/>
      </c>
      <c r="C378" s="18">
        <f>IF('US Open'!$G83="","",'US Open'!$B$3)</f>
        <v/>
      </c>
      <c r="D378">
        <f>IF('US Open'!$G83="","",'US Open'!$D83&amp;"")</f>
        <v/>
      </c>
      <c r="F378">
        <f>IF('US Open'!$G83="","",'US Open'!$A83&amp;"")</f>
        <v/>
      </c>
      <c r="J378">
        <f>IF('US Open'!$G83="","",'US Open'!$E83)</f>
        <v/>
      </c>
      <c r="K378">
        <f>IF('US Open'!$G83="","",'US Open'!$J83)</f>
        <v/>
      </c>
      <c r="L378">
        <f>IF('US Open'!$G83="","","")</f>
        <v/>
      </c>
      <c r="M378">
        <f>IF('US Open'!$G83="","",'US Open'!$F83)</f>
        <v/>
      </c>
      <c r="N378">
        <f>IF('US Open'!$G83="","",'US Open'!$G83)</f>
        <v/>
      </c>
      <c r="O378">
        <f>IF('US Open'!$G83="","",'US Open'!$G83)</f>
        <v/>
      </c>
      <c r="P378">
        <f>IF('US Open'!$G83="","",'US Open'!$H83)</f>
        <v/>
      </c>
    </row>
    <row r="379">
      <c r="A379">
        <f>IF('US Open'!$G84="","","US Open")</f>
        <v/>
      </c>
      <c r="B379">
        <f>IF('US Open'!$G84="","","Major")</f>
        <v/>
      </c>
      <c r="C379" s="18">
        <f>IF('US Open'!$G84="","",'US Open'!$B$3)</f>
        <v/>
      </c>
      <c r="D379">
        <f>IF('US Open'!$G84="","",'US Open'!$D84&amp;"")</f>
        <v/>
      </c>
      <c r="F379">
        <f>IF('US Open'!$G84="","",'US Open'!$A84&amp;"")</f>
        <v/>
      </c>
      <c r="J379">
        <f>IF('US Open'!$G84="","",'US Open'!$E84)</f>
        <v/>
      </c>
      <c r="K379">
        <f>IF('US Open'!$G84="","",'US Open'!$J84)</f>
        <v/>
      </c>
      <c r="L379">
        <f>IF('US Open'!$G84="","","")</f>
        <v/>
      </c>
      <c r="M379">
        <f>IF('US Open'!$G84="","",'US Open'!$F84)</f>
        <v/>
      </c>
      <c r="N379">
        <f>IF('US Open'!$G84="","",'US Open'!$G84)</f>
        <v/>
      </c>
      <c r="O379">
        <f>IF('US Open'!$G84="","",'US Open'!$G84)</f>
        <v/>
      </c>
      <c r="P379">
        <f>IF('US Open'!$G84="","",'US Open'!$H84)</f>
        <v/>
      </c>
    </row>
    <row r="380">
      <c r="A380">
        <f>IF('US Open'!$G85="","","US Open")</f>
        <v/>
      </c>
      <c r="B380">
        <f>IF('US Open'!$G85="","","Major")</f>
        <v/>
      </c>
      <c r="C380" s="18">
        <f>IF('US Open'!$G85="","",'US Open'!$B$3)</f>
        <v/>
      </c>
      <c r="D380">
        <f>IF('US Open'!$G85="","",'US Open'!$D85&amp;"")</f>
        <v/>
      </c>
      <c r="F380">
        <f>IF('US Open'!$G85="","",'US Open'!$A85&amp;"")</f>
        <v/>
      </c>
      <c r="J380">
        <f>IF('US Open'!$G85="","",'US Open'!$E85)</f>
        <v/>
      </c>
      <c r="K380">
        <f>IF('US Open'!$G85="","",'US Open'!$J85)</f>
        <v/>
      </c>
      <c r="L380">
        <f>IF('US Open'!$G85="","","")</f>
        <v/>
      </c>
      <c r="M380">
        <f>IF('US Open'!$G85="","",'US Open'!$F85)</f>
        <v/>
      </c>
      <c r="N380">
        <f>IF('US Open'!$G85="","",'US Open'!$G85)</f>
        <v/>
      </c>
      <c r="O380">
        <f>IF('US Open'!$G85="","",'US Open'!$G85)</f>
        <v/>
      </c>
      <c r="P380">
        <f>IF('US Open'!$G85="","",'US Open'!$H85)</f>
        <v/>
      </c>
    </row>
    <row r="381">
      <c r="A381">
        <f>IF('US Open'!$G86="","","US Open")</f>
        <v/>
      </c>
      <c r="B381">
        <f>IF('US Open'!$G86="","","Major")</f>
        <v/>
      </c>
      <c r="C381" s="18">
        <f>IF('US Open'!$G86="","",'US Open'!$B$3)</f>
        <v/>
      </c>
      <c r="D381">
        <f>IF('US Open'!$G86="","",'US Open'!$D86&amp;"")</f>
        <v/>
      </c>
      <c r="F381">
        <f>IF('US Open'!$G86="","",'US Open'!$A86&amp;"")</f>
        <v/>
      </c>
      <c r="J381">
        <f>IF('US Open'!$G86="","",'US Open'!$E86)</f>
        <v/>
      </c>
      <c r="K381">
        <f>IF('US Open'!$G86="","",'US Open'!$J86)</f>
        <v/>
      </c>
      <c r="L381">
        <f>IF('US Open'!$G86="","","")</f>
        <v/>
      </c>
      <c r="M381">
        <f>IF('US Open'!$G86="","",'US Open'!$F86)</f>
        <v/>
      </c>
      <c r="N381">
        <f>IF('US Open'!$G86="","",'US Open'!$G86)</f>
        <v/>
      </c>
      <c r="O381">
        <f>IF('US Open'!$G86="","",'US Open'!$G86)</f>
        <v/>
      </c>
      <c r="P381">
        <f>IF('US Open'!$G86="","",'US Open'!$H86)</f>
        <v/>
      </c>
    </row>
    <row r="382">
      <c r="A382">
        <f>IF('US Open'!$G87="","","US Open")</f>
        <v/>
      </c>
      <c r="B382">
        <f>IF('US Open'!$G87="","","Major")</f>
        <v/>
      </c>
      <c r="C382" s="18">
        <f>IF('US Open'!$G87="","",'US Open'!$B$3)</f>
        <v/>
      </c>
      <c r="D382">
        <f>IF('US Open'!$G87="","",'US Open'!$D87&amp;"")</f>
        <v/>
      </c>
      <c r="F382">
        <f>IF('US Open'!$G87="","",'US Open'!$A87&amp;"")</f>
        <v/>
      </c>
      <c r="J382">
        <f>IF('US Open'!$G87="","",'US Open'!$E87)</f>
        <v/>
      </c>
      <c r="K382">
        <f>IF('US Open'!$G87="","",'US Open'!$J87)</f>
        <v/>
      </c>
      <c r="L382">
        <f>IF('US Open'!$G87="","","")</f>
        <v/>
      </c>
      <c r="M382">
        <f>IF('US Open'!$G87="","",'US Open'!$F87)</f>
        <v/>
      </c>
      <c r="N382">
        <f>IF('US Open'!$G87="","",'US Open'!$G87)</f>
        <v/>
      </c>
      <c r="O382">
        <f>IF('US Open'!$G87="","",'US Open'!$G87)</f>
        <v/>
      </c>
      <c r="P382">
        <f>IF('US Open'!$G87="","",'US Open'!$H87)</f>
        <v/>
      </c>
    </row>
    <row r="383">
      <c r="A383">
        <f>IF('US Open'!$G88="","","US Open")</f>
        <v/>
      </c>
      <c r="B383">
        <f>IF('US Open'!$G88="","","Major")</f>
        <v/>
      </c>
      <c r="C383" s="18">
        <f>IF('US Open'!$G88="","",'US Open'!$B$3)</f>
        <v/>
      </c>
      <c r="D383">
        <f>IF('US Open'!$G88="","",'US Open'!$D88&amp;"")</f>
        <v/>
      </c>
      <c r="F383">
        <f>IF('US Open'!$G88="","",'US Open'!$A88&amp;"")</f>
        <v/>
      </c>
      <c r="J383">
        <f>IF('US Open'!$G88="","",'US Open'!$E88)</f>
        <v/>
      </c>
      <c r="K383">
        <f>IF('US Open'!$G88="","",'US Open'!$J88)</f>
        <v/>
      </c>
      <c r="L383">
        <f>IF('US Open'!$G88="","","")</f>
        <v/>
      </c>
      <c r="M383">
        <f>IF('US Open'!$G88="","",'US Open'!$F88)</f>
        <v/>
      </c>
      <c r="N383">
        <f>IF('US Open'!$G88="","",'US Open'!$G88)</f>
        <v/>
      </c>
      <c r="O383">
        <f>IF('US Open'!$G88="","",'US Open'!$G88)</f>
        <v/>
      </c>
      <c r="P383">
        <f>IF('US Open'!$G88="","",'US Open'!$H88)</f>
        <v/>
      </c>
    </row>
    <row r="384">
      <c r="A384">
        <f>IF('US Open'!$G89="","","US Open")</f>
        <v/>
      </c>
      <c r="B384">
        <f>IF('US Open'!$G89="","","Major")</f>
        <v/>
      </c>
      <c r="C384" s="18">
        <f>IF('US Open'!$G89="","",'US Open'!$B$3)</f>
        <v/>
      </c>
      <c r="D384">
        <f>IF('US Open'!$G89="","",'US Open'!$D89&amp;"")</f>
        <v/>
      </c>
      <c r="F384">
        <f>IF('US Open'!$G89="","",'US Open'!$A89&amp;"")</f>
        <v/>
      </c>
      <c r="J384">
        <f>IF('US Open'!$G89="","",'US Open'!$E89)</f>
        <v/>
      </c>
      <c r="K384">
        <f>IF('US Open'!$G89="","",'US Open'!$J89)</f>
        <v/>
      </c>
      <c r="L384">
        <f>IF('US Open'!$G89="","","")</f>
        <v/>
      </c>
      <c r="M384">
        <f>IF('US Open'!$G89="","",'US Open'!$F89)</f>
        <v/>
      </c>
      <c r="N384">
        <f>IF('US Open'!$G89="","",'US Open'!$G89)</f>
        <v/>
      </c>
      <c r="O384">
        <f>IF('US Open'!$G89="","",'US Open'!$G89)</f>
        <v/>
      </c>
      <c r="P384">
        <f>IF('US Open'!$G89="","",'US Open'!$H89)</f>
        <v/>
      </c>
    </row>
    <row r="385">
      <c r="A385">
        <f>IF('US Open'!$G90="","","US Open")</f>
        <v/>
      </c>
      <c r="B385">
        <f>IF('US Open'!$G90="","","Major")</f>
        <v/>
      </c>
      <c r="C385" s="18">
        <f>IF('US Open'!$G90="","",'US Open'!$B$3)</f>
        <v/>
      </c>
      <c r="D385">
        <f>IF('US Open'!$G90="","",'US Open'!$D90&amp;"")</f>
        <v/>
      </c>
      <c r="F385">
        <f>IF('US Open'!$G90="","",'US Open'!$A90&amp;"")</f>
        <v/>
      </c>
      <c r="J385">
        <f>IF('US Open'!$G90="","",'US Open'!$E90)</f>
        <v/>
      </c>
      <c r="K385">
        <f>IF('US Open'!$G90="","",'US Open'!$J90)</f>
        <v/>
      </c>
      <c r="L385">
        <f>IF('US Open'!$G90="","","")</f>
        <v/>
      </c>
      <c r="M385">
        <f>IF('US Open'!$G90="","",'US Open'!$F90)</f>
        <v/>
      </c>
      <c r="N385">
        <f>IF('US Open'!$G90="","",'US Open'!$G90)</f>
        <v/>
      </c>
      <c r="O385">
        <f>IF('US Open'!$G90="","",'US Open'!$G90)</f>
        <v/>
      </c>
      <c r="P385">
        <f>IF('US Open'!$G90="","",'US Open'!$H90)</f>
        <v/>
      </c>
    </row>
    <row r="386">
      <c r="A386">
        <f>IF('US Open'!$G91="","","US Open")</f>
        <v/>
      </c>
      <c r="B386">
        <f>IF('US Open'!$G91="","","Major")</f>
        <v/>
      </c>
      <c r="C386" s="18">
        <f>IF('US Open'!$G91="","",'US Open'!$B$3)</f>
        <v/>
      </c>
      <c r="D386">
        <f>IF('US Open'!$G91="","",'US Open'!$D91&amp;"")</f>
        <v/>
      </c>
      <c r="F386">
        <f>IF('US Open'!$G91="","",'US Open'!$A91&amp;"")</f>
        <v/>
      </c>
      <c r="J386">
        <f>IF('US Open'!$G91="","",'US Open'!$E91)</f>
        <v/>
      </c>
      <c r="K386">
        <f>IF('US Open'!$G91="","",'US Open'!$J91)</f>
        <v/>
      </c>
      <c r="L386">
        <f>IF('US Open'!$G91="","","")</f>
        <v/>
      </c>
      <c r="M386">
        <f>IF('US Open'!$G91="","",'US Open'!$F91)</f>
        <v/>
      </c>
      <c r="N386">
        <f>IF('US Open'!$G91="","",'US Open'!$G91)</f>
        <v/>
      </c>
      <c r="O386">
        <f>IF('US Open'!$G91="","",'US Open'!$G91)</f>
        <v/>
      </c>
      <c r="P386">
        <f>IF('US Open'!$G91="","",'US Open'!$H91)</f>
        <v/>
      </c>
    </row>
    <row r="387">
      <c r="A387">
        <f>IF('US Open'!$G92="","","US Open")</f>
        <v/>
      </c>
      <c r="B387">
        <f>IF('US Open'!$G92="","","Major")</f>
        <v/>
      </c>
      <c r="C387" s="18">
        <f>IF('US Open'!$G92="","",'US Open'!$B$3)</f>
        <v/>
      </c>
      <c r="D387">
        <f>IF('US Open'!$G92="","",'US Open'!$D92&amp;"")</f>
        <v/>
      </c>
      <c r="F387">
        <f>IF('US Open'!$G92="","",'US Open'!$A92&amp;"")</f>
        <v/>
      </c>
      <c r="J387">
        <f>IF('US Open'!$G92="","",'US Open'!$E92)</f>
        <v/>
      </c>
      <c r="K387">
        <f>IF('US Open'!$G92="","",'US Open'!$J92)</f>
        <v/>
      </c>
      <c r="L387">
        <f>IF('US Open'!$G92="","","")</f>
        <v/>
      </c>
      <c r="M387">
        <f>IF('US Open'!$G92="","",'US Open'!$F92)</f>
        <v/>
      </c>
      <c r="N387">
        <f>IF('US Open'!$G92="","",'US Open'!$G92)</f>
        <v/>
      </c>
      <c r="O387">
        <f>IF('US Open'!$G92="","",'US Open'!$G92)</f>
        <v/>
      </c>
      <c r="P387">
        <f>IF('US Open'!$G92="","",'US Open'!$H92)</f>
        <v/>
      </c>
    </row>
    <row r="388">
      <c r="A388">
        <f>IF('US Open'!$G93="","","US Open")</f>
        <v/>
      </c>
      <c r="B388">
        <f>IF('US Open'!$G93="","","Major")</f>
        <v/>
      </c>
      <c r="C388" s="18">
        <f>IF('US Open'!$G93="","",'US Open'!$B$3)</f>
        <v/>
      </c>
      <c r="D388">
        <f>IF('US Open'!$G93="","",'US Open'!$D93&amp;"")</f>
        <v/>
      </c>
      <c r="F388">
        <f>IF('US Open'!$G93="","",'US Open'!$A93&amp;"")</f>
        <v/>
      </c>
      <c r="J388">
        <f>IF('US Open'!$G93="","",'US Open'!$E93)</f>
        <v/>
      </c>
      <c r="K388">
        <f>IF('US Open'!$G93="","",'US Open'!$J93)</f>
        <v/>
      </c>
      <c r="L388">
        <f>IF('US Open'!$G93="","","")</f>
        <v/>
      </c>
      <c r="M388">
        <f>IF('US Open'!$G93="","",'US Open'!$F93)</f>
        <v/>
      </c>
      <c r="N388">
        <f>IF('US Open'!$G93="","",'US Open'!$G93)</f>
        <v/>
      </c>
      <c r="O388">
        <f>IF('US Open'!$G93="","",'US Open'!$G93)</f>
        <v/>
      </c>
      <c r="P388">
        <f>IF('US Open'!$G93="","",'US Open'!$H93)</f>
        <v/>
      </c>
    </row>
    <row r="389">
      <c r="A389">
        <f>IF('US Open'!$G94="","","US Open")</f>
        <v/>
      </c>
      <c r="B389">
        <f>IF('US Open'!$G94="","","Major")</f>
        <v/>
      </c>
      <c r="C389" s="18">
        <f>IF('US Open'!$G94="","",'US Open'!$B$3)</f>
        <v/>
      </c>
      <c r="D389">
        <f>IF('US Open'!$G94="","",'US Open'!$D94&amp;"")</f>
        <v/>
      </c>
      <c r="F389">
        <f>IF('US Open'!$G94="","",'US Open'!$A94&amp;"")</f>
        <v/>
      </c>
      <c r="J389">
        <f>IF('US Open'!$G94="","",'US Open'!$E94)</f>
        <v/>
      </c>
      <c r="K389">
        <f>IF('US Open'!$G94="","",'US Open'!$J94)</f>
        <v/>
      </c>
      <c r="L389">
        <f>IF('US Open'!$G94="","","")</f>
        <v/>
      </c>
      <c r="M389">
        <f>IF('US Open'!$G94="","",'US Open'!$F94)</f>
        <v/>
      </c>
      <c r="N389">
        <f>IF('US Open'!$G94="","",'US Open'!$G94)</f>
        <v/>
      </c>
      <c r="O389">
        <f>IF('US Open'!$G94="","",'US Open'!$G94)</f>
        <v/>
      </c>
      <c r="P389">
        <f>IF('US Open'!$G94="","",'US Open'!$H94)</f>
        <v/>
      </c>
    </row>
    <row r="390">
      <c r="A390">
        <f>IF('US Open'!$G95="","","US Open")</f>
        <v/>
      </c>
      <c r="B390">
        <f>IF('US Open'!$G95="","","Major")</f>
        <v/>
      </c>
      <c r="C390" s="18">
        <f>IF('US Open'!$G95="","",'US Open'!$B$3)</f>
        <v/>
      </c>
      <c r="D390">
        <f>IF('US Open'!$G95="","",'US Open'!$D95&amp;"")</f>
        <v/>
      </c>
      <c r="F390">
        <f>IF('US Open'!$G95="","",'US Open'!$A95&amp;"")</f>
        <v/>
      </c>
      <c r="J390">
        <f>IF('US Open'!$G95="","",'US Open'!$E95)</f>
        <v/>
      </c>
      <c r="K390">
        <f>IF('US Open'!$G95="","",'US Open'!$J95)</f>
        <v/>
      </c>
      <c r="L390">
        <f>IF('US Open'!$G95="","","")</f>
        <v/>
      </c>
      <c r="M390">
        <f>IF('US Open'!$G95="","",'US Open'!$F95)</f>
        <v/>
      </c>
      <c r="N390">
        <f>IF('US Open'!$G95="","",'US Open'!$G95)</f>
        <v/>
      </c>
      <c r="O390">
        <f>IF('US Open'!$G95="","",'US Open'!$G95)</f>
        <v/>
      </c>
      <c r="P390">
        <f>IF('US Open'!$G95="","",'US Open'!$H95)</f>
        <v/>
      </c>
    </row>
    <row r="391">
      <c r="A391">
        <f>IF('US Open'!$G96="","","US Open")</f>
        <v/>
      </c>
      <c r="B391">
        <f>IF('US Open'!$G96="","","Major")</f>
        <v/>
      </c>
      <c r="C391" s="18">
        <f>IF('US Open'!$G96="","",'US Open'!$B$3)</f>
        <v/>
      </c>
      <c r="D391">
        <f>IF('US Open'!$G96="","",'US Open'!$D96&amp;"")</f>
        <v/>
      </c>
      <c r="F391">
        <f>IF('US Open'!$G96="","",'US Open'!$A96&amp;"")</f>
        <v/>
      </c>
      <c r="J391">
        <f>IF('US Open'!$G96="","",'US Open'!$E96)</f>
        <v/>
      </c>
      <c r="K391">
        <f>IF('US Open'!$G96="","",'US Open'!$J96)</f>
        <v/>
      </c>
      <c r="L391">
        <f>IF('US Open'!$G96="","","")</f>
        <v/>
      </c>
      <c r="M391">
        <f>IF('US Open'!$G96="","",'US Open'!$F96)</f>
        <v/>
      </c>
      <c r="N391">
        <f>IF('US Open'!$G96="","",'US Open'!$G96)</f>
        <v/>
      </c>
      <c r="O391">
        <f>IF('US Open'!$G96="","",'US Open'!$G96)</f>
        <v/>
      </c>
      <c r="P391">
        <f>IF('US Open'!$G96="","",'US Open'!$H96)</f>
        <v/>
      </c>
    </row>
    <row r="392">
      <c r="A392">
        <f>IF('US Open'!$G97="","","US Open")</f>
        <v/>
      </c>
      <c r="B392">
        <f>IF('US Open'!$G97="","","Major")</f>
        <v/>
      </c>
      <c r="C392" s="18">
        <f>IF('US Open'!$G97="","",'US Open'!$B$3)</f>
        <v/>
      </c>
      <c r="D392">
        <f>IF('US Open'!$G97="","",'US Open'!$D97&amp;"")</f>
        <v/>
      </c>
      <c r="F392">
        <f>IF('US Open'!$G97="","",'US Open'!$A97&amp;"")</f>
        <v/>
      </c>
      <c r="J392">
        <f>IF('US Open'!$G97="","",'US Open'!$E97)</f>
        <v/>
      </c>
      <c r="K392">
        <f>IF('US Open'!$G97="","",'US Open'!$J97)</f>
        <v/>
      </c>
      <c r="L392">
        <f>IF('US Open'!$G97="","","")</f>
        <v/>
      </c>
      <c r="M392">
        <f>IF('US Open'!$G97="","",'US Open'!$F97)</f>
        <v/>
      </c>
      <c r="N392">
        <f>IF('US Open'!$G97="","",'US Open'!$G97)</f>
        <v/>
      </c>
      <c r="O392">
        <f>IF('US Open'!$G97="","",'US Open'!$G97)</f>
        <v/>
      </c>
      <c r="P392">
        <f>IF('US Open'!$G97="","",'US Open'!$H97)</f>
        <v/>
      </c>
    </row>
    <row r="393">
      <c r="A393">
        <f>IF('US Open'!$G98="","","US Open")</f>
        <v/>
      </c>
      <c r="B393">
        <f>IF('US Open'!$G98="","","Major")</f>
        <v/>
      </c>
      <c r="C393" s="18">
        <f>IF('US Open'!$G98="","",'US Open'!$B$3)</f>
        <v/>
      </c>
      <c r="D393">
        <f>IF('US Open'!$G98="","",'US Open'!$D98&amp;"")</f>
        <v/>
      </c>
      <c r="F393">
        <f>IF('US Open'!$G98="","",'US Open'!$A98&amp;"")</f>
        <v/>
      </c>
      <c r="J393">
        <f>IF('US Open'!$G98="","",'US Open'!$E98)</f>
        <v/>
      </c>
      <c r="K393">
        <f>IF('US Open'!$G98="","",'US Open'!$J98)</f>
        <v/>
      </c>
      <c r="L393">
        <f>IF('US Open'!$G98="","","")</f>
        <v/>
      </c>
      <c r="M393">
        <f>IF('US Open'!$G98="","",'US Open'!$F98)</f>
        <v/>
      </c>
      <c r="N393">
        <f>IF('US Open'!$G98="","",'US Open'!$G98)</f>
        <v/>
      </c>
      <c r="O393">
        <f>IF('US Open'!$G98="","",'US Open'!$G98)</f>
        <v/>
      </c>
      <c r="P393">
        <f>IF('US Open'!$G98="","",'US Open'!$H98)</f>
        <v/>
      </c>
    </row>
    <row r="394">
      <c r="A394">
        <f>IF('US Open'!$G99="","","US Open")</f>
        <v/>
      </c>
      <c r="B394">
        <f>IF('US Open'!$G99="","","Major")</f>
        <v/>
      </c>
      <c r="C394" s="18">
        <f>IF('US Open'!$G99="","",'US Open'!$B$3)</f>
        <v/>
      </c>
      <c r="D394">
        <f>IF('US Open'!$G99="","",'US Open'!$D99&amp;"")</f>
        <v/>
      </c>
      <c r="F394">
        <f>IF('US Open'!$G99="","",'US Open'!$A99&amp;"")</f>
        <v/>
      </c>
      <c r="J394">
        <f>IF('US Open'!$G99="","",'US Open'!$E99)</f>
        <v/>
      </c>
      <c r="K394">
        <f>IF('US Open'!$G99="","",'US Open'!$J99)</f>
        <v/>
      </c>
      <c r="L394">
        <f>IF('US Open'!$G99="","","")</f>
        <v/>
      </c>
      <c r="M394">
        <f>IF('US Open'!$G99="","",'US Open'!$F99)</f>
        <v/>
      </c>
      <c r="N394">
        <f>IF('US Open'!$G99="","",'US Open'!$G99)</f>
        <v/>
      </c>
      <c r="O394">
        <f>IF('US Open'!$G99="","",'US Open'!$G99)</f>
        <v/>
      </c>
      <c r="P394">
        <f>IF('US Open'!$G99="","",'US Open'!$H99)</f>
        <v/>
      </c>
    </row>
    <row r="395">
      <c r="A395">
        <f>IF('US Open'!$G100="","","US Open")</f>
        <v/>
      </c>
      <c r="B395">
        <f>IF('US Open'!$G100="","","Major")</f>
        <v/>
      </c>
      <c r="C395" s="18">
        <f>IF('US Open'!$G100="","",'US Open'!$B$3)</f>
        <v/>
      </c>
      <c r="D395">
        <f>IF('US Open'!$G100="","",'US Open'!$D100&amp;"")</f>
        <v/>
      </c>
      <c r="F395">
        <f>IF('US Open'!$G100="","",'US Open'!$A100&amp;"")</f>
        <v/>
      </c>
      <c r="J395">
        <f>IF('US Open'!$G100="","",'US Open'!$E100)</f>
        <v/>
      </c>
      <c r="K395">
        <f>IF('US Open'!$G100="","",'US Open'!$J100)</f>
        <v/>
      </c>
      <c r="L395">
        <f>IF('US Open'!$G100="","","")</f>
        <v/>
      </c>
      <c r="M395">
        <f>IF('US Open'!$G100="","",'US Open'!$F100)</f>
        <v/>
      </c>
      <c r="N395">
        <f>IF('US Open'!$G100="","",'US Open'!$G100)</f>
        <v/>
      </c>
      <c r="O395">
        <f>IF('US Open'!$G100="","",'US Open'!$G100)</f>
        <v/>
      </c>
      <c r="P395">
        <f>IF('US Open'!$G100="","",'US Open'!$H100)</f>
        <v/>
      </c>
    </row>
    <row r="396">
      <c r="A396">
        <f>IF('US Open'!$G101="","","US Open")</f>
        <v/>
      </c>
      <c r="B396">
        <f>IF('US Open'!$G101="","","Major")</f>
        <v/>
      </c>
      <c r="C396" s="18">
        <f>IF('US Open'!$G101="","",'US Open'!$B$3)</f>
        <v/>
      </c>
      <c r="D396">
        <f>IF('US Open'!$G101="","",'US Open'!$D101&amp;"")</f>
        <v/>
      </c>
      <c r="F396">
        <f>IF('US Open'!$G101="","",'US Open'!$A101&amp;"")</f>
        <v/>
      </c>
      <c r="J396">
        <f>IF('US Open'!$G101="","",'US Open'!$E101)</f>
        <v/>
      </c>
      <c r="K396">
        <f>IF('US Open'!$G101="","",'US Open'!$J101)</f>
        <v/>
      </c>
      <c r="L396">
        <f>IF('US Open'!$G101="","","")</f>
        <v/>
      </c>
      <c r="M396">
        <f>IF('US Open'!$G101="","",'US Open'!$F101)</f>
        <v/>
      </c>
      <c r="N396">
        <f>IF('US Open'!$G101="","",'US Open'!$G101)</f>
        <v/>
      </c>
      <c r="O396">
        <f>IF('US Open'!$G101="","",'US Open'!$G101)</f>
        <v/>
      </c>
      <c r="P396">
        <f>IF('US Open'!$G101="","",'US Open'!$H101)</f>
        <v/>
      </c>
    </row>
    <row r="397">
      <c r="A397">
        <f>IF('US Open'!$G102="","","US Open")</f>
        <v/>
      </c>
      <c r="B397">
        <f>IF('US Open'!$G102="","","Major")</f>
        <v/>
      </c>
      <c r="C397" s="18">
        <f>IF('US Open'!$G102="","",'US Open'!$B$3)</f>
        <v/>
      </c>
      <c r="D397">
        <f>IF('US Open'!$G102="","",'US Open'!$D102&amp;"")</f>
        <v/>
      </c>
      <c r="F397">
        <f>IF('US Open'!$G102="","",'US Open'!$A102&amp;"")</f>
        <v/>
      </c>
      <c r="J397">
        <f>IF('US Open'!$G102="","",'US Open'!$E102)</f>
        <v/>
      </c>
      <c r="K397">
        <f>IF('US Open'!$G102="","",'US Open'!$J102)</f>
        <v/>
      </c>
      <c r="L397">
        <f>IF('US Open'!$G102="","","")</f>
        <v/>
      </c>
      <c r="M397">
        <f>IF('US Open'!$G102="","",'US Open'!$F102)</f>
        <v/>
      </c>
      <c r="N397">
        <f>IF('US Open'!$G102="","",'US Open'!$G102)</f>
        <v/>
      </c>
      <c r="O397">
        <f>IF('US Open'!$G102="","",'US Open'!$G102)</f>
        <v/>
      </c>
      <c r="P397">
        <f>IF('US Open'!$G102="","",'US Open'!$H102)</f>
        <v/>
      </c>
    </row>
    <row r="398">
      <c r="A398">
        <f>IF('US Open'!$G103="","","US Open")</f>
        <v/>
      </c>
      <c r="B398">
        <f>IF('US Open'!$G103="","","Major")</f>
        <v/>
      </c>
      <c r="C398" s="18">
        <f>IF('US Open'!$G103="","",'US Open'!$B$3)</f>
        <v/>
      </c>
      <c r="D398">
        <f>IF('US Open'!$G103="","",'US Open'!$D103&amp;"")</f>
        <v/>
      </c>
      <c r="F398">
        <f>IF('US Open'!$G103="","",'US Open'!$A103&amp;"")</f>
        <v/>
      </c>
      <c r="J398">
        <f>IF('US Open'!$G103="","",'US Open'!$E103)</f>
        <v/>
      </c>
      <c r="K398">
        <f>IF('US Open'!$G103="","",'US Open'!$J103)</f>
        <v/>
      </c>
      <c r="L398">
        <f>IF('US Open'!$G103="","","")</f>
        <v/>
      </c>
      <c r="M398">
        <f>IF('US Open'!$G103="","",'US Open'!$F103)</f>
        <v/>
      </c>
      <c r="N398">
        <f>IF('US Open'!$G103="","",'US Open'!$G103)</f>
        <v/>
      </c>
      <c r="O398">
        <f>IF('US Open'!$G103="","",'US Open'!$G103)</f>
        <v/>
      </c>
      <c r="P398">
        <f>IF('US Open'!$G103="","",'US Open'!$H103)</f>
        <v/>
      </c>
    </row>
    <row r="399">
      <c r="A399">
        <f>IF('US Open'!$G104="","","US Open")</f>
        <v/>
      </c>
      <c r="B399">
        <f>IF('US Open'!$G104="","","Major")</f>
        <v/>
      </c>
      <c r="C399" s="18">
        <f>IF('US Open'!$G104="","",'US Open'!$B$3)</f>
        <v/>
      </c>
      <c r="D399">
        <f>IF('US Open'!$G104="","",'US Open'!$D104&amp;"")</f>
        <v/>
      </c>
      <c r="F399">
        <f>IF('US Open'!$G104="","",'US Open'!$A104&amp;"")</f>
        <v/>
      </c>
      <c r="J399">
        <f>IF('US Open'!$G104="","",'US Open'!$E104)</f>
        <v/>
      </c>
      <c r="K399">
        <f>IF('US Open'!$G104="","",'US Open'!$J104)</f>
        <v/>
      </c>
      <c r="L399">
        <f>IF('US Open'!$G104="","","")</f>
        <v/>
      </c>
      <c r="M399">
        <f>IF('US Open'!$G104="","",'US Open'!$F104)</f>
        <v/>
      </c>
      <c r="N399">
        <f>IF('US Open'!$G104="","",'US Open'!$G104)</f>
        <v/>
      </c>
      <c r="O399">
        <f>IF('US Open'!$G104="","",'US Open'!$G104)</f>
        <v/>
      </c>
      <c r="P399">
        <f>IF('US Open'!$G104="","",'US Open'!$H104)</f>
        <v/>
      </c>
    </row>
    <row r="400">
      <c r="A400">
        <f>IF('US Open'!$G105="","","US Open")</f>
        <v/>
      </c>
      <c r="B400">
        <f>IF('US Open'!$G105="","","Major")</f>
        <v/>
      </c>
      <c r="C400" s="18">
        <f>IF('US Open'!$G105="","",'US Open'!$B$3)</f>
        <v/>
      </c>
      <c r="D400">
        <f>IF('US Open'!$G105="","",'US Open'!$D105&amp;"")</f>
        <v/>
      </c>
      <c r="F400">
        <f>IF('US Open'!$G105="","",'US Open'!$A105&amp;"")</f>
        <v/>
      </c>
      <c r="J400">
        <f>IF('US Open'!$G105="","",'US Open'!$E105)</f>
        <v/>
      </c>
      <c r="K400">
        <f>IF('US Open'!$G105="","",'US Open'!$J105)</f>
        <v/>
      </c>
      <c r="L400">
        <f>IF('US Open'!$G105="","","")</f>
        <v/>
      </c>
      <c r="M400">
        <f>IF('US Open'!$G105="","",'US Open'!$F105)</f>
        <v/>
      </c>
      <c r="N400">
        <f>IF('US Open'!$G105="","",'US Open'!$G105)</f>
        <v/>
      </c>
      <c r="O400">
        <f>IF('US Open'!$G105="","",'US Open'!$G105)</f>
        <v/>
      </c>
      <c r="P400">
        <f>IF('US Open'!$G105="","",'US Open'!$H105)</f>
        <v/>
      </c>
    </row>
    <row r="401">
      <c r="A401">
        <f>IF('US Open'!$G106="","","US Open")</f>
        <v/>
      </c>
      <c r="B401">
        <f>IF('US Open'!$G106="","","Major")</f>
        <v/>
      </c>
      <c r="C401" s="18">
        <f>IF('US Open'!$G106="","",'US Open'!$B$3)</f>
        <v/>
      </c>
      <c r="D401">
        <f>IF('US Open'!$G106="","",'US Open'!$D106&amp;"")</f>
        <v/>
      </c>
      <c r="F401">
        <f>IF('US Open'!$G106="","",'US Open'!$A106&amp;"")</f>
        <v/>
      </c>
      <c r="J401">
        <f>IF('US Open'!$G106="","",'US Open'!$E106)</f>
        <v/>
      </c>
      <c r="K401">
        <f>IF('US Open'!$G106="","",'US Open'!$J106)</f>
        <v/>
      </c>
      <c r="L401">
        <f>IF('US Open'!$G106="","","")</f>
        <v/>
      </c>
      <c r="M401">
        <f>IF('US Open'!$G106="","",'US Open'!$F106)</f>
        <v/>
      </c>
      <c r="N401">
        <f>IF('US Open'!$G106="","",'US Open'!$G106)</f>
        <v/>
      </c>
      <c r="O401">
        <f>IF('US Open'!$G106="","",'US Open'!$G106)</f>
        <v/>
      </c>
      <c r="P401">
        <f>IF('US Open'!$G106="","",'US Open'!$H106)</f>
        <v/>
      </c>
    </row>
    <row r="402">
      <c r="A402">
        <f>IF('US Open'!$G107="","","US Open")</f>
        <v/>
      </c>
      <c r="B402">
        <f>IF('US Open'!$G107="","","Major")</f>
        <v/>
      </c>
      <c r="C402" s="18">
        <f>IF('US Open'!$G107="","",'US Open'!$B$3)</f>
        <v/>
      </c>
      <c r="D402">
        <f>IF('US Open'!$G107="","",'US Open'!$D107&amp;"")</f>
        <v/>
      </c>
      <c r="F402">
        <f>IF('US Open'!$G107="","",'US Open'!$A107&amp;"")</f>
        <v/>
      </c>
      <c r="J402">
        <f>IF('US Open'!$G107="","",'US Open'!$E107)</f>
        <v/>
      </c>
      <c r="K402">
        <f>IF('US Open'!$G107="","",'US Open'!$J107)</f>
        <v/>
      </c>
      <c r="L402">
        <f>IF('US Open'!$G107="","","")</f>
        <v/>
      </c>
      <c r="M402">
        <f>IF('US Open'!$G107="","",'US Open'!$F107)</f>
        <v/>
      </c>
      <c r="N402">
        <f>IF('US Open'!$G107="","",'US Open'!$G107)</f>
        <v/>
      </c>
      <c r="O402">
        <f>IF('US Open'!$G107="","",'US Open'!$G107)</f>
        <v/>
      </c>
      <c r="P402">
        <f>IF('US Open'!$G107="","",'US Open'!$H107)</f>
        <v/>
      </c>
    </row>
    <row r="403">
      <c r="A403">
        <f>IF('US Open'!$G108="","","US Open")</f>
        <v/>
      </c>
      <c r="B403">
        <f>IF('US Open'!$G108="","","Major")</f>
        <v/>
      </c>
      <c r="C403" s="18">
        <f>IF('US Open'!$G108="","",'US Open'!$B$3)</f>
        <v/>
      </c>
      <c r="D403">
        <f>IF('US Open'!$G108="","",'US Open'!$D108&amp;"")</f>
        <v/>
      </c>
      <c r="F403">
        <f>IF('US Open'!$G108="","",'US Open'!$A108&amp;"")</f>
        <v/>
      </c>
      <c r="J403">
        <f>IF('US Open'!$G108="","",'US Open'!$E108)</f>
        <v/>
      </c>
      <c r="K403">
        <f>IF('US Open'!$G108="","",'US Open'!$J108)</f>
        <v/>
      </c>
      <c r="L403">
        <f>IF('US Open'!$G108="","","")</f>
        <v/>
      </c>
      <c r="M403">
        <f>IF('US Open'!$G108="","",'US Open'!$F108)</f>
        <v/>
      </c>
      <c r="N403">
        <f>IF('US Open'!$G108="","",'US Open'!$G108)</f>
        <v/>
      </c>
      <c r="O403">
        <f>IF('US Open'!$G108="","",'US Open'!$G108)</f>
        <v/>
      </c>
      <c r="P403">
        <f>IF('US Open'!$G108="","",'US Open'!$H108)</f>
        <v/>
      </c>
    </row>
    <row r="404">
      <c r="A404">
        <f>IF('US Open'!$G109="","","US Open")</f>
        <v/>
      </c>
      <c r="B404">
        <f>IF('US Open'!$G109="","","Major")</f>
        <v/>
      </c>
      <c r="C404" s="18">
        <f>IF('US Open'!$G109="","",'US Open'!$B$3)</f>
        <v/>
      </c>
      <c r="D404">
        <f>IF('US Open'!$G109="","",'US Open'!$D109&amp;"")</f>
        <v/>
      </c>
      <c r="F404">
        <f>IF('US Open'!$G109="","",'US Open'!$A109&amp;"")</f>
        <v/>
      </c>
      <c r="J404">
        <f>IF('US Open'!$G109="","",'US Open'!$E109)</f>
        <v/>
      </c>
      <c r="K404">
        <f>IF('US Open'!$G109="","",'US Open'!$J109)</f>
        <v/>
      </c>
      <c r="L404">
        <f>IF('US Open'!$G109="","","")</f>
        <v/>
      </c>
      <c r="M404">
        <f>IF('US Open'!$G109="","",'US Open'!$F109)</f>
        <v/>
      </c>
      <c r="N404">
        <f>IF('US Open'!$G109="","",'US Open'!$G109)</f>
        <v/>
      </c>
      <c r="O404">
        <f>IF('US Open'!$G109="","",'US Open'!$G109)</f>
        <v/>
      </c>
      <c r="P404">
        <f>IF('US Open'!$G109="","",'US Open'!$H109)</f>
        <v/>
      </c>
    </row>
    <row r="405">
      <c r="A405">
        <f>IF('US Open'!$G110="","","US Open")</f>
        <v/>
      </c>
      <c r="B405">
        <f>IF('US Open'!$G110="","","Major")</f>
        <v/>
      </c>
      <c r="C405" s="18">
        <f>IF('US Open'!$G110="","",'US Open'!$B$3)</f>
        <v/>
      </c>
      <c r="D405">
        <f>IF('US Open'!$G110="","",'US Open'!$D110&amp;"")</f>
        <v/>
      </c>
      <c r="F405">
        <f>IF('US Open'!$G110="","",'US Open'!$A110&amp;"")</f>
        <v/>
      </c>
      <c r="J405">
        <f>IF('US Open'!$G110="","",'US Open'!$E110)</f>
        <v/>
      </c>
      <c r="K405">
        <f>IF('US Open'!$G110="","",'US Open'!$J110)</f>
        <v/>
      </c>
      <c r="L405">
        <f>IF('US Open'!$G110="","","")</f>
        <v/>
      </c>
      <c r="M405">
        <f>IF('US Open'!$G110="","",'US Open'!$F110)</f>
        <v/>
      </c>
      <c r="N405">
        <f>IF('US Open'!$G110="","",'US Open'!$G110)</f>
        <v/>
      </c>
      <c r="O405">
        <f>IF('US Open'!$G110="","",'US Open'!$G110)</f>
        <v/>
      </c>
      <c r="P405">
        <f>IF('US Open'!$G110="","",'US Open'!$H110)</f>
        <v/>
      </c>
    </row>
    <row r="406">
      <c r="A406">
        <f>IF('US Open'!$G111="","","US Open")</f>
        <v/>
      </c>
      <c r="B406">
        <f>IF('US Open'!$G111="","","Major")</f>
        <v/>
      </c>
      <c r="C406" s="18">
        <f>IF('US Open'!$G111="","",'US Open'!$B$3)</f>
        <v/>
      </c>
      <c r="D406">
        <f>IF('US Open'!$G111="","",'US Open'!$D111&amp;"")</f>
        <v/>
      </c>
      <c r="F406">
        <f>IF('US Open'!$G111="","",'US Open'!$A111&amp;"")</f>
        <v/>
      </c>
      <c r="J406">
        <f>IF('US Open'!$G111="","",'US Open'!$E111)</f>
        <v/>
      </c>
      <c r="K406">
        <f>IF('US Open'!$G111="","",'US Open'!$J111)</f>
        <v/>
      </c>
      <c r="L406">
        <f>IF('US Open'!$G111="","","")</f>
        <v/>
      </c>
      <c r="M406">
        <f>IF('US Open'!$G111="","",'US Open'!$F111)</f>
        <v/>
      </c>
      <c r="N406">
        <f>IF('US Open'!$G111="","",'US Open'!$G111)</f>
        <v/>
      </c>
      <c r="O406">
        <f>IF('US Open'!$G111="","",'US Open'!$G111)</f>
        <v/>
      </c>
      <c r="P406">
        <f>IF('US Open'!$G111="","",'US Open'!$H111)</f>
        <v/>
      </c>
    </row>
    <row r="407">
      <c r="A407">
        <f>IF('US Open'!$G112="","","US Open")</f>
        <v/>
      </c>
      <c r="B407">
        <f>IF('US Open'!$G112="","","Major")</f>
        <v/>
      </c>
      <c r="C407" s="18">
        <f>IF('US Open'!$G112="","",'US Open'!$B$3)</f>
        <v/>
      </c>
      <c r="D407">
        <f>IF('US Open'!$G112="","",'US Open'!$D112&amp;"")</f>
        <v/>
      </c>
      <c r="F407">
        <f>IF('US Open'!$G112="","",'US Open'!$A112&amp;"")</f>
        <v/>
      </c>
      <c r="J407">
        <f>IF('US Open'!$G112="","",'US Open'!$E112)</f>
        <v/>
      </c>
      <c r="K407">
        <f>IF('US Open'!$G112="","",'US Open'!$J112)</f>
        <v/>
      </c>
      <c r="L407">
        <f>IF('US Open'!$G112="","","")</f>
        <v/>
      </c>
      <c r="M407">
        <f>IF('US Open'!$G112="","",'US Open'!$F112)</f>
        <v/>
      </c>
      <c r="N407">
        <f>IF('US Open'!$G112="","",'US Open'!$G112)</f>
        <v/>
      </c>
      <c r="O407">
        <f>IF('US Open'!$G112="","",'US Open'!$G112)</f>
        <v/>
      </c>
      <c r="P407">
        <f>IF('US Open'!$G112="","",'US Open'!$H112)</f>
        <v/>
      </c>
    </row>
    <row r="408">
      <c r="A408">
        <f>IF('US Open'!$G113="","","US Open")</f>
        <v/>
      </c>
      <c r="B408">
        <f>IF('US Open'!$G113="","","Major")</f>
        <v/>
      </c>
      <c r="C408" s="18">
        <f>IF('US Open'!$G113="","",'US Open'!$B$3)</f>
        <v/>
      </c>
      <c r="D408">
        <f>IF('US Open'!$G113="","",'US Open'!$D113&amp;"")</f>
        <v/>
      </c>
      <c r="F408">
        <f>IF('US Open'!$G113="","",'US Open'!$A113&amp;"")</f>
        <v/>
      </c>
      <c r="J408">
        <f>IF('US Open'!$G113="","",'US Open'!$E113)</f>
        <v/>
      </c>
      <c r="K408">
        <f>IF('US Open'!$G113="","",'US Open'!$J113)</f>
        <v/>
      </c>
      <c r="L408">
        <f>IF('US Open'!$G113="","","")</f>
        <v/>
      </c>
      <c r="M408">
        <f>IF('US Open'!$G113="","",'US Open'!$F113)</f>
        <v/>
      </c>
      <c r="N408">
        <f>IF('US Open'!$G113="","",'US Open'!$G113)</f>
        <v/>
      </c>
      <c r="O408">
        <f>IF('US Open'!$G113="","",'US Open'!$G113)</f>
        <v/>
      </c>
      <c r="P408">
        <f>IF('US Open'!$G113="","",'US Open'!$H113)</f>
        <v/>
      </c>
    </row>
    <row r="409">
      <c r="A409">
        <f>IF('US Open'!$G114="","","US Open")</f>
        <v/>
      </c>
      <c r="B409">
        <f>IF('US Open'!$G114="","","Major")</f>
        <v/>
      </c>
      <c r="C409" s="18">
        <f>IF('US Open'!$G114="","",'US Open'!$B$3)</f>
        <v/>
      </c>
      <c r="D409">
        <f>IF('US Open'!$G114="","",'US Open'!$D114&amp;"")</f>
        <v/>
      </c>
      <c r="F409">
        <f>IF('US Open'!$G114="","",'US Open'!$A114&amp;"")</f>
        <v/>
      </c>
      <c r="J409">
        <f>IF('US Open'!$G114="","",'US Open'!$E114)</f>
        <v/>
      </c>
      <c r="K409">
        <f>IF('US Open'!$G114="","",'US Open'!$J114)</f>
        <v/>
      </c>
      <c r="L409">
        <f>IF('US Open'!$G114="","","")</f>
        <v/>
      </c>
      <c r="M409">
        <f>IF('US Open'!$G114="","",'US Open'!$F114)</f>
        <v/>
      </c>
      <c r="N409">
        <f>IF('US Open'!$G114="","",'US Open'!$G114)</f>
        <v/>
      </c>
      <c r="O409">
        <f>IF('US Open'!$G114="","",'US Open'!$G114)</f>
        <v/>
      </c>
      <c r="P409">
        <f>IF('US Open'!$G114="","",'US Open'!$H114)</f>
        <v/>
      </c>
    </row>
    <row r="410">
      <c r="A410">
        <f>IF('US Open'!$G115="","","US Open")</f>
        <v/>
      </c>
      <c r="B410">
        <f>IF('US Open'!$G115="","","Major")</f>
        <v/>
      </c>
      <c r="C410" s="18">
        <f>IF('US Open'!$G115="","",'US Open'!$B$3)</f>
        <v/>
      </c>
      <c r="D410">
        <f>IF('US Open'!$G115="","",'US Open'!$D115&amp;"")</f>
        <v/>
      </c>
      <c r="F410">
        <f>IF('US Open'!$G115="","",'US Open'!$A115&amp;"")</f>
        <v/>
      </c>
      <c r="J410">
        <f>IF('US Open'!$G115="","",'US Open'!$E115)</f>
        <v/>
      </c>
      <c r="K410">
        <f>IF('US Open'!$G115="","",'US Open'!$J115)</f>
        <v/>
      </c>
      <c r="L410">
        <f>IF('US Open'!$G115="","","")</f>
        <v/>
      </c>
      <c r="M410">
        <f>IF('US Open'!$G115="","",'US Open'!$F115)</f>
        <v/>
      </c>
      <c r="N410">
        <f>IF('US Open'!$G115="","",'US Open'!$G115)</f>
        <v/>
      </c>
      <c r="O410">
        <f>IF('US Open'!$G115="","",'US Open'!$G115)</f>
        <v/>
      </c>
      <c r="P410">
        <f>IF('US Open'!$G115="","",'US Open'!$H115)</f>
        <v/>
      </c>
    </row>
    <row r="411">
      <c r="A411">
        <f>IF('US Open'!$G116="","","US Open")</f>
        <v/>
      </c>
      <c r="B411">
        <f>IF('US Open'!$G116="","","Major")</f>
        <v/>
      </c>
      <c r="C411" s="18">
        <f>IF('US Open'!$G116="","",'US Open'!$B$3)</f>
        <v/>
      </c>
      <c r="D411">
        <f>IF('US Open'!$G116="","",'US Open'!$D116&amp;"")</f>
        <v/>
      </c>
      <c r="F411">
        <f>IF('US Open'!$G116="","",'US Open'!$A116&amp;"")</f>
        <v/>
      </c>
      <c r="J411">
        <f>IF('US Open'!$G116="","",'US Open'!$E116)</f>
        <v/>
      </c>
      <c r="K411">
        <f>IF('US Open'!$G116="","",'US Open'!$J116)</f>
        <v/>
      </c>
      <c r="L411">
        <f>IF('US Open'!$G116="","","")</f>
        <v/>
      </c>
      <c r="M411">
        <f>IF('US Open'!$G116="","",'US Open'!$F116)</f>
        <v/>
      </c>
      <c r="N411">
        <f>IF('US Open'!$G116="","",'US Open'!$G116)</f>
        <v/>
      </c>
      <c r="O411">
        <f>IF('US Open'!$G116="","",'US Open'!$G116)</f>
        <v/>
      </c>
      <c r="P411">
        <f>IF('US Open'!$G116="","",'US Open'!$H116)</f>
        <v/>
      </c>
    </row>
    <row r="412">
      <c r="A412">
        <f>IF('US Open'!$G117="","","US Open")</f>
        <v/>
      </c>
      <c r="B412">
        <f>IF('US Open'!$G117="","","Major")</f>
        <v/>
      </c>
      <c r="C412" s="18">
        <f>IF('US Open'!$G117="","",'US Open'!$B$3)</f>
        <v/>
      </c>
      <c r="D412">
        <f>IF('US Open'!$G117="","",'US Open'!$D117&amp;"")</f>
        <v/>
      </c>
      <c r="F412">
        <f>IF('US Open'!$G117="","",'US Open'!$A117&amp;"")</f>
        <v/>
      </c>
      <c r="J412">
        <f>IF('US Open'!$G117="","",'US Open'!$E117)</f>
        <v/>
      </c>
      <c r="K412">
        <f>IF('US Open'!$G117="","",'US Open'!$J117)</f>
        <v/>
      </c>
      <c r="L412">
        <f>IF('US Open'!$G117="","","")</f>
        <v/>
      </c>
      <c r="M412">
        <f>IF('US Open'!$G117="","",'US Open'!$F117)</f>
        <v/>
      </c>
      <c r="N412">
        <f>IF('US Open'!$G117="","",'US Open'!$G117)</f>
        <v/>
      </c>
      <c r="O412">
        <f>IF('US Open'!$G117="","",'US Open'!$G117)</f>
        <v/>
      </c>
      <c r="P412">
        <f>IF('US Open'!$G117="","",'US Open'!$H117)</f>
        <v/>
      </c>
    </row>
    <row r="413">
      <c r="A413">
        <f>IF('US Open'!$G118="","","US Open")</f>
        <v/>
      </c>
      <c r="B413">
        <f>IF('US Open'!$G118="","","Major")</f>
        <v/>
      </c>
      <c r="C413" s="18">
        <f>IF('US Open'!$G118="","",'US Open'!$B$3)</f>
        <v/>
      </c>
      <c r="D413">
        <f>IF('US Open'!$G118="","",'US Open'!$D118&amp;"")</f>
        <v/>
      </c>
      <c r="F413">
        <f>IF('US Open'!$G118="","",'US Open'!$A118&amp;"")</f>
        <v/>
      </c>
      <c r="J413">
        <f>IF('US Open'!$G118="","",'US Open'!$E118)</f>
        <v/>
      </c>
      <c r="K413">
        <f>IF('US Open'!$G118="","",'US Open'!$J118)</f>
        <v/>
      </c>
      <c r="L413">
        <f>IF('US Open'!$G118="","","")</f>
        <v/>
      </c>
      <c r="M413">
        <f>IF('US Open'!$G118="","",'US Open'!$F118)</f>
        <v/>
      </c>
      <c r="N413">
        <f>IF('US Open'!$G118="","",'US Open'!$G118)</f>
        <v/>
      </c>
      <c r="O413">
        <f>IF('US Open'!$G118="","",'US Open'!$G118)</f>
        <v/>
      </c>
      <c r="P413">
        <f>IF('US Open'!$G118="","",'US Open'!$H118)</f>
        <v/>
      </c>
    </row>
    <row r="414">
      <c r="A414">
        <f>IF('US Open'!$G119="","","US Open")</f>
        <v/>
      </c>
      <c r="B414">
        <f>IF('US Open'!$G119="","","Major")</f>
        <v/>
      </c>
      <c r="C414" s="18">
        <f>IF('US Open'!$G119="","",'US Open'!$B$3)</f>
        <v/>
      </c>
      <c r="D414">
        <f>IF('US Open'!$G119="","",'US Open'!$D119&amp;"")</f>
        <v/>
      </c>
      <c r="F414">
        <f>IF('US Open'!$G119="","",'US Open'!$A119&amp;"")</f>
        <v/>
      </c>
      <c r="J414">
        <f>IF('US Open'!$G119="","",'US Open'!$E119)</f>
        <v/>
      </c>
      <c r="K414">
        <f>IF('US Open'!$G119="","",'US Open'!$J119)</f>
        <v/>
      </c>
      <c r="L414">
        <f>IF('US Open'!$G119="","","")</f>
        <v/>
      </c>
      <c r="M414">
        <f>IF('US Open'!$G119="","",'US Open'!$F119)</f>
        <v/>
      </c>
      <c r="N414">
        <f>IF('US Open'!$G119="","",'US Open'!$G119)</f>
        <v/>
      </c>
      <c r="O414">
        <f>IF('US Open'!$G119="","",'US Open'!$G119)</f>
        <v/>
      </c>
      <c r="P414">
        <f>IF('US Open'!$G119="","",'US Open'!$H119)</f>
        <v/>
      </c>
    </row>
    <row r="415">
      <c r="A415">
        <f>IF('US Open'!$G120="","","US Open")</f>
        <v/>
      </c>
      <c r="B415">
        <f>IF('US Open'!$G120="","","Major")</f>
        <v/>
      </c>
      <c r="C415" s="18">
        <f>IF('US Open'!$G120="","",'US Open'!$B$3)</f>
        <v/>
      </c>
      <c r="D415">
        <f>IF('US Open'!$G120="","",'US Open'!$D120&amp;"")</f>
        <v/>
      </c>
      <c r="F415">
        <f>IF('US Open'!$G120="","",'US Open'!$A120&amp;"")</f>
        <v/>
      </c>
      <c r="J415">
        <f>IF('US Open'!$G120="","",'US Open'!$E120)</f>
        <v/>
      </c>
      <c r="K415">
        <f>IF('US Open'!$G120="","",'US Open'!$J120)</f>
        <v/>
      </c>
      <c r="L415">
        <f>IF('US Open'!$G120="","","")</f>
        <v/>
      </c>
      <c r="M415">
        <f>IF('US Open'!$G120="","",'US Open'!$F120)</f>
        <v/>
      </c>
      <c r="N415">
        <f>IF('US Open'!$G120="","",'US Open'!$G120)</f>
        <v/>
      </c>
      <c r="O415">
        <f>IF('US Open'!$G120="","",'US Open'!$G120)</f>
        <v/>
      </c>
      <c r="P415">
        <f>IF('US Open'!$G120="","",'US Open'!$H120)</f>
        <v/>
      </c>
    </row>
    <row r="416">
      <c r="A416">
        <f>IF('US Open'!$G121="","","US Open")</f>
        <v/>
      </c>
      <c r="B416">
        <f>IF('US Open'!$G121="","","Major")</f>
        <v/>
      </c>
      <c r="C416" s="18">
        <f>IF('US Open'!$G121="","",'US Open'!$B$3)</f>
        <v/>
      </c>
      <c r="D416">
        <f>IF('US Open'!$G121="","",'US Open'!$D121&amp;"")</f>
        <v/>
      </c>
      <c r="F416">
        <f>IF('US Open'!$G121="","",'US Open'!$A121&amp;"")</f>
        <v/>
      </c>
      <c r="J416">
        <f>IF('US Open'!$G121="","",'US Open'!$E121)</f>
        <v/>
      </c>
      <c r="K416">
        <f>IF('US Open'!$G121="","",'US Open'!$J121)</f>
        <v/>
      </c>
      <c r="L416">
        <f>IF('US Open'!$G121="","","")</f>
        <v/>
      </c>
      <c r="M416">
        <f>IF('US Open'!$G121="","",'US Open'!$F121)</f>
        <v/>
      </c>
      <c r="N416">
        <f>IF('US Open'!$G121="","",'US Open'!$G121)</f>
        <v/>
      </c>
      <c r="O416">
        <f>IF('US Open'!$G121="","",'US Open'!$G121)</f>
        <v/>
      </c>
      <c r="P416">
        <f>IF('US Open'!$G121="","",'US Open'!$H121)</f>
        <v/>
      </c>
    </row>
    <row r="417">
      <c r="A417">
        <f>IF('US Open'!$G122="","","US Open")</f>
        <v/>
      </c>
      <c r="B417">
        <f>IF('US Open'!$G122="","","Major")</f>
        <v/>
      </c>
      <c r="C417" s="18">
        <f>IF('US Open'!$G122="","",'US Open'!$B$3)</f>
        <v/>
      </c>
      <c r="D417">
        <f>IF('US Open'!$G122="","",'US Open'!$D122&amp;"")</f>
        <v/>
      </c>
      <c r="F417">
        <f>IF('US Open'!$G122="","",'US Open'!$A122&amp;"")</f>
        <v/>
      </c>
      <c r="J417">
        <f>IF('US Open'!$G122="","",'US Open'!$E122)</f>
        <v/>
      </c>
      <c r="K417">
        <f>IF('US Open'!$G122="","",'US Open'!$J122)</f>
        <v/>
      </c>
      <c r="L417">
        <f>IF('US Open'!$G122="","","")</f>
        <v/>
      </c>
      <c r="M417">
        <f>IF('US Open'!$G122="","",'US Open'!$F122)</f>
        <v/>
      </c>
      <c r="N417">
        <f>IF('US Open'!$G122="","",'US Open'!$G122)</f>
        <v/>
      </c>
      <c r="O417">
        <f>IF('US Open'!$G122="","",'US Open'!$G122)</f>
        <v/>
      </c>
      <c r="P417">
        <f>IF('US Open'!$G122="","",'US Open'!$H122)</f>
        <v/>
      </c>
    </row>
    <row r="418">
      <c r="A418">
        <f>IF('US Open'!$G123="","","US Open")</f>
        <v/>
      </c>
      <c r="B418">
        <f>IF('US Open'!$G123="","","Major")</f>
        <v/>
      </c>
      <c r="C418" s="18">
        <f>IF('US Open'!$G123="","",'US Open'!$B$3)</f>
        <v/>
      </c>
      <c r="D418">
        <f>IF('US Open'!$G123="","",'US Open'!$D123&amp;"")</f>
        <v/>
      </c>
      <c r="F418">
        <f>IF('US Open'!$G123="","",'US Open'!$A123&amp;"")</f>
        <v/>
      </c>
      <c r="J418">
        <f>IF('US Open'!$G123="","",'US Open'!$E123)</f>
        <v/>
      </c>
      <c r="K418">
        <f>IF('US Open'!$G123="","",'US Open'!$J123)</f>
        <v/>
      </c>
      <c r="L418">
        <f>IF('US Open'!$G123="","","")</f>
        <v/>
      </c>
      <c r="M418">
        <f>IF('US Open'!$G123="","",'US Open'!$F123)</f>
        <v/>
      </c>
      <c r="N418">
        <f>IF('US Open'!$G123="","",'US Open'!$G123)</f>
        <v/>
      </c>
      <c r="O418">
        <f>IF('US Open'!$G123="","",'US Open'!$G123)</f>
        <v/>
      </c>
      <c r="P418">
        <f>IF('US Open'!$G123="","",'US Open'!$H123)</f>
        <v/>
      </c>
    </row>
    <row r="419">
      <c r="A419">
        <f>IF('US Open'!$G124="","","US Open")</f>
        <v/>
      </c>
      <c r="B419">
        <f>IF('US Open'!$G124="","","Major")</f>
        <v/>
      </c>
      <c r="C419" s="18">
        <f>IF('US Open'!$G124="","",'US Open'!$B$3)</f>
        <v/>
      </c>
      <c r="D419">
        <f>IF('US Open'!$G124="","",'US Open'!$D124&amp;"")</f>
        <v/>
      </c>
      <c r="F419">
        <f>IF('US Open'!$G124="","",'US Open'!$A124&amp;"")</f>
        <v/>
      </c>
      <c r="J419">
        <f>IF('US Open'!$G124="","",'US Open'!$E124)</f>
        <v/>
      </c>
      <c r="K419">
        <f>IF('US Open'!$G124="","",'US Open'!$J124)</f>
        <v/>
      </c>
      <c r="L419">
        <f>IF('US Open'!$G124="","","")</f>
        <v/>
      </c>
      <c r="M419">
        <f>IF('US Open'!$G124="","",'US Open'!$F124)</f>
        <v/>
      </c>
      <c r="N419">
        <f>IF('US Open'!$G124="","",'US Open'!$G124)</f>
        <v/>
      </c>
      <c r="O419">
        <f>IF('US Open'!$G124="","",'US Open'!$G124)</f>
        <v/>
      </c>
      <c r="P419">
        <f>IF('US Open'!$G124="","",'US Open'!$H124)</f>
        <v/>
      </c>
    </row>
    <row r="420">
      <c r="A420">
        <f>IF('US Open'!$G125="","","US Open")</f>
        <v/>
      </c>
      <c r="B420">
        <f>IF('US Open'!$G125="","","Major")</f>
        <v/>
      </c>
      <c r="C420" s="18">
        <f>IF('US Open'!$G125="","",'US Open'!$B$3)</f>
        <v/>
      </c>
      <c r="D420">
        <f>IF('US Open'!$G125="","",'US Open'!$D125&amp;"")</f>
        <v/>
      </c>
      <c r="F420">
        <f>IF('US Open'!$G125="","",'US Open'!$A125&amp;"")</f>
        <v/>
      </c>
      <c r="J420">
        <f>IF('US Open'!$G125="","",'US Open'!$E125)</f>
        <v/>
      </c>
      <c r="K420">
        <f>IF('US Open'!$G125="","",'US Open'!$J125)</f>
        <v/>
      </c>
      <c r="L420">
        <f>IF('US Open'!$G125="","","")</f>
        <v/>
      </c>
      <c r="M420">
        <f>IF('US Open'!$G125="","",'US Open'!$F125)</f>
        <v/>
      </c>
      <c r="N420">
        <f>IF('US Open'!$G125="","",'US Open'!$G125)</f>
        <v/>
      </c>
      <c r="O420">
        <f>IF('US Open'!$G125="","",'US Open'!$G125)</f>
        <v/>
      </c>
      <c r="P420">
        <f>IF('US Open'!$G125="","",'US Open'!$H125)</f>
        <v/>
      </c>
    </row>
    <row r="421">
      <c r="A421">
        <f>IF('US Open'!$G126="","","US Open")</f>
        <v/>
      </c>
      <c r="B421">
        <f>IF('US Open'!$G126="","","Major")</f>
        <v/>
      </c>
      <c r="C421" s="18">
        <f>IF('US Open'!$G126="","",'US Open'!$B$3)</f>
        <v/>
      </c>
      <c r="D421">
        <f>IF('US Open'!$G126="","",'US Open'!$D126&amp;"")</f>
        <v/>
      </c>
      <c r="F421">
        <f>IF('US Open'!$G126="","",'US Open'!$A126&amp;"")</f>
        <v/>
      </c>
      <c r="J421">
        <f>IF('US Open'!$G126="","",'US Open'!$E126)</f>
        <v/>
      </c>
      <c r="K421">
        <f>IF('US Open'!$G126="","",'US Open'!$J126)</f>
        <v/>
      </c>
      <c r="L421">
        <f>IF('US Open'!$G126="","","")</f>
        <v/>
      </c>
      <c r="M421">
        <f>IF('US Open'!$G126="","",'US Open'!$F126)</f>
        <v/>
      </c>
      <c r="N421">
        <f>IF('US Open'!$G126="","",'US Open'!$G126)</f>
        <v/>
      </c>
      <c r="O421">
        <f>IF('US Open'!$G126="","",'US Open'!$G126)</f>
        <v/>
      </c>
      <c r="P421">
        <f>IF('US Open'!$G126="","",'US Open'!$H126)</f>
        <v/>
      </c>
    </row>
    <row r="422">
      <c r="A422">
        <f>IF('US Open'!$G127="","","US Open")</f>
        <v/>
      </c>
      <c r="B422">
        <f>IF('US Open'!$G127="","","Major")</f>
        <v/>
      </c>
      <c r="C422" s="18">
        <f>IF('US Open'!$G127="","",'US Open'!$B$3)</f>
        <v/>
      </c>
      <c r="D422">
        <f>IF('US Open'!$G127="","",'US Open'!$D127&amp;"")</f>
        <v/>
      </c>
      <c r="F422">
        <f>IF('US Open'!$G127="","",'US Open'!$A127&amp;"")</f>
        <v/>
      </c>
      <c r="J422">
        <f>IF('US Open'!$G127="","",'US Open'!$E127)</f>
        <v/>
      </c>
      <c r="K422">
        <f>IF('US Open'!$G127="","",'US Open'!$J127)</f>
        <v/>
      </c>
      <c r="L422">
        <f>IF('US Open'!$G127="","","")</f>
        <v/>
      </c>
      <c r="M422">
        <f>IF('US Open'!$G127="","",'US Open'!$F127)</f>
        <v/>
      </c>
      <c r="N422">
        <f>IF('US Open'!$G127="","",'US Open'!$G127)</f>
        <v/>
      </c>
      <c r="O422">
        <f>IF('US Open'!$G127="","",'US Open'!$G127)</f>
        <v/>
      </c>
      <c r="P422">
        <f>IF('US Open'!$G127="","",'US Open'!$H127)</f>
        <v/>
      </c>
    </row>
    <row r="423">
      <c r="A423">
        <f>IF('US Open'!$G128="","","US Open")</f>
        <v/>
      </c>
      <c r="B423">
        <f>IF('US Open'!$G128="","","Major")</f>
        <v/>
      </c>
      <c r="C423" s="18">
        <f>IF('US Open'!$G128="","",'US Open'!$B$3)</f>
        <v/>
      </c>
      <c r="D423">
        <f>IF('US Open'!$G128="","",'US Open'!$D128&amp;"")</f>
        <v/>
      </c>
      <c r="F423">
        <f>IF('US Open'!$G128="","",'US Open'!$A128&amp;"")</f>
        <v/>
      </c>
      <c r="J423">
        <f>IF('US Open'!$G128="","",'US Open'!$E128)</f>
        <v/>
      </c>
      <c r="K423">
        <f>IF('US Open'!$G128="","",'US Open'!$J128)</f>
        <v/>
      </c>
      <c r="L423">
        <f>IF('US Open'!$G128="","","")</f>
        <v/>
      </c>
      <c r="M423">
        <f>IF('US Open'!$G128="","",'US Open'!$F128)</f>
        <v/>
      </c>
      <c r="N423">
        <f>IF('US Open'!$G128="","",'US Open'!$G128)</f>
        <v/>
      </c>
      <c r="O423">
        <f>IF('US Open'!$G128="","",'US Open'!$G128)</f>
        <v/>
      </c>
      <c r="P423">
        <f>IF('US Open'!$G128="","",'US Open'!$H128)</f>
        <v/>
      </c>
    </row>
    <row r="424">
      <c r="A424">
        <f>IF('US Open'!$G129="","","US Open")</f>
        <v/>
      </c>
      <c r="B424">
        <f>IF('US Open'!$G129="","","Major")</f>
        <v/>
      </c>
      <c r="C424" s="18">
        <f>IF('US Open'!$G129="","",'US Open'!$B$3)</f>
        <v/>
      </c>
      <c r="D424">
        <f>IF('US Open'!$G129="","",'US Open'!$D129&amp;"")</f>
        <v/>
      </c>
      <c r="F424">
        <f>IF('US Open'!$G129="","",'US Open'!$A129&amp;"")</f>
        <v/>
      </c>
      <c r="J424">
        <f>IF('US Open'!$G129="","",'US Open'!$E129)</f>
        <v/>
      </c>
      <c r="K424">
        <f>IF('US Open'!$G129="","",'US Open'!$J129)</f>
        <v/>
      </c>
      <c r="L424">
        <f>IF('US Open'!$G129="","","")</f>
        <v/>
      </c>
      <c r="M424">
        <f>IF('US Open'!$G129="","",'US Open'!$F129)</f>
        <v/>
      </c>
      <c r="N424">
        <f>IF('US Open'!$G129="","",'US Open'!$G129)</f>
        <v/>
      </c>
      <c r="O424">
        <f>IF('US Open'!$G129="","",'US Open'!$G129)</f>
        <v/>
      </c>
      <c r="P424">
        <f>IF('US Open'!$G129="","",'US Open'!$H129)</f>
        <v/>
      </c>
    </row>
    <row r="425">
      <c r="A425">
        <f>IF('US Open'!$G130="","","US Open")</f>
        <v/>
      </c>
      <c r="B425">
        <f>IF('US Open'!$G130="","","Major")</f>
        <v/>
      </c>
      <c r="C425" s="18">
        <f>IF('US Open'!$G130="","",'US Open'!$B$3)</f>
        <v/>
      </c>
      <c r="D425">
        <f>IF('US Open'!$G130="","",'US Open'!$D130&amp;"")</f>
        <v/>
      </c>
      <c r="F425">
        <f>IF('US Open'!$G130="","",'US Open'!$A130&amp;"")</f>
        <v/>
      </c>
      <c r="J425">
        <f>IF('US Open'!$G130="","",'US Open'!$E130)</f>
        <v/>
      </c>
      <c r="K425">
        <f>IF('US Open'!$G130="","",'US Open'!$J130)</f>
        <v/>
      </c>
      <c r="L425">
        <f>IF('US Open'!$G130="","","")</f>
        <v/>
      </c>
      <c r="M425">
        <f>IF('US Open'!$G130="","",'US Open'!$F130)</f>
        <v/>
      </c>
      <c r="N425">
        <f>IF('US Open'!$G130="","",'US Open'!$G130)</f>
        <v/>
      </c>
      <c r="O425">
        <f>IF('US Open'!$G130="","",'US Open'!$G130)</f>
        <v/>
      </c>
      <c r="P425">
        <f>IF('US Open'!$G130="","",'US Open'!$H130)</f>
        <v/>
      </c>
    </row>
    <row r="426">
      <c r="A426">
        <f>IF('US Open'!$G131="","","US Open")</f>
        <v/>
      </c>
      <c r="B426">
        <f>IF('US Open'!$G131="","","Major")</f>
        <v/>
      </c>
      <c r="C426" s="18">
        <f>IF('US Open'!$G131="","",'US Open'!$B$3)</f>
        <v/>
      </c>
      <c r="D426">
        <f>IF('US Open'!$G131="","",'US Open'!$D131&amp;"")</f>
        <v/>
      </c>
      <c r="F426">
        <f>IF('US Open'!$G131="","",'US Open'!$A131&amp;"")</f>
        <v/>
      </c>
      <c r="J426">
        <f>IF('US Open'!$G131="","",'US Open'!$E131)</f>
        <v/>
      </c>
      <c r="K426">
        <f>IF('US Open'!$G131="","",'US Open'!$J131)</f>
        <v/>
      </c>
      <c r="L426">
        <f>IF('US Open'!$G131="","","")</f>
        <v/>
      </c>
      <c r="M426">
        <f>IF('US Open'!$G131="","",'US Open'!$F131)</f>
        <v/>
      </c>
      <c r="N426">
        <f>IF('US Open'!$G131="","",'US Open'!$G131)</f>
        <v/>
      </c>
      <c r="O426">
        <f>IF('US Open'!$G131="","",'US Open'!$G131)</f>
        <v/>
      </c>
      <c r="P426">
        <f>IF('US Open'!$G131="","",'US Open'!$H131)</f>
        <v/>
      </c>
    </row>
    <row r="427">
      <c r="A427">
        <f>IF('US Open'!$G132="","","US Open")</f>
        <v/>
      </c>
      <c r="B427">
        <f>IF('US Open'!$G132="","","Major")</f>
        <v/>
      </c>
      <c r="C427" s="18">
        <f>IF('US Open'!$G132="","",'US Open'!$B$3)</f>
        <v/>
      </c>
      <c r="D427">
        <f>IF('US Open'!$G132="","",'US Open'!$D132&amp;"")</f>
        <v/>
      </c>
      <c r="F427">
        <f>IF('US Open'!$G132="","",'US Open'!$A132&amp;"")</f>
        <v/>
      </c>
      <c r="J427">
        <f>IF('US Open'!$G132="","",'US Open'!$E132)</f>
        <v/>
      </c>
      <c r="K427">
        <f>IF('US Open'!$G132="","",'US Open'!$J132)</f>
        <v/>
      </c>
      <c r="L427">
        <f>IF('US Open'!$G132="","","")</f>
        <v/>
      </c>
      <c r="M427">
        <f>IF('US Open'!$G132="","",'US Open'!$F132)</f>
        <v/>
      </c>
      <c r="N427">
        <f>IF('US Open'!$G132="","",'US Open'!$G132)</f>
        <v/>
      </c>
      <c r="O427">
        <f>IF('US Open'!$G132="","",'US Open'!$G132)</f>
        <v/>
      </c>
      <c r="P427">
        <f>IF('US Open'!$G132="","",'US Open'!$H132)</f>
        <v/>
      </c>
    </row>
    <row r="428">
      <c r="A428">
        <f>IF('US Open'!$G133="","","US Open")</f>
        <v/>
      </c>
      <c r="B428">
        <f>IF('US Open'!$G133="","","Major")</f>
        <v/>
      </c>
      <c r="C428" s="18">
        <f>IF('US Open'!$G133="","",'US Open'!$B$3)</f>
        <v/>
      </c>
      <c r="D428">
        <f>IF('US Open'!$G133="","",'US Open'!$D133&amp;"")</f>
        <v/>
      </c>
      <c r="F428">
        <f>IF('US Open'!$G133="","",'US Open'!$A133&amp;"")</f>
        <v/>
      </c>
      <c r="J428">
        <f>IF('US Open'!$G133="","",'US Open'!$E133)</f>
        <v/>
      </c>
      <c r="K428">
        <f>IF('US Open'!$G133="","",'US Open'!$J133)</f>
        <v/>
      </c>
      <c r="L428">
        <f>IF('US Open'!$G133="","","")</f>
        <v/>
      </c>
      <c r="M428">
        <f>IF('US Open'!$G133="","",'US Open'!$F133)</f>
        <v/>
      </c>
      <c r="N428">
        <f>IF('US Open'!$G133="","",'US Open'!$G133)</f>
        <v/>
      </c>
      <c r="O428">
        <f>IF('US Open'!$G133="","",'US Open'!$G133)</f>
        <v/>
      </c>
      <c r="P428">
        <f>IF('US Open'!$G133="","",'US Open'!$H133)</f>
        <v/>
      </c>
    </row>
    <row r="429">
      <c r="A429">
        <f>IF('US Open'!$G134="","","US Open")</f>
        <v/>
      </c>
      <c r="B429">
        <f>IF('US Open'!$G134="","","Major")</f>
        <v/>
      </c>
      <c r="C429" s="18">
        <f>IF('US Open'!$G134="","",'US Open'!$B$3)</f>
        <v/>
      </c>
      <c r="D429">
        <f>IF('US Open'!$G134="","",'US Open'!$D134&amp;"")</f>
        <v/>
      </c>
      <c r="F429">
        <f>IF('US Open'!$G134="","",'US Open'!$A134&amp;"")</f>
        <v/>
      </c>
      <c r="J429">
        <f>IF('US Open'!$G134="","",'US Open'!$E134)</f>
        <v/>
      </c>
      <c r="K429">
        <f>IF('US Open'!$G134="","",'US Open'!$J134)</f>
        <v/>
      </c>
      <c r="L429">
        <f>IF('US Open'!$G134="","","")</f>
        <v/>
      </c>
      <c r="M429">
        <f>IF('US Open'!$G134="","",'US Open'!$F134)</f>
        <v/>
      </c>
      <c r="N429">
        <f>IF('US Open'!$G134="","",'US Open'!$G134)</f>
        <v/>
      </c>
      <c r="O429">
        <f>IF('US Open'!$G134="","",'US Open'!$G134)</f>
        <v/>
      </c>
      <c r="P429">
        <f>IF('US Open'!$G134="","",'US Open'!$H134)</f>
        <v/>
      </c>
    </row>
    <row r="430">
      <c r="A430">
        <f>IF('US Open'!$G135="","","US Open")</f>
        <v/>
      </c>
      <c r="B430">
        <f>IF('US Open'!$G135="","","Major")</f>
        <v/>
      </c>
      <c r="C430" s="18">
        <f>IF('US Open'!$G135="","",'US Open'!$B$3)</f>
        <v/>
      </c>
      <c r="D430">
        <f>IF('US Open'!$G135="","",'US Open'!$D135&amp;"")</f>
        <v/>
      </c>
      <c r="F430">
        <f>IF('US Open'!$G135="","",'US Open'!$A135&amp;"")</f>
        <v/>
      </c>
      <c r="J430">
        <f>IF('US Open'!$G135="","",'US Open'!$E135)</f>
        <v/>
      </c>
      <c r="K430">
        <f>IF('US Open'!$G135="","",'US Open'!$J135)</f>
        <v/>
      </c>
      <c r="L430">
        <f>IF('US Open'!$G135="","","")</f>
        <v/>
      </c>
      <c r="M430">
        <f>IF('US Open'!$G135="","",'US Open'!$F135)</f>
        <v/>
      </c>
      <c r="N430">
        <f>IF('US Open'!$G135="","",'US Open'!$G135)</f>
        <v/>
      </c>
      <c r="O430">
        <f>IF('US Open'!$G135="","",'US Open'!$G135)</f>
        <v/>
      </c>
      <c r="P430">
        <f>IF('US Open'!$G135="","",'US Open'!$H135)</f>
        <v/>
      </c>
    </row>
    <row r="431">
      <c r="A431">
        <f>IF('US Open'!$G136="","","US Open")</f>
        <v/>
      </c>
      <c r="B431">
        <f>IF('US Open'!$G136="","","Major")</f>
        <v/>
      </c>
      <c r="C431" s="18">
        <f>IF('US Open'!$G136="","",'US Open'!$B$3)</f>
        <v/>
      </c>
      <c r="D431">
        <f>IF('US Open'!$G136="","",'US Open'!$D136&amp;"")</f>
        <v/>
      </c>
      <c r="F431">
        <f>IF('US Open'!$G136="","",'US Open'!$A136&amp;"")</f>
        <v/>
      </c>
      <c r="J431">
        <f>IF('US Open'!$G136="","",'US Open'!$E136)</f>
        <v/>
      </c>
      <c r="K431">
        <f>IF('US Open'!$G136="","",'US Open'!$J136)</f>
        <v/>
      </c>
      <c r="L431">
        <f>IF('US Open'!$G136="","","")</f>
        <v/>
      </c>
      <c r="M431">
        <f>IF('US Open'!$G136="","",'US Open'!$F136)</f>
        <v/>
      </c>
      <c r="N431">
        <f>IF('US Open'!$G136="","",'US Open'!$G136)</f>
        <v/>
      </c>
      <c r="O431">
        <f>IF('US Open'!$G136="","",'US Open'!$G136)</f>
        <v/>
      </c>
      <c r="P431">
        <f>IF('US Open'!$G136="","",'US Open'!$H136)</f>
        <v/>
      </c>
    </row>
    <row r="432">
      <c r="A432">
        <f>IF('US Open'!$G137="","","US Open")</f>
        <v/>
      </c>
      <c r="B432">
        <f>IF('US Open'!$G137="","","Major")</f>
        <v/>
      </c>
      <c r="C432" s="18">
        <f>IF('US Open'!$G137="","",'US Open'!$B$3)</f>
        <v/>
      </c>
      <c r="D432">
        <f>IF('US Open'!$G137="","",'US Open'!$D137&amp;"")</f>
        <v/>
      </c>
      <c r="F432">
        <f>IF('US Open'!$G137="","",'US Open'!$A137&amp;"")</f>
        <v/>
      </c>
      <c r="J432">
        <f>IF('US Open'!$G137="","",'US Open'!$E137)</f>
        <v/>
      </c>
      <c r="K432">
        <f>IF('US Open'!$G137="","",'US Open'!$J137)</f>
        <v/>
      </c>
      <c r="L432">
        <f>IF('US Open'!$G137="","","")</f>
        <v/>
      </c>
      <c r="M432">
        <f>IF('US Open'!$G137="","",'US Open'!$F137)</f>
        <v/>
      </c>
      <c r="N432">
        <f>IF('US Open'!$G137="","",'US Open'!$G137)</f>
        <v/>
      </c>
      <c r="O432">
        <f>IF('US Open'!$G137="","",'US Open'!$G137)</f>
        <v/>
      </c>
      <c r="P432">
        <f>IF('US Open'!$G137="","",'US Open'!$H137)</f>
        <v/>
      </c>
    </row>
    <row r="433">
      <c r="A433">
        <f>IF('US Open'!$G138="","","US Open")</f>
        <v/>
      </c>
      <c r="B433">
        <f>IF('US Open'!$G138="","","Major")</f>
        <v/>
      </c>
      <c r="C433" s="18">
        <f>IF('US Open'!$G138="","",'US Open'!$B$3)</f>
        <v/>
      </c>
      <c r="D433">
        <f>IF('US Open'!$G138="","",'US Open'!$D138&amp;"")</f>
        <v/>
      </c>
      <c r="F433">
        <f>IF('US Open'!$G138="","",'US Open'!$A138&amp;"")</f>
        <v/>
      </c>
      <c r="J433">
        <f>IF('US Open'!$G138="","",'US Open'!$E138)</f>
        <v/>
      </c>
      <c r="K433">
        <f>IF('US Open'!$G138="","",'US Open'!$J138)</f>
        <v/>
      </c>
      <c r="L433">
        <f>IF('US Open'!$G138="","","")</f>
        <v/>
      </c>
      <c r="M433">
        <f>IF('US Open'!$G138="","",'US Open'!$F138)</f>
        <v/>
      </c>
      <c r="N433">
        <f>IF('US Open'!$G138="","",'US Open'!$G138)</f>
        <v/>
      </c>
      <c r="O433">
        <f>IF('US Open'!$G138="","",'US Open'!$G138)</f>
        <v/>
      </c>
      <c r="P433">
        <f>IF('US Open'!$G138="","",'US Open'!$H138)</f>
        <v/>
      </c>
    </row>
    <row r="434">
      <c r="A434">
        <f>IF('US Open'!$G139="","","US Open")</f>
        <v/>
      </c>
      <c r="B434">
        <f>IF('US Open'!$G139="","","Major")</f>
        <v/>
      </c>
      <c r="C434" s="18">
        <f>IF('US Open'!$G139="","",'US Open'!$B$3)</f>
        <v/>
      </c>
      <c r="D434">
        <f>IF('US Open'!$G139="","",'US Open'!$D139&amp;"")</f>
        <v/>
      </c>
      <c r="F434">
        <f>IF('US Open'!$G139="","",'US Open'!$A139&amp;"")</f>
        <v/>
      </c>
      <c r="J434">
        <f>IF('US Open'!$G139="","",'US Open'!$E139)</f>
        <v/>
      </c>
      <c r="K434">
        <f>IF('US Open'!$G139="","",'US Open'!$J139)</f>
        <v/>
      </c>
      <c r="L434">
        <f>IF('US Open'!$G139="","","")</f>
        <v/>
      </c>
      <c r="M434">
        <f>IF('US Open'!$G139="","",'US Open'!$F139)</f>
        <v/>
      </c>
      <c r="N434">
        <f>IF('US Open'!$G139="","",'US Open'!$G139)</f>
        <v/>
      </c>
      <c r="O434">
        <f>IF('US Open'!$G139="","",'US Open'!$G139)</f>
        <v/>
      </c>
      <c r="P434">
        <f>IF('US Open'!$G139="","",'US Open'!$H139)</f>
        <v/>
      </c>
    </row>
    <row r="435">
      <c r="A435">
        <f>IF('US Open'!$G140="","","US Open")</f>
        <v/>
      </c>
      <c r="B435">
        <f>IF('US Open'!$G140="","","Major")</f>
        <v/>
      </c>
      <c r="C435" s="18">
        <f>IF('US Open'!$G140="","",'US Open'!$B$3)</f>
        <v/>
      </c>
      <c r="D435">
        <f>IF('US Open'!$G140="","",'US Open'!$D140&amp;"")</f>
        <v/>
      </c>
      <c r="F435">
        <f>IF('US Open'!$G140="","",'US Open'!$A140&amp;"")</f>
        <v/>
      </c>
      <c r="J435">
        <f>IF('US Open'!$G140="","",'US Open'!$E140)</f>
        <v/>
      </c>
      <c r="K435">
        <f>IF('US Open'!$G140="","",'US Open'!$J140)</f>
        <v/>
      </c>
      <c r="L435">
        <f>IF('US Open'!$G140="","","")</f>
        <v/>
      </c>
      <c r="M435">
        <f>IF('US Open'!$G140="","",'US Open'!$F140)</f>
        <v/>
      </c>
      <c r="N435">
        <f>IF('US Open'!$G140="","",'US Open'!$G140)</f>
        <v/>
      </c>
      <c r="O435">
        <f>IF('US Open'!$G140="","",'US Open'!$G140)</f>
        <v/>
      </c>
      <c r="P435">
        <f>IF('US Open'!$G140="","",'US Open'!$H140)</f>
        <v/>
      </c>
    </row>
    <row r="436">
      <c r="A436">
        <f>IF('US Open'!$G141="","","US Open")</f>
        <v/>
      </c>
      <c r="B436">
        <f>IF('US Open'!$G141="","","Major")</f>
        <v/>
      </c>
      <c r="C436" s="18">
        <f>IF('US Open'!$G141="","",'US Open'!$B$3)</f>
        <v/>
      </c>
      <c r="D436">
        <f>IF('US Open'!$G141="","",'US Open'!$D141&amp;"")</f>
        <v/>
      </c>
      <c r="F436">
        <f>IF('US Open'!$G141="","",'US Open'!$A141&amp;"")</f>
        <v/>
      </c>
      <c r="J436">
        <f>IF('US Open'!$G141="","",'US Open'!$E141)</f>
        <v/>
      </c>
      <c r="K436">
        <f>IF('US Open'!$G141="","",'US Open'!$J141)</f>
        <v/>
      </c>
      <c r="L436">
        <f>IF('US Open'!$G141="","","")</f>
        <v/>
      </c>
      <c r="M436">
        <f>IF('US Open'!$G141="","",'US Open'!$F141)</f>
        <v/>
      </c>
      <c r="N436">
        <f>IF('US Open'!$G141="","",'US Open'!$G141)</f>
        <v/>
      </c>
      <c r="O436">
        <f>IF('US Open'!$G141="","",'US Open'!$G141)</f>
        <v/>
      </c>
      <c r="P436">
        <f>IF('US Open'!$G141="","",'US Open'!$H141)</f>
        <v/>
      </c>
    </row>
    <row r="437">
      <c r="A437">
        <f>IF('US Open'!$G142="","","US Open")</f>
        <v/>
      </c>
      <c r="B437">
        <f>IF('US Open'!$G142="","","Major")</f>
        <v/>
      </c>
      <c r="C437" s="18">
        <f>IF('US Open'!$G142="","",'US Open'!$B$3)</f>
        <v/>
      </c>
      <c r="D437">
        <f>IF('US Open'!$G142="","",'US Open'!$D142&amp;"")</f>
        <v/>
      </c>
      <c r="F437">
        <f>IF('US Open'!$G142="","",'US Open'!$A142&amp;"")</f>
        <v/>
      </c>
      <c r="J437">
        <f>IF('US Open'!$G142="","",'US Open'!$E142)</f>
        <v/>
      </c>
      <c r="K437">
        <f>IF('US Open'!$G142="","",'US Open'!$J142)</f>
        <v/>
      </c>
      <c r="L437">
        <f>IF('US Open'!$G142="","","")</f>
        <v/>
      </c>
      <c r="M437">
        <f>IF('US Open'!$G142="","",'US Open'!$F142)</f>
        <v/>
      </c>
      <c r="N437">
        <f>IF('US Open'!$G142="","",'US Open'!$G142)</f>
        <v/>
      </c>
      <c r="O437">
        <f>IF('US Open'!$G142="","",'US Open'!$G142)</f>
        <v/>
      </c>
      <c r="P437">
        <f>IF('US Open'!$G142="","",'US Open'!$H142)</f>
        <v/>
      </c>
    </row>
    <row r="438">
      <c r="A438">
        <f>IF('US Open'!$G143="","","US Open")</f>
        <v/>
      </c>
      <c r="B438">
        <f>IF('US Open'!$G143="","","Major")</f>
        <v/>
      </c>
      <c r="C438" s="18">
        <f>IF('US Open'!$G143="","",'US Open'!$B$3)</f>
        <v/>
      </c>
      <c r="D438">
        <f>IF('US Open'!$G143="","",'US Open'!$D143&amp;"")</f>
        <v/>
      </c>
      <c r="F438">
        <f>IF('US Open'!$G143="","",'US Open'!$A143&amp;"")</f>
        <v/>
      </c>
      <c r="J438">
        <f>IF('US Open'!$G143="","",'US Open'!$E143)</f>
        <v/>
      </c>
      <c r="K438">
        <f>IF('US Open'!$G143="","",'US Open'!$J143)</f>
        <v/>
      </c>
      <c r="L438">
        <f>IF('US Open'!$G143="","","")</f>
        <v/>
      </c>
      <c r="M438">
        <f>IF('US Open'!$G143="","",'US Open'!$F143)</f>
        <v/>
      </c>
      <c r="N438">
        <f>IF('US Open'!$G143="","",'US Open'!$G143)</f>
        <v/>
      </c>
      <c r="O438">
        <f>IF('US Open'!$G143="","",'US Open'!$G143)</f>
        <v/>
      </c>
      <c r="P438">
        <f>IF('US Open'!$G143="","",'US Open'!$H143)</f>
        <v/>
      </c>
    </row>
    <row r="439">
      <c r="A439">
        <f>IF('US Open'!$G144="","","US Open")</f>
        <v/>
      </c>
      <c r="B439">
        <f>IF('US Open'!$G144="","","Major")</f>
        <v/>
      </c>
      <c r="C439" s="18">
        <f>IF('US Open'!$G144="","",'US Open'!$B$3)</f>
        <v/>
      </c>
      <c r="D439">
        <f>IF('US Open'!$G144="","",'US Open'!$D144&amp;"")</f>
        <v/>
      </c>
      <c r="F439">
        <f>IF('US Open'!$G144="","",'US Open'!$A144&amp;"")</f>
        <v/>
      </c>
      <c r="J439">
        <f>IF('US Open'!$G144="","",'US Open'!$E144)</f>
        <v/>
      </c>
      <c r="K439">
        <f>IF('US Open'!$G144="","",'US Open'!$J144)</f>
        <v/>
      </c>
      <c r="L439">
        <f>IF('US Open'!$G144="","","")</f>
        <v/>
      </c>
      <c r="M439">
        <f>IF('US Open'!$G144="","",'US Open'!$F144)</f>
        <v/>
      </c>
      <c r="N439">
        <f>IF('US Open'!$G144="","",'US Open'!$G144)</f>
        <v/>
      </c>
      <c r="O439">
        <f>IF('US Open'!$G144="","",'US Open'!$G144)</f>
        <v/>
      </c>
      <c r="P439">
        <f>IF('US Open'!$G144="","",'US Open'!$H144)</f>
        <v/>
      </c>
    </row>
    <row r="440">
      <c r="A440">
        <f>IF('US Open'!$G145="","","US Open")</f>
        <v/>
      </c>
      <c r="B440">
        <f>IF('US Open'!$G145="","","Major")</f>
        <v/>
      </c>
      <c r="C440" s="18">
        <f>IF('US Open'!$G145="","",'US Open'!$B$3)</f>
        <v/>
      </c>
      <c r="D440">
        <f>IF('US Open'!$G145="","",'US Open'!$D145&amp;"")</f>
        <v/>
      </c>
      <c r="F440">
        <f>IF('US Open'!$G145="","",'US Open'!$A145&amp;"")</f>
        <v/>
      </c>
      <c r="J440">
        <f>IF('US Open'!$G145="","",'US Open'!$E145)</f>
        <v/>
      </c>
      <c r="K440">
        <f>IF('US Open'!$G145="","",'US Open'!$J145)</f>
        <v/>
      </c>
      <c r="L440">
        <f>IF('US Open'!$G145="","","")</f>
        <v/>
      </c>
      <c r="M440">
        <f>IF('US Open'!$G145="","",'US Open'!$F145)</f>
        <v/>
      </c>
      <c r="N440">
        <f>IF('US Open'!$G145="","",'US Open'!$G145)</f>
        <v/>
      </c>
      <c r="O440">
        <f>IF('US Open'!$G145="","",'US Open'!$G145)</f>
        <v/>
      </c>
      <c r="P440">
        <f>IF('US Open'!$G145="","",'US Open'!$H145)</f>
        <v/>
      </c>
    </row>
    <row r="441">
      <c r="A441">
        <f>IF('US Open'!$G146="","","US Open")</f>
        <v/>
      </c>
      <c r="B441">
        <f>IF('US Open'!$G146="","","Major")</f>
        <v/>
      </c>
      <c r="C441" s="18">
        <f>IF('US Open'!$G146="","",'US Open'!$B$3)</f>
        <v/>
      </c>
      <c r="D441">
        <f>IF('US Open'!$G146="","",'US Open'!$D146&amp;"")</f>
        <v/>
      </c>
      <c r="F441">
        <f>IF('US Open'!$G146="","",'US Open'!$A146&amp;"")</f>
        <v/>
      </c>
      <c r="J441">
        <f>IF('US Open'!$G146="","",'US Open'!$E146)</f>
        <v/>
      </c>
      <c r="K441">
        <f>IF('US Open'!$G146="","",'US Open'!$J146)</f>
        <v/>
      </c>
      <c r="L441">
        <f>IF('US Open'!$G146="","","")</f>
        <v/>
      </c>
      <c r="M441">
        <f>IF('US Open'!$G146="","",'US Open'!$F146)</f>
        <v/>
      </c>
      <c r="N441">
        <f>IF('US Open'!$G146="","",'US Open'!$G146)</f>
        <v/>
      </c>
      <c r="O441">
        <f>IF('US Open'!$G146="","",'US Open'!$G146)</f>
        <v/>
      </c>
      <c r="P441">
        <f>IF('US Open'!$G146="","",'US Open'!$H146)</f>
        <v/>
      </c>
    </row>
    <row r="442">
      <c r="A442">
        <f>IF('US Open'!$G147="","","US Open")</f>
        <v/>
      </c>
      <c r="B442">
        <f>IF('US Open'!$G147="","","Major")</f>
        <v/>
      </c>
      <c r="C442" s="18">
        <f>IF('US Open'!$G147="","",'US Open'!$B$3)</f>
        <v/>
      </c>
      <c r="D442">
        <f>IF('US Open'!$G147="","",'US Open'!$D147&amp;"")</f>
        <v/>
      </c>
      <c r="F442">
        <f>IF('US Open'!$G147="","",'US Open'!$A147&amp;"")</f>
        <v/>
      </c>
      <c r="J442">
        <f>IF('US Open'!$G147="","",'US Open'!$E147)</f>
        <v/>
      </c>
      <c r="K442">
        <f>IF('US Open'!$G147="","",'US Open'!$J147)</f>
        <v/>
      </c>
      <c r="L442">
        <f>IF('US Open'!$G147="","","")</f>
        <v/>
      </c>
      <c r="M442">
        <f>IF('US Open'!$G147="","",'US Open'!$F147)</f>
        <v/>
      </c>
      <c r="N442">
        <f>IF('US Open'!$G147="","",'US Open'!$G147)</f>
        <v/>
      </c>
      <c r="O442">
        <f>IF('US Open'!$G147="","",'US Open'!$G147)</f>
        <v/>
      </c>
      <c r="P442">
        <f>IF('US Open'!$G147="","",'US Open'!$H147)</f>
        <v/>
      </c>
    </row>
    <row r="443">
      <c r="A443">
        <f>IF('US Open'!$G148="","","US Open")</f>
        <v/>
      </c>
      <c r="B443">
        <f>IF('US Open'!$G148="","","Major")</f>
        <v/>
      </c>
      <c r="C443" s="18">
        <f>IF('US Open'!$G148="","",'US Open'!$B$3)</f>
        <v/>
      </c>
      <c r="D443">
        <f>IF('US Open'!$G148="","",'US Open'!$D148&amp;"")</f>
        <v/>
      </c>
      <c r="F443">
        <f>IF('US Open'!$G148="","",'US Open'!$A148&amp;"")</f>
        <v/>
      </c>
      <c r="J443">
        <f>IF('US Open'!$G148="","",'US Open'!$E148)</f>
        <v/>
      </c>
      <c r="K443">
        <f>IF('US Open'!$G148="","",'US Open'!$J148)</f>
        <v/>
      </c>
      <c r="L443">
        <f>IF('US Open'!$G148="","","")</f>
        <v/>
      </c>
      <c r="M443">
        <f>IF('US Open'!$G148="","",'US Open'!$F148)</f>
        <v/>
      </c>
      <c r="N443">
        <f>IF('US Open'!$G148="","",'US Open'!$G148)</f>
        <v/>
      </c>
      <c r="O443">
        <f>IF('US Open'!$G148="","",'US Open'!$G148)</f>
        <v/>
      </c>
      <c r="P443">
        <f>IF('US Open'!$G148="","",'US Open'!$H148)</f>
        <v/>
      </c>
    </row>
    <row r="444">
      <c r="A444">
        <f>IF('US Open'!$G149="","","US Open")</f>
        <v/>
      </c>
      <c r="B444">
        <f>IF('US Open'!$G149="","","Major")</f>
        <v/>
      </c>
      <c r="C444" s="18">
        <f>IF('US Open'!$G149="","",'US Open'!$B$3)</f>
        <v/>
      </c>
      <c r="D444">
        <f>IF('US Open'!$G149="","",'US Open'!$D149&amp;"")</f>
        <v/>
      </c>
      <c r="F444">
        <f>IF('US Open'!$G149="","",'US Open'!$A149&amp;"")</f>
        <v/>
      </c>
      <c r="J444">
        <f>IF('US Open'!$G149="","",'US Open'!$E149)</f>
        <v/>
      </c>
      <c r="K444">
        <f>IF('US Open'!$G149="","",'US Open'!$J149)</f>
        <v/>
      </c>
      <c r="L444">
        <f>IF('US Open'!$G149="","","")</f>
        <v/>
      </c>
      <c r="M444">
        <f>IF('US Open'!$G149="","",'US Open'!$F149)</f>
        <v/>
      </c>
      <c r="N444">
        <f>IF('US Open'!$G149="","",'US Open'!$G149)</f>
        <v/>
      </c>
      <c r="O444">
        <f>IF('US Open'!$G149="","",'US Open'!$G149)</f>
        <v/>
      </c>
      <c r="P444">
        <f>IF('US Open'!$G149="","",'US Open'!$H149)</f>
        <v/>
      </c>
    </row>
    <row r="445">
      <c r="A445">
        <f>IF('US Open'!$G150="","","US Open")</f>
        <v/>
      </c>
      <c r="B445">
        <f>IF('US Open'!$G150="","","Major")</f>
        <v/>
      </c>
      <c r="C445" s="18">
        <f>IF('US Open'!$G150="","",'US Open'!$B$3)</f>
        <v/>
      </c>
      <c r="D445">
        <f>IF('US Open'!$G150="","",'US Open'!$D150&amp;"")</f>
        <v/>
      </c>
      <c r="F445">
        <f>IF('US Open'!$G150="","",'US Open'!$A150&amp;"")</f>
        <v/>
      </c>
      <c r="J445">
        <f>IF('US Open'!$G150="","",'US Open'!$E150)</f>
        <v/>
      </c>
      <c r="K445">
        <f>IF('US Open'!$G150="","",'US Open'!$J150)</f>
        <v/>
      </c>
      <c r="L445">
        <f>IF('US Open'!$G150="","","")</f>
        <v/>
      </c>
      <c r="M445">
        <f>IF('US Open'!$G150="","",'US Open'!$F150)</f>
        <v/>
      </c>
      <c r="N445">
        <f>IF('US Open'!$G150="","",'US Open'!$G150)</f>
        <v/>
      </c>
      <c r="O445">
        <f>IF('US Open'!$G150="","",'US Open'!$G150)</f>
        <v/>
      </c>
      <c r="P445">
        <f>IF('US Open'!$G150="","",'US Open'!$H150)</f>
        <v/>
      </c>
    </row>
    <row r="446">
      <c r="A446">
        <f>IF('US Open'!$G151="","","US Open")</f>
        <v/>
      </c>
      <c r="B446">
        <f>IF('US Open'!$G151="","","Major")</f>
        <v/>
      </c>
      <c r="C446" s="18">
        <f>IF('US Open'!$G151="","",'US Open'!$B$3)</f>
        <v/>
      </c>
      <c r="D446">
        <f>IF('US Open'!$G151="","",'US Open'!$D151&amp;"")</f>
        <v/>
      </c>
      <c r="F446">
        <f>IF('US Open'!$G151="","",'US Open'!$A151&amp;"")</f>
        <v/>
      </c>
      <c r="J446">
        <f>IF('US Open'!$G151="","",'US Open'!$E151)</f>
        <v/>
      </c>
      <c r="K446">
        <f>IF('US Open'!$G151="","",'US Open'!$J151)</f>
        <v/>
      </c>
      <c r="L446">
        <f>IF('US Open'!$G151="","","")</f>
        <v/>
      </c>
      <c r="M446">
        <f>IF('US Open'!$G151="","",'US Open'!$F151)</f>
        <v/>
      </c>
      <c r="N446">
        <f>IF('US Open'!$G151="","",'US Open'!$G151)</f>
        <v/>
      </c>
      <c r="O446">
        <f>IF('US Open'!$G151="","",'US Open'!$G151)</f>
        <v/>
      </c>
      <c r="P446">
        <f>IF('US Open'!$G151="","",'US Open'!$H151)</f>
        <v/>
      </c>
    </row>
    <row r="447">
      <c r="A447">
        <f>IF('US Open'!$G152="","","US Open")</f>
        <v/>
      </c>
      <c r="B447">
        <f>IF('US Open'!$G152="","","Major")</f>
        <v/>
      </c>
      <c r="C447" s="18">
        <f>IF('US Open'!$G152="","",'US Open'!$B$3)</f>
        <v/>
      </c>
      <c r="D447">
        <f>IF('US Open'!$G152="","",'US Open'!$D152&amp;"")</f>
        <v/>
      </c>
      <c r="F447">
        <f>IF('US Open'!$G152="","",'US Open'!$A152&amp;"")</f>
        <v/>
      </c>
      <c r="J447">
        <f>IF('US Open'!$G152="","",'US Open'!$E152)</f>
        <v/>
      </c>
      <c r="K447">
        <f>IF('US Open'!$G152="","",'US Open'!$J152)</f>
        <v/>
      </c>
      <c r="L447">
        <f>IF('US Open'!$G152="","","")</f>
        <v/>
      </c>
      <c r="M447">
        <f>IF('US Open'!$G152="","",'US Open'!$F152)</f>
        <v/>
      </c>
      <c r="N447">
        <f>IF('US Open'!$G152="","",'US Open'!$G152)</f>
        <v/>
      </c>
      <c r="O447">
        <f>IF('US Open'!$G152="","",'US Open'!$G152)</f>
        <v/>
      </c>
      <c r="P447">
        <f>IF('US Open'!$G152="","",'US Open'!$H152)</f>
        <v/>
      </c>
    </row>
    <row r="448">
      <c r="A448">
        <f>IF('US Open'!$G153="","","US Open")</f>
        <v/>
      </c>
      <c r="B448">
        <f>IF('US Open'!$G153="","","Major")</f>
        <v/>
      </c>
      <c r="C448" s="18">
        <f>IF('US Open'!$G153="","",'US Open'!$B$3)</f>
        <v/>
      </c>
      <c r="D448">
        <f>IF('US Open'!$G153="","",'US Open'!$D153&amp;"")</f>
        <v/>
      </c>
      <c r="F448">
        <f>IF('US Open'!$G153="","",'US Open'!$A153&amp;"")</f>
        <v/>
      </c>
      <c r="J448">
        <f>IF('US Open'!$G153="","",'US Open'!$E153)</f>
        <v/>
      </c>
      <c r="K448">
        <f>IF('US Open'!$G153="","",'US Open'!$J153)</f>
        <v/>
      </c>
      <c r="L448">
        <f>IF('US Open'!$G153="","","")</f>
        <v/>
      </c>
      <c r="M448">
        <f>IF('US Open'!$G153="","",'US Open'!$F153)</f>
        <v/>
      </c>
      <c r="N448">
        <f>IF('US Open'!$G153="","",'US Open'!$G153)</f>
        <v/>
      </c>
      <c r="O448">
        <f>IF('US Open'!$G153="","",'US Open'!$G153)</f>
        <v/>
      </c>
      <c r="P448">
        <f>IF('US Open'!$G153="","",'US Open'!$H153)</f>
        <v/>
      </c>
    </row>
    <row r="449">
      <c r="A449">
        <f>IF('US Open'!$G154="","","US Open")</f>
        <v/>
      </c>
      <c r="B449">
        <f>IF('US Open'!$G154="","","Major")</f>
        <v/>
      </c>
      <c r="C449" s="18">
        <f>IF('US Open'!$G154="","",'US Open'!$B$3)</f>
        <v/>
      </c>
      <c r="D449">
        <f>IF('US Open'!$G154="","",'US Open'!$D154&amp;"")</f>
        <v/>
      </c>
      <c r="F449">
        <f>IF('US Open'!$G154="","",'US Open'!$A154&amp;"")</f>
        <v/>
      </c>
      <c r="J449">
        <f>IF('US Open'!$G154="","",'US Open'!$E154)</f>
        <v/>
      </c>
      <c r="K449">
        <f>IF('US Open'!$G154="","",'US Open'!$J154)</f>
        <v/>
      </c>
      <c r="L449">
        <f>IF('US Open'!$G154="","","")</f>
        <v/>
      </c>
      <c r="M449">
        <f>IF('US Open'!$G154="","",'US Open'!$F154)</f>
        <v/>
      </c>
      <c r="N449">
        <f>IF('US Open'!$G154="","",'US Open'!$G154)</f>
        <v/>
      </c>
      <c r="O449">
        <f>IF('US Open'!$G154="","",'US Open'!$G154)</f>
        <v/>
      </c>
      <c r="P449">
        <f>IF('US Open'!$G154="","",'US Open'!$H154)</f>
        <v/>
      </c>
    </row>
    <row r="450">
      <c r="A450">
        <f>IF('US Open'!$G155="","","US Open")</f>
        <v/>
      </c>
      <c r="B450">
        <f>IF('US Open'!$G155="","","Major")</f>
        <v/>
      </c>
      <c r="C450" s="18">
        <f>IF('US Open'!$G155="","",'US Open'!$B$3)</f>
        <v/>
      </c>
      <c r="D450">
        <f>IF('US Open'!$G155="","",'US Open'!$D155&amp;"")</f>
        <v/>
      </c>
      <c r="F450">
        <f>IF('US Open'!$G155="","",'US Open'!$A155&amp;"")</f>
        <v/>
      </c>
      <c r="J450">
        <f>IF('US Open'!$G155="","",'US Open'!$E155)</f>
        <v/>
      </c>
      <c r="K450">
        <f>IF('US Open'!$G155="","",'US Open'!$J155)</f>
        <v/>
      </c>
      <c r="L450">
        <f>IF('US Open'!$G155="","","")</f>
        <v/>
      </c>
      <c r="M450">
        <f>IF('US Open'!$G155="","",'US Open'!$F155)</f>
        <v/>
      </c>
      <c r="N450">
        <f>IF('US Open'!$G155="","",'US Open'!$G155)</f>
        <v/>
      </c>
      <c r="O450">
        <f>IF('US Open'!$G155="","",'US Open'!$G155)</f>
        <v/>
      </c>
      <c r="P450">
        <f>IF('US Open'!$G155="","",'US Open'!$H155)</f>
        <v/>
      </c>
    </row>
    <row r="451">
      <c r="A451">
        <f>IF('US Open'!$G156="","","US Open")</f>
        <v/>
      </c>
      <c r="B451">
        <f>IF('US Open'!$G156="","","Major")</f>
        <v/>
      </c>
      <c r="C451" s="18">
        <f>IF('US Open'!$G156="","",'US Open'!$B$3)</f>
        <v/>
      </c>
      <c r="D451">
        <f>IF('US Open'!$G156="","",'US Open'!$D156&amp;"")</f>
        <v/>
      </c>
      <c r="F451">
        <f>IF('US Open'!$G156="","",'US Open'!$A156&amp;"")</f>
        <v/>
      </c>
      <c r="J451">
        <f>IF('US Open'!$G156="","",'US Open'!$E156)</f>
        <v/>
      </c>
      <c r="K451">
        <f>IF('US Open'!$G156="","",'US Open'!$J156)</f>
        <v/>
      </c>
      <c r="L451">
        <f>IF('US Open'!$G156="","","")</f>
        <v/>
      </c>
      <c r="M451">
        <f>IF('US Open'!$G156="","",'US Open'!$F156)</f>
        <v/>
      </c>
      <c r="N451">
        <f>IF('US Open'!$G156="","",'US Open'!$G156)</f>
        <v/>
      </c>
      <c r="O451">
        <f>IF('US Open'!$G156="","",'US Open'!$G156)</f>
        <v/>
      </c>
      <c r="P451">
        <f>IF('US Open'!$G156="","",'US Open'!$H156)</f>
        <v/>
      </c>
    </row>
    <row r="452">
      <c r="A452">
        <f>IF('The Open'!$G7="","","The Open")</f>
        <v/>
      </c>
      <c r="B452">
        <f>IF('The Open'!$G7="","","Major")</f>
        <v/>
      </c>
      <c r="C452" s="18">
        <f>IF('The Open'!$G7="","",'The Open'!$B$3)</f>
        <v/>
      </c>
      <c r="D452">
        <f>IF('The Open'!$G7="","",'The Open'!$D7&amp;"")</f>
        <v/>
      </c>
      <c r="F452">
        <f>IF('The Open'!$G7="","",'The Open'!$A7&amp;"")</f>
        <v/>
      </c>
      <c r="J452">
        <f>IF('The Open'!$G7="","",'The Open'!$E7)</f>
        <v/>
      </c>
      <c r="K452">
        <f>IF('The Open'!$G7="","",'The Open'!$J7)</f>
        <v/>
      </c>
      <c r="L452">
        <f>IF('The Open'!$G7="","","")</f>
        <v/>
      </c>
      <c r="M452">
        <f>IF('The Open'!$G7="","",'The Open'!$F7)</f>
        <v/>
      </c>
      <c r="N452">
        <f>IF('The Open'!$G7="","",'The Open'!$G7)</f>
        <v/>
      </c>
      <c r="O452">
        <f>IF('The Open'!$G7="","",'The Open'!$G7)</f>
        <v/>
      </c>
      <c r="P452">
        <f>IF('The Open'!$G7="","",'The Open'!$H7)</f>
        <v/>
      </c>
    </row>
    <row r="453">
      <c r="A453">
        <f>IF('The Open'!$G8="","","The Open")</f>
        <v/>
      </c>
      <c r="B453">
        <f>IF('The Open'!$G8="","","Major")</f>
        <v/>
      </c>
      <c r="C453" s="18">
        <f>IF('The Open'!$G8="","",'The Open'!$B$3)</f>
        <v/>
      </c>
      <c r="D453">
        <f>IF('The Open'!$G8="","",'The Open'!$D8&amp;"")</f>
        <v/>
      </c>
      <c r="F453">
        <f>IF('The Open'!$G8="","",'The Open'!$A8&amp;"")</f>
        <v/>
      </c>
      <c r="J453">
        <f>IF('The Open'!$G8="","",'The Open'!$E8)</f>
        <v/>
      </c>
      <c r="K453">
        <f>IF('The Open'!$G8="","",'The Open'!$J8)</f>
        <v/>
      </c>
      <c r="L453">
        <f>IF('The Open'!$G8="","","")</f>
        <v/>
      </c>
      <c r="M453">
        <f>IF('The Open'!$G8="","",'The Open'!$F8)</f>
        <v/>
      </c>
      <c r="N453">
        <f>IF('The Open'!$G8="","",'The Open'!$G8)</f>
        <v/>
      </c>
      <c r="O453">
        <f>IF('The Open'!$G8="","",'The Open'!$G8)</f>
        <v/>
      </c>
      <c r="P453">
        <f>IF('The Open'!$G8="","",'The Open'!$H8)</f>
        <v/>
      </c>
    </row>
    <row r="454">
      <c r="A454">
        <f>IF('The Open'!$G9="","","The Open")</f>
        <v/>
      </c>
      <c r="B454">
        <f>IF('The Open'!$G9="","","Major")</f>
        <v/>
      </c>
      <c r="C454" s="18">
        <f>IF('The Open'!$G9="","",'The Open'!$B$3)</f>
        <v/>
      </c>
      <c r="D454">
        <f>IF('The Open'!$G9="","",'The Open'!$D9&amp;"")</f>
        <v/>
      </c>
      <c r="F454">
        <f>IF('The Open'!$G9="","",'The Open'!$A9&amp;"")</f>
        <v/>
      </c>
      <c r="J454">
        <f>IF('The Open'!$G9="","",'The Open'!$E9)</f>
        <v/>
      </c>
      <c r="K454">
        <f>IF('The Open'!$G9="","",'The Open'!$J9)</f>
        <v/>
      </c>
      <c r="L454">
        <f>IF('The Open'!$G9="","","")</f>
        <v/>
      </c>
      <c r="M454">
        <f>IF('The Open'!$G9="","",'The Open'!$F9)</f>
        <v/>
      </c>
      <c r="N454">
        <f>IF('The Open'!$G9="","",'The Open'!$G9)</f>
        <v/>
      </c>
      <c r="O454">
        <f>IF('The Open'!$G9="","",'The Open'!$G9)</f>
        <v/>
      </c>
      <c r="P454">
        <f>IF('The Open'!$G9="","",'The Open'!$H9)</f>
        <v/>
      </c>
    </row>
    <row r="455">
      <c r="A455">
        <f>IF('The Open'!$G10="","","The Open")</f>
        <v/>
      </c>
      <c r="B455">
        <f>IF('The Open'!$G10="","","Major")</f>
        <v/>
      </c>
      <c r="C455" s="18">
        <f>IF('The Open'!$G10="","",'The Open'!$B$3)</f>
        <v/>
      </c>
      <c r="D455">
        <f>IF('The Open'!$G10="","",'The Open'!$D10&amp;"")</f>
        <v/>
      </c>
      <c r="F455">
        <f>IF('The Open'!$G10="","",'The Open'!$A10&amp;"")</f>
        <v/>
      </c>
      <c r="J455">
        <f>IF('The Open'!$G10="","",'The Open'!$E10)</f>
        <v/>
      </c>
      <c r="K455">
        <f>IF('The Open'!$G10="","",'The Open'!$J10)</f>
        <v/>
      </c>
      <c r="L455">
        <f>IF('The Open'!$G10="","","")</f>
        <v/>
      </c>
      <c r="M455">
        <f>IF('The Open'!$G10="","",'The Open'!$F10)</f>
        <v/>
      </c>
      <c r="N455">
        <f>IF('The Open'!$G10="","",'The Open'!$G10)</f>
        <v/>
      </c>
      <c r="O455">
        <f>IF('The Open'!$G10="","",'The Open'!$G10)</f>
        <v/>
      </c>
      <c r="P455">
        <f>IF('The Open'!$G10="","",'The Open'!$H10)</f>
        <v/>
      </c>
    </row>
    <row r="456">
      <c r="A456">
        <f>IF('The Open'!$G11="","","The Open")</f>
        <v/>
      </c>
      <c r="B456">
        <f>IF('The Open'!$G11="","","Major")</f>
        <v/>
      </c>
      <c r="C456" s="18">
        <f>IF('The Open'!$G11="","",'The Open'!$B$3)</f>
        <v/>
      </c>
      <c r="D456">
        <f>IF('The Open'!$G11="","",'The Open'!$D11&amp;"")</f>
        <v/>
      </c>
      <c r="F456">
        <f>IF('The Open'!$G11="","",'The Open'!$A11&amp;"")</f>
        <v/>
      </c>
      <c r="J456">
        <f>IF('The Open'!$G11="","",'The Open'!$E11)</f>
        <v/>
      </c>
      <c r="K456">
        <f>IF('The Open'!$G11="","",'The Open'!$J11)</f>
        <v/>
      </c>
      <c r="L456">
        <f>IF('The Open'!$G11="","","")</f>
        <v/>
      </c>
      <c r="M456">
        <f>IF('The Open'!$G11="","",'The Open'!$F11)</f>
        <v/>
      </c>
      <c r="N456">
        <f>IF('The Open'!$G11="","",'The Open'!$G11)</f>
        <v/>
      </c>
      <c r="O456">
        <f>IF('The Open'!$G11="","",'The Open'!$G11)</f>
        <v/>
      </c>
      <c r="P456">
        <f>IF('The Open'!$G11="","",'The Open'!$H11)</f>
        <v/>
      </c>
    </row>
    <row r="457">
      <c r="A457">
        <f>IF('The Open'!$G12="","","The Open")</f>
        <v/>
      </c>
      <c r="B457">
        <f>IF('The Open'!$G12="","","Major")</f>
        <v/>
      </c>
      <c r="C457" s="18">
        <f>IF('The Open'!$G12="","",'The Open'!$B$3)</f>
        <v/>
      </c>
      <c r="D457">
        <f>IF('The Open'!$G12="","",'The Open'!$D12&amp;"")</f>
        <v/>
      </c>
      <c r="F457">
        <f>IF('The Open'!$G12="","",'The Open'!$A12&amp;"")</f>
        <v/>
      </c>
      <c r="J457">
        <f>IF('The Open'!$G12="","",'The Open'!$E12)</f>
        <v/>
      </c>
      <c r="K457">
        <f>IF('The Open'!$G12="","",'The Open'!$J12)</f>
        <v/>
      </c>
      <c r="L457">
        <f>IF('The Open'!$G12="","","")</f>
        <v/>
      </c>
      <c r="M457">
        <f>IF('The Open'!$G12="","",'The Open'!$F12)</f>
        <v/>
      </c>
      <c r="N457">
        <f>IF('The Open'!$G12="","",'The Open'!$G12)</f>
        <v/>
      </c>
      <c r="O457">
        <f>IF('The Open'!$G12="","",'The Open'!$G12)</f>
        <v/>
      </c>
      <c r="P457">
        <f>IF('The Open'!$G12="","",'The Open'!$H12)</f>
        <v/>
      </c>
    </row>
    <row r="458">
      <c r="A458">
        <f>IF('The Open'!$G13="","","The Open")</f>
        <v/>
      </c>
      <c r="B458">
        <f>IF('The Open'!$G13="","","Major")</f>
        <v/>
      </c>
      <c r="C458" s="18">
        <f>IF('The Open'!$G13="","",'The Open'!$B$3)</f>
        <v/>
      </c>
      <c r="D458">
        <f>IF('The Open'!$G13="","",'The Open'!$D13&amp;"")</f>
        <v/>
      </c>
      <c r="F458">
        <f>IF('The Open'!$G13="","",'The Open'!$A13&amp;"")</f>
        <v/>
      </c>
      <c r="J458">
        <f>IF('The Open'!$G13="","",'The Open'!$E13)</f>
        <v/>
      </c>
      <c r="K458">
        <f>IF('The Open'!$G13="","",'The Open'!$J13)</f>
        <v/>
      </c>
      <c r="L458">
        <f>IF('The Open'!$G13="","","")</f>
        <v/>
      </c>
      <c r="M458">
        <f>IF('The Open'!$G13="","",'The Open'!$F13)</f>
        <v/>
      </c>
      <c r="N458">
        <f>IF('The Open'!$G13="","",'The Open'!$G13)</f>
        <v/>
      </c>
      <c r="O458">
        <f>IF('The Open'!$G13="","",'The Open'!$G13)</f>
        <v/>
      </c>
      <c r="P458">
        <f>IF('The Open'!$G13="","",'The Open'!$H13)</f>
        <v/>
      </c>
    </row>
    <row r="459">
      <c r="A459">
        <f>IF('The Open'!$G14="","","The Open")</f>
        <v/>
      </c>
      <c r="B459">
        <f>IF('The Open'!$G14="","","Major")</f>
        <v/>
      </c>
      <c r="C459" s="18">
        <f>IF('The Open'!$G14="","",'The Open'!$B$3)</f>
        <v/>
      </c>
      <c r="D459">
        <f>IF('The Open'!$G14="","",'The Open'!$D14&amp;"")</f>
        <v/>
      </c>
      <c r="F459">
        <f>IF('The Open'!$G14="","",'The Open'!$A14&amp;"")</f>
        <v/>
      </c>
      <c r="J459">
        <f>IF('The Open'!$G14="","",'The Open'!$E14)</f>
        <v/>
      </c>
      <c r="K459">
        <f>IF('The Open'!$G14="","",'The Open'!$J14)</f>
        <v/>
      </c>
      <c r="L459">
        <f>IF('The Open'!$G14="","","")</f>
        <v/>
      </c>
      <c r="M459">
        <f>IF('The Open'!$G14="","",'The Open'!$F14)</f>
        <v/>
      </c>
      <c r="N459">
        <f>IF('The Open'!$G14="","",'The Open'!$G14)</f>
        <v/>
      </c>
      <c r="O459">
        <f>IF('The Open'!$G14="","",'The Open'!$G14)</f>
        <v/>
      </c>
      <c r="P459">
        <f>IF('The Open'!$G14="","",'The Open'!$H14)</f>
        <v/>
      </c>
    </row>
    <row r="460">
      <c r="A460">
        <f>IF('The Open'!$G15="","","The Open")</f>
        <v/>
      </c>
      <c r="B460">
        <f>IF('The Open'!$G15="","","Major")</f>
        <v/>
      </c>
      <c r="C460" s="18">
        <f>IF('The Open'!$G15="","",'The Open'!$B$3)</f>
        <v/>
      </c>
      <c r="D460">
        <f>IF('The Open'!$G15="","",'The Open'!$D15&amp;"")</f>
        <v/>
      </c>
      <c r="F460">
        <f>IF('The Open'!$G15="","",'The Open'!$A15&amp;"")</f>
        <v/>
      </c>
      <c r="J460">
        <f>IF('The Open'!$G15="","",'The Open'!$E15)</f>
        <v/>
      </c>
      <c r="K460">
        <f>IF('The Open'!$G15="","",'The Open'!$J15)</f>
        <v/>
      </c>
      <c r="L460">
        <f>IF('The Open'!$G15="","","")</f>
        <v/>
      </c>
      <c r="M460">
        <f>IF('The Open'!$G15="","",'The Open'!$F15)</f>
        <v/>
      </c>
      <c r="N460">
        <f>IF('The Open'!$G15="","",'The Open'!$G15)</f>
        <v/>
      </c>
      <c r="O460">
        <f>IF('The Open'!$G15="","",'The Open'!$G15)</f>
        <v/>
      </c>
      <c r="P460">
        <f>IF('The Open'!$G15="","",'The Open'!$H15)</f>
        <v/>
      </c>
    </row>
    <row r="461">
      <c r="A461">
        <f>IF('The Open'!$G16="","","The Open")</f>
        <v/>
      </c>
      <c r="B461">
        <f>IF('The Open'!$G16="","","Major")</f>
        <v/>
      </c>
      <c r="C461" s="18">
        <f>IF('The Open'!$G16="","",'The Open'!$B$3)</f>
        <v/>
      </c>
      <c r="D461">
        <f>IF('The Open'!$G16="","",'The Open'!$D16&amp;"")</f>
        <v/>
      </c>
      <c r="F461">
        <f>IF('The Open'!$G16="","",'The Open'!$A16&amp;"")</f>
        <v/>
      </c>
      <c r="J461">
        <f>IF('The Open'!$G16="","",'The Open'!$E16)</f>
        <v/>
      </c>
      <c r="K461">
        <f>IF('The Open'!$G16="","",'The Open'!$J16)</f>
        <v/>
      </c>
      <c r="L461">
        <f>IF('The Open'!$G16="","","")</f>
        <v/>
      </c>
      <c r="M461">
        <f>IF('The Open'!$G16="","",'The Open'!$F16)</f>
        <v/>
      </c>
      <c r="N461">
        <f>IF('The Open'!$G16="","",'The Open'!$G16)</f>
        <v/>
      </c>
      <c r="O461">
        <f>IF('The Open'!$G16="","",'The Open'!$G16)</f>
        <v/>
      </c>
      <c r="P461">
        <f>IF('The Open'!$G16="","",'The Open'!$H16)</f>
        <v/>
      </c>
    </row>
    <row r="462">
      <c r="A462">
        <f>IF('The Open'!$G17="","","The Open")</f>
        <v/>
      </c>
      <c r="B462">
        <f>IF('The Open'!$G17="","","Major")</f>
        <v/>
      </c>
      <c r="C462" s="18">
        <f>IF('The Open'!$G17="","",'The Open'!$B$3)</f>
        <v/>
      </c>
      <c r="D462">
        <f>IF('The Open'!$G17="","",'The Open'!$D17&amp;"")</f>
        <v/>
      </c>
      <c r="F462">
        <f>IF('The Open'!$G17="","",'The Open'!$A17&amp;"")</f>
        <v/>
      </c>
      <c r="J462">
        <f>IF('The Open'!$G17="","",'The Open'!$E17)</f>
        <v/>
      </c>
      <c r="K462">
        <f>IF('The Open'!$G17="","",'The Open'!$J17)</f>
        <v/>
      </c>
      <c r="L462">
        <f>IF('The Open'!$G17="","","")</f>
        <v/>
      </c>
      <c r="M462">
        <f>IF('The Open'!$G17="","",'The Open'!$F17)</f>
        <v/>
      </c>
      <c r="N462">
        <f>IF('The Open'!$G17="","",'The Open'!$G17)</f>
        <v/>
      </c>
      <c r="O462">
        <f>IF('The Open'!$G17="","",'The Open'!$G17)</f>
        <v/>
      </c>
      <c r="P462">
        <f>IF('The Open'!$G17="","",'The Open'!$H17)</f>
        <v/>
      </c>
    </row>
    <row r="463">
      <c r="A463">
        <f>IF('The Open'!$G18="","","The Open")</f>
        <v/>
      </c>
      <c r="B463">
        <f>IF('The Open'!$G18="","","Major")</f>
        <v/>
      </c>
      <c r="C463" s="18">
        <f>IF('The Open'!$G18="","",'The Open'!$B$3)</f>
        <v/>
      </c>
      <c r="D463">
        <f>IF('The Open'!$G18="","",'The Open'!$D18&amp;"")</f>
        <v/>
      </c>
      <c r="F463">
        <f>IF('The Open'!$G18="","",'The Open'!$A18&amp;"")</f>
        <v/>
      </c>
      <c r="J463">
        <f>IF('The Open'!$G18="","",'The Open'!$E18)</f>
        <v/>
      </c>
      <c r="K463">
        <f>IF('The Open'!$G18="","",'The Open'!$J18)</f>
        <v/>
      </c>
      <c r="L463">
        <f>IF('The Open'!$G18="","","")</f>
        <v/>
      </c>
      <c r="M463">
        <f>IF('The Open'!$G18="","",'The Open'!$F18)</f>
        <v/>
      </c>
      <c r="N463">
        <f>IF('The Open'!$G18="","",'The Open'!$G18)</f>
        <v/>
      </c>
      <c r="O463">
        <f>IF('The Open'!$G18="","",'The Open'!$G18)</f>
        <v/>
      </c>
      <c r="P463">
        <f>IF('The Open'!$G18="","",'The Open'!$H18)</f>
        <v/>
      </c>
    </row>
    <row r="464">
      <c r="A464">
        <f>IF('The Open'!$G19="","","The Open")</f>
        <v/>
      </c>
      <c r="B464">
        <f>IF('The Open'!$G19="","","Major")</f>
        <v/>
      </c>
      <c r="C464" s="18">
        <f>IF('The Open'!$G19="","",'The Open'!$B$3)</f>
        <v/>
      </c>
      <c r="D464">
        <f>IF('The Open'!$G19="","",'The Open'!$D19&amp;"")</f>
        <v/>
      </c>
      <c r="F464">
        <f>IF('The Open'!$G19="","",'The Open'!$A19&amp;"")</f>
        <v/>
      </c>
      <c r="J464">
        <f>IF('The Open'!$G19="","",'The Open'!$E19)</f>
        <v/>
      </c>
      <c r="K464">
        <f>IF('The Open'!$G19="","",'The Open'!$J19)</f>
        <v/>
      </c>
      <c r="L464">
        <f>IF('The Open'!$G19="","","")</f>
        <v/>
      </c>
      <c r="M464">
        <f>IF('The Open'!$G19="","",'The Open'!$F19)</f>
        <v/>
      </c>
      <c r="N464">
        <f>IF('The Open'!$G19="","",'The Open'!$G19)</f>
        <v/>
      </c>
      <c r="O464">
        <f>IF('The Open'!$G19="","",'The Open'!$G19)</f>
        <v/>
      </c>
      <c r="P464">
        <f>IF('The Open'!$G19="","",'The Open'!$H19)</f>
        <v/>
      </c>
    </row>
    <row r="465">
      <c r="A465">
        <f>IF('The Open'!$G20="","","The Open")</f>
        <v/>
      </c>
      <c r="B465">
        <f>IF('The Open'!$G20="","","Major")</f>
        <v/>
      </c>
      <c r="C465" s="18">
        <f>IF('The Open'!$G20="","",'The Open'!$B$3)</f>
        <v/>
      </c>
      <c r="D465">
        <f>IF('The Open'!$G20="","",'The Open'!$D20&amp;"")</f>
        <v/>
      </c>
      <c r="F465">
        <f>IF('The Open'!$G20="","",'The Open'!$A20&amp;"")</f>
        <v/>
      </c>
      <c r="J465">
        <f>IF('The Open'!$G20="","",'The Open'!$E20)</f>
        <v/>
      </c>
      <c r="K465">
        <f>IF('The Open'!$G20="","",'The Open'!$J20)</f>
        <v/>
      </c>
      <c r="L465">
        <f>IF('The Open'!$G20="","","")</f>
        <v/>
      </c>
      <c r="M465">
        <f>IF('The Open'!$G20="","",'The Open'!$F20)</f>
        <v/>
      </c>
      <c r="N465">
        <f>IF('The Open'!$G20="","",'The Open'!$G20)</f>
        <v/>
      </c>
      <c r="O465">
        <f>IF('The Open'!$G20="","",'The Open'!$G20)</f>
        <v/>
      </c>
      <c r="P465">
        <f>IF('The Open'!$G20="","",'The Open'!$H20)</f>
        <v/>
      </c>
    </row>
    <row r="466">
      <c r="A466">
        <f>IF('The Open'!$G21="","","The Open")</f>
        <v/>
      </c>
      <c r="B466">
        <f>IF('The Open'!$G21="","","Major")</f>
        <v/>
      </c>
      <c r="C466" s="18">
        <f>IF('The Open'!$G21="","",'The Open'!$B$3)</f>
        <v/>
      </c>
      <c r="D466">
        <f>IF('The Open'!$G21="","",'The Open'!$D21&amp;"")</f>
        <v/>
      </c>
      <c r="F466">
        <f>IF('The Open'!$G21="","",'The Open'!$A21&amp;"")</f>
        <v/>
      </c>
      <c r="J466">
        <f>IF('The Open'!$G21="","",'The Open'!$E21)</f>
        <v/>
      </c>
      <c r="K466">
        <f>IF('The Open'!$G21="","",'The Open'!$J21)</f>
        <v/>
      </c>
      <c r="L466">
        <f>IF('The Open'!$G21="","","")</f>
        <v/>
      </c>
      <c r="M466">
        <f>IF('The Open'!$G21="","",'The Open'!$F21)</f>
        <v/>
      </c>
      <c r="N466">
        <f>IF('The Open'!$G21="","",'The Open'!$G21)</f>
        <v/>
      </c>
      <c r="O466">
        <f>IF('The Open'!$G21="","",'The Open'!$G21)</f>
        <v/>
      </c>
      <c r="P466">
        <f>IF('The Open'!$G21="","",'The Open'!$H21)</f>
        <v/>
      </c>
    </row>
    <row r="467">
      <c r="A467">
        <f>IF('The Open'!$G22="","","The Open")</f>
        <v/>
      </c>
      <c r="B467">
        <f>IF('The Open'!$G22="","","Major")</f>
        <v/>
      </c>
      <c r="C467" s="18">
        <f>IF('The Open'!$G22="","",'The Open'!$B$3)</f>
        <v/>
      </c>
      <c r="D467">
        <f>IF('The Open'!$G22="","",'The Open'!$D22&amp;"")</f>
        <v/>
      </c>
      <c r="F467">
        <f>IF('The Open'!$G22="","",'The Open'!$A22&amp;"")</f>
        <v/>
      </c>
      <c r="J467">
        <f>IF('The Open'!$G22="","",'The Open'!$E22)</f>
        <v/>
      </c>
      <c r="K467">
        <f>IF('The Open'!$G22="","",'The Open'!$J22)</f>
        <v/>
      </c>
      <c r="L467">
        <f>IF('The Open'!$G22="","","")</f>
        <v/>
      </c>
      <c r="M467">
        <f>IF('The Open'!$G22="","",'The Open'!$F22)</f>
        <v/>
      </c>
      <c r="N467">
        <f>IF('The Open'!$G22="","",'The Open'!$G22)</f>
        <v/>
      </c>
      <c r="O467">
        <f>IF('The Open'!$G22="","",'The Open'!$G22)</f>
        <v/>
      </c>
      <c r="P467">
        <f>IF('The Open'!$G22="","",'The Open'!$H22)</f>
        <v/>
      </c>
    </row>
    <row r="468">
      <c r="A468">
        <f>IF('The Open'!$G23="","","The Open")</f>
        <v/>
      </c>
      <c r="B468">
        <f>IF('The Open'!$G23="","","Major")</f>
        <v/>
      </c>
      <c r="C468" s="18">
        <f>IF('The Open'!$G23="","",'The Open'!$B$3)</f>
        <v/>
      </c>
      <c r="D468">
        <f>IF('The Open'!$G23="","",'The Open'!$D23&amp;"")</f>
        <v/>
      </c>
      <c r="F468">
        <f>IF('The Open'!$G23="","",'The Open'!$A23&amp;"")</f>
        <v/>
      </c>
      <c r="J468">
        <f>IF('The Open'!$G23="","",'The Open'!$E23)</f>
        <v/>
      </c>
      <c r="K468">
        <f>IF('The Open'!$G23="","",'The Open'!$J23)</f>
        <v/>
      </c>
      <c r="L468">
        <f>IF('The Open'!$G23="","","")</f>
        <v/>
      </c>
      <c r="M468">
        <f>IF('The Open'!$G23="","",'The Open'!$F23)</f>
        <v/>
      </c>
      <c r="N468">
        <f>IF('The Open'!$G23="","",'The Open'!$G23)</f>
        <v/>
      </c>
      <c r="O468">
        <f>IF('The Open'!$G23="","",'The Open'!$G23)</f>
        <v/>
      </c>
      <c r="P468">
        <f>IF('The Open'!$G23="","",'The Open'!$H23)</f>
        <v/>
      </c>
    </row>
    <row r="469">
      <c r="A469">
        <f>IF('The Open'!$G24="","","The Open")</f>
        <v/>
      </c>
      <c r="B469">
        <f>IF('The Open'!$G24="","","Major")</f>
        <v/>
      </c>
      <c r="C469" s="18">
        <f>IF('The Open'!$G24="","",'The Open'!$B$3)</f>
        <v/>
      </c>
      <c r="D469">
        <f>IF('The Open'!$G24="","",'The Open'!$D24&amp;"")</f>
        <v/>
      </c>
      <c r="F469">
        <f>IF('The Open'!$G24="","",'The Open'!$A24&amp;"")</f>
        <v/>
      </c>
      <c r="J469">
        <f>IF('The Open'!$G24="","",'The Open'!$E24)</f>
        <v/>
      </c>
      <c r="K469">
        <f>IF('The Open'!$G24="","",'The Open'!$J24)</f>
        <v/>
      </c>
      <c r="L469">
        <f>IF('The Open'!$G24="","","")</f>
        <v/>
      </c>
      <c r="M469">
        <f>IF('The Open'!$G24="","",'The Open'!$F24)</f>
        <v/>
      </c>
      <c r="N469">
        <f>IF('The Open'!$G24="","",'The Open'!$G24)</f>
        <v/>
      </c>
      <c r="O469">
        <f>IF('The Open'!$G24="","",'The Open'!$G24)</f>
        <v/>
      </c>
      <c r="P469">
        <f>IF('The Open'!$G24="","",'The Open'!$H24)</f>
        <v/>
      </c>
    </row>
    <row r="470">
      <c r="A470">
        <f>IF('The Open'!$G25="","","The Open")</f>
        <v/>
      </c>
      <c r="B470">
        <f>IF('The Open'!$G25="","","Major")</f>
        <v/>
      </c>
      <c r="C470" s="18">
        <f>IF('The Open'!$G25="","",'The Open'!$B$3)</f>
        <v/>
      </c>
      <c r="D470">
        <f>IF('The Open'!$G25="","",'The Open'!$D25&amp;"")</f>
        <v/>
      </c>
      <c r="F470">
        <f>IF('The Open'!$G25="","",'The Open'!$A25&amp;"")</f>
        <v/>
      </c>
      <c r="J470">
        <f>IF('The Open'!$G25="","",'The Open'!$E25)</f>
        <v/>
      </c>
      <c r="K470">
        <f>IF('The Open'!$G25="","",'The Open'!$J25)</f>
        <v/>
      </c>
      <c r="L470">
        <f>IF('The Open'!$G25="","","")</f>
        <v/>
      </c>
      <c r="M470">
        <f>IF('The Open'!$G25="","",'The Open'!$F25)</f>
        <v/>
      </c>
      <c r="N470">
        <f>IF('The Open'!$G25="","",'The Open'!$G25)</f>
        <v/>
      </c>
      <c r="O470">
        <f>IF('The Open'!$G25="","",'The Open'!$G25)</f>
        <v/>
      </c>
      <c r="P470">
        <f>IF('The Open'!$G25="","",'The Open'!$H25)</f>
        <v/>
      </c>
    </row>
    <row r="471">
      <c r="A471">
        <f>IF('The Open'!$G26="","","The Open")</f>
        <v/>
      </c>
      <c r="B471">
        <f>IF('The Open'!$G26="","","Major")</f>
        <v/>
      </c>
      <c r="C471" s="18">
        <f>IF('The Open'!$G26="","",'The Open'!$B$3)</f>
        <v/>
      </c>
      <c r="D471">
        <f>IF('The Open'!$G26="","",'The Open'!$D26&amp;"")</f>
        <v/>
      </c>
      <c r="F471">
        <f>IF('The Open'!$G26="","",'The Open'!$A26&amp;"")</f>
        <v/>
      </c>
      <c r="J471">
        <f>IF('The Open'!$G26="","",'The Open'!$E26)</f>
        <v/>
      </c>
      <c r="K471">
        <f>IF('The Open'!$G26="","",'The Open'!$J26)</f>
        <v/>
      </c>
      <c r="L471">
        <f>IF('The Open'!$G26="","","")</f>
        <v/>
      </c>
      <c r="M471">
        <f>IF('The Open'!$G26="","",'The Open'!$F26)</f>
        <v/>
      </c>
      <c r="N471">
        <f>IF('The Open'!$G26="","",'The Open'!$G26)</f>
        <v/>
      </c>
      <c r="O471">
        <f>IF('The Open'!$G26="","",'The Open'!$G26)</f>
        <v/>
      </c>
      <c r="P471">
        <f>IF('The Open'!$G26="","",'The Open'!$H26)</f>
        <v/>
      </c>
    </row>
    <row r="472">
      <c r="A472">
        <f>IF('The Open'!$G27="","","The Open")</f>
        <v/>
      </c>
      <c r="B472">
        <f>IF('The Open'!$G27="","","Major")</f>
        <v/>
      </c>
      <c r="C472" s="18">
        <f>IF('The Open'!$G27="","",'The Open'!$B$3)</f>
        <v/>
      </c>
      <c r="D472">
        <f>IF('The Open'!$G27="","",'The Open'!$D27&amp;"")</f>
        <v/>
      </c>
      <c r="F472">
        <f>IF('The Open'!$G27="","",'The Open'!$A27&amp;"")</f>
        <v/>
      </c>
      <c r="J472">
        <f>IF('The Open'!$G27="","",'The Open'!$E27)</f>
        <v/>
      </c>
      <c r="K472">
        <f>IF('The Open'!$G27="","",'The Open'!$J27)</f>
        <v/>
      </c>
      <c r="L472">
        <f>IF('The Open'!$G27="","","")</f>
        <v/>
      </c>
      <c r="M472">
        <f>IF('The Open'!$G27="","",'The Open'!$F27)</f>
        <v/>
      </c>
      <c r="N472">
        <f>IF('The Open'!$G27="","",'The Open'!$G27)</f>
        <v/>
      </c>
      <c r="O472">
        <f>IF('The Open'!$G27="","",'The Open'!$G27)</f>
        <v/>
      </c>
      <c r="P472">
        <f>IF('The Open'!$G27="","",'The Open'!$H27)</f>
        <v/>
      </c>
    </row>
    <row r="473">
      <c r="A473">
        <f>IF('The Open'!$G28="","","The Open")</f>
        <v/>
      </c>
      <c r="B473">
        <f>IF('The Open'!$G28="","","Major")</f>
        <v/>
      </c>
      <c r="C473" s="18">
        <f>IF('The Open'!$G28="","",'The Open'!$B$3)</f>
        <v/>
      </c>
      <c r="D473">
        <f>IF('The Open'!$G28="","",'The Open'!$D28&amp;"")</f>
        <v/>
      </c>
      <c r="F473">
        <f>IF('The Open'!$G28="","",'The Open'!$A28&amp;"")</f>
        <v/>
      </c>
      <c r="J473">
        <f>IF('The Open'!$G28="","",'The Open'!$E28)</f>
        <v/>
      </c>
      <c r="K473">
        <f>IF('The Open'!$G28="","",'The Open'!$J28)</f>
        <v/>
      </c>
      <c r="L473">
        <f>IF('The Open'!$G28="","","")</f>
        <v/>
      </c>
      <c r="M473">
        <f>IF('The Open'!$G28="","",'The Open'!$F28)</f>
        <v/>
      </c>
      <c r="N473">
        <f>IF('The Open'!$G28="","",'The Open'!$G28)</f>
        <v/>
      </c>
      <c r="O473">
        <f>IF('The Open'!$G28="","",'The Open'!$G28)</f>
        <v/>
      </c>
      <c r="P473">
        <f>IF('The Open'!$G28="","",'The Open'!$H28)</f>
        <v/>
      </c>
    </row>
    <row r="474">
      <c r="A474">
        <f>IF('The Open'!$G29="","","The Open")</f>
        <v/>
      </c>
      <c r="B474">
        <f>IF('The Open'!$G29="","","Major")</f>
        <v/>
      </c>
      <c r="C474" s="18">
        <f>IF('The Open'!$G29="","",'The Open'!$B$3)</f>
        <v/>
      </c>
      <c r="D474">
        <f>IF('The Open'!$G29="","",'The Open'!$D29&amp;"")</f>
        <v/>
      </c>
      <c r="F474">
        <f>IF('The Open'!$G29="","",'The Open'!$A29&amp;"")</f>
        <v/>
      </c>
      <c r="J474">
        <f>IF('The Open'!$G29="","",'The Open'!$E29)</f>
        <v/>
      </c>
      <c r="K474">
        <f>IF('The Open'!$G29="","",'The Open'!$J29)</f>
        <v/>
      </c>
      <c r="L474">
        <f>IF('The Open'!$G29="","","")</f>
        <v/>
      </c>
      <c r="M474">
        <f>IF('The Open'!$G29="","",'The Open'!$F29)</f>
        <v/>
      </c>
      <c r="N474">
        <f>IF('The Open'!$G29="","",'The Open'!$G29)</f>
        <v/>
      </c>
      <c r="O474">
        <f>IF('The Open'!$G29="","",'The Open'!$G29)</f>
        <v/>
      </c>
      <c r="P474">
        <f>IF('The Open'!$G29="","",'The Open'!$H29)</f>
        <v/>
      </c>
    </row>
    <row r="475">
      <c r="A475">
        <f>IF('The Open'!$G30="","","The Open")</f>
        <v/>
      </c>
      <c r="B475">
        <f>IF('The Open'!$G30="","","Major")</f>
        <v/>
      </c>
      <c r="C475" s="18">
        <f>IF('The Open'!$G30="","",'The Open'!$B$3)</f>
        <v/>
      </c>
      <c r="D475">
        <f>IF('The Open'!$G30="","",'The Open'!$D30&amp;"")</f>
        <v/>
      </c>
      <c r="F475">
        <f>IF('The Open'!$G30="","",'The Open'!$A30&amp;"")</f>
        <v/>
      </c>
      <c r="J475">
        <f>IF('The Open'!$G30="","",'The Open'!$E30)</f>
        <v/>
      </c>
      <c r="K475">
        <f>IF('The Open'!$G30="","",'The Open'!$J30)</f>
        <v/>
      </c>
      <c r="L475">
        <f>IF('The Open'!$G30="","","")</f>
        <v/>
      </c>
      <c r="M475">
        <f>IF('The Open'!$G30="","",'The Open'!$F30)</f>
        <v/>
      </c>
      <c r="N475">
        <f>IF('The Open'!$G30="","",'The Open'!$G30)</f>
        <v/>
      </c>
      <c r="O475">
        <f>IF('The Open'!$G30="","",'The Open'!$G30)</f>
        <v/>
      </c>
      <c r="P475">
        <f>IF('The Open'!$G30="","",'The Open'!$H30)</f>
        <v/>
      </c>
    </row>
    <row r="476">
      <c r="A476">
        <f>IF('The Open'!$G31="","","The Open")</f>
        <v/>
      </c>
      <c r="B476">
        <f>IF('The Open'!$G31="","","Major")</f>
        <v/>
      </c>
      <c r="C476" s="18">
        <f>IF('The Open'!$G31="","",'The Open'!$B$3)</f>
        <v/>
      </c>
      <c r="D476">
        <f>IF('The Open'!$G31="","",'The Open'!$D31&amp;"")</f>
        <v/>
      </c>
      <c r="F476">
        <f>IF('The Open'!$G31="","",'The Open'!$A31&amp;"")</f>
        <v/>
      </c>
      <c r="J476">
        <f>IF('The Open'!$G31="","",'The Open'!$E31)</f>
        <v/>
      </c>
      <c r="K476">
        <f>IF('The Open'!$G31="","",'The Open'!$J31)</f>
        <v/>
      </c>
      <c r="L476">
        <f>IF('The Open'!$G31="","","")</f>
        <v/>
      </c>
      <c r="M476">
        <f>IF('The Open'!$G31="","",'The Open'!$F31)</f>
        <v/>
      </c>
      <c r="N476">
        <f>IF('The Open'!$G31="","",'The Open'!$G31)</f>
        <v/>
      </c>
      <c r="O476">
        <f>IF('The Open'!$G31="","",'The Open'!$G31)</f>
        <v/>
      </c>
      <c r="P476">
        <f>IF('The Open'!$G31="","",'The Open'!$H31)</f>
        <v/>
      </c>
    </row>
    <row r="477">
      <c r="A477">
        <f>IF('The Open'!$G32="","","The Open")</f>
        <v/>
      </c>
      <c r="B477">
        <f>IF('The Open'!$G32="","","Major")</f>
        <v/>
      </c>
      <c r="C477" s="18">
        <f>IF('The Open'!$G32="","",'The Open'!$B$3)</f>
        <v/>
      </c>
      <c r="D477">
        <f>IF('The Open'!$G32="","",'The Open'!$D32&amp;"")</f>
        <v/>
      </c>
      <c r="F477">
        <f>IF('The Open'!$G32="","",'The Open'!$A32&amp;"")</f>
        <v/>
      </c>
      <c r="J477">
        <f>IF('The Open'!$G32="","",'The Open'!$E32)</f>
        <v/>
      </c>
      <c r="K477">
        <f>IF('The Open'!$G32="","",'The Open'!$J32)</f>
        <v/>
      </c>
      <c r="L477">
        <f>IF('The Open'!$G32="","","")</f>
        <v/>
      </c>
      <c r="M477">
        <f>IF('The Open'!$G32="","",'The Open'!$F32)</f>
        <v/>
      </c>
      <c r="N477">
        <f>IF('The Open'!$G32="","",'The Open'!$G32)</f>
        <v/>
      </c>
      <c r="O477">
        <f>IF('The Open'!$G32="","",'The Open'!$G32)</f>
        <v/>
      </c>
      <c r="P477">
        <f>IF('The Open'!$G32="","",'The Open'!$H32)</f>
        <v/>
      </c>
    </row>
    <row r="478">
      <c r="A478">
        <f>IF('The Open'!$G33="","","The Open")</f>
        <v/>
      </c>
      <c r="B478">
        <f>IF('The Open'!$G33="","","Major")</f>
        <v/>
      </c>
      <c r="C478" s="18">
        <f>IF('The Open'!$G33="","",'The Open'!$B$3)</f>
        <v/>
      </c>
      <c r="D478">
        <f>IF('The Open'!$G33="","",'The Open'!$D33&amp;"")</f>
        <v/>
      </c>
      <c r="F478">
        <f>IF('The Open'!$G33="","",'The Open'!$A33&amp;"")</f>
        <v/>
      </c>
      <c r="J478">
        <f>IF('The Open'!$G33="","",'The Open'!$E33)</f>
        <v/>
      </c>
      <c r="K478">
        <f>IF('The Open'!$G33="","",'The Open'!$J33)</f>
        <v/>
      </c>
      <c r="L478">
        <f>IF('The Open'!$G33="","","")</f>
        <v/>
      </c>
      <c r="M478">
        <f>IF('The Open'!$G33="","",'The Open'!$F33)</f>
        <v/>
      </c>
      <c r="N478">
        <f>IF('The Open'!$G33="","",'The Open'!$G33)</f>
        <v/>
      </c>
      <c r="O478">
        <f>IF('The Open'!$G33="","",'The Open'!$G33)</f>
        <v/>
      </c>
      <c r="P478">
        <f>IF('The Open'!$G33="","",'The Open'!$H33)</f>
        <v/>
      </c>
    </row>
    <row r="479">
      <c r="A479">
        <f>IF('The Open'!$G34="","","The Open")</f>
        <v/>
      </c>
      <c r="B479">
        <f>IF('The Open'!$G34="","","Major")</f>
        <v/>
      </c>
      <c r="C479" s="18">
        <f>IF('The Open'!$G34="","",'The Open'!$B$3)</f>
        <v/>
      </c>
      <c r="D479">
        <f>IF('The Open'!$G34="","",'The Open'!$D34&amp;"")</f>
        <v/>
      </c>
      <c r="F479">
        <f>IF('The Open'!$G34="","",'The Open'!$A34&amp;"")</f>
        <v/>
      </c>
      <c r="J479">
        <f>IF('The Open'!$G34="","",'The Open'!$E34)</f>
        <v/>
      </c>
      <c r="K479">
        <f>IF('The Open'!$G34="","",'The Open'!$J34)</f>
        <v/>
      </c>
      <c r="L479">
        <f>IF('The Open'!$G34="","","")</f>
        <v/>
      </c>
      <c r="M479">
        <f>IF('The Open'!$G34="","",'The Open'!$F34)</f>
        <v/>
      </c>
      <c r="N479">
        <f>IF('The Open'!$G34="","",'The Open'!$G34)</f>
        <v/>
      </c>
      <c r="O479">
        <f>IF('The Open'!$G34="","",'The Open'!$G34)</f>
        <v/>
      </c>
      <c r="P479">
        <f>IF('The Open'!$G34="","",'The Open'!$H34)</f>
        <v/>
      </c>
    </row>
    <row r="480">
      <c r="A480">
        <f>IF('The Open'!$G35="","","The Open")</f>
        <v/>
      </c>
      <c r="B480">
        <f>IF('The Open'!$G35="","","Major")</f>
        <v/>
      </c>
      <c r="C480" s="18">
        <f>IF('The Open'!$G35="","",'The Open'!$B$3)</f>
        <v/>
      </c>
      <c r="D480">
        <f>IF('The Open'!$G35="","",'The Open'!$D35&amp;"")</f>
        <v/>
      </c>
      <c r="F480">
        <f>IF('The Open'!$G35="","",'The Open'!$A35&amp;"")</f>
        <v/>
      </c>
      <c r="J480">
        <f>IF('The Open'!$G35="","",'The Open'!$E35)</f>
        <v/>
      </c>
      <c r="K480">
        <f>IF('The Open'!$G35="","",'The Open'!$J35)</f>
        <v/>
      </c>
      <c r="L480">
        <f>IF('The Open'!$G35="","","")</f>
        <v/>
      </c>
      <c r="M480">
        <f>IF('The Open'!$G35="","",'The Open'!$F35)</f>
        <v/>
      </c>
      <c r="N480">
        <f>IF('The Open'!$G35="","",'The Open'!$G35)</f>
        <v/>
      </c>
      <c r="O480">
        <f>IF('The Open'!$G35="","",'The Open'!$G35)</f>
        <v/>
      </c>
      <c r="P480">
        <f>IF('The Open'!$G35="","",'The Open'!$H35)</f>
        <v/>
      </c>
    </row>
    <row r="481">
      <c r="A481">
        <f>IF('The Open'!$G36="","","The Open")</f>
        <v/>
      </c>
      <c r="B481">
        <f>IF('The Open'!$G36="","","Major")</f>
        <v/>
      </c>
      <c r="C481" s="18">
        <f>IF('The Open'!$G36="","",'The Open'!$B$3)</f>
        <v/>
      </c>
      <c r="D481">
        <f>IF('The Open'!$G36="","",'The Open'!$D36&amp;"")</f>
        <v/>
      </c>
      <c r="F481">
        <f>IF('The Open'!$G36="","",'The Open'!$A36&amp;"")</f>
        <v/>
      </c>
      <c r="J481">
        <f>IF('The Open'!$G36="","",'The Open'!$E36)</f>
        <v/>
      </c>
      <c r="K481">
        <f>IF('The Open'!$G36="","",'The Open'!$J36)</f>
        <v/>
      </c>
      <c r="L481">
        <f>IF('The Open'!$G36="","","")</f>
        <v/>
      </c>
      <c r="M481">
        <f>IF('The Open'!$G36="","",'The Open'!$F36)</f>
        <v/>
      </c>
      <c r="N481">
        <f>IF('The Open'!$G36="","",'The Open'!$G36)</f>
        <v/>
      </c>
      <c r="O481">
        <f>IF('The Open'!$G36="","",'The Open'!$G36)</f>
        <v/>
      </c>
      <c r="P481">
        <f>IF('The Open'!$G36="","",'The Open'!$H36)</f>
        <v/>
      </c>
    </row>
    <row r="482">
      <c r="A482">
        <f>IF('The Open'!$G37="","","The Open")</f>
        <v/>
      </c>
      <c r="B482">
        <f>IF('The Open'!$G37="","","Major")</f>
        <v/>
      </c>
      <c r="C482" s="18">
        <f>IF('The Open'!$G37="","",'The Open'!$B$3)</f>
        <v/>
      </c>
      <c r="D482">
        <f>IF('The Open'!$G37="","",'The Open'!$D37&amp;"")</f>
        <v/>
      </c>
      <c r="F482">
        <f>IF('The Open'!$G37="","",'The Open'!$A37&amp;"")</f>
        <v/>
      </c>
      <c r="J482">
        <f>IF('The Open'!$G37="","",'The Open'!$E37)</f>
        <v/>
      </c>
      <c r="K482">
        <f>IF('The Open'!$G37="","",'The Open'!$J37)</f>
        <v/>
      </c>
      <c r="L482">
        <f>IF('The Open'!$G37="","","")</f>
        <v/>
      </c>
      <c r="M482">
        <f>IF('The Open'!$G37="","",'The Open'!$F37)</f>
        <v/>
      </c>
      <c r="N482">
        <f>IF('The Open'!$G37="","",'The Open'!$G37)</f>
        <v/>
      </c>
      <c r="O482">
        <f>IF('The Open'!$G37="","",'The Open'!$G37)</f>
        <v/>
      </c>
      <c r="P482">
        <f>IF('The Open'!$G37="","",'The Open'!$H37)</f>
        <v/>
      </c>
    </row>
    <row r="483">
      <c r="A483">
        <f>IF('The Open'!$G38="","","The Open")</f>
        <v/>
      </c>
      <c r="B483">
        <f>IF('The Open'!$G38="","","Major")</f>
        <v/>
      </c>
      <c r="C483" s="18">
        <f>IF('The Open'!$G38="","",'The Open'!$B$3)</f>
        <v/>
      </c>
      <c r="D483">
        <f>IF('The Open'!$G38="","",'The Open'!$D38&amp;"")</f>
        <v/>
      </c>
      <c r="F483">
        <f>IF('The Open'!$G38="","",'The Open'!$A38&amp;"")</f>
        <v/>
      </c>
      <c r="J483">
        <f>IF('The Open'!$G38="","",'The Open'!$E38)</f>
        <v/>
      </c>
      <c r="K483">
        <f>IF('The Open'!$G38="","",'The Open'!$J38)</f>
        <v/>
      </c>
      <c r="L483">
        <f>IF('The Open'!$G38="","","")</f>
        <v/>
      </c>
      <c r="M483">
        <f>IF('The Open'!$G38="","",'The Open'!$F38)</f>
        <v/>
      </c>
      <c r="N483">
        <f>IF('The Open'!$G38="","",'The Open'!$G38)</f>
        <v/>
      </c>
      <c r="O483">
        <f>IF('The Open'!$G38="","",'The Open'!$G38)</f>
        <v/>
      </c>
      <c r="P483">
        <f>IF('The Open'!$G38="","",'The Open'!$H38)</f>
        <v/>
      </c>
    </row>
    <row r="484">
      <c r="A484">
        <f>IF('The Open'!$G39="","","The Open")</f>
        <v/>
      </c>
      <c r="B484">
        <f>IF('The Open'!$G39="","","Major")</f>
        <v/>
      </c>
      <c r="C484" s="18">
        <f>IF('The Open'!$G39="","",'The Open'!$B$3)</f>
        <v/>
      </c>
      <c r="D484">
        <f>IF('The Open'!$G39="","",'The Open'!$D39&amp;"")</f>
        <v/>
      </c>
      <c r="F484">
        <f>IF('The Open'!$G39="","",'The Open'!$A39&amp;"")</f>
        <v/>
      </c>
      <c r="J484">
        <f>IF('The Open'!$G39="","",'The Open'!$E39)</f>
        <v/>
      </c>
      <c r="K484">
        <f>IF('The Open'!$G39="","",'The Open'!$J39)</f>
        <v/>
      </c>
      <c r="L484">
        <f>IF('The Open'!$G39="","","")</f>
        <v/>
      </c>
      <c r="M484">
        <f>IF('The Open'!$G39="","",'The Open'!$F39)</f>
        <v/>
      </c>
      <c r="N484">
        <f>IF('The Open'!$G39="","",'The Open'!$G39)</f>
        <v/>
      </c>
      <c r="O484">
        <f>IF('The Open'!$G39="","",'The Open'!$G39)</f>
        <v/>
      </c>
      <c r="P484">
        <f>IF('The Open'!$G39="","",'The Open'!$H39)</f>
        <v/>
      </c>
    </row>
    <row r="485">
      <c r="A485">
        <f>IF('The Open'!$G40="","","The Open")</f>
        <v/>
      </c>
      <c r="B485">
        <f>IF('The Open'!$G40="","","Major")</f>
        <v/>
      </c>
      <c r="C485" s="18">
        <f>IF('The Open'!$G40="","",'The Open'!$B$3)</f>
        <v/>
      </c>
      <c r="D485">
        <f>IF('The Open'!$G40="","",'The Open'!$D40&amp;"")</f>
        <v/>
      </c>
      <c r="F485">
        <f>IF('The Open'!$G40="","",'The Open'!$A40&amp;"")</f>
        <v/>
      </c>
      <c r="J485">
        <f>IF('The Open'!$G40="","",'The Open'!$E40)</f>
        <v/>
      </c>
      <c r="K485">
        <f>IF('The Open'!$G40="","",'The Open'!$J40)</f>
        <v/>
      </c>
      <c r="L485">
        <f>IF('The Open'!$G40="","","")</f>
        <v/>
      </c>
      <c r="M485">
        <f>IF('The Open'!$G40="","",'The Open'!$F40)</f>
        <v/>
      </c>
      <c r="N485">
        <f>IF('The Open'!$G40="","",'The Open'!$G40)</f>
        <v/>
      </c>
      <c r="O485">
        <f>IF('The Open'!$G40="","",'The Open'!$G40)</f>
        <v/>
      </c>
      <c r="P485">
        <f>IF('The Open'!$G40="","",'The Open'!$H40)</f>
        <v/>
      </c>
    </row>
    <row r="486">
      <c r="A486">
        <f>IF('The Open'!$G41="","","The Open")</f>
        <v/>
      </c>
      <c r="B486">
        <f>IF('The Open'!$G41="","","Major")</f>
        <v/>
      </c>
      <c r="C486" s="18">
        <f>IF('The Open'!$G41="","",'The Open'!$B$3)</f>
        <v/>
      </c>
      <c r="D486">
        <f>IF('The Open'!$G41="","",'The Open'!$D41&amp;"")</f>
        <v/>
      </c>
      <c r="F486">
        <f>IF('The Open'!$G41="","",'The Open'!$A41&amp;"")</f>
        <v/>
      </c>
      <c r="J486">
        <f>IF('The Open'!$G41="","",'The Open'!$E41)</f>
        <v/>
      </c>
      <c r="K486">
        <f>IF('The Open'!$G41="","",'The Open'!$J41)</f>
        <v/>
      </c>
      <c r="L486">
        <f>IF('The Open'!$G41="","","")</f>
        <v/>
      </c>
      <c r="M486">
        <f>IF('The Open'!$G41="","",'The Open'!$F41)</f>
        <v/>
      </c>
      <c r="N486">
        <f>IF('The Open'!$G41="","",'The Open'!$G41)</f>
        <v/>
      </c>
      <c r="O486">
        <f>IF('The Open'!$G41="","",'The Open'!$G41)</f>
        <v/>
      </c>
      <c r="P486">
        <f>IF('The Open'!$G41="","",'The Open'!$H41)</f>
        <v/>
      </c>
    </row>
    <row r="487">
      <c r="A487">
        <f>IF('The Open'!$G42="","","The Open")</f>
        <v/>
      </c>
      <c r="B487">
        <f>IF('The Open'!$G42="","","Major")</f>
        <v/>
      </c>
      <c r="C487" s="18">
        <f>IF('The Open'!$G42="","",'The Open'!$B$3)</f>
        <v/>
      </c>
      <c r="D487">
        <f>IF('The Open'!$G42="","",'The Open'!$D42&amp;"")</f>
        <v/>
      </c>
      <c r="F487">
        <f>IF('The Open'!$G42="","",'The Open'!$A42&amp;"")</f>
        <v/>
      </c>
      <c r="J487">
        <f>IF('The Open'!$G42="","",'The Open'!$E42)</f>
        <v/>
      </c>
      <c r="K487">
        <f>IF('The Open'!$G42="","",'The Open'!$J42)</f>
        <v/>
      </c>
      <c r="L487">
        <f>IF('The Open'!$G42="","","")</f>
        <v/>
      </c>
      <c r="M487">
        <f>IF('The Open'!$G42="","",'The Open'!$F42)</f>
        <v/>
      </c>
      <c r="N487">
        <f>IF('The Open'!$G42="","",'The Open'!$G42)</f>
        <v/>
      </c>
      <c r="O487">
        <f>IF('The Open'!$G42="","",'The Open'!$G42)</f>
        <v/>
      </c>
      <c r="P487">
        <f>IF('The Open'!$G42="","",'The Open'!$H42)</f>
        <v/>
      </c>
    </row>
    <row r="488">
      <c r="A488">
        <f>IF('The Open'!$G43="","","The Open")</f>
        <v/>
      </c>
      <c r="B488">
        <f>IF('The Open'!$G43="","","Major")</f>
        <v/>
      </c>
      <c r="C488" s="18">
        <f>IF('The Open'!$G43="","",'The Open'!$B$3)</f>
        <v/>
      </c>
      <c r="D488">
        <f>IF('The Open'!$G43="","",'The Open'!$D43&amp;"")</f>
        <v/>
      </c>
      <c r="F488">
        <f>IF('The Open'!$G43="","",'The Open'!$A43&amp;"")</f>
        <v/>
      </c>
      <c r="J488">
        <f>IF('The Open'!$G43="","",'The Open'!$E43)</f>
        <v/>
      </c>
      <c r="K488">
        <f>IF('The Open'!$G43="","",'The Open'!$J43)</f>
        <v/>
      </c>
      <c r="L488">
        <f>IF('The Open'!$G43="","","")</f>
        <v/>
      </c>
      <c r="M488">
        <f>IF('The Open'!$G43="","",'The Open'!$F43)</f>
        <v/>
      </c>
      <c r="N488">
        <f>IF('The Open'!$G43="","",'The Open'!$G43)</f>
        <v/>
      </c>
      <c r="O488">
        <f>IF('The Open'!$G43="","",'The Open'!$G43)</f>
        <v/>
      </c>
      <c r="P488">
        <f>IF('The Open'!$G43="","",'The Open'!$H43)</f>
        <v/>
      </c>
    </row>
    <row r="489">
      <c r="A489">
        <f>IF('The Open'!$G44="","","The Open")</f>
        <v/>
      </c>
      <c r="B489">
        <f>IF('The Open'!$G44="","","Major")</f>
        <v/>
      </c>
      <c r="C489" s="18">
        <f>IF('The Open'!$G44="","",'The Open'!$B$3)</f>
        <v/>
      </c>
      <c r="D489">
        <f>IF('The Open'!$G44="","",'The Open'!$D44&amp;"")</f>
        <v/>
      </c>
      <c r="F489">
        <f>IF('The Open'!$G44="","",'The Open'!$A44&amp;"")</f>
        <v/>
      </c>
      <c r="J489">
        <f>IF('The Open'!$G44="","",'The Open'!$E44)</f>
        <v/>
      </c>
      <c r="K489">
        <f>IF('The Open'!$G44="","",'The Open'!$J44)</f>
        <v/>
      </c>
      <c r="L489">
        <f>IF('The Open'!$G44="","","")</f>
        <v/>
      </c>
      <c r="M489">
        <f>IF('The Open'!$G44="","",'The Open'!$F44)</f>
        <v/>
      </c>
      <c r="N489">
        <f>IF('The Open'!$G44="","",'The Open'!$G44)</f>
        <v/>
      </c>
      <c r="O489">
        <f>IF('The Open'!$G44="","",'The Open'!$G44)</f>
        <v/>
      </c>
      <c r="P489">
        <f>IF('The Open'!$G44="","",'The Open'!$H44)</f>
        <v/>
      </c>
    </row>
    <row r="490">
      <c r="A490">
        <f>IF('The Open'!$G45="","","The Open")</f>
        <v/>
      </c>
      <c r="B490">
        <f>IF('The Open'!$G45="","","Major")</f>
        <v/>
      </c>
      <c r="C490" s="18">
        <f>IF('The Open'!$G45="","",'The Open'!$B$3)</f>
        <v/>
      </c>
      <c r="D490">
        <f>IF('The Open'!$G45="","",'The Open'!$D45&amp;"")</f>
        <v/>
      </c>
      <c r="F490">
        <f>IF('The Open'!$G45="","",'The Open'!$A45&amp;"")</f>
        <v/>
      </c>
      <c r="J490">
        <f>IF('The Open'!$G45="","",'The Open'!$E45)</f>
        <v/>
      </c>
      <c r="K490">
        <f>IF('The Open'!$G45="","",'The Open'!$J45)</f>
        <v/>
      </c>
      <c r="L490">
        <f>IF('The Open'!$G45="","","")</f>
        <v/>
      </c>
      <c r="M490">
        <f>IF('The Open'!$G45="","",'The Open'!$F45)</f>
        <v/>
      </c>
      <c r="N490">
        <f>IF('The Open'!$G45="","",'The Open'!$G45)</f>
        <v/>
      </c>
      <c r="O490">
        <f>IF('The Open'!$G45="","",'The Open'!$G45)</f>
        <v/>
      </c>
      <c r="P490">
        <f>IF('The Open'!$G45="","",'The Open'!$H45)</f>
        <v/>
      </c>
    </row>
    <row r="491">
      <c r="A491">
        <f>IF('The Open'!$G46="","","The Open")</f>
        <v/>
      </c>
      <c r="B491">
        <f>IF('The Open'!$G46="","","Major")</f>
        <v/>
      </c>
      <c r="C491" s="18">
        <f>IF('The Open'!$G46="","",'The Open'!$B$3)</f>
        <v/>
      </c>
      <c r="D491">
        <f>IF('The Open'!$G46="","",'The Open'!$D46&amp;"")</f>
        <v/>
      </c>
      <c r="F491">
        <f>IF('The Open'!$G46="","",'The Open'!$A46&amp;"")</f>
        <v/>
      </c>
      <c r="J491">
        <f>IF('The Open'!$G46="","",'The Open'!$E46)</f>
        <v/>
      </c>
      <c r="K491">
        <f>IF('The Open'!$G46="","",'The Open'!$J46)</f>
        <v/>
      </c>
      <c r="L491">
        <f>IF('The Open'!$G46="","","")</f>
        <v/>
      </c>
      <c r="M491">
        <f>IF('The Open'!$G46="","",'The Open'!$F46)</f>
        <v/>
      </c>
      <c r="N491">
        <f>IF('The Open'!$G46="","",'The Open'!$G46)</f>
        <v/>
      </c>
      <c r="O491">
        <f>IF('The Open'!$G46="","",'The Open'!$G46)</f>
        <v/>
      </c>
      <c r="P491">
        <f>IF('The Open'!$G46="","",'The Open'!$H46)</f>
        <v/>
      </c>
    </row>
    <row r="492">
      <c r="A492">
        <f>IF('The Open'!$G47="","","The Open")</f>
        <v/>
      </c>
      <c r="B492">
        <f>IF('The Open'!$G47="","","Major")</f>
        <v/>
      </c>
      <c r="C492" s="18">
        <f>IF('The Open'!$G47="","",'The Open'!$B$3)</f>
        <v/>
      </c>
      <c r="D492">
        <f>IF('The Open'!$G47="","",'The Open'!$D47&amp;"")</f>
        <v/>
      </c>
      <c r="F492">
        <f>IF('The Open'!$G47="","",'The Open'!$A47&amp;"")</f>
        <v/>
      </c>
      <c r="J492">
        <f>IF('The Open'!$G47="","",'The Open'!$E47)</f>
        <v/>
      </c>
      <c r="K492">
        <f>IF('The Open'!$G47="","",'The Open'!$J47)</f>
        <v/>
      </c>
      <c r="L492">
        <f>IF('The Open'!$G47="","","")</f>
        <v/>
      </c>
      <c r="M492">
        <f>IF('The Open'!$G47="","",'The Open'!$F47)</f>
        <v/>
      </c>
      <c r="N492">
        <f>IF('The Open'!$G47="","",'The Open'!$G47)</f>
        <v/>
      </c>
      <c r="O492">
        <f>IF('The Open'!$G47="","",'The Open'!$G47)</f>
        <v/>
      </c>
      <c r="P492">
        <f>IF('The Open'!$G47="","",'The Open'!$H47)</f>
        <v/>
      </c>
    </row>
    <row r="493">
      <c r="A493">
        <f>IF('The Open'!$G48="","","The Open")</f>
        <v/>
      </c>
      <c r="B493">
        <f>IF('The Open'!$G48="","","Major")</f>
        <v/>
      </c>
      <c r="C493" s="18">
        <f>IF('The Open'!$G48="","",'The Open'!$B$3)</f>
        <v/>
      </c>
      <c r="D493">
        <f>IF('The Open'!$G48="","",'The Open'!$D48&amp;"")</f>
        <v/>
      </c>
      <c r="F493">
        <f>IF('The Open'!$G48="","",'The Open'!$A48&amp;"")</f>
        <v/>
      </c>
      <c r="J493">
        <f>IF('The Open'!$G48="","",'The Open'!$E48)</f>
        <v/>
      </c>
      <c r="K493">
        <f>IF('The Open'!$G48="","",'The Open'!$J48)</f>
        <v/>
      </c>
      <c r="L493">
        <f>IF('The Open'!$G48="","","")</f>
        <v/>
      </c>
      <c r="M493">
        <f>IF('The Open'!$G48="","",'The Open'!$F48)</f>
        <v/>
      </c>
      <c r="N493">
        <f>IF('The Open'!$G48="","",'The Open'!$G48)</f>
        <v/>
      </c>
      <c r="O493">
        <f>IF('The Open'!$G48="","",'The Open'!$G48)</f>
        <v/>
      </c>
      <c r="P493">
        <f>IF('The Open'!$G48="","",'The Open'!$H48)</f>
        <v/>
      </c>
    </row>
    <row r="494">
      <c r="A494">
        <f>IF('The Open'!$G49="","","The Open")</f>
        <v/>
      </c>
      <c r="B494">
        <f>IF('The Open'!$G49="","","Major")</f>
        <v/>
      </c>
      <c r="C494" s="18">
        <f>IF('The Open'!$G49="","",'The Open'!$B$3)</f>
        <v/>
      </c>
      <c r="D494">
        <f>IF('The Open'!$G49="","",'The Open'!$D49&amp;"")</f>
        <v/>
      </c>
      <c r="F494">
        <f>IF('The Open'!$G49="","",'The Open'!$A49&amp;"")</f>
        <v/>
      </c>
      <c r="J494">
        <f>IF('The Open'!$G49="","",'The Open'!$E49)</f>
        <v/>
      </c>
      <c r="K494">
        <f>IF('The Open'!$G49="","",'The Open'!$J49)</f>
        <v/>
      </c>
      <c r="L494">
        <f>IF('The Open'!$G49="","","")</f>
        <v/>
      </c>
      <c r="M494">
        <f>IF('The Open'!$G49="","",'The Open'!$F49)</f>
        <v/>
      </c>
      <c r="N494">
        <f>IF('The Open'!$G49="","",'The Open'!$G49)</f>
        <v/>
      </c>
      <c r="O494">
        <f>IF('The Open'!$G49="","",'The Open'!$G49)</f>
        <v/>
      </c>
      <c r="P494">
        <f>IF('The Open'!$G49="","",'The Open'!$H49)</f>
        <v/>
      </c>
    </row>
    <row r="495">
      <c r="A495">
        <f>IF('The Open'!$G50="","","The Open")</f>
        <v/>
      </c>
      <c r="B495">
        <f>IF('The Open'!$G50="","","Major")</f>
        <v/>
      </c>
      <c r="C495" s="18">
        <f>IF('The Open'!$G50="","",'The Open'!$B$3)</f>
        <v/>
      </c>
      <c r="D495">
        <f>IF('The Open'!$G50="","",'The Open'!$D50&amp;"")</f>
        <v/>
      </c>
      <c r="F495">
        <f>IF('The Open'!$G50="","",'The Open'!$A50&amp;"")</f>
        <v/>
      </c>
      <c r="J495">
        <f>IF('The Open'!$G50="","",'The Open'!$E50)</f>
        <v/>
      </c>
      <c r="K495">
        <f>IF('The Open'!$G50="","",'The Open'!$J50)</f>
        <v/>
      </c>
      <c r="L495">
        <f>IF('The Open'!$G50="","","")</f>
        <v/>
      </c>
      <c r="M495">
        <f>IF('The Open'!$G50="","",'The Open'!$F50)</f>
        <v/>
      </c>
      <c r="N495">
        <f>IF('The Open'!$G50="","",'The Open'!$G50)</f>
        <v/>
      </c>
      <c r="O495">
        <f>IF('The Open'!$G50="","",'The Open'!$G50)</f>
        <v/>
      </c>
      <c r="P495">
        <f>IF('The Open'!$G50="","",'The Open'!$H50)</f>
        <v/>
      </c>
    </row>
    <row r="496">
      <c r="A496">
        <f>IF('The Open'!$G51="","","The Open")</f>
        <v/>
      </c>
      <c r="B496">
        <f>IF('The Open'!$G51="","","Major")</f>
        <v/>
      </c>
      <c r="C496" s="18">
        <f>IF('The Open'!$G51="","",'The Open'!$B$3)</f>
        <v/>
      </c>
      <c r="D496">
        <f>IF('The Open'!$G51="","",'The Open'!$D51&amp;"")</f>
        <v/>
      </c>
      <c r="F496">
        <f>IF('The Open'!$G51="","",'The Open'!$A51&amp;"")</f>
        <v/>
      </c>
      <c r="J496">
        <f>IF('The Open'!$G51="","",'The Open'!$E51)</f>
        <v/>
      </c>
      <c r="K496">
        <f>IF('The Open'!$G51="","",'The Open'!$J51)</f>
        <v/>
      </c>
      <c r="L496">
        <f>IF('The Open'!$G51="","","")</f>
        <v/>
      </c>
      <c r="M496">
        <f>IF('The Open'!$G51="","",'The Open'!$F51)</f>
        <v/>
      </c>
      <c r="N496">
        <f>IF('The Open'!$G51="","",'The Open'!$G51)</f>
        <v/>
      </c>
      <c r="O496">
        <f>IF('The Open'!$G51="","",'The Open'!$G51)</f>
        <v/>
      </c>
      <c r="P496">
        <f>IF('The Open'!$G51="","",'The Open'!$H51)</f>
        <v/>
      </c>
    </row>
    <row r="497">
      <c r="A497">
        <f>IF('The Open'!$G52="","","The Open")</f>
        <v/>
      </c>
      <c r="B497">
        <f>IF('The Open'!$G52="","","Major")</f>
        <v/>
      </c>
      <c r="C497" s="18">
        <f>IF('The Open'!$G52="","",'The Open'!$B$3)</f>
        <v/>
      </c>
      <c r="D497">
        <f>IF('The Open'!$G52="","",'The Open'!$D52&amp;"")</f>
        <v/>
      </c>
      <c r="F497">
        <f>IF('The Open'!$G52="","",'The Open'!$A52&amp;"")</f>
        <v/>
      </c>
      <c r="J497">
        <f>IF('The Open'!$G52="","",'The Open'!$E52)</f>
        <v/>
      </c>
      <c r="K497">
        <f>IF('The Open'!$G52="","",'The Open'!$J52)</f>
        <v/>
      </c>
      <c r="L497">
        <f>IF('The Open'!$G52="","","")</f>
        <v/>
      </c>
      <c r="M497">
        <f>IF('The Open'!$G52="","",'The Open'!$F52)</f>
        <v/>
      </c>
      <c r="N497">
        <f>IF('The Open'!$G52="","",'The Open'!$G52)</f>
        <v/>
      </c>
      <c r="O497">
        <f>IF('The Open'!$G52="","",'The Open'!$G52)</f>
        <v/>
      </c>
      <c r="P497">
        <f>IF('The Open'!$G52="","",'The Open'!$H52)</f>
        <v/>
      </c>
    </row>
    <row r="498">
      <c r="A498">
        <f>IF('The Open'!$G53="","","The Open")</f>
        <v/>
      </c>
      <c r="B498">
        <f>IF('The Open'!$G53="","","Major")</f>
        <v/>
      </c>
      <c r="C498" s="18">
        <f>IF('The Open'!$G53="","",'The Open'!$B$3)</f>
        <v/>
      </c>
      <c r="D498">
        <f>IF('The Open'!$G53="","",'The Open'!$D53&amp;"")</f>
        <v/>
      </c>
      <c r="F498">
        <f>IF('The Open'!$G53="","",'The Open'!$A53&amp;"")</f>
        <v/>
      </c>
      <c r="J498">
        <f>IF('The Open'!$G53="","",'The Open'!$E53)</f>
        <v/>
      </c>
      <c r="K498">
        <f>IF('The Open'!$G53="","",'The Open'!$J53)</f>
        <v/>
      </c>
      <c r="L498">
        <f>IF('The Open'!$G53="","","")</f>
        <v/>
      </c>
      <c r="M498">
        <f>IF('The Open'!$G53="","",'The Open'!$F53)</f>
        <v/>
      </c>
      <c r="N498">
        <f>IF('The Open'!$G53="","",'The Open'!$G53)</f>
        <v/>
      </c>
      <c r="O498">
        <f>IF('The Open'!$G53="","",'The Open'!$G53)</f>
        <v/>
      </c>
      <c r="P498">
        <f>IF('The Open'!$G53="","",'The Open'!$H53)</f>
        <v/>
      </c>
    </row>
    <row r="499">
      <c r="A499">
        <f>IF('The Open'!$G54="","","The Open")</f>
        <v/>
      </c>
      <c r="B499">
        <f>IF('The Open'!$G54="","","Major")</f>
        <v/>
      </c>
      <c r="C499" s="18">
        <f>IF('The Open'!$G54="","",'The Open'!$B$3)</f>
        <v/>
      </c>
      <c r="D499">
        <f>IF('The Open'!$G54="","",'The Open'!$D54&amp;"")</f>
        <v/>
      </c>
      <c r="F499">
        <f>IF('The Open'!$G54="","",'The Open'!$A54&amp;"")</f>
        <v/>
      </c>
      <c r="J499">
        <f>IF('The Open'!$G54="","",'The Open'!$E54)</f>
        <v/>
      </c>
      <c r="K499">
        <f>IF('The Open'!$G54="","",'The Open'!$J54)</f>
        <v/>
      </c>
      <c r="L499">
        <f>IF('The Open'!$G54="","","")</f>
        <v/>
      </c>
      <c r="M499">
        <f>IF('The Open'!$G54="","",'The Open'!$F54)</f>
        <v/>
      </c>
      <c r="N499">
        <f>IF('The Open'!$G54="","",'The Open'!$G54)</f>
        <v/>
      </c>
      <c r="O499">
        <f>IF('The Open'!$G54="","",'The Open'!$G54)</f>
        <v/>
      </c>
      <c r="P499">
        <f>IF('The Open'!$G54="","",'The Open'!$H54)</f>
        <v/>
      </c>
    </row>
    <row r="500">
      <c r="A500">
        <f>IF('The Open'!$G55="","","The Open")</f>
        <v/>
      </c>
      <c r="B500">
        <f>IF('The Open'!$G55="","","Major")</f>
        <v/>
      </c>
      <c r="C500" s="18">
        <f>IF('The Open'!$G55="","",'The Open'!$B$3)</f>
        <v/>
      </c>
      <c r="D500">
        <f>IF('The Open'!$G55="","",'The Open'!$D55&amp;"")</f>
        <v/>
      </c>
      <c r="F500">
        <f>IF('The Open'!$G55="","",'The Open'!$A55&amp;"")</f>
        <v/>
      </c>
      <c r="J500">
        <f>IF('The Open'!$G55="","",'The Open'!$E55)</f>
        <v/>
      </c>
      <c r="K500">
        <f>IF('The Open'!$G55="","",'The Open'!$J55)</f>
        <v/>
      </c>
      <c r="L500">
        <f>IF('The Open'!$G55="","","")</f>
        <v/>
      </c>
      <c r="M500">
        <f>IF('The Open'!$G55="","",'The Open'!$F55)</f>
        <v/>
      </c>
      <c r="N500">
        <f>IF('The Open'!$G55="","",'The Open'!$G55)</f>
        <v/>
      </c>
      <c r="O500">
        <f>IF('The Open'!$G55="","",'The Open'!$G55)</f>
        <v/>
      </c>
      <c r="P500">
        <f>IF('The Open'!$G55="","",'The Open'!$H55)</f>
        <v/>
      </c>
    </row>
    <row r="501">
      <c r="A501">
        <f>IF('The Open'!$G56="","","The Open")</f>
        <v/>
      </c>
      <c r="B501">
        <f>IF('The Open'!$G56="","","Major")</f>
        <v/>
      </c>
      <c r="C501" s="18">
        <f>IF('The Open'!$G56="","",'The Open'!$B$3)</f>
        <v/>
      </c>
      <c r="D501">
        <f>IF('The Open'!$G56="","",'The Open'!$D56&amp;"")</f>
        <v/>
      </c>
      <c r="F501">
        <f>IF('The Open'!$G56="","",'The Open'!$A56&amp;"")</f>
        <v/>
      </c>
      <c r="J501">
        <f>IF('The Open'!$G56="","",'The Open'!$E56)</f>
        <v/>
      </c>
      <c r="K501">
        <f>IF('The Open'!$G56="","",'The Open'!$J56)</f>
        <v/>
      </c>
      <c r="L501">
        <f>IF('The Open'!$G56="","","")</f>
        <v/>
      </c>
      <c r="M501">
        <f>IF('The Open'!$G56="","",'The Open'!$F56)</f>
        <v/>
      </c>
      <c r="N501">
        <f>IF('The Open'!$G56="","",'The Open'!$G56)</f>
        <v/>
      </c>
      <c r="O501">
        <f>IF('The Open'!$G56="","",'The Open'!$G56)</f>
        <v/>
      </c>
      <c r="P501">
        <f>IF('The Open'!$G56="","",'The Open'!$H56)</f>
        <v/>
      </c>
    </row>
    <row r="502">
      <c r="A502">
        <f>IF('The Open'!$G57="","","The Open")</f>
        <v/>
      </c>
      <c r="B502">
        <f>IF('The Open'!$G57="","","Major")</f>
        <v/>
      </c>
      <c r="C502" s="18">
        <f>IF('The Open'!$G57="","",'The Open'!$B$3)</f>
        <v/>
      </c>
      <c r="D502">
        <f>IF('The Open'!$G57="","",'The Open'!$D57&amp;"")</f>
        <v/>
      </c>
      <c r="F502">
        <f>IF('The Open'!$G57="","",'The Open'!$A57&amp;"")</f>
        <v/>
      </c>
      <c r="J502">
        <f>IF('The Open'!$G57="","",'The Open'!$E57)</f>
        <v/>
      </c>
      <c r="K502">
        <f>IF('The Open'!$G57="","",'The Open'!$J57)</f>
        <v/>
      </c>
      <c r="L502">
        <f>IF('The Open'!$G57="","","")</f>
        <v/>
      </c>
      <c r="M502">
        <f>IF('The Open'!$G57="","",'The Open'!$F57)</f>
        <v/>
      </c>
      <c r="N502">
        <f>IF('The Open'!$G57="","",'The Open'!$G57)</f>
        <v/>
      </c>
      <c r="O502">
        <f>IF('The Open'!$G57="","",'The Open'!$G57)</f>
        <v/>
      </c>
      <c r="P502">
        <f>IF('The Open'!$G57="","",'The Open'!$H57)</f>
        <v/>
      </c>
    </row>
    <row r="503">
      <c r="A503">
        <f>IF('The Open'!$G58="","","The Open")</f>
        <v/>
      </c>
      <c r="B503">
        <f>IF('The Open'!$G58="","","Major")</f>
        <v/>
      </c>
      <c r="C503" s="18">
        <f>IF('The Open'!$G58="","",'The Open'!$B$3)</f>
        <v/>
      </c>
      <c r="D503">
        <f>IF('The Open'!$G58="","",'The Open'!$D58&amp;"")</f>
        <v/>
      </c>
      <c r="F503">
        <f>IF('The Open'!$G58="","",'The Open'!$A58&amp;"")</f>
        <v/>
      </c>
      <c r="J503">
        <f>IF('The Open'!$G58="","",'The Open'!$E58)</f>
        <v/>
      </c>
      <c r="K503">
        <f>IF('The Open'!$G58="","",'The Open'!$J58)</f>
        <v/>
      </c>
      <c r="L503">
        <f>IF('The Open'!$G58="","","")</f>
        <v/>
      </c>
      <c r="M503">
        <f>IF('The Open'!$G58="","",'The Open'!$F58)</f>
        <v/>
      </c>
      <c r="N503">
        <f>IF('The Open'!$G58="","",'The Open'!$G58)</f>
        <v/>
      </c>
      <c r="O503">
        <f>IF('The Open'!$G58="","",'The Open'!$G58)</f>
        <v/>
      </c>
      <c r="P503">
        <f>IF('The Open'!$G58="","",'The Open'!$H58)</f>
        <v/>
      </c>
    </row>
    <row r="504">
      <c r="A504">
        <f>IF('The Open'!$G59="","","The Open")</f>
        <v/>
      </c>
      <c r="B504">
        <f>IF('The Open'!$G59="","","Major")</f>
        <v/>
      </c>
      <c r="C504" s="18">
        <f>IF('The Open'!$G59="","",'The Open'!$B$3)</f>
        <v/>
      </c>
      <c r="D504">
        <f>IF('The Open'!$G59="","",'The Open'!$D59&amp;"")</f>
        <v/>
      </c>
      <c r="F504">
        <f>IF('The Open'!$G59="","",'The Open'!$A59&amp;"")</f>
        <v/>
      </c>
      <c r="J504">
        <f>IF('The Open'!$G59="","",'The Open'!$E59)</f>
        <v/>
      </c>
      <c r="K504">
        <f>IF('The Open'!$G59="","",'The Open'!$J59)</f>
        <v/>
      </c>
      <c r="L504">
        <f>IF('The Open'!$G59="","","")</f>
        <v/>
      </c>
      <c r="M504">
        <f>IF('The Open'!$G59="","",'The Open'!$F59)</f>
        <v/>
      </c>
      <c r="N504">
        <f>IF('The Open'!$G59="","",'The Open'!$G59)</f>
        <v/>
      </c>
      <c r="O504">
        <f>IF('The Open'!$G59="","",'The Open'!$G59)</f>
        <v/>
      </c>
      <c r="P504">
        <f>IF('The Open'!$G59="","",'The Open'!$H59)</f>
        <v/>
      </c>
    </row>
    <row r="505">
      <c r="A505">
        <f>IF('The Open'!$G60="","","The Open")</f>
        <v/>
      </c>
      <c r="B505">
        <f>IF('The Open'!$G60="","","Major")</f>
        <v/>
      </c>
      <c r="C505" s="18">
        <f>IF('The Open'!$G60="","",'The Open'!$B$3)</f>
        <v/>
      </c>
      <c r="D505">
        <f>IF('The Open'!$G60="","",'The Open'!$D60&amp;"")</f>
        <v/>
      </c>
      <c r="F505">
        <f>IF('The Open'!$G60="","",'The Open'!$A60&amp;"")</f>
        <v/>
      </c>
      <c r="J505">
        <f>IF('The Open'!$G60="","",'The Open'!$E60)</f>
        <v/>
      </c>
      <c r="K505">
        <f>IF('The Open'!$G60="","",'The Open'!$J60)</f>
        <v/>
      </c>
      <c r="L505">
        <f>IF('The Open'!$G60="","","")</f>
        <v/>
      </c>
      <c r="M505">
        <f>IF('The Open'!$G60="","",'The Open'!$F60)</f>
        <v/>
      </c>
      <c r="N505">
        <f>IF('The Open'!$G60="","",'The Open'!$G60)</f>
        <v/>
      </c>
      <c r="O505">
        <f>IF('The Open'!$G60="","",'The Open'!$G60)</f>
        <v/>
      </c>
      <c r="P505">
        <f>IF('The Open'!$G60="","",'The Open'!$H60)</f>
        <v/>
      </c>
    </row>
    <row r="506">
      <c r="A506">
        <f>IF('The Open'!$G61="","","The Open")</f>
        <v/>
      </c>
      <c r="B506">
        <f>IF('The Open'!$G61="","","Major")</f>
        <v/>
      </c>
      <c r="C506" s="18">
        <f>IF('The Open'!$G61="","",'The Open'!$B$3)</f>
        <v/>
      </c>
      <c r="D506">
        <f>IF('The Open'!$G61="","",'The Open'!$D61&amp;"")</f>
        <v/>
      </c>
      <c r="F506">
        <f>IF('The Open'!$G61="","",'The Open'!$A61&amp;"")</f>
        <v/>
      </c>
      <c r="J506">
        <f>IF('The Open'!$G61="","",'The Open'!$E61)</f>
        <v/>
      </c>
      <c r="K506">
        <f>IF('The Open'!$G61="","",'The Open'!$J61)</f>
        <v/>
      </c>
      <c r="L506">
        <f>IF('The Open'!$G61="","","")</f>
        <v/>
      </c>
      <c r="M506">
        <f>IF('The Open'!$G61="","",'The Open'!$F61)</f>
        <v/>
      </c>
      <c r="N506">
        <f>IF('The Open'!$G61="","",'The Open'!$G61)</f>
        <v/>
      </c>
      <c r="O506">
        <f>IF('The Open'!$G61="","",'The Open'!$G61)</f>
        <v/>
      </c>
      <c r="P506">
        <f>IF('The Open'!$G61="","",'The Open'!$H61)</f>
        <v/>
      </c>
    </row>
    <row r="507">
      <c r="A507">
        <f>IF('The Open'!$G62="","","The Open")</f>
        <v/>
      </c>
      <c r="B507">
        <f>IF('The Open'!$G62="","","Major")</f>
        <v/>
      </c>
      <c r="C507" s="18">
        <f>IF('The Open'!$G62="","",'The Open'!$B$3)</f>
        <v/>
      </c>
      <c r="D507">
        <f>IF('The Open'!$G62="","",'The Open'!$D62&amp;"")</f>
        <v/>
      </c>
      <c r="F507">
        <f>IF('The Open'!$G62="","",'The Open'!$A62&amp;"")</f>
        <v/>
      </c>
      <c r="J507">
        <f>IF('The Open'!$G62="","",'The Open'!$E62)</f>
        <v/>
      </c>
      <c r="K507">
        <f>IF('The Open'!$G62="","",'The Open'!$J62)</f>
        <v/>
      </c>
      <c r="L507">
        <f>IF('The Open'!$G62="","","")</f>
        <v/>
      </c>
      <c r="M507">
        <f>IF('The Open'!$G62="","",'The Open'!$F62)</f>
        <v/>
      </c>
      <c r="N507">
        <f>IF('The Open'!$G62="","",'The Open'!$G62)</f>
        <v/>
      </c>
      <c r="O507">
        <f>IF('The Open'!$G62="","",'The Open'!$G62)</f>
        <v/>
      </c>
      <c r="P507">
        <f>IF('The Open'!$G62="","",'The Open'!$H62)</f>
        <v/>
      </c>
    </row>
    <row r="508">
      <c r="A508">
        <f>IF('The Open'!$G63="","","The Open")</f>
        <v/>
      </c>
      <c r="B508">
        <f>IF('The Open'!$G63="","","Major")</f>
        <v/>
      </c>
      <c r="C508" s="18">
        <f>IF('The Open'!$G63="","",'The Open'!$B$3)</f>
        <v/>
      </c>
      <c r="D508">
        <f>IF('The Open'!$G63="","",'The Open'!$D63&amp;"")</f>
        <v/>
      </c>
      <c r="F508">
        <f>IF('The Open'!$G63="","",'The Open'!$A63&amp;"")</f>
        <v/>
      </c>
      <c r="J508">
        <f>IF('The Open'!$G63="","",'The Open'!$E63)</f>
        <v/>
      </c>
      <c r="K508">
        <f>IF('The Open'!$G63="","",'The Open'!$J63)</f>
        <v/>
      </c>
      <c r="L508">
        <f>IF('The Open'!$G63="","","")</f>
        <v/>
      </c>
      <c r="M508">
        <f>IF('The Open'!$G63="","",'The Open'!$F63)</f>
        <v/>
      </c>
      <c r="N508">
        <f>IF('The Open'!$G63="","",'The Open'!$G63)</f>
        <v/>
      </c>
      <c r="O508">
        <f>IF('The Open'!$G63="","",'The Open'!$G63)</f>
        <v/>
      </c>
      <c r="P508">
        <f>IF('The Open'!$G63="","",'The Open'!$H63)</f>
        <v/>
      </c>
    </row>
    <row r="509">
      <c r="A509">
        <f>IF('The Open'!$G64="","","The Open")</f>
        <v/>
      </c>
      <c r="B509">
        <f>IF('The Open'!$G64="","","Major")</f>
        <v/>
      </c>
      <c r="C509" s="18">
        <f>IF('The Open'!$G64="","",'The Open'!$B$3)</f>
        <v/>
      </c>
      <c r="D509">
        <f>IF('The Open'!$G64="","",'The Open'!$D64&amp;"")</f>
        <v/>
      </c>
      <c r="F509">
        <f>IF('The Open'!$G64="","",'The Open'!$A64&amp;"")</f>
        <v/>
      </c>
      <c r="J509">
        <f>IF('The Open'!$G64="","",'The Open'!$E64)</f>
        <v/>
      </c>
      <c r="K509">
        <f>IF('The Open'!$G64="","",'The Open'!$J64)</f>
        <v/>
      </c>
      <c r="L509">
        <f>IF('The Open'!$G64="","","")</f>
        <v/>
      </c>
      <c r="M509">
        <f>IF('The Open'!$G64="","",'The Open'!$F64)</f>
        <v/>
      </c>
      <c r="N509">
        <f>IF('The Open'!$G64="","",'The Open'!$G64)</f>
        <v/>
      </c>
      <c r="O509">
        <f>IF('The Open'!$G64="","",'The Open'!$G64)</f>
        <v/>
      </c>
      <c r="P509">
        <f>IF('The Open'!$G64="","",'The Open'!$H64)</f>
        <v/>
      </c>
    </row>
    <row r="510">
      <c r="A510">
        <f>IF('The Open'!$G65="","","The Open")</f>
        <v/>
      </c>
      <c r="B510">
        <f>IF('The Open'!$G65="","","Major")</f>
        <v/>
      </c>
      <c r="C510" s="18">
        <f>IF('The Open'!$G65="","",'The Open'!$B$3)</f>
        <v/>
      </c>
      <c r="D510">
        <f>IF('The Open'!$G65="","",'The Open'!$D65&amp;"")</f>
        <v/>
      </c>
      <c r="F510">
        <f>IF('The Open'!$G65="","",'The Open'!$A65&amp;"")</f>
        <v/>
      </c>
      <c r="J510">
        <f>IF('The Open'!$G65="","",'The Open'!$E65)</f>
        <v/>
      </c>
      <c r="K510">
        <f>IF('The Open'!$G65="","",'The Open'!$J65)</f>
        <v/>
      </c>
      <c r="L510">
        <f>IF('The Open'!$G65="","","")</f>
        <v/>
      </c>
      <c r="M510">
        <f>IF('The Open'!$G65="","",'The Open'!$F65)</f>
        <v/>
      </c>
      <c r="N510">
        <f>IF('The Open'!$G65="","",'The Open'!$G65)</f>
        <v/>
      </c>
      <c r="O510">
        <f>IF('The Open'!$G65="","",'The Open'!$G65)</f>
        <v/>
      </c>
      <c r="P510">
        <f>IF('The Open'!$G65="","",'The Open'!$H65)</f>
        <v/>
      </c>
    </row>
    <row r="511">
      <c r="A511">
        <f>IF('The Open'!$G66="","","The Open")</f>
        <v/>
      </c>
      <c r="B511">
        <f>IF('The Open'!$G66="","","Major")</f>
        <v/>
      </c>
      <c r="C511" s="18">
        <f>IF('The Open'!$G66="","",'The Open'!$B$3)</f>
        <v/>
      </c>
      <c r="D511">
        <f>IF('The Open'!$G66="","",'The Open'!$D66&amp;"")</f>
        <v/>
      </c>
      <c r="F511">
        <f>IF('The Open'!$G66="","",'The Open'!$A66&amp;"")</f>
        <v/>
      </c>
      <c r="J511">
        <f>IF('The Open'!$G66="","",'The Open'!$E66)</f>
        <v/>
      </c>
      <c r="K511">
        <f>IF('The Open'!$G66="","",'The Open'!$J66)</f>
        <v/>
      </c>
      <c r="L511">
        <f>IF('The Open'!$G66="","","")</f>
        <v/>
      </c>
      <c r="M511">
        <f>IF('The Open'!$G66="","",'The Open'!$F66)</f>
        <v/>
      </c>
      <c r="N511">
        <f>IF('The Open'!$G66="","",'The Open'!$G66)</f>
        <v/>
      </c>
      <c r="O511">
        <f>IF('The Open'!$G66="","",'The Open'!$G66)</f>
        <v/>
      </c>
      <c r="P511">
        <f>IF('The Open'!$G66="","",'The Open'!$H66)</f>
        <v/>
      </c>
    </row>
    <row r="512">
      <c r="A512">
        <f>IF('The Open'!$G67="","","The Open")</f>
        <v/>
      </c>
      <c r="B512">
        <f>IF('The Open'!$G67="","","Major")</f>
        <v/>
      </c>
      <c r="C512" s="18">
        <f>IF('The Open'!$G67="","",'The Open'!$B$3)</f>
        <v/>
      </c>
      <c r="D512">
        <f>IF('The Open'!$G67="","",'The Open'!$D67&amp;"")</f>
        <v/>
      </c>
      <c r="F512">
        <f>IF('The Open'!$G67="","",'The Open'!$A67&amp;"")</f>
        <v/>
      </c>
      <c r="J512">
        <f>IF('The Open'!$G67="","",'The Open'!$E67)</f>
        <v/>
      </c>
      <c r="K512">
        <f>IF('The Open'!$G67="","",'The Open'!$J67)</f>
        <v/>
      </c>
      <c r="L512">
        <f>IF('The Open'!$G67="","","")</f>
        <v/>
      </c>
      <c r="M512">
        <f>IF('The Open'!$G67="","",'The Open'!$F67)</f>
        <v/>
      </c>
      <c r="N512">
        <f>IF('The Open'!$G67="","",'The Open'!$G67)</f>
        <v/>
      </c>
      <c r="O512">
        <f>IF('The Open'!$G67="","",'The Open'!$G67)</f>
        <v/>
      </c>
      <c r="P512">
        <f>IF('The Open'!$G67="","",'The Open'!$H67)</f>
        <v/>
      </c>
    </row>
    <row r="513">
      <c r="A513">
        <f>IF('The Open'!$G68="","","The Open")</f>
        <v/>
      </c>
      <c r="B513">
        <f>IF('The Open'!$G68="","","Major")</f>
        <v/>
      </c>
      <c r="C513" s="18">
        <f>IF('The Open'!$G68="","",'The Open'!$B$3)</f>
        <v/>
      </c>
      <c r="D513">
        <f>IF('The Open'!$G68="","",'The Open'!$D68&amp;"")</f>
        <v/>
      </c>
      <c r="F513">
        <f>IF('The Open'!$G68="","",'The Open'!$A68&amp;"")</f>
        <v/>
      </c>
      <c r="J513">
        <f>IF('The Open'!$G68="","",'The Open'!$E68)</f>
        <v/>
      </c>
      <c r="K513">
        <f>IF('The Open'!$G68="","",'The Open'!$J68)</f>
        <v/>
      </c>
      <c r="L513">
        <f>IF('The Open'!$G68="","","")</f>
        <v/>
      </c>
      <c r="M513">
        <f>IF('The Open'!$G68="","",'The Open'!$F68)</f>
        <v/>
      </c>
      <c r="N513">
        <f>IF('The Open'!$G68="","",'The Open'!$G68)</f>
        <v/>
      </c>
      <c r="O513">
        <f>IF('The Open'!$G68="","",'The Open'!$G68)</f>
        <v/>
      </c>
      <c r="P513">
        <f>IF('The Open'!$G68="","",'The Open'!$H68)</f>
        <v/>
      </c>
    </row>
    <row r="514">
      <c r="A514">
        <f>IF('The Open'!$G69="","","The Open")</f>
        <v/>
      </c>
      <c r="B514">
        <f>IF('The Open'!$G69="","","Major")</f>
        <v/>
      </c>
      <c r="C514" s="18">
        <f>IF('The Open'!$G69="","",'The Open'!$B$3)</f>
        <v/>
      </c>
      <c r="D514">
        <f>IF('The Open'!$G69="","",'The Open'!$D69&amp;"")</f>
        <v/>
      </c>
      <c r="F514">
        <f>IF('The Open'!$G69="","",'The Open'!$A69&amp;"")</f>
        <v/>
      </c>
      <c r="J514">
        <f>IF('The Open'!$G69="","",'The Open'!$E69)</f>
        <v/>
      </c>
      <c r="K514">
        <f>IF('The Open'!$G69="","",'The Open'!$J69)</f>
        <v/>
      </c>
      <c r="L514">
        <f>IF('The Open'!$G69="","","")</f>
        <v/>
      </c>
      <c r="M514">
        <f>IF('The Open'!$G69="","",'The Open'!$F69)</f>
        <v/>
      </c>
      <c r="N514">
        <f>IF('The Open'!$G69="","",'The Open'!$G69)</f>
        <v/>
      </c>
      <c r="O514">
        <f>IF('The Open'!$G69="","",'The Open'!$G69)</f>
        <v/>
      </c>
      <c r="P514">
        <f>IF('The Open'!$G69="","",'The Open'!$H69)</f>
        <v/>
      </c>
    </row>
    <row r="515">
      <c r="A515">
        <f>IF('The Open'!$G70="","","The Open")</f>
        <v/>
      </c>
      <c r="B515">
        <f>IF('The Open'!$G70="","","Major")</f>
        <v/>
      </c>
      <c r="C515" s="18">
        <f>IF('The Open'!$G70="","",'The Open'!$B$3)</f>
        <v/>
      </c>
      <c r="D515">
        <f>IF('The Open'!$G70="","",'The Open'!$D70&amp;"")</f>
        <v/>
      </c>
      <c r="F515">
        <f>IF('The Open'!$G70="","",'The Open'!$A70&amp;"")</f>
        <v/>
      </c>
      <c r="J515">
        <f>IF('The Open'!$G70="","",'The Open'!$E70)</f>
        <v/>
      </c>
      <c r="K515">
        <f>IF('The Open'!$G70="","",'The Open'!$J70)</f>
        <v/>
      </c>
      <c r="L515">
        <f>IF('The Open'!$G70="","","")</f>
        <v/>
      </c>
      <c r="M515">
        <f>IF('The Open'!$G70="","",'The Open'!$F70)</f>
        <v/>
      </c>
      <c r="N515">
        <f>IF('The Open'!$G70="","",'The Open'!$G70)</f>
        <v/>
      </c>
      <c r="O515">
        <f>IF('The Open'!$G70="","",'The Open'!$G70)</f>
        <v/>
      </c>
      <c r="P515">
        <f>IF('The Open'!$G70="","",'The Open'!$H70)</f>
        <v/>
      </c>
    </row>
    <row r="516">
      <c r="A516">
        <f>IF('The Open'!$G71="","","The Open")</f>
        <v/>
      </c>
      <c r="B516">
        <f>IF('The Open'!$G71="","","Major")</f>
        <v/>
      </c>
      <c r="C516" s="18">
        <f>IF('The Open'!$G71="","",'The Open'!$B$3)</f>
        <v/>
      </c>
      <c r="D516">
        <f>IF('The Open'!$G71="","",'The Open'!$D71&amp;"")</f>
        <v/>
      </c>
      <c r="F516">
        <f>IF('The Open'!$G71="","",'The Open'!$A71&amp;"")</f>
        <v/>
      </c>
      <c r="J516">
        <f>IF('The Open'!$G71="","",'The Open'!$E71)</f>
        <v/>
      </c>
      <c r="K516">
        <f>IF('The Open'!$G71="","",'The Open'!$J71)</f>
        <v/>
      </c>
      <c r="L516">
        <f>IF('The Open'!$G71="","","")</f>
        <v/>
      </c>
      <c r="M516">
        <f>IF('The Open'!$G71="","",'The Open'!$F71)</f>
        <v/>
      </c>
      <c r="N516">
        <f>IF('The Open'!$G71="","",'The Open'!$G71)</f>
        <v/>
      </c>
      <c r="O516">
        <f>IF('The Open'!$G71="","",'The Open'!$G71)</f>
        <v/>
      </c>
      <c r="P516">
        <f>IF('The Open'!$G71="","",'The Open'!$H71)</f>
        <v/>
      </c>
    </row>
    <row r="517">
      <c r="A517">
        <f>IF('The Open'!$G72="","","The Open")</f>
        <v/>
      </c>
      <c r="B517">
        <f>IF('The Open'!$G72="","","Major")</f>
        <v/>
      </c>
      <c r="C517" s="18">
        <f>IF('The Open'!$G72="","",'The Open'!$B$3)</f>
        <v/>
      </c>
      <c r="D517">
        <f>IF('The Open'!$G72="","",'The Open'!$D72&amp;"")</f>
        <v/>
      </c>
      <c r="F517">
        <f>IF('The Open'!$G72="","",'The Open'!$A72&amp;"")</f>
        <v/>
      </c>
      <c r="J517">
        <f>IF('The Open'!$G72="","",'The Open'!$E72)</f>
        <v/>
      </c>
      <c r="K517">
        <f>IF('The Open'!$G72="","",'The Open'!$J72)</f>
        <v/>
      </c>
      <c r="L517">
        <f>IF('The Open'!$G72="","","")</f>
        <v/>
      </c>
      <c r="M517">
        <f>IF('The Open'!$G72="","",'The Open'!$F72)</f>
        <v/>
      </c>
      <c r="N517">
        <f>IF('The Open'!$G72="","",'The Open'!$G72)</f>
        <v/>
      </c>
      <c r="O517">
        <f>IF('The Open'!$G72="","",'The Open'!$G72)</f>
        <v/>
      </c>
      <c r="P517">
        <f>IF('The Open'!$G72="","",'The Open'!$H72)</f>
        <v/>
      </c>
    </row>
    <row r="518">
      <c r="A518">
        <f>IF('The Open'!$G73="","","The Open")</f>
        <v/>
      </c>
      <c r="B518">
        <f>IF('The Open'!$G73="","","Major")</f>
        <v/>
      </c>
      <c r="C518" s="18">
        <f>IF('The Open'!$G73="","",'The Open'!$B$3)</f>
        <v/>
      </c>
      <c r="D518">
        <f>IF('The Open'!$G73="","",'The Open'!$D73&amp;"")</f>
        <v/>
      </c>
      <c r="F518">
        <f>IF('The Open'!$G73="","",'The Open'!$A73&amp;"")</f>
        <v/>
      </c>
      <c r="J518">
        <f>IF('The Open'!$G73="","",'The Open'!$E73)</f>
        <v/>
      </c>
      <c r="K518">
        <f>IF('The Open'!$G73="","",'The Open'!$J73)</f>
        <v/>
      </c>
      <c r="L518">
        <f>IF('The Open'!$G73="","","")</f>
        <v/>
      </c>
      <c r="M518">
        <f>IF('The Open'!$G73="","",'The Open'!$F73)</f>
        <v/>
      </c>
      <c r="N518">
        <f>IF('The Open'!$G73="","",'The Open'!$G73)</f>
        <v/>
      </c>
      <c r="O518">
        <f>IF('The Open'!$G73="","",'The Open'!$G73)</f>
        <v/>
      </c>
      <c r="P518">
        <f>IF('The Open'!$G73="","",'The Open'!$H73)</f>
        <v/>
      </c>
    </row>
    <row r="519">
      <c r="A519">
        <f>IF('The Open'!$G74="","","The Open")</f>
        <v/>
      </c>
      <c r="B519">
        <f>IF('The Open'!$G74="","","Major")</f>
        <v/>
      </c>
      <c r="C519" s="18">
        <f>IF('The Open'!$G74="","",'The Open'!$B$3)</f>
        <v/>
      </c>
      <c r="D519">
        <f>IF('The Open'!$G74="","",'The Open'!$D74&amp;"")</f>
        <v/>
      </c>
      <c r="F519">
        <f>IF('The Open'!$G74="","",'The Open'!$A74&amp;"")</f>
        <v/>
      </c>
      <c r="J519">
        <f>IF('The Open'!$G74="","",'The Open'!$E74)</f>
        <v/>
      </c>
      <c r="K519">
        <f>IF('The Open'!$G74="","",'The Open'!$J74)</f>
        <v/>
      </c>
      <c r="L519">
        <f>IF('The Open'!$G74="","","")</f>
        <v/>
      </c>
      <c r="M519">
        <f>IF('The Open'!$G74="","",'The Open'!$F74)</f>
        <v/>
      </c>
      <c r="N519">
        <f>IF('The Open'!$G74="","",'The Open'!$G74)</f>
        <v/>
      </c>
      <c r="O519">
        <f>IF('The Open'!$G74="","",'The Open'!$G74)</f>
        <v/>
      </c>
      <c r="P519">
        <f>IF('The Open'!$G74="","",'The Open'!$H74)</f>
        <v/>
      </c>
    </row>
    <row r="520">
      <c r="A520">
        <f>IF('The Open'!$G75="","","The Open")</f>
        <v/>
      </c>
      <c r="B520">
        <f>IF('The Open'!$G75="","","Major")</f>
        <v/>
      </c>
      <c r="C520" s="18">
        <f>IF('The Open'!$G75="","",'The Open'!$B$3)</f>
        <v/>
      </c>
      <c r="D520">
        <f>IF('The Open'!$G75="","",'The Open'!$D75&amp;"")</f>
        <v/>
      </c>
      <c r="F520">
        <f>IF('The Open'!$G75="","",'The Open'!$A75&amp;"")</f>
        <v/>
      </c>
      <c r="J520">
        <f>IF('The Open'!$G75="","",'The Open'!$E75)</f>
        <v/>
      </c>
      <c r="K520">
        <f>IF('The Open'!$G75="","",'The Open'!$J75)</f>
        <v/>
      </c>
      <c r="L520">
        <f>IF('The Open'!$G75="","","")</f>
        <v/>
      </c>
      <c r="M520">
        <f>IF('The Open'!$G75="","",'The Open'!$F75)</f>
        <v/>
      </c>
      <c r="N520">
        <f>IF('The Open'!$G75="","",'The Open'!$G75)</f>
        <v/>
      </c>
      <c r="O520">
        <f>IF('The Open'!$G75="","",'The Open'!$G75)</f>
        <v/>
      </c>
      <c r="P520">
        <f>IF('The Open'!$G75="","",'The Open'!$H75)</f>
        <v/>
      </c>
    </row>
    <row r="521">
      <c r="A521">
        <f>IF('The Open'!$G76="","","The Open")</f>
        <v/>
      </c>
      <c r="B521">
        <f>IF('The Open'!$G76="","","Major")</f>
        <v/>
      </c>
      <c r="C521" s="18">
        <f>IF('The Open'!$G76="","",'The Open'!$B$3)</f>
        <v/>
      </c>
      <c r="D521">
        <f>IF('The Open'!$G76="","",'The Open'!$D76&amp;"")</f>
        <v/>
      </c>
      <c r="F521">
        <f>IF('The Open'!$G76="","",'The Open'!$A76&amp;"")</f>
        <v/>
      </c>
      <c r="J521">
        <f>IF('The Open'!$G76="","",'The Open'!$E76)</f>
        <v/>
      </c>
      <c r="K521">
        <f>IF('The Open'!$G76="","",'The Open'!$J76)</f>
        <v/>
      </c>
      <c r="L521">
        <f>IF('The Open'!$G76="","","")</f>
        <v/>
      </c>
      <c r="M521">
        <f>IF('The Open'!$G76="","",'The Open'!$F76)</f>
        <v/>
      </c>
      <c r="N521">
        <f>IF('The Open'!$G76="","",'The Open'!$G76)</f>
        <v/>
      </c>
      <c r="O521">
        <f>IF('The Open'!$G76="","",'The Open'!$G76)</f>
        <v/>
      </c>
      <c r="P521">
        <f>IF('The Open'!$G76="","",'The Open'!$H76)</f>
        <v/>
      </c>
    </row>
    <row r="522">
      <c r="A522">
        <f>IF('The Open'!$G77="","","The Open")</f>
        <v/>
      </c>
      <c r="B522">
        <f>IF('The Open'!$G77="","","Major")</f>
        <v/>
      </c>
      <c r="C522" s="18">
        <f>IF('The Open'!$G77="","",'The Open'!$B$3)</f>
        <v/>
      </c>
      <c r="D522">
        <f>IF('The Open'!$G77="","",'The Open'!$D77&amp;"")</f>
        <v/>
      </c>
      <c r="F522">
        <f>IF('The Open'!$G77="","",'The Open'!$A77&amp;"")</f>
        <v/>
      </c>
      <c r="J522">
        <f>IF('The Open'!$G77="","",'The Open'!$E77)</f>
        <v/>
      </c>
      <c r="K522">
        <f>IF('The Open'!$G77="","",'The Open'!$J77)</f>
        <v/>
      </c>
      <c r="L522">
        <f>IF('The Open'!$G77="","","")</f>
        <v/>
      </c>
      <c r="M522">
        <f>IF('The Open'!$G77="","",'The Open'!$F77)</f>
        <v/>
      </c>
      <c r="N522">
        <f>IF('The Open'!$G77="","",'The Open'!$G77)</f>
        <v/>
      </c>
      <c r="O522">
        <f>IF('The Open'!$G77="","",'The Open'!$G77)</f>
        <v/>
      </c>
      <c r="P522">
        <f>IF('The Open'!$G77="","",'The Open'!$H77)</f>
        <v/>
      </c>
    </row>
    <row r="523">
      <c r="A523">
        <f>IF('The Open'!$G78="","","The Open")</f>
        <v/>
      </c>
      <c r="B523">
        <f>IF('The Open'!$G78="","","Major")</f>
        <v/>
      </c>
      <c r="C523" s="18">
        <f>IF('The Open'!$G78="","",'The Open'!$B$3)</f>
        <v/>
      </c>
      <c r="D523">
        <f>IF('The Open'!$G78="","",'The Open'!$D78&amp;"")</f>
        <v/>
      </c>
      <c r="F523">
        <f>IF('The Open'!$G78="","",'The Open'!$A78&amp;"")</f>
        <v/>
      </c>
      <c r="J523">
        <f>IF('The Open'!$G78="","",'The Open'!$E78)</f>
        <v/>
      </c>
      <c r="K523">
        <f>IF('The Open'!$G78="","",'The Open'!$J78)</f>
        <v/>
      </c>
      <c r="L523">
        <f>IF('The Open'!$G78="","","")</f>
        <v/>
      </c>
      <c r="M523">
        <f>IF('The Open'!$G78="","",'The Open'!$F78)</f>
        <v/>
      </c>
      <c r="N523">
        <f>IF('The Open'!$G78="","",'The Open'!$G78)</f>
        <v/>
      </c>
      <c r="O523">
        <f>IF('The Open'!$G78="","",'The Open'!$G78)</f>
        <v/>
      </c>
      <c r="P523">
        <f>IF('The Open'!$G78="","",'The Open'!$H78)</f>
        <v/>
      </c>
    </row>
    <row r="524">
      <c r="A524">
        <f>IF('The Open'!$G79="","","The Open")</f>
        <v/>
      </c>
      <c r="B524">
        <f>IF('The Open'!$G79="","","Major")</f>
        <v/>
      </c>
      <c r="C524" s="18">
        <f>IF('The Open'!$G79="","",'The Open'!$B$3)</f>
        <v/>
      </c>
      <c r="D524">
        <f>IF('The Open'!$G79="","",'The Open'!$D79&amp;"")</f>
        <v/>
      </c>
      <c r="F524">
        <f>IF('The Open'!$G79="","",'The Open'!$A79&amp;"")</f>
        <v/>
      </c>
      <c r="J524">
        <f>IF('The Open'!$G79="","",'The Open'!$E79)</f>
        <v/>
      </c>
      <c r="K524">
        <f>IF('The Open'!$G79="","",'The Open'!$J79)</f>
        <v/>
      </c>
      <c r="L524">
        <f>IF('The Open'!$G79="","","")</f>
        <v/>
      </c>
      <c r="M524">
        <f>IF('The Open'!$G79="","",'The Open'!$F79)</f>
        <v/>
      </c>
      <c r="N524">
        <f>IF('The Open'!$G79="","",'The Open'!$G79)</f>
        <v/>
      </c>
      <c r="O524">
        <f>IF('The Open'!$G79="","",'The Open'!$G79)</f>
        <v/>
      </c>
      <c r="P524">
        <f>IF('The Open'!$G79="","",'The Open'!$H79)</f>
        <v/>
      </c>
    </row>
    <row r="525">
      <c r="A525">
        <f>IF('The Open'!$G80="","","The Open")</f>
        <v/>
      </c>
      <c r="B525">
        <f>IF('The Open'!$G80="","","Major")</f>
        <v/>
      </c>
      <c r="C525" s="18">
        <f>IF('The Open'!$G80="","",'The Open'!$B$3)</f>
        <v/>
      </c>
      <c r="D525">
        <f>IF('The Open'!$G80="","",'The Open'!$D80&amp;"")</f>
        <v/>
      </c>
      <c r="F525">
        <f>IF('The Open'!$G80="","",'The Open'!$A80&amp;"")</f>
        <v/>
      </c>
      <c r="J525">
        <f>IF('The Open'!$G80="","",'The Open'!$E80)</f>
        <v/>
      </c>
      <c r="K525">
        <f>IF('The Open'!$G80="","",'The Open'!$J80)</f>
        <v/>
      </c>
      <c r="L525">
        <f>IF('The Open'!$G80="","","")</f>
        <v/>
      </c>
      <c r="M525">
        <f>IF('The Open'!$G80="","",'The Open'!$F80)</f>
        <v/>
      </c>
      <c r="N525">
        <f>IF('The Open'!$G80="","",'The Open'!$G80)</f>
        <v/>
      </c>
      <c r="O525">
        <f>IF('The Open'!$G80="","",'The Open'!$G80)</f>
        <v/>
      </c>
      <c r="P525">
        <f>IF('The Open'!$G80="","",'The Open'!$H80)</f>
        <v/>
      </c>
    </row>
    <row r="526">
      <c r="A526">
        <f>IF('The Open'!$G81="","","The Open")</f>
        <v/>
      </c>
      <c r="B526">
        <f>IF('The Open'!$G81="","","Major")</f>
        <v/>
      </c>
      <c r="C526" s="18">
        <f>IF('The Open'!$G81="","",'The Open'!$B$3)</f>
        <v/>
      </c>
      <c r="D526">
        <f>IF('The Open'!$G81="","",'The Open'!$D81&amp;"")</f>
        <v/>
      </c>
      <c r="F526">
        <f>IF('The Open'!$G81="","",'The Open'!$A81&amp;"")</f>
        <v/>
      </c>
      <c r="J526">
        <f>IF('The Open'!$G81="","",'The Open'!$E81)</f>
        <v/>
      </c>
      <c r="K526">
        <f>IF('The Open'!$G81="","",'The Open'!$J81)</f>
        <v/>
      </c>
      <c r="L526">
        <f>IF('The Open'!$G81="","","")</f>
        <v/>
      </c>
      <c r="M526">
        <f>IF('The Open'!$G81="","",'The Open'!$F81)</f>
        <v/>
      </c>
      <c r="N526">
        <f>IF('The Open'!$G81="","",'The Open'!$G81)</f>
        <v/>
      </c>
      <c r="O526">
        <f>IF('The Open'!$G81="","",'The Open'!$G81)</f>
        <v/>
      </c>
      <c r="P526">
        <f>IF('The Open'!$G81="","",'The Open'!$H81)</f>
        <v/>
      </c>
    </row>
    <row r="527">
      <c r="A527">
        <f>IF('The Open'!$G82="","","The Open")</f>
        <v/>
      </c>
      <c r="B527">
        <f>IF('The Open'!$G82="","","Major")</f>
        <v/>
      </c>
      <c r="C527" s="18">
        <f>IF('The Open'!$G82="","",'The Open'!$B$3)</f>
        <v/>
      </c>
      <c r="D527">
        <f>IF('The Open'!$G82="","",'The Open'!$D82&amp;"")</f>
        <v/>
      </c>
      <c r="F527">
        <f>IF('The Open'!$G82="","",'The Open'!$A82&amp;"")</f>
        <v/>
      </c>
      <c r="J527">
        <f>IF('The Open'!$G82="","",'The Open'!$E82)</f>
        <v/>
      </c>
      <c r="K527">
        <f>IF('The Open'!$G82="","",'The Open'!$J82)</f>
        <v/>
      </c>
      <c r="L527">
        <f>IF('The Open'!$G82="","","")</f>
        <v/>
      </c>
      <c r="M527">
        <f>IF('The Open'!$G82="","",'The Open'!$F82)</f>
        <v/>
      </c>
      <c r="N527">
        <f>IF('The Open'!$G82="","",'The Open'!$G82)</f>
        <v/>
      </c>
      <c r="O527">
        <f>IF('The Open'!$G82="","",'The Open'!$G82)</f>
        <v/>
      </c>
      <c r="P527">
        <f>IF('The Open'!$G82="","",'The Open'!$H82)</f>
        <v/>
      </c>
    </row>
    <row r="528">
      <c r="A528">
        <f>IF('The Open'!$G83="","","The Open")</f>
        <v/>
      </c>
      <c r="B528">
        <f>IF('The Open'!$G83="","","Major")</f>
        <v/>
      </c>
      <c r="C528" s="18">
        <f>IF('The Open'!$G83="","",'The Open'!$B$3)</f>
        <v/>
      </c>
      <c r="D528">
        <f>IF('The Open'!$G83="","",'The Open'!$D83&amp;"")</f>
        <v/>
      </c>
      <c r="F528">
        <f>IF('The Open'!$G83="","",'The Open'!$A83&amp;"")</f>
        <v/>
      </c>
      <c r="J528">
        <f>IF('The Open'!$G83="","",'The Open'!$E83)</f>
        <v/>
      </c>
      <c r="K528">
        <f>IF('The Open'!$G83="","",'The Open'!$J83)</f>
        <v/>
      </c>
      <c r="L528">
        <f>IF('The Open'!$G83="","","")</f>
        <v/>
      </c>
      <c r="M528">
        <f>IF('The Open'!$G83="","",'The Open'!$F83)</f>
        <v/>
      </c>
      <c r="N528">
        <f>IF('The Open'!$G83="","",'The Open'!$G83)</f>
        <v/>
      </c>
      <c r="O528">
        <f>IF('The Open'!$G83="","",'The Open'!$G83)</f>
        <v/>
      </c>
      <c r="P528">
        <f>IF('The Open'!$G83="","",'The Open'!$H83)</f>
        <v/>
      </c>
    </row>
    <row r="529">
      <c r="A529">
        <f>IF('The Open'!$G84="","","The Open")</f>
        <v/>
      </c>
      <c r="B529">
        <f>IF('The Open'!$G84="","","Major")</f>
        <v/>
      </c>
      <c r="C529" s="18">
        <f>IF('The Open'!$G84="","",'The Open'!$B$3)</f>
        <v/>
      </c>
      <c r="D529">
        <f>IF('The Open'!$G84="","",'The Open'!$D84&amp;"")</f>
        <v/>
      </c>
      <c r="F529">
        <f>IF('The Open'!$G84="","",'The Open'!$A84&amp;"")</f>
        <v/>
      </c>
      <c r="J529">
        <f>IF('The Open'!$G84="","",'The Open'!$E84)</f>
        <v/>
      </c>
      <c r="K529">
        <f>IF('The Open'!$G84="","",'The Open'!$J84)</f>
        <v/>
      </c>
      <c r="L529">
        <f>IF('The Open'!$G84="","","")</f>
        <v/>
      </c>
      <c r="M529">
        <f>IF('The Open'!$G84="","",'The Open'!$F84)</f>
        <v/>
      </c>
      <c r="N529">
        <f>IF('The Open'!$G84="","",'The Open'!$G84)</f>
        <v/>
      </c>
      <c r="O529">
        <f>IF('The Open'!$G84="","",'The Open'!$G84)</f>
        <v/>
      </c>
      <c r="P529">
        <f>IF('The Open'!$G84="","",'The Open'!$H84)</f>
        <v/>
      </c>
    </row>
    <row r="530">
      <c r="A530">
        <f>IF('The Open'!$G85="","","The Open")</f>
        <v/>
      </c>
      <c r="B530">
        <f>IF('The Open'!$G85="","","Major")</f>
        <v/>
      </c>
      <c r="C530" s="18">
        <f>IF('The Open'!$G85="","",'The Open'!$B$3)</f>
        <v/>
      </c>
      <c r="D530">
        <f>IF('The Open'!$G85="","",'The Open'!$D85&amp;"")</f>
        <v/>
      </c>
      <c r="F530">
        <f>IF('The Open'!$G85="","",'The Open'!$A85&amp;"")</f>
        <v/>
      </c>
      <c r="J530">
        <f>IF('The Open'!$G85="","",'The Open'!$E85)</f>
        <v/>
      </c>
      <c r="K530">
        <f>IF('The Open'!$G85="","",'The Open'!$J85)</f>
        <v/>
      </c>
      <c r="L530">
        <f>IF('The Open'!$G85="","","")</f>
        <v/>
      </c>
      <c r="M530">
        <f>IF('The Open'!$G85="","",'The Open'!$F85)</f>
        <v/>
      </c>
      <c r="N530">
        <f>IF('The Open'!$G85="","",'The Open'!$G85)</f>
        <v/>
      </c>
      <c r="O530">
        <f>IF('The Open'!$G85="","",'The Open'!$G85)</f>
        <v/>
      </c>
      <c r="P530">
        <f>IF('The Open'!$G85="","",'The Open'!$H85)</f>
        <v/>
      </c>
    </row>
    <row r="531">
      <c r="A531">
        <f>IF('The Open'!$G86="","","The Open")</f>
        <v/>
      </c>
      <c r="B531">
        <f>IF('The Open'!$G86="","","Major")</f>
        <v/>
      </c>
      <c r="C531" s="18">
        <f>IF('The Open'!$G86="","",'The Open'!$B$3)</f>
        <v/>
      </c>
      <c r="D531">
        <f>IF('The Open'!$G86="","",'The Open'!$D86&amp;"")</f>
        <v/>
      </c>
      <c r="F531">
        <f>IF('The Open'!$G86="","",'The Open'!$A86&amp;"")</f>
        <v/>
      </c>
      <c r="J531">
        <f>IF('The Open'!$G86="","",'The Open'!$E86)</f>
        <v/>
      </c>
      <c r="K531">
        <f>IF('The Open'!$G86="","",'The Open'!$J86)</f>
        <v/>
      </c>
      <c r="L531">
        <f>IF('The Open'!$G86="","","")</f>
        <v/>
      </c>
      <c r="M531">
        <f>IF('The Open'!$G86="","",'The Open'!$F86)</f>
        <v/>
      </c>
      <c r="N531">
        <f>IF('The Open'!$G86="","",'The Open'!$G86)</f>
        <v/>
      </c>
      <c r="O531">
        <f>IF('The Open'!$G86="","",'The Open'!$G86)</f>
        <v/>
      </c>
      <c r="P531">
        <f>IF('The Open'!$G86="","",'The Open'!$H86)</f>
        <v/>
      </c>
    </row>
    <row r="532">
      <c r="A532">
        <f>IF('The Open'!$G87="","","The Open")</f>
        <v/>
      </c>
      <c r="B532">
        <f>IF('The Open'!$G87="","","Major")</f>
        <v/>
      </c>
      <c r="C532" s="18">
        <f>IF('The Open'!$G87="","",'The Open'!$B$3)</f>
        <v/>
      </c>
      <c r="D532">
        <f>IF('The Open'!$G87="","",'The Open'!$D87&amp;"")</f>
        <v/>
      </c>
      <c r="F532">
        <f>IF('The Open'!$G87="","",'The Open'!$A87&amp;"")</f>
        <v/>
      </c>
      <c r="J532">
        <f>IF('The Open'!$G87="","",'The Open'!$E87)</f>
        <v/>
      </c>
      <c r="K532">
        <f>IF('The Open'!$G87="","",'The Open'!$J87)</f>
        <v/>
      </c>
      <c r="L532">
        <f>IF('The Open'!$G87="","","")</f>
        <v/>
      </c>
      <c r="M532">
        <f>IF('The Open'!$G87="","",'The Open'!$F87)</f>
        <v/>
      </c>
      <c r="N532">
        <f>IF('The Open'!$G87="","",'The Open'!$G87)</f>
        <v/>
      </c>
      <c r="O532">
        <f>IF('The Open'!$G87="","",'The Open'!$G87)</f>
        <v/>
      </c>
      <c r="P532">
        <f>IF('The Open'!$G87="","",'The Open'!$H87)</f>
        <v/>
      </c>
    </row>
    <row r="533">
      <c r="A533">
        <f>IF('The Open'!$G88="","","The Open")</f>
        <v/>
      </c>
      <c r="B533">
        <f>IF('The Open'!$G88="","","Major")</f>
        <v/>
      </c>
      <c r="C533" s="18">
        <f>IF('The Open'!$G88="","",'The Open'!$B$3)</f>
        <v/>
      </c>
      <c r="D533">
        <f>IF('The Open'!$G88="","",'The Open'!$D88&amp;"")</f>
        <v/>
      </c>
      <c r="F533">
        <f>IF('The Open'!$G88="","",'The Open'!$A88&amp;"")</f>
        <v/>
      </c>
      <c r="J533">
        <f>IF('The Open'!$G88="","",'The Open'!$E88)</f>
        <v/>
      </c>
      <c r="K533">
        <f>IF('The Open'!$G88="","",'The Open'!$J88)</f>
        <v/>
      </c>
      <c r="L533">
        <f>IF('The Open'!$G88="","","")</f>
        <v/>
      </c>
      <c r="M533">
        <f>IF('The Open'!$G88="","",'The Open'!$F88)</f>
        <v/>
      </c>
      <c r="N533">
        <f>IF('The Open'!$G88="","",'The Open'!$G88)</f>
        <v/>
      </c>
      <c r="O533">
        <f>IF('The Open'!$G88="","",'The Open'!$G88)</f>
        <v/>
      </c>
      <c r="P533">
        <f>IF('The Open'!$G88="","",'The Open'!$H88)</f>
        <v/>
      </c>
    </row>
    <row r="534">
      <c r="A534">
        <f>IF('The Open'!$G89="","","The Open")</f>
        <v/>
      </c>
      <c r="B534">
        <f>IF('The Open'!$G89="","","Major")</f>
        <v/>
      </c>
      <c r="C534" s="18">
        <f>IF('The Open'!$G89="","",'The Open'!$B$3)</f>
        <v/>
      </c>
      <c r="D534">
        <f>IF('The Open'!$G89="","",'The Open'!$D89&amp;"")</f>
        <v/>
      </c>
      <c r="F534">
        <f>IF('The Open'!$G89="","",'The Open'!$A89&amp;"")</f>
        <v/>
      </c>
      <c r="J534">
        <f>IF('The Open'!$G89="","",'The Open'!$E89)</f>
        <v/>
      </c>
      <c r="K534">
        <f>IF('The Open'!$G89="","",'The Open'!$J89)</f>
        <v/>
      </c>
      <c r="L534">
        <f>IF('The Open'!$G89="","","")</f>
        <v/>
      </c>
      <c r="M534">
        <f>IF('The Open'!$G89="","",'The Open'!$F89)</f>
        <v/>
      </c>
      <c r="N534">
        <f>IF('The Open'!$G89="","",'The Open'!$G89)</f>
        <v/>
      </c>
      <c r="O534">
        <f>IF('The Open'!$G89="","",'The Open'!$G89)</f>
        <v/>
      </c>
      <c r="P534">
        <f>IF('The Open'!$G89="","",'The Open'!$H89)</f>
        <v/>
      </c>
    </row>
    <row r="535">
      <c r="A535">
        <f>IF('The Open'!$G90="","","The Open")</f>
        <v/>
      </c>
      <c r="B535">
        <f>IF('The Open'!$G90="","","Major")</f>
        <v/>
      </c>
      <c r="C535" s="18">
        <f>IF('The Open'!$G90="","",'The Open'!$B$3)</f>
        <v/>
      </c>
      <c r="D535">
        <f>IF('The Open'!$G90="","",'The Open'!$D90&amp;"")</f>
        <v/>
      </c>
      <c r="F535">
        <f>IF('The Open'!$G90="","",'The Open'!$A90&amp;"")</f>
        <v/>
      </c>
      <c r="J535">
        <f>IF('The Open'!$G90="","",'The Open'!$E90)</f>
        <v/>
      </c>
      <c r="K535">
        <f>IF('The Open'!$G90="","",'The Open'!$J90)</f>
        <v/>
      </c>
      <c r="L535">
        <f>IF('The Open'!$G90="","","")</f>
        <v/>
      </c>
      <c r="M535">
        <f>IF('The Open'!$G90="","",'The Open'!$F90)</f>
        <v/>
      </c>
      <c r="N535">
        <f>IF('The Open'!$G90="","",'The Open'!$G90)</f>
        <v/>
      </c>
      <c r="O535">
        <f>IF('The Open'!$G90="","",'The Open'!$G90)</f>
        <v/>
      </c>
      <c r="P535">
        <f>IF('The Open'!$G90="","",'The Open'!$H90)</f>
        <v/>
      </c>
    </row>
    <row r="536">
      <c r="A536">
        <f>IF('The Open'!$G91="","","The Open")</f>
        <v/>
      </c>
      <c r="B536">
        <f>IF('The Open'!$G91="","","Major")</f>
        <v/>
      </c>
      <c r="C536" s="18">
        <f>IF('The Open'!$G91="","",'The Open'!$B$3)</f>
        <v/>
      </c>
      <c r="D536">
        <f>IF('The Open'!$G91="","",'The Open'!$D91&amp;"")</f>
        <v/>
      </c>
      <c r="F536">
        <f>IF('The Open'!$G91="","",'The Open'!$A91&amp;"")</f>
        <v/>
      </c>
      <c r="J536">
        <f>IF('The Open'!$G91="","",'The Open'!$E91)</f>
        <v/>
      </c>
      <c r="K536">
        <f>IF('The Open'!$G91="","",'The Open'!$J91)</f>
        <v/>
      </c>
      <c r="L536">
        <f>IF('The Open'!$G91="","","")</f>
        <v/>
      </c>
      <c r="M536">
        <f>IF('The Open'!$G91="","",'The Open'!$F91)</f>
        <v/>
      </c>
      <c r="N536">
        <f>IF('The Open'!$G91="","",'The Open'!$G91)</f>
        <v/>
      </c>
      <c r="O536">
        <f>IF('The Open'!$G91="","",'The Open'!$G91)</f>
        <v/>
      </c>
      <c r="P536">
        <f>IF('The Open'!$G91="","",'The Open'!$H91)</f>
        <v/>
      </c>
    </row>
    <row r="537">
      <c r="A537">
        <f>IF('The Open'!$G92="","","The Open")</f>
        <v/>
      </c>
      <c r="B537">
        <f>IF('The Open'!$G92="","","Major")</f>
        <v/>
      </c>
      <c r="C537" s="18">
        <f>IF('The Open'!$G92="","",'The Open'!$B$3)</f>
        <v/>
      </c>
      <c r="D537">
        <f>IF('The Open'!$G92="","",'The Open'!$D92&amp;"")</f>
        <v/>
      </c>
      <c r="F537">
        <f>IF('The Open'!$G92="","",'The Open'!$A92&amp;"")</f>
        <v/>
      </c>
      <c r="J537">
        <f>IF('The Open'!$G92="","",'The Open'!$E92)</f>
        <v/>
      </c>
      <c r="K537">
        <f>IF('The Open'!$G92="","",'The Open'!$J92)</f>
        <v/>
      </c>
      <c r="L537">
        <f>IF('The Open'!$G92="","","")</f>
        <v/>
      </c>
      <c r="M537">
        <f>IF('The Open'!$G92="","",'The Open'!$F92)</f>
        <v/>
      </c>
      <c r="N537">
        <f>IF('The Open'!$G92="","",'The Open'!$G92)</f>
        <v/>
      </c>
      <c r="O537">
        <f>IF('The Open'!$G92="","",'The Open'!$G92)</f>
        <v/>
      </c>
      <c r="P537">
        <f>IF('The Open'!$G92="","",'The Open'!$H92)</f>
        <v/>
      </c>
    </row>
    <row r="538">
      <c r="A538">
        <f>IF('The Open'!$G93="","","The Open")</f>
        <v/>
      </c>
      <c r="B538">
        <f>IF('The Open'!$G93="","","Major")</f>
        <v/>
      </c>
      <c r="C538" s="18">
        <f>IF('The Open'!$G93="","",'The Open'!$B$3)</f>
        <v/>
      </c>
      <c r="D538">
        <f>IF('The Open'!$G93="","",'The Open'!$D93&amp;"")</f>
        <v/>
      </c>
      <c r="F538">
        <f>IF('The Open'!$G93="","",'The Open'!$A93&amp;"")</f>
        <v/>
      </c>
      <c r="J538">
        <f>IF('The Open'!$G93="","",'The Open'!$E93)</f>
        <v/>
      </c>
      <c r="K538">
        <f>IF('The Open'!$G93="","",'The Open'!$J93)</f>
        <v/>
      </c>
      <c r="L538">
        <f>IF('The Open'!$G93="","","")</f>
        <v/>
      </c>
      <c r="M538">
        <f>IF('The Open'!$G93="","",'The Open'!$F93)</f>
        <v/>
      </c>
      <c r="N538">
        <f>IF('The Open'!$G93="","",'The Open'!$G93)</f>
        <v/>
      </c>
      <c r="O538">
        <f>IF('The Open'!$G93="","",'The Open'!$G93)</f>
        <v/>
      </c>
      <c r="P538">
        <f>IF('The Open'!$G93="","",'The Open'!$H93)</f>
        <v/>
      </c>
    </row>
    <row r="539">
      <c r="A539">
        <f>IF('The Open'!$G94="","","The Open")</f>
        <v/>
      </c>
      <c r="B539">
        <f>IF('The Open'!$G94="","","Major")</f>
        <v/>
      </c>
      <c r="C539" s="18">
        <f>IF('The Open'!$G94="","",'The Open'!$B$3)</f>
        <v/>
      </c>
      <c r="D539">
        <f>IF('The Open'!$G94="","",'The Open'!$D94&amp;"")</f>
        <v/>
      </c>
      <c r="F539">
        <f>IF('The Open'!$G94="","",'The Open'!$A94&amp;"")</f>
        <v/>
      </c>
      <c r="J539">
        <f>IF('The Open'!$G94="","",'The Open'!$E94)</f>
        <v/>
      </c>
      <c r="K539">
        <f>IF('The Open'!$G94="","",'The Open'!$J94)</f>
        <v/>
      </c>
      <c r="L539">
        <f>IF('The Open'!$G94="","","")</f>
        <v/>
      </c>
      <c r="M539">
        <f>IF('The Open'!$G94="","",'The Open'!$F94)</f>
        <v/>
      </c>
      <c r="N539">
        <f>IF('The Open'!$G94="","",'The Open'!$G94)</f>
        <v/>
      </c>
      <c r="O539">
        <f>IF('The Open'!$G94="","",'The Open'!$G94)</f>
        <v/>
      </c>
      <c r="P539">
        <f>IF('The Open'!$G94="","",'The Open'!$H94)</f>
        <v/>
      </c>
    </row>
    <row r="540">
      <c r="A540">
        <f>IF('The Open'!$G95="","","The Open")</f>
        <v/>
      </c>
      <c r="B540">
        <f>IF('The Open'!$G95="","","Major")</f>
        <v/>
      </c>
      <c r="C540" s="18">
        <f>IF('The Open'!$G95="","",'The Open'!$B$3)</f>
        <v/>
      </c>
      <c r="D540">
        <f>IF('The Open'!$G95="","",'The Open'!$D95&amp;"")</f>
        <v/>
      </c>
      <c r="F540">
        <f>IF('The Open'!$G95="","",'The Open'!$A95&amp;"")</f>
        <v/>
      </c>
      <c r="J540">
        <f>IF('The Open'!$G95="","",'The Open'!$E95)</f>
        <v/>
      </c>
      <c r="K540">
        <f>IF('The Open'!$G95="","",'The Open'!$J95)</f>
        <v/>
      </c>
      <c r="L540">
        <f>IF('The Open'!$G95="","","")</f>
        <v/>
      </c>
      <c r="M540">
        <f>IF('The Open'!$G95="","",'The Open'!$F95)</f>
        <v/>
      </c>
      <c r="N540">
        <f>IF('The Open'!$G95="","",'The Open'!$G95)</f>
        <v/>
      </c>
      <c r="O540">
        <f>IF('The Open'!$G95="","",'The Open'!$G95)</f>
        <v/>
      </c>
      <c r="P540">
        <f>IF('The Open'!$G95="","",'The Open'!$H95)</f>
        <v/>
      </c>
    </row>
    <row r="541">
      <c r="A541">
        <f>IF('The Open'!$G96="","","The Open")</f>
        <v/>
      </c>
      <c r="B541">
        <f>IF('The Open'!$G96="","","Major")</f>
        <v/>
      </c>
      <c r="C541" s="18">
        <f>IF('The Open'!$G96="","",'The Open'!$B$3)</f>
        <v/>
      </c>
      <c r="D541">
        <f>IF('The Open'!$G96="","",'The Open'!$D96&amp;"")</f>
        <v/>
      </c>
      <c r="F541">
        <f>IF('The Open'!$G96="","",'The Open'!$A96&amp;"")</f>
        <v/>
      </c>
      <c r="J541">
        <f>IF('The Open'!$G96="","",'The Open'!$E96)</f>
        <v/>
      </c>
      <c r="K541">
        <f>IF('The Open'!$G96="","",'The Open'!$J96)</f>
        <v/>
      </c>
      <c r="L541">
        <f>IF('The Open'!$G96="","","")</f>
        <v/>
      </c>
      <c r="M541">
        <f>IF('The Open'!$G96="","",'The Open'!$F96)</f>
        <v/>
      </c>
      <c r="N541">
        <f>IF('The Open'!$G96="","",'The Open'!$G96)</f>
        <v/>
      </c>
      <c r="O541">
        <f>IF('The Open'!$G96="","",'The Open'!$G96)</f>
        <v/>
      </c>
      <c r="P541">
        <f>IF('The Open'!$G96="","",'The Open'!$H96)</f>
        <v/>
      </c>
    </row>
    <row r="542">
      <c r="A542">
        <f>IF('The Open'!$G97="","","The Open")</f>
        <v/>
      </c>
      <c r="B542">
        <f>IF('The Open'!$G97="","","Major")</f>
        <v/>
      </c>
      <c r="C542" s="18">
        <f>IF('The Open'!$G97="","",'The Open'!$B$3)</f>
        <v/>
      </c>
      <c r="D542">
        <f>IF('The Open'!$G97="","",'The Open'!$D97&amp;"")</f>
        <v/>
      </c>
      <c r="F542">
        <f>IF('The Open'!$G97="","",'The Open'!$A97&amp;"")</f>
        <v/>
      </c>
      <c r="J542">
        <f>IF('The Open'!$G97="","",'The Open'!$E97)</f>
        <v/>
      </c>
      <c r="K542">
        <f>IF('The Open'!$G97="","",'The Open'!$J97)</f>
        <v/>
      </c>
      <c r="L542">
        <f>IF('The Open'!$G97="","","")</f>
        <v/>
      </c>
      <c r="M542">
        <f>IF('The Open'!$G97="","",'The Open'!$F97)</f>
        <v/>
      </c>
      <c r="N542">
        <f>IF('The Open'!$G97="","",'The Open'!$G97)</f>
        <v/>
      </c>
      <c r="O542">
        <f>IF('The Open'!$G97="","",'The Open'!$G97)</f>
        <v/>
      </c>
      <c r="P542">
        <f>IF('The Open'!$G97="","",'The Open'!$H97)</f>
        <v/>
      </c>
    </row>
    <row r="543">
      <c r="A543">
        <f>IF('The Open'!$G98="","","The Open")</f>
        <v/>
      </c>
      <c r="B543">
        <f>IF('The Open'!$G98="","","Major")</f>
        <v/>
      </c>
      <c r="C543" s="18">
        <f>IF('The Open'!$G98="","",'The Open'!$B$3)</f>
        <v/>
      </c>
      <c r="D543">
        <f>IF('The Open'!$G98="","",'The Open'!$D98&amp;"")</f>
        <v/>
      </c>
      <c r="F543">
        <f>IF('The Open'!$G98="","",'The Open'!$A98&amp;"")</f>
        <v/>
      </c>
      <c r="J543">
        <f>IF('The Open'!$G98="","",'The Open'!$E98)</f>
        <v/>
      </c>
      <c r="K543">
        <f>IF('The Open'!$G98="","",'The Open'!$J98)</f>
        <v/>
      </c>
      <c r="L543">
        <f>IF('The Open'!$G98="","","")</f>
        <v/>
      </c>
      <c r="M543">
        <f>IF('The Open'!$G98="","",'The Open'!$F98)</f>
        <v/>
      </c>
      <c r="N543">
        <f>IF('The Open'!$G98="","",'The Open'!$G98)</f>
        <v/>
      </c>
      <c r="O543">
        <f>IF('The Open'!$G98="","",'The Open'!$G98)</f>
        <v/>
      </c>
      <c r="P543">
        <f>IF('The Open'!$G98="","",'The Open'!$H98)</f>
        <v/>
      </c>
    </row>
    <row r="544">
      <c r="A544">
        <f>IF('The Open'!$G99="","","The Open")</f>
        <v/>
      </c>
      <c r="B544">
        <f>IF('The Open'!$G99="","","Major")</f>
        <v/>
      </c>
      <c r="C544" s="18">
        <f>IF('The Open'!$G99="","",'The Open'!$B$3)</f>
        <v/>
      </c>
      <c r="D544">
        <f>IF('The Open'!$G99="","",'The Open'!$D99&amp;"")</f>
        <v/>
      </c>
      <c r="F544">
        <f>IF('The Open'!$G99="","",'The Open'!$A99&amp;"")</f>
        <v/>
      </c>
      <c r="J544">
        <f>IF('The Open'!$G99="","",'The Open'!$E99)</f>
        <v/>
      </c>
      <c r="K544">
        <f>IF('The Open'!$G99="","",'The Open'!$J99)</f>
        <v/>
      </c>
      <c r="L544">
        <f>IF('The Open'!$G99="","","")</f>
        <v/>
      </c>
      <c r="M544">
        <f>IF('The Open'!$G99="","",'The Open'!$F99)</f>
        <v/>
      </c>
      <c r="N544">
        <f>IF('The Open'!$G99="","",'The Open'!$G99)</f>
        <v/>
      </c>
      <c r="O544">
        <f>IF('The Open'!$G99="","",'The Open'!$G99)</f>
        <v/>
      </c>
      <c r="P544">
        <f>IF('The Open'!$G99="","",'The Open'!$H99)</f>
        <v/>
      </c>
    </row>
    <row r="545">
      <c r="A545">
        <f>IF('The Open'!$G100="","","The Open")</f>
        <v/>
      </c>
      <c r="B545">
        <f>IF('The Open'!$G100="","","Major")</f>
        <v/>
      </c>
      <c r="C545" s="18">
        <f>IF('The Open'!$G100="","",'The Open'!$B$3)</f>
        <v/>
      </c>
      <c r="D545">
        <f>IF('The Open'!$G100="","",'The Open'!$D100&amp;"")</f>
        <v/>
      </c>
      <c r="F545">
        <f>IF('The Open'!$G100="","",'The Open'!$A100&amp;"")</f>
        <v/>
      </c>
      <c r="J545">
        <f>IF('The Open'!$G100="","",'The Open'!$E100)</f>
        <v/>
      </c>
      <c r="K545">
        <f>IF('The Open'!$G100="","",'The Open'!$J100)</f>
        <v/>
      </c>
      <c r="L545">
        <f>IF('The Open'!$G100="","","")</f>
        <v/>
      </c>
      <c r="M545">
        <f>IF('The Open'!$G100="","",'The Open'!$F100)</f>
        <v/>
      </c>
      <c r="N545">
        <f>IF('The Open'!$G100="","",'The Open'!$G100)</f>
        <v/>
      </c>
      <c r="O545">
        <f>IF('The Open'!$G100="","",'The Open'!$G100)</f>
        <v/>
      </c>
      <c r="P545">
        <f>IF('The Open'!$G100="","",'The Open'!$H100)</f>
        <v/>
      </c>
    </row>
    <row r="546">
      <c r="A546">
        <f>IF('The Open'!$G101="","","The Open")</f>
        <v/>
      </c>
      <c r="B546">
        <f>IF('The Open'!$G101="","","Major")</f>
        <v/>
      </c>
      <c r="C546" s="18">
        <f>IF('The Open'!$G101="","",'The Open'!$B$3)</f>
        <v/>
      </c>
      <c r="D546">
        <f>IF('The Open'!$G101="","",'The Open'!$D101&amp;"")</f>
        <v/>
      </c>
      <c r="F546">
        <f>IF('The Open'!$G101="","",'The Open'!$A101&amp;"")</f>
        <v/>
      </c>
      <c r="J546">
        <f>IF('The Open'!$G101="","",'The Open'!$E101)</f>
        <v/>
      </c>
      <c r="K546">
        <f>IF('The Open'!$G101="","",'The Open'!$J101)</f>
        <v/>
      </c>
      <c r="L546">
        <f>IF('The Open'!$G101="","","")</f>
        <v/>
      </c>
      <c r="M546">
        <f>IF('The Open'!$G101="","",'The Open'!$F101)</f>
        <v/>
      </c>
      <c r="N546">
        <f>IF('The Open'!$G101="","",'The Open'!$G101)</f>
        <v/>
      </c>
      <c r="O546">
        <f>IF('The Open'!$G101="","",'The Open'!$G101)</f>
        <v/>
      </c>
      <c r="P546">
        <f>IF('The Open'!$G101="","",'The Open'!$H101)</f>
        <v/>
      </c>
    </row>
    <row r="547">
      <c r="A547">
        <f>IF('The Open'!$G102="","","The Open")</f>
        <v/>
      </c>
      <c r="B547">
        <f>IF('The Open'!$G102="","","Major")</f>
        <v/>
      </c>
      <c r="C547" s="18">
        <f>IF('The Open'!$G102="","",'The Open'!$B$3)</f>
        <v/>
      </c>
      <c r="D547">
        <f>IF('The Open'!$G102="","",'The Open'!$D102&amp;"")</f>
        <v/>
      </c>
      <c r="F547">
        <f>IF('The Open'!$G102="","",'The Open'!$A102&amp;"")</f>
        <v/>
      </c>
      <c r="J547">
        <f>IF('The Open'!$G102="","",'The Open'!$E102)</f>
        <v/>
      </c>
      <c r="K547">
        <f>IF('The Open'!$G102="","",'The Open'!$J102)</f>
        <v/>
      </c>
      <c r="L547">
        <f>IF('The Open'!$G102="","","")</f>
        <v/>
      </c>
      <c r="M547">
        <f>IF('The Open'!$G102="","",'The Open'!$F102)</f>
        <v/>
      </c>
      <c r="N547">
        <f>IF('The Open'!$G102="","",'The Open'!$G102)</f>
        <v/>
      </c>
      <c r="O547">
        <f>IF('The Open'!$G102="","",'The Open'!$G102)</f>
        <v/>
      </c>
      <c r="P547">
        <f>IF('The Open'!$G102="","",'The Open'!$H102)</f>
        <v/>
      </c>
    </row>
    <row r="548">
      <c r="A548">
        <f>IF('The Open'!$G103="","","The Open")</f>
        <v/>
      </c>
      <c r="B548">
        <f>IF('The Open'!$G103="","","Major")</f>
        <v/>
      </c>
      <c r="C548" s="18">
        <f>IF('The Open'!$G103="","",'The Open'!$B$3)</f>
        <v/>
      </c>
      <c r="D548">
        <f>IF('The Open'!$G103="","",'The Open'!$D103&amp;"")</f>
        <v/>
      </c>
      <c r="F548">
        <f>IF('The Open'!$G103="","",'The Open'!$A103&amp;"")</f>
        <v/>
      </c>
      <c r="J548">
        <f>IF('The Open'!$G103="","",'The Open'!$E103)</f>
        <v/>
      </c>
      <c r="K548">
        <f>IF('The Open'!$G103="","",'The Open'!$J103)</f>
        <v/>
      </c>
      <c r="L548">
        <f>IF('The Open'!$G103="","","")</f>
        <v/>
      </c>
      <c r="M548">
        <f>IF('The Open'!$G103="","",'The Open'!$F103)</f>
        <v/>
      </c>
      <c r="N548">
        <f>IF('The Open'!$G103="","",'The Open'!$G103)</f>
        <v/>
      </c>
      <c r="O548">
        <f>IF('The Open'!$G103="","",'The Open'!$G103)</f>
        <v/>
      </c>
      <c r="P548">
        <f>IF('The Open'!$G103="","",'The Open'!$H103)</f>
        <v/>
      </c>
    </row>
    <row r="549">
      <c r="A549">
        <f>IF('The Open'!$G104="","","The Open")</f>
        <v/>
      </c>
      <c r="B549">
        <f>IF('The Open'!$G104="","","Major")</f>
        <v/>
      </c>
      <c r="C549" s="18">
        <f>IF('The Open'!$G104="","",'The Open'!$B$3)</f>
        <v/>
      </c>
      <c r="D549">
        <f>IF('The Open'!$G104="","",'The Open'!$D104&amp;"")</f>
        <v/>
      </c>
      <c r="F549">
        <f>IF('The Open'!$G104="","",'The Open'!$A104&amp;"")</f>
        <v/>
      </c>
      <c r="J549">
        <f>IF('The Open'!$G104="","",'The Open'!$E104)</f>
        <v/>
      </c>
      <c r="K549">
        <f>IF('The Open'!$G104="","",'The Open'!$J104)</f>
        <v/>
      </c>
      <c r="L549">
        <f>IF('The Open'!$G104="","","")</f>
        <v/>
      </c>
      <c r="M549">
        <f>IF('The Open'!$G104="","",'The Open'!$F104)</f>
        <v/>
      </c>
      <c r="N549">
        <f>IF('The Open'!$G104="","",'The Open'!$G104)</f>
        <v/>
      </c>
      <c r="O549">
        <f>IF('The Open'!$G104="","",'The Open'!$G104)</f>
        <v/>
      </c>
      <c r="P549">
        <f>IF('The Open'!$G104="","",'The Open'!$H104)</f>
        <v/>
      </c>
    </row>
    <row r="550">
      <c r="A550">
        <f>IF('The Open'!$G105="","","The Open")</f>
        <v/>
      </c>
      <c r="B550">
        <f>IF('The Open'!$G105="","","Major")</f>
        <v/>
      </c>
      <c r="C550" s="18">
        <f>IF('The Open'!$G105="","",'The Open'!$B$3)</f>
        <v/>
      </c>
      <c r="D550">
        <f>IF('The Open'!$G105="","",'The Open'!$D105&amp;"")</f>
        <v/>
      </c>
      <c r="F550">
        <f>IF('The Open'!$G105="","",'The Open'!$A105&amp;"")</f>
        <v/>
      </c>
      <c r="J550">
        <f>IF('The Open'!$G105="","",'The Open'!$E105)</f>
        <v/>
      </c>
      <c r="K550">
        <f>IF('The Open'!$G105="","",'The Open'!$J105)</f>
        <v/>
      </c>
      <c r="L550">
        <f>IF('The Open'!$G105="","","")</f>
        <v/>
      </c>
      <c r="M550">
        <f>IF('The Open'!$G105="","",'The Open'!$F105)</f>
        <v/>
      </c>
      <c r="N550">
        <f>IF('The Open'!$G105="","",'The Open'!$G105)</f>
        <v/>
      </c>
      <c r="O550">
        <f>IF('The Open'!$G105="","",'The Open'!$G105)</f>
        <v/>
      </c>
      <c r="P550">
        <f>IF('The Open'!$G105="","",'The Open'!$H105)</f>
        <v/>
      </c>
    </row>
    <row r="551">
      <c r="A551">
        <f>IF('The Open'!$G106="","","The Open")</f>
        <v/>
      </c>
      <c r="B551">
        <f>IF('The Open'!$G106="","","Major")</f>
        <v/>
      </c>
      <c r="C551" s="18">
        <f>IF('The Open'!$G106="","",'The Open'!$B$3)</f>
        <v/>
      </c>
      <c r="D551">
        <f>IF('The Open'!$G106="","",'The Open'!$D106&amp;"")</f>
        <v/>
      </c>
      <c r="F551">
        <f>IF('The Open'!$G106="","",'The Open'!$A106&amp;"")</f>
        <v/>
      </c>
      <c r="J551">
        <f>IF('The Open'!$G106="","",'The Open'!$E106)</f>
        <v/>
      </c>
      <c r="K551">
        <f>IF('The Open'!$G106="","",'The Open'!$J106)</f>
        <v/>
      </c>
      <c r="L551">
        <f>IF('The Open'!$G106="","","")</f>
        <v/>
      </c>
      <c r="M551">
        <f>IF('The Open'!$G106="","",'The Open'!$F106)</f>
        <v/>
      </c>
      <c r="N551">
        <f>IF('The Open'!$G106="","",'The Open'!$G106)</f>
        <v/>
      </c>
      <c r="O551">
        <f>IF('The Open'!$G106="","",'The Open'!$G106)</f>
        <v/>
      </c>
      <c r="P551">
        <f>IF('The Open'!$G106="","",'The Open'!$H106)</f>
        <v/>
      </c>
    </row>
    <row r="552">
      <c r="A552">
        <f>IF('The Open'!$G107="","","The Open")</f>
        <v/>
      </c>
      <c r="B552">
        <f>IF('The Open'!$G107="","","Major")</f>
        <v/>
      </c>
      <c r="C552" s="18">
        <f>IF('The Open'!$G107="","",'The Open'!$B$3)</f>
        <v/>
      </c>
      <c r="D552">
        <f>IF('The Open'!$G107="","",'The Open'!$D107&amp;"")</f>
        <v/>
      </c>
      <c r="F552">
        <f>IF('The Open'!$G107="","",'The Open'!$A107&amp;"")</f>
        <v/>
      </c>
      <c r="J552">
        <f>IF('The Open'!$G107="","",'The Open'!$E107)</f>
        <v/>
      </c>
      <c r="K552">
        <f>IF('The Open'!$G107="","",'The Open'!$J107)</f>
        <v/>
      </c>
      <c r="L552">
        <f>IF('The Open'!$G107="","","")</f>
        <v/>
      </c>
      <c r="M552">
        <f>IF('The Open'!$G107="","",'The Open'!$F107)</f>
        <v/>
      </c>
      <c r="N552">
        <f>IF('The Open'!$G107="","",'The Open'!$G107)</f>
        <v/>
      </c>
      <c r="O552">
        <f>IF('The Open'!$G107="","",'The Open'!$G107)</f>
        <v/>
      </c>
      <c r="P552">
        <f>IF('The Open'!$G107="","",'The Open'!$H107)</f>
        <v/>
      </c>
    </row>
    <row r="553">
      <c r="A553">
        <f>IF('The Open'!$G108="","","The Open")</f>
        <v/>
      </c>
      <c r="B553">
        <f>IF('The Open'!$G108="","","Major")</f>
        <v/>
      </c>
      <c r="C553" s="18">
        <f>IF('The Open'!$G108="","",'The Open'!$B$3)</f>
        <v/>
      </c>
      <c r="D553">
        <f>IF('The Open'!$G108="","",'The Open'!$D108&amp;"")</f>
        <v/>
      </c>
      <c r="F553">
        <f>IF('The Open'!$G108="","",'The Open'!$A108&amp;"")</f>
        <v/>
      </c>
      <c r="J553">
        <f>IF('The Open'!$G108="","",'The Open'!$E108)</f>
        <v/>
      </c>
      <c r="K553">
        <f>IF('The Open'!$G108="","",'The Open'!$J108)</f>
        <v/>
      </c>
      <c r="L553">
        <f>IF('The Open'!$G108="","","")</f>
        <v/>
      </c>
      <c r="M553">
        <f>IF('The Open'!$G108="","",'The Open'!$F108)</f>
        <v/>
      </c>
      <c r="N553">
        <f>IF('The Open'!$G108="","",'The Open'!$G108)</f>
        <v/>
      </c>
      <c r="O553">
        <f>IF('The Open'!$G108="","",'The Open'!$G108)</f>
        <v/>
      </c>
      <c r="P553">
        <f>IF('The Open'!$G108="","",'The Open'!$H108)</f>
        <v/>
      </c>
    </row>
    <row r="554">
      <c r="A554">
        <f>IF('The Open'!$G109="","","The Open")</f>
        <v/>
      </c>
      <c r="B554">
        <f>IF('The Open'!$G109="","","Major")</f>
        <v/>
      </c>
      <c r="C554" s="18">
        <f>IF('The Open'!$G109="","",'The Open'!$B$3)</f>
        <v/>
      </c>
      <c r="D554">
        <f>IF('The Open'!$G109="","",'The Open'!$D109&amp;"")</f>
        <v/>
      </c>
      <c r="F554">
        <f>IF('The Open'!$G109="","",'The Open'!$A109&amp;"")</f>
        <v/>
      </c>
      <c r="J554">
        <f>IF('The Open'!$G109="","",'The Open'!$E109)</f>
        <v/>
      </c>
      <c r="K554">
        <f>IF('The Open'!$G109="","",'The Open'!$J109)</f>
        <v/>
      </c>
      <c r="L554">
        <f>IF('The Open'!$G109="","","")</f>
        <v/>
      </c>
      <c r="M554">
        <f>IF('The Open'!$G109="","",'The Open'!$F109)</f>
        <v/>
      </c>
      <c r="N554">
        <f>IF('The Open'!$G109="","",'The Open'!$G109)</f>
        <v/>
      </c>
      <c r="O554">
        <f>IF('The Open'!$G109="","",'The Open'!$G109)</f>
        <v/>
      </c>
      <c r="P554">
        <f>IF('The Open'!$G109="","",'The Open'!$H109)</f>
        <v/>
      </c>
    </row>
    <row r="555">
      <c r="A555">
        <f>IF('The Open'!$G110="","","The Open")</f>
        <v/>
      </c>
      <c r="B555">
        <f>IF('The Open'!$G110="","","Major")</f>
        <v/>
      </c>
      <c r="C555" s="18">
        <f>IF('The Open'!$G110="","",'The Open'!$B$3)</f>
        <v/>
      </c>
      <c r="D555">
        <f>IF('The Open'!$G110="","",'The Open'!$D110&amp;"")</f>
        <v/>
      </c>
      <c r="F555">
        <f>IF('The Open'!$G110="","",'The Open'!$A110&amp;"")</f>
        <v/>
      </c>
      <c r="J555">
        <f>IF('The Open'!$G110="","",'The Open'!$E110)</f>
        <v/>
      </c>
      <c r="K555">
        <f>IF('The Open'!$G110="","",'The Open'!$J110)</f>
        <v/>
      </c>
      <c r="L555">
        <f>IF('The Open'!$G110="","","")</f>
        <v/>
      </c>
      <c r="M555">
        <f>IF('The Open'!$G110="","",'The Open'!$F110)</f>
        <v/>
      </c>
      <c r="N555">
        <f>IF('The Open'!$G110="","",'The Open'!$G110)</f>
        <v/>
      </c>
      <c r="O555">
        <f>IF('The Open'!$G110="","",'The Open'!$G110)</f>
        <v/>
      </c>
      <c r="P555">
        <f>IF('The Open'!$G110="","",'The Open'!$H110)</f>
        <v/>
      </c>
    </row>
    <row r="556">
      <c r="A556">
        <f>IF('The Open'!$G111="","","The Open")</f>
        <v/>
      </c>
      <c r="B556">
        <f>IF('The Open'!$G111="","","Major")</f>
        <v/>
      </c>
      <c r="C556" s="18">
        <f>IF('The Open'!$G111="","",'The Open'!$B$3)</f>
        <v/>
      </c>
      <c r="D556">
        <f>IF('The Open'!$G111="","",'The Open'!$D111&amp;"")</f>
        <v/>
      </c>
      <c r="F556">
        <f>IF('The Open'!$G111="","",'The Open'!$A111&amp;"")</f>
        <v/>
      </c>
      <c r="J556">
        <f>IF('The Open'!$G111="","",'The Open'!$E111)</f>
        <v/>
      </c>
      <c r="K556">
        <f>IF('The Open'!$G111="","",'The Open'!$J111)</f>
        <v/>
      </c>
      <c r="L556">
        <f>IF('The Open'!$G111="","","")</f>
        <v/>
      </c>
      <c r="M556">
        <f>IF('The Open'!$G111="","",'The Open'!$F111)</f>
        <v/>
      </c>
      <c r="N556">
        <f>IF('The Open'!$G111="","",'The Open'!$G111)</f>
        <v/>
      </c>
      <c r="O556">
        <f>IF('The Open'!$G111="","",'The Open'!$G111)</f>
        <v/>
      </c>
      <c r="P556">
        <f>IF('The Open'!$G111="","",'The Open'!$H111)</f>
        <v/>
      </c>
    </row>
    <row r="557">
      <c r="A557">
        <f>IF('The Open'!$G112="","","The Open")</f>
        <v/>
      </c>
      <c r="B557">
        <f>IF('The Open'!$G112="","","Major")</f>
        <v/>
      </c>
      <c r="C557" s="18">
        <f>IF('The Open'!$G112="","",'The Open'!$B$3)</f>
        <v/>
      </c>
      <c r="D557">
        <f>IF('The Open'!$G112="","",'The Open'!$D112&amp;"")</f>
        <v/>
      </c>
      <c r="F557">
        <f>IF('The Open'!$G112="","",'The Open'!$A112&amp;"")</f>
        <v/>
      </c>
      <c r="J557">
        <f>IF('The Open'!$G112="","",'The Open'!$E112)</f>
        <v/>
      </c>
      <c r="K557">
        <f>IF('The Open'!$G112="","",'The Open'!$J112)</f>
        <v/>
      </c>
      <c r="L557">
        <f>IF('The Open'!$G112="","","")</f>
        <v/>
      </c>
      <c r="M557">
        <f>IF('The Open'!$G112="","",'The Open'!$F112)</f>
        <v/>
      </c>
      <c r="N557">
        <f>IF('The Open'!$G112="","",'The Open'!$G112)</f>
        <v/>
      </c>
      <c r="O557">
        <f>IF('The Open'!$G112="","",'The Open'!$G112)</f>
        <v/>
      </c>
      <c r="P557">
        <f>IF('The Open'!$G112="","",'The Open'!$H112)</f>
        <v/>
      </c>
    </row>
    <row r="558">
      <c r="A558">
        <f>IF('The Open'!$G113="","","The Open")</f>
        <v/>
      </c>
      <c r="B558">
        <f>IF('The Open'!$G113="","","Major")</f>
        <v/>
      </c>
      <c r="C558" s="18">
        <f>IF('The Open'!$G113="","",'The Open'!$B$3)</f>
        <v/>
      </c>
      <c r="D558">
        <f>IF('The Open'!$G113="","",'The Open'!$D113&amp;"")</f>
        <v/>
      </c>
      <c r="F558">
        <f>IF('The Open'!$G113="","",'The Open'!$A113&amp;"")</f>
        <v/>
      </c>
      <c r="J558">
        <f>IF('The Open'!$G113="","",'The Open'!$E113)</f>
        <v/>
      </c>
      <c r="K558">
        <f>IF('The Open'!$G113="","",'The Open'!$J113)</f>
        <v/>
      </c>
      <c r="L558">
        <f>IF('The Open'!$G113="","","")</f>
        <v/>
      </c>
      <c r="M558">
        <f>IF('The Open'!$G113="","",'The Open'!$F113)</f>
        <v/>
      </c>
      <c r="N558">
        <f>IF('The Open'!$G113="","",'The Open'!$G113)</f>
        <v/>
      </c>
      <c r="O558">
        <f>IF('The Open'!$G113="","",'The Open'!$G113)</f>
        <v/>
      </c>
      <c r="P558">
        <f>IF('The Open'!$G113="","",'The Open'!$H113)</f>
        <v/>
      </c>
    </row>
    <row r="559">
      <c r="A559">
        <f>IF('The Open'!$G114="","","The Open")</f>
        <v/>
      </c>
      <c r="B559">
        <f>IF('The Open'!$G114="","","Major")</f>
        <v/>
      </c>
      <c r="C559" s="18">
        <f>IF('The Open'!$G114="","",'The Open'!$B$3)</f>
        <v/>
      </c>
      <c r="D559">
        <f>IF('The Open'!$G114="","",'The Open'!$D114&amp;"")</f>
        <v/>
      </c>
      <c r="F559">
        <f>IF('The Open'!$G114="","",'The Open'!$A114&amp;"")</f>
        <v/>
      </c>
      <c r="J559">
        <f>IF('The Open'!$G114="","",'The Open'!$E114)</f>
        <v/>
      </c>
      <c r="K559">
        <f>IF('The Open'!$G114="","",'The Open'!$J114)</f>
        <v/>
      </c>
      <c r="L559">
        <f>IF('The Open'!$G114="","","")</f>
        <v/>
      </c>
      <c r="M559">
        <f>IF('The Open'!$G114="","",'The Open'!$F114)</f>
        <v/>
      </c>
      <c r="N559">
        <f>IF('The Open'!$G114="","",'The Open'!$G114)</f>
        <v/>
      </c>
      <c r="O559">
        <f>IF('The Open'!$G114="","",'The Open'!$G114)</f>
        <v/>
      </c>
      <c r="P559">
        <f>IF('The Open'!$G114="","",'The Open'!$H114)</f>
        <v/>
      </c>
    </row>
    <row r="560">
      <c r="A560">
        <f>IF('The Open'!$G115="","","The Open")</f>
        <v/>
      </c>
      <c r="B560">
        <f>IF('The Open'!$G115="","","Major")</f>
        <v/>
      </c>
      <c r="C560" s="18">
        <f>IF('The Open'!$G115="","",'The Open'!$B$3)</f>
        <v/>
      </c>
      <c r="D560">
        <f>IF('The Open'!$G115="","",'The Open'!$D115&amp;"")</f>
        <v/>
      </c>
      <c r="F560">
        <f>IF('The Open'!$G115="","",'The Open'!$A115&amp;"")</f>
        <v/>
      </c>
      <c r="J560">
        <f>IF('The Open'!$G115="","",'The Open'!$E115)</f>
        <v/>
      </c>
      <c r="K560">
        <f>IF('The Open'!$G115="","",'The Open'!$J115)</f>
        <v/>
      </c>
      <c r="L560">
        <f>IF('The Open'!$G115="","","")</f>
        <v/>
      </c>
      <c r="M560">
        <f>IF('The Open'!$G115="","",'The Open'!$F115)</f>
        <v/>
      </c>
      <c r="N560">
        <f>IF('The Open'!$G115="","",'The Open'!$G115)</f>
        <v/>
      </c>
      <c r="O560">
        <f>IF('The Open'!$G115="","",'The Open'!$G115)</f>
        <v/>
      </c>
      <c r="P560">
        <f>IF('The Open'!$G115="","",'The Open'!$H115)</f>
        <v/>
      </c>
    </row>
    <row r="561">
      <c r="A561">
        <f>IF('The Open'!$G116="","","The Open")</f>
        <v/>
      </c>
      <c r="B561">
        <f>IF('The Open'!$G116="","","Major")</f>
        <v/>
      </c>
      <c r="C561" s="18">
        <f>IF('The Open'!$G116="","",'The Open'!$B$3)</f>
        <v/>
      </c>
      <c r="D561">
        <f>IF('The Open'!$G116="","",'The Open'!$D116&amp;"")</f>
        <v/>
      </c>
      <c r="F561">
        <f>IF('The Open'!$G116="","",'The Open'!$A116&amp;"")</f>
        <v/>
      </c>
      <c r="J561">
        <f>IF('The Open'!$G116="","",'The Open'!$E116)</f>
        <v/>
      </c>
      <c r="K561">
        <f>IF('The Open'!$G116="","",'The Open'!$J116)</f>
        <v/>
      </c>
      <c r="L561">
        <f>IF('The Open'!$G116="","","")</f>
        <v/>
      </c>
      <c r="M561">
        <f>IF('The Open'!$G116="","",'The Open'!$F116)</f>
        <v/>
      </c>
      <c r="N561">
        <f>IF('The Open'!$G116="","",'The Open'!$G116)</f>
        <v/>
      </c>
      <c r="O561">
        <f>IF('The Open'!$G116="","",'The Open'!$G116)</f>
        <v/>
      </c>
      <c r="P561">
        <f>IF('The Open'!$G116="","",'The Open'!$H116)</f>
        <v/>
      </c>
    </row>
    <row r="562">
      <c r="A562">
        <f>IF('The Open'!$G117="","","The Open")</f>
        <v/>
      </c>
      <c r="B562">
        <f>IF('The Open'!$G117="","","Major")</f>
        <v/>
      </c>
      <c r="C562" s="18">
        <f>IF('The Open'!$G117="","",'The Open'!$B$3)</f>
        <v/>
      </c>
      <c r="D562">
        <f>IF('The Open'!$G117="","",'The Open'!$D117&amp;"")</f>
        <v/>
      </c>
      <c r="F562">
        <f>IF('The Open'!$G117="","",'The Open'!$A117&amp;"")</f>
        <v/>
      </c>
      <c r="J562">
        <f>IF('The Open'!$G117="","",'The Open'!$E117)</f>
        <v/>
      </c>
      <c r="K562">
        <f>IF('The Open'!$G117="","",'The Open'!$J117)</f>
        <v/>
      </c>
      <c r="L562">
        <f>IF('The Open'!$G117="","","")</f>
        <v/>
      </c>
      <c r="M562">
        <f>IF('The Open'!$G117="","",'The Open'!$F117)</f>
        <v/>
      </c>
      <c r="N562">
        <f>IF('The Open'!$G117="","",'The Open'!$G117)</f>
        <v/>
      </c>
      <c r="O562">
        <f>IF('The Open'!$G117="","",'The Open'!$G117)</f>
        <v/>
      </c>
      <c r="P562">
        <f>IF('The Open'!$G117="","",'The Open'!$H117)</f>
        <v/>
      </c>
    </row>
    <row r="563">
      <c r="A563">
        <f>IF('The Open'!$G118="","","The Open")</f>
        <v/>
      </c>
      <c r="B563">
        <f>IF('The Open'!$G118="","","Major")</f>
        <v/>
      </c>
      <c r="C563" s="18">
        <f>IF('The Open'!$G118="","",'The Open'!$B$3)</f>
        <v/>
      </c>
      <c r="D563">
        <f>IF('The Open'!$G118="","",'The Open'!$D118&amp;"")</f>
        <v/>
      </c>
      <c r="F563">
        <f>IF('The Open'!$G118="","",'The Open'!$A118&amp;"")</f>
        <v/>
      </c>
      <c r="J563">
        <f>IF('The Open'!$G118="","",'The Open'!$E118)</f>
        <v/>
      </c>
      <c r="K563">
        <f>IF('The Open'!$G118="","",'The Open'!$J118)</f>
        <v/>
      </c>
      <c r="L563">
        <f>IF('The Open'!$G118="","","")</f>
        <v/>
      </c>
      <c r="M563">
        <f>IF('The Open'!$G118="","",'The Open'!$F118)</f>
        <v/>
      </c>
      <c r="N563">
        <f>IF('The Open'!$G118="","",'The Open'!$G118)</f>
        <v/>
      </c>
      <c r="O563">
        <f>IF('The Open'!$G118="","",'The Open'!$G118)</f>
        <v/>
      </c>
      <c r="P563">
        <f>IF('The Open'!$G118="","",'The Open'!$H118)</f>
        <v/>
      </c>
    </row>
    <row r="564">
      <c r="A564">
        <f>IF('The Open'!$G119="","","The Open")</f>
        <v/>
      </c>
      <c r="B564">
        <f>IF('The Open'!$G119="","","Major")</f>
        <v/>
      </c>
      <c r="C564" s="18">
        <f>IF('The Open'!$G119="","",'The Open'!$B$3)</f>
        <v/>
      </c>
      <c r="D564">
        <f>IF('The Open'!$G119="","",'The Open'!$D119&amp;"")</f>
        <v/>
      </c>
      <c r="F564">
        <f>IF('The Open'!$G119="","",'The Open'!$A119&amp;"")</f>
        <v/>
      </c>
      <c r="J564">
        <f>IF('The Open'!$G119="","",'The Open'!$E119)</f>
        <v/>
      </c>
      <c r="K564">
        <f>IF('The Open'!$G119="","",'The Open'!$J119)</f>
        <v/>
      </c>
      <c r="L564">
        <f>IF('The Open'!$G119="","","")</f>
        <v/>
      </c>
      <c r="M564">
        <f>IF('The Open'!$G119="","",'The Open'!$F119)</f>
        <v/>
      </c>
      <c r="N564">
        <f>IF('The Open'!$G119="","",'The Open'!$G119)</f>
        <v/>
      </c>
      <c r="O564">
        <f>IF('The Open'!$G119="","",'The Open'!$G119)</f>
        <v/>
      </c>
      <c r="P564">
        <f>IF('The Open'!$G119="","",'The Open'!$H119)</f>
        <v/>
      </c>
    </row>
    <row r="565">
      <c r="A565">
        <f>IF('The Open'!$G120="","","The Open")</f>
        <v/>
      </c>
      <c r="B565">
        <f>IF('The Open'!$G120="","","Major")</f>
        <v/>
      </c>
      <c r="C565" s="18">
        <f>IF('The Open'!$G120="","",'The Open'!$B$3)</f>
        <v/>
      </c>
      <c r="D565">
        <f>IF('The Open'!$G120="","",'The Open'!$D120&amp;"")</f>
        <v/>
      </c>
      <c r="F565">
        <f>IF('The Open'!$G120="","",'The Open'!$A120&amp;"")</f>
        <v/>
      </c>
      <c r="J565">
        <f>IF('The Open'!$G120="","",'The Open'!$E120)</f>
        <v/>
      </c>
      <c r="K565">
        <f>IF('The Open'!$G120="","",'The Open'!$J120)</f>
        <v/>
      </c>
      <c r="L565">
        <f>IF('The Open'!$G120="","","")</f>
        <v/>
      </c>
      <c r="M565">
        <f>IF('The Open'!$G120="","",'The Open'!$F120)</f>
        <v/>
      </c>
      <c r="N565">
        <f>IF('The Open'!$G120="","",'The Open'!$G120)</f>
        <v/>
      </c>
      <c r="O565">
        <f>IF('The Open'!$G120="","",'The Open'!$G120)</f>
        <v/>
      </c>
      <c r="P565">
        <f>IF('The Open'!$G120="","",'The Open'!$H120)</f>
        <v/>
      </c>
    </row>
    <row r="566">
      <c r="A566">
        <f>IF('The Open'!$G121="","","The Open")</f>
        <v/>
      </c>
      <c r="B566">
        <f>IF('The Open'!$G121="","","Major")</f>
        <v/>
      </c>
      <c r="C566" s="18">
        <f>IF('The Open'!$G121="","",'The Open'!$B$3)</f>
        <v/>
      </c>
      <c r="D566">
        <f>IF('The Open'!$G121="","",'The Open'!$D121&amp;"")</f>
        <v/>
      </c>
      <c r="F566">
        <f>IF('The Open'!$G121="","",'The Open'!$A121&amp;"")</f>
        <v/>
      </c>
      <c r="J566">
        <f>IF('The Open'!$G121="","",'The Open'!$E121)</f>
        <v/>
      </c>
      <c r="K566">
        <f>IF('The Open'!$G121="","",'The Open'!$J121)</f>
        <v/>
      </c>
      <c r="L566">
        <f>IF('The Open'!$G121="","","")</f>
        <v/>
      </c>
      <c r="M566">
        <f>IF('The Open'!$G121="","",'The Open'!$F121)</f>
        <v/>
      </c>
      <c r="N566">
        <f>IF('The Open'!$G121="","",'The Open'!$G121)</f>
        <v/>
      </c>
      <c r="O566">
        <f>IF('The Open'!$G121="","",'The Open'!$G121)</f>
        <v/>
      </c>
      <c r="P566">
        <f>IF('The Open'!$G121="","",'The Open'!$H121)</f>
        <v/>
      </c>
    </row>
    <row r="567">
      <c r="A567">
        <f>IF('The Open'!$G122="","","The Open")</f>
        <v/>
      </c>
      <c r="B567">
        <f>IF('The Open'!$G122="","","Major")</f>
        <v/>
      </c>
      <c r="C567" s="18">
        <f>IF('The Open'!$G122="","",'The Open'!$B$3)</f>
        <v/>
      </c>
      <c r="D567">
        <f>IF('The Open'!$G122="","",'The Open'!$D122&amp;"")</f>
        <v/>
      </c>
      <c r="F567">
        <f>IF('The Open'!$G122="","",'The Open'!$A122&amp;"")</f>
        <v/>
      </c>
      <c r="J567">
        <f>IF('The Open'!$G122="","",'The Open'!$E122)</f>
        <v/>
      </c>
      <c r="K567">
        <f>IF('The Open'!$G122="","",'The Open'!$J122)</f>
        <v/>
      </c>
      <c r="L567">
        <f>IF('The Open'!$G122="","","")</f>
        <v/>
      </c>
      <c r="M567">
        <f>IF('The Open'!$G122="","",'The Open'!$F122)</f>
        <v/>
      </c>
      <c r="N567">
        <f>IF('The Open'!$G122="","",'The Open'!$G122)</f>
        <v/>
      </c>
      <c r="O567">
        <f>IF('The Open'!$G122="","",'The Open'!$G122)</f>
        <v/>
      </c>
      <c r="P567">
        <f>IF('The Open'!$G122="","",'The Open'!$H122)</f>
        <v/>
      </c>
    </row>
    <row r="568">
      <c r="A568">
        <f>IF('The Open'!$G123="","","The Open")</f>
        <v/>
      </c>
      <c r="B568">
        <f>IF('The Open'!$G123="","","Major")</f>
        <v/>
      </c>
      <c r="C568" s="18">
        <f>IF('The Open'!$G123="","",'The Open'!$B$3)</f>
        <v/>
      </c>
      <c r="D568">
        <f>IF('The Open'!$G123="","",'The Open'!$D123&amp;"")</f>
        <v/>
      </c>
      <c r="F568">
        <f>IF('The Open'!$G123="","",'The Open'!$A123&amp;"")</f>
        <v/>
      </c>
      <c r="J568">
        <f>IF('The Open'!$G123="","",'The Open'!$E123)</f>
        <v/>
      </c>
      <c r="K568">
        <f>IF('The Open'!$G123="","",'The Open'!$J123)</f>
        <v/>
      </c>
      <c r="L568">
        <f>IF('The Open'!$G123="","","")</f>
        <v/>
      </c>
      <c r="M568">
        <f>IF('The Open'!$G123="","",'The Open'!$F123)</f>
        <v/>
      </c>
      <c r="N568">
        <f>IF('The Open'!$G123="","",'The Open'!$G123)</f>
        <v/>
      </c>
      <c r="O568">
        <f>IF('The Open'!$G123="","",'The Open'!$G123)</f>
        <v/>
      </c>
      <c r="P568">
        <f>IF('The Open'!$G123="","",'The Open'!$H123)</f>
        <v/>
      </c>
    </row>
    <row r="569">
      <c r="A569">
        <f>IF('The Open'!$G124="","","The Open")</f>
        <v/>
      </c>
      <c r="B569">
        <f>IF('The Open'!$G124="","","Major")</f>
        <v/>
      </c>
      <c r="C569" s="18">
        <f>IF('The Open'!$G124="","",'The Open'!$B$3)</f>
        <v/>
      </c>
      <c r="D569">
        <f>IF('The Open'!$G124="","",'The Open'!$D124&amp;"")</f>
        <v/>
      </c>
      <c r="F569">
        <f>IF('The Open'!$G124="","",'The Open'!$A124&amp;"")</f>
        <v/>
      </c>
      <c r="J569">
        <f>IF('The Open'!$G124="","",'The Open'!$E124)</f>
        <v/>
      </c>
      <c r="K569">
        <f>IF('The Open'!$G124="","",'The Open'!$J124)</f>
        <v/>
      </c>
      <c r="L569">
        <f>IF('The Open'!$G124="","","")</f>
        <v/>
      </c>
      <c r="M569">
        <f>IF('The Open'!$G124="","",'The Open'!$F124)</f>
        <v/>
      </c>
      <c r="N569">
        <f>IF('The Open'!$G124="","",'The Open'!$G124)</f>
        <v/>
      </c>
      <c r="O569">
        <f>IF('The Open'!$G124="","",'The Open'!$G124)</f>
        <v/>
      </c>
      <c r="P569">
        <f>IF('The Open'!$G124="","",'The Open'!$H124)</f>
        <v/>
      </c>
    </row>
    <row r="570">
      <c r="A570">
        <f>IF('The Open'!$G125="","","The Open")</f>
        <v/>
      </c>
      <c r="B570">
        <f>IF('The Open'!$G125="","","Major")</f>
        <v/>
      </c>
      <c r="C570" s="18">
        <f>IF('The Open'!$G125="","",'The Open'!$B$3)</f>
        <v/>
      </c>
      <c r="D570">
        <f>IF('The Open'!$G125="","",'The Open'!$D125&amp;"")</f>
        <v/>
      </c>
      <c r="F570">
        <f>IF('The Open'!$G125="","",'The Open'!$A125&amp;"")</f>
        <v/>
      </c>
      <c r="J570">
        <f>IF('The Open'!$G125="","",'The Open'!$E125)</f>
        <v/>
      </c>
      <c r="K570">
        <f>IF('The Open'!$G125="","",'The Open'!$J125)</f>
        <v/>
      </c>
      <c r="L570">
        <f>IF('The Open'!$G125="","","")</f>
        <v/>
      </c>
      <c r="M570">
        <f>IF('The Open'!$G125="","",'The Open'!$F125)</f>
        <v/>
      </c>
      <c r="N570">
        <f>IF('The Open'!$G125="","",'The Open'!$G125)</f>
        <v/>
      </c>
      <c r="O570">
        <f>IF('The Open'!$G125="","",'The Open'!$G125)</f>
        <v/>
      </c>
      <c r="P570">
        <f>IF('The Open'!$G125="","",'The Open'!$H125)</f>
        <v/>
      </c>
    </row>
    <row r="571">
      <c r="A571">
        <f>IF('The Open'!$G126="","","The Open")</f>
        <v/>
      </c>
      <c r="B571">
        <f>IF('The Open'!$G126="","","Major")</f>
        <v/>
      </c>
      <c r="C571" s="18">
        <f>IF('The Open'!$G126="","",'The Open'!$B$3)</f>
        <v/>
      </c>
      <c r="D571">
        <f>IF('The Open'!$G126="","",'The Open'!$D126&amp;"")</f>
        <v/>
      </c>
      <c r="F571">
        <f>IF('The Open'!$G126="","",'The Open'!$A126&amp;"")</f>
        <v/>
      </c>
      <c r="J571">
        <f>IF('The Open'!$G126="","",'The Open'!$E126)</f>
        <v/>
      </c>
      <c r="K571">
        <f>IF('The Open'!$G126="","",'The Open'!$J126)</f>
        <v/>
      </c>
      <c r="L571">
        <f>IF('The Open'!$G126="","","")</f>
        <v/>
      </c>
      <c r="M571">
        <f>IF('The Open'!$G126="","",'The Open'!$F126)</f>
        <v/>
      </c>
      <c r="N571">
        <f>IF('The Open'!$G126="","",'The Open'!$G126)</f>
        <v/>
      </c>
      <c r="O571">
        <f>IF('The Open'!$G126="","",'The Open'!$G126)</f>
        <v/>
      </c>
      <c r="P571">
        <f>IF('The Open'!$G126="","",'The Open'!$H126)</f>
        <v/>
      </c>
    </row>
    <row r="572">
      <c r="A572">
        <f>IF('The Open'!$G127="","","The Open")</f>
        <v/>
      </c>
      <c r="B572">
        <f>IF('The Open'!$G127="","","Major")</f>
        <v/>
      </c>
      <c r="C572" s="18">
        <f>IF('The Open'!$G127="","",'The Open'!$B$3)</f>
        <v/>
      </c>
      <c r="D572">
        <f>IF('The Open'!$G127="","",'The Open'!$D127&amp;"")</f>
        <v/>
      </c>
      <c r="F572">
        <f>IF('The Open'!$G127="","",'The Open'!$A127&amp;"")</f>
        <v/>
      </c>
      <c r="J572">
        <f>IF('The Open'!$G127="","",'The Open'!$E127)</f>
        <v/>
      </c>
      <c r="K572">
        <f>IF('The Open'!$G127="","",'The Open'!$J127)</f>
        <v/>
      </c>
      <c r="L572">
        <f>IF('The Open'!$G127="","","")</f>
        <v/>
      </c>
      <c r="M572">
        <f>IF('The Open'!$G127="","",'The Open'!$F127)</f>
        <v/>
      </c>
      <c r="N572">
        <f>IF('The Open'!$G127="","",'The Open'!$G127)</f>
        <v/>
      </c>
      <c r="O572">
        <f>IF('The Open'!$G127="","",'The Open'!$G127)</f>
        <v/>
      </c>
      <c r="P572">
        <f>IF('The Open'!$G127="","",'The Open'!$H127)</f>
        <v/>
      </c>
    </row>
    <row r="573">
      <c r="A573">
        <f>IF('The Open'!$G128="","","The Open")</f>
        <v/>
      </c>
      <c r="B573">
        <f>IF('The Open'!$G128="","","Major")</f>
        <v/>
      </c>
      <c r="C573" s="18">
        <f>IF('The Open'!$G128="","",'The Open'!$B$3)</f>
        <v/>
      </c>
      <c r="D573">
        <f>IF('The Open'!$G128="","",'The Open'!$D128&amp;"")</f>
        <v/>
      </c>
      <c r="F573">
        <f>IF('The Open'!$G128="","",'The Open'!$A128&amp;"")</f>
        <v/>
      </c>
      <c r="J573">
        <f>IF('The Open'!$G128="","",'The Open'!$E128)</f>
        <v/>
      </c>
      <c r="K573">
        <f>IF('The Open'!$G128="","",'The Open'!$J128)</f>
        <v/>
      </c>
      <c r="L573">
        <f>IF('The Open'!$G128="","","")</f>
        <v/>
      </c>
      <c r="M573">
        <f>IF('The Open'!$G128="","",'The Open'!$F128)</f>
        <v/>
      </c>
      <c r="N573">
        <f>IF('The Open'!$G128="","",'The Open'!$G128)</f>
        <v/>
      </c>
      <c r="O573">
        <f>IF('The Open'!$G128="","",'The Open'!$G128)</f>
        <v/>
      </c>
      <c r="P573">
        <f>IF('The Open'!$G128="","",'The Open'!$H128)</f>
        <v/>
      </c>
    </row>
    <row r="574">
      <c r="A574">
        <f>IF('The Open'!$G129="","","The Open")</f>
        <v/>
      </c>
      <c r="B574">
        <f>IF('The Open'!$G129="","","Major")</f>
        <v/>
      </c>
      <c r="C574" s="18">
        <f>IF('The Open'!$G129="","",'The Open'!$B$3)</f>
        <v/>
      </c>
      <c r="D574">
        <f>IF('The Open'!$G129="","",'The Open'!$D129&amp;"")</f>
        <v/>
      </c>
      <c r="F574">
        <f>IF('The Open'!$G129="","",'The Open'!$A129&amp;"")</f>
        <v/>
      </c>
      <c r="J574">
        <f>IF('The Open'!$G129="","",'The Open'!$E129)</f>
        <v/>
      </c>
      <c r="K574">
        <f>IF('The Open'!$G129="","",'The Open'!$J129)</f>
        <v/>
      </c>
      <c r="L574">
        <f>IF('The Open'!$G129="","","")</f>
        <v/>
      </c>
      <c r="M574">
        <f>IF('The Open'!$G129="","",'The Open'!$F129)</f>
        <v/>
      </c>
      <c r="N574">
        <f>IF('The Open'!$G129="","",'The Open'!$G129)</f>
        <v/>
      </c>
      <c r="O574">
        <f>IF('The Open'!$G129="","",'The Open'!$G129)</f>
        <v/>
      </c>
      <c r="P574">
        <f>IF('The Open'!$G129="","",'The Open'!$H129)</f>
        <v/>
      </c>
    </row>
    <row r="575">
      <c r="A575">
        <f>IF('The Open'!$G130="","","The Open")</f>
        <v/>
      </c>
      <c r="B575">
        <f>IF('The Open'!$G130="","","Major")</f>
        <v/>
      </c>
      <c r="C575" s="18">
        <f>IF('The Open'!$G130="","",'The Open'!$B$3)</f>
        <v/>
      </c>
      <c r="D575">
        <f>IF('The Open'!$G130="","",'The Open'!$D130&amp;"")</f>
        <v/>
      </c>
      <c r="F575">
        <f>IF('The Open'!$G130="","",'The Open'!$A130&amp;"")</f>
        <v/>
      </c>
      <c r="J575">
        <f>IF('The Open'!$G130="","",'The Open'!$E130)</f>
        <v/>
      </c>
      <c r="K575">
        <f>IF('The Open'!$G130="","",'The Open'!$J130)</f>
        <v/>
      </c>
      <c r="L575">
        <f>IF('The Open'!$G130="","","")</f>
        <v/>
      </c>
      <c r="M575">
        <f>IF('The Open'!$G130="","",'The Open'!$F130)</f>
        <v/>
      </c>
      <c r="N575">
        <f>IF('The Open'!$G130="","",'The Open'!$G130)</f>
        <v/>
      </c>
      <c r="O575">
        <f>IF('The Open'!$G130="","",'The Open'!$G130)</f>
        <v/>
      </c>
      <c r="P575">
        <f>IF('The Open'!$G130="","",'The Open'!$H130)</f>
        <v/>
      </c>
    </row>
    <row r="576">
      <c r="A576">
        <f>IF('The Open'!$G131="","","The Open")</f>
        <v/>
      </c>
      <c r="B576">
        <f>IF('The Open'!$G131="","","Major")</f>
        <v/>
      </c>
      <c r="C576" s="18">
        <f>IF('The Open'!$G131="","",'The Open'!$B$3)</f>
        <v/>
      </c>
      <c r="D576">
        <f>IF('The Open'!$G131="","",'The Open'!$D131&amp;"")</f>
        <v/>
      </c>
      <c r="F576">
        <f>IF('The Open'!$G131="","",'The Open'!$A131&amp;"")</f>
        <v/>
      </c>
      <c r="J576">
        <f>IF('The Open'!$G131="","",'The Open'!$E131)</f>
        <v/>
      </c>
      <c r="K576">
        <f>IF('The Open'!$G131="","",'The Open'!$J131)</f>
        <v/>
      </c>
      <c r="L576">
        <f>IF('The Open'!$G131="","","")</f>
        <v/>
      </c>
      <c r="M576">
        <f>IF('The Open'!$G131="","",'The Open'!$F131)</f>
        <v/>
      </c>
      <c r="N576">
        <f>IF('The Open'!$G131="","",'The Open'!$G131)</f>
        <v/>
      </c>
      <c r="O576">
        <f>IF('The Open'!$G131="","",'The Open'!$G131)</f>
        <v/>
      </c>
      <c r="P576">
        <f>IF('The Open'!$G131="","",'The Open'!$H131)</f>
        <v/>
      </c>
    </row>
    <row r="577">
      <c r="A577">
        <f>IF('The Open'!$G132="","","The Open")</f>
        <v/>
      </c>
      <c r="B577">
        <f>IF('The Open'!$G132="","","Major")</f>
        <v/>
      </c>
      <c r="C577" s="18">
        <f>IF('The Open'!$G132="","",'The Open'!$B$3)</f>
        <v/>
      </c>
      <c r="D577">
        <f>IF('The Open'!$G132="","",'The Open'!$D132&amp;"")</f>
        <v/>
      </c>
      <c r="F577">
        <f>IF('The Open'!$G132="","",'The Open'!$A132&amp;"")</f>
        <v/>
      </c>
      <c r="J577">
        <f>IF('The Open'!$G132="","",'The Open'!$E132)</f>
        <v/>
      </c>
      <c r="K577">
        <f>IF('The Open'!$G132="","",'The Open'!$J132)</f>
        <v/>
      </c>
      <c r="L577">
        <f>IF('The Open'!$G132="","","")</f>
        <v/>
      </c>
      <c r="M577">
        <f>IF('The Open'!$G132="","",'The Open'!$F132)</f>
        <v/>
      </c>
      <c r="N577">
        <f>IF('The Open'!$G132="","",'The Open'!$G132)</f>
        <v/>
      </c>
      <c r="O577">
        <f>IF('The Open'!$G132="","",'The Open'!$G132)</f>
        <v/>
      </c>
      <c r="P577">
        <f>IF('The Open'!$G132="","",'The Open'!$H132)</f>
        <v/>
      </c>
    </row>
    <row r="578">
      <c r="A578">
        <f>IF('The Open'!$G133="","","The Open")</f>
        <v/>
      </c>
      <c r="B578">
        <f>IF('The Open'!$G133="","","Major")</f>
        <v/>
      </c>
      <c r="C578" s="18">
        <f>IF('The Open'!$G133="","",'The Open'!$B$3)</f>
        <v/>
      </c>
      <c r="D578">
        <f>IF('The Open'!$G133="","",'The Open'!$D133&amp;"")</f>
        <v/>
      </c>
      <c r="F578">
        <f>IF('The Open'!$G133="","",'The Open'!$A133&amp;"")</f>
        <v/>
      </c>
      <c r="J578">
        <f>IF('The Open'!$G133="","",'The Open'!$E133)</f>
        <v/>
      </c>
      <c r="K578">
        <f>IF('The Open'!$G133="","",'The Open'!$J133)</f>
        <v/>
      </c>
      <c r="L578">
        <f>IF('The Open'!$G133="","","")</f>
        <v/>
      </c>
      <c r="M578">
        <f>IF('The Open'!$G133="","",'The Open'!$F133)</f>
        <v/>
      </c>
      <c r="N578">
        <f>IF('The Open'!$G133="","",'The Open'!$G133)</f>
        <v/>
      </c>
      <c r="O578">
        <f>IF('The Open'!$G133="","",'The Open'!$G133)</f>
        <v/>
      </c>
      <c r="P578">
        <f>IF('The Open'!$G133="","",'The Open'!$H133)</f>
        <v/>
      </c>
    </row>
    <row r="579">
      <c r="A579">
        <f>IF('The Open'!$G134="","","The Open")</f>
        <v/>
      </c>
      <c r="B579">
        <f>IF('The Open'!$G134="","","Major")</f>
        <v/>
      </c>
      <c r="C579" s="18">
        <f>IF('The Open'!$G134="","",'The Open'!$B$3)</f>
        <v/>
      </c>
      <c r="D579">
        <f>IF('The Open'!$G134="","",'The Open'!$D134&amp;"")</f>
        <v/>
      </c>
      <c r="F579">
        <f>IF('The Open'!$G134="","",'The Open'!$A134&amp;"")</f>
        <v/>
      </c>
      <c r="J579">
        <f>IF('The Open'!$G134="","",'The Open'!$E134)</f>
        <v/>
      </c>
      <c r="K579">
        <f>IF('The Open'!$G134="","",'The Open'!$J134)</f>
        <v/>
      </c>
      <c r="L579">
        <f>IF('The Open'!$G134="","","")</f>
        <v/>
      </c>
      <c r="M579">
        <f>IF('The Open'!$G134="","",'The Open'!$F134)</f>
        <v/>
      </c>
      <c r="N579">
        <f>IF('The Open'!$G134="","",'The Open'!$G134)</f>
        <v/>
      </c>
      <c r="O579">
        <f>IF('The Open'!$G134="","",'The Open'!$G134)</f>
        <v/>
      </c>
      <c r="P579">
        <f>IF('The Open'!$G134="","",'The Open'!$H134)</f>
        <v/>
      </c>
    </row>
    <row r="580">
      <c r="A580">
        <f>IF('The Open'!$G135="","","The Open")</f>
        <v/>
      </c>
      <c r="B580">
        <f>IF('The Open'!$G135="","","Major")</f>
        <v/>
      </c>
      <c r="C580" s="18">
        <f>IF('The Open'!$G135="","",'The Open'!$B$3)</f>
        <v/>
      </c>
      <c r="D580">
        <f>IF('The Open'!$G135="","",'The Open'!$D135&amp;"")</f>
        <v/>
      </c>
      <c r="F580">
        <f>IF('The Open'!$G135="","",'The Open'!$A135&amp;"")</f>
        <v/>
      </c>
      <c r="J580">
        <f>IF('The Open'!$G135="","",'The Open'!$E135)</f>
        <v/>
      </c>
      <c r="K580">
        <f>IF('The Open'!$G135="","",'The Open'!$J135)</f>
        <v/>
      </c>
      <c r="L580">
        <f>IF('The Open'!$G135="","","")</f>
        <v/>
      </c>
      <c r="M580">
        <f>IF('The Open'!$G135="","",'The Open'!$F135)</f>
        <v/>
      </c>
      <c r="N580">
        <f>IF('The Open'!$G135="","",'The Open'!$G135)</f>
        <v/>
      </c>
      <c r="O580">
        <f>IF('The Open'!$G135="","",'The Open'!$G135)</f>
        <v/>
      </c>
      <c r="P580">
        <f>IF('The Open'!$G135="","",'The Open'!$H135)</f>
        <v/>
      </c>
    </row>
    <row r="581">
      <c r="A581">
        <f>IF('The Open'!$G136="","","The Open")</f>
        <v/>
      </c>
      <c r="B581">
        <f>IF('The Open'!$G136="","","Major")</f>
        <v/>
      </c>
      <c r="C581" s="18">
        <f>IF('The Open'!$G136="","",'The Open'!$B$3)</f>
        <v/>
      </c>
      <c r="D581">
        <f>IF('The Open'!$G136="","",'The Open'!$D136&amp;"")</f>
        <v/>
      </c>
      <c r="F581">
        <f>IF('The Open'!$G136="","",'The Open'!$A136&amp;"")</f>
        <v/>
      </c>
      <c r="J581">
        <f>IF('The Open'!$G136="","",'The Open'!$E136)</f>
        <v/>
      </c>
      <c r="K581">
        <f>IF('The Open'!$G136="","",'The Open'!$J136)</f>
        <v/>
      </c>
      <c r="L581">
        <f>IF('The Open'!$G136="","","")</f>
        <v/>
      </c>
      <c r="M581">
        <f>IF('The Open'!$G136="","",'The Open'!$F136)</f>
        <v/>
      </c>
      <c r="N581">
        <f>IF('The Open'!$G136="","",'The Open'!$G136)</f>
        <v/>
      </c>
      <c r="O581">
        <f>IF('The Open'!$G136="","",'The Open'!$G136)</f>
        <v/>
      </c>
      <c r="P581">
        <f>IF('The Open'!$G136="","",'The Open'!$H136)</f>
        <v/>
      </c>
    </row>
    <row r="582">
      <c r="A582">
        <f>IF('The Open'!$G137="","","The Open")</f>
        <v/>
      </c>
      <c r="B582">
        <f>IF('The Open'!$G137="","","Major")</f>
        <v/>
      </c>
      <c r="C582" s="18">
        <f>IF('The Open'!$G137="","",'The Open'!$B$3)</f>
        <v/>
      </c>
      <c r="D582">
        <f>IF('The Open'!$G137="","",'The Open'!$D137&amp;"")</f>
        <v/>
      </c>
      <c r="F582">
        <f>IF('The Open'!$G137="","",'The Open'!$A137&amp;"")</f>
        <v/>
      </c>
      <c r="J582">
        <f>IF('The Open'!$G137="","",'The Open'!$E137)</f>
        <v/>
      </c>
      <c r="K582">
        <f>IF('The Open'!$G137="","",'The Open'!$J137)</f>
        <v/>
      </c>
      <c r="L582">
        <f>IF('The Open'!$G137="","","")</f>
        <v/>
      </c>
      <c r="M582">
        <f>IF('The Open'!$G137="","",'The Open'!$F137)</f>
        <v/>
      </c>
      <c r="N582">
        <f>IF('The Open'!$G137="","",'The Open'!$G137)</f>
        <v/>
      </c>
      <c r="O582">
        <f>IF('The Open'!$G137="","",'The Open'!$G137)</f>
        <v/>
      </c>
      <c r="P582">
        <f>IF('The Open'!$G137="","",'The Open'!$H137)</f>
        <v/>
      </c>
    </row>
    <row r="583">
      <c r="A583">
        <f>IF('The Open'!$G138="","","The Open")</f>
        <v/>
      </c>
      <c r="B583">
        <f>IF('The Open'!$G138="","","Major")</f>
        <v/>
      </c>
      <c r="C583" s="18">
        <f>IF('The Open'!$G138="","",'The Open'!$B$3)</f>
        <v/>
      </c>
      <c r="D583">
        <f>IF('The Open'!$G138="","",'The Open'!$D138&amp;"")</f>
        <v/>
      </c>
      <c r="F583">
        <f>IF('The Open'!$G138="","",'The Open'!$A138&amp;"")</f>
        <v/>
      </c>
      <c r="J583">
        <f>IF('The Open'!$G138="","",'The Open'!$E138)</f>
        <v/>
      </c>
      <c r="K583">
        <f>IF('The Open'!$G138="","",'The Open'!$J138)</f>
        <v/>
      </c>
      <c r="L583">
        <f>IF('The Open'!$G138="","","")</f>
        <v/>
      </c>
      <c r="M583">
        <f>IF('The Open'!$G138="","",'The Open'!$F138)</f>
        <v/>
      </c>
      <c r="N583">
        <f>IF('The Open'!$G138="","",'The Open'!$G138)</f>
        <v/>
      </c>
      <c r="O583">
        <f>IF('The Open'!$G138="","",'The Open'!$G138)</f>
        <v/>
      </c>
      <c r="P583">
        <f>IF('The Open'!$G138="","",'The Open'!$H138)</f>
        <v/>
      </c>
    </row>
    <row r="584">
      <c r="A584">
        <f>IF('The Open'!$G139="","","The Open")</f>
        <v/>
      </c>
      <c r="B584">
        <f>IF('The Open'!$G139="","","Major")</f>
        <v/>
      </c>
      <c r="C584" s="18">
        <f>IF('The Open'!$G139="","",'The Open'!$B$3)</f>
        <v/>
      </c>
      <c r="D584">
        <f>IF('The Open'!$G139="","",'The Open'!$D139&amp;"")</f>
        <v/>
      </c>
      <c r="F584">
        <f>IF('The Open'!$G139="","",'The Open'!$A139&amp;"")</f>
        <v/>
      </c>
      <c r="J584">
        <f>IF('The Open'!$G139="","",'The Open'!$E139)</f>
        <v/>
      </c>
      <c r="K584">
        <f>IF('The Open'!$G139="","",'The Open'!$J139)</f>
        <v/>
      </c>
      <c r="L584">
        <f>IF('The Open'!$G139="","","")</f>
        <v/>
      </c>
      <c r="M584">
        <f>IF('The Open'!$G139="","",'The Open'!$F139)</f>
        <v/>
      </c>
      <c r="N584">
        <f>IF('The Open'!$G139="","",'The Open'!$G139)</f>
        <v/>
      </c>
      <c r="O584">
        <f>IF('The Open'!$G139="","",'The Open'!$G139)</f>
        <v/>
      </c>
      <c r="P584">
        <f>IF('The Open'!$G139="","",'The Open'!$H139)</f>
        <v/>
      </c>
    </row>
    <row r="585">
      <c r="A585">
        <f>IF('The Open'!$G140="","","The Open")</f>
        <v/>
      </c>
      <c r="B585">
        <f>IF('The Open'!$G140="","","Major")</f>
        <v/>
      </c>
      <c r="C585" s="18">
        <f>IF('The Open'!$G140="","",'The Open'!$B$3)</f>
        <v/>
      </c>
      <c r="D585">
        <f>IF('The Open'!$G140="","",'The Open'!$D140&amp;"")</f>
        <v/>
      </c>
      <c r="F585">
        <f>IF('The Open'!$G140="","",'The Open'!$A140&amp;"")</f>
        <v/>
      </c>
      <c r="J585">
        <f>IF('The Open'!$G140="","",'The Open'!$E140)</f>
        <v/>
      </c>
      <c r="K585">
        <f>IF('The Open'!$G140="","",'The Open'!$J140)</f>
        <v/>
      </c>
      <c r="L585">
        <f>IF('The Open'!$G140="","","")</f>
        <v/>
      </c>
      <c r="M585">
        <f>IF('The Open'!$G140="","",'The Open'!$F140)</f>
        <v/>
      </c>
      <c r="N585">
        <f>IF('The Open'!$G140="","",'The Open'!$G140)</f>
        <v/>
      </c>
      <c r="O585">
        <f>IF('The Open'!$G140="","",'The Open'!$G140)</f>
        <v/>
      </c>
      <c r="P585">
        <f>IF('The Open'!$G140="","",'The Open'!$H140)</f>
        <v/>
      </c>
    </row>
    <row r="586">
      <c r="A586">
        <f>IF('The Open'!$G141="","","The Open")</f>
        <v/>
      </c>
      <c r="B586">
        <f>IF('The Open'!$G141="","","Major")</f>
        <v/>
      </c>
      <c r="C586" s="18">
        <f>IF('The Open'!$G141="","",'The Open'!$B$3)</f>
        <v/>
      </c>
      <c r="D586">
        <f>IF('The Open'!$G141="","",'The Open'!$D141&amp;"")</f>
        <v/>
      </c>
      <c r="F586">
        <f>IF('The Open'!$G141="","",'The Open'!$A141&amp;"")</f>
        <v/>
      </c>
      <c r="J586">
        <f>IF('The Open'!$G141="","",'The Open'!$E141)</f>
        <v/>
      </c>
      <c r="K586">
        <f>IF('The Open'!$G141="","",'The Open'!$J141)</f>
        <v/>
      </c>
      <c r="L586">
        <f>IF('The Open'!$G141="","","")</f>
        <v/>
      </c>
      <c r="M586">
        <f>IF('The Open'!$G141="","",'The Open'!$F141)</f>
        <v/>
      </c>
      <c r="N586">
        <f>IF('The Open'!$G141="","",'The Open'!$G141)</f>
        <v/>
      </c>
      <c r="O586">
        <f>IF('The Open'!$G141="","",'The Open'!$G141)</f>
        <v/>
      </c>
      <c r="P586">
        <f>IF('The Open'!$G141="","",'The Open'!$H141)</f>
        <v/>
      </c>
    </row>
    <row r="587">
      <c r="A587">
        <f>IF('The Open'!$G142="","","The Open")</f>
        <v/>
      </c>
      <c r="B587">
        <f>IF('The Open'!$G142="","","Major")</f>
        <v/>
      </c>
      <c r="C587" s="18">
        <f>IF('The Open'!$G142="","",'The Open'!$B$3)</f>
        <v/>
      </c>
      <c r="D587">
        <f>IF('The Open'!$G142="","",'The Open'!$D142&amp;"")</f>
        <v/>
      </c>
      <c r="F587">
        <f>IF('The Open'!$G142="","",'The Open'!$A142&amp;"")</f>
        <v/>
      </c>
      <c r="J587">
        <f>IF('The Open'!$G142="","",'The Open'!$E142)</f>
        <v/>
      </c>
      <c r="K587">
        <f>IF('The Open'!$G142="","",'The Open'!$J142)</f>
        <v/>
      </c>
      <c r="L587">
        <f>IF('The Open'!$G142="","","")</f>
        <v/>
      </c>
      <c r="M587">
        <f>IF('The Open'!$G142="","",'The Open'!$F142)</f>
        <v/>
      </c>
      <c r="N587">
        <f>IF('The Open'!$G142="","",'The Open'!$G142)</f>
        <v/>
      </c>
      <c r="O587">
        <f>IF('The Open'!$G142="","",'The Open'!$G142)</f>
        <v/>
      </c>
      <c r="P587">
        <f>IF('The Open'!$G142="","",'The Open'!$H142)</f>
        <v/>
      </c>
    </row>
    <row r="588">
      <c r="A588">
        <f>IF('The Open'!$G143="","","The Open")</f>
        <v/>
      </c>
      <c r="B588">
        <f>IF('The Open'!$G143="","","Major")</f>
        <v/>
      </c>
      <c r="C588" s="18">
        <f>IF('The Open'!$G143="","",'The Open'!$B$3)</f>
        <v/>
      </c>
      <c r="D588">
        <f>IF('The Open'!$G143="","",'The Open'!$D143&amp;"")</f>
        <v/>
      </c>
      <c r="F588">
        <f>IF('The Open'!$G143="","",'The Open'!$A143&amp;"")</f>
        <v/>
      </c>
      <c r="J588">
        <f>IF('The Open'!$G143="","",'The Open'!$E143)</f>
        <v/>
      </c>
      <c r="K588">
        <f>IF('The Open'!$G143="","",'The Open'!$J143)</f>
        <v/>
      </c>
      <c r="L588">
        <f>IF('The Open'!$G143="","","")</f>
        <v/>
      </c>
      <c r="M588">
        <f>IF('The Open'!$G143="","",'The Open'!$F143)</f>
        <v/>
      </c>
      <c r="N588">
        <f>IF('The Open'!$G143="","",'The Open'!$G143)</f>
        <v/>
      </c>
      <c r="O588">
        <f>IF('The Open'!$G143="","",'The Open'!$G143)</f>
        <v/>
      </c>
      <c r="P588">
        <f>IF('The Open'!$G143="","",'The Open'!$H143)</f>
        <v/>
      </c>
    </row>
    <row r="589">
      <c r="A589">
        <f>IF('The Open'!$G144="","","The Open")</f>
        <v/>
      </c>
      <c r="B589">
        <f>IF('The Open'!$G144="","","Major")</f>
        <v/>
      </c>
      <c r="C589" s="18">
        <f>IF('The Open'!$G144="","",'The Open'!$B$3)</f>
        <v/>
      </c>
      <c r="D589">
        <f>IF('The Open'!$G144="","",'The Open'!$D144&amp;"")</f>
        <v/>
      </c>
      <c r="F589">
        <f>IF('The Open'!$G144="","",'The Open'!$A144&amp;"")</f>
        <v/>
      </c>
      <c r="J589">
        <f>IF('The Open'!$G144="","",'The Open'!$E144)</f>
        <v/>
      </c>
      <c r="K589">
        <f>IF('The Open'!$G144="","",'The Open'!$J144)</f>
        <v/>
      </c>
      <c r="L589">
        <f>IF('The Open'!$G144="","","")</f>
        <v/>
      </c>
      <c r="M589">
        <f>IF('The Open'!$G144="","",'The Open'!$F144)</f>
        <v/>
      </c>
      <c r="N589">
        <f>IF('The Open'!$G144="","",'The Open'!$G144)</f>
        <v/>
      </c>
      <c r="O589">
        <f>IF('The Open'!$G144="","",'The Open'!$G144)</f>
        <v/>
      </c>
      <c r="P589">
        <f>IF('The Open'!$G144="","",'The Open'!$H144)</f>
        <v/>
      </c>
    </row>
    <row r="590">
      <c r="A590">
        <f>IF('The Open'!$G145="","","The Open")</f>
        <v/>
      </c>
      <c r="B590">
        <f>IF('The Open'!$G145="","","Major")</f>
        <v/>
      </c>
      <c r="C590" s="18">
        <f>IF('The Open'!$G145="","",'The Open'!$B$3)</f>
        <v/>
      </c>
      <c r="D590">
        <f>IF('The Open'!$G145="","",'The Open'!$D145&amp;"")</f>
        <v/>
      </c>
      <c r="F590">
        <f>IF('The Open'!$G145="","",'The Open'!$A145&amp;"")</f>
        <v/>
      </c>
      <c r="J590">
        <f>IF('The Open'!$G145="","",'The Open'!$E145)</f>
        <v/>
      </c>
      <c r="K590">
        <f>IF('The Open'!$G145="","",'The Open'!$J145)</f>
        <v/>
      </c>
      <c r="L590">
        <f>IF('The Open'!$G145="","","")</f>
        <v/>
      </c>
      <c r="M590">
        <f>IF('The Open'!$G145="","",'The Open'!$F145)</f>
        <v/>
      </c>
      <c r="N590">
        <f>IF('The Open'!$G145="","",'The Open'!$G145)</f>
        <v/>
      </c>
      <c r="O590">
        <f>IF('The Open'!$G145="","",'The Open'!$G145)</f>
        <v/>
      </c>
      <c r="P590">
        <f>IF('The Open'!$G145="","",'The Open'!$H145)</f>
        <v/>
      </c>
    </row>
    <row r="591">
      <c r="A591">
        <f>IF('The Open'!$G146="","","The Open")</f>
        <v/>
      </c>
      <c r="B591">
        <f>IF('The Open'!$G146="","","Major")</f>
        <v/>
      </c>
      <c r="C591" s="18">
        <f>IF('The Open'!$G146="","",'The Open'!$B$3)</f>
        <v/>
      </c>
      <c r="D591">
        <f>IF('The Open'!$G146="","",'The Open'!$D146&amp;"")</f>
        <v/>
      </c>
      <c r="F591">
        <f>IF('The Open'!$G146="","",'The Open'!$A146&amp;"")</f>
        <v/>
      </c>
      <c r="J591">
        <f>IF('The Open'!$G146="","",'The Open'!$E146)</f>
        <v/>
      </c>
      <c r="K591">
        <f>IF('The Open'!$G146="","",'The Open'!$J146)</f>
        <v/>
      </c>
      <c r="L591">
        <f>IF('The Open'!$G146="","","")</f>
        <v/>
      </c>
      <c r="M591">
        <f>IF('The Open'!$G146="","",'The Open'!$F146)</f>
        <v/>
      </c>
      <c r="N591">
        <f>IF('The Open'!$G146="","",'The Open'!$G146)</f>
        <v/>
      </c>
      <c r="O591">
        <f>IF('The Open'!$G146="","",'The Open'!$G146)</f>
        <v/>
      </c>
      <c r="P591">
        <f>IF('The Open'!$G146="","",'The Open'!$H146)</f>
        <v/>
      </c>
    </row>
    <row r="592">
      <c r="A592">
        <f>IF('The Open'!$G147="","","The Open")</f>
        <v/>
      </c>
      <c r="B592">
        <f>IF('The Open'!$G147="","","Major")</f>
        <v/>
      </c>
      <c r="C592" s="18">
        <f>IF('The Open'!$G147="","",'The Open'!$B$3)</f>
        <v/>
      </c>
      <c r="D592">
        <f>IF('The Open'!$G147="","",'The Open'!$D147&amp;"")</f>
        <v/>
      </c>
      <c r="F592">
        <f>IF('The Open'!$G147="","",'The Open'!$A147&amp;"")</f>
        <v/>
      </c>
      <c r="J592">
        <f>IF('The Open'!$G147="","",'The Open'!$E147)</f>
        <v/>
      </c>
      <c r="K592">
        <f>IF('The Open'!$G147="","",'The Open'!$J147)</f>
        <v/>
      </c>
      <c r="L592">
        <f>IF('The Open'!$G147="","","")</f>
        <v/>
      </c>
      <c r="M592">
        <f>IF('The Open'!$G147="","",'The Open'!$F147)</f>
        <v/>
      </c>
      <c r="N592">
        <f>IF('The Open'!$G147="","",'The Open'!$G147)</f>
        <v/>
      </c>
      <c r="O592">
        <f>IF('The Open'!$G147="","",'The Open'!$G147)</f>
        <v/>
      </c>
      <c r="P592">
        <f>IF('The Open'!$G147="","",'The Open'!$H147)</f>
        <v/>
      </c>
    </row>
    <row r="593">
      <c r="A593">
        <f>IF('The Open'!$G148="","","The Open")</f>
        <v/>
      </c>
      <c r="B593">
        <f>IF('The Open'!$G148="","","Major")</f>
        <v/>
      </c>
      <c r="C593" s="18">
        <f>IF('The Open'!$G148="","",'The Open'!$B$3)</f>
        <v/>
      </c>
      <c r="D593">
        <f>IF('The Open'!$G148="","",'The Open'!$D148&amp;"")</f>
        <v/>
      </c>
      <c r="F593">
        <f>IF('The Open'!$G148="","",'The Open'!$A148&amp;"")</f>
        <v/>
      </c>
      <c r="J593">
        <f>IF('The Open'!$G148="","",'The Open'!$E148)</f>
        <v/>
      </c>
      <c r="K593">
        <f>IF('The Open'!$G148="","",'The Open'!$J148)</f>
        <v/>
      </c>
      <c r="L593">
        <f>IF('The Open'!$G148="","","")</f>
        <v/>
      </c>
      <c r="M593">
        <f>IF('The Open'!$G148="","",'The Open'!$F148)</f>
        <v/>
      </c>
      <c r="N593">
        <f>IF('The Open'!$G148="","",'The Open'!$G148)</f>
        <v/>
      </c>
      <c r="O593">
        <f>IF('The Open'!$G148="","",'The Open'!$G148)</f>
        <v/>
      </c>
      <c r="P593">
        <f>IF('The Open'!$G148="","",'The Open'!$H148)</f>
        <v/>
      </c>
    </row>
    <row r="594">
      <c r="A594">
        <f>IF('The Open'!$G149="","","The Open")</f>
        <v/>
      </c>
      <c r="B594">
        <f>IF('The Open'!$G149="","","Major")</f>
        <v/>
      </c>
      <c r="C594" s="18">
        <f>IF('The Open'!$G149="","",'The Open'!$B$3)</f>
        <v/>
      </c>
      <c r="D594">
        <f>IF('The Open'!$G149="","",'The Open'!$D149&amp;"")</f>
        <v/>
      </c>
      <c r="F594">
        <f>IF('The Open'!$G149="","",'The Open'!$A149&amp;"")</f>
        <v/>
      </c>
      <c r="J594">
        <f>IF('The Open'!$G149="","",'The Open'!$E149)</f>
        <v/>
      </c>
      <c r="K594">
        <f>IF('The Open'!$G149="","",'The Open'!$J149)</f>
        <v/>
      </c>
      <c r="L594">
        <f>IF('The Open'!$G149="","","")</f>
        <v/>
      </c>
      <c r="M594">
        <f>IF('The Open'!$G149="","",'The Open'!$F149)</f>
        <v/>
      </c>
      <c r="N594">
        <f>IF('The Open'!$G149="","",'The Open'!$G149)</f>
        <v/>
      </c>
      <c r="O594">
        <f>IF('The Open'!$G149="","",'The Open'!$G149)</f>
        <v/>
      </c>
      <c r="P594">
        <f>IF('The Open'!$G149="","",'The Open'!$H149)</f>
        <v/>
      </c>
    </row>
    <row r="595">
      <c r="A595">
        <f>IF('The Open'!$G150="","","The Open")</f>
        <v/>
      </c>
      <c r="B595">
        <f>IF('The Open'!$G150="","","Major")</f>
        <v/>
      </c>
      <c r="C595" s="18">
        <f>IF('The Open'!$G150="","",'The Open'!$B$3)</f>
        <v/>
      </c>
      <c r="D595">
        <f>IF('The Open'!$G150="","",'The Open'!$D150&amp;"")</f>
        <v/>
      </c>
      <c r="F595">
        <f>IF('The Open'!$G150="","",'The Open'!$A150&amp;"")</f>
        <v/>
      </c>
      <c r="J595">
        <f>IF('The Open'!$G150="","",'The Open'!$E150)</f>
        <v/>
      </c>
      <c r="K595">
        <f>IF('The Open'!$G150="","",'The Open'!$J150)</f>
        <v/>
      </c>
      <c r="L595">
        <f>IF('The Open'!$G150="","","")</f>
        <v/>
      </c>
      <c r="M595">
        <f>IF('The Open'!$G150="","",'The Open'!$F150)</f>
        <v/>
      </c>
      <c r="N595">
        <f>IF('The Open'!$G150="","",'The Open'!$G150)</f>
        <v/>
      </c>
      <c r="O595">
        <f>IF('The Open'!$G150="","",'The Open'!$G150)</f>
        <v/>
      </c>
      <c r="P595">
        <f>IF('The Open'!$G150="","",'The Open'!$H150)</f>
        <v/>
      </c>
    </row>
    <row r="596">
      <c r="A596">
        <f>IF('The Open'!$G151="","","The Open")</f>
        <v/>
      </c>
      <c r="B596">
        <f>IF('The Open'!$G151="","","Major")</f>
        <v/>
      </c>
      <c r="C596" s="18">
        <f>IF('The Open'!$G151="","",'The Open'!$B$3)</f>
        <v/>
      </c>
      <c r="D596">
        <f>IF('The Open'!$G151="","",'The Open'!$D151&amp;"")</f>
        <v/>
      </c>
      <c r="F596">
        <f>IF('The Open'!$G151="","",'The Open'!$A151&amp;"")</f>
        <v/>
      </c>
      <c r="J596">
        <f>IF('The Open'!$G151="","",'The Open'!$E151)</f>
        <v/>
      </c>
      <c r="K596">
        <f>IF('The Open'!$G151="","",'The Open'!$J151)</f>
        <v/>
      </c>
      <c r="L596">
        <f>IF('The Open'!$G151="","","")</f>
        <v/>
      </c>
      <c r="M596">
        <f>IF('The Open'!$G151="","",'The Open'!$F151)</f>
        <v/>
      </c>
      <c r="N596">
        <f>IF('The Open'!$G151="","",'The Open'!$G151)</f>
        <v/>
      </c>
      <c r="O596">
        <f>IF('The Open'!$G151="","",'The Open'!$G151)</f>
        <v/>
      </c>
      <c r="P596">
        <f>IF('The Open'!$G151="","",'The Open'!$H151)</f>
        <v/>
      </c>
    </row>
    <row r="597">
      <c r="A597">
        <f>IF('The Open'!$G152="","","The Open")</f>
        <v/>
      </c>
      <c r="B597">
        <f>IF('The Open'!$G152="","","Major")</f>
        <v/>
      </c>
      <c r="C597" s="18">
        <f>IF('The Open'!$G152="","",'The Open'!$B$3)</f>
        <v/>
      </c>
      <c r="D597">
        <f>IF('The Open'!$G152="","",'The Open'!$D152&amp;"")</f>
        <v/>
      </c>
      <c r="F597">
        <f>IF('The Open'!$G152="","",'The Open'!$A152&amp;"")</f>
        <v/>
      </c>
      <c r="J597">
        <f>IF('The Open'!$G152="","",'The Open'!$E152)</f>
        <v/>
      </c>
      <c r="K597">
        <f>IF('The Open'!$G152="","",'The Open'!$J152)</f>
        <v/>
      </c>
      <c r="L597">
        <f>IF('The Open'!$G152="","","")</f>
        <v/>
      </c>
      <c r="M597">
        <f>IF('The Open'!$G152="","",'The Open'!$F152)</f>
        <v/>
      </c>
      <c r="N597">
        <f>IF('The Open'!$G152="","",'The Open'!$G152)</f>
        <v/>
      </c>
      <c r="O597">
        <f>IF('The Open'!$G152="","",'The Open'!$G152)</f>
        <v/>
      </c>
      <c r="P597">
        <f>IF('The Open'!$G152="","",'The Open'!$H152)</f>
        <v/>
      </c>
    </row>
    <row r="598">
      <c r="A598">
        <f>IF('The Open'!$G153="","","The Open")</f>
        <v/>
      </c>
      <c r="B598">
        <f>IF('The Open'!$G153="","","Major")</f>
        <v/>
      </c>
      <c r="C598" s="18">
        <f>IF('The Open'!$G153="","",'The Open'!$B$3)</f>
        <v/>
      </c>
      <c r="D598">
        <f>IF('The Open'!$G153="","",'The Open'!$D153&amp;"")</f>
        <v/>
      </c>
      <c r="F598">
        <f>IF('The Open'!$G153="","",'The Open'!$A153&amp;"")</f>
        <v/>
      </c>
      <c r="J598">
        <f>IF('The Open'!$G153="","",'The Open'!$E153)</f>
        <v/>
      </c>
      <c r="K598">
        <f>IF('The Open'!$G153="","",'The Open'!$J153)</f>
        <v/>
      </c>
      <c r="L598">
        <f>IF('The Open'!$G153="","","")</f>
        <v/>
      </c>
      <c r="M598">
        <f>IF('The Open'!$G153="","",'The Open'!$F153)</f>
        <v/>
      </c>
      <c r="N598">
        <f>IF('The Open'!$G153="","",'The Open'!$G153)</f>
        <v/>
      </c>
      <c r="O598">
        <f>IF('The Open'!$G153="","",'The Open'!$G153)</f>
        <v/>
      </c>
      <c r="P598">
        <f>IF('The Open'!$G153="","",'The Open'!$H153)</f>
        <v/>
      </c>
    </row>
    <row r="599">
      <c r="A599">
        <f>IF('The Open'!$G154="","","The Open")</f>
        <v/>
      </c>
      <c r="B599">
        <f>IF('The Open'!$G154="","","Major")</f>
        <v/>
      </c>
      <c r="C599" s="18">
        <f>IF('The Open'!$G154="","",'The Open'!$B$3)</f>
        <v/>
      </c>
      <c r="D599">
        <f>IF('The Open'!$G154="","",'The Open'!$D154&amp;"")</f>
        <v/>
      </c>
      <c r="F599">
        <f>IF('The Open'!$G154="","",'The Open'!$A154&amp;"")</f>
        <v/>
      </c>
      <c r="J599">
        <f>IF('The Open'!$G154="","",'The Open'!$E154)</f>
        <v/>
      </c>
      <c r="K599">
        <f>IF('The Open'!$G154="","",'The Open'!$J154)</f>
        <v/>
      </c>
      <c r="L599">
        <f>IF('The Open'!$G154="","","")</f>
        <v/>
      </c>
      <c r="M599">
        <f>IF('The Open'!$G154="","",'The Open'!$F154)</f>
        <v/>
      </c>
      <c r="N599">
        <f>IF('The Open'!$G154="","",'The Open'!$G154)</f>
        <v/>
      </c>
      <c r="O599">
        <f>IF('The Open'!$G154="","",'The Open'!$G154)</f>
        <v/>
      </c>
      <c r="P599">
        <f>IF('The Open'!$G154="","",'The Open'!$H154)</f>
        <v/>
      </c>
    </row>
    <row r="600">
      <c r="A600">
        <f>IF('The Open'!$G155="","","The Open")</f>
        <v/>
      </c>
      <c r="B600">
        <f>IF('The Open'!$G155="","","Major")</f>
        <v/>
      </c>
      <c r="C600" s="18">
        <f>IF('The Open'!$G155="","",'The Open'!$B$3)</f>
        <v/>
      </c>
      <c r="D600">
        <f>IF('The Open'!$G155="","",'The Open'!$D155&amp;"")</f>
        <v/>
      </c>
      <c r="F600">
        <f>IF('The Open'!$G155="","",'The Open'!$A155&amp;"")</f>
        <v/>
      </c>
      <c r="J600">
        <f>IF('The Open'!$G155="","",'The Open'!$E155)</f>
        <v/>
      </c>
      <c r="K600">
        <f>IF('The Open'!$G155="","",'The Open'!$J155)</f>
        <v/>
      </c>
      <c r="L600">
        <f>IF('The Open'!$G155="","","")</f>
        <v/>
      </c>
      <c r="M600">
        <f>IF('The Open'!$G155="","",'The Open'!$F155)</f>
        <v/>
      </c>
      <c r="N600">
        <f>IF('The Open'!$G155="","",'The Open'!$G155)</f>
        <v/>
      </c>
      <c r="O600">
        <f>IF('The Open'!$G155="","",'The Open'!$G155)</f>
        <v/>
      </c>
      <c r="P600">
        <f>IF('The Open'!$G155="","",'The Open'!$H155)</f>
        <v/>
      </c>
    </row>
    <row r="601">
      <c r="A601">
        <f>IF('The Open'!$G156="","","The Open")</f>
        <v/>
      </c>
      <c r="B601">
        <f>IF('The Open'!$G156="","","Major")</f>
        <v/>
      </c>
      <c r="C601" s="18">
        <f>IF('The Open'!$G156="","",'The Open'!$B$3)</f>
        <v/>
      </c>
      <c r="D601">
        <f>IF('The Open'!$G156="","",'The Open'!$D156&amp;"")</f>
        <v/>
      </c>
      <c r="F601">
        <f>IF('The Open'!$G156="","",'The Open'!$A156&amp;"")</f>
        <v/>
      </c>
      <c r="J601">
        <f>IF('The Open'!$G156="","",'The Open'!$E156)</f>
        <v/>
      </c>
      <c r="K601">
        <f>IF('The Open'!$G156="","",'The Open'!$J156)</f>
        <v/>
      </c>
      <c r="L601">
        <f>IF('The Open'!$G156="","","")</f>
        <v/>
      </c>
      <c r="M601">
        <f>IF('The Open'!$G156="","",'The Open'!$F156)</f>
        <v/>
      </c>
      <c r="N601">
        <f>IF('The Open'!$G156="","",'The Open'!$G156)</f>
        <v/>
      </c>
      <c r="O601">
        <f>IF('The Open'!$G156="","",'The Open'!$G156)</f>
        <v/>
      </c>
      <c r="P601">
        <f>IF('The Open'!$G156="","",'The Open'!$H156)</f>
        <v/>
      </c>
    </row>
    <row r="602">
      <c r="A602">
        <f>IF('PGA Championship'!$G7="","","PGA Championship")</f>
        <v/>
      </c>
      <c r="B602">
        <f>IF('PGA Championship'!$G7="","","Major")</f>
        <v/>
      </c>
      <c r="C602" s="18">
        <f>IF('PGA Championship'!$G7="","",'PGA Championship'!$B$3)</f>
        <v/>
      </c>
      <c r="D602">
        <f>IF('PGA Championship'!$G7="","",'PGA Championship'!$D7&amp;"")</f>
        <v/>
      </c>
      <c r="F602">
        <f>IF('PGA Championship'!$G7="","",'PGA Championship'!$A7&amp;"")</f>
        <v/>
      </c>
      <c r="J602">
        <f>IF('PGA Championship'!$G7="","",'PGA Championship'!$E7)</f>
        <v/>
      </c>
      <c r="K602">
        <f>IF('PGA Championship'!$G7="","",'PGA Championship'!$J7)</f>
        <v/>
      </c>
      <c r="L602">
        <f>IF('PGA Championship'!$G7="","","")</f>
        <v/>
      </c>
      <c r="M602">
        <f>IF('PGA Championship'!$G7="","",'PGA Championship'!$F7)</f>
        <v/>
      </c>
      <c r="N602">
        <f>IF('PGA Championship'!$G7="","",'PGA Championship'!$G7)</f>
        <v/>
      </c>
      <c r="O602">
        <f>IF('PGA Championship'!$G7="","",'PGA Championship'!$G7)</f>
        <v/>
      </c>
      <c r="P602">
        <f>IF('PGA Championship'!$G7="","",'PGA Championship'!$H7)</f>
        <v/>
      </c>
    </row>
    <row r="603">
      <c r="A603">
        <f>IF('PGA Championship'!$G8="","","PGA Championship")</f>
        <v/>
      </c>
      <c r="B603">
        <f>IF('PGA Championship'!$G8="","","Major")</f>
        <v/>
      </c>
      <c r="C603" s="18">
        <f>IF('PGA Championship'!$G8="","",'PGA Championship'!$B$3)</f>
        <v/>
      </c>
      <c r="D603">
        <f>IF('PGA Championship'!$G8="","",'PGA Championship'!$D8&amp;"")</f>
        <v/>
      </c>
      <c r="F603">
        <f>IF('PGA Championship'!$G8="","",'PGA Championship'!$A8&amp;"")</f>
        <v/>
      </c>
      <c r="J603">
        <f>IF('PGA Championship'!$G8="","",'PGA Championship'!$E8)</f>
        <v/>
      </c>
      <c r="K603">
        <f>IF('PGA Championship'!$G8="","",'PGA Championship'!$J8)</f>
        <v/>
      </c>
      <c r="L603">
        <f>IF('PGA Championship'!$G8="","","")</f>
        <v/>
      </c>
      <c r="M603">
        <f>IF('PGA Championship'!$G8="","",'PGA Championship'!$F8)</f>
        <v/>
      </c>
      <c r="N603">
        <f>IF('PGA Championship'!$G8="","",'PGA Championship'!$G8)</f>
        <v/>
      </c>
      <c r="O603">
        <f>IF('PGA Championship'!$G8="","",'PGA Championship'!$G8)</f>
        <v/>
      </c>
      <c r="P603">
        <f>IF('PGA Championship'!$G8="","",'PGA Championship'!$H8)</f>
        <v/>
      </c>
    </row>
    <row r="604">
      <c r="A604">
        <f>IF('PGA Championship'!$G9="","","PGA Championship")</f>
        <v/>
      </c>
      <c r="B604">
        <f>IF('PGA Championship'!$G9="","","Major")</f>
        <v/>
      </c>
      <c r="C604" s="18">
        <f>IF('PGA Championship'!$G9="","",'PGA Championship'!$B$3)</f>
        <v/>
      </c>
      <c r="D604">
        <f>IF('PGA Championship'!$G9="","",'PGA Championship'!$D9&amp;"")</f>
        <v/>
      </c>
      <c r="F604">
        <f>IF('PGA Championship'!$G9="","",'PGA Championship'!$A9&amp;"")</f>
        <v/>
      </c>
      <c r="J604">
        <f>IF('PGA Championship'!$G9="","",'PGA Championship'!$E9)</f>
        <v/>
      </c>
      <c r="K604">
        <f>IF('PGA Championship'!$G9="","",'PGA Championship'!$J9)</f>
        <v/>
      </c>
      <c r="L604">
        <f>IF('PGA Championship'!$G9="","","")</f>
        <v/>
      </c>
      <c r="M604">
        <f>IF('PGA Championship'!$G9="","",'PGA Championship'!$F9)</f>
        <v/>
      </c>
      <c r="N604">
        <f>IF('PGA Championship'!$G9="","",'PGA Championship'!$G9)</f>
        <v/>
      </c>
      <c r="O604">
        <f>IF('PGA Championship'!$G9="","",'PGA Championship'!$G9)</f>
        <v/>
      </c>
      <c r="P604">
        <f>IF('PGA Championship'!$G9="","",'PGA Championship'!$H9)</f>
        <v/>
      </c>
    </row>
    <row r="605">
      <c r="A605">
        <f>IF('PGA Championship'!$G10="","","PGA Championship")</f>
        <v/>
      </c>
      <c r="B605">
        <f>IF('PGA Championship'!$G10="","","Major")</f>
        <v/>
      </c>
      <c r="C605" s="18">
        <f>IF('PGA Championship'!$G10="","",'PGA Championship'!$B$3)</f>
        <v/>
      </c>
      <c r="D605">
        <f>IF('PGA Championship'!$G10="","",'PGA Championship'!$D10&amp;"")</f>
        <v/>
      </c>
      <c r="F605">
        <f>IF('PGA Championship'!$G10="","",'PGA Championship'!$A10&amp;"")</f>
        <v/>
      </c>
      <c r="J605">
        <f>IF('PGA Championship'!$G10="","",'PGA Championship'!$E10)</f>
        <v/>
      </c>
      <c r="K605">
        <f>IF('PGA Championship'!$G10="","",'PGA Championship'!$J10)</f>
        <v/>
      </c>
      <c r="L605">
        <f>IF('PGA Championship'!$G10="","","")</f>
        <v/>
      </c>
      <c r="M605">
        <f>IF('PGA Championship'!$G10="","",'PGA Championship'!$F10)</f>
        <v/>
      </c>
      <c r="N605">
        <f>IF('PGA Championship'!$G10="","",'PGA Championship'!$G10)</f>
        <v/>
      </c>
      <c r="O605">
        <f>IF('PGA Championship'!$G10="","",'PGA Championship'!$G10)</f>
        <v/>
      </c>
      <c r="P605">
        <f>IF('PGA Championship'!$G10="","",'PGA Championship'!$H10)</f>
        <v/>
      </c>
    </row>
    <row r="606">
      <c r="A606">
        <f>IF('PGA Championship'!$G11="","","PGA Championship")</f>
        <v/>
      </c>
      <c r="B606">
        <f>IF('PGA Championship'!$G11="","","Major")</f>
        <v/>
      </c>
      <c r="C606" s="18">
        <f>IF('PGA Championship'!$G11="","",'PGA Championship'!$B$3)</f>
        <v/>
      </c>
      <c r="D606">
        <f>IF('PGA Championship'!$G11="","",'PGA Championship'!$D11&amp;"")</f>
        <v/>
      </c>
      <c r="F606">
        <f>IF('PGA Championship'!$G11="","",'PGA Championship'!$A11&amp;"")</f>
        <v/>
      </c>
      <c r="J606">
        <f>IF('PGA Championship'!$G11="","",'PGA Championship'!$E11)</f>
        <v/>
      </c>
      <c r="K606">
        <f>IF('PGA Championship'!$G11="","",'PGA Championship'!$J11)</f>
        <v/>
      </c>
      <c r="L606">
        <f>IF('PGA Championship'!$G11="","","")</f>
        <v/>
      </c>
      <c r="M606">
        <f>IF('PGA Championship'!$G11="","",'PGA Championship'!$F11)</f>
        <v/>
      </c>
      <c r="N606">
        <f>IF('PGA Championship'!$G11="","",'PGA Championship'!$G11)</f>
        <v/>
      </c>
      <c r="O606">
        <f>IF('PGA Championship'!$G11="","",'PGA Championship'!$G11)</f>
        <v/>
      </c>
      <c r="P606">
        <f>IF('PGA Championship'!$G11="","",'PGA Championship'!$H11)</f>
        <v/>
      </c>
    </row>
    <row r="607">
      <c r="A607">
        <f>IF('PGA Championship'!$G12="","","PGA Championship")</f>
        <v/>
      </c>
      <c r="B607">
        <f>IF('PGA Championship'!$G12="","","Major")</f>
        <v/>
      </c>
      <c r="C607" s="18">
        <f>IF('PGA Championship'!$G12="","",'PGA Championship'!$B$3)</f>
        <v/>
      </c>
      <c r="D607">
        <f>IF('PGA Championship'!$G12="","",'PGA Championship'!$D12&amp;"")</f>
        <v/>
      </c>
      <c r="F607">
        <f>IF('PGA Championship'!$G12="","",'PGA Championship'!$A12&amp;"")</f>
        <v/>
      </c>
      <c r="J607">
        <f>IF('PGA Championship'!$G12="","",'PGA Championship'!$E12)</f>
        <v/>
      </c>
      <c r="K607">
        <f>IF('PGA Championship'!$G12="","",'PGA Championship'!$J12)</f>
        <v/>
      </c>
      <c r="L607">
        <f>IF('PGA Championship'!$G12="","","")</f>
        <v/>
      </c>
      <c r="M607">
        <f>IF('PGA Championship'!$G12="","",'PGA Championship'!$F12)</f>
        <v/>
      </c>
      <c r="N607">
        <f>IF('PGA Championship'!$G12="","",'PGA Championship'!$G12)</f>
        <v/>
      </c>
      <c r="O607">
        <f>IF('PGA Championship'!$G12="","",'PGA Championship'!$G12)</f>
        <v/>
      </c>
      <c r="P607">
        <f>IF('PGA Championship'!$G12="","",'PGA Championship'!$H12)</f>
        <v/>
      </c>
    </row>
    <row r="608">
      <c r="A608">
        <f>IF('PGA Championship'!$G13="","","PGA Championship")</f>
        <v/>
      </c>
      <c r="B608">
        <f>IF('PGA Championship'!$G13="","","Major")</f>
        <v/>
      </c>
      <c r="C608" s="18">
        <f>IF('PGA Championship'!$G13="","",'PGA Championship'!$B$3)</f>
        <v/>
      </c>
      <c r="D608">
        <f>IF('PGA Championship'!$G13="","",'PGA Championship'!$D13&amp;"")</f>
        <v/>
      </c>
      <c r="F608">
        <f>IF('PGA Championship'!$G13="","",'PGA Championship'!$A13&amp;"")</f>
        <v/>
      </c>
      <c r="J608">
        <f>IF('PGA Championship'!$G13="","",'PGA Championship'!$E13)</f>
        <v/>
      </c>
      <c r="K608">
        <f>IF('PGA Championship'!$G13="","",'PGA Championship'!$J13)</f>
        <v/>
      </c>
      <c r="L608">
        <f>IF('PGA Championship'!$G13="","","")</f>
        <v/>
      </c>
      <c r="M608">
        <f>IF('PGA Championship'!$G13="","",'PGA Championship'!$F13)</f>
        <v/>
      </c>
      <c r="N608">
        <f>IF('PGA Championship'!$G13="","",'PGA Championship'!$G13)</f>
        <v/>
      </c>
      <c r="O608">
        <f>IF('PGA Championship'!$G13="","",'PGA Championship'!$G13)</f>
        <v/>
      </c>
      <c r="P608">
        <f>IF('PGA Championship'!$G13="","",'PGA Championship'!$H13)</f>
        <v/>
      </c>
    </row>
    <row r="609">
      <c r="A609">
        <f>IF('PGA Championship'!$G14="","","PGA Championship")</f>
        <v/>
      </c>
      <c r="B609">
        <f>IF('PGA Championship'!$G14="","","Major")</f>
        <v/>
      </c>
      <c r="C609" s="18">
        <f>IF('PGA Championship'!$G14="","",'PGA Championship'!$B$3)</f>
        <v/>
      </c>
      <c r="D609">
        <f>IF('PGA Championship'!$G14="","",'PGA Championship'!$D14&amp;"")</f>
        <v/>
      </c>
      <c r="F609">
        <f>IF('PGA Championship'!$G14="","",'PGA Championship'!$A14&amp;"")</f>
        <v/>
      </c>
      <c r="J609">
        <f>IF('PGA Championship'!$G14="","",'PGA Championship'!$E14)</f>
        <v/>
      </c>
      <c r="K609">
        <f>IF('PGA Championship'!$G14="","",'PGA Championship'!$J14)</f>
        <v/>
      </c>
      <c r="L609">
        <f>IF('PGA Championship'!$G14="","","")</f>
        <v/>
      </c>
      <c r="M609">
        <f>IF('PGA Championship'!$G14="","",'PGA Championship'!$F14)</f>
        <v/>
      </c>
      <c r="N609">
        <f>IF('PGA Championship'!$G14="","",'PGA Championship'!$G14)</f>
        <v/>
      </c>
      <c r="O609">
        <f>IF('PGA Championship'!$G14="","",'PGA Championship'!$G14)</f>
        <v/>
      </c>
      <c r="P609">
        <f>IF('PGA Championship'!$G14="","",'PGA Championship'!$H14)</f>
        <v/>
      </c>
    </row>
    <row r="610">
      <c r="A610">
        <f>IF('PGA Championship'!$G15="","","PGA Championship")</f>
        <v/>
      </c>
      <c r="B610">
        <f>IF('PGA Championship'!$G15="","","Major")</f>
        <v/>
      </c>
      <c r="C610" s="18">
        <f>IF('PGA Championship'!$G15="","",'PGA Championship'!$B$3)</f>
        <v/>
      </c>
      <c r="D610">
        <f>IF('PGA Championship'!$G15="","",'PGA Championship'!$D15&amp;"")</f>
        <v/>
      </c>
      <c r="F610">
        <f>IF('PGA Championship'!$G15="","",'PGA Championship'!$A15&amp;"")</f>
        <v/>
      </c>
      <c r="J610">
        <f>IF('PGA Championship'!$G15="","",'PGA Championship'!$E15)</f>
        <v/>
      </c>
      <c r="K610">
        <f>IF('PGA Championship'!$G15="","",'PGA Championship'!$J15)</f>
        <v/>
      </c>
      <c r="L610">
        <f>IF('PGA Championship'!$G15="","","")</f>
        <v/>
      </c>
      <c r="M610">
        <f>IF('PGA Championship'!$G15="","",'PGA Championship'!$F15)</f>
        <v/>
      </c>
      <c r="N610">
        <f>IF('PGA Championship'!$G15="","",'PGA Championship'!$G15)</f>
        <v/>
      </c>
      <c r="O610">
        <f>IF('PGA Championship'!$G15="","",'PGA Championship'!$G15)</f>
        <v/>
      </c>
      <c r="P610">
        <f>IF('PGA Championship'!$G15="","",'PGA Championship'!$H15)</f>
        <v/>
      </c>
    </row>
    <row r="611">
      <c r="A611">
        <f>IF('PGA Championship'!$G16="","","PGA Championship")</f>
        <v/>
      </c>
      <c r="B611">
        <f>IF('PGA Championship'!$G16="","","Major")</f>
        <v/>
      </c>
      <c r="C611" s="18">
        <f>IF('PGA Championship'!$G16="","",'PGA Championship'!$B$3)</f>
        <v/>
      </c>
      <c r="D611">
        <f>IF('PGA Championship'!$G16="","",'PGA Championship'!$D16&amp;"")</f>
        <v/>
      </c>
      <c r="F611">
        <f>IF('PGA Championship'!$G16="","",'PGA Championship'!$A16&amp;"")</f>
        <v/>
      </c>
      <c r="J611">
        <f>IF('PGA Championship'!$G16="","",'PGA Championship'!$E16)</f>
        <v/>
      </c>
      <c r="K611">
        <f>IF('PGA Championship'!$G16="","",'PGA Championship'!$J16)</f>
        <v/>
      </c>
      <c r="L611">
        <f>IF('PGA Championship'!$G16="","","")</f>
        <v/>
      </c>
      <c r="M611">
        <f>IF('PGA Championship'!$G16="","",'PGA Championship'!$F16)</f>
        <v/>
      </c>
      <c r="N611">
        <f>IF('PGA Championship'!$G16="","",'PGA Championship'!$G16)</f>
        <v/>
      </c>
      <c r="O611">
        <f>IF('PGA Championship'!$G16="","",'PGA Championship'!$G16)</f>
        <v/>
      </c>
      <c r="P611">
        <f>IF('PGA Championship'!$G16="","",'PGA Championship'!$H16)</f>
        <v/>
      </c>
    </row>
    <row r="612">
      <c r="A612">
        <f>IF('PGA Championship'!$G17="","","PGA Championship")</f>
        <v/>
      </c>
      <c r="B612">
        <f>IF('PGA Championship'!$G17="","","Major")</f>
        <v/>
      </c>
      <c r="C612" s="18">
        <f>IF('PGA Championship'!$G17="","",'PGA Championship'!$B$3)</f>
        <v/>
      </c>
      <c r="D612">
        <f>IF('PGA Championship'!$G17="","",'PGA Championship'!$D17&amp;"")</f>
        <v/>
      </c>
      <c r="F612">
        <f>IF('PGA Championship'!$G17="","",'PGA Championship'!$A17&amp;"")</f>
        <v/>
      </c>
      <c r="J612">
        <f>IF('PGA Championship'!$G17="","",'PGA Championship'!$E17)</f>
        <v/>
      </c>
      <c r="K612">
        <f>IF('PGA Championship'!$G17="","",'PGA Championship'!$J17)</f>
        <v/>
      </c>
      <c r="L612">
        <f>IF('PGA Championship'!$G17="","","")</f>
        <v/>
      </c>
      <c r="M612">
        <f>IF('PGA Championship'!$G17="","",'PGA Championship'!$F17)</f>
        <v/>
      </c>
      <c r="N612">
        <f>IF('PGA Championship'!$G17="","",'PGA Championship'!$G17)</f>
        <v/>
      </c>
      <c r="O612">
        <f>IF('PGA Championship'!$G17="","",'PGA Championship'!$G17)</f>
        <v/>
      </c>
      <c r="P612">
        <f>IF('PGA Championship'!$G17="","",'PGA Championship'!$H17)</f>
        <v/>
      </c>
    </row>
    <row r="613">
      <c r="A613">
        <f>IF('PGA Championship'!$G18="","","PGA Championship")</f>
        <v/>
      </c>
      <c r="B613">
        <f>IF('PGA Championship'!$G18="","","Major")</f>
        <v/>
      </c>
      <c r="C613" s="18">
        <f>IF('PGA Championship'!$G18="","",'PGA Championship'!$B$3)</f>
        <v/>
      </c>
      <c r="D613">
        <f>IF('PGA Championship'!$G18="","",'PGA Championship'!$D18&amp;"")</f>
        <v/>
      </c>
      <c r="F613">
        <f>IF('PGA Championship'!$G18="","",'PGA Championship'!$A18&amp;"")</f>
        <v/>
      </c>
      <c r="J613">
        <f>IF('PGA Championship'!$G18="","",'PGA Championship'!$E18)</f>
        <v/>
      </c>
      <c r="K613">
        <f>IF('PGA Championship'!$G18="","",'PGA Championship'!$J18)</f>
        <v/>
      </c>
      <c r="L613">
        <f>IF('PGA Championship'!$G18="","","")</f>
        <v/>
      </c>
      <c r="M613">
        <f>IF('PGA Championship'!$G18="","",'PGA Championship'!$F18)</f>
        <v/>
      </c>
      <c r="N613">
        <f>IF('PGA Championship'!$G18="","",'PGA Championship'!$G18)</f>
        <v/>
      </c>
      <c r="O613">
        <f>IF('PGA Championship'!$G18="","",'PGA Championship'!$G18)</f>
        <v/>
      </c>
      <c r="P613">
        <f>IF('PGA Championship'!$G18="","",'PGA Championship'!$H18)</f>
        <v/>
      </c>
    </row>
    <row r="614">
      <c r="A614">
        <f>IF('PGA Championship'!$G19="","","PGA Championship")</f>
        <v/>
      </c>
      <c r="B614">
        <f>IF('PGA Championship'!$G19="","","Major")</f>
        <v/>
      </c>
      <c r="C614" s="18">
        <f>IF('PGA Championship'!$G19="","",'PGA Championship'!$B$3)</f>
        <v/>
      </c>
      <c r="D614">
        <f>IF('PGA Championship'!$G19="","",'PGA Championship'!$D19&amp;"")</f>
        <v/>
      </c>
      <c r="F614">
        <f>IF('PGA Championship'!$G19="","",'PGA Championship'!$A19&amp;"")</f>
        <v/>
      </c>
      <c r="J614">
        <f>IF('PGA Championship'!$G19="","",'PGA Championship'!$E19)</f>
        <v/>
      </c>
      <c r="K614">
        <f>IF('PGA Championship'!$G19="","",'PGA Championship'!$J19)</f>
        <v/>
      </c>
      <c r="L614">
        <f>IF('PGA Championship'!$G19="","","")</f>
        <v/>
      </c>
      <c r="M614">
        <f>IF('PGA Championship'!$G19="","",'PGA Championship'!$F19)</f>
        <v/>
      </c>
      <c r="N614">
        <f>IF('PGA Championship'!$G19="","",'PGA Championship'!$G19)</f>
        <v/>
      </c>
      <c r="O614">
        <f>IF('PGA Championship'!$G19="","",'PGA Championship'!$G19)</f>
        <v/>
      </c>
      <c r="P614">
        <f>IF('PGA Championship'!$G19="","",'PGA Championship'!$H19)</f>
        <v/>
      </c>
    </row>
    <row r="615">
      <c r="A615">
        <f>IF('PGA Championship'!$G20="","","PGA Championship")</f>
        <v/>
      </c>
      <c r="B615">
        <f>IF('PGA Championship'!$G20="","","Major")</f>
        <v/>
      </c>
      <c r="C615" s="18">
        <f>IF('PGA Championship'!$G20="","",'PGA Championship'!$B$3)</f>
        <v/>
      </c>
      <c r="D615">
        <f>IF('PGA Championship'!$G20="","",'PGA Championship'!$D20&amp;"")</f>
        <v/>
      </c>
      <c r="F615">
        <f>IF('PGA Championship'!$G20="","",'PGA Championship'!$A20&amp;"")</f>
        <v/>
      </c>
      <c r="J615">
        <f>IF('PGA Championship'!$G20="","",'PGA Championship'!$E20)</f>
        <v/>
      </c>
      <c r="K615">
        <f>IF('PGA Championship'!$G20="","",'PGA Championship'!$J20)</f>
        <v/>
      </c>
      <c r="L615">
        <f>IF('PGA Championship'!$G20="","","")</f>
        <v/>
      </c>
      <c r="M615">
        <f>IF('PGA Championship'!$G20="","",'PGA Championship'!$F20)</f>
        <v/>
      </c>
      <c r="N615">
        <f>IF('PGA Championship'!$G20="","",'PGA Championship'!$G20)</f>
        <v/>
      </c>
      <c r="O615">
        <f>IF('PGA Championship'!$G20="","",'PGA Championship'!$G20)</f>
        <v/>
      </c>
      <c r="P615">
        <f>IF('PGA Championship'!$G20="","",'PGA Championship'!$H20)</f>
        <v/>
      </c>
    </row>
    <row r="616">
      <c r="A616">
        <f>IF('PGA Championship'!$G21="","","PGA Championship")</f>
        <v/>
      </c>
      <c r="B616">
        <f>IF('PGA Championship'!$G21="","","Major")</f>
        <v/>
      </c>
      <c r="C616" s="18">
        <f>IF('PGA Championship'!$G21="","",'PGA Championship'!$B$3)</f>
        <v/>
      </c>
      <c r="D616">
        <f>IF('PGA Championship'!$G21="","",'PGA Championship'!$D21&amp;"")</f>
        <v/>
      </c>
      <c r="F616">
        <f>IF('PGA Championship'!$G21="","",'PGA Championship'!$A21&amp;"")</f>
        <v/>
      </c>
      <c r="J616">
        <f>IF('PGA Championship'!$G21="","",'PGA Championship'!$E21)</f>
        <v/>
      </c>
      <c r="K616">
        <f>IF('PGA Championship'!$G21="","",'PGA Championship'!$J21)</f>
        <v/>
      </c>
      <c r="L616">
        <f>IF('PGA Championship'!$G21="","","")</f>
        <v/>
      </c>
      <c r="M616">
        <f>IF('PGA Championship'!$G21="","",'PGA Championship'!$F21)</f>
        <v/>
      </c>
      <c r="N616">
        <f>IF('PGA Championship'!$G21="","",'PGA Championship'!$G21)</f>
        <v/>
      </c>
      <c r="O616">
        <f>IF('PGA Championship'!$G21="","",'PGA Championship'!$G21)</f>
        <v/>
      </c>
      <c r="P616">
        <f>IF('PGA Championship'!$G21="","",'PGA Championship'!$H21)</f>
        <v/>
      </c>
    </row>
    <row r="617">
      <c r="A617">
        <f>IF('PGA Championship'!$G22="","","PGA Championship")</f>
        <v/>
      </c>
      <c r="B617">
        <f>IF('PGA Championship'!$G22="","","Major")</f>
        <v/>
      </c>
      <c r="C617" s="18">
        <f>IF('PGA Championship'!$G22="","",'PGA Championship'!$B$3)</f>
        <v/>
      </c>
      <c r="D617">
        <f>IF('PGA Championship'!$G22="","",'PGA Championship'!$D22&amp;"")</f>
        <v/>
      </c>
      <c r="F617">
        <f>IF('PGA Championship'!$G22="","",'PGA Championship'!$A22&amp;"")</f>
        <v/>
      </c>
      <c r="J617">
        <f>IF('PGA Championship'!$G22="","",'PGA Championship'!$E22)</f>
        <v/>
      </c>
      <c r="K617">
        <f>IF('PGA Championship'!$G22="","",'PGA Championship'!$J22)</f>
        <v/>
      </c>
      <c r="L617">
        <f>IF('PGA Championship'!$G22="","","")</f>
        <v/>
      </c>
      <c r="M617">
        <f>IF('PGA Championship'!$G22="","",'PGA Championship'!$F22)</f>
        <v/>
      </c>
      <c r="N617">
        <f>IF('PGA Championship'!$G22="","",'PGA Championship'!$G22)</f>
        <v/>
      </c>
      <c r="O617">
        <f>IF('PGA Championship'!$G22="","",'PGA Championship'!$G22)</f>
        <v/>
      </c>
      <c r="P617">
        <f>IF('PGA Championship'!$G22="","",'PGA Championship'!$H22)</f>
        <v/>
      </c>
    </row>
    <row r="618">
      <c r="A618">
        <f>IF('PGA Championship'!$G23="","","PGA Championship")</f>
        <v/>
      </c>
      <c r="B618">
        <f>IF('PGA Championship'!$G23="","","Major")</f>
        <v/>
      </c>
      <c r="C618" s="18">
        <f>IF('PGA Championship'!$G23="","",'PGA Championship'!$B$3)</f>
        <v/>
      </c>
      <c r="D618">
        <f>IF('PGA Championship'!$G23="","",'PGA Championship'!$D23&amp;"")</f>
        <v/>
      </c>
      <c r="F618">
        <f>IF('PGA Championship'!$G23="","",'PGA Championship'!$A23&amp;"")</f>
        <v/>
      </c>
      <c r="J618">
        <f>IF('PGA Championship'!$G23="","",'PGA Championship'!$E23)</f>
        <v/>
      </c>
      <c r="K618">
        <f>IF('PGA Championship'!$G23="","",'PGA Championship'!$J23)</f>
        <v/>
      </c>
      <c r="L618">
        <f>IF('PGA Championship'!$G23="","","")</f>
        <v/>
      </c>
      <c r="M618">
        <f>IF('PGA Championship'!$G23="","",'PGA Championship'!$F23)</f>
        <v/>
      </c>
      <c r="N618">
        <f>IF('PGA Championship'!$G23="","",'PGA Championship'!$G23)</f>
        <v/>
      </c>
      <c r="O618">
        <f>IF('PGA Championship'!$G23="","",'PGA Championship'!$G23)</f>
        <v/>
      </c>
      <c r="P618">
        <f>IF('PGA Championship'!$G23="","",'PGA Championship'!$H23)</f>
        <v/>
      </c>
    </row>
    <row r="619">
      <c r="A619">
        <f>IF('PGA Championship'!$G24="","","PGA Championship")</f>
        <v/>
      </c>
      <c r="B619">
        <f>IF('PGA Championship'!$G24="","","Major")</f>
        <v/>
      </c>
      <c r="C619" s="18">
        <f>IF('PGA Championship'!$G24="","",'PGA Championship'!$B$3)</f>
        <v/>
      </c>
      <c r="D619">
        <f>IF('PGA Championship'!$G24="","",'PGA Championship'!$D24&amp;"")</f>
        <v/>
      </c>
      <c r="F619">
        <f>IF('PGA Championship'!$G24="","",'PGA Championship'!$A24&amp;"")</f>
        <v/>
      </c>
      <c r="J619">
        <f>IF('PGA Championship'!$G24="","",'PGA Championship'!$E24)</f>
        <v/>
      </c>
      <c r="K619">
        <f>IF('PGA Championship'!$G24="","",'PGA Championship'!$J24)</f>
        <v/>
      </c>
      <c r="L619">
        <f>IF('PGA Championship'!$G24="","","")</f>
        <v/>
      </c>
      <c r="M619">
        <f>IF('PGA Championship'!$G24="","",'PGA Championship'!$F24)</f>
        <v/>
      </c>
      <c r="N619">
        <f>IF('PGA Championship'!$G24="","",'PGA Championship'!$G24)</f>
        <v/>
      </c>
      <c r="O619">
        <f>IF('PGA Championship'!$G24="","",'PGA Championship'!$G24)</f>
        <v/>
      </c>
      <c r="P619">
        <f>IF('PGA Championship'!$G24="","",'PGA Championship'!$H24)</f>
        <v/>
      </c>
    </row>
    <row r="620">
      <c r="A620">
        <f>IF('PGA Championship'!$G25="","","PGA Championship")</f>
        <v/>
      </c>
      <c r="B620">
        <f>IF('PGA Championship'!$G25="","","Major")</f>
        <v/>
      </c>
      <c r="C620" s="18">
        <f>IF('PGA Championship'!$G25="","",'PGA Championship'!$B$3)</f>
        <v/>
      </c>
      <c r="D620">
        <f>IF('PGA Championship'!$G25="","",'PGA Championship'!$D25&amp;"")</f>
        <v/>
      </c>
      <c r="F620">
        <f>IF('PGA Championship'!$G25="","",'PGA Championship'!$A25&amp;"")</f>
        <v/>
      </c>
      <c r="J620">
        <f>IF('PGA Championship'!$G25="","",'PGA Championship'!$E25)</f>
        <v/>
      </c>
      <c r="K620">
        <f>IF('PGA Championship'!$G25="","",'PGA Championship'!$J25)</f>
        <v/>
      </c>
      <c r="L620">
        <f>IF('PGA Championship'!$G25="","","")</f>
        <v/>
      </c>
      <c r="M620">
        <f>IF('PGA Championship'!$G25="","",'PGA Championship'!$F25)</f>
        <v/>
      </c>
      <c r="N620">
        <f>IF('PGA Championship'!$G25="","",'PGA Championship'!$G25)</f>
        <v/>
      </c>
      <c r="O620">
        <f>IF('PGA Championship'!$G25="","",'PGA Championship'!$G25)</f>
        <v/>
      </c>
      <c r="P620">
        <f>IF('PGA Championship'!$G25="","",'PGA Championship'!$H25)</f>
        <v/>
      </c>
    </row>
    <row r="621">
      <c r="A621">
        <f>IF('PGA Championship'!$G26="","","PGA Championship")</f>
        <v/>
      </c>
      <c r="B621">
        <f>IF('PGA Championship'!$G26="","","Major")</f>
        <v/>
      </c>
      <c r="C621" s="18">
        <f>IF('PGA Championship'!$G26="","",'PGA Championship'!$B$3)</f>
        <v/>
      </c>
      <c r="D621">
        <f>IF('PGA Championship'!$G26="","",'PGA Championship'!$D26&amp;"")</f>
        <v/>
      </c>
      <c r="F621">
        <f>IF('PGA Championship'!$G26="","",'PGA Championship'!$A26&amp;"")</f>
        <v/>
      </c>
      <c r="J621">
        <f>IF('PGA Championship'!$G26="","",'PGA Championship'!$E26)</f>
        <v/>
      </c>
      <c r="K621">
        <f>IF('PGA Championship'!$G26="","",'PGA Championship'!$J26)</f>
        <v/>
      </c>
      <c r="L621">
        <f>IF('PGA Championship'!$G26="","","")</f>
        <v/>
      </c>
      <c r="M621">
        <f>IF('PGA Championship'!$G26="","",'PGA Championship'!$F26)</f>
        <v/>
      </c>
      <c r="N621">
        <f>IF('PGA Championship'!$G26="","",'PGA Championship'!$G26)</f>
        <v/>
      </c>
      <c r="O621">
        <f>IF('PGA Championship'!$G26="","",'PGA Championship'!$G26)</f>
        <v/>
      </c>
      <c r="P621">
        <f>IF('PGA Championship'!$G26="","",'PGA Championship'!$H26)</f>
        <v/>
      </c>
    </row>
    <row r="622">
      <c r="A622">
        <f>IF('PGA Championship'!$G27="","","PGA Championship")</f>
        <v/>
      </c>
      <c r="B622">
        <f>IF('PGA Championship'!$G27="","","Major")</f>
        <v/>
      </c>
      <c r="C622" s="18">
        <f>IF('PGA Championship'!$G27="","",'PGA Championship'!$B$3)</f>
        <v/>
      </c>
      <c r="D622">
        <f>IF('PGA Championship'!$G27="","",'PGA Championship'!$D27&amp;"")</f>
        <v/>
      </c>
      <c r="F622">
        <f>IF('PGA Championship'!$G27="","",'PGA Championship'!$A27&amp;"")</f>
        <v/>
      </c>
      <c r="J622">
        <f>IF('PGA Championship'!$G27="","",'PGA Championship'!$E27)</f>
        <v/>
      </c>
      <c r="K622">
        <f>IF('PGA Championship'!$G27="","",'PGA Championship'!$J27)</f>
        <v/>
      </c>
      <c r="L622">
        <f>IF('PGA Championship'!$G27="","","")</f>
        <v/>
      </c>
      <c r="M622">
        <f>IF('PGA Championship'!$G27="","",'PGA Championship'!$F27)</f>
        <v/>
      </c>
      <c r="N622">
        <f>IF('PGA Championship'!$G27="","",'PGA Championship'!$G27)</f>
        <v/>
      </c>
      <c r="O622">
        <f>IF('PGA Championship'!$G27="","",'PGA Championship'!$G27)</f>
        <v/>
      </c>
      <c r="P622">
        <f>IF('PGA Championship'!$G27="","",'PGA Championship'!$H27)</f>
        <v/>
      </c>
    </row>
    <row r="623">
      <c r="A623">
        <f>IF('PGA Championship'!$G28="","","PGA Championship")</f>
        <v/>
      </c>
      <c r="B623">
        <f>IF('PGA Championship'!$G28="","","Major")</f>
        <v/>
      </c>
      <c r="C623" s="18">
        <f>IF('PGA Championship'!$G28="","",'PGA Championship'!$B$3)</f>
        <v/>
      </c>
      <c r="D623">
        <f>IF('PGA Championship'!$G28="","",'PGA Championship'!$D28&amp;"")</f>
        <v/>
      </c>
      <c r="F623">
        <f>IF('PGA Championship'!$G28="","",'PGA Championship'!$A28&amp;"")</f>
        <v/>
      </c>
      <c r="J623">
        <f>IF('PGA Championship'!$G28="","",'PGA Championship'!$E28)</f>
        <v/>
      </c>
      <c r="K623">
        <f>IF('PGA Championship'!$G28="","",'PGA Championship'!$J28)</f>
        <v/>
      </c>
      <c r="L623">
        <f>IF('PGA Championship'!$G28="","","")</f>
        <v/>
      </c>
      <c r="M623">
        <f>IF('PGA Championship'!$G28="","",'PGA Championship'!$F28)</f>
        <v/>
      </c>
      <c r="N623">
        <f>IF('PGA Championship'!$G28="","",'PGA Championship'!$G28)</f>
        <v/>
      </c>
      <c r="O623">
        <f>IF('PGA Championship'!$G28="","",'PGA Championship'!$G28)</f>
        <v/>
      </c>
      <c r="P623">
        <f>IF('PGA Championship'!$G28="","",'PGA Championship'!$H28)</f>
        <v/>
      </c>
    </row>
    <row r="624">
      <c r="A624">
        <f>IF('PGA Championship'!$G29="","","PGA Championship")</f>
        <v/>
      </c>
      <c r="B624">
        <f>IF('PGA Championship'!$G29="","","Major")</f>
        <v/>
      </c>
      <c r="C624" s="18">
        <f>IF('PGA Championship'!$G29="","",'PGA Championship'!$B$3)</f>
        <v/>
      </c>
      <c r="D624">
        <f>IF('PGA Championship'!$G29="","",'PGA Championship'!$D29&amp;"")</f>
        <v/>
      </c>
      <c r="F624">
        <f>IF('PGA Championship'!$G29="","",'PGA Championship'!$A29&amp;"")</f>
        <v/>
      </c>
      <c r="J624">
        <f>IF('PGA Championship'!$G29="","",'PGA Championship'!$E29)</f>
        <v/>
      </c>
      <c r="K624">
        <f>IF('PGA Championship'!$G29="","",'PGA Championship'!$J29)</f>
        <v/>
      </c>
      <c r="L624">
        <f>IF('PGA Championship'!$G29="","","")</f>
        <v/>
      </c>
      <c r="M624">
        <f>IF('PGA Championship'!$G29="","",'PGA Championship'!$F29)</f>
        <v/>
      </c>
      <c r="N624">
        <f>IF('PGA Championship'!$G29="","",'PGA Championship'!$G29)</f>
        <v/>
      </c>
      <c r="O624">
        <f>IF('PGA Championship'!$G29="","",'PGA Championship'!$G29)</f>
        <v/>
      </c>
      <c r="P624">
        <f>IF('PGA Championship'!$G29="","",'PGA Championship'!$H29)</f>
        <v/>
      </c>
    </row>
    <row r="625">
      <c r="A625">
        <f>IF('PGA Championship'!$G30="","","PGA Championship")</f>
        <v/>
      </c>
      <c r="B625">
        <f>IF('PGA Championship'!$G30="","","Major")</f>
        <v/>
      </c>
      <c r="C625" s="18">
        <f>IF('PGA Championship'!$G30="","",'PGA Championship'!$B$3)</f>
        <v/>
      </c>
      <c r="D625">
        <f>IF('PGA Championship'!$G30="","",'PGA Championship'!$D30&amp;"")</f>
        <v/>
      </c>
      <c r="F625">
        <f>IF('PGA Championship'!$G30="","",'PGA Championship'!$A30&amp;"")</f>
        <v/>
      </c>
      <c r="J625">
        <f>IF('PGA Championship'!$G30="","",'PGA Championship'!$E30)</f>
        <v/>
      </c>
      <c r="K625">
        <f>IF('PGA Championship'!$G30="","",'PGA Championship'!$J30)</f>
        <v/>
      </c>
      <c r="L625">
        <f>IF('PGA Championship'!$G30="","","")</f>
        <v/>
      </c>
      <c r="M625">
        <f>IF('PGA Championship'!$G30="","",'PGA Championship'!$F30)</f>
        <v/>
      </c>
      <c r="N625">
        <f>IF('PGA Championship'!$G30="","",'PGA Championship'!$G30)</f>
        <v/>
      </c>
      <c r="O625">
        <f>IF('PGA Championship'!$G30="","",'PGA Championship'!$G30)</f>
        <v/>
      </c>
      <c r="P625">
        <f>IF('PGA Championship'!$G30="","",'PGA Championship'!$H30)</f>
        <v/>
      </c>
    </row>
    <row r="626">
      <c r="A626">
        <f>IF('PGA Championship'!$G31="","","PGA Championship")</f>
        <v/>
      </c>
      <c r="B626">
        <f>IF('PGA Championship'!$G31="","","Major")</f>
        <v/>
      </c>
      <c r="C626" s="18">
        <f>IF('PGA Championship'!$G31="","",'PGA Championship'!$B$3)</f>
        <v/>
      </c>
      <c r="D626">
        <f>IF('PGA Championship'!$G31="","",'PGA Championship'!$D31&amp;"")</f>
        <v/>
      </c>
      <c r="F626">
        <f>IF('PGA Championship'!$G31="","",'PGA Championship'!$A31&amp;"")</f>
        <v/>
      </c>
      <c r="J626">
        <f>IF('PGA Championship'!$G31="","",'PGA Championship'!$E31)</f>
        <v/>
      </c>
      <c r="K626">
        <f>IF('PGA Championship'!$G31="","",'PGA Championship'!$J31)</f>
        <v/>
      </c>
      <c r="L626">
        <f>IF('PGA Championship'!$G31="","","")</f>
        <v/>
      </c>
      <c r="M626">
        <f>IF('PGA Championship'!$G31="","",'PGA Championship'!$F31)</f>
        <v/>
      </c>
      <c r="N626">
        <f>IF('PGA Championship'!$G31="","",'PGA Championship'!$G31)</f>
        <v/>
      </c>
      <c r="O626">
        <f>IF('PGA Championship'!$G31="","",'PGA Championship'!$G31)</f>
        <v/>
      </c>
      <c r="P626">
        <f>IF('PGA Championship'!$G31="","",'PGA Championship'!$H31)</f>
        <v/>
      </c>
    </row>
    <row r="627">
      <c r="A627">
        <f>IF('PGA Championship'!$G32="","","PGA Championship")</f>
        <v/>
      </c>
      <c r="B627">
        <f>IF('PGA Championship'!$G32="","","Major")</f>
        <v/>
      </c>
      <c r="C627" s="18">
        <f>IF('PGA Championship'!$G32="","",'PGA Championship'!$B$3)</f>
        <v/>
      </c>
      <c r="D627">
        <f>IF('PGA Championship'!$G32="","",'PGA Championship'!$D32&amp;"")</f>
        <v/>
      </c>
      <c r="F627">
        <f>IF('PGA Championship'!$G32="","",'PGA Championship'!$A32&amp;"")</f>
        <v/>
      </c>
      <c r="J627">
        <f>IF('PGA Championship'!$G32="","",'PGA Championship'!$E32)</f>
        <v/>
      </c>
      <c r="K627">
        <f>IF('PGA Championship'!$G32="","",'PGA Championship'!$J32)</f>
        <v/>
      </c>
      <c r="L627">
        <f>IF('PGA Championship'!$G32="","","")</f>
        <v/>
      </c>
      <c r="M627">
        <f>IF('PGA Championship'!$G32="","",'PGA Championship'!$F32)</f>
        <v/>
      </c>
      <c r="N627">
        <f>IF('PGA Championship'!$G32="","",'PGA Championship'!$G32)</f>
        <v/>
      </c>
      <c r="O627">
        <f>IF('PGA Championship'!$G32="","",'PGA Championship'!$G32)</f>
        <v/>
      </c>
      <c r="P627">
        <f>IF('PGA Championship'!$G32="","",'PGA Championship'!$H32)</f>
        <v/>
      </c>
    </row>
    <row r="628">
      <c r="A628">
        <f>IF('PGA Championship'!$G33="","","PGA Championship")</f>
        <v/>
      </c>
      <c r="B628">
        <f>IF('PGA Championship'!$G33="","","Major")</f>
        <v/>
      </c>
      <c r="C628" s="18">
        <f>IF('PGA Championship'!$G33="","",'PGA Championship'!$B$3)</f>
        <v/>
      </c>
      <c r="D628">
        <f>IF('PGA Championship'!$G33="","",'PGA Championship'!$D33&amp;"")</f>
        <v/>
      </c>
      <c r="F628">
        <f>IF('PGA Championship'!$G33="","",'PGA Championship'!$A33&amp;"")</f>
        <v/>
      </c>
      <c r="J628">
        <f>IF('PGA Championship'!$G33="","",'PGA Championship'!$E33)</f>
        <v/>
      </c>
      <c r="K628">
        <f>IF('PGA Championship'!$G33="","",'PGA Championship'!$J33)</f>
        <v/>
      </c>
      <c r="L628">
        <f>IF('PGA Championship'!$G33="","","")</f>
        <v/>
      </c>
      <c r="M628">
        <f>IF('PGA Championship'!$G33="","",'PGA Championship'!$F33)</f>
        <v/>
      </c>
      <c r="N628">
        <f>IF('PGA Championship'!$G33="","",'PGA Championship'!$G33)</f>
        <v/>
      </c>
      <c r="O628">
        <f>IF('PGA Championship'!$G33="","",'PGA Championship'!$G33)</f>
        <v/>
      </c>
      <c r="P628">
        <f>IF('PGA Championship'!$G33="","",'PGA Championship'!$H33)</f>
        <v/>
      </c>
    </row>
    <row r="629">
      <c r="A629">
        <f>IF('PGA Championship'!$G34="","","PGA Championship")</f>
        <v/>
      </c>
      <c r="B629">
        <f>IF('PGA Championship'!$G34="","","Major")</f>
        <v/>
      </c>
      <c r="C629" s="18">
        <f>IF('PGA Championship'!$G34="","",'PGA Championship'!$B$3)</f>
        <v/>
      </c>
      <c r="D629">
        <f>IF('PGA Championship'!$G34="","",'PGA Championship'!$D34&amp;"")</f>
        <v/>
      </c>
      <c r="F629">
        <f>IF('PGA Championship'!$G34="","",'PGA Championship'!$A34&amp;"")</f>
        <v/>
      </c>
      <c r="J629">
        <f>IF('PGA Championship'!$G34="","",'PGA Championship'!$E34)</f>
        <v/>
      </c>
      <c r="K629">
        <f>IF('PGA Championship'!$G34="","",'PGA Championship'!$J34)</f>
        <v/>
      </c>
      <c r="L629">
        <f>IF('PGA Championship'!$G34="","","")</f>
        <v/>
      </c>
      <c r="M629">
        <f>IF('PGA Championship'!$G34="","",'PGA Championship'!$F34)</f>
        <v/>
      </c>
      <c r="N629">
        <f>IF('PGA Championship'!$G34="","",'PGA Championship'!$G34)</f>
        <v/>
      </c>
      <c r="O629">
        <f>IF('PGA Championship'!$G34="","",'PGA Championship'!$G34)</f>
        <v/>
      </c>
      <c r="P629">
        <f>IF('PGA Championship'!$G34="","",'PGA Championship'!$H34)</f>
        <v/>
      </c>
    </row>
    <row r="630">
      <c r="A630">
        <f>IF('PGA Championship'!$G35="","","PGA Championship")</f>
        <v/>
      </c>
      <c r="B630">
        <f>IF('PGA Championship'!$G35="","","Major")</f>
        <v/>
      </c>
      <c r="C630" s="18">
        <f>IF('PGA Championship'!$G35="","",'PGA Championship'!$B$3)</f>
        <v/>
      </c>
      <c r="D630">
        <f>IF('PGA Championship'!$G35="","",'PGA Championship'!$D35&amp;"")</f>
        <v/>
      </c>
      <c r="F630">
        <f>IF('PGA Championship'!$G35="","",'PGA Championship'!$A35&amp;"")</f>
        <v/>
      </c>
      <c r="J630">
        <f>IF('PGA Championship'!$G35="","",'PGA Championship'!$E35)</f>
        <v/>
      </c>
      <c r="K630">
        <f>IF('PGA Championship'!$G35="","",'PGA Championship'!$J35)</f>
        <v/>
      </c>
      <c r="L630">
        <f>IF('PGA Championship'!$G35="","","")</f>
        <v/>
      </c>
      <c r="M630">
        <f>IF('PGA Championship'!$G35="","",'PGA Championship'!$F35)</f>
        <v/>
      </c>
      <c r="N630">
        <f>IF('PGA Championship'!$G35="","",'PGA Championship'!$G35)</f>
        <v/>
      </c>
      <c r="O630">
        <f>IF('PGA Championship'!$G35="","",'PGA Championship'!$G35)</f>
        <v/>
      </c>
      <c r="P630">
        <f>IF('PGA Championship'!$G35="","",'PGA Championship'!$H35)</f>
        <v/>
      </c>
    </row>
    <row r="631">
      <c r="A631">
        <f>IF('PGA Championship'!$G36="","","PGA Championship")</f>
        <v/>
      </c>
      <c r="B631">
        <f>IF('PGA Championship'!$G36="","","Major")</f>
        <v/>
      </c>
      <c r="C631" s="18">
        <f>IF('PGA Championship'!$G36="","",'PGA Championship'!$B$3)</f>
        <v/>
      </c>
      <c r="D631">
        <f>IF('PGA Championship'!$G36="","",'PGA Championship'!$D36&amp;"")</f>
        <v/>
      </c>
      <c r="F631">
        <f>IF('PGA Championship'!$G36="","",'PGA Championship'!$A36&amp;"")</f>
        <v/>
      </c>
      <c r="J631">
        <f>IF('PGA Championship'!$G36="","",'PGA Championship'!$E36)</f>
        <v/>
      </c>
      <c r="K631">
        <f>IF('PGA Championship'!$G36="","",'PGA Championship'!$J36)</f>
        <v/>
      </c>
      <c r="L631">
        <f>IF('PGA Championship'!$G36="","","")</f>
        <v/>
      </c>
      <c r="M631">
        <f>IF('PGA Championship'!$G36="","",'PGA Championship'!$F36)</f>
        <v/>
      </c>
      <c r="N631">
        <f>IF('PGA Championship'!$G36="","",'PGA Championship'!$G36)</f>
        <v/>
      </c>
      <c r="O631">
        <f>IF('PGA Championship'!$G36="","",'PGA Championship'!$G36)</f>
        <v/>
      </c>
      <c r="P631">
        <f>IF('PGA Championship'!$G36="","",'PGA Championship'!$H36)</f>
        <v/>
      </c>
    </row>
    <row r="632">
      <c r="A632">
        <f>IF('PGA Championship'!$G37="","","PGA Championship")</f>
        <v/>
      </c>
      <c r="B632">
        <f>IF('PGA Championship'!$G37="","","Major")</f>
        <v/>
      </c>
      <c r="C632" s="18">
        <f>IF('PGA Championship'!$G37="","",'PGA Championship'!$B$3)</f>
        <v/>
      </c>
      <c r="D632">
        <f>IF('PGA Championship'!$G37="","",'PGA Championship'!$D37&amp;"")</f>
        <v/>
      </c>
      <c r="F632">
        <f>IF('PGA Championship'!$G37="","",'PGA Championship'!$A37&amp;"")</f>
        <v/>
      </c>
      <c r="J632">
        <f>IF('PGA Championship'!$G37="","",'PGA Championship'!$E37)</f>
        <v/>
      </c>
      <c r="K632">
        <f>IF('PGA Championship'!$G37="","",'PGA Championship'!$J37)</f>
        <v/>
      </c>
      <c r="L632">
        <f>IF('PGA Championship'!$G37="","","")</f>
        <v/>
      </c>
      <c r="M632">
        <f>IF('PGA Championship'!$G37="","",'PGA Championship'!$F37)</f>
        <v/>
      </c>
      <c r="N632">
        <f>IF('PGA Championship'!$G37="","",'PGA Championship'!$G37)</f>
        <v/>
      </c>
      <c r="O632">
        <f>IF('PGA Championship'!$G37="","",'PGA Championship'!$G37)</f>
        <v/>
      </c>
      <c r="P632">
        <f>IF('PGA Championship'!$G37="","",'PGA Championship'!$H37)</f>
        <v/>
      </c>
    </row>
    <row r="633">
      <c r="A633">
        <f>IF('PGA Championship'!$G38="","","PGA Championship")</f>
        <v/>
      </c>
      <c r="B633">
        <f>IF('PGA Championship'!$G38="","","Major")</f>
        <v/>
      </c>
      <c r="C633" s="18">
        <f>IF('PGA Championship'!$G38="","",'PGA Championship'!$B$3)</f>
        <v/>
      </c>
      <c r="D633">
        <f>IF('PGA Championship'!$G38="","",'PGA Championship'!$D38&amp;"")</f>
        <v/>
      </c>
      <c r="F633">
        <f>IF('PGA Championship'!$G38="","",'PGA Championship'!$A38&amp;"")</f>
        <v/>
      </c>
      <c r="J633">
        <f>IF('PGA Championship'!$G38="","",'PGA Championship'!$E38)</f>
        <v/>
      </c>
      <c r="K633">
        <f>IF('PGA Championship'!$G38="","",'PGA Championship'!$J38)</f>
        <v/>
      </c>
      <c r="L633">
        <f>IF('PGA Championship'!$G38="","","")</f>
        <v/>
      </c>
      <c r="M633">
        <f>IF('PGA Championship'!$G38="","",'PGA Championship'!$F38)</f>
        <v/>
      </c>
      <c r="N633">
        <f>IF('PGA Championship'!$G38="","",'PGA Championship'!$G38)</f>
        <v/>
      </c>
      <c r="O633">
        <f>IF('PGA Championship'!$G38="","",'PGA Championship'!$G38)</f>
        <v/>
      </c>
      <c r="P633">
        <f>IF('PGA Championship'!$G38="","",'PGA Championship'!$H38)</f>
        <v/>
      </c>
    </row>
    <row r="634">
      <c r="A634">
        <f>IF('PGA Championship'!$G39="","","PGA Championship")</f>
        <v/>
      </c>
      <c r="B634">
        <f>IF('PGA Championship'!$G39="","","Major")</f>
        <v/>
      </c>
      <c r="C634" s="18">
        <f>IF('PGA Championship'!$G39="","",'PGA Championship'!$B$3)</f>
        <v/>
      </c>
      <c r="D634">
        <f>IF('PGA Championship'!$G39="","",'PGA Championship'!$D39&amp;"")</f>
        <v/>
      </c>
      <c r="F634">
        <f>IF('PGA Championship'!$G39="","",'PGA Championship'!$A39&amp;"")</f>
        <v/>
      </c>
      <c r="J634">
        <f>IF('PGA Championship'!$G39="","",'PGA Championship'!$E39)</f>
        <v/>
      </c>
      <c r="K634">
        <f>IF('PGA Championship'!$G39="","",'PGA Championship'!$J39)</f>
        <v/>
      </c>
      <c r="L634">
        <f>IF('PGA Championship'!$G39="","","")</f>
        <v/>
      </c>
      <c r="M634">
        <f>IF('PGA Championship'!$G39="","",'PGA Championship'!$F39)</f>
        <v/>
      </c>
      <c r="N634">
        <f>IF('PGA Championship'!$G39="","",'PGA Championship'!$G39)</f>
        <v/>
      </c>
      <c r="O634">
        <f>IF('PGA Championship'!$G39="","",'PGA Championship'!$G39)</f>
        <v/>
      </c>
      <c r="P634">
        <f>IF('PGA Championship'!$G39="","",'PGA Championship'!$H39)</f>
        <v/>
      </c>
    </row>
    <row r="635">
      <c r="A635">
        <f>IF('PGA Championship'!$G40="","","PGA Championship")</f>
        <v/>
      </c>
      <c r="B635">
        <f>IF('PGA Championship'!$G40="","","Major")</f>
        <v/>
      </c>
      <c r="C635" s="18">
        <f>IF('PGA Championship'!$G40="","",'PGA Championship'!$B$3)</f>
        <v/>
      </c>
      <c r="D635">
        <f>IF('PGA Championship'!$G40="","",'PGA Championship'!$D40&amp;"")</f>
        <v/>
      </c>
      <c r="F635">
        <f>IF('PGA Championship'!$G40="","",'PGA Championship'!$A40&amp;"")</f>
        <v/>
      </c>
      <c r="J635">
        <f>IF('PGA Championship'!$G40="","",'PGA Championship'!$E40)</f>
        <v/>
      </c>
      <c r="K635">
        <f>IF('PGA Championship'!$G40="","",'PGA Championship'!$J40)</f>
        <v/>
      </c>
      <c r="L635">
        <f>IF('PGA Championship'!$G40="","","")</f>
        <v/>
      </c>
      <c r="M635">
        <f>IF('PGA Championship'!$G40="","",'PGA Championship'!$F40)</f>
        <v/>
      </c>
      <c r="N635">
        <f>IF('PGA Championship'!$G40="","",'PGA Championship'!$G40)</f>
        <v/>
      </c>
      <c r="O635">
        <f>IF('PGA Championship'!$G40="","",'PGA Championship'!$G40)</f>
        <v/>
      </c>
      <c r="P635">
        <f>IF('PGA Championship'!$G40="","",'PGA Championship'!$H40)</f>
        <v/>
      </c>
    </row>
    <row r="636">
      <c r="A636">
        <f>IF('PGA Championship'!$G41="","","PGA Championship")</f>
        <v/>
      </c>
      <c r="B636">
        <f>IF('PGA Championship'!$G41="","","Major")</f>
        <v/>
      </c>
      <c r="C636" s="18">
        <f>IF('PGA Championship'!$G41="","",'PGA Championship'!$B$3)</f>
        <v/>
      </c>
      <c r="D636">
        <f>IF('PGA Championship'!$G41="","",'PGA Championship'!$D41&amp;"")</f>
        <v/>
      </c>
      <c r="F636">
        <f>IF('PGA Championship'!$G41="","",'PGA Championship'!$A41&amp;"")</f>
        <v/>
      </c>
      <c r="J636">
        <f>IF('PGA Championship'!$G41="","",'PGA Championship'!$E41)</f>
        <v/>
      </c>
      <c r="K636">
        <f>IF('PGA Championship'!$G41="","",'PGA Championship'!$J41)</f>
        <v/>
      </c>
      <c r="L636">
        <f>IF('PGA Championship'!$G41="","","")</f>
        <v/>
      </c>
      <c r="M636">
        <f>IF('PGA Championship'!$G41="","",'PGA Championship'!$F41)</f>
        <v/>
      </c>
      <c r="N636">
        <f>IF('PGA Championship'!$G41="","",'PGA Championship'!$G41)</f>
        <v/>
      </c>
      <c r="O636">
        <f>IF('PGA Championship'!$G41="","",'PGA Championship'!$G41)</f>
        <v/>
      </c>
      <c r="P636">
        <f>IF('PGA Championship'!$G41="","",'PGA Championship'!$H41)</f>
        <v/>
      </c>
    </row>
    <row r="637">
      <c r="A637">
        <f>IF('PGA Championship'!$G42="","","PGA Championship")</f>
        <v/>
      </c>
      <c r="B637">
        <f>IF('PGA Championship'!$G42="","","Major")</f>
        <v/>
      </c>
      <c r="C637" s="18">
        <f>IF('PGA Championship'!$G42="","",'PGA Championship'!$B$3)</f>
        <v/>
      </c>
      <c r="D637">
        <f>IF('PGA Championship'!$G42="","",'PGA Championship'!$D42&amp;"")</f>
        <v/>
      </c>
      <c r="F637">
        <f>IF('PGA Championship'!$G42="","",'PGA Championship'!$A42&amp;"")</f>
        <v/>
      </c>
      <c r="J637">
        <f>IF('PGA Championship'!$G42="","",'PGA Championship'!$E42)</f>
        <v/>
      </c>
      <c r="K637">
        <f>IF('PGA Championship'!$G42="","",'PGA Championship'!$J42)</f>
        <v/>
      </c>
      <c r="L637">
        <f>IF('PGA Championship'!$G42="","","")</f>
        <v/>
      </c>
      <c r="M637">
        <f>IF('PGA Championship'!$G42="","",'PGA Championship'!$F42)</f>
        <v/>
      </c>
      <c r="N637">
        <f>IF('PGA Championship'!$G42="","",'PGA Championship'!$G42)</f>
        <v/>
      </c>
      <c r="O637">
        <f>IF('PGA Championship'!$G42="","",'PGA Championship'!$G42)</f>
        <v/>
      </c>
      <c r="P637">
        <f>IF('PGA Championship'!$G42="","",'PGA Championship'!$H42)</f>
        <v/>
      </c>
    </row>
    <row r="638">
      <c r="A638">
        <f>IF('PGA Championship'!$G43="","","PGA Championship")</f>
        <v/>
      </c>
      <c r="B638">
        <f>IF('PGA Championship'!$G43="","","Major")</f>
        <v/>
      </c>
      <c r="C638" s="18">
        <f>IF('PGA Championship'!$G43="","",'PGA Championship'!$B$3)</f>
        <v/>
      </c>
      <c r="D638">
        <f>IF('PGA Championship'!$G43="","",'PGA Championship'!$D43&amp;"")</f>
        <v/>
      </c>
      <c r="F638">
        <f>IF('PGA Championship'!$G43="","",'PGA Championship'!$A43&amp;"")</f>
        <v/>
      </c>
      <c r="J638">
        <f>IF('PGA Championship'!$G43="","",'PGA Championship'!$E43)</f>
        <v/>
      </c>
      <c r="K638">
        <f>IF('PGA Championship'!$G43="","",'PGA Championship'!$J43)</f>
        <v/>
      </c>
      <c r="L638">
        <f>IF('PGA Championship'!$G43="","","")</f>
        <v/>
      </c>
      <c r="M638">
        <f>IF('PGA Championship'!$G43="","",'PGA Championship'!$F43)</f>
        <v/>
      </c>
      <c r="N638">
        <f>IF('PGA Championship'!$G43="","",'PGA Championship'!$G43)</f>
        <v/>
      </c>
      <c r="O638">
        <f>IF('PGA Championship'!$G43="","",'PGA Championship'!$G43)</f>
        <v/>
      </c>
      <c r="P638">
        <f>IF('PGA Championship'!$G43="","",'PGA Championship'!$H43)</f>
        <v/>
      </c>
    </row>
    <row r="639">
      <c r="A639">
        <f>IF('PGA Championship'!$G44="","","PGA Championship")</f>
        <v/>
      </c>
      <c r="B639">
        <f>IF('PGA Championship'!$G44="","","Major")</f>
        <v/>
      </c>
      <c r="C639" s="18">
        <f>IF('PGA Championship'!$G44="","",'PGA Championship'!$B$3)</f>
        <v/>
      </c>
      <c r="D639">
        <f>IF('PGA Championship'!$G44="","",'PGA Championship'!$D44&amp;"")</f>
        <v/>
      </c>
      <c r="F639">
        <f>IF('PGA Championship'!$G44="","",'PGA Championship'!$A44&amp;"")</f>
        <v/>
      </c>
      <c r="J639">
        <f>IF('PGA Championship'!$G44="","",'PGA Championship'!$E44)</f>
        <v/>
      </c>
      <c r="K639">
        <f>IF('PGA Championship'!$G44="","",'PGA Championship'!$J44)</f>
        <v/>
      </c>
      <c r="L639">
        <f>IF('PGA Championship'!$G44="","","")</f>
        <v/>
      </c>
      <c r="M639">
        <f>IF('PGA Championship'!$G44="","",'PGA Championship'!$F44)</f>
        <v/>
      </c>
      <c r="N639">
        <f>IF('PGA Championship'!$G44="","",'PGA Championship'!$G44)</f>
        <v/>
      </c>
      <c r="O639">
        <f>IF('PGA Championship'!$G44="","",'PGA Championship'!$G44)</f>
        <v/>
      </c>
      <c r="P639">
        <f>IF('PGA Championship'!$G44="","",'PGA Championship'!$H44)</f>
        <v/>
      </c>
    </row>
    <row r="640">
      <c r="A640">
        <f>IF('PGA Championship'!$G45="","","PGA Championship")</f>
        <v/>
      </c>
      <c r="B640">
        <f>IF('PGA Championship'!$G45="","","Major")</f>
        <v/>
      </c>
      <c r="C640" s="18">
        <f>IF('PGA Championship'!$G45="","",'PGA Championship'!$B$3)</f>
        <v/>
      </c>
      <c r="D640">
        <f>IF('PGA Championship'!$G45="","",'PGA Championship'!$D45&amp;"")</f>
        <v/>
      </c>
      <c r="F640">
        <f>IF('PGA Championship'!$G45="","",'PGA Championship'!$A45&amp;"")</f>
        <v/>
      </c>
      <c r="J640">
        <f>IF('PGA Championship'!$G45="","",'PGA Championship'!$E45)</f>
        <v/>
      </c>
      <c r="K640">
        <f>IF('PGA Championship'!$G45="","",'PGA Championship'!$J45)</f>
        <v/>
      </c>
      <c r="L640">
        <f>IF('PGA Championship'!$G45="","","")</f>
        <v/>
      </c>
      <c r="M640">
        <f>IF('PGA Championship'!$G45="","",'PGA Championship'!$F45)</f>
        <v/>
      </c>
      <c r="N640">
        <f>IF('PGA Championship'!$G45="","",'PGA Championship'!$G45)</f>
        <v/>
      </c>
      <c r="O640">
        <f>IF('PGA Championship'!$G45="","",'PGA Championship'!$G45)</f>
        <v/>
      </c>
      <c r="P640">
        <f>IF('PGA Championship'!$G45="","",'PGA Championship'!$H45)</f>
        <v/>
      </c>
    </row>
    <row r="641">
      <c r="A641">
        <f>IF('PGA Championship'!$G46="","","PGA Championship")</f>
        <v/>
      </c>
      <c r="B641">
        <f>IF('PGA Championship'!$G46="","","Major")</f>
        <v/>
      </c>
      <c r="C641" s="18">
        <f>IF('PGA Championship'!$G46="","",'PGA Championship'!$B$3)</f>
        <v/>
      </c>
      <c r="D641">
        <f>IF('PGA Championship'!$G46="","",'PGA Championship'!$D46&amp;"")</f>
        <v/>
      </c>
      <c r="F641">
        <f>IF('PGA Championship'!$G46="","",'PGA Championship'!$A46&amp;"")</f>
        <v/>
      </c>
      <c r="J641">
        <f>IF('PGA Championship'!$G46="","",'PGA Championship'!$E46)</f>
        <v/>
      </c>
      <c r="K641">
        <f>IF('PGA Championship'!$G46="","",'PGA Championship'!$J46)</f>
        <v/>
      </c>
      <c r="L641">
        <f>IF('PGA Championship'!$G46="","","")</f>
        <v/>
      </c>
      <c r="M641">
        <f>IF('PGA Championship'!$G46="","",'PGA Championship'!$F46)</f>
        <v/>
      </c>
      <c r="N641">
        <f>IF('PGA Championship'!$G46="","",'PGA Championship'!$G46)</f>
        <v/>
      </c>
      <c r="O641">
        <f>IF('PGA Championship'!$G46="","",'PGA Championship'!$G46)</f>
        <v/>
      </c>
      <c r="P641">
        <f>IF('PGA Championship'!$G46="","",'PGA Championship'!$H46)</f>
        <v/>
      </c>
    </row>
    <row r="642">
      <c r="A642">
        <f>IF('PGA Championship'!$G47="","","PGA Championship")</f>
        <v/>
      </c>
      <c r="B642">
        <f>IF('PGA Championship'!$G47="","","Major")</f>
        <v/>
      </c>
      <c r="C642" s="18">
        <f>IF('PGA Championship'!$G47="","",'PGA Championship'!$B$3)</f>
        <v/>
      </c>
      <c r="D642">
        <f>IF('PGA Championship'!$G47="","",'PGA Championship'!$D47&amp;"")</f>
        <v/>
      </c>
      <c r="F642">
        <f>IF('PGA Championship'!$G47="","",'PGA Championship'!$A47&amp;"")</f>
        <v/>
      </c>
      <c r="J642">
        <f>IF('PGA Championship'!$G47="","",'PGA Championship'!$E47)</f>
        <v/>
      </c>
      <c r="K642">
        <f>IF('PGA Championship'!$G47="","",'PGA Championship'!$J47)</f>
        <v/>
      </c>
      <c r="L642">
        <f>IF('PGA Championship'!$G47="","","")</f>
        <v/>
      </c>
      <c r="M642">
        <f>IF('PGA Championship'!$G47="","",'PGA Championship'!$F47)</f>
        <v/>
      </c>
      <c r="N642">
        <f>IF('PGA Championship'!$G47="","",'PGA Championship'!$G47)</f>
        <v/>
      </c>
      <c r="O642">
        <f>IF('PGA Championship'!$G47="","",'PGA Championship'!$G47)</f>
        <v/>
      </c>
      <c r="P642">
        <f>IF('PGA Championship'!$G47="","",'PGA Championship'!$H47)</f>
        <v/>
      </c>
    </row>
    <row r="643">
      <c r="A643">
        <f>IF('PGA Championship'!$G48="","","PGA Championship")</f>
        <v/>
      </c>
      <c r="B643">
        <f>IF('PGA Championship'!$G48="","","Major")</f>
        <v/>
      </c>
      <c r="C643" s="18">
        <f>IF('PGA Championship'!$G48="","",'PGA Championship'!$B$3)</f>
        <v/>
      </c>
      <c r="D643">
        <f>IF('PGA Championship'!$G48="","",'PGA Championship'!$D48&amp;"")</f>
        <v/>
      </c>
      <c r="F643">
        <f>IF('PGA Championship'!$G48="","",'PGA Championship'!$A48&amp;"")</f>
        <v/>
      </c>
      <c r="J643">
        <f>IF('PGA Championship'!$G48="","",'PGA Championship'!$E48)</f>
        <v/>
      </c>
      <c r="K643">
        <f>IF('PGA Championship'!$G48="","",'PGA Championship'!$J48)</f>
        <v/>
      </c>
      <c r="L643">
        <f>IF('PGA Championship'!$G48="","","")</f>
        <v/>
      </c>
      <c r="M643">
        <f>IF('PGA Championship'!$G48="","",'PGA Championship'!$F48)</f>
        <v/>
      </c>
      <c r="N643">
        <f>IF('PGA Championship'!$G48="","",'PGA Championship'!$G48)</f>
        <v/>
      </c>
      <c r="O643">
        <f>IF('PGA Championship'!$G48="","",'PGA Championship'!$G48)</f>
        <v/>
      </c>
      <c r="P643">
        <f>IF('PGA Championship'!$G48="","",'PGA Championship'!$H48)</f>
        <v/>
      </c>
    </row>
    <row r="644">
      <c r="A644">
        <f>IF('PGA Championship'!$G49="","","PGA Championship")</f>
        <v/>
      </c>
      <c r="B644">
        <f>IF('PGA Championship'!$G49="","","Major")</f>
        <v/>
      </c>
      <c r="C644" s="18">
        <f>IF('PGA Championship'!$G49="","",'PGA Championship'!$B$3)</f>
        <v/>
      </c>
      <c r="D644">
        <f>IF('PGA Championship'!$G49="","",'PGA Championship'!$D49&amp;"")</f>
        <v/>
      </c>
      <c r="F644">
        <f>IF('PGA Championship'!$G49="","",'PGA Championship'!$A49&amp;"")</f>
        <v/>
      </c>
      <c r="J644">
        <f>IF('PGA Championship'!$G49="","",'PGA Championship'!$E49)</f>
        <v/>
      </c>
      <c r="K644">
        <f>IF('PGA Championship'!$G49="","",'PGA Championship'!$J49)</f>
        <v/>
      </c>
      <c r="L644">
        <f>IF('PGA Championship'!$G49="","","")</f>
        <v/>
      </c>
      <c r="M644">
        <f>IF('PGA Championship'!$G49="","",'PGA Championship'!$F49)</f>
        <v/>
      </c>
      <c r="N644">
        <f>IF('PGA Championship'!$G49="","",'PGA Championship'!$G49)</f>
        <v/>
      </c>
      <c r="O644">
        <f>IF('PGA Championship'!$G49="","",'PGA Championship'!$G49)</f>
        <v/>
      </c>
      <c r="P644">
        <f>IF('PGA Championship'!$G49="","",'PGA Championship'!$H49)</f>
        <v/>
      </c>
    </row>
    <row r="645">
      <c r="A645">
        <f>IF('PGA Championship'!$G50="","","PGA Championship")</f>
        <v/>
      </c>
      <c r="B645">
        <f>IF('PGA Championship'!$G50="","","Major")</f>
        <v/>
      </c>
      <c r="C645" s="18">
        <f>IF('PGA Championship'!$G50="","",'PGA Championship'!$B$3)</f>
        <v/>
      </c>
      <c r="D645">
        <f>IF('PGA Championship'!$G50="","",'PGA Championship'!$D50&amp;"")</f>
        <v/>
      </c>
      <c r="F645">
        <f>IF('PGA Championship'!$G50="","",'PGA Championship'!$A50&amp;"")</f>
        <v/>
      </c>
      <c r="J645">
        <f>IF('PGA Championship'!$G50="","",'PGA Championship'!$E50)</f>
        <v/>
      </c>
      <c r="K645">
        <f>IF('PGA Championship'!$G50="","",'PGA Championship'!$J50)</f>
        <v/>
      </c>
      <c r="L645">
        <f>IF('PGA Championship'!$G50="","","")</f>
        <v/>
      </c>
      <c r="M645">
        <f>IF('PGA Championship'!$G50="","",'PGA Championship'!$F50)</f>
        <v/>
      </c>
      <c r="N645">
        <f>IF('PGA Championship'!$G50="","",'PGA Championship'!$G50)</f>
        <v/>
      </c>
      <c r="O645">
        <f>IF('PGA Championship'!$G50="","",'PGA Championship'!$G50)</f>
        <v/>
      </c>
      <c r="P645">
        <f>IF('PGA Championship'!$G50="","",'PGA Championship'!$H50)</f>
        <v/>
      </c>
    </row>
    <row r="646">
      <c r="A646">
        <f>IF('PGA Championship'!$G51="","","PGA Championship")</f>
        <v/>
      </c>
      <c r="B646">
        <f>IF('PGA Championship'!$G51="","","Major")</f>
        <v/>
      </c>
      <c r="C646" s="18">
        <f>IF('PGA Championship'!$G51="","",'PGA Championship'!$B$3)</f>
        <v/>
      </c>
      <c r="D646">
        <f>IF('PGA Championship'!$G51="","",'PGA Championship'!$D51&amp;"")</f>
        <v/>
      </c>
      <c r="F646">
        <f>IF('PGA Championship'!$G51="","",'PGA Championship'!$A51&amp;"")</f>
        <v/>
      </c>
      <c r="J646">
        <f>IF('PGA Championship'!$G51="","",'PGA Championship'!$E51)</f>
        <v/>
      </c>
      <c r="K646">
        <f>IF('PGA Championship'!$G51="","",'PGA Championship'!$J51)</f>
        <v/>
      </c>
      <c r="L646">
        <f>IF('PGA Championship'!$G51="","","")</f>
        <v/>
      </c>
      <c r="M646">
        <f>IF('PGA Championship'!$G51="","",'PGA Championship'!$F51)</f>
        <v/>
      </c>
      <c r="N646">
        <f>IF('PGA Championship'!$G51="","",'PGA Championship'!$G51)</f>
        <v/>
      </c>
      <c r="O646">
        <f>IF('PGA Championship'!$G51="","",'PGA Championship'!$G51)</f>
        <v/>
      </c>
      <c r="P646">
        <f>IF('PGA Championship'!$G51="","",'PGA Championship'!$H51)</f>
        <v/>
      </c>
    </row>
    <row r="647">
      <c r="A647">
        <f>IF('PGA Championship'!$G52="","","PGA Championship")</f>
        <v/>
      </c>
      <c r="B647">
        <f>IF('PGA Championship'!$G52="","","Major")</f>
        <v/>
      </c>
      <c r="C647" s="18">
        <f>IF('PGA Championship'!$G52="","",'PGA Championship'!$B$3)</f>
        <v/>
      </c>
      <c r="D647">
        <f>IF('PGA Championship'!$G52="","",'PGA Championship'!$D52&amp;"")</f>
        <v/>
      </c>
      <c r="F647">
        <f>IF('PGA Championship'!$G52="","",'PGA Championship'!$A52&amp;"")</f>
        <v/>
      </c>
      <c r="J647">
        <f>IF('PGA Championship'!$G52="","",'PGA Championship'!$E52)</f>
        <v/>
      </c>
      <c r="K647">
        <f>IF('PGA Championship'!$G52="","",'PGA Championship'!$J52)</f>
        <v/>
      </c>
      <c r="L647">
        <f>IF('PGA Championship'!$G52="","","")</f>
        <v/>
      </c>
      <c r="M647">
        <f>IF('PGA Championship'!$G52="","",'PGA Championship'!$F52)</f>
        <v/>
      </c>
      <c r="N647">
        <f>IF('PGA Championship'!$G52="","",'PGA Championship'!$G52)</f>
        <v/>
      </c>
      <c r="O647">
        <f>IF('PGA Championship'!$G52="","",'PGA Championship'!$G52)</f>
        <v/>
      </c>
      <c r="P647">
        <f>IF('PGA Championship'!$G52="","",'PGA Championship'!$H52)</f>
        <v/>
      </c>
    </row>
    <row r="648">
      <c r="A648">
        <f>IF('PGA Championship'!$G53="","","PGA Championship")</f>
        <v/>
      </c>
      <c r="B648">
        <f>IF('PGA Championship'!$G53="","","Major")</f>
        <v/>
      </c>
      <c r="C648" s="18">
        <f>IF('PGA Championship'!$G53="","",'PGA Championship'!$B$3)</f>
        <v/>
      </c>
      <c r="D648">
        <f>IF('PGA Championship'!$G53="","",'PGA Championship'!$D53&amp;"")</f>
        <v/>
      </c>
      <c r="F648">
        <f>IF('PGA Championship'!$G53="","",'PGA Championship'!$A53&amp;"")</f>
        <v/>
      </c>
      <c r="J648">
        <f>IF('PGA Championship'!$G53="","",'PGA Championship'!$E53)</f>
        <v/>
      </c>
      <c r="K648">
        <f>IF('PGA Championship'!$G53="","",'PGA Championship'!$J53)</f>
        <v/>
      </c>
      <c r="L648">
        <f>IF('PGA Championship'!$G53="","","")</f>
        <v/>
      </c>
      <c r="M648">
        <f>IF('PGA Championship'!$G53="","",'PGA Championship'!$F53)</f>
        <v/>
      </c>
      <c r="N648">
        <f>IF('PGA Championship'!$G53="","",'PGA Championship'!$G53)</f>
        <v/>
      </c>
      <c r="O648">
        <f>IF('PGA Championship'!$G53="","",'PGA Championship'!$G53)</f>
        <v/>
      </c>
      <c r="P648">
        <f>IF('PGA Championship'!$G53="","",'PGA Championship'!$H53)</f>
        <v/>
      </c>
    </row>
    <row r="649">
      <c r="A649">
        <f>IF('PGA Championship'!$G54="","","PGA Championship")</f>
        <v/>
      </c>
      <c r="B649">
        <f>IF('PGA Championship'!$G54="","","Major")</f>
        <v/>
      </c>
      <c r="C649" s="18">
        <f>IF('PGA Championship'!$G54="","",'PGA Championship'!$B$3)</f>
        <v/>
      </c>
      <c r="D649">
        <f>IF('PGA Championship'!$G54="","",'PGA Championship'!$D54&amp;"")</f>
        <v/>
      </c>
      <c r="F649">
        <f>IF('PGA Championship'!$G54="","",'PGA Championship'!$A54&amp;"")</f>
        <v/>
      </c>
      <c r="J649">
        <f>IF('PGA Championship'!$G54="","",'PGA Championship'!$E54)</f>
        <v/>
      </c>
      <c r="K649">
        <f>IF('PGA Championship'!$G54="","",'PGA Championship'!$J54)</f>
        <v/>
      </c>
      <c r="L649">
        <f>IF('PGA Championship'!$G54="","","")</f>
        <v/>
      </c>
      <c r="M649">
        <f>IF('PGA Championship'!$G54="","",'PGA Championship'!$F54)</f>
        <v/>
      </c>
      <c r="N649">
        <f>IF('PGA Championship'!$G54="","",'PGA Championship'!$G54)</f>
        <v/>
      </c>
      <c r="O649">
        <f>IF('PGA Championship'!$G54="","",'PGA Championship'!$G54)</f>
        <v/>
      </c>
      <c r="P649">
        <f>IF('PGA Championship'!$G54="","",'PGA Championship'!$H54)</f>
        <v/>
      </c>
    </row>
    <row r="650">
      <c r="A650">
        <f>IF('PGA Championship'!$G55="","","PGA Championship")</f>
        <v/>
      </c>
      <c r="B650">
        <f>IF('PGA Championship'!$G55="","","Major")</f>
        <v/>
      </c>
      <c r="C650" s="18">
        <f>IF('PGA Championship'!$G55="","",'PGA Championship'!$B$3)</f>
        <v/>
      </c>
      <c r="D650">
        <f>IF('PGA Championship'!$G55="","",'PGA Championship'!$D55&amp;"")</f>
        <v/>
      </c>
      <c r="F650">
        <f>IF('PGA Championship'!$G55="","",'PGA Championship'!$A55&amp;"")</f>
        <v/>
      </c>
      <c r="J650">
        <f>IF('PGA Championship'!$G55="","",'PGA Championship'!$E55)</f>
        <v/>
      </c>
      <c r="K650">
        <f>IF('PGA Championship'!$G55="","",'PGA Championship'!$J55)</f>
        <v/>
      </c>
      <c r="L650">
        <f>IF('PGA Championship'!$G55="","","")</f>
        <v/>
      </c>
      <c r="M650">
        <f>IF('PGA Championship'!$G55="","",'PGA Championship'!$F55)</f>
        <v/>
      </c>
      <c r="N650">
        <f>IF('PGA Championship'!$G55="","",'PGA Championship'!$G55)</f>
        <v/>
      </c>
      <c r="O650">
        <f>IF('PGA Championship'!$G55="","",'PGA Championship'!$G55)</f>
        <v/>
      </c>
      <c r="P650">
        <f>IF('PGA Championship'!$G55="","",'PGA Championship'!$H55)</f>
        <v/>
      </c>
    </row>
    <row r="651">
      <c r="A651">
        <f>IF('PGA Championship'!$G56="","","PGA Championship")</f>
        <v/>
      </c>
      <c r="B651">
        <f>IF('PGA Championship'!$G56="","","Major")</f>
        <v/>
      </c>
      <c r="C651" s="18">
        <f>IF('PGA Championship'!$G56="","",'PGA Championship'!$B$3)</f>
        <v/>
      </c>
      <c r="D651">
        <f>IF('PGA Championship'!$G56="","",'PGA Championship'!$D56&amp;"")</f>
        <v/>
      </c>
      <c r="F651">
        <f>IF('PGA Championship'!$G56="","",'PGA Championship'!$A56&amp;"")</f>
        <v/>
      </c>
      <c r="J651">
        <f>IF('PGA Championship'!$G56="","",'PGA Championship'!$E56)</f>
        <v/>
      </c>
      <c r="K651">
        <f>IF('PGA Championship'!$G56="","",'PGA Championship'!$J56)</f>
        <v/>
      </c>
      <c r="L651">
        <f>IF('PGA Championship'!$G56="","","")</f>
        <v/>
      </c>
      <c r="M651">
        <f>IF('PGA Championship'!$G56="","",'PGA Championship'!$F56)</f>
        <v/>
      </c>
      <c r="N651">
        <f>IF('PGA Championship'!$G56="","",'PGA Championship'!$G56)</f>
        <v/>
      </c>
      <c r="O651">
        <f>IF('PGA Championship'!$G56="","",'PGA Championship'!$G56)</f>
        <v/>
      </c>
      <c r="P651">
        <f>IF('PGA Championship'!$G56="","",'PGA Championship'!$H56)</f>
        <v/>
      </c>
    </row>
    <row r="652">
      <c r="A652">
        <f>IF('PGA Championship'!$G57="","","PGA Championship")</f>
        <v/>
      </c>
      <c r="B652">
        <f>IF('PGA Championship'!$G57="","","Major")</f>
        <v/>
      </c>
      <c r="C652" s="18">
        <f>IF('PGA Championship'!$G57="","",'PGA Championship'!$B$3)</f>
        <v/>
      </c>
      <c r="D652">
        <f>IF('PGA Championship'!$G57="","",'PGA Championship'!$D57&amp;"")</f>
        <v/>
      </c>
      <c r="F652">
        <f>IF('PGA Championship'!$G57="","",'PGA Championship'!$A57&amp;"")</f>
        <v/>
      </c>
      <c r="J652">
        <f>IF('PGA Championship'!$G57="","",'PGA Championship'!$E57)</f>
        <v/>
      </c>
      <c r="K652">
        <f>IF('PGA Championship'!$G57="","",'PGA Championship'!$J57)</f>
        <v/>
      </c>
      <c r="L652">
        <f>IF('PGA Championship'!$G57="","","")</f>
        <v/>
      </c>
      <c r="M652">
        <f>IF('PGA Championship'!$G57="","",'PGA Championship'!$F57)</f>
        <v/>
      </c>
      <c r="N652">
        <f>IF('PGA Championship'!$G57="","",'PGA Championship'!$G57)</f>
        <v/>
      </c>
      <c r="O652">
        <f>IF('PGA Championship'!$G57="","",'PGA Championship'!$G57)</f>
        <v/>
      </c>
      <c r="P652">
        <f>IF('PGA Championship'!$G57="","",'PGA Championship'!$H57)</f>
        <v/>
      </c>
    </row>
    <row r="653">
      <c r="A653">
        <f>IF('PGA Championship'!$G58="","","PGA Championship")</f>
        <v/>
      </c>
      <c r="B653">
        <f>IF('PGA Championship'!$G58="","","Major")</f>
        <v/>
      </c>
      <c r="C653" s="18">
        <f>IF('PGA Championship'!$G58="","",'PGA Championship'!$B$3)</f>
        <v/>
      </c>
      <c r="D653">
        <f>IF('PGA Championship'!$G58="","",'PGA Championship'!$D58&amp;"")</f>
        <v/>
      </c>
      <c r="F653">
        <f>IF('PGA Championship'!$G58="","",'PGA Championship'!$A58&amp;"")</f>
        <v/>
      </c>
      <c r="J653">
        <f>IF('PGA Championship'!$G58="","",'PGA Championship'!$E58)</f>
        <v/>
      </c>
      <c r="K653">
        <f>IF('PGA Championship'!$G58="","",'PGA Championship'!$J58)</f>
        <v/>
      </c>
      <c r="L653">
        <f>IF('PGA Championship'!$G58="","","")</f>
        <v/>
      </c>
      <c r="M653">
        <f>IF('PGA Championship'!$G58="","",'PGA Championship'!$F58)</f>
        <v/>
      </c>
      <c r="N653">
        <f>IF('PGA Championship'!$G58="","",'PGA Championship'!$G58)</f>
        <v/>
      </c>
      <c r="O653">
        <f>IF('PGA Championship'!$G58="","",'PGA Championship'!$G58)</f>
        <v/>
      </c>
      <c r="P653">
        <f>IF('PGA Championship'!$G58="","",'PGA Championship'!$H58)</f>
        <v/>
      </c>
    </row>
    <row r="654">
      <c r="A654">
        <f>IF('PGA Championship'!$G59="","","PGA Championship")</f>
        <v/>
      </c>
      <c r="B654">
        <f>IF('PGA Championship'!$G59="","","Major")</f>
        <v/>
      </c>
      <c r="C654" s="18">
        <f>IF('PGA Championship'!$G59="","",'PGA Championship'!$B$3)</f>
        <v/>
      </c>
      <c r="D654">
        <f>IF('PGA Championship'!$G59="","",'PGA Championship'!$D59&amp;"")</f>
        <v/>
      </c>
      <c r="F654">
        <f>IF('PGA Championship'!$G59="","",'PGA Championship'!$A59&amp;"")</f>
        <v/>
      </c>
      <c r="J654">
        <f>IF('PGA Championship'!$G59="","",'PGA Championship'!$E59)</f>
        <v/>
      </c>
      <c r="K654">
        <f>IF('PGA Championship'!$G59="","",'PGA Championship'!$J59)</f>
        <v/>
      </c>
      <c r="L654">
        <f>IF('PGA Championship'!$G59="","","")</f>
        <v/>
      </c>
      <c r="M654">
        <f>IF('PGA Championship'!$G59="","",'PGA Championship'!$F59)</f>
        <v/>
      </c>
      <c r="N654">
        <f>IF('PGA Championship'!$G59="","",'PGA Championship'!$G59)</f>
        <v/>
      </c>
      <c r="O654">
        <f>IF('PGA Championship'!$G59="","",'PGA Championship'!$G59)</f>
        <v/>
      </c>
      <c r="P654">
        <f>IF('PGA Championship'!$G59="","",'PGA Championship'!$H59)</f>
        <v/>
      </c>
    </row>
    <row r="655">
      <c r="A655">
        <f>IF('PGA Championship'!$G60="","","PGA Championship")</f>
        <v/>
      </c>
      <c r="B655">
        <f>IF('PGA Championship'!$G60="","","Major")</f>
        <v/>
      </c>
      <c r="C655" s="18">
        <f>IF('PGA Championship'!$G60="","",'PGA Championship'!$B$3)</f>
        <v/>
      </c>
      <c r="D655">
        <f>IF('PGA Championship'!$G60="","",'PGA Championship'!$D60&amp;"")</f>
        <v/>
      </c>
      <c r="F655">
        <f>IF('PGA Championship'!$G60="","",'PGA Championship'!$A60&amp;"")</f>
        <v/>
      </c>
      <c r="J655">
        <f>IF('PGA Championship'!$G60="","",'PGA Championship'!$E60)</f>
        <v/>
      </c>
      <c r="K655">
        <f>IF('PGA Championship'!$G60="","",'PGA Championship'!$J60)</f>
        <v/>
      </c>
      <c r="L655">
        <f>IF('PGA Championship'!$G60="","","")</f>
        <v/>
      </c>
      <c r="M655">
        <f>IF('PGA Championship'!$G60="","",'PGA Championship'!$F60)</f>
        <v/>
      </c>
      <c r="N655">
        <f>IF('PGA Championship'!$G60="","",'PGA Championship'!$G60)</f>
        <v/>
      </c>
      <c r="O655">
        <f>IF('PGA Championship'!$G60="","",'PGA Championship'!$G60)</f>
        <v/>
      </c>
      <c r="P655">
        <f>IF('PGA Championship'!$G60="","",'PGA Championship'!$H60)</f>
        <v/>
      </c>
    </row>
    <row r="656">
      <c r="A656">
        <f>IF('PGA Championship'!$G61="","","PGA Championship")</f>
        <v/>
      </c>
      <c r="B656">
        <f>IF('PGA Championship'!$G61="","","Major")</f>
        <v/>
      </c>
      <c r="C656" s="18">
        <f>IF('PGA Championship'!$G61="","",'PGA Championship'!$B$3)</f>
        <v/>
      </c>
      <c r="D656">
        <f>IF('PGA Championship'!$G61="","",'PGA Championship'!$D61&amp;"")</f>
        <v/>
      </c>
      <c r="F656">
        <f>IF('PGA Championship'!$G61="","",'PGA Championship'!$A61&amp;"")</f>
        <v/>
      </c>
      <c r="J656">
        <f>IF('PGA Championship'!$G61="","",'PGA Championship'!$E61)</f>
        <v/>
      </c>
      <c r="K656">
        <f>IF('PGA Championship'!$G61="","",'PGA Championship'!$J61)</f>
        <v/>
      </c>
      <c r="L656">
        <f>IF('PGA Championship'!$G61="","","")</f>
        <v/>
      </c>
      <c r="M656">
        <f>IF('PGA Championship'!$G61="","",'PGA Championship'!$F61)</f>
        <v/>
      </c>
      <c r="N656">
        <f>IF('PGA Championship'!$G61="","",'PGA Championship'!$G61)</f>
        <v/>
      </c>
      <c r="O656">
        <f>IF('PGA Championship'!$G61="","",'PGA Championship'!$G61)</f>
        <v/>
      </c>
      <c r="P656">
        <f>IF('PGA Championship'!$G61="","",'PGA Championship'!$H61)</f>
        <v/>
      </c>
    </row>
    <row r="657">
      <c r="A657">
        <f>IF('PGA Championship'!$G62="","","PGA Championship")</f>
        <v/>
      </c>
      <c r="B657">
        <f>IF('PGA Championship'!$G62="","","Major")</f>
        <v/>
      </c>
      <c r="C657" s="18">
        <f>IF('PGA Championship'!$G62="","",'PGA Championship'!$B$3)</f>
        <v/>
      </c>
      <c r="D657">
        <f>IF('PGA Championship'!$G62="","",'PGA Championship'!$D62&amp;"")</f>
        <v/>
      </c>
      <c r="F657">
        <f>IF('PGA Championship'!$G62="","",'PGA Championship'!$A62&amp;"")</f>
        <v/>
      </c>
      <c r="J657">
        <f>IF('PGA Championship'!$G62="","",'PGA Championship'!$E62)</f>
        <v/>
      </c>
      <c r="K657">
        <f>IF('PGA Championship'!$G62="","",'PGA Championship'!$J62)</f>
        <v/>
      </c>
      <c r="L657">
        <f>IF('PGA Championship'!$G62="","","")</f>
        <v/>
      </c>
      <c r="M657">
        <f>IF('PGA Championship'!$G62="","",'PGA Championship'!$F62)</f>
        <v/>
      </c>
      <c r="N657">
        <f>IF('PGA Championship'!$G62="","",'PGA Championship'!$G62)</f>
        <v/>
      </c>
      <c r="O657">
        <f>IF('PGA Championship'!$G62="","",'PGA Championship'!$G62)</f>
        <v/>
      </c>
      <c r="P657">
        <f>IF('PGA Championship'!$G62="","",'PGA Championship'!$H62)</f>
        <v/>
      </c>
    </row>
    <row r="658">
      <c r="A658">
        <f>IF('PGA Championship'!$G63="","","PGA Championship")</f>
        <v/>
      </c>
      <c r="B658">
        <f>IF('PGA Championship'!$G63="","","Major")</f>
        <v/>
      </c>
      <c r="C658" s="18">
        <f>IF('PGA Championship'!$G63="","",'PGA Championship'!$B$3)</f>
        <v/>
      </c>
      <c r="D658">
        <f>IF('PGA Championship'!$G63="","",'PGA Championship'!$D63&amp;"")</f>
        <v/>
      </c>
      <c r="F658">
        <f>IF('PGA Championship'!$G63="","",'PGA Championship'!$A63&amp;"")</f>
        <v/>
      </c>
      <c r="J658">
        <f>IF('PGA Championship'!$G63="","",'PGA Championship'!$E63)</f>
        <v/>
      </c>
      <c r="K658">
        <f>IF('PGA Championship'!$G63="","",'PGA Championship'!$J63)</f>
        <v/>
      </c>
      <c r="L658">
        <f>IF('PGA Championship'!$G63="","","")</f>
        <v/>
      </c>
      <c r="M658">
        <f>IF('PGA Championship'!$G63="","",'PGA Championship'!$F63)</f>
        <v/>
      </c>
      <c r="N658">
        <f>IF('PGA Championship'!$G63="","",'PGA Championship'!$G63)</f>
        <v/>
      </c>
      <c r="O658">
        <f>IF('PGA Championship'!$G63="","",'PGA Championship'!$G63)</f>
        <v/>
      </c>
      <c r="P658">
        <f>IF('PGA Championship'!$G63="","",'PGA Championship'!$H63)</f>
        <v/>
      </c>
    </row>
    <row r="659">
      <c r="A659">
        <f>IF('PGA Championship'!$G64="","","PGA Championship")</f>
        <v/>
      </c>
      <c r="B659">
        <f>IF('PGA Championship'!$G64="","","Major")</f>
        <v/>
      </c>
      <c r="C659" s="18">
        <f>IF('PGA Championship'!$G64="","",'PGA Championship'!$B$3)</f>
        <v/>
      </c>
      <c r="D659">
        <f>IF('PGA Championship'!$G64="","",'PGA Championship'!$D64&amp;"")</f>
        <v/>
      </c>
      <c r="F659">
        <f>IF('PGA Championship'!$G64="","",'PGA Championship'!$A64&amp;"")</f>
        <v/>
      </c>
      <c r="J659">
        <f>IF('PGA Championship'!$G64="","",'PGA Championship'!$E64)</f>
        <v/>
      </c>
      <c r="K659">
        <f>IF('PGA Championship'!$G64="","",'PGA Championship'!$J64)</f>
        <v/>
      </c>
      <c r="L659">
        <f>IF('PGA Championship'!$G64="","","")</f>
        <v/>
      </c>
      <c r="M659">
        <f>IF('PGA Championship'!$G64="","",'PGA Championship'!$F64)</f>
        <v/>
      </c>
      <c r="N659">
        <f>IF('PGA Championship'!$G64="","",'PGA Championship'!$G64)</f>
        <v/>
      </c>
      <c r="O659">
        <f>IF('PGA Championship'!$G64="","",'PGA Championship'!$G64)</f>
        <v/>
      </c>
      <c r="P659">
        <f>IF('PGA Championship'!$G64="","",'PGA Championship'!$H64)</f>
        <v/>
      </c>
    </row>
    <row r="660">
      <c r="A660">
        <f>IF('PGA Championship'!$G65="","","PGA Championship")</f>
        <v/>
      </c>
      <c r="B660">
        <f>IF('PGA Championship'!$G65="","","Major")</f>
        <v/>
      </c>
      <c r="C660" s="18">
        <f>IF('PGA Championship'!$G65="","",'PGA Championship'!$B$3)</f>
        <v/>
      </c>
      <c r="D660">
        <f>IF('PGA Championship'!$G65="","",'PGA Championship'!$D65&amp;"")</f>
        <v/>
      </c>
      <c r="F660">
        <f>IF('PGA Championship'!$G65="","",'PGA Championship'!$A65&amp;"")</f>
        <v/>
      </c>
      <c r="J660">
        <f>IF('PGA Championship'!$G65="","",'PGA Championship'!$E65)</f>
        <v/>
      </c>
      <c r="K660">
        <f>IF('PGA Championship'!$G65="","",'PGA Championship'!$J65)</f>
        <v/>
      </c>
      <c r="L660">
        <f>IF('PGA Championship'!$G65="","","")</f>
        <v/>
      </c>
      <c r="M660">
        <f>IF('PGA Championship'!$G65="","",'PGA Championship'!$F65)</f>
        <v/>
      </c>
      <c r="N660">
        <f>IF('PGA Championship'!$G65="","",'PGA Championship'!$G65)</f>
        <v/>
      </c>
      <c r="O660">
        <f>IF('PGA Championship'!$G65="","",'PGA Championship'!$G65)</f>
        <v/>
      </c>
      <c r="P660">
        <f>IF('PGA Championship'!$G65="","",'PGA Championship'!$H65)</f>
        <v/>
      </c>
    </row>
    <row r="661">
      <c r="A661">
        <f>IF('PGA Championship'!$G66="","","PGA Championship")</f>
        <v/>
      </c>
      <c r="B661">
        <f>IF('PGA Championship'!$G66="","","Major")</f>
        <v/>
      </c>
      <c r="C661" s="18">
        <f>IF('PGA Championship'!$G66="","",'PGA Championship'!$B$3)</f>
        <v/>
      </c>
      <c r="D661">
        <f>IF('PGA Championship'!$G66="","",'PGA Championship'!$D66&amp;"")</f>
        <v/>
      </c>
      <c r="F661">
        <f>IF('PGA Championship'!$G66="","",'PGA Championship'!$A66&amp;"")</f>
        <v/>
      </c>
      <c r="J661">
        <f>IF('PGA Championship'!$G66="","",'PGA Championship'!$E66)</f>
        <v/>
      </c>
      <c r="K661">
        <f>IF('PGA Championship'!$G66="","",'PGA Championship'!$J66)</f>
        <v/>
      </c>
      <c r="L661">
        <f>IF('PGA Championship'!$G66="","","")</f>
        <v/>
      </c>
      <c r="M661">
        <f>IF('PGA Championship'!$G66="","",'PGA Championship'!$F66)</f>
        <v/>
      </c>
      <c r="N661">
        <f>IF('PGA Championship'!$G66="","",'PGA Championship'!$G66)</f>
        <v/>
      </c>
      <c r="O661">
        <f>IF('PGA Championship'!$G66="","",'PGA Championship'!$G66)</f>
        <v/>
      </c>
      <c r="P661">
        <f>IF('PGA Championship'!$G66="","",'PGA Championship'!$H66)</f>
        <v/>
      </c>
    </row>
    <row r="662">
      <c r="A662">
        <f>IF('PGA Championship'!$G67="","","PGA Championship")</f>
        <v/>
      </c>
      <c r="B662">
        <f>IF('PGA Championship'!$G67="","","Major")</f>
        <v/>
      </c>
      <c r="C662" s="18">
        <f>IF('PGA Championship'!$G67="","",'PGA Championship'!$B$3)</f>
        <v/>
      </c>
      <c r="D662">
        <f>IF('PGA Championship'!$G67="","",'PGA Championship'!$D67&amp;"")</f>
        <v/>
      </c>
      <c r="F662">
        <f>IF('PGA Championship'!$G67="","",'PGA Championship'!$A67&amp;"")</f>
        <v/>
      </c>
      <c r="J662">
        <f>IF('PGA Championship'!$G67="","",'PGA Championship'!$E67)</f>
        <v/>
      </c>
      <c r="K662">
        <f>IF('PGA Championship'!$G67="","",'PGA Championship'!$J67)</f>
        <v/>
      </c>
      <c r="L662">
        <f>IF('PGA Championship'!$G67="","","")</f>
        <v/>
      </c>
      <c r="M662">
        <f>IF('PGA Championship'!$G67="","",'PGA Championship'!$F67)</f>
        <v/>
      </c>
      <c r="N662">
        <f>IF('PGA Championship'!$G67="","",'PGA Championship'!$G67)</f>
        <v/>
      </c>
      <c r="O662">
        <f>IF('PGA Championship'!$G67="","",'PGA Championship'!$G67)</f>
        <v/>
      </c>
      <c r="P662">
        <f>IF('PGA Championship'!$G67="","",'PGA Championship'!$H67)</f>
        <v/>
      </c>
    </row>
    <row r="663">
      <c r="A663">
        <f>IF('PGA Championship'!$G68="","","PGA Championship")</f>
        <v/>
      </c>
      <c r="B663">
        <f>IF('PGA Championship'!$G68="","","Major")</f>
        <v/>
      </c>
      <c r="C663" s="18">
        <f>IF('PGA Championship'!$G68="","",'PGA Championship'!$B$3)</f>
        <v/>
      </c>
      <c r="D663">
        <f>IF('PGA Championship'!$G68="","",'PGA Championship'!$D68&amp;"")</f>
        <v/>
      </c>
      <c r="F663">
        <f>IF('PGA Championship'!$G68="","",'PGA Championship'!$A68&amp;"")</f>
        <v/>
      </c>
      <c r="J663">
        <f>IF('PGA Championship'!$G68="","",'PGA Championship'!$E68)</f>
        <v/>
      </c>
      <c r="K663">
        <f>IF('PGA Championship'!$G68="","",'PGA Championship'!$J68)</f>
        <v/>
      </c>
      <c r="L663">
        <f>IF('PGA Championship'!$G68="","","")</f>
        <v/>
      </c>
      <c r="M663">
        <f>IF('PGA Championship'!$G68="","",'PGA Championship'!$F68)</f>
        <v/>
      </c>
      <c r="N663">
        <f>IF('PGA Championship'!$G68="","",'PGA Championship'!$G68)</f>
        <v/>
      </c>
      <c r="O663">
        <f>IF('PGA Championship'!$G68="","",'PGA Championship'!$G68)</f>
        <v/>
      </c>
      <c r="P663">
        <f>IF('PGA Championship'!$G68="","",'PGA Championship'!$H68)</f>
        <v/>
      </c>
    </row>
    <row r="664">
      <c r="A664">
        <f>IF('PGA Championship'!$G69="","","PGA Championship")</f>
        <v/>
      </c>
      <c r="B664">
        <f>IF('PGA Championship'!$G69="","","Major")</f>
        <v/>
      </c>
      <c r="C664" s="18">
        <f>IF('PGA Championship'!$G69="","",'PGA Championship'!$B$3)</f>
        <v/>
      </c>
      <c r="D664">
        <f>IF('PGA Championship'!$G69="","",'PGA Championship'!$D69&amp;"")</f>
        <v/>
      </c>
      <c r="F664">
        <f>IF('PGA Championship'!$G69="","",'PGA Championship'!$A69&amp;"")</f>
        <v/>
      </c>
      <c r="J664">
        <f>IF('PGA Championship'!$G69="","",'PGA Championship'!$E69)</f>
        <v/>
      </c>
      <c r="K664">
        <f>IF('PGA Championship'!$G69="","",'PGA Championship'!$J69)</f>
        <v/>
      </c>
      <c r="L664">
        <f>IF('PGA Championship'!$G69="","","")</f>
        <v/>
      </c>
      <c r="M664">
        <f>IF('PGA Championship'!$G69="","",'PGA Championship'!$F69)</f>
        <v/>
      </c>
      <c r="N664">
        <f>IF('PGA Championship'!$G69="","",'PGA Championship'!$G69)</f>
        <v/>
      </c>
      <c r="O664">
        <f>IF('PGA Championship'!$G69="","",'PGA Championship'!$G69)</f>
        <v/>
      </c>
      <c r="P664">
        <f>IF('PGA Championship'!$G69="","",'PGA Championship'!$H69)</f>
        <v/>
      </c>
    </row>
    <row r="665">
      <c r="A665">
        <f>IF('PGA Championship'!$G70="","","PGA Championship")</f>
        <v/>
      </c>
      <c r="B665">
        <f>IF('PGA Championship'!$G70="","","Major")</f>
        <v/>
      </c>
      <c r="C665" s="18">
        <f>IF('PGA Championship'!$G70="","",'PGA Championship'!$B$3)</f>
        <v/>
      </c>
      <c r="D665">
        <f>IF('PGA Championship'!$G70="","",'PGA Championship'!$D70&amp;"")</f>
        <v/>
      </c>
      <c r="F665">
        <f>IF('PGA Championship'!$G70="","",'PGA Championship'!$A70&amp;"")</f>
        <v/>
      </c>
      <c r="J665">
        <f>IF('PGA Championship'!$G70="","",'PGA Championship'!$E70)</f>
        <v/>
      </c>
      <c r="K665">
        <f>IF('PGA Championship'!$G70="","",'PGA Championship'!$J70)</f>
        <v/>
      </c>
      <c r="L665">
        <f>IF('PGA Championship'!$G70="","","")</f>
        <v/>
      </c>
      <c r="M665">
        <f>IF('PGA Championship'!$G70="","",'PGA Championship'!$F70)</f>
        <v/>
      </c>
      <c r="N665">
        <f>IF('PGA Championship'!$G70="","",'PGA Championship'!$G70)</f>
        <v/>
      </c>
      <c r="O665">
        <f>IF('PGA Championship'!$G70="","",'PGA Championship'!$G70)</f>
        <v/>
      </c>
      <c r="P665">
        <f>IF('PGA Championship'!$G70="","",'PGA Championship'!$H70)</f>
        <v/>
      </c>
    </row>
    <row r="666">
      <c r="A666">
        <f>IF('PGA Championship'!$G71="","","PGA Championship")</f>
        <v/>
      </c>
      <c r="B666">
        <f>IF('PGA Championship'!$G71="","","Major")</f>
        <v/>
      </c>
      <c r="C666" s="18">
        <f>IF('PGA Championship'!$G71="","",'PGA Championship'!$B$3)</f>
        <v/>
      </c>
      <c r="D666">
        <f>IF('PGA Championship'!$G71="","",'PGA Championship'!$D71&amp;"")</f>
        <v/>
      </c>
      <c r="F666">
        <f>IF('PGA Championship'!$G71="","",'PGA Championship'!$A71&amp;"")</f>
        <v/>
      </c>
      <c r="J666">
        <f>IF('PGA Championship'!$G71="","",'PGA Championship'!$E71)</f>
        <v/>
      </c>
      <c r="K666">
        <f>IF('PGA Championship'!$G71="","",'PGA Championship'!$J71)</f>
        <v/>
      </c>
      <c r="L666">
        <f>IF('PGA Championship'!$G71="","","")</f>
        <v/>
      </c>
      <c r="M666">
        <f>IF('PGA Championship'!$G71="","",'PGA Championship'!$F71)</f>
        <v/>
      </c>
      <c r="N666">
        <f>IF('PGA Championship'!$G71="","",'PGA Championship'!$G71)</f>
        <v/>
      </c>
      <c r="O666">
        <f>IF('PGA Championship'!$G71="","",'PGA Championship'!$G71)</f>
        <v/>
      </c>
      <c r="P666">
        <f>IF('PGA Championship'!$G71="","",'PGA Championship'!$H71)</f>
        <v/>
      </c>
    </row>
    <row r="667">
      <c r="A667">
        <f>IF('PGA Championship'!$G72="","","PGA Championship")</f>
        <v/>
      </c>
      <c r="B667">
        <f>IF('PGA Championship'!$G72="","","Major")</f>
        <v/>
      </c>
      <c r="C667" s="18">
        <f>IF('PGA Championship'!$G72="","",'PGA Championship'!$B$3)</f>
        <v/>
      </c>
      <c r="D667">
        <f>IF('PGA Championship'!$G72="","",'PGA Championship'!$D72&amp;"")</f>
        <v/>
      </c>
      <c r="F667">
        <f>IF('PGA Championship'!$G72="","",'PGA Championship'!$A72&amp;"")</f>
        <v/>
      </c>
      <c r="J667">
        <f>IF('PGA Championship'!$G72="","",'PGA Championship'!$E72)</f>
        <v/>
      </c>
      <c r="K667">
        <f>IF('PGA Championship'!$G72="","",'PGA Championship'!$J72)</f>
        <v/>
      </c>
      <c r="L667">
        <f>IF('PGA Championship'!$G72="","","")</f>
        <v/>
      </c>
      <c r="M667">
        <f>IF('PGA Championship'!$G72="","",'PGA Championship'!$F72)</f>
        <v/>
      </c>
      <c r="N667">
        <f>IF('PGA Championship'!$G72="","",'PGA Championship'!$G72)</f>
        <v/>
      </c>
      <c r="O667">
        <f>IF('PGA Championship'!$G72="","",'PGA Championship'!$G72)</f>
        <v/>
      </c>
      <c r="P667">
        <f>IF('PGA Championship'!$G72="","",'PGA Championship'!$H72)</f>
        <v/>
      </c>
    </row>
    <row r="668">
      <c r="A668">
        <f>IF('PGA Championship'!$G73="","","PGA Championship")</f>
        <v/>
      </c>
      <c r="B668">
        <f>IF('PGA Championship'!$G73="","","Major")</f>
        <v/>
      </c>
      <c r="C668" s="18">
        <f>IF('PGA Championship'!$G73="","",'PGA Championship'!$B$3)</f>
        <v/>
      </c>
      <c r="D668">
        <f>IF('PGA Championship'!$G73="","",'PGA Championship'!$D73&amp;"")</f>
        <v/>
      </c>
      <c r="F668">
        <f>IF('PGA Championship'!$G73="","",'PGA Championship'!$A73&amp;"")</f>
        <v/>
      </c>
      <c r="J668">
        <f>IF('PGA Championship'!$G73="","",'PGA Championship'!$E73)</f>
        <v/>
      </c>
      <c r="K668">
        <f>IF('PGA Championship'!$G73="","",'PGA Championship'!$J73)</f>
        <v/>
      </c>
      <c r="L668">
        <f>IF('PGA Championship'!$G73="","","")</f>
        <v/>
      </c>
      <c r="M668">
        <f>IF('PGA Championship'!$G73="","",'PGA Championship'!$F73)</f>
        <v/>
      </c>
      <c r="N668">
        <f>IF('PGA Championship'!$G73="","",'PGA Championship'!$G73)</f>
        <v/>
      </c>
      <c r="O668">
        <f>IF('PGA Championship'!$G73="","",'PGA Championship'!$G73)</f>
        <v/>
      </c>
      <c r="P668">
        <f>IF('PGA Championship'!$G73="","",'PGA Championship'!$H73)</f>
        <v/>
      </c>
    </row>
    <row r="669">
      <c r="A669">
        <f>IF('PGA Championship'!$G74="","","PGA Championship")</f>
        <v/>
      </c>
      <c r="B669">
        <f>IF('PGA Championship'!$G74="","","Major")</f>
        <v/>
      </c>
      <c r="C669" s="18">
        <f>IF('PGA Championship'!$G74="","",'PGA Championship'!$B$3)</f>
        <v/>
      </c>
      <c r="D669">
        <f>IF('PGA Championship'!$G74="","",'PGA Championship'!$D74&amp;"")</f>
        <v/>
      </c>
      <c r="F669">
        <f>IF('PGA Championship'!$G74="","",'PGA Championship'!$A74&amp;"")</f>
        <v/>
      </c>
      <c r="J669">
        <f>IF('PGA Championship'!$G74="","",'PGA Championship'!$E74)</f>
        <v/>
      </c>
      <c r="K669">
        <f>IF('PGA Championship'!$G74="","",'PGA Championship'!$J74)</f>
        <v/>
      </c>
      <c r="L669">
        <f>IF('PGA Championship'!$G74="","","")</f>
        <v/>
      </c>
      <c r="M669">
        <f>IF('PGA Championship'!$G74="","",'PGA Championship'!$F74)</f>
        <v/>
      </c>
      <c r="N669">
        <f>IF('PGA Championship'!$G74="","",'PGA Championship'!$G74)</f>
        <v/>
      </c>
      <c r="O669">
        <f>IF('PGA Championship'!$G74="","",'PGA Championship'!$G74)</f>
        <v/>
      </c>
      <c r="P669">
        <f>IF('PGA Championship'!$G74="","",'PGA Championship'!$H74)</f>
        <v/>
      </c>
    </row>
    <row r="670">
      <c r="A670">
        <f>IF('PGA Championship'!$G75="","","PGA Championship")</f>
        <v/>
      </c>
      <c r="B670">
        <f>IF('PGA Championship'!$G75="","","Major")</f>
        <v/>
      </c>
      <c r="C670" s="18">
        <f>IF('PGA Championship'!$G75="","",'PGA Championship'!$B$3)</f>
        <v/>
      </c>
      <c r="D670">
        <f>IF('PGA Championship'!$G75="","",'PGA Championship'!$D75&amp;"")</f>
        <v/>
      </c>
      <c r="F670">
        <f>IF('PGA Championship'!$G75="","",'PGA Championship'!$A75&amp;"")</f>
        <v/>
      </c>
      <c r="J670">
        <f>IF('PGA Championship'!$G75="","",'PGA Championship'!$E75)</f>
        <v/>
      </c>
      <c r="K670">
        <f>IF('PGA Championship'!$G75="","",'PGA Championship'!$J75)</f>
        <v/>
      </c>
      <c r="L670">
        <f>IF('PGA Championship'!$G75="","","")</f>
        <v/>
      </c>
      <c r="M670">
        <f>IF('PGA Championship'!$G75="","",'PGA Championship'!$F75)</f>
        <v/>
      </c>
      <c r="N670">
        <f>IF('PGA Championship'!$G75="","",'PGA Championship'!$G75)</f>
        <v/>
      </c>
      <c r="O670">
        <f>IF('PGA Championship'!$G75="","",'PGA Championship'!$G75)</f>
        <v/>
      </c>
      <c r="P670">
        <f>IF('PGA Championship'!$G75="","",'PGA Championship'!$H75)</f>
        <v/>
      </c>
    </row>
    <row r="671">
      <c r="A671">
        <f>IF('PGA Championship'!$G76="","","PGA Championship")</f>
        <v/>
      </c>
      <c r="B671">
        <f>IF('PGA Championship'!$G76="","","Major")</f>
        <v/>
      </c>
      <c r="C671" s="18">
        <f>IF('PGA Championship'!$G76="","",'PGA Championship'!$B$3)</f>
        <v/>
      </c>
      <c r="D671">
        <f>IF('PGA Championship'!$G76="","",'PGA Championship'!$D76&amp;"")</f>
        <v/>
      </c>
      <c r="F671">
        <f>IF('PGA Championship'!$G76="","",'PGA Championship'!$A76&amp;"")</f>
        <v/>
      </c>
      <c r="J671">
        <f>IF('PGA Championship'!$G76="","",'PGA Championship'!$E76)</f>
        <v/>
      </c>
      <c r="K671">
        <f>IF('PGA Championship'!$G76="","",'PGA Championship'!$J76)</f>
        <v/>
      </c>
      <c r="L671">
        <f>IF('PGA Championship'!$G76="","","")</f>
        <v/>
      </c>
      <c r="M671">
        <f>IF('PGA Championship'!$G76="","",'PGA Championship'!$F76)</f>
        <v/>
      </c>
      <c r="N671">
        <f>IF('PGA Championship'!$G76="","",'PGA Championship'!$G76)</f>
        <v/>
      </c>
      <c r="O671">
        <f>IF('PGA Championship'!$G76="","",'PGA Championship'!$G76)</f>
        <v/>
      </c>
      <c r="P671">
        <f>IF('PGA Championship'!$G76="","",'PGA Championship'!$H76)</f>
        <v/>
      </c>
    </row>
    <row r="672">
      <c r="A672">
        <f>IF('PGA Championship'!$G77="","","PGA Championship")</f>
        <v/>
      </c>
      <c r="B672">
        <f>IF('PGA Championship'!$G77="","","Major")</f>
        <v/>
      </c>
      <c r="C672" s="18">
        <f>IF('PGA Championship'!$G77="","",'PGA Championship'!$B$3)</f>
        <v/>
      </c>
      <c r="D672">
        <f>IF('PGA Championship'!$G77="","",'PGA Championship'!$D77&amp;"")</f>
        <v/>
      </c>
      <c r="F672">
        <f>IF('PGA Championship'!$G77="","",'PGA Championship'!$A77&amp;"")</f>
        <v/>
      </c>
      <c r="J672">
        <f>IF('PGA Championship'!$G77="","",'PGA Championship'!$E77)</f>
        <v/>
      </c>
      <c r="K672">
        <f>IF('PGA Championship'!$G77="","",'PGA Championship'!$J77)</f>
        <v/>
      </c>
      <c r="L672">
        <f>IF('PGA Championship'!$G77="","","")</f>
        <v/>
      </c>
      <c r="M672">
        <f>IF('PGA Championship'!$G77="","",'PGA Championship'!$F77)</f>
        <v/>
      </c>
      <c r="N672">
        <f>IF('PGA Championship'!$G77="","",'PGA Championship'!$G77)</f>
        <v/>
      </c>
      <c r="O672">
        <f>IF('PGA Championship'!$G77="","",'PGA Championship'!$G77)</f>
        <v/>
      </c>
      <c r="P672">
        <f>IF('PGA Championship'!$G77="","",'PGA Championship'!$H77)</f>
        <v/>
      </c>
    </row>
    <row r="673">
      <c r="A673">
        <f>IF('PGA Championship'!$G78="","","PGA Championship")</f>
        <v/>
      </c>
      <c r="B673">
        <f>IF('PGA Championship'!$G78="","","Major")</f>
        <v/>
      </c>
      <c r="C673" s="18">
        <f>IF('PGA Championship'!$G78="","",'PGA Championship'!$B$3)</f>
        <v/>
      </c>
      <c r="D673">
        <f>IF('PGA Championship'!$G78="","",'PGA Championship'!$D78&amp;"")</f>
        <v/>
      </c>
      <c r="F673">
        <f>IF('PGA Championship'!$G78="","",'PGA Championship'!$A78&amp;"")</f>
        <v/>
      </c>
      <c r="J673">
        <f>IF('PGA Championship'!$G78="","",'PGA Championship'!$E78)</f>
        <v/>
      </c>
      <c r="K673">
        <f>IF('PGA Championship'!$G78="","",'PGA Championship'!$J78)</f>
        <v/>
      </c>
      <c r="L673">
        <f>IF('PGA Championship'!$G78="","","")</f>
        <v/>
      </c>
      <c r="M673">
        <f>IF('PGA Championship'!$G78="","",'PGA Championship'!$F78)</f>
        <v/>
      </c>
      <c r="N673">
        <f>IF('PGA Championship'!$G78="","",'PGA Championship'!$G78)</f>
        <v/>
      </c>
      <c r="O673">
        <f>IF('PGA Championship'!$G78="","",'PGA Championship'!$G78)</f>
        <v/>
      </c>
      <c r="P673">
        <f>IF('PGA Championship'!$G78="","",'PGA Championship'!$H78)</f>
        <v/>
      </c>
    </row>
    <row r="674">
      <c r="A674">
        <f>IF('PGA Championship'!$G79="","","PGA Championship")</f>
        <v/>
      </c>
      <c r="B674">
        <f>IF('PGA Championship'!$G79="","","Major")</f>
        <v/>
      </c>
      <c r="C674" s="18">
        <f>IF('PGA Championship'!$G79="","",'PGA Championship'!$B$3)</f>
        <v/>
      </c>
      <c r="D674">
        <f>IF('PGA Championship'!$G79="","",'PGA Championship'!$D79&amp;"")</f>
        <v/>
      </c>
      <c r="F674">
        <f>IF('PGA Championship'!$G79="","",'PGA Championship'!$A79&amp;"")</f>
        <v/>
      </c>
      <c r="J674">
        <f>IF('PGA Championship'!$G79="","",'PGA Championship'!$E79)</f>
        <v/>
      </c>
      <c r="K674">
        <f>IF('PGA Championship'!$G79="","",'PGA Championship'!$J79)</f>
        <v/>
      </c>
      <c r="L674">
        <f>IF('PGA Championship'!$G79="","","")</f>
        <v/>
      </c>
      <c r="M674">
        <f>IF('PGA Championship'!$G79="","",'PGA Championship'!$F79)</f>
        <v/>
      </c>
      <c r="N674">
        <f>IF('PGA Championship'!$G79="","",'PGA Championship'!$G79)</f>
        <v/>
      </c>
      <c r="O674">
        <f>IF('PGA Championship'!$G79="","",'PGA Championship'!$G79)</f>
        <v/>
      </c>
      <c r="P674">
        <f>IF('PGA Championship'!$G79="","",'PGA Championship'!$H79)</f>
        <v/>
      </c>
    </row>
    <row r="675">
      <c r="A675">
        <f>IF('PGA Championship'!$G80="","","PGA Championship")</f>
        <v/>
      </c>
      <c r="B675">
        <f>IF('PGA Championship'!$G80="","","Major")</f>
        <v/>
      </c>
      <c r="C675" s="18">
        <f>IF('PGA Championship'!$G80="","",'PGA Championship'!$B$3)</f>
        <v/>
      </c>
      <c r="D675">
        <f>IF('PGA Championship'!$G80="","",'PGA Championship'!$D80&amp;"")</f>
        <v/>
      </c>
      <c r="F675">
        <f>IF('PGA Championship'!$G80="","",'PGA Championship'!$A80&amp;"")</f>
        <v/>
      </c>
      <c r="J675">
        <f>IF('PGA Championship'!$G80="","",'PGA Championship'!$E80)</f>
        <v/>
      </c>
      <c r="K675">
        <f>IF('PGA Championship'!$G80="","",'PGA Championship'!$J80)</f>
        <v/>
      </c>
      <c r="L675">
        <f>IF('PGA Championship'!$G80="","","")</f>
        <v/>
      </c>
      <c r="M675">
        <f>IF('PGA Championship'!$G80="","",'PGA Championship'!$F80)</f>
        <v/>
      </c>
      <c r="N675">
        <f>IF('PGA Championship'!$G80="","",'PGA Championship'!$G80)</f>
        <v/>
      </c>
      <c r="O675">
        <f>IF('PGA Championship'!$G80="","",'PGA Championship'!$G80)</f>
        <v/>
      </c>
      <c r="P675">
        <f>IF('PGA Championship'!$G80="","",'PGA Championship'!$H80)</f>
        <v/>
      </c>
    </row>
    <row r="676">
      <c r="A676">
        <f>IF('PGA Championship'!$G81="","","PGA Championship")</f>
        <v/>
      </c>
      <c r="B676">
        <f>IF('PGA Championship'!$G81="","","Major")</f>
        <v/>
      </c>
      <c r="C676" s="18">
        <f>IF('PGA Championship'!$G81="","",'PGA Championship'!$B$3)</f>
        <v/>
      </c>
      <c r="D676">
        <f>IF('PGA Championship'!$G81="","",'PGA Championship'!$D81&amp;"")</f>
        <v/>
      </c>
      <c r="F676">
        <f>IF('PGA Championship'!$G81="","",'PGA Championship'!$A81&amp;"")</f>
        <v/>
      </c>
      <c r="J676">
        <f>IF('PGA Championship'!$G81="","",'PGA Championship'!$E81)</f>
        <v/>
      </c>
      <c r="K676">
        <f>IF('PGA Championship'!$G81="","",'PGA Championship'!$J81)</f>
        <v/>
      </c>
      <c r="L676">
        <f>IF('PGA Championship'!$G81="","","")</f>
        <v/>
      </c>
      <c r="M676">
        <f>IF('PGA Championship'!$G81="","",'PGA Championship'!$F81)</f>
        <v/>
      </c>
      <c r="N676">
        <f>IF('PGA Championship'!$G81="","",'PGA Championship'!$G81)</f>
        <v/>
      </c>
      <c r="O676">
        <f>IF('PGA Championship'!$G81="","",'PGA Championship'!$G81)</f>
        <v/>
      </c>
      <c r="P676">
        <f>IF('PGA Championship'!$G81="","",'PGA Championship'!$H81)</f>
        <v/>
      </c>
    </row>
    <row r="677">
      <c r="A677">
        <f>IF('PGA Championship'!$G82="","","PGA Championship")</f>
        <v/>
      </c>
      <c r="B677">
        <f>IF('PGA Championship'!$G82="","","Major")</f>
        <v/>
      </c>
      <c r="C677" s="18">
        <f>IF('PGA Championship'!$G82="","",'PGA Championship'!$B$3)</f>
        <v/>
      </c>
      <c r="D677">
        <f>IF('PGA Championship'!$G82="","",'PGA Championship'!$D82&amp;"")</f>
        <v/>
      </c>
      <c r="F677">
        <f>IF('PGA Championship'!$G82="","",'PGA Championship'!$A82&amp;"")</f>
        <v/>
      </c>
      <c r="J677">
        <f>IF('PGA Championship'!$G82="","",'PGA Championship'!$E82)</f>
        <v/>
      </c>
      <c r="K677">
        <f>IF('PGA Championship'!$G82="","",'PGA Championship'!$J82)</f>
        <v/>
      </c>
      <c r="L677">
        <f>IF('PGA Championship'!$G82="","","")</f>
        <v/>
      </c>
      <c r="M677">
        <f>IF('PGA Championship'!$G82="","",'PGA Championship'!$F82)</f>
        <v/>
      </c>
      <c r="N677">
        <f>IF('PGA Championship'!$G82="","",'PGA Championship'!$G82)</f>
        <v/>
      </c>
      <c r="O677">
        <f>IF('PGA Championship'!$G82="","",'PGA Championship'!$G82)</f>
        <v/>
      </c>
      <c r="P677">
        <f>IF('PGA Championship'!$G82="","",'PGA Championship'!$H82)</f>
        <v/>
      </c>
    </row>
    <row r="678">
      <c r="A678">
        <f>IF('PGA Championship'!$G83="","","PGA Championship")</f>
        <v/>
      </c>
      <c r="B678">
        <f>IF('PGA Championship'!$G83="","","Major")</f>
        <v/>
      </c>
      <c r="C678" s="18">
        <f>IF('PGA Championship'!$G83="","",'PGA Championship'!$B$3)</f>
        <v/>
      </c>
      <c r="D678">
        <f>IF('PGA Championship'!$G83="","",'PGA Championship'!$D83&amp;"")</f>
        <v/>
      </c>
      <c r="F678">
        <f>IF('PGA Championship'!$G83="","",'PGA Championship'!$A83&amp;"")</f>
        <v/>
      </c>
      <c r="J678">
        <f>IF('PGA Championship'!$G83="","",'PGA Championship'!$E83)</f>
        <v/>
      </c>
      <c r="K678">
        <f>IF('PGA Championship'!$G83="","",'PGA Championship'!$J83)</f>
        <v/>
      </c>
      <c r="L678">
        <f>IF('PGA Championship'!$G83="","","")</f>
        <v/>
      </c>
      <c r="M678">
        <f>IF('PGA Championship'!$G83="","",'PGA Championship'!$F83)</f>
        <v/>
      </c>
      <c r="N678">
        <f>IF('PGA Championship'!$G83="","",'PGA Championship'!$G83)</f>
        <v/>
      </c>
      <c r="O678">
        <f>IF('PGA Championship'!$G83="","",'PGA Championship'!$G83)</f>
        <v/>
      </c>
      <c r="P678">
        <f>IF('PGA Championship'!$G83="","",'PGA Championship'!$H83)</f>
        <v/>
      </c>
    </row>
    <row r="679">
      <c r="A679">
        <f>IF('PGA Championship'!$G84="","","PGA Championship")</f>
        <v/>
      </c>
      <c r="B679">
        <f>IF('PGA Championship'!$G84="","","Major")</f>
        <v/>
      </c>
      <c r="C679" s="18">
        <f>IF('PGA Championship'!$G84="","",'PGA Championship'!$B$3)</f>
        <v/>
      </c>
      <c r="D679">
        <f>IF('PGA Championship'!$G84="","",'PGA Championship'!$D84&amp;"")</f>
        <v/>
      </c>
      <c r="F679">
        <f>IF('PGA Championship'!$G84="","",'PGA Championship'!$A84&amp;"")</f>
        <v/>
      </c>
      <c r="J679">
        <f>IF('PGA Championship'!$G84="","",'PGA Championship'!$E84)</f>
        <v/>
      </c>
      <c r="K679">
        <f>IF('PGA Championship'!$G84="","",'PGA Championship'!$J84)</f>
        <v/>
      </c>
      <c r="L679">
        <f>IF('PGA Championship'!$G84="","","")</f>
        <v/>
      </c>
      <c r="M679">
        <f>IF('PGA Championship'!$G84="","",'PGA Championship'!$F84)</f>
        <v/>
      </c>
      <c r="N679">
        <f>IF('PGA Championship'!$G84="","",'PGA Championship'!$G84)</f>
        <v/>
      </c>
      <c r="O679">
        <f>IF('PGA Championship'!$G84="","",'PGA Championship'!$G84)</f>
        <v/>
      </c>
      <c r="P679">
        <f>IF('PGA Championship'!$G84="","",'PGA Championship'!$H84)</f>
        <v/>
      </c>
    </row>
    <row r="680">
      <c r="A680">
        <f>IF('PGA Championship'!$G85="","","PGA Championship")</f>
        <v/>
      </c>
      <c r="B680">
        <f>IF('PGA Championship'!$G85="","","Major")</f>
        <v/>
      </c>
      <c r="C680" s="18">
        <f>IF('PGA Championship'!$G85="","",'PGA Championship'!$B$3)</f>
        <v/>
      </c>
      <c r="D680">
        <f>IF('PGA Championship'!$G85="","",'PGA Championship'!$D85&amp;"")</f>
        <v/>
      </c>
      <c r="F680">
        <f>IF('PGA Championship'!$G85="","",'PGA Championship'!$A85&amp;"")</f>
        <v/>
      </c>
      <c r="J680">
        <f>IF('PGA Championship'!$G85="","",'PGA Championship'!$E85)</f>
        <v/>
      </c>
      <c r="K680">
        <f>IF('PGA Championship'!$G85="","",'PGA Championship'!$J85)</f>
        <v/>
      </c>
      <c r="L680">
        <f>IF('PGA Championship'!$G85="","","")</f>
        <v/>
      </c>
      <c r="M680">
        <f>IF('PGA Championship'!$G85="","",'PGA Championship'!$F85)</f>
        <v/>
      </c>
      <c r="N680">
        <f>IF('PGA Championship'!$G85="","",'PGA Championship'!$G85)</f>
        <v/>
      </c>
      <c r="O680">
        <f>IF('PGA Championship'!$G85="","",'PGA Championship'!$G85)</f>
        <v/>
      </c>
      <c r="P680">
        <f>IF('PGA Championship'!$G85="","",'PGA Championship'!$H85)</f>
        <v/>
      </c>
    </row>
    <row r="681">
      <c r="A681">
        <f>IF('PGA Championship'!$G86="","","PGA Championship")</f>
        <v/>
      </c>
      <c r="B681">
        <f>IF('PGA Championship'!$G86="","","Major")</f>
        <v/>
      </c>
      <c r="C681" s="18">
        <f>IF('PGA Championship'!$G86="","",'PGA Championship'!$B$3)</f>
        <v/>
      </c>
      <c r="D681">
        <f>IF('PGA Championship'!$G86="","",'PGA Championship'!$D86&amp;"")</f>
        <v/>
      </c>
      <c r="F681">
        <f>IF('PGA Championship'!$G86="","",'PGA Championship'!$A86&amp;"")</f>
        <v/>
      </c>
      <c r="J681">
        <f>IF('PGA Championship'!$G86="","",'PGA Championship'!$E86)</f>
        <v/>
      </c>
      <c r="K681">
        <f>IF('PGA Championship'!$G86="","",'PGA Championship'!$J86)</f>
        <v/>
      </c>
      <c r="L681">
        <f>IF('PGA Championship'!$G86="","","")</f>
        <v/>
      </c>
      <c r="M681">
        <f>IF('PGA Championship'!$G86="","",'PGA Championship'!$F86)</f>
        <v/>
      </c>
      <c r="N681">
        <f>IF('PGA Championship'!$G86="","",'PGA Championship'!$G86)</f>
        <v/>
      </c>
      <c r="O681">
        <f>IF('PGA Championship'!$G86="","",'PGA Championship'!$G86)</f>
        <v/>
      </c>
      <c r="P681">
        <f>IF('PGA Championship'!$G86="","",'PGA Championship'!$H86)</f>
        <v/>
      </c>
    </row>
    <row r="682">
      <c r="A682">
        <f>IF('PGA Championship'!$G87="","","PGA Championship")</f>
        <v/>
      </c>
      <c r="B682">
        <f>IF('PGA Championship'!$G87="","","Major")</f>
        <v/>
      </c>
      <c r="C682" s="18">
        <f>IF('PGA Championship'!$G87="","",'PGA Championship'!$B$3)</f>
        <v/>
      </c>
      <c r="D682">
        <f>IF('PGA Championship'!$G87="","",'PGA Championship'!$D87&amp;"")</f>
        <v/>
      </c>
      <c r="F682">
        <f>IF('PGA Championship'!$G87="","",'PGA Championship'!$A87&amp;"")</f>
        <v/>
      </c>
      <c r="J682">
        <f>IF('PGA Championship'!$G87="","",'PGA Championship'!$E87)</f>
        <v/>
      </c>
      <c r="K682">
        <f>IF('PGA Championship'!$G87="","",'PGA Championship'!$J87)</f>
        <v/>
      </c>
      <c r="L682">
        <f>IF('PGA Championship'!$G87="","","")</f>
        <v/>
      </c>
      <c r="M682">
        <f>IF('PGA Championship'!$G87="","",'PGA Championship'!$F87)</f>
        <v/>
      </c>
      <c r="N682">
        <f>IF('PGA Championship'!$G87="","",'PGA Championship'!$G87)</f>
        <v/>
      </c>
      <c r="O682">
        <f>IF('PGA Championship'!$G87="","",'PGA Championship'!$G87)</f>
        <v/>
      </c>
      <c r="P682">
        <f>IF('PGA Championship'!$G87="","",'PGA Championship'!$H87)</f>
        <v/>
      </c>
    </row>
    <row r="683">
      <c r="A683">
        <f>IF('PGA Championship'!$G88="","","PGA Championship")</f>
        <v/>
      </c>
      <c r="B683">
        <f>IF('PGA Championship'!$G88="","","Major")</f>
        <v/>
      </c>
      <c r="C683" s="18">
        <f>IF('PGA Championship'!$G88="","",'PGA Championship'!$B$3)</f>
        <v/>
      </c>
      <c r="D683">
        <f>IF('PGA Championship'!$G88="","",'PGA Championship'!$D88&amp;"")</f>
        <v/>
      </c>
      <c r="F683">
        <f>IF('PGA Championship'!$G88="","",'PGA Championship'!$A88&amp;"")</f>
        <v/>
      </c>
      <c r="J683">
        <f>IF('PGA Championship'!$G88="","",'PGA Championship'!$E88)</f>
        <v/>
      </c>
      <c r="K683">
        <f>IF('PGA Championship'!$G88="","",'PGA Championship'!$J88)</f>
        <v/>
      </c>
      <c r="L683">
        <f>IF('PGA Championship'!$G88="","","")</f>
        <v/>
      </c>
      <c r="M683">
        <f>IF('PGA Championship'!$G88="","",'PGA Championship'!$F88)</f>
        <v/>
      </c>
      <c r="N683">
        <f>IF('PGA Championship'!$G88="","",'PGA Championship'!$G88)</f>
        <v/>
      </c>
      <c r="O683">
        <f>IF('PGA Championship'!$G88="","",'PGA Championship'!$G88)</f>
        <v/>
      </c>
      <c r="P683">
        <f>IF('PGA Championship'!$G88="","",'PGA Championship'!$H88)</f>
        <v/>
      </c>
    </row>
    <row r="684">
      <c r="A684">
        <f>IF('PGA Championship'!$G89="","","PGA Championship")</f>
        <v/>
      </c>
      <c r="B684">
        <f>IF('PGA Championship'!$G89="","","Major")</f>
        <v/>
      </c>
      <c r="C684" s="18">
        <f>IF('PGA Championship'!$G89="","",'PGA Championship'!$B$3)</f>
        <v/>
      </c>
      <c r="D684">
        <f>IF('PGA Championship'!$G89="","",'PGA Championship'!$D89&amp;"")</f>
        <v/>
      </c>
      <c r="F684">
        <f>IF('PGA Championship'!$G89="","",'PGA Championship'!$A89&amp;"")</f>
        <v/>
      </c>
      <c r="J684">
        <f>IF('PGA Championship'!$G89="","",'PGA Championship'!$E89)</f>
        <v/>
      </c>
      <c r="K684">
        <f>IF('PGA Championship'!$G89="","",'PGA Championship'!$J89)</f>
        <v/>
      </c>
      <c r="L684">
        <f>IF('PGA Championship'!$G89="","","")</f>
        <v/>
      </c>
      <c r="M684">
        <f>IF('PGA Championship'!$G89="","",'PGA Championship'!$F89)</f>
        <v/>
      </c>
      <c r="N684">
        <f>IF('PGA Championship'!$G89="","",'PGA Championship'!$G89)</f>
        <v/>
      </c>
      <c r="O684">
        <f>IF('PGA Championship'!$G89="","",'PGA Championship'!$G89)</f>
        <v/>
      </c>
      <c r="P684">
        <f>IF('PGA Championship'!$G89="","",'PGA Championship'!$H89)</f>
        <v/>
      </c>
    </row>
    <row r="685">
      <c r="A685">
        <f>IF('PGA Championship'!$G90="","","PGA Championship")</f>
        <v/>
      </c>
      <c r="B685">
        <f>IF('PGA Championship'!$G90="","","Major")</f>
        <v/>
      </c>
      <c r="C685" s="18">
        <f>IF('PGA Championship'!$G90="","",'PGA Championship'!$B$3)</f>
        <v/>
      </c>
      <c r="D685">
        <f>IF('PGA Championship'!$G90="","",'PGA Championship'!$D90&amp;"")</f>
        <v/>
      </c>
      <c r="F685">
        <f>IF('PGA Championship'!$G90="","",'PGA Championship'!$A90&amp;"")</f>
        <v/>
      </c>
      <c r="J685">
        <f>IF('PGA Championship'!$G90="","",'PGA Championship'!$E90)</f>
        <v/>
      </c>
      <c r="K685">
        <f>IF('PGA Championship'!$G90="","",'PGA Championship'!$J90)</f>
        <v/>
      </c>
      <c r="L685">
        <f>IF('PGA Championship'!$G90="","","")</f>
        <v/>
      </c>
      <c r="M685">
        <f>IF('PGA Championship'!$G90="","",'PGA Championship'!$F90)</f>
        <v/>
      </c>
      <c r="N685">
        <f>IF('PGA Championship'!$G90="","",'PGA Championship'!$G90)</f>
        <v/>
      </c>
      <c r="O685">
        <f>IF('PGA Championship'!$G90="","",'PGA Championship'!$G90)</f>
        <v/>
      </c>
      <c r="P685">
        <f>IF('PGA Championship'!$G90="","",'PGA Championship'!$H90)</f>
        <v/>
      </c>
    </row>
    <row r="686">
      <c r="A686">
        <f>IF('PGA Championship'!$G91="","","PGA Championship")</f>
        <v/>
      </c>
      <c r="B686">
        <f>IF('PGA Championship'!$G91="","","Major")</f>
        <v/>
      </c>
      <c r="C686" s="18">
        <f>IF('PGA Championship'!$G91="","",'PGA Championship'!$B$3)</f>
        <v/>
      </c>
      <c r="D686">
        <f>IF('PGA Championship'!$G91="","",'PGA Championship'!$D91&amp;"")</f>
        <v/>
      </c>
      <c r="F686">
        <f>IF('PGA Championship'!$G91="","",'PGA Championship'!$A91&amp;"")</f>
        <v/>
      </c>
      <c r="J686">
        <f>IF('PGA Championship'!$G91="","",'PGA Championship'!$E91)</f>
        <v/>
      </c>
      <c r="K686">
        <f>IF('PGA Championship'!$G91="","",'PGA Championship'!$J91)</f>
        <v/>
      </c>
      <c r="L686">
        <f>IF('PGA Championship'!$G91="","","")</f>
        <v/>
      </c>
      <c r="M686">
        <f>IF('PGA Championship'!$G91="","",'PGA Championship'!$F91)</f>
        <v/>
      </c>
      <c r="N686">
        <f>IF('PGA Championship'!$G91="","",'PGA Championship'!$G91)</f>
        <v/>
      </c>
      <c r="O686">
        <f>IF('PGA Championship'!$G91="","",'PGA Championship'!$G91)</f>
        <v/>
      </c>
      <c r="P686">
        <f>IF('PGA Championship'!$G91="","",'PGA Championship'!$H91)</f>
        <v/>
      </c>
    </row>
    <row r="687">
      <c r="A687">
        <f>IF('PGA Championship'!$G92="","","PGA Championship")</f>
        <v/>
      </c>
      <c r="B687">
        <f>IF('PGA Championship'!$G92="","","Major")</f>
        <v/>
      </c>
      <c r="C687" s="18">
        <f>IF('PGA Championship'!$G92="","",'PGA Championship'!$B$3)</f>
        <v/>
      </c>
      <c r="D687">
        <f>IF('PGA Championship'!$G92="","",'PGA Championship'!$D92&amp;"")</f>
        <v/>
      </c>
      <c r="F687">
        <f>IF('PGA Championship'!$G92="","",'PGA Championship'!$A92&amp;"")</f>
        <v/>
      </c>
      <c r="J687">
        <f>IF('PGA Championship'!$G92="","",'PGA Championship'!$E92)</f>
        <v/>
      </c>
      <c r="K687">
        <f>IF('PGA Championship'!$G92="","",'PGA Championship'!$J92)</f>
        <v/>
      </c>
      <c r="L687">
        <f>IF('PGA Championship'!$G92="","","")</f>
        <v/>
      </c>
      <c r="M687">
        <f>IF('PGA Championship'!$G92="","",'PGA Championship'!$F92)</f>
        <v/>
      </c>
      <c r="N687">
        <f>IF('PGA Championship'!$G92="","",'PGA Championship'!$G92)</f>
        <v/>
      </c>
      <c r="O687">
        <f>IF('PGA Championship'!$G92="","",'PGA Championship'!$G92)</f>
        <v/>
      </c>
      <c r="P687">
        <f>IF('PGA Championship'!$G92="","",'PGA Championship'!$H92)</f>
        <v/>
      </c>
    </row>
    <row r="688">
      <c r="A688">
        <f>IF('PGA Championship'!$G93="","","PGA Championship")</f>
        <v/>
      </c>
      <c r="B688">
        <f>IF('PGA Championship'!$G93="","","Major")</f>
        <v/>
      </c>
      <c r="C688" s="18">
        <f>IF('PGA Championship'!$G93="","",'PGA Championship'!$B$3)</f>
        <v/>
      </c>
      <c r="D688">
        <f>IF('PGA Championship'!$G93="","",'PGA Championship'!$D93&amp;"")</f>
        <v/>
      </c>
      <c r="F688">
        <f>IF('PGA Championship'!$G93="","",'PGA Championship'!$A93&amp;"")</f>
        <v/>
      </c>
      <c r="J688">
        <f>IF('PGA Championship'!$G93="","",'PGA Championship'!$E93)</f>
        <v/>
      </c>
      <c r="K688">
        <f>IF('PGA Championship'!$G93="","",'PGA Championship'!$J93)</f>
        <v/>
      </c>
      <c r="L688">
        <f>IF('PGA Championship'!$G93="","","")</f>
        <v/>
      </c>
      <c r="M688">
        <f>IF('PGA Championship'!$G93="","",'PGA Championship'!$F93)</f>
        <v/>
      </c>
      <c r="N688">
        <f>IF('PGA Championship'!$G93="","",'PGA Championship'!$G93)</f>
        <v/>
      </c>
      <c r="O688">
        <f>IF('PGA Championship'!$G93="","",'PGA Championship'!$G93)</f>
        <v/>
      </c>
      <c r="P688">
        <f>IF('PGA Championship'!$G93="","",'PGA Championship'!$H93)</f>
        <v/>
      </c>
    </row>
    <row r="689">
      <c r="A689">
        <f>IF('PGA Championship'!$G94="","","PGA Championship")</f>
        <v/>
      </c>
      <c r="B689">
        <f>IF('PGA Championship'!$G94="","","Major")</f>
        <v/>
      </c>
      <c r="C689" s="18">
        <f>IF('PGA Championship'!$G94="","",'PGA Championship'!$B$3)</f>
        <v/>
      </c>
      <c r="D689">
        <f>IF('PGA Championship'!$G94="","",'PGA Championship'!$D94&amp;"")</f>
        <v/>
      </c>
      <c r="F689">
        <f>IF('PGA Championship'!$G94="","",'PGA Championship'!$A94&amp;"")</f>
        <v/>
      </c>
      <c r="J689">
        <f>IF('PGA Championship'!$G94="","",'PGA Championship'!$E94)</f>
        <v/>
      </c>
      <c r="K689">
        <f>IF('PGA Championship'!$G94="","",'PGA Championship'!$J94)</f>
        <v/>
      </c>
      <c r="L689">
        <f>IF('PGA Championship'!$G94="","","")</f>
        <v/>
      </c>
      <c r="M689">
        <f>IF('PGA Championship'!$G94="","",'PGA Championship'!$F94)</f>
        <v/>
      </c>
      <c r="N689">
        <f>IF('PGA Championship'!$G94="","",'PGA Championship'!$G94)</f>
        <v/>
      </c>
      <c r="O689">
        <f>IF('PGA Championship'!$G94="","",'PGA Championship'!$G94)</f>
        <v/>
      </c>
      <c r="P689">
        <f>IF('PGA Championship'!$G94="","",'PGA Championship'!$H94)</f>
        <v/>
      </c>
    </row>
    <row r="690">
      <c r="A690">
        <f>IF('PGA Championship'!$G95="","","PGA Championship")</f>
        <v/>
      </c>
      <c r="B690">
        <f>IF('PGA Championship'!$G95="","","Major")</f>
        <v/>
      </c>
      <c r="C690" s="18">
        <f>IF('PGA Championship'!$G95="","",'PGA Championship'!$B$3)</f>
        <v/>
      </c>
      <c r="D690">
        <f>IF('PGA Championship'!$G95="","",'PGA Championship'!$D95&amp;"")</f>
        <v/>
      </c>
      <c r="F690">
        <f>IF('PGA Championship'!$G95="","",'PGA Championship'!$A95&amp;"")</f>
        <v/>
      </c>
      <c r="J690">
        <f>IF('PGA Championship'!$G95="","",'PGA Championship'!$E95)</f>
        <v/>
      </c>
      <c r="K690">
        <f>IF('PGA Championship'!$G95="","",'PGA Championship'!$J95)</f>
        <v/>
      </c>
      <c r="L690">
        <f>IF('PGA Championship'!$G95="","","")</f>
        <v/>
      </c>
      <c r="M690">
        <f>IF('PGA Championship'!$G95="","",'PGA Championship'!$F95)</f>
        <v/>
      </c>
      <c r="N690">
        <f>IF('PGA Championship'!$G95="","",'PGA Championship'!$G95)</f>
        <v/>
      </c>
      <c r="O690">
        <f>IF('PGA Championship'!$G95="","",'PGA Championship'!$G95)</f>
        <v/>
      </c>
      <c r="P690">
        <f>IF('PGA Championship'!$G95="","",'PGA Championship'!$H95)</f>
        <v/>
      </c>
    </row>
    <row r="691">
      <c r="A691">
        <f>IF('PGA Championship'!$G96="","","PGA Championship")</f>
        <v/>
      </c>
      <c r="B691">
        <f>IF('PGA Championship'!$G96="","","Major")</f>
        <v/>
      </c>
      <c r="C691" s="18">
        <f>IF('PGA Championship'!$G96="","",'PGA Championship'!$B$3)</f>
        <v/>
      </c>
      <c r="D691">
        <f>IF('PGA Championship'!$G96="","",'PGA Championship'!$D96&amp;"")</f>
        <v/>
      </c>
      <c r="F691">
        <f>IF('PGA Championship'!$G96="","",'PGA Championship'!$A96&amp;"")</f>
        <v/>
      </c>
      <c r="J691">
        <f>IF('PGA Championship'!$G96="","",'PGA Championship'!$E96)</f>
        <v/>
      </c>
      <c r="K691">
        <f>IF('PGA Championship'!$G96="","",'PGA Championship'!$J96)</f>
        <v/>
      </c>
      <c r="L691">
        <f>IF('PGA Championship'!$G96="","","")</f>
        <v/>
      </c>
      <c r="M691">
        <f>IF('PGA Championship'!$G96="","",'PGA Championship'!$F96)</f>
        <v/>
      </c>
      <c r="N691">
        <f>IF('PGA Championship'!$G96="","",'PGA Championship'!$G96)</f>
        <v/>
      </c>
      <c r="O691">
        <f>IF('PGA Championship'!$G96="","",'PGA Championship'!$G96)</f>
        <v/>
      </c>
      <c r="P691">
        <f>IF('PGA Championship'!$G96="","",'PGA Championship'!$H96)</f>
        <v/>
      </c>
    </row>
    <row r="692">
      <c r="A692">
        <f>IF('PGA Championship'!$G97="","","PGA Championship")</f>
        <v/>
      </c>
      <c r="B692">
        <f>IF('PGA Championship'!$G97="","","Major")</f>
        <v/>
      </c>
      <c r="C692" s="18">
        <f>IF('PGA Championship'!$G97="","",'PGA Championship'!$B$3)</f>
        <v/>
      </c>
      <c r="D692">
        <f>IF('PGA Championship'!$G97="","",'PGA Championship'!$D97&amp;"")</f>
        <v/>
      </c>
      <c r="F692">
        <f>IF('PGA Championship'!$G97="","",'PGA Championship'!$A97&amp;"")</f>
        <v/>
      </c>
      <c r="J692">
        <f>IF('PGA Championship'!$G97="","",'PGA Championship'!$E97)</f>
        <v/>
      </c>
      <c r="K692">
        <f>IF('PGA Championship'!$G97="","",'PGA Championship'!$J97)</f>
        <v/>
      </c>
      <c r="L692">
        <f>IF('PGA Championship'!$G97="","","")</f>
        <v/>
      </c>
      <c r="M692">
        <f>IF('PGA Championship'!$G97="","",'PGA Championship'!$F97)</f>
        <v/>
      </c>
      <c r="N692">
        <f>IF('PGA Championship'!$G97="","",'PGA Championship'!$G97)</f>
        <v/>
      </c>
      <c r="O692">
        <f>IF('PGA Championship'!$G97="","",'PGA Championship'!$G97)</f>
        <v/>
      </c>
      <c r="P692">
        <f>IF('PGA Championship'!$G97="","",'PGA Championship'!$H97)</f>
        <v/>
      </c>
    </row>
    <row r="693">
      <c r="A693">
        <f>IF('PGA Championship'!$G98="","","PGA Championship")</f>
        <v/>
      </c>
      <c r="B693">
        <f>IF('PGA Championship'!$G98="","","Major")</f>
        <v/>
      </c>
      <c r="C693" s="18">
        <f>IF('PGA Championship'!$G98="","",'PGA Championship'!$B$3)</f>
        <v/>
      </c>
      <c r="D693">
        <f>IF('PGA Championship'!$G98="","",'PGA Championship'!$D98&amp;"")</f>
        <v/>
      </c>
      <c r="F693">
        <f>IF('PGA Championship'!$G98="","",'PGA Championship'!$A98&amp;"")</f>
        <v/>
      </c>
      <c r="J693">
        <f>IF('PGA Championship'!$G98="","",'PGA Championship'!$E98)</f>
        <v/>
      </c>
      <c r="K693">
        <f>IF('PGA Championship'!$G98="","",'PGA Championship'!$J98)</f>
        <v/>
      </c>
      <c r="L693">
        <f>IF('PGA Championship'!$G98="","","")</f>
        <v/>
      </c>
      <c r="M693">
        <f>IF('PGA Championship'!$G98="","",'PGA Championship'!$F98)</f>
        <v/>
      </c>
      <c r="N693">
        <f>IF('PGA Championship'!$G98="","",'PGA Championship'!$G98)</f>
        <v/>
      </c>
      <c r="O693">
        <f>IF('PGA Championship'!$G98="","",'PGA Championship'!$G98)</f>
        <v/>
      </c>
      <c r="P693">
        <f>IF('PGA Championship'!$G98="","",'PGA Championship'!$H98)</f>
        <v/>
      </c>
    </row>
    <row r="694">
      <c r="A694">
        <f>IF('PGA Championship'!$G99="","","PGA Championship")</f>
        <v/>
      </c>
      <c r="B694">
        <f>IF('PGA Championship'!$G99="","","Major")</f>
        <v/>
      </c>
      <c r="C694" s="18">
        <f>IF('PGA Championship'!$G99="","",'PGA Championship'!$B$3)</f>
        <v/>
      </c>
      <c r="D694">
        <f>IF('PGA Championship'!$G99="","",'PGA Championship'!$D99&amp;"")</f>
        <v/>
      </c>
      <c r="F694">
        <f>IF('PGA Championship'!$G99="","",'PGA Championship'!$A99&amp;"")</f>
        <v/>
      </c>
      <c r="J694">
        <f>IF('PGA Championship'!$G99="","",'PGA Championship'!$E99)</f>
        <v/>
      </c>
      <c r="K694">
        <f>IF('PGA Championship'!$G99="","",'PGA Championship'!$J99)</f>
        <v/>
      </c>
      <c r="L694">
        <f>IF('PGA Championship'!$G99="","","")</f>
        <v/>
      </c>
      <c r="M694">
        <f>IF('PGA Championship'!$G99="","",'PGA Championship'!$F99)</f>
        <v/>
      </c>
      <c r="N694">
        <f>IF('PGA Championship'!$G99="","",'PGA Championship'!$G99)</f>
        <v/>
      </c>
      <c r="O694">
        <f>IF('PGA Championship'!$G99="","",'PGA Championship'!$G99)</f>
        <v/>
      </c>
      <c r="P694">
        <f>IF('PGA Championship'!$G99="","",'PGA Championship'!$H99)</f>
        <v/>
      </c>
    </row>
    <row r="695">
      <c r="A695">
        <f>IF('PGA Championship'!$G100="","","PGA Championship")</f>
        <v/>
      </c>
      <c r="B695">
        <f>IF('PGA Championship'!$G100="","","Major")</f>
        <v/>
      </c>
      <c r="C695" s="18">
        <f>IF('PGA Championship'!$G100="","",'PGA Championship'!$B$3)</f>
        <v/>
      </c>
      <c r="D695">
        <f>IF('PGA Championship'!$G100="","",'PGA Championship'!$D100&amp;"")</f>
        <v/>
      </c>
      <c r="F695">
        <f>IF('PGA Championship'!$G100="","",'PGA Championship'!$A100&amp;"")</f>
        <v/>
      </c>
      <c r="J695">
        <f>IF('PGA Championship'!$G100="","",'PGA Championship'!$E100)</f>
        <v/>
      </c>
      <c r="K695">
        <f>IF('PGA Championship'!$G100="","",'PGA Championship'!$J100)</f>
        <v/>
      </c>
      <c r="L695">
        <f>IF('PGA Championship'!$G100="","","")</f>
        <v/>
      </c>
      <c r="M695">
        <f>IF('PGA Championship'!$G100="","",'PGA Championship'!$F100)</f>
        <v/>
      </c>
      <c r="N695">
        <f>IF('PGA Championship'!$G100="","",'PGA Championship'!$G100)</f>
        <v/>
      </c>
      <c r="O695">
        <f>IF('PGA Championship'!$G100="","",'PGA Championship'!$G100)</f>
        <v/>
      </c>
      <c r="P695">
        <f>IF('PGA Championship'!$G100="","",'PGA Championship'!$H100)</f>
        <v/>
      </c>
    </row>
    <row r="696">
      <c r="A696">
        <f>IF('PGA Championship'!$G101="","","PGA Championship")</f>
        <v/>
      </c>
      <c r="B696">
        <f>IF('PGA Championship'!$G101="","","Major")</f>
        <v/>
      </c>
      <c r="C696" s="18">
        <f>IF('PGA Championship'!$G101="","",'PGA Championship'!$B$3)</f>
        <v/>
      </c>
      <c r="D696">
        <f>IF('PGA Championship'!$G101="","",'PGA Championship'!$D101&amp;"")</f>
        <v/>
      </c>
      <c r="F696">
        <f>IF('PGA Championship'!$G101="","",'PGA Championship'!$A101&amp;"")</f>
        <v/>
      </c>
      <c r="J696">
        <f>IF('PGA Championship'!$G101="","",'PGA Championship'!$E101)</f>
        <v/>
      </c>
      <c r="K696">
        <f>IF('PGA Championship'!$G101="","",'PGA Championship'!$J101)</f>
        <v/>
      </c>
      <c r="L696">
        <f>IF('PGA Championship'!$G101="","","")</f>
        <v/>
      </c>
      <c r="M696">
        <f>IF('PGA Championship'!$G101="","",'PGA Championship'!$F101)</f>
        <v/>
      </c>
      <c r="N696">
        <f>IF('PGA Championship'!$G101="","",'PGA Championship'!$G101)</f>
        <v/>
      </c>
      <c r="O696">
        <f>IF('PGA Championship'!$G101="","",'PGA Championship'!$G101)</f>
        <v/>
      </c>
      <c r="P696">
        <f>IF('PGA Championship'!$G101="","",'PGA Championship'!$H101)</f>
        <v/>
      </c>
    </row>
    <row r="697">
      <c r="A697">
        <f>IF('PGA Championship'!$G102="","","PGA Championship")</f>
        <v/>
      </c>
      <c r="B697">
        <f>IF('PGA Championship'!$G102="","","Major")</f>
        <v/>
      </c>
      <c r="C697" s="18">
        <f>IF('PGA Championship'!$G102="","",'PGA Championship'!$B$3)</f>
        <v/>
      </c>
      <c r="D697">
        <f>IF('PGA Championship'!$G102="","",'PGA Championship'!$D102&amp;"")</f>
        <v/>
      </c>
      <c r="F697">
        <f>IF('PGA Championship'!$G102="","",'PGA Championship'!$A102&amp;"")</f>
        <v/>
      </c>
      <c r="J697">
        <f>IF('PGA Championship'!$G102="","",'PGA Championship'!$E102)</f>
        <v/>
      </c>
      <c r="K697">
        <f>IF('PGA Championship'!$G102="","",'PGA Championship'!$J102)</f>
        <v/>
      </c>
      <c r="L697">
        <f>IF('PGA Championship'!$G102="","","")</f>
        <v/>
      </c>
      <c r="M697">
        <f>IF('PGA Championship'!$G102="","",'PGA Championship'!$F102)</f>
        <v/>
      </c>
      <c r="N697">
        <f>IF('PGA Championship'!$G102="","",'PGA Championship'!$G102)</f>
        <v/>
      </c>
      <c r="O697">
        <f>IF('PGA Championship'!$G102="","",'PGA Championship'!$G102)</f>
        <v/>
      </c>
      <c r="P697">
        <f>IF('PGA Championship'!$G102="","",'PGA Championship'!$H102)</f>
        <v/>
      </c>
    </row>
    <row r="698">
      <c r="A698">
        <f>IF('PGA Championship'!$G103="","","PGA Championship")</f>
        <v/>
      </c>
      <c r="B698">
        <f>IF('PGA Championship'!$G103="","","Major")</f>
        <v/>
      </c>
      <c r="C698" s="18">
        <f>IF('PGA Championship'!$G103="","",'PGA Championship'!$B$3)</f>
        <v/>
      </c>
      <c r="D698">
        <f>IF('PGA Championship'!$G103="","",'PGA Championship'!$D103&amp;"")</f>
        <v/>
      </c>
      <c r="F698">
        <f>IF('PGA Championship'!$G103="","",'PGA Championship'!$A103&amp;"")</f>
        <v/>
      </c>
      <c r="J698">
        <f>IF('PGA Championship'!$G103="","",'PGA Championship'!$E103)</f>
        <v/>
      </c>
      <c r="K698">
        <f>IF('PGA Championship'!$G103="","",'PGA Championship'!$J103)</f>
        <v/>
      </c>
      <c r="L698">
        <f>IF('PGA Championship'!$G103="","","")</f>
        <v/>
      </c>
      <c r="M698">
        <f>IF('PGA Championship'!$G103="","",'PGA Championship'!$F103)</f>
        <v/>
      </c>
      <c r="N698">
        <f>IF('PGA Championship'!$G103="","",'PGA Championship'!$G103)</f>
        <v/>
      </c>
      <c r="O698">
        <f>IF('PGA Championship'!$G103="","",'PGA Championship'!$G103)</f>
        <v/>
      </c>
      <c r="P698">
        <f>IF('PGA Championship'!$G103="","",'PGA Championship'!$H103)</f>
        <v/>
      </c>
    </row>
    <row r="699">
      <c r="A699">
        <f>IF('PGA Championship'!$G104="","","PGA Championship")</f>
        <v/>
      </c>
      <c r="B699">
        <f>IF('PGA Championship'!$G104="","","Major")</f>
        <v/>
      </c>
      <c r="C699" s="18">
        <f>IF('PGA Championship'!$G104="","",'PGA Championship'!$B$3)</f>
        <v/>
      </c>
      <c r="D699">
        <f>IF('PGA Championship'!$G104="","",'PGA Championship'!$D104&amp;"")</f>
        <v/>
      </c>
      <c r="F699">
        <f>IF('PGA Championship'!$G104="","",'PGA Championship'!$A104&amp;"")</f>
        <v/>
      </c>
      <c r="J699">
        <f>IF('PGA Championship'!$G104="","",'PGA Championship'!$E104)</f>
        <v/>
      </c>
      <c r="K699">
        <f>IF('PGA Championship'!$G104="","",'PGA Championship'!$J104)</f>
        <v/>
      </c>
      <c r="L699">
        <f>IF('PGA Championship'!$G104="","","")</f>
        <v/>
      </c>
      <c r="M699">
        <f>IF('PGA Championship'!$G104="","",'PGA Championship'!$F104)</f>
        <v/>
      </c>
      <c r="N699">
        <f>IF('PGA Championship'!$G104="","",'PGA Championship'!$G104)</f>
        <v/>
      </c>
      <c r="O699">
        <f>IF('PGA Championship'!$G104="","",'PGA Championship'!$G104)</f>
        <v/>
      </c>
      <c r="P699">
        <f>IF('PGA Championship'!$G104="","",'PGA Championship'!$H104)</f>
        <v/>
      </c>
    </row>
    <row r="700">
      <c r="A700">
        <f>IF('PGA Championship'!$G105="","","PGA Championship")</f>
        <v/>
      </c>
      <c r="B700">
        <f>IF('PGA Championship'!$G105="","","Major")</f>
        <v/>
      </c>
      <c r="C700" s="18">
        <f>IF('PGA Championship'!$G105="","",'PGA Championship'!$B$3)</f>
        <v/>
      </c>
      <c r="D700">
        <f>IF('PGA Championship'!$G105="","",'PGA Championship'!$D105&amp;"")</f>
        <v/>
      </c>
      <c r="F700">
        <f>IF('PGA Championship'!$G105="","",'PGA Championship'!$A105&amp;"")</f>
        <v/>
      </c>
      <c r="J700">
        <f>IF('PGA Championship'!$G105="","",'PGA Championship'!$E105)</f>
        <v/>
      </c>
      <c r="K700">
        <f>IF('PGA Championship'!$G105="","",'PGA Championship'!$J105)</f>
        <v/>
      </c>
      <c r="L700">
        <f>IF('PGA Championship'!$G105="","","")</f>
        <v/>
      </c>
      <c r="M700">
        <f>IF('PGA Championship'!$G105="","",'PGA Championship'!$F105)</f>
        <v/>
      </c>
      <c r="N700">
        <f>IF('PGA Championship'!$G105="","",'PGA Championship'!$G105)</f>
        <v/>
      </c>
      <c r="O700">
        <f>IF('PGA Championship'!$G105="","",'PGA Championship'!$G105)</f>
        <v/>
      </c>
      <c r="P700">
        <f>IF('PGA Championship'!$G105="","",'PGA Championship'!$H105)</f>
        <v/>
      </c>
    </row>
    <row r="701">
      <c r="A701">
        <f>IF('PGA Championship'!$G106="","","PGA Championship")</f>
        <v/>
      </c>
      <c r="B701">
        <f>IF('PGA Championship'!$G106="","","Major")</f>
        <v/>
      </c>
      <c r="C701" s="18">
        <f>IF('PGA Championship'!$G106="","",'PGA Championship'!$B$3)</f>
        <v/>
      </c>
      <c r="D701">
        <f>IF('PGA Championship'!$G106="","",'PGA Championship'!$D106&amp;"")</f>
        <v/>
      </c>
      <c r="F701">
        <f>IF('PGA Championship'!$G106="","",'PGA Championship'!$A106&amp;"")</f>
        <v/>
      </c>
      <c r="J701">
        <f>IF('PGA Championship'!$G106="","",'PGA Championship'!$E106)</f>
        <v/>
      </c>
      <c r="K701">
        <f>IF('PGA Championship'!$G106="","",'PGA Championship'!$J106)</f>
        <v/>
      </c>
      <c r="L701">
        <f>IF('PGA Championship'!$G106="","","")</f>
        <v/>
      </c>
      <c r="M701">
        <f>IF('PGA Championship'!$G106="","",'PGA Championship'!$F106)</f>
        <v/>
      </c>
      <c r="N701">
        <f>IF('PGA Championship'!$G106="","",'PGA Championship'!$G106)</f>
        <v/>
      </c>
      <c r="O701">
        <f>IF('PGA Championship'!$G106="","",'PGA Championship'!$G106)</f>
        <v/>
      </c>
      <c r="P701">
        <f>IF('PGA Championship'!$G106="","",'PGA Championship'!$H106)</f>
        <v/>
      </c>
    </row>
    <row r="702">
      <c r="A702">
        <f>IF('PGA Championship'!$G107="","","PGA Championship")</f>
        <v/>
      </c>
      <c r="B702">
        <f>IF('PGA Championship'!$G107="","","Major")</f>
        <v/>
      </c>
      <c r="C702" s="18">
        <f>IF('PGA Championship'!$G107="","",'PGA Championship'!$B$3)</f>
        <v/>
      </c>
      <c r="D702">
        <f>IF('PGA Championship'!$G107="","",'PGA Championship'!$D107&amp;"")</f>
        <v/>
      </c>
      <c r="F702">
        <f>IF('PGA Championship'!$G107="","",'PGA Championship'!$A107&amp;"")</f>
        <v/>
      </c>
      <c r="J702">
        <f>IF('PGA Championship'!$G107="","",'PGA Championship'!$E107)</f>
        <v/>
      </c>
      <c r="K702">
        <f>IF('PGA Championship'!$G107="","",'PGA Championship'!$J107)</f>
        <v/>
      </c>
      <c r="L702">
        <f>IF('PGA Championship'!$G107="","","")</f>
        <v/>
      </c>
      <c r="M702">
        <f>IF('PGA Championship'!$G107="","",'PGA Championship'!$F107)</f>
        <v/>
      </c>
      <c r="N702">
        <f>IF('PGA Championship'!$G107="","",'PGA Championship'!$G107)</f>
        <v/>
      </c>
      <c r="O702">
        <f>IF('PGA Championship'!$G107="","",'PGA Championship'!$G107)</f>
        <v/>
      </c>
      <c r="P702">
        <f>IF('PGA Championship'!$G107="","",'PGA Championship'!$H107)</f>
        <v/>
      </c>
    </row>
    <row r="703">
      <c r="A703">
        <f>IF('PGA Championship'!$G108="","","PGA Championship")</f>
        <v/>
      </c>
      <c r="B703">
        <f>IF('PGA Championship'!$G108="","","Major")</f>
        <v/>
      </c>
      <c r="C703" s="18">
        <f>IF('PGA Championship'!$G108="","",'PGA Championship'!$B$3)</f>
        <v/>
      </c>
      <c r="D703">
        <f>IF('PGA Championship'!$G108="","",'PGA Championship'!$D108&amp;"")</f>
        <v/>
      </c>
      <c r="F703">
        <f>IF('PGA Championship'!$G108="","",'PGA Championship'!$A108&amp;"")</f>
        <v/>
      </c>
      <c r="J703">
        <f>IF('PGA Championship'!$G108="","",'PGA Championship'!$E108)</f>
        <v/>
      </c>
      <c r="K703">
        <f>IF('PGA Championship'!$G108="","",'PGA Championship'!$J108)</f>
        <v/>
      </c>
      <c r="L703">
        <f>IF('PGA Championship'!$G108="","","")</f>
        <v/>
      </c>
      <c r="M703">
        <f>IF('PGA Championship'!$G108="","",'PGA Championship'!$F108)</f>
        <v/>
      </c>
      <c r="N703">
        <f>IF('PGA Championship'!$G108="","",'PGA Championship'!$G108)</f>
        <v/>
      </c>
      <c r="O703">
        <f>IF('PGA Championship'!$G108="","",'PGA Championship'!$G108)</f>
        <v/>
      </c>
      <c r="P703">
        <f>IF('PGA Championship'!$G108="","",'PGA Championship'!$H108)</f>
        <v/>
      </c>
    </row>
    <row r="704">
      <c r="A704">
        <f>IF('PGA Championship'!$G109="","","PGA Championship")</f>
        <v/>
      </c>
      <c r="B704">
        <f>IF('PGA Championship'!$G109="","","Major")</f>
        <v/>
      </c>
      <c r="C704" s="18">
        <f>IF('PGA Championship'!$G109="","",'PGA Championship'!$B$3)</f>
        <v/>
      </c>
      <c r="D704">
        <f>IF('PGA Championship'!$G109="","",'PGA Championship'!$D109&amp;"")</f>
        <v/>
      </c>
      <c r="F704">
        <f>IF('PGA Championship'!$G109="","",'PGA Championship'!$A109&amp;"")</f>
        <v/>
      </c>
      <c r="J704">
        <f>IF('PGA Championship'!$G109="","",'PGA Championship'!$E109)</f>
        <v/>
      </c>
      <c r="K704">
        <f>IF('PGA Championship'!$G109="","",'PGA Championship'!$J109)</f>
        <v/>
      </c>
      <c r="L704">
        <f>IF('PGA Championship'!$G109="","","")</f>
        <v/>
      </c>
      <c r="M704">
        <f>IF('PGA Championship'!$G109="","",'PGA Championship'!$F109)</f>
        <v/>
      </c>
      <c r="N704">
        <f>IF('PGA Championship'!$G109="","",'PGA Championship'!$G109)</f>
        <v/>
      </c>
      <c r="O704">
        <f>IF('PGA Championship'!$G109="","",'PGA Championship'!$G109)</f>
        <v/>
      </c>
      <c r="P704">
        <f>IF('PGA Championship'!$G109="","",'PGA Championship'!$H109)</f>
        <v/>
      </c>
    </row>
    <row r="705">
      <c r="A705">
        <f>IF('PGA Championship'!$G110="","","PGA Championship")</f>
        <v/>
      </c>
      <c r="B705">
        <f>IF('PGA Championship'!$G110="","","Major")</f>
        <v/>
      </c>
      <c r="C705" s="18">
        <f>IF('PGA Championship'!$G110="","",'PGA Championship'!$B$3)</f>
        <v/>
      </c>
      <c r="D705">
        <f>IF('PGA Championship'!$G110="","",'PGA Championship'!$D110&amp;"")</f>
        <v/>
      </c>
      <c r="F705">
        <f>IF('PGA Championship'!$G110="","",'PGA Championship'!$A110&amp;"")</f>
        <v/>
      </c>
      <c r="J705">
        <f>IF('PGA Championship'!$G110="","",'PGA Championship'!$E110)</f>
        <v/>
      </c>
      <c r="K705">
        <f>IF('PGA Championship'!$G110="","",'PGA Championship'!$J110)</f>
        <v/>
      </c>
      <c r="L705">
        <f>IF('PGA Championship'!$G110="","","")</f>
        <v/>
      </c>
      <c r="M705">
        <f>IF('PGA Championship'!$G110="","",'PGA Championship'!$F110)</f>
        <v/>
      </c>
      <c r="N705">
        <f>IF('PGA Championship'!$G110="","",'PGA Championship'!$G110)</f>
        <v/>
      </c>
      <c r="O705">
        <f>IF('PGA Championship'!$G110="","",'PGA Championship'!$G110)</f>
        <v/>
      </c>
      <c r="P705">
        <f>IF('PGA Championship'!$G110="","",'PGA Championship'!$H110)</f>
        <v/>
      </c>
    </row>
    <row r="706">
      <c r="A706">
        <f>IF('PGA Championship'!$G111="","","PGA Championship")</f>
        <v/>
      </c>
      <c r="B706">
        <f>IF('PGA Championship'!$G111="","","Major")</f>
        <v/>
      </c>
      <c r="C706" s="18">
        <f>IF('PGA Championship'!$G111="","",'PGA Championship'!$B$3)</f>
        <v/>
      </c>
      <c r="D706">
        <f>IF('PGA Championship'!$G111="","",'PGA Championship'!$D111&amp;"")</f>
        <v/>
      </c>
      <c r="F706">
        <f>IF('PGA Championship'!$G111="","",'PGA Championship'!$A111&amp;"")</f>
        <v/>
      </c>
      <c r="J706">
        <f>IF('PGA Championship'!$G111="","",'PGA Championship'!$E111)</f>
        <v/>
      </c>
      <c r="K706">
        <f>IF('PGA Championship'!$G111="","",'PGA Championship'!$J111)</f>
        <v/>
      </c>
      <c r="L706">
        <f>IF('PGA Championship'!$G111="","","")</f>
        <v/>
      </c>
      <c r="M706">
        <f>IF('PGA Championship'!$G111="","",'PGA Championship'!$F111)</f>
        <v/>
      </c>
      <c r="N706">
        <f>IF('PGA Championship'!$G111="","",'PGA Championship'!$G111)</f>
        <v/>
      </c>
      <c r="O706">
        <f>IF('PGA Championship'!$G111="","",'PGA Championship'!$G111)</f>
        <v/>
      </c>
      <c r="P706">
        <f>IF('PGA Championship'!$G111="","",'PGA Championship'!$H111)</f>
        <v/>
      </c>
    </row>
    <row r="707">
      <c r="A707">
        <f>IF('PGA Championship'!$G112="","","PGA Championship")</f>
        <v/>
      </c>
      <c r="B707">
        <f>IF('PGA Championship'!$G112="","","Major")</f>
        <v/>
      </c>
      <c r="C707" s="18">
        <f>IF('PGA Championship'!$G112="","",'PGA Championship'!$B$3)</f>
        <v/>
      </c>
      <c r="D707">
        <f>IF('PGA Championship'!$G112="","",'PGA Championship'!$D112&amp;"")</f>
        <v/>
      </c>
      <c r="F707">
        <f>IF('PGA Championship'!$G112="","",'PGA Championship'!$A112&amp;"")</f>
        <v/>
      </c>
      <c r="J707">
        <f>IF('PGA Championship'!$G112="","",'PGA Championship'!$E112)</f>
        <v/>
      </c>
      <c r="K707">
        <f>IF('PGA Championship'!$G112="","",'PGA Championship'!$J112)</f>
        <v/>
      </c>
      <c r="L707">
        <f>IF('PGA Championship'!$G112="","","")</f>
        <v/>
      </c>
      <c r="M707">
        <f>IF('PGA Championship'!$G112="","",'PGA Championship'!$F112)</f>
        <v/>
      </c>
      <c r="N707">
        <f>IF('PGA Championship'!$G112="","",'PGA Championship'!$G112)</f>
        <v/>
      </c>
      <c r="O707">
        <f>IF('PGA Championship'!$G112="","",'PGA Championship'!$G112)</f>
        <v/>
      </c>
      <c r="P707">
        <f>IF('PGA Championship'!$G112="","",'PGA Championship'!$H112)</f>
        <v/>
      </c>
    </row>
    <row r="708">
      <c r="A708">
        <f>IF('PGA Championship'!$G113="","","PGA Championship")</f>
        <v/>
      </c>
      <c r="B708">
        <f>IF('PGA Championship'!$G113="","","Major")</f>
        <v/>
      </c>
      <c r="C708" s="18">
        <f>IF('PGA Championship'!$G113="","",'PGA Championship'!$B$3)</f>
        <v/>
      </c>
      <c r="D708">
        <f>IF('PGA Championship'!$G113="","",'PGA Championship'!$D113&amp;"")</f>
        <v/>
      </c>
      <c r="F708">
        <f>IF('PGA Championship'!$G113="","",'PGA Championship'!$A113&amp;"")</f>
        <v/>
      </c>
      <c r="J708">
        <f>IF('PGA Championship'!$G113="","",'PGA Championship'!$E113)</f>
        <v/>
      </c>
      <c r="K708">
        <f>IF('PGA Championship'!$G113="","",'PGA Championship'!$J113)</f>
        <v/>
      </c>
      <c r="L708">
        <f>IF('PGA Championship'!$G113="","","")</f>
        <v/>
      </c>
      <c r="M708">
        <f>IF('PGA Championship'!$G113="","",'PGA Championship'!$F113)</f>
        <v/>
      </c>
      <c r="N708">
        <f>IF('PGA Championship'!$G113="","",'PGA Championship'!$G113)</f>
        <v/>
      </c>
      <c r="O708">
        <f>IF('PGA Championship'!$G113="","",'PGA Championship'!$G113)</f>
        <v/>
      </c>
      <c r="P708">
        <f>IF('PGA Championship'!$G113="","",'PGA Championship'!$H113)</f>
        <v/>
      </c>
    </row>
    <row r="709">
      <c r="A709">
        <f>IF('PGA Championship'!$G114="","","PGA Championship")</f>
        <v/>
      </c>
      <c r="B709">
        <f>IF('PGA Championship'!$G114="","","Major")</f>
        <v/>
      </c>
      <c r="C709" s="18">
        <f>IF('PGA Championship'!$G114="","",'PGA Championship'!$B$3)</f>
        <v/>
      </c>
      <c r="D709">
        <f>IF('PGA Championship'!$G114="","",'PGA Championship'!$D114&amp;"")</f>
        <v/>
      </c>
      <c r="F709">
        <f>IF('PGA Championship'!$G114="","",'PGA Championship'!$A114&amp;"")</f>
        <v/>
      </c>
      <c r="J709">
        <f>IF('PGA Championship'!$G114="","",'PGA Championship'!$E114)</f>
        <v/>
      </c>
      <c r="K709">
        <f>IF('PGA Championship'!$G114="","",'PGA Championship'!$J114)</f>
        <v/>
      </c>
      <c r="L709">
        <f>IF('PGA Championship'!$G114="","","")</f>
        <v/>
      </c>
      <c r="M709">
        <f>IF('PGA Championship'!$G114="","",'PGA Championship'!$F114)</f>
        <v/>
      </c>
      <c r="N709">
        <f>IF('PGA Championship'!$G114="","",'PGA Championship'!$G114)</f>
        <v/>
      </c>
      <c r="O709">
        <f>IF('PGA Championship'!$G114="","",'PGA Championship'!$G114)</f>
        <v/>
      </c>
      <c r="P709">
        <f>IF('PGA Championship'!$G114="","",'PGA Championship'!$H114)</f>
        <v/>
      </c>
    </row>
    <row r="710">
      <c r="A710">
        <f>IF('PGA Championship'!$G115="","","PGA Championship")</f>
        <v/>
      </c>
      <c r="B710">
        <f>IF('PGA Championship'!$G115="","","Major")</f>
        <v/>
      </c>
      <c r="C710" s="18">
        <f>IF('PGA Championship'!$G115="","",'PGA Championship'!$B$3)</f>
        <v/>
      </c>
      <c r="D710">
        <f>IF('PGA Championship'!$G115="","",'PGA Championship'!$D115&amp;"")</f>
        <v/>
      </c>
      <c r="F710">
        <f>IF('PGA Championship'!$G115="","",'PGA Championship'!$A115&amp;"")</f>
        <v/>
      </c>
      <c r="J710">
        <f>IF('PGA Championship'!$G115="","",'PGA Championship'!$E115)</f>
        <v/>
      </c>
      <c r="K710">
        <f>IF('PGA Championship'!$G115="","",'PGA Championship'!$J115)</f>
        <v/>
      </c>
      <c r="L710">
        <f>IF('PGA Championship'!$G115="","","")</f>
        <v/>
      </c>
      <c r="M710">
        <f>IF('PGA Championship'!$G115="","",'PGA Championship'!$F115)</f>
        <v/>
      </c>
      <c r="N710">
        <f>IF('PGA Championship'!$G115="","",'PGA Championship'!$G115)</f>
        <v/>
      </c>
      <c r="O710">
        <f>IF('PGA Championship'!$G115="","",'PGA Championship'!$G115)</f>
        <v/>
      </c>
      <c r="P710">
        <f>IF('PGA Championship'!$G115="","",'PGA Championship'!$H115)</f>
        <v/>
      </c>
    </row>
    <row r="711">
      <c r="A711">
        <f>IF('PGA Championship'!$G116="","","PGA Championship")</f>
        <v/>
      </c>
      <c r="B711">
        <f>IF('PGA Championship'!$G116="","","Major")</f>
        <v/>
      </c>
      <c r="C711" s="18">
        <f>IF('PGA Championship'!$G116="","",'PGA Championship'!$B$3)</f>
        <v/>
      </c>
      <c r="D711">
        <f>IF('PGA Championship'!$G116="","",'PGA Championship'!$D116&amp;"")</f>
        <v/>
      </c>
      <c r="F711">
        <f>IF('PGA Championship'!$G116="","",'PGA Championship'!$A116&amp;"")</f>
        <v/>
      </c>
      <c r="J711">
        <f>IF('PGA Championship'!$G116="","",'PGA Championship'!$E116)</f>
        <v/>
      </c>
      <c r="K711">
        <f>IF('PGA Championship'!$G116="","",'PGA Championship'!$J116)</f>
        <v/>
      </c>
      <c r="L711">
        <f>IF('PGA Championship'!$G116="","","")</f>
        <v/>
      </c>
      <c r="M711">
        <f>IF('PGA Championship'!$G116="","",'PGA Championship'!$F116)</f>
        <v/>
      </c>
      <c r="N711">
        <f>IF('PGA Championship'!$G116="","",'PGA Championship'!$G116)</f>
        <v/>
      </c>
      <c r="O711">
        <f>IF('PGA Championship'!$G116="","",'PGA Championship'!$G116)</f>
        <v/>
      </c>
      <c r="P711">
        <f>IF('PGA Championship'!$G116="","",'PGA Championship'!$H116)</f>
        <v/>
      </c>
    </row>
    <row r="712">
      <c r="A712">
        <f>IF('PGA Championship'!$G117="","","PGA Championship")</f>
        <v/>
      </c>
      <c r="B712">
        <f>IF('PGA Championship'!$G117="","","Major")</f>
        <v/>
      </c>
      <c r="C712" s="18">
        <f>IF('PGA Championship'!$G117="","",'PGA Championship'!$B$3)</f>
        <v/>
      </c>
      <c r="D712">
        <f>IF('PGA Championship'!$G117="","",'PGA Championship'!$D117&amp;"")</f>
        <v/>
      </c>
      <c r="F712">
        <f>IF('PGA Championship'!$G117="","",'PGA Championship'!$A117&amp;"")</f>
        <v/>
      </c>
      <c r="J712">
        <f>IF('PGA Championship'!$G117="","",'PGA Championship'!$E117)</f>
        <v/>
      </c>
      <c r="K712">
        <f>IF('PGA Championship'!$G117="","",'PGA Championship'!$J117)</f>
        <v/>
      </c>
      <c r="L712">
        <f>IF('PGA Championship'!$G117="","","")</f>
        <v/>
      </c>
      <c r="M712">
        <f>IF('PGA Championship'!$G117="","",'PGA Championship'!$F117)</f>
        <v/>
      </c>
      <c r="N712">
        <f>IF('PGA Championship'!$G117="","",'PGA Championship'!$G117)</f>
        <v/>
      </c>
      <c r="O712">
        <f>IF('PGA Championship'!$G117="","",'PGA Championship'!$G117)</f>
        <v/>
      </c>
      <c r="P712">
        <f>IF('PGA Championship'!$G117="","",'PGA Championship'!$H117)</f>
        <v/>
      </c>
    </row>
    <row r="713">
      <c r="A713">
        <f>IF('PGA Championship'!$G118="","","PGA Championship")</f>
        <v/>
      </c>
      <c r="B713">
        <f>IF('PGA Championship'!$G118="","","Major")</f>
        <v/>
      </c>
      <c r="C713" s="18">
        <f>IF('PGA Championship'!$G118="","",'PGA Championship'!$B$3)</f>
        <v/>
      </c>
      <c r="D713">
        <f>IF('PGA Championship'!$G118="","",'PGA Championship'!$D118&amp;"")</f>
        <v/>
      </c>
      <c r="F713">
        <f>IF('PGA Championship'!$G118="","",'PGA Championship'!$A118&amp;"")</f>
        <v/>
      </c>
      <c r="J713">
        <f>IF('PGA Championship'!$G118="","",'PGA Championship'!$E118)</f>
        <v/>
      </c>
      <c r="K713">
        <f>IF('PGA Championship'!$G118="","",'PGA Championship'!$J118)</f>
        <v/>
      </c>
      <c r="L713">
        <f>IF('PGA Championship'!$G118="","","")</f>
        <v/>
      </c>
      <c r="M713">
        <f>IF('PGA Championship'!$G118="","",'PGA Championship'!$F118)</f>
        <v/>
      </c>
      <c r="N713">
        <f>IF('PGA Championship'!$G118="","",'PGA Championship'!$G118)</f>
        <v/>
      </c>
      <c r="O713">
        <f>IF('PGA Championship'!$G118="","",'PGA Championship'!$G118)</f>
        <v/>
      </c>
      <c r="P713">
        <f>IF('PGA Championship'!$G118="","",'PGA Championship'!$H118)</f>
        <v/>
      </c>
    </row>
    <row r="714">
      <c r="A714">
        <f>IF('PGA Championship'!$G119="","","PGA Championship")</f>
        <v/>
      </c>
      <c r="B714">
        <f>IF('PGA Championship'!$G119="","","Major")</f>
        <v/>
      </c>
      <c r="C714" s="18">
        <f>IF('PGA Championship'!$G119="","",'PGA Championship'!$B$3)</f>
        <v/>
      </c>
      <c r="D714">
        <f>IF('PGA Championship'!$G119="","",'PGA Championship'!$D119&amp;"")</f>
        <v/>
      </c>
      <c r="F714">
        <f>IF('PGA Championship'!$G119="","",'PGA Championship'!$A119&amp;"")</f>
        <v/>
      </c>
      <c r="J714">
        <f>IF('PGA Championship'!$G119="","",'PGA Championship'!$E119)</f>
        <v/>
      </c>
      <c r="K714">
        <f>IF('PGA Championship'!$G119="","",'PGA Championship'!$J119)</f>
        <v/>
      </c>
      <c r="L714">
        <f>IF('PGA Championship'!$G119="","","")</f>
        <v/>
      </c>
      <c r="M714">
        <f>IF('PGA Championship'!$G119="","",'PGA Championship'!$F119)</f>
        <v/>
      </c>
      <c r="N714">
        <f>IF('PGA Championship'!$G119="","",'PGA Championship'!$G119)</f>
        <v/>
      </c>
      <c r="O714">
        <f>IF('PGA Championship'!$G119="","",'PGA Championship'!$G119)</f>
        <v/>
      </c>
      <c r="P714">
        <f>IF('PGA Championship'!$G119="","",'PGA Championship'!$H119)</f>
        <v/>
      </c>
    </row>
    <row r="715">
      <c r="A715">
        <f>IF('PGA Championship'!$G120="","","PGA Championship")</f>
        <v/>
      </c>
      <c r="B715">
        <f>IF('PGA Championship'!$G120="","","Major")</f>
        <v/>
      </c>
      <c r="C715" s="18">
        <f>IF('PGA Championship'!$G120="","",'PGA Championship'!$B$3)</f>
        <v/>
      </c>
      <c r="D715">
        <f>IF('PGA Championship'!$G120="","",'PGA Championship'!$D120&amp;"")</f>
        <v/>
      </c>
      <c r="F715">
        <f>IF('PGA Championship'!$G120="","",'PGA Championship'!$A120&amp;"")</f>
        <v/>
      </c>
      <c r="J715">
        <f>IF('PGA Championship'!$G120="","",'PGA Championship'!$E120)</f>
        <v/>
      </c>
      <c r="K715">
        <f>IF('PGA Championship'!$G120="","",'PGA Championship'!$J120)</f>
        <v/>
      </c>
      <c r="L715">
        <f>IF('PGA Championship'!$G120="","","")</f>
        <v/>
      </c>
      <c r="M715">
        <f>IF('PGA Championship'!$G120="","",'PGA Championship'!$F120)</f>
        <v/>
      </c>
      <c r="N715">
        <f>IF('PGA Championship'!$G120="","",'PGA Championship'!$G120)</f>
        <v/>
      </c>
      <c r="O715">
        <f>IF('PGA Championship'!$G120="","",'PGA Championship'!$G120)</f>
        <v/>
      </c>
      <c r="P715">
        <f>IF('PGA Championship'!$G120="","",'PGA Championship'!$H120)</f>
        <v/>
      </c>
    </row>
    <row r="716">
      <c r="A716">
        <f>IF('PGA Championship'!$G121="","","PGA Championship")</f>
        <v/>
      </c>
      <c r="B716">
        <f>IF('PGA Championship'!$G121="","","Major")</f>
        <v/>
      </c>
      <c r="C716" s="18">
        <f>IF('PGA Championship'!$G121="","",'PGA Championship'!$B$3)</f>
        <v/>
      </c>
      <c r="D716">
        <f>IF('PGA Championship'!$G121="","",'PGA Championship'!$D121&amp;"")</f>
        <v/>
      </c>
      <c r="F716">
        <f>IF('PGA Championship'!$G121="","",'PGA Championship'!$A121&amp;"")</f>
        <v/>
      </c>
      <c r="J716">
        <f>IF('PGA Championship'!$G121="","",'PGA Championship'!$E121)</f>
        <v/>
      </c>
      <c r="K716">
        <f>IF('PGA Championship'!$G121="","",'PGA Championship'!$J121)</f>
        <v/>
      </c>
      <c r="L716">
        <f>IF('PGA Championship'!$G121="","","")</f>
        <v/>
      </c>
      <c r="M716">
        <f>IF('PGA Championship'!$G121="","",'PGA Championship'!$F121)</f>
        <v/>
      </c>
      <c r="N716">
        <f>IF('PGA Championship'!$G121="","",'PGA Championship'!$G121)</f>
        <v/>
      </c>
      <c r="O716">
        <f>IF('PGA Championship'!$G121="","",'PGA Championship'!$G121)</f>
        <v/>
      </c>
      <c r="P716">
        <f>IF('PGA Championship'!$G121="","",'PGA Championship'!$H121)</f>
        <v/>
      </c>
    </row>
    <row r="717">
      <c r="A717">
        <f>IF('PGA Championship'!$G122="","","PGA Championship")</f>
        <v/>
      </c>
      <c r="B717">
        <f>IF('PGA Championship'!$G122="","","Major")</f>
        <v/>
      </c>
      <c r="C717" s="18">
        <f>IF('PGA Championship'!$G122="","",'PGA Championship'!$B$3)</f>
        <v/>
      </c>
      <c r="D717">
        <f>IF('PGA Championship'!$G122="","",'PGA Championship'!$D122&amp;"")</f>
        <v/>
      </c>
      <c r="F717">
        <f>IF('PGA Championship'!$G122="","",'PGA Championship'!$A122&amp;"")</f>
        <v/>
      </c>
      <c r="J717">
        <f>IF('PGA Championship'!$G122="","",'PGA Championship'!$E122)</f>
        <v/>
      </c>
      <c r="K717">
        <f>IF('PGA Championship'!$G122="","",'PGA Championship'!$J122)</f>
        <v/>
      </c>
      <c r="L717">
        <f>IF('PGA Championship'!$G122="","","")</f>
        <v/>
      </c>
      <c r="M717">
        <f>IF('PGA Championship'!$G122="","",'PGA Championship'!$F122)</f>
        <v/>
      </c>
      <c r="N717">
        <f>IF('PGA Championship'!$G122="","",'PGA Championship'!$G122)</f>
        <v/>
      </c>
      <c r="O717">
        <f>IF('PGA Championship'!$G122="","",'PGA Championship'!$G122)</f>
        <v/>
      </c>
      <c r="P717">
        <f>IF('PGA Championship'!$G122="","",'PGA Championship'!$H122)</f>
        <v/>
      </c>
    </row>
    <row r="718">
      <c r="A718">
        <f>IF('PGA Championship'!$G123="","","PGA Championship")</f>
        <v/>
      </c>
      <c r="B718">
        <f>IF('PGA Championship'!$G123="","","Major")</f>
        <v/>
      </c>
      <c r="C718" s="18">
        <f>IF('PGA Championship'!$G123="","",'PGA Championship'!$B$3)</f>
        <v/>
      </c>
      <c r="D718">
        <f>IF('PGA Championship'!$G123="","",'PGA Championship'!$D123&amp;"")</f>
        <v/>
      </c>
      <c r="F718">
        <f>IF('PGA Championship'!$G123="","",'PGA Championship'!$A123&amp;"")</f>
        <v/>
      </c>
      <c r="J718">
        <f>IF('PGA Championship'!$G123="","",'PGA Championship'!$E123)</f>
        <v/>
      </c>
      <c r="K718">
        <f>IF('PGA Championship'!$G123="","",'PGA Championship'!$J123)</f>
        <v/>
      </c>
      <c r="L718">
        <f>IF('PGA Championship'!$G123="","","")</f>
        <v/>
      </c>
      <c r="M718">
        <f>IF('PGA Championship'!$G123="","",'PGA Championship'!$F123)</f>
        <v/>
      </c>
      <c r="N718">
        <f>IF('PGA Championship'!$G123="","",'PGA Championship'!$G123)</f>
        <v/>
      </c>
      <c r="O718">
        <f>IF('PGA Championship'!$G123="","",'PGA Championship'!$G123)</f>
        <v/>
      </c>
      <c r="P718">
        <f>IF('PGA Championship'!$G123="","",'PGA Championship'!$H123)</f>
        <v/>
      </c>
    </row>
    <row r="719">
      <c r="A719">
        <f>IF('PGA Championship'!$G124="","","PGA Championship")</f>
        <v/>
      </c>
      <c r="B719">
        <f>IF('PGA Championship'!$G124="","","Major")</f>
        <v/>
      </c>
      <c r="C719" s="18">
        <f>IF('PGA Championship'!$G124="","",'PGA Championship'!$B$3)</f>
        <v/>
      </c>
      <c r="D719">
        <f>IF('PGA Championship'!$G124="","",'PGA Championship'!$D124&amp;"")</f>
        <v/>
      </c>
      <c r="F719">
        <f>IF('PGA Championship'!$G124="","",'PGA Championship'!$A124&amp;"")</f>
        <v/>
      </c>
      <c r="J719">
        <f>IF('PGA Championship'!$G124="","",'PGA Championship'!$E124)</f>
        <v/>
      </c>
      <c r="K719">
        <f>IF('PGA Championship'!$G124="","",'PGA Championship'!$J124)</f>
        <v/>
      </c>
      <c r="L719">
        <f>IF('PGA Championship'!$G124="","","")</f>
        <v/>
      </c>
      <c r="M719">
        <f>IF('PGA Championship'!$G124="","",'PGA Championship'!$F124)</f>
        <v/>
      </c>
      <c r="N719">
        <f>IF('PGA Championship'!$G124="","",'PGA Championship'!$G124)</f>
        <v/>
      </c>
      <c r="O719">
        <f>IF('PGA Championship'!$G124="","",'PGA Championship'!$G124)</f>
        <v/>
      </c>
      <c r="P719">
        <f>IF('PGA Championship'!$G124="","",'PGA Championship'!$H124)</f>
        <v/>
      </c>
    </row>
    <row r="720">
      <c r="A720">
        <f>IF('PGA Championship'!$G125="","","PGA Championship")</f>
        <v/>
      </c>
      <c r="B720">
        <f>IF('PGA Championship'!$G125="","","Major")</f>
        <v/>
      </c>
      <c r="C720" s="18">
        <f>IF('PGA Championship'!$G125="","",'PGA Championship'!$B$3)</f>
        <v/>
      </c>
      <c r="D720">
        <f>IF('PGA Championship'!$G125="","",'PGA Championship'!$D125&amp;"")</f>
        <v/>
      </c>
      <c r="F720">
        <f>IF('PGA Championship'!$G125="","",'PGA Championship'!$A125&amp;"")</f>
        <v/>
      </c>
      <c r="J720">
        <f>IF('PGA Championship'!$G125="","",'PGA Championship'!$E125)</f>
        <v/>
      </c>
      <c r="K720">
        <f>IF('PGA Championship'!$G125="","",'PGA Championship'!$J125)</f>
        <v/>
      </c>
      <c r="L720">
        <f>IF('PGA Championship'!$G125="","","")</f>
        <v/>
      </c>
      <c r="M720">
        <f>IF('PGA Championship'!$G125="","",'PGA Championship'!$F125)</f>
        <v/>
      </c>
      <c r="N720">
        <f>IF('PGA Championship'!$G125="","",'PGA Championship'!$G125)</f>
        <v/>
      </c>
      <c r="O720">
        <f>IF('PGA Championship'!$G125="","",'PGA Championship'!$G125)</f>
        <v/>
      </c>
      <c r="P720">
        <f>IF('PGA Championship'!$G125="","",'PGA Championship'!$H125)</f>
        <v/>
      </c>
    </row>
    <row r="721">
      <c r="A721">
        <f>IF('PGA Championship'!$G126="","","PGA Championship")</f>
        <v/>
      </c>
      <c r="B721">
        <f>IF('PGA Championship'!$G126="","","Major")</f>
        <v/>
      </c>
      <c r="C721" s="18">
        <f>IF('PGA Championship'!$G126="","",'PGA Championship'!$B$3)</f>
        <v/>
      </c>
      <c r="D721">
        <f>IF('PGA Championship'!$G126="","",'PGA Championship'!$D126&amp;"")</f>
        <v/>
      </c>
      <c r="F721">
        <f>IF('PGA Championship'!$G126="","",'PGA Championship'!$A126&amp;"")</f>
        <v/>
      </c>
      <c r="J721">
        <f>IF('PGA Championship'!$G126="","",'PGA Championship'!$E126)</f>
        <v/>
      </c>
      <c r="K721">
        <f>IF('PGA Championship'!$G126="","",'PGA Championship'!$J126)</f>
        <v/>
      </c>
      <c r="L721">
        <f>IF('PGA Championship'!$G126="","","")</f>
        <v/>
      </c>
      <c r="M721">
        <f>IF('PGA Championship'!$G126="","",'PGA Championship'!$F126)</f>
        <v/>
      </c>
      <c r="N721">
        <f>IF('PGA Championship'!$G126="","",'PGA Championship'!$G126)</f>
        <v/>
      </c>
      <c r="O721">
        <f>IF('PGA Championship'!$G126="","",'PGA Championship'!$G126)</f>
        <v/>
      </c>
      <c r="P721">
        <f>IF('PGA Championship'!$G126="","",'PGA Championship'!$H126)</f>
        <v/>
      </c>
    </row>
    <row r="722">
      <c r="A722">
        <f>IF('PGA Championship'!$G127="","","PGA Championship")</f>
        <v/>
      </c>
      <c r="B722">
        <f>IF('PGA Championship'!$G127="","","Major")</f>
        <v/>
      </c>
      <c r="C722" s="18">
        <f>IF('PGA Championship'!$G127="","",'PGA Championship'!$B$3)</f>
        <v/>
      </c>
      <c r="D722">
        <f>IF('PGA Championship'!$G127="","",'PGA Championship'!$D127&amp;"")</f>
        <v/>
      </c>
      <c r="F722">
        <f>IF('PGA Championship'!$G127="","",'PGA Championship'!$A127&amp;"")</f>
        <v/>
      </c>
      <c r="J722">
        <f>IF('PGA Championship'!$G127="","",'PGA Championship'!$E127)</f>
        <v/>
      </c>
      <c r="K722">
        <f>IF('PGA Championship'!$G127="","",'PGA Championship'!$J127)</f>
        <v/>
      </c>
      <c r="L722">
        <f>IF('PGA Championship'!$G127="","","")</f>
        <v/>
      </c>
      <c r="M722">
        <f>IF('PGA Championship'!$G127="","",'PGA Championship'!$F127)</f>
        <v/>
      </c>
      <c r="N722">
        <f>IF('PGA Championship'!$G127="","",'PGA Championship'!$G127)</f>
        <v/>
      </c>
      <c r="O722">
        <f>IF('PGA Championship'!$G127="","",'PGA Championship'!$G127)</f>
        <v/>
      </c>
      <c r="P722">
        <f>IF('PGA Championship'!$G127="","",'PGA Championship'!$H127)</f>
        <v/>
      </c>
    </row>
    <row r="723">
      <c r="A723">
        <f>IF('PGA Championship'!$G128="","","PGA Championship")</f>
        <v/>
      </c>
      <c r="B723">
        <f>IF('PGA Championship'!$G128="","","Major")</f>
        <v/>
      </c>
      <c r="C723" s="18">
        <f>IF('PGA Championship'!$G128="","",'PGA Championship'!$B$3)</f>
        <v/>
      </c>
      <c r="D723">
        <f>IF('PGA Championship'!$G128="","",'PGA Championship'!$D128&amp;"")</f>
        <v/>
      </c>
      <c r="F723">
        <f>IF('PGA Championship'!$G128="","",'PGA Championship'!$A128&amp;"")</f>
        <v/>
      </c>
      <c r="J723">
        <f>IF('PGA Championship'!$G128="","",'PGA Championship'!$E128)</f>
        <v/>
      </c>
      <c r="K723">
        <f>IF('PGA Championship'!$G128="","",'PGA Championship'!$J128)</f>
        <v/>
      </c>
      <c r="L723">
        <f>IF('PGA Championship'!$G128="","","")</f>
        <v/>
      </c>
      <c r="M723">
        <f>IF('PGA Championship'!$G128="","",'PGA Championship'!$F128)</f>
        <v/>
      </c>
      <c r="N723">
        <f>IF('PGA Championship'!$G128="","",'PGA Championship'!$G128)</f>
        <v/>
      </c>
      <c r="O723">
        <f>IF('PGA Championship'!$G128="","",'PGA Championship'!$G128)</f>
        <v/>
      </c>
      <c r="P723">
        <f>IF('PGA Championship'!$G128="","",'PGA Championship'!$H128)</f>
        <v/>
      </c>
    </row>
    <row r="724">
      <c r="A724">
        <f>IF('PGA Championship'!$G129="","","PGA Championship")</f>
        <v/>
      </c>
      <c r="B724">
        <f>IF('PGA Championship'!$G129="","","Major")</f>
        <v/>
      </c>
      <c r="C724" s="18">
        <f>IF('PGA Championship'!$G129="","",'PGA Championship'!$B$3)</f>
        <v/>
      </c>
      <c r="D724">
        <f>IF('PGA Championship'!$G129="","",'PGA Championship'!$D129&amp;"")</f>
        <v/>
      </c>
      <c r="F724">
        <f>IF('PGA Championship'!$G129="","",'PGA Championship'!$A129&amp;"")</f>
        <v/>
      </c>
      <c r="J724">
        <f>IF('PGA Championship'!$G129="","",'PGA Championship'!$E129)</f>
        <v/>
      </c>
      <c r="K724">
        <f>IF('PGA Championship'!$G129="","",'PGA Championship'!$J129)</f>
        <v/>
      </c>
      <c r="L724">
        <f>IF('PGA Championship'!$G129="","","")</f>
        <v/>
      </c>
      <c r="M724">
        <f>IF('PGA Championship'!$G129="","",'PGA Championship'!$F129)</f>
        <v/>
      </c>
      <c r="N724">
        <f>IF('PGA Championship'!$G129="","",'PGA Championship'!$G129)</f>
        <v/>
      </c>
      <c r="O724">
        <f>IF('PGA Championship'!$G129="","",'PGA Championship'!$G129)</f>
        <v/>
      </c>
      <c r="P724">
        <f>IF('PGA Championship'!$G129="","",'PGA Championship'!$H129)</f>
        <v/>
      </c>
    </row>
    <row r="725">
      <c r="A725">
        <f>IF('PGA Championship'!$G130="","","PGA Championship")</f>
        <v/>
      </c>
      <c r="B725">
        <f>IF('PGA Championship'!$G130="","","Major")</f>
        <v/>
      </c>
      <c r="C725" s="18">
        <f>IF('PGA Championship'!$G130="","",'PGA Championship'!$B$3)</f>
        <v/>
      </c>
      <c r="D725">
        <f>IF('PGA Championship'!$G130="","",'PGA Championship'!$D130&amp;"")</f>
        <v/>
      </c>
      <c r="F725">
        <f>IF('PGA Championship'!$G130="","",'PGA Championship'!$A130&amp;"")</f>
        <v/>
      </c>
      <c r="J725">
        <f>IF('PGA Championship'!$G130="","",'PGA Championship'!$E130)</f>
        <v/>
      </c>
      <c r="K725">
        <f>IF('PGA Championship'!$G130="","",'PGA Championship'!$J130)</f>
        <v/>
      </c>
      <c r="L725">
        <f>IF('PGA Championship'!$G130="","","")</f>
        <v/>
      </c>
      <c r="M725">
        <f>IF('PGA Championship'!$G130="","",'PGA Championship'!$F130)</f>
        <v/>
      </c>
      <c r="N725">
        <f>IF('PGA Championship'!$G130="","",'PGA Championship'!$G130)</f>
        <v/>
      </c>
      <c r="O725">
        <f>IF('PGA Championship'!$G130="","",'PGA Championship'!$G130)</f>
        <v/>
      </c>
      <c r="P725">
        <f>IF('PGA Championship'!$G130="","",'PGA Championship'!$H130)</f>
        <v/>
      </c>
    </row>
    <row r="726">
      <c r="A726">
        <f>IF('PGA Championship'!$G131="","","PGA Championship")</f>
        <v/>
      </c>
      <c r="B726">
        <f>IF('PGA Championship'!$G131="","","Major")</f>
        <v/>
      </c>
      <c r="C726" s="18">
        <f>IF('PGA Championship'!$G131="","",'PGA Championship'!$B$3)</f>
        <v/>
      </c>
      <c r="D726">
        <f>IF('PGA Championship'!$G131="","",'PGA Championship'!$D131&amp;"")</f>
        <v/>
      </c>
      <c r="F726">
        <f>IF('PGA Championship'!$G131="","",'PGA Championship'!$A131&amp;"")</f>
        <v/>
      </c>
      <c r="J726">
        <f>IF('PGA Championship'!$G131="","",'PGA Championship'!$E131)</f>
        <v/>
      </c>
      <c r="K726">
        <f>IF('PGA Championship'!$G131="","",'PGA Championship'!$J131)</f>
        <v/>
      </c>
      <c r="L726">
        <f>IF('PGA Championship'!$G131="","","")</f>
        <v/>
      </c>
      <c r="M726">
        <f>IF('PGA Championship'!$G131="","",'PGA Championship'!$F131)</f>
        <v/>
      </c>
      <c r="N726">
        <f>IF('PGA Championship'!$G131="","",'PGA Championship'!$G131)</f>
        <v/>
      </c>
      <c r="O726">
        <f>IF('PGA Championship'!$G131="","",'PGA Championship'!$G131)</f>
        <v/>
      </c>
      <c r="P726">
        <f>IF('PGA Championship'!$G131="","",'PGA Championship'!$H131)</f>
        <v/>
      </c>
    </row>
    <row r="727">
      <c r="A727">
        <f>IF('PGA Championship'!$G132="","","PGA Championship")</f>
        <v/>
      </c>
      <c r="B727">
        <f>IF('PGA Championship'!$G132="","","Major")</f>
        <v/>
      </c>
      <c r="C727" s="18">
        <f>IF('PGA Championship'!$G132="","",'PGA Championship'!$B$3)</f>
        <v/>
      </c>
      <c r="D727">
        <f>IF('PGA Championship'!$G132="","",'PGA Championship'!$D132&amp;"")</f>
        <v/>
      </c>
      <c r="F727">
        <f>IF('PGA Championship'!$G132="","",'PGA Championship'!$A132&amp;"")</f>
        <v/>
      </c>
      <c r="J727">
        <f>IF('PGA Championship'!$G132="","",'PGA Championship'!$E132)</f>
        <v/>
      </c>
      <c r="K727">
        <f>IF('PGA Championship'!$G132="","",'PGA Championship'!$J132)</f>
        <v/>
      </c>
      <c r="L727">
        <f>IF('PGA Championship'!$G132="","","")</f>
        <v/>
      </c>
      <c r="M727">
        <f>IF('PGA Championship'!$G132="","",'PGA Championship'!$F132)</f>
        <v/>
      </c>
      <c r="N727">
        <f>IF('PGA Championship'!$G132="","",'PGA Championship'!$G132)</f>
        <v/>
      </c>
      <c r="O727">
        <f>IF('PGA Championship'!$G132="","",'PGA Championship'!$G132)</f>
        <v/>
      </c>
      <c r="P727">
        <f>IF('PGA Championship'!$G132="","",'PGA Championship'!$H132)</f>
        <v/>
      </c>
    </row>
    <row r="728">
      <c r="A728">
        <f>IF('PGA Championship'!$G133="","","PGA Championship")</f>
        <v/>
      </c>
      <c r="B728">
        <f>IF('PGA Championship'!$G133="","","Major")</f>
        <v/>
      </c>
      <c r="C728" s="18">
        <f>IF('PGA Championship'!$G133="","",'PGA Championship'!$B$3)</f>
        <v/>
      </c>
      <c r="D728">
        <f>IF('PGA Championship'!$G133="","",'PGA Championship'!$D133&amp;"")</f>
        <v/>
      </c>
      <c r="F728">
        <f>IF('PGA Championship'!$G133="","",'PGA Championship'!$A133&amp;"")</f>
        <v/>
      </c>
      <c r="J728">
        <f>IF('PGA Championship'!$G133="","",'PGA Championship'!$E133)</f>
        <v/>
      </c>
      <c r="K728">
        <f>IF('PGA Championship'!$G133="","",'PGA Championship'!$J133)</f>
        <v/>
      </c>
      <c r="L728">
        <f>IF('PGA Championship'!$G133="","","")</f>
        <v/>
      </c>
      <c r="M728">
        <f>IF('PGA Championship'!$G133="","",'PGA Championship'!$F133)</f>
        <v/>
      </c>
      <c r="N728">
        <f>IF('PGA Championship'!$G133="","",'PGA Championship'!$G133)</f>
        <v/>
      </c>
      <c r="O728">
        <f>IF('PGA Championship'!$G133="","",'PGA Championship'!$G133)</f>
        <v/>
      </c>
      <c r="P728">
        <f>IF('PGA Championship'!$G133="","",'PGA Championship'!$H133)</f>
        <v/>
      </c>
    </row>
    <row r="729">
      <c r="A729">
        <f>IF('PGA Championship'!$G134="","","PGA Championship")</f>
        <v/>
      </c>
      <c r="B729">
        <f>IF('PGA Championship'!$G134="","","Major")</f>
        <v/>
      </c>
      <c r="C729" s="18">
        <f>IF('PGA Championship'!$G134="","",'PGA Championship'!$B$3)</f>
        <v/>
      </c>
      <c r="D729">
        <f>IF('PGA Championship'!$G134="","",'PGA Championship'!$D134&amp;"")</f>
        <v/>
      </c>
      <c r="F729">
        <f>IF('PGA Championship'!$G134="","",'PGA Championship'!$A134&amp;"")</f>
        <v/>
      </c>
      <c r="J729">
        <f>IF('PGA Championship'!$G134="","",'PGA Championship'!$E134)</f>
        <v/>
      </c>
      <c r="K729">
        <f>IF('PGA Championship'!$G134="","",'PGA Championship'!$J134)</f>
        <v/>
      </c>
      <c r="L729">
        <f>IF('PGA Championship'!$G134="","","")</f>
        <v/>
      </c>
      <c r="M729">
        <f>IF('PGA Championship'!$G134="","",'PGA Championship'!$F134)</f>
        <v/>
      </c>
      <c r="N729">
        <f>IF('PGA Championship'!$G134="","",'PGA Championship'!$G134)</f>
        <v/>
      </c>
      <c r="O729">
        <f>IF('PGA Championship'!$G134="","",'PGA Championship'!$G134)</f>
        <v/>
      </c>
      <c r="P729">
        <f>IF('PGA Championship'!$G134="","",'PGA Championship'!$H134)</f>
        <v/>
      </c>
    </row>
    <row r="730">
      <c r="A730">
        <f>IF('PGA Championship'!$G135="","","PGA Championship")</f>
        <v/>
      </c>
      <c r="B730">
        <f>IF('PGA Championship'!$G135="","","Major")</f>
        <v/>
      </c>
      <c r="C730" s="18">
        <f>IF('PGA Championship'!$G135="","",'PGA Championship'!$B$3)</f>
        <v/>
      </c>
      <c r="D730">
        <f>IF('PGA Championship'!$G135="","",'PGA Championship'!$D135&amp;"")</f>
        <v/>
      </c>
      <c r="F730">
        <f>IF('PGA Championship'!$G135="","",'PGA Championship'!$A135&amp;"")</f>
        <v/>
      </c>
      <c r="J730">
        <f>IF('PGA Championship'!$G135="","",'PGA Championship'!$E135)</f>
        <v/>
      </c>
      <c r="K730">
        <f>IF('PGA Championship'!$G135="","",'PGA Championship'!$J135)</f>
        <v/>
      </c>
      <c r="L730">
        <f>IF('PGA Championship'!$G135="","","")</f>
        <v/>
      </c>
      <c r="M730">
        <f>IF('PGA Championship'!$G135="","",'PGA Championship'!$F135)</f>
        <v/>
      </c>
      <c r="N730">
        <f>IF('PGA Championship'!$G135="","",'PGA Championship'!$G135)</f>
        <v/>
      </c>
      <c r="O730">
        <f>IF('PGA Championship'!$G135="","",'PGA Championship'!$G135)</f>
        <v/>
      </c>
      <c r="P730">
        <f>IF('PGA Championship'!$G135="","",'PGA Championship'!$H135)</f>
        <v/>
      </c>
    </row>
    <row r="731">
      <c r="A731">
        <f>IF('PGA Championship'!$G136="","","PGA Championship")</f>
        <v/>
      </c>
      <c r="B731">
        <f>IF('PGA Championship'!$G136="","","Major")</f>
        <v/>
      </c>
      <c r="C731" s="18">
        <f>IF('PGA Championship'!$G136="","",'PGA Championship'!$B$3)</f>
        <v/>
      </c>
      <c r="D731">
        <f>IF('PGA Championship'!$G136="","",'PGA Championship'!$D136&amp;"")</f>
        <v/>
      </c>
      <c r="F731">
        <f>IF('PGA Championship'!$G136="","",'PGA Championship'!$A136&amp;"")</f>
        <v/>
      </c>
      <c r="J731">
        <f>IF('PGA Championship'!$G136="","",'PGA Championship'!$E136)</f>
        <v/>
      </c>
      <c r="K731">
        <f>IF('PGA Championship'!$G136="","",'PGA Championship'!$J136)</f>
        <v/>
      </c>
      <c r="L731">
        <f>IF('PGA Championship'!$G136="","","")</f>
        <v/>
      </c>
      <c r="M731">
        <f>IF('PGA Championship'!$G136="","",'PGA Championship'!$F136)</f>
        <v/>
      </c>
      <c r="N731">
        <f>IF('PGA Championship'!$G136="","",'PGA Championship'!$G136)</f>
        <v/>
      </c>
      <c r="O731">
        <f>IF('PGA Championship'!$G136="","",'PGA Championship'!$G136)</f>
        <v/>
      </c>
      <c r="P731">
        <f>IF('PGA Championship'!$G136="","",'PGA Championship'!$H136)</f>
        <v/>
      </c>
    </row>
    <row r="732">
      <c r="A732">
        <f>IF('PGA Championship'!$G137="","","PGA Championship")</f>
        <v/>
      </c>
      <c r="B732">
        <f>IF('PGA Championship'!$G137="","","Major")</f>
        <v/>
      </c>
      <c r="C732" s="18">
        <f>IF('PGA Championship'!$G137="","",'PGA Championship'!$B$3)</f>
        <v/>
      </c>
      <c r="D732">
        <f>IF('PGA Championship'!$G137="","",'PGA Championship'!$D137&amp;"")</f>
        <v/>
      </c>
      <c r="F732">
        <f>IF('PGA Championship'!$G137="","",'PGA Championship'!$A137&amp;"")</f>
        <v/>
      </c>
      <c r="J732">
        <f>IF('PGA Championship'!$G137="","",'PGA Championship'!$E137)</f>
        <v/>
      </c>
      <c r="K732">
        <f>IF('PGA Championship'!$G137="","",'PGA Championship'!$J137)</f>
        <v/>
      </c>
      <c r="L732">
        <f>IF('PGA Championship'!$G137="","","")</f>
        <v/>
      </c>
      <c r="M732">
        <f>IF('PGA Championship'!$G137="","",'PGA Championship'!$F137)</f>
        <v/>
      </c>
      <c r="N732">
        <f>IF('PGA Championship'!$G137="","",'PGA Championship'!$G137)</f>
        <v/>
      </c>
      <c r="O732">
        <f>IF('PGA Championship'!$G137="","",'PGA Championship'!$G137)</f>
        <v/>
      </c>
      <c r="P732">
        <f>IF('PGA Championship'!$G137="","",'PGA Championship'!$H137)</f>
        <v/>
      </c>
    </row>
    <row r="733">
      <c r="A733">
        <f>IF('PGA Championship'!$G138="","","PGA Championship")</f>
        <v/>
      </c>
      <c r="B733">
        <f>IF('PGA Championship'!$G138="","","Major")</f>
        <v/>
      </c>
      <c r="C733" s="18">
        <f>IF('PGA Championship'!$G138="","",'PGA Championship'!$B$3)</f>
        <v/>
      </c>
      <c r="D733">
        <f>IF('PGA Championship'!$G138="","",'PGA Championship'!$D138&amp;"")</f>
        <v/>
      </c>
      <c r="F733">
        <f>IF('PGA Championship'!$G138="","",'PGA Championship'!$A138&amp;"")</f>
        <v/>
      </c>
      <c r="J733">
        <f>IF('PGA Championship'!$G138="","",'PGA Championship'!$E138)</f>
        <v/>
      </c>
      <c r="K733">
        <f>IF('PGA Championship'!$G138="","",'PGA Championship'!$J138)</f>
        <v/>
      </c>
      <c r="L733">
        <f>IF('PGA Championship'!$G138="","","")</f>
        <v/>
      </c>
      <c r="M733">
        <f>IF('PGA Championship'!$G138="","",'PGA Championship'!$F138)</f>
        <v/>
      </c>
      <c r="N733">
        <f>IF('PGA Championship'!$G138="","",'PGA Championship'!$G138)</f>
        <v/>
      </c>
      <c r="O733">
        <f>IF('PGA Championship'!$G138="","",'PGA Championship'!$G138)</f>
        <v/>
      </c>
      <c r="P733">
        <f>IF('PGA Championship'!$G138="","",'PGA Championship'!$H138)</f>
        <v/>
      </c>
    </row>
    <row r="734">
      <c r="A734">
        <f>IF('PGA Championship'!$G139="","","PGA Championship")</f>
        <v/>
      </c>
      <c r="B734">
        <f>IF('PGA Championship'!$G139="","","Major")</f>
        <v/>
      </c>
      <c r="C734" s="18">
        <f>IF('PGA Championship'!$G139="","",'PGA Championship'!$B$3)</f>
        <v/>
      </c>
      <c r="D734">
        <f>IF('PGA Championship'!$G139="","",'PGA Championship'!$D139&amp;"")</f>
        <v/>
      </c>
      <c r="F734">
        <f>IF('PGA Championship'!$G139="","",'PGA Championship'!$A139&amp;"")</f>
        <v/>
      </c>
      <c r="J734">
        <f>IF('PGA Championship'!$G139="","",'PGA Championship'!$E139)</f>
        <v/>
      </c>
      <c r="K734">
        <f>IF('PGA Championship'!$G139="","",'PGA Championship'!$J139)</f>
        <v/>
      </c>
      <c r="L734">
        <f>IF('PGA Championship'!$G139="","","")</f>
        <v/>
      </c>
      <c r="M734">
        <f>IF('PGA Championship'!$G139="","",'PGA Championship'!$F139)</f>
        <v/>
      </c>
      <c r="N734">
        <f>IF('PGA Championship'!$G139="","",'PGA Championship'!$G139)</f>
        <v/>
      </c>
      <c r="O734">
        <f>IF('PGA Championship'!$G139="","",'PGA Championship'!$G139)</f>
        <v/>
      </c>
      <c r="P734">
        <f>IF('PGA Championship'!$G139="","",'PGA Championship'!$H139)</f>
        <v/>
      </c>
    </row>
    <row r="735">
      <c r="A735">
        <f>IF('PGA Championship'!$G140="","","PGA Championship")</f>
        <v/>
      </c>
      <c r="B735">
        <f>IF('PGA Championship'!$G140="","","Major")</f>
        <v/>
      </c>
      <c r="C735" s="18">
        <f>IF('PGA Championship'!$G140="","",'PGA Championship'!$B$3)</f>
        <v/>
      </c>
      <c r="D735">
        <f>IF('PGA Championship'!$G140="","",'PGA Championship'!$D140&amp;"")</f>
        <v/>
      </c>
      <c r="F735">
        <f>IF('PGA Championship'!$G140="","",'PGA Championship'!$A140&amp;"")</f>
        <v/>
      </c>
      <c r="J735">
        <f>IF('PGA Championship'!$G140="","",'PGA Championship'!$E140)</f>
        <v/>
      </c>
      <c r="K735">
        <f>IF('PGA Championship'!$G140="","",'PGA Championship'!$J140)</f>
        <v/>
      </c>
      <c r="L735">
        <f>IF('PGA Championship'!$G140="","","")</f>
        <v/>
      </c>
      <c r="M735">
        <f>IF('PGA Championship'!$G140="","",'PGA Championship'!$F140)</f>
        <v/>
      </c>
      <c r="N735">
        <f>IF('PGA Championship'!$G140="","",'PGA Championship'!$G140)</f>
        <v/>
      </c>
      <c r="O735">
        <f>IF('PGA Championship'!$G140="","",'PGA Championship'!$G140)</f>
        <v/>
      </c>
      <c r="P735">
        <f>IF('PGA Championship'!$G140="","",'PGA Championship'!$H140)</f>
        <v/>
      </c>
    </row>
    <row r="736">
      <c r="A736">
        <f>IF('PGA Championship'!$G141="","","PGA Championship")</f>
        <v/>
      </c>
      <c r="B736">
        <f>IF('PGA Championship'!$G141="","","Major")</f>
        <v/>
      </c>
      <c r="C736" s="18">
        <f>IF('PGA Championship'!$G141="","",'PGA Championship'!$B$3)</f>
        <v/>
      </c>
      <c r="D736">
        <f>IF('PGA Championship'!$G141="","",'PGA Championship'!$D141&amp;"")</f>
        <v/>
      </c>
      <c r="F736">
        <f>IF('PGA Championship'!$G141="","",'PGA Championship'!$A141&amp;"")</f>
        <v/>
      </c>
      <c r="J736">
        <f>IF('PGA Championship'!$G141="","",'PGA Championship'!$E141)</f>
        <v/>
      </c>
      <c r="K736">
        <f>IF('PGA Championship'!$G141="","",'PGA Championship'!$J141)</f>
        <v/>
      </c>
      <c r="L736">
        <f>IF('PGA Championship'!$G141="","","")</f>
        <v/>
      </c>
      <c r="M736">
        <f>IF('PGA Championship'!$G141="","",'PGA Championship'!$F141)</f>
        <v/>
      </c>
      <c r="N736">
        <f>IF('PGA Championship'!$G141="","",'PGA Championship'!$G141)</f>
        <v/>
      </c>
      <c r="O736">
        <f>IF('PGA Championship'!$G141="","",'PGA Championship'!$G141)</f>
        <v/>
      </c>
      <c r="P736">
        <f>IF('PGA Championship'!$G141="","",'PGA Championship'!$H141)</f>
        <v/>
      </c>
    </row>
    <row r="737">
      <c r="A737">
        <f>IF('PGA Championship'!$G142="","","PGA Championship")</f>
        <v/>
      </c>
      <c r="B737">
        <f>IF('PGA Championship'!$G142="","","Major")</f>
        <v/>
      </c>
      <c r="C737" s="18">
        <f>IF('PGA Championship'!$G142="","",'PGA Championship'!$B$3)</f>
        <v/>
      </c>
      <c r="D737">
        <f>IF('PGA Championship'!$G142="","",'PGA Championship'!$D142&amp;"")</f>
        <v/>
      </c>
      <c r="F737">
        <f>IF('PGA Championship'!$G142="","",'PGA Championship'!$A142&amp;"")</f>
        <v/>
      </c>
      <c r="J737">
        <f>IF('PGA Championship'!$G142="","",'PGA Championship'!$E142)</f>
        <v/>
      </c>
      <c r="K737">
        <f>IF('PGA Championship'!$G142="","",'PGA Championship'!$J142)</f>
        <v/>
      </c>
      <c r="L737">
        <f>IF('PGA Championship'!$G142="","","")</f>
        <v/>
      </c>
      <c r="M737">
        <f>IF('PGA Championship'!$G142="","",'PGA Championship'!$F142)</f>
        <v/>
      </c>
      <c r="N737">
        <f>IF('PGA Championship'!$G142="","",'PGA Championship'!$G142)</f>
        <v/>
      </c>
      <c r="O737">
        <f>IF('PGA Championship'!$G142="","",'PGA Championship'!$G142)</f>
        <v/>
      </c>
      <c r="P737">
        <f>IF('PGA Championship'!$G142="","",'PGA Championship'!$H142)</f>
        <v/>
      </c>
    </row>
    <row r="738">
      <c r="A738">
        <f>IF('PGA Championship'!$G143="","","PGA Championship")</f>
        <v/>
      </c>
      <c r="B738">
        <f>IF('PGA Championship'!$G143="","","Major")</f>
        <v/>
      </c>
      <c r="C738" s="18">
        <f>IF('PGA Championship'!$G143="","",'PGA Championship'!$B$3)</f>
        <v/>
      </c>
      <c r="D738">
        <f>IF('PGA Championship'!$G143="","",'PGA Championship'!$D143&amp;"")</f>
        <v/>
      </c>
      <c r="F738">
        <f>IF('PGA Championship'!$G143="","",'PGA Championship'!$A143&amp;"")</f>
        <v/>
      </c>
      <c r="J738">
        <f>IF('PGA Championship'!$G143="","",'PGA Championship'!$E143)</f>
        <v/>
      </c>
      <c r="K738">
        <f>IF('PGA Championship'!$G143="","",'PGA Championship'!$J143)</f>
        <v/>
      </c>
      <c r="L738">
        <f>IF('PGA Championship'!$G143="","","")</f>
        <v/>
      </c>
      <c r="M738">
        <f>IF('PGA Championship'!$G143="","",'PGA Championship'!$F143)</f>
        <v/>
      </c>
      <c r="N738">
        <f>IF('PGA Championship'!$G143="","",'PGA Championship'!$G143)</f>
        <v/>
      </c>
      <c r="O738">
        <f>IF('PGA Championship'!$G143="","",'PGA Championship'!$G143)</f>
        <v/>
      </c>
      <c r="P738">
        <f>IF('PGA Championship'!$G143="","",'PGA Championship'!$H143)</f>
        <v/>
      </c>
    </row>
    <row r="739">
      <c r="A739">
        <f>IF('PGA Championship'!$G144="","","PGA Championship")</f>
        <v/>
      </c>
      <c r="B739">
        <f>IF('PGA Championship'!$G144="","","Major")</f>
        <v/>
      </c>
      <c r="C739" s="18">
        <f>IF('PGA Championship'!$G144="","",'PGA Championship'!$B$3)</f>
        <v/>
      </c>
      <c r="D739">
        <f>IF('PGA Championship'!$G144="","",'PGA Championship'!$D144&amp;"")</f>
        <v/>
      </c>
      <c r="F739">
        <f>IF('PGA Championship'!$G144="","",'PGA Championship'!$A144&amp;"")</f>
        <v/>
      </c>
      <c r="J739">
        <f>IF('PGA Championship'!$G144="","",'PGA Championship'!$E144)</f>
        <v/>
      </c>
      <c r="K739">
        <f>IF('PGA Championship'!$G144="","",'PGA Championship'!$J144)</f>
        <v/>
      </c>
      <c r="L739">
        <f>IF('PGA Championship'!$G144="","","")</f>
        <v/>
      </c>
      <c r="M739">
        <f>IF('PGA Championship'!$G144="","",'PGA Championship'!$F144)</f>
        <v/>
      </c>
      <c r="N739">
        <f>IF('PGA Championship'!$G144="","",'PGA Championship'!$G144)</f>
        <v/>
      </c>
      <c r="O739">
        <f>IF('PGA Championship'!$G144="","",'PGA Championship'!$G144)</f>
        <v/>
      </c>
      <c r="P739">
        <f>IF('PGA Championship'!$G144="","",'PGA Championship'!$H144)</f>
        <v/>
      </c>
    </row>
    <row r="740">
      <c r="A740">
        <f>IF('PGA Championship'!$G145="","","PGA Championship")</f>
        <v/>
      </c>
      <c r="B740">
        <f>IF('PGA Championship'!$G145="","","Major")</f>
        <v/>
      </c>
      <c r="C740" s="18">
        <f>IF('PGA Championship'!$G145="","",'PGA Championship'!$B$3)</f>
        <v/>
      </c>
      <c r="D740">
        <f>IF('PGA Championship'!$G145="","",'PGA Championship'!$D145&amp;"")</f>
        <v/>
      </c>
      <c r="F740">
        <f>IF('PGA Championship'!$G145="","",'PGA Championship'!$A145&amp;"")</f>
        <v/>
      </c>
      <c r="J740">
        <f>IF('PGA Championship'!$G145="","",'PGA Championship'!$E145)</f>
        <v/>
      </c>
      <c r="K740">
        <f>IF('PGA Championship'!$G145="","",'PGA Championship'!$J145)</f>
        <v/>
      </c>
      <c r="L740">
        <f>IF('PGA Championship'!$G145="","","")</f>
        <v/>
      </c>
      <c r="M740">
        <f>IF('PGA Championship'!$G145="","",'PGA Championship'!$F145)</f>
        <v/>
      </c>
      <c r="N740">
        <f>IF('PGA Championship'!$G145="","",'PGA Championship'!$G145)</f>
        <v/>
      </c>
      <c r="O740">
        <f>IF('PGA Championship'!$G145="","",'PGA Championship'!$G145)</f>
        <v/>
      </c>
      <c r="P740">
        <f>IF('PGA Championship'!$G145="","",'PGA Championship'!$H145)</f>
        <v/>
      </c>
    </row>
    <row r="741">
      <c r="A741">
        <f>IF('PGA Championship'!$G146="","","PGA Championship")</f>
        <v/>
      </c>
      <c r="B741">
        <f>IF('PGA Championship'!$G146="","","Major")</f>
        <v/>
      </c>
      <c r="C741" s="18">
        <f>IF('PGA Championship'!$G146="","",'PGA Championship'!$B$3)</f>
        <v/>
      </c>
      <c r="D741">
        <f>IF('PGA Championship'!$G146="","",'PGA Championship'!$D146&amp;"")</f>
        <v/>
      </c>
      <c r="F741">
        <f>IF('PGA Championship'!$G146="","",'PGA Championship'!$A146&amp;"")</f>
        <v/>
      </c>
      <c r="J741">
        <f>IF('PGA Championship'!$G146="","",'PGA Championship'!$E146)</f>
        <v/>
      </c>
      <c r="K741">
        <f>IF('PGA Championship'!$G146="","",'PGA Championship'!$J146)</f>
        <v/>
      </c>
      <c r="L741">
        <f>IF('PGA Championship'!$G146="","","")</f>
        <v/>
      </c>
      <c r="M741">
        <f>IF('PGA Championship'!$G146="","",'PGA Championship'!$F146)</f>
        <v/>
      </c>
      <c r="N741">
        <f>IF('PGA Championship'!$G146="","",'PGA Championship'!$G146)</f>
        <v/>
      </c>
      <c r="O741">
        <f>IF('PGA Championship'!$G146="","",'PGA Championship'!$G146)</f>
        <v/>
      </c>
      <c r="P741">
        <f>IF('PGA Championship'!$G146="","",'PGA Championship'!$H146)</f>
        <v/>
      </c>
    </row>
    <row r="742">
      <c r="A742">
        <f>IF('PGA Championship'!$G147="","","PGA Championship")</f>
        <v/>
      </c>
      <c r="B742">
        <f>IF('PGA Championship'!$G147="","","Major")</f>
        <v/>
      </c>
      <c r="C742" s="18">
        <f>IF('PGA Championship'!$G147="","",'PGA Championship'!$B$3)</f>
        <v/>
      </c>
      <c r="D742">
        <f>IF('PGA Championship'!$G147="","",'PGA Championship'!$D147&amp;"")</f>
        <v/>
      </c>
      <c r="F742">
        <f>IF('PGA Championship'!$G147="","",'PGA Championship'!$A147&amp;"")</f>
        <v/>
      </c>
      <c r="J742">
        <f>IF('PGA Championship'!$G147="","",'PGA Championship'!$E147)</f>
        <v/>
      </c>
      <c r="K742">
        <f>IF('PGA Championship'!$G147="","",'PGA Championship'!$J147)</f>
        <v/>
      </c>
      <c r="L742">
        <f>IF('PGA Championship'!$G147="","","")</f>
        <v/>
      </c>
      <c r="M742">
        <f>IF('PGA Championship'!$G147="","",'PGA Championship'!$F147)</f>
        <v/>
      </c>
      <c r="N742">
        <f>IF('PGA Championship'!$G147="","",'PGA Championship'!$G147)</f>
        <v/>
      </c>
      <c r="O742">
        <f>IF('PGA Championship'!$G147="","",'PGA Championship'!$G147)</f>
        <v/>
      </c>
      <c r="P742">
        <f>IF('PGA Championship'!$G147="","",'PGA Championship'!$H147)</f>
        <v/>
      </c>
    </row>
    <row r="743">
      <c r="A743">
        <f>IF('PGA Championship'!$G148="","","PGA Championship")</f>
        <v/>
      </c>
      <c r="B743">
        <f>IF('PGA Championship'!$G148="","","Major")</f>
        <v/>
      </c>
      <c r="C743" s="18">
        <f>IF('PGA Championship'!$G148="","",'PGA Championship'!$B$3)</f>
        <v/>
      </c>
      <c r="D743">
        <f>IF('PGA Championship'!$G148="","",'PGA Championship'!$D148&amp;"")</f>
        <v/>
      </c>
      <c r="F743">
        <f>IF('PGA Championship'!$G148="","",'PGA Championship'!$A148&amp;"")</f>
        <v/>
      </c>
      <c r="J743">
        <f>IF('PGA Championship'!$G148="","",'PGA Championship'!$E148)</f>
        <v/>
      </c>
      <c r="K743">
        <f>IF('PGA Championship'!$G148="","",'PGA Championship'!$J148)</f>
        <v/>
      </c>
      <c r="L743">
        <f>IF('PGA Championship'!$G148="","","")</f>
        <v/>
      </c>
      <c r="M743">
        <f>IF('PGA Championship'!$G148="","",'PGA Championship'!$F148)</f>
        <v/>
      </c>
      <c r="N743">
        <f>IF('PGA Championship'!$G148="","",'PGA Championship'!$G148)</f>
        <v/>
      </c>
      <c r="O743">
        <f>IF('PGA Championship'!$G148="","",'PGA Championship'!$G148)</f>
        <v/>
      </c>
      <c r="P743">
        <f>IF('PGA Championship'!$G148="","",'PGA Championship'!$H148)</f>
        <v/>
      </c>
    </row>
    <row r="744">
      <c r="A744">
        <f>IF('PGA Championship'!$G149="","","PGA Championship")</f>
        <v/>
      </c>
      <c r="B744">
        <f>IF('PGA Championship'!$G149="","","Major")</f>
        <v/>
      </c>
      <c r="C744" s="18">
        <f>IF('PGA Championship'!$G149="","",'PGA Championship'!$B$3)</f>
        <v/>
      </c>
      <c r="D744">
        <f>IF('PGA Championship'!$G149="","",'PGA Championship'!$D149&amp;"")</f>
        <v/>
      </c>
      <c r="F744">
        <f>IF('PGA Championship'!$G149="","",'PGA Championship'!$A149&amp;"")</f>
        <v/>
      </c>
      <c r="J744">
        <f>IF('PGA Championship'!$G149="","",'PGA Championship'!$E149)</f>
        <v/>
      </c>
      <c r="K744">
        <f>IF('PGA Championship'!$G149="","",'PGA Championship'!$J149)</f>
        <v/>
      </c>
      <c r="L744">
        <f>IF('PGA Championship'!$G149="","","")</f>
        <v/>
      </c>
      <c r="M744">
        <f>IF('PGA Championship'!$G149="","",'PGA Championship'!$F149)</f>
        <v/>
      </c>
      <c r="N744">
        <f>IF('PGA Championship'!$G149="","",'PGA Championship'!$G149)</f>
        <v/>
      </c>
      <c r="O744">
        <f>IF('PGA Championship'!$G149="","",'PGA Championship'!$G149)</f>
        <v/>
      </c>
      <c r="P744">
        <f>IF('PGA Championship'!$G149="","",'PGA Championship'!$H149)</f>
        <v/>
      </c>
    </row>
    <row r="745">
      <c r="A745">
        <f>IF('PGA Championship'!$G150="","","PGA Championship")</f>
        <v/>
      </c>
      <c r="B745">
        <f>IF('PGA Championship'!$G150="","","Major")</f>
        <v/>
      </c>
      <c r="C745" s="18">
        <f>IF('PGA Championship'!$G150="","",'PGA Championship'!$B$3)</f>
        <v/>
      </c>
      <c r="D745">
        <f>IF('PGA Championship'!$G150="","",'PGA Championship'!$D150&amp;"")</f>
        <v/>
      </c>
      <c r="F745">
        <f>IF('PGA Championship'!$G150="","",'PGA Championship'!$A150&amp;"")</f>
        <v/>
      </c>
      <c r="J745">
        <f>IF('PGA Championship'!$G150="","",'PGA Championship'!$E150)</f>
        <v/>
      </c>
      <c r="K745">
        <f>IF('PGA Championship'!$G150="","",'PGA Championship'!$J150)</f>
        <v/>
      </c>
      <c r="L745">
        <f>IF('PGA Championship'!$G150="","","")</f>
        <v/>
      </c>
      <c r="M745">
        <f>IF('PGA Championship'!$G150="","",'PGA Championship'!$F150)</f>
        <v/>
      </c>
      <c r="N745">
        <f>IF('PGA Championship'!$G150="","",'PGA Championship'!$G150)</f>
        <v/>
      </c>
      <c r="O745">
        <f>IF('PGA Championship'!$G150="","",'PGA Championship'!$G150)</f>
        <v/>
      </c>
      <c r="P745">
        <f>IF('PGA Championship'!$G150="","",'PGA Championship'!$H150)</f>
        <v/>
      </c>
    </row>
    <row r="746">
      <c r="A746">
        <f>IF('PGA Championship'!$G151="","","PGA Championship")</f>
        <v/>
      </c>
      <c r="B746">
        <f>IF('PGA Championship'!$G151="","","Major")</f>
        <v/>
      </c>
      <c r="C746" s="18">
        <f>IF('PGA Championship'!$G151="","",'PGA Championship'!$B$3)</f>
        <v/>
      </c>
      <c r="D746">
        <f>IF('PGA Championship'!$G151="","",'PGA Championship'!$D151&amp;"")</f>
        <v/>
      </c>
      <c r="F746">
        <f>IF('PGA Championship'!$G151="","",'PGA Championship'!$A151&amp;"")</f>
        <v/>
      </c>
      <c r="J746">
        <f>IF('PGA Championship'!$G151="","",'PGA Championship'!$E151)</f>
        <v/>
      </c>
      <c r="K746">
        <f>IF('PGA Championship'!$G151="","",'PGA Championship'!$J151)</f>
        <v/>
      </c>
      <c r="L746">
        <f>IF('PGA Championship'!$G151="","","")</f>
        <v/>
      </c>
      <c r="M746">
        <f>IF('PGA Championship'!$G151="","",'PGA Championship'!$F151)</f>
        <v/>
      </c>
      <c r="N746">
        <f>IF('PGA Championship'!$G151="","",'PGA Championship'!$G151)</f>
        <v/>
      </c>
      <c r="O746">
        <f>IF('PGA Championship'!$G151="","",'PGA Championship'!$G151)</f>
        <v/>
      </c>
      <c r="P746">
        <f>IF('PGA Championship'!$G151="","",'PGA Championship'!$H151)</f>
        <v/>
      </c>
    </row>
    <row r="747">
      <c r="A747">
        <f>IF('PGA Championship'!$G152="","","PGA Championship")</f>
        <v/>
      </c>
      <c r="B747">
        <f>IF('PGA Championship'!$G152="","","Major")</f>
        <v/>
      </c>
      <c r="C747" s="18">
        <f>IF('PGA Championship'!$G152="","",'PGA Championship'!$B$3)</f>
        <v/>
      </c>
      <c r="D747">
        <f>IF('PGA Championship'!$G152="","",'PGA Championship'!$D152&amp;"")</f>
        <v/>
      </c>
      <c r="F747">
        <f>IF('PGA Championship'!$G152="","",'PGA Championship'!$A152&amp;"")</f>
        <v/>
      </c>
      <c r="J747">
        <f>IF('PGA Championship'!$G152="","",'PGA Championship'!$E152)</f>
        <v/>
      </c>
      <c r="K747">
        <f>IF('PGA Championship'!$G152="","",'PGA Championship'!$J152)</f>
        <v/>
      </c>
      <c r="L747">
        <f>IF('PGA Championship'!$G152="","","")</f>
        <v/>
      </c>
      <c r="M747">
        <f>IF('PGA Championship'!$G152="","",'PGA Championship'!$F152)</f>
        <v/>
      </c>
      <c r="N747">
        <f>IF('PGA Championship'!$G152="","",'PGA Championship'!$G152)</f>
        <v/>
      </c>
      <c r="O747">
        <f>IF('PGA Championship'!$G152="","",'PGA Championship'!$G152)</f>
        <v/>
      </c>
      <c r="P747">
        <f>IF('PGA Championship'!$G152="","",'PGA Championship'!$H152)</f>
        <v/>
      </c>
    </row>
    <row r="748">
      <c r="A748">
        <f>IF('PGA Championship'!$G153="","","PGA Championship")</f>
        <v/>
      </c>
      <c r="B748">
        <f>IF('PGA Championship'!$G153="","","Major")</f>
        <v/>
      </c>
      <c r="C748" s="18">
        <f>IF('PGA Championship'!$G153="","",'PGA Championship'!$B$3)</f>
        <v/>
      </c>
      <c r="D748">
        <f>IF('PGA Championship'!$G153="","",'PGA Championship'!$D153&amp;"")</f>
        <v/>
      </c>
      <c r="F748">
        <f>IF('PGA Championship'!$G153="","",'PGA Championship'!$A153&amp;"")</f>
        <v/>
      </c>
      <c r="J748">
        <f>IF('PGA Championship'!$G153="","",'PGA Championship'!$E153)</f>
        <v/>
      </c>
      <c r="K748">
        <f>IF('PGA Championship'!$G153="","",'PGA Championship'!$J153)</f>
        <v/>
      </c>
      <c r="L748">
        <f>IF('PGA Championship'!$G153="","","")</f>
        <v/>
      </c>
      <c r="M748">
        <f>IF('PGA Championship'!$G153="","",'PGA Championship'!$F153)</f>
        <v/>
      </c>
      <c r="N748">
        <f>IF('PGA Championship'!$G153="","",'PGA Championship'!$G153)</f>
        <v/>
      </c>
      <c r="O748">
        <f>IF('PGA Championship'!$G153="","",'PGA Championship'!$G153)</f>
        <v/>
      </c>
      <c r="P748">
        <f>IF('PGA Championship'!$G153="","",'PGA Championship'!$H153)</f>
        <v/>
      </c>
    </row>
    <row r="749">
      <c r="A749">
        <f>IF('PGA Championship'!$G154="","","PGA Championship")</f>
        <v/>
      </c>
      <c r="B749">
        <f>IF('PGA Championship'!$G154="","","Major")</f>
        <v/>
      </c>
      <c r="C749" s="18">
        <f>IF('PGA Championship'!$G154="","",'PGA Championship'!$B$3)</f>
        <v/>
      </c>
      <c r="D749">
        <f>IF('PGA Championship'!$G154="","",'PGA Championship'!$D154&amp;"")</f>
        <v/>
      </c>
      <c r="F749">
        <f>IF('PGA Championship'!$G154="","",'PGA Championship'!$A154&amp;"")</f>
        <v/>
      </c>
      <c r="J749">
        <f>IF('PGA Championship'!$G154="","",'PGA Championship'!$E154)</f>
        <v/>
      </c>
      <c r="K749">
        <f>IF('PGA Championship'!$G154="","",'PGA Championship'!$J154)</f>
        <v/>
      </c>
      <c r="L749">
        <f>IF('PGA Championship'!$G154="","","")</f>
        <v/>
      </c>
      <c r="M749">
        <f>IF('PGA Championship'!$G154="","",'PGA Championship'!$F154)</f>
        <v/>
      </c>
      <c r="N749">
        <f>IF('PGA Championship'!$G154="","",'PGA Championship'!$G154)</f>
        <v/>
      </c>
      <c r="O749">
        <f>IF('PGA Championship'!$G154="","",'PGA Championship'!$G154)</f>
        <v/>
      </c>
      <c r="P749">
        <f>IF('PGA Championship'!$G154="","",'PGA Championship'!$H154)</f>
        <v/>
      </c>
    </row>
    <row r="750">
      <c r="A750">
        <f>IF('PGA Championship'!$G155="","","PGA Championship")</f>
        <v/>
      </c>
      <c r="B750">
        <f>IF('PGA Championship'!$G155="","","Major")</f>
        <v/>
      </c>
      <c r="C750" s="18">
        <f>IF('PGA Championship'!$G155="","",'PGA Championship'!$B$3)</f>
        <v/>
      </c>
      <c r="D750">
        <f>IF('PGA Championship'!$G155="","",'PGA Championship'!$D155&amp;"")</f>
        <v/>
      </c>
      <c r="F750">
        <f>IF('PGA Championship'!$G155="","",'PGA Championship'!$A155&amp;"")</f>
        <v/>
      </c>
      <c r="J750">
        <f>IF('PGA Championship'!$G155="","",'PGA Championship'!$E155)</f>
        <v/>
      </c>
      <c r="K750">
        <f>IF('PGA Championship'!$G155="","",'PGA Championship'!$J155)</f>
        <v/>
      </c>
      <c r="L750">
        <f>IF('PGA Championship'!$G155="","","")</f>
        <v/>
      </c>
      <c r="M750">
        <f>IF('PGA Championship'!$G155="","",'PGA Championship'!$F155)</f>
        <v/>
      </c>
      <c r="N750">
        <f>IF('PGA Championship'!$G155="","",'PGA Championship'!$G155)</f>
        <v/>
      </c>
      <c r="O750">
        <f>IF('PGA Championship'!$G155="","",'PGA Championship'!$G155)</f>
        <v/>
      </c>
      <c r="P750">
        <f>IF('PGA Championship'!$G155="","",'PGA Championship'!$H155)</f>
        <v/>
      </c>
    </row>
    <row r="751">
      <c r="A751">
        <f>IF('PGA Championship'!$G156="","","PGA Championship")</f>
        <v/>
      </c>
      <c r="B751">
        <f>IF('PGA Championship'!$G156="","","Major")</f>
        <v/>
      </c>
      <c r="C751" s="18">
        <f>IF('PGA Championship'!$G156="","",'PGA Championship'!$B$3)</f>
        <v/>
      </c>
      <c r="D751">
        <f>IF('PGA Championship'!$G156="","",'PGA Championship'!$D156&amp;"")</f>
        <v/>
      </c>
      <c r="F751">
        <f>IF('PGA Championship'!$G156="","",'PGA Championship'!$A156&amp;"")</f>
        <v/>
      </c>
      <c r="J751">
        <f>IF('PGA Championship'!$G156="","",'PGA Championship'!$E156)</f>
        <v/>
      </c>
      <c r="K751">
        <f>IF('PGA Championship'!$G156="","",'PGA Championship'!$J156)</f>
        <v/>
      </c>
      <c r="L751">
        <f>IF('PGA Championship'!$G156="","","")</f>
        <v/>
      </c>
      <c r="M751">
        <f>IF('PGA Championship'!$G156="","",'PGA Championship'!$F156)</f>
        <v/>
      </c>
      <c r="N751">
        <f>IF('PGA Championship'!$G156="","",'PGA Championship'!$G156)</f>
        <v/>
      </c>
      <c r="O751">
        <f>IF('PGA Championship'!$G156="","",'PGA Championship'!$G156)</f>
        <v/>
      </c>
      <c r="P751">
        <f>IF('PGA Championship'!$G156="","",'PGA Championship'!$H156)</f>
        <v/>
      </c>
    </row>
    <row r="752">
      <c r="A752">
        <f>IF('Scramble Leagues'!$H5="","","Scramble League "&amp;'Scramble Leagues'!$A5)</f>
        <v/>
      </c>
      <c r="B752">
        <f>IF('Scramble Leagues'!$H5="","","Scramble League")</f>
        <v/>
      </c>
      <c r="C752" s="18">
        <f>IF('Scramble Leagues'!$H5="","",'Scramble Leagues'!$B5)</f>
        <v/>
      </c>
      <c r="E752">
        <f>IF('Scramble Leagues'!$H5="","",'Scramble Leagues'!$C5&amp;"")</f>
        <v/>
      </c>
      <c r="F752">
        <f>IF('Scramble Leagues'!$H5="","",'Scramble Leagues'!$D5&amp;"")</f>
        <v/>
      </c>
      <c r="G752">
        <f>IF('Scramble Leagues'!$H5="","",'Scramble Leagues'!$E5&amp;"")</f>
        <v/>
      </c>
      <c r="J752">
        <f>IF('Scramble Leagues'!$H5="","",'Scramble Leagues'!$F5)</f>
        <v/>
      </c>
      <c r="K752">
        <f>IF('Scramble Leagues'!$H5="","",COUNTIFS('Scramble Leagues'!$A$5:$A$154,'Scramble Leagues'!$A5,'Scramble Leagues'!$F$5:$F$154,'Scramble Leagues'!$F5))</f>
        <v/>
      </c>
      <c r="L752">
        <f>IF('Scramble Leagues'!$H5="","","")</f>
        <v/>
      </c>
      <c r="M752">
        <f>IF('Scramble Leagues'!$H5="","",'Scramble Leagues'!$G5)</f>
        <v/>
      </c>
      <c r="N752">
        <f>IF('Scramble Leagues'!$H5="","",'Scramble Leagues'!$H5)</f>
        <v/>
      </c>
      <c r="O752">
        <f>IF('Scramble Leagues'!$H5="","",'Scramble Leagues'!$H5)</f>
        <v/>
      </c>
      <c r="P752">
        <f>IF('Scramble Leagues'!$H5="","",'Scramble Leagues'!$I5)</f>
        <v/>
      </c>
    </row>
    <row r="753">
      <c r="A753">
        <f>IF('Scramble Leagues'!$H6="","","Scramble League "&amp;'Scramble Leagues'!$A6)</f>
        <v/>
      </c>
      <c r="B753">
        <f>IF('Scramble Leagues'!$H6="","","Scramble League")</f>
        <v/>
      </c>
      <c r="C753" s="18">
        <f>IF('Scramble Leagues'!$H6="","",'Scramble Leagues'!$B6)</f>
        <v/>
      </c>
      <c r="E753">
        <f>IF('Scramble Leagues'!$H6="","",'Scramble Leagues'!$C6&amp;"")</f>
        <v/>
      </c>
      <c r="F753">
        <f>IF('Scramble Leagues'!$H6="","",'Scramble Leagues'!$D6&amp;"")</f>
        <v/>
      </c>
      <c r="G753">
        <f>IF('Scramble Leagues'!$H6="","",'Scramble Leagues'!$E6&amp;"")</f>
        <v/>
      </c>
      <c r="J753">
        <f>IF('Scramble Leagues'!$H6="","",'Scramble Leagues'!$F6)</f>
        <v/>
      </c>
      <c r="K753">
        <f>IF('Scramble Leagues'!$H6="","",COUNTIFS('Scramble Leagues'!$A$5:$A$154,'Scramble Leagues'!$A6,'Scramble Leagues'!$F$5:$F$154,'Scramble Leagues'!$F6))</f>
        <v/>
      </c>
      <c r="L753">
        <f>IF('Scramble Leagues'!$H6="","","")</f>
        <v/>
      </c>
      <c r="M753">
        <f>IF('Scramble Leagues'!$H6="","",'Scramble Leagues'!$G6)</f>
        <v/>
      </c>
      <c r="N753">
        <f>IF('Scramble Leagues'!$H6="","",'Scramble Leagues'!$H6)</f>
        <v/>
      </c>
      <c r="O753">
        <f>IF('Scramble Leagues'!$H6="","",'Scramble Leagues'!$H6)</f>
        <v/>
      </c>
      <c r="P753">
        <f>IF('Scramble Leagues'!$H6="","",'Scramble Leagues'!$I6)</f>
        <v/>
      </c>
    </row>
    <row r="754">
      <c r="A754">
        <f>IF('Scramble Leagues'!$H7="","","Scramble League "&amp;'Scramble Leagues'!$A7)</f>
        <v/>
      </c>
      <c r="B754">
        <f>IF('Scramble Leagues'!$H7="","","Scramble League")</f>
        <v/>
      </c>
      <c r="C754" s="18">
        <f>IF('Scramble Leagues'!$H7="","",'Scramble Leagues'!$B7)</f>
        <v/>
      </c>
      <c r="E754">
        <f>IF('Scramble Leagues'!$H7="","",'Scramble Leagues'!$C7&amp;"")</f>
        <v/>
      </c>
      <c r="F754">
        <f>IF('Scramble Leagues'!$H7="","",'Scramble Leagues'!$D7&amp;"")</f>
        <v/>
      </c>
      <c r="G754">
        <f>IF('Scramble Leagues'!$H7="","",'Scramble Leagues'!$E7&amp;"")</f>
        <v/>
      </c>
      <c r="J754">
        <f>IF('Scramble Leagues'!$H7="","",'Scramble Leagues'!$F7)</f>
        <v/>
      </c>
      <c r="K754">
        <f>IF('Scramble Leagues'!$H7="","",COUNTIFS('Scramble Leagues'!$A$5:$A$154,'Scramble Leagues'!$A7,'Scramble Leagues'!$F$5:$F$154,'Scramble Leagues'!$F7))</f>
        <v/>
      </c>
      <c r="L754">
        <f>IF('Scramble Leagues'!$H7="","","")</f>
        <v/>
      </c>
      <c r="M754">
        <f>IF('Scramble Leagues'!$H7="","",'Scramble Leagues'!$G7)</f>
        <v/>
      </c>
      <c r="N754">
        <f>IF('Scramble Leagues'!$H7="","",'Scramble Leagues'!$H7)</f>
        <v/>
      </c>
      <c r="O754">
        <f>IF('Scramble Leagues'!$H7="","",'Scramble Leagues'!$H7)</f>
        <v/>
      </c>
      <c r="P754">
        <f>IF('Scramble Leagues'!$H7="","",'Scramble Leagues'!$I7)</f>
        <v/>
      </c>
    </row>
    <row r="755">
      <c r="A755">
        <f>IF('Scramble Leagues'!$H8="","","Scramble League "&amp;'Scramble Leagues'!$A8)</f>
        <v/>
      </c>
      <c r="B755">
        <f>IF('Scramble Leagues'!$H8="","","Scramble League")</f>
        <v/>
      </c>
      <c r="C755" s="18">
        <f>IF('Scramble Leagues'!$H8="","",'Scramble Leagues'!$B8)</f>
        <v/>
      </c>
      <c r="E755">
        <f>IF('Scramble Leagues'!$H8="","",'Scramble Leagues'!$C8&amp;"")</f>
        <v/>
      </c>
      <c r="F755">
        <f>IF('Scramble Leagues'!$H8="","",'Scramble Leagues'!$D8&amp;"")</f>
        <v/>
      </c>
      <c r="G755">
        <f>IF('Scramble Leagues'!$H8="","",'Scramble Leagues'!$E8&amp;"")</f>
        <v/>
      </c>
      <c r="J755">
        <f>IF('Scramble Leagues'!$H8="","",'Scramble Leagues'!$F8)</f>
        <v/>
      </c>
      <c r="K755">
        <f>IF('Scramble Leagues'!$H8="","",COUNTIFS('Scramble Leagues'!$A$5:$A$154,'Scramble Leagues'!$A8,'Scramble Leagues'!$F$5:$F$154,'Scramble Leagues'!$F8))</f>
        <v/>
      </c>
      <c r="L755">
        <f>IF('Scramble Leagues'!$H8="","","")</f>
        <v/>
      </c>
      <c r="M755">
        <f>IF('Scramble Leagues'!$H8="","",'Scramble Leagues'!$G8)</f>
        <v/>
      </c>
      <c r="N755">
        <f>IF('Scramble Leagues'!$H8="","",'Scramble Leagues'!$H8)</f>
        <v/>
      </c>
      <c r="O755">
        <f>IF('Scramble Leagues'!$H8="","",'Scramble Leagues'!$H8)</f>
        <v/>
      </c>
      <c r="P755">
        <f>IF('Scramble Leagues'!$H8="","",'Scramble Leagues'!$I8)</f>
        <v/>
      </c>
    </row>
    <row r="756">
      <c r="A756">
        <f>IF('Scramble Leagues'!$H9="","","Scramble League "&amp;'Scramble Leagues'!$A9)</f>
        <v/>
      </c>
      <c r="B756">
        <f>IF('Scramble Leagues'!$H9="","","Scramble League")</f>
        <v/>
      </c>
      <c r="C756" s="18">
        <f>IF('Scramble Leagues'!$H9="","",'Scramble Leagues'!$B9)</f>
        <v/>
      </c>
      <c r="E756">
        <f>IF('Scramble Leagues'!$H9="","",'Scramble Leagues'!$C9&amp;"")</f>
        <v/>
      </c>
      <c r="F756">
        <f>IF('Scramble Leagues'!$H9="","",'Scramble Leagues'!$D9&amp;"")</f>
        <v/>
      </c>
      <c r="G756">
        <f>IF('Scramble Leagues'!$H9="","",'Scramble Leagues'!$E9&amp;"")</f>
        <v/>
      </c>
      <c r="J756">
        <f>IF('Scramble Leagues'!$H9="","",'Scramble Leagues'!$F9)</f>
        <v/>
      </c>
      <c r="K756">
        <f>IF('Scramble Leagues'!$H9="","",COUNTIFS('Scramble Leagues'!$A$5:$A$154,'Scramble Leagues'!$A9,'Scramble Leagues'!$F$5:$F$154,'Scramble Leagues'!$F9))</f>
        <v/>
      </c>
      <c r="L756">
        <f>IF('Scramble Leagues'!$H9="","","")</f>
        <v/>
      </c>
      <c r="M756">
        <f>IF('Scramble Leagues'!$H9="","",'Scramble Leagues'!$G9)</f>
        <v/>
      </c>
      <c r="N756">
        <f>IF('Scramble Leagues'!$H9="","",'Scramble Leagues'!$H9)</f>
        <v/>
      </c>
      <c r="O756">
        <f>IF('Scramble Leagues'!$H9="","",'Scramble Leagues'!$H9)</f>
        <v/>
      </c>
      <c r="P756">
        <f>IF('Scramble Leagues'!$H9="","",'Scramble Leagues'!$I9)</f>
        <v/>
      </c>
    </row>
    <row r="757">
      <c r="A757">
        <f>IF('Scramble Leagues'!$H10="","","Scramble League "&amp;'Scramble Leagues'!$A10)</f>
        <v/>
      </c>
      <c r="B757">
        <f>IF('Scramble Leagues'!$H10="","","Scramble League")</f>
        <v/>
      </c>
      <c r="C757" s="18">
        <f>IF('Scramble Leagues'!$H10="","",'Scramble Leagues'!$B10)</f>
        <v/>
      </c>
      <c r="E757">
        <f>IF('Scramble Leagues'!$H10="","",'Scramble Leagues'!$C10&amp;"")</f>
        <v/>
      </c>
      <c r="F757">
        <f>IF('Scramble Leagues'!$H10="","",'Scramble Leagues'!$D10&amp;"")</f>
        <v/>
      </c>
      <c r="G757">
        <f>IF('Scramble Leagues'!$H10="","",'Scramble Leagues'!$E10&amp;"")</f>
        <v/>
      </c>
      <c r="J757">
        <f>IF('Scramble Leagues'!$H10="","",'Scramble Leagues'!$F10)</f>
        <v/>
      </c>
      <c r="K757">
        <f>IF('Scramble Leagues'!$H10="","",COUNTIFS('Scramble Leagues'!$A$5:$A$154,'Scramble Leagues'!$A10,'Scramble Leagues'!$F$5:$F$154,'Scramble Leagues'!$F10))</f>
        <v/>
      </c>
      <c r="L757">
        <f>IF('Scramble Leagues'!$H10="","","")</f>
        <v/>
      </c>
      <c r="M757">
        <f>IF('Scramble Leagues'!$H10="","",'Scramble Leagues'!$G10)</f>
        <v/>
      </c>
      <c r="N757">
        <f>IF('Scramble Leagues'!$H10="","",'Scramble Leagues'!$H10)</f>
        <v/>
      </c>
      <c r="O757">
        <f>IF('Scramble Leagues'!$H10="","",'Scramble Leagues'!$H10)</f>
        <v/>
      </c>
      <c r="P757">
        <f>IF('Scramble Leagues'!$H10="","",'Scramble Leagues'!$I10)</f>
        <v/>
      </c>
    </row>
    <row r="758">
      <c r="A758">
        <f>IF('Scramble Leagues'!$H11="","","Scramble League "&amp;'Scramble Leagues'!$A11)</f>
        <v/>
      </c>
      <c r="B758">
        <f>IF('Scramble Leagues'!$H11="","","Scramble League")</f>
        <v/>
      </c>
      <c r="C758" s="18">
        <f>IF('Scramble Leagues'!$H11="","",'Scramble Leagues'!$B11)</f>
        <v/>
      </c>
      <c r="E758">
        <f>IF('Scramble Leagues'!$H11="","",'Scramble Leagues'!$C11&amp;"")</f>
        <v/>
      </c>
      <c r="F758">
        <f>IF('Scramble Leagues'!$H11="","",'Scramble Leagues'!$D11&amp;"")</f>
        <v/>
      </c>
      <c r="G758">
        <f>IF('Scramble Leagues'!$H11="","",'Scramble Leagues'!$E11&amp;"")</f>
        <v/>
      </c>
      <c r="J758">
        <f>IF('Scramble Leagues'!$H11="","",'Scramble Leagues'!$F11)</f>
        <v/>
      </c>
      <c r="K758">
        <f>IF('Scramble Leagues'!$H11="","",COUNTIFS('Scramble Leagues'!$A$5:$A$154,'Scramble Leagues'!$A11,'Scramble Leagues'!$F$5:$F$154,'Scramble Leagues'!$F11))</f>
        <v/>
      </c>
      <c r="L758">
        <f>IF('Scramble Leagues'!$H11="","","")</f>
        <v/>
      </c>
      <c r="M758">
        <f>IF('Scramble Leagues'!$H11="","",'Scramble Leagues'!$G11)</f>
        <v/>
      </c>
      <c r="N758">
        <f>IF('Scramble Leagues'!$H11="","",'Scramble Leagues'!$H11)</f>
        <v/>
      </c>
      <c r="O758">
        <f>IF('Scramble Leagues'!$H11="","",'Scramble Leagues'!$H11)</f>
        <v/>
      </c>
      <c r="P758">
        <f>IF('Scramble Leagues'!$H11="","",'Scramble Leagues'!$I11)</f>
        <v/>
      </c>
    </row>
    <row r="759">
      <c r="A759">
        <f>IF('Scramble Leagues'!$H12="","","Scramble League "&amp;'Scramble Leagues'!$A12)</f>
        <v/>
      </c>
      <c r="B759">
        <f>IF('Scramble Leagues'!$H12="","","Scramble League")</f>
        <v/>
      </c>
      <c r="C759" s="18">
        <f>IF('Scramble Leagues'!$H12="","",'Scramble Leagues'!$B12)</f>
        <v/>
      </c>
      <c r="E759">
        <f>IF('Scramble Leagues'!$H12="","",'Scramble Leagues'!$C12&amp;"")</f>
        <v/>
      </c>
      <c r="F759">
        <f>IF('Scramble Leagues'!$H12="","",'Scramble Leagues'!$D12&amp;"")</f>
        <v/>
      </c>
      <c r="G759">
        <f>IF('Scramble Leagues'!$H12="","",'Scramble Leagues'!$E12&amp;"")</f>
        <v/>
      </c>
      <c r="J759">
        <f>IF('Scramble Leagues'!$H12="","",'Scramble Leagues'!$F12)</f>
        <v/>
      </c>
      <c r="K759">
        <f>IF('Scramble Leagues'!$H12="","",COUNTIFS('Scramble Leagues'!$A$5:$A$154,'Scramble Leagues'!$A12,'Scramble Leagues'!$F$5:$F$154,'Scramble Leagues'!$F12))</f>
        <v/>
      </c>
      <c r="L759">
        <f>IF('Scramble Leagues'!$H12="","","")</f>
        <v/>
      </c>
      <c r="M759">
        <f>IF('Scramble Leagues'!$H12="","",'Scramble Leagues'!$G12)</f>
        <v/>
      </c>
      <c r="N759">
        <f>IF('Scramble Leagues'!$H12="","",'Scramble Leagues'!$H12)</f>
        <v/>
      </c>
      <c r="O759">
        <f>IF('Scramble Leagues'!$H12="","",'Scramble Leagues'!$H12)</f>
        <v/>
      </c>
      <c r="P759">
        <f>IF('Scramble Leagues'!$H12="","",'Scramble Leagues'!$I12)</f>
        <v/>
      </c>
    </row>
    <row r="760">
      <c r="A760">
        <f>IF('Scramble Leagues'!$H13="","","Scramble League "&amp;'Scramble Leagues'!$A13)</f>
        <v/>
      </c>
      <c r="B760">
        <f>IF('Scramble Leagues'!$H13="","","Scramble League")</f>
        <v/>
      </c>
      <c r="C760" s="18">
        <f>IF('Scramble Leagues'!$H13="","",'Scramble Leagues'!$B13)</f>
        <v/>
      </c>
      <c r="E760">
        <f>IF('Scramble Leagues'!$H13="","",'Scramble Leagues'!$C13&amp;"")</f>
        <v/>
      </c>
      <c r="F760">
        <f>IF('Scramble Leagues'!$H13="","",'Scramble Leagues'!$D13&amp;"")</f>
        <v/>
      </c>
      <c r="G760">
        <f>IF('Scramble Leagues'!$H13="","",'Scramble Leagues'!$E13&amp;"")</f>
        <v/>
      </c>
      <c r="J760">
        <f>IF('Scramble Leagues'!$H13="","",'Scramble Leagues'!$F13)</f>
        <v/>
      </c>
      <c r="K760">
        <f>IF('Scramble Leagues'!$H13="","",COUNTIFS('Scramble Leagues'!$A$5:$A$154,'Scramble Leagues'!$A13,'Scramble Leagues'!$F$5:$F$154,'Scramble Leagues'!$F13))</f>
        <v/>
      </c>
      <c r="L760">
        <f>IF('Scramble Leagues'!$H13="","","")</f>
        <v/>
      </c>
      <c r="M760">
        <f>IF('Scramble Leagues'!$H13="","",'Scramble Leagues'!$G13)</f>
        <v/>
      </c>
      <c r="N760">
        <f>IF('Scramble Leagues'!$H13="","",'Scramble Leagues'!$H13)</f>
        <v/>
      </c>
      <c r="O760">
        <f>IF('Scramble Leagues'!$H13="","",'Scramble Leagues'!$H13)</f>
        <v/>
      </c>
      <c r="P760">
        <f>IF('Scramble Leagues'!$H13="","",'Scramble Leagues'!$I13)</f>
        <v/>
      </c>
    </row>
    <row r="761">
      <c r="A761">
        <f>IF('Scramble Leagues'!$H14="","","Scramble League "&amp;'Scramble Leagues'!$A14)</f>
        <v/>
      </c>
      <c r="B761">
        <f>IF('Scramble Leagues'!$H14="","","Scramble League")</f>
        <v/>
      </c>
      <c r="C761" s="18">
        <f>IF('Scramble Leagues'!$H14="","",'Scramble Leagues'!$B14)</f>
        <v/>
      </c>
      <c r="E761">
        <f>IF('Scramble Leagues'!$H14="","",'Scramble Leagues'!$C14&amp;"")</f>
        <v/>
      </c>
      <c r="F761">
        <f>IF('Scramble Leagues'!$H14="","",'Scramble Leagues'!$D14&amp;"")</f>
        <v/>
      </c>
      <c r="G761">
        <f>IF('Scramble Leagues'!$H14="","",'Scramble Leagues'!$E14&amp;"")</f>
        <v/>
      </c>
      <c r="J761">
        <f>IF('Scramble Leagues'!$H14="","",'Scramble Leagues'!$F14)</f>
        <v/>
      </c>
      <c r="K761">
        <f>IF('Scramble Leagues'!$H14="","",COUNTIFS('Scramble Leagues'!$A$5:$A$154,'Scramble Leagues'!$A14,'Scramble Leagues'!$F$5:$F$154,'Scramble Leagues'!$F14))</f>
        <v/>
      </c>
      <c r="L761">
        <f>IF('Scramble Leagues'!$H14="","","")</f>
        <v/>
      </c>
      <c r="M761">
        <f>IF('Scramble Leagues'!$H14="","",'Scramble Leagues'!$G14)</f>
        <v/>
      </c>
      <c r="N761">
        <f>IF('Scramble Leagues'!$H14="","",'Scramble Leagues'!$H14)</f>
        <v/>
      </c>
      <c r="O761">
        <f>IF('Scramble Leagues'!$H14="","",'Scramble Leagues'!$H14)</f>
        <v/>
      </c>
      <c r="P761">
        <f>IF('Scramble Leagues'!$H14="","",'Scramble Leagues'!$I14)</f>
        <v/>
      </c>
    </row>
    <row r="762">
      <c r="A762">
        <f>IF('Scramble Leagues'!$H15="","","Scramble League "&amp;'Scramble Leagues'!$A15)</f>
        <v/>
      </c>
      <c r="B762">
        <f>IF('Scramble Leagues'!$H15="","","Scramble League")</f>
        <v/>
      </c>
      <c r="C762" s="18">
        <f>IF('Scramble Leagues'!$H15="","",'Scramble Leagues'!$B15)</f>
        <v/>
      </c>
      <c r="E762">
        <f>IF('Scramble Leagues'!$H15="","",'Scramble Leagues'!$C15&amp;"")</f>
        <v/>
      </c>
      <c r="F762">
        <f>IF('Scramble Leagues'!$H15="","",'Scramble Leagues'!$D15&amp;"")</f>
        <v/>
      </c>
      <c r="G762">
        <f>IF('Scramble Leagues'!$H15="","",'Scramble Leagues'!$E15&amp;"")</f>
        <v/>
      </c>
      <c r="J762">
        <f>IF('Scramble Leagues'!$H15="","",'Scramble Leagues'!$F15)</f>
        <v/>
      </c>
      <c r="K762">
        <f>IF('Scramble Leagues'!$H15="","",COUNTIFS('Scramble Leagues'!$A$5:$A$154,'Scramble Leagues'!$A15,'Scramble Leagues'!$F$5:$F$154,'Scramble Leagues'!$F15))</f>
        <v/>
      </c>
      <c r="L762">
        <f>IF('Scramble Leagues'!$H15="","","")</f>
        <v/>
      </c>
      <c r="M762">
        <f>IF('Scramble Leagues'!$H15="","",'Scramble Leagues'!$G15)</f>
        <v/>
      </c>
      <c r="N762">
        <f>IF('Scramble Leagues'!$H15="","",'Scramble Leagues'!$H15)</f>
        <v/>
      </c>
      <c r="O762">
        <f>IF('Scramble Leagues'!$H15="","",'Scramble Leagues'!$H15)</f>
        <v/>
      </c>
      <c r="P762">
        <f>IF('Scramble Leagues'!$H15="","",'Scramble Leagues'!$I15)</f>
        <v/>
      </c>
    </row>
    <row r="763">
      <c r="A763">
        <f>IF('Scramble Leagues'!$H16="","","Scramble League "&amp;'Scramble Leagues'!$A16)</f>
        <v/>
      </c>
      <c r="B763">
        <f>IF('Scramble Leagues'!$H16="","","Scramble League")</f>
        <v/>
      </c>
      <c r="C763" s="18">
        <f>IF('Scramble Leagues'!$H16="","",'Scramble Leagues'!$B16)</f>
        <v/>
      </c>
      <c r="E763">
        <f>IF('Scramble Leagues'!$H16="","",'Scramble Leagues'!$C16&amp;"")</f>
        <v/>
      </c>
      <c r="F763">
        <f>IF('Scramble Leagues'!$H16="","",'Scramble Leagues'!$D16&amp;"")</f>
        <v/>
      </c>
      <c r="G763">
        <f>IF('Scramble Leagues'!$H16="","",'Scramble Leagues'!$E16&amp;"")</f>
        <v/>
      </c>
      <c r="J763">
        <f>IF('Scramble Leagues'!$H16="","",'Scramble Leagues'!$F16)</f>
        <v/>
      </c>
      <c r="K763">
        <f>IF('Scramble Leagues'!$H16="","",COUNTIFS('Scramble Leagues'!$A$5:$A$154,'Scramble Leagues'!$A16,'Scramble Leagues'!$F$5:$F$154,'Scramble Leagues'!$F16))</f>
        <v/>
      </c>
      <c r="L763">
        <f>IF('Scramble Leagues'!$H16="","","")</f>
        <v/>
      </c>
      <c r="M763">
        <f>IF('Scramble Leagues'!$H16="","",'Scramble Leagues'!$G16)</f>
        <v/>
      </c>
      <c r="N763">
        <f>IF('Scramble Leagues'!$H16="","",'Scramble Leagues'!$H16)</f>
        <v/>
      </c>
      <c r="O763">
        <f>IF('Scramble Leagues'!$H16="","",'Scramble Leagues'!$H16)</f>
        <v/>
      </c>
      <c r="P763">
        <f>IF('Scramble Leagues'!$H16="","",'Scramble Leagues'!$I16)</f>
        <v/>
      </c>
    </row>
    <row r="764">
      <c r="A764">
        <f>IF('Scramble Leagues'!$H17="","","Scramble League "&amp;'Scramble Leagues'!$A17)</f>
        <v/>
      </c>
      <c r="B764">
        <f>IF('Scramble Leagues'!$H17="","","Scramble League")</f>
        <v/>
      </c>
      <c r="C764" s="18">
        <f>IF('Scramble Leagues'!$H17="","",'Scramble Leagues'!$B17)</f>
        <v/>
      </c>
      <c r="E764">
        <f>IF('Scramble Leagues'!$H17="","",'Scramble Leagues'!$C17&amp;"")</f>
        <v/>
      </c>
      <c r="F764">
        <f>IF('Scramble Leagues'!$H17="","",'Scramble Leagues'!$D17&amp;"")</f>
        <v/>
      </c>
      <c r="G764">
        <f>IF('Scramble Leagues'!$H17="","",'Scramble Leagues'!$E17&amp;"")</f>
        <v/>
      </c>
      <c r="J764">
        <f>IF('Scramble Leagues'!$H17="","",'Scramble Leagues'!$F17)</f>
        <v/>
      </c>
      <c r="K764">
        <f>IF('Scramble Leagues'!$H17="","",COUNTIFS('Scramble Leagues'!$A$5:$A$154,'Scramble Leagues'!$A17,'Scramble Leagues'!$F$5:$F$154,'Scramble Leagues'!$F17))</f>
        <v/>
      </c>
      <c r="L764">
        <f>IF('Scramble Leagues'!$H17="","","")</f>
        <v/>
      </c>
      <c r="M764">
        <f>IF('Scramble Leagues'!$H17="","",'Scramble Leagues'!$G17)</f>
        <v/>
      </c>
      <c r="N764">
        <f>IF('Scramble Leagues'!$H17="","",'Scramble Leagues'!$H17)</f>
        <v/>
      </c>
      <c r="O764">
        <f>IF('Scramble Leagues'!$H17="","",'Scramble Leagues'!$H17)</f>
        <v/>
      </c>
      <c r="P764">
        <f>IF('Scramble Leagues'!$H17="","",'Scramble Leagues'!$I17)</f>
        <v/>
      </c>
    </row>
    <row r="765">
      <c r="A765">
        <f>IF('Scramble Leagues'!$H18="","","Scramble League "&amp;'Scramble Leagues'!$A18)</f>
        <v/>
      </c>
      <c r="B765">
        <f>IF('Scramble Leagues'!$H18="","","Scramble League")</f>
        <v/>
      </c>
      <c r="C765" s="18">
        <f>IF('Scramble Leagues'!$H18="","",'Scramble Leagues'!$B18)</f>
        <v/>
      </c>
      <c r="E765">
        <f>IF('Scramble Leagues'!$H18="","",'Scramble Leagues'!$C18&amp;"")</f>
        <v/>
      </c>
      <c r="F765">
        <f>IF('Scramble Leagues'!$H18="","",'Scramble Leagues'!$D18&amp;"")</f>
        <v/>
      </c>
      <c r="G765">
        <f>IF('Scramble Leagues'!$H18="","",'Scramble Leagues'!$E18&amp;"")</f>
        <v/>
      </c>
      <c r="J765">
        <f>IF('Scramble Leagues'!$H18="","",'Scramble Leagues'!$F18)</f>
        <v/>
      </c>
      <c r="K765">
        <f>IF('Scramble Leagues'!$H18="","",COUNTIFS('Scramble Leagues'!$A$5:$A$154,'Scramble Leagues'!$A18,'Scramble Leagues'!$F$5:$F$154,'Scramble Leagues'!$F18))</f>
        <v/>
      </c>
      <c r="L765">
        <f>IF('Scramble Leagues'!$H18="","","")</f>
        <v/>
      </c>
      <c r="M765">
        <f>IF('Scramble Leagues'!$H18="","",'Scramble Leagues'!$G18)</f>
        <v/>
      </c>
      <c r="N765">
        <f>IF('Scramble Leagues'!$H18="","",'Scramble Leagues'!$H18)</f>
        <v/>
      </c>
      <c r="O765">
        <f>IF('Scramble Leagues'!$H18="","",'Scramble Leagues'!$H18)</f>
        <v/>
      </c>
      <c r="P765">
        <f>IF('Scramble Leagues'!$H18="","",'Scramble Leagues'!$I18)</f>
        <v/>
      </c>
    </row>
    <row r="766">
      <c r="A766">
        <f>IF('Scramble Leagues'!$H19="","","Scramble League "&amp;'Scramble Leagues'!$A19)</f>
        <v/>
      </c>
      <c r="B766">
        <f>IF('Scramble Leagues'!$H19="","","Scramble League")</f>
        <v/>
      </c>
      <c r="C766" s="18">
        <f>IF('Scramble Leagues'!$H19="","",'Scramble Leagues'!$B19)</f>
        <v/>
      </c>
      <c r="E766">
        <f>IF('Scramble Leagues'!$H19="","",'Scramble Leagues'!$C19&amp;"")</f>
        <v/>
      </c>
      <c r="F766">
        <f>IF('Scramble Leagues'!$H19="","",'Scramble Leagues'!$D19&amp;"")</f>
        <v/>
      </c>
      <c r="G766">
        <f>IF('Scramble Leagues'!$H19="","",'Scramble Leagues'!$E19&amp;"")</f>
        <v/>
      </c>
      <c r="J766">
        <f>IF('Scramble Leagues'!$H19="","",'Scramble Leagues'!$F19)</f>
        <v/>
      </c>
      <c r="K766">
        <f>IF('Scramble Leagues'!$H19="","",COUNTIFS('Scramble Leagues'!$A$5:$A$154,'Scramble Leagues'!$A19,'Scramble Leagues'!$F$5:$F$154,'Scramble Leagues'!$F19))</f>
        <v/>
      </c>
      <c r="L766">
        <f>IF('Scramble Leagues'!$H19="","","")</f>
        <v/>
      </c>
      <c r="M766">
        <f>IF('Scramble Leagues'!$H19="","",'Scramble Leagues'!$G19)</f>
        <v/>
      </c>
      <c r="N766">
        <f>IF('Scramble Leagues'!$H19="","",'Scramble Leagues'!$H19)</f>
        <v/>
      </c>
      <c r="O766">
        <f>IF('Scramble Leagues'!$H19="","",'Scramble Leagues'!$H19)</f>
        <v/>
      </c>
      <c r="P766">
        <f>IF('Scramble Leagues'!$H19="","",'Scramble Leagues'!$I19)</f>
        <v/>
      </c>
    </row>
    <row r="767">
      <c r="A767">
        <f>IF('Scramble Leagues'!$H20="","","Scramble League "&amp;'Scramble Leagues'!$A20)</f>
        <v/>
      </c>
      <c r="B767">
        <f>IF('Scramble Leagues'!$H20="","","Scramble League")</f>
        <v/>
      </c>
      <c r="C767" s="18">
        <f>IF('Scramble Leagues'!$H20="","",'Scramble Leagues'!$B20)</f>
        <v/>
      </c>
      <c r="E767">
        <f>IF('Scramble Leagues'!$H20="","",'Scramble Leagues'!$C20&amp;"")</f>
        <v/>
      </c>
      <c r="F767">
        <f>IF('Scramble Leagues'!$H20="","",'Scramble Leagues'!$D20&amp;"")</f>
        <v/>
      </c>
      <c r="G767">
        <f>IF('Scramble Leagues'!$H20="","",'Scramble Leagues'!$E20&amp;"")</f>
        <v/>
      </c>
      <c r="J767">
        <f>IF('Scramble Leagues'!$H20="","",'Scramble Leagues'!$F20)</f>
        <v/>
      </c>
      <c r="K767">
        <f>IF('Scramble Leagues'!$H20="","",COUNTIFS('Scramble Leagues'!$A$5:$A$154,'Scramble Leagues'!$A20,'Scramble Leagues'!$F$5:$F$154,'Scramble Leagues'!$F20))</f>
        <v/>
      </c>
      <c r="L767">
        <f>IF('Scramble Leagues'!$H20="","","")</f>
        <v/>
      </c>
      <c r="M767">
        <f>IF('Scramble Leagues'!$H20="","",'Scramble Leagues'!$G20)</f>
        <v/>
      </c>
      <c r="N767">
        <f>IF('Scramble Leagues'!$H20="","",'Scramble Leagues'!$H20)</f>
        <v/>
      </c>
      <c r="O767">
        <f>IF('Scramble Leagues'!$H20="","",'Scramble Leagues'!$H20)</f>
        <v/>
      </c>
      <c r="P767">
        <f>IF('Scramble Leagues'!$H20="","",'Scramble Leagues'!$I20)</f>
        <v/>
      </c>
    </row>
    <row r="768">
      <c r="A768">
        <f>IF('Scramble Leagues'!$H21="","","Scramble League "&amp;'Scramble Leagues'!$A21)</f>
        <v/>
      </c>
      <c r="B768">
        <f>IF('Scramble Leagues'!$H21="","","Scramble League")</f>
        <v/>
      </c>
      <c r="C768" s="18">
        <f>IF('Scramble Leagues'!$H21="","",'Scramble Leagues'!$B21)</f>
        <v/>
      </c>
      <c r="E768">
        <f>IF('Scramble Leagues'!$H21="","",'Scramble Leagues'!$C21&amp;"")</f>
        <v/>
      </c>
      <c r="F768">
        <f>IF('Scramble Leagues'!$H21="","",'Scramble Leagues'!$D21&amp;"")</f>
        <v/>
      </c>
      <c r="G768">
        <f>IF('Scramble Leagues'!$H21="","",'Scramble Leagues'!$E21&amp;"")</f>
        <v/>
      </c>
      <c r="J768">
        <f>IF('Scramble Leagues'!$H21="","",'Scramble Leagues'!$F21)</f>
        <v/>
      </c>
      <c r="K768">
        <f>IF('Scramble Leagues'!$H21="","",COUNTIFS('Scramble Leagues'!$A$5:$A$154,'Scramble Leagues'!$A21,'Scramble Leagues'!$F$5:$F$154,'Scramble Leagues'!$F21))</f>
        <v/>
      </c>
      <c r="L768">
        <f>IF('Scramble Leagues'!$H21="","","")</f>
        <v/>
      </c>
      <c r="M768">
        <f>IF('Scramble Leagues'!$H21="","",'Scramble Leagues'!$G21)</f>
        <v/>
      </c>
      <c r="N768">
        <f>IF('Scramble Leagues'!$H21="","",'Scramble Leagues'!$H21)</f>
        <v/>
      </c>
      <c r="O768">
        <f>IF('Scramble Leagues'!$H21="","",'Scramble Leagues'!$H21)</f>
        <v/>
      </c>
      <c r="P768">
        <f>IF('Scramble Leagues'!$H21="","",'Scramble Leagues'!$I21)</f>
        <v/>
      </c>
    </row>
    <row r="769">
      <c r="A769">
        <f>IF('Scramble Leagues'!$H22="","","Scramble League "&amp;'Scramble Leagues'!$A22)</f>
        <v/>
      </c>
      <c r="B769">
        <f>IF('Scramble Leagues'!$H22="","","Scramble League")</f>
        <v/>
      </c>
      <c r="C769" s="18">
        <f>IF('Scramble Leagues'!$H22="","",'Scramble Leagues'!$B22)</f>
        <v/>
      </c>
      <c r="E769">
        <f>IF('Scramble Leagues'!$H22="","",'Scramble Leagues'!$C22&amp;"")</f>
        <v/>
      </c>
      <c r="F769">
        <f>IF('Scramble Leagues'!$H22="","",'Scramble Leagues'!$D22&amp;"")</f>
        <v/>
      </c>
      <c r="G769">
        <f>IF('Scramble Leagues'!$H22="","",'Scramble Leagues'!$E22&amp;"")</f>
        <v/>
      </c>
      <c r="J769">
        <f>IF('Scramble Leagues'!$H22="","",'Scramble Leagues'!$F22)</f>
        <v/>
      </c>
      <c r="K769">
        <f>IF('Scramble Leagues'!$H22="","",COUNTIFS('Scramble Leagues'!$A$5:$A$154,'Scramble Leagues'!$A22,'Scramble Leagues'!$F$5:$F$154,'Scramble Leagues'!$F22))</f>
        <v/>
      </c>
      <c r="L769">
        <f>IF('Scramble Leagues'!$H22="","","")</f>
        <v/>
      </c>
      <c r="M769">
        <f>IF('Scramble Leagues'!$H22="","",'Scramble Leagues'!$G22)</f>
        <v/>
      </c>
      <c r="N769">
        <f>IF('Scramble Leagues'!$H22="","",'Scramble Leagues'!$H22)</f>
        <v/>
      </c>
      <c r="O769">
        <f>IF('Scramble Leagues'!$H22="","",'Scramble Leagues'!$H22)</f>
        <v/>
      </c>
      <c r="P769">
        <f>IF('Scramble Leagues'!$H22="","",'Scramble Leagues'!$I22)</f>
        <v/>
      </c>
    </row>
    <row r="770">
      <c r="A770">
        <f>IF('Scramble Leagues'!$H23="","","Scramble League "&amp;'Scramble Leagues'!$A23)</f>
        <v/>
      </c>
      <c r="B770">
        <f>IF('Scramble Leagues'!$H23="","","Scramble League")</f>
        <v/>
      </c>
      <c r="C770" s="18">
        <f>IF('Scramble Leagues'!$H23="","",'Scramble Leagues'!$B23)</f>
        <v/>
      </c>
      <c r="E770">
        <f>IF('Scramble Leagues'!$H23="","",'Scramble Leagues'!$C23&amp;"")</f>
        <v/>
      </c>
      <c r="F770">
        <f>IF('Scramble Leagues'!$H23="","",'Scramble Leagues'!$D23&amp;"")</f>
        <v/>
      </c>
      <c r="G770">
        <f>IF('Scramble Leagues'!$H23="","",'Scramble Leagues'!$E23&amp;"")</f>
        <v/>
      </c>
      <c r="J770">
        <f>IF('Scramble Leagues'!$H23="","",'Scramble Leagues'!$F23)</f>
        <v/>
      </c>
      <c r="K770">
        <f>IF('Scramble Leagues'!$H23="","",COUNTIFS('Scramble Leagues'!$A$5:$A$154,'Scramble Leagues'!$A23,'Scramble Leagues'!$F$5:$F$154,'Scramble Leagues'!$F23))</f>
        <v/>
      </c>
      <c r="L770">
        <f>IF('Scramble Leagues'!$H23="","","")</f>
        <v/>
      </c>
      <c r="M770">
        <f>IF('Scramble Leagues'!$H23="","",'Scramble Leagues'!$G23)</f>
        <v/>
      </c>
      <c r="N770">
        <f>IF('Scramble Leagues'!$H23="","",'Scramble Leagues'!$H23)</f>
        <v/>
      </c>
      <c r="O770">
        <f>IF('Scramble Leagues'!$H23="","",'Scramble Leagues'!$H23)</f>
        <v/>
      </c>
      <c r="P770">
        <f>IF('Scramble Leagues'!$H23="","",'Scramble Leagues'!$I23)</f>
        <v/>
      </c>
    </row>
    <row r="771">
      <c r="A771">
        <f>IF('Scramble Leagues'!$H24="","","Scramble League "&amp;'Scramble Leagues'!$A24)</f>
        <v/>
      </c>
      <c r="B771">
        <f>IF('Scramble Leagues'!$H24="","","Scramble League")</f>
        <v/>
      </c>
      <c r="C771" s="18">
        <f>IF('Scramble Leagues'!$H24="","",'Scramble Leagues'!$B24)</f>
        <v/>
      </c>
      <c r="E771">
        <f>IF('Scramble Leagues'!$H24="","",'Scramble Leagues'!$C24&amp;"")</f>
        <v/>
      </c>
      <c r="F771">
        <f>IF('Scramble Leagues'!$H24="","",'Scramble Leagues'!$D24&amp;"")</f>
        <v/>
      </c>
      <c r="G771">
        <f>IF('Scramble Leagues'!$H24="","",'Scramble Leagues'!$E24&amp;"")</f>
        <v/>
      </c>
      <c r="J771">
        <f>IF('Scramble Leagues'!$H24="","",'Scramble Leagues'!$F24)</f>
        <v/>
      </c>
      <c r="K771">
        <f>IF('Scramble Leagues'!$H24="","",COUNTIFS('Scramble Leagues'!$A$5:$A$154,'Scramble Leagues'!$A24,'Scramble Leagues'!$F$5:$F$154,'Scramble Leagues'!$F24))</f>
        <v/>
      </c>
      <c r="L771">
        <f>IF('Scramble Leagues'!$H24="","","")</f>
        <v/>
      </c>
      <c r="M771">
        <f>IF('Scramble Leagues'!$H24="","",'Scramble Leagues'!$G24)</f>
        <v/>
      </c>
      <c r="N771">
        <f>IF('Scramble Leagues'!$H24="","",'Scramble Leagues'!$H24)</f>
        <v/>
      </c>
      <c r="O771">
        <f>IF('Scramble Leagues'!$H24="","",'Scramble Leagues'!$H24)</f>
        <v/>
      </c>
      <c r="P771">
        <f>IF('Scramble Leagues'!$H24="","",'Scramble Leagues'!$I24)</f>
        <v/>
      </c>
    </row>
    <row r="772">
      <c r="A772">
        <f>IF('Scramble Leagues'!$H25="","","Scramble League "&amp;'Scramble Leagues'!$A25)</f>
        <v/>
      </c>
      <c r="B772">
        <f>IF('Scramble Leagues'!$H25="","","Scramble League")</f>
        <v/>
      </c>
      <c r="C772" s="18">
        <f>IF('Scramble Leagues'!$H25="","",'Scramble Leagues'!$B25)</f>
        <v/>
      </c>
      <c r="E772">
        <f>IF('Scramble Leagues'!$H25="","",'Scramble Leagues'!$C25&amp;"")</f>
        <v/>
      </c>
      <c r="F772">
        <f>IF('Scramble Leagues'!$H25="","",'Scramble Leagues'!$D25&amp;"")</f>
        <v/>
      </c>
      <c r="G772">
        <f>IF('Scramble Leagues'!$H25="","",'Scramble Leagues'!$E25&amp;"")</f>
        <v/>
      </c>
      <c r="J772">
        <f>IF('Scramble Leagues'!$H25="","",'Scramble Leagues'!$F25)</f>
        <v/>
      </c>
      <c r="K772">
        <f>IF('Scramble Leagues'!$H25="","",COUNTIFS('Scramble Leagues'!$A$5:$A$154,'Scramble Leagues'!$A25,'Scramble Leagues'!$F$5:$F$154,'Scramble Leagues'!$F25))</f>
        <v/>
      </c>
      <c r="L772">
        <f>IF('Scramble Leagues'!$H25="","","")</f>
        <v/>
      </c>
      <c r="M772">
        <f>IF('Scramble Leagues'!$H25="","",'Scramble Leagues'!$G25)</f>
        <v/>
      </c>
      <c r="N772">
        <f>IF('Scramble Leagues'!$H25="","",'Scramble Leagues'!$H25)</f>
        <v/>
      </c>
      <c r="O772">
        <f>IF('Scramble Leagues'!$H25="","",'Scramble Leagues'!$H25)</f>
        <v/>
      </c>
      <c r="P772">
        <f>IF('Scramble Leagues'!$H25="","",'Scramble Leagues'!$I25)</f>
        <v/>
      </c>
    </row>
    <row r="773">
      <c r="A773">
        <f>IF('Scramble Leagues'!$H26="","","Scramble League "&amp;'Scramble Leagues'!$A26)</f>
        <v/>
      </c>
      <c r="B773">
        <f>IF('Scramble Leagues'!$H26="","","Scramble League")</f>
        <v/>
      </c>
      <c r="C773" s="18">
        <f>IF('Scramble Leagues'!$H26="","",'Scramble Leagues'!$B26)</f>
        <v/>
      </c>
      <c r="E773">
        <f>IF('Scramble Leagues'!$H26="","",'Scramble Leagues'!$C26&amp;"")</f>
        <v/>
      </c>
      <c r="F773">
        <f>IF('Scramble Leagues'!$H26="","",'Scramble Leagues'!$D26&amp;"")</f>
        <v/>
      </c>
      <c r="G773">
        <f>IF('Scramble Leagues'!$H26="","",'Scramble Leagues'!$E26&amp;"")</f>
        <v/>
      </c>
      <c r="J773">
        <f>IF('Scramble Leagues'!$H26="","",'Scramble Leagues'!$F26)</f>
        <v/>
      </c>
      <c r="K773">
        <f>IF('Scramble Leagues'!$H26="","",COUNTIFS('Scramble Leagues'!$A$5:$A$154,'Scramble Leagues'!$A26,'Scramble Leagues'!$F$5:$F$154,'Scramble Leagues'!$F26))</f>
        <v/>
      </c>
      <c r="L773">
        <f>IF('Scramble Leagues'!$H26="","","")</f>
        <v/>
      </c>
      <c r="M773">
        <f>IF('Scramble Leagues'!$H26="","",'Scramble Leagues'!$G26)</f>
        <v/>
      </c>
      <c r="N773">
        <f>IF('Scramble Leagues'!$H26="","",'Scramble Leagues'!$H26)</f>
        <v/>
      </c>
      <c r="O773">
        <f>IF('Scramble Leagues'!$H26="","",'Scramble Leagues'!$H26)</f>
        <v/>
      </c>
      <c r="P773">
        <f>IF('Scramble Leagues'!$H26="","",'Scramble Leagues'!$I26)</f>
        <v/>
      </c>
    </row>
    <row r="774">
      <c r="A774">
        <f>IF('Scramble Leagues'!$H27="","","Scramble League "&amp;'Scramble Leagues'!$A27)</f>
        <v/>
      </c>
      <c r="B774">
        <f>IF('Scramble Leagues'!$H27="","","Scramble League")</f>
        <v/>
      </c>
      <c r="C774" s="18">
        <f>IF('Scramble Leagues'!$H27="","",'Scramble Leagues'!$B27)</f>
        <v/>
      </c>
      <c r="E774">
        <f>IF('Scramble Leagues'!$H27="","",'Scramble Leagues'!$C27&amp;"")</f>
        <v/>
      </c>
      <c r="F774">
        <f>IF('Scramble Leagues'!$H27="","",'Scramble Leagues'!$D27&amp;"")</f>
        <v/>
      </c>
      <c r="G774">
        <f>IF('Scramble Leagues'!$H27="","",'Scramble Leagues'!$E27&amp;"")</f>
        <v/>
      </c>
      <c r="J774">
        <f>IF('Scramble Leagues'!$H27="","",'Scramble Leagues'!$F27)</f>
        <v/>
      </c>
      <c r="K774">
        <f>IF('Scramble Leagues'!$H27="","",COUNTIFS('Scramble Leagues'!$A$5:$A$154,'Scramble Leagues'!$A27,'Scramble Leagues'!$F$5:$F$154,'Scramble Leagues'!$F27))</f>
        <v/>
      </c>
      <c r="L774">
        <f>IF('Scramble Leagues'!$H27="","","")</f>
        <v/>
      </c>
      <c r="M774">
        <f>IF('Scramble Leagues'!$H27="","",'Scramble Leagues'!$G27)</f>
        <v/>
      </c>
      <c r="N774">
        <f>IF('Scramble Leagues'!$H27="","",'Scramble Leagues'!$H27)</f>
        <v/>
      </c>
      <c r="O774">
        <f>IF('Scramble Leagues'!$H27="","",'Scramble Leagues'!$H27)</f>
        <v/>
      </c>
      <c r="P774">
        <f>IF('Scramble Leagues'!$H27="","",'Scramble Leagues'!$I27)</f>
        <v/>
      </c>
    </row>
    <row r="775">
      <c r="A775">
        <f>IF('Scramble Leagues'!$H28="","","Scramble League "&amp;'Scramble Leagues'!$A28)</f>
        <v/>
      </c>
      <c r="B775">
        <f>IF('Scramble Leagues'!$H28="","","Scramble League")</f>
        <v/>
      </c>
      <c r="C775" s="18">
        <f>IF('Scramble Leagues'!$H28="","",'Scramble Leagues'!$B28)</f>
        <v/>
      </c>
      <c r="E775">
        <f>IF('Scramble Leagues'!$H28="","",'Scramble Leagues'!$C28&amp;"")</f>
        <v/>
      </c>
      <c r="F775">
        <f>IF('Scramble Leagues'!$H28="","",'Scramble Leagues'!$D28&amp;"")</f>
        <v/>
      </c>
      <c r="G775">
        <f>IF('Scramble Leagues'!$H28="","",'Scramble Leagues'!$E28&amp;"")</f>
        <v/>
      </c>
      <c r="J775">
        <f>IF('Scramble Leagues'!$H28="","",'Scramble Leagues'!$F28)</f>
        <v/>
      </c>
      <c r="K775">
        <f>IF('Scramble Leagues'!$H28="","",COUNTIFS('Scramble Leagues'!$A$5:$A$154,'Scramble Leagues'!$A28,'Scramble Leagues'!$F$5:$F$154,'Scramble Leagues'!$F28))</f>
        <v/>
      </c>
      <c r="L775">
        <f>IF('Scramble Leagues'!$H28="","","")</f>
        <v/>
      </c>
      <c r="M775">
        <f>IF('Scramble Leagues'!$H28="","",'Scramble Leagues'!$G28)</f>
        <v/>
      </c>
      <c r="N775">
        <f>IF('Scramble Leagues'!$H28="","",'Scramble Leagues'!$H28)</f>
        <v/>
      </c>
      <c r="O775">
        <f>IF('Scramble Leagues'!$H28="","",'Scramble Leagues'!$H28)</f>
        <v/>
      </c>
      <c r="P775">
        <f>IF('Scramble Leagues'!$H28="","",'Scramble Leagues'!$I28)</f>
        <v/>
      </c>
    </row>
    <row r="776">
      <c r="A776">
        <f>IF('Scramble Leagues'!$H29="","","Scramble League "&amp;'Scramble Leagues'!$A29)</f>
        <v/>
      </c>
      <c r="B776">
        <f>IF('Scramble Leagues'!$H29="","","Scramble League")</f>
        <v/>
      </c>
      <c r="C776" s="18">
        <f>IF('Scramble Leagues'!$H29="","",'Scramble Leagues'!$B29)</f>
        <v/>
      </c>
      <c r="E776">
        <f>IF('Scramble Leagues'!$H29="","",'Scramble Leagues'!$C29&amp;"")</f>
        <v/>
      </c>
      <c r="F776">
        <f>IF('Scramble Leagues'!$H29="","",'Scramble Leagues'!$D29&amp;"")</f>
        <v/>
      </c>
      <c r="G776">
        <f>IF('Scramble Leagues'!$H29="","",'Scramble Leagues'!$E29&amp;"")</f>
        <v/>
      </c>
      <c r="J776">
        <f>IF('Scramble Leagues'!$H29="","",'Scramble Leagues'!$F29)</f>
        <v/>
      </c>
      <c r="K776">
        <f>IF('Scramble Leagues'!$H29="","",COUNTIFS('Scramble Leagues'!$A$5:$A$154,'Scramble Leagues'!$A29,'Scramble Leagues'!$F$5:$F$154,'Scramble Leagues'!$F29))</f>
        <v/>
      </c>
      <c r="L776">
        <f>IF('Scramble Leagues'!$H29="","","")</f>
        <v/>
      </c>
      <c r="M776">
        <f>IF('Scramble Leagues'!$H29="","",'Scramble Leagues'!$G29)</f>
        <v/>
      </c>
      <c r="N776">
        <f>IF('Scramble Leagues'!$H29="","",'Scramble Leagues'!$H29)</f>
        <v/>
      </c>
      <c r="O776">
        <f>IF('Scramble Leagues'!$H29="","",'Scramble Leagues'!$H29)</f>
        <v/>
      </c>
      <c r="P776">
        <f>IF('Scramble Leagues'!$H29="","",'Scramble Leagues'!$I29)</f>
        <v/>
      </c>
    </row>
    <row r="777">
      <c r="A777">
        <f>IF('Scramble Leagues'!$H30="","","Scramble League "&amp;'Scramble Leagues'!$A30)</f>
        <v/>
      </c>
      <c r="B777">
        <f>IF('Scramble Leagues'!$H30="","","Scramble League")</f>
        <v/>
      </c>
      <c r="C777" s="18">
        <f>IF('Scramble Leagues'!$H30="","",'Scramble Leagues'!$B30)</f>
        <v/>
      </c>
      <c r="E777">
        <f>IF('Scramble Leagues'!$H30="","",'Scramble Leagues'!$C30&amp;"")</f>
        <v/>
      </c>
      <c r="F777">
        <f>IF('Scramble Leagues'!$H30="","",'Scramble Leagues'!$D30&amp;"")</f>
        <v/>
      </c>
      <c r="G777">
        <f>IF('Scramble Leagues'!$H30="","",'Scramble Leagues'!$E30&amp;"")</f>
        <v/>
      </c>
      <c r="J777">
        <f>IF('Scramble Leagues'!$H30="","",'Scramble Leagues'!$F30)</f>
        <v/>
      </c>
      <c r="K777">
        <f>IF('Scramble Leagues'!$H30="","",COUNTIFS('Scramble Leagues'!$A$5:$A$154,'Scramble Leagues'!$A30,'Scramble Leagues'!$F$5:$F$154,'Scramble Leagues'!$F30))</f>
        <v/>
      </c>
      <c r="L777">
        <f>IF('Scramble Leagues'!$H30="","","")</f>
        <v/>
      </c>
      <c r="M777">
        <f>IF('Scramble Leagues'!$H30="","",'Scramble Leagues'!$G30)</f>
        <v/>
      </c>
      <c r="N777">
        <f>IF('Scramble Leagues'!$H30="","",'Scramble Leagues'!$H30)</f>
        <v/>
      </c>
      <c r="O777">
        <f>IF('Scramble Leagues'!$H30="","",'Scramble Leagues'!$H30)</f>
        <v/>
      </c>
      <c r="P777">
        <f>IF('Scramble Leagues'!$H30="","",'Scramble Leagues'!$I30)</f>
        <v/>
      </c>
    </row>
    <row r="778">
      <c r="A778">
        <f>IF('Scramble Leagues'!$H31="","","Scramble League "&amp;'Scramble Leagues'!$A31)</f>
        <v/>
      </c>
      <c r="B778">
        <f>IF('Scramble Leagues'!$H31="","","Scramble League")</f>
        <v/>
      </c>
      <c r="C778" s="18">
        <f>IF('Scramble Leagues'!$H31="","",'Scramble Leagues'!$B31)</f>
        <v/>
      </c>
      <c r="E778">
        <f>IF('Scramble Leagues'!$H31="","",'Scramble Leagues'!$C31&amp;"")</f>
        <v/>
      </c>
      <c r="F778">
        <f>IF('Scramble Leagues'!$H31="","",'Scramble Leagues'!$D31&amp;"")</f>
        <v/>
      </c>
      <c r="G778">
        <f>IF('Scramble Leagues'!$H31="","",'Scramble Leagues'!$E31&amp;"")</f>
        <v/>
      </c>
      <c r="J778">
        <f>IF('Scramble Leagues'!$H31="","",'Scramble Leagues'!$F31)</f>
        <v/>
      </c>
      <c r="K778">
        <f>IF('Scramble Leagues'!$H31="","",COUNTIFS('Scramble Leagues'!$A$5:$A$154,'Scramble Leagues'!$A31,'Scramble Leagues'!$F$5:$F$154,'Scramble Leagues'!$F31))</f>
        <v/>
      </c>
      <c r="L778">
        <f>IF('Scramble Leagues'!$H31="","","")</f>
        <v/>
      </c>
      <c r="M778">
        <f>IF('Scramble Leagues'!$H31="","",'Scramble Leagues'!$G31)</f>
        <v/>
      </c>
      <c r="N778">
        <f>IF('Scramble Leagues'!$H31="","",'Scramble Leagues'!$H31)</f>
        <v/>
      </c>
      <c r="O778">
        <f>IF('Scramble Leagues'!$H31="","",'Scramble Leagues'!$H31)</f>
        <v/>
      </c>
      <c r="P778">
        <f>IF('Scramble Leagues'!$H31="","",'Scramble Leagues'!$I31)</f>
        <v/>
      </c>
    </row>
    <row r="779">
      <c r="A779">
        <f>IF('Scramble Leagues'!$H32="","","Scramble League "&amp;'Scramble Leagues'!$A32)</f>
        <v/>
      </c>
      <c r="B779">
        <f>IF('Scramble Leagues'!$H32="","","Scramble League")</f>
        <v/>
      </c>
      <c r="C779" s="18">
        <f>IF('Scramble Leagues'!$H32="","",'Scramble Leagues'!$B32)</f>
        <v/>
      </c>
      <c r="E779">
        <f>IF('Scramble Leagues'!$H32="","",'Scramble Leagues'!$C32&amp;"")</f>
        <v/>
      </c>
      <c r="F779">
        <f>IF('Scramble Leagues'!$H32="","",'Scramble Leagues'!$D32&amp;"")</f>
        <v/>
      </c>
      <c r="G779">
        <f>IF('Scramble Leagues'!$H32="","",'Scramble Leagues'!$E32&amp;"")</f>
        <v/>
      </c>
      <c r="J779">
        <f>IF('Scramble Leagues'!$H32="","",'Scramble Leagues'!$F32)</f>
        <v/>
      </c>
      <c r="K779">
        <f>IF('Scramble Leagues'!$H32="","",COUNTIFS('Scramble Leagues'!$A$5:$A$154,'Scramble Leagues'!$A32,'Scramble Leagues'!$F$5:$F$154,'Scramble Leagues'!$F32))</f>
        <v/>
      </c>
      <c r="L779">
        <f>IF('Scramble Leagues'!$H32="","","")</f>
        <v/>
      </c>
      <c r="M779">
        <f>IF('Scramble Leagues'!$H32="","",'Scramble Leagues'!$G32)</f>
        <v/>
      </c>
      <c r="N779">
        <f>IF('Scramble Leagues'!$H32="","",'Scramble Leagues'!$H32)</f>
        <v/>
      </c>
      <c r="O779">
        <f>IF('Scramble Leagues'!$H32="","",'Scramble Leagues'!$H32)</f>
        <v/>
      </c>
      <c r="P779">
        <f>IF('Scramble Leagues'!$H32="","",'Scramble Leagues'!$I32)</f>
        <v/>
      </c>
    </row>
    <row r="780">
      <c r="A780">
        <f>IF('Scramble Leagues'!$H33="","","Scramble League "&amp;'Scramble Leagues'!$A33)</f>
        <v/>
      </c>
      <c r="B780">
        <f>IF('Scramble Leagues'!$H33="","","Scramble League")</f>
        <v/>
      </c>
      <c r="C780" s="18">
        <f>IF('Scramble Leagues'!$H33="","",'Scramble Leagues'!$B33)</f>
        <v/>
      </c>
      <c r="E780">
        <f>IF('Scramble Leagues'!$H33="","",'Scramble Leagues'!$C33&amp;"")</f>
        <v/>
      </c>
      <c r="F780">
        <f>IF('Scramble Leagues'!$H33="","",'Scramble Leagues'!$D33&amp;"")</f>
        <v/>
      </c>
      <c r="G780">
        <f>IF('Scramble Leagues'!$H33="","",'Scramble Leagues'!$E33&amp;"")</f>
        <v/>
      </c>
      <c r="J780">
        <f>IF('Scramble Leagues'!$H33="","",'Scramble Leagues'!$F33)</f>
        <v/>
      </c>
      <c r="K780">
        <f>IF('Scramble Leagues'!$H33="","",COUNTIFS('Scramble Leagues'!$A$5:$A$154,'Scramble Leagues'!$A33,'Scramble Leagues'!$F$5:$F$154,'Scramble Leagues'!$F33))</f>
        <v/>
      </c>
      <c r="L780">
        <f>IF('Scramble Leagues'!$H33="","","")</f>
        <v/>
      </c>
      <c r="M780">
        <f>IF('Scramble Leagues'!$H33="","",'Scramble Leagues'!$G33)</f>
        <v/>
      </c>
      <c r="N780">
        <f>IF('Scramble Leagues'!$H33="","",'Scramble Leagues'!$H33)</f>
        <v/>
      </c>
      <c r="O780">
        <f>IF('Scramble Leagues'!$H33="","",'Scramble Leagues'!$H33)</f>
        <v/>
      </c>
      <c r="P780">
        <f>IF('Scramble Leagues'!$H33="","",'Scramble Leagues'!$I33)</f>
        <v/>
      </c>
    </row>
    <row r="781">
      <c r="A781">
        <f>IF('Scramble Leagues'!$H34="","","Scramble League "&amp;'Scramble Leagues'!$A34)</f>
        <v/>
      </c>
      <c r="B781">
        <f>IF('Scramble Leagues'!$H34="","","Scramble League")</f>
        <v/>
      </c>
      <c r="C781" s="18">
        <f>IF('Scramble Leagues'!$H34="","",'Scramble Leagues'!$B34)</f>
        <v/>
      </c>
      <c r="E781">
        <f>IF('Scramble Leagues'!$H34="","",'Scramble Leagues'!$C34&amp;"")</f>
        <v/>
      </c>
      <c r="F781">
        <f>IF('Scramble Leagues'!$H34="","",'Scramble Leagues'!$D34&amp;"")</f>
        <v/>
      </c>
      <c r="G781">
        <f>IF('Scramble Leagues'!$H34="","",'Scramble Leagues'!$E34&amp;"")</f>
        <v/>
      </c>
      <c r="J781">
        <f>IF('Scramble Leagues'!$H34="","",'Scramble Leagues'!$F34)</f>
        <v/>
      </c>
      <c r="K781">
        <f>IF('Scramble Leagues'!$H34="","",COUNTIFS('Scramble Leagues'!$A$5:$A$154,'Scramble Leagues'!$A34,'Scramble Leagues'!$F$5:$F$154,'Scramble Leagues'!$F34))</f>
        <v/>
      </c>
      <c r="L781">
        <f>IF('Scramble Leagues'!$H34="","","")</f>
        <v/>
      </c>
      <c r="M781">
        <f>IF('Scramble Leagues'!$H34="","",'Scramble Leagues'!$G34)</f>
        <v/>
      </c>
      <c r="N781">
        <f>IF('Scramble Leagues'!$H34="","",'Scramble Leagues'!$H34)</f>
        <v/>
      </c>
      <c r="O781">
        <f>IF('Scramble Leagues'!$H34="","",'Scramble Leagues'!$H34)</f>
        <v/>
      </c>
      <c r="P781">
        <f>IF('Scramble Leagues'!$H34="","",'Scramble Leagues'!$I34)</f>
        <v/>
      </c>
    </row>
    <row r="782">
      <c r="A782">
        <f>IF('Scramble Leagues'!$H35="","","Scramble League "&amp;'Scramble Leagues'!$A35)</f>
        <v/>
      </c>
      <c r="B782">
        <f>IF('Scramble Leagues'!$H35="","","Scramble League")</f>
        <v/>
      </c>
      <c r="C782" s="18">
        <f>IF('Scramble Leagues'!$H35="","",'Scramble Leagues'!$B35)</f>
        <v/>
      </c>
      <c r="E782">
        <f>IF('Scramble Leagues'!$H35="","",'Scramble Leagues'!$C35&amp;"")</f>
        <v/>
      </c>
      <c r="F782">
        <f>IF('Scramble Leagues'!$H35="","",'Scramble Leagues'!$D35&amp;"")</f>
        <v/>
      </c>
      <c r="G782">
        <f>IF('Scramble Leagues'!$H35="","",'Scramble Leagues'!$E35&amp;"")</f>
        <v/>
      </c>
      <c r="J782">
        <f>IF('Scramble Leagues'!$H35="","",'Scramble Leagues'!$F35)</f>
        <v/>
      </c>
      <c r="K782">
        <f>IF('Scramble Leagues'!$H35="","",COUNTIFS('Scramble Leagues'!$A$5:$A$154,'Scramble Leagues'!$A35,'Scramble Leagues'!$F$5:$F$154,'Scramble Leagues'!$F35))</f>
        <v/>
      </c>
      <c r="L782">
        <f>IF('Scramble Leagues'!$H35="","","")</f>
        <v/>
      </c>
      <c r="M782">
        <f>IF('Scramble Leagues'!$H35="","",'Scramble Leagues'!$G35)</f>
        <v/>
      </c>
      <c r="N782">
        <f>IF('Scramble Leagues'!$H35="","",'Scramble Leagues'!$H35)</f>
        <v/>
      </c>
      <c r="O782">
        <f>IF('Scramble Leagues'!$H35="","",'Scramble Leagues'!$H35)</f>
        <v/>
      </c>
      <c r="P782">
        <f>IF('Scramble Leagues'!$H35="","",'Scramble Leagues'!$I35)</f>
        <v/>
      </c>
    </row>
    <row r="783">
      <c r="A783">
        <f>IF('Scramble Leagues'!$H36="","","Scramble League "&amp;'Scramble Leagues'!$A36)</f>
        <v/>
      </c>
      <c r="B783">
        <f>IF('Scramble Leagues'!$H36="","","Scramble League")</f>
        <v/>
      </c>
      <c r="C783" s="18">
        <f>IF('Scramble Leagues'!$H36="","",'Scramble Leagues'!$B36)</f>
        <v/>
      </c>
      <c r="E783">
        <f>IF('Scramble Leagues'!$H36="","",'Scramble Leagues'!$C36&amp;"")</f>
        <v/>
      </c>
      <c r="F783">
        <f>IF('Scramble Leagues'!$H36="","",'Scramble Leagues'!$D36&amp;"")</f>
        <v/>
      </c>
      <c r="G783">
        <f>IF('Scramble Leagues'!$H36="","",'Scramble Leagues'!$E36&amp;"")</f>
        <v/>
      </c>
      <c r="J783">
        <f>IF('Scramble Leagues'!$H36="","",'Scramble Leagues'!$F36)</f>
        <v/>
      </c>
      <c r="K783">
        <f>IF('Scramble Leagues'!$H36="","",COUNTIFS('Scramble Leagues'!$A$5:$A$154,'Scramble Leagues'!$A36,'Scramble Leagues'!$F$5:$F$154,'Scramble Leagues'!$F36))</f>
        <v/>
      </c>
      <c r="L783">
        <f>IF('Scramble Leagues'!$H36="","","")</f>
        <v/>
      </c>
      <c r="M783">
        <f>IF('Scramble Leagues'!$H36="","",'Scramble Leagues'!$G36)</f>
        <v/>
      </c>
      <c r="N783">
        <f>IF('Scramble Leagues'!$H36="","",'Scramble Leagues'!$H36)</f>
        <v/>
      </c>
      <c r="O783">
        <f>IF('Scramble Leagues'!$H36="","",'Scramble Leagues'!$H36)</f>
        <v/>
      </c>
      <c r="P783">
        <f>IF('Scramble Leagues'!$H36="","",'Scramble Leagues'!$I36)</f>
        <v/>
      </c>
    </row>
    <row r="784">
      <c r="A784">
        <f>IF('Scramble Leagues'!$H37="","","Scramble League "&amp;'Scramble Leagues'!$A37)</f>
        <v/>
      </c>
      <c r="B784">
        <f>IF('Scramble Leagues'!$H37="","","Scramble League")</f>
        <v/>
      </c>
      <c r="C784" s="18">
        <f>IF('Scramble Leagues'!$H37="","",'Scramble Leagues'!$B37)</f>
        <v/>
      </c>
      <c r="E784">
        <f>IF('Scramble Leagues'!$H37="","",'Scramble Leagues'!$C37&amp;"")</f>
        <v/>
      </c>
      <c r="F784">
        <f>IF('Scramble Leagues'!$H37="","",'Scramble Leagues'!$D37&amp;"")</f>
        <v/>
      </c>
      <c r="G784">
        <f>IF('Scramble Leagues'!$H37="","",'Scramble Leagues'!$E37&amp;"")</f>
        <v/>
      </c>
      <c r="J784">
        <f>IF('Scramble Leagues'!$H37="","",'Scramble Leagues'!$F37)</f>
        <v/>
      </c>
      <c r="K784">
        <f>IF('Scramble Leagues'!$H37="","",COUNTIFS('Scramble Leagues'!$A$5:$A$154,'Scramble Leagues'!$A37,'Scramble Leagues'!$F$5:$F$154,'Scramble Leagues'!$F37))</f>
        <v/>
      </c>
      <c r="L784">
        <f>IF('Scramble Leagues'!$H37="","","")</f>
        <v/>
      </c>
      <c r="M784">
        <f>IF('Scramble Leagues'!$H37="","",'Scramble Leagues'!$G37)</f>
        <v/>
      </c>
      <c r="N784">
        <f>IF('Scramble Leagues'!$H37="","",'Scramble Leagues'!$H37)</f>
        <v/>
      </c>
      <c r="O784">
        <f>IF('Scramble Leagues'!$H37="","",'Scramble Leagues'!$H37)</f>
        <v/>
      </c>
      <c r="P784">
        <f>IF('Scramble Leagues'!$H37="","",'Scramble Leagues'!$I37)</f>
        <v/>
      </c>
    </row>
    <row r="785">
      <c r="A785">
        <f>IF('Scramble Leagues'!$H38="","","Scramble League "&amp;'Scramble Leagues'!$A38)</f>
        <v/>
      </c>
      <c r="B785">
        <f>IF('Scramble Leagues'!$H38="","","Scramble League")</f>
        <v/>
      </c>
      <c r="C785" s="18">
        <f>IF('Scramble Leagues'!$H38="","",'Scramble Leagues'!$B38)</f>
        <v/>
      </c>
      <c r="E785">
        <f>IF('Scramble Leagues'!$H38="","",'Scramble Leagues'!$C38&amp;"")</f>
        <v/>
      </c>
      <c r="F785">
        <f>IF('Scramble Leagues'!$H38="","",'Scramble Leagues'!$D38&amp;"")</f>
        <v/>
      </c>
      <c r="G785">
        <f>IF('Scramble Leagues'!$H38="","",'Scramble Leagues'!$E38&amp;"")</f>
        <v/>
      </c>
      <c r="J785">
        <f>IF('Scramble Leagues'!$H38="","",'Scramble Leagues'!$F38)</f>
        <v/>
      </c>
      <c r="K785">
        <f>IF('Scramble Leagues'!$H38="","",COUNTIFS('Scramble Leagues'!$A$5:$A$154,'Scramble Leagues'!$A38,'Scramble Leagues'!$F$5:$F$154,'Scramble Leagues'!$F38))</f>
        <v/>
      </c>
      <c r="L785">
        <f>IF('Scramble Leagues'!$H38="","","")</f>
        <v/>
      </c>
      <c r="M785">
        <f>IF('Scramble Leagues'!$H38="","",'Scramble Leagues'!$G38)</f>
        <v/>
      </c>
      <c r="N785">
        <f>IF('Scramble Leagues'!$H38="","",'Scramble Leagues'!$H38)</f>
        <v/>
      </c>
      <c r="O785">
        <f>IF('Scramble Leagues'!$H38="","",'Scramble Leagues'!$H38)</f>
        <v/>
      </c>
      <c r="P785">
        <f>IF('Scramble Leagues'!$H38="","",'Scramble Leagues'!$I38)</f>
        <v/>
      </c>
    </row>
    <row r="786">
      <c r="A786">
        <f>IF('Scramble Leagues'!$H39="","","Scramble League "&amp;'Scramble Leagues'!$A39)</f>
        <v/>
      </c>
      <c r="B786">
        <f>IF('Scramble Leagues'!$H39="","","Scramble League")</f>
        <v/>
      </c>
      <c r="C786" s="18">
        <f>IF('Scramble Leagues'!$H39="","",'Scramble Leagues'!$B39)</f>
        <v/>
      </c>
      <c r="E786">
        <f>IF('Scramble Leagues'!$H39="","",'Scramble Leagues'!$C39&amp;"")</f>
        <v/>
      </c>
      <c r="F786">
        <f>IF('Scramble Leagues'!$H39="","",'Scramble Leagues'!$D39&amp;"")</f>
        <v/>
      </c>
      <c r="G786">
        <f>IF('Scramble Leagues'!$H39="","",'Scramble Leagues'!$E39&amp;"")</f>
        <v/>
      </c>
      <c r="J786">
        <f>IF('Scramble Leagues'!$H39="","",'Scramble Leagues'!$F39)</f>
        <v/>
      </c>
      <c r="K786">
        <f>IF('Scramble Leagues'!$H39="","",COUNTIFS('Scramble Leagues'!$A$5:$A$154,'Scramble Leagues'!$A39,'Scramble Leagues'!$F$5:$F$154,'Scramble Leagues'!$F39))</f>
        <v/>
      </c>
      <c r="L786">
        <f>IF('Scramble Leagues'!$H39="","","")</f>
        <v/>
      </c>
      <c r="M786">
        <f>IF('Scramble Leagues'!$H39="","",'Scramble Leagues'!$G39)</f>
        <v/>
      </c>
      <c r="N786">
        <f>IF('Scramble Leagues'!$H39="","",'Scramble Leagues'!$H39)</f>
        <v/>
      </c>
      <c r="O786">
        <f>IF('Scramble Leagues'!$H39="","",'Scramble Leagues'!$H39)</f>
        <v/>
      </c>
      <c r="P786">
        <f>IF('Scramble Leagues'!$H39="","",'Scramble Leagues'!$I39)</f>
        <v/>
      </c>
    </row>
    <row r="787">
      <c r="A787">
        <f>IF('Scramble Leagues'!$H40="","","Scramble League "&amp;'Scramble Leagues'!$A40)</f>
        <v/>
      </c>
      <c r="B787">
        <f>IF('Scramble Leagues'!$H40="","","Scramble League")</f>
        <v/>
      </c>
      <c r="C787" s="18">
        <f>IF('Scramble Leagues'!$H40="","",'Scramble Leagues'!$B40)</f>
        <v/>
      </c>
      <c r="E787">
        <f>IF('Scramble Leagues'!$H40="","",'Scramble Leagues'!$C40&amp;"")</f>
        <v/>
      </c>
      <c r="F787">
        <f>IF('Scramble Leagues'!$H40="","",'Scramble Leagues'!$D40&amp;"")</f>
        <v/>
      </c>
      <c r="G787">
        <f>IF('Scramble Leagues'!$H40="","",'Scramble Leagues'!$E40&amp;"")</f>
        <v/>
      </c>
      <c r="J787">
        <f>IF('Scramble Leagues'!$H40="","",'Scramble Leagues'!$F40)</f>
        <v/>
      </c>
      <c r="K787">
        <f>IF('Scramble Leagues'!$H40="","",COUNTIFS('Scramble Leagues'!$A$5:$A$154,'Scramble Leagues'!$A40,'Scramble Leagues'!$F$5:$F$154,'Scramble Leagues'!$F40))</f>
        <v/>
      </c>
      <c r="L787">
        <f>IF('Scramble Leagues'!$H40="","","")</f>
        <v/>
      </c>
      <c r="M787">
        <f>IF('Scramble Leagues'!$H40="","",'Scramble Leagues'!$G40)</f>
        <v/>
      </c>
      <c r="N787">
        <f>IF('Scramble Leagues'!$H40="","",'Scramble Leagues'!$H40)</f>
        <v/>
      </c>
      <c r="O787">
        <f>IF('Scramble Leagues'!$H40="","",'Scramble Leagues'!$H40)</f>
        <v/>
      </c>
      <c r="P787">
        <f>IF('Scramble Leagues'!$H40="","",'Scramble Leagues'!$I40)</f>
        <v/>
      </c>
    </row>
    <row r="788">
      <c r="A788">
        <f>IF('Scramble Leagues'!$H41="","","Scramble League "&amp;'Scramble Leagues'!$A41)</f>
        <v/>
      </c>
      <c r="B788">
        <f>IF('Scramble Leagues'!$H41="","","Scramble League")</f>
        <v/>
      </c>
      <c r="C788" s="18">
        <f>IF('Scramble Leagues'!$H41="","",'Scramble Leagues'!$B41)</f>
        <v/>
      </c>
      <c r="E788">
        <f>IF('Scramble Leagues'!$H41="","",'Scramble Leagues'!$C41&amp;"")</f>
        <v/>
      </c>
      <c r="F788">
        <f>IF('Scramble Leagues'!$H41="","",'Scramble Leagues'!$D41&amp;"")</f>
        <v/>
      </c>
      <c r="G788">
        <f>IF('Scramble Leagues'!$H41="","",'Scramble Leagues'!$E41&amp;"")</f>
        <v/>
      </c>
      <c r="J788">
        <f>IF('Scramble Leagues'!$H41="","",'Scramble Leagues'!$F41)</f>
        <v/>
      </c>
      <c r="K788">
        <f>IF('Scramble Leagues'!$H41="","",COUNTIFS('Scramble Leagues'!$A$5:$A$154,'Scramble Leagues'!$A41,'Scramble Leagues'!$F$5:$F$154,'Scramble Leagues'!$F41))</f>
        <v/>
      </c>
      <c r="L788">
        <f>IF('Scramble Leagues'!$H41="","","")</f>
        <v/>
      </c>
      <c r="M788">
        <f>IF('Scramble Leagues'!$H41="","",'Scramble Leagues'!$G41)</f>
        <v/>
      </c>
      <c r="N788">
        <f>IF('Scramble Leagues'!$H41="","",'Scramble Leagues'!$H41)</f>
        <v/>
      </c>
      <c r="O788">
        <f>IF('Scramble Leagues'!$H41="","",'Scramble Leagues'!$H41)</f>
        <v/>
      </c>
      <c r="P788">
        <f>IF('Scramble Leagues'!$H41="","",'Scramble Leagues'!$I41)</f>
        <v/>
      </c>
    </row>
    <row r="789">
      <c r="A789">
        <f>IF('Scramble Leagues'!$H42="","","Scramble League "&amp;'Scramble Leagues'!$A42)</f>
        <v/>
      </c>
      <c r="B789">
        <f>IF('Scramble Leagues'!$H42="","","Scramble League")</f>
        <v/>
      </c>
      <c r="C789" s="18">
        <f>IF('Scramble Leagues'!$H42="","",'Scramble Leagues'!$B42)</f>
        <v/>
      </c>
      <c r="E789">
        <f>IF('Scramble Leagues'!$H42="","",'Scramble Leagues'!$C42&amp;"")</f>
        <v/>
      </c>
      <c r="F789">
        <f>IF('Scramble Leagues'!$H42="","",'Scramble Leagues'!$D42&amp;"")</f>
        <v/>
      </c>
      <c r="G789">
        <f>IF('Scramble Leagues'!$H42="","",'Scramble Leagues'!$E42&amp;"")</f>
        <v/>
      </c>
      <c r="J789">
        <f>IF('Scramble Leagues'!$H42="","",'Scramble Leagues'!$F42)</f>
        <v/>
      </c>
      <c r="K789">
        <f>IF('Scramble Leagues'!$H42="","",COUNTIFS('Scramble Leagues'!$A$5:$A$154,'Scramble Leagues'!$A42,'Scramble Leagues'!$F$5:$F$154,'Scramble Leagues'!$F42))</f>
        <v/>
      </c>
      <c r="L789">
        <f>IF('Scramble Leagues'!$H42="","","")</f>
        <v/>
      </c>
      <c r="M789">
        <f>IF('Scramble Leagues'!$H42="","",'Scramble Leagues'!$G42)</f>
        <v/>
      </c>
      <c r="N789">
        <f>IF('Scramble Leagues'!$H42="","",'Scramble Leagues'!$H42)</f>
        <v/>
      </c>
      <c r="O789">
        <f>IF('Scramble Leagues'!$H42="","",'Scramble Leagues'!$H42)</f>
        <v/>
      </c>
      <c r="P789">
        <f>IF('Scramble Leagues'!$H42="","",'Scramble Leagues'!$I42)</f>
        <v/>
      </c>
    </row>
    <row r="790">
      <c r="A790">
        <f>IF('Scramble Leagues'!$H43="","","Scramble League "&amp;'Scramble Leagues'!$A43)</f>
        <v/>
      </c>
      <c r="B790">
        <f>IF('Scramble Leagues'!$H43="","","Scramble League")</f>
        <v/>
      </c>
      <c r="C790" s="18">
        <f>IF('Scramble Leagues'!$H43="","",'Scramble Leagues'!$B43)</f>
        <v/>
      </c>
      <c r="E790">
        <f>IF('Scramble Leagues'!$H43="","",'Scramble Leagues'!$C43&amp;"")</f>
        <v/>
      </c>
      <c r="F790">
        <f>IF('Scramble Leagues'!$H43="","",'Scramble Leagues'!$D43&amp;"")</f>
        <v/>
      </c>
      <c r="G790">
        <f>IF('Scramble Leagues'!$H43="","",'Scramble Leagues'!$E43&amp;"")</f>
        <v/>
      </c>
      <c r="J790">
        <f>IF('Scramble Leagues'!$H43="","",'Scramble Leagues'!$F43)</f>
        <v/>
      </c>
      <c r="K790">
        <f>IF('Scramble Leagues'!$H43="","",COUNTIFS('Scramble Leagues'!$A$5:$A$154,'Scramble Leagues'!$A43,'Scramble Leagues'!$F$5:$F$154,'Scramble Leagues'!$F43))</f>
        <v/>
      </c>
      <c r="L790">
        <f>IF('Scramble Leagues'!$H43="","","")</f>
        <v/>
      </c>
      <c r="M790">
        <f>IF('Scramble Leagues'!$H43="","",'Scramble Leagues'!$G43)</f>
        <v/>
      </c>
      <c r="N790">
        <f>IF('Scramble Leagues'!$H43="","",'Scramble Leagues'!$H43)</f>
        <v/>
      </c>
      <c r="O790">
        <f>IF('Scramble Leagues'!$H43="","",'Scramble Leagues'!$H43)</f>
        <v/>
      </c>
      <c r="P790">
        <f>IF('Scramble Leagues'!$H43="","",'Scramble Leagues'!$I43)</f>
        <v/>
      </c>
    </row>
    <row r="791">
      <c r="A791">
        <f>IF('Scramble Leagues'!$H44="","","Scramble League "&amp;'Scramble Leagues'!$A44)</f>
        <v/>
      </c>
      <c r="B791">
        <f>IF('Scramble Leagues'!$H44="","","Scramble League")</f>
        <v/>
      </c>
      <c r="C791" s="18">
        <f>IF('Scramble Leagues'!$H44="","",'Scramble Leagues'!$B44)</f>
        <v/>
      </c>
      <c r="E791">
        <f>IF('Scramble Leagues'!$H44="","",'Scramble Leagues'!$C44&amp;"")</f>
        <v/>
      </c>
      <c r="F791">
        <f>IF('Scramble Leagues'!$H44="","",'Scramble Leagues'!$D44&amp;"")</f>
        <v/>
      </c>
      <c r="G791">
        <f>IF('Scramble Leagues'!$H44="","",'Scramble Leagues'!$E44&amp;"")</f>
        <v/>
      </c>
      <c r="J791">
        <f>IF('Scramble Leagues'!$H44="","",'Scramble Leagues'!$F44)</f>
        <v/>
      </c>
      <c r="K791">
        <f>IF('Scramble Leagues'!$H44="","",COUNTIFS('Scramble Leagues'!$A$5:$A$154,'Scramble Leagues'!$A44,'Scramble Leagues'!$F$5:$F$154,'Scramble Leagues'!$F44))</f>
        <v/>
      </c>
      <c r="L791">
        <f>IF('Scramble Leagues'!$H44="","","")</f>
        <v/>
      </c>
      <c r="M791">
        <f>IF('Scramble Leagues'!$H44="","",'Scramble Leagues'!$G44)</f>
        <v/>
      </c>
      <c r="N791">
        <f>IF('Scramble Leagues'!$H44="","",'Scramble Leagues'!$H44)</f>
        <v/>
      </c>
      <c r="O791">
        <f>IF('Scramble Leagues'!$H44="","",'Scramble Leagues'!$H44)</f>
        <v/>
      </c>
      <c r="P791">
        <f>IF('Scramble Leagues'!$H44="","",'Scramble Leagues'!$I44)</f>
        <v/>
      </c>
    </row>
    <row r="792">
      <c r="A792">
        <f>IF('Scramble Leagues'!$H45="","","Scramble League "&amp;'Scramble Leagues'!$A45)</f>
        <v/>
      </c>
      <c r="B792">
        <f>IF('Scramble Leagues'!$H45="","","Scramble League")</f>
        <v/>
      </c>
      <c r="C792" s="18">
        <f>IF('Scramble Leagues'!$H45="","",'Scramble Leagues'!$B45)</f>
        <v/>
      </c>
      <c r="E792">
        <f>IF('Scramble Leagues'!$H45="","",'Scramble Leagues'!$C45&amp;"")</f>
        <v/>
      </c>
      <c r="F792">
        <f>IF('Scramble Leagues'!$H45="","",'Scramble Leagues'!$D45&amp;"")</f>
        <v/>
      </c>
      <c r="G792">
        <f>IF('Scramble Leagues'!$H45="","",'Scramble Leagues'!$E45&amp;"")</f>
        <v/>
      </c>
      <c r="J792">
        <f>IF('Scramble Leagues'!$H45="","",'Scramble Leagues'!$F45)</f>
        <v/>
      </c>
      <c r="K792">
        <f>IF('Scramble Leagues'!$H45="","",COUNTIFS('Scramble Leagues'!$A$5:$A$154,'Scramble Leagues'!$A45,'Scramble Leagues'!$F$5:$F$154,'Scramble Leagues'!$F45))</f>
        <v/>
      </c>
      <c r="L792">
        <f>IF('Scramble Leagues'!$H45="","","")</f>
        <v/>
      </c>
      <c r="M792">
        <f>IF('Scramble Leagues'!$H45="","",'Scramble Leagues'!$G45)</f>
        <v/>
      </c>
      <c r="N792">
        <f>IF('Scramble Leagues'!$H45="","",'Scramble Leagues'!$H45)</f>
        <v/>
      </c>
      <c r="O792">
        <f>IF('Scramble Leagues'!$H45="","",'Scramble Leagues'!$H45)</f>
        <v/>
      </c>
      <c r="P792">
        <f>IF('Scramble Leagues'!$H45="","",'Scramble Leagues'!$I45)</f>
        <v/>
      </c>
    </row>
    <row r="793">
      <c r="A793">
        <f>IF('Scramble Leagues'!$H46="","","Scramble League "&amp;'Scramble Leagues'!$A46)</f>
        <v/>
      </c>
      <c r="B793">
        <f>IF('Scramble Leagues'!$H46="","","Scramble League")</f>
        <v/>
      </c>
      <c r="C793" s="18">
        <f>IF('Scramble Leagues'!$H46="","",'Scramble Leagues'!$B46)</f>
        <v/>
      </c>
      <c r="E793">
        <f>IF('Scramble Leagues'!$H46="","",'Scramble Leagues'!$C46&amp;"")</f>
        <v/>
      </c>
      <c r="F793">
        <f>IF('Scramble Leagues'!$H46="","",'Scramble Leagues'!$D46&amp;"")</f>
        <v/>
      </c>
      <c r="G793">
        <f>IF('Scramble Leagues'!$H46="","",'Scramble Leagues'!$E46&amp;"")</f>
        <v/>
      </c>
      <c r="J793">
        <f>IF('Scramble Leagues'!$H46="","",'Scramble Leagues'!$F46)</f>
        <v/>
      </c>
      <c r="K793">
        <f>IF('Scramble Leagues'!$H46="","",COUNTIFS('Scramble Leagues'!$A$5:$A$154,'Scramble Leagues'!$A46,'Scramble Leagues'!$F$5:$F$154,'Scramble Leagues'!$F46))</f>
        <v/>
      </c>
      <c r="L793">
        <f>IF('Scramble Leagues'!$H46="","","")</f>
        <v/>
      </c>
      <c r="M793">
        <f>IF('Scramble Leagues'!$H46="","",'Scramble Leagues'!$G46)</f>
        <v/>
      </c>
      <c r="N793">
        <f>IF('Scramble Leagues'!$H46="","",'Scramble Leagues'!$H46)</f>
        <v/>
      </c>
      <c r="O793">
        <f>IF('Scramble Leagues'!$H46="","",'Scramble Leagues'!$H46)</f>
        <v/>
      </c>
      <c r="P793">
        <f>IF('Scramble Leagues'!$H46="","",'Scramble Leagues'!$I46)</f>
        <v/>
      </c>
    </row>
    <row r="794">
      <c r="A794">
        <f>IF('Scramble Leagues'!$H47="","","Scramble League "&amp;'Scramble Leagues'!$A47)</f>
        <v/>
      </c>
      <c r="B794">
        <f>IF('Scramble Leagues'!$H47="","","Scramble League")</f>
        <v/>
      </c>
      <c r="C794" s="18">
        <f>IF('Scramble Leagues'!$H47="","",'Scramble Leagues'!$B47)</f>
        <v/>
      </c>
      <c r="E794">
        <f>IF('Scramble Leagues'!$H47="","",'Scramble Leagues'!$C47&amp;"")</f>
        <v/>
      </c>
      <c r="F794">
        <f>IF('Scramble Leagues'!$H47="","",'Scramble Leagues'!$D47&amp;"")</f>
        <v/>
      </c>
      <c r="G794">
        <f>IF('Scramble Leagues'!$H47="","",'Scramble Leagues'!$E47&amp;"")</f>
        <v/>
      </c>
      <c r="J794">
        <f>IF('Scramble Leagues'!$H47="","",'Scramble Leagues'!$F47)</f>
        <v/>
      </c>
      <c r="K794">
        <f>IF('Scramble Leagues'!$H47="","",COUNTIFS('Scramble Leagues'!$A$5:$A$154,'Scramble Leagues'!$A47,'Scramble Leagues'!$F$5:$F$154,'Scramble Leagues'!$F47))</f>
        <v/>
      </c>
      <c r="L794">
        <f>IF('Scramble Leagues'!$H47="","","")</f>
        <v/>
      </c>
      <c r="M794">
        <f>IF('Scramble Leagues'!$H47="","",'Scramble Leagues'!$G47)</f>
        <v/>
      </c>
      <c r="N794">
        <f>IF('Scramble Leagues'!$H47="","",'Scramble Leagues'!$H47)</f>
        <v/>
      </c>
      <c r="O794">
        <f>IF('Scramble Leagues'!$H47="","",'Scramble Leagues'!$H47)</f>
        <v/>
      </c>
      <c r="P794">
        <f>IF('Scramble Leagues'!$H47="","",'Scramble Leagues'!$I47)</f>
        <v/>
      </c>
    </row>
    <row r="795">
      <c r="A795">
        <f>IF('Scramble Leagues'!$H48="","","Scramble League "&amp;'Scramble Leagues'!$A48)</f>
        <v/>
      </c>
      <c r="B795">
        <f>IF('Scramble Leagues'!$H48="","","Scramble League")</f>
        <v/>
      </c>
      <c r="C795" s="18">
        <f>IF('Scramble Leagues'!$H48="","",'Scramble Leagues'!$B48)</f>
        <v/>
      </c>
      <c r="E795">
        <f>IF('Scramble Leagues'!$H48="","",'Scramble Leagues'!$C48&amp;"")</f>
        <v/>
      </c>
      <c r="F795">
        <f>IF('Scramble Leagues'!$H48="","",'Scramble Leagues'!$D48&amp;"")</f>
        <v/>
      </c>
      <c r="G795">
        <f>IF('Scramble Leagues'!$H48="","",'Scramble Leagues'!$E48&amp;"")</f>
        <v/>
      </c>
      <c r="J795">
        <f>IF('Scramble Leagues'!$H48="","",'Scramble Leagues'!$F48)</f>
        <v/>
      </c>
      <c r="K795">
        <f>IF('Scramble Leagues'!$H48="","",COUNTIFS('Scramble Leagues'!$A$5:$A$154,'Scramble Leagues'!$A48,'Scramble Leagues'!$F$5:$F$154,'Scramble Leagues'!$F48))</f>
        <v/>
      </c>
      <c r="L795">
        <f>IF('Scramble Leagues'!$H48="","","")</f>
        <v/>
      </c>
      <c r="M795">
        <f>IF('Scramble Leagues'!$H48="","",'Scramble Leagues'!$G48)</f>
        <v/>
      </c>
      <c r="N795">
        <f>IF('Scramble Leagues'!$H48="","",'Scramble Leagues'!$H48)</f>
        <v/>
      </c>
      <c r="O795">
        <f>IF('Scramble Leagues'!$H48="","",'Scramble Leagues'!$H48)</f>
        <v/>
      </c>
      <c r="P795">
        <f>IF('Scramble Leagues'!$H48="","",'Scramble Leagues'!$I48)</f>
        <v/>
      </c>
    </row>
    <row r="796">
      <c r="A796">
        <f>IF('Scramble Leagues'!$H49="","","Scramble League "&amp;'Scramble Leagues'!$A49)</f>
        <v/>
      </c>
      <c r="B796">
        <f>IF('Scramble Leagues'!$H49="","","Scramble League")</f>
        <v/>
      </c>
      <c r="C796" s="18">
        <f>IF('Scramble Leagues'!$H49="","",'Scramble Leagues'!$B49)</f>
        <v/>
      </c>
      <c r="E796">
        <f>IF('Scramble Leagues'!$H49="","",'Scramble Leagues'!$C49&amp;"")</f>
        <v/>
      </c>
      <c r="F796">
        <f>IF('Scramble Leagues'!$H49="","",'Scramble Leagues'!$D49&amp;"")</f>
        <v/>
      </c>
      <c r="G796">
        <f>IF('Scramble Leagues'!$H49="","",'Scramble Leagues'!$E49&amp;"")</f>
        <v/>
      </c>
      <c r="J796">
        <f>IF('Scramble Leagues'!$H49="","",'Scramble Leagues'!$F49)</f>
        <v/>
      </c>
      <c r="K796">
        <f>IF('Scramble Leagues'!$H49="","",COUNTIFS('Scramble Leagues'!$A$5:$A$154,'Scramble Leagues'!$A49,'Scramble Leagues'!$F$5:$F$154,'Scramble Leagues'!$F49))</f>
        <v/>
      </c>
      <c r="L796">
        <f>IF('Scramble Leagues'!$H49="","","")</f>
        <v/>
      </c>
      <c r="M796">
        <f>IF('Scramble Leagues'!$H49="","",'Scramble Leagues'!$G49)</f>
        <v/>
      </c>
      <c r="N796">
        <f>IF('Scramble Leagues'!$H49="","",'Scramble Leagues'!$H49)</f>
        <v/>
      </c>
      <c r="O796">
        <f>IF('Scramble Leagues'!$H49="","",'Scramble Leagues'!$H49)</f>
        <v/>
      </c>
      <c r="P796">
        <f>IF('Scramble Leagues'!$H49="","",'Scramble Leagues'!$I49)</f>
        <v/>
      </c>
    </row>
    <row r="797">
      <c r="A797">
        <f>IF('Scramble Leagues'!$H50="","","Scramble League "&amp;'Scramble Leagues'!$A50)</f>
        <v/>
      </c>
      <c r="B797">
        <f>IF('Scramble Leagues'!$H50="","","Scramble League")</f>
        <v/>
      </c>
      <c r="C797" s="18">
        <f>IF('Scramble Leagues'!$H50="","",'Scramble Leagues'!$B50)</f>
        <v/>
      </c>
      <c r="E797">
        <f>IF('Scramble Leagues'!$H50="","",'Scramble Leagues'!$C50&amp;"")</f>
        <v/>
      </c>
      <c r="F797">
        <f>IF('Scramble Leagues'!$H50="","",'Scramble Leagues'!$D50&amp;"")</f>
        <v/>
      </c>
      <c r="G797">
        <f>IF('Scramble Leagues'!$H50="","",'Scramble Leagues'!$E50&amp;"")</f>
        <v/>
      </c>
      <c r="J797">
        <f>IF('Scramble Leagues'!$H50="","",'Scramble Leagues'!$F50)</f>
        <v/>
      </c>
      <c r="K797">
        <f>IF('Scramble Leagues'!$H50="","",COUNTIFS('Scramble Leagues'!$A$5:$A$154,'Scramble Leagues'!$A50,'Scramble Leagues'!$F$5:$F$154,'Scramble Leagues'!$F50))</f>
        <v/>
      </c>
      <c r="L797">
        <f>IF('Scramble Leagues'!$H50="","","")</f>
        <v/>
      </c>
      <c r="M797">
        <f>IF('Scramble Leagues'!$H50="","",'Scramble Leagues'!$G50)</f>
        <v/>
      </c>
      <c r="N797">
        <f>IF('Scramble Leagues'!$H50="","",'Scramble Leagues'!$H50)</f>
        <v/>
      </c>
      <c r="O797">
        <f>IF('Scramble Leagues'!$H50="","",'Scramble Leagues'!$H50)</f>
        <v/>
      </c>
      <c r="P797">
        <f>IF('Scramble Leagues'!$H50="","",'Scramble Leagues'!$I50)</f>
        <v/>
      </c>
    </row>
    <row r="798">
      <c r="A798">
        <f>IF('Scramble Leagues'!$H51="","","Scramble League "&amp;'Scramble Leagues'!$A51)</f>
        <v/>
      </c>
      <c r="B798">
        <f>IF('Scramble Leagues'!$H51="","","Scramble League")</f>
        <v/>
      </c>
      <c r="C798" s="18">
        <f>IF('Scramble Leagues'!$H51="","",'Scramble Leagues'!$B51)</f>
        <v/>
      </c>
      <c r="E798">
        <f>IF('Scramble Leagues'!$H51="","",'Scramble Leagues'!$C51&amp;"")</f>
        <v/>
      </c>
      <c r="F798">
        <f>IF('Scramble Leagues'!$H51="","",'Scramble Leagues'!$D51&amp;"")</f>
        <v/>
      </c>
      <c r="G798">
        <f>IF('Scramble Leagues'!$H51="","",'Scramble Leagues'!$E51&amp;"")</f>
        <v/>
      </c>
      <c r="J798">
        <f>IF('Scramble Leagues'!$H51="","",'Scramble Leagues'!$F51)</f>
        <v/>
      </c>
      <c r="K798">
        <f>IF('Scramble Leagues'!$H51="","",COUNTIFS('Scramble Leagues'!$A$5:$A$154,'Scramble Leagues'!$A51,'Scramble Leagues'!$F$5:$F$154,'Scramble Leagues'!$F51))</f>
        <v/>
      </c>
      <c r="L798">
        <f>IF('Scramble Leagues'!$H51="","","")</f>
        <v/>
      </c>
      <c r="M798">
        <f>IF('Scramble Leagues'!$H51="","",'Scramble Leagues'!$G51)</f>
        <v/>
      </c>
      <c r="N798">
        <f>IF('Scramble Leagues'!$H51="","",'Scramble Leagues'!$H51)</f>
        <v/>
      </c>
      <c r="O798">
        <f>IF('Scramble Leagues'!$H51="","",'Scramble Leagues'!$H51)</f>
        <v/>
      </c>
      <c r="P798">
        <f>IF('Scramble Leagues'!$H51="","",'Scramble Leagues'!$I51)</f>
        <v/>
      </c>
    </row>
    <row r="799">
      <c r="A799">
        <f>IF('Scramble Leagues'!$H52="","","Scramble League "&amp;'Scramble Leagues'!$A52)</f>
        <v/>
      </c>
      <c r="B799">
        <f>IF('Scramble Leagues'!$H52="","","Scramble League")</f>
        <v/>
      </c>
      <c r="C799" s="18">
        <f>IF('Scramble Leagues'!$H52="","",'Scramble Leagues'!$B52)</f>
        <v/>
      </c>
      <c r="E799">
        <f>IF('Scramble Leagues'!$H52="","",'Scramble Leagues'!$C52&amp;"")</f>
        <v/>
      </c>
      <c r="F799">
        <f>IF('Scramble Leagues'!$H52="","",'Scramble Leagues'!$D52&amp;"")</f>
        <v/>
      </c>
      <c r="G799">
        <f>IF('Scramble Leagues'!$H52="","",'Scramble Leagues'!$E52&amp;"")</f>
        <v/>
      </c>
      <c r="J799">
        <f>IF('Scramble Leagues'!$H52="","",'Scramble Leagues'!$F52)</f>
        <v/>
      </c>
      <c r="K799">
        <f>IF('Scramble Leagues'!$H52="","",COUNTIFS('Scramble Leagues'!$A$5:$A$154,'Scramble Leagues'!$A52,'Scramble Leagues'!$F$5:$F$154,'Scramble Leagues'!$F52))</f>
        <v/>
      </c>
      <c r="L799">
        <f>IF('Scramble Leagues'!$H52="","","")</f>
        <v/>
      </c>
      <c r="M799">
        <f>IF('Scramble Leagues'!$H52="","",'Scramble Leagues'!$G52)</f>
        <v/>
      </c>
      <c r="N799">
        <f>IF('Scramble Leagues'!$H52="","",'Scramble Leagues'!$H52)</f>
        <v/>
      </c>
      <c r="O799">
        <f>IF('Scramble Leagues'!$H52="","",'Scramble Leagues'!$H52)</f>
        <v/>
      </c>
      <c r="P799">
        <f>IF('Scramble Leagues'!$H52="","",'Scramble Leagues'!$I52)</f>
        <v/>
      </c>
    </row>
    <row r="800">
      <c r="A800">
        <f>IF('Scramble Leagues'!$H53="","","Scramble League "&amp;'Scramble Leagues'!$A53)</f>
        <v/>
      </c>
      <c r="B800">
        <f>IF('Scramble Leagues'!$H53="","","Scramble League")</f>
        <v/>
      </c>
      <c r="C800" s="18">
        <f>IF('Scramble Leagues'!$H53="","",'Scramble Leagues'!$B53)</f>
        <v/>
      </c>
      <c r="E800">
        <f>IF('Scramble Leagues'!$H53="","",'Scramble Leagues'!$C53&amp;"")</f>
        <v/>
      </c>
      <c r="F800">
        <f>IF('Scramble Leagues'!$H53="","",'Scramble Leagues'!$D53&amp;"")</f>
        <v/>
      </c>
      <c r="G800">
        <f>IF('Scramble Leagues'!$H53="","",'Scramble Leagues'!$E53&amp;"")</f>
        <v/>
      </c>
      <c r="J800">
        <f>IF('Scramble Leagues'!$H53="","",'Scramble Leagues'!$F53)</f>
        <v/>
      </c>
      <c r="K800">
        <f>IF('Scramble Leagues'!$H53="","",COUNTIFS('Scramble Leagues'!$A$5:$A$154,'Scramble Leagues'!$A53,'Scramble Leagues'!$F$5:$F$154,'Scramble Leagues'!$F53))</f>
        <v/>
      </c>
      <c r="L800">
        <f>IF('Scramble Leagues'!$H53="","","")</f>
        <v/>
      </c>
      <c r="M800">
        <f>IF('Scramble Leagues'!$H53="","",'Scramble Leagues'!$G53)</f>
        <v/>
      </c>
      <c r="N800">
        <f>IF('Scramble Leagues'!$H53="","",'Scramble Leagues'!$H53)</f>
        <v/>
      </c>
      <c r="O800">
        <f>IF('Scramble Leagues'!$H53="","",'Scramble Leagues'!$H53)</f>
        <v/>
      </c>
      <c r="P800">
        <f>IF('Scramble Leagues'!$H53="","",'Scramble Leagues'!$I53)</f>
        <v/>
      </c>
    </row>
    <row r="801">
      <c r="A801">
        <f>IF('Scramble Leagues'!$H54="","","Scramble League "&amp;'Scramble Leagues'!$A54)</f>
        <v/>
      </c>
      <c r="B801">
        <f>IF('Scramble Leagues'!$H54="","","Scramble League")</f>
        <v/>
      </c>
      <c r="C801" s="18">
        <f>IF('Scramble Leagues'!$H54="","",'Scramble Leagues'!$B54)</f>
        <v/>
      </c>
      <c r="E801">
        <f>IF('Scramble Leagues'!$H54="","",'Scramble Leagues'!$C54&amp;"")</f>
        <v/>
      </c>
      <c r="F801">
        <f>IF('Scramble Leagues'!$H54="","",'Scramble Leagues'!$D54&amp;"")</f>
        <v/>
      </c>
      <c r="G801">
        <f>IF('Scramble Leagues'!$H54="","",'Scramble Leagues'!$E54&amp;"")</f>
        <v/>
      </c>
      <c r="J801">
        <f>IF('Scramble Leagues'!$H54="","",'Scramble Leagues'!$F54)</f>
        <v/>
      </c>
      <c r="K801">
        <f>IF('Scramble Leagues'!$H54="","",COUNTIFS('Scramble Leagues'!$A$5:$A$154,'Scramble Leagues'!$A54,'Scramble Leagues'!$F$5:$F$154,'Scramble Leagues'!$F54))</f>
        <v/>
      </c>
      <c r="L801">
        <f>IF('Scramble Leagues'!$H54="","","")</f>
        <v/>
      </c>
      <c r="M801">
        <f>IF('Scramble Leagues'!$H54="","",'Scramble Leagues'!$G54)</f>
        <v/>
      </c>
      <c r="N801">
        <f>IF('Scramble Leagues'!$H54="","",'Scramble Leagues'!$H54)</f>
        <v/>
      </c>
      <c r="O801">
        <f>IF('Scramble Leagues'!$H54="","",'Scramble Leagues'!$H54)</f>
        <v/>
      </c>
      <c r="P801">
        <f>IF('Scramble Leagues'!$H54="","",'Scramble Leagues'!$I54)</f>
        <v/>
      </c>
    </row>
    <row r="802">
      <c r="A802">
        <f>IF('Scramble Leagues'!$H55="","","Scramble League "&amp;'Scramble Leagues'!$A55)</f>
        <v/>
      </c>
      <c r="B802">
        <f>IF('Scramble Leagues'!$H55="","","Scramble League")</f>
        <v/>
      </c>
      <c r="C802" s="18">
        <f>IF('Scramble Leagues'!$H55="","",'Scramble Leagues'!$B55)</f>
        <v/>
      </c>
      <c r="E802">
        <f>IF('Scramble Leagues'!$H55="","",'Scramble Leagues'!$C55&amp;"")</f>
        <v/>
      </c>
      <c r="F802">
        <f>IF('Scramble Leagues'!$H55="","",'Scramble Leagues'!$D55&amp;"")</f>
        <v/>
      </c>
      <c r="G802">
        <f>IF('Scramble Leagues'!$H55="","",'Scramble Leagues'!$E55&amp;"")</f>
        <v/>
      </c>
      <c r="J802">
        <f>IF('Scramble Leagues'!$H55="","",'Scramble Leagues'!$F55)</f>
        <v/>
      </c>
      <c r="K802">
        <f>IF('Scramble Leagues'!$H55="","",COUNTIFS('Scramble Leagues'!$A$5:$A$154,'Scramble Leagues'!$A55,'Scramble Leagues'!$F$5:$F$154,'Scramble Leagues'!$F55))</f>
        <v/>
      </c>
      <c r="L802">
        <f>IF('Scramble Leagues'!$H55="","","")</f>
        <v/>
      </c>
      <c r="M802">
        <f>IF('Scramble Leagues'!$H55="","",'Scramble Leagues'!$G55)</f>
        <v/>
      </c>
      <c r="N802">
        <f>IF('Scramble Leagues'!$H55="","",'Scramble Leagues'!$H55)</f>
        <v/>
      </c>
      <c r="O802">
        <f>IF('Scramble Leagues'!$H55="","",'Scramble Leagues'!$H55)</f>
        <v/>
      </c>
      <c r="P802">
        <f>IF('Scramble Leagues'!$H55="","",'Scramble Leagues'!$I55)</f>
        <v/>
      </c>
    </row>
    <row r="803">
      <c r="A803">
        <f>IF('Scramble Leagues'!$H56="","","Scramble League "&amp;'Scramble Leagues'!$A56)</f>
        <v/>
      </c>
      <c r="B803">
        <f>IF('Scramble Leagues'!$H56="","","Scramble League")</f>
        <v/>
      </c>
      <c r="C803" s="18">
        <f>IF('Scramble Leagues'!$H56="","",'Scramble Leagues'!$B56)</f>
        <v/>
      </c>
      <c r="E803">
        <f>IF('Scramble Leagues'!$H56="","",'Scramble Leagues'!$C56&amp;"")</f>
        <v/>
      </c>
      <c r="F803">
        <f>IF('Scramble Leagues'!$H56="","",'Scramble Leagues'!$D56&amp;"")</f>
        <v/>
      </c>
      <c r="G803">
        <f>IF('Scramble Leagues'!$H56="","",'Scramble Leagues'!$E56&amp;"")</f>
        <v/>
      </c>
      <c r="J803">
        <f>IF('Scramble Leagues'!$H56="","",'Scramble Leagues'!$F56)</f>
        <v/>
      </c>
      <c r="K803">
        <f>IF('Scramble Leagues'!$H56="","",COUNTIFS('Scramble Leagues'!$A$5:$A$154,'Scramble Leagues'!$A56,'Scramble Leagues'!$F$5:$F$154,'Scramble Leagues'!$F56))</f>
        <v/>
      </c>
      <c r="L803">
        <f>IF('Scramble Leagues'!$H56="","","")</f>
        <v/>
      </c>
      <c r="M803">
        <f>IF('Scramble Leagues'!$H56="","",'Scramble Leagues'!$G56)</f>
        <v/>
      </c>
      <c r="N803">
        <f>IF('Scramble Leagues'!$H56="","",'Scramble Leagues'!$H56)</f>
        <v/>
      </c>
      <c r="O803">
        <f>IF('Scramble Leagues'!$H56="","",'Scramble Leagues'!$H56)</f>
        <v/>
      </c>
      <c r="P803">
        <f>IF('Scramble Leagues'!$H56="","",'Scramble Leagues'!$I56)</f>
        <v/>
      </c>
    </row>
    <row r="804">
      <c r="A804">
        <f>IF('Scramble Leagues'!$H57="","","Scramble League "&amp;'Scramble Leagues'!$A57)</f>
        <v/>
      </c>
      <c r="B804">
        <f>IF('Scramble Leagues'!$H57="","","Scramble League")</f>
        <v/>
      </c>
      <c r="C804" s="18">
        <f>IF('Scramble Leagues'!$H57="","",'Scramble Leagues'!$B57)</f>
        <v/>
      </c>
      <c r="E804">
        <f>IF('Scramble Leagues'!$H57="","",'Scramble Leagues'!$C57&amp;"")</f>
        <v/>
      </c>
      <c r="F804">
        <f>IF('Scramble Leagues'!$H57="","",'Scramble Leagues'!$D57&amp;"")</f>
        <v/>
      </c>
      <c r="G804">
        <f>IF('Scramble Leagues'!$H57="","",'Scramble Leagues'!$E57&amp;"")</f>
        <v/>
      </c>
      <c r="J804">
        <f>IF('Scramble Leagues'!$H57="","",'Scramble Leagues'!$F57)</f>
        <v/>
      </c>
      <c r="K804">
        <f>IF('Scramble Leagues'!$H57="","",COUNTIFS('Scramble Leagues'!$A$5:$A$154,'Scramble Leagues'!$A57,'Scramble Leagues'!$F$5:$F$154,'Scramble Leagues'!$F57))</f>
        <v/>
      </c>
      <c r="L804">
        <f>IF('Scramble Leagues'!$H57="","","")</f>
        <v/>
      </c>
      <c r="M804">
        <f>IF('Scramble Leagues'!$H57="","",'Scramble Leagues'!$G57)</f>
        <v/>
      </c>
      <c r="N804">
        <f>IF('Scramble Leagues'!$H57="","",'Scramble Leagues'!$H57)</f>
        <v/>
      </c>
      <c r="O804">
        <f>IF('Scramble Leagues'!$H57="","",'Scramble Leagues'!$H57)</f>
        <v/>
      </c>
      <c r="P804">
        <f>IF('Scramble Leagues'!$H57="","",'Scramble Leagues'!$I57)</f>
        <v/>
      </c>
    </row>
    <row r="805">
      <c r="A805">
        <f>IF('Scramble Leagues'!$H58="","","Scramble League "&amp;'Scramble Leagues'!$A58)</f>
        <v/>
      </c>
      <c r="B805">
        <f>IF('Scramble Leagues'!$H58="","","Scramble League")</f>
        <v/>
      </c>
      <c r="C805" s="18">
        <f>IF('Scramble Leagues'!$H58="","",'Scramble Leagues'!$B58)</f>
        <v/>
      </c>
      <c r="E805">
        <f>IF('Scramble Leagues'!$H58="","",'Scramble Leagues'!$C58&amp;"")</f>
        <v/>
      </c>
      <c r="F805">
        <f>IF('Scramble Leagues'!$H58="","",'Scramble Leagues'!$D58&amp;"")</f>
        <v/>
      </c>
      <c r="G805">
        <f>IF('Scramble Leagues'!$H58="","",'Scramble Leagues'!$E58&amp;"")</f>
        <v/>
      </c>
      <c r="J805">
        <f>IF('Scramble Leagues'!$H58="","",'Scramble Leagues'!$F58)</f>
        <v/>
      </c>
      <c r="K805">
        <f>IF('Scramble Leagues'!$H58="","",COUNTIFS('Scramble Leagues'!$A$5:$A$154,'Scramble Leagues'!$A58,'Scramble Leagues'!$F$5:$F$154,'Scramble Leagues'!$F58))</f>
        <v/>
      </c>
      <c r="L805">
        <f>IF('Scramble Leagues'!$H58="","","")</f>
        <v/>
      </c>
      <c r="M805">
        <f>IF('Scramble Leagues'!$H58="","",'Scramble Leagues'!$G58)</f>
        <v/>
      </c>
      <c r="N805">
        <f>IF('Scramble Leagues'!$H58="","",'Scramble Leagues'!$H58)</f>
        <v/>
      </c>
      <c r="O805">
        <f>IF('Scramble Leagues'!$H58="","",'Scramble Leagues'!$H58)</f>
        <v/>
      </c>
      <c r="P805">
        <f>IF('Scramble Leagues'!$H58="","",'Scramble Leagues'!$I58)</f>
        <v/>
      </c>
    </row>
    <row r="806">
      <c r="A806">
        <f>IF('Scramble Leagues'!$H59="","","Scramble League "&amp;'Scramble Leagues'!$A59)</f>
        <v/>
      </c>
      <c r="B806">
        <f>IF('Scramble Leagues'!$H59="","","Scramble League")</f>
        <v/>
      </c>
      <c r="C806" s="18">
        <f>IF('Scramble Leagues'!$H59="","",'Scramble Leagues'!$B59)</f>
        <v/>
      </c>
      <c r="E806">
        <f>IF('Scramble Leagues'!$H59="","",'Scramble Leagues'!$C59&amp;"")</f>
        <v/>
      </c>
      <c r="F806">
        <f>IF('Scramble Leagues'!$H59="","",'Scramble Leagues'!$D59&amp;"")</f>
        <v/>
      </c>
      <c r="G806">
        <f>IF('Scramble Leagues'!$H59="","",'Scramble Leagues'!$E59&amp;"")</f>
        <v/>
      </c>
      <c r="J806">
        <f>IF('Scramble Leagues'!$H59="","",'Scramble Leagues'!$F59)</f>
        <v/>
      </c>
      <c r="K806">
        <f>IF('Scramble Leagues'!$H59="","",COUNTIFS('Scramble Leagues'!$A$5:$A$154,'Scramble Leagues'!$A59,'Scramble Leagues'!$F$5:$F$154,'Scramble Leagues'!$F59))</f>
        <v/>
      </c>
      <c r="L806">
        <f>IF('Scramble Leagues'!$H59="","","")</f>
        <v/>
      </c>
      <c r="M806">
        <f>IF('Scramble Leagues'!$H59="","",'Scramble Leagues'!$G59)</f>
        <v/>
      </c>
      <c r="N806">
        <f>IF('Scramble Leagues'!$H59="","",'Scramble Leagues'!$H59)</f>
        <v/>
      </c>
      <c r="O806">
        <f>IF('Scramble Leagues'!$H59="","",'Scramble Leagues'!$H59)</f>
        <v/>
      </c>
      <c r="P806">
        <f>IF('Scramble Leagues'!$H59="","",'Scramble Leagues'!$I59)</f>
        <v/>
      </c>
    </row>
    <row r="807">
      <c r="A807">
        <f>IF('Scramble Leagues'!$H60="","","Scramble League "&amp;'Scramble Leagues'!$A60)</f>
        <v/>
      </c>
      <c r="B807">
        <f>IF('Scramble Leagues'!$H60="","","Scramble League")</f>
        <v/>
      </c>
      <c r="C807" s="18">
        <f>IF('Scramble Leagues'!$H60="","",'Scramble Leagues'!$B60)</f>
        <v/>
      </c>
      <c r="E807">
        <f>IF('Scramble Leagues'!$H60="","",'Scramble Leagues'!$C60&amp;"")</f>
        <v/>
      </c>
      <c r="F807">
        <f>IF('Scramble Leagues'!$H60="","",'Scramble Leagues'!$D60&amp;"")</f>
        <v/>
      </c>
      <c r="G807">
        <f>IF('Scramble Leagues'!$H60="","",'Scramble Leagues'!$E60&amp;"")</f>
        <v/>
      </c>
      <c r="J807">
        <f>IF('Scramble Leagues'!$H60="","",'Scramble Leagues'!$F60)</f>
        <v/>
      </c>
      <c r="K807">
        <f>IF('Scramble Leagues'!$H60="","",COUNTIFS('Scramble Leagues'!$A$5:$A$154,'Scramble Leagues'!$A60,'Scramble Leagues'!$F$5:$F$154,'Scramble Leagues'!$F60))</f>
        <v/>
      </c>
      <c r="L807">
        <f>IF('Scramble Leagues'!$H60="","","")</f>
        <v/>
      </c>
      <c r="M807">
        <f>IF('Scramble Leagues'!$H60="","",'Scramble Leagues'!$G60)</f>
        <v/>
      </c>
      <c r="N807">
        <f>IF('Scramble Leagues'!$H60="","",'Scramble Leagues'!$H60)</f>
        <v/>
      </c>
      <c r="O807">
        <f>IF('Scramble Leagues'!$H60="","",'Scramble Leagues'!$H60)</f>
        <v/>
      </c>
      <c r="P807">
        <f>IF('Scramble Leagues'!$H60="","",'Scramble Leagues'!$I60)</f>
        <v/>
      </c>
    </row>
    <row r="808">
      <c r="A808">
        <f>IF('Scramble Leagues'!$H61="","","Scramble League "&amp;'Scramble Leagues'!$A61)</f>
        <v/>
      </c>
      <c r="B808">
        <f>IF('Scramble Leagues'!$H61="","","Scramble League")</f>
        <v/>
      </c>
      <c r="C808" s="18">
        <f>IF('Scramble Leagues'!$H61="","",'Scramble Leagues'!$B61)</f>
        <v/>
      </c>
      <c r="E808">
        <f>IF('Scramble Leagues'!$H61="","",'Scramble Leagues'!$C61&amp;"")</f>
        <v/>
      </c>
      <c r="F808">
        <f>IF('Scramble Leagues'!$H61="","",'Scramble Leagues'!$D61&amp;"")</f>
        <v/>
      </c>
      <c r="G808">
        <f>IF('Scramble Leagues'!$H61="","",'Scramble Leagues'!$E61&amp;"")</f>
        <v/>
      </c>
      <c r="J808">
        <f>IF('Scramble Leagues'!$H61="","",'Scramble Leagues'!$F61)</f>
        <v/>
      </c>
      <c r="K808">
        <f>IF('Scramble Leagues'!$H61="","",COUNTIFS('Scramble Leagues'!$A$5:$A$154,'Scramble Leagues'!$A61,'Scramble Leagues'!$F$5:$F$154,'Scramble Leagues'!$F61))</f>
        <v/>
      </c>
      <c r="L808">
        <f>IF('Scramble Leagues'!$H61="","","")</f>
        <v/>
      </c>
      <c r="M808">
        <f>IF('Scramble Leagues'!$H61="","",'Scramble Leagues'!$G61)</f>
        <v/>
      </c>
      <c r="N808">
        <f>IF('Scramble Leagues'!$H61="","",'Scramble Leagues'!$H61)</f>
        <v/>
      </c>
      <c r="O808">
        <f>IF('Scramble Leagues'!$H61="","",'Scramble Leagues'!$H61)</f>
        <v/>
      </c>
      <c r="P808">
        <f>IF('Scramble Leagues'!$H61="","",'Scramble Leagues'!$I61)</f>
        <v/>
      </c>
    </row>
    <row r="809">
      <c r="A809">
        <f>IF('Scramble Leagues'!$H62="","","Scramble League "&amp;'Scramble Leagues'!$A62)</f>
        <v/>
      </c>
      <c r="B809">
        <f>IF('Scramble Leagues'!$H62="","","Scramble League")</f>
        <v/>
      </c>
      <c r="C809" s="18">
        <f>IF('Scramble Leagues'!$H62="","",'Scramble Leagues'!$B62)</f>
        <v/>
      </c>
      <c r="E809">
        <f>IF('Scramble Leagues'!$H62="","",'Scramble Leagues'!$C62&amp;"")</f>
        <v/>
      </c>
      <c r="F809">
        <f>IF('Scramble Leagues'!$H62="","",'Scramble Leagues'!$D62&amp;"")</f>
        <v/>
      </c>
      <c r="G809">
        <f>IF('Scramble Leagues'!$H62="","",'Scramble Leagues'!$E62&amp;"")</f>
        <v/>
      </c>
      <c r="J809">
        <f>IF('Scramble Leagues'!$H62="","",'Scramble Leagues'!$F62)</f>
        <v/>
      </c>
      <c r="K809">
        <f>IF('Scramble Leagues'!$H62="","",COUNTIFS('Scramble Leagues'!$A$5:$A$154,'Scramble Leagues'!$A62,'Scramble Leagues'!$F$5:$F$154,'Scramble Leagues'!$F62))</f>
        <v/>
      </c>
      <c r="L809">
        <f>IF('Scramble Leagues'!$H62="","","")</f>
        <v/>
      </c>
      <c r="M809">
        <f>IF('Scramble Leagues'!$H62="","",'Scramble Leagues'!$G62)</f>
        <v/>
      </c>
      <c r="N809">
        <f>IF('Scramble Leagues'!$H62="","",'Scramble Leagues'!$H62)</f>
        <v/>
      </c>
      <c r="O809">
        <f>IF('Scramble Leagues'!$H62="","",'Scramble Leagues'!$H62)</f>
        <v/>
      </c>
      <c r="P809">
        <f>IF('Scramble Leagues'!$H62="","",'Scramble Leagues'!$I62)</f>
        <v/>
      </c>
    </row>
    <row r="810">
      <c r="A810">
        <f>IF('Scramble Leagues'!$H63="","","Scramble League "&amp;'Scramble Leagues'!$A63)</f>
        <v/>
      </c>
      <c r="B810">
        <f>IF('Scramble Leagues'!$H63="","","Scramble League")</f>
        <v/>
      </c>
      <c r="C810" s="18">
        <f>IF('Scramble Leagues'!$H63="","",'Scramble Leagues'!$B63)</f>
        <v/>
      </c>
      <c r="E810">
        <f>IF('Scramble Leagues'!$H63="","",'Scramble Leagues'!$C63&amp;"")</f>
        <v/>
      </c>
      <c r="F810">
        <f>IF('Scramble Leagues'!$H63="","",'Scramble Leagues'!$D63&amp;"")</f>
        <v/>
      </c>
      <c r="G810">
        <f>IF('Scramble Leagues'!$H63="","",'Scramble Leagues'!$E63&amp;"")</f>
        <v/>
      </c>
      <c r="J810">
        <f>IF('Scramble Leagues'!$H63="","",'Scramble Leagues'!$F63)</f>
        <v/>
      </c>
      <c r="K810">
        <f>IF('Scramble Leagues'!$H63="","",COUNTIFS('Scramble Leagues'!$A$5:$A$154,'Scramble Leagues'!$A63,'Scramble Leagues'!$F$5:$F$154,'Scramble Leagues'!$F63))</f>
        <v/>
      </c>
      <c r="L810">
        <f>IF('Scramble Leagues'!$H63="","","")</f>
        <v/>
      </c>
      <c r="M810">
        <f>IF('Scramble Leagues'!$H63="","",'Scramble Leagues'!$G63)</f>
        <v/>
      </c>
      <c r="N810">
        <f>IF('Scramble Leagues'!$H63="","",'Scramble Leagues'!$H63)</f>
        <v/>
      </c>
      <c r="O810">
        <f>IF('Scramble Leagues'!$H63="","",'Scramble Leagues'!$H63)</f>
        <v/>
      </c>
      <c r="P810">
        <f>IF('Scramble Leagues'!$H63="","",'Scramble Leagues'!$I63)</f>
        <v/>
      </c>
    </row>
    <row r="811">
      <c r="A811">
        <f>IF('Scramble Leagues'!$H64="","","Scramble League "&amp;'Scramble Leagues'!$A64)</f>
        <v/>
      </c>
      <c r="B811">
        <f>IF('Scramble Leagues'!$H64="","","Scramble League")</f>
        <v/>
      </c>
      <c r="C811" s="18">
        <f>IF('Scramble Leagues'!$H64="","",'Scramble Leagues'!$B64)</f>
        <v/>
      </c>
      <c r="E811">
        <f>IF('Scramble Leagues'!$H64="","",'Scramble Leagues'!$C64&amp;"")</f>
        <v/>
      </c>
      <c r="F811">
        <f>IF('Scramble Leagues'!$H64="","",'Scramble Leagues'!$D64&amp;"")</f>
        <v/>
      </c>
      <c r="G811">
        <f>IF('Scramble Leagues'!$H64="","",'Scramble Leagues'!$E64&amp;"")</f>
        <v/>
      </c>
      <c r="J811">
        <f>IF('Scramble Leagues'!$H64="","",'Scramble Leagues'!$F64)</f>
        <v/>
      </c>
      <c r="K811">
        <f>IF('Scramble Leagues'!$H64="","",COUNTIFS('Scramble Leagues'!$A$5:$A$154,'Scramble Leagues'!$A64,'Scramble Leagues'!$F$5:$F$154,'Scramble Leagues'!$F64))</f>
        <v/>
      </c>
      <c r="L811">
        <f>IF('Scramble Leagues'!$H64="","","")</f>
        <v/>
      </c>
      <c r="M811">
        <f>IF('Scramble Leagues'!$H64="","",'Scramble Leagues'!$G64)</f>
        <v/>
      </c>
      <c r="N811">
        <f>IF('Scramble Leagues'!$H64="","",'Scramble Leagues'!$H64)</f>
        <v/>
      </c>
      <c r="O811">
        <f>IF('Scramble Leagues'!$H64="","",'Scramble Leagues'!$H64)</f>
        <v/>
      </c>
      <c r="P811">
        <f>IF('Scramble Leagues'!$H64="","",'Scramble Leagues'!$I64)</f>
        <v/>
      </c>
    </row>
    <row r="812">
      <c r="A812">
        <f>IF('Scramble Leagues'!$H65="","","Scramble League "&amp;'Scramble Leagues'!$A65)</f>
        <v/>
      </c>
      <c r="B812">
        <f>IF('Scramble Leagues'!$H65="","","Scramble League")</f>
        <v/>
      </c>
      <c r="C812" s="18">
        <f>IF('Scramble Leagues'!$H65="","",'Scramble Leagues'!$B65)</f>
        <v/>
      </c>
      <c r="E812">
        <f>IF('Scramble Leagues'!$H65="","",'Scramble Leagues'!$C65&amp;"")</f>
        <v/>
      </c>
      <c r="F812">
        <f>IF('Scramble Leagues'!$H65="","",'Scramble Leagues'!$D65&amp;"")</f>
        <v/>
      </c>
      <c r="G812">
        <f>IF('Scramble Leagues'!$H65="","",'Scramble Leagues'!$E65&amp;"")</f>
        <v/>
      </c>
      <c r="J812">
        <f>IF('Scramble Leagues'!$H65="","",'Scramble Leagues'!$F65)</f>
        <v/>
      </c>
      <c r="K812">
        <f>IF('Scramble Leagues'!$H65="","",COUNTIFS('Scramble Leagues'!$A$5:$A$154,'Scramble Leagues'!$A65,'Scramble Leagues'!$F$5:$F$154,'Scramble Leagues'!$F65))</f>
        <v/>
      </c>
      <c r="L812">
        <f>IF('Scramble Leagues'!$H65="","","")</f>
        <v/>
      </c>
      <c r="M812">
        <f>IF('Scramble Leagues'!$H65="","",'Scramble Leagues'!$G65)</f>
        <v/>
      </c>
      <c r="N812">
        <f>IF('Scramble Leagues'!$H65="","",'Scramble Leagues'!$H65)</f>
        <v/>
      </c>
      <c r="O812">
        <f>IF('Scramble Leagues'!$H65="","",'Scramble Leagues'!$H65)</f>
        <v/>
      </c>
      <c r="P812">
        <f>IF('Scramble Leagues'!$H65="","",'Scramble Leagues'!$I65)</f>
        <v/>
      </c>
    </row>
    <row r="813">
      <c r="A813">
        <f>IF('Scramble Leagues'!$H66="","","Scramble League "&amp;'Scramble Leagues'!$A66)</f>
        <v/>
      </c>
      <c r="B813">
        <f>IF('Scramble Leagues'!$H66="","","Scramble League")</f>
        <v/>
      </c>
      <c r="C813" s="18">
        <f>IF('Scramble Leagues'!$H66="","",'Scramble Leagues'!$B66)</f>
        <v/>
      </c>
      <c r="E813">
        <f>IF('Scramble Leagues'!$H66="","",'Scramble Leagues'!$C66&amp;"")</f>
        <v/>
      </c>
      <c r="F813">
        <f>IF('Scramble Leagues'!$H66="","",'Scramble Leagues'!$D66&amp;"")</f>
        <v/>
      </c>
      <c r="G813">
        <f>IF('Scramble Leagues'!$H66="","",'Scramble Leagues'!$E66&amp;"")</f>
        <v/>
      </c>
      <c r="J813">
        <f>IF('Scramble Leagues'!$H66="","",'Scramble Leagues'!$F66)</f>
        <v/>
      </c>
      <c r="K813">
        <f>IF('Scramble Leagues'!$H66="","",COUNTIFS('Scramble Leagues'!$A$5:$A$154,'Scramble Leagues'!$A66,'Scramble Leagues'!$F$5:$F$154,'Scramble Leagues'!$F66))</f>
        <v/>
      </c>
      <c r="L813">
        <f>IF('Scramble Leagues'!$H66="","","")</f>
        <v/>
      </c>
      <c r="M813">
        <f>IF('Scramble Leagues'!$H66="","",'Scramble Leagues'!$G66)</f>
        <v/>
      </c>
      <c r="N813">
        <f>IF('Scramble Leagues'!$H66="","",'Scramble Leagues'!$H66)</f>
        <v/>
      </c>
      <c r="O813">
        <f>IF('Scramble Leagues'!$H66="","",'Scramble Leagues'!$H66)</f>
        <v/>
      </c>
      <c r="P813">
        <f>IF('Scramble Leagues'!$H66="","",'Scramble Leagues'!$I66)</f>
        <v/>
      </c>
    </row>
    <row r="814">
      <c r="A814">
        <f>IF('Scramble Leagues'!$H67="","","Scramble League "&amp;'Scramble Leagues'!$A67)</f>
        <v/>
      </c>
      <c r="B814">
        <f>IF('Scramble Leagues'!$H67="","","Scramble League")</f>
        <v/>
      </c>
      <c r="C814" s="18">
        <f>IF('Scramble Leagues'!$H67="","",'Scramble Leagues'!$B67)</f>
        <v/>
      </c>
      <c r="E814">
        <f>IF('Scramble Leagues'!$H67="","",'Scramble Leagues'!$C67&amp;"")</f>
        <v/>
      </c>
      <c r="F814">
        <f>IF('Scramble Leagues'!$H67="","",'Scramble Leagues'!$D67&amp;"")</f>
        <v/>
      </c>
      <c r="G814">
        <f>IF('Scramble Leagues'!$H67="","",'Scramble Leagues'!$E67&amp;"")</f>
        <v/>
      </c>
      <c r="J814">
        <f>IF('Scramble Leagues'!$H67="","",'Scramble Leagues'!$F67)</f>
        <v/>
      </c>
      <c r="K814">
        <f>IF('Scramble Leagues'!$H67="","",COUNTIFS('Scramble Leagues'!$A$5:$A$154,'Scramble Leagues'!$A67,'Scramble Leagues'!$F$5:$F$154,'Scramble Leagues'!$F67))</f>
        <v/>
      </c>
      <c r="L814">
        <f>IF('Scramble Leagues'!$H67="","","")</f>
        <v/>
      </c>
      <c r="M814">
        <f>IF('Scramble Leagues'!$H67="","",'Scramble Leagues'!$G67)</f>
        <v/>
      </c>
      <c r="N814">
        <f>IF('Scramble Leagues'!$H67="","",'Scramble Leagues'!$H67)</f>
        <v/>
      </c>
      <c r="O814">
        <f>IF('Scramble Leagues'!$H67="","",'Scramble Leagues'!$H67)</f>
        <v/>
      </c>
      <c r="P814">
        <f>IF('Scramble Leagues'!$H67="","",'Scramble Leagues'!$I67)</f>
        <v/>
      </c>
    </row>
    <row r="815">
      <c r="A815">
        <f>IF('Scramble Leagues'!$H68="","","Scramble League "&amp;'Scramble Leagues'!$A68)</f>
        <v/>
      </c>
      <c r="B815">
        <f>IF('Scramble Leagues'!$H68="","","Scramble League")</f>
        <v/>
      </c>
      <c r="C815" s="18">
        <f>IF('Scramble Leagues'!$H68="","",'Scramble Leagues'!$B68)</f>
        <v/>
      </c>
      <c r="E815">
        <f>IF('Scramble Leagues'!$H68="","",'Scramble Leagues'!$C68&amp;"")</f>
        <v/>
      </c>
      <c r="F815">
        <f>IF('Scramble Leagues'!$H68="","",'Scramble Leagues'!$D68&amp;"")</f>
        <v/>
      </c>
      <c r="G815">
        <f>IF('Scramble Leagues'!$H68="","",'Scramble Leagues'!$E68&amp;"")</f>
        <v/>
      </c>
      <c r="J815">
        <f>IF('Scramble Leagues'!$H68="","",'Scramble Leagues'!$F68)</f>
        <v/>
      </c>
      <c r="K815">
        <f>IF('Scramble Leagues'!$H68="","",COUNTIFS('Scramble Leagues'!$A$5:$A$154,'Scramble Leagues'!$A68,'Scramble Leagues'!$F$5:$F$154,'Scramble Leagues'!$F68))</f>
        <v/>
      </c>
      <c r="L815">
        <f>IF('Scramble Leagues'!$H68="","","")</f>
        <v/>
      </c>
      <c r="M815">
        <f>IF('Scramble Leagues'!$H68="","",'Scramble Leagues'!$G68)</f>
        <v/>
      </c>
      <c r="N815">
        <f>IF('Scramble Leagues'!$H68="","",'Scramble Leagues'!$H68)</f>
        <v/>
      </c>
      <c r="O815">
        <f>IF('Scramble Leagues'!$H68="","",'Scramble Leagues'!$H68)</f>
        <v/>
      </c>
      <c r="P815">
        <f>IF('Scramble Leagues'!$H68="","",'Scramble Leagues'!$I68)</f>
        <v/>
      </c>
    </row>
    <row r="816">
      <c r="A816">
        <f>IF('Scramble Leagues'!$H69="","","Scramble League "&amp;'Scramble Leagues'!$A69)</f>
        <v/>
      </c>
      <c r="B816">
        <f>IF('Scramble Leagues'!$H69="","","Scramble League")</f>
        <v/>
      </c>
      <c r="C816" s="18">
        <f>IF('Scramble Leagues'!$H69="","",'Scramble Leagues'!$B69)</f>
        <v/>
      </c>
      <c r="E816">
        <f>IF('Scramble Leagues'!$H69="","",'Scramble Leagues'!$C69&amp;"")</f>
        <v/>
      </c>
      <c r="F816">
        <f>IF('Scramble Leagues'!$H69="","",'Scramble Leagues'!$D69&amp;"")</f>
        <v/>
      </c>
      <c r="G816">
        <f>IF('Scramble Leagues'!$H69="","",'Scramble Leagues'!$E69&amp;"")</f>
        <v/>
      </c>
      <c r="J816">
        <f>IF('Scramble Leagues'!$H69="","",'Scramble Leagues'!$F69)</f>
        <v/>
      </c>
      <c r="K816">
        <f>IF('Scramble Leagues'!$H69="","",COUNTIFS('Scramble Leagues'!$A$5:$A$154,'Scramble Leagues'!$A69,'Scramble Leagues'!$F$5:$F$154,'Scramble Leagues'!$F69))</f>
        <v/>
      </c>
      <c r="L816">
        <f>IF('Scramble Leagues'!$H69="","","")</f>
        <v/>
      </c>
      <c r="M816">
        <f>IF('Scramble Leagues'!$H69="","",'Scramble Leagues'!$G69)</f>
        <v/>
      </c>
      <c r="N816">
        <f>IF('Scramble Leagues'!$H69="","",'Scramble Leagues'!$H69)</f>
        <v/>
      </c>
      <c r="O816">
        <f>IF('Scramble Leagues'!$H69="","",'Scramble Leagues'!$H69)</f>
        <v/>
      </c>
      <c r="P816">
        <f>IF('Scramble Leagues'!$H69="","",'Scramble Leagues'!$I69)</f>
        <v/>
      </c>
    </row>
    <row r="817">
      <c r="A817">
        <f>IF('Scramble Leagues'!$H70="","","Scramble League "&amp;'Scramble Leagues'!$A70)</f>
        <v/>
      </c>
      <c r="B817">
        <f>IF('Scramble Leagues'!$H70="","","Scramble League")</f>
        <v/>
      </c>
      <c r="C817" s="18">
        <f>IF('Scramble Leagues'!$H70="","",'Scramble Leagues'!$B70)</f>
        <v/>
      </c>
      <c r="E817">
        <f>IF('Scramble Leagues'!$H70="","",'Scramble Leagues'!$C70&amp;"")</f>
        <v/>
      </c>
      <c r="F817">
        <f>IF('Scramble Leagues'!$H70="","",'Scramble Leagues'!$D70&amp;"")</f>
        <v/>
      </c>
      <c r="G817">
        <f>IF('Scramble Leagues'!$H70="","",'Scramble Leagues'!$E70&amp;"")</f>
        <v/>
      </c>
      <c r="J817">
        <f>IF('Scramble Leagues'!$H70="","",'Scramble Leagues'!$F70)</f>
        <v/>
      </c>
      <c r="K817">
        <f>IF('Scramble Leagues'!$H70="","",COUNTIFS('Scramble Leagues'!$A$5:$A$154,'Scramble Leagues'!$A70,'Scramble Leagues'!$F$5:$F$154,'Scramble Leagues'!$F70))</f>
        <v/>
      </c>
      <c r="L817">
        <f>IF('Scramble Leagues'!$H70="","","")</f>
        <v/>
      </c>
      <c r="M817">
        <f>IF('Scramble Leagues'!$H70="","",'Scramble Leagues'!$G70)</f>
        <v/>
      </c>
      <c r="N817">
        <f>IF('Scramble Leagues'!$H70="","",'Scramble Leagues'!$H70)</f>
        <v/>
      </c>
      <c r="O817">
        <f>IF('Scramble Leagues'!$H70="","",'Scramble Leagues'!$H70)</f>
        <v/>
      </c>
      <c r="P817">
        <f>IF('Scramble Leagues'!$H70="","",'Scramble Leagues'!$I70)</f>
        <v/>
      </c>
    </row>
    <row r="818">
      <c r="A818">
        <f>IF('Scramble Leagues'!$H71="","","Scramble League "&amp;'Scramble Leagues'!$A71)</f>
        <v/>
      </c>
      <c r="B818">
        <f>IF('Scramble Leagues'!$H71="","","Scramble League")</f>
        <v/>
      </c>
      <c r="C818" s="18">
        <f>IF('Scramble Leagues'!$H71="","",'Scramble Leagues'!$B71)</f>
        <v/>
      </c>
      <c r="E818">
        <f>IF('Scramble Leagues'!$H71="","",'Scramble Leagues'!$C71&amp;"")</f>
        <v/>
      </c>
      <c r="F818">
        <f>IF('Scramble Leagues'!$H71="","",'Scramble Leagues'!$D71&amp;"")</f>
        <v/>
      </c>
      <c r="G818">
        <f>IF('Scramble Leagues'!$H71="","",'Scramble Leagues'!$E71&amp;"")</f>
        <v/>
      </c>
      <c r="J818">
        <f>IF('Scramble Leagues'!$H71="","",'Scramble Leagues'!$F71)</f>
        <v/>
      </c>
      <c r="K818">
        <f>IF('Scramble Leagues'!$H71="","",COUNTIFS('Scramble Leagues'!$A$5:$A$154,'Scramble Leagues'!$A71,'Scramble Leagues'!$F$5:$F$154,'Scramble Leagues'!$F71))</f>
        <v/>
      </c>
      <c r="L818">
        <f>IF('Scramble Leagues'!$H71="","","")</f>
        <v/>
      </c>
      <c r="M818">
        <f>IF('Scramble Leagues'!$H71="","",'Scramble Leagues'!$G71)</f>
        <v/>
      </c>
      <c r="N818">
        <f>IF('Scramble Leagues'!$H71="","",'Scramble Leagues'!$H71)</f>
        <v/>
      </c>
      <c r="O818">
        <f>IF('Scramble Leagues'!$H71="","",'Scramble Leagues'!$H71)</f>
        <v/>
      </c>
      <c r="P818">
        <f>IF('Scramble Leagues'!$H71="","",'Scramble Leagues'!$I71)</f>
        <v/>
      </c>
    </row>
    <row r="819">
      <c r="A819">
        <f>IF('Scramble Leagues'!$H72="","","Scramble League "&amp;'Scramble Leagues'!$A72)</f>
        <v/>
      </c>
      <c r="B819">
        <f>IF('Scramble Leagues'!$H72="","","Scramble League")</f>
        <v/>
      </c>
      <c r="C819" s="18">
        <f>IF('Scramble Leagues'!$H72="","",'Scramble Leagues'!$B72)</f>
        <v/>
      </c>
      <c r="E819">
        <f>IF('Scramble Leagues'!$H72="","",'Scramble Leagues'!$C72&amp;"")</f>
        <v/>
      </c>
      <c r="F819">
        <f>IF('Scramble Leagues'!$H72="","",'Scramble Leagues'!$D72&amp;"")</f>
        <v/>
      </c>
      <c r="G819">
        <f>IF('Scramble Leagues'!$H72="","",'Scramble Leagues'!$E72&amp;"")</f>
        <v/>
      </c>
      <c r="J819">
        <f>IF('Scramble Leagues'!$H72="","",'Scramble Leagues'!$F72)</f>
        <v/>
      </c>
      <c r="K819">
        <f>IF('Scramble Leagues'!$H72="","",COUNTIFS('Scramble Leagues'!$A$5:$A$154,'Scramble Leagues'!$A72,'Scramble Leagues'!$F$5:$F$154,'Scramble Leagues'!$F72))</f>
        <v/>
      </c>
      <c r="L819">
        <f>IF('Scramble Leagues'!$H72="","","")</f>
        <v/>
      </c>
      <c r="M819">
        <f>IF('Scramble Leagues'!$H72="","",'Scramble Leagues'!$G72)</f>
        <v/>
      </c>
      <c r="N819">
        <f>IF('Scramble Leagues'!$H72="","",'Scramble Leagues'!$H72)</f>
        <v/>
      </c>
      <c r="O819">
        <f>IF('Scramble Leagues'!$H72="","",'Scramble Leagues'!$H72)</f>
        <v/>
      </c>
      <c r="P819">
        <f>IF('Scramble Leagues'!$H72="","",'Scramble Leagues'!$I72)</f>
        <v/>
      </c>
    </row>
    <row r="820">
      <c r="A820">
        <f>IF('Scramble Leagues'!$H73="","","Scramble League "&amp;'Scramble Leagues'!$A73)</f>
        <v/>
      </c>
      <c r="B820">
        <f>IF('Scramble Leagues'!$H73="","","Scramble League")</f>
        <v/>
      </c>
      <c r="C820" s="18">
        <f>IF('Scramble Leagues'!$H73="","",'Scramble Leagues'!$B73)</f>
        <v/>
      </c>
      <c r="E820">
        <f>IF('Scramble Leagues'!$H73="","",'Scramble Leagues'!$C73&amp;"")</f>
        <v/>
      </c>
      <c r="F820">
        <f>IF('Scramble Leagues'!$H73="","",'Scramble Leagues'!$D73&amp;"")</f>
        <v/>
      </c>
      <c r="G820">
        <f>IF('Scramble Leagues'!$H73="","",'Scramble Leagues'!$E73&amp;"")</f>
        <v/>
      </c>
      <c r="J820">
        <f>IF('Scramble Leagues'!$H73="","",'Scramble Leagues'!$F73)</f>
        <v/>
      </c>
      <c r="K820">
        <f>IF('Scramble Leagues'!$H73="","",COUNTIFS('Scramble Leagues'!$A$5:$A$154,'Scramble Leagues'!$A73,'Scramble Leagues'!$F$5:$F$154,'Scramble Leagues'!$F73))</f>
        <v/>
      </c>
      <c r="L820">
        <f>IF('Scramble Leagues'!$H73="","","")</f>
        <v/>
      </c>
      <c r="M820">
        <f>IF('Scramble Leagues'!$H73="","",'Scramble Leagues'!$G73)</f>
        <v/>
      </c>
      <c r="N820">
        <f>IF('Scramble Leagues'!$H73="","",'Scramble Leagues'!$H73)</f>
        <v/>
      </c>
      <c r="O820">
        <f>IF('Scramble Leagues'!$H73="","",'Scramble Leagues'!$H73)</f>
        <v/>
      </c>
      <c r="P820">
        <f>IF('Scramble Leagues'!$H73="","",'Scramble Leagues'!$I73)</f>
        <v/>
      </c>
    </row>
    <row r="821">
      <c r="A821">
        <f>IF('Scramble Leagues'!$H74="","","Scramble League "&amp;'Scramble Leagues'!$A74)</f>
        <v/>
      </c>
      <c r="B821">
        <f>IF('Scramble Leagues'!$H74="","","Scramble League")</f>
        <v/>
      </c>
      <c r="C821" s="18">
        <f>IF('Scramble Leagues'!$H74="","",'Scramble Leagues'!$B74)</f>
        <v/>
      </c>
      <c r="E821">
        <f>IF('Scramble Leagues'!$H74="","",'Scramble Leagues'!$C74&amp;"")</f>
        <v/>
      </c>
      <c r="F821">
        <f>IF('Scramble Leagues'!$H74="","",'Scramble Leagues'!$D74&amp;"")</f>
        <v/>
      </c>
      <c r="G821">
        <f>IF('Scramble Leagues'!$H74="","",'Scramble Leagues'!$E74&amp;"")</f>
        <v/>
      </c>
      <c r="J821">
        <f>IF('Scramble Leagues'!$H74="","",'Scramble Leagues'!$F74)</f>
        <v/>
      </c>
      <c r="K821">
        <f>IF('Scramble Leagues'!$H74="","",COUNTIFS('Scramble Leagues'!$A$5:$A$154,'Scramble Leagues'!$A74,'Scramble Leagues'!$F$5:$F$154,'Scramble Leagues'!$F74))</f>
        <v/>
      </c>
      <c r="L821">
        <f>IF('Scramble Leagues'!$H74="","","")</f>
        <v/>
      </c>
      <c r="M821">
        <f>IF('Scramble Leagues'!$H74="","",'Scramble Leagues'!$G74)</f>
        <v/>
      </c>
      <c r="N821">
        <f>IF('Scramble Leagues'!$H74="","",'Scramble Leagues'!$H74)</f>
        <v/>
      </c>
      <c r="O821">
        <f>IF('Scramble Leagues'!$H74="","",'Scramble Leagues'!$H74)</f>
        <v/>
      </c>
      <c r="P821">
        <f>IF('Scramble Leagues'!$H74="","",'Scramble Leagues'!$I74)</f>
        <v/>
      </c>
    </row>
    <row r="822">
      <c r="A822">
        <f>IF('Scramble Leagues'!$H75="","","Scramble League "&amp;'Scramble Leagues'!$A75)</f>
        <v/>
      </c>
      <c r="B822">
        <f>IF('Scramble Leagues'!$H75="","","Scramble League")</f>
        <v/>
      </c>
      <c r="C822" s="18">
        <f>IF('Scramble Leagues'!$H75="","",'Scramble Leagues'!$B75)</f>
        <v/>
      </c>
      <c r="E822">
        <f>IF('Scramble Leagues'!$H75="","",'Scramble Leagues'!$C75&amp;"")</f>
        <v/>
      </c>
      <c r="F822">
        <f>IF('Scramble Leagues'!$H75="","",'Scramble Leagues'!$D75&amp;"")</f>
        <v/>
      </c>
      <c r="G822">
        <f>IF('Scramble Leagues'!$H75="","",'Scramble Leagues'!$E75&amp;"")</f>
        <v/>
      </c>
      <c r="J822">
        <f>IF('Scramble Leagues'!$H75="","",'Scramble Leagues'!$F75)</f>
        <v/>
      </c>
      <c r="K822">
        <f>IF('Scramble Leagues'!$H75="","",COUNTIFS('Scramble Leagues'!$A$5:$A$154,'Scramble Leagues'!$A75,'Scramble Leagues'!$F$5:$F$154,'Scramble Leagues'!$F75))</f>
        <v/>
      </c>
      <c r="L822">
        <f>IF('Scramble Leagues'!$H75="","","")</f>
        <v/>
      </c>
      <c r="M822">
        <f>IF('Scramble Leagues'!$H75="","",'Scramble Leagues'!$G75)</f>
        <v/>
      </c>
      <c r="N822">
        <f>IF('Scramble Leagues'!$H75="","",'Scramble Leagues'!$H75)</f>
        <v/>
      </c>
      <c r="O822">
        <f>IF('Scramble Leagues'!$H75="","",'Scramble Leagues'!$H75)</f>
        <v/>
      </c>
      <c r="P822">
        <f>IF('Scramble Leagues'!$H75="","",'Scramble Leagues'!$I75)</f>
        <v/>
      </c>
    </row>
    <row r="823">
      <c r="A823">
        <f>IF('Scramble Leagues'!$H76="","","Scramble League "&amp;'Scramble Leagues'!$A76)</f>
        <v/>
      </c>
      <c r="B823">
        <f>IF('Scramble Leagues'!$H76="","","Scramble League")</f>
        <v/>
      </c>
      <c r="C823" s="18">
        <f>IF('Scramble Leagues'!$H76="","",'Scramble Leagues'!$B76)</f>
        <v/>
      </c>
      <c r="E823">
        <f>IF('Scramble Leagues'!$H76="","",'Scramble Leagues'!$C76&amp;"")</f>
        <v/>
      </c>
      <c r="F823">
        <f>IF('Scramble Leagues'!$H76="","",'Scramble Leagues'!$D76&amp;"")</f>
        <v/>
      </c>
      <c r="G823">
        <f>IF('Scramble Leagues'!$H76="","",'Scramble Leagues'!$E76&amp;"")</f>
        <v/>
      </c>
      <c r="J823">
        <f>IF('Scramble Leagues'!$H76="","",'Scramble Leagues'!$F76)</f>
        <v/>
      </c>
      <c r="K823">
        <f>IF('Scramble Leagues'!$H76="","",COUNTIFS('Scramble Leagues'!$A$5:$A$154,'Scramble Leagues'!$A76,'Scramble Leagues'!$F$5:$F$154,'Scramble Leagues'!$F76))</f>
        <v/>
      </c>
      <c r="L823">
        <f>IF('Scramble Leagues'!$H76="","","")</f>
        <v/>
      </c>
      <c r="M823">
        <f>IF('Scramble Leagues'!$H76="","",'Scramble Leagues'!$G76)</f>
        <v/>
      </c>
      <c r="N823">
        <f>IF('Scramble Leagues'!$H76="","",'Scramble Leagues'!$H76)</f>
        <v/>
      </c>
      <c r="O823">
        <f>IF('Scramble Leagues'!$H76="","",'Scramble Leagues'!$H76)</f>
        <v/>
      </c>
      <c r="P823">
        <f>IF('Scramble Leagues'!$H76="","",'Scramble Leagues'!$I76)</f>
        <v/>
      </c>
    </row>
    <row r="824">
      <c r="A824">
        <f>IF('Scramble Leagues'!$H77="","","Scramble League "&amp;'Scramble Leagues'!$A77)</f>
        <v/>
      </c>
      <c r="B824">
        <f>IF('Scramble Leagues'!$H77="","","Scramble League")</f>
        <v/>
      </c>
      <c r="C824" s="18">
        <f>IF('Scramble Leagues'!$H77="","",'Scramble Leagues'!$B77)</f>
        <v/>
      </c>
      <c r="E824">
        <f>IF('Scramble Leagues'!$H77="","",'Scramble Leagues'!$C77&amp;"")</f>
        <v/>
      </c>
      <c r="F824">
        <f>IF('Scramble Leagues'!$H77="","",'Scramble Leagues'!$D77&amp;"")</f>
        <v/>
      </c>
      <c r="G824">
        <f>IF('Scramble Leagues'!$H77="","",'Scramble Leagues'!$E77&amp;"")</f>
        <v/>
      </c>
      <c r="J824">
        <f>IF('Scramble Leagues'!$H77="","",'Scramble Leagues'!$F77)</f>
        <v/>
      </c>
      <c r="K824">
        <f>IF('Scramble Leagues'!$H77="","",COUNTIFS('Scramble Leagues'!$A$5:$A$154,'Scramble Leagues'!$A77,'Scramble Leagues'!$F$5:$F$154,'Scramble Leagues'!$F77))</f>
        <v/>
      </c>
      <c r="L824">
        <f>IF('Scramble Leagues'!$H77="","","")</f>
        <v/>
      </c>
      <c r="M824">
        <f>IF('Scramble Leagues'!$H77="","",'Scramble Leagues'!$G77)</f>
        <v/>
      </c>
      <c r="N824">
        <f>IF('Scramble Leagues'!$H77="","",'Scramble Leagues'!$H77)</f>
        <v/>
      </c>
      <c r="O824">
        <f>IF('Scramble Leagues'!$H77="","",'Scramble Leagues'!$H77)</f>
        <v/>
      </c>
      <c r="P824">
        <f>IF('Scramble Leagues'!$H77="","",'Scramble Leagues'!$I77)</f>
        <v/>
      </c>
    </row>
    <row r="825">
      <c r="A825">
        <f>IF('Scramble Leagues'!$H78="","","Scramble League "&amp;'Scramble Leagues'!$A78)</f>
        <v/>
      </c>
      <c r="B825">
        <f>IF('Scramble Leagues'!$H78="","","Scramble League")</f>
        <v/>
      </c>
      <c r="C825" s="18">
        <f>IF('Scramble Leagues'!$H78="","",'Scramble Leagues'!$B78)</f>
        <v/>
      </c>
      <c r="E825">
        <f>IF('Scramble Leagues'!$H78="","",'Scramble Leagues'!$C78&amp;"")</f>
        <v/>
      </c>
      <c r="F825">
        <f>IF('Scramble Leagues'!$H78="","",'Scramble Leagues'!$D78&amp;"")</f>
        <v/>
      </c>
      <c r="G825">
        <f>IF('Scramble Leagues'!$H78="","",'Scramble Leagues'!$E78&amp;"")</f>
        <v/>
      </c>
      <c r="J825">
        <f>IF('Scramble Leagues'!$H78="","",'Scramble Leagues'!$F78)</f>
        <v/>
      </c>
      <c r="K825">
        <f>IF('Scramble Leagues'!$H78="","",COUNTIFS('Scramble Leagues'!$A$5:$A$154,'Scramble Leagues'!$A78,'Scramble Leagues'!$F$5:$F$154,'Scramble Leagues'!$F78))</f>
        <v/>
      </c>
      <c r="L825">
        <f>IF('Scramble Leagues'!$H78="","","")</f>
        <v/>
      </c>
      <c r="M825">
        <f>IF('Scramble Leagues'!$H78="","",'Scramble Leagues'!$G78)</f>
        <v/>
      </c>
      <c r="N825">
        <f>IF('Scramble Leagues'!$H78="","",'Scramble Leagues'!$H78)</f>
        <v/>
      </c>
      <c r="O825">
        <f>IF('Scramble Leagues'!$H78="","",'Scramble Leagues'!$H78)</f>
        <v/>
      </c>
      <c r="P825">
        <f>IF('Scramble Leagues'!$H78="","",'Scramble Leagues'!$I78)</f>
        <v/>
      </c>
    </row>
    <row r="826">
      <c r="A826">
        <f>IF('Scramble Leagues'!$H79="","","Scramble League "&amp;'Scramble Leagues'!$A79)</f>
        <v/>
      </c>
      <c r="B826">
        <f>IF('Scramble Leagues'!$H79="","","Scramble League")</f>
        <v/>
      </c>
      <c r="C826" s="18">
        <f>IF('Scramble Leagues'!$H79="","",'Scramble Leagues'!$B79)</f>
        <v/>
      </c>
      <c r="E826">
        <f>IF('Scramble Leagues'!$H79="","",'Scramble Leagues'!$C79&amp;"")</f>
        <v/>
      </c>
      <c r="F826">
        <f>IF('Scramble Leagues'!$H79="","",'Scramble Leagues'!$D79&amp;"")</f>
        <v/>
      </c>
      <c r="G826">
        <f>IF('Scramble Leagues'!$H79="","",'Scramble Leagues'!$E79&amp;"")</f>
        <v/>
      </c>
      <c r="J826">
        <f>IF('Scramble Leagues'!$H79="","",'Scramble Leagues'!$F79)</f>
        <v/>
      </c>
      <c r="K826">
        <f>IF('Scramble Leagues'!$H79="","",COUNTIFS('Scramble Leagues'!$A$5:$A$154,'Scramble Leagues'!$A79,'Scramble Leagues'!$F$5:$F$154,'Scramble Leagues'!$F79))</f>
        <v/>
      </c>
      <c r="L826">
        <f>IF('Scramble Leagues'!$H79="","","")</f>
        <v/>
      </c>
      <c r="M826">
        <f>IF('Scramble Leagues'!$H79="","",'Scramble Leagues'!$G79)</f>
        <v/>
      </c>
      <c r="N826">
        <f>IF('Scramble Leagues'!$H79="","",'Scramble Leagues'!$H79)</f>
        <v/>
      </c>
      <c r="O826">
        <f>IF('Scramble Leagues'!$H79="","",'Scramble Leagues'!$H79)</f>
        <v/>
      </c>
      <c r="P826">
        <f>IF('Scramble Leagues'!$H79="","",'Scramble Leagues'!$I79)</f>
        <v/>
      </c>
    </row>
    <row r="827">
      <c r="A827">
        <f>IF('Scramble Leagues'!$H80="","","Scramble League "&amp;'Scramble Leagues'!$A80)</f>
        <v/>
      </c>
      <c r="B827">
        <f>IF('Scramble Leagues'!$H80="","","Scramble League")</f>
        <v/>
      </c>
      <c r="C827" s="18">
        <f>IF('Scramble Leagues'!$H80="","",'Scramble Leagues'!$B80)</f>
        <v/>
      </c>
      <c r="E827">
        <f>IF('Scramble Leagues'!$H80="","",'Scramble Leagues'!$C80&amp;"")</f>
        <v/>
      </c>
      <c r="F827">
        <f>IF('Scramble Leagues'!$H80="","",'Scramble Leagues'!$D80&amp;"")</f>
        <v/>
      </c>
      <c r="G827">
        <f>IF('Scramble Leagues'!$H80="","",'Scramble Leagues'!$E80&amp;"")</f>
        <v/>
      </c>
      <c r="J827">
        <f>IF('Scramble Leagues'!$H80="","",'Scramble Leagues'!$F80)</f>
        <v/>
      </c>
      <c r="K827">
        <f>IF('Scramble Leagues'!$H80="","",COUNTIFS('Scramble Leagues'!$A$5:$A$154,'Scramble Leagues'!$A80,'Scramble Leagues'!$F$5:$F$154,'Scramble Leagues'!$F80))</f>
        <v/>
      </c>
      <c r="L827">
        <f>IF('Scramble Leagues'!$H80="","","")</f>
        <v/>
      </c>
      <c r="M827">
        <f>IF('Scramble Leagues'!$H80="","",'Scramble Leagues'!$G80)</f>
        <v/>
      </c>
      <c r="N827">
        <f>IF('Scramble Leagues'!$H80="","",'Scramble Leagues'!$H80)</f>
        <v/>
      </c>
      <c r="O827">
        <f>IF('Scramble Leagues'!$H80="","",'Scramble Leagues'!$H80)</f>
        <v/>
      </c>
      <c r="P827">
        <f>IF('Scramble Leagues'!$H80="","",'Scramble Leagues'!$I80)</f>
        <v/>
      </c>
    </row>
    <row r="828">
      <c r="A828">
        <f>IF('Scramble Leagues'!$H81="","","Scramble League "&amp;'Scramble Leagues'!$A81)</f>
        <v/>
      </c>
      <c r="B828">
        <f>IF('Scramble Leagues'!$H81="","","Scramble League")</f>
        <v/>
      </c>
      <c r="C828" s="18">
        <f>IF('Scramble Leagues'!$H81="","",'Scramble Leagues'!$B81)</f>
        <v/>
      </c>
      <c r="E828">
        <f>IF('Scramble Leagues'!$H81="","",'Scramble Leagues'!$C81&amp;"")</f>
        <v/>
      </c>
      <c r="F828">
        <f>IF('Scramble Leagues'!$H81="","",'Scramble Leagues'!$D81&amp;"")</f>
        <v/>
      </c>
      <c r="G828">
        <f>IF('Scramble Leagues'!$H81="","",'Scramble Leagues'!$E81&amp;"")</f>
        <v/>
      </c>
      <c r="J828">
        <f>IF('Scramble Leagues'!$H81="","",'Scramble Leagues'!$F81)</f>
        <v/>
      </c>
      <c r="K828">
        <f>IF('Scramble Leagues'!$H81="","",COUNTIFS('Scramble Leagues'!$A$5:$A$154,'Scramble Leagues'!$A81,'Scramble Leagues'!$F$5:$F$154,'Scramble Leagues'!$F81))</f>
        <v/>
      </c>
      <c r="L828">
        <f>IF('Scramble Leagues'!$H81="","","")</f>
        <v/>
      </c>
      <c r="M828">
        <f>IF('Scramble Leagues'!$H81="","",'Scramble Leagues'!$G81)</f>
        <v/>
      </c>
      <c r="N828">
        <f>IF('Scramble Leagues'!$H81="","",'Scramble Leagues'!$H81)</f>
        <v/>
      </c>
      <c r="O828">
        <f>IF('Scramble Leagues'!$H81="","",'Scramble Leagues'!$H81)</f>
        <v/>
      </c>
      <c r="P828">
        <f>IF('Scramble Leagues'!$H81="","",'Scramble Leagues'!$I81)</f>
        <v/>
      </c>
    </row>
    <row r="829">
      <c r="A829">
        <f>IF('Scramble Leagues'!$H82="","","Scramble League "&amp;'Scramble Leagues'!$A82)</f>
        <v/>
      </c>
      <c r="B829">
        <f>IF('Scramble Leagues'!$H82="","","Scramble League")</f>
        <v/>
      </c>
      <c r="C829" s="18">
        <f>IF('Scramble Leagues'!$H82="","",'Scramble Leagues'!$B82)</f>
        <v/>
      </c>
      <c r="E829">
        <f>IF('Scramble Leagues'!$H82="","",'Scramble Leagues'!$C82&amp;"")</f>
        <v/>
      </c>
      <c r="F829">
        <f>IF('Scramble Leagues'!$H82="","",'Scramble Leagues'!$D82&amp;"")</f>
        <v/>
      </c>
      <c r="G829">
        <f>IF('Scramble Leagues'!$H82="","",'Scramble Leagues'!$E82&amp;"")</f>
        <v/>
      </c>
      <c r="J829">
        <f>IF('Scramble Leagues'!$H82="","",'Scramble Leagues'!$F82)</f>
        <v/>
      </c>
      <c r="K829">
        <f>IF('Scramble Leagues'!$H82="","",COUNTIFS('Scramble Leagues'!$A$5:$A$154,'Scramble Leagues'!$A82,'Scramble Leagues'!$F$5:$F$154,'Scramble Leagues'!$F82))</f>
        <v/>
      </c>
      <c r="L829">
        <f>IF('Scramble Leagues'!$H82="","","")</f>
        <v/>
      </c>
      <c r="M829">
        <f>IF('Scramble Leagues'!$H82="","",'Scramble Leagues'!$G82)</f>
        <v/>
      </c>
      <c r="N829">
        <f>IF('Scramble Leagues'!$H82="","",'Scramble Leagues'!$H82)</f>
        <v/>
      </c>
      <c r="O829">
        <f>IF('Scramble Leagues'!$H82="","",'Scramble Leagues'!$H82)</f>
        <v/>
      </c>
      <c r="P829">
        <f>IF('Scramble Leagues'!$H82="","",'Scramble Leagues'!$I82)</f>
        <v/>
      </c>
    </row>
    <row r="830">
      <c r="A830">
        <f>IF('Scramble Leagues'!$H83="","","Scramble League "&amp;'Scramble Leagues'!$A83)</f>
        <v/>
      </c>
      <c r="B830">
        <f>IF('Scramble Leagues'!$H83="","","Scramble League")</f>
        <v/>
      </c>
      <c r="C830" s="18">
        <f>IF('Scramble Leagues'!$H83="","",'Scramble Leagues'!$B83)</f>
        <v/>
      </c>
      <c r="E830">
        <f>IF('Scramble Leagues'!$H83="","",'Scramble Leagues'!$C83&amp;"")</f>
        <v/>
      </c>
      <c r="F830">
        <f>IF('Scramble Leagues'!$H83="","",'Scramble Leagues'!$D83&amp;"")</f>
        <v/>
      </c>
      <c r="G830">
        <f>IF('Scramble Leagues'!$H83="","",'Scramble Leagues'!$E83&amp;"")</f>
        <v/>
      </c>
      <c r="J830">
        <f>IF('Scramble Leagues'!$H83="","",'Scramble Leagues'!$F83)</f>
        <v/>
      </c>
      <c r="K830">
        <f>IF('Scramble Leagues'!$H83="","",COUNTIFS('Scramble Leagues'!$A$5:$A$154,'Scramble Leagues'!$A83,'Scramble Leagues'!$F$5:$F$154,'Scramble Leagues'!$F83))</f>
        <v/>
      </c>
      <c r="L830">
        <f>IF('Scramble Leagues'!$H83="","","")</f>
        <v/>
      </c>
      <c r="M830">
        <f>IF('Scramble Leagues'!$H83="","",'Scramble Leagues'!$G83)</f>
        <v/>
      </c>
      <c r="N830">
        <f>IF('Scramble Leagues'!$H83="","",'Scramble Leagues'!$H83)</f>
        <v/>
      </c>
      <c r="O830">
        <f>IF('Scramble Leagues'!$H83="","",'Scramble Leagues'!$H83)</f>
        <v/>
      </c>
      <c r="P830">
        <f>IF('Scramble Leagues'!$H83="","",'Scramble Leagues'!$I83)</f>
        <v/>
      </c>
    </row>
    <row r="831">
      <c r="A831">
        <f>IF('Scramble Leagues'!$H84="","","Scramble League "&amp;'Scramble Leagues'!$A84)</f>
        <v/>
      </c>
      <c r="B831">
        <f>IF('Scramble Leagues'!$H84="","","Scramble League")</f>
        <v/>
      </c>
      <c r="C831" s="18">
        <f>IF('Scramble Leagues'!$H84="","",'Scramble Leagues'!$B84)</f>
        <v/>
      </c>
      <c r="E831">
        <f>IF('Scramble Leagues'!$H84="","",'Scramble Leagues'!$C84&amp;"")</f>
        <v/>
      </c>
      <c r="F831">
        <f>IF('Scramble Leagues'!$H84="","",'Scramble Leagues'!$D84&amp;"")</f>
        <v/>
      </c>
      <c r="G831">
        <f>IF('Scramble Leagues'!$H84="","",'Scramble Leagues'!$E84&amp;"")</f>
        <v/>
      </c>
      <c r="J831">
        <f>IF('Scramble Leagues'!$H84="","",'Scramble Leagues'!$F84)</f>
        <v/>
      </c>
      <c r="K831">
        <f>IF('Scramble Leagues'!$H84="","",COUNTIFS('Scramble Leagues'!$A$5:$A$154,'Scramble Leagues'!$A84,'Scramble Leagues'!$F$5:$F$154,'Scramble Leagues'!$F84))</f>
        <v/>
      </c>
      <c r="L831">
        <f>IF('Scramble Leagues'!$H84="","","")</f>
        <v/>
      </c>
      <c r="M831">
        <f>IF('Scramble Leagues'!$H84="","",'Scramble Leagues'!$G84)</f>
        <v/>
      </c>
      <c r="N831">
        <f>IF('Scramble Leagues'!$H84="","",'Scramble Leagues'!$H84)</f>
        <v/>
      </c>
      <c r="O831">
        <f>IF('Scramble Leagues'!$H84="","",'Scramble Leagues'!$H84)</f>
        <v/>
      </c>
      <c r="P831">
        <f>IF('Scramble Leagues'!$H84="","",'Scramble Leagues'!$I84)</f>
        <v/>
      </c>
    </row>
    <row r="832">
      <c r="A832">
        <f>IF('Scramble Leagues'!$H85="","","Scramble League "&amp;'Scramble Leagues'!$A85)</f>
        <v/>
      </c>
      <c r="B832">
        <f>IF('Scramble Leagues'!$H85="","","Scramble League")</f>
        <v/>
      </c>
      <c r="C832" s="18">
        <f>IF('Scramble Leagues'!$H85="","",'Scramble Leagues'!$B85)</f>
        <v/>
      </c>
      <c r="E832">
        <f>IF('Scramble Leagues'!$H85="","",'Scramble Leagues'!$C85&amp;"")</f>
        <v/>
      </c>
      <c r="F832">
        <f>IF('Scramble Leagues'!$H85="","",'Scramble Leagues'!$D85&amp;"")</f>
        <v/>
      </c>
      <c r="G832">
        <f>IF('Scramble Leagues'!$H85="","",'Scramble Leagues'!$E85&amp;"")</f>
        <v/>
      </c>
      <c r="J832">
        <f>IF('Scramble Leagues'!$H85="","",'Scramble Leagues'!$F85)</f>
        <v/>
      </c>
      <c r="K832">
        <f>IF('Scramble Leagues'!$H85="","",COUNTIFS('Scramble Leagues'!$A$5:$A$154,'Scramble Leagues'!$A85,'Scramble Leagues'!$F$5:$F$154,'Scramble Leagues'!$F85))</f>
        <v/>
      </c>
      <c r="L832">
        <f>IF('Scramble Leagues'!$H85="","","")</f>
        <v/>
      </c>
      <c r="M832">
        <f>IF('Scramble Leagues'!$H85="","",'Scramble Leagues'!$G85)</f>
        <v/>
      </c>
      <c r="N832">
        <f>IF('Scramble Leagues'!$H85="","",'Scramble Leagues'!$H85)</f>
        <v/>
      </c>
      <c r="O832">
        <f>IF('Scramble Leagues'!$H85="","",'Scramble Leagues'!$H85)</f>
        <v/>
      </c>
      <c r="P832">
        <f>IF('Scramble Leagues'!$H85="","",'Scramble Leagues'!$I85)</f>
        <v/>
      </c>
    </row>
    <row r="833">
      <c r="A833">
        <f>IF('Scramble Leagues'!$H86="","","Scramble League "&amp;'Scramble Leagues'!$A86)</f>
        <v/>
      </c>
      <c r="B833">
        <f>IF('Scramble Leagues'!$H86="","","Scramble League")</f>
        <v/>
      </c>
      <c r="C833" s="18">
        <f>IF('Scramble Leagues'!$H86="","",'Scramble Leagues'!$B86)</f>
        <v/>
      </c>
      <c r="E833">
        <f>IF('Scramble Leagues'!$H86="","",'Scramble Leagues'!$C86&amp;"")</f>
        <v/>
      </c>
      <c r="F833">
        <f>IF('Scramble Leagues'!$H86="","",'Scramble Leagues'!$D86&amp;"")</f>
        <v/>
      </c>
      <c r="G833">
        <f>IF('Scramble Leagues'!$H86="","",'Scramble Leagues'!$E86&amp;"")</f>
        <v/>
      </c>
      <c r="J833">
        <f>IF('Scramble Leagues'!$H86="","",'Scramble Leagues'!$F86)</f>
        <v/>
      </c>
      <c r="K833">
        <f>IF('Scramble Leagues'!$H86="","",COUNTIFS('Scramble Leagues'!$A$5:$A$154,'Scramble Leagues'!$A86,'Scramble Leagues'!$F$5:$F$154,'Scramble Leagues'!$F86))</f>
        <v/>
      </c>
      <c r="L833">
        <f>IF('Scramble Leagues'!$H86="","","")</f>
        <v/>
      </c>
      <c r="M833">
        <f>IF('Scramble Leagues'!$H86="","",'Scramble Leagues'!$G86)</f>
        <v/>
      </c>
      <c r="N833">
        <f>IF('Scramble Leagues'!$H86="","",'Scramble Leagues'!$H86)</f>
        <v/>
      </c>
      <c r="O833">
        <f>IF('Scramble Leagues'!$H86="","",'Scramble Leagues'!$H86)</f>
        <v/>
      </c>
      <c r="P833">
        <f>IF('Scramble Leagues'!$H86="","",'Scramble Leagues'!$I86)</f>
        <v/>
      </c>
    </row>
    <row r="834">
      <c r="A834">
        <f>IF('Scramble Leagues'!$H87="","","Scramble League "&amp;'Scramble Leagues'!$A87)</f>
        <v/>
      </c>
      <c r="B834">
        <f>IF('Scramble Leagues'!$H87="","","Scramble League")</f>
        <v/>
      </c>
      <c r="C834" s="18">
        <f>IF('Scramble Leagues'!$H87="","",'Scramble Leagues'!$B87)</f>
        <v/>
      </c>
      <c r="E834">
        <f>IF('Scramble Leagues'!$H87="","",'Scramble Leagues'!$C87&amp;"")</f>
        <v/>
      </c>
      <c r="F834">
        <f>IF('Scramble Leagues'!$H87="","",'Scramble Leagues'!$D87&amp;"")</f>
        <v/>
      </c>
      <c r="G834">
        <f>IF('Scramble Leagues'!$H87="","",'Scramble Leagues'!$E87&amp;"")</f>
        <v/>
      </c>
      <c r="J834">
        <f>IF('Scramble Leagues'!$H87="","",'Scramble Leagues'!$F87)</f>
        <v/>
      </c>
      <c r="K834">
        <f>IF('Scramble Leagues'!$H87="","",COUNTIFS('Scramble Leagues'!$A$5:$A$154,'Scramble Leagues'!$A87,'Scramble Leagues'!$F$5:$F$154,'Scramble Leagues'!$F87))</f>
        <v/>
      </c>
      <c r="L834">
        <f>IF('Scramble Leagues'!$H87="","","")</f>
        <v/>
      </c>
      <c r="M834">
        <f>IF('Scramble Leagues'!$H87="","",'Scramble Leagues'!$G87)</f>
        <v/>
      </c>
      <c r="N834">
        <f>IF('Scramble Leagues'!$H87="","",'Scramble Leagues'!$H87)</f>
        <v/>
      </c>
      <c r="O834">
        <f>IF('Scramble Leagues'!$H87="","",'Scramble Leagues'!$H87)</f>
        <v/>
      </c>
      <c r="P834">
        <f>IF('Scramble Leagues'!$H87="","",'Scramble Leagues'!$I87)</f>
        <v/>
      </c>
    </row>
    <row r="835">
      <c r="A835">
        <f>IF('Scramble Leagues'!$H88="","","Scramble League "&amp;'Scramble Leagues'!$A88)</f>
        <v/>
      </c>
      <c r="B835">
        <f>IF('Scramble Leagues'!$H88="","","Scramble League")</f>
        <v/>
      </c>
      <c r="C835" s="18">
        <f>IF('Scramble Leagues'!$H88="","",'Scramble Leagues'!$B88)</f>
        <v/>
      </c>
      <c r="E835">
        <f>IF('Scramble Leagues'!$H88="","",'Scramble Leagues'!$C88&amp;"")</f>
        <v/>
      </c>
      <c r="F835">
        <f>IF('Scramble Leagues'!$H88="","",'Scramble Leagues'!$D88&amp;"")</f>
        <v/>
      </c>
      <c r="G835">
        <f>IF('Scramble Leagues'!$H88="","",'Scramble Leagues'!$E88&amp;"")</f>
        <v/>
      </c>
      <c r="J835">
        <f>IF('Scramble Leagues'!$H88="","",'Scramble Leagues'!$F88)</f>
        <v/>
      </c>
      <c r="K835">
        <f>IF('Scramble Leagues'!$H88="","",COUNTIFS('Scramble Leagues'!$A$5:$A$154,'Scramble Leagues'!$A88,'Scramble Leagues'!$F$5:$F$154,'Scramble Leagues'!$F88))</f>
        <v/>
      </c>
      <c r="L835">
        <f>IF('Scramble Leagues'!$H88="","","")</f>
        <v/>
      </c>
      <c r="M835">
        <f>IF('Scramble Leagues'!$H88="","",'Scramble Leagues'!$G88)</f>
        <v/>
      </c>
      <c r="N835">
        <f>IF('Scramble Leagues'!$H88="","",'Scramble Leagues'!$H88)</f>
        <v/>
      </c>
      <c r="O835">
        <f>IF('Scramble Leagues'!$H88="","",'Scramble Leagues'!$H88)</f>
        <v/>
      </c>
      <c r="P835">
        <f>IF('Scramble Leagues'!$H88="","",'Scramble Leagues'!$I88)</f>
        <v/>
      </c>
    </row>
    <row r="836">
      <c r="A836">
        <f>IF('Scramble Leagues'!$H89="","","Scramble League "&amp;'Scramble Leagues'!$A89)</f>
        <v/>
      </c>
      <c r="B836">
        <f>IF('Scramble Leagues'!$H89="","","Scramble League")</f>
        <v/>
      </c>
      <c r="C836" s="18">
        <f>IF('Scramble Leagues'!$H89="","",'Scramble Leagues'!$B89)</f>
        <v/>
      </c>
      <c r="E836">
        <f>IF('Scramble Leagues'!$H89="","",'Scramble Leagues'!$C89&amp;"")</f>
        <v/>
      </c>
      <c r="F836">
        <f>IF('Scramble Leagues'!$H89="","",'Scramble Leagues'!$D89&amp;"")</f>
        <v/>
      </c>
      <c r="G836">
        <f>IF('Scramble Leagues'!$H89="","",'Scramble Leagues'!$E89&amp;"")</f>
        <v/>
      </c>
      <c r="J836">
        <f>IF('Scramble Leagues'!$H89="","",'Scramble Leagues'!$F89)</f>
        <v/>
      </c>
      <c r="K836">
        <f>IF('Scramble Leagues'!$H89="","",COUNTIFS('Scramble Leagues'!$A$5:$A$154,'Scramble Leagues'!$A89,'Scramble Leagues'!$F$5:$F$154,'Scramble Leagues'!$F89))</f>
        <v/>
      </c>
      <c r="L836">
        <f>IF('Scramble Leagues'!$H89="","","")</f>
        <v/>
      </c>
      <c r="M836">
        <f>IF('Scramble Leagues'!$H89="","",'Scramble Leagues'!$G89)</f>
        <v/>
      </c>
      <c r="N836">
        <f>IF('Scramble Leagues'!$H89="","",'Scramble Leagues'!$H89)</f>
        <v/>
      </c>
      <c r="O836">
        <f>IF('Scramble Leagues'!$H89="","",'Scramble Leagues'!$H89)</f>
        <v/>
      </c>
      <c r="P836">
        <f>IF('Scramble Leagues'!$H89="","",'Scramble Leagues'!$I89)</f>
        <v/>
      </c>
    </row>
    <row r="837">
      <c r="A837">
        <f>IF('Scramble Leagues'!$H90="","","Scramble League "&amp;'Scramble Leagues'!$A90)</f>
        <v/>
      </c>
      <c r="B837">
        <f>IF('Scramble Leagues'!$H90="","","Scramble League")</f>
        <v/>
      </c>
      <c r="C837" s="18">
        <f>IF('Scramble Leagues'!$H90="","",'Scramble Leagues'!$B90)</f>
        <v/>
      </c>
      <c r="E837">
        <f>IF('Scramble Leagues'!$H90="","",'Scramble Leagues'!$C90&amp;"")</f>
        <v/>
      </c>
      <c r="F837">
        <f>IF('Scramble Leagues'!$H90="","",'Scramble Leagues'!$D90&amp;"")</f>
        <v/>
      </c>
      <c r="G837">
        <f>IF('Scramble Leagues'!$H90="","",'Scramble Leagues'!$E90&amp;"")</f>
        <v/>
      </c>
      <c r="J837">
        <f>IF('Scramble Leagues'!$H90="","",'Scramble Leagues'!$F90)</f>
        <v/>
      </c>
      <c r="K837">
        <f>IF('Scramble Leagues'!$H90="","",COUNTIFS('Scramble Leagues'!$A$5:$A$154,'Scramble Leagues'!$A90,'Scramble Leagues'!$F$5:$F$154,'Scramble Leagues'!$F90))</f>
        <v/>
      </c>
      <c r="L837">
        <f>IF('Scramble Leagues'!$H90="","","")</f>
        <v/>
      </c>
      <c r="M837">
        <f>IF('Scramble Leagues'!$H90="","",'Scramble Leagues'!$G90)</f>
        <v/>
      </c>
      <c r="N837">
        <f>IF('Scramble Leagues'!$H90="","",'Scramble Leagues'!$H90)</f>
        <v/>
      </c>
      <c r="O837">
        <f>IF('Scramble Leagues'!$H90="","",'Scramble Leagues'!$H90)</f>
        <v/>
      </c>
      <c r="P837">
        <f>IF('Scramble Leagues'!$H90="","",'Scramble Leagues'!$I90)</f>
        <v/>
      </c>
    </row>
    <row r="838">
      <c r="A838">
        <f>IF('Scramble Leagues'!$H91="","","Scramble League "&amp;'Scramble Leagues'!$A91)</f>
        <v/>
      </c>
      <c r="B838">
        <f>IF('Scramble Leagues'!$H91="","","Scramble League")</f>
        <v/>
      </c>
      <c r="C838" s="18">
        <f>IF('Scramble Leagues'!$H91="","",'Scramble Leagues'!$B91)</f>
        <v/>
      </c>
      <c r="E838">
        <f>IF('Scramble Leagues'!$H91="","",'Scramble Leagues'!$C91&amp;"")</f>
        <v/>
      </c>
      <c r="F838">
        <f>IF('Scramble Leagues'!$H91="","",'Scramble Leagues'!$D91&amp;"")</f>
        <v/>
      </c>
      <c r="G838">
        <f>IF('Scramble Leagues'!$H91="","",'Scramble Leagues'!$E91&amp;"")</f>
        <v/>
      </c>
      <c r="J838">
        <f>IF('Scramble Leagues'!$H91="","",'Scramble Leagues'!$F91)</f>
        <v/>
      </c>
      <c r="K838">
        <f>IF('Scramble Leagues'!$H91="","",COUNTIFS('Scramble Leagues'!$A$5:$A$154,'Scramble Leagues'!$A91,'Scramble Leagues'!$F$5:$F$154,'Scramble Leagues'!$F91))</f>
        <v/>
      </c>
      <c r="L838">
        <f>IF('Scramble Leagues'!$H91="","","")</f>
        <v/>
      </c>
      <c r="M838">
        <f>IF('Scramble Leagues'!$H91="","",'Scramble Leagues'!$G91)</f>
        <v/>
      </c>
      <c r="N838">
        <f>IF('Scramble Leagues'!$H91="","",'Scramble Leagues'!$H91)</f>
        <v/>
      </c>
      <c r="O838">
        <f>IF('Scramble Leagues'!$H91="","",'Scramble Leagues'!$H91)</f>
        <v/>
      </c>
      <c r="P838">
        <f>IF('Scramble Leagues'!$H91="","",'Scramble Leagues'!$I91)</f>
        <v/>
      </c>
    </row>
    <row r="839">
      <c r="A839">
        <f>IF('Scramble Leagues'!$H92="","","Scramble League "&amp;'Scramble Leagues'!$A92)</f>
        <v/>
      </c>
      <c r="B839">
        <f>IF('Scramble Leagues'!$H92="","","Scramble League")</f>
        <v/>
      </c>
      <c r="C839" s="18">
        <f>IF('Scramble Leagues'!$H92="","",'Scramble Leagues'!$B92)</f>
        <v/>
      </c>
      <c r="E839">
        <f>IF('Scramble Leagues'!$H92="","",'Scramble Leagues'!$C92&amp;"")</f>
        <v/>
      </c>
      <c r="F839">
        <f>IF('Scramble Leagues'!$H92="","",'Scramble Leagues'!$D92&amp;"")</f>
        <v/>
      </c>
      <c r="G839">
        <f>IF('Scramble Leagues'!$H92="","",'Scramble Leagues'!$E92&amp;"")</f>
        <v/>
      </c>
      <c r="J839">
        <f>IF('Scramble Leagues'!$H92="","",'Scramble Leagues'!$F92)</f>
        <v/>
      </c>
      <c r="K839">
        <f>IF('Scramble Leagues'!$H92="","",COUNTIFS('Scramble Leagues'!$A$5:$A$154,'Scramble Leagues'!$A92,'Scramble Leagues'!$F$5:$F$154,'Scramble Leagues'!$F92))</f>
        <v/>
      </c>
      <c r="L839">
        <f>IF('Scramble Leagues'!$H92="","","")</f>
        <v/>
      </c>
      <c r="M839">
        <f>IF('Scramble Leagues'!$H92="","",'Scramble Leagues'!$G92)</f>
        <v/>
      </c>
      <c r="N839">
        <f>IF('Scramble Leagues'!$H92="","",'Scramble Leagues'!$H92)</f>
        <v/>
      </c>
      <c r="O839">
        <f>IF('Scramble Leagues'!$H92="","",'Scramble Leagues'!$H92)</f>
        <v/>
      </c>
      <c r="P839">
        <f>IF('Scramble Leagues'!$H92="","",'Scramble Leagues'!$I92)</f>
        <v/>
      </c>
    </row>
    <row r="840">
      <c r="A840">
        <f>IF('Scramble Leagues'!$H93="","","Scramble League "&amp;'Scramble Leagues'!$A93)</f>
        <v/>
      </c>
      <c r="B840">
        <f>IF('Scramble Leagues'!$H93="","","Scramble League")</f>
        <v/>
      </c>
      <c r="C840" s="18">
        <f>IF('Scramble Leagues'!$H93="","",'Scramble Leagues'!$B93)</f>
        <v/>
      </c>
      <c r="E840">
        <f>IF('Scramble Leagues'!$H93="","",'Scramble Leagues'!$C93&amp;"")</f>
        <v/>
      </c>
      <c r="F840">
        <f>IF('Scramble Leagues'!$H93="","",'Scramble Leagues'!$D93&amp;"")</f>
        <v/>
      </c>
      <c r="G840">
        <f>IF('Scramble Leagues'!$H93="","",'Scramble Leagues'!$E93&amp;"")</f>
        <v/>
      </c>
      <c r="J840">
        <f>IF('Scramble Leagues'!$H93="","",'Scramble Leagues'!$F93)</f>
        <v/>
      </c>
      <c r="K840">
        <f>IF('Scramble Leagues'!$H93="","",COUNTIFS('Scramble Leagues'!$A$5:$A$154,'Scramble Leagues'!$A93,'Scramble Leagues'!$F$5:$F$154,'Scramble Leagues'!$F93))</f>
        <v/>
      </c>
      <c r="L840">
        <f>IF('Scramble Leagues'!$H93="","","")</f>
        <v/>
      </c>
      <c r="M840">
        <f>IF('Scramble Leagues'!$H93="","",'Scramble Leagues'!$G93)</f>
        <v/>
      </c>
      <c r="N840">
        <f>IF('Scramble Leagues'!$H93="","",'Scramble Leagues'!$H93)</f>
        <v/>
      </c>
      <c r="O840">
        <f>IF('Scramble Leagues'!$H93="","",'Scramble Leagues'!$H93)</f>
        <v/>
      </c>
      <c r="P840">
        <f>IF('Scramble Leagues'!$H93="","",'Scramble Leagues'!$I93)</f>
        <v/>
      </c>
    </row>
    <row r="841">
      <c r="A841">
        <f>IF('Scramble Leagues'!$H94="","","Scramble League "&amp;'Scramble Leagues'!$A94)</f>
        <v/>
      </c>
      <c r="B841">
        <f>IF('Scramble Leagues'!$H94="","","Scramble League")</f>
        <v/>
      </c>
      <c r="C841" s="18">
        <f>IF('Scramble Leagues'!$H94="","",'Scramble Leagues'!$B94)</f>
        <v/>
      </c>
      <c r="E841">
        <f>IF('Scramble Leagues'!$H94="","",'Scramble Leagues'!$C94&amp;"")</f>
        <v/>
      </c>
      <c r="F841">
        <f>IF('Scramble Leagues'!$H94="","",'Scramble Leagues'!$D94&amp;"")</f>
        <v/>
      </c>
      <c r="G841">
        <f>IF('Scramble Leagues'!$H94="","",'Scramble Leagues'!$E94&amp;"")</f>
        <v/>
      </c>
      <c r="J841">
        <f>IF('Scramble Leagues'!$H94="","",'Scramble Leagues'!$F94)</f>
        <v/>
      </c>
      <c r="K841">
        <f>IF('Scramble Leagues'!$H94="","",COUNTIFS('Scramble Leagues'!$A$5:$A$154,'Scramble Leagues'!$A94,'Scramble Leagues'!$F$5:$F$154,'Scramble Leagues'!$F94))</f>
        <v/>
      </c>
      <c r="L841">
        <f>IF('Scramble Leagues'!$H94="","","")</f>
        <v/>
      </c>
      <c r="M841">
        <f>IF('Scramble Leagues'!$H94="","",'Scramble Leagues'!$G94)</f>
        <v/>
      </c>
      <c r="N841">
        <f>IF('Scramble Leagues'!$H94="","",'Scramble Leagues'!$H94)</f>
        <v/>
      </c>
      <c r="O841">
        <f>IF('Scramble Leagues'!$H94="","",'Scramble Leagues'!$H94)</f>
        <v/>
      </c>
      <c r="P841">
        <f>IF('Scramble Leagues'!$H94="","",'Scramble Leagues'!$I94)</f>
        <v/>
      </c>
    </row>
    <row r="842">
      <c r="A842">
        <f>IF('Scramble Leagues'!$H95="","","Scramble League "&amp;'Scramble Leagues'!$A95)</f>
        <v/>
      </c>
      <c r="B842">
        <f>IF('Scramble Leagues'!$H95="","","Scramble League")</f>
        <v/>
      </c>
      <c r="C842" s="18">
        <f>IF('Scramble Leagues'!$H95="","",'Scramble Leagues'!$B95)</f>
        <v/>
      </c>
      <c r="E842">
        <f>IF('Scramble Leagues'!$H95="","",'Scramble Leagues'!$C95&amp;"")</f>
        <v/>
      </c>
      <c r="F842">
        <f>IF('Scramble Leagues'!$H95="","",'Scramble Leagues'!$D95&amp;"")</f>
        <v/>
      </c>
      <c r="G842">
        <f>IF('Scramble Leagues'!$H95="","",'Scramble Leagues'!$E95&amp;"")</f>
        <v/>
      </c>
      <c r="J842">
        <f>IF('Scramble Leagues'!$H95="","",'Scramble Leagues'!$F95)</f>
        <v/>
      </c>
      <c r="K842">
        <f>IF('Scramble Leagues'!$H95="","",COUNTIFS('Scramble Leagues'!$A$5:$A$154,'Scramble Leagues'!$A95,'Scramble Leagues'!$F$5:$F$154,'Scramble Leagues'!$F95))</f>
        <v/>
      </c>
      <c r="L842">
        <f>IF('Scramble Leagues'!$H95="","","")</f>
        <v/>
      </c>
      <c r="M842">
        <f>IF('Scramble Leagues'!$H95="","",'Scramble Leagues'!$G95)</f>
        <v/>
      </c>
      <c r="N842">
        <f>IF('Scramble Leagues'!$H95="","",'Scramble Leagues'!$H95)</f>
        <v/>
      </c>
      <c r="O842">
        <f>IF('Scramble Leagues'!$H95="","",'Scramble Leagues'!$H95)</f>
        <v/>
      </c>
      <c r="P842">
        <f>IF('Scramble Leagues'!$H95="","",'Scramble Leagues'!$I95)</f>
        <v/>
      </c>
    </row>
    <row r="843">
      <c r="A843">
        <f>IF('Scramble Leagues'!$H96="","","Scramble League "&amp;'Scramble Leagues'!$A96)</f>
        <v/>
      </c>
      <c r="B843">
        <f>IF('Scramble Leagues'!$H96="","","Scramble League")</f>
        <v/>
      </c>
      <c r="C843" s="18">
        <f>IF('Scramble Leagues'!$H96="","",'Scramble Leagues'!$B96)</f>
        <v/>
      </c>
      <c r="E843">
        <f>IF('Scramble Leagues'!$H96="","",'Scramble Leagues'!$C96&amp;"")</f>
        <v/>
      </c>
      <c r="F843">
        <f>IF('Scramble Leagues'!$H96="","",'Scramble Leagues'!$D96&amp;"")</f>
        <v/>
      </c>
      <c r="G843">
        <f>IF('Scramble Leagues'!$H96="","",'Scramble Leagues'!$E96&amp;"")</f>
        <v/>
      </c>
      <c r="J843">
        <f>IF('Scramble Leagues'!$H96="","",'Scramble Leagues'!$F96)</f>
        <v/>
      </c>
      <c r="K843">
        <f>IF('Scramble Leagues'!$H96="","",COUNTIFS('Scramble Leagues'!$A$5:$A$154,'Scramble Leagues'!$A96,'Scramble Leagues'!$F$5:$F$154,'Scramble Leagues'!$F96))</f>
        <v/>
      </c>
      <c r="L843">
        <f>IF('Scramble Leagues'!$H96="","","")</f>
        <v/>
      </c>
      <c r="M843">
        <f>IF('Scramble Leagues'!$H96="","",'Scramble Leagues'!$G96)</f>
        <v/>
      </c>
      <c r="N843">
        <f>IF('Scramble Leagues'!$H96="","",'Scramble Leagues'!$H96)</f>
        <v/>
      </c>
      <c r="O843">
        <f>IF('Scramble Leagues'!$H96="","",'Scramble Leagues'!$H96)</f>
        <v/>
      </c>
      <c r="P843">
        <f>IF('Scramble Leagues'!$H96="","",'Scramble Leagues'!$I96)</f>
        <v/>
      </c>
    </row>
    <row r="844">
      <c r="A844">
        <f>IF('Scramble Leagues'!$H97="","","Scramble League "&amp;'Scramble Leagues'!$A97)</f>
        <v/>
      </c>
      <c r="B844">
        <f>IF('Scramble Leagues'!$H97="","","Scramble League")</f>
        <v/>
      </c>
      <c r="C844" s="18">
        <f>IF('Scramble Leagues'!$H97="","",'Scramble Leagues'!$B97)</f>
        <v/>
      </c>
      <c r="E844">
        <f>IF('Scramble Leagues'!$H97="","",'Scramble Leagues'!$C97&amp;"")</f>
        <v/>
      </c>
      <c r="F844">
        <f>IF('Scramble Leagues'!$H97="","",'Scramble Leagues'!$D97&amp;"")</f>
        <v/>
      </c>
      <c r="G844">
        <f>IF('Scramble Leagues'!$H97="","",'Scramble Leagues'!$E97&amp;"")</f>
        <v/>
      </c>
      <c r="J844">
        <f>IF('Scramble Leagues'!$H97="","",'Scramble Leagues'!$F97)</f>
        <v/>
      </c>
      <c r="K844">
        <f>IF('Scramble Leagues'!$H97="","",COUNTIFS('Scramble Leagues'!$A$5:$A$154,'Scramble Leagues'!$A97,'Scramble Leagues'!$F$5:$F$154,'Scramble Leagues'!$F97))</f>
        <v/>
      </c>
      <c r="L844">
        <f>IF('Scramble Leagues'!$H97="","","")</f>
        <v/>
      </c>
      <c r="M844">
        <f>IF('Scramble Leagues'!$H97="","",'Scramble Leagues'!$G97)</f>
        <v/>
      </c>
      <c r="N844">
        <f>IF('Scramble Leagues'!$H97="","",'Scramble Leagues'!$H97)</f>
        <v/>
      </c>
      <c r="O844">
        <f>IF('Scramble Leagues'!$H97="","",'Scramble Leagues'!$H97)</f>
        <v/>
      </c>
      <c r="P844">
        <f>IF('Scramble Leagues'!$H97="","",'Scramble Leagues'!$I97)</f>
        <v/>
      </c>
    </row>
    <row r="845">
      <c r="A845">
        <f>IF('Scramble Leagues'!$H98="","","Scramble League "&amp;'Scramble Leagues'!$A98)</f>
        <v/>
      </c>
      <c r="B845">
        <f>IF('Scramble Leagues'!$H98="","","Scramble League")</f>
        <v/>
      </c>
      <c r="C845" s="18">
        <f>IF('Scramble Leagues'!$H98="","",'Scramble Leagues'!$B98)</f>
        <v/>
      </c>
      <c r="E845">
        <f>IF('Scramble Leagues'!$H98="","",'Scramble Leagues'!$C98&amp;"")</f>
        <v/>
      </c>
      <c r="F845">
        <f>IF('Scramble Leagues'!$H98="","",'Scramble Leagues'!$D98&amp;"")</f>
        <v/>
      </c>
      <c r="G845">
        <f>IF('Scramble Leagues'!$H98="","",'Scramble Leagues'!$E98&amp;"")</f>
        <v/>
      </c>
      <c r="J845">
        <f>IF('Scramble Leagues'!$H98="","",'Scramble Leagues'!$F98)</f>
        <v/>
      </c>
      <c r="K845">
        <f>IF('Scramble Leagues'!$H98="","",COUNTIFS('Scramble Leagues'!$A$5:$A$154,'Scramble Leagues'!$A98,'Scramble Leagues'!$F$5:$F$154,'Scramble Leagues'!$F98))</f>
        <v/>
      </c>
      <c r="L845">
        <f>IF('Scramble Leagues'!$H98="","","")</f>
        <v/>
      </c>
      <c r="M845">
        <f>IF('Scramble Leagues'!$H98="","",'Scramble Leagues'!$G98)</f>
        <v/>
      </c>
      <c r="N845">
        <f>IF('Scramble Leagues'!$H98="","",'Scramble Leagues'!$H98)</f>
        <v/>
      </c>
      <c r="O845">
        <f>IF('Scramble Leagues'!$H98="","",'Scramble Leagues'!$H98)</f>
        <v/>
      </c>
      <c r="P845">
        <f>IF('Scramble Leagues'!$H98="","",'Scramble Leagues'!$I98)</f>
        <v/>
      </c>
    </row>
    <row r="846">
      <c r="A846">
        <f>IF('Scramble Leagues'!$H99="","","Scramble League "&amp;'Scramble Leagues'!$A99)</f>
        <v/>
      </c>
      <c r="B846">
        <f>IF('Scramble Leagues'!$H99="","","Scramble League")</f>
        <v/>
      </c>
      <c r="C846" s="18">
        <f>IF('Scramble Leagues'!$H99="","",'Scramble Leagues'!$B99)</f>
        <v/>
      </c>
      <c r="E846">
        <f>IF('Scramble Leagues'!$H99="","",'Scramble Leagues'!$C99&amp;"")</f>
        <v/>
      </c>
      <c r="F846">
        <f>IF('Scramble Leagues'!$H99="","",'Scramble Leagues'!$D99&amp;"")</f>
        <v/>
      </c>
      <c r="G846">
        <f>IF('Scramble Leagues'!$H99="","",'Scramble Leagues'!$E99&amp;"")</f>
        <v/>
      </c>
      <c r="J846">
        <f>IF('Scramble Leagues'!$H99="","",'Scramble Leagues'!$F99)</f>
        <v/>
      </c>
      <c r="K846">
        <f>IF('Scramble Leagues'!$H99="","",COUNTIFS('Scramble Leagues'!$A$5:$A$154,'Scramble Leagues'!$A99,'Scramble Leagues'!$F$5:$F$154,'Scramble Leagues'!$F99))</f>
        <v/>
      </c>
      <c r="L846">
        <f>IF('Scramble Leagues'!$H99="","","")</f>
        <v/>
      </c>
      <c r="M846">
        <f>IF('Scramble Leagues'!$H99="","",'Scramble Leagues'!$G99)</f>
        <v/>
      </c>
      <c r="N846">
        <f>IF('Scramble Leagues'!$H99="","",'Scramble Leagues'!$H99)</f>
        <v/>
      </c>
      <c r="O846">
        <f>IF('Scramble Leagues'!$H99="","",'Scramble Leagues'!$H99)</f>
        <v/>
      </c>
      <c r="P846">
        <f>IF('Scramble Leagues'!$H99="","",'Scramble Leagues'!$I99)</f>
        <v/>
      </c>
    </row>
    <row r="847">
      <c r="A847">
        <f>IF('Scramble Leagues'!$H100="","","Scramble League "&amp;'Scramble Leagues'!$A100)</f>
        <v/>
      </c>
      <c r="B847">
        <f>IF('Scramble Leagues'!$H100="","","Scramble League")</f>
        <v/>
      </c>
      <c r="C847" s="18">
        <f>IF('Scramble Leagues'!$H100="","",'Scramble Leagues'!$B100)</f>
        <v/>
      </c>
      <c r="E847">
        <f>IF('Scramble Leagues'!$H100="","",'Scramble Leagues'!$C100&amp;"")</f>
        <v/>
      </c>
      <c r="F847">
        <f>IF('Scramble Leagues'!$H100="","",'Scramble Leagues'!$D100&amp;"")</f>
        <v/>
      </c>
      <c r="G847">
        <f>IF('Scramble Leagues'!$H100="","",'Scramble Leagues'!$E100&amp;"")</f>
        <v/>
      </c>
      <c r="J847">
        <f>IF('Scramble Leagues'!$H100="","",'Scramble Leagues'!$F100)</f>
        <v/>
      </c>
      <c r="K847">
        <f>IF('Scramble Leagues'!$H100="","",COUNTIFS('Scramble Leagues'!$A$5:$A$154,'Scramble Leagues'!$A100,'Scramble Leagues'!$F$5:$F$154,'Scramble Leagues'!$F100))</f>
        <v/>
      </c>
      <c r="L847">
        <f>IF('Scramble Leagues'!$H100="","","")</f>
        <v/>
      </c>
      <c r="M847">
        <f>IF('Scramble Leagues'!$H100="","",'Scramble Leagues'!$G100)</f>
        <v/>
      </c>
      <c r="N847">
        <f>IF('Scramble Leagues'!$H100="","",'Scramble Leagues'!$H100)</f>
        <v/>
      </c>
      <c r="O847">
        <f>IF('Scramble Leagues'!$H100="","",'Scramble Leagues'!$H100)</f>
        <v/>
      </c>
      <c r="P847">
        <f>IF('Scramble Leagues'!$H100="","",'Scramble Leagues'!$I100)</f>
        <v/>
      </c>
    </row>
    <row r="848">
      <c r="A848">
        <f>IF('Scramble Leagues'!$H101="","","Scramble League "&amp;'Scramble Leagues'!$A101)</f>
        <v/>
      </c>
      <c r="B848">
        <f>IF('Scramble Leagues'!$H101="","","Scramble League")</f>
        <v/>
      </c>
      <c r="C848" s="18">
        <f>IF('Scramble Leagues'!$H101="","",'Scramble Leagues'!$B101)</f>
        <v/>
      </c>
      <c r="E848">
        <f>IF('Scramble Leagues'!$H101="","",'Scramble Leagues'!$C101&amp;"")</f>
        <v/>
      </c>
      <c r="F848">
        <f>IF('Scramble Leagues'!$H101="","",'Scramble Leagues'!$D101&amp;"")</f>
        <v/>
      </c>
      <c r="G848">
        <f>IF('Scramble Leagues'!$H101="","",'Scramble Leagues'!$E101&amp;"")</f>
        <v/>
      </c>
      <c r="J848">
        <f>IF('Scramble Leagues'!$H101="","",'Scramble Leagues'!$F101)</f>
        <v/>
      </c>
      <c r="K848">
        <f>IF('Scramble Leagues'!$H101="","",COUNTIFS('Scramble Leagues'!$A$5:$A$154,'Scramble Leagues'!$A101,'Scramble Leagues'!$F$5:$F$154,'Scramble Leagues'!$F101))</f>
        <v/>
      </c>
      <c r="L848">
        <f>IF('Scramble Leagues'!$H101="","","")</f>
        <v/>
      </c>
      <c r="M848">
        <f>IF('Scramble Leagues'!$H101="","",'Scramble Leagues'!$G101)</f>
        <v/>
      </c>
      <c r="N848">
        <f>IF('Scramble Leagues'!$H101="","",'Scramble Leagues'!$H101)</f>
        <v/>
      </c>
      <c r="O848">
        <f>IF('Scramble Leagues'!$H101="","",'Scramble Leagues'!$H101)</f>
        <v/>
      </c>
      <c r="P848">
        <f>IF('Scramble Leagues'!$H101="","",'Scramble Leagues'!$I101)</f>
        <v/>
      </c>
    </row>
    <row r="849">
      <c r="A849">
        <f>IF('Scramble Leagues'!$H102="","","Scramble League "&amp;'Scramble Leagues'!$A102)</f>
        <v/>
      </c>
      <c r="B849">
        <f>IF('Scramble Leagues'!$H102="","","Scramble League")</f>
        <v/>
      </c>
      <c r="C849" s="18">
        <f>IF('Scramble Leagues'!$H102="","",'Scramble Leagues'!$B102)</f>
        <v/>
      </c>
      <c r="E849">
        <f>IF('Scramble Leagues'!$H102="","",'Scramble Leagues'!$C102&amp;"")</f>
        <v/>
      </c>
      <c r="F849">
        <f>IF('Scramble Leagues'!$H102="","",'Scramble Leagues'!$D102&amp;"")</f>
        <v/>
      </c>
      <c r="G849">
        <f>IF('Scramble Leagues'!$H102="","",'Scramble Leagues'!$E102&amp;"")</f>
        <v/>
      </c>
      <c r="J849">
        <f>IF('Scramble Leagues'!$H102="","",'Scramble Leagues'!$F102)</f>
        <v/>
      </c>
      <c r="K849">
        <f>IF('Scramble Leagues'!$H102="","",COUNTIFS('Scramble Leagues'!$A$5:$A$154,'Scramble Leagues'!$A102,'Scramble Leagues'!$F$5:$F$154,'Scramble Leagues'!$F102))</f>
        <v/>
      </c>
      <c r="L849">
        <f>IF('Scramble Leagues'!$H102="","","")</f>
        <v/>
      </c>
      <c r="M849">
        <f>IF('Scramble Leagues'!$H102="","",'Scramble Leagues'!$G102)</f>
        <v/>
      </c>
      <c r="N849">
        <f>IF('Scramble Leagues'!$H102="","",'Scramble Leagues'!$H102)</f>
        <v/>
      </c>
      <c r="O849">
        <f>IF('Scramble Leagues'!$H102="","",'Scramble Leagues'!$H102)</f>
        <v/>
      </c>
      <c r="P849">
        <f>IF('Scramble Leagues'!$H102="","",'Scramble Leagues'!$I102)</f>
        <v/>
      </c>
    </row>
    <row r="850">
      <c r="A850">
        <f>IF('Scramble Leagues'!$H103="","","Scramble League "&amp;'Scramble Leagues'!$A103)</f>
        <v/>
      </c>
      <c r="B850">
        <f>IF('Scramble Leagues'!$H103="","","Scramble League")</f>
        <v/>
      </c>
      <c r="C850" s="18">
        <f>IF('Scramble Leagues'!$H103="","",'Scramble Leagues'!$B103)</f>
        <v/>
      </c>
      <c r="E850">
        <f>IF('Scramble Leagues'!$H103="","",'Scramble Leagues'!$C103&amp;"")</f>
        <v/>
      </c>
      <c r="F850">
        <f>IF('Scramble Leagues'!$H103="","",'Scramble Leagues'!$D103&amp;"")</f>
        <v/>
      </c>
      <c r="G850">
        <f>IF('Scramble Leagues'!$H103="","",'Scramble Leagues'!$E103&amp;"")</f>
        <v/>
      </c>
      <c r="J850">
        <f>IF('Scramble Leagues'!$H103="","",'Scramble Leagues'!$F103)</f>
        <v/>
      </c>
      <c r="K850">
        <f>IF('Scramble Leagues'!$H103="","",COUNTIFS('Scramble Leagues'!$A$5:$A$154,'Scramble Leagues'!$A103,'Scramble Leagues'!$F$5:$F$154,'Scramble Leagues'!$F103))</f>
        <v/>
      </c>
      <c r="L850">
        <f>IF('Scramble Leagues'!$H103="","","")</f>
        <v/>
      </c>
      <c r="M850">
        <f>IF('Scramble Leagues'!$H103="","",'Scramble Leagues'!$G103)</f>
        <v/>
      </c>
      <c r="N850">
        <f>IF('Scramble Leagues'!$H103="","",'Scramble Leagues'!$H103)</f>
        <v/>
      </c>
      <c r="O850">
        <f>IF('Scramble Leagues'!$H103="","",'Scramble Leagues'!$H103)</f>
        <v/>
      </c>
      <c r="P850">
        <f>IF('Scramble Leagues'!$H103="","",'Scramble Leagues'!$I103)</f>
        <v/>
      </c>
    </row>
    <row r="851">
      <c r="A851">
        <f>IF('Scramble Leagues'!$H104="","","Scramble League "&amp;'Scramble Leagues'!$A104)</f>
        <v/>
      </c>
      <c r="B851">
        <f>IF('Scramble Leagues'!$H104="","","Scramble League")</f>
        <v/>
      </c>
      <c r="C851" s="18">
        <f>IF('Scramble Leagues'!$H104="","",'Scramble Leagues'!$B104)</f>
        <v/>
      </c>
      <c r="E851">
        <f>IF('Scramble Leagues'!$H104="","",'Scramble Leagues'!$C104&amp;"")</f>
        <v/>
      </c>
      <c r="F851">
        <f>IF('Scramble Leagues'!$H104="","",'Scramble Leagues'!$D104&amp;"")</f>
        <v/>
      </c>
      <c r="G851">
        <f>IF('Scramble Leagues'!$H104="","",'Scramble Leagues'!$E104&amp;"")</f>
        <v/>
      </c>
      <c r="J851">
        <f>IF('Scramble Leagues'!$H104="","",'Scramble Leagues'!$F104)</f>
        <v/>
      </c>
      <c r="K851">
        <f>IF('Scramble Leagues'!$H104="","",COUNTIFS('Scramble Leagues'!$A$5:$A$154,'Scramble Leagues'!$A104,'Scramble Leagues'!$F$5:$F$154,'Scramble Leagues'!$F104))</f>
        <v/>
      </c>
      <c r="L851">
        <f>IF('Scramble Leagues'!$H104="","","")</f>
        <v/>
      </c>
      <c r="M851">
        <f>IF('Scramble Leagues'!$H104="","",'Scramble Leagues'!$G104)</f>
        <v/>
      </c>
      <c r="N851">
        <f>IF('Scramble Leagues'!$H104="","",'Scramble Leagues'!$H104)</f>
        <v/>
      </c>
      <c r="O851">
        <f>IF('Scramble Leagues'!$H104="","",'Scramble Leagues'!$H104)</f>
        <v/>
      </c>
      <c r="P851">
        <f>IF('Scramble Leagues'!$H104="","",'Scramble Leagues'!$I104)</f>
        <v/>
      </c>
    </row>
    <row r="852">
      <c r="A852">
        <f>IF('Scramble Leagues'!$H105="","","Scramble League "&amp;'Scramble Leagues'!$A105)</f>
        <v/>
      </c>
      <c r="B852">
        <f>IF('Scramble Leagues'!$H105="","","Scramble League")</f>
        <v/>
      </c>
      <c r="C852" s="18">
        <f>IF('Scramble Leagues'!$H105="","",'Scramble Leagues'!$B105)</f>
        <v/>
      </c>
      <c r="E852">
        <f>IF('Scramble Leagues'!$H105="","",'Scramble Leagues'!$C105&amp;"")</f>
        <v/>
      </c>
      <c r="F852">
        <f>IF('Scramble Leagues'!$H105="","",'Scramble Leagues'!$D105&amp;"")</f>
        <v/>
      </c>
      <c r="G852">
        <f>IF('Scramble Leagues'!$H105="","",'Scramble Leagues'!$E105&amp;"")</f>
        <v/>
      </c>
      <c r="J852">
        <f>IF('Scramble Leagues'!$H105="","",'Scramble Leagues'!$F105)</f>
        <v/>
      </c>
      <c r="K852">
        <f>IF('Scramble Leagues'!$H105="","",COUNTIFS('Scramble Leagues'!$A$5:$A$154,'Scramble Leagues'!$A105,'Scramble Leagues'!$F$5:$F$154,'Scramble Leagues'!$F105))</f>
        <v/>
      </c>
      <c r="L852">
        <f>IF('Scramble Leagues'!$H105="","","")</f>
        <v/>
      </c>
      <c r="M852">
        <f>IF('Scramble Leagues'!$H105="","",'Scramble Leagues'!$G105)</f>
        <v/>
      </c>
      <c r="N852">
        <f>IF('Scramble Leagues'!$H105="","",'Scramble Leagues'!$H105)</f>
        <v/>
      </c>
      <c r="O852">
        <f>IF('Scramble Leagues'!$H105="","",'Scramble Leagues'!$H105)</f>
        <v/>
      </c>
      <c r="P852">
        <f>IF('Scramble Leagues'!$H105="","",'Scramble Leagues'!$I105)</f>
        <v/>
      </c>
    </row>
    <row r="853">
      <c r="A853">
        <f>IF('Scramble Leagues'!$H106="","","Scramble League "&amp;'Scramble Leagues'!$A106)</f>
        <v/>
      </c>
      <c r="B853">
        <f>IF('Scramble Leagues'!$H106="","","Scramble League")</f>
        <v/>
      </c>
      <c r="C853" s="18">
        <f>IF('Scramble Leagues'!$H106="","",'Scramble Leagues'!$B106)</f>
        <v/>
      </c>
      <c r="E853">
        <f>IF('Scramble Leagues'!$H106="","",'Scramble Leagues'!$C106&amp;"")</f>
        <v/>
      </c>
      <c r="F853">
        <f>IF('Scramble Leagues'!$H106="","",'Scramble Leagues'!$D106&amp;"")</f>
        <v/>
      </c>
      <c r="G853">
        <f>IF('Scramble Leagues'!$H106="","",'Scramble Leagues'!$E106&amp;"")</f>
        <v/>
      </c>
      <c r="J853">
        <f>IF('Scramble Leagues'!$H106="","",'Scramble Leagues'!$F106)</f>
        <v/>
      </c>
      <c r="K853">
        <f>IF('Scramble Leagues'!$H106="","",COUNTIFS('Scramble Leagues'!$A$5:$A$154,'Scramble Leagues'!$A106,'Scramble Leagues'!$F$5:$F$154,'Scramble Leagues'!$F106))</f>
        <v/>
      </c>
      <c r="L853">
        <f>IF('Scramble Leagues'!$H106="","","")</f>
        <v/>
      </c>
      <c r="M853">
        <f>IF('Scramble Leagues'!$H106="","",'Scramble Leagues'!$G106)</f>
        <v/>
      </c>
      <c r="N853">
        <f>IF('Scramble Leagues'!$H106="","",'Scramble Leagues'!$H106)</f>
        <v/>
      </c>
      <c r="O853">
        <f>IF('Scramble Leagues'!$H106="","",'Scramble Leagues'!$H106)</f>
        <v/>
      </c>
      <c r="P853">
        <f>IF('Scramble Leagues'!$H106="","",'Scramble Leagues'!$I106)</f>
        <v/>
      </c>
    </row>
    <row r="854">
      <c r="A854">
        <f>IF('Scramble Leagues'!$H107="","","Scramble League "&amp;'Scramble Leagues'!$A107)</f>
        <v/>
      </c>
      <c r="B854">
        <f>IF('Scramble Leagues'!$H107="","","Scramble League")</f>
        <v/>
      </c>
      <c r="C854" s="18">
        <f>IF('Scramble Leagues'!$H107="","",'Scramble Leagues'!$B107)</f>
        <v/>
      </c>
      <c r="E854">
        <f>IF('Scramble Leagues'!$H107="","",'Scramble Leagues'!$C107&amp;"")</f>
        <v/>
      </c>
      <c r="F854">
        <f>IF('Scramble Leagues'!$H107="","",'Scramble Leagues'!$D107&amp;"")</f>
        <v/>
      </c>
      <c r="G854">
        <f>IF('Scramble Leagues'!$H107="","",'Scramble Leagues'!$E107&amp;"")</f>
        <v/>
      </c>
      <c r="J854">
        <f>IF('Scramble Leagues'!$H107="","",'Scramble Leagues'!$F107)</f>
        <v/>
      </c>
      <c r="K854">
        <f>IF('Scramble Leagues'!$H107="","",COUNTIFS('Scramble Leagues'!$A$5:$A$154,'Scramble Leagues'!$A107,'Scramble Leagues'!$F$5:$F$154,'Scramble Leagues'!$F107))</f>
        <v/>
      </c>
      <c r="L854">
        <f>IF('Scramble Leagues'!$H107="","","")</f>
        <v/>
      </c>
      <c r="M854">
        <f>IF('Scramble Leagues'!$H107="","",'Scramble Leagues'!$G107)</f>
        <v/>
      </c>
      <c r="N854">
        <f>IF('Scramble Leagues'!$H107="","",'Scramble Leagues'!$H107)</f>
        <v/>
      </c>
      <c r="O854">
        <f>IF('Scramble Leagues'!$H107="","",'Scramble Leagues'!$H107)</f>
        <v/>
      </c>
      <c r="P854">
        <f>IF('Scramble Leagues'!$H107="","",'Scramble Leagues'!$I107)</f>
        <v/>
      </c>
    </row>
    <row r="855">
      <c r="A855">
        <f>IF('Scramble Leagues'!$H108="","","Scramble League "&amp;'Scramble Leagues'!$A108)</f>
        <v/>
      </c>
      <c r="B855">
        <f>IF('Scramble Leagues'!$H108="","","Scramble League")</f>
        <v/>
      </c>
      <c r="C855" s="18">
        <f>IF('Scramble Leagues'!$H108="","",'Scramble Leagues'!$B108)</f>
        <v/>
      </c>
      <c r="E855">
        <f>IF('Scramble Leagues'!$H108="","",'Scramble Leagues'!$C108&amp;"")</f>
        <v/>
      </c>
      <c r="F855">
        <f>IF('Scramble Leagues'!$H108="","",'Scramble Leagues'!$D108&amp;"")</f>
        <v/>
      </c>
      <c r="G855">
        <f>IF('Scramble Leagues'!$H108="","",'Scramble Leagues'!$E108&amp;"")</f>
        <v/>
      </c>
      <c r="J855">
        <f>IF('Scramble Leagues'!$H108="","",'Scramble Leagues'!$F108)</f>
        <v/>
      </c>
      <c r="K855">
        <f>IF('Scramble Leagues'!$H108="","",COUNTIFS('Scramble Leagues'!$A$5:$A$154,'Scramble Leagues'!$A108,'Scramble Leagues'!$F$5:$F$154,'Scramble Leagues'!$F108))</f>
        <v/>
      </c>
      <c r="L855">
        <f>IF('Scramble Leagues'!$H108="","","")</f>
        <v/>
      </c>
      <c r="M855">
        <f>IF('Scramble Leagues'!$H108="","",'Scramble Leagues'!$G108)</f>
        <v/>
      </c>
      <c r="N855">
        <f>IF('Scramble Leagues'!$H108="","",'Scramble Leagues'!$H108)</f>
        <v/>
      </c>
      <c r="O855">
        <f>IF('Scramble Leagues'!$H108="","",'Scramble Leagues'!$H108)</f>
        <v/>
      </c>
      <c r="P855">
        <f>IF('Scramble Leagues'!$H108="","",'Scramble Leagues'!$I108)</f>
        <v/>
      </c>
    </row>
    <row r="856">
      <c r="A856">
        <f>IF('Scramble Leagues'!$H109="","","Scramble League "&amp;'Scramble Leagues'!$A109)</f>
        <v/>
      </c>
      <c r="B856">
        <f>IF('Scramble Leagues'!$H109="","","Scramble League")</f>
        <v/>
      </c>
      <c r="C856" s="18">
        <f>IF('Scramble Leagues'!$H109="","",'Scramble Leagues'!$B109)</f>
        <v/>
      </c>
      <c r="E856">
        <f>IF('Scramble Leagues'!$H109="","",'Scramble Leagues'!$C109&amp;"")</f>
        <v/>
      </c>
      <c r="F856">
        <f>IF('Scramble Leagues'!$H109="","",'Scramble Leagues'!$D109&amp;"")</f>
        <v/>
      </c>
      <c r="G856">
        <f>IF('Scramble Leagues'!$H109="","",'Scramble Leagues'!$E109&amp;"")</f>
        <v/>
      </c>
      <c r="J856">
        <f>IF('Scramble Leagues'!$H109="","",'Scramble Leagues'!$F109)</f>
        <v/>
      </c>
      <c r="K856">
        <f>IF('Scramble Leagues'!$H109="","",COUNTIFS('Scramble Leagues'!$A$5:$A$154,'Scramble Leagues'!$A109,'Scramble Leagues'!$F$5:$F$154,'Scramble Leagues'!$F109))</f>
        <v/>
      </c>
      <c r="L856">
        <f>IF('Scramble Leagues'!$H109="","","")</f>
        <v/>
      </c>
      <c r="M856">
        <f>IF('Scramble Leagues'!$H109="","",'Scramble Leagues'!$G109)</f>
        <v/>
      </c>
      <c r="N856">
        <f>IF('Scramble Leagues'!$H109="","",'Scramble Leagues'!$H109)</f>
        <v/>
      </c>
      <c r="O856">
        <f>IF('Scramble Leagues'!$H109="","",'Scramble Leagues'!$H109)</f>
        <v/>
      </c>
      <c r="P856">
        <f>IF('Scramble Leagues'!$H109="","",'Scramble Leagues'!$I109)</f>
        <v/>
      </c>
    </row>
    <row r="857">
      <c r="A857">
        <f>IF('Scramble Leagues'!$H110="","","Scramble League "&amp;'Scramble Leagues'!$A110)</f>
        <v/>
      </c>
      <c r="B857">
        <f>IF('Scramble Leagues'!$H110="","","Scramble League")</f>
        <v/>
      </c>
      <c r="C857" s="18">
        <f>IF('Scramble Leagues'!$H110="","",'Scramble Leagues'!$B110)</f>
        <v/>
      </c>
      <c r="E857">
        <f>IF('Scramble Leagues'!$H110="","",'Scramble Leagues'!$C110&amp;"")</f>
        <v/>
      </c>
      <c r="F857">
        <f>IF('Scramble Leagues'!$H110="","",'Scramble Leagues'!$D110&amp;"")</f>
        <v/>
      </c>
      <c r="G857">
        <f>IF('Scramble Leagues'!$H110="","",'Scramble Leagues'!$E110&amp;"")</f>
        <v/>
      </c>
      <c r="J857">
        <f>IF('Scramble Leagues'!$H110="","",'Scramble Leagues'!$F110)</f>
        <v/>
      </c>
      <c r="K857">
        <f>IF('Scramble Leagues'!$H110="","",COUNTIFS('Scramble Leagues'!$A$5:$A$154,'Scramble Leagues'!$A110,'Scramble Leagues'!$F$5:$F$154,'Scramble Leagues'!$F110))</f>
        <v/>
      </c>
      <c r="L857">
        <f>IF('Scramble Leagues'!$H110="","","")</f>
        <v/>
      </c>
      <c r="M857">
        <f>IF('Scramble Leagues'!$H110="","",'Scramble Leagues'!$G110)</f>
        <v/>
      </c>
      <c r="N857">
        <f>IF('Scramble Leagues'!$H110="","",'Scramble Leagues'!$H110)</f>
        <v/>
      </c>
      <c r="O857">
        <f>IF('Scramble Leagues'!$H110="","",'Scramble Leagues'!$H110)</f>
        <v/>
      </c>
      <c r="P857">
        <f>IF('Scramble Leagues'!$H110="","",'Scramble Leagues'!$I110)</f>
        <v/>
      </c>
    </row>
    <row r="858">
      <c r="A858">
        <f>IF('Scramble Leagues'!$H111="","","Scramble League "&amp;'Scramble Leagues'!$A111)</f>
        <v/>
      </c>
      <c r="B858">
        <f>IF('Scramble Leagues'!$H111="","","Scramble League")</f>
        <v/>
      </c>
      <c r="C858" s="18">
        <f>IF('Scramble Leagues'!$H111="","",'Scramble Leagues'!$B111)</f>
        <v/>
      </c>
      <c r="E858">
        <f>IF('Scramble Leagues'!$H111="","",'Scramble Leagues'!$C111&amp;"")</f>
        <v/>
      </c>
      <c r="F858">
        <f>IF('Scramble Leagues'!$H111="","",'Scramble Leagues'!$D111&amp;"")</f>
        <v/>
      </c>
      <c r="G858">
        <f>IF('Scramble Leagues'!$H111="","",'Scramble Leagues'!$E111&amp;"")</f>
        <v/>
      </c>
      <c r="J858">
        <f>IF('Scramble Leagues'!$H111="","",'Scramble Leagues'!$F111)</f>
        <v/>
      </c>
      <c r="K858">
        <f>IF('Scramble Leagues'!$H111="","",COUNTIFS('Scramble Leagues'!$A$5:$A$154,'Scramble Leagues'!$A111,'Scramble Leagues'!$F$5:$F$154,'Scramble Leagues'!$F111))</f>
        <v/>
      </c>
      <c r="L858">
        <f>IF('Scramble Leagues'!$H111="","","")</f>
        <v/>
      </c>
      <c r="M858">
        <f>IF('Scramble Leagues'!$H111="","",'Scramble Leagues'!$G111)</f>
        <v/>
      </c>
      <c r="N858">
        <f>IF('Scramble Leagues'!$H111="","",'Scramble Leagues'!$H111)</f>
        <v/>
      </c>
      <c r="O858">
        <f>IF('Scramble Leagues'!$H111="","",'Scramble Leagues'!$H111)</f>
        <v/>
      </c>
      <c r="P858">
        <f>IF('Scramble Leagues'!$H111="","",'Scramble Leagues'!$I111)</f>
        <v/>
      </c>
    </row>
    <row r="859">
      <c r="A859">
        <f>IF('Scramble Leagues'!$H112="","","Scramble League "&amp;'Scramble Leagues'!$A112)</f>
        <v/>
      </c>
      <c r="B859">
        <f>IF('Scramble Leagues'!$H112="","","Scramble League")</f>
        <v/>
      </c>
      <c r="C859" s="18">
        <f>IF('Scramble Leagues'!$H112="","",'Scramble Leagues'!$B112)</f>
        <v/>
      </c>
      <c r="E859">
        <f>IF('Scramble Leagues'!$H112="","",'Scramble Leagues'!$C112&amp;"")</f>
        <v/>
      </c>
      <c r="F859">
        <f>IF('Scramble Leagues'!$H112="","",'Scramble Leagues'!$D112&amp;"")</f>
        <v/>
      </c>
      <c r="G859">
        <f>IF('Scramble Leagues'!$H112="","",'Scramble Leagues'!$E112&amp;"")</f>
        <v/>
      </c>
      <c r="J859">
        <f>IF('Scramble Leagues'!$H112="","",'Scramble Leagues'!$F112)</f>
        <v/>
      </c>
      <c r="K859">
        <f>IF('Scramble Leagues'!$H112="","",COUNTIFS('Scramble Leagues'!$A$5:$A$154,'Scramble Leagues'!$A112,'Scramble Leagues'!$F$5:$F$154,'Scramble Leagues'!$F112))</f>
        <v/>
      </c>
      <c r="L859">
        <f>IF('Scramble Leagues'!$H112="","","")</f>
        <v/>
      </c>
      <c r="M859">
        <f>IF('Scramble Leagues'!$H112="","",'Scramble Leagues'!$G112)</f>
        <v/>
      </c>
      <c r="N859">
        <f>IF('Scramble Leagues'!$H112="","",'Scramble Leagues'!$H112)</f>
        <v/>
      </c>
      <c r="O859">
        <f>IF('Scramble Leagues'!$H112="","",'Scramble Leagues'!$H112)</f>
        <v/>
      </c>
      <c r="P859">
        <f>IF('Scramble Leagues'!$H112="","",'Scramble Leagues'!$I112)</f>
        <v/>
      </c>
    </row>
    <row r="860">
      <c r="A860">
        <f>IF('Scramble Leagues'!$H113="","","Scramble League "&amp;'Scramble Leagues'!$A113)</f>
        <v/>
      </c>
      <c r="B860">
        <f>IF('Scramble Leagues'!$H113="","","Scramble League")</f>
        <v/>
      </c>
      <c r="C860" s="18">
        <f>IF('Scramble Leagues'!$H113="","",'Scramble Leagues'!$B113)</f>
        <v/>
      </c>
      <c r="E860">
        <f>IF('Scramble Leagues'!$H113="","",'Scramble Leagues'!$C113&amp;"")</f>
        <v/>
      </c>
      <c r="F860">
        <f>IF('Scramble Leagues'!$H113="","",'Scramble Leagues'!$D113&amp;"")</f>
        <v/>
      </c>
      <c r="G860">
        <f>IF('Scramble Leagues'!$H113="","",'Scramble Leagues'!$E113&amp;"")</f>
        <v/>
      </c>
      <c r="J860">
        <f>IF('Scramble Leagues'!$H113="","",'Scramble Leagues'!$F113)</f>
        <v/>
      </c>
      <c r="K860">
        <f>IF('Scramble Leagues'!$H113="","",COUNTIFS('Scramble Leagues'!$A$5:$A$154,'Scramble Leagues'!$A113,'Scramble Leagues'!$F$5:$F$154,'Scramble Leagues'!$F113))</f>
        <v/>
      </c>
      <c r="L860">
        <f>IF('Scramble Leagues'!$H113="","","")</f>
        <v/>
      </c>
      <c r="M860">
        <f>IF('Scramble Leagues'!$H113="","",'Scramble Leagues'!$G113)</f>
        <v/>
      </c>
      <c r="N860">
        <f>IF('Scramble Leagues'!$H113="","",'Scramble Leagues'!$H113)</f>
        <v/>
      </c>
      <c r="O860">
        <f>IF('Scramble Leagues'!$H113="","",'Scramble Leagues'!$H113)</f>
        <v/>
      </c>
      <c r="P860">
        <f>IF('Scramble Leagues'!$H113="","",'Scramble Leagues'!$I113)</f>
        <v/>
      </c>
    </row>
    <row r="861">
      <c r="A861">
        <f>IF('Scramble Leagues'!$H114="","","Scramble League "&amp;'Scramble Leagues'!$A114)</f>
        <v/>
      </c>
      <c r="B861">
        <f>IF('Scramble Leagues'!$H114="","","Scramble League")</f>
        <v/>
      </c>
      <c r="C861" s="18">
        <f>IF('Scramble Leagues'!$H114="","",'Scramble Leagues'!$B114)</f>
        <v/>
      </c>
      <c r="E861">
        <f>IF('Scramble Leagues'!$H114="","",'Scramble Leagues'!$C114&amp;"")</f>
        <v/>
      </c>
      <c r="F861">
        <f>IF('Scramble Leagues'!$H114="","",'Scramble Leagues'!$D114&amp;"")</f>
        <v/>
      </c>
      <c r="G861">
        <f>IF('Scramble Leagues'!$H114="","",'Scramble Leagues'!$E114&amp;"")</f>
        <v/>
      </c>
      <c r="J861">
        <f>IF('Scramble Leagues'!$H114="","",'Scramble Leagues'!$F114)</f>
        <v/>
      </c>
      <c r="K861">
        <f>IF('Scramble Leagues'!$H114="","",COUNTIFS('Scramble Leagues'!$A$5:$A$154,'Scramble Leagues'!$A114,'Scramble Leagues'!$F$5:$F$154,'Scramble Leagues'!$F114))</f>
        <v/>
      </c>
      <c r="L861">
        <f>IF('Scramble Leagues'!$H114="","","")</f>
        <v/>
      </c>
      <c r="M861">
        <f>IF('Scramble Leagues'!$H114="","",'Scramble Leagues'!$G114)</f>
        <v/>
      </c>
      <c r="N861">
        <f>IF('Scramble Leagues'!$H114="","",'Scramble Leagues'!$H114)</f>
        <v/>
      </c>
      <c r="O861">
        <f>IF('Scramble Leagues'!$H114="","",'Scramble Leagues'!$H114)</f>
        <v/>
      </c>
      <c r="P861">
        <f>IF('Scramble Leagues'!$H114="","",'Scramble Leagues'!$I114)</f>
        <v/>
      </c>
    </row>
    <row r="862">
      <c r="A862">
        <f>IF('Scramble Leagues'!$H115="","","Scramble League "&amp;'Scramble Leagues'!$A115)</f>
        <v/>
      </c>
      <c r="B862">
        <f>IF('Scramble Leagues'!$H115="","","Scramble League")</f>
        <v/>
      </c>
      <c r="C862" s="18">
        <f>IF('Scramble Leagues'!$H115="","",'Scramble Leagues'!$B115)</f>
        <v/>
      </c>
      <c r="E862">
        <f>IF('Scramble Leagues'!$H115="","",'Scramble Leagues'!$C115&amp;"")</f>
        <v/>
      </c>
      <c r="F862">
        <f>IF('Scramble Leagues'!$H115="","",'Scramble Leagues'!$D115&amp;"")</f>
        <v/>
      </c>
      <c r="G862">
        <f>IF('Scramble Leagues'!$H115="","",'Scramble Leagues'!$E115&amp;"")</f>
        <v/>
      </c>
      <c r="J862">
        <f>IF('Scramble Leagues'!$H115="","",'Scramble Leagues'!$F115)</f>
        <v/>
      </c>
      <c r="K862">
        <f>IF('Scramble Leagues'!$H115="","",COUNTIFS('Scramble Leagues'!$A$5:$A$154,'Scramble Leagues'!$A115,'Scramble Leagues'!$F$5:$F$154,'Scramble Leagues'!$F115))</f>
        <v/>
      </c>
      <c r="L862">
        <f>IF('Scramble Leagues'!$H115="","","")</f>
        <v/>
      </c>
      <c r="M862">
        <f>IF('Scramble Leagues'!$H115="","",'Scramble Leagues'!$G115)</f>
        <v/>
      </c>
      <c r="N862">
        <f>IF('Scramble Leagues'!$H115="","",'Scramble Leagues'!$H115)</f>
        <v/>
      </c>
      <c r="O862">
        <f>IF('Scramble Leagues'!$H115="","",'Scramble Leagues'!$H115)</f>
        <v/>
      </c>
      <c r="P862">
        <f>IF('Scramble Leagues'!$H115="","",'Scramble Leagues'!$I115)</f>
        <v/>
      </c>
    </row>
    <row r="863">
      <c r="A863">
        <f>IF('Scramble Leagues'!$H116="","","Scramble League "&amp;'Scramble Leagues'!$A116)</f>
        <v/>
      </c>
      <c r="B863">
        <f>IF('Scramble Leagues'!$H116="","","Scramble League")</f>
        <v/>
      </c>
      <c r="C863" s="18">
        <f>IF('Scramble Leagues'!$H116="","",'Scramble Leagues'!$B116)</f>
        <v/>
      </c>
      <c r="E863">
        <f>IF('Scramble Leagues'!$H116="","",'Scramble Leagues'!$C116&amp;"")</f>
        <v/>
      </c>
      <c r="F863">
        <f>IF('Scramble Leagues'!$H116="","",'Scramble Leagues'!$D116&amp;"")</f>
        <v/>
      </c>
      <c r="G863">
        <f>IF('Scramble Leagues'!$H116="","",'Scramble Leagues'!$E116&amp;"")</f>
        <v/>
      </c>
      <c r="J863">
        <f>IF('Scramble Leagues'!$H116="","",'Scramble Leagues'!$F116)</f>
        <v/>
      </c>
      <c r="K863">
        <f>IF('Scramble Leagues'!$H116="","",COUNTIFS('Scramble Leagues'!$A$5:$A$154,'Scramble Leagues'!$A116,'Scramble Leagues'!$F$5:$F$154,'Scramble Leagues'!$F116))</f>
        <v/>
      </c>
      <c r="L863">
        <f>IF('Scramble Leagues'!$H116="","","")</f>
        <v/>
      </c>
      <c r="M863">
        <f>IF('Scramble Leagues'!$H116="","",'Scramble Leagues'!$G116)</f>
        <v/>
      </c>
      <c r="N863">
        <f>IF('Scramble Leagues'!$H116="","",'Scramble Leagues'!$H116)</f>
        <v/>
      </c>
      <c r="O863">
        <f>IF('Scramble Leagues'!$H116="","",'Scramble Leagues'!$H116)</f>
        <v/>
      </c>
      <c r="P863">
        <f>IF('Scramble Leagues'!$H116="","",'Scramble Leagues'!$I116)</f>
        <v/>
      </c>
    </row>
    <row r="864">
      <c r="A864">
        <f>IF('Scramble Leagues'!$H117="","","Scramble League "&amp;'Scramble Leagues'!$A117)</f>
        <v/>
      </c>
      <c r="B864">
        <f>IF('Scramble Leagues'!$H117="","","Scramble League")</f>
        <v/>
      </c>
      <c r="C864" s="18">
        <f>IF('Scramble Leagues'!$H117="","",'Scramble Leagues'!$B117)</f>
        <v/>
      </c>
      <c r="E864">
        <f>IF('Scramble Leagues'!$H117="","",'Scramble Leagues'!$C117&amp;"")</f>
        <v/>
      </c>
      <c r="F864">
        <f>IF('Scramble Leagues'!$H117="","",'Scramble Leagues'!$D117&amp;"")</f>
        <v/>
      </c>
      <c r="G864">
        <f>IF('Scramble Leagues'!$H117="","",'Scramble Leagues'!$E117&amp;"")</f>
        <v/>
      </c>
      <c r="J864">
        <f>IF('Scramble Leagues'!$H117="","",'Scramble Leagues'!$F117)</f>
        <v/>
      </c>
      <c r="K864">
        <f>IF('Scramble Leagues'!$H117="","",COUNTIFS('Scramble Leagues'!$A$5:$A$154,'Scramble Leagues'!$A117,'Scramble Leagues'!$F$5:$F$154,'Scramble Leagues'!$F117))</f>
        <v/>
      </c>
      <c r="L864">
        <f>IF('Scramble Leagues'!$H117="","","")</f>
        <v/>
      </c>
      <c r="M864">
        <f>IF('Scramble Leagues'!$H117="","",'Scramble Leagues'!$G117)</f>
        <v/>
      </c>
      <c r="N864">
        <f>IF('Scramble Leagues'!$H117="","",'Scramble Leagues'!$H117)</f>
        <v/>
      </c>
      <c r="O864">
        <f>IF('Scramble Leagues'!$H117="","",'Scramble Leagues'!$H117)</f>
        <v/>
      </c>
      <c r="P864">
        <f>IF('Scramble Leagues'!$H117="","",'Scramble Leagues'!$I117)</f>
        <v/>
      </c>
    </row>
    <row r="865">
      <c r="A865">
        <f>IF('Scramble Leagues'!$H118="","","Scramble League "&amp;'Scramble Leagues'!$A118)</f>
        <v/>
      </c>
      <c r="B865">
        <f>IF('Scramble Leagues'!$H118="","","Scramble League")</f>
        <v/>
      </c>
      <c r="C865" s="18">
        <f>IF('Scramble Leagues'!$H118="","",'Scramble Leagues'!$B118)</f>
        <v/>
      </c>
      <c r="E865">
        <f>IF('Scramble Leagues'!$H118="","",'Scramble Leagues'!$C118&amp;"")</f>
        <v/>
      </c>
      <c r="F865">
        <f>IF('Scramble Leagues'!$H118="","",'Scramble Leagues'!$D118&amp;"")</f>
        <v/>
      </c>
      <c r="G865">
        <f>IF('Scramble Leagues'!$H118="","",'Scramble Leagues'!$E118&amp;"")</f>
        <v/>
      </c>
      <c r="J865">
        <f>IF('Scramble Leagues'!$H118="","",'Scramble Leagues'!$F118)</f>
        <v/>
      </c>
      <c r="K865">
        <f>IF('Scramble Leagues'!$H118="","",COUNTIFS('Scramble Leagues'!$A$5:$A$154,'Scramble Leagues'!$A118,'Scramble Leagues'!$F$5:$F$154,'Scramble Leagues'!$F118))</f>
        <v/>
      </c>
      <c r="L865">
        <f>IF('Scramble Leagues'!$H118="","","")</f>
        <v/>
      </c>
      <c r="M865">
        <f>IF('Scramble Leagues'!$H118="","",'Scramble Leagues'!$G118)</f>
        <v/>
      </c>
      <c r="N865">
        <f>IF('Scramble Leagues'!$H118="","",'Scramble Leagues'!$H118)</f>
        <v/>
      </c>
      <c r="O865">
        <f>IF('Scramble Leagues'!$H118="","",'Scramble Leagues'!$H118)</f>
        <v/>
      </c>
      <c r="P865">
        <f>IF('Scramble Leagues'!$H118="","",'Scramble Leagues'!$I118)</f>
        <v/>
      </c>
    </row>
    <row r="866">
      <c r="A866">
        <f>IF('Scramble Leagues'!$H119="","","Scramble League "&amp;'Scramble Leagues'!$A119)</f>
        <v/>
      </c>
      <c r="B866">
        <f>IF('Scramble Leagues'!$H119="","","Scramble League")</f>
        <v/>
      </c>
      <c r="C866" s="18">
        <f>IF('Scramble Leagues'!$H119="","",'Scramble Leagues'!$B119)</f>
        <v/>
      </c>
      <c r="E866">
        <f>IF('Scramble Leagues'!$H119="","",'Scramble Leagues'!$C119&amp;"")</f>
        <v/>
      </c>
      <c r="F866">
        <f>IF('Scramble Leagues'!$H119="","",'Scramble Leagues'!$D119&amp;"")</f>
        <v/>
      </c>
      <c r="G866">
        <f>IF('Scramble Leagues'!$H119="","",'Scramble Leagues'!$E119&amp;"")</f>
        <v/>
      </c>
      <c r="J866">
        <f>IF('Scramble Leagues'!$H119="","",'Scramble Leagues'!$F119)</f>
        <v/>
      </c>
      <c r="K866">
        <f>IF('Scramble Leagues'!$H119="","",COUNTIFS('Scramble Leagues'!$A$5:$A$154,'Scramble Leagues'!$A119,'Scramble Leagues'!$F$5:$F$154,'Scramble Leagues'!$F119))</f>
        <v/>
      </c>
      <c r="L866">
        <f>IF('Scramble Leagues'!$H119="","","")</f>
        <v/>
      </c>
      <c r="M866">
        <f>IF('Scramble Leagues'!$H119="","",'Scramble Leagues'!$G119)</f>
        <v/>
      </c>
      <c r="N866">
        <f>IF('Scramble Leagues'!$H119="","",'Scramble Leagues'!$H119)</f>
        <v/>
      </c>
      <c r="O866">
        <f>IF('Scramble Leagues'!$H119="","",'Scramble Leagues'!$H119)</f>
        <v/>
      </c>
      <c r="P866">
        <f>IF('Scramble Leagues'!$H119="","",'Scramble Leagues'!$I119)</f>
        <v/>
      </c>
    </row>
    <row r="867">
      <c r="A867">
        <f>IF('Scramble Leagues'!$H120="","","Scramble League "&amp;'Scramble Leagues'!$A120)</f>
        <v/>
      </c>
      <c r="B867">
        <f>IF('Scramble Leagues'!$H120="","","Scramble League")</f>
        <v/>
      </c>
      <c r="C867" s="18">
        <f>IF('Scramble Leagues'!$H120="","",'Scramble Leagues'!$B120)</f>
        <v/>
      </c>
      <c r="E867">
        <f>IF('Scramble Leagues'!$H120="","",'Scramble Leagues'!$C120&amp;"")</f>
        <v/>
      </c>
      <c r="F867">
        <f>IF('Scramble Leagues'!$H120="","",'Scramble Leagues'!$D120&amp;"")</f>
        <v/>
      </c>
      <c r="G867">
        <f>IF('Scramble Leagues'!$H120="","",'Scramble Leagues'!$E120&amp;"")</f>
        <v/>
      </c>
      <c r="J867">
        <f>IF('Scramble Leagues'!$H120="","",'Scramble Leagues'!$F120)</f>
        <v/>
      </c>
      <c r="K867">
        <f>IF('Scramble Leagues'!$H120="","",COUNTIFS('Scramble Leagues'!$A$5:$A$154,'Scramble Leagues'!$A120,'Scramble Leagues'!$F$5:$F$154,'Scramble Leagues'!$F120))</f>
        <v/>
      </c>
      <c r="L867">
        <f>IF('Scramble Leagues'!$H120="","","")</f>
        <v/>
      </c>
      <c r="M867">
        <f>IF('Scramble Leagues'!$H120="","",'Scramble Leagues'!$G120)</f>
        <v/>
      </c>
      <c r="N867">
        <f>IF('Scramble Leagues'!$H120="","",'Scramble Leagues'!$H120)</f>
        <v/>
      </c>
      <c r="O867">
        <f>IF('Scramble Leagues'!$H120="","",'Scramble Leagues'!$H120)</f>
        <v/>
      </c>
      <c r="P867">
        <f>IF('Scramble Leagues'!$H120="","",'Scramble Leagues'!$I120)</f>
        <v/>
      </c>
    </row>
    <row r="868">
      <c r="A868">
        <f>IF('Scramble Leagues'!$H121="","","Scramble League "&amp;'Scramble Leagues'!$A121)</f>
        <v/>
      </c>
      <c r="B868">
        <f>IF('Scramble Leagues'!$H121="","","Scramble League")</f>
        <v/>
      </c>
      <c r="C868" s="18">
        <f>IF('Scramble Leagues'!$H121="","",'Scramble Leagues'!$B121)</f>
        <v/>
      </c>
      <c r="E868">
        <f>IF('Scramble Leagues'!$H121="","",'Scramble Leagues'!$C121&amp;"")</f>
        <v/>
      </c>
      <c r="F868">
        <f>IF('Scramble Leagues'!$H121="","",'Scramble Leagues'!$D121&amp;"")</f>
        <v/>
      </c>
      <c r="G868">
        <f>IF('Scramble Leagues'!$H121="","",'Scramble Leagues'!$E121&amp;"")</f>
        <v/>
      </c>
      <c r="J868">
        <f>IF('Scramble Leagues'!$H121="","",'Scramble Leagues'!$F121)</f>
        <v/>
      </c>
      <c r="K868">
        <f>IF('Scramble Leagues'!$H121="","",COUNTIFS('Scramble Leagues'!$A$5:$A$154,'Scramble Leagues'!$A121,'Scramble Leagues'!$F$5:$F$154,'Scramble Leagues'!$F121))</f>
        <v/>
      </c>
      <c r="L868">
        <f>IF('Scramble Leagues'!$H121="","","")</f>
        <v/>
      </c>
      <c r="M868">
        <f>IF('Scramble Leagues'!$H121="","",'Scramble Leagues'!$G121)</f>
        <v/>
      </c>
      <c r="N868">
        <f>IF('Scramble Leagues'!$H121="","",'Scramble Leagues'!$H121)</f>
        <v/>
      </c>
      <c r="O868">
        <f>IF('Scramble Leagues'!$H121="","",'Scramble Leagues'!$H121)</f>
        <v/>
      </c>
      <c r="P868">
        <f>IF('Scramble Leagues'!$H121="","",'Scramble Leagues'!$I121)</f>
        <v/>
      </c>
    </row>
    <row r="869">
      <c r="A869">
        <f>IF('Scramble Leagues'!$H122="","","Scramble League "&amp;'Scramble Leagues'!$A122)</f>
        <v/>
      </c>
      <c r="B869">
        <f>IF('Scramble Leagues'!$H122="","","Scramble League")</f>
        <v/>
      </c>
      <c r="C869" s="18">
        <f>IF('Scramble Leagues'!$H122="","",'Scramble Leagues'!$B122)</f>
        <v/>
      </c>
      <c r="E869">
        <f>IF('Scramble Leagues'!$H122="","",'Scramble Leagues'!$C122&amp;"")</f>
        <v/>
      </c>
      <c r="F869">
        <f>IF('Scramble Leagues'!$H122="","",'Scramble Leagues'!$D122&amp;"")</f>
        <v/>
      </c>
      <c r="G869">
        <f>IF('Scramble Leagues'!$H122="","",'Scramble Leagues'!$E122&amp;"")</f>
        <v/>
      </c>
      <c r="J869">
        <f>IF('Scramble Leagues'!$H122="","",'Scramble Leagues'!$F122)</f>
        <v/>
      </c>
      <c r="K869">
        <f>IF('Scramble Leagues'!$H122="","",COUNTIFS('Scramble Leagues'!$A$5:$A$154,'Scramble Leagues'!$A122,'Scramble Leagues'!$F$5:$F$154,'Scramble Leagues'!$F122))</f>
        <v/>
      </c>
      <c r="L869">
        <f>IF('Scramble Leagues'!$H122="","","")</f>
        <v/>
      </c>
      <c r="M869">
        <f>IF('Scramble Leagues'!$H122="","",'Scramble Leagues'!$G122)</f>
        <v/>
      </c>
      <c r="N869">
        <f>IF('Scramble Leagues'!$H122="","",'Scramble Leagues'!$H122)</f>
        <v/>
      </c>
      <c r="O869">
        <f>IF('Scramble Leagues'!$H122="","",'Scramble Leagues'!$H122)</f>
        <v/>
      </c>
      <c r="P869">
        <f>IF('Scramble Leagues'!$H122="","",'Scramble Leagues'!$I122)</f>
        <v/>
      </c>
    </row>
    <row r="870">
      <c r="A870">
        <f>IF('Scramble Leagues'!$H123="","","Scramble League "&amp;'Scramble Leagues'!$A123)</f>
        <v/>
      </c>
      <c r="B870">
        <f>IF('Scramble Leagues'!$H123="","","Scramble League")</f>
        <v/>
      </c>
      <c r="C870" s="18">
        <f>IF('Scramble Leagues'!$H123="","",'Scramble Leagues'!$B123)</f>
        <v/>
      </c>
      <c r="E870">
        <f>IF('Scramble Leagues'!$H123="","",'Scramble Leagues'!$C123&amp;"")</f>
        <v/>
      </c>
      <c r="F870">
        <f>IF('Scramble Leagues'!$H123="","",'Scramble Leagues'!$D123&amp;"")</f>
        <v/>
      </c>
      <c r="G870">
        <f>IF('Scramble Leagues'!$H123="","",'Scramble Leagues'!$E123&amp;"")</f>
        <v/>
      </c>
      <c r="J870">
        <f>IF('Scramble Leagues'!$H123="","",'Scramble Leagues'!$F123)</f>
        <v/>
      </c>
      <c r="K870">
        <f>IF('Scramble Leagues'!$H123="","",COUNTIFS('Scramble Leagues'!$A$5:$A$154,'Scramble Leagues'!$A123,'Scramble Leagues'!$F$5:$F$154,'Scramble Leagues'!$F123))</f>
        <v/>
      </c>
      <c r="L870">
        <f>IF('Scramble Leagues'!$H123="","","")</f>
        <v/>
      </c>
      <c r="M870">
        <f>IF('Scramble Leagues'!$H123="","",'Scramble Leagues'!$G123)</f>
        <v/>
      </c>
      <c r="N870">
        <f>IF('Scramble Leagues'!$H123="","",'Scramble Leagues'!$H123)</f>
        <v/>
      </c>
      <c r="O870">
        <f>IF('Scramble Leagues'!$H123="","",'Scramble Leagues'!$H123)</f>
        <v/>
      </c>
      <c r="P870">
        <f>IF('Scramble Leagues'!$H123="","",'Scramble Leagues'!$I123)</f>
        <v/>
      </c>
    </row>
    <row r="871">
      <c r="A871">
        <f>IF('Scramble Leagues'!$H124="","","Scramble League "&amp;'Scramble Leagues'!$A124)</f>
        <v/>
      </c>
      <c r="B871">
        <f>IF('Scramble Leagues'!$H124="","","Scramble League")</f>
        <v/>
      </c>
      <c r="C871" s="18">
        <f>IF('Scramble Leagues'!$H124="","",'Scramble Leagues'!$B124)</f>
        <v/>
      </c>
      <c r="E871">
        <f>IF('Scramble Leagues'!$H124="","",'Scramble Leagues'!$C124&amp;"")</f>
        <v/>
      </c>
      <c r="F871">
        <f>IF('Scramble Leagues'!$H124="","",'Scramble Leagues'!$D124&amp;"")</f>
        <v/>
      </c>
      <c r="G871">
        <f>IF('Scramble Leagues'!$H124="","",'Scramble Leagues'!$E124&amp;"")</f>
        <v/>
      </c>
      <c r="J871">
        <f>IF('Scramble Leagues'!$H124="","",'Scramble Leagues'!$F124)</f>
        <v/>
      </c>
      <c r="K871">
        <f>IF('Scramble Leagues'!$H124="","",COUNTIFS('Scramble Leagues'!$A$5:$A$154,'Scramble Leagues'!$A124,'Scramble Leagues'!$F$5:$F$154,'Scramble Leagues'!$F124))</f>
        <v/>
      </c>
      <c r="L871">
        <f>IF('Scramble Leagues'!$H124="","","")</f>
        <v/>
      </c>
      <c r="M871">
        <f>IF('Scramble Leagues'!$H124="","",'Scramble Leagues'!$G124)</f>
        <v/>
      </c>
      <c r="N871">
        <f>IF('Scramble Leagues'!$H124="","",'Scramble Leagues'!$H124)</f>
        <v/>
      </c>
      <c r="O871">
        <f>IF('Scramble Leagues'!$H124="","",'Scramble Leagues'!$H124)</f>
        <v/>
      </c>
      <c r="P871">
        <f>IF('Scramble Leagues'!$H124="","",'Scramble Leagues'!$I124)</f>
        <v/>
      </c>
    </row>
    <row r="872">
      <c r="A872">
        <f>IF('Scramble Leagues'!$H125="","","Scramble League "&amp;'Scramble Leagues'!$A125)</f>
        <v/>
      </c>
      <c r="B872">
        <f>IF('Scramble Leagues'!$H125="","","Scramble League")</f>
        <v/>
      </c>
      <c r="C872" s="18">
        <f>IF('Scramble Leagues'!$H125="","",'Scramble Leagues'!$B125)</f>
        <v/>
      </c>
      <c r="E872">
        <f>IF('Scramble Leagues'!$H125="","",'Scramble Leagues'!$C125&amp;"")</f>
        <v/>
      </c>
      <c r="F872">
        <f>IF('Scramble Leagues'!$H125="","",'Scramble Leagues'!$D125&amp;"")</f>
        <v/>
      </c>
      <c r="G872">
        <f>IF('Scramble Leagues'!$H125="","",'Scramble Leagues'!$E125&amp;"")</f>
        <v/>
      </c>
      <c r="J872">
        <f>IF('Scramble Leagues'!$H125="","",'Scramble Leagues'!$F125)</f>
        <v/>
      </c>
      <c r="K872">
        <f>IF('Scramble Leagues'!$H125="","",COUNTIFS('Scramble Leagues'!$A$5:$A$154,'Scramble Leagues'!$A125,'Scramble Leagues'!$F$5:$F$154,'Scramble Leagues'!$F125))</f>
        <v/>
      </c>
      <c r="L872">
        <f>IF('Scramble Leagues'!$H125="","","")</f>
        <v/>
      </c>
      <c r="M872">
        <f>IF('Scramble Leagues'!$H125="","",'Scramble Leagues'!$G125)</f>
        <v/>
      </c>
      <c r="N872">
        <f>IF('Scramble Leagues'!$H125="","",'Scramble Leagues'!$H125)</f>
        <v/>
      </c>
      <c r="O872">
        <f>IF('Scramble Leagues'!$H125="","",'Scramble Leagues'!$H125)</f>
        <v/>
      </c>
      <c r="P872">
        <f>IF('Scramble Leagues'!$H125="","",'Scramble Leagues'!$I125)</f>
        <v/>
      </c>
    </row>
    <row r="873">
      <c r="A873">
        <f>IF('Scramble Leagues'!$H126="","","Scramble League "&amp;'Scramble Leagues'!$A126)</f>
        <v/>
      </c>
      <c r="B873">
        <f>IF('Scramble Leagues'!$H126="","","Scramble League")</f>
        <v/>
      </c>
      <c r="C873" s="18">
        <f>IF('Scramble Leagues'!$H126="","",'Scramble Leagues'!$B126)</f>
        <v/>
      </c>
      <c r="E873">
        <f>IF('Scramble Leagues'!$H126="","",'Scramble Leagues'!$C126&amp;"")</f>
        <v/>
      </c>
      <c r="F873">
        <f>IF('Scramble Leagues'!$H126="","",'Scramble Leagues'!$D126&amp;"")</f>
        <v/>
      </c>
      <c r="G873">
        <f>IF('Scramble Leagues'!$H126="","",'Scramble Leagues'!$E126&amp;"")</f>
        <v/>
      </c>
      <c r="J873">
        <f>IF('Scramble Leagues'!$H126="","",'Scramble Leagues'!$F126)</f>
        <v/>
      </c>
      <c r="K873">
        <f>IF('Scramble Leagues'!$H126="","",COUNTIFS('Scramble Leagues'!$A$5:$A$154,'Scramble Leagues'!$A126,'Scramble Leagues'!$F$5:$F$154,'Scramble Leagues'!$F126))</f>
        <v/>
      </c>
      <c r="L873">
        <f>IF('Scramble Leagues'!$H126="","","")</f>
        <v/>
      </c>
      <c r="M873">
        <f>IF('Scramble Leagues'!$H126="","",'Scramble Leagues'!$G126)</f>
        <v/>
      </c>
      <c r="N873">
        <f>IF('Scramble Leagues'!$H126="","",'Scramble Leagues'!$H126)</f>
        <v/>
      </c>
      <c r="O873">
        <f>IF('Scramble Leagues'!$H126="","",'Scramble Leagues'!$H126)</f>
        <v/>
      </c>
      <c r="P873">
        <f>IF('Scramble Leagues'!$H126="","",'Scramble Leagues'!$I126)</f>
        <v/>
      </c>
    </row>
    <row r="874">
      <c r="A874">
        <f>IF('Scramble Leagues'!$H127="","","Scramble League "&amp;'Scramble Leagues'!$A127)</f>
        <v/>
      </c>
      <c r="B874">
        <f>IF('Scramble Leagues'!$H127="","","Scramble League")</f>
        <v/>
      </c>
      <c r="C874" s="18">
        <f>IF('Scramble Leagues'!$H127="","",'Scramble Leagues'!$B127)</f>
        <v/>
      </c>
      <c r="E874">
        <f>IF('Scramble Leagues'!$H127="","",'Scramble Leagues'!$C127&amp;"")</f>
        <v/>
      </c>
      <c r="F874">
        <f>IF('Scramble Leagues'!$H127="","",'Scramble Leagues'!$D127&amp;"")</f>
        <v/>
      </c>
      <c r="G874">
        <f>IF('Scramble Leagues'!$H127="","",'Scramble Leagues'!$E127&amp;"")</f>
        <v/>
      </c>
      <c r="J874">
        <f>IF('Scramble Leagues'!$H127="","",'Scramble Leagues'!$F127)</f>
        <v/>
      </c>
      <c r="K874">
        <f>IF('Scramble Leagues'!$H127="","",COUNTIFS('Scramble Leagues'!$A$5:$A$154,'Scramble Leagues'!$A127,'Scramble Leagues'!$F$5:$F$154,'Scramble Leagues'!$F127))</f>
        <v/>
      </c>
      <c r="L874">
        <f>IF('Scramble Leagues'!$H127="","","")</f>
        <v/>
      </c>
      <c r="M874">
        <f>IF('Scramble Leagues'!$H127="","",'Scramble Leagues'!$G127)</f>
        <v/>
      </c>
      <c r="N874">
        <f>IF('Scramble Leagues'!$H127="","",'Scramble Leagues'!$H127)</f>
        <v/>
      </c>
      <c r="O874">
        <f>IF('Scramble Leagues'!$H127="","",'Scramble Leagues'!$H127)</f>
        <v/>
      </c>
      <c r="P874">
        <f>IF('Scramble Leagues'!$H127="","",'Scramble Leagues'!$I127)</f>
        <v/>
      </c>
    </row>
    <row r="875">
      <c r="A875">
        <f>IF('Scramble Leagues'!$H128="","","Scramble League "&amp;'Scramble Leagues'!$A128)</f>
        <v/>
      </c>
      <c r="B875">
        <f>IF('Scramble Leagues'!$H128="","","Scramble League")</f>
        <v/>
      </c>
      <c r="C875" s="18">
        <f>IF('Scramble Leagues'!$H128="","",'Scramble Leagues'!$B128)</f>
        <v/>
      </c>
      <c r="E875">
        <f>IF('Scramble Leagues'!$H128="","",'Scramble Leagues'!$C128&amp;"")</f>
        <v/>
      </c>
      <c r="F875">
        <f>IF('Scramble Leagues'!$H128="","",'Scramble Leagues'!$D128&amp;"")</f>
        <v/>
      </c>
      <c r="G875">
        <f>IF('Scramble Leagues'!$H128="","",'Scramble Leagues'!$E128&amp;"")</f>
        <v/>
      </c>
      <c r="J875">
        <f>IF('Scramble Leagues'!$H128="","",'Scramble Leagues'!$F128)</f>
        <v/>
      </c>
      <c r="K875">
        <f>IF('Scramble Leagues'!$H128="","",COUNTIFS('Scramble Leagues'!$A$5:$A$154,'Scramble Leagues'!$A128,'Scramble Leagues'!$F$5:$F$154,'Scramble Leagues'!$F128))</f>
        <v/>
      </c>
      <c r="L875">
        <f>IF('Scramble Leagues'!$H128="","","")</f>
        <v/>
      </c>
      <c r="M875">
        <f>IF('Scramble Leagues'!$H128="","",'Scramble Leagues'!$G128)</f>
        <v/>
      </c>
      <c r="N875">
        <f>IF('Scramble Leagues'!$H128="","",'Scramble Leagues'!$H128)</f>
        <v/>
      </c>
      <c r="O875">
        <f>IF('Scramble Leagues'!$H128="","",'Scramble Leagues'!$H128)</f>
        <v/>
      </c>
      <c r="P875">
        <f>IF('Scramble Leagues'!$H128="","",'Scramble Leagues'!$I128)</f>
        <v/>
      </c>
    </row>
    <row r="876">
      <c r="A876">
        <f>IF('Scramble Leagues'!$H129="","","Scramble League "&amp;'Scramble Leagues'!$A129)</f>
        <v/>
      </c>
      <c r="B876">
        <f>IF('Scramble Leagues'!$H129="","","Scramble League")</f>
        <v/>
      </c>
      <c r="C876" s="18">
        <f>IF('Scramble Leagues'!$H129="","",'Scramble Leagues'!$B129)</f>
        <v/>
      </c>
      <c r="E876">
        <f>IF('Scramble Leagues'!$H129="","",'Scramble Leagues'!$C129&amp;"")</f>
        <v/>
      </c>
      <c r="F876">
        <f>IF('Scramble Leagues'!$H129="","",'Scramble Leagues'!$D129&amp;"")</f>
        <v/>
      </c>
      <c r="G876">
        <f>IF('Scramble Leagues'!$H129="","",'Scramble Leagues'!$E129&amp;"")</f>
        <v/>
      </c>
      <c r="J876">
        <f>IF('Scramble Leagues'!$H129="","",'Scramble Leagues'!$F129)</f>
        <v/>
      </c>
      <c r="K876">
        <f>IF('Scramble Leagues'!$H129="","",COUNTIFS('Scramble Leagues'!$A$5:$A$154,'Scramble Leagues'!$A129,'Scramble Leagues'!$F$5:$F$154,'Scramble Leagues'!$F129))</f>
        <v/>
      </c>
      <c r="L876">
        <f>IF('Scramble Leagues'!$H129="","","")</f>
        <v/>
      </c>
      <c r="M876">
        <f>IF('Scramble Leagues'!$H129="","",'Scramble Leagues'!$G129)</f>
        <v/>
      </c>
      <c r="N876">
        <f>IF('Scramble Leagues'!$H129="","",'Scramble Leagues'!$H129)</f>
        <v/>
      </c>
      <c r="O876">
        <f>IF('Scramble Leagues'!$H129="","",'Scramble Leagues'!$H129)</f>
        <v/>
      </c>
      <c r="P876">
        <f>IF('Scramble Leagues'!$H129="","",'Scramble Leagues'!$I129)</f>
        <v/>
      </c>
    </row>
    <row r="877">
      <c r="A877">
        <f>IF('Scramble Leagues'!$H130="","","Scramble League "&amp;'Scramble Leagues'!$A130)</f>
        <v/>
      </c>
      <c r="B877">
        <f>IF('Scramble Leagues'!$H130="","","Scramble League")</f>
        <v/>
      </c>
      <c r="C877" s="18">
        <f>IF('Scramble Leagues'!$H130="","",'Scramble Leagues'!$B130)</f>
        <v/>
      </c>
      <c r="E877">
        <f>IF('Scramble Leagues'!$H130="","",'Scramble Leagues'!$C130&amp;"")</f>
        <v/>
      </c>
      <c r="F877">
        <f>IF('Scramble Leagues'!$H130="","",'Scramble Leagues'!$D130&amp;"")</f>
        <v/>
      </c>
      <c r="G877">
        <f>IF('Scramble Leagues'!$H130="","",'Scramble Leagues'!$E130&amp;"")</f>
        <v/>
      </c>
      <c r="J877">
        <f>IF('Scramble Leagues'!$H130="","",'Scramble Leagues'!$F130)</f>
        <v/>
      </c>
      <c r="K877">
        <f>IF('Scramble Leagues'!$H130="","",COUNTIFS('Scramble Leagues'!$A$5:$A$154,'Scramble Leagues'!$A130,'Scramble Leagues'!$F$5:$F$154,'Scramble Leagues'!$F130))</f>
        <v/>
      </c>
      <c r="L877">
        <f>IF('Scramble Leagues'!$H130="","","")</f>
        <v/>
      </c>
      <c r="M877">
        <f>IF('Scramble Leagues'!$H130="","",'Scramble Leagues'!$G130)</f>
        <v/>
      </c>
      <c r="N877">
        <f>IF('Scramble Leagues'!$H130="","",'Scramble Leagues'!$H130)</f>
        <v/>
      </c>
      <c r="O877">
        <f>IF('Scramble Leagues'!$H130="","",'Scramble Leagues'!$H130)</f>
        <v/>
      </c>
      <c r="P877">
        <f>IF('Scramble Leagues'!$H130="","",'Scramble Leagues'!$I130)</f>
        <v/>
      </c>
    </row>
    <row r="878">
      <c r="A878">
        <f>IF('Scramble Leagues'!$H131="","","Scramble League "&amp;'Scramble Leagues'!$A131)</f>
        <v/>
      </c>
      <c r="B878">
        <f>IF('Scramble Leagues'!$H131="","","Scramble League")</f>
        <v/>
      </c>
      <c r="C878" s="18">
        <f>IF('Scramble Leagues'!$H131="","",'Scramble Leagues'!$B131)</f>
        <v/>
      </c>
      <c r="E878">
        <f>IF('Scramble Leagues'!$H131="","",'Scramble Leagues'!$C131&amp;"")</f>
        <v/>
      </c>
      <c r="F878">
        <f>IF('Scramble Leagues'!$H131="","",'Scramble Leagues'!$D131&amp;"")</f>
        <v/>
      </c>
      <c r="G878">
        <f>IF('Scramble Leagues'!$H131="","",'Scramble Leagues'!$E131&amp;"")</f>
        <v/>
      </c>
      <c r="J878">
        <f>IF('Scramble Leagues'!$H131="","",'Scramble Leagues'!$F131)</f>
        <v/>
      </c>
      <c r="K878">
        <f>IF('Scramble Leagues'!$H131="","",COUNTIFS('Scramble Leagues'!$A$5:$A$154,'Scramble Leagues'!$A131,'Scramble Leagues'!$F$5:$F$154,'Scramble Leagues'!$F131))</f>
        <v/>
      </c>
      <c r="L878">
        <f>IF('Scramble Leagues'!$H131="","","")</f>
        <v/>
      </c>
      <c r="M878">
        <f>IF('Scramble Leagues'!$H131="","",'Scramble Leagues'!$G131)</f>
        <v/>
      </c>
      <c r="N878">
        <f>IF('Scramble Leagues'!$H131="","",'Scramble Leagues'!$H131)</f>
        <v/>
      </c>
      <c r="O878">
        <f>IF('Scramble Leagues'!$H131="","",'Scramble Leagues'!$H131)</f>
        <v/>
      </c>
      <c r="P878">
        <f>IF('Scramble Leagues'!$H131="","",'Scramble Leagues'!$I131)</f>
        <v/>
      </c>
    </row>
    <row r="879">
      <c r="A879">
        <f>IF('Scramble Leagues'!$H132="","","Scramble League "&amp;'Scramble Leagues'!$A132)</f>
        <v/>
      </c>
      <c r="B879">
        <f>IF('Scramble Leagues'!$H132="","","Scramble League")</f>
        <v/>
      </c>
      <c r="C879" s="18">
        <f>IF('Scramble Leagues'!$H132="","",'Scramble Leagues'!$B132)</f>
        <v/>
      </c>
      <c r="E879">
        <f>IF('Scramble Leagues'!$H132="","",'Scramble Leagues'!$C132&amp;"")</f>
        <v/>
      </c>
      <c r="F879">
        <f>IF('Scramble Leagues'!$H132="","",'Scramble Leagues'!$D132&amp;"")</f>
        <v/>
      </c>
      <c r="G879">
        <f>IF('Scramble Leagues'!$H132="","",'Scramble Leagues'!$E132&amp;"")</f>
        <v/>
      </c>
      <c r="J879">
        <f>IF('Scramble Leagues'!$H132="","",'Scramble Leagues'!$F132)</f>
        <v/>
      </c>
      <c r="K879">
        <f>IF('Scramble Leagues'!$H132="","",COUNTIFS('Scramble Leagues'!$A$5:$A$154,'Scramble Leagues'!$A132,'Scramble Leagues'!$F$5:$F$154,'Scramble Leagues'!$F132))</f>
        <v/>
      </c>
      <c r="L879">
        <f>IF('Scramble Leagues'!$H132="","","")</f>
        <v/>
      </c>
      <c r="M879">
        <f>IF('Scramble Leagues'!$H132="","",'Scramble Leagues'!$G132)</f>
        <v/>
      </c>
      <c r="N879">
        <f>IF('Scramble Leagues'!$H132="","",'Scramble Leagues'!$H132)</f>
        <v/>
      </c>
      <c r="O879">
        <f>IF('Scramble Leagues'!$H132="","",'Scramble Leagues'!$H132)</f>
        <v/>
      </c>
      <c r="P879">
        <f>IF('Scramble Leagues'!$H132="","",'Scramble Leagues'!$I132)</f>
        <v/>
      </c>
    </row>
    <row r="880">
      <c r="A880">
        <f>IF('Scramble Leagues'!$H133="","","Scramble League "&amp;'Scramble Leagues'!$A133)</f>
        <v/>
      </c>
      <c r="B880">
        <f>IF('Scramble Leagues'!$H133="","","Scramble League")</f>
        <v/>
      </c>
      <c r="C880" s="18">
        <f>IF('Scramble Leagues'!$H133="","",'Scramble Leagues'!$B133)</f>
        <v/>
      </c>
      <c r="E880">
        <f>IF('Scramble Leagues'!$H133="","",'Scramble Leagues'!$C133&amp;"")</f>
        <v/>
      </c>
      <c r="F880">
        <f>IF('Scramble Leagues'!$H133="","",'Scramble Leagues'!$D133&amp;"")</f>
        <v/>
      </c>
      <c r="G880">
        <f>IF('Scramble Leagues'!$H133="","",'Scramble Leagues'!$E133&amp;"")</f>
        <v/>
      </c>
      <c r="J880">
        <f>IF('Scramble Leagues'!$H133="","",'Scramble Leagues'!$F133)</f>
        <v/>
      </c>
      <c r="K880">
        <f>IF('Scramble Leagues'!$H133="","",COUNTIFS('Scramble Leagues'!$A$5:$A$154,'Scramble Leagues'!$A133,'Scramble Leagues'!$F$5:$F$154,'Scramble Leagues'!$F133))</f>
        <v/>
      </c>
      <c r="L880">
        <f>IF('Scramble Leagues'!$H133="","","")</f>
        <v/>
      </c>
      <c r="M880">
        <f>IF('Scramble Leagues'!$H133="","",'Scramble Leagues'!$G133)</f>
        <v/>
      </c>
      <c r="N880">
        <f>IF('Scramble Leagues'!$H133="","",'Scramble Leagues'!$H133)</f>
        <v/>
      </c>
      <c r="O880">
        <f>IF('Scramble Leagues'!$H133="","",'Scramble Leagues'!$H133)</f>
        <v/>
      </c>
      <c r="P880">
        <f>IF('Scramble Leagues'!$H133="","",'Scramble Leagues'!$I133)</f>
        <v/>
      </c>
    </row>
    <row r="881">
      <c r="A881">
        <f>IF('Scramble Leagues'!$H134="","","Scramble League "&amp;'Scramble Leagues'!$A134)</f>
        <v/>
      </c>
      <c r="B881">
        <f>IF('Scramble Leagues'!$H134="","","Scramble League")</f>
        <v/>
      </c>
      <c r="C881" s="18">
        <f>IF('Scramble Leagues'!$H134="","",'Scramble Leagues'!$B134)</f>
        <v/>
      </c>
      <c r="E881">
        <f>IF('Scramble Leagues'!$H134="","",'Scramble Leagues'!$C134&amp;"")</f>
        <v/>
      </c>
      <c r="F881">
        <f>IF('Scramble Leagues'!$H134="","",'Scramble Leagues'!$D134&amp;"")</f>
        <v/>
      </c>
      <c r="G881">
        <f>IF('Scramble Leagues'!$H134="","",'Scramble Leagues'!$E134&amp;"")</f>
        <v/>
      </c>
      <c r="J881">
        <f>IF('Scramble Leagues'!$H134="","",'Scramble Leagues'!$F134)</f>
        <v/>
      </c>
      <c r="K881">
        <f>IF('Scramble Leagues'!$H134="","",COUNTIFS('Scramble Leagues'!$A$5:$A$154,'Scramble Leagues'!$A134,'Scramble Leagues'!$F$5:$F$154,'Scramble Leagues'!$F134))</f>
        <v/>
      </c>
      <c r="L881">
        <f>IF('Scramble Leagues'!$H134="","","")</f>
        <v/>
      </c>
      <c r="M881">
        <f>IF('Scramble Leagues'!$H134="","",'Scramble Leagues'!$G134)</f>
        <v/>
      </c>
      <c r="N881">
        <f>IF('Scramble Leagues'!$H134="","",'Scramble Leagues'!$H134)</f>
        <v/>
      </c>
      <c r="O881">
        <f>IF('Scramble Leagues'!$H134="","",'Scramble Leagues'!$H134)</f>
        <v/>
      </c>
      <c r="P881">
        <f>IF('Scramble Leagues'!$H134="","",'Scramble Leagues'!$I134)</f>
        <v/>
      </c>
    </row>
    <row r="882">
      <c r="A882">
        <f>IF('Scramble Leagues'!$H135="","","Scramble League "&amp;'Scramble Leagues'!$A135)</f>
        <v/>
      </c>
      <c r="B882">
        <f>IF('Scramble Leagues'!$H135="","","Scramble League")</f>
        <v/>
      </c>
      <c r="C882" s="18">
        <f>IF('Scramble Leagues'!$H135="","",'Scramble Leagues'!$B135)</f>
        <v/>
      </c>
      <c r="E882">
        <f>IF('Scramble Leagues'!$H135="","",'Scramble Leagues'!$C135&amp;"")</f>
        <v/>
      </c>
      <c r="F882">
        <f>IF('Scramble Leagues'!$H135="","",'Scramble Leagues'!$D135&amp;"")</f>
        <v/>
      </c>
      <c r="G882">
        <f>IF('Scramble Leagues'!$H135="","",'Scramble Leagues'!$E135&amp;"")</f>
        <v/>
      </c>
      <c r="J882">
        <f>IF('Scramble Leagues'!$H135="","",'Scramble Leagues'!$F135)</f>
        <v/>
      </c>
      <c r="K882">
        <f>IF('Scramble Leagues'!$H135="","",COUNTIFS('Scramble Leagues'!$A$5:$A$154,'Scramble Leagues'!$A135,'Scramble Leagues'!$F$5:$F$154,'Scramble Leagues'!$F135))</f>
        <v/>
      </c>
      <c r="L882">
        <f>IF('Scramble Leagues'!$H135="","","")</f>
        <v/>
      </c>
      <c r="M882">
        <f>IF('Scramble Leagues'!$H135="","",'Scramble Leagues'!$G135)</f>
        <v/>
      </c>
      <c r="N882">
        <f>IF('Scramble Leagues'!$H135="","",'Scramble Leagues'!$H135)</f>
        <v/>
      </c>
      <c r="O882">
        <f>IF('Scramble Leagues'!$H135="","",'Scramble Leagues'!$H135)</f>
        <v/>
      </c>
      <c r="P882">
        <f>IF('Scramble Leagues'!$H135="","",'Scramble Leagues'!$I135)</f>
        <v/>
      </c>
    </row>
    <row r="883">
      <c r="A883">
        <f>IF('Scramble Leagues'!$H136="","","Scramble League "&amp;'Scramble Leagues'!$A136)</f>
        <v/>
      </c>
      <c r="B883">
        <f>IF('Scramble Leagues'!$H136="","","Scramble League")</f>
        <v/>
      </c>
      <c r="C883" s="18">
        <f>IF('Scramble Leagues'!$H136="","",'Scramble Leagues'!$B136)</f>
        <v/>
      </c>
      <c r="E883">
        <f>IF('Scramble Leagues'!$H136="","",'Scramble Leagues'!$C136&amp;"")</f>
        <v/>
      </c>
      <c r="F883">
        <f>IF('Scramble Leagues'!$H136="","",'Scramble Leagues'!$D136&amp;"")</f>
        <v/>
      </c>
      <c r="G883">
        <f>IF('Scramble Leagues'!$H136="","",'Scramble Leagues'!$E136&amp;"")</f>
        <v/>
      </c>
      <c r="J883">
        <f>IF('Scramble Leagues'!$H136="","",'Scramble Leagues'!$F136)</f>
        <v/>
      </c>
      <c r="K883">
        <f>IF('Scramble Leagues'!$H136="","",COUNTIFS('Scramble Leagues'!$A$5:$A$154,'Scramble Leagues'!$A136,'Scramble Leagues'!$F$5:$F$154,'Scramble Leagues'!$F136))</f>
        <v/>
      </c>
      <c r="L883">
        <f>IF('Scramble Leagues'!$H136="","","")</f>
        <v/>
      </c>
      <c r="M883">
        <f>IF('Scramble Leagues'!$H136="","",'Scramble Leagues'!$G136)</f>
        <v/>
      </c>
      <c r="N883">
        <f>IF('Scramble Leagues'!$H136="","",'Scramble Leagues'!$H136)</f>
        <v/>
      </c>
      <c r="O883">
        <f>IF('Scramble Leagues'!$H136="","",'Scramble Leagues'!$H136)</f>
        <v/>
      </c>
      <c r="P883">
        <f>IF('Scramble Leagues'!$H136="","",'Scramble Leagues'!$I136)</f>
        <v/>
      </c>
    </row>
    <row r="884">
      <c r="A884">
        <f>IF('Scramble Leagues'!$H137="","","Scramble League "&amp;'Scramble Leagues'!$A137)</f>
        <v/>
      </c>
      <c r="B884">
        <f>IF('Scramble Leagues'!$H137="","","Scramble League")</f>
        <v/>
      </c>
      <c r="C884" s="18">
        <f>IF('Scramble Leagues'!$H137="","",'Scramble Leagues'!$B137)</f>
        <v/>
      </c>
      <c r="E884">
        <f>IF('Scramble Leagues'!$H137="","",'Scramble Leagues'!$C137&amp;"")</f>
        <v/>
      </c>
      <c r="F884">
        <f>IF('Scramble Leagues'!$H137="","",'Scramble Leagues'!$D137&amp;"")</f>
        <v/>
      </c>
      <c r="G884">
        <f>IF('Scramble Leagues'!$H137="","",'Scramble Leagues'!$E137&amp;"")</f>
        <v/>
      </c>
      <c r="J884">
        <f>IF('Scramble Leagues'!$H137="","",'Scramble Leagues'!$F137)</f>
        <v/>
      </c>
      <c r="K884">
        <f>IF('Scramble Leagues'!$H137="","",COUNTIFS('Scramble Leagues'!$A$5:$A$154,'Scramble Leagues'!$A137,'Scramble Leagues'!$F$5:$F$154,'Scramble Leagues'!$F137))</f>
        <v/>
      </c>
      <c r="L884">
        <f>IF('Scramble Leagues'!$H137="","","")</f>
        <v/>
      </c>
      <c r="M884">
        <f>IF('Scramble Leagues'!$H137="","",'Scramble Leagues'!$G137)</f>
        <v/>
      </c>
      <c r="N884">
        <f>IF('Scramble Leagues'!$H137="","",'Scramble Leagues'!$H137)</f>
        <v/>
      </c>
      <c r="O884">
        <f>IF('Scramble Leagues'!$H137="","",'Scramble Leagues'!$H137)</f>
        <v/>
      </c>
      <c r="P884">
        <f>IF('Scramble Leagues'!$H137="","",'Scramble Leagues'!$I137)</f>
        <v/>
      </c>
    </row>
    <row r="885">
      <c r="A885">
        <f>IF('Scramble Leagues'!$H138="","","Scramble League "&amp;'Scramble Leagues'!$A138)</f>
        <v/>
      </c>
      <c r="B885">
        <f>IF('Scramble Leagues'!$H138="","","Scramble League")</f>
        <v/>
      </c>
      <c r="C885" s="18">
        <f>IF('Scramble Leagues'!$H138="","",'Scramble Leagues'!$B138)</f>
        <v/>
      </c>
      <c r="E885">
        <f>IF('Scramble Leagues'!$H138="","",'Scramble Leagues'!$C138&amp;"")</f>
        <v/>
      </c>
      <c r="F885">
        <f>IF('Scramble Leagues'!$H138="","",'Scramble Leagues'!$D138&amp;"")</f>
        <v/>
      </c>
      <c r="G885">
        <f>IF('Scramble Leagues'!$H138="","",'Scramble Leagues'!$E138&amp;"")</f>
        <v/>
      </c>
      <c r="J885">
        <f>IF('Scramble Leagues'!$H138="","",'Scramble Leagues'!$F138)</f>
        <v/>
      </c>
      <c r="K885">
        <f>IF('Scramble Leagues'!$H138="","",COUNTIFS('Scramble Leagues'!$A$5:$A$154,'Scramble Leagues'!$A138,'Scramble Leagues'!$F$5:$F$154,'Scramble Leagues'!$F138))</f>
        <v/>
      </c>
      <c r="L885">
        <f>IF('Scramble Leagues'!$H138="","","")</f>
        <v/>
      </c>
      <c r="M885">
        <f>IF('Scramble Leagues'!$H138="","",'Scramble Leagues'!$G138)</f>
        <v/>
      </c>
      <c r="N885">
        <f>IF('Scramble Leagues'!$H138="","",'Scramble Leagues'!$H138)</f>
        <v/>
      </c>
      <c r="O885">
        <f>IF('Scramble Leagues'!$H138="","",'Scramble Leagues'!$H138)</f>
        <v/>
      </c>
      <c r="P885">
        <f>IF('Scramble Leagues'!$H138="","",'Scramble Leagues'!$I138)</f>
        <v/>
      </c>
    </row>
    <row r="886">
      <c r="A886">
        <f>IF('Scramble Leagues'!$H139="","","Scramble League "&amp;'Scramble Leagues'!$A139)</f>
        <v/>
      </c>
      <c r="B886">
        <f>IF('Scramble Leagues'!$H139="","","Scramble League")</f>
        <v/>
      </c>
      <c r="C886" s="18">
        <f>IF('Scramble Leagues'!$H139="","",'Scramble Leagues'!$B139)</f>
        <v/>
      </c>
      <c r="E886">
        <f>IF('Scramble Leagues'!$H139="","",'Scramble Leagues'!$C139&amp;"")</f>
        <v/>
      </c>
      <c r="F886">
        <f>IF('Scramble Leagues'!$H139="","",'Scramble Leagues'!$D139&amp;"")</f>
        <v/>
      </c>
      <c r="G886">
        <f>IF('Scramble Leagues'!$H139="","",'Scramble Leagues'!$E139&amp;"")</f>
        <v/>
      </c>
      <c r="J886">
        <f>IF('Scramble Leagues'!$H139="","",'Scramble Leagues'!$F139)</f>
        <v/>
      </c>
      <c r="K886">
        <f>IF('Scramble Leagues'!$H139="","",COUNTIFS('Scramble Leagues'!$A$5:$A$154,'Scramble Leagues'!$A139,'Scramble Leagues'!$F$5:$F$154,'Scramble Leagues'!$F139))</f>
        <v/>
      </c>
      <c r="L886">
        <f>IF('Scramble Leagues'!$H139="","","")</f>
        <v/>
      </c>
      <c r="M886">
        <f>IF('Scramble Leagues'!$H139="","",'Scramble Leagues'!$G139)</f>
        <v/>
      </c>
      <c r="N886">
        <f>IF('Scramble Leagues'!$H139="","",'Scramble Leagues'!$H139)</f>
        <v/>
      </c>
      <c r="O886">
        <f>IF('Scramble Leagues'!$H139="","",'Scramble Leagues'!$H139)</f>
        <v/>
      </c>
      <c r="P886">
        <f>IF('Scramble Leagues'!$H139="","",'Scramble Leagues'!$I139)</f>
        <v/>
      </c>
    </row>
    <row r="887">
      <c r="A887">
        <f>IF('Scramble Leagues'!$H140="","","Scramble League "&amp;'Scramble Leagues'!$A140)</f>
        <v/>
      </c>
      <c r="B887">
        <f>IF('Scramble Leagues'!$H140="","","Scramble League")</f>
        <v/>
      </c>
      <c r="C887" s="18">
        <f>IF('Scramble Leagues'!$H140="","",'Scramble Leagues'!$B140)</f>
        <v/>
      </c>
      <c r="E887">
        <f>IF('Scramble Leagues'!$H140="","",'Scramble Leagues'!$C140&amp;"")</f>
        <v/>
      </c>
      <c r="F887">
        <f>IF('Scramble Leagues'!$H140="","",'Scramble Leagues'!$D140&amp;"")</f>
        <v/>
      </c>
      <c r="G887">
        <f>IF('Scramble Leagues'!$H140="","",'Scramble Leagues'!$E140&amp;"")</f>
        <v/>
      </c>
      <c r="J887">
        <f>IF('Scramble Leagues'!$H140="","",'Scramble Leagues'!$F140)</f>
        <v/>
      </c>
      <c r="K887">
        <f>IF('Scramble Leagues'!$H140="","",COUNTIFS('Scramble Leagues'!$A$5:$A$154,'Scramble Leagues'!$A140,'Scramble Leagues'!$F$5:$F$154,'Scramble Leagues'!$F140))</f>
        <v/>
      </c>
      <c r="L887">
        <f>IF('Scramble Leagues'!$H140="","","")</f>
        <v/>
      </c>
      <c r="M887">
        <f>IF('Scramble Leagues'!$H140="","",'Scramble Leagues'!$G140)</f>
        <v/>
      </c>
      <c r="N887">
        <f>IF('Scramble Leagues'!$H140="","",'Scramble Leagues'!$H140)</f>
        <v/>
      </c>
      <c r="O887">
        <f>IF('Scramble Leagues'!$H140="","",'Scramble Leagues'!$H140)</f>
        <v/>
      </c>
      <c r="P887">
        <f>IF('Scramble Leagues'!$H140="","",'Scramble Leagues'!$I140)</f>
        <v/>
      </c>
    </row>
    <row r="888">
      <c r="A888">
        <f>IF('Scramble Leagues'!$H141="","","Scramble League "&amp;'Scramble Leagues'!$A141)</f>
        <v/>
      </c>
      <c r="B888">
        <f>IF('Scramble Leagues'!$H141="","","Scramble League")</f>
        <v/>
      </c>
      <c r="C888" s="18">
        <f>IF('Scramble Leagues'!$H141="","",'Scramble Leagues'!$B141)</f>
        <v/>
      </c>
      <c r="E888">
        <f>IF('Scramble Leagues'!$H141="","",'Scramble Leagues'!$C141&amp;"")</f>
        <v/>
      </c>
      <c r="F888">
        <f>IF('Scramble Leagues'!$H141="","",'Scramble Leagues'!$D141&amp;"")</f>
        <v/>
      </c>
      <c r="G888">
        <f>IF('Scramble Leagues'!$H141="","",'Scramble Leagues'!$E141&amp;"")</f>
        <v/>
      </c>
      <c r="J888">
        <f>IF('Scramble Leagues'!$H141="","",'Scramble Leagues'!$F141)</f>
        <v/>
      </c>
      <c r="K888">
        <f>IF('Scramble Leagues'!$H141="","",COUNTIFS('Scramble Leagues'!$A$5:$A$154,'Scramble Leagues'!$A141,'Scramble Leagues'!$F$5:$F$154,'Scramble Leagues'!$F141))</f>
        <v/>
      </c>
      <c r="L888">
        <f>IF('Scramble Leagues'!$H141="","","")</f>
        <v/>
      </c>
      <c r="M888">
        <f>IF('Scramble Leagues'!$H141="","",'Scramble Leagues'!$G141)</f>
        <v/>
      </c>
      <c r="N888">
        <f>IF('Scramble Leagues'!$H141="","",'Scramble Leagues'!$H141)</f>
        <v/>
      </c>
      <c r="O888">
        <f>IF('Scramble Leagues'!$H141="","",'Scramble Leagues'!$H141)</f>
        <v/>
      </c>
      <c r="P888">
        <f>IF('Scramble Leagues'!$H141="","",'Scramble Leagues'!$I141)</f>
        <v/>
      </c>
    </row>
    <row r="889">
      <c r="A889">
        <f>IF('Scramble Leagues'!$H142="","","Scramble League "&amp;'Scramble Leagues'!$A142)</f>
        <v/>
      </c>
      <c r="B889">
        <f>IF('Scramble Leagues'!$H142="","","Scramble League")</f>
        <v/>
      </c>
      <c r="C889" s="18">
        <f>IF('Scramble Leagues'!$H142="","",'Scramble Leagues'!$B142)</f>
        <v/>
      </c>
      <c r="E889">
        <f>IF('Scramble Leagues'!$H142="","",'Scramble Leagues'!$C142&amp;"")</f>
        <v/>
      </c>
      <c r="F889">
        <f>IF('Scramble Leagues'!$H142="","",'Scramble Leagues'!$D142&amp;"")</f>
        <v/>
      </c>
      <c r="G889">
        <f>IF('Scramble Leagues'!$H142="","",'Scramble Leagues'!$E142&amp;"")</f>
        <v/>
      </c>
      <c r="J889">
        <f>IF('Scramble Leagues'!$H142="","",'Scramble Leagues'!$F142)</f>
        <v/>
      </c>
      <c r="K889">
        <f>IF('Scramble Leagues'!$H142="","",COUNTIFS('Scramble Leagues'!$A$5:$A$154,'Scramble Leagues'!$A142,'Scramble Leagues'!$F$5:$F$154,'Scramble Leagues'!$F142))</f>
        <v/>
      </c>
      <c r="L889">
        <f>IF('Scramble Leagues'!$H142="","","")</f>
        <v/>
      </c>
      <c r="M889">
        <f>IF('Scramble Leagues'!$H142="","",'Scramble Leagues'!$G142)</f>
        <v/>
      </c>
      <c r="N889">
        <f>IF('Scramble Leagues'!$H142="","",'Scramble Leagues'!$H142)</f>
        <v/>
      </c>
      <c r="O889">
        <f>IF('Scramble Leagues'!$H142="","",'Scramble Leagues'!$H142)</f>
        <v/>
      </c>
      <c r="P889">
        <f>IF('Scramble Leagues'!$H142="","",'Scramble Leagues'!$I142)</f>
        <v/>
      </c>
    </row>
    <row r="890">
      <c r="A890">
        <f>IF('Scramble Leagues'!$H143="","","Scramble League "&amp;'Scramble Leagues'!$A143)</f>
        <v/>
      </c>
      <c r="B890">
        <f>IF('Scramble Leagues'!$H143="","","Scramble League")</f>
        <v/>
      </c>
      <c r="C890" s="18">
        <f>IF('Scramble Leagues'!$H143="","",'Scramble Leagues'!$B143)</f>
        <v/>
      </c>
      <c r="E890">
        <f>IF('Scramble Leagues'!$H143="","",'Scramble Leagues'!$C143&amp;"")</f>
        <v/>
      </c>
      <c r="F890">
        <f>IF('Scramble Leagues'!$H143="","",'Scramble Leagues'!$D143&amp;"")</f>
        <v/>
      </c>
      <c r="G890">
        <f>IF('Scramble Leagues'!$H143="","",'Scramble Leagues'!$E143&amp;"")</f>
        <v/>
      </c>
      <c r="J890">
        <f>IF('Scramble Leagues'!$H143="","",'Scramble Leagues'!$F143)</f>
        <v/>
      </c>
      <c r="K890">
        <f>IF('Scramble Leagues'!$H143="","",COUNTIFS('Scramble Leagues'!$A$5:$A$154,'Scramble Leagues'!$A143,'Scramble Leagues'!$F$5:$F$154,'Scramble Leagues'!$F143))</f>
        <v/>
      </c>
      <c r="L890">
        <f>IF('Scramble Leagues'!$H143="","","")</f>
        <v/>
      </c>
      <c r="M890">
        <f>IF('Scramble Leagues'!$H143="","",'Scramble Leagues'!$G143)</f>
        <v/>
      </c>
      <c r="N890">
        <f>IF('Scramble Leagues'!$H143="","",'Scramble Leagues'!$H143)</f>
        <v/>
      </c>
      <c r="O890">
        <f>IF('Scramble Leagues'!$H143="","",'Scramble Leagues'!$H143)</f>
        <v/>
      </c>
      <c r="P890">
        <f>IF('Scramble Leagues'!$H143="","",'Scramble Leagues'!$I143)</f>
        <v/>
      </c>
    </row>
    <row r="891">
      <c r="A891">
        <f>IF('Scramble Leagues'!$H144="","","Scramble League "&amp;'Scramble Leagues'!$A144)</f>
        <v/>
      </c>
      <c r="B891">
        <f>IF('Scramble Leagues'!$H144="","","Scramble League")</f>
        <v/>
      </c>
      <c r="C891" s="18">
        <f>IF('Scramble Leagues'!$H144="","",'Scramble Leagues'!$B144)</f>
        <v/>
      </c>
      <c r="E891">
        <f>IF('Scramble Leagues'!$H144="","",'Scramble Leagues'!$C144&amp;"")</f>
        <v/>
      </c>
      <c r="F891">
        <f>IF('Scramble Leagues'!$H144="","",'Scramble Leagues'!$D144&amp;"")</f>
        <v/>
      </c>
      <c r="G891">
        <f>IF('Scramble Leagues'!$H144="","",'Scramble Leagues'!$E144&amp;"")</f>
        <v/>
      </c>
      <c r="J891">
        <f>IF('Scramble Leagues'!$H144="","",'Scramble Leagues'!$F144)</f>
        <v/>
      </c>
      <c r="K891">
        <f>IF('Scramble Leagues'!$H144="","",COUNTIFS('Scramble Leagues'!$A$5:$A$154,'Scramble Leagues'!$A144,'Scramble Leagues'!$F$5:$F$154,'Scramble Leagues'!$F144))</f>
        <v/>
      </c>
      <c r="L891">
        <f>IF('Scramble Leagues'!$H144="","","")</f>
        <v/>
      </c>
      <c r="M891">
        <f>IF('Scramble Leagues'!$H144="","",'Scramble Leagues'!$G144)</f>
        <v/>
      </c>
      <c r="N891">
        <f>IF('Scramble Leagues'!$H144="","",'Scramble Leagues'!$H144)</f>
        <v/>
      </c>
      <c r="O891">
        <f>IF('Scramble Leagues'!$H144="","",'Scramble Leagues'!$H144)</f>
        <v/>
      </c>
      <c r="P891">
        <f>IF('Scramble Leagues'!$H144="","",'Scramble Leagues'!$I144)</f>
        <v/>
      </c>
    </row>
    <row r="892">
      <c r="A892">
        <f>IF('Scramble Leagues'!$H145="","","Scramble League "&amp;'Scramble Leagues'!$A145)</f>
        <v/>
      </c>
      <c r="B892">
        <f>IF('Scramble Leagues'!$H145="","","Scramble League")</f>
        <v/>
      </c>
      <c r="C892" s="18">
        <f>IF('Scramble Leagues'!$H145="","",'Scramble Leagues'!$B145)</f>
        <v/>
      </c>
      <c r="E892">
        <f>IF('Scramble Leagues'!$H145="","",'Scramble Leagues'!$C145&amp;"")</f>
        <v/>
      </c>
      <c r="F892">
        <f>IF('Scramble Leagues'!$H145="","",'Scramble Leagues'!$D145&amp;"")</f>
        <v/>
      </c>
      <c r="G892">
        <f>IF('Scramble Leagues'!$H145="","",'Scramble Leagues'!$E145&amp;"")</f>
        <v/>
      </c>
      <c r="J892">
        <f>IF('Scramble Leagues'!$H145="","",'Scramble Leagues'!$F145)</f>
        <v/>
      </c>
      <c r="K892">
        <f>IF('Scramble Leagues'!$H145="","",COUNTIFS('Scramble Leagues'!$A$5:$A$154,'Scramble Leagues'!$A145,'Scramble Leagues'!$F$5:$F$154,'Scramble Leagues'!$F145))</f>
        <v/>
      </c>
      <c r="L892">
        <f>IF('Scramble Leagues'!$H145="","","")</f>
        <v/>
      </c>
      <c r="M892">
        <f>IF('Scramble Leagues'!$H145="","",'Scramble Leagues'!$G145)</f>
        <v/>
      </c>
      <c r="N892">
        <f>IF('Scramble Leagues'!$H145="","",'Scramble Leagues'!$H145)</f>
        <v/>
      </c>
      <c r="O892">
        <f>IF('Scramble Leagues'!$H145="","",'Scramble Leagues'!$H145)</f>
        <v/>
      </c>
      <c r="P892">
        <f>IF('Scramble Leagues'!$H145="","",'Scramble Leagues'!$I145)</f>
        <v/>
      </c>
    </row>
    <row r="893">
      <c r="A893">
        <f>IF('Scramble Leagues'!$H146="","","Scramble League "&amp;'Scramble Leagues'!$A146)</f>
        <v/>
      </c>
      <c r="B893">
        <f>IF('Scramble Leagues'!$H146="","","Scramble League")</f>
        <v/>
      </c>
      <c r="C893" s="18">
        <f>IF('Scramble Leagues'!$H146="","",'Scramble Leagues'!$B146)</f>
        <v/>
      </c>
      <c r="E893">
        <f>IF('Scramble Leagues'!$H146="","",'Scramble Leagues'!$C146&amp;"")</f>
        <v/>
      </c>
      <c r="F893">
        <f>IF('Scramble Leagues'!$H146="","",'Scramble Leagues'!$D146&amp;"")</f>
        <v/>
      </c>
      <c r="G893">
        <f>IF('Scramble Leagues'!$H146="","",'Scramble Leagues'!$E146&amp;"")</f>
        <v/>
      </c>
      <c r="J893">
        <f>IF('Scramble Leagues'!$H146="","",'Scramble Leagues'!$F146)</f>
        <v/>
      </c>
      <c r="K893">
        <f>IF('Scramble Leagues'!$H146="","",COUNTIFS('Scramble Leagues'!$A$5:$A$154,'Scramble Leagues'!$A146,'Scramble Leagues'!$F$5:$F$154,'Scramble Leagues'!$F146))</f>
        <v/>
      </c>
      <c r="L893">
        <f>IF('Scramble Leagues'!$H146="","","")</f>
        <v/>
      </c>
      <c r="M893">
        <f>IF('Scramble Leagues'!$H146="","",'Scramble Leagues'!$G146)</f>
        <v/>
      </c>
      <c r="N893">
        <f>IF('Scramble Leagues'!$H146="","",'Scramble Leagues'!$H146)</f>
        <v/>
      </c>
      <c r="O893">
        <f>IF('Scramble Leagues'!$H146="","",'Scramble Leagues'!$H146)</f>
        <v/>
      </c>
      <c r="P893">
        <f>IF('Scramble Leagues'!$H146="","",'Scramble Leagues'!$I146)</f>
        <v/>
      </c>
    </row>
    <row r="894">
      <c r="A894">
        <f>IF('Scramble Leagues'!$H147="","","Scramble League "&amp;'Scramble Leagues'!$A147)</f>
        <v/>
      </c>
      <c r="B894">
        <f>IF('Scramble Leagues'!$H147="","","Scramble League")</f>
        <v/>
      </c>
      <c r="C894" s="18">
        <f>IF('Scramble Leagues'!$H147="","",'Scramble Leagues'!$B147)</f>
        <v/>
      </c>
      <c r="E894">
        <f>IF('Scramble Leagues'!$H147="","",'Scramble Leagues'!$C147&amp;"")</f>
        <v/>
      </c>
      <c r="F894">
        <f>IF('Scramble Leagues'!$H147="","",'Scramble Leagues'!$D147&amp;"")</f>
        <v/>
      </c>
      <c r="G894">
        <f>IF('Scramble Leagues'!$H147="","",'Scramble Leagues'!$E147&amp;"")</f>
        <v/>
      </c>
      <c r="J894">
        <f>IF('Scramble Leagues'!$H147="","",'Scramble Leagues'!$F147)</f>
        <v/>
      </c>
      <c r="K894">
        <f>IF('Scramble Leagues'!$H147="","",COUNTIFS('Scramble Leagues'!$A$5:$A$154,'Scramble Leagues'!$A147,'Scramble Leagues'!$F$5:$F$154,'Scramble Leagues'!$F147))</f>
        <v/>
      </c>
      <c r="L894">
        <f>IF('Scramble Leagues'!$H147="","","")</f>
        <v/>
      </c>
      <c r="M894">
        <f>IF('Scramble Leagues'!$H147="","",'Scramble Leagues'!$G147)</f>
        <v/>
      </c>
      <c r="N894">
        <f>IF('Scramble Leagues'!$H147="","",'Scramble Leagues'!$H147)</f>
        <v/>
      </c>
      <c r="O894">
        <f>IF('Scramble Leagues'!$H147="","",'Scramble Leagues'!$H147)</f>
        <v/>
      </c>
      <c r="P894">
        <f>IF('Scramble Leagues'!$H147="","",'Scramble Leagues'!$I147)</f>
        <v/>
      </c>
    </row>
    <row r="895">
      <c r="A895">
        <f>IF('Scramble Leagues'!$H148="","","Scramble League "&amp;'Scramble Leagues'!$A148)</f>
        <v/>
      </c>
      <c r="B895">
        <f>IF('Scramble Leagues'!$H148="","","Scramble League")</f>
        <v/>
      </c>
      <c r="C895" s="18">
        <f>IF('Scramble Leagues'!$H148="","",'Scramble Leagues'!$B148)</f>
        <v/>
      </c>
      <c r="E895">
        <f>IF('Scramble Leagues'!$H148="","",'Scramble Leagues'!$C148&amp;"")</f>
        <v/>
      </c>
      <c r="F895">
        <f>IF('Scramble Leagues'!$H148="","",'Scramble Leagues'!$D148&amp;"")</f>
        <v/>
      </c>
      <c r="G895">
        <f>IF('Scramble Leagues'!$H148="","",'Scramble Leagues'!$E148&amp;"")</f>
        <v/>
      </c>
      <c r="J895">
        <f>IF('Scramble Leagues'!$H148="","",'Scramble Leagues'!$F148)</f>
        <v/>
      </c>
      <c r="K895">
        <f>IF('Scramble Leagues'!$H148="","",COUNTIFS('Scramble Leagues'!$A$5:$A$154,'Scramble Leagues'!$A148,'Scramble Leagues'!$F$5:$F$154,'Scramble Leagues'!$F148))</f>
        <v/>
      </c>
      <c r="L895">
        <f>IF('Scramble Leagues'!$H148="","","")</f>
        <v/>
      </c>
      <c r="M895">
        <f>IF('Scramble Leagues'!$H148="","",'Scramble Leagues'!$G148)</f>
        <v/>
      </c>
      <c r="N895">
        <f>IF('Scramble Leagues'!$H148="","",'Scramble Leagues'!$H148)</f>
        <v/>
      </c>
      <c r="O895">
        <f>IF('Scramble Leagues'!$H148="","",'Scramble Leagues'!$H148)</f>
        <v/>
      </c>
      <c r="P895">
        <f>IF('Scramble Leagues'!$H148="","",'Scramble Leagues'!$I148)</f>
        <v/>
      </c>
    </row>
    <row r="896">
      <c r="A896">
        <f>IF('Scramble Leagues'!$H149="","","Scramble League "&amp;'Scramble Leagues'!$A149)</f>
        <v/>
      </c>
      <c r="B896">
        <f>IF('Scramble Leagues'!$H149="","","Scramble League")</f>
        <v/>
      </c>
      <c r="C896" s="18">
        <f>IF('Scramble Leagues'!$H149="","",'Scramble Leagues'!$B149)</f>
        <v/>
      </c>
      <c r="E896">
        <f>IF('Scramble Leagues'!$H149="","",'Scramble Leagues'!$C149&amp;"")</f>
        <v/>
      </c>
      <c r="F896">
        <f>IF('Scramble Leagues'!$H149="","",'Scramble Leagues'!$D149&amp;"")</f>
        <v/>
      </c>
      <c r="G896">
        <f>IF('Scramble Leagues'!$H149="","",'Scramble Leagues'!$E149&amp;"")</f>
        <v/>
      </c>
      <c r="J896">
        <f>IF('Scramble Leagues'!$H149="","",'Scramble Leagues'!$F149)</f>
        <v/>
      </c>
      <c r="K896">
        <f>IF('Scramble Leagues'!$H149="","",COUNTIFS('Scramble Leagues'!$A$5:$A$154,'Scramble Leagues'!$A149,'Scramble Leagues'!$F$5:$F$154,'Scramble Leagues'!$F149))</f>
        <v/>
      </c>
      <c r="L896">
        <f>IF('Scramble Leagues'!$H149="","","")</f>
        <v/>
      </c>
      <c r="M896">
        <f>IF('Scramble Leagues'!$H149="","",'Scramble Leagues'!$G149)</f>
        <v/>
      </c>
      <c r="N896">
        <f>IF('Scramble Leagues'!$H149="","",'Scramble Leagues'!$H149)</f>
        <v/>
      </c>
      <c r="O896">
        <f>IF('Scramble Leagues'!$H149="","",'Scramble Leagues'!$H149)</f>
        <v/>
      </c>
      <c r="P896">
        <f>IF('Scramble Leagues'!$H149="","",'Scramble Leagues'!$I149)</f>
        <v/>
      </c>
    </row>
    <row r="897">
      <c r="A897">
        <f>IF('Scramble Leagues'!$H150="","","Scramble League "&amp;'Scramble Leagues'!$A150)</f>
        <v/>
      </c>
      <c r="B897">
        <f>IF('Scramble Leagues'!$H150="","","Scramble League")</f>
        <v/>
      </c>
      <c r="C897" s="18">
        <f>IF('Scramble Leagues'!$H150="","",'Scramble Leagues'!$B150)</f>
        <v/>
      </c>
      <c r="E897">
        <f>IF('Scramble Leagues'!$H150="","",'Scramble Leagues'!$C150&amp;"")</f>
        <v/>
      </c>
      <c r="F897">
        <f>IF('Scramble Leagues'!$H150="","",'Scramble Leagues'!$D150&amp;"")</f>
        <v/>
      </c>
      <c r="G897">
        <f>IF('Scramble Leagues'!$H150="","",'Scramble Leagues'!$E150&amp;"")</f>
        <v/>
      </c>
      <c r="J897">
        <f>IF('Scramble Leagues'!$H150="","",'Scramble Leagues'!$F150)</f>
        <v/>
      </c>
      <c r="K897">
        <f>IF('Scramble Leagues'!$H150="","",COUNTIFS('Scramble Leagues'!$A$5:$A$154,'Scramble Leagues'!$A150,'Scramble Leagues'!$F$5:$F$154,'Scramble Leagues'!$F150))</f>
        <v/>
      </c>
      <c r="L897">
        <f>IF('Scramble Leagues'!$H150="","","")</f>
        <v/>
      </c>
      <c r="M897">
        <f>IF('Scramble Leagues'!$H150="","",'Scramble Leagues'!$G150)</f>
        <v/>
      </c>
      <c r="N897">
        <f>IF('Scramble Leagues'!$H150="","",'Scramble Leagues'!$H150)</f>
        <v/>
      </c>
      <c r="O897">
        <f>IF('Scramble Leagues'!$H150="","",'Scramble Leagues'!$H150)</f>
        <v/>
      </c>
      <c r="P897">
        <f>IF('Scramble Leagues'!$H150="","",'Scramble Leagues'!$I150)</f>
        <v/>
      </c>
    </row>
    <row r="898">
      <c r="A898">
        <f>IF('Scramble Leagues'!$H151="","","Scramble League "&amp;'Scramble Leagues'!$A151)</f>
        <v/>
      </c>
      <c r="B898">
        <f>IF('Scramble Leagues'!$H151="","","Scramble League")</f>
        <v/>
      </c>
      <c r="C898" s="18">
        <f>IF('Scramble Leagues'!$H151="","",'Scramble Leagues'!$B151)</f>
        <v/>
      </c>
      <c r="E898">
        <f>IF('Scramble Leagues'!$H151="","",'Scramble Leagues'!$C151&amp;"")</f>
        <v/>
      </c>
      <c r="F898">
        <f>IF('Scramble Leagues'!$H151="","",'Scramble Leagues'!$D151&amp;"")</f>
        <v/>
      </c>
      <c r="G898">
        <f>IF('Scramble Leagues'!$H151="","",'Scramble Leagues'!$E151&amp;"")</f>
        <v/>
      </c>
      <c r="J898">
        <f>IF('Scramble Leagues'!$H151="","",'Scramble Leagues'!$F151)</f>
        <v/>
      </c>
      <c r="K898">
        <f>IF('Scramble Leagues'!$H151="","",COUNTIFS('Scramble Leagues'!$A$5:$A$154,'Scramble Leagues'!$A151,'Scramble Leagues'!$F$5:$F$154,'Scramble Leagues'!$F151))</f>
        <v/>
      </c>
      <c r="L898">
        <f>IF('Scramble Leagues'!$H151="","","")</f>
        <v/>
      </c>
      <c r="M898">
        <f>IF('Scramble Leagues'!$H151="","",'Scramble Leagues'!$G151)</f>
        <v/>
      </c>
      <c r="N898">
        <f>IF('Scramble Leagues'!$H151="","",'Scramble Leagues'!$H151)</f>
        <v/>
      </c>
      <c r="O898">
        <f>IF('Scramble Leagues'!$H151="","",'Scramble Leagues'!$H151)</f>
        <v/>
      </c>
      <c r="P898">
        <f>IF('Scramble Leagues'!$H151="","",'Scramble Leagues'!$I151)</f>
        <v/>
      </c>
    </row>
    <row r="899">
      <c r="A899">
        <f>IF('Scramble Leagues'!$H152="","","Scramble League "&amp;'Scramble Leagues'!$A152)</f>
        <v/>
      </c>
      <c r="B899">
        <f>IF('Scramble Leagues'!$H152="","","Scramble League")</f>
        <v/>
      </c>
      <c r="C899" s="18">
        <f>IF('Scramble Leagues'!$H152="","",'Scramble Leagues'!$B152)</f>
        <v/>
      </c>
      <c r="E899">
        <f>IF('Scramble Leagues'!$H152="","",'Scramble Leagues'!$C152&amp;"")</f>
        <v/>
      </c>
      <c r="F899">
        <f>IF('Scramble Leagues'!$H152="","",'Scramble Leagues'!$D152&amp;"")</f>
        <v/>
      </c>
      <c r="G899">
        <f>IF('Scramble Leagues'!$H152="","",'Scramble Leagues'!$E152&amp;"")</f>
        <v/>
      </c>
      <c r="J899">
        <f>IF('Scramble Leagues'!$H152="","",'Scramble Leagues'!$F152)</f>
        <v/>
      </c>
      <c r="K899">
        <f>IF('Scramble Leagues'!$H152="","",COUNTIFS('Scramble Leagues'!$A$5:$A$154,'Scramble Leagues'!$A152,'Scramble Leagues'!$F$5:$F$154,'Scramble Leagues'!$F152))</f>
        <v/>
      </c>
      <c r="L899">
        <f>IF('Scramble Leagues'!$H152="","","")</f>
        <v/>
      </c>
      <c r="M899">
        <f>IF('Scramble Leagues'!$H152="","",'Scramble Leagues'!$G152)</f>
        <v/>
      </c>
      <c r="N899">
        <f>IF('Scramble Leagues'!$H152="","",'Scramble Leagues'!$H152)</f>
        <v/>
      </c>
      <c r="O899">
        <f>IF('Scramble Leagues'!$H152="","",'Scramble Leagues'!$H152)</f>
        <v/>
      </c>
      <c r="P899">
        <f>IF('Scramble Leagues'!$H152="","",'Scramble Leagues'!$I152)</f>
        <v/>
      </c>
    </row>
    <row r="900">
      <c r="A900">
        <f>IF('Scramble Leagues'!$H153="","","Scramble League "&amp;'Scramble Leagues'!$A153)</f>
        <v/>
      </c>
      <c r="B900">
        <f>IF('Scramble Leagues'!$H153="","","Scramble League")</f>
        <v/>
      </c>
      <c r="C900" s="18">
        <f>IF('Scramble Leagues'!$H153="","",'Scramble Leagues'!$B153)</f>
        <v/>
      </c>
      <c r="E900">
        <f>IF('Scramble Leagues'!$H153="","",'Scramble Leagues'!$C153&amp;"")</f>
        <v/>
      </c>
      <c r="F900">
        <f>IF('Scramble Leagues'!$H153="","",'Scramble Leagues'!$D153&amp;"")</f>
        <v/>
      </c>
      <c r="G900">
        <f>IF('Scramble Leagues'!$H153="","",'Scramble Leagues'!$E153&amp;"")</f>
        <v/>
      </c>
      <c r="J900">
        <f>IF('Scramble Leagues'!$H153="","",'Scramble Leagues'!$F153)</f>
        <v/>
      </c>
      <c r="K900">
        <f>IF('Scramble Leagues'!$H153="","",COUNTIFS('Scramble Leagues'!$A$5:$A$154,'Scramble Leagues'!$A153,'Scramble Leagues'!$F$5:$F$154,'Scramble Leagues'!$F153))</f>
        <v/>
      </c>
      <c r="L900">
        <f>IF('Scramble Leagues'!$H153="","","")</f>
        <v/>
      </c>
      <c r="M900">
        <f>IF('Scramble Leagues'!$H153="","",'Scramble Leagues'!$G153)</f>
        <v/>
      </c>
      <c r="N900">
        <f>IF('Scramble Leagues'!$H153="","",'Scramble Leagues'!$H153)</f>
        <v/>
      </c>
      <c r="O900">
        <f>IF('Scramble Leagues'!$H153="","",'Scramble Leagues'!$H153)</f>
        <v/>
      </c>
      <c r="P900">
        <f>IF('Scramble Leagues'!$H153="","",'Scramble Leagues'!$I153)</f>
        <v/>
      </c>
    </row>
    <row r="901">
      <c r="A901">
        <f>IF('Scramble Leagues'!$H154="","","Scramble League "&amp;'Scramble Leagues'!$A154)</f>
        <v/>
      </c>
      <c r="B901">
        <f>IF('Scramble Leagues'!$H154="","","Scramble League")</f>
        <v/>
      </c>
      <c r="C901" s="18">
        <f>IF('Scramble Leagues'!$H154="","",'Scramble Leagues'!$B154)</f>
        <v/>
      </c>
      <c r="E901">
        <f>IF('Scramble Leagues'!$H154="","",'Scramble Leagues'!$C154&amp;"")</f>
        <v/>
      </c>
      <c r="F901">
        <f>IF('Scramble Leagues'!$H154="","",'Scramble Leagues'!$D154&amp;"")</f>
        <v/>
      </c>
      <c r="G901">
        <f>IF('Scramble Leagues'!$H154="","",'Scramble Leagues'!$E154&amp;"")</f>
        <v/>
      </c>
      <c r="J901">
        <f>IF('Scramble Leagues'!$H154="","",'Scramble Leagues'!$F154)</f>
        <v/>
      </c>
      <c r="K901">
        <f>IF('Scramble Leagues'!$H154="","",COUNTIFS('Scramble Leagues'!$A$5:$A$154,'Scramble Leagues'!$A154,'Scramble Leagues'!$F$5:$F$154,'Scramble Leagues'!$F154))</f>
        <v/>
      </c>
      <c r="L901">
        <f>IF('Scramble Leagues'!$H154="","","")</f>
        <v/>
      </c>
      <c r="M901">
        <f>IF('Scramble Leagues'!$H154="","",'Scramble Leagues'!$G154)</f>
        <v/>
      </c>
      <c r="N901">
        <f>IF('Scramble Leagues'!$H154="","",'Scramble Leagues'!$H154)</f>
        <v/>
      </c>
      <c r="O901">
        <f>IF('Scramble Leagues'!$H154="","",'Scramble Leagues'!$H154)</f>
        <v/>
      </c>
      <c r="P901">
        <f>IF('Scramble Leagues'!$H154="","",'Scramble Leagues'!$I154)</f>
        <v/>
      </c>
    </row>
    <row r="902">
      <c r="A902">
        <f>IF('Tuesday Leagues'!$J5="","","Tuesday Night League "&amp;'Tuesday Leagues'!$A5)</f>
        <v/>
      </c>
      <c r="B902">
        <f>IF('Tuesday Leagues'!$J5="","","Tuesday Night League")</f>
        <v/>
      </c>
      <c r="C902" s="18">
        <f>IF('Tuesday Leagues'!$J5="","",'Tuesday Leagues'!$B5)</f>
        <v/>
      </c>
      <c r="E902">
        <f>IF('Tuesday Leagues'!$J5="","",'Tuesday Leagues'!$C5&amp;"")</f>
        <v/>
      </c>
      <c r="F902">
        <f>IF('Tuesday Leagues'!$J5="","",'Tuesday Leagues'!$D5&amp;"")</f>
        <v/>
      </c>
      <c r="G902">
        <f>IF('Tuesday Leagues'!$J5="","",'Tuesday Leagues'!$E5&amp;"")</f>
        <v/>
      </c>
      <c r="H902">
        <f>IF('Tuesday Leagues'!$J5="","",'Tuesday Leagues'!$F5&amp;"")</f>
        <v/>
      </c>
      <c r="I902">
        <f>IF('Tuesday Leagues'!$J5="","",'Tuesday Leagues'!$G5&amp;"")</f>
        <v/>
      </c>
      <c r="J902">
        <f>IF('Tuesday Leagues'!$J5="","",'Tuesday Leagues'!$H5)</f>
        <v/>
      </c>
      <c r="K902">
        <f>IF('Tuesday Leagues'!$J5="","",COUNTIFS('Tuesday Leagues'!$A$5:$A$154,'Tuesday Leagues'!$A5,'Tuesday Leagues'!$H$5:$H$154,'Tuesday Leagues'!$H5))</f>
        <v/>
      </c>
      <c r="L902">
        <f>IF('Tuesday Leagues'!$J5="","","")</f>
        <v/>
      </c>
      <c r="M902">
        <f>IF('Tuesday Leagues'!$J5="","",'Tuesday Leagues'!$I5)</f>
        <v/>
      </c>
      <c r="N902">
        <f>IF('Tuesday Leagues'!$J5="","",'Tuesday Leagues'!$J5)</f>
        <v/>
      </c>
      <c r="O902">
        <f>IF('Tuesday Leagues'!$J5="","",'Tuesday Leagues'!$J5)</f>
        <v/>
      </c>
      <c r="P902">
        <f>IF('Tuesday Leagues'!$J5="","",'Tuesday Leagues'!$K5)</f>
        <v/>
      </c>
    </row>
    <row r="903">
      <c r="A903">
        <f>IF('Tuesday Leagues'!$J6="","","Tuesday Night League "&amp;'Tuesday Leagues'!$A6)</f>
        <v/>
      </c>
      <c r="B903">
        <f>IF('Tuesday Leagues'!$J6="","","Tuesday Night League")</f>
        <v/>
      </c>
      <c r="C903" s="18">
        <f>IF('Tuesday Leagues'!$J6="","",'Tuesday Leagues'!$B6)</f>
        <v/>
      </c>
      <c r="E903">
        <f>IF('Tuesday Leagues'!$J6="","",'Tuesday Leagues'!$C6&amp;"")</f>
        <v/>
      </c>
      <c r="F903">
        <f>IF('Tuesday Leagues'!$J6="","",'Tuesday Leagues'!$D6&amp;"")</f>
        <v/>
      </c>
      <c r="G903">
        <f>IF('Tuesday Leagues'!$J6="","",'Tuesday Leagues'!$E6&amp;"")</f>
        <v/>
      </c>
      <c r="H903">
        <f>IF('Tuesday Leagues'!$J6="","",'Tuesday Leagues'!$F6&amp;"")</f>
        <v/>
      </c>
      <c r="I903">
        <f>IF('Tuesday Leagues'!$J6="","",'Tuesday Leagues'!$G6&amp;"")</f>
        <v/>
      </c>
      <c r="J903">
        <f>IF('Tuesday Leagues'!$J6="","",'Tuesday Leagues'!$H6)</f>
        <v/>
      </c>
      <c r="K903">
        <f>IF('Tuesday Leagues'!$J6="","",COUNTIFS('Tuesday Leagues'!$A$5:$A$154,'Tuesday Leagues'!$A6,'Tuesday Leagues'!$H$5:$H$154,'Tuesday Leagues'!$H6))</f>
        <v/>
      </c>
      <c r="L903">
        <f>IF('Tuesday Leagues'!$J6="","","")</f>
        <v/>
      </c>
      <c r="M903">
        <f>IF('Tuesday Leagues'!$J6="","",'Tuesday Leagues'!$I6)</f>
        <v/>
      </c>
      <c r="N903">
        <f>IF('Tuesday Leagues'!$J6="","",'Tuesday Leagues'!$J6)</f>
        <v/>
      </c>
      <c r="O903">
        <f>IF('Tuesday Leagues'!$J6="","",'Tuesday Leagues'!$J6)</f>
        <v/>
      </c>
      <c r="P903">
        <f>IF('Tuesday Leagues'!$J6="","",'Tuesday Leagues'!$K6)</f>
        <v/>
      </c>
    </row>
    <row r="904">
      <c r="A904">
        <f>IF('Tuesday Leagues'!$J7="","","Tuesday Night League "&amp;'Tuesday Leagues'!$A7)</f>
        <v/>
      </c>
      <c r="B904">
        <f>IF('Tuesday Leagues'!$J7="","","Tuesday Night League")</f>
        <v/>
      </c>
      <c r="C904" s="18">
        <f>IF('Tuesday Leagues'!$J7="","",'Tuesday Leagues'!$B7)</f>
        <v/>
      </c>
      <c r="E904">
        <f>IF('Tuesday Leagues'!$J7="","",'Tuesday Leagues'!$C7&amp;"")</f>
        <v/>
      </c>
      <c r="F904">
        <f>IF('Tuesday Leagues'!$J7="","",'Tuesday Leagues'!$D7&amp;"")</f>
        <v/>
      </c>
      <c r="G904">
        <f>IF('Tuesday Leagues'!$J7="","",'Tuesday Leagues'!$E7&amp;"")</f>
        <v/>
      </c>
      <c r="H904">
        <f>IF('Tuesday Leagues'!$J7="","",'Tuesday Leagues'!$F7&amp;"")</f>
        <v/>
      </c>
      <c r="I904">
        <f>IF('Tuesday Leagues'!$J7="","",'Tuesday Leagues'!$G7&amp;"")</f>
        <v/>
      </c>
      <c r="J904">
        <f>IF('Tuesday Leagues'!$J7="","",'Tuesday Leagues'!$H7)</f>
        <v/>
      </c>
      <c r="K904">
        <f>IF('Tuesday Leagues'!$J7="","",COUNTIFS('Tuesday Leagues'!$A$5:$A$154,'Tuesday Leagues'!$A7,'Tuesday Leagues'!$H$5:$H$154,'Tuesday Leagues'!$H7))</f>
        <v/>
      </c>
      <c r="L904">
        <f>IF('Tuesday Leagues'!$J7="","","")</f>
        <v/>
      </c>
      <c r="M904">
        <f>IF('Tuesday Leagues'!$J7="","",'Tuesday Leagues'!$I7)</f>
        <v/>
      </c>
      <c r="N904">
        <f>IF('Tuesday Leagues'!$J7="","",'Tuesday Leagues'!$J7)</f>
        <v/>
      </c>
      <c r="O904">
        <f>IF('Tuesday Leagues'!$J7="","",'Tuesday Leagues'!$J7)</f>
        <v/>
      </c>
      <c r="P904">
        <f>IF('Tuesday Leagues'!$J7="","",'Tuesday Leagues'!$K7)</f>
        <v/>
      </c>
    </row>
    <row r="905">
      <c r="A905">
        <f>IF('Tuesday Leagues'!$J8="","","Tuesday Night League "&amp;'Tuesday Leagues'!$A8)</f>
        <v/>
      </c>
      <c r="B905">
        <f>IF('Tuesday Leagues'!$J8="","","Tuesday Night League")</f>
        <v/>
      </c>
      <c r="C905" s="18">
        <f>IF('Tuesday Leagues'!$J8="","",'Tuesday Leagues'!$B8)</f>
        <v/>
      </c>
      <c r="E905">
        <f>IF('Tuesday Leagues'!$J8="","",'Tuesday Leagues'!$C8&amp;"")</f>
        <v/>
      </c>
      <c r="F905">
        <f>IF('Tuesday Leagues'!$J8="","",'Tuesday Leagues'!$D8&amp;"")</f>
        <v/>
      </c>
      <c r="G905">
        <f>IF('Tuesday Leagues'!$J8="","",'Tuesday Leagues'!$E8&amp;"")</f>
        <v/>
      </c>
      <c r="H905">
        <f>IF('Tuesday Leagues'!$J8="","",'Tuesday Leagues'!$F8&amp;"")</f>
        <v/>
      </c>
      <c r="I905">
        <f>IF('Tuesday Leagues'!$J8="","",'Tuesday Leagues'!$G8&amp;"")</f>
        <v/>
      </c>
      <c r="J905">
        <f>IF('Tuesday Leagues'!$J8="","",'Tuesday Leagues'!$H8)</f>
        <v/>
      </c>
      <c r="K905">
        <f>IF('Tuesday Leagues'!$J8="","",COUNTIFS('Tuesday Leagues'!$A$5:$A$154,'Tuesday Leagues'!$A8,'Tuesday Leagues'!$H$5:$H$154,'Tuesday Leagues'!$H8))</f>
        <v/>
      </c>
      <c r="L905">
        <f>IF('Tuesday Leagues'!$J8="","","")</f>
        <v/>
      </c>
      <c r="M905">
        <f>IF('Tuesday Leagues'!$J8="","",'Tuesday Leagues'!$I8)</f>
        <v/>
      </c>
      <c r="N905">
        <f>IF('Tuesday Leagues'!$J8="","",'Tuesday Leagues'!$J8)</f>
        <v/>
      </c>
      <c r="O905">
        <f>IF('Tuesday Leagues'!$J8="","",'Tuesday Leagues'!$J8)</f>
        <v/>
      </c>
      <c r="P905">
        <f>IF('Tuesday Leagues'!$J8="","",'Tuesday Leagues'!$K8)</f>
        <v/>
      </c>
    </row>
    <row r="906">
      <c r="A906">
        <f>IF('Tuesday Leagues'!$J9="","","Tuesday Night League "&amp;'Tuesday Leagues'!$A9)</f>
        <v/>
      </c>
      <c r="B906">
        <f>IF('Tuesday Leagues'!$J9="","","Tuesday Night League")</f>
        <v/>
      </c>
      <c r="C906" s="18">
        <f>IF('Tuesday Leagues'!$J9="","",'Tuesday Leagues'!$B9)</f>
        <v/>
      </c>
      <c r="E906">
        <f>IF('Tuesday Leagues'!$J9="","",'Tuesday Leagues'!$C9&amp;"")</f>
        <v/>
      </c>
      <c r="F906">
        <f>IF('Tuesday Leagues'!$J9="","",'Tuesday Leagues'!$D9&amp;"")</f>
        <v/>
      </c>
      <c r="G906">
        <f>IF('Tuesday Leagues'!$J9="","",'Tuesday Leagues'!$E9&amp;"")</f>
        <v/>
      </c>
      <c r="H906">
        <f>IF('Tuesday Leagues'!$J9="","",'Tuesday Leagues'!$F9&amp;"")</f>
        <v/>
      </c>
      <c r="I906">
        <f>IF('Tuesday Leagues'!$J9="","",'Tuesday Leagues'!$G9&amp;"")</f>
        <v/>
      </c>
      <c r="J906">
        <f>IF('Tuesday Leagues'!$J9="","",'Tuesday Leagues'!$H9)</f>
        <v/>
      </c>
      <c r="K906">
        <f>IF('Tuesday Leagues'!$J9="","",COUNTIFS('Tuesday Leagues'!$A$5:$A$154,'Tuesday Leagues'!$A9,'Tuesday Leagues'!$H$5:$H$154,'Tuesday Leagues'!$H9))</f>
        <v/>
      </c>
      <c r="L906">
        <f>IF('Tuesday Leagues'!$J9="","","")</f>
        <v/>
      </c>
      <c r="M906">
        <f>IF('Tuesday Leagues'!$J9="","",'Tuesday Leagues'!$I9)</f>
        <v/>
      </c>
      <c r="N906">
        <f>IF('Tuesday Leagues'!$J9="","",'Tuesday Leagues'!$J9)</f>
        <v/>
      </c>
      <c r="O906">
        <f>IF('Tuesday Leagues'!$J9="","",'Tuesday Leagues'!$J9)</f>
        <v/>
      </c>
      <c r="P906">
        <f>IF('Tuesday Leagues'!$J9="","",'Tuesday Leagues'!$K9)</f>
        <v/>
      </c>
    </row>
    <row r="907">
      <c r="A907">
        <f>IF('Tuesday Leagues'!$J10="","","Tuesday Night League "&amp;'Tuesday Leagues'!$A10)</f>
        <v/>
      </c>
      <c r="B907">
        <f>IF('Tuesday Leagues'!$J10="","","Tuesday Night League")</f>
        <v/>
      </c>
      <c r="C907" s="18">
        <f>IF('Tuesday Leagues'!$J10="","",'Tuesday Leagues'!$B10)</f>
        <v/>
      </c>
      <c r="E907">
        <f>IF('Tuesday Leagues'!$J10="","",'Tuesday Leagues'!$C10&amp;"")</f>
        <v/>
      </c>
      <c r="F907">
        <f>IF('Tuesday Leagues'!$J10="","",'Tuesday Leagues'!$D10&amp;"")</f>
        <v/>
      </c>
      <c r="G907">
        <f>IF('Tuesday Leagues'!$J10="","",'Tuesday Leagues'!$E10&amp;"")</f>
        <v/>
      </c>
      <c r="H907">
        <f>IF('Tuesday Leagues'!$J10="","",'Tuesday Leagues'!$F10&amp;"")</f>
        <v/>
      </c>
      <c r="I907">
        <f>IF('Tuesday Leagues'!$J10="","",'Tuesday Leagues'!$G10&amp;"")</f>
        <v/>
      </c>
      <c r="J907">
        <f>IF('Tuesday Leagues'!$J10="","",'Tuesday Leagues'!$H10)</f>
        <v/>
      </c>
      <c r="K907">
        <f>IF('Tuesday Leagues'!$J10="","",COUNTIFS('Tuesday Leagues'!$A$5:$A$154,'Tuesday Leagues'!$A10,'Tuesday Leagues'!$H$5:$H$154,'Tuesday Leagues'!$H10))</f>
        <v/>
      </c>
      <c r="L907">
        <f>IF('Tuesday Leagues'!$J10="","","")</f>
        <v/>
      </c>
      <c r="M907">
        <f>IF('Tuesday Leagues'!$J10="","",'Tuesday Leagues'!$I10)</f>
        <v/>
      </c>
      <c r="N907">
        <f>IF('Tuesday Leagues'!$J10="","",'Tuesday Leagues'!$J10)</f>
        <v/>
      </c>
      <c r="O907">
        <f>IF('Tuesday Leagues'!$J10="","",'Tuesday Leagues'!$J10)</f>
        <v/>
      </c>
      <c r="P907">
        <f>IF('Tuesday Leagues'!$J10="","",'Tuesday Leagues'!$K10)</f>
        <v/>
      </c>
    </row>
    <row r="908">
      <c r="A908">
        <f>IF('Tuesday Leagues'!$J11="","","Tuesday Night League "&amp;'Tuesday Leagues'!$A11)</f>
        <v/>
      </c>
      <c r="B908">
        <f>IF('Tuesday Leagues'!$J11="","","Tuesday Night League")</f>
        <v/>
      </c>
      <c r="C908" s="18">
        <f>IF('Tuesday Leagues'!$J11="","",'Tuesday Leagues'!$B11)</f>
        <v/>
      </c>
      <c r="E908">
        <f>IF('Tuesday Leagues'!$J11="","",'Tuesday Leagues'!$C11&amp;"")</f>
        <v/>
      </c>
      <c r="F908">
        <f>IF('Tuesday Leagues'!$J11="","",'Tuesday Leagues'!$D11&amp;"")</f>
        <v/>
      </c>
      <c r="G908">
        <f>IF('Tuesday Leagues'!$J11="","",'Tuesday Leagues'!$E11&amp;"")</f>
        <v/>
      </c>
      <c r="H908">
        <f>IF('Tuesday Leagues'!$J11="","",'Tuesday Leagues'!$F11&amp;"")</f>
        <v/>
      </c>
      <c r="I908">
        <f>IF('Tuesday Leagues'!$J11="","",'Tuesday Leagues'!$G11&amp;"")</f>
        <v/>
      </c>
      <c r="J908">
        <f>IF('Tuesday Leagues'!$J11="","",'Tuesday Leagues'!$H11)</f>
        <v/>
      </c>
      <c r="K908">
        <f>IF('Tuesday Leagues'!$J11="","",COUNTIFS('Tuesday Leagues'!$A$5:$A$154,'Tuesday Leagues'!$A11,'Tuesday Leagues'!$H$5:$H$154,'Tuesday Leagues'!$H11))</f>
        <v/>
      </c>
      <c r="L908">
        <f>IF('Tuesday Leagues'!$J11="","","")</f>
        <v/>
      </c>
      <c r="M908">
        <f>IF('Tuesday Leagues'!$J11="","",'Tuesday Leagues'!$I11)</f>
        <v/>
      </c>
      <c r="N908">
        <f>IF('Tuesday Leagues'!$J11="","",'Tuesday Leagues'!$J11)</f>
        <v/>
      </c>
      <c r="O908">
        <f>IF('Tuesday Leagues'!$J11="","",'Tuesday Leagues'!$J11)</f>
        <v/>
      </c>
      <c r="P908">
        <f>IF('Tuesday Leagues'!$J11="","",'Tuesday Leagues'!$K11)</f>
        <v/>
      </c>
    </row>
    <row r="909">
      <c r="A909">
        <f>IF('Tuesday Leagues'!$J12="","","Tuesday Night League "&amp;'Tuesday Leagues'!$A12)</f>
        <v/>
      </c>
      <c r="B909">
        <f>IF('Tuesday Leagues'!$J12="","","Tuesday Night League")</f>
        <v/>
      </c>
      <c r="C909" s="18">
        <f>IF('Tuesday Leagues'!$J12="","",'Tuesday Leagues'!$B12)</f>
        <v/>
      </c>
      <c r="E909">
        <f>IF('Tuesday Leagues'!$J12="","",'Tuesday Leagues'!$C12&amp;"")</f>
        <v/>
      </c>
      <c r="F909">
        <f>IF('Tuesday Leagues'!$J12="","",'Tuesday Leagues'!$D12&amp;"")</f>
        <v/>
      </c>
      <c r="G909">
        <f>IF('Tuesday Leagues'!$J12="","",'Tuesday Leagues'!$E12&amp;"")</f>
        <v/>
      </c>
      <c r="H909">
        <f>IF('Tuesday Leagues'!$J12="","",'Tuesday Leagues'!$F12&amp;"")</f>
        <v/>
      </c>
      <c r="I909">
        <f>IF('Tuesday Leagues'!$J12="","",'Tuesday Leagues'!$G12&amp;"")</f>
        <v/>
      </c>
      <c r="J909">
        <f>IF('Tuesday Leagues'!$J12="","",'Tuesday Leagues'!$H12)</f>
        <v/>
      </c>
      <c r="K909">
        <f>IF('Tuesday Leagues'!$J12="","",COUNTIFS('Tuesday Leagues'!$A$5:$A$154,'Tuesday Leagues'!$A12,'Tuesday Leagues'!$H$5:$H$154,'Tuesday Leagues'!$H12))</f>
        <v/>
      </c>
      <c r="L909">
        <f>IF('Tuesday Leagues'!$J12="","","")</f>
        <v/>
      </c>
      <c r="M909">
        <f>IF('Tuesday Leagues'!$J12="","",'Tuesday Leagues'!$I12)</f>
        <v/>
      </c>
      <c r="N909">
        <f>IF('Tuesday Leagues'!$J12="","",'Tuesday Leagues'!$J12)</f>
        <v/>
      </c>
      <c r="O909">
        <f>IF('Tuesday Leagues'!$J12="","",'Tuesday Leagues'!$J12)</f>
        <v/>
      </c>
      <c r="P909">
        <f>IF('Tuesday Leagues'!$J12="","",'Tuesday Leagues'!$K12)</f>
        <v/>
      </c>
    </row>
    <row r="910">
      <c r="A910">
        <f>IF('Tuesday Leagues'!$J13="","","Tuesday Night League "&amp;'Tuesday Leagues'!$A13)</f>
        <v/>
      </c>
      <c r="B910">
        <f>IF('Tuesday Leagues'!$J13="","","Tuesday Night League")</f>
        <v/>
      </c>
      <c r="C910" s="18">
        <f>IF('Tuesday Leagues'!$J13="","",'Tuesday Leagues'!$B13)</f>
        <v/>
      </c>
      <c r="E910">
        <f>IF('Tuesday Leagues'!$J13="","",'Tuesday Leagues'!$C13&amp;"")</f>
        <v/>
      </c>
      <c r="F910">
        <f>IF('Tuesday Leagues'!$J13="","",'Tuesday Leagues'!$D13&amp;"")</f>
        <v/>
      </c>
      <c r="G910">
        <f>IF('Tuesday Leagues'!$J13="","",'Tuesday Leagues'!$E13&amp;"")</f>
        <v/>
      </c>
      <c r="H910">
        <f>IF('Tuesday Leagues'!$J13="","",'Tuesday Leagues'!$F13&amp;"")</f>
        <v/>
      </c>
      <c r="I910">
        <f>IF('Tuesday Leagues'!$J13="","",'Tuesday Leagues'!$G13&amp;"")</f>
        <v/>
      </c>
      <c r="J910">
        <f>IF('Tuesday Leagues'!$J13="","",'Tuesday Leagues'!$H13)</f>
        <v/>
      </c>
      <c r="K910">
        <f>IF('Tuesday Leagues'!$J13="","",COUNTIFS('Tuesday Leagues'!$A$5:$A$154,'Tuesday Leagues'!$A13,'Tuesday Leagues'!$H$5:$H$154,'Tuesday Leagues'!$H13))</f>
        <v/>
      </c>
      <c r="L910">
        <f>IF('Tuesday Leagues'!$J13="","","")</f>
        <v/>
      </c>
      <c r="M910">
        <f>IF('Tuesday Leagues'!$J13="","",'Tuesday Leagues'!$I13)</f>
        <v/>
      </c>
      <c r="N910">
        <f>IF('Tuesday Leagues'!$J13="","",'Tuesday Leagues'!$J13)</f>
        <v/>
      </c>
      <c r="O910">
        <f>IF('Tuesday Leagues'!$J13="","",'Tuesday Leagues'!$J13)</f>
        <v/>
      </c>
      <c r="P910">
        <f>IF('Tuesday Leagues'!$J13="","",'Tuesday Leagues'!$K13)</f>
        <v/>
      </c>
    </row>
    <row r="911">
      <c r="A911">
        <f>IF('Tuesday Leagues'!$J14="","","Tuesday Night League "&amp;'Tuesday Leagues'!$A14)</f>
        <v/>
      </c>
      <c r="B911">
        <f>IF('Tuesday Leagues'!$J14="","","Tuesday Night League")</f>
        <v/>
      </c>
      <c r="C911" s="18">
        <f>IF('Tuesday Leagues'!$J14="","",'Tuesday Leagues'!$B14)</f>
        <v/>
      </c>
      <c r="E911">
        <f>IF('Tuesday Leagues'!$J14="","",'Tuesday Leagues'!$C14&amp;"")</f>
        <v/>
      </c>
      <c r="F911">
        <f>IF('Tuesday Leagues'!$J14="","",'Tuesday Leagues'!$D14&amp;"")</f>
        <v/>
      </c>
      <c r="G911">
        <f>IF('Tuesday Leagues'!$J14="","",'Tuesday Leagues'!$E14&amp;"")</f>
        <v/>
      </c>
      <c r="H911">
        <f>IF('Tuesday Leagues'!$J14="","",'Tuesday Leagues'!$F14&amp;"")</f>
        <v/>
      </c>
      <c r="I911">
        <f>IF('Tuesday Leagues'!$J14="","",'Tuesday Leagues'!$G14&amp;"")</f>
        <v/>
      </c>
      <c r="J911">
        <f>IF('Tuesday Leagues'!$J14="","",'Tuesday Leagues'!$H14)</f>
        <v/>
      </c>
      <c r="K911">
        <f>IF('Tuesday Leagues'!$J14="","",COUNTIFS('Tuesday Leagues'!$A$5:$A$154,'Tuesday Leagues'!$A14,'Tuesday Leagues'!$H$5:$H$154,'Tuesday Leagues'!$H14))</f>
        <v/>
      </c>
      <c r="L911">
        <f>IF('Tuesday Leagues'!$J14="","","")</f>
        <v/>
      </c>
      <c r="M911">
        <f>IF('Tuesday Leagues'!$J14="","",'Tuesday Leagues'!$I14)</f>
        <v/>
      </c>
      <c r="N911">
        <f>IF('Tuesday Leagues'!$J14="","",'Tuesday Leagues'!$J14)</f>
        <v/>
      </c>
      <c r="O911">
        <f>IF('Tuesday Leagues'!$J14="","",'Tuesday Leagues'!$J14)</f>
        <v/>
      </c>
      <c r="P911">
        <f>IF('Tuesday Leagues'!$J14="","",'Tuesday Leagues'!$K14)</f>
        <v/>
      </c>
    </row>
    <row r="912">
      <c r="A912">
        <f>IF('Tuesday Leagues'!$J15="","","Tuesday Night League "&amp;'Tuesday Leagues'!$A15)</f>
        <v/>
      </c>
      <c r="B912">
        <f>IF('Tuesday Leagues'!$J15="","","Tuesday Night League")</f>
        <v/>
      </c>
      <c r="C912" s="18">
        <f>IF('Tuesday Leagues'!$J15="","",'Tuesday Leagues'!$B15)</f>
        <v/>
      </c>
      <c r="E912">
        <f>IF('Tuesday Leagues'!$J15="","",'Tuesday Leagues'!$C15&amp;"")</f>
        <v/>
      </c>
      <c r="F912">
        <f>IF('Tuesday Leagues'!$J15="","",'Tuesday Leagues'!$D15&amp;"")</f>
        <v/>
      </c>
      <c r="G912">
        <f>IF('Tuesday Leagues'!$J15="","",'Tuesday Leagues'!$E15&amp;"")</f>
        <v/>
      </c>
      <c r="H912">
        <f>IF('Tuesday Leagues'!$J15="","",'Tuesday Leagues'!$F15&amp;"")</f>
        <v/>
      </c>
      <c r="I912">
        <f>IF('Tuesday Leagues'!$J15="","",'Tuesday Leagues'!$G15&amp;"")</f>
        <v/>
      </c>
      <c r="J912">
        <f>IF('Tuesday Leagues'!$J15="","",'Tuesday Leagues'!$H15)</f>
        <v/>
      </c>
      <c r="K912">
        <f>IF('Tuesday Leagues'!$J15="","",COUNTIFS('Tuesday Leagues'!$A$5:$A$154,'Tuesday Leagues'!$A15,'Tuesday Leagues'!$H$5:$H$154,'Tuesday Leagues'!$H15))</f>
        <v/>
      </c>
      <c r="L912">
        <f>IF('Tuesday Leagues'!$J15="","","")</f>
        <v/>
      </c>
      <c r="M912">
        <f>IF('Tuesday Leagues'!$J15="","",'Tuesday Leagues'!$I15)</f>
        <v/>
      </c>
      <c r="N912">
        <f>IF('Tuesday Leagues'!$J15="","",'Tuesday Leagues'!$J15)</f>
        <v/>
      </c>
      <c r="O912">
        <f>IF('Tuesday Leagues'!$J15="","",'Tuesday Leagues'!$J15)</f>
        <v/>
      </c>
      <c r="P912">
        <f>IF('Tuesday Leagues'!$J15="","",'Tuesday Leagues'!$K15)</f>
        <v/>
      </c>
    </row>
    <row r="913">
      <c r="A913">
        <f>IF('Tuesday Leagues'!$J16="","","Tuesday Night League "&amp;'Tuesday Leagues'!$A16)</f>
        <v/>
      </c>
      <c r="B913">
        <f>IF('Tuesday Leagues'!$J16="","","Tuesday Night League")</f>
        <v/>
      </c>
      <c r="C913" s="18">
        <f>IF('Tuesday Leagues'!$J16="","",'Tuesday Leagues'!$B16)</f>
        <v/>
      </c>
      <c r="E913">
        <f>IF('Tuesday Leagues'!$J16="","",'Tuesday Leagues'!$C16&amp;"")</f>
        <v/>
      </c>
      <c r="F913">
        <f>IF('Tuesday Leagues'!$J16="","",'Tuesday Leagues'!$D16&amp;"")</f>
        <v/>
      </c>
      <c r="G913">
        <f>IF('Tuesday Leagues'!$J16="","",'Tuesday Leagues'!$E16&amp;"")</f>
        <v/>
      </c>
      <c r="H913">
        <f>IF('Tuesday Leagues'!$J16="","",'Tuesday Leagues'!$F16&amp;"")</f>
        <v/>
      </c>
      <c r="I913">
        <f>IF('Tuesday Leagues'!$J16="","",'Tuesday Leagues'!$G16&amp;"")</f>
        <v/>
      </c>
      <c r="J913">
        <f>IF('Tuesday Leagues'!$J16="","",'Tuesday Leagues'!$H16)</f>
        <v/>
      </c>
      <c r="K913">
        <f>IF('Tuesday Leagues'!$J16="","",COUNTIFS('Tuesday Leagues'!$A$5:$A$154,'Tuesday Leagues'!$A16,'Tuesday Leagues'!$H$5:$H$154,'Tuesday Leagues'!$H16))</f>
        <v/>
      </c>
      <c r="L913">
        <f>IF('Tuesday Leagues'!$J16="","","")</f>
        <v/>
      </c>
      <c r="M913">
        <f>IF('Tuesday Leagues'!$J16="","",'Tuesday Leagues'!$I16)</f>
        <v/>
      </c>
      <c r="N913">
        <f>IF('Tuesday Leagues'!$J16="","",'Tuesday Leagues'!$J16)</f>
        <v/>
      </c>
      <c r="O913">
        <f>IF('Tuesday Leagues'!$J16="","",'Tuesday Leagues'!$J16)</f>
        <v/>
      </c>
      <c r="P913">
        <f>IF('Tuesday Leagues'!$J16="","",'Tuesday Leagues'!$K16)</f>
        <v/>
      </c>
    </row>
    <row r="914">
      <c r="A914">
        <f>IF('Tuesday Leagues'!$J17="","","Tuesday Night League "&amp;'Tuesday Leagues'!$A17)</f>
        <v/>
      </c>
      <c r="B914">
        <f>IF('Tuesday Leagues'!$J17="","","Tuesday Night League")</f>
        <v/>
      </c>
      <c r="C914" s="18">
        <f>IF('Tuesday Leagues'!$J17="","",'Tuesday Leagues'!$B17)</f>
        <v/>
      </c>
      <c r="E914">
        <f>IF('Tuesday Leagues'!$J17="","",'Tuesday Leagues'!$C17&amp;"")</f>
        <v/>
      </c>
      <c r="F914">
        <f>IF('Tuesday Leagues'!$J17="","",'Tuesday Leagues'!$D17&amp;"")</f>
        <v/>
      </c>
      <c r="G914">
        <f>IF('Tuesday Leagues'!$J17="","",'Tuesday Leagues'!$E17&amp;"")</f>
        <v/>
      </c>
      <c r="H914">
        <f>IF('Tuesday Leagues'!$J17="","",'Tuesday Leagues'!$F17&amp;"")</f>
        <v/>
      </c>
      <c r="I914">
        <f>IF('Tuesday Leagues'!$J17="","",'Tuesday Leagues'!$G17&amp;"")</f>
        <v/>
      </c>
      <c r="J914">
        <f>IF('Tuesday Leagues'!$J17="","",'Tuesday Leagues'!$H17)</f>
        <v/>
      </c>
      <c r="K914">
        <f>IF('Tuesday Leagues'!$J17="","",COUNTIFS('Tuesday Leagues'!$A$5:$A$154,'Tuesday Leagues'!$A17,'Tuesday Leagues'!$H$5:$H$154,'Tuesday Leagues'!$H17))</f>
        <v/>
      </c>
      <c r="L914">
        <f>IF('Tuesday Leagues'!$J17="","","")</f>
        <v/>
      </c>
      <c r="M914">
        <f>IF('Tuesday Leagues'!$J17="","",'Tuesday Leagues'!$I17)</f>
        <v/>
      </c>
      <c r="N914">
        <f>IF('Tuesday Leagues'!$J17="","",'Tuesday Leagues'!$J17)</f>
        <v/>
      </c>
      <c r="O914">
        <f>IF('Tuesday Leagues'!$J17="","",'Tuesday Leagues'!$J17)</f>
        <v/>
      </c>
      <c r="P914">
        <f>IF('Tuesday Leagues'!$J17="","",'Tuesday Leagues'!$K17)</f>
        <v/>
      </c>
    </row>
    <row r="915">
      <c r="A915">
        <f>IF('Tuesday Leagues'!$J18="","","Tuesday Night League "&amp;'Tuesday Leagues'!$A18)</f>
        <v/>
      </c>
      <c r="B915">
        <f>IF('Tuesday Leagues'!$J18="","","Tuesday Night League")</f>
        <v/>
      </c>
      <c r="C915" s="18">
        <f>IF('Tuesday Leagues'!$J18="","",'Tuesday Leagues'!$B18)</f>
        <v/>
      </c>
      <c r="E915">
        <f>IF('Tuesday Leagues'!$J18="","",'Tuesday Leagues'!$C18&amp;"")</f>
        <v/>
      </c>
      <c r="F915">
        <f>IF('Tuesday Leagues'!$J18="","",'Tuesday Leagues'!$D18&amp;"")</f>
        <v/>
      </c>
      <c r="G915">
        <f>IF('Tuesday Leagues'!$J18="","",'Tuesday Leagues'!$E18&amp;"")</f>
        <v/>
      </c>
      <c r="H915">
        <f>IF('Tuesday Leagues'!$J18="","",'Tuesday Leagues'!$F18&amp;"")</f>
        <v/>
      </c>
      <c r="I915">
        <f>IF('Tuesday Leagues'!$J18="","",'Tuesday Leagues'!$G18&amp;"")</f>
        <v/>
      </c>
      <c r="J915">
        <f>IF('Tuesday Leagues'!$J18="","",'Tuesday Leagues'!$H18)</f>
        <v/>
      </c>
      <c r="K915">
        <f>IF('Tuesday Leagues'!$J18="","",COUNTIFS('Tuesday Leagues'!$A$5:$A$154,'Tuesday Leagues'!$A18,'Tuesday Leagues'!$H$5:$H$154,'Tuesday Leagues'!$H18))</f>
        <v/>
      </c>
      <c r="L915">
        <f>IF('Tuesday Leagues'!$J18="","","")</f>
        <v/>
      </c>
      <c r="M915">
        <f>IF('Tuesday Leagues'!$J18="","",'Tuesday Leagues'!$I18)</f>
        <v/>
      </c>
      <c r="N915">
        <f>IF('Tuesday Leagues'!$J18="","",'Tuesday Leagues'!$J18)</f>
        <v/>
      </c>
      <c r="O915">
        <f>IF('Tuesday Leagues'!$J18="","",'Tuesday Leagues'!$J18)</f>
        <v/>
      </c>
      <c r="P915">
        <f>IF('Tuesday Leagues'!$J18="","",'Tuesday Leagues'!$K18)</f>
        <v/>
      </c>
    </row>
    <row r="916">
      <c r="A916">
        <f>IF('Tuesday Leagues'!$J19="","","Tuesday Night League "&amp;'Tuesday Leagues'!$A19)</f>
        <v/>
      </c>
      <c r="B916">
        <f>IF('Tuesday Leagues'!$J19="","","Tuesday Night League")</f>
        <v/>
      </c>
      <c r="C916" s="18">
        <f>IF('Tuesday Leagues'!$J19="","",'Tuesday Leagues'!$B19)</f>
        <v/>
      </c>
      <c r="E916">
        <f>IF('Tuesday Leagues'!$J19="","",'Tuesday Leagues'!$C19&amp;"")</f>
        <v/>
      </c>
      <c r="F916">
        <f>IF('Tuesday Leagues'!$J19="","",'Tuesday Leagues'!$D19&amp;"")</f>
        <v/>
      </c>
      <c r="G916">
        <f>IF('Tuesday Leagues'!$J19="","",'Tuesday Leagues'!$E19&amp;"")</f>
        <v/>
      </c>
      <c r="H916">
        <f>IF('Tuesday Leagues'!$J19="","",'Tuesday Leagues'!$F19&amp;"")</f>
        <v/>
      </c>
      <c r="I916">
        <f>IF('Tuesday Leagues'!$J19="","",'Tuesday Leagues'!$G19&amp;"")</f>
        <v/>
      </c>
      <c r="J916">
        <f>IF('Tuesday Leagues'!$J19="","",'Tuesday Leagues'!$H19)</f>
        <v/>
      </c>
      <c r="K916">
        <f>IF('Tuesday Leagues'!$J19="","",COUNTIFS('Tuesday Leagues'!$A$5:$A$154,'Tuesday Leagues'!$A19,'Tuesday Leagues'!$H$5:$H$154,'Tuesday Leagues'!$H19))</f>
        <v/>
      </c>
      <c r="L916">
        <f>IF('Tuesday Leagues'!$J19="","","")</f>
        <v/>
      </c>
      <c r="M916">
        <f>IF('Tuesday Leagues'!$J19="","",'Tuesday Leagues'!$I19)</f>
        <v/>
      </c>
      <c r="N916">
        <f>IF('Tuesday Leagues'!$J19="","",'Tuesday Leagues'!$J19)</f>
        <v/>
      </c>
      <c r="O916">
        <f>IF('Tuesday Leagues'!$J19="","",'Tuesday Leagues'!$J19)</f>
        <v/>
      </c>
      <c r="P916">
        <f>IF('Tuesday Leagues'!$J19="","",'Tuesday Leagues'!$K19)</f>
        <v/>
      </c>
    </row>
    <row r="917">
      <c r="A917">
        <f>IF('Tuesday Leagues'!$J20="","","Tuesday Night League "&amp;'Tuesday Leagues'!$A20)</f>
        <v/>
      </c>
      <c r="B917">
        <f>IF('Tuesday Leagues'!$J20="","","Tuesday Night League")</f>
        <v/>
      </c>
      <c r="C917" s="18">
        <f>IF('Tuesday Leagues'!$J20="","",'Tuesday Leagues'!$B20)</f>
        <v/>
      </c>
      <c r="E917">
        <f>IF('Tuesday Leagues'!$J20="","",'Tuesday Leagues'!$C20&amp;"")</f>
        <v/>
      </c>
      <c r="F917">
        <f>IF('Tuesday Leagues'!$J20="","",'Tuesday Leagues'!$D20&amp;"")</f>
        <v/>
      </c>
      <c r="G917">
        <f>IF('Tuesday Leagues'!$J20="","",'Tuesday Leagues'!$E20&amp;"")</f>
        <v/>
      </c>
      <c r="H917">
        <f>IF('Tuesday Leagues'!$J20="","",'Tuesday Leagues'!$F20&amp;"")</f>
        <v/>
      </c>
      <c r="I917">
        <f>IF('Tuesday Leagues'!$J20="","",'Tuesday Leagues'!$G20&amp;"")</f>
        <v/>
      </c>
      <c r="J917">
        <f>IF('Tuesday Leagues'!$J20="","",'Tuesday Leagues'!$H20)</f>
        <v/>
      </c>
      <c r="K917">
        <f>IF('Tuesday Leagues'!$J20="","",COUNTIFS('Tuesday Leagues'!$A$5:$A$154,'Tuesday Leagues'!$A20,'Tuesday Leagues'!$H$5:$H$154,'Tuesday Leagues'!$H20))</f>
        <v/>
      </c>
      <c r="L917">
        <f>IF('Tuesday Leagues'!$J20="","","")</f>
        <v/>
      </c>
      <c r="M917">
        <f>IF('Tuesday Leagues'!$J20="","",'Tuesday Leagues'!$I20)</f>
        <v/>
      </c>
      <c r="N917">
        <f>IF('Tuesday Leagues'!$J20="","",'Tuesday Leagues'!$J20)</f>
        <v/>
      </c>
      <c r="O917">
        <f>IF('Tuesday Leagues'!$J20="","",'Tuesday Leagues'!$J20)</f>
        <v/>
      </c>
      <c r="P917">
        <f>IF('Tuesday Leagues'!$J20="","",'Tuesday Leagues'!$K20)</f>
        <v/>
      </c>
    </row>
    <row r="918">
      <c r="A918">
        <f>IF('Tuesday Leagues'!$J21="","","Tuesday Night League "&amp;'Tuesday Leagues'!$A21)</f>
        <v/>
      </c>
      <c r="B918">
        <f>IF('Tuesday Leagues'!$J21="","","Tuesday Night League")</f>
        <v/>
      </c>
      <c r="C918" s="18">
        <f>IF('Tuesday Leagues'!$J21="","",'Tuesday Leagues'!$B21)</f>
        <v/>
      </c>
      <c r="E918">
        <f>IF('Tuesday Leagues'!$J21="","",'Tuesday Leagues'!$C21&amp;"")</f>
        <v/>
      </c>
      <c r="F918">
        <f>IF('Tuesday Leagues'!$J21="","",'Tuesday Leagues'!$D21&amp;"")</f>
        <v/>
      </c>
      <c r="G918">
        <f>IF('Tuesday Leagues'!$J21="","",'Tuesday Leagues'!$E21&amp;"")</f>
        <v/>
      </c>
      <c r="H918">
        <f>IF('Tuesday Leagues'!$J21="","",'Tuesday Leagues'!$F21&amp;"")</f>
        <v/>
      </c>
      <c r="I918">
        <f>IF('Tuesday Leagues'!$J21="","",'Tuesday Leagues'!$G21&amp;"")</f>
        <v/>
      </c>
      <c r="J918">
        <f>IF('Tuesday Leagues'!$J21="","",'Tuesday Leagues'!$H21)</f>
        <v/>
      </c>
      <c r="K918">
        <f>IF('Tuesday Leagues'!$J21="","",COUNTIFS('Tuesday Leagues'!$A$5:$A$154,'Tuesday Leagues'!$A21,'Tuesday Leagues'!$H$5:$H$154,'Tuesday Leagues'!$H21))</f>
        <v/>
      </c>
      <c r="L918">
        <f>IF('Tuesday Leagues'!$J21="","","")</f>
        <v/>
      </c>
      <c r="M918">
        <f>IF('Tuesday Leagues'!$J21="","",'Tuesday Leagues'!$I21)</f>
        <v/>
      </c>
      <c r="N918">
        <f>IF('Tuesday Leagues'!$J21="","",'Tuesday Leagues'!$J21)</f>
        <v/>
      </c>
      <c r="O918">
        <f>IF('Tuesday Leagues'!$J21="","",'Tuesday Leagues'!$J21)</f>
        <v/>
      </c>
      <c r="P918">
        <f>IF('Tuesday Leagues'!$J21="","",'Tuesday Leagues'!$K21)</f>
        <v/>
      </c>
    </row>
    <row r="919">
      <c r="A919">
        <f>IF('Tuesday Leagues'!$J22="","","Tuesday Night League "&amp;'Tuesday Leagues'!$A22)</f>
        <v/>
      </c>
      <c r="B919">
        <f>IF('Tuesday Leagues'!$J22="","","Tuesday Night League")</f>
        <v/>
      </c>
      <c r="C919" s="18">
        <f>IF('Tuesday Leagues'!$J22="","",'Tuesday Leagues'!$B22)</f>
        <v/>
      </c>
      <c r="E919">
        <f>IF('Tuesday Leagues'!$J22="","",'Tuesday Leagues'!$C22&amp;"")</f>
        <v/>
      </c>
      <c r="F919">
        <f>IF('Tuesday Leagues'!$J22="","",'Tuesday Leagues'!$D22&amp;"")</f>
        <v/>
      </c>
      <c r="G919">
        <f>IF('Tuesday Leagues'!$J22="","",'Tuesday Leagues'!$E22&amp;"")</f>
        <v/>
      </c>
      <c r="H919">
        <f>IF('Tuesday Leagues'!$J22="","",'Tuesday Leagues'!$F22&amp;"")</f>
        <v/>
      </c>
      <c r="I919">
        <f>IF('Tuesday Leagues'!$J22="","",'Tuesday Leagues'!$G22&amp;"")</f>
        <v/>
      </c>
      <c r="J919">
        <f>IF('Tuesday Leagues'!$J22="","",'Tuesday Leagues'!$H22)</f>
        <v/>
      </c>
      <c r="K919">
        <f>IF('Tuesday Leagues'!$J22="","",COUNTIFS('Tuesday Leagues'!$A$5:$A$154,'Tuesday Leagues'!$A22,'Tuesday Leagues'!$H$5:$H$154,'Tuesday Leagues'!$H22))</f>
        <v/>
      </c>
      <c r="L919">
        <f>IF('Tuesday Leagues'!$J22="","","")</f>
        <v/>
      </c>
      <c r="M919">
        <f>IF('Tuesday Leagues'!$J22="","",'Tuesday Leagues'!$I22)</f>
        <v/>
      </c>
      <c r="N919">
        <f>IF('Tuesday Leagues'!$J22="","",'Tuesday Leagues'!$J22)</f>
        <v/>
      </c>
      <c r="O919">
        <f>IF('Tuesday Leagues'!$J22="","",'Tuesday Leagues'!$J22)</f>
        <v/>
      </c>
      <c r="P919">
        <f>IF('Tuesday Leagues'!$J22="","",'Tuesday Leagues'!$K22)</f>
        <v/>
      </c>
    </row>
    <row r="920">
      <c r="A920">
        <f>IF('Tuesday Leagues'!$J23="","","Tuesday Night League "&amp;'Tuesday Leagues'!$A23)</f>
        <v/>
      </c>
      <c r="B920">
        <f>IF('Tuesday Leagues'!$J23="","","Tuesday Night League")</f>
        <v/>
      </c>
      <c r="C920" s="18">
        <f>IF('Tuesday Leagues'!$J23="","",'Tuesday Leagues'!$B23)</f>
        <v/>
      </c>
      <c r="E920">
        <f>IF('Tuesday Leagues'!$J23="","",'Tuesday Leagues'!$C23&amp;"")</f>
        <v/>
      </c>
      <c r="F920">
        <f>IF('Tuesday Leagues'!$J23="","",'Tuesday Leagues'!$D23&amp;"")</f>
        <v/>
      </c>
      <c r="G920">
        <f>IF('Tuesday Leagues'!$J23="","",'Tuesday Leagues'!$E23&amp;"")</f>
        <v/>
      </c>
      <c r="H920">
        <f>IF('Tuesday Leagues'!$J23="","",'Tuesday Leagues'!$F23&amp;"")</f>
        <v/>
      </c>
      <c r="I920">
        <f>IF('Tuesday Leagues'!$J23="","",'Tuesday Leagues'!$G23&amp;"")</f>
        <v/>
      </c>
      <c r="J920">
        <f>IF('Tuesday Leagues'!$J23="","",'Tuesday Leagues'!$H23)</f>
        <v/>
      </c>
      <c r="K920">
        <f>IF('Tuesday Leagues'!$J23="","",COUNTIFS('Tuesday Leagues'!$A$5:$A$154,'Tuesday Leagues'!$A23,'Tuesday Leagues'!$H$5:$H$154,'Tuesday Leagues'!$H23))</f>
        <v/>
      </c>
      <c r="L920">
        <f>IF('Tuesday Leagues'!$J23="","","")</f>
        <v/>
      </c>
      <c r="M920">
        <f>IF('Tuesday Leagues'!$J23="","",'Tuesday Leagues'!$I23)</f>
        <v/>
      </c>
      <c r="N920">
        <f>IF('Tuesday Leagues'!$J23="","",'Tuesday Leagues'!$J23)</f>
        <v/>
      </c>
      <c r="O920">
        <f>IF('Tuesday Leagues'!$J23="","",'Tuesday Leagues'!$J23)</f>
        <v/>
      </c>
      <c r="P920">
        <f>IF('Tuesday Leagues'!$J23="","",'Tuesday Leagues'!$K23)</f>
        <v/>
      </c>
    </row>
    <row r="921">
      <c r="A921">
        <f>IF('Tuesday Leagues'!$J24="","","Tuesday Night League "&amp;'Tuesday Leagues'!$A24)</f>
        <v/>
      </c>
      <c r="B921">
        <f>IF('Tuesday Leagues'!$J24="","","Tuesday Night League")</f>
        <v/>
      </c>
      <c r="C921" s="18">
        <f>IF('Tuesday Leagues'!$J24="","",'Tuesday Leagues'!$B24)</f>
        <v/>
      </c>
      <c r="E921">
        <f>IF('Tuesday Leagues'!$J24="","",'Tuesday Leagues'!$C24&amp;"")</f>
        <v/>
      </c>
      <c r="F921">
        <f>IF('Tuesday Leagues'!$J24="","",'Tuesday Leagues'!$D24&amp;"")</f>
        <v/>
      </c>
      <c r="G921">
        <f>IF('Tuesday Leagues'!$J24="","",'Tuesday Leagues'!$E24&amp;"")</f>
        <v/>
      </c>
      <c r="H921">
        <f>IF('Tuesday Leagues'!$J24="","",'Tuesday Leagues'!$F24&amp;"")</f>
        <v/>
      </c>
      <c r="I921">
        <f>IF('Tuesday Leagues'!$J24="","",'Tuesday Leagues'!$G24&amp;"")</f>
        <v/>
      </c>
      <c r="J921">
        <f>IF('Tuesday Leagues'!$J24="","",'Tuesday Leagues'!$H24)</f>
        <v/>
      </c>
      <c r="K921">
        <f>IF('Tuesday Leagues'!$J24="","",COUNTIFS('Tuesday Leagues'!$A$5:$A$154,'Tuesday Leagues'!$A24,'Tuesday Leagues'!$H$5:$H$154,'Tuesday Leagues'!$H24))</f>
        <v/>
      </c>
      <c r="L921">
        <f>IF('Tuesday Leagues'!$J24="","","")</f>
        <v/>
      </c>
      <c r="M921">
        <f>IF('Tuesday Leagues'!$J24="","",'Tuesday Leagues'!$I24)</f>
        <v/>
      </c>
      <c r="N921">
        <f>IF('Tuesday Leagues'!$J24="","",'Tuesday Leagues'!$J24)</f>
        <v/>
      </c>
      <c r="O921">
        <f>IF('Tuesday Leagues'!$J24="","",'Tuesday Leagues'!$J24)</f>
        <v/>
      </c>
      <c r="P921">
        <f>IF('Tuesday Leagues'!$J24="","",'Tuesday Leagues'!$K24)</f>
        <v/>
      </c>
    </row>
    <row r="922">
      <c r="A922">
        <f>IF('Tuesday Leagues'!$J25="","","Tuesday Night League "&amp;'Tuesday Leagues'!$A25)</f>
        <v/>
      </c>
      <c r="B922">
        <f>IF('Tuesday Leagues'!$J25="","","Tuesday Night League")</f>
        <v/>
      </c>
      <c r="C922" s="18">
        <f>IF('Tuesday Leagues'!$J25="","",'Tuesday Leagues'!$B25)</f>
        <v/>
      </c>
      <c r="E922">
        <f>IF('Tuesday Leagues'!$J25="","",'Tuesday Leagues'!$C25&amp;"")</f>
        <v/>
      </c>
      <c r="F922">
        <f>IF('Tuesday Leagues'!$J25="","",'Tuesday Leagues'!$D25&amp;"")</f>
        <v/>
      </c>
      <c r="G922">
        <f>IF('Tuesday Leagues'!$J25="","",'Tuesday Leagues'!$E25&amp;"")</f>
        <v/>
      </c>
      <c r="H922">
        <f>IF('Tuesday Leagues'!$J25="","",'Tuesday Leagues'!$F25&amp;"")</f>
        <v/>
      </c>
      <c r="I922">
        <f>IF('Tuesday Leagues'!$J25="","",'Tuesday Leagues'!$G25&amp;"")</f>
        <v/>
      </c>
      <c r="J922">
        <f>IF('Tuesday Leagues'!$J25="","",'Tuesday Leagues'!$H25)</f>
        <v/>
      </c>
      <c r="K922">
        <f>IF('Tuesday Leagues'!$J25="","",COUNTIFS('Tuesday Leagues'!$A$5:$A$154,'Tuesday Leagues'!$A25,'Tuesday Leagues'!$H$5:$H$154,'Tuesday Leagues'!$H25))</f>
        <v/>
      </c>
      <c r="L922">
        <f>IF('Tuesday Leagues'!$J25="","","")</f>
        <v/>
      </c>
      <c r="M922">
        <f>IF('Tuesday Leagues'!$J25="","",'Tuesday Leagues'!$I25)</f>
        <v/>
      </c>
      <c r="N922">
        <f>IF('Tuesday Leagues'!$J25="","",'Tuesday Leagues'!$J25)</f>
        <v/>
      </c>
      <c r="O922">
        <f>IF('Tuesday Leagues'!$J25="","",'Tuesday Leagues'!$J25)</f>
        <v/>
      </c>
      <c r="P922">
        <f>IF('Tuesday Leagues'!$J25="","",'Tuesday Leagues'!$K25)</f>
        <v/>
      </c>
    </row>
    <row r="923">
      <c r="A923">
        <f>IF('Tuesday Leagues'!$J26="","","Tuesday Night League "&amp;'Tuesday Leagues'!$A26)</f>
        <v/>
      </c>
      <c r="B923">
        <f>IF('Tuesday Leagues'!$J26="","","Tuesday Night League")</f>
        <v/>
      </c>
      <c r="C923" s="18">
        <f>IF('Tuesday Leagues'!$J26="","",'Tuesday Leagues'!$B26)</f>
        <v/>
      </c>
      <c r="E923">
        <f>IF('Tuesday Leagues'!$J26="","",'Tuesday Leagues'!$C26&amp;"")</f>
        <v/>
      </c>
      <c r="F923">
        <f>IF('Tuesday Leagues'!$J26="","",'Tuesday Leagues'!$D26&amp;"")</f>
        <v/>
      </c>
      <c r="G923">
        <f>IF('Tuesday Leagues'!$J26="","",'Tuesday Leagues'!$E26&amp;"")</f>
        <v/>
      </c>
      <c r="H923">
        <f>IF('Tuesday Leagues'!$J26="","",'Tuesday Leagues'!$F26&amp;"")</f>
        <v/>
      </c>
      <c r="I923">
        <f>IF('Tuesday Leagues'!$J26="","",'Tuesday Leagues'!$G26&amp;"")</f>
        <v/>
      </c>
      <c r="J923">
        <f>IF('Tuesday Leagues'!$J26="","",'Tuesday Leagues'!$H26)</f>
        <v/>
      </c>
      <c r="K923">
        <f>IF('Tuesday Leagues'!$J26="","",COUNTIFS('Tuesday Leagues'!$A$5:$A$154,'Tuesday Leagues'!$A26,'Tuesday Leagues'!$H$5:$H$154,'Tuesday Leagues'!$H26))</f>
        <v/>
      </c>
      <c r="L923">
        <f>IF('Tuesday Leagues'!$J26="","","")</f>
        <v/>
      </c>
      <c r="M923">
        <f>IF('Tuesday Leagues'!$J26="","",'Tuesday Leagues'!$I26)</f>
        <v/>
      </c>
      <c r="N923">
        <f>IF('Tuesday Leagues'!$J26="","",'Tuesday Leagues'!$J26)</f>
        <v/>
      </c>
      <c r="O923">
        <f>IF('Tuesday Leagues'!$J26="","",'Tuesday Leagues'!$J26)</f>
        <v/>
      </c>
      <c r="P923">
        <f>IF('Tuesday Leagues'!$J26="","",'Tuesday Leagues'!$K26)</f>
        <v/>
      </c>
    </row>
    <row r="924">
      <c r="A924">
        <f>IF('Tuesday Leagues'!$J27="","","Tuesday Night League "&amp;'Tuesday Leagues'!$A27)</f>
        <v/>
      </c>
      <c r="B924">
        <f>IF('Tuesday Leagues'!$J27="","","Tuesday Night League")</f>
        <v/>
      </c>
      <c r="C924" s="18">
        <f>IF('Tuesday Leagues'!$J27="","",'Tuesday Leagues'!$B27)</f>
        <v/>
      </c>
      <c r="E924">
        <f>IF('Tuesday Leagues'!$J27="","",'Tuesday Leagues'!$C27&amp;"")</f>
        <v/>
      </c>
      <c r="F924">
        <f>IF('Tuesday Leagues'!$J27="","",'Tuesday Leagues'!$D27&amp;"")</f>
        <v/>
      </c>
      <c r="G924">
        <f>IF('Tuesday Leagues'!$J27="","",'Tuesday Leagues'!$E27&amp;"")</f>
        <v/>
      </c>
      <c r="H924">
        <f>IF('Tuesday Leagues'!$J27="","",'Tuesday Leagues'!$F27&amp;"")</f>
        <v/>
      </c>
      <c r="I924">
        <f>IF('Tuesday Leagues'!$J27="","",'Tuesday Leagues'!$G27&amp;"")</f>
        <v/>
      </c>
      <c r="J924">
        <f>IF('Tuesday Leagues'!$J27="","",'Tuesday Leagues'!$H27)</f>
        <v/>
      </c>
      <c r="K924">
        <f>IF('Tuesday Leagues'!$J27="","",COUNTIFS('Tuesday Leagues'!$A$5:$A$154,'Tuesday Leagues'!$A27,'Tuesday Leagues'!$H$5:$H$154,'Tuesday Leagues'!$H27))</f>
        <v/>
      </c>
      <c r="L924">
        <f>IF('Tuesday Leagues'!$J27="","","")</f>
        <v/>
      </c>
      <c r="M924">
        <f>IF('Tuesday Leagues'!$J27="","",'Tuesday Leagues'!$I27)</f>
        <v/>
      </c>
      <c r="N924">
        <f>IF('Tuesday Leagues'!$J27="","",'Tuesday Leagues'!$J27)</f>
        <v/>
      </c>
      <c r="O924">
        <f>IF('Tuesday Leagues'!$J27="","",'Tuesday Leagues'!$J27)</f>
        <v/>
      </c>
      <c r="P924">
        <f>IF('Tuesday Leagues'!$J27="","",'Tuesday Leagues'!$K27)</f>
        <v/>
      </c>
    </row>
    <row r="925">
      <c r="A925">
        <f>IF('Tuesday Leagues'!$J28="","","Tuesday Night League "&amp;'Tuesday Leagues'!$A28)</f>
        <v/>
      </c>
      <c r="B925">
        <f>IF('Tuesday Leagues'!$J28="","","Tuesday Night League")</f>
        <v/>
      </c>
      <c r="C925" s="18">
        <f>IF('Tuesday Leagues'!$J28="","",'Tuesday Leagues'!$B28)</f>
        <v/>
      </c>
      <c r="E925">
        <f>IF('Tuesday Leagues'!$J28="","",'Tuesday Leagues'!$C28&amp;"")</f>
        <v/>
      </c>
      <c r="F925">
        <f>IF('Tuesday Leagues'!$J28="","",'Tuesday Leagues'!$D28&amp;"")</f>
        <v/>
      </c>
      <c r="G925">
        <f>IF('Tuesday Leagues'!$J28="","",'Tuesday Leagues'!$E28&amp;"")</f>
        <v/>
      </c>
      <c r="H925">
        <f>IF('Tuesday Leagues'!$J28="","",'Tuesday Leagues'!$F28&amp;"")</f>
        <v/>
      </c>
      <c r="I925">
        <f>IF('Tuesday Leagues'!$J28="","",'Tuesday Leagues'!$G28&amp;"")</f>
        <v/>
      </c>
      <c r="J925">
        <f>IF('Tuesday Leagues'!$J28="","",'Tuesday Leagues'!$H28)</f>
        <v/>
      </c>
      <c r="K925">
        <f>IF('Tuesday Leagues'!$J28="","",COUNTIFS('Tuesday Leagues'!$A$5:$A$154,'Tuesday Leagues'!$A28,'Tuesday Leagues'!$H$5:$H$154,'Tuesday Leagues'!$H28))</f>
        <v/>
      </c>
      <c r="L925">
        <f>IF('Tuesday Leagues'!$J28="","","")</f>
        <v/>
      </c>
      <c r="M925">
        <f>IF('Tuesday Leagues'!$J28="","",'Tuesday Leagues'!$I28)</f>
        <v/>
      </c>
      <c r="N925">
        <f>IF('Tuesday Leagues'!$J28="","",'Tuesday Leagues'!$J28)</f>
        <v/>
      </c>
      <c r="O925">
        <f>IF('Tuesday Leagues'!$J28="","",'Tuesday Leagues'!$J28)</f>
        <v/>
      </c>
      <c r="P925">
        <f>IF('Tuesday Leagues'!$J28="","",'Tuesday Leagues'!$K28)</f>
        <v/>
      </c>
    </row>
    <row r="926">
      <c r="A926">
        <f>IF('Tuesday Leagues'!$J29="","","Tuesday Night League "&amp;'Tuesday Leagues'!$A29)</f>
        <v/>
      </c>
      <c r="B926">
        <f>IF('Tuesday Leagues'!$J29="","","Tuesday Night League")</f>
        <v/>
      </c>
      <c r="C926" s="18">
        <f>IF('Tuesday Leagues'!$J29="","",'Tuesday Leagues'!$B29)</f>
        <v/>
      </c>
      <c r="E926">
        <f>IF('Tuesday Leagues'!$J29="","",'Tuesday Leagues'!$C29&amp;"")</f>
        <v/>
      </c>
      <c r="F926">
        <f>IF('Tuesday Leagues'!$J29="","",'Tuesday Leagues'!$D29&amp;"")</f>
        <v/>
      </c>
      <c r="G926">
        <f>IF('Tuesday Leagues'!$J29="","",'Tuesday Leagues'!$E29&amp;"")</f>
        <v/>
      </c>
      <c r="H926">
        <f>IF('Tuesday Leagues'!$J29="","",'Tuesday Leagues'!$F29&amp;"")</f>
        <v/>
      </c>
      <c r="I926">
        <f>IF('Tuesday Leagues'!$J29="","",'Tuesday Leagues'!$G29&amp;"")</f>
        <v/>
      </c>
      <c r="J926">
        <f>IF('Tuesday Leagues'!$J29="","",'Tuesday Leagues'!$H29)</f>
        <v/>
      </c>
      <c r="K926">
        <f>IF('Tuesday Leagues'!$J29="","",COUNTIFS('Tuesday Leagues'!$A$5:$A$154,'Tuesday Leagues'!$A29,'Tuesday Leagues'!$H$5:$H$154,'Tuesday Leagues'!$H29))</f>
        <v/>
      </c>
      <c r="L926">
        <f>IF('Tuesday Leagues'!$J29="","","")</f>
        <v/>
      </c>
      <c r="M926">
        <f>IF('Tuesday Leagues'!$J29="","",'Tuesday Leagues'!$I29)</f>
        <v/>
      </c>
      <c r="N926">
        <f>IF('Tuesday Leagues'!$J29="","",'Tuesday Leagues'!$J29)</f>
        <v/>
      </c>
      <c r="O926">
        <f>IF('Tuesday Leagues'!$J29="","",'Tuesday Leagues'!$J29)</f>
        <v/>
      </c>
      <c r="P926">
        <f>IF('Tuesday Leagues'!$J29="","",'Tuesday Leagues'!$K29)</f>
        <v/>
      </c>
    </row>
    <row r="927">
      <c r="A927">
        <f>IF('Tuesday Leagues'!$J30="","","Tuesday Night League "&amp;'Tuesday Leagues'!$A30)</f>
        <v/>
      </c>
      <c r="B927">
        <f>IF('Tuesday Leagues'!$J30="","","Tuesday Night League")</f>
        <v/>
      </c>
      <c r="C927" s="18">
        <f>IF('Tuesday Leagues'!$J30="","",'Tuesday Leagues'!$B30)</f>
        <v/>
      </c>
      <c r="E927">
        <f>IF('Tuesday Leagues'!$J30="","",'Tuesday Leagues'!$C30&amp;"")</f>
        <v/>
      </c>
      <c r="F927">
        <f>IF('Tuesday Leagues'!$J30="","",'Tuesday Leagues'!$D30&amp;"")</f>
        <v/>
      </c>
      <c r="G927">
        <f>IF('Tuesday Leagues'!$J30="","",'Tuesday Leagues'!$E30&amp;"")</f>
        <v/>
      </c>
      <c r="H927">
        <f>IF('Tuesday Leagues'!$J30="","",'Tuesday Leagues'!$F30&amp;"")</f>
        <v/>
      </c>
      <c r="I927">
        <f>IF('Tuesday Leagues'!$J30="","",'Tuesday Leagues'!$G30&amp;"")</f>
        <v/>
      </c>
      <c r="J927">
        <f>IF('Tuesday Leagues'!$J30="","",'Tuesday Leagues'!$H30)</f>
        <v/>
      </c>
      <c r="K927">
        <f>IF('Tuesday Leagues'!$J30="","",COUNTIFS('Tuesday Leagues'!$A$5:$A$154,'Tuesday Leagues'!$A30,'Tuesday Leagues'!$H$5:$H$154,'Tuesday Leagues'!$H30))</f>
        <v/>
      </c>
      <c r="L927">
        <f>IF('Tuesday Leagues'!$J30="","","")</f>
        <v/>
      </c>
      <c r="M927">
        <f>IF('Tuesday Leagues'!$J30="","",'Tuesday Leagues'!$I30)</f>
        <v/>
      </c>
      <c r="N927">
        <f>IF('Tuesday Leagues'!$J30="","",'Tuesday Leagues'!$J30)</f>
        <v/>
      </c>
      <c r="O927">
        <f>IF('Tuesday Leagues'!$J30="","",'Tuesday Leagues'!$J30)</f>
        <v/>
      </c>
      <c r="P927">
        <f>IF('Tuesday Leagues'!$J30="","",'Tuesday Leagues'!$K30)</f>
        <v/>
      </c>
    </row>
    <row r="928">
      <c r="A928">
        <f>IF('Tuesday Leagues'!$J31="","","Tuesday Night League "&amp;'Tuesday Leagues'!$A31)</f>
        <v/>
      </c>
      <c r="B928">
        <f>IF('Tuesday Leagues'!$J31="","","Tuesday Night League")</f>
        <v/>
      </c>
      <c r="C928" s="18">
        <f>IF('Tuesday Leagues'!$J31="","",'Tuesday Leagues'!$B31)</f>
        <v/>
      </c>
      <c r="E928">
        <f>IF('Tuesday Leagues'!$J31="","",'Tuesday Leagues'!$C31&amp;"")</f>
        <v/>
      </c>
      <c r="F928">
        <f>IF('Tuesday Leagues'!$J31="","",'Tuesday Leagues'!$D31&amp;"")</f>
        <v/>
      </c>
      <c r="G928">
        <f>IF('Tuesday Leagues'!$J31="","",'Tuesday Leagues'!$E31&amp;"")</f>
        <v/>
      </c>
      <c r="H928">
        <f>IF('Tuesday Leagues'!$J31="","",'Tuesday Leagues'!$F31&amp;"")</f>
        <v/>
      </c>
      <c r="I928">
        <f>IF('Tuesday Leagues'!$J31="","",'Tuesday Leagues'!$G31&amp;"")</f>
        <v/>
      </c>
      <c r="J928">
        <f>IF('Tuesday Leagues'!$J31="","",'Tuesday Leagues'!$H31)</f>
        <v/>
      </c>
      <c r="K928">
        <f>IF('Tuesday Leagues'!$J31="","",COUNTIFS('Tuesday Leagues'!$A$5:$A$154,'Tuesday Leagues'!$A31,'Tuesday Leagues'!$H$5:$H$154,'Tuesday Leagues'!$H31))</f>
        <v/>
      </c>
      <c r="L928">
        <f>IF('Tuesday Leagues'!$J31="","","")</f>
        <v/>
      </c>
      <c r="M928">
        <f>IF('Tuesday Leagues'!$J31="","",'Tuesday Leagues'!$I31)</f>
        <v/>
      </c>
      <c r="N928">
        <f>IF('Tuesday Leagues'!$J31="","",'Tuesday Leagues'!$J31)</f>
        <v/>
      </c>
      <c r="O928">
        <f>IF('Tuesday Leagues'!$J31="","",'Tuesday Leagues'!$J31)</f>
        <v/>
      </c>
      <c r="P928">
        <f>IF('Tuesday Leagues'!$J31="","",'Tuesday Leagues'!$K31)</f>
        <v/>
      </c>
    </row>
    <row r="929">
      <c r="A929">
        <f>IF('Tuesday Leagues'!$J32="","","Tuesday Night League "&amp;'Tuesday Leagues'!$A32)</f>
        <v/>
      </c>
      <c r="B929">
        <f>IF('Tuesday Leagues'!$J32="","","Tuesday Night League")</f>
        <v/>
      </c>
      <c r="C929" s="18">
        <f>IF('Tuesday Leagues'!$J32="","",'Tuesday Leagues'!$B32)</f>
        <v/>
      </c>
      <c r="E929">
        <f>IF('Tuesday Leagues'!$J32="","",'Tuesday Leagues'!$C32&amp;"")</f>
        <v/>
      </c>
      <c r="F929">
        <f>IF('Tuesday Leagues'!$J32="","",'Tuesday Leagues'!$D32&amp;"")</f>
        <v/>
      </c>
      <c r="G929">
        <f>IF('Tuesday Leagues'!$J32="","",'Tuesday Leagues'!$E32&amp;"")</f>
        <v/>
      </c>
      <c r="H929">
        <f>IF('Tuesday Leagues'!$J32="","",'Tuesday Leagues'!$F32&amp;"")</f>
        <v/>
      </c>
      <c r="I929">
        <f>IF('Tuesday Leagues'!$J32="","",'Tuesday Leagues'!$G32&amp;"")</f>
        <v/>
      </c>
      <c r="J929">
        <f>IF('Tuesday Leagues'!$J32="","",'Tuesday Leagues'!$H32)</f>
        <v/>
      </c>
      <c r="K929">
        <f>IF('Tuesday Leagues'!$J32="","",COUNTIFS('Tuesday Leagues'!$A$5:$A$154,'Tuesday Leagues'!$A32,'Tuesday Leagues'!$H$5:$H$154,'Tuesday Leagues'!$H32))</f>
        <v/>
      </c>
      <c r="L929">
        <f>IF('Tuesday Leagues'!$J32="","","")</f>
        <v/>
      </c>
      <c r="M929">
        <f>IF('Tuesday Leagues'!$J32="","",'Tuesday Leagues'!$I32)</f>
        <v/>
      </c>
      <c r="N929">
        <f>IF('Tuesday Leagues'!$J32="","",'Tuesday Leagues'!$J32)</f>
        <v/>
      </c>
      <c r="O929">
        <f>IF('Tuesday Leagues'!$J32="","",'Tuesday Leagues'!$J32)</f>
        <v/>
      </c>
      <c r="P929">
        <f>IF('Tuesday Leagues'!$J32="","",'Tuesday Leagues'!$K32)</f>
        <v/>
      </c>
    </row>
    <row r="930">
      <c r="A930">
        <f>IF('Tuesday Leagues'!$J33="","","Tuesday Night League "&amp;'Tuesday Leagues'!$A33)</f>
        <v/>
      </c>
      <c r="B930">
        <f>IF('Tuesday Leagues'!$J33="","","Tuesday Night League")</f>
        <v/>
      </c>
      <c r="C930" s="18">
        <f>IF('Tuesday Leagues'!$J33="","",'Tuesday Leagues'!$B33)</f>
        <v/>
      </c>
      <c r="E930">
        <f>IF('Tuesday Leagues'!$J33="","",'Tuesday Leagues'!$C33&amp;"")</f>
        <v/>
      </c>
      <c r="F930">
        <f>IF('Tuesday Leagues'!$J33="","",'Tuesday Leagues'!$D33&amp;"")</f>
        <v/>
      </c>
      <c r="G930">
        <f>IF('Tuesday Leagues'!$J33="","",'Tuesday Leagues'!$E33&amp;"")</f>
        <v/>
      </c>
      <c r="H930">
        <f>IF('Tuesday Leagues'!$J33="","",'Tuesday Leagues'!$F33&amp;"")</f>
        <v/>
      </c>
      <c r="I930">
        <f>IF('Tuesday Leagues'!$J33="","",'Tuesday Leagues'!$G33&amp;"")</f>
        <v/>
      </c>
      <c r="J930">
        <f>IF('Tuesday Leagues'!$J33="","",'Tuesday Leagues'!$H33)</f>
        <v/>
      </c>
      <c r="K930">
        <f>IF('Tuesday Leagues'!$J33="","",COUNTIFS('Tuesday Leagues'!$A$5:$A$154,'Tuesday Leagues'!$A33,'Tuesday Leagues'!$H$5:$H$154,'Tuesday Leagues'!$H33))</f>
        <v/>
      </c>
      <c r="L930">
        <f>IF('Tuesday Leagues'!$J33="","","")</f>
        <v/>
      </c>
      <c r="M930">
        <f>IF('Tuesday Leagues'!$J33="","",'Tuesday Leagues'!$I33)</f>
        <v/>
      </c>
      <c r="N930">
        <f>IF('Tuesday Leagues'!$J33="","",'Tuesday Leagues'!$J33)</f>
        <v/>
      </c>
      <c r="O930">
        <f>IF('Tuesday Leagues'!$J33="","",'Tuesday Leagues'!$J33)</f>
        <v/>
      </c>
      <c r="P930">
        <f>IF('Tuesday Leagues'!$J33="","",'Tuesday Leagues'!$K33)</f>
        <v/>
      </c>
    </row>
    <row r="931">
      <c r="A931">
        <f>IF('Tuesday Leagues'!$J34="","","Tuesday Night League "&amp;'Tuesday Leagues'!$A34)</f>
        <v/>
      </c>
      <c r="B931">
        <f>IF('Tuesday Leagues'!$J34="","","Tuesday Night League")</f>
        <v/>
      </c>
      <c r="C931" s="18">
        <f>IF('Tuesday Leagues'!$J34="","",'Tuesday Leagues'!$B34)</f>
        <v/>
      </c>
      <c r="E931">
        <f>IF('Tuesday Leagues'!$J34="","",'Tuesday Leagues'!$C34&amp;"")</f>
        <v/>
      </c>
      <c r="F931">
        <f>IF('Tuesday Leagues'!$J34="","",'Tuesday Leagues'!$D34&amp;"")</f>
        <v/>
      </c>
      <c r="G931">
        <f>IF('Tuesday Leagues'!$J34="","",'Tuesday Leagues'!$E34&amp;"")</f>
        <v/>
      </c>
      <c r="H931">
        <f>IF('Tuesday Leagues'!$J34="","",'Tuesday Leagues'!$F34&amp;"")</f>
        <v/>
      </c>
      <c r="I931">
        <f>IF('Tuesday Leagues'!$J34="","",'Tuesday Leagues'!$G34&amp;"")</f>
        <v/>
      </c>
      <c r="J931">
        <f>IF('Tuesday Leagues'!$J34="","",'Tuesday Leagues'!$H34)</f>
        <v/>
      </c>
      <c r="K931">
        <f>IF('Tuesday Leagues'!$J34="","",COUNTIFS('Tuesday Leagues'!$A$5:$A$154,'Tuesday Leagues'!$A34,'Tuesday Leagues'!$H$5:$H$154,'Tuesday Leagues'!$H34))</f>
        <v/>
      </c>
      <c r="L931">
        <f>IF('Tuesday Leagues'!$J34="","","")</f>
        <v/>
      </c>
      <c r="M931">
        <f>IF('Tuesday Leagues'!$J34="","",'Tuesday Leagues'!$I34)</f>
        <v/>
      </c>
      <c r="N931">
        <f>IF('Tuesday Leagues'!$J34="","",'Tuesday Leagues'!$J34)</f>
        <v/>
      </c>
      <c r="O931">
        <f>IF('Tuesday Leagues'!$J34="","",'Tuesday Leagues'!$J34)</f>
        <v/>
      </c>
      <c r="P931">
        <f>IF('Tuesday Leagues'!$J34="","",'Tuesday Leagues'!$K34)</f>
        <v/>
      </c>
    </row>
    <row r="932">
      <c r="A932">
        <f>IF('Tuesday Leagues'!$J35="","","Tuesday Night League "&amp;'Tuesday Leagues'!$A35)</f>
        <v/>
      </c>
      <c r="B932">
        <f>IF('Tuesday Leagues'!$J35="","","Tuesday Night League")</f>
        <v/>
      </c>
      <c r="C932" s="18">
        <f>IF('Tuesday Leagues'!$J35="","",'Tuesday Leagues'!$B35)</f>
        <v/>
      </c>
      <c r="E932">
        <f>IF('Tuesday Leagues'!$J35="","",'Tuesday Leagues'!$C35&amp;"")</f>
        <v/>
      </c>
      <c r="F932">
        <f>IF('Tuesday Leagues'!$J35="","",'Tuesday Leagues'!$D35&amp;"")</f>
        <v/>
      </c>
      <c r="G932">
        <f>IF('Tuesday Leagues'!$J35="","",'Tuesday Leagues'!$E35&amp;"")</f>
        <v/>
      </c>
      <c r="H932">
        <f>IF('Tuesday Leagues'!$J35="","",'Tuesday Leagues'!$F35&amp;"")</f>
        <v/>
      </c>
      <c r="I932">
        <f>IF('Tuesday Leagues'!$J35="","",'Tuesday Leagues'!$G35&amp;"")</f>
        <v/>
      </c>
      <c r="J932">
        <f>IF('Tuesday Leagues'!$J35="","",'Tuesday Leagues'!$H35)</f>
        <v/>
      </c>
      <c r="K932">
        <f>IF('Tuesday Leagues'!$J35="","",COUNTIFS('Tuesday Leagues'!$A$5:$A$154,'Tuesday Leagues'!$A35,'Tuesday Leagues'!$H$5:$H$154,'Tuesday Leagues'!$H35))</f>
        <v/>
      </c>
      <c r="L932">
        <f>IF('Tuesday Leagues'!$J35="","","")</f>
        <v/>
      </c>
      <c r="M932">
        <f>IF('Tuesday Leagues'!$J35="","",'Tuesday Leagues'!$I35)</f>
        <v/>
      </c>
      <c r="N932">
        <f>IF('Tuesday Leagues'!$J35="","",'Tuesday Leagues'!$J35)</f>
        <v/>
      </c>
      <c r="O932">
        <f>IF('Tuesday Leagues'!$J35="","",'Tuesday Leagues'!$J35)</f>
        <v/>
      </c>
      <c r="P932">
        <f>IF('Tuesday Leagues'!$J35="","",'Tuesday Leagues'!$K35)</f>
        <v/>
      </c>
    </row>
    <row r="933">
      <c r="A933">
        <f>IF('Tuesday Leagues'!$J36="","","Tuesday Night League "&amp;'Tuesday Leagues'!$A36)</f>
        <v/>
      </c>
      <c r="B933">
        <f>IF('Tuesday Leagues'!$J36="","","Tuesday Night League")</f>
        <v/>
      </c>
      <c r="C933" s="18">
        <f>IF('Tuesday Leagues'!$J36="","",'Tuesday Leagues'!$B36)</f>
        <v/>
      </c>
      <c r="E933">
        <f>IF('Tuesday Leagues'!$J36="","",'Tuesday Leagues'!$C36&amp;"")</f>
        <v/>
      </c>
      <c r="F933">
        <f>IF('Tuesday Leagues'!$J36="","",'Tuesday Leagues'!$D36&amp;"")</f>
        <v/>
      </c>
      <c r="G933">
        <f>IF('Tuesday Leagues'!$J36="","",'Tuesday Leagues'!$E36&amp;"")</f>
        <v/>
      </c>
      <c r="H933">
        <f>IF('Tuesday Leagues'!$J36="","",'Tuesday Leagues'!$F36&amp;"")</f>
        <v/>
      </c>
      <c r="I933">
        <f>IF('Tuesday Leagues'!$J36="","",'Tuesday Leagues'!$G36&amp;"")</f>
        <v/>
      </c>
      <c r="J933">
        <f>IF('Tuesday Leagues'!$J36="","",'Tuesday Leagues'!$H36)</f>
        <v/>
      </c>
      <c r="K933">
        <f>IF('Tuesday Leagues'!$J36="","",COUNTIFS('Tuesday Leagues'!$A$5:$A$154,'Tuesday Leagues'!$A36,'Tuesday Leagues'!$H$5:$H$154,'Tuesday Leagues'!$H36))</f>
        <v/>
      </c>
      <c r="L933">
        <f>IF('Tuesday Leagues'!$J36="","","")</f>
        <v/>
      </c>
      <c r="M933">
        <f>IF('Tuesday Leagues'!$J36="","",'Tuesday Leagues'!$I36)</f>
        <v/>
      </c>
      <c r="N933">
        <f>IF('Tuesday Leagues'!$J36="","",'Tuesday Leagues'!$J36)</f>
        <v/>
      </c>
      <c r="O933">
        <f>IF('Tuesday Leagues'!$J36="","",'Tuesday Leagues'!$J36)</f>
        <v/>
      </c>
      <c r="P933">
        <f>IF('Tuesday Leagues'!$J36="","",'Tuesday Leagues'!$K36)</f>
        <v/>
      </c>
    </row>
    <row r="934">
      <c r="A934">
        <f>IF('Tuesday Leagues'!$J37="","","Tuesday Night League "&amp;'Tuesday Leagues'!$A37)</f>
        <v/>
      </c>
      <c r="B934">
        <f>IF('Tuesday Leagues'!$J37="","","Tuesday Night League")</f>
        <v/>
      </c>
      <c r="C934" s="18">
        <f>IF('Tuesday Leagues'!$J37="","",'Tuesday Leagues'!$B37)</f>
        <v/>
      </c>
      <c r="E934">
        <f>IF('Tuesday Leagues'!$J37="","",'Tuesday Leagues'!$C37&amp;"")</f>
        <v/>
      </c>
      <c r="F934">
        <f>IF('Tuesday Leagues'!$J37="","",'Tuesday Leagues'!$D37&amp;"")</f>
        <v/>
      </c>
      <c r="G934">
        <f>IF('Tuesday Leagues'!$J37="","",'Tuesday Leagues'!$E37&amp;"")</f>
        <v/>
      </c>
      <c r="H934">
        <f>IF('Tuesday Leagues'!$J37="","",'Tuesday Leagues'!$F37&amp;"")</f>
        <v/>
      </c>
      <c r="I934">
        <f>IF('Tuesday Leagues'!$J37="","",'Tuesday Leagues'!$G37&amp;"")</f>
        <v/>
      </c>
      <c r="J934">
        <f>IF('Tuesday Leagues'!$J37="","",'Tuesday Leagues'!$H37)</f>
        <v/>
      </c>
      <c r="K934">
        <f>IF('Tuesday Leagues'!$J37="","",COUNTIFS('Tuesday Leagues'!$A$5:$A$154,'Tuesday Leagues'!$A37,'Tuesday Leagues'!$H$5:$H$154,'Tuesday Leagues'!$H37))</f>
        <v/>
      </c>
      <c r="L934">
        <f>IF('Tuesday Leagues'!$J37="","","")</f>
        <v/>
      </c>
      <c r="M934">
        <f>IF('Tuesday Leagues'!$J37="","",'Tuesday Leagues'!$I37)</f>
        <v/>
      </c>
      <c r="N934">
        <f>IF('Tuesday Leagues'!$J37="","",'Tuesday Leagues'!$J37)</f>
        <v/>
      </c>
      <c r="O934">
        <f>IF('Tuesday Leagues'!$J37="","",'Tuesday Leagues'!$J37)</f>
        <v/>
      </c>
      <c r="P934">
        <f>IF('Tuesday Leagues'!$J37="","",'Tuesday Leagues'!$K37)</f>
        <v/>
      </c>
    </row>
    <row r="935">
      <c r="A935">
        <f>IF('Tuesday Leagues'!$J38="","","Tuesday Night League "&amp;'Tuesday Leagues'!$A38)</f>
        <v/>
      </c>
      <c r="B935">
        <f>IF('Tuesday Leagues'!$J38="","","Tuesday Night League")</f>
        <v/>
      </c>
      <c r="C935" s="18">
        <f>IF('Tuesday Leagues'!$J38="","",'Tuesday Leagues'!$B38)</f>
        <v/>
      </c>
      <c r="E935">
        <f>IF('Tuesday Leagues'!$J38="","",'Tuesday Leagues'!$C38&amp;"")</f>
        <v/>
      </c>
      <c r="F935">
        <f>IF('Tuesday Leagues'!$J38="","",'Tuesday Leagues'!$D38&amp;"")</f>
        <v/>
      </c>
      <c r="G935">
        <f>IF('Tuesday Leagues'!$J38="","",'Tuesday Leagues'!$E38&amp;"")</f>
        <v/>
      </c>
      <c r="H935">
        <f>IF('Tuesday Leagues'!$J38="","",'Tuesday Leagues'!$F38&amp;"")</f>
        <v/>
      </c>
      <c r="I935">
        <f>IF('Tuesday Leagues'!$J38="","",'Tuesday Leagues'!$G38&amp;"")</f>
        <v/>
      </c>
      <c r="J935">
        <f>IF('Tuesday Leagues'!$J38="","",'Tuesday Leagues'!$H38)</f>
        <v/>
      </c>
      <c r="K935">
        <f>IF('Tuesday Leagues'!$J38="","",COUNTIFS('Tuesday Leagues'!$A$5:$A$154,'Tuesday Leagues'!$A38,'Tuesday Leagues'!$H$5:$H$154,'Tuesday Leagues'!$H38))</f>
        <v/>
      </c>
      <c r="L935">
        <f>IF('Tuesday Leagues'!$J38="","","")</f>
        <v/>
      </c>
      <c r="M935">
        <f>IF('Tuesday Leagues'!$J38="","",'Tuesday Leagues'!$I38)</f>
        <v/>
      </c>
      <c r="N935">
        <f>IF('Tuesday Leagues'!$J38="","",'Tuesday Leagues'!$J38)</f>
        <v/>
      </c>
      <c r="O935">
        <f>IF('Tuesday Leagues'!$J38="","",'Tuesday Leagues'!$J38)</f>
        <v/>
      </c>
      <c r="P935">
        <f>IF('Tuesday Leagues'!$J38="","",'Tuesday Leagues'!$K38)</f>
        <v/>
      </c>
    </row>
    <row r="936">
      <c r="A936">
        <f>IF('Tuesday Leagues'!$J39="","","Tuesday Night League "&amp;'Tuesday Leagues'!$A39)</f>
        <v/>
      </c>
      <c r="B936">
        <f>IF('Tuesday Leagues'!$J39="","","Tuesday Night League")</f>
        <v/>
      </c>
      <c r="C936" s="18">
        <f>IF('Tuesday Leagues'!$J39="","",'Tuesday Leagues'!$B39)</f>
        <v/>
      </c>
      <c r="E936">
        <f>IF('Tuesday Leagues'!$J39="","",'Tuesday Leagues'!$C39&amp;"")</f>
        <v/>
      </c>
      <c r="F936">
        <f>IF('Tuesday Leagues'!$J39="","",'Tuesday Leagues'!$D39&amp;"")</f>
        <v/>
      </c>
      <c r="G936">
        <f>IF('Tuesday Leagues'!$J39="","",'Tuesday Leagues'!$E39&amp;"")</f>
        <v/>
      </c>
      <c r="H936">
        <f>IF('Tuesday Leagues'!$J39="","",'Tuesday Leagues'!$F39&amp;"")</f>
        <v/>
      </c>
      <c r="I936">
        <f>IF('Tuesday Leagues'!$J39="","",'Tuesday Leagues'!$G39&amp;"")</f>
        <v/>
      </c>
      <c r="J936">
        <f>IF('Tuesday Leagues'!$J39="","",'Tuesday Leagues'!$H39)</f>
        <v/>
      </c>
      <c r="K936">
        <f>IF('Tuesday Leagues'!$J39="","",COUNTIFS('Tuesday Leagues'!$A$5:$A$154,'Tuesday Leagues'!$A39,'Tuesday Leagues'!$H$5:$H$154,'Tuesday Leagues'!$H39))</f>
        <v/>
      </c>
      <c r="L936">
        <f>IF('Tuesday Leagues'!$J39="","","")</f>
        <v/>
      </c>
      <c r="M936">
        <f>IF('Tuesday Leagues'!$J39="","",'Tuesday Leagues'!$I39)</f>
        <v/>
      </c>
      <c r="N936">
        <f>IF('Tuesday Leagues'!$J39="","",'Tuesday Leagues'!$J39)</f>
        <v/>
      </c>
      <c r="O936">
        <f>IF('Tuesday Leagues'!$J39="","",'Tuesday Leagues'!$J39)</f>
        <v/>
      </c>
      <c r="P936">
        <f>IF('Tuesday Leagues'!$J39="","",'Tuesday Leagues'!$K39)</f>
        <v/>
      </c>
    </row>
    <row r="937">
      <c r="A937">
        <f>IF('Tuesday Leagues'!$J40="","","Tuesday Night League "&amp;'Tuesday Leagues'!$A40)</f>
        <v/>
      </c>
      <c r="B937">
        <f>IF('Tuesday Leagues'!$J40="","","Tuesday Night League")</f>
        <v/>
      </c>
      <c r="C937" s="18">
        <f>IF('Tuesday Leagues'!$J40="","",'Tuesday Leagues'!$B40)</f>
        <v/>
      </c>
      <c r="E937">
        <f>IF('Tuesday Leagues'!$J40="","",'Tuesday Leagues'!$C40&amp;"")</f>
        <v/>
      </c>
      <c r="F937">
        <f>IF('Tuesday Leagues'!$J40="","",'Tuesday Leagues'!$D40&amp;"")</f>
        <v/>
      </c>
      <c r="G937">
        <f>IF('Tuesday Leagues'!$J40="","",'Tuesday Leagues'!$E40&amp;"")</f>
        <v/>
      </c>
      <c r="H937">
        <f>IF('Tuesday Leagues'!$J40="","",'Tuesday Leagues'!$F40&amp;"")</f>
        <v/>
      </c>
      <c r="I937">
        <f>IF('Tuesday Leagues'!$J40="","",'Tuesday Leagues'!$G40&amp;"")</f>
        <v/>
      </c>
      <c r="J937">
        <f>IF('Tuesday Leagues'!$J40="","",'Tuesday Leagues'!$H40)</f>
        <v/>
      </c>
      <c r="K937">
        <f>IF('Tuesday Leagues'!$J40="","",COUNTIFS('Tuesday Leagues'!$A$5:$A$154,'Tuesday Leagues'!$A40,'Tuesday Leagues'!$H$5:$H$154,'Tuesday Leagues'!$H40))</f>
        <v/>
      </c>
      <c r="L937">
        <f>IF('Tuesday Leagues'!$J40="","","")</f>
        <v/>
      </c>
      <c r="M937">
        <f>IF('Tuesday Leagues'!$J40="","",'Tuesday Leagues'!$I40)</f>
        <v/>
      </c>
      <c r="N937">
        <f>IF('Tuesday Leagues'!$J40="","",'Tuesday Leagues'!$J40)</f>
        <v/>
      </c>
      <c r="O937">
        <f>IF('Tuesday Leagues'!$J40="","",'Tuesday Leagues'!$J40)</f>
        <v/>
      </c>
      <c r="P937">
        <f>IF('Tuesday Leagues'!$J40="","",'Tuesday Leagues'!$K40)</f>
        <v/>
      </c>
    </row>
    <row r="938">
      <c r="A938">
        <f>IF('Tuesday Leagues'!$J41="","","Tuesday Night League "&amp;'Tuesday Leagues'!$A41)</f>
        <v/>
      </c>
      <c r="B938">
        <f>IF('Tuesday Leagues'!$J41="","","Tuesday Night League")</f>
        <v/>
      </c>
      <c r="C938" s="18">
        <f>IF('Tuesday Leagues'!$J41="","",'Tuesday Leagues'!$B41)</f>
        <v/>
      </c>
      <c r="E938">
        <f>IF('Tuesday Leagues'!$J41="","",'Tuesday Leagues'!$C41&amp;"")</f>
        <v/>
      </c>
      <c r="F938">
        <f>IF('Tuesday Leagues'!$J41="","",'Tuesday Leagues'!$D41&amp;"")</f>
        <v/>
      </c>
      <c r="G938">
        <f>IF('Tuesday Leagues'!$J41="","",'Tuesday Leagues'!$E41&amp;"")</f>
        <v/>
      </c>
      <c r="H938">
        <f>IF('Tuesday Leagues'!$J41="","",'Tuesday Leagues'!$F41&amp;"")</f>
        <v/>
      </c>
      <c r="I938">
        <f>IF('Tuesday Leagues'!$J41="","",'Tuesday Leagues'!$G41&amp;"")</f>
        <v/>
      </c>
      <c r="J938">
        <f>IF('Tuesday Leagues'!$J41="","",'Tuesday Leagues'!$H41)</f>
        <v/>
      </c>
      <c r="K938">
        <f>IF('Tuesday Leagues'!$J41="","",COUNTIFS('Tuesday Leagues'!$A$5:$A$154,'Tuesday Leagues'!$A41,'Tuesday Leagues'!$H$5:$H$154,'Tuesday Leagues'!$H41))</f>
        <v/>
      </c>
      <c r="L938">
        <f>IF('Tuesday Leagues'!$J41="","","")</f>
        <v/>
      </c>
      <c r="M938">
        <f>IF('Tuesday Leagues'!$J41="","",'Tuesday Leagues'!$I41)</f>
        <v/>
      </c>
      <c r="N938">
        <f>IF('Tuesday Leagues'!$J41="","",'Tuesday Leagues'!$J41)</f>
        <v/>
      </c>
      <c r="O938">
        <f>IF('Tuesday Leagues'!$J41="","",'Tuesday Leagues'!$J41)</f>
        <v/>
      </c>
      <c r="P938">
        <f>IF('Tuesday Leagues'!$J41="","",'Tuesday Leagues'!$K41)</f>
        <v/>
      </c>
    </row>
    <row r="939">
      <c r="A939">
        <f>IF('Tuesday Leagues'!$J42="","","Tuesday Night League "&amp;'Tuesday Leagues'!$A42)</f>
        <v/>
      </c>
      <c r="B939">
        <f>IF('Tuesday Leagues'!$J42="","","Tuesday Night League")</f>
        <v/>
      </c>
      <c r="C939" s="18">
        <f>IF('Tuesday Leagues'!$J42="","",'Tuesday Leagues'!$B42)</f>
        <v/>
      </c>
      <c r="E939">
        <f>IF('Tuesday Leagues'!$J42="","",'Tuesday Leagues'!$C42&amp;"")</f>
        <v/>
      </c>
      <c r="F939">
        <f>IF('Tuesday Leagues'!$J42="","",'Tuesday Leagues'!$D42&amp;"")</f>
        <v/>
      </c>
      <c r="G939">
        <f>IF('Tuesday Leagues'!$J42="","",'Tuesday Leagues'!$E42&amp;"")</f>
        <v/>
      </c>
      <c r="H939">
        <f>IF('Tuesday Leagues'!$J42="","",'Tuesday Leagues'!$F42&amp;"")</f>
        <v/>
      </c>
      <c r="I939">
        <f>IF('Tuesday Leagues'!$J42="","",'Tuesday Leagues'!$G42&amp;"")</f>
        <v/>
      </c>
      <c r="J939">
        <f>IF('Tuesday Leagues'!$J42="","",'Tuesday Leagues'!$H42)</f>
        <v/>
      </c>
      <c r="K939">
        <f>IF('Tuesday Leagues'!$J42="","",COUNTIFS('Tuesday Leagues'!$A$5:$A$154,'Tuesday Leagues'!$A42,'Tuesday Leagues'!$H$5:$H$154,'Tuesday Leagues'!$H42))</f>
        <v/>
      </c>
      <c r="L939">
        <f>IF('Tuesday Leagues'!$J42="","","")</f>
        <v/>
      </c>
      <c r="M939">
        <f>IF('Tuesday Leagues'!$J42="","",'Tuesday Leagues'!$I42)</f>
        <v/>
      </c>
      <c r="N939">
        <f>IF('Tuesday Leagues'!$J42="","",'Tuesday Leagues'!$J42)</f>
        <v/>
      </c>
      <c r="O939">
        <f>IF('Tuesday Leagues'!$J42="","",'Tuesday Leagues'!$J42)</f>
        <v/>
      </c>
      <c r="P939">
        <f>IF('Tuesday Leagues'!$J42="","",'Tuesday Leagues'!$K42)</f>
        <v/>
      </c>
    </row>
    <row r="940">
      <c r="A940">
        <f>IF('Tuesday Leagues'!$J43="","","Tuesday Night League "&amp;'Tuesday Leagues'!$A43)</f>
        <v/>
      </c>
      <c r="B940">
        <f>IF('Tuesday Leagues'!$J43="","","Tuesday Night League")</f>
        <v/>
      </c>
      <c r="C940" s="18">
        <f>IF('Tuesday Leagues'!$J43="","",'Tuesday Leagues'!$B43)</f>
        <v/>
      </c>
      <c r="E940">
        <f>IF('Tuesday Leagues'!$J43="","",'Tuesday Leagues'!$C43&amp;"")</f>
        <v/>
      </c>
      <c r="F940">
        <f>IF('Tuesday Leagues'!$J43="","",'Tuesday Leagues'!$D43&amp;"")</f>
        <v/>
      </c>
      <c r="G940">
        <f>IF('Tuesday Leagues'!$J43="","",'Tuesday Leagues'!$E43&amp;"")</f>
        <v/>
      </c>
      <c r="H940">
        <f>IF('Tuesday Leagues'!$J43="","",'Tuesday Leagues'!$F43&amp;"")</f>
        <v/>
      </c>
      <c r="I940">
        <f>IF('Tuesday Leagues'!$J43="","",'Tuesday Leagues'!$G43&amp;"")</f>
        <v/>
      </c>
      <c r="J940">
        <f>IF('Tuesday Leagues'!$J43="","",'Tuesday Leagues'!$H43)</f>
        <v/>
      </c>
      <c r="K940">
        <f>IF('Tuesday Leagues'!$J43="","",COUNTIFS('Tuesday Leagues'!$A$5:$A$154,'Tuesday Leagues'!$A43,'Tuesday Leagues'!$H$5:$H$154,'Tuesday Leagues'!$H43))</f>
        <v/>
      </c>
      <c r="L940">
        <f>IF('Tuesday Leagues'!$J43="","","")</f>
        <v/>
      </c>
      <c r="M940">
        <f>IF('Tuesday Leagues'!$J43="","",'Tuesday Leagues'!$I43)</f>
        <v/>
      </c>
      <c r="N940">
        <f>IF('Tuesday Leagues'!$J43="","",'Tuesday Leagues'!$J43)</f>
        <v/>
      </c>
      <c r="O940">
        <f>IF('Tuesday Leagues'!$J43="","",'Tuesday Leagues'!$J43)</f>
        <v/>
      </c>
      <c r="P940">
        <f>IF('Tuesday Leagues'!$J43="","",'Tuesday Leagues'!$K43)</f>
        <v/>
      </c>
    </row>
    <row r="941">
      <c r="A941">
        <f>IF('Tuesday Leagues'!$J44="","","Tuesday Night League "&amp;'Tuesday Leagues'!$A44)</f>
        <v/>
      </c>
      <c r="B941">
        <f>IF('Tuesday Leagues'!$J44="","","Tuesday Night League")</f>
        <v/>
      </c>
      <c r="C941" s="18">
        <f>IF('Tuesday Leagues'!$J44="","",'Tuesday Leagues'!$B44)</f>
        <v/>
      </c>
      <c r="E941">
        <f>IF('Tuesday Leagues'!$J44="","",'Tuesday Leagues'!$C44&amp;"")</f>
        <v/>
      </c>
      <c r="F941">
        <f>IF('Tuesday Leagues'!$J44="","",'Tuesday Leagues'!$D44&amp;"")</f>
        <v/>
      </c>
      <c r="G941">
        <f>IF('Tuesday Leagues'!$J44="","",'Tuesday Leagues'!$E44&amp;"")</f>
        <v/>
      </c>
      <c r="H941">
        <f>IF('Tuesday Leagues'!$J44="","",'Tuesday Leagues'!$F44&amp;"")</f>
        <v/>
      </c>
      <c r="I941">
        <f>IF('Tuesday Leagues'!$J44="","",'Tuesday Leagues'!$G44&amp;"")</f>
        <v/>
      </c>
      <c r="J941">
        <f>IF('Tuesday Leagues'!$J44="","",'Tuesday Leagues'!$H44)</f>
        <v/>
      </c>
      <c r="K941">
        <f>IF('Tuesday Leagues'!$J44="","",COUNTIFS('Tuesday Leagues'!$A$5:$A$154,'Tuesday Leagues'!$A44,'Tuesday Leagues'!$H$5:$H$154,'Tuesday Leagues'!$H44))</f>
        <v/>
      </c>
      <c r="L941">
        <f>IF('Tuesday Leagues'!$J44="","","")</f>
        <v/>
      </c>
      <c r="M941">
        <f>IF('Tuesday Leagues'!$J44="","",'Tuesday Leagues'!$I44)</f>
        <v/>
      </c>
      <c r="N941">
        <f>IF('Tuesday Leagues'!$J44="","",'Tuesday Leagues'!$J44)</f>
        <v/>
      </c>
      <c r="O941">
        <f>IF('Tuesday Leagues'!$J44="","",'Tuesday Leagues'!$J44)</f>
        <v/>
      </c>
      <c r="P941">
        <f>IF('Tuesday Leagues'!$J44="","",'Tuesday Leagues'!$K44)</f>
        <v/>
      </c>
    </row>
    <row r="942">
      <c r="A942">
        <f>IF('Tuesday Leagues'!$J45="","","Tuesday Night League "&amp;'Tuesday Leagues'!$A45)</f>
        <v/>
      </c>
      <c r="B942">
        <f>IF('Tuesday Leagues'!$J45="","","Tuesday Night League")</f>
        <v/>
      </c>
      <c r="C942" s="18">
        <f>IF('Tuesday Leagues'!$J45="","",'Tuesday Leagues'!$B45)</f>
        <v/>
      </c>
      <c r="E942">
        <f>IF('Tuesday Leagues'!$J45="","",'Tuesday Leagues'!$C45&amp;"")</f>
        <v/>
      </c>
      <c r="F942">
        <f>IF('Tuesday Leagues'!$J45="","",'Tuesday Leagues'!$D45&amp;"")</f>
        <v/>
      </c>
      <c r="G942">
        <f>IF('Tuesday Leagues'!$J45="","",'Tuesday Leagues'!$E45&amp;"")</f>
        <v/>
      </c>
      <c r="H942">
        <f>IF('Tuesday Leagues'!$J45="","",'Tuesday Leagues'!$F45&amp;"")</f>
        <v/>
      </c>
      <c r="I942">
        <f>IF('Tuesday Leagues'!$J45="","",'Tuesday Leagues'!$G45&amp;"")</f>
        <v/>
      </c>
      <c r="J942">
        <f>IF('Tuesday Leagues'!$J45="","",'Tuesday Leagues'!$H45)</f>
        <v/>
      </c>
      <c r="K942">
        <f>IF('Tuesday Leagues'!$J45="","",COUNTIFS('Tuesday Leagues'!$A$5:$A$154,'Tuesday Leagues'!$A45,'Tuesday Leagues'!$H$5:$H$154,'Tuesday Leagues'!$H45))</f>
        <v/>
      </c>
      <c r="L942">
        <f>IF('Tuesday Leagues'!$J45="","","")</f>
        <v/>
      </c>
      <c r="M942">
        <f>IF('Tuesday Leagues'!$J45="","",'Tuesday Leagues'!$I45)</f>
        <v/>
      </c>
      <c r="N942">
        <f>IF('Tuesday Leagues'!$J45="","",'Tuesday Leagues'!$J45)</f>
        <v/>
      </c>
      <c r="O942">
        <f>IF('Tuesday Leagues'!$J45="","",'Tuesday Leagues'!$J45)</f>
        <v/>
      </c>
      <c r="P942">
        <f>IF('Tuesday Leagues'!$J45="","",'Tuesday Leagues'!$K45)</f>
        <v/>
      </c>
    </row>
    <row r="943">
      <c r="A943">
        <f>IF('Tuesday Leagues'!$J46="","","Tuesday Night League "&amp;'Tuesday Leagues'!$A46)</f>
        <v/>
      </c>
      <c r="B943">
        <f>IF('Tuesday Leagues'!$J46="","","Tuesday Night League")</f>
        <v/>
      </c>
      <c r="C943" s="18">
        <f>IF('Tuesday Leagues'!$J46="","",'Tuesday Leagues'!$B46)</f>
        <v/>
      </c>
      <c r="E943">
        <f>IF('Tuesday Leagues'!$J46="","",'Tuesday Leagues'!$C46&amp;"")</f>
        <v/>
      </c>
      <c r="F943">
        <f>IF('Tuesday Leagues'!$J46="","",'Tuesday Leagues'!$D46&amp;"")</f>
        <v/>
      </c>
      <c r="G943">
        <f>IF('Tuesday Leagues'!$J46="","",'Tuesday Leagues'!$E46&amp;"")</f>
        <v/>
      </c>
      <c r="H943">
        <f>IF('Tuesday Leagues'!$J46="","",'Tuesday Leagues'!$F46&amp;"")</f>
        <v/>
      </c>
      <c r="I943">
        <f>IF('Tuesday Leagues'!$J46="","",'Tuesday Leagues'!$G46&amp;"")</f>
        <v/>
      </c>
      <c r="J943">
        <f>IF('Tuesday Leagues'!$J46="","",'Tuesday Leagues'!$H46)</f>
        <v/>
      </c>
      <c r="K943">
        <f>IF('Tuesday Leagues'!$J46="","",COUNTIFS('Tuesday Leagues'!$A$5:$A$154,'Tuesday Leagues'!$A46,'Tuesday Leagues'!$H$5:$H$154,'Tuesday Leagues'!$H46))</f>
        <v/>
      </c>
      <c r="L943">
        <f>IF('Tuesday Leagues'!$J46="","","")</f>
        <v/>
      </c>
      <c r="M943">
        <f>IF('Tuesday Leagues'!$J46="","",'Tuesday Leagues'!$I46)</f>
        <v/>
      </c>
      <c r="N943">
        <f>IF('Tuesday Leagues'!$J46="","",'Tuesday Leagues'!$J46)</f>
        <v/>
      </c>
      <c r="O943">
        <f>IF('Tuesday Leagues'!$J46="","",'Tuesday Leagues'!$J46)</f>
        <v/>
      </c>
      <c r="P943">
        <f>IF('Tuesday Leagues'!$J46="","",'Tuesday Leagues'!$K46)</f>
        <v/>
      </c>
    </row>
    <row r="944">
      <c r="A944">
        <f>IF('Tuesday Leagues'!$J47="","","Tuesday Night League "&amp;'Tuesday Leagues'!$A47)</f>
        <v/>
      </c>
      <c r="B944">
        <f>IF('Tuesday Leagues'!$J47="","","Tuesday Night League")</f>
        <v/>
      </c>
      <c r="C944" s="18">
        <f>IF('Tuesday Leagues'!$J47="","",'Tuesday Leagues'!$B47)</f>
        <v/>
      </c>
      <c r="E944">
        <f>IF('Tuesday Leagues'!$J47="","",'Tuesday Leagues'!$C47&amp;"")</f>
        <v/>
      </c>
      <c r="F944">
        <f>IF('Tuesday Leagues'!$J47="","",'Tuesday Leagues'!$D47&amp;"")</f>
        <v/>
      </c>
      <c r="G944">
        <f>IF('Tuesday Leagues'!$J47="","",'Tuesday Leagues'!$E47&amp;"")</f>
        <v/>
      </c>
      <c r="H944">
        <f>IF('Tuesday Leagues'!$J47="","",'Tuesday Leagues'!$F47&amp;"")</f>
        <v/>
      </c>
      <c r="I944">
        <f>IF('Tuesday Leagues'!$J47="","",'Tuesday Leagues'!$G47&amp;"")</f>
        <v/>
      </c>
      <c r="J944">
        <f>IF('Tuesday Leagues'!$J47="","",'Tuesday Leagues'!$H47)</f>
        <v/>
      </c>
      <c r="K944">
        <f>IF('Tuesday Leagues'!$J47="","",COUNTIFS('Tuesday Leagues'!$A$5:$A$154,'Tuesday Leagues'!$A47,'Tuesday Leagues'!$H$5:$H$154,'Tuesday Leagues'!$H47))</f>
        <v/>
      </c>
      <c r="L944">
        <f>IF('Tuesday Leagues'!$J47="","","")</f>
        <v/>
      </c>
      <c r="M944">
        <f>IF('Tuesday Leagues'!$J47="","",'Tuesday Leagues'!$I47)</f>
        <v/>
      </c>
      <c r="N944">
        <f>IF('Tuesday Leagues'!$J47="","",'Tuesday Leagues'!$J47)</f>
        <v/>
      </c>
      <c r="O944">
        <f>IF('Tuesday Leagues'!$J47="","",'Tuesday Leagues'!$J47)</f>
        <v/>
      </c>
      <c r="P944">
        <f>IF('Tuesday Leagues'!$J47="","",'Tuesday Leagues'!$K47)</f>
        <v/>
      </c>
    </row>
    <row r="945">
      <c r="A945">
        <f>IF('Tuesday Leagues'!$J48="","","Tuesday Night League "&amp;'Tuesday Leagues'!$A48)</f>
        <v/>
      </c>
      <c r="B945">
        <f>IF('Tuesday Leagues'!$J48="","","Tuesday Night League")</f>
        <v/>
      </c>
      <c r="C945" s="18">
        <f>IF('Tuesday Leagues'!$J48="","",'Tuesday Leagues'!$B48)</f>
        <v/>
      </c>
      <c r="E945">
        <f>IF('Tuesday Leagues'!$J48="","",'Tuesday Leagues'!$C48&amp;"")</f>
        <v/>
      </c>
      <c r="F945">
        <f>IF('Tuesday Leagues'!$J48="","",'Tuesday Leagues'!$D48&amp;"")</f>
        <v/>
      </c>
      <c r="G945">
        <f>IF('Tuesday Leagues'!$J48="","",'Tuesday Leagues'!$E48&amp;"")</f>
        <v/>
      </c>
      <c r="H945">
        <f>IF('Tuesday Leagues'!$J48="","",'Tuesday Leagues'!$F48&amp;"")</f>
        <v/>
      </c>
      <c r="I945">
        <f>IF('Tuesday Leagues'!$J48="","",'Tuesday Leagues'!$G48&amp;"")</f>
        <v/>
      </c>
      <c r="J945">
        <f>IF('Tuesday Leagues'!$J48="","",'Tuesday Leagues'!$H48)</f>
        <v/>
      </c>
      <c r="K945">
        <f>IF('Tuesday Leagues'!$J48="","",COUNTIFS('Tuesday Leagues'!$A$5:$A$154,'Tuesday Leagues'!$A48,'Tuesday Leagues'!$H$5:$H$154,'Tuesday Leagues'!$H48))</f>
        <v/>
      </c>
      <c r="L945">
        <f>IF('Tuesday Leagues'!$J48="","","")</f>
        <v/>
      </c>
      <c r="M945">
        <f>IF('Tuesday Leagues'!$J48="","",'Tuesday Leagues'!$I48)</f>
        <v/>
      </c>
      <c r="N945">
        <f>IF('Tuesday Leagues'!$J48="","",'Tuesday Leagues'!$J48)</f>
        <v/>
      </c>
      <c r="O945">
        <f>IF('Tuesday Leagues'!$J48="","",'Tuesday Leagues'!$J48)</f>
        <v/>
      </c>
      <c r="P945">
        <f>IF('Tuesday Leagues'!$J48="","",'Tuesday Leagues'!$K48)</f>
        <v/>
      </c>
    </row>
    <row r="946">
      <c r="A946">
        <f>IF('Tuesday Leagues'!$J49="","","Tuesday Night League "&amp;'Tuesday Leagues'!$A49)</f>
        <v/>
      </c>
      <c r="B946">
        <f>IF('Tuesday Leagues'!$J49="","","Tuesday Night League")</f>
        <v/>
      </c>
      <c r="C946" s="18">
        <f>IF('Tuesday Leagues'!$J49="","",'Tuesday Leagues'!$B49)</f>
        <v/>
      </c>
      <c r="E946">
        <f>IF('Tuesday Leagues'!$J49="","",'Tuesday Leagues'!$C49&amp;"")</f>
        <v/>
      </c>
      <c r="F946">
        <f>IF('Tuesday Leagues'!$J49="","",'Tuesday Leagues'!$D49&amp;"")</f>
        <v/>
      </c>
      <c r="G946">
        <f>IF('Tuesday Leagues'!$J49="","",'Tuesday Leagues'!$E49&amp;"")</f>
        <v/>
      </c>
      <c r="H946">
        <f>IF('Tuesday Leagues'!$J49="","",'Tuesday Leagues'!$F49&amp;"")</f>
        <v/>
      </c>
      <c r="I946">
        <f>IF('Tuesday Leagues'!$J49="","",'Tuesday Leagues'!$G49&amp;"")</f>
        <v/>
      </c>
      <c r="J946">
        <f>IF('Tuesday Leagues'!$J49="","",'Tuesday Leagues'!$H49)</f>
        <v/>
      </c>
      <c r="K946">
        <f>IF('Tuesday Leagues'!$J49="","",COUNTIFS('Tuesday Leagues'!$A$5:$A$154,'Tuesday Leagues'!$A49,'Tuesday Leagues'!$H$5:$H$154,'Tuesday Leagues'!$H49))</f>
        <v/>
      </c>
      <c r="L946">
        <f>IF('Tuesday Leagues'!$J49="","","")</f>
        <v/>
      </c>
      <c r="M946">
        <f>IF('Tuesday Leagues'!$J49="","",'Tuesday Leagues'!$I49)</f>
        <v/>
      </c>
      <c r="N946">
        <f>IF('Tuesday Leagues'!$J49="","",'Tuesday Leagues'!$J49)</f>
        <v/>
      </c>
      <c r="O946">
        <f>IF('Tuesday Leagues'!$J49="","",'Tuesday Leagues'!$J49)</f>
        <v/>
      </c>
      <c r="P946">
        <f>IF('Tuesday Leagues'!$J49="","",'Tuesday Leagues'!$K49)</f>
        <v/>
      </c>
    </row>
    <row r="947">
      <c r="A947">
        <f>IF('Tuesday Leagues'!$J50="","","Tuesday Night League "&amp;'Tuesday Leagues'!$A50)</f>
        <v/>
      </c>
      <c r="B947">
        <f>IF('Tuesday Leagues'!$J50="","","Tuesday Night League")</f>
        <v/>
      </c>
      <c r="C947" s="18">
        <f>IF('Tuesday Leagues'!$J50="","",'Tuesday Leagues'!$B50)</f>
        <v/>
      </c>
      <c r="E947">
        <f>IF('Tuesday Leagues'!$J50="","",'Tuesday Leagues'!$C50&amp;"")</f>
        <v/>
      </c>
      <c r="F947">
        <f>IF('Tuesday Leagues'!$J50="","",'Tuesday Leagues'!$D50&amp;"")</f>
        <v/>
      </c>
      <c r="G947">
        <f>IF('Tuesday Leagues'!$J50="","",'Tuesday Leagues'!$E50&amp;"")</f>
        <v/>
      </c>
      <c r="H947">
        <f>IF('Tuesday Leagues'!$J50="","",'Tuesday Leagues'!$F50&amp;"")</f>
        <v/>
      </c>
      <c r="I947">
        <f>IF('Tuesday Leagues'!$J50="","",'Tuesday Leagues'!$G50&amp;"")</f>
        <v/>
      </c>
      <c r="J947">
        <f>IF('Tuesday Leagues'!$J50="","",'Tuesday Leagues'!$H50)</f>
        <v/>
      </c>
      <c r="K947">
        <f>IF('Tuesday Leagues'!$J50="","",COUNTIFS('Tuesday Leagues'!$A$5:$A$154,'Tuesday Leagues'!$A50,'Tuesday Leagues'!$H$5:$H$154,'Tuesday Leagues'!$H50))</f>
        <v/>
      </c>
      <c r="L947">
        <f>IF('Tuesday Leagues'!$J50="","","")</f>
        <v/>
      </c>
      <c r="M947">
        <f>IF('Tuesday Leagues'!$J50="","",'Tuesday Leagues'!$I50)</f>
        <v/>
      </c>
      <c r="N947">
        <f>IF('Tuesday Leagues'!$J50="","",'Tuesday Leagues'!$J50)</f>
        <v/>
      </c>
      <c r="O947">
        <f>IF('Tuesday Leagues'!$J50="","",'Tuesday Leagues'!$J50)</f>
        <v/>
      </c>
      <c r="P947">
        <f>IF('Tuesday Leagues'!$J50="","",'Tuesday Leagues'!$K50)</f>
        <v/>
      </c>
    </row>
    <row r="948">
      <c r="A948">
        <f>IF('Tuesday Leagues'!$J51="","","Tuesday Night League "&amp;'Tuesday Leagues'!$A51)</f>
        <v/>
      </c>
      <c r="B948">
        <f>IF('Tuesday Leagues'!$J51="","","Tuesday Night League")</f>
        <v/>
      </c>
      <c r="C948" s="18">
        <f>IF('Tuesday Leagues'!$J51="","",'Tuesday Leagues'!$B51)</f>
        <v/>
      </c>
      <c r="E948">
        <f>IF('Tuesday Leagues'!$J51="","",'Tuesday Leagues'!$C51&amp;"")</f>
        <v/>
      </c>
      <c r="F948">
        <f>IF('Tuesday Leagues'!$J51="","",'Tuesday Leagues'!$D51&amp;"")</f>
        <v/>
      </c>
      <c r="G948">
        <f>IF('Tuesday Leagues'!$J51="","",'Tuesday Leagues'!$E51&amp;"")</f>
        <v/>
      </c>
      <c r="H948">
        <f>IF('Tuesday Leagues'!$J51="","",'Tuesday Leagues'!$F51&amp;"")</f>
        <v/>
      </c>
      <c r="I948">
        <f>IF('Tuesday Leagues'!$J51="","",'Tuesday Leagues'!$G51&amp;"")</f>
        <v/>
      </c>
      <c r="J948">
        <f>IF('Tuesday Leagues'!$J51="","",'Tuesday Leagues'!$H51)</f>
        <v/>
      </c>
      <c r="K948">
        <f>IF('Tuesday Leagues'!$J51="","",COUNTIFS('Tuesday Leagues'!$A$5:$A$154,'Tuesday Leagues'!$A51,'Tuesday Leagues'!$H$5:$H$154,'Tuesday Leagues'!$H51))</f>
        <v/>
      </c>
      <c r="L948">
        <f>IF('Tuesday Leagues'!$J51="","","")</f>
        <v/>
      </c>
      <c r="M948">
        <f>IF('Tuesday Leagues'!$J51="","",'Tuesday Leagues'!$I51)</f>
        <v/>
      </c>
      <c r="N948">
        <f>IF('Tuesday Leagues'!$J51="","",'Tuesday Leagues'!$J51)</f>
        <v/>
      </c>
      <c r="O948">
        <f>IF('Tuesday Leagues'!$J51="","",'Tuesday Leagues'!$J51)</f>
        <v/>
      </c>
      <c r="P948">
        <f>IF('Tuesday Leagues'!$J51="","",'Tuesday Leagues'!$K51)</f>
        <v/>
      </c>
    </row>
    <row r="949">
      <c r="A949">
        <f>IF('Tuesday Leagues'!$J52="","","Tuesday Night League "&amp;'Tuesday Leagues'!$A52)</f>
        <v/>
      </c>
      <c r="B949">
        <f>IF('Tuesday Leagues'!$J52="","","Tuesday Night League")</f>
        <v/>
      </c>
      <c r="C949" s="18">
        <f>IF('Tuesday Leagues'!$J52="","",'Tuesday Leagues'!$B52)</f>
        <v/>
      </c>
      <c r="E949">
        <f>IF('Tuesday Leagues'!$J52="","",'Tuesday Leagues'!$C52&amp;"")</f>
        <v/>
      </c>
      <c r="F949">
        <f>IF('Tuesday Leagues'!$J52="","",'Tuesday Leagues'!$D52&amp;"")</f>
        <v/>
      </c>
      <c r="G949">
        <f>IF('Tuesday Leagues'!$J52="","",'Tuesday Leagues'!$E52&amp;"")</f>
        <v/>
      </c>
      <c r="H949">
        <f>IF('Tuesday Leagues'!$J52="","",'Tuesday Leagues'!$F52&amp;"")</f>
        <v/>
      </c>
      <c r="I949">
        <f>IF('Tuesday Leagues'!$J52="","",'Tuesday Leagues'!$G52&amp;"")</f>
        <v/>
      </c>
      <c r="J949">
        <f>IF('Tuesday Leagues'!$J52="","",'Tuesday Leagues'!$H52)</f>
        <v/>
      </c>
      <c r="K949">
        <f>IF('Tuesday Leagues'!$J52="","",COUNTIFS('Tuesday Leagues'!$A$5:$A$154,'Tuesday Leagues'!$A52,'Tuesday Leagues'!$H$5:$H$154,'Tuesday Leagues'!$H52))</f>
        <v/>
      </c>
      <c r="L949">
        <f>IF('Tuesday Leagues'!$J52="","","")</f>
        <v/>
      </c>
      <c r="M949">
        <f>IF('Tuesday Leagues'!$J52="","",'Tuesday Leagues'!$I52)</f>
        <v/>
      </c>
      <c r="N949">
        <f>IF('Tuesday Leagues'!$J52="","",'Tuesday Leagues'!$J52)</f>
        <v/>
      </c>
      <c r="O949">
        <f>IF('Tuesday Leagues'!$J52="","",'Tuesday Leagues'!$J52)</f>
        <v/>
      </c>
      <c r="P949">
        <f>IF('Tuesday Leagues'!$J52="","",'Tuesday Leagues'!$K52)</f>
        <v/>
      </c>
    </row>
    <row r="950">
      <c r="A950">
        <f>IF('Tuesday Leagues'!$J53="","","Tuesday Night League "&amp;'Tuesday Leagues'!$A53)</f>
        <v/>
      </c>
      <c r="B950">
        <f>IF('Tuesday Leagues'!$J53="","","Tuesday Night League")</f>
        <v/>
      </c>
      <c r="C950" s="18">
        <f>IF('Tuesday Leagues'!$J53="","",'Tuesday Leagues'!$B53)</f>
        <v/>
      </c>
      <c r="E950">
        <f>IF('Tuesday Leagues'!$J53="","",'Tuesday Leagues'!$C53&amp;"")</f>
        <v/>
      </c>
      <c r="F950">
        <f>IF('Tuesday Leagues'!$J53="","",'Tuesday Leagues'!$D53&amp;"")</f>
        <v/>
      </c>
      <c r="G950">
        <f>IF('Tuesday Leagues'!$J53="","",'Tuesday Leagues'!$E53&amp;"")</f>
        <v/>
      </c>
      <c r="H950">
        <f>IF('Tuesday Leagues'!$J53="","",'Tuesday Leagues'!$F53&amp;"")</f>
        <v/>
      </c>
      <c r="I950">
        <f>IF('Tuesday Leagues'!$J53="","",'Tuesday Leagues'!$G53&amp;"")</f>
        <v/>
      </c>
      <c r="J950">
        <f>IF('Tuesday Leagues'!$J53="","",'Tuesday Leagues'!$H53)</f>
        <v/>
      </c>
      <c r="K950">
        <f>IF('Tuesday Leagues'!$J53="","",COUNTIFS('Tuesday Leagues'!$A$5:$A$154,'Tuesday Leagues'!$A53,'Tuesday Leagues'!$H$5:$H$154,'Tuesday Leagues'!$H53))</f>
        <v/>
      </c>
      <c r="L950">
        <f>IF('Tuesday Leagues'!$J53="","","")</f>
        <v/>
      </c>
      <c r="M950">
        <f>IF('Tuesday Leagues'!$J53="","",'Tuesday Leagues'!$I53)</f>
        <v/>
      </c>
      <c r="N950">
        <f>IF('Tuesday Leagues'!$J53="","",'Tuesday Leagues'!$J53)</f>
        <v/>
      </c>
      <c r="O950">
        <f>IF('Tuesday Leagues'!$J53="","",'Tuesday Leagues'!$J53)</f>
        <v/>
      </c>
      <c r="P950">
        <f>IF('Tuesday Leagues'!$J53="","",'Tuesday Leagues'!$K53)</f>
        <v/>
      </c>
    </row>
    <row r="951">
      <c r="A951">
        <f>IF('Tuesday Leagues'!$J54="","","Tuesday Night League "&amp;'Tuesday Leagues'!$A54)</f>
        <v/>
      </c>
      <c r="B951">
        <f>IF('Tuesday Leagues'!$J54="","","Tuesday Night League")</f>
        <v/>
      </c>
      <c r="C951" s="18">
        <f>IF('Tuesday Leagues'!$J54="","",'Tuesday Leagues'!$B54)</f>
        <v/>
      </c>
      <c r="E951">
        <f>IF('Tuesday Leagues'!$J54="","",'Tuesday Leagues'!$C54&amp;"")</f>
        <v/>
      </c>
      <c r="F951">
        <f>IF('Tuesday Leagues'!$J54="","",'Tuesday Leagues'!$D54&amp;"")</f>
        <v/>
      </c>
      <c r="G951">
        <f>IF('Tuesday Leagues'!$J54="","",'Tuesday Leagues'!$E54&amp;"")</f>
        <v/>
      </c>
      <c r="H951">
        <f>IF('Tuesday Leagues'!$J54="","",'Tuesday Leagues'!$F54&amp;"")</f>
        <v/>
      </c>
      <c r="I951">
        <f>IF('Tuesday Leagues'!$J54="","",'Tuesday Leagues'!$G54&amp;"")</f>
        <v/>
      </c>
      <c r="J951">
        <f>IF('Tuesday Leagues'!$J54="","",'Tuesday Leagues'!$H54)</f>
        <v/>
      </c>
      <c r="K951">
        <f>IF('Tuesday Leagues'!$J54="","",COUNTIFS('Tuesday Leagues'!$A$5:$A$154,'Tuesday Leagues'!$A54,'Tuesday Leagues'!$H$5:$H$154,'Tuesday Leagues'!$H54))</f>
        <v/>
      </c>
      <c r="L951">
        <f>IF('Tuesday Leagues'!$J54="","","")</f>
        <v/>
      </c>
      <c r="M951">
        <f>IF('Tuesday Leagues'!$J54="","",'Tuesday Leagues'!$I54)</f>
        <v/>
      </c>
      <c r="N951">
        <f>IF('Tuesday Leagues'!$J54="","",'Tuesday Leagues'!$J54)</f>
        <v/>
      </c>
      <c r="O951">
        <f>IF('Tuesday Leagues'!$J54="","",'Tuesday Leagues'!$J54)</f>
        <v/>
      </c>
      <c r="P951">
        <f>IF('Tuesday Leagues'!$J54="","",'Tuesday Leagues'!$K54)</f>
        <v/>
      </c>
    </row>
    <row r="952">
      <c r="A952">
        <f>IF('Tuesday Leagues'!$J55="","","Tuesday Night League "&amp;'Tuesday Leagues'!$A55)</f>
        <v/>
      </c>
      <c r="B952">
        <f>IF('Tuesday Leagues'!$J55="","","Tuesday Night League")</f>
        <v/>
      </c>
      <c r="C952" s="18">
        <f>IF('Tuesday Leagues'!$J55="","",'Tuesday Leagues'!$B55)</f>
        <v/>
      </c>
      <c r="E952">
        <f>IF('Tuesday Leagues'!$J55="","",'Tuesday Leagues'!$C55&amp;"")</f>
        <v/>
      </c>
      <c r="F952">
        <f>IF('Tuesday Leagues'!$J55="","",'Tuesday Leagues'!$D55&amp;"")</f>
        <v/>
      </c>
      <c r="G952">
        <f>IF('Tuesday Leagues'!$J55="","",'Tuesday Leagues'!$E55&amp;"")</f>
        <v/>
      </c>
      <c r="H952">
        <f>IF('Tuesday Leagues'!$J55="","",'Tuesday Leagues'!$F55&amp;"")</f>
        <v/>
      </c>
      <c r="I952">
        <f>IF('Tuesday Leagues'!$J55="","",'Tuesday Leagues'!$G55&amp;"")</f>
        <v/>
      </c>
      <c r="J952">
        <f>IF('Tuesday Leagues'!$J55="","",'Tuesday Leagues'!$H55)</f>
        <v/>
      </c>
      <c r="K952">
        <f>IF('Tuesday Leagues'!$J55="","",COUNTIFS('Tuesday Leagues'!$A$5:$A$154,'Tuesday Leagues'!$A55,'Tuesday Leagues'!$H$5:$H$154,'Tuesday Leagues'!$H55))</f>
        <v/>
      </c>
      <c r="L952">
        <f>IF('Tuesday Leagues'!$J55="","","")</f>
        <v/>
      </c>
      <c r="M952">
        <f>IF('Tuesday Leagues'!$J55="","",'Tuesday Leagues'!$I55)</f>
        <v/>
      </c>
      <c r="N952">
        <f>IF('Tuesday Leagues'!$J55="","",'Tuesday Leagues'!$J55)</f>
        <v/>
      </c>
      <c r="O952">
        <f>IF('Tuesday Leagues'!$J55="","",'Tuesday Leagues'!$J55)</f>
        <v/>
      </c>
      <c r="P952">
        <f>IF('Tuesday Leagues'!$J55="","",'Tuesday Leagues'!$K55)</f>
        <v/>
      </c>
    </row>
    <row r="953">
      <c r="A953">
        <f>IF('Tuesday Leagues'!$J56="","","Tuesday Night League "&amp;'Tuesday Leagues'!$A56)</f>
        <v/>
      </c>
      <c r="B953">
        <f>IF('Tuesday Leagues'!$J56="","","Tuesday Night League")</f>
        <v/>
      </c>
      <c r="C953" s="18">
        <f>IF('Tuesday Leagues'!$J56="","",'Tuesday Leagues'!$B56)</f>
        <v/>
      </c>
      <c r="E953">
        <f>IF('Tuesday Leagues'!$J56="","",'Tuesday Leagues'!$C56&amp;"")</f>
        <v/>
      </c>
      <c r="F953">
        <f>IF('Tuesday Leagues'!$J56="","",'Tuesday Leagues'!$D56&amp;"")</f>
        <v/>
      </c>
      <c r="G953">
        <f>IF('Tuesday Leagues'!$J56="","",'Tuesday Leagues'!$E56&amp;"")</f>
        <v/>
      </c>
      <c r="H953">
        <f>IF('Tuesday Leagues'!$J56="","",'Tuesday Leagues'!$F56&amp;"")</f>
        <v/>
      </c>
      <c r="I953">
        <f>IF('Tuesday Leagues'!$J56="","",'Tuesday Leagues'!$G56&amp;"")</f>
        <v/>
      </c>
      <c r="J953">
        <f>IF('Tuesday Leagues'!$J56="","",'Tuesday Leagues'!$H56)</f>
        <v/>
      </c>
      <c r="K953">
        <f>IF('Tuesday Leagues'!$J56="","",COUNTIFS('Tuesday Leagues'!$A$5:$A$154,'Tuesday Leagues'!$A56,'Tuesday Leagues'!$H$5:$H$154,'Tuesday Leagues'!$H56))</f>
        <v/>
      </c>
      <c r="L953">
        <f>IF('Tuesday Leagues'!$J56="","","")</f>
        <v/>
      </c>
      <c r="M953">
        <f>IF('Tuesday Leagues'!$J56="","",'Tuesday Leagues'!$I56)</f>
        <v/>
      </c>
      <c r="N953">
        <f>IF('Tuesday Leagues'!$J56="","",'Tuesday Leagues'!$J56)</f>
        <v/>
      </c>
      <c r="O953">
        <f>IF('Tuesday Leagues'!$J56="","",'Tuesday Leagues'!$J56)</f>
        <v/>
      </c>
      <c r="P953">
        <f>IF('Tuesday Leagues'!$J56="","",'Tuesday Leagues'!$K56)</f>
        <v/>
      </c>
    </row>
    <row r="954">
      <c r="A954">
        <f>IF('Tuesday Leagues'!$J57="","","Tuesday Night League "&amp;'Tuesday Leagues'!$A57)</f>
        <v/>
      </c>
      <c r="B954">
        <f>IF('Tuesday Leagues'!$J57="","","Tuesday Night League")</f>
        <v/>
      </c>
      <c r="C954" s="18">
        <f>IF('Tuesday Leagues'!$J57="","",'Tuesday Leagues'!$B57)</f>
        <v/>
      </c>
      <c r="E954">
        <f>IF('Tuesday Leagues'!$J57="","",'Tuesday Leagues'!$C57&amp;"")</f>
        <v/>
      </c>
      <c r="F954">
        <f>IF('Tuesday Leagues'!$J57="","",'Tuesday Leagues'!$D57&amp;"")</f>
        <v/>
      </c>
      <c r="G954">
        <f>IF('Tuesday Leagues'!$J57="","",'Tuesday Leagues'!$E57&amp;"")</f>
        <v/>
      </c>
      <c r="H954">
        <f>IF('Tuesday Leagues'!$J57="","",'Tuesday Leagues'!$F57&amp;"")</f>
        <v/>
      </c>
      <c r="I954">
        <f>IF('Tuesday Leagues'!$J57="","",'Tuesday Leagues'!$G57&amp;"")</f>
        <v/>
      </c>
      <c r="J954">
        <f>IF('Tuesday Leagues'!$J57="","",'Tuesday Leagues'!$H57)</f>
        <v/>
      </c>
      <c r="K954">
        <f>IF('Tuesday Leagues'!$J57="","",COUNTIFS('Tuesday Leagues'!$A$5:$A$154,'Tuesday Leagues'!$A57,'Tuesday Leagues'!$H$5:$H$154,'Tuesday Leagues'!$H57))</f>
        <v/>
      </c>
      <c r="L954">
        <f>IF('Tuesday Leagues'!$J57="","","")</f>
        <v/>
      </c>
      <c r="M954">
        <f>IF('Tuesday Leagues'!$J57="","",'Tuesday Leagues'!$I57)</f>
        <v/>
      </c>
      <c r="N954">
        <f>IF('Tuesday Leagues'!$J57="","",'Tuesday Leagues'!$J57)</f>
        <v/>
      </c>
      <c r="O954">
        <f>IF('Tuesday Leagues'!$J57="","",'Tuesday Leagues'!$J57)</f>
        <v/>
      </c>
      <c r="P954">
        <f>IF('Tuesday Leagues'!$J57="","",'Tuesday Leagues'!$K57)</f>
        <v/>
      </c>
    </row>
    <row r="955">
      <c r="A955">
        <f>IF('Tuesday Leagues'!$J58="","","Tuesday Night League "&amp;'Tuesday Leagues'!$A58)</f>
        <v/>
      </c>
      <c r="B955">
        <f>IF('Tuesday Leagues'!$J58="","","Tuesday Night League")</f>
        <v/>
      </c>
      <c r="C955" s="18">
        <f>IF('Tuesday Leagues'!$J58="","",'Tuesday Leagues'!$B58)</f>
        <v/>
      </c>
      <c r="E955">
        <f>IF('Tuesday Leagues'!$J58="","",'Tuesday Leagues'!$C58&amp;"")</f>
        <v/>
      </c>
      <c r="F955">
        <f>IF('Tuesday Leagues'!$J58="","",'Tuesday Leagues'!$D58&amp;"")</f>
        <v/>
      </c>
      <c r="G955">
        <f>IF('Tuesday Leagues'!$J58="","",'Tuesday Leagues'!$E58&amp;"")</f>
        <v/>
      </c>
      <c r="H955">
        <f>IF('Tuesday Leagues'!$J58="","",'Tuesday Leagues'!$F58&amp;"")</f>
        <v/>
      </c>
      <c r="I955">
        <f>IF('Tuesday Leagues'!$J58="","",'Tuesday Leagues'!$G58&amp;"")</f>
        <v/>
      </c>
      <c r="J955">
        <f>IF('Tuesday Leagues'!$J58="","",'Tuesday Leagues'!$H58)</f>
        <v/>
      </c>
      <c r="K955">
        <f>IF('Tuesday Leagues'!$J58="","",COUNTIFS('Tuesday Leagues'!$A$5:$A$154,'Tuesday Leagues'!$A58,'Tuesday Leagues'!$H$5:$H$154,'Tuesday Leagues'!$H58))</f>
        <v/>
      </c>
      <c r="L955">
        <f>IF('Tuesday Leagues'!$J58="","","")</f>
        <v/>
      </c>
      <c r="M955">
        <f>IF('Tuesday Leagues'!$J58="","",'Tuesday Leagues'!$I58)</f>
        <v/>
      </c>
      <c r="N955">
        <f>IF('Tuesday Leagues'!$J58="","",'Tuesday Leagues'!$J58)</f>
        <v/>
      </c>
      <c r="O955">
        <f>IF('Tuesday Leagues'!$J58="","",'Tuesday Leagues'!$J58)</f>
        <v/>
      </c>
      <c r="P955">
        <f>IF('Tuesday Leagues'!$J58="","",'Tuesday Leagues'!$K58)</f>
        <v/>
      </c>
    </row>
    <row r="956">
      <c r="A956">
        <f>IF('Tuesday Leagues'!$J59="","","Tuesday Night League "&amp;'Tuesday Leagues'!$A59)</f>
        <v/>
      </c>
      <c r="B956">
        <f>IF('Tuesday Leagues'!$J59="","","Tuesday Night League")</f>
        <v/>
      </c>
      <c r="C956" s="18">
        <f>IF('Tuesday Leagues'!$J59="","",'Tuesday Leagues'!$B59)</f>
        <v/>
      </c>
      <c r="E956">
        <f>IF('Tuesday Leagues'!$J59="","",'Tuesday Leagues'!$C59&amp;"")</f>
        <v/>
      </c>
      <c r="F956">
        <f>IF('Tuesday Leagues'!$J59="","",'Tuesday Leagues'!$D59&amp;"")</f>
        <v/>
      </c>
      <c r="G956">
        <f>IF('Tuesday Leagues'!$J59="","",'Tuesday Leagues'!$E59&amp;"")</f>
        <v/>
      </c>
      <c r="H956">
        <f>IF('Tuesday Leagues'!$J59="","",'Tuesday Leagues'!$F59&amp;"")</f>
        <v/>
      </c>
      <c r="I956">
        <f>IF('Tuesday Leagues'!$J59="","",'Tuesday Leagues'!$G59&amp;"")</f>
        <v/>
      </c>
      <c r="J956">
        <f>IF('Tuesday Leagues'!$J59="","",'Tuesday Leagues'!$H59)</f>
        <v/>
      </c>
      <c r="K956">
        <f>IF('Tuesday Leagues'!$J59="","",COUNTIFS('Tuesday Leagues'!$A$5:$A$154,'Tuesday Leagues'!$A59,'Tuesday Leagues'!$H$5:$H$154,'Tuesday Leagues'!$H59))</f>
        <v/>
      </c>
      <c r="L956">
        <f>IF('Tuesday Leagues'!$J59="","","")</f>
        <v/>
      </c>
      <c r="M956">
        <f>IF('Tuesday Leagues'!$J59="","",'Tuesday Leagues'!$I59)</f>
        <v/>
      </c>
      <c r="N956">
        <f>IF('Tuesday Leagues'!$J59="","",'Tuesday Leagues'!$J59)</f>
        <v/>
      </c>
      <c r="O956">
        <f>IF('Tuesday Leagues'!$J59="","",'Tuesday Leagues'!$J59)</f>
        <v/>
      </c>
      <c r="P956">
        <f>IF('Tuesday Leagues'!$J59="","",'Tuesday Leagues'!$K59)</f>
        <v/>
      </c>
    </row>
    <row r="957">
      <c r="A957">
        <f>IF('Tuesday Leagues'!$J60="","","Tuesday Night League "&amp;'Tuesday Leagues'!$A60)</f>
        <v/>
      </c>
      <c r="B957">
        <f>IF('Tuesday Leagues'!$J60="","","Tuesday Night League")</f>
        <v/>
      </c>
      <c r="C957" s="18">
        <f>IF('Tuesday Leagues'!$J60="","",'Tuesday Leagues'!$B60)</f>
        <v/>
      </c>
      <c r="E957">
        <f>IF('Tuesday Leagues'!$J60="","",'Tuesday Leagues'!$C60&amp;"")</f>
        <v/>
      </c>
      <c r="F957">
        <f>IF('Tuesday Leagues'!$J60="","",'Tuesday Leagues'!$D60&amp;"")</f>
        <v/>
      </c>
      <c r="G957">
        <f>IF('Tuesday Leagues'!$J60="","",'Tuesday Leagues'!$E60&amp;"")</f>
        <v/>
      </c>
      <c r="H957">
        <f>IF('Tuesday Leagues'!$J60="","",'Tuesday Leagues'!$F60&amp;"")</f>
        <v/>
      </c>
      <c r="I957">
        <f>IF('Tuesday Leagues'!$J60="","",'Tuesday Leagues'!$G60&amp;"")</f>
        <v/>
      </c>
      <c r="J957">
        <f>IF('Tuesday Leagues'!$J60="","",'Tuesday Leagues'!$H60)</f>
        <v/>
      </c>
      <c r="K957">
        <f>IF('Tuesday Leagues'!$J60="","",COUNTIFS('Tuesday Leagues'!$A$5:$A$154,'Tuesday Leagues'!$A60,'Tuesday Leagues'!$H$5:$H$154,'Tuesday Leagues'!$H60))</f>
        <v/>
      </c>
      <c r="L957">
        <f>IF('Tuesday Leagues'!$J60="","","")</f>
        <v/>
      </c>
      <c r="M957">
        <f>IF('Tuesday Leagues'!$J60="","",'Tuesday Leagues'!$I60)</f>
        <v/>
      </c>
      <c r="N957">
        <f>IF('Tuesday Leagues'!$J60="","",'Tuesday Leagues'!$J60)</f>
        <v/>
      </c>
      <c r="O957">
        <f>IF('Tuesday Leagues'!$J60="","",'Tuesday Leagues'!$J60)</f>
        <v/>
      </c>
      <c r="P957">
        <f>IF('Tuesday Leagues'!$J60="","",'Tuesday Leagues'!$K60)</f>
        <v/>
      </c>
    </row>
    <row r="958">
      <c r="A958">
        <f>IF('Tuesday Leagues'!$J61="","","Tuesday Night League "&amp;'Tuesday Leagues'!$A61)</f>
        <v/>
      </c>
      <c r="B958">
        <f>IF('Tuesday Leagues'!$J61="","","Tuesday Night League")</f>
        <v/>
      </c>
      <c r="C958" s="18">
        <f>IF('Tuesday Leagues'!$J61="","",'Tuesday Leagues'!$B61)</f>
        <v/>
      </c>
      <c r="E958">
        <f>IF('Tuesday Leagues'!$J61="","",'Tuesday Leagues'!$C61&amp;"")</f>
        <v/>
      </c>
      <c r="F958">
        <f>IF('Tuesday Leagues'!$J61="","",'Tuesday Leagues'!$D61&amp;"")</f>
        <v/>
      </c>
      <c r="G958">
        <f>IF('Tuesday Leagues'!$J61="","",'Tuesday Leagues'!$E61&amp;"")</f>
        <v/>
      </c>
      <c r="H958">
        <f>IF('Tuesday Leagues'!$J61="","",'Tuesday Leagues'!$F61&amp;"")</f>
        <v/>
      </c>
      <c r="I958">
        <f>IF('Tuesday Leagues'!$J61="","",'Tuesday Leagues'!$G61&amp;"")</f>
        <v/>
      </c>
      <c r="J958">
        <f>IF('Tuesday Leagues'!$J61="","",'Tuesday Leagues'!$H61)</f>
        <v/>
      </c>
      <c r="K958">
        <f>IF('Tuesday Leagues'!$J61="","",COUNTIFS('Tuesday Leagues'!$A$5:$A$154,'Tuesday Leagues'!$A61,'Tuesday Leagues'!$H$5:$H$154,'Tuesday Leagues'!$H61))</f>
        <v/>
      </c>
      <c r="L958">
        <f>IF('Tuesday Leagues'!$J61="","","")</f>
        <v/>
      </c>
      <c r="M958">
        <f>IF('Tuesday Leagues'!$J61="","",'Tuesday Leagues'!$I61)</f>
        <v/>
      </c>
      <c r="N958">
        <f>IF('Tuesday Leagues'!$J61="","",'Tuesday Leagues'!$J61)</f>
        <v/>
      </c>
      <c r="O958">
        <f>IF('Tuesday Leagues'!$J61="","",'Tuesday Leagues'!$J61)</f>
        <v/>
      </c>
      <c r="P958">
        <f>IF('Tuesday Leagues'!$J61="","",'Tuesday Leagues'!$K61)</f>
        <v/>
      </c>
    </row>
    <row r="959">
      <c r="A959">
        <f>IF('Tuesday Leagues'!$J62="","","Tuesday Night League "&amp;'Tuesday Leagues'!$A62)</f>
        <v/>
      </c>
      <c r="B959">
        <f>IF('Tuesday Leagues'!$J62="","","Tuesday Night League")</f>
        <v/>
      </c>
      <c r="C959" s="18">
        <f>IF('Tuesday Leagues'!$J62="","",'Tuesday Leagues'!$B62)</f>
        <v/>
      </c>
      <c r="E959">
        <f>IF('Tuesday Leagues'!$J62="","",'Tuesday Leagues'!$C62&amp;"")</f>
        <v/>
      </c>
      <c r="F959">
        <f>IF('Tuesday Leagues'!$J62="","",'Tuesday Leagues'!$D62&amp;"")</f>
        <v/>
      </c>
      <c r="G959">
        <f>IF('Tuesday Leagues'!$J62="","",'Tuesday Leagues'!$E62&amp;"")</f>
        <v/>
      </c>
      <c r="H959">
        <f>IF('Tuesday Leagues'!$J62="","",'Tuesday Leagues'!$F62&amp;"")</f>
        <v/>
      </c>
      <c r="I959">
        <f>IF('Tuesday Leagues'!$J62="","",'Tuesday Leagues'!$G62&amp;"")</f>
        <v/>
      </c>
      <c r="J959">
        <f>IF('Tuesday Leagues'!$J62="","",'Tuesday Leagues'!$H62)</f>
        <v/>
      </c>
      <c r="K959">
        <f>IF('Tuesday Leagues'!$J62="","",COUNTIFS('Tuesday Leagues'!$A$5:$A$154,'Tuesday Leagues'!$A62,'Tuesday Leagues'!$H$5:$H$154,'Tuesday Leagues'!$H62))</f>
        <v/>
      </c>
      <c r="L959">
        <f>IF('Tuesday Leagues'!$J62="","","")</f>
        <v/>
      </c>
      <c r="M959">
        <f>IF('Tuesday Leagues'!$J62="","",'Tuesday Leagues'!$I62)</f>
        <v/>
      </c>
      <c r="N959">
        <f>IF('Tuesday Leagues'!$J62="","",'Tuesday Leagues'!$J62)</f>
        <v/>
      </c>
      <c r="O959">
        <f>IF('Tuesday Leagues'!$J62="","",'Tuesday Leagues'!$J62)</f>
        <v/>
      </c>
      <c r="P959">
        <f>IF('Tuesday Leagues'!$J62="","",'Tuesday Leagues'!$K62)</f>
        <v/>
      </c>
    </row>
    <row r="960">
      <c r="A960">
        <f>IF('Tuesday Leagues'!$J63="","","Tuesday Night League "&amp;'Tuesday Leagues'!$A63)</f>
        <v/>
      </c>
      <c r="B960">
        <f>IF('Tuesday Leagues'!$J63="","","Tuesday Night League")</f>
        <v/>
      </c>
      <c r="C960" s="18">
        <f>IF('Tuesday Leagues'!$J63="","",'Tuesday Leagues'!$B63)</f>
        <v/>
      </c>
      <c r="E960">
        <f>IF('Tuesday Leagues'!$J63="","",'Tuesday Leagues'!$C63&amp;"")</f>
        <v/>
      </c>
      <c r="F960">
        <f>IF('Tuesday Leagues'!$J63="","",'Tuesday Leagues'!$D63&amp;"")</f>
        <v/>
      </c>
      <c r="G960">
        <f>IF('Tuesday Leagues'!$J63="","",'Tuesday Leagues'!$E63&amp;"")</f>
        <v/>
      </c>
      <c r="H960">
        <f>IF('Tuesday Leagues'!$J63="","",'Tuesday Leagues'!$F63&amp;"")</f>
        <v/>
      </c>
      <c r="I960">
        <f>IF('Tuesday Leagues'!$J63="","",'Tuesday Leagues'!$G63&amp;"")</f>
        <v/>
      </c>
      <c r="J960">
        <f>IF('Tuesday Leagues'!$J63="","",'Tuesday Leagues'!$H63)</f>
        <v/>
      </c>
      <c r="K960">
        <f>IF('Tuesday Leagues'!$J63="","",COUNTIFS('Tuesday Leagues'!$A$5:$A$154,'Tuesday Leagues'!$A63,'Tuesday Leagues'!$H$5:$H$154,'Tuesday Leagues'!$H63))</f>
        <v/>
      </c>
      <c r="L960">
        <f>IF('Tuesday Leagues'!$J63="","","")</f>
        <v/>
      </c>
      <c r="M960">
        <f>IF('Tuesday Leagues'!$J63="","",'Tuesday Leagues'!$I63)</f>
        <v/>
      </c>
      <c r="N960">
        <f>IF('Tuesday Leagues'!$J63="","",'Tuesday Leagues'!$J63)</f>
        <v/>
      </c>
      <c r="O960">
        <f>IF('Tuesday Leagues'!$J63="","",'Tuesday Leagues'!$J63)</f>
        <v/>
      </c>
      <c r="P960">
        <f>IF('Tuesday Leagues'!$J63="","",'Tuesday Leagues'!$K63)</f>
        <v/>
      </c>
    </row>
    <row r="961">
      <c r="A961">
        <f>IF('Tuesday Leagues'!$J64="","","Tuesday Night League "&amp;'Tuesday Leagues'!$A64)</f>
        <v/>
      </c>
      <c r="B961">
        <f>IF('Tuesday Leagues'!$J64="","","Tuesday Night League")</f>
        <v/>
      </c>
      <c r="C961" s="18">
        <f>IF('Tuesday Leagues'!$J64="","",'Tuesday Leagues'!$B64)</f>
        <v/>
      </c>
      <c r="E961">
        <f>IF('Tuesday Leagues'!$J64="","",'Tuesday Leagues'!$C64&amp;"")</f>
        <v/>
      </c>
      <c r="F961">
        <f>IF('Tuesday Leagues'!$J64="","",'Tuesday Leagues'!$D64&amp;"")</f>
        <v/>
      </c>
      <c r="G961">
        <f>IF('Tuesday Leagues'!$J64="","",'Tuesday Leagues'!$E64&amp;"")</f>
        <v/>
      </c>
      <c r="H961">
        <f>IF('Tuesday Leagues'!$J64="","",'Tuesday Leagues'!$F64&amp;"")</f>
        <v/>
      </c>
      <c r="I961">
        <f>IF('Tuesday Leagues'!$J64="","",'Tuesday Leagues'!$G64&amp;"")</f>
        <v/>
      </c>
      <c r="J961">
        <f>IF('Tuesday Leagues'!$J64="","",'Tuesday Leagues'!$H64)</f>
        <v/>
      </c>
      <c r="K961">
        <f>IF('Tuesday Leagues'!$J64="","",COUNTIFS('Tuesday Leagues'!$A$5:$A$154,'Tuesday Leagues'!$A64,'Tuesday Leagues'!$H$5:$H$154,'Tuesday Leagues'!$H64))</f>
        <v/>
      </c>
      <c r="L961">
        <f>IF('Tuesday Leagues'!$J64="","","")</f>
        <v/>
      </c>
      <c r="M961">
        <f>IF('Tuesday Leagues'!$J64="","",'Tuesday Leagues'!$I64)</f>
        <v/>
      </c>
      <c r="N961">
        <f>IF('Tuesday Leagues'!$J64="","",'Tuesday Leagues'!$J64)</f>
        <v/>
      </c>
      <c r="O961">
        <f>IF('Tuesday Leagues'!$J64="","",'Tuesday Leagues'!$J64)</f>
        <v/>
      </c>
      <c r="P961">
        <f>IF('Tuesday Leagues'!$J64="","",'Tuesday Leagues'!$K64)</f>
        <v/>
      </c>
    </row>
    <row r="962">
      <c r="A962">
        <f>IF('Tuesday Leagues'!$J65="","","Tuesday Night League "&amp;'Tuesday Leagues'!$A65)</f>
        <v/>
      </c>
      <c r="B962">
        <f>IF('Tuesday Leagues'!$J65="","","Tuesday Night League")</f>
        <v/>
      </c>
      <c r="C962" s="18">
        <f>IF('Tuesday Leagues'!$J65="","",'Tuesday Leagues'!$B65)</f>
        <v/>
      </c>
      <c r="E962">
        <f>IF('Tuesday Leagues'!$J65="","",'Tuesday Leagues'!$C65&amp;"")</f>
        <v/>
      </c>
      <c r="F962">
        <f>IF('Tuesday Leagues'!$J65="","",'Tuesday Leagues'!$D65&amp;"")</f>
        <v/>
      </c>
      <c r="G962">
        <f>IF('Tuesday Leagues'!$J65="","",'Tuesday Leagues'!$E65&amp;"")</f>
        <v/>
      </c>
      <c r="H962">
        <f>IF('Tuesday Leagues'!$J65="","",'Tuesday Leagues'!$F65&amp;"")</f>
        <v/>
      </c>
      <c r="I962">
        <f>IF('Tuesday Leagues'!$J65="","",'Tuesday Leagues'!$G65&amp;"")</f>
        <v/>
      </c>
      <c r="J962">
        <f>IF('Tuesday Leagues'!$J65="","",'Tuesday Leagues'!$H65)</f>
        <v/>
      </c>
      <c r="K962">
        <f>IF('Tuesday Leagues'!$J65="","",COUNTIFS('Tuesday Leagues'!$A$5:$A$154,'Tuesday Leagues'!$A65,'Tuesday Leagues'!$H$5:$H$154,'Tuesday Leagues'!$H65))</f>
        <v/>
      </c>
      <c r="L962">
        <f>IF('Tuesday Leagues'!$J65="","","")</f>
        <v/>
      </c>
      <c r="M962">
        <f>IF('Tuesday Leagues'!$J65="","",'Tuesday Leagues'!$I65)</f>
        <v/>
      </c>
      <c r="N962">
        <f>IF('Tuesday Leagues'!$J65="","",'Tuesday Leagues'!$J65)</f>
        <v/>
      </c>
      <c r="O962">
        <f>IF('Tuesday Leagues'!$J65="","",'Tuesday Leagues'!$J65)</f>
        <v/>
      </c>
      <c r="P962">
        <f>IF('Tuesday Leagues'!$J65="","",'Tuesday Leagues'!$K65)</f>
        <v/>
      </c>
    </row>
    <row r="963">
      <c r="A963">
        <f>IF('Tuesday Leagues'!$J66="","","Tuesday Night League "&amp;'Tuesday Leagues'!$A66)</f>
        <v/>
      </c>
      <c r="B963">
        <f>IF('Tuesday Leagues'!$J66="","","Tuesday Night League")</f>
        <v/>
      </c>
      <c r="C963" s="18">
        <f>IF('Tuesday Leagues'!$J66="","",'Tuesday Leagues'!$B66)</f>
        <v/>
      </c>
      <c r="E963">
        <f>IF('Tuesday Leagues'!$J66="","",'Tuesday Leagues'!$C66&amp;"")</f>
        <v/>
      </c>
      <c r="F963">
        <f>IF('Tuesday Leagues'!$J66="","",'Tuesday Leagues'!$D66&amp;"")</f>
        <v/>
      </c>
      <c r="G963">
        <f>IF('Tuesday Leagues'!$J66="","",'Tuesday Leagues'!$E66&amp;"")</f>
        <v/>
      </c>
      <c r="H963">
        <f>IF('Tuesday Leagues'!$J66="","",'Tuesday Leagues'!$F66&amp;"")</f>
        <v/>
      </c>
      <c r="I963">
        <f>IF('Tuesday Leagues'!$J66="","",'Tuesday Leagues'!$G66&amp;"")</f>
        <v/>
      </c>
      <c r="J963">
        <f>IF('Tuesday Leagues'!$J66="","",'Tuesday Leagues'!$H66)</f>
        <v/>
      </c>
      <c r="K963">
        <f>IF('Tuesday Leagues'!$J66="","",COUNTIFS('Tuesday Leagues'!$A$5:$A$154,'Tuesday Leagues'!$A66,'Tuesday Leagues'!$H$5:$H$154,'Tuesday Leagues'!$H66))</f>
        <v/>
      </c>
      <c r="L963">
        <f>IF('Tuesday Leagues'!$J66="","","")</f>
        <v/>
      </c>
      <c r="M963">
        <f>IF('Tuesday Leagues'!$J66="","",'Tuesday Leagues'!$I66)</f>
        <v/>
      </c>
      <c r="N963">
        <f>IF('Tuesday Leagues'!$J66="","",'Tuesday Leagues'!$J66)</f>
        <v/>
      </c>
      <c r="O963">
        <f>IF('Tuesday Leagues'!$J66="","",'Tuesday Leagues'!$J66)</f>
        <v/>
      </c>
      <c r="P963">
        <f>IF('Tuesday Leagues'!$J66="","",'Tuesday Leagues'!$K66)</f>
        <v/>
      </c>
    </row>
    <row r="964">
      <c r="A964">
        <f>IF('Tuesday Leagues'!$J67="","","Tuesday Night League "&amp;'Tuesday Leagues'!$A67)</f>
        <v/>
      </c>
      <c r="B964">
        <f>IF('Tuesday Leagues'!$J67="","","Tuesday Night League")</f>
        <v/>
      </c>
      <c r="C964" s="18">
        <f>IF('Tuesday Leagues'!$J67="","",'Tuesday Leagues'!$B67)</f>
        <v/>
      </c>
      <c r="E964">
        <f>IF('Tuesday Leagues'!$J67="","",'Tuesday Leagues'!$C67&amp;"")</f>
        <v/>
      </c>
      <c r="F964">
        <f>IF('Tuesday Leagues'!$J67="","",'Tuesday Leagues'!$D67&amp;"")</f>
        <v/>
      </c>
      <c r="G964">
        <f>IF('Tuesday Leagues'!$J67="","",'Tuesday Leagues'!$E67&amp;"")</f>
        <v/>
      </c>
      <c r="H964">
        <f>IF('Tuesday Leagues'!$J67="","",'Tuesday Leagues'!$F67&amp;"")</f>
        <v/>
      </c>
      <c r="I964">
        <f>IF('Tuesday Leagues'!$J67="","",'Tuesday Leagues'!$G67&amp;"")</f>
        <v/>
      </c>
      <c r="J964">
        <f>IF('Tuesday Leagues'!$J67="","",'Tuesday Leagues'!$H67)</f>
        <v/>
      </c>
      <c r="K964">
        <f>IF('Tuesday Leagues'!$J67="","",COUNTIFS('Tuesday Leagues'!$A$5:$A$154,'Tuesday Leagues'!$A67,'Tuesday Leagues'!$H$5:$H$154,'Tuesday Leagues'!$H67))</f>
        <v/>
      </c>
      <c r="L964">
        <f>IF('Tuesday Leagues'!$J67="","","")</f>
        <v/>
      </c>
      <c r="M964">
        <f>IF('Tuesday Leagues'!$J67="","",'Tuesday Leagues'!$I67)</f>
        <v/>
      </c>
      <c r="N964">
        <f>IF('Tuesday Leagues'!$J67="","",'Tuesday Leagues'!$J67)</f>
        <v/>
      </c>
      <c r="O964">
        <f>IF('Tuesday Leagues'!$J67="","",'Tuesday Leagues'!$J67)</f>
        <v/>
      </c>
      <c r="P964">
        <f>IF('Tuesday Leagues'!$J67="","",'Tuesday Leagues'!$K67)</f>
        <v/>
      </c>
    </row>
    <row r="965">
      <c r="A965">
        <f>IF('Tuesday Leagues'!$J68="","","Tuesday Night League "&amp;'Tuesday Leagues'!$A68)</f>
        <v/>
      </c>
      <c r="B965">
        <f>IF('Tuesday Leagues'!$J68="","","Tuesday Night League")</f>
        <v/>
      </c>
      <c r="C965" s="18">
        <f>IF('Tuesday Leagues'!$J68="","",'Tuesday Leagues'!$B68)</f>
        <v/>
      </c>
      <c r="E965">
        <f>IF('Tuesday Leagues'!$J68="","",'Tuesday Leagues'!$C68&amp;"")</f>
        <v/>
      </c>
      <c r="F965">
        <f>IF('Tuesday Leagues'!$J68="","",'Tuesday Leagues'!$D68&amp;"")</f>
        <v/>
      </c>
      <c r="G965">
        <f>IF('Tuesday Leagues'!$J68="","",'Tuesday Leagues'!$E68&amp;"")</f>
        <v/>
      </c>
      <c r="H965">
        <f>IF('Tuesday Leagues'!$J68="","",'Tuesday Leagues'!$F68&amp;"")</f>
        <v/>
      </c>
      <c r="I965">
        <f>IF('Tuesday Leagues'!$J68="","",'Tuesday Leagues'!$G68&amp;"")</f>
        <v/>
      </c>
      <c r="J965">
        <f>IF('Tuesday Leagues'!$J68="","",'Tuesday Leagues'!$H68)</f>
        <v/>
      </c>
      <c r="K965">
        <f>IF('Tuesday Leagues'!$J68="","",COUNTIFS('Tuesday Leagues'!$A$5:$A$154,'Tuesday Leagues'!$A68,'Tuesday Leagues'!$H$5:$H$154,'Tuesday Leagues'!$H68))</f>
        <v/>
      </c>
      <c r="L965">
        <f>IF('Tuesday Leagues'!$J68="","","")</f>
        <v/>
      </c>
      <c r="M965">
        <f>IF('Tuesday Leagues'!$J68="","",'Tuesday Leagues'!$I68)</f>
        <v/>
      </c>
      <c r="N965">
        <f>IF('Tuesday Leagues'!$J68="","",'Tuesday Leagues'!$J68)</f>
        <v/>
      </c>
      <c r="O965">
        <f>IF('Tuesday Leagues'!$J68="","",'Tuesday Leagues'!$J68)</f>
        <v/>
      </c>
      <c r="P965">
        <f>IF('Tuesday Leagues'!$J68="","",'Tuesday Leagues'!$K68)</f>
        <v/>
      </c>
    </row>
    <row r="966">
      <c r="A966">
        <f>IF('Tuesday Leagues'!$J69="","","Tuesday Night League "&amp;'Tuesday Leagues'!$A69)</f>
        <v/>
      </c>
      <c r="B966">
        <f>IF('Tuesday Leagues'!$J69="","","Tuesday Night League")</f>
        <v/>
      </c>
      <c r="C966" s="18">
        <f>IF('Tuesday Leagues'!$J69="","",'Tuesday Leagues'!$B69)</f>
        <v/>
      </c>
      <c r="E966">
        <f>IF('Tuesday Leagues'!$J69="","",'Tuesday Leagues'!$C69&amp;"")</f>
        <v/>
      </c>
      <c r="F966">
        <f>IF('Tuesday Leagues'!$J69="","",'Tuesday Leagues'!$D69&amp;"")</f>
        <v/>
      </c>
      <c r="G966">
        <f>IF('Tuesday Leagues'!$J69="","",'Tuesday Leagues'!$E69&amp;"")</f>
        <v/>
      </c>
      <c r="H966">
        <f>IF('Tuesday Leagues'!$J69="","",'Tuesday Leagues'!$F69&amp;"")</f>
        <v/>
      </c>
      <c r="I966">
        <f>IF('Tuesday Leagues'!$J69="","",'Tuesday Leagues'!$G69&amp;"")</f>
        <v/>
      </c>
      <c r="J966">
        <f>IF('Tuesday Leagues'!$J69="","",'Tuesday Leagues'!$H69)</f>
        <v/>
      </c>
      <c r="K966">
        <f>IF('Tuesday Leagues'!$J69="","",COUNTIFS('Tuesday Leagues'!$A$5:$A$154,'Tuesday Leagues'!$A69,'Tuesday Leagues'!$H$5:$H$154,'Tuesday Leagues'!$H69))</f>
        <v/>
      </c>
      <c r="L966">
        <f>IF('Tuesday Leagues'!$J69="","","")</f>
        <v/>
      </c>
      <c r="M966">
        <f>IF('Tuesday Leagues'!$J69="","",'Tuesday Leagues'!$I69)</f>
        <v/>
      </c>
      <c r="N966">
        <f>IF('Tuesday Leagues'!$J69="","",'Tuesday Leagues'!$J69)</f>
        <v/>
      </c>
      <c r="O966">
        <f>IF('Tuesday Leagues'!$J69="","",'Tuesday Leagues'!$J69)</f>
        <v/>
      </c>
      <c r="P966">
        <f>IF('Tuesday Leagues'!$J69="","",'Tuesday Leagues'!$K69)</f>
        <v/>
      </c>
    </row>
    <row r="967">
      <c r="A967">
        <f>IF('Tuesday Leagues'!$J70="","","Tuesday Night League "&amp;'Tuesday Leagues'!$A70)</f>
        <v/>
      </c>
      <c r="B967">
        <f>IF('Tuesday Leagues'!$J70="","","Tuesday Night League")</f>
        <v/>
      </c>
      <c r="C967" s="18">
        <f>IF('Tuesday Leagues'!$J70="","",'Tuesday Leagues'!$B70)</f>
        <v/>
      </c>
      <c r="E967">
        <f>IF('Tuesday Leagues'!$J70="","",'Tuesday Leagues'!$C70&amp;"")</f>
        <v/>
      </c>
      <c r="F967">
        <f>IF('Tuesday Leagues'!$J70="","",'Tuesday Leagues'!$D70&amp;"")</f>
        <v/>
      </c>
      <c r="G967">
        <f>IF('Tuesday Leagues'!$J70="","",'Tuesday Leagues'!$E70&amp;"")</f>
        <v/>
      </c>
      <c r="H967">
        <f>IF('Tuesday Leagues'!$J70="","",'Tuesday Leagues'!$F70&amp;"")</f>
        <v/>
      </c>
      <c r="I967">
        <f>IF('Tuesday Leagues'!$J70="","",'Tuesday Leagues'!$G70&amp;"")</f>
        <v/>
      </c>
      <c r="J967">
        <f>IF('Tuesday Leagues'!$J70="","",'Tuesday Leagues'!$H70)</f>
        <v/>
      </c>
      <c r="K967">
        <f>IF('Tuesday Leagues'!$J70="","",COUNTIFS('Tuesday Leagues'!$A$5:$A$154,'Tuesday Leagues'!$A70,'Tuesday Leagues'!$H$5:$H$154,'Tuesday Leagues'!$H70))</f>
        <v/>
      </c>
      <c r="L967">
        <f>IF('Tuesday Leagues'!$J70="","","")</f>
        <v/>
      </c>
      <c r="M967">
        <f>IF('Tuesday Leagues'!$J70="","",'Tuesday Leagues'!$I70)</f>
        <v/>
      </c>
      <c r="N967">
        <f>IF('Tuesday Leagues'!$J70="","",'Tuesday Leagues'!$J70)</f>
        <v/>
      </c>
      <c r="O967">
        <f>IF('Tuesday Leagues'!$J70="","",'Tuesday Leagues'!$J70)</f>
        <v/>
      </c>
      <c r="P967">
        <f>IF('Tuesday Leagues'!$J70="","",'Tuesday Leagues'!$K70)</f>
        <v/>
      </c>
    </row>
    <row r="968">
      <c r="A968">
        <f>IF('Tuesday Leagues'!$J71="","","Tuesday Night League "&amp;'Tuesday Leagues'!$A71)</f>
        <v/>
      </c>
      <c r="B968">
        <f>IF('Tuesday Leagues'!$J71="","","Tuesday Night League")</f>
        <v/>
      </c>
      <c r="C968" s="18">
        <f>IF('Tuesday Leagues'!$J71="","",'Tuesday Leagues'!$B71)</f>
        <v/>
      </c>
      <c r="E968">
        <f>IF('Tuesday Leagues'!$J71="","",'Tuesday Leagues'!$C71&amp;"")</f>
        <v/>
      </c>
      <c r="F968">
        <f>IF('Tuesday Leagues'!$J71="","",'Tuesday Leagues'!$D71&amp;"")</f>
        <v/>
      </c>
      <c r="G968">
        <f>IF('Tuesday Leagues'!$J71="","",'Tuesday Leagues'!$E71&amp;"")</f>
        <v/>
      </c>
      <c r="H968">
        <f>IF('Tuesday Leagues'!$J71="","",'Tuesday Leagues'!$F71&amp;"")</f>
        <v/>
      </c>
      <c r="I968">
        <f>IF('Tuesday Leagues'!$J71="","",'Tuesday Leagues'!$G71&amp;"")</f>
        <v/>
      </c>
      <c r="J968">
        <f>IF('Tuesday Leagues'!$J71="","",'Tuesday Leagues'!$H71)</f>
        <v/>
      </c>
      <c r="K968">
        <f>IF('Tuesday Leagues'!$J71="","",COUNTIFS('Tuesday Leagues'!$A$5:$A$154,'Tuesday Leagues'!$A71,'Tuesday Leagues'!$H$5:$H$154,'Tuesday Leagues'!$H71))</f>
        <v/>
      </c>
      <c r="L968">
        <f>IF('Tuesday Leagues'!$J71="","","")</f>
        <v/>
      </c>
      <c r="M968">
        <f>IF('Tuesday Leagues'!$J71="","",'Tuesday Leagues'!$I71)</f>
        <v/>
      </c>
      <c r="N968">
        <f>IF('Tuesday Leagues'!$J71="","",'Tuesday Leagues'!$J71)</f>
        <v/>
      </c>
      <c r="O968">
        <f>IF('Tuesday Leagues'!$J71="","",'Tuesday Leagues'!$J71)</f>
        <v/>
      </c>
      <c r="P968">
        <f>IF('Tuesday Leagues'!$J71="","",'Tuesday Leagues'!$K71)</f>
        <v/>
      </c>
    </row>
    <row r="969">
      <c r="A969">
        <f>IF('Tuesday Leagues'!$J72="","","Tuesday Night League "&amp;'Tuesday Leagues'!$A72)</f>
        <v/>
      </c>
      <c r="B969">
        <f>IF('Tuesday Leagues'!$J72="","","Tuesday Night League")</f>
        <v/>
      </c>
      <c r="C969" s="18">
        <f>IF('Tuesday Leagues'!$J72="","",'Tuesday Leagues'!$B72)</f>
        <v/>
      </c>
      <c r="E969">
        <f>IF('Tuesday Leagues'!$J72="","",'Tuesday Leagues'!$C72&amp;"")</f>
        <v/>
      </c>
      <c r="F969">
        <f>IF('Tuesday Leagues'!$J72="","",'Tuesday Leagues'!$D72&amp;"")</f>
        <v/>
      </c>
      <c r="G969">
        <f>IF('Tuesday Leagues'!$J72="","",'Tuesday Leagues'!$E72&amp;"")</f>
        <v/>
      </c>
      <c r="H969">
        <f>IF('Tuesday Leagues'!$J72="","",'Tuesday Leagues'!$F72&amp;"")</f>
        <v/>
      </c>
      <c r="I969">
        <f>IF('Tuesday Leagues'!$J72="","",'Tuesday Leagues'!$G72&amp;"")</f>
        <v/>
      </c>
      <c r="J969">
        <f>IF('Tuesday Leagues'!$J72="","",'Tuesday Leagues'!$H72)</f>
        <v/>
      </c>
      <c r="K969">
        <f>IF('Tuesday Leagues'!$J72="","",COUNTIFS('Tuesday Leagues'!$A$5:$A$154,'Tuesday Leagues'!$A72,'Tuesday Leagues'!$H$5:$H$154,'Tuesday Leagues'!$H72))</f>
        <v/>
      </c>
      <c r="L969">
        <f>IF('Tuesday Leagues'!$J72="","","")</f>
        <v/>
      </c>
      <c r="M969">
        <f>IF('Tuesday Leagues'!$J72="","",'Tuesday Leagues'!$I72)</f>
        <v/>
      </c>
      <c r="N969">
        <f>IF('Tuesday Leagues'!$J72="","",'Tuesday Leagues'!$J72)</f>
        <v/>
      </c>
      <c r="O969">
        <f>IF('Tuesday Leagues'!$J72="","",'Tuesday Leagues'!$J72)</f>
        <v/>
      </c>
      <c r="P969">
        <f>IF('Tuesday Leagues'!$J72="","",'Tuesday Leagues'!$K72)</f>
        <v/>
      </c>
    </row>
    <row r="970">
      <c r="A970">
        <f>IF('Tuesday Leagues'!$J73="","","Tuesday Night League "&amp;'Tuesday Leagues'!$A73)</f>
        <v/>
      </c>
      <c r="B970">
        <f>IF('Tuesday Leagues'!$J73="","","Tuesday Night League")</f>
        <v/>
      </c>
      <c r="C970" s="18">
        <f>IF('Tuesday Leagues'!$J73="","",'Tuesday Leagues'!$B73)</f>
        <v/>
      </c>
      <c r="E970">
        <f>IF('Tuesday Leagues'!$J73="","",'Tuesday Leagues'!$C73&amp;"")</f>
        <v/>
      </c>
      <c r="F970">
        <f>IF('Tuesday Leagues'!$J73="","",'Tuesday Leagues'!$D73&amp;"")</f>
        <v/>
      </c>
      <c r="G970">
        <f>IF('Tuesday Leagues'!$J73="","",'Tuesday Leagues'!$E73&amp;"")</f>
        <v/>
      </c>
      <c r="H970">
        <f>IF('Tuesday Leagues'!$J73="","",'Tuesday Leagues'!$F73&amp;"")</f>
        <v/>
      </c>
      <c r="I970">
        <f>IF('Tuesday Leagues'!$J73="","",'Tuesday Leagues'!$G73&amp;"")</f>
        <v/>
      </c>
      <c r="J970">
        <f>IF('Tuesday Leagues'!$J73="","",'Tuesday Leagues'!$H73)</f>
        <v/>
      </c>
      <c r="K970">
        <f>IF('Tuesday Leagues'!$J73="","",COUNTIFS('Tuesday Leagues'!$A$5:$A$154,'Tuesday Leagues'!$A73,'Tuesday Leagues'!$H$5:$H$154,'Tuesday Leagues'!$H73))</f>
        <v/>
      </c>
      <c r="L970">
        <f>IF('Tuesday Leagues'!$J73="","","")</f>
        <v/>
      </c>
      <c r="M970">
        <f>IF('Tuesday Leagues'!$J73="","",'Tuesday Leagues'!$I73)</f>
        <v/>
      </c>
      <c r="N970">
        <f>IF('Tuesday Leagues'!$J73="","",'Tuesday Leagues'!$J73)</f>
        <v/>
      </c>
      <c r="O970">
        <f>IF('Tuesday Leagues'!$J73="","",'Tuesday Leagues'!$J73)</f>
        <v/>
      </c>
      <c r="P970">
        <f>IF('Tuesday Leagues'!$J73="","",'Tuesday Leagues'!$K73)</f>
        <v/>
      </c>
    </row>
    <row r="971">
      <c r="A971">
        <f>IF('Tuesday Leagues'!$J74="","","Tuesday Night League "&amp;'Tuesday Leagues'!$A74)</f>
        <v/>
      </c>
      <c r="B971">
        <f>IF('Tuesday Leagues'!$J74="","","Tuesday Night League")</f>
        <v/>
      </c>
      <c r="C971" s="18">
        <f>IF('Tuesday Leagues'!$J74="","",'Tuesday Leagues'!$B74)</f>
        <v/>
      </c>
      <c r="E971">
        <f>IF('Tuesday Leagues'!$J74="","",'Tuesday Leagues'!$C74&amp;"")</f>
        <v/>
      </c>
      <c r="F971">
        <f>IF('Tuesday Leagues'!$J74="","",'Tuesday Leagues'!$D74&amp;"")</f>
        <v/>
      </c>
      <c r="G971">
        <f>IF('Tuesday Leagues'!$J74="","",'Tuesday Leagues'!$E74&amp;"")</f>
        <v/>
      </c>
      <c r="H971">
        <f>IF('Tuesday Leagues'!$J74="","",'Tuesday Leagues'!$F74&amp;"")</f>
        <v/>
      </c>
      <c r="I971">
        <f>IF('Tuesday Leagues'!$J74="","",'Tuesday Leagues'!$G74&amp;"")</f>
        <v/>
      </c>
      <c r="J971">
        <f>IF('Tuesday Leagues'!$J74="","",'Tuesday Leagues'!$H74)</f>
        <v/>
      </c>
      <c r="K971">
        <f>IF('Tuesday Leagues'!$J74="","",COUNTIFS('Tuesday Leagues'!$A$5:$A$154,'Tuesday Leagues'!$A74,'Tuesday Leagues'!$H$5:$H$154,'Tuesday Leagues'!$H74))</f>
        <v/>
      </c>
      <c r="L971">
        <f>IF('Tuesday Leagues'!$J74="","","")</f>
        <v/>
      </c>
      <c r="M971">
        <f>IF('Tuesday Leagues'!$J74="","",'Tuesday Leagues'!$I74)</f>
        <v/>
      </c>
      <c r="N971">
        <f>IF('Tuesday Leagues'!$J74="","",'Tuesday Leagues'!$J74)</f>
        <v/>
      </c>
      <c r="O971">
        <f>IF('Tuesday Leagues'!$J74="","",'Tuesday Leagues'!$J74)</f>
        <v/>
      </c>
      <c r="P971">
        <f>IF('Tuesday Leagues'!$J74="","",'Tuesday Leagues'!$K74)</f>
        <v/>
      </c>
    </row>
    <row r="972">
      <c r="A972">
        <f>IF('Tuesday Leagues'!$J75="","","Tuesday Night League "&amp;'Tuesday Leagues'!$A75)</f>
        <v/>
      </c>
      <c r="B972">
        <f>IF('Tuesday Leagues'!$J75="","","Tuesday Night League")</f>
        <v/>
      </c>
      <c r="C972" s="18">
        <f>IF('Tuesday Leagues'!$J75="","",'Tuesday Leagues'!$B75)</f>
        <v/>
      </c>
      <c r="E972">
        <f>IF('Tuesday Leagues'!$J75="","",'Tuesday Leagues'!$C75&amp;"")</f>
        <v/>
      </c>
      <c r="F972">
        <f>IF('Tuesday Leagues'!$J75="","",'Tuesday Leagues'!$D75&amp;"")</f>
        <v/>
      </c>
      <c r="G972">
        <f>IF('Tuesday Leagues'!$J75="","",'Tuesday Leagues'!$E75&amp;"")</f>
        <v/>
      </c>
      <c r="H972">
        <f>IF('Tuesday Leagues'!$J75="","",'Tuesday Leagues'!$F75&amp;"")</f>
        <v/>
      </c>
      <c r="I972">
        <f>IF('Tuesday Leagues'!$J75="","",'Tuesday Leagues'!$G75&amp;"")</f>
        <v/>
      </c>
      <c r="J972">
        <f>IF('Tuesday Leagues'!$J75="","",'Tuesday Leagues'!$H75)</f>
        <v/>
      </c>
      <c r="K972">
        <f>IF('Tuesday Leagues'!$J75="","",COUNTIFS('Tuesday Leagues'!$A$5:$A$154,'Tuesday Leagues'!$A75,'Tuesday Leagues'!$H$5:$H$154,'Tuesday Leagues'!$H75))</f>
        <v/>
      </c>
      <c r="L972">
        <f>IF('Tuesday Leagues'!$J75="","","")</f>
        <v/>
      </c>
      <c r="M972">
        <f>IF('Tuesday Leagues'!$J75="","",'Tuesday Leagues'!$I75)</f>
        <v/>
      </c>
      <c r="N972">
        <f>IF('Tuesday Leagues'!$J75="","",'Tuesday Leagues'!$J75)</f>
        <v/>
      </c>
      <c r="O972">
        <f>IF('Tuesday Leagues'!$J75="","",'Tuesday Leagues'!$J75)</f>
        <v/>
      </c>
      <c r="P972">
        <f>IF('Tuesday Leagues'!$J75="","",'Tuesday Leagues'!$K75)</f>
        <v/>
      </c>
    </row>
    <row r="973">
      <c r="A973">
        <f>IF('Tuesday Leagues'!$J76="","","Tuesday Night League "&amp;'Tuesday Leagues'!$A76)</f>
        <v/>
      </c>
      <c r="B973">
        <f>IF('Tuesday Leagues'!$J76="","","Tuesday Night League")</f>
        <v/>
      </c>
      <c r="C973" s="18">
        <f>IF('Tuesday Leagues'!$J76="","",'Tuesday Leagues'!$B76)</f>
        <v/>
      </c>
      <c r="E973">
        <f>IF('Tuesday Leagues'!$J76="","",'Tuesday Leagues'!$C76&amp;"")</f>
        <v/>
      </c>
      <c r="F973">
        <f>IF('Tuesday Leagues'!$J76="","",'Tuesday Leagues'!$D76&amp;"")</f>
        <v/>
      </c>
      <c r="G973">
        <f>IF('Tuesday Leagues'!$J76="","",'Tuesday Leagues'!$E76&amp;"")</f>
        <v/>
      </c>
      <c r="H973">
        <f>IF('Tuesday Leagues'!$J76="","",'Tuesday Leagues'!$F76&amp;"")</f>
        <v/>
      </c>
      <c r="I973">
        <f>IF('Tuesday Leagues'!$J76="","",'Tuesday Leagues'!$G76&amp;"")</f>
        <v/>
      </c>
      <c r="J973">
        <f>IF('Tuesday Leagues'!$J76="","",'Tuesday Leagues'!$H76)</f>
        <v/>
      </c>
      <c r="K973">
        <f>IF('Tuesday Leagues'!$J76="","",COUNTIFS('Tuesday Leagues'!$A$5:$A$154,'Tuesday Leagues'!$A76,'Tuesday Leagues'!$H$5:$H$154,'Tuesday Leagues'!$H76))</f>
        <v/>
      </c>
      <c r="L973">
        <f>IF('Tuesday Leagues'!$J76="","","")</f>
        <v/>
      </c>
      <c r="M973">
        <f>IF('Tuesday Leagues'!$J76="","",'Tuesday Leagues'!$I76)</f>
        <v/>
      </c>
      <c r="N973">
        <f>IF('Tuesday Leagues'!$J76="","",'Tuesday Leagues'!$J76)</f>
        <v/>
      </c>
      <c r="O973">
        <f>IF('Tuesday Leagues'!$J76="","",'Tuesday Leagues'!$J76)</f>
        <v/>
      </c>
      <c r="P973">
        <f>IF('Tuesday Leagues'!$J76="","",'Tuesday Leagues'!$K76)</f>
        <v/>
      </c>
    </row>
    <row r="974">
      <c r="A974">
        <f>IF('Tuesday Leagues'!$J77="","","Tuesday Night League "&amp;'Tuesday Leagues'!$A77)</f>
        <v/>
      </c>
      <c r="B974">
        <f>IF('Tuesday Leagues'!$J77="","","Tuesday Night League")</f>
        <v/>
      </c>
      <c r="C974" s="18">
        <f>IF('Tuesday Leagues'!$J77="","",'Tuesday Leagues'!$B77)</f>
        <v/>
      </c>
      <c r="E974">
        <f>IF('Tuesday Leagues'!$J77="","",'Tuesday Leagues'!$C77&amp;"")</f>
        <v/>
      </c>
      <c r="F974">
        <f>IF('Tuesday Leagues'!$J77="","",'Tuesday Leagues'!$D77&amp;"")</f>
        <v/>
      </c>
      <c r="G974">
        <f>IF('Tuesday Leagues'!$J77="","",'Tuesday Leagues'!$E77&amp;"")</f>
        <v/>
      </c>
      <c r="H974">
        <f>IF('Tuesday Leagues'!$J77="","",'Tuesday Leagues'!$F77&amp;"")</f>
        <v/>
      </c>
      <c r="I974">
        <f>IF('Tuesday Leagues'!$J77="","",'Tuesday Leagues'!$G77&amp;"")</f>
        <v/>
      </c>
      <c r="J974">
        <f>IF('Tuesday Leagues'!$J77="","",'Tuesday Leagues'!$H77)</f>
        <v/>
      </c>
      <c r="K974">
        <f>IF('Tuesday Leagues'!$J77="","",COUNTIFS('Tuesday Leagues'!$A$5:$A$154,'Tuesday Leagues'!$A77,'Tuesday Leagues'!$H$5:$H$154,'Tuesday Leagues'!$H77))</f>
        <v/>
      </c>
      <c r="L974">
        <f>IF('Tuesday Leagues'!$J77="","","")</f>
        <v/>
      </c>
      <c r="M974">
        <f>IF('Tuesday Leagues'!$J77="","",'Tuesday Leagues'!$I77)</f>
        <v/>
      </c>
      <c r="N974">
        <f>IF('Tuesday Leagues'!$J77="","",'Tuesday Leagues'!$J77)</f>
        <v/>
      </c>
      <c r="O974">
        <f>IF('Tuesday Leagues'!$J77="","",'Tuesday Leagues'!$J77)</f>
        <v/>
      </c>
      <c r="P974">
        <f>IF('Tuesday Leagues'!$J77="","",'Tuesday Leagues'!$K77)</f>
        <v/>
      </c>
    </row>
    <row r="975">
      <c r="A975">
        <f>IF('Tuesday Leagues'!$J78="","","Tuesday Night League "&amp;'Tuesday Leagues'!$A78)</f>
        <v/>
      </c>
      <c r="B975">
        <f>IF('Tuesday Leagues'!$J78="","","Tuesday Night League")</f>
        <v/>
      </c>
      <c r="C975" s="18">
        <f>IF('Tuesday Leagues'!$J78="","",'Tuesday Leagues'!$B78)</f>
        <v/>
      </c>
      <c r="E975">
        <f>IF('Tuesday Leagues'!$J78="","",'Tuesday Leagues'!$C78&amp;"")</f>
        <v/>
      </c>
      <c r="F975">
        <f>IF('Tuesday Leagues'!$J78="","",'Tuesday Leagues'!$D78&amp;"")</f>
        <v/>
      </c>
      <c r="G975">
        <f>IF('Tuesday Leagues'!$J78="","",'Tuesday Leagues'!$E78&amp;"")</f>
        <v/>
      </c>
      <c r="H975">
        <f>IF('Tuesday Leagues'!$J78="","",'Tuesday Leagues'!$F78&amp;"")</f>
        <v/>
      </c>
      <c r="I975">
        <f>IF('Tuesday Leagues'!$J78="","",'Tuesday Leagues'!$G78&amp;"")</f>
        <v/>
      </c>
      <c r="J975">
        <f>IF('Tuesday Leagues'!$J78="","",'Tuesday Leagues'!$H78)</f>
        <v/>
      </c>
      <c r="K975">
        <f>IF('Tuesday Leagues'!$J78="","",COUNTIFS('Tuesday Leagues'!$A$5:$A$154,'Tuesday Leagues'!$A78,'Tuesday Leagues'!$H$5:$H$154,'Tuesday Leagues'!$H78))</f>
        <v/>
      </c>
      <c r="L975">
        <f>IF('Tuesday Leagues'!$J78="","","")</f>
        <v/>
      </c>
      <c r="M975">
        <f>IF('Tuesday Leagues'!$J78="","",'Tuesday Leagues'!$I78)</f>
        <v/>
      </c>
      <c r="N975">
        <f>IF('Tuesday Leagues'!$J78="","",'Tuesday Leagues'!$J78)</f>
        <v/>
      </c>
      <c r="O975">
        <f>IF('Tuesday Leagues'!$J78="","",'Tuesday Leagues'!$J78)</f>
        <v/>
      </c>
      <c r="P975">
        <f>IF('Tuesday Leagues'!$J78="","",'Tuesday Leagues'!$K78)</f>
        <v/>
      </c>
    </row>
    <row r="976">
      <c r="A976">
        <f>IF('Tuesday Leagues'!$J79="","","Tuesday Night League "&amp;'Tuesday Leagues'!$A79)</f>
        <v/>
      </c>
      <c r="B976">
        <f>IF('Tuesday Leagues'!$J79="","","Tuesday Night League")</f>
        <v/>
      </c>
      <c r="C976" s="18">
        <f>IF('Tuesday Leagues'!$J79="","",'Tuesday Leagues'!$B79)</f>
        <v/>
      </c>
      <c r="E976">
        <f>IF('Tuesday Leagues'!$J79="","",'Tuesday Leagues'!$C79&amp;"")</f>
        <v/>
      </c>
      <c r="F976">
        <f>IF('Tuesday Leagues'!$J79="","",'Tuesday Leagues'!$D79&amp;"")</f>
        <v/>
      </c>
      <c r="G976">
        <f>IF('Tuesday Leagues'!$J79="","",'Tuesday Leagues'!$E79&amp;"")</f>
        <v/>
      </c>
      <c r="H976">
        <f>IF('Tuesday Leagues'!$J79="","",'Tuesday Leagues'!$F79&amp;"")</f>
        <v/>
      </c>
      <c r="I976">
        <f>IF('Tuesday Leagues'!$J79="","",'Tuesday Leagues'!$G79&amp;"")</f>
        <v/>
      </c>
      <c r="J976">
        <f>IF('Tuesday Leagues'!$J79="","",'Tuesday Leagues'!$H79)</f>
        <v/>
      </c>
      <c r="K976">
        <f>IF('Tuesday Leagues'!$J79="","",COUNTIFS('Tuesday Leagues'!$A$5:$A$154,'Tuesday Leagues'!$A79,'Tuesday Leagues'!$H$5:$H$154,'Tuesday Leagues'!$H79))</f>
        <v/>
      </c>
      <c r="L976">
        <f>IF('Tuesday Leagues'!$J79="","","")</f>
        <v/>
      </c>
      <c r="M976">
        <f>IF('Tuesday Leagues'!$J79="","",'Tuesday Leagues'!$I79)</f>
        <v/>
      </c>
      <c r="N976">
        <f>IF('Tuesday Leagues'!$J79="","",'Tuesday Leagues'!$J79)</f>
        <v/>
      </c>
      <c r="O976">
        <f>IF('Tuesday Leagues'!$J79="","",'Tuesday Leagues'!$J79)</f>
        <v/>
      </c>
      <c r="P976">
        <f>IF('Tuesday Leagues'!$J79="","",'Tuesday Leagues'!$K79)</f>
        <v/>
      </c>
    </row>
    <row r="977">
      <c r="A977">
        <f>IF('Tuesday Leagues'!$J80="","","Tuesday Night League "&amp;'Tuesday Leagues'!$A80)</f>
        <v/>
      </c>
      <c r="B977">
        <f>IF('Tuesday Leagues'!$J80="","","Tuesday Night League")</f>
        <v/>
      </c>
      <c r="C977" s="18">
        <f>IF('Tuesday Leagues'!$J80="","",'Tuesday Leagues'!$B80)</f>
        <v/>
      </c>
      <c r="E977">
        <f>IF('Tuesday Leagues'!$J80="","",'Tuesday Leagues'!$C80&amp;"")</f>
        <v/>
      </c>
      <c r="F977">
        <f>IF('Tuesday Leagues'!$J80="","",'Tuesday Leagues'!$D80&amp;"")</f>
        <v/>
      </c>
      <c r="G977">
        <f>IF('Tuesday Leagues'!$J80="","",'Tuesday Leagues'!$E80&amp;"")</f>
        <v/>
      </c>
      <c r="H977">
        <f>IF('Tuesday Leagues'!$J80="","",'Tuesday Leagues'!$F80&amp;"")</f>
        <v/>
      </c>
      <c r="I977">
        <f>IF('Tuesday Leagues'!$J80="","",'Tuesday Leagues'!$G80&amp;"")</f>
        <v/>
      </c>
      <c r="J977">
        <f>IF('Tuesday Leagues'!$J80="","",'Tuesday Leagues'!$H80)</f>
        <v/>
      </c>
      <c r="K977">
        <f>IF('Tuesday Leagues'!$J80="","",COUNTIFS('Tuesday Leagues'!$A$5:$A$154,'Tuesday Leagues'!$A80,'Tuesday Leagues'!$H$5:$H$154,'Tuesday Leagues'!$H80))</f>
        <v/>
      </c>
      <c r="L977">
        <f>IF('Tuesday Leagues'!$J80="","","")</f>
        <v/>
      </c>
      <c r="M977">
        <f>IF('Tuesday Leagues'!$J80="","",'Tuesday Leagues'!$I80)</f>
        <v/>
      </c>
      <c r="N977">
        <f>IF('Tuesday Leagues'!$J80="","",'Tuesday Leagues'!$J80)</f>
        <v/>
      </c>
      <c r="O977">
        <f>IF('Tuesday Leagues'!$J80="","",'Tuesday Leagues'!$J80)</f>
        <v/>
      </c>
      <c r="P977">
        <f>IF('Tuesday Leagues'!$J80="","",'Tuesday Leagues'!$K80)</f>
        <v/>
      </c>
    </row>
    <row r="978">
      <c r="A978">
        <f>IF('Tuesday Leagues'!$J81="","","Tuesday Night League "&amp;'Tuesday Leagues'!$A81)</f>
        <v/>
      </c>
      <c r="B978">
        <f>IF('Tuesday Leagues'!$J81="","","Tuesday Night League")</f>
        <v/>
      </c>
      <c r="C978" s="18">
        <f>IF('Tuesday Leagues'!$J81="","",'Tuesday Leagues'!$B81)</f>
        <v/>
      </c>
      <c r="E978">
        <f>IF('Tuesday Leagues'!$J81="","",'Tuesday Leagues'!$C81&amp;"")</f>
        <v/>
      </c>
      <c r="F978">
        <f>IF('Tuesday Leagues'!$J81="","",'Tuesday Leagues'!$D81&amp;"")</f>
        <v/>
      </c>
      <c r="G978">
        <f>IF('Tuesday Leagues'!$J81="","",'Tuesday Leagues'!$E81&amp;"")</f>
        <v/>
      </c>
      <c r="H978">
        <f>IF('Tuesday Leagues'!$J81="","",'Tuesday Leagues'!$F81&amp;"")</f>
        <v/>
      </c>
      <c r="I978">
        <f>IF('Tuesday Leagues'!$J81="","",'Tuesday Leagues'!$G81&amp;"")</f>
        <v/>
      </c>
      <c r="J978">
        <f>IF('Tuesday Leagues'!$J81="","",'Tuesday Leagues'!$H81)</f>
        <v/>
      </c>
      <c r="K978">
        <f>IF('Tuesday Leagues'!$J81="","",COUNTIFS('Tuesday Leagues'!$A$5:$A$154,'Tuesday Leagues'!$A81,'Tuesday Leagues'!$H$5:$H$154,'Tuesday Leagues'!$H81))</f>
        <v/>
      </c>
      <c r="L978">
        <f>IF('Tuesday Leagues'!$J81="","","")</f>
        <v/>
      </c>
      <c r="M978">
        <f>IF('Tuesday Leagues'!$J81="","",'Tuesday Leagues'!$I81)</f>
        <v/>
      </c>
      <c r="N978">
        <f>IF('Tuesday Leagues'!$J81="","",'Tuesday Leagues'!$J81)</f>
        <v/>
      </c>
      <c r="O978">
        <f>IF('Tuesday Leagues'!$J81="","",'Tuesday Leagues'!$J81)</f>
        <v/>
      </c>
      <c r="P978">
        <f>IF('Tuesday Leagues'!$J81="","",'Tuesday Leagues'!$K81)</f>
        <v/>
      </c>
    </row>
    <row r="979">
      <c r="A979">
        <f>IF('Tuesday Leagues'!$J82="","","Tuesday Night League "&amp;'Tuesday Leagues'!$A82)</f>
        <v/>
      </c>
      <c r="B979">
        <f>IF('Tuesday Leagues'!$J82="","","Tuesday Night League")</f>
        <v/>
      </c>
      <c r="C979" s="18">
        <f>IF('Tuesday Leagues'!$J82="","",'Tuesday Leagues'!$B82)</f>
        <v/>
      </c>
      <c r="E979">
        <f>IF('Tuesday Leagues'!$J82="","",'Tuesday Leagues'!$C82&amp;"")</f>
        <v/>
      </c>
      <c r="F979">
        <f>IF('Tuesday Leagues'!$J82="","",'Tuesday Leagues'!$D82&amp;"")</f>
        <v/>
      </c>
      <c r="G979">
        <f>IF('Tuesday Leagues'!$J82="","",'Tuesday Leagues'!$E82&amp;"")</f>
        <v/>
      </c>
      <c r="H979">
        <f>IF('Tuesday Leagues'!$J82="","",'Tuesday Leagues'!$F82&amp;"")</f>
        <v/>
      </c>
      <c r="I979">
        <f>IF('Tuesday Leagues'!$J82="","",'Tuesday Leagues'!$G82&amp;"")</f>
        <v/>
      </c>
      <c r="J979">
        <f>IF('Tuesday Leagues'!$J82="","",'Tuesday Leagues'!$H82)</f>
        <v/>
      </c>
      <c r="K979">
        <f>IF('Tuesday Leagues'!$J82="","",COUNTIFS('Tuesday Leagues'!$A$5:$A$154,'Tuesday Leagues'!$A82,'Tuesday Leagues'!$H$5:$H$154,'Tuesday Leagues'!$H82))</f>
        <v/>
      </c>
      <c r="L979">
        <f>IF('Tuesday Leagues'!$J82="","","")</f>
        <v/>
      </c>
      <c r="M979">
        <f>IF('Tuesday Leagues'!$J82="","",'Tuesday Leagues'!$I82)</f>
        <v/>
      </c>
      <c r="N979">
        <f>IF('Tuesday Leagues'!$J82="","",'Tuesday Leagues'!$J82)</f>
        <v/>
      </c>
      <c r="O979">
        <f>IF('Tuesday Leagues'!$J82="","",'Tuesday Leagues'!$J82)</f>
        <v/>
      </c>
      <c r="P979">
        <f>IF('Tuesday Leagues'!$J82="","",'Tuesday Leagues'!$K82)</f>
        <v/>
      </c>
    </row>
    <row r="980">
      <c r="A980">
        <f>IF('Tuesday Leagues'!$J83="","","Tuesday Night League "&amp;'Tuesday Leagues'!$A83)</f>
        <v/>
      </c>
      <c r="B980">
        <f>IF('Tuesday Leagues'!$J83="","","Tuesday Night League")</f>
        <v/>
      </c>
      <c r="C980" s="18">
        <f>IF('Tuesday Leagues'!$J83="","",'Tuesday Leagues'!$B83)</f>
        <v/>
      </c>
      <c r="E980">
        <f>IF('Tuesday Leagues'!$J83="","",'Tuesday Leagues'!$C83&amp;"")</f>
        <v/>
      </c>
      <c r="F980">
        <f>IF('Tuesday Leagues'!$J83="","",'Tuesday Leagues'!$D83&amp;"")</f>
        <v/>
      </c>
      <c r="G980">
        <f>IF('Tuesday Leagues'!$J83="","",'Tuesday Leagues'!$E83&amp;"")</f>
        <v/>
      </c>
      <c r="H980">
        <f>IF('Tuesday Leagues'!$J83="","",'Tuesday Leagues'!$F83&amp;"")</f>
        <v/>
      </c>
      <c r="I980">
        <f>IF('Tuesday Leagues'!$J83="","",'Tuesday Leagues'!$G83&amp;"")</f>
        <v/>
      </c>
      <c r="J980">
        <f>IF('Tuesday Leagues'!$J83="","",'Tuesday Leagues'!$H83)</f>
        <v/>
      </c>
      <c r="K980">
        <f>IF('Tuesday Leagues'!$J83="","",COUNTIFS('Tuesday Leagues'!$A$5:$A$154,'Tuesday Leagues'!$A83,'Tuesday Leagues'!$H$5:$H$154,'Tuesday Leagues'!$H83))</f>
        <v/>
      </c>
      <c r="L980">
        <f>IF('Tuesday Leagues'!$J83="","","")</f>
        <v/>
      </c>
      <c r="M980">
        <f>IF('Tuesday Leagues'!$J83="","",'Tuesday Leagues'!$I83)</f>
        <v/>
      </c>
      <c r="N980">
        <f>IF('Tuesday Leagues'!$J83="","",'Tuesday Leagues'!$J83)</f>
        <v/>
      </c>
      <c r="O980">
        <f>IF('Tuesday Leagues'!$J83="","",'Tuesday Leagues'!$J83)</f>
        <v/>
      </c>
      <c r="P980">
        <f>IF('Tuesday Leagues'!$J83="","",'Tuesday Leagues'!$K83)</f>
        <v/>
      </c>
    </row>
    <row r="981">
      <c r="A981">
        <f>IF('Tuesday Leagues'!$J84="","","Tuesday Night League "&amp;'Tuesday Leagues'!$A84)</f>
        <v/>
      </c>
      <c r="B981">
        <f>IF('Tuesday Leagues'!$J84="","","Tuesday Night League")</f>
        <v/>
      </c>
      <c r="C981" s="18">
        <f>IF('Tuesday Leagues'!$J84="","",'Tuesday Leagues'!$B84)</f>
        <v/>
      </c>
      <c r="E981">
        <f>IF('Tuesday Leagues'!$J84="","",'Tuesday Leagues'!$C84&amp;"")</f>
        <v/>
      </c>
      <c r="F981">
        <f>IF('Tuesday Leagues'!$J84="","",'Tuesday Leagues'!$D84&amp;"")</f>
        <v/>
      </c>
      <c r="G981">
        <f>IF('Tuesday Leagues'!$J84="","",'Tuesday Leagues'!$E84&amp;"")</f>
        <v/>
      </c>
      <c r="H981">
        <f>IF('Tuesday Leagues'!$J84="","",'Tuesday Leagues'!$F84&amp;"")</f>
        <v/>
      </c>
      <c r="I981">
        <f>IF('Tuesday Leagues'!$J84="","",'Tuesday Leagues'!$G84&amp;"")</f>
        <v/>
      </c>
      <c r="J981">
        <f>IF('Tuesday Leagues'!$J84="","",'Tuesday Leagues'!$H84)</f>
        <v/>
      </c>
      <c r="K981">
        <f>IF('Tuesday Leagues'!$J84="","",COUNTIFS('Tuesday Leagues'!$A$5:$A$154,'Tuesday Leagues'!$A84,'Tuesday Leagues'!$H$5:$H$154,'Tuesday Leagues'!$H84))</f>
        <v/>
      </c>
      <c r="L981">
        <f>IF('Tuesday Leagues'!$J84="","","")</f>
        <v/>
      </c>
      <c r="M981">
        <f>IF('Tuesday Leagues'!$J84="","",'Tuesday Leagues'!$I84)</f>
        <v/>
      </c>
      <c r="N981">
        <f>IF('Tuesday Leagues'!$J84="","",'Tuesday Leagues'!$J84)</f>
        <v/>
      </c>
      <c r="O981">
        <f>IF('Tuesday Leagues'!$J84="","",'Tuesday Leagues'!$J84)</f>
        <v/>
      </c>
      <c r="P981">
        <f>IF('Tuesday Leagues'!$J84="","",'Tuesday Leagues'!$K84)</f>
        <v/>
      </c>
    </row>
    <row r="982">
      <c r="A982">
        <f>IF('Tuesday Leagues'!$J85="","","Tuesday Night League "&amp;'Tuesday Leagues'!$A85)</f>
        <v/>
      </c>
      <c r="B982">
        <f>IF('Tuesday Leagues'!$J85="","","Tuesday Night League")</f>
        <v/>
      </c>
      <c r="C982" s="18">
        <f>IF('Tuesday Leagues'!$J85="","",'Tuesday Leagues'!$B85)</f>
        <v/>
      </c>
      <c r="E982">
        <f>IF('Tuesday Leagues'!$J85="","",'Tuesday Leagues'!$C85&amp;"")</f>
        <v/>
      </c>
      <c r="F982">
        <f>IF('Tuesday Leagues'!$J85="","",'Tuesday Leagues'!$D85&amp;"")</f>
        <v/>
      </c>
      <c r="G982">
        <f>IF('Tuesday Leagues'!$J85="","",'Tuesday Leagues'!$E85&amp;"")</f>
        <v/>
      </c>
      <c r="H982">
        <f>IF('Tuesday Leagues'!$J85="","",'Tuesday Leagues'!$F85&amp;"")</f>
        <v/>
      </c>
      <c r="I982">
        <f>IF('Tuesday Leagues'!$J85="","",'Tuesday Leagues'!$G85&amp;"")</f>
        <v/>
      </c>
      <c r="J982">
        <f>IF('Tuesday Leagues'!$J85="","",'Tuesday Leagues'!$H85)</f>
        <v/>
      </c>
      <c r="K982">
        <f>IF('Tuesday Leagues'!$J85="","",COUNTIFS('Tuesday Leagues'!$A$5:$A$154,'Tuesday Leagues'!$A85,'Tuesday Leagues'!$H$5:$H$154,'Tuesday Leagues'!$H85))</f>
        <v/>
      </c>
      <c r="L982">
        <f>IF('Tuesday Leagues'!$J85="","","")</f>
        <v/>
      </c>
      <c r="M982">
        <f>IF('Tuesday Leagues'!$J85="","",'Tuesday Leagues'!$I85)</f>
        <v/>
      </c>
      <c r="N982">
        <f>IF('Tuesday Leagues'!$J85="","",'Tuesday Leagues'!$J85)</f>
        <v/>
      </c>
      <c r="O982">
        <f>IF('Tuesday Leagues'!$J85="","",'Tuesday Leagues'!$J85)</f>
        <v/>
      </c>
      <c r="P982">
        <f>IF('Tuesday Leagues'!$J85="","",'Tuesday Leagues'!$K85)</f>
        <v/>
      </c>
    </row>
    <row r="983">
      <c r="A983">
        <f>IF('Tuesday Leagues'!$J86="","","Tuesday Night League "&amp;'Tuesday Leagues'!$A86)</f>
        <v/>
      </c>
      <c r="B983">
        <f>IF('Tuesday Leagues'!$J86="","","Tuesday Night League")</f>
        <v/>
      </c>
      <c r="C983" s="18">
        <f>IF('Tuesday Leagues'!$J86="","",'Tuesday Leagues'!$B86)</f>
        <v/>
      </c>
      <c r="E983">
        <f>IF('Tuesday Leagues'!$J86="","",'Tuesday Leagues'!$C86&amp;"")</f>
        <v/>
      </c>
      <c r="F983">
        <f>IF('Tuesday Leagues'!$J86="","",'Tuesday Leagues'!$D86&amp;"")</f>
        <v/>
      </c>
      <c r="G983">
        <f>IF('Tuesday Leagues'!$J86="","",'Tuesday Leagues'!$E86&amp;"")</f>
        <v/>
      </c>
      <c r="H983">
        <f>IF('Tuesday Leagues'!$J86="","",'Tuesday Leagues'!$F86&amp;"")</f>
        <v/>
      </c>
      <c r="I983">
        <f>IF('Tuesday Leagues'!$J86="","",'Tuesday Leagues'!$G86&amp;"")</f>
        <v/>
      </c>
      <c r="J983">
        <f>IF('Tuesday Leagues'!$J86="","",'Tuesday Leagues'!$H86)</f>
        <v/>
      </c>
      <c r="K983">
        <f>IF('Tuesday Leagues'!$J86="","",COUNTIFS('Tuesday Leagues'!$A$5:$A$154,'Tuesday Leagues'!$A86,'Tuesday Leagues'!$H$5:$H$154,'Tuesday Leagues'!$H86))</f>
        <v/>
      </c>
      <c r="L983">
        <f>IF('Tuesday Leagues'!$J86="","","")</f>
        <v/>
      </c>
      <c r="M983">
        <f>IF('Tuesday Leagues'!$J86="","",'Tuesday Leagues'!$I86)</f>
        <v/>
      </c>
      <c r="N983">
        <f>IF('Tuesday Leagues'!$J86="","",'Tuesday Leagues'!$J86)</f>
        <v/>
      </c>
      <c r="O983">
        <f>IF('Tuesday Leagues'!$J86="","",'Tuesday Leagues'!$J86)</f>
        <v/>
      </c>
      <c r="P983">
        <f>IF('Tuesday Leagues'!$J86="","",'Tuesday Leagues'!$K86)</f>
        <v/>
      </c>
    </row>
    <row r="984">
      <c r="A984">
        <f>IF('Tuesday Leagues'!$J87="","","Tuesday Night League "&amp;'Tuesday Leagues'!$A87)</f>
        <v/>
      </c>
      <c r="B984">
        <f>IF('Tuesday Leagues'!$J87="","","Tuesday Night League")</f>
        <v/>
      </c>
      <c r="C984" s="18">
        <f>IF('Tuesday Leagues'!$J87="","",'Tuesday Leagues'!$B87)</f>
        <v/>
      </c>
      <c r="E984">
        <f>IF('Tuesday Leagues'!$J87="","",'Tuesday Leagues'!$C87&amp;"")</f>
        <v/>
      </c>
      <c r="F984">
        <f>IF('Tuesday Leagues'!$J87="","",'Tuesday Leagues'!$D87&amp;"")</f>
        <v/>
      </c>
      <c r="G984">
        <f>IF('Tuesday Leagues'!$J87="","",'Tuesday Leagues'!$E87&amp;"")</f>
        <v/>
      </c>
      <c r="H984">
        <f>IF('Tuesday Leagues'!$J87="","",'Tuesday Leagues'!$F87&amp;"")</f>
        <v/>
      </c>
      <c r="I984">
        <f>IF('Tuesday Leagues'!$J87="","",'Tuesday Leagues'!$G87&amp;"")</f>
        <v/>
      </c>
      <c r="J984">
        <f>IF('Tuesday Leagues'!$J87="","",'Tuesday Leagues'!$H87)</f>
        <v/>
      </c>
      <c r="K984">
        <f>IF('Tuesday Leagues'!$J87="","",COUNTIFS('Tuesday Leagues'!$A$5:$A$154,'Tuesday Leagues'!$A87,'Tuesday Leagues'!$H$5:$H$154,'Tuesday Leagues'!$H87))</f>
        <v/>
      </c>
      <c r="L984">
        <f>IF('Tuesday Leagues'!$J87="","","")</f>
        <v/>
      </c>
      <c r="M984">
        <f>IF('Tuesday Leagues'!$J87="","",'Tuesday Leagues'!$I87)</f>
        <v/>
      </c>
      <c r="N984">
        <f>IF('Tuesday Leagues'!$J87="","",'Tuesday Leagues'!$J87)</f>
        <v/>
      </c>
      <c r="O984">
        <f>IF('Tuesday Leagues'!$J87="","",'Tuesday Leagues'!$J87)</f>
        <v/>
      </c>
      <c r="P984">
        <f>IF('Tuesday Leagues'!$J87="","",'Tuesday Leagues'!$K87)</f>
        <v/>
      </c>
    </row>
    <row r="985">
      <c r="A985">
        <f>IF('Tuesday Leagues'!$J88="","","Tuesday Night League "&amp;'Tuesday Leagues'!$A88)</f>
        <v/>
      </c>
      <c r="B985">
        <f>IF('Tuesday Leagues'!$J88="","","Tuesday Night League")</f>
        <v/>
      </c>
      <c r="C985" s="18">
        <f>IF('Tuesday Leagues'!$J88="","",'Tuesday Leagues'!$B88)</f>
        <v/>
      </c>
      <c r="E985">
        <f>IF('Tuesday Leagues'!$J88="","",'Tuesday Leagues'!$C88&amp;"")</f>
        <v/>
      </c>
      <c r="F985">
        <f>IF('Tuesday Leagues'!$J88="","",'Tuesday Leagues'!$D88&amp;"")</f>
        <v/>
      </c>
      <c r="G985">
        <f>IF('Tuesday Leagues'!$J88="","",'Tuesday Leagues'!$E88&amp;"")</f>
        <v/>
      </c>
      <c r="H985">
        <f>IF('Tuesday Leagues'!$J88="","",'Tuesday Leagues'!$F88&amp;"")</f>
        <v/>
      </c>
      <c r="I985">
        <f>IF('Tuesday Leagues'!$J88="","",'Tuesday Leagues'!$G88&amp;"")</f>
        <v/>
      </c>
      <c r="J985">
        <f>IF('Tuesday Leagues'!$J88="","",'Tuesday Leagues'!$H88)</f>
        <v/>
      </c>
      <c r="K985">
        <f>IF('Tuesday Leagues'!$J88="","",COUNTIFS('Tuesday Leagues'!$A$5:$A$154,'Tuesday Leagues'!$A88,'Tuesday Leagues'!$H$5:$H$154,'Tuesday Leagues'!$H88))</f>
        <v/>
      </c>
      <c r="L985">
        <f>IF('Tuesday Leagues'!$J88="","","")</f>
        <v/>
      </c>
      <c r="M985">
        <f>IF('Tuesday Leagues'!$J88="","",'Tuesday Leagues'!$I88)</f>
        <v/>
      </c>
      <c r="N985">
        <f>IF('Tuesday Leagues'!$J88="","",'Tuesday Leagues'!$J88)</f>
        <v/>
      </c>
      <c r="O985">
        <f>IF('Tuesday Leagues'!$J88="","",'Tuesday Leagues'!$J88)</f>
        <v/>
      </c>
      <c r="P985">
        <f>IF('Tuesday Leagues'!$J88="","",'Tuesday Leagues'!$K88)</f>
        <v/>
      </c>
    </row>
    <row r="986">
      <c r="A986">
        <f>IF('Tuesday Leagues'!$J89="","","Tuesday Night League "&amp;'Tuesday Leagues'!$A89)</f>
        <v/>
      </c>
      <c r="B986">
        <f>IF('Tuesday Leagues'!$J89="","","Tuesday Night League")</f>
        <v/>
      </c>
      <c r="C986" s="18">
        <f>IF('Tuesday Leagues'!$J89="","",'Tuesday Leagues'!$B89)</f>
        <v/>
      </c>
      <c r="E986">
        <f>IF('Tuesday Leagues'!$J89="","",'Tuesday Leagues'!$C89&amp;"")</f>
        <v/>
      </c>
      <c r="F986">
        <f>IF('Tuesday Leagues'!$J89="","",'Tuesday Leagues'!$D89&amp;"")</f>
        <v/>
      </c>
      <c r="G986">
        <f>IF('Tuesday Leagues'!$J89="","",'Tuesday Leagues'!$E89&amp;"")</f>
        <v/>
      </c>
      <c r="H986">
        <f>IF('Tuesday Leagues'!$J89="","",'Tuesday Leagues'!$F89&amp;"")</f>
        <v/>
      </c>
      <c r="I986">
        <f>IF('Tuesday Leagues'!$J89="","",'Tuesday Leagues'!$G89&amp;"")</f>
        <v/>
      </c>
      <c r="J986">
        <f>IF('Tuesday Leagues'!$J89="","",'Tuesday Leagues'!$H89)</f>
        <v/>
      </c>
      <c r="K986">
        <f>IF('Tuesday Leagues'!$J89="","",COUNTIFS('Tuesday Leagues'!$A$5:$A$154,'Tuesday Leagues'!$A89,'Tuesday Leagues'!$H$5:$H$154,'Tuesday Leagues'!$H89))</f>
        <v/>
      </c>
      <c r="L986">
        <f>IF('Tuesday Leagues'!$J89="","","")</f>
        <v/>
      </c>
      <c r="M986">
        <f>IF('Tuesday Leagues'!$J89="","",'Tuesday Leagues'!$I89)</f>
        <v/>
      </c>
      <c r="N986">
        <f>IF('Tuesday Leagues'!$J89="","",'Tuesday Leagues'!$J89)</f>
        <v/>
      </c>
      <c r="O986">
        <f>IF('Tuesday Leagues'!$J89="","",'Tuesday Leagues'!$J89)</f>
        <v/>
      </c>
      <c r="P986">
        <f>IF('Tuesday Leagues'!$J89="","",'Tuesday Leagues'!$K89)</f>
        <v/>
      </c>
    </row>
    <row r="987">
      <c r="A987">
        <f>IF('Tuesday Leagues'!$J90="","","Tuesday Night League "&amp;'Tuesday Leagues'!$A90)</f>
        <v/>
      </c>
      <c r="B987">
        <f>IF('Tuesday Leagues'!$J90="","","Tuesday Night League")</f>
        <v/>
      </c>
      <c r="C987" s="18">
        <f>IF('Tuesday Leagues'!$J90="","",'Tuesday Leagues'!$B90)</f>
        <v/>
      </c>
      <c r="E987">
        <f>IF('Tuesday Leagues'!$J90="","",'Tuesday Leagues'!$C90&amp;"")</f>
        <v/>
      </c>
      <c r="F987">
        <f>IF('Tuesday Leagues'!$J90="","",'Tuesday Leagues'!$D90&amp;"")</f>
        <v/>
      </c>
      <c r="G987">
        <f>IF('Tuesday Leagues'!$J90="","",'Tuesday Leagues'!$E90&amp;"")</f>
        <v/>
      </c>
      <c r="H987">
        <f>IF('Tuesday Leagues'!$J90="","",'Tuesday Leagues'!$F90&amp;"")</f>
        <v/>
      </c>
      <c r="I987">
        <f>IF('Tuesday Leagues'!$J90="","",'Tuesday Leagues'!$G90&amp;"")</f>
        <v/>
      </c>
      <c r="J987">
        <f>IF('Tuesday Leagues'!$J90="","",'Tuesday Leagues'!$H90)</f>
        <v/>
      </c>
      <c r="K987">
        <f>IF('Tuesday Leagues'!$J90="","",COUNTIFS('Tuesday Leagues'!$A$5:$A$154,'Tuesday Leagues'!$A90,'Tuesday Leagues'!$H$5:$H$154,'Tuesday Leagues'!$H90))</f>
        <v/>
      </c>
      <c r="L987">
        <f>IF('Tuesday Leagues'!$J90="","","")</f>
        <v/>
      </c>
      <c r="M987">
        <f>IF('Tuesday Leagues'!$J90="","",'Tuesday Leagues'!$I90)</f>
        <v/>
      </c>
      <c r="N987">
        <f>IF('Tuesday Leagues'!$J90="","",'Tuesday Leagues'!$J90)</f>
        <v/>
      </c>
      <c r="O987">
        <f>IF('Tuesday Leagues'!$J90="","",'Tuesday Leagues'!$J90)</f>
        <v/>
      </c>
      <c r="P987">
        <f>IF('Tuesday Leagues'!$J90="","",'Tuesday Leagues'!$K90)</f>
        <v/>
      </c>
    </row>
    <row r="988">
      <c r="A988">
        <f>IF('Tuesday Leagues'!$J91="","","Tuesday Night League "&amp;'Tuesday Leagues'!$A91)</f>
        <v/>
      </c>
      <c r="B988">
        <f>IF('Tuesday Leagues'!$J91="","","Tuesday Night League")</f>
        <v/>
      </c>
      <c r="C988" s="18">
        <f>IF('Tuesday Leagues'!$J91="","",'Tuesday Leagues'!$B91)</f>
        <v/>
      </c>
      <c r="E988">
        <f>IF('Tuesday Leagues'!$J91="","",'Tuesday Leagues'!$C91&amp;"")</f>
        <v/>
      </c>
      <c r="F988">
        <f>IF('Tuesday Leagues'!$J91="","",'Tuesday Leagues'!$D91&amp;"")</f>
        <v/>
      </c>
      <c r="G988">
        <f>IF('Tuesday Leagues'!$J91="","",'Tuesday Leagues'!$E91&amp;"")</f>
        <v/>
      </c>
      <c r="H988">
        <f>IF('Tuesday Leagues'!$J91="","",'Tuesday Leagues'!$F91&amp;"")</f>
        <v/>
      </c>
      <c r="I988">
        <f>IF('Tuesday Leagues'!$J91="","",'Tuesday Leagues'!$G91&amp;"")</f>
        <v/>
      </c>
      <c r="J988">
        <f>IF('Tuesday Leagues'!$J91="","",'Tuesday Leagues'!$H91)</f>
        <v/>
      </c>
      <c r="K988">
        <f>IF('Tuesday Leagues'!$J91="","",COUNTIFS('Tuesday Leagues'!$A$5:$A$154,'Tuesday Leagues'!$A91,'Tuesday Leagues'!$H$5:$H$154,'Tuesday Leagues'!$H91))</f>
        <v/>
      </c>
      <c r="L988">
        <f>IF('Tuesday Leagues'!$J91="","","")</f>
        <v/>
      </c>
      <c r="M988">
        <f>IF('Tuesday Leagues'!$J91="","",'Tuesday Leagues'!$I91)</f>
        <v/>
      </c>
      <c r="N988">
        <f>IF('Tuesday Leagues'!$J91="","",'Tuesday Leagues'!$J91)</f>
        <v/>
      </c>
      <c r="O988">
        <f>IF('Tuesday Leagues'!$J91="","",'Tuesday Leagues'!$J91)</f>
        <v/>
      </c>
      <c r="P988">
        <f>IF('Tuesday Leagues'!$J91="","",'Tuesday Leagues'!$K91)</f>
        <v/>
      </c>
    </row>
    <row r="989">
      <c r="A989">
        <f>IF('Tuesday Leagues'!$J92="","","Tuesday Night League "&amp;'Tuesday Leagues'!$A92)</f>
        <v/>
      </c>
      <c r="B989">
        <f>IF('Tuesday Leagues'!$J92="","","Tuesday Night League")</f>
        <v/>
      </c>
      <c r="C989" s="18">
        <f>IF('Tuesday Leagues'!$J92="","",'Tuesday Leagues'!$B92)</f>
        <v/>
      </c>
      <c r="E989">
        <f>IF('Tuesday Leagues'!$J92="","",'Tuesday Leagues'!$C92&amp;"")</f>
        <v/>
      </c>
      <c r="F989">
        <f>IF('Tuesday Leagues'!$J92="","",'Tuesday Leagues'!$D92&amp;"")</f>
        <v/>
      </c>
      <c r="G989">
        <f>IF('Tuesday Leagues'!$J92="","",'Tuesday Leagues'!$E92&amp;"")</f>
        <v/>
      </c>
      <c r="H989">
        <f>IF('Tuesday Leagues'!$J92="","",'Tuesday Leagues'!$F92&amp;"")</f>
        <v/>
      </c>
      <c r="I989">
        <f>IF('Tuesday Leagues'!$J92="","",'Tuesday Leagues'!$G92&amp;"")</f>
        <v/>
      </c>
      <c r="J989">
        <f>IF('Tuesday Leagues'!$J92="","",'Tuesday Leagues'!$H92)</f>
        <v/>
      </c>
      <c r="K989">
        <f>IF('Tuesday Leagues'!$J92="","",COUNTIFS('Tuesday Leagues'!$A$5:$A$154,'Tuesday Leagues'!$A92,'Tuesday Leagues'!$H$5:$H$154,'Tuesday Leagues'!$H92))</f>
        <v/>
      </c>
      <c r="L989">
        <f>IF('Tuesday Leagues'!$J92="","","")</f>
        <v/>
      </c>
      <c r="M989">
        <f>IF('Tuesday Leagues'!$J92="","",'Tuesday Leagues'!$I92)</f>
        <v/>
      </c>
      <c r="N989">
        <f>IF('Tuesday Leagues'!$J92="","",'Tuesday Leagues'!$J92)</f>
        <v/>
      </c>
      <c r="O989">
        <f>IF('Tuesday Leagues'!$J92="","",'Tuesday Leagues'!$J92)</f>
        <v/>
      </c>
      <c r="P989">
        <f>IF('Tuesday Leagues'!$J92="","",'Tuesday Leagues'!$K92)</f>
        <v/>
      </c>
    </row>
    <row r="990">
      <c r="A990">
        <f>IF('Tuesday Leagues'!$J93="","","Tuesday Night League "&amp;'Tuesday Leagues'!$A93)</f>
        <v/>
      </c>
      <c r="B990">
        <f>IF('Tuesday Leagues'!$J93="","","Tuesday Night League")</f>
        <v/>
      </c>
      <c r="C990" s="18">
        <f>IF('Tuesday Leagues'!$J93="","",'Tuesday Leagues'!$B93)</f>
        <v/>
      </c>
      <c r="E990">
        <f>IF('Tuesday Leagues'!$J93="","",'Tuesday Leagues'!$C93&amp;"")</f>
        <v/>
      </c>
      <c r="F990">
        <f>IF('Tuesday Leagues'!$J93="","",'Tuesday Leagues'!$D93&amp;"")</f>
        <v/>
      </c>
      <c r="G990">
        <f>IF('Tuesday Leagues'!$J93="","",'Tuesday Leagues'!$E93&amp;"")</f>
        <v/>
      </c>
      <c r="H990">
        <f>IF('Tuesday Leagues'!$J93="","",'Tuesday Leagues'!$F93&amp;"")</f>
        <v/>
      </c>
      <c r="I990">
        <f>IF('Tuesday Leagues'!$J93="","",'Tuesday Leagues'!$G93&amp;"")</f>
        <v/>
      </c>
      <c r="J990">
        <f>IF('Tuesday Leagues'!$J93="","",'Tuesday Leagues'!$H93)</f>
        <v/>
      </c>
      <c r="K990">
        <f>IF('Tuesday Leagues'!$J93="","",COUNTIFS('Tuesday Leagues'!$A$5:$A$154,'Tuesday Leagues'!$A93,'Tuesday Leagues'!$H$5:$H$154,'Tuesday Leagues'!$H93))</f>
        <v/>
      </c>
      <c r="L990">
        <f>IF('Tuesday Leagues'!$J93="","","")</f>
        <v/>
      </c>
      <c r="M990">
        <f>IF('Tuesday Leagues'!$J93="","",'Tuesday Leagues'!$I93)</f>
        <v/>
      </c>
      <c r="N990">
        <f>IF('Tuesday Leagues'!$J93="","",'Tuesday Leagues'!$J93)</f>
        <v/>
      </c>
      <c r="O990">
        <f>IF('Tuesday Leagues'!$J93="","",'Tuesday Leagues'!$J93)</f>
        <v/>
      </c>
      <c r="P990">
        <f>IF('Tuesday Leagues'!$J93="","",'Tuesday Leagues'!$K93)</f>
        <v/>
      </c>
    </row>
    <row r="991">
      <c r="A991">
        <f>IF('Tuesday Leagues'!$J94="","","Tuesday Night League "&amp;'Tuesday Leagues'!$A94)</f>
        <v/>
      </c>
      <c r="B991">
        <f>IF('Tuesday Leagues'!$J94="","","Tuesday Night League")</f>
        <v/>
      </c>
      <c r="C991" s="18">
        <f>IF('Tuesday Leagues'!$J94="","",'Tuesday Leagues'!$B94)</f>
        <v/>
      </c>
      <c r="E991">
        <f>IF('Tuesday Leagues'!$J94="","",'Tuesday Leagues'!$C94&amp;"")</f>
        <v/>
      </c>
      <c r="F991">
        <f>IF('Tuesday Leagues'!$J94="","",'Tuesday Leagues'!$D94&amp;"")</f>
        <v/>
      </c>
      <c r="G991">
        <f>IF('Tuesday Leagues'!$J94="","",'Tuesday Leagues'!$E94&amp;"")</f>
        <v/>
      </c>
      <c r="H991">
        <f>IF('Tuesday Leagues'!$J94="","",'Tuesday Leagues'!$F94&amp;"")</f>
        <v/>
      </c>
      <c r="I991">
        <f>IF('Tuesday Leagues'!$J94="","",'Tuesday Leagues'!$G94&amp;"")</f>
        <v/>
      </c>
      <c r="J991">
        <f>IF('Tuesday Leagues'!$J94="","",'Tuesday Leagues'!$H94)</f>
        <v/>
      </c>
      <c r="K991">
        <f>IF('Tuesday Leagues'!$J94="","",COUNTIFS('Tuesday Leagues'!$A$5:$A$154,'Tuesday Leagues'!$A94,'Tuesday Leagues'!$H$5:$H$154,'Tuesday Leagues'!$H94))</f>
        <v/>
      </c>
      <c r="L991">
        <f>IF('Tuesday Leagues'!$J94="","","")</f>
        <v/>
      </c>
      <c r="M991">
        <f>IF('Tuesday Leagues'!$J94="","",'Tuesday Leagues'!$I94)</f>
        <v/>
      </c>
      <c r="N991">
        <f>IF('Tuesday Leagues'!$J94="","",'Tuesday Leagues'!$J94)</f>
        <v/>
      </c>
      <c r="O991">
        <f>IF('Tuesday Leagues'!$J94="","",'Tuesday Leagues'!$J94)</f>
        <v/>
      </c>
      <c r="P991">
        <f>IF('Tuesday Leagues'!$J94="","",'Tuesday Leagues'!$K94)</f>
        <v/>
      </c>
    </row>
    <row r="992">
      <c r="A992">
        <f>IF('Tuesday Leagues'!$J95="","","Tuesday Night League "&amp;'Tuesday Leagues'!$A95)</f>
        <v/>
      </c>
      <c r="B992">
        <f>IF('Tuesday Leagues'!$J95="","","Tuesday Night League")</f>
        <v/>
      </c>
      <c r="C992" s="18">
        <f>IF('Tuesday Leagues'!$J95="","",'Tuesday Leagues'!$B95)</f>
        <v/>
      </c>
      <c r="E992">
        <f>IF('Tuesday Leagues'!$J95="","",'Tuesday Leagues'!$C95&amp;"")</f>
        <v/>
      </c>
      <c r="F992">
        <f>IF('Tuesday Leagues'!$J95="","",'Tuesday Leagues'!$D95&amp;"")</f>
        <v/>
      </c>
      <c r="G992">
        <f>IF('Tuesday Leagues'!$J95="","",'Tuesday Leagues'!$E95&amp;"")</f>
        <v/>
      </c>
      <c r="H992">
        <f>IF('Tuesday Leagues'!$J95="","",'Tuesday Leagues'!$F95&amp;"")</f>
        <v/>
      </c>
      <c r="I992">
        <f>IF('Tuesday Leagues'!$J95="","",'Tuesday Leagues'!$G95&amp;"")</f>
        <v/>
      </c>
      <c r="J992">
        <f>IF('Tuesday Leagues'!$J95="","",'Tuesday Leagues'!$H95)</f>
        <v/>
      </c>
      <c r="K992">
        <f>IF('Tuesday Leagues'!$J95="","",COUNTIFS('Tuesday Leagues'!$A$5:$A$154,'Tuesday Leagues'!$A95,'Tuesday Leagues'!$H$5:$H$154,'Tuesday Leagues'!$H95))</f>
        <v/>
      </c>
      <c r="L992">
        <f>IF('Tuesday Leagues'!$J95="","","")</f>
        <v/>
      </c>
      <c r="M992">
        <f>IF('Tuesday Leagues'!$J95="","",'Tuesday Leagues'!$I95)</f>
        <v/>
      </c>
      <c r="N992">
        <f>IF('Tuesday Leagues'!$J95="","",'Tuesday Leagues'!$J95)</f>
        <v/>
      </c>
      <c r="O992">
        <f>IF('Tuesday Leagues'!$J95="","",'Tuesday Leagues'!$J95)</f>
        <v/>
      </c>
      <c r="P992">
        <f>IF('Tuesday Leagues'!$J95="","",'Tuesday Leagues'!$K95)</f>
        <v/>
      </c>
    </row>
    <row r="993">
      <c r="A993">
        <f>IF('Tuesday Leagues'!$J96="","","Tuesday Night League "&amp;'Tuesday Leagues'!$A96)</f>
        <v/>
      </c>
      <c r="B993">
        <f>IF('Tuesday Leagues'!$J96="","","Tuesday Night League")</f>
        <v/>
      </c>
      <c r="C993" s="18">
        <f>IF('Tuesday Leagues'!$J96="","",'Tuesday Leagues'!$B96)</f>
        <v/>
      </c>
      <c r="E993">
        <f>IF('Tuesday Leagues'!$J96="","",'Tuesday Leagues'!$C96&amp;"")</f>
        <v/>
      </c>
      <c r="F993">
        <f>IF('Tuesday Leagues'!$J96="","",'Tuesday Leagues'!$D96&amp;"")</f>
        <v/>
      </c>
      <c r="G993">
        <f>IF('Tuesday Leagues'!$J96="","",'Tuesday Leagues'!$E96&amp;"")</f>
        <v/>
      </c>
      <c r="H993">
        <f>IF('Tuesday Leagues'!$J96="","",'Tuesday Leagues'!$F96&amp;"")</f>
        <v/>
      </c>
      <c r="I993">
        <f>IF('Tuesday Leagues'!$J96="","",'Tuesday Leagues'!$G96&amp;"")</f>
        <v/>
      </c>
      <c r="J993">
        <f>IF('Tuesday Leagues'!$J96="","",'Tuesday Leagues'!$H96)</f>
        <v/>
      </c>
      <c r="K993">
        <f>IF('Tuesday Leagues'!$J96="","",COUNTIFS('Tuesday Leagues'!$A$5:$A$154,'Tuesday Leagues'!$A96,'Tuesday Leagues'!$H$5:$H$154,'Tuesday Leagues'!$H96))</f>
        <v/>
      </c>
      <c r="L993">
        <f>IF('Tuesday Leagues'!$J96="","","")</f>
        <v/>
      </c>
      <c r="M993">
        <f>IF('Tuesday Leagues'!$J96="","",'Tuesday Leagues'!$I96)</f>
        <v/>
      </c>
      <c r="N993">
        <f>IF('Tuesday Leagues'!$J96="","",'Tuesday Leagues'!$J96)</f>
        <v/>
      </c>
      <c r="O993">
        <f>IF('Tuesday Leagues'!$J96="","",'Tuesday Leagues'!$J96)</f>
        <v/>
      </c>
      <c r="P993">
        <f>IF('Tuesday Leagues'!$J96="","",'Tuesday Leagues'!$K96)</f>
        <v/>
      </c>
    </row>
    <row r="994">
      <c r="A994">
        <f>IF('Tuesday Leagues'!$J97="","","Tuesday Night League "&amp;'Tuesday Leagues'!$A97)</f>
        <v/>
      </c>
      <c r="B994">
        <f>IF('Tuesday Leagues'!$J97="","","Tuesday Night League")</f>
        <v/>
      </c>
      <c r="C994" s="18">
        <f>IF('Tuesday Leagues'!$J97="","",'Tuesday Leagues'!$B97)</f>
        <v/>
      </c>
      <c r="E994">
        <f>IF('Tuesday Leagues'!$J97="","",'Tuesday Leagues'!$C97&amp;"")</f>
        <v/>
      </c>
      <c r="F994">
        <f>IF('Tuesday Leagues'!$J97="","",'Tuesday Leagues'!$D97&amp;"")</f>
        <v/>
      </c>
      <c r="G994">
        <f>IF('Tuesday Leagues'!$J97="","",'Tuesday Leagues'!$E97&amp;"")</f>
        <v/>
      </c>
      <c r="H994">
        <f>IF('Tuesday Leagues'!$J97="","",'Tuesday Leagues'!$F97&amp;"")</f>
        <v/>
      </c>
      <c r="I994">
        <f>IF('Tuesday Leagues'!$J97="","",'Tuesday Leagues'!$G97&amp;"")</f>
        <v/>
      </c>
      <c r="J994">
        <f>IF('Tuesday Leagues'!$J97="","",'Tuesday Leagues'!$H97)</f>
        <v/>
      </c>
      <c r="K994">
        <f>IF('Tuesday Leagues'!$J97="","",COUNTIFS('Tuesday Leagues'!$A$5:$A$154,'Tuesday Leagues'!$A97,'Tuesday Leagues'!$H$5:$H$154,'Tuesday Leagues'!$H97))</f>
        <v/>
      </c>
      <c r="L994">
        <f>IF('Tuesday Leagues'!$J97="","","")</f>
        <v/>
      </c>
      <c r="M994">
        <f>IF('Tuesday Leagues'!$J97="","",'Tuesday Leagues'!$I97)</f>
        <v/>
      </c>
      <c r="N994">
        <f>IF('Tuesday Leagues'!$J97="","",'Tuesday Leagues'!$J97)</f>
        <v/>
      </c>
      <c r="O994">
        <f>IF('Tuesday Leagues'!$J97="","",'Tuesday Leagues'!$J97)</f>
        <v/>
      </c>
      <c r="P994">
        <f>IF('Tuesday Leagues'!$J97="","",'Tuesday Leagues'!$K97)</f>
        <v/>
      </c>
    </row>
    <row r="995">
      <c r="A995">
        <f>IF('Tuesday Leagues'!$J98="","","Tuesday Night League "&amp;'Tuesday Leagues'!$A98)</f>
        <v/>
      </c>
      <c r="B995">
        <f>IF('Tuesday Leagues'!$J98="","","Tuesday Night League")</f>
        <v/>
      </c>
      <c r="C995" s="18">
        <f>IF('Tuesday Leagues'!$J98="","",'Tuesday Leagues'!$B98)</f>
        <v/>
      </c>
      <c r="E995">
        <f>IF('Tuesday Leagues'!$J98="","",'Tuesday Leagues'!$C98&amp;"")</f>
        <v/>
      </c>
      <c r="F995">
        <f>IF('Tuesday Leagues'!$J98="","",'Tuesday Leagues'!$D98&amp;"")</f>
        <v/>
      </c>
      <c r="G995">
        <f>IF('Tuesday Leagues'!$J98="","",'Tuesday Leagues'!$E98&amp;"")</f>
        <v/>
      </c>
      <c r="H995">
        <f>IF('Tuesday Leagues'!$J98="","",'Tuesday Leagues'!$F98&amp;"")</f>
        <v/>
      </c>
      <c r="I995">
        <f>IF('Tuesday Leagues'!$J98="","",'Tuesday Leagues'!$G98&amp;"")</f>
        <v/>
      </c>
      <c r="J995">
        <f>IF('Tuesday Leagues'!$J98="","",'Tuesday Leagues'!$H98)</f>
        <v/>
      </c>
      <c r="K995">
        <f>IF('Tuesday Leagues'!$J98="","",COUNTIFS('Tuesday Leagues'!$A$5:$A$154,'Tuesday Leagues'!$A98,'Tuesday Leagues'!$H$5:$H$154,'Tuesday Leagues'!$H98))</f>
        <v/>
      </c>
      <c r="L995">
        <f>IF('Tuesday Leagues'!$J98="","","")</f>
        <v/>
      </c>
      <c r="M995">
        <f>IF('Tuesday Leagues'!$J98="","",'Tuesday Leagues'!$I98)</f>
        <v/>
      </c>
      <c r="N995">
        <f>IF('Tuesday Leagues'!$J98="","",'Tuesday Leagues'!$J98)</f>
        <v/>
      </c>
      <c r="O995">
        <f>IF('Tuesday Leagues'!$J98="","",'Tuesday Leagues'!$J98)</f>
        <v/>
      </c>
      <c r="P995">
        <f>IF('Tuesday Leagues'!$J98="","",'Tuesday Leagues'!$K98)</f>
        <v/>
      </c>
    </row>
    <row r="996">
      <c r="A996">
        <f>IF('Tuesday Leagues'!$J99="","","Tuesday Night League "&amp;'Tuesday Leagues'!$A99)</f>
        <v/>
      </c>
      <c r="B996">
        <f>IF('Tuesday Leagues'!$J99="","","Tuesday Night League")</f>
        <v/>
      </c>
      <c r="C996" s="18">
        <f>IF('Tuesday Leagues'!$J99="","",'Tuesday Leagues'!$B99)</f>
        <v/>
      </c>
      <c r="E996">
        <f>IF('Tuesday Leagues'!$J99="","",'Tuesday Leagues'!$C99&amp;"")</f>
        <v/>
      </c>
      <c r="F996">
        <f>IF('Tuesday Leagues'!$J99="","",'Tuesday Leagues'!$D99&amp;"")</f>
        <v/>
      </c>
      <c r="G996">
        <f>IF('Tuesday Leagues'!$J99="","",'Tuesday Leagues'!$E99&amp;"")</f>
        <v/>
      </c>
      <c r="H996">
        <f>IF('Tuesday Leagues'!$J99="","",'Tuesday Leagues'!$F99&amp;"")</f>
        <v/>
      </c>
      <c r="I996">
        <f>IF('Tuesday Leagues'!$J99="","",'Tuesday Leagues'!$G99&amp;"")</f>
        <v/>
      </c>
      <c r="J996">
        <f>IF('Tuesday Leagues'!$J99="","",'Tuesday Leagues'!$H99)</f>
        <v/>
      </c>
      <c r="K996">
        <f>IF('Tuesday Leagues'!$J99="","",COUNTIFS('Tuesday Leagues'!$A$5:$A$154,'Tuesday Leagues'!$A99,'Tuesday Leagues'!$H$5:$H$154,'Tuesday Leagues'!$H99))</f>
        <v/>
      </c>
      <c r="L996">
        <f>IF('Tuesday Leagues'!$J99="","","")</f>
        <v/>
      </c>
      <c r="M996">
        <f>IF('Tuesday Leagues'!$J99="","",'Tuesday Leagues'!$I99)</f>
        <v/>
      </c>
      <c r="N996">
        <f>IF('Tuesday Leagues'!$J99="","",'Tuesday Leagues'!$J99)</f>
        <v/>
      </c>
      <c r="O996">
        <f>IF('Tuesday Leagues'!$J99="","",'Tuesday Leagues'!$J99)</f>
        <v/>
      </c>
      <c r="P996">
        <f>IF('Tuesday Leagues'!$J99="","",'Tuesday Leagues'!$K99)</f>
        <v/>
      </c>
    </row>
    <row r="997">
      <c r="A997">
        <f>IF('Tuesday Leagues'!$J100="","","Tuesday Night League "&amp;'Tuesday Leagues'!$A100)</f>
        <v/>
      </c>
      <c r="B997">
        <f>IF('Tuesday Leagues'!$J100="","","Tuesday Night League")</f>
        <v/>
      </c>
      <c r="C997" s="18">
        <f>IF('Tuesday Leagues'!$J100="","",'Tuesday Leagues'!$B100)</f>
        <v/>
      </c>
      <c r="E997">
        <f>IF('Tuesday Leagues'!$J100="","",'Tuesday Leagues'!$C100&amp;"")</f>
        <v/>
      </c>
      <c r="F997">
        <f>IF('Tuesday Leagues'!$J100="","",'Tuesday Leagues'!$D100&amp;"")</f>
        <v/>
      </c>
      <c r="G997">
        <f>IF('Tuesday Leagues'!$J100="","",'Tuesday Leagues'!$E100&amp;"")</f>
        <v/>
      </c>
      <c r="H997">
        <f>IF('Tuesday Leagues'!$J100="","",'Tuesday Leagues'!$F100&amp;"")</f>
        <v/>
      </c>
      <c r="I997">
        <f>IF('Tuesday Leagues'!$J100="","",'Tuesday Leagues'!$G100&amp;"")</f>
        <v/>
      </c>
      <c r="J997">
        <f>IF('Tuesday Leagues'!$J100="","",'Tuesday Leagues'!$H100)</f>
        <v/>
      </c>
      <c r="K997">
        <f>IF('Tuesday Leagues'!$J100="","",COUNTIFS('Tuesday Leagues'!$A$5:$A$154,'Tuesday Leagues'!$A100,'Tuesday Leagues'!$H$5:$H$154,'Tuesday Leagues'!$H100))</f>
        <v/>
      </c>
      <c r="L997">
        <f>IF('Tuesday Leagues'!$J100="","","")</f>
        <v/>
      </c>
      <c r="M997">
        <f>IF('Tuesday Leagues'!$J100="","",'Tuesday Leagues'!$I100)</f>
        <v/>
      </c>
      <c r="N997">
        <f>IF('Tuesday Leagues'!$J100="","",'Tuesday Leagues'!$J100)</f>
        <v/>
      </c>
      <c r="O997">
        <f>IF('Tuesday Leagues'!$J100="","",'Tuesday Leagues'!$J100)</f>
        <v/>
      </c>
      <c r="P997">
        <f>IF('Tuesday Leagues'!$J100="","",'Tuesday Leagues'!$K100)</f>
        <v/>
      </c>
    </row>
    <row r="998">
      <c r="A998">
        <f>IF('Tuesday Leagues'!$J101="","","Tuesday Night League "&amp;'Tuesday Leagues'!$A101)</f>
        <v/>
      </c>
      <c r="B998">
        <f>IF('Tuesday Leagues'!$J101="","","Tuesday Night League")</f>
        <v/>
      </c>
      <c r="C998" s="18">
        <f>IF('Tuesday Leagues'!$J101="","",'Tuesday Leagues'!$B101)</f>
        <v/>
      </c>
      <c r="E998">
        <f>IF('Tuesday Leagues'!$J101="","",'Tuesday Leagues'!$C101&amp;"")</f>
        <v/>
      </c>
      <c r="F998">
        <f>IF('Tuesday Leagues'!$J101="","",'Tuesday Leagues'!$D101&amp;"")</f>
        <v/>
      </c>
      <c r="G998">
        <f>IF('Tuesday Leagues'!$J101="","",'Tuesday Leagues'!$E101&amp;"")</f>
        <v/>
      </c>
      <c r="H998">
        <f>IF('Tuesday Leagues'!$J101="","",'Tuesday Leagues'!$F101&amp;"")</f>
        <v/>
      </c>
      <c r="I998">
        <f>IF('Tuesday Leagues'!$J101="","",'Tuesday Leagues'!$G101&amp;"")</f>
        <v/>
      </c>
      <c r="J998">
        <f>IF('Tuesday Leagues'!$J101="","",'Tuesday Leagues'!$H101)</f>
        <v/>
      </c>
      <c r="K998">
        <f>IF('Tuesday Leagues'!$J101="","",COUNTIFS('Tuesday Leagues'!$A$5:$A$154,'Tuesday Leagues'!$A101,'Tuesday Leagues'!$H$5:$H$154,'Tuesday Leagues'!$H101))</f>
        <v/>
      </c>
      <c r="L998">
        <f>IF('Tuesday Leagues'!$J101="","","")</f>
        <v/>
      </c>
      <c r="M998">
        <f>IF('Tuesday Leagues'!$J101="","",'Tuesday Leagues'!$I101)</f>
        <v/>
      </c>
      <c r="N998">
        <f>IF('Tuesday Leagues'!$J101="","",'Tuesday Leagues'!$J101)</f>
        <v/>
      </c>
      <c r="O998">
        <f>IF('Tuesday Leagues'!$J101="","",'Tuesday Leagues'!$J101)</f>
        <v/>
      </c>
      <c r="P998">
        <f>IF('Tuesday Leagues'!$J101="","",'Tuesday Leagues'!$K101)</f>
        <v/>
      </c>
    </row>
    <row r="999">
      <c r="A999">
        <f>IF('Tuesday Leagues'!$J102="","","Tuesday Night League "&amp;'Tuesday Leagues'!$A102)</f>
        <v/>
      </c>
      <c r="B999">
        <f>IF('Tuesday Leagues'!$J102="","","Tuesday Night League")</f>
        <v/>
      </c>
      <c r="C999" s="18">
        <f>IF('Tuesday Leagues'!$J102="","",'Tuesday Leagues'!$B102)</f>
        <v/>
      </c>
      <c r="E999">
        <f>IF('Tuesday Leagues'!$J102="","",'Tuesday Leagues'!$C102&amp;"")</f>
        <v/>
      </c>
      <c r="F999">
        <f>IF('Tuesday Leagues'!$J102="","",'Tuesday Leagues'!$D102&amp;"")</f>
        <v/>
      </c>
      <c r="G999">
        <f>IF('Tuesday Leagues'!$J102="","",'Tuesday Leagues'!$E102&amp;"")</f>
        <v/>
      </c>
      <c r="H999">
        <f>IF('Tuesday Leagues'!$J102="","",'Tuesday Leagues'!$F102&amp;"")</f>
        <v/>
      </c>
      <c r="I999">
        <f>IF('Tuesday Leagues'!$J102="","",'Tuesday Leagues'!$G102&amp;"")</f>
        <v/>
      </c>
      <c r="J999">
        <f>IF('Tuesday Leagues'!$J102="","",'Tuesday Leagues'!$H102)</f>
        <v/>
      </c>
      <c r="K999">
        <f>IF('Tuesday Leagues'!$J102="","",COUNTIFS('Tuesday Leagues'!$A$5:$A$154,'Tuesday Leagues'!$A102,'Tuesday Leagues'!$H$5:$H$154,'Tuesday Leagues'!$H102))</f>
        <v/>
      </c>
      <c r="L999">
        <f>IF('Tuesday Leagues'!$J102="","","")</f>
        <v/>
      </c>
      <c r="M999">
        <f>IF('Tuesday Leagues'!$J102="","",'Tuesday Leagues'!$I102)</f>
        <v/>
      </c>
      <c r="N999">
        <f>IF('Tuesday Leagues'!$J102="","",'Tuesday Leagues'!$J102)</f>
        <v/>
      </c>
      <c r="O999">
        <f>IF('Tuesday Leagues'!$J102="","",'Tuesday Leagues'!$J102)</f>
        <v/>
      </c>
      <c r="P999">
        <f>IF('Tuesday Leagues'!$J102="","",'Tuesday Leagues'!$K102)</f>
        <v/>
      </c>
    </row>
    <row r="1000">
      <c r="A1000">
        <f>IF('Tuesday Leagues'!$J103="","","Tuesday Night League "&amp;'Tuesday Leagues'!$A103)</f>
        <v/>
      </c>
      <c r="B1000">
        <f>IF('Tuesday Leagues'!$J103="","","Tuesday Night League")</f>
        <v/>
      </c>
      <c r="C1000" s="18">
        <f>IF('Tuesday Leagues'!$J103="","",'Tuesday Leagues'!$B103)</f>
        <v/>
      </c>
      <c r="E1000">
        <f>IF('Tuesday Leagues'!$J103="","",'Tuesday Leagues'!$C103&amp;"")</f>
        <v/>
      </c>
      <c r="F1000">
        <f>IF('Tuesday Leagues'!$J103="","",'Tuesday Leagues'!$D103&amp;"")</f>
        <v/>
      </c>
      <c r="G1000">
        <f>IF('Tuesday Leagues'!$J103="","",'Tuesday Leagues'!$E103&amp;"")</f>
        <v/>
      </c>
      <c r="H1000">
        <f>IF('Tuesday Leagues'!$J103="","",'Tuesday Leagues'!$F103&amp;"")</f>
        <v/>
      </c>
      <c r="I1000">
        <f>IF('Tuesday Leagues'!$J103="","",'Tuesday Leagues'!$G103&amp;"")</f>
        <v/>
      </c>
      <c r="J1000">
        <f>IF('Tuesday Leagues'!$J103="","",'Tuesday Leagues'!$H103)</f>
        <v/>
      </c>
      <c r="K1000">
        <f>IF('Tuesday Leagues'!$J103="","",COUNTIFS('Tuesday Leagues'!$A$5:$A$154,'Tuesday Leagues'!$A103,'Tuesday Leagues'!$H$5:$H$154,'Tuesday Leagues'!$H103))</f>
        <v/>
      </c>
      <c r="L1000">
        <f>IF('Tuesday Leagues'!$J103="","","")</f>
        <v/>
      </c>
      <c r="M1000">
        <f>IF('Tuesday Leagues'!$J103="","",'Tuesday Leagues'!$I103)</f>
        <v/>
      </c>
      <c r="N1000">
        <f>IF('Tuesday Leagues'!$J103="","",'Tuesday Leagues'!$J103)</f>
        <v/>
      </c>
      <c r="O1000">
        <f>IF('Tuesday Leagues'!$J103="","",'Tuesday Leagues'!$J103)</f>
        <v/>
      </c>
      <c r="P1000">
        <f>IF('Tuesday Leagues'!$J103="","",'Tuesday Leagues'!$K103)</f>
        <v/>
      </c>
    </row>
    <row r="1001">
      <c r="A1001">
        <f>IF('Tuesday Leagues'!$J104="","","Tuesday Night League "&amp;'Tuesday Leagues'!$A104)</f>
        <v/>
      </c>
      <c r="B1001">
        <f>IF('Tuesday Leagues'!$J104="","","Tuesday Night League")</f>
        <v/>
      </c>
      <c r="C1001" s="18">
        <f>IF('Tuesday Leagues'!$J104="","",'Tuesday Leagues'!$B104)</f>
        <v/>
      </c>
      <c r="E1001">
        <f>IF('Tuesday Leagues'!$J104="","",'Tuesday Leagues'!$C104&amp;"")</f>
        <v/>
      </c>
      <c r="F1001">
        <f>IF('Tuesday Leagues'!$J104="","",'Tuesday Leagues'!$D104&amp;"")</f>
        <v/>
      </c>
      <c r="G1001">
        <f>IF('Tuesday Leagues'!$J104="","",'Tuesday Leagues'!$E104&amp;"")</f>
        <v/>
      </c>
      <c r="H1001">
        <f>IF('Tuesday Leagues'!$J104="","",'Tuesday Leagues'!$F104&amp;"")</f>
        <v/>
      </c>
      <c r="I1001">
        <f>IF('Tuesday Leagues'!$J104="","",'Tuesday Leagues'!$G104&amp;"")</f>
        <v/>
      </c>
      <c r="J1001">
        <f>IF('Tuesday Leagues'!$J104="","",'Tuesday Leagues'!$H104)</f>
        <v/>
      </c>
      <c r="K1001">
        <f>IF('Tuesday Leagues'!$J104="","",COUNTIFS('Tuesday Leagues'!$A$5:$A$154,'Tuesday Leagues'!$A104,'Tuesday Leagues'!$H$5:$H$154,'Tuesday Leagues'!$H104))</f>
        <v/>
      </c>
      <c r="L1001">
        <f>IF('Tuesday Leagues'!$J104="","","")</f>
        <v/>
      </c>
      <c r="M1001">
        <f>IF('Tuesday Leagues'!$J104="","",'Tuesday Leagues'!$I104)</f>
        <v/>
      </c>
      <c r="N1001">
        <f>IF('Tuesday Leagues'!$J104="","",'Tuesday Leagues'!$J104)</f>
        <v/>
      </c>
      <c r="O1001">
        <f>IF('Tuesday Leagues'!$J104="","",'Tuesday Leagues'!$J104)</f>
        <v/>
      </c>
      <c r="P1001">
        <f>IF('Tuesday Leagues'!$J104="","",'Tuesday Leagues'!$K104)</f>
        <v/>
      </c>
    </row>
    <row r="1002">
      <c r="A1002">
        <f>IF('Tuesday Leagues'!$J105="","","Tuesday Night League "&amp;'Tuesday Leagues'!$A105)</f>
        <v/>
      </c>
      <c r="B1002">
        <f>IF('Tuesday Leagues'!$J105="","","Tuesday Night League")</f>
        <v/>
      </c>
      <c r="C1002" s="18">
        <f>IF('Tuesday Leagues'!$J105="","",'Tuesday Leagues'!$B105)</f>
        <v/>
      </c>
      <c r="E1002">
        <f>IF('Tuesday Leagues'!$J105="","",'Tuesday Leagues'!$C105&amp;"")</f>
        <v/>
      </c>
      <c r="F1002">
        <f>IF('Tuesday Leagues'!$J105="","",'Tuesday Leagues'!$D105&amp;"")</f>
        <v/>
      </c>
      <c r="G1002">
        <f>IF('Tuesday Leagues'!$J105="","",'Tuesday Leagues'!$E105&amp;"")</f>
        <v/>
      </c>
      <c r="H1002">
        <f>IF('Tuesday Leagues'!$J105="","",'Tuesday Leagues'!$F105&amp;"")</f>
        <v/>
      </c>
      <c r="I1002">
        <f>IF('Tuesday Leagues'!$J105="","",'Tuesday Leagues'!$G105&amp;"")</f>
        <v/>
      </c>
      <c r="J1002">
        <f>IF('Tuesday Leagues'!$J105="","",'Tuesday Leagues'!$H105)</f>
        <v/>
      </c>
      <c r="K1002">
        <f>IF('Tuesday Leagues'!$J105="","",COUNTIFS('Tuesday Leagues'!$A$5:$A$154,'Tuesday Leagues'!$A105,'Tuesday Leagues'!$H$5:$H$154,'Tuesday Leagues'!$H105))</f>
        <v/>
      </c>
      <c r="L1002">
        <f>IF('Tuesday Leagues'!$J105="","","")</f>
        <v/>
      </c>
      <c r="M1002">
        <f>IF('Tuesday Leagues'!$J105="","",'Tuesday Leagues'!$I105)</f>
        <v/>
      </c>
      <c r="N1002">
        <f>IF('Tuesday Leagues'!$J105="","",'Tuesday Leagues'!$J105)</f>
        <v/>
      </c>
      <c r="O1002">
        <f>IF('Tuesday Leagues'!$J105="","",'Tuesday Leagues'!$J105)</f>
        <v/>
      </c>
      <c r="P1002">
        <f>IF('Tuesday Leagues'!$J105="","",'Tuesday Leagues'!$K105)</f>
        <v/>
      </c>
    </row>
    <row r="1003">
      <c r="A1003">
        <f>IF('Tuesday Leagues'!$J106="","","Tuesday Night League "&amp;'Tuesday Leagues'!$A106)</f>
        <v/>
      </c>
      <c r="B1003">
        <f>IF('Tuesday Leagues'!$J106="","","Tuesday Night League")</f>
        <v/>
      </c>
      <c r="C1003" s="18">
        <f>IF('Tuesday Leagues'!$J106="","",'Tuesday Leagues'!$B106)</f>
        <v/>
      </c>
      <c r="E1003">
        <f>IF('Tuesday Leagues'!$J106="","",'Tuesday Leagues'!$C106&amp;"")</f>
        <v/>
      </c>
      <c r="F1003">
        <f>IF('Tuesday Leagues'!$J106="","",'Tuesday Leagues'!$D106&amp;"")</f>
        <v/>
      </c>
      <c r="G1003">
        <f>IF('Tuesday Leagues'!$J106="","",'Tuesday Leagues'!$E106&amp;"")</f>
        <v/>
      </c>
      <c r="H1003">
        <f>IF('Tuesday Leagues'!$J106="","",'Tuesday Leagues'!$F106&amp;"")</f>
        <v/>
      </c>
      <c r="I1003">
        <f>IF('Tuesday Leagues'!$J106="","",'Tuesday Leagues'!$G106&amp;"")</f>
        <v/>
      </c>
      <c r="J1003">
        <f>IF('Tuesday Leagues'!$J106="","",'Tuesday Leagues'!$H106)</f>
        <v/>
      </c>
      <c r="K1003">
        <f>IF('Tuesday Leagues'!$J106="","",COUNTIFS('Tuesday Leagues'!$A$5:$A$154,'Tuesday Leagues'!$A106,'Tuesday Leagues'!$H$5:$H$154,'Tuesday Leagues'!$H106))</f>
        <v/>
      </c>
      <c r="L1003">
        <f>IF('Tuesday Leagues'!$J106="","","")</f>
        <v/>
      </c>
      <c r="M1003">
        <f>IF('Tuesday Leagues'!$J106="","",'Tuesday Leagues'!$I106)</f>
        <v/>
      </c>
      <c r="N1003">
        <f>IF('Tuesday Leagues'!$J106="","",'Tuesday Leagues'!$J106)</f>
        <v/>
      </c>
      <c r="O1003">
        <f>IF('Tuesday Leagues'!$J106="","",'Tuesday Leagues'!$J106)</f>
        <v/>
      </c>
      <c r="P1003">
        <f>IF('Tuesday Leagues'!$J106="","",'Tuesday Leagues'!$K106)</f>
        <v/>
      </c>
    </row>
    <row r="1004">
      <c r="A1004">
        <f>IF('Tuesday Leagues'!$J107="","","Tuesday Night League "&amp;'Tuesday Leagues'!$A107)</f>
        <v/>
      </c>
      <c r="B1004">
        <f>IF('Tuesday Leagues'!$J107="","","Tuesday Night League")</f>
        <v/>
      </c>
      <c r="C1004" s="18">
        <f>IF('Tuesday Leagues'!$J107="","",'Tuesday Leagues'!$B107)</f>
        <v/>
      </c>
      <c r="E1004">
        <f>IF('Tuesday Leagues'!$J107="","",'Tuesday Leagues'!$C107&amp;"")</f>
        <v/>
      </c>
      <c r="F1004">
        <f>IF('Tuesday Leagues'!$J107="","",'Tuesday Leagues'!$D107&amp;"")</f>
        <v/>
      </c>
      <c r="G1004">
        <f>IF('Tuesday Leagues'!$J107="","",'Tuesday Leagues'!$E107&amp;"")</f>
        <v/>
      </c>
      <c r="H1004">
        <f>IF('Tuesday Leagues'!$J107="","",'Tuesday Leagues'!$F107&amp;"")</f>
        <v/>
      </c>
      <c r="I1004">
        <f>IF('Tuesday Leagues'!$J107="","",'Tuesday Leagues'!$G107&amp;"")</f>
        <v/>
      </c>
      <c r="J1004">
        <f>IF('Tuesday Leagues'!$J107="","",'Tuesday Leagues'!$H107)</f>
        <v/>
      </c>
      <c r="K1004">
        <f>IF('Tuesday Leagues'!$J107="","",COUNTIFS('Tuesday Leagues'!$A$5:$A$154,'Tuesday Leagues'!$A107,'Tuesday Leagues'!$H$5:$H$154,'Tuesday Leagues'!$H107))</f>
        <v/>
      </c>
      <c r="L1004">
        <f>IF('Tuesday Leagues'!$J107="","","")</f>
        <v/>
      </c>
      <c r="M1004">
        <f>IF('Tuesday Leagues'!$J107="","",'Tuesday Leagues'!$I107)</f>
        <v/>
      </c>
      <c r="N1004">
        <f>IF('Tuesday Leagues'!$J107="","",'Tuesday Leagues'!$J107)</f>
        <v/>
      </c>
      <c r="O1004">
        <f>IF('Tuesday Leagues'!$J107="","",'Tuesday Leagues'!$J107)</f>
        <v/>
      </c>
      <c r="P1004">
        <f>IF('Tuesday Leagues'!$J107="","",'Tuesday Leagues'!$K107)</f>
        <v/>
      </c>
    </row>
    <row r="1005">
      <c r="A1005">
        <f>IF('Tuesday Leagues'!$J108="","","Tuesday Night League "&amp;'Tuesday Leagues'!$A108)</f>
        <v/>
      </c>
      <c r="B1005">
        <f>IF('Tuesday Leagues'!$J108="","","Tuesday Night League")</f>
        <v/>
      </c>
      <c r="C1005" s="18">
        <f>IF('Tuesday Leagues'!$J108="","",'Tuesday Leagues'!$B108)</f>
        <v/>
      </c>
      <c r="E1005">
        <f>IF('Tuesday Leagues'!$J108="","",'Tuesday Leagues'!$C108&amp;"")</f>
        <v/>
      </c>
      <c r="F1005">
        <f>IF('Tuesday Leagues'!$J108="","",'Tuesday Leagues'!$D108&amp;"")</f>
        <v/>
      </c>
      <c r="G1005">
        <f>IF('Tuesday Leagues'!$J108="","",'Tuesday Leagues'!$E108&amp;"")</f>
        <v/>
      </c>
      <c r="H1005">
        <f>IF('Tuesday Leagues'!$J108="","",'Tuesday Leagues'!$F108&amp;"")</f>
        <v/>
      </c>
      <c r="I1005">
        <f>IF('Tuesday Leagues'!$J108="","",'Tuesday Leagues'!$G108&amp;"")</f>
        <v/>
      </c>
      <c r="J1005">
        <f>IF('Tuesday Leagues'!$J108="","",'Tuesday Leagues'!$H108)</f>
        <v/>
      </c>
      <c r="K1005">
        <f>IF('Tuesday Leagues'!$J108="","",COUNTIFS('Tuesday Leagues'!$A$5:$A$154,'Tuesday Leagues'!$A108,'Tuesday Leagues'!$H$5:$H$154,'Tuesday Leagues'!$H108))</f>
        <v/>
      </c>
      <c r="L1005">
        <f>IF('Tuesday Leagues'!$J108="","","")</f>
        <v/>
      </c>
      <c r="M1005">
        <f>IF('Tuesday Leagues'!$J108="","",'Tuesday Leagues'!$I108)</f>
        <v/>
      </c>
      <c r="N1005">
        <f>IF('Tuesday Leagues'!$J108="","",'Tuesday Leagues'!$J108)</f>
        <v/>
      </c>
      <c r="O1005">
        <f>IF('Tuesday Leagues'!$J108="","",'Tuesday Leagues'!$J108)</f>
        <v/>
      </c>
      <c r="P1005">
        <f>IF('Tuesday Leagues'!$J108="","",'Tuesday Leagues'!$K108)</f>
        <v/>
      </c>
    </row>
    <row r="1006">
      <c r="A1006">
        <f>IF('Tuesday Leagues'!$J109="","","Tuesday Night League "&amp;'Tuesday Leagues'!$A109)</f>
        <v/>
      </c>
      <c r="B1006">
        <f>IF('Tuesday Leagues'!$J109="","","Tuesday Night League")</f>
        <v/>
      </c>
      <c r="C1006" s="18">
        <f>IF('Tuesday Leagues'!$J109="","",'Tuesday Leagues'!$B109)</f>
        <v/>
      </c>
      <c r="E1006">
        <f>IF('Tuesday Leagues'!$J109="","",'Tuesday Leagues'!$C109&amp;"")</f>
        <v/>
      </c>
      <c r="F1006">
        <f>IF('Tuesday Leagues'!$J109="","",'Tuesday Leagues'!$D109&amp;"")</f>
        <v/>
      </c>
      <c r="G1006">
        <f>IF('Tuesday Leagues'!$J109="","",'Tuesday Leagues'!$E109&amp;"")</f>
        <v/>
      </c>
      <c r="H1006">
        <f>IF('Tuesday Leagues'!$J109="","",'Tuesday Leagues'!$F109&amp;"")</f>
        <v/>
      </c>
      <c r="I1006">
        <f>IF('Tuesday Leagues'!$J109="","",'Tuesday Leagues'!$G109&amp;"")</f>
        <v/>
      </c>
      <c r="J1006">
        <f>IF('Tuesday Leagues'!$J109="","",'Tuesday Leagues'!$H109)</f>
        <v/>
      </c>
      <c r="K1006">
        <f>IF('Tuesday Leagues'!$J109="","",COUNTIFS('Tuesday Leagues'!$A$5:$A$154,'Tuesday Leagues'!$A109,'Tuesday Leagues'!$H$5:$H$154,'Tuesday Leagues'!$H109))</f>
        <v/>
      </c>
      <c r="L1006">
        <f>IF('Tuesday Leagues'!$J109="","","")</f>
        <v/>
      </c>
      <c r="M1006">
        <f>IF('Tuesday Leagues'!$J109="","",'Tuesday Leagues'!$I109)</f>
        <v/>
      </c>
      <c r="N1006">
        <f>IF('Tuesday Leagues'!$J109="","",'Tuesday Leagues'!$J109)</f>
        <v/>
      </c>
      <c r="O1006">
        <f>IF('Tuesday Leagues'!$J109="","",'Tuesday Leagues'!$J109)</f>
        <v/>
      </c>
      <c r="P1006">
        <f>IF('Tuesday Leagues'!$J109="","",'Tuesday Leagues'!$K109)</f>
        <v/>
      </c>
    </row>
    <row r="1007">
      <c r="A1007">
        <f>IF('Tuesday Leagues'!$J110="","","Tuesday Night League "&amp;'Tuesday Leagues'!$A110)</f>
        <v/>
      </c>
      <c r="B1007">
        <f>IF('Tuesday Leagues'!$J110="","","Tuesday Night League")</f>
        <v/>
      </c>
      <c r="C1007" s="18">
        <f>IF('Tuesday Leagues'!$J110="","",'Tuesday Leagues'!$B110)</f>
        <v/>
      </c>
      <c r="E1007">
        <f>IF('Tuesday Leagues'!$J110="","",'Tuesday Leagues'!$C110&amp;"")</f>
        <v/>
      </c>
      <c r="F1007">
        <f>IF('Tuesday Leagues'!$J110="","",'Tuesday Leagues'!$D110&amp;"")</f>
        <v/>
      </c>
      <c r="G1007">
        <f>IF('Tuesday Leagues'!$J110="","",'Tuesday Leagues'!$E110&amp;"")</f>
        <v/>
      </c>
      <c r="H1007">
        <f>IF('Tuesday Leagues'!$J110="","",'Tuesday Leagues'!$F110&amp;"")</f>
        <v/>
      </c>
      <c r="I1007">
        <f>IF('Tuesday Leagues'!$J110="","",'Tuesday Leagues'!$G110&amp;"")</f>
        <v/>
      </c>
      <c r="J1007">
        <f>IF('Tuesday Leagues'!$J110="","",'Tuesday Leagues'!$H110)</f>
        <v/>
      </c>
      <c r="K1007">
        <f>IF('Tuesday Leagues'!$J110="","",COUNTIFS('Tuesday Leagues'!$A$5:$A$154,'Tuesday Leagues'!$A110,'Tuesday Leagues'!$H$5:$H$154,'Tuesday Leagues'!$H110))</f>
        <v/>
      </c>
      <c r="L1007">
        <f>IF('Tuesday Leagues'!$J110="","","")</f>
        <v/>
      </c>
      <c r="M1007">
        <f>IF('Tuesday Leagues'!$J110="","",'Tuesday Leagues'!$I110)</f>
        <v/>
      </c>
      <c r="N1007">
        <f>IF('Tuesday Leagues'!$J110="","",'Tuesday Leagues'!$J110)</f>
        <v/>
      </c>
      <c r="O1007">
        <f>IF('Tuesday Leagues'!$J110="","",'Tuesday Leagues'!$J110)</f>
        <v/>
      </c>
      <c r="P1007">
        <f>IF('Tuesday Leagues'!$J110="","",'Tuesday Leagues'!$K110)</f>
        <v/>
      </c>
    </row>
    <row r="1008">
      <c r="A1008">
        <f>IF('Tuesday Leagues'!$J111="","","Tuesday Night League "&amp;'Tuesday Leagues'!$A111)</f>
        <v/>
      </c>
      <c r="B1008">
        <f>IF('Tuesday Leagues'!$J111="","","Tuesday Night League")</f>
        <v/>
      </c>
      <c r="C1008" s="18">
        <f>IF('Tuesday Leagues'!$J111="","",'Tuesday Leagues'!$B111)</f>
        <v/>
      </c>
      <c r="E1008">
        <f>IF('Tuesday Leagues'!$J111="","",'Tuesday Leagues'!$C111&amp;"")</f>
        <v/>
      </c>
      <c r="F1008">
        <f>IF('Tuesday Leagues'!$J111="","",'Tuesday Leagues'!$D111&amp;"")</f>
        <v/>
      </c>
      <c r="G1008">
        <f>IF('Tuesday Leagues'!$J111="","",'Tuesday Leagues'!$E111&amp;"")</f>
        <v/>
      </c>
      <c r="H1008">
        <f>IF('Tuesday Leagues'!$J111="","",'Tuesday Leagues'!$F111&amp;"")</f>
        <v/>
      </c>
      <c r="I1008">
        <f>IF('Tuesday Leagues'!$J111="","",'Tuesday Leagues'!$G111&amp;"")</f>
        <v/>
      </c>
      <c r="J1008">
        <f>IF('Tuesday Leagues'!$J111="","",'Tuesday Leagues'!$H111)</f>
        <v/>
      </c>
      <c r="K1008">
        <f>IF('Tuesday Leagues'!$J111="","",COUNTIFS('Tuesday Leagues'!$A$5:$A$154,'Tuesday Leagues'!$A111,'Tuesday Leagues'!$H$5:$H$154,'Tuesday Leagues'!$H111))</f>
        <v/>
      </c>
      <c r="L1008">
        <f>IF('Tuesday Leagues'!$J111="","","")</f>
        <v/>
      </c>
      <c r="M1008">
        <f>IF('Tuesday Leagues'!$J111="","",'Tuesday Leagues'!$I111)</f>
        <v/>
      </c>
      <c r="N1008">
        <f>IF('Tuesday Leagues'!$J111="","",'Tuesday Leagues'!$J111)</f>
        <v/>
      </c>
      <c r="O1008">
        <f>IF('Tuesday Leagues'!$J111="","",'Tuesday Leagues'!$J111)</f>
        <v/>
      </c>
      <c r="P1008">
        <f>IF('Tuesday Leagues'!$J111="","",'Tuesday Leagues'!$K111)</f>
        <v/>
      </c>
    </row>
    <row r="1009">
      <c r="A1009">
        <f>IF('Tuesday Leagues'!$J112="","","Tuesday Night League "&amp;'Tuesday Leagues'!$A112)</f>
        <v/>
      </c>
      <c r="B1009">
        <f>IF('Tuesday Leagues'!$J112="","","Tuesday Night League")</f>
        <v/>
      </c>
      <c r="C1009" s="18">
        <f>IF('Tuesday Leagues'!$J112="","",'Tuesday Leagues'!$B112)</f>
        <v/>
      </c>
      <c r="E1009">
        <f>IF('Tuesday Leagues'!$J112="","",'Tuesday Leagues'!$C112&amp;"")</f>
        <v/>
      </c>
      <c r="F1009">
        <f>IF('Tuesday Leagues'!$J112="","",'Tuesday Leagues'!$D112&amp;"")</f>
        <v/>
      </c>
      <c r="G1009">
        <f>IF('Tuesday Leagues'!$J112="","",'Tuesday Leagues'!$E112&amp;"")</f>
        <v/>
      </c>
      <c r="H1009">
        <f>IF('Tuesday Leagues'!$J112="","",'Tuesday Leagues'!$F112&amp;"")</f>
        <v/>
      </c>
      <c r="I1009">
        <f>IF('Tuesday Leagues'!$J112="","",'Tuesday Leagues'!$G112&amp;"")</f>
        <v/>
      </c>
      <c r="J1009">
        <f>IF('Tuesday Leagues'!$J112="","",'Tuesday Leagues'!$H112)</f>
        <v/>
      </c>
      <c r="K1009">
        <f>IF('Tuesday Leagues'!$J112="","",COUNTIFS('Tuesday Leagues'!$A$5:$A$154,'Tuesday Leagues'!$A112,'Tuesday Leagues'!$H$5:$H$154,'Tuesday Leagues'!$H112))</f>
        <v/>
      </c>
      <c r="L1009">
        <f>IF('Tuesday Leagues'!$J112="","","")</f>
        <v/>
      </c>
      <c r="M1009">
        <f>IF('Tuesday Leagues'!$J112="","",'Tuesday Leagues'!$I112)</f>
        <v/>
      </c>
      <c r="N1009">
        <f>IF('Tuesday Leagues'!$J112="","",'Tuesday Leagues'!$J112)</f>
        <v/>
      </c>
      <c r="O1009">
        <f>IF('Tuesday Leagues'!$J112="","",'Tuesday Leagues'!$J112)</f>
        <v/>
      </c>
      <c r="P1009">
        <f>IF('Tuesday Leagues'!$J112="","",'Tuesday Leagues'!$K112)</f>
        <v/>
      </c>
    </row>
    <row r="1010">
      <c r="A1010">
        <f>IF('Tuesday Leagues'!$J113="","","Tuesday Night League "&amp;'Tuesday Leagues'!$A113)</f>
        <v/>
      </c>
      <c r="B1010">
        <f>IF('Tuesday Leagues'!$J113="","","Tuesday Night League")</f>
        <v/>
      </c>
      <c r="C1010" s="18">
        <f>IF('Tuesday Leagues'!$J113="","",'Tuesday Leagues'!$B113)</f>
        <v/>
      </c>
      <c r="E1010">
        <f>IF('Tuesday Leagues'!$J113="","",'Tuesday Leagues'!$C113&amp;"")</f>
        <v/>
      </c>
      <c r="F1010">
        <f>IF('Tuesday Leagues'!$J113="","",'Tuesday Leagues'!$D113&amp;"")</f>
        <v/>
      </c>
      <c r="G1010">
        <f>IF('Tuesday Leagues'!$J113="","",'Tuesday Leagues'!$E113&amp;"")</f>
        <v/>
      </c>
      <c r="H1010">
        <f>IF('Tuesday Leagues'!$J113="","",'Tuesday Leagues'!$F113&amp;"")</f>
        <v/>
      </c>
      <c r="I1010">
        <f>IF('Tuesday Leagues'!$J113="","",'Tuesday Leagues'!$G113&amp;"")</f>
        <v/>
      </c>
      <c r="J1010">
        <f>IF('Tuesday Leagues'!$J113="","",'Tuesday Leagues'!$H113)</f>
        <v/>
      </c>
      <c r="K1010">
        <f>IF('Tuesday Leagues'!$J113="","",COUNTIFS('Tuesday Leagues'!$A$5:$A$154,'Tuesday Leagues'!$A113,'Tuesday Leagues'!$H$5:$H$154,'Tuesday Leagues'!$H113))</f>
        <v/>
      </c>
      <c r="L1010">
        <f>IF('Tuesday Leagues'!$J113="","","")</f>
        <v/>
      </c>
      <c r="M1010">
        <f>IF('Tuesday Leagues'!$J113="","",'Tuesday Leagues'!$I113)</f>
        <v/>
      </c>
      <c r="N1010">
        <f>IF('Tuesday Leagues'!$J113="","",'Tuesday Leagues'!$J113)</f>
        <v/>
      </c>
      <c r="O1010">
        <f>IF('Tuesday Leagues'!$J113="","",'Tuesday Leagues'!$J113)</f>
        <v/>
      </c>
      <c r="P1010">
        <f>IF('Tuesday Leagues'!$J113="","",'Tuesday Leagues'!$K113)</f>
        <v/>
      </c>
    </row>
    <row r="1011">
      <c r="A1011">
        <f>IF('Tuesday Leagues'!$J114="","","Tuesday Night League "&amp;'Tuesday Leagues'!$A114)</f>
        <v/>
      </c>
      <c r="B1011">
        <f>IF('Tuesday Leagues'!$J114="","","Tuesday Night League")</f>
        <v/>
      </c>
      <c r="C1011" s="18">
        <f>IF('Tuesday Leagues'!$J114="","",'Tuesday Leagues'!$B114)</f>
        <v/>
      </c>
      <c r="E1011">
        <f>IF('Tuesday Leagues'!$J114="","",'Tuesday Leagues'!$C114&amp;"")</f>
        <v/>
      </c>
      <c r="F1011">
        <f>IF('Tuesday Leagues'!$J114="","",'Tuesday Leagues'!$D114&amp;"")</f>
        <v/>
      </c>
      <c r="G1011">
        <f>IF('Tuesday Leagues'!$J114="","",'Tuesday Leagues'!$E114&amp;"")</f>
        <v/>
      </c>
      <c r="H1011">
        <f>IF('Tuesday Leagues'!$J114="","",'Tuesday Leagues'!$F114&amp;"")</f>
        <v/>
      </c>
      <c r="I1011">
        <f>IF('Tuesday Leagues'!$J114="","",'Tuesday Leagues'!$G114&amp;"")</f>
        <v/>
      </c>
      <c r="J1011">
        <f>IF('Tuesday Leagues'!$J114="","",'Tuesday Leagues'!$H114)</f>
        <v/>
      </c>
      <c r="K1011">
        <f>IF('Tuesday Leagues'!$J114="","",COUNTIFS('Tuesday Leagues'!$A$5:$A$154,'Tuesday Leagues'!$A114,'Tuesday Leagues'!$H$5:$H$154,'Tuesday Leagues'!$H114))</f>
        <v/>
      </c>
      <c r="L1011">
        <f>IF('Tuesday Leagues'!$J114="","","")</f>
        <v/>
      </c>
      <c r="M1011">
        <f>IF('Tuesday Leagues'!$J114="","",'Tuesday Leagues'!$I114)</f>
        <v/>
      </c>
      <c r="N1011">
        <f>IF('Tuesday Leagues'!$J114="","",'Tuesday Leagues'!$J114)</f>
        <v/>
      </c>
      <c r="O1011">
        <f>IF('Tuesday Leagues'!$J114="","",'Tuesday Leagues'!$J114)</f>
        <v/>
      </c>
      <c r="P1011">
        <f>IF('Tuesday Leagues'!$J114="","",'Tuesday Leagues'!$K114)</f>
        <v/>
      </c>
    </row>
    <row r="1012">
      <c r="A1012">
        <f>IF('Tuesday Leagues'!$J115="","","Tuesday Night League "&amp;'Tuesday Leagues'!$A115)</f>
        <v/>
      </c>
      <c r="B1012">
        <f>IF('Tuesday Leagues'!$J115="","","Tuesday Night League")</f>
        <v/>
      </c>
      <c r="C1012" s="18">
        <f>IF('Tuesday Leagues'!$J115="","",'Tuesday Leagues'!$B115)</f>
        <v/>
      </c>
      <c r="E1012">
        <f>IF('Tuesday Leagues'!$J115="","",'Tuesday Leagues'!$C115&amp;"")</f>
        <v/>
      </c>
      <c r="F1012">
        <f>IF('Tuesday Leagues'!$J115="","",'Tuesday Leagues'!$D115&amp;"")</f>
        <v/>
      </c>
      <c r="G1012">
        <f>IF('Tuesday Leagues'!$J115="","",'Tuesday Leagues'!$E115&amp;"")</f>
        <v/>
      </c>
      <c r="H1012">
        <f>IF('Tuesday Leagues'!$J115="","",'Tuesday Leagues'!$F115&amp;"")</f>
        <v/>
      </c>
      <c r="I1012">
        <f>IF('Tuesday Leagues'!$J115="","",'Tuesday Leagues'!$G115&amp;"")</f>
        <v/>
      </c>
      <c r="J1012">
        <f>IF('Tuesday Leagues'!$J115="","",'Tuesday Leagues'!$H115)</f>
        <v/>
      </c>
      <c r="K1012">
        <f>IF('Tuesday Leagues'!$J115="","",COUNTIFS('Tuesday Leagues'!$A$5:$A$154,'Tuesday Leagues'!$A115,'Tuesday Leagues'!$H$5:$H$154,'Tuesday Leagues'!$H115))</f>
        <v/>
      </c>
      <c r="L1012">
        <f>IF('Tuesday Leagues'!$J115="","","")</f>
        <v/>
      </c>
      <c r="M1012">
        <f>IF('Tuesday Leagues'!$J115="","",'Tuesday Leagues'!$I115)</f>
        <v/>
      </c>
      <c r="N1012">
        <f>IF('Tuesday Leagues'!$J115="","",'Tuesday Leagues'!$J115)</f>
        <v/>
      </c>
      <c r="O1012">
        <f>IF('Tuesday Leagues'!$J115="","",'Tuesday Leagues'!$J115)</f>
        <v/>
      </c>
      <c r="P1012">
        <f>IF('Tuesday Leagues'!$J115="","",'Tuesday Leagues'!$K115)</f>
        <v/>
      </c>
    </row>
    <row r="1013">
      <c r="A1013">
        <f>IF('Tuesday Leagues'!$J116="","","Tuesday Night League "&amp;'Tuesday Leagues'!$A116)</f>
        <v/>
      </c>
      <c r="B1013">
        <f>IF('Tuesday Leagues'!$J116="","","Tuesday Night League")</f>
        <v/>
      </c>
      <c r="C1013" s="18">
        <f>IF('Tuesday Leagues'!$J116="","",'Tuesday Leagues'!$B116)</f>
        <v/>
      </c>
      <c r="E1013">
        <f>IF('Tuesday Leagues'!$J116="","",'Tuesday Leagues'!$C116&amp;"")</f>
        <v/>
      </c>
      <c r="F1013">
        <f>IF('Tuesday Leagues'!$J116="","",'Tuesday Leagues'!$D116&amp;"")</f>
        <v/>
      </c>
      <c r="G1013">
        <f>IF('Tuesday Leagues'!$J116="","",'Tuesday Leagues'!$E116&amp;"")</f>
        <v/>
      </c>
      <c r="H1013">
        <f>IF('Tuesday Leagues'!$J116="","",'Tuesday Leagues'!$F116&amp;"")</f>
        <v/>
      </c>
      <c r="I1013">
        <f>IF('Tuesday Leagues'!$J116="","",'Tuesday Leagues'!$G116&amp;"")</f>
        <v/>
      </c>
      <c r="J1013">
        <f>IF('Tuesday Leagues'!$J116="","",'Tuesday Leagues'!$H116)</f>
        <v/>
      </c>
      <c r="K1013">
        <f>IF('Tuesday Leagues'!$J116="","",COUNTIFS('Tuesday Leagues'!$A$5:$A$154,'Tuesday Leagues'!$A116,'Tuesday Leagues'!$H$5:$H$154,'Tuesday Leagues'!$H116))</f>
        <v/>
      </c>
      <c r="L1013">
        <f>IF('Tuesday Leagues'!$J116="","","")</f>
        <v/>
      </c>
      <c r="M1013">
        <f>IF('Tuesday Leagues'!$J116="","",'Tuesday Leagues'!$I116)</f>
        <v/>
      </c>
      <c r="N1013">
        <f>IF('Tuesday Leagues'!$J116="","",'Tuesday Leagues'!$J116)</f>
        <v/>
      </c>
      <c r="O1013">
        <f>IF('Tuesday Leagues'!$J116="","",'Tuesday Leagues'!$J116)</f>
        <v/>
      </c>
      <c r="P1013">
        <f>IF('Tuesday Leagues'!$J116="","",'Tuesday Leagues'!$K116)</f>
        <v/>
      </c>
    </row>
    <row r="1014">
      <c r="A1014">
        <f>IF('Tuesday Leagues'!$J117="","","Tuesday Night League "&amp;'Tuesday Leagues'!$A117)</f>
        <v/>
      </c>
      <c r="B1014">
        <f>IF('Tuesday Leagues'!$J117="","","Tuesday Night League")</f>
        <v/>
      </c>
      <c r="C1014" s="18">
        <f>IF('Tuesday Leagues'!$J117="","",'Tuesday Leagues'!$B117)</f>
        <v/>
      </c>
      <c r="E1014">
        <f>IF('Tuesday Leagues'!$J117="","",'Tuesday Leagues'!$C117&amp;"")</f>
        <v/>
      </c>
      <c r="F1014">
        <f>IF('Tuesday Leagues'!$J117="","",'Tuesday Leagues'!$D117&amp;"")</f>
        <v/>
      </c>
      <c r="G1014">
        <f>IF('Tuesday Leagues'!$J117="","",'Tuesday Leagues'!$E117&amp;"")</f>
        <v/>
      </c>
      <c r="H1014">
        <f>IF('Tuesday Leagues'!$J117="","",'Tuesday Leagues'!$F117&amp;"")</f>
        <v/>
      </c>
      <c r="I1014">
        <f>IF('Tuesday Leagues'!$J117="","",'Tuesday Leagues'!$G117&amp;"")</f>
        <v/>
      </c>
      <c r="J1014">
        <f>IF('Tuesday Leagues'!$J117="","",'Tuesday Leagues'!$H117)</f>
        <v/>
      </c>
      <c r="K1014">
        <f>IF('Tuesday Leagues'!$J117="","",COUNTIFS('Tuesday Leagues'!$A$5:$A$154,'Tuesday Leagues'!$A117,'Tuesday Leagues'!$H$5:$H$154,'Tuesday Leagues'!$H117))</f>
        <v/>
      </c>
      <c r="L1014">
        <f>IF('Tuesday Leagues'!$J117="","","")</f>
        <v/>
      </c>
      <c r="M1014">
        <f>IF('Tuesday Leagues'!$J117="","",'Tuesday Leagues'!$I117)</f>
        <v/>
      </c>
      <c r="N1014">
        <f>IF('Tuesday Leagues'!$J117="","",'Tuesday Leagues'!$J117)</f>
        <v/>
      </c>
      <c r="O1014">
        <f>IF('Tuesday Leagues'!$J117="","",'Tuesday Leagues'!$J117)</f>
        <v/>
      </c>
      <c r="P1014">
        <f>IF('Tuesday Leagues'!$J117="","",'Tuesday Leagues'!$K117)</f>
        <v/>
      </c>
    </row>
    <row r="1015">
      <c r="A1015">
        <f>IF('Tuesday Leagues'!$J118="","","Tuesday Night League "&amp;'Tuesday Leagues'!$A118)</f>
        <v/>
      </c>
      <c r="B1015">
        <f>IF('Tuesday Leagues'!$J118="","","Tuesday Night League")</f>
        <v/>
      </c>
      <c r="C1015" s="18">
        <f>IF('Tuesday Leagues'!$J118="","",'Tuesday Leagues'!$B118)</f>
        <v/>
      </c>
      <c r="E1015">
        <f>IF('Tuesday Leagues'!$J118="","",'Tuesday Leagues'!$C118&amp;"")</f>
        <v/>
      </c>
      <c r="F1015">
        <f>IF('Tuesday Leagues'!$J118="","",'Tuesday Leagues'!$D118&amp;"")</f>
        <v/>
      </c>
      <c r="G1015">
        <f>IF('Tuesday Leagues'!$J118="","",'Tuesday Leagues'!$E118&amp;"")</f>
        <v/>
      </c>
      <c r="H1015">
        <f>IF('Tuesday Leagues'!$J118="","",'Tuesday Leagues'!$F118&amp;"")</f>
        <v/>
      </c>
      <c r="I1015">
        <f>IF('Tuesday Leagues'!$J118="","",'Tuesday Leagues'!$G118&amp;"")</f>
        <v/>
      </c>
      <c r="J1015">
        <f>IF('Tuesday Leagues'!$J118="","",'Tuesday Leagues'!$H118)</f>
        <v/>
      </c>
      <c r="K1015">
        <f>IF('Tuesday Leagues'!$J118="","",COUNTIFS('Tuesday Leagues'!$A$5:$A$154,'Tuesday Leagues'!$A118,'Tuesday Leagues'!$H$5:$H$154,'Tuesday Leagues'!$H118))</f>
        <v/>
      </c>
      <c r="L1015">
        <f>IF('Tuesday Leagues'!$J118="","","")</f>
        <v/>
      </c>
      <c r="M1015">
        <f>IF('Tuesday Leagues'!$J118="","",'Tuesday Leagues'!$I118)</f>
        <v/>
      </c>
      <c r="N1015">
        <f>IF('Tuesday Leagues'!$J118="","",'Tuesday Leagues'!$J118)</f>
        <v/>
      </c>
      <c r="O1015">
        <f>IF('Tuesday Leagues'!$J118="","",'Tuesday Leagues'!$J118)</f>
        <v/>
      </c>
      <c r="P1015">
        <f>IF('Tuesday Leagues'!$J118="","",'Tuesday Leagues'!$K118)</f>
        <v/>
      </c>
    </row>
    <row r="1016">
      <c r="A1016">
        <f>IF('Tuesday Leagues'!$J119="","","Tuesday Night League "&amp;'Tuesday Leagues'!$A119)</f>
        <v/>
      </c>
      <c r="B1016">
        <f>IF('Tuesday Leagues'!$J119="","","Tuesday Night League")</f>
        <v/>
      </c>
      <c r="C1016" s="18">
        <f>IF('Tuesday Leagues'!$J119="","",'Tuesday Leagues'!$B119)</f>
        <v/>
      </c>
      <c r="E1016">
        <f>IF('Tuesday Leagues'!$J119="","",'Tuesday Leagues'!$C119&amp;"")</f>
        <v/>
      </c>
      <c r="F1016">
        <f>IF('Tuesday Leagues'!$J119="","",'Tuesday Leagues'!$D119&amp;"")</f>
        <v/>
      </c>
      <c r="G1016">
        <f>IF('Tuesday Leagues'!$J119="","",'Tuesday Leagues'!$E119&amp;"")</f>
        <v/>
      </c>
      <c r="H1016">
        <f>IF('Tuesday Leagues'!$J119="","",'Tuesday Leagues'!$F119&amp;"")</f>
        <v/>
      </c>
      <c r="I1016">
        <f>IF('Tuesday Leagues'!$J119="","",'Tuesday Leagues'!$G119&amp;"")</f>
        <v/>
      </c>
      <c r="J1016">
        <f>IF('Tuesday Leagues'!$J119="","",'Tuesday Leagues'!$H119)</f>
        <v/>
      </c>
      <c r="K1016">
        <f>IF('Tuesday Leagues'!$J119="","",COUNTIFS('Tuesday Leagues'!$A$5:$A$154,'Tuesday Leagues'!$A119,'Tuesday Leagues'!$H$5:$H$154,'Tuesday Leagues'!$H119))</f>
        <v/>
      </c>
      <c r="L1016">
        <f>IF('Tuesday Leagues'!$J119="","","")</f>
        <v/>
      </c>
      <c r="M1016">
        <f>IF('Tuesday Leagues'!$J119="","",'Tuesday Leagues'!$I119)</f>
        <v/>
      </c>
      <c r="N1016">
        <f>IF('Tuesday Leagues'!$J119="","",'Tuesday Leagues'!$J119)</f>
        <v/>
      </c>
      <c r="O1016">
        <f>IF('Tuesday Leagues'!$J119="","",'Tuesday Leagues'!$J119)</f>
        <v/>
      </c>
      <c r="P1016">
        <f>IF('Tuesday Leagues'!$J119="","",'Tuesday Leagues'!$K119)</f>
        <v/>
      </c>
    </row>
    <row r="1017">
      <c r="A1017">
        <f>IF('Tuesday Leagues'!$J120="","","Tuesday Night League "&amp;'Tuesday Leagues'!$A120)</f>
        <v/>
      </c>
      <c r="B1017">
        <f>IF('Tuesday Leagues'!$J120="","","Tuesday Night League")</f>
        <v/>
      </c>
      <c r="C1017" s="18">
        <f>IF('Tuesday Leagues'!$J120="","",'Tuesday Leagues'!$B120)</f>
        <v/>
      </c>
      <c r="E1017">
        <f>IF('Tuesday Leagues'!$J120="","",'Tuesday Leagues'!$C120&amp;"")</f>
        <v/>
      </c>
      <c r="F1017">
        <f>IF('Tuesday Leagues'!$J120="","",'Tuesday Leagues'!$D120&amp;"")</f>
        <v/>
      </c>
      <c r="G1017">
        <f>IF('Tuesday Leagues'!$J120="","",'Tuesday Leagues'!$E120&amp;"")</f>
        <v/>
      </c>
      <c r="H1017">
        <f>IF('Tuesday Leagues'!$J120="","",'Tuesday Leagues'!$F120&amp;"")</f>
        <v/>
      </c>
      <c r="I1017">
        <f>IF('Tuesday Leagues'!$J120="","",'Tuesday Leagues'!$G120&amp;"")</f>
        <v/>
      </c>
      <c r="J1017">
        <f>IF('Tuesday Leagues'!$J120="","",'Tuesday Leagues'!$H120)</f>
        <v/>
      </c>
      <c r="K1017">
        <f>IF('Tuesday Leagues'!$J120="","",COUNTIFS('Tuesday Leagues'!$A$5:$A$154,'Tuesday Leagues'!$A120,'Tuesday Leagues'!$H$5:$H$154,'Tuesday Leagues'!$H120))</f>
        <v/>
      </c>
      <c r="L1017">
        <f>IF('Tuesday Leagues'!$J120="","","")</f>
        <v/>
      </c>
      <c r="M1017">
        <f>IF('Tuesday Leagues'!$J120="","",'Tuesday Leagues'!$I120)</f>
        <v/>
      </c>
      <c r="N1017">
        <f>IF('Tuesday Leagues'!$J120="","",'Tuesday Leagues'!$J120)</f>
        <v/>
      </c>
      <c r="O1017">
        <f>IF('Tuesday Leagues'!$J120="","",'Tuesday Leagues'!$J120)</f>
        <v/>
      </c>
      <c r="P1017">
        <f>IF('Tuesday Leagues'!$J120="","",'Tuesday Leagues'!$K120)</f>
        <v/>
      </c>
    </row>
    <row r="1018">
      <c r="A1018">
        <f>IF('Tuesday Leagues'!$J121="","","Tuesday Night League "&amp;'Tuesday Leagues'!$A121)</f>
        <v/>
      </c>
      <c r="B1018">
        <f>IF('Tuesday Leagues'!$J121="","","Tuesday Night League")</f>
        <v/>
      </c>
      <c r="C1018" s="18">
        <f>IF('Tuesday Leagues'!$J121="","",'Tuesday Leagues'!$B121)</f>
        <v/>
      </c>
      <c r="E1018">
        <f>IF('Tuesday Leagues'!$J121="","",'Tuesday Leagues'!$C121&amp;"")</f>
        <v/>
      </c>
      <c r="F1018">
        <f>IF('Tuesday Leagues'!$J121="","",'Tuesday Leagues'!$D121&amp;"")</f>
        <v/>
      </c>
      <c r="G1018">
        <f>IF('Tuesday Leagues'!$J121="","",'Tuesday Leagues'!$E121&amp;"")</f>
        <v/>
      </c>
      <c r="H1018">
        <f>IF('Tuesday Leagues'!$J121="","",'Tuesday Leagues'!$F121&amp;"")</f>
        <v/>
      </c>
      <c r="I1018">
        <f>IF('Tuesday Leagues'!$J121="","",'Tuesday Leagues'!$G121&amp;"")</f>
        <v/>
      </c>
      <c r="J1018">
        <f>IF('Tuesday Leagues'!$J121="","",'Tuesday Leagues'!$H121)</f>
        <v/>
      </c>
      <c r="K1018">
        <f>IF('Tuesday Leagues'!$J121="","",COUNTIFS('Tuesday Leagues'!$A$5:$A$154,'Tuesday Leagues'!$A121,'Tuesday Leagues'!$H$5:$H$154,'Tuesday Leagues'!$H121))</f>
        <v/>
      </c>
      <c r="L1018">
        <f>IF('Tuesday Leagues'!$J121="","","")</f>
        <v/>
      </c>
      <c r="M1018">
        <f>IF('Tuesday Leagues'!$J121="","",'Tuesday Leagues'!$I121)</f>
        <v/>
      </c>
      <c r="N1018">
        <f>IF('Tuesday Leagues'!$J121="","",'Tuesday Leagues'!$J121)</f>
        <v/>
      </c>
      <c r="O1018">
        <f>IF('Tuesday Leagues'!$J121="","",'Tuesday Leagues'!$J121)</f>
        <v/>
      </c>
      <c r="P1018">
        <f>IF('Tuesday Leagues'!$J121="","",'Tuesday Leagues'!$K121)</f>
        <v/>
      </c>
    </row>
    <row r="1019">
      <c r="A1019">
        <f>IF('Tuesday Leagues'!$J122="","","Tuesday Night League "&amp;'Tuesday Leagues'!$A122)</f>
        <v/>
      </c>
      <c r="B1019">
        <f>IF('Tuesday Leagues'!$J122="","","Tuesday Night League")</f>
        <v/>
      </c>
      <c r="C1019" s="18">
        <f>IF('Tuesday Leagues'!$J122="","",'Tuesday Leagues'!$B122)</f>
        <v/>
      </c>
      <c r="E1019">
        <f>IF('Tuesday Leagues'!$J122="","",'Tuesday Leagues'!$C122&amp;"")</f>
        <v/>
      </c>
      <c r="F1019">
        <f>IF('Tuesday Leagues'!$J122="","",'Tuesday Leagues'!$D122&amp;"")</f>
        <v/>
      </c>
      <c r="G1019">
        <f>IF('Tuesday Leagues'!$J122="","",'Tuesday Leagues'!$E122&amp;"")</f>
        <v/>
      </c>
      <c r="H1019">
        <f>IF('Tuesday Leagues'!$J122="","",'Tuesday Leagues'!$F122&amp;"")</f>
        <v/>
      </c>
      <c r="I1019">
        <f>IF('Tuesday Leagues'!$J122="","",'Tuesday Leagues'!$G122&amp;"")</f>
        <v/>
      </c>
      <c r="J1019">
        <f>IF('Tuesday Leagues'!$J122="","",'Tuesday Leagues'!$H122)</f>
        <v/>
      </c>
      <c r="K1019">
        <f>IF('Tuesday Leagues'!$J122="","",COUNTIFS('Tuesday Leagues'!$A$5:$A$154,'Tuesday Leagues'!$A122,'Tuesday Leagues'!$H$5:$H$154,'Tuesday Leagues'!$H122))</f>
        <v/>
      </c>
      <c r="L1019">
        <f>IF('Tuesday Leagues'!$J122="","","")</f>
        <v/>
      </c>
      <c r="M1019">
        <f>IF('Tuesday Leagues'!$J122="","",'Tuesday Leagues'!$I122)</f>
        <v/>
      </c>
      <c r="N1019">
        <f>IF('Tuesday Leagues'!$J122="","",'Tuesday Leagues'!$J122)</f>
        <v/>
      </c>
      <c r="O1019">
        <f>IF('Tuesday Leagues'!$J122="","",'Tuesday Leagues'!$J122)</f>
        <v/>
      </c>
      <c r="P1019">
        <f>IF('Tuesday Leagues'!$J122="","",'Tuesday Leagues'!$K122)</f>
        <v/>
      </c>
    </row>
    <row r="1020">
      <c r="A1020">
        <f>IF('Tuesday Leagues'!$J123="","","Tuesday Night League "&amp;'Tuesday Leagues'!$A123)</f>
        <v/>
      </c>
      <c r="B1020">
        <f>IF('Tuesday Leagues'!$J123="","","Tuesday Night League")</f>
        <v/>
      </c>
      <c r="C1020" s="18">
        <f>IF('Tuesday Leagues'!$J123="","",'Tuesday Leagues'!$B123)</f>
        <v/>
      </c>
      <c r="E1020">
        <f>IF('Tuesday Leagues'!$J123="","",'Tuesday Leagues'!$C123&amp;"")</f>
        <v/>
      </c>
      <c r="F1020">
        <f>IF('Tuesday Leagues'!$J123="","",'Tuesday Leagues'!$D123&amp;"")</f>
        <v/>
      </c>
      <c r="G1020">
        <f>IF('Tuesday Leagues'!$J123="","",'Tuesday Leagues'!$E123&amp;"")</f>
        <v/>
      </c>
      <c r="H1020">
        <f>IF('Tuesday Leagues'!$J123="","",'Tuesday Leagues'!$F123&amp;"")</f>
        <v/>
      </c>
      <c r="I1020">
        <f>IF('Tuesday Leagues'!$J123="","",'Tuesday Leagues'!$G123&amp;"")</f>
        <v/>
      </c>
      <c r="J1020">
        <f>IF('Tuesday Leagues'!$J123="","",'Tuesday Leagues'!$H123)</f>
        <v/>
      </c>
      <c r="K1020">
        <f>IF('Tuesday Leagues'!$J123="","",COUNTIFS('Tuesday Leagues'!$A$5:$A$154,'Tuesday Leagues'!$A123,'Tuesday Leagues'!$H$5:$H$154,'Tuesday Leagues'!$H123))</f>
        <v/>
      </c>
      <c r="L1020">
        <f>IF('Tuesday Leagues'!$J123="","","")</f>
        <v/>
      </c>
      <c r="M1020">
        <f>IF('Tuesday Leagues'!$J123="","",'Tuesday Leagues'!$I123)</f>
        <v/>
      </c>
      <c r="N1020">
        <f>IF('Tuesday Leagues'!$J123="","",'Tuesday Leagues'!$J123)</f>
        <v/>
      </c>
      <c r="O1020">
        <f>IF('Tuesday Leagues'!$J123="","",'Tuesday Leagues'!$J123)</f>
        <v/>
      </c>
      <c r="P1020">
        <f>IF('Tuesday Leagues'!$J123="","",'Tuesday Leagues'!$K123)</f>
        <v/>
      </c>
    </row>
    <row r="1021">
      <c r="A1021">
        <f>IF('Tuesday Leagues'!$J124="","","Tuesday Night League "&amp;'Tuesday Leagues'!$A124)</f>
        <v/>
      </c>
      <c r="B1021">
        <f>IF('Tuesday Leagues'!$J124="","","Tuesday Night League")</f>
        <v/>
      </c>
      <c r="C1021" s="18">
        <f>IF('Tuesday Leagues'!$J124="","",'Tuesday Leagues'!$B124)</f>
        <v/>
      </c>
      <c r="E1021">
        <f>IF('Tuesday Leagues'!$J124="","",'Tuesday Leagues'!$C124&amp;"")</f>
        <v/>
      </c>
      <c r="F1021">
        <f>IF('Tuesday Leagues'!$J124="","",'Tuesday Leagues'!$D124&amp;"")</f>
        <v/>
      </c>
      <c r="G1021">
        <f>IF('Tuesday Leagues'!$J124="","",'Tuesday Leagues'!$E124&amp;"")</f>
        <v/>
      </c>
      <c r="H1021">
        <f>IF('Tuesday Leagues'!$J124="","",'Tuesday Leagues'!$F124&amp;"")</f>
        <v/>
      </c>
      <c r="I1021">
        <f>IF('Tuesday Leagues'!$J124="","",'Tuesday Leagues'!$G124&amp;"")</f>
        <v/>
      </c>
      <c r="J1021">
        <f>IF('Tuesday Leagues'!$J124="","",'Tuesday Leagues'!$H124)</f>
        <v/>
      </c>
      <c r="K1021">
        <f>IF('Tuesday Leagues'!$J124="","",COUNTIFS('Tuesday Leagues'!$A$5:$A$154,'Tuesday Leagues'!$A124,'Tuesday Leagues'!$H$5:$H$154,'Tuesday Leagues'!$H124))</f>
        <v/>
      </c>
      <c r="L1021">
        <f>IF('Tuesday Leagues'!$J124="","","")</f>
        <v/>
      </c>
      <c r="M1021">
        <f>IF('Tuesday Leagues'!$J124="","",'Tuesday Leagues'!$I124)</f>
        <v/>
      </c>
      <c r="N1021">
        <f>IF('Tuesday Leagues'!$J124="","",'Tuesday Leagues'!$J124)</f>
        <v/>
      </c>
      <c r="O1021">
        <f>IF('Tuesday Leagues'!$J124="","",'Tuesday Leagues'!$J124)</f>
        <v/>
      </c>
      <c r="P1021">
        <f>IF('Tuesday Leagues'!$J124="","",'Tuesday Leagues'!$K124)</f>
        <v/>
      </c>
    </row>
    <row r="1022">
      <c r="A1022">
        <f>IF('Tuesday Leagues'!$J125="","","Tuesday Night League "&amp;'Tuesday Leagues'!$A125)</f>
        <v/>
      </c>
      <c r="B1022">
        <f>IF('Tuesday Leagues'!$J125="","","Tuesday Night League")</f>
        <v/>
      </c>
      <c r="C1022" s="18">
        <f>IF('Tuesday Leagues'!$J125="","",'Tuesday Leagues'!$B125)</f>
        <v/>
      </c>
      <c r="E1022">
        <f>IF('Tuesday Leagues'!$J125="","",'Tuesday Leagues'!$C125&amp;"")</f>
        <v/>
      </c>
      <c r="F1022">
        <f>IF('Tuesday Leagues'!$J125="","",'Tuesday Leagues'!$D125&amp;"")</f>
        <v/>
      </c>
      <c r="G1022">
        <f>IF('Tuesday Leagues'!$J125="","",'Tuesday Leagues'!$E125&amp;"")</f>
        <v/>
      </c>
      <c r="H1022">
        <f>IF('Tuesday Leagues'!$J125="","",'Tuesday Leagues'!$F125&amp;"")</f>
        <v/>
      </c>
      <c r="I1022">
        <f>IF('Tuesday Leagues'!$J125="","",'Tuesday Leagues'!$G125&amp;"")</f>
        <v/>
      </c>
      <c r="J1022">
        <f>IF('Tuesday Leagues'!$J125="","",'Tuesday Leagues'!$H125)</f>
        <v/>
      </c>
      <c r="K1022">
        <f>IF('Tuesday Leagues'!$J125="","",COUNTIFS('Tuesday Leagues'!$A$5:$A$154,'Tuesday Leagues'!$A125,'Tuesday Leagues'!$H$5:$H$154,'Tuesday Leagues'!$H125))</f>
        <v/>
      </c>
      <c r="L1022">
        <f>IF('Tuesday Leagues'!$J125="","","")</f>
        <v/>
      </c>
      <c r="M1022">
        <f>IF('Tuesday Leagues'!$J125="","",'Tuesday Leagues'!$I125)</f>
        <v/>
      </c>
      <c r="N1022">
        <f>IF('Tuesday Leagues'!$J125="","",'Tuesday Leagues'!$J125)</f>
        <v/>
      </c>
      <c r="O1022">
        <f>IF('Tuesday Leagues'!$J125="","",'Tuesday Leagues'!$J125)</f>
        <v/>
      </c>
      <c r="P1022">
        <f>IF('Tuesday Leagues'!$J125="","",'Tuesday Leagues'!$K125)</f>
        <v/>
      </c>
    </row>
    <row r="1023">
      <c r="A1023">
        <f>IF('Tuesday Leagues'!$J126="","","Tuesday Night League "&amp;'Tuesday Leagues'!$A126)</f>
        <v/>
      </c>
      <c r="B1023">
        <f>IF('Tuesday Leagues'!$J126="","","Tuesday Night League")</f>
        <v/>
      </c>
      <c r="C1023" s="18">
        <f>IF('Tuesday Leagues'!$J126="","",'Tuesday Leagues'!$B126)</f>
        <v/>
      </c>
      <c r="E1023">
        <f>IF('Tuesday Leagues'!$J126="","",'Tuesday Leagues'!$C126&amp;"")</f>
        <v/>
      </c>
      <c r="F1023">
        <f>IF('Tuesday Leagues'!$J126="","",'Tuesday Leagues'!$D126&amp;"")</f>
        <v/>
      </c>
      <c r="G1023">
        <f>IF('Tuesday Leagues'!$J126="","",'Tuesday Leagues'!$E126&amp;"")</f>
        <v/>
      </c>
      <c r="H1023">
        <f>IF('Tuesday Leagues'!$J126="","",'Tuesday Leagues'!$F126&amp;"")</f>
        <v/>
      </c>
      <c r="I1023">
        <f>IF('Tuesday Leagues'!$J126="","",'Tuesday Leagues'!$G126&amp;"")</f>
        <v/>
      </c>
      <c r="J1023">
        <f>IF('Tuesday Leagues'!$J126="","",'Tuesday Leagues'!$H126)</f>
        <v/>
      </c>
      <c r="K1023">
        <f>IF('Tuesday Leagues'!$J126="","",COUNTIFS('Tuesday Leagues'!$A$5:$A$154,'Tuesday Leagues'!$A126,'Tuesday Leagues'!$H$5:$H$154,'Tuesday Leagues'!$H126))</f>
        <v/>
      </c>
      <c r="L1023">
        <f>IF('Tuesday Leagues'!$J126="","","")</f>
        <v/>
      </c>
      <c r="M1023">
        <f>IF('Tuesday Leagues'!$J126="","",'Tuesday Leagues'!$I126)</f>
        <v/>
      </c>
      <c r="N1023">
        <f>IF('Tuesday Leagues'!$J126="","",'Tuesday Leagues'!$J126)</f>
        <v/>
      </c>
      <c r="O1023">
        <f>IF('Tuesday Leagues'!$J126="","",'Tuesday Leagues'!$J126)</f>
        <v/>
      </c>
      <c r="P1023">
        <f>IF('Tuesday Leagues'!$J126="","",'Tuesday Leagues'!$K126)</f>
        <v/>
      </c>
    </row>
    <row r="1024">
      <c r="A1024">
        <f>IF('Tuesday Leagues'!$J127="","","Tuesday Night League "&amp;'Tuesday Leagues'!$A127)</f>
        <v/>
      </c>
      <c r="B1024">
        <f>IF('Tuesday Leagues'!$J127="","","Tuesday Night League")</f>
        <v/>
      </c>
      <c r="C1024" s="18">
        <f>IF('Tuesday Leagues'!$J127="","",'Tuesday Leagues'!$B127)</f>
        <v/>
      </c>
      <c r="E1024">
        <f>IF('Tuesday Leagues'!$J127="","",'Tuesday Leagues'!$C127&amp;"")</f>
        <v/>
      </c>
      <c r="F1024">
        <f>IF('Tuesday Leagues'!$J127="","",'Tuesday Leagues'!$D127&amp;"")</f>
        <v/>
      </c>
      <c r="G1024">
        <f>IF('Tuesday Leagues'!$J127="","",'Tuesday Leagues'!$E127&amp;"")</f>
        <v/>
      </c>
      <c r="H1024">
        <f>IF('Tuesday Leagues'!$J127="","",'Tuesday Leagues'!$F127&amp;"")</f>
        <v/>
      </c>
      <c r="I1024">
        <f>IF('Tuesday Leagues'!$J127="","",'Tuesday Leagues'!$G127&amp;"")</f>
        <v/>
      </c>
      <c r="J1024">
        <f>IF('Tuesday Leagues'!$J127="","",'Tuesday Leagues'!$H127)</f>
        <v/>
      </c>
      <c r="K1024">
        <f>IF('Tuesday Leagues'!$J127="","",COUNTIFS('Tuesday Leagues'!$A$5:$A$154,'Tuesday Leagues'!$A127,'Tuesday Leagues'!$H$5:$H$154,'Tuesday Leagues'!$H127))</f>
        <v/>
      </c>
      <c r="L1024">
        <f>IF('Tuesday Leagues'!$J127="","","")</f>
        <v/>
      </c>
      <c r="M1024">
        <f>IF('Tuesday Leagues'!$J127="","",'Tuesday Leagues'!$I127)</f>
        <v/>
      </c>
      <c r="N1024">
        <f>IF('Tuesday Leagues'!$J127="","",'Tuesday Leagues'!$J127)</f>
        <v/>
      </c>
      <c r="O1024">
        <f>IF('Tuesday Leagues'!$J127="","",'Tuesday Leagues'!$J127)</f>
        <v/>
      </c>
      <c r="P1024">
        <f>IF('Tuesday Leagues'!$J127="","",'Tuesday Leagues'!$K127)</f>
        <v/>
      </c>
    </row>
    <row r="1025">
      <c r="A1025">
        <f>IF('Tuesday Leagues'!$J128="","","Tuesday Night League "&amp;'Tuesday Leagues'!$A128)</f>
        <v/>
      </c>
      <c r="B1025">
        <f>IF('Tuesday Leagues'!$J128="","","Tuesday Night League")</f>
        <v/>
      </c>
      <c r="C1025" s="18">
        <f>IF('Tuesday Leagues'!$J128="","",'Tuesday Leagues'!$B128)</f>
        <v/>
      </c>
      <c r="E1025">
        <f>IF('Tuesday Leagues'!$J128="","",'Tuesday Leagues'!$C128&amp;"")</f>
        <v/>
      </c>
      <c r="F1025">
        <f>IF('Tuesday Leagues'!$J128="","",'Tuesday Leagues'!$D128&amp;"")</f>
        <v/>
      </c>
      <c r="G1025">
        <f>IF('Tuesday Leagues'!$J128="","",'Tuesday Leagues'!$E128&amp;"")</f>
        <v/>
      </c>
      <c r="H1025">
        <f>IF('Tuesday Leagues'!$J128="","",'Tuesday Leagues'!$F128&amp;"")</f>
        <v/>
      </c>
      <c r="I1025">
        <f>IF('Tuesday Leagues'!$J128="","",'Tuesday Leagues'!$G128&amp;"")</f>
        <v/>
      </c>
      <c r="J1025">
        <f>IF('Tuesday Leagues'!$J128="","",'Tuesday Leagues'!$H128)</f>
        <v/>
      </c>
      <c r="K1025">
        <f>IF('Tuesday Leagues'!$J128="","",COUNTIFS('Tuesday Leagues'!$A$5:$A$154,'Tuesday Leagues'!$A128,'Tuesday Leagues'!$H$5:$H$154,'Tuesday Leagues'!$H128))</f>
        <v/>
      </c>
      <c r="L1025">
        <f>IF('Tuesday Leagues'!$J128="","","")</f>
        <v/>
      </c>
      <c r="M1025">
        <f>IF('Tuesday Leagues'!$J128="","",'Tuesday Leagues'!$I128)</f>
        <v/>
      </c>
      <c r="N1025">
        <f>IF('Tuesday Leagues'!$J128="","",'Tuesday Leagues'!$J128)</f>
        <v/>
      </c>
      <c r="O1025">
        <f>IF('Tuesday Leagues'!$J128="","",'Tuesday Leagues'!$J128)</f>
        <v/>
      </c>
      <c r="P1025">
        <f>IF('Tuesday Leagues'!$J128="","",'Tuesday Leagues'!$K128)</f>
        <v/>
      </c>
    </row>
    <row r="1026">
      <c r="A1026">
        <f>IF('Tuesday Leagues'!$J129="","","Tuesday Night League "&amp;'Tuesday Leagues'!$A129)</f>
        <v/>
      </c>
      <c r="B1026">
        <f>IF('Tuesday Leagues'!$J129="","","Tuesday Night League")</f>
        <v/>
      </c>
      <c r="C1026" s="18">
        <f>IF('Tuesday Leagues'!$J129="","",'Tuesday Leagues'!$B129)</f>
        <v/>
      </c>
      <c r="E1026">
        <f>IF('Tuesday Leagues'!$J129="","",'Tuesday Leagues'!$C129&amp;"")</f>
        <v/>
      </c>
      <c r="F1026">
        <f>IF('Tuesday Leagues'!$J129="","",'Tuesday Leagues'!$D129&amp;"")</f>
        <v/>
      </c>
      <c r="G1026">
        <f>IF('Tuesday Leagues'!$J129="","",'Tuesday Leagues'!$E129&amp;"")</f>
        <v/>
      </c>
      <c r="H1026">
        <f>IF('Tuesday Leagues'!$J129="","",'Tuesday Leagues'!$F129&amp;"")</f>
        <v/>
      </c>
      <c r="I1026">
        <f>IF('Tuesday Leagues'!$J129="","",'Tuesday Leagues'!$G129&amp;"")</f>
        <v/>
      </c>
      <c r="J1026">
        <f>IF('Tuesday Leagues'!$J129="","",'Tuesday Leagues'!$H129)</f>
        <v/>
      </c>
      <c r="K1026">
        <f>IF('Tuesday Leagues'!$J129="","",COUNTIFS('Tuesday Leagues'!$A$5:$A$154,'Tuesday Leagues'!$A129,'Tuesday Leagues'!$H$5:$H$154,'Tuesday Leagues'!$H129))</f>
        <v/>
      </c>
      <c r="L1026">
        <f>IF('Tuesday Leagues'!$J129="","","")</f>
        <v/>
      </c>
      <c r="M1026">
        <f>IF('Tuesday Leagues'!$J129="","",'Tuesday Leagues'!$I129)</f>
        <v/>
      </c>
      <c r="N1026">
        <f>IF('Tuesday Leagues'!$J129="","",'Tuesday Leagues'!$J129)</f>
        <v/>
      </c>
      <c r="O1026">
        <f>IF('Tuesday Leagues'!$J129="","",'Tuesday Leagues'!$J129)</f>
        <v/>
      </c>
      <c r="P1026">
        <f>IF('Tuesday Leagues'!$J129="","",'Tuesday Leagues'!$K129)</f>
        <v/>
      </c>
    </row>
    <row r="1027">
      <c r="A1027">
        <f>IF('Tuesday Leagues'!$J130="","","Tuesday Night League "&amp;'Tuesday Leagues'!$A130)</f>
        <v/>
      </c>
      <c r="B1027">
        <f>IF('Tuesday Leagues'!$J130="","","Tuesday Night League")</f>
        <v/>
      </c>
      <c r="C1027" s="18">
        <f>IF('Tuesday Leagues'!$J130="","",'Tuesday Leagues'!$B130)</f>
        <v/>
      </c>
      <c r="E1027">
        <f>IF('Tuesday Leagues'!$J130="","",'Tuesday Leagues'!$C130&amp;"")</f>
        <v/>
      </c>
      <c r="F1027">
        <f>IF('Tuesday Leagues'!$J130="","",'Tuesday Leagues'!$D130&amp;"")</f>
        <v/>
      </c>
      <c r="G1027">
        <f>IF('Tuesday Leagues'!$J130="","",'Tuesday Leagues'!$E130&amp;"")</f>
        <v/>
      </c>
      <c r="H1027">
        <f>IF('Tuesday Leagues'!$J130="","",'Tuesday Leagues'!$F130&amp;"")</f>
        <v/>
      </c>
      <c r="I1027">
        <f>IF('Tuesday Leagues'!$J130="","",'Tuesday Leagues'!$G130&amp;"")</f>
        <v/>
      </c>
      <c r="J1027">
        <f>IF('Tuesday Leagues'!$J130="","",'Tuesday Leagues'!$H130)</f>
        <v/>
      </c>
      <c r="K1027">
        <f>IF('Tuesday Leagues'!$J130="","",COUNTIFS('Tuesday Leagues'!$A$5:$A$154,'Tuesday Leagues'!$A130,'Tuesday Leagues'!$H$5:$H$154,'Tuesday Leagues'!$H130))</f>
        <v/>
      </c>
      <c r="L1027">
        <f>IF('Tuesday Leagues'!$J130="","","")</f>
        <v/>
      </c>
      <c r="M1027">
        <f>IF('Tuesday Leagues'!$J130="","",'Tuesday Leagues'!$I130)</f>
        <v/>
      </c>
      <c r="N1027">
        <f>IF('Tuesday Leagues'!$J130="","",'Tuesday Leagues'!$J130)</f>
        <v/>
      </c>
      <c r="O1027">
        <f>IF('Tuesday Leagues'!$J130="","",'Tuesday Leagues'!$J130)</f>
        <v/>
      </c>
      <c r="P1027">
        <f>IF('Tuesday Leagues'!$J130="","",'Tuesday Leagues'!$K130)</f>
        <v/>
      </c>
    </row>
    <row r="1028">
      <c r="A1028">
        <f>IF('Tuesday Leagues'!$J131="","","Tuesday Night League "&amp;'Tuesday Leagues'!$A131)</f>
        <v/>
      </c>
      <c r="B1028">
        <f>IF('Tuesday Leagues'!$J131="","","Tuesday Night League")</f>
        <v/>
      </c>
      <c r="C1028" s="18">
        <f>IF('Tuesday Leagues'!$J131="","",'Tuesday Leagues'!$B131)</f>
        <v/>
      </c>
      <c r="E1028">
        <f>IF('Tuesday Leagues'!$J131="","",'Tuesday Leagues'!$C131&amp;"")</f>
        <v/>
      </c>
      <c r="F1028">
        <f>IF('Tuesday Leagues'!$J131="","",'Tuesday Leagues'!$D131&amp;"")</f>
        <v/>
      </c>
      <c r="G1028">
        <f>IF('Tuesday Leagues'!$J131="","",'Tuesday Leagues'!$E131&amp;"")</f>
        <v/>
      </c>
      <c r="H1028">
        <f>IF('Tuesday Leagues'!$J131="","",'Tuesday Leagues'!$F131&amp;"")</f>
        <v/>
      </c>
      <c r="I1028">
        <f>IF('Tuesday Leagues'!$J131="","",'Tuesday Leagues'!$G131&amp;"")</f>
        <v/>
      </c>
      <c r="J1028">
        <f>IF('Tuesday Leagues'!$J131="","",'Tuesday Leagues'!$H131)</f>
        <v/>
      </c>
      <c r="K1028">
        <f>IF('Tuesday Leagues'!$J131="","",COUNTIFS('Tuesday Leagues'!$A$5:$A$154,'Tuesday Leagues'!$A131,'Tuesday Leagues'!$H$5:$H$154,'Tuesday Leagues'!$H131))</f>
        <v/>
      </c>
      <c r="L1028">
        <f>IF('Tuesday Leagues'!$J131="","","")</f>
        <v/>
      </c>
      <c r="M1028">
        <f>IF('Tuesday Leagues'!$J131="","",'Tuesday Leagues'!$I131)</f>
        <v/>
      </c>
      <c r="N1028">
        <f>IF('Tuesday Leagues'!$J131="","",'Tuesday Leagues'!$J131)</f>
        <v/>
      </c>
      <c r="O1028">
        <f>IF('Tuesday Leagues'!$J131="","",'Tuesday Leagues'!$J131)</f>
        <v/>
      </c>
      <c r="P1028">
        <f>IF('Tuesday Leagues'!$J131="","",'Tuesday Leagues'!$K131)</f>
        <v/>
      </c>
    </row>
    <row r="1029">
      <c r="A1029">
        <f>IF('Tuesday Leagues'!$J132="","","Tuesday Night League "&amp;'Tuesday Leagues'!$A132)</f>
        <v/>
      </c>
      <c r="B1029">
        <f>IF('Tuesday Leagues'!$J132="","","Tuesday Night League")</f>
        <v/>
      </c>
      <c r="C1029" s="18">
        <f>IF('Tuesday Leagues'!$J132="","",'Tuesday Leagues'!$B132)</f>
        <v/>
      </c>
      <c r="E1029">
        <f>IF('Tuesday Leagues'!$J132="","",'Tuesday Leagues'!$C132&amp;"")</f>
        <v/>
      </c>
      <c r="F1029">
        <f>IF('Tuesday Leagues'!$J132="","",'Tuesday Leagues'!$D132&amp;"")</f>
        <v/>
      </c>
      <c r="G1029">
        <f>IF('Tuesday Leagues'!$J132="","",'Tuesday Leagues'!$E132&amp;"")</f>
        <v/>
      </c>
      <c r="H1029">
        <f>IF('Tuesday Leagues'!$J132="","",'Tuesday Leagues'!$F132&amp;"")</f>
        <v/>
      </c>
      <c r="I1029">
        <f>IF('Tuesday Leagues'!$J132="","",'Tuesday Leagues'!$G132&amp;"")</f>
        <v/>
      </c>
      <c r="J1029">
        <f>IF('Tuesday Leagues'!$J132="","",'Tuesday Leagues'!$H132)</f>
        <v/>
      </c>
      <c r="K1029">
        <f>IF('Tuesday Leagues'!$J132="","",COUNTIFS('Tuesday Leagues'!$A$5:$A$154,'Tuesday Leagues'!$A132,'Tuesday Leagues'!$H$5:$H$154,'Tuesday Leagues'!$H132))</f>
        <v/>
      </c>
      <c r="L1029">
        <f>IF('Tuesday Leagues'!$J132="","","")</f>
        <v/>
      </c>
      <c r="M1029">
        <f>IF('Tuesday Leagues'!$J132="","",'Tuesday Leagues'!$I132)</f>
        <v/>
      </c>
      <c r="N1029">
        <f>IF('Tuesday Leagues'!$J132="","",'Tuesday Leagues'!$J132)</f>
        <v/>
      </c>
      <c r="O1029">
        <f>IF('Tuesday Leagues'!$J132="","",'Tuesday Leagues'!$J132)</f>
        <v/>
      </c>
      <c r="P1029">
        <f>IF('Tuesday Leagues'!$J132="","",'Tuesday Leagues'!$K132)</f>
        <v/>
      </c>
    </row>
    <row r="1030">
      <c r="A1030">
        <f>IF('Tuesday Leagues'!$J133="","","Tuesday Night League "&amp;'Tuesday Leagues'!$A133)</f>
        <v/>
      </c>
      <c r="B1030">
        <f>IF('Tuesday Leagues'!$J133="","","Tuesday Night League")</f>
        <v/>
      </c>
      <c r="C1030" s="18">
        <f>IF('Tuesday Leagues'!$J133="","",'Tuesday Leagues'!$B133)</f>
        <v/>
      </c>
      <c r="E1030">
        <f>IF('Tuesday Leagues'!$J133="","",'Tuesday Leagues'!$C133&amp;"")</f>
        <v/>
      </c>
      <c r="F1030">
        <f>IF('Tuesday Leagues'!$J133="","",'Tuesday Leagues'!$D133&amp;"")</f>
        <v/>
      </c>
      <c r="G1030">
        <f>IF('Tuesday Leagues'!$J133="","",'Tuesday Leagues'!$E133&amp;"")</f>
        <v/>
      </c>
      <c r="H1030">
        <f>IF('Tuesday Leagues'!$J133="","",'Tuesday Leagues'!$F133&amp;"")</f>
        <v/>
      </c>
      <c r="I1030">
        <f>IF('Tuesday Leagues'!$J133="","",'Tuesday Leagues'!$G133&amp;"")</f>
        <v/>
      </c>
      <c r="J1030">
        <f>IF('Tuesday Leagues'!$J133="","",'Tuesday Leagues'!$H133)</f>
        <v/>
      </c>
      <c r="K1030">
        <f>IF('Tuesday Leagues'!$J133="","",COUNTIFS('Tuesday Leagues'!$A$5:$A$154,'Tuesday Leagues'!$A133,'Tuesday Leagues'!$H$5:$H$154,'Tuesday Leagues'!$H133))</f>
        <v/>
      </c>
      <c r="L1030">
        <f>IF('Tuesday Leagues'!$J133="","","")</f>
        <v/>
      </c>
      <c r="M1030">
        <f>IF('Tuesday Leagues'!$J133="","",'Tuesday Leagues'!$I133)</f>
        <v/>
      </c>
      <c r="N1030">
        <f>IF('Tuesday Leagues'!$J133="","",'Tuesday Leagues'!$J133)</f>
        <v/>
      </c>
      <c r="O1030">
        <f>IF('Tuesday Leagues'!$J133="","",'Tuesday Leagues'!$J133)</f>
        <v/>
      </c>
      <c r="P1030">
        <f>IF('Tuesday Leagues'!$J133="","",'Tuesday Leagues'!$K133)</f>
        <v/>
      </c>
    </row>
    <row r="1031">
      <c r="A1031">
        <f>IF('Tuesday Leagues'!$J134="","","Tuesday Night League "&amp;'Tuesday Leagues'!$A134)</f>
        <v/>
      </c>
      <c r="B1031">
        <f>IF('Tuesday Leagues'!$J134="","","Tuesday Night League")</f>
        <v/>
      </c>
      <c r="C1031" s="18">
        <f>IF('Tuesday Leagues'!$J134="","",'Tuesday Leagues'!$B134)</f>
        <v/>
      </c>
      <c r="E1031">
        <f>IF('Tuesday Leagues'!$J134="","",'Tuesday Leagues'!$C134&amp;"")</f>
        <v/>
      </c>
      <c r="F1031">
        <f>IF('Tuesday Leagues'!$J134="","",'Tuesday Leagues'!$D134&amp;"")</f>
        <v/>
      </c>
      <c r="G1031">
        <f>IF('Tuesday Leagues'!$J134="","",'Tuesday Leagues'!$E134&amp;"")</f>
        <v/>
      </c>
      <c r="H1031">
        <f>IF('Tuesday Leagues'!$J134="","",'Tuesday Leagues'!$F134&amp;"")</f>
        <v/>
      </c>
      <c r="I1031">
        <f>IF('Tuesday Leagues'!$J134="","",'Tuesday Leagues'!$G134&amp;"")</f>
        <v/>
      </c>
      <c r="J1031">
        <f>IF('Tuesday Leagues'!$J134="","",'Tuesday Leagues'!$H134)</f>
        <v/>
      </c>
      <c r="K1031">
        <f>IF('Tuesday Leagues'!$J134="","",COUNTIFS('Tuesday Leagues'!$A$5:$A$154,'Tuesday Leagues'!$A134,'Tuesday Leagues'!$H$5:$H$154,'Tuesday Leagues'!$H134))</f>
        <v/>
      </c>
      <c r="L1031">
        <f>IF('Tuesday Leagues'!$J134="","","")</f>
        <v/>
      </c>
      <c r="M1031">
        <f>IF('Tuesday Leagues'!$J134="","",'Tuesday Leagues'!$I134)</f>
        <v/>
      </c>
      <c r="N1031">
        <f>IF('Tuesday Leagues'!$J134="","",'Tuesday Leagues'!$J134)</f>
        <v/>
      </c>
      <c r="O1031">
        <f>IF('Tuesday Leagues'!$J134="","",'Tuesday Leagues'!$J134)</f>
        <v/>
      </c>
      <c r="P1031">
        <f>IF('Tuesday Leagues'!$J134="","",'Tuesday Leagues'!$K134)</f>
        <v/>
      </c>
    </row>
    <row r="1032">
      <c r="A1032">
        <f>IF('Tuesday Leagues'!$J135="","","Tuesday Night League "&amp;'Tuesday Leagues'!$A135)</f>
        <v/>
      </c>
      <c r="B1032">
        <f>IF('Tuesday Leagues'!$J135="","","Tuesday Night League")</f>
        <v/>
      </c>
      <c r="C1032" s="18">
        <f>IF('Tuesday Leagues'!$J135="","",'Tuesday Leagues'!$B135)</f>
        <v/>
      </c>
      <c r="E1032">
        <f>IF('Tuesday Leagues'!$J135="","",'Tuesday Leagues'!$C135&amp;"")</f>
        <v/>
      </c>
      <c r="F1032">
        <f>IF('Tuesday Leagues'!$J135="","",'Tuesday Leagues'!$D135&amp;"")</f>
        <v/>
      </c>
      <c r="G1032">
        <f>IF('Tuesday Leagues'!$J135="","",'Tuesday Leagues'!$E135&amp;"")</f>
        <v/>
      </c>
      <c r="H1032">
        <f>IF('Tuesday Leagues'!$J135="","",'Tuesday Leagues'!$F135&amp;"")</f>
        <v/>
      </c>
      <c r="I1032">
        <f>IF('Tuesday Leagues'!$J135="","",'Tuesday Leagues'!$G135&amp;"")</f>
        <v/>
      </c>
      <c r="J1032">
        <f>IF('Tuesday Leagues'!$J135="","",'Tuesday Leagues'!$H135)</f>
        <v/>
      </c>
      <c r="K1032">
        <f>IF('Tuesday Leagues'!$J135="","",COUNTIFS('Tuesday Leagues'!$A$5:$A$154,'Tuesday Leagues'!$A135,'Tuesday Leagues'!$H$5:$H$154,'Tuesday Leagues'!$H135))</f>
        <v/>
      </c>
      <c r="L1032">
        <f>IF('Tuesday Leagues'!$J135="","","")</f>
        <v/>
      </c>
      <c r="M1032">
        <f>IF('Tuesday Leagues'!$J135="","",'Tuesday Leagues'!$I135)</f>
        <v/>
      </c>
      <c r="N1032">
        <f>IF('Tuesday Leagues'!$J135="","",'Tuesday Leagues'!$J135)</f>
        <v/>
      </c>
      <c r="O1032">
        <f>IF('Tuesday Leagues'!$J135="","",'Tuesday Leagues'!$J135)</f>
        <v/>
      </c>
      <c r="P1032">
        <f>IF('Tuesday Leagues'!$J135="","",'Tuesday Leagues'!$K135)</f>
        <v/>
      </c>
    </row>
    <row r="1033">
      <c r="A1033">
        <f>IF('Tuesday Leagues'!$J136="","","Tuesday Night League "&amp;'Tuesday Leagues'!$A136)</f>
        <v/>
      </c>
      <c r="B1033">
        <f>IF('Tuesday Leagues'!$J136="","","Tuesday Night League")</f>
        <v/>
      </c>
      <c r="C1033" s="18">
        <f>IF('Tuesday Leagues'!$J136="","",'Tuesday Leagues'!$B136)</f>
        <v/>
      </c>
      <c r="E1033">
        <f>IF('Tuesday Leagues'!$J136="","",'Tuesday Leagues'!$C136&amp;"")</f>
        <v/>
      </c>
      <c r="F1033">
        <f>IF('Tuesday Leagues'!$J136="","",'Tuesday Leagues'!$D136&amp;"")</f>
        <v/>
      </c>
      <c r="G1033">
        <f>IF('Tuesday Leagues'!$J136="","",'Tuesday Leagues'!$E136&amp;"")</f>
        <v/>
      </c>
      <c r="H1033">
        <f>IF('Tuesday Leagues'!$J136="","",'Tuesday Leagues'!$F136&amp;"")</f>
        <v/>
      </c>
      <c r="I1033">
        <f>IF('Tuesday Leagues'!$J136="","",'Tuesday Leagues'!$G136&amp;"")</f>
        <v/>
      </c>
      <c r="J1033">
        <f>IF('Tuesday Leagues'!$J136="","",'Tuesday Leagues'!$H136)</f>
        <v/>
      </c>
      <c r="K1033">
        <f>IF('Tuesday Leagues'!$J136="","",COUNTIFS('Tuesday Leagues'!$A$5:$A$154,'Tuesday Leagues'!$A136,'Tuesday Leagues'!$H$5:$H$154,'Tuesday Leagues'!$H136))</f>
        <v/>
      </c>
      <c r="L1033">
        <f>IF('Tuesday Leagues'!$J136="","","")</f>
        <v/>
      </c>
      <c r="M1033">
        <f>IF('Tuesday Leagues'!$J136="","",'Tuesday Leagues'!$I136)</f>
        <v/>
      </c>
      <c r="N1033">
        <f>IF('Tuesday Leagues'!$J136="","",'Tuesday Leagues'!$J136)</f>
        <v/>
      </c>
      <c r="O1033">
        <f>IF('Tuesday Leagues'!$J136="","",'Tuesday Leagues'!$J136)</f>
        <v/>
      </c>
      <c r="P1033">
        <f>IF('Tuesday Leagues'!$J136="","",'Tuesday Leagues'!$K136)</f>
        <v/>
      </c>
    </row>
    <row r="1034">
      <c r="A1034">
        <f>IF('Tuesday Leagues'!$J137="","","Tuesday Night League "&amp;'Tuesday Leagues'!$A137)</f>
        <v/>
      </c>
      <c r="B1034">
        <f>IF('Tuesday Leagues'!$J137="","","Tuesday Night League")</f>
        <v/>
      </c>
      <c r="C1034" s="18">
        <f>IF('Tuesday Leagues'!$J137="","",'Tuesday Leagues'!$B137)</f>
        <v/>
      </c>
      <c r="E1034">
        <f>IF('Tuesday Leagues'!$J137="","",'Tuesday Leagues'!$C137&amp;"")</f>
        <v/>
      </c>
      <c r="F1034">
        <f>IF('Tuesday Leagues'!$J137="","",'Tuesday Leagues'!$D137&amp;"")</f>
        <v/>
      </c>
      <c r="G1034">
        <f>IF('Tuesday Leagues'!$J137="","",'Tuesday Leagues'!$E137&amp;"")</f>
        <v/>
      </c>
      <c r="H1034">
        <f>IF('Tuesday Leagues'!$J137="","",'Tuesday Leagues'!$F137&amp;"")</f>
        <v/>
      </c>
      <c r="I1034">
        <f>IF('Tuesday Leagues'!$J137="","",'Tuesday Leagues'!$G137&amp;"")</f>
        <v/>
      </c>
      <c r="J1034">
        <f>IF('Tuesday Leagues'!$J137="","",'Tuesday Leagues'!$H137)</f>
        <v/>
      </c>
      <c r="K1034">
        <f>IF('Tuesday Leagues'!$J137="","",COUNTIFS('Tuesday Leagues'!$A$5:$A$154,'Tuesday Leagues'!$A137,'Tuesday Leagues'!$H$5:$H$154,'Tuesday Leagues'!$H137))</f>
        <v/>
      </c>
      <c r="L1034">
        <f>IF('Tuesday Leagues'!$J137="","","")</f>
        <v/>
      </c>
      <c r="M1034">
        <f>IF('Tuesday Leagues'!$J137="","",'Tuesday Leagues'!$I137)</f>
        <v/>
      </c>
      <c r="N1034">
        <f>IF('Tuesday Leagues'!$J137="","",'Tuesday Leagues'!$J137)</f>
        <v/>
      </c>
      <c r="O1034">
        <f>IF('Tuesday Leagues'!$J137="","",'Tuesday Leagues'!$J137)</f>
        <v/>
      </c>
      <c r="P1034">
        <f>IF('Tuesday Leagues'!$J137="","",'Tuesday Leagues'!$K137)</f>
        <v/>
      </c>
    </row>
    <row r="1035">
      <c r="A1035">
        <f>IF('Tuesday Leagues'!$J138="","","Tuesday Night League "&amp;'Tuesday Leagues'!$A138)</f>
        <v/>
      </c>
      <c r="B1035">
        <f>IF('Tuesday Leagues'!$J138="","","Tuesday Night League")</f>
        <v/>
      </c>
      <c r="C1035" s="18">
        <f>IF('Tuesday Leagues'!$J138="","",'Tuesday Leagues'!$B138)</f>
        <v/>
      </c>
      <c r="E1035">
        <f>IF('Tuesday Leagues'!$J138="","",'Tuesday Leagues'!$C138&amp;"")</f>
        <v/>
      </c>
      <c r="F1035">
        <f>IF('Tuesday Leagues'!$J138="","",'Tuesday Leagues'!$D138&amp;"")</f>
        <v/>
      </c>
      <c r="G1035">
        <f>IF('Tuesday Leagues'!$J138="","",'Tuesday Leagues'!$E138&amp;"")</f>
        <v/>
      </c>
      <c r="H1035">
        <f>IF('Tuesday Leagues'!$J138="","",'Tuesday Leagues'!$F138&amp;"")</f>
        <v/>
      </c>
      <c r="I1035">
        <f>IF('Tuesday Leagues'!$J138="","",'Tuesday Leagues'!$G138&amp;"")</f>
        <v/>
      </c>
      <c r="J1035">
        <f>IF('Tuesday Leagues'!$J138="","",'Tuesday Leagues'!$H138)</f>
        <v/>
      </c>
      <c r="K1035">
        <f>IF('Tuesday Leagues'!$J138="","",COUNTIFS('Tuesday Leagues'!$A$5:$A$154,'Tuesday Leagues'!$A138,'Tuesday Leagues'!$H$5:$H$154,'Tuesday Leagues'!$H138))</f>
        <v/>
      </c>
      <c r="L1035">
        <f>IF('Tuesday Leagues'!$J138="","","")</f>
        <v/>
      </c>
      <c r="M1035">
        <f>IF('Tuesday Leagues'!$J138="","",'Tuesday Leagues'!$I138)</f>
        <v/>
      </c>
      <c r="N1035">
        <f>IF('Tuesday Leagues'!$J138="","",'Tuesday Leagues'!$J138)</f>
        <v/>
      </c>
      <c r="O1035">
        <f>IF('Tuesday Leagues'!$J138="","",'Tuesday Leagues'!$J138)</f>
        <v/>
      </c>
      <c r="P1035">
        <f>IF('Tuesday Leagues'!$J138="","",'Tuesday Leagues'!$K138)</f>
        <v/>
      </c>
    </row>
    <row r="1036">
      <c r="A1036">
        <f>IF('Tuesday Leagues'!$J139="","","Tuesday Night League "&amp;'Tuesday Leagues'!$A139)</f>
        <v/>
      </c>
      <c r="B1036">
        <f>IF('Tuesday Leagues'!$J139="","","Tuesday Night League")</f>
        <v/>
      </c>
      <c r="C1036" s="18">
        <f>IF('Tuesday Leagues'!$J139="","",'Tuesday Leagues'!$B139)</f>
        <v/>
      </c>
      <c r="E1036">
        <f>IF('Tuesday Leagues'!$J139="","",'Tuesday Leagues'!$C139&amp;"")</f>
        <v/>
      </c>
      <c r="F1036">
        <f>IF('Tuesday Leagues'!$J139="","",'Tuesday Leagues'!$D139&amp;"")</f>
        <v/>
      </c>
      <c r="G1036">
        <f>IF('Tuesday Leagues'!$J139="","",'Tuesday Leagues'!$E139&amp;"")</f>
        <v/>
      </c>
      <c r="H1036">
        <f>IF('Tuesday Leagues'!$J139="","",'Tuesday Leagues'!$F139&amp;"")</f>
        <v/>
      </c>
      <c r="I1036">
        <f>IF('Tuesday Leagues'!$J139="","",'Tuesday Leagues'!$G139&amp;"")</f>
        <v/>
      </c>
      <c r="J1036">
        <f>IF('Tuesday Leagues'!$J139="","",'Tuesday Leagues'!$H139)</f>
        <v/>
      </c>
      <c r="K1036">
        <f>IF('Tuesday Leagues'!$J139="","",COUNTIFS('Tuesday Leagues'!$A$5:$A$154,'Tuesday Leagues'!$A139,'Tuesday Leagues'!$H$5:$H$154,'Tuesday Leagues'!$H139))</f>
        <v/>
      </c>
      <c r="L1036">
        <f>IF('Tuesday Leagues'!$J139="","","")</f>
        <v/>
      </c>
      <c r="M1036">
        <f>IF('Tuesday Leagues'!$J139="","",'Tuesday Leagues'!$I139)</f>
        <v/>
      </c>
      <c r="N1036">
        <f>IF('Tuesday Leagues'!$J139="","",'Tuesday Leagues'!$J139)</f>
        <v/>
      </c>
      <c r="O1036">
        <f>IF('Tuesday Leagues'!$J139="","",'Tuesday Leagues'!$J139)</f>
        <v/>
      </c>
      <c r="P1036">
        <f>IF('Tuesday Leagues'!$J139="","",'Tuesday Leagues'!$K139)</f>
        <v/>
      </c>
    </row>
    <row r="1037">
      <c r="A1037">
        <f>IF('Tuesday Leagues'!$J140="","","Tuesday Night League "&amp;'Tuesday Leagues'!$A140)</f>
        <v/>
      </c>
      <c r="B1037">
        <f>IF('Tuesday Leagues'!$J140="","","Tuesday Night League")</f>
        <v/>
      </c>
      <c r="C1037" s="18">
        <f>IF('Tuesday Leagues'!$J140="","",'Tuesday Leagues'!$B140)</f>
        <v/>
      </c>
      <c r="E1037">
        <f>IF('Tuesday Leagues'!$J140="","",'Tuesday Leagues'!$C140&amp;"")</f>
        <v/>
      </c>
      <c r="F1037">
        <f>IF('Tuesday Leagues'!$J140="","",'Tuesday Leagues'!$D140&amp;"")</f>
        <v/>
      </c>
      <c r="G1037">
        <f>IF('Tuesday Leagues'!$J140="","",'Tuesday Leagues'!$E140&amp;"")</f>
        <v/>
      </c>
      <c r="H1037">
        <f>IF('Tuesday Leagues'!$J140="","",'Tuesday Leagues'!$F140&amp;"")</f>
        <v/>
      </c>
      <c r="I1037">
        <f>IF('Tuesday Leagues'!$J140="","",'Tuesday Leagues'!$G140&amp;"")</f>
        <v/>
      </c>
      <c r="J1037">
        <f>IF('Tuesday Leagues'!$J140="","",'Tuesday Leagues'!$H140)</f>
        <v/>
      </c>
      <c r="K1037">
        <f>IF('Tuesday Leagues'!$J140="","",COUNTIFS('Tuesday Leagues'!$A$5:$A$154,'Tuesday Leagues'!$A140,'Tuesday Leagues'!$H$5:$H$154,'Tuesday Leagues'!$H140))</f>
        <v/>
      </c>
      <c r="L1037">
        <f>IF('Tuesday Leagues'!$J140="","","")</f>
        <v/>
      </c>
      <c r="M1037">
        <f>IF('Tuesday Leagues'!$J140="","",'Tuesday Leagues'!$I140)</f>
        <v/>
      </c>
      <c r="N1037">
        <f>IF('Tuesday Leagues'!$J140="","",'Tuesday Leagues'!$J140)</f>
        <v/>
      </c>
      <c r="O1037">
        <f>IF('Tuesday Leagues'!$J140="","",'Tuesday Leagues'!$J140)</f>
        <v/>
      </c>
      <c r="P1037">
        <f>IF('Tuesday Leagues'!$J140="","",'Tuesday Leagues'!$K140)</f>
        <v/>
      </c>
    </row>
    <row r="1038">
      <c r="A1038">
        <f>IF('Tuesday Leagues'!$J141="","","Tuesday Night League "&amp;'Tuesday Leagues'!$A141)</f>
        <v/>
      </c>
      <c r="B1038">
        <f>IF('Tuesday Leagues'!$J141="","","Tuesday Night League")</f>
        <v/>
      </c>
      <c r="C1038" s="18">
        <f>IF('Tuesday Leagues'!$J141="","",'Tuesday Leagues'!$B141)</f>
        <v/>
      </c>
      <c r="E1038">
        <f>IF('Tuesday Leagues'!$J141="","",'Tuesday Leagues'!$C141&amp;"")</f>
        <v/>
      </c>
      <c r="F1038">
        <f>IF('Tuesday Leagues'!$J141="","",'Tuesday Leagues'!$D141&amp;"")</f>
        <v/>
      </c>
      <c r="G1038">
        <f>IF('Tuesday Leagues'!$J141="","",'Tuesday Leagues'!$E141&amp;"")</f>
        <v/>
      </c>
      <c r="H1038">
        <f>IF('Tuesday Leagues'!$J141="","",'Tuesday Leagues'!$F141&amp;"")</f>
        <v/>
      </c>
      <c r="I1038">
        <f>IF('Tuesday Leagues'!$J141="","",'Tuesday Leagues'!$G141&amp;"")</f>
        <v/>
      </c>
      <c r="J1038">
        <f>IF('Tuesday Leagues'!$J141="","",'Tuesday Leagues'!$H141)</f>
        <v/>
      </c>
      <c r="K1038">
        <f>IF('Tuesday Leagues'!$J141="","",COUNTIFS('Tuesday Leagues'!$A$5:$A$154,'Tuesday Leagues'!$A141,'Tuesday Leagues'!$H$5:$H$154,'Tuesday Leagues'!$H141))</f>
        <v/>
      </c>
      <c r="L1038">
        <f>IF('Tuesday Leagues'!$J141="","","")</f>
        <v/>
      </c>
      <c r="M1038">
        <f>IF('Tuesday Leagues'!$J141="","",'Tuesday Leagues'!$I141)</f>
        <v/>
      </c>
      <c r="N1038">
        <f>IF('Tuesday Leagues'!$J141="","",'Tuesday Leagues'!$J141)</f>
        <v/>
      </c>
      <c r="O1038">
        <f>IF('Tuesday Leagues'!$J141="","",'Tuesday Leagues'!$J141)</f>
        <v/>
      </c>
      <c r="P1038">
        <f>IF('Tuesday Leagues'!$J141="","",'Tuesday Leagues'!$K141)</f>
        <v/>
      </c>
    </row>
    <row r="1039">
      <c r="A1039">
        <f>IF('Tuesday Leagues'!$J142="","","Tuesday Night League "&amp;'Tuesday Leagues'!$A142)</f>
        <v/>
      </c>
      <c r="B1039">
        <f>IF('Tuesday Leagues'!$J142="","","Tuesday Night League")</f>
        <v/>
      </c>
      <c r="C1039" s="18">
        <f>IF('Tuesday Leagues'!$J142="","",'Tuesday Leagues'!$B142)</f>
        <v/>
      </c>
      <c r="E1039">
        <f>IF('Tuesday Leagues'!$J142="","",'Tuesday Leagues'!$C142&amp;"")</f>
        <v/>
      </c>
      <c r="F1039">
        <f>IF('Tuesday Leagues'!$J142="","",'Tuesday Leagues'!$D142&amp;"")</f>
        <v/>
      </c>
      <c r="G1039">
        <f>IF('Tuesday Leagues'!$J142="","",'Tuesday Leagues'!$E142&amp;"")</f>
        <v/>
      </c>
      <c r="H1039">
        <f>IF('Tuesday Leagues'!$J142="","",'Tuesday Leagues'!$F142&amp;"")</f>
        <v/>
      </c>
      <c r="I1039">
        <f>IF('Tuesday Leagues'!$J142="","",'Tuesday Leagues'!$G142&amp;"")</f>
        <v/>
      </c>
      <c r="J1039">
        <f>IF('Tuesday Leagues'!$J142="","",'Tuesday Leagues'!$H142)</f>
        <v/>
      </c>
      <c r="K1039">
        <f>IF('Tuesday Leagues'!$J142="","",COUNTIFS('Tuesday Leagues'!$A$5:$A$154,'Tuesday Leagues'!$A142,'Tuesday Leagues'!$H$5:$H$154,'Tuesday Leagues'!$H142))</f>
        <v/>
      </c>
      <c r="L1039">
        <f>IF('Tuesday Leagues'!$J142="","","")</f>
        <v/>
      </c>
      <c r="M1039">
        <f>IF('Tuesday Leagues'!$J142="","",'Tuesday Leagues'!$I142)</f>
        <v/>
      </c>
      <c r="N1039">
        <f>IF('Tuesday Leagues'!$J142="","",'Tuesday Leagues'!$J142)</f>
        <v/>
      </c>
      <c r="O1039">
        <f>IF('Tuesday Leagues'!$J142="","",'Tuesday Leagues'!$J142)</f>
        <v/>
      </c>
      <c r="P1039">
        <f>IF('Tuesday Leagues'!$J142="","",'Tuesday Leagues'!$K142)</f>
        <v/>
      </c>
    </row>
    <row r="1040">
      <c r="A1040">
        <f>IF('Tuesday Leagues'!$J143="","","Tuesday Night League "&amp;'Tuesday Leagues'!$A143)</f>
        <v/>
      </c>
      <c r="B1040">
        <f>IF('Tuesday Leagues'!$J143="","","Tuesday Night League")</f>
        <v/>
      </c>
      <c r="C1040" s="18">
        <f>IF('Tuesday Leagues'!$J143="","",'Tuesday Leagues'!$B143)</f>
        <v/>
      </c>
      <c r="E1040">
        <f>IF('Tuesday Leagues'!$J143="","",'Tuesday Leagues'!$C143&amp;"")</f>
        <v/>
      </c>
      <c r="F1040">
        <f>IF('Tuesday Leagues'!$J143="","",'Tuesday Leagues'!$D143&amp;"")</f>
        <v/>
      </c>
      <c r="G1040">
        <f>IF('Tuesday Leagues'!$J143="","",'Tuesday Leagues'!$E143&amp;"")</f>
        <v/>
      </c>
      <c r="H1040">
        <f>IF('Tuesday Leagues'!$J143="","",'Tuesday Leagues'!$F143&amp;"")</f>
        <v/>
      </c>
      <c r="I1040">
        <f>IF('Tuesday Leagues'!$J143="","",'Tuesday Leagues'!$G143&amp;"")</f>
        <v/>
      </c>
      <c r="J1040">
        <f>IF('Tuesday Leagues'!$J143="","",'Tuesday Leagues'!$H143)</f>
        <v/>
      </c>
      <c r="K1040">
        <f>IF('Tuesday Leagues'!$J143="","",COUNTIFS('Tuesday Leagues'!$A$5:$A$154,'Tuesday Leagues'!$A143,'Tuesday Leagues'!$H$5:$H$154,'Tuesday Leagues'!$H143))</f>
        <v/>
      </c>
      <c r="L1040">
        <f>IF('Tuesday Leagues'!$J143="","","")</f>
        <v/>
      </c>
      <c r="M1040">
        <f>IF('Tuesday Leagues'!$J143="","",'Tuesday Leagues'!$I143)</f>
        <v/>
      </c>
      <c r="N1040">
        <f>IF('Tuesday Leagues'!$J143="","",'Tuesday Leagues'!$J143)</f>
        <v/>
      </c>
      <c r="O1040">
        <f>IF('Tuesday Leagues'!$J143="","",'Tuesday Leagues'!$J143)</f>
        <v/>
      </c>
      <c r="P1040">
        <f>IF('Tuesday Leagues'!$J143="","",'Tuesday Leagues'!$K143)</f>
        <v/>
      </c>
    </row>
    <row r="1041">
      <c r="A1041">
        <f>IF('Tuesday Leagues'!$J144="","","Tuesday Night League "&amp;'Tuesday Leagues'!$A144)</f>
        <v/>
      </c>
      <c r="B1041">
        <f>IF('Tuesday Leagues'!$J144="","","Tuesday Night League")</f>
        <v/>
      </c>
      <c r="C1041" s="18">
        <f>IF('Tuesday Leagues'!$J144="","",'Tuesday Leagues'!$B144)</f>
        <v/>
      </c>
      <c r="E1041">
        <f>IF('Tuesday Leagues'!$J144="","",'Tuesday Leagues'!$C144&amp;"")</f>
        <v/>
      </c>
      <c r="F1041">
        <f>IF('Tuesday Leagues'!$J144="","",'Tuesday Leagues'!$D144&amp;"")</f>
        <v/>
      </c>
      <c r="G1041">
        <f>IF('Tuesday Leagues'!$J144="","",'Tuesday Leagues'!$E144&amp;"")</f>
        <v/>
      </c>
      <c r="H1041">
        <f>IF('Tuesday Leagues'!$J144="","",'Tuesday Leagues'!$F144&amp;"")</f>
        <v/>
      </c>
      <c r="I1041">
        <f>IF('Tuesday Leagues'!$J144="","",'Tuesday Leagues'!$G144&amp;"")</f>
        <v/>
      </c>
      <c r="J1041">
        <f>IF('Tuesday Leagues'!$J144="","",'Tuesday Leagues'!$H144)</f>
        <v/>
      </c>
      <c r="K1041">
        <f>IF('Tuesday Leagues'!$J144="","",COUNTIFS('Tuesday Leagues'!$A$5:$A$154,'Tuesday Leagues'!$A144,'Tuesday Leagues'!$H$5:$H$154,'Tuesday Leagues'!$H144))</f>
        <v/>
      </c>
      <c r="L1041">
        <f>IF('Tuesday Leagues'!$J144="","","")</f>
        <v/>
      </c>
      <c r="M1041">
        <f>IF('Tuesday Leagues'!$J144="","",'Tuesday Leagues'!$I144)</f>
        <v/>
      </c>
      <c r="N1041">
        <f>IF('Tuesday Leagues'!$J144="","",'Tuesday Leagues'!$J144)</f>
        <v/>
      </c>
      <c r="O1041">
        <f>IF('Tuesday Leagues'!$J144="","",'Tuesday Leagues'!$J144)</f>
        <v/>
      </c>
      <c r="P1041">
        <f>IF('Tuesday Leagues'!$J144="","",'Tuesday Leagues'!$K144)</f>
        <v/>
      </c>
    </row>
    <row r="1042">
      <c r="A1042">
        <f>IF('Tuesday Leagues'!$J145="","","Tuesday Night League "&amp;'Tuesday Leagues'!$A145)</f>
        <v/>
      </c>
      <c r="B1042">
        <f>IF('Tuesday Leagues'!$J145="","","Tuesday Night League")</f>
        <v/>
      </c>
      <c r="C1042" s="18">
        <f>IF('Tuesday Leagues'!$J145="","",'Tuesday Leagues'!$B145)</f>
        <v/>
      </c>
      <c r="E1042">
        <f>IF('Tuesday Leagues'!$J145="","",'Tuesday Leagues'!$C145&amp;"")</f>
        <v/>
      </c>
      <c r="F1042">
        <f>IF('Tuesday Leagues'!$J145="","",'Tuesday Leagues'!$D145&amp;"")</f>
        <v/>
      </c>
      <c r="G1042">
        <f>IF('Tuesday Leagues'!$J145="","",'Tuesday Leagues'!$E145&amp;"")</f>
        <v/>
      </c>
      <c r="H1042">
        <f>IF('Tuesday Leagues'!$J145="","",'Tuesday Leagues'!$F145&amp;"")</f>
        <v/>
      </c>
      <c r="I1042">
        <f>IF('Tuesday Leagues'!$J145="","",'Tuesday Leagues'!$G145&amp;"")</f>
        <v/>
      </c>
      <c r="J1042">
        <f>IF('Tuesday Leagues'!$J145="","",'Tuesday Leagues'!$H145)</f>
        <v/>
      </c>
      <c r="K1042">
        <f>IF('Tuesday Leagues'!$J145="","",COUNTIFS('Tuesday Leagues'!$A$5:$A$154,'Tuesday Leagues'!$A145,'Tuesday Leagues'!$H$5:$H$154,'Tuesday Leagues'!$H145))</f>
        <v/>
      </c>
      <c r="L1042">
        <f>IF('Tuesday Leagues'!$J145="","","")</f>
        <v/>
      </c>
      <c r="M1042">
        <f>IF('Tuesday Leagues'!$J145="","",'Tuesday Leagues'!$I145)</f>
        <v/>
      </c>
      <c r="N1042">
        <f>IF('Tuesday Leagues'!$J145="","",'Tuesday Leagues'!$J145)</f>
        <v/>
      </c>
      <c r="O1042">
        <f>IF('Tuesday Leagues'!$J145="","",'Tuesday Leagues'!$J145)</f>
        <v/>
      </c>
      <c r="P1042">
        <f>IF('Tuesday Leagues'!$J145="","",'Tuesday Leagues'!$K145)</f>
        <v/>
      </c>
    </row>
    <row r="1043">
      <c r="A1043">
        <f>IF('Tuesday Leagues'!$J146="","","Tuesday Night League "&amp;'Tuesday Leagues'!$A146)</f>
        <v/>
      </c>
      <c r="B1043">
        <f>IF('Tuesday Leagues'!$J146="","","Tuesday Night League")</f>
        <v/>
      </c>
      <c r="C1043" s="18">
        <f>IF('Tuesday Leagues'!$J146="","",'Tuesday Leagues'!$B146)</f>
        <v/>
      </c>
      <c r="E1043">
        <f>IF('Tuesday Leagues'!$J146="","",'Tuesday Leagues'!$C146&amp;"")</f>
        <v/>
      </c>
      <c r="F1043">
        <f>IF('Tuesday Leagues'!$J146="","",'Tuesday Leagues'!$D146&amp;"")</f>
        <v/>
      </c>
      <c r="G1043">
        <f>IF('Tuesday Leagues'!$J146="","",'Tuesday Leagues'!$E146&amp;"")</f>
        <v/>
      </c>
      <c r="H1043">
        <f>IF('Tuesday Leagues'!$J146="","",'Tuesday Leagues'!$F146&amp;"")</f>
        <v/>
      </c>
      <c r="I1043">
        <f>IF('Tuesday Leagues'!$J146="","",'Tuesday Leagues'!$G146&amp;"")</f>
        <v/>
      </c>
      <c r="J1043">
        <f>IF('Tuesday Leagues'!$J146="","",'Tuesday Leagues'!$H146)</f>
        <v/>
      </c>
      <c r="K1043">
        <f>IF('Tuesday Leagues'!$J146="","",COUNTIFS('Tuesday Leagues'!$A$5:$A$154,'Tuesday Leagues'!$A146,'Tuesday Leagues'!$H$5:$H$154,'Tuesday Leagues'!$H146))</f>
        <v/>
      </c>
      <c r="L1043">
        <f>IF('Tuesday Leagues'!$J146="","","")</f>
        <v/>
      </c>
      <c r="M1043">
        <f>IF('Tuesday Leagues'!$J146="","",'Tuesday Leagues'!$I146)</f>
        <v/>
      </c>
      <c r="N1043">
        <f>IF('Tuesday Leagues'!$J146="","",'Tuesday Leagues'!$J146)</f>
        <v/>
      </c>
      <c r="O1043">
        <f>IF('Tuesday Leagues'!$J146="","",'Tuesday Leagues'!$J146)</f>
        <v/>
      </c>
      <c r="P1043">
        <f>IF('Tuesday Leagues'!$J146="","",'Tuesday Leagues'!$K146)</f>
        <v/>
      </c>
    </row>
    <row r="1044">
      <c r="A1044">
        <f>IF('Tuesday Leagues'!$J147="","","Tuesday Night League "&amp;'Tuesday Leagues'!$A147)</f>
        <v/>
      </c>
      <c r="B1044">
        <f>IF('Tuesday Leagues'!$J147="","","Tuesday Night League")</f>
        <v/>
      </c>
      <c r="C1044" s="18">
        <f>IF('Tuesday Leagues'!$J147="","",'Tuesday Leagues'!$B147)</f>
        <v/>
      </c>
      <c r="E1044">
        <f>IF('Tuesday Leagues'!$J147="","",'Tuesday Leagues'!$C147&amp;"")</f>
        <v/>
      </c>
      <c r="F1044">
        <f>IF('Tuesday Leagues'!$J147="","",'Tuesday Leagues'!$D147&amp;"")</f>
        <v/>
      </c>
      <c r="G1044">
        <f>IF('Tuesday Leagues'!$J147="","",'Tuesday Leagues'!$E147&amp;"")</f>
        <v/>
      </c>
      <c r="H1044">
        <f>IF('Tuesday Leagues'!$J147="","",'Tuesday Leagues'!$F147&amp;"")</f>
        <v/>
      </c>
      <c r="I1044">
        <f>IF('Tuesday Leagues'!$J147="","",'Tuesday Leagues'!$G147&amp;"")</f>
        <v/>
      </c>
      <c r="J1044">
        <f>IF('Tuesday Leagues'!$J147="","",'Tuesday Leagues'!$H147)</f>
        <v/>
      </c>
      <c r="K1044">
        <f>IF('Tuesday Leagues'!$J147="","",COUNTIFS('Tuesday Leagues'!$A$5:$A$154,'Tuesday Leagues'!$A147,'Tuesday Leagues'!$H$5:$H$154,'Tuesday Leagues'!$H147))</f>
        <v/>
      </c>
      <c r="L1044">
        <f>IF('Tuesday Leagues'!$J147="","","")</f>
        <v/>
      </c>
      <c r="M1044">
        <f>IF('Tuesday Leagues'!$J147="","",'Tuesday Leagues'!$I147)</f>
        <v/>
      </c>
      <c r="N1044">
        <f>IF('Tuesday Leagues'!$J147="","",'Tuesday Leagues'!$J147)</f>
        <v/>
      </c>
      <c r="O1044">
        <f>IF('Tuesday Leagues'!$J147="","",'Tuesday Leagues'!$J147)</f>
        <v/>
      </c>
      <c r="P1044">
        <f>IF('Tuesday Leagues'!$J147="","",'Tuesday Leagues'!$K147)</f>
        <v/>
      </c>
    </row>
    <row r="1045">
      <c r="A1045">
        <f>IF('Tuesday Leagues'!$J148="","","Tuesday Night League "&amp;'Tuesday Leagues'!$A148)</f>
        <v/>
      </c>
      <c r="B1045">
        <f>IF('Tuesday Leagues'!$J148="","","Tuesday Night League")</f>
        <v/>
      </c>
      <c r="C1045" s="18">
        <f>IF('Tuesday Leagues'!$J148="","",'Tuesday Leagues'!$B148)</f>
        <v/>
      </c>
      <c r="E1045">
        <f>IF('Tuesday Leagues'!$J148="","",'Tuesday Leagues'!$C148&amp;"")</f>
        <v/>
      </c>
      <c r="F1045">
        <f>IF('Tuesday Leagues'!$J148="","",'Tuesday Leagues'!$D148&amp;"")</f>
        <v/>
      </c>
      <c r="G1045">
        <f>IF('Tuesday Leagues'!$J148="","",'Tuesday Leagues'!$E148&amp;"")</f>
        <v/>
      </c>
      <c r="H1045">
        <f>IF('Tuesday Leagues'!$J148="","",'Tuesday Leagues'!$F148&amp;"")</f>
        <v/>
      </c>
      <c r="I1045">
        <f>IF('Tuesday Leagues'!$J148="","",'Tuesday Leagues'!$G148&amp;"")</f>
        <v/>
      </c>
      <c r="J1045">
        <f>IF('Tuesday Leagues'!$J148="","",'Tuesday Leagues'!$H148)</f>
        <v/>
      </c>
      <c r="K1045">
        <f>IF('Tuesday Leagues'!$J148="","",COUNTIFS('Tuesday Leagues'!$A$5:$A$154,'Tuesday Leagues'!$A148,'Tuesday Leagues'!$H$5:$H$154,'Tuesday Leagues'!$H148))</f>
        <v/>
      </c>
      <c r="L1045">
        <f>IF('Tuesday Leagues'!$J148="","","")</f>
        <v/>
      </c>
      <c r="M1045">
        <f>IF('Tuesday Leagues'!$J148="","",'Tuesday Leagues'!$I148)</f>
        <v/>
      </c>
      <c r="N1045">
        <f>IF('Tuesday Leagues'!$J148="","",'Tuesday Leagues'!$J148)</f>
        <v/>
      </c>
      <c r="O1045">
        <f>IF('Tuesday Leagues'!$J148="","",'Tuesday Leagues'!$J148)</f>
        <v/>
      </c>
      <c r="P1045">
        <f>IF('Tuesday Leagues'!$J148="","",'Tuesday Leagues'!$K148)</f>
        <v/>
      </c>
    </row>
    <row r="1046">
      <c r="A1046">
        <f>IF('Tuesday Leagues'!$J149="","","Tuesday Night League "&amp;'Tuesday Leagues'!$A149)</f>
        <v/>
      </c>
      <c r="B1046">
        <f>IF('Tuesday Leagues'!$J149="","","Tuesday Night League")</f>
        <v/>
      </c>
      <c r="C1046" s="18">
        <f>IF('Tuesday Leagues'!$J149="","",'Tuesday Leagues'!$B149)</f>
        <v/>
      </c>
      <c r="E1046">
        <f>IF('Tuesday Leagues'!$J149="","",'Tuesday Leagues'!$C149&amp;"")</f>
        <v/>
      </c>
      <c r="F1046">
        <f>IF('Tuesday Leagues'!$J149="","",'Tuesday Leagues'!$D149&amp;"")</f>
        <v/>
      </c>
      <c r="G1046">
        <f>IF('Tuesday Leagues'!$J149="","",'Tuesday Leagues'!$E149&amp;"")</f>
        <v/>
      </c>
      <c r="H1046">
        <f>IF('Tuesday Leagues'!$J149="","",'Tuesday Leagues'!$F149&amp;"")</f>
        <v/>
      </c>
      <c r="I1046">
        <f>IF('Tuesday Leagues'!$J149="","",'Tuesday Leagues'!$G149&amp;"")</f>
        <v/>
      </c>
      <c r="J1046">
        <f>IF('Tuesday Leagues'!$J149="","",'Tuesday Leagues'!$H149)</f>
        <v/>
      </c>
      <c r="K1046">
        <f>IF('Tuesday Leagues'!$J149="","",COUNTIFS('Tuesday Leagues'!$A$5:$A$154,'Tuesday Leagues'!$A149,'Tuesday Leagues'!$H$5:$H$154,'Tuesday Leagues'!$H149))</f>
        <v/>
      </c>
      <c r="L1046">
        <f>IF('Tuesday Leagues'!$J149="","","")</f>
        <v/>
      </c>
      <c r="M1046">
        <f>IF('Tuesday Leagues'!$J149="","",'Tuesday Leagues'!$I149)</f>
        <v/>
      </c>
      <c r="N1046">
        <f>IF('Tuesday Leagues'!$J149="","",'Tuesday Leagues'!$J149)</f>
        <v/>
      </c>
      <c r="O1046">
        <f>IF('Tuesday Leagues'!$J149="","",'Tuesday Leagues'!$J149)</f>
        <v/>
      </c>
      <c r="P1046">
        <f>IF('Tuesday Leagues'!$J149="","",'Tuesday Leagues'!$K149)</f>
        <v/>
      </c>
    </row>
    <row r="1047">
      <c r="A1047">
        <f>IF('Tuesday Leagues'!$J150="","","Tuesday Night League "&amp;'Tuesday Leagues'!$A150)</f>
        <v/>
      </c>
      <c r="B1047">
        <f>IF('Tuesday Leagues'!$J150="","","Tuesday Night League")</f>
        <v/>
      </c>
      <c r="C1047" s="18">
        <f>IF('Tuesday Leagues'!$J150="","",'Tuesday Leagues'!$B150)</f>
        <v/>
      </c>
      <c r="E1047">
        <f>IF('Tuesday Leagues'!$J150="","",'Tuesday Leagues'!$C150&amp;"")</f>
        <v/>
      </c>
      <c r="F1047">
        <f>IF('Tuesday Leagues'!$J150="","",'Tuesday Leagues'!$D150&amp;"")</f>
        <v/>
      </c>
      <c r="G1047">
        <f>IF('Tuesday Leagues'!$J150="","",'Tuesday Leagues'!$E150&amp;"")</f>
        <v/>
      </c>
      <c r="H1047">
        <f>IF('Tuesday Leagues'!$J150="","",'Tuesday Leagues'!$F150&amp;"")</f>
        <v/>
      </c>
      <c r="I1047">
        <f>IF('Tuesday Leagues'!$J150="","",'Tuesday Leagues'!$G150&amp;"")</f>
        <v/>
      </c>
      <c r="J1047">
        <f>IF('Tuesday Leagues'!$J150="","",'Tuesday Leagues'!$H150)</f>
        <v/>
      </c>
      <c r="K1047">
        <f>IF('Tuesday Leagues'!$J150="","",COUNTIFS('Tuesday Leagues'!$A$5:$A$154,'Tuesday Leagues'!$A150,'Tuesday Leagues'!$H$5:$H$154,'Tuesday Leagues'!$H150))</f>
        <v/>
      </c>
      <c r="L1047">
        <f>IF('Tuesday Leagues'!$J150="","","")</f>
        <v/>
      </c>
      <c r="M1047">
        <f>IF('Tuesday Leagues'!$J150="","",'Tuesday Leagues'!$I150)</f>
        <v/>
      </c>
      <c r="N1047">
        <f>IF('Tuesday Leagues'!$J150="","",'Tuesday Leagues'!$J150)</f>
        <v/>
      </c>
      <c r="O1047">
        <f>IF('Tuesday Leagues'!$J150="","",'Tuesday Leagues'!$J150)</f>
        <v/>
      </c>
      <c r="P1047">
        <f>IF('Tuesday Leagues'!$J150="","",'Tuesday Leagues'!$K150)</f>
        <v/>
      </c>
    </row>
    <row r="1048">
      <c r="A1048">
        <f>IF('Tuesday Leagues'!$J151="","","Tuesday Night League "&amp;'Tuesday Leagues'!$A151)</f>
        <v/>
      </c>
      <c r="B1048">
        <f>IF('Tuesday Leagues'!$J151="","","Tuesday Night League")</f>
        <v/>
      </c>
      <c r="C1048" s="18">
        <f>IF('Tuesday Leagues'!$J151="","",'Tuesday Leagues'!$B151)</f>
        <v/>
      </c>
      <c r="E1048">
        <f>IF('Tuesday Leagues'!$J151="","",'Tuesday Leagues'!$C151&amp;"")</f>
        <v/>
      </c>
      <c r="F1048">
        <f>IF('Tuesday Leagues'!$J151="","",'Tuesday Leagues'!$D151&amp;"")</f>
        <v/>
      </c>
      <c r="G1048">
        <f>IF('Tuesday Leagues'!$J151="","",'Tuesday Leagues'!$E151&amp;"")</f>
        <v/>
      </c>
      <c r="H1048">
        <f>IF('Tuesday Leagues'!$J151="","",'Tuesday Leagues'!$F151&amp;"")</f>
        <v/>
      </c>
      <c r="I1048">
        <f>IF('Tuesday Leagues'!$J151="","",'Tuesday Leagues'!$G151&amp;"")</f>
        <v/>
      </c>
      <c r="J1048">
        <f>IF('Tuesday Leagues'!$J151="","",'Tuesday Leagues'!$H151)</f>
        <v/>
      </c>
      <c r="K1048">
        <f>IF('Tuesday Leagues'!$J151="","",COUNTIFS('Tuesday Leagues'!$A$5:$A$154,'Tuesday Leagues'!$A151,'Tuesday Leagues'!$H$5:$H$154,'Tuesday Leagues'!$H151))</f>
        <v/>
      </c>
      <c r="L1048">
        <f>IF('Tuesday Leagues'!$J151="","","")</f>
        <v/>
      </c>
      <c r="M1048">
        <f>IF('Tuesday Leagues'!$J151="","",'Tuesday Leagues'!$I151)</f>
        <v/>
      </c>
      <c r="N1048">
        <f>IF('Tuesday Leagues'!$J151="","",'Tuesday Leagues'!$J151)</f>
        <v/>
      </c>
      <c r="O1048">
        <f>IF('Tuesday Leagues'!$J151="","",'Tuesday Leagues'!$J151)</f>
        <v/>
      </c>
      <c r="P1048">
        <f>IF('Tuesday Leagues'!$J151="","",'Tuesday Leagues'!$K151)</f>
        <v/>
      </c>
    </row>
    <row r="1049">
      <c r="A1049">
        <f>IF('Tuesday Leagues'!$J152="","","Tuesday Night League "&amp;'Tuesday Leagues'!$A152)</f>
        <v/>
      </c>
      <c r="B1049">
        <f>IF('Tuesday Leagues'!$J152="","","Tuesday Night League")</f>
        <v/>
      </c>
      <c r="C1049" s="18">
        <f>IF('Tuesday Leagues'!$J152="","",'Tuesday Leagues'!$B152)</f>
        <v/>
      </c>
      <c r="E1049">
        <f>IF('Tuesday Leagues'!$J152="","",'Tuesday Leagues'!$C152&amp;"")</f>
        <v/>
      </c>
      <c r="F1049">
        <f>IF('Tuesday Leagues'!$J152="","",'Tuesday Leagues'!$D152&amp;"")</f>
        <v/>
      </c>
      <c r="G1049">
        <f>IF('Tuesday Leagues'!$J152="","",'Tuesday Leagues'!$E152&amp;"")</f>
        <v/>
      </c>
      <c r="H1049">
        <f>IF('Tuesday Leagues'!$J152="","",'Tuesday Leagues'!$F152&amp;"")</f>
        <v/>
      </c>
      <c r="I1049">
        <f>IF('Tuesday Leagues'!$J152="","",'Tuesday Leagues'!$G152&amp;"")</f>
        <v/>
      </c>
      <c r="J1049">
        <f>IF('Tuesday Leagues'!$J152="","",'Tuesday Leagues'!$H152)</f>
        <v/>
      </c>
      <c r="K1049">
        <f>IF('Tuesday Leagues'!$J152="","",COUNTIFS('Tuesday Leagues'!$A$5:$A$154,'Tuesday Leagues'!$A152,'Tuesday Leagues'!$H$5:$H$154,'Tuesday Leagues'!$H152))</f>
        <v/>
      </c>
      <c r="L1049">
        <f>IF('Tuesday Leagues'!$J152="","","")</f>
        <v/>
      </c>
      <c r="M1049">
        <f>IF('Tuesday Leagues'!$J152="","",'Tuesday Leagues'!$I152)</f>
        <v/>
      </c>
      <c r="N1049">
        <f>IF('Tuesday Leagues'!$J152="","",'Tuesday Leagues'!$J152)</f>
        <v/>
      </c>
      <c r="O1049">
        <f>IF('Tuesday Leagues'!$J152="","",'Tuesday Leagues'!$J152)</f>
        <v/>
      </c>
      <c r="P1049">
        <f>IF('Tuesday Leagues'!$J152="","",'Tuesday Leagues'!$K152)</f>
        <v/>
      </c>
    </row>
    <row r="1050">
      <c r="A1050">
        <f>IF('Tuesday Leagues'!$J153="","","Tuesday Night League "&amp;'Tuesday Leagues'!$A153)</f>
        <v/>
      </c>
      <c r="B1050">
        <f>IF('Tuesday Leagues'!$J153="","","Tuesday Night League")</f>
        <v/>
      </c>
      <c r="C1050" s="18">
        <f>IF('Tuesday Leagues'!$J153="","",'Tuesday Leagues'!$B153)</f>
        <v/>
      </c>
      <c r="E1050">
        <f>IF('Tuesday Leagues'!$J153="","",'Tuesday Leagues'!$C153&amp;"")</f>
        <v/>
      </c>
      <c r="F1050">
        <f>IF('Tuesday Leagues'!$J153="","",'Tuesday Leagues'!$D153&amp;"")</f>
        <v/>
      </c>
      <c r="G1050">
        <f>IF('Tuesday Leagues'!$J153="","",'Tuesday Leagues'!$E153&amp;"")</f>
        <v/>
      </c>
      <c r="H1050">
        <f>IF('Tuesday Leagues'!$J153="","",'Tuesday Leagues'!$F153&amp;"")</f>
        <v/>
      </c>
      <c r="I1050">
        <f>IF('Tuesday Leagues'!$J153="","",'Tuesday Leagues'!$G153&amp;"")</f>
        <v/>
      </c>
      <c r="J1050">
        <f>IF('Tuesday Leagues'!$J153="","",'Tuesday Leagues'!$H153)</f>
        <v/>
      </c>
      <c r="K1050">
        <f>IF('Tuesday Leagues'!$J153="","",COUNTIFS('Tuesday Leagues'!$A$5:$A$154,'Tuesday Leagues'!$A153,'Tuesday Leagues'!$H$5:$H$154,'Tuesday Leagues'!$H153))</f>
        <v/>
      </c>
      <c r="L1050">
        <f>IF('Tuesday Leagues'!$J153="","","")</f>
        <v/>
      </c>
      <c r="M1050">
        <f>IF('Tuesday Leagues'!$J153="","",'Tuesday Leagues'!$I153)</f>
        <v/>
      </c>
      <c r="N1050">
        <f>IF('Tuesday Leagues'!$J153="","",'Tuesday Leagues'!$J153)</f>
        <v/>
      </c>
      <c r="O1050">
        <f>IF('Tuesday Leagues'!$J153="","",'Tuesday Leagues'!$J153)</f>
        <v/>
      </c>
      <c r="P1050">
        <f>IF('Tuesday Leagues'!$J153="","",'Tuesday Leagues'!$K153)</f>
        <v/>
      </c>
    </row>
    <row r="1051">
      <c r="A1051">
        <f>IF('Tuesday Leagues'!$J154="","","Tuesday Night League "&amp;'Tuesday Leagues'!$A154)</f>
        <v/>
      </c>
      <c r="B1051">
        <f>IF('Tuesday Leagues'!$J154="","","Tuesday Night League")</f>
        <v/>
      </c>
      <c r="C1051" s="18">
        <f>IF('Tuesday Leagues'!$J154="","",'Tuesday Leagues'!$B154)</f>
        <v/>
      </c>
      <c r="E1051">
        <f>IF('Tuesday Leagues'!$J154="","",'Tuesday Leagues'!$C154&amp;"")</f>
        <v/>
      </c>
      <c r="F1051">
        <f>IF('Tuesday Leagues'!$J154="","",'Tuesday Leagues'!$D154&amp;"")</f>
        <v/>
      </c>
      <c r="G1051">
        <f>IF('Tuesday Leagues'!$J154="","",'Tuesday Leagues'!$E154&amp;"")</f>
        <v/>
      </c>
      <c r="H1051">
        <f>IF('Tuesday Leagues'!$J154="","",'Tuesday Leagues'!$F154&amp;"")</f>
        <v/>
      </c>
      <c r="I1051">
        <f>IF('Tuesday Leagues'!$J154="","",'Tuesday Leagues'!$G154&amp;"")</f>
        <v/>
      </c>
      <c r="J1051">
        <f>IF('Tuesday Leagues'!$J154="","",'Tuesday Leagues'!$H154)</f>
        <v/>
      </c>
      <c r="K1051">
        <f>IF('Tuesday Leagues'!$J154="","",COUNTIFS('Tuesday Leagues'!$A$5:$A$154,'Tuesday Leagues'!$A154,'Tuesday Leagues'!$H$5:$H$154,'Tuesday Leagues'!$H154))</f>
        <v/>
      </c>
      <c r="L1051">
        <f>IF('Tuesday Leagues'!$J154="","","")</f>
        <v/>
      </c>
      <c r="M1051">
        <f>IF('Tuesday Leagues'!$J154="","",'Tuesday Leagues'!$I154)</f>
        <v/>
      </c>
      <c r="N1051">
        <f>IF('Tuesday Leagues'!$J154="","",'Tuesday Leagues'!$J154)</f>
        <v/>
      </c>
      <c r="O1051">
        <f>IF('Tuesday Leagues'!$J154="","",'Tuesday Leagues'!$J154)</f>
        <v/>
      </c>
      <c r="P1051">
        <f>IF('Tuesday Leagues'!$J154="","",'Tuesday Leagues'!$K154)</f>
        <v/>
      </c>
    </row>
    <row r="1052">
      <c r="A1052">
        <f>IF(OHW!$G5="","","OHW")</f>
        <v/>
      </c>
      <c r="B1052">
        <f>IF(OHW!$G5="","","OHW")</f>
        <v/>
      </c>
      <c r="C1052" s="18">
        <f>IF(OHW!$G5="","",OHW!$A5)</f>
        <v/>
      </c>
      <c r="F1052">
        <f>IF(OHW!$G5="","",OHW!$B5&amp;"")</f>
        <v/>
      </c>
      <c r="J1052">
        <f>IF(OHW!$G5="","",OHW!$E5)</f>
        <v/>
      </c>
      <c r="K1052">
        <f>IF(OHW!$G5="","",COUNTIFS(OHW!$A$5:$A$1668,OHW!$A5,OHW!$C$5:$C$1668,OHW!$C5))</f>
        <v/>
      </c>
      <c r="L1052">
        <f>IF(OHW!$G5="","",OHW!$D5&amp;"")</f>
        <v/>
      </c>
      <c r="M1052">
        <f>IF(OHW!$G5="","",OHW!$F5)</f>
        <v/>
      </c>
      <c r="N1052">
        <f>IF(OHW!$G5="","",OHW!$G5)</f>
        <v/>
      </c>
      <c r="O1052">
        <f>IF(OHW!$G5="","",OHW!$I5)</f>
        <v/>
      </c>
      <c r="P1052">
        <f>IF(OHW!$G5="","","Final")</f>
        <v/>
      </c>
    </row>
    <row r="1053">
      <c r="A1053">
        <f>IF(OHW!$G6="","","OHW")</f>
        <v/>
      </c>
      <c r="B1053">
        <f>IF(OHW!$G6="","","OHW")</f>
        <v/>
      </c>
      <c r="C1053" s="18">
        <f>IF(OHW!$G6="","",OHW!$A6)</f>
        <v/>
      </c>
      <c r="F1053">
        <f>IF(OHW!$G6="","",OHW!$B6&amp;"")</f>
        <v/>
      </c>
      <c r="J1053">
        <f>IF(OHW!$G6="","",OHW!$E6)</f>
        <v/>
      </c>
      <c r="K1053">
        <f>IF(OHW!$G6="","",COUNTIFS(OHW!$A$5:$A$1668,OHW!$A6,OHW!$C$5:$C$1668,OHW!$C6))</f>
        <v/>
      </c>
      <c r="L1053">
        <f>IF(OHW!$G6="","",OHW!$D6&amp;"")</f>
        <v/>
      </c>
      <c r="M1053">
        <f>IF(OHW!$G6="","",OHW!$F6)</f>
        <v/>
      </c>
      <c r="N1053">
        <f>IF(OHW!$G6="","",OHW!$G6)</f>
        <v/>
      </c>
      <c r="O1053">
        <f>IF(OHW!$G6="","",OHW!$I6)</f>
        <v/>
      </c>
      <c r="P1053">
        <f>IF(OHW!$G6="","","Final")</f>
        <v/>
      </c>
    </row>
    <row r="1054">
      <c r="A1054">
        <f>IF(OHW!$G7="","","OHW")</f>
        <v/>
      </c>
      <c r="B1054">
        <f>IF(OHW!$G7="","","OHW")</f>
        <v/>
      </c>
      <c r="C1054" s="18">
        <f>IF(OHW!$G7="","",OHW!$A7)</f>
        <v/>
      </c>
      <c r="F1054">
        <f>IF(OHW!$G7="","",OHW!$B7&amp;"")</f>
        <v/>
      </c>
      <c r="J1054">
        <f>IF(OHW!$G7="","",OHW!$E7)</f>
        <v/>
      </c>
      <c r="K1054">
        <f>IF(OHW!$G7="","",COUNTIFS(OHW!$A$5:$A$1668,OHW!$A7,OHW!$C$5:$C$1668,OHW!$C7))</f>
        <v/>
      </c>
      <c r="L1054">
        <f>IF(OHW!$G7="","",OHW!$D7&amp;"")</f>
        <v/>
      </c>
      <c r="M1054">
        <f>IF(OHW!$G7="","",OHW!$F7)</f>
        <v/>
      </c>
      <c r="N1054">
        <f>IF(OHW!$G7="","",OHW!$G7)</f>
        <v/>
      </c>
      <c r="O1054">
        <f>IF(OHW!$G7="","",OHW!$I7)</f>
        <v/>
      </c>
      <c r="P1054">
        <f>IF(OHW!$G7="","","Final")</f>
        <v/>
      </c>
    </row>
    <row r="1055">
      <c r="A1055">
        <f>IF(OHW!$G8="","","OHW")</f>
        <v/>
      </c>
      <c r="B1055">
        <f>IF(OHW!$G8="","","OHW")</f>
        <v/>
      </c>
      <c r="C1055" s="18">
        <f>IF(OHW!$G8="","",OHW!$A8)</f>
        <v/>
      </c>
      <c r="F1055">
        <f>IF(OHW!$G8="","",OHW!$B8&amp;"")</f>
        <v/>
      </c>
      <c r="J1055">
        <f>IF(OHW!$G8="","",OHW!$E8)</f>
        <v/>
      </c>
      <c r="K1055">
        <f>IF(OHW!$G8="","",COUNTIFS(OHW!$A$5:$A$1668,OHW!$A8,OHW!$C$5:$C$1668,OHW!$C8))</f>
        <v/>
      </c>
      <c r="L1055">
        <f>IF(OHW!$G8="","",OHW!$D8&amp;"")</f>
        <v/>
      </c>
      <c r="M1055">
        <f>IF(OHW!$G8="","",OHW!$F8)</f>
        <v/>
      </c>
      <c r="N1055">
        <f>IF(OHW!$G8="","",OHW!$G8)</f>
        <v/>
      </c>
      <c r="O1055">
        <f>IF(OHW!$G8="","",OHW!$I8)</f>
        <v/>
      </c>
      <c r="P1055">
        <f>IF(OHW!$G8="","","Final")</f>
        <v/>
      </c>
    </row>
    <row r="1056">
      <c r="A1056">
        <f>IF(OHW!$G9="","","OHW")</f>
        <v/>
      </c>
      <c r="B1056">
        <f>IF(OHW!$G9="","","OHW")</f>
        <v/>
      </c>
      <c r="C1056" s="18">
        <f>IF(OHW!$G9="","",OHW!$A9)</f>
        <v/>
      </c>
      <c r="F1056">
        <f>IF(OHW!$G9="","",OHW!$B9&amp;"")</f>
        <v/>
      </c>
      <c r="J1056">
        <f>IF(OHW!$G9="","",OHW!$E9)</f>
        <v/>
      </c>
      <c r="K1056">
        <f>IF(OHW!$G9="","",COUNTIFS(OHW!$A$5:$A$1668,OHW!$A9,OHW!$C$5:$C$1668,OHW!$C9))</f>
        <v/>
      </c>
      <c r="L1056">
        <f>IF(OHW!$G9="","",OHW!$D9&amp;"")</f>
        <v/>
      </c>
      <c r="M1056">
        <f>IF(OHW!$G9="","",OHW!$F9)</f>
        <v/>
      </c>
      <c r="N1056">
        <f>IF(OHW!$G9="","",OHW!$G9)</f>
        <v/>
      </c>
      <c r="O1056">
        <f>IF(OHW!$G9="","",OHW!$I9)</f>
        <v/>
      </c>
      <c r="P1056">
        <f>IF(OHW!$G9="","","Final")</f>
        <v/>
      </c>
    </row>
    <row r="1057">
      <c r="A1057">
        <f>IF(OHW!$G10="","","OHW")</f>
        <v/>
      </c>
      <c r="B1057">
        <f>IF(OHW!$G10="","","OHW")</f>
        <v/>
      </c>
      <c r="C1057" s="18">
        <f>IF(OHW!$G10="","",OHW!$A10)</f>
        <v/>
      </c>
      <c r="F1057">
        <f>IF(OHW!$G10="","",OHW!$B10&amp;"")</f>
        <v/>
      </c>
      <c r="J1057">
        <f>IF(OHW!$G10="","",OHW!$E10)</f>
        <v/>
      </c>
      <c r="K1057">
        <f>IF(OHW!$G10="","",COUNTIFS(OHW!$A$5:$A$1668,OHW!$A10,OHW!$C$5:$C$1668,OHW!$C10))</f>
        <v/>
      </c>
      <c r="L1057">
        <f>IF(OHW!$G10="","",OHW!$D10&amp;"")</f>
        <v/>
      </c>
      <c r="M1057">
        <f>IF(OHW!$G10="","",OHW!$F10)</f>
        <v/>
      </c>
      <c r="N1057">
        <f>IF(OHW!$G10="","",OHW!$G10)</f>
        <v/>
      </c>
      <c r="O1057">
        <f>IF(OHW!$G10="","",OHW!$I10)</f>
        <v/>
      </c>
      <c r="P1057">
        <f>IF(OHW!$G10="","","Final")</f>
        <v/>
      </c>
    </row>
    <row r="1058">
      <c r="A1058">
        <f>IF(OHW!$G11="","","OHW")</f>
        <v/>
      </c>
      <c r="B1058">
        <f>IF(OHW!$G11="","","OHW")</f>
        <v/>
      </c>
      <c r="C1058" s="18">
        <f>IF(OHW!$G11="","",OHW!$A11)</f>
        <v/>
      </c>
      <c r="F1058">
        <f>IF(OHW!$G11="","",OHW!$B11&amp;"")</f>
        <v/>
      </c>
      <c r="J1058">
        <f>IF(OHW!$G11="","",OHW!$E11)</f>
        <v/>
      </c>
      <c r="K1058">
        <f>IF(OHW!$G11="","",COUNTIFS(OHW!$A$5:$A$1668,OHW!$A11,OHW!$C$5:$C$1668,OHW!$C11))</f>
        <v/>
      </c>
      <c r="L1058">
        <f>IF(OHW!$G11="","",OHW!$D11&amp;"")</f>
        <v/>
      </c>
      <c r="M1058">
        <f>IF(OHW!$G11="","",OHW!$F11)</f>
        <v/>
      </c>
      <c r="N1058">
        <f>IF(OHW!$G11="","",OHW!$G11)</f>
        <v/>
      </c>
      <c r="O1058">
        <f>IF(OHW!$G11="","",OHW!$I11)</f>
        <v/>
      </c>
      <c r="P1058">
        <f>IF(OHW!$G11="","","Final")</f>
        <v/>
      </c>
    </row>
    <row r="1059">
      <c r="A1059">
        <f>IF(OHW!$G12="","","OHW")</f>
        <v/>
      </c>
      <c r="B1059">
        <f>IF(OHW!$G12="","","OHW")</f>
        <v/>
      </c>
      <c r="C1059" s="18">
        <f>IF(OHW!$G12="","",OHW!$A12)</f>
        <v/>
      </c>
      <c r="F1059">
        <f>IF(OHW!$G12="","",OHW!$B12&amp;"")</f>
        <v/>
      </c>
      <c r="J1059">
        <f>IF(OHW!$G12="","",OHW!$E12)</f>
        <v/>
      </c>
      <c r="K1059">
        <f>IF(OHW!$G12="","",COUNTIFS(OHW!$A$5:$A$1668,OHW!$A12,OHW!$C$5:$C$1668,OHW!$C12))</f>
        <v/>
      </c>
      <c r="L1059">
        <f>IF(OHW!$G12="","",OHW!$D12&amp;"")</f>
        <v/>
      </c>
      <c r="M1059">
        <f>IF(OHW!$G12="","",OHW!$F12)</f>
        <v/>
      </c>
      <c r="N1059">
        <f>IF(OHW!$G12="","",OHW!$G12)</f>
        <v/>
      </c>
      <c r="O1059">
        <f>IF(OHW!$G12="","",OHW!$I12)</f>
        <v/>
      </c>
      <c r="P1059">
        <f>IF(OHW!$G12="","","Final")</f>
        <v/>
      </c>
    </row>
    <row r="1060">
      <c r="A1060">
        <f>IF(OHW!$G13="","","OHW")</f>
        <v/>
      </c>
      <c r="B1060">
        <f>IF(OHW!$G13="","","OHW")</f>
        <v/>
      </c>
      <c r="C1060" s="18">
        <f>IF(OHW!$G13="","",OHW!$A13)</f>
        <v/>
      </c>
      <c r="F1060">
        <f>IF(OHW!$G13="","",OHW!$B13&amp;"")</f>
        <v/>
      </c>
      <c r="J1060">
        <f>IF(OHW!$G13="","",OHW!$E13)</f>
        <v/>
      </c>
      <c r="K1060">
        <f>IF(OHW!$G13="","",COUNTIFS(OHW!$A$5:$A$1668,OHW!$A13,OHW!$C$5:$C$1668,OHW!$C13))</f>
        <v/>
      </c>
      <c r="L1060">
        <f>IF(OHW!$G13="","",OHW!$D13&amp;"")</f>
        <v/>
      </c>
      <c r="M1060">
        <f>IF(OHW!$G13="","",OHW!$F13)</f>
        <v/>
      </c>
      <c r="N1060">
        <f>IF(OHW!$G13="","",OHW!$G13)</f>
        <v/>
      </c>
      <c r="O1060">
        <f>IF(OHW!$G13="","",OHW!$I13)</f>
        <v/>
      </c>
      <c r="P1060">
        <f>IF(OHW!$G13="","","Final")</f>
        <v/>
      </c>
    </row>
    <row r="1061">
      <c r="A1061">
        <f>IF(OHW!$G14="","","OHW")</f>
        <v/>
      </c>
      <c r="B1061">
        <f>IF(OHW!$G14="","","OHW")</f>
        <v/>
      </c>
      <c r="C1061" s="18">
        <f>IF(OHW!$G14="","",OHW!$A14)</f>
        <v/>
      </c>
      <c r="F1061">
        <f>IF(OHW!$G14="","",OHW!$B14&amp;"")</f>
        <v/>
      </c>
      <c r="J1061">
        <f>IF(OHW!$G14="","",OHW!$E14)</f>
        <v/>
      </c>
      <c r="K1061">
        <f>IF(OHW!$G14="","",COUNTIFS(OHW!$A$5:$A$1668,OHW!$A14,OHW!$C$5:$C$1668,OHW!$C14))</f>
        <v/>
      </c>
      <c r="L1061">
        <f>IF(OHW!$G14="","",OHW!$D14&amp;"")</f>
        <v/>
      </c>
      <c r="M1061">
        <f>IF(OHW!$G14="","",OHW!$F14)</f>
        <v/>
      </c>
      <c r="N1061">
        <f>IF(OHW!$G14="","",OHW!$G14)</f>
        <v/>
      </c>
      <c r="O1061">
        <f>IF(OHW!$G14="","",OHW!$I14)</f>
        <v/>
      </c>
      <c r="P1061">
        <f>IF(OHW!$G14="","","Final")</f>
        <v/>
      </c>
    </row>
    <row r="1062">
      <c r="A1062">
        <f>IF(OHW!$G15="","","OHW")</f>
        <v/>
      </c>
      <c r="B1062">
        <f>IF(OHW!$G15="","","OHW")</f>
        <v/>
      </c>
      <c r="C1062" s="18">
        <f>IF(OHW!$G15="","",OHW!$A15)</f>
        <v/>
      </c>
      <c r="F1062">
        <f>IF(OHW!$G15="","",OHW!$B15&amp;"")</f>
        <v/>
      </c>
      <c r="J1062">
        <f>IF(OHW!$G15="","",OHW!$E15)</f>
        <v/>
      </c>
      <c r="K1062">
        <f>IF(OHW!$G15="","",COUNTIFS(OHW!$A$5:$A$1668,OHW!$A15,OHW!$C$5:$C$1668,OHW!$C15))</f>
        <v/>
      </c>
      <c r="L1062">
        <f>IF(OHW!$G15="","",OHW!$D15&amp;"")</f>
        <v/>
      </c>
      <c r="M1062">
        <f>IF(OHW!$G15="","",OHW!$F15)</f>
        <v/>
      </c>
      <c r="N1062">
        <f>IF(OHW!$G15="","",OHW!$G15)</f>
        <v/>
      </c>
      <c r="O1062">
        <f>IF(OHW!$G15="","",OHW!$I15)</f>
        <v/>
      </c>
      <c r="P1062">
        <f>IF(OHW!$G15="","","Final")</f>
        <v/>
      </c>
    </row>
    <row r="1063">
      <c r="A1063">
        <f>IF(OHW!$G16="","","OHW")</f>
        <v/>
      </c>
      <c r="B1063">
        <f>IF(OHW!$G16="","","OHW")</f>
        <v/>
      </c>
      <c r="C1063" s="18">
        <f>IF(OHW!$G16="","",OHW!$A16)</f>
        <v/>
      </c>
      <c r="F1063">
        <f>IF(OHW!$G16="","",OHW!$B16&amp;"")</f>
        <v/>
      </c>
      <c r="J1063">
        <f>IF(OHW!$G16="","",OHW!$E16)</f>
        <v/>
      </c>
      <c r="K1063">
        <f>IF(OHW!$G16="","",COUNTIFS(OHW!$A$5:$A$1668,OHW!$A16,OHW!$C$5:$C$1668,OHW!$C16))</f>
        <v/>
      </c>
      <c r="L1063">
        <f>IF(OHW!$G16="","",OHW!$D16&amp;"")</f>
        <v/>
      </c>
      <c r="M1063">
        <f>IF(OHW!$G16="","",OHW!$F16)</f>
        <v/>
      </c>
      <c r="N1063">
        <f>IF(OHW!$G16="","",OHW!$G16)</f>
        <v/>
      </c>
      <c r="O1063">
        <f>IF(OHW!$G16="","",OHW!$I16)</f>
        <v/>
      </c>
      <c r="P1063">
        <f>IF(OHW!$G16="","","Final")</f>
        <v/>
      </c>
    </row>
    <row r="1064">
      <c r="A1064">
        <f>IF(OHW!$G17="","","OHW")</f>
        <v/>
      </c>
      <c r="B1064">
        <f>IF(OHW!$G17="","","OHW")</f>
        <v/>
      </c>
      <c r="C1064" s="18">
        <f>IF(OHW!$G17="","",OHW!$A17)</f>
        <v/>
      </c>
      <c r="F1064">
        <f>IF(OHW!$G17="","",OHW!$B17&amp;"")</f>
        <v/>
      </c>
      <c r="J1064">
        <f>IF(OHW!$G17="","",OHW!$E17)</f>
        <v/>
      </c>
      <c r="K1064">
        <f>IF(OHW!$G17="","",COUNTIFS(OHW!$A$5:$A$1668,OHW!$A17,OHW!$C$5:$C$1668,OHW!$C17))</f>
        <v/>
      </c>
      <c r="L1064">
        <f>IF(OHW!$G17="","",OHW!$D17&amp;"")</f>
        <v/>
      </c>
      <c r="M1064">
        <f>IF(OHW!$G17="","",OHW!$F17)</f>
        <v/>
      </c>
      <c r="N1064">
        <f>IF(OHW!$G17="","",OHW!$G17)</f>
        <v/>
      </c>
      <c r="O1064">
        <f>IF(OHW!$G17="","",OHW!$I17)</f>
        <v/>
      </c>
      <c r="P1064">
        <f>IF(OHW!$G17="","","Final")</f>
        <v/>
      </c>
    </row>
    <row r="1065">
      <c r="A1065">
        <f>IF(OHW!$G18="","","OHW")</f>
        <v/>
      </c>
      <c r="B1065">
        <f>IF(OHW!$G18="","","OHW")</f>
        <v/>
      </c>
      <c r="C1065" s="18">
        <f>IF(OHW!$G18="","",OHW!$A18)</f>
        <v/>
      </c>
      <c r="F1065">
        <f>IF(OHW!$G18="","",OHW!$B18&amp;"")</f>
        <v/>
      </c>
      <c r="J1065">
        <f>IF(OHW!$G18="","",OHW!$E18)</f>
        <v/>
      </c>
      <c r="K1065">
        <f>IF(OHW!$G18="","",COUNTIFS(OHW!$A$5:$A$1668,OHW!$A18,OHW!$C$5:$C$1668,OHW!$C18))</f>
        <v/>
      </c>
      <c r="L1065">
        <f>IF(OHW!$G18="","",OHW!$D18&amp;"")</f>
        <v/>
      </c>
      <c r="M1065">
        <f>IF(OHW!$G18="","",OHW!$F18)</f>
        <v/>
      </c>
      <c r="N1065">
        <f>IF(OHW!$G18="","",OHW!$G18)</f>
        <v/>
      </c>
      <c r="O1065">
        <f>IF(OHW!$G18="","",OHW!$I18)</f>
        <v/>
      </c>
      <c r="P1065">
        <f>IF(OHW!$G18="","","Final")</f>
        <v/>
      </c>
    </row>
    <row r="1066">
      <c r="A1066">
        <f>IF(OHW!$G19="","","OHW")</f>
        <v/>
      </c>
      <c r="B1066">
        <f>IF(OHW!$G19="","","OHW")</f>
        <v/>
      </c>
      <c r="C1066" s="18">
        <f>IF(OHW!$G19="","",OHW!$A19)</f>
        <v/>
      </c>
      <c r="F1066">
        <f>IF(OHW!$G19="","",OHW!$B19&amp;"")</f>
        <v/>
      </c>
      <c r="J1066">
        <f>IF(OHW!$G19="","",OHW!$E19)</f>
        <v/>
      </c>
      <c r="K1066">
        <f>IF(OHW!$G19="","",COUNTIFS(OHW!$A$5:$A$1668,OHW!$A19,OHW!$C$5:$C$1668,OHW!$C19))</f>
        <v/>
      </c>
      <c r="L1066">
        <f>IF(OHW!$G19="","",OHW!$D19&amp;"")</f>
        <v/>
      </c>
      <c r="M1066">
        <f>IF(OHW!$G19="","",OHW!$F19)</f>
        <v/>
      </c>
      <c r="N1066">
        <f>IF(OHW!$G19="","",OHW!$G19)</f>
        <v/>
      </c>
      <c r="O1066">
        <f>IF(OHW!$G19="","",OHW!$I19)</f>
        <v/>
      </c>
      <c r="P1066">
        <f>IF(OHW!$G19="","","Final")</f>
        <v/>
      </c>
    </row>
    <row r="1067">
      <c r="A1067">
        <f>IF(OHW!$G20="","","OHW")</f>
        <v/>
      </c>
      <c r="B1067">
        <f>IF(OHW!$G20="","","OHW")</f>
        <v/>
      </c>
      <c r="C1067" s="18">
        <f>IF(OHW!$G20="","",OHW!$A20)</f>
        <v/>
      </c>
      <c r="F1067">
        <f>IF(OHW!$G20="","",OHW!$B20&amp;"")</f>
        <v/>
      </c>
      <c r="J1067">
        <f>IF(OHW!$G20="","",OHW!$E20)</f>
        <v/>
      </c>
      <c r="K1067">
        <f>IF(OHW!$G20="","",COUNTIFS(OHW!$A$5:$A$1668,OHW!$A20,OHW!$C$5:$C$1668,OHW!$C20))</f>
        <v/>
      </c>
      <c r="L1067">
        <f>IF(OHW!$G20="","",OHW!$D20&amp;"")</f>
        <v/>
      </c>
      <c r="M1067">
        <f>IF(OHW!$G20="","",OHW!$F20)</f>
        <v/>
      </c>
      <c r="N1067">
        <f>IF(OHW!$G20="","",OHW!$G20)</f>
        <v/>
      </c>
      <c r="O1067">
        <f>IF(OHW!$G20="","",OHW!$I20)</f>
        <v/>
      </c>
      <c r="P1067">
        <f>IF(OHW!$G20="","","Final")</f>
        <v/>
      </c>
    </row>
    <row r="1068">
      <c r="A1068">
        <f>IF(OHW!$G21="","","OHW")</f>
        <v/>
      </c>
      <c r="B1068">
        <f>IF(OHW!$G21="","","OHW")</f>
        <v/>
      </c>
      <c r="C1068" s="18">
        <f>IF(OHW!$G21="","",OHW!$A21)</f>
        <v/>
      </c>
      <c r="F1068">
        <f>IF(OHW!$G21="","",OHW!$B21&amp;"")</f>
        <v/>
      </c>
      <c r="J1068">
        <f>IF(OHW!$G21="","",OHW!$E21)</f>
        <v/>
      </c>
      <c r="K1068">
        <f>IF(OHW!$G21="","",COUNTIFS(OHW!$A$5:$A$1668,OHW!$A21,OHW!$C$5:$C$1668,OHW!$C21))</f>
        <v/>
      </c>
      <c r="L1068">
        <f>IF(OHW!$G21="","",OHW!$D21&amp;"")</f>
        <v/>
      </c>
      <c r="M1068">
        <f>IF(OHW!$G21="","",OHW!$F21)</f>
        <v/>
      </c>
      <c r="N1068">
        <f>IF(OHW!$G21="","",OHW!$G21)</f>
        <v/>
      </c>
      <c r="O1068">
        <f>IF(OHW!$G21="","",OHW!$I21)</f>
        <v/>
      </c>
      <c r="P1068">
        <f>IF(OHW!$G21="","","Final")</f>
        <v/>
      </c>
    </row>
    <row r="1069">
      <c r="A1069">
        <f>IF(OHW!$G22="","","OHW")</f>
        <v/>
      </c>
      <c r="B1069">
        <f>IF(OHW!$G22="","","OHW")</f>
        <v/>
      </c>
      <c r="C1069" s="18">
        <f>IF(OHW!$G22="","",OHW!$A22)</f>
        <v/>
      </c>
      <c r="F1069">
        <f>IF(OHW!$G22="","",OHW!$B22&amp;"")</f>
        <v/>
      </c>
      <c r="J1069">
        <f>IF(OHW!$G22="","",OHW!$E22)</f>
        <v/>
      </c>
      <c r="K1069">
        <f>IF(OHW!$G22="","",COUNTIFS(OHW!$A$5:$A$1668,OHW!$A22,OHW!$C$5:$C$1668,OHW!$C22))</f>
        <v/>
      </c>
      <c r="L1069">
        <f>IF(OHW!$G22="","",OHW!$D22&amp;"")</f>
        <v/>
      </c>
      <c r="M1069">
        <f>IF(OHW!$G22="","",OHW!$F22)</f>
        <v/>
      </c>
      <c r="N1069">
        <f>IF(OHW!$G22="","",OHW!$G22)</f>
        <v/>
      </c>
      <c r="O1069">
        <f>IF(OHW!$G22="","",OHW!$I22)</f>
        <v/>
      </c>
      <c r="P1069">
        <f>IF(OHW!$G22="","","Final")</f>
        <v/>
      </c>
    </row>
    <row r="1070">
      <c r="A1070">
        <f>IF(OHW!$G23="","","OHW")</f>
        <v/>
      </c>
      <c r="B1070">
        <f>IF(OHW!$G23="","","OHW")</f>
        <v/>
      </c>
      <c r="C1070" s="18">
        <f>IF(OHW!$G23="","",OHW!$A23)</f>
        <v/>
      </c>
      <c r="F1070">
        <f>IF(OHW!$G23="","",OHW!$B23&amp;"")</f>
        <v/>
      </c>
      <c r="J1070">
        <f>IF(OHW!$G23="","",OHW!$E23)</f>
        <v/>
      </c>
      <c r="K1070">
        <f>IF(OHW!$G23="","",COUNTIFS(OHW!$A$5:$A$1668,OHW!$A23,OHW!$C$5:$C$1668,OHW!$C23))</f>
        <v/>
      </c>
      <c r="L1070">
        <f>IF(OHW!$G23="","",OHW!$D23&amp;"")</f>
        <v/>
      </c>
      <c r="M1070">
        <f>IF(OHW!$G23="","",OHW!$F23)</f>
        <v/>
      </c>
      <c r="N1070">
        <f>IF(OHW!$G23="","",OHW!$G23)</f>
        <v/>
      </c>
      <c r="O1070">
        <f>IF(OHW!$G23="","",OHW!$I23)</f>
        <v/>
      </c>
      <c r="P1070">
        <f>IF(OHW!$G23="","","Final")</f>
        <v/>
      </c>
    </row>
    <row r="1071">
      <c r="A1071">
        <f>IF(OHW!$G24="","","OHW")</f>
        <v/>
      </c>
      <c r="B1071">
        <f>IF(OHW!$G24="","","OHW")</f>
        <v/>
      </c>
      <c r="C1071" s="18">
        <f>IF(OHW!$G24="","",OHW!$A24)</f>
        <v/>
      </c>
      <c r="F1071">
        <f>IF(OHW!$G24="","",OHW!$B24&amp;"")</f>
        <v/>
      </c>
      <c r="J1071">
        <f>IF(OHW!$G24="","",OHW!$E24)</f>
        <v/>
      </c>
      <c r="K1071">
        <f>IF(OHW!$G24="","",COUNTIFS(OHW!$A$5:$A$1668,OHW!$A24,OHW!$C$5:$C$1668,OHW!$C24))</f>
        <v/>
      </c>
      <c r="L1071">
        <f>IF(OHW!$G24="","",OHW!$D24&amp;"")</f>
        <v/>
      </c>
      <c r="M1071">
        <f>IF(OHW!$G24="","",OHW!$F24)</f>
        <v/>
      </c>
      <c r="N1071">
        <f>IF(OHW!$G24="","",OHW!$G24)</f>
        <v/>
      </c>
      <c r="O1071">
        <f>IF(OHW!$G24="","",OHW!$I24)</f>
        <v/>
      </c>
      <c r="P1071">
        <f>IF(OHW!$G24="","","Final")</f>
        <v/>
      </c>
    </row>
    <row r="1072">
      <c r="A1072">
        <f>IF(OHW!$G25="","","OHW")</f>
        <v/>
      </c>
      <c r="B1072">
        <f>IF(OHW!$G25="","","OHW")</f>
        <v/>
      </c>
      <c r="C1072" s="18">
        <f>IF(OHW!$G25="","",OHW!$A25)</f>
        <v/>
      </c>
      <c r="F1072">
        <f>IF(OHW!$G25="","",OHW!$B25&amp;"")</f>
        <v/>
      </c>
      <c r="J1072">
        <f>IF(OHW!$G25="","",OHW!$E25)</f>
        <v/>
      </c>
      <c r="K1072">
        <f>IF(OHW!$G25="","",COUNTIFS(OHW!$A$5:$A$1668,OHW!$A25,OHW!$C$5:$C$1668,OHW!$C25))</f>
        <v/>
      </c>
      <c r="L1072">
        <f>IF(OHW!$G25="","",OHW!$D25&amp;"")</f>
        <v/>
      </c>
      <c r="M1072">
        <f>IF(OHW!$G25="","",OHW!$F25)</f>
        <v/>
      </c>
      <c r="N1072">
        <f>IF(OHW!$G25="","",OHW!$G25)</f>
        <v/>
      </c>
      <c r="O1072">
        <f>IF(OHW!$G25="","",OHW!$I25)</f>
        <v/>
      </c>
      <c r="P1072">
        <f>IF(OHW!$G25="","","Final")</f>
        <v/>
      </c>
    </row>
    <row r="1073">
      <c r="A1073">
        <f>IF(OHW!$G26="","","OHW")</f>
        <v/>
      </c>
      <c r="B1073">
        <f>IF(OHW!$G26="","","OHW")</f>
        <v/>
      </c>
      <c r="C1073" s="18">
        <f>IF(OHW!$G26="","",OHW!$A26)</f>
        <v/>
      </c>
      <c r="F1073">
        <f>IF(OHW!$G26="","",OHW!$B26&amp;"")</f>
        <v/>
      </c>
      <c r="J1073">
        <f>IF(OHW!$G26="","",OHW!$E26)</f>
        <v/>
      </c>
      <c r="K1073">
        <f>IF(OHW!$G26="","",COUNTIFS(OHW!$A$5:$A$1668,OHW!$A26,OHW!$C$5:$C$1668,OHW!$C26))</f>
        <v/>
      </c>
      <c r="L1073">
        <f>IF(OHW!$G26="","",OHW!$D26&amp;"")</f>
        <v/>
      </c>
      <c r="M1073">
        <f>IF(OHW!$G26="","",OHW!$F26)</f>
        <v/>
      </c>
      <c r="N1073">
        <f>IF(OHW!$G26="","",OHW!$G26)</f>
        <v/>
      </c>
      <c r="O1073">
        <f>IF(OHW!$G26="","",OHW!$I26)</f>
        <v/>
      </c>
      <c r="P1073">
        <f>IF(OHW!$G26="","","Final")</f>
        <v/>
      </c>
    </row>
    <row r="1074">
      <c r="A1074">
        <f>IF(OHW!$G27="","","OHW")</f>
        <v/>
      </c>
      <c r="B1074">
        <f>IF(OHW!$G27="","","OHW")</f>
        <v/>
      </c>
      <c r="C1074" s="18">
        <f>IF(OHW!$G27="","",OHW!$A27)</f>
        <v/>
      </c>
      <c r="F1074">
        <f>IF(OHW!$G27="","",OHW!$B27&amp;"")</f>
        <v/>
      </c>
      <c r="J1074">
        <f>IF(OHW!$G27="","",OHW!$E27)</f>
        <v/>
      </c>
      <c r="K1074">
        <f>IF(OHW!$G27="","",COUNTIFS(OHW!$A$5:$A$1668,OHW!$A27,OHW!$C$5:$C$1668,OHW!$C27))</f>
        <v/>
      </c>
      <c r="L1074">
        <f>IF(OHW!$G27="","",OHW!$D27&amp;"")</f>
        <v/>
      </c>
      <c r="M1074">
        <f>IF(OHW!$G27="","",OHW!$F27)</f>
        <v/>
      </c>
      <c r="N1074">
        <f>IF(OHW!$G27="","",OHW!$G27)</f>
        <v/>
      </c>
      <c r="O1074">
        <f>IF(OHW!$G27="","",OHW!$I27)</f>
        <v/>
      </c>
      <c r="P1074">
        <f>IF(OHW!$G27="","","Final")</f>
        <v/>
      </c>
    </row>
    <row r="1075">
      <c r="A1075">
        <f>IF(OHW!$G28="","","OHW")</f>
        <v/>
      </c>
      <c r="B1075">
        <f>IF(OHW!$G28="","","OHW")</f>
        <v/>
      </c>
      <c r="C1075" s="18">
        <f>IF(OHW!$G28="","",OHW!$A28)</f>
        <v/>
      </c>
      <c r="F1075">
        <f>IF(OHW!$G28="","",OHW!$B28&amp;"")</f>
        <v/>
      </c>
      <c r="J1075">
        <f>IF(OHW!$G28="","",OHW!$E28)</f>
        <v/>
      </c>
      <c r="K1075">
        <f>IF(OHW!$G28="","",COUNTIFS(OHW!$A$5:$A$1668,OHW!$A28,OHW!$C$5:$C$1668,OHW!$C28))</f>
        <v/>
      </c>
      <c r="L1075">
        <f>IF(OHW!$G28="","",OHW!$D28&amp;"")</f>
        <v/>
      </c>
      <c r="M1075">
        <f>IF(OHW!$G28="","",OHW!$F28)</f>
        <v/>
      </c>
      <c r="N1075">
        <f>IF(OHW!$G28="","",OHW!$G28)</f>
        <v/>
      </c>
      <c r="O1075">
        <f>IF(OHW!$G28="","",OHW!$I28)</f>
        <v/>
      </c>
      <c r="P1075">
        <f>IF(OHW!$G28="","","Final")</f>
        <v/>
      </c>
    </row>
    <row r="1076">
      <c r="A1076">
        <f>IF(OHW!$G29="","","OHW")</f>
        <v/>
      </c>
      <c r="B1076">
        <f>IF(OHW!$G29="","","OHW")</f>
        <v/>
      </c>
      <c r="C1076" s="18">
        <f>IF(OHW!$G29="","",OHW!$A29)</f>
        <v/>
      </c>
      <c r="F1076">
        <f>IF(OHW!$G29="","",OHW!$B29&amp;"")</f>
        <v/>
      </c>
      <c r="J1076">
        <f>IF(OHW!$G29="","",OHW!$E29)</f>
        <v/>
      </c>
      <c r="K1076">
        <f>IF(OHW!$G29="","",COUNTIFS(OHW!$A$5:$A$1668,OHW!$A29,OHW!$C$5:$C$1668,OHW!$C29))</f>
        <v/>
      </c>
      <c r="L1076">
        <f>IF(OHW!$G29="","",OHW!$D29&amp;"")</f>
        <v/>
      </c>
      <c r="M1076">
        <f>IF(OHW!$G29="","",OHW!$F29)</f>
        <v/>
      </c>
      <c r="N1076">
        <f>IF(OHW!$G29="","",OHW!$G29)</f>
        <v/>
      </c>
      <c r="O1076">
        <f>IF(OHW!$G29="","",OHW!$I29)</f>
        <v/>
      </c>
      <c r="P1076">
        <f>IF(OHW!$G29="","","Final")</f>
        <v/>
      </c>
    </row>
    <row r="1077">
      <c r="A1077">
        <f>IF(OHW!$G30="","","OHW")</f>
        <v/>
      </c>
      <c r="B1077">
        <f>IF(OHW!$G30="","","OHW")</f>
        <v/>
      </c>
      <c r="C1077" s="18">
        <f>IF(OHW!$G30="","",OHW!$A30)</f>
        <v/>
      </c>
      <c r="F1077">
        <f>IF(OHW!$G30="","",OHW!$B30&amp;"")</f>
        <v/>
      </c>
      <c r="J1077">
        <f>IF(OHW!$G30="","",OHW!$E30)</f>
        <v/>
      </c>
      <c r="K1077">
        <f>IF(OHW!$G30="","",COUNTIFS(OHW!$A$5:$A$1668,OHW!$A30,OHW!$C$5:$C$1668,OHW!$C30))</f>
        <v/>
      </c>
      <c r="L1077">
        <f>IF(OHW!$G30="","",OHW!$D30&amp;"")</f>
        <v/>
      </c>
      <c r="M1077">
        <f>IF(OHW!$G30="","",OHW!$F30)</f>
        <v/>
      </c>
      <c r="N1077">
        <f>IF(OHW!$G30="","",OHW!$G30)</f>
        <v/>
      </c>
      <c r="O1077">
        <f>IF(OHW!$G30="","",OHW!$I30)</f>
        <v/>
      </c>
      <c r="P1077">
        <f>IF(OHW!$G30="","","Final")</f>
        <v/>
      </c>
    </row>
    <row r="1078">
      <c r="A1078">
        <f>IF(OHW!$G31="","","OHW")</f>
        <v/>
      </c>
      <c r="B1078">
        <f>IF(OHW!$G31="","","OHW")</f>
        <v/>
      </c>
      <c r="C1078" s="18">
        <f>IF(OHW!$G31="","",OHW!$A31)</f>
        <v/>
      </c>
      <c r="F1078">
        <f>IF(OHW!$G31="","",OHW!$B31&amp;"")</f>
        <v/>
      </c>
      <c r="J1078">
        <f>IF(OHW!$G31="","",OHW!$E31)</f>
        <v/>
      </c>
      <c r="K1078">
        <f>IF(OHW!$G31="","",COUNTIFS(OHW!$A$5:$A$1668,OHW!$A31,OHW!$C$5:$C$1668,OHW!$C31))</f>
        <v/>
      </c>
      <c r="L1078">
        <f>IF(OHW!$G31="","",OHW!$D31&amp;"")</f>
        <v/>
      </c>
      <c r="M1078">
        <f>IF(OHW!$G31="","",OHW!$F31)</f>
        <v/>
      </c>
      <c r="N1078">
        <f>IF(OHW!$G31="","",OHW!$G31)</f>
        <v/>
      </c>
      <c r="O1078">
        <f>IF(OHW!$G31="","",OHW!$I31)</f>
        <v/>
      </c>
      <c r="P1078">
        <f>IF(OHW!$G31="","","Final")</f>
        <v/>
      </c>
    </row>
    <row r="1079">
      <c r="A1079">
        <f>IF(OHW!$G32="","","OHW")</f>
        <v/>
      </c>
      <c r="B1079">
        <f>IF(OHW!$G32="","","OHW")</f>
        <v/>
      </c>
      <c r="C1079" s="18">
        <f>IF(OHW!$G32="","",OHW!$A32)</f>
        <v/>
      </c>
      <c r="F1079">
        <f>IF(OHW!$G32="","",OHW!$B32&amp;"")</f>
        <v/>
      </c>
      <c r="J1079">
        <f>IF(OHW!$G32="","",OHW!$E32)</f>
        <v/>
      </c>
      <c r="K1079">
        <f>IF(OHW!$G32="","",COUNTIFS(OHW!$A$5:$A$1668,OHW!$A32,OHW!$C$5:$C$1668,OHW!$C32))</f>
        <v/>
      </c>
      <c r="L1079">
        <f>IF(OHW!$G32="","",OHW!$D32&amp;"")</f>
        <v/>
      </c>
      <c r="M1079">
        <f>IF(OHW!$G32="","",OHW!$F32)</f>
        <v/>
      </c>
      <c r="N1079">
        <f>IF(OHW!$G32="","",OHW!$G32)</f>
        <v/>
      </c>
      <c r="O1079">
        <f>IF(OHW!$G32="","",OHW!$I32)</f>
        <v/>
      </c>
      <c r="P1079">
        <f>IF(OHW!$G32="","","Final")</f>
        <v/>
      </c>
    </row>
    <row r="1080">
      <c r="A1080">
        <f>IF(OHW!$G33="","","OHW")</f>
        <v/>
      </c>
      <c r="B1080">
        <f>IF(OHW!$G33="","","OHW")</f>
        <v/>
      </c>
      <c r="C1080" s="18">
        <f>IF(OHW!$G33="","",OHW!$A33)</f>
        <v/>
      </c>
      <c r="F1080">
        <f>IF(OHW!$G33="","",OHW!$B33&amp;"")</f>
        <v/>
      </c>
      <c r="J1080">
        <f>IF(OHW!$G33="","",OHW!$E33)</f>
        <v/>
      </c>
      <c r="K1080">
        <f>IF(OHW!$G33="","",COUNTIFS(OHW!$A$5:$A$1668,OHW!$A33,OHW!$C$5:$C$1668,OHW!$C33))</f>
        <v/>
      </c>
      <c r="L1080">
        <f>IF(OHW!$G33="","",OHW!$D33&amp;"")</f>
        <v/>
      </c>
      <c r="M1080">
        <f>IF(OHW!$G33="","",OHW!$F33)</f>
        <v/>
      </c>
      <c r="N1080">
        <f>IF(OHW!$G33="","",OHW!$G33)</f>
        <v/>
      </c>
      <c r="O1080">
        <f>IF(OHW!$G33="","",OHW!$I33)</f>
        <v/>
      </c>
      <c r="P1080">
        <f>IF(OHW!$G33="","","Final")</f>
        <v/>
      </c>
    </row>
    <row r="1081">
      <c r="A1081">
        <f>IF(OHW!$G34="","","OHW")</f>
        <v/>
      </c>
      <c r="B1081">
        <f>IF(OHW!$G34="","","OHW")</f>
        <v/>
      </c>
      <c r="C1081" s="18">
        <f>IF(OHW!$G34="","",OHW!$A34)</f>
        <v/>
      </c>
      <c r="F1081">
        <f>IF(OHW!$G34="","",OHW!$B34&amp;"")</f>
        <v/>
      </c>
      <c r="J1081">
        <f>IF(OHW!$G34="","",OHW!$E34)</f>
        <v/>
      </c>
      <c r="K1081">
        <f>IF(OHW!$G34="","",COUNTIFS(OHW!$A$5:$A$1668,OHW!$A34,OHW!$C$5:$C$1668,OHW!$C34))</f>
        <v/>
      </c>
      <c r="L1081">
        <f>IF(OHW!$G34="","",OHW!$D34&amp;"")</f>
        <v/>
      </c>
      <c r="M1081">
        <f>IF(OHW!$G34="","",OHW!$F34)</f>
        <v/>
      </c>
      <c r="N1081">
        <f>IF(OHW!$G34="","",OHW!$G34)</f>
        <v/>
      </c>
      <c r="O1081">
        <f>IF(OHW!$G34="","",OHW!$I34)</f>
        <v/>
      </c>
      <c r="P1081">
        <f>IF(OHW!$G34="","","Final")</f>
        <v/>
      </c>
    </row>
    <row r="1082">
      <c r="A1082">
        <f>IF(OHW!$G35="","","OHW")</f>
        <v/>
      </c>
      <c r="B1082">
        <f>IF(OHW!$G35="","","OHW")</f>
        <v/>
      </c>
      <c r="C1082" s="18">
        <f>IF(OHW!$G35="","",OHW!$A35)</f>
        <v/>
      </c>
      <c r="F1082">
        <f>IF(OHW!$G35="","",OHW!$B35&amp;"")</f>
        <v/>
      </c>
      <c r="J1082">
        <f>IF(OHW!$G35="","",OHW!$E35)</f>
        <v/>
      </c>
      <c r="K1082">
        <f>IF(OHW!$G35="","",COUNTIFS(OHW!$A$5:$A$1668,OHW!$A35,OHW!$C$5:$C$1668,OHW!$C35))</f>
        <v/>
      </c>
      <c r="L1082">
        <f>IF(OHW!$G35="","",OHW!$D35&amp;"")</f>
        <v/>
      </c>
      <c r="M1082">
        <f>IF(OHW!$G35="","",OHW!$F35)</f>
        <v/>
      </c>
      <c r="N1082">
        <f>IF(OHW!$G35="","",OHW!$G35)</f>
        <v/>
      </c>
      <c r="O1082">
        <f>IF(OHW!$G35="","",OHW!$I35)</f>
        <v/>
      </c>
      <c r="P1082">
        <f>IF(OHW!$G35="","","Final")</f>
        <v/>
      </c>
    </row>
    <row r="1083">
      <c r="A1083">
        <f>IF(OHW!$G36="","","OHW")</f>
        <v/>
      </c>
      <c r="B1083">
        <f>IF(OHW!$G36="","","OHW")</f>
        <v/>
      </c>
      <c r="C1083" s="18">
        <f>IF(OHW!$G36="","",OHW!$A36)</f>
        <v/>
      </c>
      <c r="F1083">
        <f>IF(OHW!$G36="","",OHW!$B36&amp;"")</f>
        <v/>
      </c>
      <c r="J1083">
        <f>IF(OHW!$G36="","",OHW!$E36)</f>
        <v/>
      </c>
      <c r="K1083">
        <f>IF(OHW!$G36="","",COUNTIFS(OHW!$A$5:$A$1668,OHW!$A36,OHW!$C$5:$C$1668,OHW!$C36))</f>
        <v/>
      </c>
      <c r="L1083">
        <f>IF(OHW!$G36="","",OHW!$D36&amp;"")</f>
        <v/>
      </c>
      <c r="M1083">
        <f>IF(OHW!$G36="","",OHW!$F36)</f>
        <v/>
      </c>
      <c r="N1083">
        <f>IF(OHW!$G36="","",OHW!$G36)</f>
        <v/>
      </c>
      <c r="O1083">
        <f>IF(OHW!$G36="","",OHW!$I36)</f>
        <v/>
      </c>
      <c r="P1083">
        <f>IF(OHW!$G36="","","Final")</f>
        <v/>
      </c>
    </row>
    <row r="1084">
      <c r="A1084">
        <f>IF(OHW!$G37="","","OHW")</f>
        <v/>
      </c>
      <c r="B1084">
        <f>IF(OHW!$G37="","","OHW")</f>
        <v/>
      </c>
      <c r="C1084" s="18">
        <f>IF(OHW!$G37="","",OHW!$A37)</f>
        <v/>
      </c>
      <c r="F1084">
        <f>IF(OHW!$G37="","",OHW!$B37&amp;"")</f>
        <v/>
      </c>
      <c r="J1084">
        <f>IF(OHW!$G37="","",OHW!$E37)</f>
        <v/>
      </c>
      <c r="K1084">
        <f>IF(OHW!$G37="","",COUNTIFS(OHW!$A$5:$A$1668,OHW!$A37,OHW!$C$5:$C$1668,OHW!$C37))</f>
        <v/>
      </c>
      <c r="L1084">
        <f>IF(OHW!$G37="","",OHW!$D37&amp;"")</f>
        <v/>
      </c>
      <c r="M1084">
        <f>IF(OHW!$G37="","",OHW!$F37)</f>
        <v/>
      </c>
      <c r="N1084">
        <f>IF(OHW!$G37="","",OHW!$G37)</f>
        <v/>
      </c>
      <c r="O1084">
        <f>IF(OHW!$G37="","",OHW!$I37)</f>
        <v/>
      </c>
      <c r="P1084">
        <f>IF(OHW!$G37="","","Final")</f>
        <v/>
      </c>
    </row>
    <row r="1085">
      <c r="A1085">
        <f>IF(OHW!$G38="","","OHW")</f>
        <v/>
      </c>
      <c r="B1085">
        <f>IF(OHW!$G38="","","OHW")</f>
        <v/>
      </c>
      <c r="C1085" s="18">
        <f>IF(OHW!$G38="","",OHW!$A38)</f>
        <v/>
      </c>
      <c r="F1085">
        <f>IF(OHW!$G38="","",OHW!$B38&amp;"")</f>
        <v/>
      </c>
      <c r="J1085">
        <f>IF(OHW!$G38="","",OHW!$E38)</f>
        <v/>
      </c>
      <c r="K1085">
        <f>IF(OHW!$G38="","",COUNTIFS(OHW!$A$5:$A$1668,OHW!$A38,OHW!$C$5:$C$1668,OHW!$C38))</f>
        <v/>
      </c>
      <c r="L1085">
        <f>IF(OHW!$G38="","",OHW!$D38&amp;"")</f>
        <v/>
      </c>
      <c r="M1085">
        <f>IF(OHW!$G38="","",OHW!$F38)</f>
        <v/>
      </c>
      <c r="N1085">
        <f>IF(OHW!$G38="","",OHW!$G38)</f>
        <v/>
      </c>
      <c r="O1085">
        <f>IF(OHW!$G38="","",OHW!$I38)</f>
        <v/>
      </c>
      <c r="P1085">
        <f>IF(OHW!$G38="","","Final")</f>
        <v/>
      </c>
    </row>
    <row r="1086">
      <c r="A1086">
        <f>IF(OHW!$G39="","","OHW")</f>
        <v/>
      </c>
      <c r="B1086">
        <f>IF(OHW!$G39="","","OHW")</f>
        <v/>
      </c>
      <c r="C1086" s="18">
        <f>IF(OHW!$G39="","",OHW!$A39)</f>
        <v/>
      </c>
      <c r="F1086">
        <f>IF(OHW!$G39="","",OHW!$B39&amp;"")</f>
        <v/>
      </c>
      <c r="J1086">
        <f>IF(OHW!$G39="","",OHW!$E39)</f>
        <v/>
      </c>
      <c r="K1086">
        <f>IF(OHW!$G39="","",COUNTIFS(OHW!$A$5:$A$1668,OHW!$A39,OHW!$C$5:$C$1668,OHW!$C39))</f>
        <v/>
      </c>
      <c r="L1086">
        <f>IF(OHW!$G39="","",OHW!$D39&amp;"")</f>
        <v/>
      </c>
      <c r="M1086">
        <f>IF(OHW!$G39="","",OHW!$F39)</f>
        <v/>
      </c>
      <c r="N1086">
        <f>IF(OHW!$G39="","",OHW!$G39)</f>
        <v/>
      </c>
      <c r="O1086">
        <f>IF(OHW!$G39="","",OHW!$I39)</f>
        <v/>
      </c>
      <c r="P1086">
        <f>IF(OHW!$G39="","","Final")</f>
        <v/>
      </c>
    </row>
    <row r="1087">
      <c r="A1087">
        <f>IF(OHW!$G40="","","OHW")</f>
        <v/>
      </c>
      <c r="B1087">
        <f>IF(OHW!$G40="","","OHW")</f>
        <v/>
      </c>
      <c r="C1087" s="18">
        <f>IF(OHW!$G40="","",OHW!$A40)</f>
        <v/>
      </c>
      <c r="F1087">
        <f>IF(OHW!$G40="","",OHW!$B40&amp;"")</f>
        <v/>
      </c>
      <c r="J1087">
        <f>IF(OHW!$G40="","",OHW!$E40)</f>
        <v/>
      </c>
      <c r="K1087">
        <f>IF(OHW!$G40="","",COUNTIFS(OHW!$A$5:$A$1668,OHW!$A40,OHW!$C$5:$C$1668,OHW!$C40))</f>
        <v/>
      </c>
      <c r="L1087">
        <f>IF(OHW!$G40="","",OHW!$D40&amp;"")</f>
        <v/>
      </c>
      <c r="M1087">
        <f>IF(OHW!$G40="","",OHW!$F40)</f>
        <v/>
      </c>
      <c r="N1087">
        <f>IF(OHW!$G40="","",OHW!$G40)</f>
        <v/>
      </c>
      <c r="O1087">
        <f>IF(OHW!$G40="","",OHW!$I40)</f>
        <v/>
      </c>
      <c r="P1087">
        <f>IF(OHW!$G40="","","Final")</f>
        <v/>
      </c>
    </row>
    <row r="1088">
      <c r="A1088">
        <f>IF(OHW!$G41="","","OHW")</f>
        <v/>
      </c>
      <c r="B1088">
        <f>IF(OHW!$G41="","","OHW")</f>
        <v/>
      </c>
      <c r="C1088" s="18">
        <f>IF(OHW!$G41="","",OHW!$A41)</f>
        <v/>
      </c>
      <c r="F1088">
        <f>IF(OHW!$G41="","",OHW!$B41&amp;"")</f>
        <v/>
      </c>
      <c r="J1088">
        <f>IF(OHW!$G41="","",OHW!$E41)</f>
        <v/>
      </c>
      <c r="K1088">
        <f>IF(OHW!$G41="","",COUNTIFS(OHW!$A$5:$A$1668,OHW!$A41,OHW!$C$5:$C$1668,OHW!$C41))</f>
        <v/>
      </c>
      <c r="L1088">
        <f>IF(OHW!$G41="","",OHW!$D41&amp;"")</f>
        <v/>
      </c>
      <c r="M1088">
        <f>IF(OHW!$G41="","",OHW!$F41)</f>
        <v/>
      </c>
      <c r="N1088">
        <f>IF(OHW!$G41="","",OHW!$G41)</f>
        <v/>
      </c>
      <c r="O1088">
        <f>IF(OHW!$G41="","",OHW!$I41)</f>
        <v/>
      </c>
      <c r="P1088">
        <f>IF(OHW!$G41="","","Final")</f>
        <v/>
      </c>
    </row>
    <row r="1089">
      <c r="A1089">
        <f>IF(OHW!$G42="","","OHW")</f>
        <v/>
      </c>
      <c r="B1089">
        <f>IF(OHW!$G42="","","OHW")</f>
        <v/>
      </c>
      <c r="C1089" s="18">
        <f>IF(OHW!$G42="","",OHW!$A42)</f>
        <v/>
      </c>
      <c r="F1089">
        <f>IF(OHW!$G42="","",OHW!$B42&amp;"")</f>
        <v/>
      </c>
      <c r="J1089">
        <f>IF(OHW!$G42="","",OHW!$E42)</f>
        <v/>
      </c>
      <c r="K1089">
        <f>IF(OHW!$G42="","",COUNTIFS(OHW!$A$5:$A$1668,OHW!$A42,OHW!$C$5:$C$1668,OHW!$C42))</f>
        <v/>
      </c>
      <c r="L1089">
        <f>IF(OHW!$G42="","",OHW!$D42&amp;"")</f>
        <v/>
      </c>
      <c r="M1089">
        <f>IF(OHW!$G42="","",OHW!$F42)</f>
        <v/>
      </c>
      <c r="N1089">
        <f>IF(OHW!$G42="","",OHW!$G42)</f>
        <v/>
      </c>
      <c r="O1089">
        <f>IF(OHW!$G42="","",OHW!$I42)</f>
        <v/>
      </c>
      <c r="P1089">
        <f>IF(OHW!$G42="","","Final")</f>
        <v/>
      </c>
    </row>
    <row r="1090">
      <c r="A1090">
        <f>IF(OHW!$G43="","","OHW")</f>
        <v/>
      </c>
      <c r="B1090">
        <f>IF(OHW!$G43="","","OHW")</f>
        <v/>
      </c>
      <c r="C1090" s="18">
        <f>IF(OHW!$G43="","",OHW!$A43)</f>
        <v/>
      </c>
      <c r="F1090">
        <f>IF(OHW!$G43="","",OHW!$B43&amp;"")</f>
        <v/>
      </c>
      <c r="J1090">
        <f>IF(OHW!$G43="","",OHW!$E43)</f>
        <v/>
      </c>
      <c r="K1090">
        <f>IF(OHW!$G43="","",COUNTIFS(OHW!$A$5:$A$1668,OHW!$A43,OHW!$C$5:$C$1668,OHW!$C43))</f>
        <v/>
      </c>
      <c r="L1090">
        <f>IF(OHW!$G43="","",OHW!$D43&amp;"")</f>
        <v/>
      </c>
      <c r="M1090">
        <f>IF(OHW!$G43="","",OHW!$F43)</f>
        <v/>
      </c>
      <c r="N1090">
        <f>IF(OHW!$G43="","",OHW!$G43)</f>
        <v/>
      </c>
      <c r="O1090">
        <f>IF(OHW!$G43="","",OHW!$I43)</f>
        <v/>
      </c>
      <c r="P1090">
        <f>IF(OHW!$G43="","","Final")</f>
        <v/>
      </c>
    </row>
    <row r="1091">
      <c r="A1091">
        <f>IF(OHW!$G44="","","OHW")</f>
        <v/>
      </c>
      <c r="B1091">
        <f>IF(OHW!$G44="","","OHW")</f>
        <v/>
      </c>
      <c r="C1091" s="18">
        <f>IF(OHW!$G44="","",OHW!$A44)</f>
        <v/>
      </c>
      <c r="F1091">
        <f>IF(OHW!$G44="","",OHW!$B44&amp;"")</f>
        <v/>
      </c>
      <c r="J1091">
        <f>IF(OHW!$G44="","",OHW!$E44)</f>
        <v/>
      </c>
      <c r="K1091">
        <f>IF(OHW!$G44="","",COUNTIFS(OHW!$A$5:$A$1668,OHW!$A44,OHW!$C$5:$C$1668,OHW!$C44))</f>
        <v/>
      </c>
      <c r="L1091">
        <f>IF(OHW!$G44="","",OHW!$D44&amp;"")</f>
        <v/>
      </c>
      <c r="M1091">
        <f>IF(OHW!$G44="","",OHW!$F44)</f>
        <v/>
      </c>
      <c r="N1091">
        <f>IF(OHW!$G44="","",OHW!$G44)</f>
        <v/>
      </c>
      <c r="O1091">
        <f>IF(OHW!$G44="","",OHW!$I44)</f>
        <v/>
      </c>
      <c r="P1091">
        <f>IF(OHW!$G44="","","Final")</f>
        <v/>
      </c>
    </row>
    <row r="1092">
      <c r="A1092">
        <f>IF(OHW!$G45="","","OHW")</f>
        <v/>
      </c>
      <c r="B1092">
        <f>IF(OHW!$G45="","","OHW")</f>
        <v/>
      </c>
      <c r="C1092" s="18">
        <f>IF(OHW!$G45="","",OHW!$A45)</f>
        <v/>
      </c>
      <c r="F1092">
        <f>IF(OHW!$G45="","",OHW!$B45&amp;"")</f>
        <v/>
      </c>
      <c r="J1092">
        <f>IF(OHW!$G45="","",OHW!$E45)</f>
        <v/>
      </c>
      <c r="K1092">
        <f>IF(OHW!$G45="","",COUNTIFS(OHW!$A$5:$A$1668,OHW!$A45,OHW!$C$5:$C$1668,OHW!$C45))</f>
        <v/>
      </c>
      <c r="L1092">
        <f>IF(OHW!$G45="","",OHW!$D45&amp;"")</f>
        <v/>
      </c>
      <c r="M1092">
        <f>IF(OHW!$G45="","",OHW!$F45)</f>
        <v/>
      </c>
      <c r="N1092">
        <f>IF(OHW!$G45="","",OHW!$G45)</f>
        <v/>
      </c>
      <c r="O1092">
        <f>IF(OHW!$G45="","",OHW!$I45)</f>
        <v/>
      </c>
      <c r="P1092">
        <f>IF(OHW!$G45="","","Final")</f>
        <v/>
      </c>
    </row>
    <row r="1093">
      <c r="A1093">
        <f>IF(OHW!$G46="","","OHW")</f>
        <v/>
      </c>
      <c r="B1093">
        <f>IF(OHW!$G46="","","OHW")</f>
        <v/>
      </c>
      <c r="C1093" s="18">
        <f>IF(OHW!$G46="","",OHW!$A46)</f>
        <v/>
      </c>
      <c r="F1093">
        <f>IF(OHW!$G46="","",OHW!$B46&amp;"")</f>
        <v/>
      </c>
      <c r="J1093">
        <f>IF(OHW!$G46="","",OHW!$E46)</f>
        <v/>
      </c>
      <c r="K1093">
        <f>IF(OHW!$G46="","",COUNTIFS(OHW!$A$5:$A$1668,OHW!$A46,OHW!$C$5:$C$1668,OHW!$C46))</f>
        <v/>
      </c>
      <c r="L1093">
        <f>IF(OHW!$G46="","",OHW!$D46&amp;"")</f>
        <v/>
      </c>
      <c r="M1093">
        <f>IF(OHW!$G46="","",OHW!$F46)</f>
        <v/>
      </c>
      <c r="N1093">
        <f>IF(OHW!$G46="","",OHW!$G46)</f>
        <v/>
      </c>
      <c r="O1093">
        <f>IF(OHW!$G46="","",OHW!$I46)</f>
        <v/>
      </c>
      <c r="P1093">
        <f>IF(OHW!$G46="","","Final")</f>
        <v/>
      </c>
    </row>
    <row r="1094">
      <c r="A1094">
        <f>IF(OHW!$G47="","","OHW")</f>
        <v/>
      </c>
      <c r="B1094">
        <f>IF(OHW!$G47="","","OHW")</f>
        <v/>
      </c>
      <c r="C1094" s="18">
        <f>IF(OHW!$G47="","",OHW!$A47)</f>
        <v/>
      </c>
      <c r="F1094">
        <f>IF(OHW!$G47="","",OHW!$B47&amp;"")</f>
        <v/>
      </c>
      <c r="J1094">
        <f>IF(OHW!$G47="","",OHW!$E47)</f>
        <v/>
      </c>
      <c r="K1094">
        <f>IF(OHW!$G47="","",COUNTIFS(OHW!$A$5:$A$1668,OHW!$A47,OHW!$C$5:$C$1668,OHW!$C47))</f>
        <v/>
      </c>
      <c r="L1094">
        <f>IF(OHW!$G47="","",OHW!$D47&amp;"")</f>
        <v/>
      </c>
      <c r="M1094">
        <f>IF(OHW!$G47="","",OHW!$F47)</f>
        <v/>
      </c>
      <c r="N1094">
        <f>IF(OHW!$G47="","",OHW!$G47)</f>
        <v/>
      </c>
      <c r="O1094">
        <f>IF(OHW!$G47="","",OHW!$I47)</f>
        <v/>
      </c>
      <c r="P1094">
        <f>IF(OHW!$G47="","","Final")</f>
        <v/>
      </c>
    </row>
    <row r="1095">
      <c r="A1095">
        <f>IF(OHW!$G48="","","OHW")</f>
        <v/>
      </c>
      <c r="B1095">
        <f>IF(OHW!$G48="","","OHW")</f>
        <v/>
      </c>
      <c r="C1095" s="18">
        <f>IF(OHW!$G48="","",OHW!$A48)</f>
        <v/>
      </c>
      <c r="F1095">
        <f>IF(OHW!$G48="","",OHW!$B48&amp;"")</f>
        <v/>
      </c>
      <c r="J1095">
        <f>IF(OHW!$G48="","",OHW!$E48)</f>
        <v/>
      </c>
      <c r="K1095">
        <f>IF(OHW!$G48="","",COUNTIFS(OHW!$A$5:$A$1668,OHW!$A48,OHW!$C$5:$C$1668,OHW!$C48))</f>
        <v/>
      </c>
      <c r="L1095">
        <f>IF(OHW!$G48="","",OHW!$D48&amp;"")</f>
        <v/>
      </c>
      <c r="M1095">
        <f>IF(OHW!$G48="","",OHW!$F48)</f>
        <v/>
      </c>
      <c r="N1095">
        <f>IF(OHW!$G48="","",OHW!$G48)</f>
        <v/>
      </c>
      <c r="O1095">
        <f>IF(OHW!$G48="","",OHW!$I48)</f>
        <v/>
      </c>
      <c r="P1095">
        <f>IF(OHW!$G48="","","Final")</f>
        <v/>
      </c>
    </row>
    <row r="1096">
      <c r="A1096">
        <f>IF(OHW!$G49="","","OHW")</f>
        <v/>
      </c>
      <c r="B1096">
        <f>IF(OHW!$G49="","","OHW")</f>
        <v/>
      </c>
      <c r="C1096" s="18">
        <f>IF(OHW!$G49="","",OHW!$A49)</f>
        <v/>
      </c>
      <c r="F1096">
        <f>IF(OHW!$G49="","",OHW!$B49&amp;"")</f>
        <v/>
      </c>
      <c r="J1096">
        <f>IF(OHW!$G49="","",OHW!$E49)</f>
        <v/>
      </c>
      <c r="K1096">
        <f>IF(OHW!$G49="","",COUNTIFS(OHW!$A$5:$A$1668,OHW!$A49,OHW!$C$5:$C$1668,OHW!$C49))</f>
        <v/>
      </c>
      <c r="L1096">
        <f>IF(OHW!$G49="","",OHW!$D49&amp;"")</f>
        <v/>
      </c>
      <c r="M1096">
        <f>IF(OHW!$G49="","",OHW!$F49)</f>
        <v/>
      </c>
      <c r="N1096">
        <f>IF(OHW!$G49="","",OHW!$G49)</f>
        <v/>
      </c>
      <c r="O1096">
        <f>IF(OHW!$G49="","",OHW!$I49)</f>
        <v/>
      </c>
      <c r="P1096">
        <f>IF(OHW!$G49="","","Final")</f>
        <v/>
      </c>
    </row>
    <row r="1097">
      <c r="A1097">
        <f>IF(OHW!$G50="","","OHW")</f>
        <v/>
      </c>
      <c r="B1097">
        <f>IF(OHW!$G50="","","OHW")</f>
        <v/>
      </c>
      <c r="C1097" s="18">
        <f>IF(OHW!$G50="","",OHW!$A50)</f>
        <v/>
      </c>
      <c r="F1097">
        <f>IF(OHW!$G50="","",OHW!$B50&amp;"")</f>
        <v/>
      </c>
      <c r="J1097">
        <f>IF(OHW!$G50="","",OHW!$E50)</f>
        <v/>
      </c>
      <c r="K1097">
        <f>IF(OHW!$G50="","",COUNTIFS(OHW!$A$5:$A$1668,OHW!$A50,OHW!$C$5:$C$1668,OHW!$C50))</f>
        <v/>
      </c>
      <c r="L1097">
        <f>IF(OHW!$G50="","",OHW!$D50&amp;"")</f>
        <v/>
      </c>
      <c r="M1097">
        <f>IF(OHW!$G50="","",OHW!$F50)</f>
        <v/>
      </c>
      <c r="N1097">
        <f>IF(OHW!$G50="","",OHW!$G50)</f>
        <v/>
      </c>
      <c r="O1097">
        <f>IF(OHW!$G50="","",OHW!$I50)</f>
        <v/>
      </c>
      <c r="P1097">
        <f>IF(OHW!$G50="","","Final")</f>
        <v/>
      </c>
    </row>
    <row r="1098">
      <c r="A1098">
        <f>IF(OHW!$G51="","","OHW")</f>
        <v/>
      </c>
      <c r="B1098">
        <f>IF(OHW!$G51="","","OHW")</f>
        <v/>
      </c>
      <c r="C1098" s="18">
        <f>IF(OHW!$G51="","",OHW!$A51)</f>
        <v/>
      </c>
      <c r="F1098">
        <f>IF(OHW!$G51="","",OHW!$B51&amp;"")</f>
        <v/>
      </c>
      <c r="J1098">
        <f>IF(OHW!$G51="","",OHW!$E51)</f>
        <v/>
      </c>
      <c r="K1098">
        <f>IF(OHW!$G51="","",COUNTIFS(OHW!$A$5:$A$1668,OHW!$A51,OHW!$C$5:$C$1668,OHW!$C51))</f>
        <v/>
      </c>
      <c r="L1098">
        <f>IF(OHW!$G51="","",OHW!$D51&amp;"")</f>
        <v/>
      </c>
      <c r="M1098">
        <f>IF(OHW!$G51="","",OHW!$F51)</f>
        <v/>
      </c>
      <c r="N1098">
        <f>IF(OHW!$G51="","",OHW!$G51)</f>
        <v/>
      </c>
      <c r="O1098">
        <f>IF(OHW!$G51="","",OHW!$I51)</f>
        <v/>
      </c>
      <c r="P1098">
        <f>IF(OHW!$G51="","","Final")</f>
        <v/>
      </c>
    </row>
    <row r="1099">
      <c r="A1099">
        <f>IF(OHW!$G52="","","OHW")</f>
        <v/>
      </c>
      <c r="B1099">
        <f>IF(OHW!$G52="","","OHW")</f>
        <v/>
      </c>
      <c r="C1099" s="18">
        <f>IF(OHW!$G52="","",OHW!$A52)</f>
        <v/>
      </c>
      <c r="F1099">
        <f>IF(OHW!$G52="","",OHW!$B52&amp;"")</f>
        <v/>
      </c>
      <c r="J1099">
        <f>IF(OHW!$G52="","",OHW!$E52)</f>
        <v/>
      </c>
      <c r="K1099">
        <f>IF(OHW!$G52="","",COUNTIFS(OHW!$A$5:$A$1668,OHW!$A52,OHW!$C$5:$C$1668,OHW!$C52))</f>
        <v/>
      </c>
      <c r="L1099">
        <f>IF(OHW!$G52="","",OHW!$D52&amp;"")</f>
        <v/>
      </c>
      <c r="M1099">
        <f>IF(OHW!$G52="","",OHW!$F52)</f>
        <v/>
      </c>
      <c r="N1099">
        <f>IF(OHW!$G52="","",OHW!$G52)</f>
        <v/>
      </c>
      <c r="O1099">
        <f>IF(OHW!$G52="","",OHW!$I52)</f>
        <v/>
      </c>
      <c r="P1099">
        <f>IF(OHW!$G52="","","Final")</f>
        <v/>
      </c>
    </row>
    <row r="1100">
      <c r="A1100">
        <f>IF(OHW!$G53="","","OHW")</f>
        <v/>
      </c>
      <c r="B1100">
        <f>IF(OHW!$G53="","","OHW")</f>
        <v/>
      </c>
      <c r="C1100" s="18">
        <f>IF(OHW!$G53="","",OHW!$A53)</f>
        <v/>
      </c>
      <c r="F1100">
        <f>IF(OHW!$G53="","",OHW!$B53&amp;"")</f>
        <v/>
      </c>
      <c r="J1100">
        <f>IF(OHW!$G53="","",OHW!$E53)</f>
        <v/>
      </c>
      <c r="K1100">
        <f>IF(OHW!$G53="","",COUNTIFS(OHW!$A$5:$A$1668,OHW!$A53,OHW!$C$5:$C$1668,OHW!$C53))</f>
        <v/>
      </c>
      <c r="L1100">
        <f>IF(OHW!$G53="","",OHW!$D53&amp;"")</f>
        <v/>
      </c>
      <c r="M1100">
        <f>IF(OHW!$G53="","",OHW!$F53)</f>
        <v/>
      </c>
      <c r="N1100">
        <f>IF(OHW!$G53="","",OHW!$G53)</f>
        <v/>
      </c>
      <c r="O1100">
        <f>IF(OHW!$G53="","",OHW!$I53)</f>
        <v/>
      </c>
      <c r="P1100">
        <f>IF(OHW!$G53="","","Final")</f>
        <v/>
      </c>
    </row>
    <row r="1101">
      <c r="A1101">
        <f>IF(OHW!$G54="","","OHW")</f>
        <v/>
      </c>
      <c r="B1101">
        <f>IF(OHW!$G54="","","OHW")</f>
        <v/>
      </c>
      <c r="C1101" s="18">
        <f>IF(OHW!$G54="","",OHW!$A54)</f>
        <v/>
      </c>
      <c r="F1101">
        <f>IF(OHW!$G54="","",OHW!$B54&amp;"")</f>
        <v/>
      </c>
      <c r="J1101">
        <f>IF(OHW!$G54="","",OHW!$E54)</f>
        <v/>
      </c>
      <c r="K1101">
        <f>IF(OHW!$G54="","",COUNTIFS(OHW!$A$5:$A$1668,OHW!$A54,OHW!$C$5:$C$1668,OHW!$C54))</f>
        <v/>
      </c>
      <c r="L1101">
        <f>IF(OHW!$G54="","",OHW!$D54&amp;"")</f>
        <v/>
      </c>
      <c r="M1101">
        <f>IF(OHW!$G54="","",OHW!$F54)</f>
        <v/>
      </c>
      <c r="N1101">
        <f>IF(OHW!$G54="","",OHW!$G54)</f>
        <v/>
      </c>
      <c r="O1101">
        <f>IF(OHW!$G54="","",OHW!$I54)</f>
        <v/>
      </c>
      <c r="P1101">
        <f>IF(OHW!$G54="","","Final")</f>
        <v/>
      </c>
    </row>
    <row r="1102">
      <c r="A1102">
        <f>IF(OHW!$G55="","","OHW")</f>
        <v/>
      </c>
      <c r="B1102">
        <f>IF(OHW!$G55="","","OHW")</f>
        <v/>
      </c>
      <c r="C1102" s="18">
        <f>IF(OHW!$G55="","",OHW!$A55)</f>
        <v/>
      </c>
      <c r="F1102">
        <f>IF(OHW!$G55="","",OHW!$B55&amp;"")</f>
        <v/>
      </c>
      <c r="J1102">
        <f>IF(OHW!$G55="","",OHW!$E55)</f>
        <v/>
      </c>
      <c r="K1102">
        <f>IF(OHW!$G55="","",COUNTIFS(OHW!$A$5:$A$1668,OHW!$A55,OHW!$C$5:$C$1668,OHW!$C55))</f>
        <v/>
      </c>
      <c r="L1102">
        <f>IF(OHW!$G55="","",OHW!$D55&amp;"")</f>
        <v/>
      </c>
      <c r="M1102">
        <f>IF(OHW!$G55="","",OHW!$F55)</f>
        <v/>
      </c>
      <c r="N1102">
        <f>IF(OHW!$G55="","",OHW!$G55)</f>
        <v/>
      </c>
      <c r="O1102">
        <f>IF(OHW!$G55="","",OHW!$I55)</f>
        <v/>
      </c>
      <c r="P1102">
        <f>IF(OHW!$G55="","","Final")</f>
        <v/>
      </c>
    </row>
    <row r="1103">
      <c r="A1103">
        <f>IF(OHW!$G56="","","OHW")</f>
        <v/>
      </c>
      <c r="B1103">
        <f>IF(OHW!$G56="","","OHW")</f>
        <v/>
      </c>
      <c r="C1103" s="18">
        <f>IF(OHW!$G56="","",OHW!$A56)</f>
        <v/>
      </c>
      <c r="F1103">
        <f>IF(OHW!$G56="","",OHW!$B56&amp;"")</f>
        <v/>
      </c>
      <c r="J1103">
        <f>IF(OHW!$G56="","",OHW!$E56)</f>
        <v/>
      </c>
      <c r="K1103">
        <f>IF(OHW!$G56="","",COUNTIFS(OHW!$A$5:$A$1668,OHW!$A56,OHW!$C$5:$C$1668,OHW!$C56))</f>
        <v/>
      </c>
      <c r="L1103">
        <f>IF(OHW!$G56="","",OHW!$D56&amp;"")</f>
        <v/>
      </c>
      <c r="M1103">
        <f>IF(OHW!$G56="","",OHW!$F56)</f>
        <v/>
      </c>
      <c r="N1103">
        <f>IF(OHW!$G56="","",OHW!$G56)</f>
        <v/>
      </c>
      <c r="O1103">
        <f>IF(OHW!$G56="","",OHW!$I56)</f>
        <v/>
      </c>
      <c r="P1103">
        <f>IF(OHW!$G56="","","Final")</f>
        <v/>
      </c>
    </row>
    <row r="1104">
      <c r="A1104">
        <f>IF(OHW!$G57="","","OHW")</f>
        <v/>
      </c>
      <c r="B1104">
        <f>IF(OHW!$G57="","","OHW")</f>
        <v/>
      </c>
      <c r="C1104" s="18">
        <f>IF(OHW!$G57="","",OHW!$A57)</f>
        <v/>
      </c>
      <c r="F1104">
        <f>IF(OHW!$G57="","",OHW!$B57&amp;"")</f>
        <v/>
      </c>
      <c r="J1104">
        <f>IF(OHW!$G57="","",OHW!$E57)</f>
        <v/>
      </c>
      <c r="K1104">
        <f>IF(OHW!$G57="","",COUNTIFS(OHW!$A$5:$A$1668,OHW!$A57,OHW!$C$5:$C$1668,OHW!$C57))</f>
        <v/>
      </c>
      <c r="L1104">
        <f>IF(OHW!$G57="","",OHW!$D57&amp;"")</f>
        <v/>
      </c>
      <c r="M1104">
        <f>IF(OHW!$G57="","",OHW!$F57)</f>
        <v/>
      </c>
      <c r="N1104">
        <f>IF(OHW!$G57="","",OHW!$G57)</f>
        <v/>
      </c>
      <c r="O1104">
        <f>IF(OHW!$G57="","",OHW!$I57)</f>
        <v/>
      </c>
      <c r="P1104">
        <f>IF(OHW!$G57="","","Final")</f>
        <v/>
      </c>
    </row>
    <row r="1105">
      <c r="A1105">
        <f>IF(OHW!$G58="","","OHW")</f>
        <v/>
      </c>
      <c r="B1105">
        <f>IF(OHW!$G58="","","OHW")</f>
        <v/>
      </c>
      <c r="C1105" s="18">
        <f>IF(OHW!$G58="","",OHW!$A58)</f>
        <v/>
      </c>
      <c r="F1105">
        <f>IF(OHW!$G58="","",OHW!$B58&amp;"")</f>
        <v/>
      </c>
      <c r="J1105">
        <f>IF(OHW!$G58="","",OHW!$E58)</f>
        <v/>
      </c>
      <c r="K1105">
        <f>IF(OHW!$G58="","",COUNTIFS(OHW!$A$5:$A$1668,OHW!$A58,OHW!$C$5:$C$1668,OHW!$C58))</f>
        <v/>
      </c>
      <c r="L1105">
        <f>IF(OHW!$G58="","",OHW!$D58&amp;"")</f>
        <v/>
      </c>
      <c r="M1105">
        <f>IF(OHW!$G58="","",OHW!$F58)</f>
        <v/>
      </c>
      <c r="N1105">
        <f>IF(OHW!$G58="","",OHW!$G58)</f>
        <v/>
      </c>
      <c r="O1105">
        <f>IF(OHW!$G58="","",OHW!$I58)</f>
        <v/>
      </c>
      <c r="P1105">
        <f>IF(OHW!$G58="","","Final")</f>
        <v/>
      </c>
    </row>
    <row r="1106">
      <c r="A1106">
        <f>IF(OHW!$G59="","","OHW")</f>
        <v/>
      </c>
      <c r="B1106">
        <f>IF(OHW!$G59="","","OHW")</f>
        <v/>
      </c>
      <c r="C1106" s="18">
        <f>IF(OHW!$G59="","",OHW!$A59)</f>
        <v/>
      </c>
      <c r="F1106">
        <f>IF(OHW!$G59="","",OHW!$B59&amp;"")</f>
        <v/>
      </c>
      <c r="J1106">
        <f>IF(OHW!$G59="","",OHW!$E59)</f>
        <v/>
      </c>
      <c r="K1106">
        <f>IF(OHW!$G59="","",COUNTIFS(OHW!$A$5:$A$1668,OHW!$A59,OHW!$C$5:$C$1668,OHW!$C59))</f>
        <v/>
      </c>
      <c r="L1106">
        <f>IF(OHW!$G59="","",OHW!$D59&amp;"")</f>
        <v/>
      </c>
      <c r="M1106">
        <f>IF(OHW!$G59="","",OHW!$F59)</f>
        <v/>
      </c>
      <c r="N1106">
        <f>IF(OHW!$G59="","",OHW!$G59)</f>
        <v/>
      </c>
      <c r="O1106">
        <f>IF(OHW!$G59="","",OHW!$I59)</f>
        <v/>
      </c>
      <c r="P1106">
        <f>IF(OHW!$G59="","","Final")</f>
        <v/>
      </c>
    </row>
    <row r="1107">
      <c r="A1107">
        <f>IF(OHW!$G60="","","OHW")</f>
        <v/>
      </c>
      <c r="B1107">
        <f>IF(OHW!$G60="","","OHW")</f>
        <v/>
      </c>
      <c r="C1107" s="18">
        <f>IF(OHW!$G60="","",OHW!$A60)</f>
        <v/>
      </c>
      <c r="F1107">
        <f>IF(OHW!$G60="","",OHW!$B60&amp;"")</f>
        <v/>
      </c>
      <c r="J1107">
        <f>IF(OHW!$G60="","",OHW!$E60)</f>
        <v/>
      </c>
      <c r="K1107">
        <f>IF(OHW!$G60="","",COUNTIFS(OHW!$A$5:$A$1668,OHW!$A60,OHW!$C$5:$C$1668,OHW!$C60))</f>
        <v/>
      </c>
      <c r="L1107">
        <f>IF(OHW!$G60="","",OHW!$D60&amp;"")</f>
        <v/>
      </c>
      <c r="M1107">
        <f>IF(OHW!$G60="","",OHW!$F60)</f>
        <v/>
      </c>
      <c r="N1107">
        <f>IF(OHW!$G60="","",OHW!$G60)</f>
        <v/>
      </c>
      <c r="O1107">
        <f>IF(OHW!$G60="","",OHW!$I60)</f>
        <v/>
      </c>
      <c r="P1107">
        <f>IF(OHW!$G60="","","Final")</f>
        <v/>
      </c>
    </row>
    <row r="1108">
      <c r="A1108">
        <f>IF(OHW!$G61="","","OHW")</f>
        <v/>
      </c>
      <c r="B1108">
        <f>IF(OHW!$G61="","","OHW")</f>
        <v/>
      </c>
      <c r="C1108" s="18">
        <f>IF(OHW!$G61="","",OHW!$A61)</f>
        <v/>
      </c>
      <c r="F1108">
        <f>IF(OHW!$G61="","",OHW!$B61&amp;"")</f>
        <v/>
      </c>
      <c r="J1108">
        <f>IF(OHW!$G61="","",OHW!$E61)</f>
        <v/>
      </c>
      <c r="K1108">
        <f>IF(OHW!$G61="","",COUNTIFS(OHW!$A$5:$A$1668,OHW!$A61,OHW!$C$5:$C$1668,OHW!$C61))</f>
        <v/>
      </c>
      <c r="L1108">
        <f>IF(OHW!$G61="","",OHW!$D61&amp;"")</f>
        <v/>
      </c>
      <c r="M1108">
        <f>IF(OHW!$G61="","",OHW!$F61)</f>
        <v/>
      </c>
      <c r="N1108">
        <f>IF(OHW!$G61="","",OHW!$G61)</f>
        <v/>
      </c>
      <c r="O1108">
        <f>IF(OHW!$G61="","",OHW!$I61)</f>
        <v/>
      </c>
      <c r="P1108">
        <f>IF(OHW!$G61="","","Final")</f>
        <v/>
      </c>
    </row>
    <row r="1109">
      <c r="A1109">
        <f>IF(OHW!$G62="","","OHW")</f>
        <v/>
      </c>
      <c r="B1109">
        <f>IF(OHW!$G62="","","OHW")</f>
        <v/>
      </c>
      <c r="C1109" s="18">
        <f>IF(OHW!$G62="","",OHW!$A62)</f>
        <v/>
      </c>
      <c r="F1109">
        <f>IF(OHW!$G62="","",OHW!$B62&amp;"")</f>
        <v/>
      </c>
      <c r="J1109">
        <f>IF(OHW!$G62="","",OHW!$E62)</f>
        <v/>
      </c>
      <c r="K1109">
        <f>IF(OHW!$G62="","",COUNTIFS(OHW!$A$5:$A$1668,OHW!$A62,OHW!$C$5:$C$1668,OHW!$C62))</f>
        <v/>
      </c>
      <c r="L1109">
        <f>IF(OHW!$G62="","",OHW!$D62&amp;"")</f>
        <v/>
      </c>
      <c r="M1109">
        <f>IF(OHW!$G62="","",OHW!$F62)</f>
        <v/>
      </c>
      <c r="N1109">
        <f>IF(OHW!$G62="","",OHW!$G62)</f>
        <v/>
      </c>
      <c r="O1109">
        <f>IF(OHW!$G62="","",OHW!$I62)</f>
        <v/>
      </c>
      <c r="P1109">
        <f>IF(OHW!$G62="","","Final")</f>
        <v/>
      </c>
    </row>
    <row r="1110">
      <c r="A1110">
        <f>IF(OHW!$G63="","","OHW")</f>
        <v/>
      </c>
      <c r="B1110">
        <f>IF(OHW!$G63="","","OHW")</f>
        <v/>
      </c>
      <c r="C1110" s="18">
        <f>IF(OHW!$G63="","",OHW!$A63)</f>
        <v/>
      </c>
      <c r="F1110">
        <f>IF(OHW!$G63="","",OHW!$B63&amp;"")</f>
        <v/>
      </c>
      <c r="J1110">
        <f>IF(OHW!$G63="","",OHW!$E63)</f>
        <v/>
      </c>
      <c r="K1110">
        <f>IF(OHW!$G63="","",COUNTIFS(OHW!$A$5:$A$1668,OHW!$A63,OHW!$C$5:$C$1668,OHW!$C63))</f>
        <v/>
      </c>
      <c r="L1110">
        <f>IF(OHW!$G63="","",OHW!$D63&amp;"")</f>
        <v/>
      </c>
      <c r="M1110">
        <f>IF(OHW!$G63="","",OHW!$F63)</f>
        <v/>
      </c>
      <c r="N1110">
        <f>IF(OHW!$G63="","",OHW!$G63)</f>
        <v/>
      </c>
      <c r="O1110">
        <f>IF(OHW!$G63="","",OHW!$I63)</f>
        <v/>
      </c>
      <c r="P1110">
        <f>IF(OHW!$G63="","","Final")</f>
        <v/>
      </c>
    </row>
    <row r="1111">
      <c r="A1111">
        <f>IF(OHW!$G64="","","OHW")</f>
        <v/>
      </c>
      <c r="B1111">
        <f>IF(OHW!$G64="","","OHW")</f>
        <v/>
      </c>
      <c r="C1111" s="18">
        <f>IF(OHW!$G64="","",OHW!$A64)</f>
        <v/>
      </c>
      <c r="F1111">
        <f>IF(OHW!$G64="","",OHW!$B64&amp;"")</f>
        <v/>
      </c>
      <c r="J1111">
        <f>IF(OHW!$G64="","",OHW!$E64)</f>
        <v/>
      </c>
      <c r="K1111">
        <f>IF(OHW!$G64="","",COUNTIFS(OHW!$A$5:$A$1668,OHW!$A64,OHW!$C$5:$C$1668,OHW!$C64))</f>
        <v/>
      </c>
      <c r="L1111">
        <f>IF(OHW!$G64="","",OHW!$D64&amp;"")</f>
        <v/>
      </c>
      <c r="M1111">
        <f>IF(OHW!$G64="","",OHW!$F64)</f>
        <v/>
      </c>
      <c r="N1111">
        <f>IF(OHW!$G64="","",OHW!$G64)</f>
        <v/>
      </c>
      <c r="O1111">
        <f>IF(OHW!$G64="","",OHW!$I64)</f>
        <v/>
      </c>
      <c r="P1111">
        <f>IF(OHW!$G64="","","Final")</f>
        <v/>
      </c>
    </row>
    <row r="1112">
      <c r="A1112">
        <f>IF(OHW!$G65="","","OHW")</f>
        <v/>
      </c>
      <c r="B1112">
        <f>IF(OHW!$G65="","","OHW")</f>
        <v/>
      </c>
      <c r="C1112" s="18">
        <f>IF(OHW!$G65="","",OHW!$A65)</f>
        <v/>
      </c>
      <c r="F1112">
        <f>IF(OHW!$G65="","",OHW!$B65&amp;"")</f>
        <v/>
      </c>
      <c r="J1112">
        <f>IF(OHW!$G65="","",OHW!$E65)</f>
        <v/>
      </c>
      <c r="K1112">
        <f>IF(OHW!$G65="","",COUNTIFS(OHW!$A$5:$A$1668,OHW!$A65,OHW!$C$5:$C$1668,OHW!$C65))</f>
        <v/>
      </c>
      <c r="L1112">
        <f>IF(OHW!$G65="","",OHW!$D65&amp;"")</f>
        <v/>
      </c>
      <c r="M1112">
        <f>IF(OHW!$G65="","",OHW!$F65)</f>
        <v/>
      </c>
      <c r="N1112">
        <f>IF(OHW!$G65="","",OHW!$G65)</f>
        <v/>
      </c>
      <c r="O1112">
        <f>IF(OHW!$G65="","",OHW!$I65)</f>
        <v/>
      </c>
      <c r="P1112">
        <f>IF(OHW!$G65="","","Final")</f>
        <v/>
      </c>
    </row>
    <row r="1113">
      <c r="A1113">
        <f>IF(OHW!$G66="","","OHW")</f>
        <v/>
      </c>
      <c r="B1113">
        <f>IF(OHW!$G66="","","OHW")</f>
        <v/>
      </c>
      <c r="C1113" s="18">
        <f>IF(OHW!$G66="","",OHW!$A66)</f>
        <v/>
      </c>
      <c r="F1113">
        <f>IF(OHW!$G66="","",OHW!$B66&amp;"")</f>
        <v/>
      </c>
      <c r="J1113">
        <f>IF(OHW!$G66="","",OHW!$E66)</f>
        <v/>
      </c>
      <c r="K1113">
        <f>IF(OHW!$G66="","",COUNTIFS(OHW!$A$5:$A$1668,OHW!$A66,OHW!$C$5:$C$1668,OHW!$C66))</f>
        <v/>
      </c>
      <c r="L1113">
        <f>IF(OHW!$G66="","",OHW!$D66&amp;"")</f>
        <v/>
      </c>
      <c r="M1113">
        <f>IF(OHW!$G66="","",OHW!$F66)</f>
        <v/>
      </c>
      <c r="N1113">
        <f>IF(OHW!$G66="","",OHW!$G66)</f>
        <v/>
      </c>
      <c r="O1113">
        <f>IF(OHW!$G66="","",OHW!$I66)</f>
        <v/>
      </c>
      <c r="P1113">
        <f>IF(OHW!$G66="","","Final")</f>
        <v/>
      </c>
    </row>
    <row r="1114">
      <c r="A1114">
        <f>IF(OHW!$G67="","","OHW")</f>
        <v/>
      </c>
      <c r="B1114">
        <f>IF(OHW!$G67="","","OHW")</f>
        <v/>
      </c>
      <c r="C1114" s="18">
        <f>IF(OHW!$G67="","",OHW!$A67)</f>
        <v/>
      </c>
      <c r="F1114">
        <f>IF(OHW!$G67="","",OHW!$B67&amp;"")</f>
        <v/>
      </c>
      <c r="J1114">
        <f>IF(OHW!$G67="","",OHW!$E67)</f>
        <v/>
      </c>
      <c r="K1114">
        <f>IF(OHW!$G67="","",COUNTIFS(OHW!$A$5:$A$1668,OHW!$A67,OHW!$C$5:$C$1668,OHW!$C67))</f>
        <v/>
      </c>
      <c r="L1114">
        <f>IF(OHW!$G67="","",OHW!$D67&amp;"")</f>
        <v/>
      </c>
      <c r="M1114">
        <f>IF(OHW!$G67="","",OHW!$F67)</f>
        <v/>
      </c>
      <c r="N1114">
        <f>IF(OHW!$G67="","",OHW!$G67)</f>
        <v/>
      </c>
      <c r="O1114">
        <f>IF(OHW!$G67="","",OHW!$I67)</f>
        <v/>
      </c>
      <c r="P1114">
        <f>IF(OHW!$G67="","","Final")</f>
        <v/>
      </c>
    </row>
    <row r="1115">
      <c r="A1115">
        <f>IF(OHW!$G68="","","OHW")</f>
        <v/>
      </c>
      <c r="B1115">
        <f>IF(OHW!$G68="","","OHW")</f>
        <v/>
      </c>
      <c r="C1115" s="18">
        <f>IF(OHW!$G68="","",OHW!$A68)</f>
        <v/>
      </c>
      <c r="F1115">
        <f>IF(OHW!$G68="","",OHW!$B68&amp;"")</f>
        <v/>
      </c>
      <c r="J1115">
        <f>IF(OHW!$G68="","",OHW!$E68)</f>
        <v/>
      </c>
      <c r="K1115">
        <f>IF(OHW!$G68="","",COUNTIFS(OHW!$A$5:$A$1668,OHW!$A68,OHW!$C$5:$C$1668,OHW!$C68))</f>
        <v/>
      </c>
      <c r="L1115">
        <f>IF(OHW!$G68="","",OHW!$D68&amp;"")</f>
        <v/>
      </c>
      <c r="M1115">
        <f>IF(OHW!$G68="","",OHW!$F68)</f>
        <v/>
      </c>
      <c r="N1115">
        <f>IF(OHW!$G68="","",OHW!$G68)</f>
        <v/>
      </c>
      <c r="O1115">
        <f>IF(OHW!$G68="","",OHW!$I68)</f>
        <v/>
      </c>
      <c r="P1115">
        <f>IF(OHW!$G68="","","Final")</f>
        <v/>
      </c>
    </row>
    <row r="1116">
      <c r="A1116">
        <f>IF(OHW!$G69="","","OHW")</f>
        <v/>
      </c>
      <c r="B1116">
        <f>IF(OHW!$G69="","","OHW")</f>
        <v/>
      </c>
      <c r="C1116" s="18">
        <f>IF(OHW!$G69="","",OHW!$A69)</f>
        <v/>
      </c>
      <c r="F1116">
        <f>IF(OHW!$G69="","",OHW!$B69&amp;"")</f>
        <v/>
      </c>
      <c r="J1116">
        <f>IF(OHW!$G69="","",OHW!$E69)</f>
        <v/>
      </c>
      <c r="K1116">
        <f>IF(OHW!$G69="","",COUNTIFS(OHW!$A$5:$A$1668,OHW!$A69,OHW!$C$5:$C$1668,OHW!$C69))</f>
        <v/>
      </c>
      <c r="L1116">
        <f>IF(OHW!$G69="","",OHW!$D69&amp;"")</f>
        <v/>
      </c>
      <c r="M1116">
        <f>IF(OHW!$G69="","",OHW!$F69)</f>
        <v/>
      </c>
      <c r="N1116">
        <f>IF(OHW!$G69="","",OHW!$G69)</f>
        <v/>
      </c>
      <c r="O1116">
        <f>IF(OHW!$G69="","",OHW!$I69)</f>
        <v/>
      </c>
      <c r="P1116">
        <f>IF(OHW!$G69="","","Final")</f>
        <v/>
      </c>
    </row>
    <row r="1117">
      <c r="A1117">
        <f>IF(OHW!$G70="","","OHW")</f>
        <v/>
      </c>
      <c r="B1117">
        <f>IF(OHW!$G70="","","OHW")</f>
        <v/>
      </c>
      <c r="C1117" s="18">
        <f>IF(OHW!$G70="","",OHW!$A70)</f>
        <v/>
      </c>
      <c r="F1117">
        <f>IF(OHW!$G70="","",OHW!$B70&amp;"")</f>
        <v/>
      </c>
      <c r="J1117">
        <f>IF(OHW!$G70="","",OHW!$E70)</f>
        <v/>
      </c>
      <c r="K1117">
        <f>IF(OHW!$G70="","",COUNTIFS(OHW!$A$5:$A$1668,OHW!$A70,OHW!$C$5:$C$1668,OHW!$C70))</f>
        <v/>
      </c>
      <c r="L1117">
        <f>IF(OHW!$G70="","",OHW!$D70&amp;"")</f>
        <v/>
      </c>
      <c r="M1117">
        <f>IF(OHW!$G70="","",OHW!$F70)</f>
        <v/>
      </c>
      <c r="N1117">
        <f>IF(OHW!$G70="","",OHW!$G70)</f>
        <v/>
      </c>
      <c r="O1117">
        <f>IF(OHW!$G70="","",OHW!$I70)</f>
        <v/>
      </c>
      <c r="P1117">
        <f>IF(OHW!$G70="","","Final")</f>
        <v/>
      </c>
    </row>
    <row r="1118">
      <c r="A1118">
        <f>IF(OHW!$G71="","","OHW")</f>
        <v/>
      </c>
      <c r="B1118">
        <f>IF(OHW!$G71="","","OHW")</f>
        <v/>
      </c>
      <c r="C1118" s="18">
        <f>IF(OHW!$G71="","",OHW!$A71)</f>
        <v/>
      </c>
      <c r="F1118">
        <f>IF(OHW!$G71="","",OHW!$B71&amp;"")</f>
        <v/>
      </c>
      <c r="J1118">
        <f>IF(OHW!$G71="","",OHW!$E71)</f>
        <v/>
      </c>
      <c r="K1118">
        <f>IF(OHW!$G71="","",COUNTIFS(OHW!$A$5:$A$1668,OHW!$A71,OHW!$C$5:$C$1668,OHW!$C71))</f>
        <v/>
      </c>
      <c r="L1118">
        <f>IF(OHW!$G71="","",OHW!$D71&amp;"")</f>
        <v/>
      </c>
      <c r="M1118">
        <f>IF(OHW!$G71="","",OHW!$F71)</f>
        <v/>
      </c>
      <c r="N1118">
        <f>IF(OHW!$G71="","",OHW!$G71)</f>
        <v/>
      </c>
      <c r="O1118">
        <f>IF(OHW!$G71="","",OHW!$I71)</f>
        <v/>
      </c>
      <c r="P1118">
        <f>IF(OHW!$G71="","","Final")</f>
        <v/>
      </c>
    </row>
    <row r="1119">
      <c r="A1119">
        <f>IF(OHW!$G72="","","OHW")</f>
        <v/>
      </c>
      <c r="B1119">
        <f>IF(OHW!$G72="","","OHW")</f>
        <v/>
      </c>
      <c r="C1119" s="18">
        <f>IF(OHW!$G72="","",OHW!$A72)</f>
        <v/>
      </c>
      <c r="F1119">
        <f>IF(OHW!$G72="","",OHW!$B72&amp;"")</f>
        <v/>
      </c>
      <c r="J1119">
        <f>IF(OHW!$G72="","",OHW!$E72)</f>
        <v/>
      </c>
      <c r="K1119">
        <f>IF(OHW!$G72="","",COUNTIFS(OHW!$A$5:$A$1668,OHW!$A72,OHW!$C$5:$C$1668,OHW!$C72))</f>
        <v/>
      </c>
      <c r="L1119">
        <f>IF(OHW!$G72="","",OHW!$D72&amp;"")</f>
        <v/>
      </c>
      <c r="M1119">
        <f>IF(OHW!$G72="","",OHW!$F72)</f>
        <v/>
      </c>
      <c r="N1119">
        <f>IF(OHW!$G72="","",OHW!$G72)</f>
        <v/>
      </c>
      <c r="O1119">
        <f>IF(OHW!$G72="","",OHW!$I72)</f>
        <v/>
      </c>
      <c r="P1119">
        <f>IF(OHW!$G72="","","Final")</f>
        <v/>
      </c>
    </row>
    <row r="1120">
      <c r="A1120">
        <f>IF(OHW!$G73="","","OHW")</f>
        <v/>
      </c>
      <c r="B1120">
        <f>IF(OHW!$G73="","","OHW")</f>
        <v/>
      </c>
      <c r="C1120" s="18">
        <f>IF(OHW!$G73="","",OHW!$A73)</f>
        <v/>
      </c>
      <c r="F1120">
        <f>IF(OHW!$G73="","",OHW!$B73&amp;"")</f>
        <v/>
      </c>
      <c r="J1120">
        <f>IF(OHW!$G73="","",OHW!$E73)</f>
        <v/>
      </c>
      <c r="K1120">
        <f>IF(OHW!$G73="","",COUNTIFS(OHW!$A$5:$A$1668,OHW!$A73,OHW!$C$5:$C$1668,OHW!$C73))</f>
        <v/>
      </c>
      <c r="L1120">
        <f>IF(OHW!$G73="","",OHW!$D73&amp;"")</f>
        <v/>
      </c>
      <c r="M1120">
        <f>IF(OHW!$G73="","",OHW!$F73)</f>
        <v/>
      </c>
      <c r="N1120">
        <f>IF(OHW!$G73="","",OHW!$G73)</f>
        <v/>
      </c>
      <c r="O1120">
        <f>IF(OHW!$G73="","",OHW!$I73)</f>
        <v/>
      </c>
      <c r="P1120">
        <f>IF(OHW!$G73="","","Final")</f>
        <v/>
      </c>
    </row>
    <row r="1121">
      <c r="A1121">
        <f>IF(OHW!$G74="","","OHW")</f>
        <v/>
      </c>
      <c r="B1121">
        <f>IF(OHW!$G74="","","OHW")</f>
        <v/>
      </c>
      <c r="C1121" s="18">
        <f>IF(OHW!$G74="","",OHW!$A74)</f>
        <v/>
      </c>
      <c r="F1121">
        <f>IF(OHW!$G74="","",OHW!$B74&amp;"")</f>
        <v/>
      </c>
      <c r="J1121">
        <f>IF(OHW!$G74="","",OHW!$E74)</f>
        <v/>
      </c>
      <c r="K1121">
        <f>IF(OHW!$G74="","",COUNTIFS(OHW!$A$5:$A$1668,OHW!$A74,OHW!$C$5:$C$1668,OHW!$C74))</f>
        <v/>
      </c>
      <c r="L1121">
        <f>IF(OHW!$G74="","",OHW!$D74&amp;"")</f>
        <v/>
      </c>
      <c r="M1121">
        <f>IF(OHW!$G74="","",OHW!$F74)</f>
        <v/>
      </c>
      <c r="N1121">
        <f>IF(OHW!$G74="","",OHW!$G74)</f>
        <v/>
      </c>
      <c r="O1121">
        <f>IF(OHW!$G74="","",OHW!$I74)</f>
        <v/>
      </c>
      <c r="P1121">
        <f>IF(OHW!$G74="","","Final")</f>
        <v/>
      </c>
    </row>
    <row r="1122">
      <c r="A1122">
        <f>IF(OHW!$G75="","","OHW")</f>
        <v/>
      </c>
      <c r="B1122">
        <f>IF(OHW!$G75="","","OHW")</f>
        <v/>
      </c>
      <c r="C1122" s="18">
        <f>IF(OHW!$G75="","",OHW!$A75)</f>
        <v/>
      </c>
      <c r="F1122">
        <f>IF(OHW!$G75="","",OHW!$B75&amp;"")</f>
        <v/>
      </c>
      <c r="J1122">
        <f>IF(OHW!$G75="","",OHW!$E75)</f>
        <v/>
      </c>
      <c r="K1122">
        <f>IF(OHW!$G75="","",COUNTIFS(OHW!$A$5:$A$1668,OHW!$A75,OHW!$C$5:$C$1668,OHW!$C75))</f>
        <v/>
      </c>
      <c r="L1122">
        <f>IF(OHW!$G75="","",OHW!$D75&amp;"")</f>
        <v/>
      </c>
      <c r="M1122">
        <f>IF(OHW!$G75="","",OHW!$F75)</f>
        <v/>
      </c>
      <c r="N1122">
        <f>IF(OHW!$G75="","",OHW!$G75)</f>
        <v/>
      </c>
      <c r="O1122">
        <f>IF(OHW!$G75="","",OHW!$I75)</f>
        <v/>
      </c>
      <c r="P1122">
        <f>IF(OHW!$G75="","","Final")</f>
        <v/>
      </c>
    </row>
    <row r="1123">
      <c r="A1123">
        <f>IF(OHW!$G76="","","OHW")</f>
        <v/>
      </c>
      <c r="B1123">
        <f>IF(OHW!$G76="","","OHW")</f>
        <v/>
      </c>
      <c r="C1123" s="18">
        <f>IF(OHW!$G76="","",OHW!$A76)</f>
        <v/>
      </c>
      <c r="F1123">
        <f>IF(OHW!$G76="","",OHW!$B76&amp;"")</f>
        <v/>
      </c>
      <c r="J1123">
        <f>IF(OHW!$G76="","",OHW!$E76)</f>
        <v/>
      </c>
      <c r="K1123">
        <f>IF(OHW!$G76="","",COUNTIFS(OHW!$A$5:$A$1668,OHW!$A76,OHW!$C$5:$C$1668,OHW!$C76))</f>
        <v/>
      </c>
      <c r="L1123">
        <f>IF(OHW!$G76="","",OHW!$D76&amp;"")</f>
        <v/>
      </c>
      <c r="M1123">
        <f>IF(OHW!$G76="","",OHW!$F76)</f>
        <v/>
      </c>
      <c r="N1123">
        <f>IF(OHW!$G76="","",OHW!$G76)</f>
        <v/>
      </c>
      <c r="O1123">
        <f>IF(OHW!$G76="","",OHW!$I76)</f>
        <v/>
      </c>
      <c r="P1123">
        <f>IF(OHW!$G76="","","Final")</f>
        <v/>
      </c>
    </row>
    <row r="1124">
      <c r="A1124">
        <f>IF(OHW!$G77="","","OHW")</f>
        <v/>
      </c>
      <c r="B1124">
        <f>IF(OHW!$G77="","","OHW")</f>
        <v/>
      </c>
      <c r="C1124" s="18">
        <f>IF(OHW!$G77="","",OHW!$A77)</f>
        <v/>
      </c>
      <c r="F1124">
        <f>IF(OHW!$G77="","",OHW!$B77&amp;"")</f>
        <v/>
      </c>
      <c r="J1124">
        <f>IF(OHW!$G77="","",OHW!$E77)</f>
        <v/>
      </c>
      <c r="K1124">
        <f>IF(OHW!$G77="","",COUNTIFS(OHW!$A$5:$A$1668,OHW!$A77,OHW!$C$5:$C$1668,OHW!$C77))</f>
        <v/>
      </c>
      <c r="L1124">
        <f>IF(OHW!$G77="","",OHW!$D77&amp;"")</f>
        <v/>
      </c>
      <c r="M1124">
        <f>IF(OHW!$G77="","",OHW!$F77)</f>
        <v/>
      </c>
      <c r="N1124">
        <f>IF(OHW!$G77="","",OHW!$G77)</f>
        <v/>
      </c>
      <c r="O1124">
        <f>IF(OHW!$G77="","",OHW!$I77)</f>
        <v/>
      </c>
      <c r="P1124">
        <f>IF(OHW!$G77="","","Final")</f>
        <v/>
      </c>
    </row>
    <row r="1125">
      <c r="A1125">
        <f>IF(OHW!$G78="","","OHW")</f>
        <v/>
      </c>
      <c r="B1125">
        <f>IF(OHW!$G78="","","OHW")</f>
        <v/>
      </c>
      <c r="C1125" s="18">
        <f>IF(OHW!$G78="","",OHW!$A78)</f>
        <v/>
      </c>
      <c r="F1125">
        <f>IF(OHW!$G78="","",OHW!$B78&amp;"")</f>
        <v/>
      </c>
      <c r="J1125">
        <f>IF(OHW!$G78="","",OHW!$E78)</f>
        <v/>
      </c>
      <c r="K1125">
        <f>IF(OHW!$G78="","",COUNTIFS(OHW!$A$5:$A$1668,OHW!$A78,OHW!$C$5:$C$1668,OHW!$C78))</f>
        <v/>
      </c>
      <c r="L1125">
        <f>IF(OHW!$G78="","",OHW!$D78&amp;"")</f>
        <v/>
      </c>
      <c r="M1125">
        <f>IF(OHW!$G78="","",OHW!$F78)</f>
        <v/>
      </c>
      <c r="N1125">
        <f>IF(OHW!$G78="","",OHW!$G78)</f>
        <v/>
      </c>
      <c r="O1125">
        <f>IF(OHW!$G78="","",OHW!$I78)</f>
        <v/>
      </c>
      <c r="P1125">
        <f>IF(OHW!$G78="","","Final")</f>
        <v/>
      </c>
    </row>
    <row r="1126">
      <c r="A1126">
        <f>IF(OHW!$G79="","","OHW")</f>
        <v/>
      </c>
      <c r="B1126">
        <f>IF(OHW!$G79="","","OHW")</f>
        <v/>
      </c>
      <c r="C1126" s="18">
        <f>IF(OHW!$G79="","",OHW!$A79)</f>
        <v/>
      </c>
      <c r="F1126">
        <f>IF(OHW!$G79="","",OHW!$B79&amp;"")</f>
        <v/>
      </c>
      <c r="J1126">
        <f>IF(OHW!$G79="","",OHW!$E79)</f>
        <v/>
      </c>
      <c r="K1126">
        <f>IF(OHW!$G79="","",COUNTIFS(OHW!$A$5:$A$1668,OHW!$A79,OHW!$C$5:$C$1668,OHW!$C79))</f>
        <v/>
      </c>
      <c r="L1126">
        <f>IF(OHW!$G79="","",OHW!$D79&amp;"")</f>
        <v/>
      </c>
      <c r="M1126">
        <f>IF(OHW!$G79="","",OHW!$F79)</f>
        <v/>
      </c>
      <c r="N1126">
        <f>IF(OHW!$G79="","",OHW!$G79)</f>
        <v/>
      </c>
      <c r="O1126">
        <f>IF(OHW!$G79="","",OHW!$I79)</f>
        <v/>
      </c>
      <c r="P1126">
        <f>IF(OHW!$G79="","","Final")</f>
        <v/>
      </c>
    </row>
    <row r="1127">
      <c r="A1127">
        <f>IF(OHW!$G80="","","OHW")</f>
        <v/>
      </c>
      <c r="B1127">
        <f>IF(OHW!$G80="","","OHW")</f>
        <v/>
      </c>
      <c r="C1127" s="18">
        <f>IF(OHW!$G80="","",OHW!$A80)</f>
        <v/>
      </c>
      <c r="F1127">
        <f>IF(OHW!$G80="","",OHW!$B80&amp;"")</f>
        <v/>
      </c>
      <c r="J1127">
        <f>IF(OHW!$G80="","",OHW!$E80)</f>
        <v/>
      </c>
      <c r="K1127">
        <f>IF(OHW!$G80="","",COUNTIFS(OHW!$A$5:$A$1668,OHW!$A80,OHW!$C$5:$C$1668,OHW!$C80))</f>
        <v/>
      </c>
      <c r="L1127">
        <f>IF(OHW!$G80="","",OHW!$D80&amp;"")</f>
        <v/>
      </c>
      <c r="M1127">
        <f>IF(OHW!$G80="","",OHW!$F80)</f>
        <v/>
      </c>
      <c r="N1127">
        <f>IF(OHW!$G80="","",OHW!$G80)</f>
        <v/>
      </c>
      <c r="O1127">
        <f>IF(OHW!$G80="","",OHW!$I80)</f>
        <v/>
      </c>
      <c r="P1127">
        <f>IF(OHW!$G80="","","Final")</f>
        <v/>
      </c>
    </row>
    <row r="1128">
      <c r="A1128">
        <f>IF(OHW!$G81="","","OHW")</f>
        <v/>
      </c>
      <c r="B1128">
        <f>IF(OHW!$G81="","","OHW")</f>
        <v/>
      </c>
      <c r="C1128" s="18">
        <f>IF(OHW!$G81="","",OHW!$A81)</f>
        <v/>
      </c>
      <c r="F1128">
        <f>IF(OHW!$G81="","",OHW!$B81&amp;"")</f>
        <v/>
      </c>
      <c r="J1128">
        <f>IF(OHW!$G81="","",OHW!$E81)</f>
        <v/>
      </c>
      <c r="K1128">
        <f>IF(OHW!$G81="","",COUNTIFS(OHW!$A$5:$A$1668,OHW!$A81,OHW!$C$5:$C$1668,OHW!$C81))</f>
        <v/>
      </c>
      <c r="L1128">
        <f>IF(OHW!$G81="","",OHW!$D81&amp;"")</f>
        <v/>
      </c>
      <c r="M1128">
        <f>IF(OHW!$G81="","",OHW!$F81)</f>
        <v/>
      </c>
      <c r="N1128">
        <f>IF(OHW!$G81="","",OHW!$G81)</f>
        <v/>
      </c>
      <c r="O1128">
        <f>IF(OHW!$G81="","",OHW!$I81)</f>
        <v/>
      </c>
      <c r="P1128">
        <f>IF(OHW!$G81="","","Final")</f>
        <v/>
      </c>
    </row>
    <row r="1129">
      <c r="A1129">
        <f>IF(OHW!$G82="","","OHW")</f>
        <v/>
      </c>
      <c r="B1129">
        <f>IF(OHW!$G82="","","OHW")</f>
        <v/>
      </c>
      <c r="C1129" s="18">
        <f>IF(OHW!$G82="","",OHW!$A82)</f>
        <v/>
      </c>
      <c r="F1129">
        <f>IF(OHW!$G82="","",OHW!$B82&amp;"")</f>
        <v/>
      </c>
      <c r="J1129">
        <f>IF(OHW!$G82="","",OHW!$E82)</f>
        <v/>
      </c>
      <c r="K1129">
        <f>IF(OHW!$G82="","",COUNTIFS(OHW!$A$5:$A$1668,OHW!$A82,OHW!$C$5:$C$1668,OHW!$C82))</f>
        <v/>
      </c>
      <c r="L1129">
        <f>IF(OHW!$G82="","",OHW!$D82&amp;"")</f>
        <v/>
      </c>
      <c r="M1129">
        <f>IF(OHW!$G82="","",OHW!$F82)</f>
        <v/>
      </c>
      <c r="N1129">
        <f>IF(OHW!$G82="","",OHW!$G82)</f>
        <v/>
      </c>
      <c r="O1129">
        <f>IF(OHW!$G82="","",OHW!$I82)</f>
        <v/>
      </c>
      <c r="P1129">
        <f>IF(OHW!$G82="","","Final")</f>
        <v/>
      </c>
    </row>
    <row r="1130">
      <c r="A1130">
        <f>IF(OHW!$G83="","","OHW")</f>
        <v/>
      </c>
      <c r="B1130">
        <f>IF(OHW!$G83="","","OHW")</f>
        <v/>
      </c>
      <c r="C1130" s="18">
        <f>IF(OHW!$G83="","",OHW!$A83)</f>
        <v/>
      </c>
      <c r="F1130">
        <f>IF(OHW!$G83="","",OHW!$B83&amp;"")</f>
        <v/>
      </c>
      <c r="J1130">
        <f>IF(OHW!$G83="","",OHW!$E83)</f>
        <v/>
      </c>
      <c r="K1130">
        <f>IF(OHW!$G83="","",COUNTIFS(OHW!$A$5:$A$1668,OHW!$A83,OHW!$C$5:$C$1668,OHW!$C83))</f>
        <v/>
      </c>
      <c r="L1130">
        <f>IF(OHW!$G83="","",OHW!$D83&amp;"")</f>
        <v/>
      </c>
      <c r="M1130">
        <f>IF(OHW!$G83="","",OHW!$F83)</f>
        <v/>
      </c>
      <c r="N1130">
        <f>IF(OHW!$G83="","",OHW!$G83)</f>
        <v/>
      </c>
      <c r="O1130">
        <f>IF(OHW!$G83="","",OHW!$I83)</f>
        <v/>
      </c>
      <c r="P1130">
        <f>IF(OHW!$G83="","","Final")</f>
        <v/>
      </c>
    </row>
    <row r="1131">
      <c r="A1131">
        <f>IF(OHW!$G84="","","OHW")</f>
        <v/>
      </c>
      <c r="B1131">
        <f>IF(OHW!$G84="","","OHW")</f>
        <v/>
      </c>
      <c r="C1131" s="18">
        <f>IF(OHW!$G84="","",OHW!$A84)</f>
        <v/>
      </c>
      <c r="F1131">
        <f>IF(OHW!$G84="","",OHW!$B84&amp;"")</f>
        <v/>
      </c>
      <c r="J1131">
        <f>IF(OHW!$G84="","",OHW!$E84)</f>
        <v/>
      </c>
      <c r="K1131">
        <f>IF(OHW!$G84="","",COUNTIFS(OHW!$A$5:$A$1668,OHW!$A84,OHW!$C$5:$C$1668,OHW!$C84))</f>
        <v/>
      </c>
      <c r="L1131">
        <f>IF(OHW!$G84="","",OHW!$D84&amp;"")</f>
        <v/>
      </c>
      <c r="M1131">
        <f>IF(OHW!$G84="","",OHW!$F84)</f>
        <v/>
      </c>
      <c r="N1131">
        <f>IF(OHW!$G84="","",OHW!$G84)</f>
        <v/>
      </c>
      <c r="O1131">
        <f>IF(OHW!$G84="","",OHW!$I84)</f>
        <v/>
      </c>
      <c r="P1131">
        <f>IF(OHW!$G84="","","Final")</f>
        <v/>
      </c>
    </row>
    <row r="1132">
      <c r="A1132">
        <f>IF(OHW!$G85="","","OHW")</f>
        <v/>
      </c>
      <c r="B1132">
        <f>IF(OHW!$G85="","","OHW")</f>
        <v/>
      </c>
      <c r="C1132" s="18">
        <f>IF(OHW!$G85="","",OHW!$A85)</f>
        <v/>
      </c>
      <c r="F1132">
        <f>IF(OHW!$G85="","",OHW!$B85&amp;"")</f>
        <v/>
      </c>
      <c r="J1132">
        <f>IF(OHW!$G85="","",OHW!$E85)</f>
        <v/>
      </c>
      <c r="K1132">
        <f>IF(OHW!$G85="","",COUNTIFS(OHW!$A$5:$A$1668,OHW!$A85,OHW!$C$5:$C$1668,OHW!$C85))</f>
        <v/>
      </c>
      <c r="L1132">
        <f>IF(OHW!$G85="","",OHW!$D85&amp;"")</f>
        <v/>
      </c>
      <c r="M1132">
        <f>IF(OHW!$G85="","",OHW!$F85)</f>
        <v/>
      </c>
      <c r="N1132">
        <f>IF(OHW!$G85="","",OHW!$G85)</f>
        <v/>
      </c>
      <c r="O1132">
        <f>IF(OHW!$G85="","",OHW!$I85)</f>
        <v/>
      </c>
      <c r="P1132">
        <f>IF(OHW!$G85="","","Final")</f>
        <v/>
      </c>
    </row>
    <row r="1133">
      <c r="A1133">
        <f>IF(OHW!$G86="","","OHW")</f>
        <v/>
      </c>
      <c r="B1133">
        <f>IF(OHW!$G86="","","OHW")</f>
        <v/>
      </c>
      <c r="C1133" s="18">
        <f>IF(OHW!$G86="","",OHW!$A86)</f>
        <v/>
      </c>
      <c r="F1133">
        <f>IF(OHW!$G86="","",OHW!$B86&amp;"")</f>
        <v/>
      </c>
      <c r="J1133">
        <f>IF(OHW!$G86="","",OHW!$E86)</f>
        <v/>
      </c>
      <c r="K1133">
        <f>IF(OHW!$G86="","",COUNTIFS(OHW!$A$5:$A$1668,OHW!$A86,OHW!$C$5:$C$1668,OHW!$C86))</f>
        <v/>
      </c>
      <c r="L1133">
        <f>IF(OHW!$G86="","",OHW!$D86&amp;"")</f>
        <v/>
      </c>
      <c r="M1133">
        <f>IF(OHW!$G86="","",OHW!$F86)</f>
        <v/>
      </c>
      <c r="N1133">
        <f>IF(OHW!$G86="","",OHW!$G86)</f>
        <v/>
      </c>
      <c r="O1133">
        <f>IF(OHW!$G86="","",OHW!$I86)</f>
        <v/>
      </c>
      <c r="P1133">
        <f>IF(OHW!$G86="","","Final")</f>
        <v/>
      </c>
    </row>
    <row r="1134">
      <c r="A1134">
        <f>IF(OHW!$G87="","","OHW")</f>
        <v/>
      </c>
      <c r="B1134">
        <f>IF(OHW!$G87="","","OHW")</f>
        <v/>
      </c>
      <c r="C1134" s="18">
        <f>IF(OHW!$G87="","",OHW!$A87)</f>
        <v/>
      </c>
      <c r="F1134">
        <f>IF(OHW!$G87="","",OHW!$B87&amp;"")</f>
        <v/>
      </c>
      <c r="J1134">
        <f>IF(OHW!$G87="","",OHW!$E87)</f>
        <v/>
      </c>
      <c r="K1134">
        <f>IF(OHW!$G87="","",COUNTIFS(OHW!$A$5:$A$1668,OHW!$A87,OHW!$C$5:$C$1668,OHW!$C87))</f>
        <v/>
      </c>
      <c r="L1134">
        <f>IF(OHW!$G87="","",OHW!$D87&amp;"")</f>
        <v/>
      </c>
      <c r="M1134">
        <f>IF(OHW!$G87="","",OHW!$F87)</f>
        <v/>
      </c>
      <c r="N1134">
        <f>IF(OHW!$G87="","",OHW!$G87)</f>
        <v/>
      </c>
      <c r="O1134">
        <f>IF(OHW!$G87="","",OHW!$I87)</f>
        <v/>
      </c>
      <c r="P1134">
        <f>IF(OHW!$G87="","","Final")</f>
        <v/>
      </c>
    </row>
    <row r="1135">
      <c r="A1135">
        <f>IF(OHW!$G88="","","OHW")</f>
        <v/>
      </c>
      <c r="B1135">
        <f>IF(OHW!$G88="","","OHW")</f>
        <v/>
      </c>
      <c r="C1135" s="18">
        <f>IF(OHW!$G88="","",OHW!$A88)</f>
        <v/>
      </c>
      <c r="F1135">
        <f>IF(OHW!$G88="","",OHW!$B88&amp;"")</f>
        <v/>
      </c>
      <c r="J1135">
        <f>IF(OHW!$G88="","",OHW!$E88)</f>
        <v/>
      </c>
      <c r="K1135">
        <f>IF(OHW!$G88="","",COUNTIFS(OHW!$A$5:$A$1668,OHW!$A88,OHW!$C$5:$C$1668,OHW!$C88))</f>
        <v/>
      </c>
      <c r="L1135">
        <f>IF(OHW!$G88="","",OHW!$D88&amp;"")</f>
        <v/>
      </c>
      <c r="M1135">
        <f>IF(OHW!$G88="","",OHW!$F88)</f>
        <v/>
      </c>
      <c r="N1135">
        <f>IF(OHW!$G88="","",OHW!$G88)</f>
        <v/>
      </c>
      <c r="O1135">
        <f>IF(OHW!$G88="","",OHW!$I88)</f>
        <v/>
      </c>
      <c r="P1135">
        <f>IF(OHW!$G88="","","Final")</f>
        <v/>
      </c>
    </row>
    <row r="1136">
      <c r="A1136">
        <f>IF(OHW!$G89="","","OHW")</f>
        <v/>
      </c>
      <c r="B1136">
        <f>IF(OHW!$G89="","","OHW")</f>
        <v/>
      </c>
      <c r="C1136" s="18">
        <f>IF(OHW!$G89="","",OHW!$A89)</f>
        <v/>
      </c>
      <c r="F1136">
        <f>IF(OHW!$G89="","",OHW!$B89&amp;"")</f>
        <v/>
      </c>
      <c r="J1136">
        <f>IF(OHW!$G89="","",OHW!$E89)</f>
        <v/>
      </c>
      <c r="K1136">
        <f>IF(OHW!$G89="","",COUNTIFS(OHW!$A$5:$A$1668,OHW!$A89,OHW!$C$5:$C$1668,OHW!$C89))</f>
        <v/>
      </c>
      <c r="L1136">
        <f>IF(OHW!$G89="","",OHW!$D89&amp;"")</f>
        <v/>
      </c>
      <c r="M1136">
        <f>IF(OHW!$G89="","",OHW!$F89)</f>
        <v/>
      </c>
      <c r="N1136">
        <f>IF(OHW!$G89="","",OHW!$G89)</f>
        <v/>
      </c>
      <c r="O1136">
        <f>IF(OHW!$G89="","",OHW!$I89)</f>
        <v/>
      </c>
      <c r="P1136">
        <f>IF(OHW!$G89="","","Final")</f>
        <v/>
      </c>
    </row>
    <row r="1137">
      <c r="A1137">
        <f>IF(OHW!$G90="","","OHW")</f>
        <v/>
      </c>
      <c r="B1137">
        <f>IF(OHW!$G90="","","OHW")</f>
        <v/>
      </c>
      <c r="C1137" s="18">
        <f>IF(OHW!$G90="","",OHW!$A90)</f>
        <v/>
      </c>
      <c r="F1137">
        <f>IF(OHW!$G90="","",OHW!$B90&amp;"")</f>
        <v/>
      </c>
      <c r="J1137">
        <f>IF(OHW!$G90="","",OHW!$E90)</f>
        <v/>
      </c>
      <c r="K1137">
        <f>IF(OHW!$G90="","",COUNTIFS(OHW!$A$5:$A$1668,OHW!$A90,OHW!$C$5:$C$1668,OHW!$C90))</f>
        <v/>
      </c>
      <c r="L1137">
        <f>IF(OHW!$G90="","",OHW!$D90&amp;"")</f>
        <v/>
      </c>
      <c r="M1137">
        <f>IF(OHW!$G90="","",OHW!$F90)</f>
        <v/>
      </c>
      <c r="N1137">
        <f>IF(OHW!$G90="","",OHW!$G90)</f>
        <v/>
      </c>
      <c r="O1137">
        <f>IF(OHW!$G90="","",OHW!$I90)</f>
        <v/>
      </c>
      <c r="P1137">
        <f>IF(OHW!$G90="","","Final")</f>
        <v/>
      </c>
    </row>
    <row r="1138">
      <c r="A1138">
        <f>IF(OHW!$G91="","","OHW")</f>
        <v/>
      </c>
      <c r="B1138">
        <f>IF(OHW!$G91="","","OHW")</f>
        <v/>
      </c>
      <c r="C1138" s="18">
        <f>IF(OHW!$G91="","",OHW!$A91)</f>
        <v/>
      </c>
      <c r="F1138">
        <f>IF(OHW!$G91="","",OHW!$B91&amp;"")</f>
        <v/>
      </c>
      <c r="J1138">
        <f>IF(OHW!$G91="","",OHW!$E91)</f>
        <v/>
      </c>
      <c r="K1138">
        <f>IF(OHW!$G91="","",COUNTIFS(OHW!$A$5:$A$1668,OHW!$A91,OHW!$C$5:$C$1668,OHW!$C91))</f>
        <v/>
      </c>
      <c r="L1138">
        <f>IF(OHW!$G91="","",OHW!$D91&amp;"")</f>
        <v/>
      </c>
      <c r="M1138">
        <f>IF(OHW!$G91="","",OHW!$F91)</f>
        <v/>
      </c>
      <c r="N1138">
        <f>IF(OHW!$G91="","",OHW!$G91)</f>
        <v/>
      </c>
      <c r="O1138">
        <f>IF(OHW!$G91="","",OHW!$I91)</f>
        <v/>
      </c>
      <c r="P1138">
        <f>IF(OHW!$G91="","","Final")</f>
        <v/>
      </c>
    </row>
    <row r="1139">
      <c r="A1139">
        <f>IF(OHW!$G92="","","OHW")</f>
        <v/>
      </c>
      <c r="B1139">
        <f>IF(OHW!$G92="","","OHW")</f>
        <v/>
      </c>
      <c r="C1139" s="18">
        <f>IF(OHW!$G92="","",OHW!$A92)</f>
        <v/>
      </c>
      <c r="F1139">
        <f>IF(OHW!$G92="","",OHW!$B92&amp;"")</f>
        <v/>
      </c>
      <c r="J1139">
        <f>IF(OHW!$G92="","",OHW!$E92)</f>
        <v/>
      </c>
      <c r="K1139">
        <f>IF(OHW!$G92="","",COUNTIFS(OHW!$A$5:$A$1668,OHW!$A92,OHW!$C$5:$C$1668,OHW!$C92))</f>
        <v/>
      </c>
      <c r="L1139">
        <f>IF(OHW!$G92="","",OHW!$D92&amp;"")</f>
        <v/>
      </c>
      <c r="M1139">
        <f>IF(OHW!$G92="","",OHW!$F92)</f>
        <v/>
      </c>
      <c r="N1139">
        <f>IF(OHW!$G92="","",OHW!$G92)</f>
        <v/>
      </c>
      <c r="O1139">
        <f>IF(OHW!$G92="","",OHW!$I92)</f>
        <v/>
      </c>
      <c r="P1139">
        <f>IF(OHW!$G92="","","Final")</f>
        <v/>
      </c>
    </row>
    <row r="1140">
      <c r="A1140">
        <f>IF(OHW!$G93="","","OHW")</f>
        <v/>
      </c>
      <c r="B1140">
        <f>IF(OHW!$G93="","","OHW")</f>
        <v/>
      </c>
      <c r="C1140" s="18">
        <f>IF(OHW!$G93="","",OHW!$A93)</f>
        <v/>
      </c>
      <c r="F1140">
        <f>IF(OHW!$G93="","",OHW!$B93&amp;"")</f>
        <v/>
      </c>
      <c r="J1140">
        <f>IF(OHW!$G93="","",OHW!$E93)</f>
        <v/>
      </c>
      <c r="K1140">
        <f>IF(OHW!$G93="","",COUNTIFS(OHW!$A$5:$A$1668,OHW!$A93,OHW!$C$5:$C$1668,OHW!$C93))</f>
        <v/>
      </c>
      <c r="L1140">
        <f>IF(OHW!$G93="","",OHW!$D93&amp;"")</f>
        <v/>
      </c>
      <c r="M1140">
        <f>IF(OHW!$G93="","",OHW!$F93)</f>
        <v/>
      </c>
      <c r="N1140">
        <f>IF(OHW!$G93="","",OHW!$G93)</f>
        <v/>
      </c>
      <c r="O1140">
        <f>IF(OHW!$G93="","",OHW!$I93)</f>
        <v/>
      </c>
      <c r="P1140">
        <f>IF(OHW!$G93="","","Final")</f>
        <v/>
      </c>
    </row>
    <row r="1141">
      <c r="A1141">
        <f>IF(OHW!$G94="","","OHW")</f>
        <v/>
      </c>
      <c r="B1141">
        <f>IF(OHW!$G94="","","OHW")</f>
        <v/>
      </c>
      <c r="C1141" s="18">
        <f>IF(OHW!$G94="","",OHW!$A94)</f>
        <v/>
      </c>
      <c r="F1141">
        <f>IF(OHW!$G94="","",OHW!$B94&amp;"")</f>
        <v/>
      </c>
      <c r="J1141">
        <f>IF(OHW!$G94="","",OHW!$E94)</f>
        <v/>
      </c>
      <c r="K1141">
        <f>IF(OHW!$G94="","",COUNTIFS(OHW!$A$5:$A$1668,OHW!$A94,OHW!$C$5:$C$1668,OHW!$C94))</f>
        <v/>
      </c>
      <c r="L1141">
        <f>IF(OHW!$G94="","",OHW!$D94&amp;"")</f>
        <v/>
      </c>
      <c r="M1141">
        <f>IF(OHW!$G94="","",OHW!$F94)</f>
        <v/>
      </c>
      <c r="N1141">
        <f>IF(OHW!$G94="","",OHW!$G94)</f>
        <v/>
      </c>
      <c r="O1141">
        <f>IF(OHW!$G94="","",OHW!$I94)</f>
        <v/>
      </c>
      <c r="P1141">
        <f>IF(OHW!$G94="","","Final")</f>
        <v/>
      </c>
    </row>
    <row r="1142">
      <c r="A1142">
        <f>IF(OHW!$G95="","","OHW")</f>
        <v/>
      </c>
      <c r="B1142">
        <f>IF(OHW!$G95="","","OHW")</f>
        <v/>
      </c>
      <c r="C1142" s="18">
        <f>IF(OHW!$G95="","",OHW!$A95)</f>
        <v/>
      </c>
      <c r="F1142">
        <f>IF(OHW!$G95="","",OHW!$B95&amp;"")</f>
        <v/>
      </c>
      <c r="J1142">
        <f>IF(OHW!$G95="","",OHW!$E95)</f>
        <v/>
      </c>
      <c r="K1142">
        <f>IF(OHW!$G95="","",COUNTIFS(OHW!$A$5:$A$1668,OHW!$A95,OHW!$C$5:$C$1668,OHW!$C95))</f>
        <v/>
      </c>
      <c r="L1142">
        <f>IF(OHW!$G95="","",OHW!$D95&amp;"")</f>
        <v/>
      </c>
      <c r="M1142">
        <f>IF(OHW!$G95="","",OHW!$F95)</f>
        <v/>
      </c>
      <c r="N1142">
        <f>IF(OHW!$G95="","",OHW!$G95)</f>
        <v/>
      </c>
      <c r="O1142">
        <f>IF(OHW!$G95="","",OHW!$I95)</f>
        <v/>
      </c>
      <c r="P1142">
        <f>IF(OHW!$G95="","","Final")</f>
        <v/>
      </c>
    </row>
    <row r="1143">
      <c r="A1143">
        <f>IF(OHW!$G96="","","OHW")</f>
        <v/>
      </c>
      <c r="B1143">
        <f>IF(OHW!$G96="","","OHW")</f>
        <v/>
      </c>
      <c r="C1143" s="18">
        <f>IF(OHW!$G96="","",OHW!$A96)</f>
        <v/>
      </c>
      <c r="F1143">
        <f>IF(OHW!$G96="","",OHW!$B96&amp;"")</f>
        <v/>
      </c>
      <c r="J1143">
        <f>IF(OHW!$G96="","",OHW!$E96)</f>
        <v/>
      </c>
      <c r="K1143">
        <f>IF(OHW!$G96="","",COUNTIFS(OHW!$A$5:$A$1668,OHW!$A96,OHW!$C$5:$C$1668,OHW!$C96))</f>
        <v/>
      </c>
      <c r="L1143">
        <f>IF(OHW!$G96="","",OHW!$D96&amp;"")</f>
        <v/>
      </c>
      <c r="M1143">
        <f>IF(OHW!$G96="","",OHW!$F96)</f>
        <v/>
      </c>
      <c r="N1143">
        <f>IF(OHW!$G96="","",OHW!$G96)</f>
        <v/>
      </c>
      <c r="O1143">
        <f>IF(OHW!$G96="","",OHW!$I96)</f>
        <v/>
      </c>
      <c r="P1143">
        <f>IF(OHW!$G96="","","Final")</f>
        <v/>
      </c>
    </row>
    <row r="1144">
      <c r="A1144">
        <f>IF(OHW!$G97="","","OHW")</f>
        <v/>
      </c>
      <c r="B1144">
        <f>IF(OHW!$G97="","","OHW")</f>
        <v/>
      </c>
      <c r="C1144" s="18">
        <f>IF(OHW!$G97="","",OHW!$A97)</f>
        <v/>
      </c>
      <c r="F1144">
        <f>IF(OHW!$G97="","",OHW!$B97&amp;"")</f>
        <v/>
      </c>
      <c r="J1144">
        <f>IF(OHW!$G97="","",OHW!$E97)</f>
        <v/>
      </c>
      <c r="K1144">
        <f>IF(OHW!$G97="","",COUNTIFS(OHW!$A$5:$A$1668,OHW!$A97,OHW!$C$5:$C$1668,OHW!$C97))</f>
        <v/>
      </c>
      <c r="L1144">
        <f>IF(OHW!$G97="","",OHW!$D97&amp;"")</f>
        <v/>
      </c>
      <c r="M1144">
        <f>IF(OHW!$G97="","",OHW!$F97)</f>
        <v/>
      </c>
      <c r="N1144">
        <f>IF(OHW!$G97="","",OHW!$G97)</f>
        <v/>
      </c>
      <c r="O1144">
        <f>IF(OHW!$G97="","",OHW!$I97)</f>
        <v/>
      </c>
      <c r="P1144">
        <f>IF(OHW!$G97="","","Final")</f>
        <v/>
      </c>
    </row>
    <row r="1145">
      <c r="A1145">
        <f>IF(OHW!$G98="","","OHW")</f>
        <v/>
      </c>
      <c r="B1145">
        <f>IF(OHW!$G98="","","OHW")</f>
        <v/>
      </c>
      <c r="C1145" s="18">
        <f>IF(OHW!$G98="","",OHW!$A98)</f>
        <v/>
      </c>
      <c r="F1145">
        <f>IF(OHW!$G98="","",OHW!$B98&amp;"")</f>
        <v/>
      </c>
      <c r="J1145">
        <f>IF(OHW!$G98="","",OHW!$E98)</f>
        <v/>
      </c>
      <c r="K1145">
        <f>IF(OHW!$G98="","",COUNTIFS(OHW!$A$5:$A$1668,OHW!$A98,OHW!$C$5:$C$1668,OHW!$C98))</f>
        <v/>
      </c>
      <c r="L1145">
        <f>IF(OHW!$G98="","",OHW!$D98&amp;"")</f>
        <v/>
      </c>
      <c r="M1145">
        <f>IF(OHW!$G98="","",OHW!$F98)</f>
        <v/>
      </c>
      <c r="N1145">
        <f>IF(OHW!$G98="","",OHW!$G98)</f>
        <v/>
      </c>
      <c r="O1145">
        <f>IF(OHW!$G98="","",OHW!$I98)</f>
        <v/>
      </c>
      <c r="P1145">
        <f>IF(OHW!$G98="","","Final")</f>
        <v/>
      </c>
    </row>
    <row r="1146">
      <c r="A1146">
        <f>IF(OHW!$G99="","","OHW")</f>
        <v/>
      </c>
      <c r="B1146">
        <f>IF(OHW!$G99="","","OHW")</f>
        <v/>
      </c>
      <c r="C1146" s="18">
        <f>IF(OHW!$G99="","",OHW!$A99)</f>
        <v/>
      </c>
      <c r="F1146">
        <f>IF(OHW!$G99="","",OHW!$B99&amp;"")</f>
        <v/>
      </c>
      <c r="J1146">
        <f>IF(OHW!$G99="","",OHW!$E99)</f>
        <v/>
      </c>
      <c r="K1146">
        <f>IF(OHW!$G99="","",COUNTIFS(OHW!$A$5:$A$1668,OHW!$A99,OHW!$C$5:$C$1668,OHW!$C99))</f>
        <v/>
      </c>
      <c r="L1146">
        <f>IF(OHW!$G99="","",OHW!$D99&amp;"")</f>
        <v/>
      </c>
      <c r="M1146">
        <f>IF(OHW!$G99="","",OHW!$F99)</f>
        <v/>
      </c>
      <c r="N1146">
        <f>IF(OHW!$G99="","",OHW!$G99)</f>
        <v/>
      </c>
      <c r="O1146">
        <f>IF(OHW!$G99="","",OHW!$I99)</f>
        <v/>
      </c>
      <c r="P1146">
        <f>IF(OHW!$G99="","","Final")</f>
        <v/>
      </c>
    </row>
    <row r="1147">
      <c r="A1147">
        <f>IF(OHW!$G100="","","OHW")</f>
        <v/>
      </c>
      <c r="B1147">
        <f>IF(OHW!$G100="","","OHW")</f>
        <v/>
      </c>
      <c r="C1147" s="18">
        <f>IF(OHW!$G100="","",OHW!$A100)</f>
        <v/>
      </c>
      <c r="F1147">
        <f>IF(OHW!$G100="","",OHW!$B100&amp;"")</f>
        <v/>
      </c>
      <c r="J1147">
        <f>IF(OHW!$G100="","",OHW!$E100)</f>
        <v/>
      </c>
      <c r="K1147">
        <f>IF(OHW!$G100="","",COUNTIFS(OHW!$A$5:$A$1668,OHW!$A100,OHW!$C$5:$C$1668,OHW!$C100))</f>
        <v/>
      </c>
      <c r="L1147">
        <f>IF(OHW!$G100="","",OHW!$D100&amp;"")</f>
        <v/>
      </c>
      <c r="M1147">
        <f>IF(OHW!$G100="","",OHW!$F100)</f>
        <v/>
      </c>
      <c r="N1147">
        <f>IF(OHW!$G100="","",OHW!$G100)</f>
        <v/>
      </c>
      <c r="O1147">
        <f>IF(OHW!$G100="","",OHW!$I100)</f>
        <v/>
      </c>
      <c r="P1147">
        <f>IF(OHW!$G100="","","Final")</f>
        <v/>
      </c>
    </row>
    <row r="1148">
      <c r="A1148">
        <f>IF(OHW!$G101="","","OHW")</f>
        <v/>
      </c>
      <c r="B1148">
        <f>IF(OHW!$G101="","","OHW")</f>
        <v/>
      </c>
      <c r="C1148" s="18">
        <f>IF(OHW!$G101="","",OHW!$A101)</f>
        <v/>
      </c>
      <c r="F1148">
        <f>IF(OHW!$G101="","",OHW!$B101&amp;"")</f>
        <v/>
      </c>
      <c r="J1148">
        <f>IF(OHW!$G101="","",OHW!$E101)</f>
        <v/>
      </c>
      <c r="K1148">
        <f>IF(OHW!$G101="","",COUNTIFS(OHW!$A$5:$A$1668,OHW!$A101,OHW!$C$5:$C$1668,OHW!$C101))</f>
        <v/>
      </c>
      <c r="L1148">
        <f>IF(OHW!$G101="","",OHW!$D101&amp;"")</f>
        <v/>
      </c>
      <c r="M1148">
        <f>IF(OHW!$G101="","",OHW!$F101)</f>
        <v/>
      </c>
      <c r="N1148">
        <f>IF(OHW!$G101="","",OHW!$G101)</f>
        <v/>
      </c>
      <c r="O1148">
        <f>IF(OHW!$G101="","",OHW!$I101)</f>
        <v/>
      </c>
      <c r="P1148">
        <f>IF(OHW!$G101="","","Final")</f>
        <v/>
      </c>
    </row>
    <row r="1149">
      <c r="A1149">
        <f>IF(OHW!$G102="","","OHW")</f>
        <v/>
      </c>
      <c r="B1149">
        <f>IF(OHW!$G102="","","OHW")</f>
        <v/>
      </c>
      <c r="C1149" s="18">
        <f>IF(OHW!$G102="","",OHW!$A102)</f>
        <v/>
      </c>
      <c r="F1149">
        <f>IF(OHW!$G102="","",OHW!$B102&amp;"")</f>
        <v/>
      </c>
      <c r="J1149">
        <f>IF(OHW!$G102="","",OHW!$E102)</f>
        <v/>
      </c>
      <c r="K1149">
        <f>IF(OHW!$G102="","",COUNTIFS(OHW!$A$5:$A$1668,OHW!$A102,OHW!$C$5:$C$1668,OHW!$C102))</f>
        <v/>
      </c>
      <c r="L1149">
        <f>IF(OHW!$G102="","",OHW!$D102&amp;"")</f>
        <v/>
      </c>
      <c r="M1149">
        <f>IF(OHW!$G102="","",OHW!$F102)</f>
        <v/>
      </c>
      <c r="N1149">
        <f>IF(OHW!$G102="","",OHW!$G102)</f>
        <v/>
      </c>
      <c r="O1149">
        <f>IF(OHW!$G102="","",OHW!$I102)</f>
        <v/>
      </c>
      <c r="P1149">
        <f>IF(OHW!$G102="","","Final")</f>
        <v/>
      </c>
    </row>
    <row r="1150">
      <c r="A1150">
        <f>IF(OHW!$G103="","","OHW")</f>
        <v/>
      </c>
      <c r="B1150">
        <f>IF(OHW!$G103="","","OHW")</f>
        <v/>
      </c>
      <c r="C1150" s="18">
        <f>IF(OHW!$G103="","",OHW!$A103)</f>
        <v/>
      </c>
      <c r="F1150">
        <f>IF(OHW!$G103="","",OHW!$B103&amp;"")</f>
        <v/>
      </c>
      <c r="J1150">
        <f>IF(OHW!$G103="","",OHW!$E103)</f>
        <v/>
      </c>
      <c r="K1150">
        <f>IF(OHW!$G103="","",COUNTIFS(OHW!$A$5:$A$1668,OHW!$A103,OHW!$C$5:$C$1668,OHW!$C103))</f>
        <v/>
      </c>
      <c r="L1150">
        <f>IF(OHW!$G103="","",OHW!$D103&amp;"")</f>
        <v/>
      </c>
      <c r="M1150">
        <f>IF(OHW!$G103="","",OHW!$F103)</f>
        <v/>
      </c>
      <c r="N1150">
        <f>IF(OHW!$G103="","",OHW!$G103)</f>
        <v/>
      </c>
      <c r="O1150">
        <f>IF(OHW!$G103="","",OHW!$I103)</f>
        <v/>
      </c>
      <c r="P1150">
        <f>IF(OHW!$G103="","","Final")</f>
        <v/>
      </c>
    </row>
    <row r="1151">
      <c r="A1151">
        <f>IF(OHW!$G104="","","OHW")</f>
        <v/>
      </c>
      <c r="B1151">
        <f>IF(OHW!$G104="","","OHW")</f>
        <v/>
      </c>
      <c r="C1151" s="18">
        <f>IF(OHW!$G104="","",OHW!$A104)</f>
        <v/>
      </c>
      <c r="F1151">
        <f>IF(OHW!$G104="","",OHW!$B104&amp;"")</f>
        <v/>
      </c>
      <c r="J1151">
        <f>IF(OHW!$G104="","",OHW!$E104)</f>
        <v/>
      </c>
      <c r="K1151">
        <f>IF(OHW!$G104="","",COUNTIFS(OHW!$A$5:$A$1668,OHW!$A104,OHW!$C$5:$C$1668,OHW!$C104))</f>
        <v/>
      </c>
      <c r="L1151">
        <f>IF(OHW!$G104="","",OHW!$D104&amp;"")</f>
        <v/>
      </c>
      <c r="M1151">
        <f>IF(OHW!$G104="","",OHW!$F104)</f>
        <v/>
      </c>
      <c r="N1151">
        <f>IF(OHW!$G104="","",OHW!$G104)</f>
        <v/>
      </c>
      <c r="O1151">
        <f>IF(OHW!$G104="","",OHW!$I104)</f>
        <v/>
      </c>
      <c r="P1151">
        <f>IF(OHW!$G104="","","Final")</f>
        <v/>
      </c>
    </row>
    <row r="1152">
      <c r="A1152">
        <f>IF(OHW!$G105="","","OHW")</f>
        <v/>
      </c>
      <c r="B1152">
        <f>IF(OHW!$G105="","","OHW")</f>
        <v/>
      </c>
      <c r="C1152" s="18">
        <f>IF(OHW!$G105="","",OHW!$A105)</f>
        <v/>
      </c>
      <c r="F1152">
        <f>IF(OHW!$G105="","",OHW!$B105&amp;"")</f>
        <v/>
      </c>
      <c r="J1152">
        <f>IF(OHW!$G105="","",OHW!$E105)</f>
        <v/>
      </c>
      <c r="K1152">
        <f>IF(OHW!$G105="","",COUNTIFS(OHW!$A$5:$A$1668,OHW!$A105,OHW!$C$5:$C$1668,OHW!$C105))</f>
        <v/>
      </c>
      <c r="L1152">
        <f>IF(OHW!$G105="","",OHW!$D105&amp;"")</f>
        <v/>
      </c>
      <c r="M1152">
        <f>IF(OHW!$G105="","",OHW!$F105)</f>
        <v/>
      </c>
      <c r="N1152">
        <f>IF(OHW!$G105="","",OHW!$G105)</f>
        <v/>
      </c>
      <c r="O1152">
        <f>IF(OHW!$G105="","",OHW!$I105)</f>
        <v/>
      </c>
      <c r="P1152">
        <f>IF(OHW!$G105="","","Final")</f>
        <v/>
      </c>
    </row>
    <row r="1153">
      <c r="A1153">
        <f>IF(OHW!$G106="","","OHW")</f>
        <v/>
      </c>
      <c r="B1153">
        <f>IF(OHW!$G106="","","OHW")</f>
        <v/>
      </c>
      <c r="C1153" s="18">
        <f>IF(OHW!$G106="","",OHW!$A106)</f>
        <v/>
      </c>
      <c r="F1153">
        <f>IF(OHW!$G106="","",OHW!$B106&amp;"")</f>
        <v/>
      </c>
      <c r="J1153">
        <f>IF(OHW!$G106="","",OHW!$E106)</f>
        <v/>
      </c>
      <c r="K1153">
        <f>IF(OHW!$G106="","",COUNTIFS(OHW!$A$5:$A$1668,OHW!$A106,OHW!$C$5:$C$1668,OHW!$C106))</f>
        <v/>
      </c>
      <c r="L1153">
        <f>IF(OHW!$G106="","",OHW!$D106&amp;"")</f>
        <v/>
      </c>
      <c r="M1153">
        <f>IF(OHW!$G106="","",OHW!$F106)</f>
        <v/>
      </c>
      <c r="N1153">
        <f>IF(OHW!$G106="","",OHW!$G106)</f>
        <v/>
      </c>
      <c r="O1153">
        <f>IF(OHW!$G106="","",OHW!$I106)</f>
        <v/>
      </c>
      <c r="P1153">
        <f>IF(OHW!$G106="","","Final")</f>
        <v/>
      </c>
    </row>
    <row r="1154">
      <c r="A1154">
        <f>IF(OHW!$G107="","","OHW")</f>
        <v/>
      </c>
      <c r="B1154">
        <f>IF(OHW!$G107="","","OHW")</f>
        <v/>
      </c>
      <c r="C1154" s="18">
        <f>IF(OHW!$G107="","",OHW!$A107)</f>
        <v/>
      </c>
      <c r="F1154">
        <f>IF(OHW!$G107="","",OHW!$B107&amp;"")</f>
        <v/>
      </c>
      <c r="J1154">
        <f>IF(OHW!$G107="","",OHW!$E107)</f>
        <v/>
      </c>
      <c r="K1154">
        <f>IF(OHW!$G107="","",COUNTIFS(OHW!$A$5:$A$1668,OHW!$A107,OHW!$C$5:$C$1668,OHW!$C107))</f>
        <v/>
      </c>
      <c r="L1154">
        <f>IF(OHW!$G107="","",OHW!$D107&amp;"")</f>
        <v/>
      </c>
      <c r="M1154">
        <f>IF(OHW!$G107="","",OHW!$F107)</f>
        <v/>
      </c>
      <c r="N1154">
        <f>IF(OHW!$G107="","",OHW!$G107)</f>
        <v/>
      </c>
      <c r="O1154">
        <f>IF(OHW!$G107="","",OHW!$I107)</f>
        <v/>
      </c>
      <c r="P1154">
        <f>IF(OHW!$G107="","","Final")</f>
        <v/>
      </c>
    </row>
    <row r="1155">
      <c r="A1155">
        <f>IF(OHW!$G108="","","OHW")</f>
        <v/>
      </c>
      <c r="B1155">
        <f>IF(OHW!$G108="","","OHW")</f>
        <v/>
      </c>
      <c r="C1155" s="18">
        <f>IF(OHW!$G108="","",OHW!$A108)</f>
        <v/>
      </c>
      <c r="F1155">
        <f>IF(OHW!$G108="","",OHW!$B108&amp;"")</f>
        <v/>
      </c>
      <c r="J1155">
        <f>IF(OHW!$G108="","",OHW!$E108)</f>
        <v/>
      </c>
      <c r="K1155">
        <f>IF(OHW!$G108="","",COUNTIFS(OHW!$A$5:$A$1668,OHW!$A108,OHW!$C$5:$C$1668,OHW!$C108))</f>
        <v/>
      </c>
      <c r="L1155">
        <f>IF(OHW!$G108="","",OHW!$D108&amp;"")</f>
        <v/>
      </c>
      <c r="M1155">
        <f>IF(OHW!$G108="","",OHW!$F108)</f>
        <v/>
      </c>
      <c r="N1155">
        <f>IF(OHW!$G108="","",OHW!$G108)</f>
        <v/>
      </c>
      <c r="O1155">
        <f>IF(OHW!$G108="","",OHW!$I108)</f>
        <v/>
      </c>
      <c r="P1155">
        <f>IF(OHW!$G108="","","Final")</f>
        <v/>
      </c>
    </row>
    <row r="1156">
      <c r="A1156">
        <f>IF(OHW!$G109="","","OHW")</f>
        <v/>
      </c>
      <c r="B1156">
        <f>IF(OHW!$G109="","","OHW")</f>
        <v/>
      </c>
      <c r="C1156" s="18">
        <f>IF(OHW!$G109="","",OHW!$A109)</f>
        <v/>
      </c>
      <c r="F1156">
        <f>IF(OHW!$G109="","",OHW!$B109&amp;"")</f>
        <v/>
      </c>
      <c r="J1156">
        <f>IF(OHW!$G109="","",OHW!$E109)</f>
        <v/>
      </c>
      <c r="K1156">
        <f>IF(OHW!$G109="","",COUNTIFS(OHW!$A$5:$A$1668,OHW!$A109,OHW!$C$5:$C$1668,OHW!$C109))</f>
        <v/>
      </c>
      <c r="L1156">
        <f>IF(OHW!$G109="","",OHW!$D109&amp;"")</f>
        <v/>
      </c>
      <c r="M1156">
        <f>IF(OHW!$G109="","",OHW!$F109)</f>
        <v/>
      </c>
      <c r="N1156">
        <f>IF(OHW!$G109="","",OHW!$G109)</f>
        <v/>
      </c>
      <c r="O1156">
        <f>IF(OHW!$G109="","",OHW!$I109)</f>
        <v/>
      </c>
      <c r="P1156">
        <f>IF(OHW!$G109="","","Final")</f>
        <v/>
      </c>
    </row>
    <row r="1157">
      <c r="A1157">
        <f>IF(OHW!$G110="","","OHW")</f>
        <v/>
      </c>
      <c r="B1157">
        <f>IF(OHW!$G110="","","OHW")</f>
        <v/>
      </c>
      <c r="C1157" s="18">
        <f>IF(OHW!$G110="","",OHW!$A110)</f>
        <v/>
      </c>
      <c r="F1157">
        <f>IF(OHW!$G110="","",OHW!$B110&amp;"")</f>
        <v/>
      </c>
      <c r="J1157">
        <f>IF(OHW!$G110="","",OHW!$E110)</f>
        <v/>
      </c>
      <c r="K1157">
        <f>IF(OHW!$G110="","",COUNTIFS(OHW!$A$5:$A$1668,OHW!$A110,OHW!$C$5:$C$1668,OHW!$C110))</f>
        <v/>
      </c>
      <c r="L1157">
        <f>IF(OHW!$G110="","",OHW!$D110&amp;"")</f>
        <v/>
      </c>
      <c r="M1157">
        <f>IF(OHW!$G110="","",OHW!$F110)</f>
        <v/>
      </c>
      <c r="N1157">
        <f>IF(OHW!$G110="","",OHW!$G110)</f>
        <v/>
      </c>
      <c r="O1157">
        <f>IF(OHW!$G110="","",OHW!$I110)</f>
        <v/>
      </c>
      <c r="P1157">
        <f>IF(OHW!$G110="","","Final")</f>
        <v/>
      </c>
    </row>
    <row r="1158">
      <c r="A1158">
        <f>IF(OHW!$G111="","","OHW")</f>
        <v/>
      </c>
      <c r="B1158">
        <f>IF(OHW!$G111="","","OHW")</f>
        <v/>
      </c>
      <c r="C1158" s="18">
        <f>IF(OHW!$G111="","",OHW!$A111)</f>
        <v/>
      </c>
      <c r="F1158">
        <f>IF(OHW!$G111="","",OHW!$B111&amp;"")</f>
        <v/>
      </c>
      <c r="J1158">
        <f>IF(OHW!$G111="","",OHW!$E111)</f>
        <v/>
      </c>
      <c r="K1158">
        <f>IF(OHW!$G111="","",COUNTIFS(OHW!$A$5:$A$1668,OHW!$A111,OHW!$C$5:$C$1668,OHW!$C111))</f>
        <v/>
      </c>
      <c r="L1158">
        <f>IF(OHW!$G111="","",OHW!$D111&amp;"")</f>
        <v/>
      </c>
      <c r="M1158">
        <f>IF(OHW!$G111="","",OHW!$F111)</f>
        <v/>
      </c>
      <c r="N1158">
        <f>IF(OHW!$G111="","",OHW!$G111)</f>
        <v/>
      </c>
      <c r="O1158">
        <f>IF(OHW!$G111="","",OHW!$I111)</f>
        <v/>
      </c>
      <c r="P1158">
        <f>IF(OHW!$G111="","","Final")</f>
        <v/>
      </c>
    </row>
    <row r="1159">
      <c r="A1159">
        <f>IF(OHW!$G112="","","OHW")</f>
        <v/>
      </c>
      <c r="B1159">
        <f>IF(OHW!$G112="","","OHW")</f>
        <v/>
      </c>
      <c r="C1159" s="18">
        <f>IF(OHW!$G112="","",OHW!$A112)</f>
        <v/>
      </c>
      <c r="F1159">
        <f>IF(OHW!$G112="","",OHW!$B112&amp;"")</f>
        <v/>
      </c>
      <c r="J1159">
        <f>IF(OHW!$G112="","",OHW!$E112)</f>
        <v/>
      </c>
      <c r="K1159">
        <f>IF(OHW!$G112="","",COUNTIFS(OHW!$A$5:$A$1668,OHW!$A112,OHW!$C$5:$C$1668,OHW!$C112))</f>
        <v/>
      </c>
      <c r="L1159">
        <f>IF(OHW!$G112="","",OHW!$D112&amp;"")</f>
        <v/>
      </c>
      <c r="M1159">
        <f>IF(OHW!$G112="","",OHW!$F112)</f>
        <v/>
      </c>
      <c r="N1159">
        <f>IF(OHW!$G112="","",OHW!$G112)</f>
        <v/>
      </c>
      <c r="O1159">
        <f>IF(OHW!$G112="","",OHW!$I112)</f>
        <v/>
      </c>
      <c r="P1159">
        <f>IF(OHW!$G112="","","Final")</f>
        <v/>
      </c>
    </row>
    <row r="1160">
      <c r="A1160">
        <f>IF(OHW!$G113="","","OHW")</f>
        <v/>
      </c>
      <c r="B1160">
        <f>IF(OHW!$G113="","","OHW")</f>
        <v/>
      </c>
      <c r="C1160" s="18">
        <f>IF(OHW!$G113="","",OHW!$A113)</f>
        <v/>
      </c>
      <c r="F1160">
        <f>IF(OHW!$G113="","",OHW!$B113&amp;"")</f>
        <v/>
      </c>
      <c r="J1160">
        <f>IF(OHW!$G113="","",OHW!$E113)</f>
        <v/>
      </c>
      <c r="K1160">
        <f>IF(OHW!$G113="","",COUNTIFS(OHW!$A$5:$A$1668,OHW!$A113,OHW!$C$5:$C$1668,OHW!$C113))</f>
        <v/>
      </c>
      <c r="L1160">
        <f>IF(OHW!$G113="","",OHW!$D113&amp;"")</f>
        <v/>
      </c>
      <c r="M1160">
        <f>IF(OHW!$G113="","",OHW!$F113)</f>
        <v/>
      </c>
      <c r="N1160">
        <f>IF(OHW!$G113="","",OHW!$G113)</f>
        <v/>
      </c>
      <c r="O1160">
        <f>IF(OHW!$G113="","",OHW!$I113)</f>
        <v/>
      </c>
      <c r="P1160">
        <f>IF(OHW!$G113="","","Final")</f>
        <v/>
      </c>
    </row>
    <row r="1161">
      <c r="A1161">
        <f>IF(OHW!$G114="","","OHW")</f>
        <v/>
      </c>
      <c r="B1161">
        <f>IF(OHW!$G114="","","OHW")</f>
        <v/>
      </c>
      <c r="C1161" s="18">
        <f>IF(OHW!$G114="","",OHW!$A114)</f>
        <v/>
      </c>
      <c r="F1161">
        <f>IF(OHW!$G114="","",OHW!$B114&amp;"")</f>
        <v/>
      </c>
      <c r="J1161">
        <f>IF(OHW!$G114="","",OHW!$E114)</f>
        <v/>
      </c>
      <c r="K1161">
        <f>IF(OHW!$G114="","",COUNTIFS(OHW!$A$5:$A$1668,OHW!$A114,OHW!$C$5:$C$1668,OHW!$C114))</f>
        <v/>
      </c>
      <c r="L1161">
        <f>IF(OHW!$G114="","",OHW!$D114&amp;"")</f>
        <v/>
      </c>
      <c r="M1161">
        <f>IF(OHW!$G114="","",OHW!$F114)</f>
        <v/>
      </c>
      <c r="N1161">
        <f>IF(OHW!$G114="","",OHW!$G114)</f>
        <v/>
      </c>
      <c r="O1161">
        <f>IF(OHW!$G114="","",OHW!$I114)</f>
        <v/>
      </c>
      <c r="P1161">
        <f>IF(OHW!$G114="","","Final")</f>
        <v/>
      </c>
    </row>
    <row r="1162">
      <c r="A1162">
        <f>IF(OHW!$G115="","","OHW")</f>
        <v/>
      </c>
      <c r="B1162">
        <f>IF(OHW!$G115="","","OHW")</f>
        <v/>
      </c>
      <c r="C1162" s="18">
        <f>IF(OHW!$G115="","",OHW!$A115)</f>
        <v/>
      </c>
      <c r="F1162">
        <f>IF(OHW!$G115="","",OHW!$B115&amp;"")</f>
        <v/>
      </c>
      <c r="J1162">
        <f>IF(OHW!$G115="","",OHW!$E115)</f>
        <v/>
      </c>
      <c r="K1162">
        <f>IF(OHW!$G115="","",COUNTIFS(OHW!$A$5:$A$1668,OHW!$A115,OHW!$C$5:$C$1668,OHW!$C115))</f>
        <v/>
      </c>
      <c r="L1162">
        <f>IF(OHW!$G115="","",OHW!$D115&amp;"")</f>
        <v/>
      </c>
      <c r="M1162">
        <f>IF(OHW!$G115="","",OHW!$F115)</f>
        <v/>
      </c>
      <c r="N1162">
        <f>IF(OHW!$G115="","",OHW!$G115)</f>
        <v/>
      </c>
      <c r="O1162">
        <f>IF(OHW!$G115="","",OHW!$I115)</f>
        <v/>
      </c>
      <c r="P1162">
        <f>IF(OHW!$G115="","","Final")</f>
        <v/>
      </c>
    </row>
    <row r="1163">
      <c r="A1163">
        <f>IF(OHW!$G116="","","OHW")</f>
        <v/>
      </c>
      <c r="B1163">
        <f>IF(OHW!$G116="","","OHW")</f>
        <v/>
      </c>
      <c r="C1163" s="18">
        <f>IF(OHW!$G116="","",OHW!$A116)</f>
        <v/>
      </c>
      <c r="F1163">
        <f>IF(OHW!$G116="","",OHW!$B116&amp;"")</f>
        <v/>
      </c>
      <c r="J1163">
        <f>IF(OHW!$G116="","",OHW!$E116)</f>
        <v/>
      </c>
      <c r="K1163">
        <f>IF(OHW!$G116="","",COUNTIFS(OHW!$A$5:$A$1668,OHW!$A116,OHW!$C$5:$C$1668,OHW!$C116))</f>
        <v/>
      </c>
      <c r="L1163">
        <f>IF(OHW!$G116="","",OHW!$D116&amp;"")</f>
        <v/>
      </c>
      <c r="M1163">
        <f>IF(OHW!$G116="","",OHW!$F116)</f>
        <v/>
      </c>
      <c r="N1163">
        <f>IF(OHW!$G116="","",OHW!$G116)</f>
        <v/>
      </c>
      <c r="O1163">
        <f>IF(OHW!$G116="","",OHW!$I116)</f>
        <v/>
      </c>
      <c r="P1163">
        <f>IF(OHW!$G116="","","Final")</f>
        <v/>
      </c>
    </row>
    <row r="1164">
      <c r="A1164">
        <f>IF(OHW!$G117="","","OHW")</f>
        <v/>
      </c>
      <c r="B1164">
        <f>IF(OHW!$G117="","","OHW")</f>
        <v/>
      </c>
      <c r="C1164" s="18">
        <f>IF(OHW!$G117="","",OHW!$A117)</f>
        <v/>
      </c>
      <c r="F1164">
        <f>IF(OHW!$G117="","",OHW!$B117&amp;"")</f>
        <v/>
      </c>
      <c r="J1164">
        <f>IF(OHW!$G117="","",OHW!$E117)</f>
        <v/>
      </c>
      <c r="K1164">
        <f>IF(OHW!$G117="","",COUNTIFS(OHW!$A$5:$A$1668,OHW!$A117,OHW!$C$5:$C$1668,OHW!$C117))</f>
        <v/>
      </c>
      <c r="L1164">
        <f>IF(OHW!$G117="","",OHW!$D117&amp;"")</f>
        <v/>
      </c>
      <c r="M1164">
        <f>IF(OHW!$G117="","",OHW!$F117)</f>
        <v/>
      </c>
      <c r="N1164">
        <f>IF(OHW!$G117="","",OHW!$G117)</f>
        <v/>
      </c>
      <c r="O1164">
        <f>IF(OHW!$G117="","",OHW!$I117)</f>
        <v/>
      </c>
      <c r="P1164">
        <f>IF(OHW!$G117="","","Final")</f>
        <v/>
      </c>
    </row>
    <row r="1165">
      <c r="A1165">
        <f>IF(OHW!$G118="","","OHW")</f>
        <v/>
      </c>
      <c r="B1165">
        <f>IF(OHW!$G118="","","OHW")</f>
        <v/>
      </c>
      <c r="C1165" s="18">
        <f>IF(OHW!$G118="","",OHW!$A118)</f>
        <v/>
      </c>
      <c r="F1165">
        <f>IF(OHW!$G118="","",OHW!$B118&amp;"")</f>
        <v/>
      </c>
      <c r="J1165">
        <f>IF(OHW!$G118="","",OHW!$E118)</f>
        <v/>
      </c>
      <c r="K1165">
        <f>IF(OHW!$G118="","",COUNTIFS(OHW!$A$5:$A$1668,OHW!$A118,OHW!$C$5:$C$1668,OHW!$C118))</f>
        <v/>
      </c>
      <c r="L1165">
        <f>IF(OHW!$G118="","",OHW!$D118&amp;"")</f>
        <v/>
      </c>
      <c r="M1165">
        <f>IF(OHW!$G118="","",OHW!$F118)</f>
        <v/>
      </c>
      <c r="N1165">
        <f>IF(OHW!$G118="","",OHW!$G118)</f>
        <v/>
      </c>
      <c r="O1165">
        <f>IF(OHW!$G118="","",OHW!$I118)</f>
        <v/>
      </c>
      <c r="P1165">
        <f>IF(OHW!$G118="","","Final")</f>
        <v/>
      </c>
    </row>
    <row r="1166">
      <c r="A1166">
        <f>IF(OHW!$G119="","","OHW")</f>
        <v/>
      </c>
      <c r="B1166">
        <f>IF(OHW!$G119="","","OHW")</f>
        <v/>
      </c>
      <c r="C1166" s="18">
        <f>IF(OHW!$G119="","",OHW!$A119)</f>
        <v/>
      </c>
      <c r="F1166">
        <f>IF(OHW!$G119="","",OHW!$B119&amp;"")</f>
        <v/>
      </c>
      <c r="J1166">
        <f>IF(OHW!$G119="","",OHW!$E119)</f>
        <v/>
      </c>
      <c r="K1166">
        <f>IF(OHW!$G119="","",COUNTIFS(OHW!$A$5:$A$1668,OHW!$A119,OHW!$C$5:$C$1668,OHW!$C119))</f>
        <v/>
      </c>
      <c r="L1166">
        <f>IF(OHW!$G119="","",OHW!$D119&amp;"")</f>
        <v/>
      </c>
      <c r="M1166">
        <f>IF(OHW!$G119="","",OHW!$F119)</f>
        <v/>
      </c>
      <c r="N1166">
        <f>IF(OHW!$G119="","",OHW!$G119)</f>
        <v/>
      </c>
      <c r="O1166">
        <f>IF(OHW!$G119="","",OHW!$I119)</f>
        <v/>
      </c>
      <c r="P1166">
        <f>IF(OHW!$G119="","","Final")</f>
        <v/>
      </c>
    </row>
    <row r="1167">
      <c r="A1167">
        <f>IF(OHW!$G120="","","OHW")</f>
        <v/>
      </c>
      <c r="B1167">
        <f>IF(OHW!$G120="","","OHW")</f>
        <v/>
      </c>
      <c r="C1167" s="18">
        <f>IF(OHW!$G120="","",OHW!$A120)</f>
        <v/>
      </c>
      <c r="F1167">
        <f>IF(OHW!$G120="","",OHW!$B120&amp;"")</f>
        <v/>
      </c>
      <c r="J1167">
        <f>IF(OHW!$G120="","",OHW!$E120)</f>
        <v/>
      </c>
      <c r="K1167">
        <f>IF(OHW!$G120="","",COUNTIFS(OHW!$A$5:$A$1668,OHW!$A120,OHW!$C$5:$C$1668,OHW!$C120))</f>
        <v/>
      </c>
      <c r="L1167">
        <f>IF(OHW!$G120="","",OHW!$D120&amp;"")</f>
        <v/>
      </c>
      <c r="M1167">
        <f>IF(OHW!$G120="","",OHW!$F120)</f>
        <v/>
      </c>
      <c r="N1167">
        <f>IF(OHW!$G120="","",OHW!$G120)</f>
        <v/>
      </c>
      <c r="O1167">
        <f>IF(OHW!$G120="","",OHW!$I120)</f>
        <v/>
      </c>
      <c r="P1167">
        <f>IF(OHW!$G120="","","Final")</f>
        <v/>
      </c>
    </row>
    <row r="1168">
      <c r="A1168">
        <f>IF(OHW!$G121="","","OHW")</f>
        <v/>
      </c>
      <c r="B1168">
        <f>IF(OHW!$G121="","","OHW")</f>
        <v/>
      </c>
      <c r="C1168" s="18">
        <f>IF(OHW!$G121="","",OHW!$A121)</f>
        <v/>
      </c>
      <c r="F1168">
        <f>IF(OHW!$G121="","",OHW!$B121&amp;"")</f>
        <v/>
      </c>
      <c r="J1168">
        <f>IF(OHW!$G121="","",OHW!$E121)</f>
        <v/>
      </c>
      <c r="K1168">
        <f>IF(OHW!$G121="","",COUNTIFS(OHW!$A$5:$A$1668,OHW!$A121,OHW!$C$5:$C$1668,OHW!$C121))</f>
        <v/>
      </c>
      <c r="L1168">
        <f>IF(OHW!$G121="","",OHW!$D121&amp;"")</f>
        <v/>
      </c>
      <c r="M1168">
        <f>IF(OHW!$G121="","",OHW!$F121)</f>
        <v/>
      </c>
      <c r="N1168">
        <f>IF(OHW!$G121="","",OHW!$G121)</f>
        <v/>
      </c>
      <c r="O1168">
        <f>IF(OHW!$G121="","",OHW!$I121)</f>
        <v/>
      </c>
      <c r="P1168">
        <f>IF(OHW!$G121="","","Final")</f>
        <v/>
      </c>
    </row>
    <row r="1169">
      <c r="A1169">
        <f>IF(OHW!$G122="","","OHW")</f>
        <v/>
      </c>
      <c r="B1169">
        <f>IF(OHW!$G122="","","OHW")</f>
        <v/>
      </c>
      <c r="C1169" s="18">
        <f>IF(OHW!$G122="","",OHW!$A122)</f>
        <v/>
      </c>
      <c r="F1169">
        <f>IF(OHW!$G122="","",OHW!$B122&amp;"")</f>
        <v/>
      </c>
      <c r="J1169">
        <f>IF(OHW!$G122="","",OHW!$E122)</f>
        <v/>
      </c>
      <c r="K1169">
        <f>IF(OHW!$G122="","",COUNTIFS(OHW!$A$5:$A$1668,OHW!$A122,OHW!$C$5:$C$1668,OHW!$C122))</f>
        <v/>
      </c>
      <c r="L1169">
        <f>IF(OHW!$G122="","",OHW!$D122&amp;"")</f>
        <v/>
      </c>
      <c r="M1169">
        <f>IF(OHW!$G122="","",OHW!$F122)</f>
        <v/>
      </c>
      <c r="N1169">
        <f>IF(OHW!$G122="","",OHW!$G122)</f>
        <v/>
      </c>
      <c r="O1169">
        <f>IF(OHW!$G122="","",OHW!$I122)</f>
        <v/>
      </c>
      <c r="P1169">
        <f>IF(OHW!$G122="","","Final")</f>
        <v/>
      </c>
    </row>
    <row r="1170">
      <c r="A1170">
        <f>IF(OHW!$G123="","","OHW")</f>
        <v/>
      </c>
      <c r="B1170">
        <f>IF(OHW!$G123="","","OHW")</f>
        <v/>
      </c>
      <c r="C1170" s="18">
        <f>IF(OHW!$G123="","",OHW!$A123)</f>
        <v/>
      </c>
      <c r="F1170">
        <f>IF(OHW!$G123="","",OHW!$B123&amp;"")</f>
        <v/>
      </c>
      <c r="J1170">
        <f>IF(OHW!$G123="","",OHW!$E123)</f>
        <v/>
      </c>
      <c r="K1170">
        <f>IF(OHW!$G123="","",COUNTIFS(OHW!$A$5:$A$1668,OHW!$A123,OHW!$C$5:$C$1668,OHW!$C123))</f>
        <v/>
      </c>
      <c r="L1170">
        <f>IF(OHW!$G123="","",OHW!$D123&amp;"")</f>
        <v/>
      </c>
      <c r="M1170">
        <f>IF(OHW!$G123="","",OHW!$F123)</f>
        <v/>
      </c>
      <c r="N1170">
        <f>IF(OHW!$G123="","",OHW!$G123)</f>
        <v/>
      </c>
      <c r="O1170">
        <f>IF(OHW!$G123="","",OHW!$I123)</f>
        <v/>
      </c>
      <c r="P1170">
        <f>IF(OHW!$G123="","","Final")</f>
        <v/>
      </c>
    </row>
    <row r="1171">
      <c r="A1171">
        <f>IF(OHW!$G124="","","OHW")</f>
        <v/>
      </c>
      <c r="B1171">
        <f>IF(OHW!$G124="","","OHW")</f>
        <v/>
      </c>
      <c r="C1171" s="18">
        <f>IF(OHW!$G124="","",OHW!$A124)</f>
        <v/>
      </c>
      <c r="F1171">
        <f>IF(OHW!$G124="","",OHW!$B124&amp;"")</f>
        <v/>
      </c>
      <c r="J1171">
        <f>IF(OHW!$G124="","",OHW!$E124)</f>
        <v/>
      </c>
      <c r="K1171">
        <f>IF(OHW!$G124="","",COUNTIFS(OHW!$A$5:$A$1668,OHW!$A124,OHW!$C$5:$C$1668,OHW!$C124))</f>
        <v/>
      </c>
      <c r="L1171">
        <f>IF(OHW!$G124="","",OHW!$D124&amp;"")</f>
        <v/>
      </c>
      <c r="M1171">
        <f>IF(OHW!$G124="","",OHW!$F124)</f>
        <v/>
      </c>
      <c r="N1171">
        <f>IF(OHW!$G124="","",OHW!$G124)</f>
        <v/>
      </c>
      <c r="O1171">
        <f>IF(OHW!$G124="","",OHW!$I124)</f>
        <v/>
      </c>
      <c r="P1171">
        <f>IF(OHW!$G124="","","Final")</f>
        <v/>
      </c>
    </row>
    <row r="1172">
      <c r="A1172">
        <f>IF(OHW!$G125="","","OHW")</f>
        <v/>
      </c>
      <c r="B1172">
        <f>IF(OHW!$G125="","","OHW")</f>
        <v/>
      </c>
      <c r="C1172" s="18">
        <f>IF(OHW!$G125="","",OHW!$A125)</f>
        <v/>
      </c>
      <c r="F1172">
        <f>IF(OHW!$G125="","",OHW!$B125&amp;"")</f>
        <v/>
      </c>
      <c r="J1172">
        <f>IF(OHW!$G125="","",OHW!$E125)</f>
        <v/>
      </c>
      <c r="K1172">
        <f>IF(OHW!$G125="","",COUNTIFS(OHW!$A$5:$A$1668,OHW!$A125,OHW!$C$5:$C$1668,OHW!$C125))</f>
        <v/>
      </c>
      <c r="L1172">
        <f>IF(OHW!$G125="","",OHW!$D125&amp;"")</f>
        <v/>
      </c>
      <c r="M1172">
        <f>IF(OHW!$G125="","",OHW!$F125)</f>
        <v/>
      </c>
      <c r="N1172">
        <f>IF(OHW!$G125="","",OHW!$G125)</f>
        <v/>
      </c>
      <c r="O1172">
        <f>IF(OHW!$G125="","",OHW!$I125)</f>
        <v/>
      </c>
      <c r="P1172">
        <f>IF(OHW!$G125="","","Final")</f>
        <v/>
      </c>
    </row>
    <row r="1173">
      <c r="A1173">
        <f>IF(OHW!$G126="","","OHW")</f>
        <v/>
      </c>
      <c r="B1173">
        <f>IF(OHW!$G126="","","OHW")</f>
        <v/>
      </c>
      <c r="C1173" s="18">
        <f>IF(OHW!$G126="","",OHW!$A126)</f>
        <v/>
      </c>
      <c r="F1173">
        <f>IF(OHW!$G126="","",OHW!$B126&amp;"")</f>
        <v/>
      </c>
      <c r="J1173">
        <f>IF(OHW!$G126="","",OHW!$E126)</f>
        <v/>
      </c>
      <c r="K1173">
        <f>IF(OHW!$G126="","",COUNTIFS(OHW!$A$5:$A$1668,OHW!$A126,OHW!$C$5:$C$1668,OHW!$C126))</f>
        <v/>
      </c>
      <c r="L1173">
        <f>IF(OHW!$G126="","",OHW!$D126&amp;"")</f>
        <v/>
      </c>
      <c r="M1173">
        <f>IF(OHW!$G126="","",OHW!$F126)</f>
        <v/>
      </c>
      <c r="N1173">
        <f>IF(OHW!$G126="","",OHW!$G126)</f>
        <v/>
      </c>
      <c r="O1173">
        <f>IF(OHW!$G126="","",OHW!$I126)</f>
        <v/>
      </c>
      <c r="P1173">
        <f>IF(OHW!$G126="","","Final")</f>
        <v/>
      </c>
    </row>
    <row r="1174">
      <c r="A1174">
        <f>IF(OHW!$G127="","","OHW")</f>
        <v/>
      </c>
      <c r="B1174">
        <f>IF(OHW!$G127="","","OHW")</f>
        <v/>
      </c>
      <c r="C1174" s="18">
        <f>IF(OHW!$G127="","",OHW!$A127)</f>
        <v/>
      </c>
      <c r="F1174">
        <f>IF(OHW!$G127="","",OHW!$B127&amp;"")</f>
        <v/>
      </c>
      <c r="J1174">
        <f>IF(OHW!$G127="","",OHW!$E127)</f>
        <v/>
      </c>
      <c r="K1174">
        <f>IF(OHW!$G127="","",COUNTIFS(OHW!$A$5:$A$1668,OHW!$A127,OHW!$C$5:$C$1668,OHW!$C127))</f>
        <v/>
      </c>
      <c r="L1174">
        <f>IF(OHW!$G127="","",OHW!$D127&amp;"")</f>
        <v/>
      </c>
      <c r="M1174">
        <f>IF(OHW!$G127="","",OHW!$F127)</f>
        <v/>
      </c>
      <c r="N1174">
        <f>IF(OHW!$G127="","",OHW!$G127)</f>
        <v/>
      </c>
      <c r="O1174">
        <f>IF(OHW!$G127="","",OHW!$I127)</f>
        <v/>
      </c>
      <c r="P1174">
        <f>IF(OHW!$G127="","","Final")</f>
        <v/>
      </c>
    </row>
    <row r="1175">
      <c r="A1175">
        <f>IF(OHW!$G128="","","OHW")</f>
        <v/>
      </c>
      <c r="B1175">
        <f>IF(OHW!$G128="","","OHW")</f>
        <v/>
      </c>
      <c r="C1175" s="18">
        <f>IF(OHW!$G128="","",OHW!$A128)</f>
        <v/>
      </c>
      <c r="F1175">
        <f>IF(OHW!$G128="","",OHW!$B128&amp;"")</f>
        <v/>
      </c>
      <c r="J1175">
        <f>IF(OHW!$G128="","",OHW!$E128)</f>
        <v/>
      </c>
      <c r="K1175">
        <f>IF(OHW!$G128="","",COUNTIFS(OHW!$A$5:$A$1668,OHW!$A128,OHW!$C$5:$C$1668,OHW!$C128))</f>
        <v/>
      </c>
      <c r="L1175">
        <f>IF(OHW!$G128="","",OHW!$D128&amp;"")</f>
        <v/>
      </c>
      <c r="M1175">
        <f>IF(OHW!$G128="","",OHW!$F128)</f>
        <v/>
      </c>
      <c r="N1175">
        <f>IF(OHW!$G128="","",OHW!$G128)</f>
        <v/>
      </c>
      <c r="O1175">
        <f>IF(OHW!$G128="","",OHW!$I128)</f>
        <v/>
      </c>
      <c r="P1175">
        <f>IF(OHW!$G128="","","Final")</f>
        <v/>
      </c>
    </row>
    <row r="1176">
      <c r="A1176">
        <f>IF(OHW!$G129="","","OHW")</f>
        <v/>
      </c>
      <c r="B1176">
        <f>IF(OHW!$G129="","","OHW")</f>
        <v/>
      </c>
      <c r="C1176" s="18">
        <f>IF(OHW!$G129="","",OHW!$A129)</f>
        <v/>
      </c>
      <c r="F1176">
        <f>IF(OHW!$G129="","",OHW!$B129&amp;"")</f>
        <v/>
      </c>
      <c r="J1176">
        <f>IF(OHW!$G129="","",OHW!$E129)</f>
        <v/>
      </c>
      <c r="K1176">
        <f>IF(OHW!$G129="","",COUNTIFS(OHW!$A$5:$A$1668,OHW!$A129,OHW!$C$5:$C$1668,OHW!$C129))</f>
        <v/>
      </c>
      <c r="L1176">
        <f>IF(OHW!$G129="","",OHW!$D129&amp;"")</f>
        <v/>
      </c>
      <c r="M1176">
        <f>IF(OHW!$G129="","",OHW!$F129)</f>
        <v/>
      </c>
      <c r="N1176">
        <f>IF(OHW!$G129="","",OHW!$G129)</f>
        <v/>
      </c>
      <c r="O1176">
        <f>IF(OHW!$G129="","",OHW!$I129)</f>
        <v/>
      </c>
      <c r="P1176">
        <f>IF(OHW!$G129="","","Final")</f>
        <v/>
      </c>
    </row>
    <row r="1177">
      <c r="A1177">
        <f>IF(OHW!$G130="","","OHW")</f>
        <v/>
      </c>
      <c r="B1177">
        <f>IF(OHW!$G130="","","OHW")</f>
        <v/>
      </c>
      <c r="C1177" s="18">
        <f>IF(OHW!$G130="","",OHW!$A130)</f>
        <v/>
      </c>
      <c r="F1177">
        <f>IF(OHW!$G130="","",OHW!$B130&amp;"")</f>
        <v/>
      </c>
      <c r="J1177">
        <f>IF(OHW!$G130="","",OHW!$E130)</f>
        <v/>
      </c>
      <c r="K1177">
        <f>IF(OHW!$G130="","",COUNTIFS(OHW!$A$5:$A$1668,OHW!$A130,OHW!$C$5:$C$1668,OHW!$C130))</f>
        <v/>
      </c>
      <c r="L1177">
        <f>IF(OHW!$G130="","",OHW!$D130&amp;"")</f>
        <v/>
      </c>
      <c r="M1177">
        <f>IF(OHW!$G130="","",OHW!$F130)</f>
        <v/>
      </c>
      <c r="N1177">
        <f>IF(OHW!$G130="","",OHW!$G130)</f>
        <v/>
      </c>
      <c r="O1177">
        <f>IF(OHW!$G130="","",OHW!$I130)</f>
        <v/>
      </c>
      <c r="P1177">
        <f>IF(OHW!$G130="","","Final")</f>
        <v/>
      </c>
    </row>
    <row r="1178">
      <c r="A1178">
        <f>IF(OHW!$G131="","","OHW")</f>
        <v/>
      </c>
      <c r="B1178">
        <f>IF(OHW!$G131="","","OHW")</f>
        <v/>
      </c>
      <c r="C1178" s="18">
        <f>IF(OHW!$G131="","",OHW!$A131)</f>
        <v/>
      </c>
      <c r="F1178">
        <f>IF(OHW!$G131="","",OHW!$B131&amp;"")</f>
        <v/>
      </c>
      <c r="J1178">
        <f>IF(OHW!$G131="","",OHW!$E131)</f>
        <v/>
      </c>
      <c r="K1178">
        <f>IF(OHW!$G131="","",COUNTIFS(OHW!$A$5:$A$1668,OHW!$A131,OHW!$C$5:$C$1668,OHW!$C131))</f>
        <v/>
      </c>
      <c r="L1178">
        <f>IF(OHW!$G131="","",OHW!$D131&amp;"")</f>
        <v/>
      </c>
      <c r="M1178">
        <f>IF(OHW!$G131="","",OHW!$F131)</f>
        <v/>
      </c>
      <c r="N1178">
        <f>IF(OHW!$G131="","",OHW!$G131)</f>
        <v/>
      </c>
      <c r="O1178">
        <f>IF(OHW!$G131="","",OHW!$I131)</f>
        <v/>
      </c>
      <c r="P1178">
        <f>IF(OHW!$G131="","","Final")</f>
        <v/>
      </c>
    </row>
    <row r="1179">
      <c r="A1179">
        <f>IF(OHW!$G132="","","OHW")</f>
        <v/>
      </c>
      <c r="B1179">
        <f>IF(OHW!$G132="","","OHW")</f>
        <v/>
      </c>
      <c r="C1179" s="18">
        <f>IF(OHW!$G132="","",OHW!$A132)</f>
        <v/>
      </c>
      <c r="F1179">
        <f>IF(OHW!$G132="","",OHW!$B132&amp;"")</f>
        <v/>
      </c>
      <c r="J1179">
        <f>IF(OHW!$G132="","",OHW!$E132)</f>
        <v/>
      </c>
      <c r="K1179">
        <f>IF(OHW!$G132="","",COUNTIFS(OHW!$A$5:$A$1668,OHW!$A132,OHW!$C$5:$C$1668,OHW!$C132))</f>
        <v/>
      </c>
      <c r="L1179">
        <f>IF(OHW!$G132="","",OHW!$D132&amp;"")</f>
        <v/>
      </c>
      <c r="M1179">
        <f>IF(OHW!$G132="","",OHW!$F132)</f>
        <v/>
      </c>
      <c r="N1179">
        <f>IF(OHW!$G132="","",OHW!$G132)</f>
        <v/>
      </c>
      <c r="O1179">
        <f>IF(OHW!$G132="","",OHW!$I132)</f>
        <v/>
      </c>
      <c r="P1179">
        <f>IF(OHW!$G132="","","Final")</f>
        <v/>
      </c>
    </row>
    <row r="1180">
      <c r="A1180">
        <f>IF(OHW!$G133="","","OHW")</f>
        <v/>
      </c>
      <c r="B1180">
        <f>IF(OHW!$G133="","","OHW")</f>
        <v/>
      </c>
      <c r="C1180" s="18">
        <f>IF(OHW!$G133="","",OHW!$A133)</f>
        <v/>
      </c>
      <c r="F1180">
        <f>IF(OHW!$G133="","",OHW!$B133&amp;"")</f>
        <v/>
      </c>
      <c r="J1180">
        <f>IF(OHW!$G133="","",OHW!$E133)</f>
        <v/>
      </c>
      <c r="K1180">
        <f>IF(OHW!$G133="","",COUNTIFS(OHW!$A$5:$A$1668,OHW!$A133,OHW!$C$5:$C$1668,OHW!$C133))</f>
        <v/>
      </c>
      <c r="L1180">
        <f>IF(OHW!$G133="","",OHW!$D133&amp;"")</f>
        <v/>
      </c>
      <c r="M1180">
        <f>IF(OHW!$G133="","",OHW!$F133)</f>
        <v/>
      </c>
      <c r="N1180">
        <f>IF(OHW!$G133="","",OHW!$G133)</f>
        <v/>
      </c>
      <c r="O1180">
        <f>IF(OHW!$G133="","",OHW!$I133)</f>
        <v/>
      </c>
      <c r="P1180">
        <f>IF(OHW!$G133="","","Final")</f>
        <v/>
      </c>
    </row>
    <row r="1181">
      <c r="A1181">
        <f>IF(OHW!$G134="","","OHW")</f>
        <v/>
      </c>
      <c r="B1181">
        <f>IF(OHW!$G134="","","OHW")</f>
        <v/>
      </c>
      <c r="C1181" s="18">
        <f>IF(OHW!$G134="","",OHW!$A134)</f>
        <v/>
      </c>
      <c r="F1181">
        <f>IF(OHW!$G134="","",OHW!$B134&amp;"")</f>
        <v/>
      </c>
      <c r="J1181">
        <f>IF(OHW!$G134="","",OHW!$E134)</f>
        <v/>
      </c>
      <c r="K1181">
        <f>IF(OHW!$G134="","",COUNTIFS(OHW!$A$5:$A$1668,OHW!$A134,OHW!$C$5:$C$1668,OHW!$C134))</f>
        <v/>
      </c>
      <c r="L1181">
        <f>IF(OHW!$G134="","",OHW!$D134&amp;"")</f>
        <v/>
      </c>
      <c r="M1181">
        <f>IF(OHW!$G134="","",OHW!$F134)</f>
        <v/>
      </c>
      <c r="N1181">
        <f>IF(OHW!$G134="","",OHW!$G134)</f>
        <v/>
      </c>
      <c r="O1181">
        <f>IF(OHW!$G134="","",OHW!$I134)</f>
        <v/>
      </c>
      <c r="P1181">
        <f>IF(OHW!$G134="","","Final")</f>
        <v/>
      </c>
    </row>
    <row r="1182">
      <c r="A1182">
        <f>IF(OHW!$G135="","","OHW")</f>
        <v/>
      </c>
      <c r="B1182">
        <f>IF(OHW!$G135="","","OHW")</f>
        <v/>
      </c>
      <c r="C1182" s="18">
        <f>IF(OHW!$G135="","",OHW!$A135)</f>
        <v/>
      </c>
      <c r="F1182">
        <f>IF(OHW!$G135="","",OHW!$B135&amp;"")</f>
        <v/>
      </c>
      <c r="J1182">
        <f>IF(OHW!$G135="","",OHW!$E135)</f>
        <v/>
      </c>
      <c r="K1182">
        <f>IF(OHW!$G135="","",COUNTIFS(OHW!$A$5:$A$1668,OHW!$A135,OHW!$C$5:$C$1668,OHW!$C135))</f>
        <v/>
      </c>
      <c r="L1182">
        <f>IF(OHW!$G135="","",OHW!$D135&amp;"")</f>
        <v/>
      </c>
      <c r="M1182">
        <f>IF(OHW!$G135="","",OHW!$F135)</f>
        <v/>
      </c>
      <c r="N1182">
        <f>IF(OHW!$G135="","",OHW!$G135)</f>
        <v/>
      </c>
      <c r="O1182">
        <f>IF(OHW!$G135="","",OHW!$I135)</f>
        <v/>
      </c>
      <c r="P1182">
        <f>IF(OHW!$G135="","","Final")</f>
        <v/>
      </c>
    </row>
    <row r="1183">
      <c r="A1183">
        <f>IF(OHW!$G136="","","OHW")</f>
        <v/>
      </c>
      <c r="B1183">
        <f>IF(OHW!$G136="","","OHW")</f>
        <v/>
      </c>
      <c r="C1183" s="18">
        <f>IF(OHW!$G136="","",OHW!$A136)</f>
        <v/>
      </c>
      <c r="F1183">
        <f>IF(OHW!$G136="","",OHW!$B136&amp;"")</f>
        <v/>
      </c>
      <c r="J1183">
        <f>IF(OHW!$G136="","",OHW!$E136)</f>
        <v/>
      </c>
      <c r="K1183">
        <f>IF(OHW!$G136="","",COUNTIFS(OHW!$A$5:$A$1668,OHW!$A136,OHW!$C$5:$C$1668,OHW!$C136))</f>
        <v/>
      </c>
      <c r="L1183">
        <f>IF(OHW!$G136="","",OHW!$D136&amp;"")</f>
        <v/>
      </c>
      <c r="M1183">
        <f>IF(OHW!$G136="","",OHW!$F136)</f>
        <v/>
      </c>
      <c r="N1183">
        <f>IF(OHW!$G136="","",OHW!$G136)</f>
        <v/>
      </c>
      <c r="O1183">
        <f>IF(OHW!$G136="","",OHW!$I136)</f>
        <v/>
      </c>
      <c r="P1183">
        <f>IF(OHW!$G136="","","Final")</f>
        <v/>
      </c>
    </row>
    <row r="1184">
      <c r="A1184">
        <f>IF(OHW!$G137="","","OHW")</f>
        <v/>
      </c>
      <c r="B1184">
        <f>IF(OHW!$G137="","","OHW")</f>
        <v/>
      </c>
      <c r="C1184" s="18">
        <f>IF(OHW!$G137="","",OHW!$A137)</f>
        <v/>
      </c>
      <c r="F1184">
        <f>IF(OHW!$G137="","",OHW!$B137&amp;"")</f>
        <v/>
      </c>
      <c r="J1184">
        <f>IF(OHW!$G137="","",OHW!$E137)</f>
        <v/>
      </c>
      <c r="K1184">
        <f>IF(OHW!$G137="","",COUNTIFS(OHW!$A$5:$A$1668,OHW!$A137,OHW!$C$5:$C$1668,OHW!$C137))</f>
        <v/>
      </c>
      <c r="L1184">
        <f>IF(OHW!$G137="","",OHW!$D137&amp;"")</f>
        <v/>
      </c>
      <c r="M1184">
        <f>IF(OHW!$G137="","",OHW!$F137)</f>
        <v/>
      </c>
      <c r="N1184">
        <f>IF(OHW!$G137="","",OHW!$G137)</f>
        <v/>
      </c>
      <c r="O1184">
        <f>IF(OHW!$G137="","",OHW!$I137)</f>
        <v/>
      </c>
      <c r="P1184">
        <f>IF(OHW!$G137="","","Final")</f>
        <v/>
      </c>
    </row>
    <row r="1185">
      <c r="A1185">
        <f>IF(OHW!$G138="","","OHW")</f>
        <v/>
      </c>
      <c r="B1185">
        <f>IF(OHW!$G138="","","OHW")</f>
        <v/>
      </c>
      <c r="C1185" s="18">
        <f>IF(OHW!$G138="","",OHW!$A138)</f>
        <v/>
      </c>
      <c r="F1185">
        <f>IF(OHW!$G138="","",OHW!$B138&amp;"")</f>
        <v/>
      </c>
      <c r="J1185">
        <f>IF(OHW!$G138="","",OHW!$E138)</f>
        <v/>
      </c>
      <c r="K1185">
        <f>IF(OHW!$G138="","",COUNTIFS(OHW!$A$5:$A$1668,OHW!$A138,OHW!$C$5:$C$1668,OHW!$C138))</f>
        <v/>
      </c>
      <c r="L1185">
        <f>IF(OHW!$G138="","",OHW!$D138&amp;"")</f>
        <v/>
      </c>
      <c r="M1185">
        <f>IF(OHW!$G138="","",OHW!$F138)</f>
        <v/>
      </c>
      <c r="N1185">
        <f>IF(OHW!$G138="","",OHW!$G138)</f>
        <v/>
      </c>
      <c r="O1185">
        <f>IF(OHW!$G138="","",OHW!$I138)</f>
        <v/>
      </c>
      <c r="P1185">
        <f>IF(OHW!$G138="","","Final")</f>
        <v/>
      </c>
    </row>
    <row r="1186">
      <c r="A1186">
        <f>IF(OHW!$G139="","","OHW")</f>
        <v/>
      </c>
      <c r="B1186">
        <f>IF(OHW!$G139="","","OHW")</f>
        <v/>
      </c>
      <c r="C1186" s="18">
        <f>IF(OHW!$G139="","",OHW!$A139)</f>
        <v/>
      </c>
      <c r="F1186">
        <f>IF(OHW!$G139="","",OHW!$B139&amp;"")</f>
        <v/>
      </c>
      <c r="J1186">
        <f>IF(OHW!$G139="","",OHW!$E139)</f>
        <v/>
      </c>
      <c r="K1186">
        <f>IF(OHW!$G139="","",COUNTIFS(OHW!$A$5:$A$1668,OHW!$A139,OHW!$C$5:$C$1668,OHW!$C139))</f>
        <v/>
      </c>
      <c r="L1186">
        <f>IF(OHW!$G139="","",OHW!$D139&amp;"")</f>
        <v/>
      </c>
      <c r="M1186">
        <f>IF(OHW!$G139="","",OHW!$F139)</f>
        <v/>
      </c>
      <c r="N1186">
        <f>IF(OHW!$G139="","",OHW!$G139)</f>
        <v/>
      </c>
      <c r="O1186">
        <f>IF(OHW!$G139="","",OHW!$I139)</f>
        <v/>
      </c>
      <c r="P1186">
        <f>IF(OHW!$G139="","","Final")</f>
        <v/>
      </c>
    </row>
    <row r="1187">
      <c r="A1187">
        <f>IF(OHW!$G140="","","OHW")</f>
        <v/>
      </c>
      <c r="B1187">
        <f>IF(OHW!$G140="","","OHW")</f>
        <v/>
      </c>
      <c r="C1187" s="18">
        <f>IF(OHW!$G140="","",OHW!$A140)</f>
        <v/>
      </c>
      <c r="F1187">
        <f>IF(OHW!$G140="","",OHW!$B140&amp;"")</f>
        <v/>
      </c>
      <c r="J1187">
        <f>IF(OHW!$G140="","",OHW!$E140)</f>
        <v/>
      </c>
      <c r="K1187">
        <f>IF(OHW!$G140="","",COUNTIFS(OHW!$A$5:$A$1668,OHW!$A140,OHW!$C$5:$C$1668,OHW!$C140))</f>
        <v/>
      </c>
      <c r="L1187">
        <f>IF(OHW!$G140="","",OHW!$D140&amp;"")</f>
        <v/>
      </c>
      <c r="M1187">
        <f>IF(OHW!$G140="","",OHW!$F140)</f>
        <v/>
      </c>
      <c r="N1187">
        <f>IF(OHW!$G140="","",OHW!$G140)</f>
        <v/>
      </c>
      <c r="O1187">
        <f>IF(OHW!$G140="","",OHW!$I140)</f>
        <v/>
      </c>
      <c r="P1187">
        <f>IF(OHW!$G140="","","Final")</f>
        <v/>
      </c>
    </row>
    <row r="1188">
      <c r="A1188">
        <f>IF(OHW!$G141="","","OHW")</f>
        <v/>
      </c>
      <c r="B1188">
        <f>IF(OHW!$G141="","","OHW")</f>
        <v/>
      </c>
      <c r="C1188" s="18">
        <f>IF(OHW!$G141="","",OHW!$A141)</f>
        <v/>
      </c>
      <c r="F1188">
        <f>IF(OHW!$G141="","",OHW!$B141&amp;"")</f>
        <v/>
      </c>
      <c r="J1188">
        <f>IF(OHW!$G141="","",OHW!$E141)</f>
        <v/>
      </c>
      <c r="K1188">
        <f>IF(OHW!$G141="","",COUNTIFS(OHW!$A$5:$A$1668,OHW!$A141,OHW!$C$5:$C$1668,OHW!$C141))</f>
        <v/>
      </c>
      <c r="L1188">
        <f>IF(OHW!$G141="","",OHW!$D141&amp;"")</f>
        <v/>
      </c>
      <c r="M1188">
        <f>IF(OHW!$G141="","",OHW!$F141)</f>
        <v/>
      </c>
      <c r="N1188">
        <f>IF(OHW!$G141="","",OHW!$G141)</f>
        <v/>
      </c>
      <c r="O1188">
        <f>IF(OHW!$G141="","",OHW!$I141)</f>
        <v/>
      </c>
      <c r="P1188">
        <f>IF(OHW!$G141="","","Final")</f>
        <v/>
      </c>
    </row>
    <row r="1189">
      <c r="A1189">
        <f>IF(OHW!$G142="","","OHW")</f>
        <v/>
      </c>
      <c r="B1189">
        <f>IF(OHW!$G142="","","OHW")</f>
        <v/>
      </c>
      <c r="C1189" s="18">
        <f>IF(OHW!$G142="","",OHW!$A142)</f>
        <v/>
      </c>
      <c r="F1189">
        <f>IF(OHW!$G142="","",OHW!$B142&amp;"")</f>
        <v/>
      </c>
      <c r="J1189">
        <f>IF(OHW!$G142="","",OHW!$E142)</f>
        <v/>
      </c>
      <c r="K1189">
        <f>IF(OHW!$G142="","",COUNTIFS(OHW!$A$5:$A$1668,OHW!$A142,OHW!$C$5:$C$1668,OHW!$C142))</f>
        <v/>
      </c>
      <c r="L1189">
        <f>IF(OHW!$G142="","",OHW!$D142&amp;"")</f>
        <v/>
      </c>
      <c r="M1189">
        <f>IF(OHW!$G142="","",OHW!$F142)</f>
        <v/>
      </c>
      <c r="N1189">
        <f>IF(OHW!$G142="","",OHW!$G142)</f>
        <v/>
      </c>
      <c r="O1189">
        <f>IF(OHW!$G142="","",OHW!$I142)</f>
        <v/>
      </c>
      <c r="P1189">
        <f>IF(OHW!$G142="","","Final")</f>
        <v/>
      </c>
    </row>
    <row r="1190">
      <c r="A1190">
        <f>IF(OHW!$G143="","","OHW")</f>
        <v/>
      </c>
      <c r="B1190">
        <f>IF(OHW!$G143="","","OHW")</f>
        <v/>
      </c>
      <c r="C1190" s="18">
        <f>IF(OHW!$G143="","",OHW!$A143)</f>
        <v/>
      </c>
      <c r="F1190">
        <f>IF(OHW!$G143="","",OHW!$B143&amp;"")</f>
        <v/>
      </c>
      <c r="J1190">
        <f>IF(OHW!$G143="","",OHW!$E143)</f>
        <v/>
      </c>
      <c r="K1190">
        <f>IF(OHW!$G143="","",COUNTIFS(OHW!$A$5:$A$1668,OHW!$A143,OHW!$C$5:$C$1668,OHW!$C143))</f>
        <v/>
      </c>
      <c r="L1190">
        <f>IF(OHW!$G143="","",OHW!$D143&amp;"")</f>
        <v/>
      </c>
      <c r="M1190">
        <f>IF(OHW!$G143="","",OHW!$F143)</f>
        <v/>
      </c>
      <c r="N1190">
        <f>IF(OHW!$G143="","",OHW!$G143)</f>
        <v/>
      </c>
      <c r="O1190">
        <f>IF(OHW!$G143="","",OHW!$I143)</f>
        <v/>
      </c>
      <c r="P1190">
        <f>IF(OHW!$G143="","","Final")</f>
        <v/>
      </c>
    </row>
    <row r="1191">
      <c r="A1191">
        <f>IF(OHW!$G144="","","OHW")</f>
        <v/>
      </c>
      <c r="B1191">
        <f>IF(OHW!$G144="","","OHW")</f>
        <v/>
      </c>
      <c r="C1191" s="18">
        <f>IF(OHW!$G144="","",OHW!$A144)</f>
        <v/>
      </c>
      <c r="F1191">
        <f>IF(OHW!$G144="","",OHW!$B144&amp;"")</f>
        <v/>
      </c>
      <c r="J1191">
        <f>IF(OHW!$G144="","",OHW!$E144)</f>
        <v/>
      </c>
      <c r="K1191">
        <f>IF(OHW!$G144="","",COUNTIFS(OHW!$A$5:$A$1668,OHW!$A144,OHW!$C$5:$C$1668,OHW!$C144))</f>
        <v/>
      </c>
      <c r="L1191">
        <f>IF(OHW!$G144="","",OHW!$D144&amp;"")</f>
        <v/>
      </c>
      <c r="M1191">
        <f>IF(OHW!$G144="","",OHW!$F144)</f>
        <v/>
      </c>
      <c r="N1191">
        <f>IF(OHW!$G144="","",OHW!$G144)</f>
        <v/>
      </c>
      <c r="O1191">
        <f>IF(OHW!$G144="","",OHW!$I144)</f>
        <v/>
      </c>
      <c r="P1191">
        <f>IF(OHW!$G144="","","Final")</f>
        <v/>
      </c>
    </row>
    <row r="1192">
      <c r="A1192">
        <f>IF(OHW!$G145="","","OHW")</f>
        <v/>
      </c>
      <c r="B1192">
        <f>IF(OHW!$G145="","","OHW")</f>
        <v/>
      </c>
      <c r="C1192" s="18">
        <f>IF(OHW!$G145="","",OHW!$A145)</f>
        <v/>
      </c>
      <c r="F1192">
        <f>IF(OHW!$G145="","",OHW!$B145&amp;"")</f>
        <v/>
      </c>
      <c r="J1192">
        <f>IF(OHW!$G145="","",OHW!$E145)</f>
        <v/>
      </c>
      <c r="K1192">
        <f>IF(OHW!$G145="","",COUNTIFS(OHW!$A$5:$A$1668,OHW!$A145,OHW!$C$5:$C$1668,OHW!$C145))</f>
        <v/>
      </c>
      <c r="L1192">
        <f>IF(OHW!$G145="","",OHW!$D145&amp;"")</f>
        <v/>
      </c>
      <c r="M1192">
        <f>IF(OHW!$G145="","",OHW!$F145)</f>
        <v/>
      </c>
      <c r="N1192">
        <f>IF(OHW!$G145="","",OHW!$G145)</f>
        <v/>
      </c>
      <c r="O1192">
        <f>IF(OHW!$G145="","",OHW!$I145)</f>
        <v/>
      </c>
      <c r="P1192">
        <f>IF(OHW!$G145="","","Final")</f>
        <v/>
      </c>
    </row>
    <row r="1193">
      <c r="A1193">
        <f>IF(OHW!$G146="","","OHW")</f>
        <v/>
      </c>
      <c r="B1193">
        <f>IF(OHW!$G146="","","OHW")</f>
        <v/>
      </c>
      <c r="C1193" s="18">
        <f>IF(OHW!$G146="","",OHW!$A146)</f>
        <v/>
      </c>
      <c r="F1193">
        <f>IF(OHW!$G146="","",OHW!$B146&amp;"")</f>
        <v/>
      </c>
      <c r="J1193">
        <f>IF(OHW!$G146="","",OHW!$E146)</f>
        <v/>
      </c>
      <c r="K1193">
        <f>IF(OHW!$G146="","",COUNTIFS(OHW!$A$5:$A$1668,OHW!$A146,OHW!$C$5:$C$1668,OHW!$C146))</f>
        <v/>
      </c>
      <c r="L1193">
        <f>IF(OHW!$G146="","",OHW!$D146&amp;"")</f>
        <v/>
      </c>
      <c r="M1193">
        <f>IF(OHW!$G146="","",OHW!$F146)</f>
        <v/>
      </c>
      <c r="N1193">
        <f>IF(OHW!$G146="","",OHW!$G146)</f>
        <v/>
      </c>
      <c r="O1193">
        <f>IF(OHW!$G146="","",OHW!$I146)</f>
        <v/>
      </c>
      <c r="P1193">
        <f>IF(OHW!$G146="","","Final")</f>
        <v/>
      </c>
    </row>
    <row r="1194">
      <c r="A1194">
        <f>IF(OHW!$G147="","","OHW")</f>
        <v/>
      </c>
      <c r="B1194">
        <f>IF(OHW!$G147="","","OHW")</f>
        <v/>
      </c>
      <c r="C1194" s="18">
        <f>IF(OHW!$G147="","",OHW!$A147)</f>
        <v/>
      </c>
      <c r="F1194">
        <f>IF(OHW!$G147="","",OHW!$B147&amp;"")</f>
        <v/>
      </c>
      <c r="J1194">
        <f>IF(OHW!$G147="","",OHW!$E147)</f>
        <v/>
      </c>
      <c r="K1194">
        <f>IF(OHW!$G147="","",COUNTIFS(OHW!$A$5:$A$1668,OHW!$A147,OHW!$C$5:$C$1668,OHW!$C147))</f>
        <v/>
      </c>
      <c r="L1194">
        <f>IF(OHW!$G147="","",OHW!$D147&amp;"")</f>
        <v/>
      </c>
      <c r="M1194">
        <f>IF(OHW!$G147="","",OHW!$F147)</f>
        <v/>
      </c>
      <c r="N1194">
        <f>IF(OHW!$G147="","",OHW!$G147)</f>
        <v/>
      </c>
      <c r="O1194">
        <f>IF(OHW!$G147="","",OHW!$I147)</f>
        <v/>
      </c>
      <c r="P1194">
        <f>IF(OHW!$G147="","","Final")</f>
        <v/>
      </c>
    </row>
    <row r="1195">
      <c r="A1195">
        <f>IF(OHW!$G148="","","OHW")</f>
        <v/>
      </c>
      <c r="B1195">
        <f>IF(OHW!$G148="","","OHW")</f>
        <v/>
      </c>
      <c r="C1195" s="18">
        <f>IF(OHW!$G148="","",OHW!$A148)</f>
        <v/>
      </c>
      <c r="F1195">
        <f>IF(OHW!$G148="","",OHW!$B148&amp;"")</f>
        <v/>
      </c>
      <c r="J1195">
        <f>IF(OHW!$G148="","",OHW!$E148)</f>
        <v/>
      </c>
      <c r="K1195">
        <f>IF(OHW!$G148="","",COUNTIFS(OHW!$A$5:$A$1668,OHW!$A148,OHW!$C$5:$C$1668,OHW!$C148))</f>
        <v/>
      </c>
      <c r="L1195">
        <f>IF(OHW!$G148="","",OHW!$D148&amp;"")</f>
        <v/>
      </c>
      <c r="M1195">
        <f>IF(OHW!$G148="","",OHW!$F148)</f>
        <v/>
      </c>
      <c r="N1195">
        <f>IF(OHW!$G148="","",OHW!$G148)</f>
        <v/>
      </c>
      <c r="O1195">
        <f>IF(OHW!$G148="","",OHW!$I148)</f>
        <v/>
      </c>
      <c r="P1195">
        <f>IF(OHW!$G148="","","Final")</f>
        <v/>
      </c>
    </row>
    <row r="1196">
      <c r="A1196">
        <f>IF(OHW!$G149="","","OHW")</f>
        <v/>
      </c>
      <c r="B1196">
        <f>IF(OHW!$G149="","","OHW")</f>
        <v/>
      </c>
      <c r="C1196" s="18">
        <f>IF(OHW!$G149="","",OHW!$A149)</f>
        <v/>
      </c>
      <c r="F1196">
        <f>IF(OHW!$G149="","",OHW!$B149&amp;"")</f>
        <v/>
      </c>
      <c r="J1196">
        <f>IF(OHW!$G149="","",OHW!$E149)</f>
        <v/>
      </c>
      <c r="K1196">
        <f>IF(OHW!$G149="","",COUNTIFS(OHW!$A$5:$A$1668,OHW!$A149,OHW!$C$5:$C$1668,OHW!$C149))</f>
        <v/>
      </c>
      <c r="L1196">
        <f>IF(OHW!$G149="","",OHW!$D149&amp;"")</f>
        <v/>
      </c>
      <c r="M1196">
        <f>IF(OHW!$G149="","",OHW!$F149)</f>
        <v/>
      </c>
      <c r="N1196">
        <f>IF(OHW!$G149="","",OHW!$G149)</f>
        <v/>
      </c>
      <c r="O1196">
        <f>IF(OHW!$G149="","",OHW!$I149)</f>
        <v/>
      </c>
      <c r="P1196">
        <f>IF(OHW!$G149="","","Final")</f>
        <v/>
      </c>
    </row>
    <row r="1197">
      <c r="A1197">
        <f>IF(OHW!$G150="","","OHW")</f>
        <v/>
      </c>
      <c r="B1197">
        <f>IF(OHW!$G150="","","OHW")</f>
        <v/>
      </c>
      <c r="C1197" s="18">
        <f>IF(OHW!$G150="","",OHW!$A150)</f>
        <v/>
      </c>
      <c r="F1197">
        <f>IF(OHW!$G150="","",OHW!$B150&amp;"")</f>
        <v/>
      </c>
      <c r="J1197">
        <f>IF(OHW!$G150="","",OHW!$E150)</f>
        <v/>
      </c>
      <c r="K1197">
        <f>IF(OHW!$G150="","",COUNTIFS(OHW!$A$5:$A$1668,OHW!$A150,OHW!$C$5:$C$1668,OHW!$C150))</f>
        <v/>
      </c>
      <c r="L1197">
        <f>IF(OHW!$G150="","",OHW!$D150&amp;"")</f>
        <v/>
      </c>
      <c r="M1197">
        <f>IF(OHW!$G150="","",OHW!$F150)</f>
        <v/>
      </c>
      <c r="N1197">
        <f>IF(OHW!$G150="","",OHW!$G150)</f>
        <v/>
      </c>
      <c r="O1197">
        <f>IF(OHW!$G150="","",OHW!$I150)</f>
        <v/>
      </c>
      <c r="P1197">
        <f>IF(OHW!$G150="","","Final")</f>
        <v/>
      </c>
    </row>
    <row r="1198">
      <c r="A1198">
        <f>IF(OHW!$G151="","","OHW")</f>
        <v/>
      </c>
      <c r="B1198">
        <f>IF(OHW!$G151="","","OHW")</f>
        <v/>
      </c>
      <c r="C1198" s="18">
        <f>IF(OHW!$G151="","",OHW!$A151)</f>
        <v/>
      </c>
      <c r="F1198">
        <f>IF(OHW!$G151="","",OHW!$B151&amp;"")</f>
        <v/>
      </c>
      <c r="J1198">
        <f>IF(OHW!$G151="","",OHW!$E151)</f>
        <v/>
      </c>
      <c r="K1198">
        <f>IF(OHW!$G151="","",COUNTIFS(OHW!$A$5:$A$1668,OHW!$A151,OHW!$C$5:$C$1668,OHW!$C151))</f>
        <v/>
      </c>
      <c r="L1198">
        <f>IF(OHW!$G151="","",OHW!$D151&amp;"")</f>
        <v/>
      </c>
      <c r="M1198">
        <f>IF(OHW!$G151="","",OHW!$F151)</f>
        <v/>
      </c>
      <c r="N1198">
        <f>IF(OHW!$G151="","",OHW!$G151)</f>
        <v/>
      </c>
      <c r="O1198">
        <f>IF(OHW!$G151="","",OHW!$I151)</f>
        <v/>
      </c>
      <c r="P1198">
        <f>IF(OHW!$G151="","","Final")</f>
        <v/>
      </c>
    </row>
    <row r="1199">
      <c r="A1199">
        <f>IF(OHW!$G152="","","OHW")</f>
        <v/>
      </c>
      <c r="B1199">
        <f>IF(OHW!$G152="","","OHW")</f>
        <v/>
      </c>
      <c r="C1199" s="18">
        <f>IF(OHW!$G152="","",OHW!$A152)</f>
        <v/>
      </c>
      <c r="F1199">
        <f>IF(OHW!$G152="","",OHW!$B152&amp;"")</f>
        <v/>
      </c>
      <c r="J1199">
        <f>IF(OHW!$G152="","",OHW!$E152)</f>
        <v/>
      </c>
      <c r="K1199">
        <f>IF(OHW!$G152="","",COUNTIFS(OHW!$A$5:$A$1668,OHW!$A152,OHW!$C$5:$C$1668,OHW!$C152))</f>
        <v/>
      </c>
      <c r="L1199">
        <f>IF(OHW!$G152="","",OHW!$D152&amp;"")</f>
        <v/>
      </c>
      <c r="M1199">
        <f>IF(OHW!$G152="","",OHW!$F152)</f>
        <v/>
      </c>
      <c r="N1199">
        <f>IF(OHW!$G152="","",OHW!$G152)</f>
        <v/>
      </c>
      <c r="O1199">
        <f>IF(OHW!$G152="","",OHW!$I152)</f>
        <v/>
      </c>
      <c r="P1199">
        <f>IF(OHW!$G152="","","Final")</f>
        <v/>
      </c>
    </row>
    <row r="1200">
      <c r="A1200">
        <f>IF(OHW!$G153="","","OHW")</f>
        <v/>
      </c>
      <c r="B1200">
        <f>IF(OHW!$G153="","","OHW")</f>
        <v/>
      </c>
      <c r="C1200" s="18">
        <f>IF(OHW!$G153="","",OHW!$A153)</f>
        <v/>
      </c>
      <c r="F1200">
        <f>IF(OHW!$G153="","",OHW!$B153&amp;"")</f>
        <v/>
      </c>
      <c r="J1200">
        <f>IF(OHW!$G153="","",OHW!$E153)</f>
        <v/>
      </c>
      <c r="K1200">
        <f>IF(OHW!$G153="","",COUNTIFS(OHW!$A$5:$A$1668,OHW!$A153,OHW!$C$5:$C$1668,OHW!$C153))</f>
        <v/>
      </c>
      <c r="L1200">
        <f>IF(OHW!$G153="","",OHW!$D153&amp;"")</f>
        <v/>
      </c>
      <c r="M1200">
        <f>IF(OHW!$G153="","",OHW!$F153)</f>
        <v/>
      </c>
      <c r="N1200">
        <f>IF(OHW!$G153="","",OHW!$G153)</f>
        <v/>
      </c>
      <c r="O1200">
        <f>IF(OHW!$G153="","",OHW!$I153)</f>
        <v/>
      </c>
      <c r="P1200">
        <f>IF(OHW!$G153="","","Final")</f>
        <v/>
      </c>
    </row>
    <row r="1201">
      <c r="A1201">
        <f>IF(OHW!$G154="","","OHW")</f>
        <v/>
      </c>
      <c r="B1201">
        <f>IF(OHW!$G154="","","OHW")</f>
        <v/>
      </c>
      <c r="C1201" s="18">
        <f>IF(OHW!$G154="","",OHW!$A154)</f>
        <v/>
      </c>
      <c r="F1201">
        <f>IF(OHW!$G154="","",OHW!$B154&amp;"")</f>
        <v/>
      </c>
      <c r="J1201">
        <f>IF(OHW!$G154="","",OHW!$E154)</f>
        <v/>
      </c>
      <c r="K1201">
        <f>IF(OHW!$G154="","",COUNTIFS(OHW!$A$5:$A$1668,OHW!$A154,OHW!$C$5:$C$1668,OHW!$C154))</f>
        <v/>
      </c>
      <c r="L1201">
        <f>IF(OHW!$G154="","",OHW!$D154&amp;"")</f>
        <v/>
      </c>
      <c r="M1201">
        <f>IF(OHW!$G154="","",OHW!$F154)</f>
        <v/>
      </c>
      <c r="N1201">
        <f>IF(OHW!$G154="","",OHW!$G154)</f>
        <v/>
      </c>
      <c r="O1201">
        <f>IF(OHW!$G154="","",OHW!$I154)</f>
        <v/>
      </c>
      <c r="P1201">
        <f>IF(OHW!$G154="","","Final")</f>
        <v/>
      </c>
    </row>
    <row r="1202">
      <c r="A1202">
        <f>IF(OHW!$G155="","","OHW")</f>
        <v/>
      </c>
      <c r="B1202">
        <f>IF(OHW!$G155="","","OHW")</f>
        <v/>
      </c>
      <c r="C1202" s="18">
        <f>IF(OHW!$G155="","",OHW!$A155)</f>
        <v/>
      </c>
      <c r="F1202">
        <f>IF(OHW!$G155="","",OHW!$B155&amp;"")</f>
        <v/>
      </c>
      <c r="J1202">
        <f>IF(OHW!$G155="","",OHW!$E155)</f>
        <v/>
      </c>
      <c r="K1202">
        <f>IF(OHW!$G155="","",COUNTIFS(OHW!$A$5:$A$1668,OHW!$A155,OHW!$C$5:$C$1668,OHW!$C155))</f>
        <v/>
      </c>
      <c r="L1202">
        <f>IF(OHW!$G155="","",OHW!$D155&amp;"")</f>
        <v/>
      </c>
      <c r="M1202">
        <f>IF(OHW!$G155="","",OHW!$F155)</f>
        <v/>
      </c>
      <c r="N1202">
        <f>IF(OHW!$G155="","",OHW!$G155)</f>
        <v/>
      </c>
      <c r="O1202">
        <f>IF(OHW!$G155="","",OHW!$I155)</f>
        <v/>
      </c>
      <c r="P1202">
        <f>IF(OHW!$G155="","","Final")</f>
        <v/>
      </c>
    </row>
    <row r="1203">
      <c r="A1203">
        <f>IF(OHW!$G156="","","OHW")</f>
        <v/>
      </c>
      <c r="B1203">
        <f>IF(OHW!$G156="","","OHW")</f>
        <v/>
      </c>
      <c r="C1203" s="18">
        <f>IF(OHW!$G156="","",OHW!$A156)</f>
        <v/>
      </c>
      <c r="F1203">
        <f>IF(OHW!$G156="","",OHW!$B156&amp;"")</f>
        <v/>
      </c>
      <c r="J1203">
        <f>IF(OHW!$G156="","",OHW!$E156)</f>
        <v/>
      </c>
      <c r="K1203">
        <f>IF(OHW!$G156="","",COUNTIFS(OHW!$A$5:$A$1668,OHW!$A156,OHW!$C$5:$C$1668,OHW!$C156))</f>
        <v/>
      </c>
      <c r="L1203">
        <f>IF(OHW!$G156="","",OHW!$D156&amp;"")</f>
        <v/>
      </c>
      <c r="M1203">
        <f>IF(OHW!$G156="","",OHW!$F156)</f>
        <v/>
      </c>
      <c r="N1203">
        <f>IF(OHW!$G156="","",OHW!$G156)</f>
        <v/>
      </c>
      <c r="O1203">
        <f>IF(OHW!$G156="","",OHW!$I156)</f>
        <v/>
      </c>
      <c r="P1203">
        <f>IF(OHW!$G156="","","Final")</f>
        <v/>
      </c>
    </row>
    <row r="1204">
      <c r="A1204">
        <f>IF(OHW!$G157="","","OHW")</f>
        <v/>
      </c>
      <c r="B1204">
        <f>IF(OHW!$G157="","","OHW")</f>
        <v/>
      </c>
      <c r="C1204" s="18">
        <f>IF(OHW!$G157="","",OHW!$A157)</f>
        <v/>
      </c>
      <c r="F1204">
        <f>IF(OHW!$G157="","",OHW!$B157&amp;"")</f>
        <v/>
      </c>
      <c r="J1204">
        <f>IF(OHW!$G157="","",OHW!$E157)</f>
        <v/>
      </c>
      <c r="K1204">
        <f>IF(OHW!$G157="","",COUNTIFS(OHW!$A$5:$A$1668,OHW!$A157,OHW!$C$5:$C$1668,OHW!$C157))</f>
        <v/>
      </c>
      <c r="L1204">
        <f>IF(OHW!$G157="","",OHW!$D157&amp;"")</f>
        <v/>
      </c>
      <c r="M1204">
        <f>IF(OHW!$G157="","",OHW!$F157)</f>
        <v/>
      </c>
      <c r="N1204">
        <f>IF(OHW!$G157="","",OHW!$G157)</f>
        <v/>
      </c>
      <c r="O1204">
        <f>IF(OHW!$G157="","",OHW!$I157)</f>
        <v/>
      </c>
      <c r="P1204">
        <f>IF(OHW!$G157="","","Final")</f>
        <v/>
      </c>
    </row>
    <row r="1205">
      <c r="A1205">
        <f>IF(OHW!$G158="","","OHW")</f>
        <v/>
      </c>
      <c r="B1205">
        <f>IF(OHW!$G158="","","OHW")</f>
        <v/>
      </c>
      <c r="C1205" s="18">
        <f>IF(OHW!$G158="","",OHW!$A158)</f>
        <v/>
      </c>
      <c r="F1205">
        <f>IF(OHW!$G158="","",OHW!$B158&amp;"")</f>
        <v/>
      </c>
      <c r="J1205">
        <f>IF(OHW!$G158="","",OHW!$E158)</f>
        <v/>
      </c>
      <c r="K1205">
        <f>IF(OHW!$G158="","",COUNTIFS(OHW!$A$5:$A$1668,OHW!$A158,OHW!$C$5:$C$1668,OHW!$C158))</f>
        <v/>
      </c>
      <c r="L1205">
        <f>IF(OHW!$G158="","",OHW!$D158&amp;"")</f>
        <v/>
      </c>
      <c r="M1205">
        <f>IF(OHW!$G158="","",OHW!$F158)</f>
        <v/>
      </c>
      <c r="N1205">
        <f>IF(OHW!$G158="","",OHW!$G158)</f>
        <v/>
      </c>
      <c r="O1205">
        <f>IF(OHW!$G158="","",OHW!$I158)</f>
        <v/>
      </c>
      <c r="P1205">
        <f>IF(OHW!$G158="","","Final")</f>
        <v/>
      </c>
    </row>
    <row r="1206">
      <c r="A1206">
        <f>IF(OHW!$G159="","","OHW")</f>
        <v/>
      </c>
      <c r="B1206">
        <f>IF(OHW!$G159="","","OHW")</f>
        <v/>
      </c>
      <c r="C1206" s="18">
        <f>IF(OHW!$G159="","",OHW!$A159)</f>
        <v/>
      </c>
      <c r="F1206">
        <f>IF(OHW!$G159="","",OHW!$B159&amp;"")</f>
        <v/>
      </c>
      <c r="J1206">
        <f>IF(OHW!$G159="","",OHW!$E159)</f>
        <v/>
      </c>
      <c r="K1206">
        <f>IF(OHW!$G159="","",COUNTIFS(OHW!$A$5:$A$1668,OHW!$A159,OHW!$C$5:$C$1668,OHW!$C159))</f>
        <v/>
      </c>
      <c r="L1206">
        <f>IF(OHW!$G159="","",OHW!$D159&amp;"")</f>
        <v/>
      </c>
      <c r="M1206">
        <f>IF(OHW!$G159="","",OHW!$F159)</f>
        <v/>
      </c>
      <c r="N1206">
        <f>IF(OHW!$G159="","",OHW!$G159)</f>
        <v/>
      </c>
      <c r="O1206">
        <f>IF(OHW!$G159="","",OHW!$I159)</f>
        <v/>
      </c>
      <c r="P1206">
        <f>IF(OHW!$G159="","","Final")</f>
        <v/>
      </c>
    </row>
    <row r="1207">
      <c r="A1207">
        <f>IF(OHW!$G160="","","OHW")</f>
        <v/>
      </c>
      <c r="B1207">
        <f>IF(OHW!$G160="","","OHW")</f>
        <v/>
      </c>
      <c r="C1207" s="18">
        <f>IF(OHW!$G160="","",OHW!$A160)</f>
        <v/>
      </c>
      <c r="F1207">
        <f>IF(OHW!$G160="","",OHW!$B160&amp;"")</f>
        <v/>
      </c>
      <c r="J1207">
        <f>IF(OHW!$G160="","",OHW!$E160)</f>
        <v/>
      </c>
      <c r="K1207">
        <f>IF(OHW!$G160="","",COUNTIFS(OHW!$A$5:$A$1668,OHW!$A160,OHW!$C$5:$C$1668,OHW!$C160))</f>
        <v/>
      </c>
      <c r="L1207">
        <f>IF(OHW!$G160="","",OHW!$D160&amp;"")</f>
        <v/>
      </c>
      <c r="M1207">
        <f>IF(OHW!$G160="","",OHW!$F160)</f>
        <v/>
      </c>
      <c r="N1207">
        <f>IF(OHW!$G160="","",OHW!$G160)</f>
        <v/>
      </c>
      <c r="O1207">
        <f>IF(OHW!$G160="","",OHW!$I160)</f>
        <v/>
      </c>
      <c r="P1207">
        <f>IF(OHW!$G160="","","Final")</f>
        <v/>
      </c>
    </row>
    <row r="1208">
      <c r="A1208">
        <f>IF(OHW!$G161="","","OHW")</f>
        <v/>
      </c>
      <c r="B1208">
        <f>IF(OHW!$G161="","","OHW")</f>
        <v/>
      </c>
      <c r="C1208" s="18">
        <f>IF(OHW!$G161="","",OHW!$A161)</f>
        <v/>
      </c>
      <c r="F1208">
        <f>IF(OHW!$G161="","",OHW!$B161&amp;"")</f>
        <v/>
      </c>
      <c r="J1208">
        <f>IF(OHW!$G161="","",OHW!$E161)</f>
        <v/>
      </c>
      <c r="K1208">
        <f>IF(OHW!$G161="","",COUNTIFS(OHW!$A$5:$A$1668,OHW!$A161,OHW!$C$5:$C$1668,OHW!$C161))</f>
        <v/>
      </c>
      <c r="L1208">
        <f>IF(OHW!$G161="","",OHW!$D161&amp;"")</f>
        <v/>
      </c>
      <c r="M1208">
        <f>IF(OHW!$G161="","",OHW!$F161)</f>
        <v/>
      </c>
      <c r="N1208">
        <f>IF(OHW!$G161="","",OHW!$G161)</f>
        <v/>
      </c>
      <c r="O1208">
        <f>IF(OHW!$G161="","",OHW!$I161)</f>
        <v/>
      </c>
      <c r="P1208">
        <f>IF(OHW!$G161="","","Final")</f>
        <v/>
      </c>
    </row>
    <row r="1209">
      <c r="A1209">
        <f>IF(OHW!$G162="","","OHW")</f>
        <v/>
      </c>
      <c r="B1209">
        <f>IF(OHW!$G162="","","OHW")</f>
        <v/>
      </c>
      <c r="C1209" s="18">
        <f>IF(OHW!$G162="","",OHW!$A162)</f>
        <v/>
      </c>
      <c r="F1209">
        <f>IF(OHW!$G162="","",OHW!$B162&amp;"")</f>
        <v/>
      </c>
      <c r="J1209">
        <f>IF(OHW!$G162="","",OHW!$E162)</f>
        <v/>
      </c>
      <c r="K1209">
        <f>IF(OHW!$G162="","",COUNTIFS(OHW!$A$5:$A$1668,OHW!$A162,OHW!$C$5:$C$1668,OHW!$C162))</f>
        <v/>
      </c>
      <c r="L1209">
        <f>IF(OHW!$G162="","",OHW!$D162&amp;"")</f>
        <v/>
      </c>
      <c r="M1209">
        <f>IF(OHW!$G162="","",OHW!$F162)</f>
        <v/>
      </c>
      <c r="N1209">
        <f>IF(OHW!$G162="","",OHW!$G162)</f>
        <v/>
      </c>
      <c r="O1209">
        <f>IF(OHW!$G162="","",OHW!$I162)</f>
        <v/>
      </c>
      <c r="P1209">
        <f>IF(OHW!$G162="","","Final")</f>
        <v/>
      </c>
    </row>
    <row r="1210">
      <c r="A1210">
        <f>IF(OHW!$G163="","","OHW")</f>
        <v/>
      </c>
      <c r="B1210">
        <f>IF(OHW!$G163="","","OHW")</f>
        <v/>
      </c>
      <c r="C1210" s="18">
        <f>IF(OHW!$G163="","",OHW!$A163)</f>
        <v/>
      </c>
      <c r="F1210">
        <f>IF(OHW!$G163="","",OHW!$B163&amp;"")</f>
        <v/>
      </c>
      <c r="J1210">
        <f>IF(OHW!$G163="","",OHW!$E163)</f>
        <v/>
      </c>
      <c r="K1210">
        <f>IF(OHW!$G163="","",COUNTIFS(OHW!$A$5:$A$1668,OHW!$A163,OHW!$C$5:$C$1668,OHW!$C163))</f>
        <v/>
      </c>
      <c r="L1210">
        <f>IF(OHW!$G163="","",OHW!$D163&amp;"")</f>
        <v/>
      </c>
      <c r="M1210">
        <f>IF(OHW!$G163="","",OHW!$F163)</f>
        <v/>
      </c>
      <c r="N1210">
        <f>IF(OHW!$G163="","",OHW!$G163)</f>
        <v/>
      </c>
      <c r="O1210">
        <f>IF(OHW!$G163="","",OHW!$I163)</f>
        <v/>
      </c>
      <c r="P1210">
        <f>IF(OHW!$G163="","","Final")</f>
        <v/>
      </c>
    </row>
    <row r="1211">
      <c r="A1211">
        <f>IF(OHW!$G164="","","OHW")</f>
        <v/>
      </c>
      <c r="B1211">
        <f>IF(OHW!$G164="","","OHW")</f>
        <v/>
      </c>
      <c r="C1211" s="18">
        <f>IF(OHW!$G164="","",OHW!$A164)</f>
        <v/>
      </c>
      <c r="F1211">
        <f>IF(OHW!$G164="","",OHW!$B164&amp;"")</f>
        <v/>
      </c>
      <c r="J1211">
        <f>IF(OHW!$G164="","",OHW!$E164)</f>
        <v/>
      </c>
      <c r="K1211">
        <f>IF(OHW!$G164="","",COUNTIFS(OHW!$A$5:$A$1668,OHW!$A164,OHW!$C$5:$C$1668,OHW!$C164))</f>
        <v/>
      </c>
      <c r="L1211">
        <f>IF(OHW!$G164="","",OHW!$D164&amp;"")</f>
        <v/>
      </c>
      <c r="M1211">
        <f>IF(OHW!$G164="","",OHW!$F164)</f>
        <v/>
      </c>
      <c r="N1211">
        <f>IF(OHW!$G164="","",OHW!$G164)</f>
        <v/>
      </c>
      <c r="O1211">
        <f>IF(OHW!$G164="","",OHW!$I164)</f>
        <v/>
      </c>
      <c r="P1211">
        <f>IF(OHW!$G164="","","Final")</f>
        <v/>
      </c>
    </row>
    <row r="1212">
      <c r="A1212">
        <f>IF(OHW!$G165="","","OHW")</f>
        <v/>
      </c>
      <c r="B1212">
        <f>IF(OHW!$G165="","","OHW")</f>
        <v/>
      </c>
      <c r="C1212" s="18">
        <f>IF(OHW!$G165="","",OHW!$A165)</f>
        <v/>
      </c>
      <c r="F1212">
        <f>IF(OHW!$G165="","",OHW!$B165&amp;"")</f>
        <v/>
      </c>
      <c r="J1212">
        <f>IF(OHW!$G165="","",OHW!$E165)</f>
        <v/>
      </c>
      <c r="K1212">
        <f>IF(OHW!$G165="","",COUNTIFS(OHW!$A$5:$A$1668,OHW!$A165,OHW!$C$5:$C$1668,OHW!$C165))</f>
        <v/>
      </c>
      <c r="L1212">
        <f>IF(OHW!$G165="","",OHW!$D165&amp;"")</f>
        <v/>
      </c>
      <c r="M1212">
        <f>IF(OHW!$G165="","",OHW!$F165)</f>
        <v/>
      </c>
      <c r="N1212">
        <f>IF(OHW!$G165="","",OHW!$G165)</f>
        <v/>
      </c>
      <c r="O1212">
        <f>IF(OHW!$G165="","",OHW!$I165)</f>
        <v/>
      </c>
      <c r="P1212">
        <f>IF(OHW!$G165="","","Final")</f>
        <v/>
      </c>
    </row>
    <row r="1213">
      <c r="A1213">
        <f>IF(OHW!$G166="","","OHW")</f>
        <v/>
      </c>
      <c r="B1213">
        <f>IF(OHW!$G166="","","OHW")</f>
        <v/>
      </c>
      <c r="C1213" s="18">
        <f>IF(OHW!$G166="","",OHW!$A166)</f>
        <v/>
      </c>
      <c r="F1213">
        <f>IF(OHW!$G166="","",OHW!$B166&amp;"")</f>
        <v/>
      </c>
      <c r="J1213">
        <f>IF(OHW!$G166="","",OHW!$E166)</f>
        <v/>
      </c>
      <c r="K1213">
        <f>IF(OHW!$G166="","",COUNTIFS(OHW!$A$5:$A$1668,OHW!$A166,OHW!$C$5:$C$1668,OHW!$C166))</f>
        <v/>
      </c>
      <c r="L1213">
        <f>IF(OHW!$G166="","",OHW!$D166&amp;"")</f>
        <v/>
      </c>
      <c r="M1213">
        <f>IF(OHW!$G166="","",OHW!$F166)</f>
        <v/>
      </c>
      <c r="N1213">
        <f>IF(OHW!$G166="","",OHW!$G166)</f>
        <v/>
      </c>
      <c r="O1213">
        <f>IF(OHW!$G166="","",OHW!$I166)</f>
        <v/>
      </c>
      <c r="P1213">
        <f>IF(OHW!$G166="","","Final")</f>
        <v/>
      </c>
    </row>
    <row r="1214">
      <c r="A1214">
        <f>IF(OHW!$G167="","","OHW")</f>
        <v/>
      </c>
      <c r="B1214">
        <f>IF(OHW!$G167="","","OHW")</f>
        <v/>
      </c>
      <c r="C1214" s="18">
        <f>IF(OHW!$G167="","",OHW!$A167)</f>
        <v/>
      </c>
      <c r="F1214">
        <f>IF(OHW!$G167="","",OHW!$B167&amp;"")</f>
        <v/>
      </c>
      <c r="J1214">
        <f>IF(OHW!$G167="","",OHW!$E167)</f>
        <v/>
      </c>
      <c r="K1214">
        <f>IF(OHW!$G167="","",COUNTIFS(OHW!$A$5:$A$1668,OHW!$A167,OHW!$C$5:$C$1668,OHW!$C167))</f>
        <v/>
      </c>
      <c r="L1214">
        <f>IF(OHW!$G167="","",OHW!$D167&amp;"")</f>
        <v/>
      </c>
      <c r="M1214">
        <f>IF(OHW!$G167="","",OHW!$F167)</f>
        <v/>
      </c>
      <c r="N1214">
        <f>IF(OHW!$G167="","",OHW!$G167)</f>
        <v/>
      </c>
      <c r="O1214">
        <f>IF(OHW!$G167="","",OHW!$I167)</f>
        <v/>
      </c>
      <c r="P1214">
        <f>IF(OHW!$G167="","","Final")</f>
        <v/>
      </c>
    </row>
    <row r="1215">
      <c r="A1215">
        <f>IF(OHW!$G168="","","OHW")</f>
        <v/>
      </c>
      <c r="B1215">
        <f>IF(OHW!$G168="","","OHW")</f>
        <v/>
      </c>
      <c r="C1215" s="18">
        <f>IF(OHW!$G168="","",OHW!$A168)</f>
        <v/>
      </c>
      <c r="F1215">
        <f>IF(OHW!$G168="","",OHW!$B168&amp;"")</f>
        <v/>
      </c>
      <c r="J1215">
        <f>IF(OHW!$G168="","",OHW!$E168)</f>
        <v/>
      </c>
      <c r="K1215">
        <f>IF(OHW!$G168="","",COUNTIFS(OHW!$A$5:$A$1668,OHW!$A168,OHW!$C$5:$C$1668,OHW!$C168))</f>
        <v/>
      </c>
      <c r="L1215">
        <f>IF(OHW!$G168="","",OHW!$D168&amp;"")</f>
        <v/>
      </c>
      <c r="M1215">
        <f>IF(OHW!$G168="","",OHW!$F168)</f>
        <v/>
      </c>
      <c r="N1215">
        <f>IF(OHW!$G168="","",OHW!$G168)</f>
        <v/>
      </c>
      <c r="O1215">
        <f>IF(OHW!$G168="","",OHW!$I168)</f>
        <v/>
      </c>
      <c r="P1215">
        <f>IF(OHW!$G168="","","Final")</f>
        <v/>
      </c>
    </row>
    <row r="1216">
      <c r="A1216">
        <f>IF(OHW!$G169="","","OHW")</f>
        <v/>
      </c>
      <c r="B1216">
        <f>IF(OHW!$G169="","","OHW")</f>
        <v/>
      </c>
      <c r="C1216" s="18">
        <f>IF(OHW!$G169="","",OHW!$A169)</f>
        <v/>
      </c>
      <c r="F1216">
        <f>IF(OHW!$G169="","",OHW!$B169&amp;"")</f>
        <v/>
      </c>
      <c r="J1216">
        <f>IF(OHW!$G169="","",OHW!$E169)</f>
        <v/>
      </c>
      <c r="K1216">
        <f>IF(OHW!$G169="","",COUNTIFS(OHW!$A$5:$A$1668,OHW!$A169,OHW!$C$5:$C$1668,OHW!$C169))</f>
        <v/>
      </c>
      <c r="L1216">
        <f>IF(OHW!$G169="","",OHW!$D169&amp;"")</f>
        <v/>
      </c>
      <c r="M1216">
        <f>IF(OHW!$G169="","",OHW!$F169)</f>
        <v/>
      </c>
      <c r="N1216">
        <f>IF(OHW!$G169="","",OHW!$G169)</f>
        <v/>
      </c>
      <c r="O1216">
        <f>IF(OHW!$G169="","",OHW!$I169)</f>
        <v/>
      </c>
      <c r="P1216">
        <f>IF(OHW!$G169="","","Final")</f>
        <v/>
      </c>
    </row>
    <row r="1217">
      <c r="A1217">
        <f>IF(OHW!$G170="","","OHW")</f>
        <v/>
      </c>
      <c r="B1217">
        <f>IF(OHW!$G170="","","OHW")</f>
        <v/>
      </c>
      <c r="C1217" s="18">
        <f>IF(OHW!$G170="","",OHW!$A170)</f>
        <v/>
      </c>
      <c r="F1217">
        <f>IF(OHW!$G170="","",OHW!$B170&amp;"")</f>
        <v/>
      </c>
      <c r="J1217">
        <f>IF(OHW!$G170="","",OHW!$E170)</f>
        <v/>
      </c>
      <c r="K1217">
        <f>IF(OHW!$G170="","",COUNTIFS(OHW!$A$5:$A$1668,OHW!$A170,OHW!$C$5:$C$1668,OHW!$C170))</f>
        <v/>
      </c>
      <c r="L1217">
        <f>IF(OHW!$G170="","",OHW!$D170&amp;"")</f>
        <v/>
      </c>
      <c r="M1217">
        <f>IF(OHW!$G170="","",OHW!$F170)</f>
        <v/>
      </c>
      <c r="N1217">
        <f>IF(OHW!$G170="","",OHW!$G170)</f>
        <v/>
      </c>
      <c r="O1217">
        <f>IF(OHW!$G170="","",OHW!$I170)</f>
        <v/>
      </c>
      <c r="P1217">
        <f>IF(OHW!$G170="","","Final")</f>
        <v/>
      </c>
    </row>
    <row r="1218">
      <c r="A1218">
        <f>IF(OHW!$G171="","","OHW")</f>
        <v/>
      </c>
      <c r="B1218">
        <f>IF(OHW!$G171="","","OHW")</f>
        <v/>
      </c>
      <c r="C1218" s="18">
        <f>IF(OHW!$G171="","",OHW!$A171)</f>
        <v/>
      </c>
      <c r="F1218">
        <f>IF(OHW!$G171="","",OHW!$B171&amp;"")</f>
        <v/>
      </c>
      <c r="J1218">
        <f>IF(OHW!$G171="","",OHW!$E171)</f>
        <v/>
      </c>
      <c r="K1218">
        <f>IF(OHW!$G171="","",COUNTIFS(OHW!$A$5:$A$1668,OHW!$A171,OHW!$C$5:$C$1668,OHW!$C171))</f>
        <v/>
      </c>
      <c r="L1218">
        <f>IF(OHW!$G171="","",OHW!$D171&amp;"")</f>
        <v/>
      </c>
      <c r="M1218">
        <f>IF(OHW!$G171="","",OHW!$F171)</f>
        <v/>
      </c>
      <c r="N1218">
        <f>IF(OHW!$G171="","",OHW!$G171)</f>
        <v/>
      </c>
      <c r="O1218">
        <f>IF(OHW!$G171="","",OHW!$I171)</f>
        <v/>
      </c>
      <c r="P1218">
        <f>IF(OHW!$G171="","","Final")</f>
        <v/>
      </c>
    </row>
    <row r="1219">
      <c r="A1219">
        <f>IF(OHW!$G172="","","OHW")</f>
        <v/>
      </c>
      <c r="B1219">
        <f>IF(OHW!$G172="","","OHW")</f>
        <v/>
      </c>
      <c r="C1219" s="18">
        <f>IF(OHW!$G172="","",OHW!$A172)</f>
        <v/>
      </c>
      <c r="F1219">
        <f>IF(OHW!$G172="","",OHW!$B172&amp;"")</f>
        <v/>
      </c>
      <c r="J1219">
        <f>IF(OHW!$G172="","",OHW!$E172)</f>
        <v/>
      </c>
      <c r="K1219">
        <f>IF(OHW!$G172="","",COUNTIFS(OHW!$A$5:$A$1668,OHW!$A172,OHW!$C$5:$C$1668,OHW!$C172))</f>
        <v/>
      </c>
      <c r="L1219">
        <f>IF(OHW!$G172="","",OHW!$D172&amp;"")</f>
        <v/>
      </c>
      <c r="M1219">
        <f>IF(OHW!$G172="","",OHW!$F172)</f>
        <v/>
      </c>
      <c r="N1219">
        <f>IF(OHW!$G172="","",OHW!$G172)</f>
        <v/>
      </c>
      <c r="O1219">
        <f>IF(OHW!$G172="","",OHW!$I172)</f>
        <v/>
      </c>
      <c r="P1219">
        <f>IF(OHW!$G172="","","Final")</f>
        <v/>
      </c>
    </row>
    <row r="1220">
      <c r="A1220">
        <f>IF(OHW!$G173="","","OHW")</f>
        <v/>
      </c>
      <c r="B1220">
        <f>IF(OHW!$G173="","","OHW")</f>
        <v/>
      </c>
      <c r="C1220" s="18">
        <f>IF(OHW!$G173="","",OHW!$A173)</f>
        <v/>
      </c>
      <c r="F1220">
        <f>IF(OHW!$G173="","",OHW!$B173&amp;"")</f>
        <v/>
      </c>
      <c r="J1220">
        <f>IF(OHW!$G173="","",OHW!$E173)</f>
        <v/>
      </c>
      <c r="K1220">
        <f>IF(OHW!$G173="","",COUNTIFS(OHW!$A$5:$A$1668,OHW!$A173,OHW!$C$5:$C$1668,OHW!$C173))</f>
        <v/>
      </c>
      <c r="L1220">
        <f>IF(OHW!$G173="","",OHW!$D173&amp;"")</f>
        <v/>
      </c>
      <c r="M1220">
        <f>IF(OHW!$G173="","",OHW!$F173)</f>
        <v/>
      </c>
      <c r="N1220">
        <f>IF(OHW!$G173="","",OHW!$G173)</f>
        <v/>
      </c>
      <c r="O1220">
        <f>IF(OHW!$G173="","",OHW!$I173)</f>
        <v/>
      </c>
      <c r="P1220">
        <f>IF(OHW!$G173="","","Final")</f>
        <v/>
      </c>
    </row>
    <row r="1221">
      <c r="A1221">
        <f>IF(OHW!$G174="","","OHW")</f>
        <v/>
      </c>
      <c r="B1221">
        <f>IF(OHW!$G174="","","OHW")</f>
        <v/>
      </c>
      <c r="C1221" s="18">
        <f>IF(OHW!$G174="","",OHW!$A174)</f>
        <v/>
      </c>
      <c r="F1221">
        <f>IF(OHW!$G174="","",OHW!$B174&amp;"")</f>
        <v/>
      </c>
      <c r="J1221">
        <f>IF(OHW!$G174="","",OHW!$E174)</f>
        <v/>
      </c>
      <c r="K1221">
        <f>IF(OHW!$G174="","",COUNTIFS(OHW!$A$5:$A$1668,OHW!$A174,OHW!$C$5:$C$1668,OHW!$C174))</f>
        <v/>
      </c>
      <c r="L1221">
        <f>IF(OHW!$G174="","",OHW!$D174&amp;"")</f>
        <v/>
      </c>
      <c r="M1221">
        <f>IF(OHW!$G174="","",OHW!$F174)</f>
        <v/>
      </c>
      <c r="N1221">
        <f>IF(OHW!$G174="","",OHW!$G174)</f>
        <v/>
      </c>
      <c r="O1221">
        <f>IF(OHW!$G174="","",OHW!$I174)</f>
        <v/>
      </c>
      <c r="P1221">
        <f>IF(OHW!$G174="","","Final")</f>
        <v/>
      </c>
    </row>
    <row r="1222">
      <c r="A1222">
        <f>IF(OHW!$G175="","","OHW")</f>
        <v/>
      </c>
      <c r="B1222">
        <f>IF(OHW!$G175="","","OHW")</f>
        <v/>
      </c>
      <c r="C1222" s="18">
        <f>IF(OHW!$G175="","",OHW!$A175)</f>
        <v/>
      </c>
      <c r="F1222">
        <f>IF(OHW!$G175="","",OHW!$B175&amp;"")</f>
        <v/>
      </c>
      <c r="J1222">
        <f>IF(OHW!$G175="","",OHW!$E175)</f>
        <v/>
      </c>
      <c r="K1222">
        <f>IF(OHW!$G175="","",COUNTIFS(OHW!$A$5:$A$1668,OHW!$A175,OHW!$C$5:$C$1668,OHW!$C175))</f>
        <v/>
      </c>
      <c r="L1222">
        <f>IF(OHW!$G175="","",OHW!$D175&amp;"")</f>
        <v/>
      </c>
      <c r="M1222">
        <f>IF(OHW!$G175="","",OHW!$F175)</f>
        <v/>
      </c>
      <c r="N1222">
        <f>IF(OHW!$G175="","",OHW!$G175)</f>
        <v/>
      </c>
      <c r="O1222">
        <f>IF(OHW!$G175="","",OHW!$I175)</f>
        <v/>
      </c>
      <c r="P1222">
        <f>IF(OHW!$G175="","","Final")</f>
        <v/>
      </c>
    </row>
    <row r="1223">
      <c r="A1223">
        <f>IF(OHW!$G176="","","OHW")</f>
        <v/>
      </c>
      <c r="B1223">
        <f>IF(OHW!$G176="","","OHW")</f>
        <v/>
      </c>
      <c r="C1223" s="18">
        <f>IF(OHW!$G176="","",OHW!$A176)</f>
        <v/>
      </c>
      <c r="F1223">
        <f>IF(OHW!$G176="","",OHW!$B176&amp;"")</f>
        <v/>
      </c>
      <c r="J1223">
        <f>IF(OHW!$G176="","",OHW!$E176)</f>
        <v/>
      </c>
      <c r="K1223">
        <f>IF(OHW!$G176="","",COUNTIFS(OHW!$A$5:$A$1668,OHW!$A176,OHW!$C$5:$C$1668,OHW!$C176))</f>
        <v/>
      </c>
      <c r="L1223">
        <f>IF(OHW!$G176="","",OHW!$D176&amp;"")</f>
        <v/>
      </c>
      <c r="M1223">
        <f>IF(OHW!$G176="","",OHW!$F176)</f>
        <v/>
      </c>
      <c r="N1223">
        <f>IF(OHW!$G176="","",OHW!$G176)</f>
        <v/>
      </c>
      <c r="O1223">
        <f>IF(OHW!$G176="","",OHW!$I176)</f>
        <v/>
      </c>
      <c r="P1223">
        <f>IF(OHW!$G176="","","Final")</f>
        <v/>
      </c>
    </row>
    <row r="1224">
      <c r="A1224">
        <f>IF(OHW!$G177="","","OHW")</f>
        <v/>
      </c>
      <c r="B1224">
        <f>IF(OHW!$G177="","","OHW")</f>
        <v/>
      </c>
      <c r="C1224" s="18">
        <f>IF(OHW!$G177="","",OHW!$A177)</f>
        <v/>
      </c>
      <c r="F1224">
        <f>IF(OHW!$G177="","",OHW!$B177&amp;"")</f>
        <v/>
      </c>
      <c r="J1224">
        <f>IF(OHW!$G177="","",OHW!$E177)</f>
        <v/>
      </c>
      <c r="K1224">
        <f>IF(OHW!$G177="","",COUNTIFS(OHW!$A$5:$A$1668,OHW!$A177,OHW!$C$5:$C$1668,OHW!$C177))</f>
        <v/>
      </c>
      <c r="L1224">
        <f>IF(OHW!$G177="","",OHW!$D177&amp;"")</f>
        <v/>
      </c>
      <c r="M1224">
        <f>IF(OHW!$G177="","",OHW!$F177)</f>
        <v/>
      </c>
      <c r="N1224">
        <f>IF(OHW!$G177="","",OHW!$G177)</f>
        <v/>
      </c>
      <c r="O1224">
        <f>IF(OHW!$G177="","",OHW!$I177)</f>
        <v/>
      </c>
      <c r="P1224">
        <f>IF(OHW!$G177="","","Final")</f>
        <v/>
      </c>
    </row>
    <row r="1225">
      <c r="A1225">
        <f>IF(OHW!$G178="","","OHW")</f>
        <v/>
      </c>
      <c r="B1225">
        <f>IF(OHW!$G178="","","OHW")</f>
        <v/>
      </c>
      <c r="C1225" s="18">
        <f>IF(OHW!$G178="","",OHW!$A178)</f>
        <v/>
      </c>
      <c r="F1225">
        <f>IF(OHW!$G178="","",OHW!$B178&amp;"")</f>
        <v/>
      </c>
      <c r="J1225">
        <f>IF(OHW!$G178="","",OHW!$E178)</f>
        <v/>
      </c>
      <c r="K1225">
        <f>IF(OHW!$G178="","",COUNTIFS(OHW!$A$5:$A$1668,OHW!$A178,OHW!$C$5:$C$1668,OHW!$C178))</f>
        <v/>
      </c>
      <c r="L1225">
        <f>IF(OHW!$G178="","",OHW!$D178&amp;"")</f>
        <v/>
      </c>
      <c r="M1225">
        <f>IF(OHW!$G178="","",OHW!$F178)</f>
        <v/>
      </c>
      <c r="N1225">
        <f>IF(OHW!$G178="","",OHW!$G178)</f>
        <v/>
      </c>
      <c r="O1225">
        <f>IF(OHW!$G178="","",OHW!$I178)</f>
        <v/>
      </c>
      <c r="P1225">
        <f>IF(OHW!$G178="","","Final")</f>
        <v/>
      </c>
    </row>
    <row r="1226">
      <c r="A1226">
        <f>IF(OHW!$G179="","","OHW")</f>
        <v/>
      </c>
      <c r="B1226">
        <f>IF(OHW!$G179="","","OHW")</f>
        <v/>
      </c>
      <c r="C1226" s="18">
        <f>IF(OHW!$G179="","",OHW!$A179)</f>
        <v/>
      </c>
      <c r="F1226">
        <f>IF(OHW!$G179="","",OHW!$B179&amp;"")</f>
        <v/>
      </c>
      <c r="J1226">
        <f>IF(OHW!$G179="","",OHW!$E179)</f>
        <v/>
      </c>
      <c r="K1226">
        <f>IF(OHW!$G179="","",COUNTIFS(OHW!$A$5:$A$1668,OHW!$A179,OHW!$C$5:$C$1668,OHW!$C179))</f>
        <v/>
      </c>
      <c r="L1226">
        <f>IF(OHW!$G179="","",OHW!$D179&amp;"")</f>
        <v/>
      </c>
      <c r="M1226">
        <f>IF(OHW!$G179="","",OHW!$F179)</f>
        <v/>
      </c>
      <c r="N1226">
        <f>IF(OHW!$G179="","",OHW!$G179)</f>
        <v/>
      </c>
      <c r="O1226">
        <f>IF(OHW!$G179="","",OHW!$I179)</f>
        <v/>
      </c>
      <c r="P1226">
        <f>IF(OHW!$G179="","","Final")</f>
        <v/>
      </c>
    </row>
    <row r="1227">
      <c r="A1227">
        <f>IF(OHW!$G180="","","OHW")</f>
        <v/>
      </c>
      <c r="B1227">
        <f>IF(OHW!$G180="","","OHW")</f>
        <v/>
      </c>
      <c r="C1227" s="18">
        <f>IF(OHW!$G180="","",OHW!$A180)</f>
        <v/>
      </c>
      <c r="F1227">
        <f>IF(OHW!$G180="","",OHW!$B180&amp;"")</f>
        <v/>
      </c>
      <c r="J1227">
        <f>IF(OHW!$G180="","",OHW!$E180)</f>
        <v/>
      </c>
      <c r="K1227">
        <f>IF(OHW!$G180="","",COUNTIFS(OHW!$A$5:$A$1668,OHW!$A180,OHW!$C$5:$C$1668,OHW!$C180))</f>
        <v/>
      </c>
      <c r="L1227">
        <f>IF(OHW!$G180="","",OHW!$D180&amp;"")</f>
        <v/>
      </c>
      <c r="M1227">
        <f>IF(OHW!$G180="","",OHW!$F180)</f>
        <v/>
      </c>
      <c r="N1227">
        <f>IF(OHW!$G180="","",OHW!$G180)</f>
        <v/>
      </c>
      <c r="O1227">
        <f>IF(OHW!$G180="","",OHW!$I180)</f>
        <v/>
      </c>
      <c r="P1227">
        <f>IF(OHW!$G180="","","Final")</f>
        <v/>
      </c>
    </row>
    <row r="1228">
      <c r="A1228">
        <f>IF(OHW!$G181="","","OHW")</f>
        <v/>
      </c>
      <c r="B1228">
        <f>IF(OHW!$G181="","","OHW")</f>
        <v/>
      </c>
      <c r="C1228" s="18">
        <f>IF(OHW!$G181="","",OHW!$A181)</f>
        <v/>
      </c>
      <c r="F1228">
        <f>IF(OHW!$G181="","",OHW!$B181&amp;"")</f>
        <v/>
      </c>
      <c r="J1228">
        <f>IF(OHW!$G181="","",OHW!$E181)</f>
        <v/>
      </c>
      <c r="K1228">
        <f>IF(OHW!$G181="","",COUNTIFS(OHW!$A$5:$A$1668,OHW!$A181,OHW!$C$5:$C$1668,OHW!$C181))</f>
        <v/>
      </c>
      <c r="L1228">
        <f>IF(OHW!$G181="","",OHW!$D181&amp;"")</f>
        <v/>
      </c>
      <c r="M1228">
        <f>IF(OHW!$G181="","",OHW!$F181)</f>
        <v/>
      </c>
      <c r="N1228">
        <f>IF(OHW!$G181="","",OHW!$G181)</f>
        <v/>
      </c>
      <c r="O1228">
        <f>IF(OHW!$G181="","",OHW!$I181)</f>
        <v/>
      </c>
      <c r="P1228">
        <f>IF(OHW!$G181="","","Final")</f>
        <v/>
      </c>
    </row>
    <row r="1229">
      <c r="A1229">
        <f>IF(OHW!$G182="","","OHW")</f>
        <v/>
      </c>
      <c r="B1229">
        <f>IF(OHW!$G182="","","OHW")</f>
        <v/>
      </c>
      <c r="C1229" s="18">
        <f>IF(OHW!$G182="","",OHW!$A182)</f>
        <v/>
      </c>
      <c r="F1229">
        <f>IF(OHW!$G182="","",OHW!$B182&amp;"")</f>
        <v/>
      </c>
      <c r="J1229">
        <f>IF(OHW!$G182="","",OHW!$E182)</f>
        <v/>
      </c>
      <c r="K1229">
        <f>IF(OHW!$G182="","",COUNTIFS(OHW!$A$5:$A$1668,OHW!$A182,OHW!$C$5:$C$1668,OHW!$C182))</f>
        <v/>
      </c>
      <c r="L1229">
        <f>IF(OHW!$G182="","",OHW!$D182&amp;"")</f>
        <v/>
      </c>
      <c r="M1229">
        <f>IF(OHW!$G182="","",OHW!$F182)</f>
        <v/>
      </c>
      <c r="N1229">
        <f>IF(OHW!$G182="","",OHW!$G182)</f>
        <v/>
      </c>
      <c r="O1229">
        <f>IF(OHW!$G182="","",OHW!$I182)</f>
        <v/>
      </c>
      <c r="P1229">
        <f>IF(OHW!$G182="","","Final")</f>
        <v/>
      </c>
    </row>
    <row r="1230">
      <c r="A1230">
        <f>IF(OHW!$G183="","","OHW")</f>
        <v/>
      </c>
      <c r="B1230">
        <f>IF(OHW!$G183="","","OHW")</f>
        <v/>
      </c>
      <c r="C1230" s="18">
        <f>IF(OHW!$G183="","",OHW!$A183)</f>
        <v/>
      </c>
      <c r="F1230">
        <f>IF(OHW!$G183="","",OHW!$B183&amp;"")</f>
        <v/>
      </c>
      <c r="J1230">
        <f>IF(OHW!$G183="","",OHW!$E183)</f>
        <v/>
      </c>
      <c r="K1230">
        <f>IF(OHW!$G183="","",COUNTIFS(OHW!$A$5:$A$1668,OHW!$A183,OHW!$C$5:$C$1668,OHW!$C183))</f>
        <v/>
      </c>
      <c r="L1230">
        <f>IF(OHW!$G183="","",OHW!$D183&amp;"")</f>
        <v/>
      </c>
      <c r="M1230">
        <f>IF(OHW!$G183="","",OHW!$F183)</f>
        <v/>
      </c>
      <c r="N1230">
        <f>IF(OHW!$G183="","",OHW!$G183)</f>
        <v/>
      </c>
      <c r="O1230">
        <f>IF(OHW!$G183="","",OHW!$I183)</f>
        <v/>
      </c>
      <c r="P1230">
        <f>IF(OHW!$G183="","","Final")</f>
        <v/>
      </c>
    </row>
    <row r="1231">
      <c r="A1231">
        <f>IF(OHW!$G184="","","OHW")</f>
        <v/>
      </c>
      <c r="B1231">
        <f>IF(OHW!$G184="","","OHW")</f>
        <v/>
      </c>
      <c r="C1231" s="18">
        <f>IF(OHW!$G184="","",OHW!$A184)</f>
        <v/>
      </c>
      <c r="F1231">
        <f>IF(OHW!$G184="","",OHW!$B184&amp;"")</f>
        <v/>
      </c>
      <c r="J1231">
        <f>IF(OHW!$G184="","",OHW!$E184)</f>
        <v/>
      </c>
      <c r="K1231">
        <f>IF(OHW!$G184="","",COUNTIFS(OHW!$A$5:$A$1668,OHW!$A184,OHW!$C$5:$C$1668,OHW!$C184))</f>
        <v/>
      </c>
      <c r="L1231">
        <f>IF(OHW!$G184="","",OHW!$D184&amp;"")</f>
        <v/>
      </c>
      <c r="M1231">
        <f>IF(OHW!$G184="","",OHW!$F184)</f>
        <v/>
      </c>
      <c r="N1231">
        <f>IF(OHW!$G184="","",OHW!$G184)</f>
        <v/>
      </c>
      <c r="O1231">
        <f>IF(OHW!$G184="","",OHW!$I184)</f>
        <v/>
      </c>
      <c r="P1231">
        <f>IF(OHW!$G184="","","Final")</f>
        <v/>
      </c>
    </row>
    <row r="1232">
      <c r="A1232">
        <f>IF(OHW!$G185="","","OHW")</f>
        <v/>
      </c>
      <c r="B1232">
        <f>IF(OHW!$G185="","","OHW")</f>
        <v/>
      </c>
      <c r="C1232" s="18">
        <f>IF(OHW!$G185="","",OHW!$A185)</f>
        <v/>
      </c>
      <c r="F1232">
        <f>IF(OHW!$G185="","",OHW!$B185&amp;"")</f>
        <v/>
      </c>
      <c r="J1232">
        <f>IF(OHW!$G185="","",OHW!$E185)</f>
        <v/>
      </c>
      <c r="K1232">
        <f>IF(OHW!$G185="","",COUNTIFS(OHW!$A$5:$A$1668,OHW!$A185,OHW!$C$5:$C$1668,OHW!$C185))</f>
        <v/>
      </c>
      <c r="L1232">
        <f>IF(OHW!$G185="","",OHW!$D185&amp;"")</f>
        <v/>
      </c>
      <c r="M1232">
        <f>IF(OHW!$G185="","",OHW!$F185)</f>
        <v/>
      </c>
      <c r="N1232">
        <f>IF(OHW!$G185="","",OHW!$G185)</f>
        <v/>
      </c>
      <c r="O1232">
        <f>IF(OHW!$G185="","",OHW!$I185)</f>
        <v/>
      </c>
      <c r="P1232">
        <f>IF(OHW!$G185="","","Final")</f>
        <v/>
      </c>
    </row>
    <row r="1233">
      <c r="A1233">
        <f>IF(OHW!$G186="","","OHW")</f>
        <v/>
      </c>
      <c r="B1233">
        <f>IF(OHW!$G186="","","OHW")</f>
        <v/>
      </c>
      <c r="C1233" s="18">
        <f>IF(OHW!$G186="","",OHW!$A186)</f>
        <v/>
      </c>
      <c r="F1233">
        <f>IF(OHW!$G186="","",OHW!$B186&amp;"")</f>
        <v/>
      </c>
      <c r="J1233">
        <f>IF(OHW!$G186="","",OHW!$E186)</f>
        <v/>
      </c>
      <c r="K1233">
        <f>IF(OHW!$G186="","",COUNTIFS(OHW!$A$5:$A$1668,OHW!$A186,OHW!$C$5:$C$1668,OHW!$C186))</f>
        <v/>
      </c>
      <c r="L1233">
        <f>IF(OHW!$G186="","",OHW!$D186&amp;"")</f>
        <v/>
      </c>
      <c r="M1233">
        <f>IF(OHW!$G186="","",OHW!$F186)</f>
        <v/>
      </c>
      <c r="N1233">
        <f>IF(OHW!$G186="","",OHW!$G186)</f>
        <v/>
      </c>
      <c r="O1233">
        <f>IF(OHW!$G186="","",OHW!$I186)</f>
        <v/>
      </c>
      <c r="P1233">
        <f>IF(OHW!$G186="","","Final")</f>
        <v/>
      </c>
    </row>
    <row r="1234">
      <c r="A1234">
        <f>IF(OHW!$G187="","","OHW")</f>
        <v/>
      </c>
      <c r="B1234">
        <f>IF(OHW!$G187="","","OHW")</f>
        <v/>
      </c>
      <c r="C1234" s="18">
        <f>IF(OHW!$G187="","",OHW!$A187)</f>
        <v/>
      </c>
      <c r="F1234">
        <f>IF(OHW!$G187="","",OHW!$B187&amp;"")</f>
        <v/>
      </c>
      <c r="J1234">
        <f>IF(OHW!$G187="","",OHW!$E187)</f>
        <v/>
      </c>
      <c r="K1234">
        <f>IF(OHW!$G187="","",COUNTIFS(OHW!$A$5:$A$1668,OHW!$A187,OHW!$C$5:$C$1668,OHW!$C187))</f>
        <v/>
      </c>
      <c r="L1234">
        <f>IF(OHW!$G187="","",OHW!$D187&amp;"")</f>
        <v/>
      </c>
      <c r="M1234">
        <f>IF(OHW!$G187="","",OHW!$F187)</f>
        <v/>
      </c>
      <c r="N1234">
        <f>IF(OHW!$G187="","",OHW!$G187)</f>
        <v/>
      </c>
      <c r="O1234">
        <f>IF(OHW!$G187="","",OHW!$I187)</f>
        <v/>
      </c>
      <c r="P1234">
        <f>IF(OHW!$G187="","","Final")</f>
        <v/>
      </c>
    </row>
    <row r="1235">
      <c r="A1235">
        <f>IF(OHW!$G188="","","OHW")</f>
        <v/>
      </c>
      <c r="B1235">
        <f>IF(OHW!$G188="","","OHW")</f>
        <v/>
      </c>
      <c r="C1235" s="18">
        <f>IF(OHW!$G188="","",OHW!$A188)</f>
        <v/>
      </c>
      <c r="F1235">
        <f>IF(OHW!$G188="","",OHW!$B188&amp;"")</f>
        <v/>
      </c>
      <c r="J1235">
        <f>IF(OHW!$G188="","",OHW!$E188)</f>
        <v/>
      </c>
      <c r="K1235">
        <f>IF(OHW!$G188="","",COUNTIFS(OHW!$A$5:$A$1668,OHW!$A188,OHW!$C$5:$C$1668,OHW!$C188))</f>
        <v/>
      </c>
      <c r="L1235">
        <f>IF(OHW!$G188="","",OHW!$D188&amp;"")</f>
        <v/>
      </c>
      <c r="M1235">
        <f>IF(OHW!$G188="","",OHW!$F188)</f>
        <v/>
      </c>
      <c r="N1235">
        <f>IF(OHW!$G188="","",OHW!$G188)</f>
        <v/>
      </c>
      <c r="O1235">
        <f>IF(OHW!$G188="","",OHW!$I188)</f>
        <v/>
      </c>
      <c r="P1235">
        <f>IF(OHW!$G188="","","Final")</f>
        <v/>
      </c>
    </row>
    <row r="1236">
      <c r="A1236">
        <f>IF(OHW!$G189="","","OHW")</f>
        <v/>
      </c>
      <c r="B1236">
        <f>IF(OHW!$G189="","","OHW")</f>
        <v/>
      </c>
      <c r="C1236" s="18">
        <f>IF(OHW!$G189="","",OHW!$A189)</f>
        <v/>
      </c>
      <c r="F1236">
        <f>IF(OHW!$G189="","",OHW!$B189&amp;"")</f>
        <v/>
      </c>
      <c r="J1236">
        <f>IF(OHW!$G189="","",OHW!$E189)</f>
        <v/>
      </c>
      <c r="K1236">
        <f>IF(OHW!$G189="","",COUNTIFS(OHW!$A$5:$A$1668,OHW!$A189,OHW!$C$5:$C$1668,OHW!$C189))</f>
        <v/>
      </c>
      <c r="L1236">
        <f>IF(OHW!$G189="","",OHW!$D189&amp;"")</f>
        <v/>
      </c>
      <c r="M1236">
        <f>IF(OHW!$G189="","",OHW!$F189)</f>
        <v/>
      </c>
      <c r="N1236">
        <f>IF(OHW!$G189="","",OHW!$G189)</f>
        <v/>
      </c>
      <c r="O1236">
        <f>IF(OHW!$G189="","",OHW!$I189)</f>
        <v/>
      </c>
      <c r="P1236">
        <f>IF(OHW!$G189="","","Final")</f>
        <v/>
      </c>
    </row>
    <row r="1237">
      <c r="A1237">
        <f>IF(OHW!$G190="","","OHW")</f>
        <v/>
      </c>
      <c r="B1237">
        <f>IF(OHW!$G190="","","OHW")</f>
        <v/>
      </c>
      <c r="C1237" s="18">
        <f>IF(OHW!$G190="","",OHW!$A190)</f>
        <v/>
      </c>
      <c r="F1237">
        <f>IF(OHW!$G190="","",OHW!$B190&amp;"")</f>
        <v/>
      </c>
      <c r="J1237">
        <f>IF(OHW!$G190="","",OHW!$E190)</f>
        <v/>
      </c>
      <c r="K1237">
        <f>IF(OHW!$G190="","",COUNTIFS(OHW!$A$5:$A$1668,OHW!$A190,OHW!$C$5:$C$1668,OHW!$C190))</f>
        <v/>
      </c>
      <c r="L1237">
        <f>IF(OHW!$G190="","",OHW!$D190&amp;"")</f>
        <v/>
      </c>
      <c r="M1237">
        <f>IF(OHW!$G190="","",OHW!$F190)</f>
        <v/>
      </c>
      <c r="N1237">
        <f>IF(OHW!$G190="","",OHW!$G190)</f>
        <v/>
      </c>
      <c r="O1237">
        <f>IF(OHW!$G190="","",OHW!$I190)</f>
        <v/>
      </c>
      <c r="P1237">
        <f>IF(OHW!$G190="","","Final")</f>
        <v/>
      </c>
    </row>
    <row r="1238">
      <c r="A1238">
        <f>IF(OHW!$G191="","","OHW")</f>
        <v/>
      </c>
      <c r="B1238">
        <f>IF(OHW!$G191="","","OHW")</f>
        <v/>
      </c>
      <c r="C1238" s="18">
        <f>IF(OHW!$G191="","",OHW!$A191)</f>
        <v/>
      </c>
      <c r="F1238">
        <f>IF(OHW!$G191="","",OHW!$B191&amp;"")</f>
        <v/>
      </c>
      <c r="J1238">
        <f>IF(OHW!$G191="","",OHW!$E191)</f>
        <v/>
      </c>
      <c r="K1238">
        <f>IF(OHW!$G191="","",COUNTIFS(OHW!$A$5:$A$1668,OHW!$A191,OHW!$C$5:$C$1668,OHW!$C191))</f>
        <v/>
      </c>
      <c r="L1238">
        <f>IF(OHW!$G191="","",OHW!$D191&amp;"")</f>
        <v/>
      </c>
      <c r="M1238">
        <f>IF(OHW!$G191="","",OHW!$F191)</f>
        <v/>
      </c>
      <c r="N1238">
        <f>IF(OHW!$G191="","",OHW!$G191)</f>
        <v/>
      </c>
      <c r="O1238">
        <f>IF(OHW!$G191="","",OHW!$I191)</f>
        <v/>
      </c>
      <c r="P1238">
        <f>IF(OHW!$G191="","","Final")</f>
        <v/>
      </c>
    </row>
    <row r="1239">
      <c r="A1239">
        <f>IF(OHW!$G192="","","OHW")</f>
        <v/>
      </c>
      <c r="B1239">
        <f>IF(OHW!$G192="","","OHW")</f>
        <v/>
      </c>
      <c r="C1239" s="18">
        <f>IF(OHW!$G192="","",OHW!$A192)</f>
        <v/>
      </c>
      <c r="F1239">
        <f>IF(OHW!$G192="","",OHW!$B192&amp;"")</f>
        <v/>
      </c>
      <c r="J1239">
        <f>IF(OHW!$G192="","",OHW!$E192)</f>
        <v/>
      </c>
      <c r="K1239">
        <f>IF(OHW!$G192="","",COUNTIFS(OHW!$A$5:$A$1668,OHW!$A192,OHW!$C$5:$C$1668,OHW!$C192))</f>
        <v/>
      </c>
      <c r="L1239">
        <f>IF(OHW!$G192="","",OHW!$D192&amp;"")</f>
        <v/>
      </c>
      <c r="M1239">
        <f>IF(OHW!$G192="","",OHW!$F192)</f>
        <v/>
      </c>
      <c r="N1239">
        <f>IF(OHW!$G192="","",OHW!$G192)</f>
        <v/>
      </c>
      <c r="O1239">
        <f>IF(OHW!$G192="","",OHW!$I192)</f>
        <v/>
      </c>
      <c r="P1239">
        <f>IF(OHW!$G192="","","Final")</f>
        <v/>
      </c>
    </row>
    <row r="1240">
      <c r="A1240">
        <f>IF(OHW!$G193="","","OHW")</f>
        <v/>
      </c>
      <c r="B1240">
        <f>IF(OHW!$G193="","","OHW")</f>
        <v/>
      </c>
      <c r="C1240" s="18">
        <f>IF(OHW!$G193="","",OHW!$A193)</f>
        <v/>
      </c>
      <c r="F1240">
        <f>IF(OHW!$G193="","",OHW!$B193&amp;"")</f>
        <v/>
      </c>
      <c r="J1240">
        <f>IF(OHW!$G193="","",OHW!$E193)</f>
        <v/>
      </c>
      <c r="K1240">
        <f>IF(OHW!$G193="","",COUNTIFS(OHW!$A$5:$A$1668,OHW!$A193,OHW!$C$5:$C$1668,OHW!$C193))</f>
        <v/>
      </c>
      <c r="L1240">
        <f>IF(OHW!$G193="","",OHW!$D193&amp;"")</f>
        <v/>
      </c>
      <c r="M1240">
        <f>IF(OHW!$G193="","",OHW!$F193)</f>
        <v/>
      </c>
      <c r="N1240">
        <f>IF(OHW!$G193="","",OHW!$G193)</f>
        <v/>
      </c>
      <c r="O1240">
        <f>IF(OHW!$G193="","",OHW!$I193)</f>
        <v/>
      </c>
      <c r="P1240">
        <f>IF(OHW!$G193="","","Final")</f>
        <v/>
      </c>
    </row>
    <row r="1241">
      <c r="A1241">
        <f>IF(OHW!$G194="","","OHW")</f>
        <v/>
      </c>
      <c r="B1241">
        <f>IF(OHW!$G194="","","OHW")</f>
        <v/>
      </c>
      <c r="C1241" s="18">
        <f>IF(OHW!$G194="","",OHW!$A194)</f>
        <v/>
      </c>
      <c r="F1241">
        <f>IF(OHW!$G194="","",OHW!$B194&amp;"")</f>
        <v/>
      </c>
      <c r="J1241">
        <f>IF(OHW!$G194="","",OHW!$E194)</f>
        <v/>
      </c>
      <c r="K1241">
        <f>IF(OHW!$G194="","",COUNTIFS(OHW!$A$5:$A$1668,OHW!$A194,OHW!$C$5:$C$1668,OHW!$C194))</f>
        <v/>
      </c>
      <c r="L1241">
        <f>IF(OHW!$G194="","",OHW!$D194&amp;"")</f>
        <v/>
      </c>
      <c r="M1241">
        <f>IF(OHW!$G194="","",OHW!$F194)</f>
        <v/>
      </c>
      <c r="N1241">
        <f>IF(OHW!$G194="","",OHW!$G194)</f>
        <v/>
      </c>
      <c r="O1241">
        <f>IF(OHW!$G194="","",OHW!$I194)</f>
        <v/>
      </c>
      <c r="P1241">
        <f>IF(OHW!$G194="","","Final")</f>
        <v/>
      </c>
    </row>
    <row r="1242">
      <c r="A1242">
        <f>IF(OHW!$G195="","","OHW")</f>
        <v/>
      </c>
      <c r="B1242">
        <f>IF(OHW!$G195="","","OHW")</f>
        <v/>
      </c>
      <c r="C1242" s="18">
        <f>IF(OHW!$G195="","",OHW!$A195)</f>
        <v/>
      </c>
      <c r="F1242">
        <f>IF(OHW!$G195="","",OHW!$B195&amp;"")</f>
        <v/>
      </c>
      <c r="J1242">
        <f>IF(OHW!$G195="","",OHW!$E195)</f>
        <v/>
      </c>
      <c r="K1242">
        <f>IF(OHW!$G195="","",COUNTIFS(OHW!$A$5:$A$1668,OHW!$A195,OHW!$C$5:$C$1668,OHW!$C195))</f>
        <v/>
      </c>
      <c r="L1242">
        <f>IF(OHW!$G195="","",OHW!$D195&amp;"")</f>
        <v/>
      </c>
      <c r="M1242">
        <f>IF(OHW!$G195="","",OHW!$F195)</f>
        <v/>
      </c>
      <c r="N1242">
        <f>IF(OHW!$G195="","",OHW!$G195)</f>
        <v/>
      </c>
      <c r="O1242">
        <f>IF(OHW!$G195="","",OHW!$I195)</f>
        <v/>
      </c>
      <c r="P1242">
        <f>IF(OHW!$G195="","","Final")</f>
        <v/>
      </c>
    </row>
    <row r="1243">
      <c r="A1243">
        <f>IF(OHW!$G196="","","OHW")</f>
        <v/>
      </c>
      <c r="B1243">
        <f>IF(OHW!$G196="","","OHW")</f>
        <v/>
      </c>
      <c r="C1243" s="18">
        <f>IF(OHW!$G196="","",OHW!$A196)</f>
        <v/>
      </c>
      <c r="F1243">
        <f>IF(OHW!$G196="","",OHW!$B196&amp;"")</f>
        <v/>
      </c>
      <c r="J1243">
        <f>IF(OHW!$G196="","",OHW!$E196)</f>
        <v/>
      </c>
      <c r="K1243">
        <f>IF(OHW!$G196="","",COUNTIFS(OHW!$A$5:$A$1668,OHW!$A196,OHW!$C$5:$C$1668,OHW!$C196))</f>
        <v/>
      </c>
      <c r="L1243">
        <f>IF(OHW!$G196="","",OHW!$D196&amp;"")</f>
        <v/>
      </c>
      <c r="M1243">
        <f>IF(OHW!$G196="","",OHW!$F196)</f>
        <v/>
      </c>
      <c r="N1243">
        <f>IF(OHW!$G196="","",OHW!$G196)</f>
        <v/>
      </c>
      <c r="O1243">
        <f>IF(OHW!$G196="","",OHW!$I196)</f>
        <v/>
      </c>
      <c r="P1243">
        <f>IF(OHW!$G196="","","Final")</f>
        <v/>
      </c>
    </row>
    <row r="1244">
      <c r="A1244">
        <f>IF(OHW!$G197="","","OHW")</f>
        <v/>
      </c>
      <c r="B1244">
        <f>IF(OHW!$G197="","","OHW")</f>
        <v/>
      </c>
      <c r="C1244" s="18">
        <f>IF(OHW!$G197="","",OHW!$A197)</f>
        <v/>
      </c>
      <c r="F1244">
        <f>IF(OHW!$G197="","",OHW!$B197&amp;"")</f>
        <v/>
      </c>
      <c r="J1244">
        <f>IF(OHW!$G197="","",OHW!$E197)</f>
        <v/>
      </c>
      <c r="K1244">
        <f>IF(OHW!$G197="","",COUNTIFS(OHW!$A$5:$A$1668,OHW!$A197,OHW!$C$5:$C$1668,OHW!$C197))</f>
        <v/>
      </c>
      <c r="L1244">
        <f>IF(OHW!$G197="","",OHW!$D197&amp;"")</f>
        <v/>
      </c>
      <c r="M1244">
        <f>IF(OHW!$G197="","",OHW!$F197)</f>
        <v/>
      </c>
      <c r="N1244">
        <f>IF(OHW!$G197="","",OHW!$G197)</f>
        <v/>
      </c>
      <c r="O1244">
        <f>IF(OHW!$G197="","",OHW!$I197)</f>
        <v/>
      </c>
      <c r="P1244">
        <f>IF(OHW!$G197="","","Final")</f>
        <v/>
      </c>
    </row>
    <row r="1245">
      <c r="A1245">
        <f>IF(OHW!$G198="","","OHW")</f>
        <v/>
      </c>
      <c r="B1245">
        <f>IF(OHW!$G198="","","OHW")</f>
        <v/>
      </c>
      <c r="C1245" s="18">
        <f>IF(OHW!$G198="","",OHW!$A198)</f>
        <v/>
      </c>
      <c r="F1245">
        <f>IF(OHW!$G198="","",OHW!$B198&amp;"")</f>
        <v/>
      </c>
      <c r="J1245">
        <f>IF(OHW!$G198="","",OHW!$E198)</f>
        <v/>
      </c>
      <c r="K1245">
        <f>IF(OHW!$G198="","",COUNTIFS(OHW!$A$5:$A$1668,OHW!$A198,OHW!$C$5:$C$1668,OHW!$C198))</f>
        <v/>
      </c>
      <c r="L1245">
        <f>IF(OHW!$G198="","",OHW!$D198&amp;"")</f>
        <v/>
      </c>
      <c r="M1245">
        <f>IF(OHW!$G198="","",OHW!$F198)</f>
        <v/>
      </c>
      <c r="N1245">
        <f>IF(OHW!$G198="","",OHW!$G198)</f>
        <v/>
      </c>
      <c r="O1245">
        <f>IF(OHW!$G198="","",OHW!$I198)</f>
        <v/>
      </c>
      <c r="P1245">
        <f>IF(OHW!$G198="","","Final")</f>
        <v/>
      </c>
    </row>
    <row r="1246">
      <c r="A1246">
        <f>IF(OHW!$G199="","","OHW")</f>
        <v/>
      </c>
      <c r="B1246">
        <f>IF(OHW!$G199="","","OHW")</f>
        <v/>
      </c>
      <c r="C1246" s="18">
        <f>IF(OHW!$G199="","",OHW!$A199)</f>
        <v/>
      </c>
      <c r="F1246">
        <f>IF(OHW!$G199="","",OHW!$B199&amp;"")</f>
        <v/>
      </c>
      <c r="J1246">
        <f>IF(OHW!$G199="","",OHW!$E199)</f>
        <v/>
      </c>
      <c r="K1246">
        <f>IF(OHW!$G199="","",COUNTIFS(OHW!$A$5:$A$1668,OHW!$A199,OHW!$C$5:$C$1668,OHW!$C199))</f>
        <v/>
      </c>
      <c r="L1246">
        <f>IF(OHW!$G199="","",OHW!$D199&amp;"")</f>
        <v/>
      </c>
      <c r="M1246">
        <f>IF(OHW!$G199="","",OHW!$F199)</f>
        <v/>
      </c>
      <c r="N1246">
        <f>IF(OHW!$G199="","",OHW!$G199)</f>
        <v/>
      </c>
      <c r="O1246">
        <f>IF(OHW!$G199="","",OHW!$I199)</f>
        <v/>
      </c>
      <c r="P1246">
        <f>IF(OHW!$G199="","","Final")</f>
        <v/>
      </c>
    </row>
    <row r="1247">
      <c r="A1247">
        <f>IF(OHW!$G200="","","OHW")</f>
        <v/>
      </c>
      <c r="B1247">
        <f>IF(OHW!$G200="","","OHW")</f>
        <v/>
      </c>
      <c r="C1247" s="18">
        <f>IF(OHW!$G200="","",OHW!$A200)</f>
        <v/>
      </c>
      <c r="F1247">
        <f>IF(OHW!$G200="","",OHW!$B200&amp;"")</f>
        <v/>
      </c>
      <c r="J1247">
        <f>IF(OHW!$G200="","",OHW!$E200)</f>
        <v/>
      </c>
      <c r="K1247">
        <f>IF(OHW!$G200="","",COUNTIFS(OHW!$A$5:$A$1668,OHW!$A200,OHW!$C$5:$C$1668,OHW!$C200))</f>
        <v/>
      </c>
      <c r="L1247">
        <f>IF(OHW!$G200="","",OHW!$D200&amp;"")</f>
        <v/>
      </c>
      <c r="M1247">
        <f>IF(OHW!$G200="","",OHW!$F200)</f>
        <v/>
      </c>
      <c r="N1247">
        <f>IF(OHW!$G200="","",OHW!$G200)</f>
        <v/>
      </c>
      <c r="O1247">
        <f>IF(OHW!$G200="","",OHW!$I200)</f>
        <v/>
      </c>
      <c r="P1247">
        <f>IF(OHW!$G200="","","Final")</f>
        <v/>
      </c>
    </row>
    <row r="1248">
      <c r="A1248">
        <f>IF(OHW!$G201="","","OHW")</f>
        <v/>
      </c>
      <c r="B1248">
        <f>IF(OHW!$G201="","","OHW")</f>
        <v/>
      </c>
      <c r="C1248" s="18">
        <f>IF(OHW!$G201="","",OHW!$A201)</f>
        <v/>
      </c>
      <c r="F1248">
        <f>IF(OHW!$G201="","",OHW!$B201&amp;"")</f>
        <v/>
      </c>
      <c r="J1248">
        <f>IF(OHW!$G201="","",OHW!$E201)</f>
        <v/>
      </c>
      <c r="K1248">
        <f>IF(OHW!$G201="","",COUNTIFS(OHW!$A$5:$A$1668,OHW!$A201,OHW!$C$5:$C$1668,OHW!$C201))</f>
        <v/>
      </c>
      <c r="L1248">
        <f>IF(OHW!$G201="","",OHW!$D201&amp;"")</f>
        <v/>
      </c>
      <c r="M1248">
        <f>IF(OHW!$G201="","",OHW!$F201)</f>
        <v/>
      </c>
      <c r="N1248">
        <f>IF(OHW!$G201="","",OHW!$G201)</f>
        <v/>
      </c>
      <c r="O1248">
        <f>IF(OHW!$G201="","",OHW!$I201)</f>
        <v/>
      </c>
      <c r="P1248">
        <f>IF(OHW!$G201="","","Final")</f>
        <v/>
      </c>
    </row>
    <row r="1249">
      <c r="A1249">
        <f>IF(OHW!$G202="","","OHW")</f>
        <v/>
      </c>
      <c r="B1249">
        <f>IF(OHW!$G202="","","OHW")</f>
        <v/>
      </c>
      <c r="C1249" s="18">
        <f>IF(OHW!$G202="","",OHW!$A202)</f>
        <v/>
      </c>
      <c r="F1249">
        <f>IF(OHW!$G202="","",OHW!$B202&amp;"")</f>
        <v/>
      </c>
      <c r="J1249">
        <f>IF(OHW!$G202="","",OHW!$E202)</f>
        <v/>
      </c>
      <c r="K1249">
        <f>IF(OHW!$G202="","",COUNTIFS(OHW!$A$5:$A$1668,OHW!$A202,OHW!$C$5:$C$1668,OHW!$C202))</f>
        <v/>
      </c>
      <c r="L1249">
        <f>IF(OHW!$G202="","",OHW!$D202&amp;"")</f>
        <v/>
      </c>
      <c r="M1249">
        <f>IF(OHW!$G202="","",OHW!$F202)</f>
        <v/>
      </c>
      <c r="N1249">
        <f>IF(OHW!$G202="","",OHW!$G202)</f>
        <v/>
      </c>
      <c r="O1249">
        <f>IF(OHW!$G202="","",OHW!$I202)</f>
        <v/>
      </c>
      <c r="P1249">
        <f>IF(OHW!$G202="","","Final")</f>
        <v/>
      </c>
    </row>
    <row r="1250">
      <c r="A1250">
        <f>IF(OHW!$G203="","","OHW")</f>
        <v/>
      </c>
      <c r="B1250">
        <f>IF(OHW!$G203="","","OHW")</f>
        <v/>
      </c>
      <c r="C1250" s="18">
        <f>IF(OHW!$G203="","",OHW!$A203)</f>
        <v/>
      </c>
      <c r="F1250">
        <f>IF(OHW!$G203="","",OHW!$B203&amp;"")</f>
        <v/>
      </c>
      <c r="J1250">
        <f>IF(OHW!$G203="","",OHW!$E203)</f>
        <v/>
      </c>
      <c r="K1250">
        <f>IF(OHW!$G203="","",COUNTIFS(OHW!$A$5:$A$1668,OHW!$A203,OHW!$C$5:$C$1668,OHW!$C203))</f>
        <v/>
      </c>
      <c r="L1250">
        <f>IF(OHW!$G203="","",OHW!$D203&amp;"")</f>
        <v/>
      </c>
      <c r="M1250">
        <f>IF(OHW!$G203="","",OHW!$F203)</f>
        <v/>
      </c>
      <c r="N1250">
        <f>IF(OHW!$G203="","",OHW!$G203)</f>
        <v/>
      </c>
      <c r="O1250">
        <f>IF(OHW!$G203="","",OHW!$I203)</f>
        <v/>
      </c>
      <c r="P1250">
        <f>IF(OHW!$G203="","","Final")</f>
        <v/>
      </c>
    </row>
    <row r="1251">
      <c r="A1251">
        <f>IF(OHW!$G204="","","OHW")</f>
        <v/>
      </c>
      <c r="B1251">
        <f>IF(OHW!$G204="","","OHW")</f>
        <v/>
      </c>
      <c r="C1251" s="18">
        <f>IF(OHW!$G204="","",OHW!$A204)</f>
        <v/>
      </c>
      <c r="F1251">
        <f>IF(OHW!$G204="","",OHW!$B204&amp;"")</f>
        <v/>
      </c>
      <c r="J1251">
        <f>IF(OHW!$G204="","",OHW!$E204)</f>
        <v/>
      </c>
      <c r="K1251">
        <f>IF(OHW!$G204="","",COUNTIFS(OHW!$A$5:$A$1668,OHW!$A204,OHW!$C$5:$C$1668,OHW!$C204))</f>
        <v/>
      </c>
      <c r="L1251">
        <f>IF(OHW!$G204="","",OHW!$D204&amp;"")</f>
        <v/>
      </c>
      <c r="M1251">
        <f>IF(OHW!$G204="","",OHW!$F204)</f>
        <v/>
      </c>
      <c r="N1251">
        <f>IF(OHW!$G204="","",OHW!$G204)</f>
        <v/>
      </c>
      <c r="O1251">
        <f>IF(OHW!$G204="","",OHW!$I204)</f>
        <v/>
      </c>
      <c r="P1251">
        <f>IF(OHW!$G204="","","Final")</f>
        <v/>
      </c>
    </row>
    <row r="1252">
      <c r="A1252">
        <f>IF(OHW!$G205="","","OHW")</f>
        <v/>
      </c>
      <c r="B1252">
        <f>IF(OHW!$G205="","","OHW")</f>
        <v/>
      </c>
      <c r="C1252" s="18">
        <f>IF(OHW!$G205="","",OHW!$A205)</f>
        <v/>
      </c>
      <c r="F1252">
        <f>IF(OHW!$G205="","",OHW!$B205&amp;"")</f>
        <v/>
      </c>
      <c r="J1252">
        <f>IF(OHW!$G205="","",OHW!$E205)</f>
        <v/>
      </c>
      <c r="K1252">
        <f>IF(OHW!$G205="","",COUNTIFS(OHW!$A$5:$A$1668,OHW!$A205,OHW!$C$5:$C$1668,OHW!$C205))</f>
        <v/>
      </c>
      <c r="L1252">
        <f>IF(OHW!$G205="","",OHW!$D205&amp;"")</f>
        <v/>
      </c>
      <c r="M1252">
        <f>IF(OHW!$G205="","",OHW!$F205)</f>
        <v/>
      </c>
      <c r="N1252">
        <f>IF(OHW!$G205="","",OHW!$G205)</f>
        <v/>
      </c>
      <c r="O1252">
        <f>IF(OHW!$G205="","",OHW!$I205)</f>
        <v/>
      </c>
      <c r="P1252">
        <f>IF(OHW!$G205="","","Final")</f>
        <v/>
      </c>
    </row>
    <row r="1253">
      <c r="A1253">
        <f>IF(OHW!$G206="","","OHW")</f>
        <v/>
      </c>
      <c r="B1253">
        <f>IF(OHW!$G206="","","OHW")</f>
        <v/>
      </c>
      <c r="C1253" s="18">
        <f>IF(OHW!$G206="","",OHW!$A206)</f>
        <v/>
      </c>
      <c r="F1253">
        <f>IF(OHW!$G206="","",OHW!$B206&amp;"")</f>
        <v/>
      </c>
      <c r="J1253">
        <f>IF(OHW!$G206="","",OHW!$E206)</f>
        <v/>
      </c>
      <c r="K1253">
        <f>IF(OHW!$G206="","",COUNTIFS(OHW!$A$5:$A$1668,OHW!$A206,OHW!$C$5:$C$1668,OHW!$C206))</f>
        <v/>
      </c>
      <c r="L1253">
        <f>IF(OHW!$G206="","",OHW!$D206&amp;"")</f>
        <v/>
      </c>
      <c r="M1253">
        <f>IF(OHW!$G206="","",OHW!$F206)</f>
        <v/>
      </c>
      <c r="N1253">
        <f>IF(OHW!$G206="","",OHW!$G206)</f>
        <v/>
      </c>
      <c r="O1253">
        <f>IF(OHW!$G206="","",OHW!$I206)</f>
        <v/>
      </c>
      <c r="P1253">
        <f>IF(OHW!$G206="","","Final")</f>
        <v/>
      </c>
    </row>
    <row r="1254">
      <c r="A1254">
        <f>IF(OHW!$G207="","","OHW")</f>
        <v/>
      </c>
      <c r="B1254">
        <f>IF(OHW!$G207="","","OHW")</f>
        <v/>
      </c>
      <c r="C1254" s="18">
        <f>IF(OHW!$G207="","",OHW!$A207)</f>
        <v/>
      </c>
      <c r="F1254">
        <f>IF(OHW!$G207="","",OHW!$B207&amp;"")</f>
        <v/>
      </c>
      <c r="J1254">
        <f>IF(OHW!$G207="","",OHW!$E207)</f>
        <v/>
      </c>
      <c r="K1254">
        <f>IF(OHW!$G207="","",COUNTIFS(OHW!$A$5:$A$1668,OHW!$A207,OHW!$C$5:$C$1668,OHW!$C207))</f>
        <v/>
      </c>
      <c r="L1254">
        <f>IF(OHW!$G207="","",OHW!$D207&amp;"")</f>
        <v/>
      </c>
      <c r="M1254">
        <f>IF(OHW!$G207="","",OHW!$F207)</f>
        <v/>
      </c>
      <c r="N1254">
        <f>IF(OHW!$G207="","",OHW!$G207)</f>
        <v/>
      </c>
      <c r="O1254">
        <f>IF(OHW!$G207="","",OHW!$I207)</f>
        <v/>
      </c>
      <c r="P1254">
        <f>IF(OHW!$G207="","","Final")</f>
        <v/>
      </c>
    </row>
    <row r="1255">
      <c r="A1255">
        <f>IF(OHW!$G208="","","OHW")</f>
        <v/>
      </c>
      <c r="B1255">
        <f>IF(OHW!$G208="","","OHW")</f>
        <v/>
      </c>
      <c r="C1255" s="18">
        <f>IF(OHW!$G208="","",OHW!$A208)</f>
        <v/>
      </c>
      <c r="F1255">
        <f>IF(OHW!$G208="","",OHW!$B208&amp;"")</f>
        <v/>
      </c>
      <c r="J1255">
        <f>IF(OHW!$G208="","",OHW!$E208)</f>
        <v/>
      </c>
      <c r="K1255">
        <f>IF(OHW!$G208="","",COUNTIFS(OHW!$A$5:$A$1668,OHW!$A208,OHW!$C$5:$C$1668,OHW!$C208))</f>
        <v/>
      </c>
      <c r="L1255">
        <f>IF(OHW!$G208="","",OHW!$D208&amp;"")</f>
        <v/>
      </c>
      <c r="M1255">
        <f>IF(OHW!$G208="","",OHW!$F208)</f>
        <v/>
      </c>
      <c r="N1255">
        <f>IF(OHW!$G208="","",OHW!$G208)</f>
        <v/>
      </c>
      <c r="O1255">
        <f>IF(OHW!$G208="","",OHW!$I208)</f>
        <v/>
      </c>
      <c r="P1255">
        <f>IF(OHW!$G208="","","Final")</f>
        <v/>
      </c>
    </row>
    <row r="1256">
      <c r="A1256">
        <f>IF(OHW!$G209="","","OHW")</f>
        <v/>
      </c>
      <c r="B1256">
        <f>IF(OHW!$G209="","","OHW")</f>
        <v/>
      </c>
      <c r="C1256" s="18">
        <f>IF(OHW!$G209="","",OHW!$A209)</f>
        <v/>
      </c>
      <c r="F1256">
        <f>IF(OHW!$G209="","",OHW!$B209&amp;"")</f>
        <v/>
      </c>
      <c r="J1256">
        <f>IF(OHW!$G209="","",OHW!$E209)</f>
        <v/>
      </c>
      <c r="K1256">
        <f>IF(OHW!$G209="","",COUNTIFS(OHW!$A$5:$A$1668,OHW!$A209,OHW!$C$5:$C$1668,OHW!$C209))</f>
        <v/>
      </c>
      <c r="L1256">
        <f>IF(OHW!$G209="","",OHW!$D209&amp;"")</f>
        <v/>
      </c>
      <c r="M1256">
        <f>IF(OHW!$G209="","",OHW!$F209)</f>
        <v/>
      </c>
      <c r="N1256">
        <f>IF(OHW!$G209="","",OHW!$G209)</f>
        <v/>
      </c>
      <c r="O1256">
        <f>IF(OHW!$G209="","",OHW!$I209)</f>
        <v/>
      </c>
      <c r="P1256">
        <f>IF(OHW!$G209="","","Final")</f>
        <v/>
      </c>
    </row>
    <row r="1257">
      <c r="A1257">
        <f>IF(OHW!$G210="","","OHW")</f>
        <v/>
      </c>
      <c r="B1257">
        <f>IF(OHW!$G210="","","OHW")</f>
        <v/>
      </c>
      <c r="C1257" s="18">
        <f>IF(OHW!$G210="","",OHW!$A210)</f>
        <v/>
      </c>
      <c r="F1257">
        <f>IF(OHW!$G210="","",OHW!$B210&amp;"")</f>
        <v/>
      </c>
      <c r="J1257">
        <f>IF(OHW!$G210="","",OHW!$E210)</f>
        <v/>
      </c>
      <c r="K1257">
        <f>IF(OHW!$G210="","",COUNTIFS(OHW!$A$5:$A$1668,OHW!$A210,OHW!$C$5:$C$1668,OHW!$C210))</f>
        <v/>
      </c>
      <c r="L1257">
        <f>IF(OHW!$G210="","",OHW!$D210&amp;"")</f>
        <v/>
      </c>
      <c r="M1257">
        <f>IF(OHW!$G210="","",OHW!$F210)</f>
        <v/>
      </c>
      <c r="N1257">
        <f>IF(OHW!$G210="","",OHW!$G210)</f>
        <v/>
      </c>
      <c r="O1257">
        <f>IF(OHW!$G210="","",OHW!$I210)</f>
        <v/>
      </c>
      <c r="P1257">
        <f>IF(OHW!$G210="","","Final")</f>
        <v/>
      </c>
    </row>
    <row r="1258">
      <c r="A1258">
        <f>IF(OHW!$G211="","","OHW")</f>
        <v/>
      </c>
      <c r="B1258">
        <f>IF(OHW!$G211="","","OHW")</f>
        <v/>
      </c>
      <c r="C1258" s="18">
        <f>IF(OHW!$G211="","",OHW!$A211)</f>
        <v/>
      </c>
      <c r="F1258">
        <f>IF(OHW!$G211="","",OHW!$B211&amp;"")</f>
        <v/>
      </c>
      <c r="J1258">
        <f>IF(OHW!$G211="","",OHW!$E211)</f>
        <v/>
      </c>
      <c r="K1258">
        <f>IF(OHW!$G211="","",COUNTIFS(OHW!$A$5:$A$1668,OHW!$A211,OHW!$C$5:$C$1668,OHW!$C211))</f>
        <v/>
      </c>
      <c r="L1258">
        <f>IF(OHW!$G211="","",OHW!$D211&amp;"")</f>
        <v/>
      </c>
      <c r="M1258">
        <f>IF(OHW!$G211="","",OHW!$F211)</f>
        <v/>
      </c>
      <c r="N1258">
        <f>IF(OHW!$G211="","",OHW!$G211)</f>
        <v/>
      </c>
      <c r="O1258">
        <f>IF(OHW!$G211="","",OHW!$I211)</f>
        <v/>
      </c>
      <c r="P1258">
        <f>IF(OHW!$G211="","","Final")</f>
        <v/>
      </c>
    </row>
    <row r="1259">
      <c r="A1259">
        <f>IF(OHW!$G212="","","OHW")</f>
        <v/>
      </c>
      <c r="B1259">
        <f>IF(OHW!$G212="","","OHW")</f>
        <v/>
      </c>
      <c r="C1259" s="18">
        <f>IF(OHW!$G212="","",OHW!$A212)</f>
        <v/>
      </c>
      <c r="F1259">
        <f>IF(OHW!$G212="","",OHW!$B212&amp;"")</f>
        <v/>
      </c>
      <c r="J1259">
        <f>IF(OHW!$G212="","",OHW!$E212)</f>
        <v/>
      </c>
      <c r="K1259">
        <f>IF(OHW!$G212="","",COUNTIFS(OHW!$A$5:$A$1668,OHW!$A212,OHW!$C$5:$C$1668,OHW!$C212))</f>
        <v/>
      </c>
      <c r="L1259">
        <f>IF(OHW!$G212="","",OHW!$D212&amp;"")</f>
        <v/>
      </c>
      <c r="M1259">
        <f>IF(OHW!$G212="","",OHW!$F212)</f>
        <v/>
      </c>
      <c r="N1259">
        <f>IF(OHW!$G212="","",OHW!$G212)</f>
        <v/>
      </c>
      <c r="O1259">
        <f>IF(OHW!$G212="","",OHW!$I212)</f>
        <v/>
      </c>
      <c r="P1259">
        <f>IF(OHW!$G212="","","Final")</f>
        <v/>
      </c>
    </row>
    <row r="1260">
      <c r="A1260">
        <f>IF(OHW!$G213="","","OHW")</f>
        <v/>
      </c>
      <c r="B1260">
        <f>IF(OHW!$G213="","","OHW")</f>
        <v/>
      </c>
      <c r="C1260" s="18">
        <f>IF(OHW!$G213="","",OHW!$A213)</f>
        <v/>
      </c>
      <c r="F1260">
        <f>IF(OHW!$G213="","",OHW!$B213&amp;"")</f>
        <v/>
      </c>
      <c r="J1260">
        <f>IF(OHW!$G213="","",OHW!$E213)</f>
        <v/>
      </c>
      <c r="K1260">
        <f>IF(OHW!$G213="","",COUNTIFS(OHW!$A$5:$A$1668,OHW!$A213,OHW!$C$5:$C$1668,OHW!$C213))</f>
        <v/>
      </c>
      <c r="L1260">
        <f>IF(OHW!$G213="","",OHW!$D213&amp;"")</f>
        <v/>
      </c>
      <c r="M1260">
        <f>IF(OHW!$G213="","",OHW!$F213)</f>
        <v/>
      </c>
      <c r="N1260">
        <f>IF(OHW!$G213="","",OHW!$G213)</f>
        <v/>
      </c>
      <c r="O1260">
        <f>IF(OHW!$G213="","",OHW!$I213)</f>
        <v/>
      </c>
      <c r="P1260">
        <f>IF(OHW!$G213="","","Final")</f>
        <v/>
      </c>
    </row>
    <row r="1261">
      <c r="A1261">
        <f>IF(OHW!$G214="","","OHW")</f>
        <v/>
      </c>
      <c r="B1261">
        <f>IF(OHW!$G214="","","OHW")</f>
        <v/>
      </c>
      <c r="C1261" s="18">
        <f>IF(OHW!$G214="","",OHW!$A214)</f>
        <v/>
      </c>
      <c r="F1261">
        <f>IF(OHW!$G214="","",OHW!$B214&amp;"")</f>
        <v/>
      </c>
      <c r="J1261">
        <f>IF(OHW!$G214="","",OHW!$E214)</f>
        <v/>
      </c>
      <c r="K1261">
        <f>IF(OHW!$G214="","",COUNTIFS(OHW!$A$5:$A$1668,OHW!$A214,OHW!$C$5:$C$1668,OHW!$C214))</f>
        <v/>
      </c>
      <c r="L1261">
        <f>IF(OHW!$G214="","",OHW!$D214&amp;"")</f>
        <v/>
      </c>
      <c r="M1261">
        <f>IF(OHW!$G214="","",OHW!$F214)</f>
        <v/>
      </c>
      <c r="N1261">
        <f>IF(OHW!$G214="","",OHW!$G214)</f>
        <v/>
      </c>
      <c r="O1261">
        <f>IF(OHW!$G214="","",OHW!$I214)</f>
        <v/>
      </c>
      <c r="P1261">
        <f>IF(OHW!$G214="","","Final")</f>
        <v/>
      </c>
    </row>
    <row r="1262">
      <c r="A1262">
        <f>IF(OHW!$G215="","","OHW")</f>
        <v/>
      </c>
      <c r="B1262">
        <f>IF(OHW!$G215="","","OHW")</f>
        <v/>
      </c>
      <c r="C1262" s="18">
        <f>IF(OHW!$G215="","",OHW!$A215)</f>
        <v/>
      </c>
      <c r="F1262">
        <f>IF(OHW!$G215="","",OHW!$B215&amp;"")</f>
        <v/>
      </c>
      <c r="J1262">
        <f>IF(OHW!$G215="","",OHW!$E215)</f>
        <v/>
      </c>
      <c r="K1262">
        <f>IF(OHW!$G215="","",COUNTIFS(OHW!$A$5:$A$1668,OHW!$A215,OHW!$C$5:$C$1668,OHW!$C215))</f>
        <v/>
      </c>
      <c r="L1262">
        <f>IF(OHW!$G215="","",OHW!$D215&amp;"")</f>
        <v/>
      </c>
      <c r="M1262">
        <f>IF(OHW!$G215="","",OHW!$F215)</f>
        <v/>
      </c>
      <c r="N1262">
        <f>IF(OHW!$G215="","",OHW!$G215)</f>
        <v/>
      </c>
      <c r="O1262">
        <f>IF(OHW!$G215="","",OHW!$I215)</f>
        <v/>
      </c>
      <c r="P1262">
        <f>IF(OHW!$G215="","","Final")</f>
        <v/>
      </c>
    </row>
    <row r="1263">
      <c r="A1263">
        <f>IF(OHW!$G216="","","OHW")</f>
        <v/>
      </c>
      <c r="B1263">
        <f>IF(OHW!$G216="","","OHW")</f>
        <v/>
      </c>
      <c r="C1263" s="18">
        <f>IF(OHW!$G216="","",OHW!$A216)</f>
        <v/>
      </c>
      <c r="F1263">
        <f>IF(OHW!$G216="","",OHW!$B216&amp;"")</f>
        <v/>
      </c>
      <c r="J1263">
        <f>IF(OHW!$G216="","",OHW!$E216)</f>
        <v/>
      </c>
      <c r="K1263">
        <f>IF(OHW!$G216="","",COUNTIFS(OHW!$A$5:$A$1668,OHW!$A216,OHW!$C$5:$C$1668,OHW!$C216))</f>
        <v/>
      </c>
      <c r="L1263">
        <f>IF(OHW!$G216="","",OHW!$D216&amp;"")</f>
        <v/>
      </c>
      <c r="M1263">
        <f>IF(OHW!$G216="","",OHW!$F216)</f>
        <v/>
      </c>
      <c r="N1263">
        <f>IF(OHW!$G216="","",OHW!$G216)</f>
        <v/>
      </c>
      <c r="O1263">
        <f>IF(OHW!$G216="","",OHW!$I216)</f>
        <v/>
      </c>
      <c r="P1263">
        <f>IF(OHW!$G216="","","Final")</f>
        <v/>
      </c>
    </row>
    <row r="1264">
      <c r="A1264">
        <f>IF(OHW!$G217="","","OHW")</f>
        <v/>
      </c>
      <c r="B1264">
        <f>IF(OHW!$G217="","","OHW")</f>
        <v/>
      </c>
      <c r="C1264" s="18">
        <f>IF(OHW!$G217="","",OHW!$A217)</f>
        <v/>
      </c>
      <c r="F1264">
        <f>IF(OHW!$G217="","",OHW!$B217&amp;"")</f>
        <v/>
      </c>
      <c r="J1264">
        <f>IF(OHW!$G217="","",OHW!$E217)</f>
        <v/>
      </c>
      <c r="K1264">
        <f>IF(OHW!$G217="","",COUNTIFS(OHW!$A$5:$A$1668,OHW!$A217,OHW!$C$5:$C$1668,OHW!$C217))</f>
        <v/>
      </c>
      <c r="L1264">
        <f>IF(OHW!$G217="","",OHW!$D217&amp;"")</f>
        <v/>
      </c>
      <c r="M1264">
        <f>IF(OHW!$G217="","",OHW!$F217)</f>
        <v/>
      </c>
      <c r="N1264">
        <f>IF(OHW!$G217="","",OHW!$G217)</f>
        <v/>
      </c>
      <c r="O1264">
        <f>IF(OHW!$G217="","",OHW!$I217)</f>
        <v/>
      </c>
      <c r="P1264">
        <f>IF(OHW!$G217="","","Final")</f>
        <v/>
      </c>
    </row>
    <row r="1265">
      <c r="A1265">
        <f>IF(OHW!$G218="","","OHW")</f>
        <v/>
      </c>
      <c r="B1265">
        <f>IF(OHW!$G218="","","OHW")</f>
        <v/>
      </c>
      <c r="C1265" s="18">
        <f>IF(OHW!$G218="","",OHW!$A218)</f>
        <v/>
      </c>
      <c r="F1265">
        <f>IF(OHW!$G218="","",OHW!$B218&amp;"")</f>
        <v/>
      </c>
      <c r="J1265">
        <f>IF(OHW!$G218="","",OHW!$E218)</f>
        <v/>
      </c>
      <c r="K1265">
        <f>IF(OHW!$G218="","",COUNTIFS(OHW!$A$5:$A$1668,OHW!$A218,OHW!$C$5:$C$1668,OHW!$C218))</f>
        <v/>
      </c>
      <c r="L1265">
        <f>IF(OHW!$G218="","",OHW!$D218&amp;"")</f>
        <v/>
      </c>
      <c r="M1265">
        <f>IF(OHW!$G218="","",OHW!$F218)</f>
        <v/>
      </c>
      <c r="N1265">
        <f>IF(OHW!$G218="","",OHW!$G218)</f>
        <v/>
      </c>
      <c r="O1265">
        <f>IF(OHW!$G218="","",OHW!$I218)</f>
        <v/>
      </c>
      <c r="P1265">
        <f>IF(OHW!$G218="","","Final")</f>
        <v/>
      </c>
    </row>
    <row r="1266">
      <c r="A1266">
        <f>IF(OHW!$G219="","","OHW")</f>
        <v/>
      </c>
      <c r="B1266">
        <f>IF(OHW!$G219="","","OHW")</f>
        <v/>
      </c>
      <c r="C1266" s="18">
        <f>IF(OHW!$G219="","",OHW!$A219)</f>
        <v/>
      </c>
      <c r="F1266">
        <f>IF(OHW!$G219="","",OHW!$B219&amp;"")</f>
        <v/>
      </c>
      <c r="J1266">
        <f>IF(OHW!$G219="","",OHW!$E219)</f>
        <v/>
      </c>
      <c r="K1266">
        <f>IF(OHW!$G219="","",COUNTIFS(OHW!$A$5:$A$1668,OHW!$A219,OHW!$C$5:$C$1668,OHW!$C219))</f>
        <v/>
      </c>
      <c r="L1266">
        <f>IF(OHW!$G219="","",OHW!$D219&amp;"")</f>
        <v/>
      </c>
      <c r="M1266">
        <f>IF(OHW!$G219="","",OHW!$F219)</f>
        <v/>
      </c>
      <c r="N1266">
        <f>IF(OHW!$G219="","",OHW!$G219)</f>
        <v/>
      </c>
      <c r="O1266">
        <f>IF(OHW!$G219="","",OHW!$I219)</f>
        <v/>
      </c>
      <c r="P1266">
        <f>IF(OHW!$G219="","","Final")</f>
        <v/>
      </c>
    </row>
    <row r="1267">
      <c r="A1267">
        <f>IF(OHW!$G220="","","OHW")</f>
        <v/>
      </c>
      <c r="B1267">
        <f>IF(OHW!$G220="","","OHW")</f>
        <v/>
      </c>
      <c r="C1267" s="18">
        <f>IF(OHW!$G220="","",OHW!$A220)</f>
        <v/>
      </c>
      <c r="F1267">
        <f>IF(OHW!$G220="","",OHW!$B220&amp;"")</f>
        <v/>
      </c>
      <c r="J1267">
        <f>IF(OHW!$G220="","",OHW!$E220)</f>
        <v/>
      </c>
      <c r="K1267">
        <f>IF(OHW!$G220="","",COUNTIFS(OHW!$A$5:$A$1668,OHW!$A220,OHW!$C$5:$C$1668,OHW!$C220))</f>
        <v/>
      </c>
      <c r="L1267">
        <f>IF(OHW!$G220="","",OHW!$D220&amp;"")</f>
        <v/>
      </c>
      <c r="M1267">
        <f>IF(OHW!$G220="","",OHW!$F220)</f>
        <v/>
      </c>
      <c r="N1267">
        <f>IF(OHW!$G220="","",OHW!$G220)</f>
        <v/>
      </c>
      <c r="O1267">
        <f>IF(OHW!$G220="","",OHW!$I220)</f>
        <v/>
      </c>
      <c r="P1267">
        <f>IF(OHW!$G220="","","Final")</f>
        <v/>
      </c>
    </row>
    <row r="1268">
      <c r="A1268">
        <f>IF(OHW!$G221="","","OHW")</f>
        <v/>
      </c>
      <c r="B1268">
        <f>IF(OHW!$G221="","","OHW")</f>
        <v/>
      </c>
      <c r="C1268" s="18">
        <f>IF(OHW!$G221="","",OHW!$A221)</f>
        <v/>
      </c>
      <c r="F1268">
        <f>IF(OHW!$G221="","",OHW!$B221&amp;"")</f>
        <v/>
      </c>
      <c r="J1268">
        <f>IF(OHW!$G221="","",OHW!$E221)</f>
        <v/>
      </c>
      <c r="K1268">
        <f>IF(OHW!$G221="","",COUNTIFS(OHW!$A$5:$A$1668,OHW!$A221,OHW!$C$5:$C$1668,OHW!$C221))</f>
        <v/>
      </c>
      <c r="L1268">
        <f>IF(OHW!$G221="","",OHW!$D221&amp;"")</f>
        <v/>
      </c>
      <c r="M1268">
        <f>IF(OHW!$G221="","",OHW!$F221)</f>
        <v/>
      </c>
      <c r="N1268">
        <f>IF(OHW!$G221="","",OHW!$G221)</f>
        <v/>
      </c>
      <c r="O1268">
        <f>IF(OHW!$G221="","",OHW!$I221)</f>
        <v/>
      </c>
      <c r="P1268">
        <f>IF(OHW!$G221="","","Final")</f>
        <v/>
      </c>
    </row>
    <row r="1269">
      <c r="A1269">
        <f>IF(OHW!$G222="","","OHW")</f>
        <v/>
      </c>
      <c r="B1269">
        <f>IF(OHW!$G222="","","OHW")</f>
        <v/>
      </c>
      <c r="C1269" s="18">
        <f>IF(OHW!$G222="","",OHW!$A222)</f>
        <v/>
      </c>
      <c r="F1269">
        <f>IF(OHW!$G222="","",OHW!$B222&amp;"")</f>
        <v/>
      </c>
      <c r="J1269">
        <f>IF(OHW!$G222="","",OHW!$E222)</f>
        <v/>
      </c>
      <c r="K1269">
        <f>IF(OHW!$G222="","",COUNTIFS(OHW!$A$5:$A$1668,OHW!$A222,OHW!$C$5:$C$1668,OHW!$C222))</f>
        <v/>
      </c>
      <c r="L1269">
        <f>IF(OHW!$G222="","",OHW!$D222&amp;"")</f>
        <v/>
      </c>
      <c r="M1269">
        <f>IF(OHW!$G222="","",OHW!$F222)</f>
        <v/>
      </c>
      <c r="N1269">
        <f>IF(OHW!$G222="","",OHW!$G222)</f>
        <v/>
      </c>
      <c r="O1269">
        <f>IF(OHW!$G222="","",OHW!$I222)</f>
        <v/>
      </c>
      <c r="P1269">
        <f>IF(OHW!$G222="","","Final")</f>
        <v/>
      </c>
    </row>
    <row r="1270">
      <c r="A1270">
        <f>IF(OHW!$G223="","","OHW")</f>
        <v/>
      </c>
      <c r="B1270">
        <f>IF(OHW!$G223="","","OHW")</f>
        <v/>
      </c>
      <c r="C1270" s="18">
        <f>IF(OHW!$G223="","",OHW!$A223)</f>
        <v/>
      </c>
      <c r="F1270">
        <f>IF(OHW!$G223="","",OHW!$B223&amp;"")</f>
        <v/>
      </c>
      <c r="J1270">
        <f>IF(OHW!$G223="","",OHW!$E223)</f>
        <v/>
      </c>
      <c r="K1270">
        <f>IF(OHW!$G223="","",COUNTIFS(OHW!$A$5:$A$1668,OHW!$A223,OHW!$C$5:$C$1668,OHW!$C223))</f>
        <v/>
      </c>
      <c r="L1270">
        <f>IF(OHW!$G223="","",OHW!$D223&amp;"")</f>
        <v/>
      </c>
      <c r="M1270">
        <f>IF(OHW!$G223="","",OHW!$F223)</f>
        <v/>
      </c>
      <c r="N1270">
        <f>IF(OHW!$G223="","",OHW!$G223)</f>
        <v/>
      </c>
      <c r="O1270">
        <f>IF(OHW!$G223="","",OHW!$I223)</f>
        <v/>
      </c>
      <c r="P1270">
        <f>IF(OHW!$G223="","","Final")</f>
        <v/>
      </c>
    </row>
    <row r="1271">
      <c r="A1271">
        <f>IF(OHW!$G224="","","OHW")</f>
        <v/>
      </c>
      <c r="B1271">
        <f>IF(OHW!$G224="","","OHW")</f>
        <v/>
      </c>
      <c r="C1271" s="18">
        <f>IF(OHW!$G224="","",OHW!$A224)</f>
        <v/>
      </c>
      <c r="F1271">
        <f>IF(OHW!$G224="","",OHW!$B224&amp;"")</f>
        <v/>
      </c>
      <c r="J1271">
        <f>IF(OHW!$G224="","",OHW!$E224)</f>
        <v/>
      </c>
      <c r="K1271">
        <f>IF(OHW!$G224="","",COUNTIFS(OHW!$A$5:$A$1668,OHW!$A224,OHW!$C$5:$C$1668,OHW!$C224))</f>
        <v/>
      </c>
      <c r="L1271">
        <f>IF(OHW!$G224="","",OHW!$D224&amp;"")</f>
        <v/>
      </c>
      <c r="M1271">
        <f>IF(OHW!$G224="","",OHW!$F224)</f>
        <v/>
      </c>
      <c r="N1271">
        <f>IF(OHW!$G224="","",OHW!$G224)</f>
        <v/>
      </c>
      <c r="O1271">
        <f>IF(OHW!$G224="","",OHW!$I224)</f>
        <v/>
      </c>
      <c r="P1271">
        <f>IF(OHW!$G224="","","Final")</f>
        <v/>
      </c>
    </row>
    <row r="1272">
      <c r="A1272">
        <f>IF(OHW!$G225="","","OHW")</f>
        <v/>
      </c>
      <c r="B1272">
        <f>IF(OHW!$G225="","","OHW")</f>
        <v/>
      </c>
      <c r="C1272" s="18">
        <f>IF(OHW!$G225="","",OHW!$A225)</f>
        <v/>
      </c>
      <c r="F1272">
        <f>IF(OHW!$G225="","",OHW!$B225&amp;"")</f>
        <v/>
      </c>
      <c r="J1272">
        <f>IF(OHW!$G225="","",OHW!$E225)</f>
        <v/>
      </c>
      <c r="K1272">
        <f>IF(OHW!$G225="","",COUNTIFS(OHW!$A$5:$A$1668,OHW!$A225,OHW!$C$5:$C$1668,OHW!$C225))</f>
        <v/>
      </c>
      <c r="L1272">
        <f>IF(OHW!$G225="","",OHW!$D225&amp;"")</f>
        <v/>
      </c>
      <c r="M1272">
        <f>IF(OHW!$G225="","",OHW!$F225)</f>
        <v/>
      </c>
      <c r="N1272">
        <f>IF(OHW!$G225="","",OHW!$G225)</f>
        <v/>
      </c>
      <c r="O1272">
        <f>IF(OHW!$G225="","",OHW!$I225)</f>
        <v/>
      </c>
      <c r="P1272">
        <f>IF(OHW!$G225="","","Final")</f>
        <v/>
      </c>
    </row>
    <row r="1273">
      <c r="A1273">
        <f>IF(OHW!$G226="","","OHW")</f>
        <v/>
      </c>
      <c r="B1273">
        <f>IF(OHW!$G226="","","OHW")</f>
        <v/>
      </c>
      <c r="C1273" s="18">
        <f>IF(OHW!$G226="","",OHW!$A226)</f>
        <v/>
      </c>
      <c r="F1273">
        <f>IF(OHW!$G226="","",OHW!$B226&amp;"")</f>
        <v/>
      </c>
      <c r="J1273">
        <f>IF(OHW!$G226="","",OHW!$E226)</f>
        <v/>
      </c>
      <c r="K1273">
        <f>IF(OHW!$G226="","",COUNTIFS(OHW!$A$5:$A$1668,OHW!$A226,OHW!$C$5:$C$1668,OHW!$C226))</f>
        <v/>
      </c>
      <c r="L1273">
        <f>IF(OHW!$G226="","",OHW!$D226&amp;"")</f>
        <v/>
      </c>
      <c r="M1273">
        <f>IF(OHW!$G226="","",OHW!$F226)</f>
        <v/>
      </c>
      <c r="N1273">
        <f>IF(OHW!$G226="","",OHW!$G226)</f>
        <v/>
      </c>
      <c r="O1273">
        <f>IF(OHW!$G226="","",OHW!$I226)</f>
        <v/>
      </c>
      <c r="P1273">
        <f>IF(OHW!$G226="","","Final")</f>
        <v/>
      </c>
    </row>
    <row r="1274">
      <c r="A1274">
        <f>IF(OHW!$G227="","","OHW")</f>
        <v/>
      </c>
      <c r="B1274">
        <f>IF(OHW!$G227="","","OHW")</f>
        <v/>
      </c>
      <c r="C1274" s="18">
        <f>IF(OHW!$G227="","",OHW!$A227)</f>
        <v/>
      </c>
      <c r="F1274">
        <f>IF(OHW!$G227="","",OHW!$B227&amp;"")</f>
        <v/>
      </c>
      <c r="J1274">
        <f>IF(OHW!$G227="","",OHW!$E227)</f>
        <v/>
      </c>
      <c r="K1274">
        <f>IF(OHW!$G227="","",COUNTIFS(OHW!$A$5:$A$1668,OHW!$A227,OHW!$C$5:$C$1668,OHW!$C227))</f>
        <v/>
      </c>
      <c r="L1274">
        <f>IF(OHW!$G227="","",OHW!$D227&amp;"")</f>
        <v/>
      </c>
      <c r="M1274">
        <f>IF(OHW!$G227="","",OHW!$F227)</f>
        <v/>
      </c>
      <c r="N1274">
        <f>IF(OHW!$G227="","",OHW!$G227)</f>
        <v/>
      </c>
      <c r="O1274">
        <f>IF(OHW!$G227="","",OHW!$I227)</f>
        <v/>
      </c>
      <c r="P1274">
        <f>IF(OHW!$G227="","","Final")</f>
        <v/>
      </c>
    </row>
    <row r="1275">
      <c r="A1275">
        <f>IF(OHW!$G228="","","OHW")</f>
        <v/>
      </c>
      <c r="B1275">
        <f>IF(OHW!$G228="","","OHW")</f>
        <v/>
      </c>
      <c r="C1275" s="18">
        <f>IF(OHW!$G228="","",OHW!$A228)</f>
        <v/>
      </c>
      <c r="F1275">
        <f>IF(OHW!$G228="","",OHW!$B228&amp;"")</f>
        <v/>
      </c>
      <c r="J1275">
        <f>IF(OHW!$G228="","",OHW!$E228)</f>
        <v/>
      </c>
      <c r="K1275">
        <f>IF(OHW!$G228="","",COUNTIFS(OHW!$A$5:$A$1668,OHW!$A228,OHW!$C$5:$C$1668,OHW!$C228))</f>
        <v/>
      </c>
      <c r="L1275">
        <f>IF(OHW!$G228="","",OHW!$D228&amp;"")</f>
        <v/>
      </c>
      <c r="M1275">
        <f>IF(OHW!$G228="","",OHW!$F228)</f>
        <v/>
      </c>
      <c r="N1275">
        <f>IF(OHW!$G228="","",OHW!$G228)</f>
        <v/>
      </c>
      <c r="O1275">
        <f>IF(OHW!$G228="","",OHW!$I228)</f>
        <v/>
      </c>
      <c r="P1275">
        <f>IF(OHW!$G228="","","Final")</f>
        <v/>
      </c>
    </row>
    <row r="1276">
      <c r="A1276">
        <f>IF(OHW!$G229="","","OHW")</f>
        <v/>
      </c>
      <c r="B1276">
        <f>IF(OHW!$G229="","","OHW")</f>
        <v/>
      </c>
      <c r="C1276" s="18">
        <f>IF(OHW!$G229="","",OHW!$A229)</f>
        <v/>
      </c>
      <c r="F1276">
        <f>IF(OHW!$G229="","",OHW!$B229&amp;"")</f>
        <v/>
      </c>
      <c r="J1276">
        <f>IF(OHW!$G229="","",OHW!$E229)</f>
        <v/>
      </c>
      <c r="K1276">
        <f>IF(OHW!$G229="","",COUNTIFS(OHW!$A$5:$A$1668,OHW!$A229,OHW!$C$5:$C$1668,OHW!$C229))</f>
        <v/>
      </c>
      <c r="L1276">
        <f>IF(OHW!$G229="","",OHW!$D229&amp;"")</f>
        <v/>
      </c>
      <c r="M1276">
        <f>IF(OHW!$G229="","",OHW!$F229)</f>
        <v/>
      </c>
      <c r="N1276">
        <f>IF(OHW!$G229="","",OHW!$G229)</f>
        <v/>
      </c>
      <c r="O1276">
        <f>IF(OHW!$G229="","",OHW!$I229)</f>
        <v/>
      </c>
      <c r="P1276">
        <f>IF(OHW!$G229="","","Final")</f>
        <v/>
      </c>
    </row>
    <row r="1277">
      <c r="A1277">
        <f>IF(OHW!$G230="","","OHW")</f>
        <v/>
      </c>
      <c r="B1277">
        <f>IF(OHW!$G230="","","OHW")</f>
        <v/>
      </c>
      <c r="C1277" s="18">
        <f>IF(OHW!$G230="","",OHW!$A230)</f>
        <v/>
      </c>
      <c r="F1277">
        <f>IF(OHW!$G230="","",OHW!$B230&amp;"")</f>
        <v/>
      </c>
      <c r="J1277">
        <f>IF(OHW!$G230="","",OHW!$E230)</f>
        <v/>
      </c>
      <c r="K1277">
        <f>IF(OHW!$G230="","",COUNTIFS(OHW!$A$5:$A$1668,OHW!$A230,OHW!$C$5:$C$1668,OHW!$C230))</f>
        <v/>
      </c>
      <c r="L1277">
        <f>IF(OHW!$G230="","",OHW!$D230&amp;"")</f>
        <v/>
      </c>
      <c r="M1277">
        <f>IF(OHW!$G230="","",OHW!$F230)</f>
        <v/>
      </c>
      <c r="N1277">
        <f>IF(OHW!$G230="","",OHW!$G230)</f>
        <v/>
      </c>
      <c r="O1277">
        <f>IF(OHW!$G230="","",OHW!$I230)</f>
        <v/>
      </c>
      <c r="P1277">
        <f>IF(OHW!$G230="","","Final")</f>
        <v/>
      </c>
    </row>
    <row r="1278">
      <c r="A1278">
        <f>IF(OHW!$G231="","","OHW")</f>
        <v/>
      </c>
      <c r="B1278">
        <f>IF(OHW!$G231="","","OHW")</f>
        <v/>
      </c>
      <c r="C1278" s="18">
        <f>IF(OHW!$G231="","",OHW!$A231)</f>
        <v/>
      </c>
      <c r="F1278">
        <f>IF(OHW!$G231="","",OHW!$B231&amp;"")</f>
        <v/>
      </c>
      <c r="J1278">
        <f>IF(OHW!$G231="","",OHW!$E231)</f>
        <v/>
      </c>
      <c r="K1278">
        <f>IF(OHW!$G231="","",COUNTIFS(OHW!$A$5:$A$1668,OHW!$A231,OHW!$C$5:$C$1668,OHW!$C231))</f>
        <v/>
      </c>
      <c r="L1278">
        <f>IF(OHW!$G231="","",OHW!$D231&amp;"")</f>
        <v/>
      </c>
      <c r="M1278">
        <f>IF(OHW!$G231="","",OHW!$F231)</f>
        <v/>
      </c>
      <c r="N1278">
        <f>IF(OHW!$G231="","",OHW!$G231)</f>
        <v/>
      </c>
      <c r="O1278">
        <f>IF(OHW!$G231="","",OHW!$I231)</f>
        <v/>
      </c>
      <c r="P1278">
        <f>IF(OHW!$G231="","","Final")</f>
        <v/>
      </c>
    </row>
    <row r="1279">
      <c r="A1279">
        <f>IF(OHW!$G232="","","OHW")</f>
        <v/>
      </c>
      <c r="B1279">
        <f>IF(OHW!$G232="","","OHW")</f>
        <v/>
      </c>
      <c r="C1279" s="18">
        <f>IF(OHW!$G232="","",OHW!$A232)</f>
        <v/>
      </c>
      <c r="F1279">
        <f>IF(OHW!$G232="","",OHW!$B232&amp;"")</f>
        <v/>
      </c>
      <c r="J1279">
        <f>IF(OHW!$G232="","",OHW!$E232)</f>
        <v/>
      </c>
      <c r="K1279">
        <f>IF(OHW!$G232="","",COUNTIFS(OHW!$A$5:$A$1668,OHW!$A232,OHW!$C$5:$C$1668,OHW!$C232))</f>
        <v/>
      </c>
      <c r="L1279">
        <f>IF(OHW!$G232="","",OHW!$D232&amp;"")</f>
        <v/>
      </c>
      <c r="M1279">
        <f>IF(OHW!$G232="","",OHW!$F232)</f>
        <v/>
      </c>
      <c r="N1279">
        <f>IF(OHW!$G232="","",OHW!$G232)</f>
        <v/>
      </c>
      <c r="O1279">
        <f>IF(OHW!$G232="","",OHW!$I232)</f>
        <v/>
      </c>
      <c r="P1279">
        <f>IF(OHW!$G232="","","Final")</f>
        <v/>
      </c>
    </row>
    <row r="1280">
      <c r="A1280">
        <f>IF(OHW!$G233="","","OHW")</f>
        <v/>
      </c>
      <c r="B1280">
        <f>IF(OHW!$G233="","","OHW")</f>
        <v/>
      </c>
      <c r="C1280" s="18">
        <f>IF(OHW!$G233="","",OHW!$A233)</f>
        <v/>
      </c>
      <c r="F1280">
        <f>IF(OHW!$G233="","",OHW!$B233&amp;"")</f>
        <v/>
      </c>
      <c r="J1280">
        <f>IF(OHW!$G233="","",OHW!$E233)</f>
        <v/>
      </c>
      <c r="K1280">
        <f>IF(OHW!$G233="","",COUNTIFS(OHW!$A$5:$A$1668,OHW!$A233,OHW!$C$5:$C$1668,OHW!$C233))</f>
        <v/>
      </c>
      <c r="L1280">
        <f>IF(OHW!$G233="","",OHW!$D233&amp;"")</f>
        <v/>
      </c>
      <c r="M1280">
        <f>IF(OHW!$G233="","",OHW!$F233)</f>
        <v/>
      </c>
      <c r="N1280">
        <f>IF(OHW!$G233="","",OHW!$G233)</f>
        <v/>
      </c>
      <c r="O1280">
        <f>IF(OHW!$G233="","",OHW!$I233)</f>
        <v/>
      </c>
      <c r="P1280">
        <f>IF(OHW!$G233="","","Final")</f>
        <v/>
      </c>
    </row>
    <row r="1281">
      <c r="A1281">
        <f>IF(OHW!$G234="","","OHW")</f>
        <v/>
      </c>
      <c r="B1281">
        <f>IF(OHW!$G234="","","OHW")</f>
        <v/>
      </c>
      <c r="C1281" s="18">
        <f>IF(OHW!$G234="","",OHW!$A234)</f>
        <v/>
      </c>
      <c r="F1281">
        <f>IF(OHW!$G234="","",OHW!$B234&amp;"")</f>
        <v/>
      </c>
      <c r="J1281">
        <f>IF(OHW!$G234="","",OHW!$E234)</f>
        <v/>
      </c>
      <c r="K1281">
        <f>IF(OHW!$G234="","",COUNTIFS(OHW!$A$5:$A$1668,OHW!$A234,OHW!$C$5:$C$1668,OHW!$C234))</f>
        <v/>
      </c>
      <c r="L1281">
        <f>IF(OHW!$G234="","",OHW!$D234&amp;"")</f>
        <v/>
      </c>
      <c r="M1281">
        <f>IF(OHW!$G234="","",OHW!$F234)</f>
        <v/>
      </c>
      <c r="N1281">
        <f>IF(OHW!$G234="","",OHW!$G234)</f>
        <v/>
      </c>
      <c r="O1281">
        <f>IF(OHW!$G234="","",OHW!$I234)</f>
        <v/>
      </c>
      <c r="P1281">
        <f>IF(OHW!$G234="","","Final")</f>
        <v/>
      </c>
    </row>
    <row r="1282">
      <c r="A1282">
        <f>IF(OHW!$G235="","","OHW")</f>
        <v/>
      </c>
      <c r="B1282">
        <f>IF(OHW!$G235="","","OHW")</f>
        <v/>
      </c>
      <c r="C1282" s="18">
        <f>IF(OHW!$G235="","",OHW!$A235)</f>
        <v/>
      </c>
      <c r="F1282">
        <f>IF(OHW!$G235="","",OHW!$B235&amp;"")</f>
        <v/>
      </c>
      <c r="J1282">
        <f>IF(OHW!$G235="","",OHW!$E235)</f>
        <v/>
      </c>
      <c r="K1282">
        <f>IF(OHW!$G235="","",COUNTIFS(OHW!$A$5:$A$1668,OHW!$A235,OHW!$C$5:$C$1668,OHW!$C235))</f>
        <v/>
      </c>
      <c r="L1282">
        <f>IF(OHW!$G235="","",OHW!$D235&amp;"")</f>
        <v/>
      </c>
      <c r="M1282">
        <f>IF(OHW!$G235="","",OHW!$F235)</f>
        <v/>
      </c>
      <c r="N1282">
        <f>IF(OHW!$G235="","",OHW!$G235)</f>
        <v/>
      </c>
      <c r="O1282">
        <f>IF(OHW!$G235="","",OHW!$I235)</f>
        <v/>
      </c>
      <c r="P1282">
        <f>IF(OHW!$G235="","","Final")</f>
        <v/>
      </c>
    </row>
    <row r="1283">
      <c r="A1283">
        <f>IF(OHW!$G236="","","OHW")</f>
        <v/>
      </c>
      <c r="B1283">
        <f>IF(OHW!$G236="","","OHW")</f>
        <v/>
      </c>
      <c r="C1283" s="18">
        <f>IF(OHW!$G236="","",OHW!$A236)</f>
        <v/>
      </c>
      <c r="F1283">
        <f>IF(OHW!$G236="","",OHW!$B236&amp;"")</f>
        <v/>
      </c>
      <c r="J1283">
        <f>IF(OHW!$G236="","",OHW!$E236)</f>
        <v/>
      </c>
      <c r="K1283">
        <f>IF(OHW!$G236="","",COUNTIFS(OHW!$A$5:$A$1668,OHW!$A236,OHW!$C$5:$C$1668,OHW!$C236))</f>
        <v/>
      </c>
      <c r="L1283">
        <f>IF(OHW!$G236="","",OHW!$D236&amp;"")</f>
        <v/>
      </c>
      <c r="M1283">
        <f>IF(OHW!$G236="","",OHW!$F236)</f>
        <v/>
      </c>
      <c r="N1283">
        <f>IF(OHW!$G236="","",OHW!$G236)</f>
        <v/>
      </c>
      <c r="O1283">
        <f>IF(OHW!$G236="","",OHW!$I236)</f>
        <v/>
      </c>
      <c r="P1283">
        <f>IF(OHW!$G236="","","Final")</f>
        <v/>
      </c>
    </row>
    <row r="1284">
      <c r="A1284">
        <f>IF(OHW!$G237="","","OHW")</f>
        <v/>
      </c>
      <c r="B1284">
        <f>IF(OHW!$G237="","","OHW")</f>
        <v/>
      </c>
      <c r="C1284" s="18">
        <f>IF(OHW!$G237="","",OHW!$A237)</f>
        <v/>
      </c>
      <c r="F1284">
        <f>IF(OHW!$G237="","",OHW!$B237&amp;"")</f>
        <v/>
      </c>
      <c r="J1284">
        <f>IF(OHW!$G237="","",OHW!$E237)</f>
        <v/>
      </c>
      <c r="K1284">
        <f>IF(OHW!$G237="","",COUNTIFS(OHW!$A$5:$A$1668,OHW!$A237,OHW!$C$5:$C$1668,OHW!$C237))</f>
        <v/>
      </c>
      <c r="L1284">
        <f>IF(OHW!$G237="","",OHW!$D237&amp;"")</f>
        <v/>
      </c>
      <c r="M1284">
        <f>IF(OHW!$G237="","",OHW!$F237)</f>
        <v/>
      </c>
      <c r="N1284">
        <f>IF(OHW!$G237="","",OHW!$G237)</f>
        <v/>
      </c>
      <c r="O1284">
        <f>IF(OHW!$G237="","",OHW!$I237)</f>
        <v/>
      </c>
      <c r="P1284">
        <f>IF(OHW!$G237="","","Final")</f>
        <v/>
      </c>
    </row>
    <row r="1285">
      <c r="A1285">
        <f>IF(OHW!$G238="","","OHW")</f>
        <v/>
      </c>
      <c r="B1285">
        <f>IF(OHW!$G238="","","OHW")</f>
        <v/>
      </c>
      <c r="C1285" s="18">
        <f>IF(OHW!$G238="","",OHW!$A238)</f>
        <v/>
      </c>
      <c r="F1285">
        <f>IF(OHW!$G238="","",OHW!$B238&amp;"")</f>
        <v/>
      </c>
      <c r="J1285">
        <f>IF(OHW!$G238="","",OHW!$E238)</f>
        <v/>
      </c>
      <c r="K1285">
        <f>IF(OHW!$G238="","",COUNTIFS(OHW!$A$5:$A$1668,OHW!$A238,OHW!$C$5:$C$1668,OHW!$C238))</f>
        <v/>
      </c>
      <c r="L1285">
        <f>IF(OHW!$G238="","",OHW!$D238&amp;"")</f>
        <v/>
      </c>
      <c r="M1285">
        <f>IF(OHW!$G238="","",OHW!$F238)</f>
        <v/>
      </c>
      <c r="N1285">
        <f>IF(OHW!$G238="","",OHW!$G238)</f>
        <v/>
      </c>
      <c r="O1285">
        <f>IF(OHW!$G238="","",OHW!$I238)</f>
        <v/>
      </c>
      <c r="P1285">
        <f>IF(OHW!$G238="","","Final")</f>
        <v/>
      </c>
    </row>
    <row r="1286">
      <c r="A1286">
        <f>IF(OHW!$G239="","","OHW")</f>
        <v/>
      </c>
      <c r="B1286">
        <f>IF(OHW!$G239="","","OHW")</f>
        <v/>
      </c>
      <c r="C1286" s="18">
        <f>IF(OHW!$G239="","",OHW!$A239)</f>
        <v/>
      </c>
      <c r="F1286">
        <f>IF(OHW!$G239="","",OHW!$B239&amp;"")</f>
        <v/>
      </c>
      <c r="J1286">
        <f>IF(OHW!$G239="","",OHW!$E239)</f>
        <v/>
      </c>
      <c r="K1286">
        <f>IF(OHW!$G239="","",COUNTIFS(OHW!$A$5:$A$1668,OHW!$A239,OHW!$C$5:$C$1668,OHW!$C239))</f>
        <v/>
      </c>
      <c r="L1286">
        <f>IF(OHW!$G239="","",OHW!$D239&amp;"")</f>
        <v/>
      </c>
      <c r="M1286">
        <f>IF(OHW!$G239="","",OHW!$F239)</f>
        <v/>
      </c>
      <c r="N1286">
        <f>IF(OHW!$G239="","",OHW!$G239)</f>
        <v/>
      </c>
      <c r="O1286">
        <f>IF(OHW!$G239="","",OHW!$I239)</f>
        <v/>
      </c>
      <c r="P1286">
        <f>IF(OHW!$G239="","","Final")</f>
        <v/>
      </c>
    </row>
    <row r="1287">
      <c r="A1287">
        <f>IF(OHW!$G240="","","OHW")</f>
        <v/>
      </c>
      <c r="B1287">
        <f>IF(OHW!$G240="","","OHW")</f>
        <v/>
      </c>
      <c r="C1287" s="18">
        <f>IF(OHW!$G240="","",OHW!$A240)</f>
        <v/>
      </c>
      <c r="F1287">
        <f>IF(OHW!$G240="","",OHW!$B240&amp;"")</f>
        <v/>
      </c>
      <c r="J1287">
        <f>IF(OHW!$G240="","",OHW!$E240)</f>
        <v/>
      </c>
      <c r="K1287">
        <f>IF(OHW!$G240="","",COUNTIFS(OHW!$A$5:$A$1668,OHW!$A240,OHW!$C$5:$C$1668,OHW!$C240))</f>
        <v/>
      </c>
      <c r="L1287">
        <f>IF(OHW!$G240="","",OHW!$D240&amp;"")</f>
        <v/>
      </c>
      <c r="M1287">
        <f>IF(OHW!$G240="","",OHW!$F240)</f>
        <v/>
      </c>
      <c r="N1287">
        <f>IF(OHW!$G240="","",OHW!$G240)</f>
        <v/>
      </c>
      <c r="O1287">
        <f>IF(OHW!$G240="","",OHW!$I240)</f>
        <v/>
      </c>
      <c r="P1287">
        <f>IF(OHW!$G240="","","Final")</f>
        <v/>
      </c>
    </row>
    <row r="1288">
      <c r="A1288">
        <f>IF(OHW!$G241="","","OHW")</f>
        <v/>
      </c>
      <c r="B1288">
        <f>IF(OHW!$G241="","","OHW")</f>
        <v/>
      </c>
      <c r="C1288" s="18">
        <f>IF(OHW!$G241="","",OHW!$A241)</f>
        <v/>
      </c>
      <c r="F1288">
        <f>IF(OHW!$G241="","",OHW!$B241&amp;"")</f>
        <v/>
      </c>
      <c r="J1288">
        <f>IF(OHW!$G241="","",OHW!$E241)</f>
        <v/>
      </c>
      <c r="K1288">
        <f>IF(OHW!$G241="","",COUNTIFS(OHW!$A$5:$A$1668,OHW!$A241,OHW!$C$5:$C$1668,OHW!$C241))</f>
        <v/>
      </c>
      <c r="L1288">
        <f>IF(OHW!$G241="","",OHW!$D241&amp;"")</f>
        <v/>
      </c>
      <c r="M1288">
        <f>IF(OHW!$G241="","",OHW!$F241)</f>
        <v/>
      </c>
      <c r="N1288">
        <f>IF(OHW!$G241="","",OHW!$G241)</f>
        <v/>
      </c>
      <c r="O1288">
        <f>IF(OHW!$G241="","",OHW!$I241)</f>
        <v/>
      </c>
      <c r="P1288">
        <f>IF(OHW!$G241="","","Final")</f>
        <v/>
      </c>
    </row>
    <row r="1289">
      <c r="A1289">
        <f>IF(OHW!$G242="","","OHW")</f>
        <v/>
      </c>
      <c r="B1289">
        <f>IF(OHW!$G242="","","OHW")</f>
        <v/>
      </c>
      <c r="C1289" s="18">
        <f>IF(OHW!$G242="","",OHW!$A242)</f>
        <v/>
      </c>
      <c r="F1289">
        <f>IF(OHW!$G242="","",OHW!$B242&amp;"")</f>
        <v/>
      </c>
      <c r="J1289">
        <f>IF(OHW!$G242="","",OHW!$E242)</f>
        <v/>
      </c>
      <c r="K1289">
        <f>IF(OHW!$G242="","",COUNTIFS(OHW!$A$5:$A$1668,OHW!$A242,OHW!$C$5:$C$1668,OHW!$C242))</f>
        <v/>
      </c>
      <c r="L1289">
        <f>IF(OHW!$G242="","",OHW!$D242&amp;"")</f>
        <v/>
      </c>
      <c r="M1289">
        <f>IF(OHW!$G242="","",OHW!$F242)</f>
        <v/>
      </c>
      <c r="N1289">
        <f>IF(OHW!$G242="","",OHW!$G242)</f>
        <v/>
      </c>
      <c r="O1289">
        <f>IF(OHW!$G242="","",OHW!$I242)</f>
        <v/>
      </c>
      <c r="P1289">
        <f>IF(OHW!$G242="","","Final")</f>
        <v/>
      </c>
    </row>
    <row r="1290">
      <c r="A1290">
        <f>IF(OHW!$G243="","","OHW")</f>
        <v/>
      </c>
      <c r="B1290">
        <f>IF(OHW!$G243="","","OHW")</f>
        <v/>
      </c>
      <c r="C1290" s="18">
        <f>IF(OHW!$G243="","",OHW!$A243)</f>
        <v/>
      </c>
      <c r="F1290">
        <f>IF(OHW!$G243="","",OHW!$B243&amp;"")</f>
        <v/>
      </c>
      <c r="J1290">
        <f>IF(OHW!$G243="","",OHW!$E243)</f>
        <v/>
      </c>
      <c r="K1290">
        <f>IF(OHW!$G243="","",COUNTIFS(OHW!$A$5:$A$1668,OHW!$A243,OHW!$C$5:$C$1668,OHW!$C243))</f>
        <v/>
      </c>
      <c r="L1290">
        <f>IF(OHW!$G243="","",OHW!$D243&amp;"")</f>
        <v/>
      </c>
      <c r="M1290">
        <f>IF(OHW!$G243="","",OHW!$F243)</f>
        <v/>
      </c>
      <c r="N1290">
        <f>IF(OHW!$G243="","",OHW!$G243)</f>
        <v/>
      </c>
      <c r="O1290">
        <f>IF(OHW!$G243="","",OHW!$I243)</f>
        <v/>
      </c>
      <c r="P1290">
        <f>IF(OHW!$G243="","","Final")</f>
        <v/>
      </c>
    </row>
    <row r="1291">
      <c r="A1291">
        <f>IF(OHW!$G244="","","OHW")</f>
        <v/>
      </c>
      <c r="B1291">
        <f>IF(OHW!$G244="","","OHW")</f>
        <v/>
      </c>
      <c r="C1291" s="18">
        <f>IF(OHW!$G244="","",OHW!$A244)</f>
        <v/>
      </c>
      <c r="F1291">
        <f>IF(OHW!$G244="","",OHW!$B244&amp;"")</f>
        <v/>
      </c>
      <c r="J1291">
        <f>IF(OHW!$G244="","",OHW!$E244)</f>
        <v/>
      </c>
      <c r="K1291">
        <f>IF(OHW!$G244="","",COUNTIFS(OHW!$A$5:$A$1668,OHW!$A244,OHW!$C$5:$C$1668,OHW!$C244))</f>
        <v/>
      </c>
      <c r="L1291">
        <f>IF(OHW!$G244="","",OHW!$D244&amp;"")</f>
        <v/>
      </c>
      <c r="M1291">
        <f>IF(OHW!$G244="","",OHW!$F244)</f>
        <v/>
      </c>
      <c r="N1291">
        <f>IF(OHW!$G244="","",OHW!$G244)</f>
        <v/>
      </c>
      <c r="O1291">
        <f>IF(OHW!$G244="","",OHW!$I244)</f>
        <v/>
      </c>
      <c r="P1291">
        <f>IF(OHW!$G244="","","Final")</f>
        <v/>
      </c>
    </row>
    <row r="1292">
      <c r="A1292">
        <f>IF(OHW!$G245="","","OHW")</f>
        <v/>
      </c>
      <c r="B1292">
        <f>IF(OHW!$G245="","","OHW")</f>
        <v/>
      </c>
      <c r="C1292" s="18">
        <f>IF(OHW!$G245="","",OHW!$A245)</f>
        <v/>
      </c>
      <c r="F1292">
        <f>IF(OHW!$G245="","",OHW!$B245&amp;"")</f>
        <v/>
      </c>
      <c r="J1292">
        <f>IF(OHW!$G245="","",OHW!$E245)</f>
        <v/>
      </c>
      <c r="K1292">
        <f>IF(OHW!$G245="","",COUNTIFS(OHW!$A$5:$A$1668,OHW!$A245,OHW!$C$5:$C$1668,OHW!$C245))</f>
        <v/>
      </c>
      <c r="L1292">
        <f>IF(OHW!$G245="","",OHW!$D245&amp;"")</f>
        <v/>
      </c>
      <c r="M1292">
        <f>IF(OHW!$G245="","",OHW!$F245)</f>
        <v/>
      </c>
      <c r="N1292">
        <f>IF(OHW!$G245="","",OHW!$G245)</f>
        <v/>
      </c>
      <c r="O1292">
        <f>IF(OHW!$G245="","",OHW!$I245)</f>
        <v/>
      </c>
      <c r="P1292">
        <f>IF(OHW!$G245="","","Final")</f>
        <v/>
      </c>
    </row>
    <row r="1293">
      <c r="A1293">
        <f>IF(OHW!$G246="","","OHW")</f>
        <v/>
      </c>
      <c r="B1293">
        <f>IF(OHW!$G246="","","OHW")</f>
        <v/>
      </c>
      <c r="C1293" s="18">
        <f>IF(OHW!$G246="","",OHW!$A246)</f>
        <v/>
      </c>
      <c r="F1293">
        <f>IF(OHW!$G246="","",OHW!$B246&amp;"")</f>
        <v/>
      </c>
      <c r="J1293">
        <f>IF(OHW!$G246="","",OHW!$E246)</f>
        <v/>
      </c>
      <c r="K1293">
        <f>IF(OHW!$G246="","",COUNTIFS(OHW!$A$5:$A$1668,OHW!$A246,OHW!$C$5:$C$1668,OHW!$C246))</f>
        <v/>
      </c>
      <c r="L1293">
        <f>IF(OHW!$G246="","",OHW!$D246&amp;"")</f>
        <v/>
      </c>
      <c r="M1293">
        <f>IF(OHW!$G246="","",OHW!$F246)</f>
        <v/>
      </c>
      <c r="N1293">
        <f>IF(OHW!$G246="","",OHW!$G246)</f>
        <v/>
      </c>
      <c r="O1293">
        <f>IF(OHW!$G246="","",OHW!$I246)</f>
        <v/>
      </c>
      <c r="P1293">
        <f>IF(OHW!$G246="","","Final")</f>
        <v/>
      </c>
    </row>
    <row r="1294">
      <c r="A1294">
        <f>IF(OHW!$G247="","","OHW")</f>
        <v/>
      </c>
      <c r="B1294">
        <f>IF(OHW!$G247="","","OHW")</f>
        <v/>
      </c>
      <c r="C1294" s="18">
        <f>IF(OHW!$G247="","",OHW!$A247)</f>
        <v/>
      </c>
      <c r="F1294">
        <f>IF(OHW!$G247="","",OHW!$B247&amp;"")</f>
        <v/>
      </c>
      <c r="J1294">
        <f>IF(OHW!$G247="","",OHW!$E247)</f>
        <v/>
      </c>
      <c r="K1294">
        <f>IF(OHW!$G247="","",COUNTIFS(OHW!$A$5:$A$1668,OHW!$A247,OHW!$C$5:$C$1668,OHW!$C247))</f>
        <v/>
      </c>
      <c r="L1294">
        <f>IF(OHW!$G247="","",OHW!$D247&amp;"")</f>
        <v/>
      </c>
      <c r="M1294">
        <f>IF(OHW!$G247="","",OHW!$F247)</f>
        <v/>
      </c>
      <c r="N1294">
        <f>IF(OHW!$G247="","",OHW!$G247)</f>
        <v/>
      </c>
      <c r="O1294">
        <f>IF(OHW!$G247="","",OHW!$I247)</f>
        <v/>
      </c>
      <c r="P1294">
        <f>IF(OHW!$G247="","","Final")</f>
        <v/>
      </c>
    </row>
    <row r="1295">
      <c r="A1295">
        <f>IF(OHW!$G248="","","OHW")</f>
        <v/>
      </c>
      <c r="B1295">
        <f>IF(OHW!$G248="","","OHW")</f>
        <v/>
      </c>
      <c r="C1295" s="18">
        <f>IF(OHW!$G248="","",OHW!$A248)</f>
        <v/>
      </c>
      <c r="F1295">
        <f>IF(OHW!$G248="","",OHW!$B248&amp;"")</f>
        <v/>
      </c>
      <c r="J1295">
        <f>IF(OHW!$G248="","",OHW!$E248)</f>
        <v/>
      </c>
      <c r="K1295">
        <f>IF(OHW!$G248="","",COUNTIFS(OHW!$A$5:$A$1668,OHW!$A248,OHW!$C$5:$C$1668,OHW!$C248))</f>
        <v/>
      </c>
      <c r="L1295">
        <f>IF(OHW!$G248="","",OHW!$D248&amp;"")</f>
        <v/>
      </c>
      <c r="M1295">
        <f>IF(OHW!$G248="","",OHW!$F248)</f>
        <v/>
      </c>
      <c r="N1295">
        <f>IF(OHW!$G248="","",OHW!$G248)</f>
        <v/>
      </c>
      <c r="O1295">
        <f>IF(OHW!$G248="","",OHW!$I248)</f>
        <v/>
      </c>
      <c r="P1295">
        <f>IF(OHW!$G248="","","Final")</f>
        <v/>
      </c>
    </row>
    <row r="1296">
      <c r="A1296">
        <f>IF(OHW!$G249="","","OHW")</f>
        <v/>
      </c>
      <c r="B1296">
        <f>IF(OHW!$G249="","","OHW")</f>
        <v/>
      </c>
      <c r="C1296" s="18">
        <f>IF(OHW!$G249="","",OHW!$A249)</f>
        <v/>
      </c>
      <c r="F1296">
        <f>IF(OHW!$G249="","",OHW!$B249&amp;"")</f>
        <v/>
      </c>
      <c r="J1296">
        <f>IF(OHW!$G249="","",OHW!$E249)</f>
        <v/>
      </c>
      <c r="K1296">
        <f>IF(OHW!$G249="","",COUNTIFS(OHW!$A$5:$A$1668,OHW!$A249,OHW!$C$5:$C$1668,OHW!$C249))</f>
        <v/>
      </c>
      <c r="L1296">
        <f>IF(OHW!$G249="","",OHW!$D249&amp;"")</f>
        <v/>
      </c>
      <c r="M1296">
        <f>IF(OHW!$G249="","",OHW!$F249)</f>
        <v/>
      </c>
      <c r="N1296">
        <f>IF(OHW!$G249="","",OHW!$G249)</f>
        <v/>
      </c>
      <c r="O1296">
        <f>IF(OHW!$G249="","",OHW!$I249)</f>
        <v/>
      </c>
      <c r="P1296">
        <f>IF(OHW!$G249="","","Final")</f>
        <v/>
      </c>
    </row>
    <row r="1297">
      <c r="A1297">
        <f>IF(OHW!$G250="","","OHW")</f>
        <v/>
      </c>
      <c r="B1297">
        <f>IF(OHW!$G250="","","OHW")</f>
        <v/>
      </c>
      <c r="C1297" s="18">
        <f>IF(OHW!$G250="","",OHW!$A250)</f>
        <v/>
      </c>
      <c r="F1297">
        <f>IF(OHW!$G250="","",OHW!$B250&amp;"")</f>
        <v/>
      </c>
      <c r="J1297">
        <f>IF(OHW!$G250="","",OHW!$E250)</f>
        <v/>
      </c>
      <c r="K1297">
        <f>IF(OHW!$G250="","",COUNTIFS(OHW!$A$5:$A$1668,OHW!$A250,OHW!$C$5:$C$1668,OHW!$C250))</f>
        <v/>
      </c>
      <c r="L1297">
        <f>IF(OHW!$G250="","",OHW!$D250&amp;"")</f>
        <v/>
      </c>
      <c r="M1297">
        <f>IF(OHW!$G250="","",OHW!$F250)</f>
        <v/>
      </c>
      <c r="N1297">
        <f>IF(OHW!$G250="","",OHW!$G250)</f>
        <v/>
      </c>
      <c r="O1297">
        <f>IF(OHW!$G250="","",OHW!$I250)</f>
        <v/>
      </c>
      <c r="P1297">
        <f>IF(OHW!$G250="","","Final")</f>
        <v/>
      </c>
    </row>
    <row r="1298">
      <c r="A1298">
        <f>IF(OHW!$G251="","","OHW")</f>
        <v/>
      </c>
      <c r="B1298">
        <f>IF(OHW!$G251="","","OHW")</f>
        <v/>
      </c>
      <c r="C1298" s="18">
        <f>IF(OHW!$G251="","",OHW!$A251)</f>
        <v/>
      </c>
      <c r="F1298">
        <f>IF(OHW!$G251="","",OHW!$B251&amp;"")</f>
        <v/>
      </c>
      <c r="J1298">
        <f>IF(OHW!$G251="","",OHW!$E251)</f>
        <v/>
      </c>
      <c r="K1298">
        <f>IF(OHW!$G251="","",COUNTIFS(OHW!$A$5:$A$1668,OHW!$A251,OHW!$C$5:$C$1668,OHW!$C251))</f>
        <v/>
      </c>
      <c r="L1298">
        <f>IF(OHW!$G251="","",OHW!$D251&amp;"")</f>
        <v/>
      </c>
      <c r="M1298">
        <f>IF(OHW!$G251="","",OHW!$F251)</f>
        <v/>
      </c>
      <c r="N1298">
        <f>IF(OHW!$G251="","",OHW!$G251)</f>
        <v/>
      </c>
      <c r="O1298">
        <f>IF(OHW!$G251="","",OHW!$I251)</f>
        <v/>
      </c>
      <c r="P1298">
        <f>IF(OHW!$G251="","","Final")</f>
        <v/>
      </c>
    </row>
    <row r="1299">
      <c r="A1299">
        <f>IF(OHW!$G252="","","OHW")</f>
        <v/>
      </c>
      <c r="B1299">
        <f>IF(OHW!$G252="","","OHW")</f>
        <v/>
      </c>
      <c r="C1299" s="18">
        <f>IF(OHW!$G252="","",OHW!$A252)</f>
        <v/>
      </c>
      <c r="F1299">
        <f>IF(OHW!$G252="","",OHW!$B252&amp;"")</f>
        <v/>
      </c>
      <c r="J1299">
        <f>IF(OHW!$G252="","",OHW!$E252)</f>
        <v/>
      </c>
      <c r="K1299">
        <f>IF(OHW!$G252="","",COUNTIFS(OHW!$A$5:$A$1668,OHW!$A252,OHW!$C$5:$C$1668,OHW!$C252))</f>
        <v/>
      </c>
      <c r="L1299">
        <f>IF(OHW!$G252="","",OHW!$D252&amp;"")</f>
        <v/>
      </c>
      <c r="M1299">
        <f>IF(OHW!$G252="","",OHW!$F252)</f>
        <v/>
      </c>
      <c r="N1299">
        <f>IF(OHW!$G252="","",OHW!$G252)</f>
        <v/>
      </c>
      <c r="O1299">
        <f>IF(OHW!$G252="","",OHW!$I252)</f>
        <v/>
      </c>
      <c r="P1299">
        <f>IF(OHW!$G252="","","Final")</f>
        <v/>
      </c>
    </row>
    <row r="1300">
      <c r="A1300">
        <f>IF(OHW!$G253="","","OHW")</f>
        <v/>
      </c>
      <c r="B1300">
        <f>IF(OHW!$G253="","","OHW")</f>
        <v/>
      </c>
      <c r="C1300" s="18">
        <f>IF(OHW!$G253="","",OHW!$A253)</f>
        <v/>
      </c>
      <c r="F1300">
        <f>IF(OHW!$G253="","",OHW!$B253&amp;"")</f>
        <v/>
      </c>
      <c r="J1300">
        <f>IF(OHW!$G253="","",OHW!$E253)</f>
        <v/>
      </c>
      <c r="K1300">
        <f>IF(OHW!$G253="","",COUNTIFS(OHW!$A$5:$A$1668,OHW!$A253,OHW!$C$5:$C$1668,OHW!$C253))</f>
        <v/>
      </c>
      <c r="L1300">
        <f>IF(OHW!$G253="","",OHW!$D253&amp;"")</f>
        <v/>
      </c>
      <c r="M1300">
        <f>IF(OHW!$G253="","",OHW!$F253)</f>
        <v/>
      </c>
      <c r="N1300">
        <f>IF(OHW!$G253="","",OHW!$G253)</f>
        <v/>
      </c>
      <c r="O1300">
        <f>IF(OHW!$G253="","",OHW!$I253)</f>
        <v/>
      </c>
      <c r="P1300">
        <f>IF(OHW!$G253="","","Final")</f>
        <v/>
      </c>
    </row>
    <row r="1301">
      <c r="A1301">
        <f>IF(OHW!$G254="","","OHW")</f>
        <v/>
      </c>
      <c r="B1301">
        <f>IF(OHW!$G254="","","OHW")</f>
        <v/>
      </c>
      <c r="C1301" s="18">
        <f>IF(OHW!$G254="","",OHW!$A254)</f>
        <v/>
      </c>
      <c r="F1301">
        <f>IF(OHW!$G254="","",OHW!$B254&amp;"")</f>
        <v/>
      </c>
      <c r="J1301">
        <f>IF(OHW!$G254="","",OHW!$E254)</f>
        <v/>
      </c>
      <c r="K1301">
        <f>IF(OHW!$G254="","",COUNTIFS(OHW!$A$5:$A$1668,OHW!$A254,OHW!$C$5:$C$1668,OHW!$C254))</f>
        <v/>
      </c>
      <c r="L1301">
        <f>IF(OHW!$G254="","",OHW!$D254&amp;"")</f>
        <v/>
      </c>
      <c r="M1301">
        <f>IF(OHW!$G254="","",OHW!$F254)</f>
        <v/>
      </c>
      <c r="N1301">
        <f>IF(OHW!$G254="","",OHW!$G254)</f>
        <v/>
      </c>
      <c r="O1301">
        <f>IF(OHW!$G254="","",OHW!$I254)</f>
        <v/>
      </c>
      <c r="P1301">
        <f>IF(OHW!$G254="","","Final")</f>
        <v/>
      </c>
    </row>
    <row r="1302">
      <c r="A1302">
        <f>IF(OHW!$G255="","","OHW")</f>
        <v/>
      </c>
      <c r="B1302">
        <f>IF(OHW!$G255="","","OHW")</f>
        <v/>
      </c>
      <c r="C1302" s="18">
        <f>IF(OHW!$G255="","",OHW!$A255)</f>
        <v/>
      </c>
      <c r="F1302">
        <f>IF(OHW!$G255="","",OHW!$B255&amp;"")</f>
        <v/>
      </c>
      <c r="J1302">
        <f>IF(OHW!$G255="","",OHW!$E255)</f>
        <v/>
      </c>
      <c r="K1302">
        <f>IF(OHW!$G255="","",COUNTIFS(OHW!$A$5:$A$1668,OHW!$A255,OHW!$C$5:$C$1668,OHW!$C255))</f>
        <v/>
      </c>
      <c r="L1302">
        <f>IF(OHW!$G255="","",OHW!$D255&amp;"")</f>
        <v/>
      </c>
      <c r="M1302">
        <f>IF(OHW!$G255="","",OHW!$F255)</f>
        <v/>
      </c>
      <c r="N1302">
        <f>IF(OHW!$G255="","",OHW!$G255)</f>
        <v/>
      </c>
      <c r="O1302">
        <f>IF(OHW!$G255="","",OHW!$I255)</f>
        <v/>
      </c>
      <c r="P1302">
        <f>IF(OHW!$G255="","","Final")</f>
        <v/>
      </c>
    </row>
    <row r="1303">
      <c r="A1303">
        <f>IF(OHW!$G256="","","OHW")</f>
        <v/>
      </c>
      <c r="B1303">
        <f>IF(OHW!$G256="","","OHW")</f>
        <v/>
      </c>
      <c r="C1303" s="18">
        <f>IF(OHW!$G256="","",OHW!$A256)</f>
        <v/>
      </c>
      <c r="F1303">
        <f>IF(OHW!$G256="","",OHW!$B256&amp;"")</f>
        <v/>
      </c>
      <c r="J1303">
        <f>IF(OHW!$G256="","",OHW!$E256)</f>
        <v/>
      </c>
      <c r="K1303">
        <f>IF(OHW!$G256="","",COUNTIFS(OHW!$A$5:$A$1668,OHW!$A256,OHW!$C$5:$C$1668,OHW!$C256))</f>
        <v/>
      </c>
      <c r="L1303">
        <f>IF(OHW!$G256="","",OHW!$D256&amp;"")</f>
        <v/>
      </c>
      <c r="M1303">
        <f>IF(OHW!$G256="","",OHW!$F256)</f>
        <v/>
      </c>
      <c r="N1303">
        <f>IF(OHW!$G256="","",OHW!$G256)</f>
        <v/>
      </c>
      <c r="O1303">
        <f>IF(OHW!$G256="","",OHW!$I256)</f>
        <v/>
      </c>
      <c r="P1303">
        <f>IF(OHW!$G256="","","Final")</f>
        <v/>
      </c>
    </row>
    <row r="1304">
      <c r="A1304">
        <f>IF(OHW!$G257="","","OHW")</f>
        <v/>
      </c>
      <c r="B1304">
        <f>IF(OHW!$G257="","","OHW")</f>
        <v/>
      </c>
      <c r="C1304" s="18">
        <f>IF(OHW!$G257="","",OHW!$A257)</f>
        <v/>
      </c>
      <c r="F1304">
        <f>IF(OHW!$G257="","",OHW!$B257&amp;"")</f>
        <v/>
      </c>
      <c r="J1304">
        <f>IF(OHW!$G257="","",OHW!$E257)</f>
        <v/>
      </c>
      <c r="K1304">
        <f>IF(OHW!$G257="","",COUNTIFS(OHW!$A$5:$A$1668,OHW!$A257,OHW!$C$5:$C$1668,OHW!$C257))</f>
        <v/>
      </c>
      <c r="L1304">
        <f>IF(OHW!$G257="","",OHW!$D257&amp;"")</f>
        <v/>
      </c>
      <c r="M1304">
        <f>IF(OHW!$G257="","",OHW!$F257)</f>
        <v/>
      </c>
      <c r="N1304">
        <f>IF(OHW!$G257="","",OHW!$G257)</f>
        <v/>
      </c>
      <c r="O1304">
        <f>IF(OHW!$G257="","",OHW!$I257)</f>
        <v/>
      </c>
      <c r="P1304">
        <f>IF(OHW!$G257="","","Final")</f>
        <v/>
      </c>
    </row>
    <row r="1305">
      <c r="A1305">
        <f>IF(OHW!$G258="","","OHW")</f>
        <v/>
      </c>
      <c r="B1305">
        <f>IF(OHW!$G258="","","OHW")</f>
        <v/>
      </c>
      <c r="C1305" s="18">
        <f>IF(OHW!$G258="","",OHW!$A258)</f>
        <v/>
      </c>
      <c r="F1305">
        <f>IF(OHW!$G258="","",OHW!$B258&amp;"")</f>
        <v/>
      </c>
      <c r="J1305">
        <f>IF(OHW!$G258="","",OHW!$E258)</f>
        <v/>
      </c>
      <c r="K1305">
        <f>IF(OHW!$G258="","",COUNTIFS(OHW!$A$5:$A$1668,OHW!$A258,OHW!$C$5:$C$1668,OHW!$C258))</f>
        <v/>
      </c>
      <c r="L1305">
        <f>IF(OHW!$G258="","",OHW!$D258&amp;"")</f>
        <v/>
      </c>
      <c r="M1305">
        <f>IF(OHW!$G258="","",OHW!$F258)</f>
        <v/>
      </c>
      <c r="N1305">
        <f>IF(OHW!$G258="","",OHW!$G258)</f>
        <v/>
      </c>
      <c r="O1305">
        <f>IF(OHW!$G258="","",OHW!$I258)</f>
        <v/>
      </c>
      <c r="P1305">
        <f>IF(OHW!$G258="","","Final")</f>
        <v/>
      </c>
    </row>
    <row r="1306">
      <c r="A1306">
        <f>IF(OHW!$G259="","","OHW")</f>
        <v/>
      </c>
      <c r="B1306">
        <f>IF(OHW!$G259="","","OHW")</f>
        <v/>
      </c>
      <c r="C1306" s="18">
        <f>IF(OHW!$G259="","",OHW!$A259)</f>
        <v/>
      </c>
      <c r="F1306">
        <f>IF(OHW!$G259="","",OHW!$B259&amp;"")</f>
        <v/>
      </c>
      <c r="J1306">
        <f>IF(OHW!$G259="","",OHW!$E259)</f>
        <v/>
      </c>
      <c r="K1306">
        <f>IF(OHW!$G259="","",COUNTIFS(OHW!$A$5:$A$1668,OHW!$A259,OHW!$C$5:$C$1668,OHW!$C259))</f>
        <v/>
      </c>
      <c r="L1306">
        <f>IF(OHW!$G259="","",OHW!$D259&amp;"")</f>
        <v/>
      </c>
      <c r="M1306">
        <f>IF(OHW!$G259="","",OHW!$F259)</f>
        <v/>
      </c>
      <c r="N1306">
        <f>IF(OHW!$G259="","",OHW!$G259)</f>
        <v/>
      </c>
      <c r="O1306">
        <f>IF(OHW!$G259="","",OHW!$I259)</f>
        <v/>
      </c>
      <c r="P1306">
        <f>IF(OHW!$G259="","","Final")</f>
        <v/>
      </c>
    </row>
    <row r="1307">
      <c r="A1307">
        <f>IF(OHW!$G260="","","OHW")</f>
        <v/>
      </c>
      <c r="B1307">
        <f>IF(OHW!$G260="","","OHW")</f>
        <v/>
      </c>
      <c r="C1307" s="18">
        <f>IF(OHW!$G260="","",OHW!$A260)</f>
        <v/>
      </c>
      <c r="F1307">
        <f>IF(OHW!$G260="","",OHW!$B260&amp;"")</f>
        <v/>
      </c>
      <c r="J1307">
        <f>IF(OHW!$G260="","",OHW!$E260)</f>
        <v/>
      </c>
      <c r="K1307">
        <f>IF(OHW!$G260="","",COUNTIFS(OHW!$A$5:$A$1668,OHW!$A260,OHW!$C$5:$C$1668,OHW!$C260))</f>
        <v/>
      </c>
      <c r="L1307">
        <f>IF(OHW!$G260="","",OHW!$D260&amp;"")</f>
        <v/>
      </c>
      <c r="M1307">
        <f>IF(OHW!$G260="","",OHW!$F260)</f>
        <v/>
      </c>
      <c r="N1307">
        <f>IF(OHW!$G260="","",OHW!$G260)</f>
        <v/>
      </c>
      <c r="O1307">
        <f>IF(OHW!$G260="","",OHW!$I260)</f>
        <v/>
      </c>
      <c r="P1307">
        <f>IF(OHW!$G260="","","Final")</f>
        <v/>
      </c>
    </row>
    <row r="1308">
      <c r="A1308">
        <f>IF(OHW!$G261="","","OHW")</f>
        <v/>
      </c>
      <c r="B1308">
        <f>IF(OHW!$G261="","","OHW")</f>
        <v/>
      </c>
      <c r="C1308" s="18">
        <f>IF(OHW!$G261="","",OHW!$A261)</f>
        <v/>
      </c>
      <c r="F1308">
        <f>IF(OHW!$G261="","",OHW!$B261&amp;"")</f>
        <v/>
      </c>
      <c r="J1308">
        <f>IF(OHW!$G261="","",OHW!$E261)</f>
        <v/>
      </c>
      <c r="K1308">
        <f>IF(OHW!$G261="","",COUNTIFS(OHW!$A$5:$A$1668,OHW!$A261,OHW!$C$5:$C$1668,OHW!$C261))</f>
        <v/>
      </c>
      <c r="L1308">
        <f>IF(OHW!$G261="","",OHW!$D261&amp;"")</f>
        <v/>
      </c>
      <c r="M1308">
        <f>IF(OHW!$G261="","",OHW!$F261)</f>
        <v/>
      </c>
      <c r="N1308">
        <f>IF(OHW!$G261="","",OHW!$G261)</f>
        <v/>
      </c>
      <c r="O1308">
        <f>IF(OHW!$G261="","",OHW!$I261)</f>
        <v/>
      </c>
      <c r="P1308">
        <f>IF(OHW!$G261="","","Final")</f>
        <v/>
      </c>
    </row>
    <row r="1309">
      <c r="A1309">
        <f>IF(OHW!$G262="","","OHW")</f>
        <v/>
      </c>
      <c r="B1309">
        <f>IF(OHW!$G262="","","OHW")</f>
        <v/>
      </c>
      <c r="C1309" s="18">
        <f>IF(OHW!$G262="","",OHW!$A262)</f>
        <v/>
      </c>
      <c r="F1309">
        <f>IF(OHW!$G262="","",OHW!$B262&amp;"")</f>
        <v/>
      </c>
      <c r="J1309">
        <f>IF(OHW!$G262="","",OHW!$E262)</f>
        <v/>
      </c>
      <c r="K1309">
        <f>IF(OHW!$G262="","",COUNTIFS(OHW!$A$5:$A$1668,OHW!$A262,OHW!$C$5:$C$1668,OHW!$C262))</f>
        <v/>
      </c>
      <c r="L1309">
        <f>IF(OHW!$G262="","",OHW!$D262&amp;"")</f>
        <v/>
      </c>
      <c r="M1309">
        <f>IF(OHW!$G262="","",OHW!$F262)</f>
        <v/>
      </c>
      <c r="N1309">
        <f>IF(OHW!$G262="","",OHW!$G262)</f>
        <v/>
      </c>
      <c r="O1309">
        <f>IF(OHW!$G262="","",OHW!$I262)</f>
        <v/>
      </c>
      <c r="P1309">
        <f>IF(OHW!$G262="","","Final")</f>
        <v/>
      </c>
    </row>
    <row r="1310">
      <c r="A1310">
        <f>IF(OHW!$G263="","","OHW")</f>
        <v/>
      </c>
      <c r="B1310">
        <f>IF(OHW!$G263="","","OHW")</f>
        <v/>
      </c>
      <c r="C1310" s="18">
        <f>IF(OHW!$G263="","",OHW!$A263)</f>
        <v/>
      </c>
      <c r="F1310">
        <f>IF(OHW!$G263="","",OHW!$B263&amp;"")</f>
        <v/>
      </c>
      <c r="J1310">
        <f>IF(OHW!$G263="","",OHW!$E263)</f>
        <v/>
      </c>
      <c r="K1310">
        <f>IF(OHW!$G263="","",COUNTIFS(OHW!$A$5:$A$1668,OHW!$A263,OHW!$C$5:$C$1668,OHW!$C263))</f>
        <v/>
      </c>
      <c r="L1310">
        <f>IF(OHW!$G263="","",OHW!$D263&amp;"")</f>
        <v/>
      </c>
      <c r="M1310">
        <f>IF(OHW!$G263="","",OHW!$F263)</f>
        <v/>
      </c>
      <c r="N1310">
        <f>IF(OHW!$G263="","",OHW!$G263)</f>
        <v/>
      </c>
      <c r="O1310">
        <f>IF(OHW!$G263="","",OHW!$I263)</f>
        <v/>
      </c>
      <c r="P1310">
        <f>IF(OHW!$G263="","","Final")</f>
        <v/>
      </c>
    </row>
    <row r="1311">
      <c r="A1311">
        <f>IF(OHW!$G264="","","OHW")</f>
        <v/>
      </c>
      <c r="B1311">
        <f>IF(OHW!$G264="","","OHW")</f>
        <v/>
      </c>
      <c r="C1311" s="18">
        <f>IF(OHW!$G264="","",OHW!$A264)</f>
        <v/>
      </c>
      <c r="F1311">
        <f>IF(OHW!$G264="","",OHW!$B264&amp;"")</f>
        <v/>
      </c>
      <c r="J1311">
        <f>IF(OHW!$G264="","",OHW!$E264)</f>
        <v/>
      </c>
      <c r="K1311">
        <f>IF(OHW!$G264="","",COUNTIFS(OHW!$A$5:$A$1668,OHW!$A264,OHW!$C$5:$C$1668,OHW!$C264))</f>
        <v/>
      </c>
      <c r="L1311">
        <f>IF(OHW!$G264="","",OHW!$D264&amp;"")</f>
        <v/>
      </c>
      <c r="M1311">
        <f>IF(OHW!$G264="","",OHW!$F264)</f>
        <v/>
      </c>
      <c r="N1311">
        <f>IF(OHW!$G264="","",OHW!$G264)</f>
        <v/>
      </c>
      <c r="O1311">
        <f>IF(OHW!$G264="","",OHW!$I264)</f>
        <v/>
      </c>
      <c r="P1311">
        <f>IF(OHW!$G264="","","Final")</f>
        <v/>
      </c>
    </row>
    <row r="1312">
      <c r="A1312">
        <f>IF(OHW!$G265="","","OHW")</f>
        <v/>
      </c>
      <c r="B1312">
        <f>IF(OHW!$G265="","","OHW")</f>
        <v/>
      </c>
      <c r="C1312" s="18">
        <f>IF(OHW!$G265="","",OHW!$A265)</f>
        <v/>
      </c>
      <c r="F1312">
        <f>IF(OHW!$G265="","",OHW!$B265&amp;"")</f>
        <v/>
      </c>
      <c r="J1312">
        <f>IF(OHW!$G265="","",OHW!$E265)</f>
        <v/>
      </c>
      <c r="K1312">
        <f>IF(OHW!$G265="","",COUNTIFS(OHW!$A$5:$A$1668,OHW!$A265,OHW!$C$5:$C$1668,OHW!$C265))</f>
        <v/>
      </c>
      <c r="L1312">
        <f>IF(OHW!$G265="","",OHW!$D265&amp;"")</f>
        <v/>
      </c>
      <c r="M1312">
        <f>IF(OHW!$G265="","",OHW!$F265)</f>
        <v/>
      </c>
      <c r="N1312">
        <f>IF(OHW!$G265="","",OHW!$G265)</f>
        <v/>
      </c>
      <c r="O1312">
        <f>IF(OHW!$G265="","",OHW!$I265)</f>
        <v/>
      </c>
      <c r="P1312">
        <f>IF(OHW!$G265="","","Final")</f>
        <v/>
      </c>
    </row>
    <row r="1313">
      <c r="A1313">
        <f>IF(OHW!$G266="","","OHW")</f>
        <v/>
      </c>
      <c r="B1313">
        <f>IF(OHW!$G266="","","OHW")</f>
        <v/>
      </c>
      <c r="C1313" s="18">
        <f>IF(OHW!$G266="","",OHW!$A266)</f>
        <v/>
      </c>
      <c r="F1313">
        <f>IF(OHW!$G266="","",OHW!$B266&amp;"")</f>
        <v/>
      </c>
      <c r="J1313">
        <f>IF(OHW!$G266="","",OHW!$E266)</f>
        <v/>
      </c>
      <c r="K1313">
        <f>IF(OHW!$G266="","",COUNTIFS(OHW!$A$5:$A$1668,OHW!$A266,OHW!$C$5:$C$1668,OHW!$C266))</f>
        <v/>
      </c>
      <c r="L1313">
        <f>IF(OHW!$G266="","",OHW!$D266&amp;"")</f>
        <v/>
      </c>
      <c r="M1313">
        <f>IF(OHW!$G266="","",OHW!$F266)</f>
        <v/>
      </c>
      <c r="N1313">
        <f>IF(OHW!$G266="","",OHW!$G266)</f>
        <v/>
      </c>
      <c r="O1313">
        <f>IF(OHW!$G266="","",OHW!$I266)</f>
        <v/>
      </c>
      <c r="P1313">
        <f>IF(OHW!$G266="","","Final")</f>
        <v/>
      </c>
    </row>
    <row r="1314">
      <c r="A1314">
        <f>IF(OHW!$G267="","","OHW")</f>
        <v/>
      </c>
      <c r="B1314">
        <f>IF(OHW!$G267="","","OHW")</f>
        <v/>
      </c>
      <c r="C1314" s="18">
        <f>IF(OHW!$G267="","",OHW!$A267)</f>
        <v/>
      </c>
      <c r="F1314">
        <f>IF(OHW!$G267="","",OHW!$B267&amp;"")</f>
        <v/>
      </c>
      <c r="J1314">
        <f>IF(OHW!$G267="","",OHW!$E267)</f>
        <v/>
      </c>
      <c r="K1314">
        <f>IF(OHW!$G267="","",COUNTIFS(OHW!$A$5:$A$1668,OHW!$A267,OHW!$C$5:$C$1668,OHW!$C267))</f>
        <v/>
      </c>
      <c r="L1314">
        <f>IF(OHW!$G267="","",OHW!$D267&amp;"")</f>
        <v/>
      </c>
      <c r="M1314">
        <f>IF(OHW!$G267="","",OHW!$F267)</f>
        <v/>
      </c>
      <c r="N1314">
        <f>IF(OHW!$G267="","",OHW!$G267)</f>
        <v/>
      </c>
      <c r="O1314">
        <f>IF(OHW!$G267="","",OHW!$I267)</f>
        <v/>
      </c>
      <c r="P1314">
        <f>IF(OHW!$G267="","","Final")</f>
        <v/>
      </c>
    </row>
    <row r="1315">
      <c r="A1315">
        <f>IF(OHW!$G268="","","OHW")</f>
        <v/>
      </c>
      <c r="B1315">
        <f>IF(OHW!$G268="","","OHW")</f>
        <v/>
      </c>
      <c r="C1315" s="18">
        <f>IF(OHW!$G268="","",OHW!$A268)</f>
        <v/>
      </c>
      <c r="F1315">
        <f>IF(OHW!$G268="","",OHW!$B268&amp;"")</f>
        <v/>
      </c>
      <c r="J1315">
        <f>IF(OHW!$G268="","",OHW!$E268)</f>
        <v/>
      </c>
      <c r="K1315">
        <f>IF(OHW!$G268="","",COUNTIFS(OHW!$A$5:$A$1668,OHW!$A268,OHW!$C$5:$C$1668,OHW!$C268))</f>
        <v/>
      </c>
      <c r="L1315">
        <f>IF(OHW!$G268="","",OHW!$D268&amp;"")</f>
        <v/>
      </c>
      <c r="M1315">
        <f>IF(OHW!$G268="","",OHW!$F268)</f>
        <v/>
      </c>
      <c r="N1315">
        <f>IF(OHW!$G268="","",OHW!$G268)</f>
        <v/>
      </c>
      <c r="O1315">
        <f>IF(OHW!$G268="","",OHW!$I268)</f>
        <v/>
      </c>
      <c r="P1315">
        <f>IF(OHW!$G268="","","Final")</f>
        <v/>
      </c>
    </row>
    <row r="1316">
      <c r="A1316">
        <f>IF(OHW!$G269="","","OHW")</f>
        <v/>
      </c>
      <c r="B1316">
        <f>IF(OHW!$G269="","","OHW")</f>
        <v/>
      </c>
      <c r="C1316" s="18">
        <f>IF(OHW!$G269="","",OHW!$A269)</f>
        <v/>
      </c>
      <c r="F1316">
        <f>IF(OHW!$G269="","",OHW!$B269&amp;"")</f>
        <v/>
      </c>
      <c r="J1316">
        <f>IF(OHW!$G269="","",OHW!$E269)</f>
        <v/>
      </c>
      <c r="K1316">
        <f>IF(OHW!$G269="","",COUNTIFS(OHW!$A$5:$A$1668,OHW!$A269,OHW!$C$5:$C$1668,OHW!$C269))</f>
        <v/>
      </c>
      <c r="L1316">
        <f>IF(OHW!$G269="","",OHW!$D269&amp;"")</f>
        <v/>
      </c>
      <c r="M1316">
        <f>IF(OHW!$G269="","",OHW!$F269)</f>
        <v/>
      </c>
      <c r="N1316">
        <f>IF(OHW!$G269="","",OHW!$G269)</f>
        <v/>
      </c>
      <c r="O1316">
        <f>IF(OHW!$G269="","",OHW!$I269)</f>
        <v/>
      </c>
      <c r="P1316">
        <f>IF(OHW!$G269="","","Final")</f>
        <v/>
      </c>
    </row>
    <row r="1317">
      <c r="A1317">
        <f>IF(OHW!$G270="","","OHW")</f>
        <v/>
      </c>
      <c r="B1317">
        <f>IF(OHW!$G270="","","OHW")</f>
        <v/>
      </c>
      <c r="C1317" s="18">
        <f>IF(OHW!$G270="","",OHW!$A270)</f>
        <v/>
      </c>
      <c r="F1317">
        <f>IF(OHW!$G270="","",OHW!$B270&amp;"")</f>
        <v/>
      </c>
      <c r="J1317">
        <f>IF(OHW!$G270="","",OHW!$E270)</f>
        <v/>
      </c>
      <c r="K1317">
        <f>IF(OHW!$G270="","",COUNTIFS(OHW!$A$5:$A$1668,OHW!$A270,OHW!$C$5:$C$1668,OHW!$C270))</f>
        <v/>
      </c>
      <c r="L1317">
        <f>IF(OHW!$G270="","",OHW!$D270&amp;"")</f>
        <v/>
      </c>
      <c r="M1317">
        <f>IF(OHW!$G270="","",OHW!$F270)</f>
        <v/>
      </c>
      <c r="N1317">
        <f>IF(OHW!$G270="","",OHW!$G270)</f>
        <v/>
      </c>
      <c r="O1317">
        <f>IF(OHW!$G270="","",OHW!$I270)</f>
        <v/>
      </c>
      <c r="P1317">
        <f>IF(OHW!$G270="","","Final")</f>
        <v/>
      </c>
    </row>
    <row r="1318">
      <c r="A1318">
        <f>IF(OHW!$G271="","","OHW")</f>
        <v/>
      </c>
      <c r="B1318">
        <f>IF(OHW!$G271="","","OHW")</f>
        <v/>
      </c>
      <c r="C1318" s="18">
        <f>IF(OHW!$G271="","",OHW!$A271)</f>
        <v/>
      </c>
      <c r="F1318">
        <f>IF(OHW!$G271="","",OHW!$B271&amp;"")</f>
        <v/>
      </c>
      <c r="J1318">
        <f>IF(OHW!$G271="","",OHW!$E271)</f>
        <v/>
      </c>
      <c r="K1318">
        <f>IF(OHW!$G271="","",COUNTIFS(OHW!$A$5:$A$1668,OHW!$A271,OHW!$C$5:$C$1668,OHW!$C271))</f>
        <v/>
      </c>
      <c r="L1318">
        <f>IF(OHW!$G271="","",OHW!$D271&amp;"")</f>
        <v/>
      </c>
      <c r="M1318">
        <f>IF(OHW!$G271="","",OHW!$F271)</f>
        <v/>
      </c>
      <c r="N1318">
        <f>IF(OHW!$G271="","",OHW!$G271)</f>
        <v/>
      </c>
      <c r="O1318">
        <f>IF(OHW!$G271="","",OHW!$I271)</f>
        <v/>
      </c>
      <c r="P1318">
        <f>IF(OHW!$G271="","","Final")</f>
        <v/>
      </c>
    </row>
    <row r="1319">
      <c r="A1319">
        <f>IF(OHW!$G272="","","OHW")</f>
        <v/>
      </c>
      <c r="B1319">
        <f>IF(OHW!$G272="","","OHW")</f>
        <v/>
      </c>
      <c r="C1319" s="18">
        <f>IF(OHW!$G272="","",OHW!$A272)</f>
        <v/>
      </c>
      <c r="F1319">
        <f>IF(OHW!$G272="","",OHW!$B272&amp;"")</f>
        <v/>
      </c>
      <c r="J1319">
        <f>IF(OHW!$G272="","",OHW!$E272)</f>
        <v/>
      </c>
      <c r="K1319">
        <f>IF(OHW!$G272="","",COUNTIFS(OHW!$A$5:$A$1668,OHW!$A272,OHW!$C$5:$C$1668,OHW!$C272))</f>
        <v/>
      </c>
      <c r="L1319">
        <f>IF(OHW!$G272="","",OHW!$D272&amp;"")</f>
        <v/>
      </c>
      <c r="M1319">
        <f>IF(OHW!$G272="","",OHW!$F272)</f>
        <v/>
      </c>
      <c r="N1319">
        <f>IF(OHW!$G272="","",OHW!$G272)</f>
        <v/>
      </c>
      <c r="O1319">
        <f>IF(OHW!$G272="","",OHW!$I272)</f>
        <v/>
      </c>
      <c r="P1319">
        <f>IF(OHW!$G272="","","Final")</f>
        <v/>
      </c>
    </row>
    <row r="1320">
      <c r="A1320">
        <f>IF(OHW!$G273="","","OHW")</f>
        <v/>
      </c>
      <c r="B1320">
        <f>IF(OHW!$G273="","","OHW")</f>
        <v/>
      </c>
      <c r="C1320" s="18">
        <f>IF(OHW!$G273="","",OHW!$A273)</f>
        <v/>
      </c>
      <c r="F1320">
        <f>IF(OHW!$G273="","",OHW!$B273&amp;"")</f>
        <v/>
      </c>
      <c r="J1320">
        <f>IF(OHW!$G273="","",OHW!$E273)</f>
        <v/>
      </c>
      <c r="K1320">
        <f>IF(OHW!$G273="","",COUNTIFS(OHW!$A$5:$A$1668,OHW!$A273,OHW!$C$5:$C$1668,OHW!$C273))</f>
        <v/>
      </c>
      <c r="L1320">
        <f>IF(OHW!$G273="","",OHW!$D273&amp;"")</f>
        <v/>
      </c>
      <c r="M1320">
        <f>IF(OHW!$G273="","",OHW!$F273)</f>
        <v/>
      </c>
      <c r="N1320">
        <f>IF(OHW!$G273="","",OHW!$G273)</f>
        <v/>
      </c>
      <c r="O1320">
        <f>IF(OHW!$G273="","",OHW!$I273)</f>
        <v/>
      </c>
      <c r="P1320">
        <f>IF(OHW!$G273="","","Final")</f>
        <v/>
      </c>
    </row>
    <row r="1321">
      <c r="A1321">
        <f>IF(OHW!$G274="","","OHW")</f>
        <v/>
      </c>
      <c r="B1321">
        <f>IF(OHW!$G274="","","OHW")</f>
        <v/>
      </c>
      <c r="C1321" s="18">
        <f>IF(OHW!$G274="","",OHW!$A274)</f>
        <v/>
      </c>
      <c r="F1321">
        <f>IF(OHW!$G274="","",OHW!$B274&amp;"")</f>
        <v/>
      </c>
      <c r="J1321">
        <f>IF(OHW!$G274="","",OHW!$E274)</f>
        <v/>
      </c>
      <c r="K1321">
        <f>IF(OHW!$G274="","",COUNTIFS(OHW!$A$5:$A$1668,OHW!$A274,OHW!$C$5:$C$1668,OHW!$C274))</f>
        <v/>
      </c>
      <c r="L1321">
        <f>IF(OHW!$G274="","",OHW!$D274&amp;"")</f>
        <v/>
      </c>
      <c r="M1321">
        <f>IF(OHW!$G274="","",OHW!$F274)</f>
        <v/>
      </c>
      <c r="N1321">
        <f>IF(OHW!$G274="","",OHW!$G274)</f>
        <v/>
      </c>
      <c r="O1321">
        <f>IF(OHW!$G274="","",OHW!$I274)</f>
        <v/>
      </c>
      <c r="P1321">
        <f>IF(OHW!$G274="","","Final")</f>
        <v/>
      </c>
    </row>
    <row r="1322">
      <c r="A1322">
        <f>IF(OHW!$G275="","","OHW")</f>
        <v/>
      </c>
      <c r="B1322">
        <f>IF(OHW!$G275="","","OHW")</f>
        <v/>
      </c>
      <c r="C1322" s="18">
        <f>IF(OHW!$G275="","",OHW!$A275)</f>
        <v/>
      </c>
      <c r="F1322">
        <f>IF(OHW!$G275="","",OHW!$B275&amp;"")</f>
        <v/>
      </c>
      <c r="J1322">
        <f>IF(OHW!$G275="","",OHW!$E275)</f>
        <v/>
      </c>
      <c r="K1322">
        <f>IF(OHW!$G275="","",COUNTIFS(OHW!$A$5:$A$1668,OHW!$A275,OHW!$C$5:$C$1668,OHW!$C275))</f>
        <v/>
      </c>
      <c r="L1322">
        <f>IF(OHW!$G275="","",OHW!$D275&amp;"")</f>
        <v/>
      </c>
      <c r="M1322">
        <f>IF(OHW!$G275="","",OHW!$F275)</f>
        <v/>
      </c>
      <c r="N1322">
        <f>IF(OHW!$G275="","",OHW!$G275)</f>
        <v/>
      </c>
      <c r="O1322">
        <f>IF(OHW!$G275="","",OHW!$I275)</f>
        <v/>
      </c>
      <c r="P1322">
        <f>IF(OHW!$G275="","","Final")</f>
        <v/>
      </c>
    </row>
    <row r="1323">
      <c r="A1323">
        <f>IF(OHW!$G276="","","OHW")</f>
        <v/>
      </c>
      <c r="B1323">
        <f>IF(OHW!$G276="","","OHW")</f>
        <v/>
      </c>
      <c r="C1323" s="18">
        <f>IF(OHW!$G276="","",OHW!$A276)</f>
        <v/>
      </c>
      <c r="F1323">
        <f>IF(OHW!$G276="","",OHW!$B276&amp;"")</f>
        <v/>
      </c>
      <c r="J1323">
        <f>IF(OHW!$G276="","",OHW!$E276)</f>
        <v/>
      </c>
      <c r="K1323">
        <f>IF(OHW!$G276="","",COUNTIFS(OHW!$A$5:$A$1668,OHW!$A276,OHW!$C$5:$C$1668,OHW!$C276))</f>
        <v/>
      </c>
      <c r="L1323">
        <f>IF(OHW!$G276="","",OHW!$D276&amp;"")</f>
        <v/>
      </c>
      <c r="M1323">
        <f>IF(OHW!$G276="","",OHW!$F276)</f>
        <v/>
      </c>
      <c r="N1323">
        <f>IF(OHW!$G276="","",OHW!$G276)</f>
        <v/>
      </c>
      <c r="O1323">
        <f>IF(OHW!$G276="","",OHW!$I276)</f>
        <v/>
      </c>
      <c r="P1323">
        <f>IF(OHW!$G276="","","Final")</f>
        <v/>
      </c>
    </row>
    <row r="1324">
      <c r="A1324">
        <f>IF(OHW!$G277="","","OHW")</f>
        <v/>
      </c>
      <c r="B1324">
        <f>IF(OHW!$G277="","","OHW")</f>
        <v/>
      </c>
      <c r="C1324" s="18">
        <f>IF(OHW!$G277="","",OHW!$A277)</f>
        <v/>
      </c>
      <c r="F1324">
        <f>IF(OHW!$G277="","",OHW!$B277&amp;"")</f>
        <v/>
      </c>
      <c r="J1324">
        <f>IF(OHW!$G277="","",OHW!$E277)</f>
        <v/>
      </c>
      <c r="K1324">
        <f>IF(OHW!$G277="","",COUNTIFS(OHW!$A$5:$A$1668,OHW!$A277,OHW!$C$5:$C$1668,OHW!$C277))</f>
        <v/>
      </c>
      <c r="L1324">
        <f>IF(OHW!$G277="","",OHW!$D277&amp;"")</f>
        <v/>
      </c>
      <c r="M1324">
        <f>IF(OHW!$G277="","",OHW!$F277)</f>
        <v/>
      </c>
      <c r="N1324">
        <f>IF(OHW!$G277="","",OHW!$G277)</f>
        <v/>
      </c>
      <c r="O1324">
        <f>IF(OHW!$G277="","",OHW!$I277)</f>
        <v/>
      </c>
      <c r="P1324">
        <f>IF(OHW!$G277="","","Final")</f>
        <v/>
      </c>
    </row>
    <row r="1325">
      <c r="A1325">
        <f>IF(OHW!$G278="","","OHW")</f>
        <v/>
      </c>
      <c r="B1325">
        <f>IF(OHW!$G278="","","OHW")</f>
        <v/>
      </c>
      <c r="C1325" s="18">
        <f>IF(OHW!$G278="","",OHW!$A278)</f>
        <v/>
      </c>
      <c r="F1325">
        <f>IF(OHW!$G278="","",OHW!$B278&amp;"")</f>
        <v/>
      </c>
      <c r="J1325">
        <f>IF(OHW!$G278="","",OHW!$E278)</f>
        <v/>
      </c>
      <c r="K1325">
        <f>IF(OHW!$G278="","",COUNTIFS(OHW!$A$5:$A$1668,OHW!$A278,OHW!$C$5:$C$1668,OHW!$C278))</f>
        <v/>
      </c>
      <c r="L1325">
        <f>IF(OHW!$G278="","",OHW!$D278&amp;"")</f>
        <v/>
      </c>
      <c r="M1325">
        <f>IF(OHW!$G278="","",OHW!$F278)</f>
        <v/>
      </c>
      <c r="N1325">
        <f>IF(OHW!$G278="","",OHW!$G278)</f>
        <v/>
      </c>
      <c r="O1325">
        <f>IF(OHW!$G278="","",OHW!$I278)</f>
        <v/>
      </c>
      <c r="P1325">
        <f>IF(OHW!$G278="","","Final")</f>
        <v/>
      </c>
    </row>
    <row r="1326">
      <c r="A1326">
        <f>IF(OHW!$G279="","","OHW")</f>
        <v/>
      </c>
      <c r="B1326">
        <f>IF(OHW!$G279="","","OHW")</f>
        <v/>
      </c>
      <c r="C1326" s="18">
        <f>IF(OHW!$G279="","",OHW!$A279)</f>
        <v/>
      </c>
      <c r="F1326">
        <f>IF(OHW!$G279="","",OHW!$B279&amp;"")</f>
        <v/>
      </c>
      <c r="J1326">
        <f>IF(OHW!$G279="","",OHW!$E279)</f>
        <v/>
      </c>
      <c r="K1326">
        <f>IF(OHW!$G279="","",COUNTIFS(OHW!$A$5:$A$1668,OHW!$A279,OHW!$C$5:$C$1668,OHW!$C279))</f>
        <v/>
      </c>
      <c r="L1326">
        <f>IF(OHW!$G279="","",OHW!$D279&amp;"")</f>
        <v/>
      </c>
      <c r="M1326">
        <f>IF(OHW!$G279="","",OHW!$F279)</f>
        <v/>
      </c>
      <c r="N1326">
        <f>IF(OHW!$G279="","",OHW!$G279)</f>
        <v/>
      </c>
      <c r="O1326">
        <f>IF(OHW!$G279="","",OHW!$I279)</f>
        <v/>
      </c>
      <c r="P1326">
        <f>IF(OHW!$G279="","","Final")</f>
        <v/>
      </c>
    </row>
    <row r="1327">
      <c r="A1327">
        <f>IF(OHW!$G280="","","OHW")</f>
        <v/>
      </c>
      <c r="B1327">
        <f>IF(OHW!$G280="","","OHW")</f>
        <v/>
      </c>
      <c r="C1327" s="18">
        <f>IF(OHW!$G280="","",OHW!$A280)</f>
        <v/>
      </c>
      <c r="F1327">
        <f>IF(OHW!$G280="","",OHW!$B280&amp;"")</f>
        <v/>
      </c>
      <c r="J1327">
        <f>IF(OHW!$G280="","",OHW!$E280)</f>
        <v/>
      </c>
      <c r="K1327">
        <f>IF(OHW!$G280="","",COUNTIFS(OHW!$A$5:$A$1668,OHW!$A280,OHW!$C$5:$C$1668,OHW!$C280))</f>
        <v/>
      </c>
      <c r="L1327">
        <f>IF(OHW!$G280="","",OHW!$D280&amp;"")</f>
        <v/>
      </c>
      <c r="M1327">
        <f>IF(OHW!$G280="","",OHW!$F280)</f>
        <v/>
      </c>
      <c r="N1327">
        <f>IF(OHW!$G280="","",OHW!$G280)</f>
        <v/>
      </c>
      <c r="O1327">
        <f>IF(OHW!$G280="","",OHW!$I280)</f>
        <v/>
      </c>
      <c r="P1327">
        <f>IF(OHW!$G280="","","Final")</f>
        <v/>
      </c>
    </row>
    <row r="1328">
      <c r="A1328">
        <f>IF(OHW!$G281="","","OHW")</f>
        <v/>
      </c>
      <c r="B1328">
        <f>IF(OHW!$G281="","","OHW")</f>
        <v/>
      </c>
      <c r="C1328" s="18">
        <f>IF(OHW!$G281="","",OHW!$A281)</f>
        <v/>
      </c>
      <c r="F1328">
        <f>IF(OHW!$G281="","",OHW!$B281&amp;"")</f>
        <v/>
      </c>
      <c r="J1328">
        <f>IF(OHW!$G281="","",OHW!$E281)</f>
        <v/>
      </c>
      <c r="K1328">
        <f>IF(OHW!$G281="","",COUNTIFS(OHW!$A$5:$A$1668,OHW!$A281,OHW!$C$5:$C$1668,OHW!$C281))</f>
        <v/>
      </c>
      <c r="L1328">
        <f>IF(OHW!$G281="","",OHW!$D281&amp;"")</f>
        <v/>
      </c>
      <c r="M1328">
        <f>IF(OHW!$G281="","",OHW!$F281)</f>
        <v/>
      </c>
      <c r="N1328">
        <f>IF(OHW!$G281="","",OHW!$G281)</f>
        <v/>
      </c>
      <c r="O1328">
        <f>IF(OHW!$G281="","",OHW!$I281)</f>
        <v/>
      </c>
      <c r="P1328">
        <f>IF(OHW!$G281="","","Final")</f>
        <v/>
      </c>
    </row>
    <row r="1329">
      <c r="A1329">
        <f>IF(OHW!$G282="","","OHW")</f>
        <v/>
      </c>
      <c r="B1329">
        <f>IF(OHW!$G282="","","OHW")</f>
        <v/>
      </c>
      <c r="C1329" s="18">
        <f>IF(OHW!$G282="","",OHW!$A282)</f>
        <v/>
      </c>
      <c r="F1329">
        <f>IF(OHW!$G282="","",OHW!$B282&amp;"")</f>
        <v/>
      </c>
      <c r="J1329">
        <f>IF(OHW!$G282="","",OHW!$E282)</f>
        <v/>
      </c>
      <c r="K1329">
        <f>IF(OHW!$G282="","",COUNTIFS(OHW!$A$5:$A$1668,OHW!$A282,OHW!$C$5:$C$1668,OHW!$C282))</f>
        <v/>
      </c>
      <c r="L1329">
        <f>IF(OHW!$G282="","",OHW!$D282&amp;"")</f>
        <v/>
      </c>
      <c r="M1329">
        <f>IF(OHW!$G282="","",OHW!$F282)</f>
        <v/>
      </c>
      <c r="N1329">
        <f>IF(OHW!$G282="","",OHW!$G282)</f>
        <v/>
      </c>
      <c r="O1329">
        <f>IF(OHW!$G282="","",OHW!$I282)</f>
        <v/>
      </c>
      <c r="P1329">
        <f>IF(OHW!$G282="","","Final")</f>
        <v/>
      </c>
    </row>
    <row r="1330">
      <c r="A1330">
        <f>IF(OHW!$G283="","","OHW")</f>
        <v/>
      </c>
      <c r="B1330">
        <f>IF(OHW!$G283="","","OHW")</f>
        <v/>
      </c>
      <c r="C1330" s="18">
        <f>IF(OHW!$G283="","",OHW!$A283)</f>
        <v/>
      </c>
      <c r="F1330">
        <f>IF(OHW!$G283="","",OHW!$B283&amp;"")</f>
        <v/>
      </c>
      <c r="J1330">
        <f>IF(OHW!$G283="","",OHW!$E283)</f>
        <v/>
      </c>
      <c r="K1330">
        <f>IF(OHW!$G283="","",COUNTIFS(OHW!$A$5:$A$1668,OHW!$A283,OHW!$C$5:$C$1668,OHW!$C283))</f>
        <v/>
      </c>
      <c r="L1330">
        <f>IF(OHW!$G283="","",OHW!$D283&amp;"")</f>
        <v/>
      </c>
      <c r="M1330">
        <f>IF(OHW!$G283="","",OHW!$F283)</f>
        <v/>
      </c>
      <c r="N1330">
        <f>IF(OHW!$G283="","",OHW!$G283)</f>
        <v/>
      </c>
      <c r="O1330">
        <f>IF(OHW!$G283="","",OHW!$I283)</f>
        <v/>
      </c>
      <c r="P1330">
        <f>IF(OHW!$G283="","","Final")</f>
        <v/>
      </c>
    </row>
    <row r="1331">
      <c r="A1331">
        <f>IF(OHW!$G284="","","OHW")</f>
        <v/>
      </c>
      <c r="B1331">
        <f>IF(OHW!$G284="","","OHW")</f>
        <v/>
      </c>
      <c r="C1331" s="18">
        <f>IF(OHW!$G284="","",OHW!$A284)</f>
        <v/>
      </c>
      <c r="F1331">
        <f>IF(OHW!$G284="","",OHW!$B284&amp;"")</f>
        <v/>
      </c>
      <c r="J1331">
        <f>IF(OHW!$G284="","",OHW!$E284)</f>
        <v/>
      </c>
      <c r="K1331">
        <f>IF(OHW!$G284="","",COUNTIFS(OHW!$A$5:$A$1668,OHW!$A284,OHW!$C$5:$C$1668,OHW!$C284))</f>
        <v/>
      </c>
      <c r="L1331">
        <f>IF(OHW!$G284="","",OHW!$D284&amp;"")</f>
        <v/>
      </c>
      <c r="M1331">
        <f>IF(OHW!$G284="","",OHW!$F284)</f>
        <v/>
      </c>
      <c r="N1331">
        <f>IF(OHW!$G284="","",OHW!$G284)</f>
        <v/>
      </c>
      <c r="O1331">
        <f>IF(OHW!$G284="","",OHW!$I284)</f>
        <v/>
      </c>
      <c r="P1331">
        <f>IF(OHW!$G284="","","Final")</f>
        <v/>
      </c>
    </row>
    <row r="1332">
      <c r="A1332">
        <f>IF(OHW!$G285="","","OHW")</f>
        <v/>
      </c>
      <c r="B1332">
        <f>IF(OHW!$G285="","","OHW")</f>
        <v/>
      </c>
      <c r="C1332" s="18">
        <f>IF(OHW!$G285="","",OHW!$A285)</f>
        <v/>
      </c>
      <c r="F1332">
        <f>IF(OHW!$G285="","",OHW!$B285&amp;"")</f>
        <v/>
      </c>
      <c r="J1332">
        <f>IF(OHW!$G285="","",OHW!$E285)</f>
        <v/>
      </c>
      <c r="K1332">
        <f>IF(OHW!$G285="","",COUNTIFS(OHW!$A$5:$A$1668,OHW!$A285,OHW!$C$5:$C$1668,OHW!$C285))</f>
        <v/>
      </c>
      <c r="L1332">
        <f>IF(OHW!$G285="","",OHW!$D285&amp;"")</f>
        <v/>
      </c>
      <c r="M1332">
        <f>IF(OHW!$G285="","",OHW!$F285)</f>
        <v/>
      </c>
      <c r="N1332">
        <f>IF(OHW!$G285="","",OHW!$G285)</f>
        <v/>
      </c>
      <c r="O1332">
        <f>IF(OHW!$G285="","",OHW!$I285)</f>
        <v/>
      </c>
      <c r="P1332">
        <f>IF(OHW!$G285="","","Final")</f>
        <v/>
      </c>
    </row>
    <row r="1333">
      <c r="A1333">
        <f>IF(OHW!$G286="","","OHW")</f>
        <v/>
      </c>
      <c r="B1333">
        <f>IF(OHW!$G286="","","OHW")</f>
        <v/>
      </c>
      <c r="C1333" s="18">
        <f>IF(OHW!$G286="","",OHW!$A286)</f>
        <v/>
      </c>
      <c r="F1333">
        <f>IF(OHW!$G286="","",OHW!$B286&amp;"")</f>
        <v/>
      </c>
      <c r="J1333">
        <f>IF(OHW!$G286="","",OHW!$E286)</f>
        <v/>
      </c>
      <c r="K1333">
        <f>IF(OHW!$G286="","",COUNTIFS(OHW!$A$5:$A$1668,OHW!$A286,OHW!$C$5:$C$1668,OHW!$C286))</f>
        <v/>
      </c>
      <c r="L1333">
        <f>IF(OHW!$G286="","",OHW!$D286&amp;"")</f>
        <v/>
      </c>
      <c r="M1333">
        <f>IF(OHW!$G286="","",OHW!$F286)</f>
        <v/>
      </c>
      <c r="N1333">
        <f>IF(OHW!$G286="","",OHW!$G286)</f>
        <v/>
      </c>
      <c r="O1333">
        <f>IF(OHW!$G286="","",OHW!$I286)</f>
        <v/>
      </c>
      <c r="P1333">
        <f>IF(OHW!$G286="","","Final")</f>
        <v/>
      </c>
    </row>
    <row r="1334">
      <c r="A1334">
        <f>IF(OHW!$G287="","","OHW")</f>
        <v/>
      </c>
      <c r="B1334">
        <f>IF(OHW!$G287="","","OHW")</f>
        <v/>
      </c>
      <c r="C1334" s="18">
        <f>IF(OHW!$G287="","",OHW!$A287)</f>
        <v/>
      </c>
      <c r="F1334">
        <f>IF(OHW!$G287="","",OHW!$B287&amp;"")</f>
        <v/>
      </c>
      <c r="J1334">
        <f>IF(OHW!$G287="","",OHW!$E287)</f>
        <v/>
      </c>
      <c r="K1334">
        <f>IF(OHW!$G287="","",COUNTIFS(OHW!$A$5:$A$1668,OHW!$A287,OHW!$C$5:$C$1668,OHW!$C287))</f>
        <v/>
      </c>
      <c r="L1334">
        <f>IF(OHW!$G287="","",OHW!$D287&amp;"")</f>
        <v/>
      </c>
      <c r="M1334">
        <f>IF(OHW!$G287="","",OHW!$F287)</f>
        <v/>
      </c>
      <c r="N1334">
        <f>IF(OHW!$G287="","",OHW!$G287)</f>
        <v/>
      </c>
      <c r="O1334">
        <f>IF(OHW!$G287="","",OHW!$I287)</f>
        <v/>
      </c>
      <c r="P1334">
        <f>IF(OHW!$G287="","","Final")</f>
        <v/>
      </c>
    </row>
    <row r="1335">
      <c r="A1335">
        <f>IF(OHW!$G288="","","OHW")</f>
        <v/>
      </c>
      <c r="B1335">
        <f>IF(OHW!$G288="","","OHW")</f>
        <v/>
      </c>
      <c r="C1335" s="18">
        <f>IF(OHW!$G288="","",OHW!$A288)</f>
        <v/>
      </c>
      <c r="F1335">
        <f>IF(OHW!$G288="","",OHW!$B288&amp;"")</f>
        <v/>
      </c>
      <c r="J1335">
        <f>IF(OHW!$G288="","",OHW!$E288)</f>
        <v/>
      </c>
      <c r="K1335">
        <f>IF(OHW!$G288="","",COUNTIFS(OHW!$A$5:$A$1668,OHW!$A288,OHW!$C$5:$C$1668,OHW!$C288))</f>
        <v/>
      </c>
      <c r="L1335">
        <f>IF(OHW!$G288="","",OHW!$D288&amp;"")</f>
        <v/>
      </c>
      <c r="M1335">
        <f>IF(OHW!$G288="","",OHW!$F288)</f>
        <v/>
      </c>
      <c r="N1335">
        <f>IF(OHW!$G288="","",OHW!$G288)</f>
        <v/>
      </c>
      <c r="O1335">
        <f>IF(OHW!$G288="","",OHW!$I288)</f>
        <v/>
      </c>
      <c r="P1335">
        <f>IF(OHW!$G288="","","Final")</f>
        <v/>
      </c>
    </row>
    <row r="1336">
      <c r="A1336">
        <f>IF(OHW!$G289="","","OHW")</f>
        <v/>
      </c>
      <c r="B1336">
        <f>IF(OHW!$G289="","","OHW")</f>
        <v/>
      </c>
      <c r="C1336" s="18">
        <f>IF(OHW!$G289="","",OHW!$A289)</f>
        <v/>
      </c>
      <c r="F1336">
        <f>IF(OHW!$G289="","",OHW!$B289&amp;"")</f>
        <v/>
      </c>
      <c r="J1336">
        <f>IF(OHW!$G289="","",OHW!$E289)</f>
        <v/>
      </c>
      <c r="K1336">
        <f>IF(OHW!$G289="","",COUNTIFS(OHW!$A$5:$A$1668,OHW!$A289,OHW!$C$5:$C$1668,OHW!$C289))</f>
        <v/>
      </c>
      <c r="L1336">
        <f>IF(OHW!$G289="","",OHW!$D289&amp;"")</f>
        <v/>
      </c>
      <c r="M1336">
        <f>IF(OHW!$G289="","",OHW!$F289)</f>
        <v/>
      </c>
      <c r="N1336">
        <f>IF(OHW!$G289="","",OHW!$G289)</f>
        <v/>
      </c>
      <c r="O1336">
        <f>IF(OHW!$G289="","",OHW!$I289)</f>
        <v/>
      </c>
      <c r="P1336">
        <f>IF(OHW!$G289="","","Final")</f>
        <v/>
      </c>
    </row>
    <row r="1337">
      <c r="A1337">
        <f>IF(OHW!$G290="","","OHW")</f>
        <v/>
      </c>
      <c r="B1337">
        <f>IF(OHW!$G290="","","OHW")</f>
        <v/>
      </c>
      <c r="C1337" s="18">
        <f>IF(OHW!$G290="","",OHW!$A290)</f>
        <v/>
      </c>
      <c r="F1337">
        <f>IF(OHW!$G290="","",OHW!$B290&amp;"")</f>
        <v/>
      </c>
      <c r="J1337">
        <f>IF(OHW!$G290="","",OHW!$E290)</f>
        <v/>
      </c>
      <c r="K1337">
        <f>IF(OHW!$G290="","",COUNTIFS(OHW!$A$5:$A$1668,OHW!$A290,OHW!$C$5:$C$1668,OHW!$C290))</f>
        <v/>
      </c>
      <c r="L1337">
        <f>IF(OHW!$G290="","",OHW!$D290&amp;"")</f>
        <v/>
      </c>
      <c r="M1337">
        <f>IF(OHW!$G290="","",OHW!$F290)</f>
        <v/>
      </c>
      <c r="N1337">
        <f>IF(OHW!$G290="","",OHW!$G290)</f>
        <v/>
      </c>
      <c r="O1337">
        <f>IF(OHW!$G290="","",OHW!$I290)</f>
        <v/>
      </c>
      <c r="P1337">
        <f>IF(OHW!$G290="","","Final")</f>
        <v/>
      </c>
    </row>
    <row r="1338">
      <c r="A1338">
        <f>IF(OHW!$G291="","","OHW")</f>
        <v/>
      </c>
      <c r="B1338">
        <f>IF(OHW!$G291="","","OHW")</f>
        <v/>
      </c>
      <c r="C1338" s="18">
        <f>IF(OHW!$G291="","",OHW!$A291)</f>
        <v/>
      </c>
      <c r="F1338">
        <f>IF(OHW!$G291="","",OHW!$B291&amp;"")</f>
        <v/>
      </c>
      <c r="J1338">
        <f>IF(OHW!$G291="","",OHW!$E291)</f>
        <v/>
      </c>
      <c r="K1338">
        <f>IF(OHW!$G291="","",COUNTIFS(OHW!$A$5:$A$1668,OHW!$A291,OHW!$C$5:$C$1668,OHW!$C291))</f>
        <v/>
      </c>
      <c r="L1338">
        <f>IF(OHW!$G291="","",OHW!$D291&amp;"")</f>
        <v/>
      </c>
      <c r="M1338">
        <f>IF(OHW!$G291="","",OHW!$F291)</f>
        <v/>
      </c>
      <c r="N1338">
        <f>IF(OHW!$G291="","",OHW!$G291)</f>
        <v/>
      </c>
      <c r="O1338">
        <f>IF(OHW!$G291="","",OHW!$I291)</f>
        <v/>
      </c>
      <c r="P1338">
        <f>IF(OHW!$G291="","","Final")</f>
        <v/>
      </c>
    </row>
    <row r="1339">
      <c r="A1339">
        <f>IF(OHW!$G292="","","OHW")</f>
        <v/>
      </c>
      <c r="B1339">
        <f>IF(OHW!$G292="","","OHW")</f>
        <v/>
      </c>
      <c r="C1339" s="18">
        <f>IF(OHW!$G292="","",OHW!$A292)</f>
        <v/>
      </c>
      <c r="F1339">
        <f>IF(OHW!$G292="","",OHW!$B292&amp;"")</f>
        <v/>
      </c>
      <c r="J1339">
        <f>IF(OHW!$G292="","",OHW!$E292)</f>
        <v/>
      </c>
      <c r="K1339">
        <f>IF(OHW!$G292="","",COUNTIFS(OHW!$A$5:$A$1668,OHW!$A292,OHW!$C$5:$C$1668,OHW!$C292))</f>
        <v/>
      </c>
      <c r="L1339">
        <f>IF(OHW!$G292="","",OHW!$D292&amp;"")</f>
        <v/>
      </c>
      <c r="M1339">
        <f>IF(OHW!$G292="","",OHW!$F292)</f>
        <v/>
      </c>
      <c r="N1339">
        <f>IF(OHW!$G292="","",OHW!$G292)</f>
        <v/>
      </c>
      <c r="O1339">
        <f>IF(OHW!$G292="","",OHW!$I292)</f>
        <v/>
      </c>
      <c r="P1339">
        <f>IF(OHW!$G292="","","Final")</f>
        <v/>
      </c>
    </row>
    <row r="1340">
      <c r="A1340">
        <f>IF(OHW!$G293="","","OHW")</f>
        <v/>
      </c>
      <c r="B1340">
        <f>IF(OHW!$G293="","","OHW")</f>
        <v/>
      </c>
      <c r="C1340" s="18">
        <f>IF(OHW!$G293="","",OHW!$A293)</f>
        <v/>
      </c>
      <c r="F1340">
        <f>IF(OHW!$G293="","",OHW!$B293&amp;"")</f>
        <v/>
      </c>
      <c r="J1340">
        <f>IF(OHW!$G293="","",OHW!$E293)</f>
        <v/>
      </c>
      <c r="K1340">
        <f>IF(OHW!$G293="","",COUNTIFS(OHW!$A$5:$A$1668,OHW!$A293,OHW!$C$5:$C$1668,OHW!$C293))</f>
        <v/>
      </c>
      <c r="L1340">
        <f>IF(OHW!$G293="","",OHW!$D293&amp;"")</f>
        <v/>
      </c>
      <c r="M1340">
        <f>IF(OHW!$G293="","",OHW!$F293)</f>
        <v/>
      </c>
      <c r="N1340">
        <f>IF(OHW!$G293="","",OHW!$G293)</f>
        <v/>
      </c>
      <c r="O1340">
        <f>IF(OHW!$G293="","",OHW!$I293)</f>
        <v/>
      </c>
      <c r="P1340">
        <f>IF(OHW!$G293="","","Final")</f>
        <v/>
      </c>
    </row>
    <row r="1341">
      <c r="A1341">
        <f>IF(OHW!$G294="","","OHW")</f>
        <v/>
      </c>
      <c r="B1341">
        <f>IF(OHW!$G294="","","OHW")</f>
        <v/>
      </c>
      <c r="C1341" s="18">
        <f>IF(OHW!$G294="","",OHW!$A294)</f>
        <v/>
      </c>
      <c r="F1341">
        <f>IF(OHW!$G294="","",OHW!$B294&amp;"")</f>
        <v/>
      </c>
      <c r="J1341">
        <f>IF(OHW!$G294="","",OHW!$E294)</f>
        <v/>
      </c>
      <c r="K1341">
        <f>IF(OHW!$G294="","",COUNTIFS(OHW!$A$5:$A$1668,OHW!$A294,OHW!$C$5:$C$1668,OHW!$C294))</f>
        <v/>
      </c>
      <c r="L1341">
        <f>IF(OHW!$G294="","",OHW!$D294&amp;"")</f>
        <v/>
      </c>
      <c r="M1341">
        <f>IF(OHW!$G294="","",OHW!$F294)</f>
        <v/>
      </c>
      <c r="N1341">
        <f>IF(OHW!$G294="","",OHW!$G294)</f>
        <v/>
      </c>
      <c r="O1341">
        <f>IF(OHW!$G294="","",OHW!$I294)</f>
        <v/>
      </c>
      <c r="P1341">
        <f>IF(OHW!$G294="","","Final")</f>
        <v/>
      </c>
    </row>
    <row r="1342">
      <c r="A1342">
        <f>IF(OHW!$G295="","","OHW")</f>
        <v/>
      </c>
      <c r="B1342">
        <f>IF(OHW!$G295="","","OHW")</f>
        <v/>
      </c>
      <c r="C1342" s="18">
        <f>IF(OHW!$G295="","",OHW!$A295)</f>
        <v/>
      </c>
      <c r="F1342">
        <f>IF(OHW!$G295="","",OHW!$B295&amp;"")</f>
        <v/>
      </c>
      <c r="J1342">
        <f>IF(OHW!$G295="","",OHW!$E295)</f>
        <v/>
      </c>
      <c r="K1342">
        <f>IF(OHW!$G295="","",COUNTIFS(OHW!$A$5:$A$1668,OHW!$A295,OHW!$C$5:$C$1668,OHW!$C295))</f>
        <v/>
      </c>
      <c r="L1342">
        <f>IF(OHW!$G295="","",OHW!$D295&amp;"")</f>
        <v/>
      </c>
      <c r="M1342">
        <f>IF(OHW!$G295="","",OHW!$F295)</f>
        <v/>
      </c>
      <c r="N1342">
        <f>IF(OHW!$G295="","",OHW!$G295)</f>
        <v/>
      </c>
      <c r="O1342">
        <f>IF(OHW!$G295="","",OHW!$I295)</f>
        <v/>
      </c>
      <c r="P1342">
        <f>IF(OHW!$G295="","","Final")</f>
        <v/>
      </c>
    </row>
    <row r="1343">
      <c r="A1343">
        <f>IF(OHW!$G296="","","OHW")</f>
        <v/>
      </c>
      <c r="B1343">
        <f>IF(OHW!$G296="","","OHW")</f>
        <v/>
      </c>
      <c r="C1343" s="18">
        <f>IF(OHW!$G296="","",OHW!$A296)</f>
        <v/>
      </c>
      <c r="F1343">
        <f>IF(OHW!$G296="","",OHW!$B296&amp;"")</f>
        <v/>
      </c>
      <c r="J1343">
        <f>IF(OHW!$G296="","",OHW!$E296)</f>
        <v/>
      </c>
      <c r="K1343">
        <f>IF(OHW!$G296="","",COUNTIFS(OHW!$A$5:$A$1668,OHW!$A296,OHW!$C$5:$C$1668,OHW!$C296))</f>
        <v/>
      </c>
      <c r="L1343">
        <f>IF(OHW!$G296="","",OHW!$D296&amp;"")</f>
        <v/>
      </c>
      <c r="M1343">
        <f>IF(OHW!$G296="","",OHW!$F296)</f>
        <v/>
      </c>
      <c r="N1343">
        <f>IF(OHW!$G296="","",OHW!$G296)</f>
        <v/>
      </c>
      <c r="O1343">
        <f>IF(OHW!$G296="","",OHW!$I296)</f>
        <v/>
      </c>
      <c r="P1343">
        <f>IF(OHW!$G296="","","Final")</f>
        <v/>
      </c>
    </row>
    <row r="1344">
      <c r="A1344">
        <f>IF(OHW!$G297="","","OHW")</f>
        <v/>
      </c>
      <c r="B1344">
        <f>IF(OHW!$G297="","","OHW")</f>
        <v/>
      </c>
      <c r="C1344" s="18">
        <f>IF(OHW!$G297="","",OHW!$A297)</f>
        <v/>
      </c>
      <c r="F1344">
        <f>IF(OHW!$G297="","",OHW!$B297&amp;"")</f>
        <v/>
      </c>
      <c r="J1344">
        <f>IF(OHW!$G297="","",OHW!$E297)</f>
        <v/>
      </c>
      <c r="K1344">
        <f>IF(OHW!$G297="","",COUNTIFS(OHW!$A$5:$A$1668,OHW!$A297,OHW!$C$5:$C$1668,OHW!$C297))</f>
        <v/>
      </c>
      <c r="L1344">
        <f>IF(OHW!$G297="","",OHW!$D297&amp;"")</f>
        <v/>
      </c>
      <c r="M1344">
        <f>IF(OHW!$G297="","",OHW!$F297)</f>
        <v/>
      </c>
      <c r="N1344">
        <f>IF(OHW!$G297="","",OHW!$G297)</f>
        <v/>
      </c>
      <c r="O1344">
        <f>IF(OHW!$G297="","",OHW!$I297)</f>
        <v/>
      </c>
      <c r="P1344">
        <f>IF(OHW!$G297="","","Final")</f>
        <v/>
      </c>
    </row>
    <row r="1345">
      <c r="A1345">
        <f>IF(OHW!$G298="","","OHW")</f>
        <v/>
      </c>
      <c r="B1345">
        <f>IF(OHW!$G298="","","OHW")</f>
        <v/>
      </c>
      <c r="C1345" s="18">
        <f>IF(OHW!$G298="","",OHW!$A298)</f>
        <v/>
      </c>
      <c r="F1345">
        <f>IF(OHW!$G298="","",OHW!$B298&amp;"")</f>
        <v/>
      </c>
      <c r="J1345">
        <f>IF(OHW!$G298="","",OHW!$E298)</f>
        <v/>
      </c>
      <c r="K1345">
        <f>IF(OHW!$G298="","",COUNTIFS(OHW!$A$5:$A$1668,OHW!$A298,OHW!$C$5:$C$1668,OHW!$C298))</f>
        <v/>
      </c>
      <c r="L1345">
        <f>IF(OHW!$G298="","",OHW!$D298&amp;"")</f>
        <v/>
      </c>
      <c r="M1345">
        <f>IF(OHW!$G298="","",OHW!$F298)</f>
        <v/>
      </c>
      <c r="N1345">
        <f>IF(OHW!$G298="","",OHW!$G298)</f>
        <v/>
      </c>
      <c r="O1345">
        <f>IF(OHW!$G298="","",OHW!$I298)</f>
        <v/>
      </c>
      <c r="P1345">
        <f>IF(OHW!$G298="","","Final")</f>
        <v/>
      </c>
    </row>
    <row r="1346">
      <c r="A1346">
        <f>IF(OHW!$G299="","","OHW")</f>
        <v/>
      </c>
      <c r="B1346">
        <f>IF(OHW!$G299="","","OHW")</f>
        <v/>
      </c>
      <c r="C1346" s="18">
        <f>IF(OHW!$G299="","",OHW!$A299)</f>
        <v/>
      </c>
      <c r="F1346">
        <f>IF(OHW!$G299="","",OHW!$B299&amp;"")</f>
        <v/>
      </c>
      <c r="J1346">
        <f>IF(OHW!$G299="","",OHW!$E299)</f>
        <v/>
      </c>
      <c r="K1346">
        <f>IF(OHW!$G299="","",COUNTIFS(OHW!$A$5:$A$1668,OHW!$A299,OHW!$C$5:$C$1668,OHW!$C299))</f>
        <v/>
      </c>
      <c r="L1346">
        <f>IF(OHW!$G299="","",OHW!$D299&amp;"")</f>
        <v/>
      </c>
      <c r="M1346">
        <f>IF(OHW!$G299="","",OHW!$F299)</f>
        <v/>
      </c>
      <c r="N1346">
        <f>IF(OHW!$G299="","",OHW!$G299)</f>
        <v/>
      </c>
      <c r="O1346">
        <f>IF(OHW!$G299="","",OHW!$I299)</f>
        <v/>
      </c>
      <c r="P1346">
        <f>IF(OHW!$G299="","","Final")</f>
        <v/>
      </c>
    </row>
    <row r="1347">
      <c r="A1347">
        <f>IF(OHW!$G300="","","OHW")</f>
        <v/>
      </c>
      <c r="B1347">
        <f>IF(OHW!$G300="","","OHW")</f>
        <v/>
      </c>
      <c r="C1347" s="18">
        <f>IF(OHW!$G300="","",OHW!$A300)</f>
        <v/>
      </c>
      <c r="F1347">
        <f>IF(OHW!$G300="","",OHW!$B300&amp;"")</f>
        <v/>
      </c>
      <c r="J1347">
        <f>IF(OHW!$G300="","",OHW!$E300)</f>
        <v/>
      </c>
      <c r="K1347">
        <f>IF(OHW!$G300="","",COUNTIFS(OHW!$A$5:$A$1668,OHW!$A300,OHW!$C$5:$C$1668,OHW!$C300))</f>
        <v/>
      </c>
      <c r="L1347">
        <f>IF(OHW!$G300="","",OHW!$D300&amp;"")</f>
        <v/>
      </c>
      <c r="M1347">
        <f>IF(OHW!$G300="","",OHW!$F300)</f>
        <v/>
      </c>
      <c r="N1347">
        <f>IF(OHW!$G300="","",OHW!$G300)</f>
        <v/>
      </c>
      <c r="O1347">
        <f>IF(OHW!$G300="","",OHW!$I300)</f>
        <v/>
      </c>
      <c r="P1347">
        <f>IF(OHW!$G300="","","Final")</f>
        <v/>
      </c>
    </row>
    <row r="1348">
      <c r="A1348">
        <f>IF(OHW!$G301="","","OHW")</f>
        <v/>
      </c>
      <c r="B1348">
        <f>IF(OHW!$G301="","","OHW")</f>
        <v/>
      </c>
      <c r="C1348" s="18">
        <f>IF(OHW!$G301="","",OHW!$A301)</f>
        <v/>
      </c>
      <c r="F1348">
        <f>IF(OHW!$G301="","",OHW!$B301&amp;"")</f>
        <v/>
      </c>
      <c r="J1348">
        <f>IF(OHW!$G301="","",OHW!$E301)</f>
        <v/>
      </c>
      <c r="K1348">
        <f>IF(OHW!$G301="","",COUNTIFS(OHW!$A$5:$A$1668,OHW!$A301,OHW!$C$5:$C$1668,OHW!$C301))</f>
        <v/>
      </c>
      <c r="L1348">
        <f>IF(OHW!$G301="","",OHW!$D301&amp;"")</f>
        <v/>
      </c>
      <c r="M1348">
        <f>IF(OHW!$G301="","",OHW!$F301)</f>
        <v/>
      </c>
      <c r="N1348">
        <f>IF(OHW!$G301="","",OHW!$G301)</f>
        <v/>
      </c>
      <c r="O1348">
        <f>IF(OHW!$G301="","",OHW!$I301)</f>
        <v/>
      </c>
      <c r="P1348">
        <f>IF(OHW!$G301="","","Final")</f>
        <v/>
      </c>
    </row>
    <row r="1349">
      <c r="A1349">
        <f>IF(OHW!$G302="","","OHW")</f>
        <v/>
      </c>
      <c r="B1349">
        <f>IF(OHW!$G302="","","OHW")</f>
        <v/>
      </c>
      <c r="C1349" s="18">
        <f>IF(OHW!$G302="","",OHW!$A302)</f>
        <v/>
      </c>
      <c r="F1349">
        <f>IF(OHW!$G302="","",OHW!$B302&amp;"")</f>
        <v/>
      </c>
      <c r="J1349">
        <f>IF(OHW!$G302="","",OHW!$E302)</f>
        <v/>
      </c>
      <c r="K1349">
        <f>IF(OHW!$G302="","",COUNTIFS(OHW!$A$5:$A$1668,OHW!$A302,OHW!$C$5:$C$1668,OHW!$C302))</f>
        <v/>
      </c>
      <c r="L1349">
        <f>IF(OHW!$G302="","",OHW!$D302&amp;"")</f>
        <v/>
      </c>
      <c r="M1349">
        <f>IF(OHW!$G302="","",OHW!$F302)</f>
        <v/>
      </c>
      <c r="N1349">
        <f>IF(OHW!$G302="","",OHW!$G302)</f>
        <v/>
      </c>
      <c r="O1349">
        <f>IF(OHW!$G302="","",OHW!$I302)</f>
        <v/>
      </c>
      <c r="P1349">
        <f>IF(OHW!$G302="","","Final")</f>
        <v/>
      </c>
    </row>
    <row r="1350">
      <c r="A1350">
        <f>IF(OHW!$G303="","","OHW")</f>
        <v/>
      </c>
      <c r="B1350">
        <f>IF(OHW!$G303="","","OHW")</f>
        <v/>
      </c>
      <c r="C1350" s="18">
        <f>IF(OHW!$G303="","",OHW!$A303)</f>
        <v/>
      </c>
      <c r="F1350">
        <f>IF(OHW!$G303="","",OHW!$B303&amp;"")</f>
        <v/>
      </c>
      <c r="J1350">
        <f>IF(OHW!$G303="","",OHW!$E303)</f>
        <v/>
      </c>
      <c r="K1350">
        <f>IF(OHW!$G303="","",COUNTIFS(OHW!$A$5:$A$1668,OHW!$A303,OHW!$C$5:$C$1668,OHW!$C303))</f>
        <v/>
      </c>
      <c r="L1350">
        <f>IF(OHW!$G303="","",OHW!$D303&amp;"")</f>
        <v/>
      </c>
      <c r="M1350">
        <f>IF(OHW!$G303="","",OHW!$F303)</f>
        <v/>
      </c>
      <c r="N1350">
        <f>IF(OHW!$G303="","",OHW!$G303)</f>
        <v/>
      </c>
      <c r="O1350">
        <f>IF(OHW!$G303="","",OHW!$I303)</f>
        <v/>
      </c>
      <c r="P1350">
        <f>IF(OHW!$G303="","","Final")</f>
        <v/>
      </c>
    </row>
    <row r="1351">
      <c r="A1351">
        <f>IF(OHW!$G304="","","OHW")</f>
        <v/>
      </c>
      <c r="B1351">
        <f>IF(OHW!$G304="","","OHW")</f>
        <v/>
      </c>
      <c r="C1351" s="18">
        <f>IF(OHW!$G304="","",OHW!$A304)</f>
        <v/>
      </c>
      <c r="F1351">
        <f>IF(OHW!$G304="","",OHW!$B304&amp;"")</f>
        <v/>
      </c>
      <c r="J1351">
        <f>IF(OHW!$G304="","",OHW!$E304)</f>
        <v/>
      </c>
      <c r="K1351">
        <f>IF(OHW!$G304="","",COUNTIFS(OHW!$A$5:$A$1668,OHW!$A304,OHW!$C$5:$C$1668,OHW!$C304))</f>
        <v/>
      </c>
      <c r="L1351">
        <f>IF(OHW!$G304="","",OHW!$D304&amp;"")</f>
        <v/>
      </c>
      <c r="M1351">
        <f>IF(OHW!$G304="","",OHW!$F304)</f>
        <v/>
      </c>
      <c r="N1351">
        <f>IF(OHW!$G304="","",OHW!$G304)</f>
        <v/>
      </c>
      <c r="O1351">
        <f>IF(OHW!$G304="","",OHW!$I304)</f>
        <v/>
      </c>
      <c r="P1351">
        <f>IF(OHW!$G304="","","Final")</f>
        <v/>
      </c>
    </row>
    <row r="1352">
      <c r="A1352">
        <f>IF(OHW!$G305="","","OHW")</f>
        <v/>
      </c>
      <c r="B1352">
        <f>IF(OHW!$G305="","","OHW")</f>
        <v/>
      </c>
      <c r="C1352" s="18">
        <f>IF(OHW!$G305="","",OHW!$A305)</f>
        <v/>
      </c>
      <c r="F1352">
        <f>IF(OHW!$G305="","",OHW!$B305&amp;"")</f>
        <v/>
      </c>
      <c r="J1352">
        <f>IF(OHW!$G305="","",OHW!$E305)</f>
        <v/>
      </c>
      <c r="K1352">
        <f>IF(OHW!$G305="","",COUNTIFS(OHW!$A$5:$A$1668,OHW!$A305,OHW!$C$5:$C$1668,OHW!$C305))</f>
        <v/>
      </c>
      <c r="L1352">
        <f>IF(OHW!$G305="","",OHW!$D305&amp;"")</f>
        <v/>
      </c>
      <c r="M1352">
        <f>IF(OHW!$G305="","",OHW!$F305)</f>
        <v/>
      </c>
      <c r="N1352">
        <f>IF(OHW!$G305="","",OHW!$G305)</f>
        <v/>
      </c>
      <c r="O1352">
        <f>IF(OHW!$G305="","",OHW!$I305)</f>
        <v/>
      </c>
      <c r="P1352">
        <f>IF(OHW!$G305="","","Final")</f>
        <v/>
      </c>
    </row>
    <row r="1353">
      <c r="A1353">
        <f>IF(OHW!$G306="","","OHW")</f>
        <v/>
      </c>
      <c r="B1353">
        <f>IF(OHW!$G306="","","OHW")</f>
        <v/>
      </c>
      <c r="C1353" s="18">
        <f>IF(OHW!$G306="","",OHW!$A306)</f>
        <v/>
      </c>
      <c r="F1353">
        <f>IF(OHW!$G306="","",OHW!$B306&amp;"")</f>
        <v/>
      </c>
      <c r="J1353">
        <f>IF(OHW!$G306="","",OHW!$E306)</f>
        <v/>
      </c>
      <c r="K1353">
        <f>IF(OHW!$G306="","",COUNTIFS(OHW!$A$5:$A$1668,OHW!$A306,OHW!$C$5:$C$1668,OHW!$C306))</f>
        <v/>
      </c>
      <c r="L1353">
        <f>IF(OHW!$G306="","",OHW!$D306&amp;"")</f>
        <v/>
      </c>
      <c r="M1353">
        <f>IF(OHW!$G306="","",OHW!$F306)</f>
        <v/>
      </c>
      <c r="N1353">
        <f>IF(OHW!$G306="","",OHW!$G306)</f>
        <v/>
      </c>
      <c r="O1353">
        <f>IF(OHW!$G306="","",OHW!$I306)</f>
        <v/>
      </c>
      <c r="P1353">
        <f>IF(OHW!$G306="","","Final")</f>
        <v/>
      </c>
    </row>
    <row r="1354">
      <c r="A1354">
        <f>IF(OHW!$G307="","","OHW")</f>
        <v/>
      </c>
      <c r="B1354">
        <f>IF(OHW!$G307="","","OHW")</f>
        <v/>
      </c>
      <c r="C1354" s="18">
        <f>IF(OHW!$G307="","",OHW!$A307)</f>
        <v/>
      </c>
      <c r="F1354">
        <f>IF(OHW!$G307="","",OHW!$B307&amp;"")</f>
        <v/>
      </c>
      <c r="J1354">
        <f>IF(OHW!$G307="","",OHW!$E307)</f>
        <v/>
      </c>
      <c r="K1354">
        <f>IF(OHW!$G307="","",COUNTIFS(OHW!$A$5:$A$1668,OHW!$A307,OHW!$C$5:$C$1668,OHW!$C307))</f>
        <v/>
      </c>
      <c r="L1354">
        <f>IF(OHW!$G307="","",OHW!$D307&amp;"")</f>
        <v/>
      </c>
      <c r="M1354">
        <f>IF(OHW!$G307="","",OHW!$F307)</f>
        <v/>
      </c>
      <c r="N1354">
        <f>IF(OHW!$G307="","",OHW!$G307)</f>
        <v/>
      </c>
      <c r="O1354">
        <f>IF(OHW!$G307="","",OHW!$I307)</f>
        <v/>
      </c>
      <c r="P1354">
        <f>IF(OHW!$G307="","","Final")</f>
        <v/>
      </c>
    </row>
    <row r="1355">
      <c r="A1355">
        <f>IF(OHW!$G308="","","OHW")</f>
        <v/>
      </c>
      <c r="B1355">
        <f>IF(OHW!$G308="","","OHW")</f>
        <v/>
      </c>
      <c r="C1355" s="18">
        <f>IF(OHW!$G308="","",OHW!$A308)</f>
        <v/>
      </c>
      <c r="F1355">
        <f>IF(OHW!$G308="","",OHW!$B308&amp;"")</f>
        <v/>
      </c>
      <c r="J1355">
        <f>IF(OHW!$G308="","",OHW!$E308)</f>
        <v/>
      </c>
      <c r="K1355">
        <f>IF(OHW!$G308="","",COUNTIFS(OHW!$A$5:$A$1668,OHW!$A308,OHW!$C$5:$C$1668,OHW!$C308))</f>
        <v/>
      </c>
      <c r="L1355">
        <f>IF(OHW!$G308="","",OHW!$D308&amp;"")</f>
        <v/>
      </c>
      <c r="M1355">
        <f>IF(OHW!$G308="","",OHW!$F308)</f>
        <v/>
      </c>
      <c r="N1355">
        <f>IF(OHW!$G308="","",OHW!$G308)</f>
        <v/>
      </c>
      <c r="O1355">
        <f>IF(OHW!$G308="","",OHW!$I308)</f>
        <v/>
      </c>
      <c r="P1355">
        <f>IF(OHW!$G308="","","Final")</f>
        <v/>
      </c>
    </row>
    <row r="1356">
      <c r="A1356">
        <f>IF(OHW!$G309="","","OHW")</f>
        <v/>
      </c>
      <c r="B1356">
        <f>IF(OHW!$G309="","","OHW")</f>
        <v/>
      </c>
      <c r="C1356" s="18">
        <f>IF(OHW!$G309="","",OHW!$A309)</f>
        <v/>
      </c>
      <c r="F1356">
        <f>IF(OHW!$G309="","",OHW!$B309&amp;"")</f>
        <v/>
      </c>
      <c r="J1356">
        <f>IF(OHW!$G309="","",OHW!$E309)</f>
        <v/>
      </c>
      <c r="K1356">
        <f>IF(OHW!$G309="","",COUNTIFS(OHW!$A$5:$A$1668,OHW!$A309,OHW!$C$5:$C$1668,OHW!$C309))</f>
        <v/>
      </c>
      <c r="L1356">
        <f>IF(OHW!$G309="","",OHW!$D309&amp;"")</f>
        <v/>
      </c>
      <c r="M1356">
        <f>IF(OHW!$G309="","",OHW!$F309)</f>
        <v/>
      </c>
      <c r="N1356">
        <f>IF(OHW!$G309="","",OHW!$G309)</f>
        <v/>
      </c>
      <c r="O1356">
        <f>IF(OHW!$G309="","",OHW!$I309)</f>
        <v/>
      </c>
      <c r="P1356">
        <f>IF(OHW!$G309="","","Final")</f>
        <v/>
      </c>
    </row>
    <row r="1357">
      <c r="A1357">
        <f>IF(OHW!$G310="","","OHW")</f>
        <v/>
      </c>
      <c r="B1357">
        <f>IF(OHW!$G310="","","OHW")</f>
        <v/>
      </c>
      <c r="C1357" s="18">
        <f>IF(OHW!$G310="","",OHW!$A310)</f>
        <v/>
      </c>
      <c r="F1357">
        <f>IF(OHW!$G310="","",OHW!$B310&amp;"")</f>
        <v/>
      </c>
      <c r="J1357">
        <f>IF(OHW!$G310="","",OHW!$E310)</f>
        <v/>
      </c>
      <c r="K1357">
        <f>IF(OHW!$G310="","",COUNTIFS(OHW!$A$5:$A$1668,OHW!$A310,OHW!$C$5:$C$1668,OHW!$C310))</f>
        <v/>
      </c>
      <c r="L1357">
        <f>IF(OHW!$G310="","",OHW!$D310&amp;"")</f>
        <v/>
      </c>
      <c r="M1357">
        <f>IF(OHW!$G310="","",OHW!$F310)</f>
        <v/>
      </c>
      <c r="N1357">
        <f>IF(OHW!$G310="","",OHW!$G310)</f>
        <v/>
      </c>
      <c r="O1357">
        <f>IF(OHW!$G310="","",OHW!$I310)</f>
        <v/>
      </c>
      <c r="P1357">
        <f>IF(OHW!$G310="","","Final")</f>
        <v/>
      </c>
    </row>
    <row r="1358">
      <c r="A1358">
        <f>IF(OHW!$G311="","","OHW")</f>
        <v/>
      </c>
      <c r="B1358">
        <f>IF(OHW!$G311="","","OHW")</f>
        <v/>
      </c>
      <c r="C1358" s="18">
        <f>IF(OHW!$G311="","",OHW!$A311)</f>
        <v/>
      </c>
      <c r="F1358">
        <f>IF(OHW!$G311="","",OHW!$B311&amp;"")</f>
        <v/>
      </c>
      <c r="J1358">
        <f>IF(OHW!$G311="","",OHW!$E311)</f>
        <v/>
      </c>
      <c r="K1358">
        <f>IF(OHW!$G311="","",COUNTIFS(OHW!$A$5:$A$1668,OHW!$A311,OHW!$C$5:$C$1668,OHW!$C311))</f>
        <v/>
      </c>
      <c r="L1358">
        <f>IF(OHW!$G311="","",OHW!$D311&amp;"")</f>
        <v/>
      </c>
      <c r="M1358">
        <f>IF(OHW!$G311="","",OHW!$F311)</f>
        <v/>
      </c>
      <c r="N1358">
        <f>IF(OHW!$G311="","",OHW!$G311)</f>
        <v/>
      </c>
      <c r="O1358">
        <f>IF(OHW!$G311="","",OHW!$I311)</f>
        <v/>
      </c>
      <c r="P1358">
        <f>IF(OHW!$G311="","","Final")</f>
        <v/>
      </c>
    </row>
    <row r="1359">
      <c r="A1359">
        <f>IF(OHW!$G312="","","OHW")</f>
        <v/>
      </c>
      <c r="B1359">
        <f>IF(OHW!$G312="","","OHW")</f>
        <v/>
      </c>
      <c r="C1359" s="18">
        <f>IF(OHW!$G312="","",OHW!$A312)</f>
        <v/>
      </c>
      <c r="F1359">
        <f>IF(OHW!$G312="","",OHW!$B312&amp;"")</f>
        <v/>
      </c>
      <c r="J1359">
        <f>IF(OHW!$G312="","",OHW!$E312)</f>
        <v/>
      </c>
      <c r="K1359">
        <f>IF(OHW!$G312="","",COUNTIFS(OHW!$A$5:$A$1668,OHW!$A312,OHW!$C$5:$C$1668,OHW!$C312))</f>
        <v/>
      </c>
      <c r="L1359">
        <f>IF(OHW!$G312="","",OHW!$D312&amp;"")</f>
        <v/>
      </c>
      <c r="M1359">
        <f>IF(OHW!$G312="","",OHW!$F312)</f>
        <v/>
      </c>
      <c r="N1359">
        <f>IF(OHW!$G312="","",OHW!$G312)</f>
        <v/>
      </c>
      <c r="O1359">
        <f>IF(OHW!$G312="","",OHW!$I312)</f>
        <v/>
      </c>
      <c r="P1359">
        <f>IF(OHW!$G312="","","Final")</f>
        <v/>
      </c>
    </row>
    <row r="1360">
      <c r="A1360">
        <f>IF(OHW!$G313="","","OHW")</f>
        <v/>
      </c>
      <c r="B1360">
        <f>IF(OHW!$G313="","","OHW")</f>
        <v/>
      </c>
      <c r="C1360" s="18">
        <f>IF(OHW!$G313="","",OHW!$A313)</f>
        <v/>
      </c>
      <c r="F1360">
        <f>IF(OHW!$G313="","",OHW!$B313&amp;"")</f>
        <v/>
      </c>
      <c r="J1360">
        <f>IF(OHW!$G313="","",OHW!$E313)</f>
        <v/>
      </c>
      <c r="K1360">
        <f>IF(OHW!$G313="","",COUNTIFS(OHW!$A$5:$A$1668,OHW!$A313,OHW!$C$5:$C$1668,OHW!$C313))</f>
        <v/>
      </c>
      <c r="L1360">
        <f>IF(OHW!$G313="","",OHW!$D313&amp;"")</f>
        <v/>
      </c>
      <c r="M1360">
        <f>IF(OHW!$G313="","",OHW!$F313)</f>
        <v/>
      </c>
      <c r="N1360">
        <f>IF(OHW!$G313="","",OHW!$G313)</f>
        <v/>
      </c>
      <c r="O1360">
        <f>IF(OHW!$G313="","",OHW!$I313)</f>
        <v/>
      </c>
      <c r="P1360">
        <f>IF(OHW!$G313="","","Final")</f>
        <v/>
      </c>
    </row>
    <row r="1361">
      <c r="A1361">
        <f>IF(OHW!$G314="","","OHW")</f>
        <v/>
      </c>
      <c r="B1361">
        <f>IF(OHW!$G314="","","OHW")</f>
        <v/>
      </c>
      <c r="C1361" s="18">
        <f>IF(OHW!$G314="","",OHW!$A314)</f>
        <v/>
      </c>
      <c r="F1361">
        <f>IF(OHW!$G314="","",OHW!$B314&amp;"")</f>
        <v/>
      </c>
      <c r="J1361">
        <f>IF(OHW!$G314="","",OHW!$E314)</f>
        <v/>
      </c>
      <c r="K1361">
        <f>IF(OHW!$G314="","",COUNTIFS(OHW!$A$5:$A$1668,OHW!$A314,OHW!$C$5:$C$1668,OHW!$C314))</f>
        <v/>
      </c>
      <c r="L1361">
        <f>IF(OHW!$G314="","",OHW!$D314&amp;"")</f>
        <v/>
      </c>
      <c r="M1361">
        <f>IF(OHW!$G314="","",OHW!$F314)</f>
        <v/>
      </c>
      <c r="N1361">
        <f>IF(OHW!$G314="","",OHW!$G314)</f>
        <v/>
      </c>
      <c r="O1361">
        <f>IF(OHW!$G314="","",OHW!$I314)</f>
        <v/>
      </c>
      <c r="P1361">
        <f>IF(OHW!$G314="","","Final")</f>
        <v/>
      </c>
    </row>
    <row r="1362">
      <c r="A1362">
        <f>IF(OHW!$G315="","","OHW")</f>
        <v/>
      </c>
      <c r="B1362">
        <f>IF(OHW!$G315="","","OHW")</f>
        <v/>
      </c>
      <c r="C1362" s="18">
        <f>IF(OHW!$G315="","",OHW!$A315)</f>
        <v/>
      </c>
      <c r="F1362">
        <f>IF(OHW!$G315="","",OHW!$B315&amp;"")</f>
        <v/>
      </c>
      <c r="J1362">
        <f>IF(OHW!$G315="","",OHW!$E315)</f>
        <v/>
      </c>
      <c r="K1362">
        <f>IF(OHW!$G315="","",COUNTIFS(OHW!$A$5:$A$1668,OHW!$A315,OHW!$C$5:$C$1668,OHW!$C315))</f>
        <v/>
      </c>
      <c r="L1362">
        <f>IF(OHW!$G315="","",OHW!$D315&amp;"")</f>
        <v/>
      </c>
      <c r="M1362">
        <f>IF(OHW!$G315="","",OHW!$F315)</f>
        <v/>
      </c>
      <c r="N1362">
        <f>IF(OHW!$G315="","",OHW!$G315)</f>
        <v/>
      </c>
      <c r="O1362">
        <f>IF(OHW!$G315="","",OHW!$I315)</f>
        <v/>
      </c>
      <c r="P1362">
        <f>IF(OHW!$G315="","","Final")</f>
        <v/>
      </c>
    </row>
    <row r="1363">
      <c r="A1363">
        <f>IF(OHW!$G316="","","OHW")</f>
        <v/>
      </c>
      <c r="B1363">
        <f>IF(OHW!$G316="","","OHW")</f>
        <v/>
      </c>
      <c r="C1363" s="18">
        <f>IF(OHW!$G316="","",OHW!$A316)</f>
        <v/>
      </c>
      <c r="F1363">
        <f>IF(OHW!$G316="","",OHW!$B316&amp;"")</f>
        <v/>
      </c>
      <c r="J1363">
        <f>IF(OHW!$G316="","",OHW!$E316)</f>
        <v/>
      </c>
      <c r="K1363">
        <f>IF(OHW!$G316="","",COUNTIFS(OHW!$A$5:$A$1668,OHW!$A316,OHW!$C$5:$C$1668,OHW!$C316))</f>
        <v/>
      </c>
      <c r="L1363">
        <f>IF(OHW!$G316="","",OHW!$D316&amp;"")</f>
        <v/>
      </c>
      <c r="M1363">
        <f>IF(OHW!$G316="","",OHW!$F316)</f>
        <v/>
      </c>
      <c r="N1363">
        <f>IF(OHW!$G316="","",OHW!$G316)</f>
        <v/>
      </c>
      <c r="O1363">
        <f>IF(OHW!$G316="","",OHW!$I316)</f>
        <v/>
      </c>
      <c r="P1363">
        <f>IF(OHW!$G316="","","Final")</f>
        <v/>
      </c>
    </row>
    <row r="1364">
      <c r="A1364">
        <f>IF(OHW!$G317="","","OHW")</f>
        <v/>
      </c>
      <c r="B1364">
        <f>IF(OHW!$G317="","","OHW")</f>
        <v/>
      </c>
      <c r="C1364" s="18">
        <f>IF(OHW!$G317="","",OHW!$A317)</f>
        <v/>
      </c>
      <c r="F1364">
        <f>IF(OHW!$G317="","",OHW!$B317&amp;"")</f>
        <v/>
      </c>
      <c r="J1364">
        <f>IF(OHW!$G317="","",OHW!$E317)</f>
        <v/>
      </c>
      <c r="K1364">
        <f>IF(OHW!$G317="","",COUNTIFS(OHW!$A$5:$A$1668,OHW!$A317,OHW!$C$5:$C$1668,OHW!$C317))</f>
        <v/>
      </c>
      <c r="L1364">
        <f>IF(OHW!$G317="","",OHW!$D317&amp;"")</f>
        <v/>
      </c>
      <c r="M1364">
        <f>IF(OHW!$G317="","",OHW!$F317)</f>
        <v/>
      </c>
      <c r="N1364">
        <f>IF(OHW!$G317="","",OHW!$G317)</f>
        <v/>
      </c>
      <c r="O1364">
        <f>IF(OHW!$G317="","",OHW!$I317)</f>
        <v/>
      </c>
      <c r="P1364">
        <f>IF(OHW!$G317="","","Final")</f>
        <v/>
      </c>
    </row>
    <row r="1365">
      <c r="A1365">
        <f>IF(OHW!$G318="","","OHW")</f>
        <v/>
      </c>
      <c r="B1365">
        <f>IF(OHW!$G318="","","OHW")</f>
        <v/>
      </c>
      <c r="C1365" s="18">
        <f>IF(OHW!$G318="","",OHW!$A318)</f>
        <v/>
      </c>
      <c r="F1365">
        <f>IF(OHW!$G318="","",OHW!$B318&amp;"")</f>
        <v/>
      </c>
      <c r="J1365">
        <f>IF(OHW!$G318="","",OHW!$E318)</f>
        <v/>
      </c>
      <c r="K1365">
        <f>IF(OHW!$G318="","",COUNTIFS(OHW!$A$5:$A$1668,OHW!$A318,OHW!$C$5:$C$1668,OHW!$C318))</f>
        <v/>
      </c>
      <c r="L1365">
        <f>IF(OHW!$G318="","",OHW!$D318&amp;"")</f>
        <v/>
      </c>
      <c r="M1365">
        <f>IF(OHW!$G318="","",OHW!$F318)</f>
        <v/>
      </c>
      <c r="N1365">
        <f>IF(OHW!$G318="","",OHW!$G318)</f>
        <v/>
      </c>
      <c r="O1365">
        <f>IF(OHW!$G318="","",OHW!$I318)</f>
        <v/>
      </c>
      <c r="P1365">
        <f>IF(OHW!$G318="","","Final")</f>
        <v/>
      </c>
    </row>
    <row r="1366">
      <c r="A1366">
        <f>IF(OHW!$G319="","","OHW")</f>
        <v/>
      </c>
      <c r="B1366">
        <f>IF(OHW!$G319="","","OHW")</f>
        <v/>
      </c>
      <c r="C1366" s="18">
        <f>IF(OHW!$G319="","",OHW!$A319)</f>
        <v/>
      </c>
      <c r="F1366">
        <f>IF(OHW!$G319="","",OHW!$B319&amp;"")</f>
        <v/>
      </c>
      <c r="J1366">
        <f>IF(OHW!$G319="","",OHW!$E319)</f>
        <v/>
      </c>
      <c r="K1366">
        <f>IF(OHW!$G319="","",COUNTIFS(OHW!$A$5:$A$1668,OHW!$A319,OHW!$C$5:$C$1668,OHW!$C319))</f>
        <v/>
      </c>
      <c r="L1366">
        <f>IF(OHW!$G319="","",OHW!$D319&amp;"")</f>
        <v/>
      </c>
      <c r="M1366">
        <f>IF(OHW!$G319="","",OHW!$F319)</f>
        <v/>
      </c>
      <c r="N1366">
        <f>IF(OHW!$G319="","",OHW!$G319)</f>
        <v/>
      </c>
      <c r="O1366">
        <f>IF(OHW!$G319="","",OHW!$I319)</f>
        <v/>
      </c>
      <c r="P1366">
        <f>IF(OHW!$G319="","","Final")</f>
        <v/>
      </c>
    </row>
    <row r="1367">
      <c r="A1367">
        <f>IF(OHW!$G320="","","OHW")</f>
        <v/>
      </c>
      <c r="B1367">
        <f>IF(OHW!$G320="","","OHW")</f>
        <v/>
      </c>
      <c r="C1367" s="18">
        <f>IF(OHW!$G320="","",OHW!$A320)</f>
        <v/>
      </c>
      <c r="F1367">
        <f>IF(OHW!$G320="","",OHW!$B320&amp;"")</f>
        <v/>
      </c>
      <c r="J1367">
        <f>IF(OHW!$G320="","",OHW!$E320)</f>
        <v/>
      </c>
      <c r="K1367">
        <f>IF(OHW!$G320="","",COUNTIFS(OHW!$A$5:$A$1668,OHW!$A320,OHW!$C$5:$C$1668,OHW!$C320))</f>
        <v/>
      </c>
      <c r="L1367">
        <f>IF(OHW!$G320="","",OHW!$D320&amp;"")</f>
        <v/>
      </c>
      <c r="M1367">
        <f>IF(OHW!$G320="","",OHW!$F320)</f>
        <v/>
      </c>
      <c r="N1367">
        <f>IF(OHW!$G320="","",OHW!$G320)</f>
        <v/>
      </c>
      <c r="O1367">
        <f>IF(OHW!$G320="","",OHW!$I320)</f>
        <v/>
      </c>
      <c r="P1367">
        <f>IF(OHW!$G320="","","Final")</f>
        <v/>
      </c>
    </row>
    <row r="1368">
      <c r="A1368">
        <f>IF(OHW!$G321="","","OHW")</f>
        <v/>
      </c>
      <c r="B1368">
        <f>IF(OHW!$G321="","","OHW")</f>
        <v/>
      </c>
      <c r="C1368" s="18">
        <f>IF(OHW!$G321="","",OHW!$A321)</f>
        <v/>
      </c>
      <c r="F1368">
        <f>IF(OHW!$G321="","",OHW!$B321&amp;"")</f>
        <v/>
      </c>
      <c r="J1368">
        <f>IF(OHW!$G321="","",OHW!$E321)</f>
        <v/>
      </c>
      <c r="K1368">
        <f>IF(OHW!$G321="","",COUNTIFS(OHW!$A$5:$A$1668,OHW!$A321,OHW!$C$5:$C$1668,OHW!$C321))</f>
        <v/>
      </c>
      <c r="L1368">
        <f>IF(OHW!$G321="","",OHW!$D321&amp;"")</f>
        <v/>
      </c>
      <c r="M1368">
        <f>IF(OHW!$G321="","",OHW!$F321)</f>
        <v/>
      </c>
      <c r="N1368">
        <f>IF(OHW!$G321="","",OHW!$G321)</f>
        <v/>
      </c>
      <c r="O1368">
        <f>IF(OHW!$G321="","",OHW!$I321)</f>
        <v/>
      </c>
      <c r="P1368">
        <f>IF(OHW!$G321="","","Final")</f>
        <v/>
      </c>
    </row>
    <row r="1369">
      <c r="A1369">
        <f>IF(OHW!$G322="","","OHW")</f>
        <v/>
      </c>
      <c r="B1369">
        <f>IF(OHW!$G322="","","OHW")</f>
        <v/>
      </c>
      <c r="C1369" s="18">
        <f>IF(OHW!$G322="","",OHW!$A322)</f>
        <v/>
      </c>
      <c r="F1369">
        <f>IF(OHW!$G322="","",OHW!$B322&amp;"")</f>
        <v/>
      </c>
      <c r="J1369">
        <f>IF(OHW!$G322="","",OHW!$E322)</f>
        <v/>
      </c>
      <c r="K1369">
        <f>IF(OHW!$G322="","",COUNTIFS(OHW!$A$5:$A$1668,OHW!$A322,OHW!$C$5:$C$1668,OHW!$C322))</f>
        <v/>
      </c>
      <c r="L1369">
        <f>IF(OHW!$G322="","",OHW!$D322&amp;"")</f>
        <v/>
      </c>
      <c r="M1369">
        <f>IF(OHW!$G322="","",OHW!$F322)</f>
        <v/>
      </c>
      <c r="N1369">
        <f>IF(OHW!$G322="","",OHW!$G322)</f>
        <v/>
      </c>
      <c r="O1369">
        <f>IF(OHW!$G322="","",OHW!$I322)</f>
        <v/>
      </c>
      <c r="P1369">
        <f>IF(OHW!$G322="","","Final")</f>
        <v/>
      </c>
    </row>
    <row r="1370">
      <c r="A1370">
        <f>IF(OHW!$G323="","","OHW")</f>
        <v/>
      </c>
      <c r="B1370">
        <f>IF(OHW!$G323="","","OHW")</f>
        <v/>
      </c>
      <c r="C1370" s="18">
        <f>IF(OHW!$G323="","",OHW!$A323)</f>
        <v/>
      </c>
      <c r="F1370">
        <f>IF(OHW!$G323="","",OHW!$B323&amp;"")</f>
        <v/>
      </c>
      <c r="J1370">
        <f>IF(OHW!$G323="","",OHW!$E323)</f>
        <v/>
      </c>
      <c r="K1370">
        <f>IF(OHW!$G323="","",COUNTIFS(OHW!$A$5:$A$1668,OHW!$A323,OHW!$C$5:$C$1668,OHW!$C323))</f>
        <v/>
      </c>
      <c r="L1370">
        <f>IF(OHW!$G323="","",OHW!$D323&amp;"")</f>
        <v/>
      </c>
      <c r="M1370">
        <f>IF(OHW!$G323="","",OHW!$F323)</f>
        <v/>
      </c>
      <c r="N1370">
        <f>IF(OHW!$G323="","",OHW!$G323)</f>
        <v/>
      </c>
      <c r="O1370">
        <f>IF(OHW!$G323="","",OHW!$I323)</f>
        <v/>
      </c>
      <c r="P1370">
        <f>IF(OHW!$G323="","","Final")</f>
        <v/>
      </c>
    </row>
    <row r="1371">
      <c r="A1371">
        <f>IF(OHW!$G324="","","OHW")</f>
        <v/>
      </c>
      <c r="B1371">
        <f>IF(OHW!$G324="","","OHW")</f>
        <v/>
      </c>
      <c r="C1371" s="18">
        <f>IF(OHW!$G324="","",OHW!$A324)</f>
        <v/>
      </c>
      <c r="F1371">
        <f>IF(OHW!$G324="","",OHW!$B324&amp;"")</f>
        <v/>
      </c>
      <c r="J1371">
        <f>IF(OHW!$G324="","",OHW!$E324)</f>
        <v/>
      </c>
      <c r="K1371">
        <f>IF(OHW!$G324="","",COUNTIFS(OHW!$A$5:$A$1668,OHW!$A324,OHW!$C$5:$C$1668,OHW!$C324))</f>
        <v/>
      </c>
      <c r="L1371">
        <f>IF(OHW!$G324="","",OHW!$D324&amp;"")</f>
        <v/>
      </c>
      <c r="M1371">
        <f>IF(OHW!$G324="","",OHW!$F324)</f>
        <v/>
      </c>
      <c r="N1371">
        <f>IF(OHW!$G324="","",OHW!$G324)</f>
        <v/>
      </c>
      <c r="O1371">
        <f>IF(OHW!$G324="","",OHW!$I324)</f>
        <v/>
      </c>
      <c r="P1371">
        <f>IF(OHW!$G324="","","Final")</f>
        <v/>
      </c>
    </row>
    <row r="1372">
      <c r="A1372">
        <f>IF(OHW!$G325="","","OHW")</f>
        <v/>
      </c>
      <c r="B1372">
        <f>IF(OHW!$G325="","","OHW")</f>
        <v/>
      </c>
      <c r="C1372" s="18">
        <f>IF(OHW!$G325="","",OHW!$A325)</f>
        <v/>
      </c>
      <c r="F1372">
        <f>IF(OHW!$G325="","",OHW!$B325&amp;"")</f>
        <v/>
      </c>
      <c r="J1372">
        <f>IF(OHW!$G325="","",OHW!$E325)</f>
        <v/>
      </c>
      <c r="K1372">
        <f>IF(OHW!$G325="","",COUNTIFS(OHW!$A$5:$A$1668,OHW!$A325,OHW!$C$5:$C$1668,OHW!$C325))</f>
        <v/>
      </c>
      <c r="L1372">
        <f>IF(OHW!$G325="","",OHW!$D325&amp;"")</f>
        <v/>
      </c>
      <c r="M1372">
        <f>IF(OHW!$G325="","",OHW!$F325)</f>
        <v/>
      </c>
      <c r="N1372">
        <f>IF(OHW!$G325="","",OHW!$G325)</f>
        <v/>
      </c>
      <c r="O1372">
        <f>IF(OHW!$G325="","",OHW!$I325)</f>
        <v/>
      </c>
      <c r="P1372">
        <f>IF(OHW!$G325="","","Final")</f>
        <v/>
      </c>
    </row>
    <row r="1373">
      <c r="A1373">
        <f>IF(OHW!$G326="","","OHW")</f>
        <v/>
      </c>
      <c r="B1373">
        <f>IF(OHW!$G326="","","OHW")</f>
        <v/>
      </c>
      <c r="C1373" s="18">
        <f>IF(OHW!$G326="","",OHW!$A326)</f>
        <v/>
      </c>
      <c r="F1373">
        <f>IF(OHW!$G326="","",OHW!$B326&amp;"")</f>
        <v/>
      </c>
      <c r="J1373">
        <f>IF(OHW!$G326="","",OHW!$E326)</f>
        <v/>
      </c>
      <c r="K1373">
        <f>IF(OHW!$G326="","",COUNTIFS(OHW!$A$5:$A$1668,OHW!$A326,OHW!$C$5:$C$1668,OHW!$C326))</f>
        <v/>
      </c>
      <c r="L1373">
        <f>IF(OHW!$G326="","",OHW!$D326&amp;"")</f>
        <v/>
      </c>
      <c r="M1373">
        <f>IF(OHW!$G326="","",OHW!$F326)</f>
        <v/>
      </c>
      <c r="N1373">
        <f>IF(OHW!$G326="","",OHW!$G326)</f>
        <v/>
      </c>
      <c r="O1373">
        <f>IF(OHW!$G326="","",OHW!$I326)</f>
        <v/>
      </c>
      <c r="P1373">
        <f>IF(OHW!$G326="","","Final")</f>
        <v/>
      </c>
    </row>
    <row r="1374">
      <c r="A1374">
        <f>IF(OHW!$G327="","","OHW")</f>
        <v/>
      </c>
      <c r="B1374">
        <f>IF(OHW!$G327="","","OHW")</f>
        <v/>
      </c>
      <c r="C1374" s="18">
        <f>IF(OHW!$G327="","",OHW!$A327)</f>
        <v/>
      </c>
      <c r="F1374">
        <f>IF(OHW!$G327="","",OHW!$B327&amp;"")</f>
        <v/>
      </c>
      <c r="J1374">
        <f>IF(OHW!$G327="","",OHW!$E327)</f>
        <v/>
      </c>
      <c r="K1374">
        <f>IF(OHW!$G327="","",COUNTIFS(OHW!$A$5:$A$1668,OHW!$A327,OHW!$C$5:$C$1668,OHW!$C327))</f>
        <v/>
      </c>
      <c r="L1374">
        <f>IF(OHW!$G327="","",OHW!$D327&amp;"")</f>
        <v/>
      </c>
      <c r="M1374">
        <f>IF(OHW!$G327="","",OHW!$F327)</f>
        <v/>
      </c>
      <c r="N1374">
        <f>IF(OHW!$G327="","",OHW!$G327)</f>
        <v/>
      </c>
      <c r="O1374">
        <f>IF(OHW!$G327="","",OHW!$I327)</f>
        <v/>
      </c>
      <c r="P1374">
        <f>IF(OHW!$G327="","","Final")</f>
        <v/>
      </c>
    </row>
    <row r="1375">
      <c r="A1375">
        <f>IF(OHW!$G328="","","OHW")</f>
        <v/>
      </c>
      <c r="B1375">
        <f>IF(OHW!$G328="","","OHW")</f>
        <v/>
      </c>
      <c r="C1375" s="18">
        <f>IF(OHW!$G328="","",OHW!$A328)</f>
        <v/>
      </c>
      <c r="F1375">
        <f>IF(OHW!$G328="","",OHW!$B328&amp;"")</f>
        <v/>
      </c>
      <c r="J1375">
        <f>IF(OHW!$G328="","",OHW!$E328)</f>
        <v/>
      </c>
      <c r="K1375">
        <f>IF(OHW!$G328="","",COUNTIFS(OHW!$A$5:$A$1668,OHW!$A328,OHW!$C$5:$C$1668,OHW!$C328))</f>
        <v/>
      </c>
      <c r="L1375">
        <f>IF(OHW!$G328="","",OHW!$D328&amp;"")</f>
        <v/>
      </c>
      <c r="M1375">
        <f>IF(OHW!$G328="","",OHW!$F328)</f>
        <v/>
      </c>
      <c r="N1375">
        <f>IF(OHW!$G328="","",OHW!$G328)</f>
        <v/>
      </c>
      <c r="O1375">
        <f>IF(OHW!$G328="","",OHW!$I328)</f>
        <v/>
      </c>
      <c r="P1375">
        <f>IF(OHW!$G328="","","Final")</f>
        <v/>
      </c>
    </row>
    <row r="1376">
      <c r="A1376">
        <f>IF(OHW!$G329="","","OHW")</f>
        <v/>
      </c>
      <c r="B1376">
        <f>IF(OHW!$G329="","","OHW")</f>
        <v/>
      </c>
      <c r="C1376" s="18">
        <f>IF(OHW!$G329="","",OHW!$A329)</f>
        <v/>
      </c>
      <c r="F1376">
        <f>IF(OHW!$G329="","",OHW!$B329&amp;"")</f>
        <v/>
      </c>
      <c r="J1376">
        <f>IF(OHW!$G329="","",OHW!$E329)</f>
        <v/>
      </c>
      <c r="K1376">
        <f>IF(OHW!$G329="","",COUNTIFS(OHW!$A$5:$A$1668,OHW!$A329,OHW!$C$5:$C$1668,OHW!$C329))</f>
        <v/>
      </c>
      <c r="L1376">
        <f>IF(OHW!$G329="","",OHW!$D329&amp;"")</f>
        <v/>
      </c>
      <c r="M1376">
        <f>IF(OHW!$G329="","",OHW!$F329)</f>
        <v/>
      </c>
      <c r="N1376">
        <f>IF(OHW!$G329="","",OHW!$G329)</f>
        <v/>
      </c>
      <c r="O1376">
        <f>IF(OHW!$G329="","",OHW!$I329)</f>
        <v/>
      </c>
      <c r="P1376">
        <f>IF(OHW!$G329="","","Final")</f>
        <v/>
      </c>
    </row>
    <row r="1377">
      <c r="A1377">
        <f>IF(OHW!$G330="","","OHW")</f>
        <v/>
      </c>
      <c r="B1377">
        <f>IF(OHW!$G330="","","OHW")</f>
        <v/>
      </c>
      <c r="C1377" s="18">
        <f>IF(OHW!$G330="","",OHW!$A330)</f>
        <v/>
      </c>
      <c r="F1377">
        <f>IF(OHW!$G330="","",OHW!$B330&amp;"")</f>
        <v/>
      </c>
      <c r="J1377">
        <f>IF(OHW!$G330="","",OHW!$E330)</f>
        <v/>
      </c>
      <c r="K1377">
        <f>IF(OHW!$G330="","",COUNTIFS(OHW!$A$5:$A$1668,OHW!$A330,OHW!$C$5:$C$1668,OHW!$C330))</f>
        <v/>
      </c>
      <c r="L1377">
        <f>IF(OHW!$G330="","",OHW!$D330&amp;"")</f>
        <v/>
      </c>
      <c r="M1377">
        <f>IF(OHW!$G330="","",OHW!$F330)</f>
        <v/>
      </c>
      <c r="N1377">
        <f>IF(OHW!$G330="","",OHW!$G330)</f>
        <v/>
      </c>
      <c r="O1377">
        <f>IF(OHW!$G330="","",OHW!$I330)</f>
        <v/>
      </c>
      <c r="P1377">
        <f>IF(OHW!$G330="","","Final")</f>
        <v/>
      </c>
    </row>
    <row r="1378">
      <c r="A1378">
        <f>IF(OHW!$G331="","","OHW")</f>
        <v/>
      </c>
      <c r="B1378">
        <f>IF(OHW!$G331="","","OHW")</f>
        <v/>
      </c>
      <c r="C1378" s="18">
        <f>IF(OHW!$G331="","",OHW!$A331)</f>
        <v/>
      </c>
      <c r="F1378">
        <f>IF(OHW!$G331="","",OHW!$B331&amp;"")</f>
        <v/>
      </c>
      <c r="J1378">
        <f>IF(OHW!$G331="","",OHW!$E331)</f>
        <v/>
      </c>
      <c r="K1378">
        <f>IF(OHW!$G331="","",COUNTIFS(OHW!$A$5:$A$1668,OHW!$A331,OHW!$C$5:$C$1668,OHW!$C331))</f>
        <v/>
      </c>
      <c r="L1378">
        <f>IF(OHW!$G331="","",OHW!$D331&amp;"")</f>
        <v/>
      </c>
      <c r="M1378">
        <f>IF(OHW!$G331="","",OHW!$F331)</f>
        <v/>
      </c>
      <c r="N1378">
        <f>IF(OHW!$G331="","",OHW!$G331)</f>
        <v/>
      </c>
      <c r="O1378">
        <f>IF(OHW!$G331="","",OHW!$I331)</f>
        <v/>
      </c>
      <c r="P1378">
        <f>IF(OHW!$G331="","","Final")</f>
        <v/>
      </c>
    </row>
    <row r="1379">
      <c r="A1379">
        <f>IF(OHW!$G332="","","OHW")</f>
        <v/>
      </c>
      <c r="B1379">
        <f>IF(OHW!$G332="","","OHW")</f>
        <v/>
      </c>
      <c r="C1379" s="18">
        <f>IF(OHW!$G332="","",OHW!$A332)</f>
        <v/>
      </c>
      <c r="F1379">
        <f>IF(OHW!$G332="","",OHW!$B332&amp;"")</f>
        <v/>
      </c>
      <c r="J1379">
        <f>IF(OHW!$G332="","",OHW!$E332)</f>
        <v/>
      </c>
      <c r="K1379">
        <f>IF(OHW!$G332="","",COUNTIFS(OHW!$A$5:$A$1668,OHW!$A332,OHW!$C$5:$C$1668,OHW!$C332))</f>
        <v/>
      </c>
      <c r="L1379">
        <f>IF(OHW!$G332="","",OHW!$D332&amp;"")</f>
        <v/>
      </c>
      <c r="M1379">
        <f>IF(OHW!$G332="","",OHW!$F332)</f>
        <v/>
      </c>
      <c r="N1379">
        <f>IF(OHW!$G332="","",OHW!$G332)</f>
        <v/>
      </c>
      <c r="O1379">
        <f>IF(OHW!$G332="","",OHW!$I332)</f>
        <v/>
      </c>
      <c r="P1379">
        <f>IF(OHW!$G332="","","Final")</f>
        <v/>
      </c>
    </row>
    <row r="1380">
      <c r="A1380">
        <f>IF(OHW!$G333="","","OHW")</f>
        <v/>
      </c>
      <c r="B1380">
        <f>IF(OHW!$G333="","","OHW")</f>
        <v/>
      </c>
      <c r="C1380" s="18">
        <f>IF(OHW!$G333="","",OHW!$A333)</f>
        <v/>
      </c>
      <c r="F1380">
        <f>IF(OHW!$G333="","",OHW!$B333&amp;"")</f>
        <v/>
      </c>
      <c r="J1380">
        <f>IF(OHW!$G333="","",OHW!$E333)</f>
        <v/>
      </c>
      <c r="K1380">
        <f>IF(OHW!$G333="","",COUNTIFS(OHW!$A$5:$A$1668,OHW!$A333,OHW!$C$5:$C$1668,OHW!$C333))</f>
        <v/>
      </c>
      <c r="L1380">
        <f>IF(OHW!$G333="","",OHW!$D333&amp;"")</f>
        <v/>
      </c>
      <c r="M1380">
        <f>IF(OHW!$G333="","",OHW!$F333)</f>
        <v/>
      </c>
      <c r="N1380">
        <f>IF(OHW!$G333="","",OHW!$G333)</f>
        <v/>
      </c>
      <c r="O1380">
        <f>IF(OHW!$G333="","",OHW!$I333)</f>
        <v/>
      </c>
      <c r="P1380">
        <f>IF(OHW!$G333="","","Final")</f>
        <v/>
      </c>
    </row>
    <row r="1381">
      <c r="A1381">
        <f>IF(OHW!$G334="","","OHW")</f>
        <v/>
      </c>
      <c r="B1381">
        <f>IF(OHW!$G334="","","OHW")</f>
        <v/>
      </c>
      <c r="C1381" s="18">
        <f>IF(OHW!$G334="","",OHW!$A334)</f>
        <v/>
      </c>
      <c r="F1381">
        <f>IF(OHW!$G334="","",OHW!$B334&amp;"")</f>
        <v/>
      </c>
      <c r="J1381">
        <f>IF(OHW!$G334="","",OHW!$E334)</f>
        <v/>
      </c>
      <c r="K1381">
        <f>IF(OHW!$G334="","",COUNTIFS(OHW!$A$5:$A$1668,OHW!$A334,OHW!$C$5:$C$1668,OHW!$C334))</f>
        <v/>
      </c>
      <c r="L1381">
        <f>IF(OHW!$G334="","",OHW!$D334&amp;"")</f>
        <v/>
      </c>
      <c r="M1381">
        <f>IF(OHW!$G334="","",OHW!$F334)</f>
        <v/>
      </c>
      <c r="N1381">
        <f>IF(OHW!$G334="","",OHW!$G334)</f>
        <v/>
      </c>
      <c r="O1381">
        <f>IF(OHW!$G334="","",OHW!$I334)</f>
        <v/>
      </c>
      <c r="P1381">
        <f>IF(OHW!$G334="","","Final")</f>
        <v/>
      </c>
    </row>
    <row r="1382">
      <c r="A1382">
        <f>IF(OHW!$G335="","","OHW")</f>
        <v/>
      </c>
      <c r="B1382">
        <f>IF(OHW!$G335="","","OHW")</f>
        <v/>
      </c>
      <c r="C1382" s="18">
        <f>IF(OHW!$G335="","",OHW!$A335)</f>
        <v/>
      </c>
      <c r="F1382">
        <f>IF(OHW!$G335="","",OHW!$B335&amp;"")</f>
        <v/>
      </c>
      <c r="J1382">
        <f>IF(OHW!$G335="","",OHW!$E335)</f>
        <v/>
      </c>
      <c r="K1382">
        <f>IF(OHW!$G335="","",COUNTIFS(OHW!$A$5:$A$1668,OHW!$A335,OHW!$C$5:$C$1668,OHW!$C335))</f>
        <v/>
      </c>
      <c r="L1382">
        <f>IF(OHW!$G335="","",OHW!$D335&amp;"")</f>
        <v/>
      </c>
      <c r="M1382">
        <f>IF(OHW!$G335="","",OHW!$F335)</f>
        <v/>
      </c>
      <c r="N1382">
        <f>IF(OHW!$G335="","",OHW!$G335)</f>
        <v/>
      </c>
      <c r="O1382">
        <f>IF(OHW!$G335="","",OHW!$I335)</f>
        <v/>
      </c>
      <c r="P1382">
        <f>IF(OHW!$G335="","","Final")</f>
        <v/>
      </c>
    </row>
    <row r="1383">
      <c r="A1383">
        <f>IF(OHW!$G336="","","OHW")</f>
        <v/>
      </c>
      <c r="B1383">
        <f>IF(OHW!$G336="","","OHW")</f>
        <v/>
      </c>
      <c r="C1383" s="18">
        <f>IF(OHW!$G336="","",OHW!$A336)</f>
        <v/>
      </c>
      <c r="F1383">
        <f>IF(OHW!$G336="","",OHW!$B336&amp;"")</f>
        <v/>
      </c>
      <c r="J1383">
        <f>IF(OHW!$G336="","",OHW!$E336)</f>
        <v/>
      </c>
      <c r="K1383">
        <f>IF(OHW!$G336="","",COUNTIFS(OHW!$A$5:$A$1668,OHW!$A336,OHW!$C$5:$C$1668,OHW!$C336))</f>
        <v/>
      </c>
      <c r="L1383">
        <f>IF(OHW!$G336="","",OHW!$D336&amp;"")</f>
        <v/>
      </c>
      <c r="M1383">
        <f>IF(OHW!$G336="","",OHW!$F336)</f>
        <v/>
      </c>
      <c r="N1383">
        <f>IF(OHW!$G336="","",OHW!$G336)</f>
        <v/>
      </c>
      <c r="O1383">
        <f>IF(OHW!$G336="","",OHW!$I336)</f>
        <v/>
      </c>
      <c r="P1383">
        <f>IF(OHW!$G336="","","Final")</f>
        <v/>
      </c>
    </row>
    <row r="1384">
      <c r="A1384">
        <f>IF(OHW!$G337="","","OHW")</f>
        <v/>
      </c>
      <c r="B1384">
        <f>IF(OHW!$G337="","","OHW")</f>
        <v/>
      </c>
      <c r="C1384" s="18">
        <f>IF(OHW!$G337="","",OHW!$A337)</f>
        <v/>
      </c>
      <c r="F1384">
        <f>IF(OHW!$G337="","",OHW!$B337&amp;"")</f>
        <v/>
      </c>
      <c r="J1384">
        <f>IF(OHW!$G337="","",OHW!$E337)</f>
        <v/>
      </c>
      <c r="K1384">
        <f>IF(OHW!$G337="","",COUNTIFS(OHW!$A$5:$A$1668,OHW!$A337,OHW!$C$5:$C$1668,OHW!$C337))</f>
        <v/>
      </c>
      <c r="L1384">
        <f>IF(OHW!$G337="","",OHW!$D337&amp;"")</f>
        <v/>
      </c>
      <c r="M1384">
        <f>IF(OHW!$G337="","",OHW!$F337)</f>
        <v/>
      </c>
      <c r="N1384">
        <f>IF(OHW!$G337="","",OHW!$G337)</f>
        <v/>
      </c>
      <c r="O1384">
        <f>IF(OHW!$G337="","",OHW!$I337)</f>
        <v/>
      </c>
      <c r="P1384">
        <f>IF(OHW!$G337="","","Final")</f>
        <v/>
      </c>
    </row>
    <row r="1385">
      <c r="A1385">
        <f>IF(OHW!$G338="","","OHW")</f>
        <v/>
      </c>
      <c r="B1385">
        <f>IF(OHW!$G338="","","OHW")</f>
        <v/>
      </c>
      <c r="C1385" s="18">
        <f>IF(OHW!$G338="","",OHW!$A338)</f>
        <v/>
      </c>
      <c r="F1385">
        <f>IF(OHW!$G338="","",OHW!$B338&amp;"")</f>
        <v/>
      </c>
      <c r="J1385">
        <f>IF(OHW!$G338="","",OHW!$E338)</f>
        <v/>
      </c>
      <c r="K1385">
        <f>IF(OHW!$G338="","",COUNTIFS(OHW!$A$5:$A$1668,OHW!$A338,OHW!$C$5:$C$1668,OHW!$C338))</f>
        <v/>
      </c>
      <c r="L1385">
        <f>IF(OHW!$G338="","",OHW!$D338&amp;"")</f>
        <v/>
      </c>
      <c r="M1385">
        <f>IF(OHW!$G338="","",OHW!$F338)</f>
        <v/>
      </c>
      <c r="N1385">
        <f>IF(OHW!$G338="","",OHW!$G338)</f>
        <v/>
      </c>
      <c r="O1385">
        <f>IF(OHW!$G338="","",OHW!$I338)</f>
        <v/>
      </c>
      <c r="P1385">
        <f>IF(OHW!$G338="","","Final")</f>
        <v/>
      </c>
    </row>
    <row r="1386">
      <c r="A1386">
        <f>IF(OHW!$G339="","","OHW")</f>
        <v/>
      </c>
      <c r="B1386">
        <f>IF(OHW!$G339="","","OHW")</f>
        <v/>
      </c>
      <c r="C1386" s="18">
        <f>IF(OHW!$G339="","",OHW!$A339)</f>
        <v/>
      </c>
      <c r="F1386">
        <f>IF(OHW!$G339="","",OHW!$B339&amp;"")</f>
        <v/>
      </c>
      <c r="J1386">
        <f>IF(OHW!$G339="","",OHW!$E339)</f>
        <v/>
      </c>
      <c r="K1386">
        <f>IF(OHW!$G339="","",COUNTIFS(OHW!$A$5:$A$1668,OHW!$A339,OHW!$C$5:$C$1668,OHW!$C339))</f>
        <v/>
      </c>
      <c r="L1386">
        <f>IF(OHW!$G339="","",OHW!$D339&amp;"")</f>
        <v/>
      </c>
      <c r="M1386">
        <f>IF(OHW!$G339="","",OHW!$F339)</f>
        <v/>
      </c>
      <c r="N1386">
        <f>IF(OHW!$G339="","",OHW!$G339)</f>
        <v/>
      </c>
      <c r="O1386">
        <f>IF(OHW!$G339="","",OHW!$I339)</f>
        <v/>
      </c>
      <c r="P1386">
        <f>IF(OHW!$G339="","","Final")</f>
        <v/>
      </c>
    </row>
    <row r="1387">
      <c r="A1387">
        <f>IF(OHW!$G340="","","OHW")</f>
        <v/>
      </c>
      <c r="B1387">
        <f>IF(OHW!$G340="","","OHW")</f>
        <v/>
      </c>
      <c r="C1387" s="18">
        <f>IF(OHW!$G340="","",OHW!$A340)</f>
        <v/>
      </c>
      <c r="F1387">
        <f>IF(OHW!$G340="","",OHW!$B340&amp;"")</f>
        <v/>
      </c>
      <c r="J1387">
        <f>IF(OHW!$G340="","",OHW!$E340)</f>
        <v/>
      </c>
      <c r="K1387">
        <f>IF(OHW!$G340="","",COUNTIFS(OHW!$A$5:$A$1668,OHW!$A340,OHW!$C$5:$C$1668,OHW!$C340))</f>
        <v/>
      </c>
      <c r="L1387">
        <f>IF(OHW!$G340="","",OHW!$D340&amp;"")</f>
        <v/>
      </c>
      <c r="M1387">
        <f>IF(OHW!$G340="","",OHW!$F340)</f>
        <v/>
      </c>
      <c r="N1387">
        <f>IF(OHW!$G340="","",OHW!$G340)</f>
        <v/>
      </c>
      <c r="O1387">
        <f>IF(OHW!$G340="","",OHW!$I340)</f>
        <v/>
      </c>
      <c r="P1387">
        <f>IF(OHW!$G340="","","Final")</f>
        <v/>
      </c>
    </row>
    <row r="1388">
      <c r="A1388">
        <f>IF(OHW!$G341="","","OHW")</f>
        <v/>
      </c>
      <c r="B1388">
        <f>IF(OHW!$G341="","","OHW")</f>
        <v/>
      </c>
      <c r="C1388" s="18">
        <f>IF(OHW!$G341="","",OHW!$A341)</f>
        <v/>
      </c>
      <c r="F1388">
        <f>IF(OHW!$G341="","",OHW!$B341&amp;"")</f>
        <v/>
      </c>
      <c r="J1388">
        <f>IF(OHW!$G341="","",OHW!$E341)</f>
        <v/>
      </c>
      <c r="K1388">
        <f>IF(OHW!$G341="","",COUNTIFS(OHW!$A$5:$A$1668,OHW!$A341,OHW!$C$5:$C$1668,OHW!$C341))</f>
        <v/>
      </c>
      <c r="L1388">
        <f>IF(OHW!$G341="","",OHW!$D341&amp;"")</f>
        <v/>
      </c>
      <c r="M1388">
        <f>IF(OHW!$G341="","",OHW!$F341)</f>
        <v/>
      </c>
      <c r="N1388">
        <f>IF(OHW!$G341="","",OHW!$G341)</f>
        <v/>
      </c>
      <c r="O1388">
        <f>IF(OHW!$G341="","",OHW!$I341)</f>
        <v/>
      </c>
      <c r="P1388">
        <f>IF(OHW!$G341="","","Final")</f>
        <v/>
      </c>
    </row>
    <row r="1389">
      <c r="A1389">
        <f>IF(OHW!$G342="","","OHW")</f>
        <v/>
      </c>
      <c r="B1389">
        <f>IF(OHW!$G342="","","OHW")</f>
        <v/>
      </c>
      <c r="C1389" s="18">
        <f>IF(OHW!$G342="","",OHW!$A342)</f>
        <v/>
      </c>
      <c r="F1389">
        <f>IF(OHW!$G342="","",OHW!$B342&amp;"")</f>
        <v/>
      </c>
      <c r="J1389">
        <f>IF(OHW!$G342="","",OHW!$E342)</f>
        <v/>
      </c>
      <c r="K1389">
        <f>IF(OHW!$G342="","",COUNTIFS(OHW!$A$5:$A$1668,OHW!$A342,OHW!$C$5:$C$1668,OHW!$C342))</f>
        <v/>
      </c>
      <c r="L1389">
        <f>IF(OHW!$G342="","",OHW!$D342&amp;"")</f>
        <v/>
      </c>
      <c r="M1389">
        <f>IF(OHW!$G342="","",OHW!$F342)</f>
        <v/>
      </c>
      <c r="N1389">
        <f>IF(OHW!$G342="","",OHW!$G342)</f>
        <v/>
      </c>
      <c r="O1389">
        <f>IF(OHW!$G342="","",OHW!$I342)</f>
        <v/>
      </c>
      <c r="P1389">
        <f>IF(OHW!$G342="","","Final")</f>
        <v/>
      </c>
    </row>
    <row r="1390">
      <c r="A1390">
        <f>IF(OHW!$G343="","","OHW")</f>
        <v/>
      </c>
      <c r="B1390">
        <f>IF(OHW!$G343="","","OHW")</f>
        <v/>
      </c>
      <c r="C1390" s="18">
        <f>IF(OHW!$G343="","",OHW!$A343)</f>
        <v/>
      </c>
      <c r="F1390">
        <f>IF(OHW!$G343="","",OHW!$B343&amp;"")</f>
        <v/>
      </c>
      <c r="J1390">
        <f>IF(OHW!$G343="","",OHW!$E343)</f>
        <v/>
      </c>
      <c r="K1390">
        <f>IF(OHW!$G343="","",COUNTIFS(OHW!$A$5:$A$1668,OHW!$A343,OHW!$C$5:$C$1668,OHW!$C343))</f>
        <v/>
      </c>
      <c r="L1390">
        <f>IF(OHW!$G343="","",OHW!$D343&amp;"")</f>
        <v/>
      </c>
      <c r="M1390">
        <f>IF(OHW!$G343="","",OHW!$F343)</f>
        <v/>
      </c>
      <c r="N1390">
        <f>IF(OHW!$G343="","",OHW!$G343)</f>
        <v/>
      </c>
      <c r="O1390">
        <f>IF(OHW!$G343="","",OHW!$I343)</f>
        <v/>
      </c>
      <c r="P1390">
        <f>IF(OHW!$G343="","","Final")</f>
        <v/>
      </c>
    </row>
    <row r="1391">
      <c r="A1391">
        <f>IF(OHW!$G344="","","OHW")</f>
        <v/>
      </c>
      <c r="B1391">
        <f>IF(OHW!$G344="","","OHW")</f>
        <v/>
      </c>
      <c r="C1391" s="18">
        <f>IF(OHW!$G344="","",OHW!$A344)</f>
        <v/>
      </c>
      <c r="F1391">
        <f>IF(OHW!$G344="","",OHW!$B344&amp;"")</f>
        <v/>
      </c>
      <c r="J1391">
        <f>IF(OHW!$G344="","",OHW!$E344)</f>
        <v/>
      </c>
      <c r="K1391">
        <f>IF(OHW!$G344="","",COUNTIFS(OHW!$A$5:$A$1668,OHW!$A344,OHW!$C$5:$C$1668,OHW!$C344))</f>
        <v/>
      </c>
      <c r="L1391">
        <f>IF(OHW!$G344="","",OHW!$D344&amp;"")</f>
        <v/>
      </c>
      <c r="M1391">
        <f>IF(OHW!$G344="","",OHW!$F344)</f>
        <v/>
      </c>
      <c r="N1391">
        <f>IF(OHW!$G344="","",OHW!$G344)</f>
        <v/>
      </c>
      <c r="O1391">
        <f>IF(OHW!$G344="","",OHW!$I344)</f>
        <v/>
      </c>
      <c r="P1391">
        <f>IF(OHW!$G344="","","Final")</f>
        <v/>
      </c>
    </row>
    <row r="1392">
      <c r="A1392">
        <f>IF(OHW!$G345="","","OHW")</f>
        <v/>
      </c>
      <c r="B1392">
        <f>IF(OHW!$G345="","","OHW")</f>
        <v/>
      </c>
      <c r="C1392" s="18">
        <f>IF(OHW!$G345="","",OHW!$A345)</f>
        <v/>
      </c>
      <c r="F1392">
        <f>IF(OHW!$G345="","",OHW!$B345&amp;"")</f>
        <v/>
      </c>
      <c r="J1392">
        <f>IF(OHW!$G345="","",OHW!$E345)</f>
        <v/>
      </c>
      <c r="K1392">
        <f>IF(OHW!$G345="","",COUNTIFS(OHW!$A$5:$A$1668,OHW!$A345,OHW!$C$5:$C$1668,OHW!$C345))</f>
        <v/>
      </c>
      <c r="L1392">
        <f>IF(OHW!$G345="","",OHW!$D345&amp;"")</f>
        <v/>
      </c>
      <c r="M1392">
        <f>IF(OHW!$G345="","",OHW!$F345)</f>
        <v/>
      </c>
      <c r="N1392">
        <f>IF(OHW!$G345="","",OHW!$G345)</f>
        <v/>
      </c>
      <c r="O1392">
        <f>IF(OHW!$G345="","",OHW!$I345)</f>
        <v/>
      </c>
      <c r="P1392">
        <f>IF(OHW!$G345="","","Final")</f>
        <v/>
      </c>
    </row>
    <row r="1393">
      <c r="A1393">
        <f>IF(OHW!$G346="","","OHW")</f>
        <v/>
      </c>
      <c r="B1393">
        <f>IF(OHW!$G346="","","OHW")</f>
        <v/>
      </c>
      <c r="C1393" s="18">
        <f>IF(OHW!$G346="","",OHW!$A346)</f>
        <v/>
      </c>
      <c r="F1393">
        <f>IF(OHW!$G346="","",OHW!$B346&amp;"")</f>
        <v/>
      </c>
      <c r="J1393">
        <f>IF(OHW!$G346="","",OHW!$E346)</f>
        <v/>
      </c>
      <c r="K1393">
        <f>IF(OHW!$G346="","",COUNTIFS(OHW!$A$5:$A$1668,OHW!$A346,OHW!$C$5:$C$1668,OHW!$C346))</f>
        <v/>
      </c>
      <c r="L1393">
        <f>IF(OHW!$G346="","",OHW!$D346&amp;"")</f>
        <v/>
      </c>
      <c r="M1393">
        <f>IF(OHW!$G346="","",OHW!$F346)</f>
        <v/>
      </c>
      <c r="N1393">
        <f>IF(OHW!$G346="","",OHW!$G346)</f>
        <v/>
      </c>
      <c r="O1393">
        <f>IF(OHW!$G346="","",OHW!$I346)</f>
        <v/>
      </c>
      <c r="P1393">
        <f>IF(OHW!$G346="","","Final")</f>
        <v/>
      </c>
    </row>
    <row r="1394">
      <c r="A1394">
        <f>IF(OHW!$G347="","","OHW")</f>
        <v/>
      </c>
      <c r="B1394">
        <f>IF(OHW!$G347="","","OHW")</f>
        <v/>
      </c>
      <c r="C1394" s="18">
        <f>IF(OHW!$G347="","",OHW!$A347)</f>
        <v/>
      </c>
      <c r="F1394">
        <f>IF(OHW!$G347="","",OHW!$B347&amp;"")</f>
        <v/>
      </c>
      <c r="J1394">
        <f>IF(OHW!$G347="","",OHW!$E347)</f>
        <v/>
      </c>
      <c r="K1394">
        <f>IF(OHW!$G347="","",COUNTIFS(OHW!$A$5:$A$1668,OHW!$A347,OHW!$C$5:$C$1668,OHW!$C347))</f>
        <v/>
      </c>
      <c r="L1394">
        <f>IF(OHW!$G347="","",OHW!$D347&amp;"")</f>
        <v/>
      </c>
      <c r="M1394">
        <f>IF(OHW!$G347="","",OHW!$F347)</f>
        <v/>
      </c>
      <c r="N1394">
        <f>IF(OHW!$G347="","",OHW!$G347)</f>
        <v/>
      </c>
      <c r="O1394">
        <f>IF(OHW!$G347="","",OHW!$I347)</f>
        <v/>
      </c>
      <c r="P1394">
        <f>IF(OHW!$G347="","","Final")</f>
        <v/>
      </c>
    </row>
    <row r="1395">
      <c r="A1395">
        <f>IF(OHW!$G348="","","OHW")</f>
        <v/>
      </c>
      <c r="B1395">
        <f>IF(OHW!$G348="","","OHW")</f>
        <v/>
      </c>
      <c r="C1395" s="18">
        <f>IF(OHW!$G348="","",OHW!$A348)</f>
        <v/>
      </c>
      <c r="F1395">
        <f>IF(OHW!$G348="","",OHW!$B348&amp;"")</f>
        <v/>
      </c>
      <c r="J1395">
        <f>IF(OHW!$G348="","",OHW!$E348)</f>
        <v/>
      </c>
      <c r="K1395">
        <f>IF(OHW!$G348="","",COUNTIFS(OHW!$A$5:$A$1668,OHW!$A348,OHW!$C$5:$C$1668,OHW!$C348))</f>
        <v/>
      </c>
      <c r="L1395">
        <f>IF(OHW!$G348="","",OHW!$D348&amp;"")</f>
        <v/>
      </c>
      <c r="M1395">
        <f>IF(OHW!$G348="","",OHW!$F348)</f>
        <v/>
      </c>
      <c r="N1395">
        <f>IF(OHW!$G348="","",OHW!$G348)</f>
        <v/>
      </c>
      <c r="O1395">
        <f>IF(OHW!$G348="","",OHW!$I348)</f>
        <v/>
      </c>
      <c r="P1395">
        <f>IF(OHW!$G348="","","Final")</f>
        <v/>
      </c>
    </row>
    <row r="1396">
      <c r="A1396">
        <f>IF(OHW!$G349="","","OHW")</f>
        <v/>
      </c>
      <c r="B1396">
        <f>IF(OHW!$G349="","","OHW")</f>
        <v/>
      </c>
      <c r="C1396" s="18">
        <f>IF(OHW!$G349="","",OHW!$A349)</f>
        <v/>
      </c>
      <c r="F1396">
        <f>IF(OHW!$G349="","",OHW!$B349&amp;"")</f>
        <v/>
      </c>
      <c r="J1396">
        <f>IF(OHW!$G349="","",OHW!$E349)</f>
        <v/>
      </c>
      <c r="K1396">
        <f>IF(OHW!$G349="","",COUNTIFS(OHW!$A$5:$A$1668,OHW!$A349,OHW!$C$5:$C$1668,OHW!$C349))</f>
        <v/>
      </c>
      <c r="L1396">
        <f>IF(OHW!$G349="","",OHW!$D349&amp;"")</f>
        <v/>
      </c>
      <c r="M1396">
        <f>IF(OHW!$G349="","",OHW!$F349)</f>
        <v/>
      </c>
      <c r="N1396">
        <f>IF(OHW!$G349="","",OHW!$G349)</f>
        <v/>
      </c>
      <c r="O1396">
        <f>IF(OHW!$G349="","",OHW!$I349)</f>
        <v/>
      </c>
      <c r="P1396">
        <f>IF(OHW!$G349="","","Final")</f>
        <v/>
      </c>
    </row>
    <row r="1397">
      <c r="A1397">
        <f>IF(OHW!$G350="","","OHW")</f>
        <v/>
      </c>
      <c r="B1397">
        <f>IF(OHW!$G350="","","OHW")</f>
        <v/>
      </c>
      <c r="C1397" s="18">
        <f>IF(OHW!$G350="","",OHW!$A350)</f>
        <v/>
      </c>
      <c r="F1397">
        <f>IF(OHW!$G350="","",OHW!$B350&amp;"")</f>
        <v/>
      </c>
      <c r="J1397">
        <f>IF(OHW!$G350="","",OHW!$E350)</f>
        <v/>
      </c>
      <c r="K1397">
        <f>IF(OHW!$G350="","",COUNTIFS(OHW!$A$5:$A$1668,OHW!$A350,OHW!$C$5:$C$1668,OHW!$C350))</f>
        <v/>
      </c>
      <c r="L1397">
        <f>IF(OHW!$G350="","",OHW!$D350&amp;"")</f>
        <v/>
      </c>
      <c r="M1397">
        <f>IF(OHW!$G350="","",OHW!$F350)</f>
        <v/>
      </c>
      <c r="N1397">
        <f>IF(OHW!$G350="","",OHW!$G350)</f>
        <v/>
      </c>
      <c r="O1397">
        <f>IF(OHW!$G350="","",OHW!$I350)</f>
        <v/>
      </c>
      <c r="P1397">
        <f>IF(OHW!$G350="","","Final")</f>
        <v/>
      </c>
    </row>
    <row r="1398">
      <c r="A1398">
        <f>IF(OHW!$G351="","","OHW")</f>
        <v/>
      </c>
      <c r="B1398">
        <f>IF(OHW!$G351="","","OHW")</f>
        <v/>
      </c>
      <c r="C1398" s="18">
        <f>IF(OHW!$G351="","",OHW!$A351)</f>
        <v/>
      </c>
      <c r="F1398">
        <f>IF(OHW!$G351="","",OHW!$B351&amp;"")</f>
        <v/>
      </c>
      <c r="J1398">
        <f>IF(OHW!$G351="","",OHW!$E351)</f>
        <v/>
      </c>
      <c r="K1398">
        <f>IF(OHW!$G351="","",COUNTIFS(OHW!$A$5:$A$1668,OHW!$A351,OHW!$C$5:$C$1668,OHW!$C351))</f>
        <v/>
      </c>
      <c r="L1398">
        <f>IF(OHW!$G351="","",OHW!$D351&amp;"")</f>
        <v/>
      </c>
      <c r="M1398">
        <f>IF(OHW!$G351="","",OHW!$F351)</f>
        <v/>
      </c>
      <c r="N1398">
        <f>IF(OHW!$G351="","",OHW!$G351)</f>
        <v/>
      </c>
      <c r="O1398">
        <f>IF(OHW!$G351="","",OHW!$I351)</f>
        <v/>
      </c>
      <c r="P1398">
        <f>IF(OHW!$G351="","","Final")</f>
        <v/>
      </c>
    </row>
    <row r="1399">
      <c r="A1399">
        <f>IF(OHW!$G352="","","OHW")</f>
        <v/>
      </c>
      <c r="B1399">
        <f>IF(OHW!$G352="","","OHW")</f>
        <v/>
      </c>
      <c r="C1399" s="18">
        <f>IF(OHW!$G352="","",OHW!$A352)</f>
        <v/>
      </c>
      <c r="F1399">
        <f>IF(OHW!$G352="","",OHW!$B352&amp;"")</f>
        <v/>
      </c>
      <c r="J1399">
        <f>IF(OHW!$G352="","",OHW!$E352)</f>
        <v/>
      </c>
      <c r="K1399">
        <f>IF(OHW!$G352="","",COUNTIFS(OHW!$A$5:$A$1668,OHW!$A352,OHW!$C$5:$C$1668,OHW!$C352))</f>
        <v/>
      </c>
      <c r="L1399">
        <f>IF(OHW!$G352="","",OHW!$D352&amp;"")</f>
        <v/>
      </c>
      <c r="M1399">
        <f>IF(OHW!$G352="","",OHW!$F352)</f>
        <v/>
      </c>
      <c r="N1399">
        <f>IF(OHW!$G352="","",OHW!$G352)</f>
        <v/>
      </c>
      <c r="O1399">
        <f>IF(OHW!$G352="","",OHW!$I352)</f>
        <v/>
      </c>
      <c r="P1399">
        <f>IF(OHW!$G352="","","Final")</f>
        <v/>
      </c>
    </row>
    <row r="1400">
      <c r="A1400">
        <f>IF(OHW!$G353="","","OHW")</f>
        <v/>
      </c>
      <c r="B1400">
        <f>IF(OHW!$G353="","","OHW")</f>
        <v/>
      </c>
      <c r="C1400" s="18">
        <f>IF(OHW!$G353="","",OHW!$A353)</f>
        <v/>
      </c>
      <c r="F1400">
        <f>IF(OHW!$G353="","",OHW!$B353&amp;"")</f>
        <v/>
      </c>
      <c r="J1400">
        <f>IF(OHW!$G353="","",OHW!$E353)</f>
        <v/>
      </c>
      <c r="K1400">
        <f>IF(OHW!$G353="","",COUNTIFS(OHW!$A$5:$A$1668,OHW!$A353,OHW!$C$5:$C$1668,OHW!$C353))</f>
        <v/>
      </c>
      <c r="L1400">
        <f>IF(OHW!$G353="","",OHW!$D353&amp;"")</f>
        <v/>
      </c>
      <c r="M1400">
        <f>IF(OHW!$G353="","",OHW!$F353)</f>
        <v/>
      </c>
      <c r="N1400">
        <f>IF(OHW!$G353="","",OHW!$G353)</f>
        <v/>
      </c>
      <c r="O1400">
        <f>IF(OHW!$G353="","",OHW!$I353)</f>
        <v/>
      </c>
      <c r="P1400">
        <f>IF(OHW!$G353="","","Final")</f>
        <v/>
      </c>
    </row>
    <row r="1401">
      <c r="A1401">
        <f>IF(OHW!$G354="","","OHW")</f>
        <v/>
      </c>
      <c r="B1401">
        <f>IF(OHW!$G354="","","OHW")</f>
        <v/>
      </c>
      <c r="C1401" s="18">
        <f>IF(OHW!$G354="","",OHW!$A354)</f>
        <v/>
      </c>
      <c r="F1401">
        <f>IF(OHW!$G354="","",OHW!$B354&amp;"")</f>
        <v/>
      </c>
      <c r="J1401">
        <f>IF(OHW!$G354="","",OHW!$E354)</f>
        <v/>
      </c>
      <c r="K1401">
        <f>IF(OHW!$G354="","",COUNTIFS(OHW!$A$5:$A$1668,OHW!$A354,OHW!$C$5:$C$1668,OHW!$C354))</f>
        <v/>
      </c>
      <c r="L1401">
        <f>IF(OHW!$G354="","",OHW!$D354&amp;"")</f>
        <v/>
      </c>
      <c r="M1401">
        <f>IF(OHW!$G354="","",OHW!$F354)</f>
        <v/>
      </c>
      <c r="N1401">
        <f>IF(OHW!$G354="","",OHW!$G354)</f>
        <v/>
      </c>
      <c r="O1401">
        <f>IF(OHW!$G354="","",OHW!$I354)</f>
        <v/>
      </c>
      <c r="P1401">
        <f>IF(OHW!$G354="","","Final")</f>
        <v/>
      </c>
    </row>
    <row r="1402">
      <c r="A1402">
        <f>IF(OHW!$G355="","","OHW")</f>
        <v/>
      </c>
      <c r="B1402">
        <f>IF(OHW!$G355="","","OHW")</f>
        <v/>
      </c>
      <c r="C1402" s="18">
        <f>IF(OHW!$G355="","",OHW!$A355)</f>
        <v/>
      </c>
      <c r="F1402">
        <f>IF(OHW!$G355="","",OHW!$B355&amp;"")</f>
        <v/>
      </c>
      <c r="J1402">
        <f>IF(OHW!$G355="","",OHW!$E355)</f>
        <v/>
      </c>
      <c r="K1402">
        <f>IF(OHW!$G355="","",COUNTIFS(OHW!$A$5:$A$1668,OHW!$A355,OHW!$C$5:$C$1668,OHW!$C355))</f>
        <v/>
      </c>
      <c r="L1402">
        <f>IF(OHW!$G355="","",OHW!$D355&amp;"")</f>
        <v/>
      </c>
      <c r="M1402">
        <f>IF(OHW!$G355="","",OHW!$F355)</f>
        <v/>
      </c>
      <c r="N1402">
        <f>IF(OHW!$G355="","",OHW!$G355)</f>
        <v/>
      </c>
      <c r="O1402">
        <f>IF(OHW!$G355="","",OHW!$I355)</f>
        <v/>
      </c>
      <c r="P1402">
        <f>IF(OHW!$G355="","","Final")</f>
        <v/>
      </c>
    </row>
    <row r="1403">
      <c r="A1403">
        <f>IF(OHW!$G356="","","OHW")</f>
        <v/>
      </c>
      <c r="B1403">
        <f>IF(OHW!$G356="","","OHW")</f>
        <v/>
      </c>
      <c r="C1403" s="18">
        <f>IF(OHW!$G356="","",OHW!$A356)</f>
        <v/>
      </c>
      <c r="F1403">
        <f>IF(OHW!$G356="","",OHW!$B356&amp;"")</f>
        <v/>
      </c>
      <c r="J1403">
        <f>IF(OHW!$G356="","",OHW!$E356)</f>
        <v/>
      </c>
      <c r="K1403">
        <f>IF(OHW!$G356="","",COUNTIFS(OHW!$A$5:$A$1668,OHW!$A356,OHW!$C$5:$C$1668,OHW!$C356))</f>
        <v/>
      </c>
      <c r="L1403">
        <f>IF(OHW!$G356="","",OHW!$D356&amp;"")</f>
        <v/>
      </c>
      <c r="M1403">
        <f>IF(OHW!$G356="","",OHW!$F356)</f>
        <v/>
      </c>
      <c r="N1403">
        <f>IF(OHW!$G356="","",OHW!$G356)</f>
        <v/>
      </c>
      <c r="O1403">
        <f>IF(OHW!$G356="","",OHW!$I356)</f>
        <v/>
      </c>
      <c r="P1403">
        <f>IF(OHW!$G356="","","Final")</f>
        <v/>
      </c>
    </row>
    <row r="1404">
      <c r="A1404">
        <f>IF(OHW!$G357="","","OHW")</f>
        <v/>
      </c>
      <c r="B1404">
        <f>IF(OHW!$G357="","","OHW")</f>
        <v/>
      </c>
      <c r="C1404" s="18">
        <f>IF(OHW!$G357="","",OHW!$A357)</f>
        <v/>
      </c>
      <c r="F1404">
        <f>IF(OHW!$G357="","",OHW!$B357&amp;"")</f>
        <v/>
      </c>
      <c r="J1404">
        <f>IF(OHW!$G357="","",OHW!$E357)</f>
        <v/>
      </c>
      <c r="K1404">
        <f>IF(OHW!$G357="","",COUNTIFS(OHW!$A$5:$A$1668,OHW!$A357,OHW!$C$5:$C$1668,OHW!$C357))</f>
        <v/>
      </c>
      <c r="L1404">
        <f>IF(OHW!$G357="","",OHW!$D357&amp;"")</f>
        <v/>
      </c>
      <c r="M1404">
        <f>IF(OHW!$G357="","",OHW!$F357)</f>
        <v/>
      </c>
      <c r="N1404">
        <f>IF(OHW!$G357="","",OHW!$G357)</f>
        <v/>
      </c>
      <c r="O1404">
        <f>IF(OHW!$G357="","",OHW!$I357)</f>
        <v/>
      </c>
      <c r="P1404">
        <f>IF(OHW!$G357="","","Final")</f>
        <v/>
      </c>
    </row>
    <row r="1405">
      <c r="A1405">
        <f>IF(OHW!$G358="","","OHW")</f>
        <v/>
      </c>
      <c r="B1405">
        <f>IF(OHW!$G358="","","OHW")</f>
        <v/>
      </c>
      <c r="C1405" s="18">
        <f>IF(OHW!$G358="","",OHW!$A358)</f>
        <v/>
      </c>
      <c r="F1405">
        <f>IF(OHW!$G358="","",OHW!$B358&amp;"")</f>
        <v/>
      </c>
      <c r="J1405">
        <f>IF(OHW!$G358="","",OHW!$E358)</f>
        <v/>
      </c>
      <c r="K1405">
        <f>IF(OHW!$G358="","",COUNTIFS(OHW!$A$5:$A$1668,OHW!$A358,OHW!$C$5:$C$1668,OHW!$C358))</f>
        <v/>
      </c>
      <c r="L1405">
        <f>IF(OHW!$G358="","",OHW!$D358&amp;"")</f>
        <v/>
      </c>
      <c r="M1405">
        <f>IF(OHW!$G358="","",OHW!$F358)</f>
        <v/>
      </c>
      <c r="N1405">
        <f>IF(OHW!$G358="","",OHW!$G358)</f>
        <v/>
      </c>
      <c r="O1405">
        <f>IF(OHW!$G358="","",OHW!$I358)</f>
        <v/>
      </c>
      <c r="P1405">
        <f>IF(OHW!$G358="","","Final")</f>
        <v/>
      </c>
    </row>
    <row r="1406">
      <c r="A1406">
        <f>IF(OHW!$G359="","","OHW")</f>
        <v/>
      </c>
      <c r="B1406">
        <f>IF(OHW!$G359="","","OHW")</f>
        <v/>
      </c>
      <c r="C1406" s="18">
        <f>IF(OHW!$G359="","",OHW!$A359)</f>
        <v/>
      </c>
      <c r="F1406">
        <f>IF(OHW!$G359="","",OHW!$B359&amp;"")</f>
        <v/>
      </c>
      <c r="J1406">
        <f>IF(OHW!$G359="","",OHW!$E359)</f>
        <v/>
      </c>
      <c r="K1406">
        <f>IF(OHW!$G359="","",COUNTIFS(OHW!$A$5:$A$1668,OHW!$A359,OHW!$C$5:$C$1668,OHW!$C359))</f>
        <v/>
      </c>
      <c r="L1406">
        <f>IF(OHW!$G359="","",OHW!$D359&amp;"")</f>
        <v/>
      </c>
      <c r="M1406">
        <f>IF(OHW!$G359="","",OHW!$F359)</f>
        <v/>
      </c>
      <c r="N1406">
        <f>IF(OHW!$G359="","",OHW!$G359)</f>
        <v/>
      </c>
      <c r="O1406">
        <f>IF(OHW!$G359="","",OHW!$I359)</f>
        <v/>
      </c>
      <c r="P1406">
        <f>IF(OHW!$G359="","","Final")</f>
        <v/>
      </c>
    </row>
    <row r="1407">
      <c r="A1407">
        <f>IF(OHW!$G360="","","OHW")</f>
        <v/>
      </c>
      <c r="B1407">
        <f>IF(OHW!$G360="","","OHW")</f>
        <v/>
      </c>
      <c r="C1407" s="18">
        <f>IF(OHW!$G360="","",OHW!$A360)</f>
        <v/>
      </c>
      <c r="F1407">
        <f>IF(OHW!$G360="","",OHW!$B360&amp;"")</f>
        <v/>
      </c>
      <c r="J1407">
        <f>IF(OHW!$G360="","",OHW!$E360)</f>
        <v/>
      </c>
      <c r="K1407">
        <f>IF(OHW!$G360="","",COUNTIFS(OHW!$A$5:$A$1668,OHW!$A360,OHW!$C$5:$C$1668,OHW!$C360))</f>
        <v/>
      </c>
      <c r="L1407">
        <f>IF(OHW!$G360="","",OHW!$D360&amp;"")</f>
        <v/>
      </c>
      <c r="M1407">
        <f>IF(OHW!$G360="","",OHW!$F360)</f>
        <v/>
      </c>
      <c r="N1407">
        <f>IF(OHW!$G360="","",OHW!$G360)</f>
        <v/>
      </c>
      <c r="O1407">
        <f>IF(OHW!$G360="","",OHW!$I360)</f>
        <v/>
      </c>
      <c r="P1407">
        <f>IF(OHW!$G360="","","Final")</f>
        <v/>
      </c>
    </row>
    <row r="1408">
      <c r="A1408">
        <f>IF(OHW!$G361="","","OHW")</f>
        <v/>
      </c>
      <c r="B1408">
        <f>IF(OHW!$G361="","","OHW")</f>
        <v/>
      </c>
      <c r="C1408" s="18">
        <f>IF(OHW!$G361="","",OHW!$A361)</f>
        <v/>
      </c>
      <c r="F1408">
        <f>IF(OHW!$G361="","",OHW!$B361&amp;"")</f>
        <v/>
      </c>
      <c r="J1408">
        <f>IF(OHW!$G361="","",OHW!$E361)</f>
        <v/>
      </c>
      <c r="K1408">
        <f>IF(OHW!$G361="","",COUNTIFS(OHW!$A$5:$A$1668,OHW!$A361,OHW!$C$5:$C$1668,OHW!$C361))</f>
        <v/>
      </c>
      <c r="L1408">
        <f>IF(OHW!$G361="","",OHW!$D361&amp;"")</f>
        <v/>
      </c>
      <c r="M1408">
        <f>IF(OHW!$G361="","",OHW!$F361)</f>
        <v/>
      </c>
      <c r="N1408">
        <f>IF(OHW!$G361="","",OHW!$G361)</f>
        <v/>
      </c>
      <c r="O1408">
        <f>IF(OHW!$G361="","",OHW!$I361)</f>
        <v/>
      </c>
      <c r="P1408">
        <f>IF(OHW!$G361="","","Final")</f>
        <v/>
      </c>
    </row>
    <row r="1409">
      <c r="A1409">
        <f>IF(OHW!$G362="","","OHW")</f>
        <v/>
      </c>
      <c r="B1409">
        <f>IF(OHW!$G362="","","OHW")</f>
        <v/>
      </c>
      <c r="C1409" s="18">
        <f>IF(OHW!$G362="","",OHW!$A362)</f>
        <v/>
      </c>
      <c r="F1409">
        <f>IF(OHW!$G362="","",OHW!$B362&amp;"")</f>
        <v/>
      </c>
      <c r="J1409">
        <f>IF(OHW!$G362="","",OHW!$E362)</f>
        <v/>
      </c>
      <c r="K1409">
        <f>IF(OHW!$G362="","",COUNTIFS(OHW!$A$5:$A$1668,OHW!$A362,OHW!$C$5:$C$1668,OHW!$C362))</f>
        <v/>
      </c>
      <c r="L1409">
        <f>IF(OHW!$G362="","",OHW!$D362&amp;"")</f>
        <v/>
      </c>
      <c r="M1409">
        <f>IF(OHW!$G362="","",OHW!$F362)</f>
        <v/>
      </c>
      <c r="N1409">
        <f>IF(OHW!$G362="","",OHW!$G362)</f>
        <v/>
      </c>
      <c r="O1409">
        <f>IF(OHW!$G362="","",OHW!$I362)</f>
        <v/>
      </c>
      <c r="P1409">
        <f>IF(OHW!$G362="","","Final")</f>
        <v/>
      </c>
    </row>
    <row r="1410">
      <c r="A1410">
        <f>IF(OHW!$G363="","","OHW")</f>
        <v/>
      </c>
      <c r="B1410">
        <f>IF(OHW!$G363="","","OHW")</f>
        <v/>
      </c>
      <c r="C1410" s="18">
        <f>IF(OHW!$G363="","",OHW!$A363)</f>
        <v/>
      </c>
      <c r="F1410">
        <f>IF(OHW!$G363="","",OHW!$B363&amp;"")</f>
        <v/>
      </c>
      <c r="J1410">
        <f>IF(OHW!$G363="","",OHW!$E363)</f>
        <v/>
      </c>
      <c r="K1410">
        <f>IF(OHW!$G363="","",COUNTIFS(OHW!$A$5:$A$1668,OHW!$A363,OHW!$C$5:$C$1668,OHW!$C363))</f>
        <v/>
      </c>
      <c r="L1410">
        <f>IF(OHW!$G363="","",OHW!$D363&amp;"")</f>
        <v/>
      </c>
      <c r="M1410">
        <f>IF(OHW!$G363="","",OHW!$F363)</f>
        <v/>
      </c>
      <c r="N1410">
        <f>IF(OHW!$G363="","",OHW!$G363)</f>
        <v/>
      </c>
      <c r="O1410">
        <f>IF(OHW!$G363="","",OHW!$I363)</f>
        <v/>
      </c>
      <c r="P1410">
        <f>IF(OHW!$G363="","","Final")</f>
        <v/>
      </c>
    </row>
    <row r="1411">
      <c r="A1411">
        <f>IF(OHW!$G364="","","OHW")</f>
        <v/>
      </c>
      <c r="B1411">
        <f>IF(OHW!$G364="","","OHW")</f>
        <v/>
      </c>
      <c r="C1411" s="18">
        <f>IF(OHW!$G364="","",OHW!$A364)</f>
        <v/>
      </c>
      <c r="F1411">
        <f>IF(OHW!$G364="","",OHW!$B364&amp;"")</f>
        <v/>
      </c>
      <c r="J1411">
        <f>IF(OHW!$G364="","",OHW!$E364)</f>
        <v/>
      </c>
      <c r="K1411">
        <f>IF(OHW!$G364="","",COUNTIFS(OHW!$A$5:$A$1668,OHW!$A364,OHW!$C$5:$C$1668,OHW!$C364))</f>
        <v/>
      </c>
      <c r="L1411">
        <f>IF(OHW!$G364="","",OHW!$D364&amp;"")</f>
        <v/>
      </c>
      <c r="M1411">
        <f>IF(OHW!$G364="","",OHW!$F364)</f>
        <v/>
      </c>
      <c r="N1411">
        <f>IF(OHW!$G364="","",OHW!$G364)</f>
        <v/>
      </c>
      <c r="O1411">
        <f>IF(OHW!$G364="","",OHW!$I364)</f>
        <v/>
      </c>
      <c r="P1411">
        <f>IF(OHW!$G364="","","Final")</f>
        <v/>
      </c>
    </row>
    <row r="1412">
      <c r="A1412">
        <f>IF(OHW!$G365="","","OHW")</f>
        <v/>
      </c>
      <c r="B1412">
        <f>IF(OHW!$G365="","","OHW")</f>
        <v/>
      </c>
      <c r="C1412" s="18">
        <f>IF(OHW!$G365="","",OHW!$A365)</f>
        <v/>
      </c>
      <c r="F1412">
        <f>IF(OHW!$G365="","",OHW!$B365&amp;"")</f>
        <v/>
      </c>
      <c r="J1412">
        <f>IF(OHW!$G365="","",OHW!$E365)</f>
        <v/>
      </c>
      <c r="K1412">
        <f>IF(OHW!$G365="","",COUNTIFS(OHW!$A$5:$A$1668,OHW!$A365,OHW!$C$5:$C$1668,OHW!$C365))</f>
        <v/>
      </c>
      <c r="L1412">
        <f>IF(OHW!$G365="","",OHW!$D365&amp;"")</f>
        <v/>
      </c>
      <c r="M1412">
        <f>IF(OHW!$G365="","",OHW!$F365)</f>
        <v/>
      </c>
      <c r="N1412">
        <f>IF(OHW!$G365="","",OHW!$G365)</f>
        <v/>
      </c>
      <c r="O1412">
        <f>IF(OHW!$G365="","",OHW!$I365)</f>
        <v/>
      </c>
      <c r="P1412">
        <f>IF(OHW!$G365="","","Final")</f>
        <v/>
      </c>
    </row>
    <row r="1413">
      <c r="A1413">
        <f>IF(OHW!$G366="","","OHW")</f>
        <v/>
      </c>
      <c r="B1413">
        <f>IF(OHW!$G366="","","OHW")</f>
        <v/>
      </c>
      <c r="C1413" s="18">
        <f>IF(OHW!$G366="","",OHW!$A366)</f>
        <v/>
      </c>
      <c r="F1413">
        <f>IF(OHW!$G366="","",OHW!$B366&amp;"")</f>
        <v/>
      </c>
      <c r="J1413">
        <f>IF(OHW!$G366="","",OHW!$E366)</f>
        <v/>
      </c>
      <c r="K1413">
        <f>IF(OHW!$G366="","",COUNTIFS(OHW!$A$5:$A$1668,OHW!$A366,OHW!$C$5:$C$1668,OHW!$C366))</f>
        <v/>
      </c>
      <c r="L1413">
        <f>IF(OHW!$G366="","",OHW!$D366&amp;"")</f>
        <v/>
      </c>
      <c r="M1413">
        <f>IF(OHW!$G366="","",OHW!$F366)</f>
        <v/>
      </c>
      <c r="N1413">
        <f>IF(OHW!$G366="","",OHW!$G366)</f>
        <v/>
      </c>
      <c r="O1413">
        <f>IF(OHW!$G366="","",OHW!$I366)</f>
        <v/>
      </c>
      <c r="P1413">
        <f>IF(OHW!$G366="","","Final")</f>
        <v/>
      </c>
    </row>
    <row r="1414">
      <c r="A1414">
        <f>IF(OHW!$G367="","","OHW")</f>
        <v/>
      </c>
      <c r="B1414">
        <f>IF(OHW!$G367="","","OHW")</f>
        <v/>
      </c>
      <c r="C1414" s="18">
        <f>IF(OHW!$G367="","",OHW!$A367)</f>
        <v/>
      </c>
      <c r="F1414">
        <f>IF(OHW!$G367="","",OHW!$B367&amp;"")</f>
        <v/>
      </c>
      <c r="J1414">
        <f>IF(OHW!$G367="","",OHW!$E367)</f>
        <v/>
      </c>
      <c r="K1414">
        <f>IF(OHW!$G367="","",COUNTIFS(OHW!$A$5:$A$1668,OHW!$A367,OHW!$C$5:$C$1668,OHW!$C367))</f>
        <v/>
      </c>
      <c r="L1414">
        <f>IF(OHW!$G367="","",OHW!$D367&amp;"")</f>
        <v/>
      </c>
      <c r="M1414">
        <f>IF(OHW!$G367="","",OHW!$F367)</f>
        <v/>
      </c>
      <c r="N1414">
        <f>IF(OHW!$G367="","",OHW!$G367)</f>
        <v/>
      </c>
      <c r="O1414">
        <f>IF(OHW!$G367="","",OHW!$I367)</f>
        <v/>
      </c>
      <c r="P1414">
        <f>IF(OHW!$G367="","","Final")</f>
        <v/>
      </c>
    </row>
    <row r="1415">
      <c r="A1415">
        <f>IF(OHW!$G368="","","OHW")</f>
        <v/>
      </c>
      <c r="B1415">
        <f>IF(OHW!$G368="","","OHW")</f>
        <v/>
      </c>
      <c r="C1415" s="18">
        <f>IF(OHW!$G368="","",OHW!$A368)</f>
        <v/>
      </c>
      <c r="F1415">
        <f>IF(OHW!$G368="","",OHW!$B368&amp;"")</f>
        <v/>
      </c>
      <c r="J1415">
        <f>IF(OHW!$G368="","",OHW!$E368)</f>
        <v/>
      </c>
      <c r="K1415">
        <f>IF(OHW!$G368="","",COUNTIFS(OHW!$A$5:$A$1668,OHW!$A368,OHW!$C$5:$C$1668,OHW!$C368))</f>
        <v/>
      </c>
      <c r="L1415">
        <f>IF(OHW!$G368="","",OHW!$D368&amp;"")</f>
        <v/>
      </c>
      <c r="M1415">
        <f>IF(OHW!$G368="","",OHW!$F368)</f>
        <v/>
      </c>
      <c r="N1415">
        <f>IF(OHW!$G368="","",OHW!$G368)</f>
        <v/>
      </c>
      <c r="O1415">
        <f>IF(OHW!$G368="","",OHW!$I368)</f>
        <v/>
      </c>
      <c r="P1415">
        <f>IF(OHW!$G368="","","Final")</f>
        <v/>
      </c>
    </row>
    <row r="1416">
      <c r="A1416">
        <f>IF(OHW!$G369="","","OHW")</f>
        <v/>
      </c>
      <c r="B1416">
        <f>IF(OHW!$G369="","","OHW")</f>
        <v/>
      </c>
      <c r="C1416" s="18">
        <f>IF(OHW!$G369="","",OHW!$A369)</f>
        <v/>
      </c>
      <c r="F1416">
        <f>IF(OHW!$G369="","",OHW!$B369&amp;"")</f>
        <v/>
      </c>
      <c r="J1416">
        <f>IF(OHW!$G369="","",OHW!$E369)</f>
        <v/>
      </c>
      <c r="K1416">
        <f>IF(OHW!$G369="","",COUNTIFS(OHW!$A$5:$A$1668,OHW!$A369,OHW!$C$5:$C$1668,OHW!$C369))</f>
        <v/>
      </c>
      <c r="L1416">
        <f>IF(OHW!$G369="","",OHW!$D369&amp;"")</f>
        <v/>
      </c>
      <c r="M1416">
        <f>IF(OHW!$G369="","",OHW!$F369)</f>
        <v/>
      </c>
      <c r="N1416">
        <f>IF(OHW!$G369="","",OHW!$G369)</f>
        <v/>
      </c>
      <c r="O1416">
        <f>IF(OHW!$G369="","",OHW!$I369)</f>
        <v/>
      </c>
      <c r="P1416">
        <f>IF(OHW!$G369="","","Final")</f>
        <v/>
      </c>
    </row>
    <row r="1417">
      <c r="A1417">
        <f>IF(OHW!$G370="","","OHW")</f>
        <v/>
      </c>
      <c r="B1417">
        <f>IF(OHW!$G370="","","OHW")</f>
        <v/>
      </c>
      <c r="C1417" s="18">
        <f>IF(OHW!$G370="","",OHW!$A370)</f>
        <v/>
      </c>
      <c r="F1417">
        <f>IF(OHW!$G370="","",OHW!$B370&amp;"")</f>
        <v/>
      </c>
      <c r="J1417">
        <f>IF(OHW!$G370="","",OHW!$E370)</f>
        <v/>
      </c>
      <c r="K1417">
        <f>IF(OHW!$G370="","",COUNTIFS(OHW!$A$5:$A$1668,OHW!$A370,OHW!$C$5:$C$1668,OHW!$C370))</f>
        <v/>
      </c>
      <c r="L1417">
        <f>IF(OHW!$G370="","",OHW!$D370&amp;"")</f>
        <v/>
      </c>
      <c r="M1417">
        <f>IF(OHW!$G370="","",OHW!$F370)</f>
        <v/>
      </c>
      <c r="N1417">
        <f>IF(OHW!$G370="","",OHW!$G370)</f>
        <v/>
      </c>
      <c r="O1417">
        <f>IF(OHW!$G370="","",OHW!$I370)</f>
        <v/>
      </c>
      <c r="P1417">
        <f>IF(OHW!$G370="","","Final")</f>
        <v/>
      </c>
    </row>
    <row r="1418">
      <c r="A1418">
        <f>IF(OHW!$G371="","","OHW")</f>
        <v/>
      </c>
      <c r="B1418">
        <f>IF(OHW!$G371="","","OHW")</f>
        <v/>
      </c>
      <c r="C1418" s="18">
        <f>IF(OHW!$G371="","",OHW!$A371)</f>
        <v/>
      </c>
      <c r="F1418">
        <f>IF(OHW!$G371="","",OHW!$B371&amp;"")</f>
        <v/>
      </c>
      <c r="J1418">
        <f>IF(OHW!$G371="","",OHW!$E371)</f>
        <v/>
      </c>
      <c r="K1418">
        <f>IF(OHW!$G371="","",COUNTIFS(OHW!$A$5:$A$1668,OHW!$A371,OHW!$C$5:$C$1668,OHW!$C371))</f>
        <v/>
      </c>
      <c r="L1418">
        <f>IF(OHW!$G371="","",OHW!$D371&amp;"")</f>
        <v/>
      </c>
      <c r="M1418">
        <f>IF(OHW!$G371="","",OHW!$F371)</f>
        <v/>
      </c>
      <c r="N1418">
        <f>IF(OHW!$G371="","",OHW!$G371)</f>
        <v/>
      </c>
      <c r="O1418">
        <f>IF(OHW!$G371="","",OHW!$I371)</f>
        <v/>
      </c>
      <c r="P1418">
        <f>IF(OHW!$G371="","","Final")</f>
        <v/>
      </c>
    </row>
    <row r="1419">
      <c r="A1419">
        <f>IF(OHW!$G372="","","OHW")</f>
        <v/>
      </c>
      <c r="B1419">
        <f>IF(OHW!$G372="","","OHW")</f>
        <v/>
      </c>
      <c r="C1419" s="18">
        <f>IF(OHW!$G372="","",OHW!$A372)</f>
        <v/>
      </c>
      <c r="F1419">
        <f>IF(OHW!$G372="","",OHW!$B372&amp;"")</f>
        <v/>
      </c>
      <c r="J1419">
        <f>IF(OHW!$G372="","",OHW!$E372)</f>
        <v/>
      </c>
      <c r="K1419">
        <f>IF(OHW!$G372="","",COUNTIFS(OHW!$A$5:$A$1668,OHW!$A372,OHW!$C$5:$C$1668,OHW!$C372))</f>
        <v/>
      </c>
      <c r="L1419">
        <f>IF(OHW!$G372="","",OHW!$D372&amp;"")</f>
        <v/>
      </c>
      <c r="M1419">
        <f>IF(OHW!$G372="","",OHW!$F372)</f>
        <v/>
      </c>
      <c r="N1419">
        <f>IF(OHW!$G372="","",OHW!$G372)</f>
        <v/>
      </c>
      <c r="O1419">
        <f>IF(OHW!$G372="","",OHW!$I372)</f>
        <v/>
      </c>
      <c r="P1419">
        <f>IF(OHW!$G372="","","Final")</f>
        <v/>
      </c>
    </row>
    <row r="1420">
      <c r="A1420">
        <f>IF(OHW!$G373="","","OHW")</f>
        <v/>
      </c>
      <c r="B1420">
        <f>IF(OHW!$G373="","","OHW")</f>
        <v/>
      </c>
      <c r="C1420" s="18">
        <f>IF(OHW!$G373="","",OHW!$A373)</f>
        <v/>
      </c>
      <c r="F1420">
        <f>IF(OHW!$G373="","",OHW!$B373&amp;"")</f>
        <v/>
      </c>
      <c r="J1420">
        <f>IF(OHW!$G373="","",OHW!$E373)</f>
        <v/>
      </c>
      <c r="K1420">
        <f>IF(OHW!$G373="","",COUNTIFS(OHW!$A$5:$A$1668,OHW!$A373,OHW!$C$5:$C$1668,OHW!$C373))</f>
        <v/>
      </c>
      <c r="L1420">
        <f>IF(OHW!$G373="","",OHW!$D373&amp;"")</f>
        <v/>
      </c>
      <c r="M1420">
        <f>IF(OHW!$G373="","",OHW!$F373)</f>
        <v/>
      </c>
      <c r="N1420">
        <f>IF(OHW!$G373="","",OHW!$G373)</f>
        <v/>
      </c>
      <c r="O1420">
        <f>IF(OHW!$G373="","",OHW!$I373)</f>
        <v/>
      </c>
      <c r="P1420">
        <f>IF(OHW!$G373="","","Final")</f>
        <v/>
      </c>
    </row>
    <row r="1421">
      <c r="A1421">
        <f>IF(OHW!$G374="","","OHW")</f>
        <v/>
      </c>
      <c r="B1421">
        <f>IF(OHW!$G374="","","OHW")</f>
        <v/>
      </c>
      <c r="C1421" s="18">
        <f>IF(OHW!$G374="","",OHW!$A374)</f>
        <v/>
      </c>
      <c r="F1421">
        <f>IF(OHW!$G374="","",OHW!$B374&amp;"")</f>
        <v/>
      </c>
      <c r="J1421">
        <f>IF(OHW!$G374="","",OHW!$E374)</f>
        <v/>
      </c>
      <c r="K1421">
        <f>IF(OHW!$G374="","",COUNTIFS(OHW!$A$5:$A$1668,OHW!$A374,OHW!$C$5:$C$1668,OHW!$C374))</f>
        <v/>
      </c>
      <c r="L1421">
        <f>IF(OHW!$G374="","",OHW!$D374&amp;"")</f>
        <v/>
      </c>
      <c r="M1421">
        <f>IF(OHW!$G374="","",OHW!$F374)</f>
        <v/>
      </c>
      <c r="N1421">
        <f>IF(OHW!$G374="","",OHW!$G374)</f>
        <v/>
      </c>
      <c r="O1421">
        <f>IF(OHW!$G374="","",OHW!$I374)</f>
        <v/>
      </c>
      <c r="P1421">
        <f>IF(OHW!$G374="","","Final")</f>
        <v/>
      </c>
    </row>
    <row r="1422">
      <c r="A1422">
        <f>IF(OHW!$G375="","","OHW")</f>
        <v/>
      </c>
      <c r="B1422">
        <f>IF(OHW!$G375="","","OHW")</f>
        <v/>
      </c>
      <c r="C1422" s="18">
        <f>IF(OHW!$G375="","",OHW!$A375)</f>
        <v/>
      </c>
      <c r="F1422">
        <f>IF(OHW!$G375="","",OHW!$B375&amp;"")</f>
        <v/>
      </c>
      <c r="J1422">
        <f>IF(OHW!$G375="","",OHW!$E375)</f>
        <v/>
      </c>
      <c r="K1422">
        <f>IF(OHW!$G375="","",COUNTIFS(OHW!$A$5:$A$1668,OHW!$A375,OHW!$C$5:$C$1668,OHW!$C375))</f>
        <v/>
      </c>
      <c r="L1422">
        <f>IF(OHW!$G375="","",OHW!$D375&amp;"")</f>
        <v/>
      </c>
      <c r="M1422">
        <f>IF(OHW!$G375="","",OHW!$F375)</f>
        <v/>
      </c>
      <c r="N1422">
        <f>IF(OHW!$G375="","",OHW!$G375)</f>
        <v/>
      </c>
      <c r="O1422">
        <f>IF(OHW!$G375="","",OHW!$I375)</f>
        <v/>
      </c>
      <c r="P1422">
        <f>IF(OHW!$G375="","","Final")</f>
        <v/>
      </c>
    </row>
    <row r="1423">
      <c r="A1423">
        <f>IF(OHW!$G376="","","OHW")</f>
        <v/>
      </c>
      <c r="B1423">
        <f>IF(OHW!$G376="","","OHW")</f>
        <v/>
      </c>
      <c r="C1423" s="18">
        <f>IF(OHW!$G376="","",OHW!$A376)</f>
        <v/>
      </c>
      <c r="F1423">
        <f>IF(OHW!$G376="","",OHW!$B376&amp;"")</f>
        <v/>
      </c>
      <c r="J1423">
        <f>IF(OHW!$G376="","",OHW!$E376)</f>
        <v/>
      </c>
      <c r="K1423">
        <f>IF(OHW!$G376="","",COUNTIFS(OHW!$A$5:$A$1668,OHW!$A376,OHW!$C$5:$C$1668,OHW!$C376))</f>
        <v/>
      </c>
      <c r="L1423">
        <f>IF(OHW!$G376="","",OHW!$D376&amp;"")</f>
        <v/>
      </c>
      <c r="M1423">
        <f>IF(OHW!$G376="","",OHW!$F376)</f>
        <v/>
      </c>
      <c r="N1423">
        <f>IF(OHW!$G376="","",OHW!$G376)</f>
        <v/>
      </c>
      <c r="O1423">
        <f>IF(OHW!$G376="","",OHW!$I376)</f>
        <v/>
      </c>
      <c r="P1423">
        <f>IF(OHW!$G376="","","Final")</f>
        <v/>
      </c>
    </row>
    <row r="1424">
      <c r="A1424">
        <f>IF(OHW!$G377="","","OHW")</f>
        <v/>
      </c>
      <c r="B1424">
        <f>IF(OHW!$G377="","","OHW")</f>
        <v/>
      </c>
      <c r="C1424" s="18">
        <f>IF(OHW!$G377="","",OHW!$A377)</f>
        <v/>
      </c>
      <c r="F1424">
        <f>IF(OHW!$G377="","",OHW!$B377&amp;"")</f>
        <v/>
      </c>
      <c r="J1424">
        <f>IF(OHW!$G377="","",OHW!$E377)</f>
        <v/>
      </c>
      <c r="K1424">
        <f>IF(OHW!$G377="","",COUNTIFS(OHW!$A$5:$A$1668,OHW!$A377,OHW!$C$5:$C$1668,OHW!$C377))</f>
        <v/>
      </c>
      <c r="L1424">
        <f>IF(OHW!$G377="","",OHW!$D377&amp;"")</f>
        <v/>
      </c>
      <c r="M1424">
        <f>IF(OHW!$G377="","",OHW!$F377)</f>
        <v/>
      </c>
      <c r="N1424">
        <f>IF(OHW!$G377="","",OHW!$G377)</f>
        <v/>
      </c>
      <c r="O1424">
        <f>IF(OHW!$G377="","",OHW!$I377)</f>
        <v/>
      </c>
      <c r="P1424">
        <f>IF(OHW!$G377="","","Final")</f>
        <v/>
      </c>
    </row>
    <row r="1425">
      <c r="A1425">
        <f>IF(OHW!$G378="","","OHW")</f>
        <v/>
      </c>
      <c r="B1425">
        <f>IF(OHW!$G378="","","OHW")</f>
        <v/>
      </c>
      <c r="C1425" s="18">
        <f>IF(OHW!$G378="","",OHW!$A378)</f>
        <v/>
      </c>
      <c r="F1425">
        <f>IF(OHW!$G378="","",OHW!$B378&amp;"")</f>
        <v/>
      </c>
      <c r="J1425">
        <f>IF(OHW!$G378="","",OHW!$E378)</f>
        <v/>
      </c>
      <c r="K1425">
        <f>IF(OHW!$G378="","",COUNTIFS(OHW!$A$5:$A$1668,OHW!$A378,OHW!$C$5:$C$1668,OHW!$C378))</f>
        <v/>
      </c>
      <c r="L1425">
        <f>IF(OHW!$G378="","",OHW!$D378&amp;"")</f>
        <v/>
      </c>
      <c r="M1425">
        <f>IF(OHW!$G378="","",OHW!$F378)</f>
        <v/>
      </c>
      <c r="N1425">
        <f>IF(OHW!$G378="","",OHW!$G378)</f>
        <v/>
      </c>
      <c r="O1425">
        <f>IF(OHW!$G378="","",OHW!$I378)</f>
        <v/>
      </c>
      <c r="P1425">
        <f>IF(OHW!$G378="","","Final")</f>
        <v/>
      </c>
    </row>
    <row r="1426">
      <c r="A1426">
        <f>IF(OHW!$G379="","","OHW")</f>
        <v/>
      </c>
      <c r="B1426">
        <f>IF(OHW!$G379="","","OHW")</f>
        <v/>
      </c>
      <c r="C1426" s="18">
        <f>IF(OHW!$G379="","",OHW!$A379)</f>
        <v/>
      </c>
      <c r="F1426">
        <f>IF(OHW!$G379="","",OHW!$B379&amp;"")</f>
        <v/>
      </c>
      <c r="J1426">
        <f>IF(OHW!$G379="","",OHW!$E379)</f>
        <v/>
      </c>
      <c r="K1426">
        <f>IF(OHW!$G379="","",COUNTIFS(OHW!$A$5:$A$1668,OHW!$A379,OHW!$C$5:$C$1668,OHW!$C379))</f>
        <v/>
      </c>
      <c r="L1426">
        <f>IF(OHW!$G379="","",OHW!$D379&amp;"")</f>
        <v/>
      </c>
      <c r="M1426">
        <f>IF(OHW!$G379="","",OHW!$F379)</f>
        <v/>
      </c>
      <c r="N1426">
        <f>IF(OHW!$G379="","",OHW!$G379)</f>
        <v/>
      </c>
      <c r="O1426">
        <f>IF(OHW!$G379="","",OHW!$I379)</f>
        <v/>
      </c>
      <c r="P1426">
        <f>IF(OHW!$G379="","","Final")</f>
        <v/>
      </c>
    </row>
    <row r="1427">
      <c r="A1427">
        <f>IF(OHW!$G380="","","OHW")</f>
        <v/>
      </c>
      <c r="B1427">
        <f>IF(OHW!$G380="","","OHW")</f>
        <v/>
      </c>
      <c r="C1427" s="18">
        <f>IF(OHW!$G380="","",OHW!$A380)</f>
        <v/>
      </c>
      <c r="F1427">
        <f>IF(OHW!$G380="","",OHW!$B380&amp;"")</f>
        <v/>
      </c>
      <c r="J1427">
        <f>IF(OHW!$G380="","",OHW!$E380)</f>
        <v/>
      </c>
      <c r="K1427">
        <f>IF(OHW!$G380="","",COUNTIFS(OHW!$A$5:$A$1668,OHW!$A380,OHW!$C$5:$C$1668,OHW!$C380))</f>
        <v/>
      </c>
      <c r="L1427">
        <f>IF(OHW!$G380="","",OHW!$D380&amp;"")</f>
        <v/>
      </c>
      <c r="M1427">
        <f>IF(OHW!$G380="","",OHW!$F380)</f>
        <v/>
      </c>
      <c r="N1427">
        <f>IF(OHW!$G380="","",OHW!$G380)</f>
        <v/>
      </c>
      <c r="O1427">
        <f>IF(OHW!$G380="","",OHW!$I380)</f>
        <v/>
      </c>
      <c r="P1427">
        <f>IF(OHW!$G380="","","Final")</f>
        <v/>
      </c>
    </row>
    <row r="1428">
      <c r="A1428">
        <f>IF(OHW!$G381="","","OHW")</f>
        <v/>
      </c>
      <c r="B1428">
        <f>IF(OHW!$G381="","","OHW")</f>
        <v/>
      </c>
      <c r="C1428" s="18">
        <f>IF(OHW!$G381="","",OHW!$A381)</f>
        <v/>
      </c>
      <c r="F1428">
        <f>IF(OHW!$G381="","",OHW!$B381&amp;"")</f>
        <v/>
      </c>
      <c r="J1428">
        <f>IF(OHW!$G381="","",OHW!$E381)</f>
        <v/>
      </c>
      <c r="K1428">
        <f>IF(OHW!$G381="","",COUNTIFS(OHW!$A$5:$A$1668,OHW!$A381,OHW!$C$5:$C$1668,OHW!$C381))</f>
        <v/>
      </c>
      <c r="L1428">
        <f>IF(OHW!$G381="","",OHW!$D381&amp;"")</f>
        <v/>
      </c>
      <c r="M1428">
        <f>IF(OHW!$G381="","",OHW!$F381)</f>
        <v/>
      </c>
      <c r="N1428">
        <f>IF(OHW!$G381="","",OHW!$G381)</f>
        <v/>
      </c>
      <c r="O1428">
        <f>IF(OHW!$G381="","",OHW!$I381)</f>
        <v/>
      </c>
      <c r="P1428">
        <f>IF(OHW!$G381="","","Final")</f>
        <v/>
      </c>
    </row>
    <row r="1429">
      <c r="A1429">
        <f>IF(OHW!$G382="","","OHW")</f>
        <v/>
      </c>
      <c r="B1429">
        <f>IF(OHW!$G382="","","OHW")</f>
        <v/>
      </c>
      <c r="C1429" s="18">
        <f>IF(OHW!$G382="","",OHW!$A382)</f>
        <v/>
      </c>
      <c r="F1429">
        <f>IF(OHW!$G382="","",OHW!$B382&amp;"")</f>
        <v/>
      </c>
      <c r="J1429">
        <f>IF(OHW!$G382="","",OHW!$E382)</f>
        <v/>
      </c>
      <c r="K1429">
        <f>IF(OHW!$G382="","",COUNTIFS(OHW!$A$5:$A$1668,OHW!$A382,OHW!$C$5:$C$1668,OHW!$C382))</f>
        <v/>
      </c>
      <c r="L1429">
        <f>IF(OHW!$G382="","",OHW!$D382&amp;"")</f>
        <v/>
      </c>
      <c r="M1429">
        <f>IF(OHW!$G382="","",OHW!$F382)</f>
        <v/>
      </c>
      <c r="N1429">
        <f>IF(OHW!$G382="","",OHW!$G382)</f>
        <v/>
      </c>
      <c r="O1429">
        <f>IF(OHW!$G382="","",OHW!$I382)</f>
        <v/>
      </c>
      <c r="P1429">
        <f>IF(OHW!$G382="","","Final")</f>
        <v/>
      </c>
    </row>
    <row r="1430">
      <c r="A1430">
        <f>IF(OHW!$G383="","","OHW")</f>
        <v/>
      </c>
      <c r="B1430">
        <f>IF(OHW!$G383="","","OHW")</f>
        <v/>
      </c>
      <c r="C1430" s="18">
        <f>IF(OHW!$G383="","",OHW!$A383)</f>
        <v/>
      </c>
      <c r="F1430">
        <f>IF(OHW!$G383="","",OHW!$B383&amp;"")</f>
        <v/>
      </c>
      <c r="J1430">
        <f>IF(OHW!$G383="","",OHW!$E383)</f>
        <v/>
      </c>
      <c r="K1430">
        <f>IF(OHW!$G383="","",COUNTIFS(OHW!$A$5:$A$1668,OHW!$A383,OHW!$C$5:$C$1668,OHW!$C383))</f>
        <v/>
      </c>
      <c r="L1430">
        <f>IF(OHW!$G383="","",OHW!$D383&amp;"")</f>
        <v/>
      </c>
      <c r="M1430">
        <f>IF(OHW!$G383="","",OHW!$F383)</f>
        <v/>
      </c>
      <c r="N1430">
        <f>IF(OHW!$G383="","",OHW!$G383)</f>
        <v/>
      </c>
      <c r="O1430">
        <f>IF(OHW!$G383="","",OHW!$I383)</f>
        <v/>
      </c>
      <c r="P1430">
        <f>IF(OHW!$G383="","","Final")</f>
        <v/>
      </c>
    </row>
    <row r="1431">
      <c r="A1431">
        <f>IF(OHW!$G384="","","OHW")</f>
        <v/>
      </c>
      <c r="B1431">
        <f>IF(OHW!$G384="","","OHW")</f>
        <v/>
      </c>
      <c r="C1431" s="18">
        <f>IF(OHW!$G384="","",OHW!$A384)</f>
        <v/>
      </c>
      <c r="F1431">
        <f>IF(OHW!$G384="","",OHW!$B384&amp;"")</f>
        <v/>
      </c>
      <c r="J1431">
        <f>IF(OHW!$G384="","",OHW!$E384)</f>
        <v/>
      </c>
      <c r="K1431">
        <f>IF(OHW!$G384="","",COUNTIFS(OHW!$A$5:$A$1668,OHW!$A384,OHW!$C$5:$C$1668,OHW!$C384))</f>
        <v/>
      </c>
      <c r="L1431">
        <f>IF(OHW!$G384="","",OHW!$D384&amp;"")</f>
        <v/>
      </c>
      <c r="M1431">
        <f>IF(OHW!$G384="","",OHW!$F384)</f>
        <v/>
      </c>
      <c r="N1431">
        <f>IF(OHW!$G384="","",OHW!$G384)</f>
        <v/>
      </c>
      <c r="O1431">
        <f>IF(OHW!$G384="","",OHW!$I384)</f>
        <v/>
      </c>
      <c r="P1431">
        <f>IF(OHW!$G384="","","Final")</f>
        <v/>
      </c>
    </row>
    <row r="1432">
      <c r="A1432">
        <f>IF(OHW!$G385="","","OHW")</f>
        <v/>
      </c>
      <c r="B1432">
        <f>IF(OHW!$G385="","","OHW")</f>
        <v/>
      </c>
      <c r="C1432" s="18">
        <f>IF(OHW!$G385="","",OHW!$A385)</f>
        <v/>
      </c>
      <c r="F1432">
        <f>IF(OHW!$G385="","",OHW!$B385&amp;"")</f>
        <v/>
      </c>
      <c r="J1432">
        <f>IF(OHW!$G385="","",OHW!$E385)</f>
        <v/>
      </c>
      <c r="K1432">
        <f>IF(OHW!$G385="","",COUNTIFS(OHW!$A$5:$A$1668,OHW!$A385,OHW!$C$5:$C$1668,OHW!$C385))</f>
        <v/>
      </c>
      <c r="L1432">
        <f>IF(OHW!$G385="","",OHW!$D385&amp;"")</f>
        <v/>
      </c>
      <c r="M1432">
        <f>IF(OHW!$G385="","",OHW!$F385)</f>
        <v/>
      </c>
      <c r="N1432">
        <f>IF(OHW!$G385="","",OHW!$G385)</f>
        <v/>
      </c>
      <c r="O1432">
        <f>IF(OHW!$G385="","",OHW!$I385)</f>
        <v/>
      </c>
      <c r="P1432">
        <f>IF(OHW!$G385="","","Final")</f>
        <v/>
      </c>
    </row>
    <row r="1433">
      <c r="A1433">
        <f>IF(OHW!$G386="","","OHW")</f>
        <v/>
      </c>
      <c r="B1433">
        <f>IF(OHW!$G386="","","OHW")</f>
        <v/>
      </c>
      <c r="C1433" s="18">
        <f>IF(OHW!$G386="","",OHW!$A386)</f>
        <v/>
      </c>
      <c r="F1433">
        <f>IF(OHW!$G386="","",OHW!$B386&amp;"")</f>
        <v/>
      </c>
      <c r="J1433">
        <f>IF(OHW!$G386="","",OHW!$E386)</f>
        <v/>
      </c>
      <c r="K1433">
        <f>IF(OHW!$G386="","",COUNTIFS(OHW!$A$5:$A$1668,OHW!$A386,OHW!$C$5:$C$1668,OHW!$C386))</f>
        <v/>
      </c>
      <c r="L1433">
        <f>IF(OHW!$G386="","",OHW!$D386&amp;"")</f>
        <v/>
      </c>
      <c r="M1433">
        <f>IF(OHW!$G386="","",OHW!$F386)</f>
        <v/>
      </c>
      <c r="N1433">
        <f>IF(OHW!$G386="","",OHW!$G386)</f>
        <v/>
      </c>
      <c r="O1433">
        <f>IF(OHW!$G386="","",OHW!$I386)</f>
        <v/>
      </c>
      <c r="P1433">
        <f>IF(OHW!$G386="","","Final")</f>
        <v/>
      </c>
    </row>
    <row r="1434">
      <c r="A1434">
        <f>IF(OHW!$G387="","","OHW")</f>
        <v/>
      </c>
      <c r="B1434">
        <f>IF(OHW!$G387="","","OHW")</f>
        <v/>
      </c>
      <c r="C1434" s="18">
        <f>IF(OHW!$G387="","",OHW!$A387)</f>
        <v/>
      </c>
      <c r="F1434">
        <f>IF(OHW!$G387="","",OHW!$B387&amp;"")</f>
        <v/>
      </c>
      <c r="J1434">
        <f>IF(OHW!$G387="","",OHW!$E387)</f>
        <v/>
      </c>
      <c r="K1434">
        <f>IF(OHW!$G387="","",COUNTIFS(OHW!$A$5:$A$1668,OHW!$A387,OHW!$C$5:$C$1668,OHW!$C387))</f>
        <v/>
      </c>
      <c r="L1434">
        <f>IF(OHW!$G387="","",OHW!$D387&amp;"")</f>
        <v/>
      </c>
      <c r="M1434">
        <f>IF(OHW!$G387="","",OHW!$F387)</f>
        <v/>
      </c>
      <c r="N1434">
        <f>IF(OHW!$G387="","",OHW!$G387)</f>
        <v/>
      </c>
      <c r="O1434">
        <f>IF(OHW!$G387="","",OHW!$I387)</f>
        <v/>
      </c>
      <c r="P1434">
        <f>IF(OHW!$G387="","","Final")</f>
        <v/>
      </c>
    </row>
    <row r="1435">
      <c r="A1435">
        <f>IF(OHW!$G388="","","OHW")</f>
        <v/>
      </c>
      <c r="B1435">
        <f>IF(OHW!$G388="","","OHW")</f>
        <v/>
      </c>
      <c r="C1435" s="18">
        <f>IF(OHW!$G388="","",OHW!$A388)</f>
        <v/>
      </c>
      <c r="F1435">
        <f>IF(OHW!$G388="","",OHW!$B388&amp;"")</f>
        <v/>
      </c>
      <c r="J1435">
        <f>IF(OHW!$G388="","",OHW!$E388)</f>
        <v/>
      </c>
      <c r="K1435">
        <f>IF(OHW!$G388="","",COUNTIFS(OHW!$A$5:$A$1668,OHW!$A388,OHW!$C$5:$C$1668,OHW!$C388))</f>
        <v/>
      </c>
      <c r="L1435">
        <f>IF(OHW!$G388="","",OHW!$D388&amp;"")</f>
        <v/>
      </c>
      <c r="M1435">
        <f>IF(OHW!$G388="","",OHW!$F388)</f>
        <v/>
      </c>
      <c r="N1435">
        <f>IF(OHW!$G388="","",OHW!$G388)</f>
        <v/>
      </c>
      <c r="O1435">
        <f>IF(OHW!$G388="","",OHW!$I388)</f>
        <v/>
      </c>
      <c r="P1435">
        <f>IF(OHW!$G388="","","Final")</f>
        <v/>
      </c>
    </row>
    <row r="1436">
      <c r="A1436">
        <f>IF(OHW!$G389="","","OHW")</f>
        <v/>
      </c>
      <c r="B1436">
        <f>IF(OHW!$G389="","","OHW")</f>
        <v/>
      </c>
      <c r="C1436" s="18">
        <f>IF(OHW!$G389="","",OHW!$A389)</f>
        <v/>
      </c>
      <c r="F1436">
        <f>IF(OHW!$G389="","",OHW!$B389&amp;"")</f>
        <v/>
      </c>
      <c r="J1436">
        <f>IF(OHW!$G389="","",OHW!$E389)</f>
        <v/>
      </c>
      <c r="K1436">
        <f>IF(OHW!$G389="","",COUNTIFS(OHW!$A$5:$A$1668,OHW!$A389,OHW!$C$5:$C$1668,OHW!$C389))</f>
        <v/>
      </c>
      <c r="L1436">
        <f>IF(OHW!$G389="","",OHW!$D389&amp;"")</f>
        <v/>
      </c>
      <c r="M1436">
        <f>IF(OHW!$G389="","",OHW!$F389)</f>
        <v/>
      </c>
      <c r="N1436">
        <f>IF(OHW!$G389="","",OHW!$G389)</f>
        <v/>
      </c>
      <c r="O1436">
        <f>IF(OHW!$G389="","",OHW!$I389)</f>
        <v/>
      </c>
      <c r="P1436">
        <f>IF(OHW!$G389="","","Final")</f>
        <v/>
      </c>
    </row>
    <row r="1437">
      <c r="A1437">
        <f>IF(OHW!$G390="","","OHW")</f>
        <v/>
      </c>
      <c r="B1437">
        <f>IF(OHW!$G390="","","OHW")</f>
        <v/>
      </c>
      <c r="C1437" s="18">
        <f>IF(OHW!$G390="","",OHW!$A390)</f>
        <v/>
      </c>
      <c r="F1437">
        <f>IF(OHW!$G390="","",OHW!$B390&amp;"")</f>
        <v/>
      </c>
      <c r="J1437">
        <f>IF(OHW!$G390="","",OHW!$E390)</f>
        <v/>
      </c>
      <c r="K1437">
        <f>IF(OHW!$G390="","",COUNTIFS(OHW!$A$5:$A$1668,OHW!$A390,OHW!$C$5:$C$1668,OHW!$C390))</f>
        <v/>
      </c>
      <c r="L1437">
        <f>IF(OHW!$G390="","",OHW!$D390&amp;"")</f>
        <v/>
      </c>
      <c r="M1437">
        <f>IF(OHW!$G390="","",OHW!$F390)</f>
        <v/>
      </c>
      <c r="N1437">
        <f>IF(OHW!$G390="","",OHW!$G390)</f>
        <v/>
      </c>
      <c r="O1437">
        <f>IF(OHW!$G390="","",OHW!$I390)</f>
        <v/>
      </c>
      <c r="P1437">
        <f>IF(OHW!$G390="","","Final")</f>
        <v/>
      </c>
    </row>
    <row r="1438">
      <c r="A1438">
        <f>IF(OHW!$G391="","","OHW")</f>
        <v/>
      </c>
      <c r="B1438">
        <f>IF(OHW!$G391="","","OHW")</f>
        <v/>
      </c>
      <c r="C1438" s="18">
        <f>IF(OHW!$G391="","",OHW!$A391)</f>
        <v/>
      </c>
      <c r="F1438">
        <f>IF(OHW!$G391="","",OHW!$B391&amp;"")</f>
        <v/>
      </c>
      <c r="J1438">
        <f>IF(OHW!$G391="","",OHW!$E391)</f>
        <v/>
      </c>
      <c r="K1438">
        <f>IF(OHW!$G391="","",COUNTIFS(OHW!$A$5:$A$1668,OHW!$A391,OHW!$C$5:$C$1668,OHW!$C391))</f>
        <v/>
      </c>
      <c r="L1438">
        <f>IF(OHW!$G391="","",OHW!$D391&amp;"")</f>
        <v/>
      </c>
      <c r="M1438">
        <f>IF(OHW!$G391="","",OHW!$F391)</f>
        <v/>
      </c>
      <c r="N1438">
        <f>IF(OHW!$G391="","",OHW!$G391)</f>
        <v/>
      </c>
      <c r="O1438">
        <f>IF(OHW!$G391="","",OHW!$I391)</f>
        <v/>
      </c>
      <c r="P1438">
        <f>IF(OHW!$G391="","","Final")</f>
        <v/>
      </c>
    </row>
    <row r="1439">
      <c r="A1439">
        <f>IF(OHW!$G392="","","OHW")</f>
        <v/>
      </c>
      <c r="B1439">
        <f>IF(OHW!$G392="","","OHW")</f>
        <v/>
      </c>
      <c r="C1439" s="18">
        <f>IF(OHW!$G392="","",OHW!$A392)</f>
        <v/>
      </c>
      <c r="F1439">
        <f>IF(OHW!$G392="","",OHW!$B392&amp;"")</f>
        <v/>
      </c>
      <c r="J1439">
        <f>IF(OHW!$G392="","",OHW!$E392)</f>
        <v/>
      </c>
      <c r="K1439">
        <f>IF(OHW!$G392="","",COUNTIFS(OHW!$A$5:$A$1668,OHW!$A392,OHW!$C$5:$C$1668,OHW!$C392))</f>
        <v/>
      </c>
      <c r="L1439">
        <f>IF(OHW!$G392="","",OHW!$D392&amp;"")</f>
        <v/>
      </c>
      <c r="M1439">
        <f>IF(OHW!$G392="","",OHW!$F392)</f>
        <v/>
      </c>
      <c r="N1439">
        <f>IF(OHW!$G392="","",OHW!$G392)</f>
        <v/>
      </c>
      <c r="O1439">
        <f>IF(OHW!$G392="","",OHW!$I392)</f>
        <v/>
      </c>
      <c r="P1439">
        <f>IF(OHW!$G392="","","Final")</f>
        <v/>
      </c>
    </row>
    <row r="1440">
      <c r="A1440">
        <f>IF(OHW!$G393="","","OHW")</f>
        <v/>
      </c>
      <c r="B1440">
        <f>IF(OHW!$G393="","","OHW")</f>
        <v/>
      </c>
      <c r="C1440" s="18">
        <f>IF(OHW!$G393="","",OHW!$A393)</f>
        <v/>
      </c>
      <c r="F1440">
        <f>IF(OHW!$G393="","",OHW!$B393&amp;"")</f>
        <v/>
      </c>
      <c r="J1440">
        <f>IF(OHW!$G393="","",OHW!$E393)</f>
        <v/>
      </c>
      <c r="K1440">
        <f>IF(OHW!$G393="","",COUNTIFS(OHW!$A$5:$A$1668,OHW!$A393,OHW!$C$5:$C$1668,OHW!$C393))</f>
        <v/>
      </c>
      <c r="L1440">
        <f>IF(OHW!$G393="","",OHW!$D393&amp;"")</f>
        <v/>
      </c>
      <c r="M1440">
        <f>IF(OHW!$G393="","",OHW!$F393)</f>
        <v/>
      </c>
      <c r="N1440">
        <f>IF(OHW!$G393="","",OHW!$G393)</f>
        <v/>
      </c>
      <c r="O1440">
        <f>IF(OHW!$G393="","",OHW!$I393)</f>
        <v/>
      </c>
      <c r="P1440">
        <f>IF(OHW!$G393="","","Final")</f>
        <v/>
      </c>
    </row>
    <row r="1441">
      <c r="A1441">
        <f>IF(OHW!$G394="","","OHW")</f>
        <v/>
      </c>
      <c r="B1441">
        <f>IF(OHW!$G394="","","OHW")</f>
        <v/>
      </c>
      <c r="C1441" s="18">
        <f>IF(OHW!$G394="","",OHW!$A394)</f>
        <v/>
      </c>
      <c r="F1441">
        <f>IF(OHW!$G394="","",OHW!$B394&amp;"")</f>
        <v/>
      </c>
      <c r="J1441">
        <f>IF(OHW!$G394="","",OHW!$E394)</f>
        <v/>
      </c>
      <c r="K1441">
        <f>IF(OHW!$G394="","",COUNTIFS(OHW!$A$5:$A$1668,OHW!$A394,OHW!$C$5:$C$1668,OHW!$C394))</f>
        <v/>
      </c>
      <c r="L1441">
        <f>IF(OHW!$G394="","",OHW!$D394&amp;"")</f>
        <v/>
      </c>
      <c r="M1441">
        <f>IF(OHW!$G394="","",OHW!$F394)</f>
        <v/>
      </c>
      <c r="N1441">
        <f>IF(OHW!$G394="","",OHW!$G394)</f>
        <v/>
      </c>
      <c r="O1441">
        <f>IF(OHW!$G394="","",OHW!$I394)</f>
        <v/>
      </c>
      <c r="P1441">
        <f>IF(OHW!$G394="","","Final")</f>
        <v/>
      </c>
    </row>
    <row r="1442">
      <c r="A1442">
        <f>IF(OHW!$G395="","","OHW")</f>
        <v/>
      </c>
      <c r="B1442">
        <f>IF(OHW!$G395="","","OHW")</f>
        <v/>
      </c>
      <c r="C1442" s="18">
        <f>IF(OHW!$G395="","",OHW!$A395)</f>
        <v/>
      </c>
      <c r="F1442">
        <f>IF(OHW!$G395="","",OHW!$B395&amp;"")</f>
        <v/>
      </c>
      <c r="J1442">
        <f>IF(OHW!$G395="","",OHW!$E395)</f>
        <v/>
      </c>
      <c r="K1442">
        <f>IF(OHW!$G395="","",COUNTIFS(OHW!$A$5:$A$1668,OHW!$A395,OHW!$C$5:$C$1668,OHW!$C395))</f>
        <v/>
      </c>
      <c r="L1442">
        <f>IF(OHW!$G395="","",OHW!$D395&amp;"")</f>
        <v/>
      </c>
      <c r="M1442">
        <f>IF(OHW!$G395="","",OHW!$F395)</f>
        <v/>
      </c>
      <c r="N1442">
        <f>IF(OHW!$G395="","",OHW!$G395)</f>
        <v/>
      </c>
      <c r="O1442">
        <f>IF(OHW!$G395="","",OHW!$I395)</f>
        <v/>
      </c>
      <c r="P1442">
        <f>IF(OHW!$G395="","","Final")</f>
        <v/>
      </c>
    </row>
    <row r="1443">
      <c r="A1443">
        <f>IF(OHW!$G396="","","OHW")</f>
        <v/>
      </c>
      <c r="B1443">
        <f>IF(OHW!$G396="","","OHW")</f>
        <v/>
      </c>
      <c r="C1443" s="18">
        <f>IF(OHW!$G396="","",OHW!$A396)</f>
        <v/>
      </c>
      <c r="F1443">
        <f>IF(OHW!$G396="","",OHW!$B396&amp;"")</f>
        <v/>
      </c>
      <c r="J1443">
        <f>IF(OHW!$G396="","",OHW!$E396)</f>
        <v/>
      </c>
      <c r="K1443">
        <f>IF(OHW!$G396="","",COUNTIFS(OHW!$A$5:$A$1668,OHW!$A396,OHW!$C$5:$C$1668,OHW!$C396))</f>
        <v/>
      </c>
      <c r="L1443">
        <f>IF(OHW!$G396="","",OHW!$D396&amp;"")</f>
        <v/>
      </c>
      <c r="M1443">
        <f>IF(OHW!$G396="","",OHW!$F396)</f>
        <v/>
      </c>
      <c r="N1443">
        <f>IF(OHW!$G396="","",OHW!$G396)</f>
        <v/>
      </c>
      <c r="O1443">
        <f>IF(OHW!$G396="","",OHW!$I396)</f>
        <v/>
      </c>
      <c r="P1443">
        <f>IF(OHW!$G396="","","Final")</f>
        <v/>
      </c>
    </row>
    <row r="1444">
      <c r="A1444">
        <f>IF(OHW!$G397="","","OHW")</f>
        <v/>
      </c>
      <c r="B1444">
        <f>IF(OHW!$G397="","","OHW")</f>
        <v/>
      </c>
      <c r="C1444" s="18">
        <f>IF(OHW!$G397="","",OHW!$A397)</f>
        <v/>
      </c>
      <c r="F1444">
        <f>IF(OHW!$G397="","",OHW!$B397&amp;"")</f>
        <v/>
      </c>
      <c r="J1444">
        <f>IF(OHW!$G397="","",OHW!$E397)</f>
        <v/>
      </c>
      <c r="K1444">
        <f>IF(OHW!$G397="","",COUNTIFS(OHW!$A$5:$A$1668,OHW!$A397,OHW!$C$5:$C$1668,OHW!$C397))</f>
        <v/>
      </c>
      <c r="L1444">
        <f>IF(OHW!$G397="","",OHW!$D397&amp;"")</f>
        <v/>
      </c>
      <c r="M1444">
        <f>IF(OHW!$G397="","",OHW!$F397)</f>
        <v/>
      </c>
      <c r="N1444">
        <f>IF(OHW!$G397="","",OHW!$G397)</f>
        <v/>
      </c>
      <c r="O1444">
        <f>IF(OHW!$G397="","",OHW!$I397)</f>
        <v/>
      </c>
      <c r="P1444">
        <f>IF(OHW!$G397="","","Final")</f>
        <v/>
      </c>
    </row>
    <row r="1445">
      <c r="A1445">
        <f>IF(OHW!$G398="","","OHW")</f>
        <v/>
      </c>
      <c r="B1445">
        <f>IF(OHW!$G398="","","OHW")</f>
        <v/>
      </c>
      <c r="C1445" s="18">
        <f>IF(OHW!$G398="","",OHW!$A398)</f>
        <v/>
      </c>
      <c r="F1445">
        <f>IF(OHW!$G398="","",OHW!$B398&amp;"")</f>
        <v/>
      </c>
      <c r="J1445">
        <f>IF(OHW!$G398="","",OHW!$E398)</f>
        <v/>
      </c>
      <c r="K1445">
        <f>IF(OHW!$G398="","",COUNTIFS(OHW!$A$5:$A$1668,OHW!$A398,OHW!$C$5:$C$1668,OHW!$C398))</f>
        <v/>
      </c>
      <c r="L1445">
        <f>IF(OHW!$G398="","",OHW!$D398&amp;"")</f>
        <v/>
      </c>
      <c r="M1445">
        <f>IF(OHW!$G398="","",OHW!$F398)</f>
        <v/>
      </c>
      <c r="N1445">
        <f>IF(OHW!$G398="","",OHW!$G398)</f>
        <v/>
      </c>
      <c r="O1445">
        <f>IF(OHW!$G398="","",OHW!$I398)</f>
        <v/>
      </c>
      <c r="P1445">
        <f>IF(OHW!$G398="","","Final")</f>
        <v/>
      </c>
    </row>
    <row r="1446">
      <c r="A1446">
        <f>IF(OHW!$G399="","","OHW")</f>
        <v/>
      </c>
      <c r="B1446">
        <f>IF(OHW!$G399="","","OHW")</f>
        <v/>
      </c>
      <c r="C1446" s="18">
        <f>IF(OHW!$G399="","",OHW!$A399)</f>
        <v/>
      </c>
      <c r="F1446">
        <f>IF(OHW!$G399="","",OHW!$B399&amp;"")</f>
        <v/>
      </c>
      <c r="J1446">
        <f>IF(OHW!$G399="","",OHW!$E399)</f>
        <v/>
      </c>
      <c r="K1446">
        <f>IF(OHW!$G399="","",COUNTIFS(OHW!$A$5:$A$1668,OHW!$A399,OHW!$C$5:$C$1668,OHW!$C399))</f>
        <v/>
      </c>
      <c r="L1446">
        <f>IF(OHW!$G399="","",OHW!$D399&amp;"")</f>
        <v/>
      </c>
      <c r="M1446">
        <f>IF(OHW!$G399="","",OHW!$F399)</f>
        <v/>
      </c>
      <c r="N1446">
        <f>IF(OHW!$G399="","",OHW!$G399)</f>
        <v/>
      </c>
      <c r="O1446">
        <f>IF(OHW!$G399="","",OHW!$I399)</f>
        <v/>
      </c>
      <c r="P1446">
        <f>IF(OHW!$G399="","","Final")</f>
        <v/>
      </c>
    </row>
    <row r="1447">
      <c r="A1447">
        <f>IF(OHW!$G400="","","OHW")</f>
        <v/>
      </c>
      <c r="B1447">
        <f>IF(OHW!$G400="","","OHW")</f>
        <v/>
      </c>
      <c r="C1447" s="18">
        <f>IF(OHW!$G400="","",OHW!$A400)</f>
        <v/>
      </c>
      <c r="F1447">
        <f>IF(OHW!$G400="","",OHW!$B400&amp;"")</f>
        <v/>
      </c>
      <c r="J1447">
        <f>IF(OHW!$G400="","",OHW!$E400)</f>
        <v/>
      </c>
      <c r="K1447">
        <f>IF(OHW!$G400="","",COUNTIFS(OHW!$A$5:$A$1668,OHW!$A400,OHW!$C$5:$C$1668,OHW!$C400))</f>
        <v/>
      </c>
      <c r="L1447">
        <f>IF(OHW!$G400="","",OHW!$D400&amp;"")</f>
        <v/>
      </c>
      <c r="M1447">
        <f>IF(OHW!$G400="","",OHW!$F400)</f>
        <v/>
      </c>
      <c r="N1447">
        <f>IF(OHW!$G400="","",OHW!$G400)</f>
        <v/>
      </c>
      <c r="O1447">
        <f>IF(OHW!$G400="","",OHW!$I400)</f>
        <v/>
      </c>
      <c r="P1447">
        <f>IF(OHW!$G400="","","Final")</f>
        <v/>
      </c>
    </row>
    <row r="1448">
      <c r="A1448">
        <f>IF(OHW!$G401="","","OHW")</f>
        <v/>
      </c>
      <c r="B1448">
        <f>IF(OHW!$G401="","","OHW")</f>
        <v/>
      </c>
      <c r="C1448" s="18">
        <f>IF(OHW!$G401="","",OHW!$A401)</f>
        <v/>
      </c>
      <c r="F1448">
        <f>IF(OHW!$G401="","",OHW!$B401&amp;"")</f>
        <v/>
      </c>
      <c r="J1448">
        <f>IF(OHW!$G401="","",OHW!$E401)</f>
        <v/>
      </c>
      <c r="K1448">
        <f>IF(OHW!$G401="","",COUNTIFS(OHW!$A$5:$A$1668,OHW!$A401,OHW!$C$5:$C$1668,OHW!$C401))</f>
        <v/>
      </c>
      <c r="L1448">
        <f>IF(OHW!$G401="","",OHW!$D401&amp;"")</f>
        <v/>
      </c>
      <c r="M1448">
        <f>IF(OHW!$G401="","",OHW!$F401)</f>
        <v/>
      </c>
      <c r="N1448">
        <f>IF(OHW!$G401="","",OHW!$G401)</f>
        <v/>
      </c>
      <c r="O1448">
        <f>IF(OHW!$G401="","",OHW!$I401)</f>
        <v/>
      </c>
      <c r="P1448">
        <f>IF(OHW!$G401="","","Final")</f>
        <v/>
      </c>
    </row>
    <row r="1449">
      <c r="A1449">
        <f>IF(OHW!$G402="","","OHW")</f>
        <v/>
      </c>
      <c r="B1449">
        <f>IF(OHW!$G402="","","OHW")</f>
        <v/>
      </c>
      <c r="C1449" s="18">
        <f>IF(OHW!$G402="","",OHW!$A402)</f>
        <v/>
      </c>
      <c r="F1449">
        <f>IF(OHW!$G402="","",OHW!$B402&amp;"")</f>
        <v/>
      </c>
      <c r="J1449">
        <f>IF(OHW!$G402="","",OHW!$E402)</f>
        <v/>
      </c>
      <c r="K1449">
        <f>IF(OHW!$G402="","",COUNTIFS(OHW!$A$5:$A$1668,OHW!$A402,OHW!$C$5:$C$1668,OHW!$C402))</f>
        <v/>
      </c>
      <c r="L1449">
        <f>IF(OHW!$G402="","",OHW!$D402&amp;"")</f>
        <v/>
      </c>
      <c r="M1449">
        <f>IF(OHW!$G402="","",OHW!$F402)</f>
        <v/>
      </c>
      <c r="N1449">
        <f>IF(OHW!$G402="","",OHW!$G402)</f>
        <v/>
      </c>
      <c r="O1449">
        <f>IF(OHW!$G402="","",OHW!$I402)</f>
        <v/>
      </c>
      <c r="P1449">
        <f>IF(OHW!$G402="","","Final")</f>
        <v/>
      </c>
    </row>
    <row r="1450">
      <c r="A1450">
        <f>IF(OHW!$G403="","","OHW")</f>
        <v/>
      </c>
      <c r="B1450">
        <f>IF(OHW!$G403="","","OHW")</f>
        <v/>
      </c>
      <c r="C1450" s="18">
        <f>IF(OHW!$G403="","",OHW!$A403)</f>
        <v/>
      </c>
      <c r="F1450">
        <f>IF(OHW!$G403="","",OHW!$B403&amp;"")</f>
        <v/>
      </c>
      <c r="J1450">
        <f>IF(OHW!$G403="","",OHW!$E403)</f>
        <v/>
      </c>
      <c r="K1450">
        <f>IF(OHW!$G403="","",COUNTIFS(OHW!$A$5:$A$1668,OHW!$A403,OHW!$C$5:$C$1668,OHW!$C403))</f>
        <v/>
      </c>
      <c r="L1450">
        <f>IF(OHW!$G403="","",OHW!$D403&amp;"")</f>
        <v/>
      </c>
      <c r="M1450">
        <f>IF(OHW!$G403="","",OHW!$F403)</f>
        <v/>
      </c>
      <c r="N1450">
        <f>IF(OHW!$G403="","",OHW!$G403)</f>
        <v/>
      </c>
      <c r="O1450">
        <f>IF(OHW!$G403="","",OHW!$I403)</f>
        <v/>
      </c>
      <c r="P1450">
        <f>IF(OHW!$G403="","","Final")</f>
        <v/>
      </c>
    </row>
    <row r="1451">
      <c r="A1451">
        <f>IF(OHW!$G404="","","OHW")</f>
        <v/>
      </c>
      <c r="B1451">
        <f>IF(OHW!$G404="","","OHW")</f>
        <v/>
      </c>
      <c r="C1451" s="18">
        <f>IF(OHW!$G404="","",OHW!$A404)</f>
        <v/>
      </c>
      <c r="F1451">
        <f>IF(OHW!$G404="","",OHW!$B404&amp;"")</f>
        <v/>
      </c>
      <c r="J1451">
        <f>IF(OHW!$G404="","",OHW!$E404)</f>
        <v/>
      </c>
      <c r="K1451">
        <f>IF(OHW!$G404="","",COUNTIFS(OHW!$A$5:$A$1668,OHW!$A404,OHW!$C$5:$C$1668,OHW!$C404))</f>
        <v/>
      </c>
      <c r="L1451">
        <f>IF(OHW!$G404="","",OHW!$D404&amp;"")</f>
        <v/>
      </c>
      <c r="M1451">
        <f>IF(OHW!$G404="","",OHW!$F404)</f>
        <v/>
      </c>
      <c r="N1451">
        <f>IF(OHW!$G404="","",OHW!$G404)</f>
        <v/>
      </c>
      <c r="O1451">
        <f>IF(OHW!$G404="","",OHW!$I404)</f>
        <v/>
      </c>
      <c r="P1451">
        <f>IF(OHW!$G404="","","Final")</f>
        <v/>
      </c>
    </row>
    <row r="1452">
      <c r="A1452">
        <f>IF(OHW!$G405="","","OHW")</f>
        <v/>
      </c>
      <c r="B1452">
        <f>IF(OHW!$G405="","","OHW")</f>
        <v/>
      </c>
      <c r="C1452" s="18">
        <f>IF(OHW!$G405="","",OHW!$A405)</f>
        <v/>
      </c>
      <c r="F1452">
        <f>IF(OHW!$G405="","",OHW!$B405&amp;"")</f>
        <v/>
      </c>
      <c r="J1452">
        <f>IF(OHW!$G405="","",OHW!$E405)</f>
        <v/>
      </c>
      <c r="K1452">
        <f>IF(OHW!$G405="","",COUNTIFS(OHW!$A$5:$A$1668,OHW!$A405,OHW!$C$5:$C$1668,OHW!$C405))</f>
        <v/>
      </c>
      <c r="L1452">
        <f>IF(OHW!$G405="","",OHW!$D405&amp;"")</f>
        <v/>
      </c>
      <c r="M1452">
        <f>IF(OHW!$G405="","",OHW!$F405)</f>
        <v/>
      </c>
      <c r="N1452">
        <f>IF(OHW!$G405="","",OHW!$G405)</f>
        <v/>
      </c>
      <c r="O1452">
        <f>IF(OHW!$G405="","",OHW!$I405)</f>
        <v/>
      </c>
      <c r="P1452">
        <f>IF(OHW!$G405="","","Final")</f>
        <v/>
      </c>
    </row>
    <row r="1453">
      <c r="A1453">
        <f>IF(OHW!$G406="","","OHW")</f>
        <v/>
      </c>
      <c r="B1453">
        <f>IF(OHW!$G406="","","OHW")</f>
        <v/>
      </c>
      <c r="C1453" s="18">
        <f>IF(OHW!$G406="","",OHW!$A406)</f>
        <v/>
      </c>
      <c r="F1453">
        <f>IF(OHW!$G406="","",OHW!$B406&amp;"")</f>
        <v/>
      </c>
      <c r="J1453">
        <f>IF(OHW!$G406="","",OHW!$E406)</f>
        <v/>
      </c>
      <c r="K1453">
        <f>IF(OHW!$G406="","",COUNTIFS(OHW!$A$5:$A$1668,OHW!$A406,OHW!$C$5:$C$1668,OHW!$C406))</f>
        <v/>
      </c>
      <c r="L1453">
        <f>IF(OHW!$G406="","",OHW!$D406&amp;"")</f>
        <v/>
      </c>
      <c r="M1453">
        <f>IF(OHW!$G406="","",OHW!$F406)</f>
        <v/>
      </c>
      <c r="N1453">
        <f>IF(OHW!$G406="","",OHW!$G406)</f>
        <v/>
      </c>
      <c r="O1453">
        <f>IF(OHW!$G406="","",OHW!$I406)</f>
        <v/>
      </c>
      <c r="P1453">
        <f>IF(OHW!$G406="","","Final")</f>
        <v/>
      </c>
    </row>
    <row r="1454">
      <c r="A1454">
        <f>IF(OHW!$G407="","","OHW")</f>
        <v/>
      </c>
      <c r="B1454">
        <f>IF(OHW!$G407="","","OHW")</f>
        <v/>
      </c>
      <c r="C1454" s="18">
        <f>IF(OHW!$G407="","",OHW!$A407)</f>
        <v/>
      </c>
      <c r="F1454">
        <f>IF(OHW!$G407="","",OHW!$B407&amp;"")</f>
        <v/>
      </c>
      <c r="J1454">
        <f>IF(OHW!$G407="","",OHW!$E407)</f>
        <v/>
      </c>
      <c r="K1454">
        <f>IF(OHW!$G407="","",COUNTIFS(OHW!$A$5:$A$1668,OHW!$A407,OHW!$C$5:$C$1668,OHW!$C407))</f>
        <v/>
      </c>
      <c r="L1454">
        <f>IF(OHW!$G407="","",OHW!$D407&amp;"")</f>
        <v/>
      </c>
      <c r="M1454">
        <f>IF(OHW!$G407="","",OHW!$F407)</f>
        <v/>
      </c>
      <c r="N1454">
        <f>IF(OHW!$G407="","",OHW!$G407)</f>
        <v/>
      </c>
      <c r="O1454">
        <f>IF(OHW!$G407="","",OHW!$I407)</f>
        <v/>
      </c>
      <c r="P1454">
        <f>IF(OHW!$G407="","","Final")</f>
        <v/>
      </c>
    </row>
    <row r="1455">
      <c r="A1455">
        <f>IF(OHW!$G408="","","OHW")</f>
        <v/>
      </c>
      <c r="B1455">
        <f>IF(OHW!$G408="","","OHW")</f>
        <v/>
      </c>
      <c r="C1455" s="18">
        <f>IF(OHW!$G408="","",OHW!$A408)</f>
        <v/>
      </c>
      <c r="F1455">
        <f>IF(OHW!$G408="","",OHW!$B408&amp;"")</f>
        <v/>
      </c>
      <c r="J1455">
        <f>IF(OHW!$G408="","",OHW!$E408)</f>
        <v/>
      </c>
      <c r="K1455">
        <f>IF(OHW!$G408="","",COUNTIFS(OHW!$A$5:$A$1668,OHW!$A408,OHW!$C$5:$C$1668,OHW!$C408))</f>
        <v/>
      </c>
      <c r="L1455">
        <f>IF(OHW!$G408="","",OHW!$D408&amp;"")</f>
        <v/>
      </c>
      <c r="M1455">
        <f>IF(OHW!$G408="","",OHW!$F408)</f>
        <v/>
      </c>
      <c r="N1455">
        <f>IF(OHW!$G408="","",OHW!$G408)</f>
        <v/>
      </c>
      <c r="O1455">
        <f>IF(OHW!$G408="","",OHW!$I408)</f>
        <v/>
      </c>
      <c r="P1455">
        <f>IF(OHW!$G408="","","Final")</f>
        <v/>
      </c>
    </row>
    <row r="1456">
      <c r="A1456">
        <f>IF(OHW!$G409="","","OHW")</f>
        <v/>
      </c>
      <c r="B1456">
        <f>IF(OHW!$G409="","","OHW")</f>
        <v/>
      </c>
      <c r="C1456" s="18">
        <f>IF(OHW!$G409="","",OHW!$A409)</f>
        <v/>
      </c>
      <c r="F1456">
        <f>IF(OHW!$G409="","",OHW!$B409&amp;"")</f>
        <v/>
      </c>
      <c r="J1456">
        <f>IF(OHW!$G409="","",OHW!$E409)</f>
        <v/>
      </c>
      <c r="K1456">
        <f>IF(OHW!$G409="","",COUNTIFS(OHW!$A$5:$A$1668,OHW!$A409,OHW!$C$5:$C$1668,OHW!$C409))</f>
        <v/>
      </c>
      <c r="L1456">
        <f>IF(OHW!$G409="","",OHW!$D409&amp;"")</f>
        <v/>
      </c>
      <c r="M1456">
        <f>IF(OHW!$G409="","",OHW!$F409)</f>
        <v/>
      </c>
      <c r="N1456">
        <f>IF(OHW!$G409="","",OHW!$G409)</f>
        <v/>
      </c>
      <c r="O1456">
        <f>IF(OHW!$G409="","",OHW!$I409)</f>
        <v/>
      </c>
      <c r="P1456">
        <f>IF(OHW!$G409="","","Final")</f>
        <v/>
      </c>
    </row>
    <row r="1457">
      <c r="A1457">
        <f>IF(OHW!$G410="","","OHW")</f>
        <v/>
      </c>
      <c r="B1457">
        <f>IF(OHW!$G410="","","OHW")</f>
        <v/>
      </c>
      <c r="C1457" s="18">
        <f>IF(OHW!$G410="","",OHW!$A410)</f>
        <v/>
      </c>
      <c r="F1457">
        <f>IF(OHW!$G410="","",OHW!$B410&amp;"")</f>
        <v/>
      </c>
      <c r="J1457">
        <f>IF(OHW!$G410="","",OHW!$E410)</f>
        <v/>
      </c>
      <c r="K1457">
        <f>IF(OHW!$G410="","",COUNTIFS(OHW!$A$5:$A$1668,OHW!$A410,OHW!$C$5:$C$1668,OHW!$C410))</f>
        <v/>
      </c>
      <c r="L1457">
        <f>IF(OHW!$G410="","",OHW!$D410&amp;"")</f>
        <v/>
      </c>
      <c r="M1457">
        <f>IF(OHW!$G410="","",OHW!$F410)</f>
        <v/>
      </c>
      <c r="N1457">
        <f>IF(OHW!$G410="","",OHW!$G410)</f>
        <v/>
      </c>
      <c r="O1457">
        <f>IF(OHW!$G410="","",OHW!$I410)</f>
        <v/>
      </c>
      <c r="P1457">
        <f>IF(OHW!$G410="","","Final")</f>
        <v/>
      </c>
    </row>
    <row r="1458">
      <c r="A1458">
        <f>IF(OHW!$G411="","","OHW")</f>
        <v/>
      </c>
      <c r="B1458">
        <f>IF(OHW!$G411="","","OHW")</f>
        <v/>
      </c>
      <c r="C1458" s="18">
        <f>IF(OHW!$G411="","",OHW!$A411)</f>
        <v/>
      </c>
      <c r="F1458">
        <f>IF(OHW!$G411="","",OHW!$B411&amp;"")</f>
        <v/>
      </c>
      <c r="J1458">
        <f>IF(OHW!$G411="","",OHW!$E411)</f>
        <v/>
      </c>
      <c r="K1458">
        <f>IF(OHW!$G411="","",COUNTIFS(OHW!$A$5:$A$1668,OHW!$A411,OHW!$C$5:$C$1668,OHW!$C411))</f>
        <v/>
      </c>
      <c r="L1458">
        <f>IF(OHW!$G411="","",OHW!$D411&amp;"")</f>
        <v/>
      </c>
      <c r="M1458">
        <f>IF(OHW!$G411="","",OHW!$F411)</f>
        <v/>
      </c>
      <c r="N1458">
        <f>IF(OHW!$G411="","",OHW!$G411)</f>
        <v/>
      </c>
      <c r="O1458">
        <f>IF(OHW!$G411="","",OHW!$I411)</f>
        <v/>
      </c>
      <c r="P1458">
        <f>IF(OHW!$G411="","","Final")</f>
        <v/>
      </c>
    </row>
    <row r="1459">
      <c r="A1459">
        <f>IF(OHW!$G412="","","OHW")</f>
        <v/>
      </c>
      <c r="B1459">
        <f>IF(OHW!$G412="","","OHW")</f>
        <v/>
      </c>
      <c r="C1459" s="18">
        <f>IF(OHW!$G412="","",OHW!$A412)</f>
        <v/>
      </c>
      <c r="F1459">
        <f>IF(OHW!$G412="","",OHW!$B412&amp;"")</f>
        <v/>
      </c>
      <c r="J1459">
        <f>IF(OHW!$G412="","",OHW!$E412)</f>
        <v/>
      </c>
      <c r="K1459">
        <f>IF(OHW!$G412="","",COUNTIFS(OHW!$A$5:$A$1668,OHW!$A412,OHW!$C$5:$C$1668,OHW!$C412))</f>
        <v/>
      </c>
      <c r="L1459">
        <f>IF(OHW!$G412="","",OHW!$D412&amp;"")</f>
        <v/>
      </c>
      <c r="M1459">
        <f>IF(OHW!$G412="","",OHW!$F412)</f>
        <v/>
      </c>
      <c r="N1459">
        <f>IF(OHW!$G412="","",OHW!$G412)</f>
        <v/>
      </c>
      <c r="O1459">
        <f>IF(OHW!$G412="","",OHW!$I412)</f>
        <v/>
      </c>
      <c r="P1459">
        <f>IF(OHW!$G412="","","Final")</f>
        <v/>
      </c>
    </row>
    <row r="1460">
      <c r="A1460">
        <f>IF(OHW!$G413="","","OHW")</f>
        <v/>
      </c>
      <c r="B1460">
        <f>IF(OHW!$G413="","","OHW")</f>
        <v/>
      </c>
      <c r="C1460" s="18">
        <f>IF(OHW!$G413="","",OHW!$A413)</f>
        <v/>
      </c>
      <c r="F1460">
        <f>IF(OHW!$G413="","",OHW!$B413&amp;"")</f>
        <v/>
      </c>
      <c r="J1460">
        <f>IF(OHW!$G413="","",OHW!$E413)</f>
        <v/>
      </c>
      <c r="K1460">
        <f>IF(OHW!$G413="","",COUNTIFS(OHW!$A$5:$A$1668,OHW!$A413,OHW!$C$5:$C$1668,OHW!$C413))</f>
        <v/>
      </c>
      <c r="L1460">
        <f>IF(OHW!$G413="","",OHW!$D413&amp;"")</f>
        <v/>
      </c>
      <c r="M1460">
        <f>IF(OHW!$G413="","",OHW!$F413)</f>
        <v/>
      </c>
      <c r="N1460">
        <f>IF(OHW!$G413="","",OHW!$G413)</f>
        <v/>
      </c>
      <c r="O1460">
        <f>IF(OHW!$G413="","",OHW!$I413)</f>
        <v/>
      </c>
      <c r="P1460">
        <f>IF(OHW!$G413="","","Final")</f>
        <v/>
      </c>
    </row>
    <row r="1461">
      <c r="A1461">
        <f>IF(OHW!$G414="","","OHW")</f>
        <v/>
      </c>
      <c r="B1461">
        <f>IF(OHW!$G414="","","OHW")</f>
        <v/>
      </c>
      <c r="C1461" s="18">
        <f>IF(OHW!$G414="","",OHW!$A414)</f>
        <v/>
      </c>
      <c r="F1461">
        <f>IF(OHW!$G414="","",OHW!$B414&amp;"")</f>
        <v/>
      </c>
      <c r="J1461">
        <f>IF(OHW!$G414="","",OHW!$E414)</f>
        <v/>
      </c>
      <c r="K1461">
        <f>IF(OHW!$G414="","",COUNTIFS(OHW!$A$5:$A$1668,OHW!$A414,OHW!$C$5:$C$1668,OHW!$C414))</f>
        <v/>
      </c>
      <c r="L1461">
        <f>IF(OHW!$G414="","",OHW!$D414&amp;"")</f>
        <v/>
      </c>
      <c r="M1461">
        <f>IF(OHW!$G414="","",OHW!$F414)</f>
        <v/>
      </c>
      <c r="N1461">
        <f>IF(OHW!$G414="","",OHW!$G414)</f>
        <v/>
      </c>
      <c r="O1461">
        <f>IF(OHW!$G414="","",OHW!$I414)</f>
        <v/>
      </c>
      <c r="P1461">
        <f>IF(OHW!$G414="","","Final")</f>
        <v/>
      </c>
    </row>
    <row r="1462">
      <c r="A1462">
        <f>IF(OHW!$G415="","","OHW")</f>
        <v/>
      </c>
      <c r="B1462">
        <f>IF(OHW!$G415="","","OHW")</f>
        <v/>
      </c>
      <c r="C1462" s="18">
        <f>IF(OHW!$G415="","",OHW!$A415)</f>
        <v/>
      </c>
      <c r="F1462">
        <f>IF(OHW!$G415="","",OHW!$B415&amp;"")</f>
        <v/>
      </c>
      <c r="J1462">
        <f>IF(OHW!$G415="","",OHW!$E415)</f>
        <v/>
      </c>
      <c r="K1462">
        <f>IF(OHW!$G415="","",COUNTIFS(OHW!$A$5:$A$1668,OHW!$A415,OHW!$C$5:$C$1668,OHW!$C415))</f>
        <v/>
      </c>
      <c r="L1462">
        <f>IF(OHW!$G415="","",OHW!$D415&amp;"")</f>
        <v/>
      </c>
      <c r="M1462">
        <f>IF(OHW!$G415="","",OHW!$F415)</f>
        <v/>
      </c>
      <c r="N1462">
        <f>IF(OHW!$G415="","",OHW!$G415)</f>
        <v/>
      </c>
      <c r="O1462">
        <f>IF(OHW!$G415="","",OHW!$I415)</f>
        <v/>
      </c>
      <c r="P1462">
        <f>IF(OHW!$G415="","","Final")</f>
        <v/>
      </c>
    </row>
    <row r="1463">
      <c r="A1463">
        <f>IF(OHW!$G416="","","OHW")</f>
        <v/>
      </c>
      <c r="B1463">
        <f>IF(OHW!$G416="","","OHW")</f>
        <v/>
      </c>
      <c r="C1463" s="18">
        <f>IF(OHW!$G416="","",OHW!$A416)</f>
        <v/>
      </c>
      <c r="F1463">
        <f>IF(OHW!$G416="","",OHW!$B416&amp;"")</f>
        <v/>
      </c>
      <c r="J1463">
        <f>IF(OHW!$G416="","",OHW!$E416)</f>
        <v/>
      </c>
      <c r="K1463">
        <f>IF(OHW!$G416="","",COUNTIFS(OHW!$A$5:$A$1668,OHW!$A416,OHW!$C$5:$C$1668,OHW!$C416))</f>
        <v/>
      </c>
      <c r="L1463">
        <f>IF(OHW!$G416="","",OHW!$D416&amp;"")</f>
        <v/>
      </c>
      <c r="M1463">
        <f>IF(OHW!$G416="","",OHW!$F416)</f>
        <v/>
      </c>
      <c r="N1463">
        <f>IF(OHW!$G416="","",OHW!$G416)</f>
        <v/>
      </c>
      <c r="O1463">
        <f>IF(OHW!$G416="","",OHW!$I416)</f>
        <v/>
      </c>
      <c r="P1463">
        <f>IF(OHW!$G416="","","Final")</f>
        <v/>
      </c>
    </row>
    <row r="1464">
      <c r="A1464">
        <f>IF(OHW!$G417="","","OHW")</f>
        <v/>
      </c>
      <c r="B1464">
        <f>IF(OHW!$G417="","","OHW")</f>
        <v/>
      </c>
      <c r="C1464" s="18">
        <f>IF(OHW!$G417="","",OHW!$A417)</f>
        <v/>
      </c>
      <c r="F1464">
        <f>IF(OHW!$G417="","",OHW!$B417&amp;"")</f>
        <v/>
      </c>
      <c r="J1464">
        <f>IF(OHW!$G417="","",OHW!$E417)</f>
        <v/>
      </c>
      <c r="K1464">
        <f>IF(OHW!$G417="","",COUNTIFS(OHW!$A$5:$A$1668,OHW!$A417,OHW!$C$5:$C$1668,OHW!$C417))</f>
        <v/>
      </c>
      <c r="L1464">
        <f>IF(OHW!$G417="","",OHW!$D417&amp;"")</f>
        <v/>
      </c>
      <c r="M1464">
        <f>IF(OHW!$G417="","",OHW!$F417)</f>
        <v/>
      </c>
      <c r="N1464">
        <f>IF(OHW!$G417="","",OHW!$G417)</f>
        <v/>
      </c>
      <c r="O1464">
        <f>IF(OHW!$G417="","",OHW!$I417)</f>
        <v/>
      </c>
      <c r="P1464">
        <f>IF(OHW!$G417="","","Final")</f>
        <v/>
      </c>
    </row>
    <row r="1465">
      <c r="A1465">
        <f>IF(OHW!$G418="","","OHW")</f>
        <v/>
      </c>
      <c r="B1465">
        <f>IF(OHW!$G418="","","OHW")</f>
        <v/>
      </c>
      <c r="C1465" s="18">
        <f>IF(OHW!$G418="","",OHW!$A418)</f>
        <v/>
      </c>
      <c r="F1465">
        <f>IF(OHW!$G418="","",OHW!$B418&amp;"")</f>
        <v/>
      </c>
      <c r="J1465">
        <f>IF(OHW!$G418="","",OHW!$E418)</f>
        <v/>
      </c>
      <c r="K1465">
        <f>IF(OHW!$G418="","",COUNTIFS(OHW!$A$5:$A$1668,OHW!$A418,OHW!$C$5:$C$1668,OHW!$C418))</f>
        <v/>
      </c>
      <c r="L1465">
        <f>IF(OHW!$G418="","",OHW!$D418&amp;"")</f>
        <v/>
      </c>
      <c r="M1465">
        <f>IF(OHW!$G418="","",OHW!$F418)</f>
        <v/>
      </c>
      <c r="N1465">
        <f>IF(OHW!$G418="","",OHW!$G418)</f>
        <v/>
      </c>
      <c r="O1465">
        <f>IF(OHW!$G418="","",OHW!$I418)</f>
        <v/>
      </c>
      <c r="P1465">
        <f>IF(OHW!$G418="","","Final")</f>
        <v/>
      </c>
    </row>
    <row r="1466">
      <c r="A1466">
        <f>IF(OHW!$G419="","","OHW")</f>
        <v/>
      </c>
      <c r="B1466">
        <f>IF(OHW!$G419="","","OHW")</f>
        <v/>
      </c>
      <c r="C1466" s="18">
        <f>IF(OHW!$G419="","",OHW!$A419)</f>
        <v/>
      </c>
      <c r="F1466">
        <f>IF(OHW!$G419="","",OHW!$B419&amp;"")</f>
        <v/>
      </c>
      <c r="J1466">
        <f>IF(OHW!$G419="","",OHW!$E419)</f>
        <v/>
      </c>
      <c r="K1466">
        <f>IF(OHW!$G419="","",COUNTIFS(OHW!$A$5:$A$1668,OHW!$A419,OHW!$C$5:$C$1668,OHW!$C419))</f>
        <v/>
      </c>
      <c r="L1466">
        <f>IF(OHW!$G419="","",OHW!$D419&amp;"")</f>
        <v/>
      </c>
      <c r="M1466">
        <f>IF(OHW!$G419="","",OHW!$F419)</f>
        <v/>
      </c>
      <c r="N1466">
        <f>IF(OHW!$G419="","",OHW!$G419)</f>
        <v/>
      </c>
      <c r="O1466">
        <f>IF(OHW!$G419="","",OHW!$I419)</f>
        <v/>
      </c>
      <c r="P1466">
        <f>IF(OHW!$G419="","","Final")</f>
        <v/>
      </c>
    </row>
    <row r="1467">
      <c r="A1467">
        <f>IF(OHW!$G420="","","OHW")</f>
        <v/>
      </c>
      <c r="B1467">
        <f>IF(OHW!$G420="","","OHW")</f>
        <v/>
      </c>
      <c r="C1467" s="18">
        <f>IF(OHW!$G420="","",OHW!$A420)</f>
        <v/>
      </c>
      <c r="F1467">
        <f>IF(OHW!$G420="","",OHW!$B420&amp;"")</f>
        <v/>
      </c>
      <c r="J1467">
        <f>IF(OHW!$G420="","",OHW!$E420)</f>
        <v/>
      </c>
      <c r="K1467">
        <f>IF(OHW!$G420="","",COUNTIFS(OHW!$A$5:$A$1668,OHW!$A420,OHW!$C$5:$C$1668,OHW!$C420))</f>
        <v/>
      </c>
      <c r="L1467">
        <f>IF(OHW!$G420="","",OHW!$D420&amp;"")</f>
        <v/>
      </c>
      <c r="M1467">
        <f>IF(OHW!$G420="","",OHW!$F420)</f>
        <v/>
      </c>
      <c r="N1467">
        <f>IF(OHW!$G420="","",OHW!$G420)</f>
        <v/>
      </c>
      <c r="O1467">
        <f>IF(OHW!$G420="","",OHW!$I420)</f>
        <v/>
      </c>
      <c r="P1467">
        <f>IF(OHW!$G420="","","Final")</f>
        <v/>
      </c>
    </row>
    <row r="1468">
      <c r="A1468">
        <f>IF(OHW!$G421="","","OHW")</f>
        <v/>
      </c>
      <c r="B1468">
        <f>IF(OHW!$G421="","","OHW")</f>
        <v/>
      </c>
      <c r="C1468" s="18">
        <f>IF(OHW!$G421="","",OHW!$A421)</f>
        <v/>
      </c>
      <c r="F1468">
        <f>IF(OHW!$G421="","",OHW!$B421&amp;"")</f>
        <v/>
      </c>
      <c r="J1468">
        <f>IF(OHW!$G421="","",OHW!$E421)</f>
        <v/>
      </c>
      <c r="K1468">
        <f>IF(OHW!$G421="","",COUNTIFS(OHW!$A$5:$A$1668,OHW!$A421,OHW!$C$5:$C$1668,OHW!$C421))</f>
        <v/>
      </c>
      <c r="L1468">
        <f>IF(OHW!$G421="","",OHW!$D421&amp;"")</f>
        <v/>
      </c>
      <c r="M1468">
        <f>IF(OHW!$G421="","",OHW!$F421)</f>
        <v/>
      </c>
      <c r="N1468">
        <f>IF(OHW!$G421="","",OHW!$G421)</f>
        <v/>
      </c>
      <c r="O1468">
        <f>IF(OHW!$G421="","",OHW!$I421)</f>
        <v/>
      </c>
      <c r="P1468">
        <f>IF(OHW!$G421="","","Final")</f>
        <v/>
      </c>
    </row>
    <row r="1469">
      <c r="A1469">
        <f>IF(OHW!$G422="","","OHW")</f>
        <v/>
      </c>
      <c r="B1469">
        <f>IF(OHW!$G422="","","OHW")</f>
        <v/>
      </c>
      <c r="C1469" s="18">
        <f>IF(OHW!$G422="","",OHW!$A422)</f>
        <v/>
      </c>
      <c r="F1469">
        <f>IF(OHW!$G422="","",OHW!$B422&amp;"")</f>
        <v/>
      </c>
      <c r="J1469">
        <f>IF(OHW!$G422="","",OHW!$E422)</f>
        <v/>
      </c>
      <c r="K1469">
        <f>IF(OHW!$G422="","",COUNTIFS(OHW!$A$5:$A$1668,OHW!$A422,OHW!$C$5:$C$1668,OHW!$C422))</f>
        <v/>
      </c>
      <c r="L1469">
        <f>IF(OHW!$G422="","",OHW!$D422&amp;"")</f>
        <v/>
      </c>
      <c r="M1469">
        <f>IF(OHW!$G422="","",OHW!$F422)</f>
        <v/>
      </c>
      <c r="N1469">
        <f>IF(OHW!$G422="","",OHW!$G422)</f>
        <v/>
      </c>
      <c r="O1469">
        <f>IF(OHW!$G422="","",OHW!$I422)</f>
        <v/>
      </c>
      <c r="P1469">
        <f>IF(OHW!$G422="","","Final")</f>
        <v/>
      </c>
    </row>
    <row r="1470">
      <c r="A1470">
        <f>IF(OHW!$G423="","","OHW")</f>
        <v/>
      </c>
      <c r="B1470">
        <f>IF(OHW!$G423="","","OHW")</f>
        <v/>
      </c>
      <c r="C1470" s="18">
        <f>IF(OHW!$G423="","",OHW!$A423)</f>
        <v/>
      </c>
      <c r="F1470">
        <f>IF(OHW!$G423="","",OHW!$B423&amp;"")</f>
        <v/>
      </c>
      <c r="J1470">
        <f>IF(OHW!$G423="","",OHW!$E423)</f>
        <v/>
      </c>
      <c r="K1470">
        <f>IF(OHW!$G423="","",COUNTIFS(OHW!$A$5:$A$1668,OHW!$A423,OHW!$C$5:$C$1668,OHW!$C423))</f>
        <v/>
      </c>
      <c r="L1470">
        <f>IF(OHW!$G423="","",OHW!$D423&amp;"")</f>
        <v/>
      </c>
      <c r="M1470">
        <f>IF(OHW!$G423="","",OHW!$F423)</f>
        <v/>
      </c>
      <c r="N1470">
        <f>IF(OHW!$G423="","",OHW!$G423)</f>
        <v/>
      </c>
      <c r="O1470">
        <f>IF(OHW!$G423="","",OHW!$I423)</f>
        <v/>
      </c>
      <c r="P1470">
        <f>IF(OHW!$G423="","","Final")</f>
        <v/>
      </c>
    </row>
    <row r="1471">
      <c r="A1471">
        <f>IF(OHW!$G424="","","OHW")</f>
        <v/>
      </c>
      <c r="B1471">
        <f>IF(OHW!$G424="","","OHW")</f>
        <v/>
      </c>
      <c r="C1471" s="18">
        <f>IF(OHW!$G424="","",OHW!$A424)</f>
        <v/>
      </c>
      <c r="F1471">
        <f>IF(OHW!$G424="","",OHW!$B424&amp;"")</f>
        <v/>
      </c>
      <c r="J1471">
        <f>IF(OHW!$G424="","",OHW!$E424)</f>
        <v/>
      </c>
      <c r="K1471">
        <f>IF(OHW!$G424="","",COUNTIFS(OHW!$A$5:$A$1668,OHW!$A424,OHW!$C$5:$C$1668,OHW!$C424))</f>
        <v/>
      </c>
      <c r="L1471">
        <f>IF(OHW!$G424="","",OHW!$D424&amp;"")</f>
        <v/>
      </c>
      <c r="M1471">
        <f>IF(OHW!$G424="","",OHW!$F424)</f>
        <v/>
      </c>
      <c r="N1471">
        <f>IF(OHW!$G424="","",OHW!$G424)</f>
        <v/>
      </c>
      <c r="O1471">
        <f>IF(OHW!$G424="","",OHW!$I424)</f>
        <v/>
      </c>
      <c r="P1471">
        <f>IF(OHW!$G424="","","Final")</f>
        <v/>
      </c>
    </row>
    <row r="1472">
      <c r="A1472">
        <f>IF(OHW!$G425="","","OHW")</f>
        <v/>
      </c>
      <c r="B1472">
        <f>IF(OHW!$G425="","","OHW")</f>
        <v/>
      </c>
      <c r="C1472" s="18">
        <f>IF(OHW!$G425="","",OHW!$A425)</f>
        <v/>
      </c>
      <c r="F1472">
        <f>IF(OHW!$G425="","",OHW!$B425&amp;"")</f>
        <v/>
      </c>
      <c r="J1472">
        <f>IF(OHW!$G425="","",OHW!$E425)</f>
        <v/>
      </c>
      <c r="K1472">
        <f>IF(OHW!$G425="","",COUNTIFS(OHW!$A$5:$A$1668,OHW!$A425,OHW!$C$5:$C$1668,OHW!$C425))</f>
        <v/>
      </c>
      <c r="L1472">
        <f>IF(OHW!$G425="","",OHW!$D425&amp;"")</f>
        <v/>
      </c>
      <c r="M1472">
        <f>IF(OHW!$G425="","",OHW!$F425)</f>
        <v/>
      </c>
      <c r="N1472">
        <f>IF(OHW!$G425="","",OHW!$G425)</f>
        <v/>
      </c>
      <c r="O1472">
        <f>IF(OHW!$G425="","",OHW!$I425)</f>
        <v/>
      </c>
      <c r="P1472">
        <f>IF(OHW!$G425="","","Final")</f>
        <v/>
      </c>
    </row>
    <row r="1473">
      <c r="A1473">
        <f>IF(OHW!$G426="","","OHW")</f>
        <v/>
      </c>
      <c r="B1473">
        <f>IF(OHW!$G426="","","OHW")</f>
        <v/>
      </c>
      <c r="C1473" s="18">
        <f>IF(OHW!$G426="","",OHW!$A426)</f>
        <v/>
      </c>
      <c r="F1473">
        <f>IF(OHW!$G426="","",OHW!$B426&amp;"")</f>
        <v/>
      </c>
      <c r="J1473">
        <f>IF(OHW!$G426="","",OHW!$E426)</f>
        <v/>
      </c>
      <c r="K1473">
        <f>IF(OHW!$G426="","",COUNTIFS(OHW!$A$5:$A$1668,OHW!$A426,OHW!$C$5:$C$1668,OHW!$C426))</f>
        <v/>
      </c>
      <c r="L1473">
        <f>IF(OHW!$G426="","",OHW!$D426&amp;"")</f>
        <v/>
      </c>
      <c r="M1473">
        <f>IF(OHW!$G426="","",OHW!$F426)</f>
        <v/>
      </c>
      <c r="N1473">
        <f>IF(OHW!$G426="","",OHW!$G426)</f>
        <v/>
      </c>
      <c r="O1473">
        <f>IF(OHW!$G426="","",OHW!$I426)</f>
        <v/>
      </c>
      <c r="P1473">
        <f>IF(OHW!$G426="","","Final")</f>
        <v/>
      </c>
    </row>
    <row r="1474">
      <c r="A1474">
        <f>IF(OHW!$G427="","","OHW")</f>
        <v/>
      </c>
      <c r="B1474">
        <f>IF(OHW!$G427="","","OHW")</f>
        <v/>
      </c>
      <c r="C1474" s="18">
        <f>IF(OHW!$G427="","",OHW!$A427)</f>
        <v/>
      </c>
      <c r="F1474">
        <f>IF(OHW!$G427="","",OHW!$B427&amp;"")</f>
        <v/>
      </c>
      <c r="J1474">
        <f>IF(OHW!$G427="","",OHW!$E427)</f>
        <v/>
      </c>
      <c r="K1474">
        <f>IF(OHW!$G427="","",COUNTIFS(OHW!$A$5:$A$1668,OHW!$A427,OHW!$C$5:$C$1668,OHW!$C427))</f>
        <v/>
      </c>
      <c r="L1474">
        <f>IF(OHW!$G427="","",OHW!$D427&amp;"")</f>
        <v/>
      </c>
      <c r="M1474">
        <f>IF(OHW!$G427="","",OHW!$F427)</f>
        <v/>
      </c>
      <c r="N1474">
        <f>IF(OHW!$G427="","",OHW!$G427)</f>
        <v/>
      </c>
      <c r="O1474">
        <f>IF(OHW!$G427="","",OHW!$I427)</f>
        <v/>
      </c>
      <c r="P1474">
        <f>IF(OHW!$G427="","","Final")</f>
        <v/>
      </c>
    </row>
    <row r="1475">
      <c r="A1475">
        <f>IF(OHW!$G428="","","OHW")</f>
        <v/>
      </c>
      <c r="B1475">
        <f>IF(OHW!$G428="","","OHW")</f>
        <v/>
      </c>
      <c r="C1475" s="18">
        <f>IF(OHW!$G428="","",OHW!$A428)</f>
        <v/>
      </c>
      <c r="F1475">
        <f>IF(OHW!$G428="","",OHW!$B428&amp;"")</f>
        <v/>
      </c>
      <c r="J1475">
        <f>IF(OHW!$G428="","",OHW!$E428)</f>
        <v/>
      </c>
      <c r="K1475">
        <f>IF(OHW!$G428="","",COUNTIFS(OHW!$A$5:$A$1668,OHW!$A428,OHW!$C$5:$C$1668,OHW!$C428))</f>
        <v/>
      </c>
      <c r="L1475">
        <f>IF(OHW!$G428="","",OHW!$D428&amp;"")</f>
        <v/>
      </c>
      <c r="M1475">
        <f>IF(OHW!$G428="","",OHW!$F428)</f>
        <v/>
      </c>
      <c r="N1475">
        <f>IF(OHW!$G428="","",OHW!$G428)</f>
        <v/>
      </c>
      <c r="O1475">
        <f>IF(OHW!$G428="","",OHW!$I428)</f>
        <v/>
      </c>
      <c r="P1475">
        <f>IF(OHW!$G428="","","Final")</f>
        <v/>
      </c>
    </row>
    <row r="1476">
      <c r="A1476">
        <f>IF(OHW!$G429="","","OHW")</f>
        <v/>
      </c>
      <c r="B1476">
        <f>IF(OHW!$G429="","","OHW")</f>
        <v/>
      </c>
      <c r="C1476" s="18">
        <f>IF(OHW!$G429="","",OHW!$A429)</f>
        <v/>
      </c>
      <c r="F1476">
        <f>IF(OHW!$G429="","",OHW!$B429&amp;"")</f>
        <v/>
      </c>
      <c r="J1476">
        <f>IF(OHW!$G429="","",OHW!$E429)</f>
        <v/>
      </c>
      <c r="K1476">
        <f>IF(OHW!$G429="","",COUNTIFS(OHW!$A$5:$A$1668,OHW!$A429,OHW!$C$5:$C$1668,OHW!$C429))</f>
        <v/>
      </c>
      <c r="L1476">
        <f>IF(OHW!$G429="","",OHW!$D429&amp;"")</f>
        <v/>
      </c>
      <c r="M1476">
        <f>IF(OHW!$G429="","",OHW!$F429)</f>
        <v/>
      </c>
      <c r="N1476">
        <f>IF(OHW!$G429="","",OHW!$G429)</f>
        <v/>
      </c>
      <c r="O1476">
        <f>IF(OHW!$G429="","",OHW!$I429)</f>
        <v/>
      </c>
      <c r="P1476">
        <f>IF(OHW!$G429="","","Final")</f>
        <v/>
      </c>
    </row>
    <row r="1477">
      <c r="A1477">
        <f>IF(OHW!$G430="","","OHW")</f>
        <v/>
      </c>
      <c r="B1477">
        <f>IF(OHW!$G430="","","OHW")</f>
        <v/>
      </c>
      <c r="C1477" s="18">
        <f>IF(OHW!$G430="","",OHW!$A430)</f>
        <v/>
      </c>
      <c r="F1477">
        <f>IF(OHW!$G430="","",OHW!$B430&amp;"")</f>
        <v/>
      </c>
      <c r="J1477">
        <f>IF(OHW!$G430="","",OHW!$E430)</f>
        <v/>
      </c>
      <c r="K1477">
        <f>IF(OHW!$G430="","",COUNTIFS(OHW!$A$5:$A$1668,OHW!$A430,OHW!$C$5:$C$1668,OHW!$C430))</f>
        <v/>
      </c>
      <c r="L1477">
        <f>IF(OHW!$G430="","",OHW!$D430&amp;"")</f>
        <v/>
      </c>
      <c r="M1477">
        <f>IF(OHW!$G430="","",OHW!$F430)</f>
        <v/>
      </c>
      <c r="N1477">
        <f>IF(OHW!$G430="","",OHW!$G430)</f>
        <v/>
      </c>
      <c r="O1477">
        <f>IF(OHW!$G430="","",OHW!$I430)</f>
        <v/>
      </c>
      <c r="P1477">
        <f>IF(OHW!$G430="","","Final")</f>
        <v/>
      </c>
    </row>
    <row r="1478">
      <c r="A1478">
        <f>IF(OHW!$G431="","","OHW")</f>
        <v/>
      </c>
      <c r="B1478">
        <f>IF(OHW!$G431="","","OHW")</f>
        <v/>
      </c>
      <c r="C1478" s="18">
        <f>IF(OHW!$G431="","",OHW!$A431)</f>
        <v/>
      </c>
      <c r="F1478">
        <f>IF(OHW!$G431="","",OHW!$B431&amp;"")</f>
        <v/>
      </c>
      <c r="J1478">
        <f>IF(OHW!$G431="","",OHW!$E431)</f>
        <v/>
      </c>
      <c r="K1478">
        <f>IF(OHW!$G431="","",COUNTIFS(OHW!$A$5:$A$1668,OHW!$A431,OHW!$C$5:$C$1668,OHW!$C431))</f>
        <v/>
      </c>
      <c r="L1478">
        <f>IF(OHW!$G431="","",OHW!$D431&amp;"")</f>
        <v/>
      </c>
      <c r="M1478">
        <f>IF(OHW!$G431="","",OHW!$F431)</f>
        <v/>
      </c>
      <c r="N1478">
        <f>IF(OHW!$G431="","",OHW!$G431)</f>
        <v/>
      </c>
      <c r="O1478">
        <f>IF(OHW!$G431="","",OHW!$I431)</f>
        <v/>
      </c>
      <c r="P1478">
        <f>IF(OHW!$G431="","","Final")</f>
        <v/>
      </c>
    </row>
    <row r="1479">
      <c r="A1479">
        <f>IF(OHW!$G432="","","OHW")</f>
        <v/>
      </c>
      <c r="B1479">
        <f>IF(OHW!$G432="","","OHW")</f>
        <v/>
      </c>
      <c r="C1479" s="18">
        <f>IF(OHW!$G432="","",OHW!$A432)</f>
        <v/>
      </c>
      <c r="F1479">
        <f>IF(OHW!$G432="","",OHW!$B432&amp;"")</f>
        <v/>
      </c>
      <c r="J1479">
        <f>IF(OHW!$G432="","",OHW!$E432)</f>
        <v/>
      </c>
      <c r="K1479">
        <f>IF(OHW!$G432="","",COUNTIFS(OHW!$A$5:$A$1668,OHW!$A432,OHW!$C$5:$C$1668,OHW!$C432))</f>
        <v/>
      </c>
      <c r="L1479">
        <f>IF(OHW!$G432="","",OHW!$D432&amp;"")</f>
        <v/>
      </c>
      <c r="M1479">
        <f>IF(OHW!$G432="","",OHW!$F432)</f>
        <v/>
      </c>
      <c r="N1479">
        <f>IF(OHW!$G432="","",OHW!$G432)</f>
        <v/>
      </c>
      <c r="O1479">
        <f>IF(OHW!$G432="","",OHW!$I432)</f>
        <v/>
      </c>
      <c r="P1479">
        <f>IF(OHW!$G432="","","Final")</f>
        <v/>
      </c>
    </row>
    <row r="1480">
      <c r="A1480">
        <f>IF(OHW!$G433="","","OHW")</f>
        <v/>
      </c>
      <c r="B1480">
        <f>IF(OHW!$G433="","","OHW")</f>
        <v/>
      </c>
      <c r="C1480" s="18">
        <f>IF(OHW!$G433="","",OHW!$A433)</f>
        <v/>
      </c>
      <c r="F1480">
        <f>IF(OHW!$G433="","",OHW!$B433&amp;"")</f>
        <v/>
      </c>
      <c r="J1480">
        <f>IF(OHW!$G433="","",OHW!$E433)</f>
        <v/>
      </c>
      <c r="K1480">
        <f>IF(OHW!$G433="","",COUNTIFS(OHW!$A$5:$A$1668,OHW!$A433,OHW!$C$5:$C$1668,OHW!$C433))</f>
        <v/>
      </c>
      <c r="L1480">
        <f>IF(OHW!$G433="","",OHW!$D433&amp;"")</f>
        <v/>
      </c>
      <c r="M1480">
        <f>IF(OHW!$G433="","",OHW!$F433)</f>
        <v/>
      </c>
      <c r="N1480">
        <f>IF(OHW!$G433="","",OHW!$G433)</f>
        <v/>
      </c>
      <c r="O1480">
        <f>IF(OHW!$G433="","",OHW!$I433)</f>
        <v/>
      </c>
      <c r="P1480">
        <f>IF(OHW!$G433="","","Final")</f>
        <v/>
      </c>
    </row>
    <row r="1481">
      <c r="A1481">
        <f>IF(OHW!$G434="","","OHW")</f>
        <v/>
      </c>
      <c r="B1481">
        <f>IF(OHW!$G434="","","OHW")</f>
        <v/>
      </c>
      <c r="C1481" s="18">
        <f>IF(OHW!$G434="","",OHW!$A434)</f>
        <v/>
      </c>
      <c r="F1481">
        <f>IF(OHW!$G434="","",OHW!$B434&amp;"")</f>
        <v/>
      </c>
      <c r="J1481">
        <f>IF(OHW!$G434="","",OHW!$E434)</f>
        <v/>
      </c>
      <c r="K1481">
        <f>IF(OHW!$G434="","",COUNTIFS(OHW!$A$5:$A$1668,OHW!$A434,OHW!$C$5:$C$1668,OHW!$C434))</f>
        <v/>
      </c>
      <c r="L1481">
        <f>IF(OHW!$G434="","",OHW!$D434&amp;"")</f>
        <v/>
      </c>
      <c r="M1481">
        <f>IF(OHW!$G434="","",OHW!$F434)</f>
        <v/>
      </c>
      <c r="N1481">
        <f>IF(OHW!$G434="","",OHW!$G434)</f>
        <v/>
      </c>
      <c r="O1481">
        <f>IF(OHW!$G434="","",OHW!$I434)</f>
        <v/>
      </c>
      <c r="P1481">
        <f>IF(OHW!$G434="","","Final")</f>
        <v/>
      </c>
    </row>
    <row r="1482">
      <c r="A1482">
        <f>IF(OHW!$G435="","","OHW")</f>
        <v/>
      </c>
      <c r="B1482">
        <f>IF(OHW!$G435="","","OHW")</f>
        <v/>
      </c>
      <c r="C1482" s="18">
        <f>IF(OHW!$G435="","",OHW!$A435)</f>
        <v/>
      </c>
      <c r="F1482">
        <f>IF(OHW!$G435="","",OHW!$B435&amp;"")</f>
        <v/>
      </c>
      <c r="J1482">
        <f>IF(OHW!$G435="","",OHW!$E435)</f>
        <v/>
      </c>
      <c r="K1482">
        <f>IF(OHW!$G435="","",COUNTIFS(OHW!$A$5:$A$1668,OHW!$A435,OHW!$C$5:$C$1668,OHW!$C435))</f>
        <v/>
      </c>
      <c r="L1482">
        <f>IF(OHW!$G435="","",OHW!$D435&amp;"")</f>
        <v/>
      </c>
      <c r="M1482">
        <f>IF(OHW!$G435="","",OHW!$F435)</f>
        <v/>
      </c>
      <c r="N1482">
        <f>IF(OHW!$G435="","",OHW!$G435)</f>
        <v/>
      </c>
      <c r="O1482">
        <f>IF(OHW!$G435="","",OHW!$I435)</f>
        <v/>
      </c>
      <c r="P1482">
        <f>IF(OHW!$G435="","","Final")</f>
        <v/>
      </c>
    </row>
    <row r="1483">
      <c r="A1483">
        <f>IF(OHW!$G436="","","OHW")</f>
        <v/>
      </c>
      <c r="B1483">
        <f>IF(OHW!$G436="","","OHW")</f>
        <v/>
      </c>
      <c r="C1483" s="18">
        <f>IF(OHW!$G436="","",OHW!$A436)</f>
        <v/>
      </c>
      <c r="F1483">
        <f>IF(OHW!$G436="","",OHW!$B436&amp;"")</f>
        <v/>
      </c>
      <c r="J1483">
        <f>IF(OHW!$G436="","",OHW!$E436)</f>
        <v/>
      </c>
      <c r="K1483">
        <f>IF(OHW!$G436="","",COUNTIFS(OHW!$A$5:$A$1668,OHW!$A436,OHW!$C$5:$C$1668,OHW!$C436))</f>
        <v/>
      </c>
      <c r="L1483">
        <f>IF(OHW!$G436="","",OHW!$D436&amp;"")</f>
        <v/>
      </c>
      <c r="M1483">
        <f>IF(OHW!$G436="","",OHW!$F436)</f>
        <v/>
      </c>
      <c r="N1483">
        <f>IF(OHW!$G436="","",OHW!$G436)</f>
        <v/>
      </c>
      <c r="O1483">
        <f>IF(OHW!$G436="","",OHW!$I436)</f>
        <v/>
      </c>
      <c r="P1483">
        <f>IF(OHW!$G436="","","Final")</f>
        <v/>
      </c>
    </row>
    <row r="1484">
      <c r="A1484">
        <f>IF(OHW!$G437="","","OHW")</f>
        <v/>
      </c>
      <c r="B1484">
        <f>IF(OHW!$G437="","","OHW")</f>
        <v/>
      </c>
      <c r="C1484" s="18">
        <f>IF(OHW!$G437="","",OHW!$A437)</f>
        <v/>
      </c>
      <c r="F1484">
        <f>IF(OHW!$G437="","",OHW!$B437&amp;"")</f>
        <v/>
      </c>
      <c r="J1484">
        <f>IF(OHW!$G437="","",OHW!$E437)</f>
        <v/>
      </c>
      <c r="K1484">
        <f>IF(OHW!$G437="","",COUNTIFS(OHW!$A$5:$A$1668,OHW!$A437,OHW!$C$5:$C$1668,OHW!$C437))</f>
        <v/>
      </c>
      <c r="L1484">
        <f>IF(OHW!$G437="","",OHW!$D437&amp;"")</f>
        <v/>
      </c>
      <c r="M1484">
        <f>IF(OHW!$G437="","",OHW!$F437)</f>
        <v/>
      </c>
      <c r="N1484">
        <f>IF(OHW!$G437="","",OHW!$G437)</f>
        <v/>
      </c>
      <c r="O1484">
        <f>IF(OHW!$G437="","",OHW!$I437)</f>
        <v/>
      </c>
      <c r="P1484">
        <f>IF(OHW!$G437="","","Final")</f>
        <v/>
      </c>
    </row>
    <row r="1485">
      <c r="A1485">
        <f>IF(OHW!$G438="","","OHW")</f>
        <v/>
      </c>
      <c r="B1485">
        <f>IF(OHW!$G438="","","OHW")</f>
        <v/>
      </c>
      <c r="C1485" s="18">
        <f>IF(OHW!$G438="","",OHW!$A438)</f>
        <v/>
      </c>
      <c r="F1485">
        <f>IF(OHW!$G438="","",OHW!$B438&amp;"")</f>
        <v/>
      </c>
      <c r="J1485">
        <f>IF(OHW!$G438="","",OHW!$E438)</f>
        <v/>
      </c>
      <c r="K1485">
        <f>IF(OHW!$G438="","",COUNTIFS(OHW!$A$5:$A$1668,OHW!$A438,OHW!$C$5:$C$1668,OHW!$C438))</f>
        <v/>
      </c>
      <c r="L1485">
        <f>IF(OHW!$G438="","",OHW!$D438&amp;"")</f>
        <v/>
      </c>
      <c r="M1485">
        <f>IF(OHW!$G438="","",OHW!$F438)</f>
        <v/>
      </c>
      <c r="N1485">
        <f>IF(OHW!$G438="","",OHW!$G438)</f>
        <v/>
      </c>
      <c r="O1485">
        <f>IF(OHW!$G438="","",OHW!$I438)</f>
        <v/>
      </c>
      <c r="P1485">
        <f>IF(OHW!$G438="","","Final")</f>
        <v/>
      </c>
    </row>
    <row r="1486">
      <c r="A1486">
        <f>IF(OHW!$G439="","","OHW")</f>
        <v/>
      </c>
      <c r="B1486">
        <f>IF(OHW!$G439="","","OHW")</f>
        <v/>
      </c>
      <c r="C1486" s="18">
        <f>IF(OHW!$G439="","",OHW!$A439)</f>
        <v/>
      </c>
      <c r="F1486">
        <f>IF(OHW!$G439="","",OHW!$B439&amp;"")</f>
        <v/>
      </c>
      <c r="J1486">
        <f>IF(OHW!$G439="","",OHW!$E439)</f>
        <v/>
      </c>
      <c r="K1486">
        <f>IF(OHW!$G439="","",COUNTIFS(OHW!$A$5:$A$1668,OHW!$A439,OHW!$C$5:$C$1668,OHW!$C439))</f>
        <v/>
      </c>
      <c r="L1486">
        <f>IF(OHW!$G439="","",OHW!$D439&amp;"")</f>
        <v/>
      </c>
      <c r="M1486">
        <f>IF(OHW!$G439="","",OHW!$F439)</f>
        <v/>
      </c>
      <c r="N1486">
        <f>IF(OHW!$G439="","",OHW!$G439)</f>
        <v/>
      </c>
      <c r="O1486">
        <f>IF(OHW!$G439="","",OHW!$I439)</f>
        <v/>
      </c>
      <c r="P1486">
        <f>IF(OHW!$G439="","","Final")</f>
        <v/>
      </c>
    </row>
    <row r="1487">
      <c r="A1487">
        <f>IF(OHW!$G440="","","OHW")</f>
        <v/>
      </c>
      <c r="B1487">
        <f>IF(OHW!$G440="","","OHW")</f>
        <v/>
      </c>
      <c r="C1487" s="18">
        <f>IF(OHW!$G440="","",OHW!$A440)</f>
        <v/>
      </c>
      <c r="F1487">
        <f>IF(OHW!$G440="","",OHW!$B440&amp;"")</f>
        <v/>
      </c>
      <c r="J1487">
        <f>IF(OHW!$G440="","",OHW!$E440)</f>
        <v/>
      </c>
      <c r="K1487">
        <f>IF(OHW!$G440="","",COUNTIFS(OHW!$A$5:$A$1668,OHW!$A440,OHW!$C$5:$C$1668,OHW!$C440))</f>
        <v/>
      </c>
      <c r="L1487">
        <f>IF(OHW!$G440="","",OHW!$D440&amp;"")</f>
        <v/>
      </c>
      <c r="M1487">
        <f>IF(OHW!$G440="","",OHW!$F440)</f>
        <v/>
      </c>
      <c r="N1487">
        <f>IF(OHW!$G440="","",OHW!$G440)</f>
        <v/>
      </c>
      <c r="O1487">
        <f>IF(OHW!$G440="","",OHW!$I440)</f>
        <v/>
      </c>
      <c r="P1487">
        <f>IF(OHW!$G440="","","Final")</f>
        <v/>
      </c>
    </row>
    <row r="1488">
      <c r="A1488">
        <f>IF(OHW!$G441="","","OHW")</f>
        <v/>
      </c>
      <c r="B1488">
        <f>IF(OHW!$G441="","","OHW")</f>
        <v/>
      </c>
      <c r="C1488" s="18">
        <f>IF(OHW!$G441="","",OHW!$A441)</f>
        <v/>
      </c>
      <c r="F1488">
        <f>IF(OHW!$G441="","",OHW!$B441&amp;"")</f>
        <v/>
      </c>
      <c r="J1488">
        <f>IF(OHW!$G441="","",OHW!$E441)</f>
        <v/>
      </c>
      <c r="K1488">
        <f>IF(OHW!$G441="","",COUNTIFS(OHW!$A$5:$A$1668,OHW!$A441,OHW!$C$5:$C$1668,OHW!$C441))</f>
        <v/>
      </c>
      <c r="L1488">
        <f>IF(OHW!$G441="","",OHW!$D441&amp;"")</f>
        <v/>
      </c>
      <c r="M1488">
        <f>IF(OHW!$G441="","",OHW!$F441)</f>
        <v/>
      </c>
      <c r="N1488">
        <f>IF(OHW!$G441="","",OHW!$G441)</f>
        <v/>
      </c>
      <c r="O1488">
        <f>IF(OHW!$G441="","",OHW!$I441)</f>
        <v/>
      </c>
      <c r="P1488">
        <f>IF(OHW!$G441="","","Final")</f>
        <v/>
      </c>
    </row>
    <row r="1489">
      <c r="A1489">
        <f>IF(OHW!$G442="","","OHW")</f>
        <v/>
      </c>
      <c r="B1489">
        <f>IF(OHW!$G442="","","OHW")</f>
        <v/>
      </c>
      <c r="C1489" s="18">
        <f>IF(OHW!$G442="","",OHW!$A442)</f>
        <v/>
      </c>
      <c r="F1489">
        <f>IF(OHW!$G442="","",OHW!$B442&amp;"")</f>
        <v/>
      </c>
      <c r="J1489">
        <f>IF(OHW!$G442="","",OHW!$E442)</f>
        <v/>
      </c>
      <c r="K1489">
        <f>IF(OHW!$G442="","",COUNTIFS(OHW!$A$5:$A$1668,OHW!$A442,OHW!$C$5:$C$1668,OHW!$C442))</f>
        <v/>
      </c>
      <c r="L1489">
        <f>IF(OHW!$G442="","",OHW!$D442&amp;"")</f>
        <v/>
      </c>
      <c r="M1489">
        <f>IF(OHW!$G442="","",OHW!$F442)</f>
        <v/>
      </c>
      <c r="N1489">
        <f>IF(OHW!$G442="","",OHW!$G442)</f>
        <v/>
      </c>
      <c r="O1489">
        <f>IF(OHW!$G442="","",OHW!$I442)</f>
        <v/>
      </c>
      <c r="P1489">
        <f>IF(OHW!$G442="","","Final")</f>
        <v/>
      </c>
    </row>
    <row r="1490">
      <c r="A1490">
        <f>IF(OHW!$G443="","","OHW")</f>
        <v/>
      </c>
      <c r="B1490">
        <f>IF(OHW!$G443="","","OHW")</f>
        <v/>
      </c>
      <c r="C1490" s="18">
        <f>IF(OHW!$G443="","",OHW!$A443)</f>
        <v/>
      </c>
      <c r="F1490">
        <f>IF(OHW!$G443="","",OHW!$B443&amp;"")</f>
        <v/>
      </c>
      <c r="J1490">
        <f>IF(OHW!$G443="","",OHW!$E443)</f>
        <v/>
      </c>
      <c r="K1490">
        <f>IF(OHW!$G443="","",COUNTIFS(OHW!$A$5:$A$1668,OHW!$A443,OHW!$C$5:$C$1668,OHW!$C443))</f>
        <v/>
      </c>
      <c r="L1490">
        <f>IF(OHW!$G443="","",OHW!$D443&amp;"")</f>
        <v/>
      </c>
      <c r="M1490">
        <f>IF(OHW!$G443="","",OHW!$F443)</f>
        <v/>
      </c>
      <c r="N1490">
        <f>IF(OHW!$G443="","",OHW!$G443)</f>
        <v/>
      </c>
      <c r="O1490">
        <f>IF(OHW!$G443="","",OHW!$I443)</f>
        <v/>
      </c>
      <c r="P1490">
        <f>IF(OHW!$G443="","","Final")</f>
        <v/>
      </c>
    </row>
    <row r="1491">
      <c r="A1491">
        <f>IF(OHW!$G444="","","OHW")</f>
        <v/>
      </c>
      <c r="B1491">
        <f>IF(OHW!$G444="","","OHW")</f>
        <v/>
      </c>
      <c r="C1491" s="18">
        <f>IF(OHW!$G444="","",OHW!$A444)</f>
        <v/>
      </c>
      <c r="F1491">
        <f>IF(OHW!$G444="","",OHW!$B444&amp;"")</f>
        <v/>
      </c>
      <c r="J1491">
        <f>IF(OHW!$G444="","",OHW!$E444)</f>
        <v/>
      </c>
      <c r="K1491">
        <f>IF(OHW!$G444="","",COUNTIFS(OHW!$A$5:$A$1668,OHW!$A444,OHW!$C$5:$C$1668,OHW!$C444))</f>
        <v/>
      </c>
      <c r="L1491">
        <f>IF(OHW!$G444="","",OHW!$D444&amp;"")</f>
        <v/>
      </c>
      <c r="M1491">
        <f>IF(OHW!$G444="","",OHW!$F444)</f>
        <v/>
      </c>
      <c r="N1491">
        <f>IF(OHW!$G444="","",OHW!$G444)</f>
        <v/>
      </c>
      <c r="O1491">
        <f>IF(OHW!$G444="","",OHW!$I444)</f>
        <v/>
      </c>
      <c r="P1491">
        <f>IF(OHW!$G444="","","Final")</f>
        <v/>
      </c>
    </row>
    <row r="1492">
      <c r="A1492">
        <f>IF(OHW!$G445="","","OHW")</f>
        <v/>
      </c>
      <c r="B1492">
        <f>IF(OHW!$G445="","","OHW")</f>
        <v/>
      </c>
      <c r="C1492" s="18">
        <f>IF(OHW!$G445="","",OHW!$A445)</f>
        <v/>
      </c>
      <c r="F1492">
        <f>IF(OHW!$G445="","",OHW!$B445&amp;"")</f>
        <v/>
      </c>
      <c r="J1492">
        <f>IF(OHW!$G445="","",OHW!$E445)</f>
        <v/>
      </c>
      <c r="K1492">
        <f>IF(OHW!$G445="","",COUNTIFS(OHW!$A$5:$A$1668,OHW!$A445,OHW!$C$5:$C$1668,OHW!$C445))</f>
        <v/>
      </c>
      <c r="L1492">
        <f>IF(OHW!$G445="","",OHW!$D445&amp;"")</f>
        <v/>
      </c>
      <c r="M1492">
        <f>IF(OHW!$G445="","",OHW!$F445)</f>
        <v/>
      </c>
      <c r="N1492">
        <f>IF(OHW!$G445="","",OHW!$G445)</f>
        <v/>
      </c>
      <c r="O1492">
        <f>IF(OHW!$G445="","",OHW!$I445)</f>
        <v/>
      </c>
      <c r="P1492">
        <f>IF(OHW!$G445="","","Final")</f>
        <v/>
      </c>
    </row>
    <row r="1493">
      <c r="A1493">
        <f>IF(OHW!$G446="","","OHW")</f>
        <v/>
      </c>
      <c r="B1493">
        <f>IF(OHW!$G446="","","OHW")</f>
        <v/>
      </c>
      <c r="C1493" s="18">
        <f>IF(OHW!$G446="","",OHW!$A446)</f>
        <v/>
      </c>
      <c r="F1493">
        <f>IF(OHW!$G446="","",OHW!$B446&amp;"")</f>
        <v/>
      </c>
      <c r="J1493">
        <f>IF(OHW!$G446="","",OHW!$E446)</f>
        <v/>
      </c>
      <c r="K1493">
        <f>IF(OHW!$G446="","",COUNTIFS(OHW!$A$5:$A$1668,OHW!$A446,OHW!$C$5:$C$1668,OHW!$C446))</f>
        <v/>
      </c>
      <c r="L1493">
        <f>IF(OHW!$G446="","",OHW!$D446&amp;"")</f>
        <v/>
      </c>
      <c r="M1493">
        <f>IF(OHW!$G446="","",OHW!$F446)</f>
        <v/>
      </c>
      <c r="N1493">
        <f>IF(OHW!$G446="","",OHW!$G446)</f>
        <v/>
      </c>
      <c r="O1493">
        <f>IF(OHW!$G446="","",OHW!$I446)</f>
        <v/>
      </c>
      <c r="P1493">
        <f>IF(OHW!$G446="","","Final")</f>
        <v/>
      </c>
    </row>
    <row r="1494">
      <c r="A1494">
        <f>IF(OHW!$G447="","","OHW")</f>
        <v/>
      </c>
      <c r="B1494">
        <f>IF(OHW!$G447="","","OHW")</f>
        <v/>
      </c>
      <c r="C1494" s="18">
        <f>IF(OHW!$G447="","",OHW!$A447)</f>
        <v/>
      </c>
      <c r="F1494">
        <f>IF(OHW!$G447="","",OHW!$B447&amp;"")</f>
        <v/>
      </c>
      <c r="J1494">
        <f>IF(OHW!$G447="","",OHW!$E447)</f>
        <v/>
      </c>
      <c r="K1494">
        <f>IF(OHW!$G447="","",COUNTIFS(OHW!$A$5:$A$1668,OHW!$A447,OHW!$C$5:$C$1668,OHW!$C447))</f>
        <v/>
      </c>
      <c r="L1494">
        <f>IF(OHW!$G447="","",OHW!$D447&amp;"")</f>
        <v/>
      </c>
      <c r="M1494">
        <f>IF(OHW!$G447="","",OHW!$F447)</f>
        <v/>
      </c>
      <c r="N1494">
        <f>IF(OHW!$G447="","",OHW!$G447)</f>
        <v/>
      </c>
      <c r="O1494">
        <f>IF(OHW!$G447="","",OHW!$I447)</f>
        <v/>
      </c>
      <c r="P1494">
        <f>IF(OHW!$G447="","","Final")</f>
        <v/>
      </c>
    </row>
    <row r="1495">
      <c r="A1495">
        <f>IF(OHW!$G448="","","OHW")</f>
        <v/>
      </c>
      <c r="B1495">
        <f>IF(OHW!$G448="","","OHW")</f>
        <v/>
      </c>
      <c r="C1495" s="18">
        <f>IF(OHW!$G448="","",OHW!$A448)</f>
        <v/>
      </c>
      <c r="F1495">
        <f>IF(OHW!$G448="","",OHW!$B448&amp;"")</f>
        <v/>
      </c>
      <c r="J1495">
        <f>IF(OHW!$G448="","",OHW!$E448)</f>
        <v/>
      </c>
      <c r="K1495">
        <f>IF(OHW!$G448="","",COUNTIFS(OHW!$A$5:$A$1668,OHW!$A448,OHW!$C$5:$C$1668,OHW!$C448))</f>
        <v/>
      </c>
      <c r="L1495">
        <f>IF(OHW!$G448="","",OHW!$D448&amp;"")</f>
        <v/>
      </c>
      <c r="M1495">
        <f>IF(OHW!$G448="","",OHW!$F448)</f>
        <v/>
      </c>
      <c r="N1495">
        <f>IF(OHW!$G448="","",OHW!$G448)</f>
        <v/>
      </c>
      <c r="O1495">
        <f>IF(OHW!$G448="","",OHW!$I448)</f>
        <v/>
      </c>
      <c r="P1495">
        <f>IF(OHW!$G448="","","Final")</f>
        <v/>
      </c>
    </row>
    <row r="1496">
      <c r="A1496">
        <f>IF(OHW!$G449="","","OHW")</f>
        <v/>
      </c>
      <c r="B1496">
        <f>IF(OHW!$G449="","","OHW")</f>
        <v/>
      </c>
      <c r="C1496" s="18">
        <f>IF(OHW!$G449="","",OHW!$A449)</f>
        <v/>
      </c>
      <c r="F1496">
        <f>IF(OHW!$G449="","",OHW!$B449&amp;"")</f>
        <v/>
      </c>
      <c r="J1496">
        <f>IF(OHW!$G449="","",OHW!$E449)</f>
        <v/>
      </c>
      <c r="K1496">
        <f>IF(OHW!$G449="","",COUNTIFS(OHW!$A$5:$A$1668,OHW!$A449,OHW!$C$5:$C$1668,OHW!$C449))</f>
        <v/>
      </c>
      <c r="L1496">
        <f>IF(OHW!$G449="","",OHW!$D449&amp;"")</f>
        <v/>
      </c>
      <c r="M1496">
        <f>IF(OHW!$G449="","",OHW!$F449)</f>
        <v/>
      </c>
      <c r="N1496">
        <f>IF(OHW!$G449="","",OHW!$G449)</f>
        <v/>
      </c>
      <c r="O1496">
        <f>IF(OHW!$G449="","",OHW!$I449)</f>
        <v/>
      </c>
      <c r="P1496">
        <f>IF(OHW!$G449="","","Final")</f>
        <v/>
      </c>
    </row>
    <row r="1497">
      <c r="A1497">
        <f>IF(OHW!$G450="","","OHW")</f>
        <v/>
      </c>
      <c r="B1497">
        <f>IF(OHW!$G450="","","OHW")</f>
        <v/>
      </c>
      <c r="C1497" s="18">
        <f>IF(OHW!$G450="","",OHW!$A450)</f>
        <v/>
      </c>
      <c r="F1497">
        <f>IF(OHW!$G450="","",OHW!$B450&amp;"")</f>
        <v/>
      </c>
      <c r="J1497">
        <f>IF(OHW!$G450="","",OHW!$E450)</f>
        <v/>
      </c>
      <c r="K1497">
        <f>IF(OHW!$G450="","",COUNTIFS(OHW!$A$5:$A$1668,OHW!$A450,OHW!$C$5:$C$1668,OHW!$C450))</f>
        <v/>
      </c>
      <c r="L1497">
        <f>IF(OHW!$G450="","",OHW!$D450&amp;"")</f>
        <v/>
      </c>
      <c r="M1497">
        <f>IF(OHW!$G450="","",OHW!$F450)</f>
        <v/>
      </c>
      <c r="N1497">
        <f>IF(OHW!$G450="","",OHW!$G450)</f>
        <v/>
      </c>
      <c r="O1497">
        <f>IF(OHW!$G450="","",OHW!$I450)</f>
        <v/>
      </c>
      <c r="P1497">
        <f>IF(OHW!$G450="","","Final")</f>
        <v/>
      </c>
    </row>
    <row r="1498">
      <c r="A1498">
        <f>IF(OHW!$G451="","","OHW")</f>
        <v/>
      </c>
      <c r="B1498">
        <f>IF(OHW!$G451="","","OHW")</f>
        <v/>
      </c>
      <c r="C1498" s="18">
        <f>IF(OHW!$G451="","",OHW!$A451)</f>
        <v/>
      </c>
      <c r="F1498">
        <f>IF(OHW!$G451="","",OHW!$B451&amp;"")</f>
        <v/>
      </c>
      <c r="J1498">
        <f>IF(OHW!$G451="","",OHW!$E451)</f>
        <v/>
      </c>
      <c r="K1498">
        <f>IF(OHW!$G451="","",COUNTIFS(OHW!$A$5:$A$1668,OHW!$A451,OHW!$C$5:$C$1668,OHW!$C451))</f>
        <v/>
      </c>
      <c r="L1498">
        <f>IF(OHW!$G451="","",OHW!$D451&amp;"")</f>
        <v/>
      </c>
      <c r="M1498">
        <f>IF(OHW!$G451="","",OHW!$F451)</f>
        <v/>
      </c>
      <c r="N1498">
        <f>IF(OHW!$G451="","",OHW!$G451)</f>
        <v/>
      </c>
      <c r="O1498">
        <f>IF(OHW!$G451="","",OHW!$I451)</f>
        <v/>
      </c>
      <c r="P1498">
        <f>IF(OHW!$G451="","","Final")</f>
        <v/>
      </c>
    </row>
    <row r="1499">
      <c r="A1499">
        <f>IF(OHW!$G452="","","OHW")</f>
        <v/>
      </c>
      <c r="B1499">
        <f>IF(OHW!$G452="","","OHW")</f>
        <v/>
      </c>
      <c r="C1499" s="18">
        <f>IF(OHW!$G452="","",OHW!$A452)</f>
        <v/>
      </c>
      <c r="F1499">
        <f>IF(OHW!$G452="","",OHW!$B452&amp;"")</f>
        <v/>
      </c>
      <c r="J1499">
        <f>IF(OHW!$G452="","",OHW!$E452)</f>
        <v/>
      </c>
      <c r="K1499">
        <f>IF(OHW!$G452="","",COUNTIFS(OHW!$A$5:$A$1668,OHW!$A452,OHW!$C$5:$C$1668,OHW!$C452))</f>
        <v/>
      </c>
      <c r="L1499">
        <f>IF(OHW!$G452="","",OHW!$D452&amp;"")</f>
        <v/>
      </c>
      <c r="M1499">
        <f>IF(OHW!$G452="","",OHW!$F452)</f>
        <v/>
      </c>
      <c r="N1499">
        <f>IF(OHW!$G452="","",OHW!$G452)</f>
        <v/>
      </c>
      <c r="O1499">
        <f>IF(OHW!$G452="","",OHW!$I452)</f>
        <v/>
      </c>
      <c r="P1499">
        <f>IF(OHW!$G452="","","Final")</f>
        <v/>
      </c>
    </row>
    <row r="1500">
      <c r="A1500">
        <f>IF(OHW!$G453="","","OHW")</f>
        <v/>
      </c>
      <c r="B1500">
        <f>IF(OHW!$G453="","","OHW")</f>
        <v/>
      </c>
      <c r="C1500" s="18">
        <f>IF(OHW!$G453="","",OHW!$A453)</f>
        <v/>
      </c>
      <c r="F1500">
        <f>IF(OHW!$G453="","",OHW!$B453&amp;"")</f>
        <v/>
      </c>
      <c r="J1500">
        <f>IF(OHW!$G453="","",OHW!$E453)</f>
        <v/>
      </c>
      <c r="K1500">
        <f>IF(OHW!$G453="","",COUNTIFS(OHW!$A$5:$A$1668,OHW!$A453,OHW!$C$5:$C$1668,OHW!$C453))</f>
        <v/>
      </c>
      <c r="L1500">
        <f>IF(OHW!$G453="","",OHW!$D453&amp;"")</f>
        <v/>
      </c>
      <c r="M1500">
        <f>IF(OHW!$G453="","",OHW!$F453)</f>
        <v/>
      </c>
      <c r="N1500">
        <f>IF(OHW!$G453="","",OHW!$G453)</f>
        <v/>
      </c>
      <c r="O1500">
        <f>IF(OHW!$G453="","",OHW!$I453)</f>
        <v/>
      </c>
      <c r="P1500">
        <f>IF(OHW!$G453="","","Final")</f>
        <v/>
      </c>
    </row>
    <row r="1501">
      <c r="A1501">
        <f>IF(OHW!$G454="","","OHW")</f>
        <v/>
      </c>
      <c r="B1501">
        <f>IF(OHW!$G454="","","OHW")</f>
        <v/>
      </c>
      <c r="C1501" s="18">
        <f>IF(OHW!$G454="","",OHW!$A454)</f>
        <v/>
      </c>
      <c r="F1501">
        <f>IF(OHW!$G454="","",OHW!$B454&amp;"")</f>
        <v/>
      </c>
      <c r="J1501">
        <f>IF(OHW!$G454="","",OHW!$E454)</f>
        <v/>
      </c>
      <c r="K1501">
        <f>IF(OHW!$G454="","",COUNTIFS(OHW!$A$5:$A$1668,OHW!$A454,OHW!$C$5:$C$1668,OHW!$C454))</f>
        <v/>
      </c>
      <c r="L1501">
        <f>IF(OHW!$G454="","",OHW!$D454&amp;"")</f>
        <v/>
      </c>
      <c r="M1501">
        <f>IF(OHW!$G454="","",OHW!$F454)</f>
        <v/>
      </c>
      <c r="N1501">
        <f>IF(OHW!$G454="","",OHW!$G454)</f>
        <v/>
      </c>
      <c r="O1501">
        <f>IF(OHW!$G454="","",OHW!$I454)</f>
        <v/>
      </c>
      <c r="P1501">
        <f>IF(OHW!$G454="","","Final")</f>
        <v/>
      </c>
    </row>
    <row r="1502">
      <c r="A1502">
        <f>IF(OHW!$G455="","","OHW")</f>
        <v/>
      </c>
      <c r="B1502">
        <f>IF(OHW!$G455="","","OHW")</f>
        <v/>
      </c>
      <c r="C1502" s="18">
        <f>IF(OHW!$G455="","",OHW!$A455)</f>
        <v/>
      </c>
      <c r="F1502">
        <f>IF(OHW!$G455="","",OHW!$B455&amp;"")</f>
        <v/>
      </c>
      <c r="J1502">
        <f>IF(OHW!$G455="","",OHW!$E455)</f>
        <v/>
      </c>
      <c r="K1502">
        <f>IF(OHW!$G455="","",COUNTIFS(OHW!$A$5:$A$1668,OHW!$A455,OHW!$C$5:$C$1668,OHW!$C455))</f>
        <v/>
      </c>
      <c r="L1502">
        <f>IF(OHW!$G455="","",OHW!$D455&amp;"")</f>
        <v/>
      </c>
      <c r="M1502">
        <f>IF(OHW!$G455="","",OHW!$F455)</f>
        <v/>
      </c>
      <c r="N1502">
        <f>IF(OHW!$G455="","",OHW!$G455)</f>
        <v/>
      </c>
      <c r="O1502">
        <f>IF(OHW!$G455="","",OHW!$I455)</f>
        <v/>
      </c>
      <c r="P1502">
        <f>IF(OHW!$G455="","","Final")</f>
        <v/>
      </c>
    </row>
    <row r="1503">
      <c r="A1503">
        <f>IF(OHW!$G456="","","OHW")</f>
        <v/>
      </c>
      <c r="B1503">
        <f>IF(OHW!$G456="","","OHW")</f>
        <v/>
      </c>
      <c r="C1503" s="18">
        <f>IF(OHW!$G456="","",OHW!$A456)</f>
        <v/>
      </c>
      <c r="F1503">
        <f>IF(OHW!$G456="","",OHW!$B456&amp;"")</f>
        <v/>
      </c>
      <c r="J1503">
        <f>IF(OHW!$G456="","",OHW!$E456)</f>
        <v/>
      </c>
      <c r="K1503">
        <f>IF(OHW!$G456="","",COUNTIFS(OHW!$A$5:$A$1668,OHW!$A456,OHW!$C$5:$C$1668,OHW!$C456))</f>
        <v/>
      </c>
      <c r="L1503">
        <f>IF(OHW!$G456="","",OHW!$D456&amp;"")</f>
        <v/>
      </c>
      <c r="M1503">
        <f>IF(OHW!$G456="","",OHW!$F456)</f>
        <v/>
      </c>
      <c r="N1503">
        <f>IF(OHW!$G456="","",OHW!$G456)</f>
        <v/>
      </c>
      <c r="O1503">
        <f>IF(OHW!$G456="","",OHW!$I456)</f>
        <v/>
      </c>
      <c r="P1503">
        <f>IF(OHW!$G456="","","Final")</f>
        <v/>
      </c>
    </row>
    <row r="1504">
      <c r="A1504">
        <f>IF(OHW!$G457="","","OHW")</f>
        <v/>
      </c>
      <c r="B1504">
        <f>IF(OHW!$G457="","","OHW")</f>
        <v/>
      </c>
      <c r="C1504" s="18">
        <f>IF(OHW!$G457="","",OHW!$A457)</f>
        <v/>
      </c>
      <c r="F1504">
        <f>IF(OHW!$G457="","",OHW!$B457&amp;"")</f>
        <v/>
      </c>
      <c r="J1504">
        <f>IF(OHW!$G457="","",OHW!$E457)</f>
        <v/>
      </c>
      <c r="K1504">
        <f>IF(OHW!$G457="","",COUNTIFS(OHW!$A$5:$A$1668,OHW!$A457,OHW!$C$5:$C$1668,OHW!$C457))</f>
        <v/>
      </c>
      <c r="L1504">
        <f>IF(OHW!$G457="","",OHW!$D457&amp;"")</f>
        <v/>
      </c>
      <c r="M1504">
        <f>IF(OHW!$G457="","",OHW!$F457)</f>
        <v/>
      </c>
      <c r="N1504">
        <f>IF(OHW!$G457="","",OHW!$G457)</f>
        <v/>
      </c>
      <c r="O1504">
        <f>IF(OHW!$G457="","",OHW!$I457)</f>
        <v/>
      </c>
      <c r="P1504">
        <f>IF(OHW!$G457="","","Final")</f>
        <v/>
      </c>
    </row>
    <row r="1505">
      <c r="A1505">
        <f>IF(OHW!$G458="","","OHW")</f>
        <v/>
      </c>
      <c r="B1505">
        <f>IF(OHW!$G458="","","OHW")</f>
        <v/>
      </c>
      <c r="C1505" s="18">
        <f>IF(OHW!$G458="","",OHW!$A458)</f>
        <v/>
      </c>
      <c r="F1505">
        <f>IF(OHW!$G458="","",OHW!$B458&amp;"")</f>
        <v/>
      </c>
      <c r="J1505">
        <f>IF(OHW!$G458="","",OHW!$E458)</f>
        <v/>
      </c>
      <c r="K1505">
        <f>IF(OHW!$G458="","",COUNTIFS(OHW!$A$5:$A$1668,OHW!$A458,OHW!$C$5:$C$1668,OHW!$C458))</f>
        <v/>
      </c>
      <c r="L1505">
        <f>IF(OHW!$G458="","",OHW!$D458&amp;"")</f>
        <v/>
      </c>
      <c r="M1505">
        <f>IF(OHW!$G458="","",OHW!$F458)</f>
        <v/>
      </c>
      <c r="N1505">
        <f>IF(OHW!$G458="","",OHW!$G458)</f>
        <v/>
      </c>
      <c r="O1505">
        <f>IF(OHW!$G458="","",OHW!$I458)</f>
        <v/>
      </c>
      <c r="P1505">
        <f>IF(OHW!$G458="","","Final")</f>
        <v/>
      </c>
    </row>
    <row r="1506">
      <c r="A1506">
        <f>IF(OHW!$G459="","","OHW")</f>
        <v/>
      </c>
      <c r="B1506">
        <f>IF(OHW!$G459="","","OHW")</f>
        <v/>
      </c>
      <c r="C1506" s="18">
        <f>IF(OHW!$G459="","",OHW!$A459)</f>
        <v/>
      </c>
      <c r="F1506">
        <f>IF(OHW!$G459="","",OHW!$B459&amp;"")</f>
        <v/>
      </c>
      <c r="J1506">
        <f>IF(OHW!$G459="","",OHW!$E459)</f>
        <v/>
      </c>
      <c r="K1506">
        <f>IF(OHW!$G459="","",COUNTIFS(OHW!$A$5:$A$1668,OHW!$A459,OHW!$C$5:$C$1668,OHW!$C459))</f>
        <v/>
      </c>
      <c r="L1506">
        <f>IF(OHW!$G459="","",OHW!$D459&amp;"")</f>
        <v/>
      </c>
      <c r="M1506">
        <f>IF(OHW!$G459="","",OHW!$F459)</f>
        <v/>
      </c>
      <c r="N1506">
        <f>IF(OHW!$G459="","",OHW!$G459)</f>
        <v/>
      </c>
      <c r="O1506">
        <f>IF(OHW!$G459="","",OHW!$I459)</f>
        <v/>
      </c>
      <c r="P1506">
        <f>IF(OHW!$G459="","","Final")</f>
        <v/>
      </c>
    </row>
    <row r="1507">
      <c r="A1507">
        <f>IF(OHW!$G460="","","OHW")</f>
        <v/>
      </c>
      <c r="B1507">
        <f>IF(OHW!$G460="","","OHW")</f>
        <v/>
      </c>
      <c r="C1507" s="18">
        <f>IF(OHW!$G460="","",OHW!$A460)</f>
        <v/>
      </c>
      <c r="F1507">
        <f>IF(OHW!$G460="","",OHW!$B460&amp;"")</f>
        <v/>
      </c>
      <c r="J1507">
        <f>IF(OHW!$G460="","",OHW!$E460)</f>
        <v/>
      </c>
      <c r="K1507">
        <f>IF(OHW!$G460="","",COUNTIFS(OHW!$A$5:$A$1668,OHW!$A460,OHW!$C$5:$C$1668,OHW!$C460))</f>
        <v/>
      </c>
      <c r="L1507">
        <f>IF(OHW!$G460="","",OHW!$D460&amp;"")</f>
        <v/>
      </c>
      <c r="M1507">
        <f>IF(OHW!$G460="","",OHW!$F460)</f>
        <v/>
      </c>
      <c r="N1507">
        <f>IF(OHW!$G460="","",OHW!$G460)</f>
        <v/>
      </c>
      <c r="O1507">
        <f>IF(OHW!$G460="","",OHW!$I460)</f>
        <v/>
      </c>
      <c r="P1507">
        <f>IF(OHW!$G460="","","Final")</f>
        <v/>
      </c>
    </row>
    <row r="1508">
      <c r="A1508">
        <f>IF(OHW!$G461="","","OHW")</f>
        <v/>
      </c>
      <c r="B1508">
        <f>IF(OHW!$G461="","","OHW")</f>
        <v/>
      </c>
      <c r="C1508" s="18">
        <f>IF(OHW!$G461="","",OHW!$A461)</f>
        <v/>
      </c>
      <c r="F1508">
        <f>IF(OHW!$G461="","",OHW!$B461&amp;"")</f>
        <v/>
      </c>
      <c r="J1508">
        <f>IF(OHW!$G461="","",OHW!$E461)</f>
        <v/>
      </c>
      <c r="K1508">
        <f>IF(OHW!$G461="","",COUNTIFS(OHW!$A$5:$A$1668,OHW!$A461,OHW!$C$5:$C$1668,OHW!$C461))</f>
        <v/>
      </c>
      <c r="L1508">
        <f>IF(OHW!$G461="","",OHW!$D461&amp;"")</f>
        <v/>
      </c>
      <c r="M1508">
        <f>IF(OHW!$G461="","",OHW!$F461)</f>
        <v/>
      </c>
      <c r="N1508">
        <f>IF(OHW!$G461="","",OHW!$G461)</f>
        <v/>
      </c>
      <c r="O1508">
        <f>IF(OHW!$G461="","",OHW!$I461)</f>
        <v/>
      </c>
      <c r="P1508">
        <f>IF(OHW!$G461="","","Final")</f>
        <v/>
      </c>
    </row>
    <row r="1509">
      <c r="A1509">
        <f>IF(OHW!$G462="","","OHW")</f>
        <v/>
      </c>
      <c r="B1509">
        <f>IF(OHW!$G462="","","OHW")</f>
        <v/>
      </c>
      <c r="C1509" s="18">
        <f>IF(OHW!$G462="","",OHW!$A462)</f>
        <v/>
      </c>
      <c r="F1509">
        <f>IF(OHW!$G462="","",OHW!$B462&amp;"")</f>
        <v/>
      </c>
      <c r="J1509">
        <f>IF(OHW!$G462="","",OHW!$E462)</f>
        <v/>
      </c>
      <c r="K1509">
        <f>IF(OHW!$G462="","",COUNTIFS(OHW!$A$5:$A$1668,OHW!$A462,OHW!$C$5:$C$1668,OHW!$C462))</f>
        <v/>
      </c>
      <c r="L1509">
        <f>IF(OHW!$G462="","",OHW!$D462&amp;"")</f>
        <v/>
      </c>
      <c r="M1509">
        <f>IF(OHW!$G462="","",OHW!$F462)</f>
        <v/>
      </c>
      <c r="N1509">
        <f>IF(OHW!$G462="","",OHW!$G462)</f>
        <v/>
      </c>
      <c r="O1509">
        <f>IF(OHW!$G462="","",OHW!$I462)</f>
        <v/>
      </c>
      <c r="P1509">
        <f>IF(OHW!$G462="","","Final")</f>
        <v/>
      </c>
    </row>
    <row r="1510">
      <c r="A1510">
        <f>IF(OHW!$G463="","","OHW")</f>
        <v/>
      </c>
      <c r="B1510">
        <f>IF(OHW!$G463="","","OHW")</f>
        <v/>
      </c>
      <c r="C1510" s="18">
        <f>IF(OHW!$G463="","",OHW!$A463)</f>
        <v/>
      </c>
      <c r="F1510">
        <f>IF(OHW!$G463="","",OHW!$B463&amp;"")</f>
        <v/>
      </c>
      <c r="J1510">
        <f>IF(OHW!$G463="","",OHW!$E463)</f>
        <v/>
      </c>
      <c r="K1510">
        <f>IF(OHW!$G463="","",COUNTIFS(OHW!$A$5:$A$1668,OHW!$A463,OHW!$C$5:$C$1668,OHW!$C463))</f>
        <v/>
      </c>
      <c r="L1510">
        <f>IF(OHW!$G463="","",OHW!$D463&amp;"")</f>
        <v/>
      </c>
      <c r="M1510">
        <f>IF(OHW!$G463="","",OHW!$F463)</f>
        <v/>
      </c>
      <c r="N1510">
        <f>IF(OHW!$G463="","",OHW!$G463)</f>
        <v/>
      </c>
      <c r="O1510">
        <f>IF(OHW!$G463="","",OHW!$I463)</f>
        <v/>
      </c>
      <c r="P1510">
        <f>IF(OHW!$G463="","","Final")</f>
        <v/>
      </c>
    </row>
    <row r="1511">
      <c r="A1511">
        <f>IF(OHW!$G464="","","OHW")</f>
        <v/>
      </c>
      <c r="B1511">
        <f>IF(OHW!$G464="","","OHW")</f>
        <v/>
      </c>
      <c r="C1511" s="18">
        <f>IF(OHW!$G464="","",OHW!$A464)</f>
        <v/>
      </c>
      <c r="F1511">
        <f>IF(OHW!$G464="","",OHW!$B464&amp;"")</f>
        <v/>
      </c>
      <c r="J1511">
        <f>IF(OHW!$G464="","",OHW!$E464)</f>
        <v/>
      </c>
      <c r="K1511">
        <f>IF(OHW!$G464="","",COUNTIFS(OHW!$A$5:$A$1668,OHW!$A464,OHW!$C$5:$C$1668,OHW!$C464))</f>
        <v/>
      </c>
      <c r="L1511">
        <f>IF(OHW!$G464="","",OHW!$D464&amp;"")</f>
        <v/>
      </c>
      <c r="M1511">
        <f>IF(OHW!$G464="","",OHW!$F464)</f>
        <v/>
      </c>
      <c r="N1511">
        <f>IF(OHW!$G464="","",OHW!$G464)</f>
        <v/>
      </c>
      <c r="O1511">
        <f>IF(OHW!$G464="","",OHW!$I464)</f>
        <v/>
      </c>
      <c r="P1511">
        <f>IF(OHW!$G464="","","Final")</f>
        <v/>
      </c>
    </row>
    <row r="1512">
      <c r="A1512">
        <f>IF(OHW!$G465="","","OHW")</f>
        <v/>
      </c>
      <c r="B1512">
        <f>IF(OHW!$G465="","","OHW")</f>
        <v/>
      </c>
      <c r="C1512" s="18">
        <f>IF(OHW!$G465="","",OHW!$A465)</f>
        <v/>
      </c>
      <c r="F1512">
        <f>IF(OHW!$G465="","",OHW!$B465&amp;"")</f>
        <v/>
      </c>
      <c r="J1512">
        <f>IF(OHW!$G465="","",OHW!$E465)</f>
        <v/>
      </c>
      <c r="K1512">
        <f>IF(OHW!$G465="","",COUNTIFS(OHW!$A$5:$A$1668,OHW!$A465,OHW!$C$5:$C$1668,OHW!$C465))</f>
        <v/>
      </c>
      <c r="L1512">
        <f>IF(OHW!$G465="","",OHW!$D465&amp;"")</f>
        <v/>
      </c>
      <c r="M1512">
        <f>IF(OHW!$G465="","",OHW!$F465)</f>
        <v/>
      </c>
      <c r="N1512">
        <f>IF(OHW!$G465="","",OHW!$G465)</f>
        <v/>
      </c>
      <c r="O1512">
        <f>IF(OHW!$G465="","",OHW!$I465)</f>
        <v/>
      </c>
      <c r="P1512">
        <f>IF(OHW!$G465="","","Final")</f>
        <v/>
      </c>
    </row>
    <row r="1513">
      <c r="A1513">
        <f>IF(OHW!$G466="","","OHW")</f>
        <v/>
      </c>
      <c r="B1513">
        <f>IF(OHW!$G466="","","OHW")</f>
        <v/>
      </c>
      <c r="C1513" s="18">
        <f>IF(OHW!$G466="","",OHW!$A466)</f>
        <v/>
      </c>
      <c r="F1513">
        <f>IF(OHW!$G466="","",OHW!$B466&amp;"")</f>
        <v/>
      </c>
      <c r="J1513">
        <f>IF(OHW!$G466="","",OHW!$E466)</f>
        <v/>
      </c>
      <c r="K1513">
        <f>IF(OHW!$G466="","",COUNTIFS(OHW!$A$5:$A$1668,OHW!$A466,OHW!$C$5:$C$1668,OHW!$C466))</f>
        <v/>
      </c>
      <c r="L1513">
        <f>IF(OHW!$G466="","",OHW!$D466&amp;"")</f>
        <v/>
      </c>
      <c r="M1513">
        <f>IF(OHW!$G466="","",OHW!$F466)</f>
        <v/>
      </c>
      <c r="N1513">
        <f>IF(OHW!$G466="","",OHW!$G466)</f>
        <v/>
      </c>
      <c r="O1513">
        <f>IF(OHW!$G466="","",OHW!$I466)</f>
        <v/>
      </c>
      <c r="P1513">
        <f>IF(OHW!$G466="","","Final")</f>
        <v/>
      </c>
    </row>
    <row r="1514">
      <c r="A1514">
        <f>IF(OHW!$G467="","","OHW")</f>
        <v/>
      </c>
      <c r="B1514">
        <f>IF(OHW!$G467="","","OHW")</f>
        <v/>
      </c>
      <c r="C1514" s="18">
        <f>IF(OHW!$G467="","",OHW!$A467)</f>
        <v/>
      </c>
      <c r="F1514">
        <f>IF(OHW!$G467="","",OHW!$B467&amp;"")</f>
        <v/>
      </c>
      <c r="J1514">
        <f>IF(OHW!$G467="","",OHW!$E467)</f>
        <v/>
      </c>
      <c r="K1514">
        <f>IF(OHW!$G467="","",COUNTIFS(OHW!$A$5:$A$1668,OHW!$A467,OHW!$C$5:$C$1668,OHW!$C467))</f>
        <v/>
      </c>
      <c r="L1514">
        <f>IF(OHW!$G467="","",OHW!$D467&amp;"")</f>
        <v/>
      </c>
      <c r="M1514">
        <f>IF(OHW!$G467="","",OHW!$F467)</f>
        <v/>
      </c>
      <c r="N1514">
        <f>IF(OHW!$G467="","",OHW!$G467)</f>
        <v/>
      </c>
      <c r="O1514">
        <f>IF(OHW!$G467="","",OHW!$I467)</f>
        <v/>
      </c>
      <c r="P1514">
        <f>IF(OHW!$G467="","","Final")</f>
        <v/>
      </c>
    </row>
    <row r="1515">
      <c r="A1515">
        <f>IF(OHW!$G468="","","OHW")</f>
        <v/>
      </c>
      <c r="B1515">
        <f>IF(OHW!$G468="","","OHW")</f>
        <v/>
      </c>
      <c r="C1515" s="18">
        <f>IF(OHW!$G468="","",OHW!$A468)</f>
        <v/>
      </c>
      <c r="F1515">
        <f>IF(OHW!$G468="","",OHW!$B468&amp;"")</f>
        <v/>
      </c>
      <c r="J1515">
        <f>IF(OHW!$G468="","",OHW!$E468)</f>
        <v/>
      </c>
      <c r="K1515">
        <f>IF(OHW!$G468="","",COUNTIFS(OHW!$A$5:$A$1668,OHW!$A468,OHW!$C$5:$C$1668,OHW!$C468))</f>
        <v/>
      </c>
      <c r="L1515">
        <f>IF(OHW!$G468="","",OHW!$D468&amp;"")</f>
        <v/>
      </c>
      <c r="M1515">
        <f>IF(OHW!$G468="","",OHW!$F468)</f>
        <v/>
      </c>
      <c r="N1515">
        <f>IF(OHW!$G468="","",OHW!$G468)</f>
        <v/>
      </c>
      <c r="O1515">
        <f>IF(OHW!$G468="","",OHW!$I468)</f>
        <v/>
      </c>
      <c r="P1515">
        <f>IF(OHW!$G468="","","Final")</f>
        <v/>
      </c>
    </row>
    <row r="1516">
      <c r="A1516">
        <f>IF(OHW!$G469="","","OHW")</f>
        <v/>
      </c>
      <c r="B1516">
        <f>IF(OHW!$G469="","","OHW")</f>
        <v/>
      </c>
      <c r="C1516" s="18">
        <f>IF(OHW!$G469="","",OHW!$A469)</f>
        <v/>
      </c>
      <c r="F1516">
        <f>IF(OHW!$G469="","",OHW!$B469&amp;"")</f>
        <v/>
      </c>
      <c r="J1516">
        <f>IF(OHW!$G469="","",OHW!$E469)</f>
        <v/>
      </c>
      <c r="K1516">
        <f>IF(OHW!$G469="","",COUNTIFS(OHW!$A$5:$A$1668,OHW!$A469,OHW!$C$5:$C$1668,OHW!$C469))</f>
        <v/>
      </c>
      <c r="L1516">
        <f>IF(OHW!$G469="","",OHW!$D469&amp;"")</f>
        <v/>
      </c>
      <c r="M1516">
        <f>IF(OHW!$G469="","",OHW!$F469)</f>
        <v/>
      </c>
      <c r="N1516">
        <f>IF(OHW!$G469="","",OHW!$G469)</f>
        <v/>
      </c>
      <c r="O1516">
        <f>IF(OHW!$G469="","",OHW!$I469)</f>
        <v/>
      </c>
      <c r="P1516">
        <f>IF(OHW!$G469="","","Final")</f>
        <v/>
      </c>
    </row>
    <row r="1517">
      <c r="A1517">
        <f>IF(OHW!$G470="","","OHW")</f>
        <v/>
      </c>
      <c r="B1517">
        <f>IF(OHW!$G470="","","OHW")</f>
        <v/>
      </c>
      <c r="C1517" s="18">
        <f>IF(OHW!$G470="","",OHW!$A470)</f>
        <v/>
      </c>
      <c r="F1517">
        <f>IF(OHW!$G470="","",OHW!$B470&amp;"")</f>
        <v/>
      </c>
      <c r="J1517">
        <f>IF(OHW!$G470="","",OHW!$E470)</f>
        <v/>
      </c>
      <c r="K1517">
        <f>IF(OHW!$G470="","",COUNTIFS(OHW!$A$5:$A$1668,OHW!$A470,OHW!$C$5:$C$1668,OHW!$C470))</f>
        <v/>
      </c>
      <c r="L1517">
        <f>IF(OHW!$G470="","",OHW!$D470&amp;"")</f>
        <v/>
      </c>
      <c r="M1517">
        <f>IF(OHW!$G470="","",OHW!$F470)</f>
        <v/>
      </c>
      <c r="N1517">
        <f>IF(OHW!$G470="","",OHW!$G470)</f>
        <v/>
      </c>
      <c r="O1517">
        <f>IF(OHW!$G470="","",OHW!$I470)</f>
        <v/>
      </c>
      <c r="P1517">
        <f>IF(OHW!$G470="","","Final")</f>
        <v/>
      </c>
    </row>
    <row r="1518">
      <c r="A1518">
        <f>IF(OHW!$G471="","","OHW")</f>
        <v/>
      </c>
      <c r="B1518">
        <f>IF(OHW!$G471="","","OHW")</f>
        <v/>
      </c>
      <c r="C1518" s="18">
        <f>IF(OHW!$G471="","",OHW!$A471)</f>
        <v/>
      </c>
      <c r="F1518">
        <f>IF(OHW!$G471="","",OHW!$B471&amp;"")</f>
        <v/>
      </c>
      <c r="J1518">
        <f>IF(OHW!$G471="","",OHW!$E471)</f>
        <v/>
      </c>
      <c r="K1518">
        <f>IF(OHW!$G471="","",COUNTIFS(OHW!$A$5:$A$1668,OHW!$A471,OHW!$C$5:$C$1668,OHW!$C471))</f>
        <v/>
      </c>
      <c r="L1518">
        <f>IF(OHW!$G471="","",OHW!$D471&amp;"")</f>
        <v/>
      </c>
      <c r="M1518">
        <f>IF(OHW!$G471="","",OHW!$F471)</f>
        <v/>
      </c>
      <c r="N1518">
        <f>IF(OHW!$G471="","",OHW!$G471)</f>
        <v/>
      </c>
      <c r="O1518">
        <f>IF(OHW!$G471="","",OHW!$I471)</f>
        <v/>
      </c>
      <c r="P1518">
        <f>IF(OHW!$G471="","","Final")</f>
        <v/>
      </c>
    </row>
    <row r="1519">
      <c r="A1519">
        <f>IF(OHW!$G472="","","OHW")</f>
        <v/>
      </c>
      <c r="B1519">
        <f>IF(OHW!$G472="","","OHW")</f>
        <v/>
      </c>
      <c r="C1519" s="18">
        <f>IF(OHW!$G472="","",OHW!$A472)</f>
        <v/>
      </c>
      <c r="F1519">
        <f>IF(OHW!$G472="","",OHW!$B472&amp;"")</f>
        <v/>
      </c>
      <c r="J1519">
        <f>IF(OHW!$G472="","",OHW!$E472)</f>
        <v/>
      </c>
      <c r="K1519">
        <f>IF(OHW!$G472="","",COUNTIFS(OHW!$A$5:$A$1668,OHW!$A472,OHW!$C$5:$C$1668,OHW!$C472))</f>
        <v/>
      </c>
      <c r="L1519">
        <f>IF(OHW!$G472="","",OHW!$D472&amp;"")</f>
        <v/>
      </c>
      <c r="M1519">
        <f>IF(OHW!$G472="","",OHW!$F472)</f>
        <v/>
      </c>
      <c r="N1519">
        <f>IF(OHW!$G472="","",OHW!$G472)</f>
        <v/>
      </c>
      <c r="O1519">
        <f>IF(OHW!$G472="","",OHW!$I472)</f>
        <v/>
      </c>
      <c r="P1519">
        <f>IF(OHW!$G472="","","Final")</f>
        <v/>
      </c>
    </row>
    <row r="1520">
      <c r="A1520">
        <f>IF(OHW!$G473="","","OHW")</f>
        <v/>
      </c>
      <c r="B1520">
        <f>IF(OHW!$G473="","","OHW")</f>
        <v/>
      </c>
      <c r="C1520" s="18">
        <f>IF(OHW!$G473="","",OHW!$A473)</f>
        <v/>
      </c>
      <c r="F1520">
        <f>IF(OHW!$G473="","",OHW!$B473&amp;"")</f>
        <v/>
      </c>
      <c r="J1520">
        <f>IF(OHW!$G473="","",OHW!$E473)</f>
        <v/>
      </c>
      <c r="K1520">
        <f>IF(OHW!$G473="","",COUNTIFS(OHW!$A$5:$A$1668,OHW!$A473,OHW!$C$5:$C$1668,OHW!$C473))</f>
        <v/>
      </c>
      <c r="L1520">
        <f>IF(OHW!$G473="","",OHW!$D473&amp;"")</f>
        <v/>
      </c>
      <c r="M1520">
        <f>IF(OHW!$G473="","",OHW!$F473)</f>
        <v/>
      </c>
      <c r="N1520">
        <f>IF(OHW!$G473="","",OHW!$G473)</f>
        <v/>
      </c>
      <c r="O1520">
        <f>IF(OHW!$G473="","",OHW!$I473)</f>
        <v/>
      </c>
      <c r="P1520">
        <f>IF(OHW!$G473="","","Final")</f>
        <v/>
      </c>
    </row>
    <row r="1521">
      <c r="A1521">
        <f>IF(OHW!$G474="","","OHW")</f>
        <v/>
      </c>
      <c r="B1521">
        <f>IF(OHW!$G474="","","OHW")</f>
        <v/>
      </c>
      <c r="C1521" s="18">
        <f>IF(OHW!$G474="","",OHW!$A474)</f>
        <v/>
      </c>
      <c r="F1521">
        <f>IF(OHW!$G474="","",OHW!$B474&amp;"")</f>
        <v/>
      </c>
      <c r="J1521">
        <f>IF(OHW!$G474="","",OHW!$E474)</f>
        <v/>
      </c>
      <c r="K1521">
        <f>IF(OHW!$G474="","",COUNTIFS(OHW!$A$5:$A$1668,OHW!$A474,OHW!$C$5:$C$1668,OHW!$C474))</f>
        <v/>
      </c>
      <c r="L1521">
        <f>IF(OHW!$G474="","",OHW!$D474&amp;"")</f>
        <v/>
      </c>
      <c r="M1521">
        <f>IF(OHW!$G474="","",OHW!$F474)</f>
        <v/>
      </c>
      <c r="N1521">
        <f>IF(OHW!$G474="","",OHW!$G474)</f>
        <v/>
      </c>
      <c r="O1521">
        <f>IF(OHW!$G474="","",OHW!$I474)</f>
        <v/>
      </c>
      <c r="P1521">
        <f>IF(OHW!$G474="","","Final")</f>
        <v/>
      </c>
    </row>
    <row r="1522">
      <c r="A1522">
        <f>IF(OHW!$G475="","","OHW")</f>
        <v/>
      </c>
      <c r="B1522">
        <f>IF(OHW!$G475="","","OHW")</f>
        <v/>
      </c>
      <c r="C1522" s="18">
        <f>IF(OHW!$G475="","",OHW!$A475)</f>
        <v/>
      </c>
      <c r="F1522">
        <f>IF(OHW!$G475="","",OHW!$B475&amp;"")</f>
        <v/>
      </c>
      <c r="J1522">
        <f>IF(OHW!$G475="","",OHW!$E475)</f>
        <v/>
      </c>
      <c r="K1522">
        <f>IF(OHW!$G475="","",COUNTIFS(OHW!$A$5:$A$1668,OHW!$A475,OHW!$C$5:$C$1668,OHW!$C475))</f>
        <v/>
      </c>
      <c r="L1522">
        <f>IF(OHW!$G475="","",OHW!$D475&amp;"")</f>
        <v/>
      </c>
      <c r="M1522">
        <f>IF(OHW!$G475="","",OHW!$F475)</f>
        <v/>
      </c>
      <c r="N1522">
        <f>IF(OHW!$G475="","",OHW!$G475)</f>
        <v/>
      </c>
      <c r="O1522">
        <f>IF(OHW!$G475="","",OHW!$I475)</f>
        <v/>
      </c>
      <c r="P1522">
        <f>IF(OHW!$G475="","","Final")</f>
        <v/>
      </c>
    </row>
    <row r="1523">
      <c r="A1523">
        <f>IF(OHW!$G476="","","OHW")</f>
        <v/>
      </c>
      <c r="B1523">
        <f>IF(OHW!$G476="","","OHW")</f>
        <v/>
      </c>
      <c r="C1523" s="18">
        <f>IF(OHW!$G476="","",OHW!$A476)</f>
        <v/>
      </c>
      <c r="F1523">
        <f>IF(OHW!$G476="","",OHW!$B476&amp;"")</f>
        <v/>
      </c>
      <c r="J1523">
        <f>IF(OHW!$G476="","",OHW!$E476)</f>
        <v/>
      </c>
      <c r="K1523">
        <f>IF(OHW!$G476="","",COUNTIFS(OHW!$A$5:$A$1668,OHW!$A476,OHW!$C$5:$C$1668,OHW!$C476))</f>
        <v/>
      </c>
      <c r="L1523">
        <f>IF(OHW!$G476="","",OHW!$D476&amp;"")</f>
        <v/>
      </c>
      <c r="M1523">
        <f>IF(OHW!$G476="","",OHW!$F476)</f>
        <v/>
      </c>
      <c r="N1523">
        <f>IF(OHW!$G476="","",OHW!$G476)</f>
        <v/>
      </c>
      <c r="O1523">
        <f>IF(OHW!$G476="","",OHW!$I476)</f>
        <v/>
      </c>
      <c r="P1523">
        <f>IF(OHW!$G476="","","Final")</f>
        <v/>
      </c>
    </row>
    <row r="1524">
      <c r="A1524">
        <f>IF(OHW!$G477="","","OHW")</f>
        <v/>
      </c>
      <c r="B1524">
        <f>IF(OHW!$G477="","","OHW")</f>
        <v/>
      </c>
      <c r="C1524" s="18">
        <f>IF(OHW!$G477="","",OHW!$A477)</f>
        <v/>
      </c>
      <c r="F1524">
        <f>IF(OHW!$G477="","",OHW!$B477&amp;"")</f>
        <v/>
      </c>
      <c r="J1524">
        <f>IF(OHW!$G477="","",OHW!$E477)</f>
        <v/>
      </c>
      <c r="K1524">
        <f>IF(OHW!$G477="","",COUNTIFS(OHW!$A$5:$A$1668,OHW!$A477,OHW!$C$5:$C$1668,OHW!$C477))</f>
        <v/>
      </c>
      <c r="L1524">
        <f>IF(OHW!$G477="","",OHW!$D477&amp;"")</f>
        <v/>
      </c>
      <c r="M1524">
        <f>IF(OHW!$G477="","",OHW!$F477)</f>
        <v/>
      </c>
      <c r="N1524">
        <f>IF(OHW!$G477="","",OHW!$G477)</f>
        <v/>
      </c>
      <c r="O1524">
        <f>IF(OHW!$G477="","",OHW!$I477)</f>
        <v/>
      </c>
      <c r="P1524">
        <f>IF(OHW!$G477="","","Final")</f>
        <v/>
      </c>
    </row>
    <row r="1525">
      <c r="A1525">
        <f>IF(OHW!$G478="","","OHW")</f>
        <v/>
      </c>
      <c r="B1525">
        <f>IF(OHW!$G478="","","OHW")</f>
        <v/>
      </c>
      <c r="C1525" s="18">
        <f>IF(OHW!$G478="","",OHW!$A478)</f>
        <v/>
      </c>
      <c r="F1525">
        <f>IF(OHW!$G478="","",OHW!$B478&amp;"")</f>
        <v/>
      </c>
      <c r="J1525">
        <f>IF(OHW!$G478="","",OHW!$E478)</f>
        <v/>
      </c>
      <c r="K1525">
        <f>IF(OHW!$G478="","",COUNTIFS(OHW!$A$5:$A$1668,OHW!$A478,OHW!$C$5:$C$1668,OHW!$C478))</f>
        <v/>
      </c>
      <c r="L1525">
        <f>IF(OHW!$G478="","",OHW!$D478&amp;"")</f>
        <v/>
      </c>
      <c r="M1525">
        <f>IF(OHW!$G478="","",OHW!$F478)</f>
        <v/>
      </c>
      <c r="N1525">
        <f>IF(OHW!$G478="","",OHW!$G478)</f>
        <v/>
      </c>
      <c r="O1525">
        <f>IF(OHW!$G478="","",OHW!$I478)</f>
        <v/>
      </c>
      <c r="P1525">
        <f>IF(OHW!$G478="","","Final")</f>
        <v/>
      </c>
    </row>
    <row r="1526">
      <c r="A1526">
        <f>IF(OHW!$G479="","","OHW")</f>
        <v/>
      </c>
      <c r="B1526">
        <f>IF(OHW!$G479="","","OHW")</f>
        <v/>
      </c>
      <c r="C1526" s="18">
        <f>IF(OHW!$G479="","",OHW!$A479)</f>
        <v/>
      </c>
      <c r="F1526">
        <f>IF(OHW!$G479="","",OHW!$B479&amp;"")</f>
        <v/>
      </c>
      <c r="J1526">
        <f>IF(OHW!$G479="","",OHW!$E479)</f>
        <v/>
      </c>
      <c r="K1526">
        <f>IF(OHW!$G479="","",COUNTIFS(OHW!$A$5:$A$1668,OHW!$A479,OHW!$C$5:$C$1668,OHW!$C479))</f>
        <v/>
      </c>
      <c r="L1526">
        <f>IF(OHW!$G479="","",OHW!$D479&amp;"")</f>
        <v/>
      </c>
      <c r="M1526">
        <f>IF(OHW!$G479="","",OHW!$F479)</f>
        <v/>
      </c>
      <c r="N1526">
        <f>IF(OHW!$G479="","",OHW!$G479)</f>
        <v/>
      </c>
      <c r="O1526">
        <f>IF(OHW!$G479="","",OHW!$I479)</f>
        <v/>
      </c>
      <c r="P1526">
        <f>IF(OHW!$G479="","","Final")</f>
        <v/>
      </c>
    </row>
    <row r="1527">
      <c r="A1527">
        <f>IF(OHW!$G480="","","OHW")</f>
        <v/>
      </c>
      <c r="B1527">
        <f>IF(OHW!$G480="","","OHW")</f>
        <v/>
      </c>
      <c r="C1527" s="18">
        <f>IF(OHW!$G480="","",OHW!$A480)</f>
        <v/>
      </c>
      <c r="F1527">
        <f>IF(OHW!$G480="","",OHW!$B480&amp;"")</f>
        <v/>
      </c>
      <c r="J1527">
        <f>IF(OHW!$G480="","",OHW!$E480)</f>
        <v/>
      </c>
      <c r="K1527">
        <f>IF(OHW!$G480="","",COUNTIFS(OHW!$A$5:$A$1668,OHW!$A480,OHW!$C$5:$C$1668,OHW!$C480))</f>
        <v/>
      </c>
      <c r="L1527">
        <f>IF(OHW!$G480="","",OHW!$D480&amp;"")</f>
        <v/>
      </c>
      <c r="M1527">
        <f>IF(OHW!$G480="","",OHW!$F480)</f>
        <v/>
      </c>
      <c r="N1527">
        <f>IF(OHW!$G480="","",OHW!$G480)</f>
        <v/>
      </c>
      <c r="O1527">
        <f>IF(OHW!$G480="","",OHW!$I480)</f>
        <v/>
      </c>
      <c r="P1527">
        <f>IF(OHW!$G480="","","Final")</f>
        <v/>
      </c>
    </row>
    <row r="1528">
      <c r="A1528">
        <f>IF(OHW!$G481="","","OHW")</f>
        <v/>
      </c>
      <c r="B1528">
        <f>IF(OHW!$G481="","","OHW")</f>
        <v/>
      </c>
      <c r="C1528" s="18">
        <f>IF(OHW!$G481="","",OHW!$A481)</f>
        <v/>
      </c>
      <c r="F1528">
        <f>IF(OHW!$G481="","",OHW!$B481&amp;"")</f>
        <v/>
      </c>
      <c r="J1528">
        <f>IF(OHW!$G481="","",OHW!$E481)</f>
        <v/>
      </c>
      <c r="K1528">
        <f>IF(OHW!$G481="","",COUNTIFS(OHW!$A$5:$A$1668,OHW!$A481,OHW!$C$5:$C$1668,OHW!$C481))</f>
        <v/>
      </c>
      <c r="L1528">
        <f>IF(OHW!$G481="","",OHW!$D481&amp;"")</f>
        <v/>
      </c>
      <c r="M1528">
        <f>IF(OHW!$G481="","",OHW!$F481)</f>
        <v/>
      </c>
      <c r="N1528">
        <f>IF(OHW!$G481="","",OHW!$G481)</f>
        <v/>
      </c>
      <c r="O1528">
        <f>IF(OHW!$G481="","",OHW!$I481)</f>
        <v/>
      </c>
      <c r="P1528">
        <f>IF(OHW!$G481="","","Final")</f>
        <v/>
      </c>
    </row>
    <row r="1529">
      <c r="A1529">
        <f>IF(OHW!$G482="","","OHW")</f>
        <v/>
      </c>
      <c r="B1529">
        <f>IF(OHW!$G482="","","OHW")</f>
        <v/>
      </c>
      <c r="C1529" s="18">
        <f>IF(OHW!$G482="","",OHW!$A482)</f>
        <v/>
      </c>
      <c r="F1529">
        <f>IF(OHW!$G482="","",OHW!$B482&amp;"")</f>
        <v/>
      </c>
      <c r="J1529">
        <f>IF(OHW!$G482="","",OHW!$E482)</f>
        <v/>
      </c>
      <c r="K1529">
        <f>IF(OHW!$G482="","",COUNTIFS(OHW!$A$5:$A$1668,OHW!$A482,OHW!$C$5:$C$1668,OHW!$C482))</f>
        <v/>
      </c>
      <c r="L1529">
        <f>IF(OHW!$G482="","",OHW!$D482&amp;"")</f>
        <v/>
      </c>
      <c r="M1529">
        <f>IF(OHW!$G482="","",OHW!$F482)</f>
        <v/>
      </c>
      <c r="N1529">
        <f>IF(OHW!$G482="","",OHW!$G482)</f>
        <v/>
      </c>
      <c r="O1529">
        <f>IF(OHW!$G482="","",OHW!$I482)</f>
        <v/>
      </c>
      <c r="P1529">
        <f>IF(OHW!$G482="","","Final")</f>
        <v/>
      </c>
    </row>
    <row r="1530">
      <c r="A1530">
        <f>IF(OHW!$G483="","","OHW")</f>
        <v/>
      </c>
      <c r="B1530">
        <f>IF(OHW!$G483="","","OHW")</f>
        <v/>
      </c>
      <c r="C1530" s="18">
        <f>IF(OHW!$G483="","",OHW!$A483)</f>
        <v/>
      </c>
      <c r="F1530">
        <f>IF(OHW!$G483="","",OHW!$B483&amp;"")</f>
        <v/>
      </c>
      <c r="J1530">
        <f>IF(OHW!$G483="","",OHW!$E483)</f>
        <v/>
      </c>
      <c r="K1530">
        <f>IF(OHW!$G483="","",COUNTIFS(OHW!$A$5:$A$1668,OHW!$A483,OHW!$C$5:$C$1668,OHW!$C483))</f>
        <v/>
      </c>
      <c r="L1530">
        <f>IF(OHW!$G483="","",OHW!$D483&amp;"")</f>
        <v/>
      </c>
      <c r="M1530">
        <f>IF(OHW!$G483="","",OHW!$F483)</f>
        <v/>
      </c>
      <c r="N1530">
        <f>IF(OHW!$G483="","",OHW!$G483)</f>
        <v/>
      </c>
      <c r="O1530">
        <f>IF(OHW!$G483="","",OHW!$I483)</f>
        <v/>
      </c>
      <c r="P1530">
        <f>IF(OHW!$G483="","","Final")</f>
        <v/>
      </c>
    </row>
    <row r="1531">
      <c r="A1531">
        <f>IF(OHW!$G484="","","OHW")</f>
        <v/>
      </c>
      <c r="B1531">
        <f>IF(OHW!$G484="","","OHW")</f>
        <v/>
      </c>
      <c r="C1531" s="18">
        <f>IF(OHW!$G484="","",OHW!$A484)</f>
        <v/>
      </c>
      <c r="F1531">
        <f>IF(OHW!$G484="","",OHW!$B484&amp;"")</f>
        <v/>
      </c>
      <c r="J1531">
        <f>IF(OHW!$G484="","",OHW!$E484)</f>
        <v/>
      </c>
      <c r="K1531">
        <f>IF(OHW!$G484="","",COUNTIFS(OHW!$A$5:$A$1668,OHW!$A484,OHW!$C$5:$C$1668,OHW!$C484))</f>
        <v/>
      </c>
      <c r="L1531">
        <f>IF(OHW!$G484="","",OHW!$D484&amp;"")</f>
        <v/>
      </c>
      <c r="M1531">
        <f>IF(OHW!$G484="","",OHW!$F484)</f>
        <v/>
      </c>
      <c r="N1531">
        <f>IF(OHW!$G484="","",OHW!$G484)</f>
        <v/>
      </c>
      <c r="O1531">
        <f>IF(OHW!$G484="","",OHW!$I484)</f>
        <v/>
      </c>
      <c r="P1531">
        <f>IF(OHW!$G484="","","Final")</f>
        <v/>
      </c>
    </row>
    <row r="1532">
      <c r="A1532">
        <f>IF(OHW!$G485="","","OHW")</f>
        <v/>
      </c>
      <c r="B1532">
        <f>IF(OHW!$G485="","","OHW")</f>
        <v/>
      </c>
      <c r="C1532" s="18">
        <f>IF(OHW!$G485="","",OHW!$A485)</f>
        <v/>
      </c>
      <c r="F1532">
        <f>IF(OHW!$G485="","",OHW!$B485&amp;"")</f>
        <v/>
      </c>
      <c r="J1532">
        <f>IF(OHW!$G485="","",OHW!$E485)</f>
        <v/>
      </c>
      <c r="K1532">
        <f>IF(OHW!$G485="","",COUNTIFS(OHW!$A$5:$A$1668,OHW!$A485,OHW!$C$5:$C$1668,OHW!$C485))</f>
        <v/>
      </c>
      <c r="L1532">
        <f>IF(OHW!$G485="","",OHW!$D485&amp;"")</f>
        <v/>
      </c>
      <c r="M1532">
        <f>IF(OHW!$G485="","",OHW!$F485)</f>
        <v/>
      </c>
      <c r="N1532">
        <f>IF(OHW!$G485="","",OHW!$G485)</f>
        <v/>
      </c>
      <c r="O1532">
        <f>IF(OHW!$G485="","",OHW!$I485)</f>
        <v/>
      </c>
      <c r="P1532">
        <f>IF(OHW!$G485="","","Final")</f>
        <v/>
      </c>
    </row>
    <row r="1533">
      <c r="A1533">
        <f>IF(OHW!$G486="","","OHW")</f>
        <v/>
      </c>
      <c r="B1533">
        <f>IF(OHW!$G486="","","OHW")</f>
        <v/>
      </c>
      <c r="C1533" s="18">
        <f>IF(OHW!$G486="","",OHW!$A486)</f>
        <v/>
      </c>
      <c r="F1533">
        <f>IF(OHW!$G486="","",OHW!$B486&amp;"")</f>
        <v/>
      </c>
      <c r="J1533">
        <f>IF(OHW!$G486="","",OHW!$E486)</f>
        <v/>
      </c>
      <c r="K1533">
        <f>IF(OHW!$G486="","",COUNTIFS(OHW!$A$5:$A$1668,OHW!$A486,OHW!$C$5:$C$1668,OHW!$C486))</f>
        <v/>
      </c>
      <c r="L1533">
        <f>IF(OHW!$G486="","",OHW!$D486&amp;"")</f>
        <v/>
      </c>
      <c r="M1533">
        <f>IF(OHW!$G486="","",OHW!$F486)</f>
        <v/>
      </c>
      <c r="N1533">
        <f>IF(OHW!$G486="","",OHW!$G486)</f>
        <v/>
      </c>
      <c r="O1533">
        <f>IF(OHW!$G486="","",OHW!$I486)</f>
        <v/>
      </c>
      <c r="P1533">
        <f>IF(OHW!$G486="","","Final")</f>
        <v/>
      </c>
    </row>
    <row r="1534">
      <c r="A1534">
        <f>IF(OHW!$G487="","","OHW")</f>
        <v/>
      </c>
      <c r="B1534">
        <f>IF(OHW!$G487="","","OHW")</f>
        <v/>
      </c>
      <c r="C1534" s="18">
        <f>IF(OHW!$G487="","",OHW!$A487)</f>
        <v/>
      </c>
      <c r="F1534">
        <f>IF(OHW!$G487="","",OHW!$B487&amp;"")</f>
        <v/>
      </c>
      <c r="J1534">
        <f>IF(OHW!$G487="","",OHW!$E487)</f>
        <v/>
      </c>
      <c r="K1534">
        <f>IF(OHW!$G487="","",COUNTIFS(OHW!$A$5:$A$1668,OHW!$A487,OHW!$C$5:$C$1668,OHW!$C487))</f>
        <v/>
      </c>
      <c r="L1534">
        <f>IF(OHW!$G487="","",OHW!$D487&amp;"")</f>
        <v/>
      </c>
      <c r="M1534">
        <f>IF(OHW!$G487="","",OHW!$F487)</f>
        <v/>
      </c>
      <c r="N1534">
        <f>IF(OHW!$G487="","",OHW!$G487)</f>
        <v/>
      </c>
      <c r="O1534">
        <f>IF(OHW!$G487="","",OHW!$I487)</f>
        <v/>
      </c>
      <c r="P1534">
        <f>IF(OHW!$G487="","","Final")</f>
        <v/>
      </c>
    </row>
    <row r="1535">
      <c r="A1535">
        <f>IF(OHW!$G488="","","OHW")</f>
        <v/>
      </c>
      <c r="B1535">
        <f>IF(OHW!$G488="","","OHW")</f>
        <v/>
      </c>
      <c r="C1535" s="18">
        <f>IF(OHW!$G488="","",OHW!$A488)</f>
        <v/>
      </c>
      <c r="F1535">
        <f>IF(OHW!$G488="","",OHW!$B488&amp;"")</f>
        <v/>
      </c>
      <c r="J1535">
        <f>IF(OHW!$G488="","",OHW!$E488)</f>
        <v/>
      </c>
      <c r="K1535">
        <f>IF(OHW!$G488="","",COUNTIFS(OHW!$A$5:$A$1668,OHW!$A488,OHW!$C$5:$C$1668,OHW!$C488))</f>
        <v/>
      </c>
      <c r="L1535">
        <f>IF(OHW!$G488="","",OHW!$D488&amp;"")</f>
        <v/>
      </c>
      <c r="M1535">
        <f>IF(OHW!$G488="","",OHW!$F488)</f>
        <v/>
      </c>
      <c r="N1535">
        <f>IF(OHW!$G488="","",OHW!$G488)</f>
        <v/>
      </c>
      <c r="O1535">
        <f>IF(OHW!$G488="","",OHW!$I488)</f>
        <v/>
      </c>
      <c r="P1535">
        <f>IF(OHW!$G488="","","Final")</f>
        <v/>
      </c>
    </row>
    <row r="1536">
      <c r="A1536">
        <f>IF(OHW!$G489="","","OHW")</f>
        <v/>
      </c>
      <c r="B1536">
        <f>IF(OHW!$G489="","","OHW")</f>
        <v/>
      </c>
      <c r="C1536" s="18">
        <f>IF(OHW!$G489="","",OHW!$A489)</f>
        <v/>
      </c>
      <c r="F1536">
        <f>IF(OHW!$G489="","",OHW!$B489&amp;"")</f>
        <v/>
      </c>
      <c r="J1536">
        <f>IF(OHW!$G489="","",OHW!$E489)</f>
        <v/>
      </c>
      <c r="K1536">
        <f>IF(OHW!$G489="","",COUNTIFS(OHW!$A$5:$A$1668,OHW!$A489,OHW!$C$5:$C$1668,OHW!$C489))</f>
        <v/>
      </c>
      <c r="L1536">
        <f>IF(OHW!$G489="","",OHW!$D489&amp;"")</f>
        <v/>
      </c>
      <c r="M1536">
        <f>IF(OHW!$G489="","",OHW!$F489)</f>
        <v/>
      </c>
      <c r="N1536">
        <f>IF(OHW!$G489="","",OHW!$G489)</f>
        <v/>
      </c>
      <c r="O1536">
        <f>IF(OHW!$G489="","",OHW!$I489)</f>
        <v/>
      </c>
      <c r="P1536">
        <f>IF(OHW!$G489="","","Final")</f>
        <v/>
      </c>
    </row>
    <row r="1537">
      <c r="A1537">
        <f>IF(OHW!$G490="","","OHW")</f>
        <v/>
      </c>
      <c r="B1537">
        <f>IF(OHW!$G490="","","OHW")</f>
        <v/>
      </c>
      <c r="C1537" s="18">
        <f>IF(OHW!$G490="","",OHW!$A490)</f>
        <v/>
      </c>
      <c r="F1537">
        <f>IF(OHW!$G490="","",OHW!$B490&amp;"")</f>
        <v/>
      </c>
      <c r="J1537">
        <f>IF(OHW!$G490="","",OHW!$E490)</f>
        <v/>
      </c>
      <c r="K1537">
        <f>IF(OHW!$G490="","",COUNTIFS(OHW!$A$5:$A$1668,OHW!$A490,OHW!$C$5:$C$1668,OHW!$C490))</f>
        <v/>
      </c>
      <c r="L1537">
        <f>IF(OHW!$G490="","",OHW!$D490&amp;"")</f>
        <v/>
      </c>
      <c r="M1537">
        <f>IF(OHW!$G490="","",OHW!$F490)</f>
        <v/>
      </c>
      <c r="N1537">
        <f>IF(OHW!$G490="","",OHW!$G490)</f>
        <v/>
      </c>
      <c r="O1537">
        <f>IF(OHW!$G490="","",OHW!$I490)</f>
        <v/>
      </c>
      <c r="P1537">
        <f>IF(OHW!$G490="","","Final")</f>
        <v/>
      </c>
    </row>
    <row r="1538">
      <c r="A1538">
        <f>IF(OHW!$G491="","","OHW")</f>
        <v/>
      </c>
      <c r="B1538">
        <f>IF(OHW!$G491="","","OHW")</f>
        <v/>
      </c>
      <c r="C1538" s="18">
        <f>IF(OHW!$G491="","",OHW!$A491)</f>
        <v/>
      </c>
      <c r="F1538">
        <f>IF(OHW!$G491="","",OHW!$B491&amp;"")</f>
        <v/>
      </c>
      <c r="J1538">
        <f>IF(OHW!$G491="","",OHW!$E491)</f>
        <v/>
      </c>
      <c r="K1538">
        <f>IF(OHW!$G491="","",COUNTIFS(OHW!$A$5:$A$1668,OHW!$A491,OHW!$C$5:$C$1668,OHW!$C491))</f>
        <v/>
      </c>
      <c r="L1538">
        <f>IF(OHW!$G491="","",OHW!$D491&amp;"")</f>
        <v/>
      </c>
      <c r="M1538">
        <f>IF(OHW!$G491="","",OHW!$F491)</f>
        <v/>
      </c>
      <c r="N1538">
        <f>IF(OHW!$G491="","",OHW!$G491)</f>
        <v/>
      </c>
      <c r="O1538">
        <f>IF(OHW!$G491="","",OHW!$I491)</f>
        <v/>
      </c>
      <c r="P1538">
        <f>IF(OHW!$G491="","","Final")</f>
        <v/>
      </c>
    </row>
    <row r="1539">
      <c r="A1539">
        <f>IF(OHW!$G492="","","OHW")</f>
        <v/>
      </c>
      <c r="B1539">
        <f>IF(OHW!$G492="","","OHW")</f>
        <v/>
      </c>
      <c r="C1539" s="18">
        <f>IF(OHW!$G492="","",OHW!$A492)</f>
        <v/>
      </c>
      <c r="F1539">
        <f>IF(OHW!$G492="","",OHW!$B492&amp;"")</f>
        <v/>
      </c>
      <c r="J1539">
        <f>IF(OHW!$G492="","",OHW!$E492)</f>
        <v/>
      </c>
      <c r="K1539">
        <f>IF(OHW!$G492="","",COUNTIFS(OHW!$A$5:$A$1668,OHW!$A492,OHW!$C$5:$C$1668,OHW!$C492))</f>
        <v/>
      </c>
      <c r="L1539">
        <f>IF(OHW!$G492="","",OHW!$D492&amp;"")</f>
        <v/>
      </c>
      <c r="M1539">
        <f>IF(OHW!$G492="","",OHW!$F492)</f>
        <v/>
      </c>
      <c r="N1539">
        <f>IF(OHW!$G492="","",OHW!$G492)</f>
        <v/>
      </c>
      <c r="O1539">
        <f>IF(OHW!$G492="","",OHW!$I492)</f>
        <v/>
      </c>
      <c r="P1539">
        <f>IF(OHW!$G492="","","Final")</f>
        <v/>
      </c>
    </row>
    <row r="1540">
      <c r="A1540">
        <f>IF(OHW!$G493="","","OHW")</f>
        <v/>
      </c>
      <c r="B1540">
        <f>IF(OHW!$G493="","","OHW")</f>
        <v/>
      </c>
      <c r="C1540" s="18">
        <f>IF(OHW!$G493="","",OHW!$A493)</f>
        <v/>
      </c>
      <c r="F1540">
        <f>IF(OHW!$G493="","",OHW!$B493&amp;"")</f>
        <v/>
      </c>
      <c r="J1540">
        <f>IF(OHW!$G493="","",OHW!$E493)</f>
        <v/>
      </c>
      <c r="K1540">
        <f>IF(OHW!$G493="","",COUNTIFS(OHW!$A$5:$A$1668,OHW!$A493,OHW!$C$5:$C$1668,OHW!$C493))</f>
        <v/>
      </c>
      <c r="L1540">
        <f>IF(OHW!$G493="","",OHW!$D493&amp;"")</f>
        <v/>
      </c>
      <c r="M1540">
        <f>IF(OHW!$G493="","",OHW!$F493)</f>
        <v/>
      </c>
      <c r="N1540">
        <f>IF(OHW!$G493="","",OHW!$G493)</f>
        <v/>
      </c>
      <c r="O1540">
        <f>IF(OHW!$G493="","",OHW!$I493)</f>
        <v/>
      </c>
      <c r="P1540">
        <f>IF(OHW!$G493="","","Final")</f>
        <v/>
      </c>
    </row>
    <row r="1541">
      <c r="A1541">
        <f>IF(OHW!$G494="","","OHW")</f>
        <v/>
      </c>
      <c r="B1541">
        <f>IF(OHW!$G494="","","OHW")</f>
        <v/>
      </c>
      <c r="C1541" s="18">
        <f>IF(OHW!$G494="","",OHW!$A494)</f>
        <v/>
      </c>
      <c r="F1541">
        <f>IF(OHW!$G494="","",OHW!$B494&amp;"")</f>
        <v/>
      </c>
      <c r="J1541">
        <f>IF(OHW!$G494="","",OHW!$E494)</f>
        <v/>
      </c>
      <c r="K1541">
        <f>IF(OHW!$G494="","",COUNTIFS(OHW!$A$5:$A$1668,OHW!$A494,OHW!$C$5:$C$1668,OHW!$C494))</f>
        <v/>
      </c>
      <c r="L1541">
        <f>IF(OHW!$G494="","",OHW!$D494&amp;"")</f>
        <v/>
      </c>
      <c r="M1541">
        <f>IF(OHW!$G494="","",OHW!$F494)</f>
        <v/>
      </c>
      <c r="N1541">
        <f>IF(OHW!$G494="","",OHW!$G494)</f>
        <v/>
      </c>
      <c r="O1541">
        <f>IF(OHW!$G494="","",OHW!$I494)</f>
        <v/>
      </c>
      <c r="P1541">
        <f>IF(OHW!$G494="","","Final")</f>
        <v/>
      </c>
    </row>
    <row r="1542">
      <c r="A1542">
        <f>IF(OHW!$G495="","","OHW")</f>
        <v/>
      </c>
      <c r="B1542">
        <f>IF(OHW!$G495="","","OHW")</f>
        <v/>
      </c>
      <c r="C1542" s="18">
        <f>IF(OHW!$G495="","",OHW!$A495)</f>
        <v/>
      </c>
      <c r="F1542">
        <f>IF(OHW!$G495="","",OHW!$B495&amp;"")</f>
        <v/>
      </c>
      <c r="J1542">
        <f>IF(OHW!$G495="","",OHW!$E495)</f>
        <v/>
      </c>
      <c r="K1542">
        <f>IF(OHW!$G495="","",COUNTIFS(OHW!$A$5:$A$1668,OHW!$A495,OHW!$C$5:$C$1668,OHW!$C495))</f>
        <v/>
      </c>
      <c r="L1542">
        <f>IF(OHW!$G495="","",OHW!$D495&amp;"")</f>
        <v/>
      </c>
      <c r="M1542">
        <f>IF(OHW!$G495="","",OHW!$F495)</f>
        <v/>
      </c>
      <c r="N1542">
        <f>IF(OHW!$G495="","",OHW!$G495)</f>
        <v/>
      </c>
      <c r="O1542">
        <f>IF(OHW!$G495="","",OHW!$I495)</f>
        <v/>
      </c>
      <c r="P1542">
        <f>IF(OHW!$G495="","","Final")</f>
        <v/>
      </c>
    </row>
    <row r="1543">
      <c r="A1543">
        <f>IF(OHW!$G496="","","OHW")</f>
        <v/>
      </c>
      <c r="B1543">
        <f>IF(OHW!$G496="","","OHW")</f>
        <v/>
      </c>
      <c r="C1543" s="18">
        <f>IF(OHW!$G496="","",OHW!$A496)</f>
        <v/>
      </c>
      <c r="F1543">
        <f>IF(OHW!$G496="","",OHW!$B496&amp;"")</f>
        <v/>
      </c>
      <c r="J1543">
        <f>IF(OHW!$G496="","",OHW!$E496)</f>
        <v/>
      </c>
      <c r="K1543">
        <f>IF(OHW!$G496="","",COUNTIFS(OHW!$A$5:$A$1668,OHW!$A496,OHW!$C$5:$C$1668,OHW!$C496))</f>
        <v/>
      </c>
      <c r="L1543">
        <f>IF(OHW!$G496="","",OHW!$D496&amp;"")</f>
        <v/>
      </c>
      <c r="M1543">
        <f>IF(OHW!$G496="","",OHW!$F496)</f>
        <v/>
      </c>
      <c r="N1543">
        <f>IF(OHW!$G496="","",OHW!$G496)</f>
        <v/>
      </c>
      <c r="O1543">
        <f>IF(OHW!$G496="","",OHW!$I496)</f>
        <v/>
      </c>
      <c r="P1543">
        <f>IF(OHW!$G496="","","Final")</f>
        <v/>
      </c>
    </row>
    <row r="1544">
      <c r="A1544">
        <f>IF(OHW!$G497="","","OHW")</f>
        <v/>
      </c>
      <c r="B1544">
        <f>IF(OHW!$G497="","","OHW")</f>
        <v/>
      </c>
      <c r="C1544" s="18">
        <f>IF(OHW!$G497="","",OHW!$A497)</f>
        <v/>
      </c>
      <c r="F1544">
        <f>IF(OHW!$G497="","",OHW!$B497&amp;"")</f>
        <v/>
      </c>
      <c r="J1544">
        <f>IF(OHW!$G497="","",OHW!$E497)</f>
        <v/>
      </c>
      <c r="K1544">
        <f>IF(OHW!$G497="","",COUNTIFS(OHW!$A$5:$A$1668,OHW!$A497,OHW!$C$5:$C$1668,OHW!$C497))</f>
        <v/>
      </c>
      <c r="L1544">
        <f>IF(OHW!$G497="","",OHW!$D497&amp;"")</f>
        <v/>
      </c>
      <c r="M1544">
        <f>IF(OHW!$G497="","",OHW!$F497)</f>
        <v/>
      </c>
      <c r="N1544">
        <f>IF(OHW!$G497="","",OHW!$G497)</f>
        <v/>
      </c>
      <c r="O1544">
        <f>IF(OHW!$G497="","",OHW!$I497)</f>
        <v/>
      </c>
      <c r="P1544">
        <f>IF(OHW!$G497="","","Final")</f>
        <v/>
      </c>
    </row>
    <row r="1545">
      <c r="A1545">
        <f>IF(OHW!$G498="","","OHW")</f>
        <v/>
      </c>
      <c r="B1545">
        <f>IF(OHW!$G498="","","OHW")</f>
        <v/>
      </c>
      <c r="C1545" s="18">
        <f>IF(OHW!$G498="","",OHW!$A498)</f>
        <v/>
      </c>
      <c r="F1545">
        <f>IF(OHW!$G498="","",OHW!$B498&amp;"")</f>
        <v/>
      </c>
      <c r="J1545">
        <f>IF(OHW!$G498="","",OHW!$E498)</f>
        <v/>
      </c>
      <c r="K1545">
        <f>IF(OHW!$G498="","",COUNTIFS(OHW!$A$5:$A$1668,OHW!$A498,OHW!$C$5:$C$1668,OHW!$C498))</f>
        <v/>
      </c>
      <c r="L1545">
        <f>IF(OHW!$G498="","",OHW!$D498&amp;"")</f>
        <v/>
      </c>
      <c r="M1545">
        <f>IF(OHW!$G498="","",OHW!$F498)</f>
        <v/>
      </c>
      <c r="N1545">
        <f>IF(OHW!$G498="","",OHW!$G498)</f>
        <v/>
      </c>
      <c r="O1545">
        <f>IF(OHW!$G498="","",OHW!$I498)</f>
        <v/>
      </c>
      <c r="P1545">
        <f>IF(OHW!$G498="","","Final")</f>
        <v/>
      </c>
    </row>
    <row r="1546">
      <c r="A1546">
        <f>IF(OHW!$G499="","","OHW")</f>
        <v/>
      </c>
      <c r="B1546">
        <f>IF(OHW!$G499="","","OHW")</f>
        <v/>
      </c>
      <c r="C1546" s="18">
        <f>IF(OHW!$G499="","",OHW!$A499)</f>
        <v/>
      </c>
      <c r="F1546">
        <f>IF(OHW!$G499="","",OHW!$B499&amp;"")</f>
        <v/>
      </c>
      <c r="J1546">
        <f>IF(OHW!$G499="","",OHW!$E499)</f>
        <v/>
      </c>
      <c r="K1546">
        <f>IF(OHW!$G499="","",COUNTIFS(OHW!$A$5:$A$1668,OHW!$A499,OHW!$C$5:$C$1668,OHW!$C499))</f>
        <v/>
      </c>
      <c r="L1546">
        <f>IF(OHW!$G499="","",OHW!$D499&amp;"")</f>
        <v/>
      </c>
      <c r="M1546">
        <f>IF(OHW!$G499="","",OHW!$F499)</f>
        <v/>
      </c>
      <c r="N1546">
        <f>IF(OHW!$G499="","",OHW!$G499)</f>
        <v/>
      </c>
      <c r="O1546">
        <f>IF(OHW!$G499="","",OHW!$I499)</f>
        <v/>
      </c>
      <c r="P1546">
        <f>IF(OHW!$G499="","","Final")</f>
        <v/>
      </c>
    </row>
    <row r="1547">
      <c r="A1547">
        <f>IF(OHW!$G500="","","OHW")</f>
        <v/>
      </c>
      <c r="B1547">
        <f>IF(OHW!$G500="","","OHW")</f>
        <v/>
      </c>
      <c r="C1547" s="18">
        <f>IF(OHW!$G500="","",OHW!$A500)</f>
        <v/>
      </c>
      <c r="F1547">
        <f>IF(OHW!$G500="","",OHW!$B500&amp;"")</f>
        <v/>
      </c>
      <c r="J1547">
        <f>IF(OHW!$G500="","",OHW!$E500)</f>
        <v/>
      </c>
      <c r="K1547">
        <f>IF(OHW!$G500="","",COUNTIFS(OHW!$A$5:$A$1668,OHW!$A500,OHW!$C$5:$C$1668,OHW!$C500))</f>
        <v/>
      </c>
      <c r="L1547">
        <f>IF(OHW!$G500="","",OHW!$D500&amp;"")</f>
        <v/>
      </c>
      <c r="M1547">
        <f>IF(OHW!$G500="","",OHW!$F500)</f>
        <v/>
      </c>
      <c r="N1547">
        <f>IF(OHW!$G500="","",OHW!$G500)</f>
        <v/>
      </c>
      <c r="O1547">
        <f>IF(OHW!$G500="","",OHW!$I500)</f>
        <v/>
      </c>
      <c r="P1547">
        <f>IF(OHW!$G500="","","Final")</f>
        <v/>
      </c>
    </row>
    <row r="1548">
      <c r="A1548">
        <f>IF(OHW!$G501="","","OHW")</f>
        <v/>
      </c>
      <c r="B1548">
        <f>IF(OHW!$G501="","","OHW")</f>
        <v/>
      </c>
      <c r="C1548" s="18">
        <f>IF(OHW!$G501="","",OHW!$A501)</f>
        <v/>
      </c>
      <c r="F1548">
        <f>IF(OHW!$G501="","",OHW!$B501&amp;"")</f>
        <v/>
      </c>
      <c r="J1548">
        <f>IF(OHW!$G501="","",OHW!$E501)</f>
        <v/>
      </c>
      <c r="K1548">
        <f>IF(OHW!$G501="","",COUNTIFS(OHW!$A$5:$A$1668,OHW!$A501,OHW!$C$5:$C$1668,OHW!$C501))</f>
        <v/>
      </c>
      <c r="L1548">
        <f>IF(OHW!$G501="","",OHW!$D501&amp;"")</f>
        <v/>
      </c>
      <c r="M1548">
        <f>IF(OHW!$G501="","",OHW!$F501)</f>
        <v/>
      </c>
      <c r="N1548">
        <f>IF(OHW!$G501="","",OHW!$G501)</f>
        <v/>
      </c>
      <c r="O1548">
        <f>IF(OHW!$G501="","",OHW!$I501)</f>
        <v/>
      </c>
      <c r="P1548">
        <f>IF(OHW!$G501="","","Final")</f>
        <v/>
      </c>
    </row>
    <row r="1549">
      <c r="A1549">
        <f>IF(OHW!$G502="","","OHW")</f>
        <v/>
      </c>
      <c r="B1549">
        <f>IF(OHW!$G502="","","OHW")</f>
        <v/>
      </c>
      <c r="C1549" s="18">
        <f>IF(OHW!$G502="","",OHW!$A502)</f>
        <v/>
      </c>
      <c r="F1549">
        <f>IF(OHW!$G502="","",OHW!$B502&amp;"")</f>
        <v/>
      </c>
      <c r="J1549">
        <f>IF(OHW!$G502="","",OHW!$E502)</f>
        <v/>
      </c>
      <c r="K1549">
        <f>IF(OHW!$G502="","",COUNTIFS(OHW!$A$5:$A$1668,OHW!$A502,OHW!$C$5:$C$1668,OHW!$C502))</f>
        <v/>
      </c>
      <c r="L1549">
        <f>IF(OHW!$G502="","",OHW!$D502&amp;"")</f>
        <v/>
      </c>
      <c r="M1549">
        <f>IF(OHW!$G502="","",OHW!$F502)</f>
        <v/>
      </c>
      <c r="N1549">
        <f>IF(OHW!$G502="","",OHW!$G502)</f>
        <v/>
      </c>
      <c r="O1549">
        <f>IF(OHW!$G502="","",OHW!$I502)</f>
        <v/>
      </c>
      <c r="P1549">
        <f>IF(OHW!$G502="","","Final")</f>
        <v/>
      </c>
    </row>
    <row r="1550">
      <c r="A1550">
        <f>IF(OHW!$G503="","","OHW")</f>
        <v/>
      </c>
      <c r="B1550">
        <f>IF(OHW!$G503="","","OHW")</f>
        <v/>
      </c>
      <c r="C1550" s="18">
        <f>IF(OHW!$G503="","",OHW!$A503)</f>
        <v/>
      </c>
      <c r="F1550">
        <f>IF(OHW!$G503="","",OHW!$B503&amp;"")</f>
        <v/>
      </c>
      <c r="J1550">
        <f>IF(OHW!$G503="","",OHW!$E503)</f>
        <v/>
      </c>
      <c r="K1550">
        <f>IF(OHW!$G503="","",COUNTIFS(OHW!$A$5:$A$1668,OHW!$A503,OHW!$C$5:$C$1668,OHW!$C503))</f>
        <v/>
      </c>
      <c r="L1550">
        <f>IF(OHW!$G503="","",OHW!$D503&amp;"")</f>
        <v/>
      </c>
      <c r="M1550">
        <f>IF(OHW!$G503="","",OHW!$F503)</f>
        <v/>
      </c>
      <c r="N1550">
        <f>IF(OHW!$G503="","",OHW!$G503)</f>
        <v/>
      </c>
      <c r="O1550">
        <f>IF(OHW!$G503="","",OHW!$I503)</f>
        <v/>
      </c>
      <c r="P1550">
        <f>IF(OHW!$G503="","","Final")</f>
        <v/>
      </c>
    </row>
    <row r="1551">
      <c r="A1551">
        <f>IF(OHW!$G504="","","OHW")</f>
        <v/>
      </c>
      <c r="B1551">
        <f>IF(OHW!$G504="","","OHW")</f>
        <v/>
      </c>
      <c r="C1551" s="18">
        <f>IF(OHW!$G504="","",OHW!$A504)</f>
        <v/>
      </c>
      <c r="F1551">
        <f>IF(OHW!$G504="","",OHW!$B504&amp;"")</f>
        <v/>
      </c>
      <c r="J1551">
        <f>IF(OHW!$G504="","",OHW!$E504)</f>
        <v/>
      </c>
      <c r="K1551">
        <f>IF(OHW!$G504="","",COUNTIFS(OHW!$A$5:$A$1668,OHW!$A504,OHW!$C$5:$C$1668,OHW!$C504))</f>
        <v/>
      </c>
      <c r="L1551">
        <f>IF(OHW!$G504="","",OHW!$D504&amp;"")</f>
        <v/>
      </c>
      <c r="M1551">
        <f>IF(OHW!$G504="","",OHW!$F504)</f>
        <v/>
      </c>
      <c r="N1551">
        <f>IF(OHW!$G504="","",OHW!$G504)</f>
        <v/>
      </c>
      <c r="O1551">
        <f>IF(OHW!$G504="","",OHW!$I504)</f>
        <v/>
      </c>
      <c r="P1551">
        <f>IF(OHW!$G504="","","Final")</f>
        <v/>
      </c>
    </row>
    <row r="1552">
      <c r="A1552">
        <f>IF(OHW!$G505="","","OHW")</f>
        <v/>
      </c>
      <c r="B1552">
        <f>IF(OHW!$G505="","","OHW")</f>
        <v/>
      </c>
      <c r="C1552" s="18">
        <f>IF(OHW!$G505="","",OHW!$A505)</f>
        <v/>
      </c>
      <c r="F1552">
        <f>IF(OHW!$G505="","",OHW!$B505&amp;"")</f>
        <v/>
      </c>
      <c r="J1552">
        <f>IF(OHW!$G505="","",OHW!$E505)</f>
        <v/>
      </c>
      <c r="K1552">
        <f>IF(OHW!$G505="","",COUNTIFS(OHW!$A$5:$A$1668,OHW!$A505,OHW!$C$5:$C$1668,OHW!$C505))</f>
        <v/>
      </c>
      <c r="L1552">
        <f>IF(OHW!$G505="","",OHW!$D505&amp;"")</f>
        <v/>
      </c>
      <c r="M1552">
        <f>IF(OHW!$G505="","",OHW!$F505)</f>
        <v/>
      </c>
      <c r="N1552">
        <f>IF(OHW!$G505="","",OHW!$G505)</f>
        <v/>
      </c>
      <c r="O1552">
        <f>IF(OHW!$G505="","",OHW!$I505)</f>
        <v/>
      </c>
      <c r="P1552">
        <f>IF(OHW!$G505="","","Final")</f>
        <v/>
      </c>
    </row>
    <row r="1553">
      <c r="A1553">
        <f>IF(OHW!$G506="","","OHW")</f>
        <v/>
      </c>
      <c r="B1553">
        <f>IF(OHW!$G506="","","OHW")</f>
        <v/>
      </c>
      <c r="C1553" s="18">
        <f>IF(OHW!$G506="","",OHW!$A506)</f>
        <v/>
      </c>
      <c r="F1553">
        <f>IF(OHW!$G506="","",OHW!$B506&amp;"")</f>
        <v/>
      </c>
      <c r="J1553">
        <f>IF(OHW!$G506="","",OHW!$E506)</f>
        <v/>
      </c>
      <c r="K1553">
        <f>IF(OHW!$G506="","",COUNTIFS(OHW!$A$5:$A$1668,OHW!$A506,OHW!$C$5:$C$1668,OHW!$C506))</f>
        <v/>
      </c>
      <c r="L1553">
        <f>IF(OHW!$G506="","",OHW!$D506&amp;"")</f>
        <v/>
      </c>
      <c r="M1553">
        <f>IF(OHW!$G506="","",OHW!$F506)</f>
        <v/>
      </c>
      <c r="N1553">
        <f>IF(OHW!$G506="","",OHW!$G506)</f>
        <v/>
      </c>
      <c r="O1553">
        <f>IF(OHW!$G506="","",OHW!$I506)</f>
        <v/>
      </c>
      <c r="P1553">
        <f>IF(OHW!$G506="","","Final")</f>
        <v/>
      </c>
    </row>
    <row r="1554">
      <c r="A1554">
        <f>IF(OHW!$G507="","","OHW")</f>
        <v/>
      </c>
      <c r="B1554">
        <f>IF(OHW!$G507="","","OHW")</f>
        <v/>
      </c>
      <c r="C1554" s="18">
        <f>IF(OHW!$G507="","",OHW!$A507)</f>
        <v/>
      </c>
      <c r="F1554">
        <f>IF(OHW!$G507="","",OHW!$B507&amp;"")</f>
        <v/>
      </c>
      <c r="J1554">
        <f>IF(OHW!$G507="","",OHW!$E507)</f>
        <v/>
      </c>
      <c r="K1554">
        <f>IF(OHW!$G507="","",COUNTIFS(OHW!$A$5:$A$1668,OHW!$A507,OHW!$C$5:$C$1668,OHW!$C507))</f>
        <v/>
      </c>
      <c r="L1554">
        <f>IF(OHW!$G507="","",OHW!$D507&amp;"")</f>
        <v/>
      </c>
      <c r="M1554">
        <f>IF(OHW!$G507="","",OHW!$F507)</f>
        <v/>
      </c>
      <c r="N1554">
        <f>IF(OHW!$G507="","",OHW!$G507)</f>
        <v/>
      </c>
      <c r="O1554">
        <f>IF(OHW!$G507="","",OHW!$I507)</f>
        <v/>
      </c>
      <c r="P1554">
        <f>IF(OHW!$G507="","","Final")</f>
        <v/>
      </c>
    </row>
    <row r="1555">
      <c r="A1555">
        <f>IF(OHW!$G508="","","OHW")</f>
        <v/>
      </c>
      <c r="B1555">
        <f>IF(OHW!$G508="","","OHW")</f>
        <v/>
      </c>
      <c r="C1555" s="18">
        <f>IF(OHW!$G508="","",OHW!$A508)</f>
        <v/>
      </c>
      <c r="F1555">
        <f>IF(OHW!$G508="","",OHW!$B508&amp;"")</f>
        <v/>
      </c>
      <c r="J1555">
        <f>IF(OHW!$G508="","",OHW!$E508)</f>
        <v/>
      </c>
      <c r="K1555">
        <f>IF(OHW!$G508="","",COUNTIFS(OHW!$A$5:$A$1668,OHW!$A508,OHW!$C$5:$C$1668,OHW!$C508))</f>
        <v/>
      </c>
      <c r="L1555">
        <f>IF(OHW!$G508="","",OHW!$D508&amp;"")</f>
        <v/>
      </c>
      <c r="M1555">
        <f>IF(OHW!$G508="","",OHW!$F508)</f>
        <v/>
      </c>
      <c r="N1555">
        <f>IF(OHW!$G508="","",OHW!$G508)</f>
        <v/>
      </c>
      <c r="O1555">
        <f>IF(OHW!$G508="","",OHW!$I508)</f>
        <v/>
      </c>
      <c r="P1555">
        <f>IF(OHW!$G508="","","Final")</f>
        <v/>
      </c>
    </row>
    <row r="1556">
      <c r="A1556">
        <f>IF(OHW!$G509="","","OHW")</f>
        <v/>
      </c>
      <c r="B1556">
        <f>IF(OHW!$G509="","","OHW")</f>
        <v/>
      </c>
      <c r="C1556" s="18">
        <f>IF(OHW!$G509="","",OHW!$A509)</f>
        <v/>
      </c>
      <c r="F1556">
        <f>IF(OHW!$G509="","",OHW!$B509&amp;"")</f>
        <v/>
      </c>
      <c r="J1556">
        <f>IF(OHW!$G509="","",OHW!$E509)</f>
        <v/>
      </c>
      <c r="K1556">
        <f>IF(OHW!$G509="","",COUNTIFS(OHW!$A$5:$A$1668,OHW!$A509,OHW!$C$5:$C$1668,OHW!$C509))</f>
        <v/>
      </c>
      <c r="L1556">
        <f>IF(OHW!$G509="","",OHW!$D509&amp;"")</f>
        <v/>
      </c>
      <c r="M1556">
        <f>IF(OHW!$G509="","",OHW!$F509)</f>
        <v/>
      </c>
      <c r="N1556">
        <f>IF(OHW!$G509="","",OHW!$G509)</f>
        <v/>
      </c>
      <c r="O1556">
        <f>IF(OHW!$G509="","",OHW!$I509)</f>
        <v/>
      </c>
      <c r="P1556">
        <f>IF(OHW!$G509="","","Final")</f>
        <v/>
      </c>
    </row>
    <row r="1557">
      <c r="A1557">
        <f>IF(OHW!$G510="","","OHW")</f>
        <v/>
      </c>
      <c r="B1557">
        <f>IF(OHW!$G510="","","OHW")</f>
        <v/>
      </c>
      <c r="C1557" s="18">
        <f>IF(OHW!$G510="","",OHW!$A510)</f>
        <v/>
      </c>
      <c r="F1557">
        <f>IF(OHW!$G510="","",OHW!$B510&amp;"")</f>
        <v/>
      </c>
      <c r="J1557">
        <f>IF(OHW!$G510="","",OHW!$E510)</f>
        <v/>
      </c>
      <c r="K1557">
        <f>IF(OHW!$G510="","",COUNTIFS(OHW!$A$5:$A$1668,OHW!$A510,OHW!$C$5:$C$1668,OHW!$C510))</f>
        <v/>
      </c>
      <c r="L1557">
        <f>IF(OHW!$G510="","",OHW!$D510&amp;"")</f>
        <v/>
      </c>
      <c r="M1557">
        <f>IF(OHW!$G510="","",OHW!$F510)</f>
        <v/>
      </c>
      <c r="N1557">
        <f>IF(OHW!$G510="","",OHW!$G510)</f>
        <v/>
      </c>
      <c r="O1557">
        <f>IF(OHW!$G510="","",OHW!$I510)</f>
        <v/>
      </c>
      <c r="P1557">
        <f>IF(OHW!$G510="","","Final")</f>
        <v/>
      </c>
    </row>
    <row r="1558">
      <c r="A1558">
        <f>IF(OHW!$G511="","","OHW")</f>
        <v/>
      </c>
      <c r="B1558">
        <f>IF(OHW!$G511="","","OHW")</f>
        <v/>
      </c>
      <c r="C1558" s="18">
        <f>IF(OHW!$G511="","",OHW!$A511)</f>
        <v/>
      </c>
      <c r="F1558">
        <f>IF(OHW!$G511="","",OHW!$B511&amp;"")</f>
        <v/>
      </c>
      <c r="J1558">
        <f>IF(OHW!$G511="","",OHW!$E511)</f>
        <v/>
      </c>
      <c r="K1558">
        <f>IF(OHW!$G511="","",COUNTIFS(OHW!$A$5:$A$1668,OHW!$A511,OHW!$C$5:$C$1668,OHW!$C511))</f>
        <v/>
      </c>
      <c r="L1558">
        <f>IF(OHW!$G511="","",OHW!$D511&amp;"")</f>
        <v/>
      </c>
      <c r="M1558">
        <f>IF(OHW!$G511="","",OHW!$F511)</f>
        <v/>
      </c>
      <c r="N1558">
        <f>IF(OHW!$G511="","",OHW!$G511)</f>
        <v/>
      </c>
      <c r="O1558">
        <f>IF(OHW!$G511="","",OHW!$I511)</f>
        <v/>
      </c>
      <c r="P1558">
        <f>IF(OHW!$G511="","","Final")</f>
        <v/>
      </c>
    </row>
    <row r="1559">
      <c r="A1559">
        <f>IF(OHW!$G512="","","OHW")</f>
        <v/>
      </c>
      <c r="B1559">
        <f>IF(OHW!$G512="","","OHW")</f>
        <v/>
      </c>
      <c r="C1559" s="18">
        <f>IF(OHW!$G512="","",OHW!$A512)</f>
        <v/>
      </c>
      <c r="F1559">
        <f>IF(OHW!$G512="","",OHW!$B512&amp;"")</f>
        <v/>
      </c>
      <c r="J1559">
        <f>IF(OHW!$G512="","",OHW!$E512)</f>
        <v/>
      </c>
      <c r="K1559">
        <f>IF(OHW!$G512="","",COUNTIFS(OHW!$A$5:$A$1668,OHW!$A512,OHW!$C$5:$C$1668,OHW!$C512))</f>
        <v/>
      </c>
      <c r="L1559">
        <f>IF(OHW!$G512="","",OHW!$D512&amp;"")</f>
        <v/>
      </c>
      <c r="M1559">
        <f>IF(OHW!$G512="","",OHW!$F512)</f>
        <v/>
      </c>
      <c r="N1559">
        <f>IF(OHW!$G512="","",OHW!$G512)</f>
        <v/>
      </c>
      <c r="O1559">
        <f>IF(OHW!$G512="","",OHW!$I512)</f>
        <v/>
      </c>
      <c r="P1559">
        <f>IF(OHW!$G512="","","Final")</f>
        <v/>
      </c>
    </row>
    <row r="1560">
      <c r="A1560">
        <f>IF(OHW!$G513="","","OHW")</f>
        <v/>
      </c>
      <c r="B1560">
        <f>IF(OHW!$G513="","","OHW")</f>
        <v/>
      </c>
      <c r="C1560" s="18">
        <f>IF(OHW!$G513="","",OHW!$A513)</f>
        <v/>
      </c>
      <c r="F1560">
        <f>IF(OHW!$G513="","",OHW!$B513&amp;"")</f>
        <v/>
      </c>
      <c r="J1560">
        <f>IF(OHW!$G513="","",OHW!$E513)</f>
        <v/>
      </c>
      <c r="K1560">
        <f>IF(OHW!$G513="","",COUNTIFS(OHW!$A$5:$A$1668,OHW!$A513,OHW!$C$5:$C$1668,OHW!$C513))</f>
        <v/>
      </c>
      <c r="L1560">
        <f>IF(OHW!$G513="","",OHW!$D513&amp;"")</f>
        <v/>
      </c>
      <c r="M1560">
        <f>IF(OHW!$G513="","",OHW!$F513)</f>
        <v/>
      </c>
      <c r="N1560">
        <f>IF(OHW!$G513="","",OHW!$G513)</f>
        <v/>
      </c>
      <c r="O1560">
        <f>IF(OHW!$G513="","",OHW!$I513)</f>
        <v/>
      </c>
      <c r="P1560">
        <f>IF(OHW!$G513="","","Final")</f>
        <v/>
      </c>
    </row>
    <row r="1561">
      <c r="A1561">
        <f>IF(OHW!$G514="","","OHW")</f>
        <v/>
      </c>
      <c r="B1561">
        <f>IF(OHW!$G514="","","OHW")</f>
        <v/>
      </c>
      <c r="C1561" s="18">
        <f>IF(OHW!$G514="","",OHW!$A514)</f>
        <v/>
      </c>
      <c r="F1561">
        <f>IF(OHW!$G514="","",OHW!$B514&amp;"")</f>
        <v/>
      </c>
      <c r="J1561">
        <f>IF(OHW!$G514="","",OHW!$E514)</f>
        <v/>
      </c>
      <c r="K1561">
        <f>IF(OHW!$G514="","",COUNTIFS(OHW!$A$5:$A$1668,OHW!$A514,OHW!$C$5:$C$1668,OHW!$C514))</f>
        <v/>
      </c>
      <c r="L1561">
        <f>IF(OHW!$G514="","",OHW!$D514&amp;"")</f>
        <v/>
      </c>
      <c r="M1561">
        <f>IF(OHW!$G514="","",OHW!$F514)</f>
        <v/>
      </c>
      <c r="N1561">
        <f>IF(OHW!$G514="","",OHW!$G514)</f>
        <v/>
      </c>
      <c r="O1561">
        <f>IF(OHW!$G514="","",OHW!$I514)</f>
        <v/>
      </c>
      <c r="P1561">
        <f>IF(OHW!$G514="","","Final")</f>
        <v/>
      </c>
    </row>
    <row r="1562">
      <c r="A1562">
        <f>IF(OHW!$G515="","","OHW")</f>
        <v/>
      </c>
      <c r="B1562">
        <f>IF(OHW!$G515="","","OHW")</f>
        <v/>
      </c>
      <c r="C1562" s="18">
        <f>IF(OHW!$G515="","",OHW!$A515)</f>
        <v/>
      </c>
      <c r="F1562">
        <f>IF(OHW!$G515="","",OHW!$B515&amp;"")</f>
        <v/>
      </c>
      <c r="J1562">
        <f>IF(OHW!$G515="","",OHW!$E515)</f>
        <v/>
      </c>
      <c r="K1562">
        <f>IF(OHW!$G515="","",COUNTIFS(OHW!$A$5:$A$1668,OHW!$A515,OHW!$C$5:$C$1668,OHW!$C515))</f>
        <v/>
      </c>
      <c r="L1562">
        <f>IF(OHW!$G515="","",OHW!$D515&amp;"")</f>
        <v/>
      </c>
      <c r="M1562">
        <f>IF(OHW!$G515="","",OHW!$F515)</f>
        <v/>
      </c>
      <c r="N1562">
        <f>IF(OHW!$G515="","",OHW!$G515)</f>
        <v/>
      </c>
      <c r="O1562">
        <f>IF(OHW!$G515="","",OHW!$I515)</f>
        <v/>
      </c>
      <c r="P1562">
        <f>IF(OHW!$G515="","","Final")</f>
        <v/>
      </c>
    </row>
    <row r="1563">
      <c r="A1563">
        <f>IF(OHW!$G516="","","OHW")</f>
        <v/>
      </c>
      <c r="B1563">
        <f>IF(OHW!$G516="","","OHW")</f>
        <v/>
      </c>
      <c r="C1563" s="18">
        <f>IF(OHW!$G516="","",OHW!$A516)</f>
        <v/>
      </c>
      <c r="F1563">
        <f>IF(OHW!$G516="","",OHW!$B516&amp;"")</f>
        <v/>
      </c>
      <c r="J1563">
        <f>IF(OHW!$G516="","",OHW!$E516)</f>
        <v/>
      </c>
      <c r="K1563">
        <f>IF(OHW!$G516="","",COUNTIFS(OHW!$A$5:$A$1668,OHW!$A516,OHW!$C$5:$C$1668,OHW!$C516))</f>
        <v/>
      </c>
      <c r="L1563">
        <f>IF(OHW!$G516="","",OHW!$D516&amp;"")</f>
        <v/>
      </c>
      <c r="M1563">
        <f>IF(OHW!$G516="","",OHW!$F516)</f>
        <v/>
      </c>
      <c r="N1563">
        <f>IF(OHW!$G516="","",OHW!$G516)</f>
        <v/>
      </c>
      <c r="O1563">
        <f>IF(OHW!$G516="","",OHW!$I516)</f>
        <v/>
      </c>
      <c r="P1563">
        <f>IF(OHW!$G516="","","Final")</f>
        <v/>
      </c>
    </row>
    <row r="1564">
      <c r="A1564">
        <f>IF(OHW!$G517="","","OHW")</f>
        <v/>
      </c>
      <c r="B1564">
        <f>IF(OHW!$G517="","","OHW")</f>
        <v/>
      </c>
      <c r="C1564" s="18">
        <f>IF(OHW!$G517="","",OHW!$A517)</f>
        <v/>
      </c>
      <c r="F1564">
        <f>IF(OHW!$G517="","",OHW!$B517&amp;"")</f>
        <v/>
      </c>
      <c r="J1564">
        <f>IF(OHW!$G517="","",OHW!$E517)</f>
        <v/>
      </c>
      <c r="K1564">
        <f>IF(OHW!$G517="","",COUNTIFS(OHW!$A$5:$A$1668,OHW!$A517,OHW!$C$5:$C$1668,OHW!$C517))</f>
        <v/>
      </c>
      <c r="L1564">
        <f>IF(OHW!$G517="","",OHW!$D517&amp;"")</f>
        <v/>
      </c>
      <c r="M1564">
        <f>IF(OHW!$G517="","",OHW!$F517)</f>
        <v/>
      </c>
      <c r="N1564">
        <f>IF(OHW!$G517="","",OHW!$G517)</f>
        <v/>
      </c>
      <c r="O1564">
        <f>IF(OHW!$G517="","",OHW!$I517)</f>
        <v/>
      </c>
      <c r="P1564">
        <f>IF(OHW!$G517="","","Final")</f>
        <v/>
      </c>
    </row>
    <row r="1565">
      <c r="A1565">
        <f>IF(OHW!$G518="","","OHW")</f>
        <v/>
      </c>
      <c r="B1565">
        <f>IF(OHW!$G518="","","OHW")</f>
        <v/>
      </c>
      <c r="C1565" s="18">
        <f>IF(OHW!$G518="","",OHW!$A518)</f>
        <v/>
      </c>
      <c r="F1565">
        <f>IF(OHW!$G518="","",OHW!$B518&amp;"")</f>
        <v/>
      </c>
      <c r="J1565">
        <f>IF(OHW!$G518="","",OHW!$E518)</f>
        <v/>
      </c>
      <c r="K1565">
        <f>IF(OHW!$G518="","",COUNTIFS(OHW!$A$5:$A$1668,OHW!$A518,OHW!$C$5:$C$1668,OHW!$C518))</f>
        <v/>
      </c>
      <c r="L1565">
        <f>IF(OHW!$G518="","",OHW!$D518&amp;"")</f>
        <v/>
      </c>
      <c r="M1565">
        <f>IF(OHW!$G518="","",OHW!$F518)</f>
        <v/>
      </c>
      <c r="N1565">
        <f>IF(OHW!$G518="","",OHW!$G518)</f>
        <v/>
      </c>
      <c r="O1565">
        <f>IF(OHW!$G518="","",OHW!$I518)</f>
        <v/>
      </c>
      <c r="P1565">
        <f>IF(OHW!$G518="","","Final")</f>
        <v/>
      </c>
    </row>
    <row r="1566">
      <c r="A1566">
        <f>IF(OHW!$G519="","","OHW")</f>
        <v/>
      </c>
      <c r="B1566">
        <f>IF(OHW!$G519="","","OHW")</f>
        <v/>
      </c>
      <c r="C1566" s="18">
        <f>IF(OHW!$G519="","",OHW!$A519)</f>
        <v/>
      </c>
      <c r="F1566">
        <f>IF(OHW!$G519="","",OHW!$B519&amp;"")</f>
        <v/>
      </c>
      <c r="J1566">
        <f>IF(OHW!$G519="","",OHW!$E519)</f>
        <v/>
      </c>
      <c r="K1566">
        <f>IF(OHW!$G519="","",COUNTIFS(OHW!$A$5:$A$1668,OHW!$A519,OHW!$C$5:$C$1668,OHW!$C519))</f>
        <v/>
      </c>
      <c r="L1566">
        <f>IF(OHW!$G519="","",OHW!$D519&amp;"")</f>
        <v/>
      </c>
      <c r="M1566">
        <f>IF(OHW!$G519="","",OHW!$F519)</f>
        <v/>
      </c>
      <c r="N1566">
        <f>IF(OHW!$G519="","",OHW!$G519)</f>
        <v/>
      </c>
      <c r="O1566">
        <f>IF(OHW!$G519="","",OHW!$I519)</f>
        <v/>
      </c>
      <c r="P1566">
        <f>IF(OHW!$G519="","","Final")</f>
        <v/>
      </c>
    </row>
    <row r="1567">
      <c r="A1567">
        <f>IF(OHW!$G520="","","OHW")</f>
        <v/>
      </c>
      <c r="B1567">
        <f>IF(OHW!$G520="","","OHW")</f>
        <v/>
      </c>
      <c r="C1567" s="18">
        <f>IF(OHW!$G520="","",OHW!$A520)</f>
        <v/>
      </c>
      <c r="F1567">
        <f>IF(OHW!$G520="","",OHW!$B520&amp;"")</f>
        <v/>
      </c>
      <c r="J1567">
        <f>IF(OHW!$G520="","",OHW!$E520)</f>
        <v/>
      </c>
      <c r="K1567">
        <f>IF(OHW!$G520="","",COUNTIFS(OHW!$A$5:$A$1668,OHW!$A520,OHW!$C$5:$C$1668,OHW!$C520))</f>
        <v/>
      </c>
      <c r="L1567">
        <f>IF(OHW!$G520="","",OHW!$D520&amp;"")</f>
        <v/>
      </c>
      <c r="M1567">
        <f>IF(OHW!$G520="","",OHW!$F520)</f>
        <v/>
      </c>
      <c r="N1567">
        <f>IF(OHW!$G520="","",OHW!$G520)</f>
        <v/>
      </c>
      <c r="O1567">
        <f>IF(OHW!$G520="","",OHW!$I520)</f>
        <v/>
      </c>
      <c r="P1567">
        <f>IF(OHW!$G520="","","Final")</f>
        <v/>
      </c>
    </row>
    <row r="1568">
      <c r="A1568">
        <f>IF(OHW!$G521="","","OHW")</f>
        <v/>
      </c>
      <c r="B1568">
        <f>IF(OHW!$G521="","","OHW")</f>
        <v/>
      </c>
      <c r="C1568" s="18">
        <f>IF(OHW!$G521="","",OHW!$A521)</f>
        <v/>
      </c>
      <c r="F1568">
        <f>IF(OHW!$G521="","",OHW!$B521&amp;"")</f>
        <v/>
      </c>
      <c r="J1568">
        <f>IF(OHW!$G521="","",OHW!$E521)</f>
        <v/>
      </c>
      <c r="K1568">
        <f>IF(OHW!$G521="","",COUNTIFS(OHW!$A$5:$A$1668,OHW!$A521,OHW!$C$5:$C$1668,OHW!$C521))</f>
        <v/>
      </c>
      <c r="L1568">
        <f>IF(OHW!$G521="","",OHW!$D521&amp;"")</f>
        <v/>
      </c>
      <c r="M1568">
        <f>IF(OHW!$G521="","",OHW!$F521)</f>
        <v/>
      </c>
      <c r="N1568">
        <f>IF(OHW!$G521="","",OHW!$G521)</f>
        <v/>
      </c>
      <c r="O1568">
        <f>IF(OHW!$G521="","",OHW!$I521)</f>
        <v/>
      </c>
      <c r="P1568">
        <f>IF(OHW!$G521="","","Final")</f>
        <v/>
      </c>
    </row>
    <row r="1569">
      <c r="A1569">
        <f>IF(OHW!$G522="","","OHW")</f>
        <v/>
      </c>
      <c r="B1569">
        <f>IF(OHW!$G522="","","OHW")</f>
        <v/>
      </c>
      <c r="C1569" s="18">
        <f>IF(OHW!$G522="","",OHW!$A522)</f>
        <v/>
      </c>
      <c r="F1569">
        <f>IF(OHW!$G522="","",OHW!$B522&amp;"")</f>
        <v/>
      </c>
      <c r="J1569">
        <f>IF(OHW!$G522="","",OHW!$E522)</f>
        <v/>
      </c>
      <c r="K1569">
        <f>IF(OHW!$G522="","",COUNTIFS(OHW!$A$5:$A$1668,OHW!$A522,OHW!$C$5:$C$1668,OHW!$C522))</f>
        <v/>
      </c>
      <c r="L1569">
        <f>IF(OHW!$G522="","",OHW!$D522&amp;"")</f>
        <v/>
      </c>
      <c r="M1569">
        <f>IF(OHW!$G522="","",OHW!$F522)</f>
        <v/>
      </c>
      <c r="N1569">
        <f>IF(OHW!$G522="","",OHW!$G522)</f>
        <v/>
      </c>
      <c r="O1569">
        <f>IF(OHW!$G522="","",OHW!$I522)</f>
        <v/>
      </c>
      <c r="P1569">
        <f>IF(OHW!$G522="","","Final")</f>
        <v/>
      </c>
    </row>
    <row r="1570">
      <c r="A1570">
        <f>IF(OHW!$G523="","","OHW")</f>
        <v/>
      </c>
      <c r="B1570">
        <f>IF(OHW!$G523="","","OHW")</f>
        <v/>
      </c>
      <c r="C1570" s="18">
        <f>IF(OHW!$G523="","",OHW!$A523)</f>
        <v/>
      </c>
      <c r="F1570">
        <f>IF(OHW!$G523="","",OHW!$B523&amp;"")</f>
        <v/>
      </c>
      <c r="J1570">
        <f>IF(OHW!$G523="","",OHW!$E523)</f>
        <v/>
      </c>
      <c r="K1570">
        <f>IF(OHW!$G523="","",COUNTIFS(OHW!$A$5:$A$1668,OHW!$A523,OHW!$C$5:$C$1668,OHW!$C523))</f>
        <v/>
      </c>
      <c r="L1570">
        <f>IF(OHW!$G523="","",OHW!$D523&amp;"")</f>
        <v/>
      </c>
      <c r="M1570">
        <f>IF(OHW!$G523="","",OHW!$F523)</f>
        <v/>
      </c>
      <c r="N1570">
        <f>IF(OHW!$G523="","",OHW!$G523)</f>
        <v/>
      </c>
      <c r="O1570">
        <f>IF(OHW!$G523="","",OHW!$I523)</f>
        <v/>
      </c>
      <c r="P1570">
        <f>IF(OHW!$G523="","","Final")</f>
        <v/>
      </c>
    </row>
    <row r="1571">
      <c r="A1571">
        <f>IF(OHW!$G524="","","OHW")</f>
        <v/>
      </c>
      <c r="B1571">
        <f>IF(OHW!$G524="","","OHW")</f>
        <v/>
      </c>
      <c r="C1571" s="18">
        <f>IF(OHW!$G524="","",OHW!$A524)</f>
        <v/>
      </c>
      <c r="F1571">
        <f>IF(OHW!$G524="","",OHW!$B524&amp;"")</f>
        <v/>
      </c>
      <c r="J1571">
        <f>IF(OHW!$G524="","",OHW!$E524)</f>
        <v/>
      </c>
      <c r="K1571">
        <f>IF(OHW!$G524="","",COUNTIFS(OHW!$A$5:$A$1668,OHW!$A524,OHW!$C$5:$C$1668,OHW!$C524))</f>
        <v/>
      </c>
      <c r="L1571">
        <f>IF(OHW!$G524="","",OHW!$D524&amp;"")</f>
        <v/>
      </c>
      <c r="M1571">
        <f>IF(OHW!$G524="","",OHW!$F524)</f>
        <v/>
      </c>
      <c r="N1571">
        <f>IF(OHW!$G524="","",OHW!$G524)</f>
        <v/>
      </c>
      <c r="O1571">
        <f>IF(OHW!$G524="","",OHW!$I524)</f>
        <v/>
      </c>
      <c r="P1571">
        <f>IF(OHW!$G524="","","Final")</f>
        <v/>
      </c>
    </row>
    <row r="1572">
      <c r="A1572">
        <f>IF(OHW!$G525="","","OHW")</f>
        <v/>
      </c>
      <c r="B1572">
        <f>IF(OHW!$G525="","","OHW")</f>
        <v/>
      </c>
      <c r="C1572" s="18">
        <f>IF(OHW!$G525="","",OHW!$A525)</f>
        <v/>
      </c>
      <c r="F1572">
        <f>IF(OHW!$G525="","",OHW!$B525&amp;"")</f>
        <v/>
      </c>
      <c r="J1572">
        <f>IF(OHW!$G525="","",OHW!$E525)</f>
        <v/>
      </c>
      <c r="K1572">
        <f>IF(OHW!$G525="","",COUNTIFS(OHW!$A$5:$A$1668,OHW!$A525,OHW!$C$5:$C$1668,OHW!$C525))</f>
        <v/>
      </c>
      <c r="L1572">
        <f>IF(OHW!$G525="","",OHW!$D525&amp;"")</f>
        <v/>
      </c>
      <c r="M1572">
        <f>IF(OHW!$G525="","",OHW!$F525)</f>
        <v/>
      </c>
      <c r="N1572">
        <f>IF(OHW!$G525="","",OHW!$G525)</f>
        <v/>
      </c>
      <c r="O1572">
        <f>IF(OHW!$G525="","",OHW!$I525)</f>
        <v/>
      </c>
      <c r="P1572">
        <f>IF(OHW!$G525="","","Final")</f>
        <v/>
      </c>
    </row>
    <row r="1573">
      <c r="A1573">
        <f>IF(OHW!$G526="","","OHW")</f>
        <v/>
      </c>
      <c r="B1573">
        <f>IF(OHW!$G526="","","OHW")</f>
        <v/>
      </c>
      <c r="C1573" s="18">
        <f>IF(OHW!$G526="","",OHW!$A526)</f>
        <v/>
      </c>
      <c r="F1573">
        <f>IF(OHW!$G526="","",OHW!$B526&amp;"")</f>
        <v/>
      </c>
      <c r="J1573">
        <f>IF(OHW!$G526="","",OHW!$E526)</f>
        <v/>
      </c>
      <c r="K1573">
        <f>IF(OHW!$G526="","",COUNTIFS(OHW!$A$5:$A$1668,OHW!$A526,OHW!$C$5:$C$1668,OHW!$C526))</f>
        <v/>
      </c>
      <c r="L1573">
        <f>IF(OHW!$G526="","",OHW!$D526&amp;"")</f>
        <v/>
      </c>
      <c r="M1573">
        <f>IF(OHW!$G526="","",OHW!$F526)</f>
        <v/>
      </c>
      <c r="N1573">
        <f>IF(OHW!$G526="","",OHW!$G526)</f>
        <v/>
      </c>
      <c r="O1573">
        <f>IF(OHW!$G526="","",OHW!$I526)</f>
        <v/>
      </c>
      <c r="P1573">
        <f>IF(OHW!$G526="","","Final")</f>
        <v/>
      </c>
    </row>
    <row r="1574">
      <c r="A1574">
        <f>IF(OHW!$G527="","","OHW")</f>
        <v/>
      </c>
      <c r="B1574">
        <f>IF(OHW!$G527="","","OHW")</f>
        <v/>
      </c>
      <c r="C1574" s="18">
        <f>IF(OHW!$G527="","",OHW!$A527)</f>
        <v/>
      </c>
      <c r="F1574">
        <f>IF(OHW!$G527="","",OHW!$B527&amp;"")</f>
        <v/>
      </c>
      <c r="J1574">
        <f>IF(OHW!$G527="","",OHW!$E527)</f>
        <v/>
      </c>
      <c r="K1574">
        <f>IF(OHW!$G527="","",COUNTIFS(OHW!$A$5:$A$1668,OHW!$A527,OHW!$C$5:$C$1668,OHW!$C527))</f>
        <v/>
      </c>
      <c r="L1574">
        <f>IF(OHW!$G527="","",OHW!$D527&amp;"")</f>
        <v/>
      </c>
      <c r="M1574">
        <f>IF(OHW!$G527="","",OHW!$F527)</f>
        <v/>
      </c>
      <c r="N1574">
        <f>IF(OHW!$G527="","",OHW!$G527)</f>
        <v/>
      </c>
      <c r="O1574">
        <f>IF(OHW!$G527="","",OHW!$I527)</f>
        <v/>
      </c>
      <c r="P1574">
        <f>IF(OHW!$G527="","","Final")</f>
        <v/>
      </c>
    </row>
    <row r="1575">
      <c r="A1575">
        <f>IF(OHW!$G528="","","OHW")</f>
        <v/>
      </c>
      <c r="B1575">
        <f>IF(OHW!$G528="","","OHW")</f>
        <v/>
      </c>
      <c r="C1575" s="18">
        <f>IF(OHW!$G528="","",OHW!$A528)</f>
        <v/>
      </c>
      <c r="F1575">
        <f>IF(OHW!$G528="","",OHW!$B528&amp;"")</f>
        <v/>
      </c>
      <c r="J1575">
        <f>IF(OHW!$G528="","",OHW!$E528)</f>
        <v/>
      </c>
      <c r="K1575">
        <f>IF(OHW!$G528="","",COUNTIFS(OHW!$A$5:$A$1668,OHW!$A528,OHW!$C$5:$C$1668,OHW!$C528))</f>
        <v/>
      </c>
      <c r="L1575">
        <f>IF(OHW!$G528="","",OHW!$D528&amp;"")</f>
        <v/>
      </c>
      <c r="M1575">
        <f>IF(OHW!$G528="","",OHW!$F528)</f>
        <v/>
      </c>
      <c r="N1575">
        <f>IF(OHW!$G528="","",OHW!$G528)</f>
        <v/>
      </c>
      <c r="O1575">
        <f>IF(OHW!$G528="","",OHW!$I528)</f>
        <v/>
      </c>
      <c r="P1575">
        <f>IF(OHW!$G528="","","Final")</f>
        <v/>
      </c>
    </row>
    <row r="1576">
      <c r="A1576">
        <f>IF(OHW!$G529="","","OHW")</f>
        <v/>
      </c>
      <c r="B1576">
        <f>IF(OHW!$G529="","","OHW")</f>
        <v/>
      </c>
      <c r="C1576" s="18">
        <f>IF(OHW!$G529="","",OHW!$A529)</f>
        <v/>
      </c>
      <c r="F1576">
        <f>IF(OHW!$G529="","",OHW!$B529&amp;"")</f>
        <v/>
      </c>
      <c r="J1576">
        <f>IF(OHW!$G529="","",OHW!$E529)</f>
        <v/>
      </c>
      <c r="K1576">
        <f>IF(OHW!$G529="","",COUNTIFS(OHW!$A$5:$A$1668,OHW!$A529,OHW!$C$5:$C$1668,OHW!$C529))</f>
        <v/>
      </c>
      <c r="L1576">
        <f>IF(OHW!$G529="","",OHW!$D529&amp;"")</f>
        <v/>
      </c>
      <c r="M1576">
        <f>IF(OHW!$G529="","",OHW!$F529)</f>
        <v/>
      </c>
      <c r="N1576">
        <f>IF(OHW!$G529="","",OHW!$G529)</f>
        <v/>
      </c>
      <c r="O1576">
        <f>IF(OHW!$G529="","",OHW!$I529)</f>
        <v/>
      </c>
      <c r="P1576">
        <f>IF(OHW!$G529="","","Final")</f>
        <v/>
      </c>
    </row>
    <row r="1577">
      <c r="A1577">
        <f>IF(OHW!$G530="","","OHW")</f>
        <v/>
      </c>
      <c r="B1577">
        <f>IF(OHW!$G530="","","OHW")</f>
        <v/>
      </c>
      <c r="C1577" s="18">
        <f>IF(OHW!$G530="","",OHW!$A530)</f>
        <v/>
      </c>
      <c r="F1577">
        <f>IF(OHW!$G530="","",OHW!$B530&amp;"")</f>
        <v/>
      </c>
      <c r="J1577">
        <f>IF(OHW!$G530="","",OHW!$E530)</f>
        <v/>
      </c>
      <c r="K1577">
        <f>IF(OHW!$G530="","",COUNTIFS(OHW!$A$5:$A$1668,OHW!$A530,OHW!$C$5:$C$1668,OHW!$C530))</f>
        <v/>
      </c>
      <c r="L1577">
        <f>IF(OHW!$G530="","",OHW!$D530&amp;"")</f>
        <v/>
      </c>
      <c r="M1577">
        <f>IF(OHW!$G530="","",OHW!$F530)</f>
        <v/>
      </c>
      <c r="N1577">
        <f>IF(OHW!$G530="","",OHW!$G530)</f>
        <v/>
      </c>
      <c r="O1577">
        <f>IF(OHW!$G530="","",OHW!$I530)</f>
        <v/>
      </c>
      <c r="P1577">
        <f>IF(OHW!$G530="","","Final")</f>
        <v/>
      </c>
    </row>
    <row r="1578">
      <c r="A1578">
        <f>IF(OHW!$G531="","","OHW")</f>
        <v/>
      </c>
      <c r="B1578">
        <f>IF(OHW!$G531="","","OHW")</f>
        <v/>
      </c>
      <c r="C1578" s="18">
        <f>IF(OHW!$G531="","",OHW!$A531)</f>
        <v/>
      </c>
      <c r="F1578">
        <f>IF(OHW!$G531="","",OHW!$B531&amp;"")</f>
        <v/>
      </c>
      <c r="J1578">
        <f>IF(OHW!$G531="","",OHW!$E531)</f>
        <v/>
      </c>
      <c r="K1578">
        <f>IF(OHW!$G531="","",COUNTIFS(OHW!$A$5:$A$1668,OHW!$A531,OHW!$C$5:$C$1668,OHW!$C531))</f>
        <v/>
      </c>
      <c r="L1578">
        <f>IF(OHW!$G531="","",OHW!$D531&amp;"")</f>
        <v/>
      </c>
      <c r="M1578">
        <f>IF(OHW!$G531="","",OHW!$F531)</f>
        <v/>
      </c>
      <c r="N1578">
        <f>IF(OHW!$G531="","",OHW!$G531)</f>
        <v/>
      </c>
      <c r="O1578">
        <f>IF(OHW!$G531="","",OHW!$I531)</f>
        <v/>
      </c>
      <c r="P1578">
        <f>IF(OHW!$G531="","","Final")</f>
        <v/>
      </c>
    </row>
    <row r="1579">
      <c r="A1579">
        <f>IF(OHW!$G532="","","OHW")</f>
        <v/>
      </c>
      <c r="B1579">
        <f>IF(OHW!$G532="","","OHW")</f>
        <v/>
      </c>
      <c r="C1579" s="18">
        <f>IF(OHW!$G532="","",OHW!$A532)</f>
        <v/>
      </c>
      <c r="F1579">
        <f>IF(OHW!$G532="","",OHW!$B532&amp;"")</f>
        <v/>
      </c>
      <c r="J1579">
        <f>IF(OHW!$G532="","",OHW!$E532)</f>
        <v/>
      </c>
      <c r="K1579">
        <f>IF(OHW!$G532="","",COUNTIFS(OHW!$A$5:$A$1668,OHW!$A532,OHW!$C$5:$C$1668,OHW!$C532))</f>
        <v/>
      </c>
      <c r="L1579">
        <f>IF(OHW!$G532="","",OHW!$D532&amp;"")</f>
        <v/>
      </c>
      <c r="M1579">
        <f>IF(OHW!$G532="","",OHW!$F532)</f>
        <v/>
      </c>
      <c r="N1579">
        <f>IF(OHW!$G532="","",OHW!$G532)</f>
        <v/>
      </c>
      <c r="O1579">
        <f>IF(OHW!$G532="","",OHW!$I532)</f>
        <v/>
      </c>
      <c r="P1579">
        <f>IF(OHW!$G532="","","Final")</f>
        <v/>
      </c>
    </row>
    <row r="1580">
      <c r="A1580">
        <f>IF(OHW!$G533="","","OHW")</f>
        <v/>
      </c>
      <c r="B1580">
        <f>IF(OHW!$G533="","","OHW")</f>
        <v/>
      </c>
      <c r="C1580" s="18">
        <f>IF(OHW!$G533="","",OHW!$A533)</f>
        <v/>
      </c>
      <c r="F1580">
        <f>IF(OHW!$G533="","",OHW!$B533&amp;"")</f>
        <v/>
      </c>
      <c r="J1580">
        <f>IF(OHW!$G533="","",OHW!$E533)</f>
        <v/>
      </c>
      <c r="K1580">
        <f>IF(OHW!$G533="","",COUNTIFS(OHW!$A$5:$A$1668,OHW!$A533,OHW!$C$5:$C$1668,OHW!$C533))</f>
        <v/>
      </c>
      <c r="L1580">
        <f>IF(OHW!$G533="","",OHW!$D533&amp;"")</f>
        <v/>
      </c>
      <c r="M1580">
        <f>IF(OHW!$G533="","",OHW!$F533)</f>
        <v/>
      </c>
      <c r="N1580">
        <f>IF(OHW!$G533="","",OHW!$G533)</f>
        <v/>
      </c>
      <c r="O1580">
        <f>IF(OHW!$G533="","",OHW!$I533)</f>
        <v/>
      </c>
      <c r="P1580">
        <f>IF(OHW!$G533="","","Final")</f>
        <v/>
      </c>
    </row>
    <row r="1581">
      <c r="A1581">
        <f>IF(OHW!$G534="","","OHW")</f>
        <v/>
      </c>
      <c r="B1581">
        <f>IF(OHW!$G534="","","OHW")</f>
        <v/>
      </c>
      <c r="C1581" s="18">
        <f>IF(OHW!$G534="","",OHW!$A534)</f>
        <v/>
      </c>
      <c r="F1581">
        <f>IF(OHW!$G534="","",OHW!$B534&amp;"")</f>
        <v/>
      </c>
      <c r="J1581">
        <f>IF(OHW!$G534="","",OHW!$E534)</f>
        <v/>
      </c>
      <c r="K1581">
        <f>IF(OHW!$G534="","",COUNTIFS(OHW!$A$5:$A$1668,OHW!$A534,OHW!$C$5:$C$1668,OHW!$C534))</f>
        <v/>
      </c>
      <c r="L1581">
        <f>IF(OHW!$G534="","",OHW!$D534&amp;"")</f>
        <v/>
      </c>
      <c r="M1581">
        <f>IF(OHW!$G534="","",OHW!$F534)</f>
        <v/>
      </c>
      <c r="N1581">
        <f>IF(OHW!$G534="","",OHW!$G534)</f>
        <v/>
      </c>
      <c r="O1581">
        <f>IF(OHW!$G534="","",OHW!$I534)</f>
        <v/>
      </c>
      <c r="P1581">
        <f>IF(OHW!$G534="","","Final")</f>
        <v/>
      </c>
    </row>
    <row r="1582">
      <c r="A1582">
        <f>IF(OHW!$G535="","","OHW")</f>
        <v/>
      </c>
      <c r="B1582">
        <f>IF(OHW!$G535="","","OHW")</f>
        <v/>
      </c>
      <c r="C1582" s="18">
        <f>IF(OHW!$G535="","",OHW!$A535)</f>
        <v/>
      </c>
      <c r="F1582">
        <f>IF(OHW!$G535="","",OHW!$B535&amp;"")</f>
        <v/>
      </c>
      <c r="J1582">
        <f>IF(OHW!$G535="","",OHW!$E535)</f>
        <v/>
      </c>
      <c r="K1582">
        <f>IF(OHW!$G535="","",COUNTIFS(OHW!$A$5:$A$1668,OHW!$A535,OHW!$C$5:$C$1668,OHW!$C535))</f>
        <v/>
      </c>
      <c r="L1582">
        <f>IF(OHW!$G535="","",OHW!$D535&amp;"")</f>
        <v/>
      </c>
      <c r="M1582">
        <f>IF(OHW!$G535="","",OHW!$F535)</f>
        <v/>
      </c>
      <c r="N1582">
        <f>IF(OHW!$G535="","",OHW!$G535)</f>
        <v/>
      </c>
      <c r="O1582">
        <f>IF(OHW!$G535="","",OHW!$I535)</f>
        <v/>
      </c>
      <c r="P1582">
        <f>IF(OHW!$G535="","","Final")</f>
        <v/>
      </c>
    </row>
    <row r="1583">
      <c r="A1583">
        <f>IF(OHW!$G536="","","OHW")</f>
        <v/>
      </c>
      <c r="B1583">
        <f>IF(OHW!$G536="","","OHW")</f>
        <v/>
      </c>
      <c r="C1583" s="18">
        <f>IF(OHW!$G536="","",OHW!$A536)</f>
        <v/>
      </c>
      <c r="F1583">
        <f>IF(OHW!$G536="","",OHW!$B536&amp;"")</f>
        <v/>
      </c>
      <c r="J1583">
        <f>IF(OHW!$G536="","",OHW!$E536)</f>
        <v/>
      </c>
      <c r="K1583">
        <f>IF(OHW!$G536="","",COUNTIFS(OHW!$A$5:$A$1668,OHW!$A536,OHW!$C$5:$C$1668,OHW!$C536))</f>
        <v/>
      </c>
      <c r="L1583">
        <f>IF(OHW!$G536="","",OHW!$D536&amp;"")</f>
        <v/>
      </c>
      <c r="M1583">
        <f>IF(OHW!$G536="","",OHW!$F536)</f>
        <v/>
      </c>
      <c r="N1583">
        <f>IF(OHW!$G536="","",OHW!$G536)</f>
        <v/>
      </c>
      <c r="O1583">
        <f>IF(OHW!$G536="","",OHW!$I536)</f>
        <v/>
      </c>
      <c r="P1583">
        <f>IF(OHW!$G536="","","Final")</f>
        <v/>
      </c>
    </row>
    <row r="1584">
      <c r="A1584">
        <f>IF(OHW!$G537="","","OHW")</f>
        <v/>
      </c>
      <c r="B1584">
        <f>IF(OHW!$G537="","","OHW")</f>
        <v/>
      </c>
      <c r="C1584" s="18">
        <f>IF(OHW!$G537="","",OHW!$A537)</f>
        <v/>
      </c>
      <c r="F1584">
        <f>IF(OHW!$G537="","",OHW!$B537&amp;"")</f>
        <v/>
      </c>
      <c r="J1584">
        <f>IF(OHW!$G537="","",OHW!$E537)</f>
        <v/>
      </c>
      <c r="K1584">
        <f>IF(OHW!$G537="","",COUNTIFS(OHW!$A$5:$A$1668,OHW!$A537,OHW!$C$5:$C$1668,OHW!$C537))</f>
        <v/>
      </c>
      <c r="L1584">
        <f>IF(OHW!$G537="","",OHW!$D537&amp;"")</f>
        <v/>
      </c>
      <c r="M1584">
        <f>IF(OHW!$G537="","",OHW!$F537)</f>
        <v/>
      </c>
      <c r="N1584">
        <f>IF(OHW!$G537="","",OHW!$G537)</f>
        <v/>
      </c>
      <c r="O1584">
        <f>IF(OHW!$G537="","",OHW!$I537)</f>
        <v/>
      </c>
      <c r="P1584">
        <f>IF(OHW!$G537="","","Final")</f>
        <v/>
      </c>
    </row>
    <row r="1585">
      <c r="A1585">
        <f>IF(OHW!$G538="","","OHW")</f>
        <v/>
      </c>
      <c r="B1585">
        <f>IF(OHW!$G538="","","OHW")</f>
        <v/>
      </c>
      <c r="C1585" s="18">
        <f>IF(OHW!$G538="","",OHW!$A538)</f>
        <v/>
      </c>
      <c r="F1585">
        <f>IF(OHW!$G538="","",OHW!$B538&amp;"")</f>
        <v/>
      </c>
      <c r="J1585">
        <f>IF(OHW!$G538="","",OHW!$E538)</f>
        <v/>
      </c>
      <c r="K1585">
        <f>IF(OHW!$G538="","",COUNTIFS(OHW!$A$5:$A$1668,OHW!$A538,OHW!$C$5:$C$1668,OHW!$C538))</f>
        <v/>
      </c>
      <c r="L1585">
        <f>IF(OHW!$G538="","",OHW!$D538&amp;"")</f>
        <v/>
      </c>
      <c r="M1585">
        <f>IF(OHW!$G538="","",OHW!$F538)</f>
        <v/>
      </c>
      <c r="N1585">
        <f>IF(OHW!$G538="","",OHW!$G538)</f>
        <v/>
      </c>
      <c r="O1585">
        <f>IF(OHW!$G538="","",OHW!$I538)</f>
        <v/>
      </c>
      <c r="P1585">
        <f>IF(OHW!$G538="","","Final")</f>
        <v/>
      </c>
    </row>
    <row r="1586">
      <c r="A1586">
        <f>IF(OHW!$G539="","","OHW")</f>
        <v/>
      </c>
      <c r="B1586">
        <f>IF(OHW!$G539="","","OHW")</f>
        <v/>
      </c>
      <c r="C1586" s="18">
        <f>IF(OHW!$G539="","",OHW!$A539)</f>
        <v/>
      </c>
      <c r="F1586">
        <f>IF(OHW!$G539="","",OHW!$B539&amp;"")</f>
        <v/>
      </c>
      <c r="J1586">
        <f>IF(OHW!$G539="","",OHW!$E539)</f>
        <v/>
      </c>
      <c r="K1586">
        <f>IF(OHW!$G539="","",COUNTIFS(OHW!$A$5:$A$1668,OHW!$A539,OHW!$C$5:$C$1668,OHW!$C539))</f>
        <v/>
      </c>
      <c r="L1586">
        <f>IF(OHW!$G539="","",OHW!$D539&amp;"")</f>
        <v/>
      </c>
      <c r="M1586">
        <f>IF(OHW!$G539="","",OHW!$F539)</f>
        <v/>
      </c>
      <c r="N1586">
        <f>IF(OHW!$G539="","",OHW!$G539)</f>
        <v/>
      </c>
      <c r="O1586">
        <f>IF(OHW!$G539="","",OHW!$I539)</f>
        <v/>
      </c>
      <c r="P1586">
        <f>IF(OHW!$G539="","","Final")</f>
        <v/>
      </c>
    </row>
    <row r="1587">
      <c r="A1587">
        <f>IF(OHW!$G540="","","OHW")</f>
        <v/>
      </c>
      <c r="B1587">
        <f>IF(OHW!$G540="","","OHW")</f>
        <v/>
      </c>
      <c r="C1587" s="18">
        <f>IF(OHW!$G540="","",OHW!$A540)</f>
        <v/>
      </c>
      <c r="F1587">
        <f>IF(OHW!$G540="","",OHW!$B540&amp;"")</f>
        <v/>
      </c>
      <c r="J1587">
        <f>IF(OHW!$G540="","",OHW!$E540)</f>
        <v/>
      </c>
      <c r="K1587">
        <f>IF(OHW!$G540="","",COUNTIFS(OHW!$A$5:$A$1668,OHW!$A540,OHW!$C$5:$C$1668,OHW!$C540))</f>
        <v/>
      </c>
      <c r="L1587">
        <f>IF(OHW!$G540="","",OHW!$D540&amp;"")</f>
        <v/>
      </c>
      <c r="M1587">
        <f>IF(OHW!$G540="","",OHW!$F540)</f>
        <v/>
      </c>
      <c r="N1587">
        <f>IF(OHW!$G540="","",OHW!$G540)</f>
        <v/>
      </c>
      <c r="O1587">
        <f>IF(OHW!$G540="","",OHW!$I540)</f>
        <v/>
      </c>
      <c r="P1587">
        <f>IF(OHW!$G540="","","Final")</f>
        <v/>
      </c>
    </row>
    <row r="1588">
      <c r="A1588">
        <f>IF(OHW!$G541="","","OHW")</f>
        <v/>
      </c>
      <c r="B1588">
        <f>IF(OHW!$G541="","","OHW")</f>
        <v/>
      </c>
      <c r="C1588" s="18">
        <f>IF(OHW!$G541="","",OHW!$A541)</f>
        <v/>
      </c>
      <c r="F1588">
        <f>IF(OHW!$G541="","",OHW!$B541&amp;"")</f>
        <v/>
      </c>
      <c r="J1588">
        <f>IF(OHW!$G541="","",OHW!$E541)</f>
        <v/>
      </c>
      <c r="K1588">
        <f>IF(OHW!$G541="","",COUNTIFS(OHW!$A$5:$A$1668,OHW!$A541,OHW!$C$5:$C$1668,OHW!$C541))</f>
        <v/>
      </c>
      <c r="L1588">
        <f>IF(OHW!$G541="","",OHW!$D541&amp;"")</f>
        <v/>
      </c>
      <c r="M1588">
        <f>IF(OHW!$G541="","",OHW!$F541)</f>
        <v/>
      </c>
      <c r="N1588">
        <f>IF(OHW!$G541="","",OHW!$G541)</f>
        <v/>
      </c>
      <c r="O1588">
        <f>IF(OHW!$G541="","",OHW!$I541)</f>
        <v/>
      </c>
      <c r="P1588">
        <f>IF(OHW!$G541="","","Final")</f>
        <v/>
      </c>
    </row>
    <row r="1589">
      <c r="A1589">
        <f>IF(OHW!$G542="","","OHW")</f>
        <v/>
      </c>
      <c r="B1589">
        <f>IF(OHW!$G542="","","OHW")</f>
        <v/>
      </c>
      <c r="C1589" s="18">
        <f>IF(OHW!$G542="","",OHW!$A542)</f>
        <v/>
      </c>
      <c r="F1589">
        <f>IF(OHW!$G542="","",OHW!$B542&amp;"")</f>
        <v/>
      </c>
      <c r="J1589">
        <f>IF(OHW!$G542="","",OHW!$E542)</f>
        <v/>
      </c>
      <c r="K1589">
        <f>IF(OHW!$G542="","",COUNTIFS(OHW!$A$5:$A$1668,OHW!$A542,OHW!$C$5:$C$1668,OHW!$C542))</f>
        <v/>
      </c>
      <c r="L1589">
        <f>IF(OHW!$G542="","",OHW!$D542&amp;"")</f>
        <v/>
      </c>
      <c r="M1589">
        <f>IF(OHW!$G542="","",OHW!$F542)</f>
        <v/>
      </c>
      <c r="N1589">
        <f>IF(OHW!$G542="","",OHW!$G542)</f>
        <v/>
      </c>
      <c r="O1589">
        <f>IF(OHW!$G542="","",OHW!$I542)</f>
        <v/>
      </c>
      <c r="P1589">
        <f>IF(OHW!$G542="","","Final")</f>
        <v/>
      </c>
    </row>
    <row r="1590">
      <c r="A1590">
        <f>IF(OHW!$G543="","","OHW")</f>
        <v/>
      </c>
      <c r="B1590">
        <f>IF(OHW!$G543="","","OHW")</f>
        <v/>
      </c>
      <c r="C1590" s="18">
        <f>IF(OHW!$G543="","",OHW!$A543)</f>
        <v/>
      </c>
      <c r="F1590">
        <f>IF(OHW!$G543="","",OHW!$B543&amp;"")</f>
        <v/>
      </c>
      <c r="J1590">
        <f>IF(OHW!$G543="","",OHW!$E543)</f>
        <v/>
      </c>
      <c r="K1590">
        <f>IF(OHW!$G543="","",COUNTIFS(OHW!$A$5:$A$1668,OHW!$A543,OHW!$C$5:$C$1668,OHW!$C543))</f>
        <v/>
      </c>
      <c r="L1590">
        <f>IF(OHW!$G543="","",OHW!$D543&amp;"")</f>
        <v/>
      </c>
      <c r="M1590">
        <f>IF(OHW!$G543="","",OHW!$F543)</f>
        <v/>
      </c>
      <c r="N1590">
        <f>IF(OHW!$G543="","",OHW!$G543)</f>
        <v/>
      </c>
      <c r="O1590">
        <f>IF(OHW!$G543="","",OHW!$I543)</f>
        <v/>
      </c>
      <c r="P1590">
        <f>IF(OHW!$G543="","","Final")</f>
        <v/>
      </c>
    </row>
    <row r="1591">
      <c r="A1591">
        <f>IF(OHW!$G544="","","OHW")</f>
        <v/>
      </c>
      <c r="B1591">
        <f>IF(OHW!$G544="","","OHW")</f>
        <v/>
      </c>
      <c r="C1591" s="18">
        <f>IF(OHW!$G544="","",OHW!$A544)</f>
        <v/>
      </c>
      <c r="F1591">
        <f>IF(OHW!$G544="","",OHW!$B544&amp;"")</f>
        <v/>
      </c>
      <c r="J1591">
        <f>IF(OHW!$G544="","",OHW!$E544)</f>
        <v/>
      </c>
      <c r="K1591">
        <f>IF(OHW!$G544="","",COUNTIFS(OHW!$A$5:$A$1668,OHW!$A544,OHW!$C$5:$C$1668,OHW!$C544))</f>
        <v/>
      </c>
      <c r="L1591">
        <f>IF(OHW!$G544="","",OHW!$D544&amp;"")</f>
        <v/>
      </c>
      <c r="M1591">
        <f>IF(OHW!$G544="","",OHW!$F544)</f>
        <v/>
      </c>
      <c r="N1591">
        <f>IF(OHW!$G544="","",OHW!$G544)</f>
        <v/>
      </c>
      <c r="O1591">
        <f>IF(OHW!$G544="","",OHW!$I544)</f>
        <v/>
      </c>
      <c r="P1591">
        <f>IF(OHW!$G544="","","Final")</f>
        <v/>
      </c>
    </row>
    <row r="1592">
      <c r="A1592">
        <f>IF(OHW!$G545="","","OHW")</f>
        <v/>
      </c>
      <c r="B1592">
        <f>IF(OHW!$G545="","","OHW")</f>
        <v/>
      </c>
      <c r="C1592" s="18">
        <f>IF(OHW!$G545="","",OHW!$A545)</f>
        <v/>
      </c>
      <c r="F1592">
        <f>IF(OHW!$G545="","",OHW!$B545&amp;"")</f>
        <v/>
      </c>
      <c r="J1592">
        <f>IF(OHW!$G545="","",OHW!$E545)</f>
        <v/>
      </c>
      <c r="K1592">
        <f>IF(OHW!$G545="","",COUNTIFS(OHW!$A$5:$A$1668,OHW!$A545,OHW!$C$5:$C$1668,OHW!$C545))</f>
        <v/>
      </c>
      <c r="L1592">
        <f>IF(OHW!$G545="","",OHW!$D545&amp;"")</f>
        <v/>
      </c>
      <c r="M1592">
        <f>IF(OHW!$G545="","",OHW!$F545)</f>
        <v/>
      </c>
      <c r="N1592">
        <f>IF(OHW!$G545="","",OHW!$G545)</f>
        <v/>
      </c>
      <c r="O1592">
        <f>IF(OHW!$G545="","",OHW!$I545)</f>
        <v/>
      </c>
      <c r="P1592">
        <f>IF(OHW!$G545="","","Final")</f>
        <v/>
      </c>
    </row>
    <row r="1593">
      <c r="A1593">
        <f>IF(OHW!$G546="","","OHW")</f>
        <v/>
      </c>
      <c r="B1593">
        <f>IF(OHW!$G546="","","OHW")</f>
        <v/>
      </c>
      <c r="C1593" s="18">
        <f>IF(OHW!$G546="","",OHW!$A546)</f>
        <v/>
      </c>
      <c r="F1593">
        <f>IF(OHW!$G546="","",OHW!$B546&amp;"")</f>
        <v/>
      </c>
      <c r="J1593">
        <f>IF(OHW!$G546="","",OHW!$E546)</f>
        <v/>
      </c>
      <c r="K1593">
        <f>IF(OHW!$G546="","",COUNTIFS(OHW!$A$5:$A$1668,OHW!$A546,OHW!$C$5:$C$1668,OHW!$C546))</f>
        <v/>
      </c>
      <c r="L1593">
        <f>IF(OHW!$G546="","",OHW!$D546&amp;"")</f>
        <v/>
      </c>
      <c r="M1593">
        <f>IF(OHW!$G546="","",OHW!$F546)</f>
        <v/>
      </c>
      <c r="N1593">
        <f>IF(OHW!$G546="","",OHW!$G546)</f>
        <v/>
      </c>
      <c r="O1593">
        <f>IF(OHW!$G546="","",OHW!$I546)</f>
        <v/>
      </c>
      <c r="P1593">
        <f>IF(OHW!$G546="","","Final")</f>
        <v/>
      </c>
    </row>
    <row r="1594">
      <c r="A1594">
        <f>IF(OHW!$G547="","","OHW")</f>
        <v/>
      </c>
      <c r="B1594">
        <f>IF(OHW!$G547="","","OHW")</f>
        <v/>
      </c>
      <c r="C1594" s="18">
        <f>IF(OHW!$G547="","",OHW!$A547)</f>
        <v/>
      </c>
      <c r="F1594">
        <f>IF(OHW!$G547="","",OHW!$B547&amp;"")</f>
        <v/>
      </c>
      <c r="J1594">
        <f>IF(OHW!$G547="","",OHW!$E547)</f>
        <v/>
      </c>
      <c r="K1594">
        <f>IF(OHW!$G547="","",COUNTIFS(OHW!$A$5:$A$1668,OHW!$A547,OHW!$C$5:$C$1668,OHW!$C547))</f>
        <v/>
      </c>
      <c r="L1594">
        <f>IF(OHW!$G547="","",OHW!$D547&amp;"")</f>
        <v/>
      </c>
      <c r="M1594">
        <f>IF(OHW!$G547="","",OHW!$F547)</f>
        <v/>
      </c>
      <c r="N1594">
        <f>IF(OHW!$G547="","",OHW!$G547)</f>
        <v/>
      </c>
      <c r="O1594">
        <f>IF(OHW!$G547="","",OHW!$I547)</f>
        <v/>
      </c>
      <c r="P1594">
        <f>IF(OHW!$G547="","","Final")</f>
        <v/>
      </c>
    </row>
    <row r="1595">
      <c r="A1595">
        <f>IF(OHW!$G548="","","OHW")</f>
        <v/>
      </c>
      <c r="B1595">
        <f>IF(OHW!$G548="","","OHW")</f>
        <v/>
      </c>
      <c r="C1595" s="18">
        <f>IF(OHW!$G548="","",OHW!$A548)</f>
        <v/>
      </c>
      <c r="F1595">
        <f>IF(OHW!$G548="","",OHW!$B548&amp;"")</f>
        <v/>
      </c>
      <c r="J1595">
        <f>IF(OHW!$G548="","",OHW!$E548)</f>
        <v/>
      </c>
      <c r="K1595">
        <f>IF(OHW!$G548="","",COUNTIFS(OHW!$A$5:$A$1668,OHW!$A548,OHW!$C$5:$C$1668,OHW!$C548))</f>
        <v/>
      </c>
      <c r="L1595">
        <f>IF(OHW!$G548="","",OHW!$D548&amp;"")</f>
        <v/>
      </c>
      <c r="M1595">
        <f>IF(OHW!$G548="","",OHW!$F548)</f>
        <v/>
      </c>
      <c r="N1595">
        <f>IF(OHW!$G548="","",OHW!$G548)</f>
        <v/>
      </c>
      <c r="O1595">
        <f>IF(OHW!$G548="","",OHW!$I548)</f>
        <v/>
      </c>
      <c r="P1595">
        <f>IF(OHW!$G548="","","Final")</f>
        <v/>
      </c>
    </row>
    <row r="1596">
      <c r="A1596">
        <f>IF(OHW!$G549="","","OHW")</f>
        <v/>
      </c>
      <c r="B1596">
        <f>IF(OHW!$G549="","","OHW")</f>
        <v/>
      </c>
      <c r="C1596" s="18">
        <f>IF(OHW!$G549="","",OHW!$A549)</f>
        <v/>
      </c>
      <c r="F1596">
        <f>IF(OHW!$G549="","",OHW!$B549&amp;"")</f>
        <v/>
      </c>
      <c r="J1596">
        <f>IF(OHW!$G549="","",OHW!$E549)</f>
        <v/>
      </c>
      <c r="K1596">
        <f>IF(OHW!$G549="","",COUNTIFS(OHW!$A$5:$A$1668,OHW!$A549,OHW!$C$5:$C$1668,OHW!$C549))</f>
        <v/>
      </c>
      <c r="L1596">
        <f>IF(OHW!$G549="","",OHW!$D549&amp;"")</f>
        <v/>
      </c>
      <c r="M1596">
        <f>IF(OHW!$G549="","",OHW!$F549)</f>
        <v/>
      </c>
      <c r="N1596">
        <f>IF(OHW!$G549="","",OHW!$G549)</f>
        <v/>
      </c>
      <c r="O1596">
        <f>IF(OHW!$G549="","",OHW!$I549)</f>
        <v/>
      </c>
      <c r="P1596">
        <f>IF(OHW!$G549="","","Final")</f>
        <v/>
      </c>
    </row>
    <row r="1597">
      <c r="A1597">
        <f>IF(OHW!$G550="","","OHW")</f>
        <v/>
      </c>
      <c r="B1597">
        <f>IF(OHW!$G550="","","OHW")</f>
        <v/>
      </c>
      <c r="C1597" s="18">
        <f>IF(OHW!$G550="","",OHW!$A550)</f>
        <v/>
      </c>
      <c r="F1597">
        <f>IF(OHW!$G550="","",OHW!$B550&amp;"")</f>
        <v/>
      </c>
      <c r="J1597">
        <f>IF(OHW!$G550="","",OHW!$E550)</f>
        <v/>
      </c>
      <c r="K1597">
        <f>IF(OHW!$G550="","",COUNTIFS(OHW!$A$5:$A$1668,OHW!$A550,OHW!$C$5:$C$1668,OHW!$C550))</f>
        <v/>
      </c>
      <c r="L1597">
        <f>IF(OHW!$G550="","",OHW!$D550&amp;"")</f>
        <v/>
      </c>
      <c r="M1597">
        <f>IF(OHW!$G550="","",OHW!$F550)</f>
        <v/>
      </c>
      <c r="N1597">
        <f>IF(OHW!$G550="","",OHW!$G550)</f>
        <v/>
      </c>
      <c r="O1597">
        <f>IF(OHW!$G550="","",OHW!$I550)</f>
        <v/>
      </c>
      <c r="P1597">
        <f>IF(OHW!$G550="","","Final")</f>
        <v/>
      </c>
    </row>
    <row r="1598">
      <c r="A1598">
        <f>IF(OHW!$G551="","","OHW")</f>
        <v/>
      </c>
      <c r="B1598">
        <f>IF(OHW!$G551="","","OHW")</f>
        <v/>
      </c>
      <c r="C1598" s="18">
        <f>IF(OHW!$G551="","",OHW!$A551)</f>
        <v/>
      </c>
      <c r="F1598">
        <f>IF(OHW!$G551="","",OHW!$B551&amp;"")</f>
        <v/>
      </c>
      <c r="J1598">
        <f>IF(OHW!$G551="","",OHW!$E551)</f>
        <v/>
      </c>
      <c r="K1598">
        <f>IF(OHW!$G551="","",COUNTIFS(OHW!$A$5:$A$1668,OHW!$A551,OHW!$C$5:$C$1668,OHW!$C551))</f>
        <v/>
      </c>
      <c r="L1598">
        <f>IF(OHW!$G551="","",OHW!$D551&amp;"")</f>
        <v/>
      </c>
      <c r="M1598">
        <f>IF(OHW!$G551="","",OHW!$F551)</f>
        <v/>
      </c>
      <c r="N1598">
        <f>IF(OHW!$G551="","",OHW!$G551)</f>
        <v/>
      </c>
      <c r="O1598">
        <f>IF(OHW!$G551="","",OHW!$I551)</f>
        <v/>
      </c>
      <c r="P1598">
        <f>IF(OHW!$G551="","","Final")</f>
        <v/>
      </c>
    </row>
    <row r="1599">
      <c r="A1599">
        <f>IF(OHW!$G552="","","OHW")</f>
        <v/>
      </c>
      <c r="B1599">
        <f>IF(OHW!$G552="","","OHW")</f>
        <v/>
      </c>
      <c r="C1599" s="18">
        <f>IF(OHW!$G552="","",OHW!$A552)</f>
        <v/>
      </c>
      <c r="F1599">
        <f>IF(OHW!$G552="","",OHW!$B552&amp;"")</f>
        <v/>
      </c>
      <c r="J1599">
        <f>IF(OHW!$G552="","",OHW!$E552)</f>
        <v/>
      </c>
      <c r="K1599">
        <f>IF(OHW!$G552="","",COUNTIFS(OHW!$A$5:$A$1668,OHW!$A552,OHW!$C$5:$C$1668,OHW!$C552))</f>
        <v/>
      </c>
      <c r="L1599">
        <f>IF(OHW!$G552="","",OHW!$D552&amp;"")</f>
        <v/>
      </c>
      <c r="M1599">
        <f>IF(OHW!$G552="","",OHW!$F552)</f>
        <v/>
      </c>
      <c r="N1599">
        <f>IF(OHW!$G552="","",OHW!$G552)</f>
        <v/>
      </c>
      <c r="O1599">
        <f>IF(OHW!$G552="","",OHW!$I552)</f>
        <v/>
      </c>
      <c r="P1599">
        <f>IF(OHW!$G552="","","Final")</f>
        <v/>
      </c>
    </row>
    <row r="1600">
      <c r="A1600">
        <f>IF(OHW!$G553="","","OHW")</f>
        <v/>
      </c>
      <c r="B1600">
        <f>IF(OHW!$G553="","","OHW")</f>
        <v/>
      </c>
      <c r="C1600" s="18">
        <f>IF(OHW!$G553="","",OHW!$A553)</f>
        <v/>
      </c>
      <c r="F1600">
        <f>IF(OHW!$G553="","",OHW!$B553&amp;"")</f>
        <v/>
      </c>
      <c r="J1600">
        <f>IF(OHW!$G553="","",OHW!$E553)</f>
        <v/>
      </c>
      <c r="K1600">
        <f>IF(OHW!$G553="","",COUNTIFS(OHW!$A$5:$A$1668,OHW!$A553,OHW!$C$5:$C$1668,OHW!$C553))</f>
        <v/>
      </c>
      <c r="L1600">
        <f>IF(OHW!$G553="","",OHW!$D553&amp;"")</f>
        <v/>
      </c>
      <c r="M1600">
        <f>IF(OHW!$G553="","",OHW!$F553)</f>
        <v/>
      </c>
      <c r="N1600">
        <f>IF(OHW!$G553="","",OHW!$G553)</f>
        <v/>
      </c>
      <c r="O1600">
        <f>IF(OHW!$G553="","",OHW!$I553)</f>
        <v/>
      </c>
      <c r="P1600">
        <f>IF(OHW!$G553="","","Final")</f>
        <v/>
      </c>
    </row>
    <row r="1601">
      <c r="A1601">
        <f>IF(OHW!$G554="","","OHW")</f>
        <v/>
      </c>
      <c r="B1601">
        <f>IF(OHW!$G554="","","OHW")</f>
        <v/>
      </c>
      <c r="C1601" s="18">
        <f>IF(OHW!$G554="","",OHW!$A554)</f>
        <v/>
      </c>
      <c r="F1601">
        <f>IF(OHW!$G554="","",OHW!$B554&amp;"")</f>
        <v/>
      </c>
      <c r="J1601">
        <f>IF(OHW!$G554="","",OHW!$E554)</f>
        <v/>
      </c>
      <c r="K1601">
        <f>IF(OHW!$G554="","",COUNTIFS(OHW!$A$5:$A$1668,OHW!$A554,OHW!$C$5:$C$1668,OHW!$C554))</f>
        <v/>
      </c>
      <c r="L1601">
        <f>IF(OHW!$G554="","",OHW!$D554&amp;"")</f>
        <v/>
      </c>
      <c r="M1601">
        <f>IF(OHW!$G554="","",OHW!$F554)</f>
        <v/>
      </c>
      <c r="N1601">
        <f>IF(OHW!$G554="","",OHW!$G554)</f>
        <v/>
      </c>
      <c r="O1601">
        <f>IF(OHW!$G554="","",OHW!$I554)</f>
        <v/>
      </c>
      <c r="P1601">
        <f>IF(OHW!$G554="","","Final")</f>
        <v/>
      </c>
    </row>
    <row r="1602">
      <c r="A1602">
        <f>IF(OHW!$G555="","","OHW")</f>
        <v/>
      </c>
      <c r="B1602">
        <f>IF(OHW!$G555="","","OHW")</f>
        <v/>
      </c>
      <c r="C1602" s="18">
        <f>IF(OHW!$G555="","",OHW!$A555)</f>
        <v/>
      </c>
      <c r="F1602">
        <f>IF(OHW!$G555="","",OHW!$B555&amp;"")</f>
        <v/>
      </c>
      <c r="J1602">
        <f>IF(OHW!$G555="","",OHW!$E555)</f>
        <v/>
      </c>
      <c r="K1602">
        <f>IF(OHW!$G555="","",COUNTIFS(OHW!$A$5:$A$1668,OHW!$A555,OHW!$C$5:$C$1668,OHW!$C555))</f>
        <v/>
      </c>
      <c r="L1602">
        <f>IF(OHW!$G555="","",OHW!$D555&amp;"")</f>
        <v/>
      </c>
      <c r="M1602">
        <f>IF(OHW!$G555="","",OHW!$F555)</f>
        <v/>
      </c>
      <c r="N1602">
        <f>IF(OHW!$G555="","",OHW!$G555)</f>
        <v/>
      </c>
      <c r="O1602">
        <f>IF(OHW!$G555="","",OHW!$I555)</f>
        <v/>
      </c>
      <c r="P1602">
        <f>IF(OHW!$G555="","","Final")</f>
        <v/>
      </c>
    </row>
    <row r="1603">
      <c r="A1603">
        <f>IF(OHW!$G556="","","OHW")</f>
        <v/>
      </c>
      <c r="B1603">
        <f>IF(OHW!$G556="","","OHW")</f>
        <v/>
      </c>
      <c r="C1603" s="18">
        <f>IF(OHW!$G556="","",OHW!$A556)</f>
        <v/>
      </c>
      <c r="F1603">
        <f>IF(OHW!$G556="","",OHW!$B556&amp;"")</f>
        <v/>
      </c>
      <c r="J1603">
        <f>IF(OHW!$G556="","",OHW!$E556)</f>
        <v/>
      </c>
      <c r="K1603">
        <f>IF(OHW!$G556="","",COUNTIFS(OHW!$A$5:$A$1668,OHW!$A556,OHW!$C$5:$C$1668,OHW!$C556))</f>
        <v/>
      </c>
      <c r="L1603">
        <f>IF(OHW!$G556="","",OHW!$D556&amp;"")</f>
        <v/>
      </c>
      <c r="M1603">
        <f>IF(OHW!$G556="","",OHW!$F556)</f>
        <v/>
      </c>
      <c r="N1603">
        <f>IF(OHW!$G556="","",OHW!$G556)</f>
        <v/>
      </c>
      <c r="O1603">
        <f>IF(OHW!$G556="","",OHW!$I556)</f>
        <v/>
      </c>
      <c r="P1603">
        <f>IF(OHW!$G556="","","Final")</f>
        <v/>
      </c>
    </row>
    <row r="1604">
      <c r="A1604">
        <f>IF(OHW!$G557="","","OHW")</f>
        <v/>
      </c>
      <c r="B1604">
        <f>IF(OHW!$G557="","","OHW")</f>
        <v/>
      </c>
      <c r="C1604" s="18">
        <f>IF(OHW!$G557="","",OHW!$A557)</f>
        <v/>
      </c>
      <c r="F1604">
        <f>IF(OHW!$G557="","",OHW!$B557&amp;"")</f>
        <v/>
      </c>
      <c r="J1604">
        <f>IF(OHW!$G557="","",OHW!$E557)</f>
        <v/>
      </c>
      <c r="K1604">
        <f>IF(OHW!$G557="","",COUNTIFS(OHW!$A$5:$A$1668,OHW!$A557,OHW!$C$5:$C$1668,OHW!$C557))</f>
        <v/>
      </c>
      <c r="L1604">
        <f>IF(OHW!$G557="","",OHW!$D557&amp;"")</f>
        <v/>
      </c>
      <c r="M1604">
        <f>IF(OHW!$G557="","",OHW!$F557)</f>
        <v/>
      </c>
      <c r="N1604">
        <f>IF(OHW!$G557="","",OHW!$G557)</f>
        <v/>
      </c>
      <c r="O1604">
        <f>IF(OHW!$G557="","",OHW!$I557)</f>
        <v/>
      </c>
      <c r="P1604">
        <f>IF(OHW!$G557="","","Final")</f>
        <v/>
      </c>
    </row>
    <row r="1605">
      <c r="A1605">
        <f>IF(OHW!$G558="","","OHW")</f>
        <v/>
      </c>
      <c r="B1605">
        <f>IF(OHW!$G558="","","OHW")</f>
        <v/>
      </c>
      <c r="C1605" s="18">
        <f>IF(OHW!$G558="","",OHW!$A558)</f>
        <v/>
      </c>
      <c r="F1605">
        <f>IF(OHW!$G558="","",OHW!$B558&amp;"")</f>
        <v/>
      </c>
      <c r="J1605">
        <f>IF(OHW!$G558="","",OHW!$E558)</f>
        <v/>
      </c>
      <c r="K1605">
        <f>IF(OHW!$G558="","",COUNTIFS(OHW!$A$5:$A$1668,OHW!$A558,OHW!$C$5:$C$1668,OHW!$C558))</f>
        <v/>
      </c>
      <c r="L1605">
        <f>IF(OHW!$G558="","",OHW!$D558&amp;"")</f>
        <v/>
      </c>
      <c r="M1605">
        <f>IF(OHW!$G558="","",OHW!$F558)</f>
        <v/>
      </c>
      <c r="N1605">
        <f>IF(OHW!$G558="","",OHW!$G558)</f>
        <v/>
      </c>
      <c r="O1605">
        <f>IF(OHW!$G558="","",OHW!$I558)</f>
        <v/>
      </c>
      <c r="P1605">
        <f>IF(OHW!$G558="","","Final")</f>
        <v/>
      </c>
    </row>
    <row r="1606">
      <c r="A1606">
        <f>IF(OHW!$G559="","","OHW")</f>
        <v/>
      </c>
      <c r="B1606">
        <f>IF(OHW!$G559="","","OHW")</f>
        <v/>
      </c>
      <c r="C1606" s="18">
        <f>IF(OHW!$G559="","",OHW!$A559)</f>
        <v/>
      </c>
      <c r="F1606">
        <f>IF(OHW!$G559="","",OHW!$B559&amp;"")</f>
        <v/>
      </c>
      <c r="J1606">
        <f>IF(OHW!$G559="","",OHW!$E559)</f>
        <v/>
      </c>
      <c r="K1606">
        <f>IF(OHW!$G559="","",COUNTIFS(OHW!$A$5:$A$1668,OHW!$A559,OHW!$C$5:$C$1668,OHW!$C559))</f>
        <v/>
      </c>
      <c r="L1606">
        <f>IF(OHW!$G559="","",OHW!$D559&amp;"")</f>
        <v/>
      </c>
      <c r="M1606">
        <f>IF(OHW!$G559="","",OHW!$F559)</f>
        <v/>
      </c>
      <c r="N1606">
        <f>IF(OHW!$G559="","",OHW!$G559)</f>
        <v/>
      </c>
      <c r="O1606">
        <f>IF(OHW!$G559="","",OHW!$I559)</f>
        <v/>
      </c>
      <c r="P1606">
        <f>IF(OHW!$G559="","","Final")</f>
        <v/>
      </c>
    </row>
    <row r="1607">
      <c r="A1607">
        <f>IF(OHW!$G560="","","OHW")</f>
        <v/>
      </c>
      <c r="B1607">
        <f>IF(OHW!$G560="","","OHW")</f>
        <v/>
      </c>
      <c r="C1607" s="18">
        <f>IF(OHW!$G560="","",OHW!$A560)</f>
        <v/>
      </c>
      <c r="F1607">
        <f>IF(OHW!$G560="","",OHW!$B560&amp;"")</f>
        <v/>
      </c>
      <c r="J1607">
        <f>IF(OHW!$G560="","",OHW!$E560)</f>
        <v/>
      </c>
      <c r="K1607">
        <f>IF(OHW!$G560="","",COUNTIFS(OHW!$A$5:$A$1668,OHW!$A560,OHW!$C$5:$C$1668,OHW!$C560))</f>
        <v/>
      </c>
      <c r="L1607">
        <f>IF(OHW!$G560="","",OHW!$D560&amp;"")</f>
        <v/>
      </c>
      <c r="M1607">
        <f>IF(OHW!$G560="","",OHW!$F560)</f>
        <v/>
      </c>
      <c r="N1607">
        <f>IF(OHW!$G560="","",OHW!$G560)</f>
        <v/>
      </c>
      <c r="O1607">
        <f>IF(OHW!$G560="","",OHW!$I560)</f>
        <v/>
      </c>
      <c r="P1607">
        <f>IF(OHW!$G560="","","Final")</f>
        <v/>
      </c>
    </row>
    <row r="1608">
      <c r="A1608">
        <f>IF(OHW!$G561="","","OHW")</f>
        <v/>
      </c>
      <c r="B1608">
        <f>IF(OHW!$G561="","","OHW")</f>
        <v/>
      </c>
      <c r="C1608" s="18">
        <f>IF(OHW!$G561="","",OHW!$A561)</f>
        <v/>
      </c>
      <c r="F1608">
        <f>IF(OHW!$G561="","",OHW!$B561&amp;"")</f>
        <v/>
      </c>
      <c r="J1608">
        <f>IF(OHW!$G561="","",OHW!$E561)</f>
        <v/>
      </c>
      <c r="K1608">
        <f>IF(OHW!$G561="","",COUNTIFS(OHW!$A$5:$A$1668,OHW!$A561,OHW!$C$5:$C$1668,OHW!$C561))</f>
        <v/>
      </c>
      <c r="L1608">
        <f>IF(OHW!$G561="","",OHW!$D561&amp;"")</f>
        <v/>
      </c>
      <c r="M1608">
        <f>IF(OHW!$G561="","",OHW!$F561)</f>
        <v/>
      </c>
      <c r="N1608">
        <f>IF(OHW!$G561="","",OHW!$G561)</f>
        <v/>
      </c>
      <c r="O1608">
        <f>IF(OHW!$G561="","",OHW!$I561)</f>
        <v/>
      </c>
      <c r="P1608">
        <f>IF(OHW!$G561="","","Final")</f>
        <v/>
      </c>
    </row>
    <row r="1609">
      <c r="A1609">
        <f>IF(OHW!$G562="","","OHW")</f>
        <v/>
      </c>
      <c r="B1609">
        <f>IF(OHW!$G562="","","OHW")</f>
        <v/>
      </c>
      <c r="C1609" s="18">
        <f>IF(OHW!$G562="","",OHW!$A562)</f>
        <v/>
      </c>
      <c r="F1609">
        <f>IF(OHW!$G562="","",OHW!$B562&amp;"")</f>
        <v/>
      </c>
      <c r="J1609">
        <f>IF(OHW!$G562="","",OHW!$E562)</f>
        <v/>
      </c>
      <c r="K1609">
        <f>IF(OHW!$G562="","",COUNTIFS(OHW!$A$5:$A$1668,OHW!$A562,OHW!$C$5:$C$1668,OHW!$C562))</f>
        <v/>
      </c>
      <c r="L1609">
        <f>IF(OHW!$G562="","",OHW!$D562&amp;"")</f>
        <v/>
      </c>
      <c r="M1609">
        <f>IF(OHW!$G562="","",OHW!$F562)</f>
        <v/>
      </c>
      <c r="N1609">
        <f>IF(OHW!$G562="","",OHW!$G562)</f>
        <v/>
      </c>
      <c r="O1609">
        <f>IF(OHW!$G562="","",OHW!$I562)</f>
        <v/>
      </c>
      <c r="P1609">
        <f>IF(OHW!$G562="","","Final")</f>
        <v/>
      </c>
    </row>
    <row r="1610">
      <c r="A1610">
        <f>IF(OHW!$G563="","","OHW")</f>
        <v/>
      </c>
      <c r="B1610">
        <f>IF(OHW!$G563="","","OHW")</f>
        <v/>
      </c>
      <c r="C1610" s="18">
        <f>IF(OHW!$G563="","",OHW!$A563)</f>
        <v/>
      </c>
      <c r="F1610">
        <f>IF(OHW!$G563="","",OHW!$B563&amp;"")</f>
        <v/>
      </c>
      <c r="J1610">
        <f>IF(OHW!$G563="","",OHW!$E563)</f>
        <v/>
      </c>
      <c r="K1610">
        <f>IF(OHW!$G563="","",COUNTIFS(OHW!$A$5:$A$1668,OHW!$A563,OHW!$C$5:$C$1668,OHW!$C563))</f>
        <v/>
      </c>
      <c r="L1610">
        <f>IF(OHW!$G563="","",OHW!$D563&amp;"")</f>
        <v/>
      </c>
      <c r="M1610">
        <f>IF(OHW!$G563="","",OHW!$F563)</f>
        <v/>
      </c>
      <c r="N1610">
        <f>IF(OHW!$G563="","",OHW!$G563)</f>
        <v/>
      </c>
      <c r="O1610">
        <f>IF(OHW!$G563="","",OHW!$I563)</f>
        <v/>
      </c>
      <c r="P1610">
        <f>IF(OHW!$G563="","","Final")</f>
        <v/>
      </c>
    </row>
    <row r="1611">
      <c r="A1611">
        <f>IF(OHW!$G564="","","OHW")</f>
        <v/>
      </c>
      <c r="B1611">
        <f>IF(OHW!$G564="","","OHW")</f>
        <v/>
      </c>
      <c r="C1611" s="18">
        <f>IF(OHW!$G564="","",OHW!$A564)</f>
        <v/>
      </c>
      <c r="F1611">
        <f>IF(OHW!$G564="","",OHW!$B564&amp;"")</f>
        <v/>
      </c>
      <c r="J1611">
        <f>IF(OHW!$G564="","",OHW!$E564)</f>
        <v/>
      </c>
      <c r="K1611">
        <f>IF(OHW!$G564="","",COUNTIFS(OHW!$A$5:$A$1668,OHW!$A564,OHW!$C$5:$C$1668,OHW!$C564))</f>
        <v/>
      </c>
      <c r="L1611">
        <f>IF(OHW!$G564="","",OHW!$D564&amp;"")</f>
        <v/>
      </c>
      <c r="M1611">
        <f>IF(OHW!$G564="","",OHW!$F564)</f>
        <v/>
      </c>
      <c r="N1611">
        <f>IF(OHW!$G564="","",OHW!$G564)</f>
        <v/>
      </c>
      <c r="O1611">
        <f>IF(OHW!$G564="","",OHW!$I564)</f>
        <v/>
      </c>
      <c r="P1611">
        <f>IF(OHW!$G564="","","Final")</f>
        <v/>
      </c>
    </row>
    <row r="1612">
      <c r="A1612">
        <f>IF(OHW!$G565="","","OHW")</f>
        <v/>
      </c>
      <c r="B1612">
        <f>IF(OHW!$G565="","","OHW")</f>
        <v/>
      </c>
      <c r="C1612" s="18">
        <f>IF(OHW!$G565="","",OHW!$A565)</f>
        <v/>
      </c>
      <c r="F1612">
        <f>IF(OHW!$G565="","",OHW!$B565&amp;"")</f>
        <v/>
      </c>
      <c r="J1612">
        <f>IF(OHW!$G565="","",OHW!$E565)</f>
        <v/>
      </c>
      <c r="K1612">
        <f>IF(OHW!$G565="","",COUNTIFS(OHW!$A$5:$A$1668,OHW!$A565,OHW!$C$5:$C$1668,OHW!$C565))</f>
        <v/>
      </c>
      <c r="L1612">
        <f>IF(OHW!$G565="","",OHW!$D565&amp;"")</f>
        <v/>
      </c>
      <c r="M1612">
        <f>IF(OHW!$G565="","",OHW!$F565)</f>
        <v/>
      </c>
      <c r="N1612">
        <f>IF(OHW!$G565="","",OHW!$G565)</f>
        <v/>
      </c>
      <c r="O1612">
        <f>IF(OHW!$G565="","",OHW!$I565)</f>
        <v/>
      </c>
      <c r="P1612">
        <f>IF(OHW!$G565="","","Final")</f>
        <v/>
      </c>
    </row>
    <row r="1613">
      <c r="A1613">
        <f>IF(OHW!$G566="","","OHW")</f>
        <v/>
      </c>
      <c r="B1613">
        <f>IF(OHW!$G566="","","OHW")</f>
        <v/>
      </c>
      <c r="C1613" s="18">
        <f>IF(OHW!$G566="","",OHW!$A566)</f>
        <v/>
      </c>
      <c r="F1613">
        <f>IF(OHW!$G566="","",OHW!$B566&amp;"")</f>
        <v/>
      </c>
      <c r="J1613">
        <f>IF(OHW!$G566="","",OHW!$E566)</f>
        <v/>
      </c>
      <c r="K1613">
        <f>IF(OHW!$G566="","",COUNTIFS(OHW!$A$5:$A$1668,OHW!$A566,OHW!$C$5:$C$1668,OHW!$C566))</f>
        <v/>
      </c>
      <c r="L1613">
        <f>IF(OHW!$G566="","",OHW!$D566&amp;"")</f>
        <v/>
      </c>
      <c r="M1613">
        <f>IF(OHW!$G566="","",OHW!$F566)</f>
        <v/>
      </c>
      <c r="N1613">
        <f>IF(OHW!$G566="","",OHW!$G566)</f>
        <v/>
      </c>
      <c r="O1613">
        <f>IF(OHW!$G566="","",OHW!$I566)</f>
        <v/>
      </c>
      <c r="P1613">
        <f>IF(OHW!$G566="","","Final")</f>
        <v/>
      </c>
    </row>
    <row r="1614">
      <c r="A1614">
        <f>IF(OHW!$G567="","","OHW")</f>
        <v/>
      </c>
      <c r="B1614">
        <f>IF(OHW!$G567="","","OHW")</f>
        <v/>
      </c>
      <c r="C1614" s="18">
        <f>IF(OHW!$G567="","",OHW!$A567)</f>
        <v/>
      </c>
      <c r="F1614">
        <f>IF(OHW!$G567="","",OHW!$B567&amp;"")</f>
        <v/>
      </c>
      <c r="J1614">
        <f>IF(OHW!$G567="","",OHW!$E567)</f>
        <v/>
      </c>
      <c r="K1614">
        <f>IF(OHW!$G567="","",COUNTIFS(OHW!$A$5:$A$1668,OHW!$A567,OHW!$C$5:$C$1668,OHW!$C567))</f>
        <v/>
      </c>
      <c r="L1614">
        <f>IF(OHW!$G567="","",OHW!$D567&amp;"")</f>
        <v/>
      </c>
      <c r="M1614">
        <f>IF(OHW!$G567="","",OHW!$F567)</f>
        <v/>
      </c>
      <c r="N1614">
        <f>IF(OHW!$G567="","",OHW!$G567)</f>
        <v/>
      </c>
      <c r="O1614">
        <f>IF(OHW!$G567="","",OHW!$I567)</f>
        <v/>
      </c>
      <c r="P1614">
        <f>IF(OHW!$G567="","","Final")</f>
        <v/>
      </c>
    </row>
    <row r="1615">
      <c r="A1615">
        <f>IF(OHW!$G568="","","OHW")</f>
        <v/>
      </c>
      <c r="B1615">
        <f>IF(OHW!$G568="","","OHW")</f>
        <v/>
      </c>
      <c r="C1615" s="18">
        <f>IF(OHW!$G568="","",OHW!$A568)</f>
        <v/>
      </c>
      <c r="F1615">
        <f>IF(OHW!$G568="","",OHW!$B568&amp;"")</f>
        <v/>
      </c>
      <c r="J1615">
        <f>IF(OHW!$G568="","",OHW!$E568)</f>
        <v/>
      </c>
      <c r="K1615">
        <f>IF(OHW!$G568="","",COUNTIFS(OHW!$A$5:$A$1668,OHW!$A568,OHW!$C$5:$C$1668,OHW!$C568))</f>
        <v/>
      </c>
      <c r="L1615">
        <f>IF(OHW!$G568="","",OHW!$D568&amp;"")</f>
        <v/>
      </c>
      <c r="M1615">
        <f>IF(OHW!$G568="","",OHW!$F568)</f>
        <v/>
      </c>
      <c r="N1615">
        <f>IF(OHW!$G568="","",OHW!$G568)</f>
        <v/>
      </c>
      <c r="O1615">
        <f>IF(OHW!$G568="","",OHW!$I568)</f>
        <v/>
      </c>
      <c r="P1615">
        <f>IF(OHW!$G568="","","Final")</f>
        <v/>
      </c>
    </row>
    <row r="1616">
      <c r="A1616">
        <f>IF(OHW!$G569="","","OHW")</f>
        <v/>
      </c>
      <c r="B1616">
        <f>IF(OHW!$G569="","","OHW")</f>
        <v/>
      </c>
      <c r="C1616" s="18">
        <f>IF(OHW!$G569="","",OHW!$A569)</f>
        <v/>
      </c>
      <c r="F1616">
        <f>IF(OHW!$G569="","",OHW!$B569&amp;"")</f>
        <v/>
      </c>
      <c r="J1616">
        <f>IF(OHW!$G569="","",OHW!$E569)</f>
        <v/>
      </c>
      <c r="K1616">
        <f>IF(OHW!$G569="","",COUNTIFS(OHW!$A$5:$A$1668,OHW!$A569,OHW!$C$5:$C$1668,OHW!$C569))</f>
        <v/>
      </c>
      <c r="L1616">
        <f>IF(OHW!$G569="","",OHW!$D569&amp;"")</f>
        <v/>
      </c>
      <c r="M1616">
        <f>IF(OHW!$G569="","",OHW!$F569)</f>
        <v/>
      </c>
      <c r="N1616">
        <f>IF(OHW!$G569="","",OHW!$G569)</f>
        <v/>
      </c>
      <c r="O1616">
        <f>IF(OHW!$G569="","",OHW!$I569)</f>
        <v/>
      </c>
      <c r="P1616">
        <f>IF(OHW!$G569="","","Final")</f>
        <v/>
      </c>
    </row>
    <row r="1617">
      <c r="A1617">
        <f>IF(OHW!$G570="","","OHW")</f>
        <v/>
      </c>
      <c r="B1617">
        <f>IF(OHW!$G570="","","OHW")</f>
        <v/>
      </c>
      <c r="C1617" s="18">
        <f>IF(OHW!$G570="","",OHW!$A570)</f>
        <v/>
      </c>
      <c r="F1617">
        <f>IF(OHW!$G570="","",OHW!$B570&amp;"")</f>
        <v/>
      </c>
      <c r="J1617">
        <f>IF(OHW!$G570="","",OHW!$E570)</f>
        <v/>
      </c>
      <c r="K1617">
        <f>IF(OHW!$G570="","",COUNTIFS(OHW!$A$5:$A$1668,OHW!$A570,OHW!$C$5:$C$1668,OHW!$C570))</f>
        <v/>
      </c>
      <c r="L1617">
        <f>IF(OHW!$G570="","",OHW!$D570&amp;"")</f>
        <v/>
      </c>
      <c r="M1617">
        <f>IF(OHW!$G570="","",OHW!$F570)</f>
        <v/>
      </c>
      <c r="N1617">
        <f>IF(OHW!$G570="","",OHW!$G570)</f>
        <v/>
      </c>
      <c r="O1617">
        <f>IF(OHW!$G570="","",OHW!$I570)</f>
        <v/>
      </c>
      <c r="P1617">
        <f>IF(OHW!$G570="","","Final")</f>
        <v/>
      </c>
    </row>
    <row r="1618">
      <c r="A1618">
        <f>IF(OHW!$G571="","","OHW")</f>
        <v/>
      </c>
      <c r="B1618">
        <f>IF(OHW!$G571="","","OHW")</f>
        <v/>
      </c>
      <c r="C1618" s="18">
        <f>IF(OHW!$G571="","",OHW!$A571)</f>
        <v/>
      </c>
      <c r="F1618">
        <f>IF(OHW!$G571="","",OHW!$B571&amp;"")</f>
        <v/>
      </c>
      <c r="J1618">
        <f>IF(OHW!$G571="","",OHW!$E571)</f>
        <v/>
      </c>
      <c r="K1618">
        <f>IF(OHW!$G571="","",COUNTIFS(OHW!$A$5:$A$1668,OHW!$A571,OHW!$C$5:$C$1668,OHW!$C571))</f>
        <v/>
      </c>
      <c r="L1618">
        <f>IF(OHW!$G571="","",OHW!$D571&amp;"")</f>
        <v/>
      </c>
      <c r="M1618">
        <f>IF(OHW!$G571="","",OHW!$F571)</f>
        <v/>
      </c>
      <c r="N1618">
        <f>IF(OHW!$G571="","",OHW!$G571)</f>
        <v/>
      </c>
      <c r="O1618">
        <f>IF(OHW!$G571="","",OHW!$I571)</f>
        <v/>
      </c>
      <c r="P1618">
        <f>IF(OHW!$G571="","","Final")</f>
        <v/>
      </c>
    </row>
    <row r="1619">
      <c r="A1619">
        <f>IF(OHW!$G572="","","OHW")</f>
        <v/>
      </c>
      <c r="B1619">
        <f>IF(OHW!$G572="","","OHW")</f>
        <v/>
      </c>
      <c r="C1619" s="18">
        <f>IF(OHW!$G572="","",OHW!$A572)</f>
        <v/>
      </c>
      <c r="F1619">
        <f>IF(OHW!$G572="","",OHW!$B572&amp;"")</f>
        <v/>
      </c>
      <c r="J1619">
        <f>IF(OHW!$G572="","",OHW!$E572)</f>
        <v/>
      </c>
      <c r="K1619">
        <f>IF(OHW!$G572="","",COUNTIFS(OHW!$A$5:$A$1668,OHW!$A572,OHW!$C$5:$C$1668,OHW!$C572))</f>
        <v/>
      </c>
      <c r="L1619">
        <f>IF(OHW!$G572="","",OHW!$D572&amp;"")</f>
        <v/>
      </c>
      <c r="M1619">
        <f>IF(OHW!$G572="","",OHW!$F572)</f>
        <v/>
      </c>
      <c r="N1619">
        <f>IF(OHW!$G572="","",OHW!$G572)</f>
        <v/>
      </c>
      <c r="O1619">
        <f>IF(OHW!$G572="","",OHW!$I572)</f>
        <v/>
      </c>
      <c r="P1619">
        <f>IF(OHW!$G572="","","Final")</f>
        <v/>
      </c>
    </row>
    <row r="1620">
      <c r="A1620">
        <f>IF(OHW!$G573="","","OHW")</f>
        <v/>
      </c>
      <c r="B1620">
        <f>IF(OHW!$G573="","","OHW")</f>
        <v/>
      </c>
      <c r="C1620" s="18">
        <f>IF(OHW!$G573="","",OHW!$A573)</f>
        <v/>
      </c>
      <c r="F1620">
        <f>IF(OHW!$G573="","",OHW!$B573&amp;"")</f>
        <v/>
      </c>
      <c r="J1620">
        <f>IF(OHW!$G573="","",OHW!$E573)</f>
        <v/>
      </c>
      <c r="K1620">
        <f>IF(OHW!$G573="","",COUNTIFS(OHW!$A$5:$A$1668,OHW!$A573,OHW!$C$5:$C$1668,OHW!$C573))</f>
        <v/>
      </c>
      <c r="L1620">
        <f>IF(OHW!$G573="","",OHW!$D573&amp;"")</f>
        <v/>
      </c>
      <c r="M1620">
        <f>IF(OHW!$G573="","",OHW!$F573)</f>
        <v/>
      </c>
      <c r="N1620">
        <f>IF(OHW!$G573="","",OHW!$G573)</f>
        <v/>
      </c>
      <c r="O1620">
        <f>IF(OHW!$G573="","",OHW!$I573)</f>
        <v/>
      </c>
      <c r="P1620">
        <f>IF(OHW!$G573="","","Final")</f>
        <v/>
      </c>
    </row>
    <row r="1621">
      <c r="A1621">
        <f>IF(OHW!$G574="","","OHW")</f>
        <v/>
      </c>
      <c r="B1621">
        <f>IF(OHW!$G574="","","OHW")</f>
        <v/>
      </c>
      <c r="C1621" s="18">
        <f>IF(OHW!$G574="","",OHW!$A574)</f>
        <v/>
      </c>
      <c r="F1621">
        <f>IF(OHW!$G574="","",OHW!$B574&amp;"")</f>
        <v/>
      </c>
      <c r="J1621">
        <f>IF(OHW!$G574="","",OHW!$E574)</f>
        <v/>
      </c>
      <c r="K1621">
        <f>IF(OHW!$G574="","",COUNTIFS(OHW!$A$5:$A$1668,OHW!$A574,OHW!$C$5:$C$1668,OHW!$C574))</f>
        <v/>
      </c>
      <c r="L1621">
        <f>IF(OHW!$G574="","",OHW!$D574&amp;"")</f>
        <v/>
      </c>
      <c r="M1621">
        <f>IF(OHW!$G574="","",OHW!$F574)</f>
        <v/>
      </c>
      <c r="N1621">
        <f>IF(OHW!$G574="","",OHW!$G574)</f>
        <v/>
      </c>
      <c r="O1621">
        <f>IF(OHW!$G574="","",OHW!$I574)</f>
        <v/>
      </c>
      <c r="P1621">
        <f>IF(OHW!$G574="","","Final")</f>
        <v/>
      </c>
    </row>
    <row r="1622">
      <c r="A1622">
        <f>IF(OHW!$G575="","","OHW")</f>
        <v/>
      </c>
      <c r="B1622">
        <f>IF(OHW!$G575="","","OHW")</f>
        <v/>
      </c>
      <c r="C1622" s="18">
        <f>IF(OHW!$G575="","",OHW!$A575)</f>
        <v/>
      </c>
      <c r="F1622">
        <f>IF(OHW!$G575="","",OHW!$B575&amp;"")</f>
        <v/>
      </c>
      <c r="J1622">
        <f>IF(OHW!$G575="","",OHW!$E575)</f>
        <v/>
      </c>
      <c r="K1622">
        <f>IF(OHW!$G575="","",COUNTIFS(OHW!$A$5:$A$1668,OHW!$A575,OHW!$C$5:$C$1668,OHW!$C575))</f>
        <v/>
      </c>
      <c r="L1622">
        <f>IF(OHW!$G575="","",OHW!$D575&amp;"")</f>
        <v/>
      </c>
      <c r="M1622">
        <f>IF(OHW!$G575="","",OHW!$F575)</f>
        <v/>
      </c>
      <c r="N1622">
        <f>IF(OHW!$G575="","",OHW!$G575)</f>
        <v/>
      </c>
      <c r="O1622">
        <f>IF(OHW!$G575="","",OHW!$I575)</f>
        <v/>
      </c>
      <c r="P1622">
        <f>IF(OHW!$G575="","","Final")</f>
        <v/>
      </c>
    </row>
    <row r="1623">
      <c r="A1623">
        <f>IF(OHW!$G576="","","OHW")</f>
        <v/>
      </c>
      <c r="B1623">
        <f>IF(OHW!$G576="","","OHW")</f>
        <v/>
      </c>
      <c r="C1623" s="18">
        <f>IF(OHW!$G576="","",OHW!$A576)</f>
        <v/>
      </c>
      <c r="F1623">
        <f>IF(OHW!$G576="","",OHW!$B576&amp;"")</f>
        <v/>
      </c>
      <c r="J1623">
        <f>IF(OHW!$G576="","",OHW!$E576)</f>
        <v/>
      </c>
      <c r="K1623">
        <f>IF(OHW!$G576="","",COUNTIFS(OHW!$A$5:$A$1668,OHW!$A576,OHW!$C$5:$C$1668,OHW!$C576))</f>
        <v/>
      </c>
      <c r="L1623">
        <f>IF(OHW!$G576="","",OHW!$D576&amp;"")</f>
        <v/>
      </c>
      <c r="M1623">
        <f>IF(OHW!$G576="","",OHW!$F576)</f>
        <v/>
      </c>
      <c r="N1623">
        <f>IF(OHW!$G576="","",OHW!$G576)</f>
        <v/>
      </c>
      <c r="O1623">
        <f>IF(OHW!$G576="","",OHW!$I576)</f>
        <v/>
      </c>
      <c r="P1623">
        <f>IF(OHW!$G576="","","Final")</f>
        <v/>
      </c>
    </row>
    <row r="1624">
      <c r="A1624">
        <f>IF(OHW!$G577="","","OHW")</f>
        <v/>
      </c>
      <c r="B1624">
        <f>IF(OHW!$G577="","","OHW")</f>
        <v/>
      </c>
      <c r="C1624" s="18">
        <f>IF(OHW!$G577="","",OHW!$A577)</f>
        <v/>
      </c>
      <c r="F1624">
        <f>IF(OHW!$G577="","",OHW!$B577&amp;"")</f>
        <v/>
      </c>
      <c r="J1624">
        <f>IF(OHW!$G577="","",OHW!$E577)</f>
        <v/>
      </c>
      <c r="K1624">
        <f>IF(OHW!$G577="","",COUNTIFS(OHW!$A$5:$A$1668,OHW!$A577,OHW!$C$5:$C$1668,OHW!$C577))</f>
        <v/>
      </c>
      <c r="L1624">
        <f>IF(OHW!$G577="","",OHW!$D577&amp;"")</f>
        <v/>
      </c>
      <c r="M1624">
        <f>IF(OHW!$G577="","",OHW!$F577)</f>
        <v/>
      </c>
      <c r="N1624">
        <f>IF(OHW!$G577="","",OHW!$G577)</f>
        <v/>
      </c>
      <c r="O1624">
        <f>IF(OHW!$G577="","",OHW!$I577)</f>
        <v/>
      </c>
      <c r="P1624">
        <f>IF(OHW!$G577="","","Final")</f>
        <v/>
      </c>
    </row>
    <row r="1625">
      <c r="A1625">
        <f>IF(OHW!$G578="","","OHW")</f>
        <v/>
      </c>
      <c r="B1625">
        <f>IF(OHW!$G578="","","OHW")</f>
        <v/>
      </c>
      <c r="C1625" s="18">
        <f>IF(OHW!$G578="","",OHW!$A578)</f>
        <v/>
      </c>
      <c r="F1625">
        <f>IF(OHW!$G578="","",OHW!$B578&amp;"")</f>
        <v/>
      </c>
      <c r="J1625">
        <f>IF(OHW!$G578="","",OHW!$E578)</f>
        <v/>
      </c>
      <c r="K1625">
        <f>IF(OHW!$G578="","",COUNTIFS(OHW!$A$5:$A$1668,OHW!$A578,OHW!$C$5:$C$1668,OHW!$C578))</f>
        <v/>
      </c>
      <c r="L1625">
        <f>IF(OHW!$G578="","",OHW!$D578&amp;"")</f>
        <v/>
      </c>
      <c r="M1625">
        <f>IF(OHW!$G578="","",OHW!$F578)</f>
        <v/>
      </c>
      <c r="N1625">
        <f>IF(OHW!$G578="","",OHW!$G578)</f>
        <v/>
      </c>
      <c r="O1625">
        <f>IF(OHW!$G578="","",OHW!$I578)</f>
        <v/>
      </c>
      <c r="P1625">
        <f>IF(OHW!$G578="","","Final")</f>
        <v/>
      </c>
    </row>
    <row r="1626">
      <c r="A1626">
        <f>IF(OHW!$G579="","","OHW")</f>
        <v/>
      </c>
      <c r="B1626">
        <f>IF(OHW!$G579="","","OHW")</f>
        <v/>
      </c>
      <c r="C1626" s="18">
        <f>IF(OHW!$G579="","",OHW!$A579)</f>
        <v/>
      </c>
      <c r="F1626">
        <f>IF(OHW!$G579="","",OHW!$B579&amp;"")</f>
        <v/>
      </c>
      <c r="J1626">
        <f>IF(OHW!$G579="","",OHW!$E579)</f>
        <v/>
      </c>
      <c r="K1626">
        <f>IF(OHW!$G579="","",COUNTIFS(OHW!$A$5:$A$1668,OHW!$A579,OHW!$C$5:$C$1668,OHW!$C579))</f>
        <v/>
      </c>
      <c r="L1626">
        <f>IF(OHW!$G579="","",OHW!$D579&amp;"")</f>
        <v/>
      </c>
      <c r="M1626">
        <f>IF(OHW!$G579="","",OHW!$F579)</f>
        <v/>
      </c>
      <c r="N1626">
        <f>IF(OHW!$G579="","",OHW!$G579)</f>
        <v/>
      </c>
      <c r="O1626">
        <f>IF(OHW!$G579="","",OHW!$I579)</f>
        <v/>
      </c>
      <c r="P1626">
        <f>IF(OHW!$G579="","","Final")</f>
        <v/>
      </c>
    </row>
    <row r="1627">
      <c r="A1627">
        <f>IF(OHW!$G580="","","OHW")</f>
        <v/>
      </c>
      <c r="B1627">
        <f>IF(OHW!$G580="","","OHW")</f>
        <v/>
      </c>
      <c r="C1627" s="18">
        <f>IF(OHW!$G580="","",OHW!$A580)</f>
        <v/>
      </c>
      <c r="F1627">
        <f>IF(OHW!$G580="","",OHW!$B580&amp;"")</f>
        <v/>
      </c>
      <c r="J1627">
        <f>IF(OHW!$G580="","",OHW!$E580)</f>
        <v/>
      </c>
      <c r="K1627">
        <f>IF(OHW!$G580="","",COUNTIFS(OHW!$A$5:$A$1668,OHW!$A580,OHW!$C$5:$C$1668,OHW!$C580))</f>
        <v/>
      </c>
      <c r="L1627">
        <f>IF(OHW!$G580="","",OHW!$D580&amp;"")</f>
        <v/>
      </c>
      <c r="M1627">
        <f>IF(OHW!$G580="","",OHW!$F580)</f>
        <v/>
      </c>
      <c r="N1627">
        <f>IF(OHW!$G580="","",OHW!$G580)</f>
        <v/>
      </c>
      <c r="O1627">
        <f>IF(OHW!$G580="","",OHW!$I580)</f>
        <v/>
      </c>
      <c r="P1627">
        <f>IF(OHW!$G580="","","Final")</f>
        <v/>
      </c>
    </row>
    <row r="1628">
      <c r="A1628">
        <f>IF(OHW!$G581="","","OHW")</f>
        <v/>
      </c>
      <c r="B1628">
        <f>IF(OHW!$G581="","","OHW")</f>
        <v/>
      </c>
      <c r="C1628" s="18">
        <f>IF(OHW!$G581="","",OHW!$A581)</f>
        <v/>
      </c>
      <c r="F1628">
        <f>IF(OHW!$G581="","",OHW!$B581&amp;"")</f>
        <v/>
      </c>
      <c r="J1628">
        <f>IF(OHW!$G581="","",OHW!$E581)</f>
        <v/>
      </c>
      <c r="K1628">
        <f>IF(OHW!$G581="","",COUNTIFS(OHW!$A$5:$A$1668,OHW!$A581,OHW!$C$5:$C$1668,OHW!$C581))</f>
        <v/>
      </c>
      <c r="L1628">
        <f>IF(OHW!$G581="","",OHW!$D581&amp;"")</f>
        <v/>
      </c>
      <c r="M1628">
        <f>IF(OHW!$G581="","",OHW!$F581)</f>
        <v/>
      </c>
      <c r="N1628">
        <f>IF(OHW!$G581="","",OHW!$G581)</f>
        <v/>
      </c>
      <c r="O1628">
        <f>IF(OHW!$G581="","",OHW!$I581)</f>
        <v/>
      </c>
      <c r="P1628">
        <f>IF(OHW!$G581="","","Final")</f>
        <v/>
      </c>
    </row>
    <row r="1629">
      <c r="A1629">
        <f>IF(OHW!$G582="","","OHW")</f>
        <v/>
      </c>
      <c r="B1629">
        <f>IF(OHW!$G582="","","OHW")</f>
        <v/>
      </c>
      <c r="C1629" s="18">
        <f>IF(OHW!$G582="","",OHW!$A582)</f>
        <v/>
      </c>
      <c r="F1629">
        <f>IF(OHW!$G582="","",OHW!$B582&amp;"")</f>
        <v/>
      </c>
      <c r="J1629">
        <f>IF(OHW!$G582="","",OHW!$E582)</f>
        <v/>
      </c>
      <c r="K1629">
        <f>IF(OHW!$G582="","",COUNTIFS(OHW!$A$5:$A$1668,OHW!$A582,OHW!$C$5:$C$1668,OHW!$C582))</f>
        <v/>
      </c>
      <c r="L1629">
        <f>IF(OHW!$G582="","",OHW!$D582&amp;"")</f>
        <v/>
      </c>
      <c r="M1629">
        <f>IF(OHW!$G582="","",OHW!$F582)</f>
        <v/>
      </c>
      <c r="N1629">
        <f>IF(OHW!$G582="","",OHW!$G582)</f>
        <v/>
      </c>
      <c r="O1629">
        <f>IF(OHW!$G582="","",OHW!$I582)</f>
        <v/>
      </c>
      <c r="P1629">
        <f>IF(OHW!$G582="","","Final")</f>
        <v/>
      </c>
    </row>
    <row r="1630">
      <c r="A1630">
        <f>IF(OHW!$G583="","","OHW")</f>
        <v/>
      </c>
      <c r="B1630">
        <f>IF(OHW!$G583="","","OHW")</f>
        <v/>
      </c>
      <c r="C1630" s="18">
        <f>IF(OHW!$G583="","",OHW!$A583)</f>
        <v/>
      </c>
      <c r="F1630">
        <f>IF(OHW!$G583="","",OHW!$B583&amp;"")</f>
        <v/>
      </c>
      <c r="J1630">
        <f>IF(OHW!$G583="","",OHW!$E583)</f>
        <v/>
      </c>
      <c r="K1630">
        <f>IF(OHW!$G583="","",COUNTIFS(OHW!$A$5:$A$1668,OHW!$A583,OHW!$C$5:$C$1668,OHW!$C583))</f>
        <v/>
      </c>
      <c r="L1630">
        <f>IF(OHW!$G583="","",OHW!$D583&amp;"")</f>
        <v/>
      </c>
      <c r="M1630">
        <f>IF(OHW!$G583="","",OHW!$F583)</f>
        <v/>
      </c>
      <c r="N1630">
        <f>IF(OHW!$G583="","",OHW!$G583)</f>
        <v/>
      </c>
      <c r="O1630">
        <f>IF(OHW!$G583="","",OHW!$I583)</f>
        <v/>
      </c>
      <c r="P1630">
        <f>IF(OHW!$G583="","","Final")</f>
        <v/>
      </c>
    </row>
    <row r="1631">
      <c r="A1631">
        <f>IF(OHW!$G584="","","OHW")</f>
        <v/>
      </c>
      <c r="B1631">
        <f>IF(OHW!$G584="","","OHW")</f>
        <v/>
      </c>
      <c r="C1631" s="18">
        <f>IF(OHW!$G584="","",OHW!$A584)</f>
        <v/>
      </c>
      <c r="F1631">
        <f>IF(OHW!$G584="","",OHW!$B584&amp;"")</f>
        <v/>
      </c>
      <c r="J1631">
        <f>IF(OHW!$G584="","",OHW!$E584)</f>
        <v/>
      </c>
      <c r="K1631">
        <f>IF(OHW!$G584="","",COUNTIFS(OHW!$A$5:$A$1668,OHW!$A584,OHW!$C$5:$C$1668,OHW!$C584))</f>
        <v/>
      </c>
      <c r="L1631">
        <f>IF(OHW!$G584="","",OHW!$D584&amp;"")</f>
        <v/>
      </c>
      <c r="M1631">
        <f>IF(OHW!$G584="","",OHW!$F584)</f>
        <v/>
      </c>
      <c r="N1631">
        <f>IF(OHW!$G584="","",OHW!$G584)</f>
        <v/>
      </c>
      <c r="O1631">
        <f>IF(OHW!$G584="","",OHW!$I584)</f>
        <v/>
      </c>
      <c r="P1631">
        <f>IF(OHW!$G584="","","Final")</f>
        <v/>
      </c>
    </row>
    <row r="1632">
      <c r="A1632">
        <f>IF(OHW!$G585="","","OHW")</f>
        <v/>
      </c>
      <c r="B1632">
        <f>IF(OHW!$G585="","","OHW")</f>
        <v/>
      </c>
      <c r="C1632" s="18">
        <f>IF(OHW!$G585="","",OHW!$A585)</f>
        <v/>
      </c>
      <c r="F1632">
        <f>IF(OHW!$G585="","",OHW!$B585&amp;"")</f>
        <v/>
      </c>
      <c r="J1632">
        <f>IF(OHW!$G585="","",OHW!$E585)</f>
        <v/>
      </c>
      <c r="K1632">
        <f>IF(OHW!$G585="","",COUNTIFS(OHW!$A$5:$A$1668,OHW!$A585,OHW!$C$5:$C$1668,OHW!$C585))</f>
        <v/>
      </c>
      <c r="L1632">
        <f>IF(OHW!$G585="","",OHW!$D585&amp;"")</f>
        <v/>
      </c>
      <c r="M1632">
        <f>IF(OHW!$G585="","",OHW!$F585)</f>
        <v/>
      </c>
      <c r="N1632">
        <f>IF(OHW!$G585="","",OHW!$G585)</f>
        <v/>
      </c>
      <c r="O1632">
        <f>IF(OHW!$G585="","",OHW!$I585)</f>
        <v/>
      </c>
      <c r="P1632">
        <f>IF(OHW!$G585="","","Final")</f>
        <v/>
      </c>
    </row>
    <row r="1633">
      <c r="A1633">
        <f>IF(OHW!$G586="","","OHW")</f>
        <v/>
      </c>
      <c r="B1633">
        <f>IF(OHW!$G586="","","OHW")</f>
        <v/>
      </c>
      <c r="C1633" s="18">
        <f>IF(OHW!$G586="","",OHW!$A586)</f>
        <v/>
      </c>
      <c r="F1633">
        <f>IF(OHW!$G586="","",OHW!$B586&amp;"")</f>
        <v/>
      </c>
      <c r="J1633">
        <f>IF(OHW!$G586="","",OHW!$E586)</f>
        <v/>
      </c>
      <c r="K1633">
        <f>IF(OHW!$G586="","",COUNTIFS(OHW!$A$5:$A$1668,OHW!$A586,OHW!$C$5:$C$1668,OHW!$C586))</f>
        <v/>
      </c>
      <c r="L1633">
        <f>IF(OHW!$G586="","",OHW!$D586&amp;"")</f>
        <v/>
      </c>
      <c r="M1633">
        <f>IF(OHW!$G586="","",OHW!$F586)</f>
        <v/>
      </c>
      <c r="N1633">
        <f>IF(OHW!$G586="","",OHW!$G586)</f>
        <v/>
      </c>
      <c r="O1633">
        <f>IF(OHW!$G586="","",OHW!$I586)</f>
        <v/>
      </c>
      <c r="P1633">
        <f>IF(OHW!$G586="","","Final")</f>
        <v/>
      </c>
    </row>
    <row r="1634">
      <c r="A1634">
        <f>IF(OHW!$G587="","","OHW")</f>
        <v/>
      </c>
      <c r="B1634">
        <f>IF(OHW!$G587="","","OHW")</f>
        <v/>
      </c>
      <c r="C1634" s="18">
        <f>IF(OHW!$G587="","",OHW!$A587)</f>
        <v/>
      </c>
      <c r="F1634">
        <f>IF(OHW!$G587="","",OHW!$B587&amp;"")</f>
        <v/>
      </c>
      <c r="J1634">
        <f>IF(OHW!$G587="","",OHW!$E587)</f>
        <v/>
      </c>
      <c r="K1634">
        <f>IF(OHW!$G587="","",COUNTIFS(OHW!$A$5:$A$1668,OHW!$A587,OHW!$C$5:$C$1668,OHW!$C587))</f>
        <v/>
      </c>
      <c r="L1634">
        <f>IF(OHW!$G587="","",OHW!$D587&amp;"")</f>
        <v/>
      </c>
      <c r="M1634">
        <f>IF(OHW!$G587="","",OHW!$F587)</f>
        <v/>
      </c>
      <c r="N1634">
        <f>IF(OHW!$G587="","",OHW!$G587)</f>
        <v/>
      </c>
      <c r="O1634">
        <f>IF(OHW!$G587="","",OHW!$I587)</f>
        <v/>
      </c>
      <c r="P1634">
        <f>IF(OHW!$G587="","","Final")</f>
        <v/>
      </c>
    </row>
    <row r="1635">
      <c r="A1635">
        <f>IF(OHW!$G588="","","OHW")</f>
        <v/>
      </c>
      <c r="B1635">
        <f>IF(OHW!$G588="","","OHW")</f>
        <v/>
      </c>
      <c r="C1635" s="18">
        <f>IF(OHW!$G588="","",OHW!$A588)</f>
        <v/>
      </c>
      <c r="F1635">
        <f>IF(OHW!$G588="","",OHW!$B588&amp;"")</f>
        <v/>
      </c>
      <c r="J1635">
        <f>IF(OHW!$G588="","",OHW!$E588)</f>
        <v/>
      </c>
      <c r="K1635">
        <f>IF(OHW!$G588="","",COUNTIFS(OHW!$A$5:$A$1668,OHW!$A588,OHW!$C$5:$C$1668,OHW!$C588))</f>
        <v/>
      </c>
      <c r="L1635">
        <f>IF(OHW!$G588="","",OHW!$D588&amp;"")</f>
        <v/>
      </c>
      <c r="M1635">
        <f>IF(OHW!$G588="","",OHW!$F588)</f>
        <v/>
      </c>
      <c r="N1635">
        <f>IF(OHW!$G588="","",OHW!$G588)</f>
        <v/>
      </c>
      <c r="O1635">
        <f>IF(OHW!$G588="","",OHW!$I588)</f>
        <v/>
      </c>
      <c r="P1635">
        <f>IF(OHW!$G588="","","Final")</f>
        <v/>
      </c>
    </row>
    <row r="1636">
      <c r="A1636">
        <f>IF(OHW!$G589="","","OHW")</f>
        <v/>
      </c>
      <c r="B1636">
        <f>IF(OHW!$G589="","","OHW")</f>
        <v/>
      </c>
      <c r="C1636" s="18">
        <f>IF(OHW!$G589="","",OHW!$A589)</f>
        <v/>
      </c>
      <c r="F1636">
        <f>IF(OHW!$G589="","",OHW!$B589&amp;"")</f>
        <v/>
      </c>
      <c r="J1636">
        <f>IF(OHW!$G589="","",OHW!$E589)</f>
        <v/>
      </c>
      <c r="K1636">
        <f>IF(OHW!$G589="","",COUNTIFS(OHW!$A$5:$A$1668,OHW!$A589,OHW!$C$5:$C$1668,OHW!$C589))</f>
        <v/>
      </c>
      <c r="L1636">
        <f>IF(OHW!$G589="","",OHW!$D589&amp;"")</f>
        <v/>
      </c>
      <c r="M1636">
        <f>IF(OHW!$G589="","",OHW!$F589)</f>
        <v/>
      </c>
      <c r="N1636">
        <f>IF(OHW!$G589="","",OHW!$G589)</f>
        <v/>
      </c>
      <c r="O1636">
        <f>IF(OHW!$G589="","",OHW!$I589)</f>
        <v/>
      </c>
      <c r="P1636">
        <f>IF(OHW!$G589="","","Final")</f>
        <v/>
      </c>
    </row>
    <row r="1637">
      <c r="A1637">
        <f>IF(OHW!$G590="","","OHW")</f>
        <v/>
      </c>
      <c r="B1637">
        <f>IF(OHW!$G590="","","OHW")</f>
        <v/>
      </c>
      <c r="C1637" s="18">
        <f>IF(OHW!$G590="","",OHW!$A590)</f>
        <v/>
      </c>
      <c r="F1637">
        <f>IF(OHW!$G590="","",OHW!$B590&amp;"")</f>
        <v/>
      </c>
      <c r="J1637">
        <f>IF(OHW!$G590="","",OHW!$E590)</f>
        <v/>
      </c>
      <c r="K1637">
        <f>IF(OHW!$G590="","",COUNTIFS(OHW!$A$5:$A$1668,OHW!$A590,OHW!$C$5:$C$1668,OHW!$C590))</f>
        <v/>
      </c>
      <c r="L1637">
        <f>IF(OHW!$G590="","",OHW!$D590&amp;"")</f>
        <v/>
      </c>
      <c r="M1637">
        <f>IF(OHW!$G590="","",OHW!$F590)</f>
        <v/>
      </c>
      <c r="N1637">
        <f>IF(OHW!$G590="","",OHW!$G590)</f>
        <v/>
      </c>
      <c r="O1637">
        <f>IF(OHW!$G590="","",OHW!$I590)</f>
        <v/>
      </c>
      <c r="P1637">
        <f>IF(OHW!$G590="","","Final")</f>
        <v/>
      </c>
    </row>
    <row r="1638">
      <c r="A1638">
        <f>IF(OHW!$G591="","","OHW")</f>
        <v/>
      </c>
      <c r="B1638">
        <f>IF(OHW!$G591="","","OHW")</f>
        <v/>
      </c>
      <c r="C1638" s="18">
        <f>IF(OHW!$G591="","",OHW!$A591)</f>
        <v/>
      </c>
      <c r="F1638">
        <f>IF(OHW!$G591="","",OHW!$B591&amp;"")</f>
        <v/>
      </c>
      <c r="J1638">
        <f>IF(OHW!$G591="","",OHW!$E591)</f>
        <v/>
      </c>
      <c r="K1638">
        <f>IF(OHW!$G591="","",COUNTIFS(OHW!$A$5:$A$1668,OHW!$A591,OHW!$C$5:$C$1668,OHW!$C591))</f>
        <v/>
      </c>
      <c r="L1638">
        <f>IF(OHW!$G591="","",OHW!$D591&amp;"")</f>
        <v/>
      </c>
      <c r="M1638">
        <f>IF(OHW!$G591="","",OHW!$F591)</f>
        <v/>
      </c>
      <c r="N1638">
        <f>IF(OHW!$G591="","",OHW!$G591)</f>
        <v/>
      </c>
      <c r="O1638">
        <f>IF(OHW!$G591="","",OHW!$I591)</f>
        <v/>
      </c>
      <c r="P1638">
        <f>IF(OHW!$G591="","","Final")</f>
        <v/>
      </c>
    </row>
    <row r="1639">
      <c r="A1639">
        <f>IF(OHW!$G592="","","OHW")</f>
        <v/>
      </c>
      <c r="B1639">
        <f>IF(OHW!$G592="","","OHW")</f>
        <v/>
      </c>
      <c r="C1639" s="18">
        <f>IF(OHW!$G592="","",OHW!$A592)</f>
        <v/>
      </c>
      <c r="F1639">
        <f>IF(OHW!$G592="","",OHW!$B592&amp;"")</f>
        <v/>
      </c>
      <c r="J1639">
        <f>IF(OHW!$G592="","",OHW!$E592)</f>
        <v/>
      </c>
      <c r="K1639">
        <f>IF(OHW!$G592="","",COUNTIFS(OHW!$A$5:$A$1668,OHW!$A592,OHW!$C$5:$C$1668,OHW!$C592))</f>
        <v/>
      </c>
      <c r="L1639">
        <f>IF(OHW!$G592="","",OHW!$D592&amp;"")</f>
        <v/>
      </c>
      <c r="M1639">
        <f>IF(OHW!$G592="","",OHW!$F592)</f>
        <v/>
      </c>
      <c r="N1639">
        <f>IF(OHW!$G592="","",OHW!$G592)</f>
        <v/>
      </c>
      <c r="O1639">
        <f>IF(OHW!$G592="","",OHW!$I592)</f>
        <v/>
      </c>
      <c r="P1639">
        <f>IF(OHW!$G592="","","Final")</f>
        <v/>
      </c>
    </row>
    <row r="1640">
      <c r="A1640">
        <f>IF(OHW!$G593="","","OHW")</f>
        <v/>
      </c>
      <c r="B1640">
        <f>IF(OHW!$G593="","","OHW")</f>
        <v/>
      </c>
      <c r="C1640" s="18">
        <f>IF(OHW!$G593="","",OHW!$A593)</f>
        <v/>
      </c>
      <c r="F1640">
        <f>IF(OHW!$G593="","",OHW!$B593&amp;"")</f>
        <v/>
      </c>
      <c r="J1640">
        <f>IF(OHW!$G593="","",OHW!$E593)</f>
        <v/>
      </c>
      <c r="K1640">
        <f>IF(OHW!$G593="","",COUNTIFS(OHW!$A$5:$A$1668,OHW!$A593,OHW!$C$5:$C$1668,OHW!$C593))</f>
        <v/>
      </c>
      <c r="L1640">
        <f>IF(OHW!$G593="","",OHW!$D593&amp;"")</f>
        <v/>
      </c>
      <c r="M1640">
        <f>IF(OHW!$G593="","",OHW!$F593)</f>
        <v/>
      </c>
      <c r="N1640">
        <f>IF(OHW!$G593="","",OHW!$G593)</f>
        <v/>
      </c>
      <c r="O1640">
        <f>IF(OHW!$G593="","",OHW!$I593)</f>
        <v/>
      </c>
      <c r="P1640">
        <f>IF(OHW!$G593="","","Final")</f>
        <v/>
      </c>
    </row>
    <row r="1641">
      <c r="A1641">
        <f>IF(OHW!$G594="","","OHW")</f>
        <v/>
      </c>
      <c r="B1641">
        <f>IF(OHW!$G594="","","OHW")</f>
        <v/>
      </c>
      <c r="C1641" s="18">
        <f>IF(OHW!$G594="","",OHW!$A594)</f>
        <v/>
      </c>
      <c r="F1641">
        <f>IF(OHW!$G594="","",OHW!$B594&amp;"")</f>
        <v/>
      </c>
      <c r="J1641">
        <f>IF(OHW!$G594="","",OHW!$E594)</f>
        <v/>
      </c>
      <c r="K1641">
        <f>IF(OHW!$G594="","",COUNTIFS(OHW!$A$5:$A$1668,OHW!$A594,OHW!$C$5:$C$1668,OHW!$C594))</f>
        <v/>
      </c>
      <c r="L1641">
        <f>IF(OHW!$G594="","",OHW!$D594&amp;"")</f>
        <v/>
      </c>
      <c r="M1641">
        <f>IF(OHW!$G594="","",OHW!$F594)</f>
        <v/>
      </c>
      <c r="N1641">
        <f>IF(OHW!$G594="","",OHW!$G594)</f>
        <v/>
      </c>
      <c r="O1641">
        <f>IF(OHW!$G594="","",OHW!$I594)</f>
        <v/>
      </c>
      <c r="P1641">
        <f>IF(OHW!$G594="","","Final")</f>
        <v/>
      </c>
    </row>
    <row r="1642">
      <c r="A1642">
        <f>IF(OHW!$G595="","","OHW")</f>
        <v/>
      </c>
      <c r="B1642">
        <f>IF(OHW!$G595="","","OHW")</f>
        <v/>
      </c>
      <c r="C1642" s="18">
        <f>IF(OHW!$G595="","",OHW!$A595)</f>
        <v/>
      </c>
      <c r="F1642">
        <f>IF(OHW!$G595="","",OHW!$B595&amp;"")</f>
        <v/>
      </c>
      <c r="J1642">
        <f>IF(OHW!$G595="","",OHW!$E595)</f>
        <v/>
      </c>
      <c r="K1642">
        <f>IF(OHW!$G595="","",COUNTIFS(OHW!$A$5:$A$1668,OHW!$A595,OHW!$C$5:$C$1668,OHW!$C595))</f>
        <v/>
      </c>
      <c r="L1642">
        <f>IF(OHW!$G595="","",OHW!$D595&amp;"")</f>
        <v/>
      </c>
      <c r="M1642">
        <f>IF(OHW!$G595="","",OHW!$F595)</f>
        <v/>
      </c>
      <c r="N1642">
        <f>IF(OHW!$G595="","",OHW!$G595)</f>
        <v/>
      </c>
      <c r="O1642">
        <f>IF(OHW!$G595="","",OHW!$I595)</f>
        <v/>
      </c>
      <c r="P1642">
        <f>IF(OHW!$G595="","","Final")</f>
        <v/>
      </c>
    </row>
    <row r="1643">
      <c r="A1643">
        <f>IF(OHW!$G596="","","OHW")</f>
        <v/>
      </c>
      <c r="B1643">
        <f>IF(OHW!$G596="","","OHW")</f>
        <v/>
      </c>
      <c r="C1643" s="18">
        <f>IF(OHW!$G596="","",OHW!$A596)</f>
        <v/>
      </c>
      <c r="F1643">
        <f>IF(OHW!$G596="","",OHW!$B596&amp;"")</f>
        <v/>
      </c>
      <c r="J1643">
        <f>IF(OHW!$G596="","",OHW!$E596)</f>
        <v/>
      </c>
      <c r="K1643">
        <f>IF(OHW!$G596="","",COUNTIFS(OHW!$A$5:$A$1668,OHW!$A596,OHW!$C$5:$C$1668,OHW!$C596))</f>
        <v/>
      </c>
      <c r="L1643">
        <f>IF(OHW!$G596="","",OHW!$D596&amp;"")</f>
        <v/>
      </c>
      <c r="M1643">
        <f>IF(OHW!$G596="","",OHW!$F596)</f>
        <v/>
      </c>
      <c r="N1643">
        <f>IF(OHW!$G596="","",OHW!$G596)</f>
        <v/>
      </c>
      <c r="O1643">
        <f>IF(OHW!$G596="","",OHW!$I596)</f>
        <v/>
      </c>
      <c r="P1643">
        <f>IF(OHW!$G596="","","Final")</f>
        <v/>
      </c>
    </row>
    <row r="1644">
      <c r="A1644">
        <f>IF(OHW!$G597="","","OHW")</f>
        <v/>
      </c>
      <c r="B1644">
        <f>IF(OHW!$G597="","","OHW")</f>
        <v/>
      </c>
      <c r="C1644" s="18">
        <f>IF(OHW!$G597="","",OHW!$A597)</f>
        <v/>
      </c>
      <c r="F1644">
        <f>IF(OHW!$G597="","",OHW!$B597&amp;"")</f>
        <v/>
      </c>
      <c r="J1644">
        <f>IF(OHW!$G597="","",OHW!$E597)</f>
        <v/>
      </c>
      <c r="K1644">
        <f>IF(OHW!$G597="","",COUNTIFS(OHW!$A$5:$A$1668,OHW!$A597,OHW!$C$5:$C$1668,OHW!$C597))</f>
        <v/>
      </c>
      <c r="L1644">
        <f>IF(OHW!$G597="","",OHW!$D597&amp;"")</f>
        <v/>
      </c>
      <c r="M1644">
        <f>IF(OHW!$G597="","",OHW!$F597)</f>
        <v/>
      </c>
      <c r="N1644">
        <f>IF(OHW!$G597="","",OHW!$G597)</f>
        <v/>
      </c>
      <c r="O1644">
        <f>IF(OHW!$G597="","",OHW!$I597)</f>
        <v/>
      </c>
      <c r="P1644">
        <f>IF(OHW!$G597="","","Final")</f>
        <v/>
      </c>
    </row>
    <row r="1645">
      <c r="A1645">
        <f>IF(OHW!$G598="","","OHW")</f>
        <v/>
      </c>
      <c r="B1645">
        <f>IF(OHW!$G598="","","OHW")</f>
        <v/>
      </c>
      <c r="C1645" s="18">
        <f>IF(OHW!$G598="","",OHW!$A598)</f>
        <v/>
      </c>
      <c r="F1645">
        <f>IF(OHW!$G598="","",OHW!$B598&amp;"")</f>
        <v/>
      </c>
      <c r="J1645">
        <f>IF(OHW!$G598="","",OHW!$E598)</f>
        <v/>
      </c>
      <c r="K1645">
        <f>IF(OHW!$G598="","",COUNTIFS(OHW!$A$5:$A$1668,OHW!$A598,OHW!$C$5:$C$1668,OHW!$C598))</f>
        <v/>
      </c>
      <c r="L1645">
        <f>IF(OHW!$G598="","",OHW!$D598&amp;"")</f>
        <v/>
      </c>
      <c r="M1645">
        <f>IF(OHW!$G598="","",OHW!$F598)</f>
        <v/>
      </c>
      <c r="N1645">
        <f>IF(OHW!$G598="","",OHW!$G598)</f>
        <v/>
      </c>
      <c r="O1645">
        <f>IF(OHW!$G598="","",OHW!$I598)</f>
        <v/>
      </c>
      <c r="P1645">
        <f>IF(OHW!$G598="","","Final")</f>
        <v/>
      </c>
    </row>
    <row r="1646">
      <c r="A1646">
        <f>IF(OHW!$G599="","","OHW")</f>
        <v/>
      </c>
      <c r="B1646">
        <f>IF(OHW!$G599="","","OHW")</f>
        <v/>
      </c>
      <c r="C1646" s="18">
        <f>IF(OHW!$G599="","",OHW!$A599)</f>
        <v/>
      </c>
      <c r="F1646">
        <f>IF(OHW!$G599="","",OHW!$B599&amp;"")</f>
        <v/>
      </c>
      <c r="J1646">
        <f>IF(OHW!$G599="","",OHW!$E599)</f>
        <v/>
      </c>
      <c r="K1646">
        <f>IF(OHW!$G599="","",COUNTIFS(OHW!$A$5:$A$1668,OHW!$A599,OHW!$C$5:$C$1668,OHW!$C599))</f>
        <v/>
      </c>
      <c r="L1646">
        <f>IF(OHW!$G599="","",OHW!$D599&amp;"")</f>
        <v/>
      </c>
      <c r="M1646">
        <f>IF(OHW!$G599="","",OHW!$F599)</f>
        <v/>
      </c>
      <c r="N1646">
        <f>IF(OHW!$G599="","",OHW!$G599)</f>
        <v/>
      </c>
      <c r="O1646">
        <f>IF(OHW!$G599="","",OHW!$I599)</f>
        <v/>
      </c>
      <c r="P1646">
        <f>IF(OHW!$G599="","","Final")</f>
        <v/>
      </c>
    </row>
    <row r="1647">
      <c r="A1647">
        <f>IF(OHW!$G600="","","OHW")</f>
        <v/>
      </c>
      <c r="B1647">
        <f>IF(OHW!$G600="","","OHW")</f>
        <v/>
      </c>
      <c r="C1647" s="18">
        <f>IF(OHW!$G600="","",OHW!$A600)</f>
        <v/>
      </c>
      <c r="F1647">
        <f>IF(OHW!$G600="","",OHW!$B600&amp;"")</f>
        <v/>
      </c>
      <c r="J1647">
        <f>IF(OHW!$G600="","",OHW!$E600)</f>
        <v/>
      </c>
      <c r="K1647">
        <f>IF(OHW!$G600="","",COUNTIFS(OHW!$A$5:$A$1668,OHW!$A600,OHW!$C$5:$C$1668,OHW!$C600))</f>
        <v/>
      </c>
      <c r="L1647">
        <f>IF(OHW!$G600="","",OHW!$D600&amp;"")</f>
        <v/>
      </c>
      <c r="M1647">
        <f>IF(OHW!$G600="","",OHW!$F600)</f>
        <v/>
      </c>
      <c r="N1647">
        <f>IF(OHW!$G600="","",OHW!$G600)</f>
        <v/>
      </c>
      <c r="O1647">
        <f>IF(OHW!$G600="","",OHW!$I600)</f>
        <v/>
      </c>
      <c r="P1647">
        <f>IF(OHW!$G600="","","Final")</f>
        <v/>
      </c>
    </row>
    <row r="1648">
      <c r="A1648">
        <f>IF(OHW!$G601="","","OHW")</f>
        <v/>
      </c>
      <c r="B1648">
        <f>IF(OHW!$G601="","","OHW")</f>
        <v/>
      </c>
      <c r="C1648" s="18">
        <f>IF(OHW!$G601="","",OHW!$A601)</f>
        <v/>
      </c>
      <c r="F1648">
        <f>IF(OHW!$G601="","",OHW!$B601&amp;"")</f>
        <v/>
      </c>
      <c r="J1648">
        <f>IF(OHW!$G601="","",OHW!$E601)</f>
        <v/>
      </c>
      <c r="K1648">
        <f>IF(OHW!$G601="","",COUNTIFS(OHW!$A$5:$A$1668,OHW!$A601,OHW!$C$5:$C$1668,OHW!$C601))</f>
        <v/>
      </c>
      <c r="L1648">
        <f>IF(OHW!$G601="","",OHW!$D601&amp;"")</f>
        <v/>
      </c>
      <c r="M1648">
        <f>IF(OHW!$G601="","",OHW!$F601)</f>
        <v/>
      </c>
      <c r="N1648">
        <f>IF(OHW!$G601="","",OHW!$G601)</f>
        <v/>
      </c>
      <c r="O1648">
        <f>IF(OHW!$G601="","",OHW!$I601)</f>
        <v/>
      </c>
      <c r="P1648">
        <f>IF(OHW!$G601="","","Final")</f>
        <v/>
      </c>
    </row>
    <row r="1649">
      <c r="A1649">
        <f>IF(OHW!$G602="","","OHW")</f>
        <v/>
      </c>
      <c r="B1649">
        <f>IF(OHW!$G602="","","OHW")</f>
        <v/>
      </c>
      <c r="C1649" s="18">
        <f>IF(OHW!$G602="","",OHW!$A602)</f>
        <v/>
      </c>
      <c r="F1649">
        <f>IF(OHW!$G602="","",OHW!$B602&amp;"")</f>
        <v/>
      </c>
      <c r="J1649">
        <f>IF(OHW!$G602="","",OHW!$E602)</f>
        <v/>
      </c>
      <c r="K1649">
        <f>IF(OHW!$G602="","",COUNTIFS(OHW!$A$5:$A$1668,OHW!$A602,OHW!$C$5:$C$1668,OHW!$C602))</f>
        <v/>
      </c>
      <c r="L1649">
        <f>IF(OHW!$G602="","",OHW!$D602&amp;"")</f>
        <v/>
      </c>
      <c r="M1649">
        <f>IF(OHW!$G602="","",OHW!$F602)</f>
        <v/>
      </c>
      <c r="N1649">
        <f>IF(OHW!$G602="","",OHW!$G602)</f>
        <v/>
      </c>
      <c r="O1649">
        <f>IF(OHW!$G602="","",OHW!$I602)</f>
        <v/>
      </c>
      <c r="P1649">
        <f>IF(OHW!$G602="","","Final")</f>
        <v/>
      </c>
    </row>
    <row r="1650">
      <c r="A1650">
        <f>IF(OHW!$G603="","","OHW")</f>
        <v/>
      </c>
      <c r="B1650">
        <f>IF(OHW!$G603="","","OHW")</f>
        <v/>
      </c>
      <c r="C1650" s="18">
        <f>IF(OHW!$G603="","",OHW!$A603)</f>
        <v/>
      </c>
      <c r="F1650">
        <f>IF(OHW!$G603="","",OHW!$B603&amp;"")</f>
        <v/>
      </c>
      <c r="J1650">
        <f>IF(OHW!$G603="","",OHW!$E603)</f>
        <v/>
      </c>
      <c r="K1650">
        <f>IF(OHW!$G603="","",COUNTIFS(OHW!$A$5:$A$1668,OHW!$A603,OHW!$C$5:$C$1668,OHW!$C603))</f>
        <v/>
      </c>
      <c r="L1650">
        <f>IF(OHW!$G603="","",OHW!$D603&amp;"")</f>
        <v/>
      </c>
      <c r="M1650">
        <f>IF(OHW!$G603="","",OHW!$F603)</f>
        <v/>
      </c>
      <c r="N1650">
        <f>IF(OHW!$G603="","",OHW!$G603)</f>
        <v/>
      </c>
      <c r="O1650">
        <f>IF(OHW!$G603="","",OHW!$I603)</f>
        <v/>
      </c>
      <c r="P1650">
        <f>IF(OHW!$G603="","","Final")</f>
        <v/>
      </c>
    </row>
    <row r="1651">
      <c r="A1651">
        <f>IF(OHW!$G604="","","OHW")</f>
        <v/>
      </c>
      <c r="B1651">
        <f>IF(OHW!$G604="","","OHW")</f>
        <v/>
      </c>
      <c r="C1651" s="18">
        <f>IF(OHW!$G604="","",OHW!$A604)</f>
        <v/>
      </c>
      <c r="F1651">
        <f>IF(OHW!$G604="","",OHW!$B604&amp;"")</f>
        <v/>
      </c>
      <c r="J1651">
        <f>IF(OHW!$G604="","",OHW!$E604)</f>
        <v/>
      </c>
      <c r="K1651">
        <f>IF(OHW!$G604="","",COUNTIFS(OHW!$A$5:$A$1668,OHW!$A604,OHW!$C$5:$C$1668,OHW!$C604))</f>
        <v/>
      </c>
      <c r="L1651">
        <f>IF(OHW!$G604="","",OHW!$D604&amp;"")</f>
        <v/>
      </c>
      <c r="M1651">
        <f>IF(OHW!$G604="","",OHW!$F604)</f>
        <v/>
      </c>
      <c r="N1651">
        <f>IF(OHW!$G604="","",OHW!$G604)</f>
        <v/>
      </c>
      <c r="O1651">
        <f>IF(OHW!$G604="","",OHW!$I604)</f>
        <v/>
      </c>
      <c r="P1651">
        <f>IF(OHW!$G604="","","Final")</f>
        <v/>
      </c>
    </row>
    <row r="1652">
      <c r="A1652">
        <f>IF(OHW!$G605="","","OHW")</f>
        <v/>
      </c>
      <c r="B1652">
        <f>IF(OHW!$G605="","","OHW")</f>
        <v/>
      </c>
      <c r="C1652" s="18">
        <f>IF(OHW!$G605="","",OHW!$A605)</f>
        <v/>
      </c>
      <c r="F1652">
        <f>IF(OHW!$G605="","",OHW!$B605&amp;"")</f>
        <v/>
      </c>
      <c r="J1652">
        <f>IF(OHW!$G605="","",OHW!$E605)</f>
        <v/>
      </c>
      <c r="K1652">
        <f>IF(OHW!$G605="","",COUNTIFS(OHW!$A$5:$A$1668,OHW!$A605,OHW!$C$5:$C$1668,OHW!$C605))</f>
        <v/>
      </c>
      <c r="L1652">
        <f>IF(OHW!$G605="","",OHW!$D605&amp;"")</f>
        <v/>
      </c>
      <c r="M1652">
        <f>IF(OHW!$G605="","",OHW!$F605)</f>
        <v/>
      </c>
      <c r="N1652">
        <f>IF(OHW!$G605="","",OHW!$G605)</f>
        <v/>
      </c>
      <c r="O1652">
        <f>IF(OHW!$G605="","",OHW!$I605)</f>
        <v/>
      </c>
      <c r="P1652">
        <f>IF(OHW!$G605="","","Final")</f>
        <v/>
      </c>
    </row>
    <row r="1653">
      <c r="A1653">
        <f>IF(OHW!$G606="","","OHW")</f>
        <v/>
      </c>
      <c r="B1653">
        <f>IF(OHW!$G606="","","OHW")</f>
        <v/>
      </c>
      <c r="C1653" s="18">
        <f>IF(OHW!$G606="","",OHW!$A606)</f>
        <v/>
      </c>
      <c r="F1653">
        <f>IF(OHW!$G606="","",OHW!$B606&amp;"")</f>
        <v/>
      </c>
      <c r="J1653">
        <f>IF(OHW!$G606="","",OHW!$E606)</f>
        <v/>
      </c>
      <c r="K1653">
        <f>IF(OHW!$G606="","",COUNTIFS(OHW!$A$5:$A$1668,OHW!$A606,OHW!$C$5:$C$1668,OHW!$C606))</f>
        <v/>
      </c>
      <c r="L1653">
        <f>IF(OHW!$G606="","",OHW!$D606&amp;"")</f>
        <v/>
      </c>
      <c r="M1653">
        <f>IF(OHW!$G606="","",OHW!$F606)</f>
        <v/>
      </c>
      <c r="N1653">
        <f>IF(OHW!$G606="","",OHW!$G606)</f>
        <v/>
      </c>
      <c r="O1653">
        <f>IF(OHW!$G606="","",OHW!$I606)</f>
        <v/>
      </c>
      <c r="P1653">
        <f>IF(OHW!$G606="","","Final")</f>
        <v/>
      </c>
    </row>
    <row r="1654">
      <c r="A1654">
        <f>IF(OHW!$G607="","","OHW")</f>
        <v/>
      </c>
      <c r="B1654">
        <f>IF(OHW!$G607="","","OHW")</f>
        <v/>
      </c>
      <c r="C1654" s="18">
        <f>IF(OHW!$G607="","",OHW!$A607)</f>
        <v/>
      </c>
      <c r="F1654">
        <f>IF(OHW!$G607="","",OHW!$B607&amp;"")</f>
        <v/>
      </c>
      <c r="J1654">
        <f>IF(OHW!$G607="","",OHW!$E607)</f>
        <v/>
      </c>
      <c r="K1654">
        <f>IF(OHW!$G607="","",COUNTIFS(OHW!$A$5:$A$1668,OHW!$A607,OHW!$C$5:$C$1668,OHW!$C607))</f>
        <v/>
      </c>
      <c r="L1654">
        <f>IF(OHW!$G607="","",OHW!$D607&amp;"")</f>
        <v/>
      </c>
      <c r="M1654">
        <f>IF(OHW!$G607="","",OHW!$F607)</f>
        <v/>
      </c>
      <c r="N1654">
        <f>IF(OHW!$G607="","",OHW!$G607)</f>
        <v/>
      </c>
      <c r="O1654">
        <f>IF(OHW!$G607="","",OHW!$I607)</f>
        <v/>
      </c>
      <c r="P1654">
        <f>IF(OHW!$G607="","","Final")</f>
        <v/>
      </c>
    </row>
    <row r="1655">
      <c r="A1655">
        <f>IF(OHW!$G608="","","OHW")</f>
        <v/>
      </c>
      <c r="B1655">
        <f>IF(OHW!$G608="","","OHW")</f>
        <v/>
      </c>
      <c r="C1655" s="18">
        <f>IF(OHW!$G608="","",OHW!$A608)</f>
        <v/>
      </c>
      <c r="F1655">
        <f>IF(OHW!$G608="","",OHW!$B608&amp;"")</f>
        <v/>
      </c>
      <c r="J1655">
        <f>IF(OHW!$G608="","",OHW!$E608)</f>
        <v/>
      </c>
      <c r="K1655">
        <f>IF(OHW!$G608="","",COUNTIFS(OHW!$A$5:$A$1668,OHW!$A608,OHW!$C$5:$C$1668,OHW!$C608))</f>
        <v/>
      </c>
      <c r="L1655">
        <f>IF(OHW!$G608="","",OHW!$D608&amp;"")</f>
        <v/>
      </c>
      <c r="M1655">
        <f>IF(OHW!$G608="","",OHW!$F608)</f>
        <v/>
      </c>
      <c r="N1655">
        <f>IF(OHW!$G608="","",OHW!$G608)</f>
        <v/>
      </c>
      <c r="O1655">
        <f>IF(OHW!$G608="","",OHW!$I608)</f>
        <v/>
      </c>
      <c r="P1655">
        <f>IF(OHW!$G608="","","Final")</f>
        <v/>
      </c>
    </row>
    <row r="1656">
      <c r="A1656">
        <f>IF(OHW!$G609="","","OHW")</f>
        <v/>
      </c>
      <c r="B1656">
        <f>IF(OHW!$G609="","","OHW")</f>
        <v/>
      </c>
      <c r="C1656" s="18">
        <f>IF(OHW!$G609="","",OHW!$A609)</f>
        <v/>
      </c>
      <c r="F1656">
        <f>IF(OHW!$G609="","",OHW!$B609&amp;"")</f>
        <v/>
      </c>
      <c r="J1656">
        <f>IF(OHW!$G609="","",OHW!$E609)</f>
        <v/>
      </c>
      <c r="K1656">
        <f>IF(OHW!$G609="","",COUNTIFS(OHW!$A$5:$A$1668,OHW!$A609,OHW!$C$5:$C$1668,OHW!$C609))</f>
        <v/>
      </c>
      <c r="L1656">
        <f>IF(OHW!$G609="","",OHW!$D609&amp;"")</f>
        <v/>
      </c>
      <c r="M1656">
        <f>IF(OHW!$G609="","",OHW!$F609)</f>
        <v/>
      </c>
      <c r="N1656">
        <f>IF(OHW!$G609="","",OHW!$G609)</f>
        <v/>
      </c>
      <c r="O1656">
        <f>IF(OHW!$G609="","",OHW!$I609)</f>
        <v/>
      </c>
      <c r="P1656">
        <f>IF(OHW!$G609="","","Final")</f>
        <v/>
      </c>
    </row>
    <row r="1657">
      <c r="A1657">
        <f>IF(OHW!$G610="","","OHW")</f>
        <v/>
      </c>
      <c r="B1657">
        <f>IF(OHW!$G610="","","OHW")</f>
        <v/>
      </c>
      <c r="C1657" s="18">
        <f>IF(OHW!$G610="","",OHW!$A610)</f>
        <v/>
      </c>
      <c r="F1657">
        <f>IF(OHW!$G610="","",OHW!$B610&amp;"")</f>
        <v/>
      </c>
      <c r="J1657">
        <f>IF(OHW!$G610="","",OHW!$E610)</f>
        <v/>
      </c>
      <c r="K1657">
        <f>IF(OHW!$G610="","",COUNTIFS(OHW!$A$5:$A$1668,OHW!$A610,OHW!$C$5:$C$1668,OHW!$C610))</f>
        <v/>
      </c>
      <c r="L1657">
        <f>IF(OHW!$G610="","",OHW!$D610&amp;"")</f>
        <v/>
      </c>
      <c r="M1657">
        <f>IF(OHW!$G610="","",OHW!$F610)</f>
        <v/>
      </c>
      <c r="N1657">
        <f>IF(OHW!$G610="","",OHW!$G610)</f>
        <v/>
      </c>
      <c r="O1657">
        <f>IF(OHW!$G610="","",OHW!$I610)</f>
        <v/>
      </c>
      <c r="P1657">
        <f>IF(OHW!$G610="","","Final")</f>
        <v/>
      </c>
    </row>
    <row r="1658">
      <c r="A1658">
        <f>IF(OHW!$G611="","","OHW")</f>
        <v/>
      </c>
      <c r="B1658">
        <f>IF(OHW!$G611="","","OHW")</f>
        <v/>
      </c>
      <c r="C1658" s="18">
        <f>IF(OHW!$G611="","",OHW!$A611)</f>
        <v/>
      </c>
      <c r="F1658">
        <f>IF(OHW!$G611="","",OHW!$B611&amp;"")</f>
        <v/>
      </c>
      <c r="J1658">
        <f>IF(OHW!$G611="","",OHW!$E611)</f>
        <v/>
      </c>
      <c r="K1658">
        <f>IF(OHW!$G611="","",COUNTIFS(OHW!$A$5:$A$1668,OHW!$A611,OHW!$C$5:$C$1668,OHW!$C611))</f>
        <v/>
      </c>
      <c r="L1658">
        <f>IF(OHW!$G611="","",OHW!$D611&amp;"")</f>
        <v/>
      </c>
      <c r="M1658">
        <f>IF(OHW!$G611="","",OHW!$F611)</f>
        <v/>
      </c>
      <c r="N1658">
        <f>IF(OHW!$G611="","",OHW!$G611)</f>
        <v/>
      </c>
      <c r="O1658">
        <f>IF(OHW!$G611="","",OHW!$I611)</f>
        <v/>
      </c>
      <c r="P1658">
        <f>IF(OHW!$G611="","","Final")</f>
        <v/>
      </c>
    </row>
    <row r="1659">
      <c r="A1659">
        <f>IF(OHW!$G612="","","OHW")</f>
        <v/>
      </c>
      <c r="B1659">
        <f>IF(OHW!$G612="","","OHW")</f>
        <v/>
      </c>
      <c r="C1659" s="18">
        <f>IF(OHW!$G612="","",OHW!$A612)</f>
        <v/>
      </c>
      <c r="F1659">
        <f>IF(OHW!$G612="","",OHW!$B612&amp;"")</f>
        <v/>
      </c>
      <c r="J1659">
        <f>IF(OHW!$G612="","",OHW!$E612)</f>
        <v/>
      </c>
      <c r="K1659">
        <f>IF(OHW!$G612="","",COUNTIFS(OHW!$A$5:$A$1668,OHW!$A612,OHW!$C$5:$C$1668,OHW!$C612))</f>
        <v/>
      </c>
      <c r="L1659">
        <f>IF(OHW!$G612="","",OHW!$D612&amp;"")</f>
        <v/>
      </c>
      <c r="M1659">
        <f>IF(OHW!$G612="","",OHW!$F612)</f>
        <v/>
      </c>
      <c r="N1659">
        <f>IF(OHW!$G612="","",OHW!$G612)</f>
        <v/>
      </c>
      <c r="O1659">
        <f>IF(OHW!$G612="","",OHW!$I612)</f>
        <v/>
      </c>
      <c r="P1659">
        <f>IF(OHW!$G612="","","Final")</f>
        <v/>
      </c>
    </row>
    <row r="1660">
      <c r="A1660">
        <f>IF(OHW!$G613="","","OHW")</f>
        <v/>
      </c>
      <c r="B1660">
        <f>IF(OHW!$G613="","","OHW")</f>
        <v/>
      </c>
      <c r="C1660" s="18">
        <f>IF(OHW!$G613="","",OHW!$A613)</f>
        <v/>
      </c>
      <c r="F1660">
        <f>IF(OHW!$G613="","",OHW!$B613&amp;"")</f>
        <v/>
      </c>
      <c r="J1660">
        <f>IF(OHW!$G613="","",OHW!$E613)</f>
        <v/>
      </c>
      <c r="K1660">
        <f>IF(OHW!$G613="","",COUNTIFS(OHW!$A$5:$A$1668,OHW!$A613,OHW!$C$5:$C$1668,OHW!$C613))</f>
        <v/>
      </c>
      <c r="L1660">
        <f>IF(OHW!$G613="","",OHW!$D613&amp;"")</f>
        <v/>
      </c>
      <c r="M1660">
        <f>IF(OHW!$G613="","",OHW!$F613)</f>
        <v/>
      </c>
      <c r="N1660">
        <f>IF(OHW!$G613="","",OHW!$G613)</f>
        <v/>
      </c>
      <c r="O1660">
        <f>IF(OHW!$G613="","",OHW!$I613)</f>
        <v/>
      </c>
      <c r="P1660">
        <f>IF(OHW!$G613="","","Final")</f>
        <v/>
      </c>
    </row>
    <row r="1661">
      <c r="A1661">
        <f>IF(OHW!$G614="","","OHW")</f>
        <v/>
      </c>
      <c r="B1661">
        <f>IF(OHW!$G614="","","OHW")</f>
        <v/>
      </c>
      <c r="C1661" s="18">
        <f>IF(OHW!$G614="","",OHW!$A614)</f>
        <v/>
      </c>
      <c r="F1661">
        <f>IF(OHW!$G614="","",OHW!$B614&amp;"")</f>
        <v/>
      </c>
      <c r="J1661">
        <f>IF(OHW!$G614="","",OHW!$E614)</f>
        <v/>
      </c>
      <c r="K1661">
        <f>IF(OHW!$G614="","",COUNTIFS(OHW!$A$5:$A$1668,OHW!$A614,OHW!$C$5:$C$1668,OHW!$C614))</f>
        <v/>
      </c>
      <c r="L1661">
        <f>IF(OHW!$G614="","",OHW!$D614&amp;"")</f>
        <v/>
      </c>
      <c r="M1661">
        <f>IF(OHW!$G614="","",OHW!$F614)</f>
        <v/>
      </c>
      <c r="N1661">
        <f>IF(OHW!$G614="","",OHW!$G614)</f>
        <v/>
      </c>
      <c r="O1661">
        <f>IF(OHW!$G614="","",OHW!$I614)</f>
        <v/>
      </c>
      <c r="P1661">
        <f>IF(OHW!$G614="","","Final")</f>
        <v/>
      </c>
    </row>
    <row r="1662">
      <c r="A1662">
        <f>IF(OHW!$G615="","","OHW")</f>
        <v/>
      </c>
      <c r="B1662">
        <f>IF(OHW!$G615="","","OHW")</f>
        <v/>
      </c>
      <c r="C1662" s="18">
        <f>IF(OHW!$G615="","",OHW!$A615)</f>
        <v/>
      </c>
      <c r="F1662">
        <f>IF(OHW!$G615="","",OHW!$B615&amp;"")</f>
        <v/>
      </c>
      <c r="J1662">
        <f>IF(OHW!$G615="","",OHW!$E615)</f>
        <v/>
      </c>
      <c r="K1662">
        <f>IF(OHW!$G615="","",COUNTIFS(OHW!$A$5:$A$1668,OHW!$A615,OHW!$C$5:$C$1668,OHW!$C615))</f>
        <v/>
      </c>
      <c r="L1662">
        <f>IF(OHW!$G615="","",OHW!$D615&amp;"")</f>
        <v/>
      </c>
      <c r="M1662">
        <f>IF(OHW!$G615="","",OHW!$F615)</f>
        <v/>
      </c>
      <c r="N1662">
        <f>IF(OHW!$G615="","",OHW!$G615)</f>
        <v/>
      </c>
      <c r="O1662">
        <f>IF(OHW!$G615="","",OHW!$I615)</f>
        <v/>
      </c>
      <c r="P1662">
        <f>IF(OHW!$G615="","","Final")</f>
        <v/>
      </c>
    </row>
    <row r="1663">
      <c r="A1663">
        <f>IF(OHW!$G616="","","OHW")</f>
        <v/>
      </c>
      <c r="B1663">
        <f>IF(OHW!$G616="","","OHW")</f>
        <v/>
      </c>
      <c r="C1663" s="18">
        <f>IF(OHW!$G616="","",OHW!$A616)</f>
        <v/>
      </c>
      <c r="F1663">
        <f>IF(OHW!$G616="","",OHW!$B616&amp;"")</f>
        <v/>
      </c>
      <c r="J1663">
        <f>IF(OHW!$G616="","",OHW!$E616)</f>
        <v/>
      </c>
      <c r="K1663">
        <f>IF(OHW!$G616="","",COUNTIFS(OHW!$A$5:$A$1668,OHW!$A616,OHW!$C$5:$C$1668,OHW!$C616))</f>
        <v/>
      </c>
      <c r="L1663">
        <f>IF(OHW!$G616="","",OHW!$D616&amp;"")</f>
        <v/>
      </c>
      <c r="M1663">
        <f>IF(OHW!$G616="","",OHW!$F616)</f>
        <v/>
      </c>
      <c r="N1663">
        <f>IF(OHW!$G616="","",OHW!$G616)</f>
        <v/>
      </c>
      <c r="O1663">
        <f>IF(OHW!$G616="","",OHW!$I616)</f>
        <v/>
      </c>
      <c r="P1663">
        <f>IF(OHW!$G616="","","Final")</f>
        <v/>
      </c>
    </row>
    <row r="1664">
      <c r="A1664">
        <f>IF(OHW!$G617="","","OHW")</f>
        <v/>
      </c>
      <c r="B1664">
        <f>IF(OHW!$G617="","","OHW")</f>
        <v/>
      </c>
      <c r="C1664" s="18">
        <f>IF(OHW!$G617="","",OHW!$A617)</f>
        <v/>
      </c>
      <c r="F1664">
        <f>IF(OHW!$G617="","",OHW!$B617&amp;"")</f>
        <v/>
      </c>
      <c r="J1664">
        <f>IF(OHW!$G617="","",OHW!$E617)</f>
        <v/>
      </c>
      <c r="K1664">
        <f>IF(OHW!$G617="","",COUNTIFS(OHW!$A$5:$A$1668,OHW!$A617,OHW!$C$5:$C$1668,OHW!$C617))</f>
        <v/>
      </c>
      <c r="L1664">
        <f>IF(OHW!$G617="","",OHW!$D617&amp;"")</f>
        <v/>
      </c>
      <c r="M1664">
        <f>IF(OHW!$G617="","",OHW!$F617)</f>
        <v/>
      </c>
      <c r="N1664">
        <f>IF(OHW!$G617="","",OHW!$G617)</f>
        <v/>
      </c>
      <c r="O1664">
        <f>IF(OHW!$G617="","",OHW!$I617)</f>
        <v/>
      </c>
      <c r="P1664">
        <f>IF(OHW!$G617="","","Final")</f>
        <v/>
      </c>
    </row>
    <row r="1665">
      <c r="A1665">
        <f>IF(OHW!$G618="","","OHW")</f>
        <v/>
      </c>
      <c r="B1665">
        <f>IF(OHW!$G618="","","OHW")</f>
        <v/>
      </c>
      <c r="C1665" s="18">
        <f>IF(OHW!$G618="","",OHW!$A618)</f>
        <v/>
      </c>
      <c r="F1665">
        <f>IF(OHW!$G618="","",OHW!$B618&amp;"")</f>
        <v/>
      </c>
      <c r="J1665">
        <f>IF(OHW!$G618="","",OHW!$E618)</f>
        <v/>
      </c>
      <c r="K1665">
        <f>IF(OHW!$G618="","",COUNTIFS(OHW!$A$5:$A$1668,OHW!$A618,OHW!$C$5:$C$1668,OHW!$C618))</f>
        <v/>
      </c>
      <c r="L1665">
        <f>IF(OHW!$G618="","",OHW!$D618&amp;"")</f>
        <v/>
      </c>
      <c r="M1665">
        <f>IF(OHW!$G618="","",OHW!$F618)</f>
        <v/>
      </c>
      <c r="N1665">
        <f>IF(OHW!$G618="","",OHW!$G618)</f>
        <v/>
      </c>
      <c r="O1665">
        <f>IF(OHW!$G618="","",OHW!$I618)</f>
        <v/>
      </c>
      <c r="P1665">
        <f>IF(OHW!$G618="","","Final")</f>
        <v/>
      </c>
    </row>
    <row r="1666">
      <c r="A1666">
        <f>IF(OHW!$G619="","","OHW")</f>
        <v/>
      </c>
      <c r="B1666">
        <f>IF(OHW!$G619="","","OHW")</f>
        <v/>
      </c>
      <c r="C1666" s="18">
        <f>IF(OHW!$G619="","",OHW!$A619)</f>
        <v/>
      </c>
      <c r="F1666">
        <f>IF(OHW!$G619="","",OHW!$B619&amp;"")</f>
        <v/>
      </c>
      <c r="J1666">
        <f>IF(OHW!$G619="","",OHW!$E619)</f>
        <v/>
      </c>
      <c r="K1666">
        <f>IF(OHW!$G619="","",COUNTIFS(OHW!$A$5:$A$1668,OHW!$A619,OHW!$C$5:$C$1668,OHW!$C619))</f>
        <v/>
      </c>
      <c r="L1666">
        <f>IF(OHW!$G619="","",OHW!$D619&amp;"")</f>
        <v/>
      </c>
      <c r="M1666">
        <f>IF(OHW!$G619="","",OHW!$F619)</f>
        <v/>
      </c>
      <c r="N1666">
        <f>IF(OHW!$G619="","",OHW!$G619)</f>
        <v/>
      </c>
      <c r="O1666">
        <f>IF(OHW!$G619="","",OHW!$I619)</f>
        <v/>
      </c>
      <c r="P1666">
        <f>IF(OHW!$G619="","","Final")</f>
        <v/>
      </c>
    </row>
    <row r="1667">
      <c r="A1667">
        <f>IF(OHW!$G620="","","OHW")</f>
        <v/>
      </c>
      <c r="B1667">
        <f>IF(OHW!$G620="","","OHW")</f>
        <v/>
      </c>
      <c r="C1667" s="18">
        <f>IF(OHW!$G620="","",OHW!$A620)</f>
        <v/>
      </c>
      <c r="F1667">
        <f>IF(OHW!$G620="","",OHW!$B620&amp;"")</f>
        <v/>
      </c>
      <c r="J1667">
        <f>IF(OHW!$G620="","",OHW!$E620)</f>
        <v/>
      </c>
      <c r="K1667">
        <f>IF(OHW!$G620="","",COUNTIFS(OHW!$A$5:$A$1668,OHW!$A620,OHW!$C$5:$C$1668,OHW!$C620))</f>
        <v/>
      </c>
      <c r="L1667">
        <f>IF(OHW!$G620="","",OHW!$D620&amp;"")</f>
        <v/>
      </c>
      <c r="M1667">
        <f>IF(OHW!$G620="","",OHW!$F620)</f>
        <v/>
      </c>
      <c r="N1667">
        <f>IF(OHW!$G620="","",OHW!$G620)</f>
        <v/>
      </c>
      <c r="O1667">
        <f>IF(OHW!$G620="","",OHW!$I620)</f>
        <v/>
      </c>
      <c r="P1667">
        <f>IF(OHW!$G620="","","Final")</f>
        <v/>
      </c>
    </row>
    <row r="1668">
      <c r="A1668">
        <f>IF(OHW!$G621="","","OHW")</f>
        <v/>
      </c>
      <c r="B1668">
        <f>IF(OHW!$G621="","","OHW")</f>
        <v/>
      </c>
      <c r="C1668" s="18">
        <f>IF(OHW!$G621="","",OHW!$A621)</f>
        <v/>
      </c>
      <c r="F1668">
        <f>IF(OHW!$G621="","",OHW!$B621&amp;"")</f>
        <v/>
      </c>
      <c r="J1668">
        <f>IF(OHW!$G621="","",OHW!$E621)</f>
        <v/>
      </c>
      <c r="K1668">
        <f>IF(OHW!$G621="","",COUNTIFS(OHW!$A$5:$A$1668,OHW!$A621,OHW!$C$5:$C$1668,OHW!$C621))</f>
        <v/>
      </c>
      <c r="L1668">
        <f>IF(OHW!$G621="","",OHW!$D621&amp;"")</f>
        <v/>
      </c>
      <c r="M1668">
        <f>IF(OHW!$G621="","",OHW!$F621)</f>
        <v/>
      </c>
      <c r="N1668">
        <f>IF(OHW!$G621="","",OHW!$G621)</f>
        <v/>
      </c>
      <c r="O1668">
        <f>IF(OHW!$G621="","",OHW!$I621)</f>
        <v/>
      </c>
      <c r="P1668">
        <f>IF(OHW!$G621="","","Final")</f>
        <v/>
      </c>
    </row>
    <row r="1669">
      <c r="A1669">
        <f>IF(OHW!$G622="","","OHW")</f>
        <v/>
      </c>
      <c r="B1669">
        <f>IF(OHW!$G622="","","OHW")</f>
        <v/>
      </c>
      <c r="C1669" s="18">
        <f>IF(OHW!$G622="","",OHW!$A622)</f>
        <v/>
      </c>
      <c r="F1669">
        <f>IF(OHW!$G622="","",OHW!$B622&amp;"")</f>
        <v/>
      </c>
      <c r="J1669">
        <f>IF(OHW!$G622="","",OHW!$E622)</f>
        <v/>
      </c>
      <c r="K1669">
        <f>IF(OHW!$G622="","",COUNTIFS(OHW!$A$5:$A$1668,OHW!$A622,OHW!$C$5:$C$1668,OHW!$C622))</f>
        <v/>
      </c>
      <c r="L1669">
        <f>IF(OHW!$G622="","",OHW!$D622&amp;"")</f>
        <v/>
      </c>
      <c r="M1669">
        <f>IF(OHW!$G622="","",OHW!$F622)</f>
        <v/>
      </c>
      <c r="N1669">
        <f>IF(OHW!$G622="","",OHW!$G622)</f>
        <v/>
      </c>
      <c r="O1669">
        <f>IF(OHW!$G622="","",OHW!$I622)</f>
        <v/>
      </c>
      <c r="P1669">
        <f>IF(OHW!$G622="","","Final")</f>
        <v/>
      </c>
    </row>
    <row r="1670">
      <c r="A1670">
        <f>IF(OHW!$G623="","","OHW")</f>
        <v/>
      </c>
      <c r="B1670">
        <f>IF(OHW!$G623="","","OHW")</f>
        <v/>
      </c>
      <c r="C1670" s="18">
        <f>IF(OHW!$G623="","",OHW!$A623)</f>
        <v/>
      </c>
      <c r="F1670">
        <f>IF(OHW!$G623="","",OHW!$B623&amp;"")</f>
        <v/>
      </c>
      <c r="J1670">
        <f>IF(OHW!$G623="","",OHW!$E623)</f>
        <v/>
      </c>
      <c r="K1670">
        <f>IF(OHW!$G623="","",COUNTIFS(OHW!$A$5:$A$1668,OHW!$A623,OHW!$C$5:$C$1668,OHW!$C623))</f>
        <v/>
      </c>
      <c r="L1670">
        <f>IF(OHW!$G623="","",OHW!$D623&amp;"")</f>
        <v/>
      </c>
      <c r="M1670">
        <f>IF(OHW!$G623="","",OHW!$F623)</f>
        <v/>
      </c>
      <c r="N1670">
        <f>IF(OHW!$G623="","",OHW!$G623)</f>
        <v/>
      </c>
      <c r="O1670">
        <f>IF(OHW!$G623="","",OHW!$I623)</f>
        <v/>
      </c>
      <c r="P1670">
        <f>IF(OHW!$G623="","","Final")</f>
        <v/>
      </c>
    </row>
    <row r="1671">
      <c r="A1671">
        <f>IF(OHW!$G624="","","OHW")</f>
        <v/>
      </c>
      <c r="B1671">
        <f>IF(OHW!$G624="","","OHW")</f>
        <v/>
      </c>
      <c r="C1671" s="18">
        <f>IF(OHW!$G624="","",OHW!$A624)</f>
        <v/>
      </c>
      <c r="F1671">
        <f>IF(OHW!$G624="","",OHW!$B624&amp;"")</f>
        <v/>
      </c>
      <c r="J1671">
        <f>IF(OHW!$G624="","",OHW!$E624)</f>
        <v/>
      </c>
      <c r="K1671">
        <f>IF(OHW!$G624="","",COUNTIFS(OHW!$A$5:$A$1668,OHW!$A624,OHW!$C$5:$C$1668,OHW!$C624))</f>
        <v/>
      </c>
      <c r="L1671">
        <f>IF(OHW!$G624="","",OHW!$D624&amp;"")</f>
        <v/>
      </c>
      <c r="M1671">
        <f>IF(OHW!$G624="","",OHW!$F624)</f>
        <v/>
      </c>
      <c r="N1671">
        <f>IF(OHW!$G624="","",OHW!$G624)</f>
        <v/>
      </c>
      <c r="O1671">
        <f>IF(OHW!$G624="","",OHW!$I624)</f>
        <v/>
      </c>
      <c r="P1671">
        <f>IF(OHW!$G624="","","Final")</f>
        <v/>
      </c>
    </row>
    <row r="1672">
      <c r="A1672">
        <f>IF(OHW!$G625="","","OHW")</f>
        <v/>
      </c>
      <c r="B1672">
        <f>IF(OHW!$G625="","","OHW")</f>
        <v/>
      </c>
      <c r="C1672" s="18">
        <f>IF(OHW!$G625="","",OHW!$A625)</f>
        <v/>
      </c>
      <c r="F1672">
        <f>IF(OHW!$G625="","",OHW!$B625&amp;"")</f>
        <v/>
      </c>
      <c r="J1672">
        <f>IF(OHW!$G625="","",OHW!$E625)</f>
        <v/>
      </c>
      <c r="K1672">
        <f>IF(OHW!$G625="","",COUNTIFS(OHW!$A$5:$A$1668,OHW!$A625,OHW!$C$5:$C$1668,OHW!$C625))</f>
        <v/>
      </c>
      <c r="L1672">
        <f>IF(OHW!$G625="","",OHW!$D625&amp;"")</f>
        <v/>
      </c>
      <c r="M1672">
        <f>IF(OHW!$G625="","",OHW!$F625)</f>
        <v/>
      </c>
      <c r="N1672">
        <f>IF(OHW!$G625="","",OHW!$G625)</f>
        <v/>
      </c>
      <c r="O1672">
        <f>IF(OHW!$G625="","",OHW!$I625)</f>
        <v/>
      </c>
      <c r="P1672">
        <f>IF(OHW!$G625="","","Final")</f>
        <v/>
      </c>
    </row>
    <row r="1673">
      <c r="A1673">
        <f>IF(OHW!$G626="","","OHW")</f>
        <v/>
      </c>
      <c r="B1673">
        <f>IF(OHW!$G626="","","OHW")</f>
        <v/>
      </c>
      <c r="C1673" s="18">
        <f>IF(OHW!$G626="","",OHW!$A626)</f>
        <v/>
      </c>
      <c r="F1673">
        <f>IF(OHW!$G626="","",OHW!$B626&amp;"")</f>
        <v/>
      </c>
      <c r="J1673">
        <f>IF(OHW!$G626="","",OHW!$E626)</f>
        <v/>
      </c>
      <c r="K1673">
        <f>IF(OHW!$G626="","",COUNTIFS(OHW!$A$5:$A$1668,OHW!$A626,OHW!$C$5:$C$1668,OHW!$C626))</f>
        <v/>
      </c>
      <c r="L1673">
        <f>IF(OHW!$G626="","",OHW!$D626&amp;"")</f>
        <v/>
      </c>
      <c r="M1673">
        <f>IF(OHW!$G626="","",OHW!$F626)</f>
        <v/>
      </c>
      <c r="N1673">
        <f>IF(OHW!$G626="","",OHW!$G626)</f>
        <v/>
      </c>
      <c r="O1673">
        <f>IF(OHW!$G626="","",OHW!$I626)</f>
        <v/>
      </c>
      <c r="P1673">
        <f>IF(OHW!$G626="","","Final")</f>
        <v/>
      </c>
    </row>
    <row r="1674">
      <c r="A1674">
        <f>IF(OHW!$G627="","","OHW")</f>
        <v/>
      </c>
      <c r="B1674">
        <f>IF(OHW!$G627="","","OHW")</f>
        <v/>
      </c>
      <c r="C1674" s="18">
        <f>IF(OHW!$G627="","",OHW!$A627)</f>
        <v/>
      </c>
      <c r="F1674">
        <f>IF(OHW!$G627="","",OHW!$B627&amp;"")</f>
        <v/>
      </c>
      <c r="J1674">
        <f>IF(OHW!$G627="","",OHW!$E627)</f>
        <v/>
      </c>
      <c r="K1674">
        <f>IF(OHW!$G627="","",COUNTIFS(OHW!$A$5:$A$1668,OHW!$A627,OHW!$C$5:$C$1668,OHW!$C627))</f>
        <v/>
      </c>
      <c r="L1674">
        <f>IF(OHW!$G627="","",OHW!$D627&amp;"")</f>
        <v/>
      </c>
      <c r="M1674">
        <f>IF(OHW!$G627="","",OHW!$F627)</f>
        <v/>
      </c>
      <c r="N1674">
        <f>IF(OHW!$G627="","",OHW!$G627)</f>
        <v/>
      </c>
      <c r="O1674">
        <f>IF(OHW!$G627="","",OHW!$I627)</f>
        <v/>
      </c>
      <c r="P1674">
        <f>IF(OHW!$G627="","","Final")</f>
        <v/>
      </c>
    </row>
    <row r="1675">
      <c r="A1675">
        <f>IF(OHW!$G628="","","OHW")</f>
        <v/>
      </c>
      <c r="B1675">
        <f>IF(OHW!$G628="","","OHW")</f>
        <v/>
      </c>
      <c r="C1675" s="18">
        <f>IF(OHW!$G628="","",OHW!$A628)</f>
        <v/>
      </c>
      <c r="F1675">
        <f>IF(OHW!$G628="","",OHW!$B628&amp;"")</f>
        <v/>
      </c>
      <c r="J1675">
        <f>IF(OHW!$G628="","",OHW!$E628)</f>
        <v/>
      </c>
      <c r="K1675">
        <f>IF(OHW!$G628="","",COUNTIFS(OHW!$A$5:$A$1668,OHW!$A628,OHW!$C$5:$C$1668,OHW!$C628))</f>
        <v/>
      </c>
      <c r="L1675">
        <f>IF(OHW!$G628="","",OHW!$D628&amp;"")</f>
        <v/>
      </c>
      <c r="M1675">
        <f>IF(OHW!$G628="","",OHW!$F628)</f>
        <v/>
      </c>
      <c r="N1675">
        <f>IF(OHW!$G628="","",OHW!$G628)</f>
        <v/>
      </c>
      <c r="O1675">
        <f>IF(OHW!$G628="","",OHW!$I628)</f>
        <v/>
      </c>
      <c r="P1675">
        <f>IF(OHW!$G628="","","Final")</f>
        <v/>
      </c>
    </row>
    <row r="1676">
      <c r="A1676">
        <f>IF(OHW!$G629="","","OHW")</f>
        <v/>
      </c>
      <c r="B1676">
        <f>IF(OHW!$G629="","","OHW")</f>
        <v/>
      </c>
      <c r="C1676" s="18">
        <f>IF(OHW!$G629="","",OHW!$A629)</f>
        <v/>
      </c>
      <c r="F1676">
        <f>IF(OHW!$G629="","",OHW!$B629&amp;"")</f>
        <v/>
      </c>
      <c r="J1676">
        <f>IF(OHW!$G629="","",OHW!$E629)</f>
        <v/>
      </c>
      <c r="K1676">
        <f>IF(OHW!$G629="","",COUNTIFS(OHW!$A$5:$A$1668,OHW!$A629,OHW!$C$5:$C$1668,OHW!$C629))</f>
        <v/>
      </c>
      <c r="L1676">
        <f>IF(OHW!$G629="","",OHW!$D629&amp;"")</f>
        <v/>
      </c>
      <c r="M1676">
        <f>IF(OHW!$G629="","",OHW!$F629)</f>
        <v/>
      </c>
      <c r="N1676">
        <f>IF(OHW!$G629="","",OHW!$G629)</f>
        <v/>
      </c>
      <c r="O1676">
        <f>IF(OHW!$G629="","",OHW!$I629)</f>
        <v/>
      </c>
      <c r="P1676">
        <f>IF(OHW!$G629="","","Final")</f>
        <v/>
      </c>
    </row>
    <row r="1677">
      <c r="A1677">
        <f>IF(OHW!$G630="","","OHW")</f>
        <v/>
      </c>
      <c r="B1677">
        <f>IF(OHW!$G630="","","OHW")</f>
        <v/>
      </c>
      <c r="C1677" s="18">
        <f>IF(OHW!$G630="","",OHW!$A630)</f>
        <v/>
      </c>
      <c r="F1677">
        <f>IF(OHW!$G630="","",OHW!$B630&amp;"")</f>
        <v/>
      </c>
      <c r="J1677">
        <f>IF(OHW!$G630="","",OHW!$E630)</f>
        <v/>
      </c>
      <c r="K1677">
        <f>IF(OHW!$G630="","",COUNTIFS(OHW!$A$5:$A$1668,OHW!$A630,OHW!$C$5:$C$1668,OHW!$C630))</f>
        <v/>
      </c>
      <c r="L1677">
        <f>IF(OHW!$G630="","",OHW!$D630&amp;"")</f>
        <v/>
      </c>
      <c r="M1677">
        <f>IF(OHW!$G630="","",OHW!$F630)</f>
        <v/>
      </c>
      <c r="N1677">
        <f>IF(OHW!$G630="","",OHW!$G630)</f>
        <v/>
      </c>
      <c r="O1677">
        <f>IF(OHW!$G630="","",OHW!$I630)</f>
        <v/>
      </c>
      <c r="P1677">
        <f>IF(OHW!$G630="","","Final")</f>
        <v/>
      </c>
    </row>
    <row r="1678">
      <c r="A1678">
        <f>IF(OHW!$G631="","","OHW")</f>
        <v/>
      </c>
      <c r="B1678">
        <f>IF(OHW!$G631="","","OHW")</f>
        <v/>
      </c>
      <c r="C1678" s="18">
        <f>IF(OHW!$G631="","",OHW!$A631)</f>
        <v/>
      </c>
      <c r="F1678">
        <f>IF(OHW!$G631="","",OHW!$B631&amp;"")</f>
        <v/>
      </c>
      <c r="J1678">
        <f>IF(OHW!$G631="","",OHW!$E631)</f>
        <v/>
      </c>
      <c r="K1678">
        <f>IF(OHW!$G631="","",COUNTIFS(OHW!$A$5:$A$1668,OHW!$A631,OHW!$C$5:$C$1668,OHW!$C631))</f>
        <v/>
      </c>
      <c r="L1678">
        <f>IF(OHW!$G631="","",OHW!$D631&amp;"")</f>
        <v/>
      </c>
      <c r="M1678">
        <f>IF(OHW!$G631="","",OHW!$F631)</f>
        <v/>
      </c>
      <c r="N1678">
        <f>IF(OHW!$G631="","",OHW!$G631)</f>
        <v/>
      </c>
      <c r="O1678">
        <f>IF(OHW!$G631="","",OHW!$I631)</f>
        <v/>
      </c>
      <c r="P1678">
        <f>IF(OHW!$G631="","","Final")</f>
        <v/>
      </c>
    </row>
    <row r="1679">
      <c r="A1679">
        <f>IF(OHW!$G632="","","OHW")</f>
        <v/>
      </c>
      <c r="B1679">
        <f>IF(OHW!$G632="","","OHW")</f>
        <v/>
      </c>
      <c r="C1679" s="18">
        <f>IF(OHW!$G632="","",OHW!$A632)</f>
        <v/>
      </c>
      <c r="F1679">
        <f>IF(OHW!$G632="","",OHW!$B632&amp;"")</f>
        <v/>
      </c>
      <c r="J1679">
        <f>IF(OHW!$G632="","",OHW!$E632)</f>
        <v/>
      </c>
      <c r="K1679">
        <f>IF(OHW!$G632="","",COUNTIFS(OHW!$A$5:$A$1668,OHW!$A632,OHW!$C$5:$C$1668,OHW!$C632))</f>
        <v/>
      </c>
      <c r="L1679">
        <f>IF(OHW!$G632="","",OHW!$D632&amp;"")</f>
        <v/>
      </c>
      <c r="M1679">
        <f>IF(OHW!$G632="","",OHW!$F632)</f>
        <v/>
      </c>
      <c r="N1679">
        <f>IF(OHW!$G632="","",OHW!$G632)</f>
        <v/>
      </c>
      <c r="O1679">
        <f>IF(OHW!$G632="","",OHW!$I632)</f>
        <v/>
      </c>
      <c r="P1679">
        <f>IF(OHW!$G632="","","Final")</f>
        <v/>
      </c>
    </row>
    <row r="1680">
      <c r="A1680">
        <f>IF(OHW!$G633="","","OHW")</f>
        <v/>
      </c>
      <c r="B1680">
        <f>IF(OHW!$G633="","","OHW")</f>
        <v/>
      </c>
      <c r="C1680" s="18">
        <f>IF(OHW!$G633="","",OHW!$A633)</f>
        <v/>
      </c>
      <c r="F1680">
        <f>IF(OHW!$G633="","",OHW!$B633&amp;"")</f>
        <v/>
      </c>
      <c r="J1680">
        <f>IF(OHW!$G633="","",OHW!$E633)</f>
        <v/>
      </c>
      <c r="K1680">
        <f>IF(OHW!$G633="","",COUNTIFS(OHW!$A$5:$A$1668,OHW!$A633,OHW!$C$5:$C$1668,OHW!$C633))</f>
        <v/>
      </c>
      <c r="L1680">
        <f>IF(OHW!$G633="","",OHW!$D633&amp;"")</f>
        <v/>
      </c>
      <c r="M1680">
        <f>IF(OHW!$G633="","",OHW!$F633)</f>
        <v/>
      </c>
      <c r="N1680">
        <f>IF(OHW!$G633="","",OHW!$G633)</f>
        <v/>
      </c>
      <c r="O1680">
        <f>IF(OHW!$G633="","",OHW!$I633)</f>
        <v/>
      </c>
      <c r="P1680">
        <f>IF(OHW!$G633="","","Final")</f>
        <v/>
      </c>
    </row>
    <row r="1681">
      <c r="A1681">
        <f>IF(OHW!$G634="","","OHW")</f>
        <v/>
      </c>
      <c r="B1681">
        <f>IF(OHW!$G634="","","OHW")</f>
        <v/>
      </c>
      <c r="C1681" s="18">
        <f>IF(OHW!$G634="","",OHW!$A634)</f>
        <v/>
      </c>
      <c r="F1681">
        <f>IF(OHW!$G634="","",OHW!$B634&amp;"")</f>
        <v/>
      </c>
      <c r="J1681">
        <f>IF(OHW!$G634="","",OHW!$E634)</f>
        <v/>
      </c>
      <c r="K1681">
        <f>IF(OHW!$G634="","",COUNTIFS(OHW!$A$5:$A$1668,OHW!$A634,OHW!$C$5:$C$1668,OHW!$C634))</f>
        <v/>
      </c>
      <c r="L1681">
        <f>IF(OHW!$G634="","",OHW!$D634&amp;"")</f>
        <v/>
      </c>
      <c r="M1681">
        <f>IF(OHW!$G634="","",OHW!$F634)</f>
        <v/>
      </c>
      <c r="N1681">
        <f>IF(OHW!$G634="","",OHW!$G634)</f>
        <v/>
      </c>
      <c r="O1681">
        <f>IF(OHW!$G634="","",OHW!$I634)</f>
        <v/>
      </c>
      <c r="P1681">
        <f>IF(OHW!$G634="","","Final")</f>
        <v/>
      </c>
    </row>
    <row r="1682">
      <c r="A1682">
        <f>IF(OHW!$G635="","","OHW")</f>
        <v/>
      </c>
      <c r="B1682">
        <f>IF(OHW!$G635="","","OHW")</f>
        <v/>
      </c>
      <c r="C1682" s="18">
        <f>IF(OHW!$G635="","",OHW!$A635)</f>
        <v/>
      </c>
      <c r="F1682">
        <f>IF(OHW!$G635="","",OHW!$B635&amp;"")</f>
        <v/>
      </c>
      <c r="J1682">
        <f>IF(OHW!$G635="","",OHW!$E635)</f>
        <v/>
      </c>
      <c r="K1682">
        <f>IF(OHW!$G635="","",COUNTIFS(OHW!$A$5:$A$1668,OHW!$A635,OHW!$C$5:$C$1668,OHW!$C635))</f>
        <v/>
      </c>
      <c r="L1682">
        <f>IF(OHW!$G635="","",OHW!$D635&amp;"")</f>
        <v/>
      </c>
      <c r="M1682">
        <f>IF(OHW!$G635="","",OHW!$F635)</f>
        <v/>
      </c>
      <c r="N1682">
        <f>IF(OHW!$G635="","",OHW!$G635)</f>
        <v/>
      </c>
      <c r="O1682">
        <f>IF(OHW!$G635="","",OHW!$I635)</f>
        <v/>
      </c>
      <c r="P1682">
        <f>IF(OHW!$G635="","","Final")</f>
        <v/>
      </c>
    </row>
    <row r="1683">
      <c r="A1683">
        <f>IF(OHW!$G636="","","OHW")</f>
        <v/>
      </c>
      <c r="B1683">
        <f>IF(OHW!$G636="","","OHW")</f>
        <v/>
      </c>
      <c r="C1683" s="18">
        <f>IF(OHW!$G636="","",OHW!$A636)</f>
        <v/>
      </c>
      <c r="F1683">
        <f>IF(OHW!$G636="","",OHW!$B636&amp;"")</f>
        <v/>
      </c>
      <c r="J1683">
        <f>IF(OHW!$G636="","",OHW!$E636)</f>
        <v/>
      </c>
      <c r="K1683">
        <f>IF(OHW!$G636="","",COUNTIFS(OHW!$A$5:$A$1668,OHW!$A636,OHW!$C$5:$C$1668,OHW!$C636))</f>
        <v/>
      </c>
      <c r="L1683">
        <f>IF(OHW!$G636="","",OHW!$D636&amp;"")</f>
        <v/>
      </c>
      <c r="M1683">
        <f>IF(OHW!$G636="","",OHW!$F636)</f>
        <v/>
      </c>
      <c r="N1683">
        <f>IF(OHW!$G636="","",OHW!$G636)</f>
        <v/>
      </c>
      <c r="O1683">
        <f>IF(OHW!$G636="","",OHW!$I636)</f>
        <v/>
      </c>
      <c r="P1683">
        <f>IF(OHW!$G636="","","Final")</f>
        <v/>
      </c>
    </row>
    <row r="1684">
      <c r="A1684">
        <f>IF(OHW!$G637="","","OHW")</f>
        <v/>
      </c>
      <c r="B1684">
        <f>IF(OHW!$G637="","","OHW")</f>
        <v/>
      </c>
      <c r="C1684" s="18">
        <f>IF(OHW!$G637="","",OHW!$A637)</f>
        <v/>
      </c>
      <c r="F1684">
        <f>IF(OHW!$G637="","",OHW!$B637&amp;"")</f>
        <v/>
      </c>
      <c r="J1684">
        <f>IF(OHW!$G637="","",OHW!$E637)</f>
        <v/>
      </c>
      <c r="K1684">
        <f>IF(OHW!$G637="","",COUNTIFS(OHW!$A$5:$A$1668,OHW!$A637,OHW!$C$5:$C$1668,OHW!$C637))</f>
        <v/>
      </c>
      <c r="L1684">
        <f>IF(OHW!$G637="","",OHW!$D637&amp;"")</f>
        <v/>
      </c>
      <c r="M1684">
        <f>IF(OHW!$G637="","",OHW!$F637)</f>
        <v/>
      </c>
      <c r="N1684">
        <f>IF(OHW!$G637="","",OHW!$G637)</f>
        <v/>
      </c>
      <c r="O1684">
        <f>IF(OHW!$G637="","",OHW!$I637)</f>
        <v/>
      </c>
      <c r="P1684">
        <f>IF(OHW!$G637="","","Final")</f>
        <v/>
      </c>
    </row>
    <row r="1685">
      <c r="A1685">
        <f>IF(OHW!$G638="","","OHW")</f>
        <v/>
      </c>
      <c r="B1685">
        <f>IF(OHW!$G638="","","OHW")</f>
        <v/>
      </c>
      <c r="C1685" s="18">
        <f>IF(OHW!$G638="","",OHW!$A638)</f>
        <v/>
      </c>
      <c r="F1685">
        <f>IF(OHW!$G638="","",OHW!$B638&amp;"")</f>
        <v/>
      </c>
      <c r="J1685">
        <f>IF(OHW!$G638="","",OHW!$E638)</f>
        <v/>
      </c>
      <c r="K1685">
        <f>IF(OHW!$G638="","",COUNTIFS(OHW!$A$5:$A$1668,OHW!$A638,OHW!$C$5:$C$1668,OHW!$C638))</f>
        <v/>
      </c>
      <c r="L1685">
        <f>IF(OHW!$G638="","",OHW!$D638&amp;"")</f>
        <v/>
      </c>
      <c r="M1685">
        <f>IF(OHW!$G638="","",OHW!$F638)</f>
        <v/>
      </c>
      <c r="N1685">
        <f>IF(OHW!$G638="","",OHW!$G638)</f>
        <v/>
      </c>
      <c r="O1685">
        <f>IF(OHW!$G638="","",OHW!$I638)</f>
        <v/>
      </c>
      <c r="P1685">
        <f>IF(OHW!$G638="","","Final")</f>
        <v/>
      </c>
    </row>
    <row r="1686">
      <c r="A1686">
        <f>IF(OHW!$G639="","","OHW")</f>
        <v/>
      </c>
      <c r="B1686">
        <f>IF(OHW!$G639="","","OHW")</f>
        <v/>
      </c>
      <c r="C1686" s="18">
        <f>IF(OHW!$G639="","",OHW!$A639)</f>
        <v/>
      </c>
      <c r="F1686">
        <f>IF(OHW!$G639="","",OHW!$B639&amp;"")</f>
        <v/>
      </c>
      <c r="J1686">
        <f>IF(OHW!$G639="","",OHW!$E639)</f>
        <v/>
      </c>
      <c r="K1686">
        <f>IF(OHW!$G639="","",COUNTIFS(OHW!$A$5:$A$1668,OHW!$A639,OHW!$C$5:$C$1668,OHW!$C639))</f>
        <v/>
      </c>
      <c r="L1686">
        <f>IF(OHW!$G639="","",OHW!$D639&amp;"")</f>
        <v/>
      </c>
      <c r="M1686">
        <f>IF(OHW!$G639="","",OHW!$F639)</f>
        <v/>
      </c>
      <c r="N1686">
        <f>IF(OHW!$G639="","",OHW!$G639)</f>
        <v/>
      </c>
      <c r="O1686">
        <f>IF(OHW!$G639="","",OHW!$I639)</f>
        <v/>
      </c>
      <c r="P1686">
        <f>IF(OHW!$G639="","","Final")</f>
        <v/>
      </c>
    </row>
    <row r="1687">
      <c r="A1687">
        <f>IF(OHW!$G640="","","OHW")</f>
        <v/>
      </c>
      <c r="B1687">
        <f>IF(OHW!$G640="","","OHW")</f>
        <v/>
      </c>
      <c r="C1687" s="18">
        <f>IF(OHW!$G640="","",OHW!$A640)</f>
        <v/>
      </c>
      <c r="F1687">
        <f>IF(OHW!$G640="","",OHW!$B640&amp;"")</f>
        <v/>
      </c>
      <c r="J1687">
        <f>IF(OHW!$G640="","",OHW!$E640)</f>
        <v/>
      </c>
      <c r="K1687">
        <f>IF(OHW!$G640="","",COUNTIFS(OHW!$A$5:$A$1668,OHW!$A640,OHW!$C$5:$C$1668,OHW!$C640))</f>
        <v/>
      </c>
      <c r="L1687">
        <f>IF(OHW!$G640="","",OHW!$D640&amp;"")</f>
        <v/>
      </c>
      <c r="M1687">
        <f>IF(OHW!$G640="","",OHW!$F640)</f>
        <v/>
      </c>
      <c r="N1687">
        <f>IF(OHW!$G640="","",OHW!$G640)</f>
        <v/>
      </c>
      <c r="O1687">
        <f>IF(OHW!$G640="","",OHW!$I640)</f>
        <v/>
      </c>
      <c r="P1687">
        <f>IF(OHW!$G640="","","Final")</f>
        <v/>
      </c>
    </row>
    <row r="1688">
      <c r="A1688">
        <f>IF(OHW!$G641="","","OHW")</f>
        <v/>
      </c>
      <c r="B1688">
        <f>IF(OHW!$G641="","","OHW")</f>
        <v/>
      </c>
      <c r="C1688" s="18">
        <f>IF(OHW!$G641="","",OHW!$A641)</f>
        <v/>
      </c>
      <c r="F1688">
        <f>IF(OHW!$G641="","",OHW!$B641&amp;"")</f>
        <v/>
      </c>
      <c r="J1688">
        <f>IF(OHW!$G641="","",OHW!$E641)</f>
        <v/>
      </c>
      <c r="K1688">
        <f>IF(OHW!$G641="","",COUNTIFS(OHW!$A$5:$A$1668,OHW!$A641,OHW!$C$5:$C$1668,OHW!$C641))</f>
        <v/>
      </c>
      <c r="L1688">
        <f>IF(OHW!$G641="","",OHW!$D641&amp;"")</f>
        <v/>
      </c>
      <c r="M1688">
        <f>IF(OHW!$G641="","",OHW!$F641)</f>
        <v/>
      </c>
      <c r="N1688">
        <f>IF(OHW!$G641="","",OHW!$G641)</f>
        <v/>
      </c>
      <c r="O1688">
        <f>IF(OHW!$G641="","",OHW!$I641)</f>
        <v/>
      </c>
      <c r="P1688">
        <f>IF(OHW!$G641="","","Final")</f>
        <v/>
      </c>
    </row>
    <row r="1689">
      <c r="A1689">
        <f>IF(OHW!$G642="","","OHW")</f>
        <v/>
      </c>
      <c r="B1689">
        <f>IF(OHW!$G642="","","OHW")</f>
        <v/>
      </c>
      <c r="C1689" s="18">
        <f>IF(OHW!$G642="","",OHW!$A642)</f>
        <v/>
      </c>
      <c r="F1689">
        <f>IF(OHW!$G642="","",OHW!$B642&amp;"")</f>
        <v/>
      </c>
      <c r="J1689">
        <f>IF(OHW!$G642="","",OHW!$E642)</f>
        <v/>
      </c>
      <c r="K1689">
        <f>IF(OHW!$G642="","",COUNTIFS(OHW!$A$5:$A$1668,OHW!$A642,OHW!$C$5:$C$1668,OHW!$C642))</f>
        <v/>
      </c>
      <c r="L1689">
        <f>IF(OHW!$G642="","",OHW!$D642&amp;"")</f>
        <v/>
      </c>
      <c r="M1689">
        <f>IF(OHW!$G642="","",OHW!$F642)</f>
        <v/>
      </c>
      <c r="N1689">
        <f>IF(OHW!$G642="","",OHW!$G642)</f>
        <v/>
      </c>
      <c r="O1689">
        <f>IF(OHW!$G642="","",OHW!$I642)</f>
        <v/>
      </c>
      <c r="P1689">
        <f>IF(OHW!$G642="","","Final")</f>
        <v/>
      </c>
    </row>
    <row r="1690">
      <c r="A1690">
        <f>IF(OHW!$G643="","","OHW")</f>
        <v/>
      </c>
      <c r="B1690">
        <f>IF(OHW!$G643="","","OHW")</f>
        <v/>
      </c>
      <c r="C1690" s="18">
        <f>IF(OHW!$G643="","",OHW!$A643)</f>
        <v/>
      </c>
      <c r="F1690">
        <f>IF(OHW!$G643="","",OHW!$B643&amp;"")</f>
        <v/>
      </c>
      <c r="J1690">
        <f>IF(OHW!$G643="","",OHW!$E643)</f>
        <v/>
      </c>
      <c r="K1690">
        <f>IF(OHW!$G643="","",COUNTIFS(OHW!$A$5:$A$1668,OHW!$A643,OHW!$C$5:$C$1668,OHW!$C643))</f>
        <v/>
      </c>
      <c r="L1690">
        <f>IF(OHW!$G643="","",OHW!$D643&amp;"")</f>
        <v/>
      </c>
      <c r="M1690">
        <f>IF(OHW!$G643="","",OHW!$F643)</f>
        <v/>
      </c>
      <c r="N1690">
        <f>IF(OHW!$G643="","",OHW!$G643)</f>
        <v/>
      </c>
      <c r="O1690">
        <f>IF(OHW!$G643="","",OHW!$I643)</f>
        <v/>
      </c>
      <c r="P1690">
        <f>IF(OHW!$G643="","","Final")</f>
        <v/>
      </c>
    </row>
    <row r="1691">
      <c r="A1691">
        <f>IF(OHW!$G644="","","OHW")</f>
        <v/>
      </c>
      <c r="B1691">
        <f>IF(OHW!$G644="","","OHW")</f>
        <v/>
      </c>
      <c r="C1691" s="18">
        <f>IF(OHW!$G644="","",OHW!$A644)</f>
        <v/>
      </c>
      <c r="F1691">
        <f>IF(OHW!$G644="","",OHW!$B644&amp;"")</f>
        <v/>
      </c>
      <c r="J1691">
        <f>IF(OHW!$G644="","",OHW!$E644)</f>
        <v/>
      </c>
      <c r="K1691">
        <f>IF(OHW!$G644="","",COUNTIFS(OHW!$A$5:$A$1668,OHW!$A644,OHW!$C$5:$C$1668,OHW!$C644))</f>
        <v/>
      </c>
      <c r="L1691">
        <f>IF(OHW!$G644="","",OHW!$D644&amp;"")</f>
        <v/>
      </c>
      <c r="M1691">
        <f>IF(OHW!$G644="","",OHW!$F644)</f>
        <v/>
      </c>
      <c r="N1691">
        <f>IF(OHW!$G644="","",OHW!$G644)</f>
        <v/>
      </c>
      <c r="O1691">
        <f>IF(OHW!$G644="","",OHW!$I644)</f>
        <v/>
      </c>
      <c r="P1691">
        <f>IF(OHW!$G644="","","Final")</f>
        <v/>
      </c>
    </row>
    <row r="1692">
      <c r="A1692">
        <f>IF(OHW!$G645="","","OHW")</f>
        <v/>
      </c>
      <c r="B1692">
        <f>IF(OHW!$G645="","","OHW")</f>
        <v/>
      </c>
      <c r="C1692" s="18">
        <f>IF(OHW!$G645="","",OHW!$A645)</f>
        <v/>
      </c>
      <c r="F1692">
        <f>IF(OHW!$G645="","",OHW!$B645&amp;"")</f>
        <v/>
      </c>
      <c r="J1692">
        <f>IF(OHW!$G645="","",OHW!$E645)</f>
        <v/>
      </c>
      <c r="K1692">
        <f>IF(OHW!$G645="","",COUNTIFS(OHW!$A$5:$A$1668,OHW!$A645,OHW!$C$5:$C$1668,OHW!$C645))</f>
        <v/>
      </c>
      <c r="L1692">
        <f>IF(OHW!$G645="","",OHW!$D645&amp;"")</f>
        <v/>
      </c>
      <c r="M1692">
        <f>IF(OHW!$G645="","",OHW!$F645)</f>
        <v/>
      </c>
      <c r="N1692">
        <f>IF(OHW!$G645="","",OHW!$G645)</f>
        <v/>
      </c>
      <c r="O1692">
        <f>IF(OHW!$G645="","",OHW!$I645)</f>
        <v/>
      </c>
      <c r="P1692">
        <f>IF(OHW!$G645="","","Final")</f>
        <v/>
      </c>
    </row>
    <row r="1693">
      <c r="A1693">
        <f>IF(OHW!$G646="","","OHW")</f>
        <v/>
      </c>
      <c r="B1693">
        <f>IF(OHW!$G646="","","OHW")</f>
        <v/>
      </c>
      <c r="C1693" s="18">
        <f>IF(OHW!$G646="","",OHW!$A646)</f>
        <v/>
      </c>
      <c r="F1693">
        <f>IF(OHW!$G646="","",OHW!$B646&amp;"")</f>
        <v/>
      </c>
      <c r="J1693">
        <f>IF(OHW!$G646="","",OHW!$E646)</f>
        <v/>
      </c>
      <c r="K1693">
        <f>IF(OHW!$G646="","",COUNTIFS(OHW!$A$5:$A$1668,OHW!$A646,OHW!$C$5:$C$1668,OHW!$C646))</f>
        <v/>
      </c>
      <c r="L1693">
        <f>IF(OHW!$G646="","",OHW!$D646&amp;"")</f>
        <v/>
      </c>
      <c r="M1693">
        <f>IF(OHW!$G646="","",OHW!$F646)</f>
        <v/>
      </c>
      <c r="N1693">
        <f>IF(OHW!$G646="","",OHW!$G646)</f>
        <v/>
      </c>
      <c r="O1693">
        <f>IF(OHW!$G646="","",OHW!$I646)</f>
        <v/>
      </c>
      <c r="P1693">
        <f>IF(OHW!$G646="","","Final")</f>
        <v/>
      </c>
    </row>
    <row r="1694">
      <c r="A1694">
        <f>IF(OHW!$G647="","","OHW")</f>
        <v/>
      </c>
      <c r="B1694">
        <f>IF(OHW!$G647="","","OHW")</f>
        <v/>
      </c>
      <c r="C1694" s="18">
        <f>IF(OHW!$G647="","",OHW!$A647)</f>
        <v/>
      </c>
      <c r="F1694">
        <f>IF(OHW!$G647="","",OHW!$B647&amp;"")</f>
        <v/>
      </c>
      <c r="J1694">
        <f>IF(OHW!$G647="","",OHW!$E647)</f>
        <v/>
      </c>
      <c r="K1694">
        <f>IF(OHW!$G647="","",COUNTIFS(OHW!$A$5:$A$1668,OHW!$A647,OHW!$C$5:$C$1668,OHW!$C647))</f>
        <v/>
      </c>
      <c r="L1694">
        <f>IF(OHW!$G647="","",OHW!$D647&amp;"")</f>
        <v/>
      </c>
      <c r="M1694">
        <f>IF(OHW!$G647="","",OHW!$F647)</f>
        <v/>
      </c>
      <c r="N1694">
        <f>IF(OHW!$G647="","",OHW!$G647)</f>
        <v/>
      </c>
      <c r="O1694">
        <f>IF(OHW!$G647="","",OHW!$I647)</f>
        <v/>
      </c>
      <c r="P1694">
        <f>IF(OHW!$G647="","","Final")</f>
        <v/>
      </c>
    </row>
    <row r="1695">
      <c r="A1695">
        <f>IF(OHW!$G648="","","OHW")</f>
        <v/>
      </c>
      <c r="B1695">
        <f>IF(OHW!$G648="","","OHW")</f>
        <v/>
      </c>
      <c r="C1695" s="18">
        <f>IF(OHW!$G648="","",OHW!$A648)</f>
        <v/>
      </c>
      <c r="F1695">
        <f>IF(OHW!$G648="","",OHW!$B648&amp;"")</f>
        <v/>
      </c>
      <c r="J1695">
        <f>IF(OHW!$G648="","",OHW!$E648)</f>
        <v/>
      </c>
      <c r="K1695">
        <f>IF(OHW!$G648="","",COUNTIFS(OHW!$A$5:$A$1668,OHW!$A648,OHW!$C$5:$C$1668,OHW!$C648))</f>
        <v/>
      </c>
      <c r="L1695">
        <f>IF(OHW!$G648="","",OHW!$D648&amp;"")</f>
        <v/>
      </c>
      <c r="M1695">
        <f>IF(OHW!$G648="","",OHW!$F648)</f>
        <v/>
      </c>
      <c r="N1695">
        <f>IF(OHW!$G648="","",OHW!$G648)</f>
        <v/>
      </c>
      <c r="O1695">
        <f>IF(OHW!$G648="","",OHW!$I648)</f>
        <v/>
      </c>
      <c r="P1695">
        <f>IF(OHW!$G648="","","Final")</f>
        <v/>
      </c>
    </row>
    <row r="1696">
      <c r="A1696">
        <f>IF(OHW!$G649="","","OHW")</f>
        <v/>
      </c>
      <c r="B1696">
        <f>IF(OHW!$G649="","","OHW")</f>
        <v/>
      </c>
      <c r="C1696" s="18">
        <f>IF(OHW!$G649="","",OHW!$A649)</f>
        <v/>
      </c>
      <c r="F1696">
        <f>IF(OHW!$G649="","",OHW!$B649&amp;"")</f>
        <v/>
      </c>
      <c r="J1696">
        <f>IF(OHW!$G649="","",OHW!$E649)</f>
        <v/>
      </c>
      <c r="K1696">
        <f>IF(OHW!$G649="","",COUNTIFS(OHW!$A$5:$A$1668,OHW!$A649,OHW!$C$5:$C$1668,OHW!$C649))</f>
        <v/>
      </c>
      <c r="L1696">
        <f>IF(OHW!$G649="","",OHW!$D649&amp;"")</f>
        <v/>
      </c>
      <c r="M1696">
        <f>IF(OHW!$G649="","",OHW!$F649)</f>
        <v/>
      </c>
      <c r="N1696">
        <f>IF(OHW!$G649="","",OHW!$G649)</f>
        <v/>
      </c>
      <c r="O1696">
        <f>IF(OHW!$G649="","",OHW!$I649)</f>
        <v/>
      </c>
      <c r="P1696">
        <f>IF(OHW!$G649="","","Final")</f>
        <v/>
      </c>
    </row>
    <row r="1697">
      <c r="A1697">
        <f>IF(OHW!$G650="","","OHW")</f>
        <v/>
      </c>
      <c r="B1697">
        <f>IF(OHW!$G650="","","OHW")</f>
        <v/>
      </c>
      <c r="C1697" s="18">
        <f>IF(OHW!$G650="","",OHW!$A650)</f>
        <v/>
      </c>
      <c r="F1697">
        <f>IF(OHW!$G650="","",OHW!$B650&amp;"")</f>
        <v/>
      </c>
      <c r="J1697">
        <f>IF(OHW!$G650="","",OHW!$E650)</f>
        <v/>
      </c>
      <c r="K1697">
        <f>IF(OHW!$G650="","",COUNTIFS(OHW!$A$5:$A$1668,OHW!$A650,OHW!$C$5:$C$1668,OHW!$C650))</f>
        <v/>
      </c>
      <c r="L1697">
        <f>IF(OHW!$G650="","",OHW!$D650&amp;"")</f>
        <v/>
      </c>
      <c r="M1697">
        <f>IF(OHW!$G650="","",OHW!$F650)</f>
        <v/>
      </c>
      <c r="N1697">
        <f>IF(OHW!$G650="","",OHW!$G650)</f>
        <v/>
      </c>
      <c r="O1697">
        <f>IF(OHW!$G650="","",OHW!$I650)</f>
        <v/>
      </c>
      <c r="P1697">
        <f>IF(OHW!$G650="","","Final")</f>
        <v/>
      </c>
    </row>
    <row r="1698">
      <c r="A1698">
        <f>IF(OHW!$G651="","","OHW")</f>
        <v/>
      </c>
      <c r="B1698">
        <f>IF(OHW!$G651="","","OHW")</f>
        <v/>
      </c>
      <c r="C1698" s="18">
        <f>IF(OHW!$G651="","",OHW!$A651)</f>
        <v/>
      </c>
      <c r="F1698">
        <f>IF(OHW!$G651="","",OHW!$B651&amp;"")</f>
        <v/>
      </c>
      <c r="J1698">
        <f>IF(OHW!$G651="","",OHW!$E651)</f>
        <v/>
      </c>
      <c r="K1698">
        <f>IF(OHW!$G651="","",COUNTIFS(OHW!$A$5:$A$1668,OHW!$A651,OHW!$C$5:$C$1668,OHW!$C651))</f>
        <v/>
      </c>
      <c r="L1698">
        <f>IF(OHW!$G651="","",OHW!$D651&amp;"")</f>
        <v/>
      </c>
      <c r="M1698">
        <f>IF(OHW!$G651="","",OHW!$F651)</f>
        <v/>
      </c>
      <c r="N1698">
        <f>IF(OHW!$G651="","",OHW!$G651)</f>
        <v/>
      </c>
      <c r="O1698">
        <f>IF(OHW!$G651="","",OHW!$I651)</f>
        <v/>
      </c>
      <c r="P1698">
        <f>IF(OHW!$G651="","","Final")</f>
        <v/>
      </c>
    </row>
    <row r="1699">
      <c r="A1699">
        <f>IF(OHW!$G652="","","OHW")</f>
        <v/>
      </c>
      <c r="B1699">
        <f>IF(OHW!$G652="","","OHW")</f>
        <v/>
      </c>
      <c r="C1699" s="18">
        <f>IF(OHW!$G652="","",OHW!$A652)</f>
        <v/>
      </c>
      <c r="F1699">
        <f>IF(OHW!$G652="","",OHW!$B652&amp;"")</f>
        <v/>
      </c>
      <c r="J1699">
        <f>IF(OHW!$G652="","",OHW!$E652)</f>
        <v/>
      </c>
      <c r="K1699">
        <f>IF(OHW!$G652="","",COUNTIFS(OHW!$A$5:$A$1668,OHW!$A652,OHW!$C$5:$C$1668,OHW!$C652))</f>
        <v/>
      </c>
      <c r="L1699">
        <f>IF(OHW!$G652="","",OHW!$D652&amp;"")</f>
        <v/>
      </c>
      <c r="M1699">
        <f>IF(OHW!$G652="","",OHW!$F652)</f>
        <v/>
      </c>
      <c r="N1699">
        <f>IF(OHW!$G652="","",OHW!$G652)</f>
        <v/>
      </c>
      <c r="O1699">
        <f>IF(OHW!$G652="","",OHW!$I652)</f>
        <v/>
      </c>
      <c r="P1699">
        <f>IF(OHW!$G652="","","Final")</f>
        <v/>
      </c>
    </row>
    <row r="1700">
      <c r="A1700">
        <f>IF(OHW!$G653="","","OHW")</f>
        <v/>
      </c>
      <c r="B1700">
        <f>IF(OHW!$G653="","","OHW")</f>
        <v/>
      </c>
      <c r="C1700" s="18">
        <f>IF(OHW!$G653="","",OHW!$A653)</f>
        <v/>
      </c>
      <c r="F1700">
        <f>IF(OHW!$G653="","",OHW!$B653&amp;"")</f>
        <v/>
      </c>
      <c r="J1700">
        <f>IF(OHW!$G653="","",OHW!$E653)</f>
        <v/>
      </c>
      <c r="K1700">
        <f>IF(OHW!$G653="","",COUNTIFS(OHW!$A$5:$A$1668,OHW!$A653,OHW!$C$5:$C$1668,OHW!$C653))</f>
        <v/>
      </c>
      <c r="L1700">
        <f>IF(OHW!$G653="","",OHW!$D653&amp;"")</f>
        <v/>
      </c>
      <c r="M1700">
        <f>IF(OHW!$G653="","",OHW!$F653)</f>
        <v/>
      </c>
      <c r="N1700">
        <f>IF(OHW!$G653="","",OHW!$G653)</f>
        <v/>
      </c>
      <c r="O1700">
        <f>IF(OHW!$G653="","",OHW!$I653)</f>
        <v/>
      </c>
      <c r="P1700">
        <f>IF(OHW!$G653="","","Final")</f>
        <v/>
      </c>
    </row>
    <row r="1701">
      <c r="A1701">
        <f>IF(OHW!$G654="","","OHW")</f>
        <v/>
      </c>
      <c r="B1701">
        <f>IF(OHW!$G654="","","OHW")</f>
        <v/>
      </c>
      <c r="C1701" s="18">
        <f>IF(OHW!$G654="","",OHW!$A654)</f>
        <v/>
      </c>
      <c r="F1701">
        <f>IF(OHW!$G654="","",OHW!$B654&amp;"")</f>
        <v/>
      </c>
      <c r="J1701">
        <f>IF(OHW!$G654="","",OHW!$E654)</f>
        <v/>
      </c>
      <c r="K1701">
        <f>IF(OHW!$G654="","",COUNTIFS(OHW!$A$5:$A$1668,OHW!$A654,OHW!$C$5:$C$1668,OHW!$C654))</f>
        <v/>
      </c>
      <c r="L1701">
        <f>IF(OHW!$G654="","",OHW!$D654&amp;"")</f>
        <v/>
      </c>
      <c r="M1701">
        <f>IF(OHW!$G654="","",OHW!$F654)</f>
        <v/>
      </c>
      <c r="N1701">
        <f>IF(OHW!$G654="","",OHW!$G654)</f>
        <v/>
      </c>
      <c r="O1701">
        <f>IF(OHW!$G654="","",OHW!$I654)</f>
        <v/>
      </c>
      <c r="P1701">
        <f>IF(OHW!$G654="","","Final")</f>
        <v/>
      </c>
    </row>
    <row r="1702">
      <c r="A1702">
        <f>IF(OHW!$G655="","","OHW")</f>
        <v/>
      </c>
      <c r="B1702">
        <f>IF(OHW!$G655="","","OHW")</f>
        <v/>
      </c>
      <c r="C1702" s="18">
        <f>IF(OHW!$G655="","",OHW!$A655)</f>
        <v/>
      </c>
      <c r="F1702">
        <f>IF(OHW!$G655="","",OHW!$B655&amp;"")</f>
        <v/>
      </c>
      <c r="J1702">
        <f>IF(OHW!$G655="","",OHW!$E655)</f>
        <v/>
      </c>
      <c r="K1702">
        <f>IF(OHW!$G655="","",COUNTIFS(OHW!$A$5:$A$1668,OHW!$A655,OHW!$C$5:$C$1668,OHW!$C655))</f>
        <v/>
      </c>
      <c r="L1702">
        <f>IF(OHW!$G655="","",OHW!$D655&amp;"")</f>
        <v/>
      </c>
      <c r="M1702">
        <f>IF(OHW!$G655="","",OHW!$F655)</f>
        <v/>
      </c>
      <c r="N1702">
        <f>IF(OHW!$G655="","",OHW!$G655)</f>
        <v/>
      </c>
      <c r="O1702">
        <f>IF(OHW!$G655="","",OHW!$I655)</f>
        <v/>
      </c>
      <c r="P1702">
        <f>IF(OHW!$G655="","","Final")</f>
        <v/>
      </c>
    </row>
    <row r="1703">
      <c r="A1703">
        <f>IF(OHW!$G656="","","OHW")</f>
        <v/>
      </c>
      <c r="B1703">
        <f>IF(OHW!$G656="","","OHW")</f>
        <v/>
      </c>
      <c r="C1703" s="18">
        <f>IF(OHW!$G656="","",OHW!$A656)</f>
        <v/>
      </c>
      <c r="F1703">
        <f>IF(OHW!$G656="","",OHW!$B656&amp;"")</f>
        <v/>
      </c>
      <c r="J1703">
        <f>IF(OHW!$G656="","",OHW!$E656)</f>
        <v/>
      </c>
      <c r="K1703">
        <f>IF(OHW!$G656="","",COUNTIFS(OHW!$A$5:$A$1668,OHW!$A656,OHW!$C$5:$C$1668,OHW!$C656))</f>
        <v/>
      </c>
      <c r="L1703">
        <f>IF(OHW!$G656="","",OHW!$D656&amp;"")</f>
        <v/>
      </c>
      <c r="M1703">
        <f>IF(OHW!$G656="","",OHW!$F656)</f>
        <v/>
      </c>
      <c r="N1703">
        <f>IF(OHW!$G656="","",OHW!$G656)</f>
        <v/>
      </c>
      <c r="O1703">
        <f>IF(OHW!$G656="","",OHW!$I656)</f>
        <v/>
      </c>
      <c r="P1703">
        <f>IF(OHW!$G656="","","Final")</f>
        <v/>
      </c>
    </row>
    <row r="1704">
      <c r="A1704">
        <f>IF(OHW!$G657="","","OHW")</f>
        <v/>
      </c>
      <c r="B1704">
        <f>IF(OHW!$G657="","","OHW")</f>
        <v/>
      </c>
      <c r="C1704" s="18">
        <f>IF(OHW!$G657="","",OHW!$A657)</f>
        <v/>
      </c>
      <c r="F1704">
        <f>IF(OHW!$G657="","",OHW!$B657&amp;"")</f>
        <v/>
      </c>
      <c r="J1704">
        <f>IF(OHW!$G657="","",OHW!$E657)</f>
        <v/>
      </c>
      <c r="K1704">
        <f>IF(OHW!$G657="","",COUNTIFS(OHW!$A$5:$A$1668,OHW!$A657,OHW!$C$5:$C$1668,OHW!$C657))</f>
        <v/>
      </c>
      <c r="L1704">
        <f>IF(OHW!$G657="","",OHW!$D657&amp;"")</f>
        <v/>
      </c>
      <c r="M1704">
        <f>IF(OHW!$G657="","",OHW!$F657)</f>
        <v/>
      </c>
      <c r="N1704">
        <f>IF(OHW!$G657="","",OHW!$G657)</f>
        <v/>
      </c>
      <c r="O1704">
        <f>IF(OHW!$G657="","",OHW!$I657)</f>
        <v/>
      </c>
      <c r="P1704">
        <f>IF(OHW!$G657="","","Final")</f>
        <v/>
      </c>
    </row>
    <row r="1705">
      <c r="A1705">
        <f>IF(OHW!$G658="","","OHW")</f>
        <v/>
      </c>
      <c r="B1705">
        <f>IF(OHW!$G658="","","OHW")</f>
        <v/>
      </c>
      <c r="C1705" s="18">
        <f>IF(OHW!$G658="","",OHW!$A658)</f>
        <v/>
      </c>
      <c r="F1705">
        <f>IF(OHW!$G658="","",OHW!$B658&amp;"")</f>
        <v/>
      </c>
      <c r="J1705">
        <f>IF(OHW!$G658="","",OHW!$E658)</f>
        <v/>
      </c>
      <c r="K1705">
        <f>IF(OHW!$G658="","",COUNTIFS(OHW!$A$5:$A$1668,OHW!$A658,OHW!$C$5:$C$1668,OHW!$C658))</f>
        <v/>
      </c>
      <c r="L1705">
        <f>IF(OHW!$G658="","",OHW!$D658&amp;"")</f>
        <v/>
      </c>
      <c r="M1705">
        <f>IF(OHW!$G658="","",OHW!$F658)</f>
        <v/>
      </c>
      <c r="N1705">
        <f>IF(OHW!$G658="","",OHW!$G658)</f>
        <v/>
      </c>
      <c r="O1705">
        <f>IF(OHW!$G658="","",OHW!$I658)</f>
        <v/>
      </c>
      <c r="P1705">
        <f>IF(OHW!$G658="","","Final")</f>
        <v/>
      </c>
    </row>
    <row r="1706">
      <c r="A1706">
        <f>IF(OHW!$G659="","","OHW")</f>
        <v/>
      </c>
      <c r="B1706">
        <f>IF(OHW!$G659="","","OHW")</f>
        <v/>
      </c>
      <c r="C1706" s="18">
        <f>IF(OHW!$G659="","",OHW!$A659)</f>
        <v/>
      </c>
      <c r="F1706">
        <f>IF(OHW!$G659="","",OHW!$B659&amp;"")</f>
        <v/>
      </c>
      <c r="J1706">
        <f>IF(OHW!$G659="","",OHW!$E659)</f>
        <v/>
      </c>
      <c r="K1706">
        <f>IF(OHW!$G659="","",COUNTIFS(OHW!$A$5:$A$1668,OHW!$A659,OHW!$C$5:$C$1668,OHW!$C659))</f>
        <v/>
      </c>
      <c r="L1706">
        <f>IF(OHW!$G659="","",OHW!$D659&amp;"")</f>
        <v/>
      </c>
      <c r="M1706">
        <f>IF(OHW!$G659="","",OHW!$F659)</f>
        <v/>
      </c>
      <c r="N1706">
        <f>IF(OHW!$G659="","",OHW!$G659)</f>
        <v/>
      </c>
      <c r="O1706">
        <f>IF(OHW!$G659="","",OHW!$I659)</f>
        <v/>
      </c>
      <c r="P1706">
        <f>IF(OHW!$G659="","","Final")</f>
        <v/>
      </c>
    </row>
    <row r="1707">
      <c r="A1707">
        <f>IF(OHW!$G660="","","OHW")</f>
        <v/>
      </c>
      <c r="B1707">
        <f>IF(OHW!$G660="","","OHW")</f>
        <v/>
      </c>
      <c r="C1707" s="18">
        <f>IF(OHW!$G660="","",OHW!$A660)</f>
        <v/>
      </c>
      <c r="F1707">
        <f>IF(OHW!$G660="","",OHW!$B660&amp;"")</f>
        <v/>
      </c>
      <c r="J1707">
        <f>IF(OHW!$G660="","",OHW!$E660)</f>
        <v/>
      </c>
      <c r="K1707">
        <f>IF(OHW!$G660="","",COUNTIFS(OHW!$A$5:$A$1668,OHW!$A660,OHW!$C$5:$C$1668,OHW!$C660))</f>
        <v/>
      </c>
      <c r="L1707">
        <f>IF(OHW!$G660="","",OHW!$D660&amp;"")</f>
        <v/>
      </c>
      <c r="M1707">
        <f>IF(OHW!$G660="","",OHW!$F660)</f>
        <v/>
      </c>
      <c r="N1707">
        <f>IF(OHW!$G660="","",OHW!$G660)</f>
        <v/>
      </c>
      <c r="O1707">
        <f>IF(OHW!$G660="","",OHW!$I660)</f>
        <v/>
      </c>
      <c r="P1707">
        <f>IF(OHW!$G660="","","Final")</f>
        <v/>
      </c>
    </row>
    <row r="1708">
      <c r="A1708">
        <f>IF(OHW!$G661="","","OHW")</f>
        <v/>
      </c>
      <c r="B1708">
        <f>IF(OHW!$G661="","","OHW")</f>
        <v/>
      </c>
      <c r="C1708" s="18">
        <f>IF(OHW!$G661="","",OHW!$A661)</f>
        <v/>
      </c>
      <c r="F1708">
        <f>IF(OHW!$G661="","",OHW!$B661&amp;"")</f>
        <v/>
      </c>
      <c r="J1708">
        <f>IF(OHW!$G661="","",OHW!$E661)</f>
        <v/>
      </c>
      <c r="K1708">
        <f>IF(OHW!$G661="","",COUNTIFS(OHW!$A$5:$A$1668,OHW!$A661,OHW!$C$5:$C$1668,OHW!$C661))</f>
        <v/>
      </c>
      <c r="L1708">
        <f>IF(OHW!$G661="","",OHW!$D661&amp;"")</f>
        <v/>
      </c>
      <c r="M1708">
        <f>IF(OHW!$G661="","",OHW!$F661)</f>
        <v/>
      </c>
      <c r="N1708">
        <f>IF(OHW!$G661="","",OHW!$G661)</f>
        <v/>
      </c>
      <c r="O1708">
        <f>IF(OHW!$G661="","",OHW!$I661)</f>
        <v/>
      </c>
      <c r="P1708">
        <f>IF(OHW!$G661="","","Final")</f>
        <v/>
      </c>
    </row>
    <row r="1709">
      <c r="A1709">
        <f>IF(OHW!$G662="","","OHW")</f>
        <v/>
      </c>
      <c r="B1709">
        <f>IF(OHW!$G662="","","OHW")</f>
        <v/>
      </c>
      <c r="C1709" s="18">
        <f>IF(OHW!$G662="","",OHW!$A662)</f>
        <v/>
      </c>
      <c r="F1709">
        <f>IF(OHW!$G662="","",OHW!$B662&amp;"")</f>
        <v/>
      </c>
      <c r="J1709">
        <f>IF(OHW!$G662="","",OHW!$E662)</f>
        <v/>
      </c>
      <c r="K1709">
        <f>IF(OHW!$G662="","",COUNTIFS(OHW!$A$5:$A$1668,OHW!$A662,OHW!$C$5:$C$1668,OHW!$C662))</f>
        <v/>
      </c>
      <c r="L1709">
        <f>IF(OHW!$G662="","",OHW!$D662&amp;"")</f>
        <v/>
      </c>
      <c r="M1709">
        <f>IF(OHW!$G662="","",OHW!$F662)</f>
        <v/>
      </c>
      <c r="N1709">
        <f>IF(OHW!$G662="","",OHW!$G662)</f>
        <v/>
      </c>
      <c r="O1709">
        <f>IF(OHW!$G662="","",OHW!$I662)</f>
        <v/>
      </c>
      <c r="P1709">
        <f>IF(OHW!$G662="","","Final")</f>
        <v/>
      </c>
    </row>
    <row r="1710">
      <c r="A1710">
        <f>IF(OHW!$G663="","","OHW")</f>
        <v/>
      </c>
      <c r="B1710">
        <f>IF(OHW!$G663="","","OHW")</f>
        <v/>
      </c>
      <c r="C1710" s="18">
        <f>IF(OHW!$G663="","",OHW!$A663)</f>
        <v/>
      </c>
      <c r="F1710">
        <f>IF(OHW!$G663="","",OHW!$B663&amp;"")</f>
        <v/>
      </c>
      <c r="J1710">
        <f>IF(OHW!$G663="","",OHW!$E663)</f>
        <v/>
      </c>
      <c r="K1710">
        <f>IF(OHW!$G663="","",COUNTIFS(OHW!$A$5:$A$1668,OHW!$A663,OHW!$C$5:$C$1668,OHW!$C663))</f>
        <v/>
      </c>
      <c r="L1710">
        <f>IF(OHW!$G663="","",OHW!$D663&amp;"")</f>
        <v/>
      </c>
      <c r="M1710">
        <f>IF(OHW!$G663="","",OHW!$F663)</f>
        <v/>
      </c>
      <c r="N1710">
        <f>IF(OHW!$G663="","",OHW!$G663)</f>
        <v/>
      </c>
      <c r="O1710">
        <f>IF(OHW!$G663="","",OHW!$I663)</f>
        <v/>
      </c>
      <c r="P1710">
        <f>IF(OHW!$G663="","","Final")</f>
        <v/>
      </c>
    </row>
    <row r="1711">
      <c r="A1711">
        <f>IF(OHW!$G664="","","OHW")</f>
        <v/>
      </c>
      <c r="B1711">
        <f>IF(OHW!$G664="","","OHW")</f>
        <v/>
      </c>
      <c r="C1711" s="18">
        <f>IF(OHW!$G664="","",OHW!$A664)</f>
        <v/>
      </c>
      <c r="F1711">
        <f>IF(OHW!$G664="","",OHW!$B664&amp;"")</f>
        <v/>
      </c>
      <c r="J1711">
        <f>IF(OHW!$G664="","",OHW!$E664)</f>
        <v/>
      </c>
      <c r="K1711">
        <f>IF(OHW!$G664="","",COUNTIFS(OHW!$A$5:$A$1668,OHW!$A664,OHW!$C$5:$C$1668,OHW!$C664))</f>
        <v/>
      </c>
      <c r="L1711">
        <f>IF(OHW!$G664="","",OHW!$D664&amp;"")</f>
        <v/>
      </c>
      <c r="M1711">
        <f>IF(OHW!$G664="","",OHW!$F664)</f>
        <v/>
      </c>
      <c r="N1711">
        <f>IF(OHW!$G664="","",OHW!$G664)</f>
        <v/>
      </c>
      <c r="O1711">
        <f>IF(OHW!$G664="","",OHW!$I664)</f>
        <v/>
      </c>
      <c r="P1711">
        <f>IF(OHW!$G664="","","Final")</f>
        <v/>
      </c>
    </row>
    <row r="1712">
      <c r="A1712">
        <f>IF(OHW!$G665="","","OHW")</f>
        <v/>
      </c>
      <c r="B1712">
        <f>IF(OHW!$G665="","","OHW")</f>
        <v/>
      </c>
      <c r="C1712" s="18">
        <f>IF(OHW!$G665="","",OHW!$A665)</f>
        <v/>
      </c>
      <c r="F1712">
        <f>IF(OHW!$G665="","",OHW!$B665&amp;"")</f>
        <v/>
      </c>
      <c r="J1712">
        <f>IF(OHW!$G665="","",OHW!$E665)</f>
        <v/>
      </c>
      <c r="K1712">
        <f>IF(OHW!$G665="","",COUNTIFS(OHW!$A$5:$A$1668,OHW!$A665,OHW!$C$5:$C$1668,OHW!$C665))</f>
        <v/>
      </c>
      <c r="L1712">
        <f>IF(OHW!$G665="","",OHW!$D665&amp;"")</f>
        <v/>
      </c>
      <c r="M1712">
        <f>IF(OHW!$G665="","",OHW!$F665)</f>
        <v/>
      </c>
      <c r="N1712">
        <f>IF(OHW!$G665="","",OHW!$G665)</f>
        <v/>
      </c>
      <c r="O1712">
        <f>IF(OHW!$G665="","",OHW!$I665)</f>
        <v/>
      </c>
      <c r="P1712">
        <f>IF(OHW!$G665="","","Final")</f>
        <v/>
      </c>
    </row>
    <row r="1713">
      <c r="A1713">
        <f>IF(OHW!$G666="","","OHW")</f>
        <v/>
      </c>
      <c r="B1713">
        <f>IF(OHW!$G666="","","OHW")</f>
        <v/>
      </c>
      <c r="C1713" s="18">
        <f>IF(OHW!$G666="","",OHW!$A666)</f>
        <v/>
      </c>
      <c r="F1713">
        <f>IF(OHW!$G666="","",OHW!$B666&amp;"")</f>
        <v/>
      </c>
      <c r="J1713">
        <f>IF(OHW!$G666="","",OHW!$E666)</f>
        <v/>
      </c>
      <c r="K1713">
        <f>IF(OHW!$G666="","",COUNTIFS(OHW!$A$5:$A$1668,OHW!$A666,OHW!$C$5:$C$1668,OHW!$C666))</f>
        <v/>
      </c>
      <c r="L1713">
        <f>IF(OHW!$G666="","",OHW!$D666&amp;"")</f>
        <v/>
      </c>
      <c r="M1713">
        <f>IF(OHW!$G666="","",OHW!$F666)</f>
        <v/>
      </c>
      <c r="N1713">
        <f>IF(OHW!$G666="","",OHW!$G666)</f>
        <v/>
      </c>
      <c r="O1713">
        <f>IF(OHW!$G666="","",OHW!$I666)</f>
        <v/>
      </c>
      <c r="P1713">
        <f>IF(OHW!$G666="","","Final")</f>
        <v/>
      </c>
    </row>
    <row r="1714">
      <c r="A1714">
        <f>IF(OHW!$G667="","","OHW")</f>
        <v/>
      </c>
      <c r="B1714">
        <f>IF(OHW!$G667="","","OHW")</f>
        <v/>
      </c>
      <c r="C1714" s="18">
        <f>IF(OHW!$G667="","",OHW!$A667)</f>
        <v/>
      </c>
      <c r="F1714">
        <f>IF(OHW!$G667="","",OHW!$B667&amp;"")</f>
        <v/>
      </c>
      <c r="J1714">
        <f>IF(OHW!$G667="","",OHW!$E667)</f>
        <v/>
      </c>
      <c r="K1714">
        <f>IF(OHW!$G667="","",COUNTIFS(OHW!$A$5:$A$1668,OHW!$A667,OHW!$C$5:$C$1668,OHW!$C667))</f>
        <v/>
      </c>
      <c r="L1714">
        <f>IF(OHW!$G667="","",OHW!$D667&amp;"")</f>
        <v/>
      </c>
      <c r="M1714">
        <f>IF(OHW!$G667="","",OHW!$F667)</f>
        <v/>
      </c>
      <c r="N1714">
        <f>IF(OHW!$G667="","",OHW!$G667)</f>
        <v/>
      </c>
      <c r="O1714">
        <f>IF(OHW!$G667="","",OHW!$I667)</f>
        <v/>
      </c>
      <c r="P1714">
        <f>IF(OHW!$G667="","","Final")</f>
        <v/>
      </c>
    </row>
    <row r="1715">
      <c r="A1715">
        <f>IF(OHW!$G668="","","OHW")</f>
        <v/>
      </c>
      <c r="B1715">
        <f>IF(OHW!$G668="","","OHW")</f>
        <v/>
      </c>
      <c r="C1715" s="18">
        <f>IF(OHW!$G668="","",OHW!$A668)</f>
        <v/>
      </c>
      <c r="F1715">
        <f>IF(OHW!$G668="","",OHW!$B668&amp;"")</f>
        <v/>
      </c>
      <c r="J1715">
        <f>IF(OHW!$G668="","",OHW!$E668)</f>
        <v/>
      </c>
      <c r="K1715">
        <f>IF(OHW!$G668="","",COUNTIFS(OHW!$A$5:$A$1668,OHW!$A668,OHW!$C$5:$C$1668,OHW!$C668))</f>
        <v/>
      </c>
      <c r="L1715">
        <f>IF(OHW!$G668="","",OHW!$D668&amp;"")</f>
        <v/>
      </c>
      <c r="M1715">
        <f>IF(OHW!$G668="","",OHW!$F668)</f>
        <v/>
      </c>
      <c r="N1715">
        <f>IF(OHW!$G668="","",OHW!$G668)</f>
        <v/>
      </c>
      <c r="O1715">
        <f>IF(OHW!$G668="","",OHW!$I668)</f>
        <v/>
      </c>
      <c r="P1715">
        <f>IF(OHW!$G668="","","Final")</f>
        <v/>
      </c>
    </row>
    <row r="1716">
      <c r="A1716">
        <f>IF(OHW!$G669="","","OHW")</f>
        <v/>
      </c>
      <c r="B1716">
        <f>IF(OHW!$G669="","","OHW")</f>
        <v/>
      </c>
      <c r="C1716" s="18">
        <f>IF(OHW!$G669="","",OHW!$A669)</f>
        <v/>
      </c>
      <c r="F1716">
        <f>IF(OHW!$G669="","",OHW!$B669&amp;"")</f>
        <v/>
      </c>
      <c r="J1716">
        <f>IF(OHW!$G669="","",OHW!$E669)</f>
        <v/>
      </c>
      <c r="K1716">
        <f>IF(OHW!$G669="","",COUNTIFS(OHW!$A$5:$A$1668,OHW!$A669,OHW!$C$5:$C$1668,OHW!$C669))</f>
        <v/>
      </c>
      <c r="L1716">
        <f>IF(OHW!$G669="","",OHW!$D669&amp;"")</f>
        <v/>
      </c>
      <c r="M1716">
        <f>IF(OHW!$G669="","",OHW!$F669)</f>
        <v/>
      </c>
      <c r="N1716">
        <f>IF(OHW!$G669="","",OHW!$G669)</f>
        <v/>
      </c>
      <c r="O1716">
        <f>IF(OHW!$G669="","",OHW!$I669)</f>
        <v/>
      </c>
      <c r="P1716">
        <f>IF(OHW!$G669="","","Final")</f>
        <v/>
      </c>
    </row>
    <row r="1717">
      <c r="A1717">
        <f>IF(OHW!$G670="","","OHW")</f>
        <v/>
      </c>
      <c r="B1717">
        <f>IF(OHW!$G670="","","OHW")</f>
        <v/>
      </c>
      <c r="C1717" s="18">
        <f>IF(OHW!$G670="","",OHW!$A670)</f>
        <v/>
      </c>
      <c r="F1717">
        <f>IF(OHW!$G670="","",OHW!$B670&amp;"")</f>
        <v/>
      </c>
      <c r="J1717">
        <f>IF(OHW!$G670="","",OHW!$E670)</f>
        <v/>
      </c>
      <c r="K1717">
        <f>IF(OHW!$G670="","",COUNTIFS(OHW!$A$5:$A$1668,OHW!$A670,OHW!$C$5:$C$1668,OHW!$C670))</f>
        <v/>
      </c>
      <c r="L1717">
        <f>IF(OHW!$G670="","",OHW!$D670&amp;"")</f>
        <v/>
      </c>
      <c r="M1717">
        <f>IF(OHW!$G670="","",OHW!$F670)</f>
        <v/>
      </c>
      <c r="N1717">
        <f>IF(OHW!$G670="","",OHW!$G670)</f>
        <v/>
      </c>
      <c r="O1717">
        <f>IF(OHW!$G670="","",OHW!$I670)</f>
        <v/>
      </c>
      <c r="P1717">
        <f>IF(OHW!$G670="","","Final")</f>
        <v/>
      </c>
    </row>
    <row r="1718">
      <c r="A1718">
        <f>IF(OHW!$G671="","","OHW")</f>
        <v/>
      </c>
      <c r="B1718">
        <f>IF(OHW!$G671="","","OHW")</f>
        <v/>
      </c>
      <c r="C1718" s="18">
        <f>IF(OHW!$G671="","",OHW!$A671)</f>
        <v/>
      </c>
      <c r="F1718">
        <f>IF(OHW!$G671="","",OHW!$B671&amp;"")</f>
        <v/>
      </c>
      <c r="J1718">
        <f>IF(OHW!$G671="","",OHW!$E671)</f>
        <v/>
      </c>
      <c r="K1718">
        <f>IF(OHW!$G671="","",COUNTIFS(OHW!$A$5:$A$1668,OHW!$A671,OHW!$C$5:$C$1668,OHW!$C671))</f>
        <v/>
      </c>
      <c r="L1718">
        <f>IF(OHW!$G671="","",OHW!$D671&amp;"")</f>
        <v/>
      </c>
      <c r="M1718">
        <f>IF(OHW!$G671="","",OHW!$F671)</f>
        <v/>
      </c>
      <c r="N1718">
        <f>IF(OHW!$G671="","",OHW!$G671)</f>
        <v/>
      </c>
      <c r="O1718">
        <f>IF(OHW!$G671="","",OHW!$I671)</f>
        <v/>
      </c>
      <c r="P1718">
        <f>IF(OHW!$G671="","","Final")</f>
        <v/>
      </c>
    </row>
    <row r="1719">
      <c r="A1719">
        <f>IF(OHW!$G672="","","OHW")</f>
        <v/>
      </c>
      <c r="B1719">
        <f>IF(OHW!$G672="","","OHW")</f>
        <v/>
      </c>
      <c r="C1719" s="18">
        <f>IF(OHW!$G672="","",OHW!$A672)</f>
        <v/>
      </c>
      <c r="F1719">
        <f>IF(OHW!$G672="","",OHW!$B672&amp;"")</f>
        <v/>
      </c>
      <c r="J1719">
        <f>IF(OHW!$G672="","",OHW!$E672)</f>
        <v/>
      </c>
      <c r="K1719">
        <f>IF(OHW!$G672="","",COUNTIFS(OHW!$A$5:$A$1668,OHW!$A672,OHW!$C$5:$C$1668,OHW!$C672))</f>
        <v/>
      </c>
      <c r="L1719">
        <f>IF(OHW!$G672="","",OHW!$D672&amp;"")</f>
        <v/>
      </c>
      <c r="M1719">
        <f>IF(OHW!$G672="","",OHW!$F672)</f>
        <v/>
      </c>
      <c r="N1719">
        <f>IF(OHW!$G672="","",OHW!$G672)</f>
        <v/>
      </c>
      <c r="O1719">
        <f>IF(OHW!$G672="","",OHW!$I672)</f>
        <v/>
      </c>
      <c r="P1719">
        <f>IF(OHW!$G672="","","Final")</f>
        <v/>
      </c>
    </row>
    <row r="1720">
      <c r="A1720">
        <f>IF(OHW!$G673="","","OHW")</f>
        <v/>
      </c>
      <c r="B1720">
        <f>IF(OHW!$G673="","","OHW")</f>
        <v/>
      </c>
      <c r="C1720" s="18">
        <f>IF(OHW!$G673="","",OHW!$A673)</f>
        <v/>
      </c>
      <c r="F1720">
        <f>IF(OHW!$G673="","",OHW!$B673&amp;"")</f>
        <v/>
      </c>
      <c r="J1720">
        <f>IF(OHW!$G673="","",OHW!$E673)</f>
        <v/>
      </c>
      <c r="K1720">
        <f>IF(OHW!$G673="","",COUNTIFS(OHW!$A$5:$A$1668,OHW!$A673,OHW!$C$5:$C$1668,OHW!$C673))</f>
        <v/>
      </c>
      <c r="L1720">
        <f>IF(OHW!$G673="","",OHW!$D673&amp;"")</f>
        <v/>
      </c>
      <c r="M1720">
        <f>IF(OHW!$G673="","",OHW!$F673)</f>
        <v/>
      </c>
      <c r="N1720">
        <f>IF(OHW!$G673="","",OHW!$G673)</f>
        <v/>
      </c>
      <c r="O1720">
        <f>IF(OHW!$G673="","",OHW!$I673)</f>
        <v/>
      </c>
      <c r="P1720">
        <f>IF(OHW!$G673="","","Final")</f>
        <v/>
      </c>
    </row>
    <row r="1721">
      <c r="A1721">
        <f>IF(OHW!$G674="","","OHW")</f>
        <v/>
      </c>
      <c r="B1721">
        <f>IF(OHW!$G674="","","OHW")</f>
        <v/>
      </c>
      <c r="C1721" s="18">
        <f>IF(OHW!$G674="","",OHW!$A674)</f>
        <v/>
      </c>
      <c r="F1721">
        <f>IF(OHW!$G674="","",OHW!$B674&amp;"")</f>
        <v/>
      </c>
      <c r="J1721">
        <f>IF(OHW!$G674="","",OHW!$E674)</f>
        <v/>
      </c>
      <c r="K1721">
        <f>IF(OHW!$G674="","",COUNTIFS(OHW!$A$5:$A$1668,OHW!$A674,OHW!$C$5:$C$1668,OHW!$C674))</f>
        <v/>
      </c>
      <c r="L1721">
        <f>IF(OHW!$G674="","",OHW!$D674&amp;"")</f>
        <v/>
      </c>
      <c r="M1721">
        <f>IF(OHW!$G674="","",OHW!$F674)</f>
        <v/>
      </c>
      <c r="N1721">
        <f>IF(OHW!$G674="","",OHW!$G674)</f>
        <v/>
      </c>
      <c r="O1721">
        <f>IF(OHW!$G674="","",OHW!$I674)</f>
        <v/>
      </c>
      <c r="P1721">
        <f>IF(OHW!$G674="","","Final")</f>
        <v/>
      </c>
    </row>
    <row r="1722">
      <c r="A1722">
        <f>IF(OHW!$G675="","","OHW")</f>
        <v/>
      </c>
      <c r="B1722">
        <f>IF(OHW!$G675="","","OHW")</f>
        <v/>
      </c>
      <c r="C1722" s="18">
        <f>IF(OHW!$G675="","",OHW!$A675)</f>
        <v/>
      </c>
      <c r="F1722">
        <f>IF(OHW!$G675="","",OHW!$B675&amp;"")</f>
        <v/>
      </c>
      <c r="J1722">
        <f>IF(OHW!$G675="","",OHW!$E675)</f>
        <v/>
      </c>
      <c r="K1722">
        <f>IF(OHW!$G675="","",COUNTIFS(OHW!$A$5:$A$1668,OHW!$A675,OHW!$C$5:$C$1668,OHW!$C675))</f>
        <v/>
      </c>
      <c r="L1722">
        <f>IF(OHW!$G675="","",OHW!$D675&amp;"")</f>
        <v/>
      </c>
      <c r="M1722">
        <f>IF(OHW!$G675="","",OHW!$F675)</f>
        <v/>
      </c>
      <c r="N1722">
        <f>IF(OHW!$G675="","",OHW!$G675)</f>
        <v/>
      </c>
      <c r="O1722">
        <f>IF(OHW!$G675="","",OHW!$I675)</f>
        <v/>
      </c>
      <c r="P1722">
        <f>IF(OHW!$G675="","","Final")</f>
        <v/>
      </c>
    </row>
    <row r="1723">
      <c r="A1723">
        <f>IF(OHW!$G676="","","OHW")</f>
        <v/>
      </c>
      <c r="B1723">
        <f>IF(OHW!$G676="","","OHW")</f>
        <v/>
      </c>
      <c r="C1723" s="18">
        <f>IF(OHW!$G676="","",OHW!$A676)</f>
        <v/>
      </c>
      <c r="F1723">
        <f>IF(OHW!$G676="","",OHW!$B676&amp;"")</f>
        <v/>
      </c>
      <c r="J1723">
        <f>IF(OHW!$G676="","",OHW!$E676)</f>
        <v/>
      </c>
      <c r="K1723">
        <f>IF(OHW!$G676="","",COUNTIFS(OHW!$A$5:$A$1668,OHW!$A676,OHW!$C$5:$C$1668,OHW!$C676))</f>
        <v/>
      </c>
      <c r="L1723">
        <f>IF(OHW!$G676="","",OHW!$D676&amp;"")</f>
        <v/>
      </c>
      <c r="M1723">
        <f>IF(OHW!$G676="","",OHW!$F676)</f>
        <v/>
      </c>
      <c r="N1723">
        <f>IF(OHW!$G676="","",OHW!$G676)</f>
        <v/>
      </c>
      <c r="O1723">
        <f>IF(OHW!$G676="","",OHW!$I676)</f>
        <v/>
      </c>
      <c r="P1723">
        <f>IF(OHW!$G676="","","Final")</f>
        <v/>
      </c>
    </row>
    <row r="1724">
      <c r="A1724">
        <f>IF(OHW!$G677="","","OHW")</f>
        <v/>
      </c>
      <c r="B1724">
        <f>IF(OHW!$G677="","","OHW")</f>
        <v/>
      </c>
      <c r="C1724" s="18">
        <f>IF(OHW!$G677="","",OHW!$A677)</f>
        <v/>
      </c>
      <c r="F1724">
        <f>IF(OHW!$G677="","",OHW!$B677&amp;"")</f>
        <v/>
      </c>
      <c r="J1724">
        <f>IF(OHW!$G677="","",OHW!$E677)</f>
        <v/>
      </c>
      <c r="K1724">
        <f>IF(OHW!$G677="","",COUNTIFS(OHW!$A$5:$A$1668,OHW!$A677,OHW!$C$5:$C$1668,OHW!$C677))</f>
        <v/>
      </c>
      <c r="L1724">
        <f>IF(OHW!$G677="","",OHW!$D677&amp;"")</f>
        <v/>
      </c>
      <c r="M1724">
        <f>IF(OHW!$G677="","",OHW!$F677)</f>
        <v/>
      </c>
      <c r="N1724">
        <f>IF(OHW!$G677="","",OHW!$G677)</f>
        <v/>
      </c>
      <c r="O1724">
        <f>IF(OHW!$G677="","",OHW!$I677)</f>
        <v/>
      </c>
      <c r="P1724">
        <f>IF(OHW!$G677="","","Final")</f>
        <v/>
      </c>
    </row>
    <row r="1725">
      <c r="A1725">
        <f>IF(OHW!$G678="","","OHW")</f>
        <v/>
      </c>
      <c r="B1725">
        <f>IF(OHW!$G678="","","OHW")</f>
        <v/>
      </c>
      <c r="C1725" s="18">
        <f>IF(OHW!$G678="","",OHW!$A678)</f>
        <v/>
      </c>
      <c r="F1725">
        <f>IF(OHW!$G678="","",OHW!$B678&amp;"")</f>
        <v/>
      </c>
      <c r="J1725">
        <f>IF(OHW!$G678="","",OHW!$E678)</f>
        <v/>
      </c>
      <c r="K1725">
        <f>IF(OHW!$G678="","",COUNTIFS(OHW!$A$5:$A$1668,OHW!$A678,OHW!$C$5:$C$1668,OHW!$C678))</f>
        <v/>
      </c>
      <c r="L1725">
        <f>IF(OHW!$G678="","",OHW!$D678&amp;"")</f>
        <v/>
      </c>
      <c r="M1725">
        <f>IF(OHW!$G678="","",OHW!$F678)</f>
        <v/>
      </c>
      <c r="N1725">
        <f>IF(OHW!$G678="","",OHW!$G678)</f>
        <v/>
      </c>
      <c r="O1725">
        <f>IF(OHW!$G678="","",OHW!$I678)</f>
        <v/>
      </c>
      <c r="P1725">
        <f>IF(OHW!$G678="","","Final")</f>
        <v/>
      </c>
    </row>
    <row r="1726">
      <c r="A1726">
        <f>IF(OHW!$G679="","","OHW")</f>
        <v/>
      </c>
      <c r="B1726">
        <f>IF(OHW!$G679="","","OHW")</f>
        <v/>
      </c>
      <c r="C1726" s="18">
        <f>IF(OHW!$G679="","",OHW!$A679)</f>
        <v/>
      </c>
      <c r="F1726">
        <f>IF(OHW!$G679="","",OHW!$B679&amp;"")</f>
        <v/>
      </c>
      <c r="J1726">
        <f>IF(OHW!$G679="","",OHW!$E679)</f>
        <v/>
      </c>
      <c r="K1726">
        <f>IF(OHW!$G679="","",COUNTIFS(OHW!$A$5:$A$1668,OHW!$A679,OHW!$C$5:$C$1668,OHW!$C679))</f>
        <v/>
      </c>
      <c r="L1726">
        <f>IF(OHW!$G679="","",OHW!$D679&amp;"")</f>
        <v/>
      </c>
      <c r="M1726">
        <f>IF(OHW!$G679="","",OHW!$F679)</f>
        <v/>
      </c>
      <c r="N1726">
        <f>IF(OHW!$G679="","",OHW!$G679)</f>
        <v/>
      </c>
      <c r="O1726">
        <f>IF(OHW!$G679="","",OHW!$I679)</f>
        <v/>
      </c>
      <c r="P1726">
        <f>IF(OHW!$G679="","","Final")</f>
        <v/>
      </c>
    </row>
    <row r="1727">
      <c r="A1727">
        <f>IF(OHW!$G680="","","OHW")</f>
        <v/>
      </c>
      <c r="B1727">
        <f>IF(OHW!$G680="","","OHW")</f>
        <v/>
      </c>
      <c r="C1727" s="18">
        <f>IF(OHW!$G680="","",OHW!$A680)</f>
        <v/>
      </c>
      <c r="F1727">
        <f>IF(OHW!$G680="","",OHW!$B680&amp;"")</f>
        <v/>
      </c>
      <c r="J1727">
        <f>IF(OHW!$G680="","",OHW!$E680)</f>
        <v/>
      </c>
      <c r="K1727">
        <f>IF(OHW!$G680="","",COUNTIFS(OHW!$A$5:$A$1668,OHW!$A680,OHW!$C$5:$C$1668,OHW!$C680))</f>
        <v/>
      </c>
      <c r="L1727">
        <f>IF(OHW!$G680="","",OHW!$D680&amp;"")</f>
        <v/>
      </c>
      <c r="M1727">
        <f>IF(OHW!$G680="","",OHW!$F680)</f>
        <v/>
      </c>
      <c r="N1727">
        <f>IF(OHW!$G680="","",OHW!$G680)</f>
        <v/>
      </c>
      <c r="O1727">
        <f>IF(OHW!$G680="","",OHW!$I680)</f>
        <v/>
      </c>
      <c r="P1727">
        <f>IF(OHW!$G680="","","Final")</f>
        <v/>
      </c>
    </row>
    <row r="1728">
      <c r="A1728">
        <f>IF(OHW!$G681="","","OHW")</f>
        <v/>
      </c>
      <c r="B1728">
        <f>IF(OHW!$G681="","","OHW")</f>
        <v/>
      </c>
      <c r="C1728" s="18">
        <f>IF(OHW!$G681="","",OHW!$A681)</f>
        <v/>
      </c>
      <c r="F1728">
        <f>IF(OHW!$G681="","",OHW!$B681&amp;"")</f>
        <v/>
      </c>
      <c r="J1728">
        <f>IF(OHW!$G681="","",OHW!$E681)</f>
        <v/>
      </c>
      <c r="K1728">
        <f>IF(OHW!$G681="","",COUNTIFS(OHW!$A$5:$A$1668,OHW!$A681,OHW!$C$5:$C$1668,OHW!$C681))</f>
        <v/>
      </c>
      <c r="L1728">
        <f>IF(OHW!$G681="","",OHW!$D681&amp;"")</f>
        <v/>
      </c>
      <c r="M1728">
        <f>IF(OHW!$G681="","",OHW!$F681)</f>
        <v/>
      </c>
      <c r="N1728">
        <f>IF(OHW!$G681="","",OHW!$G681)</f>
        <v/>
      </c>
      <c r="O1728">
        <f>IF(OHW!$G681="","",OHW!$I681)</f>
        <v/>
      </c>
      <c r="P1728">
        <f>IF(OHW!$G681="","","Final")</f>
        <v/>
      </c>
    </row>
    <row r="1729">
      <c r="A1729">
        <f>IF(OHW!$G682="","","OHW")</f>
        <v/>
      </c>
      <c r="B1729">
        <f>IF(OHW!$G682="","","OHW")</f>
        <v/>
      </c>
      <c r="C1729" s="18">
        <f>IF(OHW!$G682="","",OHW!$A682)</f>
        <v/>
      </c>
      <c r="F1729">
        <f>IF(OHW!$G682="","",OHW!$B682&amp;"")</f>
        <v/>
      </c>
      <c r="J1729">
        <f>IF(OHW!$G682="","",OHW!$E682)</f>
        <v/>
      </c>
      <c r="K1729">
        <f>IF(OHW!$G682="","",COUNTIFS(OHW!$A$5:$A$1668,OHW!$A682,OHW!$C$5:$C$1668,OHW!$C682))</f>
        <v/>
      </c>
      <c r="L1729">
        <f>IF(OHW!$G682="","",OHW!$D682&amp;"")</f>
        <v/>
      </c>
      <c r="M1729">
        <f>IF(OHW!$G682="","",OHW!$F682)</f>
        <v/>
      </c>
      <c r="N1729">
        <f>IF(OHW!$G682="","",OHW!$G682)</f>
        <v/>
      </c>
      <c r="O1729">
        <f>IF(OHW!$G682="","",OHW!$I682)</f>
        <v/>
      </c>
      <c r="P1729">
        <f>IF(OHW!$G682="","","Final")</f>
        <v/>
      </c>
    </row>
    <row r="1730">
      <c r="A1730">
        <f>IF(OHW!$G683="","","OHW")</f>
        <v/>
      </c>
      <c r="B1730">
        <f>IF(OHW!$G683="","","OHW")</f>
        <v/>
      </c>
      <c r="C1730" s="18">
        <f>IF(OHW!$G683="","",OHW!$A683)</f>
        <v/>
      </c>
      <c r="F1730">
        <f>IF(OHW!$G683="","",OHW!$B683&amp;"")</f>
        <v/>
      </c>
      <c r="J1730">
        <f>IF(OHW!$G683="","",OHW!$E683)</f>
        <v/>
      </c>
      <c r="K1730">
        <f>IF(OHW!$G683="","",COUNTIFS(OHW!$A$5:$A$1668,OHW!$A683,OHW!$C$5:$C$1668,OHW!$C683))</f>
        <v/>
      </c>
      <c r="L1730">
        <f>IF(OHW!$G683="","",OHW!$D683&amp;"")</f>
        <v/>
      </c>
      <c r="M1730">
        <f>IF(OHW!$G683="","",OHW!$F683)</f>
        <v/>
      </c>
      <c r="N1730">
        <f>IF(OHW!$G683="","",OHW!$G683)</f>
        <v/>
      </c>
      <c r="O1730">
        <f>IF(OHW!$G683="","",OHW!$I683)</f>
        <v/>
      </c>
      <c r="P1730">
        <f>IF(OHW!$G683="","","Final")</f>
        <v/>
      </c>
    </row>
    <row r="1731">
      <c r="A1731">
        <f>IF(OHW!$G684="","","OHW")</f>
        <v/>
      </c>
      <c r="B1731">
        <f>IF(OHW!$G684="","","OHW")</f>
        <v/>
      </c>
      <c r="C1731" s="18">
        <f>IF(OHW!$G684="","",OHW!$A684)</f>
        <v/>
      </c>
      <c r="F1731">
        <f>IF(OHW!$G684="","",OHW!$B684&amp;"")</f>
        <v/>
      </c>
      <c r="J1731">
        <f>IF(OHW!$G684="","",OHW!$E684)</f>
        <v/>
      </c>
      <c r="K1731">
        <f>IF(OHW!$G684="","",COUNTIFS(OHW!$A$5:$A$1668,OHW!$A684,OHW!$C$5:$C$1668,OHW!$C684))</f>
        <v/>
      </c>
      <c r="L1731">
        <f>IF(OHW!$G684="","",OHW!$D684&amp;"")</f>
        <v/>
      </c>
      <c r="M1731">
        <f>IF(OHW!$G684="","",OHW!$F684)</f>
        <v/>
      </c>
      <c r="N1731">
        <f>IF(OHW!$G684="","",OHW!$G684)</f>
        <v/>
      </c>
      <c r="O1731">
        <f>IF(OHW!$G684="","",OHW!$I684)</f>
        <v/>
      </c>
      <c r="P1731">
        <f>IF(OHW!$G684="","","Final")</f>
        <v/>
      </c>
    </row>
    <row r="1732">
      <c r="A1732">
        <f>IF(OHW!$G685="","","OHW")</f>
        <v/>
      </c>
      <c r="B1732">
        <f>IF(OHW!$G685="","","OHW")</f>
        <v/>
      </c>
      <c r="C1732" s="18">
        <f>IF(OHW!$G685="","",OHW!$A685)</f>
        <v/>
      </c>
      <c r="F1732">
        <f>IF(OHW!$G685="","",OHW!$B685&amp;"")</f>
        <v/>
      </c>
      <c r="J1732">
        <f>IF(OHW!$G685="","",OHW!$E685)</f>
        <v/>
      </c>
      <c r="K1732">
        <f>IF(OHW!$G685="","",COUNTIFS(OHW!$A$5:$A$1668,OHW!$A685,OHW!$C$5:$C$1668,OHW!$C685))</f>
        <v/>
      </c>
      <c r="L1732">
        <f>IF(OHW!$G685="","",OHW!$D685&amp;"")</f>
        <v/>
      </c>
      <c r="M1732">
        <f>IF(OHW!$G685="","",OHW!$F685)</f>
        <v/>
      </c>
      <c r="N1732">
        <f>IF(OHW!$G685="","",OHW!$G685)</f>
        <v/>
      </c>
      <c r="O1732">
        <f>IF(OHW!$G685="","",OHW!$I685)</f>
        <v/>
      </c>
      <c r="P1732">
        <f>IF(OHW!$G685="","","Final")</f>
        <v/>
      </c>
    </row>
    <row r="1733">
      <c r="A1733">
        <f>IF(OHW!$G686="","","OHW")</f>
        <v/>
      </c>
      <c r="B1733">
        <f>IF(OHW!$G686="","","OHW")</f>
        <v/>
      </c>
      <c r="C1733" s="18">
        <f>IF(OHW!$G686="","",OHW!$A686)</f>
        <v/>
      </c>
      <c r="F1733">
        <f>IF(OHW!$G686="","",OHW!$B686&amp;"")</f>
        <v/>
      </c>
      <c r="J1733">
        <f>IF(OHW!$G686="","",OHW!$E686)</f>
        <v/>
      </c>
      <c r="K1733">
        <f>IF(OHW!$G686="","",COUNTIFS(OHW!$A$5:$A$1668,OHW!$A686,OHW!$C$5:$C$1668,OHW!$C686))</f>
        <v/>
      </c>
      <c r="L1733">
        <f>IF(OHW!$G686="","",OHW!$D686&amp;"")</f>
        <v/>
      </c>
      <c r="M1733">
        <f>IF(OHW!$G686="","",OHW!$F686)</f>
        <v/>
      </c>
      <c r="N1733">
        <f>IF(OHW!$G686="","",OHW!$G686)</f>
        <v/>
      </c>
      <c r="O1733">
        <f>IF(OHW!$G686="","",OHW!$I686)</f>
        <v/>
      </c>
      <c r="P1733">
        <f>IF(OHW!$G686="","","Final")</f>
        <v/>
      </c>
    </row>
    <row r="1734">
      <c r="A1734">
        <f>IF(OHW!$G687="","","OHW")</f>
        <v/>
      </c>
      <c r="B1734">
        <f>IF(OHW!$G687="","","OHW")</f>
        <v/>
      </c>
      <c r="C1734" s="18">
        <f>IF(OHW!$G687="","",OHW!$A687)</f>
        <v/>
      </c>
      <c r="F1734">
        <f>IF(OHW!$G687="","",OHW!$B687&amp;"")</f>
        <v/>
      </c>
      <c r="J1734">
        <f>IF(OHW!$G687="","",OHW!$E687)</f>
        <v/>
      </c>
      <c r="K1734">
        <f>IF(OHW!$G687="","",COUNTIFS(OHW!$A$5:$A$1668,OHW!$A687,OHW!$C$5:$C$1668,OHW!$C687))</f>
        <v/>
      </c>
      <c r="L1734">
        <f>IF(OHW!$G687="","",OHW!$D687&amp;"")</f>
        <v/>
      </c>
      <c r="M1734">
        <f>IF(OHW!$G687="","",OHW!$F687)</f>
        <v/>
      </c>
      <c r="N1734">
        <f>IF(OHW!$G687="","",OHW!$G687)</f>
        <v/>
      </c>
      <c r="O1734">
        <f>IF(OHW!$G687="","",OHW!$I687)</f>
        <v/>
      </c>
      <c r="P1734">
        <f>IF(OHW!$G687="","","Final")</f>
        <v/>
      </c>
    </row>
    <row r="1735">
      <c r="A1735">
        <f>IF(OHW!$G688="","","OHW")</f>
        <v/>
      </c>
      <c r="B1735">
        <f>IF(OHW!$G688="","","OHW")</f>
        <v/>
      </c>
      <c r="C1735" s="18">
        <f>IF(OHW!$G688="","",OHW!$A688)</f>
        <v/>
      </c>
      <c r="F1735">
        <f>IF(OHW!$G688="","",OHW!$B688&amp;"")</f>
        <v/>
      </c>
      <c r="J1735">
        <f>IF(OHW!$G688="","",OHW!$E688)</f>
        <v/>
      </c>
      <c r="K1735">
        <f>IF(OHW!$G688="","",COUNTIFS(OHW!$A$5:$A$1668,OHW!$A688,OHW!$C$5:$C$1668,OHW!$C688))</f>
        <v/>
      </c>
      <c r="L1735">
        <f>IF(OHW!$G688="","",OHW!$D688&amp;"")</f>
        <v/>
      </c>
      <c r="M1735">
        <f>IF(OHW!$G688="","",OHW!$F688)</f>
        <v/>
      </c>
      <c r="N1735">
        <f>IF(OHW!$G688="","",OHW!$G688)</f>
        <v/>
      </c>
      <c r="O1735">
        <f>IF(OHW!$G688="","",OHW!$I688)</f>
        <v/>
      </c>
      <c r="P1735">
        <f>IF(OHW!$G688="","","Final")</f>
        <v/>
      </c>
    </row>
    <row r="1736">
      <c r="A1736">
        <f>IF(OHW!$G689="","","OHW")</f>
        <v/>
      </c>
      <c r="B1736">
        <f>IF(OHW!$G689="","","OHW")</f>
        <v/>
      </c>
      <c r="C1736" s="18">
        <f>IF(OHW!$G689="","",OHW!$A689)</f>
        <v/>
      </c>
      <c r="F1736">
        <f>IF(OHW!$G689="","",OHW!$B689&amp;"")</f>
        <v/>
      </c>
      <c r="J1736">
        <f>IF(OHW!$G689="","",OHW!$E689)</f>
        <v/>
      </c>
      <c r="K1736">
        <f>IF(OHW!$G689="","",COUNTIFS(OHW!$A$5:$A$1668,OHW!$A689,OHW!$C$5:$C$1668,OHW!$C689))</f>
        <v/>
      </c>
      <c r="L1736">
        <f>IF(OHW!$G689="","",OHW!$D689&amp;"")</f>
        <v/>
      </c>
      <c r="M1736">
        <f>IF(OHW!$G689="","",OHW!$F689)</f>
        <v/>
      </c>
      <c r="N1736">
        <f>IF(OHW!$G689="","",OHW!$G689)</f>
        <v/>
      </c>
      <c r="O1736">
        <f>IF(OHW!$G689="","",OHW!$I689)</f>
        <v/>
      </c>
      <c r="P1736">
        <f>IF(OHW!$G689="","","Final")</f>
        <v/>
      </c>
    </row>
    <row r="1737">
      <c r="A1737">
        <f>IF(OHW!$G690="","","OHW")</f>
        <v/>
      </c>
      <c r="B1737">
        <f>IF(OHW!$G690="","","OHW")</f>
        <v/>
      </c>
      <c r="C1737" s="18">
        <f>IF(OHW!$G690="","",OHW!$A690)</f>
        <v/>
      </c>
      <c r="F1737">
        <f>IF(OHW!$G690="","",OHW!$B690&amp;"")</f>
        <v/>
      </c>
      <c r="J1737">
        <f>IF(OHW!$G690="","",OHW!$E690)</f>
        <v/>
      </c>
      <c r="K1737">
        <f>IF(OHW!$G690="","",COUNTIFS(OHW!$A$5:$A$1668,OHW!$A690,OHW!$C$5:$C$1668,OHW!$C690))</f>
        <v/>
      </c>
      <c r="L1737">
        <f>IF(OHW!$G690="","",OHW!$D690&amp;"")</f>
        <v/>
      </c>
      <c r="M1737">
        <f>IF(OHW!$G690="","",OHW!$F690)</f>
        <v/>
      </c>
      <c r="N1737">
        <f>IF(OHW!$G690="","",OHW!$G690)</f>
        <v/>
      </c>
      <c r="O1737">
        <f>IF(OHW!$G690="","",OHW!$I690)</f>
        <v/>
      </c>
      <c r="P1737">
        <f>IF(OHW!$G690="","","Final")</f>
        <v/>
      </c>
    </row>
    <row r="1738">
      <c r="A1738">
        <f>IF(OHW!$G691="","","OHW")</f>
        <v/>
      </c>
      <c r="B1738">
        <f>IF(OHW!$G691="","","OHW")</f>
        <v/>
      </c>
      <c r="C1738" s="18">
        <f>IF(OHW!$G691="","",OHW!$A691)</f>
        <v/>
      </c>
      <c r="F1738">
        <f>IF(OHW!$G691="","",OHW!$B691&amp;"")</f>
        <v/>
      </c>
      <c r="J1738">
        <f>IF(OHW!$G691="","",OHW!$E691)</f>
        <v/>
      </c>
      <c r="K1738">
        <f>IF(OHW!$G691="","",COUNTIFS(OHW!$A$5:$A$1668,OHW!$A691,OHW!$C$5:$C$1668,OHW!$C691))</f>
        <v/>
      </c>
      <c r="L1738">
        <f>IF(OHW!$G691="","",OHW!$D691&amp;"")</f>
        <v/>
      </c>
      <c r="M1738">
        <f>IF(OHW!$G691="","",OHW!$F691)</f>
        <v/>
      </c>
      <c r="N1738">
        <f>IF(OHW!$G691="","",OHW!$G691)</f>
        <v/>
      </c>
      <c r="O1738">
        <f>IF(OHW!$G691="","",OHW!$I691)</f>
        <v/>
      </c>
      <c r="P1738">
        <f>IF(OHW!$G691="","","Final")</f>
        <v/>
      </c>
    </row>
    <row r="1739">
      <c r="A1739">
        <f>IF(OHW!$G692="","","OHW")</f>
        <v/>
      </c>
      <c r="B1739">
        <f>IF(OHW!$G692="","","OHW")</f>
        <v/>
      </c>
      <c r="C1739" s="18">
        <f>IF(OHW!$G692="","",OHW!$A692)</f>
        <v/>
      </c>
      <c r="F1739">
        <f>IF(OHW!$G692="","",OHW!$B692&amp;"")</f>
        <v/>
      </c>
      <c r="J1739">
        <f>IF(OHW!$G692="","",OHW!$E692)</f>
        <v/>
      </c>
      <c r="K1739">
        <f>IF(OHW!$G692="","",COUNTIFS(OHW!$A$5:$A$1668,OHW!$A692,OHW!$C$5:$C$1668,OHW!$C692))</f>
        <v/>
      </c>
      <c r="L1739">
        <f>IF(OHW!$G692="","",OHW!$D692&amp;"")</f>
        <v/>
      </c>
      <c r="M1739">
        <f>IF(OHW!$G692="","",OHW!$F692)</f>
        <v/>
      </c>
      <c r="N1739">
        <f>IF(OHW!$G692="","",OHW!$G692)</f>
        <v/>
      </c>
      <c r="O1739">
        <f>IF(OHW!$G692="","",OHW!$I692)</f>
        <v/>
      </c>
      <c r="P1739">
        <f>IF(OHW!$G692="","","Final")</f>
        <v/>
      </c>
    </row>
    <row r="1740">
      <c r="A1740">
        <f>IF(OHW!$G693="","","OHW")</f>
        <v/>
      </c>
      <c r="B1740">
        <f>IF(OHW!$G693="","","OHW")</f>
        <v/>
      </c>
      <c r="C1740" s="18">
        <f>IF(OHW!$G693="","",OHW!$A693)</f>
        <v/>
      </c>
      <c r="F1740">
        <f>IF(OHW!$G693="","",OHW!$B693&amp;"")</f>
        <v/>
      </c>
      <c r="J1740">
        <f>IF(OHW!$G693="","",OHW!$E693)</f>
        <v/>
      </c>
      <c r="K1740">
        <f>IF(OHW!$G693="","",COUNTIFS(OHW!$A$5:$A$1668,OHW!$A693,OHW!$C$5:$C$1668,OHW!$C693))</f>
        <v/>
      </c>
      <c r="L1740">
        <f>IF(OHW!$G693="","",OHW!$D693&amp;"")</f>
        <v/>
      </c>
      <c r="M1740">
        <f>IF(OHW!$G693="","",OHW!$F693)</f>
        <v/>
      </c>
      <c r="N1740">
        <f>IF(OHW!$G693="","",OHW!$G693)</f>
        <v/>
      </c>
      <c r="O1740">
        <f>IF(OHW!$G693="","",OHW!$I693)</f>
        <v/>
      </c>
      <c r="P1740">
        <f>IF(OHW!$G693="","","Final")</f>
        <v/>
      </c>
    </row>
    <row r="1741">
      <c r="A1741">
        <f>IF(OHW!$G694="","","OHW")</f>
        <v/>
      </c>
      <c r="B1741">
        <f>IF(OHW!$G694="","","OHW")</f>
        <v/>
      </c>
      <c r="C1741" s="18">
        <f>IF(OHW!$G694="","",OHW!$A694)</f>
        <v/>
      </c>
      <c r="F1741">
        <f>IF(OHW!$G694="","",OHW!$B694&amp;"")</f>
        <v/>
      </c>
      <c r="J1741">
        <f>IF(OHW!$G694="","",OHW!$E694)</f>
        <v/>
      </c>
      <c r="K1741">
        <f>IF(OHW!$G694="","",COUNTIFS(OHW!$A$5:$A$1668,OHW!$A694,OHW!$C$5:$C$1668,OHW!$C694))</f>
        <v/>
      </c>
      <c r="L1741">
        <f>IF(OHW!$G694="","",OHW!$D694&amp;"")</f>
        <v/>
      </c>
      <c r="M1741">
        <f>IF(OHW!$G694="","",OHW!$F694)</f>
        <v/>
      </c>
      <c r="N1741">
        <f>IF(OHW!$G694="","",OHW!$G694)</f>
        <v/>
      </c>
      <c r="O1741">
        <f>IF(OHW!$G694="","",OHW!$I694)</f>
        <v/>
      </c>
      <c r="P1741">
        <f>IF(OHW!$G694="","","Final")</f>
        <v/>
      </c>
    </row>
    <row r="1742">
      <c r="A1742">
        <f>IF(OHW!$G695="","","OHW")</f>
        <v/>
      </c>
      <c r="B1742">
        <f>IF(OHW!$G695="","","OHW")</f>
        <v/>
      </c>
      <c r="C1742" s="18">
        <f>IF(OHW!$G695="","",OHW!$A695)</f>
        <v/>
      </c>
      <c r="F1742">
        <f>IF(OHW!$G695="","",OHW!$B695&amp;"")</f>
        <v/>
      </c>
      <c r="J1742">
        <f>IF(OHW!$G695="","",OHW!$E695)</f>
        <v/>
      </c>
      <c r="K1742">
        <f>IF(OHW!$G695="","",COUNTIFS(OHW!$A$5:$A$1668,OHW!$A695,OHW!$C$5:$C$1668,OHW!$C695))</f>
        <v/>
      </c>
      <c r="L1742">
        <f>IF(OHW!$G695="","",OHW!$D695&amp;"")</f>
        <v/>
      </c>
      <c r="M1742">
        <f>IF(OHW!$G695="","",OHW!$F695)</f>
        <v/>
      </c>
      <c r="N1742">
        <f>IF(OHW!$G695="","",OHW!$G695)</f>
        <v/>
      </c>
      <c r="O1742">
        <f>IF(OHW!$G695="","",OHW!$I695)</f>
        <v/>
      </c>
      <c r="P1742">
        <f>IF(OHW!$G695="","","Final")</f>
        <v/>
      </c>
    </row>
    <row r="1743">
      <c r="A1743">
        <f>IF(OHW!$G696="","","OHW")</f>
        <v/>
      </c>
      <c r="B1743">
        <f>IF(OHW!$G696="","","OHW")</f>
        <v/>
      </c>
      <c r="C1743" s="18">
        <f>IF(OHW!$G696="","",OHW!$A696)</f>
        <v/>
      </c>
      <c r="F1743">
        <f>IF(OHW!$G696="","",OHW!$B696&amp;"")</f>
        <v/>
      </c>
      <c r="J1743">
        <f>IF(OHW!$G696="","",OHW!$E696)</f>
        <v/>
      </c>
      <c r="K1743">
        <f>IF(OHW!$G696="","",COUNTIFS(OHW!$A$5:$A$1668,OHW!$A696,OHW!$C$5:$C$1668,OHW!$C696))</f>
        <v/>
      </c>
      <c r="L1743">
        <f>IF(OHW!$G696="","",OHW!$D696&amp;"")</f>
        <v/>
      </c>
      <c r="M1743">
        <f>IF(OHW!$G696="","",OHW!$F696)</f>
        <v/>
      </c>
      <c r="N1743">
        <f>IF(OHW!$G696="","",OHW!$G696)</f>
        <v/>
      </c>
      <c r="O1743">
        <f>IF(OHW!$G696="","",OHW!$I696)</f>
        <v/>
      </c>
      <c r="P1743">
        <f>IF(OHW!$G696="","","Final")</f>
        <v/>
      </c>
    </row>
    <row r="1744">
      <c r="A1744">
        <f>IF(OHW!$G697="","","OHW")</f>
        <v/>
      </c>
      <c r="B1744">
        <f>IF(OHW!$G697="","","OHW")</f>
        <v/>
      </c>
      <c r="C1744" s="18">
        <f>IF(OHW!$G697="","",OHW!$A697)</f>
        <v/>
      </c>
      <c r="F1744">
        <f>IF(OHW!$G697="","",OHW!$B697&amp;"")</f>
        <v/>
      </c>
      <c r="J1744">
        <f>IF(OHW!$G697="","",OHW!$E697)</f>
        <v/>
      </c>
      <c r="K1744">
        <f>IF(OHW!$G697="","",COUNTIFS(OHW!$A$5:$A$1668,OHW!$A697,OHW!$C$5:$C$1668,OHW!$C697))</f>
        <v/>
      </c>
      <c r="L1744">
        <f>IF(OHW!$G697="","",OHW!$D697&amp;"")</f>
        <v/>
      </c>
      <c r="M1744">
        <f>IF(OHW!$G697="","",OHW!$F697)</f>
        <v/>
      </c>
      <c r="N1744">
        <f>IF(OHW!$G697="","",OHW!$G697)</f>
        <v/>
      </c>
      <c r="O1744">
        <f>IF(OHW!$G697="","",OHW!$I697)</f>
        <v/>
      </c>
      <c r="P1744">
        <f>IF(OHW!$G697="","","Final")</f>
        <v/>
      </c>
    </row>
    <row r="1745">
      <c r="A1745">
        <f>IF(OHW!$G698="","","OHW")</f>
        <v/>
      </c>
      <c r="B1745">
        <f>IF(OHW!$G698="","","OHW")</f>
        <v/>
      </c>
      <c r="C1745" s="18">
        <f>IF(OHW!$G698="","",OHW!$A698)</f>
        <v/>
      </c>
      <c r="F1745">
        <f>IF(OHW!$G698="","",OHW!$B698&amp;"")</f>
        <v/>
      </c>
      <c r="J1745">
        <f>IF(OHW!$G698="","",OHW!$E698)</f>
        <v/>
      </c>
      <c r="K1745">
        <f>IF(OHW!$G698="","",COUNTIFS(OHW!$A$5:$A$1668,OHW!$A698,OHW!$C$5:$C$1668,OHW!$C698))</f>
        <v/>
      </c>
      <c r="L1745">
        <f>IF(OHW!$G698="","",OHW!$D698&amp;"")</f>
        <v/>
      </c>
      <c r="M1745">
        <f>IF(OHW!$G698="","",OHW!$F698)</f>
        <v/>
      </c>
      <c r="N1745">
        <f>IF(OHW!$G698="","",OHW!$G698)</f>
        <v/>
      </c>
      <c r="O1745">
        <f>IF(OHW!$G698="","",OHW!$I698)</f>
        <v/>
      </c>
      <c r="P1745">
        <f>IF(OHW!$G698="","","Final")</f>
        <v/>
      </c>
    </row>
    <row r="1746">
      <c r="A1746">
        <f>IF(OHW!$G699="","","OHW")</f>
        <v/>
      </c>
      <c r="B1746">
        <f>IF(OHW!$G699="","","OHW")</f>
        <v/>
      </c>
      <c r="C1746" s="18">
        <f>IF(OHW!$G699="","",OHW!$A699)</f>
        <v/>
      </c>
      <c r="F1746">
        <f>IF(OHW!$G699="","",OHW!$B699&amp;"")</f>
        <v/>
      </c>
      <c r="J1746">
        <f>IF(OHW!$G699="","",OHW!$E699)</f>
        <v/>
      </c>
      <c r="K1746">
        <f>IF(OHW!$G699="","",COUNTIFS(OHW!$A$5:$A$1668,OHW!$A699,OHW!$C$5:$C$1668,OHW!$C699))</f>
        <v/>
      </c>
      <c r="L1746">
        <f>IF(OHW!$G699="","",OHW!$D699&amp;"")</f>
        <v/>
      </c>
      <c r="M1746">
        <f>IF(OHW!$G699="","",OHW!$F699)</f>
        <v/>
      </c>
      <c r="N1746">
        <f>IF(OHW!$G699="","",OHW!$G699)</f>
        <v/>
      </c>
      <c r="O1746">
        <f>IF(OHW!$G699="","",OHW!$I699)</f>
        <v/>
      </c>
      <c r="P1746">
        <f>IF(OHW!$G699="","","Final")</f>
        <v/>
      </c>
    </row>
    <row r="1747">
      <c r="A1747">
        <f>IF(OHW!$G700="","","OHW")</f>
        <v/>
      </c>
      <c r="B1747">
        <f>IF(OHW!$G700="","","OHW")</f>
        <v/>
      </c>
      <c r="C1747" s="18">
        <f>IF(OHW!$G700="","",OHW!$A700)</f>
        <v/>
      </c>
      <c r="F1747">
        <f>IF(OHW!$G700="","",OHW!$B700&amp;"")</f>
        <v/>
      </c>
      <c r="J1747">
        <f>IF(OHW!$G700="","",OHW!$E700)</f>
        <v/>
      </c>
      <c r="K1747">
        <f>IF(OHW!$G700="","",COUNTIFS(OHW!$A$5:$A$1668,OHW!$A700,OHW!$C$5:$C$1668,OHW!$C700))</f>
        <v/>
      </c>
      <c r="L1747">
        <f>IF(OHW!$G700="","",OHW!$D700&amp;"")</f>
        <v/>
      </c>
      <c r="M1747">
        <f>IF(OHW!$G700="","",OHW!$F700)</f>
        <v/>
      </c>
      <c r="N1747">
        <f>IF(OHW!$G700="","",OHW!$G700)</f>
        <v/>
      </c>
      <c r="O1747">
        <f>IF(OHW!$G700="","",OHW!$I700)</f>
        <v/>
      </c>
      <c r="P1747">
        <f>IF(OHW!$G700="","","Final")</f>
        <v/>
      </c>
    </row>
    <row r="1748">
      <c r="A1748">
        <f>IF(OHW!$G701="","","OHW")</f>
        <v/>
      </c>
      <c r="B1748">
        <f>IF(OHW!$G701="","","OHW")</f>
        <v/>
      </c>
      <c r="C1748" s="18">
        <f>IF(OHW!$G701="","",OHW!$A701)</f>
        <v/>
      </c>
      <c r="F1748">
        <f>IF(OHW!$G701="","",OHW!$B701&amp;"")</f>
        <v/>
      </c>
      <c r="J1748">
        <f>IF(OHW!$G701="","",OHW!$E701)</f>
        <v/>
      </c>
      <c r="K1748">
        <f>IF(OHW!$G701="","",COUNTIFS(OHW!$A$5:$A$1668,OHW!$A701,OHW!$C$5:$C$1668,OHW!$C701))</f>
        <v/>
      </c>
      <c r="L1748">
        <f>IF(OHW!$G701="","",OHW!$D701&amp;"")</f>
        <v/>
      </c>
      <c r="M1748">
        <f>IF(OHW!$G701="","",OHW!$F701)</f>
        <v/>
      </c>
      <c r="N1748">
        <f>IF(OHW!$G701="","",OHW!$G701)</f>
        <v/>
      </c>
      <c r="O1748">
        <f>IF(OHW!$G701="","",OHW!$I701)</f>
        <v/>
      </c>
      <c r="P1748">
        <f>IF(OHW!$G701="","","Final")</f>
        <v/>
      </c>
    </row>
    <row r="1749">
      <c r="A1749">
        <f>IF(OHW!$G702="","","OHW")</f>
        <v/>
      </c>
      <c r="B1749">
        <f>IF(OHW!$G702="","","OHW")</f>
        <v/>
      </c>
      <c r="C1749" s="18">
        <f>IF(OHW!$G702="","",OHW!$A702)</f>
        <v/>
      </c>
      <c r="F1749">
        <f>IF(OHW!$G702="","",OHW!$B702&amp;"")</f>
        <v/>
      </c>
      <c r="J1749">
        <f>IF(OHW!$G702="","",OHW!$E702)</f>
        <v/>
      </c>
      <c r="K1749">
        <f>IF(OHW!$G702="","",COUNTIFS(OHW!$A$5:$A$1668,OHW!$A702,OHW!$C$5:$C$1668,OHW!$C702))</f>
        <v/>
      </c>
      <c r="L1749">
        <f>IF(OHW!$G702="","",OHW!$D702&amp;"")</f>
        <v/>
      </c>
      <c r="M1749">
        <f>IF(OHW!$G702="","",OHW!$F702)</f>
        <v/>
      </c>
      <c r="N1749">
        <f>IF(OHW!$G702="","",OHW!$G702)</f>
        <v/>
      </c>
      <c r="O1749">
        <f>IF(OHW!$G702="","",OHW!$I702)</f>
        <v/>
      </c>
      <c r="P1749">
        <f>IF(OHW!$G702="","","Final")</f>
        <v/>
      </c>
    </row>
    <row r="1750">
      <c r="A1750">
        <f>IF(OHW!$G703="","","OHW")</f>
        <v/>
      </c>
      <c r="B1750">
        <f>IF(OHW!$G703="","","OHW")</f>
        <v/>
      </c>
      <c r="C1750" s="18">
        <f>IF(OHW!$G703="","",OHW!$A703)</f>
        <v/>
      </c>
      <c r="F1750">
        <f>IF(OHW!$G703="","",OHW!$B703&amp;"")</f>
        <v/>
      </c>
      <c r="J1750">
        <f>IF(OHW!$G703="","",OHW!$E703)</f>
        <v/>
      </c>
      <c r="K1750">
        <f>IF(OHW!$G703="","",COUNTIFS(OHW!$A$5:$A$1668,OHW!$A703,OHW!$C$5:$C$1668,OHW!$C703))</f>
        <v/>
      </c>
      <c r="L1750">
        <f>IF(OHW!$G703="","",OHW!$D703&amp;"")</f>
        <v/>
      </c>
      <c r="M1750">
        <f>IF(OHW!$G703="","",OHW!$F703)</f>
        <v/>
      </c>
      <c r="N1750">
        <f>IF(OHW!$G703="","",OHW!$G703)</f>
        <v/>
      </c>
      <c r="O1750">
        <f>IF(OHW!$G703="","",OHW!$I703)</f>
        <v/>
      </c>
      <c r="P1750">
        <f>IF(OHW!$G703="","","Final")</f>
        <v/>
      </c>
    </row>
    <row r="1751">
      <c r="A1751">
        <f>IF(OHW!$G704="","","OHW")</f>
        <v/>
      </c>
      <c r="B1751">
        <f>IF(OHW!$G704="","","OHW")</f>
        <v/>
      </c>
      <c r="C1751" s="18">
        <f>IF(OHW!$G704="","",OHW!$A704)</f>
        <v/>
      </c>
      <c r="F1751">
        <f>IF(OHW!$G704="","",OHW!$B704&amp;"")</f>
        <v/>
      </c>
      <c r="J1751">
        <f>IF(OHW!$G704="","",OHW!$E704)</f>
        <v/>
      </c>
      <c r="K1751">
        <f>IF(OHW!$G704="","",COUNTIFS(OHW!$A$5:$A$1668,OHW!$A704,OHW!$C$5:$C$1668,OHW!$C704))</f>
        <v/>
      </c>
      <c r="L1751">
        <f>IF(OHW!$G704="","",OHW!$D704&amp;"")</f>
        <v/>
      </c>
      <c r="M1751">
        <f>IF(OHW!$G704="","",OHW!$F704)</f>
        <v/>
      </c>
      <c r="N1751">
        <f>IF(OHW!$G704="","",OHW!$G704)</f>
        <v/>
      </c>
      <c r="O1751">
        <f>IF(OHW!$G704="","",OHW!$I704)</f>
        <v/>
      </c>
      <c r="P1751">
        <f>IF(OHW!$G704="","","Final")</f>
        <v/>
      </c>
    </row>
    <row r="1752">
      <c r="A1752">
        <f>IF(OHW!$G705="","","OHW")</f>
        <v/>
      </c>
      <c r="B1752">
        <f>IF(OHW!$G705="","","OHW")</f>
        <v/>
      </c>
      <c r="C1752" s="18">
        <f>IF(OHW!$G705="","",OHW!$A705)</f>
        <v/>
      </c>
      <c r="F1752">
        <f>IF(OHW!$G705="","",OHW!$B705&amp;"")</f>
        <v/>
      </c>
      <c r="J1752">
        <f>IF(OHW!$G705="","",OHW!$E705)</f>
        <v/>
      </c>
      <c r="K1752">
        <f>IF(OHW!$G705="","",COUNTIFS(OHW!$A$5:$A$1668,OHW!$A705,OHW!$C$5:$C$1668,OHW!$C705))</f>
        <v/>
      </c>
      <c r="L1752">
        <f>IF(OHW!$G705="","",OHW!$D705&amp;"")</f>
        <v/>
      </c>
      <c r="M1752">
        <f>IF(OHW!$G705="","",OHW!$F705)</f>
        <v/>
      </c>
      <c r="N1752">
        <f>IF(OHW!$G705="","",OHW!$G705)</f>
        <v/>
      </c>
      <c r="O1752">
        <f>IF(OHW!$G705="","",OHW!$I705)</f>
        <v/>
      </c>
      <c r="P1752">
        <f>IF(OHW!$G705="","","Final")</f>
        <v/>
      </c>
    </row>
    <row r="1753">
      <c r="A1753">
        <f>IF(OHW!$G706="","","OHW")</f>
        <v/>
      </c>
      <c r="B1753">
        <f>IF(OHW!$G706="","","OHW")</f>
        <v/>
      </c>
      <c r="C1753" s="18">
        <f>IF(OHW!$G706="","",OHW!$A706)</f>
        <v/>
      </c>
      <c r="F1753">
        <f>IF(OHW!$G706="","",OHW!$B706&amp;"")</f>
        <v/>
      </c>
      <c r="J1753">
        <f>IF(OHW!$G706="","",OHW!$E706)</f>
        <v/>
      </c>
      <c r="K1753">
        <f>IF(OHW!$G706="","",COUNTIFS(OHW!$A$5:$A$1668,OHW!$A706,OHW!$C$5:$C$1668,OHW!$C706))</f>
        <v/>
      </c>
      <c r="L1753">
        <f>IF(OHW!$G706="","",OHW!$D706&amp;"")</f>
        <v/>
      </c>
      <c r="M1753">
        <f>IF(OHW!$G706="","",OHW!$F706)</f>
        <v/>
      </c>
      <c r="N1753">
        <f>IF(OHW!$G706="","",OHW!$G706)</f>
        <v/>
      </c>
      <c r="O1753">
        <f>IF(OHW!$G706="","",OHW!$I706)</f>
        <v/>
      </c>
      <c r="P1753">
        <f>IF(OHW!$G706="","","Final")</f>
        <v/>
      </c>
    </row>
    <row r="1754">
      <c r="A1754">
        <f>IF(OHW!$G707="","","OHW")</f>
        <v/>
      </c>
      <c r="B1754">
        <f>IF(OHW!$G707="","","OHW")</f>
        <v/>
      </c>
      <c r="C1754" s="18">
        <f>IF(OHW!$G707="","",OHW!$A707)</f>
        <v/>
      </c>
      <c r="F1754">
        <f>IF(OHW!$G707="","",OHW!$B707&amp;"")</f>
        <v/>
      </c>
      <c r="J1754">
        <f>IF(OHW!$G707="","",OHW!$E707)</f>
        <v/>
      </c>
      <c r="K1754">
        <f>IF(OHW!$G707="","",COUNTIFS(OHW!$A$5:$A$1668,OHW!$A707,OHW!$C$5:$C$1668,OHW!$C707))</f>
        <v/>
      </c>
      <c r="L1754">
        <f>IF(OHW!$G707="","",OHW!$D707&amp;"")</f>
        <v/>
      </c>
      <c r="M1754">
        <f>IF(OHW!$G707="","",OHW!$F707)</f>
        <v/>
      </c>
      <c r="N1754">
        <f>IF(OHW!$G707="","",OHW!$G707)</f>
        <v/>
      </c>
      <c r="O1754">
        <f>IF(OHW!$G707="","",OHW!$I707)</f>
        <v/>
      </c>
      <c r="P1754">
        <f>IF(OHW!$G707="","","Final")</f>
        <v/>
      </c>
    </row>
    <row r="1755">
      <c r="A1755">
        <f>IF(OHW!$G708="","","OHW")</f>
        <v/>
      </c>
      <c r="B1755">
        <f>IF(OHW!$G708="","","OHW")</f>
        <v/>
      </c>
      <c r="C1755" s="18">
        <f>IF(OHW!$G708="","",OHW!$A708)</f>
        <v/>
      </c>
      <c r="F1755">
        <f>IF(OHW!$G708="","",OHW!$B708&amp;"")</f>
        <v/>
      </c>
      <c r="J1755">
        <f>IF(OHW!$G708="","",OHW!$E708)</f>
        <v/>
      </c>
      <c r="K1755">
        <f>IF(OHW!$G708="","",COUNTIFS(OHW!$A$5:$A$1668,OHW!$A708,OHW!$C$5:$C$1668,OHW!$C708))</f>
        <v/>
      </c>
      <c r="L1755">
        <f>IF(OHW!$G708="","",OHW!$D708&amp;"")</f>
        <v/>
      </c>
      <c r="M1755">
        <f>IF(OHW!$G708="","",OHW!$F708)</f>
        <v/>
      </c>
      <c r="N1755">
        <f>IF(OHW!$G708="","",OHW!$G708)</f>
        <v/>
      </c>
      <c r="O1755">
        <f>IF(OHW!$G708="","",OHW!$I708)</f>
        <v/>
      </c>
      <c r="P1755">
        <f>IF(OHW!$G708="","","Final")</f>
        <v/>
      </c>
    </row>
    <row r="1756">
      <c r="A1756">
        <f>IF(OHW!$G709="","","OHW")</f>
        <v/>
      </c>
      <c r="B1756">
        <f>IF(OHW!$G709="","","OHW")</f>
        <v/>
      </c>
      <c r="C1756" s="18">
        <f>IF(OHW!$G709="","",OHW!$A709)</f>
        <v/>
      </c>
      <c r="F1756">
        <f>IF(OHW!$G709="","",OHW!$B709&amp;"")</f>
        <v/>
      </c>
      <c r="J1756">
        <f>IF(OHW!$G709="","",OHW!$E709)</f>
        <v/>
      </c>
      <c r="K1756">
        <f>IF(OHW!$G709="","",COUNTIFS(OHW!$A$5:$A$1668,OHW!$A709,OHW!$C$5:$C$1668,OHW!$C709))</f>
        <v/>
      </c>
      <c r="L1756">
        <f>IF(OHW!$G709="","",OHW!$D709&amp;"")</f>
        <v/>
      </c>
      <c r="M1756">
        <f>IF(OHW!$G709="","",OHW!$F709)</f>
        <v/>
      </c>
      <c r="N1756">
        <f>IF(OHW!$G709="","",OHW!$G709)</f>
        <v/>
      </c>
      <c r="O1756">
        <f>IF(OHW!$G709="","",OHW!$I709)</f>
        <v/>
      </c>
      <c r="P1756">
        <f>IF(OHW!$G709="","","Final")</f>
        <v/>
      </c>
    </row>
    <row r="1757">
      <c r="A1757">
        <f>IF(OHW!$G710="","","OHW")</f>
        <v/>
      </c>
      <c r="B1757">
        <f>IF(OHW!$G710="","","OHW")</f>
        <v/>
      </c>
      <c r="C1757" s="18">
        <f>IF(OHW!$G710="","",OHW!$A710)</f>
        <v/>
      </c>
      <c r="F1757">
        <f>IF(OHW!$G710="","",OHW!$B710&amp;"")</f>
        <v/>
      </c>
      <c r="J1757">
        <f>IF(OHW!$G710="","",OHW!$E710)</f>
        <v/>
      </c>
      <c r="K1757">
        <f>IF(OHW!$G710="","",COUNTIFS(OHW!$A$5:$A$1668,OHW!$A710,OHW!$C$5:$C$1668,OHW!$C710))</f>
        <v/>
      </c>
      <c r="L1757">
        <f>IF(OHW!$G710="","",OHW!$D710&amp;"")</f>
        <v/>
      </c>
      <c r="M1757">
        <f>IF(OHW!$G710="","",OHW!$F710)</f>
        <v/>
      </c>
      <c r="N1757">
        <f>IF(OHW!$G710="","",OHW!$G710)</f>
        <v/>
      </c>
      <c r="O1757">
        <f>IF(OHW!$G710="","",OHW!$I710)</f>
        <v/>
      </c>
      <c r="P1757">
        <f>IF(OHW!$G710="","","Final")</f>
        <v/>
      </c>
    </row>
    <row r="1758">
      <c r="A1758">
        <f>IF(OHW!$G711="","","OHW")</f>
        <v/>
      </c>
      <c r="B1758">
        <f>IF(OHW!$G711="","","OHW")</f>
        <v/>
      </c>
      <c r="C1758" s="18">
        <f>IF(OHW!$G711="","",OHW!$A711)</f>
        <v/>
      </c>
      <c r="F1758">
        <f>IF(OHW!$G711="","",OHW!$B711&amp;"")</f>
        <v/>
      </c>
      <c r="J1758">
        <f>IF(OHW!$G711="","",OHW!$E711)</f>
        <v/>
      </c>
      <c r="K1758">
        <f>IF(OHW!$G711="","",COUNTIFS(OHW!$A$5:$A$1668,OHW!$A711,OHW!$C$5:$C$1668,OHW!$C711))</f>
        <v/>
      </c>
      <c r="L1758">
        <f>IF(OHW!$G711="","",OHW!$D711&amp;"")</f>
        <v/>
      </c>
      <c r="M1758">
        <f>IF(OHW!$G711="","",OHW!$F711)</f>
        <v/>
      </c>
      <c r="N1758">
        <f>IF(OHW!$G711="","",OHW!$G711)</f>
        <v/>
      </c>
      <c r="O1758">
        <f>IF(OHW!$G711="","",OHW!$I711)</f>
        <v/>
      </c>
      <c r="P1758">
        <f>IF(OHW!$G711="","","Final")</f>
        <v/>
      </c>
    </row>
    <row r="1759">
      <c r="A1759">
        <f>IF(OHW!$G712="","","OHW")</f>
        <v/>
      </c>
      <c r="B1759">
        <f>IF(OHW!$G712="","","OHW")</f>
        <v/>
      </c>
      <c r="C1759" s="18">
        <f>IF(OHW!$G712="","",OHW!$A712)</f>
        <v/>
      </c>
      <c r="F1759">
        <f>IF(OHW!$G712="","",OHW!$B712&amp;"")</f>
        <v/>
      </c>
      <c r="J1759">
        <f>IF(OHW!$G712="","",OHW!$E712)</f>
        <v/>
      </c>
      <c r="K1759">
        <f>IF(OHW!$G712="","",COUNTIFS(OHW!$A$5:$A$1668,OHW!$A712,OHW!$C$5:$C$1668,OHW!$C712))</f>
        <v/>
      </c>
      <c r="L1759">
        <f>IF(OHW!$G712="","",OHW!$D712&amp;"")</f>
        <v/>
      </c>
      <c r="M1759">
        <f>IF(OHW!$G712="","",OHW!$F712)</f>
        <v/>
      </c>
      <c r="N1759">
        <f>IF(OHW!$G712="","",OHW!$G712)</f>
        <v/>
      </c>
      <c r="O1759">
        <f>IF(OHW!$G712="","",OHW!$I712)</f>
        <v/>
      </c>
      <c r="P1759">
        <f>IF(OHW!$G712="","","Final")</f>
        <v/>
      </c>
    </row>
    <row r="1760">
      <c r="A1760">
        <f>IF(OHW!$G713="","","OHW")</f>
        <v/>
      </c>
      <c r="B1760">
        <f>IF(OHW!$G713="","","OHW")</f>
        <v/>
      </c>
      <c r="C1760" s="18">
        <f>IF(OHW!$G713="","",OHW!$A713)</f>
        <v/>
      </c>
      <c r="F1760">
        <f>IF(OHW!$G713="","",OHW!$B713&amp;"")</f>
        <v/>
      </c>
      <c r="J1760">
        <f>IF(OHW!$G713="","",OHW!$E713)</f>
        <v/>
      </c>
      <c r="K1760">
        <f>IF(OHW!$G713="","",COUNTIFS(OHW!$A$5:$A$1668,OHW!$A713,OHW!$C$5:$C$1668,OHW!$C713))</f>
        <v/>
      </c>
      <c r="L1760">
        <f>IF(OHW!$G713="","",OHW!$D713&amp;"")</f>
        <v/>
      </c>
      <c r="M1760">
        <f>IF(OHW!$G713="","",OHW!$F713)</f>
        <v/>
      </c>
      <c r="N1760">
        <f>IF(OHW!$G713="","",OHW!$G713)</f>
        <v/>
      </c>
      <c r="O1760">
        <f>IF(OHW!$G713="","",OHW!$I713)</f>
        <v/>
      </c>
      <c r="P1760">
        <f>IF(OHW!$G713="","","Final")</f>
        <v/>
      </c>
    </row>
    <row r="1761">
      <c r="A1761">
        <f>IF(OHW!$G714="","","OHW")</f>
        <v/>
      </c>
      <c r="B1761">
        <f>IF(OHW!$G714="","","OHW")</f>
        <v/>
      </c>
      <c r="C1761" s="18">
        <f>IF(OHW!$G714="","",OHW!$A714)</f>
        <v/>
      </c>
      <c r="F1761">
        <f>IF(OHW!$G714="","",OHW!$B714&amp;"")</f>
        <v/>
      </c>
      <c r="J1761">
        <f>IF(OHW!$G714="","",OHW!$E714)</f>
        <v/>
      </c>
      <c r="K1761">
        <f>IF(OHW!$G714="","",COUNTIFS(OHW!$A$5:$A$1668,OHW!$A714,OHW!$C$5:$C$1668,OHW!$C714))</f>
        <v/>
      </c>
      <c r="L1761">
        <f>IF(OHW!$G714="","",OHW!$D714&amp;"")</f>
        <v/>
      </c>
      <c r="M1761">
        <f>IF(OHW!$G714="","",OHW!$F714)</f>
        <v/>
      </c>
      <c r="N1761">
        <f>IF(OHW!$G714="","",OHW!$G714)</f>
        <v/>
      </c>
      <c r="O1761">
        <f>IF(OHW!$G714="","",OHW!$I714)</f>
        <v/>
      </c>
      <c r="P1761">
        <f>IF(OHW!$G714="","","Final")</f>
        <v/>
      </c>
    </row>
    <row r="1762">
      <c r="A1762">
        <f>IF(OHW!$G715="","","OHW")</f>
        <v/>
      </c>
      <c r="B1762">
        <f>IF(OHW!$G715="","","OHW")</f>
        <v/>
      </c>
      <c r="C1762" s="18">
        <f>IF(OHW!$G715="","",OHW!$A715)</f>
        <v/>
      </c>
      <c r="F1762">
        <f>IF(OHW!$G715="","",OHW!$B715&amp;"")</f>
        <v/>
      </c>
      <c r="J1762">
        <f>IF(OHW!$G715="","",OHW!$E715)</f>
        <v/>
      </c>
      <c r="K1762">
        <f>IF(OHW!$G715="","",COUNTIFS(OHW!$A$5:$A$1668,OHW!$A715,OHW!$C$5:$C$1668,OHW!$C715))</f>
        <v/>
      </c>
      <c r="L1762">
        <f>IF(OHW!$G715="","",OHW!$D715&amp;"")</f>
        <v/>
      </c>
      <c r="M1762">
        <f>IF(OHW!$G715="","",OHW!$F715)</f>
        <v/>
      </c>
      <c r="N1762">
        <f>IF(OHW!$G715="","",OHW!$G715)</f>
        <v/>
      </c>
      <c r="O1762">
        <f>IF(OHW!$G715="","",OHW!$I715)</f>
        <v/>
      </c>
      <c r="P1762">
        <f>IF(OHW!$G715="","","Final")</f>
        <v/>
      </c>
    </row>
    <row r="1763">
      <c r="A1763">
        <f>IF(OHW!$G716="","","OHW")</f>
        <v/>
      </c>
      <c r="B1763">
        <f>IF(OHW!$G716="","","OHW")</f>
        <v/>
      </c>
      <c r="C1763" s="18">
        <f>IF(OHW!$G716="","",OHW!$A716)</f>
        <v/>
      </c>
      <c r="F1763">
        <f>IF(OHW!$G716="","",OHW!$B716&amp;"")</f>
        <v/>
      </c>
      <c r="J1763">
        <f>IF(OHW!$G716="","",OHW!$E716)</f>
        <v/>
      </c>
      <c r="K1763">
        <f>IF(OHW!$G716="","",COUNTIFS(OHW!$A$5:$A$1668,OHW!$A716,OHW!$C$5:$C$1668,OHW!$C716))</f>
        <v/>
      </c>
      <c r="L1763">
        <f>IF(OHW!$G716="","",OHW!$D716&amp;"")</f>
        <v/>
      </c>
      <c r="M1763">
        <f>IF(OHW!$G716="","",OHW!$F716)</f>
        <v/>
      </c>
      <c r="N1763">
        <f>IF(OHW!$G716="","",OHW!$G716)</f>
        <v/>
      </c>
      <c r="O1763">
        <f>IF(OHW!$G716="","",OHW!$I716)</f>
        <v/>
      </c>
      <c r="P1763">
        <f>IF(OHW!$G716="","","Final")</f>
        <v/>
      </c>
    </row>
    <row r="1764">
      <c r="A1764">
        <f>IF(OHW!$G717="","","OHW")</f>
        <v/>
      </c>
      <c r="B1764">
        <f>IF(OHW!$G717="","","OHW")</f>
        <v/>
      </c>
      <c r="C1764" s="18">
        <f>IF(OHW!$G717="","",OHW!$A717)</f>
        <v/>
      </c>
      <c r="F1764">
        <f>IF(OHW!$G717="","",OHW!$B717&amp;"")</f>
        <v/>
      </c>
      <c r="J1764">
        <f>IF(OHW!$G717="","",OHW!$E717)</f>
        <v/>
      </c>
      <c r="K1764">
        <f>IF(OHW!$G717="","",COUNTIFS(OHW!$A$5:$A$1668,OHW!$A717,OHW!$C$5:$C$1668,OHW!$C717))</f>
        <v/>
      </c>
      <c r="L1764">
        <f>IF(OHW!$G717="","",OHW!$D717&amp;"")</f>
        <v/>
      </c>
      <c r="M1764">
        <f>IF(OHW!$G717="","",OHW!$F717)</f>
        <v/>
      </c>
      <c r="N1764">
        <f>IF(OHW!$G717="","",OHW!$G717)</f>
        <v/>
      </c>
      <c r="O1764">
        <f>IF(OHW!$G717="","",OHW!$I717)</f>
        <v/>
      </c>
      <c r="P1764">
        <f>IF(OHW!$G717="","","Final")</f>
        <v/>
      </c>
    </row>
    <row r="1765">
      <c r="A1765">
        <f>IF(OHW!$G718="","","OHW")</f>
        <v/>
      </c>
      <c r="B1765">
        <f>IF(OHW!$G718="","","OHW")</f>
        <v/>
      </c>
      <c r="C1765" s="18">
        <f>IF(OHW!$G718="","",OHW!$A718)</f>
        <v/>
      </c>
      <c r="F1765">
        <f>IF(OHW!$G718="","",OHW!$B718&amp;"")</f>
        <v/>
      </c>
      <c r="J1765">
        <f>IF(OHW!$G718="","",OHW!$E718)</f>
        <v/>
      </c>
      <c r="K1765">
        <f>IF(OHW!$G718="","",COUNTIFS(OHW!$A$5:$A$1668,OHW!$A718,OHW!$C$5:$C$1668,OHW!$C718))</f>
        <v/>
      </c>
      <c r="L1765">
        <f>IF(OHW!$G718="","",OHW!$D718&amp;"")</f>
        <v/>
      </c>
      <c r="M1765">
        <f>IF(OHW!$G718="","",OHW!$F718)</f>
        <v/>
      </c>
      <c r="N1765">
        <f>IF(OHW!$G718="","",OHW!$G718)</f>
        <v/>
      </c>
      <c r="O1765">
        <f>IF(OHW!$G718="","",OHW!$I718)</f>
        <v/>
      </c>
      <c r="P1765">
        <f>IF(OHW!$G718="","","Final")</f>
        <v/>
      </c>
    </row>
    <row r="1766">
      <c r="A1766">
        <f>IF(OHW!$G719="","","OHW")</f>
        <v/>
      </c>
      <c r="B1766">
        <f>IF(OHW!$G719="","","OHW")</f>
        <v/>
      </c>
      <c r="C1766" s="18">
        <f>IF(OHW!$G719="","",OHW!$A719)</f>
        <v/>
      </c>
      <c r="F1766">
        <f>IF(OHW!$G719="","",OHW!$B719&amp;"")</f>
        <v/>
      </c>
      <c r="J1766">
        <f>IF(OHW!$G719="","",OHW!$E719)</f>
        <v/>
      </c>
      <c r="K1766">
        <f>IF(OHW!$G719="","",COUNTIFS(OHW!$A$5:$A$1668,OHW!$A719,OHW!$C$5:$C$1668,OHW!$C719))</f>
        <v/>
      </c>
      <c r="L1766">
        <f>IF(OHW!$G719="","",OHW!$D719&amp;"")</f>
        <v/>
      </c>
      <c r="M1766">
        <f>IF(OHW!$G719="","",OHW!$F719)</f>
        <v/>
      </c>
      <c r="N1766">
        <f>IF(OHW!$G719="","",OHW!$G719)</f>
        <v/>
      </c>
      <c r="O1766">
        <f>IF(OHW!$G719="","",OHW!$I719)</f>
        <v/>
      </c>
      <c r="P1766">
        <f>IF(OHW!$G719="","","Final")</f>
        <v/>
      </c>
    </row>
    <row r="1767">
      <c r="A1767">
        <f>IF(OHW!$G720="","","OHW")</f>
        <v/>
      </c>
      <c r="B1767">
        <f>IF(OHW!$G720="","","OHW")</f>
        <v/>
      </c>
      <c r="C1767" s="18">
        <f>IF(OHW!$G720="","",OHW!$A720)</f>
        <v/>
      </c>
      <c r="F1767">
        <f>IF(OHW!$G720="","",OHW!$B720&amp;"")</f>
        <v/>
      </c>
      <c r="J1767">
        <f>IF(OHW!$G720="","",OHW!$E720)</f>
        <v/>
      </c>
      <c r="K1767">
        <f>IF(OHW!$G720="","",COUNTIFS(OHW!$A$5:$A$1668,OHW!$A720,OHW!$C$5:$C$1668,OHW!$C720))</f>
        <v/>
      </c>
      <c r="L1767">
        <f>IF(OHW!$G720="","",OHW!$D720&amp;"")</f>
        <v/>
      </c>
      <c r="M1767">
        <f>IF(OHW!$G720="","",OHW!$F720)</f>
        <v/>
      </c>
      <c r="N1767">
        <f>IF(OHW!$G720="","",OHW!$G720)</f>
        <v/>
      </c>
      <c r="O1767">
        <f>IF(OHW!$G720="","",OHW!$I720)</f>
        <v/>
      </c>
      <c r="P1767">
        <f>IF(OHW!$G720="","","Final")</f>
        <v/>
      </c>
    </row>
    <row r="1768">
      <c r="A1768">
        <f>IF(OHW!$G721="","","OHW")</f>
        <v/>
      </c>
      <c r="B1768">
        <f>IF(OHW!$G721="","","OHW")</f>
        <v/>
      </c>
      <c r="C1768" s="18">
        <f>IF(OHW!$G721="","",OHW!$A721)</f>
        <v/>
      </c>
      <c r="F1768">
        <f>IF(OHW!$G721="","",OHW!$B721&amp;"")</f>
        <v/>
      </c>
      <c r="J1768">
        <f>IF(OHW!$G721="","",OHW!$E721)</f>
        <v/>
      </c>
      <c r="K1768">
        <f>IF(OHW!$G721="","",COUNTIFS(OHW!$A$5:$A$1668,OHW!$A721,OHW!$C$5:$C$1668,OHW!$C721))</f>
        <v/>
      </c>
      <c r="L1768">
        <f>IF(OHW!$G721="","",OHW!$D721&amp;"")</f>
        <v/>
      </c>
      <c r="M1768">
        <f>IF(OHW!$G721="","",OHW!$F721)</f>
        <v/>
      </c>
      <c r="N1768">
        <f>IF(OHW!$G721="","",OHW!$G721)</f>
        <v/>
      </c>
      <c r="O1768">
        <f>IF(OHW!$G721="","",OHW!$I721)</f>
        <v/>
      </c>
      <c r="P1768">
        <f>IF(OHW!$G721="","","Final")</f>
        <v/>
      </c>
    </row>
    <row r="1769">
      <c r="A1769">
        <f>IF(OHW!$G722="","","OHW")</f>
        <v/>
      </c>
      <c r="B1769">
        <f>IF(OHW!$G722="","","OHW")</f>
        <v/>
      </c>
      <c r="C1769" s="18">
        <f>IF(OHW!$G722="","",OHW!$A722)</f>
        <v/>
      </c>
      <c r="F1769">
        <f>IF(OHW!$G722="","",OHW!$B722&amp;"")</f>
        <v/>
      </c>
      <c r="J1769">
        <f>IF(OHW!$G722="","",OHW!$E722)</f>
        <v/>
      </c>
      <c r="K1769">
        <f>IF(OHW!$G722="","",COUNTIFS(OHW!$A$5:$A$1668,OHW!$A722,OHW!$C$5:$C$1668,OHW!$C722))</f>
        <v/>
      </c>
      <c r="L1769">
        <f>IF(OHW!$G722="","",OHW!$D722&amp;"")</f>
        <v/>
      </c>
      <c r="M1769">
        <f>IF(OHW!$G722="","",OHW!$F722)</f>
        <v/>
      </c>
      <c r="N1769">
        <f>IF(OHW!$G722="","",OHW!$G722)</f>
        <v/>
      </c>
      <c r="O1769">
        <f>IF(OHW!$G722="","",OHW!$I722)</f>
        <v/>
      </c>
      <c r="P1769">
        <f>IF(OHW!$G722="","","Final")</f>
        <v/>
      </c>
    </row>
    <row r="1770">
      <c r="A1770">
        <f>IF(OHW!$G723="","","OHW")</f>
        <v/>
      </c>
      <c r="B1770">
        <f>IF(OHW!$G723="","","OHW")</f>
        <v/>
      </c>
      <c r="C1770" s="18">
        <f>IF(OHW!$G723="","",OHW!$A723)</f>
        <v/>
      </c>
      <c r="F1770">
        <f>IF(OHW!$G723="","",OHW!$B723&amp;"")</f>
        <v/>
      </c>
      <c r="J1770">
        <f>IF(OHW!$G723="","",OHW!$E723)</f>
        <v/>
      </c>
      <c r="K1770">
        <f>IF(OHW!$G723="","",COUNTIFS(OHW!$A$5:$A$1668,OHW!$A723,OHW!$C$5:$C$1668,OHW!$C723))</f>
        <v/>
      </c>
      <c r="L1770">
        <f>IF(OHW!$G723="","",OHW!$D723&amp;"")</f>
        <v/>
      </c>
      <c r="M1770">
        <f>IF(OHW!$G723="","",OHW!$F723)</f>
        <v/>
      </c>
      <c r="N1770">
        <f>IF(OHW!$G723="","",OHW!$G723)</f>
        <v/>
      </c>
      <c r="O1770">
        <f>IF(OHW!$G723="","",OHW!$I723)</f>
        <v/>
      </c>
      <c r="P1770">
        <f>IF(OHW!$G723="","","Final")</f>
        <v/>
      </c>
    </row>
    <row r="1771">
      <c r="A1771">
        <f>IF(OHW!$G724="","","OHW")</f>
        <v/>
      </c>
      <c r="B1771">
        <f>IF(OHW!$G724="","","OHW")</f>
        <v/>
      </c>
      <c r="C1771" s="18">
        <f>IF(OHW!$G724="","",OHW!$A724)</f>
        <v/>
      </c>
      <c r="F1771">
        <f>IF(OHW!$G724="","",OHW!$B724&amp;"")</f>
        <v/>
      </c>
      <c r="J1771">
        <f>IF(OHW!$G724="","",OHW!$E724)</f>
        <v/>
      </c>
      <c r="K1771">
        <f>IF(OHW!$G724="","",COUNTIFS(OHW!$A$5:$A$1668,OHW!$A724,OHW!$C$5:$C$1668,OHW!$C724))</f>
        <v/>
      </c>
      <c r="L1771">
        <f>IF(OHW!$G724="","",OHW!$D724&amp;"")</f>
        <v/>
      </c>
      <c r="M1771">
        <f>IF(OHW!$G724="","",OHW!$F724)</f>
        <v/>
      </c>
      <c r="N1771">
        <f>IF(OHW!$G724="","",OHW!$G724)</f>
        <v/>
      </c>
      <c r="O1771">
        <f>IF(OHW!$G724="","",OHW!$I724)</f>
        <v/>
      </c>
      <c r="P1771">
        <f>IF(OHW!$G724="","","Final")</f>
        <v/>
      </c>
    </row>
    <row r="1772">
      <c r="A1772">
        <f>IF(OHW!$G725="","","OHW")</f>
        <v/>
      </c>
      <c r="B1772">
        <f>IF(OHW!$G725="","","OHW")</f>
        <v/>
      </c>
      <c r="C1772" s="18">
        <f>IF(OHW!$G725="","",OHW!$A725)</f>
        <v/>
      </c>
      <c r="F1772">
        <f>IF(OHW!$G725="","",OHW!$B725&amp;"")</f>
        <v/>
      </c>
      <c r="J1772">
        <f>IF(OHW!$G725="","",OHW!$E725)</f>
        <v/>
      </c>
      <c r="K1772">
        <f>IF(OHW!$G725="","",COUNTIFS(OHW!$A$5:$A$1668,OHW!$A725,OHW!$C$5:$C$1668,OHW!$C725))</f>
        <v/>
      </c>
      <c r="L1772">
        <f>IF(OHW!$G725="","",OHW!$D725&amp;"")</f>
        <v/>
      </c>
      <c r="M1772">
        <f>IF(OHW!$G725="","",OHW!$F725)</f>
        <v/>
      </c>
      <c r="N1772">
        <f>IF(OHW!$G725="","",OHW!$G725)</f>
        <v/>
      </c>
      <c r="O1772">
        <f>IF(OHW!$G725="","",OHW!$I725)</f>
        <v/>
      </c>
      <c r="P1772">
        <f>IF(OHW!$G725="","","Final")</f>
        <v/>
      </c>
    </row>
    <row r="1773">
      <c r="A1773">
        <f>IF(OHW!$G726="","","OHW")</f>
        <v/>
      </c>
      <c r="B1773">
        <f>IF(OHW!$G726="","","OHW")</f>
        <v/>
      </c>
      <c r="C1773" s="18">
        <f>IF(OHW!$G726="","",OHW!$A726)</f>
        <v/>
      </c>
      <c r="F1773">
        <f>IF(OHW!$G726="","",OHW!$B726&amp;"")</f>
        <v/>
      </c>
      <c r="J1773">
        <f>IF(OHW!$G726="","",OHW!$E726)</f>
        <v/>
      </c>
      <c r="K1773">
        <f>IF(OHW!$G726="","",COUNTIFS(OHW!$A$5:$A$1668,OHW!$A726,OHW!$C$5:$C$1668,OHW!$C726))</f>
        <v/>
      </c>
      <c r="L1773">
        <f>IF(OHW!$G726="","",OHW!$D726&amp;"")</f>
        <v/>
      </c>
      <c r="M1773">
        <f>IF(OHW!$G726="","",OHW!$F726)</f>
        <v/>
      </c>
      <c r="N1773">
        <f>IF(OHW!$G726="","",OHW!$G726)</f>
        <v/>
      </c>
      <c r="O1773">
        <f>IF(OHW!$G726="","",OHW!$I726)</f>
        <v/>
      </c>
      <c r="P1773">
        <f>IF(OHW!$G726="","","Final")</f>
        <v/>
      </c>
    </row>
    <row r="1774">
      <c r="A1774">
        <f>IF(OHW!$G727="","","OHW")</f>
        <v/>
      </c>
      <c r="B1774">
        <f>IF(OHW!$G727="","","OHW")</f>
        <v/>
      </c>
      <c r="C1774" s="18">
        <f>IF(OHW!$G727="","",OHW!$A727)</f>
        <v/>
      </c>
      <c r="F1774">
        <f>IF(OHW!$G727="","",OHW!$B727&amp;"")</f>
        <v/>
      </c>
      <c r="J1774">
        <f>IF(OHW!$G727="","",OHW!$E727)</f>
        <v/>
      </c>
      <c r="K1774">
        <f>IF(OHW!$G727="","",COUNTIFS(OHW!$A$5:$A$1668,OHW!$A727,OHW!$C$5:$C$1668,OHW!$C727))</f>
        <v/>
      </c>
      <c r="L1774">
        <f>IF(OHW!$G727="","",OHW!$D727&amp;"")</f>
        <v/>
      </c>
      <c r="M1774">
        <f>IF(OHW!$G727="","",OHW!$F727)</f>
        <v/>
      </c>
      <c r="N1774">
        <f>IF(OHW!$G727="","",OHW!$G727)</f>
        <v/>
      </c>
      <c r="O1774">
        <f>IF(OHW!$G727="","",OHW!$I727)</f>
        <v/>
      </c>
      <c r="P1774">
        <f>IF(OHW!$G727="","","Final")</f>
        <v/>
      </c>
    </row>
    <row r="1775">
      <c r="A1775">
        <f>IF(OHW!$G728="","","OHW")</f>
        <v/>
      </c>
      <c r="B1775">
        <f>IF(OHW!$G728="","","OHW")</f>
        <v/>
      </c>
      <c r="C1775" s="18">
        <f>IF(OHW!$G728="","",OHW!$A728)</f>
        <v/>
      </c>
      <c r="F1775">
        <f>IF(OHW!$G728="","",OHW!$B728&amp;"")</f>
        <v/>
      </c>
      <c r="J1775">
        <f>IF(OHW!$G728="","",OHW!$E728)</f>
        <v/>
      </c>
      <c r="K1775">
        <f>IF(OHW!$G728="","",COUNTIFS(OHW!$A$5:$A$1668,OHW!$A728,OHW!$C$5:$C$1668,OHW!$C728))</f>
        <v/>
      </c>
      <c r="L1775">
        <f>IF(OHW!$G728="","",OHW!$D728&amp;"")</f>
        <v/>
      </c>
      <c r="M1775">
        <f>IF(OHW!$G728="","",OHW!$F728)</f>
        <v/>
      </c>
      <c r="N1775">
        <f>IF(OHW!$G728="","",OHW!$G728)</f>
        <v/>
      </c>
      <c r="O1775">
        <f>IF(OHW!$G728="","",OHW!$I728)</f>
        <v/>
      </c>
      <c r="P1775">
        <f>IF(OHW!$G728="","","Final")</f>
        <v/>
      </c>
    </row>
    <row r="1776">
      <c r="A1776">
        <f>IF(OHW!$G729="","","OHW")</f>
        <v/>
      </c>
      <c r="B1776">
        <f>IF(OHW!$G729="","","OHW")</f>
        <v/>
      </c>
      <c r="C1776" s="18">
        <f>IF(OHW!$G729="","",OHW!$A729)</f>
        <v/>
      </c>
      <c r="F1776">
        <f>IF(OHW!$G729="","",OHW!$B729&amp;"")</f>
        <v/>
      </c>
      <c r="J1776">
        <f>IF(OHW!$G729="","",OHW!$E729)</f>
        <v/>
      </c>
      <c r="K1776">
        <f>IF(OHW!$G729="","",COUNTIFS(OHW!$A$5:$A$1668,OHW!$A729,OHW!$C$5:$C$1668,OHW!$C729))</f>
        <v/>
      </c>
      <c r="L1776">
        <f>IF(OHW!$G729="","",OHW!$D729&amp;"")</f>
        <v/>
      </c>
      <c r="M1776">
        <f>IF(OHW!$G729="","",OHW!$F729)</f>
        <v/>
      </c>
      <c r="N1776">
        <f>IF(OHW!$G729="","",OHW!$G729)</f>
        <v/>
      </c>
      <c r="O1776">
        <f>IF(OHW!$G729="","",OHW!$I729)</f>
        <v/>
      </c>
      <c r="P1776">
        <f>IF(OHW!$G729="","","Final")</f>
        <v/>
      </c>
    </row>
    <row r="1777">
      <c r="A1777">
        <f>IF(OHW!$G730="","","OHW")</f>
        <v/>
      </c>
      <c r="B1777">
        <f>IF(OHW!$G730="","","OHW")</f>
        <v/>
      </c>
      <c r="C1777" s="18">
        <f>IF(OHW!$G730="","",OHW!$A730)</f>
        <v/>
      </c>
      <c r="F1777">
        <f>IF(OHW!$G730="","",OHW!$B730&amp;"")</f>
        <v/>
      </c>
      <c r="J1777">
        <f>IF(OHW!$G730="","",OHW!$E730)</f>
        <v/>
      </c>
      <c r="K1777">
        <f>IF(OHW!$G730="","",COUNTIFS(OHW!$A$5:$A$1668,OHW!$A730,OHW!$C$5:$C$1668,OHW!$C730))</f>
        <v/>
      </c>
      <c r="L1777">
        <f>IF(OHW!$G730="","",OHW!$D730&amp;"")</f>
        <v/>
      </c>
      <c r="M1777">
        <f>IF(OHW!$G730="","",OHW!$F730)</f>
        <v/>
      </c>
      <c r="N1777">
        <f>IF(OHW!$G730="","",OHW!$G730)</f>
        <v/>
      </c>
      <c r="O1777">
        <f>IF(OHW!$G730="","",OHW!$I730)</f>
        <v/>
      </c>
      <c r="P1777">
        <f>IF(OHW!$G730="","","Final")</f>
        <v/>
      </c>
    </row>
    <row r="1778">
      <c r="A1778">
        <f>IF(OHW!$G731="","","OHW")</f>
        <v/>
      </c>
      <c r="B1778">
        <f>IF(OHW!$G731="","","OHW")</f>
        <v/>
      </c>
      <c r="C1778" s="18">
        <f>IF(OHW!$G731="","",OHW!$A731)</f>
        <v/>
      </c>
      <c r="F1778">
        <f>IF(OHW!$G731="","",OHW!$B731&amp;"")</f>
        <v/>
      </c>
      <c r="J1778">
        <f>IF(OHW!$G731="","",OHW!$E731)</f>
        <v/>
      </c>
      <c r="K1778">
        <f>IF(OHW!$G731="","",COUNTIFS(OHW!$A$5:$A$1668,OHW!$A731,OHW!$C$5:$C$1668,OHW!$C731))</f>
        <v/>
      </c>
      <c r="L1778">
        <f>IF(OHW!$G731="","",OHW!$D731&amp;"")</f>
        <v/>
      </c>
      <c r="M1778">
        <f>IF(OHW!$G731="","",OHW!$F731)</f>
        <v/>
      </c>
      <c r="N1778">
        <f>IF(OHW!$G731="","",OHW!$G731)</f>
        <v/>
      </c>
      <c r="O1778">
        <f>IF(OHW!$G731="","",OHW!$I731)</f>
        <v/>
      </c>
      <c r="P1778">
        <f>IF(OHW!$G731="","","Final")</f>
        <v/>
      </c>
    </row>
    <row r="1779">
      <c r="A1779">
        <f>IF(OHW!$G732="","","OHW")</f>
        <v/>
      </c>
      <c r="B1779">
        <f>IF(OHW!$G732="","","OHW")</f>
        <v/>
      </c>
      <c r="C1779" s="18">
        <f>IF(OHW!$G732="","",OHW!$A732)</f>
        <v/>
      </c>
      <c r="F1779">
        <f>IF(OHW!$G732="","",OHW!$B732&amp;"")</f>
        <v/>
      </c>
      <c r="J1779">
        <f>IF(OHW!$G732="","",OHW!$E732)</f>
        <v/>
      </c>
      <c r="K1779">
        <f>IF(OHW!$G732="","",COUNTIFS(OHW!$A$5:$A$1668,OHW!$A732,OHW!$C$5:$C$1668,OHW!$C732))</f>
        <v/>
      </c>
      <c r="L1779">
        <f>IF(OHW!$G732="","",OHW!$D732&amp;"")</f>
        <v/>
      </c>
      <c r="M1779">
        <f>IF(OHW!$G732="","",OHW!$F732)</f>
        <v/>
      </c>
      <c r="N1779">
        <f>IF(OHW!$G732="","",OHW!$G732)</f>
        <v/>
      </c>
      <c r="O1779">
        <f>IF(OHW!$G732="","",OHW!$I732)</f>
        <v/>
      </c>
      <c r="P1779">
        <f>IF(OHW!$G732="","","Final")</f>
        <v/>
      </c>
    </row>
    <row r="1780">
      <c r="A1780">
        <f>IF(OHW!$G733="","","OHW")</f>
        <v/>
      </c>
      <c r="B1780">
        <f>IF(OHW!$G733="","","OHW")</f>
        <v/>
      </c>
      <c r="C1780" s="18">
        <f>IF(OHW!$G733="","",OHW!$A733)</f>
        <v/>
      </c>
      <c r="F1780">
        <f>IF(OHW!$G733="","",OHW!$B733&amp;"")</f>
        <v/>
      </c>
      <c r="J1780">
        <f>IF(OHW!$G733="","",OHW!$E733)</f>
        <v/>
      </c>
      <c r="K1780">
        <f>IF(OHW!$G733="","",COUNTIFS(OHW!$A$5:$A$1668,OHW!$A733,OHW!$C$5:$C$1668,OHW!$C733))</f>
        <v/>
      </c>
      <c r="L1780">
        <f>IF(OHW!$G733="","",OHW!$D733&amp;"")</f>
        <v/>
      </c>
      <c r="M1780">
        <f>IF(OHW!$G733="","",OHW!$F733)</f>
        <v/>
      </c>
      <c r="N1780">
        <f>IF(OHW!$G733="","",OHW!$G733)</f>
        <v/>
      </c>
      <c r="O1780">
        <f>IF(OHW!$G733="","",OHW!$I733)</f>
        <v/>
      </c>
      <c r="P1780">
        <f>IF(OHW!$G733="","","Final")</f>
        <v/>
      </c>
    </row>
    <row r="1781">
      <c r="A1781">
        <f>IF(OHW!$G734="","","OHW")</f>
        <v/>
      </c>
      <c r="B1781">
        <f>IF(OHW!$G734="","","OHW")</f>
        <v/>
      </c>
      <c r="C1781" s="18">
        <f>IF(OHW!$G734="","",OHW!$A734)</f>
        <v/>
      </c>
      <c r="F1781">
        <f>IF(OHW!$G734="","",OHW!$B734&amp;"")</f>
        <v/>
      </c>
      <c r="J1781">
        <f>IF(OHW!$G734="","",OHW!$E734)</f>
        <v/>
      </c>
      <c r="K1781">
        <f>IF(OHW!$G734="","",COUNTIFS(OHW!$A$5:$A$1668,OHW!$A734,OHW!$C$5:$C$1668,OHW!$C734))</f>
        <v/>
      </c>
      <c r="L1781">
        <f>IF(OHW!$G734="","",OHW!$D734&amp;"")</f>
        <v/>
      </c>
      <c r="M1781">
        <f>IF(OHW!$G734="","",OHW!$F734)</f>
        <v/>
      </c>
      <c r="N1781">
        <f>IF(OHW!$G734="","",OHW!$G734)</f>
        <v/>
      </c>
      <c r="O1781">
        <f>IF(OHW!$G734="","",OHW!$I734)</f>
        <v/>
      </c>
      <c r="P1781">
        <f>IF(OHW!$G734="","","Final")</f>
        <v/>
      </c>
    </row>
    <row r="1782">
      <c r="A1782">
        <f>IF(OHW!$G735="","","OHW")</f>
        <v/>
      </c>
      <c r="B1782">
        <f>IF(OHW!$G735="","","OHW")</f>
        <v/>
      </c>
      <c r="C1782" s="18">
        <f>IF(OHW!$G735="","",OHW!$A735)</f>
        <v/>
      </c>
      <c r="F1782">
        <f>IF(OHW!$G735="","",OHW!$B735&amp;"")</f>
        <v/>
      </c>
      <c r="J1782">
        <f>IF(OHW!$G735="","",OHW!$E735)</f>
        <v/>
      </c>
      <c r="K1782">
        <f>IF(OHW!$G735="","",COUNTIFS(OHW!$A$5:$A$1668,OHW!$A735,OHW!$C$5:$C$1668,OHW!$C735))</f>
        <v/>
      </c>
      <c r="L1782">
        <f>IF(OHW!$G735="","",OHW!$D735&amp;"")</f>
        <v/>
      </c>
      <c r="M1782">
        <f>IF(OHW!$G735="","",OHW!$F735)</f>
        <v/>
      </c>
      <c r="N1782">
        <f>IF(OHW!$G735="","",OHW!$G735)</f>
        <v/>
      </c>
      <c r="O1782">
        <f>IF(OHW!$G735="","",OHW!$I735)</f>
        <v/>
      </c>
      <c r="P1782">
        <f>IF(OHW!$G735="","","Final")</f>
        <v/>
      </c>
    </row>
    <row r="1783">
      <c r="A1783">
        <f>IF(OHW!$G736="","","OHW")</f>
        <v/>
      </c>
      <c r="B1783">
        <f>IF(OHW!$G736="","","OHW")</f>
        <v/>
      </c>
      <c r="C1783" s="18">
        <f>IF(OHW!$G736="","",OHW!$A736)</f>
        <v/>
      </c>
      <c r="F1783">
        <f>IF(OHW!$G736="","",OHW!$B736&amp;"")</f>
        <v/>
      </c>
      <c r="J1783">
        <f>IF(OHW!$G736="","",OHW!$E736)</f>
        <v/>
      </c>
      <c r="K1783">
        <f>IF(OHW!$G736="","",COUNTIFS(OHW!$A$5:$A$1668,OHW!$A736,OHW!$C$5:$C$1668,OHW!$C736))</f>
        <v/>
      </c>
      <c r="L1783">
        <f>IF(OHW!$G736="","",OHW!$D736&amp;"")</f>
        <v/>
      </c>
      <c r="M1783">
        <f>IF(OHW!$G736="","",OHW!$F736)</f>
        <v/>
      </c>
      <c r="N1783">
        <f>IF(OHW!$G736="","",OHW!$G736)</f>
        <v/>
      </c>
      <c r="O1783">
        <f>IF(OHW!$G736="","",OHW!$I736)</f>
        <v/>
      </c>
      <c r="P1783">
        <f>IF(OHW!$G736="","","Final")</f>
        <v/>
      </c>
    </row>
    <row r="1784">
      <c r="A1784">
        <f>IF(OHW!$G737="","","OHW")</f>
        <v/>
      </c>
      <c r="B1784">
        <f>IF(OHW!$G737="","","OHW")</f>
        <v/>
      </c>
      <c r="C1784" s="18">
        <f>IF(OHW!$G737="","",OHW!$A737)</f>
        <v/>
      </c>
      <c r="F1784">
        <f>IF(OHW!$G737="","",OHW!$B737&amp;"")</f>
        <v/>
      </c>
      <c r="J1784">
        <f>IF(OHW!$G737="","",OHW!$E737)</f>
        <v/>
      </c>
      <c r="K1784">
        <f>IF(OHW!$G737="","",COUNTIFS(OHW!$A$5:$A$1668,OHW!$A737,OHW!$C$5:$C$1668,OHW!$C737))</f>
        <v/>
      </c>
      <c r="L1784">
        <f>IF(OHW!$G737="","",OHW!$D737&amp;"")</f>
        <v/>
      </c>
      <c r="M1784">
        <f>IF(OHW!$G737="","",OHW!$F737)</f>
        <v/>
      </c>
      <c r="N1784">
        <f>IF(OHW!$G737="","",OHW!$G737)</f>
        <v/>
      </c>
      <c r="O1784">
        <f>IF(OHW!$G737="","",OHW!$I737)</f>
        <v/>
      </c>
      <c r="P1784">
        <f>IF(OHW!$G737="","","Final")</f>
        <v/>
      </c>
    </row>
    <row r="1785">
      <c r="A1785">
        <f>IF(OHW!$G738="","","OHW")</f>
        <v/>
      </c>
      <c r="B1785">
        <f>IF(OHW!$G738="","","OHW")</f>
        <v/>
      </c>
      <c r="C1785" s="18">
        <f>IF(OHW!$G738="","",OHW!$A738)</f>
        <v/>
      </c>
      <c r="F1785">
        <f>IF(OHW!$G738="","",OHW!$B738&amp;"")</f>
        <v/>
      </c>
      <c r="J1785">
        <f>IF(OHW!$G738="","",OHW!$E738)</f>
        <v/>
      </c>
      <c r="K1785">
        <f>IF(OHW!$G738="","",COUNTIFS(OHW!$A$5:$A$1668,OHW!$A738,OHW!$C$5:$C$1668,OHW!$C738))</f>
        <v/>
      </c>
      <c r="L1785">
        <f>IF(OHW!$G738="","",OHW!$D738&amp;"")</f>
        <v/>
      </c>
      <c r="M1785">
        <f>IF(OHW!$G738="","",OHW!$F738)</f>
        <v/>
      </c>
      <c r="N1785">
        <f>IF(OHW!$G738="","",OHW!$G738)</f>
        <v/>
      </c>
      <c r="O1785">
        <f>IF(OHW!$G738="","",OHW!$I738)</f>
        <v/>
      </c>
      <c r="P1785">
        <f>IF(OHW!$G738="","","Final")</f>
        <v/>
      </c>
    </row>
    <row r="1786">
      <c r="A1786">
        <f>IF(OHW!$G739="","","OHW")</f>
        <v/>
      </c>
      <c r="B1786">
        <f>IF(OHW!$G739="","","OHW")</f>
        <v/>
      </c>
      <c r="C1786" s="18">
        <f>IF(OHW!$G739="","",OHW!$A739)</f>
        <v/>
      </c>
      <c r="F1786">
        <f>IF(OHW!$G739="","",OHW!$B739&amp;"")</f>
        <v/>
      </c>
      <c r="J1786">
        <f>IF(OHW!$G739="","",OHW!$E739)</f>
        <v/>
      </c>
      <c r="K1786">
        <f>IF(OHW!$G739="","",COUNTIFS(OHW!$A$5:$A$1668,OHW!$A739,OHW!$C$5:$C$1668,OHW!$C739))</f>
        <v/>
      </c>
      <c r="L1786">
        <f>IF(OHW!$G739="","",OHW!$D739&amp;"")</f>
        <v/>
      </c>
      <c r="M1786">
        <f>IF(OHW!$G739="","",OHW!$F739)</f>
        <v/>
      </c>
      <c r="N1786">
        <f>IF(OHW!$G739="","",OHW!$G739)</f>
        <v/>
      </c>
      <c r="O1786">
        <f>IF(OHW!$G739="","",OHW!$I739)</f>
        <v/>
      </c>
      <c r="P1786">
        <f>IF(OHW!$G739="","","Final")</f>
        <v/>
      </c>
    </row>
    <row r="1787">
      <c r="A1787">
        <f>IF(OHW!$G740="","","OHW")</f>
        <v/>
      </c>
      <c r="B1787">
        <f>IF(OHW!$G740="","","OHW")</f>
        <v/>
      </c>
      <c r="C1787" s="18">
        <f>IF(OHW!$G740="","",OHW!$A740)</f>
        <v/>
      </c>
      <c r="F1787">
        <f>IF(OHW!$G740="","",OHW!$B740&amp;"")</f>
        <v/>
      </c>
      <c r="J1787">
        <f>IF(OHW!$G740="","",OHW!$E740)</f>
        <v/>
      </c>
      <c r="K1787">
        <f>IF(OHW!$G740="","",COUNTIFS(OHW!$A$5:$A$1668,OHW!$A740,OHW!$C$5:$C$1668,OHW!$C740))</f>
        <v/>
      </c>
      <c r="L1787">
        <f>IF(OHW!$G740="","",OHW!$D740&amp;"")</f>
        <v/>
      </c>
      <c r="M1787">
        <f>IF(OHW!$G740="","",OHW!$F740)</f>
        <v/>
      </c>
      <c r="N1787">
        <f>IF(OHW!$G740="","",OHW!$G740)</f>
        <v/>
      </c>
      <c r="O1787">
        <f>IF(OHW!$G740="","",OHW!$I740)</f>
        <v/>
      </c>
      <c r="P1787">
        <f>IF(OHW!$G740="","","Final")</f>
        <v/>
      </c>
    </row>
    <row r="1788">
      <c r="A1788">
        <f>IF(OHW!$G741="","","OHW")</f>
        <v/>
      </c>
      <c r="B1788">
        <f>IF(OHW!$G741="","","OHW")</f>
        <v/>
      </c>
      <c r="C1788" s="18">
        <f>IF(OHW!$G741="","",OHW!$A741)</f>
        <v/>
      </c>
      <c r="F1788">
        <f>IF(OHW!$G741="","",OHW!$B741&amp;"")</f>
        <v/>
      </c>
      <c r="J1788">
        <f>IF(OHW!$G741="","",OHW!$E741)</f>
        <v/>
      </c>
      <c r="K1788">
        <f>IF(OHW!$G741="","",COUNTIFS(OHW!$A$5:$A$1668,OHW!$A741,OHW!$C$5:$C$1668,OHW!$C741))</f>
        <v/>
      </c>
      <c r="L1788">
        <f>IF(OHW!$G741="","",OHW!$D741&amp;"")</f>
        <v/>
      </c>
      <c r="M1788">
        <f>IF(OHW!$G741="","",OHW!$F741)</f>
        <v/>
      </c>
      <c r="N1788">
        <f>IF(OHW!$G741="","",OHW!$G741)</f>
        <v/>
      </c>
      <c r="O1788">
        <f>IF(OHW!$G741="","",OHW!$I741)</f>
        <v/>
      </c>
      <c r="P1788">
        <f>IF(OHW!$G741="","","Final")</f>
        <v/>
      </c>
    </row>
    <row r="1789">
      <c r="A1789">
        <f>IF(OHW!$G742="","","OHW")</f>
        <v/>
      </c>
      <c r="B1789">
        <f>IF(OHW!$G742="","","OHW")</f>
        <v/>
      </c>
      <c r="C1789" s="18">
        <f>IF(OHW!$G742="","",OHW!$A742)</f>
        <v/>
      </c>
      <c r="F1789">
        <f>IF(OHW!$G742="","",OHW!$B742&amp;"")</f>
        <v/>
      </c>
      <c r="J1789">
        <f>IF(OHW!$G742="","",OHW!$E742)</f>
        <v/>
      </c>
      <c r="K1789">
        <f>IF(OHW!$G742="","",COUNTIFS(OHW!$A$5:$A$1668,OHW!$A742,OHW!$C$5:$C$1668,OHW!$C742))</f>
        <v/>
      </c>
      <c r="L1789">
        <f>IF(OHW!$G742="","",OHW!$D742&amp;"")</f>
        <v/>
      </c>
      <c r="M1789">
        <f>IF(OHW!$G742="","",OHW!$F742)</f>
        <v/>
      </c>
      <c r="N1789">
        <f>IF(OHW!$G742="","",OHW!$G742)</f>
        <v/>
      </c>
      <c r="O1789">
        <f>IF(OHW!$G742="","",OHW!$I742)</f>
        <v/>
      </c>
      <c r="P1789">
        <f>IF(OHW!$G742="","","Final")</f>
        <v/>
      </c>
    </row>
    <row r="1790">
      <c r="A1790">
        <f>IF(OHW!$G743="","","OHW")</f>
        <v/>
      </c>
      <c r="B1790">
        <f>IF(OHW!$G743="","","OHW")</f>
        <v/>
      </c>
      <c r="C1790" s="18">
        <f>IF(OHW!$G743="","",OHW!$A743)</f>
        <v/>
      </c>
      <c r="F1790">
        <f>IF(OHW!$G743="","",OHW!$B743&amp;"")</f>
        <v/>
      </c>
      <c r="J1790">
        <f>IF(OHW!$G743="","",OHW!$E743)</f>
        <v/>
      </c>
      <c r="K1790">
        <f>IF(OHW!$G743="","",COUNTIFS(OHW!$A$5:$A$1668,OHW!$A743,OHW!$C$5:$C$1668,OHW!$C743))</f>
        <v/>
      </c>
      <c r="L1790">
        <f>IF(OHW!$G743="","",OHW!$D743&amp;"")</f>
        <v/>
      </c>
      <c r="M1790">
        <f>IF(OHW!$G743="","",OHW!$F743)</f>
        <v/>
      </c>
      <c r="N1790">
        <f>IF(OHW!$G743="","",OHW!$G743)</f>
        <v/>
      </c>
      <c r="O1790">
        <f>IF(OHW!$G743="","",OHW!$I743)</f>
        <v/>
      </c>
      <c r="P1790">
        <f>IF(OHW!$G743="","","Final")</f>
        <v/>
      </c>
    </row>
    <row r="1791">
      <c r="A1791">
        <f>IF(OHW!$G744="","","OHW")</f>
        <v/>
      </c>
      <c r="B1791">
        <f>IF(OHW!$G744="","","OHW")</f>
        <v/>
      </c>
      <c r="C1791" s="18">
        <f>IF(OHW!$G744="","",OHW!$A744)</f>
        <v/>
      </c>
      <c r="F1791">
        <f>IF(OHW!$G744="","",OHW!$B744&amp;"")</f>
        <v/>
      </c>
      <c r="J1791">
        <f>IF(OHW!$G744="","",OHW!$E744)</f>
        <v/>
      </c>
      <c r="K1791">
        <f>IF(OHW!$G744="","",COUNTIFS(OHW!$A$5:$A$1668,OHW!$A744,OHW!$C$5:$C$1668,OHW!$C744))</f>
        <v/>
      </c>
      <c r="L1791">
        <f>IF(OHW!$G744="","",OHW!$D744&amp;"")</f>
        <v/>
      </c>
      <c r="M1791">
        <f>IF(OHW!$G744="","",OHW!$F744)</f>
        <v/>
      </c>
      <c r="N1791">
        <f>IF(OHW!$G744="","",OHW!$G744)</f>
        <v/>
      </c>
      <c r="O1791">
        <f>IF(OHW!$G744="","",OHW!$I744)</f>
        <v/>
      </c>
      <c r="P1791">
        <f>IF(OHW!$G744="","","Final")</f>
        <v/>
      </c>
    </row>
    <row r="1792">
      <c r="A1792">
        <f>IF(OHW!$G745="","","OHW")</f>
        <v/>
      </c>
      <c r="B1792">
        <f>IF(OHW!$G745="","","OHW")</f>
        <v/>
      </c>
      <c r="C1792" s="18">
        <f>IF(OHW!$G745="","",OHW!$A745)</f>
        <v/>
      </c>
      <c r="F1792">
        <f>IF(OHW!$G745="","",OHW!$B745&amp;"")</f>
        <v/>
      </c>
      <c r="J1792">
        <f>IF(OHW!$G745="","",OHW!$E745)</f>
        <v/>
      </c>
      <c r="K1792">
        <f>IF(OHW!$G745="","",COUNTIFS(OHW!$A$5:$A$1668,OHW!$A745,OHW!$C$5:$C$1668,OHW!$C745))</f>
        <v/>
      </c>
      <c r="L1792">
        <f>IF(OHW!$G745="","",OHW!$D745&amp;"")</f>
        <v/>
      </c>
      <c r="M1792">
        <f>IF(OHW!$G745="","",OHW!$F745)</f>
        <v/>
      </c>
      <c r="N1792">
        <f>IF(OHW!$G745="","",OHW!$G745)</f>
        <v/>
      </c>
      <c r="O1792">
        <f>IF(OHW!$G745="","",OHW!$I745)</f>
        <v/>
      </c>
      <c r="P1792">
        <f>IF(OHW!$G745="","","Final")</f>
        <v/>
      </c>
    </row>
    <row r="1793">
      <c r="A1793">
        <f>IF(OHW!$G746="","","OHW")</f>
        <v/>
      </c>
      <c r="B1793">
        <f>IF(OHW!$G746="","","OHW")</f>
        <v/>
      </c>
      <c r="C1793" s="18">
        <f>IF(OHW!$G746="","",OHW!$A746)</f>
        <v/>
      </c>
      <c r="F1793">
        <f>IF(OHW!$G746="","",OHW!$B746&amp;"")</f>
        <v/>
      </c>
      <c r="J1793">
        <f>IF(OHW!$G746="","",OHW!$E746)</f>
        <v/>
      </c>
      <c r="K1793">
        <f>IF(OHW!$G746="","",COUNTIFS(OHW!$A$5:$A$1668,OHW!$A746,OHW!$C$5:$C$1668,OHW!$C746))</f>
        <v/>
      </c>
      <c r="L1793">
        <f>IF(OHW!$G746="","",OHW!$D746&amp;"")</f>
        <v/>
      </c>
      <c r="M1793">
        <f>IF(OHW!$G746="","",OHW!$F746)</f>
        <v/>
      </c>
      <c r="N1793">
        <f>IF(OHW!$G746="","",OHW!$G746)</f>
        <v/>
      </c>
      <c r="O1793">
        <f>IF(OHW!$G746="","",OHW!$I746)</f>
        <v/>
      </c>
      <c r="P1793">
        <f>IF(OHW!$G746="","","Final")</f>
        <v/>
      </c>
    </row>
    <row r="1794">
      <c r="A1794">
        <f>IF(OHW!$G747="","","OHW")</f>
        <v/>
      </c>
      <c r="B1794">
        <f>IF(OHW!$G747="","","OHW")</f>
        <v/>
      </c>
      <c r="C1794" s="18">
        <f>IF(OHW!$G747="","",OHW!$A747)</f>
        <v/>
      </c>
      <c r="F1794">
        <f>IF(OHW!$G747="","",OHW!$B747&amp;"")</f>
        <v/>
      </c>
      <c r="J1794">
        <f>IF(OHW!$G747="","",OHW!$E747)</f>
        <v/>
      </c>
      <c r="K1794">
        <f>IF(OHW!$G747="","",COUNTIFS(OHW!$A$5:$A$1668,OHW!$A747,OHW!$C$5:$C$1668,OHW!$C747))</f>
        <v/>
      </c>
      <c r="L1794">
        <f>IF(OHW!$G747="","",OHW!$D747&amp;"")</f>
        <v/>
      </c>
      <c r="M1794">
        <f>IF(OHW!$G747="","",OHW!$F747)</f>
        <v/>
      </c>
      <c r="N1794">
        <f>IF(OHW!$G747="","",OHW!$G747)</f>
        <v/>
      </c>
      <c r="O1794">
        <f>IF(OHW!$G747="","",OHW!$I747)</f>
        <v/>
      </c>
      <c r="P1794">
        <f>IF(OHW!$G747="","","Final")</f>
        <v/>
      </c>
    </row>
    <row r="1795">
      <c r="A1795">
        <f>IF(OHW!$G748="","","OHW")</f>
        <v/>
      </c>
      <c r="B1795">
        <f>IF(OHW!$G748="","","OHW")</f>
        <v/>
      </c>
      <c r="C1795" s="18">
        <f>IF(OHW!$G748="","",OHW!$A748)</f>
        <v/>
      </c>
      <c r="F1795">
        <f>IF(OHW!$G748="","",OHW!$B748&amp;"")</f>
        <v/>
      </c>
      <c r="J1795">
        <f>IF(OHW!$G748="","",OHW!$E748)</f>
        <v/>
      </c>
      <c r="K1795">
        <f>IF(OHW!$G748="","",COUNTIFS(OHW!$A$5:$A$1668,OHW!$A748,OHW!$C$5:$C$1668,OHW!$C748))</f>
        <v/>
      </c>
      <c r="L1795">
        <f>IF(OHW!$G748="","",OHW!$D748&amp;"")</f>
        <v/>
      </c>
      <c r="M1795">
        <f>IF(OHW!$G748="","",OHW!$F748)</f>
        <v/>
      </c>
      <c r="N1795">
        <f>IF(OHW!$G748="","",OHW!$G748)</f>
        <v/>
      </c>
      <c r="O1795">
        <f>IF(OHW!$G748="","",OHW!$I748)</f>
        <v/>
      </c>
      <c r="P1795">
        <f>IF(OHW!$G748="","","Final")</f>
        <v/>
      </c>
    </row>
    <row r="1796">
      <c r="A1796">
        <f>IF(OHW!$G749="","","OHW")</f>
        <v/>
      </c>
      <c r="B1796">
        <f>IF(OHW!$G749="","","OHW")</f>
        <v/>
      </c>
      <c r="C1796" s="18">
        <f>IF(OHW!$G749="","",OHW!$A749)</f>
        <v/>
      </c>
      <c r="F1796">
        <f>IF(OHW!$G749="","",OHW!$B749&amp;"")</f>
        <v/>
      </c>
      <c r="J1796">
        <f>IF(OHW!$G749="","",OHW!$E749)</f>
        <v/>
      </c>
      <c r="K1796">
        <f>IF(OHW!$G749="","",COUNTIFS(OHW!$A$5:$A$1668,OHW!$A749,OHW!$C$5:$C$1668,OHW!$C749))</f>
        <v/>
      </c>
      <c r="L1796">
        <f>IF(OHW!$G749="","",OHW!$D749&amp;"")</f>
        <v/>
      </c>
      <c r="M1796">
        <f>IF(OHW!$G749="","",OHW!$F749)</f>
        <v/>
      </c>
      <c r="N1796">
        <f>IF(OHW!$G749="","",OHW!$G749)</f>
        <v/>
      </c>
      <c r="O1796">
        <f>IF(OHW!$G749="","",OHW!$I749)</f>
        <v/>
      </c>
      <c r="P1796">
        <f>IF(OHW!$G749="","","Final")</f>
        <v/>
      </c>
    </row>
    <row r="1797">
      <c r="A1797">
        <f>IF(OHW!$G750="","","OHW")</f>
        <v/>
      </c>
      <c r="B1797">
        <f>IF(OHW!$G750="","","OHW")</f>
        <v/>
      </c>
      <c r="C1797" s="18">
        <f>IF(OHW!$G750="","",OHW!$A750)</f>
        <v/>
      </c>
      <c r="F1797">
        <f>IF(OHW!$G750="","",OHW!$B750&amp;"")</f>
        <v/>
      </c>
      <c r="J1797">
        <f>IF(OHW!$G750="","",OHW!$E750)</f>
        <v/>
      </c>
      <c r="K1797">
        <f>IF(OHW!$G750="","",COUNTIFS(OHW!$A$5:$A$1668,OHW!$A750,OHW!$C$5:$C$1668,OHW!$C750))</f>
        <v/>
      </c>
      <c r="L1797">
        <f>IF(OHW!$G750="","",OHW!$D750&amp;"")</f>
        <v/>
      </c>
      <c r="M1797">
        <f>IF(OHW!$G750="","",OHW!$F750)</f>
        <v/>
      </c>
      <c r="N1797">
        <f>IF(OHW!$G750="","",OHW!$G750)</f>
        <v/>
      </c>
      <c r="O1797">
        <f>IF(OHW!$G750="","",OHW!$I750)</f>
        <v/>
      </c>
      <c r="P1797">
        <f>IF(OHW!$G750="","","Final")</f>
        <v/>
      </c>
    </row>
    <row r="1798">
      <c r="A1798">
        <f>IF(OHW!$G751="","","OHW")</f>
        <v/>
      </c>
      <c r="B1798">
        <f>IF(OHW!$G751="","","OHW")</f>
        <v/>
      </c>
      <c r="C1798" s="18">
        <f>IF(OHW!$G751="","",OHW!$A751)</f>
        <v/>
      </c>
      <c r="F1798">
        <f>IF(OHW!$G751="","",OHW!$B751&amp;"")</f>
        <v/>
      </c>
      <c r="J1798">
        <f>IF(OHW!$G751="","",OHW!$E751)</f>
        <v/>
      </c>
      <c r="K1798">
        <f>IF(OHW!$G751="","",COUNTIFS(OHW!$A$5:$A$1668,OHW!$A751,OHW!$C$5:$C$1668,OHW!$C751))</f>
        <v/>
      </c>
      <c r="L1798">
        <f>IF(OHW!$G751="","",OHW!$D751&amp;"")</f>
        <v/>
      </c>
      <c r="M1798">
        <f>IF(OHW!$G751="","",OHW!$F751)</f>
        <v/>
      </c>
      <c r="N1798">
        <f>IF(OHW!$G751="","",OHW!$G751)</f>
        <v/>
      </c>
      <c r="O1798">
        <f>IF(OHW!$G751="","",OHW!$I751)</f>
        <v/>
      </c>
      <c r="P1798">
        <f>IF(OHW!$G751="","","Final")</f>
        <v/>
      </c>
    </row>
    <row r="1799">
      <c r="A1799">
        <f>IF(OHW!$G752="","","OHW")</f>
        <v/>
      </c>
      <c r="B1799">
        <f>IF(OHW!$G752="","","OHW")</f>
        <v/>
      </c>
      <c r="C1799" s="18">
        <f>IF(OHW!$G752="","",OHW!$A752)</f>
        <v/>
      </c>
      <c r="F1799">
        <f>IF(OHW!$G752="","",OHW!$B752&amp;"")</f>
        <v/>
      </c>
      <c r="J1799">
        <f>IF(OHW!$G752="","",OHW!$E752)</f>
        <v/>
      </c>
      <c r="K1799">
        <f>IF(OHW!$G752="","",COUNTIFS(OHW!$A$5:$A$1668,OHW!$A752,OHW!$C$5:$C$1668,OHW!$C752))</f>
        <v/>
      </c>
      <c r="L1799">
        <f>IF(OHW!$G752="","",OHW!$D752&amp;"")</f>
        <v/>
      </c>
      <c r="M1799">
        <f>IF(OHW!$G752="","",OHW!$F752)</f>
        <v/>
      </c>
      <c r="N1799">
        <f>IF(OHW!$G752="","",OHW!$G752)</f>
        <v/>
      </c>
      <c r="O1799">
        <f>IF(OHW!$G752="","",OHW!$I752)</f>
        <v/>
      </c>
      <c r="P1799">
        <f>IF(OHW!$G752="","","Final")</f>
        <v/>
      </c>
    </row>
    <row r="1800">
      <c r="A1800">
        <f>IF(OHW!$G753="","","OHW")</f>
        <v/>
      </c>
      <c r="B1800">
        <f>IF(OHW!$G753="","","OHW")</f>
        <v/>
      </c>
      <c r="C1800" s="18">
        <f>IF(OHW!$G753="","",OHW!$A753)</f>
        <v/>
      </c>
      <c r="F1800">
        <f>IF(OHW!$G753="","",OHW!$B753&amp;"")</f>
        <v/>
      </c>
      <c r="J1800">
        <f>IF(OHW!$G753="","",OHW!$E753)</f>
        <v/>
      </c>
      <c r="K1800">
        <f>IF(OHW!$G753="","",COUNTIFS(OHW!$A$5:$A$1668,OHW!$A753,OHW!$C$5:$C$1668,OHW!$C753))</f>
        <v/>
      </c>
      <c r="L1800">
        <f>IF(OHW!$G753="","",OHW!$D753&amp;"")</f>
        <v/>
      </c>
      <c r="M1800">
        <f>IF(OHW!$G753="","",OHW!$F753)</f>
        <v/>
      </c>
      <c r="N1800">
        <f>IF(OHW!$G753="","",OHW!$G753)</f>
        <v/>
      </c>
      <c r="O1800">
        <f>IF(OHW!$G753="","",OHW!$I753)</f>
        <v/>
      </c>
      <c r="P1800">
        <f>IF(OHW!$G753="","","Final")</f>
        <v/>
      </c>
    </row>
    <row r="1801">
      <c r="A1801">
        <f>IF(OHW!$G754="","","OHW")</f>
        <v/>
      </c>
      <c r="B1801">
        <f>IF(OHW!$G754="","","OHW")</f>
        <v/>
      </c>
      <c r="C1801" s="18">
        <f>IF(OHW!$G754="","",OHW!$A754)</f>
        <v/>
      </c>
      <c r="F1801">
        <f>IF(OHW!$G754="","",OHW!$B754&amp;"")</f>
        <v/>
      </c>
      <c r="J1801">
        <f>IF(OHW!$G754="","",OHW!$E754)</f>
        <v/>
      </c>
      <c r="K1801">
        <f>IF(OHW!$G754="","",COUNTIFS(OHW!$A$5:$A$1668,OHW!$A754,OHW!$C$5:$C$1668,OHW!$C754))</f>
        <v/>
      </c>
      <c r="L1801">
        <f>IF(OHW!$G754="","",OHW!$D754&amp;"")</f>
        <v/>
      </c>
      <c r="M1801">
        <f>IF(OHW!$G754="","",OHW!$F754)</f>
        <v/>
      </c>
      <c r="N1801">
        <f>IF(OHW!$G754="","",OHW!$G754)</f>
        <v/>
      </c>
      <c r="O1801">
        <f>IF(OHW!$G754="","",OHW!$I754)</f>
        <v/>
      </c>
      <c r="P1801">
        <f>IF(OHW!$G754="","","Final")</f>
        <v/>
      </c>
    </row>
    <row r="1802">
      <c r="A1802">
        <f>IF(OHW!$G755="","","OHW")</f>
        <v/>
      </c>
      <c r="B1802">
        <f>IF(OHW!$G755="","","OHW")</f>
        <v/>
      </c>
      <c r="C1802" s="18">
        <f>IF(OHW!$G755="","",OHW!$A755)</f>
        <v/>
      </c>
      <c r="F1802">
        <f>IF(OHW!$G755="","",OHW!$B755&amp;"")</f>
        <v/>
      </c>
      <c r="J1802">
        <f>IF(OHW!$G755="","",OHW!$E755)</f>
        <v/>
      </c>
      <c r="K1802">
        <f>IF(OHW!$G755="","",COUNTIFS(OHW!$A$5:$A$1668,OHW!$A755,OHW!$C$5:$C$1668,OHW!$C755))</f>
        <v/>
      </c>
      <c r="L1802">
        <f>IF(OHW!$G755="","",OHW!$D755&amp;"")</f>
        <v/>
      </c>
      <c r="M1802">
        <f>IF(OHW!$G755="","",OHW!$F755)</f>
        <v/>
      </c>
      <c r="N1802">
        <f>IF(OHW!$G755="","",OHW!$G755)</f>
        <v/>
      </c>
      <c r="O1802">
        <f>IF(OHW!$G755="","",OHW!$I755)</f>
        <v/>
      </c>
      <c r="P1802">
        <f>IF(OHW!$G755="","","Final")</f>
        <v/>
      </c>
    </row>
    <row r="1803">
      <c r="A1803">
        <f>IF(OHW!$G756="","","OHW")</f>
        <v/>
      </c>
      <c r="B1803">
        <f>IF(OHW!$G756="","","OHW")</f>
        <v/>
      </c>
      <c r="C1803" s="18">
        <f>IF(OHW!$G756="","",OHW!$A756)</f>
        <v/>
      </c>
      <c r="F1803">
        <f>IF(OHW!$G756="","",OHW!$B756&amp;"")</f>
        <v/>
      </c>
      <c r="J1803">
        <f>IF(OHW!$G756="","",OHW!$E756)</f>
        <v/>
      </c>
      <c r="K1803">
        <f>IF(OHW!$G756="","",COUNTIFS(OHW!$A$5:$A$1668,OHW!$A756,OHW!$C$5:$C$1668,OHW!$C756))</f>
        <v/>
      </c>
      <c r="L1803">
        <f>IF(OHW!$G756="","",OHW!$D756&amp;"")</f>
        <v/>
      </c>
      <c r="M1803">
        <f>IF(OHW!$G756="","",OHW!$F756)</f>
        <v/>
      </c>
      <c r="N1803">
        <f>IF(OHW!$G756="","",OHW!$G756)</f>
        <v/>
      </c>
      <c r="O1803">
        <f>IF(OHW!$G756="","",OHW!$I756)</f>
        <v/>
      </c>
      <c r="P1803">
        <f>IF(OHW!$G756="","","Final")</f>
        <v/>
      </c>
    </row>
    <row r="1804">
      <c r="A1804">
        <f>IF(OHW!$G757="","","OHW")</f>
        <v/>
      </c>
      <c r="B1804">
        <f>IF(OHW!$G757="","","OHW")</f>
        <v/>
      </c>
      <c r="C1804" s="18">
        <f>IF(OHW!$G757="","",OHW!$A757)</f>
        <v/>
      </c>
      <c r="F1804">
        <f>IF(OHW!$G757="","",OHW!$B757&amp;"")</f>
        <v/>
      </c>
      <c r="J1804">
        <f>IF(OHW!$G757="","",OHW!$E757)</f>
        <v/>
      </c>
      <c r="K1804">
        <f>IF(OHW!$G757="","",COUNTIFS(OHW!$A$5:$A$1668,OHW!$A757,OHW!$C$5:$C$1668,OHW!$C757))</f>
        <v/>
      </c>
      <c r="L1804">
        <f>IF(OHW!$G757="","",OHW!$D757&amp;"")</f>
        <v/>
      </c>
      <c r="M1804">
        <f>IF(OHW!$G757="","",OHW!$F757)</f>
        <v/>
      </c>
      <c r="N1804">
        <f>IF(OHW!$G757="","",OHW!$G757)</f>
        <v/>
      </c>
      <c r="O1804">
        <f>IF(OHW!$G757="","",OHW!$I757)</f>
        <v/>
      </c>
      <c r="P1804">
        <f>IF(OHW!$G757="","","Final")</f>
        <v/>
      </c>
    </row>
    <row r="1805">
      <c r="A1805">
        <f>IF(OHW!$G758="","","OHW")</f>
        <v/>
      </c>
      <c r="B1805">
        <f>IF(OHW!$G758="","","OHW")</f>
        <v/>
      </c>
      <c r="C1805" s="18">
        <f>IF(OHW!$G758="","",OHW!$A758)</f>
        <v/>
      </c>
      <c r="F1805">
        <f>IF(OHW!$G758="","",OHW!$B758&amp;"")</f>
        <v/>
      </c>
      <c r="J1805">
        <f>IF(OHW!$G758="","",OHW!$E758)</f>
        <v/>
      </c>
      <c r="K1805">
        <f>IF(OHW!$G758="","",COUNTIFS(OHW!$A$5:$A$1668,OHW!$A758,OHW!$C$5:$C$1668,OHW!$C758))</f>
        <v/>
      </c>
      <c r="L1805">
        <f>IF(OHW!$G758="","",OHW!$D758&amp;"")</f>
        <v/>
      </c>
      <c r="M1805">
        <f>IF(OHW!$G758="","",OHW!$F758)</f>
        <v/>
      </c>
      <c r="N1805">
        <f>IF(OHW!$G758="","",OHW!$G758)</f>
        <v/>
      </c>
      <c r="O1805">
        <f>IF(OHW!$G758="","",OHW!$I758)</f>
        <v/>
      </c>
      <c r="P1805">
        <f>IF(OHW!$G758="","","Final")</f>
        <v/>
      </c>
    </row>
    <row r="1806">
      <c r="A1806">
        <f>IF(OHW!$G759="","","OHW")</f>
        <v/>
      </c>
      <c r="B1806">
        <f>IF(OHW!$G759="","","OHW")</f>
        <v/>
      </c>
      <c r="C1806" s="18">
        <f>IF(OHW!$G759="","",OHW!$A759)</f>
        <v/>
      </c>
      <c r="F1806">
        <f>IF(OHW!$G759="","",OHW!$B759&amp;"")</f>
        <v/>
      </c>
      <c r="J1806">
        <f>IF(OHW!$G759="","",OHW!$E759)</f>
        <v/>
      </c>
      <c r="K1806">
        <f>IF(OHW!$G759="","",COUNTIFS(OHW!$A$5:$A$1668,OHW!$A759,OHW!$C$5:$C$1668,OHW!$C759))</f>
        <v/>
      </c>
      <c r="L1806">
        <f>IF(OHW!$G759="","",OHW!$D759&amp;"")</f>
        <v/>
      </c>
      <c r="M1806">
        <f>IF(OHW!$G759="","",OHW!$F759)</f>
        <v/>
      </c>
      <c r="N1806">
        <f>IF(OHW!$G759="","",OHW!$G759)</f>
        <v/>
      </c>
      <c r="O1806">
        <f>IF(OHW!$G759="","",OHW!$I759)</f>
        <v/>
      </c>
      <c r="P1806">
        <f>IF(OHW!$G759="","","Final")</f>
        <v/>
      </c>
    </row>
    <row r="1807">
      <c r="A1807">
        <f>IF(OHW!$G760="","","OHW")</f>
        <v/>
      </c>
      <c r="B1807">
        <f>IF(OHW!$G760="","","OHW")</f>
        <v/>
      </c>
      <c r="C1807" s="18">
        <f>IF(OHW!$G760="","",OHW!$A760)</f>
        <v/>
      </c>
      <c r="F1807">
        <f>IF(OHW!$G760="","",OHW!$B760&amp;"")</f>
        <v/>
      </c>
      <c r="J1807">
        <f>IF(OHW!$G760="","",OHW!$E760)</f>
        <v/>
      </c>
      <c r="K1807">
        <f>IF(OHW!$G760="","",COUNTIFS(OHW!$A$5:$A$1668,OHW!$A760,OHW!$C$5:$C$1668,OHW!$C760))</f>
        <v/>
      </c>
      <c r="L1807">
        <f>IF(OHW!$G760="","",OHW!$D760&amp;"")</f>
        <v/>
      </c>
      <c r="M1807">
        <f>IF(OHW!$G760="","",OHW!$F760)</f>
        <v/>
      </c>
      <c r="N1807">
        <f>IF(OHW!$G760="","",OHW!$G760)</f>
        <v/>
      </c>
      <c r="O1807">
        <f>IF(OHW!$G760="","",OHW!$I760)</f>
        <v/>
      </c>
      <c r="P1807">
        <f>IF(OHW!$G760="","","Final")</f>
        <v/>
      </c>
    </row>
    <row r="1808">
      <c r="A1808">
        <f>IF(OHW!$G761="","","OHW")</f>
        <v/>
      </c>
      <c r="B1808">
        <f>IF(OHW!$G761="","","OHW")</f>
        <v/>
      </c>
      <c r="C1808" s="18">
        <f>IF(OHW!$G761="","",OHW!$A761)</f>
        <v/>
      </c>
      <c r="F1808">
        <f>IF(OHW!$G761="","",OHW!$B761&amp;"")</f>
        <v/>
      </c>
      <c r="J1808">
        <f>IF(OHW!$G761="","",OHW!$E761)</f>
        <v/>
      </c>
      <c r="K1808">
        <f>IF(OHW!$G761="","",COUNTIFS(OHW!$A$5:$A$1668,OHW!$A761,OHW!$C$5:$C$1668,OHW!$C761))</f>
        <v/>
      </c>
      <c r="L1808">
        <f>IF(OHW!$G761="","",OHW!$D761&amp;"")</f>
        <v/>
      </c>
      <c r="M1808">
        <f>IF(OHW!$G761="","",OHW!$F761)</f>
        <v/>
      </c>
      <c r="N1808">
        <f>IF(OHW!$G761="","",OHW!$G761)</f>
        <v/>
      </c>
      <c r="O1808">
        <f>IF(OHW!$G761="","",OHW!$I761)</f>
        <v/>
      </c>
      <c r="P1808">
        <f>IF(OHW!$G761="","","Final")</f>
        <v/>
      </c>
    </row>
    <row r="1809">
      <c r="A1809">
        <f>IF(OHW!$G762="","","OHW")</f>
        <v/>
      </c>
      <c r="B1809">
        <f>IF(OHW!$G762="","","OHW")</f>
        <v/>
      </c>
      <c r="C1809" s="18">
        <f>IF(OHW!$G762="","",OHW!$A762)</f>
        <v/>
      </c>
      <c r="F1809">
        <f>IF(OHW!$G762="","",OHW!$B762&amp;"")</f>
        <v/>
      </c>
      <c r="J1809">
        <f>IF(OHW!$G762="","",OHW!$E762)</f>
        <v/>
      </c>
      <c r="K1809">
        <f>IF(OHW!$G762="","",COUNTIFS(OHW!$A$5:$A$1668,OHW!$A762,OHW!$C$5:$C$1668,OHW!$C762))</f>
        <v/>
      </c>
      <c r="L1809">
        <f>IF(OHW!$G762="","",OHW!$D762&amp;"")</f>
        <v/>
      </c>
      <c r="M1809">
        <f>IF(OHW!$G762="","",OHW!$F762)</f>
        <v/>
      </c>
      <c r="N1809">
        <f>IF(OHW!$G762="","",OHW!$G762)</f>
        <v/>
      </c>
      <c r="O1809">
        <f>IF(OHW!$G762="","",OHW!$I762)</f>
        <v/>
      </c>
      <c r="P1809">
        <f>IF(OHW!$G762="","","Final")</f>
        <v/>
      </c>
    </row>
    <row r="1810">
      <c r="A1810">
        <f>IF(OHW!$G763="","","OHW")</f>
        <v/>
      </c>
      <c r="B1810">
        <f>IF(OHW!$G763="","","OHW")</f>
        <v/>
      </c>
      <c r="C1810" s="18">
        <f>IF(OHW!$G763="","",OHW!$A763)</f>
        <v/>
      </c>
      <c r="F1810">
        <f>IF(OHW!$G763="","",OHW!$B763&amp;"")</f>
        <v/>
      </c>
      <c r="J1810">
        <f>IF(OHW!$G763="","",OHW!$E763)</f>
        <v/>
      </c>
      <c r="K1810">
        <f>IF(OHW!$G763="","",COUNTIFS(OHW!$A$5:$A$1668,OHW!$A763,OHW!$C$5:$C$1668,OHW!$C763))</f>
        <v/>
      </c>
      <c r="L1810">
        <f>IF(OHW!$G763="","",OHW!$D763&amp;"")</f>
        <v/>
      </c>
      <c r="M1810">
        <f>IF(OHW!$G763="","",OHW!$F763)</f>
        <v/>
      </c>
      <c r="N1810">
        <f>IF(OHW!$G763="","",OHW!$G763)</f>
        <v/>
      </c>
      <c r="O1810">
        <f>IF(OHW!$G763="","",OHW!$I763)</f>
        <v/>
      </c>
      <c r="P1810">
        <f>IF(OHW!$G763="","","Final")</f>
        <v/>
      </c>
    </row>
    <row r="1811">
      <c r="A1811">
        <f>IF(OHW!$G764="","","OHW")</f>
        <v/>
      </c>
      <c r="B1811">
        <f>IF(OHW!$G764="","","OHW")</f>
        <v/>
      </c>
      <c r="C1811" s="18">
        <f>IF(OHW!$G764="","",OHW!$A764)</f>
        <v/>
      </c>
      <c r="F1811">
        <f>IF(OHW!$G764="","",OHW!$B764&amp;"")</f>
        <v/>
      </c>
      <c r="J1811">
        <f>IF(OHW!$G764="","",OHW!$E764)</f>
        <v/>
      </c>
      <c r="K1811">
        <f>IF(OHW!$G764="","",COUNTIFS(OHW!$A$5:$A$1668,OHW!$A764,OHW!$C$5:$C$1668,OHW!$C764))</f>
        <v/>
      </c>
      <c r="L1811">
        <f>IF(OHW!$G764="","",OHW!$D764&amp;"")</f>
        <v/>
      </c>
      <c r="M1811">
        <f>IF(OHW!$G764="","",OHW!$F764)</f>
        <v/>
      </c>
      <c r="N1811">
        <f>IF(OHW!$G764="","",OHW!$G764)</f>
        <v/>
      </c>
      <c r="O1811">
        <f>IF(OHW!$G764="","",OHW!$I764)</f>
        <v/>
      </c>
      <c r="P1811">
        <f>IF(OHW!$G764="","","Final")</f>
        <v/>
      </c>
    </row>
    <row r="1812">
      <c r="A1812">
        <f>IF(OHW!$G765="","","OHW")</f>
        <v/>
      </c>
      <c r="B1812">
        <f>IF(OHW!$G765="","","OHW")</f>
        <v/>
      </c>
      <c r="C1812" s="18">
        <f>IF(OHW!$G765="","",OHW!$A765)</f>
        <v/>
      </c>
      <c r="F1812">
        <f>IF(OHW!$G765="","",OHW!$B765&amp;"")</f>
        <v/>
      </c>
      <c r="J1812">
        <f>IF(OHW!$G765="","",OHW!$E765)</f>
        <v/>
      </c>
      <c r="K1812">
        <f>IF(OHW!$G765="","",COUNTIFS(OHW!$A$5:$A$1668,OHW!$A765,OHW!$C$5:$C$1668,OHW!$C765))</f>
        <v/>
      </c>
      <c r="L1812">
        <f>IF(OHW!$G765="","",OHW!$D765&amp;"")</f>
        <v/>
      </c>
      <c r="M1812">
        <f>IF(OHW!$G765="","",OHW!$F765)</f>
        <v/>
      </c>
      <c r="N1812">
        <f>IF(OHW!$G765="","",OHW!$G765)</f>
        <v/>
      </c>
      <c r="O1812">
        <f>IF(OHW!$G765="","",OHW!$I765)</f>
        <v/>
      </c>
      <c r="P1812">
        <f>IF(OHW!$G765="","","Final")</f>
        <v/>
      </c>
    </row>
    <row r="1813">
      <c r="A1813">
        <f>IF(OHW!$G766="","","OHW")</f>
        <v/>
      </c>
      <c r="B1813">
        <f>IF(OHW!$G766="","","OHW")</f>
        <v/>
      </c>
      <c r="C1813" s="18">
        <f>IF(OHW!$G766="","",OHW!$A766)</f>
        <v/>
      </c>
      <c r="F1813">
        <f>IF(OHW!$G766="","",OHW!$B766&amp;"")</f>
        <v/>
      </c>
      <c r="J1813">
        <f>IF(OHW!$G766="","",OHW!$E766)</f>
        <v/>
      </c>
      <c r="K1813">
        <f>IF(OHW!$G766="","",COUNTIFS(OHW!$A$5:$A$1668,OHW!$A766,OHW!$C$5:$C$1668,OHW!$C766))</f>
        <v/>
      </c>
      <c r="L1813">
        <f>IF(OHW!$G766="","",OHW!$D766&amp;"")</f>
        <v/>
      </c>
      <c r="M1813">
        <f>IF(OHW!$G766="","",OHW!$F766)</f>
        <v/>
      </c>
      <c r="N1813">
        <f>IF(OHW!$G766="","",OHW!$G766)</f>
        <v/>
      </c>
      <c r="O1813">
        <f>IF(OHW!$G766="","",OHW!$I766)</f>
        <v/>
      </c>
      <c r="P1813">
        <f>IF(OHW!$G766="","","Final")</f>
        <v/>
      </c>
    </row>
    <row r="1814">
      <c r="A1814">
        <f>IF(OHW!$G767="","","OHW")</f>
        <v/>
      </c>
      <c r="B1814">
        <f>IF(OHW!$G767="","","OHW")</f>
        <v/>
      </c>
      <c r="C1814" s="18">
        <f>IF(OHW!$G767="","",OHW!$A767)</f>
        <v/>
      </c>
      <c r="F1814">
        <f>IF(OHW!$G767="","",OHW!$B767&amp;"")</f>
        <v/>
      </c>
      <c r="J1814">
        <f>IF(OHW!$G767="","",OHW!$E767)</f>
        <v/>
      </c>
      <c r="K1814">
        <f>IF(OHW!$G767="","",COUNTIFS(OHW!$A$5:$A$1668,OHW!$A767,OHW!$C$5:$C$1668,OHW!$C767))</f>
        <v/>
      </c>
      <c r="L1814">
        <f>IF(OHW!$G767="","",OHW!$D767&amp;"")</f>
        <v/>
      </c>
      <c r="M1814">
        <f>IF(OHW!$G767="","",OHW!$F767)</f>
        <v/>
      </c>
      <c r="N1814">
        <f>IF(OHW!$G767="","",OHW!$G767)</f>
        <v/>
      </c>
      <c r="O1814">
        <f>IF(OHW!$G767="","",OHW!$I767)</f>
        <v/>
      </c>
      <c r="P1814">
        <f>IF(OHW!$G767="","","Final")</f>
        <v/>
      </c>
    </row>
    <row r="1815">
      <c r="A1815">
        <f>IF(OHW!$G768="","","OHW")</f>
        <v/>
      </c>
      <c r="B1815">
        <f>IF(OHW!$G768="","","OHW")</f>
        <v/>
      </c>
      <c r="C1815" s="18">
        <f>IF(OHW!$G768="","",OHW!$A768)</f>
        <v/>
      </c>
      <c r="F1815">
        <f>IF(OHW!$G768="","",OHW!$B768&amp;"")</f>
        <v/>
      </c>
      <c r="J1815">
        <f>IF(OHW!$G768="","",OHW!$E768)</f>
        <v/>
      </c>
      <c r="K1815">
        <f>IF(OHW!$G768="","",COUNTIFS(OHW!$A$5:$A$1668,OHW!$A768,OHW!$C$5:$C$1668,OHW!$C768))</f>
        <v/>
      </c>
      <c r="L1815">
        <f>IF(OHW!$G768="","",OHW!$D768&amp;"")</f>
        <v/>
      </c>
      <c r="M1815">
        <f>IF(OHW!$G768="","",OHW!$F768)</f>
        <v/>
      </c>
      <c r="N1815">
        <f>IF(OHW!$G768="","",OHW!$G768)</f>
        <v/>
      </c>
      <c r="O1815">
        <f>IF(OHW!$G768="","",OHW!$I768)</f>
        <v/>
      </c>
      <c r="P1815">
        <f>IF(OHW!$G768="","","Final")</f>
        <v/>
      </c>
    </row>
    <row r="1816">
      <c r="A1816">
        <f>IF(OHW!$G769="","","OHW")</f>
        <v/>
      </c>
      <c r="B1816">
        <f>IF(OHW!$G769="","","OHW")</f>
        <v/>
      </c>
      <c r="C1816" s="18">
        <f>IF(OHW!$G769="","",OHW!$A769)</f>
        <v/>
      </c>
      <c r="F1816">
        <f>IF(OHW!$G769="","",OHW!$B769&amp;"")</f>
        <v/>
      </c>
      <c r="J1816">
        <f>IF(OHW!$G769="","",OHW!$E769)</f>
        <v/>
      </c>
      <c r="K1816">
        <f>IF(OHW!$G769="","",COUNTIFS(OHW!$A$5:$A$1668,OHW!$A769,OHW!$C$5:$C$1668,OHW!$C769))</f>
        <v/>
      </c>
      <c r="L1816">
        <f>IF(OHW!$G769="","",OHW!$D769&amp;"")</f>
        <v/>
      </c>
      <c r="M1816">
        <f>IF(OHW!$G769="","",OHW!$F769)</f>
        <v/>
      </c>
      <c r="N1816">
        <f>IF(OHW!$G769="","",OHW!$G769)</f>
        <v/>
      </c>
      <c r="O1816">
        <f>IF(OHW!$G769="","",OHW!$I769)</f>
        <v/>
      </c>
      <c r="P1816">
        <f>IF(OHW!$G769="","","Final")</f>
        <v/>
      </c>
    </row>
    <row r="1817">
      <c r="A1817">
        <f>IF(OHW!$G770="","","OHW")</f>
        <v/>
      </c>
      <c r="B1817">
        <f>IF(OHW!$G770="","","OHW")</f>
        <v/>
      </c>
      <c r="C1817" s="18">
        <f>IF(OHW!$G770="","",OHW!$A770)</f>
        <v/>
      </c>
      <c r="F1817">
        <f>IF(OHW!$G770="","",OHW!$B770&amp;"")</f>
        <v/>
      </c>
      <c r="J1817">
        <f>IF(OHW!$G770="","",OHW!$E770)</f>
        <v/>
      </c>
      <c r="K1817">
        <f>IF(OHW!$G770="","",COUNTIFS(OHW!$A$5:$A$1668,OHW!$A770,OHW!$C$5:$C$1668,OHW!$C770))</f>
        <v/>
      </c>
      <c r="L1817">
        <f>IF(OHW!$G770="","",OHW!$D770&amp;"")</f>
        <v/>
      </c>
      <c r="M1817">
        <f>IF(OHW!$G770="","",OHW!$F770)</f>
        <v/>
      </c>
      <c r="N1817">
        <f>IF(OHW!$G770="","",OHW!$G770)</f>
        <v/>
      </c>
      <c r="O1817">
        <f>IF(OHW!$G770="","",OHW!$I770)</f>
        <v/>
      </c>
      <c r="P1817">
        <f>IF(OHW!$G770="","","Final")</f>
        <v/>
      </c>
    </row>
    <row r="1818">
      <c r="A1818">
        <f>IF(OHW!$G771="","","OHW")</f>
        <v/>
      </c>
      <c r="B1818">
        <f>IF(OHW!$G771="","","OHW")</f>
        <v/>
      </c>
      <c r="C1818" s="18">
        <f>IF(OHW!$G771="","",OHW!$A771)</f>
        <v/>
      </c>
      <c r="F1818">
        <f>IF(OHW!$G771="","",OHW!$B771&amp;"")</f>
        <v/>
      </c>
      <c r="J1818">
        <f>IF(OHW!$G771="","",OHW!$E771)</f>
        <v/>
      </c>
      <c r="K1818">
        <f>IF(OHW!$G771="","",COUNTIFS(OHW!$A$5:$A$1668,OHW!$A771,OHW!$C$5:$C$1668,OHW!$C771))</f>
        <v/>
      </c>
      <c r="L1818">
        <f>IF(OHW!$G771="","",OHW!$D771&amp;"")</f>
        <v/>
      </c>
      <c r="M1818">
        <f>IF(OHW!$G771="","",OHW!$F771)</f>
        <v/>
      </c>
      <c r="N1818">
        <f>IF(OHW!$G771="","",OHW!$G771)</f>
        <v/>
      </c>
      <c r="O1818">
        <f>IF(OHW!$G771="","",OHW!$I771)</f>
        <v/>
      </c>
      <c r="P1818">
        <f>IF(OHW!$G771="","","Final")</f>
        <v/>
      </c>
    </row>
    <row r="1819">
      <c r="A1819">
        <f>IF(OHW!$G772="","","OHW")</f>
        <v/>
      </c>
      <c r="B1819">
        <f>IF(OHW!$G772="","","OHW")</f>
        <v/>
      </c>
      <c r="C1819" s="18">
        <f>IF(OHW!$G772="","",OHW!$A772)</f>
        <v/>
      </c>
      <c r="F1819">
        <f>IF(OHW!$G772="","",OHW!$B772&amp;"")</f>
        <v/>
      </c>
      <c r="J1819">
        <f>IF(OHW!$G772="","",OHW!$E772)</f>
        <v/>
      </c>
      <c r="K1819">
        <f>IF(OHW!$G772="","",COUNTIFS(OHW!$A$5:$A$1668,OHW!$A772,OHW!$C$5:$C$1668,OHW!$C772))</f>
        <v/>
      </c>
      <c r="L1819">
        <f>IF(OHW!$G772="","",OHW!$D772&amp;"")</f>
        <v/>
      </c>
      <c r="M1819">
        <f>IF(OHW!$G772="","",OHW!$F772)</f>
        <v/>
      </c>
      <c r="N1819">
        <f>IF(OHW!$G772="","",OHW!$G772)</f>
        <v/>
      </c>
      <c r="O1819">
        <f>IF(OHW!$G772="","",OHW!$I772)</f>
        <v/>
      </c>
      <c r="P1819">
        <f>IF(OHW!$G772="","","Final")</f>
        <v/>
      </c>
    </row>
    <row r="1820">
      <c r="A1820">
        <f>IF(OHW!$G773="","","OHW")</f>
        <v/>
      </c>
      <c r="B1820">
        <f>IF(OHW!$G773="","","OHW")</f>
        <v/>
      </c>
      <c r="C1820" s="18">
        <f>IF(OHW!$G773="","",OHW!$A773)</f>
        <v/>
      </c>
      <c r="F1820">
        <f>IF(OHW!$G773="","",OHW!$B773&amp;"")</f>
        <v/>
      </c>
      <c r="J1820">
        <f>IF(OHW!$G773="","",OHW!$E773)</f>
        <v/>
      </c>
      <c r="K1820">
        <f>IF(OHW!$G773="","",COUNTIFS(OHW!$A$5:$A$1668,OHW!$A773,OHW!$C$5:$C$1668,OHW!$C773))</f>
        <v/>
      </c>
      <c r="L1820">
        <f>IF(OHW!$G773="","",OHW!$D773&amp;"")</f>
        <v/>
      </c>
      <c r="M1820">
        <f>IF(OHW!$G773="","",OHW!$F773)</f>
        <v/>
      </c>
      <c r="N1820">
        <f>IF(OHW!$G773="","",OHW!$G773)</f>
        <v/>
      </c>
      <c r="O1820">
        <f>IF(OHW!$G773="","",OHW!$I773)</f>
        <v/>
      </c>
      <c r="P1820">
        <f>IF(OHW!$G773="","","Final")</f>
        <v/>
      </c>
    </row>
    <row r="1821">
      <c r="A1821">
        <f>IF(OHW!$G774="","","OHW")</f>
        <v/>
      </c>
      <c r="B1821">
        <f>IF(OHW!$G774="","","OHW")</f>
        <v/>
      </c>
      <c r="C1821" s="18">
        <f>IF(OHW!$G774="","",OHW!$A774)</f>
        <v/>
      </c>
      <c r="F1821">
        <f>IF(OHW!$G774="","",OHW!$B774&amp;"")</f>
        <v/>
      </c>
      <c r="J1821">
        <f>IF(OHW!$G774="","",OHW!$E774)</f>
        <v/>
      </c>
      <c r="K1821">
        <f>IF(OHW!$G774="","",COUNTIFS(OHW!$A$5:$A$1668,OHW!$A774,OHW!$C$5:$C$1668,OHW!$C774))</f>
        <v/>
      </c>
      <c r="L1821">
        <f>IF(OHW!$G774="","",OHW!$D774&amp;"")</f>
        <v/>
      </c>
      <c r="M1821">
        <f>IF(OHW!$G774="","",OHW!$F774)</f>
        <v/>
      </c>
      <c r="N1821">
        <f>IF(OHW!$G774="","",OHW!$G774)</f>
        <v/>
      </c>
      <c r="O1821">
        <f>IF(OHW!$G774="","",OHW!$I774)</f>
        <v/>
      </c>
      <c r="P1821">
        <f>IF(OHW!$G774="","","Final")</f>
        <v/>
      </c>
    </row>
    <row r="1822">
      <c r="A1822">
        <f>IF(OHW!$G775="","","OHW")</f>
        <v/>
      </c>
      <c r="B1822">
        <f>IF(OHW!$G775="","","OHW")</f>
        <v/>
      </c>
      <c r="C1822" s="18">
        <f>IF(OHW!$G775="","",OHW!$A775)</f>
        <v/>
      </c>
      <c r="F1822">
        <f>IF(OHW!$G775="","",OHW!$B775&amp;"")</f>
        <v/>
      </c>
      <c r="J1822">
        <f>IF(OHW!$G775="","",OHW!$E775)</f>
        <v/>
      </c>
      <c r="K1822">
        <f>IF(OHW!$G775="","",COUNTIFS(OHW!$A$5:$A$1668,OHW!$A775,OHW!$C$5:$C$1668,OHW!$C775))</f>
        <v/>
      </c>
      <c r="L1822">
        <f>IF(OHW!$G775="","",OHW!$D775&amp;"")</f>
        <v/>
      </c>
      <c r="M1822">
        <f>IF(OHW!$G775="","",OHW!$F775)</f>
        <v/>
      </c>
      <c r="N1822">
        <f>IF(OHW!$G775="","",OHW!$G775)</f>
        <v/>
      </c>
      <c r="O1822">
        <f>IF(OHW!$G775="","",OHW!$I775)</f>
        <v/>
      </c>
      <c r="P1822">
        <f>IF(OHW!$G775="","","Final")</f>
        <v/>
      </c>
    </row>
    <row r="1823">
      <c r="A1823">
        <f>IF(OHW!$G776="","","OHW")</f>
        <v/>
      </c>
      <c r="B1823">
        <f>IF(OHW!$G776="","","OHW")</f>
        <v/>
      </c>
      <c r="C1823" s="18">
        <f>IF(OHW!$G776="","",OHW!$A776)</f>
        <v/>
      </c>
      <c r="F1823">
        <f>IF(OHW!$G776="","",OHW!$B776&amp;"")</f>
        <v/>
      </c>
      <c r="J1823">
        <f>IF(OHW!$G776="","",OHW!$E776)</f>
        <v/>
      </c>
      <c r="K1823">
        <f>IF(OHW!$G776="","",COUNTIFS(OHW!$A$5:$A$1668,OHW!$A776,OHW!$C$5:$C$1668,OHW!$C776))</f>
        <v/>
      </c>
      <c r="L1823">
        <f>IF(OHW!$G776="","",OHW!$D776&amp;"")</f>
        <v/>
      </c>
      <c r="M1823">
        <f>IF(OHW!$G776="","",OHW!$F776)</f>
        <v/>
      </c>
      <c r="N1823">
        <f>IF(OHW!$G776="","",OHW!$G776)</f>
        <v/>
      </c>
      <c r="O1823">
        <f>IF(OHW!$G776="","",OHW!$I776)</f>
        <v/>
      </c>
      <c r="P1823">
        <f>IF(OHW!$G776="","","Final")</f>
        <v/>
      </c>
    </row>
    <row r="1824">
      <c r="A1824">
        <f>IF(OHW!$G777="","","OHW")</f>
        <v/>
      </c>
      <c r="B1824">
        <f>IF(OHW!$G777="","","OHW")</f>
        <v/>
      </c>
      <c r="C1824" s="18">
        <f>IF(OHW!$G777="","",OHW!$A777)</f>
        <v/>
      </c>
      <c r="F1824">
        <f>IF(OHW!$G777="","",OHW!$B777&amp;"")</f>
        <v/>
      </c>
      <c r="J1824">
        <f>IF(OHW!$G777="","",OHW!$E777)</f>
        <v/>
      </c>
      <c r="K1824">
        <f>IF(OHW!$G777="","",COUNTIFS(OHW!$A$5:$A$1668,OHW!$A777,OHW!$C$5:$C$1668,OHW!$C777))</f>
        <v/>
      </c>
      <c r="L1824">
        <f>IF(OHW!$G777="","",OHW!$D777&amp;"")</f>
        <v/>
      </c>
      <c r="M1824">
        <f>IF(OHW!$G777="","",OHW!$F777)</f>
        <v/>
      </c>
      <c r="N1824">
        <f>IF(OHW!$G777="","",OHW!$G777)</f>
        <v/>
      </c>
      <c r="O1824">
        <f>IF(OHW!$G777="","",OHW!$I777)</f>
        <v/>
      </c>
      <c r="P1824">
        <f>IF(OHW!$G777="","","Final")</f>
        <v/>
      </c>
    </row>
    <row r="1825">
      <c r="A1825">
        <f>IF(OHW!$G778="","","OHW")</f>
        <v/>
      </c>
      <c r="B1825">
        <f>IF(OHW!$G778="","","OHW")</f>
        <v/>
      </c>
      <c r="C1825" s="18">
        <f>IF(OHW!$G778="","",OHW!$A778)</f>
        <v/>
      </c>
      <c r="F1825">
        <f>IF(OHW!$G778="","",OHW!$B778&amp;"")</f>
        <v/>
      </c>
      <c r="J1825">
        <f>IF(OHW!$G778="","",OHW!$E778)</f>
        <v/>
      </c>
      <c r="K1825">
        <f>IF(OHW!$G778="","",COUNTIFS(OHW!$A$5:$A$1668,OHW!$A778,OHW!$C$5:$C$1668,OHW!$C778))</f>
        <v/>
      </c>
      <c r="L1825">
        <f>IF(OHW!$G778="","",OHW!$D778&amp;"")</f>
        <v/>
      </c>
      <c r="M1825">
        <f>IF(OHW!$G778="","",OHW!$F778)</f>
        <v/>
      </c>
      <c r="N1825">
        <f>IF(OHW!$G778="","",OHW!$G778)</f>
        <v/>
      </c>
      <c r="O1825">
        <f>IF(OHW!$G778="","",OHW!$I778)</f>
        <v/>
      </c>
      <c r="P1825">
        <f>IF(OHW!$G778="","","Final")</f>
        <v/>
      </c>
    </row>
    <row r="1826">
      <c r="A1826">
        <f>IF(OHW!$G779="","","OHW")</f>
        <v/>
      </c>
      <c r="B1826">
        <f>IF(OHW!$G779="","","OHW")</f>
        <v/>
      </c>
      <c r="C1826" s="18">
        <f>IF(OHW!$G779="","",OHW!$A779)</f>
        <v/>
      </c>
      <c r="F1826">
        <f>IF(OHW!$G779="","",OHW!$B779&amp;"")</f>
        <v/>
      </c>
      <c r="J1826">
        <f>IF(OHW!$G779="","",OHW!$E779)</f>
        <v/>
      </c>
      <c r="K1826">
        <f>IF(OHW!$G779="","",COUNTIFS(OHW!$A$5:$A$1668,OHW!$A779,OHW!$C$5:$C$1668,OHW!$C779))</f>
        <v/>
      </c>
      <c r="L1826">
        <f>IF(OHW!$G779="","",OHW!$D779&amp;"")</f>
        <v/>
      </c>
      <c r="M1826">
        <f>IF(OHW!$G779="","",OHW!$F779)</f>
        <v/>
      </c>
      <c r="N1826">
        <f>IF(OHW!$G779="","",OHW!$G779)</f>
        <v/>
      </c>
      <c r="O1826">
        <f>IF(OHW!$G779="","",OHW!$I779)</f>
        <v/>
      </c>
      <c r="P1826">
        <f>IF(OHW!$G779="","","Final")</f>
        <v/>
      </c>
    </row>
    <row r="1827">
      <c r="A1827">
        <f>IF(OHW!$G780="","","OHW")</f>
        <v/>
      </c>
      <c r="B1827">
        <f>IF(OHW!$G780="","","OHW")</f>
        <v/>
      </c>
      <c r="C1827" s="18">
        <f>IF(OHW!$G780="","",OHW!$A780)</f>
        <v/>
      </c>
      <c r="F1827">
        <f>IF(OHW!$G780="","",OHW!$B780&amp;"")</f>
        <v/>
      </c>
      <c r="J1827">
        <f>IF(OHW!$G780="","",OHW!$E780)</f>
        <v/>
      </c>
      <c r="K1827">
        <f>IF(OHW!$G780="","",COUNTIFS(OHW!$A$5:$A$1668,OHW!$A780,OHW!$C$5:$C$1668,OHW!$C780))</f>
        <v/>
      </c>
      <c r="L1827">
        <f>IF(OHW!$G780="","",OHW!$D780&amp;"")</f>
        <v/>
      </c>
      <c r="M1827">
        <f>IF(OHW!$G780="","",OHW!$F780)</f>
        <v/>
      </c>
      <c r="N1827">
        <f>IF(OHW!$G780="","",OHW!$G780)</f>
        <v/>
      </c>
      <c r="O1827">
        <f>IF(OHW!$G780="","",OHW!$I780)</f>
        <v/>
      </c>
      <c r="P1827">
        <f>IF(OHW!$G780="","","Final")</f>
        <v/>
      </c>
    </row>
    <row r="1828">
      <c r="A1828">
        <f>IF(OHW!$G781="","","OHW")</f>
        <v/>
      </c>
      <c r="B1828">
        <f>IF(OHW!$G781="","","OHW")</f>
        <v/>
      </c>
      <c r="C1828" s="18">
        <f>IF(OHW!$G781="","",OHW!$A781)</f>
        <v/>
      </c>
      <c r="F1828">
        <f>IF(OHW!$G781="","",OHW!$B781&amp;"")</f>
        <v/>
      </c>
      <c r="J1828">
        <f>IF(OHW!$G781="","",OHW!$E781)</f>
        <v/>
      </c>
      <c r="K1828">
        <f>IF(OHW!$G781="","",COUNTIFS(OHW!$A$5:$A$1668,OHW!$A781,OHW!$C$5:$C$1668,OHW!$C781))</f>
        <v/>
      </c>
      <c r="L1828">
        <f>IF(OHW!$G781="","",OHW!$D781&amp;"")</f>
        <v/>
      </c>
      <c r="M1828">
        <f>IF(OHW!$G781="","",OHW!$F781)</f>
        <v/>
      </c>
      <c r="N1828">
        <f>IF(OHW!$G781="","",OHW!$G781)</f>
        <v/>
      </c>
      <c r="O1828">
        <f>IF(OHW!$G781="","",OHW!$I781)</f>
        <v/>
      </c>
      <c r="P1828">
        <f>IF(OHW!$G781="","","Final")</f>
        <v/>
      </c>
    </row>
    <row r="1829">
      <c r="A1829">
        <f>IF(OHW!$G782="","","OHW")</f>
        <v/>
      </c>
      <c r="B1829">
        <f>IF(OHW!$G782="","","OHW")</f>
        <v/>
      </c>
      <c r="C1829" s="18">
        <f>IF(OHW!$G782="","",OHW!$A782)</f>
        <v/>
      </c>
      <c r="F1829">
        <f>IF(OHW!$G782="","",OHW!$B782&amp;"")</f>
        <v/>
      </c>
      <c r="J1829">
        <f>IF(OHW!$G782="","",OHW!$E782)</f>
        <v/>
      </c>
      <c r="K1829">
        <f>IF(OHW!$G782="","",COUNTIFS(OHW!$A$5:$A$1668,OHW!$A782,OHW!$C$5:$C$1668,OHW!$C782))</f>
        <v/>
      </c>
      <c r="L1829">
        <f>IF(OHW!$G782="","",OHW!$D782&amp;"")</f>
        <v/>
      </c>
      <c r="M1829">
        <f>IF(OHW!$G782="","",OHW!$F782)</f>
        <v/>
      </c>
      <c r="N1829">
        <f>IF(OHW!$G782="","",OHW!$G782)</f>
        <v/>
      </c>
      <c r="O1829">
        <f>IF(OHW!$G782="","",OHW!$I782)</f>
        <v/>
      </c>
      <c r="P1829">
        <f>IF(OHW!$G782="","","Final")</f>
        <v/>
      </c>
    </row>
    <row r="1830">
      <c r="A1830">
        <f>IF(OHW!$G783="","","OHW")</f>
        <v/>
      </c>
      <c r="B1830">
        <f>IF(OHW!$G783="","","OHW")</f>
        <v/>
      </c>
      <c r="C1830" s="18">
        <f>IF(OHW!$G783="","",OHW!$A783)</f>
        <v/>
      </c>
      <c r="F1830">
        <f>IF(OHW!$G783="","",OHW!$B783&amp;"")</f>
        <v/>
      </c>
      <c r="J1830">
        <f>IF(OHW!$G783="","",OHW!$E783)</f>
        <v/>
      </c>
      <c r="K1830">
        <f>IF(OHW!$G783="","",COUNTIFS(OHW!$A$5:$A$1668,OHW!$A783,OHW!$C$5:$C$1668,OHW!$C783))</f>
        <v/>
      </c>
      <c r="L1830">
        <f>IF(OHW!$G783="","",OHW!$D783&amp;"")</f>
        <v/>
      </c>
      <c r="M1830">
        <f>IF(OHW!$G783="","",OHW!$F783)</f>
        <v/>
      </c>
      <c r="N1830">
        <f>IF(OHW!$G783="","",OHW!$G783)</f>
        <v/>
      </c>
      <c r="O1830">
        <f>IF(OHW!$G783="","",OHW!$I783)</f>
        <v/>
      </c>
      <c r="P1830">
        <f>IF(OHW!$G783="","","Final")</f>
        <v/>
      </c>
    </row>
    <row r="1831">
      <c r="A1831">
        <f>IF(OHW!$G784="","","OHW")</f>
        <v/>
      </c>
      <c r="B1831">
        <f>IF(OHW!$G784="","","OHW")</f>
        <v/>
      </c>
      <c r="C1831" s="18">
        <f>IF(OHW!$G784="","",OHW!$A784)</f>
        <v/>
      </c>
      <c r="F1831">
        <f>IF(OHW!$G784="","",OHW!$B784&amp;"")</f>
        <v/>
      </c>
      <c r="J1831">
        <f>IF(OHW!$G784="","",OHW!$E784)</f>
        <v/>
      </c>
      <c r="K1831">
        <f>IF(OHW!$G784="","",COUNTIFS(OHW!$A$5:$A$1668,OHW!$A784,OHW!$C$5:$C$1668,OHW!$C784))</f>
        <v/>
      </c>
      <c r="L1831">
        <f>IF(OHW!$G784="","",OHW!$D784&amp;"")</f>
        <v/>
      </c>
      <c r="M1831">
        <f>IF(OHW!$G784="","",OHW!$F784)</f>
        <v/>
      </c>
      <c r="N1831">
        <f>IF(OHW!$G784="","",OHW!$G784)</f>
        <v/>
      </c>
      <c r="O1831">
        <f>IF(OHW!$G784="","",OHW!$I784)</f>
        <v/>
      </c>
      <c r="P1831">
        <f>IF(OHW!$G784="","","Final")</f>
        <v/>
      </c>
    </row>
    <row r="1832">
      <c r="A1832">
        <f>IF(OHW!$G785="","","OHW")</f>
        <v/>
      </c>
      <c r="B1832">
        <f>IF(OHW!$G785="","","OHW")</f>
        <v/>
      </c>
      <c r="C1832" s="18">
        <f>IF(OHW!$G785="","",OHW!$A785)</f>
        <v/>
      </c>
      <c r="F1832">
        <f>IF(OHW!$G785="","",OHW!$B785&amp;"")</f>
        <v/>
      </c>
      <c r="J1832">
        <f>IF(OHW!$G785="","",OHW!$E785)</f>
        <v/>
      </c>
      <c r="K1832">
        <f>IF(OHW!$G785="","",COUNTIFS(OHW!$A$5:$A$1668,OHW!$A785,OHW!$C$5:$C$1668,OHW!$C785))</f>
        <v/>
      </c>
      <c r="L1832">
        <f>IF(OHW!$G785="","",OHW!$D785&amp;"")</f>
        <v/>
      </c>
      <c r="M1832">
        <f>IF(OHW!$G785="","",OHW!$F785)</f>
        <v/>
      </c>
      <c r="N1832">
        <f>IF(OHW!$G785="","",OHW!$G785)</f>
        <v/>
      </c>
      <c r="O1832">
        <f>IF(OHW!$G785="","",OHW!$I785)</f>
        <v/>
      </c>
      <c r="P1832">
        <f>IF(OHW!$G785="","","Final")</f>
        <v/>
      </c>
    </row>
    <row r="1833">
      <c r="A1833">
        <f>IF(OHW!$G786="","","OHW")</f>
        <v/>
      </c>
      <c r="B1833">
        <f>IF(OHW!$G786="","","OHW")</f>
        <v/>
      </c>
      <c r="C1833" s="18">
        <f>IF(OHW!$G786="","",OHW!$A786)</f>
        <v/>
      </c>
      <c r="F1833">
        <f>IF(OHW!$G786="","",OHW!$B786&amp;"")</f>
        <v/>
      </c>
      <c r="J1833">
        <f>IF(OHW!$G786="","",OHW!$E786)</f>
        <v/>
      </c>
      <c r="K1833">
        <f>IF(OHW!$G786="","",COUNTIFS(OHW!$A$5:$A$1668,OHW!$A786,OHW!$C$5:$C$1668,OHW!$C786))</f>
        <v/>
      </c>
      <c r="L1833">
        <f>IF(OHW!$G786="","",OHW!$D786&amp;"")</f>
        <v/>
      </c>
      <c r="M1833">
        <f>IF(OHW!$G786="","",OHW!$F786)</f>
        <v/>
      </c>
      <c r="N1833">
        <f>IF(OHW!$G786="","",OHW!$G786)</f>
        <v/>
      </c>
      <c r="O1833">
        <f>IF(OHW!$G786="","",OHW!$I786)</f>
        <v/>
      </c>
      <c r="P1833">
        <f>IF(OHW!$G786="","","Final")</f>
        <v/>
      </c>
    </row>
    <row r="1834">
      <c r="A1834">
        <f>IF(OHW!$G787="","","OHW")</f>
        <v/>
      </c>
      <c r="B1834">
        <f>IF(OHW!$G787="","","OHW")</f>
        <v/>
      </c>
      <c r="C1834" s="18">
        <f>IF(OHW!$G787="","",OHW!$A787)</f>
        <v/>
      </c>
      <c r="F1834">
        <f>IF(OHW!$G787="","",OHW!$B787&amp;"")</f>
        <v/>
      </c>
      <c r="J1834">
        <f>IF(OHW!$G787="","",OHW!$E787)</f>
        <v/>
      </c>
      <c r="K1834">
        <f>IF(OHW!$G787="","",COUNTIFS(OHW!$A$5:$A$1668,OHW!$A787,OHW!$C$5:$C$1668,OHW!$C787))</f>
        <v/>
      </c>
      <c r="L1834">
        <f>IF(OHW!$G787="","",OHW!$D787&amp;"")</f>
        <v/>
      </c>
      <c r="M1834">
        <f>IF(OHW!$G787="","",OHW!$F787)</f>
        <v/>
      </c>
      <c r="N1834">
        <f>IF(OHW!$G787="","",OHW!$G787)</f>
        <v/>
      </c>
      <c r="O1834">
        <f>IF(OHW!$G787="","",OHW!$I787)</f>
        <v/>
      </c>
      <c r="P1834">
        <f>IF(OHW!$G787="","","Final")</f>
        <v/>
      </c>
    </row>
    <row r="1835">
      <c r="A1835">
        <f>IF(OHW!$G788="","","OHW")</f>
        <v/>
      </c>
      <c r="B1835">
        <f>IF(OHW!$G788="","","OHW")</f>
        <v/>
      </c>
      <c r="C1835" s="18">
        <f>IF(OHW!$G788="","",OHW!$A788)</f>
        <v/>
      </c>
      <c r="F1835">
        <f>IF(OHW!$G788="","",OHW!$B788&amp;"")</f>
        <v/>
      </c>
      <c r="J1835">
        <f>IF(OHW!$G788="","",OHW!$E788)</f>
        <v/>
      </c>
      <c r="K1835">
        <f>IF(OHW!$G788="","",COUNTIFS(OHW!$A$5:$A$1668,OHW!$A788,OHW!$C$5:$C$1668,OHW!$C788))</f>
        <v/>
      </c>
      <c r="L1835">
        <f>IF(OHW!$G788="","",OHW!$D788&amp;"")</f>
        <v/>
      </c>
      <c r="M1835">
        <f>IF(OHW!$G788="","",OHW!$F788)</f>
        <v/>
      </c>
      <c r="N1835">
        <f>IF(OHW!$G788="","",OHW!$G788)</f>
        <v/>
      </c>
      <c r="O1835">
        <f>IF(OHW!$G788="","",OHW!$I788)</f>
        <v/>
      </c>
      <c r="P1835">
        <f>IF(OHW!$G788="","","Final")</f>
        <v/>
      </c>
    </row>
    <row r="1836">
      <c r="A1836">
        <f>IF(OHW!$G789="","","OHW")</f>
        <v/>
      </c>
      <c r="B1836">
        <f>IF(OHW!$G789="","","OHW")</f>
        <v/>
      </c>
      <c r="C1836" s="18">
        <f>IF(OHW!$G789="","",OHW!$A789)</f>
        <v/>
      </c>
      <c r="F1836">
        <f>IF(OHW!$G789="","",OHW!$B789&amp;"")</f>
        <v/>
      </c>
      <c r="J1836">
        <f>IF(OHW!$G789="","",OHW!$E789)</f>
        <v/>
      </c>
      <c r="K1836">
        <f>IF(OHW!$G789="","",COUNTIFS(OHW!$A$5:$A$1668,OHW!$A789,OHW!$C$5:$C$1668,OHW!$C789))</f>
        <v/>
      </c>
      <c r="L1836">
        <f>IF(OHW!$G789="","",OHW!$D789&amp;"")</f>
        <v/>
      </c>
      <c r="M1836">
        <f>IF(OHW!$G789="","",OHW!$F789)</f>
        <v/>
      </c>
      <c r="N1836">
        <f>IF(OHW!$G789="","",OHW!$G789)</f>
        <v/>
      </c>
      <c r="O1836">
        <f>IF(OHW!$G789="","",OHW!$I789)</f>
        <v/>
      </c>
      <c r="P1836">
        <f>IF(OHW!$G789="","","Final")</f>
        <v/>
      </c>
    </row>
    <row r="1837">
      <c r="A1837">
        <f>IF(OHW!$G790="","","OHW")</f>
        <v/>
      </c>
      <c r="B1837">
        <f>IF(OHW!$G790="","","OHW")</f>
        <v/>
      </c>
      <c r="C1837" s="18">
        <f>IF(OHW!$G790="","",OHW!$A790)</f>
        <v/>
      </c>
      <c r="F1837">
        <f>IF(OHW!$G790="","",OHW!$B790&amp;"")</f>
        <v/>
      </c>
      <c r="J1837">
        <f>IF(OHW!$G790="","",OHW!$E790)</f>
        <v/>
      </c>
      <c r="K1837">
        <f>IF(OHW!$G790="","",COUNTIFS(OHW!$A$5:$A$1668,OHW!$A790,OHW!$C$5:$C$1668,OHW!$C790))</f>
        <v/>
      </c>
      <c r="L1837">
        <f>IF(OHW!$G790="","",OHW!$D790&amp;"")</f>
        <v/>
      </c>
      <c r="M1837">
        <f>IF(OHW!$G790="","",OHW!$F790)</f>
        <v/>
      </c>
      <c r="N1837">
        <f>IF(OHW!$G790="","",OHW!$G790)</f>
        <v/>
      </c>
      <c r="O1837">
        <f>IF(OHW!$G790="","",OHW!$I790)</f>
        <v/>
      </c>
      <c r="P1837">
        <f>IF(OHW!$G790="","","Final")</f>
        <v/>
      </c>
    </row>
    <row r="1838">
      <c r="A1838">
        <f>IF(OHW!$G791="","","OHW")</f>
        <v/>
      </c>
      <c r="B1838">
        <f>IF(OHW!$G791="","","OHW")</f>
        <v/>
      </c>
      <c r="C1838" s="18">
        <f>IF(OHW!$G791="","",OHW!$A791)</f>
        <v/>
      </c>
      <c r="F1838">
        <f>IF(OHW!$G791="","",OHW!$B791&amp;"")</f>
        <v/>
      </c>
      <c r="J1838">
        <f>IF(OHW!$G791="","",OHW!$E791)</f>
        <v/>
      </c>
      <c r="K1838">
        <f>IF(OHW!$G791="","",COUNTIFS(OHW!$A$5:$A$1668,OHW!$A791,OHW!$C$5:$C$1668,OHW!$C791))</f>
        <v/>
      </c>
      <c r="L1838">
        <f>IF(OHW!$G791="","",OHW!$D791&amp;"")</f>
        <v/>
      </c>
      <c r="M1838">
        <f>IF(OHW!$G791="","",OHW!$F791)</f>
        <v/>
      </c>
      <c r="N1838">
        <f>IF(OHW!$G791="","",OHW!$G791)</f>
        <v/>
      </c>
      <c r="O1838">
        <f>IF(OHW!$G791="","",OHW!$I791)</f>
        <v/>
      </c>
      <c r="P1838">
        <f>IF(OHW!$G791="","","Final")</f>
        <v/>
      </c>
    </row>
    <row r="1839">
      <c r="A1839">
        <f>IF(OHW!$G792="","","OHW")</f>
        <v/>
      </c>
      <c r="B1839">
        <f>IF(OHW!$G792="","","OHW")</f>
        <v/>
      </c>
      <c r="C1839" s="18">
        <f>IF(OHW!$G792="","",OHW!$A792)</f>
        <v/>
      </c>
      <c r="F1839">
        <f>IF(OHW!$G792="","",OHW!$B792&amp;"")</f>
        <v/>
      </c>
      <c r="J1839">
        <f>IF(OHW!$G792="","",OHW!$E792)</f>
        <v/>
      </c>
      <c r="K1839">
        <f>IF(OHW!$G792="","",COUNTIFS(OHW!$A$5:$A$1668,OHW!$A792,OHW!$C$5:$C$1668,OHW!$C792))</f>
        <v/>
      </c>
      <c r="L1839">
        <f>IF(OHW!$G792="","",OHW!$D792&amp;"")</f>
        <v/>
      </c>
      <c r="M1839">
        <f>IF(OHW!$G792="","",OHW!$F792)</f>
        <v/>
      </c>
      <c r="N1839">
        <f>IF(OHW!$G792="","",OHW!$G792)</f>
        <v/>
      </c>
      <c r="O1839">
        <f>IF(OHW!$G792="","",OHW!$I792)</f>
        <v/>
      </c>
      <c r="P1839">
        <f>IF(OHW!$G792="","","Final")</f>
        <v/>
      </c>
    </row>
    <row r="1840">
      <c r="A1840">
        <f>IF(OHW!$G793="","","OHW")</f>
        <v/>
      </c>
      <c r="B1840">
        <f>IF(OHW!$G793="","","OHW")</f>
        <v/>
      </c>
      <c r="C1840" s="18">
        <f>IF(OHW!$G793="","",OHW!$A793)</f>
        <v/>
      </c>
      <c r="F1840">
        <f>IF(OHW!$G793="","",OHW!$B793&amp;"")</f>
        <v/>
      </c>
      <c r="J1840">
        <f>IF(OHW!$G793="","",OHW!$E793)</f>
        <v/>
      </c>
      <c r="K1840">
        <f>IF(OHW!$G793="","",COUNTIFS(OHW!$A$5:$A$1668,OHW!$A793,OHW!$C$5:$C$1668,OHW!$C793))</f>
        <v/>
      </c>
      <c r="L1840">
        <f>IF(OHW!$G793="","",OHW!$D793&amp;"")</f>
        <v/>
      </c>
      <c r="M1840">
        <f>IF(OHW!$G793="","",OHW!$F793)</f>
        <v/>
      </c>
      <c r="N1840">
        <f>IF(OHW!$G793="","",OHW!$G793)</f>
        <v/>
      </c>
      <c r="O1840">
        <f>IF(OHW!$G793="","",OHW!$I793)</f>
        <v/>
      </c>
      <c r="P1840">
        <f>IF(OHW!$G793="","","Final")</f>
        <v/>
      </c>
    </row>
    <row r="1841">
      <c r="A1841">
        <f>IF(OHW!$G794="","","OHW")</f>
        <v/>
      </c>
      <c r="B1841">
        <f>IF(OHW!$G794="","","OHW")</f>
        <v/>
      </c>
      <c r="C1841" s="18">
        <f>IF(OHW!$G794="","",OHW!$A794)</f>
        <v/>
      </c>
      <c r="F1841">
        <f>IF(OHW!$G794="","",OHW!$B794&amp;"")</f>
        <v/>
      </c>
      <c r="J1841">
        <f>IF(OHW!$G794="","",OHW!$E794)</f>
        <v/>
      </c>
      <c r="K1841">
        <f>IF(OHW!$G794="","",COUNTIFS(OHW!$A$5:$A$1668,OHW!$A794,OHW!$C$5:$C$1668,OHW!$C794))</f>
        <v/>
      </c>
      <c r="L1841">
        <f>IF(OHW!$G794="","",OHW!$D794&amp;"")</f>
        <v/>
      </c>
      <c r="M1841">
        <f>IF(OHW!$G794="","",OHW!$F794)</f>
        <v/>
      </c>
      <c r="N1841">
        <f>IF(OHW!$G794="","",OHW!$G794)</f>
        <v/>
      </c>
      <c r="O1841">
        <f>IF(OHW!$G794="","",OHW!$I794)</f>
        <v/>
      </c>
      <c r="P1841">
        <f>IF(OHW!$G794="","","Final")</f>
        <v/>
      </c>
    </row>
    <row r="1842">
      <c r="A1842">
        <f>IF(OHW!$G795="","","OHW")</f>
        <v/>
      </c>
      <c r="B1842">
        <f>IF(OHW!$G795="","","OHW")</f>
        <v/>
      </c>
      <c r="C1842" s="18">
        <f>IF(OHW!$G795="","",OHW!$A795)</f>
        <v/>
      </c>
      <c r="F1842">
        <f>IF(OHW!$G795="","",OHW!$B795&amp;"")</f>
        <v/>
      </c>
      <c r="J1842">
        <f>IF(OHW!$G795="","",OHW!$E795)</f>
        <v/>
      </c>
      <c r="K1842">
        <f>IF(OHW!$G795="","",COUNTIFS(OHW!$A$5:$A$1668,OHW!$A795,OHW!$C$5:$C$1668,OHW!$C795))</f>
        <v/>
      </c>
      <c r="L1842">
        <f>IF(OHW!$G795="","",OHW!$D795&amp;"")</f>
        <v/>
      </c>
      <c r="M1842">
        <f>IF(OHW!$G795="","",OHW!$F795)</f>
        <v/>
      </c>
      <c r="N1842">
        <f>IF(OHW!$G795="","",OHW!$G795)</f>
        <v/>
      </c>
      <c r="O1842">
        <f>IF(OHW!$G795="","",OHW!$I795)</f>
        <v/>
      </c>
      <c r="P1842">
        <f>IF(OHW!$G795="","","Final")</f>
        <v/>
      </c>
    </row>
    <row r="1843">
      <c r="A1843">
        <f>IF(OHW!$G796="","","OHW")</f>
        <v/>
      </c>
      <c r="B1843">
        <f>IF(OHW!$G796="","","OHW")</f>
        <v/>
      </c>
      <c r="C1843" s="18">
        <f>IF(OHW!$G796="","",OHW!$A796)</f>
        <v/>
      </c>
      <c r="F1843">
        <f>IF(OHW!$G796="","",OHW!$B796&amp;"")</f>
        <v/>
      </c>
      <c r="J1843">
        <f>IF(OHW!$G796="","",OHW!$E796)</f>
        <v/>
      </c>
      <c r="K1843">
        <f>IF(OHW!$G796="","",COUNTIFS(OHW!$A$5:$A$1668,OHW!$A796,OHW!$C$5:$C$1668,OHW!$C796))</f>
        <v/>
      </c>
      <c r="L1843">
        <f>IF(OHW!$G796="","",OHW!$D796&amp;"")</f>
        <v/>
      </c>
      <c r="M1843">
        <f>IF(OHW!$G796="","",OHW!$F796)</f>
        <v/>
      </c>
      <c r="N1843">
        <f>IF(OHW!$G796="","",OHW!$G796)</f>
        <v/>
      </c>
      <c r="O1843">
        <f>IF(OHW!$G796="","",OHW!$I796)</f>
        <v/>
      </c>
      <c r="P1843">
        <f>IF(OHW!$G796="","","Final")</f>
        <v/>
      </c>
    </row>
    <row r="1844">
      <c r="A1844">
        <f>IF(OHW!$G797="","","OHW")</f>
        <v/>
      </c>
      <c r="B1844">
        <f>IF(OHW!$G797="","","OHW")</f>
        <v/>
      </c>
      <c r="C1844" s="18">
        <f>IF(OHW!$G797="","",OHW!$A797)</f>
        <v/>
      </c>
      <c r="F1844">
        <f>IF(OHW!$G797="","",OHW!$B797&amp;"")</f>
        <v/>
      </c>
      <c r="J1844">
        <f>IF(OHW!$G797="","",OHW!$E797)</f>
        <v/>
      </c>
      <c r="K1844">
        <f>IF(OHW!$G797="","",COUNTIFS(OHW!$A$5:$A$1668,OHW!$A797,OHW!$C$5:$C$1668,OHW!$C797))</f>
        <v/>
      </c>
      <c r="L1844">
        <f>IF(OHW!$G797="","",OHW!$D797&amp;"")</f>
        <v/>
      </c>
      <c r="M1844">
        <f>IF(OHW!$G797="","",OHW!$F797)</f>
        <v/>
      </c>
      <c r="N1844">
        <f>IF(OHW!$G797="","",OHW!$G797)</f>
        <v/>
      </c>
      <c r="O1844">
        <f>IF(OHW!$G797="","",OHW!$I797)</f>
        <v/>
      </c>
      <c r="P1844">
        <f>IF(OHW!$G797="","","Final")</f>
        <v/>
      </c>
    </row>
    <row r="1845">
      <c r="A1845">
        <f>IF(OHW!$G798="","","OHW")</f>
        <v/>
      </c>
      <c r="B1845">
        <f>IF(OHW!$G798="","","OHW")</f>
        <v/>
      </c>
      <c r="C1845" s="18">
        <f>IF(OHW!$G798="","",OHW!$A798)</f>
        <v/>
      </c>
      <c r="F1845">
        <f>IF(OHW!$G798="","",OHW!$B798&amp;"")</f>
        <v/>
      </c>
      <c r="J1845">
        <f>IF(OHW!$G798="","",OHW!$E798)</f>
        <v/>
      </c>
      <c r="K1845">
        <f>IF(OHW!$G798="","",COUNTIFS(OHW!$A$5:$A$1668,OHW!$A798,OHW!$C$5:$C$1668,OHW!$C798))</f>
        <v/>
      </c>
      <c r="L1845">
        <f>IF(OHW!$G798="","",OHW!$D798&amp;"")</f>
        <v/>
      </c>
      <c r="M1845">
        <f>IF(OHW!$G798="","",OHW!$F798)</f>
        <v/>
      </c>
      <c r="N1845">
        <f>IF(OHW!$G798="","",OHW!$G798)</f>
        <v/>
      </c>
      <c r="O1845">
        <f>IF(OHW!$G798="","",OHW!$I798)</f>
        <v/>
      </c>
      <c r="P1845">
        <f>IF(OHW!$G798="","","Final")</f>
        <v/>
      </c>
    </row>
    <row r="1846">
      <c r="A1846">
        <f>IF(OHW!$G799="","","OHW")</f>
        <v/>
      </c>
      <c r="B1846">
        <f>IF(OHW!$G799="","","OHW")</f>
        <v/>
      </c>
      <c r="C1846" s="18">
        <f>IF(OHW!$G799="","",OHW!$A799)</f>
        <v/>
      </c>
      <c r="F1846">
        <f>IF(OHW!$G799="","",OHW!$B799&amp;"")</f>
        <v/>
      </c>
      <c r="J1846">
        <f>IF(OHW!$G799="","",OHW!$E799)</f>
        <v/>
      </c>
      <c r="K1846">
        <f>IF(OHW!$G799="","",COUNTIFS(OHW!$A$5:$A$1668,OHW!$A799,OHW!$C$5:$C$1668,OHW!$C799))</f>
        <v/>
      </c>
      <c r="L1846">
        <f>IF(OHW!$G799="","",OHW!$D799&amp;"")</f>
        <v/>
      </c>
      <c r="M1846">
        <f>IF(OHW!$G799="","",OHW!$F799)</f>
        <v/>
      </c>
      <c r="N1846">
        <f>IF(OHW!$G799="","",OHW!$G799)</f>
        <v/>
      </c>
      <c r="O1846">
        <f>IF(OHW!$G799="","",OHW!$I799)</f>
        <v/>
      </c>
      <c r="P1846">
        <f>IF(OHW!$G799="","","Final")</f>
        <v/>
      </c>
    </row>
    <row r="1847">
      <c r="A1847">
        <f>IF(OHW!$G800="","","OHW")</f>
        <v/>
      </c>
      <c r="B1847">
        <f>IF(OHW!$G800="","","OHW")</f>
        <v/>
      </c>
      <c r="C1847" s="18">
        <f>IF(OHW!$G800="","",OHW!$A800)</f>
        <v/>
      </c>
      <c r="F1847">
        <f>IF(OHW!$G800="","",OHW!$B800&amp;"")</f>
        <v/>
      </c>
      <c r="J1847">
        <f>IF(OHW!$G800="","",OHW!$E800)</f>
        <v/>
      </c>
      <c r="K1847">
        <f>IF(OHW!$G800="","",COUNTIFS(OHW!$A$5:$A$1668,OHW!$A800,OHW!$C$5:$C$1668,OHW!$C800))</f>
        <v/>
      </c>
      <c r="L1847">
        <f>IF(OHW!$G800="","",OHW!$D800&amp;"")</f>
        <v/>
      </c>
      <c r="M1847">
        <f>IF(OHW!$G800="","",OHW!$F800)</f>
        <v/>
      </c>
      <c r="N1847">
        <f>IF(OHW!$G800="","",OHW!$G800)</f>
        <v/>
      </c>
      <c r="O1847">
        <f>IF(OHW!$G800="","",OHW!$I800)</f>
        <v/>
      </c>
      <c r="P1847">
        <f>IF(OHW!$G800="","","Final")</f>
        <v/>
      </c>
    </row>
    <row r="1848">
      <c r="A1848">
        <f>IF(OHW!$G801="","","OHW")</f>
        <v/>
      </c>
      <c r="B1848">
        <f>IF(OHW!$G801="","","OHW")</f>
        <v/>
      </c>
      <c r="C1848" s="18">
        <f>IF(OHW!$G801="","",OHW!$A801)</f>
        <v/>
      </c>
      <c r="F1848">
        <f>IF(OHW!$G801="","",OHW!$B801&amp;"")</f>
        <v/>
      </c>
      <c r="J1848">
        <f>IF(OHW!$G801="","",OHW!$E801)</f>
        <v/>
      </c>
      <c r="K1848">
        <f>IF(OHW!$G801="","",COUNTIFS(OHW!$A$5:$A$1668,OHW!$A801,OHW!$C$5:$C$1668,OHW!$C801))</f>
        <v/>
      </c>
      <c r="L1848">
        <f>IF(OHW!$G801="","",OHW!$D801&amp;"")</f>
        <v/>
      </c>
      <c r="M1848">
        <f>IF(OHW!$G801="","",OHW!$F801)</f>
        <v/>
      </c>
      <c r="N1848">
        <f>IF(OHW!$G801="","",OHW!$G801)</f>
        <v/>
      </c>
      <c r="O1848">
        <f>IF(OHW!$G801="","",OHW!$I801)</f>
        <v/>
      </c>
      <c r="P1848">
        <f>IF(OHW!$G801="","","Final")</f>
        <v/>
      </c>
    </row>
    <row r="1849">
      <c r="A1849">
        <f>IF(OHW!$G802="","","OHW")</f>
        <v/>
      </c>
      <c r="B1849">
        <f>IF(OHW!$G802="","","OHW")</f>
        <v/>
      </c>
      <c r="C1849" s="18">
        <f>IF(OHW!$G802="","",OHW!$A802)</f>
        <v/>
      </c>
      <c r="F1849">
        <f>IF(OHW!$G802="","",OHW!$B802&amp;"")</f>
        <v/>
      </c>
      <c r="J1849">
        <f>IF(OHW!$G802="","",OHW!$E802)</f>
        <v/>
      </c>
      <c r="K1849">
        <f>IF(OHW!$G802="","",COUNTIFS(OHW!$A$5:$A$1668,OHW!$A802,OHW!$C$5:$C$1668,OHW!$C802))</f>
        <v/>
      </c>
      <c r="L1849">
        <f>IF(OHW!$G802="","",OHW!$D802&amp;"")</f>
        <v/>
      </c>
      <c r="M1849">
        <f>IF(OHW!$G802="","",OHW!$F802)</f>
        <v/>
      </c>
      <c r="N1849">
        <f>IF(OHW!$G802="","",OHW!$G802)</f>
        <v/>
      </c>
      <c r="O1849">
        <f>IF(OHW!$G802="","",OHW!$I802)</f>
        <v/>
      </c>
      <c r="P1849">
        <f>IF(OHW!$G802="","","Final")</f>
        <v/>
      </c>
    </row>
    <row r="1850">
      <c r="A1850">
        <f>IF(OHW!$G803="","","OHW")</f>
        <v/>
      </c>
      <c r="B1850">
        <f>IF(OHW!$G803="","","OHW")</f>
        <v/>
      </c>
      <c r="C1850" s="18">
        <f>IF(OHW!$G803="","",OHW!$A803)</f>
        <v/>
      </c>
      <c r="F1850">
        <f>IF(OHW!$G803="","",OHW!$B803&amp;"")</f>
        <v/>
      </c>
      <c r="J1850">
        <f>IF(OHW!$G803="","",OHW!$E803)</f>
        <v/>
      </c>
      <c r="K1850">
        <f>IF(OHW!$G803="","",COUNTIFS(OHW!$A$5:$A$1668,OHW!$A803,OHW!$C$5:$C$1668,OHW!$C803))</f>
        <v/>
      </c>
      <c r="L1850">
        <f>IF(OHW!$G803="","",OHW!$D803&amp;"")</f>
        <v/>
      </c>
      <c r="M1850">
        <f>IF(OHW!$G803="","",OHW!$F803)</f>
        <v/>
      </c>
      <c r="N1850">
        <f>IF(OHW!$G803="","",OHW!$G803)</f>
        <v/>
      </c>
      <c r="O1850">
        <f>IF(OHW!$G803="","",OHW!$I803)</f>
        <v/>
      </c>
      <c r="P1850">
        <f>IF(OHW!$G803="","","Final")</f>
        <v/>
      </c>
    </row>
    <row r="1851">
      <c r="A1851">
        <f>IF(OHW!$G804="","","OHW")</f>
        <v/>
      </c>
      <c r="B1851">
        <f>IF(OHW!$G804="","","OHW")</f>
        <v/>
      </c>
      <c r="C1851" s="18">
        <f>IF(OHW!$G804="","",OHW!$A804)</f>
        <v/>
      </c>
      <c r="F1851">
        <f>IF(OHW!$G804="","",OHW!$B804&amp;"")</f>
        <v/>
      </c>
      <c r="J1851">
        <f>IF(OHW!$G804="","",OHW!$E804)</f>
        <v/>
      </c>
      <c r="K1851">
        <f>IF(OHW!$G804="","",COUNTIFS(OHW!$A$5:$A$1668,OHW!$A804,OHW!$C$5:$C$1668,OHW!$C804))</f>
        <v/>
      </c>
      <c r="L1851">
        <f>IF(OHW!$G804="","",OHW!$D804&amp;"")</f>
        <v/>
      </c>
      <c r="M1851">
        <f>IF(OHW!$G804="","",OHW!$F804)</f>
        <v/>
      </c>
      <c r="N1851">
        <f>IF(OHW!$G804="","",OHW!$G804)</f>
        <v/>
      </c>
      <c r="O1851">
        <f>IF(OHW!$G804="","",OHW!$I804)</f>
        <v/>
      </c>
      <c r="P1851">
        <f>IF(OHW!$G804="","","Final")</f>
        <v/>
      </c>
    </row>
    <row r="1852">
      <c r="A1852">
        <f>IF(OHW!$G805="","","OHW")</f>
        <v/>
      </c>
      <c r="B1852">
        <f>IF(OHW!$G805="","","OHW")</f>
        <v/>
      </c>
      <c r="C1852" s="18">
        <f>IF(OHW!$G805="","",OHW!$A805)</f>
        <v/>
      </c>
      <c r="F1852">
        <f>IF(OHW!$G805="","",OHW!$B805&amp;"")</f>
        <v/>
      </c>
      <c r="J1852">
        <f>IF(OHW!$G805="","",OHW!$E805)</f>
        <v/>
      </c>
      <c r="K1852">
        <f>IF(OHW!$G805="","",COUNTIFS(OHW!$A$5:$A$1668,OHW!$A805,OHW!$C$5:$C$1668,OHW!$C805))</f>
        <v/>
      </c>
      <c r="L1852">
        <f>IF(OHW!$G805="","",OHW!$D805&amp;"")</f>
        <v/>
      </c>
      <c r="M1852">
        <f>IF(OHW!$G805="","",OHW!$F805)</f>
        <v/>
      </c>
      <c r="N1852">
        <f>IF(OHW!$G805="","",OHW!$G805)</f>
        <v/>
      </c>
      <c r="O1852">
        <f>IF(OHW!$G805="","",OHW!$I805)</f>
        <v/>
      </c>
      <c r="P1852">
        <f>IF(OHW!$G805="","","Final")</f>
        <v/>
      </c>
    </row>
    <row r="1853">
      <c r="A1853">
        <f>IF(OHW!$G806="","","OHW")</f>
        <v/>
      </c>
      <c r="B1853">
        <f>IF(OHW!$G806="","","OHW")</f>
        <v/>
      </c>
      <c r="C1853" s="18">
        <f>IF(OHW!$G806="","",OHW!$A806)</f>
        <v/>
      </c>
      <c r="F1853">
        <f>IF(OHW!$G806="","",OHW!$B806&amp;"")</f>
        <v/>
      </c>
      <c r="J1853">
        <f>IF(OHW!$G806="","",OHW!$E806)</f>
        <v/>
      </c>
      <c r="K1853">
        <f>IF(OHW!$G806="","",COUNTIFS(OHW!$A$5:$A$1668,OHW!$A806,OHW!$C$5:$C$1668,OHW!$C806))</f>
        <v/>
      </c>
      <c r="L1853">
        <f>IF(OHW!$G806="","",OHW!$D806&amp;"")</f>
        <v/>
      </c>
      <c r="M1853">
        <f>IF(OHW!$G806="","",OHW!$F806)</f>
        <v/>
      </c>
      <c r="N1853">
        <f>IF(OHW!$G806="","",OHW!$G806)</f>
        <v/>
      </c>
      <c r="O1853">
        <f>IF(OHW!$G806="","",OHW!$I806)</f>
        <v/>
      </c>
      <c r="P1853">
        <f>IF(OHW!$G806="","","Final")</f>
        <v/>
      </c>
    </row>
    <row r="1854">
      <c r="A1854">
        <f>IF(OHW!$G807="","","OHW")</f>
        <v/>
      </c>
      <c r="B1854">
        <f>IF(OHW!$G807="","","OHW")</f>
        <v/>
      </c>
      <c r="C1854" s="18">
        <f>IF(OHW!$G807="","",OHW!$A807)</f>
        <v/>
      </c>
      <c r="F1854">
        <f>IF(OHW!$G807="","",OHW!$B807&amp;"")</f>
        <v/>
      </c>
      <c r="J1854">
        <f>IF(OHW!$G807="","",OHW!$E807)</f>
        <v/>
      </c>
      <c r="K1854">
        <f>IF(OHW!$G807="","",COUNTIFS(OHW!$A$5:$A$1668,OHW!$A807,OHW!$C$5:$C$1668,OHW!$C807))</f>
        <v/>
      </c>
      <c r="L1854">
        <f>IF(OHW!$G807="","",OHW!$D807&amp;"")</f>
        <v/>
      </c>
      <c r="M1854">
        <f>IF(OHW!$G807="","",OHW!$F807)</f>
        <v/>
      </c>
      <c r="N1854">
        <f>IF(OHW!$G807="","",OHW!$G807)</f>
        <v/>
      </c>
      <c r="O1854">
        <f>IF(OHW!$G807="","",OHW!$I807)</f>
        <v/>
      </c>
      <c r="P1854">
        <f>IF(OHW!$G807="","","Final")</f>
        <v/>
      </c>
    </row>
    <row r="1855">
      <c r="A1855">
        <f>IF(OHW!$G808="","","OHW")</f>
        <v/>
      </c>
      <c r="B1855">
        <f>IF(OHW!$G808="","","OHW")</f>
        <v/>
      </c>
      <c r="C1855" s="18">
        <f>IF(OHW!$G808="","",OHW!$A808)</f>
        <v/>
      </c>
      <c r="F1855">
        <f>IF(OHW!$G808="","",OHW!$B808&amp;"")</f>
        <v/>
      </c>
      <c r="J1855">
        <f>IF(OHW!$G808="","",OHW!$E808)</f>
        <v/>
      </c>
      <c r="K1855">
        <f>IF(OHW!$G808="","",COUNTIFS(OHW!$A$5:$A$1668,OHW!$A808,OHW!$C$5:$C$1668,OHW!$C808))</f>
        <v/>
      </c>
      <c r="L1855">
        <f>IF(OHW!$G808="","",OHW!$D808&amp;"")</f>
        <v/>
      </c>
      <c r="M1855">
        <f>IF(OHW!$G808="","",OHW!$F808)</f>
        <v/>
      </c>
      <c r="N1855">
        <f>IF(OHW!$G808="","",OHW!$G808)</f>
        <v/>
      </c>
      <c r="O1855">
        <f>IF(OHW!$G808="","",OHW!$I808)</f>
        <v/>
      </c>
      <c r="P1855">
        <f>IF(OHW!$G808="","","Final")</f>
        <v/>
      </c>
    </row>
    <row r="1856">
      <c r="A1856">
        <f>IF(OHW!$G809="","","OHW")</f>
        <v/>
      </c>
      <c r="B1856">
        <f>IF(OHW!$G809="","","OHW")</f>
        <v/>
      </c>
      <c r="C1856" s="18">
        <f>IF(OHW!$G809="","",OHW!$A809)</f>
        <v/>
      </c>
      <c r="F1856">
        <f>IF(OHW!$G809="","",OHW!$B809&amp;"")</f>
        <v/>
      </c>
      <c r="J1856">
        <f>IF(OHW!$G809="","",OHW!$E809)</f>
        <v/>
      </c>
      <c r="K1856">
        <f>IF(OHW!$G809="","",COUNTIFS(OHW!$A$5:$A$1668,OHW!$A809,OHW!$C$5:$C$1668,OHW!$C809))</f>
        <v/>
      </c>
      <c r="L1856">
        <f>IF(OHW!$G809="","",OHW!$D809&amp;"")</f>
        <v/>
      </c>
      <c r="M1856">
        <f>IF(OHW!$G809="","",OHW!$F809)</f>
        <v/>
      </c>
      <c r="N1856">
        <f>IF(OHW!$G809="","",OHW!$G809)</f>
        <v/>
      </c>
      <c r="O1856">
        <f>IF(OHW!$G809="","",OHW!$I809)</f>
        <v/>
      </c>
      <c r="P1856">
        <f>IF(OHW!$G809="","","Final")</f>
        <v/>
      </c>
    </row>
    <row r="1857">
      <c r="A1857">
        <f>IF(OHW!$G810="","","OHW")</f>
        <v/>
      </c>
      <c r="B1857">
        <f>IF(OHW!$G810="","","OHW")</f>
        <v/>
      </c>
      <c r="C1857" s="18">
        <f>IF(OHW!$G810="","",OHW!$A810)</f>
        <v/>
      </c>
      <c r="F1857">
        <f>IF(OHW!$G810="","",OHW!$B810&amp;"")</f>
        <v/>
      </c>
      <c r="J1857">
        <f>IF(OHW!$G810="","",OHW!$E810)</f>
        <v/>
      </c>
      <c r="K1857">
        <f>IF(OHW!$G810="","",COUNTIFS(OHW!$A$5:$A$1668,OHW!$A810,OHW!$C$5:$C$1668,OHW!$C810))</f>
        <v/>
      </c>
      <c r="L1857">
        <f>IF(OHW!$G810="","",OHW!$D810&amp;"")</f>
        <v/>
      </c>
      <c r="M1857">
        <f>IF(OHW!$G810="","",OHW!$F810)</f>
        <v/>
      </c>
      <c r="N1857">
        <f>IF(OHW!$G810="","",OHW!$G810)</f>
        <v/>
      </c>
      <c r="O1857">
        <f>IF(OHW!$G810="","",OHW!$I810)</f>
        <v/>
      </c>
      <c r="P1857">
        <f>IF(OHW!$G810="","","Final")</f>
        <v/>
      </c>
    </row>
    <row r="1858">
      <c r="A1858">
        <f>IF(OHW!$G811="","","OHW")</f>
        <v/>
      </c>
      <c r="B1858">
        <f>IF(OHW!$G811="","","OHW")</f>
        <v/>
      </c>
      <c r="C1858" s="18">
        <f>IF(OHW!$G811="","",OHW!$A811)</f>
        <v/>
      </c>
      <c r="F1858">
        <f>IF(OHW!$G811="","",OHW!$B811&amp;"")</f>
        <v/>
      </c>
      <c r="J1858">
        <f>IF(OHW!$G811="","",OHW!$E811)</f>
        <v/>
      </c>
      <c r="K1858">
        <f>IF(OHW!$G811="","",COUNTIFS(OHW!$A$5:$A$1668,OHW!$A811,OHW!$C$5:$C$1668,OHW!$C811))</f>
        <v/>
      </c>
      <c r="L1858">
        <f>IF(OHW!$G811="","",OHW!$D811&amp;"")</f>
        <v/>
      </c>
      <c r="M1858">
        <f>IF(OHW!$G811="","",OHW!$F811)</f>
        <v/>
      </c>
      <c r="N1858">
        <f>IF(OHW!$G811="","",OHW!$G811)</f>
        <v/>
      </c>
      <c r="O1858">
        <f>IF(OHW!$G811="","",OHW!$I811)</f>
        <v/>
      </c>
      <c r="P1858">
        <f>IF(OHW!$G811="","","Final")</f>
        <v/>
      </c>
    </row>
    <row r="1859">
      <c r="A1859">
        <f>IF(OHW!$G812="","","OHW")</f>
        <v/>
      </c>
      <c r="B1859">
        <f>IF(OHW!$G812="","","OHW")</f>
        <v/>
      </c>
      <c r="C1859" s="18">
        <f>IF(OHW!$G812="","",OHW!$A812)</f>
        <v/>
      </c>
      <c r="F1859">
        <f>IF(OHW!$G812="","",OHW!$B812&amp;"")</f>
        <v/>
      </c>
      <c r="J1859">
        <f>IF(OHW!$G812="","",OHW!$E812)</f>
        <v/>
      </c>
      <c r="K1859">
        <f>IF(OHW!$G812="","",COUNTIFS(OHW!$A$5:$A$1668,OHW!$A812,OHW!$C$5:$C$1668,OHW!$C812))</f>
        <v/>
      </c>
      <c r="L1859">
        <f>IF(OHW!$G812="","",OHW!$D812&amp;"")</f>
        <v/>
      </c>
      <c r="M1859">
        <f>IF(OHW!$G812="","",OHW!$F812)</f>
        <v/>
      </c>
      <c r="N1859">
        <f>IF(OHW!$G812="","",OHW!$G812)</f>
        <v/>
      </c>
      <c r="O1859">
        <f>IF(OHW!$G812="","",OHW!$I812)</f>
        <v/>
      </c>
      <c r="P1859">
        <f>IF(OHW!$G812="","","Final")</f>
        <v/>
      </c>
    </row>
    <row r="1860">
      <c r="A1860">
        <f>IF(OHW!$G813="","","OHW")</f>
        <v/>
      </c>
      <c r="B1860">
        <f>IF(OHW!$G813="","","OHW")</f>
        <v/>
      </c>
      <c r="C1860" s="18">
        <f>IF(OHW!$G813="","",OHW!$A813)</f>
        <v/>
      </c>
      <c r="F1860">
        <f>IF(OHW!$G813="","",OHW!$B813&amp;"")</f>
        <v/>
      </c>
      <c r="J1860">
        <f>IF(OHW!$G813="","",OHW!$E813)</f>
        <v/>
      </c>
      <c r="K1860">
        <f>IF(OHW!$G813="","",COUNTIFS(OHW!$A$5:$A$1668,OHW!$A813,OHW!$C$5:$C$1668,OHW!$C813))</f>
        <v/>
      </c>
      <c r="L1860">
        <f>IF(OHW!$G813="","",OHW!$D813&amp;"")</f>
        <v/>
      </c>
      <c r="M1860">
        <f>IF(OHW!$G813="","",OHW!$F813)</f>
        <v/>
      </c>
      <c r="N1860">
        <f>IF(OHW!$G813="","",OHW!$G813)</f>
        <v/>
      </c>
      <c r="O1860">
        <f>IF(OHW!$G813="","",OHW!$I813)</f>
        <v/>
      </c>
      <c r="P1860">
        <f>IF(OHW!$G813="","","Final")</f>
        <v/>
      </c>
    </row>
    <row r="1861">
      <c r="A1861">
        <f>IF(OHW!$G814="","","OHW")</f>
        <v/>
      </c>
      <c r="B1861">
        <f>IF(OHW!$G814="","","OHW")</f>
        <v/>
      </c>
      <c r="C1861" s="18">
        <f>IF(OHW!$G814="","",OHW!$A814)</f>
        <v/>
      </c>
      <c r="F1861">
        <f>IF(OHW!$G814="","",OHW!$B814&amp;"")</f>
        <v/>
      </c>
      <c r="J1861">
        <f>IF(OHW!$G814="","",OHW!$E814)</f>
        <v/>
      </c>
      <c r="K1861">
        <f>IF(OHW!$G814="","",COUNTIFS(OHW!$A$5:$A$1668,OHW!$A814,OHW!$C$5:$C$1668,OHW!$C814))</f>
        <v/>
      </c>
      <c r="L1861">
        <f>IF(OHW!$G814="","",OHW!$D814&amp;"")</f>
        <v/>
      </c>
      <c r="M1861">
        <f>IF(OHW!$G814="","",OHW!$F814)</f>
        <v/>
      </c>
      <c r="N1861">
        <f>IF(OHW!$G814="","",OHW!$G814)</f>
        <v/>
      </c>
      <c r="O1861">
        <f>IF(OHW!$G814="","",OHW!$I814)</f>
        <v/>
      </c>
      <c r="P1861">
        <f>IF(OHW!$G814="","","Final")</f>
        <v/>
      </c>
    </row>
    <row r="1862">
      <c r="A1862">
        <f>IF(OHW!$G815="","","OHW")</f>
        <v/>
      </c>
      <c r="B1862">
        <f>IF(OHW!$G815="","","OHW")</f>
        <v/>
      </c>
      <c r="C1862" s="18">
        <f>IF(OHW!$G815="","",OHW!$A815)</f>
        <v/>
      </c>
      <c r="F1862">
        <f>IF(OHW!$G815="","",OHW!$B815&amp;"")</f>
        <v/>
      </c>
      <c r="J1862">
        <f>IF(OHW!$G815="","",OHW!$E815)</f>
        <v/>
      </c>
      <c r="K1862">
        <f>IF(OHW!$G815="","",COUNTIFS(OHW!$A$5:$A$1668,OHW!$A815,OHW!$C$5:$C$1668,OHW!$C815))</f>
        <v/>
      </c>
      <c r="L1862">
        <f>IF(OHW!$G815="","",OHW!$D815&amp;"")</f>
        <v/>
      </c>
      <c r="M1862">
        <f>IF(OHW!$G815="","",OHW!$F815)</f>
        <v/>
      </c>
      <c r="N1862">
        <f>IF(OHW!$G815="","",OHW!$G815)</f>
        <v/>
      </c>
      <c r="O1862">
        <f>IF(OHW!$G815="","",OHW!$I815)</f>
        <v/>
      </c>
      <c r="P1862">
        <f>IF(OHW!$G815="","","Final")</f>
        <v/>
      </c>
    </row>
    <row r="1863">
      <c r="A1863">
        <f>IF(OHW!$G816="","","OHW")</f>
        <v/>
      </c>
      <c r="B1863">
        <f>IF(OHW!$G816="","","OHW")</f>
        <v/>
      </c>
      <c r="C1863" s="18">
        <f>IF(OHW!$G816="","",OHW!$A816)</f>
        <v/>
      </c>
      <c r="F1863">
        <f>IF(OHW!$G816="","",OHW!$B816&amp;"")</f>
        <v/>
      </c>
      <c r="J1863">
        <f>IF(OHW!$G816="","",OHW!$E816)</f>
        <v/>
      </c>
      <c r="K1863">
        <f>IF(OHW!$G816="","",COUNTIFS(OHW!$A$5:$A$1668,OHW!$A816,OHW!$C$5:$C$1668,OHW!$C816))</f>
        <v/>
      </c>
      <c r="L1863">
        <f>IF(OHW!$G816="","",OHW!$D816&amp;"")</f>
        <v/>
      </c>
      <c r="M1863">
        <f>IF(OHW!$G816="","",OHW!$F816)</f>
        <v/>
      </c>
      <c r="N1863">
        <f>IF(OHW!$G816="","",OHW!$G816)</f>
        <v/>
      </c>
      <c r="O1863">
        <f>IF(OHW!$G816="","",OHW!$I816)</f>
        <v/>
      </c>
      <c r="P1863">
        <f>IF(OHW!$G816="","","Final")</f>
        <v/>
      </c>
    </row>
    <row r="1864">
      <c r="A1864">
        <f>IF(OHW!$G817="","","OHW")</f>
        <v/>
      </c>
      <c r="B1864">
        <f>IF(OHW!$G817="","","OHW")</f>
        <v/>
      </c>
      <c r="C1864" s="18">
        <f>IF(OHW!$G817="","",OHW!$A817)</f>
        <v/>
      </c>
      <c r="F1864">
        <f>IF(OHW!$G817="","",OHW!$B817&amp;"")</f>
        <v/>
      </c>
      <c r="J1864">
        <f>IF(OHW!$G817="","",OHW!$E817)</f>
        <v/>
      </c>
      <c r="K1864">
        <f>IF(OHW!$G817="","",COUNTIFS(OHW!$A$5:$A$1668,OHW!$A817,OHW!$C$5:$C$1668,OHW!$C817))</f>
        <v/>
      </c>
      <c r="L1864">
        <f>IF(OHW!$G817="","",OHW!$D817&amp;"")</f>
        <v/>
      </c>
      <c r="M1864">
        <f>IF(OHW!$G817="","",OHW!$F817)</f>
        <v/>
      </c>
      <c r="N1864">
        <f>IF(OHW!$G817="","",OHW!$G817)</f>
        <v/>
      </c>
      <c r="O1864">
        <f>IF(OHW!$G817="","",OHW!$I817)</f>
        <v/>
      </c>
      <c r="P1864">
        <f>IF(OHW!$G817="","","Final")</f>
        <v/>
      </c>
    </row>
    <row r="1865">
      <c r="A1865">
        <f>IF(OHW!$G818="","","OHW")</f>
        <v/>
      </c>
      <c r="B1865">
        <f>IF(OHW!$G818="","","OHW")</f>
        <v/>
      </c>
      <c r="C1865" s="18">
        <f>IF(OHW!$G818="","",OHW!$A818)</f>
        <v/>
      </c>
      <c r="F1865">
        <f>IF(OHW!$G818="","",OHW!$B818&amp;"")</f>
        <v/>
      </c>
      <c r="J1865">
        <f>IF(OHW!$G818="","",OHW!$E818)</f>
        <v/>
      </c>
      <c r="K1865">
        <f>IF(OHW!$G818="","",COUNTIFS(OHW!$A$5:$A$1668,OHW!$A818,OHW!$C$5:$C$1668,OHW!$C818))</f>
        <v/>
      </c>
      <c r="L1865">
        <f>IF(OHW!$G818="","",OHW!$D818&amp;"")</f>
        <v/>
      </c>
      <c r="M1865">
        <f>IF(OHW!$G818="","",OHW!$F818)</f>
        <v/>
      </c>
      <c r="N1865">
        <f>IF(OHW!$G818="","",OHW!$G818)</f>
        <v/>
      </c>
      <c r="O1865">
        <f>IF(OHW!$G818="","",OHW!$I818)</f>
        <v/>
      </c>
      <c r="P1865">
        <f>IF(OHW!$G818="","","Final")</f>
        <v/>
      </c>
    </row>
    <row r="1866">
      <c r="A1866">
        <f>IF(OHW!$G819="","","OHW")</f>
        <v/>
      </c>
      <c r="B1866">
        <f>IF(OHW!$G819="","","OHW")</f>
        <v/>
      </c>
      <c r="C1866" s="18">
        <f>IF(OHW!$G819="","",OHW!$A819)</f>
        <v/>
      </c>
      <c r="F1866">
        <f>IF(OHW!$G819="","",OHW!$B819&amp;"")</f>
        <v/>
      </c>
      <c r="J1866">
        <f>IF(OHW!$G819="","",OHW!$E819)</f>
        <v/>
      </c>
      <c r="K1866">
        <f>IF(OHW!$G819="","",COUNTIFS(OHW!$A$5:$A$1668,OHW!$A819,OHW!$C$5:$C$1668,OHW!$C819))</f>
        <v/>
      </c>
      <c r="L1866">
        <f>IF(OHW!$G819="","",OHW!$D819&amp;"")</f>
        <v/>
      </c>
      <c r="M1866">
        <f>IF(OHW!$G819="","",OHW!$F819)</f>
        <v/>
      </c>
      <c r="N1866">
        <f>IF(OHW!$G819="","",OHW!$G819)</f>
        <v/>
      </c>
      <c r="O1866">
        <f>IF(OHW!$G819="","",OHW!$I819)</f>
        <v/>
      </c>
      <c r="P1866">
        <f>IF(OHW!$G819="","","Final")</f>
        <v/>
      </c>
    </row>
    <row r="1867">
      <c r="A1867">
        <f>IF(OHW!$G820="","","OHW")</f>
        <v/>
      </c>
      <c r="B1867">
        <f>IF(OHW!$G820="","","OHW")</f>
        <v/>
      </c>
      <c r="C1867" s="18">
        <f>IF(OHW!$G820="","",OHW!$A820)</f>
        <v/>
      </c>
      <c r="F1867">
        <f>IF(OHW!$G820="","",OHW!$B820&amp;"")</f>
        <v/>
      </c>
      <c r="J1867">
        <f>IF(OHW!$G820="","",OHW!$E820)</f>
        <v/>
      </c>
      <c r="K1867">
        <f>IF(OHW!$G820="","",COUNTIFS(OHW!$A$5:$A$1668,OHW!$A820,OHW!$C$5:$C$1668,OHW!$C820))</f>
        <v/>
      </c>
      <c r="L1867">
        <f>IF(OHW!$G820="","",OHW!$D820&amp;"")</f>
        <v/>
      </c>
      <c r="M1867">
        <f>IF(OHW!$G820="","",OHW!$F820)</f>
        <v/>
      </c>
      <c r="N1867">
        <f>IF(OHW!$G820="","",OHW!$G820)</f>
        <v/>
      </c>
      <c r="O1867">
        <f>IF(OHW!$G820="","",OHW!$I820)</f>
        <v/>
      </c>
      <c r="P1867">
        <f>IF(OHW!$G820="","","Final")</f>
        <v/>
      </c>
    </row>
    <row r="1868">
      <c r="A1868">
        <f>IF(OHW!$G821="","","OHW")</f>
        <v/>
      </c>
      <c r="B1868">
        <f>IF(OHW!$G821="","","OHW")</f>
        <v/>
      </c>
      <c r="C1868" s="18">
        <f>IF(OHW!$G821="","",OHW!$A821)</f>
        <v/>
      </c>
      <c r="F1868">
        <f>IF(OHW!$G821="","",OHW!$B821&amp;"")</f>
        <v/>
      </c>
      <c r="J1868">
        <f>IF(OHW!$G821="","",OHW!$E821)</f>
        <v/>
      </c>
      <c r="K1868">
        <f>IF(OHW!$G821="","",COUNTIFS(OHW!$A$5:$A$1668,OHW!$A821,OHW!$C$5:$C$1668,OHW!$C821))</f>
        <v/>
      </c>
      <c r="L1868">
        <f>IF(OHW!$G821="","",OHW!$D821&amp;"")</f>
        <v/>
      </c>
      <c r="M1868">
        <f>IF(OHW!$G821="","",OHW!$F821)</f>
        <v/>
      </c>
      <c r="N1868">
        <f>IF(OHW!$G821="","",OHW!$G821)</f>
        <v/>
      </c>
      <c r="O1868">
        <f>IF(OHW!$G821="","",OHW!$I821)</f>
        <v/>
      </c>
      <c r="P1868">
        <f>IF(OHW!$G821="","","Final")</f>
        <v/>
      </c>
    </row>
    <row r="1869">
      <c r="A1869">
        <f>IF(OHW!$G822="","","OHW")</f>
        <v/>
      </c>
      <c r="B1869">
        <f>IF(OHW!$G822="","","OHW")</f>
        <v/>
      </c>
      <c r="C1869" s="18">
        <f>IF(OHW!$G822="","",OHW!$A822)</f>
        <v/>
      </c>
      <c r="F1869">
        <f>IF(OHW!$G822="","",OHW!$B822&amp;"")</f>
        <v/>
      </c>
      <c r="J1869">
        <f>IF(OHW!$G822="","",OHW!$E822)</f>
        <v/>
      </c>
      <c r="K1869">
        <f>IF(OHW!$G822="","",COUNTIFS(OHW!$A$5:$A$1668,OHW!$A822,OHW!$C$5:$C$1668,OHW!$C822))</f>
        <v/>
      </c>
      <c r="L1869">
        <f>IF(OHW!$G822="","",OHW!$D822&amp;"")</f>
        <v/>
      </c>
      <c r="M1869">
        <f>IF(OHW!$G822="","",OHW!$F822)</f>
        <v/>
      </c>
      <c r="N1869">
        <f>IF(OHW!$G822="","",OHW!$G822)</f>
        <v/>
      </c>
      <c r="O1869">
        <f>IF(OHW!$G822="","",OHW!$I822)</f>
        <v/>
      </c>
      <c r="P1869">
        <f>IF(OHW!$G822="","","Final")</f>
        <v/>
      </c>
    </row>
    <row r="1870">
      <c r="A1870">
        <f>IF(OHW!$G823="","","OHW")</f>
        <v/>
      </c>
      <c r="B1870">
        <f>IF(OHW!$G823="","","OHW")</f>
        <v/>
      </c>
      <c r="C1870" s="18">
        <f>IF(OHW!$G823="","",OHW!$A823)</f>
        <v/>
      </c>
      <c r="F1870">
        <f>IF(OHW!$G823="","",OHW!$B823&amp;"")</f>
        <v/>
      </c>
      <c r="J1870">
        <f>IF(OHW!$G823="","",OHW!$E823)</f>
        <v/>
      </c>
      <c r="K1870">
        <f>IF(OHW!$G823="","",COUNTIFS(OHW!$A$5:$A$1668,OHW!$A823,OHW!$C$5:$C$1668,OHW!$C823))</f>
        <v/>
      </c>
      <c r="L1870">
        <f>IF(OHW!$G823="","",OHW!$D823&amp;"")</f>
        <v/>
      </c>
      <c r="M1870">
        <f>IF(OHW!$G823="","",OHW!$F823)</f>
        <v/>
      </c>
      <c r="N1870">
        <f>IF(OHW!$G823="","",OHW!$G823)</f>
        <v/>
      </c>
      <c r="O1870">
        <f>IF(OHW!$G823="","",OHW!$I823)</f>
        <v/>
      </c>
      <c r="P1870">
        <f>IF(OHW!$G823="","","Final")</f>
        <v/>
      </c>
    </row>
    <row r="1871">
      <c r="A1871">
        <f>IF(OHW!$G824="","","OHW")</f>
        <v/>
      </c>
      <c r="B1871">
        <f>IF(OHW!$G824="","","OHW")</f>
        <v/>
      </c>
      <c r="C1871" s="18">
        <f>IF(OHW!$G824="","",OHW!$A824)</f>
        <v/>
      </c>
      <c r="F1871">
        <f>IF(OHW!$G824="","",OHW!$B824&amp;"")</f>
        <v/>
      </c>
      <c r="J1871">
        <f>IF(OHW!$G824="","",OHW!$E824)</f>
        <v/>
      </c>
      <c r="K1871">
        <f>IF(OHW!$G824="","",COUNTIFS(OHW!$A$5:$A$1668,OHW!$A824,OHW!$C$5:$C$1668,OHW!$C824))</f>
        <v/>
      </c>
      <c r="L1871">
        <f>IF(OHW!$G824="","",OHW!$D824&amp;"")</f>
        <v/>
      </c>
      <c r="M1871">
        <f>IF(OHW!$G824="","",OHW!$F824)</f>
        <v/>
      </c>
      <c r="N1871">
        <f>IF(OHW!$G824="","",OHW!$G824)</f>
        <v/>
      </c>
      <c r="O1871">
        <f>IF(OHW!$G824="","",OHW!$I824)</f>
        <v/>
      </c>
      <c r="P1871">
        <f>IF(OHW!$G824="","","Final")</f>
        <v/>
      </c>
    </row>
    <row r="1872">
      <c r="A1872">
        <f>IF(OHW!$G825="","","OHW")</f>
        <v/>
      </c>
      <c r="B1872">
        <f>IF(OHW!$G825="","","OHW")</f>
        <v/>
      </c>
      <c r="C1872" s="18">
        <f>IF(OHW!$G825="","",OHW!$A825)</f>
        <v/>
      </c>
      <c r="F1872">
        <f>IF(OHW!$G825="","",OHW!$B825&amp;"")</f>
        <v/>
      </c>
      <c r="J1872">
        <f>IF(OHW!$G825="","",OHW!$E825)</f>
        <v/>
      </c>
      <c r="K1872">
        <f>IF(OHW!$G825="","",COUNTIFS(OHW!$A$5:$A$1668,OHW!$A825,OHW!$C$5:$C$1668,OHW!$C825))</f>
        <v/>
      </c>
      <c r="L1872">
        <f>IF(OHW!$G825="","",OHW!$D825&amp;"")</f>
        <v/>
      </c>
      <c r="M1872">
        <f>IF(OHW!$G825="","",OHW!$F825)</f>
        <v/>
      </c>
      <c r="N1872">
        <f>IF(OHW!$G825="","",OHW!$G825)</f>
        <v/>
      </c>
      <c r="O1872">
        <f>IF(OHW!$G825="","",OHW!$I825)</f>
        <v/>
      </c>
      <c r="P1872">
        <f>IF(OHW!$G825="","","Final")</f>
        <v/>
      </c>
    </row>
    <row r="1873">
      <c r="A1873">
        <f>IF(OHW!$G826="","","OHW")</f>
        <v/>
      </c>
      <c r="B1873">
        <f>IF(OHW!$G826="","","OHW")</f>
        <v/>
      </c>
      <c r="C1873" s="18">
        <f>IF(OHW!$G826="","",OHW!$A826)</f>
        <v/>
      </c>
      <c r="F1873">
        <f>IF(OHW!$G826="","",OHW!$B826&amp;"")</f>
        <v/>
      </c>
      <c r="J1873">
        <f>IF(OHW!$G826="","",OHW!$E826)</f>
        <v/>
      </c>
      <c r="K1873">
        <f>IF(OHW!$G826="","",COUNTIFS(OHW!$A$5:$A$1668,OHW!$A826,OHW!$C$5:$C$1668,OHW!$C826))</f>
        <v/>
      </c>
      <c r="L1873">
        <f>IF(OHW!$G826="","",OHW!$D826&amp;"")</f>
        <v/>
      </c>
      <c r="M1873">
        <f>IF(OHW!$G826="","",OHW!$F826)</f>
        <v/>
      </c>
      <c r="N1873">
        <f>IF(OHW!$G826="","",OHW!$G826)</f>
        <v/>
      </c>
      <c r="O1873">
        <f>IF(OHW!$G826="","",OHW!$I826)</f>
        <v/>
      </c>
      <c r="P1873">
        <f>IF(OHW!$G826="","","Final")</f>
        <v/>
      </c>
    </row>
    <row r="1874">
      <c r="A1874">
        <f>IF(OHW!$G827="","","OHW")</f>
        <v/>
      </c>
      <c r="B1874">
        <f>IF(OHW!$G827="","","OHW")</f>
        <v/>
      </c>
      <c r="C1874" s="18">
        <f>IF(OHW!$G827="","",OHW!$A827)</f>
        <v/>
      </c>
      <c r="F1874">
        <f>IF(OHW!$G827="","",OHW!$B827&amp;"")</f>
        <v/>
      </c>
      <c r="J1874">
        <f>IF(OHW!$G827="","",OHW!$E827)</f>
        <v/>
      </c>
      <c r="K1874">
        <f>IF(OHW!$G827="","",COUNTIFS(OHW!$A$5:$A$1668,OHW!$A827,OHW!$C$5:$C$1668,OHW!$C827))</f>
        <v/>
      </c>
      <c r="L1874">
        <f>IF(OHW!$G827="","",OHW!$D827&amp;"")</f>
        <v/>
      </c>
      <c r="M1874">
        <f>IF(OHW!$G827="","",OHW!$F827)</f>
        <v/>
      </c>
      <c r="N1874">
        <f>IF(OHW!$G827="","",OHW!$G827)</f>
        <v/>
      </c>
      <c r="O1874">
        <f>IF(OHW!$G827="","",OHW!$I827)</f>
        <v/>
      </c>
      <c r="P1874">
        <f>IF(OHW!$G827="","","Final")</f>
        <v/>
      </c>
    </row>
    <row r="1875">
      <c r="A1875">
        <f>IF(OHW!$G828="","","OHW")</f>
        <v/>
      </c>
      <c r="B1875">
        <f>IF(OHW!$G828="","","OHW")</f>
        <v/>
      </c>
      <c r="C1875" s="18">
        <f>IF(OHW!$G828="","",OHW!$A828)</f>
        <v/>
      </c>
      <c r="F1875">
        <f>IF(OHW!$G828="","",OHW!$B828&amp;"")</f>
        <v/>
      </c>
      <c r="J1875">
        <f>IF(OHW!$G828="","",OHW!$E828)</f>
        <v/>
      </c>
      <c r="K1875">
        <f>IF(OHW!$G828="","",COUNTIFS(OHW!$A$5:$A$1668,OHW!$A828,OHW!$C$5:$C$1668,OHW!$C828))</f>
        <v/>
      </c>
      <c r="L1875">
        <f>IF(OHW!$G828="","",OHW!$D828&amp;"")</f>
        <v/>
      </c>
      <c r="M1875">
        <f>IF(OHW!$G828="","",OHW!$F828)</f>
        <v/>
      </c>
      <c r="N1875">
        <f>IF(OHW!$G828="","",OHW!$G828)</f>
        <v/>
      </c>
      <c r="O1875">
        <f>IF(OHW!$G828="","",OHW!$I828)</f>
        <v/>
      </c>
      <c r="P1875">
        <f>IF(OHW!$G828="","","Final")</f>
        <v/>
      </c>
    </row>
    <row r="1876">
      <c r="A1876">
        <f>IF(OHW!$G829="","","OHW")</f>
        <v/>
      </c>
      <c r="B1876">
        <f>IF(OHW!$G829="","","OHW")</f>
        <v/>
      </c>
      <c r="C1876" s="18">
        <f>IF(OHW!$G829="","",OHW!$A829)</f>
        <v/>
      </c>
      <c r="F1876">
        <f>IF(OHW!$G829="","",OHW!$B829&amp;"")</f>
        <v/>
      </c>
      <c r="J1876">
        <f>IF(OHW!$G829="","",OHW!$E829)</f>
        <v/>
      </c>
      <c r="K1876">
        <f>IF(OHW!$G829="","",COUNTIFS(OHW!$A$5:$A$1668,OHW!$A829,OHW!$C$5:$C$1668,OHW!$C829))</f>
        <v/>
      </c>
      <c r="L1876">
        <f>IF(OHW!$G829="","",OHW!$D829&amp;"")</f>
        <v/>
      </c>
      <c r="M1876">
        <f>IF(OHW!$G829="","",OHW!$F829)</f>
        <v/>
      </c>
      <c r="N1876">
        <f>IF(OHW!$G829="","",OHW!$G829)</f>
        <v/>
      </c>
      <c r="O1876">
        <f>IF(OHW!$G829="","",OHW!$I829)</f>
        <v/>
      </c>
      <c r="P1876">
        <f>IF(OHW!$G829="","","Final")</f>
        <v/>
      </c>
    </row>
    <row r="1877">
      <c r="A1877">
        <f>IF(OHW!$G830="","","OHW")</f>
        <v/>
      </c>
      <c r="B1877">
        <f>IF(OHW!$G830="","","OHW")</f>
        <v/>
      </c>
      <c r="C1877" s="18">
        <f>IF(OHW!$G830="","",OHW!$A830)</f>
        <v/>
      </c>
      <c r="F1877">
        <f>IF(OHW!$G830="","",OHW!$B830&amp;"")</f>
        <v/>
      </c>
      <c r="J1877">
        <f>IF(OHW!$G830="","",OHW!$E830)</f>
        <v/>
      </c>
      <c r="K1877">
        <f>IF(OHW!$G830="","",COUNTIFS(OHW!$A$5:$A$1668,OHW!$A830,OHW!$C$5:$C$1668,OHW!$C830))</f>
        <v/>
      </c>
      <c r="L1877">
        <f>IF(OHW!$G830="","",OHW!$D830&amp;"")</f>
        <v/>
      </c>
      <c r="M1877">
        <f>IF(OHW!$G830="","",OHW!$F830)</f>
        <v/>
      </c>
      <c r="N1877">
        <f>IF(OHW!$G830="","",OHW!$G830)</f>
        <v/>
      </c>
      <c r="O1877">
        <f>IF(OHW!$G830="","",OHW!$I830)</f>
        <v/>
      </c>
      <c r="P1877">
        <f>IF(OHW!$G830="","","Final")</f>
        <v/>
      </c>
    </row>
    <row r="1878">
      <c r="A1878">
        <f>IF(OHW!$G831="","","OHW")</f>
        <v/>
      </c>
      <c r="B1878">
        <f>IF(OHW!$G831="","","OHW")</f>
        <v/>
      </c>
      <c r="C1878" s="18">
        <f>IF(OHW!$G831="","",OHW!$A831)</f>
        <v/>
      </c>
      <c r="F1878">
        <f>IF(OHW!$G831="","",OHW!$B831&amp;"")</f>
        <v/>
      </c>
      <c r="J1878">
        <f>IF(OHW!$G831="","",OHW!$E831)</f>
        <v/>
      </c>
      <c r="K1878">
        <f>IF(OHW!$G831="","",COUNTIFS(OHW!$A$5:$A$1668,OHW!$A831,OHW!$C$5:$C$1668,OHW!$C831))</f>
        <v/>
      </c>
      <c r="L1878">
        <f>IF(OHW!$G831="","",OHW!$D831&amp;"")</f>
        <v/>
      </c>
      <c r="M1878">
        <f>IF(OHW!$G831="","",OHW!$F831)</f>
        <v/>
      </c>
      <c r="N1878">
        <f>IF(OHW!$G831="","",OHW!$G831)</f>
        <v/>
      </c>
      <c r="O1878">
        <f>IF(OHW!$G831="","",OHW!$I831)</f>
        <v/>
      </c>
      <c r="P1878">
        <f>IF(OHW!$G831="","","Final")</f>
        <v/>
      </c>
    </row>
    <row r="1879">
      <c r="A1879">
        <f>IF(OHW!$G832="","","OHW")</f>
        <v/>
      </c>
      <c r="B1879">
        <f>IF(OHW!$G832="","","OHW")</f>
        <v/>
      </c>
      <c r="C1879" s="18">
        <f>IF(OHW!$G832="","",OHW!$A832)</f>
        <v/>
      </c>
      <c r="F1879">
        <f>IF(OHW!$G832="","",OHW!$B832&amp;"")</f>
        <v/>
      </c>
      <c r="J1879">
        <f>IF(OHW!$G832="","",OHW!$E832)</f>
        <v/>
      </c>
      <c r="K1879">
        <f>IF(OHW!$G832="","",COUNTIFS(OHW!$A$5:$A$1668,OHW!$A832,OHW!$C$5:$C$1668,OHW!$C832))</f>
        <v/>
      </c>
      <c r="L1879">
        <f>IF(OHW!$G832="","",OHW!$D832&amp;"")</f>
        <v/>
      </c>
      <c r="M1879">
        <f>IF(OHW!$G832="","",OHW!$F832)</f>
        <v/>
      </c>
      <c r="N1879">
        <f>IF(OHW!$G832="","",OHW!$G832)</f>
        <v/>
      </c>
      <c r="O1879">
        <f>IF(OHW!$G832="","",OHW!$I832)</f>
        <v/>
      </c>
      <c r="P1879">
        <f>IF(OHW!$G832="","","Final")</f>
        <v/>
      </c>
    </row>
    <row r="1880">
      <c r="A1880">
        <f>IF(OHW!$G833="","","OHW")</f>
        <v/>
      </c>
      <c r="B1880">
        <f>IF(OHW!$G833="","","OHW")</f>
        <v/>
      </c>
      <c r="C1880" s="18">
        <f>IF(OHW!$G833="","",OHW!$A833)</f>
        <v/>
      </c>
      <c r="F1880">
        <f>IF(OHW!$G833="","",OHW!$B833&amp;"")</f>
        <v/>
      </c>
      <c r="J1880">
        <f>IF(OHW!$G833="","",OHW!$E833)</f>
        <v/>
      </c>
      <c r="K1880">
        <f>IF(OHW!$G833="","",COUNTIFS(OHW!$A$5:$A$1668,OHW!$A833,OHW!$C$5:$C$1668,OHW!$C833))</f>
        <v/>
      </c>
      <c r="L1880">
        <f>IF(OHW!$G833="","",OHW!$D833&amp;"")</f>
        <v/>
      </c>
      <c r="M1880">
        <f>IF(OHW!$G833="","",OHW!$F833)</f>
        <v/>
      </c>
      <c r="N1880">
        <f>IF(OHW!$G833="","",OHW!$G833)</f>
        <v/>
      </c>
      <c r="O1880">
        <f>IF(OHW!$G833="","",OHW!$I833)</f>
        <v/>
      </c>
      <c r="P1880">
        <f>IF(OHW!$G833="","","Final")</f>
        <v/>
      </c>
    </row>
    <row r="1881">
      <c r="A1881">
        <f>IF(OHW!$G834="","","OHW")</f>
        <v/>
      </c>
      <c r="B1881">
        <f>IF(OHW!$G834="","","OHW")</f>
        <v/>
      </c>
      <c r="C1881" s="18">
        <f>IF(OHW!$G834="","",OHW!$A834)</f>
        <v/>
      </c>
      <c r="F1881">
        <f>IF(OHW!$G834="","",OHW!$B834&amp;"")</f>
        <v/>
      </c>
      <c r="J1881">
        <f>IF(OHW!$G834="","",OHW!$E834)</f>
        <v/>
      </c>
      <c r="K1881">
        <f>IF(OHW!$G834="","",COUNTIFS(OHW!$A$5:$A$1668,OHW!$A834,OHW!$C$5:$C$1668,OHW!$C834))</f>
        <v/>
      </c>
      <c r="L1881">
        <f>IF(OHW!$G834="","",OHW!$D834&amp;"")</f>
        <v/>
      </c>
      <c r="M1881">
        <f>IF(OHW!$G834="","",OHW!$F834)</f>
        <v/>
      </c>
      <c r="N1881">
        <f>IF(OHW!$G834="","",OHW!$G834)</f>
        <v/>
      </c>
      <c r="O1881">
        <f>IF(OHW!$G834="","",OHW!$I834)</f>
        <v/>
      </c>
      <c r="P1881">
        <f>IF(OHW!$G834="","","Final")</f>
        <v/>
      </c>
    </row>
    <row r="1882">
      <c r="A1882">
        <f>IF(OHW!$G835="","","OHW")</f>
        <v/>
      </c>
      <c r="B1882">
        <f>IF(OHW!$G835="","","OHW")</f>
        <v/>
      </c>
      <c r="C1882" s="18">
        <f>IF(OHW!$G835="","",OHW!$A835)</f>
        <v/>
      </c>
      <c r="F1882">
        <f>IF(OHW!$G835="","",OHW!$B835&amp;"")</f>
        <v/>
      </c>
      <c r="J1882">
        <f>IF(OHW!$G835="","",OHW!$E835)</f>
        <v/>
      </c>
      <c r="K1882">
        <f>IF(OHW!$G835="","",COUNTIFS(OHW!$A$5:$A$1668,OHW!$A835,OHW!$C$5:$C$1668,OHW!$C835))</f>
        <v/>
      </c>
      <c r="L1882">
        <f>IF(OHW!$G835="","",OHW!$D835&amp;"")</f>
        <v/>
      </c>
      <c r="M1882">
        <f>IF(OHW!$G835="","",OHW!$F835)</f>
        <v/>
      </c>
      <c r="N1882">
        <f>IF(OHW!$G835="","",OHW!$G835)</f>
        <v/>
      </c>
      <c r="O1882">
        <f>IF(OHW!$G835="","",OHW!$I835)</f>
        <v/>
      </c>
      <c r="P1882">
        <f>IF(OHW!$G835="","","Final")</f>
        <v/>
      </c>
    </row>
    <row r="1883">
      <c r="A1883">
        <f>IF(OHW!$G836="","","OHW")</f>
        <v/>
      </c>
      <c r="B1883">
        <f>IF(OHW!$G836="","","OHW")</f>
        <v/>
      </c>
      <c r="C1883" s="18">
        <f>IF(OHW!$G836="","",OHW!$A836)</f>
        <v/>
      </c>
      <c r="F1883">
        <f>IF(OHW!$G836="","",OHW!$B836&amp;"")</f>
        <v/>
      </c>
      <c r="J1883">
        <f>IF(OHW!$G836="","",OHW!$E836)</f>
        <v/>
      </c>
      <c r="K1883">
        <f>IF(OHW!$G836="","",COUNTIFS(OHW!$A$5:$A$1668,OHW!$A836,OHW!$C$5:$C$1668,OHW!$C836))</f>
        <v/>
      </c>
      <c r="L1883">
        <f>IF(OHW!$G836="","",OHW!$D836&amp;"")</f>
        <v/>
      </c>
      <c r="M1883">
        <f>IF(OHW!$G836="","",OHW!$F836)</f>
        <v/>
      </c>
      <c r="N1883">
        <f>IF(OHW!$G836="","",OHW!$G836)</f>
        <v/>
      </c>
      <c r="O1883">
        <f>IF(OHW!$G836="","",OHW!$I836)</f>
        <v/>
      </c>
      <c r="P1883">
        <f>IF(OHW!$G836="","","Final")</f>
        <v/>
      </c>
    </row>
    <row r="1884">
      <c r="A1884">
        <f>IF(OHW!$G837="","","OHW")</f>
        <v/>
      </c>
      <c r="B1884">
        <f>IF(OHW!$G837="","","OHW")</f>
        <v/>
      </c>
      <c r="C1884" s="18">
        <f>IF(OHW!$G837="","",OHW!$A837)</f>
        <v/>
      </c>
      <c r="F1884">
        <f>IF(OHW!$G837="","",OHW!$B837&amp;"")</f>
        <v/>
      </c>
      <c r="J1884">
        <f>IF(OHW!$G837="","",OHW!$E837)</f>
        <v/>
      </c>
      <c r="K1884">
        <f>IF(OHW!$G837="","",COUNTIFS(OHW!$A$5:$A$1668,OHW!$A837,OHW!$C$5:$C$1668,OHW!$C837))</f>
        <v/>
      </c>
      <c r="L1884">
        <f>IF(OHW!$G837="","",OHW!$D837&amp;"")</f>
        <v/>
      </c>
      <c r="M1884">
        <f>IF(OHW!$G837="","",OHW!$F837)</f>
        <v/>
      </c>
      <c r="N1884">
        <f>IF(OHW!$G837="","",OHW!$G837)</f>
        <v/>
      </c>
      <c r="O1884">
        <f>IF(OHW!$G837="","",OHW!$I837)</f>
        <v/>
      </c>
      <c r="P1884">
        <f>IF(OHW!$G837="","","Final")</f>
        <v/>
      </c>
    </row>
    <row r="1885">
      <c r="A1885">
        <f>IF(OHW!$G838="","","OHW")</f>
        <v/>
      </c>
      <c r="B1885">
        <f>IF(OHW!$G838="","","OHW")</f>
        <v/>
      </c>
      <c r="C1885" s="18">
        <f>IF(OHW!$G838="","",OHW!$A838)</f>
        <v/>
      </c>
      <c r="F1885">
        <f>IF(OHW!$G838="","",OHW!$B838&amp;"")</f>
        <v/>
      </c>
      <c r="J1885">
        <f>IF(OHW!$G838="","",OHW!$E838)</f>
        <v/>
      </c>
      <c r="K1885">
        <f>IF(OHW!$G838="","",COUNTIFS(OHW!$A$5:$A$1668,OHW!$A838,OHW!$C$5:$C$1668,OHW!$C838))</f>
        <v/>
      </c>
      <c r="L1885">
        <f>IF(OHW!$G838="","",OHW!$D838&amp;"")</f>
        <v/>
      </c>
      <c r="M1885">
        <f>IF(OHW!$G838="","",OHW!$F838)</f>
        <v/>
      </c>
      <c r="N1885">
        <f>IF(OHW!$G838="","",OHW!$G838)</f>
        <v/>
      </c>
      <c r="O1885">
        <f>IF(OHW!$G838="","",OHW!$I838)</f>
        <v/>
      </c>
      <c r="P1885">
        <f>IF(OHW!$G838="","","Final")</f>
        <v/>
      </c>
    </row>
    <row r="1886">
      <c r="A1886">
        <f>IF(OHW!$G839="","","OHW")</f>
        <v/>
      </c>
      <c r="B1886">
        <f>IF(OHW!$G839="","","OHW")</f>
        <v/>
      </c>
      <c r="C1886" s="18">
        <f>IF(OHW!$G839="","",OHW!$A839)</f>
        <v/>
      </c>
      <c r="F1886">
        <f>IF(OHW!$G839="","",OHW!$B839&amp;"")</f>
        <v/>
      </c>
      <c r="J1886">
        <f>IF(OHW!$G839="","",OHW!$E839)</f>
        <v/>
      </c>
      <c r="K1886">
        <f>IF(OHW!$G839="","",COUNTIFS(OHW!$A$5:$A$1668,OHW!$A839,OHW!$C$5:$C$1668,OHW!$C839))</f>
        <v/>
      </c>
      <c r="L1886">
        <f>IF(OHW!$G839="","",OHW!$D839&amp;"")</f>
        <v/>
      </c>
      <c r="M1886">
        <f>IF(OHW!$G839="","",OHW!$F839)</f>
        <v/>
      </c>
      <c r="N1886">
        <f>IF(OHW!$G839="","",OHW!$G839)</f>
        <v/>
      </c>
      <c r="O1886">
        <f>IF(OHW!$G839="","",OHW!$I839)</f>
        <v/>
      </c>
      <c r="P1886">
        <f>IF(OHW!$G839="","","Final")</f>
        <v/>
      </c>
    </row>
    <row r="1887">
      <c r="A1887">
        <f>IF(OHW!$G840="","","OHW")</f>
        <v/>
      </c>
      <c r="B1887">
        <f>IF(OHW!$G840="","","OHW")</f>
        <v/>
      </c>
      <c r="C1887" s="18">
        <f>IF(OHW!$G840="","",OHW!$A840)</f>
        <v/>
      </c>
      <c r="F1887">
        <f>IF(OHW!$G840="","",OHW!$B840&amp;"")</f>
        <v/>
      </c>
      <c r="J1887">
        <f>IF(OHW!$G840="","",OHW!$E840)</f>
        <v/>
      </c>
      <c r="K1887">
        <f>IF(OHW!$G840="","",COUNTIFS(OHW!$A$5:$A$1668,OHW!$A840,OHW!$C$5:$C$1668,OHW!$C840))</f>
        <v/>
      </c>
      <c r="L1887">
        <f>IF(OHW!$G840="","",OHW!$D840&amp;"")</f>
        <v/>
      </c>
      <c r="M1887">
        <f>IF(OHW!$G840="","",OHW!$F840)</f>
        <v/>
      </c>
      <c r="N1887">
        <f>IF(OHW!$G840="","",OHW!$G840)</f>
        <v/>
      </c>
      <c r="O1887">
        <f>IF(OHW!$G840="","",OHW!$I840)</f>
        <v/>
      </c>
      <c r="P1887">
        <f>IF(OHW!$G840="","","Final")</f>
        <v/>
      </c>
    </row>
    <row r="1888">
      <c r="A1888">
        <f>IF(OHW!$G841="","","OHW")</f>
        <v/>
      </c>
      <c r="B1888">
        <f>IF(OHW!$G841="","","OHW")</f>
        <v/>
      </c>
      <c r="C1888" s="18">
        <f>IF(OHW!$G841="","",OHW!$A841)</f>
        <v/>
      </c>
      <c r="F1888">
        <f>IF(OHW!$G841="","",OHW!$B841&amp;"")</f>
        <v/>
      </c>
      <c r="J1888">
        <f>IF(OHW!$G841="","",OHW!$E841)</f>
        <v/>
      </c>
      <c r="K1888">
        <f>IF(OHW!$G841="","",COUNTIFS(OHW!$A$5:$A$1668,OHW!$A841,OHW!$C$5:$C$1668,OHW!$C841))</f>
        <v/>
      </c>
      <c r="L1888">
        <f>IF(OHW!$G841="","",OHW!$D841&amp;"")</f>
        <v/>
      </c>
      <c r="M1888">
        <f>IF(OHW!$G841="","",OHW!$F841)</f>
        <v/>
      </c>
      <c r="N1888">
        <f>IF(OHW!$G841="","",OHW!$G841)</f>
        <v/>
      </c>
      <c r="O1888">
        <f>IF(OHW!$G841="","",OHW!$I841)</f>
        <v/>
      </c>
      <c r="P1888">
        <f>IF(OHW!$G841="","","Final")</f>
        <v/>
      </c>
    </row>
    <row r="1889">
      <c r="A1889">
        <f>IF(OHW!$G842="","","OHW")</f>
        <v/>
      </c>
      <c r="B1889">
        <f>IF(OHW!$G842="","","OHW")</f>
        <v/>
      </c>
      <c r="C1889" s="18">
        <f>IF(OHW!$G842="","",OHW!$A842)</f>
        <v/>
      </c>
      <c r="F1889">
        <f>IF(OHW!$G842="","",OHW!$B842&amp;"")</f>
        <v/>
      </c>
      <c r="J1889">
        <f>IF(OHW!$G842="","",OHW!$E842)</f>
        <v/>
      </c>
      <c r="K1889">
        <f>IF(OHW!$G842="","",COUNTIFS(OHW!$A$5:$A$1668,OHW!$A842,OHW!$C$5:$C$1668,OHW!$C842))</f>
        <v/>
      </c>
      <c r="L1889">
        <f>IF(OHW!$G842="","",OHW!$D842&amp;"")</f>
        <v/>
      </c>
      <c r="M1889">
        <f>IF(OHW!$G842="","",OHW!$F842)</f>
        <v/>
      </c>
      <c r="N1889">
        <f>IF(OHW!$G842="","",OHW!$G842)</f>
        <v/>
      </c>
      <c r="O1889">
        <f>IF(OHW!$G842="","",OHW!$I842)</f>
        <v/>
      </c>
      <c r="P1889">
        <f>IF(OHW!$G842="","","Final")</f>
        <v/>
      </c>
    </row>
    <row r="1890">
      <c r="A1890">
        <f>IF(OHW!$G843="","","OHW")</f>
        <v/>
      </c>
      <c r="B1890">
        <f>IF(OHW!$G843="","","OHW")</f>
        <v/>
      </c>
      <c r="C1890" s="18">
        <f>IF(OHW!$G843="","",OHW!$A843)</f>
        <v/>
      </c>
      <c r="F1890">
        <f>IF(OHW!$G843="","",OHW!$B843&amp;"")</f>
        <v/>
      </c>
      <c r="J1890">
        <f>IF(OHW!$G843="","",OHW!$E843)</f>
        <v/>
      </c>
      <c r="K1890">
        <f>IF(OHW!$G843="","",COUNTIFS(OHW!$A$5:$A$1668,OHW!$A843,OHW!$C$5:$C$1668,OHW!$C843))</f>
        <v/>
      </c>
      <c r="L1890">
        <f>IF(OHW!$G843="","",OHW!$D843&amp;"")</f>
        <v/>
      </c>
      <c r="M1890">
        <f>IF(OHW!$G843="","",OHW!$F843)</f>
        <v/>
      </c>
      <c r="N1890">
        <f>IF(OHW!$G843="","",OHW!$G843)</f>
        <v/>
      </c>
      <c r="O1890">
        <f>IF(OHW!$G843="","",OHW!$I843)</f>
        <v/>
      </c>
      <c r="P1890">
        <f>IF(OHW!$G843="","","Final")</f>
        <v/>
      </c>
    </row>
    <row r="1891">
      <c r="A1891">
        <f>IF(OHW!$G844="","","OHW")</f>
        <v/>
      </c>
      <c r="B1891">
        <f>IF(OHW!$G844="","","OHW")</f>
        <v/>
      </c>
      <c r="C1891" s="18">
        <f>IF(OHW!$G844="","",OHW!$A844)</f>
        <v/>
      </c>
      <c r="F1891">
        <f>IF(OHW!$G844="","",OHW!$B844&amp;"")</f>
        <v/>
      </c>
      <c r="J1891">
        <f>IF(OHW!$G844="","",OHW!$E844)</f>
        <v/>
      </c>
      <c r="K1891">
        <f>IF(OHW!$G844="","",COUNTIFS(OHW!$A$5:$A$1668,OHW!$A844,OHW!$C$5:$C$1668,OHW!$C844))</f>
        <v/>
      </c>
      <c r="L1891">
        <f>IF(OHW!$G844="","",OHW!$D844&amp;"")</f>
        <v/>
      </c>
      <c r="M1891">
        <f>IF(OHW!$G844="","",OHW!$F844)</f>
        <v/>
      </c>
      <c r="N1891">
        <f>IF(OHW!$G844="","",OHW!$G844)</f>
        <v/>
      </c>
      <c r="O1891">
        <f>IF(OHW!$G844="","",OHW!$I844)</f>
        <v/>
      </c>
      <c r="P1891">
        <f>IF(OHW!$G844="","","Final")</f>
        <v/>
      </c>
    </row>
    <row r="1892">
      <c r="A1892">
        <f>IF(OHW!$G845="","","OHW")</f>
        <v/>
      </c>
      <c r="B1892">
        <f>IF(OHW!$G845="","","OHW")</f>
        <v/>
      </c>
      <c r="C1892" s="18">
        <f>IF(OHW!$G845="","",OHW!$A845)</f>
        <v/>
      </c>
      <c r="F1892">
        <f>IF(OHW!$G845="","",OHW!$B845&amp;"")</f>
        <v/>
      </c>
      <c r="J1892">
        <f>IF(OHW!$G845="","",OHW!$E845)</f>
        <v/>
      </c>
      <c r="K1892">
        <f>IF(OHW!$G845="","",COUNTIFS(OHW!$A$5:$A$1668,OHW!$A845,OHW!$C$5:$C$1668,OHW!$C845))</f>
        <v/>
      </c>
      <c r="L1892">
        <f>IF(OHW!$G845="","",OHW!$D845&amp;"")</f>
        <v/>
      </c>
      <c r="M1892">
        <f>IF(OHW!$G845="","",OHW!$F845)</f>
        <v/>
      </c>
      <c r="N1892">
        <f>IF(OHW!$G845="","",OHW!$G845)</f>
        <v/>
      </c>
      <c r="O1892">
        <f>IF(OHW!$G845="","",OHW!$I845)</f>
        <v/>
      </c>
      <c r="P1892">
        <f>IF(OHW!$G845="","","Final")</f>
        <v/>
      </c>
    </row>
    <row r="1893">
      <c r="A1893">
        <f>IF(OHW!$G846="","","OHW")</f>
        <v/>
      </c>
      <c r="B1893">
        <f>IF(OHW!$G846="","","OHW")</f>
        <v/>
      </c>
      <c r="C1893" s="18">
        <f>IF(OHW!$G846="","",OHW!$A846)</f>
        <v/>
      </c>
      <c r="F1893">
        <f>IF(OHW!$G846="","",OHW!$B846&amp;"")</f>
        <v/>
      </c>
      <c r="J1893">
        <f>IF(OHW!$G846="","",OHW!$E846)</f>
        <v/>
      </c>
      <c r="K1893">
        <f>IF(OHW!$G846="","",COUNTIFS(OHW!$A$5:$A$1668,OHW!$A846,OHW!$C$5:$C$1668,OHW!$C846))</f>
        <v/>
      </c>
      <c r="L1893">
        <f>IF(OHW!$G846="","",OHW!$D846&amp;"")</f>
        <v/>
      </c>
      <c r="M1893">
        <f>IF(OHW!$G846="","",OHW!$F846)</f>
        <v/>
      </c>
      <c r="N1893">
        <f>IF(OHW!$G846="","",OHW!$G846)</f>
        <v/>
      </c>
      <c r="O1893">
        <f>IF(OHW!$G846="","",OHW!$I846)</f>
        <v/>
      </c>
      <c r="P1893">
        <f>IF(OHW!$G846="","","Final")</f>
        <v/>
      </c>
    </row>
    <row r="1894">
      <c r="A1894">
        <f>IF(OHW!$G847="","","OHW")</f>
        <v/>
      </c>
      <c r="B1894">
        <f>IF(OHW!$G847="","","OHW")</f>
        <v/>
      </c>
      <c r="C1894" s="18">
        <f>IF(OHW!$G847="","",OHW!$A847)</f>
        <v/>
      </c>
      <c r="F1894">
        <f>IF(OHW!$G847="","",OHW!$B847&amp;"")</f>
        <v/>
      </c>
      <c r="J1894">
        <f>IF(OHW!$G847="","",OHW!$E847)</f>
        <v/>
      </c>
      <c r="K1894">
        <f>IF(OHW!$G847="","",COUNTIFS(OHW!$A$5:$A$1668,OHW!$A847,OHW!$C$5:$C$1668,OHW!$C847))</f>
        <v/>
      </c>
      <c r="L1894">
        <f>IF(OHW!$G847="","",OHW!$D847&amp;"")</f>
        <v/>
      </c>
      <c r="M1894">
        <f>IF(OHW!$G847="","",OHW!$F847)</f>
        <v/>
      </c>
      <c r="N1894">
        <f>IF(OHW!$G847="","",OHW!$G847)</f>
        <v/>
      </c>
      <c r="O1894">
        <f>IF(OHW!$G847="","",OHW!$I847)</f>
        <v/>
      </c>
      <c r="P1894">
        <f>IF(OHW!$G847="","","Final")</f>
        <v/>
      </c>
    </row>
    <row r="1895">
      <c r="A1895">
        <f>IF(OHW!$G848="","","OHW")</f>
        <v/>
      </c>
      <c r="B1895">
        <f>IF(OHW!$G848="","","OHW")</f>
        <v/>
      </c>
      <c r="C1895" s="18">
        <f>IF(OHW!$G848="","",OHW!$A848)</f>
        <v/>
      </c>
      <c r="F1895">
        <f>IF(OHW!$G848="","",OHW!$B848&amp;"")</f>
        <v/>
      </c>
      <c r="J1895">
        <f>IF(OHW!$G848="","",OHW!$E848)</f>
        <v/>
      </c>
      <c r="K1895">
        <f>IF(OHW!$G848="","",COUNTIFS(OHW!$A$5:$A$1668,OHW!$A848,OHW!$C$5:$C$1668,OHW!$C848))</f>
        <v/>
      </c>
      <c r="L1895">
        <f>IF(OHW!$G848="","",OHW!$D848&amp;"")</f>
        <v/>
      </c>
      <c r="M1895">
        <f>IF(OHW!$G848="","",OHW!$F848)</f>
        <v/>
      </c>
      <c r="N1895">
        <f>IF(OHW!$G848="","",OHW!$G848)</f>
        <v/>
      </c>
      <c r="O1895">
        <f>IF(OHW!$G848="","",OHW!$I848)</f>
        <v/>
      </c>
      <c r="P1895">
        <f>IF(OHW!$G848="","","Final")</f>
        <v/>
      </c>
    </row>
    <row r="1896">
      <c r="A1896">
        <f>IF(OHW!$G849="","","OHW")</f>
        <v/>
      </c>
      <c r="B1896">
        <f>IF(OHW!$G849="","","OHW")</f>
        <v/>
      </c>
      <c r="C1896" s="18">
        <f>IF(OHW!$G849="","",OHW!$A849)</f>
        <v/>
      </c>
      <c r="F1896">
        <f>IF(OHW!$G849="","",OHW!$B849&amp;"")</f>
        <v/>
      </c>
      <c r="J1896">
        <f>IF(OHW!$G849="","",OHW!$E849)</f>
        <v/>
      </c>
      <c r="K1896">
        <f>IF(OHW!$G849="","",COUNTIFS(OHW!$A$5:$A$1668,OHW!$A849,OHW!$C$5:$C$1668,OHW!$C849))</f>
        <v/>
      </c>
      <c r="L1896">
        <f>IF(OHW!$G849="","",OHW!$D849&amp;"")</f>
        <v/>
      </c>
      <c r="M1896">
        <f>IF(OHW!$G849="","",OHW!$F849)</f>
        <v/>
      </c>
      <c r="N1896">
        <f>IF(OHW!$G849="","",OHW!$G849)</f>
        <v/>
      </c>
      <c r="O1896">
        <f>IF(OHW!$G849="","",OHW!$I849)</f>
        <v/>
      </c>
      <c r="P1896">
        <f>IF(OHW!$G849="","","Final")</f>
        <v/>
      </c>
    </row>
    <row r="1897">
      <c r="A1897">
        <f>IF(OHW!$G850="","","OHW")</f>
        <v/>
      </c>
      <c r="B1897">
        <f>IF(OHW!$G850="","","OHW")</f>
        <v/>
      </c>
      <c r="C1897" s="18">
        <f>IF(OHW!$G850="","",OHW!$A850)</f>
        <v/>
      </c>
      <c r="F1897">
        <f>IF(OHW!$G850="","",OHW!$B850&amp;"")</f>
        <v/>
      </c>
      <c r="J1897">
        <f>IF(OHW!$G850="","",OHW!$E850)</f>
        <v/>
      </c>
      <c r="K1897">
        <f>IF(OHW!$G850="","",COUNTIFS(OHW!$A$5:$A$1668,OHW!$A850,OHW!$C$5:$C$1668,OHW!$C850))</f>
        <v/>
      </c>
      <c r="L1897">
        <f>IF(OHW!$G850="","",OHW!$D850&amp;"")</f>
        <v/>
      </c>
      <c r="M1897">
        <f>IF(OHW!$G850="","",OHW!$F850)</f>
        <v/>
      </c>
      <c r="N1897">
        <f>IF(OHW!$G850="","",OHW!$G850)</f>
        <v/>
      </c>
      <c r="O1897">
        <f>IF(OHW!$G850="","",OHW!$I850)</f>
        <v/>
      </c>
      <c r="P1897">
        <f>IF(OHW!$G850="","","Final")</f>
        <v/>
      </c>
    </row>
    <row r="1898">
      <c r="A1898">
        <f>IF(OHW!$G851="","","OHW")</f>
        <v/>
      </c>
      <c r="B1898">
        <f>IF(OHW!$G851="","","OHW")</f>
        <v/>
      </c>
      <c r="C1898" s="18">
        <f>IF(OHW!$G851="","",OHW!$A851)</f>
        <v/>
      </c>
      <c r="F1898">
        <f>IF(OHW!$G851="","",OHW!$B851&amp;"")</f>
        <v/>
      </c>
      <c r="J1898">
        <f>IF(OHW!$G851="","",OHW!$E851)</f>
        <v/>
      </c>
      <c r="K1898">
        <f>IF(OHW!$G851="","",COUNTIFS(OHW!$A$5:$A$1668,OHW!$A851,OHW!$C$5:$C$1668,OHW!$C851))</f>
        <v/>
      </c>
      <c r="L1898">
        <f>IF(OHW!$G851="","",OHW!$D851&amp;"")</f>
        <v/>
      </c>
      <c r="M1898">
        <f>IF(OHW!$G851="","",OHW!$F851)</f>
        <v/>
      </c>
      <c r="N1898">
        <f>IF(OHW!$G851="","",OHW!$G851)</f>
        <v/>
      </c>
      <c r="O1898">
        <f>IF(OHW!$G851="","",OHW!$I851)</f>
        <v/>
      </c>
      <c r="P1898">
        <f>IF(OHW!$G851="","","Final")</f>
        <v/>
      </c>
    </row>
    <row r="1899">
      <c r="A1899">
        <f>IF(OHW!$G852="","","OHW")</f>
        <v/>
      </c>
      <c r="B1899">
        <f>IF(OHW!$G852="","","OHW")</f>
        <v/>
      </c>
      <c r="C1899" s="18">
        <f>IF(OHW!$G852="","",OHW!$A852)</f>
        <v/>
      </c>
      <c r="F1899">
        <f>IF(OHW!$G852="","",OHW!$B852&amp;"")</f>
        <v/>
      </c>
      <c r="J1899">
        <f>IF(OHW!$G852="","",OHW!$E852)</f>
        <v/>
      </c>
      <c r="K1899">
        <f>IF(OHW!$G852="","",COUNTIFS(OHW!$A$5:$A$1668,OHW!$A852,OHW!$C$5:$C$1668,OHW!$C852))</f>
        <v/>
      </c>
      <c r="L1899">
        <f>IF(OHW!$G852="","",OHW!$D852&amp;"")</f>
        <v/>
      </c>
      <c r="M1899">
        <f>IF(OHW!$G852="","",OHW!$F852)</f>
        <v/>
      </c>
      <c r="N1899">
        <f>IF(OHW!$G852="","",OHW!$G852)</f>
        <v/>
      </c>
      <c r="O1899">
        <f>IF(OHW!$G852="","",OHW!$I852)</f>
        <v/>
      </c>
      <c r="P1899">
        <f>IF(OHW!$G852="","","Final")</f>
        <v/>
      </c>
    </row>
    <row r="1900">
      <c r="A1900">
        <f>IF(OHW!$G853="","","OHW")</f>
        <v/>
      </c>
      <c r="B1900">
        <f>IF(OHW!$G853="","","OHW")</f>
        <v/>
      </c>
      <c r="C1900" s="18">
        <f>IF(OHW!$G853="","",OHW!$A853)</f>
        <v/>
      </c>
      <c r="F1900">
        <f>IF(OHW!$G853="","",OHW!$B853&amp;"")</f>
        <v/>
      </c>
      <c r="J1900">
        <f>IF(OHW!$G853="","",OHW!$E853)</f>
        <v/>
      </c>
      <c r="K1900">
        <f>IF(OHW!$G853="","",COUNTIFS(OHW!$A$5:$A$1668,OHW!$A853,OHW!$C$5:$C$1668,OHW!$C853))</f>
        <v/>
      </c>
      <c r="L1900">
        <f>IF(OHW!$G853="","",OHW!$D853&amp;"")</f>
        <v/>
      </c>
      <c r="M1900">
        <f>IF(OHW!$G853="","",OHW!$F853)</f>
        <v/>
      </c>
      <c r="N1900">
        <f>IF(OHW!$G853="","",OHW!$G853)</f>
        <v/>
      </c>
      <c r="O1900">
        <f>IF(OHW!$G853="","",OHW!$I853)</f>
        <v/>
      </c>
      <c r="P1900">
        <f>IF(OHW!$G853="","","Final")</f>
        <v/>
      </c>
    </row>
    <row r="1901">
      <c r="A1901">
        <f>IF(OHW!$G854="","","OHW")</f>
        <v/>
      </c>
      <c r="B1901">
        <f>IF(OHW!$G854="","","OHW")</f>
        <v/>
      </c>
      <c r="C1901" s="18">
        <f>IF(OHW!$G854="","",OHW!$A854)</f>
        <v/>
      </c>
      <c r="F1901">
        <f>IF(OHW!$G854="","",OHW!$B854&amp;"")</f>
        <v/>
      </c>
      <c r="J1901">
        <f>IF(OHW!$G854="","",OHW!$E854)</f>
        <v/>
      </c>
      <c r="K1901">
        <f>IF(OHW!$G854="","",COUNTIFS(OHW!$A$5:$A$1668,OHW!$A854,OHW!$C$5:$C$1668,OHW!$C854))</f>
        <v/>
      </c>
      <c r="L1901">
        <f>IF(OHW!$G854="","",OHW!$D854&amp;"")</f>
        <v/>
      </c>
      <c r="M1901">
        <f>IF(OHW!$G854="","",OHW!$F854)</f>
        <v/>
      </c>
      <c r="N1901">
        <f>IF(OHW!$G854="","",OHW!$G854)</f>
        <v/>
      </c>
      <c r="O1901">
        <f>IF(OHW!$G854="","",OHW!$I854)</f>
        <v/>
      </c>
      <c r="P1901">
        <f>IF(OHW!$G854="","","Final")</f>
        <v/>
      </c>
    </row>
    <row r="1902">
      <c r="A1902">
        <f>IF(OHW!$G855="","","OHW")</f>
        <v/>
      </c>
      <c r="B1902">
        <f>IF(OHW!$G855="","","OHW")</f>
        <v/>
      </c>
      <c r="C1902" s="18">
        <f>IF(OHW!$G855="","",OHW!$A855)</f>
        <v/>
      </c>
      <c r="F1902">
        <f>IF(OHW!$G855="","",OHW!$B855&amp;"")</f>
        <v/>
      </c>
      <c r="J1902">
        <f>IF(OHW!$G855="","",OHW!$E855)</f>
        <v/>
      </c>
      <c r="K1902">
        <f>IF(OHW!$G855="","",COUNTIFS(OHW!$A$5:$A$1668,OHW!$A855,OHW!$C$5:$C$1668,OHW!$C855))</f>
        <v/>
      </c>
      <c r="L1902">
        <f>IF(OHW!$G855="","",OHW!$D855&amp;"")</f>
        <v/>
      </c>
      <c r="M1902">
        <f>IF(OHW!$G855="","",OHW!$F855)</f>
        <v/>
      </c>
      <c r="N1902">
        <f>IF(OHW!$G855="","",OHW!$G855)</f>
        <v/>
      </c>
      <c r="O1902">
        <f>IF(OHW!$G855="","",OHW!$I855)</f>
        <v/>
      </c>
      <c r="P1902">
        <f>IF(OHW!$G855="","","Final")</f>
        <v/>
      </c>
    </row>
    <row r="1903">
      <c r="A1903">
        <f>IF(OHW!$G856="","","OHW")</f>
        <v/>
      </c>
      <c r="B1903">
        <f>IF(OHW!$G856="","","OHW")</f>
        <v/>
      </c>
      <c r="C1903" s="18">
        <f>IF(OHW!$G856="","",OHW!$A856)</f>
        <v/>
      </c>
      <c r="F1903">
        <f>IF(OHW!$G856="","",OHW!$B856&amp;"")</f>
        <v/>
      </c>
      <c r="J1903">
        <f>IF(OHW!$G856="","",OHW!$E856)</f>
        <v/>
      </c>
      <c r="K1903">
        <f>IF(OHW!$G856="","",COUNTIFS(OHW!$A$5:$A$1668,OHW!$A856,OHW!$C$5:$C$1668,OHW!$C856))</f>
        <v/>
      </c>
      <c r="L1903">
        <f>IF(OHW!$G856="","",OHW!$D856&amp;"")</f>
        <v/>
      </c>
      <c r="M1903">
        <f>IF(OHW!$G856="","",OHW!$F856)</f>
        <v/>
      </c>
      <c r="N1903">
        <f>IF(OHW!$G856="","",OHW!$G856)</f>
        <v/>
      </c>
      <c r="O1903">
        <f>IF(OHW!$G856="","",OHW!$I856)</f>
        <v/>
      </c>
      <c r="P1903">
        <f>IF(OHW!$G856="","","Final")</f>
        <v/>
      </c>
    </row>
    <row r="1904">
      <c r="A1904">
        <f>IF(OHW!$G857="","","OHW")</f>
        <v/>
      </c>
      <c r="B1904">
        <f>IF(OHW!$G857="","","OHW")</f>
        <v/>
      </c>
      <c r="C1904" s="18">
        <f>IF(OHW!$G857="","",OHW!$A857)</f>
        <v/>
      </c>
      <c r="F1904">
        <f>IF(OHW!$G857="","",OHW!$B857&amp;"")</f>
        <v/>
      </c>
      <c r="J1904">
        <f>IF(OHW!$G857="","",OHW!$E857)</f>
        <v/>
      </c>
      <c r="K1904">
        <f>IF(OHW!$G857="","",COUNTIFS(OHW!$A$5:$A$1668,OHW!$A857,OHW!$C$5:$C$1668,OHW!$C857))</f>
        <v/>
      </c>
      <c r="L1904">
        <f>IF(OHW!$G857="","",OHW!$D857&amp;"")</f>
        <v/>
      </c>
      <c r="M1904">
        <f>IF(OHW!$G857="","",OHW!$F857)</f>
        <v/>
      </c>
      <c r="N1904">
        <f>IF(OHW!$G857="","",OHW!$G857)</f>
        <v/>
      </c>
      <c r="O1904">
        <f>IF(OHW!$G857="","",OHW!$I857)</f>
        <v/>
      </c>
      <c r="P1904">
        <f>IF(OHW!$G857="","","Final")</f>
        <v/>
      </c>
    </row>
    <row r="1905">
      <c r="A1905">
        <f>IF(OHW!$G858="","","OHW")</f>
        <v/>
      </c>
      <c r="B1905">
        <f>IF(OHW!$G858="","","OHW")</f>
        <v/>
      </c>
      <c r="C1905" s="18">
        <f>IF(OHW!$G858="","",OHW!$A858)</f>
        <v/>
      </c>
      <c r="F1905">
        <f>IF(OHW!$G858="","",OHW!$B858&amp;"")</f>
        <v/>
      </c>
      <c r="J1905">
        <f>IF(OHW!$G858="","",OHW!$E858)</f>
        <v/>
      </c>
      <c r="K1905">
        <f>IF(OHW!$G858="","",COUNTIFS(OHW!$A$5:$A$1668,OHW!$A858,OHW!$C$5:$C$1668,OHW!$C858))</f>
        <v/>
      </c>
      <c r="L1905">
        <f>IF(OHW!$G858="","",OHW!$D858&amp;"")</f>
        <v/>
      </c>
      <c r="M1905">
        <f>IF(OHW!$G858="","",OHW!$F858)</f>
        <v/>
      </c>
      <c r="N1905">
        <f>IF(OHW!$G858="","",OHW!$G858)</f>
        <v/>
      </c>
      <c r="O1905">
        <f>IF(OHW!$G858="","",OHW!$I858)</f>
        <v/>
      </c>
      <c r="P1905">
        <f>IF(OHW!$G858="","","Final")</f>
        <v/>
      </c>
    </row>
    <row r="1906">
      <c r="A1906">
        <f>IF(OHW!$G859="","","OHW")</f>
        <v/>
      </c>
      <c r="B1906">
        <f>IF(OHW!$G859="","","OHW")</f>
        <v/>
      </c>
      <c r="C1906" s="18">
        <f>IF(OHW!$G859="","",OHW!$A859)</f>
        <v/>
      </c>
      <c r="F1906">
        <f>IF(OHW!$G859="","",OHW!$B859&amp;"")</f>
        <v/>
      </c>
      <c r="J1906">
        <f>IF(OHW!$G859="","",OHW!$E859)</f>
        <v/>
      </c>
      <c r="K1906">
        <f>IF(OHW!$G859="","",COUNTIFS(OHW!$A$5:$A$1668,OHW!$A859,OHW!$C$5:$C$1668,OHW!$C859))</f>
        <v/>
      </c>
      <c r="L1906">
        <f>IF(OHW!$G859="","",OHW!$D859&amp;"")</f>
        <v/>
      </c>
      <c r="M1906">
        <f>IF(OHW!$G859="","",OHW!$F859)</f>
        <v/>
      </c>
      <c r="N1906">
        <f>IF(OHW!$G859="","",OHW!$G859)</f>
        <v/>
      </c>
      <c r="O1906">
        <f>IF(OHW!$G859="","",OHW!$I859)</f>
        <v/>
      </c>
      <c r="P1906">
        <f>IF(OHW!$G859="","","Final")</f>
        <v/>
      </c>
    </row>
    <row r="1907">
      <c r="A1907">
        <f>IF(OHW!$G860="","","OHW")</f>
        <v/>
      </c>
      <c r="B1907">
        <f>IF(OHW!$G860="","","OHW")</f>
        <v/>
      </c>
      <c r="C1907" s="18">
        <f>IF(OHW!$G860="","",OHW!$A860)</f>
        <v/>
      </c>
      <c r="F1907">
        <f>IF(OHW!$G860="","",OHW!$B860&amp;"")</f>
        <v/>
      </c>
      <c r="J1907">
        <f>IF(OHW!$G860="","",OHW!$E860)</f>
        <v/>
      </c>
      <c r="K1907">
        <f>IF(OHW!$G860="","",COUNTIFS(OHW!$A$5:$A$1668,OHW!$A860,OHW!$C$5:$C$1668,OHW!$C860))</f>
        <v/>
      </c>
      <c r="L1907">
        <f>IF(OHW!$G860="","",OHW!$D860&amp;"")</f>
        <v/>
      </c>
      <c r="M1907">
        <f>IF(OHW!$G860="","",OHW!$F860)</f>
        <v/>
      </c>
      <c r="N1907">
        <f>IF(OHW!$G860="","",OHW!$G860)</f>
        <v/>
      </c>
      <c r="O1907">
        <f>IF(OHW!$G860="","",OHW!$I860)</f>
        <v/>
      </c>
      <c r="P1907">
        <f>IF(OHW!$G860="","","Final")</f>
        <v/>
      </c>
    </row>
    <row r="1908">
      <c r="A1908">
        <f>IF(OHW!$G861="","","OHW")</f>
        <v/>
      </c>
      <c r="B1908">
        <f>IF(OHW!$G861="","","OHW")</f>
        <v/>
      </c>
      <c r="C1908" s="18">
        <f>IF(OHW!$G861="","",OHW!$A861)</f>
        <v/>
      </c>
      <c r="F1908">
        <f>IF(OHW!$G861="","",OHW!$B861&amp;"")</f>
        <v/>
      </c>
      <c r="J1908">
        <f>IF(OHW!$G861="","",OHW!$E861)</f>
        <v/>
      </c>
      <c r="K1908">
        <f>IF(OHW!$G861="","",COUNTIFS(OHW!$A$5:$A$1668,OHW!$A861,OHW!$C$5:$C$1668,OHW!$C861))</f>
        <v/>
      </c>
      <c r="L1908">
        <f>IF(OHW!$G861="","",OHW!$D861&amp;"")</f>
        <v/>
      </c>
      <c r="M1908">
        <f>IF(OHW!$G861="","",OHW!$F861)</f>
        <v/>
      </c>
      <c r="N1908">
        <f>IF(OHW!$G861="","",OHW!$G861)</f>
        <v/>
      </c>
      <c r="O1908">
        <f>IF(OHW!$G861="","",OHW!$I861)</f>
        <v/>
      </c>
      <c r="P1908">
        <f>IF(OHW!$G861="","","Final")</f>
        <v/>
      </c>
    </row>
    <row r="1909">
      <c r="A1909">
        <f>IF(OHW!$G862="","","OHW")</f>
        <v/>
      </c>
      <c r="B1909">
        <f>IF(OHW!$G862="","","OHW")</f>
        <v/>
      </c>
      <c r="C1909" s="18">
        <f>IF(OHW!$G862="","",OHW!$A862)</f>
        <v/>
      </c>
      <c r="F1909">
        <f>IF(OHW!$G862="","",OHW!$B862&amp;"")</f>
        <v/>
      </c>
      <c r="J1909">
        <f>IF(OHW!$G862="","",OHW!$E862)</f>
        <v/>
      </c>
      <c r="K1909">
        <f>IF(OHW!$G862="","",COUNTIFS(OHW!$A$5:$A$1668,OHW!$A862,OHW!$C$5:$C$1668,OHW!$C862))</f>
        <v/>
      </c>
      <c r="L1909">
        <f>IF(OHW!$G862="","",OHW!$D862&amp;"")</f>
        <v/>
      </c>
      <c r="M1909">
        <f>IF(OHW!$G862="","",OHW!$F862)</f>
        <v/>
      </c>
      <c r="N1909">
        <f>IF(OHW!$G862="","",OHW!$G862)</f>
        <v/>
      </c>
      <c r="O1909">
        <f>IF(OHW!$G862="","",OHW!$I862)</f>
        <v/>
      </c>
      <c r="P1909">
        <f>IF(OHW!$G862="","","Final")</f>
        <v/>
      </c>
    </row>
    <row r="1910">
      <c r="A1910">
        <f>IF(OHW!$G863="","","OHW")</f>
        <v/>
      </c>
      <c r="B1910">
        <f>IF(OHW!$G863="","","OHW")</f>
        <v/>
      </c>
      <c r="C1910" s="18">
        <f>IF(OHW!$G863="","",OHW!$A863)</f>
        <v/>
      </c>
      <c r="F1910">
        <f>IF(OHW!$G863="","",OHW!$B863&amp;"")</f>
        <v/>
      </c>
      <c r="J1910">
        <f>IF(OHW!$G863="","",OHW!$E863)</f>
        <v/>
      </c>
      <c r="K1910">
        <f>IF(OHW!$G863="","",COUNTIFS(OHW!$A$5:$A$1668,OHW!$A863,OHW!$C$5:$C$1668,OHW!$C863))</f>
        <v/>
      </c>
      <c r="L1910">
        <f>IF(OHW!$G863="","",OHW!$D863&amp;"")</f>
        <v/>
      </c>
      <c r="M1910">
        <f>IF(OHW!$G863="","",OHW!$F863)</f>
        <v/>
      </c>
      <c r="N1910">
        <f>IF(OHW!$G863="","",OHW!$G863)</f>
        <v/>
      </c>
      <c r="O1910">
        <f>IF(OHW!$G863="","",OHW!$I863)</f>
        <v/>
      </c>
      <c r="P1910">
        <f>IF(OHW!$G863="","","Final")</f>
        <v/>
      </c>
    </row>
    <row r="1911">
      <c r="A1911">
        <f>IF(OHW!$G864="","","OHW")</f>
        <v/>
      </c>
      <c r="B1911">
        <f>IF(OHW!$G864="","","OHW")</f>
        <v/>
      </c>
      <c r="C1911" s="18">
        <f>IF(OHW!$G864="","",OHW!$A864)</f>
        <v/>
      </c>
      <c r="F1911">
        <f>IF(OHW!$G864="","",OHW!$B864&amp;"")</f>
        <v/>
      </c>
      <c r="J1911">
        <f>IF(OHW!$G864="","",OHW!$E864)</f>
        <v/>
      </c>
      <c r="K1911">
        <f>IF(OHW!$G864="","",COUNTIFS(OHW!$A$5:$A$1668,OHW!$A864,OHW!$C$5:$C$1668,OHW!$C864))</f>
        <v/>
      </c>
      <c r="L1911">
        <f>IF(OHW!$G864="","",OHW!$D864&amp;"")</f>
        <v/>
      </c>
      <c r="M1911">
        <f>IF(OHW!$G864="","",OHW!$F864)</f>
        <v/>
      </c>
      <c r="N1911">
        <f>IF(OHW!$G864="","",OHW!$G864)</f>
        <v/>
      </c>
      <c r="O1911">
        <f>IF(OHW!$G864="","",OHW!$I864)</f>
        <v/>
      </c>
      <c r="P1911">
        <f>IF(OHW!$G864="","","Final")</f>
        <v/>
      </c>
    </row>
    <row r="1912">
      <c r="A1912">
        <f>IF(OHW!$G865="","","OHW")</f>
        <v/>
      </c>
      <c r="B1912">
        <f>IF(OHW!$G865="","","OHW")</f>
        <v/>
      </c>
      <c r="C1912" s="18">
        <f>IF(OHW!$G865="","",OHW!$A865)</f>
        <v/>
      </c>
      <c r="F1912">
        <f>IF(OHW!$G865="","",OHW!$B865&amp;"")</f>
        <v/>
      </c>
      <c r="J1912">
        <f>IF(OHW!$G865="","",OHW!$E865)</f>
        <v/>
      </c>
      <c r="K1912">
        <f>IF(OHW!$G865="","",COUNTIFS(OHW!$A$5:$A$1668,OHW!$A865,OHW!$C$5:$C$1668,OHW!$C865))</f>
        <v/>
      </c>
      <c r="L1912">
        <f>IF(OHW!$G865="","",OHW!$D865&amp;"")</f>
        <v/>
      </c>
      <c r="M1912">
        <f>IF(OHW!$G865="","",OHW!$F865)</f>
        <v/>
      </c>
      <c r="N1912">
        <f>IF(OHW!$G865="","",OHW!$G865)</f>
        <v/>
      </c>
      <c r="O1912">
        <f>IF(OHW!$G865="","",OHW!$I865)</f>
        <v/>
      </c>
      <c r="P1912">
        <f>IF(OHW!$G865="","","Final")</f>
        <v/>
      </c>
    </row>
    <row r="1913">
      <c r="A1913">
        <f>IF(OHW!$G866="","","OHW")</f>
        <v/>
      </c>
      <c r="B1913">
        <f>IF(OHW!$G866="","","OHW")</f>
        <v/>
      </c>
      <c r="C1913" s="18">
        <f>IF(OHW!$G866="","",OHW!$A866)</f>
        <v/>
      </c>
      <c r="F1913">
        <f>IF(OHW!$G866="","",OHW!$B866&amp;"")</f>
        <v/>
      </c>
      <c r="J1913">
        <f>IF(OHW!$G866="","",OHW!$E866)</f>
        <v/>
      </c>
      <c r="K1913">
        <f>IF(OHW!$G866="","",COUNTIFS(OHW!$A$5:$A$1668,OHW!$A866,OHW!$C$5:$C$1668,OHW!$C866))</f>
        <v/>
      </c>
      <c r="L1913">
        <f>IF(OHW!$G866="","",OHW!$D866&amp;"")</f>
        <v/>
      </c>
      <c r="M1913">
        <f>IF(OHW!$G866="","",OHW!$F866)</f>
        <v/>
      </c>
      <c r="N1913">
        <f>IF(OHW!$G866="","",OHW!$G866)</f>
        <v/>
      </c>
      <c r="O1913">
        <f>IF(OHW!$G866="","",OHW!$I866)</f>
        <v/>
      </c>
      <c r="P1913">
        <f>IF(OHW!$G866="","","Final")</f>
        <v/>
      </c>
    </row>
    <row r="1914">
      <c r="A1914">
        <f>IF(OHW!$G867="","","OHW")</f>
        <v/>
      </c>
      <c r="B1914">
        <f>IF(OHW!$G867="","","OHW")</f>
        <v/>
      </c>
      <c r="C1914" s="18">
        <f>IF(OHW!$G867="","",OHW!$A867)</f>
        <v/>
      </c>
      <c r="F1914">
        <f>IF(OHW!$G867="","",OHW!$B867&amp;"")</f>
        <v/>
      </c>
      <c r="J1914">
        <f>IF(OHW!$G867="","",OHW!$E867)</f>
        <v/>
      </c>
      <c r="K1914">
        <f>IF(OHW!$G867="","",COUNTIFS(OHW!$A$5:$A$1668,OHW!$A867,OHW!$C$5:$C$1668,OHW!$C867))</f>
        <v/>
      </c>
      <c r="L1914">
        <f>IF(OHW!$G867="","",OHW!$D867&amp;"")</f>
        <v/>
      </c>
      <c r="M1914">
        <f>IF(OHW!$G867="","",OHW!$F867)</f>
        <v/>
      </c>
      <c r="N1914">
        <f>IF(OHW!$G867="","",OHW!$G867)</f>
        <v/>
      </c>
      <c r="O1914">
        <f>IF(OHW!$G867="","",OHW!$I867)</f>
        <v/>
      </c>
      <c r="P1914">
        <f>IF(OHW!$G867="","","Final")</f>
        <v/>
      </c>
    </row>
    <row r="1915">
      <c r="A1915">
        <f>IF(OHW!$G868="","","OHW")</f>
        <v/>
      </c>
      <c r="B1915">
        <f>IF(OHW!$G868="","","OHW")</f>
        <v/>
      </c>
      <c r="C1915" s="18">
        <f>IF(OHW!$G868="","",OHW!$A868)</f>
        <v/>
      </c>
      <c r="F1915">
        <f>IF(OHW!$G868="","",OHW!$B868&amp;"")</f>
        <v/>
      </c>
      <c r="J1915">
        <f>IF(OHW!$G868="","",OHW!$E868)</f>
        <v/>
      </c>
      <c r="K1915">
        <f>IF(OHW!$G868="","",COUNTIFS(OHW!$A$5:$A$1668,OHW!$A868,OHW!$C$5:$C$1668,OHW!$C868))</f>
        <v/>
      </c>
      <c r="L1915">
        <f>IF(OHW!$G868="","",OHW!$D868&amp;"")</f>
        <v/>
      </c>
      <c r="M1915">
        <f>IF(OHW!$G868="","",OHW!$F868)</f>
        <v/>
      </c>
      <c r="N1915">
        <f>IF(OHW!$G868="","",OHW!$G868)</f>
        <v/>
      </c>
      <c r="O1915">
        <f>IF(OHW!$G868="","",OHW!$I868)</f>
        <v/>
      </c>
      <c r="P1915">
        <f>IF(OHW!$G868="","","Final")</f>
        <v/>
      </c>
    </row>
    <row r="1916">
      <c r="A1916">
        <f>IF(OHW!$G869="","","OHW")</f>
        <v/>
      </c>
      <c r="B1916">
        <f>IF(OHW!$G869="","","OHW")</f>
        <v/>
      </c>
      <c r="C1916" s="18">
        <f>IF(OHW!$G869="","",OHW!$A869)</f>
        <v/>
      </c>
      <c r="F1916">
        <f>IF(OHW!$G869="","",OHW!$B869&amp;"")</f>
        <v/>
      </c>
      <c r="J1916">
        <f>IF(OHW!$G869="","",OHW!$E869)</f>
        <v/>
      </c>
      <c r="K1916">
        <f>IF(OHW!$G869="","",COUNTIFS(OHW!$A$5:$A$1668,OHW!$A869,OHW!$C$5:$C$1668,OHW!$C869))</f>
        <v/>
      </c>
      <c r="L1916">
        <f>IF(OHW!$G869="","",OHW!$D869&amp;"")</f>
        <v/>
      </c>
      <c r="M1916">
        <f>IF(OHW!$G869="","",OHW!$F869)</f>
        <v/>
      </c>
      <c r="N1916">
        <f>IF(OHW!$G869="","",OHW!$G869)</f>
        <v/>
      </c>
      <c r="O1916">
        <f>IF(OHW!$G869="","",OHW!$I869)</f>
        <v/>
      </c>
      <c r="P1916">
        <f>IF(OHW!$G869="","","Final")</f>
        <v/>
      </c>
    </row>
    <row r="1917">
      <c r="A1917">
        <f>IF(OHW!$G870="","","OHW")</f>
        <v/>
      </c>
      <c r="B1917">
        <f>IF(OHW!$G870="","","OHW")</f>
        <v/>
      </c>
      <c r="C1917" s="18">
        <f>IF(OHW!$G870="","",OHW!$A870)</f>
        <v/>
      </c>
      <c r="F1917">
        <f>IF(OHW!$G870="","",OHW!$B870&amp;"")</f>
        <v/>
      </c>
      <c r="J1917">
        <f>IF(OHW!$G870="","",OHW!$E870)</f>
        <v/>
      </c>
      <c r="K1917">
        <f>IF(OHW!$G870="","",COUNTIFS(OHW!$A$5:$A$1668,OHW!$A870,OHW!$C$5:$C$1668,OHW!$C870))</f>
        <v/>
      </c>
      <c r="L1917">
        <f>IF(OHW!$G870="","",OHW!$D870&amp;"")</f>
        <v/>
      </c>
      <c r="M1917">
        <f>IF(OHW!$G870="","",OHW!$F870)</f>
        <v/>
      </c>
      <c r="N1917">
        <f>IF(OHW!$G870="","",OHW!$G870)</f>
        <v/>
      </c>
      <c r="O1917">
        <f>IF(OHW!$G870="","",OHW!$I870)</f>
        <v/>
      </c>
      <c r="P1917">
        <f>IF(OHW!$G870="","","Final")</f>
        <v/>
      </c>
    </row>
    <row r="1918">
      <c r="A1918">
        <f>IF(OHW!$G871="","","OHW")</f>
        <v/>
      </c>
      <c r="B1918">
        <f>IF(OHW!$G871="","","OHW")</f>
        <v/>
      </c>
      <c r="C1918" s="18">
        <f>IF(OHW!$G871="","",OHW!$A871)</f>
        <v/>
      </c>
      <c r="F1918">
        <f>IF(OHW!$G871="","",OHW!$B871&amp;"")</f>
        <v/>
      </c>
      <c r="J1918">
        <f>IF(OHW!$G871="","",OHW!$E871)</f>
        <v/>
      </c>
      <c r="K1918">
        <f>IF(OHW!$G871="","",COUNTIFS(OHW!$A$5:$A$1668,OHW!$A871,OHW!$C$5:$C$1668,OHW!$C871))</f>
        <v/>
      </c>
      <c r="L1918">
        <f>IF(OHW!$G871="","",OHW!$D871&amp;"")</f>
        <v/>
      </c>
      <c r="M1918">
        <f>IF(OHW!$G871="","",OHW!$F871)</f>
        <v/>
      </c>
      <c r="N1918">
        <f>IF(OHW!$G871="","",OHW!$G871)</f>
        <v/>
      </c>
      <c r="O1918">
        <f>IF(OHW!$G871="","",OHW!$I871)</f>
        <v/>
      </c>
      <c r="P1918">
        <f>IF(OHW!$G871="","","Final")</f>
        <v/>
      </c>
    </row>
    <row r="1919">
      <c r="A1919">
        <f>IF(OHW!$G872="","","OHW")</f>
        <v/>
      </c>
      <c r="B1919">
        <f>IF(OHW!$G872="","","OHW")</f>
        <v/>
      </c>
      <c r="C1919" s="18">
        <f>IF(OHW!$G872="","",OHW!$A872)</f>
        <v/>
      </c>
      <c r="F1919">
        <f>IF(OHW!$G872="","",OHW!$B872&amp;"")</f>
        <v/>
      </c>
      <c r="J1919">
        <f>IF(OHW!$G872="","",OHW!$E872)</f>
        <v/>
      </c>
      <c r="K1919">
        <f>IF(OHW!$G872="","",COUNTIFS(OHW!$A$5:$A$1668,OHW!$A872,OHW!$C$5:$C$1668,OHW!$C872))</f>
        <v/>
      </c>
      <c r="L1919">
        <f>IF(OHW!$G872="","",OHW!$D872&amp;"")</f>
        <v/>
      </c>
      <c r="M1919">
        <f>IF(OHW!$G872="","",OHW!$F872)</f>
        <v/>
      </c>
      <c r="N1919">
        <f>IF(OHW!$G872="","",OHW!$G872)</f>
        <v/>
      </c>
      <c r="O1919">
        <f>IF(OHW!$G872="","",OHW!$I872)</f>
        <v/>
      </c>
      <c r="P1919">
        <f>IF(OHW!$G872="","","Final")</f>
        <v/>
      </c>
    </row>
    <row r="1920">
      <c r="A1920">
        <f>IF(OHW!$G873="","","OHW")</f>
        <v/>
      </c>
      <c r="B1920">
        <f>IF(OHW!$G873="","","OHW")</f>
        <v/>
      </c>
      <c r="C1920" s="18">
        <f>IF(OHW!$G873="","",OHW!$A873)</f>
        <v/>
      </c>
      <c r="F1920">
        <f>IF(OHW!$G873="","",OHW!$B873&amp;"")</f>
        <v/>
      </c>
      <c r="J1920">
        <f>IF(OHW!$G873="","",OHW!$E873)</f>
        <v/>
      </c>
      <c r="K1920">
        <f>IF(OHW!$G873="","",COUNTIFS(OHW!$A$5:$A$1668,OHW!$A873,OHW!$C$5:$C$1668,OHW!$C873))</f>
        <v/>
      </c>
      <c r="L1920">
        <f>IF(OHW!$G873="","",OHW!$D873&amp;"")</f>
        <v/>
      </c>
      <c r="M1920">
        <f>IF(OHW!$G873="","",OHW!$F873)</f>
        <v/>
      </c>
      <c r="N1920">
        <f>IF(OHW!$G873="","",OHW!$G873)</f>
        <v/>
      </c>
      <c r="O1920">
        <f>IF(OHW!$G873="","",OHW!$I873)</f>
        <v/>
      </c>
      <c r="P1920">
        <f>IF(OHW!$G873="","","Final")</f>
        <v/>
      </c>
    </row>
    <row r="1921">
      <c r="A1921">
        <f>IF(OHW!$G874="","","OHW")</f>
        <v/>
      </c>
      <c r="B1921">
        <f>IF(OHW!$G874="","","OHW")</f>
        <v/>
      </c>
      <c r="C1921" s="18">
        <f>IF(OHW!$G874="","",OHW!$A874)</f>
        <v/>
      </c>
      <c r="F1921">
        <f>IF(OHW!$G874="","",OHW!$B874&amp;"")</f>
        <v/>
      </c>
      <c r="J1921">
        <f>IF(OHW!$G874="","",OHW!$E874)</f>
        <v/>
      </c>
      <c r="K1921">
        <f>IF(OHW!$G874="","",COUNTIFS(OHW!$A$5:$A$1668,OHW!$A874,OHW!$C$5:$C$1668,OHW!$C874))</f>
        <v/>
      </c>
      <c r="L1921">
        <f>IF(OHW!$G874="","",OHW!$D874&amp;"")</f>
        <v/>
      </c>
      <c r="M1921">
        <f>IF(OHW!$G874="","",OHW!$F874)</f>
        <v/>
      </c>
      <c r="N1921">
        <f>IF(OHW!$G874="","",OHW!$G874)</f>
        <v/>
      </c>
      <c r="O1921">
        <f>IF(OHW!$G874="","",OHW!$I874)</f>
        <v/>
      </c>
      <c r="P1921">
        <f>IF(OHW!$G874="","","Final")</f>
        <v/>
      </c>
    </row>
    <row r="1922">
      <c r="A1922">
        <f>IF(OHW!$G875="","","OHW")</f>
        <v/>
      </c>
      <c r="B1922">
        <f>IF(OHW!$G875="","","OHW")</f>
        <v/>
      </c>
      <c r="C1922" s="18">
        <f>IF(OHW!$G875="","",OHW!$A875)</f>
        <v/>
      </c>
      <c r="F1922">
        <f>IF(OHW!$G875="","",OHW!$B875&amp;"")</f>
        <v/>
      </c>
      <c r="J1922">
        <f>IF(OHW!$G875="","",OHW!$E875)</f>
        <v/>
      </c>
      <c r="K1922">
        <f>IF(OHW!$G875="","",COUNTIFS(OHW!$A$5:$A$1668,OHW!$A875,OHW!$C$5:$C$1668,OHW!$C875))</f>
        <v/>
      </c>
      <c r="L1922">
        <f>IF(OHW!$G875="","",OHW!$D875&amp;"")</f>
        <v/>
      </c>
      <c r="M1922">
        <f>IF(OHW!$G875="","",OHW!$F875)</f>
        <v/>
      </c>
      <c r="N1922">
        <f>IF(OHW!$G875="","",OHW!$G875)</f>
        <v/>
      </c>
      <c r="O1922">
        <f>IF(OHW!$G875="","",OHW!$I875)</f>
        <v/>
      </c>
      <c r="P1922">
        <f>IF(OHW!$G875="","","Final")</f>
        <v/>
      </c>
    </row>
    <row r="1923">
      <c r="A1923">
        <f>IF(OHW!$G876="","","OHW")</f>
        <v/>
      </c>
      <c r="B1923">
        <f>IF(OHW!$G876="","","OHW")</f>
        <v/>
      </c>
      <c r="C1923" s="18">
        <f>IF(OHW!$G876="","",OHW!$A876)</f>
        <v/>
      </c>
      <c r="F1923">
        <f>IF(OHW!$G876="","",OHW!$B876&amp;"")</f>
        <v/>
      </c>
      <c r="J1923">
        <f>IF(OHW!$G876="","",OHW!$E876)</f>
        <v/>
      </c>
      <c r="K1923">
        <f>IF(OHW!$G876="","",COUNTIFS(OHW!$A$5:$A$1668,OHW!$A876,OHW!$C$5:$C$1668,OHW!$C876))</f>
        <v/>
      </c>
      <c r="L1923">
        <f>IF(OHW!$G876="","",OHW!$D876&amp;"")</f>
        <v/>
      </c>
      <c r="M1923">
        <f>IF(OHW!$G876="","",OHW!$F876)</f>
        <v/>
      </c>
      <c r="N1923">
        <f>IF(OHW!$G876="","",OHW!$G876)</f>
        <v/>
      </c>
      <c r="O1923">
        <f>IF(OHW!$G876="","",OHW!$I876)</f>
        <v/>
      </c>
      <c r="P1923">
        <f>IF(OHW!$G876="","","Final")</f>
        <v/>
      </c>
    </row>
    <row r="1924">
      <c r="A1924">
        <f>IF(OHW!$G877="","","OHW")</f>
        <v/>
      </c>
      <c r="B1924">
        <f>IF(OHW!$G877="","","OHW")</f>
        <v/>
      </c>
      <c r="C1924" s="18">
        <f>IF(OHW!$G877="","",OHW!$A877)</f>
        <v/>
      </c>
      <c r="F1924">
        <f>IF(OHW!$G877="","",OHW!$B877&amp;"")</f>
        <v/>
      </c>
      <c r="J1924">
        <f>IF(OHW!$G877="","",OHW!$E877)</f>
        <v/>
      </c>
      <c r="K1924">
        <f>IF(OHW!$G877="","",COUNTIFS(OHW!$A$5:$A$1668,OHW!$A877,OHW!$C$5:$C$1668,OHW!$C877))</f>
        <v/>
      </c>
      <c r="L1924">
        <f>IF(OHW!$G877="","",OHW!$D877&amp;"")</f>
        <v/>
      </c>
      <c r="M1924">
        <f>IF(OHW!$G877="","",OHW!$F877)</f>
        <v/>
      </c>
      <c r="N1924">
        <f>IF(OHW!$G877="","",OHW!$G877)</f>
        <v/>
      </c>
      <c r="O1924">
        <f>IF(OHW!$G877="","",OHW!$I877)</f>
        <v/>
      </c>
      <c r="P1924">
        <f>IF(OHW!$G877="","","Final")</f>
        <v/>
      </c>
    </row>
    <row r="1925">
      <c r="A1925">
        <f>IF(OHW!$G878="","","OHW")</f>
        <v/>
      </c>
      <c r="B1925">
        <f>IF(OHW!$G878="","","OHW")</f>
        <v/>
      </c>
      <c r="C1925" s="18">
        <f>IF(OHW!$G878="","",OHW!$A878)</f>
        <v/>
      </c>
      <c r="F1925">
        <f>IF(OHW!$G878="","",OHW!$B878&amp;"")</f>
        <v/>
      </c>
      <c r="J1925">
        <f>IF(OHW!$G878="","",OHW!$E878)</f>
        <v/>
      </c>
      <c r="K1925">
        <f>IF(OHW!$G878="","",COUNTIFS(OHW!$A$5:$A$1668,OHW!$A878,OHW!$C$5:$C$1668,OHW!$C878))</f>
        <v/>
      </c>
      <c r="L1925">
        <f>IF(OHW!$G878="","",OHW!$D878&amp;"")</f>
        <v/>
      </c>
      <c r="M1925">
        <f>IF(OHW!$G878="","",OHW!$F878)</f>
        <v/>
      </c>
      <c r="N1925">
        <f>IF(OHW!$G878="","",OHW!$G878)</f>
        <v/>
      </c>
      <c r="O1925">
        <f>IF(OHW!$G878="","",OHW!$I878)</f>
        <v/>
      </c>
      <c r="P1925">
        <f>IF(OHW!$G878="","","Final")</f>
        <v/>
      </c>
    </row>
    <row r="1926">
      <c r="A1926">
        <f>IF(OHW!$G879="","","OHW")</f>
        <v/>
      </c>
      <c r="B1926">
        <f>IF(OHW!$G879="","","OHW")</f>
        <v/>
      </c>
      <c r="C1926" s="18">
        <f>IF(OHW!$G879="","",OHW!$A879)</f>
        <v/>
      </c>
      <c r="F1926">
        <f>IF(OHW!$G879="","",OHW!$B879&amp;"")</f>
        <v/>
      </c>
      <c r="J1926">
        <f>IF(OHW!$G879="","",OHW!$E879)</f>
        <v/>
      </c>
      <c r="K1926">
        <f>IF(OHW!$G879="","",COUNTIFS(OHW!$A$5:$A$1668,OHW!$A879,OHW!$C$5:$C$1668,OHW!$C879))</f>
        <v/>
      </c>
      <c r="L1926">
        <f>IF(OHW!$G879="","",OHW!$D879&amp;"")</f>
        <v/>
      </c>
      <c r="M1926">
        <f>IF(OHW!$G879="","",OHW!$F879)</f>
        <v/>
      </c>
      <c r="N1926">
        <f>IF(OHW!$G879="","",OHW!$G879)</f>
        <v/>
      </c>
      <c r="O1926">
        <f>IF(OHW!$G879="","",OHW!$I879)</f>
        <v/>
      </c>
      <c r="P1926">
        <f>IF(OHW!$G879="","","Final")</f>
        <v/>
      </c>
    </row>
    <row r="1927">
      <c r="A1927">
        <f>IF(OHW!$G880="","","OHW")</f>
        <v/>
      </c>
      <c r="B1927">
        <f>IF(OHW!$G880="","","OHW")</f>
        <v/>
      </c>
      <c r="C1927" s="18">
        <f>IF(OHW!$G880="","",OHW!$A880)</f>
        <v/>
      </c>
      <c r="F1927">
        <f>IF(OHW!$G880="","",OHW!$B880&amp;"")</f>
        <v/>
      </c>
      <c r="J1927">
        <f>IF(OHW!$G880="","",OHW!$E880)</f>
        <v/>
      </c>
      <c r="K1927">
        <f>IF(OHW!$G880="","",COUNTIFS(OHW!$A$5:$A$1668,OHW!$A880,OHW!$C$5:$C$1668,OHW!$C880))</f>
        <v/>
      </c>
      <c r="L1927">
        <f>IF(OHW!$G880="","",OHW!$D880&amp;"")</f>
        <v/>
      </c>
      <c r="M1927">
        <f>IF(OHW!$G880="","",OHW!$F880)</f>
        <v/>
      </c>
      <c r="N1927">
        <f>IF(OHW!$G880="","",OHW!$G880)</f>
        <v/>
      </c>
      <c r="O1927">
        <f>IF(OHW!$G880="","",OHW!$I880)</f>
        <v/>
      </c>
      <c r="P1927">
        <f>IF(OHW!$G880="","","Final")</f>
        <v/>
      </c>
    </row>
    <row r="1928">
      <c r="A1928">
        <f>IF(OHW!$G881="","","OHW")</f>
        <v/>
      </c>
      <c r="B1928">
        <f>IF(OHW!$G881="","","OHW")</f>
        <v/>
      </c>
      <c r="C1928" s="18">
        <f>IF(OHW!$G881="","",OHW!$A881)</f>
        <v/>
      </c>
      <c r="F1928">
        <f>IF(OHW!$G881="","",OHW!$B881&amp;"")</f>
        <v/>
      </c>
      <c r="J1928">
        <f>IF(OHW!$G881="","",OHW!$E881)</f>
        <v/>
      </c>
      <c r="K1928">
        <f>IF(OHW!$G881="","",COUNTIFS(OHW!$A$5:$A$1668,OHW!$A881,OHW!$C$5:$C$1668,OHW!$C881))</f>
        <v/>
      </c>
      <c r="L1928">
        <f>IF(OHW!$G881="","",OHW!$D881&amp;"")</f>
        <v/>
      </c>
      <c r="M1928">
        <f>IF(OHW!$G881="","",OHW!$F881)</f>
        <v/>
      </c>
      <c r="N1928">
        <f>IF(OHW!$G881="","",OHW!$G881)</f>
        <v/>
      </c>
      <c r="O1928">
        <f>IF(OHW!$G881="","",OHW!$I881)</f>
        <v/>
      </c>
      <c r="P1928">
        <f>IF(OHW!$G881="","","Final")</f>
        <v/>
      </c>
    </row>
    <row r="1929">
      <c r="A1929">
        <f>IF(OHW!$G882="","","OHW")</f>
        <v/>
      </c>
      <c r="B1929">
        <f>IF(OHW!$G882="","","OHW")</f>
        <v/>
      </c>
      <c r="C1929" s="18">
        <f>IF(OHW!$G882="","",OHW!$A882)</f>
        <v/>
      </c>
      <c r="F1929">
        <f>IF(OHW!$G882="","",OHW!$B882&amp;"")</f>
        <v/>
      </c>
      <c r="J1929">
        <f>IF(OHW!$G882="","",OHW!$E882)</f>
        <v/>
      </c>
      <c r="K1929">
        <f>IF(OHW!$G882="","",COUNTIFS(OHW!$A$5:$A$1668,OHW!$A882,OHW!$C$5:$C$1668,OHW!$C882))</f>
        <v/>
      </c>
      <c r="L1929">
        <f>IF(OHW!$G882="","",OHW!$D882&amp;"")</f>
        <v/>
      </c>
      <c r="M1929">
        <f>IF(OHW!$G882="","",OHW!$F882)</f>
        <v/>
      </c>
      <c r="N1929">
        <f>IF(OHW!$G882="","",OHW!$G882)</f>
        <v/>
      </c>
      <c r="O1929">
        <f>IF(OHW!$G882="","",OHW!$I882)</f>
        <v/>
      </c>
      <c r="P1929">
        <f>IF(OHW!$G882="","","Final")</f>
        <v/>
      </c>
    </row>
    <row r="1930">
      <c r="A1930">
        <f>IF(OHW!$G883="","","OHW")</f>
        <v/>
      </c>
      <c r="B1930">
        <f>IF(OHW!$G883="","","OHW")</f>
        <v/>
      </c>
      <c r="C1930" s="18">
        <f>IF(OHW!$G883="","",OHW!$A883)</f>
        <v/>
      </c>
      <c r="F1930">
        <f>IF(OHW!$G883="","",OHW!$B883&amp;"")</f>
        <v/>
      </c>
      <c r="J1930">
        <f>IF(OHW!$G883="","",OHW!$E883)</f>
        <v/>
      </c>
      <c r="K1930">
        <f>IF(OHW!$G883="","",COUNTIFS(OHW!$A$5:$A$1668,OHW!$A883,OHW!$C$5:$C$1668,OHW!$C883))</f>
        <v/>
      </c>
      <c r="L1930">
        <f>IF(OHW!$G883="","",OHW!$D883&amp;"")</f>
        <v/>
      </c>
      <c r="M1930">
        <f>IF(OHW!$G883="","",OHW!$F883)</f>
        <v/>
      </c>
      <c r="N1930">
        <f>IF(OHW!$G883="","",OHW!$G883)</f>
        <v/>
      </c>
      <c r="O1930">
        <f>IF(OHW!$G883="","",OHW!$I883)</f>
        <v/>
      </c>
      <c r="P1930">
        <f>IF(OHW!$G883="","","Final")</f>
        <v/>
      </c>
    </row>
    <row r="1931">
      <c r="A1931">
        <f>IF(OHW!$G884="","","OHW")</f>
        <v/>
      </c>
      <c r="B1931">
        <f>IF(OHW!$G884="","","OHW")</f>
        <v/>
      </c>
      <c r="C1931" s="18">
        <f>IF(OHW!$G884="","",OHW!$A884)</f>
        <v/>
      </c>
      <c r="F1931">
        <f>IF(OHW!$G884="","",OHW!$B884&amp;"")</f>
        <v/>
      </c>
      <c r="J1931">
        <f>IF(OHW!$G884="","",OHW!$E884)</f>
        <v/>
      </c>
      <c r="K1931">
        <f>IF(OHW!$G884="","",COUNTIFS(OHW!$A$5:$A$1668,OHW!$A884,OHW!$C$5:$C$1668,OHW!$C884))</f>
        <v/>
      </c>
      <c r="L1931">
        <f>IF(OHW!$G884="","",OHW!$D884&amp;"")</f>
        <v/>
      </c>
      <c r="M1931">
        <f>IF(OHW!$G884="","",OHW!$F884)</f>
        <v/>
      </c>
      <c r="N1931">
        <f>IF(OHW!$G884="","",OHW!$G884)</f>
        <v/>
      </c>
      <c r="O1931">
        <f>IF(OHW!$G884="","",OHW!$I884)</f>
        <v/>
      </c>
      <c r="P1931">
        <f>IF(OHW!$G884="","","Final")</f>
        <v/>
      </c>
    </row>
    <row r="1932">
      <c r="A1932">
        <f>IF(OHW!$G885="","","OHW")</f>
        <v/>
      </c>
      <c r="B1932">
        <f>IF(OHW!$G885="","","OHW")</f>
        <v/>
      </c>
      <c r="C1932" s="18">
        <f>IF(OHW!$G885="","",OHW!$A885)</f>
        <v/>
      </c>
      <c r="F1932">
        <f>IF(OHW!$G885="","",OHW!$B885&amp;"")</f>
        <v/>
      </c>
      <c r="J1932">
        <f>IF(OHW!$G885="","",OHW!$E885)</f>
        <v/>
      </c>
      <c r="K1932">
        <f>IF(OHW!$G885="","",COUNTIFS(OHW!$A$5:$A$1668,OHW!$A885,OHW!$C$5:$C$1668,OHW!$C885))</f>
        <v/>
      </c>
      <c r="L1932">
        <f>IF(OHW!$G885="","",OHW!$D885&amp;"")</f>
        <v/>
      </c>
      <c r="M1932">
        <f>IF(OHW!$G885="","",OHW!$F885)</f>
        <v/>
      </c>
      <c r="N1932">
        <f>IF(OHW!$G885="","",OHW!$G885)</f>
        <v/>
      </c>
      <c r="O1932">
        <f>IF(OHW!$G885="","",OHW!$I885)</f>
        <v/>
      </c>
      <c r="P1932">
        <f>IF(OHW!$G885="","","Final")</f>
        <v/>
      </c>
    </row>
    <row r="1933">
      <c r="A1933">
        <f>IF(OHW!$G886="","","OHW")</f>
        <v/>
      </c>
      <c r="B1933">
        <f>IF(OHW!$G886="","","OHW")</f>
        <v/>
      </c>
      <c r="C1933" s="18">
        <f>IF(OHW!$G886="","",OHW!$A886)</f>
        <v/>
      </c>
      <c r="F1933">
        <f>IF(OHW!$G886="","",OHW!$B886&amp;"")</f>
        <v/>
      </c>
      <c r="J1933">
        <f>IF(OHW!$G886="","",OHW!$E886)</f>
        <v/>
      </c>
      <c r="K1933">
        <f>IF(OHW!$G886="","",COUNTIFS(OHW!$A$5:$A$1668,OHW!$A886,OHW!$C$5:$C$1668,OHW!$C886))</f>
        <v/>
      </c>
      <c r="L1933">
        <f>IF(OHW!$G886="","",OHW!$D886&amp;"")</f>
        <v/>
      </c>
      <c r="M1933">
        <f>IF(OHW!$G886="","",OHW!$F886)</f>
        <v/>
      </c>
      <c r="N1933">
        <f>IF(OHW!$G886="","",OHW!$G886)</f>
        <v/>
      </c>
      <c r="O1933">
        <f>IF(OHW!$G886="","",OHW!$I886)</f>
        <v/>
      </c>
      <c r="P1933">
        <f>IF(OHW!$G886="","","Final")</f>
        <v/>
      </c>
    </row>
    <row r="1934">
      <c r="A1934">
        <f>IF(OHW!$G887="","","OHW")</f>
        <v/>
      </c>
      <c r="B1934">
        <f>IF(OHW!$G887="","","OHW")</f>
        <v/>
      </c>
      <c r="C1934" s="18">
        <f>IF(OHW!$G887="","",OHW!$A887)</f>
        <v/>
      </c>
      <c r="F1934">
        <f>IF(OHW!$G887="","",OHW!$B887&amp;"")</f>
        <v/>
      </c>
      <c r="J1934">
        <f>IF(OHW!$G887="","",OHW!$E887)</f>
        <v/>
      </c>
      <c r="K1934">
        <f>IF(OHW!$G887="","",COUNTIFS(OHW!$A$5:$A$1668,OHW!$A887,OHW!$C$5:$C$1668,OHW!$C887))</f>
        <v/>
      </c>
      <c r="L1934">
        <f>IF(OHW!$G887="","",OHW!$D887&amp;"")</f>
        <v/>
      </c>
      <c r="M1934">
        <f>IF(OHW!$G887="","",OHW!$F887)</f>
        <v/>
      </c>
      <c r="N1934">
        <f>IF(OHW!$G887="","",OHW!$G887)</f>
        <v/>
      </c>
      <c r="O1934">
        <f>IF(OHW!$G887="","",OHW!$I887)</f>
        <v/>
      </c>
      <c r="P1934">
        <f>IF(OHW!$G887="","","Final")</f>
        <v/>
      </c>
    </row>
    <row r="1935">
      <c r="A1935">
        <f>IF(OHW!$G888="","","OHW")</f>
        <v/>
      </c>
      <c r="B1935">
        <f>IF(OHW!$G888="","","OHW")</f>
        <v/>
      </c>
      <c r="C1935" s="18">
        <f>IF(OHW!$G888="","",OHW!$A888)</f>
        <v/>
      </c>
      <c r="F1935">
        <f>IF(OHW!$G888="","",OHW!$B888&amp;"")</f>
        <v/>
      </c>
      <c r="J1935">
        <f>IF(OHW!$G888="","",OHW!$E888)</f>
        <v/>
      </c>
      <c r="K1935">
        <f>IF(OHW!$G888="","",COUNTIFS(OHW!$A$5:$A$1668,OHW!$A888,OHW!$C$5:$C$1668,OHW!$C888))</f>
        <v/>
      </c>
      <c r="L1935">
        <f>IF(OHW!$G888="","",OHW!$D888&amp;"")</f>
        <v/>
      </c>
      <c r="M1935">
        <f>IF(OHW!$G888="","",OHW!$F888)</f>
        <v/>
      </c>
      <c r="N1935">
        <f>IF(OHW!$G888="","",OHW!$G888)</f>
        <v/>
      </c>
      <c r="O1935">
        <f>IF(OHW!$G888="","",OHW!$I888)</f>
        <v/>
      </c>
      <c r="P1935">
        <f>IF(OHW!$G888="","","Final")</f>
        <v/>
      </c>
    </row>
    <row r="1936">
      <c r="A1936">
        <f>IF(OHW!$G889="","","OHW")</f>
        <v/>
      </c>
      <c r="B1936">
        <f>IF(OHW!$G889="","","OHW")</f>
        <v/>
      </c>
      <c r="C1936" s="18">
        <f>IF(OHW!$G889="","",OHW!$A889)</f>
        <v/>
      </c>
      <c r="F1936">
        <f>IF(OHW!$G889="","",OHW!$B889&amp;"")</f>
        <v/>
      </c>
      <c r="J1936">
        <f>IF(OHW!$G889="","",OHW!$E889)</f>
        <v/>
      </c>
      <c r="K1936">
        <f>IF(OHW!$G889="","",COUNTIFS(OHW!$A$5:$A$1668,OHW!$A889,OHW!$C$5:$C$1668,OHW!$C889))</f>
        <v/>
      </c>
      <c r="L1936">
        <f>IF(OHW!$G889="","",OHW!$D889&amp;"")</f>
        <v/>
      </c>
      <c r="M1936">
        <f>IF(OHW!$G889="","",OHW!$F889)</f>
        <v/>
      </c>
      <c r="N1936">
        <f>IF(OHW!$G889="","",OHW!$G889)</f>
        <v/>
      </c>
      <c r="O1936">
        <f>IF(OHW!$G889="","",OHW!$I889)</f>
        <v/>
      </c>
      <c r="P1936">
        <f>IF(OHW!$G889="","","Final")</f>
        <v/>
      </c>
    </row>
    <row r="1937">
      <c r="A1937">
        <f>IF(OHW!$G890="","","OHW")</f>
        <v/>
      </c>
      <c r="B1937">
        <f>IF(OHW!$G890="","","OHW")</f>
        <v/>
      </c>
      <c r="C1937" s="18">
        <f>IF(OHW!$G890="","",OHW!$A890)</f>
        <v/>
      </c>
      <c r="F1937">
        <f>IF(OHW!$G890="","",OHW!$B890&amp;"")</f>
        <v/>
      </c>
      <c r="J1937">
        <f>IF(OHW!$G890="","",OHW!$E890)</f>
        <v/>
      </c>
      <c r="K1937">
        <f>IF(OHW!$G890="","",COUNTIFS(OHW!$A$5:$A$1668,OHW!$A890,OHW!$C$5:$C$1668,OHW!$C890))</f>
        <v/>
      </c>
      <c r="L1937">
        <f>IF(OHW!$G890="","",OHW!$D890&amp;"")</f>
        <v/>
      </c>
      <c r="M1937">
        <f>IF(OHW!$G890="","",OHW!$F890)</f>
        <v/>
      </c>
      <c r="N1937">
        <f>IF(OHW!$G890="","",OHW!$G890)</f>
        <v/>
      </c>
      <c r="O1937">
        <f>IF(OHW!$G890="","",OHW!$I890)</f>
        <v/>
      </c>
      <c r="P1937">
        <f>IF(OHW!$G890="","","Final")</f>
        <v/>
      </c>
    </row>
    <row r="1938">
      <c r="A1938">
        <f>IF(OHW!$G891="","","OHW")</f>
        <v/>
      </c>
      <c r="B1938">
        <f>IF(OHW!$G891="","","OHW")</f>
        <v/>
      </c>
      <c r="C1938" s="18">
        <f>IF(OHW!$G891="","",OHW!$A891)</f>
        <v/>
      </c>
      <c r="F1938">
        <f>IF(OHW!$G891="","",OHW!$B891&amp;"")</f>
        <v/>
      </c>
      <c r="J1938">
        <f>IF(OHW!$G891="","",OHW!$E891)</f>
        <v/>
      </c>
      <c r="K1938">
        <f>IF(OHW!$G891="","",COUNTIFS(OHW!$A$5:$A$1668,OHW!$A891,OHW!$C$5:$C$1668,OHW!$C891))</f>
        <v/>
      </c>
      <c r="L1938">
        <f>IF(OHW!$G891="","",OHW!$D891&amp;"")</f>
        <v/>
      </c>
      <c r="M1938">
        <f>IF(OHW!$G891="","",OHW!$F891)</f>
        <v/>
      </c>
      <c r="N1938">
        <f>IF(OHW!$G891="","",OHW!$G891)</f>
        <v/>
      </c>
      <c r="O1938">
        <f>IF(OHW!$G891="","",OHW!$I891)</f>
        <v/>
      </c>
      <c r="P1938">
        <f>IF(OHW!$G891="","","Final")</f>
        <v/>
      </c>
    </row>
    <row r="1939">
      <c r="A1939">
        <f>IF(OHW!$G892="","","OHW")</f>
        <v/>
      </c>
      <c r="B1939">
        <f>IF(OHW!$G892="","","OHW")</f>
        <v/>
      </c>
      <c r="C1939" s="18">
        <f>IF(OHW!$G892="","",OHW!$A892)</f>
        <v/>
      </c>
      <c r="F1939">
        <f>IF(OHW!$G892="","",OHW!$B892&amp;"")</f>
        <v/>
      </c>
      <c r="J1939">
        <f>IF(OHW!$G892="","",OHW!$E892)</f>
        <v/>
      </c>
      <c r="K1939">
        <f>IF(OHW!$G892="","",COUNTIFS(OHW!$A$5:$A$1668,OHW!$A892,OHW!$C$5:$C$1668,OHW!$C892))</f>
        <v/>
      </c>
      <c r="L1939">
        <f>IF(OHW!$G892="","",OHW!$D892&amp;"")</f>
        <v/>
      </c>
      <c r="M1939">
        <f>IF(OHW!$G892="","",OHW!$F892)</f>
        <v/>
      </c>
      <c r="N1939">
        <f>IF(OHW!$G892="","",OHW!$G892)</f>
        <v/>
      </c>
      <c r="O1939">
        <f>IF(OHW!$G892="","",OHW!$I892)</f>
        <v/>
      </c>
      <c r="P1939">
        <f>IF(OHW!$G892="","","Final")</f>
        <v/>
      </c>
    </row>
    <row r="1940">
      <c r="A1940">
        <f>IF(OHW!$G893="","","OHW")</f>
        <v/>
      </c>
      <c r="B1940">
        <f>IF(OHW!$G893="","","OHW")</f>
        <v/>
      </c>
      <c r="C1940" s="18">
        <f>IF(OHW!$G893="","",OHW!$A893)</f>
        <v/>
      </c>
      <c r="F1940">
        <f>IF(OHW!$G893="","",OHW!$B893&amp;"")</f>
        <v/>
      </c>
      <c r="J1940">
        <f>IF(OHW!$G893="","",OHW!$E893)</f>
        <v/>
      </c>
      <c r="K1940">
        <f>IF(OHW!$G893="","",COUNTIFS(OHW!$A$5:$A$1668,OHW!$A893,OHW!$C$5:$C$1668,OHW!$C893))</f>
        <v/>
      </c>
      <c r="L1940">
        <f>IF(OHW!$G893="","",OHW!$D893&amp;"")</f>
        <v/>
      </c>
      <c r="M1940">
        <f>IF(OHW!$G893="","",OHW!$F893)</f>
        <v/>
      </c>
      <c r="N1940">
        <f>IF(OHW!$G893="","",OHW!$G893)</f>
        <v/>
      </c>
      <c r="O1940">
        <f>IF(OHW!$G893="","",OHW!$I893)</f>
        <v/>
      </c>
      <c r="P1940">
        <f>IF(OHW!$G893="","","Final")</f>
        <v/>
      </c>
    </row>
    <row r="1941">
      <c r="A1941">
        <f>IF(OHW!$G894="","","OHW")</f>
        <v/>
      </c>
      <c r="B1941">
        <f>IF(OHW!$G894="","","OHW")</f>
        <v/>
      </c>
      <c r="C1941" s="18">
        <f>IF(OHW!$G894="","",OHW!$A894)</f>
        <v/>
      </c>
      <c r="F1941">
        <f>IF(OHW!$G894="","",OHW!$B894&amp;"")</f>
        <v/>
      </c>
      <c r="J1941">
        <f>IF(OHW!$G894="","",OHW!$E894)</f>
        <v/>
      </c>
      <c r="K1941">
        <f>IF(OHW!$G894="","",COUNTIFS(OHW!$A$5:$A$1668,OHW!$A894,OHW!$C$5:$C$1668,OHW!$C894))</f>
        <v/>
      </c>
      <c r="L1941">
        <f>IF(OHW!$G894="","",OHW!$D894&amp;"")</f>
        <v/>
      </c>
      <c r="M1941">
        <f>IF(OHW!$G894="","",OHW!$F894)</f>
        <v/>
      </c>
      <c r="N1941">
        <f>IF(OHW!$G894="","",OHW!$G894)</f>
        <v/>
      </c>
      <c r="O1941">
        <f>IF(OHW!$G894="","",OHW!$I894)</f>
        <v/>
      </c>
      <c r="P1941">
        <f>IF(OHW!$G894="","","Final")</f>
        <v/>
      </c>
    </row>
    <row r="1942">
      <c r="A1942">
        <f>IF(OHW!$G895="","","OHW")</f>
        <v/>
      </c>
      <c r="B1942">
        <f>IF(OHW!$G895="","","OHW")</f>
        <v/>
      </c>
      <c r="C1942" s="18">
        <f>IF(OHW!$G895="","",OHW!$A895)</f>
        <v/>
      </c>
      <c r="F1942">
        <f>IF(OHW!$G895="","",OHW!$B895&amp;"")</f>
        <v/>
      </c>
      <c r="J1942">
        <f>IF(OHW!$G895="","",OHW!$E895)</f>
        <v/>
      </c>
      <c r="K1942">
        <f>IF(OHW!$G895="","",COUNTIFS(OHW!$A$5:$A$1668,OHW!$A895,OHW!$C$5:$C$1668,OHW!$C895))</f>
        <v/>
      </c>
      <c r="L1942">
        <f>IF(OHW!$G895="","",OHW!$D895&amp;"")</f>
        <v/>
      </c>
      <c r="M1942">
        <f>IF(OHW!$G895="","",OHW!$F895)</f>
        <v/>
      </c>
      <c r="N1942">
        <f>IF(OHW!$G895="","",OHW!$G895)</f>
        <v/>
      </c>
      <c r="O1942">
        <f>IF(OHW!$G895="","",OHW!$I895)</f>
        <v/>
      </c>
      <c r="P1942">
        <f>IF(OHW!$G895="","","Final")</f>
        <v/>
      </c>
    </row>
    <row r="1943">
      <c r="A1943">
        <f>IF(OHW!$G896="","","OHW")</f>
        <v/>
      </c>
      <c r="B1943">
        <f>IF(OHW!$G896="","","OHW")</f>
        <v/>
      </c>
      <c r="C1943" s="18">
        <f>IF(OHW!$G896="","",OHW!$A896)</f>
        <v/>
      </c>
      <c r="F1943">
        <f>IF(OHW!$G896="","",OHW!$B896&amp;"")</f>
        <v/>
      </c>
      <c r="J1943">
        <f>IF(OHW!$G896="","",OHW!$E896)</f>
        <v/>
      </c>
      <c r="K1943">
        <f>IF(OHW!$G896="","",COUNTIFS(OHW!$A$5:$A$1668,OHW!$A896,OHW!$C$5:$C$1668,OHW!$C896))</f>
        <v/>
      </c>
      <c r="L1943">
        <f>IF(OHW!$G896="","",OHW!$D896&amp;"")</f>
        <v/>
      </c>
      <c r="M1943">
        <f>IF(OHW!$G896="","",OHW!$F896)</f>
        <v/>
      </c>
      <c r="N1943">
        <f>IF(OHW!$G896="","",OHW!$G896)</f>
        <v/>
      </c>
      <c r="O1943">
        <f>IF(OHW!$G896="","",OHW!$I896)</f>
        <v/>
      </c>
      <c r="P1943">
        <f>IF(OHW!$G896="","","Final")</f>
        <v/>
      </c>
    </row>
    <row r="1944">
      <c r="A1944">
        <f>IF(OHW!$G897="","","OHW")</f>
        <v/>
      </c>
      <c r="B1944">
        <f>IF(OHW!$G897="","","OHW")</f>
        <v/>
      </c>
      <c r="C1944" s="18">
        <f>IF(OHW!$G897="","",OHW!$A897)</f>
        <v/>
      </c>
      <c r="F1944">
        <f>IF(OHW!$G897="","",OHW!$B897&amp;"")</f>
        <v/>
      </c>
      <c r="J1944">
        <f>IF(OHW!$G897="","",OHW!$E897)</f>
        <v/>
      </c>
      <c r="K1944">
        <f>IF(OHW!$G897="","",COUNTIFS(OHW!$A$5:$A$1668,OHW!$A897,OHW!$C$5:$C$1668,OHW!$C897))</f>
        <v/>
      </c>
      <c r="L1944">
        <f>IF(OHW!$G897="","",OHW!$D897&amp;"")</f>
        <v/>
      </c>
      <c r="M1944">
        <f>IF(OHW!$G897="","",OHW!$F897)</f>
        <v/>
      </c>
      <c r="N1944">
        <f>IF(OHW!$G897="","",OHW!$G897)</f>
        <v/>
      </c>
      <c r="O1944">
        <f>IF(OHW!$G897="","",OHW!$I897)</f>
        <v/>
      </c>
      <c r="P1944">
        <f>IF(OHW!$G897="","","Final")</f>
        <v/>
      </c>
    </row>
    <row r="1945">
      <c r="A1945">
        <f>IF(OHW!$G898="","","OHW")</f>
        <v/>
      </c>
      <c r="B1945">
        <f>IF(OHW!$G898="","","OHW")</f>
        <v/>
      </c>
      <c r="C1945" s="18">
        <f>IF(OHW!$G898="","",OHW!$A898)</f>
        <v/>
      </c>
      <c r="F1945">
        <f>IF(OHW!$G898="","",OHW!$B898&amp;"")</f>
        <v/>
      </c>
      <c r="J1945">
        <f>IF(OHW!$G898="","",OHW!$E898)</f>
        <v/>
      </c>
      <c r="K1945">
        <f>IF(OHW!$G898="","",COUNTIFS(OHW!$A$5:$A$1668,OHW!$A898,OHW!$C$5:$C$1668,OHW!$C898))</f>
        <v/>
      </c>
      <c r="L1945">
        <f>IF(OHW!$G898="","",OHW!$D898&amp;"")</f>
        <v/>
      </c>
      <c r="M1945">
        <f>IF(OHW!$G898="","",OHW!$F898)</f>
        <v/>
      </c>
      <c r="N1945">
        <f>IF(OHW!$G898="","",OHW!$G898)</f>
        <v/>
      </c>
      <c r="O1945">
        <f>IF(OHW!$G898="","",OHW!$I898)</f>
        <v/>
      </c>
      <c r="P1945">
        <f>IF(OHW!$G898="","","Final")</f>
        <v/>
      </c>
    </row>
    <row r="1946">
      <c r="A1946">
        <f>IF(OHW!$G899="","","OHW")</f>
        <v/>
      </c>
      <c r="B1946">
        <f>IF(OHW!$G899="","","OHW")</f>
        <v/>
      </c>
      <c r="C1946" s="18">
        <f>IF(OHW!$G899="","",OHW!$A899)</f>
        <v/>
      </c>
      <c r="F1946">
        <f>IF(OHW!$G899="","",OHW!$B899&amp;"")</f>
        <v/>
      </c>
      <c r="J1946">
        <f>IF(OHW!$G899="","",OHW!$E899)</f>
        <v/>
      </c>
      <c r="K1946">
        <f>IF(OHW!$G899="","",COUNTIFS(OHW!$A$5:$A$1668,OHW!$A899,OHW!$C$5:$C$1668,OHW!$C899))</f>
        <v/>
      </c>
      <c r="L1946">
        <f>IF(OHW!$G899="","",OHW!$D899&amp;"")</f>
        <v/>
      </c>
      <c r="M1946">
        <f>IF(OHW!$G899="","",OHW!$F899)</f>
        <v/>
      </c>
      <c r="N1946">
        <f>IF(OHW!$G899="","",OHW!$G899)</f>
        <v/>
      </c>
      <c r="O1946">
        <f>IF(OHW!$G899="","",OHW!$I899)</f>
        <v/>
      </c>
      <c r="P1946">
        <f>IF(OHW!$G899="","","Final")</f>
        <v/>
      </c>
    </row>
    <row r="1947">
      <c r="A1947">
        <f>IF(OHW!$G900="","","OHW")</f>
        <v/>
      </c>
      <c r="B1947">
        <f>IF(OHW!$G900="","","OHW")</f>
        <v/>
      </c>
      <c r="C1947" s="18">
        <f>IF(OHW!$G900="","",OHW!$A900)</f>
        <v/>
      </c>
      <c r="F1947">
        <f>IF(OHW!$G900="","",OHW!$B900&amp;"")</f>
        <v/>
      </c>
      <c r="J1947">
        <f>IF(OHW!$G900="","",OHW!$E900)</f>
        <v/>
      </c>
      <c r="K1947">
        <f>IF(OHW!$G900="","",COUNTIFS(OHW!$A$5:$A$1668,OHW!$A900,OHW!$C$5:$C$1668,OHW!$C900))</f>
        <v/>
      </c>
      <c r="L1947">
        <f>IF(OHW!$G900="","",OHW!$D900&amp;"")</f>
        <v/>
      </c>
      <c r="M1947">
        <f>IF(OHW!$G900="","",OHW!$F900)</f>
        <v/>
      </c>
      <c r="N1947">
        <f>IF(OHW!$G900="","",OHW!$G900)</f>
        <v/>
      </c>
      <c r="O1947">
        <f>IF(OHW!$G900="","",OHW!$I900)</f>
        <v/>
      </c>
      <c r="P1947">
        <f>IF(OHW!$G900="","","Final")</f>
        <v/>
      </c>
    </row>
    <row r="1948">
      <c r="A1948">
        <f>IF(OHW!$G901="","","OHW")</f>
        <v/>
      </c>
      <c r="B1948">
        <f>IF(OHW!$G901="","","OHW")</f>
        <v/>
      </c>
      <c r="C1948" s="18">
        <f>IF(OHW!$G901="","",OHW!$A901)</f>
        <v/>
      </c>
      <c r="F1948">
        <f>IF(OHW!$G901="","",OHW!$B901&amp;"")</f>
        <v/>
      </c>
      <c r="J1948">
        <f>IF(OHW!$G901="","",OHW!$E901)</f>
        <v/>
      </c>
      <c r="K1948">
        <f>IF(OHW!$G901="","",COUNTIFS(OHW!$A$5:$A$1668,OHW!$A901,OHW!$C$5:$C$1668,OHW!$C901))</f>
        <v/>
      </c>
      <c r="L1948">
        <f>IF(OHW!$G901="","",OHW!$D901&amp;"")</f>
        <v/>
      </c>
      <c r="M1948">
        <f>IF(OHW!$G901="","",OHW!$F901)</f>
        <v/>
      </c>
      <c r="N1948">
        <f>IF(OHW!$G901="","",OHW!$G901)</f>
        <v/>
      </c>
      <c r="O1948">
        <f>IF(OHW!$G901="","",OHW!$I901)</f>
        <v/>
      </c>
      <c r="P1948">
        <f>IF(OHW!$G901="","","Final")</f>
        <v/>
      </c>
    </row>
    <row r="1949">
      <c r="A1949">
        <f>IF(OHW!$G902="","","OHW")</f>
        <v/>
      </c>
      <c r="B1949">
        <f>IF(OHW!$G902="","","OHW")</f>
        <v/>
      </c>
      <c r="C1949" s="18">
        <f>IF(OHW!$G902="","",OHW!$A902)</f>
        <v/>
      </c>
      <c r="F1949">
        <f>IF(OHW!$G902="","",OHW!$B902&amp;"")</f>
        <v/>
      </c>
      <c r="J1949">
        <f>IF(OHW!$G902="","",OHW!$E902)</f>
        <v/>
      </c>
      <c r="K1949">
        <f>IF(OHW!$G902="","",COUNTIFS(OHW!$A$5:$A$1668,OHW!$A902,OHW!$C$5:$C$1668,OHW!$C902))</f>
        <v/>
      </c>
      <c r="L1949">
        <f>IF(OHW!$G902="","",OHW!$D902&amp;"")</f>
        <v/>
      </c>
      <c r="M1949">
        <f>IF(OHW!$G902="","",OHW!$F902)</f>
        <v/>
      </c>
      <c r="N1949">
        <f>IF(OHW!$G902="","",OHW!$G902)</f>
        <v/>
      </c>
      <c r="O1949">
        <f>IF(OHW!$G902="","",OHW!$I902)</f>
        <v/>
      </c>
      <c r="P1949">
        <f>IF(OHW!$G902="","","Final")</f>
        <v/>
      </c>
    </row>
    <row r="1950">
      <c r="A1950">
        <f>IF(OHW!$G903="","","OHW")</f>
        <v/>
      </c>
      <c r="B1950">
        <f>IF(OHW!$G903="","","OHW")</f>
        <v/>
      </c>
      <c r="C1950" s="18">
        <f>IF(OHW!$G903="","",OHW!$A903)</f>
        <v/>
      </c>
      <c r="F1950">
        <f>IF(OHW!$G903="","",OHW!$B903&amp;"")</f>
        <v/>
      </c>
      <c r="J1950">
        <f>IF(OHW!$G903="","",OHW!$E903)</f>
        <v/>
      </c>
      <c r="K1950">
        <f>IF(OHW!$G903="","",COUNTIFS(OHW!$A$5:$A$1668,OHW!$A903,OHW!$C$5:$C$1668,OHW!$C903))</f>
        <v/>
      </c>
      <c r="L1950">
        <f>IF(OHW!$G903="","",OHW!$D903&amp;"")</f>
        <v/>
      </c>
      <c r="M1950">
        <f>IF(OHW!$G903="","",OHW!$F903)</f>
        <v/>
      </c>
      <c r="N1950">
        <f>IF(OHW!$G903="","",OHW!$G903)</f>
        <v/>
      </c>
      <c r="O1950">
        <f>IF(OHW!$G903="","",OHW!$I903)</f>
        <v/>
      </c>
      <c r="P1950">
        <f>IF(OHW!$G903="","","Final")</f>
        <v/>
      </c>
    </row>
    <row r="1951">
      <c r="A1951">
        <f>IF(OHW!$G904="","","OHW")</f>
        <v/>
      </c>
      <c r="B1951">
        <f>IF(OHW!$G904="","","OHW")</f>
        <v/>
      </c>
      <c r="C1951" s="18">
        <f>IF(OHW!$G904="","",OHW!$A904)</f>
        <v/>
      </c>
      <c r="F1951">
        <f>IF(OHW!$G904="","",OHW!$B904&amp;"")</f>
        <v/>
      </c>
      <c r="J1951">
        <f>IF(OHW!$G904="","",OHW!$E904)</f>
        <v/>
      </c>
      <c r="K1951">
        <f>IF(OHW!$G904="","",COUNTIFS(OHW!$A$5:$A$1668,OHW!$A904,OHW!$C$5:$C$1668,OHW!$C904))</f>
        <v/>
      </c>
      <c r="L1951">
        <f>IF(OHW!$G904="","",OHW!$D904&amp;"")</f>
        <v/>
      </c>
      <c r="M1951">
        <f>IF(OHW!$G904="","",OHW!$F904)</f>
        <v/>
      </c>
      <c r="N1951">
        <f>IF(OHW!$G904="","",OHW!$G904)</f>
        <v/>
      </c>
      <c r="O1951">
        <f>IF(OHW!$G904="","",OHW!$I904)</f>
        <v/>
      </c>
      <c r="P1951">
        <f>IF(OHW!$G904="","","Final")</f>
        <v/>
      </c>
    </row>
    <row r="1952">
      <c r="A1952">
        <f>IF(OHW!$G905="","","OHW")</f>
        <v/>
      </c>
      <c r="B1952">
        <f>IF(OHW!$G905="","","OHW")</f>
        <v/>
      </c>
      <c r="C1952" s="18">
        <f>IF(OHW!$G905="","",OHW!$A905)</f>
        <v/>
      </c>
      <c r="F1952">
        <f>IF(OHW!$G905="","",OHW!$B905&amp;"")</f>
        <v/>
      </c>
      <c r="J1952">
        <f>IF(OHW!$G905="","",OHW!$E905)</f>
        <v/>
      </c>
      <c r="K1952">
        <f>IF(OHW!$G905="","",COUNTIFS(OHW!$A$5:$A$1668,OHW!$A905,OHW!$C$5:$C$1668,OHW!$C905))</f>
        <v/>
      </c>
      <c r="L1952">
        <f>IF(OHW!$G905="","",OHW!$D905&amp;"")</f>
        <v/>
      </c>
      <c r="M1952">
        <f>IF(OHW!$G905="","",OHW!$F905)</f>
        <v/>
      </c>
      <c r="N1952">
        <f>IF(OHW!$G905="","",OHW!$G905)</f>
        <v/>
      </c>
      <c r="O1952">
        <f>IF(OHW!$G905="","",OHW!$I905)</f>
        <v/>
      </c>
      <c r="P1952">
        <f>IF(OHW!$G905="","","Final")</f>
        <v/>
      </c>
    </row>
    <row r="1953">
      <c r="A1953">
        <f>IF(OHW!$G906="","","OHW")</f>
        <v/>
      </c>
      <c r="B1953">
        <f>IF(OHW!$G906="","","OHW")</f>
        <v/>
      </c>
      <c r="C1953" s="18">
        <f>IF(OHW!$G906="","",OHW!$A906)</f>
        <v/>
      </c>
      <c r="F1953">
        <f>IF(OHW!$G906="","",OHW!$B906&amp;"")</f>
        <v/>
      </c>
      <c r="J1953">
        <f>IF(OHW!$G906="","",OHW!$E906)</f>
        <v/>
      </c>
      <c r="K1953">
        <f>IF(OHW!$G906="","",COUNTIFS(OHW!$A$5:$A$1668,OHW!$A906,OHW!$C$5:$C$1668,OHW!$C906))</f>
        <v/>
      </c>
      <c r="L1953">
        <f>IF(OHW!$G906="","",OHW!$D906&amp;"")</f>
        <v/>
      </c>
      <c r="M1953">
        <f>IF(OHW!$G906="","",OHW!$F906)</f>
        <v/>
      </c>
      <c r="N1953">
        <f>IF(OHW!$G906="","",OHW!$G906)</f>
        <v/>
      </c>
      <c r="O1953">
        <f>IF(OHW!$G906="","",OHW!$I906)</f>
        <v/>
      </c>
      <c r="P1953">
        <f>IF(OHW!$G906="","","Final")</f>
        <v/>
      </c>
    </row>
    <row r="1954">
      <c r="A1954">
        <f>IF(OHW!$G907="","","OHW")</f>
        <v/>
      </c>
      <c r="B1954">
        <f>IF(OHW!$G907="","","OHW")</f>
        <v/>
      </c>
      <c r="C1954" s="18">
        <f>IF(OHW!$G907="","",OHW!$A907)</f>
        <v/>
      </c>
      <c r="F1954">
        <f>IF(OHW!$G907="","",OHW!$B907&amp;"")</f>
        <v/>
      </c>
      <c r="J1954">
        <f>IF(OHW!$G907="","",OHW!$E907)</f>
        <v/>
      </c>
      <c r="K1954">
        <f>IF(OHW!$G907="","",COUNTIFS(OHW!$A$5:$A$1668,OHW!$A907,OHW!$C$5:$C$1668,OHW!$C907))</f>
        <v/>
      </c>
      <c r="L1954">
        <f>IF(OHW!$G907="","",OHW!$D907&amp;"")</f>
        <v/>
      </c>
      <c r="M1954">
        <f>IF(OHW!$G907="","",OHW!$F907)</f>
        <v/>
      </c>
      <c r="N1954">
        <f>IF(OHW!$G907="","",OHW!$G907)</f>
        <v/>
      </c>
      <c r="O1954">
        <f>IF(OHW!$G907="","",OHW!$I907)</f>
        <v/>
      </c>
      <c r="P1954">
        <f>IF(OHW!$G907="","","Final")</f>
        <v/>
      </c>
    </row>
    <row r="1955">
      <c r="A1955">
        <f>IF(OHW!$G908="","","OHW")</f>
        <v/>
      </c>
      <c r="B1955">
        <f>IF(OHW!$G908="","","OHW")</f>
        <v/>
      </c>
      <c r="C1955" s="18">
        <f>IF(OHW!$G908="","",OHW!$A908)</f>
        <v/>
      </c>
      <c r="F1955">
        <f>IF(OHW!$G908="","",OHW!$B908&amp;"")</f>
        <v/>
      </c>
      <c r="J1955">
        <f>IF(OHW!$G908="","",OHW!$E908)</f>
        <v/>
      </c>
      <c r="K1955">
        <f>IF(OHW!$G908="","",COUNTIFS(OHW!$A$5:$A$1668,OHW!$A908,OHW!$C$5:$C$1668,OHW!$C908))</f>
        <v/>
      </c>
      <c r="L1955">
        <f>IF(OHW!$G908="","",OHW!$D908&amp;"")</f>
        <v/>
      </c>
      <c r="M1955">
        <f>IF(OHW!$G908="","",OHW!$F908)</f>
        <v/>
      </c>
      <c r="N1955">
        <f>IF(OHW!$G908="","",OHW!$G908)</f>
        <v/>
      </c>
      <c r="O1955">
        <f>IF(OHW!$G908="","",OHW!$I908)</f>
        <v/>
      </c>
      <c r="P1955">
        <f>IF(OHW!$G908="","","Final")</f>
        <v/>
      </c>
    </row>
    <row r="1956">
      <c r="A1956">
        <f>IF(OHW!$G909="","","OHW")</f>
        <v/>
      </c>
      <c r="B1956">
        <f>IF(OHW!$G909="","","OHW")</f>
        <v/>
      </c>
      <c r="C1956" s="18">
        <f>IF(OHW!$G909="","",OHW!$A909)</f>
        <v/>
      </c>
      <c r="F1956">
        <f>IF(OHW!$G909="","",OHW!$B909&amp;"")</f>
        <v/>
      </c>
      <c r="J1956">
        <f>IF(OHW!$G909="","",OHW!$E909)</f>
        <v/>
      </c>
      <c r="K1956">
        <f>IF(OHW!$G909="","",COUNTIFS(OHW!$A$5:$A$1668,OHW!$A909,OHW!$C$5:$C$1668,OHW!$C909))</f>
        <v/>
      </c>
      <c r="L1956">
        <f>IF(OHW!$G909="","",OHW!$D909&amp;"")</f>
        <v/>
      </c>
      <c r="M1956">
        <f>IF(OHW!$G909="","",OHW!$F909)</f>
        <v/>
      </c>
      <c r="N1956">
        <f>IF(OHW!$G909="","",OHW!$G909)</f>
        <v/>
      </c>
      <c r="O1956">
        <f>IF(OHW!$G909="","",OHW!$I909)</f>
        <v/>
      </c>
      <c r="P1956">
        <f>IF(OHW!$G909="","","Final")</f>
        <v/>
      </c>
    </row>
    <row r="1957">
      <c r="A1957">
        <f>IF(OHW!$G910="","","OHW")</f>
        <v/>
      </c>
      <c r="B1957">
        <f>IF(OHW!$G910="","","OHW")</f>
        <v/>
      </c>
      <c r="C1957" s="18">
        <f>IF(OHW!$G910="","",OHW!$A910)</f>
        <v/>
      </c>
      <c r="F1957">
        <f>IF(OHW!$G910="","",OHW!$B910&amp;"")</f>
        <v/>
      </c>
      <c r="J1957">
        <f>IF(OHW!$G910="","",OHW!$E910)</f>
        <v/>
      </c>
      <c r="K1957">
        <f>IF(OHW!$G910="","",COUNTIFS(OHW!$A$5:$A$1668,OHW!$A910,OHW!$C$5:$C$1668,OHW!$C910))</f>
        <v/>
      </c>
      <c r="L1957">
        <f>IF(OHW!$G910="","",OHW!$D910&amp;"")</f>
        <v/>
      </c>
      <c r="M1957">
        <f>IF(OHW!$G910="","",OHW!$F910)</f>
        <v/>
      </c>
      <c r="N1957">
        <f>IF(OHW!$G910="","",OHW!$G910)</f>
        <v/>
      </c>
      <c r="O1957">
        <f>IF(OHW!$G910="","",OHW!$I910)</f>
        <v/>
      </c>
      <c r="P1957">
        <f>IF(OHW!$G910="","","Final")</f>
        <v/>
      </c>
    </row>
    <row r="1958">
      <c r="A1958">
        <f>IF(OHW!$G911="","","OHW")</f>
        <v/>
      </c>
      <c r="B1958">
        <f>IF(OHW!$G911="","","OHW")</f>
        <v/>
      </c>
      <c r="C1958" s="18">
        <f>IF(OHW!$G911="","",OHW!$A911)</f>
        <v/>
      </c>
      <c r="F1958">
        <f>IF(OHW!$G911="","",OHW!$B911&amp;"")</f>
        <v/>
      </c>
      <c r="J1958">
        <f>IF(OHW!$G911="","",OHW!$E911)</f>
        <v/>
      </c>
      <c r="K1958">
        <f>IF(OHW!$G911="","",COUNTIFS(OHW!$A$5:$A$1668,OHW!$A911,OHW!$C$5:$C$1668,OHW!$C911))</f>
        <v/>
      </c>
      <c r="L1958">
        <f>IF(OHW!$G911="","",OHW!$D911&amp;"")</f>
        <v/>
      </c>
      <c r="M1958">
        <f>IF(OHW!$G911="","",OHW!$F911)</f>
        <v/>
      </c>
      <c r="N1958">
        <f>IF(OHW!$G911="","",OHW!$G911)</f>
        <v/>
      </c>
      <c r="O1958">
        <f>IF(OHW!$G911="","",OHW!$I911)</f>
        <v/>
      </c>
      <c r="P1958">
        <f>IF(OHW!$G911="","","Final")</f>
        <v/>
      </c>
    </row>
    <row r="1959">
      <c r="A1959">
        <f>IF(OHW!$G912="","","OHW")</f>
        <v/>
      </c>
      <c r="B1959">
        <f>IF(OHW!$G912="","","OHW")</f>
        <v/>
      </c>
      <c r="C1959" s="18">
        <f>IF(OHW!$G912="","",OHW!$A912)</f>
        <v/>
      </c>
      <c r="F1959">
        <f>IF(OHW!$G912="","",OHW!$B912&amp;"")</f>
        <v/>
      </c>
      <c r="J1959">
        <f>IF(OHW!$G912="","",OHW!$E912)</f>
        <v/>
      </c>
      <c r="K1959">
        <f>IF(OHW!$G912="","",COUNTIFS(OHW!$A$5:$A$1668,OHW!$A912,OHW!$C$5:$C$1668,OHW!$C912))</f>
        <v/>
      </c>
      <c r="L1959">
        <f>IF(OHW!$G912="","",OHW!$D912&amp;"")</f>
        <v/>
      </c>
      <c r="M1959">
        <f>IF(OHW!$G912="","",OHW!$F912)</f>
        <v/>
      </c>
      <c r="N1959">
        <f>IF(OHW!$G912="","",OHW!$G912)</f>
        <v/>
      </c>
      <c r="O1959">
        <f>IF(OHW!$G912="","",OHW!$I912)</f>
        <v/>
      </c>
      <c r="P1959">
        <f>IF(OHW!$G912="","","Final")</f>
        <v/>
      </c>
    </row>
    <row r="1960">
      <c r="A1960">
        <f>IF(OHW!$G913="","","OHW")</f>
        <v/>
      </c>
      <c r="B1960">
        <f>IF(OHW!$G913="","","OHW")</f>
        <v/>
      </c>
      <c r="C1960" s="18">
        <f>IF(OHW!$G913="","",OHW!$A913)</f>
        <v/>
      </c>
      <c r="F1960">
        <f>IF(OHW!$G913="","",OHW!$B913&amp;"")</f>
        <v/>
      </c>
      <c r="J1960">
        <f>IF(OHW!$G913="","",OHW!$E913)</f>
        <v/>
      </c>
      <c r="K1960">
        <f>IF(OHW!$G913="","",COUNTIFS(OHW!$A$5:$A$1668,OHW!$A913,OHW!$C$5:$C$1668,OHW!$C913))</f>
        <v/>
      </c>
      <c r="L1960">
        <f>IF(OHW!$G913="","",OHW!$D913&amp;"")</f>
        <v/>
      </c>
      <c r="M1960">
        <f>IF(OHW!$G913="","",OHW!$F913)</f>
        <v/>
      </c>
      <c r="N1960">
        <f>IF(OHW!$G913="","",OHW!$G913)</f>
        <v/>
      </c>
      <c r="O1960">
        <f>IF(OHW!$G913="","",OHW!$I913)</f>
        <v/>
      </c>
      <c r="P1960">
        <f>IF(OHW!$G913="","","Final")</f>
        <v/>
      </c>
    </row>
    <row r="1961">
      <c r="A1961">
        <f>IF(OHW!$G914="","","OHW")</f>
        <v/>
      </c>
      <c r="B1961">
        <f>IF(OHW!$G914="","","OHW")</f>
        <v/>
      </c>
      <c r="C1961" s="18">
        <f>IF(OHW!$G914="","",OHW!$A914)</f>
        <v/>
      </c>
      <c r="F1961">
        <f>IF(OHW!$G914="","",OHW!$B914&amp;"")</f>
        <v/>
      </c>
      <c r="J1961">
        <f>IF(OHW!$G914="","",OHW!$E914)</f>
        <v/>
      </c>
      <c r="K1961">
        <f>IF(OHW!$G914="","",COUNTIFS(OHW!$A$5:$A$1668,OHW!$A914,OHW!$C$5:$C$1668,OHW!$C914))</f>
        <v/>
      </c>
      <c r="L1961">
        <f>IF(OHW!$G914="","",OHW!$D914&amp;"")</f>
        <v/>
      </c>
      <c r="M1961">
        <f>IF(OHW!$G914="","",OHW!$F914)</f>
        <v/>
      </c>
      <c r="N1961">
        <f>IF(OHW!$G914="","",OHW!$G914)</f>
        <v/>
      </c>
      <c r="O1961">
        <f>IF(OHW!$G914="","",OHW!$I914)</f>
        <v/>
      </c>
      <c r="P1961">
        <f>IF(OHW!$G914="","","Final")</f>
        <v/>
      </c>
    </row>
    <row r="1962">
      <c r="A1962">
        <f>IF(OHW!$G915="","","OHW")</f>
        <v/>
      </c>
      <c r="B1962">
        <f>IF(OHW!$G915="","","OHW")</f>
        <v/>
      </c>
      <c r="C1962" s="18">
        <f>IF(OHW!$G915="","",OHW!$A915)</f>
        <v/>
      </c>
      <c r="F1962">
        <f>IF(OHW!$G915="","",OHW!$B915&amp;"")</f>
        <v/>
      </c>
      <c r="J1962">
        <f>IF(OHW!$G915="","",OHW!$E915)</f>
        <v/>
      </c>
      <c r="K1962">
        <f>IF(OHW!$G915="","",COUNTIFS(OHW!$A$5:$A$1668,OHW!$A915,OHW!$C$5:$C$1668,OHW!$C915))</f>
        <v/>
      </c>
      <c r="L1962">
        <f>IF(OHW!$G915="","",OHW!$D915&amp;"")</f>
        <v/>
      </c>
      <c r="M1962">
        <f>IF(OHW!$G915="","",OHW!$F915)</f>
        <v/>
      </c>
      <c r="N1962">
        <f>IF(OHW!$G915="","",OHW!$G915)</f>
        <v/>
      </c>
      <c r="O1962">
        <f>IF(OHW!$G915="","",OHW!$I915)</f>
        <v/>
      </c>
      <c r="P1962">
        <f>IF(OHW!$G915="","","Final")</f>
        <v/>
      </c>
    </row>
    <row r="1963">
      <c r="A1963">
        <f>IF(OHW!$G916="","","OHW")</f>
        <v/>
      </c>
      <c r="B1963">
        <f>IF(OHW!$G916="","","OHW")</f>
        <v/>
      </c>
      <c r="C1963" s="18">
        <f>IF(OHW!$G916="","",OHW!$A916)</f>
        <v/>
      </c>
      <c r="F1963">
        <f>IF(OHW!$G916="","",OHW!$B916&amp;"")</f>
        <v/>
      </c>
      <c r="J1963">
        <f>IF(OHW!$G916="","",OHW!$E916)</f>
        <v/>
      </c>
      <c r="K1963">
        <f>IF(OHW!$G916="","",COUNTIFS(OHW!$A$5:$A$1668,OHW!$A916,OHW!$C$5:$C$1668,OHW!$C916))</f>
        <v/>
      </c>
      <c r="L1963">
        <f>IF(OHW!$G916="","",OHW!$D916&amp;"")</f>
        <v/>
      </c>
      <c r="M1963">
        <f>IF(OHW!$G916="","",OHW!$F916)</f>
        <v/>
      </c>
      <c r="N1963">
        <f>IF(OHW!$G916="","",OHW!$G916)</f>
        <v/>
      </c>
      <c r="O1963">
        <f>IF(OHW!$G916="","",OHW!$I916)</f>
        <v/>
      </c>
      <c r="P1963">
        <f>IF(OHW!$G916="","","Final")</f>
        <v/>
      </c>
    </row>
    <row r="1964">
      <c r="A1964">
        <f>IF(OHW!$G917="","","OHW")</f>
        <v/>
      </c>
      <c r="B1964">
        <f>IF(OHW!$G917="","","OHW")</f>
        <v/>
      </c>
      <c r="C1964" s="18">
        <f>IF(OHW!$G917="","",OHW!$A917)</f>
        <v/>
      </c>
      <c r="F1964">
        <f>IF(OHW!$G917="","",OHW!$B917&amp;"")</f>
        <v/>
      </c>
      <c r="J1964">
        <f>IF(OHW!$G917="","",OHW!$E917)</f>
        <v/>
      </c>
      <c r="K1964">
        <f>IF(OHW!$G917="","",COUNTIFS(OHW!$A$5:$A$1668,OHW!$A917,OHW!$C$5:$C$1668,OHW!$C917))</f>
        <v/>
      </c>
      <c r="L1964">
        <f>IF(OHW!$G917="","",OHW!$D917&amp;"")</f>
        <v/>
      </c>
      <c r="M1964">
        <f>IF(OHW!$G917="","",OHW!$F917)</f>
        <v/>
      </c>
      <c r="N1964">
        <f>IF(OHW!$G917="","",OHW!$G917)</f>
        <v/>
      </c>
      <c r="O1964">
        <f>IF(OHW!$G917="","",OHW!$I917)</f>
        <v/>
      </c>
      <c r="P1964">
        <f>IF(OHW!$G917="","","Final")</f>
        <v/>
      </c>
    </row>
    <row r="1965">
      <c r="A1965">
        <f>IF(OHW!$G918="","","OHW")</f>
        <v/>
      </c>
      <c r="B1965">
        <f>IF(OHW!$G918="","","OHW")</f>
        <v/>
      </c>
      <c r="C1965" s="18">
        <f>IF(OHW!$G918="","",OHW!$A918)</f>
        <v/>
      </c>
      <c r="F1965">
        <f>IF(OHW!$G918="","",OHW!$B918&amp;"")</f>
        <v/>
      </c>
      <c r="J1965">
        <f>IF(OHW!$G918="","",OHW!$E918)</f>
        <v/>
      </c>
      <c r="K1965">
        <f>IF(OHW!$G918="","",COUNTIFS(OHW!$A$5:$A$1668,OHW!$A918,OHW!$C$5:$C$1668,OHW!$C918))</f>
        <v/>
      </c>
      <c r="L1965">
        <f>IF(OHW!$G918="","",OHW!$D918&amp;"")</f>
        <v/>
      </c>
      <c r="M1965">
        <f>IF(OHW!$G918="","",OHW!$F918)</f>
        <v/>
      </c>
      <c r="N1965">
        <f>IF(OHW!$G918="","",OHW!$G918)</f>
        <v/>
      </c>
      <c r="O1965">
        <f>IF(OHW!$G918="","",OHW!$I918)</f>
        <v/>
      </c>
      <c r="P1965">
        <f>IF(OHW!$G918="","","Final")</f>
        <v/>
      </c>
    </row>
    <row r="1966">
      <c r="A1966">
        <f>IF(OHW!$G919="","","OHW")</f>
        <v/>
      </c>
      <c r="B1966">
        <f>IF(OHW!$G919="","","OHW")</f>
        <v/>
      </c>
      <c r="C1966" s="18">
        <f>IF(OHW!$G919="","",OHW!$A919)</f>
        <v/>
      </c>
      <c r="F1966">
        <f>IF(OHW!$G919="","",OHW!$B919&amp;"")</f>
        <v/>
      </c>
      <c r="J1966">
        <f>IF(OHW!$G919="","",OHW!$E919)</f>
        <v/>
      </c>
      <c r="K1966">
        <f>IF(OHW!$G919="","",COUNTIFS(OHW!$A$5:$A$1668,OHW!$A919,OHW!$C$5:$C$1668,OHW!$C919))</f>
        <v/>
      </c>
      <c r="L1966">
        <f>IF(OHW!$G919="","",OHW!$D919&amp;"")</f>
        <v/>
      </c>
      <c r="M1966">
        <f>IF(OHW!$G919="","",OHW!$F919)</f>
        <v/>
      </c>
      <c r="N1966">
        <f>IF(OHW!$G919="","",OHW!$G919)</f>
        <v/>
      </c>
      <c r="O1966">
        <f>IF(OHW!$G919="","",OHW!$I919)</f>
        <v/>
      </c>
      <c r="P1966">
        <f>IF(OHW!$G919="","","Final")</f>
        <v/>
      </c>
    </row>
    <row r="1967">
      <c r="A1967">
        <f>IF(OHW!$G920="","","OHW")</f>
        <v/>
      </c>
      <c r="B1967">
        <f>IF(OHW!$G920="","","OHW")</f>
        <v/>
      </c>
      <c r="C1967" s="18">
        <f>IF(OHW!$G920="","",OHW!$A920)</f>
        <v/>
      </c>
      <c r="F1967">
        <f>IF(OHW!$G920="","",OHW!$B920&amp;"")</f>
        <v/>
      </c>
      <c r="J1967">
        <f>IF(OHW!$G920="","",OHW!$E920)</f>
        <v/>
      </c>
      <c r="K1967">
        <f>IF(OHW!$G920="","",COUNTIFS(OHW!$A$5:$A$1668,OHW!$A920,OHW!$C$5:$C$1668,OHW!$C920))</f>
        <v/>
      </c>
      <c r="L1967">
        <f>IF(OHW!$G920="","",OHW!$D920&amp;"")</f>
        <v/>
      </c>
      <c r="M1967">
        <f>IF(OHW!$G920="","",OHW!$F920)</f>
        <v/>
      </c>
      <c r="N1967">
        <f>IF(OHW!$G920="","",OHW!$G920)</f>
        <v/>
      </c>
      <c r="O1967">
        <f>IF(OHW!$G920="","",OHW!$I920)</f>
        <v/>
      </c>
      <c r="P1967">
        <f>IF(OHW!$G920="","","Final")</f>
        <v/>
      </c>
    </row>
    <row r="1968">
      <c r="A1968">
        <f>IF(OHW!$G921="","","OHW")</f>
        <v/>
      </c>
      <c r="B1968">
        <f>IF(OHW!$G921="","","OHW")</f>
        <v/>
      </c>
      <c r="C1968" s="18">
        <f>IF(OHW!$G921="","",OHW!$A921)</f>
        <v/>
      </c>
      <c r="F1968">
        <f>IF(OHW!$G921="","",OHW!$B921&amp;"")</f>
        <v/>
      </c>
      <c r="J1968">
        <f>IF(OHW!$G921="","",OHW!$E921)</f>
        <v/>
      </c>
      <c r="K1968">
        <f>IF(OHW!$G921="","",COUNTIFS(OHW!$A$5:$A$1668,OHW!$A921,OHW!$C$5:$C$1668,OHW!$C921))</f>
        <v/>
      </c>
      <c r="L1968">
        <f>IF(OHW!$G921="","",OHW!$D921&amp;"")</f>
        <v/>
      </c>
      <c r="M1968">
        <f>IF(OHW!$G921="","",OHW!$F921)</f>
        <v/>
      </c>
      <c r="N1968">
        <f>IF(OHW!$G921="","",OHW!$G921)</f>
        <v/>
      </c>
      <c r="O1968">
        <f>IF(OHW!$G921="","",OHW!$I921)</f>
        <v/>
      </c>
      <c r="P1968">
        <f>IF(OHW!$G921="","","Final")</f>
        <v/>
      </c>
    </row>
    <row r="1969">
      <c r="A1969">
        <f>IF(OHW!$G922="","","OHW")</f>
        <v/>
      </c>
      <c r="B1969">
        <f>IF(OHW!$G922="","","OHW")</f>
        <v/>
      </c>
      <c r="C1969" s="18">
        <f>IF(OHW!$G922="","",OHW!$A922)</f>
        <v/>
      </c>
      <c r="F1969">
        <f>IF(OHW!$G922="","",OHW!$B922&amp;"")</f>
        <v/>
      </c>
      <c r="J1969">
        <f>IF(OHW!$G922="","",OHW!$E922)</f>
        <v/>
      </c>
      <c r="K1969">
        <f>IF(OHW!$G922="","",COUNTIFS(OHW!$A$5:$A$1668,OHW!$A922,OHW!$C$5:$C$1668,OHW!$C922))</f>
        <v/>
      </c>
      <c r="L1969">
        <f>IF(OHW!$G922="","",OHW!$D922&amp;"")</f>
        <v/>
      </c>
      <c r="M1969">
        <f>IF(OHW!$G922="","",OHW!$F922)</f>
        <v/>
      </c>
      <c r="N1969">
        <f>IF(OHW!$G922="","",OHW!$G922)</f>
        <v/>
      </c>
      <c r="O1969">
        <f>IF(OHW!$G922="","",OHW!$I922)</f>
        <v/>
      </c>
      <c r="P1969">
        <f>IF(OHW!$G922="","","Final")</f>
        <v/>
      </c>
    </row>
    <row r="1970">
      <c r="A1970">
        <f>IF(OHW!$G923="","","OHW")</f>
        <v/>
      </c>
      <c r="B1970">
        <f>IF(OHW!$G923="","","OHW")</f>
        <v/>
      </c>
      <c r="C1970" s="18">
        <f>IF(OHW!$G923="","",OHW!$A923)</f>
        <v/>
      </c>
      <c r="F1970">
        <f>IF(OHW!$G923="","",OHW!$B923&amp;"")</f>
        <v/>
      </c>
      <c r="J1970">
        <f>IF(OHW!$G923="","",OHW!$E923)</f>
        <v/>
      </c>
      <c r="K1970">
        <f>IF(OHW!$G923="","",COUNTIFS(OHW!$A$5:$A$1668,OHW!$A923,OHW!$C$5:$C$1668,OHW!$C923))</f>
        <v/>
      </c>
      <c r="L1970">
        <f>IF(OHW!$G923="","",OHW!$D923&amp;"")</f>
        <v/>
      </c>
      <c r="M1970">
        <f>IF(OHW!$G923="","",OHW!$F923)</f>
        <v/>
      </c>
      <c r="N1970">
        <f>IF(OHW!$G923="","",OHW!$G923)</f>
        <v/>
      </c>
      <c r="O1970">
        <f>IF(OHW!$G923="","",OHW!$I923)</f>
        <v/>
      </c>
      <c r="P1970">
        <f>IF(OHW!$G923="","","Final")</f>
        <v/>
      </c>
    </row>
    <row r="1971">
      <c r="A1971">
        <f>IF(OHW!$G924="","","OHW")</f>
        <v/>
      </c>
      <c r="B1971">
        <f>IF(OHW!$G924="","","OHW")</f>
        <v/>
      </c>
      <c r="C1971" s="18">
        <f>IF(OHW!$G924="","",OHW!$A924)</f>
        <v/>
      </c>
      <c r="F1971">
        <f>IF(OHW!$G924="","",OHW!$B924&amp;"")</f>
        <v/>
      </c>
      <c r="J1971">
        <f>IF(OHW!$G924="","",OHW!$E924)</f>
        <v/>
      </c>
      <c r="K1971">
        <f>IF(OHW!$G924="","",COUNTIFS(OHW!$A$5:$A$1668,OHW!$A924,OHW!$C$5:$C$1668,OHW!$C924))</f>
        <v/>
      </c>
      <c r="L1971">
        <f>IF(OHW!$G924="","",OHW!$D924&amp;"")</f>
        <v/>
      </c>
      <c r="M1971">
        <f>IF(OHW!$G924="","",OHW!$F924)</f>
        <v/>
      </c>
      <c r="N1971">
        <f>IF(OHW!$G924="","",OHW!$G924)</f>
        <v/>
      </c>
      <c r="O1971">
        <f>IF(OHW!$G924="","",OHW!$I924)</f>
        <v/>
      </c>
      <c r="P1971">
        <f>IF(OHW!$G924="","","Final")</f>
        <v/>
      </c>
    </row>
    <row r="1972">
      <c r="A1972">
        <f>IF(OHW!$G925="","","OHW")</f>
        <v/>
      </c>
      <c r="B1972">
        <f>IF(OHW!$G925="","","OHW")</f>
        <v/>
      </c>
      <c r="C1972" s="18">
        <f>IF(OHW!$G925="","",OHW!$A925)</f>
        <v/>
      </c>
      <c r="F1972">
        <f>IF(OHW!$G925="","",OHW!$B925&amp;"")</f>
        <v/>
      </c>
      <c r="J1972">
        <f>IF(OHW!$G925="","",OHW!$E925)</f>
        <v/>
      </c>
      <c r="K1972">
        <f>IF(OHW!$G925="","",COUNTIFS(OHW!$A$5:$A$1668,OHW!$A925,OHW!$C$5:$C$1668,OHW!$C925))</f>
        <v/>
      </c>
      <c r="L1972">
        <f>IF(OHW!$G925="","",OHW!$D925&amp;"")</f>
        <v/>
      </c>
      <c r="M1972">
        <f>IF(OHW!$G925="","",OHW!$F925)</f>
        <v/>
      </c>
      <c r="N1972">
        <f>IF(OHW!$G925="","",OHW!$G925)</f>
        <v/>
      </c>
      <c r="O1972">
        <f>IF(OHW!$G925="","",OHW!$I925)</f>
        <v/>
      </c>
      <c r="P1972">
        <f>IF(OHW!$G925="","","Final")</f>
        <v/>
      </c>
    </row>
    <row r="1973">
      <c r="A1973">
        <f>IF(OHW!$G926="","","OHW")</f>
        <v/>
      </c>
      <c r="B1973">
        <f>IF(OHW!$G926="","","OHW")</f>
        <v/>
      </c>
      <c r="C1973" s="18">
        <f>IF(OHW!$G926="","",OHW!$A926)</f>
        <v/>
      </c>
      <c r="F1973">
        <f>IF(OHW!$G926="","",OHW!$B926&amp;"")</f>
        <v/>
      </c>
      <c r="J1973">
        <f>IF(OHW!$G926="","",OHW!$E926)</f>
        <v/>
      </c>
      <c r="K1973">
        <f>IF(OHW!$G926="","",COUNTIFS(OHW!$A$5:$A$1668,OHW!$A926,OHW!$C$5:$C$1668,OHW!$C926))</f>
        <v/>
      </c>
      <c r="L1973">
        <f>IF(OHW!$G926="","",OHW!$D926&amp;"")</f>
        <v/>
      </c>
      <c r="M1973">
        <f>IF(OHW!$G926="","",OHW!$F926)</f>
        <v/>
      </c>
      <c r="N1973">
        <f>IF(OHW!$G926="","",OHW!$G926)</f>
        <v/>
      </c>
      <c r="O1973">
        <f>IF(OHW!$G926="","",OHW!$I926)</f>
        <v/>
      </c>
      <c r="P1973">
        <f>IF(OHW!$G926="","","Final")</f>
        <v/>
      </c>
    </row>
    <row r="1974">
      <c r="A1974">
        <f>IF(OHW!$G927="","","OHW")</f>
        <v/>
      </c>
      <c r="B1974">
        <f>IF(OHW!$G927="","","OHW")</f>
        <v/>
      </c>
      <c r="C1974" s="18">
        <f>IF(OHW!$G927="","",OHW!$A927)</f>
        <v/>
      </c>
      <c r="F1974">
        <f>IF(OHW!$G927="","",OHW!$B927&amp;"")</f>
        <v/>
      </c>
      <c r="J1974">
        <f>IF(OHW!$G927="","",OHW!$E927)</f>
        <v/>
      </c>
      <c r="K1974">
        <f>IF(OHW!$G927="","",COUNTIFS(OHW!$A$5:$A$1668,OHW!$A927,OHW!$C$5:$C$1668,OHW!$C927))</f>
        <v/>
      </c>
      <c r="L1974">
        <f>IF(OHW!$G927="","",OHW!$D927&amp;"")</f>
        <v/>
      </c>
      <c r="M1974">
        <f>IF(OHW!$G927="","",OHW!$F927)</f>
        <v/>
      </c>
      <c r="N1974">
        <f>IF(OHW!$G927="","",OHW!$G927)</f>
        <v/>
      </c>
      <c r="O1974">
        <f>IF(OHW!$G927="","",OHW!$I927)</f>
        <v/>
      </c>
      <c r="P1974">
        <f>IF(OHW!$G927="","","Final")</f>
        <v/>
      </c>
    </row>
    <row r="1975">
      <c r="A1975">
        <f>IF(OHW!$G928="","","OHW")</f>
        <v/>
      </c>
      <c r="B1975">
        <f>IF(OHW!$G928="","","OHW")</f>
        <v/>
      </c>
      <c r="C1975" s="18">
        <f>IF(OHW!$G928="","",OHW!$A928)</f>
        <v/>
      </c>
      <c r="F1975">
        <f>IF(OHW!$G928="","",OHW!$B928&amp;"")</f>
        <v/>
      </c>
      <c r="J1975">
        <f>IF(OHW!$G928="","",OHW!$E928)</f>
        <v/>
      </c>
      <c r="K1975">
        <f>IF(OHW!$G928="","",COUNTIFS(OHW!$A$5:$A$1668,OHW!$A928,OHW!$C$5:$C$1668,OHW!$C928))</f>
        <v/>
      </c>
      <c r="L1975">
        <f>IF(OHW!$G928="","",OHW!$D928&amp;"")</f>
        <v/>
      </c>
      <c r="M1975">
        <f>IF(OHW!$G928="","",OHW!$F928)</f>
        <v/>
      </c>
      <c r="N1975">
        <f>IF(OHW!$G928="","",OHW!$G928)</f>
        <v/>
      </c>
      <c r="O1975">
        <f>IF(OHW!$G928="","",OHW!$I928)</f>
        <v/>
      </c>
      <c r="P1975">
        <f>IF(OHW!$G928="","","Final")</f>
        <v/>
      </c>
    </row>
    <row r="1976">
      <c r="A1976">
        <f>IF(OHW!$G929="","","OHW")</f>
        <v/>
      </c>
      <c r="B1976">
        <f>IF(OHW!$G929="","","OHW")</f>
        <v/>
      </c>
      <c r="C1976" s="18">
        <f>IF(OHW!$G929="","",OHW!$A929)</f>
        <v/>
      </c>
      <c r="F1976">
        <f>IF(OHW!$G929="","",OHW!$B929&amp;"")</f>
        <v/>
      </c>
      <c r="J1976">
        <f>IF(OHW!$G929="","",OHW!$E929)</f>
        <v/>
      </c>
      <c r="K1976">
        <f>IF(OHW!$G929="","",COUNTIFS(OHW!$A$5:$A$1668,OHW!$A929,OHW!$C$5:$C$1668,OHW!$C929))</f>
        <v/>
      </c>
      <c r="L1976">
        <f>IF(OHW!$G929="","",OHW!$D929&amp;"")</f>
        <v/>
      </c>
      <c r="M1976">
        <f>IF(OHW!$G929="","",OHW!$F929)</f>
        <v/>
      </c>
      <c r="N1976">
        <f>IF(OHW!$G929="","",OHW!$G929)</f>
        <v/>
      </c>
      <c r="O1976">
        <f>IF(OHW!$G929="","",OHW!$I929)</f>
        <v/>
      </c>
      <c r="P1976">
        <f>IF(OHW!$G929="","","Final")</f>
        <v/>
      </c>
    </row>
    <row r="1977">
      <c r="A1977">
        <f>IF(OHW!$G930="","","OHW")</f>
        <v/>
      </c>
      <c r="B1977">
        <f>IF(OHW!$G930="","","OHW")</f>
        <v/>
      </c>
      <c r="C1977" s="18">
        <f>IF(OHW!$G930="","",OHW!$A930)</f>
        <v/>
      </c>
      <c r="F1977">
        <f>IF(OHW!$G930="","",OHW!$B930&amp;"")</f>
        <v/>
      </c>
      <c r="J1977">
        <f>IF(OHW!$G930="","",OHW!$E930)</f>
        <v/>
      </c>
      <c r="K1977">
        <f>IF(OHW!$G930="","",COUNTIFS(OHW!$A$5:$A$1668,OHW!$A930,OHW!$C$5:$C$1668,OHW!$C930))</f>
        <v/>
      </c>
      <c r="L1977">
        <f>IF(OHW!$G930="","",OHW!$D930&amp;"")</f>
        <v/>
      </c>
      <c r="M1977">
        <f>IF(OHW!$G930="","",OHW!$F930)</f>
        <v/>
      </c>
      <c r="N1977">
        <f>IF(OHW!$G930="","",OHW!$G930)</f>
        <v/>
      </c>
      <c r="O1977">
        <f>IF(OHW!$G930="","",OHW!$I930)</f>
        <v/>
      </c>
      <c r="P1977">
        <f>IF(OHW!$G930="","","Final")</f>
        <v/>
      </c>
    </row>
    <row r="1978">
      <c r="A1978">
        <f>IF(OHW!$G931="","","OHW")</f>
        <v/>
      </c>
      <c r="B1978">
        <f>IF(OHW!$G931="","","OHW")</f>
        <v/>
      </c>
      <c r="C1978" s="18">
        <f>IF(OHW!$G931="","",OHW!$A931)</f>
        <v/>
      </c>
      <c r="F1978">
        <f>IF(OHW!$G931="","",OHW!$B931&amp;"")</f>
        <v/>
      </c>
      <c r="J1978">
        <f>IF(OHW!$G931="","",OHW!$E931)</f>
        <v/>
      </c>
      <c r="K1978">
        <f>IF(OHW!$G931="","",COUNTIFS(OHW!$A$5:$A$1668,OHW!$A931,OHW!$C$5:$C$1668,OHW!$C931))</f>
        <v/>
      </c>
      <c r="L1978">
        <f>IF(OHW!$G931="","",OHW!$D931&amp;"")</f>
        <v/>
      </c>
      <c r="M1978">
        <f>IF(OHW!$G931="","",OHW!$F931)</f>
        <v/>
      </c>
      <c r="N1978">
        <f>IF(OHW!$G931="","",OHW!$G931)</f>
        <v/>
      </c>
      <c r="O1978">
        <f>IF(OHW!$G931="","",OHW!$I931)</f>
        <v/>
      </c>
      <c r="P1978">
        <f>IF(OHW!$G931="","","Final")</f>
        <v/>
      </c>
    </row>
    <row r="1979">
      <c r="A1979">
        <f>IF(OHW!$G932="","","OHW")</f>
        <v/>
      </c>
      <c r="B1979">
        <f>IF(OHW!$G932="","","OHW")</f>
        <v/>
      </c>
      <c r="C1979" s="18">
        <f>IF(OHW!$G932="","",OHW!$A932)</f>
        <v/>
      </c>
      <c r="F1979">
        <f>IF(OHW!$G932="","",OHW!$B932&amp;"")</f>
        <v/>
      </c>
      <c r="J1979">
        <f>IF(OHW!$G932="","",OHW!$E932)</f>
        <v/>
      </c>
      <c r="K1979">
        <f>IF(OHW!$G932="","",COUNTIFS(OHW!$A$5:$A$1668,OHW!$A932,OHW!$C$5:$C$1668,OHW!$C932))</f>
        <v/>
      </c>
      <c r="L1979">
        <f>IF(OHW!$G932="","",OHW!$D932&amp;"")</f>
        <v/>
      </c>
      <c r="M1979">
        <f>IF(OHW!$G932="","",OHW!$F932)</f>
        <v/>
      </c>
      <c r="N1979">
        <f>IF(OHW!$G932="","",OHW!$G932)</f>
        <v/>
      </c>
      <c r="O1979">
        <f>IF(OHW!$G932="","",OHW!$I932)</f>
        <v/>
      </c>
      <c r="P1979">
        <f>IF(OHW!$G932="","","Final")</f>
        <v/>
      </c>
    </row>
    <row r="1980">
      <c r="A1980">
        <f>IF(OHW!$G933="","","OHW")</f>
        <v/>
      </c>
      <c r="B1980">
        <f>IF(OHW!$G933="","","OHW")</f>
        <v/>
      </c>
      <c r="C1980" s="18">
        <f>IF(OHW!$G933="","",OHW!$A933)</f>
        <v/>
      </c>
      <c r="F1980">
        <f>IF(OHW!$G933="","",OHW!$B933&amp;"")</f>
        <v/>
      </c>
      <c r="J1980">
        <f>IF(OHW!$G933="","",OHW!$E933)</f>
        <v/>
      </c>
      <c r="K1980">
        <f>IF(OHW!$G933="","",COUNTIFS(OHW!$A$5:$A$1668,OHW!$A933,OHW!$C$5:$C$1668,OHW!$C933))</f>
        <v/>
      </c>
      <c r="L1980">
        <f>IF(OHW!$G933="","",OHW!$D933&amp;"")</f>
        <v/>
      </c>
      <c r="M1980">
        <f>IF(OHW!$G933="","",OHW!$F933)</f>
        <v/>
      </c>
      <c r="N1980">
        <f>IF(OHW!$G933="","",OHW!$G933)</f>
        <v/>
      </c>
      <c r="O1980">
        <f>IF(OHW!$G933="","",OHW!$I933)</f>
        <v/>
      </c>
      <c r="P1980">
        <f>IF(OHW!$G933="","","Final")</f>
        <v/>
      </c>
    </row>
    <row r="1981">
      <c r="A1981">
        <f>IF(OHW!$G934="","","OHW")</f>
        <v/>
      </c>
      <c r="B1981">
        <f>IF(OHW!$G934="","","OHW")</f>
        <v/>
      </c>
      <c r="C1981" s="18">
        <f>IF(OHW!$G934="","",OHW!$A934)</f>
        <v/>
      </c>
      <c r="F1981">
        <f>IF(OHW!$G934="","",OHW!$B934&amp;"")</f>
        <v/>
      </c>
      <c r="J1981">
        <f>IF(OHW!$G934="","",OHW!$E934)</f>
        <v/>
      </c>
      <c r="K1981">
        <f>IF(OHW!$G934="","",COUNTIFS(OHW!$A$5:$A$1668,OHW!$A934,OHW!$C$5:$C$1668,OHW!$C934))</f>
        <v/>
      </c>
      <c r="L1981">
        <f>IF(OHW!$G934="","",OHW!$D934&amp;"")</f>
        <v/>
      </c>
      <c r="M1981">
        <f>IF(OHW!$G934="","",OHW!$F934)</f>
        <v/>
      </c>
      <c r="N1981">
        <f>IF(OHW!$G934="","",OHW!$G934)</f>
        <v/>
      </c>
      <c r="O1981">
        <f>IF(OHW!$G934="","",OHW!$I934)</f>
        <v/>
      </c>
      <c r="P1981">
        <f>IF(OHW!$G934="","","Final")</f>
        <v/>
      </c>
    </row>
    <row r="1982">
      <c r="A1982">
        <f>IF(OHW!$G935="","","OHW")</f>
        <v/>
      </c>
      <c r="B1982">
        <f>IF(OHW!$G935="","","OHW")</f>
        <v/>
      </c>
      <c r="C1982" s="18">
        <f>IF(OHW!$G935="","",OHW!$A935)</f>
        <v/>
      </c>
      <c r="F1982">
        <f>IF(OHW!$G935="","",OHW!$B935&amp;"")</f>
        <v/>
      </c>
      <c r="J1982">
        <f>IF(OHW!$G935="","",OHW!$E935)</f>
        <v/>
      </c>
      <c r="K1982">
        <f>IF(OHW!$G935="","",COUNTIFS(OHW!$A$5:$A$1668,OHW!$A935,OHW!$C$5:$C$1668,OHW!$C935))</f>
        <v/>
      </c>
      <c r="L1982">
        <f>IF(OHW!$G935="","",OHW!$D935&amp;"")</f>
        <v/>
      </c>
      <c r="M1982">
        <f>IF(OHW!$G935="","",OHW!$F935)</f>
        <v/>
      </c>
      <c r="N1982">
        <f>IF(OHW!$G935="","",OHW!$G935)</f>
        <v/>
      </c>
      <c r="O1982">
        <f>IF(OHW!$G935="","",OHW!$I935)</f>
        <v/>
      </c>
      <c r="P1982">
        <f>IF(OHW!$G935="","","Final")</f>
        <v/>
      </c>
    </row>
    <row r="1983">
      <c r="A1983">
        <f>IF(OHW!$G936="","","OHW")</f>
        <v/>
      </c>
      <c r="B1983">
        <f>IF(OHW!$G936="","","OHW")</f>
        <v/>
      </c>
      <c r="C1983" s="18">
        <f>IF(OHW!$G936="","",OHW!$A936)</f>
        <v/>
      </c>
      <c r="F1983">
        <f>IF(OHW!$G936="","",OHW!$B936&amp;"")</f>
        <v/>
      </c>
      <c r="J1983">
        <f>IF(OHW!$G936="","",OHW!$E936)</f>
        <v/>
      </c>
      <c r="K1983">
        <f>IF(OHW!$G936="","",COUNTIFS(OHW!$A$5:$A$1668,OHW!$A936,OHW!$C$5:$C$1668,OHW!$C936))</f>
        <v/>
      </c>
      <c r="L1983">
        <f>IF(OHW!$G936="","",OHW!$D936&amp;"")</f>
        <v/>
      </c>
      <c r="M1983">
        <f>IF(OHW!$G936="","",OHW!$F936)</f>
        <v/>
      </c>
      <c r="N1983">
        <f>IF(OHW!$G936="","",OHW!$G936)</f>
        <v/>
      </c>
      <c r="O1983">
        <f>IF(OHW!$G936="","",OHW!$I936)</f>
        <v/>
      </c>
      <c r="P1983">
        <f>IF(OHW!$G936="","","Final")</f>
        <v/>
      </c>
    </row>
    <row r="1984">
      <c r="A1984">
        <f>IF(OHW!$G937="","","OHW")</f>
        <v/>
      </c>
      <c r="B1984">
        <f>IF(OHW!$G937="","","OHW")</f>
        <v/>
      </c>
      <c r="C1984" s="18">
        <f>IF(OHW!$G937="","",OHW!$A937)</f>
        <v/>
      </c>
      <c r="F1984">
        <f>IF(OHW!$G937="","",OHW!$B937&amp;"")</f>
        <v/>
      </c>
      <c r="J1984">
        <f>IF(OHW!$G937="","",OHW!$E937)</f>
        <v/>
      </c>
      <c r="K1984">
        <f>IF(OHW!$G937="","",COUNTIFS(OHW!$A$5:$A$1668,OHW!$A937,OHW!$C$5:$C$1668,OHW!$C937))</f>
        <v/>
      </c>
      <c r="L1984">
        <f>IF(OHW!$G937="","",OHW!$D937&amp;"")</f>
        <v/>
      </c>
      <c r="M1984">
        <f>IF(OHW!$G937="","",OHW!$F937)</f>
        <v/>
      </c>
      <c r="N1984">
        <f>IF(OHW!$G937="","",OHW!$G937)</f>
        <v/>
      </c>
      <c r="O1984">
        <f>IF(OHW!$G937="","",OHW!$I937)</f>
        <v/>
      </c>
      <c r="P1984">
        <f>IF(OHW!$G937="","","Final")</f>
        <v/>
      </c>
    </row>
    <row r="1985">
      <c r="A1985">
        <f>IF(OHW!$G938="","","OHW")</f>
        <v/>
      </c>
      <c r="B1985">
        <f>IF(OHW!$G938="","","OHW")</f>
        <v/>
      </c>
      <c r="C1985" s="18">
        <f>IF(OHW!$G938="","",OHW!$A938)</f>
        <v/>
      </c>
      <c r="F1985">
        <f>IF(OHW!$G938="","",OHW!$B938&amp;"")</f>
        <v/>
      </c>
      <c r="J1985">
        <f>IF(OHW!$G938="","",OHW!$E938)</f>
        <v/>
      </c>
      <c r="K1985">
        <f>IF(OHW!$G938="","",COUNTIFS(OHW!$A$5:$A$1668,OHW!$A938,OHW!$C$5:$C$1668,OHW!$C938))</f>
        <v/>
      </c>
      <c r="L1985">
        <f>IF(OHW!$G938="","",OHW!$D938&amp;"")</f>
        <v/>
      </c>
      <c r="M1985">
        <f>IF(OHW!$G938="","",OHW!$F938)</f>
        <v/>
      </c>
      <c r="N1985">
        <f>IF(OHW!$G938="","",OHW!$G938)</f>
        <v/>
      </c>
      <c r="O1985">
        <f>IF(OHW!$G938="","",OHW!$I938)</f>
        <v/>
      </c>
      <c r="P1985">
        <f>IF(OHW!$G938="","","Final")</f>
        <v/>
      </c>
    </row>
    <row r="1986">
      <c r="A1986">
        <f>IF(OHW!$G939="","","OHW")</f>
        <v/>
      </c>
      <c r="B1986">
        <f>IF(OHW!$G939="","","OHW")</f>
        <v/>
      </c>
      <c r="C1986" s="18">
        <f>IF(OHW!$G939="","",OHW!$A939)</f>
        <v/>
      </c>
      <c r="F1986">
        <f>IF(OHW!$G939="","",OHW!$B939&amp;"")</f>
        <v/>
      </c>
      <c r="J1986">
        <f>IF(OHW!$G939="","",OHW!$E939)</f>
        <v/>
      </c>
      <c r="K1986">
        <f>IF(OHW!$G939="","",COUNTIFS(OHW!$A$5:$A$1668,OHW!$A939,OHW!$C$5:$C$1668,OHW!$C939))</f>
        <v/>
      </c>
      <c r="L1986">
        <f>IF(OHW!$G939="","",OHW!$D939&amp;"")</f>
        <v/>
      </c>
      <c r="M1986">
        <f>IF(OHW!$G939="","",OHW!$F939)</f>
        <v/>
      </c>
      <c r="N1986">
        <f>IF(OHW!$G939="","",OHW!$G939)</f>
        <v/>
      </c>
      <c r="O1986">
        <f>IF(OHW!$G939="","",OHW!$I939)</f>
        <v/>
      </c>
      <c r="P1986">
        <f>IF(OHW!$G939="","","Final")</f>
        <v/>
      </c>
    </row>
    <row r="1987">
      <c r="A1987">
        <f>IF(OHW!$G940="","","OHW")</f>
        <v/>
      </c>
      <c r="B1987">
        <f>IF(OHW!$G940="","","OHW")</f>
        <v/>
      </c>
      <c r="C1987" s="18">
        <f>IF(OHW!$G940="","",OHW!$A940)</f>
        <v/>
      </c>
      <c r="F1987">
        <f>IF(OHW!$G940="","",OHW!$B940&amp;"")</f>
        <v/>
      </c>
      <c r="J1987">
        <f>IF(OHW!$G940="","",OHW!$E940)</f>
        <v/>
      </c>
      <c r="K1987">
        <f>IF(OHW!$G940="","",COUNTIFS(OHW!$A$5:$A$1668,OHW!$A940,OHW!$C$5:$C$1668,OHW!$C940))</f>
        <v/>
      </c>
      <c r="L1987">
        <f>IF(OHW!$G940="","",OHW!$D940&amp;"")</f>
        <v/>
      </c>
      <c r="M1987">
        <f>IF(OHW!$G940="","",OHW!$F940)</f>
        <v/>
      </c>
      <c r="N1987">
        <f>IF(OHW!$G940="","",OHW!$G940)</f>
        <v/>
      </c>
      <c r="O1987">
        <f>IF(OHW!$G940="","",OHW!$I940)</f>
        <v/>
      </c>
      <c r="P1987">
        <f>IF(OHW!$G940="","","Final")</f>
        <v/>
      </c>
    </row>
    <row r="1988">
      <c r="A1988">
        <f>IF(OHW!$G941="","","OHW")</f>
        <v/>
      </c>
      <c r="B1988">
        <f>IF(OHW!$G941="","","OHW")</f>
        <v/>
      </c>
      <c r="C1988" s="18">
        <f>IF(OHW!$G941="","",OHW!$A941)</f>
        <v/>
      </c>
      <c r="F1988">
        <f>IF(OHW!$G941="","",OHW!$B941&amp;"")</f>
        <v/>
      </c>
      <c r="J1988">
        <f>IF(OHW!$G941="","",OHW!$E941)</f>
        <v/>
      </c>
      <c r="K1988">
        <f>IF(OHW!$G941="","",COUNTIFS(OHW!$A$5:$A$1668,OHW!$A941,OHW!$C$5:$C$1668,OHW!$C941))</f>
        <v/>
      </c>
      <c r="L1988">
        <f>IF(OHW!$G941="","",OHW!$D941&amp;"")</f>
        <v/>
      </c>
      <c r="M1988">
        <f>IF(OHW!$G941="","",OHW!$F941)</f>
        <v/>
      </c>
      <c r="N1988">
        <f>IF(OHW!$G941="","",OHW!$G941)</f>
        <v/>
      </c>
      <c r="O1988">
        <f>IF(OHW!$G941="","",OHW!$I941)</f>
        <v/>
      </c>
      <c r="P1988">
        <f>IF(OHW!$G941="","","Final")</f>
        <v/>
      </c>
    </row>
    <row r="1989">
      <c r="A1989">
        <f>IF(OHW!$G942="","","OHW")</f>
        <v/>
      </c>
      <c r="B1989">
        <f>IF(OHW!$G942="","","OHW")</f>
        <v/>
      </c>
      <c r="C1989" s="18">
        <f>IF(OHW!$G942="","",OHW!$A942)</f>
        <v/>
      </c>
      <c r="F1989">
        <f>IF(OHW!$G942="","",OHW!$B942&amp;"")</f>
        <v/>
      </c>
      <c r="J1989">
        <f>IF(OHW!$G942="","",OHW!$E942)</f>
        <v/>
      </c>
      <c r="K1989">
        <f>IF(OHW!$G942="","",COUNTIFS(OHW!$A$5:$A$1668,OHW!$A942,OHW!$C$5:$C$1668,OHW!$C942))</f>
        <v/>
      </c>
      <c r="L1989">
        <f>IF(OHW!$G942="","",OHW!$D942&amp;"")</f>
        <v/>
      </c>
      <c r="M1989">
        <f>IF(OHW!$G942="","",OHW!$F942)</f>
        <v/>
      </c>
      <c r="N1989">
        <f>IF(OHW!$G942="","",OHW!$G942)</f>
        <v/>
      </c>
      <c r="O1989">
        <f>IF(OHW!$G942="","",OHW!$I942)</f>
        <v/>
      </c>
      <c r="P1989">
        <f>IF(OHW!$G942="","","Final")</f>
        <v/>
      </c>
    </row>
    <row r="1990">
      <c r="A1990">
        <f>IF(OHW!$G943="","","OHW")</f>
        <v/>
      </c>
      <c r="B1990">
        <f>IF(OHW!$G943="","","OHW")</f>
        <v/>
      </c>
      <c r="C1990" s="18">
        <f>IF(OHW!$G943="","",OHW!$A943)</f>
        <v/>
      </c>
      <c r="F1990">
        <f>IF(OHW!$G943="","",OHW!$B943&amp;"")</f>
        <v/>
      </c>
      <c r="J1990">
        <f>IF(OHW!$G943="","",OHW!$E943)</f>
        <v/>
      </c>
      <c r="K1990">
        <f>IF(OHW!$G943="","",COUNTIFS(OHW!$A$5:$A$1668,OHW!$A943,OHW!$C$5:$C$1668,OHW!$C943))</f>
        <v/>
      </c>
      <c r="L1990">
        <f>IF(OHW!$G943="","",OHW!$D943&amp;"")</f>
        <v/>
      </c>
      <c r="M1990">
        <f>IF(OHW!$G943="","",OHW!$F943)</f>
        <v/>
      </c>
      <c r="N1990">
        <f>IF(OHW!$G943="","",OHW!$G943)</f>
        <v/>
      </c>
      <c r="O1990">
        <f>IF(OHW!$G943="","",OHW!$I943)</f>
        <v/>
      </c>
      <c r="P1990">
        <f>IF(OHW!$G943="","","Final")</f>
        <v/>
      </c>
    </row>
    <row r="1991">
      <c r="A1991">
        <f>IF(OHW!$G944="","","OHW")</f>
        <v/>
      </c>
      <c r="B1991">
        <f>IF(OHW!$G944="","","OHW")</f>
        <v/>
      </c>
      <c r="C1991" s="18">
        <f>IF(OHW!$G944="","",OHW!$A944)</f>
        <v/>
      </c>
      <c r="F1991">
        <f>IF(OHW!$G944="","",OHW!$B944&amp;"")</f>
        <v/>
      </c>
      <c r="J1991">
        <f>IF(OHW!$G944="","",OHW!$E944)</f>
        <v/>
      </c>
      <c r="K1991">
        <f>IF(OHW!$G944="","",COUNTIFS(OHW!$A$5:$A$1668,OHW!$A944,OHW!$C$5:$C$1668,OHW!$C944))</f>
        <v/>
      </c>
      <c r="L1991">
        <f>IF(OHW!$G944="","",OHW!$D944&amp;"")</f>
        <v/>
      </c>
      <c r="M1991">
        <f>IF(OHW!$G944="","",OHW!$F944)</f>
        <v/>
      </c>
      <c r="N1991">
        <f>IF(OHW!$G944="","",OHW!$G944)</f>
        <v/>
      </c>
      <c r="O1991">
        <f>IF(OHW!$G944="","",OHW!$I944)</f>
        <v/>
      </c>
      <c r="P1991">
        <f>IF(OHW!$G944="","","Final")</f>
        <v/>
      </c>
    </row>
    <row r="1992">
      <c r="A1992">
        <f>IF(OHW!$G945="","","OHW")</f>
        <v/>
      </c>
      <c r="B1992">
        <f>IF(OHW!$G945="","","OHW")</f>
        <v/>
      </c>
      <c r="C1992" s="18">
        <f>IF(OHW!$G945="","",OHW!$A945)</f>
        <v/>
      </c>
      <c r="F1992">
        <f>IF(OHW!$G945="","",OHW!$B945&amp;"")</f>
        <v/>
      </c>
      <c r="J1992">
        <f>IF(OHW!$G945="","",OHW!$E945)</f>
        <v/>
      </c>
      <c r="K1992">
        <f>IF(OHW!$G945="","",COUNTIFS(OHW!$A$5:$A$1668,OHW!$A945,OHW!$C$5:$C$1668,OHW!$C945))</f>
        <v/>
      </c>
      <c r="L1992">
        <f>IF(OHW!$G945="","",OHW!$D945&amp;"")</f>
        <v/>
      </c>
      <c r="M1992">
        <f>IF(OHW!$G945="","",OHW!$F945)</f>
        <v/>
      </c>
      <c r="N1992">
        <f>IF(OHW!$G945="","",OHW!$G945)</f>
        <v/>
      </c>
      <c r="O1992">
        <f>IF(OHW!$G945="","",OHW!$I945)</f>
        <v/>
      </c>
      <c r="P1992">
        <f>IF(OHW!$G945="","","Final")</f>
        <v/>
      </c>
    </row>
    <row r="1993">
      <c r="A1993">
        <f>IF(OHW!$G946="","","OHW")</f>
        <v/>
      </c>
      <c r="B1993">
        <f>IF(OHW!$G946="","","OHW")</f>
        <v/>
      </c>
      <c r="C1993" s="18">
        <f>IF(OHW!$G946="","",OHW!$A946)</f>
        <v/>
      </c>
      <c r="F1993">
        <f>IF(OHW!$G946="","",OHW!$B946&amp;"")</f>
        <v/>
      </c>
      <c r="J1993">
        <f>IF(OHW!$G946="","",OHW!$E946)</f>
        <v/>
      </c>
      <c r="K1993">
        <f>IF(OHW!$G946="","",COUNTIFS(OHW!$A$5:$A$1668,OHW!$A946,OHW!$C$5:$C$1668,OHW!$C946))</f>
        <v/>
      </c>
      <c r="L1993">
        <f>IF(OHW!$G946="","",OHW!$D946&amp;"")</f>
        <v/>
      </c>
      <c r="M1993">
        <f>IF(OHW!$G946="","",OHW!$F946)</f>
        <v/>
      </c>
      <c r="N1993">
        <f>IF(OHW!$G946="","",OHW!$G946)</f>
        <v/>
      </c>
      <c r="O1993">
        <f>IF(OHW!$G946="","",OHW!$I946)</f>
        <v/>
      </c>
      <c r="P1993">
        <f>IF(OHW!$G946="","","Final")</f>
        <v/>
      </c>
    </row>
    <row r="1994">
      <c r="A1994">
        <f>IF(OHW!$G947="","","OHW")</f>
        <v/>
      </c>
      <c r="B1994">
        <f>IF(OHW!$G947="","","OHW")</f>
        <v/>
      </c>
      <c r="C1994" s="18">
        <f>IF(OHW!$G947="","",OHW!$A947)</f>
        <v/>
      </c>
      <c r="F1994">
        <f>IF(OHW!$G947="","",OHW!$B947&amp;"")</f>
        <v/>
      </c>
      <c r="J1994">
        <f>IF(OHW!$G947="","",OHW!$E947)</f>
        <v/>
      </c>
      <c r="K1994">
        <f>IF(OHW!$G947="","",COUNTIFS(OHW!$A$5:$A$1668,OHW!$A947,OHW!$C$5:$C$1668,OHW!$C947))</f>
        <v/>
      </c>
      <c r="L1994">
        <f>IF(OHW!$G947="","",OHW!$D947&amp;"")</f>
        <v/>
      </c>
      <c r="M1994">
        <f>IF(OHW!$G947="","",OHW!$F947)</f>
        <v/>
      </c>
      <c r="N1994">
        <f>IF(OHW!$G947="","",OHW!$G947)</f>
        <v/>
      </c>
      <c r="O1994">
        <f>IF(OHW!$G947="","",OHW!$I947)</f>
        <v/>
      </c>
      <c r="P1994">
        <f>IF(OHW!$G947="","","Final")</f>
        <v/>
      </c>
    </row>
    <row r="1995">
      <c r="A1995">
        <f>IF(OHW!$G948="","","OHW")</f>
        <v/>
      </c>
      <c r="B1995">
        <f>IF(OHW!$G948="","","OHW")</f>
        <v/>
      </c>
      <c r="C1995" s="18">
        <f>IF(OHW!$G948="","",OHW!$A948)</f>
        <v/>
      </c>
      <c r="F1995">
        <f>IF(OHW!$G948="","",OHW!$B948&amp;"")</f>
        <v/>
      </c>
      <c r="J1995">
        <f>IF(OHW!$G948="","",OHW!$E948)</f>
        <v/>
      </c>
      <c r="K1995">
        <f>IF(OHW!$G948="","",COUNTIFS(OHW!$A$5:$A$1668,OHW!$A948,OHW!$C$5:$C$1668,OHW!$C948))</f>
        <v/>
      </c>
      <c r="L1995">
        <f>IF(OHW!$G948="","",OHW!$D948&amp;"")</f>
        <v/>
      </c>
      <c r="M1995">
        <f>IF(OHW!$G948="","",OHW!$F948)</f>
        <v/>
      </c>
      <c r="N1995">
        <f>IF(OHW!$G948="","",OHW!$G948)</f>
        <v/>
      </c>
      <c r="O1995">
        <f>IF(OHW!$G948="","",OHW!$I948)</f>
        <v/>
      </c>
      <c r="P1995">
        <f>IF(OHW!$G948="","","Final")</f>
        <v/>
      </c>
    </row>
    <row r="1996">
      <c r="A1996">
        <f>IF(OHW!$G949="","","OHW")</f>
        <v/>
      </c>
      <c r="B1996">
        <f>IF(OHW!$G949="","","OHW")</f>
        <v/>
      </c>
      <c r="C1996" s="18">
        <f>IF(OHW!$G949="","",OHW!$A949)</f>
        <v/>
      </c>
      <c r="F1996">
        <f>IF(OHW!$G949="","",OHW!$B949&amp;"")</f>
        <v/>
      </c>
      <c r="J1996">
        <f>IF(OHW!$G949="","",OHW!$E949)</f>
        <v/>
      </c>
      <c r="K1996">
        <f>IF(OHW!$G949="","",COUNTIFS(OHW!$A$5:$A$1668,OHW!$A949,OHW!$C$5:$C$1668,OHW!$C949))</f>
        <v/>
      </c>
      <c r="L1996">
        <f>IF(OHW!$G949="","",OHW!$D949&amp;"")</f>
        <v/>
      </c>
      <c r="M1996">
        <f>IF(OHW!$G949="","",OHW!$F949)</f>
        <v/>
      </c>
      <c r="N1996">
        <f>IF(OHW!$G949="","",OHW!$G949)</f>
        <v/>
      </c>
      <c r="O1996">
        <f>IF(OHW!$G949="","",OHW!$I949)</f>
        <v/>
      </c>
      <c r="P1996">
        <f>IF(OHW!$G949="","","Final")</f>
        <v/>
      </c>
    </row>
    <row r="1997">
      <c r="A1997">
        <f>IF(OHW!$G950="","","OHW")</f>
        <v/>
      </c>
      <c r="B1997">
        <f>IF(OHW!$G950="","","OHW")</f>
        <v/>
      </c>
      <c r="C1997" s="18">
        <f>IF(OHW!$G950="","",OHW!$A950)</f>
        <v/>
      </c>
      <c r="F1997">
        <f>IF(OHW!$G950="","",OHW!$B950&amp;"")</f>
        <v/>
      </c>
      <c r="J1997">
        <f>IF(OHW!$G950="","",OHW!$E950)</f>
        <v/>
      </c>
      <c r="K1997">
        <f>IF(OHW!$G950="","",COUNTIFS(OHW!$A$5:$A$1668,OHW!$A950,OHW!$C$5:$C$1668,OHW!$C950))</f>
        <v/>
      </c>
      <c r="L1997">
        <f>IF(OHW!$G950="","",OHW!$D950&amp;"")</f>
        <v/>
      </c>
      <c r="M1997">
        <f>IF(OHW!$G950="","",OHW!$F950)</f>
        <v/>
      </c>
      <c r="N1997">
        <f>IF(OHW!$G950="","",OHW!$G950)</f>
        <v/>
      </c>
      <c r="O1997">
        <f>IF(OHW!$G950="","",OHW!$I950)</f>
        <v/>
      </c>
      <c r="P1997">
        <f>IF(OHW!$G950="","","Final")</f>
        <v/>
      </c>
    </row>
    <row r="1998">
      <c r="A1998">
        <f>IF(OHW!$G951="","","OHW")</f>
        <v/>
      </c>
      <c r="B1998">
        <f>IF(OHW!$G951="","","OHW")</f>
        <v/>
      </c>
      <c r="C1998" s="18">
        <f>IF(OHW!$G951="","",OHW!$A951)</f>
        <v/>
      </c>
      <c r="F1998">
        <f>IF(OHW!$G951="","",OHW!$B951&amp;"")</f>
        <v/>
      </c>
      <c r="J1998">
        <f>IF(OHW!$G951="","",OHW!$E951)</f>
        <v/>
      </c>
      <c r="K1998">
        <f>IF(OHW!$G951="","",COUNTIFS(OHW!$A$5:$A$1668,OHW!$A951,OHW!$C$5:$C$1668,OHW!$C951))</f>
        <v/>
      </c>
      <c r="L1998">
        <f>IF(OHW!$G951="","",OHW!$D951&amp;"")</f>
        <v/>
      </c>
      <c r="M1998">
        <f>IF(OHW!$G951="","",OHW!$F951)</f>
        <v/>
      </c>
      <c r="N1998">
        <f>IF(OHW!$G951="","",OHW!$G951)</f>
        <v/>
      </c>
      <c r="O1998">
        <f>IF(OHW!$G951="","",OHW!$I951)</f>
        <v/>
      </c>
      <c r="P1998">
        <f>IF(OHW!$G951="","","Final")</f>
        <v/>
      </c>
    </row>
    <row r="1999">
      <c r="A1999">
        <f>IF(OHW!$G952="","","OHW")</f>
        <v/>
      </c>
      <c r="B1999">
        <f>IF(OHW!$G952="","","OHW")</f>
        <v/>
      </c>
      <c r="C1999" s="18">
        <f>IF(OHW!$G952="","",OHW!$A952)</f>
        <v/>
      </c>
      <c r="F1999">
        <f>IF(OHW!$G952="","",OHW!$B952&amp;"")</f>
        <v/>
      </c>
      <c r="J1999">
        <f>IF(OHW!$G952="","",OHW!$E952)</f>
        <v/>
      </c>
      <c r="K1999">
        <f>IF(OHW!$G952="","",COUNTIFS(OHW!$A$5:$A$1668,OHW!$A952,OHW!$C$5:$C$1668,OHW!$C952))</f>
        <v/>
      </c>
      <c r="L1999">
        <f>IF(OHW!$G952="","",OHW!$D952&amp;"")</f>
        <v/>
      </c>
      <c r="M1999">
        <f>IF(OHW!$G952="","",OHW!$F952)</f>
        <v/>
      </c>
      <c r="N1999">
        <f>IF(OHW!$G952="","",OHW!$G952)</f>
        <v/>
      </c>
      <c r="O1999">
        <f>IF(OHW!$G952="","",OHW!$I952)</f>
        <v/>
      </c>
      <c r="P1999">
        <f>IF(OHW!$G952="","","Final")</f>
        <v/>
      </c>
    </row>
    <row r="2000">
      <c r="A2000">
        <f>IF(OHW!$G953="","","OHW")</f>
        <v/>
      </c>
      <c r="B2000">
        <f>IF(OHW!$G953="","","OHW")</f>
        <v/>
      </c>
      <c r="C2000" s="18">
        <f>IF(OHW!$G953="","",OHW!$A953)</f>
        <v/>
      </c>
      <c r="F2000">
        <f>IF(OHW!$G953="","",OHW!$B953&amp;"")</f>
        <v/>
      </c>
      <c r="J2000">
        <f>IF(OHW!$G953="","",OHW!$E953)</f>
        <v/>
      </c>
      <c r="K2000">
        <f>IF(OHW!$G953="","",COUNTIFS(OHW!$A$5:$A$1668,OHW!$A953,OHW!$C$5:$C$1668,OHW!$C953))</f>
        <v/>
      </c>
      <c r="L2000">
        <f>IF(OHW!$G953="","",OHW!$D953&amp;"")</f>
        <v/>
      </c>
      <c r="M2000">
        <f>IF(OHW!$G953="","",OHW!$F953)</f>
        <v/>
      </c>
      <c r="N2000">
        <f>IF(OHW!$G953="","",OHW!$G953)</f>
        <v/>
      </c>
      <c r="O2000">
        <f>IF(OHW!$G953="","",OHW!$I953)</f>
        <v/>
      </c>
      <c r="P2000">
        <f>IF(OHW!$G953="","","Final")</f>
        <v/>
      </c>
    </row>
    <row r="2001">
      <c r="A2001">
        <f>IF(OHW!$G954="","","OHW")</f>
        <v/>
      </c>
      <c r="B2001">
        <f>IF(OHW!$G954="","","OHW")</f>
        <v/>
      </c>
      <c r="C2001" s="18">
        <f>IF(OHW!$G954="","",OHW!$A954)</f>
        <v/>
      </c>
      <c r="F2001">
        <f>IF(OHW!$G954="","",OHW!$B954&amp;"")</f>
        <v/>
      </c>
      <c r="J2001">
        <f>IF(OHW!$G954="","",OHW!$E954)</f>
        <v/>
      </c>
      <c r="K2001">
        <f>IF(OHW!$G954="","",COUNTIFS(OHW!$A$5:$A$1668,OHW!$A954,OHW!$C$5:$C$1668,OHW!$C954))</f>
        <v/>
      </c>
      <c r="L2001">
        <f>IF(OHW!$G954="","",OHW!$D954&amp;"")</f>
        <v/>
      </c>
      <c r="M2001">
        <f>IF(OHW!$G954="","",OHW!$F954)</f>
        <v/>
      </c>
      <c r="N2001">
        <f>IF(OHW!$G954="","",OHW!$G954)</f>
        <v/>
      </c>
      <c r="O2001">
        <f>IF(OHW!$G954="","",OHW!$I954)</f>
        <v/>
      </c>
      <c r="P2001">
        <f>IF(OHW!$G954="","","Final")</f>
        <v/>
      </c>
    </row>
    <row r="2002">
      <c r="A2002">
        <f>IF(OHW!$G955="","","OHW")</f>
        <v/>
      </c>
      <c r="B2002">
        <f>IF(OHW!$G955="","","OHW")</f>
        <v/>
      </c>
      <c r="C2002" s="18">
        <f>IF(OHW!$G955="","",OHW!$A955)</f>
        <v/>
      </c>
      <c r="F2002">
        <f>IF(OHW!$G955="","",OHW!$B955&amp;"")</f>
        <v/>
      </c>
      <c r="J2002">
        <f>IF(OHW!$G955="","",OHW!$E955)</f>
        <v/>
      </c>
      <c r="K2002">
        <f>IF(OHW!$G955="","",COUNTIFS(OHW!$A$5:$A$1668,OHW!$A955,OHW!$C$5:$C$1668,OHW!$C955))</f>
        <v/>
      </c>
      <c r="L2002">
        <f>IF(OHW!$G955="","",OHW!$D955&amp;"")</f>
        <v/>
      </c>
      <c r="M2002">
        <f>IF(OHW!$G955="","",OHW!$F955)</f>
        <v/>
      </c>
      <c r="N2002">
        <f>IF(OHW!$G955="","",OHW!$G955)</f>
        <v/>
      </c>
      <c r="O2002">
        <f>IF(OHW!$G955="","",OHW!$I955)</f>
        <v/>
      </c>
      <c r="P2002">
        <f>IF(OHW!$G955="","","Final")</f>
        <v/>
      </c>
    </row>
    <row r="2003">
      <c r="A2003">
        <f>IF(OHW!$G956="","","OHW")</f>
        <v/>
      </c>
      <c r="B2003">
        <f>IF(OHW!$G956="","","OHW")</f>
        <v/>
      </c>
      <c r="C2003" s="18">
        <f>IF(OHW!$G956="","",OHW!$A956)</f>
        <v/>
      </c>
      <c r="F2003">
        <f>IF(OHW!$G956="","",OHW!$B956&amp;"")</f>
        <v/>
      </c>
      <c r="J2003">
        <f>IF(OHW!$G956="","",OHW!$E956)</f>
        <v/>
      </c>
      <c r="K2003">
        <f>IF(OHW!$G956="","",COUNTIFS(OHW!$A$5:$A$1668,OHW!$A956,OHW!$C$5:$C$1668,OHW!$C956))</f>
        <v/>
      </c>
      <c r="L2003">
        <f>IF(OHW!$G956="","",OHW!$D956&amp;"")</f>
        <v/>
      </c>
      <c r="M2003">
        <f>IF(OHW!$G956="","",OHW!$F956)</f>
        <v/>
      </c>
      <c r="N2003">
        <f>IF(OHW!$G956="","",OHW!$G956)</f>
        <v/>
      </c>
      <c r="O2003">
        <f>IF(OHW!$G956="","",OHW!$I956)</f>
        <v/>
      </c>
      <c r="P2003">
        <f>IF(OHW!$G956="","","Final")</f>
        <v/>
      </c>
    </row>
    <row r="2004">
      <c r="A2004">
        <f>IF(OHW!$G957="","","OHW")</f>
        <v/>
      </c>
      <c r="B2004">
        <f>IF(OHW!$G957="","","OHW")</f>
        <v/>
      </c>
      <c r="C2004" s="18">
        <f>IF(OHW!$G957="","",OHW!$A957)</f>
        <v/>
      </c>
      <c r="F2004">
        <f>IF(OHW!$G957="","",OHW!$B957&amp;"")</f>
        <v/>
      </c>
      <c r="J2004">
        <f>IF(OHW!$G957="","",OHW!$E957)</f>
        <v/>
      </c>
      <c r="K2004">
        <f>IF(OHW!$G957="","",COUNTIFS(OHW!$A$5:$A$1668,OHW!$A957,OHW!$C$5:$C$1668,OHW!$C957))</f>
        <v/>
      </c>
      <c r="L2004">
        <f>IF(OHW!$G957="","",OHW!$D957&amp;"")</f>
        <v/>
      </c>
      <c r="M2004">
        <f>IF(OHW!$G957="","",OHW!$F957)</f>
        <v/>
      </c>
      <c r="N2004">
        <f>IF(OHW!$G957="","",OHW!$G957)</f>
        <v/>
      </c>
      <c r="O2004">
        <f>IF(OHW!$G957="","",OHW!$I957)</f>
        <v/>
      </c>
      <c r="P2004">
        <f>IF(OHW!$G957="","","Final")</f>
        <v/>
      </c>
    </row>
    <row r="2005">
      <c r="A2005">
        <f>IF(OHW!$G958="","","OHW")</f>
        <v/>
      </c>
      <c r="B2005">
        <f>IF(OHW!$G958="","","OHW")</f>
        <v/>
      </c>
      <c r="C2005" s="18">
        <f>IF(OHW!$G958="","",OHW!$A958)</f>
        <v/>
      </c>
      <c r="F2005">
        <f>IF(OHW!$G958="","",OHW!$B958&amp;"")</f>
        <v/>
      </c>
      <c r="J2005">
        <f>IF(OHW!$G958="","",OHW!$E958)</f>
        <v/>
      </c>
      <c r="K2005">
        <f>IF(OHW!$G958="","",COUNTIFS(OHW!$A$5:$A$1668,OHW!$A958,OHW!$C$5:$C$1668,OHW!$C958))</f>
        <v/>
      </c>
      <c r="L2005">
        <f>IF(OHW!$G958="","",OHW!$D958&amp;"")</f>
        <v/>
      </c>
      <c r="M2005">
        <f>IF(OHW!$G958="","",OHW!$F958)</f>
        <v/>
      </c>
      <c r="N2005">
        <f>IF(OHW!$G958="","",OHW!$G958)</f>
        <v/>
      </c>
      <c r="O2005">
        <f>IF(OHW!$G958="","",OHW!$I958)</f>
        <v/>
      </c>
      <c r="P2005">
        <f>IF(OHW!$G958="","","Final")</f>
        <v/>
      </c>
    </row>
    <row r="2006">
      <c r="A2006">
        <f>IF(OHW!$G959="","","OHW")</f>
        <v/>
      </c>
      <c r="B2006">
        <f>IF(OHW!$G959="","","OHW")</f>
        <v/>
      </c>
      <c r="C2006" s="18">
        <f>IF(OHW!$G959="","",OHW!$A959)</f>
        <v/>
      </c>
      <c r="F2006">
        <f>IF(OHW!$G959="","",OHW!$B959&amp;"")</f>
        <v/>
      </c>
      <c r="J2006">
        <f>IF(OHW!$G959="","",OHW!$E959)</f>
        <v/>
      </c>
      <c r="K2006">
        <f>IF(OHW!$G959="","",COUNTIFS(OHW!$A$5:$A$1668,OHW!$A959,OHW!$C$5:$C$1668,OHW!$C959))</f>
        <v/>
      </c>
      <c r="L2006">
        <f>IF(OHW!$G959="","",OHW!$D959&amp;"")</f>
        <v/>
      </c>
      <c r="M2006">
        <f>IF(OHW!$G959="","",OHW!$F959)</f>
        <v/>
      </c>
      <c r="N2006">
        <f>IF(OHW!$G959="","",OHW!$G959)</f>
        <v/>
      </c>
      <c r="O2006">
        <f>IF(OHW!$G959="","",OHW!$I959)</f>
        <v/>
      </c>
      <c r="P2006">
        <f>IF(OHW!$G959="","","Final")</f>
        <v/>
      </c>
    </row>
    <row r="2007">
      <c r="A2007">
        <f>IF(OHW!$G960="","","OHW")</f>
        <v/>
      </c>
      <c r="B2007">
        <f>IF(OHW!$G960="","","OHW")</f>
        <v/>
      </c>
      <c r="C2007" s="18">
        <f>IF(OHW!$G960="","",OHW!$A960)</f>
        <v/>
      </c>
      <c r="F2007">
        <f>IF(OHW!$G960="","",OHW!$B960&amp;"")</f>
        <v/>
      </c>
      <c r="J2007">
        <f>IF(OHW!$G960="","",OHW!$E960)</f>
        <v/>
      </c>
      <c r="K2007">
        <f>IF(OHW!$G960="","",COUNTIFS(OHW!$A$5:$A$1668,OHW!$A960,OHW!$C$5:$C$1668,OHW!$C960))</f>
        <v/>
      </c>
      <c r="L2007">
        <f>IF(OHW!$G960="","",OHW!$D960&amp;"")</f>
        <v/>
      </c>
      <c r="M2007">
        <f>IF(OHW!$G960="","",OHW!$F960)</f>
        <v/>
      </c>
      <c r="N2007">
        <f>IF(OHW!$G960="","",OHW!$G960)</f>
        <v/>
      </c>
      <c r="O2007">
        <f>IF(OHW!$G960="","",OHW!$I960)</f>
        <v/>
      </c>
      <c r="P2007">
        <f>IF(OHW!$G960="","","Final")</f>
        <v/>
      </c>
    </row>
    <row r="2008">
      <c r="A2008">
        <f>IF(OHW!$G961="","","OHW")</f>
        <v/>
      </c>
      <c r="B2008">
        <f>IF(OHW!$G961="","","OHW")</f>
        <v/>
      </c>
      <c r="C2008" s="18">
        <f>IF(OHW!$G961="","",OHW!$A961)</f>
        <v/>
      </c>
      <c r="F2008">
        <f>IF(OHW!$G961="","",OHW!$B961&amp;"")</f>
        <v/>
      </c>
      <c r="J2008">
        <f>IF(OHW!$G961="","",OHW!$E961)</f>
        <v/>
      </c>
      <c r="K2008">
        <f>IF(OHW!$G961="","",COUNTIFS(OHW!$A$5:$A$1668,OHW!$A961,OHW!$C$5:$C$1668,OHW!$C961))</f>
        <v/>
      </c>
      <c r="L2008">
        <f>IF(OHW!$G961="","",OHW!$D961&amp;"")</f>
        <v/>
      </c>
      <c r="M2008">
        <f>IF(OHW!$G961="","",OHW!$F961)</f>
        <v/>
      </c>
      <c r="N2008">
        <f>IF(OHW!$G961="","",OHW!$G961)</f>
        <v/>
      </c>
      <c r="O2008">
        <f>IF(OHW!$G961="","",OHW!$I961)</f>
        <v/>
      </c>
      <c r="P2008">
        <f>IF(OHW!$G961="","","Final")</f>
        <v/>
      </c>
    </row>
    <row r="2009">
      <c r="A2009">
        <f>IF(OHW!$G962="","","OHW")</f>
        <v/>
      </c>
      <c r="B2009">
        <f>IF(OHW!$G962="","","OHW")</f>
        <v/>
      </c>
      <c r="C2009" s="18">
        <f>IF(OHW!$G962="","",OHW!$A962)</f>
        <v/>
      </c>
      <c r="F2009">
        <f>IF(OHW!$G962="","",OHW!$B962&amp;"")</f>
        <v/>
      </c>
      <c r="J2009">
        <f>IF(OHW!$G962="","",OHW!$E962)</f>
        <v/>
      </c>
      <c r="K2009">
        <f>IF(OHW!$G962="","",COUNTIFS(OHW!$A$5:$A$1668,OHW!$A962,OHW!$C$5:$C$1668,OHW!$C962))</f>
        <v/>
      </c>
      <c r="L2009">
        <f>IF(OHW!$G962="","",OHW!$D962&amp;"")</f>
        <v/>
      </c>
      <c r="M2009">
        <f>IF(OHW!$G962="","",OHW!$F962)</f>
        <v/>
      </c>
      <c r="N2009">
        <f>IF(OHW!$G962="","",OHW!$G962)</f>
        <v/>
      </c>
      <c r="O2009">
        <f>IF(OHW!$G962="","",OHW!$I962)</f>
        <v/>
      </c>
      <c r="P2009">
        <f>IF(OHW!$G962="","","Final")</f>
        <v/>
      </c>
    </row>
    <row r="2010">
      <c r="A2010">
        <f>IF(OHW!$G963="","","OHW")</f>
        <v/>
      </c>
      <c r="B2010">
        <f>IF(OHW!$G963="","","OHW")</f>
        <v/>
      </c>
      <c r="C2010" s="18">
        <f>IF(OHW!$G963="","",OHW!$A963)</f>
        <v/>
      </c>
      <c r="F2010">
        <f>IF(OHW!$G963="","",OHW!$B963&amp;"")</f>
        <v/>
      </c>
      <c r="J2010">
        <f>IF(OHW!$G963="","",OHW!$E963)</f>
        <v/>
      </c>
      <c r="K2010">
        <f>IF(OHW!$G963="","",COUNTIFS(OHW!$A$5:$A$1668,OHW!$A963,OHW!$C$5:$C$1668,OHW!$C963))</f>
        <v/>
      </c>
      <c r="L2010">
        <f>IF(OHW!$G963="","",OHW!$D963&amp;"")</f>
        <v/>
      </c>
      <c r="M2010">
        <f>IF(OHW!$G963="","",OHW!$F963)</f>
        <v/>
      </c>
      <c r="N2010">
        <f>IF(OHW!$G963="","",OHW!$G963)</f>
        <v/>
      </c>
      <c r="O2010">
        <f>IF(OHW!$G963="","",OHW!$I963)</f>
        <v/>
      </c>
      <c r="P2010">
        <f>IF(OHW!$G963="","","Final")</f>
        <v/>
      </c>
    </row>
    <row r="2011">
      <c r="A2011">
        <f>IF(OHW!$G964="","","OHW")</f>
        <v/>
      </c>
      <c r="B2011">
        <f>IF(OHW!$G964="","","OHW")</f>
        <v/>
      </c>
      <c r="C2011" s="18">
        <f>IF(OHW!$G964="","",OHW!$A964)</f>
        <v/>
      </c>
      <c r="F2011">
        <f>IF(OHW!$G964="","",OHW!$B964&amp;"")</f>
        <v/>
      </c>
      <c r="J2011">
        <f>IF(OHW!$G964="","",OHW!$E964)</f>
        <v/>
      </c>
      <c r="K2011">
        <f>IF(OHW!$G964="","",COUNTIFS(OHW!$A$5:$A$1668,OHW!$A964,OHW!$C$5:$C$1668,OHW!$C964))</f>
        <v/>
      </c>
      <c r="L2011">
        <f>IF(OHW!$G964="","",OHW!$D964&amp;"")</f>
        <v/>
      </c>
      <c r="M2011">
        <f>IF(OHW!$G964="","",OHW!$F964)</f>
        <v/>
      </c>
      <c r="N2011">
        <f>IF(OHW!$G964="","",OHW!$G964)</f>
        <v/>
      </c>
      <c r="O2011">
        <f>IF(OHW!$G964="","",OHW!$I964)</f>
        <v/>
      </c>
      <c r="P2011">
        <f>IF(OHW!$G964="","","Final")</f>
        <v/>
      </c>
    </row>
    <row r="2012">
      <c r="A2012">
        <f>IF(OHW!$G965="","","OHW")</f>
        <v/>
      </c>
      <c r="B2012">
        <f>IF(OHW!$G965="","","OHW")</f>
        <v/>
      </c>
      <c r="C2012" s="18">
        <f>IF(OHW!$G965="","",OHW!$A965)</f>
        <v/>
      </c>
      <c r="F2012">
        <f>IF(OHW!$G965="","",OHW!$B965&amp;"")</f>
        <v/>
      </c>
      <c r="J2012">
        <f>IF(OHW!$G965="","",OHW!$E965)</f>
        <v/>
      </c>
      <c r="K2012">
        <f>IF(OHW!$G965="","",COUNTIFS(OHW!$A$5:$A$1668,OHW!$A965,OHW!$C$5:$C$1668,OHW!$C965))</f>
        <v/>
      </c>
      <c r="L2012">
        <f>IF(OHW!$G965="","",OHW!$D965&amp;"")</f>
        <v/>
      </c>
      <c r="M2012">
        <f>IF(OHW!$G965="","",OHW!$F965)</f>
        <v/>
      </c>
      <c r="N2012">
        <f>IF(OHW!$G965="","",OHW!$G965)</f>
        <v/>
      </c>
      <c r="O2012">
        <f>IF(OHW!$G965="","",OHW!$I965)</f>
        <v/>
      </c>
      <c r="P2012">
        <f>IF(OHW!$G965="","","Final")</f>
        <v/>
      </c>
    </row>
    <row r="2013">
      <c r="A2013">
        <f>IF(OHW!$G966="","","OHW")</f>
        <v/>
      </c>
      <c r="B2013">
        <f>IF(OHW!$G966="","","OHW")</f>
        <v/>
      </c>
      <c r="C2013" s="18">
        <f>IF(OHW!$G966="","",OHW!$A966)</f>
        <v/>
      </c>
      <c r="F2013">
        <f>IF(OHW!$G966="","",OHW!$B966&amp;"")</f>
        <v/>
      </c>
      <c r="J2013">
        <f>IF(OHW!$G966="","",OHW!$E966)</f>
        <v/>
      </c>
      <c r="K2013">
        <f>IF(OHW!$G966="","",COUNTIFS(OHW!$A$5:$A$1668,OHW!$A966,OHW!$C$5:$C$1668,OHW!$C966))</f>
        <v/>
      </c>
      <c r="L2013">
        <f>IF(OHW!$G966="","",OHW!$D966&amp;"")</f>
        <v/>
      </c>
      <c r="M2013">
        <f>IF(OHW!$G966="","",OHW!$F966)</f>
        <v/>
      </c>
      <c r="N2013">
        <f>IF(OHW!$G966="","",OHW!$G966)</f>
        <v/>
      </c>
      <c r="O2013">
        <f>IF(OHW!$G966="","",OHW!$I966)</f>
        <v/>
      </c>
      <c r="P2013">
        <f>IF(OHW!$G966="","","Final")</f>
        <v/>
      </c>
    </row>
    <row r="2014">
      <c r="A2014">
        <f>IF(OHW!$G967="","","OHW")</f>
        <v/>
      </c>
      <c r="B2014">
        <f>IF(OHW!$G967="","","OHW")</f>
        <v/>
      </c>
      <c r="C2014" s="18">
        <f>IF(OHW!$G967="","",OHW!$A967)</f>
        <v/>
      </c>
      <c r="F2014">
        <f>IF(OHW!$G967="","",OHW!$B967&amp;"")</f>
        <v/>
      </c>
      <c r="J2014">
        <f>IF(OHW!$G967="","",OHW!$E967)</f>
        <v/>
      </c>
      <c r="K2014">
        <f>IF(OHW!$G967="","",COUNTIFS(OHW!$A$5:$A$1668,OHW!$A967,OHW!$C$5:$C$1668,OHW!$C967))</f>
        <v/>
      </c>
      <c r="L2014">
        <f>IF(OHW!$G967="","",OHW!$D967&amp;"")</f>
        <v/>
      </c>
      <c r="M2014">
        <f>IF(OHW!$G967="","",OHW!$F967)</f>
        <v/>
      </c>
      <c r="N2014">
        <f>IF(OHW!$G967="","",OHW!$G967)</f>
        <v/>
      </c>
      <c r="O2014">
        <f>IF(OHW!$G967="","",OHW!$I967)</f>
        <v/>
      </c>
      <c r="P2014">
        <f>IF(OHW!$G967="","","Final")</f>
        <v/>
      </c>
    </row>
    <row r="2015">
      <c r="A2015">
        <f>IF(OHW!$G968="","","OHW")</f>
        <v/>
      </c>
      <c r="B2015">
        <f>IF(OHW!$G968="","","OHW")</f>
        <v/>
      </c>
      <c r="C2015" s="18">
        <f>IF(OHW!$G968="","",OHW!$A968)</f>
        <v/>
      </c>
      <c r="F2015">
        <f>IF(OHW!$G968="","",OHW!$B968&amp;"")</f>
        <v/>
      </c>
      <c r="J2015">
        <f>IF(OHW!$G968="","",OHW!$E968)</f>
        <v/>
      </c>
      <c r="K2015">
        <f>IF(OHW!$G968="","",COUNTIFS(OHW!$A$5:$A$1668,OHW!$A968,OHW!$C$5:$C$1668,OHW!$C968))</f>
        <v/>
      </c>
      <c r="L2015">
        <f>IF(OHW!$G968="","",OHW!$D968&amp;"")</f>
        <v/>
      </c>
      <c r="M2015">
        <f>IF(OHW!$G968="","",OHW!$F968)</f>
        <v/>
      </c>
      <c r="N2015">
        <f>IF(OHW!$G968="","",OHW!$G968)</f>
        <v/>
      </c>
      <c r="O2015">
        <f>IF(OHW!$G968="","",OHW!$I968)</f>
        <v/>
      </c>
      <c r="P2015">
        <f>IF(OHW!$G968="","","Final")</f>
        <v/>
      </c>
    </row>
    <row r="2016">
      <c r="A2016">
        <f>IF(OHW!$G969="","","OHW")</f>
        <v/>
      </c>
      <c r="B2016">
        <f>IF(OHW!$G969="","","OHW")</f>
        <v/>
      </c>
      <c r="C2016" s="18">
        <f>IF(OHW!$G969="","",OHW!$A969)</f>
        <v/>
      </c>
      <c r="F2016">
        <f>IF(OHW!$G969="","",OHW!$B969&amp;"")</f>
        <v/>
      </c>
      <c r="J2016">
        <f>IF(OHW!$G969="","",OHW!$E969)</f>
        <v/>
      </c>
      <c r="K2016">
        <f>IF(OHW!$G969="","",COUNTIFS(OHW!$A$5:$A$1668,OHW!$A969,OHW!$C$5:$C$1668,OHW!$C969))</f>
        <v/>
      </c>
      <c r="L2016">
        <f>IF(OHW!$G969="","",OHW!$D969&amp;"")</f>
        <v/>
      </c>
      <c r="M2016">
        <f>IF(OHW!$G969="","",OHW!$F969)</f>
        <v/>
      </c>
      <c r="N2016">
        <f>IF(OHW!$G969="","",OHW!$G969)</f>
        <v/>
      </c>
      <c r="O2016">
        <f>IF(OHW!$G969="","",OHW!$I969)</f>
        <v/>
      </c>
      <c r="P2016">
        <f>IF(OHW!$G969="","","Final")</f>
        <v/>
      </c>
    </row>
    <row r="2017">
      <c r="A2017">
        <f>IF(OHW!$G970="","","OHW")</f>
        <v/>
      </c>
      <c r="B2017">
        <f>IF(OHW!$G970="","","OHW")</f>
        <v/>
      </c>
      <c r="C2017" s="18">
        <f>IF(OHW!$G970="","",OHW!$A970)</f>
        <v/>
      </c>
      <c r="F2017">
        <f>IF(OHW!$G970="","",OHW!$B970&amp;"")</f>
        <v/>
      </c>
      <c r="J2017">
        <f>IF(OHW!$G970="","",OHW!$E970)</f>
        <v/>
      </c>
      <c r="K2017">
        <f>IF(OHW!$G970="","",COUNTIFS(OHW!$A$5:$A$1668,OHW!$A970,OHW!$C$5:$C$1668,OHW!$C970))</f>
        <v/>
      </c>
      <c r="L2017">
        <f>IF(OHW!$G970="","",OHW!$D970&amp;"")</f>
        <v/>
      </c>
      <c r="M2017">
        <f>IF(OHW!$G970="","",OHW!$F970)</f>
        <v/>
      </c>
      <c r="N2017">
        <f>IF(OHW!$G970="","",OHW!$G970)</f>
        <v/>
      </c>
      <c r="O2017">
        <f>IF(OHW!$G970="","",OHW!$I970)</f>
        <v/>
      </c>
      <c r="P2017">
        <f>IF(OHW!$G970="","","Final")</f>
        <v/>
      </c>
    </row>
    <row r="2018">
      <c r="A2018">
        <f>IF(OHW!$G971="","","OHW")</f>
        <v/>
      </c>
      <c r="B2018">
        <f>IF(OHW!$G971="","","OHW")</f>
        <v/>
      </c>
      <c r="C2018" s="18">
        <f>IF(OHW!$G971="","",OHW!$A971)</f>
        <v/>
      </c>
      <c r="F2018">
        <f>IF(OHW!$G971="","",OHW!$B971&amp;"")</f>
        <v/>
      </c>
      <c r="J2018">
        <f>IF(OHW!$G971="","",OHW!$E971)</f>
        <v/>
      </c>
      <c r="K2018">
        <f>IF(OHW!$G971="","",COUNTIFS(OHW!$A$5:$A$1668,OHW!$A971,OHW!$C$5:$C$1668,OHW!$C971))</f>
        <v/>
      </c>
      <c r="L2018">
        <f>IF(OHW!$G971="","",OHW!$D971&amp;"")</f>
        <v/>
      </c>
      <c r="M2018">
        <f>IF(OHW!$G971="","",OHW!$F971)</f>
        <v/>
      </c>
      <c r="N2018">
        <f>IF(OHW!$G971="","",OHW!$G971)</f>
        <v/>
      </c>
      <c r="O2018">
        <f>IF(OHW!$G971="","",OHW!$I971)</f>
        <v/>
      </c>
      <c r="P2018">
        <f>IF(OHW!$G971="","","Final")</f>
        <v/>
      </c>
    </row>
    <row r="2019">
      <c r="A2019">
        <f>IF(OHW!$G972="","","OHW")</f>
        <v/>
      </c>
      <c r="B2019">
        <f>IF(OHW!$G972="","","OHW")</f>
        <v/>
      </c>
      <c r="C2019" s="18">
        <f>IF(OHW!$G972="","",OHW!$A972)</f>
        <v/>
      </c>
      <c r="F2019">
        <f>IF(OHW!$G972="","",OHW!$B972&amp;"")</f>
        <v/>
      </c>
      <c r="J2019">
        <f>IF(OHW!$G972="","",OHW!$E972)</f>
        <v/>
      </c>
      <c r="K2019">
        <f>IF(OHW!$G972="","",COUNTIFS(OHW!$A$5:$A$1668,OHW!$A972,OHW!$C$5:$C$1668,OHW!$C972))</f>
        <v/>
      </c>
      <c r="L2019">
        <f>IF(OHW!$G972="","",OHW!$D972&amp;"")</f>
        <v/>
      </c>
      <c r="M2019">
        <f>IF(OHW!$G972="","",OHW!$F972)</f>
        <v/>
      </c>
      <c r="N2019">
        <f>IF(OHW!$G972="","",OHW!$G972)</f>
        <v/>
      </c>
      <c r="O2019">
        <f>IF(OHW!$G972="","",OHW!$I972)</f>
        <v/>
      </c>
      <c r="P2019">
        <f>IF(OHW!$G972="","","Final")</f>
        <v/>
      </c>
    </row>
    <row r="2020">
      <c r="A2020">
        <f>IF(OHW!$G973="","","OHW")</f>
        <v/>
      </c>
      <c r="B2020">
        <f>IF(OHW!$G973="","","OHW")</f>
        <v/>
      </c>
      <c r="C2020" s="18">
        <f>IF(OHW!$G973="","",OHW!$A973)</f>
        <v/>
      </c>
      <c r="F2020">
        <f>IF(OHW!$G973="","",OHW!$B973&amp;"")</f>
        <v/>
      </c>
      <c r="J2020">
        <f>IF(OHW!$G973="","",OHW!$E973)</f>
        <v/>
      </c>
      <c r="K2020">
        <f>IF(OHW!$G973="","",COUNTIFS(OHW!$A$5:$A$1668,OHW!$A973,OHW!$C$5:$C$1668,OHW!$C973))</f>
        <v/>
      </c>
      <c r="L2020">
        <f>IF(OHW!$G973="","",OHW!$D973&amp;"")</f>
        <v/>
      </c>
      <c r="M2020">
        <f>IF(OHW!$G973="","",OHW!$F973)</f>
        <v/>
      </c>
      <c r="N2020">
        <f>IF(OHW!$G973="","",OHW!$G973)</f>
        <v/>
      </c>
      <c r="O2020">
        <f>IF(OHW!$G973="","",OHW!$I973)</f>
        <v/>
      </c>
      <c r="P2020">
        <f>IF(OHW!$G973="","","Final")</f>
        <v/>
      </c>
    </row>
    <row r="2021">
      <c r="A2021">
        <f>IF(OHW!$G974="","","OHW")</f>
        <v/>
      </c>
      <c r="B2021">
        <f>IF(OHW!$G974="","","OHW")</f>
        <v/>
      </c>
      <c r="C2021" s="18">
        <f>IF(OHW!$G974="","",OHW!$A974)</f>
        <v/>
      </c>
      <c r="F2021">
        <f>IF(OHW!$G974="","",OHW!$B974&amp;"")</f>
        <v/>
      </c>
      <c r="J2021">
        <f>IF(OHW!$G974="","",OHW!$E974)</f>
        <v/>
      </c>
      <c r="K2021">
        <f>IF(OHW!$G974="","",COUNTIFS(OHW!$A$5:$A$1668,OHW!$A974,OHW!$C$5:$C$1668,OHW!$C974))</f>
        <v/>
      </c>
      <c r="L2021">
        <f>IF(OHW!$G974="","",OHW!$D974&amp;"")</f>
        <v/>
      </c>
      <c r="M2021">
        <f>IF(OHW!$G974="","",OHW!$F974)</f>
        <v/>
      </c>
      <c r="N2021">
        <f>IF(OHW!$G974="","",OHW!$G974)</f>
        <v/>
      </c>
      <c r="O2021">
        <f>IF(OHW!$G974="","",OHW!$I974)</f>
        <v/>
      </c>
      <c r="P2021">
        <f>IF(OHW!$G974="","","Final")</f>
        <v/>
      </c>
    </row>
    <row r="2022">
      <c r="A2022">
        <f>IF(OHW!$G975="","","OHW")</f>
        <v/>
      </c>
      <c r="B2022">
        <f>IF(OHW!$G975="","","OHW")</f>
        <v/>
      </c>
      <c r="C2022" s="18">
        <f>IF(OHW!$G975="","",OHW!$A975)</f>
        <v/>
      </c>
      <c r="F2022">
        <f>IF(OHW!$G975="","",OHW!$B975&amp;"")</f>
        <v/>
      </c>
      <c r="J2022">
        <f>IF(OHW!$G975="","",OHW!$E975)</f>
        <v/>
      </c>
      <c r="K2022">
        <f>IF(OHW!$G975="","",COUNTIFS(OHW!$A$5:$A$1668,OHW!$A975,OHW!$C$5:$C$1668,OHW!$C975))</f>
        <v/>
      </c>
      <c r="L2022">
        <f>IF(OHW!$G975="","",OHW!$D975&amp;"")</f>
        <v/>
      </c>
      <c r="M2022">
        <f>IF(OHW!$G975="","",OHW!$F975)</f>
        <v/>
      </c>
      <c r="N2022">
        <f>IF(OHW!$G975="","",OHW!$G975)</f>
        <v/>
      </c>
      <c r="O2022">
        <f>IF(OHW!$G975="","",OHW!$I975)</f>
        <v/>
      </c>
      <c r="P2022">
        <f>IF(OHW!$G975="","","Final")</f>
        <v/>
      </c>
    </row>
    <row r="2023">
      <c r="A2023">
        <f>IF(OHW!$G976="","","OHW")</f>
        <v/>
      </c>
      <c r="B2023">
        <f>IF(OHW!$G976="","","OHW")</f>
        <v/>
      </c>
      <c r="C2023" s="18">
        <f>IF(OHW!$G976="","",OHW!$A976)</f>
        <v/>
      </c>
      <c r="F2023">
        <f>IF(OHW!$G976="","",OHW!$B976&amp;"")</f>
        <v/>
      </c>
      <c r="J2023">
        <f>IF(OHW!$G976="","",OHW!$E976)</f>
        <v/>
      </c>
      <c r="K2023">
        <f>IF(OHW!$G976="","",COUNTIFS(OHW!$A$5:$A$1668,OHW!$A976,OHW!$C$5:$C$1668,OHW!$C976))</f>
        <v/>
      </c>
      <c r="L2023">
        <f>IF(OHW!$G976="","",OHW!$D976&amp;"")</f>
        <v/>
      </c>
      <c r="M2023">
        <f>IF(OHW!$G976="","",OHW!$F976)</f>
        <v/>
      </c>
      <c r="N2023">
        <f>IF(OHW!$G976="","",OHW!$G976)</f>
        <v/>
      </c>
      <c r="O2023">
        <f>IF(OHW!$G976="","",OHW!$I976)</f>
        <v/>
      </c>
      <c r="P2023">
        <f>IF(OHW!$G976="","","Final")</f>
        <v/>
      </c>
    </row>
    <row r="2024">
      <c r="A2024">
        <f>IF(OHW!$G977="","","OHW")</f>
        <v/>
      </c>
      <c r="B2024">
        <f>IF(OHW!$G977="","","OHW")</f>
        <v/>
      </c>
      <c r="C2024" s="18">
        <f>IF(OHW!$G977="","",OHW!$A977)</f>
        <v/>
      </c>
      <c r="F2024">
        <f>IF(OHW!$G977="","",OHW!$B977&amp;"")</f>
        <v/>
      </c>
      <c r="J2024">
        <f>IF(OHW!$G977="","",OHW!$E977)</f>
        <v/>
      </c>
      <c r="K2024">
        <f>IF(OHW!$G977="","",COUNTIFS(OHW!$A$5:$A$1668,OHW!$A977,OHW!$C$5:$C$1668,OHW!$C977))</f>
        <v/>
      </c>
      <c r="L2024">
        <f>IF(OHW!$G977="","",OHW!$D977&amp;"")</f>
        <v/>
      </c>
      <c r="M2024">
        <f>IF(OHW!$G977="","",OHW!$F977)</f>
        <v/>
      </c>
      <c r="N2024">
        <f>IF(OHW!$G977="","",OHW!$G977)</f>
        <v/>
      </c>
      <c r="O2024">
        <f>IF(OHW!$G977="","",OHW!$I977)</f>
        <v/>
      </c>
      <c r="P2024">
        <f>IF(OHW!$G977="","","Final")</f>
        <v/>
      </c>
    </row>
    <row r="2025">
      <c r="A2025">
        <f>IF(OHW!$G978="","","OHW")</f>
        <v/>
      </c>
      <c r="B2025">
        <f>IF(OHW!$G978="","","OHW")</f>
        <v/>
      </c>
      <c r="C2025" s="18">
        <f>IF(OHW!$G978="","",OHW!$A978)</f>
        <v/>
      </c>
      <c r="F2025">
        <f>IF(OHW!$G978="","",OHW!$B978&amp;"")</f>
        <v/>
      </c>
      <c r="J2025">
        <f>IF(OHW!$G978="","",OHW!$E978)</f>
        <v/>
      </c>
      <c r="K2025">
        <f>IF(OHW!$G978="","",COUNTIFS(OHW!$A$5:$A$1668,OHW!$A978,OHW!$C$5:$C$1668,OHW!$C978))</f>
        <v/>
      </c>
      <c r="L2025">
        <f>IF(OHW!$G978="","",OHW!$D978&amp;"")</f>
        <v/>
      </c>
      <c r="M2025">
        <f>IF(OHW!$G978="","",OHW!$F978)</f>
        <v/>
      </c>
      <c r="N2025">
        <f>IF(OHW!$G978="","",OHW!$G978)</f>
        <v/>
      </c>
      <c r="O2025">
        <f>IF(OHW!$G978="","",OHW!$I978)</f>
        <v/>
      </c>
      <c r="P2025">
        <f>IF(OHW!$G978="","","Final")</f>
        <v/>
      </c>
    </row>
    <row r="2026">
      <c r="A2026">
        <f>IF(OHW!$G979="","","OHW")</f>
        <v/>
      </c>
      <c r="B2026">
        <f>IF(OHW!$G979="","","OHW")</f>
        <v/>
      </c>
      <c r="C2026" s="18">
        <f>IF(OHW!$G979="","",OHW!$A979)</f>
        <v/>
      </c>
      <c r="F2026">
        <f>IF(OHW!$G979="","",OHW!$B979&amp;"")</f>
        <v/>
      </c>
      <c r="J2026">
        <f>IF(OHW!$G979="","",OHW!$E979)</f>
        <v/>
      </c>
      <c r="K2026">
        <f>IF(OHW!$G979="","",COUNTIFS(OHW!$A$5:$A$1668,OHW!$A979,OHW!$C$5:$C$1668,OHW!$C979))</f>
        <v/>
      </c>
      <c r="L2026">
        <f>IF(OHW!$G979="","",OHW!$D979&amp;"")</f>
        <v/>
      </c>
      <c r="M2026">
        <f>IF(OHW!$G979="","",OHW!$F979)</f>
        <v/>
      </c>
      <c r="N2026">
        <f>IF(OHW!$G979="","",OHW!$G979)</f>
        <v/>
      </c>
      <c r="O2026">
        <f>IF(OHW!$G979="","",OHW!$I979)</f>
        <v/>
      </c>
      <c r="P2026">
        <f>IF(OHW!$G979="","","Final")</f>
        <v/>
      </c>
    </row>
    <row r="2027">
      <c r="A2027">
        <f>IF(OHW!$G980="","","OHW")</f>
        <v/>
      </c>
      <c r="B2027">
        <f>IF(OHW!$G980="","","OHW")</f>
        <v/>
      </c>
      <c r="C2027" s="18">
        <f>IF(OHW!$G980="","",OHW!$A980)</f>
        <v/>
      </c>
      <c r="F2027">
        <f>IF(OHW!$G980="","",OHW!$B980&amp;"")</f>
        <v/>
      </c>
      <c r="J2027">
        <f>IF(OHW!$G980="","",OHW!$E980)</f>
        <v/>
      </c>
      <c r="K2027">
        <f>IF(OHW!$G980="","",COUNTIFS(OHW!$A$5:$A$1668,OHW!$A980,OHW!$C$5:$C$1668,OHW!$C980))</f>
        <v/>
      </c>
      <c r="L2027">
        <f>IF(OHW!$G980="","",OHW!$D980&amp;"")</f>
        <v/>
      </c>
      <c r="M2027">
        <f>IF(OHW!$G980="","",OHW!$F980)</f>
        <v/>
      </c>
      <c r="N2027">
        <f>IF(OHW!$G980="","",OHW!$G980)</f>
        <v/>
      </c>
      <c r="O2027">
        <f>IF(OHW!$G980="","",OHW!$I980)</f>
        <v/>
      </c>
      <c r="P2027">
        <f>IF(OHW!$G980="","","Final")</f>
        <v/>
      </c>
    </row>
    <row r="2028">
      <c r="A2028">
        <f>IF(OHW!$G981="","","OHW")</f>
        <v/>
      </c>
      <c r="B2028">
        <f>IF(OHW!$G981="","","OHW")</f>
        <v/>
      </c>
      <c r="C2028" s="18">
        <f>IF(OHW!$G981="","",OHW!$A981)</f>
        <v/>
      </c>
      <c r="F2028">
        <f>IF(OHW!$G981="","",OHW!$B981&amp;"")</f>
        <v/>
      </c>
      <c r="J2028">
        <f>IF(OHW!$G981="","",OHW!$E981)</f>
        <v/>
      </c>
      <c r="K2028">
        <f>IF(OHW!$G981="","",COUNTIFS(OHW!$A$5:$A$1668,OHW!$A981,OHW!$C$5:$C$1668,OHW!$C981))</f>
        <v/>
      </c>
      <c r="L2028">
        <f>IF(OHW!$G981="","",OHW!$D981&amp;"")</f>
        <v/>
      </c>
      <c r="M2028">
        <f>IF(OHW!$G981="","",OHW!$F981)</f>
        <v/>
      </c>
      <c r="N2028">
        <f>IF(OHW!$G981="","",OHW!$G981)</f>
        <v/>
      </c>
      <c r="O2028">
        <f>IF(OHW!$G981="","",OHW!$I981)</f>
        <v/>
      </c>
      <c r="P2028">
        <f>IF(OHW!$G981="","","Final")</f>
        <v/>
      </c>
    </row>
    <row r="2029">
      <c r="A2029">
        <f>IF(OHW!$G982="","","OHW")</f>
        <v/>
      </c>
      <c r="B2029">
        <f>IF(OHW!$G982="","","OHW")</f>
        <v/>
      </c>
      <c r="C2029" s="18">
        <f>IF(OHW!$G982="","",OHW!$A982)</f>
        <v/>
      </c>
      <c r="F2029">
        <f>IF(OHW!$G982="","",OHW!$B982&amp;"")</f>
        <v/>
      </c>
      <c r="J2029">
        <f>IF(OHW!$G982="","",OHW!$E982)</f>
        <v/>
      </c>
      <c r="K2029">
        <f>IF(OHW!$G982="","",COUNTIFS(OHW!$A$5:$A$1668,OHW!$A982,OHW!$C$5:$C$1668,OHW!$C982))</f>
        <v/>
      </c>
      <c r="L2029">
        <f>IF(OHW!$G982="","",OHW!$D982&amp;"")</f>
        <v/>
      </c>
      <c r="M2029">
        <f>IF(OHW!$G982="","",OHW!$F982)</f>
        <v/>
      </c>
      <c r="N2029">
        <f>IF(OHW!$G982="","",OHW!$G982)</f>
        <v/>
      </c>
      <c r="O2029">
        <f>IF(OHW!$G982="","",OHW!$I982)</f>
        <v/>
      </c>
      <c r="P2029">
        <f>IF(OHW!$G982="","","Final")</f>
        <v/>
      </c>
    </row>
    <row r="2030">
      <c r="A2030">
        <f>IF(OHW!$G983="","","OHW")</f>
        <v/>
      </c>
      <c r="B2030">
        <f>IF(OHW!$G983="","","OHW")</f>
        <v/>
      </c>
      <c r="C2030" s="18">
        <f>IF(OHW!$G983="","",OHW!$A983)</f>
        <v/>
      </c>
      <c r="F2030">
        <f>IF(OHW!$G983="","",OHW!$B983&amp;"")</f>
        <v/>
      </c>
      <c r="J2030">
        <f>IF(OHW!$G983="","",OHW!$E983)</f>
        <v/>
      </c>
      <c r="K2030">
        <f>IF(OHW!$G983="","",COUNTIFS(OHW!$A$5:$A$1668,OHW!$A983,OHW!$C$5:$C$1668,OHW!$C983))</f>
        <v/>
      </c>
      <c r="L2030">
        <f>IF(OHW!$G983="","",OHW!$D983&amp;"")</f>
        <v/>
      </c>
      <c r="M2030">
        <f>IF(OHW!$G983="","",OHW!$F983)</f>
        <v/>
      </c>
      <c r="N2030">
        <f>IF(OHW!$G983="","",OHW!$G983)</f>
        <v/>
      </c>
      <c r="O2030">
        <f>IF(OHW!$G983="","",OHW!$I983)</f>
        <v/>
      </c>
      <c r="P2030">
        <f>IF(OHW!$G983="","","Final")</f>
        <v/>
      </c>
    </row>
    <row r="2031">
      <c r="A2031">
        <f>IF(OHW!$G984="","","OHW")</f>
        <v/>
      </c>
      <c r="B2031">
        <f>IF(OHW!$G984="","","OHW")</f>
        <v/>
      </c>
      <c r="C2031" s="18">
        <f>IF(OHW!$G984="","",OHW!$A984)</f>
        <v/>
      </c>
      <c r="F2031">
        <f>IF(OHW!$G984="","",OHW!$B984&amp;"")</f>
        <v/>
      </c>
      <c r="J2031">
        <f>IF(OHW!$G984="","",OHW!$E984)</f>
        <v/>
      </c>
      <c r="K2031">
        <f>IF(OHW!$G984="","",COUNTIFS(OHW!$A$5:$A$1668,OHW!$A984,OHW!$C$5:$C$1668,OHW!$C984))</f>
        <v/>
      </c>
      <c r="L2031">
        <f>IF(OHW!$G984="","",OHW!$D984&amp;"")</f>
        <v/>
      </c>
      <c r="M2031">
        <f>IF(OHW!$G984="","",OHW!$F984)</f>
        <v/>
      </c>
      <c r="N2031">
        <f>IF(OHW!$G984="","",OHW!$G984)</f>
        <v/>
      </c>
      <c r="O2031">
        <f>IF(OHW!$G984="","",OHW!$I984)</f>
        <v/>
      </c>
      <c r="P2031">
        <f>IF(OHW!$G984="","","Final")</f>
        <v/>
      </c>
    </row>
    <row r="2032">
      <c r="A2032">
        <f>IF(OHW!$G985="","","OHW")</f>
        <v/>
      </c>
      <c r="B2032">
        <f>IF(OHW!$G985="","","OHW")</f>
        <v/>
      </c>
      <c r="C2032" s="18">
        <f>IF(OHW!$G985="","",OHW!$A985)</f>
        <v/>
      </c>
      <c r="F2032">
        <f>IF(OHW!$G985="","",OHW!$B985&amp;"")</f>
        <v/>
      </c>
      <c r="J2032">
        <f>IF(OHW!$G985="","",OHW!$E985)</f>
        <v/>
      </c>
      <c r="K2032">
        <f>IF(OHW!$G985="","",COUNTIFS(OHW!$A$5:$A$1668,OHW!$A985,OHW!$C$5:$C$1668,OHW!$C985))</f>
        <v/>
      </c>
      <c r="L2032">
        <f>IF(OHW!$G985="","",OHW!$D985&amp;"")</f>
        <v/>
      </c>
      <c r="M2032">
        <f>IF(OHW!$G985="","",OHW!$F985)</f>
        <v/>
      </c>
      <c r="N2032">
        <f>IF(OHW!$G985="","",OHW!$G985)</f>
        <v/>
      </c>
      <c r="O2032">
        <f>IF(OHW!$G985="","",OHW!$I985)</f>
        <v/>
      </c>
      <c r="P2032">
        <f>IF(OHW!$G985="","","Final")</f>
        <v/>
      </c>
    </row>
    <row r="2033">
      <c r="A2033">
        <f>IF(OHW!$G986="","","OHW")</f>
        <v/>
      </c>
      <c r="B2033">
        <f>IF(OHW!$G986="","","OHW")</f>
        <v/>
      </c>
      <c r="C2033" s="18">
        <f>IF(OHW!$G986="","",OHW!$A986)</f>
        <v/>
      </c>
      <c r="F2033">
        <f>IF(OHW!$G986="","",OHW!$B986&amp;"")</f>
        <v/>
      </c>
      <c r="J2033">
        <f>IF(OHW!$G986="","",OHW!$E986)</f>
        <v/>
      </c>
      <c r="K2033">
        <f>IF(OHW!$G986="","",COUNTIFS(OHW!$A$5:$A$1668,OHW!$A986,OHW!$C$5:$C$1668,OHW!$C986))</f>
        <v/>
      </c>
      <c r="L2033">
        <f>IF(OHW!$G986="","",OHW!$D986&amp;"")</f>
        <v/>
      </c>
      <c r="M2033">
        <f>IF(OHW!$G986="","",OHW!$F986)</f>
        <v/>
      </c>
      <c r="N2033">
        <f>IF(OHW!$G986="","",OHW!$G986)</f>
        <v/>
      </c>
      <c r="O2033">
        <f>IF(OHW!$G986="","",OHW!$I986)</f>
        <v/>
      </c>
      <c r="P2033">
        <f>IF(OHW!$G986="","","Final")</f>
        <v/>
      </c>
    </row>
    <row r="2034">
      <c r="A2034">
        <f>IF(OHW!$G987="","","OHW")</f>
        <v/>
      </c>
      <c r="B2034">
        <f>IF(OHW!$G987="","","OHW")</f>
        <v/>
      </c>
      <c r="C2034" s="18">
        <f>IF(OHW!$G987="","",OHW!$A987)</f>
        <v/>
      </c>
      <c r="F2034">
        <f>IF(OHW!$G987="","",OHW!$B987&amp;"")</f>
        <v/>
      </c>
      <c r="J2034">
        <f>IF(OHW!$G987="","",OHW!$E987)</f>
        <v/>
      </c>
      <c r="K2034">
        <f>IF(OHW!$G987="","",COUNTIFS(OHW!$A$5:$A$1668,OHW!$A987,OHW!$C$5:$C$1668,OHW!$C987))</f>
        <v/>
      </c>
      <c r="L2034">
        <f>IF(OHW!$G987="","",OHW!$D987&amp;"")</f>
        <v/>
      </c>
      <c r="M2034">
        <f>IF(OHW!$G987="","",OHW!$F987)</f>
        <v/>
      </c>
      <c r="N2034">
        <f>IF(OHW!$G987="","",OHW!$G987)</f>
        <v/>
      </c>
      <c r="O2034">
        <f>IF(OHW!$G987="","",OHW!$I987)</f>
        <v/>
      </c>
      <c r="P2034">
        <f>IF(OHW!$G987="","","Final")</f>
        <v/>
      </c>
    </row>
    <row r="2035">
      <c r="A2035">
        <f>IF(OHW!$G988="","","OHW")</f>
        <v/>
      </c>
      <c r="B2035">
        <f>IF(OHW!$G988="","","OHW")</f>
        <v/>
      </c>
      <c r="C2035" s="18">
        <f>IF(OHW!$G988="","",OHW!$A988)</f>
        <v/>
      </c>
      <c r="F2035">
        <f>IF(OHW!$G988="","",OHW!$B988&amp;"")</f>
        <v/>
      </c>
      <c r="J2035">
        <f>IF(OHW!$G988="","",OHW!$E988)</f>
        <v/>
      </c>
      <c r="K2035">
        <f>IF(OHW!$G988="","",COUNTIFS(OHW!$A$5:$A$1668,OHW!$A988,OHW!$C$5:$C$1668,OHW!$C988))</f>
        <v/>
      </c>
      <c r="L2035">
        <f>IF(OHW!$G988="","",OHW!$D988&amp;"")</f>
        <v/>
      </c>
      <c r="M2035">
        <f>IF(OHW!$G988="","",OHW!$F988)</f>
        <v/>
      </c>
      <c r="N2035">
        <f>IF(OHW!$G988="","",OHW!$G988)</f>
        <v/>
      </c>
      <c r="O2035">
        <f>IF(OHW!$G988="","",OHW!$I988)</f>
        <v/>
      </c>
      <c r="P2035">
        <f>IF(OHW!$G988="","","Final")</f>
        <v/>
      </c>
    </row>
    <row r="2036">
      <c r="A2036">
        <f>IF(OHW!$G989="","","OHW")</f>
        <v/>
      </c>
      <c r="B2036">
        <f>IF(OHW!$G989="","","OHW")</f>
        <v/>
      </c>
      <c r="C2036" s="18">
        <f>IF(OHW!$G989="","",OHW!$A989)</f>
        <v/>
      </c>
      <c r="F2036">
        <f>IF(OHW!$G989="","",OHW!$B989&amp;"")</f>
        <v/>
      </c>
      <c r="J2036">
        <f>IF(OHW!$G989="","",OHW!$E989)</f>
        <v/>
      </c>
      <c r="K2036">
        <f>IF(OHW!$G989="","",COUNTIFS(OHW!$A$5:$A$1668,OHW!$A989,OHW!$C$5:$C$1668,OHW!$C989))</f>
        <v/>
      </c>
      <c r="L2036">
        <f>IF(OHW!$G989="","",OHW!$D989&amp;"")</f>
        <v/>
      </c>
      <c r="M2036">
        <f>IF(OHW!$G989="","",OHW!$F989)</f>
        <v/>
      </c>
      <c r="N2036">
        <f>IF(OHW!$G989="","",OHW!$G989)</f>
        <v/>
      </c>
      <c r="O2036">
        <f>IF(OHW!$G989="","",OHW!$I989)</f>
        <v/>
      </c>
      <c r="P2036">
        <f>IF(OHW!$G989="","","Final")</f>
        <v/>
      </c>
    </row>
    <row r="2037">
      <c r="A2037">
        <f>IF(OHW!$G990="","","OHW")</f>
        <v/>
      </c>
      <c r="B2037">
        <f>IF(OHW!$G990="","","OHW")</f>
        <v/>
      </c>
      <c r="C2037" s="18">
        <f>IF(OHW!$G990="","",OHW!$A990)</f>
        <v/>
      </c>
      <c r="F2037">
        <f>IF(OHW!$G990="","",OHW!$B990&amp;"")</f>
        <v/>
      </c>
      <c r="J2037">
        <f>IF(OHW!$G990="","",OHW!$E990)</f>
        <v/>
      </c>
      <c r="K2037">
        <f>IF(OHW!$G990="","",COUNTIFS(OHW!$A$5:$A$1668,OHW!$A990,OHW!$C$5:$C$1668,OHW!$C990))</f>
        <v/>
      </c>
      <c r="L2037">
        <f>IF(OHW!$G990="","",OHW!$D990&amp;"")</f>
        <v/>
      </c>
      <c r="M2037">
        <f>IF(OHW!$G990="","",OHW!$F990)</f>
        <v/>
      </c>
      <c r="N2037">
        <f>IF(OHW!$G990="","",OHW!$G990)</f>
        <v/>
      </c>
      <c r="O2037">
        <f>IF(OHW!$G990="","",OHW!$I990)</f>
        <v/>
      </c>
      <c r="P2037">
        <f>IF(OHW!$G990="","","Final")</f>
        <v/>
      </c>
    </row>
    <row r="2038">
      <c r="A2038">
        <f>IF(OHW!$G991="","","OHW")</f>
        <v/>
      </c>
      <c r="B2038">
        <f>IF(OHW!$G991="","","OHW")</f>
        <v/>
      </c>
      <c r="C2038" s="18">
        <f>IF(OHW!$G991="","",OHW!$A991)</f>
        <v/>
      </c>
      <c r="F2038">
        <f>IF(OHW!$G991="","",OHW!$B991&amp;"")</f>
        <v/>
      </c>
      <c r="J2038">
        <f>IF(OHW!$G991="","",OHW!$E991)</f>
        <v/>
      </c>
      <c r="K2038">
        <f>IF(OHW!$G991="","",COUNTIFS(OHW!$A$5:$A$1668,OHW!$A991,OHW!$C$5:$C$1668,OHW!$C991))</f>
        <v/>
      </c>
      <c r="L2038">
        <f>IF(OHW!$G991="","",OHW!$D991&amp;"")</f>
        <v/>
      </c>
      <c r="M2038">
        <f>IF(OHW!$G991="","",OHW!$F991)</f>
        <v/>
      </c>
      <c r="N2038">
        <f>IF(OHW!$G991="","",OHW!$G991)</f>
        <v/>
      </c>
      <c r="O2038">
        <f>IF(OHW!$G991="","",OHW!$I991)</f>
        <v/>
      </c>
      <c r="P2038">
        <f>IF(OHW!$G991="","","Final")</f>
        <v/>
      </c>
    </row>
    <row r="2039">
      <c r="A2039">
        <f>IF(OHW!$G992="","","OHW")</f>
        <v/>
      </c>
      <c r="B2039">
        <f>IF(OHW!$G992="","","OHW")</f>
        <v/>
      </c>
      <c r="C2039" s="18">
        <f>IF(OHW!$G992="","",OHW!$A992)</f>
        <v/>
      </c>
      <c r="F2039">
        <f>IF(OHW!$G992="","",OHW!$B992&amp;"")</f>
        <v/>
      </c>
      <c r="J2039">
        <f>IF(OHW!$G992="","",OHW!$E992)</f>
        <v/>
      </c>
      <c r="K2039">
        <f>IF(OHW!$G992="","",COUNTIFS(OHW!$A$5:$A$1668,OHW!$A992,OHW!$C$5:$C$1668,OHW!$C992))</f>
        <v/>
      </c>
      <c r="L2039">
        <f>IF(OHW!$G992="","",OHW!$D992&amp;"")</f>
        <v/>
      </c>
      <c r="M2039">
        <f>IF(OHW!$G992="","",OHW!$F992)</f>
        <v/>
      </c>
      <c r="N2039">
        <f>IF(OHW!$G992="","",OHW!$G992)</f>
        <v/>
      </c>
      <c r="O2039">
        <f>IF(OHW!$G992="","",OHW!$I992)</f>
        <v/>
      </c>
      <c r="P2039">
        <f>IF(OHW!$G992="","","Final")</f>
        <v/>
      </c>
    </row>
    <row r="2040">
      <c r="A2040">
        <f>IF(OHW!$G993="","","OHW")</f>
        <v/>
      </c>
      <c r="B2040">
        <f>IF(OHW!$G993="","","OHW")</f>
        <v/>
      </c>
      <c r="C2040" s="18">
        <f>IF(OHW!$G993="","",OHW!$A993)</f>
        <v/>
      </c>
      <c r="F2040">
        <f>IF(OHW!$G993="","",OHW!$B993&amp;"")</f>
        <v/>
      </c>
      <c r="J2040">
        <f>IF(OHW!$G993="","",OHW!$E993)</f>
        <v/>
      </c>
      <c r="K2040">
        <f>IF(OHW!$G993="","",COUNTIFS(OHW!$A$5:$A$1668,OHW!$A993,OHW!$C$5:$C$1668,OHW!$C993))</f>
        <v/>
      </c>
      <c r="L2040">
        <f>IF(OHW!$G993="","",OHW!$D993&amp;"")</f>
        <v/>
      </c>
      <c r="M2040">
        <f>IF(OHW!$G993="","",OHW!$F993)</f>
        <v/>
      </c>
      <c r="N2040">
        <f>IF(OHW!$G993="","",OHW!$G993)</f>
        <v/>
      </c>
      <c r="O2040">
        <f>IF(OHW!$G993="","",OHW!$I993)</f>
        <v/>
      </c>
      <c r="P2040">
        <f>IF(OHW!$G993="","","Final")</f>
        <v/>
      </c>
    </row>
    <row r="2041">
      <c r="A2041">
        <f>IF(OHW!$G994="","","OHW")</f>
        <v/>
      </c>
      <c r="B2041">
        <f>IF(OHW!$G994="","","OHW")</f>
        <v/>
      </c>
      <c r="C2041" s="18">
        <f>IF(OHW!$G994="","",OHW!$A994)</f>
        <v/>
      </c>
      <c r="F2041">
        <f>IF(OHW!$G994="","",OHW!$B994&amp;"")</f>
        <v/>
      </c>
      <c r="J2041">
        <f>IF(OHW!$G994="","",OHW!$E994)</f>
        <v/>
      </c>
      <c r="K2041">
        <f>IF(OHW!$G994="","",COUNTIFS(OHW!$A$5:$A$1668,OHW!$A994,OHW!$C$5:$C$1668,OHW!$C994))</f>
        <v/>
      </c>
      <c r="L2041">
        <f>IF(OHW!$G994="","",OHW!$D994&amp;"")</f>
        <v/>
      </c>
      <c r="M2041">
        <f>IF(OHW!$G994="","",OHW!$F994)</f>
        <v/>
      </c>
      <c r="N2041">
        <f>IF(OHW!$G994="","",OHW!$G994)</f>
        <v/>
      </c>
      <c r="O2041">
        <f>IF(OHW!$G994="","",OHW!$I994)</f>
        <v/>
      </c>
      <c r="P2041">
        <f>IF(OHW!$G994="","","Final")</f>
        <v/>
      </c>
    </row>
    <row r="2042">
      <c r="A2042">
        <f>IF(OHW!$G995="","","OHW")</f>
        <v/>
      </c>
      <c r="B2042">
        <f>IF(OHW!$G995="","","OHW")</f>
        <v/>
      </c>
      <c r="C2042" s="18">
        <f>IF(OHW!$G995="","",OHW!$A995)</f>
        <v/>
      </c>
      <c r="F2042">
        <f>IF(OHW!$G995="","",OHW!$B995&amp;"")</f>
        <v/>
      </c>
      <c r="J2042">
        <f>IF(OHW!$G995="","",OHW!$E995)</f>
        <v/>
      </c>
      <c r="K2042">
        <f>IF(OHW!$G995="","",COUNTIFS(OHW!$A$5:$A$1668,OHW!$A995,OHW!$C$5:$C$1668,OHW!$C995))</f>
        <v/>
      </c>
      <c r="L2042">
        <f>IF(OHW!$G995="","",OHW!$D995&amp;"")</f>
        <v/>
      </c>
      <c r="M2042">
        <f>IF(OHW!$G995="","",OHW!$F995)</f>
        <v/>
      </c>
      <c r="N2042">
        <f>IF(OHW!$G995="","",OHW!$G995)</f>
        <v/>
      </c>
      <c r="O2042">
        <f>IF(OHW!$G995="","",OHW!$I995)</f>
        <v/>
      </c>
      <c r="P2042">
        <f>IF(OHW!$G995="","","Final")</f>
        <v/>
      </c>
    </row>
    <row r="2043">
      <c r="A2043">
        <f>IF(OHW!$G996="","","OHW")</f>
        <v/>
      </c>
      <c r="B2043">
        <f>IF(OHW!$G996="","","OHW")</f>
        <v/>
      </c>
      <c r="C2043" s="18">
        <f>IF(OHW!$G996="","",OHW!$A996)</f>
        <v/>
      </c>
      <c r="F2043">
        <f>IF(OHW!$G996="","",OHW!$B996&amp;"")</f>
        <v/>
      </c>
      <c r="J2043">
        <f>IF(OHW!$G996="","",OHW!$E996)</f>
        <v/>
      </c>
      <c r="K2043">
        <f>IF(OHW!$G996="","",COUNTIFS(OHW!$A$5:$A$1668,OHW!$A996,OHW!$C$5:$C$1668,OHW!$C996))</f>
        <v/>
      </c>
      <c r="L2043">
        <f>IF(OHW!$G996="","",OHW!$D996&amp;"")</f>
        <v/>
      </c>
      <c r="M2043">
        <f>IF(OHW!$G996="","",OHW!$F996)</f>
        <v/>
      </c>
      <c r="N2043">
        <f>IF(OHW!$G996="","",OHW!$G996)</f>
        <v/>
      </c>
      <c r="O2043">
        <f>IF(OHW!$G996="","",OHW!$I996)</f>
        <v/>
      </c>
      <c r="P2043">
        <f>IF(OHW!$G996="","","Final")</f>
        <v/>
      </c>
    </row>
    <row r="2044">
      <c r="A2044">
        <f>IF(OHW!$G997="","","OHW")</f>
        <v/>
      </c>
      <c r="B2044">
        <f>IF(OHW!$G997="","","OHW")</f>
        <v/>
      </c>
      <c r="C2044" s="18">
        <f>IF(OHW!$G997="","",OHW!$A997)</f>
        <v/>
      </c>
      <c r="F2044">
        <f>IF(OHW!$G997="","",OHW!$B997&amp;"")</f>
        <v/>
      </c>
      <c r="J2044">
        <f>IF(OHW!$G997="","",OHW!$E997)</f>
        <v/>
      </c>
      <c r="K2044">
        <f>IF(OHW!$G997="","",COUNTIFS(OHW!$A$5:$A$1668,OHW!$A997,OHW!$C$5:$C$1668,OHW!$C997))</f>
        <v/>
      </c>
      <c r="L2044">
        <f>IF(OHW!$G997="","",OHW!$D997&amp;"")</f>
        <v/>
      </c>
      <c r="M2044">
        <f>IF(OHW!$G997="","",OHW!$F997)</f>
        <v/>
      </c>
      <c r="N2044">
        <f>IF(OHW!$G997="","",OHW!$G997)</f>
        <v/>
      </c>
      <c r="O2044">
        <f>IF(OHW!$G997="","",OHW!$I997)</f>
        <v/>
      </c>
      <c r="P2044">
        <f>IF(OHW!$G997="","","Final")</f>
        <v/>
      </c>
    </row>
    <row r="2045">
      <c r="A2045">
        <f>IF(OHW!$G998="","","OHW")</f>
        <v/>
      </c>
      <c r="B2045">
        <f>IF(OHW!$G998="","","OHW")</f>
        <v/>
      </c>
      <c r="C2045" s="18">
        <f>IF(OHW!$G998="","",OHW!$A998)</f>
        <v/>
      </c>
      <c r="F2045">
        <f>IF(OHW!$G998="","",OHW!$B998&amp;"")</f>
        <v/>
      </c>
      <c r="J2045">
        <f>IF(OHW!$G998="","",OHW!$E998)</f>
        <v/>
      </c>
      <c r="K2045">
        <f>IF(OHW!$G998="","",COUNTIFS(OHW!$A$5:$A$1668,OHW!$A998,OHW!$C$5:$C$1668,OHW!$C998))</f>
        <v/>
      </c>
      <c r="L2045">
        <f>IF(OHW!$G998="","",OHW!$D998&amp;"")</f>
        <v/>
      </c>
      <c r="M2045">
        <f>IF(OHW!$G998="","",OHW!$F998)</f>
        <v/>
      </c>
      <c r="N2045">
        <f>IF(OHW!$G998="","",OHW!$G998)</f>
        <v/>
      </c>
      <c r="O2045">
        <f>IF(OHW!$G998="","",OHW!$I998)</f>
        <v/>
      </c>
      <c r="P2045">
        <f>IF(OHW!$G998="","","Final")</f>
        <v/>
      </c>
    </row>
    <row r="2046">
      <c r="A2046">
        <f>IF(OHW!$G999="","","OHW")</f>
        <v/>
      </c>
      <c r="B2046">
        <f>IF(OHW!$G999="","","OHW")</f>
        <v/>
      </c>
      <c r="C2046" s="18">
        <f>IF(OHW!$G999="","",OHW!$A999)</f>
        <v/>
      </c>
      <c r="F2046">
        <f>IF(OHW!$G999="","",OHW!$B999&amp;"")</f>
        <v/>
      </c>
      <c r="J2046">
        <f>IF(OHW!$G999="","",OHW!$E999)</f>
        <v/>
      </c>
      <c r="K2046">
        <f>IF(OHW!$G999="","",COUNTIFS(OHW!$A$5:$A$1668,OHW!$A999,OHW!$C$5:$C$1668,OHW!$C999))</f>
        <v/>
      </c>
      <c r="L2046">
        <f>IF(OHW!$G999="","",OHW!$D999&amp;"")</f>
        <v/>
      </c>
      <c r="M2046">
        <f>IF(OHW!$G999="","",OHW!$F999)</f>
        <v/>
      </c>
      <c r="N2046">
        <f>IF(OHW!$G999="","",OHW!$G999)</f>
        <v/>
      </c>
      <c r="O2046">
        <f>IF(OHW!$G999="","",OHW!$I999)</f>
        <v/>
      </c>
      <c r="P2046">
        <f>IF(OHW!$G999="","","Final")</f>
        <v/>
      </c>
    </row>
    <row r="2047">
      <c r="A2047">
        <f>IF(OHW!$G1000="","","OHW")</f>
        <v/>
      </c>
      <c r="B2047">
        <f>IF(OHW!$G1000="","","OHW")</f>
        <v/>
      </c>
      <c r="C2047" s="18">
        <f>IF(OHW!$G1000="","",OHW!$A1000)</f>
        <v/>
      </c>
      <c r="F2047">
        <f>IF(OHW!$G1000="","",OHW!$B1000&amp;"")</f>
        <v/>
      </c>
      <c r="J2047">
        <f>IF(OHW!$G1000="","",OHW!$E1000)</f>
        <v/>
      </c>
      <c r="K2047">
        <f>IF(OHW!$G1000="","",COUNTIFS(OHW!$A$5:$A$1668,OHW!$A1000,OHW!$C$5:$C$1668,OHW!$C1000))</f>
        <v/>
      </c>
      <c r="L2047">
        <f>IF(OHW!$G1000="","",OHW!$D1000&amp;"")</f>
        <v/>
      </c>
      <c r="M2047">
        <f>IF(OHW!$G1000="","",OHW!$F1000)</f>
        <v/>
      </c>
      <c r="N2047">
        <f>IF(OHW!$G1000="","",OHW!$G1000)</f>
        <v/>
      </c>
      <c r="O2047">
        <f>IF(OHW!$G1000="","",OHW!$I1000)</f>
        <v/>
      </c>
      <c r="P2047">
        <f>IF(OHW!$G1000="","","Final")</f>
        <v/>
      </c>
    </row>
    <row r="2048">
      <c r="A2048">
        <f>IF(OHW!$G1001="","","OHW")</f>
        <v/>
      </c>
      <c r="B2048">
        <f>IF(OHW!$G1001="","","OHW")</f>
        <v/>
      </c>
      <c r="C2048" s="18">
        <f>IF(OHW!$G1001="","",OHW!$A1001)</f>
        <v/>
      </c>
      <c r="F2048">
        <f>IF(OHW!$G1001="","",OHW!$B1001&amp;"")</f>
        <v/>
      </c>
      <c r="J2048">
        <f>IF(OHW!$G1001="","",OHW!$E1001)</f>
        <v/>
      </c>
      <c r="K2048">
        <f>IF(OHW!$G1001="","",COUNTIFS(OHW!$A$5:$A$1668,OHW!$A1001,OHW!$C$5:$C$1668,OHW!$C1001))</f>
        <v/>
      </c>
      <c r="L2048">
        <f>IF(OHW!$G1001="","",OHW!$D1001&amp;"")</f>
        <v/>
      </c>
      <c r="M2048">
        <f>IF(OHW!$G1001="","",OHW!$F1001)</f>
        <v/>
      </c>
      <c r="N2048">
        <f>IF(OHW!$G1001="","",OHW!$G1001)</f>
        <v/>
      </c>
      <c r="O2048">
        <f>IF(OHW!$G1001="","",OHW!$I1001)</f>
        <v/>
      </c>
      <c r="P2048">
        <f>IF(OHW!$G1001="","","Final")</f>
        <v/>
      </c>
    </row>
    <row r="2049">
      <c r="A2049">
        <f>IF(OHW!$G1002="","","OHW")</f>
        <v/>
      </c>
      <c r="B2049">
        <f>IF(OHW!$G1002="","","OHW")</f>
        <v/>
      </c>
      <c r="C2049" s="18">
        <f>IF(OHW!$G1002="","",OHW!$A1002)</f>
        <v/>
      </c>
      <c r="F2049">
        <f>IF(OHW!$G1002="","",OHW!$B1002&amp;"")</f>
        <v/>
      </c>
      <c r="J2049">
        <f>IF(OHW!$G1002="","",OHW!$E1002)</f>
        <v/>
      </c>
      <c r="K2049">
        <f>IF(OHW!$G1002="","",COUNTIFS(OHW!$A$5:$A$1668,OHW!$A1002,OHW!$C$5:$C$1668,OHW!$C1002))</f>
        <v/>
      </c>
      <c r="L2049">
        <f>IF(OHW!$G1002="","",OHW!$D1002&amp;"")</f>
        <v/>
      </c>
      <c r="M2049">
        <f>IF(OHW!$G1002="","",OHW!$F1002)</f>
        <v/>
      </c>
      <c r="N2049">
        <f>IF(OHW!$G1002="","",OHW!$G1002)</f>
        <v/>
      </c>
      <c r="O2049">
        <f>IF(OHW!$G1002="","",OHW!$I1002)</f>
        <v/>
      </c>
      <c r="P2049">
        <f>IF(OHW!$G1002="","","Final")</f>
        <v/>
      </c>
    </row>
    <row r="2050">
      <c r="A2050">
        <f>IF(OHW!$G1003="","","OHW")</f>
        <v/>
      </c>
      <c r="B2050">
        <f>IF(OHW!$G1003="","","OHW")</f>
        <v/>
      </c>
      <c r="C2050" s="18">
        <f>IF(OHW!$G1003="","",OHW!$A1003)</f>
        <v/>
      </c>
      <c r="F2050">
        <f>IF(OHW!$G1003="","",OHW!$B1003&amp;"")</f>
        <v/>
      </c>
      <c r="J2050">
        <f>IF(OHW!$G1003="","",OHW!$E1003)</f>
        <v/>
      </c>
      <c r="K2050">
        <f>IF(OHW!$G1003="","",COUNTIFS(OHW!$A$5:$A$1668,OHW!$A1003,OHW!$C$5:$C$1668,OHW!$C1003))</f>
        <v/>
      </c>
      <c r="L2050">
        <f>IF(OHW!$G1003="","",OHW!$D1003&amp;"")</f>
        <v/>
      </c>
      <c r="M2050">
        <f>IF(OHW!$G1003="","",OHW!$F1003)</f>
        <v/>
      </c>
      <c r="N2050">
        <f>IF(OHW!$G1003="","",OHW!$G1003)</f>
        <v/>
      </c>
      <c r="O2050">
        <f>IF(OHW!$G1003="","",OHW!$I1003)</f>
        <v/>
      </c>
      <c r="P2050">
        <f>IF(OHW!$G1003="","","Final")</f>
        <v/>
      </c>
    </row>
    <row r="2051">
      <c r="A2051">
        <f>IF(OHW!$G1004="","","OHW")</f>
        <v/>
      </c>
      <c r="B2051">
        <f>IF(OHW!$G1004="","","OHW")</f>
        <v/>
      </c>
      <c r="C2051" s="18">
        <f>IF(OHW!$G1004="","",OHW!$A1004)</f>
        <v/>
      </c>
      <c r="F2051">
        <f>IF(OHW!$G1004="","",OHW!$B1004&amp;"")</f>
        <v/>
      </c>
      <c r="J2051">
        <f>IF(OHW!$G1004="","",OHW!$E1004)</f>
        <v/>
      </c>
      <c r="K2051">
        <f>IF(OHW!$G1004="","",COUNTIFS(OHW!$A$5:$A$1668,OHW!$A1004,OHW!$C$5:$C$1668,OHW!$C1004))</f>
        <v/>
      </c>
      <c r="L2051">
        <f>IF(OHW!$G1004="","",OHW!$D1004&amp;"")</f>
        <v/>
      </c>
      <c r="M2051">
        <f>IF(OHW!$G1004="","",OHW!$F1004)</f>
        <v/>
      </c>
      <c r="N2051">
        <f>IF(OHW!$G1004="","",OHW!$G1004)</f>
        <v/>
      </c>
      <c r="O2051">
        <f>IF(OHW!$G1004="","",OHW!$I1004)</f>
        <v/>
      </c>
      <c r="P2051">
        <f>IF(OHW!$G1004="","","Final")</f>
        <v/>
      </c>
    </row>
    <row r="2052">
      <c r="A2052">
        <f>IF(OHW!$G1005="","","OHW")</f>
        <v/>
      </c>
      <c r="B2052">
        <f>IF(OHW!$G1005="","","OHW")</f>
        <v/>
      </c>
      <c r="C2052" s="18">
        <f>IF(OHW!$G1005="","",OHW!$A1005)</f>
        <v/>
      </c>
      <c r="F2052">
        <f>IF(OHW!$G1005="","",OHW!$B1005&amp;"")</f>
        <v/>
      </c>
      <c r="J2052">
        <f>IF(OHW!$G1005="","",OHW!$E1005)</f>
        <v/>
      </c>
      <c r="K2052">
        <f>IF(OHW!$G1005="","",COUNTIFS(OHW!$A$5:$A$1668,OHW!$A1005,OHW!$C$5:$C$1668,OHW!$C1005))</f>
        <v/>
      </c>
      <c r="L2052">
        <f>IF(OHW!$G1005="","",OHW!$D1005&amp;"")</f>
        <v/>
      </c>
      <c r="M2052">
        <f>IF(OHW!$G1005="","",OHW!$F1005)</f>
        <v/>
      </c>
      <c r="N2052">
        <f>IF(OHW!$G1005="","",OHW!$G1005)</f>
        <v/>
      </c>
      <c r="O2052">
        <f>IF(OHW!$G1005="","",OHW!$I1005)</f>
        <v/>
      </c>
      <c r="P2052">
        <f>IF(OHW!$G1005="","","Final")</f>
        <v/>
      </c>
    </row>
    <row r="2053">
      <c r="A2053">
        <f>IF(OHW!$G1006="","","OHW")</f>
        <v/>
      </c>
      <c r="B2053">
        <f>IF(OHW!$G1006="","","OHW")</f>
        <v/>
      </c>
      <c r="C2053" s="18">
        <f>IF(OHW!$G1006="","",OHW!$A1006)</f>
        <v/>
      </c>
      <c r="F2053">
        <f>IF(OHW!$G1006="","",OHW!$B1006&amp;"")</f>
        <v/>
      </c>
      <c r="J2053">
        <f>IF(OHW!$G1006="","",OHW!$E1006)</f>
        <v/>
      </c>
      <c r="K2053">
        <f>IF(OHW!$G1006="","",COUNTIFS(OHW!$A$5:$A$1668,OHW!$A1006,OHW!$C$5:$C$1668,OHW!$C1006))</f>
        <v/>
      </c>
      <c r="L2053">
        <f>IF(OHW!$G1006="","",OHW!$D1006&amp;"")</f>
        <v/>
      </c>
      <c r="M2053">
        <f>IF(OHW!$G1006="","",OHW!$F1006)</f>
        <v/>
      </c>
      <c r="N2053">
        <f>IF(OHW!$G1006="","",OHW!$G1006)</f>
        <v/>
      </c>
      <c r="O2053">
        <f>IF(OHW!$G1006="","",OHW!$I1006)</f>
        <v/>
      </c>
      <c r="P2053">
        <f>IF(OHW!$G1006="","","Final")</f>
        <v/>
      </c>
    </row>
    <row r="2054">
      <c r="A2054">
        <f>IF(OHW!$G1007="","","OHW")</f>
        <v/>
      </c>
      <c r="B2054">
        <f>IF(OHW!$G1007="","","OHW")</f>
        <v/>
      </c>
      <c r="C2054" s="18">
        <f>IF(OHW!$G1007="","",OHW!$A1007)</f>
        <v/>
      </c>
      <c r="F2054">
        <f>IF(OHW!$G1007="","",OHW!$B1007&amp;"")</f>
        <v/>
      </c>
      <c r="J2054">
        <f>IF(OHW!$G1007="","",OHW!$E1007)</f>
        <v/>
      </c>
      <c r="K2054">
        <f>IF(OHW!$G1007="","",COUNTIFS(OHW!$A$5:$A$1668,OHW!$A1007,OHW!$C$5:$C$1668,OHW!$C1007))</f>
        <v/>
      </c>
      <c r="L2054">
        <f>IF(OHW!$G1007="","",OHW!$D1007&amp;"")</f>
        <v/>
      </c>
      <c r="M2054">
        <f>IF(OHW!$G1007="","",OHW!$F1007)</f>
        <v/>
      </c>
      <c r="N2054">
        <f>IF(OHW!$G1007="","",OHW!$G1007)</f>
        <v/>
      </c>
      <c r="O2054">
        <f>IF(OHW!$G1007="","",OHW!$I1007)</f>
        <v/>
      </c>
      <c r="P2054">
        <f>IF(OHW!$G1007="","","Final")</f>
        <v/>
      </c>
    </row>
    <row r="2055">
      <c r="A2055">
        <f>IF(OHW!$G1008="","","OHW")</f>
        <v/>
      </c>
      <c r="B2055">
        <f>IF(OHW!$G1008="","","OHW")</f>
        <v/>
      </c>
      <c r="C2055" s="18">
        <f>IF(OHW!$G1008="","",OHW!$A1008)</f>
        <v/>
      </c>
      <c r="F2055">
        <f>IF(OHW!$G1008="","",OHW!$B1008&amp;"")</f>
        <v/>
      </c>
      <c r="J2055">
        <f>IF(OHW!$G1008="","",OHW!$E1008)</f>
        <v/>
      </c>
      <c r="K2055">
        <f>IF(OHW!$G1008="","",COUNTIFS(OHW!$A$5:$A$1668,OHW!$A1008,OHW!$C$5:$C$1668,OHW!$C1008))</f>
        <v/>
      </c>
      <c r="L2055">
        <f>IF(OHW!$G1008="","",OHW!$D1008&amp;"")</f>
        <v/>
      </c>
      <c r="M2055">
        <f>IF(OHW!$G1008="","",OHW!$F1008)</f>
        <v/>
      </c>
      <c r="N2055">
        <f>IF(OHW!$G1008="","",OHW!$G1008)</f>
        <v/>
      </c>
      <c r="O2055">
        <f>IF(OHW!$G1008="","",OHW!$I1008)</f>
        <v/>
      </c>
      <c r="P2055">
        <f>IF(OHW!$G1008="","","Final")</f>
        <v/>
      </c>
    </row>
    <row r="2056">
      <c r="A2056">
        <f>IF(OHW!$G1009="","","OHW")</f>
        <v/>
      </c>
      <c r="B2056">
        <f>IF(OHW!$G1009="","","OHW")</f>
        <v/>
      </c>
      <c r="C2056" s="18">
        <f>IF(OHW!$G1009="","",OHW!$A1009)</f>
        <v/>
      </c>
      <c r="F2056">
        <f>IF(OHW!$G1009="","",OHW!$B1009&amp;"")</f>
        <v/>
      </c>
      <c r="J2056">
        <f>IF(OHW!$G1009="","",OHW!$E1009)</f>
        <v/>
      </c>
      <c r="K2056">
        <f>IF(OHW!$G1009="","",COUNTIFS(OHW!$A$5:$A$1668,OHW!$A1009,OHW!$C$5:$C$1668,OHW!$C1009))</f>
        <v/>
      </c>
      <c r="L2056">
        <f>IF(OHW!$G1009="","",OHW!$D1009&amp;"")</f>
        <v/>
      </c>
      <c r="M2056">
        <f>IF(OHW!$G1009="","",OHW!$F1009)</f>
        <v/>
      </c>
      <c r="N2056">
        <f>IF(OHW!$G1009="","",OHW!$G1009)</f>
        <v/>
      </c>
      <c r="O2056">
        <f>IF(OHW!$G1009="","",OHW!$I1009)</f>
        <v/>
      </c>
      <c r="P2056">
        <f>IF(OHW!$G1009="","","Final")</f>
        <v/>
      </c>
    </row>
    <row r="2057">
      <c r="A2057">
        <f>IF(OHW!$G1010="","","OHW")</f>
        <v/>
      </c>
      <c r="B2057">
        <f>IF(OHW!$G1010="","","OHW")</f>
        <v/>
      </c>
      <c r="C2057" s="18">
        <f>IF(OHW!$G1010="","",OHW!$A1010)</f>
        <v/>
      </c>
      <c r="F2057">
        <f>IF(OHW!$G1010="","",OHW!$B1010&amp;"")</f>
        <v/>
      </c>
      <c r="J2057">
        <f>IF(OHW!$G1010="","",OHW!$E1010)</f>
        <v/>
      </c>
      <c r="K2057">
        <f>IF(OHW!$G1010="","",COUNTIFS(OHW!$A$5:$A$1668,OHW!$A1010,OHW!$C$5:$C$1668,OHW!$C1010))</f>
        <v/>
      </c>
      <c r="L2057">
        <f>IF(OHW!$G1010="","",OHW!$D1010&amp;"")</f>
        <v/>
      </c>
      <c r="M2057">
        <f>IF(OHW!$G1010="","",OHW!$F1010)</f>
        <v/>
      </c>
      <c r="N2057">
        <f>IF(OHW!$G1010="","",OHW!$G1010)</f>
        <v/>
      </c>
      <c r="O2057">
        <f>IF(OHW!$G1010="","",OHW!$I1010)</f>
        <v/>
      </c>
      <c r="P2057">
        <f>IF(OHW!$G1010="","","Final")</f>
        <v/>
      </c>
    </row>
    <row r="2058">
      <c r="A2058">
        <f>IF(OHW!$G1011="","","OHW")</f>
        <v/>
      </c>
      <c r="B2058">
        <f>IF(OHW!$G1011="","","OHW")</f>
        <v/>
      </c>
      <c r="C2058" s="18">
        <f>IF(OHW!$G1011="","",OHW!$A1011)</f>
        <v/>
      </c>
      <c r="F2058">
        <f>IF(OHW!$G1011="","",OHW!$B1011&amp;"")</f>
        <v/>
      </c>
      <c r="J2058">
        <f>IF(OHW!$G1011="","",OHW!$E1011)</f>
        <v/>
      </c>
      <c r="K2058">
        <f>IF(OHW!$G1011="","",COUNTIFS(OHW!$A$5:$A$1668,OHW!$A1011,OHW!$C$5:$C$1668,OHW!$C1011))</f>
        <v/>
      </c>
      <c r="L2058">
        <f>IF(OHW!$G1011="","",OHW!$D1011&amp;"")</f>
        <v/>
      </c>
      <c r="M2058">
        <f>IF(OHW!$G1011="","",OHW!$F1011)</f>
        <v/>
      </c>
      <c r="N2058">
        <f>IF(OHW!$G1011="","",OHW!$G1011)</f>
        <v/>
      </c>
      <c r="O2058">
        <f>IF(OHW!$G1011="","",OHW!$I1011)</f>
        <v/>
      </c>
      <c r="P2058">
        <f>IF(OHW!$G1011="","","Final")</f>
        <v/>
      </c>
    </row>
    <row r="2059">
      <c r="A2059">
        <f>IF(OHW!$G1012="","","OHW")</f>
        <v/>
      </c>
      <c r="B2059">
        <f>IF(OHW!$G1012="","","OHW")</f>
        <v/>
      </c>
      <c r="C2059" s="18">
        <f>IF(OHW!$G1012="","",OHW!$A1012)</f>
        <v/>
      </c>
      <c r="F2059">
        <f>IF(OHW!$G1012="","",OHW!$B1012&amp;"")</f>
        <v/>
      </c>
      <c r="J2059">
        <f>IF(OHW!$G1012="","",OHW!$E1012)</f>
        <v/>
      </c>
      <c r="K2059">
        <f>IF(OHW!$G1012="","",COUNTIFS(OHW!$A$5:$A$1668,OHW!$A1012,OHW!$C$5:$C$1668,OHW!$C1012))</f>
        <v/>
      </c>
      <c r="L2059">
        <f>IF(OHW!$G1012="","",OHW!$D1012&amp;"")</f>
        <v/>
      </c>
      <c r="M2059">
        <f>IF(OHW!$G1012="","",OHW!$F1012)</f>
        <v/>
      </c>
      <c r="N2059">
        <f>IF(OHW!$G1012="","",OHW!$G1012)</f>
        <v/>
      </c>
      <c r="O2059">
        <f>IF(OHW!$G1012="","",OHW!$I1012)</f>
        <v/>
      </c>
      <c r="P2059">
        <f>IF(OHW!$G1012="","","Final")</f>
        <v/>
      </c>
    </row>
    <row r="2060">
      <c r="A2060">
        <f>IF(OHW!$G1013="","","OHW")</f>
        <v/>
      </c>
      <c r="B2060">
        <f>IF(OHW!$G1013="","","OHW")</f>
        <v/>
      </c>
      <c r="C2060" s="18">
        <f>IF(OHW!$G1013="","",OHW!$A1013)</f>
        <v/>
      </c>
      <c r="F2060">
        <f>IF(OHW!$G1013="","",OHW!$B1013&amp;"")</f>
        <v/>
      </c>
      <c r="J2060">
        <f>IF(OHW!$G1013="","",OHW!$E1013)</f>
        <v/>
      </c>
      <c r="K2060">
        <f>IF(OHW!$G1013="","",COUNTIFS(OHW!$A$5:$A$1668,OHW!$A1013,OHW!$C$5:$C$1668,OHW!$C1013))</f>
        <v/>
      </c>
      <c r="L2060">
        <f>IF(OHW!$G1013="","",OHW!$D1013&amp;"")</f>
        <v/>
      </c>
      <c r="M2060">
        <f>IF(OHW!$G1013="","",OHW!$F1013)</f>
        <v/>
      </c>
      <c r="N2060">
        <f>IF(OHW!$G1013="","",OHW!$G1013)</f>
        <v/>
      </c>
      <c r="O2060">
        <f>IF(OHW!$G1013="","",OHW!$I1013)</f>
        <v/>
      </c>
      <c r="P2060">
        <f>IF(OHW!$G1013="","","Final")</f>
        <v/>
      </c>
    </row>
    <row r="2061">
      <c r="A2061">
        <f>IF(OHW!$G1014="","","OHW")</f>
        <v/>
      </c>
      <c r="B2061">
        <f>IF(OHW!$G1014="","","OHW")</f>
        <v/>
      </c>
      <c r="C2061" s="18">
        <f>IF(OHW!$G1014="","",OHW!$A1014)</f>
        <v/>
      </c>
      <c r="F2061">
        <f>IF(OHW!$G1014="","",OHW!$B1014&amp;"")</f>
        <v/>
      </c>
      <c r="J2061">
        <f>IF(OHW!$G1014="","",OHW!$E1014)</f>
        <v/>
      </c>
      <c r="K2061">
        <f>IF(OHW!$G1014="","",COUNTIFS(OHW!$A$5:$A$1668,OHW!$A1014,OHW!$C$5:$C$1668,OHW!$C1014))</f>
        <v/>
      </c>
      <c r="L2061">
        <f>IF(OHW!$G1014="","",OHW!$D1014&amp;"")</f>
        <v/>
      </c>
      <c r="M2061">
        <f>IF(OHW!$G1014="","",OHW!$F1014)</f>
        <v/>
      </c>
      <c r="N2061">
        <f>IF(OHW!$G1014="","",OHW!$G1014)</f>
        <v/>
      </c>
      <c r="O2061">
        <f>IF(OHW!$G1014="","",OHW!$I1014)</f>
        <v/>
      </c>
      <c r="P2061">
        <f>IF(OHW!$G1014="","","Final")</f>
        <v/>
      </c>
    </row>
    <row r="2062">
      <c r="A2062">
        <f>IF(OHW!$G1015="","","OHW")</f>
        <v/>
      </c>
      <c r="B2062">
        <f>IF(OHW!$G1015="","","OHW")</f>
        <v/>
      </c>
      <c r="C2062" s="18">
        <f>IF(OHW!$G1015="","",OHW!$A1015)</f>
        <v/>
      </c>
      <c r="F2062">
        <f>IF(OHW!$G1015="","",OHW!$B1015&amp;"")</f>
        <v/>
      </c>
      <c r="J2062">
        <f>IF(OHW!$G1015="","",OHW!$E1015)</f>
        <v/>
      </c>
      <c r="K2062">
        <f>IF(OHW!$G1015="","",COUNTIFS(OHW!$A$5:$A$1668,OHW!$A1015,OHW!$C$5:$C$1668,OHW!$C1015))</f>
        <v/>
      </c>
      <c r="L2062">
        <f>IF(OHW!$G1015="","",OHW!$D1015&amp;"")</f>
        <v/>
      </c>
      <c r="M2062">
        <f>IF(OHW!$G1015="","",OHW!$F1015)</f>
        <v/>
      </c>
      <c r="N2062">
        <f>IF(OHW!$G1015="","",OHW!$G1015)</f>
        <v/>
      </c>
      <c r="O2062">
        <f>IF(OHW!$G1015="","",OHW!$I1015)</f>
        <v/>
      </c>
      <c r="P2062">
        <f>IF(OHW!$G1015="","","Final")</f>
        <v/>
      </c>
    </row>
    <row r="2063">
      <c r="A2063">
        <f>IF(OHW!$G1016="","","OHW")</f>
        <v/>
      </c>
      <c r="B2063">
        <f>IF(OHW!$G1016="","","OHW")</f>
        <v/>
      </c>
      <c r="C2063" s="18">
        <f>IF(OHW!$G1016="","",OHW!$A1016)</f>
        <v/>
      </c>
      <c r="F2063">
        <f>IF(OHW!$G1016="","",OHW!$B1016&amp;"")</f>
        <v/>
      </c>
      <c r="J2063">
        <f>IF(OHW!$G1016="","",OHW!$E1016)</f>
        <v/>
      </c>
      <c r="K2063">
        <f>IF(OHW!$G1016="","",COUNTIFS(OHW!$A$5:$A$1668,OHW!$A1016,OHW!$C$5:$C$1668,OHW!$C1016))</f>
        <v/>
      </c>
      <c r="L2063">
        <f>IF(OHW!$G1016="","",OHW!$D1016&amp;"")</f>
        <v/>
      </c>
      <c r="M2063">
        <f>IF(OHW!$G1016="","",OHW!$F1016)</f>
        <v/>
      </c>
      <c r="N2063">
        <f>IF(OHW!$G1016="","",OHW!$G1016)</f>
        <v/>
      </c>
      <c r="O2063">
        <f>IF(OHW!$G1016="","",OHW!$I1016)</f>
        <v/>
      </c>
      <c r="P2063">
        <f>IF(OHW!$G1016="","","Final")</f>
        <v/>
      </c>
    </row>
    <row r="2064">
      <c r="A2064">
        <f>IF(OHW!$G1017="","","OHW")</f>
        <v/>
      </c>
      <c r="B2064">
        <f>IF(OHW!$G1017="","","OHW")</f>
        <v/>
      </c>
      <c r="C2064" s="18">
        <f>IF(OHW!$G1017="","",OHW!$A1017)</f>
        <v/>
      </c>
      <c r="F2064">
        <f>IF(OHW!$G1017="","",OHW!$B1017&amp;"")</f>
        <v/>
      </c>
      <c r="J2064">
        <f>IF(OHW!$G1017="","",OHW!$E1017)</f>
        <v/>
      </c>
      <c r="K2064">
        <f>IF(OHW!$G1017="","",COUNTIFS(OHW!$A$5:$A$1668,OHW!$A1017,OHW!$C$5:$C$1668,OHW!$C1017))</f>
        <v/>
      </c>
      <c r="L2064">
        <f>IF(OHW!$G1017="","",OHW!$D1017&amp;"")</f>
        <v/>
      </c>
      <c r="M2064">
        <f>IF(OHW!$G1017="","",OHW!$F1017)</f>
        <v/>
      </c>
      <c r="N2064">
        <f>IF(OHW!$G1017="","",OHW!$G1017)</f>
        <v/>
      </c>
      <c r="O2064">
        <f>IF(OHW!$G1017="","",OHW!$I1017)</f>
        <v/>
      </c>
      <c r="P2064">
        <f>IF(OHW!$G1017="","","Final")</f>
        <v/>
      </c>
    </row>
    <row r="2065">
      <c r="A2065">
        <f>IF(OHW!$G1018="","","OHW")</f>
        <v/>
      </c>
      <c r="B2065">
        <f>IF(OHW!$G1018="","","OHW")</f>
        <v/>
      </c>
      <c r="C2065" s="18">
        <f>IF(OHW!$G1018="","",OHW!$A1018)</f>
        <v/>
      </c>
      <c r="F2065">
        <f>IF(OHW!$G1018="","",OHW!$B1018&amp;"")</f>
        <v/>
      </c>
      <c r="J2065">
        <f>IF(OHW!$G1018="","",OHW!$E1018)</f>
        <v/>
      </c>
      <c r="K2065">
        <f>IF(OHW!$G1018="","",COUNTIFS(OHW!$A$5:$A$1668,OHW!$A1018,OHW!$C$5:$C$1668,OHW!$C1018))</f>
        <v/>
      </c>
      <c r="L2065">
        <f>IF(OHW!$G1018="","",OHW!$D1018&amp;"")</f>
        <v/>
      </c>
      <c r="M2065">
        <f>IF(OHW!$G1018="","",OHW!$F1018)</f>
        <v/>
      </c>
      <c r="N2065">
        <f>IF(OHW!$G1018="","",OHW!$G1018)</f>
        <v/>
      </c>
      <c r="O2065">
        <f>IF(OHW!$G1018="","",OHW!$I1018)</f>
        <v/>
      </c>
      <c r="P2065">
        <f>IF(OHW!$G1018="","","Final")</f>
        <v/>
      </c>
    </row>
    <row r="2066">
      <c r="A2066">
        <f>IF(OHW!$G1019="","","OHW")</f>
        <v/>
      </c>
      <c r="B2066">
        <f>IF(OHW!$G1019="","","OHW")</f>
        <v/>
      </c>
      <c r="C2066" s="18">
        <f>IF(OHW!$G1019="","",OHW!$A1019)</f>
        <v/>
      </c>
      <c r="F2066">
        <f>IF(OHW!$G1019="","",OHW!$B1019&amp;"")</f>
        <v/>
      </c>
      <c r="J2066">
        <f>IF(OHW!$G1019="","",OHW!$E1019)</f>
        <v/>
      </c>
      <c r="K2066">
        <f>IF(OHW!$G1019="","",COUNTIFS(OHW!$A$5:$A$1668,OHW!$A1019,OHW!$C$5:$C$1668,OHW!$C1019))</f>
        <v/>
      </c>
      <c r="L2066">
        <f>IF(OHW!$G1019="","",OHW!$D1019&amp;"")</f>
        <v/>
      </c>
      <c r="M2066">
        <f>IF(OHW!$G1019="","",OHW!$F1019)</f>
        <v/>
      </c>
      <c r="N2066">
        <f>IF(OHW!$G1019="","",OHW!$G1019)</f>
        <v/>
      </c>
      <c r="O2066">
        <f>IF(OHW!$G1019="","",OHW!$I1019)</f>
        <v/>
      </c>
      <c r="P2066">
        <f>IF(OHW!$G1019="","","Final")</f>
        <v/>
      </c>
    </row>
    <row r="2067">
      <c r="A2067">
        <f>IF(OHW!$G1020="","","OHW")</f>
        <v/>
      </c>
      <c r="B2067">
        <f>IF(OHW!$G1020="","","OHW")</f>
        <v/>
      </c>
      <c r="C2067" s="18">
        <f>IF(OHW!$G1020="","",OHW!$A1020)</f>
        <v/>
      </c>
      <c r="F2067">
        <f>IF(OHW!$G1020="","",OHW!$B1020&amp;"")</f>
        <v/>
      </c>
      <c r="J2067">
        <f>IF(OHW!$G1020="","",OHW!$E1020)</f>
        <v/>
      </c>
      <c r="K2067">
        <f>IF(OHW!$G1020="","",COUNTIFS(OHW!$A$5:$A$1668,OHW!$A1020,OHW!$C$5:$C$1668,OHW!$C1020))</f>
        <v/>
      </c>
      <c r="L2067">
        <f>IF(OHW!$G1020="","",OHW!$D1020&amp;"")</f>
        <v/>
      </c>
      <c r="M2067">
        <f>IF(OHW!$G1020="","",OHW!$F1020)</f>
        <v/>
      </c>
      <c r="N2067">
        <f>IF(OHW!$G1020="","",OHW!$G1020)</f>
        <v/>
      </c>
      <c r="O2067">
        <f>IF(OHW!$G1020="","",OHW!$I1020)</f>
        <v/>
      </c>
      <c r="P2067">
        <f>IF(OHW!$G1020="","","Final")</f>
        <v/>
      </c>
    </row>
    <row r="2068">
      <c r="A2068">
        <f>IF(OHW!$G1021="","","OHW")</f>
        <v/>
      </c>
      <c r="B2068">
        <f>IF(OHW!$G1021="","","OHW")</f>
        <v/>
      </c>
      <c r="C2068" s="18">
        <f>IF(OHW!$G1021="","",OHW!$A1021)</f>
        <v/>
      </c>
      <c r="F2068">
        <f>IF(OHW!$G1021="","",OHW!$B1021&amp;"")</f>
        <v/>
      </c>
      <c r="J2068">
        <f>IF(OHW!$G1021="","",OHW!$E1021)</f>
        <v/>
      </c>
      <c r="K2068">
        <f>IF(OHW!$G1021="","",COUNTIFS(OHW!$A$5:$A$1668,OHW!$A1021,OHW!$C$5:$C$1668,OHW!$C1021))</f>
        <v/>
      </c>
      <c r="L2068">
        <f>IF(OHW!$G1021="","",OHW!$D1021&amp;"")</f>
        <v/>
      </c>
      <c r="M2068">
        <f>IF(OHW!$G1021="","",OHW!$F1021)</f>
        <v/>
      </c>
      <c r="N2068">
        <f>IF(OHW!$G1021="","",OHW!$G1021)</f>
        <v/>
      </c>
      <c r="O2068">
        <f>IF(OHW!$G1021="","",OHW!$I1021)</f>
        <v/>
      </c>
      <c r="P2068">
        <f>IF(OHW!$G1021="","","Final")</f>
        <v/>
      </c>
    </row>
    <row r="2069">
      <c r="A2069">
        <f>IF(OHW!$G1022="","","OHW")</f>
        <v/>
      </c>
      <c r="B2069">
        <f>IF(OHW!$G1022="","","OHW")</f>
        <v/>
      </c>
      <c r="C2069" s="18">
        <f>IF(OHW!$G1022="","",OHW!$A1022)</f>
        <v/>
      </c>
      <c r="F2069">
        <f>IF(OHW!$G1022="","",OHW!$B1022&amp;"")</f>
        <v/>
      </c>
      <c r="J2069">
        <f>IF(OHW!$G1022="","",OHW!$E1022)</f>
        <v/>
      </c>
      <c r="K2069">
        <f>IF(OHW!$G1022="","",COUNTIFS(OHW!$A$5:$A$1668,OHW!$A1022,OHW!$C$5:$C$1668,OHW!$C1022))</f>
        <v/>
      </c>
      <c r="L2069">
        <f>IF(OHW!$G1022="","",OHW!$D1022&amp;"")</f>
        <v/>
      </c>
      <c r="M2069">
        <f>IF(OHW!$G1022="","",OHW!$F1022)</f>
        <v/>
      </c>
      <c r="N2069">
        <f>IF(OHW!$G1022="","",OHW!$G1022)</f>
        <v/>
      </c>
      <c r="O2069">
        <f>IF(OHW!$G1022="","",OHW!$I1022)</f>
        <v/>
      </c>
      <c r="P2069">
        <f>IF(OHW!$G1022="","","Final")</f>
        <v/>
      </c>
    </row>
    <row r="2070">
      <c r="A2070">
        <f>IF(OHW!$G1023="","","OHW")</f>
        <v/>
      </c>
      <c r="B2070">
        <f>IF(OHW!$G1023="","","OHW")</f>
        <v/>
      </c>
      <c r="C2070" s="18">
        <f>IF(OHW!$G1023="","",OHW!$A1023)</f>
        <v/>
      </c>
      <c r="F2070">
        <f>IF(OHW!$G1023="","",OHW!$B1023&amp;"")</f>
        <v/>
      </c>
      <c r="J2070">
        <f>IF(OHW!$G1023="","",OHW!$E1023)</f>
        <v/>
      </c>
      <c r="K2070">
        <f>IF(OHW!$G1023="","",COUNTIFS(OHW!$A$5:$A$1668,OHW!$A1023,OHW!$C$5:$C$1668,OHW!$C1023))</f>
        <v/>
      </c>
      <c r="L2070">
        <f>IF(OHW!$G1023="","",OHW!$D1023&amp;"")</f>
        <v/>
      </c>
      <c r="M2070">
        <f>IF(OHW!$G1023="","",OHW!$F1023)</f>
        <v/>
      </c>
      <c r="N2070">
        <f>IF(OHW!$G1023="","",OHW!$G1023)</f>
        <v/>
      </c>
      <c r="O2070">
        <f>IF(OHW!$G1023="","",OHW!$I1023)</f>
        <v/>
      </c>
      <c r="P2070">
        <f>IF(OHW!$G1023="","","Final")</f>
        <v/>
      </c>
    </row>
    <row r="2071">
      <c r="A2071">
        <f>IF(OHW!$G1024="","","OHW")</f>
        <v/>
      </c>
      <c r="B2071">
        <f>IF(OHW!$G1024="","","OHW")</f>
        <v/>
      </c>
      <c r="C2071" s="18">
        <f>IF(OHW!$G1024="","",OHW!$A1024)</f>
        <v/>
      </c>
      <c r="F2071">
        <f>IF(OHW!$G1024="","",OHW!$B1024&amp;"")</f>
        <v/>
      </c>
      <c r="J2071">
        <f>IF(OHW!$G1024="","",OHW!$E1024)</f>
        <v/>
      </c>
      <c r="K2071">
        <f>IF(OHW!$G1024="","",COUNTIFS(OHW!$A$5:$A$1668,OHW!$A1024,OHW!$C$5:$C$1668,OHW!$C1024))</f>
        <v/>
      </c>
      <c r="L2071">
        <f>IF(OHW!$G1024="","",OHW!$D1024&amp;"")</f>
        <v/>
      </c>
      <c r="M2071">
        <f>IF(OHW!$G1024="","",OHW!$F1024)</f>
        <v/>
      </c>
      <c r="N2071">
        <f>IF(OHW!$G1024="","",OHW!$G1024)</f>
        <v/>
      </c>
      <c r="O2071">
        <f>IF(OHW!$G1024="","",OHW!$I1024)</f>
        <v/>
      </c>
      <c r="P2071">
        <f>IF(OHW!$G1024="","","Final")</f>
        <v/>
      </c>
    </row>
    <row r="2072">
      <c r="A2072">
        <f>IF(OHW!$G1025="","","OHW")</f>
        <v/>
      </c>
      <c r="B2072">
        <f>IF(OHW!$G1025="","","OHW")</f>
        <v/>
      </c>
      <c r="C2072" s="18">
        <f>IF(OHW!$G1025="","",OHW!$A1025)</f>
        <v/>
      </c>
      <c r="F2072">
        <f>IF(OHW!$G1025="","",OHW!$B1025&amp;"")</f>
        <v/>
      </c>
      <c r="J2072">
        <f>IF(OHW!$G1025="","",OHW!$E1025)</f>
        <v/>
      </c>
      <c r="K2072">
        <f>IF(OHW!$G1025="","",COUNTIFS(OHW!$A$5:$A$1668,OHW!$A1025,OHW!$C$5:$C$1668,OHW!$C1025))</f>
        <v/>
      </c>
      <c r="L2072">
        <f>IF(OHW!$G1025="","",OHW!$D1025&amp;"")</f>
        <v/>
      </c>
      <c r="M2072">
        <f>IF(OHW!$G1025="","",OHW!$F1025)</f>
        <v/>
      </c>
      <c r="N2072">
        <f>IF(OHW!$G1025="","",OHW!$G1025)</f>
        <v/>
      </c>
      <c r="O2072">
        <f>IF(OHW!$G1025="","",OHW!$I1025)</f>
        <v/>
      </c>
      <c r="P2072">
        <f>IF(OHW!$G1025="","","Final")</f>
        <v/>
      </c>
    </row>
    <row r="2073">
      <c r="A2073">
        <f>IF(OHW!$G1026="","","OHW")</f>
        <v/>
      </c>
      <c r="B2073">
        <f>IF(OHW!$G1026="","","OHW")</f>
        <v/>
      </c>
      <c r="C2073" s="18">
        <f>IF(OHW!$G1026="","",OHW!$A1026)</f>
        <v/>
      </c>
      <c r="F2073">
        <f>IF(OHW!$G1026="","",OHW!$B1026&amp;"")</f>
        <v/>
      </c>
      <c r="J2073">
        <f>IF(OHW!$G1026="","",OHW!$E1026)</f>
        <v/>
      </c>
      <c r="K2073">
        <f>IF(OHW!$G1026="","",COUNTIFS(OHW!$A$5:$A$1668,OHW!$A1026,OHW!$C$5:$C$1668,OHW!$C1026))</f>
        <v/>
      </c>
      <c r="L2073">
        <f>IF(OHW!$G1026="","",OHW!$D1026&amp;"")</f>
        <v/>
      </c>
      <c r="M2073">
        <f>IF(OHW!$G1026="","",OHW!$F1026)</f>
        <v/>
      </c>
      <c r="N2073">
        <f>IF(OHW!$G1026="","",OHW!$G1026)</f>
        <v/>
      </c>
      <c r="O2073">
        <f>IF(OHW!$G1026="","",OHW!$I1026)</f>
        <v/>
      </c>
      <c r="P2073">
        <f>IF(OHW!$G1026="","","Final")</f>
        <v/>
      </c>
    </row>
    <row r="2074">
      <c r="A2074">
        <f>IF(OHW!$G1027="","","OHW")</f>
        <v/>
      </c>
      <c r="B2074">
        <f>IF(OHW!$G1027="","","OHW")</f>
        <v/>
      </c>
      <c r="C2074" s="18">
        <f>IF(OHW!$G1027="","",OHW!$A1027)</f>
        <v/>
      </c>
      <c r="F2074">
        <f>IF(OHW!$G1027="","",OHW!$B1027&amp;"")</f>
        <v/>
      </c>
      <c r="J2074">
        <f>IF(OHW!$G1027="","",OHW!$E1027)</f>
        <v/>
      </c>
      <c r="K2074">
        <f>IF(OHW!$G1027="","",COUNTIFS(OHW!$A$5:$A$1668,OHW!$A1027,OHW!$C$5:$C$1668,OHW!$C1027))</f>
        <v/>
      </c>
      <c r="L2074">
        <f>IF(OHW!$G1027="","",OHW!$D1027&amp;"")</f>
        <v/>
      </c>
      <c r="M2074">
        <f>IF(OHW!$G1027="","",OHW!$F1027)</f>
        <v/>
      </c>
      <c r="N2074">
        <f>IF(OHW!$G1027="","",OHW!$G1027)</f>
        <v/>
      </c>
      <c r="O2074">
        <f>IF(OHW!$G1027="","",OHW!$I1027)</f>
        <v/>
      </c>
      <c r="P2074">
        <f>IF(OHW!$G1027="","","Final")</f>
        <v/>
      </c>
    </row>
    <row r="2075">
      <c r="A2075">
        <f>IF(OHW!$G1028="","","OHW")</f>
        <v/>
      </c>
      <c r="B2075">
        <f>IF(OHW!$G1028="","","OHW")</f>
        <v/>
      </c>
      <c r="C2075" s="18">
        <f>IF(OHW!$G1028="","",OHW!$A1028)</f>
        <v/>
      </c>
      <c r="F2075">
        <f>IF(OHW!$G1028="","",OHW!$B1028&amp;"")</f>
        <v/>
      </c>
      <c r="J2075">
        <f>IF(OHW!$G1028="","",OHW!$E1028)</f>
        <v/>
      </c>
      <c r="K2075">
        <f>IF(OHW!$G1028="","",COUNTIFS(OHW!$A$5:$A$1668,OHW!$A1028,OHW!$C$5:$C$1668,OHW!$C1028))</f>
        <v/>
      </c>
      <c r="L2075">
        <f>IF(OHW!$G1028="","",OHW!$D1028&amp;"")</f>
        <v/>
      </c>
      <c r="M2075">
        <f>IF(OHW!$G1028="","",OHW!$F1028)</f>
        <v/>
      </c>
      <c r="N2075">
        <f>IF(OHW!$G1028="","",OHW!$G1028)</f>
        <v/>
      </c>
      <c r="O2075">
        <f>IF(OHW!$G1028="","",OHW!$I1028)</f>
        <v/>
      </c>
      <c r="P2075">
        <f>IF(OHW!$G1028="","","Final")</f>
        <v/>
      </c>
    </row>
    <row r="2076">
      <c r="A2076">
        <f>IF(OHW!$G1029="","","OHW")</f>
        <v/>
      </c>
      <c r="B2076">
        <f>IF(OHW!$G1029="","","OHW")</f>
        <v/>
      </c>
      <c r="C2076" s="18">
        <f>IF(OHW!$G1029="","",OHW!$A1029)</f>
        <v/>
      </c>
      <c r="F2076">
        <f>IF(OHW!$G1029="","",OHW!$B1029&amp;"")</f>
        <v/>
      </c>
      <c r="J2076">
        <f>IF(OHW!$G1029="","",OHW!$E1029)</f>
        <v/>
      </c>
      <c r="K2076">
        <f>IF(OHW!$G1029="","",COUNTIFS(OHW!$A$5:$A$1668,OHW!$A1029,OHW!$C$5:$C$1668,OHW!$C1029))</f>
        <v/>
      </c>
      <c r="L2076">
        <f>IF(OHW!$G1029="","",OHW!$D1029&amp;"")</f>
        <v/>
      </c>
      <c r="M2076">
        <f>IF(OHW!$G1029="","",OHW!$F1029)</f>
        <v/>
      </c>
      <c r="N2076">
        <f>IF(OHW!$G1029="","",OHW!$G1029)</f>
        <v/>
      </c>
      <c r="O2076">
        <f>IF(OHW!$G1029="","",OHW!$I1029)</f>
        <v/>
      </c>
      <c r="P2076">
        <f>IF(OHW!$G1029="","","Final")</f>
        <v/>
      </c>
    </row>
    <row r="2077">
      <c r="A2077">
        <f>IF(OHW!$G1030="","","OHW")</f>
        <v/>
      </c>
      <c r="B2077">
        <f>IF(OHW!$G1030="","","OHW")</f>
        <v/>
      </c>
      <c r="C2077" s="18">
        <f>IF(OHW!$G1030="","",OHW!$A1030)</f>
        <v/>
      </c>
      <c r="F2077">
        <f>IF(OHW!$G1030="","",OHW!$B1030&amp;"")</f>
        <v/>
      </c>
      <c r="J2077">
        <f>IF(OHW!$G1030="","",OHW!$E1030)</f>
        <v/>
      </c>
      <c r="K2077">
        <f>IF(OHW!$G1030="","",COUNTIFS(OHW!$A$5:$A$1668,OHW!$A1030,OHW!$C$5:$C$1668,OHW!$C1030))</f>
        <v/>
      </c>
      <c r="L2077">
        <f>IF(OHW!$G1030="","",OHW!$D1030&amp;"")</f>
        <v/>
      </c>
      <c r="M2077">
        <f>IF(OHW!$G1030="","",OHW!$F1030)</f>
        <v/>
      </c>
      <c r="N2077">
        <f>IF(OHW!$G1030="","",OHW!$G1030)</f>
        <v/>
      </c>
      <c r="O2077">
        <f>IF(OHW!$G1030="","",OHW!$I1030)</f>
        <v/>
      </c>
      <c r="P2077">
        <f>IF(OHW!$G1030="","","Final")</f>
        <v/>
      </c>
    </row>
    <row r="2078">
      <c r="A2078">
        <f>IF(OHW!$G1031="","","OHW")</f>
        <v/>
      </c>
      <c r="B2078">
        <f>IF(OHW!$G1031="","","OHW")</f>
        <v/>
      </c>
      <c r="C2078" s="18">
        <f>IF(OHW!$G1031="","",OHW!$A1031)</f>
        <v/>
      </c>
      <c r="F2078">
        <f>IF(OHW!$G1031="","",OHW!$B1031&amp;"")</f>
        <v/>
      </c>
      <c r="J2078">
        <f>IF(OHW!$G1031="","",OHW!$E1031)</f>
        <v/>
      </c>
      <c r="K2078">
        <f>IF(OHW!$G1031="","",COUNTIFS(OHW!$A$5:$A$1668,OHW!$A1031,OHW!$C$5:$C$1668,OHW!$C1031))</f>
        <v/>
      </c>
      <c r="L2078">
        <f>IF(OHW!$G1031="","",OHW!$D1031&amp;"")</f>
        <v/>
      </c>
      <c r="M2078">
        <f>IF(OHW!$G1031="","",OHW!$F1031)</f>
        <v/>
      </c>
      <c r="N2078">
        <f>IF(OHW!$G1031="","",OHW!$G1031)</f>
        <v/>
      </c>
      <c r="O2078">
        <f>IF(OHW!$G1031="","",OHW!$I1031)</f>
        <v/>
      </c>
      <c r="P2078">
        <f>IF(OHW!$G1031="","","Final")</f>
        <v/>
      </c>
    </row>
    <row r="2079">
      <c r="A2079">
        <f>IF(OHW!$G1032="","","OHW")</f>
        <v/>
      </c>
      <c r="B2079">
        <f>IF(OHW!$G1032="","","OHW")</f>
        <v/>
      </c>
      <c r="C2079" s="18">
        <f>IF(OHW!$G1032="","",OHW!$A1032)</f>
        <v/>
      </c>
      <c r="F2079">
        <f>IF(OHW!$G1032="","",OHW!$B1032&amp;"")</f>
        <v/>
      </c>
      <c r="J2079">
        <f>IF(OHW!$G1032="","",OHW!$E1032)</f>
        <v/>
      </c>
      <c r="K2079">
        <f>IF(OHW!$G1032="","",COUNTIFS(OHW!$A$5:$A$1668,OHW!$A1032,OHW!$C$5:$C$1668,OHW!$C1032))</f>
        <v/>
      </c>
      <c r="L2079">
        <f>IF(OHW!$G1032="","",OHW!$D1032&amp;"")</f>
        <v/>
      </c>
      <c r="M2079">
        <f>IF(OHW!$G1032="","",OHW!$F1032)</f>
        <v/>
      </c>
      <c r="N2079">
        <f>IF(OHW!$G1032="","",OHW!$G1032)</f>
        <v/>
      </c>
      <c r="O2079">
        <f>IF(OHW!$G1032="","",OHW!$I1032)</f>
        <v/>
      </c>
      <c r="P2079">
        <f>IF(OHW!$G1032="","","Final")</f>
        <v/>
      </c>
    </row>
    <row r="2080">
      <c r="A2080">
        <f>IF(OHW!$G1033="","","OHW")</f>
        <v/>
      </c>
      <c r="B2080">
        <f>IF(OHW!$G1033="","","OHW")</f>
        <v/>
      </c>
      <c r="C2080" s="18">
        <f>IF(OHW!$G1033="","",OHW!$A1033)</f>
        <v/>
      </c>
      <c r="F2080">
        <f>IF(OHW!$G1033="","",OHW!$B1033&amp;"")</f>
        <v/>
      </c>
      <c r="J2080">
        <f>IF(OHW!$G1033="","",OHW!$E1033)</f>
        <v/>
      </c>
      <c r="K2080">
        <f>IF(OHW!$G1033="","",COUNTIFS(OHW!$A$5:$A$1668,OHW!$A1033,OHW!$C$5:$C$1668,OHW!$C1033))</f>
        <v/>
      </c>
      <c r="L2080">
        <f>IF(OHW!$G1033="","",OHW!$D1033&amp;"")</f>
        <v/>
      </c>
      <c r="M2080">
        <f>IF(OHW!$G1033="","",OHW!$F1033)</f>
        <v/>
      </c>
      <c r="N2080">
        <f>IF(OHW!$G1033="","",OHW!$G1033)</f>
        <v/>
      </c>
      <c r="O2080">
        <f>IF(OHW!$G1033="","",OHW!$I1033)</f>
        <v/>
      </c>
      <c r="P2080">
        <f>IF(OHW!$G1033="","","Final")</f>
        <v/>
      </c>
    </row>
    <row r="2081">
      <c r="A2081">
        <f>IF(OHW!$G1034="","","OHW")</f>
        <v/>
      </c>
      <c r="B2081">
        <f>IF(OHW!$G1034="","","OHW")</f>
        <v/>
      </c>
      <c r="C2081" s="18">
        <f>IF(OHW!$G1034="","",OHW!$A1034)</f>
        <v/>
      </c>
      <c r="F2081">
        <f>IF(OHW!$G1034="","",OHW!$B1034&amp;"")</f>
        <v/>
      </c>
      <c r="J2081">
        <f>IF(OHW!$G1034="","",OHW!$E1034)</f>
        <v/>
      </c>
      <c r="K2081">
        <f>IF(OHW!$G1034="","",COUNTIFS(OHW!$A$5:$A$1668,OHW!$A1034,OHW!$C$5:$C$1668,OHW!$C1034))</f>
        <v/>
      </c>
      <c r="L2081">
        <f>IF(OHW!$G1034="","",OHW!$D1034&amp;"")</f>
        <v/>
      </c>
      <c r="M2081">
        <f>IF(OHW!$G1034="","",OHW!$F1034)</f>
        <v/>
      </c>
      <c r="N2081">
        <f>IF(OHW!$G1034="","",OHW!$G1034)</f>
        <v/>
      </c>
      <c r="O2081">
        <f>IF(OHW!$G1034="","",OHW!$I1034)</f>
        <v/>
      </c>
      <c r="P2081">
        <f>IF(OHW!$G1034="","","Final")</f>
        <v/>
      </c>
    </row>
    <row r="2082">
      <c r="A2082">
        <f>IF(OHW!$G1035="","","OHW")</f>
        <v/>
      </c>
      <c r="B2082">
        <f>IF(OHW!$G1035="","","OHW")</f>
        <v/>
      </c>
      <c r="C2082" s="18">
        <f>IF(OHW!$G1035="","",OHW!$A1035)</f>
        <v/>
      </c>
      <c r="F2082">
        <f>IF(OHW!$G1035="","",OHW!$B1035&amp;"")</f>
        <v/>
      </c>
      <c r="J2082">
        <f>IF(OHW!$G1035="","",OHW!$E1035)</f>
        <v/>
      </c>
      <c r="K2082">
        <f>IF(OHW!$G1035="","",COUNTIFS(OHW!$A$5:$A$1668,OHW!$A1035,OHW!$C$5:$C$1668,OHW!$C1035))</f>
        <v/>
      </c>
      <c r="L2082">
        <f>IF(OHW!$G1035="","",OHW!$D1035&amp;"")</f>
        <v/>
      </c>
      <c r="M2082">
        <f>IF(OHW!$G1035="","",OHW!$F1035)</f>
        <v/>
      </c>
      <c r="N2082">
        <f>IF(OHW!$G1035="","",OHW!$G1035)</f>
        <v/>
      </c>
      <c r="O2082">
        <f>IF(OHW!$G1035="","",OHW!$I1035)</f>
        <v/>
      </c>
      <c r="P2082">
        <f>IF(OHW!$G1035="","","Final")</f>
        <v/>
      </c>
    </row>
    <row r="2083">
      <c r="A2083">
        <f>IF(OHW!$G1036="","","OHW")</f>
        <v/>
      </c>
      <c r="B2083">
        <f>IF(OHW!$G1036="","","OHW")</f>
        <v/>
      </c>
      <c r="C2083" s="18">
        <f>IF(OHW!$G1036="","",OHW!$A1036)</f>
        <v/>
      </c>
      <c r="F2083">
        <f>IF(OHW!$G1036="","",OHW!$B1036&amp;"")</f>
        <v/>
      </c>
      <c r="J2083">
        <f>IF(OHW!$G1036="","",OHW!$E1036)</f>
        <v/>
      </c>
      <c r="K2083">
        <f>IF(OHW!$G1036="","",COUNTIFS(OHW!$A$5:$A$1668,OHW!$A1036,OHW!$C$5:$C$1668,OHW!$C1036))</f>
        <v/>
      </c>
      <c r="L2083">
        <f>IF(OHW!$G1036="","",OHW!$D1036&amp;"")</f>
        <v/>
      </c>
      <c r="M2083">
        <f>IF(OHW!$G1036="","",OHW!$F1036)</f>
        <v/>
      </c>
      <c r="N2083">
        <f>IF(OHW!$G1036="","",OHW!$G1036)</f>
        <v/>
      </c>
      <c r="O2083">
        <f>IF(OHW!$G1036="","",OHW!$I1036)</f>
        <v/>
      </c>
      <c r="P2083">
        <f>IF(OHW!$G1036="","","Final")</f>
        <v/>
      </c>
    </row>
    <row r="2084">
      <c r="A2084">
        <f>IF(OHW!$G1037="","","OHW")</f>
        <v/>
      </c>
      <c r="B2084">
        <f>IF(OHW!$G1037="","","OHW")</f>
        <v/>
      </c>
      <c r="C2084" s="18">
        <f>IF(OHW!$G1037="","",OHW!$A1037)</f>
        <v/>
      </c>
      <c r="F2084">
        <f>IF(OHW!$G1037="","",OHW!$B1037&amp;"")</f>
        <v/>
      </c>
      <c r="J2084">
        <f>IF(OHW!$G1037="","",OHW!$E1037)</f>
        <v/>
      </c>
      <c r="K2084">
        <f>IF(OHW!$G1037="","",COUNTIFS(OHW!$A$5:$A$1668,OHW!$A1037,OHW!$C$5:$C$1668,OHW!$C1037))</f>
        <v/>
      </c>
      <c r="L2084">
        <f>IF(OHW!$G1037="","",OHW!$D1037&amp;"")</f>
        <v/>
      </c>
      <c r="M2084">
        <f>IF(OHW!$G1037="","",OHW!$F1037)</f>
        <v/>
      </c>
      <c r="N2084">
        <f>IF(OHW!$G1037="","",OHW!$G1037)</f>
        <v/>
      </c>
      <c r="O2084">
        <f>IF(OHW!$G1037="","",OHW!$I1037)</f>
        <v/>
      </c>
      <c r="P2084">
        <f>IF(OHW!$G1037="","","Final")</f>
        <v/>
      </c>
    </row>
    <row r="2085">
      <c r="A2085">
        <f>IF(OHW!$G1038="","","OHW")</f>
        <v/>
      </c>
      <c r="B2085">
        <f>IF(OHW!$G1038="","","OHW")</f>
        <v/>
      </c>
      <c r="C2085" s="18">
        <f>IF(OHW!$G1038="","",OHW!$A1038)</f>
        <v/>
      </c>
      <c r="F2085">
        <f>IF(OHW!$G1038="","",OHW!$B1038&amp;"")</f>
        <v/>
      </c>
      <c r="J2085">
        <f>IF(OHW!$G1038="","",OHW!$E1038)</f>
        <v/>
      </c>
      <c r="K2085">
        <f>IF(OHW!$G1038="","",COUNTIFS(OHW!$A$5:$A$1668,OHW!$A1038,OHW!$C$5:$C$1668,OHW!$C1038))</f>
        <v/>
      </c>
      <c r="L2085">
        <f>IF(OHW!$G1038="","",OHW!$D1038&amp;"")</f>
        <v/>
      </c>
      <c r="M2085">
        <f>IF(OHW!$G1038="","",OHW!$F1038)</f>
        <v/>
      </c>
      <c r="N2085">
        <f>IF(OHW!$G1038="","",OHW!$G1038)</f>
        <v/>
      </c>
      <c r="O2085">
        <f>IF(OHW!$G1038="","",OHW!$I1038)</f>
        <v/>
      </c>
      <c r="P2085">
        <f>IF(OHW!$G1038="","","Final")</f>
        <v/>
      </c>
    </row>
    <row r="2086">
      <c r="A2086">
        <f>IF(OHW!$G1039="","","OHW")</f>
        <v/>
      </c>
      <c r="B2086">
        <f>IF(OHW!$G1039="","","OHW")</f>
        <v/>
      </c>
      <c r="C2086" s="18">
        <f>IF(OHW!$G1039="","",OHW!$A1039)</f>
        <v/>
      </c>
      <c r="F2086">
        <f>IF(OHW!$G1039="","",OHW!$B1039&amp;"")</f>
        <v/>
      </c>
      <c r="J2086">
        <f>IF(OHW!$G1039="","",OHW!$E1039)</f>
        <v/>
      </c>
      <c r="K2086">
        <f>IF(OHW!$G1039="","",COUNTIFS(OHW!$A$5:$A$1668,OHW!$A1039,OHW!$C$5:$C$1668,OHW!$C1039))</f>
        <v/>
      </c>
      <c r="L2086">
        <f>IF(OHW!$G1039="","",OHW!$D1039&amp;"")</f>
        <v/>
      </c>
      <c r="M2086">
        <f>IF(OHW!$G1039="","",OHW!$F1039)</f>
        <v/>
      </c>
      <c r="N2086">
        <f>IF(OHW!$G1039="","",OHW!$G1039)</f>
        <v/>
      </c>
      <c r="O2086">
        <f>IF(OHW!$G1039="","",OHW!$I1039)</f>
        <v/>
      </c>
      <c r="P2086">
        <f>IF(OHW!$G1039="","","Final")</f>
        <v/>
      </c>
    </row>
    <row r="2087">
      <c r="A2087">
        <f>IF(OHW!$G1040="","","OHW")</f>
        <v/>
      </c>
      <c r="B2087">
        <f>IF(OHW!$G1040="","","OHW")</f>
        <v/>
      </c>
      <c r="C2087" s="18">
        <f>IF(OHW!$G1040="","",OHW!$A1040)</f>
        <v/>
      </c>
      <c r="F2087">
        <f>IF(OHW!$G1040="","",OHW!$B1040&amp;"")</f>
        <v/>
      </c>
      <c r="J2087">
        <f>IF(OHW!$G1040="","",OHW!$E1040)</f>
        <v/>
      </c>
      <c r="K2087">
        <f>IF(OHW!$G1040="","",COUNTIFS(OHW!$A$5:$A$1668,OHW!$A1040,OHW!$C$5:$C$1668,OHW!$C1040))</f>
        <v/>
      </c>
      <c r="L2087">
        <f>IF(OHW!$G1040="","",OHW!$D1040&amp;"")</f>
        <v/>
      </c>
      <c r="M2087">
        <f>IF(OHW!$G1040="","",OHW!$F1040)</f>
        <v/>
      </c>
      <c r="N2087">
        <f>IF(OHW!$G1040="","",OHW!$G1040)</f>
        <v/>
      </c>
      <c r="O2087">
        <f>IF(OHW!$G1040="","",OHW!$I1040)</f>
        <v/>
      </c>
      <c r="P2087">
        <f>IF(OHW!$G1040="","","Final")</f>
        <v/>
      </c>
    </row>
    <row r="2088">
      <c r="A2088">
        <f>IF(OHW!$G1041="","","OHW")</f>
        <v/>
      </c>
      <c r="B2088">
        <f>IF(OHW!$G1041="","","OHW")</f>
        <v/>
      </c>
      <c r="C2088" s="18">
        <f>IF(OHW!$G1041="","",OHW!$A1041)</f>
        <v/>
      </c>
      <c r="F2088">
        <f>IF(OHW!$G1041="","",OHW!$B1041&amp;"")</f>
        <v/>
      </c>
      <c r="J2088">
        <f>IF(OHW!$G1041="","",OHW!$E1041)</f>
        <v/>
      </c>
      <c r="K2088">
        <f>IF(OHW!$G1041="","",COUNTIFS(OHW!$A$5:$A$1668,OHW!$A1041,OHW!$C$5:$C$1668,OHW!$C1041))</f>
        <v/>
      </c>
      <c r="L2088">
        <f>IF(OHW!$G1041="","",OHW!$D1041&amp;"")</f>
        <v/>
      </c>
      <c r="M2088">
        <f>IF(OHW!$G1041="","",OHW!$F1041)</f>
        <v/>
      </c>
      <c r="N2088">
        <f>IF(OHW!$G1041="","",OHW!$G1041)</f>
        <v/>
      </c>
      <c r="O2088">
        <f>IF(OHW!$G1041="","",OHW!$I1041)</f>
        <v/>
      </c>
      <c r="P2088">
        <f>IF(OHW!$G1041="","","Final")</f>
        <v/>
      </c>
    </row>
    <row r="2089">
      <c r="A2089">
        <f>IF(OHW!$G1042="","","OHW")</f>
        <v/>
      </c>
      <c r="B2089">
        <f>IF(OHW!$G1042="","","OHW")</f>
        <v/>
      </c>
      <c r="C2089" s="18">
        <f>IF(OHW!$G1042="","",OHW!$A1042)</f>
        <v/>
      </c>
      <c r="F2089">
        <f>IF(OHW!$G1042="","",OHW!$B1042&amp;"")</f>
        <v/>
      </c>
      <c r="J2089">
        <f>IF(OHW!$G1042="","",OHW!$E1042)</f>
        <v/>
      </c>
      <c r="K2089">
        <f>IF(OHW!$G1042="","",COUNTIFS(OHW!$A$5:$A$1668,OHW!$A1042,OHW!$C$5:$C$1668,OHW!$C1042))</f>
        <v/>
      </c>
      <c r="L2089">
        <f>IF(OHW!$G1042="","",OHW!$D1042&amp;"")</f>
        <v/>
      </c>
      <c r="M2089">
        <f>IF(OHW!$G1042="","",OHW!$F1042)</f>
        <v/>
      </c>
      <c r="N2089">
        <f>IF(OHW!$G1042="","",OHW!$G1042)</f>
        <v/>
      </c>
      <c r="O2089">
        <f>IF(OHW!$G1042="","",OHW!$I1042)</f>
        <v/>
      </c>
      <c r="P2089">
        <f>IF(OHW!$G1042="","","Final")</f>
        <v/>
      </c>
    </row>
    <row r="2090">
      <c r="A2090">
        <f>IF(OHW!$G1043="","","OHW")</f>
        <v/>
      </c>
      <c r="B2090">
        <f>IF(OHW!$G1043="","","OHW")</f>
        <v/>
      </c>
      <c r="C2090" s="18">
        <f>IF(OHW!$G1043="","",OHW!$A1043)</f>
        <v/>
      </c>
      <c r="F2090">
        <f>IF(OHW!$G1043="","",OHW!$B1043&amp;"")</f>
        <v/>
      </c>
      <c r="J2090">
        <f>IF(OHW!$G1043="","",OHW!$E1043)</f>
        <v/>
      </c>
      <c r="K2090">
        <f>IF(OHW!$G1043="","",COUNTIFS(OHW!$A$5:$A$1668,OHW!$A1043,OHW!$C$5:$C$1668,OHW!$C1043))</f>
        <v/>
      </c>
      <c r="L2090">
        <f>IF(OHW!$G1043="","",OHW!$D1043&amp;"")</f>
        <v/>
      </c>
      <c r="M2090">
        <f>IF(OHW!$G1043="","",OHW!$F1043)</f>
        <v/>
      </c>
      <c r="N2090">
        <f>IF(OHW!$G1043="","",OHW!$G1043)</f>
        <v/>
      </c>
      <c r="O2090">
        <f>IF(OHW!$G1043="","",OHW!$I1043)</f>
        <v/>
      </c>
      <c r="P2090">
        <f>IF(OHW!$G1043="","","Final")</f>
        <v/>
      </c>
    </row>
    <row r="2091">
      <c r="A2091">
        <f>IF(OHW!$G1044="","","OHW")</f>
        <v/>
      </c>
      <c r="B2091">
        <f>IF(OHW!$G1044="","","OHW")</f>
        <v/>
      </c>
      <c r="C2091" s="18">
        <f>IF(OHW!$G1044="","",OHW!$A1044)</f>
        <v/>
      </c>
      <c r="F2091">
        <f>IF(OHW!$G1044="","",OHW!$B1044&amp;"")</f>
        <v/>
      </c>
      <c r="J2091">
        <f>IF(OHW!$G1044="","",OHW!$E1044)</f>
        <v/>
      </c>
      <c r="K2091">
        <f>IF(OHW!$G1044="","",COUNTIFS(OHW!$A$5:$A$1668,OHW!$A1044,OHW!$C$5:$C$1668,OHW!$C1044))</f>
        <v/>
      </c>
      <c r="L2091">
        <f>IF(OHW!$G1044="","",OHW!$D1044&amp;"")</f>
        <v/>
      </c>
      <c r="M2091">
        <f>IF(OHW!$G1044="","",OHW!$F1044)</f>
        <v/>
      </c>
      <c r="N2091">
        <f>IF(OHW!$G1044="","",OHW!$G1044)</f>
        <v/>
      </c>
      <c r="O2091">
        <f>IF(OHW!$G1044="","",OHW!$I1044)</f>
        <v/>
      </c>
      <c r="P2091">
        <f>IF(OHW!$G1044="","","Final")</f>
        <v/>
      </c>
    </row>
    <row r="2092">
      <c r="A2092">
        <f>IF(OHW!$G1045="","","OHW")</f>
        <v/>
      </c>
      <c r="B2092">
        <f>IF(OHW!$G1045="","","OHW")</f>
        <v/>
      </c>
      <c r="C2092" s="18">
        <f>IF(OHW!$G1045="","",OHW!$A1045)</f>
        <v/>
      </c>
      <c r="F2092">
        <f>IF(OHW!$G1045="","",OHW!$B1045&amp;"")</f>
        <v/>
      </c>
      <c r="J2092">
        <f>IF(OHW!$G1045="","",OHW!$E1045)</f>
        <v/>
      </c>
      <c r="K2092">
        <f>IF(OHW!$G1045="","",COUNTIFS(OHW!$A$5:$A$1668,OHW!$A1045,OHW!$C$5:$C$1668,OHW!$C1045))</f>
        <v/>
      </c>
      <c r="L2092">
        <f>IF(OHW!$G1045="","",OHW!$D1045&amp;"")</f>
        <v/>
      </c>
      <c r="M2092">
        <f>IF(OHW!$G1045="","",OHW!$F1045)</f>
        <v/>
      </c>
      <c r="N2092">
        <f>IF(OHW!$G1045="","",OHW!$G1045)</f>
        <v/>
      </c>
      <c r="O2092">
        <f>IF(OHW!$G1045="","",OHW!$I1045)</f>
        <v/>
      </c>
      <c r="P2092">
        <f>IF(OHW!$G1045="","","Final")</f>
        <v/>
      </c>
    </row>
    <row r="2093">
      <c r="A2093">
        <f>IF(OHW!$G1046="","","OHW")</f>
        <v/>
      </c>
      <c r="B2093">
        <f>IF(OHW!$G1046="","","OHW")</f>
        <v/>
      </c>
      <c r="C2093" s="18">
        <f>IF(OHW!$G1046="","",OHW!$A1046)</f>
        <v/>
      </c>
      <c r="F2093">
        <f>IF(OHW!$G1046="","",OHW!$B1046&amp;"")</f>
        <v/>
      </c>
      <c r="J2093">
        <f>IF(OHW!$G1046="","",OHW!$E1046)</f>
        <v/>
      </c>
      <c r="K2093">
        <f>IF(OHW!$G1046="","",COUNTIFS(OHW!$A$5:$A$1668,OHW!$A1046,OHW!$C$5:$C$1668,OHW!$C1046))</f>
        <v/>
      </c>
      <c r="L2093">
        <f>IF(OHW!$G1046="","",OHW!$D1046&amp;"")</f>
        <v/>
      </c>
      <c r="M2093">
        <f>IF(OHW!$G1046="","",OHW!$F1046)</f>
        <v/>
      </c>
      <c r="N2093">
        <f>IF(OHW!$G1046="","",OHW!$G1046)</f>
        <v/>
      </c>
      <c r="O2093">
        <f>IF(OHW!$G1046="","",OHW!$I1046)</f>
        <v/>
      </c>
      <c r="P2093">
        <f>IF(OHW!$G1046="","","Final")</f>
        <v/>
      </c>
    </row>
    <row r="2094">
      <c r="A2094">
        <f>IF(OHW!$G1047="","","OHW")</f>
        <v/>
      </c>
      <c r="B2094">
        <f>IF(OHW!$G1047="","","OHW")</f>
        <v/>
      </c>
      <c r="C2094" s="18">
        <f>IF(OHW!$G1047="","",OHW!$A1047)</f>
        <v/>
      </c>
      <c r="F2094">
        <f>IF(OHW!$G1047="","",OHW!$B1047&amp;"")</f>
        <v/>
      </c>
      <c r="J2094">
        <f>IF(OHW!$G1047="","",OHW!$E1047)</f>
        <v/>
      </c>
      <c r="K2094">
        <f>IF(OHW!$G1047="","",COUNTIFS(OHW!$A$5:$A$1668,OHW!$A1047,OHW!$C$5:$C$1668,OHW!$C1047))</f>
        <v/>
      </c>
      <c r="L2094">
        <f>IF(OHW!$G1047="","",OHW!$D1047&amp;"")</f>
        <v/>
      </c>
      <c r="M2094">
        <f>IF(OHW!$G1047="","",OHW!$F1047)</f>
        <v/>
      </c>
      <c r="N2094">
        <f>IF(OHW!$G1047="","",OHW!$G1047)</f>
        <v/>
      </c>
      <c r="O2094">
        <f>IF(OHW!$G1047="","",OHW!$I1047)</f>
        <v/>
      </c>
      <c r="P2094">
        <f>IF(OHW!$G1047="","","Final")</f>
        <v/>
      </c>
    </row>
    <row r="2095">
      <c r="A2095">
        <f>IF(OHW!$G1048="","","OHW")</f>
        <v/>
      </c>
      <c r="B2095">
        <f>IF(OHW!$G1048="","","OHW")</f>
        <v/>
      </c>
      <c r="C2095" s="18">
        <f>IF(OHW!$G1048="","",OHW!$A1048)</f>
        <v/>
      </c>
      <c r="F2095">
        <f>IF(OHW!$G1048="","",OHW!$B1048&amp;"")</f>
        <v/>
      </c>
      <c r="J2095">
        <f>IF(OHW!$G1048="","",OHW!$E1048)</f>
        <v/>
      </c>
      <c r="K2095">
        <f>IF(OHW!$G1048="","",COUNTIFS(OHW!$A$5:$A$1668,OHW!$A1048,OHW!$C$5:$C$1668,OHW!$C1048))</f>
        <v/>
      </c>
      <c r="L2095">
        <f>IF(OHW!$G1048="","",OHW!$D1048&amp;"")</f>
        <v/>
      </c>
      <c r="M2095">
        <f>IF(OHW!$G1048="","",OHW!$F1048)</f>
        <v/>
      </c>
      <c r="N2095">
        <f>IF(OHW!$G1048="","",OHW!$G1048)</f>
        <v/>
      </c>
      <c r="O2095">
        <f>IF(OHW!$G1048="","",OHW!$I1048)</f>
        <v/>
      </c>
      <c r="P2095">
        <f>IF(OHW!$G1048="","","Final")</f>
        <v/>
      </c>
    </row>
    <row r="2096">
      <c r="A2096">
        <f>IF(OHW!$G1049="","","OHW")</f>
        <v/>
      </c>
      <c r="B2096">
        <f>IF(OHW!$G1049="","","OHW")</f>
        <v/>
      </c>
      <c r="C2096" s="18">
        <f>IF(OHW!$G1049="","",OHW!$A1049)</f>
        <v/>
      </c>
      <c r="F2096">
        <f>IF(OHW!$G1049="","",OHW!$B1049&amp;"")</f>
        <v/>
      </c>
      <c r="J2096">
        <f>IF(OHW!$G1049="","",OHW!$E1049)</f>
        <v/>
      </c>
      <c r="K2096">
        <f>IF(OHW!$G1049="","",COUNTIFS(OHW!$A$5:$A$1668,OHW!$A1049,OHW!$C$5:$C$1668,OHW!$C1049))</f>
        <v/>
      </c>
      <c r="L2096">
        <f>IF(OHW!$G1049="","",OHW!$D1049&amp;"")</f>
        <v/>
      </c>
      <c r="M2096">
        <f>IF(OHW!$G1049="","",OHW!$F1049)</f>
        <v/>
      </c>
      <c r="N2096">
        <f>IF(OHW!$G1049="","",OHW!$G1049)</f>
        <v/>
      </c>
      <c r="O2096">
        <f>IF(OHW!$G1049="","",OHW!$I1049)</f>
        <v/>
      </c>
      <c r="P2096">
        <f>IF(OHW!$G1049="","","Final")</f>
        <v/>
      </c>
    </row>
    <row r="2097">
      <c r="A2097">
        <f>IF(OHW!$G1050="","","OHW")</f>
        <v/>
      </c>
      <c r="B2097">
        <f>IF(OHW!$G1050="","","OHW")</f>
        <v/>
      </c>
      <c r="C2097" s="18">
        <f>IF(OHW!$G1050="","",OHW!$A1050)</f>
        <v/>
      </c>
      <c r="F2097">
        <f>IF(OHW!$G1050="","",OHW!$B1050&amp;"")</f>
        <v/>
      </c>
      <c r="J2097">
        <f>IF(OHW!$G1050="","",OHW!$E1050)</f>
        <v/>
      </c>
      <c r="K2097">
        <f>IF(OHW!$G1050="","",COUNTIFS(OHW!$A$5:$A$1668,OHW!$A1050,OHW!$C$5:$C$1668,OHW!$C1050))</f>
        <v/>
      </c>
      <c r="L2097">
        <f>IF(OHW!$G1050="","",OHW!$D1050&amp;"")</f>
        <v/>
      </c>
      <c r="M2097">
        <f>IF(OHW!$G1050="","",OHW!$F1050)</f>
        <v/>
      </c>
      <c r="N2097">
        <f>IF(OHW!$G1050="","",OHW!$G1050)</f>
        <v/>
      </c>
      <c r="O2097">
        <f>IF(OHW!$G1050="","",OHW!$I1050)</f>
        <v/>
      </c>
      <c r="P2097">
        <f>IF(OHW!$G1050="","","Final")</f>
        <v/>
      </c>
    </row>
    <row r="2098">
      <c r="A2098">
        <f>IF(OHW!$G1051="","","OHW")</f>
        <v/>
      </c>
      <c r="B2098">
        <f>IF(OHW!$G1051="","","OHW")</f>
        <v/>
      </c>
      <c r="C2098" s="18">
        <f>IF(OHW!$G1051="","",OHW!$A1051)</f>
        <v/>
      </c>
      <c r="F2098">
        <f>IF(OHW!$G1051="","",OHW!$B1051&amp;"")</f>
        <v/>
      </c>
      <c r="J2098">
        <f>IF(OHW!$G1051="","",OHW!$E1051)</f>
        <v/>
      </c>
      <c r="K2098">
        <f>IF(OHW!$G1051="","",COUNTIFS(OHW!$A$5:$A$1668,OHW!$A1051,OHW!$C$5:$C$1668,OHW!$C1051))</f>
        <v/>
      </c>
      <c r="L2098">
        <f>IF(OHW!$G1051="","",OHW!$D1051&amp;"")</f>
        <v/>
      </c>
      <c r="M2098">
        <f>IF(OHW!$G1051="","",OHW!$F1051)</f>
        <v/>
      </c>
      <c r="N2098">
        <f>IF(OHW!$G1051="","",OHW!$G1051)</f>
        <v/>
      </c>
      <c r="O2098">
        <f>IF(OHW!$G1051="","",OHW!$I1051)</f>
        <v/>
      </c>
      <c r="P2098">
        <f>IF(OHW!$G1051="","","Final")</f>
        <v/>
      </c>
    </row>
    <row r="2099">
      <c r="A2099">
        <f>IF(OHW!$G1052="","","OHW")</f>
        <v/>
      </c>
      <c r="B2099">
        <f>IF(OHW!$G1052="","","OHW")</f>
        <v/>
      </c>
      <c r="C2099" s="18">
        <f>IF(OHW!$G1052="","",OHW!$A1052)</f>
        <v/>
      </c>
      <c r="F2099">
        <f>IF(OHW!$G1052="","",OHW!$B1052&amp;"")</f>
        <v/>
      </c>
      <c r="J2099">
        <f>IF(OHW!$G1052="","",OHW!$E1052)</f>
        <v/>
      </c>
      <c r="K2099">
        <f>IF(OHW!$G1052="","",COUNTIFS(OHW!$A$5:$A$1668,OHW!$A1052,OHW!$C$5:$C$1668,OHW!$C1052))</f>
        <v/>
      </c>
      <c r="L2099">
        <f>IF(OHW!$G1052="","",OHW!$D1052&amp;"")</f>
        <v/>
      </c>
      <c r="M2099">
        <f>IF(OHW!$G1052="","",OHW!$F1052)</f>
        <v/>
      </c>
      <c r="N2099">
        <f>IF(OHW!$G1052="","",OHW!$G1052)</f>
        <v/>
      </c>
      <c r="O2099">
        <f>IF(OHW!$G1052="","",OHW!$I1052)</f>
        <v/>
      </c>
      <c r="P2099">
        <f>IF(OHW!$G1052="","","Final")</f>
        <v/>
      </c>
    </row>
    <row r="2100">
      <c r="A2100">
        <f>IF(OHW!$G1053="","","OHW")</f>
        <v/>
      </c>
      <c r="B2100">
        <f>IF(OHW!$G1053="","","OHW")</f>
        <v/>
      </c>
      <c r="C2100" s="18">
        <f>IF(OHW!$G1053="","",OHW!$A1053)</f>
        <v/>
      </c>
      <c r="F2100">
        <f>IF(OHW!$G1053="","",OHW!$B1053&amp;"")</f>
        <v/>
      </c>
      <c r="J2100">
        <f>IF(OHW!$G1053="","",OHW!$E1053)</f>
        <v/>
      </c>
      <c r="K2100">
        <f>IF(OHW!$G1053="","",COUNTIFS(OHW!$A$5:$A$1668,OHW!$A1053,OHW!$C$5:$C$1668,OHW!$C1053))</f>
        <v/>
      </c>
      <c r="L2100">
        <f>IF(OHW!$G1053="","",OHW!$D1053&amp;"")</f>
        <v/>
      </c>
      <c r="M2100">
        <f>IF(OHW!$G1053="","",OHW!$F1053)</f>
        <v/>
      </c>
      <c r="N2100">
        <f>IF(OHW!$G1053="","",OHW!$G1053)</f>
        <v/>
      </c>
      <c r="O2100">
        <f>IF(OHW!$G1053="","",OHW!$I1053)</f>
        <v/>
      </c>
      <c r="P2100">
        <f>IF(OHW!$G1053="","","Final")</f>
        <v/>
      </c>
    </row>
    <row r="2101">
      <c r="A2101">
        <f>IF(OHW!$G1054="","","OHW")</f>
        <v/>
      </c>
      <c r="B2101">
        <f>IF(OHW!$G1054="","","OHW")</f>
        <v/>
      </c>
      <c r="C2101" s="18">
        <f>IF(OHW!$G1054="","",OHW!$A1054)</f>
        <v/>
      </c>
      <c r="F2101">
        <f>IF(OHW!$G1054="","",OHW!$B1054&amp;"")</f>
        <v/>
      </c>
      <c r="J2101">
        <f>IF(OHW!$G1054="","",OHW!$E1054)</f>
        <v/>
      </c>
      <c r="K2101">
        <f>IF(OHW!$G1054="","",COUNTIFS(OHW!$A$5:$A$1668,OHW!$A1054,OHW!$C$5:$C$1668,OHW!$C1054))</f>
        <v/>
      </c>
      <c r="L2101">
        <f>IF(OHW!$G1054="","",OHW!$D1054&amp;"")</f>
        <v/>
      </c>
      <c r="M2101">
        <f>IF(OHW!$G1054="","",OHW!$F1054)</f>
        <v/>
      </c>
      <c r="N2101">
        <f>IF(OHW!$G1054="","",OHW!$G1054)</f>
        <v/>
      </c>
      <c r="O2101">
        <f>IF(OHW!$G1054="","",OHW!$I1054)</f>
        <v/>
      </c>
      <c r="P2101">
        <f>IF(OHW!$G1054="","","Final")</f>
        <v/>
      </c>
    </row>
    <row r="2102">
      <c r="A2102">
        <f>IF(OHW!$G1055="","","OHW")</f>
        <v/>
      </c>
      <c r="B2102">
        <f>IF(OHW!$G1055="","","OHW")</f>
        <v/>
      </c>
      <c r="C2102" s="18">
        <f>IF(OHW!$G1055="","",OHW!$A1055)</f>
        <v/>
      </c>
      <c r="F2102">
        <f>IF(OHW!$G1055="","",OHW!$B1055&amp;"")</f>
        <v/>
      </c>
      <c r="J2102">
        <f>IF(OHW!$G1055="","",OHW!$E1055)</f>
        <v/>
      </c>
      <c r="K2102">
        <f>IF(OHW!$G1055="","",COUNTIFS(OHW!$A$5:$A$1668,OHW!$A1055,OHW!$C$5:$C$1668,OHW!$C1055))</f>
        <v/>
      </c>
      <c r="L2102">
        <f>IF(OHW!$G1055="","",OHW!$D1055&amp;"")</f>
        <v/>
      </c>
      <c r="M2102">
        <f>IF(OHW!$G1055="","",OHW!$F1055)</f>
        <v/>
      </c>
      <c r="N2102">
        <f>IF(OHW!$G1055="","",OHW!$G1055)</f>
        <v/>
      </c>
      <c r="O2102">
        <f>IF(OHW!$G1055="","",OHW!$I1055)</f>
        <v/>
      </c>
      <c r="P2102">
        <f>IF(OHW!$G1055="","","Final")</f>
        <v/>
      </c>
    </row>
    <row r="2103">
      <c r="A2103">
        <f>IF(OHW!$G1056="","","OHW")</f>
        <v/>
      </c>
      <c r="B2103">
        <f>IF(OHW!$G1056="","","OHW")</f>
        <v/>
      </c>
      <c r="C2103" s="18">
        <f>IF(OHW!$G1056="","",OHW!$A1056)</f>
        <v/>
      </c>
      <c r="F2103">
        <f>IF(OHW!$G1056="","",OHW!$B1056&amp;"")</f>
        <v/>
      </c>
      <c r="J2103">
        <f>IF(OHW!$G1056="","",OHW!$E1056)</f>
        <v/>
      </c>
      <c r="K2103">
        <f>IF(OHW!$G1056="","",COUNTIFS(OHW!$A$5:$A$1668,OHW!$A1056,OHW!$C$5:$C$1668,OHW!$C1056))</f>
        <v/>
      </c>
      <c r="L2103">
        <f>IF(OHW!$G1056="","",OHW!$D1056&amp;"")</f>
        <v/>
      </c>
      <c r="M2103">
        <f>IF(OHW!$G1056="","",OHW!$F1056)</f>
        <v/>
      </c>
      <c r="N2103">
        <f>IF(OHW!$G1056="","",OHW!$G1056)</f>
        <v/>
      </c>
      <c r="O2103">
        <f>IF(OHW!$G1056="","",OHW!$I1056)</f>
        <v/>
      </c>
      <c r="P2103">
        <f>IF(OHW!$G1056="","","Final")</f>
        <v/>
      </c>
    </row>
    <row r="2104">
      <c r="A2104">
        <f>IF(OHW!$G1057="","","OHW")</f>
        <v/>
      </c>
      <c r="B2104">
        <f>IF(OHW!$G1057="","","OHW")</f>
        <v/>
      </c>
      <c r="C2104" s="18">
        <f>IF(OHW!$G1057="","",OHW!$A1057)</f>
        <v/>
      </c>
      <c r="F2104">
        <f>IF(OHW!$G1057="","",OHW!$B1057&amp;"")</f>
        <v/>
      </c>
      <c r="J2104">
        <f>IF(OHW!$G1057="","",OHW!$E1057)</f>
        <v/>
      </c>
      <c r="K2104">
        <f>IF(OHW!$G1057="","",COUNTIFS(OHW!$A$5:$A$1668,OHW!$A1057,OHW!$C$5:$C$1668,OHW!$C1057))</f>
        <v/>
      </c>
      <c r="L2104">
        <f>IF(OHW!$G1057="","",OHW!$D1057&amp;"")</f>
        <v/>
      </c>
      <c r="M2104">
        <f>IF(OHW!$G1057="","",OHW!$F1057)</f>
        <v/>
      </c>
      <c r="N2104">
        <f>IF(OHW!$G1057="","",OHW!$G1057)</f>
        <v/>
      </c>
      <c r="O2104">
        <f>IF(OHW!$G1057="","",OHW!$I1057)</f>
        <v/>
      </c>
      <c r="P2104">
        <f>IF(OHW!$G1057="","","Final")</f>
        <v/>
      </c>
    </row>
    <row r="2105">
      <c r="A2105">
        <f>IF(OHW!$G1058="","","OHW")</f>
        <v/>
      </c>
      <c r="B2105">
        <f>IF(OHW!$G1058="","","OHW")</f>
        <v/>
      </c>
      <c r="C2105" s="18">
        <f>IF(OHW!$G1058="","",OHW!$A1058)</f>
        <v/>
      </c>
      <c r="F2105">
        <f>IF(OHW!$G1058="","",OHW!$B1058&amp;"")</f>
        <v/>
      </c>
      <c r="J2105">
        <f>IF(OHW!$G1058="","",OHW!$E1058)</f>
        <v/>
      </c>
      <c r="K2105">
        <f>IF(OHW!$G1058="","",COUNTIFS(OHW!$A$5:$A$1668,OHW!$A1058,OHW!$C$5:$C$1668,OHW!$C1058))</f>
        <v/>
      </c>
      <c r="L2105">
        <f>IF(OHW!$G1058="","",OHW!$D1058&amp;"")</f>
        <v/>
      </c>
      <c r="M2105">
        <f>IF(OHW!$G1058="","",OHW!$F1058)</f>
        <v/>
      </c>
      <c r="N2105">
        <f>IF(OHW!$G1058="","",OHW!$G1058)</f>
        <v/>
      </c>
      <c r="O2105">
        <f>IF(OHW!$G1058="","",OHW!$I1058)</f>
        <v/>
      </c>
      <c r="P2105">
        <f>IF(OHW!$G1058="","","Final")</f>
        <v/>
      </c>
    </row>
    <row r="2106">
      <c r="A2106">
        <f>IF(OHW!$G1059="","","OHW")</f>
        <v/>
      </c>
      <c r="B2106">
        <f>IF(OHW!$G1059="","","OHW")</f>
        <v/>
      </c>
      <c r="C2106" s="18">
        <f>IF(OHW!$G1059="","",OHW!$A1059)</f>
        <v/>
      </c>
      <c r="F2106">
        <f>IF(OHW!$G1059="","",OHW!$B1059&amp;"")</f>
        <v/>
      </c>
      <c r="J2106">
        <f>IF(OHW!$G1059="","",OHW!$E1059)</f>
        <v/>
      </c>
      <c r="K2106">
        <f>IF(OHW!$G1059="","",COUNTIFS(OHW!$A$5:$A$1668,OHW!$A1059,OHW!$C$5:$C$1668,OHW!$C1059))</f>
        <v/>
      </c>
      <c r="L2106">
        <f>IF(OHW!$G1059="","",OHW!$D1059&amp;"")</f>
        <v/>
      </c>
      <c r="M2106">
        <f>IF(OHW!$G1059="","",OHW!$F1059)</f>
        <v/>
      </c>
      <c r="N2106">
        <f>IF(OHW!$G1059="","",OHW!$G1059)</f>
        <v/>
      </c>
      <c r="O2106">
        <f>IF(OHW!$G1059="","",OHW!$I1059)</f>
        <v/>
      </c>
      <c r="P2106">
        <f>IF(OHW!$G1059="","","Final")</f>
        <v/>
      </c>
    </row>
    <row r="2107">
      <c r="A2107">
        <f>IF(OHW!$G1060="","","OHW")</f>
        <v/>
      </c>
      <c r="B2107">
        <f>IF(OHW!$G1060="","","OHW")</f>
        <v/>
      </c>
      <c r="C2107" s="18">
        <f>IF(OHW!$G1060="","",OHW!$A1060)</f>
        <v/>
      </c>
      <c r="F2107">
        <f>IF(OHW!$G1060="","",OHW!$B1060&amp;"")</f>
        <v/>
      </c>
      <c r="J2107">
        <f>IF(OHW!$G1060="","",OHW!$E1060)</f>
        <v/>
      </c>
      <c r="K2107">
        <f>IF(OHW!$G1060="","",COUNTIFS(OHW!$A$5:$A$1668,OHW!$A1060,OHW!$C$5:$C$1668,OHW!$C1060))</f>
        <v/>
      </c>
      <c r="L2107">
        <f>IF(OHW!$G1060="","",OHW!$D1060&amp;"")</f>
        <v/>
      </c>
      <c r="M2107">
        <f>IF(OHW!$G1060="","",OHW!$F1060)</f>
        <v/>
      </c>
      <c r="N2107">
        <f>IF(OHW!$G1060="","",OHW!$G1060)</f>
        <v/>
      </c>
      <c r="O2107">
        <f>IF(OHW!$G1060="","",OHW!$I1060)</f>
        <v/>
      </c>
      <c r="P2107">
        <f>IF(OHW!$G1060="","","Final")</f>
        <v/>
      </c>
    </row>
    <row r="2108">
      <c r="A2108">
        <f>IF(OHW!$G1061="","","OHW")</f>
        <v/>
      </c>
      <c r="B2108">
        <f>IF(OHW!$G1061="","","OHW")</f>
        <v/>
      </c>
      <c r="C2108" s="18">
        <f>IF(OHW!$G1061="","",OHW!$A1061)</f>
        <v/>
      </c>
      <c r="F2108">
        <f>IF(OHW!$G1061="","",OHW!$B1061&amp;"")</f>
        <v/>
      </c>
      <c r="J2108">
        <f>IF(OHW!$G1061="","",OHW!$E1061)</f>
        <v/>
      </c>
      <c r="K2108">
        <f>IF(OHW!$G1061="","",COUNTIFS(OHW!$A$5:$A$1668,OHW!$A1061,OHW!$C$5:$C$1668,OHW!$C1061))</f>
        <v/>
      </c>
      <c r="L2108">
        <f>IF(OHW!$G1061="","",OHW!$D1061&amp;"")</f>
        <v/>
      </c>
      <c r="M2108">
        <f>IF(OHW!$G1061="","",OHW!$F1061)</f>
        <v/>
      </c>
      <c r="N2108">
        <f>IF(OHW!$G1061="","",OHW!$G1061)</f>
        <v/>
      </c>
      <c r="O2108">
        <f>IF(OHW!$G1061="","",OHW!$I1061)</f>
        <v/>
      </c>
      <c r="P2108">
        <f>IF(OHW!$G1061="","","Final")</f>
        <v/>
      </c>
    </row>
    <row r="2109">
      <c r="A2109">
        <f>IF(OHW!$G1062="","","OHW")</f>
        <v/>
      </c>
      <c r="B2109">
        <f>IF(OHW!$G1062="","","OHW")</f>
        <v/>
      </c>
      <c r="C2109" s="18">
        <f>IF(OHW!$G1062="","",OHW!$A1062)</f>
        <v/>
      </c>
      <c r="F2109">
        <f>IF(OHW!$G1062="","",OHW!$B1062&amp;"")</f>
        <v/>
      </c>
      <c r="J2109">
        <f>IF(OHW!$G1062="","",OHW!$E1062)</f>
        <v/>
      </c>
      <c r="K2109">
        <f>IF(OHW!$G1062="","",COUNTIFS(OHW!$A$5:$A$1668,OHW!$A1062,OHW!$C$5:$C$1668,OHW!$C1062))</f>
        <v/>
      </c>
      <c r="L2109">
        <f>IF(OHW!$G1062="","",OHW!$D1062&amp;"")</f>
        <v/>
      </c>
      <c r="M2109">
        <f>IF(OHW!$G1062="","",OHW!$F1062)</f>
        <v/>
      </c>
      <c r="N2109">
        <f>IF(OHW!$G1062="","",OHW!$G1062)</f>
        <v/>
      </c>
      <c r="O2109">
        <f>IF(OHW!$G1062="","",OHW!$I1062)</f>
        <v/>
      </c>
      <c r="P2109">
        <f>IF(OHW!$G1062="","","Final")</f>
        <v/>
      </c>
    </row>
    <row r="2110">
      <c r="A2110">
        <f>IF(OHW!$G1063="","","OHW")</f>
        <v/>
      </c>
      <c r="B2110">
        <f>IF(OHW!$G1063="","","OHW")</f>
        <v/>
      </c>
      <c r="C2110" s="18">
        <f>IF(OHW!$G1063="","",OHW!$A1063)</f>
        <v/>
      </c>
      <c r="F2110">
        <f>IF(OHW!$G1063="","",OHW!$B1063&amp;"")</f>
        <v/>
      </c>
      <c r="J2110">
        <f>IF(OHW!$G1063="","",OHW!$E1063)</f>
        <v/>
      </c>
      <c r="K2110">
        <f>IF(OHW!$G1063="","",COUNTIFS(OHW!$A$5:$A$1668,OHW!$A1063,OHW!$C$5:$C$1668,OHW!$C1063))</f>
        <v/>
      </c>
      <c r="L2110">
        <f>IF(OHW!$G1063="","",OHW!$D1063&amp;"")</f>
        <v/>
      </c>
      <c r="M2110">
        <f>IF(OHW!$G1063="","",OHW!$F1063)</f>
        <v/>
      </c>
      <c r="N2110">
        <f>IF(OHW!$G1063="","",OHW!$G1063)</f>
        <v/>
      </c>
      <c r="O2110">
        <f>IF(OHW!$G1063="","",OHW!$I1063)</f>
        <v/>
      </c>
      <c r="P2110">
        <f>IF(OHW!$G1063="","","Final")</f>
        <v/>
      </c>
    </row>
    <row r="2111">
      <c r="A2111">
        <f>IF(OHW!$G1064="","","OHW")</f>
        <v/>
      </c>
      <c r="B2111">
        <f>IF(OHW!$G1064="","","OHW")</f>
        <v/>
      </c>
      <c r="C2111" s="18">
        <f>IF(OHW!$G1064="","",OHW!$A1064)</f>
        <v/>
      </c>
      <c r="F2111">
        <f>IF(OHW!$G1064="","",OHW!$B1064&amp;"")</f>
        <v/>
      </c>
      <c r="J2111">
        <f>IF(OHW!$G1064="","",OHW!$E1064)</f>
        <v/>
      </c>
      <c r="K2111">
        <f>IF(OHW!$G1064="","",COUNTIFS(OHW!$A$5:$A$1668,OHW!$A1064,OHW!$C$5:$C$1668,OHW!$C1064))</f>
        <v/>
      </c>
      <c r="L2111">
        <f>IF(OHW!$G1064="","",OHW!$D1064&amp;"")</f>
        <v/>
      </c>
      <c r="M2111">
        <f>IF(OHW!$G1064="","",OHW!$F1064)</f>
        <v/>
      </c>
      <c r="N2111">
        <f>IF(OHW!$G1064="","",OHW!$G1064)</f>
        <v/>
      </c>
      <c r="O2111">
        <f>IF(OHW!$G1064="","",OHW!$I1064)</f>
        <v/>
      </c>
      <c r="P2111">
        <f>IF(OHW!$G1064="","","Final")</f>
        <v/>
      </c>
    </row>
    <row r="2112">
      <c r="A2112">
        <f>IF(OHW!$G1065="","","OHW")</f>
        <v/>
      </c>
      <c r="B2112">
        <f>IF(OHW!$G1065="","","OHW")</f>
        <v/>
      </c>
      <c r="C2112" s="18">
        <f>IF(OHW!$G1065="","",OHW!$A1065)</f>
        <v/>
      </c>
      <c r="F2112">
        <f>IF(OHW!$G1065="","",OHW!$B1065&amp;"")</f>
        <v/>
      </c>
      <c r="J2112">
        <f>IF(OHW!$G1065="","",OHW!$E1065)</f>
        <v/>
      </c>
      <c r="K2112">
        <f>IF(OHW!$G1065="","",COUNTIFS(OHW!$A$5:$A$1668,OHW!$A1065,OHW!$C$5:$C$1668,OHW!$C1065))</f>
        <v/>
      </c>
      <c r="L2112">
        <f>IF(OHW!$G1065="","",OHW!$D1065&amp;"")</f>
        <v/>
      </c>
      <c r="M2112">
        <f>IF(OHW!$G1065="","",OHW!$F1065)</f>
        <v/>
      </c>
      <c r="N2112">
        <f>IF(OHW!$G1065="","",OHW!$G1065)</f>
        <v/>
      </c>
      <c r="O2112">
        <f>IF(OHW!$G1065="","",OHW!$I1065)</f>
        <v/>
      </c>
      <c r="P2112">
        <f>IF(OHW!$G1065="","","Final")</f>
        <v/>
      </c>
    </row>
    <row r="2113">
      <c r="A2113">
        <f>IF(OHW!$G1066="","","OHW")</f>
        <v/>
      </c>
      <c r="B2113">
        <f>IF(OHW!$G1066="","","OHW")</f>
        <v/>
      </c>
      <c r="C2113" s="18">
        <f>IF(OHW!$G1066="","",OHW!$A1066)</f>
        <v/>
      </c>
      <c r="F2113">
        <f>IF(OHW!$G1066="","",OHW!$B1066&amp;"")</f>
        <v/>
      </c>
      <c r="J2113">
        <f>IF(OHW!$G1066="","",OHW!$E1066)</f>
        <v/>
      </c>
      <c r="K2113">
        <f>IF(OHW!$G1066="","",COUNTIFS(OHW!$A$5:$A$1668,OHW!$A1066,OHW!$C$5:$C$1668,OHW!$C1066))</f>
        <v/>
      </c>
      <c r="L2113">
        <f>IF(OHW!$G1066="","",OHW!$D1066&amp;"")</f>
        <v/>
      </c>
      <c r="M2113">
        <f>IF(OHW!$G1066="","",OHW!$F1066)</f>
        <v/>
      </c>
      <c r="N2113">
        <f>IF(OHW!$G1066="","",OHW!$G1066)</f>
        <v/>
      </c>
      <c r="O2113">
        <f>IF(OHW!$G1066="","",OHW!$I1066)</f>
        <v/>
      </c>
      <c r="P2113">
        <f>IF(OHW!$G1066="","","Final")</f>
        <v/>
      </c>
    </row>
    <row r="2114">
      <c r="A2114">
        <f>IF(OHW!$G1067="","","OHW")</f>
        <v/>
      </c>
      <c r="B2114">
        <f>IF(OHW!$G1067="","","OHW")</f>
        <v/>
      </c>
      <c r="C2114" s="18">
        <f>IF(OHW!$G1067="","",OHW!$A1067)</f>
        <v/>
      </c>
      <c r="F2114">
        <f>IF(OHW!$G1067="","",OHW!$B1067&amp;"")</f>
        <v/>
      </c>
      <c r="J2114">
        <f>IF(OHW!$G1067="","",OHW!$E1067)</f>
        <v/>
      </c>
      <c r="K2114">
        <f>IF(OHW!$G1067="","",COUNTIFS(OHW!$A$5:$A$1668,OHW!$A1067,OHW!$C$5:$C$1668,OHW!$C1067))</f>
        <v/>
      </c>
      <c r="L2114">
        <f>IF(OHW!$G1067="","",OHW!$D1067&amp;"")</f>
        <v/>
      </c>
      <c r="M2114">
        <f>IF(OHW!$G1067="","",OHW!$F1067)</f>
        <v/>
      </c>
      <c r="N2114">
        <f>IF(OHW!$G1067="","",OHW!$G1067)</f>
        <v/>
      </c>
      <c r="O2114">
        <f>IF(OHW!$G1067="","",OHW!$I1067)</f>
        <v/>
      </c>
      <c r="P2114">
        <f>IF(OHW!$G1067="","","Final")</f>
        <v/>
      </c>
    </row>
    <row r="2115">
      <c r="A2115">
        <f>IF(OHW!$G1068="","","OHW")</f>
        <v/>
      </c>
      <c r="B2115">
        <f>IF(OHW!$G1068="","","OHW")</f>
        <v/>
      </c>
      <c r="C2115" s="18">
        <f>IF(OHW!$G1068="","",OHW!$A1068)</f>
        <v/>
      </c>
      <c r="F2115">
        <f>IF(OHW!$G1068="","",OHW!$B1068&amp;"")</f>
        <v/>
      </c>
      <c r="J2115">
        <f>IF(OHW!$G1068="","",OHW!$E1068)</f>
        <v/>
      </c>
      <c r="K2115">
        <f>IF(OHW!$G1068="","",COUNTIFS(OHW!$A$5:$A$1668,OHW!$A1068,OHW!$C$5:$C$1668,OHW!$C1068))</f>
        <v/>
      </c>
      <c r="L2115">
        <f>IF(OHW!$G1068="","",OHW!$D1068&amp;"")</f>
        <v/>
      </c>
      <c r="M2115">
        <f>IF(OHW!$G1068="","",OHW!$F1068)</f>
        <v/>
      </c>
      <c r="N2115">
        <f>IF(OHW!$G1068="","",OHW!$G1068)</f>
        <v/>
      </c>
      <c r="O2115">
        <f>IF(OHW!$G1068="","",OHW!$I1068)</f>
        <v/>
      </c>
      <c r="P2115">
        <f>IF(OHW!$G1068="","","Final")</f>
        <v/>
      </c>
    </row>
    <row r="2116">
      <c r="A2116">
        <f>IF(OHW!$G1069="","","OHW")</f>
        <v/>
      </c>
      <c r="B2116">
        <f>IF(OHW!$G1069="","","OHW")</f>
        <v/>
      </c>
      <c r="C2116" s="18">
        <f>IF(OHW!$G1069="","",OHW!$A1069)</f>
        <v/>
      </c>
      <c r="F2116">
        <f>IF(OHW!$G1069="","",OHW!$B1069&amp;"")</f>
        <v/>
      </c>
      <c r="J2116">
        <f>IF(OHW!$G1069="","",OHW!$E1069)</f>
        <v/>
      </c>
      <c r="K2116">
        <f>IF(OHW!$G1069="","",COUNTIFS(OHW!$A$5:$A$1668,OHW!$A1069,OHW!$C$5:$C$1668,OHW!$C1069))</f>
        <v/>
      </c>
      <c r="L2116">
        <f>IF(OHW!$G1069="","",OHW!$D1069&amp;"")</f>
        <v/>
      </c>
      <c r="M2116">
        <f>IF(OHW!$G1069="","",OHW!$F1069)</f>
        <v/>
      </c>
      <c r="N2116">
        <f>IF(OHW!$G1069="","",OHW!$G1069)</f>
        <v/>
      </c>
      <c r="O2116">
        <f>IF(OHW!$G1069="","",OHW!$I1069)</f>
        <v/>
      </c>
      <c r="P2116">
        <f>IF(OHW!$G1069="","","Final")</f>
        <v/>
      </c>
    </row>
    <row r="2117">
      <c r="A2117">
        <f>IF(OHW!$G1070="","","OHW")</f>
        <v/>
      </c>
      <c r="B2117">
        <f>IF(OHW!$G1070="","","OHW")</f>
        <v/>
      </c>
      <c r="C2117" s="18">
        <f>IF(OHW!$G1070="","",OHW!$A1070)</f>
        <v/>
      </c>
      <c r="F2117">
        <f>IF(OHW!$G1070="","",OHW!$B1070&amp;"")</f>
        <v/>
      </c>
      <c r="J2117">
        <f>IF(OHW!$G1070="","",OHW!$E1070)</f>
        <v/>
      </c>
      <c r="K2117">
        <f>IF(OHW!$G1070="","",COUNTIFS(OHW!$A$5:$A$1668,OHW!$A1070,OHW!$C$5:$C$1668,OHW!$C1070))</f>
        <v/>
      </c>
      <c r="L2117">
        <f>IF(OHW!$G1070="","",OHW!$D1070&amp;"")</f>
        <v/>
      </c>
      <c r="M2117">
        <f>IF(OHW!$G1070="","",OHW!$F1070)</f>
        <v/>
      </c>
      <c r="N2117">
        <f>IF(OHW!$G1070="","",OHW!$G1070)</f>
        <v/>
      </c>
      <c r="O2117">
        <f>IF(OHW!$G1070="","",OHW!$I1070)</f>
        <v/>
      </c>
      <c r="P2117">
        <f>IF(OHW!$G1070="","","Final")</f>
        <v/>
      </c>
    </row>
    <row r="2118">
      <c r="A2118">
        <f>IF(OHW!$G1071="","","OHW")</f>
        <v/>
      </c>
      <c r="B2118">
        <f>IF(OHW!$G1071="","","OHW")</f>
        <v/>
      </c>
      <c r="C2118" s="18">
        <f>IF(OHW!$G1071="","",OHW!$A1071)</f>
        <v/>
      </c>
      <c r="F2118">
        <f>IF(OHW!$G1071="","",OHW!$B1071&amp;"")</f>
        <v/>
      </c>
      <c r="J2118">
        <f>IF(OHW!$G1071="","",OHW!$E1071)</f>
        <v/>
      </c>
      <c r="K2118">
        <f>IF(OHW!$G1071="","",COUNTIFS(OHW!$A$5:$A$1668,OHW!$A1071,OHW!$C$5:$C$1668,OHW!$C1071))</f>
        <v/>
      </c>
      <c r="L2118">
        <f>IF(OHW!$G1071="","",OHW!$D1071&amp;"")</f>
        <v/>
      </c>
      <c r="M2118">
        <f>IF(OHW!$G1071="","",OHW!$F1071)</f>
        <v/>
      </c>
      <c r="N2118">
        <f>IF(OHW!$G1071="","",OHW!$G1071)</f>
        <v/>
      </c>
      <c r="O2118">
        <f>IF(OHW!$G1071="","",OHW!$I1071)</f>
        <v/>
      </c>
      <c r="P2118">
        <f>IF(OHW!$G1071="","","Final")</f>
        <v/>
      </c>
    </row>
    <row r="2119">
      <c r="A2119">
        <f>IF(OHW!$G1072="","","OHW")</f>
        <v/>
      </c>
      <c r="B2119">
        <f>IF(OHW!$G1072="","","OHW")</f>
        <v/>
      </c>
      <c r="C2119" s="18">
        <f>IF(OHW!$G1072="","",OHW!$A1072)</f>
        <v/>
      </c>
      <c r="F2119">
        <f>IF(OHW!$G1072="","",OHW!$B1072&amp;"")</f>
        <v/>
      </c>
      <c r="J2119">
        <f>IF(OHW!$G1072="","",OHW!$E1072)</f>
        <v/>
      </c>
      <c r="K2119">
        <f>IF(OHW!$G1072="","",COUNTIFS(OHW!$A$5:$A$1668,OHW!$A1072,OHW!$C$5:$C$1668,OHW!$C1072))</f>
        <v/>
      </c>
      <c r="L2119">
        <f>IF(OHW!$G1072="","",OHW!$D1072&amp;"")</f>
        <v/>
      </c>
      <c r="M2119">
        <f>IF(OHW!$G1072="","",OHW!$F1072)</f>
        <v/>
      </c>
      <c r="N2119">
        <f>IF(OHW!$G1072="","",OHW!$G1072)</f>
        <v/>
      </c>
      <c r="O2119">
        <f>IF(OHW!$G1072="","",OHW!$I1072)</f>
        <v/>
      </c>
      <c r="P2119">
        <f>IF(OHW!$G1072="","","Final")</f>
        <v/>
      </c>
    </row>
    <row r="2120">
      <c r="A2120">
        <f>IF(OHW!$G1073="","","OHW")</f>
        <v/>
      </c>
      <c r="B2120">
        <f>IF(OHW!$G1073="","","OHW")</f>
        <v/>
      </c>
      <c r="C2120" s="18">
        <f>IF(OHW!$G1073="","",OHW!$A1073)</f>
        <v/>
      </c>
      <c r="F2120">
        <f>IF(OHW!$G1073="","",OHW!$B1073&amp;"")</f>
        <v/>
      </c>
      <c r="J2120">
        <f>IF(OHW!$G1073="","",OHW!$E1073)</f>
        <v/>
      </c>
      <c r="K2120">
        <f>IF(OHW!$G1073="","",COUNTIFS(OHW!$A$5:$A$1668,OHW!$A1073,OHW!$C$5:$C$1668,OHW!$C1073))</f>
        <v/>
      </c>
      <c r="L2120">
        <f>IF(OHW!$G1073="","",OHW!$D1073&amp;"")</f>
        <v/>
      </c>
      <c r="M2120">
        <f>IF(OHW!$G1073="","",OHW!$F1073)</f>
        <v/>
      </c>
      <c r="N2120">
        <f>IF(OHW!$G1073="","",OHW!$G1073)</f>
        <v/>
      </c>
      <c r="O2120">
        <f>IF(OHW!$G1073="","",OHW!$I1073)</f>
        <v/>
      </c>
      <c r="P2120">
        <f>IF(OHW!$G1073="","","Final")</f>
        <v/>
      </c>
    </row>
    <row r="2121">
      <c r="A2121">
        <f>IF(OHW!$G1074="","","OHW")</f>
        <v/>
      </c>
      <c r="B2121">
        <f>IF(OHW!$G1074="","","OHW")</f>
        <v/>
      </c>
      <c r="C2121" s="18">
        <f>IF(OHW!$G1074="","",OHW!$A1074)</f>
        <v/>
      </c>
      <c r="F2121">
        <f>IF(OHW!$G1074="","",OHW!$B1074&amp;"")</f>
        <v/>
      </c>
      <c r="J2121">
        <f>IF(OHW!$G1074="","",OHW!$E1074)</f>
        <v/>
      </c>
      <c r="K2121">
        <f>IF(OHW!$G1074="","",COUNTIFS(OHW!$A$5:$A$1668,OHW!$A1074,OHW!$C$5:$C$1668,OHW!$C1074))</f>
        <v/>
      </c>
      <c r="L2121">
        <f>IF(OHW!$G1074="","",OHW!$D1074&amp;"")</f>
        <v/>
      </c>
      <c r="M2121">
        <f>IF(OHW!$G1074="","",OHW!$F1074)</f>
        <v/>
      </c>
      <c r="N2121">
        <f>IF(OHW!$G1074="","",OHW!$G1074)</f>
        <v/>
      </c>
      <c r="O2121">
        <f>IF(OHW!$G1074="","",OHW!$I1074)</f>
        <v/>
      </c>
      <c r="P2121">
        <f>IF(OHW!$G1074="","","Final")</f>
        <v/>
      </c>
    </row>
    <row r="2122">
      <c r="A2122">
        <f>IF(OHW!$G1075="","","OHW")</f>
        <v/>
      </c>
      <c r="B2122">
        <f>IF(OHW!$G1075="","","OHW")</f>
        <v/>
      </c>
      <c r="C2122" s="18">
        <f>IF(OHW!$G1075="","",OHW!$A1075)</f>
        <v/>
      </c>
      <c r="F2122">
        <f>IF(OHW!$G1075="","",OHW!$B1075&amp;"")</f>
        <v/>
      </c>
      <c r="J2122">
        <f>IF(OHW!$G1075="","",OHW!$E1075)</f>
        <v/>
      </c>
      <c r="K2122">
        <f>IF(OHW!$G1075="","",COUNTIFS(OHW!$A$5:$A$1668,OHW!$A1075,OHW!$C$5:$C$1668,OHW!$C1075))</f>
        <v/>
      </c>
      <c r="L2122">
        <f>IF(OHW!$G1075="","",OHW!$D1075&amp;"")</f>
        <v/>
      </c>
      <c r="M2122">
        <f>IF(OHW!$G1075="","",OHW!$F1075)</f>
        <v/>
      </c>
      <c r="N2122">
        <f>IF(OHW!$G1075="","",OHW!$G1075)</f>
        <v/>
      </c>
      <c r="O2122">
        <f>IF(OHW!$G1075="","",OHW!$I1075)</f>
        <v/>
      </c>
      <c r="P2122">
        <f>IF(OHW!$G1075="","","Final")</f>
        <v/>
      </c>
    </row>
    <row r="2123">
      <c r="A2123">
        <f>IF(OHW!$G1076="","","OHW")</f>
        <v/>
      </c>
      <c r="B2123">
        <f>IF(OHW!$G1076="","","OHW")</f>
        <v/>
      </c>
      <c r="C2123" s="18">
        <f>IF(OHW!$G1076="","",OHW!$A1076)</f>
        <v/>
      </c>
      <c r="F2123">
        <f>IF(OHW!$G1076="","",OHW!$B1076&amp;"")</f>
        <v/>
      </c>
      <c r="J2123">
        <f>IF(OHW!$G1076="","",OHW!$E1076)</f>
        <v/>
      </c>
      <c r="K2123">
        <f>IF(OHW!$G1076="","",COUNTIFS(OHW!$A$5:$A$1668,OHW!$A1076,OHW!$C$5:$C$1668,OHW!$C1076))</f>
        <v/>
      </c>
      <c r="L2123">
        <f>IF(OHW!$G1076="","",OHW!$D1076&amp;"")</f>
        <v/>
      </c>
      <c r="M2123">
        <f>IF(OHW!$G1076="","",OHW!$F1076)</f>
        <v/>
      </c>
      <c r="N2123">
        <f>IF(OHW!$G1076="","",OHW!$G1076)</f>
        <v/>
      </c>
      <c r="O2123">
        <f>IF(OHW!$G1076="","",OHW!$I1076)</f>
        <v/>
      </c>
      <c r="P2123">
        <f>IF(OHW!$G1076="","","Final")</f>
        <v/>
      </c>
    </row>
    <row r="2124">
      <c r="A2124">
        <f>IF(OHW!$G1077="","","OHW")</f>
        <v/>
      </c>
      <c r="B2124">
        <f>IF(OHW!$G1077="","","OHW")</f>
        <v/>
      </c>
      <c r="C2124" s="18">
        <f>IF(OHW!$G1077="","",OHW!$A1077)</f>
        <v/>
      </c>
      <c r="F2124">
        <f>IF(OHW!$G1077="","",OHW!$B1077&amp;"")</f>
        <v/>
      </c>
      <c r="J2124">
        <f>IF(OHW!$G1077="","",OHW!$E1077)</f>
        <v/>
      </c>
      <c r="K2124">
        <f>IF(OHW!$G1077="","",COUNTIFS(OHW!$A$5:$A$1668,OHW!$A1077,OHW!$C$5:$C$1668,OHW!$C1077))</f>
        <v/>
      </c>
      <c r="L2124">
        <f>IF(OHW!$G1077="","",OHW!$D1077&amp;"")</f>
        <v/>
      </c>
      <c r="M2124">
        <f>IF(OHW!$G1077="","",OHW!$F1077)</f>
        <v/>
      </c>
      <c r="N2124">
        <f>IF(OHW!$G1077="","",OHW!$G1077)</f>
        <v/>
      </c>
      <c r="O2124">
        <f>IF(OHW!$G1077="","",OHW!$I1077)</f>
        <v/>
      </c>
      <c r="P2124">
        <f>IF(OHW!$G1077="","","Final")</f>
        <v/>
      </c>
    </row>
    <row r="2125">
      <c r="A2125">
        <f>IF(OHW!$G1078="","","OHW")</f>
        <v/>
      </c>
      <c r="B2125">
        <f>IF(OHW!$G1078="","","OHW")</f>
        <v/>
      </c>
      <c r="C2125" s="18">
        <f>IF(OHW!$G1078="","",OHW!$A1078)</f>
        <v/>
      </c>
      <c r="F2125">
        <f>IF(OHW!$G1078="","",OHW!$B1078&amp;"")</f>
        <v/>
      </c>
      <c r="J2125">
        <f>IF(OHW!$G1078="","",OHW!$E1078)</f>
        <v/>
      </c>
      <c r="K2125">
        <f>IF(OHW!$G1078="","",COUNTIFS(OHW!$A$5:$A$1668,OHW!$A1078,OHW!$C$5:$C$1668,OHW!$C1078))</f>
        <v/>
      </c>
      <c r="L2125">
        <f>IF(OHW!$G1078="","",OHW!$D1078&amp;"")</f>
        <v/>
      </c>
      <c r="M2125">
        <f>IF(OHW!$G1078="","",OHW!$F1078)</f>
        <v/>
      </c>
      <c r="N2125">
        <f>IF(OHW!$G1078="","",OHW!$G1078)</f>
        <v/>
      </c>
      <c r="O2125">
        <f>IF(OHW!$G1078="","",OHW!$I1078)</f>
        <v/>
      </c>
      <c r="P2125">
        <f>IF(OHW!$G1078="","","Final")</f>
        <v/>
      </c>
    </row>
    <row r="2126">
      <c r="A2126">
        <f>IF(OHW!$G1079="","","OHW")</f>
        <v/>
      </c>
      <c r="B2126">
        <f>IF(OHW!$G1079="","","OHW")</f>
        <v/>
      </c>
      <c r="C2126" s="18">
        <f>IF(OHW!$G1079="","",OHW!$A1079)</f>
        <v/>
      </c>
      <c r="F2126">
        <f>IF(OHW!$G1079="","",OHW!$B1079&amp;"")</f>
        <v/>
      </c>
      <c r="J2126">
        <f>IF(OHW!$G1079="","",OHW!$E1079)</f>
        <v/>
      </c>
      <c r="K2126">
        <f>IF(OHW!$G1079="","",COUNTIFS(OHW!$A$5:$A$1668,OHW!$A1079,OHW!$C$5:$C$1668,OHW!$C1079))</f>
        <v/>
      </c>
      <c r="L2126">
        <f>IF(OHW!$G1079="","",OHW!$D1079&amp;"")</f>
        <v/>
      </c>
      <c r="M2126">
        <f>IF(OHW!$G1079="","",OHW!$F1079)</f>
        <v/>
      </c>
      <c r="N2126">
        <f>IF(OHW!$G1079="","",OHW!$G1079)</f>
        <v/>
      </c>
      <c r="O2126">
        <f>IF(OHW!$G1079="","",OHW!$I1079)</f>
        <v/>
      </c>
      <c r="P2126">
        <f>IF(OHW!$G1079="","","Final")</f>
        <v/>
      </c>
    </row>
    <row r="2127">
      <c r="A2127">
        <f>IF(OHW!$G1080="","","OHW")</f>
        <v/>
      </c>
      <c r="B2127">
        <f>IF(OHW!$G1080="","","OHW")</f>
        <v/>
      </c>
      <c r="C2127" s="18">
        <f>IF(OHW!$G1080="","",OHW!$A1080)</f>
        <v/>
      </c>
      <c r="F2127">
        <f>IF(OHW!$G1080="","",OHW!$B1080&amp;"")</f>
        <v/>
      </c>
      <c r="J2127">
        <f>IF(OHW!$G1080="","",OHW!$E1080)</f>
        <v/>
      </c>
      <c r="K2127">
        <f>IF(OHW!$G1080="","",COUNTIFS(OHW!$A$5:$A$1668,OHW!$A1080,OHW!$C$5:$C$1668,OHW!$C1080))</f>
        <v/>
      </c>
      <c r="L2127">
        <f>IF(OHW!$G1080="","",OHW!$D1080&amp;"")</f>
        <v/>
      </c>
      <c r="M2127">
        <f>IF(OHW!$G1080="","",OHW!$F1080)</f>
        <v/>
      </c>
      <c r="N2127">
        <f>IF(OHW!$G1080="","",OHW!$G1080)</f>
        <v/>
      </c>
      <c r="O2127">
        <f>IF(OHW!$G1080="","",OHW!$I1080)</f>
        <v/>
      </c>
      <c r="P2127">
        <f>IF(OHW!$G1080="","","Final")</f>
        <v/>
      </c>
    </row>
    <row r="2128">
      <c r="A2128">
        <f>IF(OHW!$G1081="","","OHW")</f>
        <v/>
      </c>
      <c r="B2128">
        <f>IF(OHW!$G1081="","","OHW")</f>
        <v/>
      </c>
      <c r="C2128" s="18">
        <f>IF(OHW!$G1081="","",OHW!$A1081)</f>
        <v/>
      </c>
      <c r="F2128">
        <f>IF(OHW!$G1081="","",OHW!$B1081&amp;"")</f>
        <v/>
      </c>
      <c r="J2128">
        <f>IF(OHW!$G1081="","",OHW!$E1081)</f>
        <v/>
      </c>
      <c r="K2128">
        <f>IF(OHW!$G1081="","",COUNTIFS(OHW!$A$5:$A$1668,OHW!$A1081,OHW!$C$5:$C$1668,OHW!$C1081))</f>
        <v/>
      </c>
      <c r="L2128">
        <f>IF(OHW!$G1081="","",OHW!$D1081&amp;"")</f>
        <v/>
      </c>
      <c r="M2128">
        <f>IF(OHW!$G1081="","",OHW!$F1081)</f>
        <v/>
      </c>
      <c r="N2128">
        <f>IF(OHW!$G1081="","",OHW!$G1081)</f>
        <v/>
      </c>
      <c r="O2128">
        <f>IF(OHW!$G1081="","",OHW!$I1081)</f>
        <v/>
      </c>
      <c r="P2128">
        <f>IF(OHW!$G1081="","","Final")</f>
        <v/>
      </c>
    </row>
    <row r="2129">
      <c r="A2129">
        <f>IF(OHW!$G1082="","","OHW")</f>
        <v/>
      </c>
      <c r="B2129">
        <f>IF(OHW!$G1082="","","OHW")</f>
        <v/>
      </c>
      <c r="C2129" s="18">
        <f>IF(OHW!$G1082="","",OHW!$A1082)</f>
        <v/>
      </c>
      <c r="F2129">
        <f>IF(OHW!$G1082="","",OHW!$B1082&amp;"")</f>
        <v/>
      </c>
      <c r="J2129">
        <f>IF(OHW!$G1082="","",OHW!$E1082)</f>
        <v/>
      </c>
      <c r="K2129">
        <f>IF(OHW!$G1082="","",COUNTIFS(OHW!$A$5:$A$1668,OHW!$A1082,OHW!$C$5:$C$1668,OHW!$C1082))</f>
        <v/>
      </c>
      <c r="L2129">
        <f>IF(OHW!$G1082="","",OHW!$D1082&amp;"")</f>
        <v/>
      </c>
      <c r="M2129">
        <f>IF(OHW!$G1082="","",OHW!$F1082)</f>
        <v/>
      </c>
      <c r="N2129">
        <f>IF(OHW!$G1082="","",OHW!$G1082)</f>
        <v/>
      </c>
      <c r="O2129">
        <f>IF(OHW!$G1082="","",OHW!$I1082)</f>
        <v/>
      </c>
      <c r="P2129">
        <f>IF(OHW!$G1082="","","Final")</f>
        <v/>
      </c>
    </row>
    <row r="2130">
      <c r="A2130">
        <f>IF(OHW!$G1083="","","OHW")</f>
        <v/>
      </c>
      <c r="B2130">
        <f>IF(OHW!$G1083="","","OHW")</f>
        <v/>
      </c>
      <c r="C2130" s="18">
        <f>IF(OHW!$G1083="","",OHW!$A1083)</f>
        <v/>
      </c>
      <c r="F2130">
        <f>IF(OHW!$G1083="","",OHW!$B1083&amp;"")</f>
        <v/>
      </c>
      <c r="J2130">
        <f>IF(OHW!$G1083="","",OHW!$E1083)</f>
        <v/>
      </c>
      <c r="K2130">
        <f>IF(OHW!$G1083="","",COUNTIFS(OHW!$A$5:$A$1668,OHW!$A1083,OHW!$C$5:$C$1668,OHW!$C1083))</f>
        <v/>
      </c>
      <c r="L2130">
        <f>IF(OHW!$G1083="","",OHW!$D1083&amp;"")</f>
        <v/>
      </c>
      <c r="M2130">
        <f>IF(OHW!$G1083="","",OHW!$F1083)</f>
        <v/>
      </c>
      <c r="N2130">
        <f>IF(OHW!$G1083="","",OHW!$G1083)</f>
        <v/>
      </c>
      <c r="O2130">
        <f>IF(OHW!$G1083="","",OHW!$I1083)</f>
        <v/>
      </c>
      <c r="P2130">
        <f>IF(OHW!$G1083="","","Final")</f>
        <v/>
      </c>
    </row>
    <row r="2131">
      <c r="A2131">
        <f>IF(OHW!$G1084="","","OHW")</f>
        <v/>
      </c>
      <c r="B2131">
        <f>IF(OHW!$G1084="","","OHW")</f>
        <v/>
      </c>
      <c r="C2131" s="18">
        <f>IF(OHW!$G1084="","",OHW!$A1084)</f>
        <v/>
      </c>
      <c r="F2131">
        <f>IF(OHW!$G1084="","",OHW!$B1084&amp;"")</f>
        <v/>
      </c>
      <c r="J2131">
        <f>IF(OHW!$G1084="","",OHW!$E1084)</f>
        <v/>
      </c>
      <c r="K2131">
        <f>IF(OHW!$G1084="","",COUNTIFS(OHW!$A$5:$A$1668,OHW!$A1084,OHW!$C$5:$C$1668,OHW!$C1084))</f>
        <v/>
      </c>
      <c r="L2131">
        <f>IF(OHW!$G1084="","",OHW!$D1084&amp;"")</f>
        <v/>
      </c>
      <c r="M2131">
        <f>IF(OHW!$G1084="","",OHW!$F1084)</f>
        <v/>
      </c>
      <c r="N2131">
        <f>IF(OHW!$G1084="","",OHW!$G1084)</f>
        <v/>
      </c>
      <c r="O2131">
        <f>IF(OHW!$G1084="","",OHW!$I1084)</f>
        <v/>
      </c>
      <c r="P2131">
        <f>IF(OHW!$G1084="","","Final")</f>
        <v/>
      </c>
    </row>
    <row r="2132">
      <c r="A2132">
        <f>IF(OHW!$G1085="","","OHW")</f>
        <v/>
      </c>
      <c r="B2132">
        <f>IF(OHW!$G1085="","","OHW")</f>
        <v/>
      </c>
      <c r="C2132" s="18">
        <f>IF(OHW!$G1085="","",OHW!$A1085)</f>
        <v/>
      </c>
      <c r="F2132">
        <f>IF(OHW!$G1085="","",OHW!$B1085&amp;"")</f>
        <v/>
      </c>
      <c r="J2132">
        <f>IF(OHW!$G1085="","",OHW!$E1085)</f>
        <v/>
      </c>
      <c r="K2132">
        <f>IF(OHW!$G1085="","",COUNTIFS(OHW!$A$5:$A$1668,OHW!$A1085,OHW!$C$5:$C$1668,OHW!$C1085))</f>
        <v/>
      </c>
      <c r="L2132">
        <f>IF(OHW!$G1085="","",OHW!$D1085&amp;"")</f>
        <v/>
      </c>
      <c r="M2132">
        <f>IF(OHW!$G1085="","",OHW!$F1085)</f>
        <v/>
      </c>
      <c r="N2132">
        <f>IF(OHW!$G1085="","",OHW!$G1085)</f>
        <v/>
      </c>
      <c r="O2132">
        <f>IF(OHW!$G1085="","",OHW!$I1085)</f>
        <v/>
      </c>
      <c r="P2132">
        <f>IF(OHW!$G1085="","","Final")</f>
        <v/>
      </c>
    </row>
    <row r="2133">
      <c r="A2133">
        <f>IF(OHW!$G1086="","","OHW")</f>
        <v/>
      </c>
      <c r="B2133">
        <f>IF(OHW!$G1086="","","OHW")</f>
        <v/>
      </c>
      <c r="C2133" s="18">
        <f>IF(OHW!$G1086="","",OHW!$A1086)</f>
        <v/>
      </c>
      <c r="F2133">
        <f>IF(OHW!$G1086="","",OHW!$B1086&amp;"")</f>
        <v/>
      </c>
      <c r="J2133">
        <f>IF(OHW!$G1086="","",OHW!$E1086)</f>
        <v/>
      </c>
      <c r="K2133">
        <f>IF(OHW!$G1086="","",COUNTIFS(OHW!$A$5:$A$1668,OHW!$A1086,OHW!$C$5:$C$1668,OHW!$C1086))</f>
        <v/>
      </c>
      <c r="L2133">
        <f>IF(OHW!$G1086="","",OHW!$D1086&amp;"")</f>
        <v/>
      </c>
      <c r="M2133">
        <f>IF(OHW!$G1086="","",OHW!$F1086)</f>
        <v/>
      </c>
      <c r="N2133">
        <f>IF(OHW!$G1086="","",OHW!$G1086)</f>
        <v/>
      </c>
      <c r="O2133">
        <f>IF(OHW!$G1086="","",OHW!$I1086)</f>
        <v/>
      </c>
      <c r="P2133">
        <f>IF(OHW!$G1086="","","Final")</f>
        <v/>
      </c>
    </row>
    <row r="2134">
      <c r="A2134">
        <f>IF(OHW!$G1087="","","OHW")</f>
        <v/>
      </c>
      <c r="B2134">
        <f>IF(OHW!$G1087="","","OHW")</f>
        <v/>
      </c>
      <c r="C2134" s="18">
        <f>IF(OHW!$G1087="","",OHW!$A1087)</f>
        <v/>
      </c>
      <c r="F2134">
        <f>IF(OHW!$G1087="","",OHW!$B1087&amp;"")</f>
        <v/>
      </c>
      <c r="J2134">
        <f>IF(OHW!$G1087="","",OHW!$E1087)</f>
        <v/>
      </c>
      <c r="K2134">
        <f>IF(OHW!$G1087="","",COUNTIFS(OHW!$A$5:$A$1668,OHW!$A1087,OHW!$C$5:$C$1668,OHW!$C1087))</f>
        <v/>
      </c>
      <c r="L2134">
        <f>IF(OHW!$G1087="","",OHW!$D1087&amp;"")</f>
        <v/>
      </c>
      <c r="M2134">
        <f>IF(OHW!$G1087="","",OHW!$F1087)</f>
        <v/>
      </c>
      <c r="N2134">
        <f>IF(OHW!$G1087="","",OHW!$G1087)</f>
        <v/>
      </c>
      <c r="O2134">
        <f>IF(OHW!$G1087="","",OHW!$I1087)</f>
        <v/>
      </c>
      <c r="P2134">
        <f>IF(OHW!$G1087="","","Final")</f>
        <v/>
      </c>
    </row>
    <row r="2135">
      <c r="A2135">
        <f>IF(OHW!$G1088="","","OHW")</f>
        <v/>
      </c>
      <c r="B2135">
        <f>IF(OHW!$G1088="","","OHW")</f>
        <v/>
      </c>
      <c r="C2135" s="18">
        <f>IF(OHW!$G1088="","",OHW!$A1088)</f>
        <v/>
      </c>
      <c r="F2135">
        <f>IF(OHW!$G1088="","",OHW!$B1088&amp;"")</f>
        <v/>
      </c>
      <c r="J2135">
        <f>IF(OHW!$G1088="","",OHW!$E1088)</f>
        <v/>
      </c>
      <c r="K2135">
        <f>IF(OHW!$G1088="","",COUNTIFS(OHW!$A$5:$A$1668,OHW!$A1088,OHW!$C$5:$C$1668,OHW!$C1088))</f>
        <v/>
      </c>
      <c r="L2135">
        <f>IF(OHW!$G1088="","",OHW!$D1088&amp;"")</f>
        <v/>
      </c>
      <c r="M2135">
        <f>IF(OHW!$G1088="","",OHW!$F1088)</f>
        <v/>
      </c>
      <c r="N2135">
        <f>IF(OHW!$G1088="","",OHW!$G1088)</f>
        <v/>
      </c>
      <c r="O2135">
        <f>IF(OHW!$G1088="","",OHW!$I1088)</f>
        <v/>
      </c>
      <c r="P2135">
        <f>IF(OHW!$G1088="","","Final")</f>
        <v/>
      </c>
    </row>
    <row r="2136">
      <c r="A2136">
        <f>IF(OHW!$G1089="","","OHW")</f>
        <v/>
      </c>
      <c r="B2136">
        <f>IF(OHW!$G1089="","","OHW")</f>
        <v/>
      </c>
      <c r="C2136" s="18">
        <f>IF(OHW!$G1089="","",OHW!$A1089)</f>
        <v/>
      </c>
      <c r="F2136">
        <f>IF(OHW!$G1089="","",OHW!$B1089&amp;"")</f>
        <v/>
      </c>
      <c r="J2136">
        <f>IF(OHW!$G1089="","",OHW!$E1089)</f>
        <v/>
      </c>
      <c r="K2136">
        <f>IF(OHW!$G1089="","",COUNTIFS(OHW!$A$5:$A$1668,OHW!$A1089,OHW!$C$5:$C$1668,OHW!$C1089))</f>
        <v/>
      </c>
      <c r="L2136">
        <f>IF(OHW!$G1089="","",OHW!$D1089&amp;"")</f>
        <v/>
      </c>
      <c r="M2136">
        <f>IF(OHW!$G1089="","",OHW!$F1089)</f>
        <v/>
      </c>
      <c r="N2136">
        <f>IF(OHW!$G1089="","",OHW!$G1089)</f>
        <v/>
      </c>
      <c r="O2136">
        <f>IF(OHW!$G1089="","",OHW!$I1089)</f>
        <v/>
      </c>
      <c r="P2136">
        <f>IF(OHW!$G1089="","","Final")</f>
        <v/>
      </c>
    </row>
    <row r="2137">
      <c r="A2137">
        <f>IF(OHW!$G1090="","","OHW")</f>
        <v/>
      </c>
      <c r="B2137">
        <f>IF(OHW!$G1090="","","OHW")</f>
        <v/>
      </c>
      <c r="C2137" s="18">
        <f>IF(OHW!$G1090="","",OHW!$A1090)</f>
        <v/>
      </c>
      <c r="F2137">
        <f>IF(OHW!$G1090="","",OHW!$B1090&amp;"")</f>
        <v/>
      </c>
      <c r="J2137">
        <f>IF(OHW!$G1090="","",OHW!$E1090)</f>
        <v/>
      </c>
      <c r="K2137">
        <f>IF(OHW!$G1090="","",COUNTIFS(OHW!$A$5:$A$1668,OHW!$A1090,OHW!$C$5:$C$1668,OHW!$C1090))</f>
        <v/>
      </c>
      <c r="L2137">
        <f>IF(OHW!$G1090="","",OHW!$D1090&amp;"")</f>
        <v/>
      </c>
      <c r="M2137">
        <f>IF(OHW!$G1090="","",OHW!$F1090)</f>
        <v/>
      </c>
      <c r="N2137">
        <f>IF(OHW!$G1090="","",OHW!$G1090)</f>
        <v/>
      </c>
      <c r="O2137">
        <f>IF(OHW!$G1090="","",OHW!$I1090)</f>
        <v/>
      </c>
      <c r="P2137">
        <f>IF(OHW!$G1090="","","Final")</f>
        <v/>
      </c>
    </row>
    <row r="2138">
      <c r="A2138">
        <f>IF(OHW!$G1091="","","OHW")</f>
        <v/>
      </c>
      <c r="B2138">
        <f>IF(OHW!$G1091="","","OHW")</f>
        <v/>
      </c>
      <c r="C2138" s="18">
        <f>IF(OHW!$G1091="","",OHW!$A1091)</f>
        <v/>
      </c>
      <c r="F2138">
        <f>IF(OHW!$G1091="","",OHW!$B1091&amp;"")</f>
        <v/>
      </c>
      <c r="J2138">
        <f>IF(OHW!$G1091="","",OHW!$E1091)</f>
        <v/>
      </c>
      <c r="K2138">
        <f>IF(OHW!$G1091="","",COUNTIFS(OHW!$A$5:$A$1668,OHW!$A1091,OHW!$C$5:$C$1668,OHW!$C1091))</f>
        <v/>
      </c>
      <c r="L2138">
        <f>IF(OHW!$G1091="","",OHW!$D1091&amp;"")</f>
        <v/>
      </c>
      <c r="M2138">
        <f>IF(OHW!$G1091="","",OHW!$F1091)</f>
        <v/>
      </c>
      <c r="N2138">
        <f>IF(OHW!$G1091="","",OHW!$G1091)</f>
        <v/>
      </c>
      <c r="O2138">
        <f>IF(OHW!$G1091="","",OHW!$I1091)</f>
        <v/>
      </c>
      <c r="P2138">
        <f>IF(OHW!$G1091="","","Final")</f>
        <v/>
      </c>
    </row>
    <row r="2139">
      <c r="A2139">
        <f>IF(OHW!$G1092="","","OHW")</f>
        <v/>
      </c>
      <c r="B2139">
        <f>IF(OHW!$G1092="","","OHW")</f>
        <v/>
      </c>
      <c r="C2139" s="18">
        <f>IF(OHW!$G1092="","",OHW!$A1092)</f>
        <v/>
      </c>
      <c r="F2139">
        <f>IF(OHW!$G1092="","",OHW!$B1092&amp;"")</f>
        <v/>
      </c>
      <c r="J2139">
        <f>IF(OHW!$G1092="","",OHW!$E1092)</f>
        <v/>
      </c>
      <c r="K2139">
        <f>IF(OHW!$G1092="","",COUNTIFS(OHW!$A$5:$A$1668,OHW!$A1092,OHW!$C$5:$C$1668,OHW!$C1092))</f>
        <v/>
      </c>
      <c r="L2139">
        <f>IF(OHW!$G1092="","",OHW!$D1092&amp;"")</f>
        <v/>
      </c>
      <c r="M2139">
        <f>IF(OHW!$G1092="","",OHW!$F1092)</f>
        <v/>
      </c>
      <c r="N2139">
        <f>IF(OHW!$G1092="","",OHW!$G1092)</f>
        <v/>
      </c>
      <c r="O2139">
        <f>IF(OHW!$G1092="","",OHW!$I1092)</f>
        <v/>
      </c>
      <c r="P2139">
        <f>IF(OHW!$G1092="","","Final")</f>
        <v/>
      </c>
    </row>
    <row r="2140">
      <c r="A2140">
        <f>IF(OHW!$G1093="","","OHW")</f>
        <v/>
      </c>
      <c r="B2140">
        <f>IF(OHW!$G1093="","","OHW")</f>
        <v/>
      </c>
      <c r="C2140" s="18">
        <f>IF(OHW!$G1093="","",OHW!$A1093)</f>
        <v/>
      </c>
      <c r="F2140">
        <f>IF(OHW!$G1093="","",OHW!$B1093&amp;"")</f>
        <v/>
      </c>
      <c r="J2140">
        <f>IF(OHW!$G1093="","",OHW!$E1093)</f>
        <v/>
      </c>
      <c r="K2140">
        <f>IF(OHW!$G1093="","",COUNTIFS(OHW!$A$5:$A$1668,OHW!$A1093,OHW!$C$5:$C$1668,OHW!$C1093))</f>
        <v/>
      </c>
      <c r="L2140">
        <f>IF(OHW!$G1093="","",OHW!$D1093&amp;"")</f>
        <v/>
      </c>
      <c r="M2140">
        <f>IF(OHW!$G1093="","",OHW!$F1093)</f>
        <v/>
      </c>
      <c r="N2140">
        <f>IF(OHW!$G1093="","",OHW!$G1093)</f>
        <v/>
      </c>
      <c r="O2140">
        <f>IF(OHW!$G1093="","",OHW!$I1093)</f>
        <v/>
      </c>
      <c r="P2140">
        <f>IF(OHW!$G1093="","","Final")</f>
        <v/>
      </c>
    </row>
    <row r="2141">
      <c r="A2141">
        <f>IF(OHW!$G1094="","","OHW")</f>
        <v/>
      </c>
      <c r="B2141">
        <f>IF(OHW!$G1094="","","OHW")</f>
        <v/>
      </c>
      <c r="C2141" s="18">
        <f>IF(OHW!$G1094="","",OHW!$A1094)</f>
        <v/>
      </c>
      <c r="F2141">
        <f>IF(OHW!$G1094="","",OHW!$B1094&amp;"")</f>
        <v/>
      </c>
      <c r="J2141">
        <f>IF(OHW!$G1094="","",OHW!$E1094)</f>
        <v/>
      </c>
      <c r="K2141">
        <f>IF(OHW!$G1094="","",COUNTIFS(OHW!$A$5:$A$1668,OHW!$A1094,OHW!$C$5:$C$1668,OHW!$C1094))</f>
        <v/>
      </c>
      <c r="L2141">
        <f>IF(OHW!$G1094="","",OHW!$D1094&amp;"")</f>
        <v/>
      </c>
      <c r="M2141">
        <f>IF(OHW!$G1094="","",OHW!$F1094)</f>
        <v/>
      </c>
      <c r="N2141">
        <f>IF(OHW!$G1094="","",OHW!$G1094)</f>
        <v/>
      </c>
      <c r="O2141">
        <f>IF(OHW!$G1094="","",OHW!$I1094)</f>
        <v/>
      </c>
      <c r="P2141">
        <f>IF(OHW!$G1094="","","Final")</f>
        <v/>
      </c>
    </row>
    <row r="2142">
      <c r="A2142">
        <f>IF(OHW!$G1095="","","OHW")</f>
        <v/>
      </c>
      <c r="B2142">
        <f>IF(OHW!$G1095="","","OHW")</f>
        <v/>
      </c>
      <c r="C2142" s="18">
        <f>IF(OHW!$G1095="","",OHW!$A1095)</f>
        <v/>
      </c>
      <c r="F2142">
        <f>IF(OHW!$G1095="","",OHW!$B1095&amp;"")</f>
        <v/>
      </c>
      <c r="J2142">
        <f>IF(OHW!$G1095="","",OHW!$E1095)</f>
        <v/>
      </c>
      <c r="K2142">
        <f>IF(OHW!$G1095="","",COUNTIFS(OHW!$A$5:$A$1668,OHW!$A1095,OHW!$C$5:$C$1668,OHW!$C1095))</f>
        <v/>
      </c>
      <c r="L2142">
        <f>IF(OHW!$G1095="","",OHW!$D1095&amp;"")</f>
        <v/>
      </c>
      <c r="M2142">
        <f>IF(OHW!$G1095="","",OHW!$F1095)</f>
        <v/>
      </c>
      <c r="N2142">
        <f>IF(OHW!$G1095="","",OHW!$G1095)</f>
        <v/>
      </c>
      <c r="O2142">
        <f>IF(OHW!$G1095="","",OHW!$I1095)</f>
        <v/>
      </c>
      <c r="P2142">
        <f>IF(OHW!$G1095="","","Final")</f>
        <v/>
      </c>
    </row>
    <row r="2143">
      <c r="A2143">
        <f>IF(OHW!$G1096="","","OHW")</f>
        <v/>
      </c>
      <c r="B2143">
        <f>IF(OHW!$G1096="","","OHW")</f>
        <v/>
      </c>
      <c r="C2143" s="18">
        <f>IF(OHW!$G1096="","",OHW!$A1096)</f>
        <v/>
      </c>
      <c r="F2143">
        <f>IF(OHW!$G1096="","",OHW!$B1096&amp;"")</f>
        <v/>
      </c>
      <c r="J2143">
        <f>IF(OHW!$G1096="","",OHW!$E1096)</f>
        <v/>
      </c>
      <c r="K2143">
        <f>IF(OHW!$G1096="","",COUNTIFS(OHW!$A$5:$A$1668,OHW!$A1096,OHW!$C$5:$C$1668,OHW!$C1096))</f>
        <v/>
      </c>
      <c r="L2143">
        <f>IF(OHW!$G1096="","",OHW!$D1096&amp;"")</f>
        <v/>
      </c>
      <c r="M2143">
        <f>IF(OHW!$G1096="","",OHW!$F1096)</f>
        <v/>
      </c>
      <c r="N2143">
        <f>IF(OHW!$G1096="","",OHW!$G1096)</f>
        <v/>
      </c>
      <c r="O2143">
        <f>IF(OHW!$G1096="","",OHW!$I1096)</f>
        <v/>
      </c>
      <c r="P2143">
        <f>IF(OHW!$G1096="","","Final")</f>
        <v/>
      </c>
    </row>
    <row r="2144">
      <c r="A2144">
        <f>IF(OHW!$G1097="","","OHW")</f>
        <v/>
      </c>
      <c r="B2144">
        <f>IF(OHW!$G1097="","","OHW")</f>
        <v/>
      </c>
      <c r="C2144" s="18">
        <f>IF(OHW!$G1097="","",OHW!$A1097)</f>
        <v/>
      </c>
      <c r="F2144">
        <f>IF(OHW!$G1097="","",OHW!$B1097&amp;"")</f>
        <v/>
      </c>
      <c r="J2144">
        <f>IF(OHW!$G1097="","",OHW!$E1097)</f>
        <v/>
      </c>
      <c r="K2144">
        <f>IF(OHW!$G1097="","",COUNTIFS(OHW!$A$5:$A$1668,OHW!$A1097,OHW!$C$5:$C$1668,OHW!$C1097))</f>
        <v/>
      </c>
      <c r="L2144">
        <f>IF(OHW!$G1097="","",OHW!$D1097&amp;"")</f>
        <v/>
      </c>
      <c r="M2144">
        <f>IF(OHW!$G1097="","",OHW!$F1097)</f>
        <v/>
      </c>
      <c r="N2144">
        <f>IF(OHW!$G1097="","",OHW!$G1097)</f>
        <v/>
      </c>
      <c r="O2144">
        <f>IF(OHW!$G1097="","",OHW!$I1097)</f>
        <v/>
      </c>
      <c r="P2144">
        <f>IF(OHW!$G1097="","","Final")</f>
        <v/>
      </c>
    </row>
    <row r="2145">
      <c r="A2145">
        <f>IF(OHW!$G1098="","","OHW")</f>
        <v/>
      </c>
      <c r="B2145">
        <f>IF(OHW!$G1098="","","OHW")</f>
        <v/>
      </c>
      <c r="C2145" s="18">
        <f>IF(OHW!$G1098="","",OHW!$A1098)</f>
        <v/>
      </c>
      <c r="F2145">
        <f>IF(OHW!$G1098="","",OHW!$B1098&amp;"")</f>
        <v/>
      </c>
      <c r="J2145">
        <f>IF(OHW!$G1098="","",OHW!$E1098)</f>
        <v/>
      </c>
      <c r="K2145">
        <f>IF(OHW!$G1098="","",COUNTIFS(OHW!$A$5:$A$1668,OHW!$A1098,OHW!$C$5:$C$1668,OHW!$C1098))</f>
        <v/>
      </c>
      <c r="L2145">
        <f>IF(OHW!$G1098="","",OHW!$D1098&amp;"")</f>
        <v/>
      </c>
      <c r="M2145">
        <f>IF(OHW!$G1098="","",OHW!$F1098)</f>
        <v/>
      </c>
      <c r="N2145">
        <f>IF(OHW!$G1098="","",OHW!$G1098)</f>
        <v/>
      </c>
      <c r="O2145">
        <f>IF(OHW!$G1098="","",OHW!$I1098)</f>
        <v/>
      </c>
      <c r="P2145">
        <f>IF(OHW!$G1098="","","Final")</f>
        <v/>
      </c>
    </row>
    <row r="2146">
      <c r="A2146">
        <f>IF(OHW!$G1099="","","OHW")</f>
        <v/>
      </c>
      <c r="B2146">
        <f>IF(OHW!$G1099="","","OHW")</f>
        <v/>
      </c>
      <c r="C2146" s="18">
        <f>IF(OHW!$G1099="","",OHW!$A1099)</f>
        <v/>
      </c>
      <c r="F2146">
        <f>IF(OHW!$G1099="","",OHW!$B1099&amp;"")</f>
        <v/>
      </c>
      <c r="J2146">
        <f>IF(OHW!$G1099="","",OHW!$E1099)</f>
        <v/>
      </c>
      <c r="K2146">
        <f>IF(OHW!$G1099="","",COUNTIFS(OHW!$A$5:$A$1668,OHW!$A1099,OHW!$C$5:$C$1668,OHW!$C1099))</f>
        <v/>
      </c>
      <c r="L2146">
        <f>IF(OHW!$G1099="","",OHW!$D1099&amp;"")</f>
        <v/>
      </c>
      <c r="M2146">
        <f>IF(OHW!$G1099="","",OHW!$F1099)</f>
        <v/>
      </c>
      <c r="N2146">
        <f>IF(OHW!$G1099="","",OHW!$G1099)</f>
        <v/>
      </c>
      <c r="O2146">
        <f>IF(OHW!$G1099="","",OHW!$I1099)</f>
        <v/>
      </c>
      <c r="P2146">
        <f>IF(OHW!$G1099="","","Final")</f>
        <v/>
      </c>
    </row>
    <row r="2147">
      <c r="A2147">
        <f>IF(OHW!$G1100="","","OHW")</f>
        <v/>
      </c>
      <c r="B2147">
        <f>IF(OHW!$G1100="","","OHW")</f>
        <v/>
      </c>
      <c r="C2147" s="18">
        <f>IF(OHW!$G1100="","",OHW!$A1100)</f>
        <v/>
      </c>
      <c r="F2147">
        <f>IF(OHW!$G1100="","",OHW!$B1100&amp;"")</f>
        <v/>
      </c>
      <c r="J2147">
        <f>IF(OHW!$G1100="","",OHW!$E1100)</f>
        <v/>
      </c>
      <c r="K2147">
        <f>IF(OHW!$G1100="","",COUNTIFS(OHW!$A$5:$A$1668,OHW!$A1100,OHW!$C$5:$C$1668,OHW!$C1100))</f>
        <v/>
      </c>
      <c r="L2147">
        <f>IF(OHW!$G1100="","",OHW!$D1100&amp;"")</f>
        <v/>
      </c>
      <c r="M2147">
        <f>IF(OHW!$G1100="","",OHW!$F1100)</f>
        <v/>
      </c>
      <c r="N2147">
        <f>IF(OHW!$G1100="","",OHW!$G1100)</f>
        <v/>
      </c>
      <c r="O2147">
        <f>IF(OHW!$G1100="","",OHW!$I1100)</f>
        <v/>
      </c>
      <c r="P2147">
        <f>IF(OHW!$G1100="","","Final")</f>
        <v/>
      </c>
    </row>
    <row r="2148">
      <c r="A2148">
        <f>IF(OHW!$G1101="","","OHW")</f>
        <v/>
      </c>
      <c r="B2148">
        <f>IF(OHW!$G1101="","","OHW")</f>
        <v/>
      </c>
      <c r="C2148" s="18">
        <f>IF(OHW!$G1101="","",OHW!$A1101)</f>
        <v/>
      </c>
      <c r="F2148">
        <f>IF(OHW!$G1101="","",OHW!$B1101&amp;"")</f>
        <v/>
      </c>
      <c r="J2148">
        <f>IF(OHW!$G1101="","",OHW!$E1101)</f>
        <v/>
      </c>
      <c r="K2148">
        <f>IF(OHW!$G1101="","",COUNTIFS(OHW!$A$5:$A$1668,OHW!$A1101,OHW!$C$5:$C$1668,OHW!$C1101))</f>
        <v/>
      </c>
      <c r="L2148">
        <f>IF(OHW!$G1101="","",OHW!$D1101&amp;"")</f>
        <v/>
      </c>
      <c r="M2148">
        <f>IF(OHW!$G1101="","",OHW!$F1101)</f>
        <v/>
      </c>
      <c r="N2148">
        <f>IF(OHW!$G1101="","",OHW!$G1101)</f>
        <v/>
      </c>
      <c r="O2148">
        <f>IF(OHW!$G1101="","",OHW!$I1101)</f>
        <v/>
      </c>
      <c r="P2148">
        <f>IF(OHW!$G1101="","","Final")</f>
        <v/>
      </c>
    </row>
    <row r="2149">
      <c r="A2149">
        <f>IF(OHW!$G1102="","","OHW")</f>
        <v/>
      </c>
      <c r="B2149">
        <f>IF(OHW!$G1102="","","OHW")</f>
        <v/>
      </c>
      <c r="C2149" s="18">
        <f>IF(OHW!$G1102="","",OHW!$A1102)</f>
        <v/>
      </c>
      <c r="F2149">
        <f>IF(OHW!$G1102="","",OHW!$B1102&amp;"")</f>
        <v/>
      </c>
      <c r="J2149">
        <f>IF(OHW!$G1102="","",OHW!$E1102)</f>
        <v/>
      </c>
      <c r="K2149">
        <f>IF(OHW!$G1102="","",COUNTIFS(OHW!$A$5:$A$1668,OHW!$A1102,OHW!$C$5:$C$1668,OHW!$C1102))</f>
        <v/>
      </c>
      <c r="L2149">
        <f>IF(OHW!$G1102="","",OHW!$D1102&amp;"")</f>
        <v/>
      </c>
      <c r="M2149">
        <f>IF(OHW!$G1102="","",OHW!$F1102)</f>
        <v/>
      </c>
      <c r="N2149">
        <f>IF(OHW!$G1102="","",OHW!$G1102)</f>
        <v/>
      </c>
      <c r="O2149">
        <f>IF(OHW!$G1102="","",OHW!$I1102)</f>
        <v/>
      </c>
      <c r="P2149">
        <f>IF(OHW!$G1102="","","Final")</f>
        <v/>
      </c>
    </row>
    <row r="2150">
      <c r="A2150">
        <f>IF(OHW!$G1103="","","OHW")</f>
        <v/>
      </c>
      <c r="B2150">
        <f>IF(OHW!$G1103="","","OHW")</f>
        <v/>
      </c>
      <c r="C2150" s="18">
        <f>IF(OHW!$G1103="","",OHW!$A1103)</f>
        <v/>
      </c>
      <c r="F2150">
        <f>IF(OHW!$G1103="","",OHW!$B1103&amp;"")</f>
        <v/>
      </c>
      <c r="J2150">
        <f>IF(OHW!$G1103="","",OHW!$E1103)</f>
        <v/>
      </c>
      <c r="K2150">
        <f>IF(OHW!$G1103="","",COUNTIFS(OHW!$A$5:$A$1668,OHW!$A1103,OHW!$C$5:$C$1668,OHW!$C1103))</f>
        <v/>
      </c>
      <c r="L2150">
        <f>IF(OHW!$G1103="","",OHW!$D1103&amp;"")</f>
        <v/>
      </c>
      <c r="M2150">
        <f>IF(OHW!$G1103="","",OHW!$F1103)</f>
        <v/>
      </c>
      <c r="N2150">
        <f>IF(OHW!$G1103="","",OHW!$G1103)</f>
        <v/>
      </c>
      <c r="O2150">
        <f>IF(OHW!$G1103="","",OHW!$I1103)</f>
        <v/>
      </c>
      <c r="P2150">
        <f>IF(OHW!$G1103="","","Final")</f>
        <v/>
      </c>
    </row>
    <row r="2151">
      <c r="A2151">
        <f>IF(OHW!$G1104="","","OHW")</f>
        <v/>
      </c>
      <c r="B2151">
        <f>IF(OHW!$G1104="","","OHW")</f>
        <v/>
      </c>
      <c r="C2151" s="18">
        <f>IF(OHW!$G1104="","",OHW!$A1104)</f>
        <v/>
      </c>
      <c r="F2151">
        <f>IF(OHW!$G1104="","",OHW!$B1104&amp;"")</f>
        <v/>
      </c>
      <c r="J2151">
        <f>IF(OHW!$G1104="","",OHW!$E1104)</f>
        <v/>
      </c>
      <c r="K2151">
        <f>IF(OHW!$G1104="","",COUNTIFS(OHW!$A$5:$A$1668,OHW!$A1104,OHW!$C$5:$C$1668,OHW!$C1104))</f>
        <v/>
      </c>
      <c r="L2151">
        <f>IF(OHW!$G1104="","",OHW!$D1104&amp;"")</f>
        <v/>
      </c>
      <c r="M2151">
        <f>IF(OHW!$G1104="","",OHW!$F1104)</f>
        <v/>
      </c>
      <c r="N2151">
        <f>IF(OHW!$G1104="","",OHW!$G1104)</f>
        <v/>
      </c>
      <c r="O2151">
        <f>IF(OHW!$G1104="","",OHW!$I1104)</f>
        <v/>
      </c>
      <c r="P2151">
        <f>IF(OHW!$G1104="","","Final")</f>
        <v/>
      </c>
    </row>
    <row r="2152">
      <c r="A2152">
        <f>IF(OHW!$G1105="","","OHW")</f>
        <v/>
      </c>
      <c r="B2152">
        <f>IF(OHW!$G1105="","","OHW")</f>
        <v/>
      </c>
      <c r="C2152" s="18">
        <f>IF(OHW!$G1105="","",OHW!$A1105)</f>
        <v/>
      </c>
      <c r="F2152">
        <f>IF(OHW!$G1105="","",OHW!$B1105&amp;"")</f>
        <v/>
      </c>
      <c r="J2152">
        <f>IF(OHW!$G1105="","",OHW!$E1105)</f>
        <v/>
      </c>
      <c r="K2152">
        <f>IF(OHW!$G1105="","",COUNTIFS(OHW!$A$5:$A$1668,OHW!$A1105,OHW!$C$5:$C$1668,OHW!$C1105))</f>
        <v/>
      </c>
      <c r="L2152">
        <f>IF(OHW!$G1105="","",OHW!$D1105&amp;"")</f>
        <v/>
      </c>
      <c r="M2152">
        <f>IF(OHW!$G1105="","",OHW!$F1105)</f>
        <v/>
      </c>
      <c r="N2152">
        <f>IF(OHW!$G1105="","",OHW!$G1105)</f>
        <v/>
      </c>
      <c r="O2152">
        <f>IF(OHW!$G1105="","",OHW!$I1105)</f>
        <v/>
      </c>
      <c r="P2152">
        <f>IF(OHW!$G1105="","","Final")</f>
        <v/>
      </c>
    </row>
    <row r="2153">
      <c r="A2153">
        <f>IF(OHW!$G1106="","","OHW")</f>
        <v/>
      </c>
      <c r="B2153">
        <f>IF(OHW!$G1106="","","OHW")</f>
        <v/>
      </c>
      <c r="C2153" s="18">
        <f>IF(OHW!$G1106="","",OHW!$A1106)</f>
        <v/>
      </c>
      <c r="F2153">
        <f>IF(OHW!$G1106="","",OHW!$B1106&amp;"")</f>
        <v/>
      </c>
      <c r="J2153">
        <f>IF(OHW!$G1106="","",OHW!$E1106)</f>
        <v/>
      </c>
      <c r="K2153">
        <f>IF(OHW!$G1106="","",COUNTIFS(OHW!$A$5:$A$1668,OHW!$A1106,OHW!$C$5:$C$1668,OHW!$C1106))</f>
        <v/>
      </c>
      <c r="L2153">
        <f>IF(OHW!$G1106="","",OHW!$D1106&amp;"")</f>
        <v/>
      </c>
      <c r="M2153">
        <f>IF(OHW!$G1106="","",OHW!$F1106)</f>
        <v/>
      </c>
      <c r="N2153">
        <f>IF(OHW!$G1106="","",OHW!$G1106)</f>
        <v/>
      </c>
      <c r="O2153">
        <f>IF(OHW!$G1106="","",OHW!$I1106)</f>
        <v/>
      </c>
      <c r="P2153">
        <f>IF(OHW!$G1106="","","Final")</f>
        <v/>
      </c>
    </row>
    <row r="2154">
      <c r="A2154">
        <f>IF(OHW!$G1107="","","OHW")</f>
        <v/>
      </c>
      <c r="B2154">
        <f>IF(OHW!$G1107="","","OHW")</f>
        <v/>
      </c>
      <c r="C2154" s="18">
        <f>IF(OHW!$G1107="","",OHW!$A1107)</f>
        <v/>
      </c>
      <c r="F2154">
        <f>IF(OHW!$G1107="","",OHW!$B1107&amp;"")</f>
        <v/>
      </c>
      <c r="J2154">
        <f>IF(OHW!$G1107="","",OHW!$E1107)</f>
        <v/>
      </c>
      <c r="K2154">
        <f>IF(OHW!$G1107="","",COUNTIFS(OHW!$A$5:$A$1668,OHW!$A1107,OHW!$C$5:$C$1668,OHW!$C1107))</f>
        <v/>
      </c>
      <c r="L2154">
        <f>IF(OHW!$G1107="","",OHW!$D1107&amp;"")</f>
        <v/>
      </c>
      <c r="M2154">
        <f>IF(OHW!$G1107="","",OHW!$F1107)</f>
        <v/>
      </c>
      <c r="N2154">
        <f>IF(OHW!$G1107="","",OHW!$G1107)</f>
        <v/>
      </c>
      <c r="O2154">
        <f>IF(OHW!$G1107="","",OHW!$I1107)</f>
        <v/>
      </c>
      <c r="P2154">
        <f>IF(OHW!$G1107="","","Final")</f>
        <v/>
      </c>
    </row>
    <row r="2155">
      <c r="A2155">
        <f>IF(OHW!$G1108="","","OHW")</f>
        <v/>
      </c>
      <c r="B2155">
        <f>IF(OHW!$G1108="","","OHW")</f>
        <v/>
      </c>
      <c r="C2155" s="18">
        <f>IF(OHW!$G1108="","",OHW!$A1108)</f>
        <v/>
      </c>
      <c r="F2155">
        <f>IF(OHW!$G1108="","",OHW!$B1108&amp;"")</f>
        <v/>
      </c>
      <c r="J2155">
        <f>IF(OHW!$G1108="","",OHW!$E1108)</f>
        <v/>
      </c>
      <c r="K2155">
        <f>IF(OHW!$G1108="","",COUNTIFS(OHW!$A$5:$A$1668,OHW!$A1108,OHW!$C$5:$C$1668,OHW!$C1108))</f>
        <v/>
      </c>
      <c r="L2155">
        <f>IF(OHW!$G1108="","",OHW!$D1108&amp;"")</f>
        <v/>
      </c>
      <c r="M2155">
        <f>IF(OHW!$G1108="","",OHW!$F1108)</f>
        <v/>
      </c>
      <c r="N2155">
        <f>IF(OHW!$G1108="","",OHW!$G1108)</f>
        <v/>
      </c>
      <c r="O2155">
        <f>IF(OHW!$G1108="","",OHW!$I1108)</f>
        <v/>
      </c>
      <c r="P2155">
        <f>IF(OHW!$G1108="","","Final")</f>
        <v/>
      </c>
    </row>
    <row r="2156">
      <c r="A2156">
        <f>IF(OHW!$G1109="","","OHW")</f>
        <v/>
      </c>
      <c r="B2156">
        <f>IF(OHW!$G1109="","","OHW")</f>
        <v/>
      </c>
      <c r="C2156" s="18">
        <f>IF(OHW!$G1109="","",OHW!$A1109)</f>
        <v/>
      </c>
      <c r="F2156">
        <f>IF(OHW!$G1109="","",OHW!$B1109&amp;"")</f>
        <v/>
      </c>
      <c r="J2156">
        <f>IF(OHW!$G1109="","",OHW!$E1109)</f>
        <v/>
      </c>
      <c r="K2156">
        <f>IF(OHW!$G1109="","",COUNTIFS(OHW!$A$5:$A$1668,OHW!$A1109,OHW!$C$5:$C$1668,OHW!$C1109))</f>
        <v/>
      </c>
      <c r="L2156">
        <f>IF(OHW!$G1109="","",OHW!$D1109&amp;"")</f>
        <v/>
      </c>
      <c r="M2156">
        <f>IF(OHW!$G1109="","",OHW!$F1109)</f>
        <v/>
      </c>
      <c r="N2156">
        <f>IF(OHW!$G1109="","",OHW!$G1109)</f>
        <v/>
      </c>
      <c r="O2156">
        <f>IF(OHW!$G1109="","",OHW!$I1109)</f>
        <v/>
      </c>
      <c r="P2156">
        <f>IF(OHW!$G1109="","","Final")</f>
        <v/>
      </c>
    </row>
    <row r="2157">
      <c r="A2157">
        <f>IF(OHW!$G1110="","","OHW")</f>
        <v/>
      </c>
      <c r="B2157">
        <f>IF(OHW!$G1110="","","OHW")</f>
        <v/>
      </c>
      <c r="C2157" s="18">
        <f>IF(OHW!$G1110="","",OHW!$A1110)</f>
        <v/>
      </c>
      <c r="F2157">
        <f>IF(OHW!$G1110="","",OHW!$B1110&amp;"")</f>
        <v/>
      </c>
      <c r="J2157">
        <f>IF(OHW!$G1110="","",OHW!$E1110)</f>
        <v/>
      </c>
      <c r="K2157">
        <f>IF(OHW!$G1110="","",COUNTIFS(OHW!$A$5:$A$1668,OHW!$A1110,OHW!$C$5:$C$1668,OHW!$C1110))</f>
        <v/>
      </c>
      <c r="L2157">
        <f>IF(OHW!$G1110="","",OHW!$D1110&amp;"")</f>
        <v/>
      </c>
      <c r="M2157">
        <f>IF(OHW!$G1110="","",OHW!$F1110)</f>
        <v/>
      </c>
      <c r="N2157">
        <f>IF(OHW!$G1110="","",OHW!$G1110)</f>
        <v/>
      </c>
      <c r="O2157">
        <f>IF(OHW!$G1110="","",OHW!$I1110)</f>
        <v/>
      </c>
      <c r="P2157">
        <f>IF(OHW!$G1110="","","Final")</f>
        <v/>
      </c>
    </row>
    <row r="2158">
      <c r="A2158">
        <f>IF(OHW!$G1111="","","OHW")</f>
        <v/>
      </c>
      <c r="B2158">
        <f>IF(OHW!$G1111="","","OHW")</f>
        <v/>
      </c>
      <c r="C2158" s="18">
        <f>IF(OHW!$G1111="","",OHW!$A1111)</f>
        <v/>
      </c>
      <c r="F2158">
        <f>IF(OHW!$G1111="","",OHW!$B1111&amp;"")</f>
        <v/>
      </c>
      <c r="J2158">
        <f>IF(OHW!$G1111="","",OHW!$E1111)</f>
        <v/>
      </c>
      <c r="K2158">
        <f>IF(OHW!$G1111="","",COUNTIFS(OHW!$A$5:$A$1668,OHW!$A1111,OHW!$C$5:$C$1668,OHW!$C1111))</f>
        <v/>
      </c>
      <c r="L2158">
        <f>IF(OHW!$G1111="","",OHW!$D1111&amp;"")</f>
        <v/>
      </c>
      <c r="M2158">
        <f>IF(OHW!$G1111="","",OHW!$F1111)</f>
        <v/>
      </c>
      <c r="N2158">
        <f>IF(OHW!$G1111="","",OHW!$G1111)</f>
        <v/>
      </c>
      <c r="O2158">
        <f>IF(OHW!$G1111="","",OHW!$I1111)</f>
        <v/>
      </c>
      <c r="P2158">
        <f>IF(OHW!$G1111="","","Final")</f>
        <v/>
      </c>
    </row>
    <row r="2159">
      <c r="A2159">
        <f>IF(OHW!$G1112="","","OHW")</f>
        <v/>
      </c>
      <c r="B2159">
        <f>IF(OHW!$G1112="","","OHW")</f>
        <v/>
      </c>
      <c r="C2159" s="18">
        <f>IF(OHW!$G1112="","",OHW!$A1112)</f>
        <v/>
      </c>
      <c r="F2159">
        <f>IF(OHW!$G1112="","",OHW!$B1112&amp;"")</f>
        <v/>
      </c>
      <c r="J2159">
        <f>IF(OHW!$G1112="","",OHW!$E1112)</f>
        <v/>
      </c>
      <c r="K2159">
        <f>IF(OHW!$G1112="","",COUNTIFS(OHW!$A$5:$A$1668,OHW!$A1112,OHW!$C$5:$C$1668,OHW!$C1112))</f>
        <v/>
      </c>
      <c r="L2159">
        <f>IF(OHW!$G1112="","",OHW!$D1112&amp;"")</f>
        <v/>
      </c>
      <c r="M2159">
        <f>IF(OHW!$G1112="","",OHW!$F1112)</f>
        <v/>
      </c>
      <c r="N2159">
        <f>IF(OHW!$G1112="","",OHW!$G1112)</f>
        <v/>
      </c>
      <c r="O2159">
        <f>IF(OHW!$G1112="","",OHW!$I1112)</f>
        <v/>
      </c>
      <c r="P2159">
        <f>IF(OHW!$G1112="","","Final")</f>
        <v/>
      </c>
    </row>
    <row r="2160">
      <c r="A2160">
        <f>IF(OHW!$G1113="","","OHW")</f>
        <v/>
      </c>
      <c r="B2160">
        <f>IF(OHW!$G1113="","","OHW")</f>
        <v/>
      </c>
      <c r="C2160" s="18">
        <f>IF(OHW!$G1113="","",OHW!$A1113)</f>
        <v/>
      </c>
      <c r="F2160">
        <f>IF(OHW!$G1113="","",OHW!$B1113&amp;"")</f>
        <v/>
      </c>
      <c r="J2160">
        <f>IF(OHW!$G1113="","",OHW!$E1113)</f>
        <v/>
      </c>
      <c r="K2160">
        <f>IF(OHW!$G1113="","",COUNTIFS(OHW!$A$5:$A$1668,OHW!$A1113,OHW!$C$5:$C$1668,OHW!$C1113))</f>
        <v/>
      </c>
      <c r="L2160">
        <f>IF(OHW!$G1113="","",OHW!$D1113&amp;"")</f>
        <v/>
      </c>
      <c r="M2160">
        <f>IF(OHW!$G1113="","",OHW!$F1113)</f>
        <v/>
      </c>
      <c r="N2160">
        <f>IF(OHW!$G1113="","",OHW!$G1113)</f>
        <v/>
      </c>
      <c r="O2160">
        <f>IF(OHW!$G1113="","",OHW!$I1113)</f>
        <v/>
      </c>
      <c r="P2160">
        <f>IF(OHW!$G1113="","","Final")</f>
        <v/>
      </c>
    </row>
    <row r="2161">
      <c r="A2161">
        <f>IF(OHW!$G1114="","","OHW")</f>
        <v/>
      </c>
      <c r="B2161">
        <f>IF(OHW!$G1114="","","OHW")</f>
        <v/>
      </c>
      <c r="C2161" s="18">
        <f>IF(OHW!$G1114="","",OHW!$A1114)</f>
        <v/>
      </c>
      <c r="F2161">
        <f>IF(OHW!$G1114="","",OHW!$B1114&amp;"")</f>
        <v/>
      </c>
      <c r="J2161">
        <f>IF(OHW!$G1114="","",OHW!$E1114)</f>
        <v/>
      </c>
      <c r="K2161">
        <f>IF(OHW!$G1114="","",COUNTIFS(OHW!$A$5:$A$1668,OHW!$A1114,OHW!$C$5:$C$1668,OHW!$C1114))</f>
        <v/>
      </c>
      <c r="L2161">
        <f>IF(OHW!$G1114="","",OHW!$D1114&amp;"")</f>
        <v/>
      </c>
      <c r="M2161">
        <f>IF(OHW!$G1114="","",OHW!$F1114)</f>
        <v/>
      </c>
      <c r="N2161">
        <f>IF(OHW!$G1114="","",OHW!$G1114)</f>
        <v/>
      </c>
      <c r="O2161">
        <f>IF(OHW!$G1114="","",OHW!$I1114)</f>
        <v/>
      </c>
      <c r="P2161">
        <f>IF(OHW!$G1114="","","Final")</f>
        <v/>
      </c>
    </row>
    <row r="2162">
      <c r="A2162">
        <f>IF(OHW!$G1115="","","OHW")</f>
        <v/>
      </c>
      <c r="B2162">
        <f>IF(OHW!$G1115="","","OHW")</f>
        <v/>
      </c>
      <c r="C2162" s="18">
        <f>IF(OHW!$G1115="","",OHW!$A1115)</f>
        <v/>
      </c>
      <c r="F2162">
        <f>IF(OHW!$G1115="","",OHW!$B1115&amp;"")</f>
        <v/>
      </c>
      <c r="J2162">
        <f>IF(OHW!$G1115="","",OHW!$E1115)</f>
        <v/>
      </c>
      <c r="K2162">
        <f>IF(OHW!$G1115="","",COUNTIFS(OHW!$A$5:$A$1668,OHW!$A1115,OHW!$C$5:$C$1668,OHW!$C1115))</f>
        <v/>
      </c>
      <c r="L2162">
        <f>IF(OHW!$G1115="","",OHW!$D1115&amp;"")</f>
        <v/>
      </c>
      <c r="M2162">
        <f>IF(OHW!$G1115="","",OHW!$F1115)</f>
        <v/>
      </c>
      <c r="N2162">
        <f>IF(OHW!$G1115="","",OHW!$G1115)</f>
        <v/>
      </c>
      <c r="O2162">
        <f>IF(OHW!$G1115="","",OHW!$I1115)</f>
        <v/>
      </c>
      <c r="P2162">
        <f>IF(OHW!$G1115="","","Final")</f>
        <v/>
      </c>
    </row>
    <row r="2163">
      <c r="A2163">
        <f>IF(OHW!$G1116="","","OHW")</f>
        <v/>
      </c>
      <c r="B2163">
        <f>IF(OHW!$G1116="","","OHW")</f>
        <v/>
      </c>
      <c r="C2163" s="18">
        <f>IF(OHW!$G1116="","",OHW!$A1116)</f>
        <v/>
      </c>
      <c r="F2163">
        <f>IF(OHW!$G1116="","",OHW!$B1116&amp;"")</f>
        <v/>
      </c>
      <c r="J2163">
        <f>IF(OHW!$G1116="","",OHW!$E1116)</f>
        <v/>
      </c>
      <c r="K2163">
        <f>IF(OHW!$G1116="","",COUNTIFS(OHW!$A$5:$A$1668,OHW!$A1116,OHW!$C$5:$C$1668,OHW!$C1116))</f>
        <v/>
      </c>
      <c r="L2163">
        <f>IF(OHW!$G1116="","",OHW!$D1116&amp;"")</f>
        <v/>
      </c>
      <c r="M2163">
        <f>IF(OHW!$G1116="","",OHW!$F1116)</f>
        <v/>
      </c>
      <c r="N2163">
        <f>IF(OHW!$G1116="","",OHW!$G1116)</f>
        <v/>
      </c>
      <c r="O2163">
        <f>IF(OHW!$G1116="","",OHW!$I1116)</f>
        <v/>
      </c>
      <c r="P2163">
        <f>IF(OHW!$G1116="","","Final")</f>
        <v/>
      </c>
    </row>
    <row r="2164">
      <c r="A2164">
        <f>IF(OHW!$G1117="","","OHW")</f>
        <v/>
      </c>
      <c r="B2164">
        <f>IF(OHW!$G1117="","","OHW")</f>
        <v/>
      </c>
      <c r="C2164" s="18">
        <f>IF(OHW!$G1117="","",OHW!$A1117)</f>
        <v/>
      </c>
      <c r="F2164">
        <f>IF(OHW!$G1117="","",OHW!$B1117&amp;"")</f>
        <v/>
      </c>
      <c r="J2164">
        <f>IF(OHW!$G1117="","",OHW!$E1117)</f>
        <v/>
      </c>
      <c r="K2164">
        <f>IF(OHW!$G1117="","",COUNTIFS(OHW!$A$5:$A$1668,OHW!$A1117,OHW!$C$5:$C$1668,OHW!$C1117))</f>
        <v/>
      </c>
      <c r="L2164">
        <f>IF(OHW!$G1117="","",OHW!$D1117&amp;"")</f>
        <v/>
      </c>
      <c r="M2164">
        <f>IF(OHW!$G1117="","",OHW!$F1117)</f>
        <v/>
      </c>
      <c r="N2164">
        <f>IF(OHW!$G1117="","",OHW!$G1117)</f>
        <v/>
      </c>
      <c r="O2164">
        <f>IF(OHW!$G1117="","",OHW!$I1117)</f>
        <v/>
      </c>
      <c r="P2164">
        <f>IF(OHW!$G1117="","","Final")</f>
        <v/>
      </c>
    </row>
    <row r="2165">
      <c r="A2165">
        <f>IF(OHW!$G1118="","","OHW")</f>
        <v/>
      </c>
      <c r="B2165">
        <f>IF(OHW!$G1118="","","OHW")</f>
        <v/>
      </c>
      <c r="C2165" s="18">
        <f>IF(OHW!$G1118="","",OHW!$A1118)</f>
        <v/>
      </c>
      <c r="F2165">
        <f>IF(OHW!$G1118="","",OHW!$B1118&amp;"")</f>
        <v/>
      </c>
      <c r="J2165">
        <f>IF(OHW!$G1118="","",OHW!$E1118)</f>
        <v/>
      </c>
      <c r="K2165">
        <f>IF(OHW!$G1118="","",COUNTIFS(OHW!$A$5:$A$1668,OHW!$A1118,OHW!$C$5:$C$1668,OHW!$C1118))</f>
        <v/>
      </c>
      <c r="L2165">
        <f>IF(OHW!$G1118="","",OHW!$D1118&amp;"")</f>
        <v/>
      </c>
      <c r="M2165">
        <f>IF(OHW!$G1118="","",OHW!$F1118)</f>
        <v/>
      </c>
      <c r="N2165">
        <f>IF(OHW!$G1118="","",OHW!$G1118)</f>
        <v/>
      </c>
      <c r="O2165">
        <f>IF(OHW!$G1118="","",OHW!$I1118)</f>
        <v/>
      </c>
      <c r="P2165">
        <f>IF(OHW!$G1118="","","Final")</f>
        <v/>
      </c>
    </row>
    <row r="2166">
      <c r="A2166">
        <f>IF(OHW!$G1119="","","OHW")</f>
        <v/>
      </c>
      <c r="B2166">
        <f>IF(OHW!$G1119="","","OHW")</f>
        <v/>
      </c>
      <c r="C2166" s="18">
        <f>IF(OHW!$G1119="","",OHW!$A1119)</f>
        <v/>
      </c>
      <c r="F2166">
        <f>IF(OHW!$G1119="","",OHW!$B1119&amp;"")</f>
        <v/>
      </c>
      <c r="J2166">
        <f>IF(OHW!$G1119="","",OHW!$E1119)</f>
        <v/>
      </c>
      <c r="K2166">
        <f>IF(OHW!$G1119="","",COUNTIFS(OHW!$A$5:$A$1668,OHW!$A1119,OHW!$C$5:$C$1668,OHW!$C1119))</f>
        <v/>
      </c>
      <c r="L2166">
        <f>IF(OHW!$G1119="","",OHW!$D1119&amp;"")</f>
        <v/>
      </c>
      <c r="M2166">
        <f>IF(OHW!$G1119="","",OHW!$F1119)</f>
        <v/>
      </c>
      <c r="N2166">
        <f>IF(OHW!$G1119="","",OHW!$G1119)</f>
        <v/>
      </c>
      <c r="O2166">
        <f>IF(OHW!$G1119="","",OHW!$I1119)</f>
        <v/>
      </c>
      <c r="P2166">
        <f>IF(OHW!$G1119="","","Final")</f>
        <v/>
      </c>
    </row>
    <row r="2167">
      <c r="A2167">
        <f>IF(OHW!$G1120="","","OHW")</f>
        <v/>
      </c>
      <c r="B2167">
        <f>IF(OHW!$G1120="","","OHW")</f>
        <v/>
      </c>
      <c r="C2167" s="18">
        <f>IF(OHW!$G1120="","",OHW!$A1120)</f>
        <v/>
      </c>
      <c r="F2167">
        <f>IF(OHW!$G1120="","",OHW!$B1120&amp;"")</f>
        <v/>
      </c>
      <c r="J2167">
        <f>IF(OHW!$G1120="","",OHW!$E1120)</f>
        <v/>
      </c>
      <c r="K2167">
        <f>IF(OHW!$G1120="","",COUNTIFS(OHW!$A$5:$A$1668,OHW!$A1120,OHW!$C$5:$C$1668,OHW!$C1120))</f>
        <v/>
      </c>
      <c r="L2167">
        <f>IF(OHW!$G1120="","",OHW!$D1120&amp;"")</f>
        <v/>
      </c>
      <c r="M2167">
        <f>IF(OHW!$G1120="","",OHW!$F1120)</f>
        <v/>
      </c>
      <c r="N2167">
        <f>IF(OHW!$G1120="","",OHW!$G1120)</f>
        <v/>
      </c>
      <c r="O2167">
        <f>IF(OHW!$G1120="","",OHW!$I1120)</f>
        <v/>
      </c>
      <c r="P2167">
        <f>IF(OHW!$G1120="","","Final")</f>
        <v/>
      </c>
    </row>
    <row r="2168">
      <c r="A2168">
        <f>IF(OHW!$G1121="","","OHW")</f>
        <v/>
      </c>
      <c r="B2168">
        <f>IF(OHW!$G1121="","","OHW")</f>
        <v/>
      </c>
      <c r="C2168" s="18">
        <f>IF(OHW!$G1121="","",OHW!$A1121)</f>
        <v/>
      </c>
      <c r="F2168">
        <f>IF(OHW!$G1121="","",OHW!$B1121&amp;"")</f>
        <v/>
      </c>
      <c r="J2168">
        <f>IF(OHW!$G1121="","",OHW!$E1121)</f>
        <v/>
      </c>
      <c r="K2168">
        <f>IF(OHW!$G1121="","",COUNTIFS(OHW!$A$5:$A$1668,OHW!$A1121,OHW!$C$5:$C$1668,OHW!$C1121))</f>
        <v/>
      </c>
      <c r="L2168">
        <f>IF(OHW!$G1121="","",OHW!$D1121&amp;"")</f>
        <v/>
      </c>
      <c r="M2168">
        <f>IF(OHW!$G1121="","",OHW!$F1121)</f>
        <v/>
      </c>
      <c r="N2168">
        <f>IF(OHW!$G1121="","",OHW!$G1121)</f>
        <v/>
      </c>
      <c r="O2168">
        <f>IF(OHW!$G1121="","",OHW!$I1121)</f>
        <v/>
      </c>
      <c r="P2168">
        <f>IF(OHW!$G1121="","","Final")</f>
        <v/>
      </c>
    </row>
    <row r="2169">
      <c r="A2169">
        <f>IF(OHW!$G1122="","","OHW")</f>
        <v/>
      </c>
      <c r="B2169">
        <f>IF(OHW!$G1122="","","OHW")</f>
        <v/>
      </c>
      <c r="C2169" s="18">
        <f>IF(OHW!$G1122="","",OHW!$A1122)</f>
        <v/>
      </c>
      <c r="F2169">
        <f>IF(OHW!$G1122="","",OHW!$B1122&amp;"")</f>
        <v/>
      </c>
      <c r="J2169">
        <f>IF(OHW!$G1122="","",OHW!$E1122)</f>
        <v/>
      </c>
      <c r="K2169">
        <f>IF(OHW!$G1122="","",COUNTIFS(OHW!$A$5:$A$1668,OHW!$A1122,OHW!$C$5:$C$1668,OHW!$C1122))</f>
        <v/>
      </c>
      <c r="L2169">
        <f>IF(OHW!$G1122="","",OHW!$D1122&amp;"")</f>
        <v/>
      </c>
      <c r="M2169">
        <f>IF(OHW!$G1122="","",OHW!$F1122)</f>
        <v/>
      </c>
      <c r="N2169">
        <f>IF(OHW!$G1122="","",OHW!$G1122)</f>
        <v/>
      </c>
      <c r="O2169">
        <f>IF(OHW!$G1122="","",OHW!$I1122)</f>
        <v/>
      </c>
      <c r="P2169">
        <f>IF(OHW!$G1122="","","Final")</f>
        <v/>
      </c>
    </row>
    <row r="2170">
      <c r="A2170">
        <f>IF(OHW!$G1123="","","OHW")</f>
        <v/>
      </c>
      <c r="B2170">
        <f>IF(OHW!$G1123="","","OHW")</f>
        <v/>
      </c>
      <c r="C2170" s="18">
        <f>IF(OHW!$G1123="","",OHW!$A1123)</f>
        <v/>
      </c>
      <c r="F2170">
        <f>IF(OHW!$G1123="","",OHW!$B1123&amp;"")</f>
        <v/>
      </c>
      <c r="J2170">
        <f>IF(OHW!$G1123="","",OHW!$E1123)</f>
        <v/>
      </c>
      <c r="K2170">
        <f>IF(OHW!$G1123="","",COUNTIFS(OHW!$A$5:$A$1668,OHW!$A1123,OHW!$C$5:$C$1668,OHW!$C1123))</f>
        <v/>
      </c>
      <c r="L2170">
        <f>IF(OHW!$G1123="","",OHW!$D1123&amp;"")</f>
        <v/>
      </c>
      <c r="M2170">
        <f>IF(OHW!$G1123="","",OHW!$F1123)</f>
        <v/>
      </c>
      <c r="N2170">
        <f>IF(OHW!$G1123="","",OHW!$G1123)</f>
        <v/>
      </c>
      <c r="O2170">
        <f>IF(OHW!$G1123="","",OHW!$I1123)</f>
        <v/>
      </c>
      <c r="P2170">
        <f>IF(OHW!$G1123="","","Final")</f>
        <v/>
      </c>
    </row>
    <row r="2171">
      <c r="A2171">
        <f>IF(OHW!$G1124="","","OHW")</f>
        <v/>
      </c>
      <c r="B2171">
        <f>IF(OHW!$G1124="","","OHW")</f>
        <v/>
      </c>
      <c r="C2171" s="18">
        <f>IF(OHW!$G1124="","",OHW!$A1124)</f>
        <v/>
      </c>
      <c r="F2171">
        <f>IF(OHW!$G1124="","",OHW!$B1124&amp;"")</f>
        <v/>
      </c>
      <c r="J2171">
        <f>IF(OHW!$G1124="","",OHW!$E1124)</f>
        <v/>
      </c>
      <c r="K2171">
        <f>IF(OHW!$G1124="","",COUNTIFS(OHW!$A$5:$A$1668,OHW!$A1124,OHW!$C$5:$C$1668,OHW!$C1124))</f>
        <v/>
      </c>
      <c r="L2171">
        <f>IF(OHW!$G1124="","",OHW!$D1124&amp;"")</f>
        <v/>
      </c>
      <c r="M2171">
        <f>IF(OHW!$G1124="","",OHW!$F1124)</f>
        <v/>
      </c>
      <c r="N2171">
        <f>IF(OHW!$G1124="","",OHW!$G1124)</f>
        <v/>
      </c>
      <c r="O2171">
        <f>IF(OHW!$G1124="","",OHW!$I1124)</f>
        <v/>
      </c>
      <c r="P2171">
        <f>IF(OHW!$G1124="","","Final")</f>
        <v/>
      </c>
    </row>
    <row r="2172">
      <c r="A2172">
        <f>IF(OHW!$G1125="","","OHW")</f>
        <v/>
      </c>
      <c r="B2172">
        <f>IF(OHW!$G1125="","","OHW")</f>
        <v/>
      </c>
      <c r="C2172" s="18">
        <f>IF(OHW!$G1125="","",OHW!$A1125)</f>
        <v/>
      </c>
      <c r="F2172">
        <f>IF(OHW!$G1125="","",OHW!$B1125&amp;"")</f>
        <v/>
      </c>
      <c r="J2172">
        <f>IF(OHW!$G1125="","",OHW!$E1125)</f>
        <v/>
      </c>
      <c r="K2172">
        <f>IF(OHW!$G1125="","",COUNTIFS(OHW!$A$5:$A$1668,OHW!$A1125,OHW!$C$5:$C$1668,OHW!$C1125))</f>
        <v/>
      </c>
      <c r="L2172">
        <f>IF(OHW!$G1125="","",OHW!$D1125&amp;"")</f>
        <v/>
      </c>
      <c r="M2172">
        <f>IF(OHW!$G1125="","",OHW!$F1125)</f>
        <v/>
      </c>
      <c r="N2172">
        <f>IF(OHW!$G1125="","",OHW!$G1125)</f>
        <v/>
      </c>
      <c r="O2172">
        <f>IF(OHW!$G1125="","",OHW!$I1125)</f>
        <v/>
      </c>
      <c r="P2172">
        <f>IF(OHW!$G1125="","","Final")</f>
        <v/>
      </c>
    </row>
    <row r="2173">
      <c r="A2173">
        <f>IF(OHW!$G1126="","","OHW")</f>
        <v/>
      </c>
      <c r="B2173">
        <f>IF(OHW!$G1126="","","OHW")</f>
        <v/>
      </c>
      <c r="C2173" s="18">
        <f>IF(OHW!$G1126="","",OHW!$A1126)</f>
        <v/>
      </c>
      <c r="F2173">
        <f>IF(OHW!$G1126="","",OHW!$B1126&amp;"")</f>
        <v/>
      </c>
      <c r="J2173">
        <f>IF(OHW!$G1126="","",OHW!$E1126)</f>
        <v/>
      </c>
      <c r="K2173">
        <f>IF(OHW!$G1126="","",COUNTIFS(OHW!$A$5:$A$1668,OHW!$A1126,OHW!$C$5:$C$1668,OHW!$C1126))</f>
        <v/>
      </c>
      <c r="L2173">
        <f>IF(OHW!$G1126="","",OHW!$D1126&amp;"")</f>
        <v/>
      </c>
      <c r="M2173">
        <f>IF(OHW!$G1126="","",OHW!$F1126)</f>
        <v/>
      </c>
      <c r="N2173">
        <f>IF(OHW!$G1126="","",OHW!$G1126)</f>
        <v/>
      </c>
      <c r="O2173">
        <f>IF(OHW!$G1126="","",OHW!$I1126)</f>
        <v/>
      </c>
      <c r="P2173">
        <f>IF(OHW!$G1126="","","Final")</f>
        <v/>
      </c>
    </row>
    <row r="2174">
      <c r="A2174">
        <f>IF(OHW!$G1127="","","OHW")</f>
        <v/>
      </c>
      <c r="B2174">
        <f>IF(OHW!$G1127="","","OHW")</f>
        <v/>
      </c>
      <c r="C2174" s="18">
        <f>IF(OHW!$G1127="","",OHW!$A1127)</f>
        <v/>
      </c>
      <c r="F2174">
        <f>IF(OHW!$G1127="","",OHW!$B1127&amp;"")</f>
        <v/>
      </c>
      <c r="J2174">
        <f>IF(OHW!$G1127="","",OHW!$E1127)</f>
        <v/>
      </c>
      <c r="K2174">
        <f>IF(OHW!$G1127="","",COUNTIFS(OHW!$A$5:$A$1668,OHW!$A1127,OHW!$C$5:$C$1668,OHW!$C1127))</f>
        <v/>
      </c>
      <c r="L2174">
        <f>IF(OHW!$G1127="","",OHW!$D1127&amp;"")</f>
        <v/>
      </c>
      <c r="M2174">
        <f>IF(OHW!$G1127="","",OHW!$F1127)</f>
        <v/>
      </c>
      <c r="N2174">
        <f>IF(OHW!$G1127="","",OHW!$G1127)</f>
        <v/>
      </c>
      <c r="O2174">
        <f>IF(OHW!$G1127="","",OHW!$I1127)</f>
        <v/>
      </c>
      <c r="P2174">
        <f>IF(OHW!$G1127="","","Final")</f>
        <v/>
      </c>
    </row>
    <row r="2175">
      <c r="A2175">
        <f>IF(OHW!$G1128="","","OHW")</f>
        <v/>
      </c>
      <c r="B2175">
        <f>IF(OHW!$G1128="","","OHW")</f>
        <v/>
      </c>
      <c r="C2175" s="18">
        <f>IF(OHW!$G1128="","",OHW!$A1128)</f>
        <v/>
      </c>
      <c r="F2175">
        <f>IF(OHW!$G1128="","",OHW!$B1128&amp;"")</f>
        <v/>
      </c>
      <c r="J2175">
        <f>IF(OHW!$G1128="","",OHW!$E1128)</f>
        <v/>
      </c>
      <c r="K2175">
        <f>IF(OHW!$G1128="","",COUNTIFS(OHW!$A$5:$A$1668,OHW!$A1128,OHW!$C$5:$C$1668,OHW!$C1128))</f>
        <v/>
      </c>
      <c r="L2175">
        <f>IF(OHW!$G1128="","",OHW!$D1128&amp;"")</f>
        <v/>
      </c>
      <c r="M2175">
        <f>IF(OHW!$G1128="","",OHW!$F1128)</f>
        <v/>
      </c>
      <c r="N2175">
        <f>IF(OHW!$G1128="","",OHW!$G1128)</f>
        <v/>
      </c>
      <c r="O2175">
        <f>IF(OHW!$G1128="","",OHW!$I1128)</f>
        <v/>
      </c>
      <c r="P2175">
        <f>IF(OHW!$G1128="","","Final")</f>
        <v/>
      </c>
    </row>
    <row r="2176">
      <c r="A2176">
        <f>IF(OHW!$G1129="","","OHW")</f>
        <v/>
      </c>
      <c r="B2176">
        <f>IF(OHW!$G1129="","","OHW")</f>
        <v/>
      </c>
      <c r="C2176" s="18">
        <f>IF(OHW!$G1129="","",OHW!$A1129)</f>
        <v/>
      </c>
      <c r="F2176">
        <f>IF(OHW!$G1129="","",OHW!$B1129&amp;"")</f>
        <v/>
      </c>
      <c r="J2176">
        <f>IF(OHW!$G1129="","",OHW!$E1129)</f>
        <v/>
      </c>
      <c r="K2176">
        <f>IF(OHW!$G1129="","",COUNTIFS(OHW!$A$5:$A$1668,OHW!$A1129,OHW!$C$5:$C$1668,OHW!$C1129))</f>
        <v/>
      </c>
      <c r="L2176">
        <f>IF(OHW!$G1129="","",OHW!$D1129&amp;"")</f>
        <v/>
      </c>
      <c r="M2176">
        <f>IF(OHW!$G1129="","",OHW!$F1129)</f>
        <v/>
      </c>
      <c r="N2176">
        <f>IF(OHW!$G1129="","",OHW!$G1129)</f>
        <v/>
      </c>
      <c r="O2176">
        <f>IF(OHW!$G1129="","",OHW!$I1129)</f>
        <v/>
      </c>
      <c r="P2176">
        <f>IF(OHW!$G1129="","","Final")</f>
        <v/>
      </c>
    </row>
    <row r="2177">
      <c r="A2177">
        <f>IF(OHW!$G1130="","","OHW")</f>
        <v/>
      </c>
      <c r="B2177">
        <f>IF(OHW!$G1130="","","OHW")</f>
        <v/>
      </c>
      <c r="C2177" s="18">
        <f>IF(OHW!$G1130="","",OHW!$A1130)</f>
        <v/>
      </c>
      <c r="F2177">
        <f>IF(OHW!$G1130="","",OHW!$B1130&amp;"")</f>
        <v/>
      </c>
      <c r="J2177">
        <f>IF(OHW!$G1130="","",OHW!$E1130)</f>
        <v/>
      </c>
      <c r="K2177">
        <f>IF(OHW!$G1130="","",COUNTIFS(OHW!$A$5:$A$1668,OHW!$A1130,OHW!$C$5:$C$1668,OHW!$C1130))</f>
        <v/>
      </c>
      <c r="L2177">
        <f>IF(OHW!$G1130="","",OHW!$D1130&amp;"")</f>
        <v/>
      </c>
      <c r="M2177">
        <f>IF(OHW!$G1130="","",OHW!$F1130)</f>
        <v/>
      </c>
      <c r="N2177">
        <f>IF(OHW!$G1130="","",OHW!$G1130)</f>
        <v/>
      </c>
      <c r="O2177">
        <f>IF(OHW!$G1130="","",OHW!$I1130)</f>
        <v/>
      </c>
      <c r="P2177">
        <f>IF(OHW!$G1130="","","Final")</f>
        <v/>
      </c>
    </row>
    <row r="2178">
      <c r="A2178">
        <f>IF(OHW!$G1131="","","OHW")</f>
        <v/>
      </c>
      <c r="B2178">
        <f>IF(OHW!$G1131="","","OHW")</f>
        <v/>
      </c>
      <c r="C2178" s="18">
        <f>IF(OHW!$G1131="","",OHW!$A1131)</f>
        <v/>
      </c>
      <c r="F2178">
        <f>IF(OHW!$G1131="","",OHW!$B1131&amp;"")</f>
        <v/>
      </c>
      <c r="J2178">
        <f>IF(OHW!$G1131="","",OHW!$E1131)</f>
        <v/>
      </c>
      <c r="K2178">
        <f>IF(OHW!$G1131="","",COUNTIFS(OHW!$A$5:$A$1668,OHW!$A1131,OHW!$C$5:$C$1668,OHW!$C1131))</f>
        <v/>
      </c>
      <c r="L2178">
        <f>IF(OHW!$G1131="","",OHW!$D1131&amp;"")</f>
        <v/>
      </c>
      <c r="M2178">
        <f>IF(OHW!$G1131="","",OHW!$F1131)</f>
        <v/>
      </c>
      <c r="N2178">
        <f>IF(OHW!$G1131="","",OHW!$G1131)</f>
        <v/>
      </c>
      <c r="O2178">
        <f>IF(OHW!$G1131="","",OHW!$I1131)</f>
        <v/>
      </c>
      <c r="P2178">
        <f>IF(OHW!$G1131="","","Final")</f>
        <v/>
      </c>
    </row>
    <row r="2179">
      <c r="A2179">
        <f>IF(OHW!$G1132="","","OHW")</f>
        <v/>
      </c>
      <c r="B2179">
        <f>IF(OHW!$G1132="","","OHW")</f>
        <v/>
      </c>
      <c r="C2179" s="18">
        <f>IF(OHW!$G1132="","",OHW!$A1132)</f>
        <v/>
      </c>
      <c r="F2179">
        <f>IF(OHW!$G1132="","",OHW!$B1132&amp;"")</f>
        <v/>
      </c>
      <c r="J2179">
        <f>IF(OHW!$G1132="","",OHW!$E1132)</f>
        <v/>
      </c>
      <c r="K2179">
        <f>IF(OHW!$G1132="","",COUNTIFS(OHW!$A$5:$A$1668,OHW!$A1132,OHW!$C$5:$C$1668,OHW!$C1132))</f>
        <v/>
      </c>
      <c r="L2179">
        <f>IF(OHW!$G1132="","",OHW!$D1132&amp;"")</f>
        <v/>
      </c>
      <c r="M2179">
        <f>IF(OHW!$G1132="","",OHW!$F1132)</f>
        <v/>
      </c>
      <c r="N2179">
        <f>IF(OHW!$G1132="","",OHW!$G1132)</f>
        <v/>
      </c>
      <c r="O2179">
        <f>IF(OHW!$G1132="","",OHW!$I1132)</f>
        <v/>
      </c>
      <c r="P2179">
        <f>IF(OHW!$G1132="","","Final")</f>
        <v/>
      </c>
    </row>
    <row r="2180">
      <c r="A2180">
        <f>IF(OHW!$G1133="","","OHW")</f>
        <v/>
      </c>
      <c r="B2180">
        <f>IF(OHW!$G1133="","","OHW")</f>
        <v/>
      </c>
      <c r="C2180" s="18">
        <f>IF(OHW!$G1133="","",OHW!$A1133)</f>
        <v/>
      </c>
      <c r="F2180">
        <f>IF(OHW!$G1133="","",OHW!$B1133&amp;"")</f>
        <v/>
      </c>
      <c r="J2180">
        <f>IF(OHW!$G1133="","",OHW!$E1133)</f>
        <v/>
      </c>
      <c r="K2180">
        <f>IF(OHW!$G1133="","",COUNTIFS(OHW!$A$5:$A$1668,OHW!$A1133,OHW!$C$5:$C$1668,OHW!$C1133))</f>
        <v/>
      </c>
      <c r="L2180">
        <f>IF(OHW!$G1133="","",OHW!$D1133&amp;"")</f>
        <v/>
      </c>
      <c r="M2180">
        <f>IF(OHW!$G1133="","",OHW!$F1133)</f>
        <v/>
      </c>
      <c r="N2180">
        <f>IF(OHW!$G1133="","",OHW!$G1133)</f>
        <v/>
      </c>
      <c r="O2180">
        <f>IF(OHW!$G1133="","",OHW!$I1133)</f>
        <v/>
      </c>
      <c r="P2180">
        <f>IF(OHW!$G1133="","","Final")</f>
        <v/>
      </c>
    </row>
    <row r="2181">
      <c r="A2181">
        <f>IF(OHW!$G1134="","","OHW")</f>
        <v/>
      </c>
      <c r="B2181">
        <f>IF(OHW!$G1134="","","OHW")</f>
        <v/>
      </c>
      <c r="C2181" s="18">
        <f>IF(OHW!$G1134="","",OHW!$A1134)</f>
        <v/>
      </c>
      <c r="F2181">
        <f>IF(OHW!$G1134="","",OHW!$B1134&amp;"")</f>
        <v/>
      </c>
      <c r="J2181">
        <f>IF(OHW!$G1134="","",OHW!$E1134)</f>
        <v/>
      </c>
      <c r="K2181">
        <f>IF(OHW!$G1134="","",COUNTIFS(OHW!$A$5:$A$1668,OHW!$A1134,OHW!$C$5:$C$1668,OHW!$C1134))</f>
        <v/>
      </c>
      <c r="L2181">
        <f>IF(OHW!$G1134="","",OHW!$D1134&amp;"")</f>
        <v/>
      </c>
      <c r="M2181">
        <f>IF(OHW!$G1134="","",OHW!$F1134)</f>
        <v/>
      </c>
      <c r="N2181">
        <f>IF(OHW!$G1134="","",OHW!$G1134)</f>
        <v/>
      </c>
      <c r="O2181">
        <f>IF(OHW!$G1134="","",OHW!$I1134)</f>
        <v/>
      </c>
      <c r="P2181">
        <f>IF(OHW!$G1134="","","Final")</f>
        <v/>
      </c>
    </row>
    <row r="2182">
      <c r="A2182">
        <f>IF(OHW!$G1135="","","OHW")</f>
        <v/>
      </c>
      <c r="B2182">
        <f>IF(OHW!$G1135="","","OHW")</f>
        <v/>
      </c>
      <c r="C2182" s="18">
        <f>IF(OHW!$G1135="","",OHW!$A1135)</f>
        <v/>
      </c>
      <c r="F2182">
        <f>IF(OHW!$G1135="","",OHW!$B1135&amp;"")</f>
        <v/>
      </c>
      <c r="J2182">
        <f>IF(OHW!$G1135="","",OHW!$E1135)</f>
        <v/>
      </c>
      <c r="K2182">
        <f>IF(OHW!$G1135="","",COUNTIFS(OHW!$A$5:$A$1668,OHW!$A1135,OHW!$C$5:$C$1668,OHW!$C1135))</f>
        <v/>
      </c>
      <c r="L2182">
        <f>IF(OHW!$G1135="","",OHW!$D1135&amp;"")</f>
        <v/>
      </c>
      <c r="M2182">
        <f>IF(OHW!$G1135="","",OHW!$F1135)</f>
        <v/>
      </c>
      <c r="N2182">
        <f>IF(OHW!$G1135="","",OHW!$G1135)</f>
        <v/>
      </c>
      <c r="O2182">
        <f>IF(OHW!$G1135="","",OHW!$I1135)</f>
        <v/>
      </c>
      <c r="P2182">
        <f>IF(OHW!$G1135="","","Final")</f>
        <v/>
      </c>
    </row>
    <row r="2183">
      <c r="A2183">
        <f>IF(OHW!$G1136="","","OHW")</f>
        <v/>
      </c>
      <c r="B2183">
        <f>IF(OHW!$G1136="","","OHW")</f>
        <v/>
      </c>
      <c r="C2183" s="18">
        <f>IF(OHW!$G1136="","",OHW!$A1136)</f>
        <v/>
      </c>
      <c r="F2183">
        <f>IF(OHW!$G1136="","",OHW!$B1136&amp;"")</f>
        <v/>
      </c>
      <c r="J2183">
        <f>IF(OHW!$G1136="","",OHW!$E1136)</f>
        <v/>
      </c>
      <c r="K2183">
        <f>IF(OHW!$G1136="","",COUNTIFS(OHW!$A$5:$A$1668,OHW!$A1136,OHW!$C$5:$C$1668,OHW!$C1136))</f>
        <v/>
      </c>
      <c r="L2183">
        <f>IF(OHW!$G1136="","",OHW!$D1136&amp;"")</f>
        <v/>
      </c>
      <c r="M2183">
        <f>IF(OHW!$G1136="","",OHW!$F1136)</f>
        <v/>
      </c>
      <c r="N2183">
        <f>IF(OHW!$G1136="","",OHW!$G1136)</f>
        <v/>
      </c>
      <c r="O2183">
        <f>IF(OHW!$G1136="","",OHW!$I1136)</f>
        <v/>
      </c>
      <c r="P2183">
        <f>IF(OHW!$G1136="","","Final")</f>
        <v/>
      </c>
    </row>
    <row r="2184">
      <c r="A2184">
        <f>IF(OHW!$G1137="","","OHW")</f>
        <v/>
      </c>
      <c r="B2184">
        <f>IF(OHW!$G1137="","","OHW")</f>
        <v/>
      </c>
      <c r="C2184" s="18">
        <f>IF(OHW!$G1137="","",OHW!$A1137)</f>
        <v/>
      </c>
      <c r="F2184">
        <f>IF(OHW!$G1137="","",OHW!$B1137&amp;"")</f>
        <v/>
      </c>
      <c r="J2184">
        <f>IF(OHW!$G1137="","",OHW!$E1137)</f>
        <v/>
      </c>
      <c r="K2184">
        <f>IF(OHW!$G1137="","",COUNTIFS(OHW!$A$5:$A$1668,OHW!$A1137,OHW!$C$5:$C$1668,OHW!$C1137))</f>
        <v/>
      </c>
      <c r="L2184">
        <f>IF(OHW!$G1137="","",OHW!$D1137&amp;"")</f>
        <v/>
      </c>
      <c r="M2184">
        <f>IF(OHW!$G1137="","",OHW!$F1137)</f>
        <v/>
      </c>
      <c r="N2184">
        <f>IF(OHW!$G1137="","",OHW!$G1137)</f>
        <v/>
      </c>
      <c r="O2184">
        <f>IF(OHW!$G1137="","",OHW!$I1137)</f>
        <v/>
      </c>
      <c r="P2184">
        <f>IF(OHW!$G1137="","","Final")</f>
        <v/>
      </c>
    </row>
    <row r="2185">
      <c r="A2185">
        <f>IF(OHW!$G1138="","","OHW")</f>
        <v/>
      </c>
      <c r="B2185">
        <f>IF(OHW!$G1138="","","OHW")</f>
        <v/>
      </c>
      <c r="C2185" s="18">
        <f>IF(OHW!$G1138="","",OHW!$A1138)</f>
        <v/>
      </c>
      <c r="F2185">
        <f>IF(OHW!$G1138="","",OHW!$B1138&amp;"")</f>
        <v/>
      </c>
      <c r="J2185">
        <f>IF(OHW!$G1138="","",OHW!$E1138)</f>
        <v/>
      </c>
      <c r="K2185">
        <f>IF(OHW!$G1138="","",COUNTIFS(OHW!$A$5:$A$1668,OHW!$A1138,OHW!$C$5:$C$1668,OHW!$C1138))</f>
        <v/>
      </c>
      <c r="L2185">
        <f>IF(OHW!$G1138="","",OHW!$D1138&amp;"")</f>
        <v/>
      </c>
      <c r="M2185">
        <f>IF(OHW!$G1138="","",OHW!$F1138)</f>
        <v/>
      </c>
      <c r="N2185">
        <f>IF(OHW!$G1138="","",OHW!$G1138)</f>
        <v/>
      </c>
      <c r="O2185">
        <f>IF(OHW!$G1138="","",OHW!$I1138)</f>
        <v/>
      </c>
      <c r="P2185">
        <f>IF(OHW!$G1138="","","Final")</f>
        <v/>
      </c>
    </row>
    <row r="2186">
      <c r="A2186">
        <f>IF(OHW!$G1139="","","OHW")</f>
        <v/>
      </c>
      <c r="B2186">
        <f>IF(OHW!$G1139="","","OHW")</f>
        <v/>
      </c>
      <c r="C2186" s="18">
        <f>IF(OHW!$G1139="","",OHW!$A1139)</f>
        <v/>
      </c>
      <c r="F2186">
        <f>IF(OHW!$G1139="","",OHW!$B1139&amp;"")</f>
        <v/>
      </c>
      <c r="J2186">
        <f>IF(OHW!$G1139="","",OHW!$E1139)</f>
        <v/>
      </c>
      <c r="K2186">
        <f>IF(OHW!$G1139="","",COUNTIFS(OHW!$A$5:$A$1668,OHW!$A1139,OHW!$C$5:$C$1668,OHW!$C1139))</f>
        <v/>
      </c>
      <c r="L2186">
        <f>IF(OHW!$G1139="","",OHW!$D1139&amp;"")</f>
        <v/>
      </c>
      <c r="M2186">
        <f>IF(OHW!$G1139="","",OHW!$F1139)</f>
        <v/>
      </c>
      <c r="N2186">
        <f>IF(OHW!$G1139="","",OHW!$G1139)</f>
        <v/>
      </c>
      <c r="O2186">
        <f>IF(OHW!$G1139="","",OHW!$I1139)</f>
        <v/>
      </c>
      <c r="P2186">
        <f>IF(OHW!$G1139="","","Final")</f>
        <v/>
      </c>
    </row>
    <row r="2187">
      <c r="A2187">
        <f>IF(OHW!$G1140="","","OHW")</f>
        <v/>
      </c>
      <c r="B2187">
        <f>IF(OHW!$G1140="","","OHW")</f>
        <v/>
      </c>
      <c r="C2187" s="18">
        <f>IF(OHW!$G1140="","",OHW!$A1140)</f>
        <v/>
      </c>
      <c r="F2187">
        <f>IF(OHW!$G1140="","",OHW!$B1140&amp;"")</f>
        <v/>
      </c>
      <c r="J2187">
        <f>IF(OHW!$G1140="","",OHW!$E1140)</f>
        <v/>
      </c>
      <c r="K2187">
        <f>IF(OHW!$G1140="","",COUNTIFS(OHW!$A$5:$A$1668,OHW!$A1140,OHW!$C$5:$C$1668,OHW!$C1140))</f>
        <v/>
      </c>
      <c r="L2187">
        <f>IF(OHW!$G1140="","",OHW!$D1140&amp;"")</f>
        <v/>
      </c>
      <c r="M2187">
        <f>IF(OHW!$G1140="","",OHW!$F1140)</f>
        <v/>
      </c>
      <c r="N2187">
        <f>IF(OHW!$G1140="","",OHW!$G1140)</f>
        <v/>
      </c>
      <c r="O2187">
        <f>IF(OHW!$G1140="","",OHW!$I1140)</f>
        <v/>
      </c>
      <c r="P2187">
        <f>IF(OHW!$G1140="","","Final")</f>
        <v/>
      </c>
    </row>
    <row r="2188">
      <c r="A2188">
        <f>IF(OHW!$G1141="","","OHW")</f>
        <v/>
      </c>
      <c r="B2188">
        <f>IF(OHW!$G1141="","","OHW")</f>
        <v/>
      </c>
      <c r="C2188" s="18">
        <f>IF(OHW!$G1141="","",OHW!$A1141)</f>
        <v/>
      </c>
      <c r="F2188">
        <f>IF(OHW!$G1141="","",OHW!$B1141&amp;"")</f>
        <v/>
      </c>
      <c r="J2188">
        <f>IF(OHW!$G1141="","",OHW!$E1141)</f>
        <v/>
      </c>
      <c r="K2188">
        <f>IF(OHW!$G1141="","",COUNTIFS(OHW!$A$5:$A$1668,OHW!$A1141,OHW!$C$5:$C$1668,OHW!$C1141))</f>
        <v/>
      </c>
      <c r="L2188">
        <f>IF(OHW!$G1141="","",OHW!$D1141&amp;"")</f>
        <v/>
      </c>
      <c r="M2188">
        <f>IF(OHW!$G1141="","",OHW!$F1141)</f>
        <v/>
      </c>
      <c r="N2188">
        <f>IF(OHW!$G1141="","",OHW!$G1141)</f>
        <v/>
      </c>
      <c r="O2188">
        <f>IF(OHW!$G1141="","",OHW!$I1141)</f>
        <v/>
      </c>
      <c r="P2188">
        <f>IF(OHW!$G1141="","","Final")</f>
        <v/>
      </c>
    </row>
    <row r="2189">
      <c r="A2189">
        <f>IF(OHW!$G1142="","","OHW")</f>
        <v/>
      </c>
      <c r="B2189">
        <f>IF(OHW!$G1142="","","OHW")</f>
        <v/>
      </c>
      <c r="C2189" s="18">
        <f>IF(OHW!$G1142="","",OHW!$A1142)</f>
        <v/>
      </c>
      <c r="F2189">
        <f>IF(OHW!$G1142="","",OHW!$B1142&amp;"")</f>
        <v/>
      </c>
      <c r="J2189">
        <f>IF(OHW!$G1142="","",OHW!$E1142)</f>
        <v/>
      </c>
      <c r="K2189">
        <f>IF(OHW!$G1142="","",COUNTIFS(OHW!$A$5:$A$1668,OHW!$A1142,OHW!$C$5:$C$1668,OHW!$C1142))</f>
        <v/>
      </c>
      <c r="L2189">
        <f>IF(OHW!$G1142="","",OHW!$D1142&amp;"")</f>
        <v/>
      </c>
      <c r="M2189">
        <f>IF(OHW!$G1142="","",OHW!$F1142)</f>
        <v/>
      </c>
      <c r="N2189">
        <f>IF(OHW!$G1142="","",OHW!$G1142)</f>
        <v/>
      </c>
      <c r="O2189">
        <f>IF(OHW!$G1142="","",OHW!$I1142)</f>
        <v/>
      </c>
      <c r="P2189">
        <f>IF(OHW!$G1142="","","Final")</f>
        <v/>
      </c>
    </row>
    <row r="2190">
      <c r="A2190">
        <f>IF(OHW!$G1143="","","OHW")</f>
        <v/>
      </c>
      <c r="B2190">
        <f>IF(OHW!$G1143="","","OHW")</f>
        <v/>
      </c>
      <c r="C2190" s="18">
        <f>IF(OHW!$G1143="","",OHW!$A1143)</f>
        <v/>
      </c>
      <c r="F2190">
        <f>IF(OHW!$G1143="","",OHW!$B1143&amp;"")</f>
        <v/>
      </c>
      <c r="J2190">
        <f>IF(OHW!$G1143="","",OHW!$E1143)</f>
        <v/>
      </c>
      <c r="K2190">
        <f>IF(OHW!$G1143="","",COUNTIFS(OHW!$A$5:$A$1668,OHW!$A1143,OHW!$C$5:$C$1668,OHW!$C1143))</f>
        <v/>
      </c>
      <c r="L2190">
        <f>IF(OHW!$G1143="","",OHW!$D1143&amp;"")</f>
        <v/>
      </c>
      <c r="M2190">
        <f>IF(OHW!$G1143="","",OHW!$F1143)</f>
        <v/>
      </c>
      <c r="N2190">
        <f>IF(OHW!$G1143="","",OHW!$G1143)</f>
        <v/>
      </c>
      <c r="O2190">
        <f>IF(OHW!$G1143="","",OHW!$I1143)</f>
        <v/>
      </c>
      <c r="P2190">
        <f>IF(OHW!$G1143="","","Final")</f>
        <v/>
      </c>
    </row>
    <row r="2191">
      <c r="A2191">
        <f>IF(OHW!$G1144="","","OHW")</f>
        <v/>
      </c>
      <c r="B2191">
        <f>IF(OHW!$G1144="","","OHW")</f>
        <v/>
      </c>
      <c r="C2191" s="18">
        <f>IF(OHW!$G1144="","",OHW!$A1144)</f>
        <v/>
      </c>
      <c r="F2191">
        <f>IF(OHW!$G1144="","",OHW!$B1144&amp;"")</f>
        <v/>
      </c>
      <c r="J2191">
        <f>IF(OHW!$G1144="","",OHW!$E1144)</f>
        <v/>
      </c>
      <c r="K2191">
        <f>IF(OHW!$G1144="","",COUNTIFS(OHW!$A$5:$A$1668,OHW!$A1144,OHW!$C$5:$C$1668,OHW!$C1144))</f>
        <v/>
      </c>
      <c r="L2191">
        <f>IF(OHW!$G1144="","",OHW!$D1144&amp;"")</f>
        <v/>
      </c>
      <c r="M2191">
        <f>IF(OHW!$G1144="","",OHW!$F1144)</f>
        <v/>
      </c>
      <c r="N2191">
        <f>IF(OHW!$G1144="","",OHW!$G1144)</f>
        <v/>
      </c>
      <c r="O2191">
        <f>IF(OHW!$G1144="","",OHW!$I1144)</f>
        <v/>
      </c>
      <c r="P2191">
        <f>IF(OHW!$G1144="","","Final")</f>
        <v/>
      </c>
    </row>
    <row r="2192">
      <c r="A2192">
        <f>IF(OHW!$G1145="","","OHW")</f>
        <v/>
      </c>
      <c r="B2192">
        <f>IF(OHW!$G1145="","","OHW")</f>
        <v/>
      </c>
      <c r="C2192" s="18">
        <f>IF(OHW!$G1145="","",OHW!$A1145)</f>
        <v/>
      </c>
      <c r="F2192">
        <f>IF(OHW!$G1145="","",OHW!$B1145&amp;"")</f>
        <v/>
      </c>
      <c r="J2192">
        <f>IF(OHW!$G1145="","",OHW!$E1145)</f>
        <v/>
      </c>
      <c r="K2192">
        <f>IF(OHW!$G1145="","",COUNTIFS(OHW!$A$5:$A$1668,OHW!$A1145,OHW!$C$5:$C$1668,OHW!$C1145))</f>
        <v/>
      </c>
      <c r="L2192">
        <f>IF(OHW!$G1145="","",OHW!$D1145&amp;"")</f>
        <v/>
      </c>
      <c r="M2192">
        <f>IF(OHW!$G1145="","",OHW!$F1145)</f>
        <v/>
      </c>
      <c r="N2192">
        <f>IF(OHW!$G1145="","",OHW!$G1145)</f>
        <v/>
      </c>
      <c r="O2192">
        <f>IF(OHW!$G1145="","",OHW!$I1145)</f>
        <v/>
      </c>
      <c r="P2192">
        <f>IF(OHW!$G1145="","","Final")</f>
        <v/>
      </c>
    </row>
    <row r="2193">
      <c r="A2193">
        <f>IF(OHW!$G1146="","","OHW")</f>
        <v/>
      </c>
      <c r="B2193">
        <f>IF(OHW!$G1146="","","OHW")</f>
        <v/>
      </c>
      <c r="C2193" s="18">
        <f>IF(OHW!$G1146="","",OHW!$A1146)</f>
        <v/>
      </c>
      <c r="F2193">
        <f>IF(OHW!$G1146="","",OHW!$B1146&amp;"")</f>
        <v/>
      </c>
      <c r="J2193">
        <f>IF(OHW!$G1146="","",OHW!$E1146)</f>
        <v/>
      </c>
      <c r="K2193">
        <f>IF(OHW!$G1146="","",COUNTIFS(OHW!$A$5:$A$1668,OHW!$A1146,OHW!$C$5:$C$1668,OHW!$C1146))</f>
        <v/>
      </c>
      <c r="L2193">
        <f>IF(OHW!$G1146="","",OHW!$D1146&amp;"")</f>
        <v/>
      </c>
      <c r="M2193">
        <f>IF(OHW!$G1146="","",OHW!$F1146)</f>
        <v/>
      </c>
      <c r="N2193">
        <f>IF(OHW!$G1146="","",OHW!$G1146)</f>
        <v/>
      </c>
      <c r="O2193">
        <f>IF(OHW!$G1146="","",OHW!$I1146)</f>
        <v/>
      </c>
      <c r="P2193">
        <f>IF(OHW!$G1146="","","Final")</f>
        <v/>
      </c>
    </row>
    <row r="2194">
      <c r="A2194">
        <f>IF(OHW!$G1147="","","OHW")</f>
        <v/>
      </c>
      <c r="B2194">
        <f>IF(OHW!$G1147="","","OHW")</f>
        <v/>
      </c>
      <c r="C2194" s="18">
        <f>IF(OHW!$G1147="","",OHW!$A1147)</f>
        <v/>
      </c>
      <c r="F2194">
        <f>IF(OHW!$G1147="","",OHW!$B1147&amp;"")</f>
        <v/>
      </c>
      <c r="J2194">
        <f>IF(OHW!$G1147="","",OHW!$E1147)</f>
        <v/>
      </c>
      <c r="K2194">
        <f>IF(OHW!$G1147="","",COUNTIFS(OHW!$A$5:$A$1668,OHW!$A1147,OHW!$C$5:$C$1668,OHW!$C1147))</f>
        <v/>
      </c>
      <c r="L2194">
        <f>IF(OHW!$G1147="","",OHW!$D1147&amp;"")</f>
        <v/>
      </c>
      <c r="M2194">
        <f>IF(OHW!$G1147="","",OHW!$F1147)</f>
        <v/>
      </c>
      <c r="N2194">
        <f>IF(OHW!$G1147="","",OHW!$G1147)</f>
        <v/>
      </c>
      <c r="O2194">
        <f>IF(OHW!$G1147="","",OHW!$I1147)</f>
        <v/>
      </c>
      <c r="P2194">
        <f>IF(OHW!$G1147="","","Final")</f>
        <v/>
      </c>
    </row>
    <row r="2195">
      <c r="A2195">
        <f>IF(OHW!$G1148="","","OHW")</f>
        <v/>
      </c>
      <c r="B2195">
        <f>IF(OHW!$G1148="","","OHW")</f>
        <v/>
      </c>
      <c r="C2195" s="18">
        <f>IF(OHW!$G1148="","",OHW!$A1148)</f>
        <v/>
      </c>
      <c r="F2195">
        <f>IF(OHW!$G1148="","",OHW!$B1148&amp;"")</f>
        <v/>
      </c>
      <c r="J2195">
        <f>IF(OHW!$G1148="","",OHW!$E1148)</f>
        <v/>
      </c>
      <c r="K2195">
        <f>IF(OHW!$G1148="","",COUNTIFS(OHW!$A$5:$A$1668,OHW!$A1148,OHW!$C$5:$C$1668,OHW!$C1148))</f>
        <v/>
      </c>
      <c r="L2195">
        <f>IF(OHW!$G1148="","",OHW!$D1148&amp;"")</f>
        <v/>
      </c>
      <c r="M2195">
        <f>IF(OHW!$G1148="","",OHW!$F1148)</f>
        <v/>
      </c>
      <c r="N2195">
        <f>IF(OHW!$G1148="","",OHW!$G1148)</f>
        <v/>
      </c>
      <c r="O2195">
        <f>IF(OHW!$G1148="","",OHW!$I1148)</f>
        <v/>
      </c>
      <c r="P2195">
        <f>IF(OHW!$G1148="","","Final")</f>
        <v/>
      </c>
    </row>
    <row r="2196">
      <c r="A2196">
        <f>IF(OHW!$G1149="","","OHW")</f>
        <v/>
      </c>
      <c r="B2196">
        <f>IF(OHW!$G1149="","","OHW")</f>
        <v/>
      </c>
      <c r="C2196" s="18">
        <f>IF(OHW!$G1149="","",OHW!$A1149)</f>
        <v/>
      </c>
      <c r="F2196">
        <f>IF(OHW!$G1149="","",OHW!$B1149&amp;"")</f>
        <v/>
      </c>
      <c r="J2196">
        <f>IF(OHW!$G1149="","",OHW!$E1149)</f>
        <v/>
      </c>
      <c r="K2196">
        <f>IF(OHW!$G1149="","",COUNTIFS(OHW!$A$5:$A$1668,OHW!$A1149,OHW!$C$5:$C$1668,OHW!$C1149))</f>
        <v/>
      </c>
      <c r="L2196">
        <f>IF(OHW!$G1149="","",OHW!$D1149&amp;"")</f>
        <v/>
      </c>
      <c r="M2196">
        <f>IF(OHW!$G1149="","",OHW!$F1149)</f>
        <v/>
      </c>
      <c r="N2196">
        <f>IF(OHW!$G1149="","",OHW!$G1149)</f>
        <v/>
      </c>
      <c r="O2196">
        <f>IF(OHW!$G1149="","",OHW!$I1149)</f>
        <v/>
      </c>
      <c r="P2196">
        <f>IF(OHW!$G1149="","","Final")</f>
        <v/>
      </c>
    </row>
    <row r="2197">
      <c r="A2197">
        <f>IF(OHW!$G1150="","","OHW")</f>
        <v/>
      </c>
      <c r="B2197">
        <f>IF(OHW!$G1150="","","OHW")</f>
        <v/>
      </c>
      <c r="C2197" s="18">
        <f>IF(OHW!$G1150="","",OHW!$A1150)</f>
        <v/>
      </c>
      <c r="F2197">
        <f>IF(OHW!$G1150="","",OHW!$B1150&amp;"")</f>
        <v/>
      </c>
      <c r="J2197">
        <f>IF(OHW!$G1150="","",OHW!$E1150)</f>
        <v/>
      </c>
      <c r="K2197">
        <f>IF(OHW!$G1150="","",COUNTIFS(OHW!$A$5:$A$1668,OHW!$A1150,OHW!$C$5:$C$1668,OHW!$C1150))</f>
        <v/>
      </c>
      <c r="L2197">
        <f>IF(OHW!$G1150="","",OHW!$D1150&amp;"")</f>
        <v/>
      </c>
      <c r="M2197">
        <f>IF(OHW!$G1150="","",OHW!$F1150)</f>
        <v/>
      </c>
      <c r="N2197">
        <f>IF(OHW!$G1150="","",OHW!$G1150)</f>
        <v/>
      </c>
      <c r="O2197">
        <f>IF(OHW!$G1150="","",OHW!$I1150)</f>
        <v/>
      </c>
      <c r="P2197">
        <f>IF(OHW!$G1150="","","Final")</f>
        <v/>
      </c>
    </row>
    <row r="2198">
      <c r="A2198">
        <f>IF(OHW!$G1151="","","OHW")</f>
        <v/>
      </c>
      <c r="B2198">
        <f>IF(OHW!$G1151="","","OHW")</f>
        <v/>
      </c>
      <c r="C2198" s="18">
        <f>IF(OHW!$G1151="","",OHW!$A1151)</f>
        <v/>
      </c>
      <c r="F2198">
        <f>IF(OHW!$G1151="","",OHW!$B1151&amp;"")</f>
        <v/>
      </c>
      <c r="J2198">
        <f>IF(OHW!$G1151="","",OHW!$E1151)</f>
        <v/>
      </c>
      <c r="K2198">
        <f>IF(OHW!$G1151="","",COUNTIFS(OHW!$A$5:$A$1668,OHW!$A1151,OHW!$C$5:$C$1668,OHW!$C1151))</f>
        <v/>
      </c>
      <c r="L2198">
        <f>IF(OHW!$G1151="","",OHW!$D1151&amp;"")</f>
        <v/>
      </c>
      <c r="M2198">
        <f>IF(OHW!$G1151="","",OHW!$F1151)</f>
        <v/>
      </c>
      <c r="N2198">
        <f>IF(OHW!$G1151="","",OHW!$G1151)</f>
        <v/>
      </c>
      <c r="O2198">
        <f>IF(OHW!$G1151="","",OHW!$I1151)</f>
        <v/>
      </c>
      <c r="P2198">
        <f>IF(OHW!$G1151="","","Final")</f>
        <v/>
      </c>
    </row>
    <row r="2199">
      <c r="A2199">
        <f>IF(OHW!$G1152="","","OHW")</f>
        <v/>
      </c>
      <c r="B2199">
        <f>IF(OHW!$G1152="","","OHW")</f>
        <v/>
      </c>
      <c r="C2199" s="18">
        <f>IF(OHW!$G1152="","",OHW!$A1152)</f>
        <v/>
      </c>
      <c r="F2199">
        <f>IF(OHW!$G1152="","",OHW!$B1152&amp;"")</f>
        <v/>
      </c>
      <c r="J2199">
        <f>IF(OHW!$G1152="","",OHW!$E1152)</f>
        <v/>
      </c>
      <c r="K2199">
        <f>IF(OHW!$G1152="","",COUNTIFS(OHW!$A$5:$A$1668,OHW!$A1152,OHW!$C$5:$C$1668,OHW!$C1152))</f>
        <v/>
      </c>
      <c r="L2199">
        <f>IF(OHW!$G1152="","",OHW!$D1152&amp;"")</f>
        <v/>
      </c>
      <c r="M2199">
        <f>IF(OHW!$G1152="","",OHW!$F1152)</f>
        <v/>
      </c>
      <c r="N2199">
        <f>IF(OHW!$G1152="","",OHW!$G1152)</f>
        <v/>
      </c>
      <c r="O2199">
        <f>IF(OHW!$G1152="","",OHW!$I1152)</f>
        <v/>
      </c>
      <c r="P2199">
        <f>IF(OHW!$G1152="","","Final")</f>
        <v/>
      </c>
    </row>
    <row r="2200">
      <c r="A2200">
        <f>IF(OHW!$G1153="","","OHW")</f>
        <v/>
      </c>
      <c r="B2200">
        <f>IF(OHW!$G1153="","","OHW")</f>
        <v/>
      </c>
      <c r="C2200" s="18">
        <f>IF(OHW!$G1153="","",OHW!$A1153)</f>
        <v/>
      </c>
      <c r="F2200">
        <f>IF(OHW!$G1153="","",OHW!$B1153&amp;"")</f>
        <v/>
      </c>
      <c r="J2200">
        <f>IF(OHW!$G1153="","",OHW!$E1153)</f>
        <v/>
      </c>
      <c r="K2200">
        <f>IF(OHW!$G1153="","",COUNTIFS(OHW!$A$5:$A$1668,OHW!$A1153,OHW!$C$5:$C$1668,OHW!$C1153))</f>
        <v/>
      </c>
      <c r="L2200">
        <f>IF(OHW!$G1153="","",OHW!$D1153&amp;"")</f>
        <v/>
      </c>
      <c r="M2200">
        <f>IF(OHW!$G1153="","",OHW!$F1153)</f>
        <v/>
      </c>
      <c r="N2200">
        <f>IF(OHW!$G1153="","",OHW!$G1153)</f>
        <v/>
      </c>
      <c r="O2200">
        <f>IF(OHW!$G1153="","",OHW!$I1153)</f>
        <v/>
      </c>
      <c r="P2200">
        <f>IF(OHW!$G1153="","","Final")</f>
        <v/>
      </c>
    </row>
    <row r="2201">
      <c r="A2201">
        <f>IF(OHW!$G1154="","","OHW")</f>
        <v/>
      </c>
      <c r="B2201">
        <f>IF(OHW!$G1154="","","OHW")</f>
        <v/>
      </c>
      <c r="C2201" s="18">
        <f>IF(OHW!$G1154="","",OHW!$A1154)</f>
        <v/>
      </c>
      <c r="F2201">
        <f>IF(OHW!$G1154="","",OHW!$B1154&amp;"")</f>
        <v/>
      </c>
      <c r="J2201">
        <f>IF(OHW!$G1154="","",OHW!$E1154)</f>
        <v/>
      </c>
      <c r="K2201">
        <f>IF(OHW!$G1154="","",COUNTIFS(OHW!$A$5:$A$1668,OHW!$A1154,OHW!$C$5:$C$1668,OHW!$C1154))</f>
        <v/>
      </c>
      <c r="L2201">
        <f>IF(OHW!$G1154="","",OHW!$D1154&amp;"")</f>
        <v/>
      </c>
      <c r="M2201">
        <f>IF(OHW!$G1154="","",OHW!$F1154)</f>
        <v/>
      </c>
      <c r="N2201">
        <f>IF(OHW!$G1154="","",OHW!$G1154)</f>
        <v/>
      </c>
      <c r="O2201">
        <f>IF(OHW!$G1154="","",OHW!$I1154)</f>
        <v/>
      </c>
      <c r="P2201">
        <f>IF(OHW!$G1154="","","Final")</f>
        <v/>
      </c>
    </row>
    <row r="2202">
      <c r="A2202">
        <f>IF(OHW!$G1155="","","OHW")</f>
        <v/>
      </c>
      <c r="B2202">
        <f>IF(OHW!$G1155="","","OHW")</f>
        <v/>
      </c>
      <c r="C2202" s="18">
        <f>IF(OHW!$G1155="","",OHW!$A1155)</f>
        <v/>
      </c>
      <c r="F2202">
        <f>IF(OHW!$G1155="","",OHW!$B1155&amp;"")</f>
        <v/>
      </c>
      <c r="J2202">
        <f>IF(OHW!$G1155="","",OHW!$E1155)</f>
        <v/>
      </c>
      <c r="K2202">
        <f>IF(OHW!$G1155="","",COUNTIFS(OHW!$A$5:$A$1668,OHW!$A1155,OHW!$C$5:$C$1668,OHW!$C1155))</f>
        <v/>
      </c>
      <c r="L2202">
        <f>IF(OHW!$G1155="","",OHW!$D1155&amp;"")</f>
        <v/>
      </c>
      <c r="M2202">
        <f>IF(OHW!$G1155="","",OHW!$F1155)</f>
        <v/>
      </c>
      <c r="N2202">
        <f>IF(OHW!$G1155="","",OHW!$G1155)</f>
        <v/>
      </c>
      <c r="O2202">
        <f>IF(OHW!$G1155="","",OHW!$I1155)</f>
        <v/>
      </c>
      <c r="P2202">
        <f>IF(OHW!$G1155="","","Final")</f>
        <v/>
      </c>
    </row>
    <row r="2203">
      <c r="A2203">
        <f>IF(OHW!$G1156="","","OHW")</f>
        <v/>
      </c>
      <c r="B2203">
        <f>IF(OHW!$G1156="","","OHW")</f>
        <v/>
      </c>
      <c r="C2203" s="18">
        <f>IF(OHW!$G1156="","",OHW!$A1156)</f>
        <v/>
      </c>
      <c r="F2203">
        <f>IF(OHW!$G1156="","",OHW!$B1156&amp;"")</f>
        <v/>
      </c>
      <c r="J2203">
        <f>IF(OHW!$G1156="","",OHW!$E1156)</f>
        <v/>
      </c>
      <c r="K2203">
        <f>IF(OHW!$G1156="","",COUNTIFS(OHW!$A$5:$A$1668,OHW!$A1156,OHW!$C$5:$C$1668,OHW!$C1156))</f>
        <v/>
      </c>
      <c r="L2203">
        <f>IF(OHW!$G1156="","",OHW!$D1156&amp;"")</f>
        <v/>
      </c>
      <c r="M2203">
        <f>IF(OHW!$G1156="","",OHW!$F1156)</f>
        <v/>
      </c>
      <c r="N2203">
        <f>IF(OHW!$G1156="","",OHW!$G1156)</f>
        <v/>
      </c>
      <c r="O2203">
        <f>IF(OHW!$G1156="","",OHW!$I1156)</f>
        <v/>
      </c>
      <c r="P2203">
        <f>IF(OHW!$G1156="","","Final")</f>
        <v/>
      </c>
    </row>
    <row r="2204">
      <c r="A2204">
        <f>IF(OHW!$G1157="","","OHW")</f>
        <v/>
      </c>
      <c r="B2204">
        <f>IF(OHW!$G1157="","","OHW")</f>
        <v/>
      </c>
      <c r="C2204" s="18">
        <f>IF(OHW!$G1157="","",OHW!$A1157)</f>
        <v/>
      </c>
      <c r="F2204">
        <f>IF(OHW!$G1157="","",OHW!$B1157&amp;"")</f>
        <v/>
      </c>
      <c r="J2204">
        <f>IF(OHW!$G1157="","",OHW!$E1157)</f>
        <v/>
      </c>
      <c r="K2204">
        <f>IF(OHW!$G1157="","",COUNTIFS(OHW!$A$5:$A$1668,OHW!$A1157,OHW!$C$5:$C$1668,OHW!$C1157))</f>
        <v/>
      </c>
      <c r="L2204">
        <f>IF(OHW!$G1157="","",OHW!$D1157&amp;"")</f>
        <v/>
      </c>
      <c r="M2204">
        <f>IF(OHW!$G1157="","",OHW!$F1157)</f>
        <v/>
      </c>
      <c r="N2204">
        <f>IF(OHW!$G1157="","",OHW!$G1157)</f>
        <v/>
      </c>
      <c r="O2204">
        <f>IF(OHW!$G1157="","",OHW!$I1157)</f>
        <v/>
      </c>
      <c r="P2204">
        <f>IF(OHW!$G1157="","","Final")</f>
        <v/>
      </c>
    </row>
    <row r="2205">
      <c r="A2205">
        <f>IF(OHW!$G1158="","","OHW")</f>
        <v/>
      </c>
      <c r="B2205">
        <f>IF(OHW!$G1158="","","OHW")</f>
        <v/>
      </c>
      <c r="C2205" s="18">
        <f>IF(OHW!$G1158="","",OHW!$A1158)</f>
        <v/>
      </c>
      <c r="F2205">
        <f>IF(OHW!$G1158="","",OHW!$B1158&amp;"")</f>
        <v/>
      </c>
      <c r="J2205">
        <f>IF(OHW!$G1158="","",OHW!$E1158)</f>
        <v/>
      </c>
      <c r="K2205">
        <f>IF(OHW!$G1158="","",COUNTIFS(OHW!$A$5:$A$1668,OHW!$A1158,OHW!$C$5:$C$1668,OHW!$C1158))</f>
        <v/>
      </c>
      <c r="L2205">
        <f>IF(OHW!$G1158="","",OHW!$D1158&amp;"")</f>
        <v/>
      </c>
      <c r="M2205">
        <f>IF(OHW!$G1158="","",OHW!$F1158)</f>
        <v/>
      </c>
      <c r="N2205">
        <f>IF(OHW!$G1158="","",OHW!$G1158)</f>
        <v/>
      </c>
      <c r="O2205">
        <f>IF(OHW!$G1158="","",OHW!$I1158)</f>
        <v/>
      </c>
      <c r="P2205">
        <f>IF(OHW!$G1158="","","Final")</f>
        <v/>
      </c>
    </row>
    <row r="2206">
      <c r="A2206">
        <f>IF(OHW!$G1159="","","OHW")</f>
        <v/>
      </c>
      <c r="B2206">
        <f>IF(OHW!$G1159="","","OHW")</f>
        <v/>
      </c>
      <c r="C2206" s="18">
        <f>IF(OHW!$G1159="","",OHW!$A1159)</f>
        <v/>
      </c>
      <c r="F2206">
        <f>IF(OHW!$G1159="","",OHW!$B1159&amp;"")</f>
        <v/>
      </c>
      <c r="J2206">
        <f>IF(OHW!$G1159="","",OHW!$E1159)</f>
        <v/>
      </c>
      <c r="K2206">
        <f>IF(OHW!$G1159="","",COUNTIFS(OHW!$A$5:$A$1668,OHW!$A1159,OHW!$C$5:$C$1668,OHW!$C1159))</f>
        <v/>
      </c>
      <c r="L2206">
        <f>IF(OHW!$G1159="","",OHW!$D1159&amp;"")</f>
        <v/>
      </c>
      <c r="M2206">
        <f>IF(OHW!$G1159="","",OHW!$F1159)</f>
        <v/>
      </c>
      <c r="N2206">
        <f>IF(OHW!$G1159="","",OHW!$G1159)</f>
        <v/>
      </c>
      <c r="O2206">
        <f>IF(OHW!$G1159="","",OHW!$I1159)</f>
        <v/>
      </c>
      <c r="P2206">
        <f>IF(OHW!$G1159="","","Final")</f>
        <v/>
      </c>
    </row>
    <row r="2207">
      <c r="A2207">
        <f>IF(OHW!$G1160="","","OHW")</f>
        <v/>
      </c>
      <c r="B2207">
        <f>IF(OHW!$G1160="","","OHW")</f>
        <v/>
      </c>
      <c r="C2207" s="18">
        <f>IF(OHW!$G1160="","",OHW!$A1160)</f>
        <v/>
      </c>
      <c r="F2207">
        <f>IF(OHW!$G1160="","",OHW!$B1160&amp;"")</f>
        <v/>
      </c>
      <c r="J2207">
        <f>IF(OHW!$G1160="","",OHW!$E1160)</f>
        <v/>
      </c>
      <c r="K2207">
        <f>IF(OHW!$G1160="","",COUNTIFS(OHW!$A$5:$A$1668,OHW!$A1160,OHW!$C$5:$C$1668,OHW!$C1160))</f>
        <v/>
      </c>
      <c r="L2207">
        <f>IF(OHW!$G1160="","",OHW!$D1160&amp;"")</f>
        <v/>
      </c>
      <c r="M2207">
        <f>IF(OHW!$G1160="","",OHW!$F1160)</f>
        <v/>
      </c>
      <c r="N2207">
        <f>IF(OHW!$G1160="","",OHW!$G1160)</f>
        <v/>
      </c>
      <c r="O2207">
        <f>IF(OHW!$G1160="","",OHW!$I1160)</f>
        <v/>
      </c>
      <c r="P2207">
        <f>IF(OHW!$G1160="","","Final")</f>
        <v/>
      </c>
    </row>
    <row r="2208">
      <c r="A2208">
        <f>IF(OHW!$G1161="","","OHW")</f>
        <v/>
      </c>
      <c r="B2208">
        <f>IF(OHW!$G1161="","","OHW")</f>
        <v/>
      </c>
      <c r="C2208" s="18">
        <f>IF(OHW!$G1161="","",OHW!$A1161)</f>
        <v/>
      </c>
      <c r="F2208">
        <f>IF(OHW!$G1161="","",OHW!$B1161&amp;"")</f>
        <v/>
      </c>
      <c r="J2208">
        <f>IF(OHW!$G1161="","",OHW!$E1161)</f>
        <v/>
      </c>
      <c r="K2208">
        <f>IF(OHW!$G1161="","",COUNTIFS(OHW!$A$5:$A$1668,OHW!$A1161,OHW!$C$5:$C$1668,OHW!$C1161))</f>
        <v/>
      </c>
      <c r="L2208">
        <f>IF(OHW!$G1161="","",OHW!$D1161&amp;"")</f>
        <v/>
      </c>
      <c r="M2208">
        <f>IF(OHW!$G1161="","",OHW!$F1161)</f>
        <v/>
      </c>
      <c r="N2208">
        <f>IF(OHW!$G1161="","",OHW!$G1161)</f>
        <v/>
      </c>
      <c r="O2208">
        <f>IF(OHW!$G1161="","",OHW!$I1161)</f>
        <v/>
      </c>
      <c r="P2208">
        <f>IF(OHW!$G1161="","","Final")</f>
        <v/>
      </c>
    </row>
    <row r="2209">
      <c r="A2209">
        <f>IF(OHW!$G1162="","","OHW")</f>
        <v/>
      </c>
      <c r="B2209">
        <f>IF(OHW!$G1162="","","OHW")</f>
        <v/>
      </c>
      <c r="C2209" s="18">
        <f>IF(OHW!$G1162="","",OHW!$A1162)</f>
        <v/>
      </c>
      <c r="F2209">
        <f>IF(OHW!$G1162="","",OHW!$B1162&amp;"")</f>
        <v/>
      </c>
      <c r="J2209">
        <f>IF(OHW!$G1162="","",OHW!$E1162)</f>
        <v/>
      </c>
      <c r="K2209">
        <f>IF(OHW!$G1162="","",COUNTIFS(OHW!$A$5:$A$1668,OHW!$A1162,OHW!$C$5:$C$1668,OHW!$C1162))</f>
        <v/>
      </c>
      <c r="L2209">
        <f>IF(OHW!$G1162="","",OHW!$D1162&amp;"")</f>
        <v/>
      </c>
      <c r="M2209">
        <f>IF(OHW!$G1162="","",OHW!$F1162)</f>
        <v/>
      </c>
      <c r="N2209">
        <f>IF(OHW!$G1162="","",OHW!$G1162)</f>
        <v/>
      </c>
      <c r="O2209">
        <f>IF(OHW!$G1162="","",OHW!$I1162)</f>
        <v/>
      </c>
      <c r="P2209">
        <f>IF(OHW!$G1162="","","Final")</f>
        <v/>
      </c>
    </row>
    <row r="2210">
      <c r="A2210">
        <f>IF(OHW!$G1163="","","OHW")</f>
        <v/>
      </c>
      <c r="B2210">
        <f>IF(OHW!$G1163="","","OHW")</f>
        <v/>
      </c>
      <c r="C2210" s="18">
        <f>IF(OHW!$G1163="","",OHW!$A1163)</f>
        <v/>
      </c>
      <c r="F2210">
        <f>IF(OHW!$G1163="","",OHW!$B1163&amp;"")</f>
        <v/>
      </c>
      <c r="J2210">
        <f>IF(OHW!$G1163="","",OHW!$E1163)</f>
        <v/>
      </c>
      <c r="K2210">
        <f>IF(OHW!$G1163="","",COUNTIFS(OHW!$A$5:$A$1668,OHW!$A1163,OHW!$C$5:$C$1668,OHW!$C1163))</f>
        <v/>
      </c>
      <c r="L2210">
        <f>IF(OHW!$G1163="","",OHW!$D1163&amp;"")</f>
        <v/>
      </c>
      <c r="M2210">
        <f>IF(OHW!$G1163="","",OHW!$F1163)</f>
        <v/>
      </c>
      <c r="N2210">
        <f>IF(OHW!$G1163="","",OHW!$G1163)</f>
        <v/>
      </c>
      <c r="O2210">
        <f>IF(OHW!$G1163="","",OHW!$I1163)</f>
        <v/>
      </c>
      <c r="P2210">
        <f>IF(OHW!$G1163="","","Final")</f>
        <v/>
      </c>
    </row>
    <row r="2211">
      <c r="A2211">
        <f>IF(OHW!$G1164="","","OHW")</f>
        <v/>
      </c>
      <c r="B2211">
        <f>IF(OHW!$G1164="","","OHW")</f>
        <v/>
      </c>
      <c r="C2211" s="18">
        <f>IF(OHW!$G1164="","",OHW!$A1164)</f>
        <v/>
      </c>
      <c r="F2211">
        <f>IF(OHW!$G1164="","",OHW!$B1164&amp;"")</f>
        <v/>
      </c>
      <c r="J2211">
        <f>IF(OHW!$G1164="","",OHW!$E1164)</f>
        <v/>
      </c>
      <c r="K2211">
        <f>IF(OHW!$G1164="","",COUNTIFS(OHW!$A$5:$A$1668,OHW!$A1164,OHW!$C$5:$C$1668,OHW!$C1164))</f>
        <v/>
      </c>
      <c r="L2211">
        <f>IF(OHW!$G1164="","",OHW!$D1164&amp;"")</f>
        <v/>
      </c>
      <c r="M2211">
        <f>IF(OHW!$G1164="","",OHW!$F1164)</f>
        <v/>
      </c>
      <c r="N2211">
        <f>IF(OHW!$G1164="","",OHW!$G1164)</f>
        <v/>
      </c>
      <c r="O2211">
        <f>IF(OHW!$G1164="","",OHW!$I1164)</f>
        <v/>
      </c>
      <c r="P2211">
        <f>IF(OHW!$G1164="","","Final")</f>
        <v/>
      </c>
    </row>
    <row r="2212">
      <c r="A2212">
        <f>IF(OHW!$G1165="","","OHW")</f>
        <v/>
      </c>
      <c r="B2212">
        <f>IF(OHW!$G1165="","","OHW")</f>
        <v/>
      </c>
      <c r="C2212" s="18">
        <f>IF(OHW!$G1165="","",OHW!$A1165)</f>
        <v/>
      </c>
      <c r="F2212">
        <f>IF(OHW!$G1165="","",OHW!$B1165&amp;"")</f>
        <v/>
      </c>
      <c r="J2212">
        <f>IF(OHW!$G1165="","",OHW!$E1165)</f>
        <v/>
      </c>
      <c r="K2212">
        <f>IF(OHW!$G1165="","",COUNTIFS(OHW!$A$5:$A$1668,OHW!$A1165,OHW!$C$5:$C$1668,OHW!$C1165))</f>
        <v/>
      </c>
      <c r="L2212">
        <f>IF(OHW!$G1165="","",OHW!$D1165&amp;"")</f>
        <v/>
      </c>
      <c r="M2212">
        <f>IF(OHW!$G1165="","",OHW!$F1165)</f>
        <v/>
      </c>
      <c r="N2212">
        <f>IF(OHW!$G1165="","",OHW!$G1165)</f>
        <v/>
      </c>
      <c r="O2212">
        <f>IF(OHW!$G1165="","",OHW!$I1165)</f>
        <v/>
      </c>
      <c r="P2212">
        <f>IF(OHW!$G1165="","","Final")</f>
        <v/>
      </c>
    </row>
    <row r="2213">
      <c r="A2213">
        <f>IF(OHW!$G1166="","","OHW")</f>
        <v/>
      </c>
      <c r="B2213">
        <f>IF(OHW!$G1166="","","OHW")</f>
        <v/>
      </c>
      <c r="C2213" s="18">
        <f>IF(OHW!$G1166="","",OHW!$A1166)</f>
        <v/>
      </c>
      <c r="F2213">
        <f>IF(OHW!$G1166="","",OHW!$B1166&amp;"")</f>
        <v/>
      </c>
      <c r="J2213">
        <f>IF(OHW!$G1166="","",OHW!$E1166)</f>
        <v/>
      </c>
      <c r="K2213">
        <f>IF(OHW!$G1166="","",COUNTIFS(OHW!$A$5:$A$1668,OHW!$A1166,OHW!$C$5:$C$1668,OHW!$C1166))</f>
        <v/>
      </c>
      <c r="L2213">
        <f>IF(OHW!$G1166="","",OHW!$D1166&amp;"")</f>
        <v/>
      </c>
      <c r="M2213">
        <f>IF(OHW!$G1166="","",OHW!$F1166)</f>
        <v/>
      </c>
      <c r="N2213">
        <f>IF(OHW!$G1166="","",OHW!$G1166)</f>
        <v/>
      </c>
      <c r="O2213">
        <f>IF(OHW!$G1166="","",OHW!$I1166)</f>
        <v/>
      </c>
      <c r="P2213">
        <f>IF(OHW!$G1166="","","Final")</f>
        <v/>
      </c>
    </row>
    <row r="2214">
      <c r="A2214">
        <f>IF(OHW!$G1167="","","OHW")</f>
        <v/>
      </c>
      <c r="B2214">
        <f>IF(OHW!$G1167="","","OHW")</f>
        <v/>
      </c>
      <c r="C2214" s="18">
        <f>IF(OHW!$G1167="","",OHW!$A1167)</f>
        <v/>
      </c>
      <c r="F2214">
        <f>IF(OHW!$G1167="","",OHW!$B1167&amp;"")</f>
        <v/>
      </c>
      <c r="J2214">
        <f>IF(OHW!$G1167="","",OHW!$E1167)</f>
        <v/>
      </c>
      <c r="K2214">
        <f>IF(OHW!$G1167="","",COUNTIFS(OHW!$A$5:$A$1668,OHW!$A1167,OHW!$C$5:$C$1668,OHW!$C1167))</f>
        <v/>
      </c>
      <c r="L2214">
        <f>IF(OHW!$G1167="","",OHW!$D1167&amp;"")</f>
        <v/>
      </c>
      <c r="M2214">
        <f>IF(OHW!$G1167="","",OHW!$F1167)</f>
        <v/>
      </c>
      <c r="N2214">
        <f>IF(OHW!$G1167="","",OHW!$G1167)</f>
        <v/>
      </c>
      <c r="O2214">
        <f>IF(OHW!$G1167="","",OHW!$I1167)</f>
        <v/>
      </c>
      <c r="P2214">
        <f>IF(OHW!$G1167="","","Final")</f>
        <v/>
      </c>
    </row>
    <row r="2215">
      <c r="A2215">
        <f>IF(OHW!$G1168="","","OHW")</f>
        <v/>
      </c>
      <c r="B2215">
        <f>IF(OHW!$G1168="","","OHW")</f>
        <v/>
      </c>
      <c r="C2215" s="18">
        <f>IF(OHW!$G1168="","",OHW!$A1168)</f>
        <v/>
      </c>
      <c r="F2215">
        <f>IF(OHW!$G1168="","",OHW!$B1168&amp;"")</f>
        <v/>
      </c>
      <c r="J2215">
        <f>IF(OHW!$G1168="","",OHW!$E1168)</f>
        <v/>
      </c>
      <c r="K2215">
        <f>IF(OHW!$G1168="","",COUNTIFS(OHW!$A$5:$A$1668,OHW!$A1168,OHW!$C$5:$C$1668,OHW!$C1168))</f>
        <v/>
      </c>
      <c r="L2215">
        <f>IF(OHW!$G1168="","",OHW!$D1168&amp;"")</f>
        <v/>
      </c>
      <c r="M2215">
        <f>IF(OHW!$G1168="","",OHW!$F1168)</f>
        <v/>
      </c>
      <c r="N2215">
        <f>IF(OHW!$G1168="","",OHW!$G1168)</f>
        <v/>
      </c>
      <c r="O2215">
        <f>IF(OHW!$G1168="","",OHW!$I1168)</f>
        <v/>
      </c>
      <c r="P2215">
        <f>IF(OHW!$G1168="","","Final")</f>
        <v/>
      </c>
    </row>
    <row r="2216">
      <c r="A2216">
        <f>IF(OHW!$G1169="","","OHW")</f>
        <v/>
      </c>
      <c r="B2216">
        <f>IF(OHW!$G1169="","","OHW")</f>
        <v/>
      </c>
      <c r="C2216" s="18">
        <f>IF(OHW!$G1169="","",OHW!$A1169)</f>
        <v/>
      </c>
      <c r="F2216">
        <f>IF(OHW!$G1169="","",OHW!$B1169&amp;"")</f>
        <v/>
      </c>
      <c r="J2216">
        <f>IF(OHW!$G1169="","",OHW!$E1169)</f>
        <v/>
      </c>
      <c r="K2216">
        <f>IF(OHW!$G1169="","",COUNTIFS(OHW!$A$5:$A$1668,OHW!$A1169,OHW!$C$5:$C$1668,OHW!$C1169))</f>
        <v/>
      </c>
      <c r="L2216">
        <f>IF(OHW!$G1169="","",OHW!$D1169&amp;"")</f>
        <v/>
      </c>
      <c r="M2216">
        <f>IF(OHW!$G1169="","",OHW!$F1169)</f>
        <v/>
      </c>
      <c r="N2216">
        <f>IF(OHW!$G1169="","",OHW!$G1169)</f>
        <v/>
      </c>
      <c r="O2216">
        <f>IF(OHW!$G1169="","",OHW!$I1169)</f>
        <v/>
      </c>
      <c r="P2216">
        <f>IF(OHW!$G1169="","","Final")</f>
        <v/>
      </c>
    </row>
    <row r="2217">
      <c r="A2217">
        <f>IF(OHW!$G1170="","","OHW")</f>
        <v/>
      </c>
      <c r="B2217">
        <f>IF(OHW!$G1170="","","OHW")</f>
        <v/>
      </c>
      <c r="C2217" s="18">
        <f>IF(OHW!$G1170="","",OHW!$A1170)</f>
        <v/>
      </c>
      <c r="F2217">
        <f>IF(OHW!$G1170="","",OHW!$B1170&amp;"")</f>
        <v/>
      </c>
      <c r="J2217">
        <f>IF(OHW!$G1170="","",OHW!$E1170)</f>
        <v/>
      </c>
      <c r="K2217">
        <f>IF(OHW!$G1170="","",COUNTIFS(OHW!$A$5:$A$1668,OHW!$A1170,OHW!$C$5:$C$1668,OHW!$C1170))</f>
        <v/>
      </c>
      <c r="L2217">
        <f>IF(OHW!$G1170="","",OHW!$D1170&amp;"")</f>
        <v/>
      </c>
      <c r="M2217">
        <f>IF(OHW!$G1170="","",OHW!$F1170)</f>
        <v/>
      </c>
      <c r="N2217">
        <f>IF(OHW!$G1170="","",OHW!$G1170)</f>
        <v/>
      </c>
      <c r="O2217">
        <f>IF(OHW!$G1170="","",OHW!$I1170)</f>
        <v/>
      </c>
      <c r="P2217">
        <f>IF(OHW!$G1170="","","Final")</f>
        <v/>
      </c>
    </row>
    <row r="2218">
      <c r="A2218">
        <f>IF(OHW!$G1171="","","OHW")</f>
        <v/>
      </c>
      <c r="B2218">
        <f>IF(OHW!$G1171="","","OHW")</f>
        <v/>
      </c>
      <c r="C2218" s="18">
        <f>IF(OHW!$G1171="","",OHW!$A1171)</f>
        <v/>
      </c>
      <c r="F2218">
        <f>IF(OHW!$G1171="","",OHW!$B1171&amp;"")</f>
        <v/>
      </c>
      <c r="J2218">
        <f>IF(OHW!$G1171="","",OHW!$E1171)</f>
        <v/>
      </c>
      <c r="K2218">
        <f>IF(OHW!$G1171="","",COUNTIFS(OHW!$A$5:$A$1668,OHW!$A1171,OHW!$C$5:$C$1668,OHW!$C1171))</f>
        <v/>
      </c>
      <c r="L2218">
        <f>IF(OHW!$G1171="","",OHW!$D1171&amp;"")</f>
        <v/>
      </c>
      <c r="M2218">
        <f>IF(OHW!$G1171="","",OHW!$F1171)</f>
        <v/>
      </c>
      <c r="N2218">
        <f>IF(OHW!$G1171="","",OHW!$G1171)</f>
        <v/>
      </c>
      <c r="O2218">
        <f>IF(OHW!$G1171="","",OHW!$I1171)</f>
        <v/>
      </c>
      <c r="P2218">
        <f>IF(OHW!$G1171="","","Final")</f>
        <v/>
      </c>
    </row>
    <row r="2219">
      <c r="A2219">
        <f>IF(OHW!$G1172="","","OHW")</f>
        <v/>
      </c>
      <c r="B2219">
        <f>IF(OHW!$G1172="","","OHW")</f>
        <v/>
      </c>
      <c r="C2219" s="18">
        <f>IF(OHW!$G1172="","",OHW!$A1172)</f>
        <v/>
      </c>
      <c r="F2219">
        <f>IF(OHW!$G1172="","",OHW!$B1172&amp;"")</f>
        <v/>
      </c>
      <c r="J2219">
        <f>IF(OHW!$G1172="","",OHW!$E1172)</f>
        <v/>
      </c>
      <c r="K2219">
        <f>IF(OHW!$G1172="","",COUNTIFS(OHW!$A$5:$A$1668,OHW!$A1172,OHW!$C$5:$C$1668,OHW!$C1172))</f>
        <v/>
      </c>
      <c r="L2219">
        <f>IF(OHW!$G1172="","",OHW!$D1172&amp;"")</f>
        <v/>
      </c>
      <c r="M2219">
        <f>IF(OHW!$G1172="","",OHW!$F1172)</f>
        <v/>
      </c>
      <c r="N2219">
        <f>IF(OHW!$G1172="","",OHW!$G1172)</f>
        <v/>
      </c>
      <c r="O2219">
        <f>IF(OHW!$G1172="","",OHW!$I1172)</f>
        <v/>
      </c>
      <c r="P2219">
        <f>IF(OHW!$G1172="","","Final")</f>
        <v/>
      </c>
    </row>
    <row r="2220">
      <c r="A2220">
        <f>IF(OHW!$G1173="","","OHW")</f>
        <v/>
      </c>
      <c r="B2220">
        <f>IF(OHW!$G1173="","","OHW")</f>
        <v/>
      </c>
      <c r="C2220" s="18">
        <f>IF(OHW!$G1173="","",OHW!$A1173)</f>
        <v/>
      </c>
      <c r="F2220">
        <f>IF(OHW!$G1173="","",OHW!$B1173&amp;"")</f>
        <v/>
      </c>
      <c r="J2220">
        <f>IF(OHW!$G1173="","",OHW!$E1173)</f>
        <v/>
      </c>
      <c r="K2220">
        <f>IF(OHW!$G1173="","",COUNTIFS(OHW!$A$5:$A$1668,OHW!$A1173,OHW!$C$5:$C$1668,OHW!$C1173))</f>
        <v/>
      </c>
      <c r="L2220">
        <f>IF(OHW!$G1173="","",OHW!$D1173&amp;"")</f>
        <v/>
      </c>
      <c r="M2220">
        <f>IF(OHW!$G1173="","",OHW!$F1173)</f>
        <v/>
      </c>
      <c r="N2220">
        <f>IF(OHW!$G1173="","",OHW!$G1173)</f>
        <v/>
      </c>
      <c r="O2220">
        <f>IF(OHW!$G1173="","",OHW!$I1173)</f>
        <v/>
      </c>
      <c r="P2220">
        <f>IF(OHW!$G1173="","","Final")</f>
        <v/>
      </c>
    </row>
    <row r="2221">
      <c r="A2221">
        <f>IF(OHW!$G1174="","","OHW")</f>
        <v/>
      </c>
      <c r="B2221">
        <f>IF(OHW!$G1174="","","OHW")</f>
        <v/>
      </c>
      <c r="C2221" s="18">
        <f>IF(OHW!$G1174="","",OHW!$A1174)</f>
        <v/>
      </c>
      <c r="F2221">
        <f>IF(OHW!$G1174="","",OHW!$B1174&amp;"")</f>
        <v/>
      </c>
      <c r="J2221">
        <f>IF(OHW!$G1174="","",OHW!$E1174)</f>
        <v/>
      </c>
      <c r="K2221">
        <f>IF(OHW!$G1174="","",COUNTIFS(OHW!$A$5:$A$1668,OHW!$A1174,OHW!$C$5:$C$1668,OHW!$C1174))</f>
        <v/>
      </c>
      <c r="L2221">
        <f>IF(OHW!$G1174="","",OHW!$D1174&amp;"")</f>
        <v/>
      </c>
      <c r="M2221">
        <f>IF(OHW!$G1174="","",OHW!$F1174)</f>
        <v/>
      </c>
      <c r="N2221">
        <f>IF(OHW!$G1174="","",OHW!$G1174)</f>
        <v/>
      </c>
      <c r="O2221">
        <f>IF(OHW!$G1174="","",OHW!$I1174)</f>
        <v/>
      </c>
      <c r="P2221">
        <f>IF(OHW!$G1174="","","Final")</f>
        <v/>
      </c>
    </row>
    <row r="2222">
      <c r="A2222">
        <f>IF(OHW!$G1175="","","OHW")</f>
        <v/>
      </c>
      <c r="B2222">
        <f>IF(OHW!$G1175="","","OHW")</f>
        <v/>
      </c>
      <c r="C2222" s="18">
        <f>IF(OHW!$G1175="","",OHW!$A1175)</f>
        <v/>
      </c>
      <c r="F2222">
        <f>IF(OHW!$G1175="","",OHW!$B1175&amp;"")</f>
        <v/>
      </c>
      <c r="J2222">
        <f>IF(OHW!$G1175="","",OHW!$E1175)</f>
        <v/>
      </c>
      <c r="K2222">
        <f>IF(OHW!$G1175="","",COUNTIFS(OHW!$A$5:$A$1668,OHW!$A1175,OHW!$C$5:$C$1668,OHW!$C1175))</f>
        <v/>
      </c>
      <c r="L2222">
        <f>IF(OHW!$G1175="","",OHW!$D1175&amp;"")</f>
        <v/>
      </c>
      <c r="M2222">
        <f>IF(OHW!$G1175="","",OHW!$F1175)</f>
        <v/>
      </c>
      <c r="N2222">
        <f>IF(OHW!$G1175="","",OHW!$G1175)</f>
        <v/>
      </c>
      <c r="O2222">
        <f>IF(OHW!$G1175="","",OHW!$I1175)</f>
        <v/>
      </c>
      <c r="P2222">
        <f>IF(OHW!$G1175="","","Final")</f>
        <v/>
      </c>
    </row>
    <row r="2223">
      <c r="A2223">
        <f>IF(OHW!$G1176="","","OHW")</f>
        <v/>
      </c>
      <c r="B2223">
        <f>IF(OHW!$G1176="","","OHW")</f>
        <v/>
      </c>
      <c r="C2223" s="18">
        <f>IF(OHW!$G1176="","",OHW!$A1176)</f>
        <v/>
      </c>
      <c r="F2223">
        <f>IF(OHW!$G1176="","",OHW!$B1176&amp;"")</f>
        <v/>
      </c>
      <c r="J2223">
        <f>IF(OHW!$G1176="","",OHW!$E1176)</f>
        <v/>
      </c>
      <c r="K2223">
        <f>IF(OHW!$G1176="","",COUNTIFS(OHW!$A$5:$A$1668,OHW!$A1176,OHW!$C$5:$C$1668,OHW!$C1176))</f>
        <v/>
      </c>
      <c r="L2223">
        <f>IF(OHW!$G1176="","",OHW!$D1176&amp;"")</f>
        <v/>
      </c>
      <c r="M2223">
        <f>IF(OHW!$G1176="","",OHW!$F1176)</f>
        <v/>
      </c>
      <c r="N2223">
        <f>IF(OHW!$G1176="","",OHW!$G1176)</f>
        <v/>
      </c>
      <c r="O2223">
        <f>IF(OHW!$G1176="","",OHW!$I1176)</f>
        <v/>
      </c>
      <c r="P2223">
        <f>IF(OHW!$G1176="","","Final")</f>
        <v/>
      </c>
    </row>
    <row r="2224">
      <c r="A2224">
        <f>IF(OHW!$G1177="","","OHW")</f>
        <v/>
      </c>
      <c r="B2224">
        <f>IF(OHW!$G1177="","","OHW")</f>
        <v/>
      </c>
      <c r="C2224" s="18">
        <f>IF(OHW!$G1177="","",OHW!$A1177)</f>
        <v/>
      </c>
      <c r="F2224">
        <f>IF(OHW!$G1177="","",OHW!$B1177&amp;"")</f>
        <v/>
      </c>
      <c r="J2224">
        <f>IF(OHW!$G1177="","",OHW!$E1177)</f>
        <v/>
      </c>
      <c r="K2224">
        <f>IF(OHW!$G1177="","",COUNTIFS(OHW!$A$5:$A$1668,OHW!$A1177,OHW!$C$5:$C$1668,OHW!$C1177))</f>
        <v/>
      </c>
      <c r="L2224">
        <f>IF(OHW!$G1177="","",OHW!$D1177&amp;"")</f>
        <v/>
      </c>
      <c r="M2224">
        <f>IF(OHW!$G1177="","",OHW!$F1177)</f>
        <v/>
      </c>
      <c r="N2224">
        <f>IF(OHW!$G1177="","",OHW!$G1177)</f>
        <v/>
      </c>
      <c r="O2224">
        <f>IF(OHW!$G1177="","",OHW!$I1177)</f>
        <v/>
      </c>
      <c r="P2224">
        <f>IF(OHW!$G1177="","","Final")</f>
        <v/>
      </c>
    </row>
    <row r="2225">
      <c r="A2225">
        <f>IF(OHW!$G1178="","","OHW")</f>
        <v/>
      </c>
      <c r="B2225">
        <f>IF(OHW!$G1178="","","OHW")</f>
        <v/>
      </c>
      <c r="C2225" s="18">
        <f>IF(OHW!$G1178="","",OHW!$A1178)</f>
        <v/>
      </c>
      <c r="F2225">
        <f>IF(OHW!$G1178="","",OHW!$B1178&amp;"")</f>
        <v/>
      </c>
      <c r="J2225">
        <f>IF(OHW!$G1178="","",OHW!$E1178)</f>
        <v/>
      </c>
      <c r="K2225">
        <f>IF(OHW!$G1178="","",COUNTIFS(OHW!$A$5:$A$1668,OHW!$A1178,OHW!$C$5:$C$1668,OHW!$C1178))</f>
        <v/>
      </c>
      <c r="L2225">
        <f>IF(OHW!$G1178="","",OHW!$D1178&amp;"")</f>
        <v/>
      </c>
      <c r="M2225">
        <f>IF(OHW!$G1178="","",OHW!$F1178)</f>
        <v/>
      </c>
      <c r="N2225">
        <f>IF(OHW!$G1178="","",OHW!$G1178)</f>
        <v/>
      </c>
      <c r="O2225">
        <f>IF(OHW!$G1178="","",OHW!$I1178)</f>
        <v/>
      </c>
      <c r="P2225">
        <f>IF(OHW!$G1178="","","Final")</f>
        <v/>
      </c>
    </row>
    <row r="2226">
      <c r="A2226">
        <f>IF(OHW!$G1179="","","OHW")</f>
        <v/>
      </c>
      <c r="B2226">
        <f>IF(OHW!$G1179="","","OHW")</f>
        <v/>
      </c>
      <c r="C2226" s="18">
        <f>IF(OHW!$G1179="","",OHW!$A1179)</f>
        <v/>
      </c>
      <c r="F2226">
        <f>IF(OHW!$G1179="","",OHW!$B1179&amp;"")</f>
        <v/>
      </c>
      <c r="J2226">
        <f>IF(OHW!$G1179="","",OHW!$E1179)</f>
        <v/>
      </c>
      <c r="K2226">
        <f>IF(OHW!$G1179="","",COUNTIFS(OHW!$A$5:$A$1668,OHW!$A1179,OHW!$C$5:$C$1668,OHW!$C1179))</f>
        <v/>
      </c>
      <c r="L2226">
        <f>IF(OHW!$G1179="","",OHW!$D1179&amp;"")</f>
        <v/>
      </c>
      <c r="M2226">
        <f>IF(OHW!$G1179="","",OHW!$F1179)</f>
        <v/>
      </c>
      <c r="N2226">
        <f>IF(OHW!$G1179="","",OHW!$G1179)</f>
        <v/>
      </c>
      <c r="O2226">
        <f>IF(OHW!$G1179="","",OHW!$I1179)</f>
        <v/>
      </c>
      <c r="P2226">
        <f>IF(OHW!$G1179="","","Final")</f>
        <v/>
      </c>
    </row>
    <row r="2227">
      <c r="A2227">
        <f>IF(OHW!$G1180="","","OHW")</f>
        <v/>
      </c>
      <c r="B2227">
        <f>IF(OHW!$G1180="","","OHW")</f>
        <v/>
      </c>
      <c r="C2227" s="18">
        <f>IF(OHW!$G1180="","",OHW!$A1180)</f>
        <v/>
      </c>
      <c r="F2227">
        <f>IF(OHW!$G1180="","",OHW!$B1180&amp;"")</f>
        <v/>
      </c>
      <c r="J2227">
        <f>IF(OHW!$G1180="","",OHW!$E1180)</f>
        <v/>
      </c>
      <c r="K2227">
        <f>IF(OHW!$G1180="","",COUNTIFS(OHW!$A$5:$A$1668,OHW!$A1180,OHW!$C$5:$C$1668,OHW!$C1180))</f>
        <v/>
      </c>
      <c r="L2227">
        <f>IF(OHW!$G1180="","",OHW!$D1180&amp;"")</f>
        <v/>
      </c>
      <c r="M2227">
        <f>IF(OHW!$G1180="","",OHW!$F1180)</f>
        <v/>
      </c>
      <c r="N2227">
        <f>IF(OHW!$G1180="","",OHW!$G1180)</f>
        <v/>
      </c>
      <c r="O2227">
        <f>IF(OHW!$G1180="","",OHW!$I1180)</f>
        <v/>
      </c>
      <c r="P2227">
        <f>IF(OHW!$G1180="","","Final")</f>
        <v/>
      </c>
    </row>
    <row r="2228">
      <c r="A2228">
        <f>IF(OHW!$G1181="","","OHW")</f>
        <v/>
      </c>
      <c r="B2228">
        <f>IF(OHW!$G1181="","","OHW")</f>
        <v/>
      </c>
      <c r="C2228" s="18">
        <f>IF(OHW!$G1181="","",OHW!$A1181)</f>
        <v/>
      </c>
      <c r="F2228">
        <f>IF(OHW!$G1181="","",OHW!$B1181&amp;"")</f>
        <v/>
      </c>
      <c r="J2228">
        <f>IF(OHW!$G1181="","",OHW!$E1181)</f>
        <v/>
      </c>
      <c r="K2228">
        <f>IF(OHW!$G1181="","",COUNTIFS(OHW!$A$5:$A$1668,OHW!$A1181,OHW!$C$5:$C$1668,OHW!$C1181))</f>
        <v/>
      </c>
      <c r="L2228">
        <f>IF(OHW!$G1181="","",OHW!$D1181&amp;"")</f>
        <v/>
      </c>
      <c r="M2228">
        <f>IF(OHW!$G1181="","",OHW!$F1181)</f>
        <v/>
      </c>
      <c r="N2228">
        <f>IF(OHW!$G1181="","",OHW!$G1181)</f>
        <v/>
      </c>
      <c r="O2228">
        <f>IF(OHW!$G1181="","",OHW!$I1181)</f>
        <v/>
      </c>
      <c r="P2228">
        <f>IF(OHW!$G1181="","","Final")</f>
        <v/>
      </c>
    </row>
    <row r="2229">
      <c r="A2229">
        <f>IF(OHW!$G1182="","","OHW")</f>
        <v/>
      </c>
      <c r="B2229">
        <f>IF(OHW!$G1182="","","OHW")</f>
        <v/>
      </c>
      <c r="C2229" s="18">
        <f>IF(OHW!$G1182="","",OHW!$A1182)</f>
        <v/>
      </c>
      <c r="F2229">
        <f>IF(OHW!$G1182="","",OHW!$B1182&amp;"")</f>
        <v/>
      </c>
      <c r="J2229">
        <f>IF(OHW!$G1182="","",OHW!$E1182)</f>
        <v/>
      </c>
      <c r="K2229">
        <f>IF(OHW!$G1182="","",COUNTIFS(OHW!$A$5:$A$1668,OHW!$A1182,OHW!$C$5:$C$1668,OHW!$C1182))</f>
        <v/>
      </c>
      <c r="L2229">
        <f>IF(OHW!$G1182="","",OHW!$D1182&amp;"")</f>
        <v/>
      </c>
      <c r="M2229">
        <f>IF(OHW!$G1182="","",OHW!$F1182)</f>
        <v/>
      </c>
      <c r="N2229">
        <f>IF(OHW!$G1182="","",OHW!$G1182)</f>
        <v/>
      </c>
      <c r="O2229">
        <f>IF(OHW!$G1182="","",OHW!$I1182)</f>
        <v/>
      </c>
      <c r="P2229">
        <f>IF(OHW!$G1182="","","Final")</f>
        <v/>
      </c>
    </row>
    <row r="2230">
      <c r="A2230">
        <f>IF(OHW!$G1183="","","OHW")</f>
        <v/>
      </c>
      <c r="B2230">
        <f>IF(OHW!$G1183="","","OHW")</f>
        <v/>
      </c>
      <c r="C2230" s="18">
        <f>IF(OHW!$G1183="","",OHW!$A1183)</f>
        <v/>
      </c>
      <c r="F2230">
        <f>IF(OHW!$G1183="","",OHW!$B1183&amp;"")</f>
        <v/>
      </c>
      <c r="J2230">
        <f>IF(OHW!$G1183="","",OHW!$E1183)</f>
        <v/>
      </c>
      <c r="K2230">
        <f>IF(OHW!$G1183="","",COUNTIFS(OHW!$A$5:$A$1668,OHW!$A1183,OHW!$C$5:$C$1668,OHW!$C1183))</f>
        <v/>
      </c>
      <c r="L2230">
        <f>IF(OHW!$G1183="","",OHW!$D1183&amp;"")</f>
        <v/>
      </c>
      <c r="M2230">
        <f>IF(OHW!$G1183="","",OHW!$F1183)</f>
        <v/>
      </c>
      <c r="N2230">
        <f>IF(OHW!$G1183="","",OHW!$G1183)</f>
        <v/>
      </c>
      <c r="O2230">
        <f>IF(OHW!$G1183="","",OHW!$I1183)</f>
        <v/>
      </c>
      <c r="P2230">
        <f>IF(OHW!$G1183="","","Final")</f>
        <v/>
      </c>
    </row>
    <row r="2231">
      <c r="A2231">
        <f>IF(OHW!$G1184="","","OHW")</f>
        <v/>
      </c>
      <c r="B2231">
        <f>IF(OHW!$G1184="","","OHW")</f>
        <v/>
      </c>
      <c r="C2231" s="18">
        <f>IF(OHW!$G1184="","",OHW!$A1184)</f>
        <v/>
      </c>
      <c r="F2231">
        <f>IF(OHW!$G1184="","",OHW!$B1184&amp;"")</f>
        <v/>
      </c>
      <c r="J2231">
        <f>IF(OHW!$G1184="","",OHW!$E1184)</f>
        <v/>
      </c>
      <c r="K2231">
        <f>IF(OHW!$G1184="","",COUNTIFS(OHW!$A$5:$A$1668,OHW!$A1184,OHW!$C$5:$C$1668,OHW!$C1184))</f>
        <v/>
      </c>
      <c r="L2231">
        <f>IF(OHW!$G1184="","",OHW!$D1184&amp;"")</f>
        <v/>
      </c>
      <c r="M2231">
        <f>IF(OHW!$G1184="","",OHW!$F1184)</f>
        <v/>
      </c>
      <c r="N2231">
        <f>IF(OHW!$G1184="","",OHW!$G1184)</f>
        <v/>
      </c>
      <c r="O2231">
        <f>IF(OHW!$G1184="","",OHW!$I1184)</f>
        <v/>
      </c>
      <c r="P2231">
        <f>IF(OHW!$G1184="","","Final")</f>
        <v/>
      </c>
    </row>
    <row r="2232">
      <c r="A2232">
        <f>IF(OHW!$G1185="","","OHW")</f>
        <v/>
      </c>
      <c r="B2232">
        <f>IF(OHW!$G1185="","","OHW")</f>
        <v/>
      </c>
      <c r="C2232" s="18">
        <f>IF(OHW!$G1185="","",OHW!$A1185)</f>
        <v/>
      </c>
      <c r="F2232">
        <f>IF(OHW!$G1185="","",OHW!$B1185&amp;"")</f>
        <v/>
      </c>
      <c r="J2232">
        <f>IF(OHW!$G1185="","",OHW!$E1185)</f>
        <v/>
      </c>
      <c r="K2232">
        <f>IF(OHW!$G1185="","",COUNTIFS(OHW!$A$5:$A$1668,OHW!$A1185,OHW!$C$5:$C$1668,OHW!$C1185))</f>
        <v/>
      </c>
      <c r="L2232">
        <f>IF(OHW!$G1185="","",OHW!$D1185&amp;"")</f>
        <v/>
      </c>
      <c r="M2232">
        <f>IF(OHW!$G1185="","",OHW!$F1185)</f>
        <v/>
      </c>
      <c r="N2232">
        <f>IF(OHW!$G1185="","",OHW!$G1185)</f>
        <v/>
      </c>
      <c r="O2232">
        <f>IF(OHW!$G1185="","",OHW!$I1185)</f>
        <v/>
      </c>
      <c r="P2232">
        <f>IF(OHW!$G1185="","","Final")</f>
        <v/>
      </c>
    </row>
    <row r="2233">
      <c r="A2233">
        <f>IF(OHW!$G1186="","","OHW")</f>
        <v/>
      </c>
      <c r="B2233">
        <f>IF(OHW!$G1186="","","OHW")</f>
        <v/>
      </c>
      <c r="C2233" s="18">
        <f>IF(OHW!$G1186="","",OHW!$A1186)</f>
        <v/>
      </c>
      <c r="F2233">
        <f>IF(OHW!$G1186="","",OHW!$B1186&amp;"")</f>
        <v/>
      </c>
      <c r="J2233">
        <f>IF(OHW!$G1186="","",OHW!$E1186)</f>
        <v/>
      </c>
      <c r="K2233">
        <f>IF(OHW!$G1186="","",COUNTIFS(OHW!$A$5:$A$1668,OHW!$A1186,OHW!$C$5:$C$1668,OHW!$C1186))</f>
        <v/>
      </c>
      <c r="L2233">
        <f>IF(OHW!$G1186="","",OHW!$D1186&amp;"")</f>
        <v/>
      </c>
      <c r="M2233">
        <f>IF(OHW!$G1186="","",OHW!$F1186)</f>
        <v/>
      </c>
      <c r="N2233">
        <f>IF(OHW!$G1186="","",OHW!$G1186)</f>
        <v/>
      </c>
      <c r="O2233">
        <f>IF(OHW!$G1186="","",OHW!$I1186)</f>
        <v/>
      </c>
      <c r="P2233">
        <f>IF(OHW!$G1186="","","Final")</f>
        <v/>
      </c>
    </row>
    <row r="2234">
      <c r="A2234">
        <f>IF(OHW!$G1187="","","OHW")</f>
        <v/>
      </c>
      <c r="B2234">
        <f>IF(OHW!$G1187="","","OHW")</f>
        <v/>
      </c>
      <c r="C2234" s="18">
        <f>IF(OHW!$G1187="","",OHW!$A1187)</f>
        <v/>
      </c>
      <c r="F2234">
        <f>IF(OHW!$G1187="","",OHW!$B1187&amp;"")</f>
        <v/>
      </c>
      <c r="J2234">
        <f>IF(OHW!$G1187="","",OHW!$E1187)</f>
        <v/>
      </c>
      <c r="K2234">
        <f>IF(OHW!$G1187="","",COUNTIFS(OHW!$A$5:$A$1668,OHW!$A1187,OHW!$C$5:$C$1668,OHW!$C1187))</f>
        <v/>
      </c>
      <c r="L2234">
        <f>IF(OHW!$G1187="","",OHW!$D1187&amp;"")</f>
        <v/>
      </c>
      <c r="M2234">
        <f>IF(OHW!$G1187="","",OHW!$F1187)</f>
        <v/>
      </c>
      <c r="N2234">
        <f>IF(OHW!$G1187="","",OHW!$G1187)</f>
        <v/>
      </c>
      <c r="O2234">
        <f>IF(OHW!$G1187="","",OHW!$I1187)</f>
        <v/>
      </c>
      <c r="P2234">
        <f>IF(OHW!$G1187="","","Final")</f>
        <v/>
      </c>
    </row>
    <row r="2235">
      <c r="A2235">
        <f>IF(OHW!$G1188="","","OHW")</f>
        <v/>
      </c>
      <c r="B2235">
        <f>IF(OHW!$G1188="","","OHW")</f>
        <v/>
      </c>
      <c r="C2235" s="18">
        <f>IF(OHW!$G1188="","",OHW!$A1188)</f>
        <v/>
      </c>
      <c r="F2235">
        <f>IF(OHW!$G1188="","",OHW!$B1188&amp;"")</f>
        <v/>
      </c>
      <c r="J2235">
        <f>IF(OHW!$G1188="","",OHW!$E1188)</f>
        <v/>
      </c>
      <c r="K2235">
        <f>IF(OHW!$G1188="","",COUNTIFS(OHW!$A$5:$A$1668,OHW!$A1188,OHW!$C$5:$C$1668,OHW!$C1188))</f>
        <v/>
      </c>
      <c r="L2235">
        <f>IF(OHW!$G1188="","",OHW!$D1188&amp;"")</f>
        <v/>
      </c>
      <c r="M2235">
        <f>IF(OHW!$G1188="","",OHW!$F1188)</f>
        <v/>
      </c>
      <c r="N2235">
        <f>IF(OHW!$G1188="","",OHW!$G1188)</f>
        <v/>
      </c>
      <c r="O2235">
        <f>IF(OHW!$G1188="","",OHW!$I1188)</f>
        <v/>
      </c>
      <c r="P2235">
        <f>IF(OHW!$G1188="","","Final")</f>
        <v/>
      </c>
    </row>
    <row r="2236">
      <c r="A2236">
        <f>IF(OHW!$G1189="","","OHW")</f>
        <v/>
      </c>
      <c r="B2236">
        <f>IF(OHW!$G1189="","","OHW")</f>
        <v/>
      </c>
      <c r="C2236" s="18">
        <f>IF(OHW!$G1189="","",OHW!$A1189)</f>
        <v/>
      </c>
      <c r="F2236">
        <f>IF(OHW!$G1189="","",OHW!$B1189&amp;"")</f>
        <v/>
      </c>
      <c r="J2236">
        <f>IF(OHW!$G1189="","",OHW!$E1189)</f>
        <v/>
      </c>
      <c r="K2236">
        <f>IF(OHW!$G1189="","",COUNTIFS(OHW!$A$5:$A$1668,OHW!$A1189,OHW!$C$5:$C$1668,OHW!$C1189))</f>
        <v/>
      </c>
      <c r="L2236">
        <f>IF(OHW!$G1189="","",OHW!$D1189&amp;"")</f>
        <v/>
      </c>
      <c r="M2236">
        <f>IF(OHW!$G1189="","",OHW!$F1189)</f>
        <v/>
      </c>
      <c r="N2236">
        <f>IF(OHW!$G1189="","",OHW!$G1189)</f>
        <v/>
      </c>
      <c r="O2236">
        <f>IF(OHW!$G1189="","",OHW!$I1189)</f>
        <v/>
      </c>
      <c r="P2236">
        <f>IF(OHW!$G1189="","","Final")</f>
        <v/>
      </c>
    </row>
    <row r="2237">
      <c r="A2237">
        <f>IF(OHW!$G1190="","","OHW")</f>
        <v/>
      </c>
      <c r="B2237">
        <f>IF(OHW!$G1190="","","OHW")</f>
        <v/>
      </c>
      <c r="C2237" s="18">
        <f>IF(OHW!$G1190="","",OHW!$A1190)</f>
        <v/>
      </c>
      <c r="F2237">
        <f>IF(OHW!$G1190="","",OHW!$B1190&amp;"")</f>
        <v/>
      </c>
      <c r="J2237">
        <f>IF(OHW!$G1190="","",OHW!$E1190)</f>
        <v/>
      </c>
      <c r="K2237">
        <f>IF(OHW!$G1190="","",COUNTIFS(OHW!$A$5:$A$1668,OHW!$A1190,OHW!$C$5:$C$1668,OHW!$C1190))</f>
        <v/>
      </c>
      <c r="L2237">
        <f>IF(OHW!$G1190="","",OHW!$D1190&amp;"")</f>
        <v/>
      </c>
      <c r="M2237">
        <f>IF(OHW!$G1190="","",OHW!$F1190)</f>
        <v/>
      </c>
      <c r="N2237">
        <f>IF(OHW!$G1190="","",OHW!$G1190)</f>
        <v/>
      </c>
      <c r="O2237">
        <f>IF(OHW!$G1190="","",OHW!$I1190)</f>
        <v/>
      </c>
      <c r="P2237">
        <f>IF(OHW!$G1190="","","Final")</f>
        <v/>
      </c>
    </row>
    <row r="2238">
      <c r="A2238">
        <f>IF(OHW!$G1191="","","OHW")</f>
        <v/>
      </c>
      <c r="B2238">
        <f>IF(OHW!$G1191="","","OHW")</f>
        <v/>
      </c>
      <c r="C2238" s="18">
        <f>IF(OHW!$G1191="","",OHW!$A1191)</f>
        <v/>
      </c>
      <c r="F2238">
        <f>IF(OHW!$G1191="","",OHW!$B1191&amp;"")</f>
        <v/>
      </c>
      <c r="J2238">
        <f>IF(OHW!$G1191="","",OHW!$E1191)</f>
        <v/>
      </c>
      <c r="K2238">
        <f>IF(OHW!$G1191="","",COUNTIFS(OHW!$A$5:$A$1668,OHW!$A1191,OHW!$C$5:$C$1668,OHW!$C1191))</f>
        <v/>
      </c>
      <c r="L2238">
        <f>IF(OHW!$G1191="","",OHW!$D1191&amp;"")</f>
        <v/>
      </c>
      <c r="M2238">
        <f>IF(OHW!$G1191="","",OHW!$F1191)</f>
        <v/>
      </c>
      <c r="N2238">
        <f>IF(OHW!$G1191="","",OHW!$G1191)</f>
        <v/>
      </c>
      <c r="O2238">
        <f>IF(OHW!$G1191="","",OHW!$I1191)</f>
        <v/>
      </c>
      <c r="P2238">
        <f>IF(OHW!$G1191="","","Final")</f>
        <v/>
      </c>
    </row>
    <row r="2239">
      <c r="A2239">
        <f>IF(OHW!$G1192="","","OHW")</f>
        <v/>
      </c>
      <c r="B2239">
        <f>IF(OHW!$G1192="","","OHW")</f>
        <v/>
      </c>
      <c r="C2239" s="18">
        <f>IF(OHW!$G1192="","",OHW!$A1192)</f>
        <v/>
      </c>
      <c r="F2239">
        <f>IF(OHW!$G1192="","",OHW!$B1192&amp;"")</f>
        <v/>
      </c>
      <c r="J2239">
        <f>IF(OHW!$G1192="","",OHW!$E1192)</f>
        <v/>
      </c>
      <c r="K2239">
        <f>IF(OHW!$G1192="","",COUNTIFS(OHW!$A$5:$A$1668,OHW!$A1192,OHW!$C$5:$C$1668,OHW!$C1192))</f>
        <v/>
      </c>
      <c r="L2239">
        <f>IF(OHW!$G1192="","",OHW!$D1192&amp;"")</f>
        <v/>
      </c>
      <c r="M2239">
        <f>IF(OHW!$G1192="","",OHW!$F1192)</f>
        <v/>
      </c>
      <c r="N2239">
        <f>IF(OHW!$G1192="","",OHW!$G1192)</f>
        <v/>
      </c>
      <c r="O2239">
        <f>IF(OHW!$G1192="","",OHW!$I1192)</f>
        <v/>
      </c>
      <c r="P2239">
        <f>IF(OHW!$G1192="","","Final")</f>
        <v/>
      </c>
    </row>
    <row r="2240">
      <c r="A2240">
        <f>IF(OHW!$G1193="","","OHW")</f>
        <v/>
      </c>
      <c r="B2240">
        <f>IF(OHW!$G1193="","","OHW")</f>
        <v/>
      </c>
      <c r="C2240" s="18">
        <f>IF(OHW!$G1193="","",OHW!$A1193)</f>
        <v/>
      </c>
      <c r="F2240">
        <f>IF(OHW!$G1193="","",OHW!$B1193&amp;"")</f>
        <v/>
      </c>
      <c r="J2240">
        <f>IF(OHW!$G1193="","",OHW!$E1193)</f>
        <v/>
      </c>
      <c r="K2240">
        <f>IF(OHW!$G1193="","",COUNTIFS(OHW!$A$5:$A$1668,OHW!$A1193,OHW!$C$5:$C$1668,OHW!$C1193))</f>
        <v/>
      </c>
      <c r="L2240">
        <f>IF(OHW!$G1193="","",OHW!$D1193&amp;"")</f>
        <v/>
      </c>
      <c r="M2240">
        <f>IF(OHW!$G1193="","",OHW!$F1193)</f>
        <v/>
      </c>
      <c r="N2240">
        <f>IF(OHW!$G1193="","",OHW!$G1193)</f>
        <v/>
      </c>
      <c r="O2240">
        <f>IF(OHW!$G1193="","",OHW!$I1193)</f>
        <v/>
      </c>
      <c r="P2240">
        <f>IF(OHW!$G1193="","","Final")</f>
        <v/>
      </c>
    </row>
    <row r="2241">
      <c r="A2241">
        <f>IF(OHW!$G1194="","","OHW")</f>
        <v/>
      </c>
      <c r="B2241">
        <f>IF(OHW!$G1194="","","OHW")</f>
        <v/>
      </c>
      <c r="C2241" s="18">
        <f>IF(OHW!$G1194="","",OHW!$A1194)</f>
        <v/>
      </c>
      <c r="F2241">
        <f>IF(OHW!$G1194="","",OHW!$B1194&amp;"")</f>
        <v/>
      </c>
      <c r="J2241">
        <f>IF(OHW!$G1194="","",OHW!$E1194)</f>
        <v/>
      </c>
      <c r="K2241">
        <f>IF(OHW!$G1194="","",COUNTIFS(OHW!$A$5:$A$1668,OHW!$A1194,OHW!$C$5:$C$1668,OHW!$C1194))</f>
        <v/>
      </c>
      <c r="L2241">
        <f>IF(OHW!$G1194="","",OHW!$D1194&amp;"")</f>
        <v/>
      </c>
      <c r="M2241">
        <f>IF(OHW!$G1194="","",OHW!$F1194)</f>
        <v/>
      </c>
      <c r="N2241">
        <f>IF(OHW!$G1194="","",OHW!$G1194)</f>
        <v/>
      </c>
      <c r="O2241">
        <f>IF(OHW!$G1194="","",OHW!$I1194)</f>
        <v/>
      </c>
      <c r="P2241">
        <f>IF(OHW!$G1194="","","Final")</f>
        <v/>
      </c>
    </row>
    <row r="2242">
      <c r="A2242">
        <f>IF(OHW!$G1195="","","OHW")</f>
        <v/>
      </c>
      <c r="B2242">
        <f>IF(OHW!$G1195="","","OHW")</f>
        <v/>
      </c>
      <c r="C2242" s="18">
        <f>IF(OHW!$G1195="","",OHW!$A1195)</f>
        <v/>
      </c>
      <c r="F2242">
        <f>IF(OHW!$G1195="","",OHW!$B1195&amp;"")</f>
        <v/>
      </c>
      <c r="J2242">
        <f>IF(OHW!$G1195="","",OHW!$E1195)</f>
        <v/>
      </c>
      <c r="K2242">
        <f>IF(OHW!$G1195="","",COUNTIFS(OHW!$A$5:$A$1668,OHW!$A1195,OHW!$C$5:$C$1668,OHW!$C1195))</f>
        <v/>
      </c>
      <c r="L2242">
        <f>IF(OHW!$G1195="","",OHW!$D1195&amp;"")</f>
        <v/>
      </c>
      <c r="M2242">
        <f>IF(OHW!$G1195="","",OHW!$F1195)</f>
        <v/>
      </c>
      <c r="N2242">
        <f>IF(OHW!$G1195="","",OHW!$G1195)</f>
        <v/>
      </c>
      <c r="O2242">
        <f>IF(OHW!$G1195="","",OHW!$I1195)</f>
        <v/>
      </c>
      <c r="P2242">
        <f>IF(OHW!$G1195="","","Final")</f>
        <v/>
      </c>
    </row>
    <row r="2243">
      <c r="A2243">
        <f>IF(OHW!$G1196="","","OHW")</f>
        <v/>
      </c>
      <c r="B2243">
        <f>IF(OHW!$G1196="","","OHW")</f>
        <v/>
      </c>
      <c r="C2243" s="18">
        <f>IF(OHW!$G1196="","",OHW!$A1196)</f>
        <v/>
      </c>
      <c r="F2243">
        <f>IF(OHW!$G1196="","",OHW!$B1196&amp;"")</f>
        <v/>
      </c>
      <c r="J2243">
        <f>IF(OHW!$G1196="","",OHW!$E1196)</f>
        <v/>
      </c>
      <c r="K2243">
        <f>IF(OHW!$G1196="","",COUNTIFS(OHW!$A$5:$A$1668,OHW!$A1196,OHW!$C$5:$C$1668,OHW!$C1196))</f>
        <v/>
      </c>
      <c r="L2243">
        <f>IF(OHW!$G1196="","",OHW!$D1196&amp;"")</f>
        <v/>
      </c>
      <c r="M2243">
        <f>IF(OHW!$G1196="","",OHW!$F1196)</f>
        <v/>
      </c>
      <c r="N2243">
        <f>IF(OHW!$G1196="","",OHW!$G1196)</f>
        <v/>
      </c>
      <c r="O2243">
        <f>IF(OHW!$G1196="","",OHW!$I1196)</f>
        <v/>
      </c>
      <c r="P2243">
        <f>IF(OHW!$G1196="","","Final")</f>
        <v/>
      </c>
    </row>
    <row r="2244">
      <c r="A2244">
        <f>IF(OHW!$G1197="","","OHW")</f>
        <v/>
      </c>
      <c r="B2244">
        <f>IF(OHW!$G1197="","","OHW")</f>
        <v/>
      </c>
      <c r="C2244" s="18">
        <f>IF(OHW!$G1197="","",OHW!$A1197)</f>
        <v/>
      </c>
      <c r="F2244">
        <f>IF(OHW!$G1197="","",OHW!$B1197&amp;"")</f>
        <v/>
      </c>
      <c r="J2244">
        <f>IF(OHW!$G1197="","",OHW!$E1197)</f>
        <v/>
      </c>
      <c r="K2244">
        <f>IF(OHW!$G1197="","",COUNTIFS(OHW!$A$5:$A$1668,OHW!$A1197,OHW!$C$5:$C$1668,OHW!$C1197))</f>
        <v/>
      </c>
      <c r="L2244">
        <f>IF(OHW!$G1197="","",OHW!$D1197&amp;"")</f>
        <v/>
      </c>
      <c r="M2244">
        <f>IF(OHW!$G1197="","",OHW!$F1197)</f>
        <v/>
      </c>
      <c r="N2244">
        <f>IF(OHW!$G1197="","",OHW!$G1197)</f>
        <v/>
      </c>
      <c r="O2244">
        <f>IF(OHW!$G1197="","",OHW!$I1197)</f>
        <v/>
      </c>
      <c r="P2244">
        <f>IF(OHW!$G1197="","","Final")</f>
        <v/>
      </c>
    </row>
    <row r="2245">
      <c r="A2245">
        <f>IF(OHW!$G1198="","","OHW")</f>
        <v/>
      </c>
      <c r="B2245">
        <f>IF(OHW!$G1198="","","OHW")</f>
        <v/>
      </c>
      <c r="C2245" s="18">
        <f>IF(OHW!$G1198="","",OHW!$A1198)</f>
        <v/>
      </c>
      <c r="F2245">
        <f>IF(OHW!$G1198="","",OHW!$B1198&amp;"")</f>
        <v/>
      </c>
      <c r="J2245">
        <f>IF(OHW!$G1198="","",OHW!$E1198)</f>
        <v/>
      </c>
      <c r="K2245">
        <f>IF(OHW!$G1198="","",COUNTIFS(OHW!$A$5:$A$1668,OHW!$A1198,OHW!$C$5:$C$1668,OHW!$C1198))</f>
        <v/>
      </c>
      <c r="L2245">
        <f>IF(OHW!$G1198="","",OHW!$D1198&amp;"")</f>
        <v/>
      </c>
      <c r="M2245">
        <f>IF(OHW!$G1198="","",OHW!$F1198)</f>
        <v/>
      </c>
      <c r="N2245">
        <f>IF(OHW!$G1198="","",OHW!$G1198)</f>
        <v/>
      </c>
      <c r="O2245">
        <f>IF(OHW!$G1198="","",OHW!$I1198)</f>
        <v/>
      </c>
      <c r="P2245">
        <f>IF(OHW!$G1198="","","Final")</f>
        <v/>
      </c>
    </row>
    <row r="2246">
      <c r="A2246">
        <f>IF(OHW!$G1199="","","OHW")</f>
        <v/>
      </c>
      <c r="B2246">
        <f>IF(OHW!$G1199="","","OHW")</f>
        <v/>
      </c>
      <c r="C2246" s="18">
        <f>IF(OHW!$G1199="","",OHW!$A1199)</f>
        <v/>
      </c>
      <c r="F2246">
        <f>IF(OHW!$G1199="","",OHW!$B1199&amp;"")</f>
        <v/>
      </c>
      <c r="J2246">
        <f>IF(OHW!$G1199="","",OHW!$E1199)</f>
        <v/>
      </c>
      <c r="K2246">
        <f>IF(OHW!$G1199="","",COUNTIFS(OHW!$A$5:$A$1668,OHW!$A1199,OHW!$C$5:$C$1668,OHW!$C1199))</f>
        <v/>
      </c>
      <c r="L2246">
        <f>IF(OHW!$G1199="","",OHW!$D1199&amp;"")</f>
        <v/>
      </c>
      <c r="M2246">
        <f>IF(OHW!$G1199="","",OHW!$F1199)</f>
        <v/>
      </c>
      <c r="N2246">
        <f>IF(OHW!$G1199="","",OHW!$G1199)</f>
        <v/>
      </c>
      <c r="O2246">
        <f>IF(OHW!$G1199="","",OHW!$I1199)</f>
        <v/>
      </c>
      <c r="P2246">
        <f>IF(OHW!$G1199="","","Final")</f>
        <v/>
      </c>
    </row>
    <row r="2247">
      <c r="A2247">
        <f>IF(OHW!$G1200="","","OHW")</f>
        <v/>
      </c>
      <c r="B2247">
        <f>IF(OHW!$G1200="","","OHW")</f>
        <v/>
      </c>
      <c r="C2247" s="18">
        <f>IF(OHW!$G1200="","",OHW!$A1200)</f>
        <v/>
      </c>
      <c r="F2247">
        <f>IF(OHW!$G1200="","",OHW!$B1200&amp;"")</f>
        <v/>
      </c>
      <c r="J2247">
        <f>IF(OHW!$G1200="","",OHW!$E1200)</f>
        <v/>
      </c>
      <c r="K2247">
        <f>IF(OHW!$G1200="","",COUNTIFS(OHW!$A$5:$A$1668,OHW!$A1200,OHW!$C$5:$C$1668,OHW!$C1200))</f>
        <v/>
      </c>
      <c r="L2247">
        <f>IF(OHW!$G1200="","",OHW!$D1200&amp;"")</f>
        <v/>
      </c>
      <c r="M2247">
        <f>IF(OHW!$G1200="","",OHW!$F1200)</f>
        <v/>
      </c>
      <c r="N2247">
        <f>IF(OHW!$G1200="","",OHW!$G1200)</f>
        <v/>
      </c>
      <c r="O2247">
        <f>IF(OHW!$G1200="","",OHW!$I1200)</f>
        <v/>
      </c>
      <c r="P2247">
        <f>IF(OHW!$G1200="","","Final")</f>
        <v/>
      </c>
    </row>
    <row r="2248">
      <c r="A2248">
        <f>IF(OHW!$G1201="","","OHW")</f>
        <v/>
      </c>
      <c r="B2248">
        <f>IF(OHW!$G1201="","","OHW")</f>
        <v/>
      </c>
      <c r="C2248" s="18">
        <f>IF(OHW!$G1201="","",OHW!$A1201)</f>
        <v/>
      </c>
      <c r="F2248">
        <f>IF(OHW!$G1201="","",OHW!$B1201&amp;"")</f>
        <v/>
      </c>
      <c r="J2248">
        <f>IF(OHW!$G1201="","",OHW!$E1201)</f>
        <v/>
      </c>
      <c r="K2248">
        <f>IF(OHW!$G1201="","",COUNTIFS(OHW!$A$5:$A$1668,OHW!$A1201,OHW!$C$5:$C$1668,OHW!$C1201))</f>
        <v/>
      </c>
      <c r="L2248">
        <f>IF(OHW!$G1201="","",OHW!$D1201&amp;"")</f>
        <v/>
      </c>
      <c r="M2248">
        <f>IF(OHW!$G1201="","",OHW!$F1201)</f>
        <v/>
      </c>
      <c r="N2248">
        <f>IF(OHW!$G1201="","",OHW!$G1201)</f>
        <v/>
      </c>
      <c r="O2248">
        <f>IF(OHW!$G1201="","",OHW!$I1201)</f>
        <v/>
      </c>
      <c r="P2248">
        <f>IF(OHW!$G1201="","","Final")</f>
        <v/>
      </c>
    </row>
    <row r="2249">
      <c r="A2249">
        <f>IF(OHW!$G1202="","","OHW")</f>
        <v/>
      </c>
      <c r="B2249">
        <f>IF(OHW!$G1202="","","OHW")</f>
        <v/>
      </c>
      <c r="C2249" s="18">
        <f>IF(OHW!$G1202="","",OHW!$A1202)</f>
        <v/>
      </c>
      <c r="F2249">
        <f>IF(OHW!$G1202="","",OHW!$B1202&amp;"")</f>
        <v/>
      </c>
      <c r="J2249">
        <f>IF(OHW!$G1202="","",OHW!$E1202)</f>
        <v/>
      </c>
      <c r="K2249">
        <f>IF(OHW!$G1202="","",COUNTIFS(OHW!$A$5:$A$1668,OHW!$A1202,OHW!$C$5:$C$1668,OHW!$C1202))</f>
        <v/>
      </c>
      <c r="L2249">
        <f>IF(OHW!$G1202="","",OHW!$D1202&amp;"")</f>
        <v/>
      </c>
      <c r="M2249">
        <f>IF(OHW!$G1202="","",OHW!$F1202)</f>
        <v/>
      </c>
      <c r="N2249">
        <f>IF(OHW!$G1202="","",OHW!$G1202)</f>
        <v/>
      </c>
      <c r="O2249">
        <f>IF(OHW!$G1202="","",OHW!$I1202)</f>
        <v/>
      </c>
      <c r="P2249">
        <f>IF(OHW!$G1202="","","Final")</f>
        <v/>
      </c>
    </row>
    <row r="2250">
      <c r="A2250">
        <f>IF(OHW!$G1203="","","OHW")</f>
        <v/>
      </c>
      <c r="B2250">
        <f>IF(OHW!$G1203="","","OHW")</f>
        <v/>
      </c>
      <c r="C2250" s="18">
        <f>IF(OHW!$G1203="","",OHW!$A1203)</f>
        <v/>
      </c>
      <c r="F2250">
        <f>IF(OHW!$G1203="","",OHW!$B1203&amp;"")</f>
        <v/>
      </c>
      <c r="J2250">
        <f>IF(OHW!$G1203="","",OHW!$E1203)</f>
        <v/>
      </c>
      <c r="K2250">
        <f>IF(OHW!$G1203="","",COUNTIFS(OHW!$A$5:$A$1668,OHW!$A1203,OHW!$C$5:$C$1668,OHW!$C1203))</f>
        <v/>
      </c>
      <c r="L2250">
        <f>IF(OHW!$G1203="","",OHW!$D1203&amp;"")</f>
        <v/>
      </c>
      <c r="M2250">
        <f>IF(OHW!$G1203="","",OHW!$F1203)</f>
        <v/>
      </c>
      <c r="N2250">
        <f>IF(OHW!$G1203="","",OHW!$G1203)</f>
        <v/>
      </c>
      <c r="O2250">
        <f>IF(OHW!$G1203="","",OHW!$I1203)</f>
        <v/>
      </c>
      <c r="P2250">
        <f>IF(OHW!$G1203="","","Final")</f>
        <v/>
      </c>
    </row>
    <row r="2251">
      <c r="A2251">
        <f>IF(OHW!$G1204="","","OHW")</f>
        <v/>
      </c>
      <c r="B2251">
        <f>IF(OHW!$G1204="","","OHW")</f>
        <v/>
      </c>
      <c r="C2251" s="18">
        <f>IF(OHW!$G1204="","",OHW!$A1204)</f>
        <v/>
      </c>
      <c r="F2251">
        <f>IF(OHW!$G1204="","",OHW!$B1204&amp;"")</f>
        <v/>
      </c>
      <c r="J2251">
        <f>IF(OHW!$G1204="","",OHW!$E1204)</f>
        <v/>
      </c>
      <c r="K2251">
        <f>IF(OHW!$G1204="","",COUNTIFS(OHW!$A$5:$A$1668,OHW!$A1204,OHW!$C$5:$C$1668,OHW!$C1204))</f>
        <v/>
      </c>
      <c r="L2251">
        <f>IF(OHW!$G1204="","",OHW!$D1204&amp;"")</f>
        <v/>
      </c>
      <c r="M2251">
        <f>IF(OHW!$G1204="","",OHW!$F1204)</f>
        <v/>
      </c>
      <c r="N2251">
        <f>IF(OHW!$G1204="","",OHW!$G1204)</f>
        <v/>
      </c>
      <c r="O2251">
        <f>IF(OHW!$G1204="","",OHW!$I1204)</f>
        <v/>
      </c>
      <c r="P2251">
        <f>IF(OHW!$G1204="","","Final")</f>
        <v/>
      </c>
    </row>
    <row r="2252">
      <c r="A2252">
        <f>IF(OHW!$G1205="","","OHW")</f>
        <v/>
      </c>
      <c r="B2252">
        <f>IF(OHW!$G1205="","","OHW")</f>
        <v/>
      </c>
      <c r="C2252" s="18">
        <f>IF(OHW!$G1205="","",OHW!$A1205)</f>
        <v/>
      </c>
      <c r="F2252">
        <f>IF(OHW!$G1205="","",OHW!$B1205&amp;"")</f>
        <v/>
      </c>
      <c r="J2252">
        <f>IF(OHW!$G1205="","",OHW!$E1205)</f>
        <v/>
      </c>
      <c r="K2252">
        <f>IF(OHW!$G1205="","",COUNTIFS(OHW!$A$5:$A$1668,OHW!$A1205,OHW!$C$5:$C$1668,OHW!$C1205))</f>
        <v/>
      </c>
      <c r="L2252">
        <f>IF(OHW!$G1205="","",OHW!$D1205&amp;"")</f>
        <v/>
      </c>
      <c r="M2252">
        <f>IF(OHW!$G1205="","",OHW!$F1205)</f>
        <v/>
      </c>
      <c r="N2252">
        <f>IF(OHW!$G1205="","",OHW!$G1205)</f>
        <v/>
      </c>
      <c r="O2252">
        <f>IF(OHW!$G1205="","",OHW!$I1205)</f>
        <v/>
      </c>
      <c r="P2252">
        <f>IF(OHW!$G1205="","","Final")</f>
        <v/>
      </c>
    </row>
    <row r="2253">
      <c r="A2253">
        <f>IF(OHW!$G1206="","","OHW")</f>
        <v/>
      </c>
      <c r="B2253">
        <f>IF(OHW!$G1206="","","OHW")</f>
        <v/>
      </c>
      <c r="C2253" s="18">
        <f>IF(OHW!$G1206="","",OHW!$A1206)</f>
        <v/>
      </c>
      <c r="F2253">
        <f>IF(OHW!$G1206="","",OHW!$B1206&amp;"")</f>
        <v/>
      </c>
      <c r="J2253">
        <f>IF(OHW!$G1206="","",OHW!$E1206)</f>
        <v/>
      </c>
      <c r="K2253">
        <f>IF(OHW!$G1206="","",COUNTIFS(OHW!$A$5:$A$1668,OHW!$A1206,OHW!$C$5:$C$1668,OHW!$C1206))</f>
        <v/>
      </c>
      <c r="L2253">
        <f>IF(OHW!$G1206="","",OHW!$D1206&amp;"")</f>
        <v/>
      </c>
      <c r="M2253">
        <f>IF(OHW!$G1206="","",OHW!$F1206)</f>
        <v/>
      </c>
      <c r="N2253">
        <f>IF(OHW!$G1206="","",OHW!$G1206)</f>
        <v/>
      </c>
      <c r="O2253">
        <f>IF(OHW!$G1206="","",OHW!$I1206)</f>
        <v/>
      </c>
      <c r="P2253">
        <f>IF(OHW!$G1206="","","Final")</f>
        <v/>
      </c>
    </row>
    <row r="2254">
      <c r="A2254">
        <f>IF(OHW!$G1207="","","OHW")</f>
        <v/>
      </c>
      <c r="B2254">
        <f>IF(OHW!$G1207="","","OHW")</f>
        <v/>
      </c>
      <c r="C2254" s="18">
        <f>IF(OHW!$G1207="","",OHW!$A1207)</f>
        <v/>
      </c>
      <c r="F2254">
        <f>IF(OHW!$G1207="","",OHW!$B1207&amp;"")</f>
        <v/>
      </c>
      <c r="J2254">
        <f>IF(OHW!$G1207="","",OHW!$E1207)</f>
        <v/>
      </c>
      <c r="K2254">
        <f>IF(OHW!$G1207="","",COUNTIFS(OHW!$A$5:$A$1668,OHW!$A1207,OHW!$C$5:$C$1668,OHW!$C1207))</f>
        <v/>
      </c>
      <c r="L2254">
        <f>IF(OHW!$G1207="","",OHW!$D1207&amp;"")</f>
        <v/>
      </c>
      <c r="M2254">
        <f>IF(OHW!$G1207="","",OHW!$F1207)</f>
        <v/>
      </c>
      <c r="N2254">
        <f>IF(OHW!$G1207="","",OHW!$G1207)</f>
        <v/>
      </c>
      <c r="O2254">
        <f>IF(OHW!$G1207="","",OHW!$I1207)</f>
        <v/>
      </c>
      <c r="P2254">
        <f>IF(OHW!$G1207="","","Final")</f>
        <v/>
      </c>
    </row>
    <row r="2255">
      <c r="A2255">
        <f>IF(OHW!$G1208="","","OHW")</f>
        <v/>
      </c>
      <c r="B2255">
        <f>IF(OHW!$G1208="","","OHW")</f>
        <v/>
      </c>
      <c r="C2255" s="18">
        <f>IF(OHW!$G1208="","",OHW!$A1208)</f>
        <v/>
      </c>
      <c r="F2255">
        <f>IF(OHW!$G1208="","",OHW!$B1208&amp;"")</f>
        <v/>
      </c>
      <c r="J2255">
        <f>IF(OHW!$G1208="","",OHW!$E1208)</f>
        <v/>
      </c>
      <c r="K2255">
        <f>IF(OHW!$G1208="","",COUNTIFS(OHW!$A$5:$A$1668,OHW!$A1208,OHW!$C$5:$C$1668,OHW!$C1208))</f>
        <v/>
      </c>
      <c r="L2255">
        <f>IF(OHW!$G1208="","",OHW!$D1208&amp;"")</f>
        <v/>
      </c>
      <c r="M2255">
        <f>IF(OHW!$G1208="","",OHW!$F1208)</f>
        <v/>
      </c>
      <c r="N2255">
        <f>IF(OHW!$G1208="","",OHW!$G1208)</f>
        <v/>
      </c>
      <c r="O2255">
        <f>IF(OHW!$G1208="","",OHW!$I1208)</f>
        <v/>
      </c>
      <c r="P2255">
        <f>IF(OHW!$G1208="","","Final")</f>
        <v/>
      </c>
    </row>
    <row r="2256">
      <c r="A2256">
        <f>IF(OHW!$G1209="","","OHW")</f>
        <v/>
      </c>
      <c r="B2256">
        <f>IF(OHW!$G1209="","","OHW")</f>
        <v/>
      </c>
      <c r="C2256" s="18">
        <f>IF(OHW!$G1209="","",OHW!$A1209)</f>
        <v/>
      </c>
      <c r="F2256">
        <f>IF(OHW!$G1209="","",OHW!$B1209&amp;"")</f>
        <v/>
      </c>
      <c r="J2256">
        <f>IF(OHW!$G1209="","",OHW!$E1209)</f>
        <v/>
      </c>
      <c r="K2256">
        <f>IF(OHW!$G1209="","",COUNTIFS(OHW!$A$5:$A$1668,OHW!$A1209,OHW!$C$5:$C$1668,OHW!$C1209))</f>
        <v/>
      </c>
      <c r="L2256">
        <f>IF(OHW!$G1209="","",OHW!$D1209&amp;"")</f>
        <v/>
      </c>
      <c r="M2256">
        <f>IF(OHW!$G1209="","",OHW!$F1209)</f>
        <v/>
      </c>
      <c r="N2256">
        <f>IF(OHW!$G1209="","",OHW!$G1209)</f>
        <v/>
      </c>
      <c r="O2256">
        <f>IF(OHW!$G1209="","",OHW!$I1209)</f>
        <v/>
      </c>
      <c r="P2256">
        <f>IF(OHW!$G1209="","","Final")</f>
        <v/>
      </c>
    </row>
    <row r="2257">
      <c r="A2257">
        <f>IF(OHW!$G1210="","","OHW")</f>
        <v/>
      </c>
      <c r="B2257">
        <f>IF(OHW!$G1210="","","OHW")</f>
        <v/>
      </c>
      <c r="C2257" s="18">
        <f>IF(OHW!$G1210="","",OHW!$A1210)</f>
        <v/>
      </c>
      <c r="F2257">
        <f>IF(OHW!$G1210="","",OHW!$B1210&amp;"")</f>
        <v/>
      </c>
      <c r="J2257">
        <f>IF(OHW!$G1210="","",OHW!$E1210)</f>
        <v/>
      </c>
      <c r="K2257">
        <f>IF(OHW!$G1210="","",COUNTIFS(OHW!$A$5:$A$1668,OHW!$A1210,OHW!$C$5:$C$1668,OHW!$C1210))</f>
        <v/>
      </c>
      <c r="L2257">
        <f>IF(OHW!$G1210="","",OHW!$D1210&amp;"")</f>
        <v/>
      </c>
      <c r="M2257">
        <f>IF(OHW!$G1210="","",OHW!$F1210)</f>
        <v/>
      </c>
      <c r="N2257">
        <f>IF(OHW!$G1210="","",OHW!$G1210)</f>
        <v/>
      </c>
      <c r="O2257">
        <f>IF(OHW!$G1210="","",OHW!$I1210)</f>
        <v/>
      </c>
      <c r="P2257">
        <f>IF(OHW!$G1210="","","Final")</f>
        <v/>
      </c>
    </row>
    <row r="2258">
      <c r="A2258">
        <f>IF(OHW!$G1211="","","OHW")</f>
        <v/>
      </c>
      <c r="B2258">
        <f>IF(OHW!$G1211="","","OHW")</f>
        <v/>
      </c>
      <c r="C2258" s="18">
        <f>IF(OHW!$G1211="","",OHW!$A1211)</f>
        <v/>
      </c>
      <c r="F2258">
        <f>IF(OHW!$G1211="","",OHW!$B1211&amp;"")</f>
        <v/>
      </c>
      <c r="J2258">
        <f>IF(OHW!$G1211="","",OHW!$E1211)</f>
        <v/>
      </c>
      <c r="K2258">
        <f>IF(OHW!$G1211="","",COUNTIFS(OHW!$A$5:$A$1668,OHW!$A1211,OHW!$C$5:$C$1668,OHW!$C1211))</f>
        <v/>
      </c>
      <c r="L2258">
        <f>IF(OHW!$G1211="","",OHW!$D1211&amp;"")</f>
        <v/>
      </c>
      <c r="M2258">
        <f>IF(OHW!$G1211="","",OHW!$F1211)</f>
        <v/>
      </c>
      <c r="N2258">
        <f>IF(OHW!$G1211="","",OHW!$G1211)</f>
        <v/>
      </c>
      <c r="O2258">
        <f>IF(OHW!$G1211="","",OHW!$I1211)</f>
        <v/>
      </c>
      <c r="P2258">
        <f>IF(OHW!$G1211="","","Final")</f>
        <v/>
      </c>
    </row>
    <row r="2259">
      <c r="A2259">
        <f>IF(OHW!$G1212="","","OHW")</f>
        <v/>
      </c>
      <c r="B2259">
        <f>IF(OHW!$G1212="","","OHW")</f>
        <v/>
      </c>
      <c r="C2259" s="18">
        <f>IF(OHW!$G1212="","",OHW!$A1212)</f>
        <v/>
      </c>
      <c r="F2259">
        <f>IF(OHW!$G1212="","",OHW!$B1212&amp;"")</f>
        <v/>
      </c>
      <c r="J2259">
        <f>IF(OHW!$G1212="","",OHW!$E1212)</f>
        <v/>
      </c>
      <c r="K2259">
        <f>IF(OHW!$G1212="","",COUNTIFS(OHW!$A$5:$A$1668,OHW!$A1212,OHW!$C$5:$C$1668,OHW!$C1212))</f>
        <v/>
      </c>
      <c r="L2259">
        <f>IF(OHW!$G1212="","",OHW!$D1212&amp;"")</f>
        <v/>
      </c>
      <c r="M2259">
        <f>IF(OHW!$G1212="","",OHW!$F1212)</f>
        <v/>
      </c>
      <c r="N2259">
        <f>IF(OHW!$G1212="","",OHW!$G1212)</f>
        <v/>
      </c>
      <c r="O2259">
        <f>IF(OHW!$G1212="","",OHW!$I1212)</f>
        <v/>
      </c>
      <c r="P2259">
        <f>IF(OHW!$G1212="","","Final")</f>
        <v/>
      </c>
    </row>
    <row r="2260">
      <c r="A2260">
        <f>IF(OHW!$G1213="","","OHW")</f>
        <v/>
      </c>
      <c r="B2260">
        <f>IF(OHW!$G1213="","","OHW")</f>
        <v/>
      </c>
      <c r="C2260" s="18">
        <f>IF(OHW!$G1213="","",OHW!$A1213)</f>
        <v/>
      </c>
      <c r="F2260">
        <f>IF(OHW!$G1213="","",OHW!$B1213&amp;"")</f>
        <v/>
      </c>
      <c r="J2260">
        <f>IF(OHW!$G1213="","",OHW!$E1213)</f>
        <v/>
      </c>
      <c r="K2260">
        <f>IF(OHW!$G1213="","",COUNTIFS(OHW!$A$5:$A$1668,OHW!$A1213,OHW!$C$5:$C$1668,OHW!$C1213))</f>
        <v/>
      </c>
      <c r="L2260">
        <f>IF(OHW!$G1213="","",OHW!$D1213&amp;"")</f>
        <v/>
      </c>
      <c r="M2260">
        <f>IF(OHW!$G1213="","",OHW!$F1213)</f>
        <v/>
      </c>
      <c r="N2260">
        <f>IF(OHW!$G1213="","",OHW!$G1213)</f>
        <v/>
      </c>
      <c r="O2260">
        <f>IF(OHW!$G1213="","",OHW!$I1213)</f>
        <v/>
      </c>
      <c r="P2260">
        <f>IF(OHW!$G1213="","","Final")</f>
        <v/>
      </c>
    </row>
    <row r="2261">
      <c r="A2261">
        <f>IF(OHW!$G1214="","","OHW")</f>
        <v/>
      </c>
      <c r="B2261">
        <f>IF(OHW!$G1214="","","OHW")</f>
        <v/>
      </c>
      <c r="C2261" s="18">
        <f>IF(OHW!$G1214="","",OHW!$A1214)</f>
        <v/>
      </c>
      <c r="F2261">
        <f>IF(OHW!$G1214="","",OHW!$B1214&amp;"")</f>
        <v/>
      </c>
      <c r="J2261">
        <f>IF(OHW!$G1214="","",OHW!$E1214)</f>
        <v/>
      </c>
      <c r="K2261">
        <f>IF(OHW!$G1214="","",COUNTIFS(OHW!$A$5:$A$1668,OHW!$A1214,OHW!$C$5:$C$1668,OHW!$C1214))</f>
        <v/>
      </c>
      <c r="L2261">
        <f>IF(OHW!$G1214="","",OHW!$D1214&amp;"")</f>
        <v/>
      </c>
      <c r="M2261">
        <f>IF(OHW!$G1214="","",OHW!$F1214)</f>
        <v/>
      </c>
      <c r="N2261">
        <f>IF(OHW!$G1214="","",OHW!$G1214)</f>
        <v/>
      </c>
      <c r="O2261">
        <f>IF(OHW!$G1214="","",OHW!$I1214)</f>
        <v/>
      </c>
      <c r="P2261">
        <f>IF(OHW!$G1214="","","Final")</f>
        <v/>
      </c>
    </row>
    <row r="2262">
      <c r="A2262">
        <f>IF(OHW!$G1215="","","OHW")</f>
        <v/>
      </c>
      <c r="B2262">
        <f>IF(OHW!$G1215="","","OHW")</f>
        <v/>
      </c>
      <c r="C2262" s="18">
        <f>IF(OHW!$G1215="","",OHW!$A1215)</f>
        <v/>
      </c>
      <c r="F2262">
        <f>IF(OHW!$G1215="","",OHW!$B1215&amp;"")</f>
        <v/>
      </c>
      <c r="J2262">
        <f>IF(OHW!$G1215="","",OHW!$E1215)</f>
        <v/>
      </c>
      <c r="K2262">
        <f>IF(OHW!$G1215="","",COUNTIFS(OHW!$A$5:$A$1668,OHW!$A1215,OHW!$C$5:$C$1668,OHW!$C1215))</f>
        <v/>
      </c>
      <c r="L2262">
        <f>IF(OHW!$G1215="","",OHW!$D1215&amp;"")</f>
        <v/>
      </c>
      <c r="M2262">
        <f>IF(OHW!$G1215="","",OHW!$F1215)</f>
        <v/>
      </c>
      <c r="N2262">
        <f>IF(OHW!$G1215="","",OHW!$G1215)</f>
        <v/>
      </c>
      <c r="O2262">
        <f>IF(OHW!$G1215="","",OHW!$I1215)</f>
        <v/>
      </c>
      <c r="P2262">
        <f>IF(OHW!$G1215="","","Final")</f>
        <v/>
      </c>
    </row>
    <row r="2263">
      <c r="A2263">
        <f>IF(OHW!$G1216="","","OHW")</f>
        <v/>
      </c>
      <c r="B2263">
        <f>IF(OHW!$G1216="","","OHW")</f>
        <v/>
      </c>
      <c r="C2263" s="18">
        <f>IF(OHW!$G1216="","",OHW!$A1216)</f>
        <v/>
      </c>
      <c r="F2263">
        <f>IF(OHW!$G1216="","",OHW!$B1216&amp;"")</f>
        <v/>
      </c>
      <c r="J2263">
        <f>IF(OHW!$G1216="","",OHW!$E1216)</f>
        <v/>
      </c>
      <c r="K2263">
        <f>IF(OHW!$G1216="","",COUNTIFS(OHW!$A$5:$A$1668,OHW!$A1216,OHW!$C$5:$C$1668,OHW!$C1216))</f>
        <v/>
      </c>
      <c r="L2263">
        <f>IF(OHW!$G1216="","",OHW!$D1216&amp;"")</f>
        <v/>
      </c>
      <c r="M2263">
        <f>IF(OHW!$G1216="","",OHW!$F1216)</f>
        <v/>
      </c>
      <c r="N2263">
        <f>IF(OHW!$G1216="","",OHW!$G1216)</f>
        <v/>
      </c>
      <c r="O2263">
        <f>IF(OHW!$G1216="","",OHW!$I1216)</f>
        <v/>
      </c>
      <c r="P2263">
        <f>IF(OHW!$G1216="","","Final")</f>
        <v/>
      </c>
    </row>
    <row r="2264">
      <c r="A2264">
        <f>IF(OHW!$G1217="","","OHW")</f>
        <v/>
      </c>
      <c r="B2264">
        <f>IF(OHW!$G1217="","","OHW")</f>
        <v/>
      </c>
      <c r="C2264" s="18">
        <f>IF(OHW!$G1217="","",OHW!$A1217)</f>
        <v/>
      </c>
      <c r="F2264">
        <f>IF(OHW!$G1217="","",OHW!$B1217&amp;"")</f>
        <v/>
      </c>
      <c r="J2264">
        <f>IF(OHW!$G1217="","",OHW!$E1217)</f>
        <v/>
      </c>
      <c r="K2264">
        <f>IF(OHW!$G1217="","",COUNTIFS(OHW!$A$5:$A$1668,OHW!$A1217,OHW!$C$5:$C$1668,OHW!$C1217))</f>
        <v/>
      </c>
      <c r="L2264">
        <f>IF(OHW!$G1217="","",OHW!$D1217&amp;"")</f>
        <v/>
      </c>
      <c r="M2264">
        <f>IF(OHW!$G1217="","",OHW!$F1217)</f>
        <v/>
      </c>
      <c r="N2264">
        <f>IF(OHW!$G1217="","",OHW!$G1217)</f>
        <v/>
      </c>
      <c r="O2264">
        <f>IF(OHW!$G1217="","",OHW!$I1217)</f>
        <v/>
      </c>
      <c r="P2264">
        <f>IF(OHW!$G1217="","","Final")</f>
        <v/>
      </c>
    </row>
    <row r="2265">
      <c r="A2265">
        <f>IF(OHW!$G1218="","","OHW")</f>
        <v/>
      </c>
      <c r="B2265">
        <f>IF(OHW!$G1218="","","OHW")</f>
        <v/>
      </c>
      <c r="C2265" s="18">
        <f>IF(OHW!$G1218="","",OHW!$A1218)</f>
        <v/>
      </c>
      <c r="F2265">
        <f>IF(OHW!$G1218="","",OHW!$B1218&amp;"")</f>
        <v/>
      </c>
      <c r="J2265">
        <f>IF(OHW!$G1218="","",OHW!$E1218)</f>
        <v/>
      </c>
      <c r="K2265">
        <f>IF(OHW!$G1218="","",COUNTIFS(OHW!$A$5:$A$1668,OHW!$A1218,OHW!$C$5:$C$1668,OHW!$C1218))</f>
        <v/>
      </c>
      <c r="L2265">
        <f>IF(OHW!$G1218="","",OHW!$D1218&amp;"")</f>
        <v/>
      </c>
      <c r="M2265">
        <f>IF(OHW!$G1218="","",OHW!$F1218)</f>
        <v/>
      </c>
      <c r="N2265">
        <f>IF(OHW!$G1218="","",OHW!$G1218)</f>
        <v/>
      </c>
      <c r="O2265">
        <f>IF(OHW!$G1218="","",OHW!$I1218)</f>
        <v/>
      </c>
      <c r="P2265">
        <f>IF(OHW!$G1218="","","Final")</f>
        <v/>
      </c>
    </row>
    <row r="2266">
      <c r="A2266">
        <f>IF(OHW!$G1219="","","OHW")</f>
        <v/>
      </c>
      <c r="B2266">
        <f>IF(OHW!$G1219="","","OHW")</f>
        <v/>
      </c>
      <c r="C2266" s="18">
        <f>IF(OHW!$G1219="","",OHW!$A1219)</f>
        <v/>
      </c>
      <c r="F2266">
        <f>IF(OHW!$G1219="","",OHW!$B1219&amp;"")</f>
        <v/>
      </c>
      <c r="J2266">
        <f>IF(OHW!$G1219="","",OHW!$E1219)</f>
        <v/>
      </c>
      <c r="K2266">
        <f>IF(OHW!$G1219="","",COUNTIFS(OHW!$A$5:$A$1668,OHW!$A1219,OHW!$C$5:$C$1668,OHW!$C1219))</f>
        <v/>
      </c>
      <c r="L2266">
        <f>IF(OHW!$G1219="","",OHW!$D1219&amp;"")</f>
        <v/>
      </c>
      <c r="M2266">
        <f>IF(OHW!$G1219="","",OHW!$F1219)</f>
        <v/>
      </c>
      <c r="N2266">
        <f>IF(OHW!$G1219="","",OHW!$G1219)</f>
        <v/>
      </c>
      <c r="O2266">
        <f>IF(OHW!$G1219="","",OHW!$I1219)</f>
        <v/>
      </c>
      <c r="P2266">
        <f>IF(OHW!$G1219="","","Final")</f>
        <v/>
      </c>
    </row>
    <row r="2267">
      <c r="A2267">
        <f>IF(OHW!$G1220="","","OHW")</f>
        <v/>
      </c>
      <c r="B2267">
        <f>IF(OHW!$G1220="","","OHW")</f>
        <v/>
      </c>
      <c r="C2267" s="18">
        <f>IF(OHW!$G1220="","",OHW!$A1220)</f>
        <v/>
      </c>
      <c r="F2267">
        <f>IF(OHW!$G1220="","",OHW!$B1220&amp;"")</f>
        <v/>
      </c>
      <c r="J2267">
        <f>IF(OHW!$G1220="","",OHW!$E1220)</f>
        <v/>
      </c>
      <c r="K2267">
        <f>IF(OHW!$G1220="","",COUNTIFS(OHW!$A$5:$A$1668,OHW!$A1220,OHW!$C$5:$C$1668,OHW!$C1220))</f>
        <v/>
      </c>
      <c r="L2267">
        <f>IF(OHW!$G1220="","",OHW!$D1220&amp;"")</f>
        <v/>
      </c>
      <c r="M2267">
        <f>IF(OHW!$G1220="","",OHW!$F1220)</f>
        <v/>
      </c>
      <c r="N2267">
        <f>IF(OHW!$G1220="","",OHW!$G1220)</f>
        <v/>
      </c>
      <c r="O2267">
        <f>IF(OHW!$G1220="","",OHW!$I1220)</f>
        <v/>
      </c>
      <c r="P2267">
        <f>IF(OHW!$G1220="","","Final")</f>
        <v/>
      </c>
    </row>
    <row r="2268">
      <c r="A2268">
        <f>IF(OHW!$G1221="","","OHW")</f>
        <v/>
      </c>
      <c r="B2268">
        <f>IF(OHW!$G1221="","","OHW")</f>
        <v/>
      </c>
      <c r="C2268" s="18">
        <f>IF(OHW!$G1221="","",OHW!$A1221)</f>
        <v/>
      </c>
      <c r="F2268">
        <f>IF(OHW!$G1221="","",OHW!$B1221&amp;"")</f>
        <v/>
      </c>
      <c r="J2268">
        <f>IF(OHW!$G1221="","",OHW!$E1221)</f>
        <v/>
      </c>
      <c r="K2268">
        <f>IF(OHW!$G1221="","",COUNTIFS(OHW!$A$5:$A$1668,OHW!$A1221,OHW!$C$5:$C$1668,OHW!$C1221))</f>
        <v/>
      </c>
      <c r="L2268">
        <f>IF(OHW!$G1221="","",OHW!$D1221&amp;"")</f>
        <v/>
      </c>
      <c r="M2268">
        <f>IF(OHW!$G1221="","",OHW!$F1221)</f>
        <v/>
      </c>
      <c r="N2268">
        <f>IF(OHW!$G1221="","",OHW!$G1221)</f>
        <v/>
      </c>
      <c r="O2268">
        <f>IF(OHW!$G1221="","",OHW!$I1221)</f>
        <v/>
      </c>
      <c r="P2268">
        <f>IF(OHW!$G1221="","","Final")</f>
        <v/>
      </c>
    </row>
    <row r="2269">
      <c r="A2269">
        <f>IF(OHW!$G1222="","","OHW")</f>
        <v/>
      </c>
      <c r="B2269">
        <f>IF(OHW!$G1222="","","OHW")</f>
        <v/>
      </c>
      <c r="C2269" s="18">
        <f>IF(OHW!$G1222="","",OHW!$A1222)</f>
        <v/>
      </c>
      <c r="F2269">
        <f>IF(OHW!$G1222="","",OHW!$B1222&amp;"")</f>
        <v/>
      </c>
      <c r="J2269">
        <f>IF(OHW!$G1222="","",OHW!$E1222)</f>
        <v/>
      </c>
      <c r="K2269">
        <f>IF(OHW!$G1222="","",COUNTIFS(OHW!$A$5:$A$1668,OHW!$A1222,OHW!$C$5:$C$1668,OHW!$C1222))</f>
        <v/>
      </c>
      <c r="L2269">
        <f>IF(OHW!$G1222="","",OHW!$D1222&amp;"")</f>
        <v/>
      </c>
      <c r="M2269">
        <f>IF(OHW!$G1222="","",OHW!$F1222)</f>
        <v/>
      </c>
      <c r="N2269">
        <f>IF(OHW!$G1222="","",OHW!$G1222)</f>
        <v/>
      </c>
      <c r="O2269">
        <f>IF(OHW!$G1222="","",OHW!$I1222)</f>
        <v/>
      </c>
      <c r="P2269">
        <f>IF(OHW!$G1222="","","Final")</f>
        <v/>
      </c>
    </row>
    <row r="2270">
      <c r="A2270">
        <f>IF(OHW!$G1223="","","OHW")</f>
        <v/>
      </c>
      <c r="B2270">
        <f>IF(OHW!$G1223="","","OHW")</f>
        <v/>
      </c>
      <c r="C2270" s="18">
        <f>IF(OHW!$G1223="","",OHW!$A1223)</f>
        <v/>
      </c>
      <c r="F2270">
        <f>IF(OHW!$G1223="","",OHW!$B1223&amp;"")</f>
        <v/>
      </c>
      <c r="J2270">
        <f>IF(OHW!$G1223="","",OHW!$E1223)</f>
        <v/>
      </c>
      <c r="K2270">
        <f>IF(OHW!$G1223="","",COUNTIFS(OHW!$A$5:$A$1668,OHW!$A1223,OHW!$C$5:$C$1668,OHW!$C1223))</f>
        <v/>
      </c>
      <c r="L2270">
        <f>IF(OHW!$G1223="","",OHW!$D1223&amp;"")</f>
        <v/>
      </c>
      <c r="M2270">
        <f>IF(OHW!$G1223="","",OHW!$F1223)</f>
        <v/>
      </c>
      <c r="N2270">
        <f>IF(OHW!$G1223="","",OHW!$G1223)</f>
        <v/>
      </c>
      <c r="O2270">
        <f>IF(OHW!$G1223="","",OHW!$I1223)</f>
        <v/>
      </c>
      <c r="P2270">
        <f>IF(OHW!$G1223="","","Final")</f>
        <v/>
      </c>
    </row>
    <row r="2271">
      <c r="A2271">
        <f>IF(OHW!$G1224="","","OHW")</f>
        <v/>
      </c>
      <c r="B2271">
        <f>IF(OHW!$G1224="","","OHW")</f>
        <v/>
      </c>
      <c r="C2271" s="18">
        <f>IF(OHW!$G1224="","",OHW!$A1224)</f>
        <v/>
      </c>
      <c r="F2271">
        <f>IF(OHW!$G1224="","",OHW!$B1224&amp;"")</f>
        <v/>
      </c>
      <c r="J2271">
        <f>IF(OHW!$G1224="","",OHW!$E1224)</f>
        <v/>
      </c>
      <c r="K2271">
        <f>IF(OHW!$G1224="","",COUNTIFS(OHW!$A$5:$A$1668,OHW!$A1224,OHW!$C$5:$C$1668,OHW!$C1224))</f>
        <v/>
      </c>
      <c r="L2271">
        <f>IF(OHW!$G1224="","",OHW!$D1224&amp;"")</f>
        <v/>
      </c>
      <c r="M2271">
        <f>IF(OHW!$G1224="","",OHW!$F1224)</f>
        <v/>
      </c>
      <c r="N2271">
        <f>IF(OHW!$G1224="","",OHW!$G1224)</f>
        <v/>
      </c>
      <c r="O2271">
        <f>IF(OHW!$G1224="","",OHW!$I1224)</f>
        <v/>
      </c>
      <c r="P2271">
        <f>IF(OHW!$G1224="","","Final")</f>
        <v/>
      </c>
    </row>
    <row r="2272">
      <c r="A2272">
        <f>IF(OHW!$G1225="","","OHW")</f>
        <v/>
      </c>
      <c r="B2272">
        <f>IF(OHW!$G1225="","","OHW")</f>
        <v/>
      </c>
      <c r="C2272" s="18">
        <f>IF(OHW!$G1225="","",OHW!$A1225)</f>
        <v/>
      </c>
      <c r="F2272">
        <f>IF(OHW!$G1225="","",OHW!$B1225&amp;"")</f>
        <v/>
      </c>
      <c r="J2272">
        <f>IF(OHW!$G1225="","",OHW!$E1225)</f>
        <v/>
      </c>
      <c r="K2272">
        <f>IF(OHW!$G1225="","",COUNTIFS(OHW!$A$5:$A$1668,OHW!$A1225,OHW!$C$5:$C$1668,OHW!$C1225))</f>
        <v/>
      </c>
      <c r="L2272">
        <f>IF(OHW!$G1225="","",OHW!$D1225&amp;"")</f>
        <v/>
      </c>
      <c r="M2272">
        <f>IF(OHW!$G1225="","",OHW!$F1225)</f>
        <v/>
      </c>
      <c r="N2272">
        <f>IF(OHW!$G1225="","",OHW!$G1225)</f>
        <v/>
      </c>
      <c r="O2272">
        <f>IF(OHW!$G1225="","",OHW!$I1225)</f>
        <v/>
      </c>
      <c r="P2272">
        <f>IF(OHW!$G1225="","","Final")</f>
        <v/>
      </c>
    </row>
    <row r="2273">
      <c r="A2273">
        <f>IF(OHW!$G1226="","","OHW")</f>
        <v/>
      </c>
      <c r="B2273">
        <f>IF(OHW!$G1226="","","OHW")</f>
        <v/>
      </c>
      <c r="C2273" s="18">
        <f>IF(OHW!$G1226="","",OHW!$A1226)</f>
        <v/>
      </c>
      <c r="F2273">
        <f>IF(OHW!$G1226="","",OHW!$B1226&amp;"")</f>
        <v/>
      </c>
      <c r="J2273">
        <f>IF(OHW!$G1226="","",OHW!$E1226)</f>
        <v/>
      </c>
      <c r="K2273">
        <f>IF(OHW!$G1226="","",COUNTIFS(OHW!$A$5:$A$1668,OHW!$A1226,OHW!$C$5:$C$1668,OHW!$C1226))</f>
        <v/>
      </c>
      <c r="L2273">
        <f>IF(OHW!$G1226="","",OHW!$D1226&amp;"")</f>
        <v/>
      </c>
      <c r="M2273">
        <f>IF(OHW!$G1226="","",OHW!$F1226)</f>
        <v/>
      </c>
      <c r="N2273">
        <f>IF(OHW!$G1226="","",OHW!$G1226)</f>
        <v/>
      </c>
      <c r="O2273">
        <f>IF(OHW!$G1226="","",OHW!$I1226)</f>
        <v/>
      </c>
      <c r="P2273">
        <f>IF(OHW!$G1226="","","Final")</f>
        <v/>
      </c>
    </row>
    <row r="2274">
      <c r="A2274">
        <f>IF(OHW!$G1227="","","OHW")</f>
        <v/>
      </c>
      <c r="B2274">
        <f>IF(OHW!$G1227="","","OHW")</f>
        <v/>
      </c>
      <c r="C2274" s="18">
        <f>IF(OHW!$G1227="","",OHW!$A1227)</f>
        <v/>
      </c>
      <c r="F2274">
        <f>IF(OHW!$G1227="","",OHW!$B1227&amp;"")</f>
        <v/>
      </c>
      <c r="J2274">
        <f>IF(OHW!$G1227="","",OHW!$E1227)</f>
        <v/>
      </c>
      <c r="K2274">
        <f>IF(OHW!$G1227="","",COUNTIFS(OHW!$A$5:$A$1668,OHW!$A1227,OHW!$C$5:$C$1668,OHW!$C1227))</f>
        <v/>
      </c>
      <c r="L2274">
        <f>IF(OHW!$G1227="","",OHW!$D1227&amp;"")</f>
        <v/>
      </c>
      <c r="M2274">
        <f>IF(OHW!$G1227="","",OHW!$F1227)</f>
        <v/>
      </c>
      <c r="N2274">
        <f>IF(OHW!$G1227="","",OHW!$G1227)</f>
        <v/>
      </c>
      <c r="O2274">
        <f>IF(OHW!$G1227="","",OHW!$I1227)</f>
        <v/>
      </c>
      <c r="P2274">
        <f>IF(OHW!$G1227="","","Final")</f>
        <v/>
      </c>
    </row>
    <row r="2275">
      <c r="A2275">
        <f>IF(OHW!$G1228="","","OHW")</f>
        <v/>
      </c>
      <c r="B2275">
        <f>IF(OHW!$G1228="","","OHW")</f>
        <v/>
      </c>
      <c r="C2275" s="18">
        <f>IF(OHW!$G1228="","",OHW!$A1228)</f>
        <v/>
      </c>
      <c r="F2275">
        <f>IF(OHW!$G1228="","",OHW!$B1228&amp;"")</f>
        <v/>
      </c>
      <c r="J2275">
        <f>IF(OHW!$G1228="","",OHW!$E1228)</f>
        <v/>
      </c>
      <c r="K2275">
        <f>IF(OHW!$G1228="","",COUNTIFS(OHW!$A$5:$A$1668,OHW!$A1228,OHW!$C$5:$C$1668,OHW!$C1228))</f>
        <v/>
      </c>
      <c r="L2275">
        <f>IF(OHW!$G1228="","",OHW!$D1228&amp;"")</f>
        <v/>
      </c>
      <c r="M2275">
        <f>IF(OHW!$G1228="","",OHW!$F1228)</f>
        <v/>
      </c>
      <c r="N2275">
        <f>IF(OHW!$G1228="","",OHW!$G1228)</f>
        <v/>
      </c>
      <c r="O2275">
        <f>IF(OHW!$G1228="","",OHW!$I1228)</f>
        <v/>
      </c>
      <c r="P2275">
        <f>IF(OHW!$G1228="","","Final")</f>
        <v/>
      </c>
    </row>
    <row r="2276">
      <c r="A2276">
        <f>IF(OHW!$G1229="","","OHW")</f>
        <v/>
      </c>
      <c r="B2276">
        <f>IF(OHW!$G1229="","","OHW")</f>
        <v/>
      </c>
      <c r="C2276" s="18">
        <f>IF(OHW!$G1229="","",OHW!$A1229)</f>
        <v/>
      </c>
      <c r="F2276">
        <f>IF(OHW!$G1229="","",OHW!$B1229&amp;"")</f>
        <v/>
      </c>
      <c r="J2276">
        <f>IF(OHW!$G1229="","",OHW!$E1229)</f>
        <v/>
      </c>
      <c r="K2276">
        <f>IF(OHW!$G1229="","",COUNTIFS(OHW!$A$5:$A$1668,OHW!$A1229,OHW!$C$5:$C$1668,OHW!$C1229))</f>
        <v/>
      </c>
      <c r="L2276">
        <f>IF(OHW!$G1229="","",OHW!$D1229&amp;"")</f>
        <v/>
      </c>
      <c r="M2276">
        <f>IF(OHW!$G1229="","",OHW!$F1229)</f>
        <v/>
      </c>
      <c r="N2276">
        <f>IF(OHW!$G1229="","",OHW!$G1229)</f>
        <v/>
      </c>
      <c r="O2276">
        <f>IF(OHW!$G1229="","",OHW!$I1229)</f>
        <v/>
      </c>
      <c r="P2276">
        <f>IF(OHW!$G1229="","","Final")</f>
        <v/>
      </c>
    </row>
    <row r="2277">
      <c r="A2277">
        <f>IF(OHW!$G1230="","","OHW")</f>
        <v/>
      </c>
      <c r="B2277">
        <f>IF(OHW!$G1230="","","OHW")</f>
        <v/>
      </c>
      <c r="C2277" s="18">
        <f>IF(OHW!$G1230="","",OHW!$A1230)</f>
        <v/>
      </c>
      <c r="F2277">
        <f>IF(OHW!$G1230="","",OHW!$B1230&amp;"")</f>
        <v/>
      </c>
      <c r="J2277">
        <f>IF(OHW!$G1230="","",OHW!$E1230)</f>
        <v/>
      </c>
      <c r="K2277">
        <f>IF(OHW!$G1230="","",COUNTIFS(OHW!$A$5:$A$1668,OHW!$A1230,OHW!$C$5:$C$1668,OHW!$C1230))</f>
        <v/>
      </c>
      <c r="L2277">
        <f>IF(OHW!$G1230="","",OHW!$D1230&amp;"")</f>
        <v/>
      </c>
      <c r="M2277">
        <f>IF(OHW!$G1230="","",OHW!$F1230)</f>
        <v/>
      </c>
      <c r="N2277">
        <f>IF(OHW!$G1230="","",OHW!$G1230)</f>
        <v/>
      </c>
      <c r="O2277">
        <f>IF(OHW!$G1230="","",OHW!$I1230)</f>
        <v/>
      </c>
      <c r="P2277">
        <f>IF(OHW!$G1230="","","Final")</f>
        <v/>
      </c>
    </row>
    <row r="2278">
      <c r="A2278">
        <f>IF(OHW!$G1231="","","OHW")</f>
        <v/>
      </c>
      <c r="B2278">
        <f>IF(OHW!$G1231="","","OHW")</f>
        <v/>
      </c>
      <c r="C2278" s="18">
        <f>IF(OHW!$G1231="","",OHW!$A1231)</f>
        <v/>
      </c>
      <c r="F2278">
        <f>IF(OHW!$G1231="","",OHW!$B1231&amp;"")</f>
        <v/>
      </c>
      <c r="J2278">
        <f>IF(OHW!$G1231="","",OHW!$E1231)</f>
        <v/>
      </c>
      <c r="K2278">
        <f>IF(OHW!$G1231="","",COUNTIFS(OHW!$A$5:$A$1668,OHW!$A1231,OHW!$C$5:$C$1668,OHW!$C1231))</f>
        <v/>
      </c>
      <c r="L2278">
        <f>IF(OHW!$G1231="","",OHW!$D1231&amp;"")</f>
        <v/>
      </c>
      <c r="M2278">
        <f>IF(OHW!$G1231="","",OHW!$F1231)</f>
        <v/>
      </c>
      <c r="N2278">
        <f>IF(OHW!$G1231="","",OHW!$G1231)</f>
        <v/>
      </c>
      <c r="O2278">
        <f>IF(OHW!$G1231="","",OHW!$I1231)</f>
        <v/>
      </c>
      <c r="P2278">
        <f>IF(OHW!$G1231="","","Final")</f>
        <v/>
      </c>
    </row>
    <row r="2279">
      <c r="A2279">
        <f>IF(OHW!$G1232="","","OHW")</f>
        <v/>
      </c>
      <c r="B2279">
        <f>IF(OHW!$G1232="","","OHW")</f>
        <v/>
      </c>
      <c r="C2279" s="18">
        <f>IF(OHW!$G1232="","",OHW!$A1232)</f>
        <v/>
      </c>
      <c r="F2279">
        <f>IF(OHW!$G1232="","",OHW!$B1232&amp;"")</f>
        <v/>
      </c>
      <c r="J2279">
        <f>IF(OHW!$G1232="","",OHW!$E1232)</f>
        <v/>
      </c>
      <c r="K2279">
        <f>IF(OHW!$G1232="","",COUNTIFS(OHW!$A$5:$A$1668,OHW!$A1232,OHW!$C$5:$C$1668,OHW!$C1232))</f>
        <v/>
      </c>
      <c r="L2279">
        <f>IF(OHW!$G1232="","",OHW!$D1232&amp;"")</f>
        <v/>
      </c>
      <c r="M2279">
        <f>IF(OHW!$G1232="","",OHW!$F1232)</f>
        <v/>
      </c>
      <c r="N2279">
        <f>IF(OHW!$G1232="","",OHW!$G1232)</f>
        <v/>
      </c>
      <c r="O2279">
        <f>IF(OHW!$G1232="","",OHW!$I1232)</f>
        <v/>
      </c>
      <c r="P2279">
        <f>IF(OHW!$G1232="","","Final")</f>
        <v/>
      </c>
    </row>
    <row r="2280">
      <c r="A2280">
        <f>IF(OHW!$G1233="","","OHW")</f>
        <v/>
      </c>
      <c r="B2280">
        <f>IF(OHW!$G1233="","","OHW")</f>
        <v/>
      </c>
      <c r="C2280" s="18">
        <f>IF(OHW!$G1233="","",OHW!$A1233)</f>
        <v/>
      </c>
      <c r="F2280">
        <f>IF(OHW!$G1233="","",OHW!$B1233&amp;"")</f>
        <v/>
      </c>
      <c r="J2280">
        <f>IF(OHW!$G1233="","",OHW!$E1233)</f>
        <v/>
      </c>
      <c r="K2280">
        <f>IF(OHW!$G1233="","",COUNTIFS(OHW!$A$5:$A$1668,OHW!$A1233,OHW!$C$5:$C$1668,OHW!$C1233))</f>
        <v/>
      </c>
      <c r="L2280">
        <f>IF(OHW!$G1233="","",OHW!$D1233&amp;"")</f>
        <v/>
      </c>
      <c r="M2280">
        <f>IF(OHW!$G1233="","",OHW!$F1233)</f>
        <v/>
      </c>
      <c r="N2280">
        <f>IF(OHW!$G1233="","",OHW!$G1233)</f>
        <v/>
      </c>
      <c r="O2280">
        <f>IF(OHW!$G1233="","",OHW!$I1233)</f>
        <v/>
      </c>
      <c r="P2280">
        <f>IF(OHW!$G1233="","","Final")</f>
        <v/>
      </c>
    </row>
    <row r="2281">
      <c r="A2281">
        <f>IF(OHW!$G1234="","","OHW")</f>
        <v/>
      </c>
      <c r="B2281">
        <f>IF(OHW!$G1234="","","OHW")</f>
        <v/>
      </c>
      <c r="C2281" s="18">
        <f>IF(OHW!$G1234="","",OHW!$A1234)</f>
        <v/>
      </c>
      <c r="F2281">
        <f>IF(OHW!$G1234="","",OHW!$B1234&amp;"")</f>
        <v/>
      </c>
      <c r="J2281">
        <f>IF(OHW!$G1234="","",OHW!$E1234)</f>
        <v/>
      </c>
      <c r="K2281">
        <f>IF(OHW!$G1234="","",COUNTIFS(OHW!$A$5:$A$1668,OHW!$A1234,OHW!$C$5:$C$1668,OHW!$C1234))</f>
        <v/>
      </c>
      <c r="L2281">
        <f>IF(OHW!$G1234="","",OHW!$D1234&amp;"")</f>
        <v/>
      </c>
      <c r="M2281">
        <f>IF(OHW!$G1234="","",OHW!$F1234)</f>
        <v/>
      </c>
      <c r="N2281">
        <f>IF(OHW!$G1234="","",OHW!$G1234)</f>
        <v/>
      </c>
      <c r="O2281">
        <f>IF(OHW!$G1234="","",OHW!$I1234)</f>
        <v/>
      </c>
      <c r="P2281">
        <f>IF(OHW!$G1234="","","Final")</f>
        <v/>
      </c>
    </row>
    <row r="2282">
      <c r="A2282">
        <f>IF(OHW!$G1235="","","OHW")</f>
        <v/>
      </c>
      <c r="B2282">
        <f>IF(OHW!$G1235="","","OHW")</f>
        <v/>
      </c>
      <c r="C2282" s="18">
        <f>IF(OHW!$G1235="","",OHW!$A1235)</f>
        <v/>
      </c>
      <c r="F2282">
        <f>IF(OHW!$G1235="","",OHW!$B1235&amp;"")</f>
        <v/>
      </c>
      <c r="J2282">
        <f>IF(OHW!$G1235="","",OHW!$E1235)</f>
        <v/>
      </c>
      <c r="K2282">
        <f>IF(OHW!$G1235="","",COUNTIFS(OHW!$A$5:$A$1668,OHW!$A1235,OHW!$C$5:$C$1668,OHW!$C1235))</f>
        <v/>
      </c>
      <c r="L2282">
        <f>IF(OHW!$G1235="","",OHW!$D1235&amp;"")</f>
        <v/>
      </c>
      <c r="M2282">
        <f>IF(OHW!$G1235="","",OHW!$F1235)</f>
        <v/>
      </c>
      <c r="N2282">
        <f>IF(OHW!$G1235="","",OHW!$G1235)</f>
        <v/>
      </c>
      <c r="O2282">
        <f>IF(OHW!$G1235="","",OHW!$I1235)</f>
        <v/>
      </c>
      <c r="P2282">
        <f>IF(OHW!$G1235="","","Final")</f>
        <v/>
      </c>
    </row>
    <row r="2283">
      <c r="A2283">
        <f>IF(OHW!$G1236="","","OHW")</f>
        <v/>
      </c>
      <c r="B2283">
        <f>IF(OHW!$G1236="","","OHW")</f>
        <v/>
      </c>
      <c r="C2283" s="18">
        <f>IF(OHW!$G1236="","",OHW!$A1236)</f>
        <v/>
      </c>
      <c r="F2283">
        <f>IF(OHW!$G1236="","",OHW!$B1236&amp;"")</f>
        <v/>
      </c>
      <c r="J2283">
        <f>IF(OHW!$G1236="","",OHW!$E1236)</f>
        <v/>
      </c>
      <c r="K2283">
        <f>IF(OHW!$G1236="","",COUNTIFS(OHW!$A$5:$A$1668,OHW!$A1236,OHW!$C$5:$C$1668,OHW!$C1236))</f>
        <v/>
      </c>
      <c r="L2283">
        <f>IF(OHW!$G1236="","",OHW!$D1236&amp;"")</f>
        <v/>
      </c>
      <c r="M2283">
        <f>IF(OHW!$G1236="","",OHW!$F1236)</f>
        <v/>
      </c>
      <c r="N2283">
        <f>IF(OHW!$G1236="","",OHW!$G1236)</f>
        <v/>
      </c>
      <c r="O2283">
        <f>IF(OHW!$G1236="","",OHW!$I1236)</f>
        <v/>
      </c>
      <c r="P2283">
        <f>IF(OHW!$G1236="","","Final")</f>
        <v/>
      </c>
    </row>
    <row r="2284">
      <c r="A2284">
        <f>IF(OHW!$G1237="","","OHW")</f>
        <v/>
      </c>
      <c r="B2284">
        <f>IF(OHW!$G1237="","","OHW")</f>
        <v/>
      </c>
      <c r="C2284" s="18">
        <f>IF(OHW!$G1237="","",OHW!$A1237)</f>
        <v/>
      </c>
      <c r="F2284">
        <f>IF(OHW!$G1237="","",OHW!$B1237&amp;"")</f>
        <v/>
      </c>
      <c r="J2284">
        <f>IF(OHW!$G1237="","",OHW!$E1237)</f>
        <v/>
      </c>
      <c r="K2284">
        <f>IF(OHW!$G1237="","",COUNTIFS(OHW!$A$5:$A$1668,OHW!$A1237,OHW!$C$5:$C$1668,OHW!$C1237))</f>
        <v/>
      </c>
      <c r="L2284">
        <f>IF(OHW!$G1237="","",OHW!$D1237&amp;"")</f>
        <v/>
      </c>
      <c r="M2284">
        <f>IF(OHW!$G1237="","",OHW!$F1237)</f>
        <v/>
      </c>
      <c r="N2284">
        <f>IF(OHW!$G1237="","",OHW!$G1237)</f>
        <v/>
      </c>
      <c r="O2284">
        <f>IF(OHW!$G1237="","",OHW!$I1237)</f>
        <v/>
      </c>
      <c r="P2284">
        <f>IF(OHW!$G1237="","","Final")</f>
        <v/>
      </c>
    </row>
    <row r="2285">
      <c r="A2285">
        <f>IF(OHW!$G1238="","","OHW")</f>
        <v/>
      </c>
      <c r="B2285">
        <f>IF(OHW!$G1238="","","OHW")</f>
        <v/>
      </c>
      <c r="C2285" s="18">
        <f>IF(OHW!$G1238="","",OHW!$A1238)</f>
        <v/>
      </c>
      <c r="F2285">
        <f>IF(OHW!$G1238="","",OHW!$B1238&amp;"")</f>
        <v/>
      </c>
      <c r="J2285">
        <f>IF(OHW!$G1238="","",OHW!$E1238)</f>
        <v/>
      </c>
      <c r="K2285">
        <f>IF(OHW!$G1238="","",COUNTIFS(OHW!$A$5:$A$1668,OHW!$A1238,OHW!$C$5:$C$1668,OHW!$C1238))</f>
        <v/>
      </c>
      <c r="L2285">
        <f>IF(OHW!$G1238="","",OHW!$D1238&amp;"")</f>
        <v/>
      </c>
      <c r="M2285">
        <f>IF(OHW!$G1238="","",OHW!$F1238)</f>
        <v/>
      </c>
      <c r="N2285">
        <f>IF(OHW!$G1238="","",OHW!$G1238)</f>
        <v/>
      </c>
      <c r="O2285">
        <f>IF(OHW!$G1238="","",OHW!$I1238)</f>
        <v/>
      </c>
      <c r="P2285">
        <f>IF(OHW!$G1238="","","Final")</f>
        <v/>
      </c>
    </row>
    <row r="2286">
      <c r="A2286">
        <f>IF(OHW!$G1239="","","OHW")</f>
        <v/>
      </c>
      <c r="B2286">
        <f>IF(OHW!$G1239="","","OHW")</f>
        <v/>
      </c>
      <c r="C2286" s="18">
        <f>IF(OHW!$G1239="","",OHW!$A1239)</f>
        <v/>
      </c>
      <c r="F2286">
        <f>IF(OHW!$G1239="","",OHW!$B1239&amp;"")</f>
        <v/>
      </c>
      <c r="J2286">
        <f>IF(OHW!$G1239="","",OHW!$E1239)</f>
        <v/>
      </c>
      <c r="K2286">
        <f>IF(OHW!$G1239="","",COUNTIFS(OHW!$A$5:$A$1668,OHW!$A1239,OHW!$C$5:$C$1668,OHW!$C1239))</f>
        <v/>
      </c>
      <c r="L2286">
        <f>IF(OHW!$G1239="","",OHW!$D1239&amp;"")</f>
        <v/>
      </c>
      <c r="M2286">
        <f>IF(OHW!$G1239="","",OHW!$F1239)</f>
        <v/>
      </c>
      <c r="N2286">
        <f>IF(OHW!$G1239="","",OHW!$G1239)</f>
        <v/>
      </c>
      <c r="O2286">
        <f>IF(OHW!$G1239="","",OHW!$I1239)</f>
        <v/>
      </c>
      <c r="P2286">
        <f>IF(OHW!$G1239="","","Final")</f>
        <v/>
      </c>
    </row>
    <row r="2287">
      <c r="A2287">
        <f>IF(OHW!$G1240="","","OHW")</f>
        <v/>
      </c>
      <c r="B2287">
        <f>IF(OHW!$G1240="","","OHW")</f>
        <v/>
      </c>
      <c r="C2287" s="18">
        <f>IF(OHW!$G1240="","",OHW!$A1240)</f>
        <v/>
      </c>
      <c r="F2287">
        <f>IF(OHW!$G1240="","",OHW!$B1240&amp;"")</f>
        <v/>
      </c>
      <c r="J2287">
        <f>IF(OHW!$G1240="","",OHW!$E1240)</f>
        <v/>
      </c>
      <c r="K2287">
        <f>IF(OHW!$G1240="","",COUNTIFS(OHW!$A$5:$A$1668,OHW!$A1240,OHW!$C$5:$C$1668,OHW!$C1240))</f>
        <v/>
      </c>
      <c r="L2287">
        <f>IF(OHW!$G1240="","",OHW!$D1240&amp;"")</f>
        <v/>
      </c>
      <c r="M2287">
        <f>IF(OHW!$G1240="","",OHW!$F1240)</f>
        <v/>
      </c>
      <c r="N2287">
        <f>IF(OHW!$G1240="","",OHW!$G1240)</f>
        <v/>
      </c>
      <c r="O2287">
        <f>IF(OHW!$G1240="","",OHW!$I1240)</f>
        <v/>
      </c>
      <c r="P2287">
        <f>IF(OHW!$G1240="","","Final")</f>
        <v/>
      </c>
    </row>
    <row r="2288">
      <c r="A2288">
        <f>IF(OHW!$G1241="","","OHW")</f>
        <v/>
      </c>
      <c r="B2288">
        <f>IF(OHW!$G1241="","","OHW")</f>
        <v/>
      </c>
      <c r="C2288" s="18">
        <f>IF(OHW!$G1241="","",OHW!$A1241)</f>
        <v/>
      </c>
      <c r="F2288">
        <f>IF(OHW!$G1241="","",OHW!$B1241&amp;"")</f>
        <v/>
      </c>
      <c r="J2288">
        <f>IF(OHW!$G1241="","",OHW!$E1241)</f>
        <v/>
      </c>
      <c r="K2288">
        <f>IF(OHW!$G1241="","",COUNTIFS(OHW!$A$5:$A$1668,OHW!$A1241,OHW!$C$5:$C$1668,OHW!$C1241))</f>
        <v/>
      </c>
      <c r="L2288">
        <f>IF(OHW!$G1241="","",OHW!$D1241&amp;"")</f>
        <v/>
      </c>
      <c r="M2288">
        <f>IF(OHW!$G1241="","",OHW!$F1241)</f>
        <v/>
      </c>
      <c r="N2288">
        <f>IF(OHW!$G1241="","",OHW!$G1241)</f>
        <v/>
      </c>
      <c r="O2288">
        <f>IF(OHW!$G1241="","",OHW!$I1241)</f>
        <v/>
      </c>
      <c r="P2288">
        <f>IF(OHW!$G1241="","","Final")</f>
        <v/>
      </c>
    </row>
    <row r="2289">
      <c r="A2289">
        <f>IF(OHW!$G1242="","","OHW")</f>
        <v/>
      </c>
      <c r="B2289">
        <f>IF(OHW!$G1242="","","OHW")</f>
        <v/>
      </c>
      <c r="C2289" s="18">
        <f>IF(OHW!$G1242="","",OHW!$A1242)</f>
        <v/>
      </c>
      <c r="F2289">
        <f>IF(OHW!$G1242="","",OHW!$B1242&amp;"")</f>
        <v/>
      </c>
      <c r="J2289">
        <f>IF(OHW!$G1242="","",OHW!$E1242)</f>
        <v/>
      </c>
      <c r="K2289">
        <f>IF(OHW!$G1242="","",COUNTIFS(OHW!$A$5:$A$1668,OHW!$A1242,OHW!$C$5:$C$1668,OHW!$C1242))</f>
        <v/>
      </c>
      <c r="L2289">
        <f>IF(OHW!$G1242="","",OHW!$D1242&amp;"")</f>
        <v/>
      </c>
      <c r="M2289">
        <f>IF(OHW!$G1242="","",OHW!$F1242)</f>
        <v/>
      </c>
      <c r="N2289">
        <f>IF(OHW!$G1242="","",OHW!$G1242)</f>
        <v/>
      </c>
      <c r="O2289">
        <f>IF(OHW!$G1242="","",OHW!$I1242)</f>
        <v/>
      </c>
      <c r="P2289">
        <f>IF(OHW!$G1242="","","Final")</f>
        <v/>
      </c>
    </row>
    <row r="2290">
      <c r="A2290">
        <f>IF(OHW!$G1243="","","OHW")</f>
        <v/>
      </c>
      <c r="B2290">
        <f>IF(OHW!$G1243="","","OHW")</f>
        <v/>
      </c>
      <c r="C2290" s="18">
        <f>IF(OHW!$G1243="","",OHW!$A1243)</f>
        <v/>
      </c>
      <c r="F2290">
        <f>IF(OHW!$G1243="","",OHW!$B1243&amp;"")</f>
        <v/>
      </c>
      <c r="J2290">
        <f>IF(OHW!$G1243="","",OHW!$E1243)</f>
        <v/>
      </c>
      <c r="K2290">
        <f>IF(OHW!$G1243="","",COUNTIFS(OHW!$A$5:$A$1668,OHW!$A1243,OHW!$C$5:$C$1668,OHW!$C1243))</f>
        <v/>
      </c>
      <c r="L2290">
        <f>IF(OHW!$G1243="","",OHW!$D1243&amp;"")</f>
        <v/>
      </c>
      <c r="M2290">
        <f>IF(OHW!$G1243="","",OHW!$F1243)</f>
        <v/>
      </c>
      <c r="N2290">
        <f>IF(OHW!$G1243="","",OHW!$G1243)</f>
        <v/>
      </c>
      <c r="O2290">
        <f>IF(OHW!$G1243="","",OHW!$I1243)</f>
        <v/>
      </c>
      <c r="P2290">
        <f>IF(OHW!$G1243="","","Final")</f>
        <v/>
      </c>
    </row>
    <row r="2291">
      <c r="A2291">
        <f>IF(OHW!$G1244="","","OHW")</f>
        <v/>
      </c>
      <c r="B2291">
        <f>IF(OHW!$G1244="","","OHW")</f>
        <v/>
      </c>
      <c r="C2291" s="18">
        <f>IF(OHW!$G1244="","",OHW!$A1244)</f>
        <v/>
      </c>
      <c r="F2291">
        <f>IF(OHW!$G1244="","",OHW!$B1244&amp;"")</f>
        <v/>
      </c>
      <c r="J2291">
        <f>IF(OHW!$G1244="","",OHW!$E1244)</f>
        <v/>
      </c>
      <c r="K2291">
        <f>IF(OHW!$G1244="","",COUNTIFS(OHW!$A$5:$A$1668,OHW!$A1244,OHW!$C$5:$C$1668,OHW!$C1244))</f>
        <v/>
      </c>
      <c r="L2291">
        <f>IF(OHW!$G1244="","",OHW!$D1244&amp;"")</f>
        <v/>
      </c>
      <c r="M2291">
        <f>IF(OHW!$G1244="","",OHW!$F1244)</f>
        <v/>
      </c>
      <c r="N2291">
        <f>IF(OHW!$G1244="","",OHW!$G1244)</f>
        <v/>
      </c>
      <c r="O2291">
        <f>IF(OHW!$G1244="","",OHW!$I1244)</f>
        <v/>
      </c>
      <c r="P2291">
        <f>IF(OHW!$G1244="","","Final")</f>
        <v/>
      </c>
    </row>
    <row r="2292">
      <c r="A2292">
        <f>IF(OHW!$G1245="","","OHW")</f>
        <v/>
      </c>
      <c r="B2292">
        <f>IF(OHW!$G1245="","","OHW")</f>
        <v/>
      </c>
      <c r="C2292" s="18">
        <f>IF(OHW!$G1245="","",OHW!$A1245)</f>
        <v/>
      </c>
      <c r="F2292">
        <f>IF(OHW!$G1245="","",OHW!$B1245&amp;"")</f>
        <v/>
      </c>
      <c r="J2292">
        <f>IF(OHW!$G1245="","",OHW!$E1245)</f>
        <v/>
      </c>
      <c r="K2292">
        <f>IF(OHW!$G1245="","",COUNTIFS(OHW!$A$5:$A$1668,OHW!$A1245,OHW!$C$5:$C$1668,OHW!$C1245))</f>
        <v/>
      </c>
      <c r="L2292">
        <f>IF(OHW!$G1245="","",OHW!$D1245&amp;"")</f>
        <v/>
      </c>
      <c r="M2292">
        <f>IF(OHW!$G1245="","",OHW!$F1245)</f>
        <v/>
      </c>
      <c r="N2292">
        <f>IF(OHW!$G1245="","",OHW!$G1245)</f>
        <v/>
      </c>
      <c r="O2292">
        <f>IF(OHW!$G1245="","",OHW!$I1245)</f>
        <v/>
      </c>
      <c r="P2292">
        <f>IF(OHW!$G1245="","","Final")</f>
        <v/>
      </c>
    </row>
    <row r="2293">
      <c r="A2293">
        <f>IF(OHW!$G1246="","","OHW")</f>
        <v/>
      </c>
      <c r="B2293">
        <f>IF(OHW!$G1246="","","OHW")</f>
        <v/>
      </c>
      <c r="C2293" s="18">
        <f>IF(OHW!$G1246="","",OHW!$A1246)</f>
        <v/>
      </c>
      <c r="F2293">
        <f>IF(OHW!$G1246="","",OHW!$B1246&amp;"")</f>
        <v/>
      </c>
      <c r="J2293">
        <f>IF(OHW!$G1246="","",OHW!$E1246)</f>
        <v/>
      </c>
      <c r="K2293">
        <f>IF(OHW!$G1246="","",COUNTIFS(OHW!$A$5:$A$1668,OHW!$A1246,OHW!$C$5:$C$1668,OHW!$C1246))</f>
        <v/>
      </c>
      <c r="L2293">
        <f>IF(OHW!$G1246="","",OHW!$D1246&amp;"")</f>
        <v/>
      </c>
      <c r="M2293">
        <f>IF(OHW!$G1246="","",OHW!$F1246)</f>
        <v/>
      </c>
      <c r="N2293">
        <f>IF(OHW!$G1246="","",OHW!$G1246)</f>
        <v/>
      </c>
      <c r="O2293">
        <f>IF(OHW!$G1246="","",OHW!$I1246)</f>
        <v/>
      </c>
      <c r="P2293">
        <f>IF(OHW!$G1246="","","Final")</f>
        <v/>
      </c>
    </row>
    <row r="2294">
      <c r="A2294">
        <f>IF(OHW!$G1247="","","OHW")</f>
        <v/>
      </c>
      <c r="B2294">
        <f>IF(OHW!$G1247="","","OHW")</f>
        <v/>
      </c>
      <c r="C2294" s="18">
        <f>IF(OHW!$G1247="","",OHW!$A1247)</f>
        <v/>
      </c>
      <c r="F2294">
        <f>IF(OHW!$G1247="","",OHW!$B1247&amp;"")</f>
        <v/>
      </c>
      <c r="J2294">
        <f>IF(OHW!$G1247="","",OHW!$E1247)</f>
        <v/>
      </c>
      <c r="K2294">
        <f>IF(OHW!$G1247="","",COUNTIFS(OHW!$A$5:$A$1668,OHW!$A1247,OHW!$C$5:$C$1668,OHW!$C1247))</f>
        <v/>
      </c>
      <c r="L2294">
        <f>IF(OHW!$G1247="","",OHW!$D1247&amp;"")</f>
        <v/>
      </c>
      <c r="M2294">
        <f>IF(OHW!$G1247="","",OHW!$F1247)</f>
        <v/>
      </c>
      <c r="N2294">
        <f>IF(OHW!$G1247="","",OHW!$G1247)</f>
        <v/>
      </c>
      <c r="O2294">
        <f>IF(OHW!$G1247="","",OHW!$I1247)</f>
        <v/>
      </c>
      <c r="P2294">
        <f>IF(OHW!$G1247="","","Final")</f>
        <v/>
      </c>
    </row>
    <row r="2295">
      <c r="A2295">
        <f>IF(OHW!$G1248="","","OHW")</f>
        <v/>
      </c>
      <c r="B2295">
        <f>IF(OHW!$G1248="","","OHW")</f>
        <v/>
      </c>
      <c r="C2295" s="18">
        <f>IF(OHW!$G1248="","",OHW!$A1248)</f>
        <v/>
      </c>
      <c r="F2295">
        <f>IF(OHW!$G1248="","",OHW!$B1248&amp;"")</f>
        <v/>
      </c>
      <c r="J2295">
        <f>IF(OHW!$G1248="","",OHW!$E1248)</f>
        <v/>
      </c>
      <c r="K2295">
        <f>IF(OHW!$G1248="","",COUNTIFS(OHW!$A$5:$A$1668,OHW!$A1248,OHW!$C$5:$C$1668,OHW!$C1248))</f>
        <v/>
      </c>
      <c r="L2295">
        <f>IF(OHW!$G1248="","",OHW!$D1248&amp;"")</f>
        <v/>
      </c>
      <c r="M2295">
        <f>IF(OHW!$G1248="","",OHW!$F1248)</f>
        <v/>
      </c>
      <c r="N2295">
        <f>IF(OHW!$G1248="","",OHW!$G1248)</f>
        <v/>
      </c>
      <c r="O2295">
        <f>IF(OHW!$G1248="","",OHW!$I1248)</f>
        <v/>
      </c>
      <c r="P2295">
        <f>IF(OHW!$G1248="","","Final")</f>
        <v/>
      </c>
    </row>
    <row r="2296">
      <c r="A2296">
        <f>IF(OHW!$G1249="","","OHW")</f>
        <v/>
      </c>
      <c r="B2296">
        <f>IF(OHW!$G1249="","","OHW")</f>
        <v/>
      </c>
      <c r="C2296" s="18">
        <f>IF(OHW!$G1249="","",OHW!$A1249)</f>
        <v/>
      </c>
      <c r="F2296">
        <f>IF(OHW!$G1249="","",OHW!$B1249&amp;"")</f>
        <v/>
      </c>
      <c r="J2296">
        <f>IF(OHW!$G1249="","",OHW!$E1249)</f>
        <v/>
      </c>
      <c r="K2296">
        <f>IF(OHW!$G1249="","",COUNTIFS(OHW!$A$5:$A$1668,OHW!$A1249,OHW!$C$5:$C$1668,OHW!$C1249))</f>
        <v/>
      </c>
      <c r="L2296">
        <f>IF(OHW!$G1249="","",OHW!$D1249&amp;"")</f>
        <v/>
      </c>
      <c r="M2296">
        <f>IF(OHW!$G1249="","",OHW!$F1249)</f>
        <v/>
      </c>
      <c r="N2296">
        <f>IF(OHW!$G1249="","",OHW!$G1249)</f>
        <v/>
      </c>
      <c r="O2296">
        <f>IF(OHW!$G1249="","",OHW!$I1249)</f>
        <v/>
      </c>
      <c r="P2296">
        <f>IF(OHW!$G1249="","","Final")</f>
        <v/>
      </c>
    </row>
    <row r="2297">
      <c r="A2297">
        <f>IF(OHW!$G1250="","","OHW")</f>
        <v/>
      </c>
      <c r="B2297">
        <f>IF(OHW!$G1250="","","OHW")</f>
        <v/>
      </c>
      <c r="C2297" s="18">
        <f>IF(OHW!$G1250="","",OHW!$A1250)</f>
        <v/>
      </c>
      <c r="F2297">
        <f>IF(OHW!$G1250="","",OHW!$B1250&amp;"")</f>
        <v/>
      </c>
      <c r="J2297">
        <f>IF(OHW!$G1250="","",OHW!$E1250)</f>
        <v/>
      </c>
      <c r="K2297">
        <f>IF(OHW!$G1250="","",COUNTIFS(OHW!$A$5:$A$1668,OHW!$A1250,OHW!$C$5:$C$1668,OHW!$C1250))</f>
        <v/>
      </c>
      <c r="L2297">
        <f>IF(OHW!$G1250="","",OHW!$D1250&amp;"")</f>
        <v/>
      </c>
      <c r="M2297">
        <f>IF(OHW!$G1250="","",OHW!$F1250)</f>
        <v/>
      </c>
      <c r="N2297">
        <f>IF(OHW!$G1250="","",OHW!$G1250)</f>
        <v/>
      </c>
      <c r="O2297">
        <f>IF(OHW!$G1250="","",OHW!$I1250)</f>
        <v/>
      </c>
      <c r="P2297">
        <f>IF(OHW!$G1250="","","Final")</f>
        <v/>
      </c>
    </row>
    <row r="2298">
      <c r="A2298">
        <f>IF(OHW!$G1251="","","OHW")</f>
        <v/>
      </c>
      <c r="B2298">
        <f>IF(OHW!$G1251="","","OHW")</f>
        <v/>
      </c>
      <c r="C2298" s="18">
        <f>IF(OHW!$G1251="","",OHW!$A1251)</f>
        <v/>
      </c>
      <c r="F2298">
        <f>IF(OHW!$G1251="","",OHW!$B1251&amp;"")</f>
        <v/>
      </c>
      <c r="J2298">
        <f>IF(OHW!$G1251="","",OHW!$E1251)</f>
        <v/>
      </c>
      <c r="K2298">
        <f>IF(OHW!$G1251="","",COUNTIFS(OHW!$A$5:$A$1668,OHW!$A1251,OHW!$C$5:$C$1668,OHW!$C1251))</f>
        <v/>
      </c>
      <c r="L2298">
        <f>IF(OHW!$G1251="","",OHW!$D1251&amp;"")</f>
        <v/>
      </c>
      <c r="M2298">
        <f>IF(OHW!$G1251="","",OHW!$F1251)</f>
        <v/>
      </c>
      <c r="N2298">
        <f>IF(OHW!$G1251="","",OHW!$G1251)</f>
        <v/>
      </c>
      <c r="O2298">
        <f>IF(OHW!$G1251="","",OHW!$I1251)</f>
        <v/>
      </c>
      <c r="P2298">
        <f>IF(OHW!$G1251="","","Final")</f>
        <v/>
      </c>
    </row>
    <row r="2299">
      <c r="A2299">
        <f>IF(OHW!$G1252="","","OHW")</f>
        <v/>
      </c>
      <c r="B2299">
        <f>IF(OHW!$G1252="","","OHW")</f>
        <v/>
      </c>
      <c r="C2299" s="18">
        <f>IF(OHW!$G1252="","",OHW!$A1252)</f>
        <v/>
      </c>
      <c r="F2299">
        <f>IF(OHW!$G1252="","",OHW!$B1252&amp;"")</f>
        <v/>
      </c>
      <c r="J2299">
        <f>IF(OHW!$G1252="","",OHW!$E1252)</f>
        <v/>
      </c>
      <c r="K2299">
        <f>IF(OHW!$G1252="","",COUNTIFS(OHW!$A$5:$A$1668,OHW!$A1252,OHW!$C$5:$C$1668,OHW!$C1252))</f>
        <v/>
      </c>
      <c r="L2299">
        <f>IF(OHW!$G1252="","",OHW!$D1252&amp;"")</f>
        <v/>
      </c>
      <c r="M2299">
        <f>IF(OHW!$G1252="","",OHW!$F1252)</f>
        <v/>
      </c>
      <c r="N2299">
        <f>IF(OHW!$G1252="","",OHW!$G1252)</f>
        <v/>
      </c>
      <c r="O2299">
        <f>IF(OHW!$G1252="","",OHW!$I1252)</f>
        <v/>
      </c>
      <c r="P2299">
        <f>IF(OHW!$G1252="","","Final")</f>
        <v/>
      </c>
    </row>
    <row r="2300">
      <c r="A2300">
        <f>IF(OHW!$G1253="","","OHW")</f>
        <v/>
      </c>
      <c r="B2300">
        <f>IF(OHW!$G1253="","","OHW")</f>
        <v/>
      </c>
      <c r="C2300" s="18">
        <f>IF(OHW!$G1253="","",OHW!$A1253)</f>
        <v/>
      </c>
      <c r="F2300">
        <f>IF(OHW!$G1253="","",OHW!$B1253&amp;"")</f>
        <v/>
      </c>
      <c r="J2300">
        <f>IF(OHW!$G1253="","",OHW!$E1253)</f>
        <v/>
      </c>
      <c r="K2300">
        <f>IF(OHW!$G1253="","",COUNTIFS(OHW!$A$5:$A$1668,OHW!$A1253,OHW!$C$5:$C$1668,OHW!$C1253))</f>
        <v/>
      </c>
      <c r="L2300">
        <f>IF(OHW!$G1253="","",OHW!$D1253&amp;"")</f>
        <v/>
      </c>
      <c r="M2300">
        <f>IF(OHW!$G1253="","",OHW!$F1253)</f>
        <v/>
      </c>
      <c r="N2300">
        <f>IF(OHW!$G1253="","",OHW!$G1253)</f>
        <v/>
      </c>
      <c r="O2300">
        <f>IF(OHW!$G1253="","",OHW!$I1253)</f>
        <v/>
      </c>
      <c r="P2300">
        <f>IF(OHW!$G1253="","","Final")</f>
        <v/>
      </c>
    </row>
    <row r="2301">
      <c r="A2301">
        <f>IF(OHW!$G1254="","","OHW")</f>
        <v/>
      </c>
      <c r="B2301">
        <f>IF(OHW!$G1254="","","OHW")</f>
        <v/>
      </c>
      <c r="C2301" s="18">
        <f>IF(OHW!$G1254="","",OHW!$A1254)</f>
        <v/>
      </c>
      <c r="F2301">
        <f>IF(OHW!$G1254="","",OHW!$B1254&amp;"")</f>
        <v/>
      </c>
      <c r="J2301">
        <f>IF(OHW!$G1254="","",OHW!$E1254)</f>
        <v/>
      </c>
      <c r="K2301">
        <f>IF(OHW!$G1254="","",COUNTIFS(OHW!$A$5:$A$1668,OHW!$A1254,OHW!$C$5:$C$1668,OHW!$C1254))</f>
        <v/>
      </c>
      <c r="L2301">
        <f>IF(OHW!$G1254="","",OHW!$D1254&amp;"")</f>
        <v/>
      </c>
      <c r="M2301">
        <f>IF(OHW!$G1254="","",OHW!$F1254)</f>
        <v/>
      </c>
      <c r="N2301">
        <f>IF(OHW!$G1254="","",OHW!$G1254)</f>
        <v/>
      </c>
      <c r="O2301">
        <f>IF(OHW!$G1254="","",OHW!$I1254)</f>
        <v/>
      </c>
      <c r="P2301">
        <f>IF(OHW!$G1254="","","Final")</f>
        <v/>
      </c>
    </row>
    <row r="2302">
      <c r="A2302">
        <f>IF(OHW!$G1255="","","OHW")</f>
        <v/>
      </c>
      <c r="B2302">
        <f>IF(OHW!$G1255="","","OHW")</f>
        <v/>
      </c>
      <c r="C2302" s="18">
        <f>IF(OHW!$G1255="","",OHW!$A1255)</f>
        <v/>
      </c>
      <c r="F2302">
        <f>IF(OHW!$G1255="","",OHW!$B1255&amp;"")</f>
        <v/>
      </c>
      <c r="J2302">
        <f>IF(OHW!$G1255="","",OHW!$E1255)</f>
        <v/>
      </c>
      <c r="K2302">
        <f>IF(OHW!$G1255="","",COUNTIFS(OHW!$A$5:$A$1668,OHW!$A1255,OHW!$C$5:$C$1668,OHW!$C1255))</f>
        <v/>
      </c>
      <c r="L2302">
        <f>IF(OHW!$G1255="","",OHW!$D1255&amp;"")</f>
        <v/>
      </c>
      <c r="M2302">
        <f>IF(OHW!$G1255="","",OHW!$F1255)</f>
        <v/>
      </c>
      <c r="N2302">
        <f>IF(OHW!$G1255="","",OHW!$G1255)</f>
        <v/>
      </c>
      <c r="O2302">
        <f>IF(OHW!$G1255="","",OHW!$I1255)</f>
        <v/>
      </c>
      <c r="P2302">
        <f>IF(OHW!$G1255="","","Final")</f>
        <v/>
      </c>
    </row>
    <row r="2303">
      <c r="A2303">
        <f>IF(OHW!$G1256="","","OHW")</f>
        <v/>
      </c>
      <c r="B2303">
        <f>IF(OHW!$G1256="","","OHW")</f>
        <v/>
      </c>
      <c r="C2303" s="18">
        <f>IF(OHW!$G1256="","",OHW!$A1256)</f>
        <v/>
      </c>
      <c r="F2303">
        <f>IF(OHW!$G1256="","",OHW!$B1256&amp;"")</f>
        <v/>
      </c>
      <c r="J2303">
        <f>IF(OHW!$G1256="","",OHW!$E1256)</f>
        <v/>
      </c>
      <c r="K2303">
        <f>IF(OHW!$G1256="","",COUNTIFS(OHW!$A$5:$A$1668,OHW!$A1256,OHW!$C$5:$C$1668,OHW!$C1256))</f>
        <v/>
      </c>
      <c r="L2303">
        <f>IF(OHW!$G1256="","",OHW!$D1256&amp;"")</f>
        <v/>
      </c>
      <c r="M2303">
        <f>IF(OHW!$G1256="","",OHW!$F1256)</f>
        <v/>
      </c>
      <c r="N2303">
        <f>IF(OHW!$G1256="","",OHW!$G1256)</f>
        <v/>
      </c>
      <c r="O2303">
        <f>IF(OHW!$G1256="","",OHW!$I1256)</f>
        <v/>
      </c>
      <c r="P2303">
        <f>IF(OHW!$G1256="","","Final")</f>
        <v/>
      </c>
    </row>
    <row r="2304">
      <c r="A2304">
        <f>IF(OHW!$G1257="","","OHW")</f>
        <v/>
      </c>
      <c r="B2304">
        <f>IF(OHW!$G1257="","","OHW")</f>
        <v/>
      </c>
      <c r="C2304" s="18">
        <f>IF(OHW!$G1257="","",OHW!$A1257)</f>
        <v/>
      </c>
      <c r="F2304">
        <f>IF(OHW!$G1257="","",OHW!$B1257&amp;"")</f>
        <v/>
      </c>
      <c r="J2304">
        <f>IF(OHW!$G1257="","",OHW!$E1257)</f>
        <v/>
      </c>
      <c r="K2304">
        <f>IF(OHW!$G1257="","",COUNTIFS(OHW!$A$5:$A$1668,OHW!$A1257,OHW!$C$5:$C$1668,OHW!$C1257))</f>
        <v/>
      </c>
      <c r="L2304">
        <f>IF(OHW!$G1257="","",OHW!$D1257&amp;"")</f>
        <v/>
      </c>
      <c r="M2304">
        <f>IF(OHW!$G1257="","",OHW!$F1257)</f>
        <v/>
      </c>
      <c r="N2304">
        <f>IF(OHW!$G1257="","",OHW!$G1257)</f>
        <v/>
      </c>
      <c r="O2304">
        <f>IF(OHW!$G1257="","",OHW!$I1257)</f>
        <v/>
      </c>
      <c r="P2304">
        <f>IF(OHW!$G1257="","","Final")</f>
        <v/>
      </c>
    </row>
    <row r="2305">
      <c r="A2305">
        <f>IF(OHW!$G1258="","","OHW")</f>
        <v/>
      </c>
      <c r="B2305">
        <f>IF(OHW!$G1258="","","OHW")</f>
        <v/>
      </c>
      <c r="C2305" s="18">
        <f>IF(OHW!$G1258="","",OHW!$A1258)</f>
        <v/>
      </c>
      <c r="F2305">
        <f>IF(OHW!$G1258="","",OHW!$B1258&amp;"")</f>
        <v/>
      </c>
      <c r="J2305">
        <f>IF(OHW!$G1258="","",OHW!$E1258)</f>
        <v/>
      </c>
      <c r="K2305">
        <f>IF(OHW!$G1258="","",COUNTIFS(OHW!$A$5:$A$1668,OHW!$A1258,OHW!$C$5:$C$1668,OHW!$C1258))</f>
        <v/>
      </c>
      <c r="L2305">
        <f>IF(OHW!$G1258="","",OHW!$D1258&amp;"")</f>
        <v/>
      </c>
      <c r="M2305">
        <f>IF(OHW!$G1258="","",OHW!$F1258)</f>
        <v/>
      </c>
      <c r="N2305">
        <f>IF(OHW!$G1258="","",OHW!$G1258)</f>
        <v/>
      </c>
      <c r="O2305">
        <f>IF(OHW!$G1258="","",OHW!$I1258)</f>
        <v/>
      </c>
      <c r="P2305">
        <f>IF(OHW!$G1258="","","Final")</f>
        <v/>
      </c>
    </row>
    <row r="2306">
      <c r="A2306">
        <f>IF(OHW!$G1259="","","OHW")</f>
        <v/>
      </c>
      <c r="B2306">
        <f>IF(OHW!$G1259="","","OHW")</f>
        <v/>
      </c>
      <c r="C2306" s="18">
        <f>IF(OHW!$G1259="","",OHW!$A1259)</f>
        <v/>
      </c>
      <c r="F2306">
        <f>IF(OHW!$G1259="","",OHW!$B1259&amp;"")</f>
        <v/>
      </c>
      <c r="J2306">
        <f>IF(OHW!$G1259="","",OHW!$E1259)</f>
        <v/>
      </c>
      <c r="K2306">
        <f>IF(OHW!$G1259="","",COUNTIFS(OHW!$A$5:$A$1668,OHW!$A1259,OHW!$C$5:$C$1668,OHW!$C1259))</f>
        <v/>
      </c>
      <c r="L2306">
        <f>IF(OHW!$G1259="","",OHW!$D1259&amp;"")</f>
        <v/>
      </c>
      <c r="M2306">
        <f>IF(OHW!$G1259="","",OHW!$F1259)</f>
        <v/>
      </c>
      <c r="N2306">
        <f>IF(OHW!$G1259="","",OHW!$G1259)</f>
        <v/>
      </c>
      <c r="O2306">
        <f>IF(OHW!$G1259="","",OHW!$I1259)</f>
        <v/>
      </c>
      <c r="P2306">
        <f>IF(OHW!$G1259="","","Final")</f>
        <v/>
      </c>
    </row>
    <row r="2307">
      <c r="A2307">
        <f>IF(OHW!$G1260="","","OHW")</f>
        <v/>
      </c>
      <c r="B2307">
        <f>IF(OHW!$G1260="","","OHW")</f>
        <v/>
      </c>
      <c r="C2307" s="18">
        <f>IF(OHW!$G1260="","",OHW!$A1260)</f>
        <v/>
      </c>
      <c r="F2307">
        <f>IF(OHW!$G1260="","",OHW!$B1260&amp;"")</f>
        <v/>
      </c>
      <c r="J2307">
        <f>IF(OHW!$G1260="","",OHW!$E1260)</f>
        <v/>
      </c>
      <c r="K2307">
        <f>IF(OHW!$G1260="","",COUNTIFS(OHW!$A$5:$A$1668,OHW!$A1260,OHW!$C$5:$C$1668,OHW!$C1260))</f>
        <v/>
      </c>
      <c r="L2307">
        <f>IF(OHW!$G1260="","",OHW!$D1260&amp;"")</f>
        <v/>
      </c>
      <c r="M2307">
        <f>IF(OHW!$G1260="","",OHW!$F1260)</f>
        <v/>
      </c>
      <c r="N2307">
        <f>IF(OHW!$G1260="","",OHW!$G1260)</f>
        <v/>
      </c>
      <c r="O2307">
        <f>IF(OHW!$G1260="","",OHW!$I1260)</f>
        <v/>
      </c>
      <c r="P2307">
        <f>IF(OHW!$G1260="","","Final")</f>
        <v/>
      </c>
    </row>
    <row r="2308">
      <c r="A2308">
        <f>IF(OHW!$G1261="","","OHW")</f>
        <v/>
      </c>
      <c r="B2308">
        <f>IF(OHW!$G1261="","","OHW")</f>
        <v/>
      </c>
      <c r="C2308" s="18">
        <f>IF(OHW!$G1261="","",OHW!$A1261)</f>
        <v/>
      </c>
      <c r="F2308">
        <f>IF(OHW!$G1261="","",OHW!$B1261&amp;"")</f>
        <v/>
      </c>
      <c r="J2308">
        <f>IF(OHW!$G1261="","",OHW!$E1261)</f>
        <v/>
      </c>
      <c r="K2308">
        <f>IF(OHW!$G1261="","",COUNTIFS(OHW!$A$5:$A$1668,OHW!$A1261,OHW!$C$5:$C$1668,OHW!$C1261))</f>
        <v/>
      </c>
      <c r="L2308">
        <f>IF(OHW!$G1261="","",OHW!$D1261&amp;"")</f>
        <v/>
      </c>
      <c r="M2308">
        <f>IF(OHW!$G1261="","",OHW!$F1261)</f>
        <v/>
      </c>
      <c r="N2308">
        <f>IF(OHW!$G1261="","",OHW!$G1261)</f>
        <v/>
      </c>
      <c r="O2308">
        <f>IF(OHW!$G1261="","",OHW!$I1261)</f>
        <v/>
      </c>
      <c r="P2308">
        <f>IF(OHW!$G1261="","","Final")</f>
        <v/>
      </c>
    </row>
    <row r="2309">
      <c r="A2309">
        <f>IF(OHW!$G1262="","","OHW")</f>
        <v/>
      </c>
      <c r="B2309">
        <f>IF(OHW!$G1262="","","OHW")</f>
        <v/>
      </c>
      <c r="C2309" s="18">
        <f>IF(OHW!$G1262="","",OHW!$A1262)</f>
        <v/>
      </c>
      <c r="F2309">
        <f>IF(OHW!$G1262="","",OHW!$B1262&amp;"")</f>
        <v/>
      </c>
      <c r="J2309">
        <f>IF(OHW!$G1262="","",OHW!$E1262)</f>
        <v/>
      </c>
      <c r="K2309">
        <f>IF(OHW!$G1262="","",COUNTIFS(OHW!$A$5:$A$1668,OHW!$A1262,OHW!$C$5:$C$1668,OHW!$C1262))</f>
        <v/>
      </c>
      <c r="L2309">
        <f>IF(OHW!$G1262="","",OHW!$D1262&amp;"")</f>
        <v/>
      </c>
      <c r="M2309">
        <f>IF(OHW!$G1262="","",OHW!$F1262)</f>
        <v/>
      </c>
      <c r="N2309">
        <f>IF(OHW!$G1262="","",OHW!$G1262)</f>
        <v/>
      </c>
      <c r="O2309">
        <f>IF(OHW!$G1262="","",OHW!$I1262)</f>
        <v/>
      </c>
      <c r="P2309">
        <f>IF(OHW!$G1262="","","Final")</f>
        <v/>
      </c>
    </row>
    <row r="2310">
      <c r="A2310">
        <f>IF(OHW!$G1263="","","OHW")</f>
        <v/>
      </c>
      <c r="B2310">
        <f>IF(OHW!$G1263="","","OHW")</f>
        <v/>
      </c>
      <c r="C2310" s="18">
        <f>IF(OHW!$G1263="","",OHW!$A1263)</f>
        <v/>
      </c>
      <c r="F2310">
        <f>IF(OHW!$G1263="","",OHW!$B1263&amp;"")</f>
        <v/>
      </c>
      <c r="J2310">
        <f>IF(OHW!$G1263="","",OHW!$E1263)</f>
        <v/>
      </c>
      <c r="K2310">
        <f>IF(OHW!$G1263="","",COUNTIFS(OHW!$A$5:$A$1668,OHW!$A1263,OHW!$C$5:$C$1668,OHW!$C1263))</f>
        <v/>
      </c>
      <c r="L2310">
        <f>IF(OHW!$G1263="","",OHW!$D1263&amp;"")</f>
        <v/>
      </c>
      <c r="M2310">
        <f>IF(OHW!$G1263="","",OHW!$F1263)</f>
        <v/>
      </c>
      <c r="N2310">
        <f>IF(OHW!$G1263="","",OHW!$G1263)</f>
        <v/>
      </c>
      <c r="O2310">
        <f>IF(OHW!$G1263="","",OHW!$I1263)</f>
        <v/>
      </c>
      <c r="P2310">
        <f>IF(OHW!$G1263="","","Final")</f>
        <v/>
      </c>
    </row>
    <row r="2311">
      <c r="A2311">
        <f>IF(OHW!$G1264="","","OHW")</f>
        <v/>
      </c>
      <c r="B2311">
        <f>IF(OHW!$G1264="","","OHW")</f>
        <v/>
      </c>
      <c r="C2311" s="18">
        <f>IF(OHW!$G1264="","",OHW!$A1264)</f>
        <v/>
      </c>
      <c r="F2311">
        <f>IF(OHW!$G1264="","",OHW!$B1264&amp;"")</f>
        <v/>
      </c>
      <c r="J2311">
        <f>IF(OHW!$G1264="","",OHW!$E1264)</f>
        <v/>
      </c>
      <c r="K2311">
        <f>IF(OHW!$G1264="","",COUNTIFS(OHW!$A$5:$A$1668,OHW!$A1264,OHW!$C$5:$C$1668,OHW!$C1264))</f>
        <v/>
      </c>
      <c r="L2311">
        <f>IF(OHW!$G1264="","",OHW!$D1264&amp;"")</f>
        <v/>
      </c>
      <c r="M2311">
        <f>IF(OHW!$G1264="","",OHW!$F1264)</f>
        <v/>
      </c>
      <c r="N2311">
        <f>IF(OHW!$G1264="","",OHW!$G1264)</f>
        <v/>
      </c>
      <c r="O2311">
        <f>IF(OHW!$G1264="","",OHW!$I1264)</f>
        <v/>
      </c>
      <c r="P2311">
        <f>IF(OHW!$G1264="","","Final")</f>
        <v/>
      </c>
    </row>
    <row r="2312">
      <c r="A2312">
        <f>IF(OHW!$G1265="","","OHW")</f>
        <v/>
      </c>
      <c r="B2312">
        <f>IF(OHW!$G1265="","","OHW")</f>
        <v/>
      </c>
      <c r="C2312" s="18">
        <f>IF(OHW!$G1265="","",OHW!$A1265)</f>
        <v/>
      </c>
      <c r="F2312">
        <f>IF(OHW!$G1265="","",OHW!$B1265&amp;"")</f>
        <v/>
      </c>
      <c r="J2312">
        <f>IF(OHW!$G1265="","",OHW!$E1265)</f>
        <v/>
      </c>
      <c r="K2312">
        <f>IF(OHW!$G1265="","",COUNTIFS(OHW!$A$5:$A$1668,OHW!$A1265,OHW!$C$5:$C$1668,OHW!$C1265))</f>
        <v/>
      </c>
      <c r="L2312">
        <f>IF(OHW!$G1265="","",OHW!$D1265&amp;"")</f>
        <v/>
      </c>
      <c r="M2312">
        <f>IF(OHW!$G1265="","",OHW!$F1265)</f>
        <v/>
      </c>
      <c r="N2312">
        <f>IF(OHW!$G1265="","",OHW!$G1265)</f>
        <v/>
      </c>
      <c r="O2312">
        <f>IF(OHW!$G1265="","",OHW!$I1265)</f>
        <v/>
      </c>
      <c r="P2312">
        <f>IF(OHW!$G1265="","","Final")</f>
        <v/>
      </c>
    </row>
    <row r="2313">
      <c r="A2313">
        <f>IF(OHW!$G1266="","","OHW")</f>
        <v/>
      </c>
      <c r="B2313">
        <f>IF(OHW!$G1266="","","OHW")</f>
        <v/>
      </c>
      <c r="C2313" s="18">
        <f>IF(OHW!$G1266="","",OHW!$A1266)</f>
        <v/>
      </c>
      <c r="F2313">
        <f>IF(OHW!$G1266="","",OHW!$B1266&amp;"")</f>
        <v/>
      </c>
      <c r="J2313">
        <f>IF(OHW!$G1266="","",OHW!$E1266)</f>
        <v/>
      </c>
      <c r="K2313">
        <f>IF(OHW!$G1266="","",COUNTIFS(OHW!$A$5:$A$1668,OHW!$A1266,OHW!$C$5:$C$1668,OHW!$C1266))</f>
        <v/>
      </c>
      <c r="L2313">
        <f>IF(OHW!$G1266="","",OHW!$D1266&amp;"")</f>
        <v/>
      </c>
      <c r="M2313">
        <f>IF(OHW!$G1266="","",OHW!$F1266)</f>
        <v/>
      </c>
      <c r="N2313">
        <f>IF(OHW!$G1266="","",OHW!$G1266)</f>
        <v/>
      </c>
      <c r="O2313">
        <f>IF(OHW!$G1266="","",OHW!$I1266)</f>
        <v/>
      </c>
      <c r="P2313">
        <f>IF(OHW!$G1266="","","Final")</f>
        <v/>
      </c>
    </row>
    <row r="2314">
      <c r="A2314">
        <f>IF(OHW!$G1267="","","OHW")</f>
        <v/>
      </c>
      <c r="B2314">
        <f>IF(OHW!$G1267="","","OHW")</f>
        <v/>
      </c>
      <c r="C2314" s="18">
        <f>IF(OHW!$G1267="","",OHW!$A1267)</f>
        <v/>
      </c>
      <c r="F2314">
        <f>IF(OHW!$G1267="","",OHW!$B1267&amp;"")</f>
        <v/>
      </c>
      <c r="J2314">
        <f>IF(OHW!$G1267="","",OHW!$E1267)</f>
        <v/>
      </c>
      <c r="K2314">
        <f>IF(OHW!$G1267="","",COUNTIFS(OHW!$A$5:$A$1668,OHW!$A1267,OHW!$C$5:$C$1668,OHW!$C1267))</f>
        <v/>
      </c>
      <c r="L2314">
        <f>IF(OHW!$G1267="","",OHW!$D1267&amp;"")</f>
        <v/>
      </c>
      <c r="M2314">
        <f>IF(OHW!$G1267="","",OHW!$F1267)</f>
        <v/>
      </c>
      <c r="N2314">
        <f>IF(OHW!$G1267="","",OHW!$G1267)</f>
        <v/>
      </c>
      <c r="O2314">
        <f>IF(OHW!$G1267="","",OHW!$I1267)</f>
        <v/>
      </c>
      <c r="P2314">
        <f>IF(OHW!$G1267="","","Final")</f>
        <v/>
      </c>
    </row>
    <row r="2315">
      <c r="A2315">
        <f>IF(OHW!$G1268="","","OHW")</f>
        <v/>
      </c>
      <c r="B2315">
        <f>IF(OHW!$G1268="","","OHW")</f>
        <v/>
      </c>
      <c r="C2315" s="18">
        <f>IF(OHW!$G1268="","",OHW!$A1268)</f>
        <v/>
      </c>
      <c r="F2315">
        <f>IF(OHW!$G1268="","",OHW!$B1268&amp;"")</f>
        <v/>
      </c>
      <c r="J2315">
        <f>IF(OHW!$G1268="","",OHW!$E1268)</f>
        <v/>
      </c>
      <c r="K2315">
        <f>IF(OHW!$G1268="","",COUNTIFS(OHW!$A$5:$A$1668,OHW!$A1268,OHW!$C$5:$C$1668,OHW!$C1268))</f>
        <v/>
      </c>
      <c r="L2315">
        <f>IF(OHW!$G1268="","",OHW!$D1268&amp;"")</f>
        <v/>
      </c>
      <c r="M2315">
        <f>IF(OHW!$G1268="","",OHW!$F1268)</f>
        <v/>
      </c>
      <c r="N2315">
        <f>IF(OHW!$G1268="","",OHW!$G1268)</f>
        <v/>
      </c>
      <c r="O2315">
        <f>IF(OHW!$G1268="","",OHW!$I1268)</f>
        <v/>
      </c>
      <c r="P2315">
        <f>IF(OHW!$G1268="","","Final")</f>
        <v/>
      </c>
    </row>
    <row r="2316">
      <c r="A2316">
        <f>IF(OHW!$G1269="","","OHW")</f>
        <v/>
      </c>
      <c r="B2316">
        <f>IF(OHW!$G1269="","","OHW")</f>
        <v/>
      </c>
      <c r="C2316" s="18">
        <f>IF(OHW!$G1269="","",OHW!$A1269)</f>
        <v/>
      </c>
      <c r="F2316">
        <f>IF(OHW!$G1269="","",OHW!$B1269&amp;"")</f>
        <v/>
      </c>
      <c r="J2316">
        <f>IF(OHW!$G1269="","",OHW!$E1269)</f>
        <v/>
      </c>
      <c r="K2316">
        <f>IF(OHW!$G1269="","",COUNTIFS(OHW!$A$5:$A$1668,OHW!$A1269,OHW!$C$5:$C$1668,OHW!$C1269))</f>
        <v/>
      </c>
      <c r="L2316">
        <f>IF(OHW!$G1269="","",OHW!$D1269&amp;"")</f>
        <v/>
      </c>
      <c r="M2316">
        <f>IF(OHW!$G1269="","",OHW!$F1269)</f>
        <v/>
      </c>
      <c r="N2316">
        <f>IF(OHW!$G1269="","",OHW!$G1269)</f>
        <v/>
      </c>
      <c r="O2316">
        <f>IF(OHW!$G1269="","",OHW!$I1269)</f>
        <v/>
      </c>
      <c r="P2316">
        <f>IF(OHW!$G1269="","","Final")</f>
        <v/>
      </c>
    </row>
    <row r="2317">
      <c r="A2317">
        <f>IF(OHW!$G1270="","","OHW")</f>
        <v/>
      </c>
      <c r="B2317">
        <f>IF(OHW!$G1270="","","OHW")</f>
        <v/>
      </c>
      <c r="C2317" s="18">
        <f>IF(OHW!$G1270="","",OHW!$A1270)</f>
        <v/>
      </c>
      <c r="F2317">
        <f>IF(OHW!$G1270="","",OHW!$B1270&amp;"")</f>
        <v/>
      </c>
      <c r="J2317">
        <f>IF(OHW!$G1270="","",OHW!$E1270)</f>
        <v/>
      </c>
      <c r="K2317">
        <f>IF(OHW!$G1270="","",COUNTIFS(OHW!$A$5:$A$1668,OHW!$A1270,OHW!$C$5:$C$1668,OHW!$C1270))</f>
        <v/>
      </c>
      <c r="L2317">
        <f>IF(OHW!$G1270="","",OHW!$D1270&amp;"")</f>
        <v/>
      </c>
      <c r="M2317">
        <f>IF(OHW!$G1270="","",OHW!$F1270)</f>
        <v/>
      </c>
      <c r="N2317">
        <f>IF(OHW!$G1270="","",OHW!$G1270)</f>
        <v/>
      </c>
      <c r="O2317">
        <f>IF(OHW!$G1270="","",OHW!$I1270)</f>
        <v/>
      </c>
      <c r="P2317">
        <f>IF(OHW!$G1270="","","Final")</f>
        <v/>
      </c>
    </row>
    <row r="2318">
      <c r="A2318">
        <f>IF(OHW!$G1271="","","OHW")</f>
        <v/>
      </c>
      <c r="B2318">
        <f>IF(OHW!$G1271="","","OHW")</f>
        <v/>
      </c>
      <c r="C2318" s="18">
        <f>IF(OHW!$G1271="","",OHW!$A1271)</f>
        <v/>
      </c>
      <c r="F2318">
        <f>IF(OHW!$G1271="","",OHW!$B1271&amp;"")</f>
        <v/>
      </c>
      <c r="J2318">
        <f>IF(OHW!$G1271="","",OHW!$E1271)</f>
        <v/>
      </c>
      <c r="K2318">
        <f>IF(OHW!$G1271="","",COUNTIFS(OHW!$A$5:$A$1668,OHW!$A1271,OHW!$C$5:$C$1668,OHW!$C1271))</f>
        <v/>
      </c>
      <c r="L2318">
        <f>IF(OHW!$G1271="","",OHW!$D1271&amp;"")</f>
        <v/>
      </c>
      <c r="M2318">
        <f>IF(OHW!$G1271="","",OHW!$F1271)</f>
        <v/>
      </c>
      <c r="N2318">
        <f>IF(OHW!$G1271="","",OHW!$G1271)</f>
        <v/>
      </c>
      <c r="O2318">
        <f>IF(OHW!$G1271="","",OHW!$I1271)</f>
        <v/>
      </c>
      <c r="P2318">
        <f>IF(OHW!$G1271="","","Final")</f>
        <v/>
      </c>
    </row>
    <row r="2319">
      <c r="A2319">
        <f>IF(OHW!$G1272="","","OHW")</f>
        <v/>
      </c>
      <c r="B2319">
        <f>IF(OHW!$G1272="","","OHW")</f>
        <v/>
      </c>
      <c r="C2319" s="18">
        <f>IF(OHW!$G1272="","",OHW!$A1272)</f>
        <v/>
      </c>
      <c r="F2319">
        <f>IF(OHW!$G1272="","",OHW!$B1272&amp;"")</f>
        <v/>
      </c>
      <c r="J2319">
        <f>IF(OHW!$G1272="","",OHW!$E1272)</f>
        <v/>
      </c>
      <c r="K2319">
        <f>IF(OHW!$G1272="","",COUNTIFS(OHW!$A$5:$A$1668,OHW!$A1272,OHW!$C$5:$C$1668,OHW!$C1272))</f>
        <v/>
      </c>
      <c r="L2319">
        <f>IF(OHW!$G1272="","",OHW!$D1272&amp;"")</f>
        <v/>
      </c>
      <c r="M2319">
        <f>IF(OHW!$G1272="","",OHW!$F1272)</f>
        <v/>
      </c>
      <c r="N2319">
        <f>IF(OHW!$G1272="","",OHW!$G1272)</f>
        <v/>
      </c>
      <c r="O2319">
        <f>IF(OHW!$G1272="","",OHW!$I1272)</f>
        <v/>
      </c>
      <c r="P2319">
        <f>IF(OHW!$G1272="","","Final")</f>
        <v/>
      </c>
    </row>
    <row r="2320">
      <c r="A2320">
        <f>IF(OHW!$G1273="","","OHW")</f>
        <v/>
      </c>
      <c r="B2320">
        <f>IF(OHW!$G1273="","","OHW")</f>
        <v/>
      </c>
      <c r="C2320" s="18">
        <f>IF(OHW!$G1273="","",OHW!$A1273)</f>
        <v/>
      </c>
      <c r="F2320">
        <f>IF(OHW!$G1273="","",OHW!$B1273&amp;"")</f>
        <v/>
      </c>
      <c r="J2320">
        <f>IF(OHW!$G1273="","",OHW!$E1273)</f>
        <v/>
      </c>
      <c r="K2320">
        <f>IF(OHW!$G1273="","",COUNTIFS(OHW!$A$5:$A$1668,OHW!$A1273,OHW!$C$5:$C$1668,OHW!$C1273))</f>
        <v/>
      </c>
      <c r="L2320">
        <f>IF(OHW!$G1273="","",OHW!$D1273&amp;"")</f>
        <v/>
      </c>
      <c r="M2320">
        <f>IF(OHW!$G1273="","",OHW!$F1273)</f>
        <v/>
      </c>
      <c r="N2320">
        <f>IF(OHW!$G1273="","",OHW!$G1273)</f>
        <v/>
      </c>
      <c r="O2320">
        <f>IF(OHW!$G1273="","",OHW!$I1273)</f>
        <v/>
      </c>
      <c r="P2320">
        <f>IF(OHW!$G1273="","","Final")</f>
        <v/>
      </c>
    </row>
    <row r="2321">
      <c r="A2321">
        <f>IF(OHW!$G1274="","","OHW")</f>
        <v/>
      </c>
      <c r="B2321">
        <f>IF(OHW!$G1274="","","OHW")</f>
        <v/>
      </c>
      <c r="C2321" s="18">
        <f>IF(OHW!$G1274="","",OHW!$A1274)</f>
        <v/>
      </c>
      <c r="F2321">
        <f>IF(OHW!$G1274="","",OHW!$B1274&amp;"")</f>
        <v/>
      </c>
      <c r="J2321">
        <f>IF(OHW!$G1274="","",OHW!$E1274)</f>
        <v/>
      </c>
      <c r="K2321">
        <f>IF(OHW!$G1274="","",COUNTIFS(OHW!$A$5:$A$1668,OHW!$A1274,OHW!$C$5:$C$1668,OHW!$C1274))</f>
        <v/>
      </c>
      <c r="L2321">
        <f>IF(OHW!$G1274="","",OHW!$D1274&amp;"")</f>
        <v/>
      </c>
      <c r="M2321">
        <f>IF(OHW!$G1274="","",OHW!$F1274)</f>
        <v/>
      </c>
      <c r="N2321">
        <f>IF(OHW!$G1274="","",OHW!$G1274)</f>
        <v/>
      </c>
      <c r="O2321">
        <f>IF(OHW!$G1274="","",OHW!$I1274)</f>
        <v/>
      </c>
      <c r="P2321">
        <f>IF(OHW!$G1274="","","Final")</f>
        <v/>
      </c>
    </row>
    <row r="2322">
      <c r="A2322">
        <f>IF(OHW!$G1275="","","OHW")</f>
        <v/>
      </c>
      <c r="B2322">
        <f>IF(OHW!$G1275="","","OHW")</f>
        <v/>
      </c>
      <c r="C2322" s="18">
        <f>IF(OHW!$G1275="","",OHW!$A1275)</f>
        <v/>
      </c>
      <c r="F2322">
        <f>IF(OHW!$G1275="","",OHW!$B1275&amp;"")</f>
        <v/>
      </c>
      <c r="J2322">
        <f>IF(OHW!$G1275="","",OHW!$E1275)</f>
        <v/>
      </c>
      <c r="K2322">
        <f>IF(OHW!$G1275="","",COUNTIFS(OHW!$A$5:$A$1668,OHW!$A1275,OHW!$C$5:$C$1668,OHW!$C1275))</f>
        <v/>
      </c>
      <c r="L2322">
        <f>IF(OHW!$G1275="","",OHW!$D1275&amp;"")</f>
        <v/>
      </c>
      <c r="M2322">
        <f>IF(OHW!$G1275="","",OHW!$F1275)</f>
        <v/>
      </c>
      <c r="N2322">
        <f>IF(OHW!$G1275="","",OHW!$G1275)</f>
        <v/>
      </c>
      <c r="O2322">
        <f>IF(OHW!$G1275="","",OHW!$I1275)</f>
        <v/>
      </c>
      <c r="P2322">
        <f>IF(OHW!$G1275="","","Final")</f>
        <v/>
      </c>
    </row>
    <row r="2323">
      <c r="A2323">
        <f>IF(OHW!$G1276="","","OHW")</f>
        <v/>
      </c>
      <c r="B2323">
        <f>IF(OHW!$G1276="","","OHW")</f>
        <v/>
      </c>
      <c r="C2323" s="18">
        <f>IF(OHW!$G1276="","",OHW!$A1276)</f>
        <v/>
      </c>
      <c r="F2323">
        <f>IF(OHW!$G1276="","",OHW!$B1276&amp;"")</f>
        <v/>
      </c>
      <c r="J2323">
        <f>IF(OHW!$G1276="","",OHW!$E1276)</f>
        <v/>
      </c>
      <c r="K2323">
        <f>IF(OHW!$G1276="","",COUNTIFS(OHW!$A$5:$A$1668,OHW!$A1276,OHW!$C$5:$C$1668,OHW!$C1276))</f>
        <v/>
      </c>
      <c r="L2323">
        <f>IF(OHW!$G1276="","",OHW!$D1276&amp;"")</f>
        <v/>
      </c>
      <c r="M2323">
        <f>IF(OHW!$G1276="","",OHW!$F1276)</f>
        <v/>
      </c>
      <c r="N2323">
        <f>IF(OHW!$G1276="","",OHW!$G1276)</f>
        <v/>
      </c>
      <c r="O2323">
        <f>IF(OHW!$G1276="","",OHW!$I1276)</f>
        <v/>
      </c>
      <c r="P2323">
        <f>IF(OHW!$G1276="","","Final")</f>
        <v/>
      </c>
    </row>
    <row r="2324">
      <c r="A2324">
        <f>IF(OHW!$G1277="","","OHW")</f>
        <v/>
      </c>
      <c r="B2324">
        <f>IF(OHW!$G1277="","","OHW")</f>
        <v/>
      </c>
      <c r="C2324" s="18">
        <f>IF(OHW!$G1277="","",OHW!$A1277)</f>
        <v/>
      </c>
      <c r="F2324">
        <f>IF(OHW!$G1277="","",OHW!$B1277&amp;"")</f>
        <v/>
      </c>
      <c r="J2324">
        <f>IF(OHW!$G1277="","",OHW!$E1277)</f>
        <v/>
      </c>
      <c r="K2324">
        <f>IF(OHW!$G1277="","",COUNTIFS(OHW!$A$5:$A$1668,OHW!$A1277,OHW!$C$5:$C$1668,OHW!$C1277))</f>
        <v/>
      </c>
      <c r="L2324">
        <f>IF(OHW!$G1277="","",OHW!$D1277&amp;"")</f>
        <v/>
      </c>
      <c r="M2324">
        <f>IF(OHW!$G1277="","",OHW!$F1277)</f>
        <v/>
      </c>
      <c r="N2324">
        <f>IF(OHW!$G1277="","",OHW!$G1277)</f>
        <v/>
      </c>
      <c r="O2324">
        <f>IF(OHW!$G1277="","",OHW!$I1277)</f>
        <v/>
      </c>
      <c r="P2324">
        <f>IF(OHW!$G1277="","","Final")</f>
        <v/>
      </c>
    </row>
    <row r="2325">
      <c r="A2325">
        <f>IF(OHW!$G1278="","","OHW")</f>
        <v/>
      </c>
      <c r="B2325">
        <f>IF(OHW!$G1278="","","OHW")</f>
        <v/>
      </c>
      <c r="C2325" s="18">
        <f>IF(OHW!$G1278="","",OHW!$A1278)</f>
        <v/>
      </c>
      <c r="F2325">
        <f>IF(OHW!$G1278="","",OHW!$B1278&amp;"")</f>
        <v/>
      </c>
      <c r="J2325">
        <f>IF(OHW!$G1278="","",OHW!$E1278)</f>
        <v/>
      </c>
      <c r="K2325">
        <f>IF(OHW!$G1278="","",COUNTIFS(OHW!$A$5:$A$1668,OHW!$A1278,OHW!$C$5:$C$1668,OHW!$C1278))</f>
        <v/>
      </c>
      <c r="L2325">
        <f>IF(OHW!$G1278="","",OHW!$D1278&amp;"")</f>
        <v/>
      </c>
      <c r="M2325">
        <f>IF(OHW!$G1278="","",OHW!$F1278)</f>
        <v/>
      </c>
      <c r="N2325">
        <f>IF(OHW!$G1278="","",OHW!$G1278)</f>
        <v/>
      </c>
      <c r="O2325">
        <f>IF(OHW!$G1278="","",OHW!$I1278)</f>
        <v/>
      </c>
      <c r="P2325">
        <f>IF(OHW!$G1278="","","Final")</f>
        <v/>
      </c>
    </row>
    <row r="2326">
      <c r="A2326">
        <f>IF(OHW!$G1279="","","OHW")</f>
        <v/>
      </c>
      <c r="B2326">
        <f>IF(OHW!$G1279="","","OHW")</f>
        <v/>
      </c>
      <c r="C2326" s="18">
        <f>IF(OHW!$G1279="","",OHW!$A1279)</f>
        <v/>
      </c>
      <c r="F2326">
        <f>IF(OHW!$G1279="","",OHW!$B1279&amp;"")</f>
        <v/>
      </c>
      <c r="J2326">
        <f>IF(OHW!$G1279="","",OHW!$E1279)</f>
        <v/>
      </c>
      <c r="K2326">
        <f>IF(OHW!$G1279="","",COUNTIFS(OHW!$A$5:$A$1668,OHW!$A1279,OHW!$C$5:$C$1668,OHW!$C1279))</f>
        <v/>
      </c>
      <c r="L2326">
        <f>IF(OHW!$G1279="","",OHW!$D1279&amp;"")</f>
        <v/>
      </c>
      <c r="M2326">
        <f>IF(OHW!$G1279="","",OHW!$F1279)</f>
        <v/>
      </c>
      <c r="N2326">
        <f>IF(OHW!$G1279="","",OHW!$G1279)</f>
        <v/>
      </c>
      <c r="O2326">
        <f>IF(OHW!$G1279="","",OHW!$I1279)</f>
        <v/>
      </c>
      <c r="P2326">
        <f>IF(OHW!$G1279="","","Final")</f>
        <v/>
      </c>
    </row>
    <row r="2327">
      <c r="A2327">
        <f>IF(OHW!$G1280="","","OHW")</f>
        <v/>
      </c>
      <c r="B2327">
        <f>IF(OHW!$G1280="","","OHW")</f>
        <v/>
      </c>
      <c r="C2327" s="18">
        <f>IF(OHW!$G1280="","",OHW!$A1280)</f>
        <v/>
      </c>
      <c r="F2327">
        <f>IF(OHW!$G1280="","",OHW!$B1280&amp;"")</f>
        <v/>
      </c>
      <c r="J2327">
        <f>IF(OHW!$G1280="","",OHW!$E1280)</f>
        <v/>
      </c>
      <c r="K2327">
        <f>IF(OHW!$G1280="","",COUNTIFS(OHW!$A$5:$A$1668,OHW!$A1280,OHW!$C$5:$C$1668,OHW!$C1280))</f>
        <v/>
      </c>
      <c r="L2327">
        <f>IF(OHW!$G1280="","",OHW!$D1280&amp;"")</f>
        <v/>
      </c>
      <c r="M2327">
        <f>IF(OHW!$G1280="","",OHW!$F1280)</f>
        <v/>
      </c>
      <c r="N2327">
        <f>IF(OHW!$G1280="","",OHW!$G1280)</f>
        <v/>
      </c>
      <c r="O2327">
        <f>IF(OHW!$G1280="","",OHW!$I1280)</f>
        <v/>
      </c>
      <c r="P2327">
        <f>IF(OHW!$G1280="","","Final")</f>
        <v/>
      </c>
    </row>
    <row r="2328">
      <c r="A2328">
        <f>IF(OHW!$G1281="","","OHW")</f>
        <v/>
      </c>
      <c r="B2328">
        <f>IF(OHW!$G1281="","","OHW")</f>
        <v/>
      </c>
      <c r="C2328" s="18">
        <f>IF(OHW!$G1281="","",OHW!$A1281)</f>
        <v/>
      </c>
      <c r="F2328">
        <f>IF(OHW!$G1281="","",OHW!$B1281&amp;"")</f>
        <v/>
      </c>
      <c r="J2328">
        <f>IF(OHW!$G1281="","",OHW!$E1281)</f>
        <v/>
      </c>
      <c r="K2328">
        <f>IF(OHW!$G1281="","",COUNTIFS(OHW!$A$5:$A$1668,OHW!$A1281,OHW!$C$5:$C$1668,OHW!$C1281))</f>
        <v/>
      </c>
      <c r="L2328">
        <f>IF(OHW!$G1281="","",OHW!$D1281&amp;"")</f>
        <v/>
      </c>
      <c r="M2328">
        <f>IF(OHW!$G1281="","",OHW!$F1281)</f>
        <v/>
      </c>
      <c r="N2328">
        <f>IF(OHW!$G1281="","",OHW!$G1281)</f>
        <v/>
      </c>
      <c r="O2328">
        <f>IF(OHW!$G1281="","",OHW!$I1281)</f>
        <v/>
      </c>
      <c r="P2328">
        <f>IF(OHW!$G1281="","","Final")</f>
        <v/>
      </c>
    </row>
    <row r="2329">
      <c r="A2329">
        <f>IF(OHW!$G1282="","","OHW")</f>
        <v/>
      </c>
      <c r="B2329">
        <f>IF(OHW!$G1282="","","OHW")</f>
        <v/>
      </c>
      <c r="C2329" s="18">
        <f>IF(OHW!$G1282="","",OHW!$A1282)</f>
        <v/>
      </c>
      <c r="F2329">
        <f>IF(OHW!$G1282="","",OHW!$B1282&amp;"")</f>
        <v/>
      </c>
      <c r="J2329">
        <f>IF(OHW!$G1282="","",OHW!$E1282)</f>
        <v/>
      </c>
      <c r="K2329">
        <f>IF(OHW!$G1282="","",COUNTIFS(OHW!$A$5:$A$1668,OHW!$A1282,OHW!$C$5:$C$1668,OHW!$C1282))</f>
        <v/>
      </c>
      <c r="L2329">
        <f>IF(OHW!$G1282="","",OHW!$D1282&amp;"")</f>
        <v/>
      </c>
      <c r="M2329">
        <f>IF(OHW!$G1282="","",OHW!$F1282)</f>
        <v/>
      </c>
      <c r="N2329">
        <f>IF(OHW!$G1282="","",OHW!$G1282)</f>
        <v/>
      </c>
      <c r="O2329">
        <f>IF(OHW!$G1282="","",OHW!$I1282)</f>
        <v/>
      </c>
      <c r="P2329">
        <f>IF(OHW!$G1282="","","Final")</f>
        <v/>
      </c>
    </row>
    <row r="2330">
      <c r="A2330">
        <f>IF(OHW!$G1283="","","OHW")</f>
        <v/>
      </c>
      <c r="B2330">
        <f>IF(OHW!$G1283="","","OHW")</f>
        <v/>
      </c>
      <c r="C2330" s="18">
        <f>IF(OHW!$G1283="","",OHW!$A1283)</f>
        <v/>
      </c>
      <c r="F2330">
        <f>IF(OHW!$G1283="","",OHW!$B1283&amp;"")</f>
        <v/>
      </c>
      <c r="J2330">
        <f>IF(OHW!$G1283="","",OHW!$E1283)</f>
        <v/>
      </c>
      <c r="K2330">
        <f>IF(OHW!$G1283="","",COUNTIFS(OHW!$A$5:$A$1668,OHW!$A1283,OHW!$C$5:$C$1668,OHW!$C1283))</f>
        <v/>
      </c>
      <c r="L2330">
        <f>IF(OHW!$G1283="","",OHW!$D1283&amp;"")</f>
        <v/>
      </c>
      <c r="M2330">
        <f>IF(OHW!$G1283="","",OHW!$F1283)</f>
        <v/>
      </c>
      <c r="N2330">
        <f>IF(OHW!$G1283="","",OHW!$G1283)</f>
        <v/>
      </c>
      <c r="O2330">
        <f>IF(OHW!$G1283="","",OHW!$I1283)</f>
        <v/>
      </c>
      <c r="P2330">
        <f>IF(OHW!$G1283="","","Final")</f>
        <v/>
      </c>
    </row>
    <row r="2331">
      <c r="A2331">
        <f>IF(OHW!$G1284="","","OHW")</f>
        <v/>
      </c>
      <c r="B2331">
        <f>IF(OHW!$G1284="","","OHW")</f>
        <v/>
      </c>
      <c r="C2331" s="18">
        <f>IF(OHW!$G1284="","",OHW!$A1284)</f>
        <v/>
      </c>
      <c r="F2331">
        <f>IF(OHW!$G1284="","",OHW!$B1284&amp;"")</f>
        <v/>
      </c>
      <c r="J2331">
        <f>IF(OHW!$G1284="","",OHW!$E1284)</f>
        <v/>
      </c>
      <c r="K2331">
        <f>IF(OHW!$G1284="","",COUNTIFS(OHW!$A$5:$A$1668,OHW!$A1284,OHW!$C$5:$C$1668,OHW!$C1284))</f>
        <v/>
      </c>
      <c r="L2331">
        <f>IF(OHW!$G1284="","",OHW!$D1284&amp;"")</f>
        <v/>
      </c>
      <c r="M2331">
        <f>IF(OHW!$G1284="","",OHW!$F1284)</f>
        <v/>
      </c>
      <c r="N2331">
        <f>IF(OHW!$G1284="","",OHW!$G1284)</f>
        <v/>
      </c>
      <c r="O2331">
        <f>IF(OHW!$G1284="","",OHW!$I1284)</f>
        <v/>
      </c>
      <c r="P2331">
        <f>IF(OHW!$G1284="","","Final")</f>
        <v/>
      </c>
    </row>
    <row r="2332">
      <c r="A2332">
        <f>IF(OHW!$G1285="","","OHW")</f>
        <v/>
      </c>
      <c r="B2332">
        <f>IF(OHW!$G1285="","","OHW")</f>
        <v/>
      </c>
      <c r="C2332" s="18">
        <f>IF(OHW!$G1285="","",OHW!$A1285)</f>
        <v/>
      </c>
      <c r="F2332">
        <f>IF(OHW!$G1285="","",OHW!$B1285&amp;"")</f>
        <v/>
      </c>
      <c r="J2332">
        <f>IF(OHW!$G1285="","",OHW!$E1285)</f>
        <v/>
      </c>
      <c r="K2332">
        <f>IF(OHW!$G1285="","",COUNTIFS(OHW!$A$5:$A$1668,OHW!$A1285,OHW!$C$5:$C$1668,OHW!$C1285))</f>
        <v/>
      </c>
      <c r="L2332">
        <f>IF(OHW!$G1285="","",OHW!$D1285&amp;"")</f>
        <v/>
      </c>
      <c r="M2332">
        <f>IF(OHW!$G1285="","",OHW!$F1285)</f>
        <v/>
      </c>
      <c r="N2332">
        <f>IF(OHW!$G1285="","",OHW!$G1285)</f>
        <v/>
      </c>
      <c r="O2332">
        <f>IF(OHW!$G1285="","",OHW!$I1285)</f>
        <v/>
      </c>
      <c r="P2332">
        <f>IF(OHW!$G1285="","","Final")</f>
        <v/>
      </c>
    </row>
    <row r="2333">
      <c r="A2333">
        <f>IF(OHW!$G1286="","","OHW")</f>
        <v/>
      </c>
      <c r="B2333">
        <f>IF(OHW!$G1286="","","OHW")</f>
        <v/>
      </c>
      <c r="C2333" s="18">
        <f>IF(OHW!$G1286="","",OHW!$A1286)</f>
        <v/>
      </c>
      <c r="F2333">
        <f>IF(OHW!$G1286="","",OHW!$B1286&amp;"")</f>
        <v/>
      </c>
      <c r="J2333">
        <f>IF(OHW!$G1286="","",OHW!$E1286)</f>
        <v/>
      </c>
      <c r="K2333">
        <f>IF(OHW!$G1286="","",COUNTIFS(OHW!$A$5:$A$1668,OHW!$A1286,OHW!$C$5:$C$1668,OHW!$C1286))</f>
        <v/>
      </c>
      <c r="L2333">
        <f>IF(OHW!$G1286="","",OHW!$D1286&amp;"")</f>
        <v/>
      </c>
      <c r="M2333">
        <f>IF(OHW!$G1286="","",OHW!$F1286)</f>
        <v/>
      </c>
      <c r="N2333">
        <f>IF(OHW!$G1286="","",OHW!$G1286)</f>
        <v/>
      </c>
      <c r="O2333">
        <f>IF(OHW!$G1286="","",OHW!$I1286)</f>
        <v/>
      </c>
      <c r="P2333">
        <f>IF(OHW!$G1286="","","Final")</f>
        <v/>
      </c>
    </row>
    <row r="2334">
      <c r="A2334">
        <f>IF(OHW!$G1287="","","OHW")</f>
        <v/>
      </c>
      <c r="B2334">
        <f>IF(OHW!$G1287="","","OHW")</f>
        <v/>
      </c>
      <c r="C2334" s="18">
        <f>IF(OHW!$G1287="","",OHW!$A1287)</f>
        <v/>
      </c>
      <c r="F2334">
        <f>IF(OHW!$G1287="","",OHW!$B1287&amp;"")</f>
        <v/>
      </c>
      <c r="J2334">
        <f>IF(OHW!$G1287="","",OHW!$E1287)</f>
        <v/>
      </c>
      <c r="K2334">
        <f>IF(OHW!$G1287="","",COUNTIFS(OHW!$A$5:$A$1668,OHW!$A1287,OHW!$C$5:$C$1668,OHW!$C1287))</f>
        <v/>
      </c>
      <c r="L2334">
        <f>IF(OHW!$G1287="","",OHW!$D1287&amp;"")</f>
        <v/>
      </c>
      <c r="M2334">
        <f>IF(OHW!$G1287="","",OHW!$F1287)</f>
        <v/>
      </c>
      <c r="N2334">
        <f>IF(OHW!$G1287="","",OHW!$G1287)</f>
        <v/>
      </c>
      <c r="O2334">
        <f>IF(OHW!$G1287="","",OHW!$I1287)</f>
        <v/>
      </c>
      <c r="P2334">
        <f>IF(OHW!$G1287="","","Final")</f>
        <v/>
      </c>
    </row>
    <row r="2335">
      <c r="A2335">
        <f>IF(OHW!$G1288="","","OHW")</f>
        <v/>
      </c>
      <c r="B2335">
        <f>IF(OHW!$G1288="","","OHW")</f>
        <v/>
      </c>
      <c r="C2335" s="18">
        <f>IF(OHW!$G1288="","",OHW!$A1288)</f>
        <v/>
      </c>
      <c r="F2335">
        <f>IF(OHW!$G1288="","",OHW!$B1288&amp;"")</f>
        <v/>
      </c>
      <c r="J2335">
        <f>IF(OHW!$G1288="","",OHW!$E1288)</f>
        <v/>
      </c>
      <c r="K2335">
        <f>IF(OHW!$G1288="","",COUNTIFS(OHW!$A$5:$A$1668,OHW!$A1288,OHW!$C$5:$C$1668,OHW!$C1288))</f>
        <v/>
      </c>
      <c r="L2335">
        <f>IF(OHW!$G1288="","",OHW!$D1288&amp;"")</f>
        <v/>
      </c>
      <c r="M2335">
        <f>IF(OHW!$G1288="","",OHW!$F1288)</f>
        <v/>
      </c>
      <c r="N2335">
        <f>IF(OHW!$G1288="","",OHW!$G1288)</f>
        <v/>
      </c>
      <c r="O2335">
        <f>IF(OHW!$G1288="","",OHW!$I1288)</f>
        <v/>
      </c>
      <c r="P2335">
        <f>IF(OHW!$G1288="","","Final")</f>
        <v/>
      </c>
    </row>
    <row r="2336">
      <c r="A2336">
        <f>IF(OHW!$G1289="","","OHW")</f>
        <v/>
      </c>
      <c r="B2336">
        <f>IF(OHW!$G1289="","","OHW")</f>
        <v/>
      </c>
      <c r="C2336" s="18">
        <f>IF(OHW!$G1289="","",OHW!$A1289)</f>
        <v/>
      </c>
      <c r="F2336">
        <f>IF(OHW!$G1289="","",OHW!$B1289&amp;"")</f>
        <v/>
      </c>
      <c r="J2336">
        <f>IF(OHW!$G1289="","",OHW!$E1289)</f>
        <v/>
      </c>
      <c r="K2336">
        <f>IF(OHW!$G1289="","",COUNTIFS(OHW!$A$5:$A$1668,OHW!$A1289,OHW!$C$5:$C$1668,OHW!$C1289))</f>
        <v/>
      </c>
      <c r="L2336">
        <f>IF(OHW!$G1289="","",OHW!$D1289&amp;"")</f>
        <v/>
      </c>
      <c r="M2336">
        <f>IF(OHW!$G1289="","",OHW!$F1289)</f>
        <v/>
      </c>
      <c r="N2336">
        <f>IF(OHW!$G1289="","",OHW!$G1289)</f>
        <v/>
      </c>
      <c r="O2336">
        <f>IF(OHW!$G1289="","",OHW!$I1289)</f>
        <v/>
      </c>
      <c r="P2336">
        <f>IF(OHW!$G1289="","","Final")</f>
        <v/>
      </c>
    </row>
    <row r="2337">
      <c r="A2337">
        <f>IF(OHW!$G1290="","","OHW")</f>
        <v/>
      </c>
      <c r="B2337">
        <f>IF(OHW!$G1290="","","OHW")</f>
        <v/>
      </c>
      <c r="C2337" s="18">
        <f>IF(OHW!$G1290="","",OHW!$A1290)</f>
        <v/>
      </c>
      <c r="F2337">
        <f>IF(OHW!$G1290="","",OHW!$B1290&amp;"")</f>
        <v/>
      </c>
      <c r="J2337">
        <f>IF(OHW!$G1290="","",OHW!$E1290)</f>
        <v/>
      </c>
      <c r="K2337">
        <f>IF(OHW!$G1290="","",COUNTIFS(OHW!$A$5:$A$1668,OHW!$A1290,OHW!$C$5:$C$1668,OHW!$C1290))</f>
        <v/>
      </c>
      <c r="L2337">
        <f>IF(OHW!$G1290="","",OHW!$D1290&amp;"")</f>
        <v/>
      </c>
      <c r="M2337">
        <f>IF(OHW!$G1290="","",OHW!$F1290)</f>
        <v/>
      </c>
      <c r="N2337">
        <f>IF(OHW!$G1290="","",OHW!$G1290)</f>
        <v/>
      </c>
      <c r="O2337">
        <f>IF(OHW!$G1290="","",OHW!$I1290)</f>
        <v/>
      </c>
      <c r="P2337">
        <f>IF(OHW!$G1290="","","Final")</f>
        <v/>
      </c>
    </row>
    <row r="2338">
      <c r="A2338">
        <f>IF(OHW!$G1291="","","OHW")</f>
        <v/>
      </c>
      <c r="B2338">
        <f>IF(OHW!$G1291="","","OHW")</f>
        <v/>
      </c>
      <c r="C2338" s="18">
        <f>IF(OHW!$G1291="","",OHW!$A1291)</f>
        <v/>
      </c>
      <c r="F2338">
        <f>IF(OHW!$G1291="","",OHW!$B1291&amp;"")</f>
        <v/>
      </c>
      <c r="J2338">
        <f>IF(OHW!$G1291="","",OHW!$E1291)</f>
        <v/>
      </c>
      <c r="K2338">
        <f>IF(OHW!$G1291="","",COUNTIFS(OHW!$A$5:$A$1668,OHW!$A1291,OHW!$C$5:$C$1668,OHW!$C1291))</f>
        <v/>
      </c>
      <c r="L2338">
        <f>IF(OHW!$G1291="","",OHW!$D1291&amp;"")</f>
        <v/>
      </c>
      <c r="M2338">
        <f>IF(OHW!$G1291="","",OHW!$F1291)</f>
        <v/>
      </c>
      <c r="N2338">
        <f>IF(OHW!$G1291="","",OHW!$G1291)</f>
        <v/>
      </c>
      <c r="O2338">
        <f>IF(OHW!$G1291="","",OHW!$I1291)</f>
        <v/>
      </c>
      <c r="P2338">
        <f>IF(OHW!$G1291="","","Final")</f>
        <v/>
      </c>
    </row>
    <row r="2339">
      <c r="A2339">
        <f>IF(OHW!$G1292="","","OHW")</f>
        <v/>
      </c>
      <c r="B2339">
        <f>IF(OHW!$G1292="","","OHW")</f>
        <v/>
      </c>
      <c r="C2339" s="18">
        <f>IF(OHW!$G1292="","",OHW!$A1292)</f>
        <v/>
      </c>
      <c r="F2339">
        <f>IF(OHW!$G1292="","",OHW!$B1292&amp;"")</f>
        <v/>
      </c>
      <c r="J2339">
        <f>IF(OHW!$G1292="","",OHW!$E1292)</f>
        <v/>
      </c>
      <c r="K2339">
        <f>IF(OHW!$G1292="","",COUNTIFS(OHW!$A$5:$A$1668,OHW!$A1292,OHW!$C$5:$C$1668,OHW!$C1292))</f>
        <v/>
      </c>
      <c r="L2339">
        <f>IF(OHW!$G1292="","",OHW!$D1292&amp;"")</f>
        <v/>
      </c>
      <c r="M2339">
        <f>IF(OHW!$G1292="","",OHW!$F1292)</f>
        <v/>
      </c>
      <c r="N2339">
        <f>IF(OHW!$G1292="","",OHW!$G1292)</f>
        <v/>
      </c>
      <c r="O2339">
        <f>IF(OHW!$G1292="","",OHW!$I1292)</f>
        <v/>
      </c>
      <c r="P2339">
        <f>IF(OHW!$G1292="","","Final")</f>
        <v/>
      </c>
    </row>
    <row r="2340">
      <c r="A2340">
        <f>IF(OHW!$G1293="","","OHW")</f>
        <v/>
      </c>
      <c r="B2340">
        <f>IF(OHW!$G1293="","","OHW")</f>
        <v/>
      </c>
      <c r="C2340" s="18">
        <f>IF(OHW!$G1293="","",OHW!$A1293)</f>
        <v/>
      </c>
      <c r="F2340">
        <f>IF(OHW!$G1293="","",OHW!$B1293&amp;"")</f>
        <v/>
      </c>
      <c r="J2340">
        <f>IF(OHW!$G1293="","",OHW!$E1293)</f>
        <v/>
      </c>
      <c r="K2340">
        <f>IF(OHW!$G1293="","",COUNTIFS(OHW!$A$5:$A$1668,OHW!$A1293,OHW!$C$5:$C$1668,OHW!$C1293))</f>
        <v/>
      </c>
      <c r="L2340">
        <f>IF(OHW!$G1293="","",OHW!$D1293&amp;"")</f>
        <v/>
      </c>
      <c r="M2340">
        <f>IF(OHW!$G1293="","",OHW!$F1293)</f>
        <v/>
      </c>
      <c r="N2340">
        <f>IF(OHW!$G1293="","",OHW!$G1293)</f>
        <v/>
      </c>
      <c r="O2340">
        <f>IF(OHW!$G1293="","",OHW!$I1293)</f>
        <v/>
      </c>
      <c r="P2340">
        <f>IF(OHW!$G1293="","","Final")</f>
        <v/>
      </c>
    </row>
    <row r="2341">
      <c r="A2341">
        <f>IF(OHW!$G1294="","","OHW")</f>
        <v/>
      </c>
      <c r="B2341">
        <f>IF(OHW!$G1294="","","OHW")</f>
        <v/>
      </c>
      <c r="C2341" s="18">
        <f>IF(OHW!$G1294="","",OHW!$A1294)</f>
        <v/>
      </c>
      <c r="F2341">
        <f>IF(OHW!$G1294="","",OHW!$B1294&amp;"")</f>
        <v/>
      </c>
      <c r="J2341">
        <f>IF(OHW!$G1294="","",OHW!$E1294)</f>
        <v/>
      </c>
      <c r="K2341">
        <f>IF(OHW!$G1294="","",COUNTIFS(OHW!$A$5:$A$1668,OHW!$A1294,OHW!$C$5:$C$1668,OHW!$C1294))</f>
        <v/>
      </c>
      <c r="L2341">
        <f>IF(OHW!$G1294="","",OHW!$D1294&amp;"")</f>
        <v/>
      </c>
      <c r="M2341">
        <f>IF(OHW!$G1294="","",OHW!$F1294)</f>
        <v/>
      </c>
      <c r="N2341">
        <f>IF(OHW!$G1294="","",OHW!$G1294)</f>
        <v/>
      </c>
      <c r="O2341">
        <f>IF(OHW!$G1294="","",OHW!$I1294)</f>
        <v/>
      </c>
      <c r="P2341">
        <f>IF(OHW!$G1294="","","Final")</f>
        <v/>
      </c>
    </row>
    <row r="2342">
      <c r="A2342">
        <f>IF(OHW!$G1295="","","OHW")</f>
        <v/>
      </c>
      <c r="B2342">
        <f>IF(OHW!$G1295="","","OHW")</f>
        <v/>
      </c>
      <c r="C2342" s="18">
        <f>IF(OHW!$G1295="","",OHW!$A1295)</f>
        <v/>
      </c>
      <c r="F2342">
        <f>IF(OHW!$G1295="","",OHW!$B1295&amp;"")</f>
        <v/>
      </c>
      <c r="J2342">
        <f>IF(OHW!$G1295="","",OHW!$E1295)</f>
        <v/>
      </c>
      <c r="K2342">
        <f>IF(OHW!$G1295="","",COUNTIFS(OHW!$A$5:$A$1668,OHW!$A1295,OHW!$C$5:$C$1668,OHW!$C1295))</f>
        <v/>
      </c>
      <c r="L2342">
        <f>IF(OHW!$G1295="","",OHW!$D1295&amp;"")</f>
        <v/>
      </c>
      <c r="M2342">
        <f>IF(OHW!$G1295="","",OHW!$F1295)</f>
        <v/>
      </c>
      <c r="N2342">
        <f>IF(OHW!$G1295="","",OHW!$G1295)</f>
        <v/>
      </c>
      <c r="O2342">
        <f>IF(OHW!$G1295="","",OHW!$I1295)</f>
        <v/>
      </c>
      <c r="P2342">
        <f>IF(OHW!$G1295="","","Final")</f>
        <v/>
      </c>
    </row>
    <row r="2343">
      <c r="A2343">
        <f>IF(OHW!$G1296="","","OHW")</f>
        <v/>
      </c>
      <c r="B2343">
        <f>IF(OHW!$G1296="","","OHW")</f>
        <v/>
      </c>
      <c r="C2343" s="18">
        <f>IF(OHW!$G1296="","",OHW!$A1296)</f>
        <v/>
      </c>
      <c r="F2343">
        <f>IF(OHW!$G1296="","",OHW!$B1296&amp;"")</f>
        <v/>
      </c>
      <c r="J2343">
        <f>IF(OHW!$G1296="","",OHW!$E1296)</f>
        <v/>
      </c>
      <c r="K2343">
        <f>IF(OHW!$G1296="","",COUNTIFS(OHW!$A$5:$A$1668,OHW!$A1296,OHW!$C$5:$C$1668,OHW!$C1296))</f>
        <v/>
      </c>
      <c r="L2343">
        <f>IF(OHW!$G1296="","",OHW!$D1296&amp;"")</f>
        <v/>
      </c>
      <c r="M2343">
        <f>IF(OHW!$G1296="","",OHW!$F1296)</f>
        <v/>
      </c>
      <c r="N2343">
        <f>IF(OHW!$G1296="","",OHW!$G1296)</f>
        <v/>
      </c>
      <c r="O2343">
        <f>IF(OHW!$G1296="","",OHW!$I1296)</f>
        <v/>
      </c>
      <c r="P2343">
        <f>IF(OHW!$G1296="","","Final")</f>
        <v/>
      </c>
    </row>
    <row r="2344">
      <c r="A2344">
        <f>IF(OHW!$G1297="","","OHW")</f>
        <v/>
      </c>
      <c r="B2344">
        <f>IF(OHW!$G1297="","","OHW")</f>
        <v/>
      </c>
      <c r="C2344" s="18">
        <f>IF(OHW!$G1297="","",OHW!$A1297)</f>
        <v/>
      </c>
      <c r="F2344">
        <f>IF(OHW!$G1297="","",OHW!$B1297&amp;"")</f>
        <v/>
      </c>
      <c r="J2344">
        <f>IF(OHW!$G1297="","",OHW!$E1297)</f>
        <v/>
      </c>
      <c r="K2344">
        <f>IF(OHW!$G1297="","",COUNTIFS(OHW!$A$5:$A$1668,OHW!$A1297,OHW!$C$5:$C$1668,OHW!$C1297))</f>
        <v/>
      </c>
      <c r="L2344">
        <f>IF(OHW!$G1297="","",OHW!$D1297&amp;"")</f>
        <v/>
      </c>
      <c r="M2344">
        <f>IF(OHW!$G1297="","",OHW!$F1297)</f>
        <v/>
      </c>
      <c r="N2344">
        <f>IF(OHW!$G1297="","",OHW!$G1297)</f>
        <v/>
      </c>
      <c r="O2344">
        <f>IF(OHW!$G1297="","",OHW!$I1297)</f>
        <v/>
      </c>
      <c r="P2344">
        <f>IF(OHW!$G1297="","","Final")</f>
        <v/>
      </c>
    </row>
    <row r="2345">
      <c r="A2345">
        <f>IF(OHW!$G1298="","","OHW")</f>
        <v/>
      </c>
      <c r="B2345">
        <f>IF(OHW!$G1298="","","OHW")</f>
        <v/>
      </c>
      <c r="C2345" s="18">
        <f>IF(OHW!$G1298="","",OHW!$A1298)</f>
        <v/>
      </c>
      <c r="F2345">
        <f>IF(OHW!$G1298="","",OHW!$B1298&amp;"")</f>
        <v/>
      </c>
      <c r="J2345">
        <f>IF(OHW!$G1298="","",OHW!$E1298)</f>
        <v/>
      </c>
      <c r="K2345">
        <f>IF(OHW!$G1298="","",COUNTIFS(OHW!$A$5:$A$1668,OHW!$A1298,OHW!$C$5:$C$1668,OHW!$C1298))</f>
        <v/>
      </c>
      <c r="L2345">
        <f>IF(OHW!$G1298="","",OHW!$D1298&amp;"")</f>
        <v/>
      </c>
      <c r="M2345">
        <f>IF(OHW!$G1298="","",OHW!$F1298)</f>
        <v/>
      </c>
      <c r="N2345">
        <f>IF(OHW!$G1298="","",OHW!$G1298)</f>
        <v/>
      </c>
      <c r="O2345">
        <f>IF(OHW!$G1298="","",OHW!$I1298)</f>
        <v/>
      </c>
      <c r="P2345">
        <f>IF(OHW!$G1298="","","Final")</f>
        <v/>
      </c>
    </row>
    <row r="2346">
      <c r="A2346">
        <f>IF(OHW!$G1299="","","OHW")</f>
        <v/>
      </c>
      <c r="B2346">
        <f>IF(OHW!$G1299="","","OHW")</f>
        <v/>
      </c>
      <c r="C2346" s="18">
        <f>IF(OHW!$G1299="","",OHW!$A1299)</f>
        <v/>
      </c>
      <c r="F2346">
        <f>IF(OHW!$G1299="","",OHW!$B1299&amp;"")</f>
        <v/>
      </c>
      <c r="J2346">
        <f>IF(OHW!$G1299="","",OHW!$E1299)</f>
        <v/>
      </c>
      <c r="K2346">
        <f>IF(OHW!$G1299="","",COUNTIFS(OHW!$A$5:$A$1668,OHW!$A1299,OHW!$C$5:$C$1668,OHW!$C1299))</f>
        <v/>
      </c>
      <c r="L2346">
        <f>IF(OHW!$G1299="","",OHW!$D1299&amp;"")</f>
        <v/>
      </c>
      <c r="M2346">
        <f>IF(OHW!$G1299="","",OHW!$F1299)</f>
        <v/>
      </c>
      <c r="N2346">
        <f>IF(OHW!$G1299="","",OHW!$G1299)</f>
        <v/>
      </c>
      <c r="O2346">
        <f>IF(OHW!$G1299="","",OHW!$I1299)</f>
        <v/>
      </c>
      <c r="P2346">
        <f>IF(OHW!$G1299="","","Final")</f>
        <v/>
      </c>
    </row>
    <row r="2347">
      <c r="A2347">
        <f>IF(OHW!$G1300="","","OHW")</f>
        <v/>
      </c>
      <c r="B2347">
        <f>IF(OHW!$G1300="","","OHW")</f>
        <v/>
      </c>
      <c r="C2347" s="18">
        <f>IF(OHW!$G1300="","",OHW!$A1300)</f>
        <v/>
      </c>
      <c r="F2347">
        <f>IF(OHW!$G1300="","",OHW!$B1300&amp;"")</f>
        <v/>
      </c>
      <c r="J2347">
        <f>IF(OHW!$G1300="","",OHW!$E1300)</f>
        <v/>
      </c>
      <c r="K2347">
        <f>IF(OHW!$G1300="","",COUNTIFS(OHW!$A$5:$A$1668,OHW!$A1300,OHW!$C$5:$C$1668,OHW!$C1300))</f>
        <v/>
      </c>
      <c r="L2347">
        <f>IF(OHW!$G1300="","",OHW!$D1300&amp;"")</f>
        <v/>
      </c>
      <c r="M2347">
        <f>IF(OHW!$G1300="","",OHW!$F1300)</f>
        <v/>
      </c>
      <c r="N2347">
        <f>IF(OHW!$G1300="","",OHW!$G1300)</f>
        <v/>
      </c>
      <c r="O2347">
        <f>IF(OHW!$G1300="","",OHW!$I1300)</f>
        <v/>
      </c>
      <c r="P2347">
        <f>IF(OHW!$G1300="","","Final")</f>
        <v/>
      </c>
    </row>
    <row r="2348">
      <c r="A2348">
        <f>IF(OHW!$G1301="","","OHW")</f>
        <v/>
      </c>
      <c r="B2348">
        <f>IF(OHW!$G1301="","","OHW")</f>
        <v/>
      </c>
      <c r="C2348" s="18">
        <f>IF(OHW!$G1301="","",OHW!$A1301)</f>
        <v/>
      </c>
      <c r="F2348">
        <f>IF(OHW!$G1301="","",OHW!$B1301&amp;"")</f>
        <v/>
      </c>
      <c r="J2348">
        <f>IF(OHW!$G1301="","",OHW!$E1301)</f>
        <v/>
      </c>
      <c r="K2348">
        <f>IF(OHW!$G1301="","",COUNTIFS(OHW!$A$5:$A$1668,OHW!$A1301,OHW!$C$5:$C$1668,OHW!$C1301))</f>
        <v/>
      </c>
      <c r="L2348">
        <f>IF(OHW!$G1301="","",OHW!$D1301&amp;"")</f>
        <v/>
      </c>
      <c r="M2348">
        <f>IF(OHW!$G1301="","",OHW!$F1301)</f>
        <v/>
      </c>
      <c r="N2348">
        <f>IF(OHW!$G1301="","",OHW!$G1301)</f>
        <v/>
      </c>
      <c r="O2348">
        <f>IF(OHW!$G1301="","",OHW!$I1301)</f>
        <v/>
      </c>
      <c r="P2348">
        <f>IF(OHW!$G1301="","","Final")</f>
        <v/>
      </c>
    </row>
    <row r="2349">
      <c r="A2349">
        <f>IF(OHW!$G1302="","","OHW")</f>
        <v/>
      </c>
      <c r="B2349">
        <f>IF(OHW!$G1302="","","OHW")</f>
        <v/>
      </c>
      <c r="C2349" s="18">
        <f>IF(OHW!$G1302="","",OHW!$A1302)</f>
        <v/>
      </c>
      <c r="F2349">
        <f>IF(OHW!$G1302="","",OHW!$B1302&amp;"")</f>
        <v/>
      </c>
      <c r="J2349">
        <f>IF(OHW!$G1302="","",OHW!$E1302)</f>
        <v/>
      </c>
      <c r="K2349">
        <f>IF(OHW!$G1302="","",COUNTIFS(OHW!$A$5:$A$1668,OHW!$A1302,OHW!$C$5:$C$1668,OHW!$C1302))</f>
        <v/>
      </c>
      <c r="L2349">
        <f>IF(OHW!$G1302="","",OHW!$D1302&amp;"")</f>
        <v/>
      </c>
      <c r="M2349">
        <f>IF(OHW!$G1302="","",OHW!$F1302)</f>
        <v/>
      </c>
      <c r="N2349">
        <f>IF(OHW!$G1302="","",OHW!$G1302)</f>
        <v/>
      </c>
      <c r="O2349">
        <f>IF(OHW!$G1302="","",OHW!$I1302)</f>
        <v/>
      </c>
      <c r="P2349">
        <f>IF(OHW!$G1302="","","Final")</f>
        <v/>
      </c>
    </row>
    <row r="2350">
      <c r="A2350">
        <f>IF(OHW!$G1303="","","OHW")</f>
        <v/>
      </c>
      <c r="B2350">
        <f>IF(OHW!$G1303="","","OHW")</f>
        <v/>
      </c>
      <c r="C2350" s="18">
        <f>IF(OHW!$G1303="","",OHW!$A1303)</f>
        <v/>
      </c>
      <c r="F2350">
        <f>IF(OHW!$G1303="","",OHW!$B1303&amp;"")</f>
        <v/>
      </c>
      <c r="J2350">
        <f>IF(OHW!$G1303="","",OHW!$E1303)</f>
        <v/>
      </c>
      <c r="K2350">
        <f>IF(OHW!$G1303="","",COUNTIFS(OHW!$A$5:$A$1668,OHW!$A1303,OHW!$C$5:$C$1668,OHW!$C1303))</f>
        <v/>
      </c>
      <c r="L2350">
        <f>IF(OHW!$G1303="","",OHW!$D1303&amp;"")</f>
        <v/>
      </c>
      <c r="M2350">
        <f>IF(OHW!$G1303="","",OHW!$F1303)</f>
        <v/>
      </c>
      <c r="N2350">
        <f>IF(OHW!$G1303="","",OHW!$G1303)</f>
        <v/>
      </c>
      <c r="O2350">
        <f>IF(OHW!$G1303="","",OHW!$I1303)</f>
        <v/>
      </c>
      <c r="P2350">
        <f>IF(OHW!$G1303="","","Final")</f>
        <v/>
      </c>
    </row>
    <row r="2351">
      <c r="A2351">
        <f>IF(OHW!$G1304="","","OHW")</f>
        <v/>
      </c>
      <c r="B2351">
        <f>IF(OHW!$G1304="","","OHW")</f>
        <v/>
      </c>
      <c r="C2351" s="18">
        <f>IF(OHW!$G1304="","",OHW!$A1304)</f>
        <v/>
      </c>
      <c r="F2351">
        <f>IF(OHW!$G1304="","",OHW!$B1304&amp;"")</f>
        <v/>
      </c>
      <c r="J2351">
        <f>IF(OHW!$G1304="","",OHW!$E1304)</f>
        <v/>
      </c>
      <c r="K2351">
        <f>IF(OHW!$G1304="","",COUNTIFS(OHW!$A$5:$A$1668,OHW!$A1304,OHW!$C$5:$C$1668,OHW!$C1304))</f>
        <v/>
      </c>
      <c r="L2351">
        <f>IF(OHW!$G1304="","",OHW!$D1304&amp;"")</f>
        <v/>
      </c>
      <c r="M2351">
        <f>IF(OHW!$G1304="","",OHW!$F1304)</f>
        <v/>
      </c>
      <c r="N2351">
        <f>IF(OHW!$G1304="","",OHW!$G1304)</f>
        <v/>
      </c>
      <c r="O2351">
        <f>IF(OHW!$G1304="","",OHW!$I1304)</f>
        <v/>
      </c>
      <c r="P2351">
        <f>IF(OHW!$G1304="","","Final")</f>
        <v/>
      </c>
    </row>
    <row r="2352">
      <c r="A2352">
        <f>IF(OHW!$G1305="","","OHW")</f>
        <v/>
      </c>
      <c r="B2352">
        <f>IF(OHW!$G1305="","","OHW")</f>
        <v/>
      </c>
      <c r="C2352" s="18">
        <f>IF(OHW!$G1305="","",OHW!$A1305)</f>
        <v/>
      </c>
      <c r="F2352">
        <f>IF(OHW!$G1305="","",OHW!$B1305&amp;"")</f>
        <v/>
      </c>
      <c r="J2352">
        <f>IF(OHW!$G1305="","",OHW!$E1305)</f>
        <v/>
      </c>
      <c r="K2352">
        <f>IF(OHW!$G1305="","",COUNTIFS(OHW!$A$5:$A$1668,OHW!$A1305,OHW!$C$5:$C$1668,OHW!$C1305))</f>
        <v/>
      </c>
      <c r="L2352">
        <f>IF(OHW!$G1305="","",OHW!$D1305&amp;"")</f>
        <v/>
      </c>
      <c r="M2352">
        <f>IF(OHW!$G1305="","",OHW!$F1305)</f>
        <v/>
      </c>
      <c r="N2352">
        <f>IF(OHW!$G1305="","",OHW!$G1305)</f>
        <v/>
      </c>
      <c r="O2352">
        <f>IF(OHW!$G1305="","",OHW!$I1305)</f>
        <v/>
      </c>
      <c r="P2352">
        <f>IF(OHW!$G1305="","","Final")</f>
        <v/>
      </c>
    </row>
    <row r="2353">
      <c r="A2353">
        <f>IF(OHW!$G1306="","","OHW")</f>
        <v/>
      </c>
      <c r="B2353">
        <f>IF(OHW!$G1306="","","OHW")</f>
        <v/>
      </c>
      <c r="C2353" s="18">
        <f>IF(OHW!$G1306="","",OHW!$A1306)</f>
        <v/>
      </c>
      <c r="F2353">
        <f>IF(OHW!$G1306="","",OHW!$B1306&amp;"")</f>
        <v/>
      </c>
      <c r="J2353">
        <f>IF(OHW!$G1306="","",OHW!$E1306)</f>
        <v/>
      </c>
      <c r="K2353">
        <f>IF(OHW!$G1306="","",COUNTIFS(OHW!$A$5:$A$1668,OHW!$A1306,OHW!$C$5:$C$1668,OHW!$C1306))</f>
        <v/>
      </c>
      <c r="L2353">
        <f>IF(OHW!$G1306="","",OHW!$D1306&amp;"")</f>
        <v/>
      </c>
      <c r="M2353">
        <f>IF(OHW!$G1306="","",OHW!$F1306)</f>
        <v/>
      </c>
      <c r="N2353">
        <f>IF(OHW!$G1306="","",OHW!$G1306)</f>
        <v/>
      </c>
      <c r="O2353">
        <f>IF(OHW!$G1306="","",OHW!$I1306)</f>
        <v/>
      </c>
      <c r="P2353">
        <f>IF(OHW!$G1306="","","Final")</f>
        <v/>
      </c>
    </row>
    <row r="2354">
      <c r="A2354">
        <f>IF(OHW!$G1307="","","OHW")</f>
        <v/>
      </c>
      <c r="B2354">
        <f>IF(OHW!$G1307="","","OHW")</f>
        <v/>
      </c>
      <c r="C2354" s="18">
        <f>IF(OHW!$G1307="","",OHW!$A1307)</f>
        <v/>
      </c>
      <c r="F2354">
        <f>IF(OHW!$G1307="","",OHW!$B1307&amp;"")</f>
        <v/>
      </c>
      <c r="J2354">
        <f>IF(OHW!$G1307="","",OHW!$E1307)</f>
        <v/>
      </c>
      <c r="K2354">
        <f>IF(OHW!$G1307="","",COUNTIFS(OHW!$A$5:$A$1668,OHW!$A1307,OHW!$C$5:$C$1668,OHW!$C1307))</f>
        <v/>
      </c>
      <c r="L2354">
        <f>IF(OHW!$G1307="","",OHW!$D1307&amp;"")</f>
        <v/>
      </c>
      <c r="M2354">
        <f>IF(OHW!$G1307="","",OHW!$F1307)</f>
        <v/>
      </c>
      <c r="N2354">
        <f>IF(OHW!$G1307="","",OHW!$G1307)</f>
        <v/>
      </c>
      <c r="O2354">
        <f>IF(OHW!$G1307="","",OHW!$I1307)</f>
        <v/>
      </c>
      <c r="P2354">
        <f>IF(OHW!$G1307="","","Final")</f>
        <v/>
      </c>
    </row>
    <row r="2355">
      <c r="A2355">
        <f>IF(OHW!$G1308="","","OHW")</f>
        <v/>
      </c>
      <c r="B2355">
        <f>IF(OHW!$G1308="","","OHW")</f>
        <v/>
      </c>
      <c r="C2355" s="18">
        <f>IF(OHW!$G1308="","",OHW!$A1308)</f>
        <v/>
      </c>
      <c r="F2355">
        <f>IF(OHW!$G1308="","",OHW!$B1308&amp;"")</f>
        <v/>
      </c>
      <c r="J2355">
        <f>IF(OHW!$G1308="","",OHW!$E1308)</f>
        <v/>
      </c>
      <c r="K2355">
        <f>IF(OHW!$G1308="","",COUNTIFS(OHW!$A$5:$A$1668,OHW!$A1308,OHW!$C$5:$C$1668,OHW!$C1308))</f>
        <v/>
      </c>
      <c r="L2355">
        <f>IF(OHW!$G1308="","",OHW!$D1308&amp;"")</f>
        <v/>
      </c>
      <c r="M2355">
        <f>IF(OHW!$G1308="","",OHW!$F1308)</f>
        <v/>
      </c>
      <c r="N2355">
        <f>IF(OHW!$G1308="","",OHW!$G1308)</f>
        <v/>
      </c>
      <c r="O2355">
        <f>IF(OHW!$G1308="","",OHW!$I1308)</f>
        <v/>
      </c>
      <c r="P2355">
        <f>IF(OHW!$G1308="","","Final")</f>
        <v/>
      </c>
    </row>
    <row r="2356">
      <c r="A2356">
        <f>IF(OHW!$G1309="","","OHW")</f>
        <v/>
      </c>
      <c r="B2356">
        <f>IF(OHW!$G1309="","","OHW")</f>
        <v/>
      </c>
      <c r="C2356" s="18">
        <f>IF(OHW!$G1309="","",OHW!$A1309)</f>
        <v/>
      </c>
      <c r="F2356">
        <f>IF(OHW!$G1309="","",OHW!$B1309&amp;"")</f>
        <v/>
      </c>
      <c r="J2356">
        <f>IF(OHW!$G1309="","",OHW!$E1309)</f>
        <v/>
      </c>
      <c r="K2356">
        <f>IF(OHW!$G1309="","",COUNTIFS(OHW!$A$5:$A$1668,OHW!$A1309,OHW!$C$5:$C$1668,OHW!$C1309))</f>
        <v/>
      </c>
      <c r="L2356">
        <f>IF(OHW!$G1309="","",OHW!$D1309&amp;"")</f>
        <v/>
      </c>
      <c r="M2356">
        <f>IF(OHW!$G1309="","",OHW!$F1309)</f>
        <v/>
      </c>
      <c r="N2356">
        <f>IF(OHW!$G1309="","",OHW!$G1309)</f>
        <v/>
      </c>
      <c r="O2356">
        <f>IF(OHW!$G1309="","",OHW!$I1309)</f>
        <v/>
      </c>
      <c r="P2356">
        <f>IF(OHW!$G1309="","","Final")</f>
        <v/>
      </c>
    </row>
    <row r="2357">
      <c r="A2357">
        <f>IF(OHW!$G1310="","","OHW")</f>
        <v/>
      </c>
      <c r="B2357">
        <f>IF(OHW!$G1310="","","OHW")</f>
        <v/>
      </c>
      <c r="C2357" s="18">
        <f>IF(OHW!$G1310="","",OHW!$A1310)</f>
        <v/>
      </c>
      <c r="F2357">
        <f>IF(OHW!$G1310="","",OHW!$B1310&amp;"")</f>
        <v/>
      </c>
      <c r="J2357">
        <f>IF(OHW!$G1310="","",OHW!$E1310)</f>
        <v/>
      </c>
      <c r="K2357">
        <f>IF(OHW!$G1310="","",COUNTIFS(OHW!$A$5:$A$1668,OHW!$A1310,OHW!$C$5:$C$1668,OHW!$C1310))</f>
        <v/>
      </c>
      <c r="L2357">
        <f>IF(OHW!$G1310="","",OHW!$D1310&amp;"")</f>
        <v/>
      </c>
      <c r="M2357">
        <f>IF(OHW!$G1310="","",OHW!$F1310)</f>
        <v/>
      </c>
      <c r="N2357">
        <f>IF(OHW!$G1310="","",OHW!$G1310)</f>
        <v/>
      </c>
      <c r="O2357">
        <f>IF(OHW!$G1310="","",OHW!$I1310)</f>
        <v/>
      </c>
      <c r="P2357">
        <f>IF(OHW!$G1310="","","Final")</f>
        <v/>
      </c>
    </row>
    <row r="2358">
      <c r="A2358">
        <f>IF(OHW!$G1311="","","OHW")</f>
        <v/>
      </c>
      <c r="B2358">
        <f>IF(OHW!$G1311="","","OHW")</f>
        <v/>
      </c>
      <c r="C2358" s="18">
        <f>IF(OHW!$G1311="","",OHW!$A1311)</f>
        <v/>
      </c>
      <c r="F2358">
        <f>IF(OHW!$G1311="","",OHW!$B1311&amp;"")</f>
        <v/>
      </c>
      <c r="J2358">
        <f>IF(OHW!$G1311="","",OHW!$E1311)</f>
        <v/>
      </c>
      <c r="K2358">
        <f>IF(OHW!$G1311="","",COUNTIFS(OHW!$A$5:$A$1668,OHW!$A1311,OHW!$C$5:$C$1668,OHW!$C1311))</f>
        <v/>
      </c>
      <c r="L2358">
        <f>IF(OHW!$G1311="","",OHW!$D1311&amp;"")</f>
        <v/>
      </c>
      <c r="M2358">
        <f>IF(OHW!$G1311="","",OHW!$F1311)</f>
        <v/>
      </c>
      <c r="N2358">
        <f>IF(OHW!$G1311="","",OHW!$G1311)</f>
        <v/>
      </c>
      <c r="O2358">
        <f>IF(OHW!$G1311="","",OHW!$I1311)</f>
        <v/>
      </c>
      <c r="P2358">
        <f>IF(OHW!$G1311="","","Final")</f>
        <v/>
      </c>
    </row>
    <row r="2359">
      <c r="A2359">
        <f>IF(OHW!$G1312="","","OHW")</f>
        <v/>
      </c>
      <c r="B2359">
        <f>IF(OHW!$G1312="","","OHW")</f>
        <v/>
      </c>
      <c r="C2359" s="18">
        <f>IF(OHW!$G1312="","",OHW!$A1312)</f>
        <v/>
      </c>
      <c r="F2359">
        <f>IF(OHW!$G1312="","",OHW!$B1312&amp;"")</f>
        <v/>
      </c>
      <c r="J2359">
        <f>IF(OHW!$G1312="","",OHW!$E1312)</f>
        <v/>
      </c>
      <c r="K2359">
        <f>IF(OHW!$G1312="","",COUNTIFS(OHW!$A$5:$A$1668,OHW!$A1312,OHW!$C$5:$C$1668,OHW!$C1312))</f>
        <v/>
      </c>
      <c r="L2359">
        <f>IF(OHW!$G1312="","",OHW!$D1312&amp;"")</f>
        <v/>
      </c>
      <c r="M2359">
        <f>IF(OHW!$G1312="","",OHW!$F1312)</f>
        <v/>
      </c>
      <c r="N2359">
        <f>IF(OHW!$G1312="","",OHW!$G1312)</f>
        <v/>
      </c>
      <c r="O2359">
        <f>IF(OHW!$G1312="","",OHW!$I1312)</f>
        <v/>
      </c>
      <c r="P2359">
        <f>IF(OHW!$G1312="","","Final")</f>
        <v/>
      </c>
    </row>
    <row r="2360">
      <c r="A2360">
        <f>IF(OHW!$G1313="","","OHW")</f>
        <v/>
      </c>
      <c r="B2360">
        <f>IF(OHW!$G1313="","","OHW")</f>
        <v/>
      </c>
      <c r="C2360" s="18">
        <f>IF(OHW!$G1313="","",OHW!$A1313)</f>
        <v/>
      </c>
      <c r="F2360">
        <f>IF(OHW!$G1313="","",OHW!$B1313&amp;"")</f>
        <v/>
      </c>
      <c r="J2360">
        <f>IF(OHW!$G1313="","",OHW!$E1313)</f>
        <v/>
      </c>
      <c r="K2360">
        <f>IF(OHW!$G1313="","",COUNTIFS(OHW!$A$5:$A$1668,OHW!$A1313,OHW!$C$5:$C$1668,OHW!$C1313))</f>
        <v/>
      </c>
      <c r="L2360">
        <f>IF(OHW!$G1313="","",OHW!$D1313&amp;"")</f>
        <v/>
      </c>
      <c r="M2360">
        <f>IF(OHW!$G1313="","",OHW!$F1313)</f>
        <v/>
      </c>
      <c r="N2360">
        <f>IF(OHW!$G1313="","",OHW!$G1313)</f>
        <v/>
      </c>
      <c r="O2360">
        <f>IF(OHW!$G1313="","",OHW!$I1313)</f>
        <v/>
      </c>
      <c r="P2360">
        <f>IF(OHW!$G1313="","","Final")</f>
        <v/>
      </c>
    </row>
    <row r="2361">
      <c r="A2361">
        <f>IF(OHW!$G1314="","","OHW")</f>
        <v/>
      </c>
      <c r="B2361">
        <f>IF(OHW!$G1314="","","OHW")</f>
        <v/>
      </c>
      <c r="C2361" s="18">
        <f>IF(OHW!$G1314="","",OHW!$A1314)</f>
        <v/>
      </c>
      <c r="F2361">
        <f>IF(OHW!$G1314="","",OHW!$B1314&amp;"")</f>
        <v/>
      </c>
      <c r="J2361">
        <f>IF(OHW!$G1314="","",OHW!$E1314)</f>
        <v/>
      </c>
      <c r="K2361">
        <f>IF(OHW!$G1314="","",COUNTIFS(OHW!$A$5:$A$1668,OHW!$A1314,OHW!$C$5:$C$1668,OHW!$C1314))</f>
        <v/>
      </c>
      <c r="L2361">
        <f>IF(OHW!$G1314="","",OHW!$D1314&amp;"")</f>
        <v/>
      </c>
      <c r="M2361">
        <f>IF(OHW!$G1314="","",OHW!$F1314)</f>
        <v/>
      </c>
      <c r="N2361">
        <f>IF(OHW!$G1314="","",OHW!$G1314)</f>
        <v/>
      </c>
      <c r="O2361">
        <f>IF(OHW!$G1314="","",OHW!$I1314)</f>
        <v/>
      </c>
      <c r="P2361">
        <f>IF(OHW!$G1314="","","Final")</f>
        <v/>
      </c>
    </row>
    <row r="2362">
      <c r="A2362">
        <f>IF(OHW!$G1315="","","OHW")</f>
        <v/>
      </c>
      <c r="B2362">
        <f>IF(OHW!$G1315="","","OHW")</f>
        <v/>
      </c>
      <c r="C2362" s="18">
        <f>IF(OHW!$G1315="","",OHW!$A1315)</f>
        <v/>
      </c>
      <c r="F2362">
        <f>IF(OHW!$G1315="","",OHW!$B1315&amp;"")</f>
        <v/>
      </c>
      <c r="J2362">
        <f>IF(OHW!$G1315="","",OHW!$E1315)</f>
        <v/>
      </c>
      <c r="K2362">
        <f>IF(OHW!$G1315="","",COUNTIFS(OHW!$A$5:$A$1668,OHW!$A1315,OHW!$C$5:$C$1668,OHW!$C1315))</f>
        <v/>
      </c>
      <c r="L2362">
        <f>IF(OHW!$G1315="","",OHW!$D1315&amp;"")</f>
        <v/>
      </c>
      <c r="M2362">
        <f>IF(OHW!$G1315="","",OHW!$F1315)</f>
        <v/>
      </c>
      <c r="N2362">
        <f>IF(OHW!$G1315="","",OHW!$G1315)</f>
        <v/>
      </c>
      <c r="O2362">
        <f>IF(OHW!$G1315="","",OHW!$I1315)</f>
        <v/>
      </c>
      <c r="P2362">
        <f>IF(OHW!$G1315="","","Final")</f>
        <v/>
      </c>
    </row>
    <row r="2363">
      <c r="A2363">
        <f>IF(OHW!$G1316="","","OHW")</f>
        <v/>
      </c>
      <c r="B2363">
        <f>IF(OHW!$G1316="","","OHW")</f>
        <v/>
      </c>
      <c r="C2363" s="18">
        <f>IF(OHW!$G1316="","",OHW!$A1316)</f>
        <v/>
      </c>
      <c r="F2363">
        <f>IF(OHW!$G1316="","",OHW!$B1316&amp;"")</f>
        <v/>
      </c>
      <c r="J2363">
        <f>IF(OHW!$G1316="","",OHW!$E1316)</f>
        <v/>
      </c>
      <c r="K2363">
        <f>IF(OHW!$G1316="","",COUNTIFS(OHW!$A$5:$A$1668,OHW!$A1316,OHW!$C$5:$C$1668,OHW!$C1316))</f>
        <v/>
      </c>
      <c r="L2363">
        <f>IF(OHW!$G1316="","",OHW!$D1316&amp;"")</f>
        <v/>
      </c>
      <c r="M2363">
        <f>IF(OHW!$G1316="","",OHW!$F1316)</f>
        <v/>
      </c>
      <c r="N2363">
        <f>IF(OHW!$G1316="","",OHW!$G1316)</f>
        <v/>
      </c>
      <c r="O2363">
        <f>IF(OHW!$G1316="","",OHW!$I1316)</f>
        <v/>
      </c>
      <c r="P2363">
        <f>IF(OHW!$G1316="","","Final")</f>
        <v/>
      </c>
    </row>
    <row r="2364">
      <c r="A2364">
        <f>IF(OHW!$G1317="","","OHW")</f>
        <v/>
      </c>
      <c r="B2364">
        <f>IF(OHW!$G1317="","","OHW")</f>
        <v/>
      </c>
      <c r="C2364" s="18">
        <f>IF(OHW!$G1317="","",OHW!$A1317)</f>
        <v/>
      </c>
      <c r="F2364">
        <f>IF(OHW!$G1317="","",OHW!$B1317&amp;"")</f>
        <v/>
      </c>
      <c r="J2364">
        <f>IF(OHW!$G1317="","",OHW!$E1317)</f>
        <v/>
      </c>
      <c r="K2364">
        <f>IF(OHW!$G1317="","",COUNTIFS(OHW!$A$5:$A$1668,OHW!$A1317,OHW!$C$5:$C$1668,OHW!$C1317))</f>
        <v/>
      </c>
      <c r="L2364">
        <f>IF(OHW!$G1317="","",OHW!$D1317&amp;"")</f>
        <v/>
      </c>
      <c r="M2364">
        <f>IF(OHW!$G1317="","",OHW!$F1317)</f>
        <v/>
      </c>
      <c r="N2364">
        <f>IF(OHW!$G1317="","",OHW!$G1317)</f>
        <v/>
      </c>
      <c r="O2364">
        <f>IF(OHW!$G1317="","",OHW!$I1317)</f>
        <v/>
      </c>
      <c r="P2364">
        <f>IF(OHW!$G1317="","","Final")</f>
        <v/>
      </c>
    </row>
    <row r="2365">
      <c r="A2365">
        <f>IF(OHW!$G1318="","","OHW")</f>
        <v/>
      </c>
      <c r="B2365">
        <f>IF(OHW!$G1318="","","OHW")</f>
        <v/>
      </c>
      <c r="C2365" s="18">
        <f>IF(OHW!$G1318="","",OHW!$A1318)</f>
        <v/>
      </c>
      <c r="F2365">
        <f>IF(OHW!$G1318="","",OHW!$B1318&amp;"")</f>
        <v/>
      </c>
      <c r="J2365">
        <f>IF(OHW!$G1318="","",OHW!$E1318)</f>
        <v/>
      </c>
      <c r="K2365">
        <f>IF(OHW!$G1318="","",COUNTIFS(OHW!$A$5:$A$1668,OHW!$A1318,OHW!$C$5:$C$1668,OHW!$C1318))</f>
        <v/>
      </c>
      <c r="L2365">
        <f>IF(OHW!$G1318="","",OHW!$D1318&amp;"")</f>
        <v/>
      </c>
      <c r="M2365">
        <f>IF(OHW!$G1318="","",OHW!$F1318)</f>
        <v/>
      </c>
      <c r="N2365">
        <f>IF(OHW!$G1318="","",OHW!$G1318)</f>
        <v/>
      </c>
      <c r="O2365">
        <f>IF(OHW!$G1318="","",OHW!$I1318)</f>
        <v/>
      </c>
      <c r="P2365">
        <f>IF(OHW!$G1318="","","Final")</f>
        <v/>
      </c>
    </row>
    <row r="2366">
      <c r="A2366">
        <f>IF(OHW!$G1319="","","OHW")</f>
        <v/>
      </c>
      <c r="B2366">
        <f>IF(OHW!$G1319="","","OHW")</f>
        <v/>
      </c>
      <c r="C2366" s="18">
        <f>IF(OHW!$G1319="","",OHW!$A1319)</f>
        <v/>
      </c>
      <c r="F2366">
        <f>IF(OHW!$G1319="","",OHW!$B1319&amp;"")</f>
        <v/>
      </c>
      <c r="J2366">
        <f>IF(OHW!$G1319="","",OHW!$E1319)</f>
        <v/>
      </c>
      <c r="K2366">
        <f>IF(OHW!$G1319="","",COUNTIFS(OHW!$A$5:$A$1668,OHW!$A1319,OHW!$C$5:$C$1668,OHW!$C1319))</f>
        <v/>
      </c>
      <c r="L2366">
        <f>IF(OHW!$G1319="","",OHW!$D1319&amp;"")</f>
        <v/>
      </c>
      <c r="M2366">
        <f>IF(OHW!$G1319="","",OHW!$F1319)</f>
        <v/>
      </c>
      <c r="N2366">
        <f>IF(OHW!$G1319="","",OHW!$G1319)</f>
        <v/>
      </c>
      <c r="O2366">
        <f>IF(OHW!$G1319="","",OHW!$I1319)</f>
        <v/>
      </c>
      <c r="P2366">
        <f>IF(OHW!$G1319="","","Final")</f>
        <v/>
      </c>
    </row>
    <row r="2367">
      <c r="A2367">
        <f>IF(OHW!$G1320="","","OHW")</f>
        <v/>
      </c>
      <c r="B2367">
        <f>IF(OHW!$G1320="","","OHW")</f>
        <v/>
      </c>
      <c r="C2367" s="18">
        <f>IF(OHW!$G1320="","",OHW!$A1320)</f>
        <v/>
      </c>
      <c r="F2367">
        <f>IF(OHW!$G1320="","",OHW!$B1320&amp;"")</f>
        <v/>
      </c>
      <c r="J2367">
        <f>IF(OHW!$G1320="","",OHW!$E1320)</f>
        <v/>
      </c>
      <c r="K2367">
        <f>IF(OHW!$G1320="","",COUNTIFS(OHW!$A$5:$A$1668,OHW!$A1320,OHW!$C$5:$C$1668,OHW!$C1320))</f>
        <v/>
      </c>
      <c r="L2367">
        <f>IF(OHW!$G1320="","",OHW!$D1320&amp;"")</f>
        <v/>
      </c>
      <c r="M2367">
        <f>IF(OHW!$G1320="","",OHW!$F1320)</f>
        <v/>
      </c>
      <c r="N2367">
        <f>IF(OHW!$G1320="","",OHW!$G1320)</f>
        <v/>
      </c>
      <c r="O2367">
        <f>IF(OHW!$G1320="","",OHW!$I1320)</f>
        <v/>
      </c>
      <c r="P2367">
        <f>IF(OHW!$G1320="","","Final")</f>
        <v/>
      </c>
    </row>
    <row r="2368">
      <c r="A2368">
        <f>IF(OHW!$G1321="","","OHW")</f>
        <v/>
      </c>
      <c r="B2368">
        <f>IF(OHW!$G1321="","","OHW")</f>
        <v/>
      </c>
      <c r="C2368" s="18">
        <f>IF(OHW!$G1321="","",OHW!$A1321)</f>
        <v/>
      </c>
      <c r="F2368">
        <f>IF(OHW!$G1321="","",OHW!$B1321&amp;"")</f>
        <v/>
      </c>
      <c r="J2368">
        <f>IF(OHW!$G1321="","",OHW!$E1321)</f>
        <v/>
      </c>
      <c r="K2368">
        <f>IF(OHW!$G1321="","",COUNTIFS(OHW!$A$5:$A$1668,OHW!$A1321,OHW!$C$5:$C$1668,OHW!$C1321))</f>
        <v/>
      </c>
      <c r="L2368">
        <f>IF(OHW!$G1321="","",OHW!$D1321&amp;"")</f>
        <v/>
      </c>
      <c r="M2368">
        <f>IF(OHW!$G1321="","",OHW!$F1321)</f>
        <v/>
      </c>
      <c r="N2368">
        <f>IF(OHW!$G1321="","",OHW!$G1321)</f>
        <v/>
      </c>
      <c r="O2368">
        <f>IF(OHW!$G1321="","",OHW!$I1321)</f>
        <v/>
      </c>
      <c r="P2368">
        <f>IF(OHW!$G1321="","","Final")</f>
        <v/>
      </c>
    </row>
    <row r="2369">
      <c r="A2369">
        <f>IF(OHW!$G1322="","","OHW")</f>
        <v/>
      </c>
      <c r="B2369">
        <f>IF(OHW!$G1322="","","OHW")</f>
        <v/>
      </c>
      <c r="C2369" s="18">
        <f>IF(OHW!$G1322="","",OHW!$A1322)</f>
        <v/>
      </c>
      <c r="F2369">
        <f>IF(OHW!$G1322="","",OHW!$B1322&amp;"")</f>
        <v/>
      </c>
      <c r="J2369">
        <f>IF(OHW!$G1322="","",OHW!$E1322)</f>
        <v/>
      </c>
      <c r="K2369">
        <f>IF(OHW!$G1322="","",COUNTIFS(OHW!$A$5:$A$1668,OHW!$A1322,OHW!$C$5:$C$1668,OHW!$C1322))</f>
        <v/>
      </c>
      <c r="L2369">
        <f>IF(OHW!$G1322="","",OHW!$D1322&amp;"")</f>
        <v/>
      </c>
      <c r="M2369">
        <f>IF(OHW!$G1322="","",OHW!$F1322)</f>
        <v/>
      </c>
      <c r="N2369">
        <f>IF(OHW!$G1322="","",OHW!$G1322)</f>
        <v/>
      </c>
      <c r="O2369">
        <f>IF(OHW!$G1322="","",OHW!$I1322)</f>
        <v/>
      </c>
      <c r="P2369">
        <f>IF(OHW!$G1322="","","Final")</f>
        <v/>
      </c>
    </row>
    <row r="2370">
      <c r="A2370">
        <f>IF(OHW!$G1323="","","OHW")</f>
        <v/>
      </c>
      <c r="B2370">
        <f>IF(OHW!$G1323="","","OHW")</f>
        <v/>
      </c>
      <c r="C2370" s="18">
        <f>IF(OHW!$G1323="","",OHW!$A1323)</f>
        <v/>
      </c>
      <c r="F2370">
        <f>IF(OHW!$G1323="","",OHW!$B1323&amp;"")</f>
        <v/>
      </c>
      <c r="J2370">
        <f>IF(OHW!$G1323="","",OHW!$E1323)</f>
        <v/>
      </c>
      <c r="K2370">
        <f>IF(OHW!$G1323="","",COUNTIFS(OHW!$A$5:$A$1668,OHW!$A1323,OHW!$C$5:$C$1668,OHW!$C1323))</f>
        <v/>
      </c>
      <c r="L2370">
        <f>IF(OHW!$G1323="","",OHW!$D1323&amp;"")</f>
        <v/>
      </c>
      <c r="M2370">
        <f>IF(OHW!$G1323="","",OHW!$F1323)</f>
        <v/>
      </c>
      <c r="N2370">
        <f>IF(OHW!$G1323="","",OHW!$G1323)</f>
        <v/>
      </c>
      <c r="O2370">
        <f>IF(OHW!$G1323="","",OHW!$I1323)</f>
        <v/>
      </c>
      <c r="P2370">
        <f>IF(OHW!$G1323="","","Final")</f>
        <v/>
      </c>
    </row>
    <row r="2371">
      <c r="A2371">
        <f>IF(OHW!$G1324="","","OHW")</f>
        <v/>
      </c>
      <c r="B2371">
        <f>IF(OHW!$G1324="","","OHW")</f>
        <v/>
      </c>
      <c r="C2371" s="18">
        <f>IF(OHW!$G1324="","",OHW!$A1324)</f>
        <v/>
      </c>
      <c r="F2371">
        <f>IF(OHW!$G1324="","",OHW!$B1324&amp;"")</f>
        <v/>
      </c>
      <c r="J2371">
        <f>IF(OHW!$G1324="","",OHW!$E1324)</f>
        <v/>
      </c>
      <c r="K2371">
        <f>IF(OHW!$G1324="","",COUNTIFS(OHW!$A$5:$A$1668,OHW!$A1324,OHW!$C$5:$C$1668,OHW!$C1324))</f>
        <v/>
      </c>
      <c r="L2371">
        <f>IF(OHW!$G1324="","",OHW!$D1324&amp;"")</f>
        <v/>
      </c>
      <c r="M2371">
        <f>IF(OHW!$G1324="","",OHW!$F1324)</f>
        <v/>
      </c>
      <c r="N2371">
        <f>IF(OHW!$G1324="","",OHW!$G1324)</f>
        <v/>
      </c>
      <c r="O2371">
        <f>IF(OHW!$G1324="","",OHW!$I1324)</f>
        <v/>
      </c>
      <c r="P2371">
        <f>IF(OHW!$G1324="","","Final")</f>
        <v/>
      </c>
    </row>
    <row r="2372">
      <c r="A2372">
        <f>IF(OHW!$G1325="","","OHW")</f>
        <v/>
      </c>
      <c r="B2372">
        <f>IF(OHW!$G1325="","","OHW")</f>
        <v/>
      </c>
      <c r="C2372" s="18">
        <f>IF(OHW!$G1325="","",OHW!$A1325)</f>
        <v/>
      </c>
      <c r="F2372">
        <f>IF(OHW!$G1325="","",OHW!$B1325&amp;"")</f>
        <v/>
      </c>
      <c r="J2372">
        <f>IF(OHW!$G1325="","",OHW!$E1325)</f>
        <v/>
      </c>
      <c r="K2372">
        <f>IF(OHW!$G1325="","",COUNTIFS(OHW!$A$5:$A$1668,OHW!$A1325,OHW!$C$5:$C$1668,OHW!$C1325))</f>
        <v/>
      </c>
      <c r="L2372">
        <f>IF(OHW!$G1325="","",OHW!$D1325&amp;"")</f>
        <v/>
      </c>
      <c r="M2372">
        <f>IF(OHW!$G1325="","",OHW!$F1325)</f>
        <v/>
      </c>
      <c r="N2372">
        <f>IF(OHW!$G1325="","",OHW!$G1325)</f>
        <v/>
      </c>
      <c r="O2372">
        <f>IF(OHW!$G1325="","",OHW!$I1325)</f>
        <v/>
      </c>
      <c r="P2372">
        <f>IF(OHW!$G1325="","","Final")</f>
        <v/>
      </c>
    </row>
    <row r="2373">
      <c r="A2373">
        <f>IF(OHW!$G1326="","","OHW")</f>
        <v/>
      </c>
      <c r="B2373">
        <f>IF(OHW!$G1326="","","OHW")</f>
        <v/>
      </c>
      <c r="C2373" s="18">
        <f>IF(OHW!$G1326="","",OHW!$A1326)</f>
        <v/>
      </c>
      <c r="F2373">
        <f>IF(OHW!$G1326="","",OHW!$B1326&amp;"")</f>
        <v/>
      </c>
      <c r="J2373">
        <f>IF(OHW!$G1326="","",OHW!$E1326)</f>
        <v/>
      </c>
      <c r="K2373">
        <f>IF(OHW!$G1326="","",COUNTIFS(OHW!$A$5:$A$1668,OHW!$A1326,OHW!$C$5:$C$1668,OHW!$C1326))</f>
        <v/>
      </c>
      <c r="L2373">
        <f>IF(OHW!$G1326="","",OHW!$D1326&amp;"")</f>
        <v/>
      </c>
      <c r="M2373">
        <f>IF(OHW!$G1326="","",OHW!$F1326)</f>
        <v/>
      </c>
      <c r="N2373">
        <f>IF(OHW!$G1326="","",OHW!$G1326)</f>
        <v/>
      </c>
      <c r="O2373">
        <f>IF(OHW!$G1326="","",OHW!$I1326)</f>
        <v/>
      </c>
      <c r="P2373">
        <f>IF(OHW!$G1326="","","Final")</f>
        <v/>
      </c>
    </row>
    <row r="2374">
      <c r="A2374">
        <f>IF(OHW!$G1327="","","OHW")</f>
        <v/>
      </c>
      <c r="B2374">
        <f>IF(OHW!$G1327="","","OHW")</f>
        <v/>
      </c>
      <c r="C2374" s="18">
        <f>IF(OHW!$G1327="","",OHW!$A1327)</f>
        <v/>
      </c>
      <c r="F2374">
        <f>IF(OHW!$G1327="","",OHW!$B1327&amp;"")</f>
        <v/>
      </c>
      <c r="J2374">
        <f>IF(OHW!$G1327="","",OHW!$E1327)</f>
        <v/>
      </c>
      <c r="K2374">
        <f>IF(OHW!$G1327="","",COUNTIFS(OHW!$A$5:$A$1668,OHW!$A1327,OHW!$C$5:$C$1668,OHW!$C1327))</f>
        <v/>
      </c>
      <c r="L2374">
        <f>IF(OHW!$G1327="","",OHW!$D1327&amp;"")</f>
        <v/>
      </c>
      <c r="M2374">
        <f>IF(OHW!$G1327="","",OHW!$F1327)</f>
        <v/>
      </c>
      <c r="N2374">
        <f>IF(OHW!$G1327="","",OHW!$G1327)</f>
        <v/>
      </c>
      <c r="O2374">
        <f>IF(OHW!$G1327="","",OHW!$I1327)</f>
        <v/>
      </c>
      <c r="P2374">
        <f>IF(OHW!$G1327="","","Final")</f>
        <v/>
      </c>
    </row>
    <row r="2375">
      <c r="A2375">
        <f>IF(OHW!$G1328="","","OHW")</f>
        <v/>
      </c>
      <c r="B2375">
        <f>IF(OHW!$G1328="","","OHW")</f>
        <v/>
      </c>
      <c r="C2375" s="18">
        <f>IF(OHW!$G1328="","",OHW!$A1328)</f>
        <v/>
      </c>
      <c r="F2375">
        <f>IF(OHW!$G1328="","",OHW!$B1328&amp;"")</f>
        <v/>
      </c>
      <c r="J2375">
        <f>IF(OHW!$G1328="","",OHW!$E1328)</f>
        <v/>
      </c>
      <c r="K2375">
        <f>IF(OHW!$G1328="","",COUNTIFS(OHW!$A$5:$A$1668,OHW!$A1328,OHW!$C$5:$C$1668,OHW!$C1328))</f>
        <v/>
      </c>
      <c r="L2375">
        <f>IF(OHW!$G1328="","",OHW!$D1328&amp;"")</f>
        <v/>
      </c>
      <c r="M2375">
        <f>IF(OHW!$G1328="","",OHW!$F1328)</f>
        <v/>
      </c>
      <c r="N2375">
        <f>IF(OHW!$G1328="","",OHW!$G1328)</f>
        <v/>
      </c>
      <c r="O2375">
        <f>IF(OHW!$G1328="","",OHW!$I1328)</f>
        <v/>
      </c>
      <c r="P2375">
        <f>IF(OHW!$G1328="","","Final")</f>
        <v/>
      </c>
    </row>
    <row r="2376">
      <c r="A2376">
        <f>IF(OHW!$G1329="","","OHW")</f>
        <v/>
      </c>
      <c r="B2376">
        <f>IF(OHW!$G1329="","","OHW")</f>
        <v/>
      </c>
      <c r="C2376" s="18">
        <f>IF(OHW!$G1329="","",OHW!$A1329)</f>
        <v/>
      </c>
      <c r="F2376">
        <f>IF(OHW!$G1329="","",OHW!$B1329&amp;"")</f>
        <v/>
      </c>
      <c r="J2376">
        <f>IF(OHW!$G1329="","",OHW!$E1329)</f>
        <v/>
      </c>
      <c r="K2376">
        <f>IF(OHW!$G1329="","",COUNTIFS(OHW!$A$5:$A$1668,OHW!$A1329,OHW!$C$5:$C$1668,OHW!$C1329))</f>
        <v/>
      </c>
      <c r="L2376">
        <f>IF(OHW!$G1329="","",OHW!$D1329&amp;"")</f>
        <v/>
      </c>
      <c r="M2376">
        <f>IF(OHW!$G1329="","",OHW!$F1329)</f>
        <v/>
      </c>
      <c r="N2376">
        <f>IF(OHW!$G1329="","",OHW!$G1329)</f>
        <v/>
      </c>
      <c r="O2376">
        <f>IF(OHW!$G1329="","",OHW!$I1329)</f>
        <v/>
      </c>
      <c r="P2376">
        <f>IF(OHW!$G1329="","","Final")</f>
        <v/>
      </c>
    </row>
    <row r="2377">
      <c r="A2377">
        <f>IF(OHW!$G1330="","","OHW")</f>
        <v/>
      </c>
      <c r="B2377">
        <f>IF(OHW!$G1330="","","OHW")</f>
        <v/>
      </c>
      <c r="C2377" s="18">
        <f>IF(OHW!$G1330="","",OHW!$A1330)</f>
        <v/>
      </c>
      <c r="F2377">
        <f>IF(OHW!$G1330="","",OHW!$B1330&amp;"")</f>
        <v/>
      </c>
      <c r="J2377">
        <f>IF(OHW!$G1330="","",OHW!$E1330)</f>
        <v/>
      </c>
      <c r="K2377">
        <f>IF(OHW!$G1330="","",COUNTIFS(OHW!$A$5:$A$1668,OHW!$A1330,OHW!$C$5:$C$1668,OHW!$C1330))</f>
        <v/>
      </c>
      <c r="L2377">
        <f>IF(OHW!$G1330="","",OHW!$D1330&amp;"")</f>
        <v/>
      </c>
      <c r="M2377">
        <f>IF(OHW!$G1330="","",OHW!$F1330)</f>
        <v/>
      </c>
      <c r="N2377">
        <f>IF(OHW!$G1330="","",OHW!$G1330)</f>
        <v/>
      </c>
      <c r="O2377">
        <f>IF(OHW!$G1330="","",OHW!$I1330)</f>
        <v/>
      </c>
      <c r="P2377">
        <f>IF(OHW!$G1330="","","Final")</f>
        <v/>
      </c>
    </row>
    <row r="2378">
      <c r="A2378">
        <f>IF(OHW!$G1331="","","OHW")</f>
        <v/>
      </c>
      <c r="B2378">
        <f>IF(OHW!$G1331="","","OHW")</f>
        <v/>
      </c>
      <c r="C2378" s="18">
        <f>IF(OHW!$G1331="","",OHW!$A1331)</f>
        <v/>
      </c>
      <c r="F2378">
        <f>IF(OHW!$G1331="","",OHW!$B1331&amp;"")</f>
        <v/>
      </c>
      <c r="J2378">
        <f>IF(OHW!$G1331="","",OHW!$E1331)</f>
        <v/>
      </c>
      <c r="K2378">
        <f>IF(OHW!$G1331="","",COUNTIFS(OHW!$A$5:$A$1668,OHW!$A1331,OHW!$C$5:$C$1668,OHW!$C1331))</f>
        <v/>
      </c>
      <c r="L2378">
        <f>IF(OHW!$G1331="","",OHW!$D1331&amp;"")</f>
        <v/>
      </c>
      <c r="M2378">
        <f>IF(OHW!$G1331="","",OHW!$F1331)</f>
        <v/>
      </c>
      <c r="N2378">
        <f>IF(OHW!$G1331="","",OHW!$G1331)</f>
        <v/>
      </c>
      <c r="O2378">
        <f>IF(OHW!$G1331="","",OHW!$I1331)</f>
        <v/>
      </c>
      <c r="P2378">
        <f>IF(OHW!$G1331="","","Final")</f>
        <v/>
      </c>
    </row>
    <row r="2379">
      <c r="A2379">
        <f>IF(OHW!$G1332="","","OHW")</f>
        <v/>
      </c>
      <c r="B2379">
        <f>IF(OHW!$G1332="","","OHW")</f>
        <v/>
      </c>
      <c r="C2379" s="18">
        <f>IF(OHW!$G1332="","",OHW!$A1332)</f>
        <v/>
      </c>
      <c r="F2379">
        <f>IF(OHW!$G1332="","",OHW!$B1332&amp;"")</f>
        <v/>
      </c>
      <c r="J2379">
        <f>IF(OHW!$G1332="","",OHW!$E1332)</f>
        <v/>
      </c>
      <c r="K2379">
        <f>IF(OHW!$G1332="","",COUNTIFS(OHW!$A$5:$A$1668,OHW!$A1332,OHW!$C$5:$C$1668,OHW!$C1332))</f>
        <v/>
      </c>
      <c r="L2379">
        <f>IF(OHW!$G1332="","",OHW!$D1332&amp;"")</f>
        <v/>
      </c>
      <c r="M2379">
        <f>IF(OHW!$G1332="","",OHW!$F1332)</f>
        <v/>
      </c>
      <c r="N2379">
        <f>IF(OHW!$G1332="","",OHW!$G1332)</f>
        <v/>
      </c>
      <c r="O2379">
        <f>IF(OHW!$G1332="","",OHW!$I1332)</f>
        <v/>
      </c>
      <c r="P2379">
        <f>IF(OHW!$G1332="","","Final")</f>
        <v/>
      </c>
    </row>
    <row r="2380">
      <c r="A2380">
        <f>IF(OHW!$G1333="","","OHW")</f>
        <v/>
      </c>
      <c r="B2380">
        <f>IF(OHW!$G1333="","","OHW")</f>
        <v/>
      </c>
      <c r="C2380" s="18">
        <f>IF(OHW!$G1333="","",OHW!$A1333)</f>
        <v/>
      </c>
      <c r="F2380">
        <f>IF(OHW!$G1333="","",OHW!$B1333&amp;"")</f>
        <v/>
      </c>
      <c r="J2380">
        <f>IF(OHW!$G1333="","",OHW!$E1333)</f>
        <v/>
      </c>
      <c r="K2380">
        <f>IF(OHW!$G1333="","",COUNTIFS(OHW!$A$5:$A$1668,OHW!$A1333,OHW!$C$5:$C$1668,OHW!$C1333))</f>
        <v/>
      </c>
      <c r="L2380">
        <f>IF(OHW!$G1333="","",OHW!$D1333&amp;"")</f>
        <v/>
      </c>
      <c r="M2380">
        <f>IF(OHW!$G1333="","",OHW!$F1333)</f>
        <v/>
      </c>
      <c r="N2380">
        <f>IF(OHW!$G1333="","",OHW!$G1333)</f>
        <v/>
      </c>
      <c r="O2380">
        <f>IF(OHW!$G1333="","",OHW!$I1333)</f>
        <v/>
      </c>
      <c r="P2380">
        <f>IF(OHW!$G1333="","","Final")</f>
        <v/>
      </c>
    </row>
    <row r="2381">
      <c r="A2381">
        <f>IF(OHW!$G1334="","","OHW")</f>
        <v/>
      </c>
      <c r="B2381">
        <f>IF(OHW!$G1334="","","OHW")</f>
        <v/>
      </c>
      <c r="C2381" s="18">
        <f>IF(OHW!$G1334="","",OHW!$A1334)</f>
        <v/>
      </c>
      <c r="F2381">
        <f>IF(OHW!$G1334="","",OHW!$B1334&amp;"")</f>
        <v/>
      </c>
      <c r="J2381">
        <f>IF(OHW!$G1334="","",OHW!$E1334)</f>
        <v/>
      </c>
      <c r="K2381">
        <f>IF(OHW!$G1334="","",COUNTIFS(OHW!$A$5:$A$1668,OHW!$A1334,OHW!$C$5:$C$1668,OHW!$C1334))</f>
        <v/>
      </c>
      <c r="L2381">
        <f>IF(OHW!$G1334="","",OHW!$D1334&amp;"")</f>
        <v/>
      </c>
      <c r="M2381">
        <f>IF(OHW!$G1334="","",OHW!$F1334)</f>
        <v/>
      </c>
      <c r="N2381">
        <f>IF(OHW!$G1334="","",OHW!$G1334)</f>
        <v/>
      </c>
      <c r="O2381">
        <f>IF(OHW!$G1334="","",OHW!$I1334)</f>
        <v/>
      </c>
      <c r="P2381">
        <f>IF(OHW!$G1334="","","Final")</f>
        <v/>
      </c>
    </row>
    <row r="2382">
      <c r="A2382">
        <f>IF(OHW!$G1335="","","OHW")</f>
        <v/>
      </c>
      <c r="B2382">
        <f>IF(OHW!$G1335="","","OHW")</f>
        <v/>
      </c>
      <c r="C2382" s="18">
        <f>IF(OHW!$G1335="","",OHW!$A1335)</f>
        <v/>
      </c>
      <c r="F2382">
        <f>IF(OHW!$G1335="","",OHW!$B1335&amp;"")</f>
        <v/>
      </c>
      <c r="J2382">
        <f>IF(OHW!$G1335="","",OHW!$E1335)</f>
        <v/>
      </c>
      <c r="K2382">
        <f>IF(OHW!$G1335="","",COUNTIFS(OHW!$A$5:$A$1668,OHW!$A1335,OHW!$C$5:$C$1668,OHW!$C1335))</f>
        <v/>
      </c>
      <c r="L2382">
        <f>IF(OHW!$G1335="","",OHW!$D1335&amp;"")</f>
        <v/>
      </c>
      <c r="M2382">
        <f>IF(OHW!$G1335="","",OHW!$F1335)</f>
        <v/>
      </c>
      <c r="N2382">
        <f>IF(OHW!$G1335="","",OHW!$G1335)</f>
        <v/>
      </c>
      <c r="O2382">
        <f>IF(OHW!$G1335="","",OHW!$I1335)</f>
        <v/>
      </c>
      <c r="P2382">
        <f>IF(OHW!$G1335="","","Final")</f>
        <v/>
      </c>
    </row>
    <row r="2383">
      <c r="A2383">
        <f>IF(OHW!$G1336="","","OHW")</f>
        <v/>
      </c>
      <c r="B2383">
        <f>IF(OHW!$G1336="","","OHW")</f>
        <v/>
      </c>
      <c r="C2383" s="18">
        <f>IF(OHW!$G1336="","",OHW!$A1336)</f>
        <v/>
      </c>
      <c r="F2383">
        <f>IF(OHW!$G1336="","",OHW!$B1336&amp;"")</f>
        <v/>
      </c>
      <c r="J2383">
        <f>IF(OHW!$G1336="","",OHW!$E1336)</f>
        <v/>
      </c>
      <c r="K2383">
        <f>IF(OHW!$G1336="","",COUNTIFS(OHW!$A$5:$A$1668,OHW!$A1336,OHW!$C$5:$C$1668,OHW!$C1336))</f>
        <v/>
      </c>
      <c r="L2383">
        <f>IF(OHW!$G1336="","",OHW!$D1336&amp;"")</f>
        <v/>
      </c>
      <c r="M2383">
        <f>IF(OHW!$G1336="","",OHW!$F1336)</f>
        <v/>
      </c>
      <c r="N2383">
        <f>IF(OHW!$G1336="","",OHW!$G1336)</f>
        <v/>
      </c>
      <c r="O2383">
        <f>IF(OHW!$G1336="","",OHW!$I1336)</f>
        <v/>
      </c>
      <c r="P2383">
        <f>IF(OHW!$G1336="","","Final")</f>
        <v/>
      </c>
    </row>
    <row r="2384">
      <c r="A2384">
        <f>IF(OHW!$G1337="","","OHW")</f>
        <v/>
      </c>
      <c r="B2384">
        <f>IF(OHW!$G1337="","","OHW")</f>
        <v/>
      </c>
      <c r="C2384" s="18">
        <f>IF(OHW!$G1337="","",OHW!$A1337)</f>
        <v/>
      </c>
      <c r="F2384">
        <f>IF(OHW!$G1337="","",OHW!$B1337&amp;"")</f>
        <v/>
      </c>
      <c r="J2384">
        <f>IF(OHW!$G1337="","",OHW!$E1337)</f>
        <v/>
      </c>
      <c r="K2384">
        <f>IF(OHW!$G1337="","",COUNTIFS(OHW!$A$5:$A$1668,OHW!$A1337,OHW!$C$5:$C$1668,OHW!$C1337))</f>
        <v/>
      </c>
      <c r="L2384">
        <f>IF(OHW!$G1337="","",OHW!$D1337&amp;"")</f>
        <v/>
      </c>
      <c r="M2384">
        <f>IF(OHW!$G1337="","",OHW!$F1337)</f>
        <v/>
      </c>
      <c r="N2384">
        <f>IF(OHW!$G1337="","",OHW!$G1337)</f>
        <v/>
      </c>
      <c r="O2384">
        <f>IF(OHW!$G1337="","",OHW!$I1337)</f>
        <v/>
      </c>
      <c r="P2384">
        <f>IF(OHW!$G1337="","","Final")</f>
        <v/>
      </c>
    </row>
    <row r="2385">
      <c r="A2385">
        <f>IF(OHW!$G1338="","","OHW")</f>
        <v/>
      </c>
      <c r="B2385">
        <f>IF(OHW!$G1338="","","OHW")</f>
        <v/>
      </c>
      <c r="C2385" s="18">
        <f>IF(OHW!$G1338="","",OHW!$A1338)</f>
        <v/>
      </c>
      <c r="F2385">
        <f>IF(OHW!$G1338="","",OHW!$B1338&amp;"")</f>
        <v/>
      </c>
      <c r="J2385">
        <f>IF(OHW!$G1338="","",OHW!$E1338)</f>
        <v/>
      </c>
      <c r="K2385">
        <f>IF(OHW!$G1338="","",COUNTIFS(OHW!$A$5:$A$1668,OHW!$A1338,OHW!$C$5:$C$1668,OHW!$C1338))</f>
        <v/>
      </c>
      <c r="L2385">
        <f>IF(OHW!$G1338="","",OHW!$D1338&amp;"")</f>
        <v/>
      </c>
      <c r="M2385">
        <f>IF(OHW!$G1338="","",OHW!$F1338)</f>
        <v/>
      </c>
      <c r="N2385">
        <f>IF(OHW!$G1338="","",OHW!$G1338)</f>
        <v/>
      </c>
      <c r="O2385">
        <f>IF(OHW!$G1338="","",OHW!$I1338)</f>
        <v/>
      </c>
      <c r="P2385">
        <f>IF(OHW!$G1338="","","Final")</f>
        <v/>
      </c>
    </row>
    <row r="2386">
      <c r="A2386">
        <f>IF(OHW!$G1339="","","OHW")</f>
        <v/>
      </c>
      <c r="B2386">
        <f>IF(OHW!$G1339="","","OHW")</f>
        <v/>
      </c>
      <c r="C2386" s="18">
        <f>IF(OHW!$G1339="","",OHW!$A1339)</f>
        <v/>
      </c>
      <c r="F2386">
        <f>IF(OHW!$G1339="","",OHW!$B1339&amp;"")</f>
        <v/>
      </c>
      <c r="J2386">
        <f>IF(OHW!$G1339="","",OHW!$E1339)</f>
        <v/>
      </c>
      <c r="K2386">
        <f>IF(OHW!$G1339="","",COUNTIFS(OHW!$A$5:$A$1668,OHW!$A1339,OHW!$C$5:$C$1668,OHW!$C1339))</f>
        <v/>
      </c>
      <c r="L2386">
        <f>IF(OHW!$G1339="","",OHW!$D1339&amp;"")</f>
        <v/>
      </c>
      <c r="M2386">
        <f>IF(OHW!$G1339="","",OHW!$F1339)</f>
        <v/>
      </c>
      <c r="N2386">
        <f>IF(OHW!$G1339="","",OHW!$G1339)</f>
        <v/>
      </c>
      <c r="O2386">
        <f>IF(OHW!$G1339="","",OHW!$I1339)</f>
        <v/>
      </c>
      <c r="P2386">
        <f>IF(OHW!$G1339="","","Final")</f>
        <v/>
      </c>
    </row>
    <row r="2387">
      <c r="A2387">
        <f>IF(OHW!$G1340="","","OHW")</f>
        <v/>
      </c>
      <c r="B2387">
        <f>IF(OHW!$G1340="","","OHW")</f>
        <v/>
      </c>
      <c r="C2387" s="18">
        <f>IF(OHW!$G1340="","",OHW!$A1340)</f>
        <v/>
      </c>
      <c r="F2387">
        <f>IF(OHW!$G1340="","",OHW!$B1340&amp;"")</f>
        <v/>
      </c>
      <c r="J2387">
        <f>IF(OHW!$G1340="","",OHW!$E1340)</f>
        <v/>
      </c>
      <c r="K2387">
        <f>IF(OHW!$G1340="","",COUNTIFS(OHW!$A$5:$A$1668,OHW!$A1340,OHW!$C$5:$C$1668,OHW!$C1340))</f>
        <v/>
      </c>
      <c r="L2387">
        <f>IF(OHW!$G1340="","",OHW!$D1340&amp;"")</f>
        <v/>
      </c>
      <c r="M2387">
        <f>IF(OHW!$G1340="","",OHW!$F1340)</f>
        <v/>
      </c>
      <c r="N2387">
        <f>IF(OHW!$G1340="","",OHW!$G1340)</f>
        <v/>
      </c>
      <c r="O2387">
        <f>IF(OHW!$G1340="","",OHW!$I1340)</f>
        <v/>
      </c>
      <c r="P2387">
        <f>IF(OHW!$G1340="","","Final")</f>
        <v/>
      </c>
    </row>
    <row r="2388">
      <c r="A2388">
        <f>IF(OHW!$G1341="","","OHW")</f>
        <v/>
      </c>
      <c r="B2388">
        <f>IF(OHW!$G1341="","","OHW")</f>
        <v/>
      </c>
      <c r="C2388" s="18">
        <f>IF(OHW!$G1341="","",OHW!$A1341)</f>
        <v/>
      </c>
      <c r="F2388">
        <f>IF(OHW!$G1341="","",OHW!$B1341&amp;"")</f>
        <v/>
      </c>
      <c r="J2388">
        <f>IF(OHW!$G1341="","",OHW!$E1341)</f>
        <v/>
      </c>
      <c r="K2388">
        <f>IF(OHW!$G1341="","",COUNTIFS(OHW!$A$5:$A$1668,OHW!$A1341,OHW!$C$5:$C$1668,OHW!$C1341))</f>
        <v/>
      </c>
      <c r="L2388">
        <f>IF(OHW!$G1341="","",OHW!$D1341&amp;"")</f>
        <v/>
      </c>
      <c r="M2388">
        <f>IF(OHW!$G1341="","",OHW!$F1341)</f>
        <v/>
      </c>
      <c r="N2388">
        <f>IF(OHW!$G1341="","",OHW!$G1341)</f>
        <v/>
      </c>
      <c r="O2388">
        <f>IF(OHW!$G1341="","",OHW!$I1341)</f>
        <v/>
      </c>
      <c r="P2388">
        <f>IF(OHW!$G1341="","","Final")</f>
        <v/>
      </c>
    </row>
    <row r="2389">
      <c r="A2389">
        <f>IF(OHW!$G1342="","","OHW")</f>
        <v/>
      </c>
      <c r="B2389">
        <f>IF(OHW!$G1342="","","OHW")</f>
        <v/>
      </c>
      <c r="C2389" s="18">
        <f>IF(OHW!$G1342="","",OHW!$A1342)</f>
        <v/>
      </c>
      <c r="F2389">
        <f>IF(OHW!$G1342="","",OHW!$B1342&amp;"")</f>
        <v/>
      </c>
      <c r="J2389">
        <f>IF(OHW!$G1342="","",OHW!$E1342)</f>
        <v/>
      </c>
      <c r="K2389">
        <f>IF(OHW!$G1342="","",COUNTIFS(OHW!$A$5:$A$1668,OHW!$A1342,OHW!$C$5:$C$1668,OHW!$C1342))</f>
        <v/>
      </c>
      <c r="L2389">
        <f>IF(OHW!$G1342="","",OHW!$D1342&amp;"")</f>
        <v/>
      </c>
      <c r="M2389">
        <f>IF(OHW!$G1342="","",OHW!$F1342)</f>
        <v/>
      </c>
      <c r="N2389">
        <f>IF(OHW!$G1342="","",OHW!$G1342)</f>
        <v/>
      </c>
      <c r="O2389">
        <f>IF(OHW!$G1342="","",OHW!$I1342)</f>
        <v/>
      </c>
      <c r="P2389">
        <f>IF(OHW!$G1342="","","Final")</f>
        <v/>
      </c>
    </row>
    <row r="2390">
      <c r="A2390">
        <f>IF(OHW!$G1343="","","OHW")</f>
        <v/>
      </c>
      <c r="B2390">
        <f>IF(OHW!$G1343="","","OHW")</f>
        <v/>
      </c>
      <c r="C2390" s="18">
        <f>IF(OHW!$G1343="","",OHW!$A1343)</f>
        <v/>
      </c>
      <c r="F2390">
        <f>IF(OHW!$G1343="","",OHW!$B1343&amp;"")</f>
        <v/>
      </c>
      <c r="J2390">
        <f>IF(OHW!$G1343="","",OHW!$E1343)</f>
        <v/>
      </c>
      <c r="K2390">
        <f>IF(OHW!$G1343="","",COUNTIFS(OHW!$A$5:$A$1668,OHW!$A1343,OHW!$C$5:$C$1668,OHW!$C1343))</f>
        <v/>
      </c>
      <c r="L2390">
        <f>IF(OHW!$G1343="","",OHW!$D1343&amp;"")</f>
        <v/>
      </c>
      <c r="M2390">
        <f>IF(OHW!$G1343="","",OHW!$F1343)</f>
        <v/>
      </c>
      <c r="N2390">
        <f>IF(OHW!$G1343="","",OHW!$G1343)</f>
        <v/>
      </c>
      <c r="O2390">
        <f>IF(OHW!$G1343="","",OHW!$I1343)</f>
        <v/>
      </c>
      <c r="P2390">
        <f>IF(OHW!$G1343="","","Final")</f>
        <v/>
      </c>
    </row>
    <row r="2391">
      <c r="A2391">
        <f>IF(OHW!$G1344="","","OHW")</f>
        <v/>
      </c>
      <c r="B2391">
        <f>IF(OHW!$G1344="","","OHW")</f>
        <v/>
      </c>
      <c r="C2391" s="18">
        <f>IF(OHW!$G1344="","",OHW!$A1344)</f>
        <v/>
      </c>
      <c r="F2391">
        <f>IF(OHW!$G1344="","",OHW!$B1344&amp;"")</f>
        <v/>
      </c>
      <c r="J2391">
        <f>IF(OHW!$G1344="","",OHW!$E1344)</f>
        <v/>
      </c>
      <c r="K2391">
        <f>IF(OHW!$G1344="","",COUNTIFS(OHW!$A$5:$A$1668,OHW!$A1344,OHW!$C$5:$C$1668,OHW!$C1344))</f>
        <v/>
      </c>
      <c r="L2391">
        <f>IF(OHW!$G1344="","",OHW!$D1344&amp;"")</f>
        <v/>
      </c>
      <c r="M2391">
        <f>IF(OHW!$G1344="","",OHW!$F1344)</f>
        <v/>
      </c>
      <c r="N2391">
        <f>IF(OHW!$G1344="","",OHW!$G1344)</f>
        <v/>
      </c>
      <c r="O2391">
        <f>IF(OHW!$G1344="","",OHW!$I1344)</f>
        <v/>
      </c>
      <c r="P2391">
        <f>IF(OHW!$G1344="","","Final")</f>
        <v/>
      </c>
    </row>
    <row r="2392">
      <c r="A2392">
        <f>IF(OHW!$G1345="","","OHW")</f>
        <v/>
      </c>
      <c r="B2392">
        <f>IF(OHW!$G1345="","","OHW")</f>
        <v/>
      </c>
      <c r="C2392" s="18">
        <f>IF(OHW!$G1345="","",OHW!$A1345)</f>
        <v/>
      </c>
      <c r="F2392">
        <f>IF(OHW!$G1345="","",OHW!$B1345&amp;"")</f>
        <v/>
      </c>
      <c r="J2392">
        <f>IF(OHW!$G1345="","",OHW!$E1345)</f>
        <v/>
      </c>
      <c r="K2392">
        <f>IF(OHW!$G1345="","",COUNTIFS(OHW!$A$5:$A$1668,OHW!$A1345,OHW!$C$5:$C$1668,OHW!$C1345))</f>
        <v/>
      </c>
      <c r="L2392">
        <f>IF(OHW!$G1345="","",OHW!$D1345&amp;"")</f>
        <v/>
      </c>
      <c r="M2392">
        <f>IF(OHW!$G1345="","",OHW!$F1345)</f>
        <v/>
      </c>
      <c r="N2392">
        <f>IF(OHW!$G1345="","",OHW!$G1345)</f>
        <v/>
      </c>
      <c r="O2392">
        <f>IF(OHW!$G1345="","",OHW!$I1345)</f>
        <v/>
      </c>
      <c r="P2392">
        <f>IF(OHW!$G1345="","","Final")</f>
        <v/>
      </c>
    </row>
    <row r="2393">
      <c r="A2393">
        <f>IF(OHW!$G1346="","","OHW")</f>
        <v/>
      </c>
      <c r="B2393">
        <f>IF(OHW!$G1346="","","OHW")</f>
        <v/>
      </c>
      <c r="C2393" s="18">
        <f>IF(OHW!$G1346="","",OHW!$A1346)</f>
        <v/>
      </c>
      <c r="F2393">
        <f>IF(OHW!$G1346="","",OHW!$B1346&amp;"")</f>
        <v/>
      </c>
      <c r="J2393">
        <f>IF(OHW!$G1346="","",OHW!$E1346)</f>
        <v/>
      </c>
      <c r="K2393">
        <f>IF(OHW!$G1346="","",COUNTIFS(OHW!$A$5:$A$1668,OHW!$A1346,OHW!$C$5:$C$1668,OHW!$C1346))</f>
        <v/>
      </c>
      <c r="L2393">
        <f>IF(OHW!$G1346="","",OHW!$D1346&amp;"")</f>
        <v/>
      </c>
      <c r="M2393">
        <f>IF(OHW!$G1346="","",OHW!$F1346)</f>
        <v/>
      </c>
      <c r="N2393">
        <f>IF(OHW!$G1346="","",OHW!$G1346)</f>
        <v/>
      </c>
      <c r="O2393">
        <f>IF(OHW!$G1346="","",OHW!$I1346)</f>
        <v/>
      </c>
      <c r="P2393">
        <f>IF(OHW!$G1346="","","Final")</f>
        <v/>
      </c>
    </row>
    <row r="2394">
      <c r="A2394">
        <f>IF(OHW!$G1347="","","OHW")</f>
        <v/>
      </c>
      <c r="B2394">
        <f>IF(OHW!$G1347="","","OHW")</f>
        <v/>
      </c>
      <c r="C2394" s="18">
        <f>IF(OHW!$G1347="","",OHW!$A1347)</f>
        <v/>
      </c>
      <c r="F2394">
        <f>IF(OHW!$G1347="","",OHW!$B1347&amp;"")</f>
        <v/>
      </c>
      <c r="J2394">
        <f>IF(OHW!$G1347="","",OHW!$E1347)</f>
        <v/>
      </c>
      <c r="K2394">
        <f>IF(OHW!$G1347="","",COUNTIFS(OHW!$A$5:$A$1668,OHW!$A1347,OHW!$C$5:$C$1668,OHW!$C1347))</f>
        <v/>
      </c>
      <c r="L2394">
        <f>IF(OHW!$G1347="","",OHW!$D1347&amp;"")</f>
        <v/>
      </c>
      <c r="M2394">
        <f>IF(OHW!$G1347="","",OHW!$F1347)</f>
        <v/>
      </c>
      <c r="N2394">
        <f>IF(OHW!$G1347="","",OHW!$G1347)</f>
        <v/>
      </c>
      <c r="O2394">
        <f>IF(OHW!$G1347="","",OHW!$I1347)</f>
        <v/>
      </c>
      <c r="P2394">
        <f>IF(OHW!$G1347="","","Final")</f>
        <v/>
      </c>
    </row>
    <row r="2395">
      <c r="A2395">
        <f>IF(OHW!$G1348="","","OHW")</f>
        <v/>
      </c>
      <c r="B2395">
        <f>IF(OHW!$G1348="","","OHW")</f>
        <v/>
      </c>
      <c r="C2395" s="18">
        <f>IF(OHW!$G1348="","",OHW!$A1348)</f>
        <v/>
      </c>
      <c r="F2395">
        <f>IF(OHW!$G1348="","",OHW!$B1348&amp;"")</f>
        <v/>
      </c>
      <c r="J2395">
        <f>IF(OHW!$G1348="","",OHW!$E1348)</f>
        <v/>
      </c>
      <c r="K2395">
        <f>IF(OHW!$G1348="","",COUNTIFS(OHW!$A$5:$A$1668,OHW!$A1348,OHW!$C$5:$C$1668,OHW!$C1348))</f>
        <v/>
      </c>
      <c r="L2395">
        <f>IF(OHW!$G1348="","",OHW!$D1348&amp;"")</f>
        <v/>
      </c>
      <c r="M2395">
        <f>IF(OHW!$G1348="","",OHW!$F1348)</f>
        <v/>
      </c>
      <c r="N2395">
        <f>IF(OHW!$G1348="","",OHW!$G1348)</f>
        <v/>
      </c>
      <c r="O2395">
        <f>IF(OHW!$G1348="","",OHW!$I1348)</f>
        <v/>
      </c>
      <c r="P2395">
        <f>IF(OHW!$G1348="","","Final")</f>
        <v/>
      </c>
    </row>
    <row r="2396">
      <c r="A2396">
        <f>IF(OHW!$G1349="","","OHW")</f>
        <v/>
      </c>
      <c r="B2396">
        <f>IF(OHW!$G1349="","","OHW")</f>
        <v/>
      </c>
      <c r="C2396" s="18">
        <f>IF(OHW!$G1349="","",OHW!$A1349)</f>
        <v/>
      </c>
      <c r="F2396">
        <f>IF(OHW!$G1349="","",OHW!$B1349&amp;"")</f>
        <v/>
      </c>
      <c r="J2396">
        <f>IF(OHW!$G1349="","",OHW!$E1349)</f>
        <v/>
      </c>
      <c r="K2396">
        <f>IF(OHW!$G1349="","",COUNTIFS(OHW!$A$5:$A$1668,OHW!$A1349,OHW!$C$5:$C$1668,OHW!$C1349))</f>
        <v/>
      </c>
      <c r="L2396">
        <f>IF(OHW!$G1349="","",OHW!$D1349&amp;"")</f>
        <v/>
      </c>
      <c r="M2396">
        <f>IF(OHW!$G1349="","",OHW!$F1349)</f>
        <v/>
      </c>
      <c r="N2396">
        <f>IF(OHW!$G1349="","",OHW!$G1349)</f>
        <v/>
      </c>
      <c r="O2396">
        <f>IF(OHW!$G1349="","",OHW!$I1349)</f>
        <v/>
      </c>
      <c r="P2396">
        <f>IF(OHW!$G1349="","","Final")</f>
        <v/>
      </c>
    </row>
    <row r="2397">
      <c r="A2397">
        <f>IF(OHW!$G1350="","","OHW")</f>
        <v/>
      </c>
      <c r="B2397">
        <f>IF(OHW!$G1350="","","OHW")</f>
        <v/>
      </c>
      <c r="C2397" s="18">
        <f>IF(OHW!$G1350="","",OHW!$A1350)</f>
        <v/>
      </c>
      <c r="F2397">
        <f>IF(OHW!$G1350="","",OHW!$B1350&amp;"")</f>
        <v/>
      </c>
      <c r="J2397">
        <f>IF(OHW!$G1350="","",OHW!$E1350)</f>
        <v/>
      </c>
      <c r="K2397">
        <f>IF(OHW!$G1350="","",COUNTIFS(OHW!$A$5:$A$1668,OHW!$A1350,OHW!$C$5:$C$1668,OHW!$C1350))</f>
        <v/>
      </c>
      <c r="L2397">
        <f>IF(OHW!$G1350="","",OHW!$D1350&amp;"")</f>
        <v/>
      </c>
      <c r="M2397">
        <f>IF(OHW!$G1350="","",OHW!$F1350)</f>
        <v/>
      </c>
      <c r="N2397">
        <f>IF(OHW!$G1350="","",OHW!$G1350)</f>
        <v/>
      </c>
      <c r="O2397">
        <f>IF(OHW!$G1350="","",OHW!$I1350)</f>
        <v/>
      </c>
      <c r="P2397">
        <f>IF(OHW!$G1350="","","Final")</f>
        <v/>
      </c>
    </row>
    <row r="2398">
      <c r="A2398">
        <f>IF(OHW!$G1351="","","OHW")</f>
        <v/>
      </c>
      <c r="B2398">
        <f>IF(OHW!$G1351="","","OHW")</f>
        <v/>
      </c>
      <c r="C2398" s="18">
        <f>IF(OHW!$G1351="","",OHW!$A1351)</f>
        <v/>
      </c>
      <c r="F2398">
        <f>IF(OHW!$G1351="","",OHW!$B1351&amp;"")</f>
        <v/>
      </c>
      <c r="J2398">
        <f>IF(OHW!$G1351="","",OHW!$E1351)</f>
        <v/>
      </c>
      <c r="K2398">
        <f>IF(OHW!$G1351="","",COUNTIFS(OHW!$A$5:$A$1668,OHW!$A1351,OHW!$C$5:$C$1668,OHW!$C1351))</f>
        <v/>
      </c>
      <c r="L2398">
        <f>IF(OHW!$G1351="","",OHW!$D1351&amp;"")</f>
        <v/>
      </c>
      <c r="M2398">
        <f>IF(OHW!$G1351="","",OHW!$F1351)</f>
        <v/>
      </c>
      <c r="N2398">
        <f>IF(OHW!$G1351="","",OHW!$G1351)</f>
        <v/>
      </c>
      <c r="O2398">
        <f>IF(OHW!$G1351="","",OHW!$I1351)</f>
        <v/>
      </c>
      <c r="P2398">
        <f>IF(OHW!$G1351="","","Final")</f>
        <v/>
      </c>
    </row>
    <row r="2399">
      <c r="A2399">
        <f>IF(OHW!$G1352="","","OHW")</f>
        <v/>
      </c>
      <c r="B2399">
        <f>IF(OHW!$G1352="","","OHW")</f>
        <v/>
      </c>
      <c r="C2399" s="18">
        <f>IF(OHW!$G1352="","",OHW!$A1352)</f>
        <v/>
      </c>
      <c r="F2399">
        <f>IF(OHW!$G1352="","",OHW!$B1352&amp;"")</f>
        <v/>
      </c>
      <c r="J2399">
        <f>IF(OHW!$G1352="","",OHW!$E1352)</f>
        <v/>
      </c>
      <c r="K2399">
        <f>IF(OHW!$G1352="","",COUNTIFS(OHW!$A$5:$A$1668,OHW!$A1352,OHW!$C$5:$C$1668,OHW!$C1352))</f>
        <v/>
      </c>
      <c r="L2399">
        <f>IF(OHW!$G1352="","",OHW!$D1352&amp;"")</f>
        <v/>
      </c>
      <c r="M2399">
        <f>IF(OHW!$G1352="","",OHW!$F1352)</f>
        <v/>
      </c>
      <c r="N2399">
        <f>IF(OHW!$G1352="","",OHW!$G1352)</f>
        <v/>
      </c>
      <c r="O2399">
        <f>IF(OHW!$G1352="","",OHW!$I1352)</f>
        <v/>
      </c>
      <c r="P2399">
        <f>IF(OHW!$G1352="","","Final")</f>
        <v/>
      </c>
    </row>
    <row r="2400">
      <c r="A2400">
        <f>IF(OHW!$G1353="","","OHW")</f>
        <v/>
      </c>
      <c r="B2400">
        <f>IF(OHW!$G1353="","","OHW")</f>
        <v/>
      </c>
      <c r="C2400" s="18">
        <f>IF(OHW!$G1353="","",OHW!$A1353)</f>
        <v/>
      </c>
      <c r="F2400">
        <f>IF(OHW!$G1353="","",OHW!$B1353&amp;"")</f>
        <v/>
      </c>
      <c r="J2400">
        <f>IF(OHW!$G1353="","",OHW!$E1353)</f>
        <v/>
      </c>
      <c r="K2400">
        <f>IF(OHW!$G1353="","",COUNTIFS(OHW!$A$5:$A$1668,OHW!$A1353,OHW!$C$5:$C$1668,OHW!$C1353))</f>
        <v/>
      </c>
      <c r="L2400">
        <f>IF(OHW!$G1353="","",OHW!$D1353&amp;"")</f>
        <v/>
      </c>
      <c r="M2400">
        <f>IF(OHW!$G1353="","",OHW!$F1353)</f>
        <v/>
      </c>
      <c r="N2400">
        <f>IF(OHW!$G1353="","",OHW!$G1353)</f>
        <v/>
      </c>
      <c r="O2400">
        <f>IF(OHW!$G1353="","",OHW!$I1353)</f>
        <v/>
      </c>
      <c r="P2400">
        <f>IF(OHW!$G1353="","","Final")</f>
        <v/>
      </c>
    </row>
    <row r="2401">
      <c r="A2401">
        <f>IF(OHW!$G1354="","","OHW")</f>
        <v/>
      </c>
      <c r="B2401">
        <f>IF(OHW!$G1354="","","OHW")</f>
        <v/>
      </c>
      <c r="C2401" s="18">
        <f>IF(OHW!$G1354="","",OHW!$A1354)</f>
        <v/>
      </c>
      <c r="F2401">
        <f>IF(OHW!$G1354="","",OHW!$B1354&amp;"")</f>
        <v/>
      </c>
      <c r="J2401">
        <f>IF(OHW!$G1354="","",OHW!$E1354)</f>
        <v/>
      </c>
      <c r="K2401">
        <f>IF(OHW!$G1354="","",COUNTIFS(OHW!$A$5:$A$1668,OHW!$A1354,OHW!$C$5:$C$1668,OHW!$C1354))</f>
        <v/>
      </c>
      <c r="L2401">
        <f>IF(OHW!$G1354="","",OHW!$D1354&amp;"")</f>
        <v/>
      </c>
      <c r="M2401">
        <f>IF(OHW!$G1354="","",OHW!$F1354)</f>
        <v/>
      </c>
      <c r="N2401">
        <f>IF(OHW!$G1354="","",OHW!$G1354)</f>
        <v/>
      </c>
      <c r="O2401">
        <f>IF(OHW!$G1354="","",OHW!$I1354)</f>
        <v/>
      </c>
      <c r="P2401">
        <f>IF(OHW!$G1354="","","Final")</f>
        <v/>
      </c>
    </row>
    <row r="2402">
      <c r="A2402">
        <f>IF(OHW!$G1355="","","OHW")</f>
        <v/>
      </c>
      <c r="B2402">
        <f>IF(OHW!$G1355="","","OHW")</f>
        <v/>
      </c>
      <c r="C2402" s="18">
        <f>IF(OHW!$G1355="","",OHW!$A1355)</f>
        <v/>
      </c>
      <c r="F2402">
        <f>IF(OHW!$G1355="","",OHW!$B1355&amp;"")</f>
        <v/>
      </c>
      <c r="J2402">
        <f>IF(OHW!$G1355="","",OHW!$E1355)</f>
        <v/>
      </c>
      <c r="K2402">
        <f>IF(OHW!$G1355="","",COUNTIFS(OHW!$A$5:$A$1668,OHW!$A1355,OHW!$C$5:$C$1668,OHW!$C1355))</f>
        <v/>
      </c>
      <c r="L2402">
        <f>IF(OHW!$G1355="","",OHW!$D1355&amp;"")</f>
        <v/>
      </c>
      <c r="M2402">
        <f>IF(OHW!$G1355="","",OHW!$F1355)</f>
        <v/>
      </c>
      <c r="N2402">
        <f>IF(OHW!$G1355="","",OHW!$G1355)</f>
        <v/>
      </c>
      <c r="O2402">
        <f>IF(OHW!$G1355="","",OHW!$I1355)</f>
        <v/>
      </c>
      <c r="P2402">
        <f>IF(OHW!$G1355="","","Final")</f>
        <v/>
      </c>
    </row>
    <row r="2403">
      <c r="A2403">
        <f>IF(OHW!$G1356="","","OHW")</f>
        <v/>
      </c>
      <c r="B2403">
        <f>IF(OHW!$G1356="","","OHW")</f>
        <v/>
      </c>
      <c r="C2403" s="18">
        <f>IF(OHW!$G1356="","",OHW!$A1356)</f>
        <v/>
      </c>
      <c r="F2403">
        <f>IF(OHW!$G1356="","",OHW!$B1356&amp;"")</f>
        <v/>
      </c>
      <c r="J2403">
        <f>IF(OHW!$G1356="","",OHW!$E1356)</f>
        <v/>
      </c>
      <c r="K2403">
        <f>IF(OHW!$G1356="","",COUNTIFS(OHW!$A$5:$A$1668,OHW!$A1356,OHW!$C$5:$C$1668,OHW!$C1356))</f>
        <v/>
      </c>
      <c r="L2403">
        <f>IF(OHW!$G1356="","",OHW!$D1356&amp;"")</f>
        <v/>
      </c>
      <c r="M2403">
        <f>IF(OHW!$G1356="","",OHW!$F1356)</f>
        <v/>
      </c>
      <c r="N2403">
        <f>IF(OHW!$G1356="","",OHW!$G1356)</f>
        <v/>
      </c>
      <c r="O2403">
        <f>IF(OHW!$G1356="","",OHW!$I1356)</f>
        <v/>
      </c>
      <c r="P2403">
        <f>IF(OHW!$G1356="","","Final")</f>
        <v/>
      </c>
    </row>
    <row r="2404">
      <c r="A2404">
        <f>IF(OHW!$G1357="","","OHW")</f>
        <v/>
      </c>
      <c r="B2404">
        <f>IF(OHW!$G1357="","","OHW")</f>
        <v/>
      </c>
      <c r="C2404" s="18">
        <f>IF(OHW!$G1357="","",OHW!$A1357)</f>
        <v/>
      </c>
      <c r="F2404">
        <f>IF(OHW!$G1357="","",OHW!$B1357&amp;"")</f>
        <v/>
      </c>
      <c r="J2404">
        <f>IF(OHW!$G1357="","",OHW!$E1357)</f>
        <v/>
      </c>
      <c r="K2404">
        <f>IF(OHW!$G1357="","",COUNTIFS(OHW!$A$5:$A$1668,OHW!$A1357,OHW!$C$5:$C$1668,OHW!$C1357))</f>
        <v/>
      </c>
      <c r="L2404">
        <f>IF(OHW!$G1357="","",OHW!$D1357&amp;"")</f>
        <v/>
      </c>
      <c r="M2404">
        <f>IF(OHW!$G1357="","",OHW!$F1357)</f>
        <v/>
      </c>
      <c r="N2404">
        <f>IF(OHW!$G1357="","",OHW!$G1357)</f>
        <v/>
      </c>
      <c r="O2404">
        <f>IF(OHW!$G1357="","",OHW!$I1357)</f>
        <v/>
      </c>
      <c r="P2404">
        <f>IF(OHW!$G1357="","","Final")</f>
        <v/>
      </c>
    </row>
    <row r="2405">
      <c r="A2405">
        <f>IF(OHW!$G1358="","","OHW")</f>
        <v/>
      </c>
      <c r="B2405">
        <f>IF(OHW!$G1358="","","OHW")</f>
        <v/>
      </c>
      <c r="C2405" s="18">
        <f>IF(OHW!$G1358="","",OHW!$A1358)</f>
        <v/>
      </c>
      <c r="F2405">
        <f>IF(OHW!$G1358="","",OHW!$B1358&amp;"")</f>
        <v/>
      </c>
      <c r="J2405">
        <f>IF(OHW!$G1358="","",OHW!$E1358)</f>
        <v/>
      </c>
      <c r="K2405">
        <f>IF(OHW!$G1358="","",COUNTIFS(OHW!$A$5:$A$1668,OHW!$A1358,OHW!$C$5:$C$1668,OHW!$C1358))</f>
        <v/>
      </c>
      <c r="L2405">
        <f>IF(OHW!$G1358="","",OHW!$D1358&amp;"")</f>
        <v/>
      </c>
      <c r="M2405">
        <f>IF(OHW!$G1358="","",OHW!$F1358)</f>
        <v/>
      </c>
      <c r="N2405">
        <f>IF(OHW!$G1358="","",OHW!$G1358)</f>
        <v/>
      </c>
      <c r="O2405">
        <f>IF(OHW!$G1358="","",OHW!$I1358)</f>
        <v/>
      </c>
      <c r="P2405">
        <f>IF(OHW!$G1358="","","Final")</f>
        <v/>
      </c>
    </row>
    <row r="2406">
      <c r="A2406">
        <f>IF(OHW!$G1359="","","OHW")</f>
        <v/>
      </c>
      <c r="B2406">
        <f>IF(OHW!$G1359="","","OHW")</f>
        <v/>
      </c>
      <c r="C2406" s="18">
        <f>IF(OHW!$G1359="","",OHW!$A1359)</f>
        <v/>
      </c>
      <c r="F2406">
        <f>IF(OHW!$G1359="","",OHW!$B1359&amp;"")</f>
        <v/>
      </c>
      <c r="J2406">
        <f>IF(OHW!$G1359="","",OHW!$E1359)</f>
        <v/>
      </c>
      <c r="K2406">
        <f>IF(OHW!$G1359="","",COUNTIFS(OHW!$A$5:$A$1668,OHW!$A1359,OHW!$C$5:$C$1668,OHW!$C1359))</f>
        <v/>
      </c>
      <c r="L2406">
        <f>IF(OHW!$G1359="","",OHW!$D1359&amp;"")</f>
        <v/>
      </c>
      <c r="M2406">
        <f>IF(OHW!$G1359="","",OHW!$F1359)</f>
        <v/>
      </c>
      <c r="N2406">
        <f>IF(OHW!$G1359="","",OHW!$G1359)</f>
        <v/>
      </c>
      <c r="O2406">
        <f>IF(OHW!$G1359="","",OHW!$I1359)</f>
        <v/>
      </c>
      <c r="P2406">
        <f>IF(OHW!$G1359="","","Final")</f>
        <v/>
      </c>
    </row>
    <row r="2407">
      <c r="A2407">
        <f>IF(OHW!$G1360="","","OHW")</f>
        <v/>
      </c>
      <c r="B2407">
        <f>IF(OHW!$G1360="","","OHW")</f>
        <v/>
      </c>
      <c r="C2407" s="18">
        <f>IF(OHW!$G1360="","",OHW!$A1360)</f>
        <v/>
      </c>
      <c r="F2407">
        <f>IF(OHW!$G1360="","",OHW!$B1360&amp;"")</f>
        <v/>
      </c>
      <c r="J2407">
        <f>IF(OHW!$G1360="","",OHW!$E1360)</f>
        <v/>
      </c>
      <c r="K2407">
        <f>IF(OHW!$G1360="","",COUNTIFS(OHW!$A$5:$A$1668,OHW!$A1360,OHW!$C$5:$C$1668,OHW!$C1360))</f>
        <v/>
      </c>
      <c r="L2407">
        <f>IF(OHW!$G1360="","",OHW!$D1360&amp;"")</f>
        <v/>
      </c>
      <c r="M2407">
        <f>IF(OHW!$G1360="","",OHW!$F1360)</f>
        <v/>
      </c>
      <c r="N2407">
        <f>IF(OHW!$G1360="","",OHW!$G1360)</f>
        <v/>
      </c>
      <c r="O2407">
        <f>IF(OHW!$G1360="","",OHW!$I1360)</f>
        <v/>
      </c>
      <c r="P2407">
        <f>IF(OHW!$G1360="","","Final")</f>
        <v/>
      </c>
    </row>
    <row r="2408">
      <c r="A2408">
        <f>IF(OHW!$G1361="","","OHW")</f>
        <v/>
      </c>
      <c r="B2408">
        <f>IF(OHW!$G1361="","","OHW")</f>
        <v/>
      </c>
      <c r="C2408" s="18">
        <f>IF(OHW!$G1361="","",OHW!$A1361)</f>
        <v/>
      </c>
      <c r="F2408">
        <f>IF(OHW!$G1361="","",OHW!$B1361&amp;"")</f>
        <v/>
      </c>
      <c r="J2408">
        <f>IF(OHW!$G1361="","",OHW!$E1361)</f>
        <v/>
      </c>
      <c r="K2408">
        <f>IF(OHW!$G1361="","",COUNTIFS(OHW!$A$5:$A$1668,OHW!$A1361,OHW!$C$5:$C$1668,OHW!$C1361))</f>
        <v/>
      </c>
      <c r="L2408">
        <f>IF(OHW!$G1361="","",OHW!$D1361&amp;"")</f>
        <v/>
      </c>
      <c r="M2408">
        <f>IF(OHW!$G1361="","",OHW!$F1361)</f>
        <v/>
      </c>
      <c r="N2408">
        <f>IF(OHW!$G1361="","",OHW!$G1361)</f>
        <v/>
      </c>
      <c r="O2408">
        <f>IF(OHW!$G1361="","",OHW!$I1361)</f>
        <v/>
      </c>
      <c r="P2408">
        <f>IF(OHW!$G1361="","","Final")</f>
        <v/>
      </c>
    </row>
    <row r="2409">
      <c r="A2409">
        <f>IF(OHW!$G1362="","","OHW")</f>
        <v/>
      </c>
      <c r="B2409">
        <f>IF(OHW!$G1362="","","OHW")</f>
        <v/>
      </c>
      <c r="C2409" s="18">
        <f>IF(OHW!$G1362="","",OHW!$A1362)</f>
        <v/>
      </c>
      <c r="F2409">
        <f>IF(OHW!$G1362="","",OHW!$B1362&amp;"")</f>
        <v/>
      </c>
      <c r="J2409">
        <f>IF(OHW!$G1362="","",OHW!$E1362)</f>
        <v/>
      </c>
      <c r="K2409">
        <f>IF(OHW!$G1362="","",COUNTIFS(OHW!$A$5:$A$1668,OHW!$A1362,OHW!$C$5:$C$1668,OHW!$C1362))</f>
        <v/>
      </c>
      <c r="L2409">
        <f>IF(OHW!$G1362="","",OHW!$D1362&amp;"")</f>
        <v/>
      </c>
      <c r="M2409">
        <f>IF(OHW!$G1362="","",OHW!$F1362)</f>
        <v/>
      </c>
      <c r="N2409">
        <f>IF(OHW!$G1362="","",OHW!$G1362)</f>
        <v/>
      </c>
      <c r="O2409">
        <f>IF(OHW!$G1362="","",OHW!$I1362)</f>
        <v/>
      </c>
      <c r="P2409">
        <f>IF(OHW!$G1362="","","Final")</f>
        <v/>
      </c>
    </row>
    <row r="2410">
      <c r="A2410">
        <f>IF(OHW!$G1363="","","OHW")</f>
        <v/>
      </c>
      <c r="B2410">
        <f>IF(OHW!$G1363="","","OHW")</f>
        <v/>
      </c>
      <c r="C2410" s="18">
        <f>IF(OHW!$G1363="","",OHW!$A1363)</f>
        <v/>
      </c>
      <c r="F2410">
        <f>IF(OHW!$G1363="","",OHW!$B1363&amp;"")</f>
        <v/>
      </c>
      <c r="J2410">
        <f>IF(OHW!$G1363="","",OHW!$E1363)</f>
        <v/>
      </c>
      <c r="K2410">
        <f>IF(OHW!$G1363="","",COUNTIFS(OHW!$A$5:$A$1668,OHW!$A1363,OHW!$C$5:$C$1668,OHW!$C1363))</f>
        <v/>
      </c>
      <c r="L2410">
        <f>IF(OHW!$G1363="","",OHW!$D1363&amp;"")</f>
        <v/>
      </c>
      <c r="M2410">
        <f>IF(OHW!$G1363="","",OHW!$F1363)</f>
        <v/>
      </c>
      <c r="N2410">
        <f>IF(OHW!$G1363="","",OHW!$G1363)</f>
        <v/>
      </c>
      <c r="O2410">
        <f>IF(OHW!$G1363="","",OHW!$I1363)</f>
        <v/>
      </c>
      <c r="P2410">
        <f>IF(OHW!$G1363="","","Final")</f>
        <v/>
      </c>
    </row>
    <row r="2411">
      <c r="A2411">
        <f>IF(OHW!$G1364="","","OHW")</f>
        <v/>
      </c>
      <c r="B2411">
        <f>IF(OHW!$G1364="","","OHW")</f>
        <v/>
      </c>
      <c r="C2411" s="18">
        <f>IF(OHW!$G1364="","",OHW!$A1364)</f>
        <v/>
      </c>
      <c r="F2411">
        <f>IF(OHW!$G1364="","",OHW!$B1364&amp;"")</f>
        <v/>
      </c>
      <c r="J2411">
        <f>IF(OHW!$G1364="","",OHW!$E1364)</f>
        <v/>
      </c>
      <c r="K2411">
        <f>IF(OHW!$G1364="","",COUNTIFS(OHW!$A$5:$A$1668,OHW!$A1364,OHW!$C$5:$C$1668,OHW!$C1364))</f>
        <v/>
      </c>
      <c r="L2411">
        <f>IF(OHW!$G1364="","",OHW!$D1364&amp;"")</f>
        <v/>
      </c>
      <c r="M2411">
        <f>IF(OHW!$G1364="","",OHW!$F1364)</f>
        <v/>
      </c>
      <c r="N2411">
        <f>IF(OHW!$G1364="","",OHW!$G1364)</f>
        <v/>
      </c>
      <c r="O2411">
        <f>IF(OHW!$G1364="","",OHW!$I1364)</f>
        <v/>
      </c>
      <c r="P2411">
        <f>IF(OHW!$G1364="","","Final")</f>
        <v/>
      </c>
    </row>
    <row r="2412">
      <c r="A2412">
        <f>IF(OHW!$G1365="","","OHW")</f>
        <v/>
      </c>
      <c r="B2412">
        <f>IF(OHW!$G1365="","","OHW")</f>
        <v/>
      </c>
      <c r="C2412" s="18">
        <f>IF(OHW!$G1365="","",OHW!$A1365)</f>
        <v/>
      </c>
      <c r="F2412">
        <f>IF(OHW!$G1365="","",OHW!$B1365&amp;"")</f>
        <v/>
      </c>
      <c r="J2412">
        <f>IF(OHW!$G1365="","",OHW!$E1365)</f>
        <v/>
      </c>
      <c r="K2412">
        <f>IF(OHW!$G1365="","",COUNTIFS(OHW!$A$5:$A$1668,OHW!$A1365,OHW!$C$5:$C$1668,OHW!$C1365))</f>
        <v/>
      </c>
      <c r="L2412">
        <f>IF(OHW!$G1365="","",OHW!$D1365&amp;"")</f>
        <v/>
      </c>
      <c r="M2412">
        <f>IF(OHW!$G1365="","",OHW!$F1365)</f>
        <v/>
      </c>
      <c r="N2412">
        <f>IF(OHW!$G1365="","",OHW!$G1365)</f>
        <v/>
      </c>
      <c r="O2412">
        <f>IF(OHW!$G1365="","",OHW!$I1365)</f>
        <v/>
      </c>
      <c r="P2412">
        <f>IF(OHW!$G1365="","","Final")</f>
        <v/>
      </c>
    </row>
    <row r="2413">
      <c r="A2413">
        <f>IF(OHW!$G1366="","","OHW")</f>
        <v/>
      </c>
      <c r="B2413">
        <f>IF(OHW!$G1366="","","OHW")</f>
        <v/>
      </c>
      <c r="C2413" s="18">
        <f>IF(OHW!$G1366="","",OHW!$A1366)</f>
        <v/>
      </c>
      <c r="F2413">
        <f>IF(OHW!$G1366="","",OHW!$B1366&amp;"")</f>
        <v/>
      </c>
      <c r="J2413">
        <f>IF(OHW!$G1366="","",OHW!$E1366)</f>
        <v/>
      </c>
      <c r="K2413">
        <f>IF(OHW!$G1366="","",COUNTIFS(OHW!$A$5:$A$1668,OHW!$A1366,OHW!$C$5:$C$1668,OHW!$C1366))</f>
        <v/>
      </c>
      <c r="L2413">
        <f>IF(OHW!$G1366="","",OHW!$D1366&amp;"")</f>
        <v/>
      </c>
      <c r="M2413">
        <f>IF(OHW!$G1366="","",OHW!$F1366)</f>
        <v/>
      </c>
      <c r="N2413">
        <f>IF(OHW!$G1366="","",OHW!$G1366)</f>
        <v/>
      </c>
      <c r="O2413">
        <f>IF(OHW!$G1366="","",OHW!$I1366)</f>
        <v/>
      </c>
      <c r="P2413">
        <f>IF(OHW!$G1366="","","Final")</f>
        <v/>
      </c>
    </row>
    <row r="2414">
      <c r="A2414">
        <f>IF(OHW!$G1367="","","OHW")</f>
        <v/>
      </c>
      <c r="B2414">
        <f>IF(OHW!$G1367="","","OHW")</f>
        <v/>
      </c>
      <c r="C2414" s="18">
        <f>IF(OHW!$G1367="","",OHW!$A1367)</f>
        <v/>
      </c>
      <c r="F2414">
        <f>IF(OHW!$G1367="","",OHW!$B1367&amp;"")</f>
        <v/>
      </c>
      <c r="J2414">
        <f>IF(OHW!$G1367="","",OHW!$E1367)</f>
        <v/>
      </c>
      <c r="K2414">
        <f>IF(OHW!$G1367="","",COUNTIFS(OHW!$A$5:$A$1668,OHW!$A1367,OHW!$C$5:$C$1668,OHW!$C1367))</f>
        <v/>
      </c>
      <c r="L2414">
        <f>IF(OHW!$G1367="","",OHW!$D1367&amp;"")</f>
        <v/>
      </c>
      <c r="M2414">
        <f>IF(OHW!$G1367="","",OHW!$F1367)</f>
        <v/>
      </c>
      <c r="N2414">
        <f>IF(OHW!$G1367="","",OHW!$G1367)</f>
        <v/>
      </c>
      <c r="O2414">
        <f>IF(OHW!$G1367="","",OHW!$I1367)</f>
        <v/>
      </c>
      <c r="P2414">
        <f>IF(OHW!$G1367="","","Final")</f>
        <v/>
      </c>
    </row>
    <row r="2415">
      <c r="A2415">
        <f>IF(OHW!$G1368="","","OHW")</f>
        <v/>
      </c>
      <c r="B2415">
        <f>IF(OHW!$G1368="","","OHW")</f>
        <v/>
      </c>
      <c r="C2415" s="18">
        <f>IF(OHW!$G1368="","",OHW!$A1368)</f>
        <v/>
      </c>
      <c r="F2415">
        <f>IF(OHW!$G1368="","",OHW!$B1368&amp;"")</f>
        <v/>
      </c>
      <c r="J2415">
        <f>IF(OHW!$G1368="","",OHW!$E1368)</f>
        <v/>
      </c>
      <c r="K2415">
        <f>IF(OHW!$G1368="","",COUNTIFS(OHW!$A$5:$A$1668,OHW!$A1368,OHW!$C$5:$C$1668,OHW!$C1368))</f>
        <v/>
      </c>
      <c r="L2415">
        <f>IF(OHW!$G1368="","",OHW!$D1368&amp;"")</f>
        <v/>
      </c>
      <c r="M2415">
        <f>IF(OHW!$G1368="","",OHW!$F1368)</f>
        <v/>
      </c>
      <c r="N2415">
        <f>IF(OHW!$G1368="","",OHW!$G1368)</f>
        <v/>
      </c>
      <c r="O2415">
        <f>IF(OHW!$G1368="","",OHW!$I1368)</f>
        <v/>
      </c>
      <c r="P2415">
        <f>IF(OHW!$G1368="","","Final")</f>
        <v/>
      </c>
    </row>
    <row r="2416">
      <c r="A2416">
        <f>IF(OHW!$G1369="","","OHW")</f>
        <v/>
      </c>
      <c r="B2416">
        <f>IF(OHW!$G1369="","","OHW")</f>
        <v/>
      </c>
      <c r="C2416" s="18">
        <f>IF(OHW!$G1369="","",OHW!$A1369)</f>
        <v/>
      </c>
      <c r="F2416">
        <f>IF(OHW!$G1369="","",OHW!$B1369&amp;"")</f>
        <v/>
      </c>
      <c r="J2416">
        <f>IF(OHW!$G1369="","",OHW!$E1369)</f>
        <v/>
      </c>
      <c r="K2416">
        <f>IF(OHW!$G1369="","",COUNTIFS(OHW!$A$5:$A$1668,OHW!$A1369,OHW!$C$5:$C$1668,OHW!$C1369))</f>
        <v/>
      </c>
      <c r="L2416">
        <f>IF(OHW!$G1369="","",OHW!$D1369&amp;"")</f>
        <v/>
      </c>
      <c r="M2416">
        <f>IF(OHW!$G1369="","",OHW!$F1369)</f>
        <v/>
      </c>
      <c r="N2416">
        <f>IF(OHW!$G1369="","",OHW!$G1369)</f>
        <v/>
      </c>
      <c r="O2416">
        <f>IF(OHW!$G1369="","",OHW!$I1369)</f>
        <v/>
      </c>
      <c r="P2416">
        <f>IF(OHW!$G1369="","","Final")</f>
        <v/>
      </c>
    </row>
    <row r="2417">
      <c r="A2417">
        <f>IF(OHW!$G1370="","","OHW")</f>
        <v/>
      </c>
      <c r="B2417">
        <f>IF(OHW!$G1370="","","OHW")</f>
        <v/>
      </c>
      <c r="C2417" s="18">
        <f>IF(OHW!$G1370="","",OHW!$A1370)</f>
        <v/>
      </c>
      <c r="F2417">
        <f>IF(OHW!$G1370="","",OHW!$B1370&amp;"")</f>
        <v/>
      </c>
      <c r="J2417">
        <f>IF(OHW!$G1370="","",OHW!$E1370)</f>
        <v/>
      </c>
      <c r="K2417">
        <f>IF(OHW!$G1370="","",COUNTIFS(OHW!$A$5:$A$1668,OHW!$A1370,OHW!$C$5:$C$1668,OHW!$C1370))</f>
        <v/>
      </c>
      <c r="L2417">
        <f>IF(OHW!$G1370="","",OHW!$D1370&amp;"")</f>
        <v/>
      </c>
      <c r="M2417">
        <f>IF(OHW!$G1370="","",OHW!$F1370)</f>
        <v/>
      </c>
      <c r="N2417">
        <f>IF(OHW!$G1370="","",OHW!$G1370)</f>
        <v/>
      </c>
      <c r="O2417">
        <f>IF(OHW!$G1370="","",OHW!$I1370)</f>
        <v/>
      </c>
      <c r="P2417">
        <f>IF(OHW!$G1370="","","Final")</f>
        <v/>
      </c>
    </row>
    <row r="2418">
      <c r="A2418">
        <f>IF(OHW!$G1371="","","OHW")</f>
        <v/>
      </c>
      <c r="B2418">
        <f>IF(OHW!$G1371="","","OHW")</f>
        <v/>
      </c>
      <c r="C2418" s="18">
        <f>IF(OHW!$G1371="","",OHW!$A1371)</f>
        <v/>
      </c>
      <c r="F2418">
        <f>IF(OHW!$G1371="","",OHW!$B1371&amp;"")</f>
        <v/>
      </c>
      <c r="J2418">
        <f>IF(OHW!$G1371="","",OHW!$E1371)</f>
        <v/>
      </c>
      <c r="K2418">
        <f>IF(OHW!$G1371="","",COUNTIFS(OHW!$A$5:$A$1668,OHW!$A1371,OHW!$C$5:$C$1668,OHW!$C1371))</f>
        <v/>
      </c>
      <c r="L2418">
        <f>IF(OHW!$G1371="","",OHW!$D1371&amp;"")</f>
        <v/>
      </c>
      <c r="M2418">
        <f>IF(OHW!$G1371="","",OHW!$F1371)</f>
        <v/>
      </c>
      <c r="N2418">
        <f>IF(OHW!$G1371="","",OHW!$G1371)</f>
        <v/>
      </c>
      <c r="O2418">
        <f>IF(OHW!$G1371="","",OHW!$I1371)</f>
        <v/>
      </c>
      <c r="P2418">
        <f>IF(OHW!$G1371="","","Final")</f>
        <v/>
      </c>
    </row>
    <row r="2419">
      <c r="A2419">
        <f>IF(OHW!$G1372="","","OHW")</f>
        <v/>
      </c>
      <c r="B2419">
        <f>IF(OHW!$G1372="","","OHW")</f>
        <v/>
      </c>
      <c r="C2419" s="18">
        <f>IF(OHW!$G1372="","",OHW!$A1372)</f>
        <v/>
      </c>
      <c r="F2419">
        <f>IF(OHW!$G1372="","",OHW!$B1372&amp;"")</f>
        <v/>
      </c>
      <c r="J2419">
        <f>IF(OHW!$G1372="","",OHW!$E1372)</f>
        <v/>
      </c>
      <c r="K2419">
        <f>IF(OHW!$G1372="","",COUNTIFS(OHW!$A$5:$A$1668,OHW!$A1372,OHW!$C$5:$C$1668,OHW!$C1372))</f>
        <v/>
      </c>
      <c r="L2419">
        <f>IF(OHW!$G1372="","",OHW!$D1372&amp;"")</f>
        <v/>
      </c>
      <c r="M2419">
        <f>IF(OHW!$G1372="","",OHW!$F1372)</f>
        <v/>
      </c>
      <c r="N2419">
        <f>IF(OHW!$G1372="","",OHW!$G1372)</f>
        <v/>
      </c>
      <c r="O2419">
        <f>IF(OHW!$G1372="","",OHW!$I1372)</f>
        <v/>
      </c>
      <c r="P2419">
        <f>IF(OHW!$G1372="","","Final")</f>
        <v/>
      </c>
    </row>
    <row r="2420">
      <c r="A2420">
        <f>IF(OHW!$G1373="","","OHW")</f>
        <v/>
      </c>
      <c r="B2420">
        <f>IF(OHW!$G1373="","","OHW")</f>
        <v/>
      </c>
      <c r="C2420" s="18">
        <f>IF(OHW!$G1373="","",OHW!$A1373)</f>
        <v/>
      </c>
      <c r="F2420">
        <f>IF(OHW!$G1373="","",OHW!$B1373&amp;"")</f>
        <v/>
      </c>
      <c r="J2420">
        <f>IF(OHW!$G1373="","",OHW!$E1373)</f>
        <v/>
      </c>
      <c r="K2420">
        <f>IF(OHW!$G1373="","",COUNTIFS(OHW!$A$5:$A$1668,OHW!$A1373,OHW!$C$5:$C$1668,OHW!$C1373))</f>
        <v/>
      </c>
      <c r="L2420">
        <f>IF(OHW!$G1373="","",OHW!$D1373&amp;"")</f>
        <v/>
      </c>
      <c r="M2420">
        <f>IF(OHW!$G1373="","",OHW!$F1373)</f>
        <v/>
      </c>
      <c r="N2420">
        <f>IF(OHW!$G1373="","",OHW!$G1373)</f>
        <v/>
      </c>
      <c r="O2420">
        <f>IF(OHW!$G1373="","",OHW!$I1373)</f>
        <v/>
      </c>
      <c r="P2420">
        <f>IF(OHW!$G1373="","","Final")</f>
        <v/>
      </c>
    </row>
    <row r="2421">
      <c r="A2421">
        <f>IF(OHW!$G1374="","","OHW")</f>
        <v/>
      </c>
      <c r="B2421">
        <f>IF(OHW!$G1374="","","OHW")</f>
        <v/>
      </c>
      <c r="C2421" s="18">
        <f>IF(OHW!$G1374="","",OHW!$A1374)</f>
        <v/>
      </c>
      <c r="F2421">
        <f>IF(OHW!$G1374="","",OHW!$B1374&amp;"")</f>
        <v/>
      </c>
      <c r="J2421">
        <f>IF(OHW!$G1374="","",OHW!$E1374)</f>
        <v/>
      </c>
      <c r="K2421">
        <f>IF(OHW!$G1374="","",COUNTIFS(OHW!$A$5:$A$1668,OHW!$A1374,OHW!$C$5:$C$1668,OHW!$C1374))</f>
        <v/>
      </c>
      <c r="L2421">
        <f>IF(OHW!$G1374="","",OHW!$D1374&amp;"")</f>
        <v/>
      </c>
      <c r="M2421">
        <f>IF(OHW!$G1374="","",OHW!$F1374)</f>
        <v/>
      </c>
      <c r="N2421">
        <f>IF(OHW!$G1374="","",OHW!$G1374)</f>
        <v/>
      </c>
      <c r="O2421">
        <f>IF(OHW!$G1374="","",OHW!$I1374)</f>
        <v/>
      </c>
      <c r="P2421">
        <f>IF(OHW!$G1374="","","Final")</f>
        <v/>
      </c>
    </row>
    <row r="2422">
      <c r="A2422">
        <f>IF(OHW!$G1375="","","OHW")</f>
        <v/>
      </c>
      <c r="B2422">
        <f>IF(OHW!$G1375="","","OHW")</f>
        <v/>
      </c>
      <c r="C2422" s="18">
        <f>IF(OHW!$G1375="","",OHW!$A1375)</f>
        <v/>
      </c>
      <c r="F2422">
        <f>IF(OHW!$G1375="","",OHW!$B1375&amp;"")</f>
        <v/>
      </c>
      <c r="J2422">
        <f>IF(OHW!$G1375="","",OHW!$E1375)</f>
        <v/>
      </c>
      <c r="K2422">
        <f>IF(OHW!$G1375="","",COUNTIFS(OHW!$A$5:$A$1668,OHW!$A1375,OHW!$C$5:$C$1668,OHW!$C1375))</f>
        <v/>
      </c>
      <c r="L2422">
        <f>IF(OHW!$G1375="","",OHW!$D1375&amp;"")</f>
        <v/>
      </c>
      <c r="M2422">
        <f>IF(OHW!$G1375="","",OHW!$F1375)</f>
        <v/>
      </c>
      <c r="N2422">
        <f>IF(OHW!$G1375="","",OHW!$G1375)</f>
        <v/>
      </c>
      <c r="O2422">
        <f>IF(OHW!$G1375="","",OHW!$I1375)</f>
        <v/>
      </c>
      <c r="P2422">
        <f>IF(OHW!$G1375="","","Final")</f>
        <v/>
      </c>
    </row>
    <row r="2423">
      <c r="A2423">
        <f>IF(OHW!$G1376="","","OHW")</f>
        <v/>
      </c>
      <c r="B2423">
        <f>IF(OHW!$G1376="","","OHW")</f>
        <v/>
      </c>
      <c r="C2423" s="18">
        <f>IF(OHW!$G1376="","",OHW!$A1376)</f>
        <v/>
      </c>
      <c r="F2423">
        <f>IF(OHW!$G1376="","",OHW!$B1376&amp;"")</f>
        <v/>
      </c>
      <c r="J2423">
        <f>IF(OHW!$G1376="","",OHW!$E1376)</f>
        <v/>
      </c>
      <c r="K2423">
        <f>IF(OHW!$G1376="","",COUNTIFS(OHW!$A$5:$A$1668,OHW!$A1376,OHW!$C$5:$C$1668,OHW!$C1376))</f>
        <v/>
      </c>
      <c r="L2423">
        <f>IF(OHW!$G1376="","",OHW!$D1376&amp;"")</f>
        <v/>
      </c>
      <c r="M2423">
        <f>IF(OHW!$G1376="","",OHW!$F1376)</f>
        <v/>
      </c>
      <c r="N2423">
        <f>IF(OHW!$G1376="","",OHW!$G1376)</f>
        <v/>
      </c>
      <c r="O2423">
        <f>IF(OHW!$G1376="","",OHW!$I1376)</f>
        <v/>
      </c>
      <c r="P2423">
        <f>IF(OHW!$G1376="","","Final")</f>
        <v/>
      </c>
    </row>
    <row r="2424">
      <c r="A2424">
        <f>IF(OHW!$G1377="","","OHW")</f>
        <v/>
      </c>
      <c r="B2424">
        <f>IF(OHW!$G1377="","","OHW")</f>
        <v/>
      </c>
      <c r="C2424" s="18">
        <f>IF(OHW!$G1377="","",OHW!$A1377)</f>
        <v/>
      </c>
      <c r="F2424">
        <f>IF(OHW!$G1377="","",OHW!$B1377&amp;"")</f>
        <v/>
      </c>
      <c r="J2424">
        <f>IF(OHW!$G1377="","",OHW!$E1377)</f>
        <v/>
      </c>
      <c r="K2424">
        <f>IF(OHW!$G1377="","",COUNTIFS(OHW!$A$5:$A$1668,OHW!$A1377,OHW!$C$5:$C$1668,OHW!$C1377))</f>
        <v/>
      </c>
      <c r="L2424">
        <f>IF(OHW!$G1377="","",OHW!$D1377&amp;"")</f>
        <v/>
      </c>
      <c r="M2424">
        <f>IF(OHW!$G1377="","",OHW!$F1377)</f>
        <v/>
      </c>
      <c r="N2424">
        <f>IF(OHW!$G1377="","",OHW!$G1377)</f>
        <v/>
      </c>
      <c r="O2424">
        <f>IF(OHW!$G1377="","",OHW!$I1377)</f>
        <v/>
      </c>
      <c r="P2424">
        <f>IF(OHW!$G1377="","","Final")</f>
        <v/>
      </c>
    </row>
    <row r="2425">
      <c r="A2425">
        <f>IF(OHW!$G1378="","","OHW")</f>
        <v/>
      </c>
      <c r="B2425">
        <f>IF(OHW!$G1378="","","OHW")</f>
        <v/>
      </c>
      <c r="C2425" s="18">
        <f>IF(OHW!$G1378="","",OHW!$A1378)</f>
        <v/>
      </c>
      <c r="F2425">
        <f>IF(OHW!$G1378="","",OHW!$B1378&amp;"")</f>
        <v/>
      </c>
      <c r="J2425">
        <f>IF(OHW!$G1378="","",OHW!$E1378)</f>
        <v/>
      </c>
      <c r="K2425">
        <f>IF(OHW!$G1378="","",COUNTIFS(OHW!$A$5:$A$1668,OHW!$A1378,OHW!$C$5:$C$1668,OHW!$C1378))</f>
        <v/>
      </c>
      <c r="L2425">
        <f>IF(OHW!$G1378="","",OHW!$D1378&amp;"")</f>
        <v/>
      </c>
      <c r="M2425">
        <f>IF(OHW!$G1378="","",OHW!$F1378)</f>
        <v/>
      </c>
      <c r="N2425">
        <f>IF(OHW!$G1378="","",OHW!$G1378)</f>
        <v/>
      </c>
      <c r="O2425">
        <f>IF(OHW!$G1378="","",OHW!$I1378)</f>
        <v/>
      </c>
      <c r="P2425">
        <f>IF(OHW!$G1378="","","Final")</f>
        <v/>
      </c>
    </row>
    <row r="2426">
      <c r="A2426">
        <f>IF(OHW!$G1379="","","OHW")</f>
        <v/>
      </c>
      <c r="B2426">
        <f>IF(OHW!$G1379="","","OHW")</f>
        <v/>
      </c>
      <c r="C2426" s="18">
        <f>IF(OHW!$G1379="","",OHW!$A1379)</f>
        <v/>
      </c>
      <c r="F2426">
        <f>IF(OHW!$G1379="","",OHW!$B1379&amp;"")</f>
        <v/>
      </c>
      <c r="J2426">
        <f>IF(OHW!$G1379="","",OHW!$E1379)</f>
        <v/>
      </c>
      <c r="K2426">
        <f>IF(OHW!$G1379="","",COUNTIFS(OHW!$A$5:$A$1668,OHW!$A1379,OHW!$C$5:$C$1668,OHW!$C1379))</f>
        <v/>
      </c>
      <c r="L2426">
        <f>IF(OHW!$G1379="","",OHW!$D1379&amp;"")</f>
        <v/>
      </c>
      <c r="M2426">
        <f>IF(OHW!$G1379="","",OHW!$F1379)</f>
        <v/>
      </c>
      <c r="N2426">
        <f>IF(OHW!$G1379="","",OHW!$G1379)</f>
        <v/>
      </c>
      <c r="O2426">
        <f>IF(OHW!$G1379="","",OHW!$I1379)</f>
        <v/>
      </c>
      <c r="P2426">
        <f>IF(OHW!$G1379="","","Final")</f>
        <v/>
      </c>
    </row>
    <row r="2427">
      <c r="A2427">
        <f>IF(OHW!$G1380="","","OHW")</f>
        <v/>
      </c>
      <c r="B2427">
        <f>IF(OHW!$G1380="","","OHW")</f>
        <v/>
      </c>
      <c r="C2427" s="18">
        <f>IF(OHW!$G1380="","",OHW!$A1380)</f>
        <v/>
      </c>
      <c r="F2427">
        <f>IF(OHW!$G1380="","",OHW!$B1380&amp;"")</f>
        <v/>
      </c>
      <c r="J2427">
        <f>IF(OHW!$G1380="","",OHW!$E1380)</f>
        <v/>
      </c>
      <c r="K2427">
        <f>IF(OHW!$G1380="","",COUNTIFS(OHW!$A$5:$A$1668,OHW!$A1380,OHW!$C$5:$C$1668,OHW!$C1380))</f>
        <v/>
      </c>
      <c r="L2427">
        <f>IF(OHW!$G1380="","",OHW!$D1380&amp;"")</f>
        <v/>
      </c>
      <c r="M2427">
        <f>IF(OHW!$G1380="","",OHW!$F1380)</f>
        <v/>
      </c>
      <c r="N2427">
        <f>IF(OHW!$G1380="","",OHW!$G1380)</f>
        <v/>
      </c>
      <c r="O2427">
        <f>IF(OHW!$G1380="","",OHW!$I1380)</f>
        <v/>
      </c>
      <c r="P2427">
        <f>IF(OHW!$G1380="","","Final")</f>
        <v/>
      </c>
    </row>
    <row r="2428">
      <c r="A2428">
        <f>IF(OHW!$G1381="","","OHW")</f>
        <v/>
      </c>
      <c r="B2428">
        <f>IF(OHW!$G1381="","","OHW")</f>
        <v/>
      </c>
      <c r="C2428" s="18">
        <f>IF(OHW!$G1381="","",OHW!$A1381)</f>
        <v/>
      </c>
      <c r="F2428">
        <f>IF(OHW!$G1381="","",OHW!$B1381&amp;"")</f>
        <v/>
      </c>
      <c r="J2428">
        <f>IF(OHW!$G1381="","",OHW!$E1381)</f>
        <v/>
      </c>
      <c r="K2428">
        <f>IF(OHW!$G1381="","",COUNTIFS(OHW!$A$5:$A$1668,OHW!$A1381,OHW!$C$5:$C$1668,OHW!$C1381))</f>
        <v/>
      </c>
      <c r="L2428">
        <f>IF(OHW!$G1381="","",OHW!$D1381&amp;"")</f>
        <v/>
      </c>
      <c r="M2428">
        <f>IF(OHW!$G1381="","",OHW!$F1381)</f>
        <v/>
      </c>
      <c r="N2428">
        <f>IF(OHW!$G1381="","",OHW!$G1381)</f>
        <v/>
      </c>
      <c r="O2428">
        <f>IF(OHW!$G1381="","",OHW!$I1381)</f>
        <v/>
      </c>
      <c r="P2428">
        <f>IF(OHW!$G1381="","","Final")</f>
        <v/>
      </c>
    </row>
    <row r="2429">
      <c r="A2429">
        <f>IF(OHW!$G1382="","","OHW")</f>
        <v/>
      </c>
      <c r="B2429">
        <f>IF(OHW!$G1382="","","OHW")</f>
        <v/>
      </c>
      <c r="C2429" s="18">
        <f>IF(OHW!$G1382="","",OHW!$A1382)</f>
        <v/>
      </c>
      <c r="F2429">
        <f>IF(OHW!$G1382="","",OHW!$B1382&amp;"")</f>
        <v/>
      </c>
      <c r="J2429">
        <f>IF(OHW!$G1382="","",OHW!$E1382)</f>
        <v/>
      </c>
      <c r="K2429">
        <f>IF(OHW!$G1382="","",COUNTIFS(OHW!$A$5:$A$1668,OHW!$A1382,OHW!$C$5:$C$1668,OHW!$C1382))</f>
        <v/>
      </c>
      <c r="L2429">
        <f>IF(OHW!$G1382="","",OHW!$D1382&amp;"")</f>
        <v/>
      </c>
      <c r="M2429">
        <f>IF(OHW!$G1382="","",OHW!$F1382)</f>
        <v/>
      </c>
      <c r="N2429">
        <f>IF(OHW!$G1382="","",OHW!$G1382)</f>
        <v/>
      </c>
      <c r="O2429">
        <f>IF(OHW!$G1382="","",OHW!$I1382)</f>
        <v/>
      </c>
      <c r="P2429">
        <f>IF(OHW!$G1382="","","Final")</f>
        <v/>
      </c>
    </row>
    <row r="2430">
      <c r="A2430">
        <f>IF(OHW!$G1383="","","OHW")</f>
        <v/>
      </c>
      <c r="B2430">
        <f>IF(OHW!$G1383="","","OHW")</f>
        <v/>
      </c>
      <c r="C2430" s="18">
        <f>IF(OHW!$G1383="","",OHW!$A1383)</f>
        <v/>
      </c>
      <c r="F2430">
        <f>IF(OHW!$G1383="","",OHW!$B1383&amp;"")</f>
        <v/>
      </c>
      <c r="J2430">
        <f>IF(OHW!$G1383="","",OHW!$E1383)</f>
        <v/>
      </c>
      <c r="K2430">
        <f>IF(OHW!$G1383="","",COUNTIFS(OHW!$A$5:$A$1668,OHW!$A1383,OHW!$C$5:$C$1668,OHW!$C1383))</f>
        <v/>
      </c>
      <c r="L2430">
        <f>IF(OHW!$G1383="","",OHW!$D1383&amp;"")</f>
        <v/>
      </c>
      <c r="M2430">
        <f>IF(OHW!$G1383="","",OHW!$F1383)</f>
        <v/>
      </c>
      <c r="N2430">
        <f>IF(OHW!$G1383="","",OHW!$G1383)</f>
        <v/>
      </c>
      <c r="O2430">
        <f>IF(OHW!$G1383="","",OHW!$I1383)</f>
        <v/>
      </c>
      <c r="P2430">
        <f>IF(OHW!$G1383="","","Final")</f>
        <v/>
      </c>
    </row>
    <row r="2431">
      <c r="A2431">
        <f>IF(OHW!$G1384="","","OHW")</f>
        <v/>
      </c>
      <c r="B2431">
        <f>IF(OHW!$G1384="","","OHW")</f>
        <v/>
      </c>
      <c r="C2431" s="18">
        <f>IF(OHW!$G1384="","",OHW!$A1384)</f>
        <v/>
      </c>
      <c r="F2431">
        <f>IF(OHW!$G1384="","",OHW!$B1384&amp;"")</f>
        <v/>
      </c>
      <c r="J2431">
        <f>IF(OHW!$G1384="","",OHW!$E1384)</f>
        <v/>
      </c>
      <c r="K2431">
        <f>IF(OHW!$G1384="","",COUNTIFS(OHW!$A$5:$A$1668,OHW!$A1384,OHW!$C$5:$C$1668,OHW!$C1384))</f>
        <v/>
      </c>
      <c r="L2431">
        <f>IF(OHW!$G1384="","",OHW!$D1384&amp;"")</f>
        <v/>
      </c>
      <c r="M2431">
        <f>IF(OHW!$G1384="","",OHW!$F1384)</f>
        <v/>
      </c>
      <c r="N2431">
        <f>IF(OHW!$G1384="","",OHW!$G1384)</f>
        <v/>
      </c>
      <c r="O2431">
        <f>IF(OHW!$G1384="","",OHW!$I1384)</f>
        <v/>
      </c>
      <c r="P2431">
        <f>IF(OHW!$G1384="","","Final")</f>
        <v/>
      </c>
    </row>
    <row r="2432">
      <c r="A2432">
        <f>IF(OHW!$G1385="","","OHW")</f>
        <v/>
      </c>
      <c r="B2432">
        <f>IF(OHW!$G1385="","","OHW")</f>
        <v/>
      </c>
      <c r="C2432" s="18">
        <f>IF(OHW!$G1385="","",OHW!$A1385)</f>
        <v/>
      </c>
      <c r="F2432">
        <f>IF(OHW!$G1385="","",OHW!$B1385&amp;"")</f>
        <v/>
      </c>
      <c r="J2432">
        <f>IF(OHW!$G1385="","",OHW!$E1385)</f>
        <v/>
      </c>
      <c r="K2432">
        <f>IF(OHW!$G1385="","",COUNTIFS(OHW!$A$5:$A$1668,OHW!$A1385,OHW!$C$5:$C$1668,OHW!$C1385))</f>
        <v/>
      </c>
      <c r="L2432">
        <f>IF(OHW!$G1385="","",OHW!$D1385&amp;"")</f>
        <v/>
      </c>
      <c r="M2432">
        <f>IF(OHW!$G1385="","",OHW!$F1385)</f>
        <v/>
      </c>
      <c r="N2432">
        <f>IF(OHW!$G1385="","",OHW!$G1385)</f>
        <v/>
      </c>
      <c r="O2432">
        <f>IF(OHW!$G1385="","",OHW!$I1385)</f>
        <v/>
      </c>
      <c r="P2432">
        <f>IF(OHW!$G1385="","","Final")</f>
        <v/>
      </c>
    </row>
    <row r="2433">
      <c r="A2433">
        <f>IF(OHW!$G1386="","","OHW")</f>
        <v/>
      </c>
      <c r="B2433">
        <f>IF(OHW!$G1386="","","OHW")</f>
        <v/>
      </c>
      <c r="C2433" s="18">
        <f>IF(OHW!$G1386="","",OHW!$A1386)</f>
        <v/>
      </c>
      <c r="F2433">
        <f>IF(OHW!$G1386="","",OHW!$B1386&amp;"")</f>
        <v/>
      </c>
      <c r="J2433">
        <f>IF(OHW!$G1386="","",OHW!$E1386)</f>
        <v/>
      </c>
      <c r="K2433">
        <f>IF(OHW!$G1386="","",COUNTIFS(OHW!$A$5:$A$1668,OHW!$A1386,OHW!$C$5:$C$1668,OHW!$C1386))</f>
        <v/>
      </c>
      <c r="L2433">
        <f>IF(OHW!$G1386="","",OHW!$D1386&amp;"")</f>
        <v/>
      </c>
      <c r="M2433">
        <f>IF(OHW!$G1386="","",OHW!$F1386)</f>
        <v/>
      </c>
      <c r="N2433">
        <f>IF(OHW!$G1386="","",OHW!$G1386)</f>
        <v/>
      </c>
      <c r="O2433">
        <f>IF(OHW!$G1386="","",OHW!$I1386)</f>
        <v/>
      </c>
      <c r="P2433">
        <f>IF(OHW!$G1386="","","Final")</f>
        <v/>
      </c>
    </row>
    <row r="2434">
      <c r="A2434">
        <f>IF(OHW!$G1387="","","OHW")</f>
        <v/>
      </c>
      <c r="B2434">
        <f>IF(OHW!$G1387="","","OHW")</f>
        <v/>
      </c>
      <c r="C2434" s="18">
        <f>IF(OHW!$G1387="","",OHW!$A1387)</f>
        <v/>
      </c>
      <c r="F2434">
        <f>IF(OHW!$G1387="","",OHW!$B1387&amp;"")</f>
        <v/>
      </c>
      <c r="J2434">
        <f>IF(OHW!$G1387="","",OHW!$E1387)</f>
        <v/>
      </c>
      <c r="K2434">
        <f>IF(OHW!$G1387="","",COUNTIFS(OHW!$A$5:$A$1668,OHW!$A1387,OHW!$C$5:$C$1668,OHW!$C1387))</f>
        <v/>
      </c>
      <c r="L2434">
        <f>IF(OHW!$G1387="","",OHW!$D1387&amp;"")</f>
        <v/>
      </c>
      <c r="M2434">
        <f>IF(OHW!$G1387="","",OHW!$F1387)</f>
        <v/>
      </c>
      <c r="N2434">
        <f>IF(OHW!$G1387="","",OHW!$G1387)</f>
        <v/>
      </c>
      <c r="O2434">
        <f>IF(OHW!$G1387="","",OHW!$I1387)</f>
        <v/>
      </c>
      <c r="P2434">
        <f>IF(OHW!$G1387="","","Final")</f>
        <v/>
      </c>
    </row>
    <row r="2435">
      <c r="A2435">
        <f>IF(OHW!$G1388="","","OHW")</f>
        <v/>
      </c>
      <c r="B2435">
        <f>IF(OHW!$G1388="","","OHW")</f>
        <v/>
      </c>
      <c r="C2435" s="18">
        <f>IF(OHW!$G1388="","",OHW!$A1388)</f>
        <v/>
      </c>
      <c r="F2435">
        <f>IF(OHW!$G1388="","",OHW!$B1388&amp;"")</f>
        <v/>
      </c>
      <c r="J2435">
        <f>IF(OHW!$G1388="","",OHW!$E1388)</f>
        <v/>
      </c>
      <c r="K2435">
        <f>IF(OHW!$G1388="","",COUNTIFS(OHW!$A$5:$A$1668,OHW!$A1388,OHW!$C$5:$C$1668,OHW!$C1388))</f>
        <v/>
      </c>
      <c r="L2435">
        <f>IF(OHW!$G1388="","",OHW!$D1388&amp;"")</f>
        <v/>
      </c>
      <c r="M2435">
        <f>IF(OHW!$G1388="","",OHW!$F1388)</f>
        <v/>
      </c>
      <c r="N2435">
        <f>IF(OHW!$G1388="","",OHW!$G1388)</f>
        <v/>
      </c>
      <c r="O2435">
        <f>IF(OHW!$G1388="","",OHW!$I1388)</f>
        <v/>
      </c>
      <c r="P2435">
        <f>IF(OHW!$G1388="","","Final")</f>
        <v/>
      </c>
    </row>
    <row r="2436">
      <c r="A2436">
        <f>IF(OHW!$G1389="","","OHW")</f>
        <v/>
      </c>
      <c r="B2436">
        <f>IF(OHW!$G1389="","","OHW")</f>
        <v/>
      </c>
      <c r="C2436" s="18">
        <f>IF(OHW!$G1389="","",OHW!$A1389)</f>
        <v/>
      </c>
      <c r="F2436">
        <f>IF(OHW!$G1389="","",OHW!$B1389&amp;"")</f>
        <v/>
      </c>
      <c r="J2436">
        <f>IF(OHW!$G1389="","",OHW!$E1389)</f>
        <v/>
      </c>
      <c r="K2436">
        <f>IF(OHW!$G1389="","",COUNTIFS(OHW!$A$5:$A$1668,OHW!$A1389,OHW!$C$5:$C$1668,OHW!$C1389))</f>
        <v/>
      </c>
      <c r="L2436">
        <f>IF(OHW!$G1389="","",OHW!$D1389&amp;"")</f>
        <v/>
      </c>
      <c r="M2436">
        <f>IF(OHW!$G1389="","",OHW!$F1389)</f>
        <v/>
      </c>
      <c r="N2436">
        <f>IF(OHW!$G1389="","",OHW!$G1389)</f>
        <v/>
      </c>
      <c r="O2436">
        <f>IF(OHW!$G1389="","",OHW!$I1389)</f>
        <v/>
      </c>
      <c r="P2436">
        <f>IF(OHW!$G1389="","","Final")</f>
        <v/>
      </c>
    </row>
    <row r="2437">
      <c r="A2437">
        <f>IF(OHW!$G1390="","","OHW")</f>
        <v/>
      </c>
      <c r="B2437">
        <f>IF(OHW!$G1390="","","OHW")</f>
        <v/>
      </c>
      <c r="C2437" s="18">
        <f>IF(OHW!$G1390="","",OHW!$A1390)</f>
        <v/>
      </c>
      <c r="F2437">
        <f>IF(OHW!$G1390="","",OHW!$B1390&amp;"")</f>
        <v/>
      </c>
      <c r="J2437">
        <f>IF(OHW!$G1390="","",OHW!$E1390)</f>
        <v/>
      </c>
      <c r="K2437">
        <f>IF(OHW!$G1390="","",COUNTIFS(OHW!$A$5:$A$1668,OHW!$A1390,OHW!$C$5:$C$1668,OHW!$C1390))</f>
        <v/>
      </c>
      <c r="L2437">
        <f>IF(OHW!$G1390="","",OHW!$D1390&amp;"")</f>
        <v/>
      </c>
      <c r="M2437">
        <f>IF(OHW!$G1390="","",OHW!$F1390)</f>
        <v/>
      </c>
      <c r="N2437">
        <f>IF(OHW!$G1390="","",OHW!$G1390)</f>
        <v/>
      </c>
      <c r="O2437">
        <f>IF(OHW!$G1390="","",OHW!$I1390)</f>
        <v/>
      </c>
      <c r="P2437">
        <f>IF(OHW!$G1390="","","Final")</f>
        <v/>
      </c>
    </row>
    <row r="2438">
      <c r="A2438">
        <f>IF(OHW!$G1391="","","OHW")</f>
        <v/>
      </c>
      <c r="B2438">
        <f>IF(OHW!$G1391="","","OHW")</f>
        <v/>
      </c>
      <c r="C2438" s="18">
        <f>IF(OHW!$G1391="","",OHW!$A1391)</f>
        <v/>
      </c>
      <c r="F2438">
        <f>IF(OHW!$G1391="","",OHW!$B1391&amp;"")</f>
        <v/>
      </c>
      <c r="J2438">
        <f>IF(OHW!$G1391="","",OHW!$E1391)</f>
        <v/>
      </c>
      <c r="K2438">
        <f>IF(OHW!$G1391="","",COUNTIFS(OHW!$A$5:$A$1668,OHW!$A1391,OHW!$C$5:$C$1668,OHW!$C1391))</f>
        <v/>
      </c>
      <c r="L2438">
        <f>IF(OHW!$G1391="","",OHW!$D1391&amp;"")</f>
        <v/>
      </c>
      <c r="M2438">
        <f>IF(OHW!$G1391="","",OHW!$F1391)</f>
        <v/>
      </c>
      <c r="N2438">
        <f>IF(OHW!$G1391="","",OHW!$G1391)</f>
        <v/>
      </c>
      <c r="O2438">
        <f>IF(OHW!$G1391="","",OHW!$I1391)</f>
        <v/>
      </c>
      <c r="P2438">
        <f>IF(OHW!$G1391="","","Final")</f>
        <v/>
      </c>
    </row>
    <row r="2439">
      <c r="A2439">
        <f>IF(OHW!$G1392="","","OHW")</f>
        <v/>
      </c>
      <c r="B2439">
        <f>IF(OHW!$G1392="","","OHW")</f>
        <v/>
      </c>
      <c r="C2439" s="18">
        <f>IF(OHW!$G1392="","",OHW!$A1392)</f>
        <v/>
      </c>
      <c r="F2439">
        <f>IF(OHW!$G1392="","",OHW!$B1392&amp;"")</f>
        <v/>
      </c>
      <c r="J2439">
        <f>IF(OHW!$G1392="","",OHW!$E1392)</f>
        <v/>
      </c>
      <c r="K2439">
        <f>IF(OHW!$G1392="","",COUNTIFS(OHW!$A$5:$A$1668,OHW!$A1392,OHW!$C$5:$C$1668,OHW!$C1392))</f>
        <v/>
      </c>
      <c r="L2439">
        <f>IF(OHW!$G1392="","",OHW!$D1392&amp;"")</f>
        <v/>
      </c>
      <c r="M2439">
        <f>IF(OHW!$G1392="","",OHW!$F1392)</f>
        <v/>
      </c>
      <c r="N2439">
        <f>IF(OHW!$G1392="","",OHW!$G1392)</f>
        <v/>
      </c>
      <c r="O2439">
        <f>IF(OHW!$G1392="","",OHW!$I1392)</f>
        <v/>
      </c>
      <c r="P2439">
        <f>IF(OHW!$G1392="","","Final")</f>
        <v/>
      </c>
    </row>
    <row r="2440">
      <c r="A2440">
        <f>IF(OHW!$G1393="","","OHW")</f>
        <v/>
      </c>
      <c r="B2440">
        <f>IF(OHW!$G1393="","","OHW")</f>
        <v/>
      </c>
      <c r="C2440" s="18">
        <f>IF(OHW!$G1393="","",OHW!$A1393)</f>
        <v/>
      </c>
      <c r="F2440">
        <f>IF(OHW!$G1393="","",OHW!$B1393&amp;"")</f>
        <v/>
      </c>
      <c r="J2440">
        <f>IF(OHW!$G1393="","",OHW!$E1393)</f>
        <v/>
      </c>
      <c r="K2440">
        <f>IF(OHW!$G1393="","",COUNTIFS(OHW!$A$5:$A$1668,OHW!$A1393,OHW!$C$5:$C$1668,OHW!$C1393))</f>
        <v/>
      </c>
      <c r="L2440">
        <f>IF(OHW!$G1393="","",OHW!$D1393&amp;"")</f>
        <v/>
      </c>
      <c r="M2440">
        <f>IF(OHW!$G1393="","",OHW!$F1393)</f>
        <v/>
      </c>
      <c r="N2440">
        <f>IF(OHW!$G1393="","",OHW!$G1393)</f>
        <v/>
      </c>
      <c r="O2440">
        <f>IF(OHW!$G1393="","",OHW!$I1393)</f>
        <v/>
      </c>
      <c r="P2440">
        <f>IF(OHW!$G1393="","","Final")</f>
        <v/>
      </c>
    </row>
    <row r="2441">
      <c r="A2441">
        <f>IF(OHW!$G1394="","","OHW")</f>
        <v/>
      </c>
      <c r="B2441">
        <f>IF(OHW!$G1394="","","OHW")</f>
        <v/>
      </c>
      <c r="C2441" s="18">
        <f>IF(OHW!$G1394="","",OHW!$A1394)</f>
        <v/>
      </c>
      <c r="F2441">
        <f>IF(OHW!$G1394="","",OHW!$B1394&amp;"")</f>
        <v/>
      </c>
      <c r="J2441">
        <f>IF(OHW!$G1394="","",OHW!$E1394)</f>
        <v/>
      </c>
      <c r="K2441">
        <f>IF(OHW!$G1394="","",COUNTIFS(OHW!$A$5:$A$1668,OHW!$A1394,OHW!$C$5:$C$1668,OHW!$C1394))</f>
        <v/>
      </c>
      <c r="L2441">
        <f>IF(OHW!$G1394="","",OHW!$D1394&amp;"")</f>
        <v/>
      </c>
      <c r="M2441">
        <f>IF(OHW!$G1394="","",OHW!$F1394)</f>
        <v/>
      </c>
      <c r="N2441">
        <f>IF(OHW!$G1394="","",OHW!$G1394)</f>
        <v/>
      </c>
      <c r="O2441">
        <f>IF(OHW!$G1394="","",OHW!$I1394)</f>
        <v/>
      </c>
      <c r="P2441">
        <f>IF(OHW!$G1394="","","Final")</f>
        <v/>
      </c>
    </row>
    <row r="2442">
      <c r="A2442">
        <f>IF(OHW!$G1395="","","OHW")</f>
        <v/>
      </c>
      <c r="B2442">
        <f>IF(OHW!$G1395="","","OHW")</f>
        <v/>
      </c>
      <c r="C2442" s="18">
        <f>IF(OHW!$G1395="","",OHW!$A1395)</f>
        <v/>
      </c>
      <c r="F2442">
        <f>IF(OHW!$G1395="","",OHW!$B1395&amp;"")</f>
        <v/>
      </c>
      <c r="J2442">
        <f>IF(OHW!$G1395="","",OHW!$E1395)</f>
        <v/>
      </c>
      <c r="K2442">
        <f>IF(OHW!$G1395="","",COUNTIFS(OHW!$A$5:$A$1668,OHW!$A1395,OHW!$C$5:$C$1668,OHW!$C1395))</f>
        <v/>
      </c>
      <c r="L2442">
        <f>IF(OHW!$G1395="","",OHW!$D1395&amp;"")</f>
        <v/>
      </c>
      <c r="M2442">
        <f>IF(OHW!$G1395="","",OHW!$F1395)</f>
        <v/>
      </c>
      <c r="N2442">
        <f>IF(OHW!$G1395="","",OHW!$G1395)</f>
        <v/>
      </c>
      <c r="O2442">
        <f>IF(OHW!$G1395="","",OHW!$I1395)</f>
        <v/>
      </c>
      <c r="P2442">
        <f>IF(OHW!$G1395="","","Final")</f>
        <v/>
      </c>
    </row>
    <row r="2443">
      <c r="A2443">
        <f>IF(OHW!$G1396="","","OHW")</f>
        <v/>
      </c>
      <c r="B2443">
        <f>IF(OHW!$G1396="","","OHW")</f>
        <v/>
      </c>
      <c r="C2443" s="18">
        <f>IF(OHW!$G1396="","",OHW!$A1396)</f>
        <v/>
      </c>
      <c r="F2443">
        <f>IF(OHW!$G1396="","",OHW!$B1396&amp;"")</f>
        <v/>
      </c>
      <c r="J2443">
        <f>IF(OHW!$G1396="","",OHW!$E1396)</f>
        <v/>
      </c>
      <c r="K2443">
        <f>IF(OHW!$G1396="","",COUNTIFS(OHW!$A$5:$A$1668,OHW!$A1396,OHW!$C$5:$C$1668,OHW!$C1396))</f>
        <v/>
      </c>
      <c r="L2443">
        <f>IF(OHW!$G1396="","",OHW!$D1396&amp;"")</f>
        <v/>
      </c>
      <c r="M2443">
        <f>IF(OHW!$G1396="","",OHW!$F1396)</f>
        <v/>
      </c>
      <c r="N2443">
        <f>IF(OHW!$G1396="","",OHW!$G1396)</f>
        <v/>
      </c>
      <c r="O2443">
        <f>IF(OHW!$G1396="","",OHW!$I1396)</f>
        <v/>
      </c>
      <c r="P2443">
        <f>IF(OHW!$G1396="","","Final")</f>
        <v/>
      </c>
    </row>
    <row r="2444">
      <c r="A2444">
        <f>IF(OHW!$G1397="","","OHW")</f>
        <v/>
      </c>
      <c r="B2444">
        <f>IF(OHW!$G1397="","","OHW")</f>
        <v/>
      </c>
      <c r="C2444" s="18">
        <f>IF(OHW!$G1397="","",OHW!$A1397)</f>
        <v/>
      </c>
      <c r="F2444">
        <f>IF(OHW!$G1397="","",OHW!$B1397&amp;"")</f>
        <v/>
      </c>
      <c r="J2444">
        <f>IF(OHW!$G1397="","",OHW!$E1397)</f>
        <v/>
      </c>
      <c r="K2444">
        <f>IF(OHW!$G1397="","",COUNTIFS(OHW!$A$5:$A$1668,OHW!$A1397,OHW!$C$5:$C$1668,OHW!$C1397))</f>
        <v/>
      </c>
      <c r="L2444">
        <f>IF(OHW!$G1397="","",OHW!$D1397&amp;"")</f>
        <v/>
      </c>
      <c r="M2444">
        <f>IF(OHW!$G1397="","",OHW!$F1397)</f>
        <v/>
      </c>
      <c r="N2444">
        <f>IF(OHW!$G1397="","",OHW!$G1397)</f>
        <v/>
      </c>
      <c r="O2444">
        <f>IF(OHW!$G1397="","",OHW!$I1397)</f>
        <v/>
      </c>
      <c r="P2444">
        <f>IF(OHW!$G1397="","","Final")</f>
        <v/>
      </c>
    </row>
    <row r="2445">
      <c r="A2445">
        <f>IF(OHW!$G1398="","","OHW")</f>
        <v/>
      </c>
      <c r="B2445">
        <f>IF(OHW!$G1398="","","OHW")</f>
        <v/>
      </c>
      <c r="C2445" s="18">
        <f>IF(OHW!$G1398="","",OHW!$A1398)</f>
        <v/>
      </c>
      <c r="F2445">
        <f>IF(OHW!$G1398="","",OHW!$B1398&amp;"")</f>
        <v/>
      </c>
      <c r="J2445">
        <f>IF(OHW!$G1398="","",OHW!$E1398)</f>
        <v/>
      </c>
      <c r="K2445">
        <f>IF(OHW!$G1398="","",COUNTIFS(OHW!$A$5:$A$1668,OHW!$A1398,OHW!$C$5:$C$1668,OHW!$C1398))</f>
        <v/>
      </c>
      <c r="L2445">
        <f>IF(OHW!$G1398="","",OHW!$D1398&amp;"")</f>
        <v/>
      </c>
      <c r="M2445">
        <f>IF(OHW!$G1398="","",OHW!$F1398)</f>
        <v/>
      </c>
      <c r="N2445">
        <f>IF(OHW!$G1398="","",OHW!$G1398)</f>
        <v/>
      </c>
      <c r="O2445">
        <f>IF(OHW!$G1398="","",OHW!$I1398)</f>
        <v/>
      </c>
      <c r="P2445">
        <f>IF(OHW!$G1398="","","Final")</f>
        <v/>
      </c>
    </row>
    <row r="2446">
      <c r="A2446">
        <f>IF(OHW!$G1399="","","OHW")</f>
        <v/>
      </c>
      <c r="B2446">
        <f>IF(OHW!$G1399="","","OHW")</f>
        <v/>
      </c>
      <c r="C2446" s="18">
        <f>IF(OHW!$G1399="","",OHW!$A1399)</f>
        <v/>
      </c>
      <c r="F2446">
        <f>IF(OHW!$G1399="","",OHW!$B1399&amp;"")</f>
        <v/>
      </c>
      <c r="J2446">
        <f>IF(OHW!$G1399="","",OHW!$E1399)</f>
        <v/>
      </c>
      <c r="K2446">
        <f>IF(OHW!$G1399="","",COUNTIFS(OHW!$A$5:$A$1668,OHW!$A1399,OHW!$C$5:$C$1668,OHW!$C1399))</f>
        <v/>
      </c>
      <c r="L2446">
        <f>IF(OHW!$G1399="","",OHW!$D1399&amp;"")</f>
        <v/>
      </c>
      <c r="M2446">
        <f>IF(OHW!$G1399="","",OHW!$F1399)</f>
        <v/>
      </c>
      <c r="N2446">
        <f>IF(OHW!$G1399="","",OHW!$G1399)</f>
        <v/>
      </c>
      <c r="O2446">
        <f>IF(OHW!$G1399="","",OHW!$I1399)</f>
        <v/>
      </c>
      <c r="P2446">
        <f>IF(OHW!$G1399="","","Final")</f>
        <v/>
      </c>
    </row>
    <row r="2447">
      <c r="A2447">
        <f>IF(OHW!$G1400="","","OHW")</f>
        <v/>
      </c>
      <c r="B2447">
        <f>IF(OHW!$G1400="","","OHW")</f>
        <v/>
      </c>
      <c r="C2447" s="18">
        <f>IF(OHW!$G1400="","",OHW!$A1400)</f>
        <v/>
      </c>
      <c r="F2447">
        <f>IF(OHW!$G1400="","",OHW!$B1400&amp;"")</f>
        <v/>
      </c>
      <c r="J2447">
        <f>IF(OHW!$G1400="","",OHW!$E1400)</f>
        <v/>
      </c>
      <c r="K2447">
        <f>IF(OHW!$G1400="","",COUNTIFS(OHW!$A$5:$A$1668,OHW!$A1400,OHW!$C$5:$C$1668,OHW!$C1400))</f>
        <v/>
      </c>
      <c r="L2447">
        <f>IF(OHW!$G1400="","",OHW!$D1400&amp;"")</f>
        <v/>
      </c>
      <c r="M2447">
        <f>IF(OHW!$G1400="","",OHW!$F1400)</f>
        <v/>
      </c>
      <c r="N2447">
        <f>IF(OHW!$G1400="","",OHW!$G1400)</f>
        <v/>
      </c>
      <c r="O2447">
        <f>IF(OHW!$G1400="","",OHW!$I1400)</f>
        <v/>
      </c>
      <c r="P2447">
        <f>IF(OHW!$G1400="","","Final")</f>
        <v/>
      </c>
    </row>
    <row r="2448">
      <c r="A2448">
        <f>IF(OHW!$G1401="","","OHW")</f>
        <v/>
      </c>
      <c r="B2448">
        <f>IF(OHW!$G1401="","","OHW")</f>
        <v/>
      </c>
      <c r="C2448" s="18">
        <f>IF(OHW!$G1401="","",OHW!$A1401)</f>
        <v/>
      </c>
      <c r="F2448">
        <f>IF(OHW!$G1401="","",OHW!$B1401&amp;"")</f>
        <v/>
      </c>
      <c r="J2448">
        <f>IF(OHW!$G1401="","",OHW!$E1401)</f>
        <v/>
      </c>
      <c r="K2448">
        <f>IF(OHW!$G1401="","",COUNTIFS(OHW!$A$5:$A$1668,OHW!$A1401,OHW!$C$5:$C$1668,OHW!$C1401))</f>
        <v/>
      </c>
      <c r="L2448">
        <f>IF(OHW!$G1401="","",OHW!$D1401&amp;"")</f>
        <v/>
      </c>
      <c r="M2448">
        <f>IF(OHW!$G1401="","",OHW!$F1401)</f>
        <v/>
      </c>
      <c r="N2448">
        <f>IF(OHW!$G1401="","",OHW!$G1401)</f>
        <v/>
      </c>
      <c r="O2448">
        <f>IF(OHW!$G1401="","",OHW!$I1401)</f>
        <v/>
      </c>
      <c r="P2448">
        <f>IF(OHW!$G1401="","","Final")</f>
        <v/>
      </c>
    </row>
    <row r="2449">
      <c r="A2449">
        <f>IF(OHW!$G1402="","","OHW")</f>
        <v/>
      </c>
      <c r="B2449">
        <f>IF(OHW!$G1402="","","OHW")</f>
        <v/>
      </c>
      <c r="C2449" s="18">
        <f>IF(OHW!$G1402="","",OHW!$A1402)</f>
        <v/>
      </c>
      <c r="F2449">
        <f>IF(OHW!$G1402="","",OHW!$B1402&amp;"")</f>
        <v/>
      </c>
      <c r="J2449">
        <f>IF(OHW!$G1402="","",OHW!$E1402)</f>
        <v/>
      </c>
      <c r="K2449">
        <f>IF(OHW!$G1402="","",COUNTIFS(OHW!$A$5:$A$1668,OHW!$A1402,OHW!$C$5:$C$1668,OHW!$C1402))</f>
        <v/>
      </c>
      <c r="L2449">
        <f>IF(OHW!$G1402="","",OHW!$D1402&amp;"")</f>
        <v/>
      </c>
      <c r="M2449">
        <f>IF(OHW!$G1402="","",OHW!$F1402)</f>
        <v/>
      </c>
      <c r="N2449">
        <f>IF(OHW!$G1402="","",OHW!$G1402)</f>
        <v/>
      </c>
      <c r="O2449">
        <f>IF(OHW!$G1402="","",OHW!$I1402)</f>
        <v/>
      </c>
      <c r="P2449">
        <f>IF(OHW!$G1402="","","Final")</f>
        <v/>
      </c>
    </row>
    <row r="2450">
      <c r="A2450">
        <f>IF(OHW!$G1403="","","OHW")</f>
        <v/>
      </c>
      <c r="B2450">
        <f>IF(OHW!$G1403="","","OHW")</f>
        <v/>
      </c>
      <c r="C2450" s="18">
        <f>IF(OHW!$G1403="","",OHW!$A1403)</f>
        <v/>
      </c>
      <c r="F2450">
        <f>IF(OHW!$G1403="","",OHW!$B1403&amp;"")</f>
        <v/>
      </c>
      <c r="J2450">
        <f>IF(OHW!$G1403="","",OHW!$E1403)</f>
        <v/>
      </c>
      <c r="K2450">
        <f>IF(OHW!$G1403="","",COUNTIFS(OHW!$A$5:$A$1668,OHW!$A1403,OHW!$C$5:$C$1668,OHW!$C1403))</f>
        <v/>
      </c>
      <c r="L2450">
        <f>IF(OHW!$G1403="","",OHW!$D1403&amp;"")</f>
        <v/>
      </c>
      <c r="M2450">
        <f>IF(OHW!$G1403="","",OHW!$F1403)</f>
        <v/>
      </c>
      <c r="N2450">
        <f>IF(OHW!$G1403="","",OHW!$G1403)</f>
        <v/>
      </c>
      <c r="O2450">
        <f>IF(OHW!$G1403="","",OHW!$I1403)</f>
        <v/>
      </c>
      <c r="P2450">
        <f>IF(OHW!$G1403="","","Final")</f>
        <v/>
      </c>
    </row>
    <row r="2451">
      <c r="A2451">
        <f>IF(OHW!$G1404="","","OHW")</f>
        <v/>
      </c>
      <c r="B2451">
        <f>IF(OHW!$G1404="","","OHW")</f>
        <v/>
      </c>
      <c r="C2451" s="18">
        <f>IF(OHW!$G1404="","",OHW!$A1404)</f>
        <v/>
      </c>
      <c r="F2451">
        <f>IF(OHW!$G1404="","",OHW!$B1404&amp;"")</f>
        <v/>
      </c>
      <c r="J2451">
        <f>IF(OHW!$G1404="","",OHW!$E1404)</f>
        <v/>
      </c>
      <c r="K2451">
        <f>IF(OHW!$G1404="","",COUNTIFS(OHW!$A$5:$A$1668,OHW!$A1404,OHW!$C$5:$C$1668,OHW!$C1404))</f>
        <v/>
      </c>
      <c r="L2451">
        <f>IF(OHW!$G1404="","",OHW!$D1404&amp;"")</f>
        <v/>
      </c>
      <c r="M2451">
        <f>IF(OHW!$G1404="","",OHW!$F1404)</f>
        <v/>
      </c>
      <c r="N2451">
        <f>IF(OHW!$G1404="","",OHW!$G1404)</f>
        <v/>
      </c>
      <c r="O2451">
        <f>IF(OHW!$G1404="","",OHW!$I1404)</f>
        <v/>
      </c>
      <c r="P2451">
        <f>IF(OHW!$G1404="","","Final")</f>
        <v/>
      </c>
    </row>
    <row r="2452">
      <c r="A2452">
        <f>IF(OHW!$G1405="","","OHW")</f>
        <v/>
      </c>
      <c r="B2452">
        <f>IF(OHW!$G1405="","","OHW")</f>
        <v/>
      </c>
      <c r="C2452" s="18">
        <f>IF(OHW!$G1405="","",OHW!$A1405)</f>
        <v/>
      </c>
      <c r="F2452">
        <f>IF(OHW!$G1405="","",OHW!$B1405&amp;"")</f>
        <v/>
      </c>
      <c r="J2452">
        <f>IF(OHW!$G1405="","",OHW!$E1405)</f>
        <v/>
      </c>
      <c r="K2452">
        <f>IF(OHW!$G1405="","",COUNTIFS(OHW!$A$5:$A$1668,OHW!$A1405,OHW!$C$5:$C$1668,OHW!$C1405))</f>
        <v/>
      </c>
      <c r="L2452">
        <f>IF(OHW!$G1405="","",OHW!$D1405&amp;"")</f>
        <v/>
      </c>
      <c r="M2452">
        <f>IF(OHW!$G1405="","",OHW!$F1405)</f>
        <v/>
      </c>
      <c r="N2452">
        <f>IF(OHW!$G1405="","",OHW!$G1405)</f>
        <v/>
      </c>
      <c r="O2452">
        <f>IF(OHW!$G1405="","",OHW!$I1405)</f>
        <v/>
      </c>
      <c r="P2452">
        <f>IF(OHW!$G1405="","","Final")</f>
        <v/>
      </c>
    </row>
    <row r="2453">
      <c r="A2453">
        <f>IF(OHW!$G1406="","","OHW")</f>
        <v/>
      </c>
      <c r="B2453">
        <f>IF(OHW!$G1406="","","OHW")</f>
        <v/>
      </c>
      <c r="C2453" s="18">
        <f>IF(OHW!$G1406="","",OHW!$A1406)</f>
        <v/>
      </c>
      <c r="F2453">
        <f>IF(OHW!$G1406="","",OHW!$B1406&amp;"")</f>
        <v/>
      </c>
      <c r="J2453">
        <f>IF(OHW!$G1406="","",OHW!$E1406)</f>
        <v/>
      </c>
      <c r="K2453">
        <f>IF(OHW!$G1406="","",COUNTIFS(OHW!$A$5:$A$1668,OHW!$A1406,OHW!$C$5:$C$1668,OHW!$C1406))</f>
        <v/>
      </c>
      <c r="L2453">
        <f>IF(OHW!$G1406="","",OHW!$D1406&amp;"")</f>
        <v/>
      </c>
      <c r="M2453">
        <f>IF(OHW!$G1406="","",OHW!$F1406)</f>
        <v/>
      </c>
      <c r="N2453">
        <f>IF(OHW!$G1406="","",OHW!$G1406)</f>
        <v/>
      </c>
      <c r="O2453">
        <f>IF(OHW!$G1406="","",OHW!$I1406)</f>
        <v/>
      </c>
      <c r="P2453">
        <f>IF(OHW!$G1406="","","Final")</f>
        <v/>
      </c>
    </row>
    <row r="2454">
      <c r="A2454">
        <f>IF(OHW!$G1407="","","OHW")</f>
        <v/>
      </c>
      <c r="B2454">
        <f>IF(OHW!$G1407="","","OHW")</f>
        <v/>
      </c>
      <c r="C2454" s="18">
        <f>IF(OHW!$G1407="","",OHW!$A1407)</f>
        <v/>
      </c>
      <c r="F2454">
        <f>IF(OHW!$G1407="","",OHW!$B1407&amp;"")</f>
        <v/>
      </c>
      <c r="J2454">
        <f>IF(OHW!$G1407="","",OHW!$E1407)</f>
        <v/>
      </c>
      <c r="K2454">
        <f>IF(OHW!$G1407="","",COUNTIFS(OHW!$A$5:$A$1668,OHW!$A1407,OHW!$C$5:$C$1668,OHW!$C1407))</f>
        <v/>
      </c>
      <c r="L2454">
        <f>IF(OHW!$G1407="","",OHW!$D1407&amp;"")</f>
        <v/>
      </c>
      <c r="M2454">
        <f>IF(OHW!$G1407="","",OHW!$F1407)</f>
        <v/>
      </c>
      <c r="N2454">
        <f>IF(OHW!$G1407="","",OHW!$G1407)</f>
        <v/>
      </c>
      <c r="O2454">
        <f>IF(OHW!$G1407="","",OHW!$I1407)</f>
        <v/>
      </c>
      <c r="P2454">
        <f>IF(OHW!$G1407="","","Final")</f>
        <v/>
      </c>
    </row>
    <row r="2455">
      <c r="A2455">
        <f>IF(OHW!$G1408="","","OHW")</f>
        <v/>
      </c>
      <c r="B2455">
        <f>IF(OHW!$G1408="","","OHW")</f>
        <v/>
      </c>
      <c r="C2455" s="18">
        <f>IF(OHW!$G1408="","",OHW!$A1408)</f>
        <v/>
      </c>
      <c r="F2455">
        <f>IF(OHW!$G1408="","",OHW!$B1408&amp;"")</f>
        <v/>
      </c>
      <c r="J2455">
        <f>IF(OHW!$G1408="","",OHW!$E1408)</f>
        <v/>
      </c>
      <c r="K2455">
        <f>IF(OHW!$G1408="","",COUNTIFS(OHW!$A$5:$A$1668,OHW!$A1408,OHW!$C$5:$C$1668,OHW!$C1408))</f>
        <v/>
      </c>
      <c r="L2455">
        <f>IF(OHW!$G1408="","",OHW!$D1408&amp;"")</f>
        <v/>
      </c>
      <c r="M2455">
        <f>IF(OHW!$G1408="","",OHW!$F1408)</f>
        <v/>
      </c>
      <c r="N2455">
        <f>IF(OHW!$G1408="","",OHW!$G1408)</f>
        <v/>
      </c>
      <c r="O2455">
        <f>IF(OHW!$G1408="","",OHW!$I1408)</f>
        <v/>
      </c>
      <c r="P2455">
        <f>IF(OHW!$G1408="","","Final")</f>
        <v/>
      </c>
    </row>
    <row r="2456">
      <c r="A2456">
        <f>IF(OHW!$G1409="","","OHW")</f>
        <v/>
      </c>
      <c r="B2456">
        <f>IF(OHW!$G1409="","","OHW")</f>
        <v/>
      </c>
      <c r="C2456" s="18">
        <f>IF(OHW!$G1409="","",OHW!$A1409)</f>
        <v/>
      </c>
      <c r="F2456">
        <f>IF(OHW!$G1409="","",OHW!$B1409&amp;"")</f>
        <v/>
      </c>
      <c r="J2456">
        <f>IF(OHW!$G1409="","",OHW!$E1409)</f>
        <v/>
      </c>
      <c r="K2456">
        <f>IF(OHW!$G1409="","",COUNTIFS(OHW!$A$5:$A$1668,OHW!$A1409,OHW!$C$5:$C$1668,OHW!$C1409))</f>
        <v/>
      </c>
      <c r="L2456">
        <f>IF(OHW!$G1409="","",OHW!$D1409&amp;"")</f>
        <v/>
      </c>
      <c r="M2456">
        <f>IF(OHW!$G1409="","",OHW!$F1409)</f>
        <v/>
      </c>
      <c r="N2456">
        <f>IF(OHW!$G1409="","",OHW!$G1409)</f>
        <v/>
      </c>
      <c r="O2456">
        <f>IF(OHW!$G1409="","",OHW!$I1409)</f>
        <v/>
      </c>
      <c r="P2456">
        <f>IF(OHW!$G1409="","","Final")</f>
        <v/>
      </c>
    </row>
    <row r="2457">
      <c r="A2457">
        <f>IF(OHW!$G1410="","","OHW")</f>
        <v/>
      </c>
      <c r="B2457">
        <f>IF(OHW!$G1410="","","OHW")</f>
        <v/>
      </c>
      <c r="C2457" s="18">
        <f>IF(OHW!$G1410="","",OHW!$A1410)</f>
        <v/>
      </c>
      <c r="F2457">
        <f>IF(OHW!$G1410="","",OHW!$B1410&amp;"")</f>
        <v/>
      </c>
      <c r="J2457">
        <f>IF(OHW!$G1410="","",OHW!$E1410)</f>
        <v/>
      </c>
      <c r="K2457">
        <f>IF(OHW!$G1410="","",COUNTIFS(OHW!$A$5:$A$1668,OHW!$A1410,OHW!$C$5:$C$1668,OHW!$C1410))</f>
        <v/>
      </c>
      <c r="L2457">
        <f>IF(OHW!$G1410="","",OHW!$D1410&amp;"")</f>
        <v/>
      </c>
      <c r="M2457">
        <f>IF(OHW!$G1410="","",OHW!$F1410)</f>
        <v/>
      </c>
      <c r="N2457">
        <f>IF(OHW!$G1410="","",OHW!$G1410)</f>
        <v/>
      </c>
      <c r="O2457">
        <f>IF(OHW!$G1410="","",OHW!$I1410)</f>
        <v/>
      </c>
      <c r="P2457">
        <f>IF(OHW!$G1410="","","Final")</f>
        <v/>
      </c>
    </row>
    <row r="2458">
      <c r="A2458">
        <f>IF(OHW!$G1411="","","OHW")</f>
        <v/>
      </c>
      <c r="B2458">
        <f>IF(OHW!$G1411="","","OHW")</f>
        <v/>
      </c>
      <c r="C2458" s="18">
        <f>IF(OHW!$G1411="","",OHW!$A1411)</f>
        <v/>
      </c>
      <c r="F2458">
        <f>IF(OHW!$G1411="","",OHW!$B1411&amp;"")</f>
        <v/>
      </c>
      <c r="J2458">
        <f>IF(OHW!$G1411="","",OHW!$E1411)</f>
        <v/>
      </c>
      <c r="K2458">
        <f>IF(OHW!$G1411="","",COUNTIFS(OHW!$A$5:$A$1668,OHW!$A1411,OHW!$C$5:$C$1668,OHW!$C1411))</f>
        <v/>
      </c>
      <c r="L2458">
        <f>IF(OHW!$G1411="","",OHW!$D1411&amp;"")</f>
        <v/>
      </c>
      <c r="M2458">
        <f>IF(OHW!$G1411="","",OHW!$F1411)</f>
        <v/>
      </c>
      <c r="N2458">
        <f>IF(OHW!$G1411="","",OHW!$G1411)</f>
        <v/>
      </c>
      <c r="O2458">
        <f>IF(OHW!$G1411="","",OHW!$I1411)</f>
        <v/>
      </c>
      <c r="P2458">
        <f>IF(OHW!$G1411="","","Final")</f>
        <v/>
      </c>
    </row>
    <row r="2459">
      <c r="A2459">
        <f>IF(OHW!$G1412="","","OHW")</f>
        <v/>
      </c>
      <c r="B2459">
        <f>IF(OHW!$G1412="","","OHW")</f>
        <v/>
      </c>
      <c r="C2459" s="18">
        <f>IF(OHW!$G1412="","",OHW!$A1412)</f>
        <v/>
      </c>
      <c r="F2459">
        <f>IF(OHW!$G1412="","",OHW!$B1412&amp;"")</f>
        <v/>
      </c>
      <c r="J2459">
        <f>IF(OHW!$G1412="","",OHW!$E1412)</f>
        <v/>
      </c>
      <c r="K2459">
        <f>IF(OHW!$G1412="","",COUNTIFS(OHW!$A$5:$A$1668,OHW!$A1412,OHW!$C$5:$C$1668,OHW!$C1412))</f>
        <v/>
      </c>
      <c r="L2459">
        <f>IF(OHW!$G1412="","",OHW!$D1412&amp;"")</f>
        <v/>
      </c>
      <c r="M2459">
        <f>IF(OHW!$G1412="","",OHW!$F1412)</f>
        <v/>
      </c>
      <c r="N2459">
        <f>IF(OHW!$G1412="","",OHW!$G1412)</f>
        <v/>
      </c>
      <c r="O2459">
        <f>IF(OHW!$G1412="","",OHW!$I1412)</f>
        <v/>
      </c>
      <c r="P2459">
        <f>IF(OHW!$G1412="","","Final")</f>
        <v/>
      </c>
    </row>
    <row r="2460">
      <c r="A2460">
        <f>IF(OHW!$G1413="","","OHW")</f>
        <v/>
      </c>
      <c r="B2460">
        <f>IF(OHW!$G1413="","","OHW")</f>
        <v/>
      </c>
      <c r="C2460" s="18">
        <f>IF(OHW!$G1413="","",OHW!$A1413)</f>
        <v/>
      </c>
      <c r="F2460">
        <f>IF(OHW!$G1413="","",OHW!$B1413&amp;"")</f>
        <v/>
      </c>
      <c r="J2460">
        <f>IF(OHW!$G1413="","",OHW!$E1413)</f>
        <v/>
      </c>
      <c r="K2460">
        <f>IF(OHW!$G1413="","",COUNTIFS(OHW!$A$5:$A$1668,OHW!$A1413,OHW!$C$5:$C$1668,OHW!$C1413))</f>
        <v/>
      </c>
      <c r="L2460">
        <f>IF(OHW!$G1413="","",OHW!$D1413&amp;"")</f>
        <v/>
      </c>
      <c r="M2460">
        <f>IF(OHW!$G1413="","",OHW!$F1413)</f>
        <v/>
      </c>
      <c r="N2460">
        <f>IF(OHW!$G1413="","",OHW!$G1413)</f>
        <v/>
      </c>
      <c r="O2460">
        <f>IF(OHW!$G1413="","",OHW!$I1413)</f>
        <v/>
      </c>
      <c r="P2460">
        <f>IF(OHW!$G1413="","","Final")</f>
        <v/>
      </c>
    </row>
    <row r="2461">
      <c r="A2461">
        <f>IF(OHW!$G1414="","","OHW")</f>
        <v/>
      </c>
      <c r="B2461">
        <f>IF(OHW!$G1414="","","OHW")</f>
        <v/>
      </c>
      <c r="C2461" s="18">
        <f>IF(OHW!$G1414="","",OHW!$A1414)</f>
        <v/>
      </c>
      <c r="F2461">
        <f>IF(OHW!$G1414="","",OHW!$B1414&amp;"")</f>
        <v/>
      </c>
      <c r="J2461">
        <f>IF(OHW!$G1414="","",OHW!$E1414)</f>
        <v/>
      </c>
      <c r="K2461">
        <f>IF(OHW!$G1414="","",COUNTIFS(OHW!$A$5:$A$1668,OHW!$A1414,OHW!$C$5:$C$1668,OHW!$C1414))</f>
        <v/>
      </c>
      <c r="L2461">
        <f>IF(OHW!$G1414="","",OHW!$D1414&amp;"")</f>
        <v/>
      </c>
      <c r="M2461">
        <f>IF(OHW!$G1414="","",OHW!$F1414)</f>
        <v/>
      </c>
      <c r="N2461">
        <f>IF(OHW!$G1414="","",OHW!$G1414)</f>
        <v/>
      </c>
      <c r="O2461">
        <f>IF(OHW!$G1414="","",OHW!$I1414)</f>
        <v/>
      </c>
      <c r="P2461">
        <f>IF(OHW!$G1414="","","Final")</f>
        <v/>
      </c>
    </row>
    <row r="2462">
      <c r="A2462">
        <f>IF(OHW!$G1415="","","OHW")</f>
        <v/>
      </c>
      <c r="B2462">
        <f>IF(OHW!$G1415="","","OHW")</f>
        <v/>
      </c>
      <c r="C2462" s="18">
        <f>IF(OHW!$G1415="","",OHW!$A1415)</f>
        <v/>
      </c>
      <c r="F2462">
        <f>IF(OHW!$G1415="","",OHW!$B1415&amp;"")</f>
        <v/>
      </c>
      <c r="J2462">
        <f>IF(OHW!$G1415="","",OHW!$E1415)</f>
        <v/>
      </c>
      <c r="K2462">
        <f>IF(OHW!$G1415="","",COUNTIFS(OHW!$A$5:$A$1668,OHW!$A1415,OHW!$C$5:$C$1668,OHW!$C1415))</f>
        <v/>
      </c>
      <c r="L2462">
        <f>IF(OHW!$G1415="","",OHW!$D1415&amp;"")</f>
        <v/>
      </c>
      <c r="M2462">
        <f>IF(OHW!$G1415="","",OHW!$F1415)</f>
        <v/>
      </c>
      <c r="N2462">
        <f>IF(OHW!$G1415="","",OHW!$G1415)</f>
        <v/>
      </c>
      <c r="O2462">
        <f>IF(OHW!$G1415="","",OHW!$I1415)</f>
        <v/>
      </c>
      <c r="P2462">
        <f>IF(OHW!$G1415="","","Final")</f>
        <v/>
      </c>
    </row>
    <row r="2463">
      <c r="A2463">
        <f>IF(OHW!$G1416="","","OHW")</f>
        <v/>
      </c>
      <c r="B2463">
        <f>IF(OHW!$G1416="","","OHW")</f>
        <v/>
      </c>
      <c r="C2463" s="18">
        <f>IF(OHW!$G1416="","",OHW!$A1416)</f>
        <v/>
      </c>
      <c r="F2463">
        <f>IF(OHW!$G1416="","",OHW!$B1416&amp;"")</f>
        <v/>
      </c>
      <c r="J2463">
        <f>IF(OHW!$G1416="","",OHW!$E1416)</f>
        <v/>
      </c>
      <c r="K2463">
        <f>IF(OHW!$G1416="","",COUNTIFS(OHW!$A$5:$A$1668,OHW!$A1416,OHW!$C$5:$C$1668,OHW!$C1416))</f>
        <v/>
      </c>
      <c r="L2463">
        <f>IF(OHW!$G1416="","",OHW!$D1416&amp;"")</f>
        <v/>
      </c>
      <c r="M2463">
        <f>IF(OHW!$G1416="","",OHW!$F1416)</f>
        <v/>
      </c>
      <c r="N2463">
        <f>IF(OHW!$G1416="","",OHW!$G1416)</f>
        <v/>
      </c>
      <c r="O2463">
        <f>IF(OHW!$G1416="","",OHW!$I1416)</f>
        <v/>
      </c>
      <c r="P2463">
        <f>IF(OHW!$G1416="","","Final")</f>
        <v/>
      </c>
    </row>
    <row r="2464">
      <c r="A2464">
        <f>IF(OHW!$G1417="","","OHW")</f>
        <v/>
      </c>
      <c r="B2464">
        <f>IF(OHW!$G1417="","","OHW")</f>
        <v/>
      </c>
      <c r="C2464" s="18">
        <f>IF(OHW!$G1417="","",OHW!$A1417)</f>
        <v/>
      </c>
      <c r="F2464">
        <f>IF(OHW!$G1417="","",OHW!$B1417&amp;"")</f>
        <v/>
      </c>
      <c r="J2464">
        <f>IF(OHW!$G1417="","",OHW!$E1417)</f>
        <v/>
      </c>
      <c r="K2464">
        <f>IF(OHW!$G1417="","",COUNTIFS(OHW!$A$5:$A$1668,OHW!$A1417,OHW!$C$5:$C$1668,OHW!$C1417))</f>
        <v/>
      </c>
      <c r="L2464">
        <f>IF(OHW!$G1417="","",OHW!$D1417&amp;"")</f>
        <v/>
      </c>
      <c r="M2464">
        <f>IF(OHW!$G1417="","",OHW!$F1417)</f>
        <v/>
      </c>
      <c r="N2464">
        <f>IF(OHW!$G1417="","",OHW!$G1417)</f>
        <v/>
      </c>
      <c r="O2464">
        <f>IF(OHW!$G1417="","",OHW!$I1417)</f>
        <v/>
      </c>
      <c r="P2464">
        <f>IF(OHW!$G1417="","","Final")</f>
        <v/>
      </c>
    </row>
    <row r="2465">
      <c r="A2465">
        <f>IF(OHW!$G1418="","","OHW")</f>
        <v/>
      </c>
      <c r="B2465">
        <f>IF(OHW!$G1418="","","OHW")</f>
        <v/>
      </c>
      <c r="C2465" s="18">
        <f>IF(OHW!$G1418="","",OHW!$A1418)</f>
        <v/>
      </c>
      <c r="F2465">
        <f>IF(OHW!$G1418="","",OHW!$B1418&amp;"")</f>
        <v/>
      </c>
      <c r="J2465">
        <f>IF(OHW!$G1418="","",OHW!$E1418)</f>
        <v/>
      </c>
      <c r="K2465">
        <f>IF(OHW!$G1418="","",COUNTIFS(OHW!$A$5:$A$1668,OHW!$A1418,OHW!$C$5:$C$1668,OHW!$C1418))</f>
        <v/>
      </c>
      <c r="L2465">
        <f>IF(OHW!$G1418="","",OHW!$D1418&amp;"")</f>
        <v/>
      </c>
      <c r="M2465">
        <f>IF(OHW!$G1418="","",OHW!$F1418)</f>
        <v/>
      </c>
      <c r="N2465">
        <f>IF(OHW!$G1418="","",OHW!$G1418)</f>
        <v/>
      </c>
      <c r="O2465">
        <f>IF(OHW!$G1418="","",OHW!$I1418)</f>
        <v/>
      </c>
      <c r="P2465">
        <f>IF(OHW!$G1418="","","Final")</f>
        <v/>
      </c>
    </row>
    <row r="2466">
      <c r="A2466">
        <f>IF(OHW!$G1419="","","OHW")</f>
        <v/>
      </c>
      <c r="B2466">
        <f>IF(OHW!$G1419="","","OHW")</f>
        <v/>
      </c>
      <c r="C2466" s="18">
        <f>IF(OHW!$G1419="","",OHW!$A1419)</f>
        <v/>
      </c>
      <c r="F2466">
        <f>IF(OHW!$G1419="","",OHW!$B1419&amp;"")</f>
        <v/>
      </c>
      <c r="J2466">
        <f>IF(OHW!$G1419="","",OHW!$E1419)</f>
        <v/>
      </c>
      <c r="K2466">
        <f>IF(OHW!$G1419="","",COUNTIFS(OHW!$A$5:$A$1668,OHW!$A1419,OHW!$C$5:$C$1668,OHW!$C1419))</f>
        <v/>
      </c>
      <c r="L2466">
        <f>IF(OHW!$G1419="","",OHW!$D1419&amp;"")</f>
        <v/>
      </c>
      <c r="M2466">
        <f>IF(OHW!$G1419="","",OHW!$F1419)</f>
        <v/>
      </c>
      <c r="N2466">
        <f>IF(OHW!$G1419="","",OHW!$G1419)</f>
        <v/>
      </c>
      <c r="O2466">
        <f>IF(OHW!$G1419="","",OHW!$I1419)</f>
        <v/>
      </c>
      <c r="P2466">
        <f>IF(OHW!$G1419="","","Final")</f>
        <v/>
      </c>
    </row>
    <row r="2467">
      <c r="A2467">
        <f>IF(OHW!$G1420="","","OHW")</f>
        <v/>
      </c>
      <c r="B2467">
        <f>IF(OHW!$G1420="","","OHW")</f>
        <v/>
      </c>
      <c r="C2467" s="18">
        <f>IF(OHW!$G1420="","",OHW!$A1420)</f>
        <v/>
      </c>
      <c r="F2467">
        <f>IF(OHW!$G1420="","",OHW!$B1420&amp;"")</f>
        <v/>
      </c>
      <c r="J2467">
        <f>IF(OHW!$G1420="","",OHW!$E1420)</f>
        <v/>
      </c>
      <c r="K2467">
        <f>IF(OHW!$G1420="","",COUNTIFS(OHW!$A$5:$A$1668,OHW!$A1420,OHW!$C$5:$C$1668,OHW!$C1420))</f>
        <v/>
      </c>
      <c r="L2467">
        <f>IF(OHW!$G1420="","",OHW!$D1420&amp;"")</f>
        <v/>
      </c>
      <c r="M2467">
        <f>IF(OHW!$G1420="","",OHW!$F1420)</f>
        <v/>
      </c>
      <c r="N2467">
        <f>IF(OHW!$G1420="","",OHW!$G1420)</f>
        <v/>
      </c>
      <c r="O2467">
        <f>IF(OHW!$G1420="","",OHW!$I1420)</f>
        <v/>
      </c>
      <c r="P2467">
        <f>IF(OHW!$G1420="","","Final")</f>
        <v/>
      </c>
    </row>
    <row r="2468">
      <c r="A2468">
        <f>IF(OHW!$G1421="","","OHW")</f>
        <v/>
      </c>
      <c r="B2468">
        <f>IF(OHW!$G1421="","","OHW")</f>
        <v/>
      </c>
      <c r="C2468" s="18">
        <f>IF(OHW!$G1421="","",OHW!$A1421)</f>
        <v/>
      </c>
      <c r="F2468">
        <f>IF(OHW!$G1421="","",OHW!$B1421&amp;"")</f>
        <v/>
      </c>
      <c r="J2468">
        <f>IF(OHW!$G1421="","",OHW!$E1421)</f>
        <v/>
      </c>
      <c r="K2468">
        <f>IF(OHW!$G1421="","",COUNTIFS(OHW!$A$5:$A$1668,OHW!$A1421,OHW!$C$5:$C$1668,OHW!$C1421))</f>
        <v/>
      </c>
      <c r="L2468">
        <f>IF(OHW!$G1421="","",OHW!$D1421&amp;"")</f>
        <v/>
      </c>
      <c r="M2468">
        <f>IF(OHW!$G1421="","",OHW!$F1421)</f>
        <v/>
      </c>
      <c r="N2468">
        <f>IF(OHW!$G1421="","",OHW!$G1421)</f>
        <v/>
      </c>
      <c r="O2468">
        <f>IF(OHW!$G1421="","",OHW!$I1421)</f>
        <v/>
      </c>
      <c r="P2468">
        <f>IF(OHW!$G1421="","","Final")</f>
        <v/>
      </c>
    </row>
    <row r="2469">
      <c r="A2469">
        <f>IF(OHW!$G1422="","","OHW")</f>
        <v/>
      </c>
      <c r="B2469">
        <f>IF(OHW!$G1422="","","OHW")</f>
        <v/>
      </c>
      <c r="C2469" s="18">
        <f>IF(OHW!$G1422="","",OHW!$A1422)</f>
        <v/>
      </c>
      <c r="F2469">
        <f>IF(OHW!$G1422="","",OHW!$B1422&amp;"")</f>
        <v/>
      </c>
      <c r="J2469">
        <f>IF(OHW!$G1422="","",OHW!$E1422)</f>
        <v/>
      </c>
      <c r="K2469">
        <f>IF(OHW!$G1422="","",COUNTIFS(OHW!$A$5:$A$1668,OHW!$A1422,OHW!$C$5:$C$1668,OHW!$C1422))</f>
        <v/>
      </c>
      <c r="L2469">
        <f>IF(OHW!$G1422="","",OHW!$D1422&amp;"")</f>
        <v/>
      </c>
      <c r="M2469">
        <f>IF(OHW!$G1422="","",OHW!$F1422)</f>
        <v/>
      </c>
      <c r="N2469">
        <f>IF(OHW!$G1422="","",OHW!$G1422)</f>
        <v/>
      </c>
      <c r="O2469">
        <f>IF(OHW!$G1422="","",OHW!$I1422)</f>
        <v/>
      </c>
      <c r="P2469">
        <f>IF(OHW!$G1422="","","Final")</f>
        <v/>
      </c>
    </row>
    <row r="2470">
      <c r="A2470">
        <f>IF(OHW!$G1423="","","OHW")</f>
        <v/>
      </c>
      <c r="B2470">
        <f>IF(OHW!$G1423="","","OHW")</f>
        <v/>
      </c>
      <c r="C2470" s="18">
        <f>IF(OHW!$G1423="","",OHW!$A1423)</f>
        <v/>
      </c>
      <c r="F2470">
        <f>IF(OHW!$G1423="","",OHW!$B1423&amp;"")</f>
        <v/>
      </c>
      <c r="J2470">
        <f>IF(OHW!$G1423="","",OHW!$E1423)</f>
        <v/>
      </c>
      <c r="K2470">
        <f>IF(OHW!$G1423="","",COUNTIFS(OHW!$A$5:$A$1668,OHW!$A1423,OHW!$C$5:$C$1668,OHW!$C1423))</f>
        <v/>
      </c>
      <c r="L2470">
        <f>IF(OHW!$G1423="","",OHW!$D1423&amp;"")</f>
        <v/>
      </c>
      <c r="M2470">
        <f>IF(OHW!$G1423="","",OHW!$F1423)</f>
        <v/>
      </c>
      <c r="N2470">
        <f>IF(OHW!$G1423="","",OHW!$G1423)</f>
        <v/>
      </c>
      <c r="O2470">
        <f>IF(OHW!$G1423="","",OHW!$I1423)</f>
        <v/>
      </c>
      <c r="P2470">
        <f>IF(OHW!$G1423="","","Final")</f>
        <v/>
      </c>
    </row>
    <row r="2471">
      <c r="A2471">
        <f>IF(OHW!$G1424="","","OHW")</f>
        <v/>
      </c>
      <c r="B2471">
        <f>IF(OHW!$G1424="","","OHW")</f>
        <v/>
      </c>
      <c r="C2471" s="18">
        <f>IF(OHW!$G1424="","",OHW!$A1424)</f>
        <v/>
      </c>
      <c r="F2471">
        <f>IF(OHW!$G1424="","",OHW!$B1424&amp;"")</f>
        <v/>
      </c>
      <c r="J2471">
        <f>IF(OHW!$G1424="","",OHW!$E1424)</f>
        <v/>
      </c>
      <c r="K2471">
        <f>IF(OHW!$G1424="","",COUNTIFS(OHW!$A$5:$A$1668,OHW!$A1424,OHW!$C$5:$C$1668,OHW!$C1424))</f>
        <v/>
      </c>
      <c r="L2471">
        <f>IF(OHW!$G1424="","",OHW!$D1424&amp;"")</f>
        <v/>
      </c>
      <c r="M2471">
        <f>IF(OHW!$G1424="","",OHW!$F1424)</f>
        <v/>
      </c>
      <c r="N2471">
        <f>IF(OHW!$G1424="","",OHW!$G1424)</f>
        <v/>
      </c>
      <c r="O2471">
        <f>IF(OHW!$G1424="","",OHW!$I1424)</f>
        <v/>
      </c>
      <c r="P2471">
        <f>IF(OHW!$G1424="","","Final")</f>
        <v/>
      </c>
    </row>
    <row r="2472">
      <c r="A2472">
        <f>IF(OHW!$G1425="","","OHW")</f>
        <v/>
      </c>
      <c r="B2472">
        <f>IF(OHW!$G1425="","","OHW")</f>
        <v/>
      </c>
      <c r="C2472" s="18">
        <f>IF(OHW!$G1425="","",OHW!$A1425)</f>
        <v/>
      </c>
      <c r="F2472">
        <f>IF(OHW!$G1425="","",OHW!$B1425&amp;"")</f>
        <v/>
      </c>
      <c r="J2472">
        <f>IF(OHW!$G1425="","",OHW!$E1425)</f>
        <v/>
      </c>
      <c r="K2472">
        <f>IF(OHW!$G1425="","",COUNTIFS(OHW!$A$5:$A$1668,OHW!$A1425,OHW!$C$5:$C$1668,OHW!$C1425))</f>
        <v/>
      </c>
      <c r="L2472">
        <f>IF(OHW!$G1425="","",OHW!$D1425&amp;"")</f>
        <v/>
      </c>
      <c r="M2472">
        <f>IF(OHW!$G1425="","",OHW!$F1425)</f>
        <v/>
      </c>
      <c r="N2472">
        <f>IF(OHW!$G1425="","",OHW!$G1425)</f>
        <v/>
      </c>
      <c r="O2472">
        <f>IF(OHW!$G1425="","",OHW!$I1425)</f>
        <v/>
      </c>
      <c r="P2472">
        <f>IF(OHW!$G1425="","","Final")</f>
        <v/>
      </c>
    </row>
    <row r="2473">
      <c r="A2473">
        <f>IF(OHW!$G1426="","","OHW")</f>
        <v/>
      </c>
      <c r="B2473">
        <f>IF(OHW!$G1426="","","OHW")</f>
        <v/>
      </c>
      <c r="C2473" s="18">
        <f>IF(OHW!$G1426="","",OHW!$A1426)</f>
        <v/>
      </c>
      <c r="F2473">
        <f>IF(OHW!$G1426="","",OHW!$B1426&amp;"")</f>
        <v/>
      </c>
      <c r="J2473">
        <f>IF(OHW!$G1426="","",OHW!$E1426)</f>
        <v/>
      </c>
      <c r="K2473">
        <f>IF(OHW!$G1426="","",COUNTIFS(OHW!$A$5:$A$1668,OHW!$A1426,OHW!$C$5:$C$1668,OHW!$C1426))</f>
        <v/>
      </c>
      <c r="L2473">
        <f>IF(OHW!$G1426="","",OHW!$D1426&amp;"")</f>
        <v/>
      </c>
      <c r="M2473">
        <f>IF(OHW!$G1426="","",OHW!$F1426)</f>
        <v/>
      </c>
      <c r="N2473">
        <f>IF(OHW!$G1426="","",OHW!$G1426)</f>
        <v/>
      </c>
      <c r="O2473">
        <f>IF(OHW!$G1426="","",OHW!$I1426)</f>
        <v/>
      </c>
      <c r="P2473">
        <f>IF(OHW!$G1426="","","Final")</f>
        <v/>
      </c>
    </row>
    <row r="2474">
      <c r="A2474">
        <f>IF(OHW!$G1427="","","OHW")</f>
        <v/>
      </c>
      <c r="B2474">
        <f>IF(OHW!$G1427="","","OHW")</f>
        <v/>
      </c>
      <c r="C2474" s="18">
        <f>IF(OHW!$G1427="","",OHW!$A1427)</f>
        <v/>
      </c>
      <c r="F2474">
        <f>IF(OHW!$G1427="","",OHW!$B1427&amp;"")</f>
        <v/>
      </c>
      <c r="J2474">
        <f>IF(OHW!$G1427="","",OHW!$E1427)</f>
        <v/>
      </c>
      <c r="K2474">
        <f>IF(OHW!$G1427="","",COUNTIFS(OHW!$A$5:$A$1668,OHW!$A1427,OHW!$C$5:$C$1668,OHW!$C1427))</f>
        <v/>
      </c>
      <c r="L2474">
        <f>IF(OHW!$G1427="","",OHW!$D1427&amp;"")</f>
        <v/>
      </c>
      <c r="M2474">
        <f>IF(OHW!$G1427="","",OHW!$F1427)</f>
        <v/>
      </c>
      <c r="N2474">
        <f>IF(OHW!$G1427="","",OHW!$G1427)</f>
        <v/>
      </c>
      <c r="O2474">
        <f>IF(OHW!$G1427="","",OHW!$I1427)</f>
        <v/>
      </c>
      <c r="P2474">
        <f>IF(OHW!$G1427="","","Final")</f>
        <v/>
      </c>
    </row>
    <row r="2475">
      <c r="A2475">
        <f>IF(OHW!$G1428="","","OHW")</f>
        <v/>
      </c>
      <c r="B2475">
        <f>IF(OHW!$G1428="","","OHW")</f>
        <v/>
      </c>
      <c r="C2475" s="18">
        <f>IF(OHW!$G1428="","",OHW!$A1428)</f>
        <v/>
      </c>
      <c r="F2475">
        <f>IF(OHW!$G1428="","",OHW!$B1428&amp;"")</f>
        <v/>
      </c>
      <c r="J2475">
        <f>IF(OHW!$G1428="","",OHW!$E1428)</f>
        <v/>
      </c>
      <c r="K2475">
        <f>IF(OHW!$G1428="","",COUNTIFS(OHW!$A$5:$A$1668,OHW!$A1428,OHW!$C$5:$C$1668,OHW!$C1428))</f>
        <v/>
      </c>
      <c r="L2475">
        <f>IF(OHW!$G1428="","",OHW!$D1428&amp;"")</f>
        <v/>
      </c>
      <c r="M2475">
        <f>IF(OHW!$G1428="","",OHW!$F1428)</f>
        <v/>
      </c>
      <c r="N2475">
        <f>IF(OHW!$G1428="","",OHW!$G1428)</f>
        <v/>
      </c>
      <c r="O2475">
        <f>IF(OHW!$G1428="","",OHW!$I1428)</f>
        <v/>
      </c>
      <c r="P2475">
        <f>IF(OHW!$G1428="","","Final")</f>
        <v/>
      </c>
    </row>
    <row r="2476">
      <c r="A2476">
        <f>IF(OHW!$G1429="","","OHW")</f>
        <v/>
      </c>
      <c r="B2476">
        <f>IF(OHW!$G1429="","","OHW")</f>
        <v/>
      </c>
      <c r="C2476" s="18">
        <f>IF(OHW!$G1429="","",OHW!$A1429)</f>
        <v/>
      </c>
      <c r="F2476">
        <f>IF(OHW!$G1429="","",OHW!$B1429&amp;"")</f>
        <v/>
      </c>
      <c r="J2476">
        <f>IF(OHW!$G1429="","",OHW!$E1429)</f>
        <v/>
      </c>
      <c r="K2476">
        <f>IF(OHW!$G1429="","",COUNTIFS(OHW!$A$5:$A$1668,OHW!$A1429,OHW!$C$5:$C$1668,OHW!$C1429))</f>
        <v/>
      </c>
      <c r="L2476">
        <f>IF(OHW!$G1429="","",OHW!$D1429&amp;"")</f>
        <v/>
      </c>
      <c r="M2476">
        <f>IF(OHW!$G1429="","",OHW!$F1429)</f>
        <v/>
      </c>
      <c r="N2476">
        <f>IF(OHW!$G1429="","",OHW!$G1429)</f>
        <v/>
      </c>
      <c r="O2476">
        <f>IF(OHW!$G1429="","",OHW!$I1429)</f>
        <v/>
      </c>
      <c r="P2476">
        <f>IF(OHW!$G1429="","","Final")</f>
        <v/>
      </c>
    </row>
    <row r="2477">
      <c r="A2477">
        <f>IF(OHW!$G1430="","","OHW")</f>
        <v/>
      </c>
      <c r="B2477">
        <f>IF(OHW!$G1430="","","OHW")</f>
        <v/>
      </c>
      <c r="C2477" s="18">
        <f>IF(OHW!$G1430="","",OHW!$A1430)</f>
        <v/>
      </c>
      <c r="F2477">
        <f>IF(OHW!$G1430="","",OHW!$B1430&amp;"")</f>
        <v/>
      </c>
      <c r="J2477">
        <f>IF(OHW!$G1430="","",OHW!$E1430)</f>
        <v/>
      </c>
      <c r="K2477">
        <f>IF(OHW!$G1430="","",COUNTIFS(OHW!$A$5:$A$1668,OHW!$A1430,OHW!$C$5:$C$1668,OHW!$C1430))</f>
        <v/>
      </c>
      <c r="L2477">
        <f>IF(OHW!$G1430="","",OHW!$D1430&amp;"")</f>
        <v/>
      </c>
      <c r="M2477">
        <f>IF(OHW!$G1430="","",OHW!$F1430)</f>
        <v/>
      </c>
      <c r="N2477">
        <f>IF(OHW!$G1430="","",OHW!$G1430)</f>
        <v/>
      </c>
      <c r="O2477">
        <f>IF(OHW!$G1430="","",OHW!$I1430)</f>
        <v/>
      </c>
      <c r="P2477">
        <f>IF(OHW!$G1430="","","Final")</f>
        <v/>
      </c>
    </row>
    <row r="2478">
      <c r="A2478">
        <f>IF(OHW!$G1431="","","OHW")</f>
        <v/>
      </c>
      <c r="B2478">
        <f>IF(OHW!$G1431="","","OHW")</f>
        <v/>
      </c>
      <c r="C2478" s="18">
        <f>IF(OHW!$G1431="","",OHW!$A1431)</f>
        <v/>
      </c>
      <c r="F2478">
        <f>IF(OHW!$G1431="","",OHW!$B1431&amp;"")</f>
        <v/>
      </c>
      <c r="J2478">
        <f>IF(OHW!$G1431="","",OHW!$E1431)</f>
        <v/>
      </c>
      <c r="K2478">
        <f>IF(OHW!$G1431="","",COUNTIFS(OHW!$A$5:$A$1668,OHW!$A1431,OHW!$C$5:$C$1668,OHW!$C1431))</f>
        <v/>
      </c>
      <c r="L2478">
        <f>IF(OHW!$G1431="","",OHW!$D1431&amp;"")</f>
        <v/>
      </c>
      <c r="M2478">
        <f>IF(OHW!$G1431="","",OHW!$F1431)</f>
        <v/>
      </c>
      <c r="N2478">
        <f>IF(OHW!$G1431="","",OHW!$G1431)</f>
        <v/>
      </c>
      <c r="O2478">
        <f>IF(OHW!$G1431="","",OHW!$I1431)</f>
        <v/>
      </c>
      <c r="P2478">
        <f>IF(OHW!$G1431="","","Final")</f>
        <v/>
      </c>
    </row>
    <row r="2479">
      <c r="A2479">
        <f>IF(OHW!$G1432="","","OHW")</f>
        <v/>
      </c>
      <c r="B2479">
        <f>IF(OHW!$G1432="","","OHW")</f>
        <v/>
      </c>
      <c r="C2479" s="18">
        <f>IF(OHW!$G1432="","",OHW!$A1432)</f>
        <v/>
      </c>
      <c r="F2479">
        <f>IF(OHW!$G1432="","",OHW!$B1432&amp;"")</f>
        <v/>
      </c>
      <c r="J2479">
        <f>IF(OHW!$G1432="","",OHW!$E1432)</f>
        <v/>
      </c>
      <c r="K2479">
        <f>IF(OHW!$G1432="","",COUNTIFS(OHW!$A$5:$A$1668,OHW!$A1432,OHW!$C$5:$C$1668,OHW!$C1432))</f>
        <v/>
      </c>
      <c r="L2479">
        <f>IF(OHW!$G1432="","",OHW!$D1432&amp;"")</f>
        <v/>
      </c>
      <c r="M2479">
        <f>IF(OHW!$G1432="","",OHW!$F1432)</f>
        <v/>
      </c>
      <c r="N2479">
        <f>IF(OHW!$G1432="","",OHW!$G1432)</f>
        <v/>
      </c>
      <c r="O2479">
        <f>IF(OHW!$G1432="","",OHW!$I1432)</f>
        <v/>
      </c>
      <c r="P2479">
        <f>IF(OHW!$G1432="","","Final")</f>
        <v/>
      </c>
    </row>
    <row r="2480">
      <c r="A2480">
        <f>IF(OHW!$G1433="","","OHW")</f>
        <v/>
      </c>
      <c r="B2480">
        <f>IF(OHW!$G1433="","","OHW")</f>
        <v/>
      </c>
      <c r="C2480" s="18">
        <f>IF(OHW!$G1433="","",OHW!$A1433)</f>
        <v/>
      </c>
      <c r="F2480">
        <f>IF(OHW!$G1433="","",OHW!$B1433&amp;"")</f>
        <v/>
      </c>
      <c r="J2480">
        <f>IF(OHW!$G1433="","",OHW!$E1433)</f>
        <v/>
      </c>
      <c r="K2480">
        <f>IF(OHW!$G1433="","",COUNTIFS(OHW!$A$5:$A$1668,OHW!$A1433,OHW!$C$5:$C$1668,OHW!$C1433))</f>
        <v/>
      </c>
      <c r="L2480">
        <f>IF(OHW!$G1433="","",OHW!$D1433&amp;"")</f>
        <v/>
      </c>
      <c r="M2480">
        <f>IF(OHW!$G1433="","",OHW!$F1433)</f>
        <v/>
      </c>
      <c r="N2480">
        <f>IF(OHW!$G1433="","",OHW!$G1433)</f>
        <v/>
      </c>
      <c r="O2480">
        <f>IF(OHW!$G1433="","",OHW!$I1433)</f>
        <v/>
      </c>
      <c r="P2480">
        <f>IF(OHW!$G1433="","","Final")</f>
        <v/>
      </c>
    </row>
    <row r="2481">
      <c r="A2481">
        <f>IF(OHW!$G1434="","","OHW")</f>
        <v/>
      </c>
      <c r="B2481">
        <f>IF(OHW!$G1434="","","OHW")</f>
        <v/>
      </c>
      <c r="C2481" s="18">
        <f>IF(OHW!$G1434="","",OHW!$A1434)</f>
        <v/>
      </c>
      <c r="F2481">
        <f>IF(OHW!$G1434="","",OHW!$B1434&amp;"")</f>
        <v/>
      </c>
      <c r="J2481">
        <f>IF(OHW!$G1434="","",OHW!$E1434)</f>
        <v/>
      </c>
      <c r="K2481">
        <f>IF(OHW!$G1434="","",COUNTIFS(OHW!$A$5:$A$1668,OHW!$A1434,OHW!$C$5:$C$1668,OHW!$C1434))</f>
        <v/>
      </c>
      <c r="L2481">
        <f>IF(OHW!$G1434="","",OHW!$D1434&amp;"")</f>
        <v/>
      </c>
      <c r="M2481">
        <f>IF(OHW!$G1434="","",OHW!$F1434)</f>
        <v/>
      </c>
      <c r="N2481">
        <f>IF(OHW!$G1434="","",OHW!$G1434)</f>
        <v/>
      </c>
      <c r="O2481">
        <f>IF(OHW!$G1434="","",OHW!$I1434)</f>
        <v/>
      </c>
      <c r="P2481">
        <f>IF(OHW!$G1434="","","Final")</f>
        <v/>
      </c>
    </row>
    <row r="2482">
      <c r="A2482">
        <f>IF(OHW!$G1435="","","OHW")</f>
        <v/>
      </c>
      <c r="B2482">
        <f>IF(OHW!$G1435="","","OHW")</f>
        <v/>
      </c>
      <c r="C2482" s="18">
        <f>IF(OHW!$G1435="","",OHW!$A1435)</f>
        <v/>
      </c>
      <c r="F2482">
        <f>IF(OHW!$G1435="","",OHW!$B1435&amp;"")</f>
        <v/>
      </c>
      <c r="J2482">
        <f>IF(OHW!$G1435="","",OHW!$E1435)</f>
        <v/>
      </c>
      <c r="K2482">
        <f>IF(OHW!$G1435="","",COUNTIFS(OHW!$A$5:$A$1668,OHW!$A1435,OHW!$C$5:$C$1668,OHW!$C1435))</f>
        <v/>
      </c>
      <c r="L2482">
        <f>IF(OHW!$G1435="","",OHW!$D1435&amp;"")</f>
        <v/>
      </c>
      <c r="M2482">
        <f>IF(OHW!$G1435="","",OHW!$F1435)</f>
        <v/>
      </c>
      <c r="N2482">
        <f>IF(OHW!$G1435="","",OHW!$G1435)</f>
        <v/>
      </c>
      <c r="O2482">
        <f>IF(OHW!$G1435="","",OHW!$I1435)</f>
        <v/>
      </c>
      <c r="P2482">
        <f>IF(OHW!$G1435="","","Final")</f>
        <v/>
      </c>
    </row>
    <row r="2483">
      <c r="A2483">
        <f>IF(OHW!$G1436="","","OHW")</f>
        <v/>
      </c>
      <c r="B2483">
        <f>IF(OHW!$G1436="","","OHW")</f>
        <v/>
      </c>
      <c r="C2483" s="18">
        <f>IF(OHW!$G1436="","",OHW!$A1436)</f>
        <v/>
      </c>
      <c r="F2483">
        <f>IF(OHW!$G1436="","",OHW!$B1436&amp;"")</f>
        <v/>
      </c>
      <c r="J2483">
        <f>IF(OHW!$G1436="","",OHW!$E1436)</f>
        <v/>
      </c>
      <c r="K2483">
        <f>IF(OHW!$G1436="","",COUNTIFS(OHW!$A$5:$A$1668,OHW!$A1436,OHW!$C$5:$C$1668,OHW!$C1436))</f>
        <v/>
      </c>
      <c r="L2483">
        <f>IF(OHW!$G1436="","",OHW!$D1436&amp;"")</f>
        <v/>
      </c>
      <c r="M2483">
        <f>IF(OHW!$G1436="","",OHW!$F1436)</f>
        <v/>
      </c>
      <c r="N2483">
        <f>IF(OHW!$G1436="","",OHW!$G1436)</f>
        <v/>
      </c>
      <c r="O2483">
        <f>IF(OHW!$G1436="","",OHW!$I1436)</f>
        <v/>
      </c>
      <c r="P2483">
        <f>IF(OHW!$G1436="","","Final")</f>
        <v/>
      </c>
    </row>
    <row r="2484">
      <c r="A2484">
        <f>IF(OHW!$G1437="","","OHW")</f>
        <v/>
      </c>
      <c r="B2484">
        <f>IF(OHW!$G1437="","","OHW")</f>
        <v/>
      </c>
      <c r="C2484" s="18">
        <f>IF(OHW!$G1437="","",OHW!$A1437)</f>
        <v/>
      </c>
      <c r="F2484">
        <f>IF(OHW!$G1437="","",OHW!$B1437&amp;"")</f>
        <v/>
      </c>
      <c r="J2484">
        <f>IF(OHW!$G1437="","",OHW!$E1437)</f>
        <v/>
      </c>
      <c r="K2484">
        <f>IF(OHW!$G1437="","",COUNTIFS(OHW!$A$5:$A$1668,OHW!$A1437,OHW!$C$5:$C$1668,OHW!$C1437))</f>
        <v/>
      </c>
      <c r="L2484">
        <f>IF(OHW!$G1437="","",OHW!$D1437&amp;"")</f>
        <v/>
      </c>
      <c r="M2484">
        <f>IF(OHW!$G1437="","",OHW!$F1437)</f>
        <v/>
      </c>
      <c r="N2484">
        <f>IF(OHW!$G1437="","",OHW!$G1437)</f>
        <v/>
      </c>
      <c r="O2484">
        <f>IF(OHW!$G1437="","",OHW!$I1437)</f>
        <v/>
      </c>
      <c r="P2484">
        <f>IF(OHW!$G1437="","","Final")</f>
        <v/>
      </c>
    </row>
    <row r="2485">
      <c r="A2485">
        <f>IF(OHW!$G1438="","","OHW")</f>
        <v/>
      </c>
      <c r="B2485">
        <f>IF(OHW!$G1438="","","OHW")</f>
        <v/>
      </c>
      <c r="C2485" s="18">
        <f>IF(OHW!$G1438="","",OHW!$A1438)</f>
        <v/>
      </c>
      <c r="F2485">
        <f>IF(OHW!$G1438="","",OHW!$B1438&amp;"")</f>
        <v/>
      </c>
      <c r="J2485">
        <f>IF(OHW!$G1438="","",OHW!$E1438)</f>
        <v/>
      </c>
      <c r="K2485">
        <f>IF(OHW!$G1438="","",COUNTIFS(OHW!$A$5:$A$1668,OHW!$A1438,OHW!$C$5:$C$1668,OHW!$C1438))</f>
        <v/>
      </c>
      <c r="L2485">
        <f>IF(OHW!$G1438="","",OHW!$D1438&amp;"")</f>
        <v/>
      </c>
      <c r="M2485">
        <f>IF(OHW!$G1438="","",OHW!$F1438)</f>
        <v/>
      </c>
      <c r="N2485">
        <f>IF(OHW!$G1438="","",OHW!$G1438)</f>
        <v/>
      </c>
      <c r="O2485">
        <f>IF(OHW!$G1438="","",OHW!$I1438)</f>
        <v/>
      </c>
      <c r="P2485">
        <f>IF(OHW!$G1438="","","Final")</f>
        <v/>
      </c>
    </row>
    <row r="2486">
      <c r="A2486">
        <f>IF(OHW!$G1439="","","OHW")</f>
        <v/>
      </c>
      <c r="B2486">
        <f>IF(OHW!$G1439="","","OHW")</f>
        <v/>
      </c>
      <c r="C2486" s="18">
        <f>IF(OHW!$G1439="","",OHW!$A1439)</f>
        <v/>
      </c>
      <c r="F2486">
        <f>IF(OHW!$G1439="","",OHW!$B1439&amp;"")</f>
        <v/>
      </c>
      <c r="J2486">
        <f>IF(OHW!$G1439="","",OHW!$E1439)</f>
        <v/>
      </c>
      <c r="K2486">
        <f>IF(OHW!$G1439="","",COUNTIFS(OHW!$A$5:$A$1668,OHW!$A1439,OHW!$C$5:$C$1668,OHW!$C1439))</f>
        <v/>
      </c>
      <c r="L2486">
        <f>IF(OHW!$G1439="","",OHW!$D1439&amp;"")</f>
        <v/>
      </c>
      <c r="M2486">
        <f>IF(OHW!$G1439="","",OHW!$F1439)</f>
        <v/>
      </c>
      <c r="N2486">
        <f>IF(OHW!$G1439="","",OHW!$G1439)</f>
        <v/>
      </c>
      <c r="O2486">
        <f>IF(OHW!$G1439="","",OHW!$I1439)</f>
        <v/>
      </c>
      <c r="P2486">
        <f>IF(OHW!$G1439="","","Final")</f>
        <v/>
      </c>
    </row>
    <row r="2487">
      <c r="A2487">
        <f>IF(OHW!$G1440="","","OHW")</f>
        <v/>
      </c>
      <c r="B2487">
        <f>IF(OHW!$G1440="","","OHW")</f>
        <v/>
      </c>
      <c r="C2487" s="18">
        <f>IF(OHW!$G1440="","",OHW!$A1440)</f>
        <v/>
      </c>
      <c r="F2487">
        <f>IF(OHW!$G1440="","",OHW!$B1440&amp;"")</f>
        <v/>
      </c>
      <c r="J2487">
        <f>IF(OHW!$G1440="","",OHW!$E1440)</f>
        <v/>
      </c>
      <c r="K2487">
        <f>IF(OHW!$G1440="","",COUNTIFS(OHW!$A$5:$A$1668,OHW!$A1440,OHW!$C$5:$C$1668,OHW!$C1440))</f>
        <v/>
      </c>
      <c r="L2487">
        <f>IF(OHW!$G1440="","",OHW!$D1440&amp;"")</f>
        <v/>
      </c>
      <c r="M2487">
        <f>IF(OHW!$G1440="","",OHW!$F1440)</f>
        <v/>
      </c>
      <c r="N2487">
        <f>IF(OHW!$G1440="","",OHW!$G1440)</f>
        <v/>
      </c>
      <c r="O2487">
        <f>IF(OHW!$G1440="","",OHW!$I1440)</f>
        <v/>
      </c>
      <c r="P2487">
        <f>IF(OHW!$G1440="","","Final")</f>
        <v/>
      </c>
    </row>
    <row r="2488">
      <c r="A2488">
        <f>IF(OHW!$G1441="","","OHW")</f>
        <v/>
      </c>
      <c r="B2488">
        <f>IF(OHW!$G1441="","","OHW")</f>
        <v/>
      </c>
      <c r="C2488" s="18">
        <f>IF(OHW!$G1441="","",OHW!$A1441)</f>
        <v/>
      </c>
      <c r="F2488">
        <f>IF(OHW!$G1441="","",OHW!$B1441&amp;"")</f>
        <v/>
      </c>
      <c r="J2488">
        <f>IF(OHW!$G1441="","",OHW!$E1441)</f>
        <v/>
      </c>
      <c r="K2488">
        <f>IF(OHW!$G1441="","",COUNTIFS(OHW!$A$5:$A$1668,OHW!$A1441,OHW!$C$5:$C$1668,OHW!$C1441))</f>
        <v/>
      </c>
      <c r="L2488">
        <f>IF(OHW!$G1441="","",OHW!$D1441&amp;"")</f>
        <v/>
      </c>
      <c r="M2488">
        <f>IF(OHW!$G1441="","",OHW!$F1441)</f>
        <v/>
      </c>
      <c r="N2488">
        <f>IF(OHW!$G1441="","",OHW!$G1441)</f>
        <v/>
      </c>
      <c r="O2488">
        <f>IF(OHW!$G1441="","",OHW!$I1441)</f>
        <v/>
      </c>
      <c r="P2488">
        <f>IF(OHW!$G1441="","","Final")</f>
        <v/>
      </c>
    </row>
    <row r="2489">
      <c r="A2489">
        <f>IF(OHW!$G1442="","","OHW")</f>
        <v/>
      </c>
      <c r="B2489">
        <f>IF(OHW!$G1442="","","OHW")</f>
        <v/>
      </c>
      <c r="C2489" s="18">
        <f>IF(OHW!$G1442="","",OHW!$A1442)</f>
        <v/>
      </c>
      <c r="F2489">
        <f>IF(OHW!$G1442="","",OHW!$B1442&amp;"")</f>
        <v/>
      </c>
      <c r="J2489">
        <f>IF(OHW!$G1442="","",OHW!$E1442)</f>
        <v/>
      </c>
      <c r="K2489">
        <f>IF(OHW!$G1442="","",COUNTIFS(OHW!$A$5:$A$1668,OHW!$A1442,OHW!$C$5:$C$1668,OHW!$C1442))</f>
        <v/>
      </c>
      <c r="L2489">
        <f>IF(OHW!$G1442="","",OHW!$D1442&amp;"")</f>
        <v/>
      </c>
      <c r="M2489">
        <f>IF(OHW!$G1442="","",OHW!$F1442)</f>
        <v/>
      </c>
      <c r="N2489">
        <f>IF(OHW!$G1442="","",OHW!$G1442)</f>
        <v/>
      </c>
      <c r="O2489">
        <f>IF(OHW!$G1442="","",OHW!$I1442)</f>
        <v/>
      </c>
      <c r="P2489">
        <f>IF(OHW!$G1442="","","Final")</f>
        <v/>
      </c>
    </row>
    <row r="2490">
      <c r="A2490">
        <f>IF(OHW!$G1443="","","OHW")</f>
        <v/>
      </c>
      <c r="B2490">
        <f>IF(OHW!$G1443="","","OHW")</f>
        <v/>
      </c>
      <c r="C2490" s="18">
        <f>IF(OHW!$G1443="","",OHW!$A1443)</f>
        <v/>
      </c>
      <c r="F2490">
        <f>IF(OHW!$G1443="","",OHW!$B1443&amp;"")</f>
        <v/>
      </c>
      <c r="J2490">
        <f>IF(OHW!$G1443="","",OHW!$E1443)</f>
        <v/>
      </c>
      <c r="K2490">
        <f>IF(OHW!$G1443="","",COUNTIFS(OHW!$A$5:$A$1668,OHW!$A1443,OHW!$C$5:$C$1668,OHW!$C1443))</f>
        <v/>
      </c>
      <c r="L2490">
        <f>IF(OHW!$G1443="","",OHW!$D1443&amp;"")</f>
        <v/>
      </c>
      <c r="M2490">
        <f>IF(OHW!$G1443="","",OHW!$F1443)</f>
        <v/>
      </c>
      <c r="N2490">
        <f>IF(OHW!$G1443="","",OHW!$G1443)</f>
        <v/>
      </c>
      <c r="O2490">
        <f>IF(OHW!$G1443="","",OHW!$I1443)</f>
        <v/>
      </c>
      <c r="P2490">
        <f>IF(OHW!$G1443="","","Final")</f>
        <v/>
      </c>
    </row>
    <row r="2491">
      <c r="A2491">
        <f>IF(OHW!$G1444="","","OHW")</f>
        <v/>
      </c>
      <c r="B2491">
        <f>IF(OHW!$G1444="","","OHW")</f>
        <v/>
      </c>
      <c r="C2491" s="18">
        <f>IF(OHW!$G1444="","",OHW!$A1444)</f>
        <v/>
      </c>
      <c r="F2491">
        <f>IF(OHW!$G1444="","",OHW!$B1444&amp;"")</f>
        <v/>
      </c>
      <c r="J2491">
        <f>IF(OHW!$G1444="","",OHW!$E1444)</f>
        <v/>
      </c>
      <c r="K2491">
        <f>IF(OHW!$G1444="","",COUNTIFS(OHW!$A$5:$A$1668,OHW!$A1444,OHW!$C$5:$C$1668,OHW!$C1444))</f>
        <v/>
      </c>
      <c r="L2491">
        <f>IF(OHW!$G1444="","",OHW!$D1444&amp;"")</f>
        <v/>
      </c>
      <c r="M2491">
        <f>IF(OHW!$G1444="","",OHW!$F1444)</f>
        <v/>
      </c>
      <c r="N2491">
        <f>IF(OHW!$G1444="","",OHW!$G1444)</f>
        <v/>
      </c>
      <c r="O2491">
        <f>IF(OHW!$G1444="","",OHW!$I1444)</f>
        <v/>
      </c>
      <c r="P2491">
        <f>IF(OHW!$G1444="","","Final")</f>
        <v/>
      </c>
    </row>
    <row r="2492">
      <c r="A2492">
        <f>IF(OHW!$G1445="","","OHW")</f>
        <v/>
      </c>
      <c r="B2492">
        <f>IF(OHW!$G1445="","","OHW")</f>
        <v/>
      </c>
      <c r="C2492" s="18">
        <f>IF(OHW!$G1445="","",OHW!$A1445)</f>
        <v/>
      </c>
      <c r="F2492">
        <f>IF(OHW!$G1445="","",OHW!$B1445&amp;"")</f>
        <v/>
      </c>
      <c r="J2492">
        <f>IF(OHW!$G1445="","",OHW!$E1445)</f>
        <v/>
      </c>
      <c r="K2492">
        <f>IF(OHW!$G1445="","",COUNTIFS(OHW!$A$5:$A$1668,OHW!$A1445,OHW!$C$5:$C$1668,OHW!$C1445))</f>
        <v/>
      </c>
      <c r="L2492">
        <f>IF(OHW!$G1445="","",OHW!$D1445&amp;"")</f>
        <v/>
      </c>
      <c r="M2492">
        <f>IF(OHW!$G1445="","",OHW!$F1445)</f>
        <v/>
      </c>
      <c r="N2492">
        <f>IF(OHW!$G1445="","",OHW!$G1445)</f>
        <v/>
      </c>
      <c r="O2492">
        <f>IF(OHW!$G1445="","",OHW!$I1445)</f>
        <v/>
      </c>
      <c r="P2492">
        <f>IF(OHW!$G1445="","","Final")</f>
        <v/>
      </c>
    </row>
    <row r="2493">
      <c r="A2493">
        <f>IF(OHW!$G1446="","","OHW")</f>
        <v/>
      </c>
      <c r="B2493">
        <f>IF(OHW!$G1446="","","OHW")</f>
        <v/>
      </c>
      <c r="C2493" s="18">
        <f>IF(OHW!$G1446="","",OHW!$A1446)</f>
        <v/>
      </c>
      <c r="F2493">
        <f>IF(OHW!$G1446="","",OHW!$B1446&amp;"")</f>
        <v/>
      </c>
      <c r="J2493">
        <f>IF(OHW!$G1446="","",OHW!$E1446)</f>
        <v/>
      </c>
      <c r="K2493">
        <f>IF(OHW!$G1446="","",COUNTIFS(OHW!$A$5:$A$1668,OHW!$A1446,OHW!$C$5:$C$1668,OHW!$C1446))</f>
        <v/>
      </c>
      <c r="L2493">
        <f>IF(OHW!$G1446="","",OHW!$D1446&amp;"")</f>
        <v/>
      </c>
      <c r="M2493">
        <f>IF(OHW!$G1446="","",OHW!$F1446)</f>
        <v/>
      </c>
      <c r="N2493">
        <f>IF(OHW!$G1446="","",OHW!$G1446)</f>
        <v/>
      </c>
      <c r="O2493">
        <f>IF(OHW!$G1446="","",OHW!$I1446)</f>
        <v/>
      </c>
      <c r="P2493">
        <f>IF(OHW!$G1446="","","Final")</f>
        <v/>
      </c>
    </row>
    <row r="2494">
      <c r="A2494">
        <f>IF(OHW!$G1447="","","OHW")</f>
        <v/>
      </c>
      <c r="B2494">
        <f>IF(OHW!$G1447="","","OHW")</f>
        <v/>
      </c>
      <c r="C2494" s="18">
        <f>IF(OHW!$G1447="","",OHW!$A1447)</f>
        <v/>
      </c>
      <c r="F2494">
        <f>IF(OHW!$G1447="","",OHW!$B1447&amp;"")</f>
        <v/>
      </c>
      <c r="J2494">
        <f>IF(OHW!$G1447="","",OHW!$E1447)</f>
        <v/>
      </c>
      <c r="K2494">
        <f>IF(OHW!$G1447="","",COUNTIFS(OHW!$A$5:$A$1668,OHW!$A1447,OHW!$C$5:$C$1668,OHW!$C1447))</f>
        <v/>
      </c>
      <c r="L2494">
        <f>IF(OHW!$G1447="","",OHW!$D1447&amp;"")</f>
        <v/>
      </c>
      <c r="M2494">
        <f>IF(OHW!$G1447="","",OHW!$F1447)</f>
        <v/>
      </c>
      <c r="N2494">
        <f>IF(OHW!$G1447="","",OHW!$G1447)</f>
        <v/>
      </c>
      <c r="O2494">
        <f>IF(OHW!$G1447="","",OHW!$I1447)</f>
        <v/>
      </c>
      <c r="P2494">
        <f>IF(OHW!$G1447="","","Final")</f>
        <v/>
      </c>
    </row>
    <row r="2495">
      <c r="A2495">
        <f>IF(OHW!$G1448="","","OHW")</f>
        <v/>
      </c>
      <c r="B2495">
        <f>IF(OHW!$G1448="","","OHW")</f>
        <v/>
      </c>
      <c r="C2495" s="18">
        <f>IF(OHW!$G1448="","",OHW!$A1448)</f>
        <v/>
      </c>
      <c r="F2495">
        <f>IF(OHW!$G1448="","",OHW!$B1448&amp;"")</f>
        <v/>
      </c>
      <c r="J2495">
        <f>IF(OHW!$G1448="","",OHW!$E1448)</f>
        <v/>
      </c>
      <c r="K2495">
        <f>IF(OHW!$G1448="","",COUNTIFS(OHW!$A$5:$A$1668,OHW!$A1448,OHW!$C$5:$C$1668,OHW!$C1448))</f>
        <v/>
      </c>
      <c r="L2495">
        <f>IF(OHW!$G1448="","",OHW!$D1448&amp;"")</f>
        <v/>
      </c>
      <c r="M2495">
        <f>IF(OHW!$G1448="","",OHW!$F1448)</f>
        <v/>
      </c>
      <c r="N2495">
        <f>IF(OHW!$G1448="","",OHW!$G1448)</f>
        <v/>
      </c>
      <c r="O2495">
        <f>IF(OHW!$G1448="","",OHW!$I1448)</f>
        <v/>
      </c>
      <c r="P2495">
        <f>IF(OHW!$G1448="","","Final")</f>
        <v/>
      </c>
    </row>
    <row r="2496">
      <c r="A2496">
        <f>IF(OHW!$G1449="","","OHW")</f>
        <v/>
      </c>
      <c r="B2496">
        <f>IF(OHW!$G1449="","","OHW")</f>
        <v/>
      </c>
      <c r="C2496" s="18">
        <f>IF(OHW!$G1449="","",OHW!$A1449)</f>
        <v/>
      </c>
      <c r="F2496">
        <f>IF(OHW!$G1449="","",OHW!$B1449&amp;"")</f>
        <v/>
      </c>
      <c r="J2496">
        <f>IF(OHW!$G1449="","",OHW!$E1449)</f>
        <v/>
      </c>
      <c r="K2496">
        <f>IF(OHW!$G1449="","",COUNTIFS(OHW!$A$5:$A$1668,OHW!$A1449,OHW!$C$5:$C$1668,OHW!$C1449))</f>
        <v/>
      </c>
      <c r="L2496">
        <f>IF(OHW!$G1449="","",OHW!$D1449&amp;"")</f>
        <v/>
      </c>
      <c r="M2496">
        <f>IF(OHW!$G1449="","",OHW!$F1449)</f>
        <v/>
      </c>
      <c r="N2496">
        <f>IF(OHW!$G1449="","",OHW!$G1449)</f>
        <v/>
      </c>
      <c r="O2496">
        <f>IF(OHW!$G1449="","",OHW!$I1449)</f>
        <v/>
      </c>
      <c r="P2496">
        <f>IF(OHW!$G1449="","","Final")</f>
        <v/>
      </c>
    </row>
    <row r="2497">
      <c r="A2497">
        <f>IF(OHW!$G1450="","","OHW")</f>
        <v/>
      </c>
      <c r="B2497">
        <f>IF(OHW!$G1450="","","OHW")</f>
        <v/>
      </c>
      <c r="C2497" s="18">
        <f>IF(OHW!$G1450="","",OHW!$A1450)</f>
        <v/>
      </c>
      <c r="F2497">
        <f>IF(OHW!$G1450="","",OHW!$B1450&amp;"")</f>
        <v/>
      </c>
      <c r="J2497">
        <f>IF(OHW!$G1450="","",OHW!$E1450)</f>
        <v/>
      </c>
      <c r="K2497">
        <f>IF(OHW!$G1450="","",COUNTIFS(OHW!$A$5:$A$1668,OHW!$A1450,OHW!$C$5:$C$1668,OHW!$C1450))</f>
        <v/>
      </c>
      <c r="L2497">
        <f>IF(OHW!$G1450="","",OHW!$D1450&amp;"")</f>
        <v/>
      </c>
      <c r="M2497">
        <f>IF(OHW!$G1450="","",OHW!$F1450)</f>
        <v/>
      </c>
      <c r="N2497">
        <f>IF(OHW!$G1450="","",OHW!$G1450)</f>
        <v/>
      </c>
      <c r="O2497">
        <f>IF(OHW!$G1450="","",OHW!$I1450)</f>
        <v/>
      </c>
      <c r="P2497">
        <f>IF(OHW!$G1450="","","Final")</f>
        <v/>
      </c>
    </row>
    <row r="2498">
      <c r="A2498">
        <f>IF(OHW!$G1451="","","OHW")</f>
        <v/>
      </c>
      <c r="B2498">
        <f>IF(OHW!$G1451="","","OHW")</f>
        <v/>
      </c>
      <c r="C2498" s="18">
        <f>IF(OHW!$G1451="","",OHW!$A1451)</f>
        <v/>
      </c>
      <c r="F2498">
        <f>IF(OHW!$G1451="","",OHW!$B1451&amp;"")</f>
        <v/>
      </c>
      <c r="J2498">
        <f>IF(OHW!$G1451="","",OHW!$E1451)</f>
        <v/>
      </c>
      <c r="K2498">
        <f>IF(OHW!$G1451="","",COUNTIFS(OHW!$A$5:$A$1668,OHW!$A1451,OHW!$C$5:$C$1668,OHW!$C1451))</f>
        <v/>
      </c>
      <c r="L2498">
        <f>IF(OHW!$G1451="","",OHW!$D1451&amp;"")</f>
        <v/>
      </c>
      <c r="M2498">
        <f>IF(OHW!$G1451="","",OHW!$F1451)</f>
        <v/>
      </c>
      <c r="N2498">
        <f>IF(OHW!$G1451="","",OHW!$G1451)</f>
        <v/>
      </c>
      <c r="O2498">
        <f>IF(OHW!$G1451="","",OHW!$I1451)</f>
        <v/>
      </c>
      <c r="P2498">
        <f>IF(OHW!$G1451="","","Final")</f>
        <v/>
      </c>
    </row>
    <row r="2499">
      <c r="A2499">
        <f>IF(OHW!$G1452="","","OHW")</f>
        <v/>
      </c>
      <c r="B2499">
        <f>IF(OHW!$G1452="","","OHW")</f>
        <v/>
      </c>
      <c r="C2499" s="18">
        <f>IF(OHW!$G1452="","",OHW!$A1452)</f>
        <v/>
      </c>
      <c r="F2499">
        <f>IF(OHW!$G1452="","",OHW!$B1452&amp;"")</f>
        <v/>
      </c>
      <c r="J2499">
        <f>IF(OHW!$G1452="","",OHW!$E1452)</f>
        <v/>
      </c>
      <c r="K2499">
        <f>IF(OHW!$G1452="","",COUNTIFS(OHW!$A$5:$A$1668,OHW!$A1452,OHW!$C$5:$C$1668,OHW!$C1452))</f>
        <v/>
      </c>
      <c r="L2499">
        <f>IF(OHW!$G1452="","",OHW!$D1452&amp;"")</f>
        <v/>
      </c>
      <c r="M2499">
        <f>IF(OHW!$G1452="","",OHW!$F1452)</f>
        <v/>
      </c>
      <c r="N2499">
        <f>IF(OHW!$G1452="","",OHW!$G1452)</f>
        <v/>
      </c>
      <c r="O2499">
        <f>IF(OHW!$G1452="","",OHW!$I1452)</f>
        <v/>
      </c>
      <c r="P2499">
        <f>IF(OHW!$G1452="","","Final")</f>
        <v/>
      </c>
    </row>
    <row r="2500">
      <c r="A2500">
        <f>IF(OHW!$G1453="","","OHW")</f>
        <v/>
      </c>
      <c r="B2500">
        <f>IF(OHW!$G1453="","","OHW")</f>
        <v/>
      </c>
      <c r="C2500" s="18">
        <f>IF(OHW!$G1453="","",OHW!$A1453)</f>
        <v/>
      </c>
      <c r="F2500">
        <f>IF(OHW!$G1453="","",OHW!$B1453&amp;"")</f>
        <v/>
      </c>
      <c r="J2500">
        <f>IF(OHW!$G1453="","",OHW!$E1453)</f>
        <v/>
      </c>
      <c r="K2500">
        <f>IF(OHW!$G1453="","",COUNTIFS(OHW!$A$5:$A$1668,OHW!$A1453,OHW!$C$5:$C$1668,OHW!$C1453))</f>
        <v/>
      </c>
      <c r="L2500">
        <f>IF(OHW!$G1453="","",OHW!$D1453&amp;"")</f>
        <v/>
      </c>
      <c r="M2500">
        <f>IF(OHW!$G1453="","",OHW!$F1453)</f>
        <v/>
      </c>
      <c r="N2500">
        <f>IF(OHW!$G1453="","",OHW!$G1453)</f>
        <v/>
      </c>
      <c r="O2500">
        <f>IF(OHW!$G1453="","",OHW!$I1453)</f>
        <v/>
      </c>
      <c r="P2500">
        <f>IF(OHW!$G1453="","","Final")</f>
        <v/>
      </c>
    </row>
    <row r="2501">
      <c r="A2501">
        <f>IF(OHW!$G1454="","","OHW")</f>
        <v/>
      </c>
      <c r="B2501">
        <f>IF(OHW!$G1454="","","OHW")</f>
        <v/>
      </c>
      <c r="C2501" s="18">
        <f>IF(OHW!$G1454="","",OHW!$A1454)</f>
        <v/>
      </c>
      <c r="F2501">
        <f>IF(OHW!$G1454="","",OHW!$B1454&amp;"")</f>
        <v/>
      </c>
      <c r="J2501">
        <f>IF(OHW!$G1454="","",OHW!$E1454)</f>
        <v/>
      </c>
      <c r="K2501">
        <f>IF(OHW!$G1454="","",COUNTIFS(OHW!$A$5:$A$1668,OHW!$A1454,OHW!$C$5:$C$1668,OHW!$C1454))</f>
        <v/>
      </c>
      <c r="L2501">
        <f>IF(OHW!$G1454="","",OHW!$D1454&amp;"")</f>
        <v/>
      </c>
      <c r="M2501">
        <f>IF(OHW!$G1454="","",OHW!$F1454)</f>
        <v/>
      </c>
      <c r="N2501">
        <f>IF(OHW!$G1454="","",OHW!$G1454)</f>
        <v/>
      </c>
      <c r="O2501">
        <f>IF(OHW!$G1454="","",OHW!$I1454)</f>
        <v/>
      </c>
      <c r="P2501">
        <f>IF(OHW!$G1454="","","Final")</f>
        <v/>
      </c>
    </row>
    <row r="2502">
      <c r="A2502">
        <f>IF(OHW!$G1455="","","OHW")</f>
        <v/>
      </c>
      <c r="B2502">
        <f>IF(OHW!$G1455="","","OHW")</f>
        <v/>
      </c>
      <c r="C2502" s="18">
        <f>IF(OHW!$G1455="","",OHW!$A1455)</f>
        <v/>
      </c>
      <c r="F2502">
        <f>IF(OHW!$G1455="","",OHW!$B1455&amp;"")</f>
        <v/>
      </c>
      <c r="J2502">
        <f>IF(OHW!$G1455="","",OHW!$E1455)</f>
        <v/>
      </c>
      <c r="K2502">
        <f>IF(OHW!$G1455="","",COUNTIFS(OHW!$A$5:$A$1668,OHW!$A1455,OHW!$C$5:$C$1668,OHW!$C1455))</f>
        <v/>
      </c>
      <c r="L2502">
        <f>IF(OHW!$G1455="","",OHW!$D1455&amp;"")</f>
        <v/>
      </c>
      <c r="M2502">
        <f>IF(OHW!$G1455="","",OHW!$F1455)</f>
        <v/>
      </c>
      <c r="N2502">
        <f>IF(OHW!$G1455="","",OHW!$G1455)</f>
        <v/>
      </c>
      <c r="O2502">
        <f>IF(OHW!$G1455="","",OHW!$I1455)</f>
        <v/>
      </c>
      <c r="P2502">
        <f>IF(OHW!$G1455="","","Final")</f>
        <v/>
      </c>
    </row>
    <row r="2503">
      <c r="A2503">
        <f>IF(OHW!$G1456="","","OHW")</f>
        <v/>
      </c>
      <c r="B2503">
        <f>IF(OHW!$G1456="","","OHW")</f>
        <v/>
      </c>
      <c r="C2503" s="18">
        <f>IF(OHW!$G1456="","",OHW!$A1456)</f>
        <v/>
      </c>
      <c r="F2503">
        <f>IF(OHW!$G1456="","",OHW!$B1456&amp;"")</f>
        <v/>
      </c>
      <c r="J2503">
        <f>IF(OHW!$G1456="","",OHW!$E1456)</f>
        <v/>
      </c>
      <c r="K2503">
        <f>IF(OHW!$G1456="","",COUNTIFS(OHW!$A$5:$A$1668,OHW!$A1456,OHW!$C$5:$C$1668,OHW!$C1456))</f>
        <v/>
      </c>
      <c r="L2503">
        <f>IF(OHW!$G1456="","",OHW!$D1456&amp;"")</f>
        <v/>
      </c>
      <c r="M2503">
        <f>IF(OHW!$G1456="","",OHW!$F1456)</f>
        <v/>
      </c>
      <c r="N2503">
        <f>IF(OHW!$G1456="","",OHW!$G1456)</f>
        <v/>
      </c>
      <c r="O2503">
        <f>IF(OHW!$G1456="","",OHW!$I1456)</f>
        <v/>
      </c>
      <c r="P2503">
        <f>IF(OHW!$G1456="","","Final")</f>
        <v/>
      </c>
    </row>
    <row r="2504">
      <c r="A2504">
        <f>IF(OHW!$G1457="","","OHW")</f>
        <v/>
      </c>
      <c r="B2504">
        <f>IF(OHW!$G1457="","","OHW")</f>
        <v/>
      </c>
      <c r="C2504" s="18">
        <f>IF(OHW!$G1457="","",OHW!$A1457)</f>
        <v/>
      </c>
      <c r="F2504">
        <f>IF(OHW!$G1457="","",OHW!$B1457&amp;"")</f>
        <v/>
      </c>
      <c r="J2504">
        <f>IF(OHW!$G1457="","",OHW!$E1457)</f>
        <v/>
      </c>
      <c r="K2504">
        <f>IF(OHW!$G1457="","",COUNTIFS(OHW!$A$5:$A$1668,OHW!$A1457,OHW!$C$5:$C$1668,OHW!$C1457))</f>
        <v/>
      </c>
      <c r="L2504">
        <f>IF(OHW!$G1457="","",OHW!$D1457&amp;"")</f>
        <v/>
      </c>
      <c r="M2504">
        <f>IF(OHW!$G1457="","",OHW!$F1457)</f>
        <v/>
      </c>
      <c r="N2504">
        <f>IF(OHW!$G1457="","",OHW!$G1457)</f>
        <v/>
      </c>
      <c r="O2504">
        <f>IF(OHW!$G1457="","",OHW!$I1457)</f>
        <v/>
      </c>
      <c r="P2504">
        <f>IF(OHW!$G1457="","","Final")</f>
        <v/>
      </c>
    </row>
    <row r="2505">
      <c r="A2505">
        <f>IF(OHW!$G1458="","","OHW")</f>
        <v/>
      </c>
      <c r="B2505">
        <f>IF(OHW!$G1458="","","OHW")</f>
        <v/>
      </c>
      <c r="C2505" s="18">
        <f>IF(OHW!$G1458="","",OHW!$A1458)</f>
        <v/>
      </c>
      <c r="F2505">
        <f>IF(OHW!$G1458="","",OHW!$B1458&amp;"")</f>
        <v/>
      </c>
      <c r="J2505">
        <f>IF(OHW!$G1458="","",OHW!$E1458)</f>
        <v/>
      </c>
      <c r="K2505">
        <f>IF(OHW!$G1458="","",COUNTIFS(OHW!$A$5:$A$1668,OHW!$A1458,OHW!$C$5:$C$1668,OHW!$C1458))</f>
        <v/>
      </c>
      <c r="L2505">
        <f>IF(OHW!$G1458="","",OHW!$D1458&amp;"")</f>
        <v/>
      </c>
      <c r="M2505">
        <f>IF(OHW!$G1458="","",OHW!$F1458)</f>
        <v/>
      </c>
      <c r="N2505">
        <f>IF(OHW!$G1458="","",OHW!$G1458)</f>
        <v/>
      </c>
      <c r="O2505">
        <f>IF(OHW!$G1458="","",OHW!$I1458)</f>
        <v/>
      </c>
      <c r="P2505">
        <f>IF(OHW!$G1458="","","Final")</f>
        <v/>
      </c>
    </row>
    <row r="2506">
      <c r="A2506">
        <f>IF(OHW!$G1459="","","OHW")</f>
        <v/>
      </c>
      <c r="B2506">
        <f>IF(OHW!$G1459="","","OHW")</f>
        <v/>
      </c>
      <c r="C2506" s="18">
        <f>IF(OHW!$G1459="","",OHW!$A1459)</f>
        <v/>
      </c>
      <c r="F2506">
        <f>IF(OHW!$G1459="","",OHW!$B1459&amp;"")</f>
        <v/>
      </c>
      <c r="J2506">
        <f>IF(OHW!$G1459="","",OHW!$E1459)</f>
        <v/>
      </c>
      <c r="K2506">
        <f>IF(OHW!$G1459="","",COUNTIFS(OHW!$A$5:$A$1668,OHW!$A1459,OHW!$C$5:$C$1668,OHW!$C1459))</f>
        <v/>
      </c>
      <c r="L2506">
        <f>IF(OHW!$G1459="","",OHW!$D1459&amp;"")</f>
        <v/>
      </c>
      <c r="M2506">
        <f>IF(OHW!$G1459="","",OHW!$F1459)</f>
        <v/>
      </c>
      <c r="N2506">
        <f>IF(OHW!$G1459="","",OHW!$G1459)</f>
        <v/>
      </c>
      <c r="O2506">
        <f>IF(OHW!$G1459="","",OHW!$I1459)</f>
        <v/>
      </c>
      <c r="P2506">
        <f>IF(OHW!$G1459="","","Final")</f>
        <v/>
      </c>
    </row>
    <row r="2507">
      <c r="A2507">
        <f>IF(OHW!$G1460="","","OHW")</f>
        <v/>
      </c>
      <c r="B2507">
        <f>IF(OHW!$G1460="","","OHW")</f>
        <v/>
      </c>
      <c r="C2507" s="18">
        <f>IF(OHW!$G1460="","",OHW!$A1460)</f>
        <v/>
      </c>
      <c r="F2507">
        <f>IF(OHW!$G1460="","",OHW!$B1460&amp;"")</f>
        <v/>
      </c>
      <c r="J2507">
        <f>IF(OHW!$G1460="","",OHW!$E1460)</f>
        <v/>
      </c>
      <c r="K2507">
        <f>IF(OHW!$G1460="","",COUNTIFS(OHW!$A$5:$A$1668,OHW!$A1460,OHW!$C$5:$C$1668,OHW!$C1460))</f>
        <v/>
      </c>
      <c r="L2507">
        <f>IF(OHW!$G1460="","",OHW!$D1460&amp;"")</f>
        <v/>
      </c>
      <c r="M2507">
        <f>IF(OHW!$G1460="","",OHW!$F1460)</f>
        <v/>
      </c>
      <c r="N2507">
        <f>IF(OHW!$G1460="","",OHW!$G1460)</f>
        <v/>
      </c>
      <c r="O2507">
        <f>IF(OHW!$G1460="","",OHW!$I1460)</f>
        <v/>
      </c>
      <c r="P2507">
        <f>IF(OHW!$G1460="","","Final")</f>
        <v/>
      </c>
    </row>
    <row r="2508">
      <c r="A2508">
        <f>IF(OHW!$G1461="","","OHW")</f>
        <v/>
      </c>
      <c r="B2508">
        <f>IF(OHW!$G1461="","","OHW")</f>
        <v/>
      </c>
      <c r="C2508" s="18">
        <f>IF(OHW!$G1461="","",OHW!$A1461)</f>
        <v/>
      </c>
      <c r="F2508">
        <f>IF(OHW!$G1461="","",OHW!$B1461&amp;"")</f>
        <v/>
      </c>
      <c r="J2508">
        <f>IF(OHW!$G1461="","",OHW!$E1461)</f>
        <v/>
      </c>
      <c r="K2508">
        <f>IF(OHW!$G1461="","",COUNTIFS(OHW!$A$5:$A$1668,OHW!$A1461,OHW!$C$5:$C$1668,OHW!$C1461))</f>
        <v/>
      </c>
      <c r="L2508">
        <f>IF(OHW!$G1461="","",OHW!$D1461&amp;"")</f>
        <v/>
      </c>
      <c r="M2508">
        <f>IF(OHW!$G1461="","",OHW!$F1461)</f>
        <v/>
      </c>
      <c r="N2508">
        <f>IF(OHW!$G1461="","",OHW!$G1461)</f>
        <v/>
      </c>
      <c r="O2508">
        <f>IF(OHW!$G1461="","",OHW!$I1461)</f>
        <v/>
      </c>
      <c r="P2508">
        <f>IF(OHW!$G1461="","","Final")</f>
        <v/>
      </c>
    </row>
    <row r="2509">
      <c r="A2509">
        <f>IF(OHW!$G1462="","","OHW")</f>
        <v/>
      </c>
      <c r="B2509">
        <f>IF(OHW!$G1462="","","OHW")</f>
        <v/>
      </c>
      <c r="C2509" s="18">
        <f>IF(OHW!$G1462="","",OHW!$A1462)</f>
        <v/>
      </c>
      <c r="F2509">
        <f>IF(OHW!$G1462="","",OHW!$B1462&amp;"")</f>
        <v/>
      </c>
      <c r="J2509">
        <f>IF(OHW!$G1462="","",OHW!$E1462)</f>
        <v/>
      </c>
      <c r="K2509">
        <f>IF(OHW!$G1462="","",COUNTIFS(OHW!$A$5:$A$1668,OHW!$A1462,OHW!$C$5:$C$1668,OHW!$C1462))</f>
        <v/>
      </c>
      <c r="L2509">
        <f>IF(OHW!$G1462="","",OHW!$D1462&amp;"")</f>
        <v/>
      </c>
      <c r="M2509">
        <f>IF(OHW!$G1462="","",OHW!$F1462)</f>
        <v/>
      </c>
      <c r="N2509">
        <f>IF(OHW!$G1462="","",OHW!$G1462)</f>
        <v/>
      </c>
      <c r="O2509">
        <f>IF(OHW!$G1462="","",OHW!$I1462)</f>
        <v/>
      </c>
      <c r="P2509">
        <f>IF(OHW!$G1462="","","Final")</f>
        <v/>
      </c>
    </row>
    <row r="2510">
      <c r="A2510">
        <f>IF(OHW!$G1463="","","OHW")</f>
        <v/>
      </c>
      <c r="B2510">
        <f>IF(OHW!$G1463="","","OHW")</f>
        <v/>
      </c>
      <c r="C2510" s="18">
        <f>IF(OHW!$G1463="","",OHW!$A1463)</f>
        <v/>
      </c>
      <c r="F2510">
        <f>IF(OHW!$G1463="","",OHW!$B1463&amp;"")</f>
        <v/>
      </c>
      <c r="J2510">
        <f>IF(OHW!$G1463="","",OHW!$E1463)</f>
        <v/>
      </c>
      <c r="K2510">
        <f>IF(OHW!$G1463="","",COUNTIFS(OHW!$A$5:$A$1668,OHW!$A1463,OHW!$C$5:$C$1668,OHW!$C1463))</f>
        <v/>
      </c>
      <c r="L2510">
        <f>IF(OHW!$G1463="","",OHW!$D1463&amp;"")</f>
        <v/>
      </c>
      <c r="M2510">
        <f>IF(OHW!$G1463="","",OHW!$F1463)</f>
        <v/>
      </c>
      <c r="N2510">
        <f>IF(OHW!$G1463="","",OHW!$G1463)</f>
        <v/>
      </c>
      <c r="O2510">
        <f>IF(OHW!$G1463="","",OHW!$I1463)</f>
        <v/>
      </c>
      <c r="P2510">
        <f>IF(OHW!$G1463="","","Final")</f>
        <v/>
      </c>
    </row>
    <row r="2511">
      <c r="A2511">
        <f>IF(OHW!$G1464="","","OHW")</f>
        <v/>
      </c>
      <c r="B2511">
        <f>IF(OHW!$G1464="","","OHW")</f>
        <v/>
      </c>
      <c r="C2511" s="18">
        <f>IF(OHW!$G1464="","",OHW!$A1464)</f>
        <v/>
      </c>
      <c r="F2511">
        <f>IF(OHW!$G1464="","",OHW!$B1464&amp;"")</f>
        <v/>
      </c>
      <c r="J2511">
        <f>IF(OHW!$G1464="","",OHW!$E1464)</f>
        <v/>
      </c>
      <c r="K2511">
        <f>IF(OHW!$G1464="","",COUNTIFS(OHW!$A$5:$A$1668,OHW!$A1464,OHW!$C$5:$C$1668,OHW!$C1464))</f>
        <v/>
      </c>
      <c r="L2511">
        <f>IF(OHW!$G1464="","",OHW!$D1464&amp;"")</f>
        <v/>
      </c>
      <c r="M2511">
        <f>IF(OHW!$G1464="","",OHW!$F1464)</f>
        <v/>
      </c>
      <c r="N2511">
        <f>IF(OHW!$G1464="","",OHW!$G1464)</f>
        <v/>
      </c>
      <c r="O2511">
        <f>IF(OHW!$G1464="","",OHW!$I1464)</f>
        <v/>
      </c>
      <c r="P2511">
        <f>IF(OHW!$G1464="","","Final")</f>
        <v/>
      </c>
    </row>
    <row r="2512">
      <c r="A2512">
        <f>IF(OHW!$G1465="","","OHW")</f>
        <v/>
      </c>
      <c r="B2512">
        <f>IF(OHW!$G1465="","","OHW")</f>
        <v/>
      </c>
      <c r="C2512" s="18">
        <f>IF(OHW!$G1465="","",OHW!$A1465)</f>
        <v/>
      </c>
      <c r="F2512">
        <f>IF(OHW!$G1465="","",OHW!$B1465&amp;"")</f>
        <v/>
      </c>
      <c r="J2512">
        <f>IF(OHW!$G1465="","",OHW!$E1465)</f>
        <v/>
      </c>
      <c r="K2512">
        <f>IF(OHW!$G1465="","",COUNTIFS(OHW!$A$5:$A$1668,OHW!$A1465,OHW!$C$5:$C$1668,OHW!$C1465))</f>
        <v/>
      </c>
      <c r="L2512">
        <f>IF(OHW!$G1465="","",OHW!$D1465&amp;"")</f>
        <v/>
      </c>
      <c r="M2512">
        <f>IF(OHW!$G1465="","",OHW!$F1465)</f>
        <v/>
      </c>
      <c r="N2512">
        <f>IF(OHW!$G1465="","",OHW!$G1465)</f>
        <v/>
      </c>
      <c r="O2512">
        <f>IF(OHW!$G1465="","",OHW!$I1465)</f>
        <v/>
      </c>
      <c r="P2512">
        <f>IF(OHW!$G1465="","","Final")</f>
        <v/>
      </c>
    </row>
    <row r="2513">
      <c r="A2513">
        <f>IF(OHW!$G1466="","","OHW")</f>
        <v/>
      </c>
      <c r="B2513">
        <f>IF(OHW!$G1466="","","OHW")</f>
        <v/>
      </c>
      <c r="C2513" s="18">
        <f>IF(OHW!$G1466="","",OHW!$A1466)</f>
        <v/>
      </c>
      <c r="F2513">
        <f>IF(OHW!$G1466="","",OHW!$B1466&amp;"")</f>
        <v/>
      </c>
      <c r="J2513">
        <f>IF(OHW!$G1466="","",OHW!$E1466)</f>
        <v/>
      </c>
      <c r="K2513">
        <f>IF(OHW!$G1466="","",COUNTIFS(OHW!$A$5:$A$1668,OHW!$A1466,OHW!$C$5:$C$1668,OHW!$C1466))</f>
        <v/>
      </c>
      <c r="L2513">
        <f>IF(OHW!$G1466="","",OHW!$D1466&amp;"")</f>
        <v/>
      </c>
      <c r="M2513">
        <f>IF(OHW!$G1466="","",OHW!$F1466)</f>
        <v/>
      </c>
      <c r="N2513">
        <f>IF(OHW!$G1466="","",OHW!$G1466)</f>
        <v/>
      </c>
      <c r="O2513">
        <f>IF(OHW!$G1466="","",OHW!$I1466)</f>
        <v/>
      </c>
      <c r="P2513">
        <f>IF(OHW!$G1466="","","Final")</f>
        <v/>
      </c>
    </row>
    <row r="2514">
      <c r="A2514">
        <f>IF(OHW!$G1467="","","OHW")</f>
        <v/>
      </c>
      <c r="B2514">
        <f>IF(OHW!$G1467="","","OHW")</f>
        <v/>
      </c>
      <c r="C2514" s="18">
        <f>IF(OHW!$G1467="","",OHW!$A1467)</f>
        <v/>
      </c>
      <c r="F2514">
        <f>IF(OHW!$G1467="","",OHW!$B1467&amp;"")</f>
        <v/>
      </c>
      <c r="J2514">
        <f>IF(OHW!$G1467="","",OHW!$E1467)</f>
        <v/>
      </c>
      <c r="K2514">
        <f>IF(OHW!$G1467="","",COUNTIFS(OHW!$A$5:$A$1668,OHW!$A1467,OHW!$C$5:$C$1668,OHW!$C1467))</f>
        <v/>
      </c>
      <c r="L2514">
        <f>IF(OHW!$G1467="","",OHW!$D1467&amp;"")</f>
        <v/>
      </c>
      <c r="M2514">
        <f>IF(OHW!$G1467="","",OHW!$F1467)</f>
        <v/>
      </c>
      <c r="N2514">
        <f>IF(OHW!$G1467="","",OHW!$G1467)</f>
        <v/>
      </c>
      <c r="O2514">
        <f>IF(OHW!$G1467="","",OHW!$I1467)</f>
        <v/>
      </c>
      <c r="P2514">
        <f>IF(OHW!$G1467="","","Final")</f>
        <v/>
      </c>
    </row>
    <row r="2515">
      <c r="A2515">
        <f>IF(OHW!$G1468="","","OHW")</f>
        <v/>
      </c>
      <c r="B2515">
        <f>IF(OHW!$G1468="","","OHW")</f>
        <v/>
      </c>
      <c r="C2515" s="18">
        <f>IF(OHW!$G1468="","",OHW!$A1468)</f>
        <v/>
      </c>
      <c r="F2515">
        <f>IF(OHW!$G1468="","",OHW!$B1468&amp;"")</f>
        <v/>
      </c>
      <c r="J2515">
        <f>IF(OHW!$G1468="","",OHW!$E1468)</f>
        <v/>
      </c>
      <c r="K2515">
        <f>IF(OHW!$G1468="","",COUNTIFS(OHW!$A$5:$A$1668,OHW!$A1468,OHW!$C$5:$C$1668,OHW!$C1468))</f>
        <v/>
      </c>
      <c r="L2515">
        <f>IF(OHW!$G1468="","",OHW!$D1468&amp;"")</f>
        <v/>
      </c>
      <c r="M2515">
        <f>IF(OHW!$G1468="","",OHW!$F1468)</f>
        <v/>
      </c>
      <c r="N2515">
        <f>IF(OHW!$G1468="","",OHW!$G1468)</f>
        <v/>
      </c>
      <c r="O2515">
        <f>IF(OHW!$G1468="","",OHW!$I1468)</f>
        <v/>
      </c>
      <c r="P2515">
        <f>IF(OHW!$G1468="","","Final")</f>
        <v/>
      </c>
    </row>
    <row r="2516">
      <c r="A2516">
        <f>IF(OHW!$G1469="","","OHW")</f>
        <v/>
      </c>
      <c r="B2516">
        <f>IF(OHW!$G1469="","","OHW")</f>
        <v/>
      </c>
      <c r="C2516" s="18">
        <f>IF(OHW!$G1469="","",OHW!$A1469)</f>
        <v/>
      </c>
      <c r="F2516">
        <f>IF(OHW!$G1469="","",OHW!$B1469&amp;"")</f>
        <v/>
      </c>
      <c r="J2516">
        <f>IF(OHW!$G1469="","",OHW!$E1469)</f>
        <v/>
      </c>
      <c r="K2516">
        <f>IF(OHW!$G1469="","",COUNTIFS(OHW!$A$5:$A$1668,OHW!$A1469,OHW!$C$5:$C$1668,OHW!$C1469))</f>
        <v/>
      </c>
      <c r="L2516">
        <f>IF(OHW!$G1469="","",OHW!$D1469&amp;"")</f>
        <v/>
      </c>
      <c r="M2516">
        <f>IF(OHW!$G1469="","",OHW!$F1469)</f>
        <v/>
      </c>
      <c r="N2516">
        <f>IF(OHW!$G1469="","",OHW!$G1469)</f>
        <v/>
      </c>
      <c r="O2516">
        <f>IF(OHW!$G1469="","",OHW!$I1469)</f>
        <v/>
      </c>
      <c r="P2516">
        <f>IF(OHW!$G1469="","","Final")</f>
        <v/>
      </c>
    </row>
    <row r="2517">
      <c r="A2517">
        <f>IF(OHW!$G1470="","","OHW")</f>
        <v/>
      </c>
      <c r="B2517">
        <f>IF(OHW!$G1470="","","OHW")</f>
        <v/>
      </c>
      <c r="C2517" s="18">
        <f>IF(OHW!$G1470="","",OHW!$A1470)</f>
        <v/>
      </c>
      <c r="F2517">
        <f>IF(OHW!$G1470="","",OHW!$B1470&amp;"")</f>
        <v/>
      </c>
      <c r="J2517">
        <f>IF(OHW!$G1470="","",OHW!$E1470)</f>
        <v/>
      </c>
      <c r="K2517">
        <f>IF(OHW!$G1470="","",COUNTIFS(OHW!$A$5:$A$1668,OHW!$A1470,OHW!$C$5:$C$1668,OHW!$C1470))</f>
        <v/>
      </c>
      <c r="L2517">
        <f>IF(OHW!$G1470="","",OHW!$D1470&amp;"")</f>
        <v/>
      </c>
      <c r="M2517">
        <f>IF(OHW!$G1470="","",OHW!$F1470)</f>
        <v/>
      </c>
      <c r="N2517">
        <f>IF(OHW!$G1470="","",OHW!$G1470)</f>
        <v/>
      </c>
      <c r="O2517">
        <f>IF(OHW!$G1470="","",OHW!$I1470)</f>
        <v/>
      </c>
      <c r="P2517">
        <f>IF(OHW!$G1470="","","Final")</f>
        <v/>
      </c>
    </row>
    <row r="2518">
      <c r="A2518">
        <f>IF(OHW!$G1471="","","OHW")</f>
        <v/>
      </c>
      <c r="B2518">
        <f>IF(OHW!$G1471="","","OHW")</f>
        <v/>
      </c>
      <c r="C2518" s="18">
        <f>IF(OHW!$G1471="","",OHW!$A1471)</f>
        <v/>
      </c>
      <c r="F2518">
        <f>IF(OHW!$G1471="","",OHW!$B1471&amp;"")</f>
        <v/>
      </c>
      <c r="J2518">
        <f>IF(OHW!$G1471="","",OHW!$E1471)</f>
        <v/>
      </c>
      <c r="K2518">
        <f>IF(OHW!$G1471="","",COUNTIFS(OHW!$A$5:$A$1668,OHW!$A1471,OHW!$C$5:$C$1668,OHW!$C1471))</f>
        <v/>
      </c>
      <c r="L2518">
        <f>IF(OHW!$G1471="","",OHW!$D1471&amp;"")</f>
        <v/>
      </c>
      <c r="M2518">
        <f>IF(OHW!$G1471="","",OHW!$F1471)</f>
        <v/>
      </c>
      <c r="N2518">
        <f>IF(OHW!$G1471="","",OHW!$G1471)</f>
        <v/>
      </c>
      <c r="O2518">
        <f>IF(OHW!$G1471="","",OHW!$I1471)</f>
        <v/>
      </c>
      <c r="P2518">
        <f>IF(OHW!$G1471="","","Final")</f>
        <v/>
      </c>
    </row>
    <row r="2519">
      <c r="A2519">
        <f>IF(OHW!$G1472="","","OHW")</f>
        <v/>
      </c>
      <c r="B2519">
        <f>IF(OHW!$G1472="","","OHW")</f>
        <v/>
      </c>
      <c r="C2519" s="18">
        <f>IF(OHW!$G1472="","",OHW!$A1472)</f>
        <v/>
      </c>
      <c r="F2519">
        <f>IF(OHW!$G1472="","",OHW!$B1472&amp;"")</f>
        <v/>
      </c>
      <c r="J2519">
        <f>IF(OHW!$G1472="","",OHW!$E1472)</f>
        <v/>
      </c>
      <c r="K2519">
        <f>IF(OHW!$G1472="","",COUNTIFS(OHW!$A$5:$A$1668,OHW!$A1472,OHW!$C$5:$C$1668,OHW!$C1472))</f>
        <v/>
      </c>
      <c r="L2519">
        <f>IF(OHW!$G1472="","",OHW!$D1472&amp;"")</f>
        <v/>
      </c>
      <c r="M2519">
        <f>IF(OHW!$G1472="","",OHW!$F1472)</f>
        <v/>
      </c>
      <c r="N2519">
        <f>IF(OHW!$G1472="","",OHW!$G1472)</f>
        <v/>
      </c>
      <c r="O2519">
        <f>IF(OHW!$G1472="","",OHW!$I1472)</f>
        <v/>
      </c>
      <c r="P2519">
        <f>IF(OHW!$G1472="","","Final")</f>
        <v/>
      </c>
    </row>
    <row r="2520">
      <c r="A2520">
        <f>IF(OHW!$G1473="","","OHW")</f>
        <v/>
      </c>
      <c r="B2520">
        <f>IF(OHW!$G1473="","","OHW")</f>
        <v/>
      </c>
      <c r="C2520" s="18">
        <f>IF(OHW!$G1473="","",OHW!$A1473)</f>
        <v/>
      </c>
      <c r="F2520">
        <f>IF(OHW!$G1473="","",OHW!$B1473&amp;"")</f>
        <v/>
      </c>
      <c r="J2520">
        <f>IF(OHW!$G1473="","",OHW!$E1473)</f>
        <v/>
      </c>
      <c r="K2520">
        <f>IF(OHW!$G1473="","",COUNTIFS(OHW!$A$5:$A$1668,OHW!$A1473,OHW!$C$5:$C$1668,OHW!$C1473))</f>
        <v/>
      </c>
      <c r="L2520">
        <f>IF(OHW!$G1473="","",OHW!$D1473&amp;"")</f>
        <v/>
      </c>
      <c r="M2520">
        <f>IF(OHW!$G1473="","",OHW!$F1473)</f>
        <v/>
      </c>
      <c r="N2520">
        <f>IF(OHW!$G1473="","",OHW!$G1473)</f>
        <v/>
      </c>
      <c r="O2520">
        <f>IF(OHW!$G1473="","",OHW!$I1473)</f>
        <v/>
      </c>
      <c r="P2520">
        <f>IF(OHW!$G1473="","","Final")</f>
        <v/>
      </c>
    </row>
    <row r="2521">
      <c r="A2521">
        <f>IF(OHW!$G1474="","","OHW")</f>
        <v/>
      </c>
      <c r="B2521">
        <f>IF(OHW!$G1474="","","OHW")</f>
        <v/>
      </c>
      <c r="C2521" s="18">
        <f>IF(OHW!$G1474="","",OHW!$A1474)</f>
        <v/>
      </c>
      <c r="F2521">
        <f>IF(OHW!$G1474="","",OHW!$B1474&amp;"")</f>
        <v/>
      </c>
      <c r="J2521">
        <f>IF(OHW!$G1474="","",OHW!$E1474)</f>
        <v/>
      </c>
      <c r="K2521">
        <f>IF(OHW!$G1474="","",COUNTIFS(OHW!$A$5:$A$1668,OHW!$A1474,OHW!$C$5:$C$1668,OHW!$C1474))</f>
        <v/>
      </c>
      <c r="L2521">
        <f>IF(OHW!$G1474="","",OHW!$D1474&amp;"")</f>
        <v/>
      </c>
      <c r="M2521">
        <f>IF(OHW!$G1474="","",OHW!$F1474)</f>
        <v/>
      </c>
      <c r="N2521">
        <f>IF(OHW!$G1474="","",OHW!$G1474)</f>
        <v/>
      </c>
      <c r="O2521">
        <f>IF(OHW!$G1474="","",OHW!$I1474)</f>
        <v/>
      </c>
      <c r="P2521">
        <f>IF(OHW!$G1474="","","Final")</f>
        <v/>
      </c>
    </row>
    <row r="2522">
      <c r="A2522">
        <f>IF(OHW!$G1475="","","OHW")</f>
        <v/>
      </c>
      <c r="B2522">
        <f>IF(OHW!$G1475="","","OHW")</f>
        <v/>
      </c>
      <c r="C2522" s="18">
        <f>IF(OHW!$G1475="","",OHW!$A1475)</f>
        <v/>
      </c>
      <c r="F2522">
        <f>IF(OHW!$G1475="","",OHW!$B1475&amp;"")</f>
        <v/>
      </c>
      <c r="J2522">
        <f>IF(OHW!$G1475="","",OHW!$E1475)</f>
        <v/>
      </c>
      <c r="K2522">
        <f>IF(OHW!$G1475="","",COUNTIFS(OHW!$A$5:$A$1668,OHW!$A1475,OHW!$C$5:$C$1668,OHW!$C1475))</f>
        <v/>
      </c>
      <c r="L2522">
        <f>IF(OHW!$G1475="","",OHW!$D1475&amp;"")</f>
        <v/>
      </c>
      <c r="M2522">
        <f>IF(OHW!$G1475="","",OHW!$F1475)</f>
        <v/>
      </c>
      <c r="N2522">
        <f>IF(OHW!$G1475="","",OHW!$G1475)</f>
        <v/>
      </c>
      <c r="O2522">
        <f>IF(OHW!$G1475="","",OHW!$I1475)</f>
        <v/>
      </c>
      <c r="P2522">
        <f>IF(OHW!$G1475="","","Final")</f>
        <v/>
      </c>
    </row>
    <row r="2523">
      <c r="A2523">
        <f>IF(OHW!$G1476="","","OHW")</f>
        <v/>
      </c>
      <c r="B2523">
        <f>IF(OHW!$G1476="","","OHW")</f>
        <v/>
      </c>
      <c r="C2523" s="18">
        <f>IF(OHW!$G1476="","",OHW!$A1476)</f>
        <v/>
      </c>
      <c r="F2523">
        <f>IF(OHW!$G1476="","",OHW!$B1476&amp;"")</f>
        <v/>
      </c>
      <c r="J2523">
        <f>IF(OHW!$G1476="","",OHW!$E1476)</f>
        <v/>
      </c>
      <c r="K2523">
        <f>IF(OHW!$G1476="","",COUNTIFS(OHW!$A$5:$A$1668,OHW!$A1476,OHW!$C$5:$C$1668,OHW!$C1476))</f>
        <v/>
      </c>
      <c r="L2523">
        <f>IF(OHW!$G1476="","",OHW!$D1476&amp;"")</f>
        <v/>
      </c>
      <c r="M2523">
        <f>IF(OHW!$G1476="","",OHW!$F1476)</f>
        <v/>
      </c>
      <c r="N2523">
        <f>IF(OHW!$G1476="","",OHW!$G1476)</f>
        <v/>
      </c>
      <c r="O2523">
        <f>IF(OHW!$G1476="","",OHW!$I1476)</f>
        <v/>
      </c>
      <c r="P2523">
        <f>IF(OHW!$G1476="","","Final")</f>
        <v/>
      </c>
    </row>
    <row r="2524">
      <c r="A2524">
        <f>IF(OHW!$G1477="","","OHW")</f>
        <v/>
      </c>
      <c r="B2524">
        <f>IF(OHW!$G1477="","","OHW")</f>
        <v/>
      </c>
      <c r="C2524" s="18">
        <f>IF(OHW!$G1477="","",OHW!$A1477)</f>
        <v/>
      </c>
      <c r="F2524">
        <f>IF(OHW!$G1477="","",OHW!$B1477&amp;"")</f>
        <v/>
      </c>
      <c r="J2524">
        <f>IF(OHW!$G1477="","",OHW!$E1477)</f>
        <v/>
      </c>
      <c r="K2524">
        <f>IF(OHW!$G1477="","",COUNTIFS(OHW!$A$5:$A$1668,OHW!$A1477,OHW!$C$5:$C$1668,OHW!$C1477))</f>
        <v/>
      </c>
      <c r="L2524">
        <f>IF(OHW!$G1477="","",OHW!$D1477&amp;"")</f>
        <v/>
      </c>
      <c r="M2524">
        <f>IF(OHW!$G1477="","",OHW!$F1477)</f>
        <v/>
      </c>
      <c r="N2524">
        <f>IF(OHW!$G1477="","",OHW!$G1477)</f>
        <v/>
      </c>
      <c r="O2524">
        <f>IF(OHW!$G1477="","",OHW!$I1477)</f>
        <v/>
      </c>
      <c r="P2524">
        <f>IF(OHW!$G1477="","","Final")</f>
        <v/>
      </c>
    </row>
    <row r="2525">
      <c r="A2525">
        <f>IF(OHW!$G1478="","","OHW")</f>
        <v/>
      </c>
      <c r="B2525">
        <f>IF(OHW!$G1478="","","OHW")</f>
        <v/>
      </c>
      <c r="C2525" s="18">
        <f>IF(OHW!$G1478="","",OHW!$A1478)</f>
        <v/>
      </c>
      <c r="F2525">
        <f>IF(OHW!$G1478="","",OHW!$B1478&amp;"")</f>
        <v/>
      </c>
      <c r="J2525">
        <f>IF(OHW!$G1478="","",OHW!$E1478)</f>
        <v/>
      </c>
      <c r="K2525">
        <f>IF(OHW!$G1478="","",COUNTIFS(OHW!$A$5:$A$1668,OHW!$A1478,OHW!$C$5:$C$1668,OHW!$C1478))</f>
        <v/>
      </c>
      <c r="L2525">
        <f>IF(OHW!$G1478="","",OHW!$D1478&amp;"")</f>
        <v/>
      </c>
      <c r="M2525">
        <f>IF(OHW!$G1478="","",OHW!$F1478)</f>
        <v/>
      </c>
      <c r="N2525">
        <f>IF(OHW!$G1478="","",OHW!$G1478)</f>
        <v/>
      </c>
      <c r="O2525">
        <f>IF(OHW!$G1478="","",OHW!$I1478)</f>
        <v/>
      </c>
      <c r="P2525">
        <f>IF(OHW!$G1478="","","Final")</f>
        <v/>
      </c>
    </row>
    <row r="2526">
      <c r="A2526">
        <f>IF(OHW!$G1479="","","OHW")</f>
        <v/>
      </c>
      <c r="B2526">
        <f>IF(OHW!$G1479="","","OHW")</f>
        <v/>
      </c>
      <c r="C2526" s="18">
        <f>IF(OHW!$G1479="","",OHW!$A1479)</f>
        <v/>
      </c>
      <c r="F2526">
        <f>IF(OHW!$G1479="","",OHW!$B1479&amp;"")</f>
        <v/>
      </c>
      <c r="J2526">
        <f>IF(OHW!$G1479="","",OHW!$E1479)</f>
        <v/>
      </c>
      <c r="K2526">
        <f>IF(OHW!$G1479="","",COUNTIFS(OHW!$A$5:$A$1668,OHW!$A1479,OHW!$C$5:$C$1668,OHW!$C1479))</f>
        <v/>
      </c>
      <c r="L2526">
        <f>IF(OHW!$G1479="","",OHW!$D1479&amp;"")</f>
        <v/>
      </c>
      <c r="M2526">
        <f>IF(OHW!$G1479="","",OHW!$F1479)</f>
        <v/>
      </c>
      <c r="N2526">
        <f>IF(OHW!$G1479="","",OHW!$G1479)</f>
        <v/>
      </c>
      <c r="O2526">
        <f>IF(OHW!$G1479="","",OHW!$I1479)</f>
        <v/>
      </c>
      <c r="P2526">
        <f>IF(OHW!$G1479="","","Final")</f>
        <v/>
      </c>
    </row>
    <row r="2527">
      <c r="A2527">
        <f>IF(OHW!$G1480="","","OHW")</f>
        <v/>
      </c>
      <c r="B2527">
        <f>IF(OHW!$G1480="","","OHW")</f>
        <v/>
      </c>
      <c r="C2527" s="18">
        <f>IF(OHW!$G1480="","",OHW!$A1480)</f>
        <v/>
      </c>
      <c r="F2527">
        <f>IF(OHW!$G1480="","",OHW!$B1480&amp;"")</f>
        <v/>
      </c>
      <c r="J2527">
        <f>IF(OHW!$G1480="","",OHW!$E1480)</f>
        <v/>
      </c>
      <c r="K2527">
        <f>IF(OHW!$G1480="","",COUNTIFS(OHW!$A$5:$A$1668,OHW!$A1480,OHW!$C$5:$C$1668,OHW!$C1480))</f>
        <v/>
      </c>
      <c r="L2527">
        <f>IF(OHW!$G1480="","",OHW!$D1480&amp;"")</f>
        <v/>
      </c>
      <c r="M2527">
        <f>IF(OHW!$G1480="","",OHW!$F1480)</f>
        <v/>
      </c>
      <c r="N2527">
        <f>IF(OHW!$G1480="","",OHW!$G1480)</f>
        <v/>
      </c>
      <c r="O2527">
        <f>IF(OHW!$G1480="","",OHW!$I1480)</f>
        <v/>
      </c>
      <c r="P2527">
        <f>IF(OHW!$G1480="","","Final")</f>
        <v/>
      </c>
    </row>
    <row r="2528">
      <c r="A2528">
        <f>IF(OHW!$G1481="","","OHW")</f>
        <v/>
      </c>
      <c r="B2528">
        <f>IF(OHW!$G1481="","","OHW")</f>
        <v/>
      </c>
      <c r="C2528" s="18">
        <f>IF(OHW!$G1481="","",OHW!$A1481)</f>
        <v/>
      </c>
      <c r="F2528">
        <f>IF(OHW!$G1481="","",OHW!$B1481&amp;"")</f>
        <v/>
      </c>
      <c r="J2528">
        <f>IF(OHW!$G1481="","",OHW!$E1481)</f>
        <v/>
      </c>
      <c r="K2528">
        <f>IF(OHW!$G1481="","",COUNTIFS(OHW!$A$5:$A$1668,OHW!$A1481,OHW!$C$5:$C$1668,OHW!$C1481))</f>
        <v/>
      </c>
      <c r="L2528">
        <f>IF(OHW!$G1481="","",OHW!$D1481&amp;"")</f>
        <v/>
      </c>
      <c r="M2528">
        <f>IF(OHW!$G1481="","",OHW!$F1481)</f>
        <v/>
      </c>
      <c r="N2528">
        <f>IF(OHW!$G1481="","",OHW!$G1481)</f>
        <v/>
      </c>
      <c r="O2528">
        <f>IF(OHW!$G1481="","",OHW!$I1481)</f>
        <v/>
      </c>
      <c r="P2528">
        <f>IF(OHW!$G1481="","","Final")</f>
        <v/>
      </c>
    </row>
    <row r="2529">
      <c r="A2529">
        <f>IF(OHW!$G1482="","","OHW")</f>
        <v/>
      </c>
      <c r="B2529">
        <f>IF(OHW!$G1482="","","OHW")</f>
        <v/>
      </c>
      <c r="C2529" s="18">
        <f>IF(OHW!$G1482="","",OHW!$A1482)</f>
        <v/>
      </c>
      <c r="F2529">
        <f>IF(OHW!$G1482="","",OHW!$B1482&amp;"")</f>
        <v/>
      </c>
      <c r="J2529">
        <f>IF(OHW!$G1482="","",OHW!$E1482)</f>
        <v/>
      </c>
      <c r="K2529">
        <f>IF(OHW!$G1482="","",COUNTIFS(OHW!$A$5:$A$1668,OHW!$A1482,OHW!$C$5:$C$1668,OHW!$C1482))</f>
        <v/>
      </c>
      <c r="L2529">
        <f>IF(OHW!$G1482="","",OHW!$D1482&amp;"")</f>
        <v/>
      </c>
      <c r="M2529">
        <f>IF(OHW!$G1482="","",OHW!$F1482)</f>
        <v/>
      </c>
      <c r="N2529">
        <f>IF(OHW!$G1482="","",OHW!$G1482)</f>
        <v/>
      </c>
      <c r="O2529">
        <f>IF(OHW!$G1482="","",OHW!$I1482)</f>
        <v/>
      </c>
      <c r="P2529">
        <f>IF(OHW!$G1482="","","Final")</f>
        <v/>
      </c>
    </row>
    <row r="2530">
      <c r="A2530">
        <f>IF(OHW!$G1483="","","OHW")</f>
        <v/>
      </c>
      <c r="B2530">
        <f>IF(OHW!$G1483="","","OHW")</f>
        <v/>
      </c>
      <c r="C2530" s="18">
        <f>IF(OHW!$G1483="","",OHW!$A1483)</f>
        <v/>
      </c>
      <c r="F2530">
        <f>IF(OHW!$G1483="","",OHW!$B1483&amp;"")</f>
        <v/>
      </c>
      <c r="J2530">
        <f>IF(OHW!$G1483="","",OHW!$E1483)</f>
        <v/>
      </c>
      <c r="K2530">
        <f>IF(OHW!$G1483="","",COUNTIFS(OHW!$A$5:$A$1668,OHW!$A1483,OHW!$C$5:$C$1668,OHW!$C1483))</f>
        <v/>
      </c>
      <c r="L2530">
        <f>IF(OHW!$G1483="","",OHW!$D1483&amp;"")</f>
        <v/>
      </c>
      <c r="M2530">
        <f>IF(OHW!$G1483="","",OHW!$F1483)</f>
        <v/>
      </c>
      <c r="N2530">
        <f>IF(OHW!$G1483="","",OHW!$G1483)</f>
        <v/>
      </c>
      <c r="O2530">
        <f>IF(OHW!$G1483="","",OHW!$I1483)</f>
        <v/>
      </c>
      <c r="P2530">
        <f>IF(OHW!$G1483="","","Final")</f>
        <v/>
      </c>
    </row>
    <row r="2531">
      <c r="A2531">
        <f>IF(OHW!$G1484="","","OHW")</f>
        <v/>
      </c>
      <c r="B2531">
        <f>IF(OHW!$G1484="","","OHW")</f>
        <v/>
      </c>
      <c r="C2531" s="18">
        <f>IF(OHW!$G1484="","",OHW!$A1484)</f>
        <v/>
      </c>
      <c r="F2531">
        <f>IF(OHW!$G1484="","",OHW!$B1484&amp;"")</f>
        <v/>
      </c>
      <c r="J2531">
        <f>IF(OHW!$G1484="","",OHW!$E1484)</f>
        <v/>
      </c>
      <c r="K2531">
        <f>IF(OHW!$G1484="","",COUNTIFS(OHW!$A$5:$A$1668,OHW!$A1484,OHW!$C$5:$C$1668,OHW!$C1484))</f>
        <v/>
      </c>
      <c r="L2531">
        <f>IF(OHW!$G1484="","",OHW!$D1484&amp;"")</f>
        <v/>
      </c>
      <c r="M2531">
        <f>IF(OHW!$G1484="","",OHW!$F1484)</f>
        <v/>
      </c>
      <c r="N2531">
        <f>IF(OHW!$G1484="","",OHW!$G1484)</f>
        <v/>
      </c>
      <c r="O2531">
        <f>IF(OHW!$G1484="","",OHW!$I1484)</f>
        <v/>
      </c>
      <c r="P2531">
        <f>IF(OHW!$G1484="","","Final")</f>
        <v/>
      </c>
    </row>
    <row r="2532">
      <c r="A2532">
        <f>IF(OHW!$G1485="","","OHW")</f>
        <v/>
      </c>
      <c r="B2532">
        <f>IF(OHW!$G1485="","","OHW")</f>
        <v/>
      </c>
      <c r="C2532" s="18">
        <f>IF(OHW!$G1485="","",OHW!$A1485)</f>
        <v/>
      </c>
      <c r="F2532">
        <f>IF(OHW!$G1485="","",OHW!$B1485&amp;"")</f>
        <v/>
      </c>
      <c r="J2532">
        <f>IF(OHW!$G1485="","",OHW!$E1485)</f>
        <v/>
      </c>
      <c r="K2532">
        <f>IF(OHW!$G1485="","",COUNTIFS(OHW!$A$5:$A$1668,OHW!$A1485,OHW!$C$5:$C$1668,OHW!$C1485))</f>
        <v/>
      </c>
      <c r="L2532">
        <f>IF(OHW!$G1485="","",OHW!$D1485&amp;"")</f>
        <v/>
      </c>
      <c r="M2532">
        <f>IF(OHW!$G1485="","",OHW!$F1485)</f>
        <v/>
      </c>
      <c r="N2532">
        <f>IF(OHW!$G1485="","",OHW!$G1485)</f>
        <v/>
      </c>
      <c r="O2532">
        <f>IF(OHW!$G1485="","",OHW!$I1485)</f>
        <v/>
      </c>
      <c r="P2532">
        <f>IF(OHW!$G1485="","","Final")</f>
        <v/>
      </c>
    </row>
    <row r="2533">
      <c r="A2533">
        <f>IF(OHW!$G1486="","","OHW")</f>
        <v/>
      </c>
      <c r="B2533">
        <f>IF(OHW!$G1486="","","OHW")</f>
        <v/>
      </c>
      <c r="C2533" s="18">
        <f>IF(OHW!$G1486="","",OHW!$A1486)</f>
        <v/>
      </c>
      <c r="F2533">
        <f>IF(OHW!$G1486="","",OHW!$B1486&amp;"")</f>
        <v/>
      </c>
      <c r="J2533">
        <f>IF(OHW!$G1486="","",OHW!$E1486)</f>
        <v/>
      </c>
      <c r="K2533">
        <f>IF(OHW!$G1486="","",COUNTIFS(OHW!$A$5:$A$1668,OHW!$A1486,OHW!$C$5:$C$1668,OHW!$C1486))</f>
        <v/>
      </c>
      <c r="L2533">
        <f>IF(OHW!$G1486="","",OHW!$D1486&amp;"")</f>
        <v/>
      </c>
      <c r="M2533">
        <f>IF(OHW!$G1486="","",OHW!$F1486)</f>
        <v/>
      </c>
      <c r="N2533">
        <f>IF(OHW!$G1486="","",OHW!$G1486)</f>
        <v/>
      </c>
      <c r="O2533">
        <f>IF(OHW!$G1486="","",OHW!$I1486)</f>
        <v/>
      </c>
      <c r="P2533">
        <f>IF(OHW!$G1486="","","Final")</f>
        <v/>
      </c>
    </row>
    <row r="2534">
      <c r="A2534">
        <f>IF(OHW!$G1487="","","OHW")</f>
        <v/>
      </c>
      <c r="B2534">
        <f>IF(OHW!$G1487="","","OHW")</f>
        <v/>
      </c>
      <c r="C2534" s="18">
        <f>IF(OHW!$G1487="","",OHW!$A1487)</f>
        <v/>
      </c>
      <c r="F2534">
        <f>IF(OHW!$G1487="","",OHW!$B1487&amp;"")</f>
        <v/>
      </c>
      <c r="J2534">
        <f>IF(OHW!$G1487="","",OHW!$E1487)</f>
        <v/>
      </c>
      <c r="K2534">
        <f>IF(OHW!$G1487="","",COUNTIFS(OHW!$A$5:$A$1668,OHW!$A1487,OHW!$C$5:$C$1668,OHW!$C1487))</f>
        <v/>
      </c>
      <c r="L2534">
        <f>IF(OHW!$G1487="","",OHW!$D1487&amp;"")</f>
        <v/>
      </c>
      <c r="M2534">
        <f>IF(OHW!$G1487="","",OHW!$F1487)</f>
        <v/>
      </c>
      <c r="N2534">
        <f>IF(OHW!$G1487="","",OHW!$G1487)</f>
        <v/>
      </c>
      <c r="O2534">
        <f>IF(OHW!$G1487="","",OHW!$I1487)</f>
        <v/>
      </c>
      <c r="P2534">
        <f>IF(OHW!$G1487="","","Final")</f>
        <v/>
      </c>
    </row>
    <row r="2535">
      <c r="A2535">
        <f>IF(OHW!$G1488="","","OHW")</f>
        <v/>
      </c>
      <c r="B2535">
        <f>IF(OHW!$G1488="","","OHW")</f>
        <v/>
      </c>
      <c r="C2535" s="18">
        <f>IF(OHW!$G1488="","",OHW!$A1488)</f>
        <v/>
      </c>
      <c r="F2535">
        <f>IF(OHW!$G1488="","",OHW!$B1488&amp;"")</f>
        <v/>
      </c>
      <c r="J2535">
        <f>IF(OHW!$G1488="","",OHW!$E1488)</f>
        <v/>
      </c>
      <c r="K2535">
        <f>IF(OHW!$G1488="","",COUNTIFS(OHW!$A$5:$A$1668,OHW!$A1488,OHW!$C$5:$C$1668,OHW!$C1488))</f>
        <v/>
      </c>
      <c r="L2535">
        <f>IF(OHW!$G1488="","",OHW!$D1488&amp;"")</f>
        <v/>
      </c>
      <c r="M2535">
        <f>IF(OHW!$G1488="","",OHW!$F1488)</f>
        <v/>
      </c>
      <c r="N2535">
        <f>IF(OHW!$G1488="","",OHW!$G1488)</f>
        <v/>
      </c>
      <c r="O2535">
        <f>IF(OHW!$G1488="","",OHW!$I1488)</f>
        <v/>
      </c>
      <c r="P2535">
        <f>IF(OHW!$G1488="","","Final")</f>
        <v/>
      </c>
    </row>
    <row r="2536">
      <c r="A2536">
        <f>IF(OHW!$G1489="","","OHW")</f>
        <v/>
      </c>
      <c r="B2536">
        <f>IF(OHW!$G1489="","","OHW")</f>
        <v/>
      </c>
      <c r="C2536" s="18">
        <f>IF(OHW!$G1489="","",OHW!$A1489)</f>
        <v/>
      </c>
      <c r="F2536">
        <f>IF(OHW!$G1489="","",OHW!$B1489&amp;"")</f>
        <v/>
      </c>
      <c r="J2536">
        <f>IF(OHW!$G1489="","",OHW!$E1489)</f>
        <v/>
      </c>
      <c r="K2536">
        <f>IF(OHW!$G1489="","",COUNTIFS(OHW!$A$5:$A$1668,OHW!$A1489,OHW!$C$5:$C$1668,OHW!$C1489))</f>
        <v/>
      </c>
      <c r="L2536">
        <f>IF(OHW!$G1489="","",OHW!$D1489&amp;"")</f>
        <v/>
      </c>
      <c r="M2536">
        <f>IF(OHW!$G1489="","",OHW!$F1489)</f>
        <v/>
      </c>
      <c r="N2536">
        <f>IF(OHW!$G1489="","",OHW!$G1489)</f>
        <v/>
      </c>
      <c r="O2536">
        <f>IF(OHW!$G1489="","",OHW!$I1489)</f>
        <v/>
      </c>
      <c r="P2536">
        <f>IF(OHW!$G1489="","","Final")</f>
        <v/>
      </c>
    </row>
    <row r="2537">
      <c r="A2537">
        <f>IF(OHW!$G1490="","","OHW")</f>
        <v/>
      </c>
      <c r="B2537">
        <f>IF(OHW!$G1490="","","OHW")</f>
        <v/>
      </c>
      <c r="C2537" s="18">
        <f>IF(OHW!$G1490="","",OHW!$A1490)</f>
        <v/>
      </c>
      <c r="F2537">
        <f>IF(OHW!$G1490="","",OHW!$B1490&amp;"")</f>
        <v/>
      </c>
      <c r="J2537">
        <f>IF(OHW!$G1490="","",OHW!$E1490)</f>
        <v/>
      </c>
      <c r="K2537">
        <f>IF(OHW!$G1490="","",COUNTIFS(OHW!$A$5:$A$1668,OHW!$A1490,OHW!$C$5:$C$1668,OHW!$C1490))</f>
        <v/>
      </c>
      <c r="L2537">
        <f>IF(OHW!$G1490="","",OHW!$D1490&amp;"")</f>
        <v/>
      </c>
      <c r="M2537">
        <f>IF(OHW!$G1490="","",OHW!$F1490)</f>
        <v/>
      </c>
      <c r="N2537">
        <f>IF(OHW!$G1490="","",OHW!$G1490)</f>
        <v/>
      </c>
      <c r="O2537">
        <f>IF(OHW!$G1490="","",OHW!$I1490)</f>
        <v/>
      </c>
      <c r="P2537">
        <f>IF(OHW!$G1490="","","Final")</f>
        <v/>
      </c>
    </row>
    <row r="2538">
      <c r="A2538">
        <f>IF(OHW!$G1491="","","OHW")</f>
        <v/>
      </c>
      <c r="B2538">
        <f>IF(OHW!$G1491="","","OHW")</f>
        <v/>
      </c>
      <c r="C2538" s="18">
        <f>IF(OHW!$G1491="","",OHW!$A1491)</f>
        <v/>
      </c>
      <c r="F2538">
        <f>IF(OHW!$G1491="","",OHW!$B1491&amp;"")</f>
        <v/>
      </c>
      <c r="J2538">
        <f>IF(OHW!$G1491="","",OHW!$E1491)</f>
        <v/>
      </c>
      <c r="K2538">
        <f>IF(OHW!$G1491="","",COUNTIFS(OHW!$A$5:$A$1668,OHW!$A1491,OHW!$C$5:$C$1668,OHW!$C1491))</f>
        <v/>
      </c>
      <c r="L2538">
        <f>IF(OHW!$G1491="","",OHW!$D1491&amp;"")</f>
        <v/>
      </c>
      <c r="M2538">
        <f>IF(OHW!$G1491="","",OHW!$F1491)</f>
        <v/>
      </c>
      <c r="N2538">
        <f>IF(OHW!$G1491="","",OHW!$G1491)</f>
        <v/>
      </c>
      <c r="O2538">
        <f>IF(OHW!$G1491="","",OHW!$I1491)</f>
        <v/>
      </c>
      <c r="P2538">
        <f>IF(OHW!$G1491="","","Final")</f>
        <v/>
      </c>
    </row>
    <row r="2539">
      <c r="A2539">
        <f>IF(OHW!$G1492="","","OHW")</f>
        <v/>
      </c>
      <c r="B2539">
        <f>IF(OHW!$G1492="","","OHW")</f>
        <v/>
      </c>
      <c r="C2539" s="18">
        <f>IF(OHW!$G1492="","",OHW!$A1492)</f>
        <v/>
      </c>
      <c r="F2539">
        <f>IF(OHW!$G1492="","",OHW!$B1492&amp;"")</f>
        <v/>
      </c>
      <c r="J2539">
        <f>IF(OHW!$G1492="","",OHW!$E1492)</f>
        <v/>
      </c>
      <c r="K2539">
        <f>IF(OHW!$G1492="","",COUNTIFS(OHW!$A$5:$A$1668,OHW!$A1492,OHW!$C$5:$C$1668,OHW!$C1492))</f>
        <v/>
      </c>
      <c r="L2539">
        <f>IF(OHW!$G1492="","",OHW!$D1492&amp;"")</f>
        <v/>
      </c>
      <c r="M2539">
        <f>IF(OHW!$G1492="","",OHW!$F1492)</f>
        <v/>
      </c>
      <c r="N2539">
        <f>IF(OHW!$G1492="","",OHW!$G1492)</f>
        <v/>
      </c>
      <c r="O2539">
        <f>IF(OHW!$G1492="","",OHW!$I1492)</f>
        <v/>
      </c>
      <c r="P2539">
        <f>IF(OHW!$G1492="","","Final")</f>
        <v/>
      </c>
    </row>
    <row r="2540">
      <c r="A2540">
        <f>IF(OHW!$G1493="","","OHW")</f>
        <v/>
      </c>
      <c r="B2540">
        <f>IF(OHW!$G1493="","","OHW")</f>
        <v/>
      </c>
      <c r="C2540" s="18">
        <f>IF(OHW!$G1493="","",OHW!$A1493)</f>
        <v/>
      </c>
      <c r="F2540">
        <f>IF(OHW!$G1493="","",OHW!$B1493&amp;"")</f>
        <v/>
      </c>
      <c r="J2540">
        <f>IF(OHW!$G1493="","",OHW!$E1493)</f>
        <v/>
      </c>
      <c r="K2540">
        <f>IF(OHW!$G1493="","",COUNTIFS(OHW!$A$5:$A$1668,OHW!$A1493,OHW!$C$5:$C$1668,OHW!$C1493))</f>
        <v/>
      </c>
      <c r="L2540">
        <f>IF(OHW!$G1493="","",OHW!$D1493&amp;"")</f>
        <v/>
      </c>
      <c r="M2540">
        <f>IF(OHW!$G1493="","",OHW!$F1493)</f>
        <v/>
      </c>
      <c r="N2540">
        <f>IF(OHW!$G1493="","",OHW!$G1493)</f>
        <v/>
      </c>
      <c r="O2540">
        <f>IF(OHW!$G1493="","",OHW!$I1493)</f>
        <v/>
      </c>
      <c r="P2540">
        <f>IF(OHW!$G1493="","","Final")</f>
        <v/>
      </c>
    </row>
    <row r="2541">
      <c r="A2541">
        <f>IF(OHW!$G1494="","","OHW")</f>
        <v/>
      </c>
      <c r="B2541">
        <f>IF(OHW!$G1494="","","OHW")</f>
        <v/>
      </c>
      <c r="C2541" s="18">
        <f>IF(OHW!$G1494="","",OHW!$A1494)</f>
        <v/>
      </c>
      <c r="F2541">
        <f>IF(OHW!$G1494="","",OHW!$B1494&amp;"")</f>
        <v/>
      </c>
      <c r="J2541">
        <f>IF(OHW!$G1494="","",OHW!$E1494)</f>
        <v/>
      </c>
      <c r="K2541">
        <f>IF(OHW!$G1494="","",COUNTIFS(OHW!$A$5:$A$1668,OHW!$A1494,OHW!$C$5:$C$1668,OHW!$C1494))</f>
        <v/>
      </c>
      <c r="L2541">
        <f>IF(OHW!$G1494="","",OHW!$D1494&amp;"")</f>
        <v/>
      </c>
      <c r="M2541">
        <f>IF(OHW!$G1494="","",OHW!$F1494)</f>
        <v/>
      </c>
      <c r="N2541">
        <f>IF(OHW!$G1494="","",OHW!$G1494)</f>
        <v/>
      </c>
      <c r="O2541">
        <f>IF(OHW!$G1494="","",OHW!$I1494)</f>
        <v/>
      </c>
      <c r="P2541">
        <f>IF(OHW!$G1494="","","Final")</f>
        <v/>
      </c>
    </row>
    <row r="2542">
      <c r="A2542">
        <f>IF(OHW!$G1495="","","OHW")</f>
        <v/>
      </c>
      <c r="B2542">
        <f>IF(OHW!$G1495="","","OHW")</f>
        <v/>
      </c>
      <c r="C2542" s="18">
        <f>IF(OHW!$G1495="","",OHW!$A1495)</f>
        <v/>
      </c>
      <c r="F2542">
        <f>IF(OHW!$G1495="","",OHW!$B1495&amp;"")</f>
        <v/>
      </c>
      <c r="J2542">
        <f>IF(OHW!$G1495="","",OHW!$E1495)</f>
        <v/>
      </c>
      <c r="K2542">
        <f>IF(OHW!$G1495="","",COUNTIFS(OHW!$A$5:$A$1668,OHW!$A1495,OHW!$C$5:$C$1668,OHW!$C1495))</f>
        <v/>
      </c>
      <c r="L2542">
        <f>IF(OHW!$G1495="","",OHW!$D1495&amp;"")</f>
        <v/>
      </c>
      <c r="M2542">
        <f>IF(OHW!$G1495="","",OHW!$F1495)</f>
        <v/>
      </c>
      <c r="N2542">
        <f>IF(OHW!$G1495="","",OHW!$G1495)</f>
        <v/>
      </c>
      <c r="O2542">
        <f>IF(OHW!$G1495="","",OHW!$I1495)</f>
        <v/>
      </c>
      <c r="P2542">
        <f>IF(OHW!$G1495="","","Final")</f>
        <v/>
      </c>
    </row>
    <row r="2543">
      <c r="A2543">
        <f>IF(OHW!$G1496="","","OHW")</f>
        <v/>
      </c>
      <c r="B2543">
        <f>IF(OHW!$G1496="","","OHW")</f>
        <v/>
      </c>
      <c r="C2543" s="18">
        <f>IF(OHW!$G1496="","",OHW!$A1496)</f>
        <v/>
      </c>
      <c r="F2543">
        <f>IF(OHW!$G1496="","",OHW!$B1496&amp;"")</f>
        <v/>
      </c>
      <c r="J2543">
        <f>IF(OHW!$G1496="","",OHW!$E1496)</f>
        <v/>
      </c>
      <c r="K2543">
        <f>IF(OHW!$G1496="","",COUNTIFS(OHW!$A$5:$A$1668,OHW!$A1496,OHW!$C$5:$C$1668,OHW!$C1496))</f>
        <v/>
      </c>
      <c r="L2543">
        <f>IF(OHW!$G1496="","",OHW!$D1496&amp;"")</f>
        <v/>
      </c>
      <c r="M2543">
        <f>IF(OHW!$G1496="","",OHW!$F1496)</f>
        <v/>
      </c>
      <c r="N2543">
        <f>IF(OHW!$G1496="","",OHW!$G1496)</f>
        <v/>
      </c>
      <c r="O2543">
        <f>IF(OHW!$G1496="","",OHW!$I1496)</f>
        <v/>
      </c>
      <c r="P2543">
        <f>IF(OHW!$G1496="","","Final")</f>
        <v/>
      </c>
    </row>
    <row r="2544">
      <c r="A2544">
        <f>IF(OHW!$G1497="","","OHW")</f>
        <v/>
      </c>
      <c r="B2544">
        <f>IF(OHW!$G1497="","","OHW")</f>
        <v/>
      </c>
      <c r="C2544" s="18">
        <f>IF(OHW!$G1497="","",OHW!$A1497)</f>
        <v/>
      </c>
      <c r="F2544">
        <f>IF(OHW!$G1497="","",OHW!$B1497&amp;"")</f>
        <v/>
      </c>
      <c r="J2544">
        <f>IF(OHW!$G1497="","",OHW!$E1497)</f>
        <v/>
      </c>
      <c r="K2544">
        <f>IF(OHW!$G1497="","",COUNTIFS(OHW!$A$5:$A$1668,OHW!$A1497,OHW!$C$5:$C$1668,OHW!$C1497))</f>
        <v/>
      </c>
      <c r="L2544">
        <f>IF(OHW!$G1497="","",OHW!$D1497&amp;"")</f>
        <v/>
      </c>
      <c r="M2544">
        <f>IF(OHW!$G1497="","",OHW!$F1497)</f>
        <v/>
      </c>
      <c r="N2544">
        <f>IF(OHW!$G1497="","",OHW!$G1497)</f>
        <v/>
      </c>
      <c r="O2544">
        <f>IF(OHW!$G1497="","",OHW!$I1497)</f>
        <v/>
      </c>
      <c r="P2544">
        <f>IF(OHW!$G1497="","","Final")</f>
        <v/>
      </c>
    </row>
    <row r="2545">
      <c r="A2545">
        <f>IF(OHW!$G1498="","","OHW")</f>
        <v/>
      </c>
      <c r="B2545">
        <f>IF(OHW!$G1498="","","OHW")</f>
        <v/>
      </c>
      <c r="C2545" s="18">
        <f>IF(OHW!$G1498="","",OHW!$A1498)</f>
        <v/>
      </c>
      <c r="F2545">
        <f>IF(OHW!$G1498="","",OHW!$B1498&amp;"")</f>
        <v/>
      </c>
      <c r="J2545">
        <f>IF(OHW!$G1498="","",OHW!$E1498)</f>
        <v/>
      </c>
      <c r="K2545">
        <f>IF(OHW!$G1498="","",COUNTIFS(OHW!$A$5:$A$1668,OHW!$A1498,OHW!$C$5:$C$1668,OHW!$C1498))</f>
        <v/>
      </c>
      <c r="L2545">
        <f>IF(OHW!$G1498="","",OHW!$D1498&amp;"")</f>
        <v/>
      </c>
      <c r="M2545">
        <f>IF(OHW!$G1498="","",OHW!$F1498)</f>
        <v/>
      </c>
      <c r="N2545">
        <f>IF(OHW!$G1498="","",OHW!$G1498)</f>
        <v/>
      </c>
      <c r="O2545">
        <f>IF(OHW!$G1498="","",OHW!$I1498)</f>
        <v/>
      </c>
      <c r="P2545">
        <f>IF(OHW!$G1498="","","Final")</f>
        <v/>
      </c>
    </row>
    <row r="2546">
      <c r="A2546">
        <f>IF(OHW!$G1499="","","OHW")</f>
        <v/>
      </c>
      <c r="B2546">
        <f>IF(OHW!$G1499="","","OHW")</f>
        <v/>
      </c>
      <c r="C2546" s="18">
        <f>IF(OHW!$G1499="","",OHW!$A1499)</f>
        <v/>
      </c>
      <c r="F2546">
        <f>IF(OHW!$G1499="","",OHW!$B1499&amp;"")</f>
        <v/>
      </c>
      <c r="J2546">
        <f>IF(OHW!$G1499="","",OHW!$E1499)</f>
        <v/>
      </c>
      <c r="K2546">
        <f>IF(OHW!$G1499="","",COUNTIFS(OHW!$A$5:$A$1668,OHW!$A1499,OHW!$C$5:$C$1668,OHW!$C1499))</f>
        <v/>
      </c>
      <c r="L2546">
        <f>IF(OHW!$G1499="","",OHW!$D1499&amp;"")</f>
        <v/>
      </c>
      <c r="M2546">
        <f>IF(OHW!$G1499="","",OHW!$F1499)</f>
        <v/>
      </c>
      <c r="N2546">
        <f>IF(OHW!$G1499="","",OHW!$G1499)</f>
        <v/>
      </c>
      <c r="O2546">
        <f>IF(OHW!$G1499="","",OHW!$I1499)</f>
        <v/>
      </c>
      <c r="P2546">
        <f>IF(OHW!$G1499="","","Final")</f>
        <v/>
      </c>
    </row>
    <row r="2547">
      <c r="A2547">
        <f>IF(OHW!$G1500="","","OHW")</f>
        <v/>
      </c>
      <c r="B2547">
        <f>IF(OHW!$G1500="","","OHW")</f>
        <v/>
      </c>
      <c r="C2547" s="18">
        <f>IF(OHW!$G1500="","",OHW!$A1500)</f>
        <v/>
      </c>
      <c r="F2547">
        <f>IF(OHW!$G1500="","",OHW!$B1500&amp;"")</f>
        <v/>
      </c>
      <c r="J2547">
        <f>IF(OHW!$G1500="","",OHW!$E1500)</f>
        <v/>
      </c>
      <c r="K2547">
        <f>IF(OHW!$G1500="","",COUNTIFS(OHW!$A$5:$A$1668,OHW!$A1500,OHW!$C$5:$C$1668,OHW!$C1500))</f>
        <v/>
      </c>
      <c r="L2547">
        <f>IF(OHW!$G1500="","",OHW!$D1500&amp;"")</f>
        <v/>
      </c>
      <c r="M2547">
        <f>IF(OHW!$G1500="","",OHW!$F1500)</f>
        <v/>
      </c>
      <c r="N2547">
        <f>IF(OHW!$G1500="","",OHW!$G1500)</f>
        <v/>
      </c>
      <c r="O2547">
        <f>IF(OHW!$G1500="","",OHW!$I1500)</f>
        <v/>
      </c>
      <c r="P2547">
        <f>IF(OHW!$G1500="","","Final")</f>
        <v/>
      </c>
    </row>
    <row r="2548">
      <c r="A2548">
        <f>IF(OHW!$G1501="","","OHW")</f>
        <v/>
      </c>
      <c r="B2548">
        <f>IF(OHW!$G1501="","","OHW")</f>
        <v/>
      </c>
      <c r="C2548" s="18">
        <f>IF(OHW!$G1501="","",OHW!$A1501)</f>
        <v/>
      </c>
      <c r="F2548">
        <f>IF(OHW!$G1501="","",OHW!$B1501&amp;"")</f>
        <v/>
      </c>
      <c r="J2548">
        <f>IF(OHW!$G1501="","",OHW!$E1501)</f>
        <v/>
      </c>
      <c r="K2548">
        <f>IF(OHW!$G1501="","",COUNTIFS(OHW!$A$5:$A$1668,OHW!$A1501,OHW!$C$5:$C$1668,OHW!$C1501))</f>
        <v/>
      </c>
      <c r="L2548">
        <f>IF(OHW!$G1501="","",OHW!$D1501&amp;"")</f>
        <v/>
      </c>
      <c r="M2548">
        <f>IF(OHW!$G1501="","",OHW!$F1501)</f>
        <v/>
      </c>
      <c r="N2548">
        <f>IF(OHW!$G1501="","",OHW!$G1501)</f>
        <v/>
      </c>
      <c r="O2548">
        <f>IF(OHW!$G1501="","",OHW!$I1501)</f>
        <v/>
      </c>
      <c r="P2548">
        <f>IF(OHW!$G1501="","","Final")</f>
        <v/>
      </c>
    </row>
    <row r="2549">
      <c r="A2549">
        <f>IF(OHW!$G1502="","","OHW")</f>
        <v/>
      </c>
      <c r="B2549">
        <f>IF(OHW!$G1502="","","OHW")</f>
        <v/>
      </c>
      <c r="C2549" s="18">
        <f>IF(OHW!$G1502="","",OHW!$A1502)</f>
        <v/>
      </c>
      <c r="F2549">
        <f>IF(OHW!$G1502="","",OHW!$B1502&amp;"")</f>
        <v/>
      </c>
      <c r="J2549">
        <f>IF(OHW!$G1502="","",OHW!$E1502)</f>
        <v/>
      </c>
      <c r="K2549">
        <f>IF(OHW!$G1502="","",COUNTIFS(OHW!$A$5:$A$1668,OHW!$A1502,OHW!$C$5:$C$1668,OHW!$C1502))</f>
        <v/>
      </c>
      <c r="L2549">
        <f>IF(OHW!$G1502="","",OHW!$D1502&amp;"")</f>
        <v/>
      </c>
      <c r="M2549">
        <f>IF(OHW!$G1502="","",OHW!$F1502)</f>
        <v/>
      </c>
      <c r="N2549">
        <f>IF(OHW!$G1502="","",OHW!$G1502)</f>
        <v/>
      </c>
      <c r="O2549">
        <f>IF(OHW!$G1502="","",OHW!$I1502)</f>
        <v/>
      </c>
      <c r="P2549">
        <f>IF(OHW!$G1502="","","Final")</f>
        <v/>
      </c>
    </row>
    <row r="2550">
      <c r="A2550">
        <f>IF(OHW!$G1503="","","OHW")</f>
        <v/>
      </c>
      <c r="B2550">
        <f>IF(OHW!$G1503="","","OHW")</f>
        <v/>
      </c>
      <c r="C2550" s="18">
        <f>IF(OHW!$G1503="","",OHW!$A1503)</f>
        <v/>
      </c>
      <c r="F2550">
        <f>IF(OHW!$G1503="","",OHW!$B1503&amp;"")</f>
        <v/>
      </c>
      <c r="J2550">
        <f>IF(OHW!$G1503="","",OHW!$E1503)</f>
        <v/>
      </c>
      <c r="K2550">
        <f>IF(OHW!$G1503="","",COUNTIFS(OHW!$A$5:$A$1668,OHW!$A1503,OHW!$C$5:$C$1668,OHW!$C1503))</f>
        <v/>
      </c>
      <c r="L2550">
        <f>IF(OHW!$G1503="","",OHW!$D1503&amp;"")</f>
        <v/>
      </c>
      <c r="M2550">
        <f>IF(OHW!$G1503="","",OHW!$F1503)</f>
        <v/>
      </c>
      <c r="N2550">
        <f>IF(OHW!$G1503="","",OHW!$G1503)</f>
        <v/>
      </c>
      <c r="O2550">
        <f>IF(OHW!$G1503="","",OHW!$I1503)</f>
        <v/>
      </c>
      <c r="P2550">
        <f>IF(OHW!$G1503="","","Final")</f>
        <v/>
      </c>
    </row>
    <row r="2551">
      <c r="A2551">
        <f>IF(OHW!$G1504="","","OHW")</f>
        <v/>
      </c>
      <c r="B2551">
        <f>IF(OHW!$G1504="","","OHW")</f>
        <v/>
      </c>
      <c r="C2551" s="18">
        <f>IF(OHW!$G1504="","",OHW!$A1504)</f>
        <v/>
      </c>
      <c r="F2551">
        <f>IF(OHW!$G1504="","",OHW!$B1504&amp;"")</f>
        <v/>
      </c>
      <c r="J2551">
        <f>IF(OHW!$G1504="","",OHW!$E1504)</f>
        <v/>
      </c>
      <c r="K2551">
        <f>IF(OHW!$G1504="","",COUNTIFS(OHW!$A$5:$A$1668,OHW!$A1504,OHW!$C$5:$C$1668,OHW!$C1504))</f>
        <v/>
      </c>
      <c r="L2551">
        <f>IF(OHW!$G1504="","",OHW!$D1504&amp;"")</f>
        <v/>
      </c>
      <c r="M2551">
        <f>IF(OHW!$G1504="","",OHW!$F1504)</f>
        <v/>
      </c>
      <c r="N2551">
        <f>IF(OHW!$G1504="","",OHW!$G1504)</f>
        <v/>
      </c>
      <c r="O2551">
        <f>IF(OHW!$G1504="","",OHW!$I1504)</f>
        <v/>
      </c>
      <c r="P2551">
        <f>IF(OHW!$G1504="","","Final")</f>
        <v/>
      </c>
    </row>
    <row r="2552">
      <c r="A2552">
        <f>IF(OHW!$G1505="","","OHW")</f>
        <v/>
      </c>
      <c r="B2552">
        <f>IF(OHW!$G1505="","","OHW")</f>
        <v/>
      </c>
      <c r="C2552" s="18">
        <f>IF(OHW!$G1505="","",OHW!$A1505)</f>
        <v/>
      </c>
      <c r="F2552">
        <f>IF(OHW!$G1505="","",OHW!$B1505&amp;"")</f>
        <v/>
      </c>
      <c r="J2552">
        <f>IF(OHW!$G1505="","",OHW!$E1505)</f>
        <v/>
      </c>
      <c r="K2552">
        <f>IF(OHW!$G1505="","",COUNTIFS(OHW!$A$5:$A$1668,OHW!$A1505,OHW!$C$5:$C$1668,OHW!$C1505))</f>
        <v/>
      </c>
      <c r="L2552">
        <f>IF(OHW!$G1505="","",OHW!$D1505&amp;"")</f>
        <v/>
      </c>
      <c r="M2552">
        <f>IF(OHW!$G1505="","",OHW!$F1505)</f>
        <v/>
      </c>
      <c r="N2552">
        <f>IF(OHW!$G1505="","",OHW!$G1505)</f>
        <v/>
      </c>
      <c r="O2552">
        <f>IF(OHW!$G1505="","",OHW!$I1505)</f>
        <v/>
      </c>
      <c r="P2552">
        <f>IF(OHW!$G1505="","","Final")</f>
        <v/>
      </c>
    </row>
    <row r="2553">
      <c r="A2553">
        <f>IF(OHW!$G1506="","","OHW")</f>
        <v/>
      </c>
      <c r="B2553">
        <f>IF(OHW!$G1506="","","OHW")</f>
        <v/>
      </c>
      <c r="C2553" s="18">
        <f>IF(OHW!$G1506="","",OHW!$A1506)</f>
        <v/>
      </c>
      <c r="F2553">
        <f>IF(OHW!$G1506="","",OHW!$B1506&amp;"")</f>
        <v/>
      </c>
      <c r="J2553">
        <f>IF(OHW!$G1506="","",OHW!$E1506)</f>
        <v/>
      </c>
      <c r="K2553">
        <f>IF(OHW!$G1506="","",COUNTIFS(OHW!$A$5:$A$1668,OHW!$A1506,OHW!$C$5:$C$1668,OHW!$C1506))</f>
        <v/>
      </c>
      <c r="L2553">
        <f>IF(OHW!$G1506="","",OHW!$D1506&amp;"")</f>
        <v/>
      </c>
      <c r="M2553">
        <f>IF(OHW!$G1506="","",OHW!$F1506)</f>
        <v/>
      </c>
      <c r="N2553">
        <f>IF(OHW!$G1506="","",OHW!$G1506)</f>
        <v/>
      </c>
      <c r="O2553">
        <f>IF(OHW!$G1506="","",OHW!$I1506)</f>
        <v/>
      </c>
      <c r="P2553">
        <f>IF(OHW!$G1506="","","Final")</f>
        <v/>
      </c>
    </row>
    <row r="2554">
      <c r="A2554">
        <f>IF(OHW!$G1507="","","OHW")</f>
        <v/>
      </c>
      <c r="B2554">
        <f>IF(OHW!$G1507="","","OHW")</f>
        <v/>
      </c>
      <c r="C2554" s="18">
        <f>IF(OHW!$G1507="","",OHW!$A1507)</f>
        <v/>
      </c>
      <c r="F2554">
        <f>IF(OHW!$G1507="","",OHW!$B1507&amp;"")</f>
        <v/>
      </c>
      <c r="J2554">
        <f>IF(OHW!$G1507="","",OHW!$E1507)</f>
        <v/>
      </c>
      <c r="K2554">
        <f>IF(OHW!$G1507="","",COUNTIFS(OHW!$A$5:$A$1668,OHW!$A1507,OHW!$C$5:$C$1668,OHW!$C1507))</f>
        <v/>
      </c>
      <c r="L2554">
        <f>IF(OHW!$G1507="","",OHW!$D1507&amp;"")</f>
        <v/>
      </c>
      <c r="M2554">
        <f>IF(OHW!$G1507="","",OHW!$F1507)</f>
        <v/>
      </c>
      <c r="N2554">
        <f>IF(OHW!$G1507="","",OHW!$G1507)</f>
        <v/>
      </c>
      <c r="O2554">
        <f>IF(OHW!$G1507="","",OHW!$I1507)</f>
        <v/>
      </c>
      <c r="P2554">
        <f>IF(OHW!$G1507="","","Final")</f>
        <v/>
      </c>
    </row>
    <row r="2555">
      <c r="A2555">
        <f>IF(OHW!$G1508="","","OHW")</f>
        <v/>
      </c>
      <c r="B2555">
        <f>IF(OHW!$G1508="","","OHW")</f>
        <v/>
      </c>
      <c r="C2555" s="18">
        <f>IF(OHW!$G1508="","",OHW!$A1508)</f>
        <v/>
      </c>
      <c r="F2555">
        <f>IF(OHW!$G1508="","",OHW!$B1508&amp;"")</f>
        <v/>
      </c>
      <c r="J2555">
        <f>IF(OHW!$G1508="","",OHW!$E1508)</f>
        <v/>
      </c>
      <c r="K2555">
        <f>IF(OHW!$G1508="","",COUNTIFS(OHW!$A$5:$A$1668,OHW!$A1508,OHW!$C$5:$C$1668,OHW!$C1508))</f>
        <v/>
      </c>
      <c r="L2555">
        <f>IF(OHW!$G1508="","",OHW!$D1508&amp;"")</f>
        <v/>
      </c>
      <c r="M2555">
        <f>IF(OHW!$G1508="","",OHW!$F1508)</f>
        <v/>
      </c>
      <c r="N2555">
        <f>IF(OHW!$G1508="","",OHW!$G1508)</f>
        <v/>
      </c>
      <c r="O2555">
        <f>IF(OHW!$G1508="","",OHW!$I1508)</f>
        <v/>
      </c>
      <c r="P2555">
        <f>IF(OHW!$G1508="","","Final")</f>
        <v/>
      </c>
    </row>
    <row r="2556">
      <c r="A2556">
        <f>IF(OHW!$G1509="","","OHW")</f>
        <v/>
      </c>
      <c r="B2556">
        <f>IF(OHW!$G1509="","","OHW")</f>
        <v/>
      </c>
      <c r="C2556" s="18">
        <f>IF(OHW!$G1509="","",OHW!$A1509)</f>
        <v/>
      </c>
      <c r="F2556">
        <f>IF(OHW!$G1509="","",OHW!$B1509&amp;"")</f>
        <v/>
      </c>
      <c r="J2556">
        <f>IF(OHW!$G1509="","",OHW!$E1509)</f>
        <v/>
      </c>
      <c r="K2556">
        <f>IF(OHW!$G1509="","",COUNTIFS(OHW!$A$5:$A$1668,OHW!$A1509,OHW!$C$5:$C$1668,OHW!$C1509))</f>
        <v/>
      </c>
      <c r="L2556">
        <f>IF(OHW!$G1509="","",OHW!$D1509&amp;"")</f>
        <v/>
      </c>
      <c r="M2556">
        <f>IF(OHW!$G1509="","",OHW!$F1509)</f>
        <v/>
      </c>
      <c r="N2556">
        <f>IF(OHW!$G1509="","",OHW!$G1509)</f>
        <v/>
      </c>
      <c r="O2556">
        <f>IF(OHW!$G1509="","",OHW!$I1509)</f>
        <v/>
      </c>
      <c r="P2556">
        <f>IF(OHW!$G1509="","","Final")</f>
        <v/>
      </c>
    </row>
    <row r="2557">
      <c r="A2557">
        <f>IF(OHW!$G1510="","","OHW")</f>
        <v/>
      </c>
      <c r="B2557">
        <f>IF(OHW!$G1510="","","OHW")</f>
        <v/>
      </c>
      <c r="C2557" s="18">
        <f>IF(OHW!$G1510="","",OHW!$A1510)</f>
        <v/>
      </c>
      <c r="F2557">
        <f>IF(OHW!$G1510="","",OHW!$B1510&amp;"")</f>
        <v/>
      </c>
      <c r="J2557">
        <f>IF(OHW!$G1510="","",OHW!$E1510)</f>
        <v/>
      </c>
      <c r="K2557">
        <f>IF(OHW!$G1510="","",COUNTIFS(OHW!$A$5:$A$1668,OHW!$A1510,OHW!$C$5:$C$1668,OHW!$C1510))</f>
        <v/>
      </c>
      <c r="L2557">
        <f>IF(OHW!$G1510="","",OHW!$D1510&amp;"")</f>
        <v/>
      </c>
      <c r="M2557">
        <f>IF(OHW!$G1510="","",OHW!$F1510)</f>
        <v/>
      </c>
      <c r="N2557">
        <f>IF(OHW!$G1510="","",OHW!$G1510)</f>
        <v/>
      </c>
      <c r="O2557">
        <f>IF(OHW!$G1510="","",OHW!$I1510)</f>
        <v/>
      </c>
      <c r="P2557">
        <f>IF(OHW!$G1510="","","Final")</f>
        <v/>
      </c>
    </row>
    <row r="2558">
      <c r="A2558">
        <f>IF(OHW!$G1511="","","OHW")</f>
        <v/>
      </c>
      <c r="B2558">
        <f>IF(OHW!$G1511="","","OHW")</f>
        <v/>
      </c>
      <c r="C2558" s="18">
        <f>IF(OHW!$G1511="","",OHW!$A1511)</f>
        <v/>
      </c>
      <c r="F2558">
        <f>IF(OHW!$G1511="","",OHW!$B1511&amp;"")</f>
        <v/>
      </c>
      <c r="J2558">
        <f>IF(OHW!$G1511="","",OHW!$E1511)</f>
        <v/>
      </c>
      <c r="K2558">
        <f>IF(OHW!$G1511="","",COUNTIFS(OHW!$A$5:$A$1668,OHW!$A1511,OHW!$C$5:$C$1668,OHW!$C1511))</f>
        <v/>
      </c>
      <c r="L2558">
        <f>IF(OHW!$G1511="","",OHW!$D1511&amp;"")</f>
        <v/>
      </c>
      <c r="M2558">
        <f>IF(OHW!$G1511="","",OHW!$F1511)</f>
        <v/>
      </c>
      <c r="N2558">
        <f>IF(OHW!$G1511="","",OHW!$G1511)</f>
        <v/>
      </c>
      <c r="O2558">
        <f>IF(OHW!$G1511="","",OHW!$I1511)</f>
        <v/>
      </c>
      <c r="P2558">
        <f>IF(OHW!$G1511="","","Final")</f>
        <v/>
      </c>
    </row>
    <row r="2559">
      <c r="A2559">
        <f>IF(OHW!$G1512="","","OHW")</f>
        <v/>
      </c>
      <c r="B2559">
        <f>IF(OHW!$G1512="","","OHW")</f>
        <v/>
      </c>
      <c r="C2559" s="18">
        <f>IF(OHW!$G1512="","",OHW!$A1512)</f>
        <v/>
      </c>
      <c r="F2559">
        <f>IF(OHW!$G1512="","",OHW!$B1512&amp;"")</f>
        <v/>
      </c>
      <c r="J2559">
        <f>IF(OHW!$G1512="","",OHW!$E1512)</f>
        <v/>
      </c>
      <c r="K2559">
        <f>IF(OHW!$G1512="","",COUNTIFS(OHW!$A$5:$A$1668,OHW!$A1512,OHW!$C$5:$C$1668,OHW!$C1512))</f>
        <v/>
      </c>
      <c r="L2559">
        <f>IF(OHW!$G1512="","",OHW!$D1512&amp;"")</f>
        <v/>
      </c>
      <c r="M2559">
        <f>IF(OHW!$G1512="","",OHW!$F1512)</f>
        <v/>
      </c>
      <c r="N2559">
        <f>IF(OHW!$G1512="","",OHW!$G1512)</f>
        <v/>
      </c>
      <c r="O2559">
        <f>IF(OHW!$G1512="","",OHW!$I1512)</f>
        <v/>
      </c>
      <c r="P2559">
        <f>IF(OHW!$G1512="","","Final")</f>
        <v/>
      </c>
    </row>
    <row r="2560">
      <c r="A2560">
        <f>IF(OHW!$G1513="","","OHW")</f>
        <v/>
      </c>
      <c r="B2560">
        <f>IF(OHW!$G1513="","","OHW")</f>
        <v/>
      </c>
      <c r="C2560" s="18">
        <f>IF(OHW!$G1513="","",OHW!$A1513)</f>
        <v/>
      </c>
      <c r="F2560">
        <f>IF(OHW!$G1513="","",OHW!$B1513&amp;"")</f>
        <v/>
      </c>
      <c r="J2560">
        <f>IF(OHW!$G1513="","",OHW!$E1513)</f>
        <v/>
      </c>
      <c r="K2560">
        <f>IF(OHW!$G1513="","",COUNTIFS(OHW!$A$5:$A$1668,OHW!$A1513,OHW!$C$5:$C$1668,OHW!$C1513))</f>
        <v/>
      </c>
      <c r="L2560">
        <f>IF(OHW!$G1513="","",OHW!$D1513&amp;"")</f>
        <v/>
      </c>
      <c r="M2560">
        <f>IF(OHW!$G1513="","",OHW!$F1513)</f>
        <v/>
      </c>
      <c r="N2560">
        <f>IF(OHW!$G1513="","",OHW!$G1513)</f>
        <v/>
      </c>
      <c r="O2560">
        <f>IF(OHW!$G1513="","",OHW!$I1513)</f>
        <v/>
      </c>
      <c r="P2560">
        <f>IF(OHW!$G1513="","","Final")</f>
        <v/>
      </c>
    </row>
    <row r="2561">
      <c r="A2561">
        <f>IF(OHW!$G1514="","","OHW")</f>
        <v/>
      </c>
      <c r="B2561">
        <f>IF(OHW!$G1514="","","OHW")</f>
        <v/>
      </c>
      <c r="C2561" s="18">
        <f>IF(OHW!$G1514="","",OHW!$A1514)</f>
        <v/>
      </c>
      <c r="F2561">
        <f>IF(OHW!$G1514="","",OHW!$B1514&amp;"")</f>
        <v/>
      </c>
      <c r="J2561">
        <f>IF(OHW!$G1514="","",OHW!$E1514)</f>
        <v/>
      </c>
      <c r="K2561">
        <f>IF(OHW!$G1514="","",COUNTIFS(OHW!$A$5:$A$1668,OHW!$A1514,OHW!$C$5:$C$1668,OHW!$C1514))</f>
        <v/>
      </c>
      <c r="L2561">
        <f>IF(OHW!$G1514="","",OHW!$D1514&amp;"")</f>
        <v/>
      </c>
      <c r="M2561">
        <f>IF(OHW!$G1514="","",OHW!$F1514)</f>
        <v/>
      </c>
      <c r="N2561">
        <f>IF(OHW!$G1514="","",OHW!$G1514)</f>
        <v/>
      </c>
      <c r="O2561">
        <f>IF(OHW!$G1514="","",OHW!$I1514)</f>
        <v/>
      </c>
      <c r="P2561">
        <f>IF(OHW!$G1514="","","Final")</f>
        <v/>
      </c>
    </row>
    <row r="2562">
      <c r="A2562">
        <f>IF(OHW!$G1515="","","OHW")</f>
        <v/>
      </c>
      <c r="B2562">
        <f>IF(OHW!$G1515="","","OHW")</f>
        <v/>
      </c>
      <c r="C2562" s="18">
        <f>IF(OHW!$G1515="","",OHW!$A1515)</f>
        <v/>
      </c>
      <c r="F2562">
        <f>IF(OHW!$G1515="","",OHW!$B1515&amp;"")</f>
        <v/>
      </c>
      <c r="J2562">
        <f>IF(OHW!$G1515="","",OHW!$E1515)</f>
        <v/>
      </c>
      <c r="K2562">
        <f>IF(OHW!$G1515="","",COUNTIFS(OHW!$A$5:$A$1668,OHW!$A1515,OHW!$C$5:$C$1668,OHW!$C1515))</f>
        <v/>
      </c>
      <c r="L2562">
        <f>IF(OHW!$G1515="","",OHW!$D1515&amp;"")</f>
        <v/>
      </c>
      <c r="M2562">
        <f>IF(OHW!$G1515="","",OHW!$F1515)</f>
        <v/>
      </c>
      <c r="N2562">
        <f>IF(OHW!$G1515="","",OHW!$G1515)</f>
        <v/>
      </c>
      <c r="O2562">
        <f>IF(OHW!$G1515="","",OHW!$I1515)</f>
        <v/>
      </c>
      <c r="P2562">
        <f>IF(OHW!$G1515="","","Final")</f>
        <v/>
      </c>
    </row>
    <row r="2563">
      <c r="A2563">
        <f>IF(OHW!$G1516="","","OHW")</f>
        <v/>
      </c>
      <c r="B2563">
        <f>IF(OHW!$G1516="","","OHW")</f>
        <v/>
      </c>
      <c r="C2563" s="18">
        <f>IF(OHW!$G1516="","",OHW!$A1516)</f>
        <v/>
      </c>
      <c r="F2563">
        <f>IF(OHW!$G1516="","",OHW!$B1516&amp;"")</f>
        <v/>
      </c>
      <c r="J2563">
        <f>IF(OHW!$G1516="","",OHW!$E1516)</f>
        <v/>
      </c>
      <c r="K2563">
        <f>IF(OHW!$G1516="","",COUNTIFS(OHW!$A$5:$A$1668,OHW!$A1516,OHW!$C$5:$C$1668,OHW!$C1516))</f>
        <v/>
      </c>
      <c r="L2563">
        <f>IF(OHW!$G1516="","",OHW!$D1516&amp;"")</f>
        <v/>
      </c>
      <c r="M2563">
        <f>IF(OHW!$G1516="","",OHW!$F1516)</f>
        <v/>
      </c>
      <c r="N2563">
        <f>IF(OHW!$G1516="","",OHW!$G1516)</f>
        <v/>
      </c>
      <c r="O2563">
        <f>IF(OHW!$G1516="","",OHW!$I1516)</f>
        <v/>
      </c>
      <c r="P2563">
        <f>IF(OHW!$G1516="","","Final")</f>
        <v/>
      </c>
    </row>
    <row r="2564">
      <c r="A2564">
        <f>IF(OHW!$G1517="","","OHW")</f>
        <v/>
      </c>
      <c r="B2564">
        <f>IF(OHW!$G1517="","","OHW")</f>
        <v/>
      </c>
      <c r="C2564" s="18">
        <f>IF(OHW!$G1517="","",OHW!$A1517)</f>
        <v/>
      </c>
      <c r="F2564">
        <f>IF(OHW!$G1517="","",OHW!$B1517&amp;"")</f>
        <v/>
      </c>
      <c r="J2564">
        <f>IF(OHW!$G1517="","",OHW!$E1517)</f>
        <v/>
      </c>
      <c r="K2564">
        <f>IF(OHW!$G1517="","",COUNTIFS(OHW!$A$5:$A$1668,OHW!$A1517,OHW!$C$5:$C$1668,OHW!$C1517))</f>
        <v/>
      </c>
      <c r="L2564">
        <f>IF(OHW!$G1517="","",OHW!$D1517&amp;"")</f>
        <v/>
      </c>
      <c r="M2564">
        <f>IF(OHW!$G1517="","",OHW!$F1517)</f>
        <v/>
      </c>
      <c r="N2564">
        <f>IF(OHW!$G1517="","",OHW!$G1517)</f>
        <v/>
      </c>
      <c r="O2564">
        <f>IF(OHW!$G1517="","",OHW!$I1517)</f>
        <v/>
      </c>
      <c r="P2564">
        <f>IF(OHW!$G1517="","","Final")</f>
        <v/>
      </c>
    </row>
    <row r="2565">
      <c r="A2565">
        <f>IF(OHW!$G1518="","","OHW")</f>
        <v/>
      </c>
      <c r="B2565">
        <f>IF(OHW!$G1518="","","OHW")</f>
        <v/>
      </c>
      <c r="C2565" s="18">
        <f>IF(OHW!$G1518="","",OHW!$A1518)</f>
        <v/>
      </c>
      <c r="F2565">
        <f>IF(OHW!$G1518="","",OHW!$B1518&amp;"")</f>
        <v/>
      </c>
      <c r="J2565">
        <f>IF(OHW!$G1518="","",OHW!$E1518)</f>
        <v/>
      </c>
      <c r="K2565">
        <f>IF(OHW!$G1518="","",COUNTIFS(OHW!$A$5:$A$1668,OHW!$A1518,OHW!$C$5:$C$1668,OHW!$C1518))</f>
        <v/>
      </c>
      <c r="L2565">
        <f>IF(OHW!$G1518="","",OHW!$D1518&amp;"")</f>
        <v/>
      </c>
      <c r="M2565">
        <f>IF(OHW!$G1518="","",OHW!$F1518)</f>
        <v/>
      </c>
      <c r="N2565">
        <f>IF(OHW!$G1518="","",OHW!$G1518)</f>
        <v/>
      </c>
      <c r="O2565">
        <f>IF(OHW!$G1518="","",OHW!$I1518)</f>
        <v/>
      </c>
      <c r="P2565">
        <f>IF(OHW!$G1518="","","Final")</f>
        <v/>
      </c>
    </row>
    <row r="2566">
      <c r="A2566">
        <f>IF(OHW!$G1519="","","OHW")</f>
        <v/>
      </c>
      <c r="B2566">
        <f>IF(OHW!$G1519="","","OHW")</f>
        <v/>
      </c>
      <c r="C2566" s="18">
        <f>IF(OHW!$G1519="","",OHW!$A1519)</f>
        <v/>
      </c>
      <c r="F2566">
        <f>IF(OHW!$G1519="","",OHW!$B1519&amp;"")</f>
        <v/>
      </c>
      <c r="J2566">
        <f>IF(OHW!$G1519="","",OHW!$E1519)</f>
        <v/>
      </c>
      <c r="K2566">
        <f>IF(OHW!$G1519="","",COUNTIFS(OHW!$A$5:$A$1668,OHW!$A1519,OHW!$C$5:$C$1668,OHW!$C1519))</f>
        <v/>
      </c>
      <c r="L2566">
        <f>IF(OHW!$G1519="","",OHW!$D1519&amp;"")</f>
        <v/>
      </c>
      <c r="M2566">
        <f>IF(OHW!$G1519="","",OHW!$F1519)</f>
        <v/>
      </c>
      <c r="N2566">
        <f>IF(OHW!$G1519="","",OHW!$G1519)</f>
        <v/>
      </c>
      <c r="O2566">
        <f>IF(OHW!$G1519="","",OHW!$I1519)</f>
        <v/>
      </c>
      <c r="P2566">
        <f>IF(OHW!$G1519="","","Final")</f>
        <v/>
      </c>
    </row>
    <row r="2567">
      <c r="A2567">
        <f>IF(OHW!$G1520="","","OHW")</f>
        <v/>
      </c>
      <c r="B2567">
        <f>IF(OHW!$G1520="","","OHW")</f>
        <v/>
      </c>
      <c r="C2567" s="18">
        <f>IF(OHW!$G1520="","",OHW!$A1520)</f>
        <v/>
      </c>
      <c r="F2567">
        <f>IF(OHW!$G1520="","",OHW!$B1520&amp;"")</f>
        <v/>
      </c>
      <c r="J2567">
        <f>IF(OHW!$G1520="","",OHW!$E1520)</f>
        <v/>
      </c>
      <c r="K2567">
        <f>IF(OHW!$G1520="","",COUNTIFS(OHW!$A$5:$A$1668,OHW!$A1520,OHW!$C$5:$C$1668,OHW!$C1520))</f>
        <v/>
      </c>
      <c r="L2567">
        <f>IF(OHW!$G1520="","",OHW!$D1520&amp;"")</f>
        <v/>
      </c>
      <c r="M2567">
        <f>IF(OHW!$G1520="","",OHW!$F1520)</f>
        <v/>
      </c>
      <c r="N2567">
        <f>IF(OHW!$G1520="","",OHW!$G1520)</f>
        <v/>
      </c>
      <c r="O2567">
        <f>IF(OHW!$G1520="","",OHW!$I1520)</f>
        <v/>
      </c>
      <c r="P2567">
        <f>IF(OHW!$G1520="","","Final")</f>
        <v/>
      </c>
    </row>
    <row r="2568">
      <c r="A2568">
        <f>IF(OHW!$G1521="","","OHW")</f>
        <v/>
      </c>
      <c r="B2568">
        <f>IF(OHW!$G1521="","","OHW")</f>
        <v/>
      </c>
      <c r="C2568" s="18">
        <f>IF(OHW!$G1521="","",OHW!$A1521)</f>
        <v/>
      </c>
      <c r="F2568">
        <f>IF(OHW!$G1521="","",OHW!$B1521&amp;"")</f>
        <v/>
      </c>
      <c r="J2568">
        <f>IF(OHW!$G1521="","",OHW!$E1521)</f>
        <v/>
      </c>
      <c r="K2568">
        <f>IF(OHW!$G1521="","",COUNTIFS(OHW!$A$5:$A$1668,OHW!$A1521,OHW!$C$5:$C$1668,OHW!$C1521))</f>
        <v/>
      </c>
      <c r="L2568">
        <f>IF(OHW!$G1521="","",OHW!$D1521&amp;"")</f>
        <v/>
      </c>
      <c r="M2568">
        <f>IF(OHW!$G1521="","",OHW!$F1521)</f>
        <v/>
      </c>
      <c r="N2568">
        <f>IF(OHW!$G1521="","",OHW!$G1521)</f>
        <v/>
      </c>
      <c r="O2568">
        <f>IF(OHW!$G1521="","",OHW!$I1521)</f>
        <v/>
      </c>
      <c r="P2568">
        <f>IF(OHW!$G1521="","","Final")</f>
        <v/>
      </c>
    </row>
    <row r="2569">
      <c r="A2569">
        <f>IF(OHW!$G1522="","","OHW")</f>
        <v/>
      </c>
      <c r="B2569">
        <f>IF(OHW!$G1522="","","OHW")</f>
        <v/>
      </c>
      <c r="C2569" s="18">
        <f>IF(OHW!$G1522="","",OHW!$A1522)</f>
        <v/>
      </c>
      <c r="F2569">
        <f>IF(OHW!$G1522="","",OHW!$B1522&amp;"")</f>
        <v/>
      </c>
      <c r="J2569">
        <f>IF(OHW!$G1522="","",OHW!$E1522)</f>
        <v/>
      </c>
      <c r="K2569">
        <f>IF(OHW!$G1522="","",COUNTIFS(OHW!$A$5:$A$1668,OHW!$A1522,OHW!$C$5:$C$1668,OHW!$C1522))</f>
        <v/>
      </c>
      <c r="L2569">
        <f>IF(OHW!$G1522="","",OHW!$D1522&amp;"")</f>
        <v/>
      </c>
      <c r="M2569">
        <f>IF(OHW!$G1522="","",OHW!$F1522)</f>
        <v/>
      </c>
      <c r="N2569">
        <f>IF(OHW!$G1522="","",OHW!$G1522)</f>
        <v/>
      </c>
      <c r="O2569">
        <f>IF(OHW!$G1522="","",OHW!$I1522)</f>
        <v/>
      </c>
      <c r="P2569">
        <f>IF(OHW!$G1522="","","Final")</f>
        <v/>
      </c>
    </row>
    <row r="2570">
      <c r="A2570">
        <f>IF(OHW!$G1523="","","OHW")</f>
        <v/>
      </c>
      <c r="B2570">
        <f>IF(OHW!$G1523="","","OHW")</f>
        <v/>
      </c>
      <c r="C2570" s="18">
        <f>IF(OHW!$G1523="","",OHW!$A1523)</f>
        <v/>
      </c>
      <c r="F2570">
        <f>IF(OHW!$G1523="","",OHW!$B1523&amp;"")</f>
        <v/>
      </c>
      <c r="J2570">
        <f>IF(OHW!$G1523="","",OHW!$E1523)</f>
        <v/>
      </c>
      <c r="K2570">
        <f>IF(OHW!$G1523="","",COUNTIFS(OHW!$A$5:$A$1668,OHW!$A1523,OHW!$C$5:$C$1668,OHW!$C1523))</f>
        <v/>
      </c>
      <c r="L2570">
        <f>IF(OHW!$G1523="","",OHW!$D1523&amp;"")</f>
        <v/>
      </c>
      <c r="M2570">
        <f>IF(OHW!$G1523="","",OHW!$F1523)</f>
        <v/>
      </c>
      <c r="N2570">
        <f>IF(OHW!$G1523="","",OHW!$G1523)</f>
        <v/>
      </c>
      <c r="O2570">
        <f>IF(OHW!$G1523="","",OHW!$I1523)</f>
        <v/>
      </c>
      <c r="P2570">
        <f>IF(OHW!$G1523="","","Final")</f>
        <v/>
      </c>
    </row>
    <row r="2571">
      <c r="A2571">
        <f>IF(OHW!$G1524="","","OHW")</f>
        <v/>
      </c>
      <c r="B2571">
        <f>IF(OHW!$G1524="","","OHW")</f>
        <v/>
      </c>
      <c r="C2571" s="18">
        <f>IF(OHW!$G1524="","",OHW!$A1524)</f>
        <v/>
      </c>
      <c r="F2571">
        <f>IF(OHW!$G1524="","",OHW!$B1524&amp;"")</f>
        <v/>
      </c>
      <c r="J2571">
        <f>IF(OHW!$G1524="","",OHW!$E1524)</f>
        <v/>
      </c>
      <c r="K2571">
        <f>IF(OHW!$G1524="","",COUNTIFS(OHW!$A$5:$A$1668,OHW!$A1524,OHW!$C$5:$C$1668,OHW!$C1524))</f>
        <v/>
      </c>
      <c r="L2571">
        <f>IF(OHW!$G1524="","",OHW!$D1524&amp;"")</f>
        <v/>
      </c>
      <c r="M2571">
        <f>IF(OHW!$G1524="","",OHW!$F1524)</f>
        <v/>
      </c>
      <c r="N2571">
        <f>IF(OHW!$G1524="","",OHW!$G1524)</f>
        <v/>
      </c>
      <c r="O2571">
        <f>IF(OHW!$G1524="","",OHW!$I1524)</f>
        <v/>
      </c>
      <c r="P2571">
        <f>IF(OHW!$G1524="","","Final")</f>
        <v/>
      </c>
    </row>
    <row r="2572">
      <c r="A2572">
        <f>IF(OHW!$G1525="","","OHW")</f>
        <v/>
      </c>
      <c r="B2572">
        <f>IF(OHW!$G1525="","","OHW")</f>
        <v/>
      </c>
      <c r="C2572" s="18">
        <f>IF(OHW!$G1525="","",OHW!$A1525)</f>
        <v/>
      </c>
      <c r="F2572">
        <f>IF(OHW!$G1525="","",OHW!$B1525&amp;"")</f>
        <v/>
      </c>
      <c r="J2572">
        <f>IF(OHW!$G1525="","",OHW!$E1525)</f>
        <v/>
      </c>
      <c r="K2572">
        <f>IF(OHW!$G1525="","",COUNTIFS(OHW!$A$5:$A$1668,OHW!$A1525,OHW!$C$5:$C$1668,OHW!$C1525))</f>
        <v/>
      </c>
      <c r="L2572">
        <f>IF(OHW!$G1525="","",OHW!$D1525&amp;"")</f>
        <v/>
      </c>
      <c r="M2572">
        <f>IF(OHW!$G1525="","",OHW!$F1525)</f>
        <v/>
      </c>
      <c r="N2572">
        <f>IF(OHW!$G1525="","",OHW!$G1525)</f>
        <v/>
      </c>
      <c r="O2572">
        <f>IF(OHW!$G1525="","",OHW!$I1525)</f>
        <v/>
      </c>
      <c r="P2572">
        <f>IF(OHW!$G1525="","","Final")</f>
        <v/>
      </c>
    </row>
    <row r="2573">
      <c r="A2573">
        <f>IF(OHW!$G1526="","","OHW")</f>
        <v/>
      </c>
      <c r="B2573">
        <f>IF(OHW!$G1526="","","OHW")</f>
        <v/>
      </c>
      <c r="C2573" s="18">
        <f>IF(OHW!$G1526="","",OHW!$A1526)</f>
        <v/>
      </c>
      <c r="F2573">
        <f>IF(OHW!$G1526="","",OHW!$B1526&amp;"")</f>
        <v/>
      </c>
      <c r="J2573">
        <f>IF(OHW!$G1526="","",OHW!$E1526)</f>
        <v/>
      </c>
      <c r="K2573">
        <f>IF(OHW!$G1526="","",COUNTIFS(OHW!$A$5:$A$1668,OHW!$A1526,OHW!$C$5:$C$1668,OHW!$C1526))</f>
        <v/>
      </c>
      <c r="L2573">
        <f>IF(OHW!$G1526="","",OHW!$D1526&amp;"")</f>
        <v/>
      </c>
      <c r="M2573">
        <f>IF(OHW!$G1526="","",OHW!$F1526)</f>
        <v/>
      </c>
      <c r="N2573">
        <f>IF(OHW!$G1526="","",OHW!$G1526)</f>
        <v/>
      </c>
      <c r="O2573">
        <f>IF(OHW!$G1526="","",OHW!$I1526)</f>
        <v/>
      </c>
      <c r="P2573">
        <f>IF(OHW!$G1526="","","Final")</f>
        <v/>
      </c>
    </row>
    <row r="2574">
      <c r="A2574">
        <f>IF(OHW!$G1527="","","OHW")</f>
        <v/>
      </c>
      <c r="B2574">
        <f>IF(OHW!$G1527="","","OHW")</f>
        <v/>
      </c>
      <c r="C2574" s="18">
        <f>IF(OHW!$G1527="","",OHW!$A1527)</f>
        <v/>
      </c>
      <c r="F2574">
        <f>IF(OHW!$G1527="","",OHW!$B1527&amp;"")</f>
        <v/>
      </c>
      <c r="J2574">
        <f>IF(OHW!$G1527="","",OHW!$E1527)</f>
        <v/>
      </c>
      <c r="K2574">
        <f>IF(OHW!$G1527="","",COUNTIFS(OHW!$A$5:$A$1668,OHW!$A1527,OHW!$C$5:$C$1668,OHW!$C1527))</f>
        <v/>
      </c>
      <c r="L2574">
        <f>IF(OHW!$G1527="","",OHW!$D1527&amp;"")</f>
        <v/>
      </c>
      <c r="M2574">
        <f>IF(OHW!$G1527="","",OHW!$F1527)</f>
        <v/>
      </c>
      <c r="N2574">
        <f>IF(OHW!$G1527="","",OHW!$G1527)</f>
        <v/>
      </c>
      <c r="O2574">
        <f>IF(OHW!$G1527="","",OHW!$I1527)</f>
        <v/>
      </c>
      <c r="P2574">
        <f>IF(OHW!$G1527="","","Final")</f>
        <v/>
      </c>
    </row>
    <row r="2575">
      <c r="A2575">
        <f>IF(OHW!$G1528="","","OHW")</f>
        <v/>
      </c>
      <c r="B2575">
        <f>IF(OHW!$G1528="","","OHW")</f>
        <v/>
      </c>
      <c r="C2575" s="18">
        <f>IF(OHW!$G1528="","",OHW!$A1528)</f>
        <v/>
      </c>
      <c r="F2575">
        <f>IF(OHW!$G1528="","",OHW!$B1528&amp;"")</f>
        <v/>
      </c>
      <c r="J2575">
        <f>IF(OHW!$G1528="","",OHW!$E1528)</f>
        <v/>
      </c>
      <c r="K2575">
        <f>IF(OHW!$G1528="","",COUNTIFS(OHW!$A$5:$A$1668,OHW!$A1528,OHW!$C$5:$C$1668,OHW!$C1528))</f>
        <v/>
      </c>
      <c r="L2575">
        <f>IF(OHW!$G1528="","",OHW!$D1528&amp;"")</f>
        <v/>
      </c>
      <c r="M2575">
        <f>IF(OHW!$G1528="","",OHW!$F1528)</f>
        <v/>
      </c>
      <c r="N2575">
        <f>IF(OHW!$G1528="","",OHW!$G1528)</f>
        <v/>
      </c>
      <c r="O2575">
        <f>IF(OHW!$G1528="","",OHW!$I1528)</f>
        <v/>
      </c>
      <c r="P2575">
        <f>IF(OHW!$G1528="","","Final")</f>
        <v/>
      </c>
    </row>
    <row r="2576">
      <c r="A2576">
        <f>IF(OHW!$G1529="","","OHW")</f>
        <v/>
      </c>
      <c r="B2576">
        <f>IF(OHW!$G1529="","","OHW")</f>
        <v/>
      </c>
      <c r="C2576" s="18">
        <f>IF(OHW!$G1529="","",OHW!$A1529)</f>
        <v/>
      </c>
      <c r="F2576">
        <f>IF(OHW!$G1529="","",OHW!$B1529&amp;"")</f>
        <v/>
      </c>
      <c r="J2576">
        <f>IF(OHW!$G1529="","",OHW!$E1529)</f>
        <v/>
      </c>
      <c r="K2576">
        <f>IF(OHW!$G1529="","",COUNTIFS(OHW!$A$5:$A$1668,OHW!$A1529,OHW!$C$5:$C$1668,OHW!$C1529))</f>
        <v/>
      </c>
      <c r="L2576">
        <f>IF(OHW!$G1529="","",OHW!$D1529&amp;"")</f>
        <v/>
      </c>
      <c r="M2576">
        <f>IF(OHW!$G1529="","",OHW!$F1529)</f>
        <v/>
      </c>
      <c r="N2576">
        <f>IF(OHW!$G1529="","",OHW!$G1529)</f>
        <v/>
      </c>
      <c r="O2576">
        <f>IF(OHW!$G1529="","",OHW!$I1529)</f>
        <v/>
      </c>
      <c r="P2576">
        <f>IF(OHW!$G1529="","","Final")</f>
        <v/>
      </c>
    </row>
    <row r="2577">
      <c r="A2577">
        <f>IF(OHW!$G1530="","","OHW")</f>
        <v/>
      </c>
      <c r="B2577">
        <f>IF(OHW!$G1530="","","OHW")</f>
        <v/>
      </c>
      <c r="C2577" s="18">
        <f>IF(OHW!$G1530="","",OHW!$A1530)</f>
        <v/>
      </c>
      <c r="F2577">
        <f>IF(OHW!$G1530="","",OHW!$B1530&amp;"")</f>
        <v/>
      </c>
      <c r="J2577">
        <f>IF(OHW!$G1530="","",OHW!$E1530)</f>
        <v/>
      </c>
      <c r="K2577">
        <f>IF(OHW!$G1530="","",COUNTIFS(OHW!$A$5:$A$1668,OHW!$A1530,OHW!$C$5:$C$1668,OHW!$C1530))</f>
        <v/>
      </c>
      <c r="L2577">
        <f>IF(OHW!$G1530="","",OHW!$D1530&amp;"")</f>
        <v/>
      </c>
      <c r="M2577">
        <f>IF(OHW!$G1530="","",OHW!$F1530)</f>
        <v/>
      </c>
      <c r="N2577">
        <f>IF(OHW!$G1530="","",OHW!$G1530)</f>
        <v/>
      </c>
      <c r="O2577">
        <f>IF(OHW!$G1530="","",OHW!$I1530)</f>
        <v/>
      </c>
      <c r="P2577">
        <f>IF(OHW!$G1530="","","Final")</f>
        <v/>
      </c>
    </row>
    <row r="2578">
      <c r="A2578">
        <f>IF(OHW!$G1531="","","OHW")</f>
        <v/>
      </c>
      <c r="B2578">
        <f>IF(OHW!$G1531="","","OHW")</f>
        <v/>
      </c>
      <c r="C2578" s="18">
        <f>IF(OHW!$G1531="","",OHW!$A1531)</f>
        <v/>
      </c>
      <c r="F2578">
        <f>IF(OHW!$G1531="","",OHW!$B1531&amp;"")</f>
        <v/>
      </c>
      <c r="J2578">
        <f>IF(OHW!$G1531="","",OHW!$E1531)</f>
        <v/>
      </c>
      <c r="K2578">
        <f>IF(OHW!$G1531="","",COUNTIFS(OHW!$A$5:$A$1668,OHW!$A1531,OHW!$C$5:$C$1668,OHW!$C1531))</f>
        <v/>
      </c>
      <c r="L2578">
        <f>IF(OHW!$G1531="","",OHW!$D1531&amp;"")</f>
        <v/>
      </c>
      <c r="M2578">
        <f>IF(OHW!$G1531="","",OHW!$F1531)</f>
        <v/>
      </c>
      <c r="N2578">
        <f>IF(OHW!$G1531="","",OHW!$G1531)</f>
        <v/>
      </c>
      <c r="O2578">
        <f>IF(OHW!$G1531="","",OHW!$I1531)</f>
        <v/>
      </c>
      <c r="P2578">
        <f>IF(OHW!$G1531="","","Final")</f>
        <v/>
      </c>
    </row>
    <row r="2579">
      <c r="A2579">
        <f>IF(OHW!$G1532="","","OHW")</f>
        <v/>
      </c>
      <c r="B2579">
        <f>IF(OHW!$G1532="","","OHW")</f>
        <v/>
      </c>
      <c r="C2579" s="18">
        <f>IF(OHW!$G1532="","",OHW!$A1532)</f>
        <v/>
      </c>
      <c r="F2579">
        <f>IF(OHW!$G1532="","",OHW!$B1532&amp;"")</f>
        <v/>
      </c>
      <c r="J2579">
        <f>IF(OHW!$G1532="","",OHW!$E1532)</f>
        <v/>
      </c>
      <c r="K2579">
        <f>IF(OHW!$G1532="","",COUNTIFS(OHW!$A$5:$A$1668,OHW!$A1532,OHW!$C$5:$C$1668,OHW!$C1532))</f>
        <v/>
      </c>
      <c r="L2579">
        <f>IF(OHW!$G1532="","",OHW!$D1532&amp;"")</f>
        <v/>
      </c>
      <c r="M2579">
        <f>IF(OHW!$G1532="","",OHW!$F1532)</f>
        <v/>
      </c>
      <c r="N2579">
        <f>IF(OHW!$G1532="","",OHW!$G1532)</f>
        <v/>
      </c>
      <c r="O2579">
        <f>IF(OHW!$G1532="","",OHW!$I1532)</f>
        <v/>
      </c>
      <c r="P2579">
        <f>IF(OHW!$G1532="","","Final")</f>
        <v/>
      </c>
    </row>
    <row r="2580">
      <c r="A2580">
        <f>IF(OHW!$G1533="","","OHW")</f>
        <v/>
      </c>
      <c r="B2580">
        <f>IF(OHW!$G1533="","","OHW")</f>
        <v/>
      </c>
      <c r="C2580" s="18">
        <f>IF(OHW!$G1533="","",OHW!$A1533)</f>
        <v/>
      </c>
      <c r="F2580">
        <f>IF(OHW!$G1533="","",OHW!$B1533&amp;"")</f>
        <v/>
      </c>
      <c r="J2580">
        <f>IF(OHW!$G1533="","",OHW!$E1533)</f>
        <v/>
      </c>
      <c r="K2580">
        <f>IF(OHW!$G1533="","",COUNTIFS(OHW!$A$5:$A$1668,OHW!$A1533,OHW!$C$5:$C$1668,OHW!$C1533))</f>
        <v/>
      </c>
      <c r="L2580">
        <f>IF(OHW!$G1533="","",OHW!$D1533&amp;"")</f>
        <v/>
      </c>
      <c r="M2580">
        <f>IF(OHW!$G1533="","",OHW!$F1533)</f>
        <v/>
      </c>
      <c r="N2580">
        <f>IF(OHW!$G1533="","",OHW!$G1533)</f>
        <v/>
      </c>
      <c r="O2580">
        <f>IF(OHW!$G1533="","",OHW!$I1533)</f>
        <v/>
      </c>
      <c r="P2580">
        <f>IF(OHW!$G1533="","","Final")</f>
        <v/>
      </c>
    </row>
    <row r="2581">
      <c r="A2581">
        <f>IF(OHW!$G1534="","","OHW")</f>
        <v/>
      </c>
      <c r="B2581">
        <f>IF(OHW!$G1534="","","OHW")</f>
        <v/>
      </c>
      <c r="C2581" s="18">
        <f>IF(OHW!$G1534="","",OHW!$A1534)</f>
        <v/>
      </c>
      <c r="F2581">
        <f>IF(OHW!$G1534="","",OHW!$B1534&amp;"")</f>
        <v/>
      </c>
      <c r="J2581">
        <f>IF(OHW!$G1534="","",OHW!$E1534)</f>
        <v/>
      </c>
      <c r="K2581">
        <f>IF(OHW!$G1534="","",COUNTIFS(OHW!$A$5:$A$1668,OHW!$A1534,OHW!$C$5:$C$1668,OHW!$C1534))</f>
        <v/>
      </c>
      <c r="L2581">
        <f>IF(OHW!$G1534="","",OHW!$D1534&amp;"")</f>
        <v/>
      </c>
      <c r="M2581">
        <f>IF(OHW!$G1534="","",OHW!$F1534)</f>
        <v/>
      </c>
      <c r="N2581">
        <f>IF(OHW!$G1534="","",OHW!$G1534)</f>
        <v/>
      </c>
      <c r="O2581">
        <f>IF(OHW!$G1534="","",OHW!$I1534)</f>
        <v/>
      </c>
      <c r="P2581">
        <f>IF(OHW!$G1534="","","Final")</f>
        <v/>
      </c>
    </row>
    <row r="2582">
      <c r="A2582">
        <f>IF(OHW!$G1535="","","OHW")</f>
        <v/>
      </c>
      <c r="B2582">
        <f>IF(OHW!$G1535="","","OHW")</f>
        <v/>
      </c>
      <c r="C2582" s="18">
        <f>IF(OHW!$G1535="","",OHW!$A1535)</f>
        <v/>
      </c>
      <c r="F2582">
        <f>IF(OHW!$G1535="","",OHW!$B1535&amp;"")</f>
        <v/>
      </c>
      <c r="J2582">
        <f>IF(OHW!$G1535="","",OHW!$E1535)</f>
        <v/>
      </c>
      <c r="K2582">
        <f>IF(OHW!$G1535="","",COUNTIFS(OHW!$A$5:$A$1668,OHW!$A1535,OHW!$C$5:$C$1668,OHW!$C1535))</f>
        <v/>
      </c>
      <c r="L2582">
        <f>IF(OHW!$G1535="","",OHW!$D1535&amp;"")</f>
        <v/>
      </c>
      <c r="M2582">
        <f>IF(OHW!$G1535="","",OHW!$F1535)</f>
        <v/>
      </c>
      <c r="N2582">
        <f>IF(OHW!$G1535="","",OHW!$G1535)</f>
        <v/>
      </c>
      <c r="O2582">
        <f>IF(OHW!$G1535="","",OHW!$I1535)</f>
        <v/>
      </c>
      <c r="P2582">
        <f>IF(OHW!$G1535="","","Final")</f>
        <v/>
      </c>
    </row>
    <row r="2583">
      <c r="A2583">
        <f>IF(OHW!$G1536="","","OHW")</f>
        <v/>
      </c>
      <c r="B2583">
        <f>IF(OHW!$G1536="","","OHW")</f>
        <v/>
      </c>
      <c r="C2583" s="18">
        <f>IF(OHW!$G1536="","",OHW!$A1536)</f>
        <v/>
      </c>
      <c r="F2583">
        <f>IF(OHW!$G1536="","",OHW!$B1536&amp;"")</f>
        <v/>
      </c>
      <c r="J2583">
        <f>IF(OHW!$G1536="","",OHW!$E1536)</f>
        <v/>
      </c>
      <c r="K2583">
        <f>IF(OHW!$G1536="","",COUNTIFS(OHW!$A$5:$A$1668,OHW!$A1536,OHW!$C$5:$C$1668,OHW!$C1536))</f>
        <v/>
      </c>
      <c r="L2583">
        <f>IF(OHW!$G1536="","",OHW!$D1536&amp;"")</f>
        <v/>
      </c>
      <c r="M2583">
        <f>IF(OHW!$G1536="","",OHW!$F1536)</f>
        <v/>
      </c>
      <c r="N2583">
        <f>IF(OHW!$G1536="","",OHW!$G1536)</f>
        <v/>
      </c>
      <c r="O2583">
        <f>IF(OHW!$G1536="","",OHW!$I1536)</f>
        <v/>
      </c>
      <c r="P2583">
        <f>IF(OHW!$G1536="","","Final")</f>
        <v/>
      </c>
    </row>
    <row r="2584">
      <c r="A2584">
        <f>IF(OHW!$G1537="","","OHW")</f>
        <v/>
      </c>
      <c r="B2584">
        <f>IF(OHW!$G1537="","","OHW")</f>
        <v/>
      </c>
      <c r="C2584" s="18">
        <f>IF(OHW!$G1537="","",OHW!$A1537)</f>
        <v/>
      </c>
      <c r="F2584">
        <f>IF(OHW!$G1537="","",OHW!$B1537&amp;"")</f>
        <v/>
      </c>
      <c r="J2584">
        <f>IF(OHW!$G1537="","",OHW!$E1537)</f>
        <v/>
      </c>
      <c r="K2584">
        <f>IF(OHW!$G1537="","",COUNTIFS(OHW!$A$5:$A$1668,OHW!$A1537,OHW!$C$5:$C$1668,OHW!$C1537))</f>
        <v/>
      </c>
      <c r="L2584">
        <f>IF(OHW!$G1537="","",OHW!$D1537&amp;"")</f>
        <v/>
      </c>
      <c r="M2584">
        <f>IF(OHW!$G1537="","",OHW!$F1537)</f>
        <v/>
      </c>
      <c r="N2584">
        <f>IF(OHW!$G1537="","",OHW!$G1537)</f>
        <v/>
      </c>
      <c r="O2584">
        <f>IF(OHW!$G1537="","",OHW!$I1537)</f>
        <v/>
      </c>
      <c r="P2584">
        <f>IF(OHW!$G1537="","","Final")</f>
        <v/>
      </c>
    </row>
    <row r="2585">
      <c r="A2585">
        <f>IF(OHW!$G1538="","","OHW")</f>
        <v/>
      </c>
      <c r="B2585">
        <f>IF(OHW!$G1538="","","OHW")</f>
        <v/>
      </c>
      <c r="C2585" s="18">
        <f>IF(OHW!$G1538="","",OHW!$A1538)</f>
        <v/>
      </c>
      <c r="F2585">
        <f>IF(OHW!$G1538="","",OHW!$B1538&amp;"")</f>
        <v/>
      </c>
      <c r="J2585">
        <f>IF(OHW!$G1538="","",OHW!$E1538)</f>
        <v/>
      </c>
      <c r="K2585">
        <f>IF(OHW!$G1538="","",COUNTIFS(OHW!$A$5:$A$1668,OHW!$A1538,OHW!$C$5:$C$1668,OHW!$C1538))</f>
        <v/>
      </c>
      <c r="L2585">
        <f>IF(OHW!$G1538="","",OHW!$D1538&amp;"")</f>
        <v/>
      </c>
      <c r="M2585">
        <f>IF(OHW!$G1538="","",OHW!$F1538)</f>
        <v/>
      </c>
      <c r="N2585">
        <f>IF(OHW!$G1538="","",OHW!$G1538)</f>
        <v/>
      </c>
      <c r="O2585">
        <f>IF(OHW!$G1538="","",OHW!$I1538)</f>
        <v/>
      </c>
      <c r="P2585">
        <f>IF(OHW!$G1538="","","Final")</f>
        <v/>
      </c>
    </row>
    <row r="2586">
      <c r="A2586">
        <f>IF(OHW!$G1539="","","OHW")</f>
        <v/>
      </c>
      <c r="B2586">
        <f>IF(OHW!$G1539="","","OHW")</f>
        <v/>
      </c>
      <c r="C2586" s="18">
        <f>IF(OHW!$G1539="","",OHW!$A1539)</f>
        <v/>
      </c>
      <c r="F2586">
        <f>IF(OHW!$G1539="","",OHW!$B1539&amp;"")</f>
        <v/>
      </c>
      <c r="J2586">
        <f>IF(OHW!$G1539="","",OHW!$E1539)</f>
        <v/>
      </c>
      <c r="K2586">
        <f>IF(OHW!$G1539="","",COUNTIFS(OHW!$A$5:$A$1668,OHW!$A1539,OHW!$C$5:$C$1668,OHW!$C1539))</f>
        <v/>
      </c>
      <c r="L2586">
        <f>IF(OHW!$G1539="","",OHW!$D1539&amp;"")</f>
        <v/>
      </c>
      <c r="M2586">
        <f>IF(OHW!$G1539="","",OHW!$F1539)</f>
        <v/>
      </c>
      <c r="N2586">
        <f>IF(OHW!$G1539="","",OHW!$G1539)</f>
        <v/>
      </c>
      <c r="O2586">
        <f>IF(OHW!$G1539="","",OHW!$I1539)</f>
        <v/>
      </c>
      <c r="P2586">
        <f>IF(OHW!$G1539="","","Final")</f>
        <v/>
      </c>
    </row>
    <row r="2587">
      <c r="A2587">
        <f>IF(OHW!$G1540="","","OHW")</f>
        <v/>
      </c>
      <c r="B2587">
        <f>IF(OHW!$G1540="","","OHW")</f>
        <v/>
      </c>
      <c r="C2587" s="18">
        <f>IF(OHW!$G1540="","",OHW!$A1540)</f>
        <v/>
      </c>
      <c r="F2587">
        <f>IF(OHW!$G1540="","",OHW!$B1540&amp;"")</f>
        <v/>
      </c>
      <c r="J2587">
        <f>IF(OHW!$G1540="","",OHW!$E1540)</f>
        <v/>
      </c>
      <c r="K2587">
        <f>IF(OHW!$G1540="","",COUNTIFS(OHW!$A$5:$A$1668,OHW!$A1540,OHW!$C$5:$C$1668,OHW!$C1540))</f>
        <v/>
      </c>
      <c r="L2587">
        <f>IF(OHW!$G1540="","",OHW!$D1540&amp;"")</f>
        <v/>
      </c>
      <c r="M2587">
        <f>IF(OHW!$G1540="","",OHW!$F1540)</f>
        <v/>
      </c>
      <c r="N2587">
        <f>IF(OHW!$G1540="","",OHW!$G1540)</f>
        <v/>
      </c>
      <c r="O2587">
        <f>IF(OHW!$G1540="","",OHW!$I1540)</f>
        <v/>
      </c>
      <c r="P2587">
        <f>IF(OHW!$G1540="","","Final")</f>
        <v/>
      </c>
    </row>
    <row r="2588">
      <c r="A2588">
        <f>IF(OHW!$G1541="","","OHW")</f>
        <v/>
      </c>
      <c r="B2588">
        <f>IF(OHW!$G1541="","","OHW")</f>
        <v/>
      </c>
      <c r="C2588" s="18">
        <f>IF(OHW!$G1541="","",OHW!$A1541)</f>
        <v/>
      </c>
      <c r="F2588">
        <f>IF(OHW!$G1541="","",OHW!$B1541&amp;"")</f>
        <v/>
      </c>
      <c r="J2588">
        <f>IF(OHW!$G1541="","",OHW!$E1541)</f>
        <v/>
      </c>
      <c r="K2588">
        <f>IF(OHW!$G1541="","",COUNTIFS(OHW!$A$5:$A$1668,OHW!$A1541,OHW!$C$5:$C$1668,OHW!$C1541))</f>
        <v/>
      </c>
      <c r="L2588">
        <f>IF(OHW!$G1541="","",OHW!$D1541&amp;"")</f>
        <v/>
      </c>
      <c r="M2588">
        <f>IF(OHW!$G1541="","",OHW!$F1541)</f>
        <v/>
      </c>
      <c r="N2588">
        <f>IF(OHW!$G1541="","",OHW!$G1541)</f>
        <v/>
      </c>
      <c r="O2588">
        <f>IF(OHW!$G1541="","",OHW!$I1541)</f>
        <v/>
      </c>
      <c r="P2588">
        <f>IF(OHW!$G1541="","","Final")</f>
        <v/>
      </c>
    </row>
    <row r="2589">
      <c r="A2589">
        <f>IF(OHW!$G1542="","","OHW")</f>
        <v/>
      </c>
      <c r="B2589">
        <f>IF(OHW!$G1542="","","OHW")</f>
        <v/>
      </c>
      <c r="C2589" s="18">
        <f>IF(OHW!$G1542="","",OHW!$A1542)</f>
        <v/>
      </c>
      <c r="F2589">
        <f>IF(OHW!$G1542="","",OHW!$B1542&amp;"")</f>
        <v/>
      </c>
      <c r="J2589">
        <f>IF(OHW!$G1542="","",OHW!$E1542)</f>
        <v/>
      </c>
      <c r="K2589">
        <f>IF(OHW!$G1542="","",COUNTIFS(OHW!$A$5:$A$1668,OHW!$A1542,OHW!$C$5:$C$1668,OHW!$C1542))</f>
        <v/>
      </c>
      <c r="L2589">
        <f>IF(OHW!$G1542="","",OHW!$D1542&amp;"")</f>
        <v/>
      </c>
      <c r="M2589">
        <f>IF(OHW!$G1542="","",OHW!$F1542)</f>
        <v/>
      </c>
      <c r="N2589">
        <f>IF(OHW!$G1542="","",OHW!$G1542)</f>
        <v/>
      </c>
      <c r="O2589">
        <f>IF(OHW!$G1542="","",OHW!$I1542)</f>
        <v/>
      </c>
      <c r="P2589">
        <f>IF(OHW!$G1542="","","Final")</f>
        <v/>
      </c>
    </row>
    <row r="2590">
      <c r="A2590">
        <f>IF(OHW!$G1543="","","OHW")</f>
        <v/>
      </c>
      <c r="B2590">
        <f>IF(OHW!$G1543="","","OHW")</f>
        <v/>
      </c>
      <c r="C2590" s="18">
        <f>IF(OHW!$G1543="","",OHW!$A1543)</f>
        <v/>
      </c>
      <c r="F2590">
        <f>IF(OHW!$G1543="","",OHW!$B1543&amp;"")</f>
        <v/>
      </c>
      <c r="J2590">
        <f>IF(OHW!$G1543="","",OHW!$E1543)</f>
        <v/>
      </c>
      <c r="K2590">
        <f>IF(OHW!$G1543="","",COUNTIFS(OHW!$A$5:$A$1668,OHW!$A1543,OHW!$C$5:$C$1668,OHW!$C1543))</f>
        <v/>
      </c>
      <c r="L2590">
        <f>IF(OHW!$G1543="","",OHW!$D1543&amp;"")</f>
        <v/>
      </c>
      <c r="M2590">
        <f>IF(OHW!$G1543="","",OHW!$F1543)</f>
        <v/>
      </c>
      <c r="N2590">
        <f>IF(OHW!$G1543="","",OHW!$G1543)</f>
        <v/>
      </c>
      <c r="O2590">
        <f>IF(OHW!$G1543="","",OHW!$I1543)</f>
        <v/>
      </c>
      <c r="P2590">
        <f>IF(OHW!$G1543="","","Final")</f>
        <v/>
      </c>
    </row>
    <row r="2591">
      <c r="A2591">
        <f>IF(OHW!$G1544="","","OHW")</f>
        <v/>
      </c>
      <c r="B2591">
        <f>IF(OHW!$G1544="","","OHW")</f>
        <v/>
      </c>
      <c r="C2591" s="18">
        <f>IF(OHW!$G1544="","",OHW!$A1544)</f>
        <v/>
      </c>
      <c r="F2591">
        <f>IF(OHW!$G1544="","",OHW!$B1544&amp;"")</f>
        <v/>
      </c>
      <c r="J2591">
        <f>IF(OHW!$G1544="","",OHW!$E1544)</f>
        <v/>
      </c>
      <c r="K2591">
        <f>IF(OHW!$G1544="","",COUNTIFS(OHW!$A$5:$A$1668,OHW!$A1544,OHW!$C$5:$C$1668,OHW!$C1544))</f>
        <v/>
      </c>
      <c r="L2591">
        <f>IF(OHW!$G1544="","",OHW!$D1544&amp;"")</f>
        <v/>
      </c>
      <c r="M2591">
        <f>IF(OHW!$G1544="","",OHW!$F1544)</f>
        <v/>
      </c>
      <c r="N2591">
        <f>IF(OHW!$G1544="","",OHW!$G1544)</f>
        <v/>
      </c>
      <c r="O2591">
        <f>IF(OHW!$G1544="","",OHW!$I1544)</f>
        <v/>
      </c>
      <c r="P2591">
        <f>IF(OHW!$G1544="","","Final")</f>
        <v/>
      </c>
    </row>
    <row r="2592">
      <c r="A2592">
        <f>IF(OHW!$G1545="","","OHW")</f>
        <v/>
      </c>
      <c r="B2592">
        <f>IF(OHW!$G1545="","","OHW")</f>
        <v/>
      </c>
      <c r="C2592" s="18">
        <f>IF(OHW!$G1545="","",OHW!$A1545)</f>
        <v/>
      </c>
      <c r="F2592">
        <f>IF(OHW!$G1545="","",OHW!$B1545&amp;"")</f>
        <v/>
      </c>
      <c r="J2592">
        <f>IF(OHW!$G1545="","",OHW!$E1545)</f>
        <v/>
      </c>
      <c r="K2592">
        <f>IF(OHW!$G1545="","",COUNTIFS(OHW!$A$5:$A$1668,OHW!$A1545,OHW!$C$5:$C$1668,OHW!$C1545))</f>
        <v/>
      </c>
      <c r="L2592">
        <f>IF(OHW!$G1545="","",OHW!$D1545&amp;"")</f>
        <v/>
      </c>
      <c r="M2592">
        <f>IF(OHW!$G1545="","",OHW!$F1545)</f>
        <v/>
      </c>
      <c r="N2592">
        <f>IF(OHW!$G1545="","",OHW!$G1545)</f>
        <v/>
      </c>
      <c r="O2592">
        <f>IF(OHW!$G1545="","",OHW!$I1545)</f>
        <v/>
      </c>
      <c r="P2592">
        <f>IF(OHW!$G1545="","","Final")</f>
        <v/>
      </c>
    </row>
    <row r="2593">
      <c r="A2593">
        <f>IF(OHW!$G1546="","","OHW")</f>
        <v/>
      </c>
      <c r="B2593">
        <f>IF(OHW!$G1546="","","OHW")</f>
        <v/>
      </c>
      <c r="C2593" s="18">
        <f>IF(OHW!$G1546="","",OHW!$A1546)</f>
        <v/>
      </c>
      <c r="F2593">
        <f>IF(OHW!$G1546="","",OHW!$B1546&amp;"")</f>
        <v/>
      </c>
      <c r="J2593">
        <f>IF(OHW!$G1546="","",OHW!$E1546)</f>
        <v/>
      </c>
      <c r="K2593">
        <f>IF(OHW!$G1546="","",COUNTIFS(OHW!$A$5:$A$1668,OHW!$A1546,OHW!$C$5:$C$1668,OHW!$C1546))</f>
        <v/>
      </c>
      <c r="L2593">
        <f>IF(OHW!$G1546="","",OHW!$D1546&amp;"")</f>
        <v/>
      </c>
      <c r="M2593">
        <f>IF(OHW!$G1546="","",OHW!$F1546)</f>
        <v/>
      </c>
      <c r="N2593">
        <f>IF(OHW!$G1546="","",OHW!$G1546)</f>
        <v/>
      </c>
      <c r="O2593">
        <f>IF(OHW!$G1546="","",OHW!$I1546)</f>
        <v/>
      </c>
      <c r="P2593">
        <f>IF(OHW!$G1546="","","Final")</f>
        <v/>
      </c>
    </row>
    <row r="2594">
      <c r="A2594">
        <f>IF(OHW!$G1547="","","OHW")</f>
        <v/>
      </c>
      <c r="B2594">
        <f>IF(OHW!$G1547="","","OHW")</f>
        <v/>
      </c>
      <c r="C2594" s="18">
        <f>IF(OHW!$G1547="","",OHW!$A1547)</f>
        <v/>
      </c>
      <c r="F2594">
        <f>IF(OHW!$G1547="","",OHW!$B1547&amp;"")</f>
        <v/>
      </c>
      <c r="J2594">
        <f>IF(OHW!$G1547="","",OHW!$E1547)</f>
        <v/>
      </c>
      <c r="K2594">
        <f>IF(OHW!$G1547="","",COUNTIFS(OHW!$A$5:$A$1668,OHW!$A1547,OHW!$C$5:$C$1668,OHW!$C1547))</f>
        <v/>
      </c>
      <c r="L2594">
        <f>IF(OHW!$G1547="","",OHW!$D1547&amp;"")</f>
        <v/>
      </c>
      <c r="M2594">
        <f>IF(OHW!$G1547="","",OHW!$F1547)</f>
        <v/>
      </c>
      <c r="N2594">
        <f>IF(OHW!$G1547="","",OHW!$G1547)</f>
        <v/>
      </c>
      <c r="O2594">
        <f>IF(OHW!$G1547="","",OHW!$I1547)</f>
        <v/>
      </c>
      <c r="P2594">
        <f>IF(OHW!$G1547="","","Final")</f>
        <v/>
      </c>
    </row>
    <row r="2595">
      <c r="A2595">
        <f>IF(OHW!$G1548="","","OHW")</f>
        <v/>
      </c>
      <c r="B2595">
        <f>IF(OHW!$G1548="","","OHW")</f>
        <v/>
      </c>
      <c r="C2595" s="18">
        <f>IF(OHW!$G1548="","",OHW!$A1548)</f>
        <v/>
      </c>
      <c r="F2595">
        <f>IF(OHW!$G1548="","",OHW!$B1548&amp;"")</f>
        <v/>
      </c>
      <c r="J2595">
        <f>IF(OHW!$G1548="","",OHW!$E1548)</f>
        <v/>
      </c>
      <c r="K2595">
        <f>IF(OHW!$G1548="","",COUNTIFS(OHW!$A$5:$A$1668,OHW!$A1548,OHW!$C$5:$C$1668,OHW!$C1548))</f>
        <v/>
      </c>
      <c r="L2595">
        <f>IF(OHW!$G1548="","",OHW!$D1548&amp;"")</f>
        <v/>
      </c>
      <c r="M2595">
        <f>IF(OHW!$G1548="","",OHW!$F1548)</f>
        <v/>
      </c>
      <c r="N2595">
        <f>IF(OHW!$G1548="","",OHW!$G1548)</f>
        <v/>
      </c>
      <c r="O2595">
        <f>IF(OHW!$G1548="","",OHW!$I1548)</f>
        <v/>
      </c>
      <c r="P2595">
        <f>IF(OHW!$G1548="","","Final")</f>
        <v/>
      </c>
    </row>
    <row r="2596">
      <c r="A2596">
        <f>IF(OHW!$G1549="","","OHW")</f>
        <v/>
      </c>
      <c r="B2596">
        <f>IF(OHW!$G1549="","","OHW")</f>
        <v/>
      </c>
      <c r="C2596" s="18">
        <f>IF(OHW!$G1549="","",OHW!$A1549)</f>
        <v/>
      </c>
      <c r="F2596">
        <f>IF(OHW!$G1549="","",OHW!$B1549&amp;"")</f>
        <v/>
      </c>
      <c r="J2596">
        <f>IF(OHW!$G1549="","",OHW!$E1549)</f>
        <v/>
      </c>
      <c r="K2596">
        <f>IF(OHW!$G1549="","",COUNTIFS(OHW!$A$5:$A$1668,OHW!$A1549,OHW!$C$5:$C$1668,OHW!$C1549))</f>
        <v/>
      </c>
      <c r="L2596">
        <f>IF(OHW!$G1549="","",OHW!$D1549&amp;"")</f>
        <v/>
      </c>
      <c r="M2596">
        <f>IF(OHW!$G1549="","",OHW!$F1549)</f>
        <v/>
      </c>
      <c r="N2596">
        <f>IF(OHW!$G1549="","",OHW!$G1549)</f>
        <v/>
      </c>
      <c r="O2596">
        <f>IF(OHW!$G1549="","",OHW!$I1549)</f>
        <v/>
      </c>
      <c r="P2596">
        <f>IF(OHW!$G1549="","","Final")</f>
        <v/>
      </c>
    </row>
    <row r="2597">
      <c r="A2597">
        <f>IF(OHW!$G1550="","","OHW")</f>
        <v/>
      </c>
      <c r="B2597">
        <f>IF(OHW!$G1550="","","OHW")</f>
        <v/>
      </c>
      <c r="C2597" s="18">
        <f>IF(OHW!$G1550="","",OHW!$A1550)</f>
        <v/>
      </c>
      <c r="F2597">
        <f>IF(OHW!$G1550="","",OHW!$B1550&amp;"")</f>
        <v/>
      </c>
      <c r="J2597">
        <f>IF(OHW!$G1550="","",OHW!$E1550)</f>
        <v/>
      </c>
      <c r="K2597">
        <f>IF(OHW!$G1550="","",COUNTIFS(OHW!$A$5:$A$1668,OHW!$A1550,OHW!$C$5:$C$1668,OHW!$C1550))</f>
        <v/>
      </c>
      <c r="L2597">
        <f>IF(OHW!$G1550="","",OHW!$D1550&amp;"")</f>
        <v/>
      </c>
      <c r="M2597">
        <f>IF(OHW!$G1550="","",OHW!$F1550)</f>
        <v/>
      </c>
      <c r="N2597">
        <f>IF(OHW!$G1550="","",OHW!$G1550)</f>
        <v/>
      </c>
      <c r="O2597">
        <f>IF(OHW!$G1550="","",OHW!$I1550)</f>
        <v/>
      </c>
      <c r="P2597">
        <f>IF(OHW!$G1550="","","Final")</f>
        <v/>
      </c>
    </row>
    <row r="2598">
      <c r="A2598">
        <f>IF(OHW!$G1551="","","OHW")</f>
        <v/>
      </c>
      <c r="B2598">
        <f>IF(OHW!$G1551="","","OHW")</f>
        <v/>
      </c>
      <c r="C2598" s="18">
        <f>IF(OHW!$G1551="","",OHW!$A1551)</f>
        <v/>
      </c>
      <c r="F2598">
        <f>IF(OHW!$G1551="","",OHW!$B1551&amp;"")</f>
        <v/>
      </c>
      <c r="J2598">
        <f>IF(OHW!$G1551="","",OHW!$E1551)</f>
        <v/>
      </c>
      <c r="K2598">
        <f>IF(OHW!$G1551="","",COUNTIFS(OHW!$A$5:$A$1668,OHW!$A1551,OHW!$C$5:$C$1668,OHW!$C1551))</f>
        <v/>
      </c>
      <c r="L2598">
        <f>IF(OHW!$G1551="","",OHW!$D1551&amp;"")</f>
        <v/>
      </c>
      <c r="M2598">
        <f>IF(OHW!$G1551="","",OHW!$F1551)</f>
        <v/>
      </c>
      <c r="N2598">
        <f>IF(OHW!$G1551="","",OHW!$G1551)</f>
        <v/>
      </c>
      <c r="O2598">
        <f>IF(OHW!$G1551="","",OHW!$I1551)</f>
        <v/>
      </c>
      <c r="P2598">
        <f>IF(OHW!$G1551="","","Final")</f>
        <v/>
      </c>
    </row>
    <row r="2599">
      <c r="A2599">
        <f>IF(OHW!$G1552="","","OHW")</f>
        <v/>
      </c>
      <c r="B2599">
        <f>IF(OHW!$G1552="","","OHW")</f>
        <v/>
      </c>
      <c r="C2599" s="18">
        <f>IF(OHW!$G1552="","",OHW!$A1552)</f>
        <v/>
      </c>
      <c r="F2599">
        <f>IF(OHW!$G1552="","",OHW!$B1552&amp;"")</f>
        <v/>
      </c>
      <c r="J2599">
        <f>IF(OHW!$G1552="","",OHW!$E1552)</f>
        <v/>
      </c>
      <c r="K2599">
        <f>IF(OHW!$G1552="","",COUNTIFS(OHW!$A$5:$A$1668,OHW!$A1552,OHW!$C$5:$C$1668,OHW!$C1552))</f>
        <v/>
      </c>
      <c r="L2599">
        <f>IF(OHW!$G1552="","",OHW!$D1552&amp;"")</f>
        <v/>
      </c>
      <c r="M2599">
        <f>IF(OHW!$G1552="","",OHW!$F1552)</f>
        <v/>
      </c>
      <c r="N2599">
        <f>IF(OHW!$G1552="","",OHW!$G1552)</f>
        <v/>
      </c>
      <c r="O2599">
        <f>IF(OHW!$G1552="","",OHW!$I1552)</f>
        <v/>
      </c>
      <c r="P2599">
        <f>IF(OHW!$G1552="","","Final")</f>
        <v/>
      </c>
    </row>
    <row r="2600">
      <c r="A2600">
        <f>IF(OHW!$G1553="","","OHW")</f>
        <v/>
      </c>
      <c r="B2600">
        <f>IF(OHW!$G1553="","","OHW")</f>
        <v/>
      </c>
      <c r="C2600" s="18">
        <f>IF(OHW!$G1553="","",OHW!$A1553)</f>
        <v/>
      </c>
      <c r="F2600">
        <f>IF(OHW!$G1553="","",OHW!$B1553&amp;"")</f>
        <v/>
      </c>
      <c r="J2600">
        <f>IF(OHW!$G1553="","",OHW!$E1553)</f>
        <v/>
      </c>
      <c r="K2600">
        <f>IF(OHW!$G1553="","",COUNTIFS(OHW!$A$5:$A$1668,OHW!$A1553,OHW!$C$5:$C$1668,OHW!$C1553))</f>
        <v/>
      </c>
      <c r="L2600">
        <f>IF(OHW!$G1553="","",OHW!$D1553&amp;"")</f>
        <v/>
      </c>
      <c r="M2600">
        <f>IF(OHW!$G1553="","",OHW!$F1553)</f>
        <v/>
      </c>
      <c r="N2600">
        <f>IF(OHW!$G1553="","",OHW!$G1553)</f>
        <v/>
      </c>
      <c r="O2600">
        <f>IF(OHW!$G1553="","",OHW!$I1553)</f>
        <v/>
      </c>
      <c r="P2600">
        <f>IF(OHW!$G1553="","","Final")</f>
        <v/>
      </c>
    </row>
    <row r="2601">
      <c r="A2601">
        <f>IF(OHW!$G1554="","","OHW")</f>
        <v/>
      </c>
      <c r="B2601">
        <f>IF(OHW!$G1554="","","OHW")</f>
        <v/>
      </c>
      <c r="C2601" s="18">
        <f>IF(OHW!$G1554="","",OHW!$A1554)</f>
        <v/>
      </c>
      <c r="F2601">
        <f>IF(OHW!$G1554="","",OHW!$B1554&amp;"")</f>
        <v/>
      </c>
      <c r="J2601">
        <f>IF(OHW!$G1554="","",OHW!$E1554)</f>
        <v/>
      </c>
      <c r="K2601">
        <f>IF(OHW!$G1554="","",COUNTIFS(OHW!$A$5:$A$1668,OHW!$A1554,OHW!$C$5:$C$1668,OHW!$C1554))</f>
        <v/>
      </c>
      <c r="L2601">
        <f>IF(OHW!$G1554="","",OHW!$D1554&amp;"")</f>
        <v/>
      </c>
      <c r="M2601">
        <f>IF(OHW!$G1554="","",OHW!$F1554)</f>
        <v/>
      </c>
      <c r="N2601">
        <f>IF(OHW!$G1554="","",OHW!$G1554)</f>
        <v/>
      </c>
      <c r="O2601">
        <f>IF(OHW!$G1554="","",OHW!$I1554)</f>
        <v/>
      </c>
      <c r="P2601">
        <f>IF(OHW!$G1554="","","Final")</f>
        <v/>
      </c>
    </row>
    <row r="2602">
      <c r="A2602">
        <f>IF(OHW!$G1555="","","OHW")</f>
        <v/>
      </c>
      <c r="B2602">
        <f>IF(OHW!$G1555="","","OHW")</f>
        <v/>
      </c>
      <c r="C2602" s="18">
        <f>IF(OHW!$G1555="","",OHW!$A1555)</f>
        <v/>
      </c>
      <c r="F2602">
        <f>IF(OHW!$G1555="","",OHW!$B1555&amp;"")</f>
        <v/>
      </c>
      <c r="J2602">
        <f>IF(OHW!$G1555="","",OHW!$E1555)</f>
        <v/>
      </c>
      <c r="K2602">
        <f>IF(OHW!$G1555="","",COUNTIFS(OHW!$A$5:$A$1668,OHW!$A1555,OHW!$C$5:$C$1668,OHW!$C1555))</f>
        <v/>
      </c>
      <c r="L2602">
        <f>IF(OHW!$G1555="","",OHW!$D1555&amp;"")</f>
        <v/>
      </c>
      <c r="M2602">
        <f>IF(OHW!$G1555="","",OHW!$F1555)</f>
        <v/>
      </c>
      <c r="N2602">
        <f>IF(OHW!$G1555="","",OHW!$G1555)</f>
        <v/>
      </c>
      <c r="O2602">
        <f>IF(OHW!$G1555="","",OHW!$I1555)</f>
        <v/>
      </c>
      <c r="P2602">
        <f>IF(OHW!$G1555="","","Final")</f>
        <v/>
      </c>
    </row>
    <row r="2603">
      <c r="A2603">
        <f>IF(OHW!$G1556="","","OHW")</f>
        <v/>
      </c>
      <c r="B2603">
        <f>IF(OHW!$G1556="","","OHW")</f>
        <v/>
      </c>
      <c r="C2603" s="18">
        <f>IF(OHW!$G1556="","",OHW!$A1556)</f>
        <v/>
      </c>
      <c r="F2603">
        <f>IF(OHW!$G1556="","",OHW!$B1556&amp;"")</f>
        <v/>
      </c>
      <c r="J2603">
        <f>IF(OHW!$G1556="","",OHW!$E1556)</f>
        <v/>
      </c>
      <c r="K2603">
        <f>IF(OHW!$G1556="","",COUNTIFS(OHW!$A$5:$A$1668,OHW!$A1556,OHW!$C$5:$C$1668,OHW!$C1556))</f>
        <v/>
      </c>
      <c r="L2603">
        <f>IF(OHW!$G1556="","",OHW!$D1556&amp;"")</f>
        <v/>
      </c>
      <c r="M2603">
        <f>IF(OHW!$G1556="","",OHW!$F1556)</f>
        <v/>
      </c>
      <c r="N2603">
        <f>IF(OHW!$G1556="","",OHW!$G1556)</f>
        <v/>
      </c>
      <c r="O2603">
        <f>IF(OHW!$G1556="","",OHW!$I1556)</f>
        <v/>
      </c>
      <c r="P2603">
        <f>IF(OHW!$G1556="","","Final")</f>
        <v/>
      </c>
    </row>
    <row r="2604">
      <c r="A2604">
        <f>IF(OHW!$G1557="","","OHW")</f>
        <v/>
      </c>
      <c r="B2604">
        <f>IF(OHW!$G1557="","","OHW")</f>
        <v/>
      </c>
      <c r="C2604" s="18">
        <f>IF(OHW!$G1557="","",OHW!$A1557)</f>
        <v/>
      </c>
      <c r="F2604">
        <f>IF(OHW!$G1557="","",OHW!$B1557&amp;"")</f>
        <v/>
      </c>
      <c r="J2604">
        <f>IF(OHW!$G1557="","",OHW!$E1557)</f>
        <v/>
      </c>
      <c r="K2604">
        <f>IF(OHW!$G1557="","",COUNTIFS(OHW!$A$5:$A$1668,OHW!$A1557,OHW!$C$5:$C$1668,OHW!$C1557))</f>
        <v/>
      </c>
      <c r="L2604">
        <f>IF(OHW!$G1557="","",OHW!$D1557&amp;"")</f>
        <v/>
      </c>
      <c r="M2604">
        <f>IF(OHW!$G1557="","",OHW!$F1557)</f>
        <v/>
      </c>
      <c r="N2604">
        <f>IF(OHW!$G1557="","",OHW!$G1557)</f>
        <v/>
      </c>
      <c r="O2604">
        <f>IF(OHW!$G1557="","",OHW!$I1557)</f>
        <v/>
      </c>
      <c r="P2604">
        <f>IF(OHW!$G1557="","","Final")</f>
        <v/>
      </c>
    </row>
    <row r="2605">
      <c r="A2605">
        <f>IF(OHW!$G1558="","","OHW")</f>
        <v/>
      </c>
      <c r="B2605">
        <f>IF(OHW!$G1558="","","OHW")</f>
        <v/>
      </c>
      <c r="C2605" s="18">
        <f>IF(OHW!$G1558="","",OHW!$A1558)</f>
        <v/>
      </c>
      <c r="F2605">
        <f>IF(OHW!$G1558="","",OHW!$B1558&amp;"")</f>
        <v/>
      </c>
      <c r="J2605">
        <f>IF(OHW!$G1558="","",OHW!$E1558)</f>
        <v/>
      </c>
      <c r="K2605">
        <f>IF(OHW!$G1558="","",COUNTIFS(OHW!$A$5:$A$1668,OHW!$A1558,OHW!$C$5:$C$1668,OHW!$C1558))</f>
        <v/>
      </c>
      <c r="L2605">
        <f>IF(OHW!$G1558="","",OHW!$D1558&amp;"")</f>
        <v/>
      </c>
      <c r="M2605">
        <f>IF(OHW!$G1558="","",OHW!$F1558)</f>
        <v/>
      </c>
      <c r="N2605">
        <f>IF(OHW!$G1558="","",OHW!$G1558)</f>
        <v/>
      </c>
      <c r="O2605">
        <f>IF(OHW!$G1558="","",OHW!$I1558)</f>
        <v/>
      </c>
      <c r="P2605">
        <f>IF(OHW!$G1558="","","Final")</f>
        <v/>
      </c>
    </row>
    <row r="2606">
      <c r="A2606">
        <f>IF(OHW!$G1559="","","OHW")</f>
        <v/>
      </c>
      <c r="B2606">
        <f>IF(OHW!$G1559="","","OHW")</f>
        <v/>
      </c>
      <c r="C2606" s="18">
        <f>IF(OHW!$G1559="","",OHW!$A1559)</f>
        <v/>
      </c>
      <c r="F2606">
        <f>IF(OHW!$G1559="","",OHW!$B1559&amp;"")</f>
        <v/>
      </c>
      <c r="J2606">
        <f>IF(OHW!$G1559="","",OHW!$E1559)</f>
        <v/>
      </c>
      <c r="K2606">
        <f>IF(OHW!$G1559="","",COUNTIFS(OHW!$A$5:$A$1668,OHW!$A1559,OHW!$C$5:$C$1668,OHW!$C1559))</f>
        <v/>
      </c>
      <c r="L2606">
        <f>IF(OHW!$G1559="","",OHW!$D1559&amp;"")</f>
        <v/>
      </c>
      <c r="M2606">
        <f>IF(OHW!$G1559="","",OHW!$F1559)</f>
        <v/>
      </c>
      <c r="N2606">
        <f>IF(OHW!$G1559="","",OHW!$G1559)</f>
        <v/>
      </c>
      <c r="O2606">
        <f>IF(OHW!$G1559="","",OHW!$I1559)</f>
        <v/>
      </c>
      <c r="P2606">
        <f>IF(OHW!$G1559="","","Final")</f>
        <v/>
      </c>
    </row>
    <row r="2607">
      <c r="A2607">
        <f>IF(OHW!$G1560="","","OHW")</f>
        <v/>
      </c>
      <c r="B2607">
        <f>IF(OHW!$G1560="","","OHW")</f>
        <v/>
      </c>
      <c r="C2607" s="18">
        <f>IF(OHW!$G1560="","",OHW!$A1560)</f>
        <v/>
      </c>
      <c r="F2607">
        <f>IF(OHW!$G1560="","",OHW!$B1560&amp;"")</f>
        <v/>
      </c>
      <c r="J2607">
        <f>IF(OHW!$G1560="","",OHW!$E1560)</f>
        <v/>
      </c>
      <c r="K2607">
        <f>IF(OHW!$G1560="","",COUNTIFS(OHW!$A$5:$A$1668,OHW!$A1560,OHW!$C$5:$C$1668,OHW!$C1560))</f>
        <v/>
      </c>
      <c r="L2607">
        <f>IF(OHW!$G1560="","",OHW!$D1560&amp;"")</f>
        <v/>
      </c>
      <c r="M2607">
        <f>IF(OHW!$G1560="","",OHW!$F1560)</f>
        <v/>
      </c>
      <c r="N2607">
        <f>IF(OHW!$G1560="","",OHW!$G1560)</f>
        <v/>
      </c>
      <c r="O2607">
        <f>IF(OHW!$G1560="","",OHW!$I1560)</f>
        <v/>
      </c>
      <c r="P2607">
        <f>IF(OHW!$G1560="","","Final")</f>
        <v/>
      </c>
    </row>
    <row r="2608">
      <c r="A2608">
        <f>IF(OHW!$G1561="","","OHW")</f>
        <v/>
      </c>
      <c r="B2608">
        <f>IF(OHW!$G1561="","","OHW")</f>
        <v/>
      </c>
      <c r="C2608" s="18">
        <f>IF(OHW!$G1561="","",OHW!$A1561)</f>
        <v/>
      </c>
      <c r="F2608">
        <f>IF(OHW!$G1561="","",OHW!$B1561&amp;"")</f>
        <v/>
      </c>
      <c r="J2608">
        <f>IF(OHW!$G1561="","",OHW!$E1561)</f>
        <v/>
      </c>
      <c r="K2608">
        <f>IF(OHW!$G1561="","",COUNTIFS(OHW!$A$5:$A$1668,OHW!$A1561,OHW!$C$5:$C$1668,OHW!$C1561))</f>
        <v/>
      </c>
      <c r="L2608">
        <f>IF(OHW!$G1561="","",OHW!$D1561&amp;"")</f>
        <v/>
      </c>
      <c r="M2608">
        <f>IF(OHW!$G1561="","",OHW!$F1561)</f>
        <v/>
      </c>
      <c r="N2608">
        <f>IF(OHW!$G1561="","",OHW!$G1561)</f>
        <v/>
      </c>
      <c r="O2608">
        <f>IF(OHW!$G1561="","",OHW!$I1561)</f>
        <v/>
      </c>
      <c r="P2608">
        <f>IF(OHW!$G1561="","","Final")</f>
        <v/>
      </c>
    </row>
    <row r="2609">
      <c r="A2609">
        <f>IF(OHW!$G1562="","","OHW")</f>
        <v/>
      </c>
      <c r="B2609">
        <f>IF(OHW!$G1562="","","OHW")</f>
        <v/>
      </c>
      <c r="C2609" s="18">
        <f>IF(OHW!$G1562="","",OHW!$A1562)</f>
        <v/>
      </c>
      <c r="F2609">
        <f>IF(OHW!$G1562="","",OHW!$B1562&amp;"")</f>
        <v/>
      </c>
      <c r="J2609">
        <f>IF(OHW!$G1562="","",OHW!$E1562)</f>
        <v/>
      </c>
      <c r="K2609">
        <f>IF(OHW!$G1562="","",COUNTIFS(OHW!$A$5:$A$1668,OHW!$A1562,OHW!$C$5:$C$1668,OHW!$C1562))</f>
        <v/>
      </c>
      <c r="L2609">
        <f>IF(OHW!$G1562="","",OHW!$D1562&amp;"")</f>
        <v/>
      </c>
      <c r="M2609">
        <f>IF(OHW!$G1562="","",OHW!$F1562)</f>
        <v/>
      </c>
      <c r="N2609">
        <f>IF(OHW!$G1562="","",OHW!$G1562)</f>
        <v/>
      </c>
      <c r="O2609">
        <f>IF(OHW!$G1562="","",OHW!$I1562)</f>
        <v/>
      </c>
      <c r="P2609">
        <f>IF(OHW!$G1562="","","Final")</f>
        <v/>
      </c>
    </row>
    <row r="2610">
      <c r="A2610">
        <f>IF(OHW!$G1563="","","OHW")</f>
        <v/>
      </c>
      <c r="B2610">
        <f>IF(OHW!$G1563="","","OHW")</f>
        <v/>
      </c>
      <c r="C2610" s="18">
        <f>IF(OHW!$G1563="","",OHW!$A1563)</f>
        <v/>
      </c>
      <c r="F2610">
        <f>IF(OHW!$G1563="","",OHW!$B1563&amp;"")</f>
        <v/>
      </c>
      <c r="J2610">
        <f>IF(OHW!$G1563="","",OHW!$E1563)</f>
        <v/>
      </c>
      <c r="K2610">
        <f>IF(OHW!$G1563="","",COUNTIFS(OHW!$A$5:$A$1668,OHW!$A1563,OHW!$C$5:$C$1668,OHW!$C1563))</f>
        <v/>
      </c>
      <c r="L2610">
        <f>IF(OHW!$G1563="","",OHW!$D1563&amp;"")</f>
        <v/>
      </c>
      <c r="M2610">
        <f>IF(OHW!$G1563="","",OHW!$F1563)</f>
        <v/>
      </c>
      <c r="N2610">
        <f>IF(OHW!$G1563="","",OHW!$G1563)</f>
        <v/>
      </c>
      <c r="O2610">
        <f>IF(OHW!$G1563="","",OHW!$I1563)</f>
        <v/>
      </c>
      <c r="P2610">
        <f>IF(OHW!$G1563="","","Final")</f>
        <v/>
      </c>
    </row>
    <row r="2611">
      <c r="A2611">
        <f>IF(OHW!$G1564="","","OHW")</f>
        <v/>
      </c>
      <c r="B2611">
        <f>IF(OHW!$G1564="","","OHW")</f>
        <v/>
      </c>
      <c r="C2611" s="18">
        <f>IF(OHW!$G1564="","",OHW!$A1564)</f>
        <v/>
      </c>
      <c r="F2611">
        <f>IF(OHW!$G1564="","",OHW!$B1564&amp;"")</f>
        <v/>
      </c>
      <c r="J2611">
        <f>IF(OHW!$G1564="","",OHW!$E1564)</f>
        <v/>
      </c>
      <c r="K2611">
        <f>IF(OHW!$G1564="","",COUNTIFS(OHW!$A$5:$A$1668,OHW!$A1564,OHW!$C$5:$C$1668,OHW!$C1564))</f>
        <v/>
      </c>
      <c r="L2611">
        <f>IF(OHW!$G1564="","",OHW!$D1564&amp;"")</f>
        <v/>
      </c>
      <c r="M2611">
        <f>IF(OHW!$G1564="","",OHW!$F1564)</f>
        <v/>
      </c>
      <c r="N2611">
        <f>IF(OHW!$G1564="","",OHW!$G1564)</f>
        <v/>
      </c>
      <c r="O2611">
        <f>IF(OHW!$G1564="","",OHW!$I1564)</f>
        <v/>
      </c>
      <c r="P2611">
        <f>IF(OHW!$G1564="","","Final")</f>
        <v/>
      </c>
    </row>
    <row r="2612">
      <c r="A2612">
        <f>IF(OHW!$G1565="","","OHW")</f>
        <v/>
      </c>
      <c r="B2612">
        <f>IF(OHW!$G1565="","","OHW")</f>
        <v/>
      </c>
      <c r="C2612" s="18">
        <f>IF(OHW!$G1565="","",OHW!$A1565)</f>
        <v/>
      </c>
      <c r="F2612">
        <f>IF(OHW!$G1565="","",OHW!$B1565&amp;"")</f>
        <v/>
      </c>
      <c r="J2612">
        <f>IF(OHW!$G1565="","",OHW!$E1565)</f>
        <v/>
      </c>
      <c r="K2612">
        <f>IF(OHW!$G1565="","",COUNTIFS(OHW!$A$5:$A$1668,OHW!$A1565,OHW!$C$5:$C$1668,OHW!$C1565))</f>
        <v/>
      </c>
      <c r="L2612">
        <f>IF(OHW!$G1565="","",OHW!$D1565&amp;"")</f>
        <v/>
      </c>
      <c r="M2612">
        <f>IF(OHW!$G1565="","",OHW!$F1565)</f>
        <v/>
      </c>
      <c r="N2612">
        <f>IF(OHW!$G1565="","",OHW!$G1565)</f>
        <v/>
      </c>
      <c r="O2612">
        <f>IF(OHW!$G1565="","",OHW!$I1565)</f>
        <v/>
      </c>
      <c r="P2612">
        <f>IF(OHW!$G1565="","","Final")</f>
        <v/>
      </c>
    </row>
    <row r="2613">
      <c r="A2613">
        <f>IF(OHW!$G1566="","","OHW")</f>
        <v/>
      </c>
      <c r="B2613">
        <f>IF(OHW!$G1566="","","OHW")</f>
        <v/>
      </c>
      <c r="C2613" s="18">
        <f>IF(OHW!$G1566="","",OHW!$A1566)</f>
        <v/>
      </c>
      <c r="F2613">
        <f>IF(OHW!$G1566="","",OHW!$B1566&amp;"")</f>
        <v/>
      </c>
      <c r="J2613">
        <f>IF(OHW!$G1566="","",OHW!$E1566)</f>
        <v/>
      </c>
      <c r="K2613">
        <f>IF(OHW!$G1566="","",COUNTIFS(OHW!$A$5:$A$1668,OHW!$A1566,OHW!$C$5:$C$1668,OHW!$C1566))</f>
        <v/>
      </c>
      <c r="L2613">
        <f>IF(OHW!$G1566="","",OHW!$D1566&amp;"")</f>
        <v/>
      </c>
      <c r="M2613">
        <f>IF(OHW!$G1566="","",OHW!$F1566)</f>
        <v/>
      </c>
      <c r="N2613">
        <f>IF(OHW!$G1566="","",OHW!$G1566)</f>
        <v/>
      </c>
      <c r="O2613">
        <f>IF(OHW!$G1566="","",OHW!$I1566)</f>
        <v/>
      </c>
      <c r="P2613">
        <f>IF(OHW!$G1566="","","Final")</f>
        <v/>
      </c>
    </row>
    <row r="2614">
      <c r="A2614">
        <f>IF(OHW!$G1567="","","OHW")</f>
        <v/>
      </c>
      <c r="B2614">
        <f>IF(OHW!$G1567="","","OHW")</f>
        <v/>
      </c>
      <c r="C2614" s="18">
        <f>IF(OHW!$G1567="","",OHW!$A1567)</f>
        <v/>
      </c>
      <c r="F2614">
        <f>IF(OHW!$G1567="","",OHW!$B1567&amp;"")</f>
        <v/>
      </c>
      <c r="J2614">
        <f>IF(OHW!$G1567="","",OHW!$E1567)</f>
        <v/>
      </c>
      <c r="K2614">
        <f>IF(OHW!$G1567="","",COUNTIFS(OHW!$A$5:$A$1668,OHW!$A1567,OHW!$C$5:$C$1668,OHW!$C1567))</f>
        <v/>
      </c>
      <c r="L2614">
        <f>IF(OHW!$G1567="","",OHW!$D1567&amp;"")</f>
        <v/>
      </c>
      <c r="M2614">
        <f>IF(OHW!$G1567="","",OHW!$F1567)</f>
        <v/>
      </c>
      <c r="N2614">
        <f>IF(OHW!$G1567="","",OHW!$G1567)</f>
        <v/>
      </c>
      <c r="O2614">
        <f>IF(OHW!$G1567="","",OHW!$I1567)</f>
        <v/>
      </c>
      <c r="P2614">
        <f>IF(OHW!$G1567="","","Final")</f>
        <v/>
      </c>
    </row>
    <row r="2615">
      <c r="A2615">
        <f>IF(OHW!$G1568="","","OHW")</f>
        <v/>
      </c>
      <c r="B2615">
        <f>IF(OHW!$G1568="","","OHW")</f>
        <v/>
      </c>
      <c r="C2615" s="18">
        <f>IF(OHW!$G1568="","",OHW!$A1568)</f>
        <v/>
      </c>
      <c r="F2615">
        <f>IF(OHW!$G1568="","",OHW!$B1568&amp;"")</f>
        <v/>
      </c>
      <c r="J2615">
        <f>IF(OHW!$G1568="","",OHW!$E1568)</f>
        <v/>
      </c>
      <c r="K2615">
        <f>IF(OHW!$G1568="","",COUNTIFS(OHW!$A$5:$A$1668,OHW!$A1568,OHW!$C$5:$C$1668,OHW!$C1568))</f>
        <v/>
      </c>
      <c r="L2615">
        <f>IF(OHW!$G1568="","",OHW!$D1568&amp;"")</f>
        <v/>
      </c>
      <c r="M2615">
        <f>IF(OHW!$G1568="","",OHW!$F1568)</f>
        <v/>
      </c>
      <c r="N2615">
        <f>IF(OHW!$G1568="","",OHW!$G1568)</f>
        <v/>
      </c>
      <c r="O2615">
        <f>IF(OHW!$G1568="","",OHW!$I1568)</f>
        <v/>
      </c>
      <c r="P2615">
        <f>IF(OHW!$G1568="","","Final")</f>
        <v/>
      </c>
    </row>
    <row r="2616">
      <c r="A2616">
        <f>IF(OHW!$G1569="","","OHW")</f>
        <v/>
      </c>
      <c r="B2616">
        <f>IF(OHW!$G1569="","","OHW")</f>
        <v/>
      </c>
      <c r="C2616" s="18">
        <f>IF(OHW!$G1569="","",OHW!$A1569)</f>
        <v/>
      </c>
      <c r="F2616">
        <f>IF(OHW!$G1569="","",OHW!$B1569&amp;"")</f>
        <v/>
      </c>
      <c r="J2616">
        <f>IF(OHW!$G1569="","",OHW!$E1569)</f>
        <v/>
      </c>
      <c r="K2616">
        <f>IF(OHW!$G1569="","",COUNTIFS(OHW!$A$5:$A$1668,OHW!$A1569,OHW!$C$5:$C$1668,OHW!$C1569))</f>
        <v/>
      </c>
      <c r="L2616">
        <f>IF(OHW!$G1569="","",OHW!$D1569&amp;"")</f>
        <v/>
      </c>
      <c r="M2616">
        <f>IF(OHW!$G1569="","",OHW!$F1569)</f>
        <v/>
      </c>
      <c r="N2616">
        <f>IF(OHW!$G1569="","",OHW!$G1569)</f>
        <v/>
      </c>
      <c r="O2616">
        <f>IF(OHW!$G1569="","",OHW!$I1569)</f>
        <v/>
      </c>
      <c r="P2616">
        <f>IF(OHW!$G1569="","","Final")</f>
        <v/>
      </c>
    </row>
    <row r="2617">
      <c r="A2617">
        <f>IF(OHW!$G1570="","","OHW")</f>
        <v/>
      </c>
      <c r="B2617">
        <f>IF(OHW!$G1570="","","OHW")</f>
        <v/>
      </c>
      <c r="C2617" s="18">
        <f>IF(OHW!$G1570="","",OHW!$A1570)</f>
        <v/>
      </c>
      <c r="F2617">
        <f>IF(OHW!$G1570="","",OHW!$B1570&amp;"")</f>
        <v/>
      </c>
      <c r="J2617">
        <f>IF(OHW!$G1570="","",OHW!$E1570)</f>
        <v/>
      </c>
      <c r="K2617">
        <f>IF(OHW!$G1570="","",COUNTIFS(OHW!$A$5:$A$1668,OHW!$A1570,OHW!$C$5:$C$1668,OHW!$C1570))</f>
        <v/>
      </c>
      <c r="L2617">
        <f>IF(OHW!$G1570="","",OHW!$D1570&amp;"")</f>
        <v/>
      </c>
      <c r="M2617">
        <f>IF(OHW!$G1570="","",OHW!$F1570)</f>
        <v/>
      </c>
      <c r="N2617">
        <f>IF(OHW!$G1570="","",OHW!$G1570)</f>
        <v/>
      </c>
      <c r="O2617">
        <f>IF(OHW!$G1570="","",OHW!$I1570)</f>
        <v/>
      </c>
      <c r="P2617">
        <f>IF(OHW!$G1570="","","Final")</f>
        <v/>
      </c>
    </row>
    <row r="2618">
      <c r="A2618">
        <f>IF(OHW!$G1571="","","OHW")</f>
        <v/>
      </c>
      <c r="B2618">
        <f>IF(OHW!$G1571="","","OHW")</f>
        <v/>
      </c>
      <c r="C2618" s="18">
        <f>IF(OHW!$G1571="","",OHW!$A1571)</f>
        <v/>
      </c>
      <c r="F2618">
        <f>IF(OHW!$G1571="","",OHW!$B1571&amp;"")</f>
        <v/>
      </c>
      <c r="J2618">
        <f>IF(OHW!$G1571="","",OHW!$E1571)</f>
        <v/>
      </c>
      <c r="K2618">
        <f>IF(OHW!$G1571="","",COUNTIFS(OHW!$A$5:$A$1668,OHW!$A1571,OHW!$C$5:$C$1668,OHW!$C1571))</f>
        <v/>
      </c>
      <c r="L2618">
        <f>IF(OHW!$G1571="","",OHW!$D1571&amp;"")</f>
        <v/>
      </c>
      <c r="M2618">
        <f>IF(OHW!$G1571="","",OHW!$F1571)</f>
        <v/>
      </c>
      <c r="N2618">
        <f>IF(OHW!$G1571="","",OHW!$G1571)</f>
        <v/>
      </c>
      <c r="O2618">
        <f>IF(OHW!$G1571="","",OHW!$I1571)</f>
        <v/>
      </c>
      <c r="P2618">
        <f>IF(OHW!$G1571="","","Final")</f>
        <v/>
      </c>
    </row>
    <row r="2619">
      <c r="A2619">
        <f>IF(OHW!$G1572="","","OHW")</f>
        <v/>
      </c>
      <c r="B2619">
        <f>IF(OHW!$G1572="","","OHW")</f>
        <v/>
      </c>
      <c r="C2619" s="18">
        <f>IF(OHW!$G1572="","",OHW!$A1572)</f>
        <v/>
      </c>
      <c r="F2619">
        <f>IF(OHW!$G1572="","",OHW!$B1572&amp;"")</f>
        <v/>
      </c>
      <c r="J2619">
        <f>IF(OHW!$G1572="","",OHW!$E1572)</f>
        <v/>
      </c>
      <c r="K2619">
        <f>IF(OHW!$G1572="","",COUNTIFS(OHW!$A$5:$A$1668,OHW!$A1572,OHW!$C$5:$C$1668,OHW!$C1572))</f>
        <v/>
      </c>
      <c r="L2619">
        <f>IF(OHW!$G1572="","",OHW!$D1572&amp;"")</f>
        <v/>
      </c>
      <c r="M2619">
        <f>IF(OHW!$G1572="","",OHW!$F1572)</f>
        <v/>
      </c>
      <c r="N2619">
        <f>IF(OHW!$G1572="","",OHW!$G1572)</f>
        <v/>
      </c>
      <c r="O2619">
        <f>IF(OHW!$G1572="","",OHW!$I1572)</f>
        <v/>
      </c>
      <c r="P2619">
        <f>IF(OHW!$G1572="","","Final")</f>
        <v/>
      </c>
    </row>
    <row r="2620">
      <c r="A2620">
        <f>IF(OHW!$G1573="","","OHW")</f>
        <v/>
      </c>
      <c r="B2620">
        <f>IF(OHW!$G1573="","","OHW")</f>
        <v/>
      </c>
      <c r="C2620" s="18">
        <f>IF(OHW!$G1573="","",OHW!$A1573)</f>
        <v/>
      </c>
      <c r="F2620">
        <f>IF(OHW!$G1573="","",OHW!$B1573&amp;"")</f>
        <v/>
      </c>
      <c r="J2620">
        <f>IF(OHW!$G1573="","",OHW!$E1573)</f>
        <v/>
      </c>
      <c r="K2620">
        <f>IF(OHW!$G1573="","",COUNTIFS(OHW!$A$5:$A$1668,OHW!$A1573,OHW!$C$5:$C$1668,OHW!$C1573))</f>
        <v/>
      </c>
      <c r="L2620">
        <f>IF(OHW!$G1573="","",OHW!$D1573&amp;"")</f>
        <v/>
      </c>
      <c r="M2620">
        <f>IF(OHW!$G1573="","",OHW!$F1573)</f>
        <v/>
      </c>
      <c r="N2620">
        <f>IF(OHW!$G1573="","",OHW!$G1573)</f>
        <v/>
      </c>
      <c r="O2620">
        <f>IF(OHW!$G1573="","",OHW!$I1573)</f>
        <v/>
      </c>
      <c r="P2620">
        <f>IF(OHW!$G1573="","","Final")</f>
        <v/>
      </c>
    </row>
    <row r="2621">
      <c r="A2621">
        <f>IF(OHW!$G1574="","","OHW")</f>
        <v/>
      </c>
      <c r="B2621">
        <f>IF(OHW!$G1574="","","OHW")</f>
        <v/>
      </c>
      <c r="C2621" s="18">
        <f>IF(OHW!$G1574="","",OHW!$A1574)</f>
        <v/>
      </c>
      <c r="F2621">
        <f>IF(OHW!$G1574="","",OHW!$B1574&amp;"")</f>
        <v/>
      </c>
      <c r="J2621">
        <f>IF(OHW!$G1574="","",OHW!$E1574)</f>
        <v/>
      </c>
      <c r="K2621">
        <f>IF(OHW!$G1574="","",COUNTIFS(OHW!$A$5:$A$1668,OHW!$A1574,OHW!$C$5:$C$1668,OHW!$C1574))</f>
        <v/>
      </c>
      <c r="L2621">
        <f>IF(OHW!$G1574="","",OHW!$D1574&amp;"")</f>
        <v/>
      </c>
      <c r="M2621">
        <f>IF(OHW!$G1574="","",OHW!$F1574)</f>
        <v/>
      </c>
      <c r="N2621">
        <f>IF(OHW!$G1574="","",OHW!$G1574)</f>
        <v/>
      </c>
      <c r="O2621">
        <f>IF(OHW!$G1574="","",OHW!$I1574)</f>
        <v/>
      </c>
      <c r="P2621">
        <f>IF(OHW!$G1574="","","Final")</f>
        <v/>
      </c>
    </row>
    <row r="2622">
      <c r="A2622">
        <f>IF(OHW!$G1575="","","OHW")</f>
        <v/>
      </c>
      <c r="B2622">
        <f>IF(OHW!$G1575="","","OHW")</f>
        <v/>
      </c>
      <c r="C2622" s="18">
        <f>IF(OHW!$G1575="","",OHW!$A1575)</f>
        <v/>
      </c>
      <c r="F2622">
        <f>IF(OHW!$G1575="","",OHW!$B1575&amp;"")</f>
        <v/>
      </c>
      <c r="J2622">
        <f>IF(OHW!$G1575="","",OHW!$E1575)</f>
        <v/>
      </c>
      <c r="K2622">
        <f>IF(OHW!$G1575="","",COUNTIFS(OHW!$A$5:$A$1668,OHW!$A1575,OHW!$C$5:$C$1668,OHW!$C1575))</f>
        <v/>
      </c>
      <c r="L2622">
        <f>IF(OHW!$G1575="","",OHW!$D1575&amp;"")</f>
        <v/>
      </c>
      <c r="M2622">
        <f>IF(OHW!$G1575="","",OHW!$F1575)</f>
        <v/>
      </c>
      <c r="N2622">
        <f>IF(OHW!$G1575="","",OHW!$G1575)</f>
        <v/>
      </c>
      <c r="O2622">
        <f>IF(OHW!$G1575="","",OHW!$I1575)</f>
        <v/>
      </c>
      <c r="P2622">
        <f>IF(OHW!$G1575="","","Final")</f>
        <v/>
      </c>
    </row>
    <row r="2623">
      <c r="A2623">
        <f>IF(OHW!$G1576="","","OHW")</f>
        <v/>
      </c>
      <c r="B2623">
        <f>IF(OHW!$G1576="","","OHW")</f>
        <v/>
      </c>
      <c r="C2623" s="18">
        <f>IF(OHW!$G1576="","",OHW!$A1576)</f>
        <v/>
      </c>
      <c r="F2623">
        <f>IF(OHW!$G1576="","",OHW!$B1576&amp;"")</f>
        <v/>
      </c>
      <c r="J2623">
        <f>IF(OHW!$G1576="","",OHW!$E1576)</f>
        <v/>
      </c>
      <c r="K2623">
        <f>IF(OHW!$G1576="","",COUNTIFS(OHW!$A$5:$A$1668,OHW!$A1576,OHW!$C$5:$C$1668,OHW!$C1576))</f>
        <v/>
      </c>
      <c r="L2623">
        <f>IF(OHW!$G1576="","",OHW!$D1576&amp;"")</f>
        <v/>
      </c>
      <c r="M2623">
        <f>IF(OHW!$G1576="","",OHW!$F1576)</f>
        <v/>
      </c>
      <c r="N2623">
        <f>IF(OHW!$G1576="","",OHW!$G1576)</f>
        <v/>
      </c>
      <c r="O2623">
        <f>IF(OHW!$G1576="","",OHW!$I1576)</f>
        <v/>
      </c>
      <c r="P2623">
        <f>IF(OHW!$G1576="","","Final")</f>
        <v/>
      </c>
    </row>
    <row r="2624">
      <c r="A2624">
        <f>IF(OHW!$G1577="","","OHW")</f>
        <v/>
      </c>
      <c r="B2624">
        <f>IF(OHW!$G1577="","","OHW")</f>
        <v/>
      </c>
      <c r="C2624" s="18">
        <f>IF(OHW!$G1577="","",OHW!$A1577)</f>
        <v/>
      </c>
      <c r="F2624">
        <f>IF(OHW!$G1577="","",OHW!$B1577&amp;"")</f>
        <v/>
      </c>
      <c r="J2624">
        <f>IF(OHW!$G1577="","",OHW!$E1577)</f>
        <v/>
      </c>
      <c r="K2624">
        <f>IF(OHW!$G1577="","",COUNTIFS(OHW!$A$5:$A$1668,OHW!$A1577,OHW!$C$5:$C$1668,OHW!$C1577))</f>
        <v/>
      </c>
      <c r="L2624">
        <f>IF(OHW!$G1577="","",OHW!$D1577&amp;"")</f>
        <v/>
      </c>
      <c r="M2624">
        <f>IF(OHW!$G1577="","",OHW!$F1577)</f>
        <v/>
      </c>
      <c r="N2624">
        <f>IF(OHW!$G1577="","",OHW!$G1577)</f>
        <v/>
      </c>
      <c r="O2624">
        <f>IF(OHW!$G1577="","",OHW!$I1577)</f>
        <v/>
      </c>
      <c r="P2624">
        <f>IF(OHW!$G1577="","","Final")</f>
        <v/>
      </c>
    </row>
    <row r="2625">
      <c r="A2625">
        <f>IF(OHW!$G1578="","","OHW")</f>
        <v/>
      </c>
      <c r="B2625">
        <f>IF(OHW!$G1578="","","OHW")</f>
        <v/>
      </c>
      <c r="C2625" s="18">
        <f>IF(OHW!$G1578="","",OHW!$A1578)</f>
        <v/>
      </c>
      <c r="F2625">
        <f>IF(OHW!$G1578="","",OHW!$B1578&amp;"")</f>
        <v/>
      </c>
      <c r="J2625">
        <f>IF(OHW!$G1578="","",OHW!$E1578)</f>
        <v/>
      </c>
      <c r="K2625">
        <f>IF(OHW!$G1578="","",COUNTIFS(OHW!$A$5:$A$1668,OHW!$A1578,OHW!$C$5:$C$1668,OHW!$C1578))</f>
        <v/>
      </c>
      <c r="L2625">
        <f>IF(OHW!$G1578="","",OHW!$D1578&amp;"")</f>
        <v/>
      </c>
      <c r="M2625">
        <f>IF(OHW!$G1578="","",OHW!$F1578)</f>
        <v/>
      </c>
      <c r="N2625">
        <f>IF(OHW!$G1578="","",OHW!$G1578)</f>
        <v/>
      </c>
      <c r="O2625">
        <f>IF(OHW!$G1578="","",OHW!$I1578)</f>
        <v/>
      </c>
      <c r="P2625">
        <f>IF(OHW!$G1578="","","Final")</f>
        <v/>
      </c>
    </row>
    <row r="2626">
      <c r="A2626">
        <f>IF(OHW!$G1579="","","OHW")</f>
        <v/>
      </c>
      <c r="B2626">
        <f>IF(OHW!$G1579="","","OHW")</f>
        <v/>
      </c>
      <c r="C2626" s="18">
        <f>IF(OHW!$G1579="","",OHW!$A1579)</f>
        <v/>
      </c>
      <c r="F2626">
        <f>IF(OHW!$G1579="","",OHW!$B1579&amp;"")</f>
        <v/>
      </c>
      <c r="J2626">
        <f>IF(OHW!$G1579="","",OHW!$E1579)</f>
        <v/>
      </c>
      <c r="K2626">
        <f>IF(OHW!$G1579="","",COUNTIFS(OHW!$A$5:$A$1668,OHW!$A1579,OHW!$C$5:$C$1668,OHW!$C1579))</f>
        <v/>
      </c>
      <c r="L2626">
        <f>IF(OHW!$G1579="","",OHW!$D1579&amp;"")</f>
        <v/>
      </c>
      <c r="M2626">
        <f>IF(OHW!$G1579="","",OHW!$F1579)</f>
        <v/>
      </c>
      <c r="N2626">
        <f>IF(OHW!$G1579="","",OHW!$G1579)</f>
        <v/>
      </c>
      <c r="O2626">
        <f>IF(OHW!$G1579="","",OHW!$I1579)</f>
        <v/>
      </c>
      <c r="P2626">
        <f>IF(OHW!$G1579="","","Final")</f>
        <v/>
      </c>
    </row>
    <row r="2627">
      <c r="A2627">
        <f>IF(OHW!$G1580="","","OHW")</f>
        <v/>
      </c>
      <c r="B2627">
        <f>IF(OHW!$G1580="","","OHW")</f>
        <v/>
      </c>
      <c r="C2627" s="18">
        <f>IF(OHW!$G1580="","",OHW!$A1580)</f>
        <v/>
      </c>
      <c r="F2627">
        <f>IF(OHW!$G1580="","",OHW!$B1580&amp;"")</f>
        <v/>
      </c>
      <c r="J2627">
        <f>IF(OHW!$G1580="","",OHW!$E1580)</f>
        <v/>
      </c>
      <c r="K2627">
        <f>IF(OHW!$G1580="","",COUNTIFS(OHW!$A$5:$A$1668,OHW!$A1580,OHW!$C$5:$C$1668,OHW!$C1580))</f>
        <v/>
      </c>
      <c r="L2627">
        <f>IF(OHW!$G1580="","",OHW!$D1580&amp;"")</f>
        <v/>
      </c>
      <c r="M2627">
        <f>IF(OHW!$G1580="","",OHW!$F1580)</f>
        <v/>
      </c>
      <c r="N2627">
        <f>IF(OHW!$G1580="","",OHW!$G1580)</f>
        <v/>
      </c>
      <c r="O2627">
        <f>IF(OHW!$G1580="","",OHW!$I1580)</f>
        <v/>
      </c>
      <c r="P2627">
        <f>IF(OHW!$G1580="","","Final")</f>
        <v/>
      </c>
    </row>
    <row r="2628">
      <c r="A2628">
        <f>IF(OHW!$G1581="","","OHW")</f>
        <v/>
      </c>
      <c r="B2628">
        <f>IF(OHW!$G1581="","","OHW")</f>
        <v/>
      </c>
      <c r="C2628" s="18">
        <f>IF(OHW!$G1581="","",OHW!$A1581)</f>
        <v/>
      </c>
      <c r="F2628">
        <f>IF(OHW!$G1581="","",OHW!$B1581&amp;"")</f>
        <v/>
      </c>
      <c r="J2628">
        <f>IF(OHW!$G1581="","",OHW!$E1581)</f>
        <v/>
      </c>
      <c r="K2628">
        <f>IF(OHW!$G1581="","",COUNTIFS(OHW!$A$5:$A$1668,OHW!$A1581,OHW!$C$5:$C$1668,OHW!$C1581))</f>
        <v/>
      </c>
      <c r="L2628">
        <f>IF(OHW!$G1581="","",OHW!$D1581&amp;"")</f>
        <v/>
      </c>
      <c r="M2628">
        <f>IF(OHW!$G1581="","",OHW!$F1581)</f>
        <v/>
      </c>
      <c r="N2628">
        <f>IF(OHW!$G1581="","",OHW!$G1581)</f>
        <v/>
      </c>
      <c r="O2628">
        <f>IF(OHW!$G1581="","",OHW!$I1581)</f>
        <v/>
      </c>
      <c r="P2628">
        <f>IF(OHW!$G1581="","","Final")</f>
        <v/>
      </c>
    </row>
    <row r="2629">
      <c r="A2629">
        <f>IF(OHW!$G1582="","","OHW")</f>
        <v/>
      </c>
      <c r="B2629">
        <f>IF(OHW!$G1582="","","OHW")</f>
        <v/>
      </c>
      <c r="C2629" s="18">
        <f>IF(OHW!$G1582="","",OHW!$A1582)</f>
        <v/>
      </c>
      <c r="F2629">
        <f>IF(OHW!$G1582="","",OHW!$B1582&amp;"")</f>
        <v/>
      </c>
      <c r="J2629">
        <f>IF(OHW!$G1582="","",OHW!$E1582)</f>
        <v/>
      </c>
      <c r="K2629">
        <f>IF(OHW!$G1582="","",COUNTIFS(OHW!$A$5:$A$1668,OHW!$A1582,OHW!$C$5:$C$1668,OHW!$C1582))</f>
        <v/>
      </c>
      <c r="L2629">
        <f>IF(OHW!$G1582="","",OHW!$D1582&amp;"")</f>
        <v/>
      </c>
      <c r="M2629">
        <f>IF(OHW!$G1582="","",OHW!$F1582)</f>
        <v/>
      </c>
      <c r="N2629">
        <f>IF(OHW!$G1582="","",OHW!$G1582)</f>
        <v/>
      </c>
      <c r="O2629">
        <f>IF(OHW!$G1582="","",OHW!$I1582)</f>
        <v/>
      </c>
      <c r="P2629">
        <f>IF(OHW!$G1582="","","Final")</f>
        <v/>
      </c>
    </row>
    <row r="2630">
      <c r="A2630">
        <f>IF(OHW!$G1583="","","OHW")</f>
        <v/>
      </c>
      <c r="B2630">
        <f>IF(OHW!$G1583="","","OHW")</f>
        <v/>
      </c>
      <c r="C2630" s="18">
        <f>IF(OHW!$G1583="","",OHW!$A1583)</f>
        <v/>
      </c>
      <c r="F2630">
        <f>IF(OHW!$G1583="","",OHW!$B1583&amp;"")</f>
        <v/>
      </c>
      <c r="J2630">
        <f>IF(OHW!$G1583="","",OHW!$E1583)</f>
        <v/>
      </c>
      <c r="K2630">
        <f>IF(OHW!$G1583="","",COUNTIFS(OHW!$A$5:$A$1668,OHW!$A1583,OHW!$C$5:$C$1668,OHW!$C1583))</f>
        <v/>
      </c>
      <c r="L2630">
        <f>IF(OHW!$G1583="","",OHW!$D1583&amp;"")</f>
        <v/>
      </c>
      <c r="M2630">
        <f>IF(OHW!$G1583="","",OHW!$F1583)</f>
        <v/>
      </c>
      <c r="N2630">
        <f>IF(OHW!$G1583="","",OHW!$G1583)</f>
        <v/>
      </c>
      <c r="O2630">
        <f>IF(OHW!$G1583="","",OHW!$I1583)</f>
        <v/>
      </c>
      <c r="P2630">
        <f>IF(OHW!$G1583="","","Final")</f>
        <v/>
      </c>
    </row>
    <row r="2631">
      <c r="A2631">
        <f>IF(OHW!$G1584="","","OHW")</f>
        <v/>
      </c>
      <c r="B2631">
        <f>IF(OHW!$G1584="","","OHW")</f>
        <v/>
      </c>
      <c r="C2631" s="18">
        <f>IF(OHW!$G1584="","",OHW!$A1584)</f>
        <v/>
      </c>
      <c r="F2631">
        <f>IF(OHW!$G1584="","",OHW!$B1584&amp;"")</f>
        <v/>
      </c>
      <c r="J2631">
        <f>IF(OHW!$G1584="","",OHW!$E1584)</f>
        <v/>
      </c>
      <c r="K2631">
        <f>IF(OHW!$G1584="","",COUNTIFS(OHW!$A$5:$A$1668,OHW!$A1584,OHW!$C$5:$C$1668,OHW!$C1584))</f>
        <v/>
      </c>
      <c r="L2631">
        <f>IF(OHW!$G1584="","",OHW!$D1584&amp;"")</f>
        <v/>
      </c>
      <c r="M2631">
        <f>IF(OHW!$G1584="","",OHW!$F1584)</f>
        <v/>
      </c>
      <c r="N2631">
        <f>IF(OHW!$G1584="","",OHW!$G1584)</f>
        <v/>
      </c>
      <c r="O2631">
        <f>IF(OHW!$G1584="","",OHW!$I1584)</f>
        <v/>
      </c>
      <c r="P2631">
        <f>IF(OHW!$G1584="","","Final")</f>
        <v/>
      </c>
    </row>
    <row r="2632">
      <c r="A2632">
        <f>IF(OHW!$G1585="","","OHW")</f>
        <v/>
      </c>
      <c r="B2632">
        <f>IF(OHW!$G1585="","","OHW")</f>
        <v/>
      </c>
      <c r="C2632" s="18">
        <f>IF(OHW!$G1585="","",OHW!$A1585)</f>
        <v/>
      </c>
      <c r="F2632">
        <f>IF(OHW!$G1585="","",OHW!$B1585&amp;"")</f>
        <v/>
      </c>
      <c r="J2632">
        <f>IF(OHW!$G1585="","",OHW!$E1585)</f>
        <v/>
      </c>
      <c r="K2632">
        <f>IF(OHW!$G1585="","",COUNTIFS(OHW!$A$5:$A$1668,OHW!$A1585,OHW!$C$5:$C$1668,OHW!$C1585))</f>
        <v/>
      </c>
      <c r="L2632">
        <f>IF(OHW!$G1585="","",OHW!$D1585&amp;"")</f>
        <v/>
      </c>
      <c r="M2632">
        <f>IF(OHW!$G1585="","",OHW!$F1585)</f>
        <v/>
      </c>
      <c r="N2632">
        <f>IF(OHW!$G1585="","",OHW!$G1585)</f>
        <v/>
      </c>
      <c r="O2632">
        <f>IF(OHW!$G1585="","",OHW!$I1585)</f>
        <v/>
      </c>
      <c r="P2632">
        <f>IF(OHW!$G1585="","","Final")</f>
        <v/>
      </c>
    </row>
    <row r="2633">
      <c r="A2633">
        <f>IF(OHW!$G1586="","","OHW")</f>
        <v/>
      </c>
      <c r="B2633">
        <f>IF(OHW!$G1586="","","OHW")</f>
        <v/>
      </c>
      <c r="C2633" s="18">
        <f>IF(OHW!$G1586="","",OHW!$A1586)</f>
        <v/>
      </c>
      <c r="F2633">
        <f>IF(OHW!$G1586="","",OHW!$B1586&amp;"")</f>
        <v/>
      </c>
      <c r="J2633">
        <f>IF(OHW!$G1586="","",OHW!$E1586)</f>
        <v/>
      </c>
      <c r="K2633">
        <f>IF(OHW!$G1586="","",COUNTIFS(OHW!$A$5:$A$1668,OHW!$A1586,OHW!$C$5:$C$1668,OHW!$C1586))</f>
        <v/>
      </c>
      <c r="L2633">
        <f>IF(OHW!$G1586="","",OHW!$D1586&amp;"")</f>
        <v/>
      </c>
      <c r="M2633">
        <f>IF(OHW!$G1586="","",OHW!$F1586)</f>
        <v/>
      </c>
      <c r="N2633">
        <f>IF(OHW!$G1586="","",OHW!$G1586)</f>
        <v/>
      </c>
      <c r="O2633">
        <f>IF(OHW!$G1586="","",OHW!$I1586)</f>
        <v/>
      </c>
      <c r="P2633">
        <f>IF(OHW!$G1586="","","Final")</f>
        <v/>
      </c>
    </row>
    <row r="2634">
      <c r="A2634">
        <f>IF(OHW!$G1587="","","OHW")</f>
        <v/>
      </c>
      <c r="B2634">
        <f>IF(OHW!$G1587="","","OHW")</f>
        <v/>
      </c>
      <c r="C2634" s="18">
        <f>IF(OHW!$G1587="","",OHW!$A1587)</f>
        <v/>
      </c>
      <c r="F2634">
        <f>IF(OHW!$G1587="","",OHW!$B1587&amp;"")</f>
        <v/>
      </c>
      <c r="J2634">
        <f>IF(OHW!$G1587="","",OHW!$E1587)</f>
        <v/>
      </c>
      <c r="K2634">
        <f>IF(OHW!$G1587="","",COUNTIFS(OHW!$A$5:$A$1668,OHW!$A1587,OHW!$C$5:$C$1668,OHW!$C1587))</f>
        <v/>
      </c>
      <c r="L2634">
        <f>IF(OHW!$G1587="","",OHW!$D1587&amp;"")</f>
        <v/>
      </c>
      <c r="M2634">
        <f>IF(OHW!$G1587="","",OHW!$F1587)</f>
        <v/>
      </c>
      <c r="N2634">
        <f>IF(OHW!$G1587="","",OHW!$G1587)</f>
        <v/>
      </c>
      <c r="O2634">
        <f>IF(OHW!$G1587="","",OHW!$I1587)</f>
        <v/>
      </c>
      <c r="P2634">
        <f>IF(OHW!$G1587="","","Final")</f>
        <v/>
      </c>
    </row>
    <row r="2635">
      <c r="A2635">
        <f>IF(OHW!$G1588="","","OHW")</f>
        <v/>
      </c>
      <c r="B2635">
        <f>IF(OHW!$G1588="","","OHW")</f>
        <v/>
      </c>
      <c r="C2635" s="18">
        <f>IF(OHW!$G1588="","",OHW!$A1588)</f>
        <v/>
      </c>
      <c r="F2635">
        <f>IF(OHW!$G1588="","",OHW!$B1588&amp;"")</f>
        <v/>
      </c>
      <c r="J2635">
        <f>IF(OHW!$G1588="","",OHW!$E1588)</f>
        <v/>
      </c>
      <c r="K2635">
        <f>IF(OHW!$G1588="","",COUNTIFS(OHW!$A$5:$A$1668,OHW!$A1588,OHW!$C$5:$C$1668,OHW!$C1588))</f>
        <v/>
      </c>
      <c r="L2635">
        <f>IF(OHW!$G1588="","",OHW!$D1588&amp;"")</f>
        <v/>
      </c>
      <c r="M2635">
        <f>IF(OHW!$G1588="","",OHW!$F1588)</f>
        <v/>
      </c>
      <c r="N2635">
        <f>IF(OHW!$G1588="","",OHW!$G1588)</f>
        <v/>
      </c>
      <c r="O2635">
        <f>IF(OHW!$G1588="","",OHW!$I1588)</f>
        <v/>
      </c>
      <c r="P2635">
        <f>IF(OHW!$G1588="","","Final")</f>
        <v/>
      </c>
    </row>
    <row r="2636">
      <c r="A2636">
        <f>IF(OHW!$G1589="","","OHW")</f>
        <v/>
      </c>
      <c r="B2636">
        <f>IF(OHW!$G1589="","","OHW")</f>
        <v/>
      </c>
      <c r="C2636" s="18">
        <f>IF(OHW!$G1589="","",OHW!$A1589)</f>
        <v/>
      </c>
      <c r="F2636">
        <f>IF(OHW!$G1589="","",OHW!$B1589&amp;"")</f>
        <v/>
      </c>
      <c r="J2636">
        <f>IF(OHW!$G1589="","",OHW!$E1589)</f>
        <v/>
      </c>
      <c r="K2636">
        <f>IF(OHW!$G1589="","",COUNTIFS(OHW!$A$5:$A$1668,OHW!$A1589,OHW!$C$5:$C$1668,OHW!$C1589))</f>
        <v/>
      </c>
      <c r="L2636">
        <f>IF(OHW!$G1589="","",OHW!$D1589&amp;"")</f>
        <v/>
      </c>
      <c r="M2636">
        <f>IF(OHW!$G1589="","",OHW!$F1589)</f>
        <v/>
      </c>
      <c r="N2636">
        <f>IF(OHW!$G1589="","",OHW!$G1589)</f>
        <v/>
      </c>
      <c r="O2636">
        <f>IF(OHW!$G1589="","",OHW!$I1589)</f>
        <v/>
      </c>
      <c r="P2636">
        <f>IF(OHW!$G1589="","","Final")</f>
        <v/>
      </c>
    </row>
    <row r="2637">
      <c r="A2637">
        <f>IF(OHW!$G1590="","","OHW")</f>
        <v/>
      </c>
      <c r="B2637">
        <f>IF(OHW!$G1590="","","OHW")</f>
        <v/>
      </c>
      <c r="C2637" s="18">
        <f>IF(OHW!$G1590="","",OHW!$A1590)</f>
        <v/>
      </c>
      <c r="F2637">
        <f>IF(OHW!$G1590="","",OHW!$B1590&amp;"")</f>
        <v/>
      </c>
      <c r="J2637">
        <f>IF(OHW!$G1590="","",OHW!$E1590)</f>
        <v/>
      </c>
      <c r="K2637">
        <f>IF(OHW!$G1590="","",COUNTIFS(OHW!$A$5:$A$1668,OHW!$A1590,OHW!$C$5:$C$1668,OHW!$C1590))</f>
        <v/>
      </c>
      <c r="L2637">
        <f>IF(OHW!$G1590="","",OHW!$D1590&amp;"")</f>
        <v/>
      </c>
      <c r="M2637">
        <f>IF(OHW!$G1590="","",OHW!$F1590)</f>
        <v/>
      </c>
      <c r="N2637">
        <f>IF(OHW!$G1590="","",OHW!$G1590)</f>
        <v/>
      </c>
      <c r="O2637">
        <f>IF(OHW!$G1590="","",OHW!$I1590)</f>
        <v/>
      </c>
      <c r="P2637">
        <f>IF(OHW!$G1590="","","Final")</f>
        <v/>
      </c>
    </row>
    <row r="2638">
      <c r="A2638">
        <f>IF(OHW!$G1591="","","OHW")</f>
        <v/>
      </c>
      <c r="B2638">
        <f>IF(OHW!$G1591="","","OHW")</f>
        <v/>
      </c>
      <c r="C2638" s="18">
        <f>IF(OHW!$G1591="","",OHW!$A1591)</f>
        <v/>
      </c>
      <c r="F2638">
        <f>IF(OHW!$G1591="","",OHW!$B1591&amp;"")</f>
        <v/>
      </c>
      <c r="J2638">
        <f>IF(OHW!$G1591="","",OHW!$E1591)</f>
        <v/>
      </c>
      <c r="K2638">
        <f>IF(OHW!$G1591="","",COUNTIFS(OHW!$A$5:$A$1668,OHW!$A1591,OHW!$C$5:$C$1668,OHW!$C1591))</f>
        <v/>
      </c>
      <c r="L2638">
        <f>IF(OHW!$G1591="","",OHW!$D1591&amp;"")</f>
        <v/>
      </c>
      <c r="M2638">
        <f>IF(OHW!$G1591="","",OHW!$F1591)</f>
        <v/>
      </c>
      <c r="N2638">
        <f>IF(OHW!$G1591="","",OHW!$G1591)</f>
        <v/>
      </c>
      <c r="O2638">
        <f>IF(OHW!$G1591="","",OHW!$I1591)</f>
        <v/>
      </c>
      <c r="P2638">
        <f>IF(OHW!$G1591="","","Final")</f>
        <v/>
      </c>
    </row>
    <row r="2639">
      <c r="A2639">
        <f>IF(OHW!$G1592="","","OHW")</f>
        <v/>
      </c>
      <c r="B2639">
        <f>IF(OHW!$G1592="","","OHW")</f>
        <v/>
      </c>
      <c r="C2639" s="18">
        <f>IF(OHW!$G1592="","",OHW!$A1592)</f>
        <v/>
      </c>
      <c r="F2639">
        <f>IF(OHW!$G1592="","",OHW!$B1592&amp;"")</f>
        <v/>
      </c>
      <c r="J2639">
        <f>IF(OHW!$G1592="","",OHW!$E1592)</f>
        <v/>
      </c>
      <c r="K2639">
        <f>IF(OHW!$G1592="","",COUNTIFS(OHW!$A$5:$A$1668,OHW!$A1592,OHW!$C$5:$C$1668,OHW!$C1592))</f>
        <v/>
      </c>
      <c r="L2639">
        <f>IF(OHW!$G1592="","",OHW!$D1592&amp;"")</f>
        <v/>
      </c>
      <c r="M2639">
        <f>IF(OHW!$G1592="","",OHW!$F1592)</f>
        <v/>
      </c>
      <c r="N2639">
        <f>IF(OHW!$G1592="","",OHW!$G1592)</f>
        <v/>
      </c>
      <c r="O2639">
        <f>IF(OHW!$G1592="","",OHW!$I1592)</f>
        <v/>
      </c>
      <c r="P2639">
        <f>IF(OHW!$G1592="","","Final")</f>
        <v/>
      </c>
    </row>
    <row r="2640">
      <c r="A2640">
        <f>IF(OHW!$G1593="","","OHW")</f>
        <v/>
      </c>
      <c r="B2640">
        <f>IF(OHW!$G1593="","","OHW")</f>
        <v/>
      </c>
      <c r="C2640" s="18">
        <f>IF(OHW!$G1593="","",OHW!$A1593)</f>
        <v/>
      </c>
      <c r="F2640">
        <f>IF(OHW!$G1593="","",OHW!$B1593&amp;"")</f>
        <v/>
      </c>
      <c r="J2640">
        <f>IF(OHW!$G1593="","",OHW!$E1593)</f>
        <v/>
      </c>
      <c r="K2640">
        <f>IF(OHW!$G1593="","",COUNTIFS(OHW!$A$5:$A$1668,OHW!$A1593,OHW!$C$5:$C$1668,OHW!$C1593))</f>
        <v/>
      </c>
      <c r="L2640">
        <f>IF(OHW!$G1593="","",OHW!$D1593&amp;"")</f>
        <v/>
      </c>
      <c r="M2640">
        <f>IF(OHW!$G1593="","",OHW!$F1593)</f>
        <v/>
      </c>
      <c r="N2640">
        <f>IF(OHW!$G1593="","",OHW!$G1593)</f>
        <v/>
      </c>
      <c r="O2640">
        <f>IF(OHW!$G1593="","",OHW!$I1593)</f>
        <v/>
      </c>
      <c r="P2640">
        <f>IF(OHW!$G1593="","","Final")</f>
        <v/>
      </c>
    </row>
    <row r="2641">
      <c r="A2641">
        <f>IF(OHW!$G1594="","","OHW")</f>
        <v/>
      </c>
      <c r="B2641">
        <f>IF(OHW!$G1594="","","OHW")</f>
        <v/>
      </c>
      <c r="C2641" s="18">
        <f>IF(OHW!$G1594="","",OHW!$A1594)</f>
        <v/>
      </c>
      <c r="F2641">
        <f>IF(OHW!$G1594="","",OHW!$B1594&amp;"")</f>
        <v/>
      </c>
      <c r="J2641">
        <f>IF(OHW!$G1594="","",OHW!$E1594)</f>
        <v/>
      </c>
      <c r="K2641">
        <f>IF(OHW!$G1594="","",COUNTIFS(OHW!$A$5:$A$1668,OHW!$A1594,OHW!$C$5:$C$1668,OHW!$C1594))</f>
        <v/>
      </c>
      <c r="L2641">
        <f>IF(OHW!$G1594="","",OHW!$D1594&amp;"")</f>
        <v/>
      </c>
      <c r="M2641">
        <f>IF(OHW!$G1594="","",OHW!$F1594)</f>
        <v/>
      </c>
      <c r="N2641">
        <f>IF(OHW!$G1594="","",OHW!$G1594)</f>
        <v/>
      </c>
      <c r="O2641">
        <f>IF(OHW!$G1594="","",OHW!$I1594)</f>
        <v/>
      </c>
      <c r="P2641">
        <f>IF(OHW!$G1594="","","Final")</f>
        <v/>
      </c>
    </row>
    <row r="2642">
      <c r="A2642">
        <f>IF(OHW!$G1595="","","OHW")</f>
        <v/>
      </c>
      <c r="B2642">
        <f>IF(OHW!$G1595="","","OHW")</f>
        <v/>
      </c>
      <c r="C2642" s="18">
        <f>IF(OHW!$G1595="","",OHW!$A1595)</f>
        <v/>
      </c>
      <c r="F2642">
        <f>IF(OHW!$G1595="","",OHW!$B1595&amp;"")</f>
        <v/>
      </c>
      <c r="J2642">
        <f>IF(OHW!$G1595="","",OHW!$E1595)</f>
        <v/>
      </c>
      <c r="K2642">
        <f>IF(OHW!$G1595="","",COUNTIFS(OHW!$A$5:$A$1668,OHW!$A1595,OHW!$C$5:$C$1668,OHW!$C1595))</f>
        <v/>
      </c>
      <c r="L2642">
        <f>IF(OHW!$G1595="","",OHW!$D1595&amp;"")</f>
        <v/>
      </c>
      <c r="M2642">
        <f>IF(OHW!$G1595="","",OHW!$F1595)</f>
        <v/>
      </c>
      <c r="N2642">
        <f>IF(OHW!$G1595="","",OHW!$G1595)</f>
        <v/>
      </c>
      <c r="O2642">
        <f>IF(OHW!$G1595="","",OHW!$I1595)</f>
        <v/>
      </c>
      <c r="P2642">
        <f>IF(OHW!$G1595="","","Final")</f>
        <v/>
      </c>
    </row>
    <row r="2643">
      <c r="A2643">
        <f>IF(OHW!$G1596="","","OHW")</f>
        <v/>
      </c>
      <c r="B2643">
        <f>IF(OHW!$G1596="","","OHW")</f>
        <v/>
      </c>
      <c r="C2643" s="18">
        <f>IF(OHW!$G1596="","",OHW!$A1596)</f>
        <v/>
      </c>
      <c r="F2643">
        <f>IF(OHW!$G1596="","",OHW!$B1596&amp;"")</f>
        <v/>
      </c>
      <c r="J2643">
        <f>IF(OHW!$G1596="","",OHW!$E1596)</f>
        <v/>
      </c>
      <c r="K2643">
        <f>IF(OHW!$G1596="","",COUNTIFS(OHW!$A$5:$A$1668,OHW!$A1596,OHW!$C$5:$C$1668,OHW!$C1596))</f>
        <v/>
      </c>
      <c r="L2643">
        <f>IF(OHW!$G1596="","",OHW!$D1596&amp;"")</f>
        <v/>
      </c>
      <c r="M2643">
        <f>IF(OHW!$G1596="","",OHW!$F1596)</f>
        <v/>
      </c>
      <c r="N2643">
        <f>IF(OHW!$G1596="","",OHW!$G1596)</f>
        <v/>
      </c>
      <c r="O2643">
        <f>IF(OHW!$G1596="","",OHW!$I1596)</f>
        <v/>
      </c>
      <c r="P2643">
        <f>IF(OHW!$G1596="","","Final")</f>
        <v/>
      </c>
    </row>
    <row r="2644">
      <c r="A2644">
        <f>IF(OHW!$G1597="","","OHW")</f>
        <v/>
      </c>
      <c r="B2644">
        <f>IF(OHW!$G1597="","","OHW")</f>
        <v/>
      </c>
      <c r="C2644" s="18">
        <f>IF(OHW!$G1597="","",OHW!$A1597)</f>
        <v/>
      </c>
      <c r="F2644">
        <f>IF(OHW!$G1597="","",OHW!$B1597&amp;"")</f>
        <v/>
      </c>
      <c r="J2644">
        <f>IF(OHW!$G1597="","",OHW!$E1597)</f>
        <v/>
      </c>
      <c r="K2644">
        <f>IF(OHW!$G1597="","",COUNTIFS(OHW!$A$5:$A$1668,OHW!$A1597,OHW!$C$5:$C$1668,OHW!$C1597))</f>
        <v/>
      </c>
      <c r="L2644">
        <f>IF(OHW!$G1597="","",OHW!$D1597&amp;"")</f>
        <v/>
      </c>
      <c r="M2644">
        <f>IF(OHW!$G1597="","",OHW!$F1597)</f>
        <v/>
      </c>
      <c r="N2644">
        <f>IF(OHW!$G1597="","",OHW!$G1597)</f>
        <v/>
      </c>
      <c r="O2644">
        <f>IF(OHW!$G1597="","",OHW!$I1597)</f>
        <v/>
      </c>
      <c r="P2644">
        <f>IF(OHW!$G1597="","","Final")</f>
        <v/>
      </c>
    </row>
    <row r="2645">
      <c r="A2645">
        <f>IF(OHW!$G1598="","","OHW")</f>
        <v/>
      </c>
      <c r="B2645">
        <f>IF(OHW!$G1598="","","OHW")</f>
        <v/>
      </c>
      <c r="C2645" s="18">
        <f>IF(OHW!$G1598="","",OHW!$A1598)</f>
        <v/>
      </c>
      <c r="F2645">
        <f>IF(OHW!$G1598="","",OHW!$B1598&amp;"")</f>
        <v/>
      </c>
      <c r="J2645">
        <f>IF(OHW!$G1598="","",OHW!$E1598)</f>
        <v/>
      </c>
      <c r="K2645">
        <f>IF(OHW!$G1598="","",COUNTIFS(OHW!$A$5:$A$1668,OHW!$A1598,OHW!$C$5:$C$1668,OHW!$C1598))</f>
        <v/>
      </c>
      <c r="L2645">
        <f>IF(OHW!$G1598="","",OHW!$D1598&amp;"")</f>
        <v/>
      </c>
      <c r="M2645">
        <f>IF(OHW!$G1598="","",OHW!$F1598)</f>
        <v/>
      </c>
      <c r="N2645">
        <f>IF(OHW!$G1598="","",OHW!$G1598)</f>
        <v/>
      </c>
      <c r="O2645">
        <f>IF(OHW!$G1598="","",OHW!$I1598)</f>
        <v/>
      </c>
      <c r="P2645">
        <f>IF(OHW!$G1598="","","Final")</f>
        <v/>
      </c>
    </row>
    <row r="2646">
      <c r="A2646">
        <f>IF(OHW!$G1599="","","OHW")</f>
        <v/>
      </c>
      <c r="B2646">
        <f>IF(OHW!$G1599="","","OHW")</f>
        <v/>
      </c>
      <c r="C2646" s="18">
        <f>IF(OHW!$G1599="","",OHW!$A1599)</f>
        <v/>
      </c>
      <c r="F2646">
        <f>IF(OHW!$G1599="","",OHW!$B1599&amp;"")</f>
        <v/>
      </c>
      <c r="J2646">
        <f>IF(OHW!$G1599="","",OHW!$E1599)</f>
        <v/>
      </c>
      <c r="K2646">
        <f>IF(OHW!$G1599="","",COUNTIFS(OHW!$A$5:$A$1668,OHW!$A1599,OHW!$C$5:$C$1668,OHW!$C1599))</f>
        <v/>
      </c>
      <c r="L2646">
        <f>IF(OHW!$G1599="","",OHW!$D1599&amp;"")</f>
        <v/>
      </c>
      <c r="M2646">
        <f>IF(OHW!$G1599="","",OHW!$F1599)</f>
        <v/>
      </c>
      <c r="N2646">
        <f>IF(OHW!$G1599="","",OHW!$G1599)</f>
        <v/>
      </c>
      <c r="O2646">
        <f>IF(OHW!$G1599="","",OHW!$I1599)</f>
        <v/>
      </c>
      <c r="P2646">
        <f>IF(OHW!$G1599="","","Final")</f>
        <v/>
      </c>
    </row>
    <row r="2647">
      <c r="A2647">
        <f>IF(OHW!$G1600="","","OHW")</f>
        <v/>
      </c>
      <c r="B2647">
        <f>IF(OHW!$G1600="","","OHW")</f>
        <v/>
      </c>
      <c r="C2647" s="18">
        <f>IF(OHW!$G1600="","",OHW!$A1600)</f>
        <v/>
      </c>
      <c r="F2647">
        <f>IF(OHW!$G1600="","",OHW!$B1600&amp;"")</f>
        <v/>
      </c>
      <c r="J2647">
        <f>IF(OHW!$G1600="","",OHW!$E1600)</f>
        <v/>
      </c>
      <c r="K2647">
        <f>IF(OHW!$G1600="","",COUNTIFS(OHW!$A$5:$A$1668,OHW!$A1600,OHW!$C$5:$C$1668,OHW!$C1600))</f>
        <v/>
      </c>
      <c r="L2647">
        <f>IF(OHW!$G1600="","",OHW!$D1600&amp;"")</f>
        <v/>
      </c>
      <c r="M2647">
        <f>IF(OHW!$G1600="","",OHW!$F1600)</f>
        <v/>
      </c>
      <c r="N2647">
        <f>IF(OHW!$G1600="","",OHW!$G1600)</f>
        <v/>
      </c>
      <c r="O2647">
        <f>IF(OHW!$G1600="","",OHW!$I1600)</f>
        <v/>
      </c>
      <c r="P2647">
        <f>IF(OHW!$G1600="","","Final")</f>
        <v/>
      </c>
    </row>
    <row r="2648">
      <c r="A2648">
        <f>IF(OHW!$G1601="","","OHW")</f>
        <v/>
      </c>
      <c r="B2648">
        <f>IF(OHW!$G1601="","","OHW")</f>
        <v/>
      </c>
      <c r="C2648" s="18">
        <f>IF(OHW!$G1601="","",OHW!$A1601)</f>
        <v/>
      </c>
      <c r="F2648">
        <f>IF(OHW!$G1601="","",OHW!$B1601&amp;"")</f>
        <v/>
      </c>
      <c r="J2648">
        <f>IF(OHW!$G1601="","",OHW!$E1601)</f>
        <v/>
      </c>
      <c r="K2648">
        <f>IF(OHW!$G1601="","",COUNTIFS(OHW!$A$5:$A$1668,OHW!$A1601,OHW!$C$5:$C$1668,OHW!$C1601))</f>
        <v/>
      </c>
      <c r="L2648">
        <f>IF(OHW!$G1601="","",OHW!$D1601&amp;"")</f>
        <v/>
      </c>
      <c r="M2648">
        <f>IF(OHW!$G1601="","",OHW!$F1601)</f>
        <v/>
      </c>
      <c r="N2648">
        <f>IF(OHW!$G1601="","",OHW!$G1601)</f>
        <v/>
      </c>
      <c r="O2648">
        <f>IF(OHW!$G1601="","",OHW!$I1601)</f>
        <v/>
      </c>
      <c r="P2648">
        <f>IF(OHW!$G1601="","","Final")</f>
        <v/>
      </c>
    </row>
    <row r="2649">
      <c r="A2649">
        <f>IF(OHW!$G1602="","","OHW")</f>
        <v/>
      </c>
      <c r="B2649">
        <f>IF(OHW!$G1602="","","OHW")</f>
        <v/>
      </c>
      <c r="C2649" s="18">
        <f>IF(OHW!$G1602="","",OHW!$A1602)</f>
        <v/>
      </c>
      <c r="F2649">
        <f>IF(OHW!$G1602="","",OHW!$B1602&amp;"")</f>
        <v/>
      </c>
      <c r="J2649">
        <f>IF(OHW!$G1602="","",OHW!$E1602)</f>
        <v/>
      </c>
      <c r="K2649">
        <f>IF(OHW!$G1602="","",COUNTIFS(OHW!$A$5:$A$1668,OHW!$A1602,OHW!$C$5:$C$1668,OHW!$C1602))</f>
        <v/>
      </c>
      <c r="L2649">
        <f>IF(OHW!$G1602="","",OHW!$D1602&amp;"")</f>
        <v/>
      </c>
      <c r="M2649">
        <f>IF(OHW!$G1602="","",OHW!$F1602)</f>
        <v/>
      </c>
      <c r="N2649">
        <f>IF(OHW!$G1602="","",OHW!$G1602)</f>
        <v/>
      </c>
      <c r="O2649">
        <f>IF(OHW!$G1602="","",OHW!$I1602)</f>
        <v/>
      </c>
      <c r="P2649">
        <f>IF(OHW!$G1602="","","Final")</f>
        <v/>
      </c>
    </row>
    <row r="2650">
      <c r="A2650">
        <f>IF(OHW!$G1603="","","OHW")</f>
        <v/>
      </c>
      <c r="B2650">
        <f>IF(OHW!$G1603="","","OHW")</f>
        <v/>
      </c>
      <c r="C2650" s="18">
        <f>IF(OHW!$G1603="","",OHW!$A1603)</f>
        <v/>
      </c>
      <c r="F2650">
        <f>IF(OHW!$G1603="","",OHW!$B1603&amp;"")</f>
        <v/>
      </c>
      <c r="J2650">
        <f>IF(OHW!$G1603="","",OHW!$E1603)</f>
        <v/>
      </c>
      <c r="K2650">
        <f>IF(OHW!$G1603="","",COUNTIFS(OHW!$A$5:$A$1668,OHW!$A1603,OHW!$C$5:$C$1668,OHW!$C1603))</f>
        <v/>
      </c>
      <c r="L2650">
        <f>IF(OHW!$G1603="","",OHW!$D1603&amp;"")</f>
        <v/>
      </c>
      <c r="M2650">
        <f>IF(OHW!$G1603="","",OHW!$F1603)</f>
        <v/>
      </c>
      <c r="N2650">
        <f>IF(OHW!$G1603="","",OHW!$G1603)</f>
        <v/>
      </c>
      <c r="O2650">
        <f>IF(OHW!$G1603="","",OHW!$I1603)</f>
        <v/>
      </c>
      <c r="P2650">
        <f>IF(OHW!$G1603="","","Final")</f>
        <v/>
      </c>
    </row>
    <row r="2651">
      <c r="A2651">
        <f>IF(OHW!$G1604="","","OHW")</f>
        <v/>
      </c>
      <c r="B2651">
        <f>IF(OHW!$G1604="","","OHW")</f>
        <v/>
      </c>
      <c r="C2651" s="18">
        <f>IF(OHW!$G1604="","",OHW!$A1604)</f>
        <v/>
      </c>
      <c r="F2651">
        <f>IF(OHW!$G1604="","",OHW!$B1604&amp;"")</f>
        <v/>
      </c>
      <c r="J2651">
        <f>IF(OHW!$G1604="","",OHW!$E1604)</f>
        <v/>
      </c>
      <c r="K2651">
        <f>IF(OHW!$G1604="","",COUNTIFS(OHW!$A$5:$A$1668,OHW!$A1604,OHW!$C$5:$C$1668,OHW!$C1604))</f>
        <v/>
      </c>
      <c r="L2651">
        <f>IF(OHW!$G1604="","",OHW!$D1604&amp;"")</f>
        <v/>
      </c>
      <c r="M2651">
        <f>IF(OHW!$G1604="","",OHW!$F1604)</f>
        <v/>
      </c>
      <c r="N2651">
        <f>IF(OHW!$G1604="","",OHW!$G1604)</f>
        <v/>
      </c>
      <c r="O2651">
        <f>IF(OHW!$G1604="","",OHW!$I1604)</f>
        <v/>
      </c>
      <c r="P2651">
        <f>IF(OHW!$G1604="","","Final")</f>
        <v/>
      </c>
    </row>
    <row r="2652">
      <c r="A2652">
        <f>IF(OHW!$G1605="","","OHW")</f>
        <v/>
      </c>
      <c r="B2652">
        <f>IF(OHW!$G1605="","","OHW")</f>
        <v/>
      </c>
      <c r="C2652" s="18">
        <f>IF(OHW!$G1605="","",OHW!$A1605)</f>
        <v/>
      </c>
      <c r="F2652">
        <f>IF(OHW!$G1605="","",OHW!$B1605&amp;"")</f>
        <v/>
      </c>
      <c r="J2652">
        <f>IF(OHW!$G1605="","",OHW!$E1605)</f>
        <v/>
      </c>
      <c r="K2652">
        <f>IF(OHW!$G1605="","",COUNTIFS(OHW!$A$5:$A$1668,OHW!$A1605,OHW!$C$5:$C$1668,OHW!$C1605))</f>
        <v/>
      </c>
      <c r="L2652">
        <f>IF(OHW!$G1605="","",OHW!$D1605&amp;"")</f>
        <v/>
      </c>
      <c r="M2652">
        <f>IF(OHW!$G1605="","",OHW!$F1605)</f>
        <v/>
      </c>
      <c r="N2652">
        <f>IF(OHW!$G1605="","",OHW!$G1605)</f>
        <v/>
      </c>
      <c r="O2652">
        <f>IF(OHW!$G1605="","",OHW!$I1605)</f>
        <v/>
      </c>
      <c r="P2652">
        <f>IF(OHW!$G1605="","","Final")</f>
        <v/>
      </c>
    </row>
    <row r="2653">
      <c r="A2653">
        <f>IF(OHW!$G1606="","","OHW")</f>
        <v/>
      </c>
      <c r="B2653">
        <f>IF(OHW!$G1606="","","OHW")</f>
        <v/>
      </c>
      <c r="C2653" s="18">
        <f>IF(OHW!$G1606="","",OHW!$A1606)</f>
        <v/>
      </c>
      <c r="F2653">
        <f>IF(OHW!$G1606="","",OHW!$B1606&amp;"")</f>
        <v/>
      </c>
      <c r="J2653">
        <f>IF(OHW!$G1606="","",OHW!$E1606)</f>
        <v/>
      </c>
      <c r="K2653">
        <f>IF(OHW!$G1606="","",COUNTIFS(OHW!$A$5:$A$1668,OHW!$A1606,OHW!$C$5:$C$1668,OHW!$C1606))</f>
        <v/>
      </c>
      <c r="L2653">
        <f>IF(OHW!$G1606="","",OHW!$D1606&amp;"")</f>
        <v/>
      </c>
      <c r="M2653">
        <f>IF(OHW!$G1606="","",OHW!$F1606)</f>
        <v/>
      </c>
      <c r="N2653">
        <f>IF(OHW!$G1606="","",OHW!$G1606)</f>
        <v/>
      </c>
      <c r="O2653">
        <f>IF(OHW!$G1606="","",OHW!$I1606)</f>
        <v/>
      </c>
      <c r="P2653">
        <f>IF(OHW!$G1606="","","Final")</f>
        <v/>
      </c>
    </row>
    <row r="2654">
      <c r="A2654">
        <f>IF(OHW!$G1607="","","OHW")</f>
        <v/>
      </c>
      <c r="B2654">
        <f>IF(OHW!$G1607="","","OHW")</f>
        <v/>
      </c>
      <c r="C2654" s="18">
        <f>IF(OHW!$G1607="","",OHW!$A1607)</f>
        <v/>
      </c>
      <c r="F2654">
        <f>IF(OHW!$G1607="","",OHW!$B1607&amp;"")</f>
        <v/>
      </c>
      <c r="J2654">
        <f>IF(OHW!$G1607="","",OHW!$E1607)</f>
        <v/>
      </c>
      <c r="K2654">
        <f>IF(OHW!$G1607="","",COUNTIFS(OHW!$A$5:$A$1668,OHW!$A1607,OHW!$C$5:$C$1668,OHW!$C1607))</f>
        <v/>
      </c>
      <c r="L2654">
        <f>IF(OHW!$G1607="","",OHW!$D1607&amp;"")</f>
        <v/>
      </c>
      <c r="M2654">
        <f>IF(OHW!$G1607="","",OHW!$F1607)</f>
        <v/>
      </c>
      <c r="N2654">
        <f>IF(OHW!$G1607="","",OHW!$G1607)</f>
        <v/>
      </c>
      <c r="O2654">
        <f>IF(OHW!$G1607="","",OHW!$I1607)</f>
        <v/>
      </c>
      <c r="P2654">
        <f>IF(OHW!$G1607="","","Final")</f>
        <v/>
      </c>
    </row>
    <row r="2655">
      <c r="A2655">
        <f>IF(OHW!$G1608="","","OHW")</f>
        <v/>
      </c>
      <c r="B2655">
        <f>IF(OHW!$G1608="","","OHW")</f>
        <v/>
      </c>
      <c r="C2655" s="18">
        <f>IF(OHW!$G1608="","",OHW!$A1608)</f>
        <v/>
      </c>
      <c r="F2655">
        <f>IF(OHW!$G1608="","",OHW!$B1608&amp;"")</f>
        <v/>
      </c>
      <c r="J2655">
        <f>IF(OHW!$G1608="","",OHW!$E1608)</f>
        <v/>
      </c>
      <c r="K2655">
        <f>IF(OHW!$G1608="","",COUNTIFS(OHW!$A$5:$A$1668,OHW!$A1608,OHW!$C$5:$C$1668,OHW!$C1608))</f>
        <v/>
      </c>
      <c r="L2655">
        <f>IF(OHW!$G1608="","",OHW!$D1608&amp;"")</f>
        <v/>
      </c>
      <c r="M2655">
        <f>IF(OHW!$G1608="","",OHW!$F1608)</f>
        <v/>
      </c>
      <c r="N2655">
        <f>IF(OHW!$G1608="","",OHW!$G1608)</f>
        <v/>
      </c>
      <c r="O2655">
        <f>IF(OHW!$G1608="","",OHW!$I1608)</f>
        <v/>
      </c>
      <c r="P2655">
        <f>IF(OHW!$G1608="","","Final")</f>
        <v/>
      </c>
    </row>
    <row r="2656">
      <c r="A2656">
        <f>IF(OHW!$G1609="","","OHW")</f>
        <v/>
      </c>
      <c r="B2656">
        <f>IF(OHW!$G1609="","","OHW")</f>
        <v/>
      </c>
      <c r="C2656" s="18">
        <f>IF(OHW!$G1609="","",OHW!$A1609)</f>
        <v/>
      </c>
      <c r="F2656">
        <f>IF(OHW!$G1609="","",OHW!$B1609&amp;"")</f>
        <v/>
      </c>
      <c r="J2656">
        <f>IF(OHW!$G1609="","",OHW!$E1609)</f>
        <v/>
      </c>
      <c r="K2656">
        <f>IF(OHW!$G1609="","",COUNTIFS(OHW!$A$5:$A$1668,OHW!$A1609,OHW!$C$5:$C$1668,OHW!$C1609))</f>
        <v/>
      </c>
      <c r="L2656">
        <f>IF(OHW!$G1609="","",OHW!$D1609&amp;"")</f>
        <v/>
      </c>
      <c r="M2656">
        <f>IF(OHW!$G1609="","",OHW!$F1609)</f>
        <v/>
      </c>
      <c r="N2656">
        <f>IF(OHW!$G1609="","",OHW!$G1609)</f>
        <v/>
      </c>
      <c r="O2656">
        <f>IF(OHW!$G1609="","",OHW!$I1609)</f>
        <v/>
      </c>
      <c r="P2656">
        <f>IF(OHW!$G1609="","","Final")</f>
        <v/>
      </c>
    </row>
    <row r="2657">
      <c r="A2657">
        <f>IF(OHW!$G1610="","","OHW")</f>
        <v/>
      </c>
      <c r="B2657">
        <f>IF(OHW!$G1610="","","OHW")</f>
        <v/>
      </c>
      <c r="C2657" s="18">
        <f>IF(OHW!$G1610="","",OHW!$A1610)</f>
        <v/>
      </c>
      <c r="F2657">
        <f>IF(OHW!$G1610="","",OHW!$B1610&amp;"")</f>
        <v/>
      </c>
      <c r="J2657">
        <f>IF(OHW!$G1610="","",OHW!$E1610)</f>
        <v/>
      </c>
      <c r="K2657">
        <f>IF(OHW!$G1610="","",COUNTIFS(OHW!$A$5:$A$1668,OHW!$A1610,OHW!$C$5:$C$1668,OHW!$C1610))</f>
        <v/>
      </c>
      <c r="L2657">
        <f>IF(OHW!$G1610="","",OHW!$D1610&amp;"")</f>
        <v/>
      </c>
      <c r="M2657">
        <f>IF(OHW!$G1610="","",OHW!$F1610)</f>
        <v/>
      </c>
      <c r="N2657">
        <f>IF(OHW!$G1610="","",OHW!$G1610)</f>
        <v/>
      </c>
      <c r="O2657">
        <f>IF(OHW!$G1610="","",OHW!$I1610)</f>
        <v/>
      </c>
      <c r="P2657">
        <f>IF(OHW!$G1610="","","Final")</f>
        <v/>
      </c>
    </row>
    <row r="2658">
      <c r="A2658">
        <f>IF(OHW!$G1611="","","OHW")</f>
        <v/>
      </c>
      <c r="B2658">
        <f>IF(OHW!$G1611="","","OHW")</f>
        <v/>
      </c>
      <c r="C2658" s="18">
        <f>IF(OHW!$G1611="","",OHW!$A1611)</f>
        <v/>
      </c>
      <c r="F2658">
        <f>IF(OHW!$G1611="","",OHW!$B1611&amp;"")</f>
        <v/>
      </c>
      <c r="J2658">
        <f>IF(OHW!$G1611="","",OHW!$E1611)</f>
        <v/>
      </c>
      <c r="K2658">
        <f>IF(OHW!$G1611="","",COUNTIFS(OHW!$A$5:$A$1668,OHW!$A1611,OHW!$C$5:$C$1668,OHW!$C1611))</f>
        <v/>
      </c>
      <c r="L2658">
        <f>IF(OHW!$G1611="","",OHW!$D1611&amp;"")</f>
        <v/>
      </c>
      <c r="M2658">
        <f>IF(OHW!$G1611="","",OHW!$F1611)</f>
        <v/>
      </c>
      <c r="N2658">
        <f>IF(OHW!$G1611="","",OHW!$G1611)</f>
        <v/>
      </c>
      <c r="O2658">
        <f>IF(OHW!$G1611="","",OHW!$I1611)</f>
        <v/>
      </c>
      <c r="P2658">
        <f>IF(OHW!$G1611="","","Final")</f>
        <v/>
      </c>
    </row>
    <row r="2659">
      <c r="A2659">
        <f>IF(OHW!$G1612="","","OHW")</f>
        <v/>
      </c>
      <c r="B2659">
        <f>IF(OHW!$G1612="","","OHW")</f>
        <v/>
      </c>
      <c r="C2659" s="18">
        <f>IF(OHW!$G1612="","",OHW!$A1612)</f>
        <v/>
      </c>
      <c r="F2659">
        <f>IF(OHW!$G1612="","",OHW!$B1612&amp;"")</f>
        <v/>
      </c>
      <c r="J2659">
        <f>IF(OHW!$G1612="","",OHW!$E1612)</f>
        <v/>
      </c>
      <c r="K2659">
        <f>IF(OHW!$G1612="","",COUNTIFS(OHW!$A$5:$A$1668,OHW!$A1612,OHW!$C$5:$C$1668,OHW!$C1612))</f>
        <v/>
      </c>
      <c r="L2659">
        <f>IF(OHW!$G1612="","",OHW!$D1612&amp;"")</f>
        <v/>
      </c>
      <c r="M2659">
        <f>IF(OHW!$G1612="","",OHW!$F1612)</f>
        <v/>
      </c>
      <c r="N2659">
        <f>IF(OHW!$G1612="","",OHW!$G1612)</f>
        <v/>
      </c>
      <c r="O2659">
        <f>IF(OHW!$G1612="","",OHW!$I1612)</f>
        <v/>
      </c>
      <c r="P2659">
        <f>IF(OHW!$G1612="","","Final")</f>
        <v/>
      </c>
    </row>
    <row r="2660">
      <c r="A2660">
        <f>IF(OHW!$G1613="","","OHW")</f>
        <v/>
      </c>
      <c r="B2660">
        <f>IF(OHW!$G1613="","","OHW")</f>
        <v/>
      </c>
      <c r="C2660" s="18">
        <f>IF(OHW!$G1613="","",OHW!$A1613)</f>
        <v/>
      </c>
      <c r="F2660">
        <f>IF(OHW!$G1613="","",OHW!$B1613&amp;"")</f>
        <v/>
      </c>
      <c r="J2660">
        <f>IF(OHW!$G1613="","",OHW!$E1613)</f>
        <v/>
      </c>
      <c r="K2660">
        <f>IF(OHW!$G1613="","",COUNTIFS(OHW!$A$5:$A$1668,OHW!$A1613,OHW!$C$5:$C$1668,OHW!$C1613))</f>
        <v/>
      </c>
      <c r="L2660">
        <f>IF(OHW!$G1613="","",OHW!$D1613&amp;"")</f>
        <v/>
      </c>
      <c r="M2660">
        <f>IF(OHW!$G1613="","",OHW!$F1613)</f>
        <v/>
      </c>
      <c r="N2660">
        <f>IF(OHW!$G1613="","",OHW!$G1613)</f>
        <v/>
      </c>
      <c r="O2660">
        <f>IF(OHW!$G1613="","",OHW!$I1613)</f>
        <v/>
      </c>
      <c r="P2660">
        <f>IF(OHW!$G1613="","","Final")</f>
        <v/>
      </c>
    </row>
    <row r="2661">
      <c r="A2661">
        <f>IF(OHW!$G1614="","","OHW")</f>
        <v/>
      </c>
      <c r="B2661">
        <f>IF(OHW!$G1614="","","OHW")</f>
        <v/>
      </c>
      <c r="C2661" s="18">
        <f>IF(OHW!$G1614="","",OHW!$A1614)</f>
        <v/>
      </c>
      <c r="F2661">
        <f>IF(OHW!$G1614="","",OHW!$B1614&amp;"")</f>
        <v/>
      </c>
      <c r="J2661">
        <f>IF(OHW!$G1614="","",OHW!$E1614)</f>
        <v/>
      </c>
      <c r="K2661">
        <f>IF(OHW!$G1614="","",COUNTIFS(OHW!$A$5:$A$1668,OHW!$A1614,OHW!$C$5:$C$1668,OHW!$C1614))</f>
        <v/>
      </c>
      <c r="L2661">
        <f>IF(OHW!$G1614="","",OHW!$D1614&amp;"")</f>
        <v/>
      </c>
      <c r="M2661">
        <f>IF(OHW!$G1614="","",OHW!$F1614)</f>
        <v/>
      </c>
      <c r="N2661">
        <f>IF(OHW!$G1614="","",OHW!$G1614)</f>
        <v/>
      </c>
      <c r="O2661">
        <f>IF(OHW!$G1614="","",OHW!$I1614)</f>
        <v/>
      </c>
      <c r="P2661">
        <f>IF(OHW!$G1614="","","Final")</f>
        <v/>
      </c>
    </row>
    <row r="2662">
      <c r="A2662">
        <f>IF(OHW!$G1615="","","OHW")</f>
        <v/>
      </c>
      <c r="B2662">
        <f>IF(OHW!$G1615="","","OHW")</f>
        <v/>
      </c>
      <c r="C2662" s="18">
        <f>IF(OHW!$G1615="","",OHW!$A1615)</f>
        <v/>
      </c>
      <c r="F2662">
        <f>IF(OHW!$G1615="","",OHW!$B1615&amp;"")</f>
        <v/>
      </c>
      <c r="J2662">
        <f>IF(OHW!$G1615="","",OHW!$E1615)</f>
        <v/>
      </c>
      <c r="K2662">
        <f>IF(OHW!$G1615="","",COUNTIFS(OHW!$A$5:$A$1668,OHW!$A1615,OHW!$C$5:$C$1668,OHW!$C1615))</f>
        <v/>
      </c>
      <c r="L2662">
        <f>IF(OHW!$G1615="","",OHW!$D1615&amp;"")</f>
        <v/>
      </c>
      <c r="M2662">
        <f>IF(OHW!$G1615="","",OHW!$F1615)</f>
        <v/>
      </c>
      <c r="N2662">
        <f>IF(OHW!$G1615="","",OHW!$G1615)</f>
        <v/>
      </c>
      <c r="O2662">
        <f>IF(OHW!$G1615="","",OHW!$I1615)</f>
        <v/>
      </c>
      <c r="P2662">
        <f>IF(OHW!$G1615="","","Final")</f>
        <v/>
      </c>
    </row>
    <row r="2663">
      <c r="A2663">
        <f>IF(OHW!$G1616="","","OHW")</f>
        <v/>
      </c>
      <c r="B2663">
        <f>IF(OHW!$G1616="","","OHW")</f>
        <v/>
      </c>
      <c r="C2663" s="18">
        <f>IF(OHW!$G1616="","",OHW!$A1616)</f>
        <v/>
      </c>
      <c r="F2663">
        <f>IF(OHW!$G1616="","",OHW!$B1616&amp;"")</f>
        <v/>
      </c>
      <c r="J2663">
        <f>IF(OHW!$G1616="","",OHW!$E1616)</f>
        <v/>
      </c>
      <c r="K2663">
        <f>IF(OHW!$G1616="","",COUNTIFS(OHW!$A$5:$A$1668,OHW!$A1616,OHW!$C$5:$C$1668,OHW!$C1616))</f>
        <v/>
      </c>
      <c r="L2663">
        <f>IF(OHW!$G1616="","",OHW!$D1616&amp;"")</f>
        <v/>
      </c>
      <c r="M2663">
        <f>IF(OHW!$G1616="","",OHW!$F1616)</f>
        <v/>
      </c>
      <c r="N2663">
        <f>IF(OHW!$G1616="","",OHW!$G1616)</f>
        <v/>
      </c>
      <c r="O2663">
        <f>IF(OHW!$G1616="","",OHW!$I1616)</f>
        <v/>
      </c>
      <c r="P2663">
        <f>IF(OHW!$G1616="","","Final")</f>
        <v/>
      </c>
    </row>
    <row r="2664">
      <c r="A2664">
        <f>IF(OHW!$G1617="","","OHW")</f>
        <v/>
      </c>
      <c r="B2664">
        <f>IF(OHW!$G1617="","","OHW")</f>
        <v/>
      </c>
      <c r="C2664" s="18">
        <f>IF(OHW!$G1617="","",OHW!$A1617)</f>
        <v/>
      </c>
      <c r="F2664">
        <f>IF(OHW!$G1617="","",OHW!$B1617&amp;"")</f>
        <v/>
      </c>
      <c r="J2664">
        <f>IF(OHW!$G1617="","",OHW!$E1617)</f>
        <v/>
      </c>
      <c r="K2664">
        <f>IF(OHW!$G1617="","",COUNTIFS(OHW!$A$5:$A$1668,OHW!$A1617,OHW!$C$5:$C$1668,OHW!$C1617))</f>
        <v/>
      </c>
      <c r="L2664">
        <f>IF(OHW!$G1617="","",OHW!$D1617&amp;"")</f>
        <v/>
      </c>
      <c r="M2664">
        <f>IF(OHW!$G1617="","",OHW!$F1617)</f>
        <v/>
      </c>
      <c r="N2664">
        <f>IF(OHW!$G1617="","",OHW!$G1617)</f>
        <v/>
      </c>
      <c r="O2664">
        <f>IF(OHW!$G1617="","",OHW!$I1617)</f>
        <v/>
      </c>
      <c r="P2664">
        <f>IF(OHW!$G1617="","","Final")</f>
        <v/>
      </c>
    </row>
    <row r="2665">
      <c r="A2665">
        <f>IF(OHW!$G1618="","","OHW")</f>
        <v/>
      </c>
      <c r="B2665">
        <f>IF(OHW!$G1618="","","OHW")</f>
        <v/>
      </c>
      <c r="C2665" s="18">
        <f>IF(OHW!$G1618="","",OHW!$A1618)</f>
        <v/>
      </c>
      <c r="F2665">
        <f>IF(OHW!$G1618="","",OHW!$B1618&amp;"")</f>
        <v/>
      </c>
      <c r="J2665">
        <f>IF(OHW!$G1618="","",OHW!$E1618)</f>
        <v/>
      </c>
      <c r="K2665">
        <f>IF(OHW!$G1618="","",COUNTIFS(OHW!$A$5:$A$1668,OHW!$A1618,OHW!$C$5:$C$1668,OHW!$C1618))</f>
        <v/>
      </c>
      <c r="L2665">
        <f>IF(OHW!$G1618="","",OHW!$D1618&amp;"")</f>
        <v/>
      </c>
      <c r="M2665">
        <f>IF(OHW!$G1618="","",OHW!$F1618)</f>
        <v/>
      </c>
      <c r="N2665">
        <f>IF(OHW!$G1618="","",OHW!$G1618)</f>
        <v/>
      </c>
      <c r="O2665">
        <f>IF(OHW!$G1618="","",OHW!$I1618)</f>
        <v/>
      </c>
      <c r="P2665">
        <f>IF(OHW!$G1618="","","Final")</f>
        <v/>
      </c>
    </row>
    <row r="2666">
      <c r="A2666">
        <f>IF(OHW!$G1619="","","OHW")</f>
        <v/>
      </c>
      <c r="B2666">
        <f>IF(OHW!$G1619="","","OHW")</f>
        <v/>
      </c>
      <c r="C2666" s="18">
        <f>IF(OHW!$G1619="","",OHW!$A1619)</f>
        <v/>
      </c>
      <c r="F2666">
        <f>IF(OHW!$G1619="","",OHW!$B1619&amp;"")</f>
        <v/>
      </c>
      <c r="J2666">
        <f>IF(OHW!$G1619="","",OHW!$E1619)</f>
        <v/>
      </c>
      <c r="K2666">
        <f>IF(OHW!$G1619="","",COUNTIFS(OHW!$A$5:$A$1668,OHW!$A1619,OHW!$C$5:$C$1668,OHW!$C1619))</f>
        <v/>
      </c>
      <c r="L2666">
        <f>IF(OHW!$G1619="","",OHW!$D1619&amp;"")</f>
        <v/>
      </c>
      <c r="M2666">
        <f>IF(OHW!$G1619="","",OHW!$F1619)</f>
        <v/>
      </c>
      <c r="N2666">
        <f>IF(OHW!$G1619="","",OHW!$G1619)</f>
        <v/>
      </c>
      <c r="O2666">
        <f>IF(OHW!$G1619="","",OHW!$I1619)</f>
        <v/>
      </c>
      <c r="P2666">
        <f>IF(OHW!$G1619="","","Final")</f>
        <v/>
      </c>
    </row>
    <row r="2667">
      <c r="A2667">
        <f>IF(OHW!$G1620="","","OHW")</f>
        <v/>
      </c>
      <c r="B2667">
        <f>IF(OHW!$G1620="","","OHW")</f>
        <v/>
      </c>
      <c r="C2667" s="18">
        <f>IF(OHW!$G1620="","",OHW!$A1620)</f>
        <v/>
      </c>
      <c r="F2667">
        <f>IF(OHW!$G1620="","",OHW!$B1620&amp;"")</f>
        <v/>
      </c>
      <c r="J2667">
        <f>IF(OHW!$G1620="","",OHW!$E1620)</f>
        <v/>
      </c>
      <c r="K2667">
        <f>IF(OHW!$G1620="","",COUNTIFS(OHW!$A$5:$A$1668,OHW!$A1620,OHW!$C$5:$C$1668,OHW!$C1620))</f>
        <v/>
      </c>
      <c r="L2667">
        <f>IF(OHW!$G1620="","",OHW!$D1620&amp;"")</f>
        <v/>
      </c>
      <c r="M2667">
        <f>IF(OHW!$G1620="","",OHW!$F1620)</f>
        <v/>
      </c>
      <c r="N2667">
        <f>IF(OHW!$G1620="","",OHW!$G1620)</f>
        <v/>
      </c>
      <c r="O2667">
        <f>IF(OHW!$G1620="","",OHW!$I1620)</f>
        <v/>
      </c>
      <c r="P2667">
        <f>IF(OHW!$G1620="","","Final")</f>
        <v/>
      </c>
    </row>
    <row r="2668">
      <c r="A2668">
        <f>IF(OHW!$G1621="","","OHW")</f>
        <v/>
      </c>
      <c r="B2668">
        <f>IF(OHW!$G1621="","","OHW")</f>
        <v/>
      </c>
      <c r="C2668" s="18">
        <f>IF(OHW!$G1621="","",OHW!$A1621)</f>
        <v/>
      </c>
      <c r="F2668">
        <f>IF(OHW!$G1621="","",OHW!$B1621&amp;"")</f>
        <v/>
      </c>
      <c r="J2668">
        <f>IF(OHW!$G1621="","",OHW!$E1621)</f>
        <v/>
      </c>
      <c r="K2668">
        <f>IF(OHW!$G1621="","",COUNTIFS(OHW!$A$5:$A$1668,OHW!$A1621,OHW!$C$5:$C$1668,OHW!$C1621))</f>
        <v/>
      </c>
      <c r="L2668">
        <f>IF(OHW!$G1621="","",OHW!$D1621&amp;"")</f>
        <v/>
      </c>
      <c r="M2668">
        <f>IF(OHW!$G1621="","",OHW!$F1621)</f>
        <v/>
      </c>
      <c r="N2668">
        <f>IF(OHW!$G1621="","",OHW!$G1621)</f>
        <v/>
      </c>
      <c r="O2668">
        <f>IF(OHW!$G1621="","",OHW!$I1621)</f>
        <v/>
      </c>
      <c r="P2668">
        <f>IF(OHW!$G1621="","","Final")</f>
        <v/>
      </c>
    </row>
    <row r="2669">
      <c r="A2669">
        <f>IF(OHW!$G1622="","","OHW")</f>
        <v/>
      </c>
      <c r="B2669">
        <f>IF(OHW!$G1622="","","OHW")</f>
        <v/>
      </c>
      <c r="C2669" s="18">
        <f>IF(OHW!$G1622="","",OHW!$A1622)</f>
        <v/>
      </c>
      <c r="F2669">
        <f>IF(OHW!$G1622="","",OHW!$B1622&amp;"")</f>
        <v/>
      </c>
      <c r="J2669">
        <f>IF(OHW!$G1622="","",OHW!$E1622)</f>
        <v/>
      </c>
      <c r="K2669">
        <f>IF(OHW!$G1622="","",COUNTIFS(OHW!$A$5:$A$1668,OHW!$A1622,OHW!$C$5:$C$1668,OHW!$C1622))</f>
        <v/>
      </c>
      <c r="L2669">
        <f>IF(OHW!$G1622="","",OHW!$D1622&amp;"")</f>
        <v/>
      </c>
      <c r="M2669">
        <f>IF(OHW!$G1622="","",OHW!$F1622)</f>
        <v/>
      </c>
      <c r="N2669">
        <f>IF(OHW!$G1622="","",OHW!$G1622)</f>
        <v/>
      </c>
      <c r="O2669">
        <f>IF(OHW!$G1622="","",OHW!$I1622)</f>
        <v/>
      </c>
      <c r="P2669">
        <f>IF(OHW!$G1622="","","Final")</f>
        <v/>
      </c>
    </row>
    <row r="2670">
      <c r="A2670">
        <f>IF(OHW!$G1623="","","OHW")</f>
        <v/>
      </c>
      <c r="B2670">
        <f>IF(OHW!$G1623="","","OHW")</f>
        <v/>
      </c>
      <c r="C2670" s="18">
        <f>IF(OHW!$G1623="","",OHW!$A1623)</f>
        <v/>
      </c>
      <c r="F2670">
        <f>IF(OHW!$G1623="","",OHW!$B1623&amp;"")</f>
        <v/>
      </c>
      <c r="J2670">
        <f>IF(OHW!$G1623="","",OHW!$E1623)</f>
        <v/>
      </c>
      <c r="K2670">
        <f>IF(OHW!$G1623="","",COUNTIFS(OHW!$A$5:$A$1668,OHW!$A1623,OHW!$C$5:$C$1668,OHW!$C1623))</f>
        <v/>
      </c>
      <c r="L2670">
        <f>IF(OHW!$G1623="","",OHW!$D1623&amp;"")</f>
        <v/>
      </c>
      <c r="M2670">
        <f>IF(OHW!$G1623="","",OHW!$F1623)</f>
        <v/>
      </c>
      <c r="N2670">
        <f>IF(OHW!$G1623="","",OHW!$G1623)</f>
        <v/>
      </c>
      <c r="O2670">
        <f>IF(OHW!$G1623="","",OHW!$I1623)</f>
        <v/>
      </c>
      <c r="P2670">
        <f>IF(OHW!$G1623="","","Final")</f>
        <v/>
      </c>
    </row>
    <row r="2671">
      <c r="A2671">
        <f>IF(OHW!$G1624="","","OHW")</f>
        <v/>
      </c>
      <c r="B2671">
        <f>IF(OHW!$G1624="","","OHW")</f>
        <v/>
      </c>
      <c r="C2671" s="18">
        <f>IF(OHW!$G1624="","",OHW!$A1624)</f>
        <v/>
      </c>
      <c r="F2671">
        <f>IF(OHW!$G1624="","",OHW!$B1624&amp;"")</f>
        <v/>
      </c>
      <c r="J2671">
        <f>IF(OHW!$G1624="","",OHW!$E1624)</f>
        <v/>
      </c>
      <c r="K2671">
        <f>IF(OHW!$G1624="","",COUNTIFS(OHW!$A$5:$A$1668,OHW!$A1624,OHW!$C$5:$C$1668,OHW!$C1624))</f>
        <v/>
      </c>
      <c r="L2671">
        <f>IF(OHW!$G1624="","",OHW!$D1624&amp;"")</f>
        <v/>
      </c>
      <c r="M2671">
        <f>IF(OHW!$G1624="","",OHW!$F1624)</f>
        <v/>
      </c>
      <c r="N2671">
        <f>IF(OHW!$G1624="","",OHW!$G1624)</f>
        <v/>
      </c>
      <c r="O2671">
        <f>IF(OHW!$G1624="","",OHW!$I1624)</f>
        <v/>
      </c>
      <c r="P2671">
        <f>IF(OHW!$G1624="","","Final")</f>
        <v/>
      </c>
    </row>
    <row r="2672">
      <c r="A2672">
        <f>IF(OHW!$G1625="","","OHW")</f>
        <v/>
      </c>
      <c r="B2672">
        <f>IF(OHW!$G1625="","","OHW")</f>
        <v/>
      </c>
      <c r="C2672" s="18">
        <f>IF(OHW!$G1625="","",OHW!$A1625)</f>
        <v/>
      </c>
      <c r="F2672">
        <f>IF(OHW!$G1625="","",OHW!$B1625&amp;"")</f>
        <v/>
      </c>
      <c r="J2672">
        <f>IF(OHW!$G1625="","",OHW!$E1625)</f>
        <v/>
      </c>
      <c r="K2672">
        <f>IF(OHW!$G1625="","",COUNTIFS(OHW!$A$5:$A$1668,OHW!$A1625,OHW!$C$5:$C$1668,OHW!$C1625))</f>
        <v/>
      </c>
      <c r="L2672">
        <f>IF(OHW!$G1625="","",OHW!$D1625&amp;"")</f>
        <v/>
      </c>
      <c r="M2672">
        <f>IF(OHW!$G1625="","",OHW!$F1625)</f>
        <v/>
      </c>
      <c r="N2672">
        <f>IF(OHW!$G1625="","",OHW!$G1625)</f>
        <v/>
      </c>
      <c r="O2672">
        <f>IF(OHW!$G1625="","",OHW!$I1625)</f>
        <v/>
      </c>
      <c r="P2672">
        <f>IF(OHW!$G1625="","","Final")</f>
        <v/>
      </c>
    </row>
    <row r="2673">
      <c r="A2673">
        <f>IF(OHW!$G1626="","","OHW")</f>
        <v/>
      </c>
      <c r="B2673">
        <f>IF(OHW!$G1626="","","OHW")</f>
        <v/>
      </c>
      <c r="C2673" s="18">
        <f>IF(OHW!$G1626="","",OHW!$A1626)</f>
        <v/>
      </c>
      <c r="F2673">
        <f>IF(OHW!$G1626="","",OHW!$B1626&amp;"")</f>
        <v/>
      </c>
      <c r="J2673">
        <f>IF(OHW!$G1626="","",OHW!$E1626)</f>
        <v/>
      </c>
      <c r="K2673">
        <f>IF(OHW!$G1626="","",COUNTIFS(OHW!$A$5:$A$1668,OHW!$A1626,OHW!$C$5:$C$1668,OHW!$C1626))</f>
        <v/>
      </c>
      <c r="L2673">
        <f>IF(OHW!$G1626="","",OHW!$D1626&amp;"")</f>
        <v/>
      </c>
      <c r="M2673">
        <f>IF(OHW!$G1626="","",OHW!$F1626)</f>
        <v/>
      </c>
      <c r="N2673">
        <f>IF(OHW!$G1626="","",OHW!$G1626)</f>
        <v/>
      </c>
      <c r="O2673">
        <f>IF(OHW!$G1626="","",OHW!$I1626)</f>
        <v/>
      </c>
      <c r="P2673">
        <f>IF(OHW!$G1626="","","Final")</f>
        <v/>
      </c>
    </row>
    <row r="2674">
      <c r="A2674">
        <f>IF(OHW!$G1627="","","OHW")</f>
        <v/>
      </c>
      <c r="B2674">
        <f>IF(OHW!$G1627="","","OHW")</f>
        <v/>
      </c>
      <c r="C2674" s="18">
        <f>IF(OHW!$G1627="","",OHW!$A1627)</f>
        <v/>
      </c>
      <c r="F2674">
        <f>IF(OHW!$G1627="","",OHW!$B1627&amp;"")</f>
        <v/>
      </c>
      <c r="J2674">
        <f>IF(OHW!$G1627="","",OHW!$E1627)</f>
        <v/>
      </c>
      <c r="K2674">
        <f>IF(OHW!$G1627="","",COUNTIFS(OHW!$A$5:$A$1668,OHW!$A1627,OHW!$C$5:$C$1668,OHW!$C1627))</f>
        <v/>
      </c>
      <c r="L2674">
        <f>IF(OHW!$G1627="","",OHW!$D1627&amp;"")</f>
        <v/>
      </c>
      <c r="M2674">
        <f>IF(OHW!$G1627="","",OHW!$F1627)</f>
        <v/>
      </c>
      <c r="N2674">
        <f>IF(OHW!$G1627="","",OHW!$G1627)</f>
        <v/>
      </c>
      <c r="O2674">
        <f>IF(OHW!$G1627="","",OHW!$I1627)</f>
        <v/>
      </c>
      <c r="P2674">
        <f>IF(OHW!$G1627="","","Final")</f>
        <v/>
      </c>
    </row>
    <row r="2675">
      <c r="A2675">
        <f>IF(OHW!$G1628="","","OHW")</f>
        <v/>
      </c>
      <c r="B2675">
        <f>IF(OHW!$G1628="","","OHW")</f>
        <v/>
      </c>
      <c r="C2675" s="18">
        <f>IF(OHW!$G1628="","",OHW!$A1628)</f>
        <v/>
      </c>
      <c r="F2675">
        <f>IF(OHW!$G1628="","",OHW!$B1628&amp;"")</f>
        <v/>
      </c>
      <c r="J2675">
        <f>IF(OHW!$G1628="","",OHW!$E1628)</f>
        <v/>
      </c>
      <c r="K2675">
        <f>IF(OHW!$G1628="","",COUNTIFS(OHW!$A$5:$A$1668,OHW!$A1628,OHW!$C$5:$C$1668,OHW!$C1628))</f>
        <v/>
      </c>
      <c r="L2675">
        <f>IF(OHW!$G1628="","",OHW!$D1628&amp;"")</f>
        <v/>
      </c>
      <c r="M2675">
        <f>IF(OHW!$G1628="","",OHW!$F1628)</f>
        <v/>
      </c>
      <c r="N2675">
        <f>IF(OHW!$G1628="","",OHW!$G1628)</f>
        <v/>
      </c>
      <c r="O2675">
        <f>IF(OHW!$G1628="","",OHW!$I1628)</f>
        <v/>
      </c>
      <c r="P2675">
        <f>IF(OHW!$G1628="","","Final")</f>
        <v/>
      </c>
    </row>
    <row r="2676">
      <c r="A2676">
        <f>IF(OHW!$G1629="","","OHW")</f>
        <v/>
      </c>
      <c r="B2676">
        <f>IF(OHW!$G1629="","","OHW")</f>
        <v/>
      </c>
      <c r="C2676" s="18">
        <f>IF(OHW!$G1629="","",OHW!$A1629)</f>
        <v/>
      </c>
      <c r="F2676">
        <f>IF(OHW!$G1629="","",OHW!$B1629&amp;"")</f>
        <v/>
      </c>
      <c r="J2676">
        <f>IF(OHW!$G1629="","",OHW!$E1629)</f>
        <v/>
      </c>
      <c r="K2676">
        <f>IF(OHW!$G1629="","",COUNTIFS(OHW!$A$5:$A$1668,OHW!$A1629,OHW!$C$5:$C$1668,OHW!$C1629))</f>
        <v/>
      </c>
      <c r="L2676">
        <f>IF(OHW!$G1629="","",OHW!$D1629&amp;"")</f>
        <v/>
      </c>
      <c r="M2676">
        <f>IF(OHW!$G1629="","",OHW!$F1629)</f>
        <v/>
      </c>
      <c r="N2676">
        <f>IF(OHW!$G1629="","",OHW!$G1629)</f>
        <v/>
      </c>
      <c r="O2676">
        <f>IF(OHW!$G1629="","",OHW!$I1629)</f>
        <v/>
      </c>
      <c r="P2676">
        <f>IF(OHW!$G1629="","","Final")</f>
        <v/>
      </c>
    </row>
    <row r="2677">
      <c r="A2677">
        <f>IF(OHW!$G1630="","","OHW")</f>
        <v/>
      </c>
      <c r="B2677">
        <f>IF(OHW!$G1630="","","OHW")</f>
        <v/>
      </c>
      <c r="C2677" s="18">
        <f>IF(OHW!$G1630="","",OHW!$A1630)</f>
        <v/>
      </c>
      <c r="F2677">
        <f>IF(OHW!$G1630="","",OHW!$B1630&amp;"")</f>
        <v/>
      </c>
      <c r="J2677">
        <f>IF(OHW!$G1630="","",OHW!$E1630)</f>
        <v/>
      </c>
      <c r="K2677">
        <f>IF(OHW!$G1630="","",COUNTIFS(OHW!$A$5:$A$1668,OHW!$A1630,OHW!$C$5:$C$1668,OHW!$C1630))</f>
        <v/>
      </c>
      <c r="L2677">
        <f>IF(OHW!$G1630="","",OHW!$D1630&amp;"")</f>
        <v/>
      </c>
      <c r="M2677">
        <f>IF(OHW!$G1630="","",OHW!$F1630)</f>
        <v/>
      </c>
      <c r="N2677">
        <f>IF(OHW!$G1630="","",OHW!$G1630)</f>
        <v/>
      </c>
      <c r="O2677">
        <f>IF(OHW!$G1630="","",OHW!$I1630)</f>
        <v/>
      </c>
      <c r="P2677">
        <f>IF(OHW!$G1630="","","Final")</f>
        <v/>
      </c>
    </row>
    <row r="2678">
      <c r="A2678">
        <f>IF(OHW!$G1631="","","OHW")</f>
        <v/>
      </c>
      <c r="B2678">
        <f>IF(OHW!$G1631="","","OHW")</f>
        <v/>
      </c>
      <c r="C2678" s="18">
        <f>IF(OHW!$G1631="","",OHW!$A1631)</f>
        <v/>
      </c>
      <c r="F2678">
        <f>IF(OHW!$G1631="","",OHW!$B1631&amp;"")</f>
        <v/>
      </c>
      <c r="J2678">
        <f>IF(OHW!$G1631="","",OHW!$E1631)</f>
        <v/>
      </c>
      <c r="K2678">
        <f>IF(OHW!$G1631="","",COUNTIFS(OHW!$A$5:$A$1668,OHW!$A1631,OHW!$C$5:$C$1668,OHW!$C1631))</f>
        <v/>
      </c>
      <c r="L2678">
        <f>IF(OHW!$G1631="","",OHW!$D1631&amp;"")</f>
        <v/>
      </c>
      <c r="M2678">
        <f>IF(OHW!$G1631="","",OHW!$F1631)</f>
        <v/>
      </c>
      <c r="N2678">
        <f>IF(OHW!$G1631="","",OHW!$G1631)</f>
        <v/>
      </c>
      <c r="O2678">
        <f>IF(OHW!$G1631="","",OHW!$I1631)</f>
        <v/>
      </c>
      <c r="P2678">
        <f>IF(OHW!$G1631="","","Final")</f>
        <v/>
      </c>
    </row>
    <row r="2679">
      <c r="A2679">
        <f>IF(OHW!$G1632="","","OHW")</f>
        <v/>
      </c>
      <c r="B2679">
        <f>IF(OHW!$G1632="","","OHW")</f>
        <v/>
      </c>
      <c r="C2679" s="18">
        <f>IF(OHW!$G1632="","",OHW!$A1632)</f>
        <v/>
      </c>
      <c r="F2679">
        <f>IF(OHW!$G1632="","",OHW!$B1632&amp;"")</f>
        <v/>
      </c>
      <c r="J2679">
        <f>IF(OHW!$G1632="","",OHW!$E1632)</f>
        <v/>
      </c>
      <c r="K2679">
        <f>IF(OHW!$G1632="","",COUNTIFS(OHW!$A$5:$A$1668,OHW!$A1632,OHW!$C$5:$C$1668,OHW!$C1632))</f>
        <v/>
      </c>
      <c r="L2679">
        <f>IF(OHW!$G1632="","",OHW!$D1632&amp;"")</f>
        <v/>
      </c>
      <c r="M2679">
        <f>IF(OHW!$G1632="","",OHW!$F1632)</f>
        <v/>
      </c>
      <c r="N2679">
        <f>IF(OHW!$G1632="","",OHW!$G1632)</f>
        <v/>
      </c>
      <c r="O2679">
        <f>IF(OHW!$G1632="","",OHW!$I1632)</f>
        <v/>
      </c>
      <c r="P2679">
        <f>IF(OHW!$G1632="","","Final")</f>
        <v/>
      </c>
    </row>
    <row r="2680">
      <c r="A2680">
        <f>IF(OHW!$G1633="","","OHW")</f>
        <v/>
      </c>
      <c r="B2680">
        <f>IF(OHW!$G1633="","","OHW")</f>
        <v/>
      </c>
      <c r="C2680" s="18">
        <f>IF(OHW!$G1633="","",OHW!$A1633)</f>
        <v/>
      </c>
      <c r="F2680">
        <f>IF(OHW!$G1633="","",OHW!$B1633&amp;"")</f>
        <v/>
      </c>
      <c r="J2680">
        <f>IF(OHW!$G1633="","",OHW!$E1633)</f>
        <v/>
      </c>
      <c r="K2680">
        <f>IF(OHW!$G1633="","",COUNTIFS(OHW!$A$5:$A$1668,OHW!$A1633,OHW!$C$5:$C$1668,OHW!$C1633))</f>
        <v/>
      </c>
      <c r="L2680">
        <f>IF(OHW!$G1633="","",OHW!$D1633&amp;"")</f>
        <v/>
      </c>
      <c r="M2680">
        <f>IF(OHW!$G1633="","",OHW!$F1633)</f>
        <v/>
      </c>
      <c r="N2680">
        <f>IF(OHW!$G1633="","",OHW!$G1633)</f>
        <v/>
      </c>
      <c r="O2680">
        <f>IF(OHW!$G1633="","",OHW!$I1633)</f>
        <v/>
      </c>
      <c r="P2680">
        <f>IF(OHW!$G1633="","","Final")</f>
        <v/>
      </c>
    </row>
    <row r="2681">
      <c r="A2681">
        <f>IF(OHW!$G1634="","","OHW")</f>
        <v/>
      </c>
      <c r="B2681">
        <f>IF(OHW!$G1634="","","OHW")</f>
        <v/>
      </c>
      <c r="C2681" s="18">
        <f>IF(OHW!$G1634="","",OHW!$A1634)</f>
        <v/>
      </c>
      <c r="F2681">
        <f>IF(OHW!$G1634="","",OHW!$B1634&amp;"")</f>
        <v/>
      </c>
      <c r="J2681">
        <f>IF(OHW!$G1634="","",OHW!$E1634)</f>
        <v/>
      </c>
      <c r="K2681">
        <f>IF(OHW!$G1634="","",COUNTIFS(OHW!$A$5:$A$1668,OHW!$A1634,OHW!$C$5:$C$1668,OHW!$C1634))</f>
        <v/>
      </c>
      <c r="L2681">
        <f>IF(OHW!$G1634="","",OHW!$D1634&amp;"")</f>
        <v/>
      </c>
      <c r="M2681">
        <f>IF(OHW!$G1634="","",OHW!$F1634)</f>
        <v/>
      </c>
      <c r="N2681">
        <f>IF(OHW!$G1634="","",OHW!$G1634)</f>
        <v/>
      </c>
      <c r="O2681">
        <f>IF(OHW!$G1634="","",OHW!$I1634)</f>
        <v/>
      </c>
      <c r="P2681">
        <f>IF(OHW!$G1634="","","Final")</f>
        <v/>
      </c>
    </row>
    <row r="2682">
      <c r="A2682">
        <f>IF(OHW!$G1635="","","OHW")</f>
        <v/>
      </c>
      <c r="B2682">
        <f>IF(OHW!$G1635="","","OHW")</f>
        <v/>
      </c>
      <c r="C2682" s="18">
        <f>IF(OHW!$G1635="","",OHW!$A1635)</f>
        <v/>
      </c>
      <c r="F2682">
        <f>IF(OHW!$G1635="","",OHW!$B1635&amp;"")</f>
        <v/>
      </c>
      <c r="J2682">
        <f>IF(OHW!$G1635="","",OHW!$E1635)</f>
        <v/>
      </c>
      <c r="K2682">
        <f>IF(OHW!$G1635="","",COUNTIFS(OHW!$A$5:$A$1668,OHW!$A1635,OHW!$C$5:$C$1668,OHW!$C1635))</f>
        <v/>
      </c>
      <c r="L2682">
        <f>IF(OHW!$G1635="","",OHW!$D1635&amp;"")</f>
        <v/>
      </c>
      <c r="M2682">
        <f>IF(OHW!$G1635="","",OHW!$F1635)</f>
        <v/>
      </c>
      <c r="N2682">
        <f>IF(OHW!$G1635="","",OHW!$G1635)</f>
        <v/>
      </c>
      <c r="O2682">
        <f>IF(OHW!$G1635="","",OHW!$I1635)</f>
        <v/>
      </c>
      <c r="P2682">
        <f>IF(OHW!$G1635="","","Final")</f>
        <v/>
      </c>
    </row>
    <row r="2683">
      <c r="A2683">
        <f>IF(OHW!$G1636="","","OHW")</f>
        <v/>
      </c>
      <c r="B2683">
        <f>IF(OHW!$G1636="","","OHW")</f>
        <v/>
      </c>
      <c r="C2683" s="18">
        <f>IF(OHW!$G1636="","",OHW!$A1636)</f>
        <v/>
      </c>
      <c r="F2683">
        <f>IF(OHW!$G1636="","",OHW!$B1636&amp;"")</f>
        <v/>
      </c>
      <c r="J2683">
        <f>IF(OHW!$G1636="","",OHW!$E1636)</f>
        <v/>
      </c>
      <c r="K2683">
        <f>IF(OHW!$G1636="","",COUNTIFS(OHW!$A$5:$A$1668,OHW!$A1636,OHW!$C$5:$C$1668,OHW!$C1636))</f>
        <v/>
      </c>
      <c r="L2683">
        <f>IF(OHW!$G1636="","",OHW!$D1636&amp;"")</f>
        <v/>
      </c>
      <c r="M2683">
        <f>IF(OHW!$G1636="","",OHW!$F1636)</f>
        <v/>
      </c>
      <c r="N2683">
        <f>IF(OHW!$G1636="","",OHW!$G1636)</f>
        <v/>
      </c>
      <c r="O2683">
        <f>IF(OHW!$G1636="","",OHW!$I1636)</f>
        <v/>
      </c>
      <c r="P2683">
        <f>IF(OHW!$G1636="","","Final")</f>
        <v/>
      </c>
    </row>
    <row r="2684">
      <c r="A2684">
        <f>IF(OHW!$G1637="","","OHW")</f>
        <v/>
      </c>
      <c r="B2684">
        <f>IF(OHW!$G1637="","","OHW")</f>
        <v/>
      </c>
      <c r="C2684" s="18">
        <f>IF(OHW!$G1637="","",OHW!$A1637)</f>
        <v/>
      </c>
      <c r="F2684">
        <f>IF(OHW!$G1637="","",OHW!$B1637&amp;"")</f>
        <v/>
      </c>
      <c r="J2684">
        <f>IF(OHW!$G1637="","",OHW!$E1637)</f>
        <v/>
      </c>
      <c r="K2684">
        <f>IF(OHW!$G1637="","",COUNTIFS(OHW!$A$5:$A$1668,OHW!$A1637,OHW!$C$5:$C$1668,OHW!$C1637))</f>
        <v/>
      </c>
      <c r="L2684">
        <f>IF(OHW!$G1637="","",OHW!$D1637&amp;"")</f>
        <v/>
      </c>
      <c r="M2684">
        <f>IF(OHW!$G1637="","",OHW!$F1637)</f>
        <v/>
      </c>
      <c r="N2684">
        <f>IF(OHW!$G1637="","",OHW!$G1637)</f>
        <v/>
      </c>
      <c r="O2684">
        <f>IF(OHW!$G1637="","",OHW!$I1637)</f>
        <v/>
      </c>
      <c r="P2684">
        <f>IF(OHW!$G1637="","","Final")</f>
        <v/>
      </c>
    </row>
    <row r="2685">
      <c r="A2685">
        <f>IF(OHW!$G1638="","","OHW")</f>
        <v/>
      </c>
      <c r="B2685">
        <f>IF(OHW!$G1638="","","OHW")</f>
        <v/>
      </c>
      <c r="C2685" s="18">
        <f>IF(OHW!$G1638="","",OHW!$A1638)</f>
        <v/>
      </c>
      <c r="F2685">
        <f>IF(OHW!$G1638="","",OHW!$B1638&amp;"")</f>
        <v/>
      </c>
      <c r="J2685">
        <f>IF(OHW!$G1638="","",OHW!$E1638)</f>
        <v/>
      </c>
      <c r="K2685">
        <f>IF(OHW!$G1638="","",COUNTIFS(OHW!$A$5:$A$1668,OHW!$A1638,OHW!$C$5:$C$1668,OHW!$C1638))</f>
        <v/>
      </c>
      <c r="L2685">
        <f>IF(OHW!$G1638="","",OHW!$D1638&amp;"")</f>
        <v/>
      </c>
      <c r="M2685">
        <f>IF(OHW!$G1638="","",OHW!$F1638)</f>
        <v/>
      </c>
      <c r="N2685">
        <f>IF(OHW!$G1638="","",OHW!$G1638)</f>
        <v/>
      </c>
      <c r="O2685">
        <f>IF(OHW!$G1638="","",OHW!$I1638)</f>
        <v/>
      </c>
      <c r="P2685">
        <f>IF(OHW!$G1638="","","Final")</f>
        <v/>
      </c>
    </row>
    <row r="2686">
      <c r="A2686">
        <f>IF(OHW!$G1639="","","OHW")</f>
        <v/>
      </c>
      <c r="B2686">
        <f>IF(OHW!$G1639="","","OHW")</f>
        <v/>
      </c>
      <c r="C2686" s="18">
        <f>IF(OHW!$G1639="","",OHW!$A1639)</f>
        <v/>
      </c>
      <c r="F2686">
        <f>IF(OHW!$G1639="","",OHW!$B1639&amp;"")</f>
        <v/>
      </c>
      <c r="J2686">
        <f>IF(OHW!$G1639="","",OHW!$E1639)</f>
        <v/>
      </c>
      <c r="K2686">
        <f>IF(OHW!$G1639="","",COUNTIFS(OHW!$A$5:$A$1668,OHW!$A1639,OHW!$C$5:$C$1668,OHW!$C1639))</f>
        <v/>
      </c>
      <c r="L2686">
        <f>IF(OHW!$G1639="","",OHW!$D1639&amp;"")</f>
        <v/>
      </c>
      <c r="M2686">
        <f>IF(OHW!$G1639="","",OHW!$F1639)</f>
        <v/>
      </c>
      <c r="N2686">
        <f>IF(OHW!$G1639="","",OHW!$G1639)</f>
        <v/>
      </c>
      <c r="O2686">
        <f>IF(OHW!$G1639="","",OHW!$I1639)</f>
        <v/>
      </c>
      <c r="P2686">
        <f>IF(OHW!$G1639="","","Final")</f>
        <v/>
      </c>
    </row>
    <row r="2687">
      <c r="A2687">
        <f>IF(OHW!$G1640="","","OHW")</f>
        <v/>
      </c>
      <c r="B2687">
        <f>IF(OHW!$G1640="","","OHW")</f>
        <v/>
      </c>
      <c r="C2687" s="18">
        <f>IF(OHW!$G1640="","",OHW!$A1640)</f>
        <v/>
      </c>
      <c r="F2687">
        <f>IF(OHW!$G1640="","",OHW!$B1640&amp;"")</f>
        <v/>
      </c>
      <c r="J2687">
        <f>IF(OHW!$G1640="","",OHW!$E1640)</f>
        <v/>
      </c>
      <c r="K2687">
        <f>IF(OHW!$G1640="","",COUNTIFS(OHW!$A$5:$A$1668,OHW!$A1640,OHW!$C$5:$C$1668,OHW!$C1640))</f>
        <v/>
      </c>
      <c r="L2687">
        <f>IF(OHW!$G1640="","",OHW!$D1640&amp;"")</f>
        <v/>
      </c>
      <c r="M2687">
        <f>IF(OHW!$G1640="","",OHW!$F1640)</f>
        <v/>
      </c>
      <c r="N2687">
        <f>IF(OHW!$G1640="","",OHW!$G1640)</f>
        <v/>
      </c>
      <c r="O2687">
        <f>IF(OHW!$G1640="","",OHW!$I1640)</f>
        <v/>
      </c>
      <c r="P2687">
        <f>IF(OHW!$G1640="","","Final")</f>
        <v/>
      </c>
    </row>
    <row r="2688">
      <c r="A2688">
        <f>IF(OHW!$G1641="","","OHW")</f>
        <v/>
      </c>
      <c r="B2688">
        <f>IF(OHW!$G1641="","","OHW")</f>
        <v/>
      </c>
      <c r="C2688" s="18">
        <f>IF(OHW!$G1641="","",OHW!$A1641)</f>
        <v/>
      </c>
      <c r="F2688">
        <f>IF(OHW!$G1641="","",OHW!$B1641&amp;"")</f>
        <v/>
      </c>
      <c r="J2688">
        <f>IF(OHW!$G1641="","",OHW!$E1641)</f>
        <v/>
      </c>
      <c r="K2688">
        <f>IF(OHW!$G1641="","",COUNTIFS(OHW!$A$5:$A$1668,OHW!$A1641,OHW!$C$5:$C$1668,OHW!$C1641))</f>
        <v/>
      </c>
      <c r="L2688">
        <f>IF(OHW!$G1641="","",OHW!$D1641&amp;"")</f>
        <v/>
      </c>
      <c r="M2688">
        <f>IF(OHW!$G1641="","",OHW!$F1641)</f>
        <v/>
      </c>
      <c r="N2688">
        <f>IF(OHW!$G1641="","",OHW!$G1641)</f>
        <v/>
      </c>
      <c r="O2688">
        <f>IF(OHW!$G1641="","",OHW!$I1641)</f>
        <v/>
      </c>
      <c r="P2688">
        <f>IF(OHW!$G1641="","","Final")</f>
        <v/>
      </c>
    </row>
    <row r="2689">
      <c r="A2689">
        <f>IF(OHW!$G1642="","","OHW")</f>
        <v/>
      </c>
      <c r="B2689">
        <f>IF(OHW!$G1642="","","OHW")</f>
        <v/>
      </c>
      <c r="C2689" s="18">
        <f>IF(OHW!$G1642="","",OHW!$A1642)</f>
        <v/>
      </c>
      <c r="F2689">
        <f>IF(OHW!$G1642="","",OHW!$B1642&amp;"")</f>
        <v/>
      </c>
      <c r="J2689">
        <f>IF(OHW!$G1642="","",OHW!$E1642)</f>
        <v/>
      </c>
      <c r="K2689">
        <f>IF(OHW!$G1642="","",COUNTIFS(OHW!$A$5:$A$1668,OHW!$A1642,OHW!$C$5:$C$1668,OHW!$C1642))</f>
        <v/>
      </c>
      <c r="L2689">
        <f>IF(OHW!$G1642="","",OHW!$D1642&amp;"")</f>
        <v/>
      </c>
      <c r="M2689">
        <f>IF(OHW!$G1642="","",OHW!$F1642)</f>
        <v/>
      </c>
      <c r="N2689">
        <f>IF(OHW!$G1642="","",OHW!$G1642)</f>
        <v/>
      </c>
      <c r="O2689">
        <f>IF(OHW!$G1642="","",OHW!$I1642)</f>
        <v/>
      </c>
      <c r="P2689">
        <f>IF(OHW!$G1642="","","Final")</f>
        <v/>
      </c>
    </row>
    <row r="2690">
      <c r="A2690">
        <f>IF(OHW!$G1643="","","OHW")</f>
        <v/>
      </c>
      <c r="B2690">
        <f>IF(OHW!$G1643="","","OHW")</f>
        <v/>
      </c>
      <c r="C2690" s="18">
        <f>IF(OHW!$G1643="","",OHW!$A1643)</f>
        <v/>
      </c>
      <c r="F2690">
        <f>IF(OHW!$G1643="","",OHW!$B1643&amp;"")</f>
        <v/>
      </c>
      <c r="J2690">
        <f>IF(OHW!$G1643="","",OHW!$E1643)</f>
        <v/>
      </c>
      <c r="K2690">
        <f>IF(OHW!$G1643="","",COUNTIFS(OHW!$A$5:$A$1668,OHW!$A1643,OHW!$C$5:$C$1668,OHW!$C1643))</f>
        <v/>
      </c>
      <c r="L2690">
        <f>IF(OHW!$G1643="","",OHW!$D1643&amp;"")</f>
        <v/>
      </c>
      <c r="M2690">
        <f>IF(OHW!$G1643="","",OHW!$F1643)</f>
        <v/>
      </c>
      <c r="N2690">
        <f>IF(OHW!$G1643="","",OHW!$G1643)</f>
        <v/>
      </c>
      <c r="O2690">
        <f>IF(OHW!$G1643="","",OHW!$I1643)</f>
        <v/>
      </c>
      <c r="P2690">
        <f>IF(OHW!$G1643="","","Final")</f>
        <v/>
      </c>
    </row>
    <row r="2691">
      <c r="A2691">
        <f>IF(OHW!$G1644="","","OHW")</f>
        <v/>
      </c>
      <c r="B2691">
        <f>IF(OHW!$G1644="","","OHW")</f>
        <v/>
      </c>
      <c r="C2691" s="18">
        <f>IF(OHW!$G1644="","",OHW!$A1644)</f>
        <v/>
      </c>
      <c r="F2691">
        <f>IF(OHW!$G1644="","",OHW!$B1644&amp;"")</f>
        <v/>
      </c>
      <c r="J2691">
        <f>IF(OHW!$G1644="","",OHW!$E1644)</f>
        <v/>
      </c>
      <c r="K2691">
        <f>IF(OHW!$G1644="","",COUNTIFS(OHW!$A$5:$A$1668,OHW!$A1644,OHW!$C$5:$C$1668,OHW!$C1644))</f>
        <v/>
      </c>
      <c r="L2691">
        <f>IF(OHW!$G1644="","",OHW!$D1644&amp;"")</f>
        <v/>
      </c>
      <c r="M2691">
        <f>IF(OHW!$G1644="","",OHW!$F1644)</f>
        <v/>
      </c>
      <c r="N2691">
        <f>IF(OHW!$G1644="","",OHW!$G1644)</f>
        <v/>
      </c>
      <c r="O2691">
        <f>IF(OHW!$G1644="","",OHW!$I1644)</f>
        <v/>
      </c>
      <c r="P2691">
        <f>IF(OHW!$G1644="","","Final")</f>
        <v/>
      </c>
    </row>
    <row r="2692">
      <c r="A2692">
        <f>IF(OHW!$G1645="","","OHW")</f>
        <v/>
      </c>
      <c r="B2692">
        <f>IF(OHW!$G1645="","","OHW")</f>
        <v/>
      </c>
      <c r="C2692" s="18">
        <f>IF(OHW!$G1645="","",OHW!$A1645)</f>
        <v/>
      </c>
      <c r="F2692">
        <f>IF(OHW!$G1645="","",OHW!$B1645&amp;"")</f>
        <v/>
      </c>
      <c r="J2692">
        <f>IF(OHW!$G1645="","",OHW!$E1645)</f>
        <v/>
      </c>
      <c r="K2692">
        <f>IF(OHW!$G1645="","",COUNTIFS(OHW!$A$5:$A$1668,OHW!$A1645,OHW!$C$5:$C$1668,OHW!$C1645))</f>
        <v/>
      </c>
      <c r="L2692">
        <f>IF(OHW!$G1645="","",OHW!$D1645&amp;"")</f>
        <v/>
      </c>
      <c r="M2692">
        <f>IF(OHW!$G1645="","",OHW!$F1645)</f>
        <v/>
      </c>
      <c r="N2692">
        <f>IF(OHW!$G1645="","",OHW!$G1645)</f>
        <v/>
      </c>
      <c r="O2692">
        <f>IF(OHW!$G1645="","",OHW!$I1645)</f>
        <v/>
      </c>
      <c r="P2692">
        <f>IF(OHW!$G1645="","","Final")</f>
        <v/>
      </c>
    </row>
    <row r="2693">
      <c r="A2693">
        <f>IF(OHW!$G1646="","","OHW")</f>
        <v/>
      </c>
      <c r="B2693">
        <f>IF(OHW!$G1646="","","OHW")</f>
        <v/>
      </c>
      <c r="C2693" s="18">
        <f>IF(OHW!$G1646="","",OHW!$A1646)</f>
        <v/>
      </c>
      <c r="F2693">
        <f>IF(OHW!$G1646="","",OHW!$B1646&amp;"")</f>
        <v/>
      </c>
      <c r="J2693">
        <f>IF(OHW!$G1646="","",OHW!$E1646)</f>
        <v/>
      </c>
      <c r="K2693">
        <f>IF(OHW!$G1646="","",COUNTIFS(OHW!$A$5:$A$1668,OHW!$A1646,OHW!$C$5:$C$1668,OHW!$C1646))</f>
        <v/>
      </c>
      <c r="L2693">
        <f>IF(OHW!$G1646="","",OHW!$D1646&amp;"")</f>
        <v/>
      </c>
      <c r="M2693">
        <f>IF(OHW!$G1646="","",OHW!$F1646)</f>
        <v/>
      </c>
      <c r="N2693">
        <f>IF(OHW!$G1646="","",OHW!$G1646)</f>
        <v/>
      </c>
      <c r="O2693">
        <f>IF(OHW!$G1646="","",OHW!$I1646)</f>
        <v/>
      </c>
      <c r="P2693">
        <f>IF(OHW!$G1646="","","Final")</f>
        <v/>
      </c>
    </row>
    <row r="2694">
      <c r="A2694">
        <f>IF(OHW!$G1647="","","OHW")</f>
        <v/>
      </c>
      <c r="B2694">
        <f>IF(OHW!$G1647="","","OHW")</f>
        <v/>
      </c>
      <c r="C2694" s="18">
        <f>IF(OHW!$G1647="","",OHW!$A1647)</f>
        <v/>
      </c>
      <c r="F2694">
        <f>IF(OHW!$G1647="","",OHW!$B1647&amp;"")</f>
        <v/>
      </c>
      <c r="J2694">
        <f>IF(OHW!$G1647="","",OHW!$E1647)</f>
        <v/>
      </c>
      <c r="K2694">
        <f>IF(OHW!$G1647="","",COUNTIFS(OHW!$A$5:$A$1668,OHW!$A1647,OHW!$C$5:$C$1668,OHW!$C1647))</f>
        <v/>
      </c>
      <c r="L2694">
        <f>IF(OHW!$G1647="","",OHW!$D1647&amp;"")</f>
        <v/>
      </c>
      <c r="M2694">
        <f>IF(OHW!$G1647="","",OHW!$F1647)</f>
        <v/>
      </c>
      <c r="N2694">
        <f>IF(OHW!$G1647="","",OHW!$G1647)</f>
        <v/>
      </c>
      <c r="O2694">
        <f>IF(OHW!$G1647="","",OHW!$I1647)</f>
        <v/>
      </c>
      <c r="P2694">
        <f>IF(OHW!$G1647="","","Final")</f>
        <v/>
      </c>
    </row>
    <row r="2695">
      <c r="A2695">
        <f>IF(OHW!$G1648="","","OHW")</f>
        <v/>
      </c>
      <c r="B2695">
        <f>IF(OHW!$G1648="","","OHW")</f>
        <v/>
      </c>
      <c r="C2695" s="18">
        <f>IF(OHW!$G1648="","",OHW!$A1648)</f>
        <v/>
      </c>
      <c r="F2695">
        <f>IF(OHW!$G1648="","",OHW!$B1648&amp;"")</f>
        <v/>
      </c>
      <c r="J2695">
        <f>IF(OHW!$G1648="","",OHW!$E1648)</f>
        <v/>
      </c>
      <c r="K2695">
        <f>IF(OHW!$G1648="","",COUNTIFS(OHW!$A$5:$A$1668,OHW!$A1648,OHW!$C$5:$C$1668,OHW!$C1648))</f>
        <v/>
      </c>
      <c r="L2695">
        <f>IF(OHW!$G1648="","",OHW!$D1648&amp;"")</f>
        <v/>
      </c>
      <c r="M2695">
        <f>IF(OHW!$G1648="","",OHW!$F1648)</f>
        <v/>
      </c>
      <c r="N2695">
        <f>IF(OHW!$G1648="","",OHW!$G1648)</f>
        <v/>
      </c>
      <c r="O2695">
        <f>IF(OHW!$G1648="","",OHW!$I1648)</f>
        <v/>
      </c>
      <c r="P2695">
        <f>IF(OHW!$G1648="","","Final")</f>
        <v/>
      </c>
    </row>
    <row r="2696">
      <c r="A2696">
        <f>IF(OHW!$G1649="","","OHW")</f>
        <v/>
      </c>
      <c r="B2696">
        <f>IF(OHW!$G1649="","","OHW")</f>
        <v/>
      </c>
      <c r="C2696" s="18">
        <f>IF(OHW!$G1649="","",OHW!$A1649)</f>
        <v/>
      </c>
      <c r="F2696">
        <f>IF(OHW!$G1649="","",OHW!$B1649&amp;"")</f>
        <v/>
      </c>
      <c r="J2696">
        <f>IF(OHW!$G1649="","",OHW!$E1649)</f>
        <v/>
      </c>
      <c r="K2696">
        <f>IF(OHW!$G1649="","",COUNTIFS(OHW!$A$5:$A$1668,OHW!$A1649,OHW!$C$5:$C$1668,OHW!$C1649))</f>
        <v/>
      </c>
      <c r="L2696">
        <f>IF(OHW!$G1649="","",OHW!$D1649&amp;"")</f>
        <v/>
      </c>
      <c r="M2696">
        <f>IF(OHW!$G1649="","",OHW!$F1649)</f>
        <v/>
      </c>
      <c r="N2696">
        <f>IF(OHW!$G1649="","",OHW!$G1649)</f>
        <v/>
      </c>
      <c r="O2696">
        <f>IF(OHW!$G1649="","",OHW!$I1649)</f>
        <v/>
      </c>
      <c r="P2696">
        <f>IF(OHW!$G1649="","","Final")</f>
        <v/>
      </c>
    </row>
    <row r="2697">
      <c r="A2697">
        <f>IF(OHW!$G1650="","","OHW")</f>
        <v/>
      </c>
      <c r="B2697">
        <f>IF(OHW!$G1650="","","OHW")</f>
        <v/>
      </c>
      <c r="C2697" s="18">
        <f>IF(OHW!$G1650="","",OHW!$A1650)</f>
        <v/>
      </c>
      <c r="F2697">
        <f>IF(OHW!$G1650="","",OHW!$B1650&amp;"")</f>
        <v/>
      </c>
      <c r="J2697">
        <f>IF(OHW!$G1650="","",OHW!$E1650)</f>
        <v/>
      </c>
      <c r="K2697">
        <f>IF(OHW!$G1650="","",COUNTIFS(OHW!$A$5:$A$1668,OHW!$A1650,OHW!$C$5:$C$1668,OHW!$C1650))</f>
        <v/>
      </c>
      <c r="L2697">
        <f>IF(OHW!$G1650="","",OHW!$D1650&amp;"")</f>
        <v/>
      </c>
      <c r="M2697">
        <f>IF(OHW!$G1650="","",OHW!$F1650)</f>
        <v/>
      </c>
      <c r="N2697">
        <f>IF(OHW!$G1650="","",OHW!$G1650)</f>
        <v/>
      </c>
      <c r="O2697">
        <f>IF(OHW!$G1650="","",OHW!$I1650)</f>
        <v/>
      </c>
      <c r="P2697">
        <f>IF(OHW!$G1650="","","Final")</f>
        <v/>
      </c>
    </row>
    <row r="2698">
      <c r="A2698">
        <f>IF(OHW!$G1651="","","OHW")</f>
        <v/>
      </c>
      <c r="B2698">
        <f>IF(OHW!$G1651="","","OHW")</f>
        <v/>
      </c>
      <c r="C2698" s="18">
        <f>IF(OHW!$G1651="","",OHW!$A1651)</f>
        <v/>
      </c>
      <c r="F2698">
        <f>IF(OHW!$G1651="","",OHW!$B1651&amp;"")</f>
        <v/>
      </c>
      <c r="J2698">
        <f>IF(OHW!$G1651="","",OHW!$E1651)</f>
        <v/>
      </c>
      <c r="K2698">
        <f>IF(OHW!$G1651="","",COUNTIFS(OHW!$A$5:$A$1668,OHW!$A1651,OHW!$C$5:$C$1668,OHW!$C1651))</f>
        <v/>
      </c>
      <c r="L2698">
        <f>IF(OHW!$G1651="","",OHW!$D1651&amp;"")</f>
        <v/>
      </c>
      <c r="M2698">
        <f>IF(OHW!$G1651="","",OHW!$F1651)</f>
        <v/>
      </c>
      <c r="N2698">
        <f>IF(OHW!$G1651="","",OHW!$G1651)</f>
        <v/>
      </c>
      <c r="O2698">
        <f>IF(OHW!$G1651="","",OHW!$I1651)</f>
        <v/>
      </c>
      <c r="P2698">
        <f>IF(OHW!$G1651="","","Final")</f>
        <v/>
      </c>
    </row>
    <row r="2699">
      <c r="A2699">
        <f>IF(OHW!$G1652="","","OHW")</f>
        <v/>
      </c>
      <c r="B2699">
        <f>IF(OHW!$G1652="","","OHW")</f>
        <v/>
      </c>
      <c r="C2699" s="18">
        <f>IF(OHW!$G1652="","",OHW!$A1652)</f>
        <v/>
      </c>
      <c r="F2699">
        <f>IF(OHW!$G1652="","",OHW!$B1652&amp;"")</f>
        <v/>
      </c>
      <c r="J2699">
        <f>IF(OHW!$G1652="","",OHW!$E1652)</f>
        <v/>
      </c>
      <c r="K2699">
        <f>IF(OHW!$G1652="","",COUNTIFS(OHW!$A$5:$A$1668,OHW!$A1652,OHW!$C$5:$C$1668,OHW!$C1652))</f>
        <v/>
      </c>
      <c r="L2699">
        <f>IF(OHW!$G1652="","",OHW!$D1652&amp;"")</f>
        <v/>
      </c>
      <c r="M2699">
        <f>IF(OHW!$G1652="","",OHW!$F1652)</f>
        <v/>
      </c>
      <c r="N2699">
        <f>IF(OHW!$G1652="","",OHW!$G1652)</f>
        <v/>
      </c>
      <c r="O2699">
        <f>IF(OHW!$G1652="","",OHW!$I1652)</f>
        <v/>
      </c>
      <c r="P2699">
        <f>IF(OHW!$G1652="","","Final")</f>
        <v/>
      </c>
    </row>
    <row r="2700">
      <c r="A2700">
        <f>IF(OHW!$G1653="","","OHW")</f>
        <v/>
      </c>
      <c r="B2700">
        <f>IF(OHW!$G1653="","","OHW")</f>
        <v/>
      </c>
      <c r="C2700" s="18">
        <f>IF(OHW!$G1653="","",OHW!$A1653)</f>
        <v/>
      </c>
      <c r="F2700">
        <f>IF(OHW!$G1653="","",OHW!$B1653&amp;"")</f>
        <v/>
      </c>
      <c r="J2700">
        <f>IF(OHW!$G1653="","",OHW!$E1653)</f>
        <v/>
      </c>
      <c r="K2700">
        <f>IF(OHW!$G1653="","",COUNTIFS(OHW!$A$5:$A$1668,OHW!$A1653,OHW!$C$5:$C$1668,OHW!$C1653))</f>
        <v/>
      </c>
      <c r="L2700">
        <f>IF(OHW!$G1653="","",OHW!$D1653&amp;"")</f>
        <v/>
      </c>
      <c r="M2700">
        <f>IF(OHW!$G1653="","",OHW!$F1653)</f>
        <v/>
      </c>
      <c r="N2700">
        <f>IF(OHW!$G1653="","",OHW!$G1653)</f>
        <v/>
      </c>
      <c r="O2700">
        <f>IF(OHW!$G1653="","",OHW!$I1653)</f>
        <v/>
      </c>
      <c r="P2700">
        <f>IF(OHW!$G1653="","","Final")</f>
        <v/>
      </c>
    </row>
    <row r="2701">
      <c r="A2701">
        <f>IF(OHW!$G1654="","","OHW")</f>
        <v/>
      </c>
      <c r="B2701">
        <f>IF(OHW!$G1654="","","OHW")</f>
        <v/>
      </c>
      <c r="C2701" s="18">
        <f>IF(OHW!$G1654="","",OHW!$A1654)</f>
        <v/>
      </c>
      <c r="F2701">
        <f>IF(OHW!$G1654="","",OHW!$B1654&amp;"")</f>
        <v/>
      </c>
      <c r="J2701">
        <f>IF(OHW!$G1654="","",OHW!$E1654)</f>
        <v/>
      </c>
      <c r="K2701">
        <f>IF(OHW!$G1654="","",COUNTIFS(OHW!$A$5:$A$1668,OHW!$A1654,OHW!$C$5:$C$1668,OHW!$C1654))</f>
        <v/>
      </c>
      <c r="L2701">
        <f>IF(OHW!$G1654="","",OHW!$D1654&amp;"")</f>
        <v/>
      </c>
      <c r="M2701">
        <f>IF(OHW!$G1654="","",OHW!$F1654)</f>
        <v/>
      </c>
      <c r="N2701">
        <f>IF(OHW!$G1654="","",OHW!$G1654)</f>
        <v/>
      </c>
      <c r="O2701">
        <f>IF(OHW!$G1654="","",OHW!$I1654)</f>
        <v/>
      </c>
      <c r="P2701">
        <f>IF(OHW!$G1654="","","Final")</f>
        <v/>
      </c>
    </row>
    <row r="2702">
      <c r="A2702">
        <f>IF(OHW!$G1655="","","OHW")</f>
        <v/>
      </c>
      <c r="B2702">
        <f>IF(OHW!$G1655="","","OHW")</f>
        <v/>
      </c>
      <c r="C2702" s="18">
        <f>IF(OHW!$G1655="","",OHW!$A1655)</f>
        <v/>
      </c>
      <c r="F2702">
        <f>IF(OHW!$G1655="","",OHW!$B1655&amp;"")</f>
        <v/>
      </c>
      <c r="J2702">
        <f>IF(OHW!$G1655="","",OHW!$E1655)</f>
        <v/>
      </c>
      <c r="K2702">
        <f>IF(OHW!$G1655="","",COUNTIFS(OHW!$A$5:$A$1668,OHW!$A1655,OHW!$C$5:$C$1668,OHW!$C1655))</f>
        <v/>
      </c>
      <c r="L2702">
        <f>IF(OHW!$G1655="","",OHW!$D1655&amp;"")</f>
        <v/>
      </c>
      <c r="M2702">
        <f>IF(OHW!$G1655="","",OHW!$F1655)</f>
        <v/>
      </c>
      <c r="N2702">
        <f>IF(OHW!$G1655="","",OHW!$G1655)</f>
        <v/>
      </c>
      <c r="O2702">
        <f>IF(OHW!$G1655="","",OHW!$I1655)</f>
        <v/>
      </c>
      <c r="P2702">
        <f>IF(OHW!$G1655="","","Final")</f>
        <v/>
      </c>
    </row>
    <row r="2703">
      <c r="A2703">
        <f>IF(OHW!$G1656="","","OHW")</f>
        <v/>
      </c>
      <c r="B2703">
        <f>IF(OHW!$G1656="","","OHW")</f>
        <v/>
      </c>
      <c r="C2703" s="18">
        <f>IF(OHW!$G1656="","",OHW!$A1656)</f>
        <v/>
      </c>
      <c r="F2703">
        <f>IF(OHW!$G1656="","",OHW!$B1656&amp;"")</f>
        <v/>
      </c>
      <c r="J2703">
        <f>IF(OHW!$G1656="","",OHW!$E1656)</f>
        <v/>
      </c>
      <c r="K2703">
        <f>IF(OHW!$G1656="","",COUNTIFS(OHW!$A$5:$A$1668,OHW!$A1656,OHW!$C$5:$C$1668,OHW!$C1656))</f>
        <v/>
      </c>
      <c r="L2703">
        <f>IF(OHW!$G1656="","",OHW!$D1656&amp;"")</f>
        <v/>
      </c>
      <c r="M2703">
        <f>IF(OHW!$G1656="","",OHW!$F1656)</f>
        <v/>
      </c>
      <c r="N2703">
        <f>IF(OHW!$G1656="","",OHW!$G1656)</f>
        <v/>
      </c>
      <c r="O2703">
        <f>IF(OHW!$G1656="","",OHW!$I1656)</f>
        <v/>
      </c>
      <c r="P2703">
        <f>IF(OHW!$G1656="","","Final")</f>
        <v/>
      </c>
    </row>
    <row r="2704">
      <c r="A2704">
        <f>IF(OHW!$G1657="","","OHW")</f>
        <v/>
      </c>
      <c r="B2704">
        <f>IF(OHW!$G1657="","","OHW")</f>
        <v/>
      </c>
      <c r="C2704" s="18">
        <f>IF(OHW!$G1657="","",OHW!$A1657)</f>
        <v/>
      </c>
      <c r="F2704">
        <f>IF(OHW!$G1657="","",OHW!$B1657&amp;"")</f>
        <v/>
      </c>
      <c r="J2704">
        <f>IF(OHW!$G1657="","",OHW!$E1657)</f>
        <v/>
      </c>
      <c r="K2704">
        <f>IF(OHW!$G1657="","",COUNTIFS(OHW!$A$5:$A$1668,OHW!$A1657,OHW!$C$5:$C$1668,OHW!$C1657))</f>
        <v/>
      </c>
      <c r="L2704">
        <f>IF(OHW!$G1657="","",OHW!$D1657&amp;"")</f>
        <v/>
      </c>
      <c r="M2704">
        <f>IF(OHW!$G1657="","",OHW!$F1657)</f>
        <v/>
      </c>
      <c r="N2704">
        <f>IF(OHW!$G1657="","",OHW!$G1657)</f>
        <v/>
      </c>
      <c r="O2704">
        <f>IF(OHW!$G1657="","",OHW!$I1657)</f>
        <v/>
      </c>
      <c r="P2704">
        <f>IF(OHW!$G1657="","","Final")</f>
        <v/>
      </c>
    </row>
    <row r="2705">
      <c r="A2705">
        <f>IF(OHW!$G1658="","","OHW")</f>
        <v/>
      </c>
      <c r="B2705">
        <f>IF(OHW!$G1658="","","OHW")</f>
        <v/>
      </c>
      <c r="C2705" s="18">
        <f>IF(OHW!$G1658="","",OHW!$A1658)</f>
        <v/>
      </c>
      <c r="F2705">
        <f>IF(OHW!$G1658="","",OHW!$B1658&amp;"")</f>
        <v/>
      </c>
      <c r="J2705">
        <f>IF(OHW!$G1658="","",OHW!$E1658)</f>
        <v/>
      </c>
      <c r="K2705">
        <f>IF(OHW!$G1658="","",COUNTIFS(OHW!$A$5:$A$1668,OHW!$A1658,OHW!$C$5:$C$1668,OHW!$C1658))</f>
        <v/>
      </c>
      <c r="L2705">
        <f>IF(OHW!$G1658="","",OHW!$D1658&amp;"")</f>
        <v/>
      </c>
      <c r="M2705">
        <f>IF(OHW!$G1658="","",OHW!$F1658)</f>
        <v/>
      </c>
      <c r="N2705">
        <f>IF(OHW!$G1658="","",OHW!$G1658)</f>
        <v/>
      </c>
      <c r="O2705">
        <f>IF(OHW!$G1658="","",OHW!$I1658)</f>
        <v/>
      </c>
      <c r="P2705">
        <f>IF(OHW!$G1658="","","Final")</f>
        <v/>
      </c>
    </row>
    <row r="2706">
      <c r="A2706">
        <f>IF(OHW!$G1659="","","OHW")</f>
        <v/>
      </c>
      <c r="B2706">
        <f>IF(OHW!$G1659="","","OHW")</f>
        <v/>
      </c>
      <c r="C2706" s="18">
        <f>IF(OHW!$G1659="","",OHW!$A1659)</f>
        <v/>
      </c>
      <c r="F2706">
        <f>IF(OHW!$G1659="","",OHW!$B1659&amp;"")</f>
        <v/>
      </c>
      <c r="J2706">
        <f>IF(OHW!$G1659="","",OHW!$E1659)</f>
        <v/>
      </c>
      <c r="K2706">
        <f>IF(OHW!$G1659="","",COUNTIFS(OHW!$A$5:$A$1668,OHW!$A1659,OHW!$C$5:$C$1668,OHW!$C1659))</f>
        <v/>
      </c>
      <c r="L2706">
        <f>IF(OHW!$G1659="","",OHW!$D1659&amp;"")</f>
        <v/>
      </c>
      <c r="M2706">
        <f>IF(OHW!$G1659="","",OHW!$F1659)</f>
        <v/>
      </c>
      <c r="N2706">
        <f>IF(OHW!$G1659="","",OHW!$G1659)</f>
        <v/>
      </c>
      <c r="O2706">
        <f>IF(OHW!$G1659="","",OHW!$I1659)</f>
        <v/>
      </c>
      <c r="P2706">
        <f>IF(OHW!$G1659="","","Final")</f>
        <v/>
      </c>
    </row>
    <row r="2707">
      <c r="A2707">
        <f>IF(OHW!$G1660="","","OHW")</f>
        <v/>
      </c>
      <c r="B2707">
        <f>IF(OHW!$G1660="","","OHW")</f>
        <v/>
      </c>
      <c r="C2707" s="18">
        <f>IF(OHW!$G1660="","",OHW!$A1660)</f>
        <v/>
      </c>
      <c r="F2707">
        <f>IF(OHW!$G1660="","",OHW!$B1660&amp;"")</f>
        <v/>
      </c>
      <c r="J2707">
        <f>IF(OHW!$G1660="","",OHW!$E1660)</f>
        <v/>
      </c>
      <c r="K2707">
        <f>IF(OHW!$G1660="","",COUNTIFS(OHW!$A$5:$A$1668,OHW!$A1660,OHW!$C$5:$C$1668,OHW!$C1660))</f>
        <v/>
      </c>
      <c r="L2707">
        <f>IF(OHW!$G1660="","",OHW!$D1660&amp;"")</f>
        <v/>
      </c>
      <c r="M2707">
        <f>IF(OHW!$G1660="","",OHW!$F1660)</f>
        <v/>
      </c>
      <c r="N2707">
        <f>IF(OHW!$G1660="","",OHW!$G1660)</f>
        <v/>
      </c>
      <c r="O2707">
        <f>IF(OHW!$G1660="","",OHW!$I1660)</f>
        <v/>
      </c>
      <c r="P2707">
        <f>IF(OHW!$G1660="","","Final")</f>
        <v/>
      </c>
    </row>
    <row r="2708">
      <c r="A2708">
        <f>IF(OHW!$G1661="","","OHW")</f>
        <v/>
      </c>
      <c r="B2708">
        <f>IF(OHW!$G1661="","","OHW")</f>
        <v/>
      </c>
      <c r="C2708" s="18">
        <f>IF(OHW!$G1661="","",OHW!$A1661)</f>
        <v/>
      </c>
      <c r="F2708">
        <f>IF(OHW!$G1661="","",OHW!$B1661&amp;"")</f>
        <v/>
      </c>
      <c r="J2708">
        <f>IF(OHW!$G1661="","",OHW!$E1661)</f>
        <v/>
      </c>
      <c r="K2708">
        <f>IF(OHW!$G1661="","",COUNTIFS(OHW!$A$5:$A$1668,OHW!$A1661,OHW!$C$5:$C$1668,OHW!$C1661))</f>
        <v/>
      </c>
      <c r="L2708">
        <f>IF(OHW!$G1661="","",OHW!$D1661&amp;"")</f>
        <v/>
      </c>
      <c r="M2708">
        <f>IF(OHW!$G1661="","",OHW!$F1661)</f>
        <v/>
      </c>
      <c r="N2708">
        <f>IF(OHW!$G1661="","",OHW!$G1661)</f>
        <v/>
      </c>
      <c r="O2708">
        <f>IF(OHW!$G1661="","",OHW!$I1661)</f>
        <v/>
      </c>
      <c r="P2708">
        <f>IF(OHW!$G1661="","","Final")</f>
        <v/>
      </c>
    </row>
    <row r="2709">
      <c r="A2709">
        <f>IF(OHW!$G1662="","","OHW")</f>
        <v/>
      </c>
      <c r="B2709">
        <f>IF(OHW!$G1662="","","OHW")</f>
        <v/>
      </c>
      <c r="C2709" s="18">
        <f>IF(OHW!$G1662="","",OHW!$A1662)</f>
        <v/>
      </c>
      <c r="F2709">
        <f>IF(OHW!$G1662="","",OHW!$B1662&amp;"")</f>
        <v/>
      </c>
      <c r="J2709">
        <f>IF(OHW!$G1662="","",OHW!$E1662)</f>
        <v/>
      </c>
      <c r="K2709">
        <f>IF(OHW!$G1662="","",COUNTIFS(OHW!$A$5:$A$1668,OHW!$A1662,OHW!$C$5:$C$1668,OHW!$C1662))</f>
        <v/>
      </c>
      <c r="L2709">
        <f>IF(OHW!$G1662="","",OHW!$D1662&amp;"")</f>
        <v/>
      </c>
      <c r="M2709">
        <f>IF(OHW!$G1662="","",OHW!$F1662)</f>
        <v/>
      </c>
      <c r="N2709">
        <f>IF(OHW!$G1662="","",OHW!$G1662)</f>
        <v/>
      </c>
      <c r="O2709">
        <f>IF(OHW!$G1662="","",OHW!$I1662)</f>
        <v/>
      </c>
      <c r="P2709">
        <f>IF(OHW!$G1662="","","Final")</f>
        <v/>
      </c>
    </row>
    <row r="2710">
      <c r="A2710">
        <f>IF(OHW!$G1663="","","OHW")</f>
        <v/>
      </c>
      <c r="B2710">
        <f>IF(OHW!$G1663="","","OHW")</f>
        <v/>
      </c>
      <c r="C2710" s="18">
        <f>IF(OHW!$G1663="","",OHW!$A1663)</f>
        <v/>
      </c>
      <c r="F2710">
        <f>IF(OHW!$G1663="","",OHW!$B1663&amp;"")</f>
        <v/>
      </c>
      <c r="J2710">
        <f>IF(OHW!$G1663="","",OHW!$E1663)</f>
        <v/>
      </c>
      <c r="K2710">
        <f>IF(OHW!$G1663="","",COUNTIFS(OHW!$A$5:$A$1668,OHW!$A1663,OHW!$C$5:$C$1668,OHW!$C1663))</f>
        <v/>
      </c>
      <c r="L2710">
        <f>IF(OHW!$G1663="","",OHW!$D1663&amp;"")</f>
        <v/>
      </c>
      <c r="M2710">
        <f>IF(OHW!$G1663="","",OHW!$F1663)</f>
        <v/>
      </c>
      <c r="N2710">
        <f>IF(OHW!$G1663="","",OHW!$G1663)</f>
        <v/>
      </c>
      <c r="O2710">
        <f>IF(OHW!$G1663="","",OHW!$I1663)</f>
        <v/>
      </c>
      <c r="P2710">
        <f>IF(OHW!$G1663="","","Final")</f>
        <v/>
      </c>
    </row>
    <row r="2711">
      <c r="A2711">
        <f>IF(OHW!$G1664="","","OHW")</f>
        <v/>
      </c>
      <c r="B2711">
        <f>IF(OHW!$G1664="","","OHW")</f>
        <v/>
      </c>
      <c r="C2711" s="18">
        <f>IF(OHW!$G1664="","",OHW!$A1664)</f>
        <v/>
      </c>
      <c r="F2711">
        <f>IF(OHW!$G1664="","",OHW!$B1664&amp;"")</f>
        <v/>
      </c>
      <c r="J2711">
        <f>IF(OHW!$G1664="","",OHW!$E1664)</f>
        <v/>
      </c>
      <c r="K2711">
        <f>IF(OHW!$G1664="","",COUNTIFS(OHW!$A$5:$A$1668,OHW!$A1664,OHW!$C$5:$C$1668,OHW!$C1664))</f>
        <v/>
      </c>
      <c r="L2711">
        <f>IF(OHW!$G1664="","",OHW!$D1664&amp;"")</f>
        <v/>
      </c>
      <c r="M2711">
        <f>IF(OHW!$G1664="","",OHW!$F1664)</f>
        <v/>
      </c>
      <c r="N2711">
        <f>IF(OHW!$G1664="","",OHW!$G1664)</f>
        <v/>
      </c>
      <c r="O2711">
        <f>IF(OHW!$G1664="","",OHW!$I1664)</f>
        <v/>
      </c>
      <c r="P2711">
        <f>IF(OHW!$G1664="","","Final")</f>
        <v/>
      </c>
    </row>
    <row r="2712">
      <c r="A2712">
        <f>IF(OHW!$G1665="","","OHW")</f>
        <v/>
      </c>
      <c r="B2712">
        <f>IF(OHW!$G1665="","","OHW")</f>
        <v/>
      </c>
      <c r="C2712" s="18">
        <f>IF(OHW!$G1665="","",OHW!$A1665)</f>
        <v/>
      </c>
      <c r="F2712">
        <f>IF(OHW!$G1665="","",OHW!$B1665&amp;"")</f>
        <v/>
      </c>
      <c r="J2712">
        <f>IF(OHW!$G1665="","",OHW!$E1665)</f>
        <v/>
      </c>
      <c r="K2712">
        <f>IF(OHW!$G1665="","",COUNTIFS(OHW!$A$5:$A$1668,OHW!$A1665,OHW!$C$5:$C$1668,OHW!$C1665))</f>
        <v/>
      </c>
      <c r="L2712">
        <f>IF(OHW!$G1665="","",OHW!$D1665&amp;"")</f>
        <v/>
      </c>
      <c r="M2712">
        <f>IF(OHW!$G1665="","",OHW!$F1665)</f>
        <v/>
      </c>
      <c r="N2712">
        <f>IF(OHW!$G1665="","",OHW!$G1665)</f>
        <v/>
      </c>
      <c r="O2712">
        <f>IF(OHW!$G1665="","",OHW!$I1665)</f>
        <v/>
      </c>
      <c r="P2712">
        <f>IF(OHW!$G1665="","","Final")</f>
        <v/>
      </c>
    </row>
    <row r="2713">
      <c r="A2713">
        <f>IF(OHW!$G1666="","","OHW")</f>
        <v/>
      </c>
      <c r="B2713">
        <f>IF(OHW!$G1666="","","OHW")</f>
        <v/>
      </c>
      <c r="C2713" s="18">
        <f>IF(OHW!$G1666="","",OHW!$A1666)</f>
        <v/>
      </c>
      <c r="F2713">
        <f>IF(OHW!$G1666="","",OHW!$B1666&amp;"")</f>
        <v/>
      </c>
      <c r="J2713">
        <f>IF(OHW!$G1666="","",OHW!$E1666)</f>
        <v/>
      </c>
      <c r="K2713">
        <f>IF(OHW!$G1666="","",COUNTIFS(OHW!$A$5:$A$1668,OHW!$A1666,OHW!$C$5:$C$1668,OHW!$C1666))</f>
        <v/>
      </c>
      <c r="L2713">
        <f>IF(OHW!$G1666="","",OHW!$D1666&amp;"")</f>
        <v/>
      </c>
      <c r="M2713">
        <f>IF(OHW!$G1666="","",OHW!$F1666)</f>
        <v/>
      </c>
      <c r="N2713">
        <f>IF(OHW!$G1666="","",OHW!$G1666)</f>
        <v/>
      </c>
      <c r="O2713">
        <f>IF(OHW!$G1666="","",OHW!$I1666)</f>
        <v/>
      </c>
      <c r="P2713">
        <f>IF(OHW!$G1666="","","Final")</f>
        <v/>
      </c>
    </row>
    <row r="2714">
      <c r="A2714">
        <f>IF(OHW!$G1667="","","OHW")</f>
        <v/>
      </c>
      <c r="B2714">
        <f>IF(OHW!$G1667="","","OHW")</f>
        <v/>
      </c>
      <c r="C2714" s="18">
        <f>IF(OHW!$G1667="","",OHW!$A1667)</f>
        <v/>
      </c>
      <c r="F2714">
        <f>IF(OHW!$G1667="","",OHW!$B1667&amp;"")</f>
        <v/>
      </c>
      <c r="J2714">
        <f>IF(OHW!$G1667="","",OHW!$E1667)</f>
        <v/>
      </c>
      <c r="K2714">
        <f>IF(OHW!$G1667="","",COUNTIFS(OHW!$A$5:$A$1668,OHW!$A1667,OHW!$C$5:$C$1668,OHW!$C1667))</f>
        <v/>
      </c>
      <c r="L2714">
        <f>IF(OHW!$G1667="","",OHW!$D1667&amp;"")</f>
        <v/>
      </c>
      <c r="M2714">
        <f>IF(OHW!$G1667="","",OHW!$F1667)</f>
        <v/>
      </c>
      <c r="N2714">
        <f>IF(OHW!$G1667="","",OHW!$G1667)</f>
        <v/>
      </c>
      <c r="O2714">
        <f>IF(OHW!$G1667="","",OHW!$I1667)</f>
        <v/>
      </c>
      <c r="P2714">
        <f>IF(OHW!$G1667="","","Final")</f>
        <v/>
      </c>
    </row>
    <row r="2715">
      <c r="A2715">
        <f>IF(OHW!$G1668="","","OHW")</f>
        <v/>
      </c>
      <c r="B2715">
        <f>IF(OHW!$G1668="","","OHW")</f>
        <v/>
      </c>
      <c r="C2715" s="18">
        <f>IF(OHW!$G1668="","",OHW!$A1668)</f>
        <v/>
      </c>
      <c r="F2715">
        <f>IF(OHW!$G1668="","",OHW!$B1668&amp;"")</f>
        <v/>
      </c>
      <c r="J2715">
        <f>IF(OHW!$G1668="","",OHW!$E1668)</f>
        <v/>
      </c>
      <c r="K2715">
        <f>IF(OHW!$G1668="","",COUNTIFS(OHW!$A$5:$A$1668,OHW!$A1668,OHW!$C$5:$C$1668,OHW!$C1668))</f>
        <v/>
      </c>
      <c r="L2715">
        <f>IF(OHW!$G1668="","",OHW!$D1668&amp;"")</f>
        <v/>
      </c>
      <c r="M2715">
        <f>IF(OHW!$G1668="","",OHW!$F1668)</f>
        <v/>
      </c>
      <c r="N2715">
        <f>IF(OHW!$G1668="","",OHW!$G1668)</f>
        <v/>
      </c>
      <c r="O2715">
        <f>IF(OHW!$G1668="","",OHW!$I1668)</f>
        <v/>
      </c>
      <c r="P2715">
        <f>IF(OHW!$G1668="","","Final")</f>
        <v/>
      </c>
    </row>
    <row r="2716">
      <c r="A2716">
        <f>IF('Last Week'!$B2="","","Last week")</f>
        <v/>
      </c>
      <c r="B2716">
        <f>IF('Last Week'!$B2="","","Last week")</f>
        <v/>
      </c>
      <c r="C2716" s="18" t="n"/>
      <c r="F2716">
        <f>IF('Last Week'!$B2="","",'Last Week'!$B2&amp;"")</f>
        <v/>
      </c>
      <c r="J2716">
        <f>IF('Last Week'!$B2="","",'Last Week'!$A2)</f>
        <v/>
      </c>
      <c r="N2716">
        <f>IF('Last Week'!$B2="","",'Last Week'!$C2)</f>
        <v/>
      </c>
    </row>
    <row r="2717">
      <c r="A2717">
        <f>IF('Last Week'!$B3="","","Last week")</f>
        <v/>
      </c>
      <c r="B2717">
        <f>IF('Last Week'!$B3="","","Last week")</f>
        <v/>
      </c>
      <c r="C2717" s="18" t="n"/>
      <c r="F2717">
        <f>IF('Last Week'!$B3="","",'Last Week'!$B3&amp;"")</f>
        <v/>
      </c>
      <c r="J2717">
        <f>IF('Last Week'!$B3="","",'Last Week'!$A3)</f>
        <v/>
      </c>
      <c r="N2717">
        <f>IF('Last Week'!$B3="","",'Last Week'!$C3)</f>
        <v/>
      </c>
    </row>
    <row r="2718">
      <c r="A2718">
        <f>IF('Last Week'!$B4="","","Last week")</f>
        <v/>
      </c>
      <c r="B2718">
        <f>IF('Last Week'!$B4="","","Last week")</f>
        <v/>
      </c>
      <c r="C2718" s="18" t="n"/>
      <c r="F2718">
        <f>IF('Last Week'!$B4="","",'Last Week'!$B4&amp;"")</f>
        <v/>
      </c>
      <c r="J2718">
        <f>IF('Last Week'!$B4="","",'Last Week'!$A4)</f>
        <v/>
      </c>
      <c r="N2718">
        <f>IF('Last Week'!$B4="","",'Last Week'!$C4)</f>
        <v/>
      </c>
    </row>
    <row r="2719">
      <c r="A2719">
        <f>IF('Last Week'!$B5="","","Last week")</f>
        <v/>
      </c>
      <c r="B2719">
        <f>IF('Last Week'!$B5="","","Last week")</f>
        <v/>
      </c>
      <c r="C2719" s="18" t="n"/>
      <c r="F2719">
        <f>IF('Last Week'!$B5="","",'Last Week'!$B5&amp;"")</f>
        <v/>
      </c>
      <c r="J2719">
        <f>IF('Last Week'!$B5="","",'Last Week'!$A5)</f>
        <v/>
      </c>
      <c r="N2719">
        <f>IF('Last Week'!$B5="","",'Last Week'!$C5)</f>
        <v/>
      </c>
    </row>
    <row r="2720">
      <c r="A2720">
        <f>IF('Last Week'!$B6="","","Last week")</f>
        <v/>
      </c>
      <c r="B2720">
        <f>IF('Last Week'!$B6="","","Last week")</f>
        <v/>
      </c>
      <c r="C2720" s="18" t="n"/>
      <c r="F2720">
        <f>IF('Last Week'!$B6="","",'Last Week'!$B6&amp;"")</f>
        <v/>
      </c>
      <c r="J2720">
        <f>IF('Last Week'!$B6="","",'Last Week'!$A6)</f>
        <v/>
      </c>
      <c r="N2720">
        <f>IF('Last Week'!$B6="","",'Last Week'!$C6)</f>
        <v/>
      </c>
    </row>
    <row r="2721">
      <c r="A2721">
        <f>IF('Last Week'!$B7="","","Last week")</f>
        <v/>
      </c>
      <c r="B2721">
        <f>IF('Last Week'!$B7="","","Last week")</f>
        <v/>
      </c>
      <c r="C2721" s="18" t="n"/>
      <c r="F2721">
        <f>IF('Last Week'!$B7="","",'Last Week'!$B7&amp;"")</f>
        <v/>
      </c>
      <c r="J2721">
        <f>IF('Last Week'!$B7="","",'Last Week'!$A7)</f>
        <v/>
      </c>
      <c r="N2721">
        <f>IF('Last Week'!$B7="","",'Last Week'!$C7)</f>
        <v/>
      </c>
    </row>
    <row r="2722">
      <c r="A2722">
        <f>IF('Last Week'!$B8="","","Last week")</f>
        <v/>
      </c>
      <c r="B2722">
        <f>IF('Last Week'!$B8="","","Last week")</f>
        <v/>
      </c>
      <c r="C2722" s="18" t="n"/>
      <c r="F2722">
        <f>IF('Last Week'!$B8="","",'Last Week'!$B8&amp;"")</f>
        <v/>
      </c>
      <c r="J2722">
        <f>IF('Last Week'!$B8="","",'Last Week'!$A8)</f>
        <v/>
      </c>
      <c r="N2722">
        <f>IF('Last Week'!$B8="","",'Last Week'!$C8)</f>
        <v/>
      </c>
    </row>
    <row r="2723">
      <c r="A2723">
        <f>IF('Last Week'!$B9="","","Last week")</f>
        <v/>
      </c>
      <c r="B2723">
        <f>IF('Last Week'!$B9="","","Last week")</f>
        <v/>
      </c>
      <c r="C2723" s="18" t="n"/>
      <c r="F2723">
        <f>IF('Last Week'!$B9="","",'Last Week'!$B9&amp;"")</f>
        <v/>
      </c>
      <c r="J2723">
        <f>IF('Last Week'!$B9="","",'Last Week'!$A9)</f>
        <v/>
      </c>
      <c r="N2723">
        <f>IF('Last Week'!$B9="","",'Last Week'!$C9)</f>
        <v/>
      </c>
    </row>
    <row r="2724">
      <c r="A2724">
        <f>IF('Last Week'!$B10="","","Last week")</f>
        <v/>
      </c>
      <c r="B2724">
        <f>IF('Last Week'!$B10="","","Last week")</f>
        <v/>
      </c>
      <c r="C2724" s="18" t="n"/>
      <c r="F2724">
        <f>IF('Last Week'!$B10="","",'Last Week'!$B10&amp;"")</f>
        <v/>
      </c>
      <c r="J2724">
        <f>IF('Last Week'!$B10="","",'Last Week'!$A10)</f>
        <v/>
      </c>
      <c r="N2724">
        <f>IF('Last Week'!$B10="","",'Last Week'!$C10)</f>
        <v/>
      </c>
    </row>
    <row r="2725">
      <c r="A2725">
        <f>IF('Last Week'!$B11="","","Last week")</f>
        <v/>
      </c>
      <c r="B2725">
        <f>IF('Last Week'!$B11="","","Last week")</f>
        <v/>
      </c>
      <c r="C2725" s="18" t="n"/>
      <c r="F2725">
        <f>IF('Last Week'!$B11="","",'Last Week'!$B11&amp;"")</f>
        <v/>
      </c>
      <c r="J2725">
        <f>IF('Last Week'!$B11="","",'Last Week'!$A11)</f>
        <v/>
      </c>
      <c r="N2725">
        <f>IF('Last Week'!$B11="","",'Last Week'!$C11)</f>
        <v/>
      </c>
    </row>
    <row r="2726">
      <c r="A2726">
        <f>IF('Last Week'!$B12="","","Last week")</f>
        <v/>
      </c>
      <c r="B2726">
        <f>IF('Last Week'!$B12="","","Last week")</f>
        <v/>
      </c>
      <c r="C2726" s="18" t="n"/>
      <c r="F2726">
        <f>IF('Last Week'!$B12="","",'Last Week'!$B12&amp;"")</f>
        <v/>
      </c>
      <c r="J2726">
        <f>IF('Last Week'!$B12="","",'Last Week'!$A12)</f>
        <v/>
      </c>
      <c r="N2726">
        <f>IF('Last Week'!$B12="","",'Last Week'!$C12)</f>
        <v/>
      </c>
    </row>
    <row r="2727">
      <c r="A2727">
        <f>IF('Last Week'!$B13="","","Last week")</f>
        <v/>
      </c>
      <c r="B2727">
        <f>IF('Last Week'!$B13="","","Last week")</f>
        <v/>
      </c>
      <c r="C2727" s="18" t="n"/>
      <c r="F2727">
        <f>IF('Last Week'!$B13="","",'Last Week'!$B13&amp;"")</f>
        <v/>
      </c>
      <c r="J2727">
        <f>IF('Last Week'!$B13="","",'Last Week'!$A13)</f>
        <v/>
      </c>
      <c r="N2727">
        <f>IF('Last Week'!$B13="","",'Last Week'!$C13)</f>
        <v/>
      </c>
    </row>
    <row r="2728">
      <c r="A2728">
        <f>IF('Last Week'!$B14="","","Last week")</f>
        <v/>
      </c>
      <c r="B2728">
        <f>IF('Last Week'!$B14="","","Last week")</f>
        <v/>
      </c>
      <c r="C2728" s="18" t="n"/>
      <c r="F2728">
        <f>IF('Last Week'!$B14="","",'Last Week'!$B14&amp;"")</f>
        <v/>
      </c>
      <c r="J2728">
        <f>IF('Last Week'!$B14="","",'Last Week'!$A14)</f>
        <v/>
      </c>
      <c r="N2728">
        <f>IF('Last Week'!$B14="","",'Last Week'!$C14)</f>
        <v/>
      </c>
    </row>
    <row r="2729">
      <c r="A2729">
        <f>IF('Last Week'!$B15="","","Last week")</f>
        <v/>
      </c>
      <c r="B2729">
        <f>IF('Last Week'!$B15="","","Last week")</f>
        <v/>
      </c>
      <c r="C2729" s="18" t="n"/>
      <c r="F2729">
        <f>IF('Last Week'!$B15="","",'Last Week'!$B15&amp;"")</f>
        <v/>
      </c>
      <c r="J2729">
        <f>IF('Last Week'!$B15="","",'Last Week'!$A15)</f>
        <v/>
      </c>
      <c r="N2729">
        <f>IF('Last Week'!$B15="","",'Last Week'!$C15)</f>
        <v/>
      </c>
    </row>
    <row r="2730">
      <c r="A2730">
        <f>IF('Last Week'!$B16="","","Last week")</f>
        <v/>
      </c>
      <c r="B2730">
        <f>IF('Last Week'!$B16="","","Last week")</f>
        <v/>
      </c>
      <c r="C2730" s="18" t="n"/>
      <c r="F2730">
        <f>IF('Last Week'!$B16="","",'Last Week'!$B16&amp;"")</f>
        <v/>
      </c>
      <c r="J2730">
        <f>IF('Last Week'!$B16="","",'Last Week'!$A16)</f>
        <v/>
      </c>
      <c r="N2730">
        <f>IF('Last Week'!$B16="","",'Last Week'!$C16)</f>
        <v/>
      </c>
    </row>
    <row r="2731">
      <c r="A2731">
        <f>IF('Last Week'!$B17="","","Last week")</f>
        <v/>
      </c>
      <c r="B2731">
        <f>IF('Last Week'!$B17="","","Last week")</f>
        <v/>
      </c>
      <c r="C2731" s="18" t="n"/>
      <c r="F2731">
        <f>IF('Last Week'!$B17="","",'Last Week'!$B17&amp;"")</f>
        <v/>
      </c>
      <c r="J2731">
        <f>IF('Last Week'!$B17="","",'Last Week'!$A17)</f>
        <v/>
      </c>
      <c r="N2731">
        <f>IF('Last Week'!$B17="","",'Last Week'!$C17)</f>
        <v/>
      </c>
    </row>
    <row r="2732">
      <c r="A2732">
        <f>IF('Last Week'!$B18="","","Last week")</f>
        <v/>
      </c>
      <c r="B2732">
        <f>IF('Last Week'!$B18="","","Last week")</f>
        <v/>
      </c>
      <c r="C2732" s="18" t="n"/>
      <c r="F2732">
        <f>IF('Last Week'!$B18="","",'Last Week'!$B18&amp;"")</f>
        <v/>
      </c>
      <c r="J2732">
        <f>IF('Last Week'!$B18="","",'Last Week'!$A18)</f>
        <v/>
      </c>
      <c r="N2732">
        <f>IF('Last Week'!$B18="","",'Last Week'!$C18)</f>
        <v/>
      </c>
    </row>
    <row r="2733">
      <c r="A2733">
        <f>IF('Last Week'!$B19="","","Last week")</f>
        <v/>
      </c>
      <c r="B2733">
        <f>IF('Last Week'!$B19="","","Last week")</f>
        <v/>
      </c>
      <c r="C2733" s="18" t="n"/>
      <c r="F2733">
        <f>IF('Last Week'!$B19="","",'Last Week'!$B19&amp;"")</f>
        <v/>
      </c>
      <c r="J2733">
        <f>IF('Last Week'!$B19="","",'Last Week'!$A19)</f>
        <v/>
      </c>
      <c r="N2733">
        <f>IF('Last Week'!$B19="","",'Last Week'!$C19)</f>
        <v/>
      </c>
    </row>
    <row r="2734">
      <c r="A2734">
        <f>IF('Last Week'!$B20="","","Last week")</f>
        <v/>
      </c>
      <c r="B2734">
        <f>IF('Last Week'!$B20="","","Last week")</f>
        <v/>
      </c>
      <c r="C2734" s="18" t="n"/>
      <c r="F2734">
        <f>IF('Last Week'!$B20="","",'Last Week'!$B20&amp;"")</f>
        <v/>
      </c>
      <c r="J2734">
        <f>IF('Last Week'!$B20="","",'Last Week'!$A20)</f>
        <v/>
      </c>
      <c r="N2734">
        <f>IF('Last Week'!$B20="","",'Last Week'!$C20)</f>
        <v/>
      </c>
    </row>
    <row r="2735">
      <c r="A2735">
        <f>IF('Last Week'!$B21="","","Last week")</f>
        <v/>
      </c>
      <c r="B2735">
        <f>IF('Last Week'!$B21="","","Last week")</f>
        <v/>
      </c>
      <c r="C2735" s="18" t="n"/>
      <c r="F2735">
        <f>IF('Last Week'!$B21="","",'Last Week'!$B21&amp;"")</f>
        <v/>
      </c>
      <c r="J2735">
        <f>IF('Last Week'!$B21="","",'Last Week'!$A21)</f>
        <v/>
      </c>
      <c r="N2735">
        <f>IF('Last Week'!$B21="","",'Last Week'!$C21)</f>
        <v/>
      </c>
    </row>
    <row r="2736">
      <c r="A2736">
        <f>IF('Last Week'!$B22="","","Last week")</f>
        <v/>
      </c>
      <c r="B2736">
        <f>IF('Last Week'!$B22="","","Last week")</f>
        <v/>
      </c>
      <c r="C2736" s="18" t="n"/>
      <c r="F2736">
        <f>IF('Last Week'!$B22="","",'Last Week'!$B22&amp;"")</f>
        <v/>
      </c>
      <c r="J2736">
        <f>IF('Last Week'!$B22="","",'Last Week'!$A22)</f>
        <v/>
      </c>
      <c r="N2736">
        <f>IF('Last Week'!$B22="","",'Last Week'!$C22)</f>
        <v/>
      </c>
    </row>
    <row r="2737">
      <c r="A2737">
        <f>IF('Last Week'!$B23="","","Last week")</f>
        <v/>
      </c>
      <c r="B2737">
        <f>IF('Last Week'!$B23="","","Last week")</f>
        <v/>
      </c>
      <c r="C2737" s="18" t="n"/>
      <c r="F2737">
        <f>IF('Last Week'!$B23="","",'Last Week'!$B23&amp;"")</f>
        <v/>
      </c>
      <c r="J2737">
        <f>IF('Last Week'!$B23="","",'Last Week'!$A23)</f>
        <v/>
      </c>
      <c r="N2737">
        <f>IF('Last Week'!$B23="","",'Last Week'!$C23)</f>
        <v/>
      </c>
    </row>
    <row r="2738">
      <c r="A2738">
        <f>IF('Last Week'!$B24="","","Last week")</f>
        <v/>
      </c>
      <c r="B2738">
        <f>IF('Last Week'!$B24="","","Last week")</f>
        <v/>
      </c>
      <c r="C2738" s="18" t="n"/>
      <c r="F2738">
        <f>IF('Last Week'!$B24="","",'Last Week'!$B24&amp;"")</f>
        <v/>
      </c>
      <c r="J2738">
        <f>IF('Last Week'!$B24="","",'Last Week'!$A24)</f>
        <v/>
      </c>
      <c r="N2738">
        <f>IF('Last Week'!$B24="","",'Last Week'!$C24)</f>
        <v/>
      </c>
    </row>
    <row r="2739">
      <c r="A2739">
        <f>IF('Last Week'!$B25="","","Last week")</f>
        <v/>
      </c>
      <c r="B2739">
        <f>IF('Last Week'!$B25="","","Last week")</f>
        <v/>
      </c>
      <c r="C2739" s="18" t="n"/>
      <c r="F2739">
        <f>IF('Last Week'!$B25="","",'Last Week'!$B25&amp;"")</f>
        <v/>
      </c>
      <c r="J2739">
        <f>IF('Last Week'!$B25="","",'Last Week'!$A25)</f>
        <v/>
      </c>
      <c r="N2739">
        <f>IF('Last Week'!$B25="","",'Last Week'!$C25)</f>
        <v/>
      </c>
    </row>
    <row r="2740">
      <c r="A2740">
        <f>IF('Last Week'!$B26="","","Last week")</f>
        <v/>
      </c>
      <c r="B2740">
        <f>IF('Last Week'!$B26="","","Last week")</f>
        <v/>
      </c>
      <c r="C2740" s="18" t="n"/>
      <c r="F2740">
        <f>IF('Last Week'!$B26="","",'Last Week'!$B26&amp;"")</f>
        <v/>
      </c>
      <c r="J2740">
        <f>IF('Last Week'!$B26="","",'Last Week'!$A26)</f>
        <v/>
      </c>
      <c r="N2740">
        <f>IF('Last Week'!$B26="","",'Last Week'!$C26)</f>
        <v/>
      </c>
    </row>
    <row r="2741">
      <c r="A2741">
        <f>IF('Last Week'!$B27="","","Last week")</f>
        <v/>
      </c>
      <c r="B2741">
        <f>IF('Last Week'!$B27="","","Last week")</f>
        <v/>
      </c>
      <c r="C2741" s="18" t="n"/>
      <c r="F2741">
        <f>IF('Last Week'!$B27="","",'Last Week'!$B27&amp;"")</f>
        <v/>
      </c>
      <c r="J2741">
        <f>IF('Last Week'!$B27="","",'Last Week'!$A27)</f>
        <v/>
      </c>
      <c r="N2741">
        <f>IF('Last Week'!$B27="","",'Last Week'!$C27)</f>
        <v/>
      </c>
    </row>
    <row r="2742">
      <c r="A2742">
        <f>IF('Last Week'!$B28="","","Last week")</f>
        <v/>
      </c>
      <c r="B2742">
        <f>IF('Last Week'!$B28="","","Last week")</f>
        <v/>
      </c>
      <c r="C2742" s="18" t="n"/>
      <c r="F2742">
        <f>IF('Last Week'!$B28="","",'Last Week'!$B28&amp;"")</f>
        <v/>
      </c>
      <c r="J2742">
        <f>IF('Last Week'!$B28="","",'Last Week'!$A28)</f>
        <v/>
      </c>
      <c r="N2742">
        <f>IF('Last Week'!$B28="","",'Last Week'!$C28)</f>
        <v/>
      </c>
    </row>
    <row r="2743">
      <c r="A2743">
        <f>IF('Last Week'!$B29="","","Last week")</f>
        <v/>
      </c>
      <c r="B2743">
        <f>IF('Last Week'!$B29="","","Last week")</f>
        <v/>
      </c>
      <c r="C2743" s="18" t="n"/>
      <c r="F2743">
        <f>IF('Last Week'!$B29="","",'Last Week'!$B29&amp;"")</f>
        <v/>
      </c>
      <c r="J2743">
        <f>IF('Last Week'!$B29="","",'Last Week'!$A29)</f>
        <v/>
      </c>
      <c r="N2743">
        <f>IF('Last Week'!$B29="","",'Last Week'!$C29)</f>
        <v/>
      </c>
    </row>
    <row r="2744">
      <c r="A2744">
        <f>IF('Last Week'!$B30="","","Last week")</f>
        <v/>
      </c>
      <c r="B2744">
        <f>IF('Last Week'!$B30="","","Last week")</f>
        <v/>
      </c>
      <c r="C2744" s="18" t="n"/>
      <c r="F2744">
        <f>IF('Last Week'!$B30="","",'Last Week'!$B30&amp;"")</f>
        <v/>
      </c>
      <c r="J2744">
        <f>IF('Last Week'!$B30="","",'Last Week'!$A30)</f>
        <v/>
      </c>
      <c r="N2744">
        <f>IF('Last Week'!$B30="","",'Last Week'!$C30)</f>
        <v/>
      </c>
    </row>
    <row r="2745">
      <c r="A2745">
        <f>IF('Last Week'!$B31="","","Last week")</f>
        <v/>
      </c>
      <c r="B2745">
        <f>IF('Last Week'!$B31="","","Last week")</f>
        <v/>
      </c>
      <c r="C2745" s="18" t="n"/>
      <c r="F2745">
        <f>IF('Last Week'!$B31="","",'Last Week'!$B31&amp;"")</f>
        <v/>
      </c>
      <c r="J2745">
        <f>IF('Last Week'!$B31="","",'Last Week'!$A31)</f>
        <v/>
      </c>
      <c r="N2745">
        <f>IF('Last Week'!$B31="","",'Last Week'!$C31)</f>
        <v/>
      </c>
    </row>
    <row r="2746">
      <c r="A2746">
        <f>IF('Last Week'!$B32="","","Last week")</f>
        <v/>
      </c>
      <c r="B2746">
        <f>IF('Last Week'!$B32="","","Last week")</f>
        <v/>
      </c>
      <c r="C2746" s="18" t="n"/>
      <c r="F2746">
        <f>IF('Last Week'!$B32="","",'Last Week'!$B32&amp;"")</f>
        <v/>
      </c>
      <c r="J2746">
        <f>IF('Last Week'!$B32="","",'Last Week'!$A32)</f>
        <v/>
      </c>
      <c r="N2746">
        <f>IF('Last Week'!$B32="","",'Last Week'!$C32)</f>
        <v/>
      </c>
    </row>
    <row r="2747">
      <c r="A2747">
        <f>IF('Last Week'!$B33="","","Last week")</f>
        <v/>
      </c>
      <c r="B2747">
        <f>IF('Last Week'!$B33="","","Last week")</f>
        <v/>
      </c>
      <c r="C2747" s="18" t="n"/>
      <c r="F2747">
        <f>IF('Last Week'!$B33="","",'Last Week'!$B33&amp;"")</f>
        <v/>
      </c>
      <c r="J2747">
        <f>IF('Last Week'!$B33="","",'Last Week'!$A33)</f>
        <v/>
      </c>
      <c r="N2747">
        <f>IF('Last Week'!$B33="","",'Last Week'!$C33)</f>
        <v/>
      </c>
    </row>
    <row r="2748">
      <c r="A2748">
        <f>IF('Last Week'!$B34="","","Last week")</f>
        <v/>
      </c>
      <c r="B2748">
        <f>IF('Last Week'!$B34="","","Last week")</f>
        <v/>
      </c>
      <c r="C2748" s="18" t="n"/>
      <c r="F2748">
        <f>IF('Last Week'!$B34="","",'Last Week'!$B34&amp;"")</f>
        <v/>
      </c>
      <c r="J2748">
        <f>IF('Last Week'!$B34="","",'Last Week'!$A34)</f>
        <v/>
      </c>
      <c r="N2748">
        <f>IF('Last Week'!$B34="","",'Last Week'!$C34)</f>
        <v/>
      </c>
    </row>
    <row r="2749">
      <c r="A2749">
        <f>IF('Last Week'!$B35="","","Last week")</f>
        <v/>
      </c>
      <c r="B2749">
        <f>IF('Last Week'!$B35="","","Last week")</f>
        <v/>
      </c>
      <c r="C2749" s="18" t="n"/>
      <c r="F2749">
        <f>IF('Last Week'!$B35="","",'Last Week'!$B35&amp;"")</f>
        <v/>
      </c>
      <c r="J2749">
        <f>IF('Last Week'!$B35="","",'Last Week'!$A35)</f>
        <v/>
      </c>
      <c r="N2749">
        <f>IF('Last Week'!$B35="","",'Last Week'!$C35)</f>
        <v/>
      </c>
    </row>
    <row r="2750">
      <c r="A2750">
        <f>IF('Last Week'!$B36="","","Last week")</f>
        <v/>
      </c>
      <c r="B2750">
        <f>IF('Last Week'!$B36="","","Last week")</f>
        <v/>
      </c>
      <c r="C2750" s="18" t="n"/>
      <c r="F2750">
        <f>IF('Last Week'!$B36="","",'Last Week'!$B36&amp;"")</f>
        <v/>
      </c>
      <c r="J2750">
        <f>IF('Last Week'!$B36="","",'Last Week'!$A36)</f>
        <v/>
      </c>
      <c r="N2750">
        <f>IF('Last Week'!$B36="","",'Last Week'!$C36)</f>
        <v/>
      </c>
    </row>
    <row r="2751">
      <c r="A2751">
        <f>IF('Last Week'!$B37="","","Last week")</f>
        <v/>
      </c>
      <c r="B2751">
        <f>IF('Last Week'!$B37="","","Last week")</f>
        <v/>
      </c>
      <c r="C2751" s="18" t="n"/>
      <c r="F2751">
        <f>IF('Last Week'!$B37="","",'Last Week'!$B37&amp;"")</f>
        <v/>
      </c>
      <c r="J2751">
        <f>IF('Last Week'!$B37="","",'Last Week'!$A37)</f>
        <v/>
      </c>
      <c r="N2751">
        <f>IF('Last Week'!$B37="","",'Last Week'!$C37)</f>
        <v/>
      </c>
    </row>
    <row r="2752">
      <c r="A2752">
        <f>IF('Last Week'!$B38="","","Last week")</f>
        <v/>
      </c>
      <c r="B2752">
        <f>IF('Last Week'!$B38="","","Last week")</f>
        <v/>
      </c>
      <c r="C2752" s="18" t="n"/>
      <c r="F2752">
        <f>IF('Last Week'!$B38="","",'Last Week'!$B38&amp;"")</f>
        <v/>
      </c>
      <c r="J2752">
        <f>IF('Last Week'!$B38="","",'Last Week'!$A38)</f>
        <v/>
      </c>
      <c r="N2752">
        <f>IF('Last Week'!$B38="","",'Last Week'!$C38)</f>
        <v/>
      </c>
    </row>
    <row r="2753">
      <c r="A2753">
        <f>IF('Last Week'!$B39="","","Last week")</f>
        <v/>
      </c>
      <c r="B2753">
        <f>IF('Last Week'!$B39="","","Last week")</f>
        <v/>
      </c>
      <c r="C2753" s="18" t="n"/>
      <c r="F2753">
        <f>IF('Last Week'!$B39="","",'Last Week'!$B39&amp;"")</f>
        <v/>
      </c>
      <c r="J2753">
        <f>IF('Last Week'!$B39="","",'Last Week'!$A39)</f>
        <v/>
      </c>
      <c r="N2753">
        <f>IF('Last Week'!$B39="","",'Last Week'!$C39)</f>
        <v/>
      </c>
    </row>
    <row r="2754">
      <c r="A2754">
        <f>IF('Last Week'!$B40="","","Last week")</f>
        <v/>
      </c>
      <c r="B2754">
        <f>IF('Last Week'!$B40="","","Last week")</f>
        <v/>
      </c>
      <c r="C2754" s="18" t="n"/>
      <c r="F2754">
        <f>IF('Last Week'!$B40="","",'Last Week'!$B40&amp;"")</f>
        <v/>
      </c>
      <c r="J2754">
        <f>IF('Last Week'!$B40="","",'Last Week'!$A40)</f>
        <v/>
      </c>
      <c r="N2754">
        <f>IF('Last Week'!$B40="","",'Last Week'!$C40)</f>
        <v/>
      </c>
    </row>
    <row r="2755">
      <c r="A2755">
        <f>IF('Last Week'!$B41="","","Last week")</f>
        <v/>
      </c>
      <c r="B2755">
        <f>IF('Last Week'!$B41="","","Last week")</f>
        <v/>
      </c>
      <c r="C2755" s="18" t="n"/>
      <c r="F2755">
        <f>IF('Last Week'!$B41="","",'Last Week'!$B41&amp;"")</f>
        <v/>
      </c>
      <c r="J2755">
        <f>IF('Last Week'!$B41="","",'Last Week'!$A41)</f>
        <v/>
      </c>
      <c r="N2755">
        <f>IF('Last Week'!$B41="","",'Last Week'!$C41)</f>
        <v/>
      </c>
    </row>
    <row r="2756">
      <c r="A2756">
        <f>IF('Last Week'!$B42="","","Last week")</f>
        <v/>
      </c>
      <c r="B2756">
        <f>IF('Last Week'!$B42="","","Last week")</f>
        <v/>
      </c>
      <c r="C2756" s="18" t="n"/>
      <c r="F2756">
        <f>IF('Last Week'!$B42="","",'Last Week'!$B42&amp;"")</f>
        <v/>
      </c>
      <c r="J2756">
        <f>IF('Last Week'!$B42="","",'Last Week'!$A42)</f>
        <v/>
      </c>
      <c r="N2756">
        <f>IF('Last Week'!$B42="","",'Last Week'!$C42)</f>
        <v/>
      </c>
    </row>
    <row r="2757">
      <c r="A2757">
        <f>IF('Last Week'!$B43="","","Last week")</f>
        <v/>
      </c>
      <c r="B2757">
        <f>IF('Last Week'!$B43="","","Last week")</f>
        <v/>
      </c>
      <c r="C2757" s="18" t="n"/>
      <c r="F2757">
        <f>IF('Last Week'!$B43="","",'Last Week'!$B43&amp;"")</f>
        <v/>
      </c>
      <c r="J2757">
        <f>IF('Last Week'!$B43="","",'Last Week'!$A43)</f>
        <v/>
      </c>
      <c r="N2757">
        <f>IF('Last Week'!$B43="","",'Last Week'!$C43)</f>
        <v/>
      </c>
    </row>
    <row r="2758">
      <c r="A2758">
        <f>IF('Last Week'!$B44="","","Last week")</f>
        <v/>
      </c>
      <c r="B2758">
        <f>IF('Last Week'!$B44="","","Last week")</f>
        <v/>
      </c>
      <c r="C2758" s="18" t="n"/>
      <c r="F2758">
        <f>IF('Last Week'!$B44="","",'Last Week'!$B44&amp;"")</f>
        <v/>
      </c>
      <c r="J2758">
        <f>IF('Last Week'!$B44="","",'Last Week'!$A44)</f>
        <v/>
      </c>
      <c r="N2758">
        <f>IF('Last Week'!$B44="","",'Last Week'!$C44)</f>
        <v/>
      </c>
    </row>
    <row r="2759">
      <c r="A2759">
        <f>IF('Last Week'!$B45="","","Last week")</f>
        <v/>
      </c>
      <c r="B2759">
        <f>IF('Last Week'!$B45="","","Last week")</f>
        <v/>
      </c>
      <c r="C2759" s="18" t="n"/>
      <c r="F2759">
        <f>IF('Last Week'!$B45="","",'Last Week'!$B45&amp;"")</f>
        <v/>
      </c>
      <c r="J2759">
        <f>IF('Last Week'!$B45="","",'Last Week'!$A45)</f>
        <v/>
      </c>
      <c r="N2759">
        <f>IF('Last Week'!$B45="","",'Last Week'!$C45)</f>
        <v/>
      </c>
    </row>
    <row r="2760">
      <c r="A2760">
        <f>IF('Last Week'!$B46="","","Last week")</f>
        <v/>
      </c>
      <c r="B2760">
        <f>IF('Last Week'!$B46="","","Last week")</f>
        <v/>
      </c>
      <c r="C2760" s="18" t="n"/>
      <c r="F2760">
        <f>IF('Last Week'!$B46="","",'Last Week'!$B46&amp;"")</f>
        <v/>
      </c>
      <c r="J2760">
        <f>IF('Last Week'!$B46="","",'Last Week'!$A46)</f>
        <v/>
      </c>
      <c r="N2760">
        <f>IF('Last Week'!$B46="","",'Last Week'!$C46)</f>
        <v/>
      </c>
    </row>
    <row r="2761">
      <c r="A2761">
        <f>IF('Last Week'!$B47="","","Last week")</f>
        <v/>
      </c>
      <c r="B2761">
        <f>IF('Last Week'!$B47="","","Last week")</f>
        <v/>
      </c>
      <c r="C2761" s="18" t="n"/>
      <c r="F2761">
        <f>IF('Last Week'!$B47="","",'Last Week'!$B47&amp;"")</f>
        <v/>
      </c>
      <c r="J2761">
        <f>IF('Last Week'!$B47="","",'Last Week'!$A47)</f>
        <v/>
      </c>
      <c r="N2761">
        <f>IF('Last Week'!$B47="","",'Last Week'!$C47)</f>
        <v/>
      </c>
    </row>
    <row r="2762">
      <c r="A2762">
        <f>IF('Last Week'!$B48="","","Last week")</f>
        <v/>
      </c>
      <c r="B2762">
        <f>IF('Last Week'!$B48="","","Last week")</f>
        <v/>
      </c>
      <c r="C2762" s="18" t="n"/>
      <c r="F2762">
        <f>IF('Last Week'!$B48="","",'Last Week'!$B48&amp;"")</f>
        <v/>
      </c>
      <c r="J2762">
        <f>IF('Last Week'!$B48="","",'Last Week'!$A48)</f>
        <v/>
      </c>
      <c r="N2762">
        <f>IF('Last Week'!$B48="","",'Last Week'!$C48)</f>
        <v/>
      </c>
    </row>
    <row r="2763">
      <c r="A2763">
        <f>IF('Last Week'!$B49="","","Last week")</f>
        <v/>
      </c>
      <c r="B2763">
        <f>IF('Last Week'!$B49="","","Last week")</f>
        <v/>
      </c>
      <c r="C2763" s="18" t="n"/>
      <c r="F2763">
        <f>IF('Last Week'!$B49="","",'Last Week'!$B49&amp;"")</f>
        <v/>
      </c>
      <c r="J2763">
        <f>IF('Last Week'!$B49="","",'Last Week'!$A49)</f>
        <v/>
      </c>
      <c r="N2763">
        <f>IF('Last Week'!$B49="","",'Last Week'!$C49)</f>
        <v/>
      </c>
    </row>
    <row r="2764">
      <c r="A2764">
        <f>IF('Last Week'!$B50="","","Last week")</f>
        <v/>
      </c>
      <c r="B2764">
        <f>IF('Last Week'!$B50="","","Last week")</f>
        <v/>
      </c>
      <c r="C2764" s="18" t="n"/>
      <c r="F2764">
        <f>IF('Last Week'!$B50="","",'Last Week'!$B50&amp;"")</f>
        <v/>
      </c>
      <c r="J2764">
        <f>IF('Last Week'!$B50="","",'Last Week'!$A50)</f>
        <v/>
      </c>
      <c r="N2764">
        <f>IF('Last Week'!$B50="","",'Last Week'!$C50)</f>
        <v/>
      </c>
    </row>
    <row r="2765">
      <c r="A2765">
        <f>IF('Last Week'!$B51="","","Last week")</f>
        <v/>
      </c>
      <c r="B2765">
        <f>IF('Last Week'!$B51="","","Last week")</f>
        <v/>
      </c>
      <c r="C2765" s="18" t="n"/>
      <c r="F2765">
        <f>IF('Last Week'!$B51="","",'Last Week'!$B51&amp;"")</f>
        <v/>
      </c>
      <c r="J2765">
        <f>IF('Last Week'!$B51="","",'Last Week'!$A51)</f>
        <v/>
      </c>
      <c r="N2765">
        <f>IF('Last Week'!$B51="","",'Last Week'!$C51)</f>
        <v/>
      </c>
    </row>
    <row r="2766">
      <c r="A2766">
        <f>IF('Last Week'!$B52="","","Last week")</f>
        <v/>
      </c>
      <c r="B2766">
        <f>IF('Last Week'!$B52="","","Last week")</f>
        <v/>
      </c>
      <c r="C2766" s="18" t="n"/>
      <c r="F2766">
        <f>IF('Last Week'!$B52="","",'Last Week'!$B52&amp;"")</f>
        <v/>
      </c>
      <c r="J2766">
        <f>IF('Last Week'!$B52="","",'Last Week'!$A52)</f>
        <v/>
      </c>
      <c r="N2766">
        <f>IF('Last Week'!$B52="","",'Last Week'!$C52)</f>
        <v/>
      </c>
    </row>
    <row r="2767">
      <c r="A2767">
        <f>IF('Last Week'!$B53="","","Last week")</f>
        <v/>
      </c>
      <c r="B2767">
        <f>IF('Last Week'!$B53="","","Last week")</f>
        <v/>
      </c>
      <c r="C2767" s="18" t="n"/>
      <c r="F2767">
        <f>IF('Last Week'!$B53="","",'Last Week'!$B53&amp;"")</f>
        <v/>
      </c>
      <c r="J2767">
        <f>IF('Last Week'!$B53="","",'Last Week'!$A53)</f>
        <v/>
      </c>
      <c r="N2767">
        <f>IF('Last Week'!$B53="","",'Last Week'!$C53)</f>
        <v/>
      </c>
    </row>
    <row r="2768">
      <c r="A2768">
        <f>IF('Last Week'!$B54="","","Last week")</f>
        <v/>
      </c>
      <c r="B2768">
        <f>IF('Last Week'!$B54="","","Last week")</f>
        <v/>
      </c>
      <c r="C2768" s="18" t="n"/>
      <c r="F2768">
        <f>IF('Last Week'!$B54="","",'Last Week'!$B54&amp;"")</f>
        <v/>
      </c>
      <c r="J2768">
        <f>IF('Last Week'!$B54="","",'Last Week'!$A54)</f>
        <v/>
      </c>
      <c r="N2768">
        <f>IF('Last Week'!$B54="","",'Last Week'!$C54)</f>
        <v/>
      </c>
    </row>
    <row r="2769">
      <c r="A2769">
        <f>IF('Last Week'!$B55="","","Last week")</f>
        <v/>
      </c>
      <c r="B2769">
        <f>IF('Last Week'!$B55="","","Last week")</f>
        <v/>
      </c>
      <c r="C2769" s="18" t="n"/>
      <c r="F2769">
        <f>IF('Last Week'!$B55="","",'Last Week'!$B55&amp;"")</f>
        <v/>
      </c>
      <c r="J2769">
        <f>IF('Last Week'!$B55="","",'Last Week'!$A55)</f>
        <v/>
      </c>
      <c r="N2769">
        <f>IF('Last Week'!$B55="","",'Last Week'!$C55)</f>
        <v/>
      </c>
    </row>
    <row r="2770">
      <c r="A2770">
        <f>IF('Last Week'!$B56="","","Last week")</f>
        <v/>
      </c>
      <c r="B2770">
        <f>IF('Last Week'!$B56="","","Last week")</f>
        <v/>
      </c>
      <c r="C2770" s="18" t="n"/>
      <c r="F2770">
        <f>IF('Last Week'!$B56="","",'Last Week'!$B56&amp;"")</f>
        <v/>
      </c>
      <c r="J2770">
        <f>IF('Last Week'!$B56="","",'Last Week'!$A56)</f>
        <v/>
      </c>
      <c r="N2770">
        <f>IF('Last Week'!$B56="","",'Last Week'!$C56)</f>
        <v/>
      </c>
    </row>
    <row r="2771">
      <c r="A2771">
        <f>IF('Last Week'!$B57="","","Last week")</f>
        <v/>
      </c>
      <c r="B2771">
        <f>IF('Last Week'!$B57="","","Last week")</f>
        <v/>
      </c>
      <c r="C2771" s="18" t="n"/>
      <c r="F2771">
        <f>IF('Last Week'!$B57="","",'Last Week'!$B57&amp;"")</f>
        <v/>
      </c>
      <c r="J2771">
        <f>IF('Last Week'!$B57="","",'Last Week'!$A57)</f>
        <v/>
      </c>
      <c r="N2771">
        <f>IF('Last Week'!$B57="","",'Last Week'!$C57)</f>
        <v/>
      </c>
    </row>
    <row r="2772">
      <c r="A2772">
        <f>IF('Last Week'!$B58="","","Last week")</f>
        <v/>
      </c>
      <c r="B2772">
        <f>IF('Last Week'!$B58="","","Last week")</f>
        <v/>
      </c>
      <c r="C2772" s="18" t="n"/>
      <c r="F2772">
        <f>IF('Last Week'!$B58="","",'Last Week'!$B58&amp;"")</f>
        <v/>
      </c>
      <c r="J2772">
        <f>IF('Last Week'!$B58="","",'Last Week'!$A58)</f>
        <v/>
      </c>
      <c r="N2772">
        <f>IF('Last Week'!$B58="","",'Last Week'!$C58)</f>
        <v/>
      </c>
    </row>
    <row r="2773">
      <c r="A2773">
        <f>IF('Last Week'!$B59="","","Last week")</f>
        <v/>
      </c>
      <c r="B2773">
        <f>IF('Last Week'!$B59="","","Last week")</f>
        <v/>
      </c>
      <c r="C2773" s="18" t="n"/>
      <c r="F2773">
        <f>IF('Last Week'!$B59="","",'Last Week'!$B59&amp;"")</f>
        <v/>
      </c>
      <c r="J2773">
        <f>IF('Last Week'!$B59="","",'Last Week'!$A59)</f>
        <v/>
      </c>
      <c r="N2773">
        <f>IF('Last Week'!$B59="","",'Last Week'!$C59)</f>
        <v/>
      </c>
    </row>
    <row r="2774">
      <c r="A2774">
        <f>IF('Last Week'!$B60="","","Last week")</f>
        <v/>
      </c>
      <c r="B2774">
        <f>IF('Last Week'!$B60="","","Last week")</f>
        <v/>
      </c>
      <c r="C2774" s="18" t="n"/>
      <c r="F2774">
        <f>IF('Last Week'!$B60="","",'Last Week'!$B60&amp;"")</f>
        <v/>
      </c>
      <c r="J2774">
        <f>IF('Last Week'!$B60="","",'Last Week'!$A60)</f>
        <v/>
      </c>
      <c r="N2774">
        <f>IF('Last Week'!$B60="","",'Last Week'!$C60)</f>
        <v/>
      </c>
    </row>
    <row r="2775">
      <c r="A2775">
        <f>IF('Last Week'!$B61="","","Last week")</f>
        <v/>
      </c>
      <c r="B2775">
        <f>IF('Last Week'!$B61="","","Last week")</f>
        <v/>
      </c>
      <c r="C2775" s="18" t="n"/>
      <c r="F2775">
        <f>IF('Last Week'!$B61="","",'Last Week'!$B61&amp;"")</f>
        <v/>
      </c>
      <c r="J2775">
        <f>IF('Last Week'!$B61="","",'Last Week'!$A61)</f>
        <v/>
      </c>
      <c r="N2775">
        <f>IF('Last Week'!$B61="","",'Last Week'!$C61)</f>
        <v/>
      </c>
    </row>
    <row r="2776">
      <c r="A2776">
        <f>IF('Last Week'!$B62="","","Last week")</f>
        <v/>
      </c>
      <c r="B2776">
        <f>IF('Last Week'!$B62="","","Last week")</f>
        <v/>
      </c>
      <c r="C2776" s="18" t="n"/>
      <c r="F2776">
        <f>IF('Last Week'!$B62="","",'Last Week'!$B62&amp;"")</f>
        <v/>
      </c>
      <c r="J2776">
        <f>IF('Last Week'!$B62="","",'Last Week'!$A62)</f>
        <v/>
      </c>
      <c r="N2776">
        <f>IF('Last Week'!$B62="","",'Last Week'!$C62)</f>
        <v/>
      </c>
    </row>
    <row r="2777">
      <c r="A2777">
        <f>IF('Last Week'!$B63="","","Last week")</f>
        <v/>
      </c>
      <c r="B2777">
        <f>IF('Last Week'!$B63="","","Last week")</f>
        <v/>
      </c>
      <c r="C2777" s="18" t="n"/>
      <c r="F2777">
        <f>IF('Last Week'!$B63="","",'Last Week'!$B63&amp;"")</f>
        <v/>
      </c>
      <c r="J2777">
        <f>IF('Last Week'!$B63="","",'Last Week'!$A63)</f>
        <v/>
      </c>
      <c r="N2777">
        <f>IF('Last Week'!$B63="","",'Last Week'!$C63)</f>
        <v/>
      </c>
    </row>
    <row r="2778">
      <c r="A2778">
        <f>IF('Last Week'!$B64="","","Last week")</f>
        <v/>
      </c>
      <c r="B2778">
        <f>IF('Last Week'!$B64="","","Last week")</f>
        <v/>
      </c>
      <c r="C2778" s="18" t="n"/>
      <c r="F2778">
        <f>IF('Last Week'!$B64="","",'Last Week'!$B64&amp;"")</f>
        <v/>
      </c>
      <c r="J2778">
        <f>IF('Last Week'!$B64="","",'Last Week'!$A64)</f>
        <v/>
      </c>
      <c r="N2778">
        <f>IF('Last Week'!$B64="","",'Last Week'!$C64)</f>
        <v/>
      </c>
    </row>
    <row r="2779">
      <c r="A2779">
        <f>IF('Last Week'!$B65="","","Last week")</f>
        <v/>
      </c>
      <c r="B2779">
        <f>IF('Last Week'!$B65="","","Last week")</f>
        <v/>
      </c>
      <c r="C2779" s="18" t="n"/>
      <c r="F2779">
        <f>IF('Last Week'!$B65="","",'Last Week'!$B65&amp;"")</f>
        <v/>
      </c>
      <c r="J2779">
        <f>IF('Last Week'!$B65="","",'Last Week'!$A65)</f>
        <v/>
      </c>
      <c r="N2779">
        <f>IF('Last Week'!$B65="","",'Last Week'!$C65)</f>
        <v/>
      </c>
    </row>
    <row r="2780">
      <c r="A2780">
        <f>IF('Last Week'!$B66="","","Last week")</f>
        <v/>
      </c>
      <c r="B2780">
        <f>IF('Last Week'!$B66="","","Last week")</f>
        <v/>
      </c>
      <c r="C2780" s="18" t="n"/>
      <c r="F2780">
        <f>IF('Last Week'!$B66="","",'Last Week'!$B66&amp;"")</f>
        <v/>
      </c>
      <c r="J2780">
        <f>IF('Last Week'!$B66="","",'Last Week'!$A66)</f>
        <v/>
      </c>
      <c r="N2780">
        <f>IF('Last Week'!$B66="","",'Last Week'!$C66)</f>
        <v/>
      </c>
    </row>
    <row r="2781">
      <c r="A2781">
        <f>IF('Last Week'!$B67="","","Last week")</f>
        <v/>
      </c>
      <c r="B2781">
        <f>IF('Last Week'!$B67="","","Last week")</f>
        <v/>
      </c>
      <c r="C2781" s="18" t="n"/>
      <c r="F2781">
        <f>IF('Last Week'!$B67="","",'Last Week'!$B67&amp;"")</f>
        <v/>
      </c>
      <c r="J2781">
        <f>IF('Last Week'!$B67="","",'Last Week'!$A67)</f>
        <v/>
      </c>
      <c r="N2781">
        <f>IF('Last Week'!$B67="","",'Last Week'!$C67)</f>
        <v/>
      </c>
    </row>
    <row r="2782">
      <c r="A2782">
        <f>IF('Last Week'!$B68="","","Last week")</f>
        <v/>
      </c>
      <c r="B2782">
        <f>IF('Last Week'!$B68="","","Last week")</f>
        <v/>
      </c>
      <c r="C2782" s="18" t="n"/>
      <c r="F2782">
        <f>IF('Last Week'!$B68="","",'Last Week'!$B68&amp;"")</f>
        <v/>
      </c>
      <c r="J2782">
        <f>IF('Last Week'!$B68="","",'Last Week'!$A68)</f>
        <v/>
      </c>
      <c r="N2782">
        <f>IF('Last Week'!$B68="","",'Last Week'!$C68)</f>
        <v/>
      </c>
    </row>
    <row r="2783">
      <c r="A2783">
        <f>IF('Last Week'!$B69="","","Last week")</f>
        <v/>
      </c>
      <c r="B2783">
        <f>IF('Last Week'!$B69="","","Last week")</f>
        <v/>
      </c>
      <c r="C2783" s="18" t="n"/>
      <c r="F2783">
        <f>IF('Last Week'!$B69="","",'Last Week'!$B69&amp;"")</f>
        <v/>
      </c>
      <c r="J2783">
        <f>IF('Last Week'!$B69="","",'Last Week'!$A69)</f>
        <v/>
      </c>
      <c r="N2783">
        <f>IF('Last Week'!$B69="","",'Last Week'!$C69)</f>
        <v/>
      </c>
    </row>
    <row r="2784">
      <c r="A2784">
        <f>IF('Last Week'!$B70="","","Last week")</f>
        <v/>
      </c>
      <c r="B2784">
        <f>IF('Last Week'!$B70="","","Last week")</f>
        <v/>
      </c>
      <c r="C2784" s="18" t="n"/>
      <c r="F2784">
        <f>IF('Last Week'!$B70="","",'Last Week'!$B70&amp;"")</f>
        <v/>
      </c>
      <c r="J2784">
        <f>IF('Last Week'!$B70="","",'Last Week'!$A70)</f>
        <v/>
      </c>
      <c r="N2784">
        <f>IF('Last Week'!$B70="","",'Last Week'!$C70)</f>
        <v/>
      </c>
    </row>
    <row r="2785">
      <c r="A2785">
        <f>IF('Last Week'!$B71="","","Last week")</f>
        <v/>
      </c>
      <c r="B2785">
        <f>IF('Last Week'!$B71="","","Last week")</f>
        <v/>
      </c>
      <c r="C2785" s="18" t="n"/>
      <c r="F2785">
        <f>IF('Last Week'!$B71="","",'Last Week'!$B71&amp;"")</f>
        <v/>
      </c>
      <c r="J2785">
        <f>IF('Last Week'!$B71="","",'Last Week'!$A71)</f>
        <v/>
      </c>
      <c r="N2785">
        <f>IF('Last Week'!$B71="","",'Last Week'!$C71)</f>
        <v/>
      </c>
    </row>
    <row r="2786">
      <c r="A2786">
        <f>IF('Last Week'!$B72="","","Last week")</f>
        <v/>
      </c>
      <c r="B2786">
        <f>IF('Last Week'!$B72="","","Last week")</f>
        <v/>
      </c>
      <c r="C2786" s="18" t="n"/>
      <c r="F2786">
        <f>IF('Last Week'!$B72="","",'Last Week'!$B72&amp;"")</f>
        <v/>
      </c>
      <c r="J2786">
        <f>IF('Last Week'!$B72="","",'Last Week'!$A72)</f>
        <v/>
      </c>
      <c r="N2786">
        <f>IF('Last Week'!$B72="","",'Last Week'!$C72)</f>
        <v/>
      </c>
    </row>
    <row r="2787">
      <c r="A2787">
        <f>IF('Last Week'!$B73="","","Last week")</f>
        <v/>
      </c>
      <c r="B2787">
        <f>IF('Last Week'!$B73="","","Last week")</f>
        <v/>
      </c>
      <c r="C2787" s="18" t="n"/>
      <c r="F2787">
        <f>IF('Last Week'!$B73="","",'Last Week'!$B73&amp;"")</f>
        <v/>
      </c>
      <c r="J2787">
        <f>IF('Last Week'!$B73="","",'Last Week'!$A73)</f>
        <v/>
      </c>
      <c r="N2787">
        <f>IF('Last Week'!$B73="","",'Last Week'!$C73)</f>
        <v/>
      </c>
    </row>
    <row r="2788">
      <c r="A2788">
        <f>IF('Last Week'!$B74="","","Last week")</f>
        <v/>
      </c>
      <c r="B2788">
        <f>IF('Last Week'!$B74="","","Last week")</f>
        <v/>
      </c>
      <c r="C2788" s="18" t="n"/>
      <c r="F2788">
        <f>IF('Last Week'!$B74="","",'Last Week'!$B74&amp;"")</f>
        <v/>
      </c>
      <c r="J2788">
        <f>IF('Last Week'!$B74="","",'Last Week'!$A74)</f>
        <v/>
      </c>
      <c r="N2788">
        <f>IF('Last Week'!$B74="","",'Last Week'!$C74)</f>
        <v/>
      </c>
    </row>
    <row r="2789">
      <c r="A2789">
        <f>IF('Last Week'!$B75="","","Last week")</f>
        <v/>
      </c>
      <c r="B2789">
        <f>IF('Last Week'!$B75="","","Last week")</f>
        <v/>
      </c>
      <c r="C2789" s="18" t="n"/>
      <c r="F2789">
        <f>IF('Last Week'!$B75="","",'Last Week'!$B75&amp;"")</f>
        <v/>
      </c>
      <c r="J2789">
        <f>IF('Last Week'!$B75="","",'Last Week'!$A75)</f>
        <v/>
      </c>
      <c r="N2789">
        <f>IF('Last Week'!$B75="","",'Last Week'!$C75)</f>
        <v/>
      </c>
    </row>
    <row r="2790">
      <c r="A2790">
        <f>IF('Last Week'!$B76="","","Last week")</f>
        <v/>
      </c>
      <c r="B2790">
        <f>IF('Last Week'!$B76="","","Last week")</f>
        <v/>
      </c>
      <c r="C2790" s="18" t="n"/>
      <c r="F2790">
        <f>IF('Last Week'!$B76="","",'Last Week'!$B76&amp;"")</f>
        <v/>
      </c>
      <c r="J2790">
        <f>IF('Last Week'!$B76="","",'Last Week'!$A76)</f>
        <v/>
      </c>
      <c r="N2790">
        <f>IF('Last Week'!$B76="","",'Last Week'!$C76)</f>
        <v/>
      </c>
    </row>
    <row r="2791">
      <c r="A2791">
        <f>IF('Last Week'!$B77="","","Last week")</f>
        <v/>
      </c>
      <c r="B2791">
        <f>IF('Last Week'!$B77="","","Last week")</f>
        <v/>
      </c>
      <c r="C2791" s="18" t="n"/>
      <c r="F2791">
        <f>IF('Last Week'!$B77="","",'Last Week'!$B77&amp;"")</f>
        <v/>
      </c>
      <c r="J2791">
        <f>IF('Last Week'!$B77="","",'Last Week'!$A77)</f>
        <v/>
      </c>
      <c r="N2791">
        <f>IF('Last Week'!$B77="","",'Last Week'!$C77)</f>
        <v/>
      </c>
    </row>
    <row r="2792">
      <c r="A2792">
        <f>IF('Last Week'!$B78="","","Last week")</f>
        <v/>
      </c>
      <c r="B2792">
        <f>IF('Last Week'!$B78="","","Last week")</f>
        <v/>
      </c>
      <c r="C2792" s="18" t="n"/>
      <c r="F2792">
        <f>IF('Last Week'!$B78="","",'Last Week'!$B78&amp;"")</f>
        <v/>
      </c>
      <c r="J2792">
        <f>IF('Last Week'!$B78="","",'Last Week'!$A78)</f>
        <v/>
      </c>
      <c r="N2792">
        <f>IF('Last Week'!$B78="","",'Last Week'!$C78)</f>
        <v/>
      </c>
    </row>
    <row r="2793">
      <c r="A2793">
        <f>IF('Last Week'!$B79="","","Last week")</f>
        <v/>
      </c>
      <c r="B2793">
        <f>IF('Last Week'!$B79="","","Last week")</f>
        <v/>
      </c>
      <c r="C2793" s="18" t="n"/>
      <c r="F2793">
        <f>IF('Last Week'!$B79="","",'Last Week'!$B79&amp;"")</f>
        <v/>
      </c>
      <c r="J2793">
        <f>IF('Last Week'!$B79="","",'Last Week'!$A79)</f>
        <v/>
      </c>
      <c r="N2793">
        <f>IF('Last Week'!$B79="","",'Last Week'!$C79)</f>
        <v/>
      </c>
    </row>
    <row r="2794">
      <c r="A2794">
        <f>IF('Last Week'!$B80="","","Last week")</f>
        <v/>
      </c>
      <c r="B2794">
        <f>IF('Last Week'!$B80="","","Last week")</f>
        <v/>
      </c>
      <c r="C2794" s="18" t="n"/>
      <c r="F2794">
        <f>IF('Last Week'!$B80="","",'Last Week'!$B80&amp;"")</f>
        <v/>
      </c>
      <c r="J2794">
        <f>IF('Last Week'!$B80="","",'Last Week'!$A80)</f>
        <v/>
      </c>
      <c r="N2794">
        <f>IF('Last Week'!$B80="","",'Last Week'!$C80)</f>
        <v/>
      </c>
    </row>
    <row r="2795">
      <c r="A2795">
        <f>IF('Last Week'!$B81="","","Last week")</f>
        <v/>
      </c>
      <c r="B2795">
        <f>IF('Last Week'!$B81="","","Last week")</f>
        <v/>
      </c>
      <c r="C2795" s="18" t="n"/>
      <c r="F2795">
        <f>IF('Last Week'!$B81="","",'Last Week'!$B81&amp;"")</f>
        <v/>
      </c>
      <c r="J2795">
        <f>IF('Last Week'!$B81="","",'Last Week'!$A81)</f>
        <v/>
      </c>
      <c r="N2795">
        <f>IF('Last Week'!$B81="","",'Last Week'!$C81)</f>
        <v/>
      </c>
    </row>
    <row r="2796">
      <c r="A2796">
        <f>IF('Last Week'!$B82="","","Last week")</f>
        <v/>
      </c>
      <c r="B2796">
        <f>IF('Last Week'!$B82="","","Last week")</f>
        <v/>
      </c>
      <c r="C2796" s="18" t="n"/>
      <c r="F2796">
        <f>IF('Last Week'!$B82="","",'Last Week'!$B82&amp;"")</f>
        <v/>
      </c>
      <c r="J2796">
        <f>IF('Last Week'!$B82="","",'Last Week'!$A82)</f>
        <v/>
      </c>
      <c r="N2796">
        <f>IF('Last Week'!$B82="","",'Last Week'!$C82)</f>
        <v/>
      </c>
    </row>
    <row r="2797">
      <c r="A2797">
        <f>IF('Last Week'!$B83="","","Last week")</f>
        <v/>
      </c>
      <c r="B2797">
        <f>IF('Last Week'!$B83="","","Last week")</f>
        <v/>
      </c>
      <c r="C2797" s="18" t="n"/>
      <c r="F2797">
        <f>IF('Last Week'!$B83="","",'Last Week'!$B83&amp;"")</f>
        <v/>
      </c>
      <c r="J2797">
        <f>IF('Last Week'!$B83="","",'Last Week'!$A83)</f>
        <v/>
      </c>
      <c r="N2797">
        <f>IF('Last Week'!$B83="","",'Last Week'!$C83)</f>
        <v/>
      </c>
    </row>
    <row r="2798">
      <c r="A2798">
        <f>IF('Last Week'!$B84="","","Last week")</f>
        <v/>
      </c>
      <c r="B2798">
        <f>IF('Last Week'!$B84="","","Last week")</f>
        <v/>
      </c>
      <c r="C2798" s="18" t="n"/>
      <c r="F2798">
        <f>IF('Last Week'!$B84="","",'Last Week'!$B84&amp;"")</f>
        <v/>
      </c>
      <c r="J2798">
        <f>IF('Last Week'!$B84="","",'Last Week'!$A84)</f>
        <v/>
      </c>
      <c r="N2798">
        <f>IF('Last Week'!$B84="","",'Last Week'!$C84)</f>
        <v/>
      </c>
    </row>
    <row r="2799">
      <c r="A2799">
        <f>IF('Last Week'!$B85="","","Last week")</f>
        <v/>
      </c>
      <c r="B2799">
        <f>IF('Last Week'!$B85="","","Last week")</f>
        <v/>
      </c>
      <c r="C2799" s="18" t="n"/>
      <c r="F2799">
        <f>IF('Last Week'!$B85="","",'Last Week'!$B85&amp;"")</f>
        <v/>
      </c>
      <c r="J2799">
        <f>IF('Last Week'!$B85="","",'Last Week'!$A85)</f>
        <v/>
      </c>
      <c r="N2799">
        <f>IF('Last Week'!$B85="","",'Last Week'!$C85)</f>
        <v/>
      </c>
    </row>
    <row r="2800">
      <c r="A2800">
        <f>IF('Last Week'!$B86="","","Last week")</f>
        <v/>
      </c>
      <c r="B2800">
        <f>IF('Last Week'!$B86="","","Last week")</f>
        <v/>
      </c>
      <c r="C2800" s="18" t="n"/>
      <c r="F2800">
        <f>IF('Last Week'!$B86="","",'Last Week'!$B86&amp;"")</f>
        <v/>
      </c>
      <c r="J2800">
        <f>IF('Last Week'!$B86="","",'Last Week'!$A86)</f>
        <v/>
      </c>
      <c r="N2800">
        <f>IF('Last Week'!$B86="","",'Last Week'!$C86)</f>
        <v/>
      </c>
    </row>
    <row r="2801">
      <c r="A2801">
        <f>IF('Last Week'!$B87="","","Last week")</f>
        <v/>
      </c>
      <c r="B2801">
        <f>IF('Last Week'!$B87="","","Last week")</f>
        <v/>
      </c>
      <c r="C2801" s="18" t="n"/>
      <c r="F2801">
        <f>IF('Last Week'!$B87="","",'Last Week'!$B87&amp;"")</f>
        <v/>
      </c>
      <c r="J2801">
        <f>IF('Last Week'!$B87="","",'Last Week'!$A87)</f>
        <v/>
      </c>
      <c r="N2801">
        <f>IF('Last Week'!$B87="","",'Last Week'!$C87)</f>
        <v/>
      </c>
    </row>
    <row r="2802">
      <c r="A2802">
        <f>IF('Last Week'!$B88="","","Last week")</f>
        <v/>
      </c>
      <c r="B2802">
        <f>IF('Last Week'!$B88="","","Last week")</f>
        <v/>
      </c>
      <c r="C2802" s="18" t="n"/>
      <c r="F2802">
        <f>IF('Last Week'!$B88="","",'Last Week'!$B88&amp;"")</f>
        <v/>
      </c>
      <c r="J2802">
        <f>IF('Last Week'!$B88="","",'Last Week'!$A88)</f>
        <v/>
      </c>
      <c r="N2802">
        <f>IF('Last Week'!$B88="","",'Last Week'!$C88)</f>
        <v/>
      </c>
    </row>
    <row r="2803">
      <c r="A2803">
        <f>IF('Last Week'!$B89="","","Last week")</f>
        <v/>
      </c>
      <c r="B2803">
        <f>IF('Last Week'!$B89="","","Last week")</f>
        <v/>
      </c>
      <c r="C2803" s="18" t="n"/>
      <c r="F2803">
        <f>IF('Last Week'!$B89="","",'Last Week'!$B89&amp;"")</f>
        <v/>
      </c>
      <c r="J2803">
        <f>IF('Last Week'!$B89="","",'Last Week'!$A89)</f>
        <v/>
      </c>
      <c r="N2803">
        <f>IF('Last Week'!$B89="","",'Last Week'!$C89)</f>
        <v/>
      </c>
    </row>
    <row r="2804">
      <c r="A2804">
        <f>IF('Last Week'!$B90="","","Last week")</f>
        <v/>
      </c>
      <c r="B2804">
        <f>IF('Last Week'!$B90="","","Last week")</f>
        <v/>
      </c>
      <c r="C2804" s="18" t="n"/>
      <c r="F2804">
        <f>IF('Last Week'!$B90="","",'Last Week'!$B90&amp;"")</f>
        <v/>
      </c>
      <c r="J2804">
        <f>IF('Last Week'!$B90="","",'Last Week'!$A90)</f>
        <v/>
      </c>
      <c r="N2804">
        <f>IF('Last Week'!$B90="","",'Last Week'!$C90)</f>
        <v/>
      </c>
    </row>
    <row r="2805">
      <c r="A2805">
        <f>IF('Last Week'!$B91="","","Last week")</f>
        <v/>
      </c>
      <c r="B2805">
        <f>IF('Last Week'!$B91="","","Last week")</f>
        <v/>
      </c>
      <c r="C2805" s="18" t="n"/>
      <c r="F2805">
        <f>IF('Last Week'!$B91="","",'Last Week'!$B91&amp;"")</f>
        <v/>
      </c>
      <c r="J2805">
        <f>IF('Last Week'!$B91="","",'Last Week'!$A91)</f>
        <v/>
      </c>
      <c r="N2805">
        <f>IF('Last Week'!$B91="","",'Last Week'!$C91)</f>
        <v/>
      </c>
    </row>
    <row r="2806">
      <c r="A2806">
        <f>IF('Last Week'!$B92="","","Last week")</f>
        <v/>
      </c>
      <c r="B2806">
        <f>IF('Last Week'!$B92="","","Last week")</f>
        <v/>
      </c>
      <c r="C2806" s="18" t="n"/>
      <c r="F2806">
        <f>IF('Last Week'!$B92="","",'Last Week'!$B92&amp;"")</f>
        <v/>
      </c>
      <c r="J2806">
        <f>IF('Last Week'!$B92="","",'Last Week'!$A92)</f>
        <v/>
      </c>
      <c r="N2806">
        <f>IF('Last Week'!$B92="","",'Last Week'!$C92)</f>
        <v/>
      </c>
    </row>
    <row r="2807">
      <c r="A2807">
        <f>IF('Last Week'!$B93="","","Last week")</f>
        <v/>
      </c>
      <c r="B2807">
        <f>IF('Last Week'!$B93="","","Last week")</f>
        <v/>
      </c>
      <c r="C2807" s="18" t="n"/>
      <c r="F2807">
        <f>IF('Last Week'!$B93="","",'Last Week'!$B93&amp;"")</f>
        <v/>
      </c>
      <c r="J2807">
        <f>IF('Last Week'!$B93="","",'Last Week'!$A93)</f>
        <v/>
      </c>
      <c r="N2807">
        <f>IF('Last Week'!$B93="","",'Last Week'!$C93)</f>
        <v/>
      </c>
    </row>
    <row r="2808">
      <c r="A2808">
        <f>IF('Last Week'!$B94="","","Last week")</f>
        <v/>
      </c>
      <c r="B2808">
        <f>IF('Last Week'!$B94="","","Last week")</f>
        <v/>
      </c>
      <c r="C2808" s="18" t="n"/>
      <c r="F2808">
        <f>IF('Last Week'!$B94="","",'Last Week'!$B94&amp;"")</f>
        <v/>
      </c>
      <c r="J2808">
        <f>IF('Last Week'!$B94="","",'Last Week'!$A94)</f>
        <v/>
      </c>
      <c r="N2808">
        <f>IF('Last Week'!$B94="","",'Last Week'!$C94)</f>
        <v/>
      </c>
    </row>
    <row r="2809">
      <c r="A2809">
        <f>IF('Last Week'!$B95="","","Last week")</f>
        <v/>
      </c>
      <c r="B2809">
        <f>IF('Last Week'!$B95="","","Last week")</f>
        <v/>
      </c>
      <c r="C2809" s="18" t="n"/>
      <c r="F2809">
        <f>IF('Last Week'!$B95="","",'Last Week'!$B95&amp;"")</f>
        <v/>
      </c>
      <c r="J2809">
        <f>IF('Last Week'!$B95="","",'Last Week'!$A95)</f>
        <v/>
      </c>
      <c r="N2809">
        <f>IF('Last Week'!$B95="","",'Last Week'!$C95)</f>
        <v/>
      </c>
    </row>
    <row r="2810">
      <c r="A2810">
        <f>IF('Last Week'!$B96="","","Last week")</f>
        <v/>
      </c>
      <c r="B2810">
        <f>IF('Last Week'!$B96="","","Last week")</f>
        <v/>
      </c>
      <c r="C2810" s="18" t="n"/>
      <c r="F2810">
        <f>IF('Last Week'!$B96="","",'Last Week'!$B96&amp;"")</f>
        <v/>
      </c>
      <c r="J2810">
        <f>IF('Last Week'!$B96="","",'Last Week'!$A96)</f>
        <v/>
      </c>
      <c r="N2810">
        <f>IF('Last Week'!$B96="","",'Last Week'!$C96)</f>
        <v/>
      </c>
    </row>
    <row r="2811">
      <c r="A2811">
        <f>IF('Last Week'!$B97="","","Last week")</f>
        <v/>
      </c>
      <c r="B2811">
        <f>IF('Last Week'!$B97="","","Last week")</f>
        <v/>
      </c>
      <c r="C2811" s="18" t="n"/>
      <c r="F2811">
        <f>IF('Last Week'!$B97="","",'Last Week'!$B97&amp;"")</f>
        <v/>
      </c>
      <c r="J2811">
        <f>IF('Last Week'!$B97="","",'Last Week'!$A97)</f>
        <v/>
      </c>
      <c r="N2811">
        <f>IF('Last Week'!$B97="","",'Last Week'!$C97)</f>
        <v/>
      </c>
    </row>
    <row r="2812">
      <c r="A2812">
        <f>IF('Last Week'!$B98="","","Last week")</f>
        <v/>
      </c>
      <c r="B2812">
        <f>IF('Last Week'!$B98="","","Last week")</f>
        <v/>
      </c>
      <c r="C2812" s="18" t="n"/>
      <c r="F2812">
        <f>IF('Last Week'!$B98="","",'Last Week'!$B98&amp;"")</f>
        <v/>
      </c>
      <c r="J2812">
        <f>IF('Last Week'!$B98="","",'Last Week'!$A98)</f>
        <v/>
      </c>
      <c r="N2812">
        <f>IF('Last Week'!$B98="","",'Last Week'!$C98)</f>
        <v/>
      </c>
    </row>
    <row r="2813">
      <c r="A2813">
        <f>IF('Last Week'!$B99="","","Last week")</f>
        <v/>
      </c>
      <c r="B2813">
        <f>IF('Last Week'!$B99="","","Last week")</f>
        <v/>
      </c>
      <c r="C2813" s="18" t="n"/>
      <c r="F2813">
        <f>IF('Last Week'!$B99="","",'Last Week'!$B99&amp;"")</f>
        <v/>
      </c>
      <c r="J2813">
        <f>IF('Last Week'!$B99="","",'Last Week'!$A99)</f>
        <v/>
      </c>
      <c r="N2813">
        <f>IF('Last Week'!$B99="","",'Last Week'!$C99)</f>
        <v/>
      </c>
    </row>
    <row r="2814">
      <c r="A2814">
        <f>IF('Last Week'!$B100="","","Last week")</f>
        <v/>
      </c>
      <c r="B2814">
        <f>IF('Last Week'!$B100="","","Last week")</f>
        <v/>
      </c>
      <c r="C2814" s="18" t="n"/>
      <c r="F2814">
        <f>IF('Last Week'!$B100="","",'Last Week'!$B100&amp;"")</f>
        <v/>
      </c>
      <c r="J2814">
        <f>IF('Last Week'!$B100="","",'Last Week'!$A100)</f>
        <v/>
      </c>
      <c r="N2814">
        <f>IF('Last Week'!$B100="","",'Last Week'!$C100)</f>
        <v/>
      </c>
    </row>
    <row r="2815">
      <c r="A2815">
        <f>IF('Last Week'!$B101="","","Last week")</f>
        <v/>
      </c>
      <c r="B2815">
        <f>IF('Last Week'!$B101="","","Last week")</f>
        <v/>
      </c>
      <c r="C2815" s="18" t="n"/>
      <c r="F2815">
        <f>IF('Last Week'!$B101="","",'Last Week'!$B101&amp;"")</f>
        <v/>
      </c>
      <c r="J2815">
        <f>IF('Last Week'!$B101="","",'Last Week'!$A101)</f>
        <v/>
      </c>
      <c r="N2815">
        <f>IF('Last Week'!$B101="","",'Last Week'!$C101)</f>
        <v/>
      </c>
    </row>
    <row r="2816">
      <c r="A2816">
        <f>IF('Last Week'!$B102="","","Last week")</f>
        <v/>
      </c>
      <c r="B2816">
        <f>IF('Last Week'!$B102="","","Last week")</f>
        <v/>
      </c>
      <c r="C2816" s="18" t="n"/>
      <c r="F2816">
        <f>IF('Last Week'!$B102="","",'Last Week'!$B102&amp;"")</f>
        <v/>
      </c>
      <c r="J2816">
        <f>IF('Last Week'!$B102="","",'Last Week'!$A102)</f>
        <v/>
      </c>
      <c r="N2816">
        <f>IF('Last Week'!$B102="","",'Last Week'!$C102)</f>
        <v/>
      </c>
    </row>
    <row r="2817">
      <c r="A2817">
        <f>IF('Last Week'!$B103="","","Last week")</f>
        <v/>
      </c>
      <c r="B2817">
        <f>IF('Last Week'!$B103="","","Last week")</f>
        <v/>
      </c>
      <c r="C2817" s="18" t="n"/>
      <c r="F2817">
        <f>IF('Last Week'!$B103="","",'Last Week'!$B103&amp;"")</f>
        <v/>
      </c>
      <c r="J2817">
        <f>IF('Last Week'!$B103="","",'Last Week'!$A103)</f>
        <v/>
      </c>
      <c r="N2817">
        <f>IF('Last Week'!$B103="","",'Last Week'!$C103)</f>
        <v/>
      </c>
    </row>
    <row r="2818">
      <c r="A2818">
        <f>IF('Last Week'!$B104="","","Last week")</f>
        <v/>
      </c>
      <c r="B2818">
        <f>IF('Last Week'!$B104="","","Last week")</f>
        <v/>
      </c>
      <c r="C2818" s="18" t="n"/>
      <c r="F2818">
        <f>IF('Last Week'!$B104="","",'Last Week'!$B104&amp;"")</f>
        <v/>
      </c>
      <c r="J2818">
        <f>IF('Last Week'!$B104="","",'Last Week'!$A104)</f>
        <v/>
      </c>
      <c r="N2818">
        <f>IF('Last Week'!$B104="","",'Last Week'!$C104)</f>
        <v/>
      </c>
    </row>
    <row r="2819">
      <c r="A2819">
        <f>IF('Last Week'!$B105="","","Last week")</f>
        <v/>
      </c>
      <c r="B2819">
        <f>IF('Last Week'!$B105="","","Last week")</f>
        <v/>
      </c>
      <c r="C2819" s="18" t="n"/>
      <c r="F2819">
        <f>IF('Last Week'!$B105="","",'Last Week'!$B105&amp;"")</f>
        <v/>
      </c>
      <c r="J2819">
        <f>IF('Last Week'!$B105="","",'Last Week'!$A105)</f>
        <v/>
      </c>
      <c r="N2819">
        <f>IF('Last Week'!$B105="","",'Last Week'!$C105)</f>
        <v/>
      </c>
    </row>
    <row r="2820">
      <c r="A2820">
        <f>IF('Last Week'!$B106="","","Last week")</f>
        <v/>
      </c>
      <c r="B2820">
        <f>IF('Last Week'!$B106="","","Last week")</f>
        <v/>
      </c>
      <c r="C2820" s="18" t="n"/>
      <c r="F2820">
        <f>IF('Last Week'!$B106="","",'Last Week'!$B106&amp;"")</f>
        <v/>
      </c>
      <c r="J2820">
        <f>IF('Last Week'!$B106="","",'Last Week'!$A106)</f>
        <v/>
      </c>
      <c r="N2820">
        <f>IF('Last Week'!$B106="","",'Last Week'!$C106)</f>
        <v/>
      </c>
    </row>
    <row r="2821">
      <c r="A2821">
        <f>IF('Last Week'!$B107="","","Last week")</f>
        <v/>
      </c>
      <c r="B2821">
        <f>IF('Last Week'!$B107="","","Last week")</f>
        <v/>
      </c>
      <c r="C2821" s="18" t="n"/>
      <c r="F2821">
        <f>IF('Last Week'!$B107="","",'Last Week'!$B107&amp;"")</f>
        <v/>
      </c>
      <c r="J2821">
        <f>IF('Last Week'!$B107="","",'Last Week'!$A107)</f>
        <v/>
      </c>
      <c r="N2821">
        <f>IF('Last Week'!$B107="","",'Last Week'!$C107)</f>
        <v/>
      </c>
    </row>
    <row r="2822">
      <c r="A2822">
        <f>IF('Last Week'!$B108="","","Last week")</f>
        <v/>
      </c>
      <c r="B2822">
        <f>IF('Last Week'!$B108="","","Last week")</f>
        <v/>
      </c>
      <c r="C2822" s="18" t="n"/>
      <c r="F2822">
        <f>IF('Last Week'!$B108="","",'Last Week'!$B108&amp;"")</f>
        <v/>
      </c>
      <c r="J2822">
        <f>IF('Last Week'!$B108="","",'Last Week'!$A108)</f>
        <v/>
      </c>
      <c r="N2822">
        <f>IF('Last Week'!$B108="","",'Last Week'!$C108)</f>
        <v/>
      </c>
    </row>
    <row r="2823">
      <c r="A2823">
        <f>IF('Last Week'!$B109="","","Last week")</f>
        <v/>
      </c>
      <c r="B2823">
        <f>IF('Last Week'!$B109="","","Last week")</f>
        <v/>
      </c>
      <c r="C2823" s="18" t="n"/>
      <c r="F2823">
        <f>IF('Last Week'!$B109="","",'Last Week'!$B109&amp;"")</f>
        <v/>
      </c>
      <c r="J2823">
        <f>IF('Last Week'!$B109="","",'Last Week'!$A109)</f>
        <v/>
      </c>
      <c r="N2823">
        <f>IF('Last Week'!$B109="","",'Last Week'!$C109)</f>
        <v/>
      </c>
    </row>
    <row r="2824">
      <c r="A2824">
        <f>IF('Last Week'!$B110="","","Last week")</f>
        <v/>
      </c>
      <c r="B2824">
        <f>IF('Last Week'!$B110="","","Last week")</f>
        <v/>
      </c>
      <c r="C2824" s="18" t="n"/>
      <c r="F2824">
        <f>IF('Last Week'!$B110="","",'Last Week'!$B110&amp;"")</f>
        <v/>
      </c>
      <c r="J2824">
        <f>IF('Last Week'!$B110="","",'Last Week'!$A110)</f>
        <v/>
      </c>
      <c r="N2824">
        <f>IF('Last Week'!$B110="","",'Last Week'!$C110)</f>
        <v/>
      </c>
    </row>
    <row r="2825">
      <c r="A2825">
        <f>IF('Last Week'!$B111="","","Last week")</f>
        <v/>
      </c>
      <c r="B2825">
        <f>IF('Last Week'!$B111="","","Last week")</f>
        <v/>
      </c>
      <c r="C2825" s="18" t="n"/>
      <c r="F2825">
        <f>IF('Last Week'!$B111="","",'Last Week'!$B111&amp;"")</f>
        <v/>
      </c>
      <c r="J2825">
        <f>IF('Last Week'!$B111="","",'Last Week'!$A111)</f>
        <v/>
      </c>
      <c r="N2825">
        <f>IF('Last Week'!$B111="","",'Last Week'!$C111)</f>
        <v/>
      </c>
    </row>
    <row r="2826">
      <c r="A2826">
        <f>IF('Last Week'!$B112="","","Last week")</f>
        <v/>
      </c>
      <c r="B2826">
        <f>IF('Last Week'!$B112="","","Last week")</f>
        <v/>
      </c>
      <c r="C2826" s="18" t="n"/>
      <c r="F2826">
        <f>IF('Last Week'!$B112="","",'Last Week'!$B112&amp;"")</f>
        <v/>
      </c>
      <c r="J2826">
        <f>IF('Last Week'!$B112="","",'Last Week'!$A112)</f>
        <v/>
      </c>
      <c r="N2826">
        <f>IF('Last Week'!$B112="","",'Last Week'!$C112)</f>
        <v/>
      </c>
    </row>
    <row r="2827">
      <c r="A2827">
        <f>IF('Last Week'!$B113="","","Last week")</f>
        <v/>
      </c>
      <c r="B2827">
        <f>IF('Last Week'!$B113="","","Last week")</f>
        <v/>
      </c>
      <c r="C2827" s="18" t="n"/>
      <c r="F2827">
        <f>IF('Last Week'!$B113="","",'Last Week'!$B113&amp;"")</f>
        <v/>
      </c>
      <c r="J2827">
        <f>IF('Last Week'!$B113="","",'Last Week'!$A113)</f>
        <v/>
      </c>
      <c r="N2827">
        <f>IF('Last Week'!$B113="","",'Last Week'!$C113)</f>
        <v/>
      </c>
    </row>
    <row r="2828">
      <c r="A2828">
        <f>IF('Last Week'!$B114="","","Last week")</f>
        <v/>
      </c>
      <c r="B2828">
        <f>IF('Last Week'!$B114="","","Last week")</f>
        <v/>
      </c>
      <c r="C2828" s="18" t="n"/>
      <c r="F2828">
        <f>IF('Last Week'!$B114="","",'Last Week'!$B114&amp;"")</f>
        <v/>
      </c>
      <c r="J2828">
        <f>IF('Last Week'!$B114="","",'Last Week'!$A114)</f>
        <v/>
      </c>
      <c r="N2828">
        <f>IF('Last Week'!$B114="","",'Last Week'!$C114)</f>
        <v/>
      </c>
    </row>
    <row r="2829">
      <c r="A2829">
        <f>IF('Last Week'!$B115="","","Last week")</f>
        <v/>
      </c>
      <c r="B2829">
        <f>IF('Last Week'!$B115="","","Last week")</f>
        <v/>
      </c>
      <c r="C2829" s="18" t="n"/>
      <c r="F2829">
        <f>IF('Last Week'!$B115="","",'Last Week'!$B115&amp;"")</f>
        <v/>
      </c>
      <c r="J2829">
        <f>IF('Last Week'!$B115="","",'Last Week'!$A115)</f>
        <v/>
      </c>
      <c r="N2829">
        <f>IF('Last Week'!$B115="","",'Last Week'!$C115)</f>
        <v/>
      </c>
    </row>
    <row r="2830">
      <c r="A2830">
        <f>IF('Last Week'!$B116="","","Last week")</f>
        <v/>
      </c>
      <c r="B2830">
        <f>IF('Last Week'!$B116="","","Last week")</f>
        <v/>
      </c>
      <c r="C2830" s="18" t="n"/>
      <c r="F2830">
        <f>IF('Last Week'!$B116="","",'Last Week'!$B116&amp;"")</f>
        <v/>
      </c>
      <c r="J2830">
        <f>IF('Last Week'!$B116="","",'Last Week'!$A116)</f>
        <v/>
      </c>
      <c r="N2830">
        <f>IF('Last Week'!$B116="","",'Last Week'!$C116)</f>
        <v/>
      </c>
    </row>
    <row r="2831">
      <c r="A2831">
        <f>IF('Last Week'!$B117="","","Last week")</f>
        <v/>
      </c>
      <c r="B2831">
        <f>IF('Last Week'!$B117="","","Last week")</f>
        <v/>
      </c>
      <c r="C2831" s="18" t="n"/>
      <c r="F2831">
        <f>IF('Last Week'!$B117="","",'Last Week'!$B117&amp;"")</f>
        <v/>
      </c>
      <c r="J2831">
        <f>IF('Last Week'!$B117="","",'Last Week'!$A117)</f>
        <v/>
      </c>
      <c r="N2831">
        <f>IF('Last Week'!$B117="","",'Last Week'!$C117)</f>
        <v/>
      </c>
    </row>
    <row r="2832">
      <c r="A2832">
        <f>IF('Last Week'!$B118="","","Last week")</f>
        <v/>
      </c>
      <c r="B2832">
        <f>IF('Last Week'!$B118="","","Last week")</f>
        <v/>
      </c>
      <c r="C2832" s="18" t="n"/>
      <c r="F2832">
        <f>IF('Last Week'!$B118="","",'Last Week'!$B118&amp;"")</f>
        <v/>
      </c>
      <c r="J2832">
        <f>IF('Last Week'!$B118="","",'Last Week'!$A118)</f>
        <v/>
      </c>
      <c r="N2832">
        <f>IF('Last Week'!$B118="","",'Last Week'!$C118)</f>
        <v/>
      </c>
    </row>
    <row r="2833">
      <c r="A2833">
        <f>IF('Last Week'!$B119="","","Last week")</f>
        <v/>
      </c>
      <c r="B2833">
        <f>IF('Last Week'!$B119="","","Last week")</f>
        <v/>
      </c>
      <c r="C2833" s="18" t="n"/>
      <c r="F2833">
        <f>IF('Last Week'!$B119="","",'Last Week'!$B119&amp;"")</f>
        <v/>
      </c>
      <c r="J2833">
        <f>IF('Last Week'!$B119="","",'Last Week'!$A119)</f>
        <v/>
      </c>
      <c r="N2833">
        <f>IF('Last Week'!$B119="","",'Last Week'!$C119)</f>
        <v/>
      </c>
    </row>
    <row r="2834">
      <c r="A2834">
        <f>IF('Last Week'!$B120="","","Last week")</f>
        <v/>
      </c>
      <c r="B2834">
        <f>IF('Last Week'!$B120="","","Last week")</f>
        <v/>
      </c>
      <c r="C2834" s="18" t="n"/>
      <c r="F2834">
        <f>IF('Last Week'!$B120="","",'Last Week'!$B120&amp;"")</f>
        <v/>
      </c>
      <c r="J2834">
        <f>IF('Last Week'!$B120="","",'Last Week'!$A120)</f>
        <v/>
      </c>
      <c r="N2834">
        <f>IF('Last Week'!$B120="","",'Last Week'!$C120)</f>
        <v/>
      </c>
    </row>
    <row r="2835">
      <c r="A2835">
        <f>IF('Last Week'!$B121="","","Last week")</f>
        <v/>
      </c>
      <c r="B2835">
        <f>IF('Last Week'!$B121="","","Last week")</f>
        <v/>
      </c>
      <c r="C2835" s="18" t="n"/>
      <c r="F2835">
        <f>IF('Last Week'!$B121="","",'Last Week'!$B121&amp;"")</f>
        <v/>
      </c>
      <c r="J2835">
        <f>IF('Last Week'!$B121="","",'Last Week'!$A121)</f>
        <v/>
      </c>
      <c r="N2835">
        <f>IF('Last Week'!$B121="","",'Last Week'!$C121)</f>
        <v/>
      </c>
    </row>
    <row r="2836">
      <c r="A2836">
        <f>IF('Last Week'!$B122="","","Last week")</f>
        <v/>
      </c>
      <c r="B2836">
        <f>IF('Last Week'!$B122="","","Last week")</f>
        <v/>
      </c>
      <c r="C2836" s="18" t="n"/>
      <c r="F2836">
        <f>IF('Last Week'!$B122="","",'Last Week'!$B122&amp;"")</f>
        <v/>
      </c>
      <c r="J2836">
        <f>IF('Last Week'!$B122="","",'Last Week'!$A122)</f>
        <v/>
      </c>
      <c r="N2836">
        <f>IF('Last Week'!$B122="","",'Last Week'!$C122)</f>
        <v/>
      </c>
    </row>
    <row r="2837">
      <c r="A2837">
        <f>IF('Last Week'!$B123="","","Last week")</f>
        <v/>
      </c>
      <c r="B2837">
        <f>IF('Last Week'!$B123="","","Last week")</f>
        <v/>
      </c>
      <c r="C2837" s="18" t="n"/>
      <c r="F2837">
        <f>IF('Last Week'!$B123="","",'Last Week'!$B123&amp;"")</f>
        <v/>
      </c>
      <c r="J2837">
        <f>IF('Last Week'!$B123="","",'Last Week'!$A123)</f>
        <v/>
      </c>
      <c r="N2837">
        <f>IF('Last Week'!$B123="","",'Last Week'!$C123)</f>
        <v/>
      </c>
    </row>
    <row r="2838">
      <c r="A2838">
        <f>IF('Last Week'!$B124="","","Last week")</f>
        <v/>
      </c>
      <c r="B2838">
        <f>IF('Last Week'!$B124="","","Last week")</f>
        <v/>
      </c>
      <c r="C2838" s="18" t="n"/>
      <c r="F2838">
        <f>IF('Last Week'!$B124="","",'Last Week'!$B124&amp;"")</f>
        <v/>
      </c>
      <c r="J2838">
        <f>IF('Last Week'!$B124="","",'Last Week'!$A124)</f>
        <v/>
      </c>
      <c r="N2838">
        <f>IF('Last Week'!$B124="","",'Last Week'!$C124)</f>
        <v/>
      </c>
    </row>
    <row r="2839">
      <c r="A2839">
        <f>IF('Last Week'!$B125="","","Last week")</f>
        <v/>
      </c>
      <c r="B2839">
        <f>IF('Last Week'!$B125="","","Last week")</f>
        <v/>
      </c>
      <c r="C2839" s="18" t="n"/>
      <c r="F2839">
        <f>IF('Last Week'!$B125="","",'Last Week'!$B125&amp;"")</f>
        <v/>
      </c>
      <c r="J2839">
        <f>IF('Last Week'!$B125="","",'Last Week'!$A125)</f>
        <v/>
      </c>
      <c r="N2839">
        <f>IF('Last Week'!$B125="","",'Last Week'!$C125)</f>
        <v/>
      </c>
    </row>
    <row r="2840">
      <c r="A2840">
        <f>IF('Last Week'!$B126="","","Last week")</f>
        <v/>
      </c>
      <c r="B2840">
        <f>IF('Last Week'!$B126="","","Last week")</f>
        <v/>
      </c>
      <c r="C2840" s="18" t="n"/>
      <c r="F2840">
        <f>IF('Last Week'!$B126="","",'Last Week'!$B126&amp;"")</f>
        <v/>
      </c>
      <c r="J2840">
        <f>IF('Last Week'!$B126="","",'Last Week'!$A126)</f>
        <v/>
      </c>
      <c r="N2840">
        <f>IF('Last Week'!$B126="","",'Last Week'!$C126)</f>
        <v/>
      </c>
    </row>
    <row r="2841">
      <c r="A2841">
        <f>IF('Last Week'!$B127="","","Last week")</f>
        <v/>
      </c>
      <c r="B2841">
        <f>IF('Last Week'!$B127="","","Last week")</f>
        <v/>
      </c>
      <c r="C2841" s="18" t="n"/>
      <c r="F2841">
        <f>IF('Last Week'!$B127="","",'Last Week'!$B127&amp;"")</f>
        <v/>
      </c>
      <c r="J2841">
        <f>IF('Last Week'!$B127="","",'Last Week'!$A127)</f>
        <v/>
      </c>
      <c r="N2841">
        <f>IF('Last Week'!$B127="","",'Last Week'!$C127)</f>
        <v/>
      </c>
    </row>
    <row r="2842">
      <c r="A2842">
        <f>IF('Last Week'!$B128="","","Last week")</f>
        <v/>
      </c>
      <c r="B2842">
        <f>IF('Last Week'!$B128="","","Last week")</f>
        <v/>
      </c>
      <c r="C2842" s="18" t="n"/>
      <c r="F2842">
        <f>IF('Last Week'!$B128="","",'Last Week'!$B128&amp;"")</f>
        <v/>
      </c>
      <c r="J2842">
        <f>IF('Last Week'!$B128="","",'Last Week'!$A128)</f>
        <v/>
      </c>
      <c r="N2842">
        <f>IF('Last Week'!$B128="","",'Last Week'!$C128)</f>
        <v/>
      </c>
    </row>
    <row r="2843">
      <c r="A2843">
        <f>IF('Last Week'!$B129="","","Last week")</f>
        <v/>
      </c>
      <c r="B2843">
        <f>IF('Last Week'!$B129="","","Last week")</f>
        <v/>
      </c>
      <c r="C2843" s="18" t="n"/>
      <c r="F2843">
        <f>IF('Last Week'!$B129="","",'Last Week'!$B129&amp;"")</f>
        <v/>
      </c>
      <c r="J2843">
        <f>IF('Last Week'!$B129="","",'Last Week'!$A129)</f>
        <v/>
      </c>
      <c r="N2843">
        <f>IF('Last Week'!$B129="","",'Last Week'!$C129)</f>
        <v/>
      </c>
    </row>
    <row r="2844">
      <c r="A2844">
        <f>IF('Last Week'!$B130="","","Last week")</f>
        <v/>
      </c>
      <c r="B2844">
        <f>IF('Last Week'!$B130="","","Last week")</f>
        <v/>
      </c>
      <c r="C2844" s="18" t="n"/>
      <c r="F2844">
        <f>IF('Last Week'!$B130="","",'Last Week'!$B130&amp;"")</f>
        <v/>
      </c>
      <c r="J2844">
        <f>IF('Last Week'!$B130="","",'Last Week'!$A130)</f>
        <v/>
      </c>
      <c r="N2844">
        <f>IF('Last Week'!$B130="","",'Last Week'!$C130)</f>
        <v/>
      </c>
    </row>
    <row r="2845">
      <c r="A2845">
        <f>IF('Last Week'!$B131="","","Last week")</f>
        <v/>
      </c>
      <c r="B2845">
        <f>IF('Last Week'!$B131="","","Last week")</f>
        <v/>
      </c>
      <c r="C2845" s="18" t="n"/>
      <c r="F2845">
        <f>IF('Last Week'!$B131="","",'Last Week'!$B131&amp;"")</f>
        <v/>
      </c>
      <c r="J2845">
        <f>IF('Last Week'!$B131="","",'Last Week'!$A131)</f>
        <v/>
      </c>
      <c r="N2845">
        <f>IF('Last Week'!$B131="","",'Last Week'!$C131)</f>
        <v/>
      </c>
    </row>
    <row r="2846">
      <c r="A2846">
        <f>IF('Last Week'!$B132="","","Last week")</f>
        <v/>
      </c>
      <c r="B2846">
        <f>IF('Last Week'!$B132="","","Last week")</f>
        <v/>
      </c>
      <c r="C2846" s="18" t="n"/>
      <c r="F2846">
        <f>IF('Last Week'!$B132="","",'Last Week'!$B132&amp;"")</f>
        <v/>
      </c>
      <c r="J2846">
        <f>IF('Last Week'!$B132="","",'Last Week'!$A132)</f>
        <v/>
      </c>
      <c r="N2846">
        <f>IF('Last Week'!$B132="","",'Last Week'!$C132)</f>
        <v/>
      </c>
    </row>
    <row r="2847">
      <c r="A2847">
        <f>IF('Last Week'!$B133="","","Last week")</f>
        <v/>
      </c>
      <c r="B2847">
        <f>IF('Last Week'!$B133="","","Last week")</f>
        <v/>
      </c>
      <c r="C2847" s="18" t="n"/>
      <c r="F2847">
        <f>IF('Last Week'!$B133="","",'Last Week'!$B133&amp;"")</f>
        <v/>
      </c>
      <c r="J2847">
        <f>IF('Last Week'!$B133="","",'Last Week'!$A133)</f>
        <v/>
      </c>
      <c r="N2847">
        <f>IF('Last Week'!$B133="","",'Last Week'!$C133)</f>
        <v/>
      </c>
    </row>
    <row r="2848">
      <c r="A2848">
        <f>IF('Last Week'!$B134="","","Last week")</f>
        <v/>
      </c>
      <c r="B2848">
        <f>IF('Last Week'!$B134="","","Last week")</f>
        <v/>
      </c>
      <c r="C2848" s="18" t="n"/>
      <c r="F2848">
        <f>IF('Last Week'!$B134="","",'Last Week'!$B134&amp;"")</f>
        <v/>
      </c>
      <c r="J2848">
        <f>IF('Last Week'!$B134="","",'Last Week'!$A134)</f>
        <v/>
      </c>
      <c r="N2848">
        <f>IF('Last Week'!$B134="","",'Last Week'!$C134)</f>
        <v/>
      </c>
    </row>
    <row r="2849">
      <c r="A2849">
        <f>IF('Last Week'!$B135="","","Last week")</f>
        <v/>
      </c>
      <c r="B2849">
        <f>IF('Last Week'!$B135="","","Last week")</f>
        <v/>
      </c>
      <c r="C2849" s="18" t="n"/>
      <c r="F2849">
        <f>IF('Last Week'!$B135="","",'Last Week'!$B135&amp;"")</f>
        <v/>
      </c>
      <c r="J2849">
        <f>IF('Last Week'!$B135="","",'Last Week'!$A135)</f>
        <v/>
      </c>
      <c r="N2849">
        <f>IF('Last Week'!$B135="","",'Last Week'!$C135)</f>
        <v/>
      </c>
    </row>
    <row r="2850">
      <c r="A2850">
        <f>IF('Last Week'!$B136="","","Last week")</f>
        <v/>
      </c>
      <c r="B2850">
        <f>IF('Last Week'!$B136="","","Last week")</f>
        <v/>
      </c>
      <c r="C2850" s="18" t="n"/>
      <c r="F2850">
        <f>IF('Last Week'!$B136="","",'Last Week'!$B136&amp;"")</f>
        <v/>
      </c>
      <c r="J2850">
        <f>IF('Last Week'!$B136="","",'Last Week'!$A136)</f>
        <v/>
      </c>
      <c r="N2850">
        <f>IF('Last Week'!$B136="","",'Last Week'!$C136)</f>
        <v/>
      </c>
    </row>
    <row r="2851">
      <c r="A2851">
        <f>IF('Last Week'!$B137="","","Last week")</f>
        <v/>
      </c>
      <c r="B2851">
        <f>IF('Last Week'!$B137="","","Last week")</f>
        <v/>
      </c>
      <c r="C2851" s="18" t="n"/>
      <c r="F2851">
        <f>IF('Last Week'!$B137="","",'Last Week'!$B137&amp;"")</f>
        <v/>
      </c>
      <c r="J2851">
        <f>IF('Last Week'!$B137="","",'Last Week'!$A137)</f>
        <v/>
      </c>
      <c r="N2851">
        <f>IF('Last Week'!$B137="","",'Last Week'!$C137)</f>
        <v/>
      </c>
    </row>
    <row r="2852">
      <c r="A2852">
        <f>IF('Last Week'!$B138="","","Last week")</f>
        <v/>
      </c>
      <c r="B2852">
        <f>IF('Last Week'!$B138="","","Last week")</f>
        <v/>
      </c>
      <c r="C2852" s="18" t="n"/>
      <c r="F2852">
        <f>IF('Last Week'!$B138="","",'Last Week'!$B138&amp;"")</f>
        <v/>
      </c>
      <c r="J2852">
        <f>IF('Last Week'!$B138="","",'Last Week'!$A138)</f>
        <v/>
      </c>
      <c r="N2852">
        <f>IF('Last Week'!$B138="","",'Last Week'!$C138)</f>
        <v/>
      </c>
    </row>
    <row r="2853">
      <c r="A2853">
        <f>IF('Last Week'!$B139="","","Last week")</f>
        <v/>
      </c>
      <c r="B2853">
        <f>IF('Last Week'!$B139="","","Last week")</f>
        <v/>
      </c>
      <c r="C2853" s="18" t="n"/>
      <c r="F2853">
        <f>IF('Last Week'!$B139="","",'Last Week'!$B139&amp;"")</f>
        <v/>
      </c>
      <c r="J2853">
        <f>IF('Last Week'!$B139="","",'Last Week'!$A139)</f>
        <v/>
      </c>
      <c r="N2853">
        <f>IF('Last Week'!$B139="","",'Last Week'!$C139)</f>
        <v/>
      </c>
    </row>
    <row r="2854">
      <c r="A2854">
        <f>IF('Last Week'!$B140="","","Last week")</f>
        <v/>
      </c>
      <c r="B2854">
        <f>IF('Last Week'!$B140="","","Last week")</f>
        <v/>
      </c>
      <c r="C2854" s="18" t="n"/>
      <c r="F2854">
        <f>IF('Last Week'!$B140="","",'Last Week'!$B140&amp;"")</f>
        <v/>
      </c>
      <c r="J2854">
        <f>IF('Last Week'!$B140="","",'Last Week'!$A140)</f>
        <v/>
      </c>
      <c r="N2854">
        <f>IF('Last Week'!$B140="","",'Last Week'!$C140)</f>
        <v/>
      </c>
    </row>
    <row r="2855">
      <c r="A2855">
        <f>IF('Last Week'!$B141="","","Last week")</f>
        <v/>
      </c>
      <c r="B2855">
        <f>IF('Last Week'!$B141="","","Last week")</f>
        <v/>
      </c>
      <c r="C2855" s="18" t="n"/>
      <c r="F2855">
        <f>IF('Last Week'!$B141="","",'Last Week'!$B141&amp;"")</f>
        <v/>
      </c>
      <c r="J2855">
        <f>IF('Last Week'!$B141="","",'Last Week'!$A141)</f>
        <v/>
      </c>
      <c r="N2855">
        <f>IF('Last Week'!$B141="","",'Last Week'!$C141)</f>
        <v/>
      </c>
    </row>
    <row r="2856">
      <c r="A2856">
        <f>IF('Last Week'!$B142="","","Last week")</f>
        <v/>
      </c>
      <c r="B2856">
        <f>IF('Last Week'!$B142="","","Last week")</f>
        <v/>
      </c>
      <c r="C2856" s="18" t="n"/>
      <c r="F2856">
        <f>IF('Last Week'!$B142="","",'Last Week'!$B142&amp;"")</f>
        <v/>
      </c>
      <c r="J2856">
        <f>IF('Last Week'!$B142="","",'Last Week'!$A142)</f>
        <v/>
      </c>
      <c r="N2856">
        <f>IF('Last Week'!$B142="","",'Last Week'!$C142)</f>
        <v/>
      </c>
    </row>
    <row r="2857">
      <c r="A2857">
        <f>IF('Last Week'!$B143="","","Last week")</f>
        <v/>
      </c>
      <c r="B2857">
        <f>IF('Last Week'!$B143="","","Last week")</f>
        <v/>
      </c>
      <c r="C2857" s="18" t="n"/>
      <c r="F2857">
        <f>IF('Last Week'!$B143="","",'Last Week'!$B143&amp;"")</f>
        <v/>
      </c>
      <c r="J2857">
        <f>IF('Last Week'!$B143="","",'Last Week'!$A143)</f>
        <v/>
      </c>
      <c r="N2857">
        <f>IF('Last Week'!$B143="","",'Last Week'!$C143)</f>
        <v/>
      </c>
    </row>
    <row r="2858">
      <c r="A2858">
        <f>IF('Last Week'!$B144="","","Last week")</f>
        <v/>
      </c>
      <c r="B2858">
        <f>IF('Last Week'!$B144="","","Last week")</f>
        <v/>
      </c>
      <c r="C2858" s="18" t="n"/>
      <c r="F2858">
        <f>IF('Last Week'!$B144="","",'Last Week'!$B144&amp;"")</f>
        <v/>
      </c>
      <c r="J2858">
        <f>IF('Last Week'!$B144="","",'Last Week'!$A144)</f>
        <v/>
      </c>
      <c r="N2858">
        <f>IF('Last Week'!$B144="","",'Last Week'!$C144)</f>
        <v/>
      </c>
    </row>
    <row r="2859">
      <c r="A2859">
        <f>IF('Last Week'!$B145="","","Last week")</f>
        <v/>
      </c>
      <c r="B2859">
        <f>IF('Last Week'!$B145="","","Last week")</f>
        <v/>
      </c>
      <c r="C2859" s="18" t="n"/>
      <c r="F2859">
        <f>IF('Last Week'!$B145="","",'Last Week'!$B145&amp;"")</f>
        <v/>
      </c>
      <c r="J2859">
        <f>IF('Last Week'!$B145="","",'Last Week'!$A145)</f>
        <v/>
      </c>
      <c r="N2859">
        <f>IF('Last Week'!$B145="","",'Last Week'!$C145)</f>
        <v/>
      </c>
    </row>
    <row r="2860">
      <c r="A2860">
        <f>IF('Last Week'!$B146="","","Last week")</f>
        <v/>
      </c>
      <c r="B2860">
        <f>IF('Last Week'!$B146="","","Last week")</f>
        <v/>
      </c>
      <c r="C2860" s="18" t="n"/>
      <c r="F2860">
        <f>IF('Last Week'!$B146="","",'Last Week'!$B146&amp;"")</f>
        <v/>
      </c>
      <c r="J2860">
        <f>IF('Last Week'!$B146="","",'Last Week'!$A146)</f>
        <v/>
      </c>
      <c r="N2860">
        <f>IF('Last Week'!$B146="","",'Last Week'!$C146)</f>
        <v/>
      </c>
    </row>
    <row r="2861">
      <c r="A2861">
        <f>IF('Last Week'!$B147="","","Last week")</f>
        <v/>
      </c>
      <c r="B2861">
        <f>IF('Last Week'!$B147="","","Last week")</f>
        <v/>
      </c>
      <c r="C2861" s="18" t="n"/>
      <c r="F2861">
        <f>IF('Last Week'!$B147="","",'Last Week'!$B147&amp;"")</f>
        <v/>
      </c>
      <c r="J2861">
        <f>IF('Last Week'!$B147="","",'Last Week'!$A147)</f>
        <v/>
      </c>
      <c r="N2861">
        <f>IF('Last Week'!$B147="","",'Last Week'!$C147)</f>
        <v/>
      </c>
    </row>
    <row r="2862">
      <c r="A2862">
        <f>IF('Last Week'!$B148="","","Last week")</f>
        <v/>
      </c>
      <c r="B2862">
        <f>IF('Last Week'!$B148="","","Last week")</f>
        <v/>
      </c>
      <c r="C2862" s="18" t="n"/>
      <c r="F2862">
        <f>IF('Last Week'!$B148="","",'Last Week'!$B148&amp;"")</f>
        <v/>
      </c>
      <c r="J2862">
        <f>IF('Last Week'!$B148="","",'Last Week'!$A148)</f>
        <v/>
      </c>
      <c r="N2862">
        <f>IF('Last Week'!$B148="","",'Last Week'!$C148)</f>
        <v/>
      </c>
    </row>
    <row r="2863">
      <c r="A2863">
        <f>IF('Last Week'!$B149="","","Last week")</f>
        <v/>
      </c>
      <c r="B2863">
        <f>IF('Last Week'!$B149="","","Last week")</f>
        <v/>
      </c>
      <c r="C2863" s="18" t="n"/>
      <c r="F2863">
        <f>IF('Last Week'!$B149="","",'Last Week'!$B149&amp;"")</f>
        <v/>
      </c>
      <c r="J2863">
        <f>IF('Last Week'!$B149="","",'Last Week'!$A149)</f>
        <v/>
      </c>
      <c r="N2863">
        <f>IF('Last Week'!$B149="","",'Last Week'!$C149)</f>
        <v/>
      </c>
    </row>
    <row r="2864">
      <c r="A2864">
        <f>IF('Last Week'!$B150="","","Last week")</f>
        <v/>
      </c>
      <c r="B2864">
        <f>IF('Last Week'!$B150="","","Last week")</f>
        <v/>
      </c>
      <c r="C2864" s="18" t="n"/>
      <c r="F2864">
        <f>IF('Last Week'!$B150="","",'Last Week'!$B150&amp;"")</f>
        <v/>
      </c>
      <c r="J2864">
        <f>IF('Last Week'!$B150="","",'Last Week'!$A150)</f>
        <v/>
      </c>
      <c r="N2864">
        <f>IF('Last Week'!$B150="","",'Last Week'!$C150)</f>
        <v/>
      </c>
    </row>
    <row r="2865">
      <c r="A2865">
        <f>IF('Last Week'!$B151="","","Last week")</f>
        <v/>
      </c>
      <c r="B2865">
        <f>IF('Last Week'!$B151="","","Last week")</f>
        <v/>
      </c>
      <c r="C2865" s="18" t="n"/>
      <c r="F2865">
        <f>IF('Last Week'!$B151="","",'Last Week'!$B151&amp;"")</f>
        <v/>
      </c>
      <c r="J2865">
        <f>IF('Last Week'!$B151="","",'Last Week'!$A151)</f>
        <v/>
      </c>
      <c r="N2865">
        <f>IF('Last Week'!$B151="","",'Last Week'!$C151)</f>
        <v/>
      </c>
    </row>
    <row r="2866">
      <c r="A2866">
        <f>IF('Last Week'!$B152="","","Last week")</f>
        <v/>
      </c>
      <c r="B2866">
        <f>IF('Last Week'!$B152="","","Last week")</f>
        <v/>
      </c>
      <c r="C2866" s="18" t="n"/>
      <c r="F2866">
        <f>IF('Last Week'!$B152="","",'Last Week'!$B152&amp;"")</f>
        <v/>
      </c>
      <c r="J2866">
        <f>IF('Last Week'!$B152="","",'Last Week'!$A152)</f>
        <v/>
      </c>
      <c r="N2866">
        <f>IF('Last Week'!$B152="","",'Last Week'!$C152)</f>
        <v/>
      </c>
    </row>
    <row r="2867">
      <c r="A2867">
        <f>IF('Last Week'!$B153="","","Last week")</f>
        <v/>
      </c>
      <c r="B2867">
        <f>IF('Last Week'!$B153="","","Last week")</f>
        <v/>
      </c>
      <c r="C2867" s="18" t="n"/>
      <c r="F2867">
        <f>IF('Last Week'!$B153="","",'Last Week'!$B153&amp;"")</f>
        <v/>
      </c>
      <c r="J2867">
        <f>IF('Last Week'!$B153="","",'Last Week'!$A153)</f>
        <v/>
      </c>
      <c r="N2867">
        <f>IF('Last Week'!$B153="","",'Last Week'!$C153)</f>
        <v/>
      </c>
    </row>
    <row r="2868">
      <c r="A2868">
        <f>IF('Last Week'!$B154="","","Last week")</f>
        <v/>
      </c>
      <c r="B2868">
        <f>IF('Last Week'!$B154="","","Last week")</f>
        <v/>
      </c>
      <c r="C2868" s="18" t="n"/>
      <c r="F2868">
        <f>IF('Last Week'!$B154="","",'Last Week'!$B154&amp;"")</f>
        <v/>
      </c>
      <c r="J2868">
        <f>IF('Last Week'!$B154="","",'Last Week'!$A154)</f>
        <v/>
      </c>
      <c r="N2868">
        <f>IF('Last Week'!$B154="","",'Last Week'!$C154)</f>
        <v/>
      </c>
    </row>
    <row r="2869">
      <c r="A2869">
        <f>IF('Last Week'!$B155="","","Last week")</f>
        <v/>
      </c>
      <c r="B2869">
        <f>IF('Last Week'!$B155="","","Last week")</f>
        <v/>
      </c>
      <c r="C2869" s="18" t="n"/>
      <c r="F2869">
        <f>IF('Last Week'!$B155="","",'Last Week'!$B155&amp;"")</f>
        <v/>
      </c>
      <c r="J2869">
        <f>IF('Last Week'!$B155="","",'Last Week'!$A155)</f>
        <v/>
      </c>
      <c r="N2869">
        <f>IF('Last Week'!$B155="","",'Last Week'!$C155)</f>
        <v/>
      </c>
    </row>
    <row r="2870">
      <c r="A2870">
        <f>IF('Last Week'!$B156="","","Last week")</f>
        <v/>
      </c>
      <c r="B2870">
        <f>IF('Last Week'!$B156="","","Last week")</f>
        <v/>
      </c>
      <c r="C2870" s="18" t="n"/>
      <c r="F2870">
        <f>IF('Last Week'!$B156="","",'Last Week'!$B156&amp;"")</f>
        <v/>
      </c>
      <c r="J2870">
        <f>IF('Last Week'!$B156="","",'Last Week'!$A156)</f>
        <v/>
      </c>
      <c r="N2870">
        <f>IF('Last Week'!$B156="","",'Last Week'!$C156)</f>
        <v/>
      </c>
    </row>
    <row r="2871">
      <c r="A2871">
        <f>IF('Last Week'!$B157="","","Last week")</f>
        <v/>
      </c>
      <c r="B2871">
        <f>IF('Last Week'!$B157="","","Last week")</f>
        <v/>
      </c>
      <c r="C2871" s="18" t="n"/>
      <c r="F2871">
        <f>IF('Last Week'!$B157="","",'Last Week'!$B157&amp;"")</f>
        <v/>
      </c>
      <c r="J2871">
        <f>IF('Last Week'!$B157="","",'Last Week'!$A157)</f>
        <v/>
      </c>
      <c r="N2871">
        <f>IF('Last Week'!$B157="","",'Last Week'!$C157)</f>
        <v/>
      </c>
    </row>
    <row r="2872">
      <c r="A2872">
        <f>IF('Last Week'!$B158="","","Last week")</f>
        <v/>
      </c>
      <c r="B2872">
        <f>IF('Last Week'!$B158="","","Last week")</f>
        <v/>
      </c>
      <c r="C2872" s="18" t="n"/>
      <c r="F2872">
        <f>IF('Last Week'!$B158="","",'Last Week'!$B158&amp;"")</f>
        <v/>
      </c>
      <c r="J2872">
        <f>IF('Last Week'!$B158="","",'Last Week'!$A158)</f>
        <v/>
      </c>
      <c r="N2872">
        <f>IF('Last Week'!$B158="","",'Last Week'!$C158)</f>
        <v/>
      </c>
    </row>
    <row r="2873">
      <c r="A2873">
        <f>IF('Last Week'!$B159="","","Last week")</f>
        <v/>
      </c>
      <c r="B2873">
        <f>IF('Last Week'!$B159="","","Last week")</f>
        <v/>
      </c>
      <c r="C2873" s="18" t="n"/>
      <c r="F2873">
        <f>IF('Last Week'!$B159="","",'Last Week'!$B159&amp;"")</f>
        <v/>
      </c>
      <c r="J2873">
        <f>IF('Last Week'!$B159="","",'Last Week'!$A159)</f>
        <v/>
      </c>
      <c r="N2873">
        <f>IF('Last Week'!$B159="","",'Last Week'!$C159)</f>
        <v/>
      </c>
    </row>
    <row r="2874">
      <c r="A2874">
        <f>IF('Last Week'!$B160="","","Last week")</f>
        <v/>
      </c>
      <c r="B2874">
        <f>IF('Last Week'!$B160="","","Last week")</f>
        <v/>
      </c>
      <c r="C2874" s="18" t="n"/>
      <c r="F2874">
        <f>IF('Last Week'!$B160="","",'Last Week'!$B160&amp;"")</f>
        <v/>
      </c>
      <c r="J2874">
        <f>IF('Last Week'!$B160="","",'Last Week'!$A160)</f>
        <v/>
      </c>
      <c r="N2874">
        <f>IF('Last Week'!$B160="","",'Last Week'!$C160)</f>
        <v/>
      </c>
    </row>
    <row r="2875">
      <c r="A2875">
        <f>IF('Last Week'!$B161="","","Last week")</f>
        <v/>
      </c>
      <c r="B2875">
        <f>IF('Last Week'!$B161="","","Last week")</f>
        <v/>
      </c>
      <c r="C2875" s="18" t="n"/>
      <c r="F2875">
        <f>IF('Last Week'!$B161="","",'Last Week'!$B161&amp;"")</f>
        <v/>
      </c>
      <c r="J2875">
        <f>IF('Last Week'!$B161="","",'Last Week'!$A161)</f>
        <v/>
      </c>
      <c r="N2875">
        <f>IF('Last Week'!$B161="","",'Last Week'!$C161)</f>
        <v/>
      </c>
    </row>
    <row r="2876">
      <c r="A2876">
        <f>IF('Last Week'!$B162="","","Last week")</f>
        <v/>
      </c>
      <c r="B2876">
        <f>IF('Last Week'!$B162="","","Last week")</f>
        <v/>
      </c>
      <c r="C2876" s="18" t="n"/>
      <c r="F2876">
        <f>IF('Last Week'!$B162="","",'Last Week'!$B162&amp;"")</f>
        <v/>
      </c>
      <c r="J2876">
        <f>IF('Last Week'!$B162="","",'Last Week'!$A162)</f>
        <v/>
      </c>
      <c r="N2876">
        <f>IF('Last Week'!$B162="","",'Last Week'!$C162)</f>
        <v/>
      </c>
    </row>
    <row r="2877">
      <c r="A2877">
        <f>IF('Last Week'!$B163="","","Last week")</f>
        <v/>
      </c>
      <c r="B2877">
        <f>IF('Last Week'!$B163="","","Last week")</f>
        <v/>
      </c>
      <c r="C2877" s="18" t="n"/>
      <c r="F2877">
        <f>IF('Last Week'!$B163="","",'Last Week'!$B163&amp;"")</f>
        <v/>
      </c>
      <c r="J2877">
        <f>IF('Last Week'!$B163="","",'Last Week'!$A163)</f>
        <v/>
      </c>
      <c r="N2877">
        <f>IF('Last Week'!$B163="","",'Last Week'!$C163)</f>
        <v/>
      </c>
    </row>
    <row r="2878">
      <c r="A2878">
        <f>IF('Last Week'!$B164="","","Last week")</f>
        <v/>
      </c>
      <c r="B2878">
        <f>IF('Last Week'!$B164="","","Last week")</f>
        <v/>
      </c>
      <c r="C2878" s="18" t="n"/>
      <c r="F2878">
        <f>IF('Last Week'!$B164="","",'Last Week'!$B164&amp;"")</f>
        <v/>
      </c>
      <c r="J2878">
        <f>IF('Last Week'!$B164="","",'Last Week'!$A164)</f>
        <v/>
      </c>
      <c r="N2878">
        <f>IF('Last Week'!$B164="","",'Last Week'!$C164)</f>
        <v/>
      </c>
    </row>
    <row r="2879">
      <c r="A2879">
        <f>IF('Last Week'!$B165="","","Last week")</f>
        <v/>
      </c>
      <c r="B2879">
        <f>IF('Last Week'!$B165="","","Last week")</f>
        <v/>
      </c>
      <c r="C2879" s="18" t="n"/>
      <c r="F2879">
        <f>IF('Last Week'!$B165="","",'Last Week'!$B165&amp;"")</f>
        <v/>
      </c>
      <c r="J2879">
        <f>IF('Last Week'!$B165="","",'Last Week'!$A165)</f>
        <v/>
      </c>
      <c r="N2879">
        <f>IF('Last Week'!$B165="","",'Last Week'!$C165)</f>
        <v/>
      </c>
    </row>
    <row r="2880">
      <c r="A2880">
        <f>IF('Last Week'!$B166="","","Last week")</f>
        <v/>
      </c>
      <c r="B2880">
        <f>IF('Last Week'!$B166="","","Last week")</f>
        <v/>
      </c>
      <c r="C2880" s="18" t="n"/>
      <c r="F2880">
        <f>IF('Last Week'!$B166="","",'Last Week'!$B166&amp;"")</f>
        <v/>
      </c>
      <c r="J2880">
        <f>IF('Last Week'!$B166="","",'Last Week'!$A166)</f>
        <v/>
      </c>
      <c r="N2880">
        <f>IF('Last Week'!$B166="","",'Last Week'!$C166)</f>
        <v/>
      </c>
    </row>
    <row r="2881">
      <c r="A2881">
        <f>IF('Last Week'!$B167="","","Last week")</f>
        <v/>
      </c>
      <c r="B2881">
        <f>IF('Last Week'!$B167="","","Last week")</f>
        <v/>
      </c>
      <c r="C2881" s="18" t="n"/>
      <c r="F2881">
        <f>IF('Last Week'!$B167="","",'Last Week'!$B167&amp;"")</f>
        <v/>
      </c>
      <c r="J2881">
        <f>IF('Last Week'!$B167="","",'Last Week'!$A167)</f>
        <v/>
      </c>
      <c r="N2881">
        <f>IF('Last Week'!$B167="","",'Last Week'!$C167)</f>
        <v/>
      </c>
    </row>
    <row r="2882">
      <c r="A2882">
        <f>IF('Last Week'!$B168="","","Last week")</f>
        <v/>
      </c>
      <c r="B2882">
        <f>IF('Last Week'!$B168="","","Last week")</f>
        <v/>
      </c>
      <c r="C2882" s="18" t="n"/>
      <c r="F2882">
        <f>IF('Last Week'!$B168="","",'Last Week'!$B168&amp;"")</f>
        <v/>
      </c>
      <c r="J2882">
        <f>IF('Last Week'!$B168="","",'Last Week'!$A168)</f>
        <v/>
      </c>
      <c r="N2882">
        <f>IF('Last Week'!$B168="","",'Last Week'!$C168)</f>
        <v/>
      </c>
    </row>
    <row r="2883">
      <c r="A2883">
        <f>IF('Last Week'!$B169="","","Last week")</f>
        <v/>
      </c>
      <c r="B2883">
        <f>IF('Last Week'!$B169="","","Last week")</f>
        <v/>
      </c>
      <c r="C2883" s="18" t="n"/>
      <c r="F2883">
        <f>IF('Last Week'!$B169="","",'Last Week'!$B169&amp;"")</f>
        <v/>
      </c>
      <c r="J2883">
        <f>IF('Last Week'!$B169="","",'Last Week'!$A169)</f>
        <v/>
      </c>
      <c r="N2883">
        <f>IF('Last Week'!$B169="","",'Last Week'!$C169)</f>
        <v/>
      </c>
    </row>
    <row r="2884">
      <c r="A2884">
        <f>IF('Last Week'!$B170="","","Last week")</f>
        <v/>
      </c>
      <c r="B2884">
        <f>IF('Last Week'!$B170="","","Last week")</f>
        <v/>
      </c>
      <c r="C2884" s="18" t="n"/>
      <c r="F2884">
        <f>IF('Last Week'!$B170="","",'Last Week'!$B170&amp;"")</f>
        <v/>
      </c>
      <c r="J2884">
        <f>IF('Last Week'!$B170="","",'Last Week'!$A170)</f>
        <v/>
      </c>
      <c r="N2884">
        <f>IF('Last Week'!$B170="","",'Last Week'!$C170)</f>
        <v/>
      </c>
    </row>
    <row r="2885">
      <c r="A2885">
        <f>IF('Last Week'!$B171="","","Last week")</f>
        <v/>
      </c>
      <c r="B2885">
        <f>IF('Last Week'!$B171="","","Last week")</f>
        <v/>
      </c>
      <c r="C2885" s="18" t="n"/>
      <c r="F2885">
        <f>IF('Last Week'!$B171="","",'Last Week'!$B171&amp;"")</f>
        <v/>
      </c>
      <c r="J2885">
        <f>IF('Last Week'!$B171="","",'Last Week'!$A171)</f>
        <v/>
      </c>
      <c r="N2885">
        <f>IF('Last Week'!$B171="","",'Last Week'!$C171)</f>
        <v/>
      </c>
    </row>
    <row r="2886">
      <c r="A2886">
        <f>IF('Last Week'!$B172="","","Last week")</f>
        <v/>
      </c>
      <c r="B2886">
        <f>IF('Last Week'!$B172="","","Last week")</f>
        <v/>
      </c>
      <c r="C2886" s="18" t="n"/>
      <c r="F2886">
        <f>IF('Last Week'!$B172="","",'Last Week'!$B172&amp;"")</f>
        <v/>
      </c>
      <c r="J2886">
        <f>IF('Last Week'!$B172="","",'Last Week'!$A172)</f>
        <v/>
      </c>
      <c r="N2886">
        <f>IF('Last Week'!$B172="","",'Last Week'!$C172)</f>
        <v/>
      </c>
    </row>
    <row r="2887">
      <c r="A2887">
        <f>IF('Last Week'!$B173="","","Last week")</f>
        <v/>
      </c>
      <c r="B2887">
        <f>IF('Last Week'!$B173="","","Last week")</f>
        <v/>
      </c>
      <c r="C2887" s="18" t="n"/>
      <c r="F2887">
        <f>IF('Last Week'!$B173="","",'Last Week'!$B173&amp;"")</f>
        <v/>
      </c>
      <c r="J2887">
        <f>IF('Last Week'!$B173="","",'Last Week'!$A173)</f>
        <v/>
      </c>
      <c r="N2887">
        <f>IF('Last Week'!$B173="","",'Last Week'!$C173)</f>
        <v/>
      </c>
    </row>
    <row r="2888">
      <c r="A2888">
        <f>IF('Last Week'!$B174="","","Last week")</f>
        <v/>
      </c>
      <c r="B2888">
        <f>IF('Last Week'!$B174="","","Last week")</f>
        <v/>
      </c>
      <c r="C2888" s="18" t="n"/>
      <c r="F2888">
        <f>IF('Last Week'!$B174="","",'Last Week'!$B174&amp;"")</f>
        <v/>
      </c>
      <c r="J2888">
        <f>IF('Last Week'!$B174="","",'Last Week'!$A174)</f>
        <v/>
      </c>
      <c r="N2888">
        <f>IF('Last Week'!$B174="","",'Last Week'!$C174)</f>
        <v/>
      </c>
    </row>
    <row r="2889">
      <c r="A2889">
        <f>IF('Last Week'!$B175="","","Last week")</f>
        <v/>
      </c>
      <c r="B2889">
        <f>IF('Last Week'!$B175="","","Last week")</f>
        <v/>
      </c>
      <c r="C2889" s="18" t="n"/>
      <c r="F2889">
        <f>IF('Last Week'!$B175="","",'Last Week'!$B175&amp;"")</f>
        <v/>
      </c>
      <c r="J2889">
        <f>IF('Last Week'!$B175="","",'Last Week'!$A175)</f>
        <v/>
      </c>
      <c r="N2889">
        <f>IF('Last Week'!$B175="","",'Last Week'!$C175)</f>
        <v/>
      </c>
    </row>
    <row r="2890">
      <c r="A2890">
        <f>IF('Last Week'!$B176="","","Last week")</f>
        <v/>
      </c>
      <c r="B2890">
        <f>IF('Last Week'!$B176="","","Last week")</f>
        <v/>
      </c>
      <c r="C2890" s="18" t="n"/>
      <c r="F2890">
        <f>IF('Last Week'!$B176="","",'Last Week'!$B176&amp;"")</f>
        <v/>
      </c>
      <c r="J2890">
        <f>IF('Last Week'!$B176="","",'Last Week'!$A176)</f>
        <v/>
      </c>
      <c r="N2890">
        <f>IF('Last Week'!$B176="","",'Last Week'!$C176)</f>
        <v/>
      </c>
    </row>
    <row r="2891">
      <c r="A2891">
        <f>IF('Last Week'!$B177="","","Last week")</f>
        <v/>
      </c>
      <c r="B2891">
        <f>IF('Last Week'!$B177="","","Last week")</f>
        <v/>
      </c>
      <c r="C2891" s="18" t="n"/>
      <c r="F2891">
        <f>IF('Last Week'!$B177="","",'Last Week'!$B177&amp;"")</f>
        <v/>
      </c>
      <c r="J2891">
        <f>IF('Last Week'!$B177="","",'Last Week'!$A177)</f>
        <v/>
      </c>
      <c r="N2891">
        <f>IF('Last Week'!$B177="","",'Last Week'!$C177)</f>
        <v/>
      </c>
    </row>
    <row r="2892">
      <c r="A2892">
        <f>IF('Last Week'!$B178="","","Last week")</f>
        <v/>
      </c>
      <c r="B2892">
        <f>IF('Last Week'!$B178="","","Last week")</f>
        <v/>
      </c>
      <c r="C2892" s="18" t="n"/>
      <c r="F2892">
        <f>IF('Last Week'!$B178="","",'Last Week'!$B178&amp;"")</f>
        <v/>
      </c>
      <c r="J2892">
        <f>IF('Last Week'!$B178="","",'Last Week'!$A178)</f>
        <v/>
      </c>
      <c r="N2892">
        <f>IF('Last Week'!$B178="","",'Last Week'!$C178)</f>
        <v/>
      </c>
    </row>
    <row r="2893">
      <c r="A2893">
        <f>IF('Last Week'!$B179="","","Last week")</f>
        <v/>
      </c>
      <c r="B2893">
        <f>IF('Last Week'!$B179="","","Last week")</f>
        <v/>
      </c>
      <c r="C2893" s="18" t="n"/>
      <c r="F2893">
        <f>IF('Last Week'!$B179="","",'Last Week'!$B179&amp;"")</f>
        <v/>
      </c>
      <c r="J2893">
        <f>IF('Last Week'!$B179="","",'Last Week'!$A179)</f>
        <v/>
      </c>
      <c r="N2893">
        <f>IF('Last Week'!$B179="","",'Last Week'!$C179)</f>
        <v/>
      </c>
    </row>
    <row r="2894">
      <c r="A2894">
        <f>IF('Last Week'!$B180="","","Last week")</f>
        <v/>
      </c>
      <c r="B2894">
        <f>IF('Last Week'!$B180="","","Last week")</f>
        <v/>
      </c>
      <c r="C2894" s="18" t="n"/>
      <c r="F2894">
        <f>IF('Last Week'!$B180="","",'Last Week'!$B180&amp;"")</f>
        <v/>
      </c>
      <c r="J2894">
        <f>IF('Last Week'!$B180="","",'Last Week'!$A180)</f>
        <v/>
      </c>
      <c r="N2894">
        <f>IF('Last Week'!$B180="","",'Last Week'!$C180)</f>
        <v/>
      </c>
    </row>
    <row r="2895">
      <c r="A2895">
        <f>IF('Last Week'!$B181="","","Last week")</f>
        <v/>
      </c>
      <c r="B2895">
        <f>IF('Last Week'!$B181="","","Last week")</f>
        <v/>
      </c>
      <c r="C2895" s="18" t="n"/>
      <c r="F2895">
        <f>IF('Last Week'!$B181="","",'Last Week'!$B181&amp;"")</f>
        <v/>
      </c>
      <c r="J2895">
        <f>IF('Last Week'!$B181="","",'Last Week'!$A181)</f>
        <v/>
      </c>
      <c r="N2895">
        <f>IF('Last Week'!$B181="","",'Last Week'!$C181)</f>
        <v/>
      </c>
    </row>
    <row r="2896">
      <c r="A2896">
        <f>IF('Last Week'!$B182="","","Last week")</f>
        <v/>
      </c>
      <c r="B2896">
        <f>IF('Last Week'!$B182="","","Last week")</f>
        <v/>
      </c>
      <c r="C2896" s="18" t="n"/>
      <c r="F2896">
        <f>IF('Last Week'!$B182="","",'Last Week'!$B182&amp;"")</f>
        <v/>
      </c>
      <c r="J2896">
        <f>IF('Last Week'!$B182="","",'Last Week'!$A182)</f>
        <v/>
      </c>
      <c r="N2896">
        <f>IF('Last Week'!$B182="","",'Last Week'!$C182)</f>
        <v/>
      </c>
    </row>
    <row r="2897">
      <c r="A2897">
        <f>IF('Last Week'!$B183="","","Last week")</f>
        <v/>
      </c>
      <c r="B2897">
        <f>IF('Last Week'!$B183="","","Last week")</f>
        <v/>
      </c>
      <c r="C2897" s="18" t="n"/>
      <c r="F2897">
        <f>IF('Last Week'!$B183="","",'Last Week'!$B183&amp;"")</f>
        <v/>
      </c>
      <c r="J2897">
        <f>IF('Last Week'!$B183="","",'Last Week'!$A183)</f>
        <v/>
      </c>
      <c r="N2897">
        <f>IF('Last Week'!$B183="","",'Last Week'!$C183)</f>
        <v/>
      </c>
    </row>
    <row r="2898">
      <c r="A2898">
        <f>IF('Last Week'!$B184="","","Last week")</f>
        <v/>
      </c>
      <c r="B2898">
        <f>IF('Last Week'!$B184="","","Last week")</f>
        <v/>
      </c>
      <c r="C2898" s="18" t="n"/>
      <c r="F2898">
        <f>IF('Last Week'!$B184="","",'Last Week'!$B184&amp;"")</f>
        <v/>
      </c>
      <c r="J2898">
        <f>IF('Last Week'!$B184="","",'Last Week'!$A184)</f>
        <v/>
      </c>
      <c r="N2898">
        <f>IF('Last Week'!$B184="","",'Last Week'!$C184)</f>
        <v/>
      </c>
    </row>
    <row r="2899">
      <c r="A2899">
        <f>IF('Last Week'!$B185="","","Last week")</f>
        <v/>
      </c>
      <c r="B2899">
        <f>IF('Last Week'!$B185="","","Last week")</f>
        <v/>
      </c>
      <c r="C2899" s="18" t="n"/>
      <c r="F2899">
        <f>IF('Last Week'!$B185="","",'Last Week'!$B185&amp;"")</f>
        <v/>
      </c>
      <c r="J2899">
        <f>IF('Last Week'!$B185="","",'Last Week'!$A185)</f>
        <v/>
      </c>
      <c r="N2899">
        <f>IF('Last Week'!$B185="","",'Last Week'!$C185)</f>
        <v/>
      </c>
    </row>
    <row r="2900">
      <c r="A2900">
        <f>IF('Last Week'!$B186="","","Last week")</f>
        <v/>
      </c>
      <c r="B2900">
        <f>IF('Last Week'!$B186="","","Last week")</f>
        <v/>
      </c>
      <c r="C2900" s="18" t="n"/>
      <c r="F2900">
        <f>IF('Last Week'!$B186="","",'Last Week'!$B186&amp;"")</f>
        <v/>
      </c>
      <c r="J2900">
        <f>IF('Last Week'!$B186="","",'Last Week'!$A186)</f>
        <v/>
      </c>
      <c r="N2900">
        <f>IF('Last Week'!$B186="","",'Last Week'!$C186)</f>
        <v/>
      </c>
    </row>
    <row r="2901">
      <c r="A2901">
        <f>IF('Last Week'!$B187="","","Last week")</f>
        <v/>
      </c>
      <c r="B2901">
        <f>IF('Last Week'!$B187="","","Last week")</f>
        <v/>
      </c>
      <c r="C2901" s="18" t="n"/>
      <c r="F2901">
        <f>IF('Last Week'!$B187="","",'Last Week'!$B187&amp;"")</f>
        <v/>
      </c>
      <c r="J2901">
        <f>IF('Last Week'!$B187="","",'Last Week'!$A187)</f>
        <v/>
      </c>
      <c r="N2901">
        <f>IF('Last Week'!$B187="","",'Last Week'!$C187)</f>
        <v/>
      </c>
    </row>
    <row r="2902">
      <c r="A2902">
        <f>IF('Last Week'!$B188="","","Last week")</f>
        <v/>
      </c>
      <c r="B2902">
        <f>IF('Last Week'!$B188="","","Last week")</f>
        <v/>
      </c>
      <c r="C2902" s="18" t="n"/>
      <c r="F2902">
        <f>IF('Last Week'!$B188="","",'Last Week'!$B188&amp;"")</f>
        <v/>
      </c>
      <c r="J2902">
        <f>IF('Last Week'!$B188="","",'Last Week'!$A188)</f>
        <v/>
      </c>
      <c r="N2902">
        <f>IF('Last Week'!$B188="","",'Last Week'!$C188)</f>
        <v/>
      </c>
    </row>
    <row r="2903">
      <c r="A2903">
        <f>IF('Last Week'!$B189="","","Last week")</f>
        <v/>
      </c>
      <c r="B2903">
        <f>IF('Last Week'!$B189="","","Last week")</f>
        <v/>
      </c>
      <c r="C2903" s="18" t="n"/>
      <c r="F2903">
        <f>IF('Last Week'!$B189="","",'Last Week'!$B189&amp;"")</f>
        <v/>
      </c>
      <c r="J2903">
        <f>IF('Last Week'!$B189="","",'Last Week'!$A189)</f>
        <v/>
      </c>
      <c r="N2903">
        <f>IF('Last Week'!$B189="","",'Last Week'!$C189)</f>
        <v/>
      </c>
    </row>
    <row r="2904">
      <c r="A2904">
        <f>IF('Last Week'!$B190="","","Last week")</f>
        <v/>
      </c>
      <c r="B2904">
        <f>IF('Last Week'!$B190="","","Last week")</f>
        <v/>
      </c>
      <c r="C2904" s="18" t="n"/>
      <c r="F2904">
        <f>IF('Last Week'!$B190="","",'Last Week'!$B190&amp;"")</f>
        <v/>
      </c>
      <c r="J2904">
        <f>IF('Last Week'!$B190="","",'Last Week'!$A190)</f>
        <v/>
      </c>
      <c r="N2904">
        <f>IF('Last Week'!$B190="","",'Last Week'!$C190)</f>
        <v/>
      </c>
    </row>
    <row r="2905">
      <c r="A2905">
        <f>IF('Last Week'!$B191="","","Last week")</f>
        <v/>
      </c>
      <c r="B2905">
        <f>IF('Last Week'!$B191="","","Last week")</f>
        <v/>
      </c>
      <c r="C2905" s="18" t="n"/>
      <c r="F2905">
        <f>IF('Last Week'!$B191="","",'Last Week'!$B191&amp;"")</f>
        <v/>
      </c>
      <c r="J2905">
        <f>IF('Last Week'!$B191="","",'Last Week'!$A191)</f>
        <v/>
      </c>
      <c r="N2905">
        <f>IF('Last Week'!$B191="","",'Last Week'!$C191)</f>
        <v/>
      </c>
    </row>
    <row r="2906">
      <c r="A2906">
        <f>IF('Last Week'!$B192="","","Last week")</f>
        <v/>
      </c>
      <c r="B2906">
        <f>IF('Last Week'!$B192="","","Last week")</f>
        <v/>
      </c>
      <c r="C2906" s="18" t="n"/>
      <c r="F2906">
        <f>IF('Last Week'!$B192="","",'Last Week'!$B192&amp;"")</f>
        <v/>
      </c>
      <c r="J2906">
        <f>IF('Last Week'!$B192="","",'Last Week'!$A192)</f>
        <v/>
      </c>
      <c r="N2906">
        <f>IF('Last Week'!$B192="","",'Last Week'!$C192)</f>
        <v/>
      </c>
    </row>
    <row r="2907">
      <c r="A2907">
        <f>IF('Last Week'!$B193="","","Last week")</f>
        <v/>
      </c>
      <c r="B2907">
        <f>IF('Last Week'!$B193="","","Last week")</f>
        <v/>
      </c>
      <c r="C2907" s="18" t="n"/>
      <c r="F2907">
        <f>IF('Last Week'!$B193="","",'Last Week'!$B193&amp;"")</f>
        <v/>
      </c>
      <c r="J2907">
        <f>IF('Last Week'!$B193="","",'Last Week'!$A193)</f>
        <v/>
      </c>
      <c r="N2907">
        <f>IF('Last Week'!$B193="","",'Last Week'!$C193)</f>
        <v/>
      </c>
    </row>
    <row r="2908">
      <c r="A2908">
        <f>IF('Last Week'!$B194="","","Last week")</f>
        <v/>
      </c>
      <c r="B2908">
        <f>IF('Last Week'!$B194="","","Last week")</f>
        <v/>
      </c>
      <c r="C2908" s="18" t="n"/>
      <c r="F2908">
        <f>IF('Last Week'!$B194="","",'Last Week'!$B194&amp;"")</f>
        <v/>
      </c>
      <c r="J2908">
        <f>IF('Last Week'!$B194="","",'Last Week'!$A194)</f>
        <v/>
      </c>
      <c r="N2908">
        <f>IF('Last Week'!$B194="","",'Last Week'!$C194)</f>
        <v/>
      </c>
    </row>
    <row r="2909">
      <c r="A2909">
        <f>IF('Last Week'!$B195="","","Last week")</f>
        <v/>
      </c>
      <c r="B2909">
        <f>IF('Last Week'!$B195="","","Last week")</f>
        <v/>
      </c>
      <c r="C2909" s="18" t="n"/>
      <c r="F2909">
        <f>IF('Last Week'!$B195="","",'Last Week'!$B195&amp;"")</f>
        <v/>
      </c>
      <c r="J2909">
        <f>IF('Last Week'!$B195="","",'Last Week'!$A195)</f>
        <v/>
      </c>
      <c r="N2909">
        <f>IF('Last Week'!$B195="","",'Last Week'!$C195)</f>
        <v/>
      </c>
    </row>
    <row r="2910">
      <c r="A2910">
        <f>IF('Last Week'!$B196="","","Last week")</f>
        <v/>
      </c>
      <c r="B2910">
        <f>IF('Last Week'!$B196="","","Last week")</f>
        <v/>
      </c>
      <c r="C2910" s="18" t="n"/>
      <c r="F2910">
        <f>IF('Last Week'!$B196="","",'Last Week'!$B196&amp;"")</f>
        <v/>
      </c>
      <c r="J2910">
        <f>IF('Last Week'!$B196="","",'Last Week'!$A196)</f>
        <v/>
      </c>
      <c r="N2910">
        <f>IF('Last Week'!$B196="","",'Last Week'!$C196)</f>
        <v/>
      </c>
    </row>
    <row r="2911">
      <c r="A2911">
        <f>IF('Last Week'!$B197="","","Last week")</f>
        <v/>
      </c>
      <c r="B2911">
        <f>IF('Last Week'!$B197="","","Last week")</f>
        <v/>
      </c>
      <c r="C2911" s="18" t="n"/>
      <c r="F2911">
        <f>IF('Last Week'!$B197="","",'Last Week'!$B197&amp;"")</f>
        <v/>
      </c>
      <c r="J2911">
        <f>IF('Last Week'!$B197="","",'Last Week'!$A197)</f>
        <v/>
      </c>
      <c r="N2911">
        <f>IF('Last Week'!$B197="","",'Last Week'!$C197)</f>
        <v/>
      </c>
    </row>
    <row r="2912">
      <c r="A2912">
        <f>IF('Last Week'!$B198="","","Last week")</f>
        <v/>
      </c>
      <c r="B2912">
        <f>IF('Last Week'!$B198="","","Last week")</f>
        <v/>
      </c>
      <c r="C2912" s="18" t="n"/>
      <c r="F2912">
        <f>IF('Last Week'!$B198="","",'Last Week'!$B198&amp;"")</f>
        <v/>
      </c>
      <c r="J2912">
        <f>IF('Last Week'!$B198="","",'Last Week'!$A198)</f>
        <v/>
      </c>
      <c r="N2912">
        <f>IF('Last Week'!$B198="","",'Last Week'!$C198)</f>
        <v/>
      </c>
    </row>
    <row r="2913">
      <c r="A2913">
        <f>IF('Last Week'!$B199="","","Last week")</f>
        <v/>
      </c>
      <c r="B2913">
        <f>IF('Last Week'!$B199="","","Last week")</f>
        <v/>
      </c>
      <c r="C2913" s="18" t="n"/>
      <c r="F2913">
        <f>IF('Last Week'!$B199="","",'Last Week'!$B199&amp;"")</f>
        <v/>
      </c>
      <c r="J2913">
        <f>IF('Last Week'!$B199="","",'Last Week'!$A199)</f>
        <v/>
      </c>
      <c r="N2913">
        <f>IF('Last Week'!$B199="","",'Last Week'!$C199)</f>
        <v/>
      </c>
    </row>
    <row r="2914">
      <c r="A2914">
        <f>IF('Last Week'!$B200="","","Last week")</f>
        <v/>
      </c>
      <c r="B2914">
        <f>IF('Last Week'!$B200="","","Last week")</f>
        <v/>
      </c>
      <c r="C2914" s="18" t="n"/>
      <c r="F2914">
        <f>IF('Last Week'!$B200="","",'Last Week'!$B200&amp;"")</f>
        <v/>
      </c>
      <c r="J2914">
        <f>IF('Last Week'!$B200="","",'Last Week'!$A200)</f>
        <v/>
      </c>
      <c r="N2914">
        <f>IF('Last Week'!$B200="","",'Last Week'!$C200)</f>
        <v/>
      </c>
    </row>
    <row r="2915">
      <c r="A2915">
        <f>IF('Last Week'!$B201="","","Last week")</f>
        <v/>
      </c>
      <c r="B2915">
        <f>IF('Last Week'!$B201="","","Last week")</f>
        <v/>
      </c>
      <c r="C2915" s="18" t="n"/>
      <c r="F2915">
        <f>IF('Last Week'!$B201="","",'Last Week'!$B201&amp;"")</f>
        <v/>
      </c>
      <c r="J2915">
        <f>IF('Last Week'!$B201="","",'Last Week'!$A201)</f>
        <v/>
      </c>
      <c r="N2915">
        <f>IF('Last Week'!$B201="","",'Last Week'!$C201)</f>
        <v/>
      </c>
    </row>
    <row r="2916">
      <c r="A2916">
        <f>IF('Last Week'!$B202="","","Last week")</f>
        <v/>
      </c>
      <c r="B2916">
        <f>IF('Last Week'!$B202="","","Last week")</f>
        <v/>
      </c>
      <c r="C2916" s="18" t="n"/>
      <c r="F2916">
        <f>IF('Last Week'!$B202="","",'Last Week'!$B202&amp;"")</f>
        <v/>
      </c>
      <c r="J2916">
        <f>IF('Last Week'!$B202="","",'Last Week'!$A202)</f>
        <v/>
      </c>
      <c r="N2916">
        <f>IF('Last Week'!$B202="","",'Last Week'!$C202)</f>
        <v/>
      </c>
    </row>
    <row r="2917">
      <c r="A2917">
        <f>IF('Last Week'!$B203="","","Last week")</f>
        <v/>
      </c>
      <c r="B2917">
        <f>IF('Last Week'!$B203="","","Last week")</f>
        <v/>
      </c>
      <c r="C2917" s="18" t="n"/>
      <c r="F2917">
        <f>IF('Last Week'!$B203="","",'Last Week'!$B203&amp;"")</f>
        <v/>
      </c>
      <c r="J2917">
        <f>IF('Last Week'!$B203="","",'Last Week'!$A203)</f>
        <v/>
      </c>
      <c r="N2917">
        <f>IF('Last Week'!$B203="","",'Last Week'!$C203)</f>
        <v/>
      </c>
    </row>
    <row r="2918">
      <c r="A2918">
        <f>IF('Last Week'!$B204="","","Last week")</f>
        <v/>
      </c>
      <c r="B2918">
        <f>IF('Last Week'!$B204="","","Last week")</f>
        <v/>
      </c>
      <c r="C2918" s="18" t="n"/>
      <c r="F2918">
        <f>IF('Last Week'!$B204="","",'Last Week'!$B204&amp;"")</f>
        <v/>
      </c>
      <c r="J2918">
        <f>IF('Last Week'!$B204="","",'Last Week'!$A204)</f>
        <v/>
      </c>
      <c r="N2918">
        <f>IF('Last Week'!$B204="","",'Last Week'!$C204)</f>
        <v/>
      </c>
    </row>
    <row r="2919">
      <c r="A2919">
        <f>IF('Last Week'!$B205="","","Last week")</f>
        <v/>
      </c>
      <c r="B2919">
        <f>IF('Last Week'!$B205="","","Last week")</f>
        <v/>
      </c>
      <c r="C2919" s="18" t="n"/>
      <c r="F2919">
        <f>IF('Last Week'!$B205="","",'Last Week'!$B205&amp;"")</f>
        <v/>
      </c>
      <c r="J2919">
        <f>IF('Last Week'!$B205="","",'Last Week'!$A205)</f>
        <v/>
      </c>
      <c r="N2919">
        <f>IF('Last Week'!$B205="","",'Last Week'!$C205)</f>
        <v/>
      </c>
    </row>
    <row r="2920">
      <c r="A2920">
        <f>IF('Last Week'!$B206="","","Last week")</f>
        <v/>
      </c>
      <c r="B2920">
        <f>IF('Last Week'!$B206="","","Last week")</f>
        <v/>
      </c>
      <c r="C2920" s="18" t="n"/>
      <c r="F2920">
        <f>IF('Last Week'!$B206="","",'Last Week'!$B206&amp;"")</f>
        <v/>
      </c>
      <c r="J2920">
        <f>IF('Last Week'!$B206="","",'Last Week'!$A206)</f>
        <v/>
      </c>
      <c r="N2920">
        <f>IF('Last Week'!$B206="","",'Last Week'!$C206)</f>
        <v/>
      </c>
    </row>
    <row r="2921">
      <c r="A2921">
        <f>IF('Last Week'!$B207="","","Last week")</f>
        <v/>
      </c>
      <c r="B2921">
        <f>IF('Last Week'!$B207="","","Last week")</f>
        <v/>
      </c>
      <c r="C2921" s="18" t="n"/>
      <c r="F2921">
        <f>IF('Last Week'!$B207="","",'Last Week'!$B207&amp;"")</f>
        <v/>
      </c>
      <c r="J2921">
        <f>IF('Last Week'!$B207="","",'Last Week'!$A207)</f>
        <v/>
      </c>
      <c r="N2921">
        <f>IF('Last Week'!$B207="","",'Last Week'!$C207)</f>
        <v/>
      </c>
    </row>
    <row r="2922">
      <c r="A2922">
        <f>IF('Last Week'!$B208="","","Last week")</f>
        <v/>
      </c>
      <c r="B2922">
        <f>IF('Last Week'!$B208="","","Last week")</f>
        <v/>
      </c>
      <c r="C2922" s="18" t="n"/>
      <c r="F2922">
        <f>IF('Last Week'!$B208="","",'Last Week'!$B208&amp;"")</f>
        <v/>
      </c>
      <c r="J2922">
        <f>IF('Last Week'!$B208="","",'Last Week'!$A208)</f>
        <v/>
      </c>
      <c r="N2922">
        <f>IF('Last Week'!$B208="","",'Last Week'!$C208)</f>
        <v/>
      </c>
    </row>
    <row r="2923">
      <c r="A2923">
        <f>IF('Last Week'!$B209="","","Last week")</f>
        <v/>
      </c>
      <c r="B2923">
        <f>IF('Last Week'!$B209="","","Last week")</f>
        <v/>
      </c>
      <c r="C2923" s="18" t="n"/>
      <c r="F2923">
        <f>IF('Last Week'!$B209="","",'Last Week'!$B209&amp;"")</f>
        <v/>
      </c>
      <c r="J2923">
        <f>IF('Last Week'!$B209="","",'Last Week'!$A209)</f>
        <v/>
      </c>
      <c r="N2923">
        <f>IF('Last Week'!$B209="","",'Last Week'!$C209)</f>
        <v/>
      </c>
    </row>
    <row r="2924">
      <c r="A2924">
        <f>IF('Last Week'!$B210="","","Last week")</f>
        <v/>
      </c>
      <c r="B2924">
        <f>IF('Last Week'!$B210="","","Last week")</f>
        <v/>
      </c>
      <c r="C2924" s="18" t="n"/>
      <c r="F2924">
        <f>IF('Last Week'!$B210="","",'Last Week'!$B210&amp;"")</f>
        <v/>
      </c>
      <c r="J2924">
        <f>IF('Last Week'!$B210="","",'Last Week'!$A210)</f>
        <v/>
      </c>
      <c r="N2924">
        <f>IF('Last Week'!$B210="","",'Last Week'!$C210)</f>
        <v/>
      </c>
    </row>
    <row r="2925">
      <c r="A2925">
        <f>IF('Last Week'!$B211="","","Last week")</f>
        <v/>
      </c>
      <c r="B2925">
        <f>IF('Last Week'!$B211="","","Last week")</f>
        <v/>
      </c>
      <c r="C2925" s="18" t="n"/>
      <c r="F2925">
        <f>IF('Last Week'!$B211="","",'Last Week'!$B211&amp;"")</f>
        <v/>
      </c>
      <c r="J2925">
        <f>IF('Last Week'!$B211="","",'Last Week'!$A211)</f>
        <v/>
      </c>
      <c r="N2925">
        <f>IF('Last Week'!$B211="","",'Last Week'!$C211)</f>
        <v/>
      </c>
    </row>
    <row r="2926">
      <c r="A2926">
        <f>IF('Last Week'!$B212="","","Last week")</f>
        <v/>
      </c>
      <c r="B2926">
        <f>IF('Last Week'!$B212="","","Last week")</f>
        <v/>
      </c>
      <c r="C2926" s="18" t="n"/>
      <c r="F2926">
        <f>IF('Last Week'!$B212="","",'Last Week'!$B212&amp;"")</f>
        <v/>
      </c>
      <c r="J2926">
        <f>IF('Last Week'!$B212="","",'Last Week'!$A212)</f>
        <v/>
      </c>
      <c r="N2926">
        <f>IF('Last Week'!$B212="","",'Last Week'!$C212)</f>
        <v/>
      </c>
    </row>
    <row r="2927">
      <c r="A2927">
        <f>IF('Last Week'!$B213="","","Last week")</f>
        <v/>
      </c>
      <c r="B2927">
        <f>IF('Last Week'!$B213="","","Last week")</f>
        <v/>
      </c>
      <c r="C2927" s="18" t="n"/>
      <c r="F2927">
        <f>IF('Last Week'!$B213="","",'Last Week'!$B213&amp;"")</f>
        <v/>
      </c>
      <c r="J2927">
        <f>IF('Last Week'!$B213="","",'Last Week'!$A213)</f>
        <v/>
      </c>
      <c r="N2927">
        <f>IF('Last Week'!$B213="","",'Last Week'!$C213)</f>
        <v/>
      </c>
    </row>
    <row r="2928">
      <c r="A2928">
        <f>IF('Last Week'!$B214="","","Last week")</f>
        <v/>
      </c>
      <c r="B2928">
        <f>IF('Last Week'!$B214="","","Last week")</f>
        <v/>
      </c>
      <c r="C2928" s="18" t="n"/>
      <c r="F2928">
        <f>IF('Last Week'!$B214="","",'Last Week'!$B214&amp;"")</f>
        <v/>
      </c>
      <c r="J2928">
        <f>IF('Last Week'!$B214="","",'Last Week'!$A214)</f>
        <v/>
      </c>
      <c r="N2928">
        <f>IF('Last Week'!$B214="","",'Last Week'!$C214)</f>
        <v/>
      </c>
    </row>
    <row r="2929">
      <c r="A2929">
        <f>IF('Last Week'!$B215="","","Last week")</f>
        <v/>
      </c>
      <c r="B2929">
        <f>IF('Last Week'!$B215="","","Last week")</f>
        <v/>
      </c>
      <c r="C2929" s="18" t="n"/>
      <c r="F2929">
        <f>IF('Last Week'!$B215="","",'Last Week'!$B215&amp;"")</f>
        <v/>
      </c>
      <c r="J2929">
        <f>IF('Last Week'!$B215="","",'Last Week'!$A215)</f>
        <v/>
      </c>
      <c r="N2929">
        <f>IF('Last Week'!$B215="","",'Last Week'!$C215)</f>
        <v/>
      </c>
    </row>
    <row r="2930">
      <c r="A2930">
        <f>IF('Last Week'!$B216="","","Last week")</f>
        <v/>
      </c>
      <c r="B2930">
        <f>IF('Last Week'!$B216="","","Last week")</f>
        <v/>
      </c>
      <c r="C2930" s="18" t="n"/>
      <c r="F2930">
        <f>IF('Last Week'!$B216="","",'Last Week'!$B216&amp;"")</f>
        <v/>
      </c>
      <c r="J2930">
        <f>IF('Last Week'!$B216="","",'Last Week'!$A216)</f>
        <v/>
      </c>
      <c r="N2930">
        <f>IF('Last Week'!$B216="","",'Last Week'!$C216)</f>
        <v/>
      </c>
    </row>
    <row r="2931">
      <c r="A2931">
        <f>IF('Last Week'!$B217="","","Last week")</f>
        <v/>
      </c>
      <c r="B2931">
        <f>IF('Last Week'!$B217="","","Last week")</f>
        <v/>
      </c>
      <c r="C2931" s="18" t="n"/>
      <c r="F2931">
        <f>IF('Last Week'!$B217="","",'Last Week'!$B217&amp;"")</f>
        <v/>
      </c>
      <c r="J2931">
        <f>IF('Last Week'!$B217="","",'Last Week'!$A217)</f>
        <v/>
      </c>
      <c r="N2931">
        <f>IF('Last Week'!$B217="","",'Last Week'!$C217)</f>
        <v/>
      </c>
    </row>
    <row r="2932">
      <c r="A2932">
        <f>IF('Last Week'!$B218="","","Last week")</f>
        <v/>
      </c>
      <c r="B2932">
        <f>IF('Last Week'!$B218="","","Last week")</f>
        <v/>
      </c>
      <c r="C2932" s="18" t="n"/>
      <c r="F2932">
        <f>IF('Last Week'!$B218="","",'Last Week'!$B218&amp;"")</f>
        <v/>
      </c>
      <c r="J2932">
        <f>IF('Last Week'!$B218="","",'Last Week'!$A218)</f>
        <v/>
      </c>
      <c r="N2932">
        <f>IF('Last Week'!$B218="","",'Last Week'!$C218)</f>
        <v/>
      </c>
    </row>
    <row r="2933">
      <c r="A2933">
        <f>IF('Last Week'!$B219="","","Last week")</f>
        <v/>
      </c>
      <c r="B2933">
        <f>IF('Last Week'!$B219="","","Last week")</f>
        <v/>
      </c>
      <c r="C2933" s="18" t="n"/>
      <c r="F2933">
        <f>IF('Last Week'!$B219="","",'Last Week'!$B219&amp;"")</f>
        <v/>
      </c>
      <c r="J2933">
        <f>IF('Last Week'!$B219="","",'Last Week'!$A219)</f>
        <v/>
      </c>
      <c r="N2933">
        <f>IF('Last Week'!$B219="","",'Last Week'!$C219)</f>
        <v/>
      </c>
    </row>
    <row r="2934">
      <c r="A2934">
        <f>IF('Last Week'!$B220="","","Last week")</f>
        <v/>
      </c>
      <c r="B2934">
        <f>IF('Last Week'!$B220="","","Last week")</f>
        <v/>
      </c>
      <c r="C2934" s="18" t="n"/>
      <c r="F2934">
        <f>IF('Last Week'!$B220="","",'Last Week'!$B220&amp;"")</f>
        <v/>
      </c>
      <c r="J2934">
        <f>IF('Last Week'!$B220="","",'Last Week'!$A220)</f>
        <v/>
      </c>
      <c r="N2934">
        <f>IF('Last Week'!$B220="","",'Last Week'!$C220)</f>
        <v/>
      </c>
    </row>
    <row r="2935">
      <c r="A2935">
        <f>IF('Last Week'!$B221="","","Last week")</f>
        <v/>
      </c>
      <c r="B2935">
        <f>IF('Last Week'!$B221="","","Last week")</f>
        <v/>
      </c>
      <c r="C2935" s="18" t="n"/>
      <c r="F2935">
        <f>IF('Last Week'!$B221="","",'Last Week'!$B221&amp;"")</f>
        <v/>
      </c>
      <c r="J2935">
        <f>IF('Last Week'!$B221="","",'Last Week'!$A221)</f>
        <v/>
      </c>
      <c r="N2935">
        <f>IF('Last Week'!$B221="","",'Last Week'!$C221)</f>
        <v/>
      </c>
    </row>
    <row r="2936">
      <c r="A2936">
        <f>IF('Last Week'!$B222="","","Last week")</f>
        <v/>
      </c>
      <c r="B2936">
        <f>IF('Last Week'!$B222="","","Last week")</f>
        <v/>
      </c>
      <c r="C2936" s="18" t="n"/>
      <c r="F2936">
        <f>IF('Last Week'!$B222="","",'Last Week'!$B222&amp;"")</f>
        <v/>
      </c>
      <c r="J2936">
        <f>IF('Last Week'!$B222="","",'Last Week'!$A222)</f>
        <v/>
      </c>
      <c r="N2936">
        <f>IF('Last Week'!$B222="","",'Last Week'!$C222)</f>
        <v/>
      </c>
    </row>
    <row r="2937">
      <c r="A2937">
        <f>IF('Last Week'!$B223="","","Last week")</f>
        <v/>
      </c>
      <c r="B2937">
        <f>IF('Last Week'!$B223="","","Last week")</f>
        <v/>
      </c>
      <c r="C2937" s="18" t="n"/>
      <c r="F2937">
        <f>IF('Last Week'!$B223="","",'Last Week'!$B223&amp;"")</f>
        <v/>
      </c>
      <c r="J2937">
        <f>IF('Last Week'!$B223="","",'Last Week'!$A223)</f>
        <v/>
      </c>
      <c r="N2937">
        <f>IF('Last Week'!$B223="","",'Last Week'!$C223)</f>
        <v/>
      </c>
    </row>
    <row r="2938">
      <c r="A2938">
        <f>IF('Last Week'!$B224="","","Last week")</f>
        <v/>
      </c>
      <c r="B2938">
        <f>IF('Last Week'!$B224="","","Last week")</f>
        <v/>
      </c>
      <c r="C2938" s="18" t="n"/>
      <c r="F2938">
        <f>IF('Last Week'!$B224="","",'Last Week'!$B224&amp;"")</f>
        <v/>
      </c>
      <c r="J2938">
        <f>IF('Last Week'!$B224="","",'Last Week'!$A224)</f>
        <v/>
      </c>
      <c r="N2938">
        <f>IF('Last Week'!$B224="","",'Last Week'!$C224)</f>
        <v/>
      </c>
    </row>
    <row r="2939">
      <c r="A2939">
        <f>IF('Last Week'!$B225="","","Last week")</f>
        <v/>
      </c>
      <c r="B2939">
        <f>IF('Last Week'!$B225="","","Last week")</f>
        <v/>
      </c>
      <c r="C2939" s="18" t="n"/>
      <c r="F2939">
        <f>IF('Last Week'!$B225="","",'Last Week'!$B225&amp;"")</f>
        <v/>
      </c>
      <c r="J2939">
        <f>IF('Last Week'!$B225="","",'Last Week'!$A225)</f>
        <v/>
      </c>
      <c r="N2939">
        <f>IF('Last Week'!$B225="","",'Last Week'!$C225)</f>
        <v/>
      </c>
    </row>
    <row r="2940">
      <c r="A2940">
        <f>IF('Last Week'!$B226="","","Last week")</f>
        <v/>
      </c>
      <c r="B2940">
        <f>IF('Last Week'!$B226="","","Last week")</f>
        <v/>
      </c>
      <c r="C2940" s="18" t="n"/>
      <c r="F2940">
        <f>IF('Last Week'!$B226="","",'Last Week'!$B226&amp;"")</f>
        <v/>
      </c>
      <c r="J2940">
        <f>IF('Last Week'!$B226="","",'Last Week'!$A226)</f>
        <v/>
      </c>
      <c r="N2940">
        <f>IF('Last Week'!$B226="","",'Last Week'!$C226)</f>
        <v/>
      </c>
    </row>
    <row r="2941">
      <c r="A2941">
        <f>IF('Last Week'!$B227="","","Last week")</f>
        <v/>
      </c>
      <c r="B2941">
        <f>IF('Last Week'!$B227="","","Last week")</f>
        <v/>
      </c>
      <c r="C2941" s="18" t="n"/>
      <c r="F2941">
        <f>IF('Last Week'!$B227="","",'Last Week'!$B227&amp;"")</f>
        <v/>
      </c>
      <c r="J2941">
        <f>IF('Last Week'!$B227="","",'Last Week'!$A227)</f>
        <v/>
      </c>
      <c r="N2941">
        <f>IF('Last Week'!$B227="","",'Last Week'!$C227)</f>
        <v/>
      </c>
    </row>
    <row r="2942">
      <c r="A2942">
        <f>IF('Last Week'!$B228="","","Last week")</f>
        <v/>
      </c>
      <c r="B2942">
        <f>IF('Last Week'!$B228="","","Last week")</f>
        <v/>
      </c>
      <c r="C2942" s="18" t="n"/>
      <c r="F2942">
        <f>IF('Last Week'!$B228="","",'Last Week'!$B228&amp;"")</f>
        <v/>
      </c>
      <c r="J2942">
        <f>IF('Last Week'!$B228="","",'Last Week'!$A228)</f>
        <v/>
      </c>
      <c r="N2942">
        <f>IF('Last Week'!$B228="","",'Last Week'!$C228)</f>
        <v/>
      </c>
    </row>
    <row r="2943">
      <c r="A2943">
        <f>IF('Last Week'!$B229="","","Last week")</f>
        <v/>
      </c>
      <c r="B2943">
        <f>IF('Last Week'!$B229="","","Last week")</f>
        <v/>
      </c>
      <c r="C2943" s="18" t="n"/>
      <c r="F2943">
        <f>IF('Last Week'!$B229="","",'Last Week'!$B229&amp;"")</f>
        <v/>
      </c>
      <c r="J2943">
        <f>IF('Last Week'!$B229="","",'Last Week'!$A229)</f>
        <v/>
      </c>
      <c r="N2943">
        <f>IF('Last Week'!$B229="","",'Last Week'!$C229)</f>
        <v/>
      </c>
    </row>
    <row r="2944">
      <c r="A2944">
        <f>IF('Last Week'!$B230="","","Last week")</f>
        <v/>
      </c>
      <c r="B2944">
        <f>IF('Last Week'!$B230="","","Last week")</f>
        <v/>
      </c>
      <c r="C2944" s="18" t="n"/>
      <c r="F2944">
        <f>IF('Last Week'!$B230="","",'Last Week'!$B230&amp;"")</f>
        <v/>
      </c>
      <c r="J2944">
        <f>IF('Last Week'!$B230="","",'Last Week'!$A230)</f>
        <v/>
      </c>
      <c r="N2944">
        <f>IF('Last Week'!$B230="","",'Last Week'!$C230)</f>
        <v/>
      </c>
    </row>
    <row r="2945">
      <c r="A2945">
        <f>IF('Last Week'!$B231="","","Last week")</f>
        <v/>
      </c>
      <c r="B2945">
        <f>IF('Last Week'!$B231="","","Last week")</f>
        <v/>
      </c>
      <c r="C2945" s="18" t="n"/>
      <c r="F2945">
        <f>IF('Last Week'!$B231="","",'Last Week'!$B231&amp;"")</f>
        <v/>
      </c>
      <c r="J2945">
        <f>IF('Last Week'!$B231="","",'Last Week'!$A231)</f>
        <v/>
      </c>
      <c r="N2945">
        <f>IF('Last Week'!$B231="","",'Last Week'!$C231)</f>
        <v/>
      </c>
    </row>
    <row r="2946">
      <c r="A2946">
        <f>IF('Last Week'!$B232="","","Last week")</f>
        <v/>
      </c>
      <c r="B2946">
        <f>IF('Last Week'!$B232="","","Last week")</f>
        <v/>
      </c>
      <c r="C2946" s="18" t="n"/>
      <c r="F2946">
        <f>IF('Last Week'!$B232="","",'Last Week'!$B232&amp;"")</f>
        <v/>
      </c>
      <c r="J2946">
        <f>IF('Last Week'!$B232="","",'Last Week'!$A232)</f>
        <v/>
      </c>
      <c r="N2946">
        <f>IF('Last Week'!$B232="","",'Last Week'!$C232)</f>
        <v/>
      </c>
    </row>
    <row r="2947">
      <c r="A2947">
        <f>IF('Last Week'!$B233="","","Last week")</f>
        <v/>
      </c>
      <c r="B2947">
        <f>IF('Last Week'!$B233="","","Last week")</f>
        <v/>
      </c>
      <c r="C2947" s="18" t="n"/>
      <c r="F2947">
        <f>IF('Last Week'!$B233="","",'Last Week'!$B233&amp;"")</f>
        <v/>
      </c>
      <c r="J2947">
        <f>IF('Last Week'!$B233="","",'Last Week'!$A233)</f>
        <v/>
      </c>
      <c r="N2947">
        <f>IF('Last Week'!$B233="","",'Last Week'!$C233)</f>
        <v/>
      </c>
    </row>
    <row r="2948">
      <c r="A2948">
        <f>IF('Last Week'!$B234="","","Last week")</f>
        <v/>
      </c>
      <c r="B2948">
        <f>IF('Last Week'!$B234="","","Last week")</f>
        <v/>
      </c>
      <c r="C2948" s="18" t="n"/>
      <c r="F2948">
        <f>IF('Last Week'!$B234="","",'Last Week'!$B234&amp;"")</f>
        <v/>
      </c>
      <c r="J2948">
        <f>IF('Last Week'!$B234="","",'Last Week'!$A234)</f>
        <v/>
      </c>
      <c r="N2948">
        <f>IF('Last Week'!$B234="","",'Last Week'!$C234)</f>
        <v/>
      </c>
    </row>
    <row r="2949">
      <c r="A2949">
        <f>IF('Last Week'!$B235="","","Last week")</f>
        <v/>
      </c>
      <c r="B2949">
        <f>IF('Last Week'!$B235="","","Last week")</f>
        <v/>
      </c>
      <c r="C2949" s="18" t="n"/>
      <c r="F2949">
        <f>IF('Last Week'!$B235="","",'Last Week'!$B235&amp;"")</f>
        <v/>
      </c>
      <c r="J2949">
        <f>IF('Last Week'!$B235="","",'Last Week'!$A235)</f>
        <v/>
      </c>
      <c r="N2949">
        <f>IF('Last Week'!$B235="","",'Last Week'!$C235)</f>
        <v/>
      </c>
    </row>
    <row r="2950">
      <c r="A2950">
        <f>IF('Last Week'!$B236="","","Last week")</f>
        <v/>
      </c>
      <c r="B2950">
        <f>IF('Last Week'!$B236="","","Last week")</f>
        <v/>
      </c>
      <c r="C2950" s="18" t="n"/>
      <c r="F2950">
        <f>IF('Last Week'!$B236="","",'Last Week'!$B236&amp;"")</f>
        <v/>
      </c>
      <c r="J2950">
        <f>IF('Last Week'!$B236="","",'Last Week'!$A236)</f>
        <v/>
      </c>
      <c r="N2950">
        <f>IF('Last Week'!$B236="","",'Last Week'!$C236)</f>
        <v/>
      </c>
    </row>
    <row r="2951">
      <c r="A2951">
        <f>IF('Last Week'!$B237="","","Last week")</f>
        <v/>
      </c>
      <c r="B2951">
        <f>IF('Last Week'!$B237="","","Last week")</f>
        <v/>
      </c>
      <c r="C2951" s="18" t="n"/>
      <c r="F2951">
        <f>IF('Last Week'!$B237="","",'Last Week'!$B237&amp;"")</f>
        <v/>
      </c>
      <c r="J2951">
        <f>IF('Last Week'!$B237="","",'Last Week'!$A237)</f>
        <v/>
      </c>
      <c r="N2951">
        <f>IF('Last Week'!$B237="","",'Last Week'!$C237)</f>
        <v/>
      </c>
    </row>
    <row r="2952">
      <c r="A2952">
        <f>IF('Last Week'!$B238="","","Last week")</f>
        <v/>
      </c>
      <c r="B2952">
        <f>IF('Last Week'!$B238="","","Last week")</f>
        <v/>
      </c>
      <c r="C2952" s="18" t="n"/>
      <c r="F2952">
        <f>IF('Last Week'!$B238="","",'Last Week'!$B238&amp;"")</f>
        <v/>
      </c>
      <c r="J2952">
        <f>IF('Last Week'!$B238="","",'Last Week'!$A238)</f>
        <v/>
      </c>
      <c r="N2952">
        <f>IF('Last Week'!$B238="","",'Last Week'!$C238)</f>
        <v/>
      </c>
    </row>
    <row r="2953">
      <c r="A2953">
        <f>IF('Last Week'!$B239="","","Last week")</f>
        <v/>
      </c>
      <c r="B2953">
        <f>IF('Last Week'!$B239="","","Last week")</f>
        <v/>
      </c>
      <c r="C2953" s="18" t="n"/>
      <c r="F2953">
        <f>IF('Last Week'!$B239="","",'Last Week'!$B239&amp;"")</f>
        <v/>
      </c>
      <c r="J2953">
        <f>IF('Last Week'!$B239="","",'Last Week'!$A239)</f>
        <v/>
      </c>
      <c r="N2953">
        <f>IF('Last Week'!$B239="","",'Last Week'!$C239)</f>
        <v/>
      </c>
    </row>
    <row r="2954">
      <c r="A2954">
        <f>IF('Last Week'!$B240="","","Last week")</f>
        <v/>
      </c>
      <c r="B2954">
        <f>IF('Last Week'!$B240="","","Last week")</f>
        <v/>
      </c>
      <c r="C2954" s="18" t="n"/>
      <c r="F2954">
        <f>IF('Last Week'!$B240="","",'Last Week'!$B240&amp;"")</f>
        <v/>
      </c>
      <c r="J2954">
        <f>IF('Last Week'!$B240="","",'Last Week'!$A240)</f>
        <v/>
      </c>
      <c r="N2954">
        <f>IF('Last Week'!$B240="","",'Last Week'!$C240)</f>
        <v/>
      </c>
    </row>
    <row r="2955">
      <c r="A2955">
        <f>IF('Last Week'!$B241="","","Last week")</f>
        <v/>
      </c>
      <c r="B2955">
        <f>IF('Last Week'!$B241="","","Last week")</f>
        <v/>
      </c>
      <c r="C2955" s="18" t="n"/>
      <c r="F2955">
        <f>IF('Last Week'!$B241="","",'Last Week'!$B241&amp;"")</f>
        <v/>
      </c>
      <c r="J2955">
        <f>IF('Last Week'!$B241="","",'Last Week'!$A241)</f>
        <v/>
      </c>
      <c r="N2955">
        <f>IF('Last Week'!$B241="","",'Last Week'!$C241)</f>
        <v/>
      </c>
    </row>
    <row r="2956">
      <c r="A2956">
        <f>IF('Last Week'!$B242="","","Last week")</f>
        <v/>
      </c>
      <c r="B2956">
        <f>IF('Last Week'!$B242="","","Last week")</f>
        <v/>
      </c>
      <c r="C2956" s="18" t="n"/>
      <c r="F2956">
        <f>IF('Last Week'!$B242="","",'Last Week'!$B242&amp;"")</f>
        <v/>
      </c>
      <c r="J2956">
        <f>IF('Last Week'!$B242="","",'Last Week'!$A242)</f>
        <v/>
      </c>
      <c r="N2956">
        <f>IF('Last Week'!$B242="","",'Last Week'!$C242)</f>
        <v/>
      </c>
    </row>
    <row r="2957">
      <c r="A2957">
        <f>IF('Last Week'!$B243="","","Last week")</f>
        <v/>
      </c>
      <c r="B2957">
        <f>IF('Last Week'!$B243="","","Last week")</f>
        <v/>
      </c>
      <c r="C2957" s="18" t="n"/>
      <c r="F2957">
        <f>IF('Last Week'!$B243="","",'Last Week'!$B243&amp;"")</f>
        <v/>
      </c>
      <c r="J2957">
        <f>IF('Last Week'!$B243="","",'Last Week'!$A243)</f>
        <v/>
      </c>
      <c r="N2957">
        <f>IF('Last Week'!$B243="","",'Last Week'!$C243)</f>
        <v/>
      </c>
    </row>
    <row r="2958">
      <c r="A2958">
        <f>IF('Last Week'!$B244="","","Last week")</f>
        <v/>
      </c>
      <c r="B2958">
        <f>IF('Last Week'!$B244="","","Last week")</f>
        <v/>
      </c>
      <c r="C2958" s="18" t="n"/>
      <c r="F2958">
        <f>IF('Last Week'!$B244="","",'Last Week'!$B244&amp;"")</f>
        <v/>
      </c>
      <c r="J2958">
        <f>IF('Last Week'!$B244="","",'Last Week'!$A244)</f>
        <v/>
      </c>
      <c r="N2958">
        <f>IF('Last Week'!$B244="","",'Last Week'!$C244)</f>
        <v/>
      </c>
    </row>
    <row r="2959">
      <c r="A2959">
        <f>IF('Last Week'!$B245="","","Last week")</f>
        <v/>
      </c>
      <c r="B2959">
        <f>IF('Last Week'!$B245="","","Last week")</f>
        <v/>
      </c>
      <c r="C2959" s="18" t="n"/>
      <c r="F2959">
        <f>IF('Last Week'!$B245="","",'Last Week'!$B245&amp;"")</f>
        <v/>
      </c>
      <c r="J2959">
        <f>IF('Last Week'!$B245="","",'Last Week'!$A245)</f>
        <v/>
      </c>
      <c r="N2959">
        <f>IF('Last Week'!$B245="","",'Last Week'!$C245)</f>
        <v/>
      </c>
    </row>
    <row r="2960">
      <c r="A2960">
        <f>IF('Last Week'!$B246="","","Last week")</f>
        <v/>
      </c>
      <c r="B2960">
        <f>IF('Last Week'!$B246="","","Last week")</f>
        <v/>
      </c>
      <c r="C2960" s="18" t="n"/>
      <c r="F2960">
        <f>IF('Last Week'!$B246="","",'Last Week'!$B246&amp;"")</f>
        <v/>
      </c>
      <c r="J2960">
        <f>IF('Last Week'!$B246="","",'Last Week'!$A246)</f>
        <v/>
      </c>
      <c r="N2960">
        <f>IF('Last Week'!$B246="","",'Last Week'!$C246)</f>
        <v/>
      </c>
    </row>
    <row r="2961">
      <c r="A2961">
        <f>IF('Last Week'!$B247="","","Last week")</f>
        <v/>
      </c>
      <c r="B2961">
        <f>IF('Last Week'!$B247="","","Last week")</f>
        <v/>
      </c>
      <c r="C2961" s="18" t="n"/>
      <c r="F2961">
        <f>IF('Last Week'!$B247="","",'Last Week'!$B247&amp;"")</f>
        <v/>
      </c>
      <c r="J2961">
        <f>IF('Last Week'!$B247="","",'Last Week'!$A247)</f>
        <v/>
      </c>
      <c r="N2961">
        <f>IF('Last Week'!$B247="","",'Last Week'!$C247)</f>
        <v/>
      </c>
    </row>
    <row r="2962">
      <c r="A2962">
        <f>IF('Last Week'!$B248="","","Last week")</f>
        <v/>
      </c>
      <c r="B2962">
        <f>IF('Last Week'!$B248="","","Last week")</f>
        <v/>
      </c>
      <c r="C2962" s="18" t="n"/>
      <c r="F2962">
        <f>IF('Last Week'!$B248="","",'Last Week'!$B248&amp;"")</f>
        <v/>
      </c>
      <c r="J2962">
        <f>IF('Last Week'!$B248="","",'Last Week'!$A248)</f>
        <v/>
      </c>
      <c r="N2962">
        <f>IF('Last Week'!$B248="","",'Last Week'!$C248)</f>
        <v/>
      </c>
    </row>
    <row r="2963">
      <c r="A2963">
        <f>IF('Last Week'!$B249="","","Last week")</f>
        <v/>
      </c>
      <c r="B2963">
        <f>IF('Last Week'!$B249="","","Last week")</f>
        <v/>
      </c>
      <c r="C2963" s="18" t="n"/>
      <c r="F2963">
        <f>IF('Last Week'!$B249="","",'Last Week'!$B249&amp;"")</f>
        <v/>
      </c>
      <c r="J2963">
        <f>IF('Last Week'!$B249="","",'Last Week'!$A249)</f>
        <v/>
      </c>
      <c r="N2963">
        <f>IF('Last Week'!$B249="","",'Last Week'!$C249)</f>
        <v/>
      </c>
    </row>
    <row r="2964">
      <c r="A2964">
        <f>IF('Last Week'!$B250="","","Last week")</f>
        <v/>
      </c>
      <c r="B2964">
        <f>IF('Last Week'!$B250="","","Last week")</f>
        <v/>
      </c>
      <c r="C2964" s="18" t="n"/>
      <c r="F2964">
        <f>IF('Last Week'!$B250="","",'Last Week'!$B250&amp;"")</f>
        <v/>
      </c>
      <c r="J2964">
        <f>IF('Last Week'!$B250="","",'Last Week'!$A250)</f>
        <v/>
      </c>
      <c r="N2964">
        <f>IF('Last Week'!$B250="","",'Last Week'!$C250)</f>
        <v/>
      </c>
    </row>
    <row r="2965">
      <c r="A2965">
        <f>IF('Last Week'!$B251="","","Last week")</f>
        <v/>
      </c>
      <c r="B2965">
        <f>IF('Last Week'!$B251="","","Last week")</f>
        <v/>
      </c>
      <c r="C2965" s="18" t="n"/>
      <c r="F2965">
        <f>IF('Last Week'!$B251="","",'Last Week'!$B251&amp;"")</f>
        <v/>
      </c>
      <c r="J2965">
        <f>IF('Last Week'!$B251="","",'Last Week'!$A251)</f>
        <v/>
      </c>
      <c r="N2965">
        <f>IF('Last Week'!$B251="","",'Last Week'!$C251)</f>
        <v/>
      </c>
    </row>
    <row r="2966">
      <c r="A2966">
        <f>IF('Last Week'!$B252="","","Last week")</f>
        <v/>
      </c>
      <c r="B2966">
        <f>IF('Last Week'!$B252="","","Last week")</f>
        <v/>
      </c>
      <c r="C2966" s="18" t="n"/>
      <c r="F2966">
        <f>IF('Last Week'!$B252="","",'Last Week'!$B252&amp;"")</f>
        <v/>
      </c>
      <c r="J2966">
        <f>IF('Last Week'!$B252="","",'Last Week'!$A252)</f>
        <v/>
      </c>
      <c r="N2966">
        <f>IF('Last Week'!$B252="","",'Last Week'!$C252)</f>
        <v/>
      </c>
    </row>
    <row r="2967">
      <c r="A2967">
        <f>IF('Last Week'!$B253="","","Last week")</f>
        <v/>
      </c>
      <c r="B2967">
        <f>IF('Last Week'!$B253="","","Last week")</f>
        <v/>
      </c>
      <c r="C2967" s="18" t="n"/>
      <c r="F2967">
        <f>IF('Last Week'!$B253="","",'Last Week'!$B253&amp;"")</f>
        <v/>
      </c>
      <c r="J2967">
        <f>IF('Last Week'!$B253="","",'Last Week'!$A253)</f>
        <v/>
      </c>
      <c r="N2967">
        <f>IF('Last Week'!$B253="","",'Last Week'!$C253)</f>
        <v/>
      </c>
    </row>
    <row r="2968">
      <c r="A2968">
        <f>IF('Last Week'!$B254="","","Last week")</f>
        <v/>
      </c>
      <c r="B2968">
        <f>IF('Last Week'!$B254="","","Last week")</f>
        <v/>
      </c>
      <c r="C2968" s="18" t="n"/>
      <c r="F2968">
        <f>IF('Last Week'!$B254="","",'Last Week'!$B254&amp;"")</f>
        <v/>
      </c>
      <c r="J2968">
        <f>IF('Last Week'!$B254="","",'Last Week'!$A254)</f>
        <v/>
      </c>
      <c r="N2968">
        <f>IF('Last Week'!$B254="","",'Last Week'!$C254)</f>
        <v/>
      </c>
    </row>
    <row r="2969">
      <c r="A2969">
        <f>IF('Last Week'!$B255="","","Last week")</f>
        <v/>
      </c>
      <c r="B2969">
        <f>IF('Last Week'!$B255="","","Last week")</f>
        <v/>
      </c>
      <c r="C2969" s="18" t="n"/>
      <c r="F2969">
        <f>IF('Last Week'!$B255="","",'Last Week'!$B255&amp;"")</f>
        <v/>
      </c>
      <c r="J2969">
        <f>IF('Last Week'!$B255="","",'Last Week'!$A255)</f>
        <v/>
      </c>
      <c r="N2969">
        <f>IF('Last Week'!$B255="","",'Last Week'!$C255)</f>
        <v/>
      </c>
    </row>
    <row r="2970">
      <c r="A2970">
        <f>IF('Last Week'!$B256="","","Last week")</f>
        <v/>
      </c>
      <c r="B2970">
        <f>IF('Last Week'!$B256="","","Last week")</f>
        <v/>
      </c>
      <c r="C2970" s="18" t="n"/>
      <c r="F2970">
        <f>IF('Last Week'!$B256="","",'Last Week'!$B256&amp;"")</f>
        <v/>
      </c>
      <c r="J2970">
        <f>IF('Last Week'!$B256="","",'Last Week'!$A256)</f>
        <v/>
      </c>
      <c r="N2970">
        <f>IF('Last Week'!$B256="","",'Last Week'!$C256)</f>
        <v/>
      </c>
    </row>
    <row r="2971">
      <c r="A2971">
        <f>IF('Last Week'!$B257="","","Last week")</f>
        <v/>
      </c>
      <c r="B2971">
        <f>IF('Last Week'!$B257="","","Last week")</f>
        <v/>
      </c>
      <c r="C2971" s="18" t="n"/>
      <c r="F2971">
        <f>IF('Last Week'!$B257="","",'Last Week'!$B257&amp;"")</f>
        <v/>
      </c>
      <c r="J2971">
        <f>IF('Last Week'!$B257="","",'Last Week'!$A257)</f>
        <v/>
      </c>
      <c r="N2971">
        <f>IF('Last Week'!$B257="","",'Last Week'!$C257)</f>
        <v/>
      </c>
    </row>
    <row r="2972">
      <c r="A2972">
        <f>IF('Last Week'!$B258="","","Last week")</f>
        <v/>
      </c>
      <c r="B2972">
        <f>IF('Last Week'!$B258="","","Last week")</f>
        <v/>
      </c>
      <c r="C2972" s="18" t="n"/>
      <c r="F2972">
        <f>IF('Last Week'!$B258="","",'Last Week'!$B258&amp;"")</f>
        <v/>
      </c>
      <c r="J2972">
        <f>IF('Last Week'!$B258="","",'Last Week'!$A258)</f>
        <v/>
      </c>
      <c r="N2972">
        <f>IF('Last Week'!$B258="","",'Last Week'!$C258)</f>
        <v/>
      </c>
    </row>
    <row r="2973">
      <c r="A2973">
        <f>IF('Last Week'!$B259="","","Last week")</f>
        <v/>
      </c>
      <c r="B2973">
        <f>IF('Last Week'!$B259="","","Last week")</f>
        <v/>
      </c>
      <c r="C2973" s="18" t="n"/>
      <c r="F2973">
        <f>IF('Last Week'!$B259="","",'Last Week'!$B259&amp;"")</f>
        <v/>
      </c>
      <c r="J2973">
        <f>IF('Last Week'!$B259="","",'Last Week'!$A259)</f>
        <v/>
      </c>
      <c r="N2973">
        <f>IF('Last Week'!$B259="","",'Last Week'!$C259)</f>
        <v/>
      </c>
    </row>
    <row r="2974">
      <c r="A2974">
        <f>IF('Last Week'!$B260="","","Last week")</f>
        <v/>
      </c>
      <c r="B2974">
        <f>IF('Last Week'!$B260="","","Last week")</f>
        <v/>
      </c>
      <c r="C2974" s="18" t="n"/>
      <c r="F2974">
        <f>IF('Last Week'!$B260="","",'Last Week'!$B260&amp;"")</f>
        <v/>
      </c>
      <c r="J2974">
        <f>IF('Last Week'!$B260="","",'Last Week'!$A260)</f>
        <v/>
      </c>
      <c r="N2974">
        <f>IF('Last Week'!$B260="","",'Last Week'!$C260)</f>
        <v/>
      </c>
    </row>
    <row r="2975">
      <c r="A2975">
        <f>IF('Last Week'!$B261="","","Last week")</f>
        <v/>
      </c>
      <c r="B2975">
        <f>IF('Last Week'!$B261="","","Last week")</f>
        <v/>
      </c>
      <c r="C2975" s="18" t="n"/>
      <c r="F2975">
        <f>IF('Last Week'!$B261="","",'Last Week'!$B261&amp;"")</f>
        <v/>
      </c>
      <c r="J2975">
        <f>IF('Last Week'!$B261="","",'Last Week'!$A261)</f>
        <v/>
      </c>
      <c r="N2975">
        <f>IF('Last Week'!$B261="","",'Last Week'!$C261)</f>
        <v/>
      </c>
    </row>
    <row r="2976">
      <c r="A2976">
        <f>IF('Last Week'!$B262="","","Last week")</f>
        <v/>
      </c>
      <c r="B2976">
        <f>IF('Last Week'!$B262="","","Last week")</f>
        <v/>
      </c>
      <c r="C2976" s="18" t="n"/>
      <c r="F2976">
        <f>IF('Last Week'!$B262="","",'Last Week'!$B262&amp;"")</f>
        <v/>
      </c>
      <c r="J2976">
        <f>IF('Last Week'!$B262="","",'Last Week'!$A262)</f>
        <v/>
      </c>
      <c r="N2976">
        <f>IF('Last Week'!$B262="","",'Last Week'!$C262)</f>
        <v/>
      </c>
    </row>
    <row r="2977">
      <c r="A2977">
        <f>IF('Last Week'!$B263="","","Last week")</f>
        <v/>
      </c>
      <c r="B2977">
        <f>IF('Last Week'!$B263="","","Last week")</f>
        <v/>
      </c>
      <c r="C2977" s="18" t="n"/>
      <c r="F2977">
        <f>IF('Last Week'!$B263="","",'Last Week'!$B263&amp;"")</f>
        <v/>
      </c>
      <c r="J2977">
        <f>IF('Last Week'!$B263="","",'Last Week'!$A263)</f>
        <v/>
      </c>
      <c r="N2977">
        <f>IF('Last Week'!$B263="","",'Last Week'!$C263)</f>
        <v/>
      </c>
    </row>
    <row r="2978">
      <c r="A2978">
        <f>IF('Last Week'!$B264="","","Last week")</f>
        <v/>
      </c>
      <c r="B2978">
        <f>IF('Last Week'!$B264="","","Last week")</f>
        <v/>
      </c>
      <c r="C2978" s="18" t="n"/>
      <c r="F2978">
        <f>IF('Last Week'!$B264="","",'Last Week'!$B264&amp;"")</f>
        <v/>
      </c>
      <c r="J2978">
        <f>IF('Last Week'!$B264="","",'Last Week'!$A264)</f>
        <v/>
      </c>
      <c r="N2978">
        <f>IF('Last Week'!$B264="","",'Last Week'!$C264)</f>
        <v/>
      </c>
    </row>
    <row r="2979">
      <c r="A2979">
        <f>IF('Last Week'!$B265="","","Last week")</f>
        <v/>
      </c>
      <c r="B2979">
        <f>IF('Last Week'!$B265="","","Last week")</f>
        <v/>
      </c>
      <c r="C2979" s="18" t="n"/>
      <c r="F2979">
        <f>IF('Last Week'!$B265="","",'Last Week'!$B265&amp;"")</f>
        <v/>
      </c>
      <c r="J2979">
        <f>IF('Last Week'!$B265="","",'Last Week'!$A265)</f>
        <v/>
      </c>
      <c r="N2979">
        <f>IF('Last Week'!$B265="","",'Last Week'!$C265)</f>
        <v/>
      </c>
    </row>
    <row r="2980">
      <c r="A2980">
        <f>IF('Last Week'!$B266="","","Last week")</f>
        <v/>
      </c>
      <c r="B2980">
        <f>IF('Last Week'!$B266="","","Last week")</f>
        <v/>
      </c>
      <c r="C2980" s="18" t="n"/>
      <c r="F2980">
        <f>IF('Last Week'!$B266="","",'Last Week'!$B266&amp;"")</f>
        <v/>
      </c>
      <c r="J2980">
        <f>IF('Last Week'!$B266="","",'Last Week'!$A266)</f>
        <v/>
      </c>
      <c r="N2980">
        <f>IF('Last Week'!$B266="","",'Last Week'!$C266)</f>
        <v/>
      </c>
    </row>
    <row r="2981">
      <c r="A2981">
        <f>IF('Last Week'!$B267="","","Last week")</f>
        <v/>
      </c>
      <c r="B2981">
        <f>IF('Last Week'!$B267="","","Last week")</f>
        <v/>
      </c>
      <c r="C2981" s="18" t="n"/>
      <c r="F2981">
        <f>IF('Last Week'!$B267="","",'Last Week'!$B267&amp;"")</f>
        <v/>
      </c>
      <c r="J2981">
        <f>IF('Last Week'!$B267="","",'Last Week'!$A267)</f>
        <v/>
      </c>
      <c r="N2981">
        <f>IF('Last Week'!$B267="","",'Last Week'!$C267)</f>
        <v/>
      </c>
    </row>
    <row r="2982">
      <c r="A2982">
        <f>IF('Last Week'!$B268="","","Last week")</f>
        <v/>
      </c>
      <c r="B2982">
        <f>IF('Last Week'!$B268="","","Last week")</f>
        <v/>
      </c>
      <c r="C2982" s="18" t="n"/>
      <c r="F2982">
        <f>IF('Last Week'!$B268="","",'Last Week'!$B268&amp;"")</f>
        <v/>
      </c>
      <c r="J2982">
        <f>IF('Last Week'!$B268="","",'Last Week'!$A268)</f>
        <v/>
      </c>
      <c r="N2982">
        <f>IF('Last Week'!$B268="","",'Last Week'!$C268)</f>
        <v/>
      </c>
    </row>
    <row r="2983">
      <c r="A2983">
        <f>IF('Last Week'!$B269="","","Last week")</f>
        <v/>
      </c>
      <c r="B2983">
        <f>IF('Last Week'!$B269="","","Last week")</f>
        <v/>
      </c>
      <c r="C2983" s="18" t="n"/>
      <c r="F2983">
        <f>IF('Last Week'!$B269="","",'Last Week'!$B269&amp;"")</f>
        <v/>
      </c>
      <c r="J2983">
        <f>IF('Last Week'!$B269="","",'Last Week'!$A269)</f>
        <v/>
      </c>
      <c r="N2983">
        <f>IF('Last Week'!$B269="","",'Last Week'!$C269)</f>
        <v/>
      </c>
    </row>
    <row r="2984">
      <c r="A2984">
        <f>IF('Last Week'!$B270="","","Last week")</f>
        <v/>
      </c>
      <c r="B2984">
        <f>IF('Last Week'!$B270="","","Last week")</f>
        <v/>
      </c>
      <c r="C2984" s="18" t="n"/>
      <c r="F2984">
        <f>IF('Last Week'!$B270="","",'Last Week'!$B270&amp;"")</f>
        <v/>
      </c>
      <c r="J2984">
        <f>IF('Last Week'!$B270="","",'Last Week'!$A270)</f>
        <v/>
      </c>
      <c r="N2984">
        <f>IF('Last Week'!$B270="","",'Last Week'!$C270)</f>
        <v/>
      </c>
    </row>
    <row r="2985">
      <c r="A2985">
        <f>IF('Last Week'!$B271="","","Last week")</f>
        <v/>
      </c>
      <c r="B2985">
        <f>IF('Last Week'!$B271="","","Last week")</f>
        <v/>
      </c>
      <c r="C2985" s="18" t="n"/>
      <c r="F2985">
        <f>IF('Last Week'!$B271="","",'Last Week'!$B271&amp;"")</f>
        <v/>
      </c>
      <c r="J2985">
        <f>IF('Last Week'!$B271="","",'Last Week'!$A271)</f>
        <v/>
      </c>
      <c r="N2985">
        <f>IF('Last Week'!$B271="","",'Last Week'!$C271)</f>
        <v/>
      </c>
    </row>
    <row r="2986">
      <c r="A2986">
        <f>IF('Last Week'!$B272="","","Last week")</f>
        <v/>
      </c>
      <c r="B2986">
        <f>IF('Last Week'!$B272="","","Last week")</f>
        <v/>
      </c>
      <c r="C2986" s="18" t="n"/>
      <c r="F2986">
        <f>IF('Last Week'!$B272="","",'Last Week'!$B272&amp;"")</f>
        <v/>
      </c>
      <c r="J2986">
        <f>IF('Last Week'!$B272="","",'Last Week'!$A272)</f>
        <v/>
      </c>
      <c r="N2986">
        <f>IF('Last Week'!$B272="","",'Last Week'!$C272)</f>
        <v/>
      </c>
    </row>
    <row r="2987">
      <c r="A2987">
        <f>IF('Last Week'!$B273="","","Last week")</f>
        <v/>
      </c>
      <c r="B2987">
        <f>IF('Last Week'!$B273="","","Last week")</f>
        <v/>
      </c>
      <c r="C2987" s="18" t="n"/>
      <c r="F2987">
        <f>IF('Last Week'!$B273="","",'Last Week'!$B273&amp;"")</f>
        <v/>
      </c>
      <c r="J2987">
        <f>IF('Last Week'!$B273="","",'Last Week'!$A273)</f>
        <v/>
      </c>
      <c r="N2987">
        <f>IF('Last Week'!$B273="","",'Last Week'!$C273)</f>
        <v/>
      </c>
    </row>
    <row r="2988">
      <c r="A2988">
        <f>IF('Last Week'!$B274="","","Last week")</f>
        <v/>
      </c>
      <c r="B2988">
        <f>IF('Last Week'!$B274="","","Last week")</f>
        <v/>
      </c>
      <c r="C2988" s="18" t="n"/>
      <c r="F2988">
        <f>IF('Last Week'!$B274="","",'Last Week'!$B274&amp;"")</f>
        <v/>
      </c>
      <c r="J2988">
        <f>IF('Last Week'!$B274="","",'Last Week'!$A274)</f>
        <v/>
      </c>
      <c r="N2988">
        <f>IF('Last Week'!$B274="","",'Last Week'!$C274)</f>
        <v/>
      </c>
    </row>
    <row r="2989">
      <c r="A2989">
        <f>IF('Last Week'!$B275="","","Last week")</f>
        <v/>
      </c>
      <c r="B2989">
        <f>IF('Last Week'!$B275="","","Last week")</f>
        <v/>
      </c>
      <c r="C2989" s="18" t="n"/>
      <c r="F2989">
        <f>IF('Last Week'!$B275="","",'Last Week'!$B275&amp;"")</f>
        <v/>
      </c>
      <c r="J2989">
        <f>IF('Last Week'!$B275="","",'Last Week'!$A275)</f>
        <v/>
      </c>
      <c r="N2989">
        <f>IF('Last Week'!$B275="","",'Last Week'!$C275)</f>
        <v/>
      </c>
    </row>
    <row r="2990">
      <c r="A2990">
        <f>IF('Last Week'!$B276="","","Last week")</f>
        <v/>
      </c>
      <c r="B2990">
        <f>IF('Last Week'!$B276="","","Last week")</f>
        <v/>
      </c>
      <c r="C2990" s="18" t="n"/>
      <c r="F2990">
        <f>IF('Last Week'!$B276="","",'Last Week'!$B276&amp;"")</f>
        <v/>
      </c>
      <c r="J2990">
        <f>IF('Last Week'!$B276="","",'Last Week'!$A276)</f>
        <v/>
      </c>
      <c r="N2990">
        <f>IF('Last Week'!$B276="","",'Last Week'!$C276)</f>
        <v/>
      </c>
    </row>
    <row r="2991">
      <c r="A2991">
        <f>IF('Last Week'!$B277="","","Last week")</f>
        <v/>
      </c>
      <c r="B2991">
        <f>IF('Last Week'!$B277="","","Last week")</f>
        <v/>
      </c>
      <c r="C2991" s="18" t="n"/>
      <c r="F2991">
        <f>IF('Last Week'!$B277="","",'Last Week'!$B277&amp;"")</f>
        <v/>
      </c>
      <c r="J2991">
        <f>IF('Last Week'!$B277="","",'Last Week'!$A277)</f>
        <v/>
      </c>
      <c r="N2991">
        <f>IF('Last Week'!$B277="","",'Last Week'!$C277)</f>
        <v/>
      </c>
    </row>
    <row r="2992">
      <c r="A2992">
        <f>IF('Last Week'!$B278="","","Last week")</f>
        <v/>
      </c>
      <c r="B2992">
        <f>IF('Last Week'!$B278="","","Last week")</f>
        <v/>
      </c>
      <c r="C2992" s="18" t="n"/>
      <c r="F2992">
        <f>IF('Last Week'!$B278="","",'Last Week'!$B278&amp;"")</f>
        <v/>
      </c>
      <c r="J2992">
        <f>IF('Last Week'!$B278="","",'Last Week'!$A278)</f>
        <v/>
      </c>
      <c r="N2992">
        <f>IF('Last Week'!$B278="","",'Last Week'!$C278)</f>
        <v/>
      </c>
    </row>
    <row r="2993">
      <c r="A2993">
        <f>IF('Last Week'!$B279="","","Last week")</f>
        <v/>
      </c>
      <c r="B2993">
        <f>IF('Last Week'!$B279="","","Last week")</f>
        <v/>
      </c>
      <c r="C2993" s="18" t="n"/>
      <c r="F2993">
        <f>IF('Last Week'!$B279="","",'Last Week'!$B279&amp;"")</f>
        <v/>
      </c>
      <c r="J2993">
        <f>IF('Last Week'!$B279="","",'Last Week'!$A279)</f>
        <v/>
      </c>
      <c r="N2993">
        <f>IF('Last Week'!$B279="","",'Last Week'!$C279)</f>
        <v/>
      </c>
    </row>
    <row r="2994">
      <c r="A2994">
        <f>IF('Last Week'!$B280="","","Last week")</f>
        <v/>
      </c>
      <c r="B2994">
        <f>IF('Last Week'!$B280="","","Last week")</f>
        <v/>
      </c>
      <c r="C2994" s="18" t="n"/>
      <c r="F2994">
        <f>IF('Last Week'!$B280="","",'Last Week'!$B280&amp;"")</f>
        <v/>
      </c>
      <c r="J2994">
        <f>IF('Last Week'!$B280="","",'Last Week'!$A280)</f>
        <v/>
      </c>
      <c r="N2994">
        <f>IF('Last Week'!$B280="","",'Last Week'!$C280)</f>
        <v/>
      </c>
    </row>
    <row r="2995">
      <c r="A2995">
        <f>IF('Last Week'!$B281="","","Last week")</f>
        <v/>
      </c>
      <c r="B2995">
        <f>IF('Last Week'!$B281="","","Last week")</f>
        <v/>
      </c>
      <c r="C2995" s="18" t="n"/>
      <c r="F2995">
        <f>IF('Last Week'!$B281="","",'Last Week'!$B281&amp;"")</f>
        <v/>
      </c>
      <c r="J2995">
        <f>IF('Last Week'!$B281="","",'Last Week'!$A281)</f>
        <v/>
      </c>
      <c r="N2995">
        <f>IF('Last Week'!$B281="","",'Last Week'!$C281)</f>
        <v/>
      </c>
    </row>
    <row r="2996">
      <c r="A2996">
        <f>IF('Last Week'!$B282="","","Last week")</f>
        <v/>
      </c>
      <c r="B2996">
        <f>IF('Last Week'!$B282="","","Last week")</f>
        <v/>
      </c>
      <c r="C2996" s="18" t="n"/>
      <c r="F2996">
        <f>IF('Last Week'!$B282="","",'Last Week'!$B282&amp;"")</f>
        <v/>
      </c>
      <c r="J2996">
        <f>IF('Last Week'!$B282="","",'Last Week'!$A282)</f>
        <v/>
      </c>
      <c r="N2996">
        <f>IF('Last Week'!$B282="","",'Last Week'!$C282)</f>
        <v/>
      </c>
    </row>
    <row r="2997">
      <c r="A2997">
        <f>IF('Last Week'!$B283="","","Last week")</f>
        <v/>
      </c>
      <c r="B2997">
        <f>IF('Last Week'!$B283="","","Last week")</f>
        <v/>
      </c>
      <c r="C2997" s="18" t="n"/>
      <c r="F2997">
        <f>IF('Last Week'!$B283="","",'Last Week'!$B283&amp;"")</f>
        <v/>
      </c>
      <c r="J2997">
        <f>IF('Last Week'!$B283="","",'Last Week'!$A283)</f>
        <v/>
      </c>
      <c r="N2997">
        <f>IF('Last Week'!$B283="","",'Last Week'!$C283)</f>
        <v/>
      </c>
    </row>
    <row r="2998">
      <c r="A2998">
        <f>IF('Last Week'!$B284="","","Last week")</f>
        <v/>
      </c>
      <c r="B2998">
        <f>IF('Last Week'!$B284="","","Last week")</f>
        <v/>
      </c>
      <c r="C2998" s="18" t="n"/>
      <c r="F2998">
        <f>IF('Last Week'!$B284="","",'Last Week'!$B284&amp;"")</f>
        <v/>
      </c>
      <c r="J2998">
        <f>IF('Last Week'!$B284="","",'Last Week'!$A284)</f>
        <v/>
      </c>
      <c r="N2998">
        <f>IF('Last Week'!$B284="","",'Last Week'!$C284)</f>
        <v/>
      </c>
    </row>
    <row r="2999">
      <c r="A2999">
        <f>IF('Last Week'!$B285="","","Last week")</f>
        <v/>
      </c>
      <c r="B2999">
        <f>IF('Last Week'!$B285="","","Last week")</f>
        <v/>
      </c>
      <c r="C2999" s="18" t="n"/>
      <c r="F2999">
        <f>IF('Last Week'!$B285="","",'Last Week'!$B285&amp;"")</f>
        <v/>
      </c>
      <c r="J2999">
        <f>IF('Last Week'!$B285="","",'Last Week'!$A285)</f>
        <v/>
      </c>
      <c r="N2999">
        <f>IF('Last Week'!$B285="","",'Last Week'!$C285)</f>
        <v/>
      </c>
    </row>
    <row r="3000">
      <c r="A3000">
        <f>IF('Last Week'!$B286="","","Last week")</f>
        <v/>
      </c>
      <c r="B3000">
        <f>IF('Last Week'!$B286="","","Last week")</f>
        <v/>
      </c>
      <c r="C3000" s="18" t="n"/>
      <c r="F3000">
        <f>IF('Last Week'!$B286="","",'Last Week'!$B286&amp;"")</f>
        <v/>
      </c>
      <c r="J3000">
        <f>IF('Last Week'!$B286="","",'Last Week'!$A286)</f>
        <v/>
      </c>
      <c r="N3000">
        <f>IF('Last Week'!$B286="","",'Last Week'!$C286)</f>
        <v/>
      </c>
    </row>
    <row r="3001">
      <c r="A3001">
        <f>IF('Last Week'!$B287="","","Last week")</f>
        <v/>
      </c>
      <c r="B3001">
        <f>IF('Last Week'!$B287="","","Last week")</f>
        <v/>
      </c>
      <c r="C3001" s="18" t="n"/>
      <c r="F3001">
        <f>IF('Last Week'!$B287="","",'Last Week'!$B287&amp;"")</f>
        <v/>
      </c>
      <c r="J3001">
        <f>IF('Last Week'!$B287="","",'Last Week'!$A287)</f>
        <v/>
      </c>
      <c r="N3001">
        <f>IF('Last Week'!$B287="","",'Last Week'!$C287)</f>
        <v/>
      </c>
    </row>
    <row r="3002">
      <c r="A3002">
        <f>IF('Last Week'!$B288="","","Last week")</f>
        <v/>
      </c>
      <c r="B3002">
        <f>IF('Last Week'!$B288="","","Last week")</f>
        <v/>
      </c>
      <c r="C3002" s="18" t="n"/>
      <c r="F3002">
        <f>IF('Last Week'!$B288="","",'Last Week'!$B288&amp;"")</f>
        <v/>
      </c>
      <c r="J3002">
        <f>IF('Last Week'!$B288="","",'Last Week'!$A288)</f>
        <v/>
      </c>
      <c r="N3002">
        <f>IF('Last Week'!$B288="","",'Last Week'!$C288)</f>
        <v/>
      </c>
    </row>
    <row r="3003">
      <c r="A3003">
        <f>IF('Last Week'!$B289="","","Last week")</f>
        <v/>
      </c>
      <c r="B3003">
        <f>IF('Last Week'!$B289="","","Last week")</f>
        <v/>
      </c>
      <c r="C3003" s="18" t="n"/>
      <c r="F3003">
        <f>IF('Last Week'!$B289="","",'Last Week'!$B289&amp;"")</f>
        <v/>
      </c>
      <c r="J3003">
        <f>IF('Last Week'!$B289="","",'Last Week'!$A289)</f>
        <v/>
      </c>
      <c r="N3003">
        <f>IF('Last Week'!$B289="","",'Last Week'!$C289)</f>
        <v/>
      </c>
    </row>
    <row r="3004">
      <c r="A3004">
        <f>IF('Last Week'!$B290="","","Last week")</f>
        <v/>
      </c>
      <c r="B3004">
        <f>IF('Last Week'!$B290="","","Last week")</f>
        <v/>
      </c>
      <c r="C3004" s="18" t="n"/>
      <c r="F3004">
        <f>IF('Last Week'!$B290="","",'Last Week'!$B290&amp;"")</f>
        <v/>
      </c>
      <c r="J3004">
        <f>IF('Last Week'!$B290="","",'Last Week'!$A290)</f>
        <v/>
      </c>
      <c r="N3004">
        <f>IF('Last Week'!$B290="","",'Last Week'!$C290)</f>
        <v/>
      </c>
    </row>
    <row r="3005">
      <c r="A3005">
        <f>IF('Last Week'!$B291="","","Last week")</f>
        <v/>
      </c>
      <c r="B3005">
        <f>IF('Last Week'!$B291="","","Last week")</f>
        <v/>
      </c>
      <c r="C3005" s="18" t="n"/>
      <c r="F3005">
        <f>IF('Last Week'!$B291="","",'Last Week'!$B291&amp;"")</f>
        <v/>
      </c>
      <c r="J3005">
        <f>IF('Last Week'!$B291="","",'Last Week'!$A291)</f>
        <v/>
      </c>
      <c r="N3005">
        <f>IF('Last Week'!$B291="","",'Last Week'!$C291)</f>
        <v/>
      </c>
    </row>
    <row r="3006">
      <c r="A3006">
        <f>IF('Last Week'!$B292="","","Last week")</f>
        <v/>
      </c>
      <c r="B3006">
        <f>IF('Last Week'!$B292="","","Last week")</f>
        <v/>
      </c>
      <c r="C3006" s="18" t="n"/>
      <c r="F3006">
        <f>IF('Last Week'!$B292="","",'Last Week'!$B292&amp;"")</f>
        <v/>
      </c>
      <c r="J3006">
        <f>IF('Last Week'!$B292="","",'Last Week'!$A292)</f>
        <v/>
      </c>
      <c r="N3006">
        <f>IF('Last Week'!$B292="","",'Last Week'!$C292)</f>
        <v/>
      </c>
    </row>
    <row r="3007">
      <c r="A3007">
        <f>IF('Last Week'!$B293="","","Last week")</f>
        <v/>
      </c>
      <c r="B3007">
        <f>IF('Last Week'!$B293="","","Last week")</f>
        <v/>
      </c>
      <c r="C3007" s="18" t="n"/>
      <c r="F3007">
        <f>IF('Last Week'!$B293="","",'Last Week'!$B293&amp;"")</f>
        <v/>
      </c>
      <c r="J3007">
        <f>IF('Last Week'!$B293="","",'Last Week'!$A293)</f>
        <v/>
      </c>
      <c r="N3007">
        <f>IF('Last Week'!$B293="","",'Last Week'!$C293)</f>
        <v/>
      </c>
    </row>
    <row r="3008">
      <c r="A3008">
        <f>IF('Last Week'!$B294="","","Last week")</f>
        <v/>
      </c>
      <c r="B3008">
        <f>IF('Last Week'!$B294="","","Last week")</f>
        <v/>
      </c>
      <c r="C3008" s="18" t="n"/>
      <c r="F3008">
        <f>IF('Last Week'!$B294="","",'Last Week'!$B294&amp;"")</f>
        <v/>
      </c>
      <c r="J3008">
        <f>IF('Last Week'!$B294="","",'Last Week'!$A294)</f>
        <v/>
      </c>
      <c r="N3008">
        <f>IF('Last Week'!$B294="","",'Last Week'!$C294)</f>
        <v/>
      </c>
    </row>
    <row r="3009">
      <c r="A3009">
        <f>IF('Last Week'!$B295="","","Last week")</f>
        <v/>
      </c>
      <c r="B3009">
        <f>IF('Last Week'!$B295="","","Last week")</f>
        <v/>
      </c>
      <c r="C3009" s="18" t="n"/>
      <c r="F3009">
        <f>IF('Last Week'!$B295="","",'Last Week'!$B295&amp;"")</f>
        <v/>
      </c>
      <c r="J3009">
        <f>IF('Last Week'!$B295="","",'Last Week'!$A295)</f>
        <v/>
      </c>
      <c r="N3009">
        <f>IF('Last Week'!$B295="","",'Last Week'!$C295)</f>
        <v/>
      </c>
    </row>
    <row r="3010">
      <c r="A3010">
        <f>IF('Last Week'!$B296="","","Last week")</f>
        <v/>
      </c>
      <c r="B3010">
        <f>IF('Last Week'!$B296="","","Last week")</f>
        <v/>
      </c>
      <c r="C3010" s="18" t="n"/>
      <c r="F3010">
        <f>IF('Last Week'!$B296="","",'Last Week'!$B296&amp;"")</f>
        <v/>
      </c>
      <c r="J3010">
        <f>IF('Last Week'!$B296="","",'Last Week'!$A296)</f>
        <v/>
      </c>
      <c r="N3010">
        <f>IF('Last Week'!$B296="","",'Last Week'!$C296)</f>
        <v/>
      </c>
    </row>
    <row r="3011">
      <c r="A3011">
        <f>IF('Last Week'!$B297="","","Last week")</f>
        <v/>
      </c>
      <c r="B3011">
        <f>IF('Last Week'!$B297="","","Last week")</f>
        <v/>
      </c>
      <c r="C3011" s="18" t="n"/>
      <c r="F3011">
        <f>IF('Last Week'!$B297="","",'Last Week'!$B297&amp;"")</f>
        <v/>
      </c>
      <c r="J3011">
        <f>IF('Last Week'!$B297="","",'Last Week'!$A297)</f>
        <v/>
      </c>
      <c r="N3011">
        <f>IF('Last Week'!$B297="","",'Last Week'!$C297)</f>
        <v/>
      </c>
    </row>
    <row r="3012">
      <c r="A3012">
        <f>IF('Last Week'!$B298="","","Last week")</f>
        <v/>
      </c>
      <c r="B3012">
        <f>IF('Last Week'!$B298="","","Last week")</f>
        <v/>
      </c>
      <c r="C3012" s="18" t="n"/>
      <c r="F3012">
        <f>IF('Last Week'!$B298="","",'Last Week'!$B298&amp;"")</f>
        <v/>
      </c>
      <c r="J3012">
        <f>IF('Last Week'!$B298="","",'Last Week'!$A298)</f>
        <v/>
      </c>
      <c r="N3012">
        <f>IF('Last Week'!$B298="","",'Last Week'!$C298)</f>
        <v/>
      </c>
    </row>
    <row r="3013">
      <c r="A3013">
        <f>IF('Last Week'!$B299="","","Last week")</f>
        <v/>
      </c>
      <c r="B3013">
        <f>IF('Last Week'!$B299="","","Last week")</f>
        <v/>
      </c>
      <c r="C3013" s="18" t="n"/>
      <c r="F3013">
        <f>IF('Last Week'!$B299="","",'Last Week'!$B299&amp;"")</f>
        <v/>
      </c>
      <c r="J3013">
        <f>IF('Last Week'!$B299="","",'Last Week'!$A299)</f>
        <v/>
      </c>
      <c r="N3013">
        <f>IF('Last Week'!$B299="","",'Last Week'!$C299)</f>
        <v/>
      </c>
    </row>
    <row r="3014">
      <c r="A3014">
        <f>IF('Last Week'!$B300="","","Last week")</f>
        <v/>
      </c>
      <c r="B3014">
        <f>IF('Last Week'!$B300="","","Last week")</f>
        <v/>
      </c>
      <c r="C3014" s="18" t="n"/>
      <c r="F3014">
        <f>IF('Last Week'!$B300="","",'Last Week'!$B300&amp;"")</f>
        <v/>
      </c>
      <c r="J3014">
        <f>IF('Last Week'!$B300="","",'Last Week'!$A300)</f>
        <v/>
      </c>
      <c r="N3014">
        <f>IF('Last Week'!$B300="","",'Last Week'!$C300)</f>
        <v/>
      </c>
    </row>
    <row r="3015">
      <c r="A3015">
        <f>IF('Last Week'!$B301="","","Last week")</f>
        <v/>
      </c>
      <c r="B3015">
        <f>IF('Last Week'!$B301="","","Last week")</f>
        <v/>
      </c>
      <c r="C3015" s="18" t="n"/>
      <c r="F3015">
        <f>IF('Last Week'!$B301="","",'Last Week'!$B301&amp;"")</f>
        <v/>
      </c>
      <c r="J3015">
        <f>IF('Last Week'!$B301="","",'Last Week'!$A301)</f>
        <v/>
      </c>
      <c r="N3015">
        <f>IF('Last Week'!$B301="","",'Last Week'!$C301)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2026-10-20T17:34:10Z</dcterms:created>
  <dcterms:modified xmlns:dcterms="http://purl.org/dc/terms/" xmlns:xsi="http://www.w3.org/2001/XMLSchema-instance" xsi:type="dcterms:W3CDTF">2026-10-20T17:34:11Z</dcterms:modified>
</cp:coreProperties>
</file>